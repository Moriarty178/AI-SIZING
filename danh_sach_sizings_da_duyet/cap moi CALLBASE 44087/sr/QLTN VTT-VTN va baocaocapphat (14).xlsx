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42Keangnam\TTCNTT T42\sizing\44087\sr\"/>
    </mc:Choice>
  </mc:AlternateContent>
  <bookViews>
    <workbookView xWindow="360" yWindow="15" windowWidth="20955" windowHeight="9720" activeTab="1"/>
  </bookViews>
  <sheets>
    <sheet name="Sizing" sheetId="1" r:id="rId1"/>
    <sheet name="Cấp phát TN" sheetId="2" r:id="rId2"/>
    <sheet name="Chi tiết" sheetId="3" r:id="rId3"/>
    <sheet name="Tài nguyên Cloud " sheetId="4" r:id="rId4"/>
    <sheet name="vật lý free" sheetId="5" r:id="rId5"/>
    <sheet name="Cấp phát vật lý" sheetId="6" r:id="rId6"/>
    <sheet name="MyCC" sheetId="7" r:id="rId7"/>
    <sheet name="Datalake" sheetId="8" r:id="rId8"/>
    <sheet name="DA2022" sheetId="9" r:id="rId9"/>
    <sheet name="Chi tiết Cấp phát 2025" sheetId="10" r:id="rId10"/>
    <sheet name="ALL SERVER VTT" sheetId="11" r:id="rId11"/>
    <sheet name="Checklist Sizing" sheetId="12" r:id="rId12"/>
  </sheets>
  <externalReferences>
    <externalReference r:id="rId13"/>
  </externalReferences>
  <definedNames>
    <definedName name="_xlnm._FilterDatabase" localSheetId="1" hidden="1">'Cấp phát TN'!$A$2:$L$167</definedName>
    <definedName name="_xlnm._FilterDatabase" localSheetId="2">'Chi tiết'!$A$1:$T$265</definedName>
    <definedName name="_xlnm._FilterDatabase" localSheetId="0">Sizing!$A$1:$Q$68</definedName>
    <definedName name="Ceph_10K_Skylake">'[1]Storage-Compute'!$C$9:$C$11</definedName>
    <definedName name="Ceph_Broadwell">'[1]Storage-Compute'!$C$9:$C$11</definedName>
    <definedName name="Ceph_Skylake">'[1]Storage-Compute'!$C$9:$C$11</definedName>
    <definedName name="Ceph_Skylake_IBRS">'[1]Storage-Compute'!$C$45:$C$46</definedName>
    <definedName name="Ceph_Skylake_IBRS_VTM">'[1]Storage-Compute'!$C$47:$C$48</definedName>
    <definedName name="Ceph_VTM">'[1]Storage-Compute'!$C$12:$C$13</definedName>
    <definedName name="Cisco_2020_HLC">'[1]Storage-Compute'!$B$45:$B$65</definedName>
    <definedName name="Cisco_2020_HLC_image">'[1]Image-Cloud '!$B$20:$B$29</definedName>
    <definedName name="Cloud_HHT">'[1]Storage-Compute'!$B$70:$B$74</definedName>
    <definedName name="Cloud_HHT_image">'[1]Image-Cloud '!$B$36:$B$43</definedName>
    <definedName name="Cloud_VTT">'[1]Storage-Compute'!$B$82</definedName>
    <definedName name="Cloud_VTT_image">'[1]Image-Cloud '!$B$45:$B$50</definedName>
    <definedName name="Dell_Unity_186_G05">'[1]Storage-Compute'!$C$23:$C$29</definedName>
    <definedName name="Hitachi_135_H11">'[1]Storage-Compute'!$C$30:$C$32</definedName>
    <definedName name="Hitachi_G700_Skylake_IBRS">'[1]Storage-Compute'!$C$58:$C$59</definedName>
    <definedName name="HP_3PAR_C01_Broadwell">'[1]Storage-Compute'!$C$14:$C$16</definedName>
    <definedName name="HP_3PAR_C01_Skylake">'[1]Storage-Compute'!$C$14:$C$16</definedName>
    <definedName name="HP_3PAR_E04">'[1]Storage-Compute'!$C$17:$C$18</definedName>
    <definedName name="HP_3PAR_E06_VTT">'[1]Storage-Compute'!$C$19:$C$20</definedName>
    <definedName name="HPE_2019_HLC">'[1]Storage-Compute'!$B$9:$B$21</definedName>
    <definedName name="HPE_2019_HLC_image">'[1]Image-Cloud '!$B$9:$B$17</definedName>
    <definedName name="HPE_3PAR_T6H09_Skylake_IBRS_VTT">'[1]Storage-Compute'!$C$55:$C$56</definedName>
    <definedName name="IBM_V7000_03_T5">'[1]Storage-Compute'!$C$21</definedName>
    <definedName name="IBM_V7000_T5">'[1]Storage-Compute'!$C$22</definedName>
    <definedName name="IBM_V7000_VTS">'[1]Storage-Compute'!$C$29</definedName>
    <definedName name="KGM_HHT_Ceph_2022_Q1_01">'[1]Storage-Compute'!$C$72:$C$73</definedName>
    <definedName name="Tu_Muon">'[1]Storage-Compute'!$C$33</definedName>
    <definedName name="UNITY880_01_Skylake_IBRS">'[1]Storage-Compute'!$C$57</definedName>
    <definedName name="UNITY880_01_Skylake_IBRS_VTS_Private">'[1]Storage-Compute'!$C$57</definedName>
    <definedName name="UNITY880_01_Skylake_IBRS_VTS_Public">'[1]Storage-Compute'!$C$57</definedName>
    <definedName name="ViettelPay_PCI_DSS">'[1]Storage-Compute'!$B$36:$B$38</definedName>
    <definedName name="ViettelPay_PCI_DSS_image">'[1]Image-Cloud '!$B$32:$B$34</definedName>
    <definedName name="VTNet_Ceph_2021_Q2_01">'[1]Storage-Compute'!$C$49:$C$52</definedName>
    <definedName name="VTNet_Ceph_2021_Q2_02">'[1]Storage-Compute'!$C$49:$C$52</definedName>
    <definedName name="VTNet_HHT_Ceph_2021_Q3_01">'[1]Storage-Compute'!$C$70:$C$71</definedName>
    <definedName name="VTNet_HHT_Ceph_2022_Q1_01">'[1]Storage-Compute'!$C$70:$C$71</definedName>
    <definedName name="VTNet_HHT_SAN_2021_Q3_01">'[1]Storage-Compute'!$C$74</definedName>
    <definedName name="VTNet_HHT_SAN_2022_Q2_01">'[1]Storage-Compute'!$C$75</definedName>
    <definedName name="VTNet_SAN_2021_Q2_01">'[1]Storage-Compute'!$C$53:$C$54</definedName>
    <definedName name="VTNet_SAN_2021_Q2_02">'[1]Storage-Compute'!$C$53:$C$54</definedName>
    <definedName name="VTNet_SAN_2021_Q2_03">'[1]Storage-Compute'!$C$60</definedName>
    <definedName name="VTNet_SAN_2021_Q2_04">'[1]Storage-Compute'!$C$61</definedName>
    <definedName name="VTNet_SAN_2021_Q3_01">'[1]Storage-Compute'!$C$62</definedName>
    <definedName name="VTNet_SAN_2022_Q1_01">'[1]Storage-Compute'!$C$63</definedName>
    <definedName name="VTP_CDE">'[1]Storage-Compute'!$C$36:$C$37</definedName>
    <definedName name="VTP_NCDE">'[1]Storage-Compute'!$C$36:$C$37</definedName>
    <definedName name="VTP_OTH">'[1]Storage-Compute'!$C$36:$C$37</definedName>
    <definedName name="VTS_Ceph_2021_Q2_01">'[1]Storage-Compute'!$C$49:$C$52</definedName>
    <definedName name="VTS_SAN_2021_Q2_01">'[1]Storage-Compute'!$C$53:$C$54</definedName>
    <definedName name="VTS_SAN_2021_Q2_02">'[1]Storage-Compute'!$C$61</definedName>
    <definedName name="VTS_SAN_2021_Q2_03">'[1]Storage-Compute'!$C$60</definedName>
    <definedName name="VTT_SAN_2021_Q2_01">'[1]Storage-Compute'!$C$53:$C$54</definedName>
    <definedName name="VTT_SAN_2021_Q2_02">'[1]Storage-Compute'!$C$53:$C$54</definedName>
    <definedName name="VTT_SAN_2021_Q4_01">'[1]Storage-Compute'!$C$82:$C$85</definedName>
  </definedNames>
  <calcPr calcId="162913"/>
</workbook>
</file>

<file path=xl/calcChain.xml><?xml version="1.0" encoding="utf-8"?>
<calcChain xmlns="http://schemas.openxmlformats.org/spreadsheetml/2006/main">
  <c r="J54" i="9" l="1"/>
  <c r="I54" i="9"/>
  <c r="J53" i="9"/>
  <c r="I53" i="9"/>
  <c r="G32" i="4" s="1"/>
  <c r="D42" i="8"/>
  <c r="C42" i="8"/>
  <c r="D35" i="8"/>
  <c r="C35" i="8"/>
  <c r="D11" i="8"/>
  <c r="C11" i="8"/>
  <c r="V24" i="6"/>
  <c r="V23" i="6"/>
  <c r="V22" i="6"/>
  <c r="L10" i="6"/>
  <c r="K10" i="6"/>
  <c r="I10" i="6"/>
  <c r="J10" i="6" s="1"/>
  <c r="K9" i="6"/>
  <c r="K5" i="6"/>
  <c r="K4" i="6"/>
  <c r="I4" i="6"/>
  <c r="J4" i="6" s="1"/>
  <c r="K3" i="6"/>
  <c r="J3" i="6"/>
  <c r="I3" i="6"/>
  <c r="L2" i="6"/>
  <c r="D46" i="5"/>
  <c r="Q28" i="5"/>
  <c r="K33" i="4" s="1"/>
  <c r="P28" i="5"/>
  <c r="J33" i="4" s="1"/>
  <c r="O28" i="5"/>
  <c r="N28" i="5"/>
  <c r="Q27" i="5"/>
  <c r="P27" i="5"/>
  <c r="O27" i="5"/>
  <c r="K32" i="4" s="1"/>
  <c r="K34" i="4" s="1"/>
  <c r="N27" i="5"/>
  <c r="J32" i="4" s="1"/>
  <c r="J34" i="4" s="1"/>
  <c r="Q26" i="5"/>
  <c r="P26" i="5"/>
  <c r="O26" i="5"/>
  <c r="N26" i="5"/>
  <c r="Q25" i="5"/>
  <c r="P25" i="5"/>
  <c r="O25" i="5"/>
  <c r="N25" i="5"/>
  <c r="Q24" i="5"/>
  <c r="P24" i="5"/>
  <c r="O24" i="5"/>
  <c r="O32" i="4" s="1"/>
  <c r="O34" i="4" s="1"/>
  <c r="N24" i="5"/>
  <c r="Q23" i="5"/>
  <c r="P23" i="5"/>
  <c r="O23" i="5"/>
  <c r="N23" i="5"/>
  <c r="Q22" i="5"/>
  <c r="P22" i="5"/>
  <c r="N33" i="4" s="1"/>
  <c r="O22" i="5"/>
  <c r="N22" i="5"/>
  <c r="N32" i="4" s="1"/>
  <c r="N34" i="4" s="1"/>
  <c r="E17" i="5"/>
  <c r="M34" i="4"/>
  <c r="L34" i="4"/>
  <c r="O33" i="4"/>
  <c r="M33" i="4"/>
  <c r="L33" i="4"/>
  <c r="I33" i="4"/>
  <c r="D33" i="4"/>
  <c r="C33" i="4"/>
  <c r="I32" i="4"/>
  <c r="I34" i="4" s="1"/>
  <c r="H32" i="4"/>
  <c r="F32" i="4"/>
  <c r="E32" i="4"/>
  <c r="D32" i="4"/>
  <c r="D34" i="4" s="1"/>
  <c r="C32" i="4"/>
  <c r="C34" i="4" s="1"/>
  <c r="B32" i="4"/>
  <c r="F26" i="4"/>
  <c r="F27" i="4" s="1"/>
  <c r="G25" i="4"/>
  <c r="E25" i="4"/>
  <c r="C25" i="4"/>
  <c r="I20" i="4"/>
  <c r="H19" i="4"/>
  <c r="H20" i="4" s="1"/>
  <c r="H18" i="4"/>
  <c r="G18" i="4"/>
  <c r="C18" i="4"/>
  <c r="I17" i="4"/>
  <c r="H15" i="4"/>
  <c r="G15" i="4"/>
  <c r="E15" i="4"/>
  <c r="C15" i="4"/>
  <c r="H10" i="4"/>
  <c r="D9" i="4"/>
  <c r="D10" i="4" s="1"/>
  <c r="B268" i="3"/>
  <c r="P267" i="3"/>
  <c r="O267" i="3"/>
  <c r="N267" i="3"/>
  <c r="M267" i="3"/>
  <c r="L267" i="3"/>
  <c r="K267" i="3"/>
  <c r="J267" i="3"/>
  <c r="I267" i="3"/>
  <c r="B267" i="3"/>
  <c r="N266" i="3"/>
  <c r="M266" i="3"/>
  <c r="I266" i="3"/>
  <c r="C19" i="4" s="1"/>
  <c r="N265" i="3"/>
  <c r="Q264" i="3"/>
  <c r="N264" i="3"/>
  <c r="N263" i="3"/>
  <c r="M263" i="3"/>
  <c r="L263" i="3"/>
  <c r="K263" i="3"/>
  <c r="J263" i="3"/>
  <c r="I263" i="3"/>
  <c r="B33" i="4" s="1"/>
  <c r="B34" i="4" s="1"/>
  <c r="Q262" i="3"/>
  <c r="P262" i="3"/>
  <c r="O262" i="3"/>
  <c r="N262" i="3"/>
  <c r="M262" i="3"/>
  <c r="H26" i="4" s="1"/>
  <c r="H27" i="4" s="1"/>
  <c r="Q261" i="3"/>
  <c r="P261" i="3"/>
  <c r="O261" i="3"/>
  <c r="N261" i="3"/>
  <c r="M261" i="3"/>
  <c r="L261" i="3"/>
  <c r="K261" i="3"/>
  <c r="D26" i="4" s="1"/>
  <c r="D27" i="4" s="1"/>
  <c r="J261" i="3"/>
  <c r="I261" i="3"/>
  <c r="B26" i="4" s="1"/>
  <c r="B27" i="4" s="1"/>
  <c r="N260" i="3"/>
  <c r="M260" i="3"/>
  <c r="N259" i="3"/>
  <c r="F9" i="4" s="1"/>
  <c r="F10" i="4" s="1"/>
  <c r="M259" i="3"/>
  <c r="L259" i="3"/>
  <c r="K259" i="3"/>
  <c r="I259" i="3"/>
  <c r="B9" i="4" s="1"/>
  <c r="B10" i="4" s="1"/>
  <c r="J246" i="3"/>
  <c r="J243" i="3"/>
  <c r="L241" i="3"/>
  <c r="L239" i="3"/>
  <c r="J239" i="3"/>
  <c r="M237" i="3"/>
  <c r="L237" i="3"/>
  <c r="K237" i="3"/>
  <c r="I237" i="3"/>
  <c r="J237" i="3" s="1"/>
  <c r="H237" i="3"/>
  <c r="M231" i="3"/>
  <c r="M264" i="3" s="1"/>
  <c r="H33" i="4" s="1"/>
  <c r="H34" i="4" s="1"/>
  <c r="L231" i="3"/>
  <c r="I231" i="3"/>
  <c r="H231" i="3"/>
  <c r="L226" i="3"/>
  <c r="K226" i="3"/>
  <c r="J226" i="3"/>
  <c r="I226" i="3"/>
  <c r="J225" i="3"/>
  <c r="L224" i="3"/>
  <c r="K224" i="3"/>
  <c r="J224" i="3"/>
  <c r="I224" i="3"/>
  <c r="L223" i="3"/>
  <c r="K223" i="3"/>
  <c r="K231" i="3" s="1"/>
  <c r="J223" i="3"/>
  <c r="I223" i="3"/>
  <c r="L216" i="3"/>
  <c r="L264" i="3" s="1"/>
  <c r="G33" i="4" s="1"/>
  <c r="J215" i="3"/>
  <c r="I214" i="3"/>
  <c r="I264" i="3" s="1"/>
  <c r="E33" i="4" s="1"/>
  <c r="E34" i="4" s="1"/>
  <c r="L209" i="3"/>
  <c r="K209" i="3"/>
  <c r="J209" i="3"/>
  <c r="I209" i="3" s="1"/>
  <c r="J205" i="3"/>
  <c r="J204" i="3"/>
  <c r="J203" i="3"/>
  <c r="L197" i="3"/>
  <c r="K197" i="3"/>
  <c r="J197" i="3"/>
  <c r="I197" i="3"/>
  <c r="J189" i="3"/>
  <c r="J188" i="3"/>
  <c r="L184" i="3"/>
  <c r="J184" i="3"/>
  <c r="I184" i="3"/>
  <c r="K183" i="3"/>
  <c r="L182" i="3"/>
  <c r="K182" i="3"/>
  <c r="F182" i="3"/>
  <c r="E182" i="3"/>
  <c r="D182" i="3"/>
  <c r="C182" i="3"/>
  <c r="J178" i="3"/>
  <c r="L177" i="3"/>
  <c r="K177" i="3"/>
  <c r="J177" i="3"/>
  <c r="I177" i="3"/>
  <c r="H177" i="3"/>
  <c r="F177" i="3"/>
  <c r="F176" i="3"/>
  <c r="E176" i="3"/>
  <c r="D176" i="3"/>
  <c r="C176" i="3"/>
  <c r="J174" i="3"/>
  <c r="F174" i="3"/>
  <c r="E174" i="3"/>
  <c r="D174" i="3"/>
  <c r="C174" i="3"/>
  <c r="K173" i="3"/>
  <c r="J173" i="3"/>
  <c r="E173" i="3"/>
  <c r="D173" i="3"/>
  <c r="F172" i="3"/>
  <c r="E172" i="3"/>
  <c r="D172" i="3"/>
  <c r="C172" i="3"/>
  <c r="L169" i="3"/>
  <c r="K169" i="3"/>
  <c r="J169" i="3"/>
  <c r="F169" i="3"/>
  <c r="E169" i="3"/>
  <c r="D169" i="3"/>
  <c r="C169" i="3"/>
  <c r="L165" i="3"/>
  <c r="K165" i="3"/>
  <c r="J165" i="3"/>
  <c r="I165" i="3"/>
  <c r="J163" i="3"/>
  <c r="F161" i="3"/>
  <c r="E161" i="3"/>
  <c r="D161" i="3"/>
  <c r="C161" i="3"/>
  <c r="F158" i="3"/>
  <c r="E158" i="3"/>
  <c r="D158" i="3"/>
  <c r="C158" i="3"/>
  <c r="J154" i="3"/>
  <c r="E154" i="3"/>
  <c r="D154" i="3"/>
  <c r="C154" i="3"/>
  <c r="F153" i="3"/>
  <c r="E153" i="3"/>
  <c r="D153" i="3"/>
  <c r="C153" i="3"/>
  <c r="F152" i="3"/>
  <c r="E152" i="3"/>
  <c r="D152" i="3"/>
  <c r="C152" i="3"/>
  <c r="F151" i="3"/>
  <c r="E151" i="3"/>
  <c r="D151" i="3"/>
  <c r="C151" i="3"/>
  <c r="J150" i="3"/>
  <c r="F149" i="3"/>
  <c r="E149" i="3"/>
  <c r="D149" i="3"/>
  <c r="C149" i="3"/>
  <c r="F148" i="3"/>
  <c r="E148" i="3"/>
  <c r="D148" i="3"/>
  <c r="C148" i="3"/>
  <c r="F146" i="3"/>
  <c r="F145" i="3"/>
  <c r="E145" i="3"/>
  <c r="D145" i="3"/>
  <c r="C145" i="3"/>
  <c r="F144" i="3"/>
  <c r="E144" i="3"/>
  <c r="D144" i="3"/>
  <c r="C144" i="3"/>
  <c r="F143" i="3"/>
  <c r="E143" i="3"/>
  <c r="D143" i="3"/>
  <c r="C143" i="3"/>
  <c r="L142" i="3"/>
  <c r="K142" i="3"/>
  <c r="J142" i="3"/>
  <c r="I142" i="3"/>
  <c r="F142" i="3"/>
  <c r="E142" i="3"/>
  <c r="D142" i="3"/>
  <c r="C142" i="3"/>
  <c r="F141" i="3"/>
  <c r="E141" i="3"/>
  <c r="D141" i="3"/>
  <c r="C141" i="3"/>
  <c r="F139" i="3"/>
  <c r="E139" i="3"/>
  <c r="D139" i="3"/>
  <c r="C139" i="3"/>
  <c r="F137" i="3"/>
  <c r="E137" i="3"/>
  <c r="D137" i="3"/>
  <c r="C137" i="3"/>
  <c r="F136" i="3"/>
  <c r="E136" i="3"/>
  <c r="D136" i="3"/>
  <c r="C136" i="3"/>
  <c r="F135" i="3"/>
  <c r="E135" i="3"/>
  <c r="D135" i="3"/>
  <c r="C135" i="3"/>
  <c r="F134" i="3"/>
  <c r="E134" i="3"/>
  <c r="D134" i="3"/>
  <c r="C134" i="3"/>
  <c r="L133" i="3"/>
  <c r="K133" i="3"/>
  <c r="J133" i="3"/>
  <c r="I133" i="3" s="1"/>
  <c r="H133" i="3"/>
  <c r="F133" i="3"/>
  <c r="E133" i="3"/>
  <c r="D133" i="3"/>
  <c r="C133" i="3"/>
  <c r="I132" i="3"/>
  <c r="F132" i="3"/>
  <c r="E132" i="3"/>
  <c r="D132" i="3"/>
  <c r="C132" i="3"/>
  <c r="J131" i="3"/>
  <c r="F131" i="3"/>
  <c r="E131" i="3"/>
  <c r="D131" i="3"/>
  <c r="C131" i="3"/>
  <c r="F130" i="3"/>
  <c r="E130" i="3"/>
  <c r="D130" i="3"/>
  <c r="C130" i="3"/>
  <c r="F129" i="3"/>
  <c r="E129" i="3"/>
  <c r="D129" i="3"/>
  <c r="C129" i="3"/>
  <c r="J128" i="3"/>
  <c r="F128" i="3"/>
  <c r="E128" i="3"/>
  <c r="D128" i="3"/>
  <c r="C128" i="3"/>
  <c r="J127" i="3"/>
  <c r="F127" i="3"/>
  <c r="E127" i="3"/>
  <c r="D127" i="3"/>
  <c r="C127" i="3"/>
  <c r="F126" i="3"/>
  <c r="E126" i="3"/>
  <c r="D126" i="3"/>
  <c r="C126" i="3"/>
  <c r="L125" i="3"/>
  <c r="K125" i="3"/>
  <c r="K266" i="3" s="1"/>
  <c r="E19" i="4" s="1"/>
  <c r="E20" i="4" s="1"/>
  <c r="J125" i="3"/>
  <c r="F125" i="3"/>
  <c r="E125" i="3"/>
  <c r="D125" i="3"/>
  <c r="C125" i="3"/>
  <c r="F124" i="3"/>
  <c r="E124" i="3"/>
  <c r="D124" i="3"/>
  <c r="C124" i="3"/>
  <c r="L123" i="3"/>
  <c r="K123" i="3"/>
  <c r="J123" i="3"/>
  <c r="F123" i="3"/>
  <c r="E123" i="3"/>
  <c r="D123" i="3"/>
  <c r="C123" i="3"/>
  <c r="J122" i="3"/>
  <c r="F122" i="3"/>
  <c r="E122" i="3"/>
  <c r="D122" i="3"/>
  <c r="C122" i="3"/>
  <c r="J121" i="3"/>
  <c r="F121" i="3"/>
  <c r="E121" i="3"/>
  <c r="D121" i="3"/>
  <c r="C121" i="3"/>
  <c r="J120" i="3"/>
  <c r="F120" i="3"/>
  <c r="E120" i="3"/>
  <c r="D120" i="3"/>
  <c r="C120" i="3"/>
  <c r="F119" i="3"/>
  <c r="E119" i="3"/>
  <c r="D119" i="3"/>
  <c r="C119" i="3"/>
  <c r="J118" i="3"/>
  <c r="F118" i="3"/>
  <c r="E118" i="3"/>
  <c r="D118" i="3"/>
  <c r="C118" i="3"/>
  <c r="L117" i="3"/>
  <c r="L266" i="3" s="1"/>
  <c r="G19" i="4" s="1"/>
  <c r="J117" i="3"/>
  <c r="F117" i="3"/>
  <c r="E117" i="3"/>
  <c r="D117" i="3"/>
  <c r="C117" i="3"/>
  <c r="F116" i="3"/>
  <c r="E116" i="3"/>
  <c r="D116" i="3"/>
  <c r="C116" i="3"/>
  <c r="F115" i="3"/>
  <c r="E115" i="3"/>
  <c r="D115" i="3"/>
  <c r="C115" i="3"/>
  <c r="J114" i="3"/>
  <c r="F114" i="3"/>
  <c r="E114" i="3"/>
  <c r="D114" i="3"/>
  <c r="C114" i="3"/>
  <c r="J113" i="3"/>
  <c r="F113" i="3"/>
  <c r="E113" i="3"/>
  <c r="D113" i="3"/>
  <c r="C113" i="3"/>
  <c r="L112" i="3"/>
  <c r="K112" i="3"/>
  <c r="I112" i="3"/>
  <c r="J112" i="3" s="1"/>
  <c r="F112" i="3"/>
  <c r="E112" i="3"/>
  <c r="D112" i="3"/>
  <c r="C112" i="3"/>
  <c r="L111" i="3"/>
  <c r="K111" i="3"/>
  <c r="J111" i="3"/>
  <c r="I111" i="3" s="1"/>
  <c r="F111" i="3"/>
  <c r="E111" i="3"/>
  <c r="D111" i="3"/>
  <c r="C111" i="3"/>
  <c r="J110" i="3"/>
  <c r="F110" i="3"/>
  <c r="E110" i="3"/>
  <c r="D110" i="3"/>
  <c r="C110" i="3"/>
  <c r="L109" i="3"/>
  <c r="K109" i="3"/>
  <c r="I109" i="3"/>
  <c r="J109" i="3" s="1"/>
  <c r="F109" i="3"/>
  <c r="E109" i="3"/>
  <c r="D109" i="3"/>
  <c r="C109" i="3"/>
  <c r="L108" i="3"/>
  <c r="K108" i="3"/>
  <c r="I108" i="3"/>
  <c r="J108" i="3" s="1"/>
  <c r="F108" i="3"/>
  <c r="E108" i="3"/>
  <c r="D108" i="3"/>
  <c r="C108" i="3"/>
  <c r="F107" i="3"/>
  <c r="E107" i="3"/>
  <c r="D107" i="3"/>
  <c r="C107" i="3"/>
  <c r="F106" i="3"/>
  <c r="E106" i="3"/>
  <c r="D106" i="3"/>
  <c r="C106" i="3"/>
  <c r="F105" i="3"/>
  <c r="E105" i="3"/>
  <c r="D105" i="3"/>
  <c r="C105" i="3"/>
  <c r="F104" i="3"/>
  <c r="E104" i="3"/>
  <c r="D104" i="3"/>
  <c r="C104" i="3"/>
  <c r="J103" i="3"/>
  <c r="J102" i="3"/>
  <c r="L101" i="3"/>
  <c r="K101" i="3"/>
  <c r="J101" i="3"/>
  <c r="I101" i="3" s="1"/>
  <c r="F101" i="3"/>
  <c r="E101" i="3"/>
  <c r="D101" i="3"/>
  <c r="C101" i="3"/>
  <c r="L100" i="3"/>
  <c r="I100" i="3"/>
  <c r="F100" i="3"/>
  <c r="E100" i="3"/>
  <c r="D100" i="3"/>
  <c r="C100" i="3"/>
  <c r="J99" i="3"/>
  <c r="F99" i="3"/>
  <c r="E99" i="3"/>
  <c r="D99" i="3"/>
  <c r="C99" i="3"/>
  <c r="F98" i="3"/>
  <c r="E98" i="3"/>
  <c r="D98" i="3"/>
  <c r="C98" i="3"/>
  <c r="F97" i="3"/>
  <c r="E97" i="3"/>
  <c r="D97" i="3"/>
  <c r="C97" i="3"/>
  <c r="L96" i="3"/>
  <c r="K96" i="3"/>
  <c r="I96" i="3"/>
  <c r="J96" i="3" s="1"/>
  <c r="F96" i="3"/>
  <c r="E96" i="3"/>
  <c r="D96" i="3"/>
  <c r="C96" i="3"/>
  <c r="L95" i="3"/>
  <c r="K95" i="3"/>
  <c r="J95" i="3"/>
  <c r="I95" i="3"/>
  <c r="F95" i="3"/>
  <c r="E95" i="3"/>
  <c r="D95" i="3"/>
  <c r="C95" i="3"/>
  <c r="L94" i="3"/>
  <c r="K94" i="3"/>
  <c r="J94" i="3"/>
  <c r="I94" i="3"/>
  <c r="F94" i="3"/>
  <c r="E94" i="3"/>
  <c r="D94" i="3"/>
  <c r="C94" i="3"/>
  <c r="L93" i="3"/>
  <c r="K93" i="3"/>
  <c r="I93" i="3"/>
  <c r="J93" i="3" s="1"/>
  <c r="F93" i="3"/>
  <c r="E93" i="3"/>
  <c r="D93" i="3"/>
  <c r="C93" i="3"/>
  <c r="L92" i="3"/>
  <c r="K92" i="3"/>
  <c r="I92" i="3"/>
  <c r="I265" i="3" s="1"/>
  <c r="C16" i="4" s="1"/>
  <c r="C17" i="4" s="1"/>
  <c r="F92" i="3"/>
  <c r="E92" i="3"/>
  <c r="D92" i="3"/>
  <c r="C92" i="3"/>
  <c r="M91" i="3"/>
  <c r="L91" i="3"/>
  <c r="K91" i="3"/>
  <c r="I91" i="3"/>
  <c r="J91" i="3" s="1"/>
  <c r="F91" i="3"/>
  <c r="E91" i="3"/>
  <c r="D91" i="3"/>
  <c r="C91" i="3"/>
  <c r="L90" i="3"/>
  <c r="K90" i="3"/>
  <c r="J90" i="3"/>
  <c r="I90" i="3"/>
  <c r="F90" i="3"/>
  <c r="E90" i="3"/>
  <c r="D90" i="3"/>
  <c r="C90" i="3"/>
  <c r="L89" i="3"/>
  <c r="J89" i="3"/>
  <c r="F89" i="3"/>
  <c r="E89" i="3"/>
  <c r="D89" i="3"/>
  <c r="C89" i="3"/>
  <c r="L88" i="3"/>
  <c r="J88" i="3"/>
  <c r="F88" i="3"/>
  <c r="E88" i="3"/>
  <c r="D88" i="3"/>
  <c r="C88" i="3"/>
  <c r="J87" i="3"/>
  <c r="F87" i="3"/>
  <c r="E87" i="3"/>
  <c r="D87" i="3"/>
  <c r="C87" i="3"/>
  <c r="J86" i="3"/>
  <c r="L85" i="3"/>
  <c r="K85" i="3"/>
  <c r="J85" i="3"/>
  <c r="I85" i="3"/>
  <c r="L84" i="3"/>
  <c r="L265" i="3" s="1"/>
  <c r="G16" i="4" s="1"/>
  <c r="K84" i="3"/>
  <c r="I84" i="3"/>
  <c r="J84" i="3" s="1"/>
  <c r="L83" i="3"/>
  <c r="K83" i="3"/>
  <c r="J83" i="3"/>
  <c r="I83" i="3"/>
  <c r="J81" i="3"/>
  <c r="L79" i="3"/>
  <c r="K79" i="3"/>
  <c r="J79" i="3"/>
  <c r="I79" i="3"/>
  <c r="L78" i="3"/>
  <c r="K78" i="3"/>
  <c r="I78" i="3"/>
  <c r="J78" i="3" s="1"/>
  <c r="F78" i="3"/>
  <c r="L77" i="3"/>
  <c r="K77" i="3"/>
  <c r="I77" i="3"/>
  <c r="J77" i="3" s="1"/>
  <c r="J76" i="3"/>
  <c r="L75" i="3"/>
  <c r="K75" i="3"/>
  <c r="I75" i="3"/>
  <c r="J75" i="3" s="1"/>
  <c r="J74" i="3"/>
  <c r="M72" i="3"/>
  <c r="M265" i="3" s="1"/>
  <c r="H16" i="4" s="1"/>
  <c r="H17" i="4" s="1"/>
  <c r="K72" i="3"/>
  <c r="K265" i="3" s="1"/>
  <c r="E16" i="4" s="1"/>
  <c r="J72" i="3"/>
  <c r="I72" i="3"/>
  <c r="F72" i="3"/>
  <c r="K71" i="3"/>
  <c r="J71" i="3"/>
  <c r="J70" i="3"/>
  <c r="J69" i="3"/>
  <c r="J68" i="3"/>
  <c r="J67" i="3"/>
  <c r="J63" i="3"/>
  <c r="K62" i="3"/>
  <c r="L59" i="3"/>
  <c r="K59" i="3"/>
  <c r="J59" i="3"/>
  <c r="L57" i="3"/>
  <c r="J57" i="3"/>
  <c r="L56" i="3"/>
  <c r="J56" i="3"/>
  <c r="L55" i="3"/>
  <c r="K55" i="3"/>
  <c r="I55" i="3"/>
  <c r="J55" i="3" s="1"/>
  <c r="L54" i="3"/>
  <c r="K54" i="3"/>
  <c r="J54" i="3"/>
  <c r="I54" i="3"/>
  <c r="K53" i="3"/>
  <c r="J53" i="3"/>
  <c r="L52" i="3"/>
  <c r="K52" i="3"/>
  <c r="J52" i="3"/>
  <c r="I51" i="3"/>
  <c r="J51" i="3" s="1"/>
  <c r="J50" i="3"/>
  <c r="L49" i="3"/>
  <c r="K49" i="3"/>
  <c r="J49" i="3"/>
  <c r="I49" i="3"/>
  <c r="L48" i="3"/>
  <c r="K48" i="3"/>
  <c r="J48" i="3"/>
  <c r="I48" i="3"/>
  <c r="I47" i="3"/>
  <c r="J47" i="3" s="1"/>
  <c r="J259" i="3" s="1"/>
  <c r="L46" i="3"/>
  <c r="K46" i="3"/>
  <c r="J46" i="3"/>
  <c r="I46" i="3"/>
  <c r="I45" i="3"/>
  <c r="J45" i="3" s="1"/>
  <c r="L44" i="3"/>
  <c r="K44" i="3"/>
  <c r="J44" i="3"/>
  <c r="I44" i="3"/>
  <c r="K43" i="3"/>
  <c r="K42" i="3"/>
  <c r="J41" i="3"/>
  <c r="L40" i="3"/>
  <c r="K40" i="3"/>
  <c r="J40" i="3"/>
  <c r="I40" i="3"/>
  <c r="I262" i="3" s="1"/>
  <c r="C26" i="4" s="1"/>
  <c r="J39" i="3"/>
  <c r="L38" i="3"/>
  <c r="K38" i="3"/>
  <c r="J38" i="3"/>
  <c r="I38" i="3"/>
  <c r="J37" i="3"/>
  <c r="J36" i="3"/>
  <c r="J35" i="3"/>
  <c r="L34" i="3"/>
  <c r="K34" i="3"/>
  <c r="J34" i="3"/>
  <c r="L33" i="3"/>
  <c r="L262" i="3" s="1"/>
  <c r="G26" i="4" s="1"/>
  <c r="G27" i="4" s="1"/>
  <c r="K33" i="3"/>
  <c r="J33" i="3"/>
  <c r="J32" i="3"/>
  <c r="J31" i="3"/>
  <c r="K30" i="3"/>
  <c r="K262" i="3" s="1"/>
  <c r="E26" i="4" s="1"/>
  <c r="J30" i="3"/>
  <c r="J29" i="3"/>
  <c r="L28" i="3"/>
  <c r="L260" i="3" s="1"/>
  <c r="G9" i="4" s="1"/>
  <c r="G10" i="4" s="1"/>
  <c r="K28" i="3"/>
  <c r="K260" i="3" s="1"/>
  <c r="E9" i="4" s="1"/>
  <c r="E10" i="4" s="1"/>
  <c r="J28" i="3"/>
  <c r="L27" i="3"/>
  <c r="J27" i="3"/>
  <c r="I26" i="3"/>
  <c r="J26" i="3" s="1"/>
  <c r="I25" i="3"/>
  <c r="J25" i="3" s="1"/>
  <c r="J260" i="3" s="1"/>
  <c r="J24" i="3"/>
  <c r="J23" i="3"/>
  <c r="J22" i="3"/>
  <c r="J21" i="3"/>
  <c r="J20" i="3"/>
  <c r="J19" i="3"/>
  <c r="J18" i="3"/>
  <c r="J262" i="3" s="1"/>
  <c r="J17" i="3"/>
  <c r="J16" i="3"/>
  <c r="J15" i="3"/>
  <c r="J14" i="3"/>
  <c r="J13" i="3"/>
  <c r="J12" i="3"/>
  <c r="J11" i="3"/>
  <c r="J10" i="3"/>
  <c r="J266" i="3" s="1"/>
  <c r="J9" i="3"/>
  <c r="J8" i="3"/>
  <c r="J7" i="3"/>
  <c r="J6" i="3"/>
  <c r="J5" i="3"/>
  <c r="J4" i="3"/>
  <c r="J3" i="3"/>
  <c r="J2" i="3"/>
  <c r="C278" i="1"/>
  <c r="L277" i="1"/>
  <c r="G277" i="1"/>
  <c r="G278" i="1" s="1"/>
  <c r="F277" i="1"/>
  <c r="E277" i="1"/>
  <c r="L276" i="1"/>
  <c r="G276" i="1"/>
  <c r="F276" i="1"/>
  <c r="E276" i="1"/>
  <c r="D276" i="1"/>
  <c r="L275" i="1"/>
  <c r="G275" i="1"/>
  <c r="F275" i="1"/>
  <c r="E275" i="1"/>
  <c r="D275" i="1"/>
  <c r="L274" i="1"/>
  <c r="G274" i="1"/>
  <c r="F274" i="1"/>
  <c r="E274" i="1"/>
  <c r="D274" i="1"/>
  <c r="L273" i="1"/>
  <c r="G273" i="1"/>
  <c r="F273" i="1"/>
  <c r="F278" i="1" s="1"/>
  <c r="E273" i="1"/>
  <c r="E278" i="1" s="1"/>
  <c r="D273" i="1"/>
  <c r="D278" i="1" s="1"/>
  <c r="C20" i="4" l="1"/>
  <c r="E27" i="4"/>
  <c r="J265" i="3"/>
  <c r="G20" i="4"/>
  <c r="J264" i="3"/>
  <c r="E17" i="4"/>
  <c r="G34" i="4"/>
  <c r="G17" i="4"/>
  <c r="C27" i="4"/>
  <c r="J92" i="3"/>
  <c r="I260" i="3"/>
  <c r="C9" i="4" s="1"/>
  <c r="C10" i="4" s="1"/>
  <c r="K264" i="3"/>
  <c r="F33" i="4" s="1"/>
  <c r="F34" i="4" s="1"/>
  <c r="J231" i="3"/>
</calcChain>
</file>

<file path=xl/comments1.xml><?xml version="1.0" encoding="utf-8"?>
<comments xmlns="http://schemas.openxmlformats.org/spreadsheetml/2006/main">
  <authors>
    <author/>
  </authors>
  <commentList>
    <comment ref="D1" authorId="0" shapeId="0">
      <text>
        <r>
          <rPr>
            <sz val="8"/>
            <rFont val="Tahoma"/>
          </rPr>
          <t>ducnc7:
- Nhóm các server cùng loại được cấp trên các Compute khác nhau để đảm bảo dự phòng 
- VD: app, database,...</t>
        </r>
      </text>
    </comment>
    <comment ref="H1" authorId="0" shapeId="0">
      <text>
        <r>
          <rPr>
            <sz val="8"/>
            <rFont val="Tahoma"/>
          </rPr>
          <t xml:space="preserve">- Chọn image cấp phát tương ứng với Cloud
- Lưu ý: Cấp trên Ceph sử dụng image _CEPH, cấp trên SAN sử dụng image: _SAN, nếu Cloud nào image không có đuôi: _CEPH hoặc _SAN thì chọn image bình thường </t>
        </r>
      </text>
    </comment>
    <comment ref="P1" authorId="0" shapeId="0">
      <text>
        <r>
          <rPr>
            <sz val="8"/>
            <rFont val="Tahoma"/>
          </rPr>
          <t>trangtth22:
Limit network default =1
Nếu muốn unlimit network để 0</t>
        </r>
      </text>
    </comment>
    <comment ref="Q1" authorId="0" shapeId="0">
      <text>
        <r>
          <rPr>
            <sz val="8"/>
            <rFont val="Tahoma"/>
          </rPr>
          <t xml:space="preserve">trangtth22:
Default gateway server 
Bắt buộc </t>
        </r>
      </text>
    </comment>
    <comment ref="R1" authorId="0" shapeId="0">
      <text>
        <r>
          <rPr>
            <sz val="8"/>
            <rFont val="Tahoma"/>
          </rPr>
          <t xml:space="preserve">ducnc7:
Trung tâm VHKTTC có cầm account root hay không ? </t>
        </r>
      </text>
    </comment>
    <comment ref="S1" authorId="0" shapeId="0">
      <text>
        <r>
          <rPr>
            <sz val="8"/>
            <rFont val="Tahoma"/>
          </rPr>
          <t>Thông tin người quản trị server 
(Nhập thông tin với tên login SSO , đảm bảo user có account của PM: DCIM, SIRC)</t>
        </r>
      </text>
    </comment>
    <comment ref="T1" authorId="0" shapeId="0">
      <text>
        <r>
          <rPr>
            <sz val="8"/>
            <rFont val="Tahoma"/>
          </rPr>
          <t xml:space="preserve">trangtth22:
File route cho server có nhiều IP </t>
        </r>
      </text>
    </comment>
    <comment ref="U1" authorId="0" shapeId="0">
      <text>
        <r>
          <rPr>
            <sz val="8"/>
            <rFont val="Tahoma"/>
          </rPr>
          <t xml:space="preserve">trangtth22:
Mỗi package 1 dòng </t>
        </r>
      </text>
    </comment>
    <comment ref="V1" authorId="0" shapeId="0">
      <text>
        <r>
          <rPr>
            <sz val="8"/>
            <rFont val="Tahoma"/>
          </rPr>
          <t xml:space="preserve">Enable giám sát Prometheus cho server – Yes
Không đưa lên GS Prom - No </t>
        </r>
      </text>
    </comment>
    <comment ref="W1" authorId="0" shapeId="0">
      <text>
        <r>
          <rPr>
            <sz val="8"/>
            <rFont val="Tahoma"/>
          </rPr>
          <t xml:space="preserve">trangtth22:
Đầu môi dịch vụ </t>
        </r>
      </text>
    </comment>
    <comment ref="F2" authorId="0" shapeId="0">
      <text>
        <r>
          <rPr>
            <sz val="8"/>
            <rFont val="Tahoma"/>
          </rPr>
          <t>ducnc7:
Khai báo cả subnetmask</t>
        </r>
      </text>
    </comment>
    <comment ref="G2" authorId="0" shapeId="0">
      <text>
        <r>
          <rPr>
            <sz val="8"/>
            <rFont val="Tahoma"/>
          </rPr>
          <t>ducnc7:
Mỗi IP một dòng</t>
        </r>
      </text>
    </comment>
    <comment ref="K2" authorId="0" shapeId="0">
      <text>
        <r>
          <rPr>
            <sz val="8"/>
            <rFont val="Tahoma"/>
          </rPr>
          <t xml:space="preserve">ducnc7:
- Ghi rõ dung lượng của phân vùng cài đặt OS
- Đơn vị tính GB </t>
        </r>
      </text>
    </comment>
    <comment ref="L2" authorId="0" shapeId="0">
      <text>
        <r>
          <rPr>
            <sz val="8"/>
            <rFont val="Tahoma"/>
          </rPr>
          <t xml:space="preserve">ducnc7:
ducnc7:
- Ghi rõ dung lượng của phân vùng dữ liệu theo format mountpoint: dungluong
- Mỗi phân vùng một dòng
- Đơn vị tính GB </t>
        </r>
      </text>
    </comment>
    <comment ref="M2" authorId="0" shapeId="0">
      <text>
        <r>
          <rPr>
            <sz val="8"/>
            <rFont val="Tahoma"/>
          </rPr>
          <t xml:space="preserve">ducnc7:
- Ghi rõ dung lượng NAS cần cấp phát nếu cần 
- Đơn vị tính GB </t>
        </r>
      </text>
    </comment>
  </commentList>
</comments>
</file>

<file path=xl/sharedStrings.xml><?xml version="1.0" encoding="utf-8"?>
<sst xmlns="http://schemas.openxmlformats.org/spreadsheetml/2006/main" count="51100" uniqueCount="8827">
  <si>
    <t>STT</t>
  </si>
  <si>
    <t>Mã PYC</t>
  </si>
  <si>
    <t>Đơn vị</t>
  </si>
  <si>
    <t>Đầu mối tạo PYC</t>
  </si>
  <si>
    <t>Đầu mối xử lý</t>
  </si>
  <si>
    <t>Trạng thái</t>
  </si>
  <si>
    <t>Thời điểm đẩy yêu cầu</t>
  </si>
  <si>
    <t>Thời gian hoàn thành theo KPI</t>
  </si>
  <si>
    <t>Thời gian hoàn thành ký PNX và đóng y/c</t>
  </si>
  <si>
    <t>Chất lượng sizing
(false)</t>
  </si>
  <si>
    <t>Số lần sizing qua mail</t>
  </si>
  <si>
    <t>Thời gian ký bản chốt sizing</t>
  </si>
  <si>
    <t>Tên dự án - Mục đích sizing</t>
  </si>
  <si>
    <t>Ghi chú</t>
  </si>
  <si>
    <t>sonht2</t>
  </si>
  <si>
    <t>tannph</t>
  </si>
  <si>
    <t>Hoàn thành</t>
  </si>
  <si>
    <t>Logkpi TV360</t>
  </si>
  <si>
    <t>hungnn27</t>
  </si>
  <si>
    <t>backend TV360</t>
  </si>
  <si>
    <t>anhnt576</t>
  </si>
  <si>
    <t>CCAI API</t>
  </si>
  <si>
    <t>tuyenpv9</t>
  </si>
  <si>
    <t>VoiceBrandname</t>
  </si>
  <si>
    <t>Dungha7</t>
  </si>
  <si>
    <t>ductn</t>
  </si>
  <si>
    <t>sizing CCAI giai đoạn 2</t>
  </si>
  <si>
    <t>quanhh3</t>
  </si>
  <si>
    <t>hieuhv13</t>
  </si>
  <si>
    <t>sizing hệ thống Payment 2</t>
  </si>
  <si>
    <t>hungd</t>
  </si>
  <si>
    <t>Thẩm định sizing Voice Brandname (bổ sung vaspgw_cdr và vaspgw_log)</t>
  </si>
  <si>
    <t>Thẩm định sizing Voice Brandname (bổ sung vaspgw)</t>
  </si>
  <si>
    <t>tamdtt1</t>
  </si>
  <si>
    <t>Thẩm Định lại Sizing Kafka (Vtracking)</t>
  </si>
  <si>
    <t>chinh3</t>
  </si>
  <si>
    <t>Thẩm định tài liệu định cỡ tài nguyên Quầy dịch vụ viễn thông tự động</t>
  </si>
  <si>
    <t>tiendd</t>
  </si>
  <si>
    <t>Sizing hệ thống TMS VHT</t>
  </si>
  <si>
    <t>Thẩm định sizing hệ thống Camera giám sát</t>
  </si>
  <si>
    <t>trangtth11</t>
  </si>
  <si>
    <t>Thẩm định sizing hệ thống vHealth</t>
  </si>
  <si>
    <t>hoangld2</t>
  </si>
  <si>
    <t>Thẩm định sizing hệ thống Vtracking ban xe</t>
  </si>
  <si>
    <t>vinhtq18</t>
  </si>
  <si>
    <t>Anhld55</t>
  </si>
  <si>
    <t>triển khai hệ thống tdvt</t>
  </si>
  <si>
    <t xml:space="preserve"> Sizing tách ứng dụng và database hệ thống Voice brandname</t>
  </si>
  <si>
    <t>Sizing hệ thống Camera giám sát _T3</t>
  </si>
  <si>
    <t>duongvx</t>
  </si>
  <si>
    <t>Kinh doanh hệ thống quản lý thuê bao IoT CMP VHT</t>
  </si>
  <si>
    <t>hungpm6</t>
  </si>
  <si>
    <t>Hieuhv13</t>
  </si>
  <si>
    <t>Thẩm định sizing hệ thống test ipcc 1.0</t>
  </si>
  <si>
    <t>hainv71</t>
  </si>
  <si>
    <t>Sizing bổ sung NAS hệ thống Hóa đơn điện tử phần lưu trữ k8s</t>
  </si>
  <si>
    <t>Cung cấp hệ thống quản lý thuê bao IoT cho Khách hàng</t>
  </si>
  <si>
    <t>4175442</t>
  </si>
  <si>
    <t>dattht</t>
  </si>
  <si>
    <t xml:space="preserve">Thẩm định sizing dự án vcontract nâng cấp bổ sung phương án kinh doanh mới
</t>
  </si>
  <si>
    <t xml:space="preserve">Thẩm định sizing dự án hệ thống quản lý thuê bao IoT_CMP của VHT
</t>
  </si>
  <si>
    <t xml:space="preserve">Thẩm định sizing định cỡ trái tim cho em
</t>
  </si>
  <si>
    <t>sizing hệ thống ussd199/pay199</t>
  </si>
  <si>
    <t>Trao đổi qua điện thoại</t>
  </si>
  <si>
    <t>Trao đôi trực tiếp</t>
  </si>
  <si>
    <t>Sizing log, backup DB HDDT</t>
  </si>
  <si>
    <t>thund1</t>
  </si>
  <si>
    <t>PYC Sizing của vTracking 2.0</t>
  </si>
  <si>
    <t>Thẩm định sizing phân hệ Dagoras ARPU</t>
  </si>
  <si>
    <t>Thẩm định sizing dự án vcontract  phương án kinh doanh nội bộ</t>
  </si>
  <si>
    <t>hienlt15</t>
  </si>
  <si>
    <t>Thẩm định sizing hệ thống hóa đơn điện tử : database truyền nhận lần 4</t>
  </si>
  <si>
    <t>ngoctv1</t>
  </si>
  <si>
    <t>Sizing Bổ sung phần lưu trữ backup và cụm XDR cho db Aerospike của myviettel</t>
  </si>
  <si>
    <t>hieund28</t>
  </si>
  <si>
    <t>Thẩm định Sizing hệ thống RATING</t>
  </si>
  <si>
    <t>soncn2</t>
  </si>
  <si>
    <t>Hỗ trợ thẩm định sizing môi trường test hệ thống Roaming 2.0</t>
  </si>
  <si>
    <t>tuyenvm</t>
  </si>
  <si>
    <t>sizing hệ thống BCCS_CA chuyển đổi K8s (Hệ thống TEST)</t>
  </si>
  <si>
    <t>Thẩm định tài liệu định cỡ tài nguyên lưu trữ hệ thống QLSX VTT mới</t>
  </si>
  <si>
    <t>TUYENVM</t>
  </si>
  <si>
    <t>PYC sizing hệ thống BCCS_CA chuyển đổi K8s (Hệ thống TEST) lần 2</t>
  </si>
  <si>
    <t>PYC-743</t>
  </si>
  <si>
    <t>hoangnt21</t>
  </si>
  <si>
    <t>Thẩm định sizing để xin bổ sung tài nguyên cho HTĐS Trong nước tránh cao tải CPU, RAM</t>
  </si>
  <si>
    <t>kientt6</t>
  </si>
  <si>
    <t>13/09/2023</t>
  </si>
  <si>
    <t>PYC thẩm định sizing bổ sung cho hệ thống Callbot (đã ký).</t>
  </si>
  <si>
    <t>Thời gian thực hiện thay đổi do đội dự án điền sai loại yêu cầu</t>
  </si>
  <si>
    <t>15/09/2023</t>
  </si>
  <si>
    <t>19/09/2023</t>
  </si>
  <si>
    <t>Thẩm định sizing Backend TV360 toàn cầu</t>
  </si>
  <si>
    <t>22/09/2023</t>
  </si>
  <si>
    <t>26/09/2023</t>
  </si>
  <si>
    <t>PYC sizing hệ thống BCCS_CA chuyển đổi K8s (Hệ thống TEST)</t>
  </si>
  <si>
    <t>Thẩm định sizing Backend TV360 toàn cầu lan 2</t>
  </si>
  <si>
    <t>PYC-3146</t>
  </si>
  <si>
    <t>tiendc</t>
  </si>
  <si>
    <t>13/10/2023</t>
  </si>
  <si>
    <t>Đánh giá sizing FTP server hệ thống Quản lý hồ sơ</t>
  </si>
  <si>
    <t>PYC-3240</t>
  </si>
  <si>
    <t>17/10/2023</t>
  </si>
  <si>
    <t>16/10/2023</t>
  </si>
  <si>
    <t>DAC][FMRA] Đánh giá sizing cho hệ thống RATING</t>
  </si>
  <si>
    <t>PYC-3585</t>
  </si>
  <si>
    <t>hoabv8</t>
  </si>
  <si>
    <t>20/10/2023</t>
  </si>
  <si>
    <t>24/10/2023</t>
  </si>
  <si>
    <t>Thẩm định sizing để xin bổ sung tài nguyên cho SmartMotor</t>
  </si>
  <si>
    <t>Mail</t>
  </si>
  <si>
    <t>khanhnn25</t>
  </si>
  <si>
    <t>23/10/2023</t>
  </si>
  <si>
    <t>25/10/2023</t>
  </si>
  <si>
    <t>Sizing hệ thống Viettel safe platform</t>
  </si>
  <si>
    <t>PYC-3910</t>
  </si>
  <si>
    <t>tamddt1</t>
  </si>
  <si>
    <t>27/10/2023</t>
  </si>
  <si>
    <t>THẩm định sizing Camera JF bổ sung tài nguyên</t>
  </si>
  <si>
    <t>PYC-4002</t>
  </si>
  <si>
    <t>31/10/2023</t>
  </si>
  <si>
    <t>Review Sizing hệ thống Roaming 2.0 Product</t>
  </si>
  <si>
    <t>PYC-4082</t>
  </si>
  <si>
    <t>hainn31</t>
  </si>
  <si>
    <t>Đánh giá sizing cho hệ thống Mediation</t>
  </si>
  <si>
    <t>PYC-10656</t>
  </si>
  <si>
    <t>thongnv31</t>
  </si>
  <si>
    <t>THẩm định sizing Vtracking Nội bộ</t>
  </si>
  <si>
    <t>PYC-4629</t>
  </si>
  <si>
    <t>thaind4</t>
  </si>
  <si>
    <t>Thẩm định sizing, cấp phát tài nguyên IPCC 2.0 phân hệ videocall của TTDVKH VTT</t>
  </si>
  <si>
    <t>PYC-4808</t>
  </si>
  <si>
    <t>khanhdn1</t>
  </si>
  <si>
    <t>Thẩm định sizing hệ thống TMS v6</t>
  </si>
  <si>
    <t>PYC-4244</t>
  </si>
  <si>
    <t>hoppv3</t>
  </si>
  <si>
    <t>14/11/2023</t>
  </si>
  <si>
    <t>13/11/2023</t>
  </si>
  <si>
    <t>29/12/2023</t>
  </si>
  <si>
    <t>Thẩm định Sizing hệ thống Quản lý khách hàng-xử lý cảnh báo rủi ro</t>
  </si>
  <si>
    <t>PYC-4954</t>
  </si>
  <si>
    <t>30/8/2024</t>
  </si>
  <si>
    <t>Thẩm định sizing để xin bổ sung tài nguyên cho SmartMotor lần 2</t>
  </si>
  <si>
    <t>PYC-5252</t>
  </si>
  <si>
    <t>15/11/2023</t>
  </si>
  <si>
    <t>17/11/2023</t>
  </si>
  <si>
    <t>16/11/2023</t>
  </si>
  <si>
    <t>Thẩm định sizing, cấp phát tài nguyên IPCC 2.0 phân hệ videocall của TTDVKH VTT lần 2</t>
  </si>
  <si>
    <t>PYC-5300</t>
  </si>
  <si>
    <t>thaolt34</t>
  </si>
  <si>
    <t>Đánh giá sizing cho hệ thống Mediation Đối Soát MSC</t>
  </si>
  <si>
    <t>PYC-5310</t>
  </si>
  <si>
    <t>minhca</t>
  </si>
  <si>
    <t>Thẩm định sizing cho hệ thống MyLife</t>
  </si>
  <si>
    <t>PYC-5892</t>
  </si>
  <si>
    <t>24/11/2023</t>
  </si>
  <si>
    <t>28/11/2023</t>
  </si>
  <si>
    <t>27/11/2023</t>
  </si>
  <si>
    <t>Đánh giá Sizing tăng tải cho phân hệ WEB BCCS_CM_CA</t>
  </si>
  <si>
    <t>PYC-5913</t>
  </si>
  <si>
    <t>hanq1</t>
  </si>
  <si>
    <t>MappingGW/Ví Doanh nghiệp - Bổ sung storage cho hệ thống</t>
  </si>
  <si>
    <t>PYC-6254</t>
  </si>
  <si>
    <t>tamdttt1</t>
  </si>
  <si>
    <t>29/11/2023</t>
  </si>
  <si>
    <t>AI Home Camera - Xin cấp server</t>
  </si>
  <si>
    <t>bypass sizing để POC 6 tháng</t>
  </si>
  <si>
    <t>PYC-6448</t>
  </si>
  <si>
    <t>phund2</t>
  </si>
  <si>
    <t xml:space="preserve">Videocall - </t>
  </si>
  <si>
    <t>PYC-6451</t>
  </si>
  <si>
    <t xml:space="preserve"> </t>
  </si>
  <si>
    <t>BCCS_CM_CA - Phục vụ QHĐC 2024-2025</t>
  </si>
  <si>
    <t>PYC-6825</t>
  </si>
  <si>
    <t>tungct</t>
  </si>
  <si>
    <t>Định cỡ Module AI digital Human Gateway phục vụ truyền thông và trải nghiệm</t>
  </si>
  <si>
    <t>bypass phục vụ sự kiện MWC</t>
  </si>
  <si>
    <t>PYC-7045</t>
  </si>
  <si>
    <t>15/12/2023</t>
  </si>
  <si>
    <t>Nâng cấp tài nguyên Hóa đơn điện tử phục vụ cao điểm kinh doanh hóa đơn xăng dầu</t>
  </si>
  <si>
    <t>Đơn vị chưa gửi file văn bản sizing</t>
  </si>
  <si>
    <t>PYC-7061</t>
  </si>
  <si>
    <t>GPDVS</t>
  </si>
  <si>
    <t>24/1/2024</t>
  </si>
  <si>
    <t>thẩm định sizing TV360 backend và kho video</t>
  </si>
  <si>
    <t>PYC-7062</t>
  </si>
  <si>
    <t>thẩm định sizing TV360 TMS</t>
  </si>
  <si>
    <t>PYC-7152</t>
  </si>
  <si>
    <t>BSS</t>
  </si>
  <si>
    <t>phucth20</t>
  </si>
  <si>
    <t>14/12/2023</t>
  </si>
  <si>
    <t>18/12/2023</t>
  </si>
  <si>
    <t>Thẩm định sizing Module Kafka và CampaignConsumer cho hệ thống Happycall</t>
  </si>
  <si>
    <t>PYC-7269</t>
  </si>
  <si>
    <t>20/12/2023</t>
  </si>
  <si>
    <t>19/12/2023</t>
  </si>
  <si>
    <t>thẩm định hệ thống BADO</t>
  </si>
  <si>
    <t>PYC-7457</t>
  </si>
  <si>
    <t>cntt_ductn</t>
  </si>
  <si>
    <t>21/12/2023</t>
  </si>
  <si>
    <t>22/12/2023</t>
  </si>
  <si>
    <t>thẩm định hệ thống Chặn nợ cước định kỳ</t>
  </si>
  <si>
    <t>PYC-7882</t>
  </si>
  <si>
    <t>VAS</t>
  </si>
  <si>
    <t>kiennv8</t>
  </si>
  <si>
    <t>26/12/2023</t>
  </si>
  <si>
    <t>27/12/2023</t>
  </si>
  <si>
    <t>thẩm định sizing Storage cho hệ thống Lifebox</t>
  </si>
  <si>
    <t>PYC-7876</t>
  </si>
  <si>
    <t>thẩm định sizing nhu cầu Storage Object 2024 cho các dịch vụ Video VAS</t>
  </si>
  <si>
    <t>PYC-8223</t>
  </si>
  <si>
    <t>PYC thẩm định sizing nhu cầu CDN 2024 cho các dịch vụ Video VAS</t>
  </si>
  <si>
    <t>PYC-8059</t>
  </si>
  <si>
    <t>thanhtt69</t>
  </si>
  <si>
    <t>khanhnd23</t>
  </si>
  <si>
    <t>sizing DB Mysign</t>
  </si>
  <si>
    <t>PYC-8289</t>
  </si>
  <si>
    <t>Thẩm định Nâng cấp tài nguyên Hóa đơn điện tử phục vụ cao điểm kinh doanh hóa đơn xăng dầu</t>
  </si>
  <si>
    <t>PYC-8562</t>
  </si>
  <si>
    <t>vanha1</t>
  </si>
  <si>
    <t>Thẩm định sizing để xin bổ sung tài nguyên cho VIETTEL++</t>
  </si>
  <si>
    <t>PYC-8724</t>
  </si>
  <si>
    <t>sizing cho hệ thống MyLife-clone-lần 2</t>
  </si>
  <si>
    <t>PYC-8964</t>
  </si>
  <si>
    <t>giangnt109</t>
  </si>
  <si>
    <t xml:space="preserve"> Sizing hệ thống Campaign Management bổ sung</t>
  </si>
  <si>
    <t>PYC-9185</t>
  </si>
  <si>
    <t>anhtt67</t>
  </si>
  <si>
    <t>15/1/2024</t>
  </si>
  <si>
    <t>Sizing hệ thống My Safe</t>
  </si>
  <si>
    <t>PYC-10448</t>
  </si>
  <si>
    <t>dungdt60</t>
  </si>
  <si>
    <t>31/1/2024</t>
  </si>
  <si>
    <t>21/2/2024</t>
  </si>
  <si>
    <t>sizing hệ thống Mobile-CA</t>
  </si>
  <si>
    <t>PYC-9367</t>
  </si>
  <si>
    <t>DAC</t>
  </si>
  <si>
    <t>quannv28</t>
  </si>
  <si>
    <t>16/1/2024</t>
  </si>
  <si>
    <t>18/1/2024</t>
  </si>
  <si>
    <t>sizing 2 server public phục vụ TK hệ thống báo cáo cho Ban TGĐ</t>
  </si>
  <si>
    <t>PYC-9404</t>
  </si>
  <si>
    <t>DVTH</t>
  </si>
  <si>
    <t>trungnt21</t>
  </si>
  <si>
    <t>22/1/2024</t>
  </si>
  <si>
    <t>sizing Storage S3 (Cloud Storage) cho TV360 năm 2024</t>
  </si>
  <si>
    <t>PYC-10145</t>
  </si>
  <si>
    <t>25/1/2024</t>
  </si>
  <si>
    <t>29/1/2024</t>
  </si>
  <si>
    <t>Sizing hệ thống Gửi thông báo cước</t>
  </si>
  <si>
    <t>PYC-10206</t>
  </si>
  <si>
    <t>26/1/2024</t>
  </si>
  <si>
    <t>30/1/2024</t>
  </si>
  <si>
    <t>Sizing hệ thống Mediation tập trung</t>
  </si>
  <si>
    <t>PYC-10207</t>
  </si>
  <si>
    <t>Sizing hệ thống ImportDS bổ sung backdate 2021</t>
  </si>
  <si>
    <t>PYC-10208</t>
  </si>
  <si>
    <t>Sizing hệ thống ĐS VAS Mobile : MariaDB</t>
  </si>
  <si>
    <t>PYC-10371</t>
  </si>
  <si>
    <t>22/2/2024</t>
  </si>
  <si>
    <t xml:space="preserve"> sizing ĐỊNH CỠ HỆ THỐNG VBHXH MySign</t>
  </si>
  <si>
    <t>PYC-10792</t>
  </si>
  <si>
    <t>anhld55</t>
  </si>
  <si>
    <t>16/2/2024</t>
  </si>
  <si>
    <t>15/3/2024</t>
  </si>
  <si>
    <t>Sizing bổ sung tài nguyên hệ thống smsbrandname cho rủi ro RISK_20231208_37706</t>
  </si>
  <si>
    <t>PYC-10923</t>
  </si>
  <si>
    <t>20/2/2024</t>
  </si>
  <si>
    <t>19/2/2024</t>
  </si>
  <si>
    <t>sizing ĐỊNH CỠ HỆ THỐNG Cloud CA</t>
  </si>
  <si>
    <t>PYC-11030</t>
  </si>
  <si>
    <t>anhvt105</t>
  </si>
  <si>
    <t>Yêu cầu cấp phát server VTT-Analytic</t>
  </si>
  <si>
    <t>PYC-11236</t>
  </si>
  <si>
    <t>23/2/2024</t>
  </si>
  <si>
    <t>26/2/2024</t>
  </si>
  <si>
    <t>Sizing hệ thống ĐSQT : MariaDB</t>
  </si>
  <si>
    <t>PYC-11304</t>
  </si>
  <si>
    <t>thẩm định sizing TV360 NMS STB</t>
  </si>
  <si>
    <t>PYC-11971</t>
  </si>
  <si>
    <t xml:space="preserve"> sizing cụm server do VTM bàn giao</t>
  </si>
  <si>
    <t>quá thời gian sizing, đội dự án tạo PYC-14875 thay thế</t>
  </si>
  <si>
    <t>PYC-12042</t>
  </si>
  <si>
    <t>binhvd7</t>
  </si>
  <si>
    <t>sizing DB Oracle Server tách khỏi cụm Datalake_Viettel Report</t>
  </si>
  <si>
    <t>PYC-12156</t>
  </si>
  <si>
    <t>binhnn7</t>
  </si>
  <si>
    <t>21/3/2024</t>
  </si>
  <si>
    <t xml:space="preserve"> sizing Face Search</t>
  </si>
  <si>
    <t>bypass</t>
  </si>
  <si>
    <t>PYC-12313</t>
  </si>
  <si>
    <t>13/3/2024</t>
  </si>
  <si>
    <t>24/4/2024</t>
  </si>
  <si>
    <t>Sizing ứng cứu tài nguyên hệ thống Roaming 1.0</t>
  </si>
  <si>
    <t>PYC-11912</t>
  </si>
  <si>
    <t>linhnh35</t>
  </si>
  <si>
    <t xml:space="preserve">Sizing thông tin mở kết nối ftp smsbrandname cho PYC-11853 </t>
  </si>
  <si>
    <t>PYC-12423</t>
  </si>
  <si>
    <t>longhv15</t>
  </si>
  <si>
    <t>25/4/2024</t>
  </si>
  <si>
    <t xml:space="preserve"> sizing cụm server My Viettel recommend &amp; AI system</t>
  </si>
  <si>
    <t>PYC-12549</t>
  </si>
  <si>
    <t>huync2</t>
  </si>
  <si>
    <t>14/3/2024</t>
  </si>
  <si>
    <t>sizing định kỳ hệ thống minigame</t>
  </si>
  <si>
    <t>PYC-12718</t>
  </si>
  <si>
    <t>18/3/2024</t>
  </si>
  <si>
    <t>sizing cụm server do VTM bàn giao 2</t>
  </si>
  <si>
    <t>PYC-12720</t>
  </si>
  <si>
    <t>kiennt9</t>
  </si>
  <si>
    <t>sizing bổ sung thêm phân vùng /backup của DB dịch vụ VDA</t>
  </si>
  <si>
    <t>PYC-13038</t>
  </si>
  <si>
    <t>19/3/2024</t>
  </si>
  <si>
    <t>20/3/2024</t>
  </si>
  <si>
    <t>25/3/2024</t>
  </si>
  <si>
    <t>sizing Cung cấp tài nguyên hệ thống giám sát tập trung VTT Prometheus</t>
  </si>
  <si>
    <t xml:space="preserve"> PYC-13053</t>
  </si>
  <si>
    <t>tinhnx</t>
  </si>
  <si>
    <t>Sizing  cấp phát tài nguyên cho Hệ thống Quản lý Viettel Consent</t>
  </si>
  <si>
    <t>PYC-13397</t>
  </si>
  <si>
    <t>27/3/2024</t>
  </si>
  <si>
    <t>26/3/2024</t>
  </si>
  <si>
    <t>22/4/2024</t>
  </si>
  <si>
    <t>sizing xin cấp tài nguyên triển khai lưu trữ hồ sơ storage S3</t>
  </si>
  <si>
    <t>PYC-13464</t>
  </si>
  <si>
    <t>tungnp2</t>
  </si>
  <si>
    <t>28/3/2024</t>
  </si>
  <si>
    <t>sizing định kỳ hệ thống MyViettel K8s</t>
  </si>
  <si>
    <t>PYC-13515</t>
  </si>
  <si>
    <t>29/3/2024</t>
  </si>
  <si>
    <t> sizing hệ thống Mobile-CA bổ sung HDD cho hạ tầng</t>
  </si>
  <si>
    <t>đóng Jira ticket do nội dung trùng với PYC-10448</t>
  </si>
  <si>
    <t>PYC-13709</t>
  </si>
  <si>
    <t>tuta8</t>
  </si>
  <si>
    <t>30/5/2024</t>
  </si>
  <si>
    <t> sizng hệ thống Smart home</t>
  </si>
  <si>
    <t>PYC-13900</t>
  </si>
  <si>
    <t>hệ thống Pay199 xử lý rủi ro RISK_20230420_32435_PAY199</t>
  </si>
  <si>
    <t>PYC-14400</t>
  </si>
  <si>
    <t>sizing cấp phát tài nguyên triển khai hệ thống Roaming tập trung</t>
  </si>
  <si>
    <t>PYC-14484</t>
  </si>
  <si>
    <t>sizing Camera JF</t>
  </si>
  <si>
    <t>PYC-14579</t>
  </si>
  <si>
    <t>ducnmis</t>
  </si>
  <si>
    <t>sizing hệ thống mBCCS Video call Stringee</t>
  </si>
  <si>
    <t>PYC-14716</t>
  </si>
  <si>
    <t>thiendv1</t>
  </si>
  <si>
    <t>15/4/2024</t>
  </si>
  <si>
    <t>26/4/2024</t>
  </si>
  <si>
    <t>sizing hệ thống vTracking 2.0 quy mô 100k thuê bao</t>
  </si>
  <si>
    <t>PYC-14875</t>
  </si>
  <si>
    <t>16/4/2024</t>
  </si>
  <si>
    <t>19/4/2024</t>
  </si>
  <si>
    <t>17/4/2024</t>
  </si>
  <si>
    <t>23/4/2024</t>
  </si>
  <si>
    <t>sizing cụm server do VTM bàn giao</t>
  </si>
  <si>
    <t>PYC-14895</t>
  </si>
  <si>
    <t>Sizing mở rộng hệ thống Mykid Masscom theo bài thầu thêm 50K thiết bị</t>
  </si>
  <si>
    <t>PYC-14912</t>
  </si>
  <si>
    <t> sizing tăng tải hệ thống VOICETOTEXT</t>
  </si>
  <si>
    <t>PYC-15063</t>
  </si>
  <si>
    <t>hungnvx</t>
  </si>
  <si>
    <t>server cho AppSealing triển khai bảo mật cho ứng dụng mBCCS, TV360, MyViettel</t>
  </si>
  <si>
    <t>PYC-15271</t>
  </si>
  <si>
    <t>sizing Module Kafka và CampaignConsumer cho hệ thống Happycall</t>
  </si>
  <si>
    <t>PYC-15287</t>
  </si>
  <si>
    <t>sizing tách Redis Server cho hệ thống Isign phục vụ bàn giao VHKT</t>
  </si>
  <si>
    <t>PYC-16136</t>
  </si>
  <si>
    <t>vannx3</t>
  </si>
  <si>
    <t> Sizing bổ sung phân hệ API Gateway cho Hệ thống CampaignManagement</t>
  </si>
  <si>
    <t>PYC-16641</t>
  </si>
  <si>
    <t>cuongcc2</t>
  </si>
  <si>
    <t>13/5/2024</t>
  </si>
  <si>
    <t>22/5/2024</t>
  </si>
  <si>
    <t>Sizing Log tap trung mBCCS_v1</t>
  </si>
  <si>
    <t>bypass sizing</t>
  </si>
  <si>
    <t>PYC-16669</t>
  </si>
  <si>
    <t>Sizing Log tap trung AI chatbot_v1</t>
  </si>
  <si>
    <t>PYC-16812</t>
  </si>
  <si>
    <t>dohv</t>
  </si>
  <si>
    <t>15/5/2024</t>
  </si>
  <si>
    <t> sizing định kỳ hệ thống GBOC K8S</t>
  </si>
  <si>
    <t>PYC-17157</t>
  </si>
  <si>
    <t>17/5/2024</t>
  </si>
  <si>
    <t>21/5/2024</t>
  </si>
  <si>
    <t>24/5/2024</t>
  </si>
  <si>
    <t>29/5/2024</t>
  </si>
  <si>
    <t>sizing bổ sung HDD cho TTONLINE (VASMARKETING) lưu log 03 tháng</t>
  </si>
  <si>
    <t>PYC-17737</t>
  </si>
  <si>
    <t>tuantq4</t>
  </si>
  <si>
    <t>28/4/2024</t>
  </si>
  <si>
    <t>27/5/2024</t>
  </si>
  <si>
    <t> sizing cụm server CCAI ver5</t>
  </si>
  <si>
    <t>PYC-18025</t>
  </si>
  <si>
    <t>24/6/2024</t>
  </si>
  <si>
    <t>Sizing cấp tài nguyên hệ thống máy chủ AppSealing bảo mật app di động MyViettel, TV360, mBCCS</t>
  </si>
  <si>
    <t>PYC-18217</t>
  </si>
  <si>
    <t>hieupv13</t>
  </si>
  <si>
    <t>đánh giá bổ sung tài nguyên cho dịch vụ TSA</t>
  </si>
  <si>
    <t>PYC-18268</t>
  </si>
  <si>
    <t>sizing triển khai hệ thống 5GXR mới trên mạng Viettel</t>
  </si>
  <si>
    <t>PYC-18476</t>
  </si>
  <si>
    <t>cuongnx8</t>
  </si>
  <si>
    <t> sizing hệ thống datasecurity</t>
  </si>
  <si>
    <t>PYC-18496</t>
  </si>
  <si>
    <t>13/6/2024</t>
  </si>
  <si>
    <t>sizing hệ thống Mydio Viettel mới</t>
  </si>
  <si>
    <t xml:space="preserve"> bypass sizing, tài nguyên thu hồi Imuzik</t>
  </si>
  <si>
    <t>PYC-18664</t>
  </si>
  <si>
    <t>18/7/2024</t>
  </si>
  <si>
    <t>Sizing hệ thống Camera jf</t>
  </si>
  <si>
    <t>PYC-18677</t>
  </si>
  <si>
    <t>Sizing TV360_thi_truong</t>
  </si>
  <si>
    <t>PYC-18927</t>
  </si>
  <si>
    <t>hoanglm9</t>
  </si>
  <si>
    <t>14/6/2024</t>
  </si>
  <si>
    <t>28/6/2024</t>
  </si>
  <si>
    <t>Sizing hệ thống APIGW phục vụ tích hợp triển khai 700 tps với đối tác Meta</t>
  </si>
  <si>
    <t>PYC-19071</t>
  </si>
  <si>
    <t>nghiatn1</t>
  </si>
  <si>
    <t>17/6/2024</t>
  </si>
  <si>
    <t>19/6/2024</t>
  </si>
  <si>
    <t>Cấp phát tài nguyên bổ sung hệ thống Trái tim cho em</t>
  </si>
  <si>
    <t xml:space="preserve"> bypass sizing</t>
  </si>
  <si>
    <t>PYC-19668</t>
  </si>
  <si>
    <t>hainv102</t>
  </si>
  <si>
    <t>26/6/2024</t>
  </si>
  <si>
    <t>sizing định kỳ hệ thống Mybox (NFS + S3)</t>
  </si>
  <si>
    <t>note</t>
  </si>
  <si>
    <t>PYC-19818</t>
  </si>
  <si>
    <t>Đánh giá Sizing cho hệ thống Mediation</t>
  </si>
  <si>
    <t>PYC-20043</t>
  </si>
  <si>
    <t>thanhdv125</t>
  </si>
  <si>
    <t>21/08/2024</t>
  </si>
  <si>
    <t>Sizing hệ thống Phí Bán Hàng 4.0</t>
  </si>
  <si>
    <t>PYC-20221</t>
  </si>
  <si>
    <t>longh48</t>
  </si>
  <si>
    <t>tuanha3</t>
  </si>
  <si>
    <t>Sizing định kỳ cho Đối soát trong nước</t>
  </si>
  <si>
    <t>PYC-20494</t>
  </si>
  <si>
    <t>nâng tải cho hệ thống BCCS_CA</t>
  </si>
  <si>
    <t>PYC-20752</t>
  </si>
  <si>
    <t>19/7/2024</t>
  </si>
  <si>
    <t>Sizing hệ thống TVBH phục vụ tích hợp triển khai 700 tps với đối tác Meta</t>
  </si>
  <si>
    <t>PYC-20779</t>
  </si>
  <si>
    <t>19/9/2024</t>
  </si>
  <si>
    <t>sizing tăng thêm 700 TPS cho hệ thống VAAA</t>
  </si>
  <si>
    <t>PYC-21050</t>
  </si>
  <si>
    <t>huongnl15</t>
  </si>
  <si>
    <t>15/7/2024</t>
  </si>
  <si>
    <t>Thẩm định hạ tầng Codx - Lạc Việt</t>
  </si>
  <si>
    <t>PYC-21077</t>
  </si>
  <si>
    <t>16/7/2024</t>
  </si>
  <si>
    <t>sizing hệ thống datasecurity triển khai cho VTT</t>
  </si>
  <si>
    <t>Đóng ticket do trùng với PYC-18476</t>
  </si>
  <si>
    <t>PYC-21212</t>
  </si>
  <si>
    <t>17/7/2024</t>
  </si>
  <si>
    <t>19/8/2024</t>
  </si>
  <si>
    <t>sizing hệ thống Home Camera JF mở rộng cho 550K thiết bị</t>
  </si>
  <si>
    <t>Trao đổi qua mail</t>
  </si>
  <si>
    <t>PYC-21351</t>
  </si>
  <si>
    <t>huyct13</t>
  </si>
  <si>
    <t>22/7/2024</t>
  </si>
  <si>
    <t>Sizing hệ thống Mở chặn sau thanh toán xử lý rủi ro Payment</t>
  </si>
  <si>
    <t>PYC-21469</t>
  </si>
  <si>
    <t>sizing server streaming rtmp nginx cho IPCC</t>
  </si>
  <si>
    <t>PYC-21768</t>
  </si>
  <si>
    <t>24/7/2024</t>
  </si>
  <si>
    <t>25/7/2024</t>
  </si>
  <si>
    <t>sizing server Redis</t>
  </si>
  <si>
    <t>PYC-22164</t>
  </si>
  <si>
    <t>29/7/2024</t>
  </si>
  <si>
    <t>31/7/2024</t>
  </si>
  <si>
    <t>Sizing hệ thống Quản lý khách hàng</t>
  </si>
  <si>
    <t>PYC-22183</t>
  </si>
  <si>
    <t>sizing server Redis lần 2</t>
  </si>
  <si>
    <t>PYC-22270</t>
  </si>
  <si>
    <t>30/7/2024</t>
  </si>
  <si>
    <t>sizing cụm server GPU CCAI</t>
  </si>
  <si>
    <t>PYC-22526</t>
  </si>
  <si>
    <t>anhtt229</t>
  </si>
  <si>
    <t>14/8/2024</t>
  </si>
  <si>
    <t>sizing bổ sung tài nguyên Mykid Goly</t>
  </si>
  <si>
    <t>PYC-22548</t>
  </si>
  <si>
    <t>26/8/2024</t>
  </si>
  <si>
    <t>Sizing cấp phát tài nguyên môi trường thật cho hệ thống Roaming tập trung</t>
  </si>
  <si>
    <t>dungdb1</t>
  </si>
  <si>
    <t>haipn</t>
  </si>
  <si>
    <t>ĐỊNH CỠ HSM HỆ THỐNG VIETTEL CLOUD-CA</t>
  </si>
  <si>
    <t>PYC-22854</t>
  </si>
  <si>
    <t>cuongnk8</t>
  </si>
  <si>
    <t xml:space="preserve"> sizing cho hệ thống quản lý bảo hành</t>
  </si>
  <si>
    <t>PYC-22998</t>
  </si>
  <si>
    <t>Từ chối</t>
  </si>
  <si>
    <t> sizing Bổ sung tài nguyên 2022 Hệ thống Callbot Inbound CSKH và GSCG CSKH</t>
  </si>
  <si>
    <t>1 pyc jira 2 bản sizing, yêu cầu đội dự án tạo lại pyc</t>
  </si>
  <si>
    <t>PYC-23095</t>
  </si>
  <si>
    <t>sizing Bổ sung tài nguyên 2022 Hệ thống Callbot Inbound CSKH</t>
  </si>
  <si>
    <t>PYC-23096</t>
  </si>
  <si>
    <t>PYC sizing Bổ sung tài nguyên 2022 Hệ thống GSCG CSKH</t>
  </si>
  <si>
    <t>PYC-23297</t>
  </si>
  <si>
    <t>sizing Hệ thống Phạt chế tài 2024</t>
  </si>
  <si>
    <t>PYC-23316</t>
  </si>
  <si>
    <t>duongns</t>
  </si>
  <si>
    <t>sizing hệ thống PAM cho TCT</t>
  </si>
  <si>
    <t>PYC-23331</t>
  </si>
  <si>
    <t>13/8/2024</t>
  </si>
  <si>
    <t>15/8/2024</t>
  </si>
  <si>
    <t>16/8/2024</t>
  </si>
  <si>
    <t> sizing bổ sung storage cho server Quản lý hồ sơ</t>
  </si>
  <si>
    <t>PYC-23478</t>
  </si>
  <si>
    <t>sizing hệ thống Viettel AI Camera</t>
  </si>
  <si>
    <t>PYC-23990</t>
  </si>
  <si>
    <t>22/8/2024</t>
  </si>
  <si>
    <t>23/8/2024</t>
  </si>
  <si>
    <t>28/8/2024</t>
  </si>
  <si>
    <t>sizing cấp NAS cho hệ thống Voice To Text</t>
  </si>
  <si>
    <t>PYC-23587</t>
  </si>
  <si>
    <t>27/8/2024</t>
  </si>
  <si>
    <t>V4_Sizing hệ thống Mở chặn sau thanh toán xử lý rủi ro Payment</t>
  </si>
  <si>
    <t>PYC-24386</t>
  </si>
  <si>
    <t>thẩm định sizing hệ thống AAM cho VTT</t>
  </si>
  <si>
    <t>PYC-24909</t>
  </si>
  <si>
    <t>Sizing hệ thống Mykid 2.0</t>
  </si>
  <si>
    <t>PYC-25240</t>
  </si>
  <si>
    <t>PKT</t>
  </si>
  <si>
    <t xml:space="preserve">Từ chối </t>
  </si>
  <si>
    <t>13/9/2024</t>
  </si>
  <si>
    <t>Sizing hệ thống TMS ZTE</t>
  </si>
  <si>
    <t>Sizing đối tác nước ngoài làm, thiếu sót nhiều thông tin, hiện sẽ hướng dẫn làm lại sizing theo đúng form và đủ sở cứ</t>
  </si>
  <si>
    <t>PYC-25227</t>
  </si>
  <si>
    <t>sizing Hệ thống Nhịp sống VTT</t>
  </si>
  <si>
    <t>Camera T3</t>
  </si>
  <si>
    <t>20/9/2024</t>
  </si>
  <si>
    <t>sizing Camera Indoor T3 phục vụ chấm thầu</t>
  </si>
  <si>
    <t>Camera SDMC</t>
  </si>
  <si>
    <t>sizing Camera Indoor SDMC phục vụ chấm thầu</t>
  </si>
  <si>
    <t>PYC-25988</t>
  </si>
  <si>
    <t>sonln3</t>
  </si>
  <si>
    <t>23/9/2024</t>
  </si>
  <si>
    <t>25/9/2024</t>
  </si>
  <si>
    <t>26/9/2024</t>
  </si>
  <si>
    <t>sizing Hệ thống quản lý Consent</t>
  </si>
  <si>
    <t>quá thời gian sizing, đội dự án tạo PYC-28507 thay thế</t>
  </si>
  <si>
    <t>PYC-25999</t>
  </si>
  <si>
    <t>haidm6</t>
  </si>
  <si>
    <t>27/9/2024</t>
  </si>
  <si>
    <t>sizing Server FTP phục vụ lưu trữ báo cáo - hệ thống VIettel Report</t>
  </si>
  <si>
    <t>PYC-26205</t>
  </si>
  <si>
    <t>24/9/2024</t>
  </si>
  <si>
    <t>Cấp phát server app test phục vụ dự án mDealer</t>
  </si>
  <si>
    <t>PYC cấp phát hệ thống test, không phải sizing</t>
  </si>
  <si>
    <t>PYC-25650</t>
  </si>
  <si>
    <t>thangpq_is</t>
  </si>
  <si>
    <t>30/9/2024</t>
  </si>
  <si>
    <t>Sizing cho notify kafka consumer</t>
  </si>
  <si>
    <t>PYC-26422</t>
  </si>
  <si>
    <t>tuannm33</t>
  </si>
  <si>
    <t>Sizing tài nguyên backup dữ liệu Hadoop hệ thống FMRA</t>
  </si>
  <si>
    <t>PYC-27277</t>
  </si>
  <si>
    <t>Sizing ứng cứu tài nguyên lưu trữ database Phí Bán Hàng 3.0</t>
  </si>
  <si>
    <t>PYC-27028</t>
  </si>
  <si>
    <t>15/10/2024</t>
  </si>
  <si>
    <t>17/10/2024</t>
  </si>
  <si>
    <t>19/12/2024</t>
  </si>
  <si>
    <t>sizing hệ thống Smart SMS</t>
  </si>
  <si>
    <t>PYC-27860</t>
  </si>
  <si>
    <t>18/10/2024</t>
  </si>
  <si>
    <t>22/10/2024</t>
  </si>
  <si>
    <t>24/10/2024</t>
  </si>
  <si>
    <t>sizing bổ sung cho hệ thống Smart Home</t>
  </si>
  <si>
    <t>PYC-28115</t>
  </si>
  <si>
    <t>23/10/2024</t>
  </si>
  <si>
    <t>25/10/2024</t>
  </si>
  <si>
    <t>Sizing tài nguyên CSDL Mariadb hệ thống Đối soát Quốc tế</t>
  </si>
  <si>
    <t>PYC-28264</t>
  </si>
  <si>
    <t>28/10/2024</t>
  </si>
  <si>
    <t>30/10/2024</t>
  </si>
  <si>
    <t> sizing cấp phần cứng swap hệ thống Vas Maketing (TTONLINE) đảm bảo bàn giao VHKT</t>
  </si>
  <si>
    <t>PYC-28381</t>
  </si>
  <si>
    <t>vantn4</t>
  </si>
  <si>
    <t>sizing triển khai hệ thống mới MyShop</t>
  </si>
  <si>
    <t>PYC-28507</t>
  </si>
  <si>
    <t>29/10/2024</t>
  </si>
  <si>
    <t>31/10/2024</t>
  </si>
  <si>
    <t>sizing Hệ thống quản lý Consent lần 2</t>
  </si>
  <si>
    <t>PYC-28664</t>
  </si>
  <si>
    <t>namlt16</t>
  </si>
  <si>
    <t>sizing bổ sung tài nguyên hệ thống MPS</t>
  </si>
  <si>
    <t>PYC-29247</t>
  </si>
  <si>
    <t>sizing dự kiến cho BCCS_CM_CA năm 2025</t>
  </si>
  <si>
    <t>PYC-29293</t>
  </si>
  <si>
    <t>hungnh56</t>
  </si>
  <si>
    <t>sizing hệ thống Backup tập trung cho VTT</t>
  </si>
  <si>
    <t>PYC-29456</t>
  </si>
  <si>
    <t>13/11/2024</t>
  </si>
  <si>
    <t>sizing hệ thống Callbase theo chỉ thị số 12210/CT-CNVTQĐ</t>
  </si>
  <si>
    <t>PYC-29693</t>
  </si>
  <si>
    <t>15/11/2024</t>
  </si>
  <si>
    <t>19/11/2024</t>
  </si>
  <si>
    <t>18/11/2024</t>
  </si>
  <si>
    <t> sizing cho 300K thiết bị Home Camera</t>
  </si>
  <si>
    <t>PYC-29691</t>
  </si>
  <si>
    <t>21/11/2024</t>
  </si>
  <si>
    <t>sizing bổ sung tài nguyên cho hệ thống hóa đơn điện tử</t>
  </si>
  <si>
    <t>PYC-30087</t>
  </si>
  <si>
    <t>anhnv174</t>
  </si>
  <si>
    <t>25/11/2024</t>
  </si>
  <si>
    <t>Sizing hệ thống BCCS2.0 Mytel phân hệ Sale, Inventory, Provisioning</t>
  </si>
  <si>
    <t>PYC-30651</t>
  </si>
  <si>
    <t>28/11/2024</t>
  </si>
  <si>
    <t>cấp tài nguyên storage S3 cho hệ thống Quản lý hồ sơ</t>
  </si>
  <si>
    <t>Bản sizing đã ký, đẩy SR cấp phát tài nguyên luôn</t>
  </si>
  <si>
    <t>PYC-30959</t>
  </si>
  <si>
    <t>Sizing hệ thống Mykid 2.0 lần 2</t>
  </si>
  <si>
    <t>PYC-31530</t>
  </si>
  <si>
    <t>dinhvv</t>
  </si>
  <si>
    <t>HT_Cấp phát, hỗ trợ SV test cho các dự án Api Management</t>
  </si>
  <si>
    <t>Cấp phát server test của pHT, không phải sizing</t>
  </si>
  <si>
    <t>PYC-31508</t>
  </si>
  <si>
    <t>13/12/2024</t>
  </si>
  <si>
    <t>sizing triển khai APIGW kết nối 2 chiều Public Internet và dải server test K.CNTT</t>
  </si>
  <si>
    <t>PYC-32077</t>
  </si>
  <si>
    <t>18/12/2024</t>
  </si>
  <si>
    <t>20/12/2024</t>
  </si>
  <si>
    <t>Sizing hệ thống Gửi thông báo cước Email</t>
  </si>
  <si>
    <t>PYC-32023</t>
  </si>
  <si>
    <t>23/12/2024</t>
  </si>
  <si>
    <t>Kế hoạch sizing bổ sung storage cho server Quản lý hồ sơ</t>
  </si>
  <si>
    <t>Hủy do bu đơn vị không tiếp tục sizing</t>
  </si>
  <si>
    <t>PYC- 32033</t>
  </si>
  <si>
    <t>sizing hệ thống BCCS_SALE</t>
  </si>
  <si>
    <t>PYC-32034</t>
  </si>
  <si>
    <t>[QLHS] Kế hoạch sizing hệ thống MNP</t>
  </si>
  <si>
    <t>PYC-33467</t>
  </si>
  <si>
    <t>thangpq19</t>
  </si>
  <si>
    <t>Sizing cho hệ thống API gateway Apigee</t>
  </si>
  <si>
    <t>PYC-33466</t>
  </si>
  <si>
    <t>lientm</t>
  </si>
  <si>
    <t>Cấp phát hạ tầng test hiệu năng cho CNTT</t>
  </si>
  <si>
    <t>PYC-33909</t>
  </si>
  <si>
    <t>haunx</t>
  </si>
  <si>
    <t>13/1/2025</t>
  </si>
  <si>
    <t>15/1/2025</t>
  </si>
  <si>
    <t>14/1/2025</t>
  </si>
  <si>
    <t>Review_ File Sizing hệ thống định danh khách hàng tại quầy</t>
  </si>
  <si>
    <t>PYC-34152</t>
  </si>
  <si>
    <t>16/1/2025</t>
  </si>
  <si>
    <t>PYC tham dinh sizing POC giair phaps DLP</t>
  </si>
  <si>
    <t>PYC-34221</t>
  </si>
  <si>
    <t>20/1/2025</t>
  </si>
  <si>
    <t>Sizing BCCS3 thị trường Lào</t>
  </si>
  <si>
    <t>PYC-34460</t>
  </si>
  <si>
    <t>TTDĐ</t>
  </si>
  <si>
    <t>luonglt4</t>
  </si>
  <si>
    <t>17/1/2025</t>
  </si>
  <si>
    <t>21/1/2025</t>
  </si>
  <si>
    <t>22/01/2025</t>
  </si>
  <si>
    <t>CMP Mau bieu Thiet ke va dinh co he thong</t>
  </si>
  <si>
    <t>PYC-34462</t>
  </si>
  <si>
    <t>PYC thẩm định sizing gia hạn hợp đồng hệ thống Viettel AI Camera</t>
  </si>
  <si>
    <t>PYC-34519</t>
  </si>
  <si>
    <t>quocnh</t>
  </si>
  <si>
    <t>22/1/2025</t>
  </si>
  <si>
    <t>Sizing server lưu trữ thông tin gói thầu cho dự án SME HUB</t>
  </si>
  <si>
    <t>PYC-34222</t>
  </si>
  <si>
    <t>sizing bổ sung tài nguyên hệ thống CCAI</t>
  </si>
  <si>
    <t>PYC-35173</t>
  </si>
  <si>
    <t>tuandm2</t>
  </si>
  <si>
    <t>21/2/2025</t>
  </si>
  <si>
    <t>Thẩm định sizing bổ sung tài nguyên 2025 hệ thống Mykid 2.0</t>
  </si>
  <si>
    <t>PYC-35119</t>
  </si>
  <si>
    <t>thuyttt12</t>
  </si>
  <si>
    <t>Thẩm định hồ sơ sizing hệ thống CMP</t>
  </si>
  <si>
    <t>PYC-35290</t>
  </si>
  <si>
    <t>Thẩm định Sizing hệ thống ViettelContract.BCCS</t>
  </si>
  <si>
    <t>PYC-35389</t>
  </si>
  <si>
    <t>14/2/2025</t>
  </si>
  <si>
    <t>Sizing hệ thống định danh khách hàng tại quầy</t>
  </si>
  <si>
    <t>PYC-35373</t>
  </si>
  <si>
    <t>thanhlt65</t>
  </si>
  <si>
    <t>Sizing bổ sung thêm phân vùng/backup của DB hệ thống video call Stringee</t>
  </si>
  <si>
    <t>PYC-35485</t>
  </si>
  <si>
    <t>17/2/2025</t>
  </si>
  <si>
    <t>19/2/2025</t>
  </si>
  <si>
    <t>sizing Bổ sung tài nguyên 2024 Videobot xác minh khách hàng</t>
  </si>
  <si>
    <t>PYC-36004</t>
  </si>
  <si>
    <t>24/2/2025</t>
  </si>
  <si>
    <t>sizing bổ sung tài nguyên 2025 hệ thống Myshop</t>
  </si>
  <si>
    <t>PYC-36072</t>
  </si>
  <si>
    <t>21/02/2025</t>
  </si>
  <si>
    <t>Sizing tài nguyên test phát triển hệ thống FMRA 3.0 mới</t>
  </si>
  <si>
    <t>PYC-36545</t>
  </si>
  <si>
    <t>25/2/2025</t>
  </si>
  <si>
    <t>27/2/2025</t>
  </si>
  <si>
    <t>26/2/2025</t>
  </si>
  <si>
    <t> sizing swap hệ thống MappingGW (511 Gateway) phục vụ bàn giao VHKT</t>
  </si>
  <si>
    <t>PYC-36831</t>
  </si>
  <si>
    <t>28/2/2025</t>
  </si>
  <si>
    <t> sizing hệ thống gửi tin nhắn chặn cắt định kỳ</t>
  </si>
  <si>
    <t>PYC-36759</t>
  </si>
  <si>
    <t>sizing hệ thống Campaign phân hệ truyền thông MXH</t>
  </si>
  <si>
    <t>PYC-36966</t>
  </si>
  <si>
    <t>anhdk</t>
  </si>
  <si>
    <t>Sizing hệ thống gửi Email hóa đơn điện tử</t>
  </si>
  <si>
    <t>PYC-37005</t>
  </si>
  <si>
    <t>tamtn6</t>
  </si>
  <si>
    <t>sizing hệ thống Jenkins CI/CD cho VTT</t>
  </si>
  <si>
    <t>PYC-37625</t>
  </si>
  <si>
    <t>19/3/2025</t>
  </si>
  <si>
    <t>sizing cấp mới tài nguyên hệ thống My Shop AI</t>
  </si>
  <si>
    <t>PYC-37629</t>
  </si>
  <si>
    <t>14/3/2025</t>
  </si>
  <si>
    <t>Phục vụ kế hoạch kinh doanh năm 2025 thuê cloud storage</t>
  </si>
  <si>
    <t>PYC-37877</t>
  </si>
  <si>
    <t>13/3/2025</t>
  </si>
  <si>
    <t>17/3/2025</t>
  </si>
  <si>
    <t>sizing môi trường thật cho hệ thống Thoại Quốc tế</t>
  </si>
  <si>
    <t>PYC-38327</t>
  </si>
  <si>
    <t>hungnh46</t>
  </si>
  <si>
    <t>21/3/2025</t>
  </si>
  <si>
    <t>sizing cho hệ thống MyBox ELK</t>
  </si>
  <si>
    <t>PYC-38870</t>
  </si>
  <si>
    <t>26/03/2025</t>
  </si>
  <si>
    <t>28/03/2025</t>
  </si>
  <si>
    <t>31/03/2025</t>
  </si>
  <si>
    <t>Sizing hệ thống ViettelContract.BCCS Lần 2</t>
  </si>
  <si>
    <t>PYC-39013</t>
  </si>
  <si>
    <t>DS</t>
  </si>
  <si>
    <t>hungbs</t>
  </si>
  <si>
    <t>31/3/2025</t>
  </si>
  <si>
    <t>FTP Server hệ thống FMRA</t>
  </si>
  <si>
    <t>PYC-38966</t>
  </si>
  <si>
    <t>sizing swap ổ đĩa HDD sang SSD cho hệ thống Roaming 2.0</t>
  </si>
  <si>
    <t>PYC-39594</t>
  </si>
  <si>
    <t>17/4/2025</t>
  </si>
  <si>
    <t>Sizing hệ thống BCCS2.0 Mytel phân hệ Sale, Inventory, Provisioning ( lần 2)</t>
  </si>
  <si>
    <t>Chuyển đầu mối sizing từ tuanha3 sang thongnv31</t>
  </si>
  <si>
    <t>PYC-39972</t>
  </si>
  <si>
    <t> sizing tài nguyên bigdata cho dự án Cus360</t>
  </si>
  <si>
    <t>PYC-40320</t>
  </si>
  <si>
    <t>14/4/2025</t>
  </si>
  <si>
    <t>16/4/2025</t>
  </si>
  <si>
    <t>23/4/2025</t>
  </si>
  <si>
    <t>sizing nhu cầu thuê dịch vụ lưu trữ S3 cho các dịch vụ Video/Audio VAS</t>
  </si>
  <si>
    <t>PYC-40325</t>
  </si>
  <si>
    <t>lamtn6</t>
  </si>
  <si>
    <t>15/4/2025</t>
  </si>
  <si>
    <t>sizing hệ thống Strongswan VPN cho VTT</t>
  </si>
  <si>
    <t>PYC-40305</t>
  </si>
  <si>
    <t>18/4/2025</t>
  </si>
  <si>
    <t>sizing bổ sung tài nguyên Redis, NAS DB, HAproxy 2025 hệ thống Mykid 2.0</t>
  </si>
  <si>
    <t>PYC-40519</t>
  </si>
  <si>
    <t>21/4/2025</t>
  </si>
  <si>
    <t>sizing cho platform Home Camera VHT</t>
  </si>
  <si>
    <t>PYC-40562</t>
  </si>
  <si>
    <t>huynq60</t>
  </si>
  <si>
    <t>THIẾT KẾ VÀ ĐỊNH CỠ HỆ THỐNG NỀN TẢNG QUẢN LÝ KẾT NỐI CMP</t>
  </si>
  <si>
    <t>PYC-41311</t>
  </si>
  <si>
    <t>trangttt31</t>
  </si>
  <si>
    <t>25/4/2025</t>
  </si>
  <si>
    <t>sizing server mới triển khai app mobile hệ thống vBHXH</t>
  </si>
  <si>
    <t>PYC-41379</t>
  </si>
  <si>
    <t>vuongnk2</t>
  </si>
  <si>
    <t>29/4/2025</t>
  </si>
  <si>
    <t>Sizing hệ thống máy chủ PAM</t>
  </si>
  <si>
    <t>PYC-40509</t>
  </si>
  <si>
    <t>24/4/2025</t>
  </si>
  <si>
    <t>28/4/2025</t>
  </si>
  <si>
    <t> sizing Storage S3 (Cloud Storage) cho TV360 năm 2025-2026</t>
  </si>
  <si>
    <t>PYC-41983</t>
  </si>
  <si>
    <t>22/5/2025</t>
  </si>
  <si>
    <t>Sizing hệ thống loginfail phục vụ lưu trữ dữ liệu theo công văn VTNET</t>
  </si>
  <si>
    <t>PYC-41984</t>
  </si>
  <si>
    <t>Sizing hệ thống chặn nợ cước định kỳ phục vụ lưu trữ dữ liệu theo công văn VTNET</t>
  </si>
  <si>
    <t>PYC-41375</t>
  </si>
  <si>
    <t>Sizing hệ thống Viettel Insider Threat Detection (VCS - InT)</t>
  </si>
  <si>
    <t>Hủy do sizing quá sơ sài, chưa có nội dung, yc đơn vị làm lại</t>
  </si>
  <si>
    <t>PYC-40696</t>
  </si>
  <si>
    <t> mbccs websocket</t>
  </si>
  <si>
    <t>PYC-41938</t>
  </si>
  <si>
    <t> Sizing cấp mới server MariaDB xây dựng hệ thống Phí Bán Hàng 4.0</t>
  </si>
  <si>
    <t>PYC-42939</t>
  </si>
  <si>
    <t>14/5/2025</t>
  </si>
  <si>
    <t>16/5/2025</t>
  </si>
  <si>
    <t>20/5/2025</t>
  </si>
  <si>
    <t>sizing bổ sung tài nguyên cho hệ thống Mydio</t>
  </si>
  <si>
    <t>PYC-43206</t>
  </si>
  <si>
    <t>21/5/2025</t>
  </si>
  <si>
    <t>28/5/2025</t>
  </si>
  <si>
    <t> sizing cho hệ thống Trusted Call- Smart Voice</t>
  </si>
  <si>
    <t>PYC-43287</t>
  </si>
  <si>
    <t>sizing bổ sung tài nguyên cho hệ thống USSDGW</t>
  </si>
  <si>
    <t>PYC-43618</t>
  </si>
  <si>
    <t>VHKT</t>
  </si>
  <si>
    <t>26/5/2025</t>
  </si>
  <si>
    <t>23/5/2025</t>
  </si>
  <si>
    <t>sizing NAS hệ thống Jenkins CI/CD VTT</t>
  </si>
  <si>
    <t>PYC-43553</t>
  </si>
  <si>
    <t>27/5/2025</t>
  </si>
  <si>
    <t>29/5/2025</t>
  </si>
  <si>
    <t> sizing bổ sung tài nguyên cho hệ thống Allblocking</t>
  </si>
  <si>
    <t>PYC-43555</t>
  </si>
  <si>
    <t>sizing bổ sung tài nguyên cho hệ thống MCA</t>
  </si>
  <si>
    <t>PYC-44087</t>
  </si>
  <si>
    <t> sizing cấp tài nguyên cho hệ thống Callbase lấy tín hiệu cuộc gọi qua Kafka</t>
  </si>
  <si>
    <t>PYC-44871</t>
  </si>
  <si>
    <t>sizing bổ sung tài nguyên hệ thống Roaming</t>
  </si>
  <si>
    <t>PYC-45050</t>
  </si>
  <si>
    <t> Sizing hệ thống Quản lý khách hàng 2025</t>
  </si>
  <si>
    <t>PYC-45398</t>
  </si>
  <si>
    <t>16/6/2025</t>
  </si>
  <si>
    <t>18/6/2025</t>
  </si>
  <si>
    <t>sizing hệ thống Tendoo AI</t>
  </si>
  <si>
    <t>Owner</t>
  </si>
  <si>
    <t>Q1/2024</t>
  </si>
  <si>
    <t>Q2/2024</t>
  </si>
  <si>
    <t>Q3/2024</t>
  </si>
  <si>
    <t>Q4/2024</t>
  </si>
  <si>
    <t>Q1/2025</t>
  </si>
  <si>
    <t>Q2/2025</t>
  </si>
  <si>
    <t>Q3/2025</t>
  </si>
  <si>
    <t>Q4/2025</t>
  </si>
  <si>
    <t>Reviewer</t>
  </si>
  <si>
    <t>Owner false</t>
  </si>
  <si>
    <t>ductn8</t>
  </si>
  <si>
    <t>Ghi chú :
- Khi có tiến độ mới thì xuống dòng ghi chữ [New] ở đầu dòng mới để lãnh đạo nắm được
- Đầu mối đơn vị ghi tên mail và đơn vị yêu cầu 
- Khi xong thì đánh dấu x vào cột Hoàn Thành để lãnh đạo nắm được</t>
  </si>
  <si>
    <t>Dự án</t>
  </si>
  <si>
    <t>Đầu mối y/c</t>
  </si>
  <si>
    <t>Đầu mối P.HT</t>
  </si>
  <si>
    <t>Mã SR</t>
  </si>
  <si>
    <t>Tiến độ, vướng mắc, đề xuất</t>
  </si>
  <si>
    <t>Thời gian tiếp nhận y/c</t>
  </si>
  <si>
    <t>Timeline thực hiện theo GNOC</t>
  </si>
  <si>
    <t>Thời gian hoàn thành</t>
  </si>
  <si>
    <t>Jira</t>
  </si>
  <si>
    <t>SR_VN_20230130_729328/
SR_VN_20230312_752885</t>
  </si>
  <si>
    <t>KTTC:30/1-6/2 (Thẩm định xong đúng hạn)
Ngày pending: 6/2-28/2
VHKT: 8/3-16/3</t>
  </si>
  <si>
    <t>x</t>
  </si>
  <si>
    <t>C360</t>
  </si>
  <si>
    <t>SR_VN_20230405_767360(thu hồi)/
SR_VN_20230405_767368(cấp phát)</t>
  </si>
  <si>
    <t>Cấp phát tài nguyên dự án QLHS vật lý 3DB Maria</t>
  </si>
  <si>
    <t>Đã trao đổi với chaulm5</t>
  </si>
  <si>
    <t>A Haipn yc bỏ do đã cắt chuyển chung với DB dự án khác</t>
  </si>
  <si>
    <t>Cấp phát tài nguyên dự án vật lý CCAI</t>
  </si>
  <si>
    <t>dungha7</t>
  </si>
  <si>
    <t>Đã lập luồng mail với chaulm5</t>
  </si>
  <si>
    <t>Đã cấp phát xong</t>
  </si>
  <si>
    <t>Điều chỉnh tài nguyên Survey 2.0</t>
  </si>
  <si>
    <t>SR_VN_20230419_775285
SR_VN_20230425_779549</t>
  </si>
  <si>
    <t>2Các svr cơ bản là đã xong chỉ có 2 DB bị thiếu dung lượng do đã hết khả năng nâng cấp. tuyenpv9 đã thống nhất tạm thời sử dụng như vậy.</t>
  </si>
  <si>
    <t>KTTC:19/4/2023-26/4/2023
VHKT: 25/4/2023-09/5/2023</t>
  </si>
  <si>
    <t>Thu hồi tài nguyên Survey 2.0</t>
  </si>
  <si>
    <t>SR_VN_20230426_780377</t>
  </si>
  <si>
    <t>KTTC:26/04/2023-08/05/2023</t>
  </si>
  <si>
    <t>Cấp phát tài nguyên CCAI</t>
  </si>
  <si>
    <t>SR_VN_20230419_775606</t>
  </si>
  <si>
    <t>Đã hoàn thành</t>
  </si>
  <si>
    <t xml:space="preserve">Cấp phát tài nguyên cho MBS </t>
  </si>
  <si>
    <t>SR_VN_20230480_776480</t>
  </si>
  <si>
    <t>KTTC:20/4/2023-27/4/2023</t>
  </si>
  <si>
    <t>Thu hồi tài nguyên chuẩn bị cho điều chuyển HT Campaign</t>
  </si>
  <si>
    <t>Phund2</t>
  </si>
  <si>
    <t>Hoangld2</t>
  </si>
  <si>
    <t>KTTC: SR_VN_20230509_786705
VHKT: SR_VN_20230509_786749</t>
  </si>
  <si>
    <t>VHKT: 9/5/2023-16/5/2023</t>
  </si>
  <si>
    <t>Bổ sung tài nguyên cho hệ thống data3G</t>
  </si>
  <si>
    <t>VTN</t>
  </si>
  <si>
    <t>sonnh30</t>
  </si>
  <si>
    <t xml:space="preserve">
KTTC: SR_VN_20230320_756800</t>
  </si>
  <si>
    <t>Đội dự án cần cấp thêm 4 server qua link LB nhưng hệ thống mới của VTN chưa xong, hiện đang lỗi tủ đĩa chờ part để thay thế, dự kiến cuối tháng 6 mới hoàn thành
sonnh30_PUDCNTT-TTVHKTTC-VTN</t>
  </si>
  <si>
    <t>ẩn</t>
  </si>
  <si>
    <t>Theo dõi, k tham gia trực tiếp</t>
  </si>
  <si>
    <t>Dự án C06 BCA</t>
  </si>
  <si>
    <t>thangnx5</t>
  </si>
  <si>
    <t>Đã review xong hồ sơ kt và báo giá gửi cho ttgp cntt</t>
  </si>
  <si>
    <t>Hệ thống CMP thương mại</t>
  </si>
  <si>
    <t>quyln3</t>
  </si>
  <si>
    <t>A Haipn đã hướng dẫn đơn vị các thủ tục cần làm trước khi được cấp tài nguyên</t>
  </si>
  <si>
    <t>ko có trong file cấp phát</t>
  </si>
  <si>
    <t>APIGW</t>
  </si>
  <si>
    <t>KTTC: SR_VN_20230705_826658
VHKT: SR_VN_20230710_830025</t>
  </si>
  <si>
    <t>đã cấp xong</t>
  </si>
  <si>
    <t>Bổ sung disk dự án HDDT</t>
  </si>
  <si>
    <t>SR_VN_20230630_823903</t>
  </si>
  <si>
    <t>30/06/2023 17:34:00-11/07/2023 17:34:00</t>
  </si>
  <si>
    <t>Bổ sung storage mOffice</t>
  </si>
  <si>
    <t>Hệ thống TMS VHT</t>
  </si>
  <si>
    <t>tiendd
tuanna29</t>
  </si>
  <si>
    <t xml:space="preserve">
VHKT: SR_VN_20230711_831000</t>
  </si>
  <si>
    <t>Đã cấp xong</t>
  </si>
  <si>
    <t>11/07-20/07/2023</t>
  </si>
  <si>
    <t>lấy của dự án NMS wifi, k có trong file cấp phát</t>
  </si>
  <si>
    <t>Voice brand name</t>
  </si>
  <si>
    <t>SR_VN_20230602_803532</t>
  </si>
  <si>
    <t>KTTC: 2/6-9/6</t>
  </si>
  <si>
    <t>Hợp đồng điện tử</t>
  </si>
  <si>
    <t>SR_VN_20230623_818696</t>
  </si>
  <si>
    <t>Hợp đồng điện tử nội bộ</t>
  </si>
  <si>
    <t>KTTC: SR_VN_20230626_841238</t>
  </si>
  <si>
    <t>KTTC: 26/7-2/8
VHKT: 3/8-9/8</t>
  </si>
  <si>
    <t>Cấp UCTT DCB_DB cho TT VAS</t>
  </si>
  <si>
    <t>Không thấy A Hanq làm sizing nên tạm đóng lại</t>
  </si>
  <si>
    <t>Cấp bổ sung dung lượng Vtracking 1.2</t>
  </si>
  <si>
    <t>KTTC: SR_VN_20230717_834515</t>
  </si>
  <si>
    <t>KTTC:17/7-24/7</t>
  </si>
  <si>
    <t>HT quản lý hồ sơ CT Trái tim cho e</t>
  </si>
  <si>
    <t>cuongbm,dattht</t>
  </si>
  <si>
    <t>SR_VN_20230809_854573</t>
  </si>
  <si>
    <t>KTTC:14/08-21/08/2023</t>
  </si>
  <si>
    <t>Tổng hợp nhu cầu cho phần ghi log tập trung</t>
  </si>
  <si>
    <t>namdx;thuynt105</t>
  </si>
  <si>
    <t>dừng, Hoalh1 thông báo PHT không cần phải tham gia kế hoạch nữa</t>
  </si>
  <si>
    <t>Cấp phát tài nguyên NAS dự án HDDT</t>
  </si>
  <si>
    <t>SR_VN_20230620_815799</t>
  </si>
  <si>
    <t>Cấp phát 5 server dự án HDDT</t>
  </si>
  <si>
    <t>Hủy do chuyển đổi phương án</t>
  </si>
  <si>
    <t>Cấp phát tài nguyên DB hệ thống nhạc chờ quảng cáo phục vụ giao ban VTN</t>
  </si>
  <si>
    <t>Bổ sung tài nguyên cho hệ thống data3G-lần 2</t>
  </si>
  <si>
    <t>None</t>
  </si>
  <si>
    <t>SR_VN_20230705_826839</t>
  </si>
  <si>
    <t>KTTC:5/7-14/7</t>
  </si>
  <si>
    <t>Cấp phát tài nguyên cho Vtracking 2.0</t>
  </si>
  <si>
    <t>ducdm25</t>
  </si>
  <si>
    <t>SR_VN_20230802_846756</t>
  </si>
  <si>
    <t>KTTC:2/8-8/8</t>
  </si>
  <si>
    <t>Cấp phát tài nguyên cho USSD199 chuyển đổi CSDL mã nguồn mở</t>
  </si>
  <si>
    <t>SR_VN_20230821_859805
SR_VN_20230823_862290</t>
  </si>
  <si>
    <t>KTTC:23-31/08/2023</t>
  </si>
  <si>
    <t>Thu hồi tài nguyên hệ thống nhạc chờ quảng cáo</t>
  </si>
  <si>
    <t>SR_VN_20230801_845766</t>
  </si>
  <si>
    <t>Đã thu hồi xong</t>
  </si>
  <si>
    <t>Cấp phát tài nguyên hệ thống nhạc chờ quảng cáo</t>
  </si>
  <si>
    <t>SR_VN_20230801_845806</t>
  </si>
  <si>
    <t>Thu hồi phân vùng /backup DB HDDT 2.0</t>
  </si>
  <si>
    <t>SR_VN_20230721_838316</t>
  </si>
  <si>
    <t xml:space="preserve"> Bổ sung RAM, backup, logs, u01 DB HDDT 2.0</t>
  </si>
  <si>
    <t>SR_VN_20230721_838319
SR_VN_20230804_848646
SR_VN_20230822_860821</t>
  </si>
  <si>
    <t>Cần dồn dịch tài nguyên nên cần thu hồi và cấp phát lại các VM
Đang đẩy SR thu hồi sang VHKT. Còn 1 svr chưa move xong hạ tầng và 9 svr chưa nâng ram</t>
  </si>
  <si>
    <t>Do VHKT và KTTC chưa thống nhất được với nhau nên tạm ko cập nhật</t>
  </si>
  <si>
    <t>Bổ sung Disk DB truyền nhận HDDT</t>
  </si>
  <si>
    <t>SR_VN_20230721_838308
SR_VN_20230804_848646
SR_VN_20230822_860821</t>
  </si>
  <si>
    <t>Thu hồi phân vùng /backup DB truyen nhan HDDT 2.0</t>
  </si>
  <si>
    <t>SR_VN_20230721_838393
SR_VN_20230728_842829</t>
  </si>
  <si>
    <t>ARPU dagoras</t>
  </si>
  <si>
    <t>SR_VN_20230731_843633</t>
  </si>
  <si>
    <t>KTTC:31/07/2023-07/08/2023</t>
  </si>
  <si>
    <t xml:space="preserve">Cấp phát 10 server cho Imuzik dồn dịch sang VTT private cloud </t>
  </si>
  <si>
    <t>nhatnt2</t>
  </si>
  <si>
    <t>SR_VN_20230825_863935
SR_VN_20230824_863188</t>
  </si>
  <si>
    <t>Cấp phát theo luồng nBox</t>
  </si>
  <si>
    <t>Cấp phát tài nguyên server FTP cho hệ thống IBM</t>
  </si>
  <si>
    <t>SR_VN_20230830_867755</t>
  </si>
  <si>
    <t>KTTC:30/08-08/09/2023</t>
  </si>
  <si>
    <t>Cấp phát tài nguyên hệ thống USSD098 chuyển đổi CSDL mã nguồn mở</t>
  </si>
  <si>
    <t>phucnd12</t>
  </si>
  <si>
    <t>SR_VN_20230912_877415</t>
  </si>
  <si>
    <t>VHKT: 28/09 - 06/10</t>
  </si>
  <si>
    <t>Cấp phát tài nguyên hệ thống IPCC 2.0</t>
  </si>
  <si>
    <t>SR_VN_20230831_868990
SR_VN_20230908_875132</t>
  </si>
  <si>
    <t>Cấp phát tài nguyên hệ thống Hóa đơn điện tử truyền nhận</t>
  </si>
  <si>
    <t>SR_VN_20230919_883121</t>
  </si>
  <si>
    <t>KTTC yêu cầu gộp lại thành 1 bản sizing duy nhất</t>
  </si>
  <si>
    <t>Hủy</t>
  </si>
  <si>
    <t xml:space="preserve">Cấp phát bổ sung tài nguyên cho hệ thống QLSX Jira </t>
  </si>
  <si>
    <t>dinhvv, chinh3</t>
  </si>
  <si>
    <t>SR_VN_20230915_880493</t>
  </si>
  <si>
    <t>KTTC:15/09-22/09/2023</t>
  </si>
  <si>
    <t>cấp phát tài nguyên hệ thống BCCS CC</t>
  </si>
  <si>
    <t>hungpm6, hoangnt14</t>
  </si>
  <si>
    <t>SR_VN_20230915_880549</t>
  </si>
  <si>
    <t>cấp phát tài nguyên hệ thống CMP</t>
  </si>
  <si>
    <t>duongvx, ducdm25</t>
  </si>
  <si>
    <t>SR_VN_20230920_883909
SR_VN_20231030_919726</t>
  </si>
  <si>
    <t>cấp phát tài nguyên bổ sung cho hệ thống đối soát trong nước</t>
  </si>
  <si>
    <t>SR_VN_20231228_971876</t>
  </si>
  <si>
    <t>KTTC: 28/12-4/1/2024</t>
  </si>
  <si>
    <t>cấp phát tài nguyên  cho hệ thống vBHXH</t>
  </si>
  <si>
    <t>SR_VN_20230928_891118
SR_VN_20230929_891788</t>
  </si>
  <si>
    <t>cấp phát tài nguyên cho DB tổng đài 198</t>
  </si>
  <si>
    <t>DVKH</t>
  </si>
  <si>
    <t>trong td1</t>
  </si>
  <si>
    <t>SR_VN_20231009_898775
SR_VN_20231016_904382</t>
  </si>
  <si>
    <t>KTTC:9/10-16/10
VHKT: 16/10-23/10</t>
  </si>
  <si>
    <t>Điều chuyển 2 sv vật lý cho IPCC HNI làm DR DB</t>
  </si>
  <si>
    <t>trongtd1</t>
  </si>
  <si>
    <t>không tạo SR</t>
  </si>
  <si>
    <t>cấp phát tài nguyên hệ thống video call stringee</t>
  </si>
  <si>
    <t>hoangnt14</t>
  </si>
  <si>
    <t>SR_VN_20231019_907977</t>
  </si>
  <si>
    <t>VTNET từ chối với lí do: chưa có sở cứ rõ ràng từ 45000 cuộc gọi theo "dự kiến"; chưa chỉ rõ mở rộng trên node lưu trữ nào hay chia đều cả hai node 
Đang yêu cầu hoangnt14 sizing lại</t>
  </si>
  <si>
    <t>19/10/2023</t>
  </si>
  <si>
    <t>KTTC:19/10-26/10/2023</t>
  </si>
  <si>
    <t>Cấp bổ sung dung lượng cho hệ thống Smart Motor</t>
  </si>
  <si>
    <t>SR_VN_20231115_933218</t>
  </si>
  <si>
    <t>KTTC:15/11-22/11/2023</t>
  </si>
  <si>
    <t>Cấp tài nguyên cho hệ thống TMS V6</t>
  </si>
  <si>
    <t>SR_VN_20231114_932016</t>
  </si>
  <si>
    <t>Nbox: 21/11-22/11/2023</t>
  </si>
  <si>
    <t>Cấp phát tài nguyên hệ thống MyLife</t>
  </si>
  <si>
    <t>SR_VN_20231129_945650
SR_VN_20231130_946805</t>
  </si>
  <si>
    <t>VTNET đang cấp phát tài nguyên</t>
  </si>
  <si>
    <t>VHKT: 8/12/2023</t>
  </si>
  <si>
    <t>Thu hồi tài nguyên 2 server VTT - Migrate</t>
  </si>
  <si>
    <t>SR_VN_20240220_1016538</t>
  </si>
  <si>
    <t>VHKT:20/2/2024 - 22/2/2024</t>
  </si>
  <si>
    <t>Cấp phát tài nguyên hệ thống Vtag</t>
  </si>
  <si>
    <t>GPCNTT</t>
  </si>
  <si>
    <t>tungnt12</t>
  </si>
  <si>
    <t>SR_VN_20231211_955751</t>
  </si>
  <si>
    <t>Hiện đã thống nhất giữa VTS và VTN về phương án cấp tài nguyên chung Vtracking, đang triển khai các bước tiếp theo</t>
  </si>
  <si>
    <t>7/12/2023</t>
  </si>
  <si>
    <t>KTTC:11/12-18/12/2023</t>
  </si>
  <si>
    <t>Cấp phát tài nguyên MapppingGW</t>
  </si>
  <si>
    <t>SR_VN_20231211_955585
SR_VN_20231211_955847</t>
  </si>
  <si>
    <t xml:space="preserve">Huỷ do hanq1 sizing lại phương án khác </t>
  </si>
  <si>
    <t>Cấp phát tài nguyên dựng AI Digital Human</t>
  </si>
  <si>
    <t>SR_VN_20231212_956779</t>
  </si>
  <si>
    <t>KTTC:12/12-19/12/2023</t>
  </si>
  <si>
    <t>13/12/2023</t>
  </si>
  <si>
    <t>Cấp phát tài nguyên hệ thống IPCC phân hệ Videocall và Social</t>
  </si>
  <si>
    <t>SR_VN_20231215_960486</t>
  </si>
  <si>
    <t>KTTC:15/12-25/12/2023</t>
  </si>
  <si>
    <t>cấp phát tài nguyên  hệ thống Viettel++ chạy chương trình Tết 2024</t>
  </si>
  <si>
    <t>SR_VN_20240104_977532</t>
  </si>
  <si>
    <t>KTTC:4/1-11/1/2024</t>
  </si>
  <si>
    <t>cấp phát server HDDT xăng dầu VTT</t>
  </si>
  <si>
    <t>SR_VN_20240110_982362
SR_VN_20240116_988764(thu hồi tài nguyên)</t>
  </si>
  <si>
    <t>KTTC:8/1-16/1/2024</t>
  </si>
  <si>
    <t>23/1/2024</t>
  </si>
  <si>
    <t xml:space="preserve">Bổ sung dung lượng Voice Brandname </t>
  </si>
  <si>
    <t>SR_VN_20240109_981257</t>
  </si>
  <si>
    <t>KTTC:9/1-16/1/2024</t>
  </si>
  <si>
    <t>Bổ sung tài nguyên cho TV360 backend và kho Video</t>
  </si>
  <si>
    <t>SR_VN_20240115_987094</t>
  </si>
  <si>
    <t xml:space="preserve">Đã huỷ do VTNET không đủ tài nguyên cấp </t>
  </si>
  <si>
    <t>KTTC:11/1-18/1/2024</t>
  </si>
  <si>
    <t>20/1/2024</t>
  </si>
  <si>
    <t>Cấp phát tài nguyên CCAI 2023</t>
  </si>
  <si>
    <t>SR_VN_20240201_1016847</t>
  </si>
  <si>
    <t>Đã cấp phát xong, VTNET chưa cấp được storage Bigdata + Archiving</t>
  </si>
  <si>
    <t>19/1/2024</t>
  </si>
  <si>
    <t>KTTC:16/2-23/2/2024</t>
  </si>
  <si>
    <t>Bổ sung tài nguyên Stringee Video</t>
  </si>
  <si>
    <t>SR_VN_20240119_992661</t>
  </si>
  <si>
    <t>KTTC:19/1/-29/1/2024</t>
  </si>
  <si>
    <t>cấp phát server thử nghiệm AI Camera cho chuỗi cửa hàng Viettel</t>
  </si>
  <si>
    <t>SR_VN_20240131_1003698</t>
  </si>
  <si>
    <t>KTTC:26/1-2/2/2024</t>
  </si>
  <si>
    <t>Cấp phát hạ tầng Campaign Management</t>
  </si>
  <si>
    <t>SR_VN_20240229_1028368</t>
  </si>
  <si>
    <t>Đã cấp phát xong
26/7: huyndn đã cấp phát xong</t>
  </si>
  <si>
    <t>KTTC:6/3-15/3/2024</t>
  </si>
  <si>
    <t>Cấp phát tài nguyên DB V-Tracking 2023</t>
  </si>
  <si>
    <t>SR_VN_20240506_1079517</t>
  </si>
  <si>
    <t>soncn2 đang hỏi nốt thông tin kết nối, hạ tầng VTNET đã cấp</t>
  </si>
  <si>
    <t>KTTC: 6/5 - 13/5/2024</t>
  </si>
  <si>
    <t>Cấp phát tài nguyên Cloud-CA</t>
  </si>
  <si>
    <t>SR_VN_20240320_1038556</t>
  </si>
  <si>
    <t>Đã cấp phát xong app, còn phần DB vật lý (chaulm5)</t>
  </si>
  <si>
    <t>KTTC: 20/3-27/3/2024
VHKT: 11/4-19/4/2024</t>
  </si>
  <si>
    <t>Cấp phát tài nguyên hệ thống giám sát prometheus VTT</t>
  </si>
  <si>
    <t>1/4 - 4/4/2024</t>
  </si>
  <si>
    <t>cấp phát DB hệ thống MySign</t>
  </si>
  <si>
    <t>SR_VN_20240327_1044602</t>
  </si>
  <si>
    <t>27/03/2024</t>
  </si>
  <si>
    <t>KTTC: 27/3/2024-3/4/2024
VHKT: 11/4-19/4/2024</t>
  </si>
  <si>
    <t>Tăng dung lượng Smsbrandname</t>
  </si>
  <si>
    <t>SR_VN_20240412_1060111</t>
  </si>
  <si>
    <t>KTTC:11/4-19/4/2024</t>
  </si>
  <si>
    <t xml:space="preserve">Cấp phát tài nguyên Hoá đơn điện tử truyền nhận - stage 2 </t>
  </si>
  <si>
    <t>VTNET đã cấp 25 server trên tổng số 100 server VM hienlt15 yêu cầu</t>
  </si>
  <si>
    <t>5/4 - 8/4/2024</t>
  </si>
  <si>
    <t>Cấp phát tài nguyên Backup - ATTT</t>
  </si>
  <si>
    <t>ATTT</t>
  </si>
  <si>
    <t>SR_VN_20240410_1057140</t>
  </si>
  <si>
    <t>Cấp phát nóng gấp: đầu mối phongkt</t>
  </si>
  <si>
    <t xml:space="preserve">Cấp phát tài nguyên hệ thống Nessus - ATTT </t>
  </si>
  <si>
    <t>SR_VN_20240410_1057256</t>
  </si>
  <si>
    <t>Cấp phát tài nguyên hệ thống Eprofile</t>
  </si>
  <si>
    <t>Vtnet từ chối với lý do: Bổ sung luồng dịch vụ đến các svr cần bổ sung; Tài nguyên object lấy ở đâu; Làm rõ sizing từ 300k lên 3 triệu; profile webservice đang có không đẩy sang server FTP chuyển sang đẩy vào server mới thì tại sao cần cấp phát bổ sung thêm; 
Hủy luồng do cấp phát  bằng sr 1109579 số 89</t>
  </si>
  <si>
    <t>KTTC: 2/5-5/5/2024
Hủy luồng cấp phát</t>
  </si>
  <si>
    <t xml:space="preserve">nâng cấu hình Roaming 1 </t>
  </si>
  <si>
    <t>KTTC: 9/5-12/5/2024; VHKT: 17/5/2024</t>
  </si>
  <si>
    <t>Cấp phát tài nguyên hệ thống VTT Analytic</t>
  </si>
  <si>
    <t>Vtnet yêu cầu công văn ký từ 2 bên vtt và vtnet để bàn giao acc root và cài lại OS</t>
  </si>
  <si>
    <t>02/05/2024 </t>
  </si>
  <si>
    <t>Cấp phát tài nguyên hệ thống My Viettel recommend &amp; AI system</t>
  </si>
  <si>
    <t xml:space="preserve"> hủy do tài nguyên SAN 2021 không đủ dể cấp phát, lộ trình sẽ được cập nhật sau,
 đã bổ sung nội dung công việc mới số 86</t>
  </si>
  <si>
    <t xml:space="preserve">Cấp phát tài nguyên Voice To Text </t>
  </si>
  <si>
    <t>thangnd21</t>
  </si>
  <si>
    <t>KTTC: 23/5-26/5/2024</t>
  </si>
  <si>
    <t>Cấp phát bổ sung tài nguyên VDA VTT</t>
  </si>
  <si>
    <t>ndtho</t>
  </si>
  <si>
    <t>SR_VN_20240504_1078614</t>
  </si>
  <si>
    <r>
      <rPr>
        <sz val="10"/>
        <color theme="1"/>
        <rFont val="Times New Roman"/>
      </rPr>
      <t>3 svr db: cấp NAS theo SR1079086</t>
    </r>
    <r>
      <rPr>
        <b/>
        <sz val="10"/>
        <color theme="1"/>
        <rFont val="Times New Roman"/>
      </rPr>
      <t>(VHKT từ chối với lý do bổ sung sizing, PYC)</t>
    </r>
    <r>
      <rPr>
        <sz val="10"/>
        <color theme="1"/>
        <rFont val="Times New Roman"/>
      </rPr>
      <t xml:space="preserve">, cấp IP NAS theo SR1079066(hoàn thành)
Thay đổi HA cho K8s: thu hồi 2 VM theo SR 1079166; cấp phát lại 2 VM theo SR 1079167 </t>
    </r>
    <r>
      <rPr>
        <b/>
        <i/>
        <sz val="10"/>
        <color theme="1"/>
        <rFont val="Times New Roman"/>
      </rPr>
      <t>(VHKT từ chối với lý do đầu mối kiennt9 không phản hồi yêu cầu thu hồi VM)</t>
    </r>
  </si>
  <si>
    <t>KTTC:4/5-10/5/2024(hoàn thành)
VHKT: 6/5-13/5/2024
Hủy do trung tâm VAS không phản hồi</t>
  </si>
  <si>
    <t>Cấp phát tài nguyên hệ thống Isign</t>
  </si>
  <si>
    <t>9/5-12/5/2024</t>
  </si>
  <si>
    <t>16/5/2024</t>
  </si>
  <si>
    <t>Cấp phát tài nguyên bổ sung Vtracking2.0</t>
  </si>
  <si>
    <t>SR_VN_20240516_1091648</t>
  </si>
  <si>
    <r>
      <rPr>
        <sz val="11"/>
        <color indexed="64"/>
        <rFont val="Symbol"/>
      </rPr>
      <t xml:space="preserve">     ·  </t>
    </r>
    <r>
      <rPr>
        <sz val="11"/>
        <color indexed="64"/>
        <rFont val="Calibri"/>
      </rPr>
      <t>Ngày 5/12 đã cấp xong 3VM và quy hoạch lại IP để nâng cấp tiếp 9VM
Dự kiến hoàn thành trước 20/12/2024</t>
    </r>
  </si>
  <si>
    <t>Cấp phát tài nguyên hệ thống giám sát prometheus VTT (Quy hoạch zone có thể kết nối ra public port 80, 444)</t>
  </si>
  <si>
    <t>SR_VN_20240628_1130334</t>
  </si>
  <si>
    <t>23/5/2024</t>
  </si>
  <si>
    <t>KTTC: 28/6/2024 - 5/7/2024; VHKT: 1/7/2024 - 5/7/2024</t>
  </si>
  <si>
    <t>Cấp phát thêm mBCCS_v1</t>
  </si>
  <si>
    <t>huylq29</t>
  </si>
  <si>
    <t>KTTC:27/6/2024 - 2/7/2024; VHKT: 1/7 - 4/7/2024</t>
  </si>
  <si>
    <t>Cấp phát thêm AI_chatbot</t>
  </si>
  <si>
    <t>KTTC:27/6/2024 - 2/7/2024; VHKT: 2/7 - 3/7/2024</t>
  </si>
  <si>
    <t>Cấp phát tài nguyên hệ thống My viettel
 recommend &amp; AI system</t>
  </si>
  <si>
    <t>SR_VN_20240531_1104153</t>
  </si>
  <si>
    <t>31/5/2024</t>
  </si>
  <si>
    <t>KTTC:31/5/2024 - 7/6/2024</t>
  </si>
  <si>
    <t>hủy</t>
  </si>
  <si>
    <t xml:space="preserve"> bo sung HDD cho TTONLINE</t>
  </si>
  <si>
    <t>SR_VN_20240620_1122498</t>
  </si>
  <si>
    <t>KTTC:20/6 - 27/6/2024; VHKT: 1/7-8/7/2024</t>
  </si>
  <si>
    <t>cấp phát tài nguyên cho VESS_HKD</t>
  </si>
  <si>
    <t>KTTC:25/6 - 28/6/2024; VHKT: 27/6 - 9/7/2024</t>
  </si>
  <si>
    <t>26/7/2024</t>
  </si>
  <si>
    <t>SR_VN_20240606_1109579</t>
  </si>
  <si>
    <t>Hủy do không có tài nguyên s3, VTnet yêu  cầu làm rõ thêm thông tin sizing, đang 
tiến hành làm rõ kế hoạch cấp phát và các thông tin vtnet yêu cầu.</t>
  </si>
  <si>
    <t>KTTC:6/6 - 12/6/2024 
Hủy SR này</t>
  </si>
  <si>
    <t>Bổ sung dung lượng + RAM TTCE</t>
  </si>
  <si>
    <t>SR_VN_20240704_1136625; SR_VN_20240710_1141281</t>
  </si>
  <si>
    <t>KTTC:24/6 - 1/7/2024; VHKT: 10/7 -  16/7/2024</t>
  </si>
  <si>
    <t>đề xuất thu hồi tài nguyên dự án Imuzik phase1 để cấp phát tài nguyên nóng gấp triển khai mydio</t>
  </si>
  <si>
    <t>SR_VN_20240621_1123835</t>
  </si>
  <si>
    <t>21/6/2024</t>
  </si>
  <si>
    <t>KTTC:21/6 - 29/6/2024</t>
  </si>
  <si>
    <t>24/06/2024</t>
  </si>
  <si>
    <t xml:space="preserve">Cấp phát tài nguyên hệ thống My viettel
 recommend &amp; AI system </t>
  </si>
  <si>
    <t>SR_VN_20240624_1125583</t>
  </si>
  <si>
    <t xml:space="preserve"> Đã hoàn thành</t>
  </si>
  <si>
    <t>KTTC:24/6 - 1/7/2024
VHKT:27/6-4/7/2024</t>
  </si>
  <si>
    <t>Cấp phát tài nguyên hệ thống Appsealing</t>
  </si>
  <si>
    <t>SR_VN_20240625_1126719</t>
  </si>
  <si>
    <t>25/06/2024</t>
  </si>
  <si>
    <t>KTTC:25/6 - 2/7/2024</t>
  </si>
  <si>
    <t>Cấp phát tài nguyên hệ thống CampaignManagement (ELK + API)</t>
  </si>
  <si>
    <t>QLCD</t>
  </si>
  <si>
    <t>SR_VN_20240905_1191162
SR_VN_20240913_1197869</t>
  </si>
  <si>
    <t xml:space="preserve">VHKT: 05/09 - 13/09 </t>
  </si>
  <si>
    <t>4/10/2024</t>
  </si>
  <si>
    <t>Cấp phát tài nguyên hệ thống Eprofile (giai đoạn 1)</t>
  </si>
  <si>
    <t>SR_VN_20240627_1129447</t>
  </si>
  <si>
    <t>Cấp phát giai đoạn 1 (21VM)
Đã hoàn thành</t>
  </si>
  <si>
    <t>KTTC:27/6 - 4/7/2024
VHKT:3/7-10/7/2024(reject)
VHKT:8/7-15/7/2024</t>
  </si>
  <si>
    <t>Cấp phát tài nguyên hệ thống TSA</t>
  </si>
  <si>
    <t>SR_VN_20240708_1139274</t>
  </si>
  <si>
    <t>KTTC:8/7 - 16/7/2024</t>
  </si>
  <si>
    <t xml:space="preserve">Cấp phát tài nguyên Mydio VTT </t>
  </si>
  <si>
    <t>KTTC: 8/7 -10/7/2024 ; VHKT: 17/7 -31/7/2024</t>
  </si>
  <si>
    <t>Cấp phát tài nguyên TVBH Meta</t>
  </si>
  <si>
    <t>SR_VN_20240917_1200114
SR_VN_20241002_1213637</t>
  </si>
  <si>
    <t>Thu hồi VM hệ thống Unify Catalog (cụm Cisco_2020_HLC) theo SR_VN_20240719_1149112</t>
  </si>
  <si>
    <t>anhdt156</t>
  </si>
  <si>
    <t>SR_VN_20240719_1149112; SR_VN_20240719_1149113</t>
  </si>
  <si>
    <t>Đã hoàn thành 2 SR:
Thu hồi: SR_VN_20240719_1149112
Cấp phát: SR_VN_20240719_1149113</t>
  </si>
  <si>
    <t>26/06/2024</t>
  </si>
  <si>
    <t>Vnet báo 31/07 hoàn thành</t>
  </si>
  <si>
    <t>31/07//2024</t>
  </si>
  <si>
    <t>Cấp phát tài nguyeen nâng tải BCCS_CA</t>
  </si>
  <si>
    <t>đã hoàn thành</t>
  </si>
  <si>
    <t>KTTC: 12/8 -15/8/2024; VHKT: 15/8-20/8/2024</t>
  </si>
  <si>
    <t>Cấp phát tài nguyeên hệ thống GBOC</t>
  </si>
  <si>
    <t>SR_VN_20240821_1178928</t>
  </si>
  <si>
    <t>hoàn thành</t>
  </si>
  <si>
    <t>KTTC: 13/8 -15/8/2024 (hủy SR nbox)
KTTC: 21/8-27/8/2024 (hoàn thành)
VHKT:21/8-28/8/2024 (hủy)
VHKT: 5/9-12/9/2024 (hoàn thành)</t>
  </si>
  <si>
    <t>cấp phát tài nguyên streming IPCC 1.0</t>
  </si>
  <si>
    <t>KTTC: 12/8 -15/8/2024; VHKT: 15/8 - 29/8/2024</t>
  </si>
  <si>
    <t xml:space="preserve">Thu hồi 10 server cho Imuzik dồn dịch sang VTT private cloud </t>
  </si>
  <si>
    <t>SR_VN_20240814_1172375
SR_VN_20240814_1172546</t>
  </si>
  <si>
    <t>Cấp phát tài nguyên hệ thống Mykid Plus</t>
  </si>
  <si>
    <t>SR_VN_20240816_1174839
SR_VN_20240923_1204991</t>
  </si>
  <si>
    <t>KTTC: 16/8 - 23/8/2024
VHKTTC: 24/8/2024</t>
  </si>
  <si>
    <t>cấp thêm IP public cho HKD_VESS</t>
  </si>
  <si>
    <t>SR_VN_202400816_1175147; SR_VN_20240828_1185062</t>
  </si>
  <si>
    <t>KTTC: 16/8 - 23/8/2024; VHKT: 28/8 - 6/9/2024</t>
  </si>
  <si>
    <t>Cấp phát tài nguyên hệ thống My viettel recommend &amp; AI system (GĐ2)</t>
  </si>
  <si>
    <t>SR_VN_20240827_1183679</t>
  </si>
  <si>
    <t>KTTC: 27/8 - 5/9/2024
VHKT:5/9 - 12/9/2024 (hủy)
VHKT:10/9 - 17/9/2024</t>
  </si>
  <si>
    <t>17/9/2024</t>
  </si>
  <si>
    <t>Cấp phát tài nguyên hệ thống Roaming tập trung</t>
  </si>
  <si>
    <t>dungpt16</t>
  </si>
  <si>
    <t>SR_VN_20240827_1183747
SR_VN_20240913_1197814</t>
  </si>
  <si>
    <t>30/08/2024</t>
  </si>
  <si>
    <t>KTTC: 27/8 - 6/9/2024
VHKTTC: 16-23/09</t>
  </si>
  <si>
    <t>Cấp phát tài nguyên hệ thống Phí Bán Hàng 4.0</t>
  </si>
  <si>
    <t>Cấp phát tài nguyên tối thiểu triển khai thử nghiệm (trong vòng 6 tháng)</t>
  </si>
  <si>
    <t>28/08/2024</t>
  </si>
  <si>
    <t>KTTC: 30/08/2024 16:32 - 10/09/2024
Thực tế: 28/08/2024 16:32</t>
  </si>
  <si>
    <t xml:space="preserve">Cấp NAS cho Voice to text </t>
  </si>
  <si>
    <t>SR_VN_20240828_1185499</t>
  </si>
  <si>
    <t>KTTC: 28/08/2024 - 06/09/2024</t>
  </si>
  <si>
    <t>Cấp phát tài nguyên cắt chuyển DB cho hệ thống Quản lý bảo hành</t>
  </si>
  <si>
    <t>KTTC 23/09/2024 16:37 - 25/09/2024 04:37
VHKT: 25/9-26/9/2024</t>
  </si>
  <si>
    <t>Cấp phát cụm dự phòng Redis</t>
  </si>
  <si>
    <t>Nbox: 29/08/2024 16:00 - 04/08/2024 04:00</t>
  </si>
  <si>
    <t xml:space="preserve">cài lại HĐH centos 9 final aichatbot, mbccs </t>
  </si>
  <si>
    <t>SR_VN_20240828_1185067; SR_VN_20240828_1185066</t>
  </si>
  <si>
    <t xml:space="preserve">VHKT: 28/8 - 6/9/2024 </t>
  </si>
  <si>
    <t>Cấp phát bổ sung RAM cho IPCC 2.0</t>
  </si>
  <si>
    <t>SR_VN_20240905_1191008
SR_VN_20240917_1199882</t>
  </si>
  <si>
    <t>VHKT: 05/09 - 13/09</t>
  </si>
  <si>
    <t>Cấp phát AAM VTT</t>
  </si>
  <si>
    <t>SR_VN_20240905_1191031
SR_VN_20240917_1200095</t>
  </si>
  <si>
    <t>VHKT: 05/09 - 13/09
VHKTTC: 17-24/09</t>
  </si>
  <si>
    <t>Cấp phát Smart Motor</t>
  </si>
  <si>
    <t>KTTC: 5/9 - 10/9; VHKT: 10/9 - 17/9/2024</t>
  </si>
  <si>
    <t>bổ sung tài nguyên DB cho Smart Motor</t>
  </si>
  <si>
    <t>SR_VN_20240910_1194951</t>
  </si>
  <si>
    <r>
      <rPr>
        <sz val="10"/>
        <color theme="1"/>
        <rFont val="Times New Roman"/>
      </rPr>
      <t xml:space="preserve">KTTC đang thẩm định; dungld10 yêu cầu tạo lại SR cho thangtd1 thẩm định; dung10 đang check rồi phản hồi sau 18/9/2024
</t>
    </r>
    <r>
      <rPr>
        <sz val="10"/>
        <color indexed="2"/>
        <rFont val="Times New Roman"/>
      </rPr>
      <t>SR bị hủy do chưa thống nhất được thời gian thực hiện kế hoạch với đối tác. Đang chờ đội dự án làm việc với đối tác để KTTC đẩy lại SR</t>
    </r>
  </si>
  <si>
    <t>KTTC: 10/9 - 17/9/2024</t>
  </si>
  <si>
    <t>Cấp phát tài nguyên hệ thống QLHS (bổ sung tài nguyên)</t>
  </si>
  <si>
    <t>SR_VN_20240911_1195664</t>
  </si>
  <si>
    <t>KTTC: hoàn thành
VHKTTC: Hoàn thành</t>
  </si>
  <si>
    <t>KTTC: 11/9 - 18/9/2024
VHKT:24/9 -30/9/2024</t>
  </si>
  <si>
    <t>Cấp phát tài nguyên hệ thống Phạt chế tài</t>
  </si>
  <si>
    <t>KTTC:24/9 - 26/9/2024
VHKT: 26/9-5/10/2024</t>
  </si>
  <si>
    <t>Cấp phát tài nguyên hệ thống VAAA</t>
  </si>
  <si>
    <t>Hủy SR Nbox do quy hoạch không chung dải LB được</t>
  </si>
  <si>
    <t>KTTC 23/09/2024 17:23 - 25/09/2024 05:23</t>
  </si>
  <si>
    <t>Tăng dung lượng giám sát cuộc gọi CSKH</t>
  </si>
  <si>
    <t>linhnvc</t>
  </si>
  <si>
    <t>SR_VN_20241231_1286891</t>
  </si>
  <si>
    <t>KTTC: 31/12/2024 - 8/1/2025</t>
  </si>
  <si>
    <t>cấp phát tài nguyên consumer</t>
  </si>
  <si>
    <t>KTTC:15/10/2024 - 17/10/2024</t>
  </si>
  <si>
    <t>21/10/2024</t>
  </si>
  <si>
    <t>Cấp phát tài nguyên backup dữ liệu Hadoop hệ thống FMRA</t>
  </si>
  <si>
    <t>KTTC: 23/10/2024 11:06 - 24/10/2024 23:06</t>
  </si>
  <si>
    <t>Tăng dung lượng callbot inbound CSKH</t>
  </si>
  <si>
    <t>SR_VN_20250331_1353768</t>
  </si>
  <si>
    <t>KTTC: 31/3/2025 - 08/04/2025; VHKT: 4/4 -10/4/2025</t>
  </si>
  <si>
    <t>Cấp phát tài nguyên PBH3.0 phục vụ cắt chuyển DB</t>
  </si>
  <si>
    <t>Cấp qua chaulm5</t>
  </si>
  <si>
    <t xml:space="preserve">Đã hoàn thành </t>
  </si>
  <si>
    <t>Thời gian dự kiến: 1/11 - 1/12/2024</t>
  </si>
  <si>
    <t>Cấp phát tài nguyên hệ thống CCAI</t>
  </si>
  <si>
    <t>SR_VN_20241107_1243780
SR_VN_20241114_1249090</t>
  </si>
  <si>
    <t>Hoàn thành cấp phát trên cụm Cloud 2024 VTT</t>
  </si>
  <si>
    <t>Nbox: 5/11/2024 - 12/11/2024: Hủy
KTTC:7/11/2024 - 14/11/2024
VHKT: 14/11/2024 -26/11/2024</t>
  </si>
  <si>
    <t>Thu hồi tài nguyên hệ thống VTSHOP</t>
  </si>
  <si>
    <t>manhps</t>
  </si>
  <si>
    <t>SR_VN_20241107_1243751</t>
  </si>
  <si>
    <t>KTTC: 7/11/2024 - 15/11/2024</t>
  </si>
  <si>
    <t xml:space="preserve">  bổ sung tài nguyên dung lượng NAS cho mydio</t>
  </si>
  <si>
    <t>SR_VN_20241121_1254682</t>
  </si>
  <si>
    <t>KTTC: 21/11/2024 - 29/11/2024</t>
  </si>
  <si>
    <t xml:space="preserve">  bổ sung tài nguyên dung lượng NAS cho VDA</t>
  </si>
  <si>
    <t>SR_VN_20241122_1255453</t>
  </si>
  <si>
    <t>22/11/2024</t>
  </si>
  <si>
    <t>KTTC: 22/11/2024 - 29/11/2024</t>
  </si>
  <si>
    <t>Cấp phát tài nguyên hệ thống QLHS (bổ sung tài nguyên S3 storage)</t>
  </si>
  <si>
    <t>SR_VN_20241128_1259463</t>
  </si>
  <si>
    <t>Hạ tầng cũ không đảm bảo, VTNet đang làmm việc với đội dự án để cấp phát mới trên hạ tầng mới qua mail (cấp S3 storage) =&gt; hủy, cấp phát qua SR mới</t>
  </si>
  <si>
    <t>KTTC: 28/11/2024 - 5/12/2024 
5/12-12/12/2024</t>
  </si>
  <si>
    <t>Hủy cấp phát theo SR mới</t>
  </si>
  <si>
    <t>Cấp phát tài nguyên vật lý GPU CCAI</t>
  </si>
  <si>
    <t>29/11/2024</t>
  </si>
  <si>
    <t>29/11/2024 - 20/1/2025</t>
  </si>
  <si>
    <t>bổ sung tài nguyên hóa đơn điện tử 2.0</t>
  </si>
  <si>
    <t>SR_VN_20241210_1269691</t>
  </si>
  <si>
    <t>VTNET từ chối do đã hết hạ tầng nâng cấp cloud HPE 2020 - bachnh3 18/12/2024; chaulm5, kietna đang check tài nguyên còn có khả năng mở rộng được không 7/1/2025</t>
  </si>
  <si>
    <t>KTTC: 10/12/2024 - 17/12/2024</t>
  </si>
  <si>
    <t>SR yêu cầu cấp phát bổ sung thêm tài nguyên dung lượng DB cho Smart Motor</t>
  </si>
  <si>
    <t>SR_VN_20241217_1275794</t>
  </si>
  <si>
    <t>KTTC: 17/12/2024 - 24/12/2024
vhkt: 18/12/2024 - 27/12/2024</t>
  </si>
  <si>
    <t>Thu hồi tài nguyên hệ thống GBOC</t>
  </si>
  <si>
    <t>DoHV</t>
  </si>
  <si>
    <t>SR_VN_20241206_1266102
SR_VN_20241213_1272960</t>
  </si>
  <si>
    <t>Thu hồi tài nguyên hệ thống Hóa đơn điện tử</t>
  </si>
  <si>
    <t>SR_VN_20241230_1285560
SR_VN_20250110_1295435</t>
  </si>
  <si>
    <t>30/12/2024</t>
  </si>
  <si>
    <t>KTTC: 30/12/2024 - 08/01/2025</t>
  </si>
  <si>
    <t>Thu hồi tài nguyên hệ thống ShopOne</t>
  </si>
  <si>
    <t>Hủy. Đội dự án làm backup</t>
  </si>
  <si>
    <t>SR_VN_20241212_1272149</t>
  </si>
  <si>
    <t>SR_VN_20250115_1299466</t>
  </si>
  <si>
    <t>KTTC: 15/01/2024 - 22/01/2025</t>
  </si>
  <si>
    <t>17/01/2025</t>
  </si>
  <si>
    <t>Cấp phát tài nguyên chuyển đổi EOL Truyền thông online</t>
  </si>
  <si>
    <t>SR_VN_20250114_1297896
SR_VN_20250205_1313362</t>
  </si>
  <si>
    <t>KTTC: 05/02/2025-12/02/2025</t>
  </si>
  <si>
    <t>Cấp phát tài nguyên Callbot Inbound</t>
  </si>
  <si>
    <t>SR_VN_20241216_1274624
SR_VN_20250114_1298531 (SR bô sung)</t>
  </si>
  <si>
    <t>Đã cấp phát máy ảo (27/12), đội dự án đang check cấu hình 
svr. Phần nâng cấp server cũ, khảo sát với BO và tạo SR khác server vật lý, dự kiến 20/1 sẵn sàng
Tạo lại SR để cấp phát đúng vCPU theo đội dự án (SR_VN_20250114_1298531)</t>
  </si>
  <si>
    <t>Gnoc: 16/12/2024 - 23/12/2024 (hoàn thành)
Gnoc: 14/1/2025 - 22//1/2025 (cấp phát bổ  sung RAM, vCPU)</t>
  </si>
  <si>
    <t>Bổ sung tài nguyên 2022 Hệ thống GSCG CSKH</t>
  </si>
  <si>
    <t>SR_VN_20241216_1274468</t>
  </si>
  <si>
    <t>SR Cấp phát GSCG CSKH: SR_VN_20250113_1297085
(hoàn thành 17/01)
SR Nâng cấp GSCG CSKH: SR_VN_20250113_1297086(vtnet đang y/c giảm 5tb xuống 3tb, tạo lại sr)</t>
  </si>
  <si>
    <t>16/12/2024</t>
  </si>
  <si>
    <t>Gnoc: 15/01/2025 - 22/01/2025</t>
  </si>
  <si>
    <t>Cấp phát tài nguyên vật lý Callbot Inbound</t>
  </si>
  <si>
    <t>13/12/2024 - 20/1/2025</t>
  </si>
  <si>
    <t>Cấpp phát tài nguyên vật lý GSCG CSKH</t>
  </si>
  <si>
    <t>16/12/2024 - 20/1/2025</t>
  </si>
  <si>
    <t xml:space="preserve">SR bổ sung NAS backup cho phân vùng lưu trữ media đảm bảo RTO hệ thống </t>
  </si>
  <si>
    <t>SR_VN_20241218_1276702</t>
  </si>
  <si>
    <t>KTTC: 18/12/2024 - 25/12/2024</t>
  </si>
  <si>
    <t xml:space="preserve">Hủy </t>
  </si>
  <si>
    <t>cấp NAS giám sát prometheus  MYCLIP</t>
  </si>
  <si>
    <t>SR_VN_20241226_1283436</t>
  </si>
  <si>
    <t>26/12/2024</t>
  </si>
  <si>
    <t>KTTC: 06/02/2025 - 13/02/2025</t>
  </si>
  <si>
    <t>18/02/2025</t>
  </si>
  <si>
    <t>SR cấp phát tài nguyên server DB roaming tạm thời 12 tháng</t>
  </si>
  <si>
    <t>ĐS</t>
  </si>
  <si>
    <t>anhnt162</t>
  </si>
  <si>
    <t>SR_VN_20250117_1301817</t>
  </si>
  <si>
    <t>27/12/2024</t>
  </si>
  <si>
    <t>KTTC: 17/1/2025 - 24/01/2025</t>
  </si>
  <si>
    <t>20/02/2025</t>
  </si>
  <si>
    <t>Cấp phát tài nguyên hệ thống gửi thông báo cước qua email</t>
  </si>
  <si>
    <t>SR_VN_20250114_1297928</t>
  </si>
  <si>
    <t>KTTC: 17/02/2024 -27/02/2025</t>
  </si>
  <si>
    <t>Cấp phát tài nguyên hệ thống Myshop</t>
  </si>
  <si>
    <t>SR_VN_20250113_1297130</t>
  </si>
  <si>
    <t>KTTC: 08/01/2025 - 16/01/2025</t>
  </si>
  <si>
    <t>Cấp phát tài nguyên hệ thống APIGW Public-Test</t>
  </si>
  <si>
    <t>SR_VN_20250115_1299857
SR_VN_20250206_1314391</t>
  </si>
  <si>
    <t>VHKTTC: 06/02/2025 - 10/02/2025</t>
  </si>
  <si>
    <t>Cấp phát tài nguyên hệ thống DLP - POC</t>
  </si>
  <si>
    <t>SR_VN_20250116_1300567</t>
  </si>
  <si>
    <t>Hủy. Cấp phát trên hạ tầng test</t>
  </si>
  <si>
    <t>KTTC: 16/01/2025 - 24/01/2025</t>
  </si>
  <si>
    <t>Cấp phát tài nguyên hệ thống Crawler</t>
  </si>
  <si>
    <t>SR_VN_20250203_1311723</t>
  </si>
  <si>
    <t>KTTC: 21/01/2025 - 28/01/2025</t>
  </si>
  <si>
    <t>SR_VN_20250206_1314381</t>
  </si>
  <si>
    <t>KTTC: 6/02/2025 - 12/02/2025</t>
  </si>
  <si>
    <t>Cấp phát tài nguyên hệ thống Backup tập trung cho VTT</t>
  </si>
  <si>
    <t>SR_VN_20250212_1318119</t>
  </si>
  <si>
    <t>Tạo SR cấp phát hệ thống</t>
  </si>
  <si>
    <t>gnoc: 12/2/2025 - 17/02/2025</t>
  </si>
  <si>
    <t>17/02/2025</t>
  </si>
  <si>
    <t>Bổ sung hóa đơn điện tử 2.0</t>
  </si>
  <si>
    <t>SR_VN_20250221_1324586</t>
  </si>
  <si>
    <t xml:space="preserve"> Hủy do VTNET yêu cầu cắt chuyển sang hạ tầng mới </t>
  </si>
  <si>
    <t>KTTC: 21/2/2025 -  28/2/2025; VHKT: 18/4/2025-25/4/2025</t>
  </si>
  <si>
    <t xml:space="preserve">Bổ sung tài nguyên mykid 2.0 </t>
  </si>
  <si>
    <t>SR_VN_20250225_1326491</t>
  </si>
  <si>
    <t>Thu hồi:
SR_VN_20250423_1372627
SR yêu cầu thu hồi phân vùng NAS cho VM hệ thống Mykid2.0 (cụm Cisco_HLC_2024)
SR_VN_20250423_1372645
SR yêu cầu thu hồi VM hệ thống Mykid2.0 (cụm Cisco_HLC_2024)
Cấp phát:
SR_VN_20250423_1372625
SR yêu cầu cấp phát VM hệ thống Mykid2.0 (cụm Cisco_2023)
SR_VN_20250423_1372644
SR yêu cầu cấp phát NAS cho VM hệ thống Mykid2.0 (cụm Cisco_2023)</t>
  </si>
  <si>
    <t>KTTC: 25/2/2025 -  4/3/2025;
 VHKT: 23/4 -6/5/2025</t>
  </si>
  <si>
    <t>Bổ sung Cấp phát tài nguyên hệ thống Phí Bán Hàng 4.0</t>
  </si>
  <si>
    <t>SR_VN_20250331_1353376</t>
  </si>
  <si>
    <t>KTTC: 31/03/2025 -  08/04/2025</t>
  </si>
  <si>
    <t>17/04/2025</t>
  </si>
  <si>
    <t>Bổ sung tài nguyên hệ thống CCAI</t>
  </si>
  <si>
    <t>SR_VN_20250303_1330943</t>
  </si>
  <si>
    <t xml:space="preserve">Hoàn thành </t>
  </si>
  <si>
    <t>27/02/2025</t>
  </si>
  <si>
    <t>KTTC:23/03/2025-28/03/2025
VHKT:28/03/2025-08/04/2025</t>
  </si>
  <si>
    <t>Cấp phát bổ sung tài nguyên hệ thống Myshop</t>
  </si>
  <si>
    <t>SR_VN_20250228_1329736
SR_VN_20250312_1338877 
SR_VN_20250312_1338861</t>
  </si>
  <si>
    <t>24/02/2025</t>
  </si>
  <si>
    <t>KTTC: 28/2-11/3/2025
VHKTTC: 12 - 18/03/2025</t>
  </si>
  <si>
    <t>Cấp phát tài nguyên hệ thống Định danh tại quầy</t>
  </si>
  <si>
    <t>SR_VN_20250303_1330924
SR_VN_20250313_1339237</t>
  </si>
  <si>
    <t>25/02/2025</t>
  </si>
  <si>
    <t>KTTC: 3/3-11/3/2025
VHKTTC: 12 - 18/03/2025</t>
  </si>
  <si>
    <t>Cấp phát tài nguyên bổ sung Vtracking2.0 GĐ2</t>
  </si>
  <si>
    <t>SR_VN_20250113_1297069</t>
  </si>
  <si>
    <t>tạo sr cấp phát GĐ2</t>
  </si>
  <si>
    <t>17/01/2025- 24/01/2025</t>
  </si>
  <si>
    <t>20/01/2025</t>
  </si>
  <si>
    <t>Cấp phát tài nguyên hệ thống MPS</t>
  </si>
  <si>
    <t>SR_VN_20250307_1335608(cancelled)
SR_VN_20250321_1346354
VHKT: SR_VN_20250327_1351862</t>
  </si>
  <si>
    <t>VTNet phản hồi dung lượng RAM lớn, điều chỉnh lại thông tin, đã tạo lại SR mới =&gt; hoàn thành</t>
  </si>
  <si>
    <t>KTTC: 7/3/2025 - 17/3/2025(cancelled)
KTTC: 21/3/2025-28/3/2025
VHKT: 03/04/2025- 11/04/2025</t>
  </si>
  <si>
    <t>Cấp phát tài nguyên hệ thống Jenkins VHKT VTT</t>
  </si>
  <si>
    <t>SR_VN_20250317_1341930
SR_VN_20250320_1345794</t>
  </si>
  <si>
    <t>KTTC: 17/3 - 24/3/2025
VHKTTC: 21/3/2025-28/3/2025</t>
  </si>
  <si>
    <t>Bổ sung thêm tài nguyên redis mykid 2.0</t>
  </si>
  <si>
    <t>SR_VN_20250312_1338857</t>
  </si>
  <si>
    <t>SR bổ sung thêm HDD cho  SR_VN_20250225_132649; khi nào 132649 xong thì SR này xong</t>
  </si>
  <si>
    <t>KTTC: 12/3 - 19/3/2025</t>
  </si>
  <si>
    <t xml:space="preserve">cấp phát tài nguyên hệ thống thoại quốc tế </t>
  </si>
  <si>
    <t>SR_VN_20250318_1343943</t>
  </si>
  <si>
    <t>đội dự án đang xin mở kết nối; hạ tầng đã cấp</t>
  </si>
  <si>
    <t>KTTC: 17/3 - 24/3/2025</t>
  </si>
  <si>
    <t>Cấp phát tài nguyên hệ thống gửi Email hóa đơn điện tử</t>
  </si>
  <si>
    <t>SR_VN_20250403_1357396</t>
  </si>
  <si>
    <t>KTTC: 3/4/2025 - 11/4/2025</t>
  </si>
  <si>
    <t>Chuyển cụm MariaDB HDD sang SSD roaming 2.0</t>
  </si>
  <si>
    <t>SR_VN_20250404_1358278</t>
  </si>
  <si>
    <t>Huỷ do VTNET yêu cầu chuyển toàn bộ cụm cũ sang hạ tầng mới để ssang SSD</t>
  </si>
  <si>
    <t>KTTC: 4/4/2025 - 14/4/2025</t>
  </si>
  <si>
    <t>Thu hồi tài nguyên cụm MyShop</t>
  </si>
  <si>
    <t>SR_VN_20250414_1364476
SR_VN_20250415_1365805</t>
  </si>
  <si>
    <t>Cấp phát tài nguyên hệ thống FTP server - DAC</t>
  </si>
  <si>
    <t>Đối soát</t>
  </si>
  <si>
    <t>SR_VN_20250415_1365247</t>
  </si>
  <si>
    <t>đã tạo SR cấp phát sang VTNet - hoàn thành
KTTC đang  tạo SR cấp phát sang VTNet
Theo dõi qua SR VHKT: SR_VN_20250421_1370506</t>
  </si>
  <si>
    <t>KTTC: 15/4/2025 - 22/4/2025 OK
VHKT: 21/4/2025 - 29/4/2025</t>
  </si>
  <si>
    <t>PYC-40454</t>
  </si>
  <si>
    <t>Cấp phát tài nguyên hệ thống ViettelContract.BCCS</t>
  </si>
  <si>
    <t>SR_VN_20250515_1388162
SR_VN_20250609_1408204</t>
  </si>
  <si>
    <t>SR Trạng thái closed. Chờ VHKTTC gửi thông tin svr</t>
  </si>
  <si>
    <t>VHKTTC: 09/06/2025 - 13/06/2025</t>
  </si>
  <si>
    <t>PYC-41170</t>
  </si>
  <si>
    <t>Cấp phát server Strongswan VPN s2s sang C06</t>
  </si>
  <si>
    <t>SR_VN_20250509_1383135</t>
  </si>
  <si>
    <t>sr cấp phát SR_VN_20250509_1383214</t>
  </si>
  <si>
    <t>22/04/2025</t>
  </si>
  <si>
    <t>KTTC: 09/05/2025 - 15/052025 OK
VHKT: 09/05/2025 - 15/052025 ok</t>
  </si>
  <si>
    <t>14/05/2025</t>
  </si>
  <si>
    <t>Cấp phát tài nguyên hệ thống MappingGW - bàn giao VHKT</t>
  </si>
  <si>
    <t>SR_VN_20250423_1372251</t>
  </si>
  <si>
    <t xml:space="preserve">
tạm hủy do chưa quy hoạch nguồn tài nguyên - thongnv31 đang kiểm tra 
 </t>
  </si>
  <si>
    <t>KTTC: 16/5/2025 - 23/5/2025</t>
  </si>
  <si>
    <t>PYC-41409</t>
  </si>
  <si>
    <t>Cắt chuyển roaming 2.0 sang cụm hạ tầng mới</t>
  </si>
  <si>
    <t>SR_VN_20250507_1381509</t>
  </si>
  <si>
    <t>KTTC: 7/5/2025 - 13/5/2025; VHKT: 23/5 -3/6/2025</t>
  </si>
  <si>
    <t>PYC - 41307</t>
  </si>
  <si>
    <t>Cấp phát tài nguyên Swap các sv TV360 đã EOL</t>
  </si>
  <si>
    <t>SR_VN_20250428_1376197</t>
  </si>
  <si>
    <t>tạo sr cấp phát
Đang trao đổi với KTTC về vị trí quy hoạch 12 sv vật lý</t>
  </si>
  <si>
    <t>PYC-41936</t>
  </si>
  <si>
    <t>Cấp phát tài nguyên hệ thống vBHXH triển khai app mobile</t>
  </si>
  <si>
    <t>trangttt3</t>
  </si>
  <si>
    <t>SR_VN_20250523_1394689
SR_VN_20250523_1394686</t>
  </si>
  <si>
    <t>VHKT: 23-30/5/2025</t>
  </si>
  <si>
    <t>phát sinh ko trong QHDC</t>
  </si>
  <si>
    <t>Cấp phát ứng cứu thông tin hệ thống HDDT</t>
  </si>
  <si>
    <t>SR_VN_20250508_1382218</t>
  </si>
  <si>
    <t>KTTC: 8/5/2025 - 12/5/2025</t>
  </si>
  <si>
    <t>uctt hddt</t>
  </si>
  <si>
    <t>PYC-42747</t>
  </si>
  <si>
    <t>MyKid 2.0_BoSung Redis, ETCD, NAS_2025</t>
  </si>
  <si>
    <t>SR_VN_20250509_1383632</t>
  </si>
  <si>
    <t>Hủy do yêu cầu không thực hiện được trên cụm tài nguyên hiện tại</t>
  </si>
  <si>
    <t>KTTC: 9/5/2025 - 16/5/2025</t>
  </si>
  <si>
    <t>PYC-43710</t>
  </si>
  <si>
    <t>Cấp phát tài nguyên bổ sung hệ thống Video call Stringee</t>
  </si>
  <si>
    <t>Đã tạo SR cấp phát</t>
  </si>
  <si>
    <t>KTTC: 5/6/2025-13/6/2025</t>
  </si>
  <si>
    <t>PYC-43743</t>
  </si>
  <si>
    <t>Cấp phát tài nguyên hệ thống PAM_VTT</t>
  </si>
  <si>
    <t>SR_VN_20250513_1386242
SR_VN_20250522_1393563</t>
  </si>
  <si>
    <t>13/5/2025</t>
  </si>
  <si>
    <t>KTTC: 13/05 - 20/05/2025</t>
  </si>
  <si>
    <t>PYC-43809</t>
  </si>
  <si>
    <t>Cấp phát tài nguyên bổ sung hệ thống Chặn nợ cước định kỳ Pay199</t>
  </si>
  <si>
    <t>datnt59</t>
  </si>
  <si>
    <t>SR_VN_20250523_1394513</t>
  </si>
  <si>
    <t>KTTC: 23/05 - 02/06/2025</t>
  </si>
  <si>
    <t>PYC-43878</t>
  </si>
  <si>
    <t>Cấp phát tài nguyên bổ sung hệ thống Gia hạn/Gạch nợ cho thuê bao ADSL LoginFail</t>
  </si>
  <si>
    <t>SR_VN_20250527_1397074</t>
  </si>
  <si>
    <t>Đã tạo SR cấp phát
Hạ tầng cũ không thể bổ sung dung lượng, đang lên phương án cấp server mới
=&gt; hủy</t>
  </si>
  <si>
    <t xml:space="preserve">KTTC: 27/5/2025 - 3/6/2025 </t>
  </si>
  <si>
    <t>PYC-43863</t>
  </si>
  <si>
    <t>Cấp phát tài nguyên POC Trusted Call- Smart Voice</t>
  </si>
  <si>
    <t>SR_VN_20250527_1397041
SR_VN_20250602_1402592 (VHKT)</t>
  </si>
  <si>
    <t>Đã tạo SR cấp phát
VHKT:SR_VN_20250602_1402592
=&gt;hoàn thành</t>
  </si>
  <si>
    <t>KTTC: 27/5/2025 - 3/6/2025 
VHKT: 3/6/2025 - 8/6/2025</t>
  </si>
  <si>
    <t>Cấp phát tài nguyên dựng cụm Promethues Grafana VTT</t>
  </si>
  <si>
    <t>HT</t>
  </si>
  <si>
    <t>SR_VN_20250526_1396282</t>
  </si>
  <si>
    <t>cấp phát, nâng cấp bổ sung 2 server + nâng cấp tài nguyên RAM, CPU Redis Mykid 2.0</t>
  </si>
  <si>
    <t>SR_VN_20250527_1397361</t>
  </si>
  <si>
    <r>
      <rPr>
        <sz val="10"/>
        <color theme="1"/>
        <rFont val="Times New Roman"/>
      </rPr>
      <t>SR_VN_20250603_1403583 - [VTT] SR cấp phát nâng cấp bổ sung 2 server + nâng cấp tài nguyên RAM, CPU Redis Mykid 2.0 =&gt;</t>
    </r>
    <r>
      <rPr>
        <sz val="10"/>
        <color indexed="2"/>
        <rFont val="Times New Roman"/>
      </rPr>
      <t xml:space="preserve"> closed hoàn thành</t>
    </r>
  </si>
  <si>
    <t>KTTC: 27/5/2025 - 3/6/2025; VHKT: 3-13/6/2025</t>
  </si>
  <si>
    <t>cấp DB + NAS và 5 server ETCD,haproxy, NAS  mykid 2.0</t>
  </si>
  <si>
    <t>SR_VN_20250527_1397362</t>
  </si>
  <si>
    <r>
      <rPr>
        <sz val="10"/>
        <color theme="1"/>
        <rFont val="Times New Roman"/>
      </rPr>
      <t>SR_VN_20250603_1403588 - [VTT] SR yêu cầu cấp phát NAS cho hệ thống cho database mykid 2.0</t>
    </r>
    <r>
      <rPr>
        <sz val="10"/>
        <color indexed="2"/>
        <rFont val="Times New Roman"/>
      </rPr>
      <t xml:space="preserve"> =&gt; linhtq3 hoàn thành</t>
    </r>
    <r>
      <rPr>
        <sz val="10"/>
        <color theme="1"/>
        <rFont val="Times New Roman"/>
      </rPr>
      <t xml:space="preserve"> SR_VN_20250603_1403564 - [VTT] SR cấp phát cấp phát bổ sung 5 server ETCD,haproxy, NAS mykid 2.0 =&gt; </t>
    </r>
    <r>
      <rPr>
        <sz val="10"/>
        <color indexed="2"/>
        <rFont val="Times New Roman"/>
      </rPr>
      <t>closed hoàn thành</t>
    </r>
  </si>
  <si>
    <t>Thu hồi và cấp mới tìa nguyên Myclip để nâng cấp HĐH EOL</t>
  </si>
  <si>
    <t>Đã tạo SR sang KTTC</t>
  </si>
  <si>
    <t>13/6/2025</t>
  </si>
  <si>
    <t>KTTC:</t>
  </si>
  <si>
    <t>PYC-45470</t>
  </si>
  <si>
    <t>PYC cấp tài nguyên hệ thống Callbase lấy tín hiệu cuộc gọi trên OCS qua Kafka</t>
  </si>
  <si>
    <t>SR_VN_20250617_1414927</t>
  </si>
  <si>
    <t>17/6/2025</t>
  </si>
  <si>
    <t>KTTC:17/06/2025- 25/06/2025</t>
  </si>
  <si>
    <t xml:space="preserve">Dự án </t>
  </si>
  <si>
    <t>Đầu mối
P.HT</t>
  </si>
  <si>
    <t>Quý cấp phát</t>
  </si>
  <si>
    <t>Số lượng máy chủ</t>
  </si>
  <si>
    <t>vCPU</t>
  </si>
  <si>
    <t>Cint</t>
  </si>
  <si>
    <t>RAM
(GB)</t>
  </si>
  <si>
    <t>SAN
(GB)</t>
  </si>
  <si>
    <t>NAS
(GB)</t>
  </si>
  <si>
    <t>Ceph
(GB)</t>
  </si>
  <si>
    <t>Bigdata
(GB)</t>
  </si>
  <si>
    <t>Archiving
(GB)</t>
  </si>
  <si>
    <t>S3 Object (GB)</t>
  </si>
  <si>
    <t>Pool/Nguồn tài nguyên</t>
  </si>
  <si>
    <t>Nhóm tài nguyên</t>
  </si>
  <si>
    <t>Login_Fail</t>
  </si>
  <si>
    <t>Private Cloud</t>
  </si>
  <si>
    <t>pc2021</t>
  </si>
  <si>
    <t>haipn hiệu chỉnh số liệu</t>
  </si>
  <si>
    <t>VCGW</t>
  </si>
  <si>
    <t>GSCG-CSKH</t>
  </si>
  <si>
    <t>Callbot Inbound</t>
  </si>
  <si>
    <t>Digidata</t>
  </si>
  <si>
    <t>VDA</t>
  </si>
  <si>
    <t>pc2021 và pc2023</t>
  </si>
  <si>
    <t>VSGW</t>
  </si>
  <si>
    <t>SonarQube</t>
  </si>
  <si>
    <t>VDA lần 2</t>
  </si>
  <si>
    <t>pc2023</t>
  </si>
  <si>
    <t>Payment 2.0</t>
  </si>
  <si>
    <t>SR_VN_20220519_580015</t>
  </si>
  <si>
    <t>MyCC (VTS)</t>
  </si>
  <si>
    <t>ĐHBH</t>
  </si>
  <si>
    <t>phuongphuong</t>
  </si>
  <si>
    <t>chuyển đầu mối về quynhntp@viettel.com.vn</t>
  </si>
  <si>
    <t>VRBT</t>
  </si>
  <si>
    <t>SR_VN_20220726_615748</t>
  </si>
  <si>
    <t xml:space="preserve">Imuzik </t>
  </si>
  <si>
    <t>mCC</t>
  </si>
  <si>
    <t xml:space="preserve">CSDL Quốc gia </t>
  </si>
  <si>
    <t>SR_VN_20220421_567639</t>
  </si>
  <si>
    <t>vESS</t>
  </si>
  <si>
    <t>TTSP</t>
  </si>
  <si>
    <t>SR_VN_20220211_538486</t>
  </si>
  <si>
    <t>Q1/2022</t>
  </si>
  <si>
    <t>ObserveIT</t>
  </si>
  <si>
    <t>SR_VN_20220228_543700</t>
  </si>
  <si>
    <t>Cloud HLC</t>
  </si>
  <si>
    <t>san2021</t>
  </si>
  <si>
    <t>Nexus CI/CD</t>
  </si>
  <si>
    <t>SPHT</t>
  </si>
  <si>
    <t>SR_VN_20220301_544317</t>
  </si>
  <si>
    <t>SR_VN_20220303_545482</t>
  </si>
  <si>
    <t xml:space="preserve">Bố sung dung lưọng DB truyền dẫn HĐDT </t>
  </si>
  <si>
    <t>SR_VN_20220310_548839</t>
  </si>
  <si>
    <t>nâng cấp</t>
  </si>
  <si>
    <t>san2020</t>
  </si>
  <si>
    <t>Nhà Nông Xanh</t>
  </si>
  <si>
    <t>SR_VN_20220602_586144</t>
  </si>
  <si>
    <t>Cloud HHT</t>
  </si>
  <si>
    <t>ceph2020</t>
  </si>
  <si>
    <t>Scontract</t>
  </si>
  <si>
    <t>SR_VN_20210928_467637</t>
  </si>
  <si>
    <t>VTT 2020</t>
  </si>
  <si>
    <t>Bổ sung dung lưọng DB My Viettel</t>
  </si>
  <si>
    <t>SR_VN_20220407_562042</t>
  </si>
  <si>
    <t>Q2/2022</t>
  </si>
  <si>
    <t>Truyền hóa đơn điện tử</t>
  </si>
  <si>
    <t>SR_VN_20220603_587186</t>
  </si>
  <si>
    <t>Hóa đơn điện tử 2.0</t>
  </si>
  <si>
    <t>SR_VN_20220127_535611</t>
  </si>
  <si>
    <t>Websecurity</t>
  </si>
  <si>
    <t>SR_VN_20220223_542435</t>
  </si>
  <si>
    <t>MyViettel</t>
  </si>
  <si>
    <t>SR_VN_20220717_611090</t>
  </si>
  <si>
    <t>Cấp phát tài nguyên hệ thống HDĐT GW</t>
  </si>
  <si>
    <t>SR_VN_20220530_584894</t>
  </si>
  <si>
    <t>Cấp phát tài nguyên hệ thống HDĐT Tem vé</t>
  </si>
  <si>
    <t>SR_VN_20220603_586882</t>
  </si>
  <si>
    <t>Nâng cấp truyền nhận HDDT lần 2</t>
  </si>
  <si>
    <t>SR_VN_20220401_559616</t>
  </si>
  <si>
    <t>Core Game</t>
  </si>
  <si>
    <t>SR_VN_20220414_564451</t>
  </si>
  <si>
    <t>TVBH</t>
  </si>
  <si>
    <t>SR_VN_20220316_551065</t>
  </si>
  <si>
    <t>DB TVBH</t>
  </si>
  <si>
    <t>SR_VN_20220613_592188</t>
  </si>
  <si>
    <t>BlockChain</t>
  </si>
  <si>
    <t>SR_VN_20220621_596260</t>
  </si>
  <si>
    <t>APIWG</t>
  </si>
  <si>
    <t>SR_VN_20220325_556097</t>
  </si>
  <si>
    <t>Imuzik nhạc chờ</t>
  </si>
  <si>
    <t>SR_VN_20220414_564715</t>
  </si>
  <si>
    <t>Vtracking Kafka</t>
  </si>
  <si>
    <t>SR_VN_20220707_606245</t>
  </si>
  <si>
    <t>Q3/2022</t>
  </si>
  <si>
    <t>BCCS_SALE</t>
  </si>
  <si>
    <t>SR_VN_20220725_615131</t>
  </si>
  <si>
    <t>Nhận diện hình ảnh mBCCS</t>
  </si>
  <si>
    <t>SR_VN_20220809_624585</t>
  </si>
  <si>
    <t>Thu hồi vESS</t>
  </si>
  <si>
    <t>SR_VN_20220805_623161</t>
  </si>
  <si>
    <t>DataSponsor</t>
  </si>
  <si>
    <t>SR_VN_20220804_622622</t>
  </si>
  <si>
    <t>Tăng RAM Rating</t>
  </si>
  <si>
    <t>SR_VN_20220808_624269</t>
  </si>
  <si>
    <t>Thu hồi vtracking</t>
  </si>
  <si>
    <t>SR_VN_20220824_632994</t>
  </si>
  <si>
    <t>Thu hồi VTFree</t>
  </si>
  <si>
    <t>SR_VN_20220824_632999</t>
  </si>
  <si>
    <t>VBN</t>
  </si>
  <si>
    <t>SR_VN_20220909_641619</t>
  </si>
  <si>
    <t>Thu hồi USSD098</t>
  </si>
  <si>
    <t>SR_VN_20220824_633031</t>
  </si>
  <si>
    <t>Thu hồi DMS lite</t>
  </si>
  <si>
    <t>SR_VN_20220906_639384</t>
  </si>
  <si>
    <t>Antispam call</t>
  </si>
  <si>
    <t>SR_VN_20211231_523676</t>
  </si>
  <si>
    <t>Thu hồi GSCG-CSKH</t>
  </si>
  <si>
    <t>SR_VN_20220909_641477</t>
  </si>
  <si>
    <t>Thu hồi CRM</t>
  </si>
  <si>
    <t>SR_VN_20220909_641459</t>
  </si>
  <si>
    <t>DataSecurity</t>
  </si>
  <si>
    <t>SR_VN_20220928_654161</t>
  </si>
  <si>
    <t>26000GB S3 Storage, trừ vào nguồn tài nguyên Cloud VTT 2021</t>
  </si>
  <si>
    <t>CallPlus</t>
  </si>
  <si>
    <t>SR_VN_20230112_720915</t>
  </si>
  <si>
    <t>Q4/2022</t>
  </si>
  <si>
    <t>AutoSMS</t>
  </si>
  <si>
    <t>SR_VN_20221017_664463</t>
  </si>
  <si>
    <t>Thu hồi QLDT</t>
  </si>
  <si>
    <t>SR_VN_20221017_664559</t>
  </si>
  <si>
    <t>Ứng ngày tự động</t>
  </si>
  <si>
    <t>SR_VN_20221020_666905</t>
  </si>
  <si>
    <t>USSD800</t>
  </si>
  <si>
    <t>SR_VN_20221020_666944</t>
  </si>
  <si>
    <t>Bổ sung dung lượng Voice Brandname</t>
  </si>
  <si>
    <t>SR_VN_20221026_669750</t>
  </si>
  <si>
    <t>Call Me Back</t>
  </si>
  <si>
    <t>SR_VN_20221031_672709</t>
  </si>
  <si>
    <t>Thu hồi XHHBH</t>
  </si>
  <si>
    <t>SR_VN_20221108_676928</t>
  </si>
  <si>
    <t>Thu hồi CCAI</t>
  </si>
  <si>
    <t>SR_VN_20221116_682232</t>
  </si>
  <si>
    <t>Nâng cấp cụm DB của HDDT</t>
  </si>
  <si>
    <t xml:space="preserve">SR_VN_20221027_671175 </t>
  </si>
  <si>
    <t>Nâng cấp hệ thống Data</t>
  </si>
  <si>
    <t>SR_VN_20221111_679619</t>
  </si>
  <si>
    <t>Thu hồi 3 DB TVBH</t>
  </si>
  <si>
    <t>SR_VN_20221031_672855</t>
  </si>
  <si>
    <t>Cấp bổ sung TN 3 DB TVBH</t>
  </si>
  <si>
    <t>vBHXH</t>
  </si>
  <si>
    <t>SR_VN_20221122_685580</t>
  </si>
  <si>
    <t>Cấp tài nguyên trên hạ tầng 2019, Bù trừ vào hạ tầng 2021</t>
  </si>
  <si>
    <t>Thu hồi vtfree</t>
  </si>
  <si>
    <t>SR_VN_20221117_683046</t>
  </si>
  <si>
    <t>GBOC</t>
  </si>
  <si>
    <t>SR_VN_20221130_690673</t>
  </si>
  <si>
    <t>Dự án SmartWatch Goly</t>
  </si>
  <si>
    <t>SR_VN_20221216_701066</t>
  </si>
  <si>
    <t>Dự án Unify Catalog</t>
  </si>
  <si>
    <t>SR_VN_20230113_721674</t>
  </si>
  <si>
    <t>Q1/2023</t>
  </si>
  <si>
    <t>Data</t>
  </si>
  <si>
    <t>SR_VN_20230201_731146</t>
  </si>
  <si>
    <t>Cấp tài nguyên lớn hơn KH đã ký 8TB storage</t>
  </si>
  <si>
    <t>Smart Motor</t>
  </si>
  <si>
    <t>SR_VN_20230131_730256</t>
  </si>
  <si>
    <t>haipn hiệu chỉnh, ko có trên Cloud VTT</t>
  </si>
  <si>
    <t>Thu hồi imuzik</t>
  </si>
  <si>
    <t>SR_VN_20230131_730197</t>
  </si>
  <si>
    <t>Myclip</t>
  </si>
  <si>
    <t>SR_VN_20230202_731505</t>
  </si>
  <si>
    <t>Survey</t>
  </si>
  <si>
    <t>SR_VN_20230203_732524</t>
  </si>
  <si>
    <t>Adhoc</t>
  </si>
  <si>
    <t>SR_VN_20230217_740841</t>
  </si>
  <si>
    <t>Redis -mBCCS</t>
  </si>
  <si>
    <t>SR_VN_20230223_743535</t>
  </si>
  <si>
    <t>Cấp bổ sung dung lượng Vtracking Kafka</t>
  </si>
  <si>
    <t>SR_VN_20230223_743574</t>
  </si>
  <si>
    <t>mycc</t>
  </si>
  <si>
    <t>Đã cấp phát server nhưng chưa có tải</t>
  </si>
  <si>
    <t>Antispam</t>
  </si>
  <si>
    <t>QLHS</t>
  </si>
  <si>
    <t>SR_VN_20230330_763915</t>
  </si>
  <si>
    <t>Chi Ao Hoa</t>
  </si>
  <si>
    <t>NDHA</t>
  </si>
  <si>
    <t>SR_VN_20230331_764416</t>
  </si>
  <si>
    <t>NDHA bổ sung</t>
  </si>
  <si>
    <t>SR_VN_20230331_764617</t>
  </si>
  <si>
    <t>Thu hồi digitata</t>
  </si>
  <si>
    <t>Thu hoi cap cho NDHA</t>
  </si>
  <si>
    <t>Note only</t>
  </si>
  <si>
    <t>Q2/2023</t>
  </si>
  <si>
    <t>Nếu tính cả DB chưa cấp thì storage =45,2T</t>
  </si>
  <si>
    <t>Thu hồi tài nguyên NDHA chuẩn bị cho điều chuyển HT Campaign</t>
  </si>
  <si>
    <t>Theo dõi, ko tham gia trực tiếp</t>
  </si>
  <si>
    <t>Cloud KV2</t>
  </si>
  <si>
    <t>Phát sinh để bàn giao VTN</t>
  </si>
  <si>
    <t>Phát sinh ngoài KH</t>
  </si>
  <si>
    <t>Q3/2023</t>
  </si>
  <si>
    <t>Hợp đồng điện tử nội bộ (vContract)</t>
  </si>
  <si>
    <t>SR_VN_20230626_841238</t>
  </si>
  <si>
    <t>haipn hiệu chỉnh số liệu (cũ 58 sv)</t>
  </si>
  <si>
    <t>cấp trước cho 10k, sizing cho 100k</t>
  </si>
  <si>
    <t>Cấp trên Nbox</t>
  </si>
  <si>
    <t>Cấp trên Private Cloud mới - Hủy y/c</t>
  </si>
  <si>
    <t>ceph2021</t>
  </si>
  <si>
    <t>Cấp thêm NAS trên Private Cloud mới do tài nguyên bị thiếu</t>
  </si>
  <si>
    <t>Q4/2023</t>
  </si>
  <si>
    <t>Bổ sung storage đảm bảo H/A phục vụ bàn giao sang VTNET vận hành theo quy định Tập đoàn - Hủy y/c</t>
  </si>
  <si>
    <t xml:space="preserve">Cloud HLC </t>
  </si>
  <si>
    <t>Bachnh3 đang phối hợp kientt6 xử lí</t>
  </si>
  <si>
    <t>Cấp phát gấp cho chương trình Tết 2024 của Viettel++</t>
  </si>
  <si>
    <t>phát sinh</t>
  </si>
  <si>
    <t>Cấp phát phục vụ kinh doang hoá đơn xăng dầu từ tháng 1/2024</t>
  </si>
  <si>
    <t>cấp phát thêm 100GB cho phân vùng backup trên server 10.207.161.106 để đảm bảo tiêu chuẩn VTNET</t>
  </si>
  <si>
    <t>theo KH</t>
  </si>
  <si>
    <t>big2021</t>
  </si>
  <si>
    <t>hạ tầng cấp bigdata, VTNET chưa cấp được storage Bigdata + Archiving</t>
  </si>
  <si>
    <t xml:space="preserve">- Yêu cầu bổ sung thêm ổ cứng, thay đổi từ 500G lên 1T trên mỗi server module DB </t>
  </si>
  <si>
    <t xml:space="preserve">Thử nghiệm trong 3 tháng </t>
  </si>
  <si>
    <t xml:space="preserve">thu hồi VM APP TVBH cloud HHT </t>
  </si>
  <si>
    <t>cuongdv</t>
  </si>
  <si>
    <t>SR_VN_20240219_1016907</t>
  </si>
  <si>
    <t>Thu hồi để cấp lại sang Cloud HL</t>
  </si>
  <si>
    <t>hạ tầng cấp bigdata (vật lí)</t>
  </si>
  <si>
    <t>Thu hồi tài nguyên Stringee Video</t>
  </si>
  <si>
    <t>SR_VN_20240301_1026461</t>
  </si>
  <si>
    <t xml:space="preserve">App cấp phát hạ tầng ảo </t>
  </si>
  <si>
    <t xml:space="preserve"> App cấp phát hạ tầng ảo </t>
  </si>
  <si>
    <t>DB cấp phát hạ tầng vậy lí,</t>
  </si>
  <si>
    <t>Cấp tài nguyên Database,</t>
  </si>
  <si>
    <t>quy hoạch storage pool, cấp phát bổ sung /backup</t>
  </si>
  <si>
    <t>SR_VN_20240510_1085395</t>
  </si>
  <si>
    <t>cấp bổ sung GĐ1, nâng cấp và cấp thêm để cắt chuyển 100k cho 29 con đã cấp năm 2023</t>
  </si>
  <si>
    <t xml:space="preserve">bypass sizing </t>
  </si>
  <si>
    <t>Cloud NTH</t>
  </si>
  <si>
    <t>san2022</t>
  </si>
  <si>
    <t xml:space="preserve">cấp 973GB NAS cho sv ảo trước, 7434 GB cho sv vật lý hiện tại chưa có  </t>
  </si>
  <si>
    <t>swap hệ thống từ Viettel IDC sang TT CNTT</t>
  </si>
  <si>
    <t>Cấp phát giai đoạn 1 21 server API để đội dự án giả lập s3 storage</t>
  </si>
  <si>
    <t>SR_VN_20240617_1119063</t>
  </si>
  <si>
    <t xml:space="preserve">Thu hồi tài nguyên IMUZIK </t>
  </si>
  <si>
    <t>thu hồi imuzik để cấp phát cho mydio</t>
  </si>
  <si>
    <t>cấp phát tài nguyên hệ thống Appsealing</t>
  </si>
  <si>
    <t xml:space="preserve">Cấp phát tài nguyên hệ thống CampaignManagement (ELK + API) </t>
  </si>
  <si>
    <t>SR_VN_20240905_1191162</t>
  </si>
  <si>
    <t xml:space="preserve">cấp trên pc2021 và pc2023, u03 dùng trên NAS lưu backup ; u01, u02, OS dùng trên SAN </t>
  </si>
  <si>
    <t xml:space="preserve"> thu hồi tài nguyên 2 server hệ thống 5gxr bị lỗi và cấp phát mới lại </t>
  </si>
  <si>
    <t>SR_VN_20240717_1146771</t>
  </si>
  <si>
    <t xml:space="preserve">thu hồi tài nguyên 2 server để cấp phát; yêu cầu giữ lại IP </t>
  </si>
  <si>
    <t>Cấp phát vật lý cho dự án TSA</t>
  </si>
  <si>
    <t xml:space="preserve"> thu hồi tài nguyên 2 server hệ thống 5gxr bị lỗi - lần 2</t>
  </si>
  <si>
    <t>SR_VN_20240801_1161215</t>
  </si>
  <si>
    <t xml:space="preserve">thu hồi tài nguyên 1 server để cấp phát; yêu cầu giữ lại IP </t>
  </si>
  <si>
    <t>Trước cấp để dồn dịch zone IP. Giờ Imuzik không hoạt động nên thu hồi</t>
  </si>
  <si>
    <t>Cấp phát bổ sung RAM và HDD phục vụ tăng số thiết bị đầu năm học'</t>
  </si>
  <si>
    <t>Cấp phát theo QHDC 2024. DB cấp trước 10TB</t>
  </si>
  <si>
    <t>SR_VN_20240828_1185067</t>
  </si>
  <si>
    <t>cài lại centos 7-9 sang centos 9 final cho các server mBCCS + AI chatbot</t>
  </si>
  <si>
    <t>sau khi cấp nas, TT VAS và VTN sẽ theo dõi. Nếu ổn định sau 2 tháng sẽ thu hồi 130 TB mount NFS</t>
  </si>
  <si>
    <t>SR_VN_20240905_1191008</t>
  </si>
  <si>
    <t>SR_VN_20240905_1191031</t>
  </si>
  <si>
    <t>SR_VN_20240905_1191154</t>
  </si>
  <si>
    <t>cloud HLC</t>
  </si>
  <si>
    <t>Cấp phát bổ sung HDD phục vụ Hệ thống QLHS</t>
  </si>
  <si>
    <t>Tăng dung lượng GSCG-CSKH</t>
  </si>
  <si>
    <t>SR_VN_20241017_1227375</t>
  </si>
  <si>
    <t>NAS scale out</t>
  </si>
  <si>
    <t>1/2 trên pc2021, 1/2 trên pc2023</t>
  </si>
  <si>
    <t>cấp theo luồng mail Chaulm5</t>
  </si>
  <si>
    <t>DB cấp phát hạ tầng vậy lí, DA 2022</t>
  </si>
  <si>
    <t>SR_VN_20241107_1243780</t>
  </si>
  <si>
    <t>QHDC 2024</t>
  </si>
  <si>
    <t>Không rõ thông tin cấp phát pool TN</t>
  </si>
  <si>
    <t>SR_VN_20241202_1262092</t>
  </si>
  <si>
    <t xml:space="preserve">Tăng dung lượng GSCG-CSKH (log)  </t>
  </si>
  <si>
    <t>SR_VN_20241209_1267182</t>
  </si>
  <si>
    <t>Chờ off dịch vụ</t>
  </si>
  <si>
    <t>Cấp phát 2019</t>
  </si>
  <si>
    <t>Cấp phát tài nguyên chuyển đổi EOL cho TT.VAS</t>
  </si>
  <si>
    <t>SR_VN_20250114_1297896</t>
  </si>
  <si>
    <t>SR_VN_20241216_1274624</t>
  </si>
  <si>
    <t>Tài nguyên đã có trong QHDC 2022</t>
  </si>
  <si>
    <t>Bổ sung tài nguyên 2022 Hệ thống GSCG-CSKH</t>
  </si>
  <si>
    <t>SR_VN_20250113_1297086, SR_VN_20250113_1297085</t>
  </si>
  <si>
    <t>pc2021 và pc2023 (1sv)</t>
  </si>
  <si>
    <t>để bổ sung NAS backup cho phân vùng lưu trữ media hiện tại đảm bảo RTO hệ thống</t>
  </si>
  <si>
    <t>SR_VN_20250109_1294517</t>
  </si>
  <si>
    <t>sau 12 tháng thu hồi lại tài nguyên</t>
  </si>
  <si>
    <t>SR_VN_20250108_1293187</t>
  </si>
  <si>
    <t>SR_VN_20250115_1299857</t>
  </si>
  <si>
    <t>Cấp phát tài nguyên hệ thốngCrawler</t>
  </si>
  <si>
    <t>SR_VN_20250121_1305307</t>
  </si>
  <si>
    <t>Bổ sung tài nguyên mykid 2.0 ( giai đoạn 1 - plan 6 tháng trước )</t>
  </si>
  <si>
    <t>SR_VN_20250321_1346354</t>
  </si>
  <si>
    <t>Cấp phát song song hai hạ tầng PC2021 và PC2022</t>
  </si>
  <si>
    <t>SR_VN_20250317_1341930</t>
  </si>
  <si>
    <t>Nâng cấp bổ sung u01 từ 20GB lên 100GB, đảm bảo triển khai hạ tầng</t>
  </si>
  <si>
    <t xml:space="preserve">pc2023 phát sinh </t>
  </si>
  <si>
    <t>Cloud_VTT_2022</t>
  </si>
  <si>
    <t>cụm tài nguyên HKH</t>
  </si>
  <si>
    <t xml:space="preserve">Q2/2025 </t>
  </si>
  <si>
    <t>Cloud_VTT_2024</t>
  </si>
  <si>
    <t>Cấp phát tài nguyên hệ thống Viettel Contract</t>
  </si>
  <si>
    <t>SR_VN_20250512_1384697
SR_VN_20250515_1388162</t>
  </si>
  <si>
    <t>SR_VN_20250506_1380658</t>
  </si>
  <si>
    <t>hủy không cấp phát</t>
  </si>
  <si>
    <t>Cấp phát bổ sung tài nguyên xử lý rủi ro Pay199</t>
  </si>
  <si>
    <t>datnt549</t>
  </si>
  <si>
    <t>Bổ sung trên hạ tầng cũ</t>
  </si>
  <si>
    <t>Cấp phát tài nguyên hệ thống PAM</t>
  </si>
  <si>
    <t>vuongk2</t>
  </si>
  <si>
    <t>Q2/2025 </t>
  </si>
  <si>
    <t> </t>
  </si>
  <si>
    <t>Cấp phát ứng cứu Mysign</t>
  </si>
  <si>
    <t>Cập nhật thông tin  ứng cứu tài nguyên  Mysign không thông qua phòng HT</t>
  </si>
  <si>
    <t>SR_VN_20250527_1397041</t>
  </si>
  <si>
    <t>Cấp phát POC, phát sinh</t>
  </si>
  <si>
    <t>cụm tài nguyên HLC</t>
  </si>
  <si>
    <t xml:space="preserve">SR_VN_20250527_1397362 </t>
  </si>
  <si>
    <t xml:space="preserve">cụm tài nguyên HKH, NAS share chung 3 DB </t>
  </si>
  <si>
    <t>RAM</t>
  </si>
  <si>
    <t>SAN</t>
  </si>
  <si>
    <t>NAS</t>
  </si>
  <si>
    <t>Ceph</t>
  </si>
  <si>
    <t>Bigdata</t>
  </si>
  <si>
    <t>Arching</t>
  </si>
  <si>
    <t>S3 Object</t>
  </si>
  <si>
    <t>Ceph 2020</t>
  </si>
  <si>
    <t>SAN 2020</t>
  </si>
  <si>
    <t>.</t>
  </si>
  <si>
    <t>Ceph 2021</t>
  </si>
  <si>
    <t>SAN 2021</t>
  </si>
  <si>
    <t>Ceph 2022</t>
  </si>
  <si>
    <t>SAN 2022</t>
  </si>
  <si>
    <t>Private Cloud 2021 (pc2021)</t>
  </si>
  <si>
    <t>Private Cloud 2023 (pc2023)</t>
  </si>
  <si>
    <t>Bigdata 2022 (big2022)</t>
  </si>
  <si>
    <t>Tài nguyên QHĐC 2020</t>
  </si>
  <si>
    <t>Hiên trạng tài nguyên còn dư</t>
  </si>
  <si>
    <t>RAM (TB)</t>
  </si>
  <si>
    <t>CEPH 
(GB)</t>
  </si>
  <si>
    <t>SAN 
(GB)</t>
  </si>
  <si>
    <t>NAS 
(GB)</t>
  </si>
  <si>
    <t>Com_Ceph</t>
  </si>
  <si>
    <t>Com_SAN</t>
  </si>
  <si>
    <t>TN còn lại sau KH Q4</t>
  </si>
  <si>
    <t>TN trong KH Q4</t>
  </si>
  <si>
    <t>TN đã sử dụng trong Q4</t>
  </si>
  <si>
    <t>TN còn lại 2021</t>
  </si>
  <si>
    <t>Sử dụng 2022</t>
  </si>
  <si>
    <t>TN còn lại</t>
  </si>
  <si>
    <t>RAM (GB)</t>
  </si>
  <si>
    <t>NAS (theo đầu mối VHKT gửi tháng 3 2025)</t>
  </si>
  <si>
    <t>Tổng TN 2021</t>
  </si>
  <si>
    <t>vCPU overcomit 1:4</t>
  </si>
  <si>
    <t>Đã cấp phát 2021</t>
  </si>
  <si>
    <t>Tổng TN 2023</t>
  </si>
  <si>
    <t>Đã cấp phát 2023</t>
  </si>
  <si>
    <t>TN còn lại 2023</t>
  </si>
  <si>
    <t xml:space="preserve">Tài nguyên QHĐC 2021 </t>
  </si>
  <si>
    <t>Tổng TN</t>
  </si>
  <si>
    <t>overcomit 1:2 ( sử dụng server 5-2, 5-1 và 6-2 để dựng cloud )</t>
  </si>
  <si>
    <t>Đã cấp phát</t>
  </si>
  <si>
    <t xml:space="preserve">Tài nguyên QHĐC 2022 </t>
  </si>
  <si>
    <t>CEPH
(GB)</t>
  </si>
  <si>
    <t>Object
(GB)</t>
  </si>
  <si>
    <t>Com_Bigdata</t>
  </si>
  <si>
    <t>Bare_metal</t>
  </si>
  <si>
    <t>Lô tài nguyên</t>
  </si>
  <si>
    <t>Mã</t>
  </si>
  <si>
    <t>Loại</t>
  </si>
  <si>
    <t>CPU</t>
  </si>
  <si>
    <t>Disk</t>
  </si>
  <si>
    <t>Archiving</t>
  </si>
  <si>
    <t>HBA</t>
  </si>
  <si>
    <t>GPU</t>
  </si>
  <si>
    <t>Tổng</t>
  </si>
  <si>
    <t>Đã cấp</t>
  </si>
  <si>
    <t>VTNet cấp phát</t>
  </si>
  <si>
    <t>0405 IDC</t>
  </si>
  <si>
    <t>SV 1</t>
  </si>
  <si>
    <t>- 2xXeon Gold 6252 6x64GB RAM 2x600HDD HBA Card RAID 2 NIC</t>
  </si>
  <si>
    <t>Gold 6252</t>
  </si>
  <si>
    <t>HDD: 2x600GB</t>
  </si>
  <si>
    <t>Y</t>
  </si>
  <si>
    <t>7 </t>
  </si>
  <si>
    <t>Đang lắp 2 rack cùng hạ tầng Private Cloud</t>
  </si>
  <si>
    <t>SV 2</t>
  </si>
  <si>
    <t>- 2xXeon Bronze 3206R RAM: 4x32GB HDD: 2x600GB HBA Card RAID  2 NIC</t>
  </si>
  <si>
    <t>Bronze 3206R</t>
  </si>
  <si>
    <t>3 </t>
  </si>
  <si>
    <t>SV 3</t>
  </si>
  <si>
    <t>- 2xXeon Bronze 3206R RAM: 4x32GB HDD1: 2x600GB SAS HDD2: 3x2 TB SATA HDD3: 2x3.84 TB SSD HBA Card RAID 2 NIC</t>
  </si>
  <si>
    <t>HDD1: 2x600GB SAS 
HDD2: 3x2 TB SATA
SSD: 2x3.84 TB</t>
  </si>
  <si>
    <t>Private cloud</t>
  </si>
  <si>
    <t>sv node 2</t>
  </si>
  <si>
    <t>HPE DL380 Gen10 (CPU: 2 x Xeon Silver 4214R; RAM: 256GB, SSD: 2x480GB, 2 HBA 16Gbps)</t>
  </si>
  <si>
    <t>Silver 4214R</t>
  </si>
  <si>
    <t>SSD: 2x480GB</t>
  </si>
  <si>
    <t>4 </t>
  </si>
  <si>
    <t>QHĐC 2020</t>
  </si>
  <si>
    <t>SV4-1</t>
  </si>
  <si>
    <t>Server HPE Apollo R2600 -</t>
  </si>
  <si>
    <t>SSD: 2 x 1.92 TB</t>
  </si>
  <si>
    <t>1 </t>
  </si>
  <si>
    <t>XL170r Gen10 (2 x Xeon Silver 4214R; RAM: 128GB, SSD: 2 x 1.92 TB)</t>
  </si>
  <si>
    <t>SV4-5</t>
  </si>
  <si>
    <t>DL360 Gen10 (CPU: 2 x Xeon Silver 4214R; RAM: 256GB, SSD: 2x1.92 TB)</t>
  </si>
  <si>
    <t>SSD: 2x1.92 TB</t>
  </si>
  <si>
    <t>5 </t>
  </si>
  <si>
    <t>SV 5-1</t>
  </si>
  <si>
    <t>DL360 Gen10 (CPU: 2 x Xeon Gold 5218R; RAM: 384GB, SSD: 2x600 GB)</t>
  </si>
  <si>
    <t>Gold 5218R</t>
  </si>
  <si>
    <t>SSD: 2x600 GB</t>
  </si>
  <si>
    <t>Bigdata 2021</t>
  </si>
  <si>
    <t> SV 5-4</t>
  </si>
  <si>
    <t>2x Gold 5318Y, 256GB RAM, SSD: 2 x 960G</t>
  </si>
  <si>
    <t>Gold 5318Y</t>
  </si>
  <si>
    <t>SSD: 2 x 960G</t>
  </si>
  <si>
    <t>365,000 </t>
  </si>
  <si>
    <t>31 </t>
  </si>
  <si>
    <t>Quy hoạch cho Campaign (anhdt156)</t>
  </si>
  <si>
    <t>627,000 </t>
  </si>
  <si>
    <t>1,035,000 </t>
  </si>
  <si>
    <t>52 </t>
  </si>
  <si>
    <t>Quy hoạch Cus360 48, Adhoc 4 (sonln3)</t>
  </si>
  <si>
    <t>huyndn cấp 25/6/2024, 4 sv adhoc, 20 sv cus360</t>
  </si>
  <si>
    <t>509,800 </t>
  </si>
  <si>
    <t>25 </t>
  </si>
  <si>
    <t>Quy hoạch CCAI 6, Analytic 19 (dungha7)</t>
  </si>
  <si>
    <t>huyndn cấp 24/6/2024, 19 sv analytic</t>
  </si>
  <si>
    <t>10,240 </t>
  </si>
  <si>
    <t>6 </t>
  </si>
  <si>
    <t>Quy hoạch Billing (dungpt16)</t>
  </si>
  <si>
    <t>huyndn cấp 24/6/2024, 6 sv billing</t>
  </si>
  <si>
    <t>VTM bàn giao
2689/BB-CNTT</t>
  </si>
  <si>
    <t>SV13 Cloud</t>
  </si>
  <si>
    <t>PowerEdge R750: 2 x Intel Xeon Silver 4314 2.4G, 4x32GB RAM, 8x3.84TB SSD SAS; 2x600GB SAS </t>
  </si>
  <si>
    <t>Silver 4314</t>
  </si>
  <si>
    <t>8x3.84TB SSD SAS; 2x600GB SAS </t>
  </si>
  <si>
    <t>15 </t>
  </si>
  <si>
    <t>Cty Truyền thông Viettel (đầu mối ThườngLX) bàn giao 30 sv cho TT.PTDL theo CV 2689/BB-CNTT ngày 31/7/2023</t>
  </si>
  <si>
    <t>SV12 Cloud</t>
  </si>
  <si>
    <t>PowerEdge R750: 2 xIntel Xeon Gold 6326 2.9G, 4x32GB RAM, 2x960GB SSD SAS; 2x600GB SAS, 2xA30</t>
  </si>
  <si>
    <t>Gold 6326</t>
  </si>
  <si>
    <t>2x960GB SSD SAS; 2x600GB SAS</t>
  </si>
  <si>
    <t>2xA30</t>
  </si>
  <si>
    <t>ThangTD1 mail 04/07/2024</t>
  </si>
  <si>
    <t xml:space="preserve">PowerEdge R750XA: 2xIntel Xeon Gold 5318S 2.1G, 8x32GB RAM; 2x960GB SSD; 3xNVIDIA Ampere A30 24GB Passive </t>
  </si>
  <si>
    <t>Gold 5318S</t>
  </si>
  <si>
    <t>2x960GB SSD SAS</t>
  </si>
  <si>
    <t>3xA30</t>
  </si>
  <si>
    <t>IP OS: 10.207.163.81/82
IP quản trị: 10.205.63.71/72</t>
  </si>
  <si>
    <t>ChauLM5 báo VTT có 3 sv ở HLC (whatsapp)
hieupc3 mail có 2 sv, fw cho trungtd3 dùng</t>
  </si>
  <si>
    <t>Chaulm5 cấp phát cho TSA</t>
  </si>
  <si>
    <t xml:space="preserve">Máy chủ PowerEdge R650 Server: 2 x Intel Xeon Gold 5318Y 2.1G, 24C/48T, 11.2GT/s, 36M Cache, Turbo, HT (165W) DDR4-2933; 8x32GB RDIMM, 3200MT/s, Dual Rank; 2x1.92TB SSD SAS ISE; </t>
  </si>
  <si>
    <t>Cấp phát cho hệ thống TSA theo KH tháng 7/2024</t>
  </si>
  <si>
    <t>Chaulm5 whatsapp 28/10/2024</t>
  </si>
  <si>
    <t xml:space="preserve">Máy chủ PowerEdge R650 Server: 2 x Intel Xeon Gold 5318Y 2.1G, 24C/48T, 11.2GT/s, 36M Cache, Turbo, HT (165W) DDR4-2933; 4x32GB RDIMM, 3200MT/s, Dual Rank; 2x1.92TB SSD SAS ISE; </t>
  </si>
  <si>
    <t>Lô 2021, không có quy hoạch dung lượng</t>
  </si>
  <si>
    <t>Tài nguyên vật lý QHDC 2022</t>
  </si>
  <si>
    <t>Mã trạm</t>
  </si>
  <si>
    <t>Loại server</t>
  </si>
  <si>
    <t>Cấu hình</t>
  </si>
  <si>
    <t>Tổng CPU</t>
  </si>
  <si>
    <t>Tổng RAM</t>
  </si>
  <si>
    <t>CPU used</t>
  </si>
  <si>
    <t>RAM used</t>
  </si>
  <si>
    <t>HLC</t>
  </si>
  <si>
    <t>Dell R650 2xIntel 5318Y 8x32GB  2x600GB SAS 2x NIC 10G dual port</t>
  </si>
  <si>
    <t>2x600GB SAS</t>
  </si>
  <si>
    <t>cấp phát 1 svr DB roaming</t>
  </si>
  <si>
    <t>HKH</t>
  </si>
  <si>
    <t>Đã cấp 50 svr cho TV360, còn 51 server VTT cầm - thongnv31</t>
  </si>
  <si>
    <t>Dell R650 2xIntel 5318Y 8x64GB  2x600GB SAS 2x NIC 10G dual port</t>
  </si>
  <si>
    <t>Đã cấp hết cho TV360</t>
  </si>
  <si>
    <t>Dell R6502xIntel 5318Y 4x32GB/4x64GB 2x600GB SAS 2x1,92TB SSD 2x NIC 10G dual port</t>
  </si>
  <si>
    <t>2x600GB SAS
2x1,92TB SSD</t>
  </si>
  <si>
    <t>DELL R750XA 2xIntel 5318S 4x64GB 2x800G SSD 2x1,92TB SSD 1x NIC 10G Quad port</t>
  </si>
  <si>
    <t>2x800G SSD 
2x1,92TB SSD</t>
  </si>
  <si>
    <t>3xNVIDIA  A30</t>
  </si>
  <si>
    <t>Cấp phát 10 server cho đội DAC (CCAI-dungha7)
Cấp phát 8 server cho đội DAC (Callbot, GSCG-Kientt6)</t>
  </si>
  <si>
    <t>Big DATA1</t>
  </si>
  <si>
    <t>Dell R650 2xIntel 5318Y 4x64GB 2x1.92TB SSD 2x NIC 10G dual port</t>
  </si>
  <si>
    <t>2x1.92TB SSD</t>
  </si>
  <si>
    <t>Big DATA2</t>
  </si>
  <si>
    <t>Dell R650 2xIntel 5318Y 4x32GB 4x64GB 2x600GB SAS 2x NIC 10G dual port</t>
  </si>
  <si>
    <t>Tài nguyên cloud loại 1 chuyển sang bigdata - thongnv31 cầm</t>
  </si>
  <si>
    <t>Tài nguyên vật lý QHDC 2023</t>
  </si>
  <si>
    <t>Vật lý loại 1</t>
  </si>
  <si>
    <t xml:space="preserve">2xIntel 5318Y 4x32GB,  2x960 GB SSD </t>
  </si>
  <si>
    <t> 2x960 GB SSD </t>
  </si>
  <si>
    <t>Vật lý loại 2</t>
  </si>
  <si>
    <t>Quy hoạch cấp phát DB oracle</t>
  </si>
  <si>
    <t>Vật lý loại 3</t>
  </si>
  <si>
    <t xml:space="preserve">2xIntel 5318Y 4x64GB,  2x960 GB SSD </t>
  </si>
  <si>
    <t> Vật lý loại 4</t>
  </si>
  <si>
    <t> Vật lý loại 5</t>
  </si>
  <si>
    <t>2xIntel 5318Y 4x64GB,  2x960 GB SSD, 3x10TB HDD</t>
  </si>
  <si>
    <t> 2x960 GB SSD
3x10TB HDD</t>
  </si>
  <si>
    <t> Vật lý loại 7</t>
  </si>
  <si>
    <t>2xIntel 5318Y 384GB,  2x960 GB SSD</t>
  </si>
  <si>
    <t> 2x960 GB SSD</t>
  </si>
  <si>
    <t>GPU loại 1</t>
  </si>
  <si>
    <t>2xIntel Xeon Gold 5418Y 4x64GB 2x1.96 TB SSD </t>
  </si>
  <si>
    <t> 2x1.92 TB SSD </t>
  </si>
  <si>
    <t>NVIDIA L4</t>
  </si>
  <si>
    <t>Kientt6: 12 sv loại 1 + 8 sv loại 3
Dungha7: 11 sv loại 2 + 5 sv loại 3</t>
  </si>
  <si>
    <t>GPU loại 2</t>
  </si>
  <si>
    <t>2xAMD AMD EPYC 9554 4x64GB, 2x1.92B; 2x3.84 GB SSD</t>
  </si>
  <si>
    <t> 2x1.92 TB SSD
 2x3.84 TB SSD</t>
  </si>
  <si>
    <t>GPU loại 3</t>
  </si>
  <si>
    <t>2xIntel Xeon Gold 5418Y 384 GB  2x960 GB SSD </t>
  </si>
  <si>
    <t>NVIDIA L40</t>
  </si>
  <si>
    <t>Dell PowerEdge R660 2 xIntel Xeon-Gold 5418Y  4x64GB DDR5  2x960GB SSD  3x8TB SAS" </t>
  </si>
  <si>
    <t> 2x960 GB SSD
 3x8TB SAS</t>
  </si>
  <si>
    <t>7,3PB </t>
  </si>
  <si>
    <t> 7,3PB lưu trữ datalake =&gt; TK ở HLA</t>
  </si>
  <si>
    <t>Vật lý loại 5</t>
  </si>
  <si>
    <t>Dell PowerEdge R760 2xIntel Xeon-Gold 5418Y  4x64GB DDR5 "2x960GB SSD</t>
  </si>
  <si>
    <t>Vật lý loại 6</t>
  </si>
  <si>
    <t>Dell PowerEdge R760 2xIntel Xeon-Gold 5418Y  4x64GB DDR5 "2x960GB SSD 2x1.92TB SSD</t>
  </si>
  <si>
    <t> 2x960 GB SSD
 8x8TB SAS
 2x1.92TB SSD</t>
  </si>
  <si>
    <t>Tài nguyên vật lý QHDC 2024</t>
  </si>
  <si>
    <t xml:space="preserve">2xIntel I4516Y128GB (2x64GB),  2x960 GB SSD </t>
  </si>
  <si>
    <t xml:space="preserve">2xIntel I4516Y 256GB (4x64GB),  2x960 GB SSD </t>
  </si>
  <si>
    <t xml:space="preserve">2xIntel I4516Y 384GB (12x32GB),  2x960 GB SSD </t>
  </si>
  <si>
    <t>4x3.8TB </t>
  </si>
  <si>
    <t>Vật lý loại 4</t>
  </si>
  <si>
    <t>2xIntel I4516Y 384GB (12x32GB),  2x960 GB SSD 4x2.4TB HDD</t>
  </si>
  <si>
    <t>4x2.4TB HDD</t>
  </si>
  <si>
    <t>2xIntel I4516Y 512GB ,   2x960 GB SSD</t>
  </si>
  <si>
    <t>2xIntel 5318Y 4x64GB 2x960 GB SSD </t>
  </si>
  <si>
    <t>?</t>
  </si>
  <si>
    <t>Chưa có thông tin cấu hình</t>
  </si>
  <si>
    <t>DGX</t>
  </si>
  <si>
    <t>Bigdata 
Vật lý loại 6</t>
  </si>
  <si>
    <t>2xIntel Xeon Gold 5418Y 2G, 256GB (4x64GB)</t>
  </si>
  <si>
    <t>2x1.92TB SSD, 6x7,68TB SSD </t>
  </si>
  <si>
    <t>Đầu mối</t>
  </si>
  <si>
    <t>Đầu mối p.HT</t>
  </si>
  <si>
    <t>Ngày cấp</t>
  </si>
  <si>
    <t>Phân loại nhóm tài nguyên</t>
  </si>
  <si>
    <t xml:space="preserve"> Vật lí 2021</t>
  </si>
  <si>
    <t>Sv5-22</t>
  </si>
  <si>
    <t>AI nhận diện (Bộ CA)</t>
  </si>
  <si>
    <t>25/11/2022</t>
  </si>
  <si>
    <t>VTNet ko thu hồi sv mượn nữa (từ 2022), hoàn trả bằng QHĐC 2022. 02xIntel Xeon Gold 5218r, 256GB RAM, 2x600 SAS</t>
  </si>
  <si>
    <t>IPCC HNI - DR</t>
  </si>
  <si>
    <t>26/9/2023</t>
  </si>
  <si>
    <t>chaulm5</t>
  </si>
  <si>
    <t>PowerEdge R650 Server: 2 x Intel Xeon Gold 5318Y 2.1G, 24C/48T, DDR4 8x32GB, 2x600GB Hard Drive SAS, Dual Port 16Gb Fibre Channel HBA (serial: 3Z822S3, GCYYRR3)</t>
  </si>
  <si>
    <t>CCAI </t>
  </si>
  <si>
    <t>Sv5-4 (2x Gold 5318Y, 256GB RAM, SSD: 2 x 960G)</t>
  </si>
  <si>
    <t xml:space="preserve">Campaign management </t>
  </si>
  <si>
    <t>Database V-Tracking 2023</t>
  </si>
  <si>
    <t>tramdtt1</t>
  </si>
  <si>
    <t>Cấp tài nguyên Database,
Yêu cầu cấp hạ tầng vật lí Database cùng tổng trạm với server App (10.60.32.175, 10.60.32.176 - Hòa Lạc)
Cụ thể:
Bổ sung cụ thể từng phân vùng như sau:
Storage : 1326 GB
Cụ thể từng phân vùng như sau:
CRS: 15G
ARC: 500G
REDO 1 50G
REDO 2 50G
DATA: Số dung lượng còn lại</t>
  </si>
  <si>
    <t>Cloud CA</t>
  </si>
  <si>
    <t xml:space="preserve"> VTT Analytic</t>
  </si>
  <si>
    <t>Vật lý 2021</t>
  </si>
  <si>
    <t>VTM bàn giao: 2689/BB-CNTT
PowerEdge R750: 2 x Intel Xeon Silver 4314 2.4G, 4x32GB RAM, 8x3.84TB SSD SAS; 2x600GB SAS
PowerEdge R750: 2 xIntel Xeon Gold 6326 2.9G, 4x32GB RAM, 2x960GB SSD SAS; 2x600GB SAS, 2xA30</t>
  </si>
  <si>
    <t>TSA</t>
  </si>
  <si>
    <t>Dungdb1</t>
  </si>
  <si>
    <t xml:space="preserve">3 x Máy chủ PowerEdge R650 Server: 2 x Intel Xeon Gold 5318Y 2.1G, 24C/48T, 11.2GT/s, 36M Cache, Turbo, HT (165W) DDR4-2933; 8x32GB RDIMM, 3200MT/s, Dual Rank; 2x1.92TB SSD SAS ISE; </t>
  </si>
  <si>
    <t>Tài nguyên vật lý 2022</t>
  </si>
  <si>
    <t>DB roaming hạn 12 tháng</t>
  </si>
  <si>
    <t>HLC
Vat ly loai 1</t>
  </si>
  <si>
    <t>1 x máy chủ Dell R650 2xIntel 5318Y 8x32GB 2x600GB SAS 2x NIC 10G dual port</t>
  </si>
  <si>
    <t>PBH 3.0</t>
  </si>
  <si>
    <t>3 x máy chủ Dell R650 2xIntel 5318Y 8x32GB 2x600GB SAS 2x NIC 10G dual port</t>
  </si>
  <si>
    <t>San2022</t>
  </si>
  <si>
    <t>bigdata2022</t>
  </si>
  <si>
    <t>Archiving2022</t>
  </si>
  <si>
    <t>Cloud</t>
  </si>
  <si>
    <t>Tên dự án</t>
  </si>
  <si>
    <t>Service</t>
  </si>
  <si>
    <t>Hostname</t>
  </si>
  <si>
    <t>IP</t>
  </si>
  <si>
    <t>Loại OS</t>
  </si>
  <si>
    <t>Cấu hình phần cứng</t>
  </si>
  <si>
    <t>Dung lượng ổ cứng</t>
  </si>
  <si>
    <t>Tài nguyên cấp phát</t>
  </si>
  <si>
    <t>Network Limit</t>
  </si>
  <si>
    <t>Gateway</t>
  </si>
  <si>
    <t>Owner server</t>
  </si>
  <si>
    <t>Route</t>
  </si>
  <si>
    <t>Package</t>
  </si>
  <si>
    <t xml:space="preserve">Monitored Prometheus </t>
  </si>
  <si>
    <t>DCN</t>
  </si>
  <si>
    <t>IP  Khác</t>
  </si>
  <si>
    <t>Volume OS (GB)</t>
  </si>
  <si>
    <t>Volume khác (GB)</t>
  </si>
  <si>
    <t>HA</t>
  </si>
  <si>
    <t>Storage Pool</t>
  </si>
  <si>
    <t>Cloud_VTT</t>
  </si>
  <si>
    <t>MyCC</t>
  </si>
  <si>
    <t>appipccx</t>
  </si>
  <si>
    <t>mycc-appipccx-10205058089</t>
  </si>
  <si>
    <t>10.205.58.89/24</t>
  </si>
  <si>
    <t>10.207.189.5/24
10.52.125.6/24
171.229.16.33/24</t>
  </si>
  <si>
    <t>CentOS_7_7_final</t>
  </si>
  <si>
    <t>u01: 190</t>
  </si>
  <si>
    <t>VTT_SAN_2021_Q4_01</t>
  </si>
  <si>
    <t>IDC7F_E07_Unity_880_1020502474_SAS</t>
  </si>
  <si>
    <t>10.207.189.254</t>
  </si>
  <si>
    <t>Yes</t>
  </si>
  <si>
    <t>anhtt69</t>
  </si>
  <si>
    <t xml:space="preserve">10.240.201.49/32 via 10.205.58.254 dev eth0
10.254.139.0/24 via 10.205.58.254 dev eth0
10.240.226.0/24 via 10.205.58.254 dev eth0
10.255.58.0/24 via 10.205.58.254 dev eth0
10.60.101.0/24 via 10.205.58.254 dev eth0
10.58.15.114/32 via 10.205.58.254 dev eth0
10.58.137.0/24 via 10.205.58.254 dev eth0
10.60.7.0/24 via 10.205.58.254 dev eth0
10.60.97.0/24 via 10.205.58.254 dev eth0
192.168.182.8/32 via 10.205.58.254 dev eth0
10.60.96.0/24 via 10.205.58.254 dev eth0
10.58.4.0/24 via 10.205.58.254 dev eth0
10.58.65.0/24 via 10.205.58.254 dev eth0
10.40.17.0/24 via 10.205.58.254 dev eth0
10.74.225.0/24 via 10.205.58.254 dev eth0
10.60.131.0/24 via 10.205.58.254 dev eth0
10.60.129.0/24 via 10.205.58.254 dev eth0
10.30.160.0/24 via 10.205.58.254 dev eth0
10.61.151.0/24 via 10.205.58.254 dev eth0
10.60.100.0/24 via 10.205.58.254 dev eth0
192.168.176.0/24 via 10.205.58.254 dev eth0
192.168.252.0/24 via 10.205.58.254 dev eth0
192.168.131.50/32 via 10.205.58.254 dev eth0
10.240.178.0/24 via 10.205.58.254 dev eth0
10.240.166.2/32 via 10.205.58.254 dev eth0
10.240.188.0/24 via 10.205.58.254 dev eth0
10.240.202.0/24 via 10.205.58.254 dev eth0
10.60.100.73/32 via 10.205.58.254 dev eth0
10.60.5.133/32 via 10.205.58.254 dev eth0
</t>
  </si>
  <si>
    <t xml:space="preserve">Yes </t>
  </si>
  <si>
    <t>Dau moi dich vu: tannph</t>
  </si>
  <si>
    <t>Các server đã cấp nhưng chưa dùng</t>
  </si>
  <si>
    <t>mycc-appipccx-10205058090</t>
  </si>
  <si>
    <t>10.205.58.90/24</t>
  </si>
  <si>
    <t>10.207.189.6/24
10.52.125.7/24
171.229.16.34/24</t>
  </si>
  <si>
    <t>IDC7F_E08_Unity_880_1020502476_SAS</t>
  </si>
  <si>
    <t>mycc-appipccx-10205058091</t>
  </si>
  <si>
    <t>10.205.58.91/24</t>
  </si>
  <si>
    <t>10.207.189.7/24
10.52.125.8/24
171.229.16.35/24</t>
  </si>
  <si>
    <t>mycc-appipccx-10205058092</t>
  </si>
  <si>
    <t>10.205.58.92/24</t>
  </si>
  <si>
    <t>10.207.189.8/24
10.52.125.9/24
171.229.16.36/24</t>
  </si>
  <si>
    <t>mycc-appipccx-10205058093</t>
  </si>
  <si>
    <t>10.205.58.93/24</t>
  </si>
  <si>
    <t>10.207.189.9/24
10.52.125.10/24
171.229.16.37/24</t>
  </si>
  <si>
    <t>mycc-appipccx-10205058094</t>
  </si>
  <si>
    <t>10.205.58.94/24</t>
  </si>
  <si>
    <t>10.207.189.10/24
10.52.125.11/24
171.229.16.38/24</t>
  </si>
  <si>
    <t>appipcc1x</t>
  </si>
  <si>
    <t>mycc-appipcc1x-10205058095</t>
  </si>
  <si>
    <t>10.205.58.95/24</t>
  </si>
  <si>
    <t>10.207.189.11/24
10.207.192.43/24</t>
  </si>
  <si>
    <t>mycc-appipcc1x-10205058096</t>
  </si>
  <si>
    <t>10.205.58.96/24</t>
  </si>
  <si>
    <t>10.207.189.12/24
10.207.192.44/24</t>
  </si>
  <si>
    <t>mycc-appipcc1x-10205058097</t>
  </si>
  <si>
    <t>10.205.58.97/24</t>
  </si>
  <si>
    <t>10.207.189.13/24
10.207.192.45/24</t>
  </si>
  <si>
    <t>mycc-appipcc1x-10205058098</t>
  </si>
  <si>
    <t>10.205.58.98/24</t>
  </si>
  <si>
    <t>10.207.189.14/24
10.207.192.46/24</t>
  </si>
  <si>
    <t>mycc-appipcc1x-10205058099</t>
  </si>
  <si>
    <t>10.205.58.99/24</t>
  </si>
  <si>
    <t>10.207.189.15/24
10.207.192.47/24</t>
  </si>
  <si>
    <t>mycc-appipcc1x-10205058100</t>
  </si>
  <si>
    <t>10.205.58.100/24</t>
  </si>
  <si>
    <t>10.207.189.16/24
10.207.192.48/24</t>
  </si>
  <si>
    <t>mycc-appipcc1x-10205058101</t>
  </si>
  <si>
    <t>10.205.58.101/24</t>
  </si>
  <si>
    <t>10.207.189.17/24
10.207.192.49/24</t>
  </si>
  <si>
    <t>mycc-appipcc1x-10205058102</t>
  </si>
  <si>
    <t>10.205.58.102/24</t>
  </si>
  <si>
    <t>10.207.189.18/24
10.207.192.50/24</t>
  </si>
  <si>
    <t>mycc-appipcc1x-10205058103</t>
  </si>
  <si>
    <t>10.205.58.103/24</t>
  </si>
  <si>
    <t>10.207.189.19/24
10.207.192.51/24</t>
  </si>
  <si>
    <t>mycc-appipcc1x-10205058104</t>
  </si>
  <si>
    <t>10.205.58.104/24</t>
  </si>
  <si>
    <t>10.207.189.20/24
10.207.192.52/24</t>
  </si>
  <si>
    <t>mycc-appipcc1x-10205058105</t>
  </si>
  <si>
    <t>10.205.58.105/24</t>
  </si>
  <si>
    <t>10.207.189.21/24
10.207.192.53/24</t>
  </si>
  <si>
    <t>mycc-appipcc1x-10205058106</t>
  </si>
  <si>
    <t>10.205.58.106/24</t>
  </si>
  <si>
    <t>10.207.189.22/24
10.207.192.54/24</t>
  </si>
  <si>
    <t>mycc-appipcc1x-10205058107</t>
  </si>
  <si>
    <t>10.205.58.107/24</t>
  </si>
  <si>
    <t>10.207.189.23/24
10.207.192.55/24</t>
  </si>
  <si>
    <t>mycc-appipcc1x-10205058108</t>
  </si>
  <si>
    <t>10.205.58.108/24</t>
  </si>
  <si>
    <t>10.207.189.24/24
10.207.192.56/24</t>
  </si>
  <si>
    <t>mycc-appipcc1x-10205058109</t>
  </si>
  <si>
    <t>10.205.58.109/24</t>
  </si>
  <si>
    <t>10.207.189.25/24
10.207.192.57/24</t>
  </si>
  <si>
    <t>mycc-appipcc1x-10205058110</t>
  </si>
  <si>
    <t>10.205.58.110/24</t>
  </si>
  <si>
    <t>10.207.189.26/24
10.207.192.58/24</t>
  </si>
  <si>
    <t>mycc-appipcc1x-10205058111</t>
  </si>
  <si>
    <t>10.205.58.111/24</t>
  </si>
  <si>
    <t>10.207.189.27/24
10.207.192.59/24</t>
  </si>
  <si>
    <t>mycc-appipcc1x-10205058112</t>
  </si>
  <si>
    <t>10.205.58.112/24</t>
  </si>
  <si>
    <t>10.207.189.28/24
10.207.192.60/24</t>
  </si>
  <si>
    <t>mycc-appipcc1x-10205058113</t>
  </si>
  <si>
    <t>10.205.58.113/24</t>
  </si>
  <si>
    <t>10.207.189.29/24
10.207.192.61/24</t>
  </si>
  <si>
    <t>mycc-appipcc1x-10205058114</t>
  </si>
  <si>
    <t>10.205.58.114/24</t>
  </si>
  <si>
    <t>10.207.189.30/24
10.207.192.62/24</t>
  </si>
  <si>
    <t>appipcc3x</t>
  </si>
  <si>
    <t>mycc-appipcc3x-10205058115</t>
  </si>
  <si>
    <t>10.205.58.115/24</t>
  </si>
  <si>
    <t>10.207.189.31/24
10.207.192.63/24</t>
  </si>
  <si>
    <t>u01: 510</t>
  </si>
  <si>
    <t>mycc-appipcc3x-10205058116</t>
  </si>
  <si>
    <t>10.205.58.116/24</t>
  </si>
  <si>
    <t>10.207.189.32/24
10.207.192.64/24</t>
  </si>
  <si>
    <t>mycc-appipcc3x-10205058117</t>
  </si>
  <si>
    <t>10.205.58.117/24</t>
  </si>
  <si>
    <t>10.207.189.33/24
10.207.192.65/24</t>
  </si>
  <si>
    <t>mycc-appipcc3x-10205058118</t>
  </si>
  <si>
    <t>10.205.58.118/24</t>
  </si>
  <si>
    <t>10.207.189.34/24
10.207.192.66/24</t>
  </si>
  <si>
    <t>mycc-appipcc3x-10205058119</t>
  </si>
  <si>
    <t>10.205.58.119/24</t>
  </si>
  <si>
    <t>10.207.189.35/24
10.207.192.67/24</t>
  </si>
  <si>
    <t>mycc-appipcc3x-10205058120</t>
  </si>
  <si>
    <t>10.205.58.120/24</t>
  </si>
  <si>
    <t>10.207.189.36/24
10.207.192.68/24</t>
  </si>
  <si>
    <t>database</t>
  </si>
  <si>
    <t>mycc-database-10205058121</t>
  </si>
  <si>
    <t>10.205.58.121/24</t>
  </si>
  <si>
    <t>10.207.191.45/24</t>
  </si>
  <si>
    <t>u01: 930</t>
  </si>
  <si>
    <t>IDC7F_E07_Unity_880_1020502474_SSD</t>
  </si>
  <si>
    <t>10.207.191.254</t>
  </si>
  <si>
    <t>mycc-database-10205058122</t>
  </si>
  <si>
    <t>10.205.58.122/24</t>
  </si>
  <si>
    <t>10.207.191.46/24</t>
  </si>
  <si>
    <t>IDC7F_E08_Unity_880_1020502476_SSD</t>
  </si>
  <si>
    <t>mycc-database-10205058123</t>
  </si>
  <si>
    <t>10.205.58.123/24</t>
  </si>
  <si>
    <t>10.207.191.47/24</t>
  </si>
  <si>
    <t>1.      Cụm Dell isilon (QHĐC 2021) ở tổng trạm Hòa Khánh</t>
  </si>
  <si>
    <t>TT</t>
  </si>
  <si>
    <t>Hệ thống CNTT</t>
  </si>
  <si>
    <t>NHU CẦU TÀI NGUYÊN</t>
  </si>
  <si>
    <t>Số lượng máy chủ compute quy hoạch</t>
  </si>
  <si>
    <t>Vị trí máy chủ</t>
  </si>
  <si>
    <t>Cấu hình máy chủ</t>
  </si>
  <si>
    <t>Đơn vị quản lý ứng dụng</t>
  </si>
  <si>
    <t>Đầu mối ứng dụng</t>
  </si>
  <si>
    <t>Total lưu trữ Bigdata(GB)</t>
  </si>
  <si>
    <t> Total archiving Bigdat (GB)</t>
  </si>
  <si>
    <t>Campaign Management_VTT</t>
  </si>
  <si>
    <t>Tầng 3, Ttr Hòa Khánh</t>
  </si>
  <si>
    <t>2x Intel Xeon Gold 5318Y</t>
  </si>
  <si>
    <t>256GB</t>
  </si>
  <si>
    <t>2x 960GB SAS</t>
  </si>
  <si>
    <t>VTT</t>
  </si>
  <si>
    <t>AnhDT156</t>
  </si>
  <si>
    <t>Đã cấu hình quy hoạch lưu trữ trên Datalake</t>
  </si>
  <si>
    <t>CUS 360</t>
  </si>
  <si>
    <t> Sonln3</t>
  </si>
  <si>
    <t>Adhoc VTT</t>
  </si>
  <si>
    <t>Adhoc VTG</t>
  </si>
  <si>
    <t>Analytic VTT</t>
  </si>
  <si>
    <t> Dungha7</t>
  </si>
  <si>
    <t>CCAI</t>
  </si>
  <si>
    <t>BCCS_BILLING</t>
  </si>
  <si>
    <t> Dungpt16</t>
  </si>
  <si>
    <t>2.      Cụm IBM ESS (QHĐC 2022) ở tổng trạm Hòa Khánh</t>
  </si>
  <si>
    <t>Bổ sung tăng trưởng DATA - DataLake VTT</t>
  </si>
  <si>
    <t>Tầng 4, Ttr Hòa Khánh</t>
  </si>
  <si>
    <t>2xIntel 5318Y</t>
  </si>
  <si>
    <t>2*1.92TB SSD</t>
  </si>
  <si>
    <t>DungHA7</t>
  </si>
  <si>
    <t>3.      Cụm Cloud chuyển Bigdata(QHĐC 2022) ở tổng trạm Hòa Khánh</t>
  </si>
  <si>
    <t>Bigdata VTT 2022</t>
  </si>
  <si>
    <t>Dùng chung IBM 2022 và Dell 2021</t>
  </si>
  <si>
    <t>2*600GB SAS</t>
  </si>
  <si>
    <t>4.      Cụm Dell isilon (QHĐC 2023) ở tổng trạm Hòa Lạc 2</t>
  </si>
  <si>
    <t>Hệ thống Campaign Management</t>
  </si>
  <si>
    <t>Tầng 3, Ttr Hòa Lạc 2 (HLA)</t>
  </si>
  <si>
    <t>2xIntel Xeon-Gold 5418Y </t>
  </si>
  <si>
    <t>2x960GB SSD</t>
  </si>
  <si>
    <t>8x8TB SAS</t>
  </si>
  <si>
    <t>DataLake VTT(FMRA)</t>
  </si>
  <si>
    <t>TamDX</t>
  </si>
  <si>
    <t>DataLake VTT</t>
  </si>
  <si>
    <t>Hệ thống Marketing tập trung</t>
  </si>
  <si>
    <t>Hệ thống vRAFM 3.0 (Các server ứng dụng và DB)</t>
  </si>
  <si>
    <t>TuanNM33</t>
  </si>
  <si>
    <t>2x1.92 SSD</t>
  </si>
  <si>
    <t>5.      Cụm Dell isilon ở tổng trạm Hòa Lạc </t>
  </si>
  <si>
    <t>Event Management</t>
  </si>
  <si>
    <t>TT CNTT - TCT VTT</t>
  </si>
  <si>
    <t>Eureka</t>
  </si>
  <si>
    <t>hieunt82</t>
  </si>
  <si>
    <t>Ký hiệu</t>
  </si>
  <si>
    <t>Đơn vị tính</t>
  </si>
  <si>
    <t>DA Cloud</t>
  </si>
  <si>
    <t>DA CĐBR</t>
  </si>
  <si>
    <t>DA HĐH</t>
  </si>
  <si>
    <t>GVM</t>
  </si>
  <si>
    <t>NTH</t>
  </si>
  <si>
    <t>HHT</t>
  </si>
  <si>
    <t>Chi tiết</t>
  </si>
  <si>
    <t>Server Cloud loại 1</t>
  </si>
  <si>
    <t>Bộ</t>
  </si>
  <si>
    <t> 253.03 </t>
  </si>
  <si>
    <t> -   </t>
  </si>
  <si>
    <t> 253</t>
  </si>
  <si>
    <t>- 60 compute chia 02 HA ảo hóa cloud, còn lại chuyển bigdata (Cụm mới HKH)</t>
  </si>
  <si>
    <t>Server</t>
  </si>
  <si>
    <t>Loại thiết bị</t>
  </si>
  <si>
    <t>RAM(GB)</t>
  </si>
  <si>
    <t>Server Cloud loại 2</t>
  </si>
  <si>
    <t> 179.48 </t>
  </si>
  <si>
    <t> 246</t>
  </si>
  <si>
    <t>-179 HLC</t>
  </si>
  <si>
    <t>svr cloud loại 2</t>
  </si>
  <si>
    <t>y</t>
  </si>
  <si>
    <t>- 246 ở HKH</t>
  </si>
  <si>
    <t>bigdata</t>
  </si>
  <si>
    <t>svr cloud loại 1</t>
  </si>
  <si>
    <t>n</t>
  </si>
  <si>
    <t>Server vật lý loại 1</t>
  </si>
  <si>
    <t> 117</t>
  </si>
  <si>
    <t> 52</t>
  </si>
  <si>
    <t> 101</t>
  </si>
  <si>
    <t>Chạy vật lý, kết nối SAN ( Oracle, App....)</t>
  </si>
  <si>
    <t>40% HLC , 60% HKH ( tương 2+2 SAN) mỗi SAN switch 38 server</t>
  </si>
  <si>
    <t>Server vật lý loại 2</t>
  </si>
  <si>
    <t> 2.00 </t>
  </si>
  <si>
    <t>Đấu nối SAN tương tự vật lý loại 1</t>
  </si>
  <si>
    <t>Server vật lý loại 4</t>
  </si>
  <si>
    <t> 20.00 </t>
  </si>
  <si>
    <t>Bare HKH</t>
  </si>
  <si>
    <t>Server vật lý loại 6</t>
  </si>
  <si>
    <t> 18.00 </t>
  </si>
  <si>
    <t>Bare HLC</t>
  </si>
  <si>
    <t>Lưu trữ Ceph</t>
  </si>
  <si>
    <t>- Chia 02 HA để dự phòng</t>
  </si>
  <si>
    <t>Server Bigdata loại 1</t>
  </si>
  <si>
    <t> 22</t>
  </si>
  <si>
    <t>Lưu trữ Object</t>
  </si>
  <si>
    <t>TB</t>
  </si>
  <si>
    <t xml:space="preserve"> 5,550 </t>
  </si>
  <si>
    <t>HKH tv360</t>
  </si>
  <si>
    <t>Lưu trữ SAN</t>
  </si>
  <si>
    <t>4 HLC, 6 HKH cho cloud (theo danh sách TB SAN thì VTT có 5 HLC)</t>
  </si>
  <si>
    <t>2 HLC, 2 HKH cho vật lý</t>
  </si>
  <si>
    <t>Lưu trữ NAS</t>
  </si>
  <si>
    <t>Lưu trữ Big data</t>
  </si>
  <si>
    <t> 1,151.56 </t>
  </si>
  <si>
    <t>Lưu trữ Archiving</t>
  </si>
  <si>
    <t> 1,074.22 </t>
  </si>
  <si>
    <t>Model</t>
  </si>
  <si>
    <t>NiC</t>
  </si>
  <si>
    <t>HPE DL360 Gen10 </t>
  </si>
  <si>
    <t>12x32GB </t>
  </si>
  <si>
    <t>2x NIC 10G dual port</t>
  </si>
  <si>
    <t>N/A</t>
  </si>
  <si>
    <t>1xHBA Dual Port</t>
  </si>
  <si>
    <t>Dell R650</t>
  </si>
  <si>
    <t>8x32GB </t>
  </si>
  <si>
    <t>8x64GB </t>
  </si>
  <si>
    <t>Server vật lý loại 3</t>
  </si>
  <si>
    <t>DELL R750</t>
  </si>
  <si>
    <t>2x64GB </t>
  </si>
  <si>
    <t>4x8TB NLSAS</t>
  </si>
  <si>
    <t xml:space="preserve">4x32GB </t>
  </si>
  <si>
    <t>4x64GB </t>
  </si>
  <si>
    <t>2x1,92TB SSD</t>
  </si>
  <si>
    <t>Server vật lý loại 5</t>
  </si>
  <si>
    <t>DELL R750XA</t>
  </si>
  <si>
    <t>2xIntel 5318S</t>
  </si>
  <si>
    <t>2x800GB SSD</t>
  </si>
  <si>
    <t>3xNVIDIA  A30</t>
  </si>
  <si>
    <t>2x800G SSD</t>
  </si>
  <si>
    <t>1x NIC 10G Quad port</t>
  </si>
  <si>
    <t>Server vật lý loại 7</t>
  </si>
  <si>
    <t>3x8TB NLSAS</t>
  </si>
  <si>
    <t>Server vật lý loại 8</t>
  </si>
  <si>
    <t>6x8TB NLSAS</t>
  </si>
  <si>
    <t>Server vật lý loại 9</t>
  </si>
  <si>
    <t>3x3,84TB SSD</t>
  </si>
  <si>
    <t>Server SDS loại 1, 3 (ceph)</t>
  </si>
  <si>
    <t>2xIntel Xeon Silver 4310</t>
  </si>
  <si>
    <t>5x16TB SAS</t>
  </si>
  <si>
    <t>2x1,9TB SSD</t>
  </si>
  <si>
    <t>4x3,84TB SSD</t>
  </si>
  <si>
    <t>Thiết bị SAN-SAN Switch</t>
  </si>
  <si>
    <t>SSD(TB)</t>
  </si>
  <si>
    <t>HDD(TB)</t>
  </si>
  <si>
    <t>12/Viettel-SVTech/2023</t>
  </si>
  <si>
    <t>Thiết bị lưu trữ Cloud loại 1</t>
  </si>
  <si>
    <r>
      <rPr>
        <sz val="11"/>
        <color indexed="64"/>
        <rFont val="Times New Roman"/>
      </rPr>
      <t>VSP E590H Appliance Product: 93x2.4TB SFF SAS HDD; 59x3.8TB SAS SSD</t>
    </r>
    <r>
      <rPr>
        <sz val="11"/>
        <color indexed="64"/>
        <rFont val="Arial"/>
      </rPr>
      <t> </t>
    </r>
  </si>
  <si>
    <t>18/Viettel-SVTech/2023</t>
  </si>
  <si>
    <t>VSP E590H Appliance Product: 93x2.4TB SFF SAS HDD; 59x3.8TB SAS SSD </t>
  </si>
  <si>
    <t>Mã SR cấp phát</t>
  </si>
  <si>
    <t>Pool/ Nguồn tài nguyên</t>
  </si>
  <si>
    <t>Service (App, DB, K8s, master, worker,…)</t>
  </si>
  <si>
    <t>Hostname
(Compute)</t>
  </si>
  <si>
    <t>IP DCN</t>
  </si>
  <si>
    <t>IP Khác</t>
  </si>
  <si>
    <t>Lọai OS</t>
  </si>
  <si>
    <t>NAS (GB)</t>
  </si>
  <si>
    <t>Host aggregate</t>
  </si>
  <si>
    <t>Instance Name</t>
  </si>
  <si>
    <t>Status (Running/Thu hồi)</t>
  </si>
  <si>
    <t>Đầu mối dự án</t>
  </si>
  <si>
    <t>Status</t>
  </si>
  <si>
    <t>SR_VN_20220223_542239</t>
  </si>
  <si>
    <t>VDA_VTT</t>
  </si>
  <si>
    <t>Redis</t>
  </si>
  <si>
    <t>hlc3f-vtt01-com-1020718351</t>
  </si>
  <si>
    <t>10.207.188.148</t>
  </si>
  <si>
    <t>VTT_SAN_2023_Q2_01</t>
  </si>
  <si>
    <t>HLC9103.D12A.Unity_880.VTT-SAN-03</t>
  </si>
  <si>
    <t>Redis-10.207.188.148</t>
  </si>
  <si>
    <t>Running</t>
  </si>
  <si>
    <t>TT VAS</t>
  </si>
  <si>
    <t>NDTho</t>
  </si>
  <si>
    <t>Master</t>
  </si>
  <si>
    <t>hlc3f-vtt01-com-1020718350</t>
  </si>
  <si>
    <t>10.207.188.90</t>
  </si>
  <si>
    <t>Master-10.207.188.90</t>
  </si>
  <si>
    <t>hlc7f-vtt01-com-1020718345</t>
  </si>
  <si>
    <t>10.207.188.149</t>
  </si>
  <si>
    <t>Redis-10.207.188.149</t>
  </si>
  <si>
    <t>hlc3f-vtt01-com-1020718369</t>
  </si>
  <si>
    <t>10.207.188.146</t>
  </si>
  <si>
    <t>Redis-10.207.188.146</t>
  </si>
  <si>
    <t>DB</t>
  </si>
  <si>
    <t>hlc7f-vtt01-com-1020718317</t>
  </si>
  <si>
    <t>10.207.191.26</t>
  </si>
  <si>
    <t>DB-10.207.191.26</t>
  </si>
  <si>
    <t>hlc3f-vtt01-com-1020718354</t>
  </si>
  <si>
    <t>10.207.188.145</t>
  </si>
  <si>
    <t>Redis-10.207.188.145</t>
  </si>
  <si>
    <t>hlc3f-vtt01-com-1020718381</t>
  </si>
  <si>
    <t>10.207.188.143</t>
  </si>
  <si>
    <t>VTT_SAN_2023_Q2_02</t>
  </si>
  <si>
    <t>HLC9103.D12A.Unity_880.VTT-SAN-04</t>
  </si>
  <si>
    <t>Redis-10.207.188.143</t>
  </si>
  <si>
    <t>Etcd</t>
  </si>
  <si>
    <t>hlc7f-vtt01-com-1020718342</t>
  </si>
  <si>
    <t>10.207.188.81</t>
  </si>
  <si>
    <t>Etcd-10.207.188.81</t>
  </si>
  <si>
    <t>hlc7f-vtt01-com-1020718319</t>
  </si>
  <si>
    <t>10.207.188.80</t>
  </si>
  <si>
    <t>Etcd-10.207.188.80</t>
  </si>
  <si>
    <t>hlc7f-vtt01-com-1020718322</t>
  </si>
  <si>
    <t>10.207.188.102</t>
  </si>
  <si>
    <t>Redis-10.207.188.102</t>
  </si>
  <si>
    <t>Kafka</t>
  </si>
  <si>
    <t>hlc3f-vtt01-com-1020718348</t>
  </si>
  <si>
    <t>10.207.188.92</t>
  </si>
  <si>
    <t>Kafka-10.207.188.92</t>
  </si>
  <si>
    <t>hlc7f-vtt01-com-1020718332</t>
  </si>
  <si>
    <t>10.207.188.97</t>
  </si>
  <si>
    <t>Kafka-10.207.188.97</t>
  </si>
  <si>
    <t>hlc7f-vtt01-com-1020718325</t>
  </si>
  <si>
    <t>10.207.188.96</t>
  </si>
  <si>
    <t>Kafka-10.207.188.96</t>
  </si>
  <si>
    <t>10.207.188.91</t>
  </si>
  <si>
    <t>Master-10.207.188.91</t>
  </si>
  <si>
    <t>10.207.188.100</t>
  </si>
  <si>
    <t>Redis-10.207.188.100</t>
  </si>
  <si>
    <t>10.207.191.25</t>
  </si>
  <si>
    <t>DB-10.207.191.25</t>
  </si>
  <si>
    <t>hlc3f-vtt01-com-1020718356</t>
  </si>
  <si>
    <t>10.207.188.89</t>
  </si>
  <si>
    <t>Master-10.207.188.89</t>
  </si>
  <si>
    <t>hlc3f-vtt01-com-1020718394</t>
  </si>
  <si>
    <t>10.207.191.24</t>
  </si>
  <si>
    <t>DB-10.207.191.24</t>
  </si>
  <si>
    <t>hlc3f-vtt01-com-1020718358</t>
  </si>
  <si>
    <t>10.207.188.93</t>
  </si>
  <si>
    <t>Kafka-10.207.188.93</t>
  </si>
  <si>
    <t>hlc3f-vtt01-com-1020718353</t>
  </si>
  <si>
    <t>10.207.188.83</t>
  </si>
  <si>
    <t>Master-10.207.188.83</t>
  </si>
  <si>
    <t>10.207.188.87</t>
  </si>
  <si>
    <t>Master-10.207.188.87</t>
  </si>
  <si>
    <t>hlc3f-vtt01-com-1020718357</t>
  </si>
  <si>
    <t>10.207.188.84</t>
  </si>
  <si>
    <t>Master-10.207.188.84</t>
  </si>
  <si>
    <t>hlc3f-vtt01-com-1020718355</t>
  </si>
  <si>
    <t>10.207.188.88</t>
  </si>
  <si>
    <t>Master-10.207.188.88</t>
  </si>
  <si>
    <t>10.207.188.94</t>
  </si>
  <si>
    <t>Kafka-10.207.188.94</t>
  </si>
  <si>
    <t>10.207.188.85</t>
  </si>
  <si>
    <t>Master-10.207.188.85</t>
  </si>
  <si>
    <t>hlc7f-vtt01-com-1020718326</t>
  </si>
  <si>
    <t>10.207.188.79</t>
  </si>
  <si>
    <t>Etcd-10.207.188.79</t>
  </si>
  <si>
    <t>hlc7f-vtt01-com-1020718316</t>
  </si>
  <si>
    <t>10.207.188.101</t>
  </si>
  <si>
    <t>Redis-10.207.188.101</t>
  </si>
  <si>
    <t>hlc7f-vtt01-com-1020718338</t>
  </si>
  <si>
    <t>10.207.188.95</t>
  </si>
  <si>
    <t>Kafka-10.207.188.95</t>
  </si>
  <si>
    <t>10.207.188.86</t>
  </si>
  <si>
    <t>Master-10.207.188.86</t>
  </si>
  <si>
    <t>10.207.188.77</t>
  </si>
  <si>
    <t>Etcd-10.207.188.77</t>
  </si>
  <si>
    <t>hlc3f-vtt01-com-1020718362</t>
  </si>
  <si>
    <t>10.207.188.82</t>
  </si>
  <si>
    <t>Etcd-10.207.188.82</t>
  </si>
  <si>
    <t>hlc3f-vtt01-com-1020718396</t>
  </si>
  <si>
    <t>10.207.188.144</t>
  </si>
  <si>
    <t>Redis-10.207.188.144</t>
  </si>
  <si>
    <t>hlc3f-vtt01-com-1020718379</t>
  </si>
  <si>
    <t>10.207.188.142</t>
  </si>
  <si>
    <t>Redis-10.207.188.142</t>
  </si>
  <si>
    <t>hlc3f-vtt01-com-10207183074</t>
  </si>
  <si>
    <t>10.207.188.141</t>
  </si>
  <si>
    <t>Redis-10.207.188.141</t>
  </si>
  <si>
    <t>ES</t>
  </si>
  <si>
    <t>hlc3f-vtt01-com-1020718378</t>
  </si>
  <si>
    <t>10.207.188.135</t>
  </si>
  <si>
    <t>ES-10.207.188.135</t>
  </si>
  <si>
    <t>Worker</t>
  </si>
  <si>
    <t>hlc3f-vtt01-com-1020718382</t>
  </si>
  <si>
    <t>10.207.188.120</t>
  </si>
  <si>
    <t>Worker-10.207.188.120</t>
  </si>
  <si>
    <t>hlc3f-vtt01-com-1020718377</t>
  </si>
  <si>
    <t>10.207.191.28</t>
  </si>
  <si>
    <t>DB-10.207.191.28</t>
  </si>
  <si>
    <t>hlc3f-vtt01-com-1020718392</t>
  </si>
  <si>
    <t>10.207.188.117</t>
  </si>
  <si>
    <t>Worker-10.207.188.117</t>
  </si>
  <si>
    <t>hlc3f-vtt01-com-10207183076</t>
  </si>
  <si>
    <t>10.207.188.118</t>
  </si>
  <si>
    <t>Worker-10.207.188.118</t>
  </si>
  <si>
    <t>hlc3f-vtt01-com-1020718390</t>
  </si>
  <si>
    <t>10.207.188.134</t>
  </si>
  <si>
    <t>ES-10.207.188.134</t>
  </si>
  <si>
    <t>hlc3f-vtt01-com-1020718391</t>
  </si>
  <si>
    <t>10.207.188.124</t>
  </si>
  <si>
    <t>Worker-10.207.188.124</t>
  </si>
  <si>
    <t>hlc3f-vtt01-com-1020718380</t>
  </si>
  <si>
    <t>10.207.188.133</t>
  </si>
  <si>
    <t>ES-10.207.188.133</t>
  </si>
  <si>
    <t>10.207.188.78</t>
  </si>
  <si>
    <t>Etcd-10.207.188.78</t>
  </si>
  <si>
    <t>hlc3f-vtt01-com-1020718386</t>
  </si>
  <si>
    <t>10.207.188.137</t>
  </si>
  <si>
    <t>ES-10.207.188.137</t>
  </si>
  <si>
    <t>hlc3f-vtt01-com-1020718383</t>
  </si>
  <si>
    <t>10.207.188.125</t>
  </si>
  <si>
    <t>Worker-10.207.188.125</t>
  </si>
  <si>
    <t>hlc3f-vtt01-com-10207183073</t>
  </si>
  <si>
    <t>10.207.188.126</t>
  </si>
  <si>
    <t>Worker-10.207.188.126</t>
  </si>
  <si>
    <t>10.207.188.119</t>
  </si>
  <si>
    <t>Worker-10.207.188.119</t>
  </si>
  <si>
    <t>10.207.188.121</t>
  </si>
  <si>
    <t>Worker-10.207.188.121</t>
  </si>
  <si>
    <t>10.207.188.147</t>
  </si>
  <si>
    <t>Redis-10.207.188.147</t>
  </si>
  <si>
    <t>10.207.188.122</t>
  </si>
  <si>
    <t>Worker-10.207.188.122</t>
  </si>
  <si>
    <t>10.207.188.123</t>
  </si>
  <si>
    <t>Worker-10.207.188.123</t>
  </si>
  <si>
    <t>10.207.191.29</t>
  </si>
  <si>
    <t>DB-10.207.191.29</t>
  </si>
  <si>
    <t>hlc3f-vtt01-com-1020718366</t>
  </si>
  <si>
    <t>10.207.188.139</t>
  </si>
  <si>
    <t>ES-10.207.188.139</t>
  </si>
  <si>
    <t>10.207.188.138</t>
  </si>
  <si>
    <t>ES-10.207.188.138</t>
  </si>
  <si>
    <t>10.207.191.30</t>
  </si>
  <si>
    <t>DB-10.207.191.30</t>
  </si>
  <si>
    <t>hlc7f-vtt01-com-1020718346</t>
  </si>
  <si>
    <t>10.207.188.130</t>
  </si>
  <si>
    <t>Worker-10.207.188.130</t>
  </si>
  <si>
    <t>10.207.188.128</t>
  </si>
  <si>
    <t>Worker-10.207.188.128</t>
  </si>
  <si>
    <t>10.207.188.131</t>
  </si>
  <si>
    <t>Worker-10.207.188.131</t>
  </si>
  <si>
    <t>10.207.188.129</t>
  </si>
  <si>
    <t>Worker-10.207.188.129</t>
  </si>
  <si>
    <t>10.207.188.127</t>
  </si>
  <si>
    <t>Worker-10.207.188.127</t>
  </si>
  <si>
    <t>u01:200</t>
  </si>
  <si>
    <t xml:space="preserve"> logs:100</t>
  </si>
  <si>
    <t>SR_VN_20250205_1313362</t>
  </si>
  <si>
    <t>Cloud_HLC_2024</t>
  </si>
  <si>
    <t>TTOnline</t>
  </si>
  <si>
    <t>APP</t>
  </si>
  <si>
    <t>TTOnline_01-01</t>
  </si>
  <si>
    <t>10.211.126.99/24</t>
  </si>
  <si>
    <t>CentOS_Stream_9_final</t>
  </si>
  <si>
    <t>data:374</t>
  </si>
  <si>
    <t>VTT_SAN_2024_Q4_01</t>
  </si>
  <si>
    <t>VTT_HITACHI_E590H_SAN_01</t>
  </si>
  <si>
    <t>TTOnline_01-02</t>
  </si>
  <si>
    <t>10.211.126.100/24</t>
  </si>
  <si>
    <t>VTT_SAN_2024_Q4_02</t>
  </si>
  <si>
    <t>VTT_HITACHI_E590H_SAN_02</t>
  </si>
  <si>
    <t>TTOnline_01-03</t>
  </si>
  <si>
    <t>10.211.126.101/24</t>
  </si>
  <si>
    <t>VTT_SAN_2024_Q4_03</t>
  </si>
  <si>
    <t>VTT_HITACHI_E590H_SAN_03</t>
  </si>
  <si>
    <t>TTOnline_01-04</t>
  </si>
  <si>
    <t>10.211.126.102/24</t>
  </si>
  <si>
    <t>VTT_SAN_2024_Q4_04</t>
  </si>
  <si>
    <t>VTT_HITACHI_E590H_SAN_04</t>
  </si>
  <si>
    <t>TTOnline_01-05</t>
  </si>
  <si>
    <t>10.211.126.103/24</t>
  </si>
  <si>
    <t>VTT_SAN_2024_Q4_05</t>
  </si>
  <si>
    <t>VTT_HITACHI_E590H_SAN_05</t>
  </si>
  <si>
    <t>TTOnline_01-06</t>
  </si>
  <si>
    <t>10.211.126.104/24</t>
  </si>
  <si>
    <t>TTOnline_01-07</t>
  </si>
  <si>
    <t>10.211.126.105/24</t>
  </si>
  <si>
    <t>TTOnline_01-08</t>
  </si>
  <si>
    <t>10.211.126.106/24</t>
  </si>
  <si>
    <t>TTOnline_01-09</t>
  </si>
  <si>
    <t>10.211.126.107/24</t>
  </si>
  <si>
    <t>TTOnline_01-10</t>
  </si>
  <si>
    <t>10.211.126.108/24</t>
  </si>
  <si>
    <t>TTOnline_01-11</t>
  </si>
  <si>
    <t>10.211.126.109/24</t>
  </si>
  <si>
    <t>TTOnline_01-12</t>
  </si>
  <si>
    <t>10.211.126.110/24</t>
  </si>
  <si>
    <t>TTOnline_01-13</t>
  </si>
  <si>
    <t>10.211.126.111/24</t>
  </si>
  <si>
    <t>TTOnline_01-14</t>
  </si>
  <si>
    <t>10.211.126.112/24</t>
  </si>
  <si>
    <t>TTOnline_01-15</t>
  </si>
  <si>
    <t>10.211.126.113/24</t>
  </si>
  <si>
    <t>TTOnline_01-16</t>
  </si>
  <si>
    <t>10.211.126.114/24</t>
  </si>
  <si>
    <t>TTOnline_01-17</t>
  </si>
  <si>
    <t>10.211.126.115/24</t>
  </si>
  <si>
    <t>TTOnline_01-18</t>
  </si>
  <si>
    <t>10.211.126.116/24</t>
  </si>
  <si>
    <t>TTOnline_01-19</t>
  </si>
  <si>
    <t>10.211.126.117/24</t>
  </si>
  <si>
    <t>TTOnline_01-20</t>
  </si>
  <si>
    <t>10.211.126.118/24</t>
  </si>
  <si>
    <t>TTOnline_01-21</t>
  </si>
  <si>
    <t>10.211.126.119/24</t>
  </si>
  <si>
    <t>TTOnline_01-22</t>
  </si>
  <si>
    <t>10.211.126.120/24</t>
  </si>
  <si>
    <t>TTOnline_01-23</t>
  </si>
  <si>
    <t>10.211.126.121/24</t>
  </si>
  <si>
    <t>TTOnline_01-24</t>
  </si>
  <si>
    <t>10.211.126.122/24</t>
  </si>
  <si>
    <t>TTOnline_01-25</t>
  </si>
  <si>
    <t>10.211.126.123/24</t>
  </si>
  <si>
    <t>TTOnline_01-26</t>
  </si>
  <si>
    <t>10.211.126.124/24</t>
  </si>
  <si>
    <t>TTOnline_01-27</t>
  </si>
  <si>
    <t>10.211.126.125/24</t>
  </si>
  <si>
    <t>TTOnline_01-28</t>
  </si>
  <si>
    <t>10.211.126.126/24</t>
  </si>
  <si>
    <t>TTOnline_02-01</t>
  </si>
  <si>
    <t>10.211.126.127/24</t>
  </si>
  <si>
    <t>10.52.156.1/25</t>
  </si>
  <si>
    <t>TTOnline_02-02</t>
  </si>
  <si>
    <t>10.211.126.128/24</t>
  </si>
  <si>
    <t>10.52.156.2/25</t>
  </si>
  <si>
    <t>TTOnline_02-03</t>
  </si>
  <si>
    <t>10.211.126.129/24</t>
  </si>
  <si>
    <t>10.52.156.3/25</t>
  </si>
  <si>
    <t>TTOnline_03-01</t>
  </si>
  <si>
    <t>10.211.126.130/24</t>
  </si>
  <si>
    <t>data:224</t>
  </si>
  <si>
    <t>TTOnline_03-02</t>
  </si>
  <si>
    <t>10.211.126.131/24</t>
  </si>
  <si>
    <t>TTOnline_03-03</t>
  </si>
  <si>
    <t>10.211.126.132/24</t>
  </si>
  <si>
    <t>TTOnline_03-04</t>
  </si>
  <si>
    <t>10.211.126.133/24</t>
  </si>
  <si>
    <t>TTOnline_03-05</t>
  </si>
  <si>
    <t>10.211.126.134/24</t>
  </si>
  <si>
    <t>TTOnline_03-06</t>
  </si>
  <si>
    <t>10.211.126.135/24</t>
  </si>
  <si>
    <t>TTOnline_03-07</t>
  </si>
  <si>
    <t>10.211.126.136/24</t>
  </si>
  <si>
    <t>TTOnline_03-08</t>
  </si>
  <si>
    <t>10.211.126.137/24</t>
  </si>
  <si>
    <t>TTOnline_03-09</t>
  </si>
  <si>
    <t>10.211.126.138/24</t>
  </si>
  <si>
    <t>TTOnline_04-01</t>
  </si>
  <si>
    <t>10.211.126.139/24</t>
  </si>
  <si>
    <t>data:135</t>
  </si>
  <si>
    <t>TTOnline_04-02</t>
  </si>
  <si>
    <t>10.211.126.140/24</t>
  </si>
  <si>
    <t>TTOnline_04-03</t>
  </si>
  <si>
    <t>10.211.126.141/24</t>
  </si>
  <si>
    <t>SR_VN_20250205_1313265</t>
  </si>
  <si>
    <t>Crawler</t>
  </si>
  <si>
    <t>app-crawler-01</t>
  </si>
  <si>
    <t>10.211.126.142/24</t>
  </si>
  <si>
    <t>u01:18650</t>
  </si>
  <si>
    <t>TT CNTT</t>
  </si>
  <si>
    <t>hungdt54</t>
  </si>
  <si>
    <t>app-crawler-02</t>
  </si>
  <si>
    <t>10.211.126.143/24</t>
  </si>
  <si>
    <t>SR_VN_20250206_1314391</t>
  </si>
  <si>
    <t>App</t>
  </si>
  <si>
    <t>public-test-01</t>
  </si>
  <si>
    <t>10.210.103.78/24</t>
  </si>
  <si>
    <t>171.229.16.123/24</t>
  </si>
  <si>
    <t>u01:240</t>
  </si>
  <si>
    <t>public-test-02</t>
  </si>
  <si>
    <t>10.210.103.79/24</t>
  </si>
  <si>
    <t>171.229.16.124/24</t>
  </si>
  <si>
    <t>hkh-vtt-app-10-211-45-19</t>
  </si>
  <si>
    <t>10.211.45.19</t>
  </si>
  <si>
    <t>Ubuntu 22.04 LTS</t>
  </si>
  <si>
    <t>hkh-vtt-app-10-211-45-20</t>
  </si>
  <si>
    <t>10.211.45.20</t>
  </si>
  <si>
    <t>hkh-vtt-app-10-211-45-33</t>
  </si>
  <si>
    <t>10.211.45.33</t>
  </si>
  <si>
    <t>hkh-vtt-app-10-211-45-39</t>
  </si>
  <si>
    <t>10.211.45.39</t>
  </si>
  <si>
    <t>hkh-vtt-app-10-211-45-40</t>
  </si>
  <si>
    <t>10.211.45.40</t>
  </si>
  <si>
    <t>hkh-vtt-app-10-211-45-41</t>
  </si>
  <si>
    <t>10.211.45.41</t>
  </si>
  <si>
    <t>hkh-vtt-app-10-211-45-42</t>
  </si>
  <si>
    <t>10.211.45.42</t>
  </si>
  <si>
    <t>hkh-vtt-app-10-211-45-43</t>
  </si>
  <si>
    <t>10.211.45.43</t>
  </si>
  <si>
    <t>hkh-vtt-app-10-211-45-44</t>
  </si>
  <si>
    <t>10.211.45.44</t>
  </si>
  <si>
    <t>hkh-vtt-app-10-211-45-45</t>
  </si>
  <si>
    <t>10.211.45.45</t>
  </si>
  <si>
    <t>hkh-vtt-app-10-211-45-46</t>
  </si>
  <si>
    <t>10.211.45.46</t>
  </si>
  <si>
    <t>hkh-vtt-app-10-211-45-47</t>
  </si>
  <si>
    <t>10.211.45.47</t>
  </si>
  <si>
    <t>hkh-vtt-app-10-211-45-48</t>
  </si>
  <si>
    <t>10.211.45.48</t>
  </si>
  <si>
    <t>hkh-vtt-app-10-211-45-53</t>
  </si>
  <si>
    <t>10.211.45.53</t>
  </si>
  <si>
    <t>hkh-vtt-app-10-211-45-59</t>
  </si>
  <si>
    <t>10.211.45.59</t>
  </si>
  <si>
    <t>hkh-vtt-app-10-211-45-60</t>
  </si>
  <si>
    <t>10.211.45.60</t>
  </si>
  <si>
    <t>hkh-vtt-app-10-211-45-61</t>
  </si>
  <si>
    <t>10.211.45.61</t>
  </si>
  <si>
    <t>hkh-vtt-app-10-211-45-62</t>
  </si>
  <si>
    <t>10.211.45.62</t>
  </si>
  <si>
    <t>hkh-vtt-app-10-211-45-63</t>
  </si>
  <si>
    <t>10.211.45.63</t>
  </si>
  <si>
    <t>hkh-vtt-app-10-211-45-64</t>
  </si>
  <si>
    <t>10.211.45.64</t>
  </si>
  <si>
    <t>hkh-vtt-app-10-211-45-65</t>
  </si>
  <si>
    <t>10.211.45.65</t>
  </si>
  <si>
    <t>hkh-vtt-app-10-211-45-66</t>
  </si>
  <si>
    <t>10.211.45.66</t>
  </si>
  <si>
    <t>hkh-vtt-app-10-211-45-67</t>
  </si>
  <si>
    <t>10.211.45.67</t>
  </si>
  <si>
    <t>hkh-vtt-app-10-211-45-68</t>
  </si>
  <si>
    <t>10.211.45.68</t>
  </si>
  <si>
    <t>hkh-vtt-app-10-211-45-69</t>
  </si>
  <si>
    <t>10.211.45.69</t>
  </si>
  <si>
    <t>hkh-vtt-app-10-211-45-70</t>
  </si>
  <si>
    <t>10.211.45.70</t>
  </si>
  <si>
    <t>hkh-vtt-app-10-211-45-71</t>
  </si>
  <si>
    <t>10.211.45.71</t>
  </si>
  <si>
    <t>hkh-vtt-app-10-211-45-72</t>
  </si>
  <si>
    <t>10.211.45.72</t>
  </si>
  <si>
    <t>hkh-vtt-db-10-211-45-100</t>
  </si>
  <si>
    <t>10.211.45.100</t>
  </si>
  <si>
    <t>hkh-vtt-db-10-211-45-101</t>
  </si>
  <si>
    <t>10.211.45.101</t>
  </si>
  <si>
    <t>hkh-vtt-db-10-211-45-102</t>
  </si>
  <si>
    <t>10.211.45.102</t>
  </si>
  <si>
    <t>hkh-vtt-db-10-211-45-103</t>
  </si>
  <si>
    <t>10.211.45.103</t>
  </si>
  <si>
    <t>hkh-vtt-db-10-211-45-81</t>
  </si>
  <si>
    <t>10.211.45.81</t>
  </si>
  <si>
    <t>hkh-vtt-db-10-211-45-82</t>
  </si>
  <si>
    <t>10.211.45.82</t>
  </si>
  <si>
    <t>hkh-vtt-db-10-211-45-83</t>
  </si>
  <si>
    <t>10.211.45.83</t>
  </si>
  <si>
    <t>hkh-vtt-db-10-211-45-84</t>
  </si>
  <si>
    <t>10.211.45.84</t>
  </si>
  <si>
    <t>hkh-vtt-db-10-211-45-85</t>
  </si>
  <si>
    <t>10.211.45.85</t>
  </si>
  <si>
    <t>hkh-vtt-db-10-211-45-86</t>
  </si>
  <si>
    <t>10.211.45.86</t>
  </si>
  <si>
    <t>hkh-vtt-db-10-211-45-87</t>
  </si>
  <si>
    <t>10.211.45.87</t>
  </si>
  <si>
    <t>hkh-vtt-db-10-211-45-88</t>
  </si>
  <si>
    <t>10.211.45.88</t>
  </si>
  <si>
    <t>hkh-vtt-db-10-211-45-89</t>
  </si>
  <si>
    <t>10.211.45.89</t>
  </si>
  <si>
    <t>hkh-vtt-db-10-211-45-90</t>
  </si>
  <si>
    <t>10.211.45.90</t>
  </si>
  <si>
    <t>hkh-vtt-db-10-211-45-91</t>
  </si>
  <si>
    <t>10.211.45.91</t>
  </si>
  <si>
    <t>hkh-vtt-db-10-211-45-92</t>
  </si>
  <si>
    <t>10.211.45.92</t>
  </si>
  <si>
    <t>hkh-vtt-db-10-211-45-93</t>
  </si>
  <si>
    <t>10.211.45.93</t>
  </si>
  <si>
    <t>hkh-vtt-db-10-211-45-94</t>
  </si>
  <si>
    <t>10.211.45.94</t>
  </si>
  <si>
    <t>hkh-vtt-db-10-211-45-95</t>
  </si>
  <si>
    <t>10.211.45.95</t>
  </si>
  <si>
    <t>hkh-vtt-db-10-211-45-96</t>
  </si>
  <si>
    <t>10.211.45.96</t>
  </si>
  <si>
    <t>hkh-vtt-db-10-211-45-97</t>
  </si>
  <si>
    <t>10.211.45.97</t>
  </si>
  <si>
    <t>hkh-vtt-db-10-211-45-98</t>
  </si>
  <si>
    <t>10.211.45.98</t>
  </si>
  <si>
    <t>hkh-vtt-db-10-211-45-99</t>
  </si>
  <si>
    <t>10.211.45.99</t>
  </si>
  <si>
    <t>SR_VN_20250219_1322876</t>
  </si>
  <si>
    <t>TBC_Payment</t>
  </si>
  <si>
    <t>TBC_app_01</t>
  </si>
  <si>
    <t>10.207.186.60/24</t>
  </si>
  <si>
    <t>u01:797</t>
  </si>
  <si>
    <t>TBC_app_02</t>
  </si>
  <si>
    <t>10.207.186.61/24</t>
  </si>
  <si>
    <t>u01: 797</t>
  </si>
  <si>
    <t>Tên hệ thống</t>
  </si>
  <si>
    <t>IP Server</t>
  </si>
  <si>
    <t>Đầu mối dịch vụ</t>
  </si>
  <si>
    <t>BU</t>
  </si>
  <si>
    <t xml:space="preserve">Disk (GB) </t>
  </si>
  <si>
    <t>Pool tài nguyên</t>
  </si>
  <si>
    <t>Thời gian cấp máy chủ</t>
  </si>
  <si>
    <t>Đầu mối PHT</t>
  </si>
  <si>
    <t>Instance Type</t>
  </si>
  <si>
    <t xml:space="preserve">Instance OS </t>
  </si>
  <si>
    <t>Instance Manager</t>
  </si>
  <si>
    <t>Device Manager</t>
  </si>
  <si>
    <t>Tenant</t>
  </si>
  <si>
    <t>Role</t>
  </si>
  <si>
    <t>Manufacturer</t>
  </si>
  <si>
    <t>Type</t>
  </si>
  <si>
    <t>Serial number</t>
  </si>
  <si>
    <t>Site</t>
  </si>
  <si>
    <t>Location</t>
  </si>
  <si>
    <t>Rack</t>
  </si>
  <si>
    <t>Tải trung bình CPU (%)</t>
  </si>
  <si>
    <t>Tải trung bình RAM (%)</t>
  </si>
  <si>
    <t>% Disk sử dụng</t>
  </si>
  <si>
    <t>IM-BCCS 2.0</t>
  </si>
  <si>
    <t>10.240.147.58</t>
  </si>
  <si>
    <t>QLBH</t>
  </si>
  <si>
    <t>TTCNTT</t>
  </si>
  <si>
    <t>SV_10.240.147.58-bccs2-im-extws-01-OS</t>
  </si>
  <si>
    <t>Device OS</t>
  </si>
  <si>
    <t>CentOS release 6.8 kernel 2.6.32-642.el6.x86_64</t>
  </si>
  <si>
    <t>IM - BCCS2.0</t>
  </si>
  <si>
    <t>huonglttt</t>
  </si>
  <si>
    <t>thucnh2</t>
  </si>
  <si>
    <t>VIETTEL</t>
  </si>
  <si>
    <t>Cisco</t>
  </si>
  <si>
    <t>UCSC-C240-M4SX</t>
  </si>
  <si>
    <t>FCH2106V15Q</t>
  </si>
  <si>
    <t>Floor 6.1</t>
  </si>
  <si>
    <t>T6.1-J06</t>
  </si>
  <si>
    <t>10.240.147.59</t>
  </si>
  <si>
    <t>SV_10.240.147.59-bccs2-im-extws-02-OS</t>
  </si>
  <si>
    <t>FCH2109V100</t>
  </si>
  <si>
    <t>T6.1-K07</t>
  </si>
  <si>
    <t>10.240.147.60</t>
  </si>
  <si>
    <t>SV_10.240.147.60-bccs2-im-internalws-01-OS</t>
  </si>
  <si>
    <t>FCH2112V0NF</t>
  </si>
  <si>
    <t>10.240.147.61</t>
  </si>
  <si>
    <t>SV_10.240.147.61-bccs2-im-internalws-02-OS</t>
  </si>
  <si>
    <t>FCH2112V0LH</t>
  </si>
  <si>
    <t>10.240.147.62</t>
  </si>
  <si>
    <t>SV_10.240.147.62-bccs2-im-intws-03-OS</t>
  </si>
  <si>
    <t>FCH2112V0N8</t>
  </si>
  <si>
    <t>10.240.147.63</t>
  </si>
  <si>
    <t>SV_10.240.147.63-bccs2-im-solr-01-OS</t>
  </si>
  <si>
    <t>VM</t>
  </si>
  <si>
    <t>CentOS release 6.10 kernel 2.6.32-754.29.1.el6.x86_64</t>
  </si>
  <si>
    <t>Fujitsu</t>
  </si>
  <si>
    <t>PRIMERGY RX2530 M5</t>
  </si>
  <si>
    <t>MALU006553</t>
  </si>
  <si>
    <t>Floor 6.2</t>
  </si>
  <si>
    <t>T6.2-G04</t>
  </si>
  <si>
    <t>10.240.147.64</t>
  </si>
  <si>
    <t>SV_10.240.147.64-bccs2-im-solr-02-OS</t>
  </si>
  <si>
    <t>PRIMERGY CX2560 M5</t>
  </si>
  <si>
    <t>MAAG001433</t>
  </si>
  <si>
    <t>T6.2-G12</t>
  </si>
  <si>
    <t>10.240.147.65</t>
  </si>
  <si>
    <t>SV_10.240.147.65-bccs2-im-solr-03-OS</t>
  </si>
  <si>
    <t>MALU008594</t>
  </si>
  <si>
    <t>T6.2-H06</t>
  </si>
  <si>
    <t>10.240.147.66</t>
  </si>
  <si>
    <t>bccs2-im-web-02-OS</t>
  </si>
  <si>
    <t>FCH2109V17R</t>
  </si>
  <si>
    <t>10.240.147.67</t>
  </si>
  <si>
    <t>SV_10.240.147.67-bccs2-im-web-01-OS</t>
  </si>
  <si>
    <t>FCH2109V0Y6</t>
  </si>
  <si>
    <t>10.240.147.68</t>
  </si>
  <si>
    <t>App-10.240.147.68</t>
  </si>
  <si>
    <t>CentOS Stream 9 kernel 5.14.0-480.el9.x86_64</t>
  </si>
  <si>
    <t>sonvt8</t>
  </si>
  <si>
    <t>HPE</t>
  </si>
  <si>
    <t>ProLiant DL360 Gen10</t>
  </si>
  <si>
    <t>SGH143TSYB</t>
  </si>
  <si>
    <t>20T-Floor 6.IDC2</t>
  </si>
  <si>
    <t>T6.IDC2-Q14</t>
  </si>
  <si>
    <t>10.240.147.69</t>
  </si>
  <si>
    <t>App-10.240.147.69</t>
  </si>
  <si>
    <t>SGH213YMXZ</t>
  </si>
  <si>
    <t>T6.IDC2-Q10</t>
  </si>
  <si>
    <t>10.240.147.70</t>
  </si>
  <si>
    <t>App-10.240.147.70</t>
  </si>
  <si>
    <t>SGH143TSYL</t>
  </si>
  <si>
    <t>Smartmotor</t>
  </si>
  <si>
    <t>10.207.163.59</t>
  </si>
  <si>
    <t>CSKH</t>
  </si>
  <si>
    <t>App-10.207.163.59</t>
  </si>
  <si>
    <t>Smart motor</t>
  </si>
  <si>
    <t>Dell</t>
  </si>
  <si>
    <t>PowerEdge R640</t>
  </si>
  <si>
    <t>357XB33</t>
  </si>
  <si>
    <t>Floor 7.2</t>
  </si>
  <si>
    <t>T7.2-C05</t>
  </si>
  <si>
    <t>10.207.163.60</t>
  </si>
  <si>
    <t>App-10.207.163.60</t>
  </si>
  <si>
    <t>SGH143TSKL</t>
  </si>
  <si>
    <t>T7.2-A15</t>
  </si>
  <si>
    <t>10.207.163.61</t>
  </si>
  <si>
    <t>App-10.207.163.61</t>
  </si>
  <si>
    <t>MAAG002350</t>
  </si>
  <si>
    <t>T6.2-G02</t>
  </si>
  <si>
    <t>10.207.163.62</t>
  </si>
  <si>
    <t>App-10.207.163.62</t>
  </si>
  <si>
    <t>MAAG002395</t>
  </si>
  <si>
    <t>10.207.163.63</t>
  </si>
  <si>
    <t>App-10.207.163.63</t>
  </si>
  <si>
    <t>SGH143TSLV</t>
  </si>
  <si>
    <t>10.207.163.64</t>
  </si>
  <si>
    <t>App-10.207.163.64</t>
  </si>
  <si>
    <t>SGH143TSJ1</t>
  </si>
  <si>
    <t>10.207.163.65</t>
  </si>
  <si>
    <t>App-10.207.163.65</t>
  </si>
  <si>
    <t>MAAG002511</t>
  </si>
  <si>
    <t>10.207.163.66</t>
  </si>
  <si>
    <t>App-10.207.163.66</t>
  </si>
  <si>
    <t>SGH143TST6</t>
  </si>
  <si>
    <t>10.207.163.67</t>
  </si>
  <si>
    <t>App-10.207.163.67</t>
  </si>
  <si>
    <t>10.207.163.68</t>
  </si>
  <si>
    <t>App-10.207.163.68</t>
  </si>
  <si>
    <t>MAAG002396</t>
  </si>
  <si>
    <t>10.207.57.144</t>
  </si>
  <si>
    <t>App-10.207.57.144</t>
  </si>
  <si>
    <t>hungpm8</t>
  </si>
  <si>
    <t>SGH103YD0V</t>
  </si>
  <si>
    <t>T7.2-C08</t>
  </si>
  <si>
    <t>10.207.57.145</t>
  </si>
  <si>
    <t>App-10.207.57.145</t>
  </si>
  <si>
    <t>2MQR643</t>
  </si>
  <si>
    <t>T7.2-C04</t>
  </si>
  <si>
    <t>10.207.57.147</t>
  </si>
  <si>
    <t>App-10.207.57.147</t>
  </si>
  <si>
    <t>SGH103YC6N</t>
  </si>
  <si>
    <t>10.207.57.148</t>
  </si>
  <si>
    <t>App-10.207.57.148</t>
  </si>
  <si>
    <t>SGH103YD0X</t>
  </si>
  <si>
    <t>10.207.57.149</t>
  </si>
  <si>
    <t>App-10.207.57.149</t>
  </si>
  <si>
    <t>1MQR643</t>
  </si>
  <si>
    <t>T7.2-C03</t>
  </si>
  <si>
    <t>10.207.57.151</t>
  </si>
  <si>
    <t>App-10.207.57.151</t>
  </si>
  <si>
    <t>SGH103YCZW</t>
  </si>
  <si>
    <t>T7.2-C09</t>
  </si>
  <si>
    <t>10.207.57.152</t>
  </si>
  <si>
    <t>App-10.207.57.152</t>
  </si>
  <si>
    <t>8QQR643</t>
  </si>
  <si>
    <t>10.207.57.153</t>
  </si>
  <si>
    <t>App-10.207.57.153</t>
  </si>
  <si>
    <t>10.207.57.154</t>
  </si>
  <si>
    <t>App-10.207.57.154</t>
  </si>
  <si>
    <t>10.207.57.155</t>
  </si>
  <si>
    <t>App-10.207.57.155</t>
  </si>
  <si>
    <t>SGH103YCZF</t>
  </si>
  <si>
    <t>10.207.57.156</t>
  </si>
  <si>
    <t>App-10.207.57.156</t>
  </si>
  <si>
    <t>10.207.57.157</t>
  </si>
  <si>
    <t>App-10.207.57.157</t>
  </si>
  <si>
    <t>10.207.57.158</t>
  </si>
  <si>
    <t>App-10.207.57.158</t>
  </si>
  <si>
    <t>SGH103S2ZG</t>
  </si>
  <si>
    <t>T7.2-D11</t>
  </si>
  <si>
    <t>10.207.57.159</t>
  </si>
  <si>
    <t>App-10.207.57.159</t>
  </si>
  <si>
    <t>10.254.150.77</t>
  </si>
  <si>
    <t>DB-10.254.150.77</t>
  </si>
  <si>
    <t>SGH103S2XV</t>
  </si>
  <si>
    <t>T7.2-C13</t>
  </si>
  <si>
    <t>10.254.150.79</t>
  </si>
  <si>
    <t>DB-10.254.150.79</t>
  </si>
  <si>
    <t>10.254.150.80</t>
  </si>
  <si>
    <t>DB-10.254.150.80</t>
  </si>
  <si>
    <t>locnm2</t>
  </si>
  <si>
    <t>nhienpv</t>
  </si>
  <si>
    <t>BCCS_CC2.0</t>
  </si>
  <si>
    <t>10.240.147.43</t>
  </si>
  <si>
    <t>2xIntel Xeon E5-2620v4</t>
  </si>
  <si>
    <t>SV_10.240.147.43-bccs2-cc-websv-01-OS</t>
  </si>
  <si>
    <t>CC - BCCS2.0</t>
  </si>
  <si>
    <t>FCH2108V0S5</t>
  </si>
  <si>
    <t>T6.1-J05</t>
  </si>
  <si>
    <t>10.240.147.44</t>
  </si>
  <si>
    <t>SV_10.240.147.44-bccs2-cc-websv-02-OS</t>
  </si>
  <si>
    <t>FCH2108V0SZ</t>
  </si>
  <si>
    <t>10.240.147.45</t>
  </si>
  <si>
    <t>SV_10.240.147.45-bccs2-cc-websv-03-OS</t>
  </si>
  <si>
    <t>FCH2111V24W</t>
  </si>
  <si>
    <t>10.240.147.46</t>
  </si>
  <si>
    <t>SV_10.240.147.46-bccs2-cc-websv-04-OS</t>
  </si>
  <si>
    <t>FCH2109V15A</t>
  </si>
  <si>
    <t>T6.1-K11</t>
  </si>
  <si>
    <t>10.240.147.47</t>
  </si>
  <si>
    <t>SV_10.240.147.47-bccs2-cc-solrcc-02-OS</t>
  </si>
  <si>
    <t>FCH2109V16Y</t>
  </si>
  <si>
    <t>10.240.147.25</t>
  </si>
  <si>
    <t>2xIntel Xeon E5-2650v4</t>
  </si>
  <si>
    <t>SV_10.240.147.25-bccs2-cc-extws-01-OS</t>
  </si>
  <si>
    <t>FCH2110V2BN</t>
  </si>
  <si>
    <t>10.240.147.26</t>
  </si>
  <si>
    <t>SV_10.240.147.26-bccs2-cc-extws-02-OS</t>
  </si>
  <si>
    <t>FCH2038V217</t>
  </si>
  <si>
    <t>10.240.147.27</t>
  </si>
  <si>
    <t>SV_10.240.147.27-bccs2-cc-internalws-01-OS</t>
  </si>
  <si>
    <t>FCH2111V1D0</t>
  </si>
  <si>
    <t>10.240.147.28</t>
  </si>
  <si>
    <t>SV_10.240.147.28-bccs2-cc-internalws-02-OS</t>
  </si>
  <si>
    <t>FCH2108V0ZG</t>
  </si>
  <si>
    <t>10.240.147.29</t>
  </si>
  <si>
    <t>SV_10.240.147.29-bccs2-cc-internalws-03-OS</t>
  </si>
  <si>
    <t>FCH2111V1ZZ</t>
  </si>
  <si>
    <t>10.240.147.30</t>
  </si>
  <si>
    <t>SV_10.240.147.30-bccs2-cc-internalws-04-OS</t>
  </si>
  <si>
    <t>FCH2109V121</t>
  </si>
  <si>
    <t>10.240.147.34</t>
  </si>
  <si>
    <t>SV_10.240.147.34-bccs2-cc-solrctc-01-OS</t>
  </si>
  <si>
    <t>FCH2138V07A</t>
  </si>
  <si>
    <t>T6.1-I06</t>
  </si>
  <si>
    <t>10.240.147.35</t>
  </si>
  <si>
    <t>bccs2-cc-solrctc-02-OS</t>
  </si>
  <si>
    <t>FCH2109V13G</t>
  </si>
  <si>
    <t>10.240.147.36</t>
  </si>
  <si>
    <t>SV_10.240.147.36-bccs2-cc-solrctc-03-OS</t>
  </si>
  <si>
    <t>FCH2109V15G</t>
  </si>
  <si>
    <t>10.240.147.37</t>
  </si>
  <si>
    <t>SV_10.240.147.37-bccs2-cc-solrctc-04-OS</t>
  </si>
  <si>
    <t>FCH2109V0NN</t>
  </si>
  <si>
    <t>10.240.147.38</t>
  </si>
  <si>
    <t>SV_10.240.147.38-bccs2-cc-solrctc-05-OS</t>
  </si>
  <si>
    <t>FCH2108V0HQ</t>
  </si>
  <si>
    <t>T6.1-K06</t>
  </si>
  <si>
    <t>10.240.147.39</t>
  </si>
  <si>
    <t>SV_10.240.147.39-bccs2-cc-solrctc-06-OS</t>
  </si>
  <si>
    <t>FCH2109V0G5</t>
  </si>
  <si>
    <t>10.240.147.40</t>
  </si>
  <si>
    <t>SV_10.240.147.40-bccs2-cc-solrctc-07-OS</t>
  </si>
  <si>
    <t>FCH2111V20D</t>
  </si>
  <si>
    <t>10.240.147.41</t>
  </si>
  <si>
    <t>SV_10.240.147.41-bccs2-cc-solrctc-08-OS</t>
  </si>
  <si>
    <t>FCH2109V154</t>
  </si>
  <si>
    <t>10.240.147.42</t>
  </si>
  <si>
    <t>SV_10.240.147.42-bccs2-cc-solrctc-09-OS</t>
  </si>
  <si>
    <t>FCH2109V14S</t>
  </si>
  <si>
    <t>10.240.147.31</t>
  </si>
  <si>
    <t>SV_10.240.147.31-bccs2-cc-solrcc-01-OS</t>
  </si>
  <si>
    <t>FCH2110V3GP</t>
  </si>
  <si>
    <t>10.240.147.32</t>
  </si>
  <si>
    <t>SV_10.240.147.32-bccs2-cc-solrcc-02-OS</t>
  </si>
  <si>
    <t>FCH2110V221</t>
  </si>
  <si>
    <t>10.240.147.33</t>
  </si>
  <si>
    <t>SV_10.240.147.33-bccs2-im-solr-03-OS</t>
  </si>
  <si>
    <t>FCH2110V1ZF</t>
  </si>
  <si>
    <t>10.240.147.150</t>
  </si>
  <si>
    <t>App-10.240.147.150</t>
  </si>
  <si>
    <t>chinhvc2</t>
  </si>
  <si>
    <t>nguyentl</t>
  </si>
  <si>
    <t>SGH213YMYC</t>
  </si>
  <si>
    <t>10.240.147.151</t>
  </si>
  <si>
    <t>App-10.240.147.151</t>
  </si>
  <si>
    <t>SGH143TSW8</t>
  </si>
  <si>
    <t>T6.IDC2-Q12B</t>
  </si>
  <si>
    <t>10.240.147.152</t>
  </si>
  <si>
    <t>App-10.240.147.152</t>
  </si>
  <si>
    <t>10.240.147.153</t>
  </si>
  <si>
    <t>App-10.240.147.153</t>
  </si>
  <si>
    <t>SGH143TSW4</t>
  </si>
  <si>
    <t>10.240.147.154</t>
  </si>
  <si>
    <t>App-10.240.147.154</t>
  </si>
  <si>
    <t>SGH213YMXP</t>
  </si>
  <si>
    <t>10.240.147.155</t>
  </si>
  <si>
    <t>App-10.240.147.155</t>
  </si>
  <si>
    <t>SGH143TSYZ</t>
  </si>
  <si>
    <t>10.240.147.172</t>
  </si>
  <si>
    <t>App-10.240.147.172</t>
  </si>
  <si>
    <t>kietna</t>
  </si>
  <si>
    <t>SGH103S2WK</t>
  </si>
  <si>
    <t>10.240.147.173</t>
  </si>
  <si>
    <t>App-10.240.147.173</t>
  </si>
  <si>
    <t>10.240.147.174</t>
  </si>
  <si>
    <t>App-10.240.147.174</t>
  </si>
  <si>
    <t>SGH103S2W9</t>
  </si>
  <si>
    <t>T7.2-C10</t>
  </si>
  <si>
    <t>10.240.147.175</t>
  </si>
  <si>
    <t>App-10.240.147.175</t>
  </si>
  <si>
    <t>SGH103YCGQ</t>
  </si>
  <si>
    <t>10.240.147.176</t>
  </si>
  <si>
    <t>App-10.240.147.176</t>
  </si>
  <si>
    <t>SGH103S2WP</t>
  </si>
  <si>
    <t>10.240.147.177</t>
  </si>
  <si>
    <t>App-10.240.147.177</t>
  </si>
  <si>
    <t>10.240.147.178</t>
  </si>
  <si>
    <t>App-10.240.147.178</t>
  </si>
  <si>
    <t>SGH103S2XZ</t>
  </si>
  <si>
    <t>10.240.147.179</t>
  </si>
  <si>
    <t>App-10.240.147.179</t>
  </si>
  <si>
    <t>SGH213YL5H</t>
  </si>
  <si>
    <t>T6.IDC2-Q09</t>
  </si>
  <si>
    <t>10.240.147.180</t>
  </si>
  <si>
    <t>App-10.240.147.180</t>
  </si>
  <si>
    <t>SGH143TSYQ</t>
  </si>
  <si>
    <t>10.240.147.181</t>
  </si>
  <si>
    <t>App-10.240.147.181</t>
  </si>
  <si>
    <t>SGH213YKHK</t>
  </si>
  <si>
    <t>10.240.147.182</t>
  </si>
  <si>
    <t>App-10.240.147.182</t>
  </si>
  <si>
    <t>10.240.147.183</t>
  </si>
  <si>
    <t>App-10.240.147.183</t>
  </si>
  <si>
    <t>SGH213YKHY</t>
  </si>
  <si>
    <t>10.240.147.184</t>
  </si>
  <si>
    <t>App-10.240.147.184</t>
  </si>
  <si>
    <t>SGH143TSYG</t>
  </si>
  <si>
    <t>10.240.147.185</t>
  </si>
  <si>
    <t>App-10.240.147.185</t>
  </si>
  <si>
    <t>SGH143TSP6</t>
  </si>
  <si>
    <t>T6.IDC2-Q12A</t>
  </si>
  <si>
    <t>10.240.147.186</t>
  </si>
  <si>
    <t>App-10.240.147.186</t>
  </si>
  <si>
    <t>SGH143TSSK</t>
  </si>
  <si>
    <t>10.240.147.187</t>
  </si>
  <si>
    <t>App-10.240.147.187</t>
  </si>
  <si>
    <t>SGH143TSHJ</t>
  </si>
  <si>
    <t>10.240.147.188</t>
  </si>
  <si>
    <t>App-10.240.147.188</t>
  </si>
  <si>
    <t>SGH143TSSP</t>
  </si>
  <si>
    <t>10.240.147.189</t>
  </si>
  <si>
    <t>App-10.240.147.189</t>
  </si>
  <si>
    <t>SGH143TSJK</t>
  </si>
  <si>
    <t>10.240.147.161</t>
  </si>
  <si>
    <t>App-10.240.147.161</t>
  </si>
  <si>
    <t>10.240.147.162</t>
  </si>
  <si>
    <t>App-10.240.147.162</t>
  </si>
  <si>
    <t>10.240.147.163</t>
  </si>
  <si>
    <t>App-10.240.147.163</t>
  </si>
  <si>
    <t>10.240.147.164</t>
  </si>
  <si>
    <t>App-10.240.147.164</t>
  </si>
  <si>
    <t>SGH143TSS1</t>
  </si>
  <si>
    <t>10.240.147.165</t>
  </si>
  <si>
    <t>App-10.240.147.165</t>
  </si>
  <si>
    <t>SGH143TSJ9</t>
  </si>
  <si>
    <t>10.240.147.166</t>
  </si>
  <si>
    <t>App-10.240.147.166</t>
  </si>
  <si>
    <t>SGH143TSWD</t>
  </si>
  <si>
    <t>10.240.147.167</t>
  </si>
  <si>
    <t>App-10.240.147.167</t>
  </si>
  <si>
    <t>10.240.147.168</t>
  </si>
  <si>
    <t>App-10.240.147.168</t>
  </si>
  <si>
    <t>10.240.147.169</t>
  </si>
  <si>
    <t>App-10.240.147.169</t>
  </si>
  <si>
    <t>10.240.147.170</t>
  </si>
  <si>
    <t>App-10.240.147.170</t>
  </si>
  <si>
    <t>10.240.147.113</t>
  </si>
  <si>
    <t>SV_10.240.147.113-app-10.240.147.113.novalocal-OS</t>
  </si>
  <si>
    <t>CentOS release 6.10 kernel 2.6.32-754.24.3.el6.x86_64</t>
  </si>
  <si>
    <t>MALU006566</t>
  </si>
  <si>
    <t>T6.2-F12</t>
  </si>
  <si>
    <t>10.240.147.114</t>
  </si>
  <si>
    <t>SV_10.240.147.114-app-10.240.147.114.novalocal-OS</t>
  </si>
  <si>
    <t>MALU008561</t>
  </si>
  <si>
    <t>T6.2-H02</t>
  </si>
  <si>
    <t>10.240.147.117</t>
  </si>
  <si>
    <t>SV_10.240.147.117-BCCS-CC2.0-OS</t>
  </si>
  <si>
    <t>MAAG001396</t>
  </si>
  <si>
    <t>10.240.147.122</t>
  </si>
  <si>
    <t>econtact-KV3-Pri-App-03-OS</t>
  </si>
  <si>
    <t>MALU005872</t>
  </si>
  <si>
    <t>10.240.147.123</t>
  </si>
  <si>
    <t>SV_10.240.147.123-app-10.240.147.123.novalocal-OS</t>
  </si>
  <si>
    <t>MAAG001409</t>
  </si>
  <si>
    <t>T6.2-G13</t>
  </si>
  <si>
    <t>Viettel++</t>
  </si>
  <si>
    <t>10.205.32.49</t>
  </si>
  <si>
    <t>App-10.205.32.49</t>
  </si>
  <si>
    <t>MAAG002372</t>
  </si>
  <si>
    <t>T6.2-G03</t>
  </si>
  <si>
    <t>10.205.32.50</t>
  </si>
  <si>
    <t>App-10.205.32.50</t>
  </si>
  <si>
    <t>grominh</t>
  </si>
  <si>
    <t>10.205.32.51</t>
  </si>
  <si>
    <t>App-10.205.32.51</t>
  </si>
  <si>
    <t>MAAG002510</t>
  </si>
  <si>
    <t>10.205.32.52</t>
  </si>
  <si>
    <t>App-10.205.32.52</t>
  </si>
  <si>
    <t>MAAG002444</t>
  </si>
  <si>
    <t>10.205.32.53</t>
  </si>
  <si>
    <t>App-10.205.32.53</t>
  </si>
  <si>
    <t>10.205.32.54</t>
  </si>
  <si>
    <t>App-10.205.32.54</t>
  </si>
  <si>
    <t>MAAG002371</t>
  </si>
  <si>
    <t>10.205.32.55</t>
  </si>
  <si>
    <t>App-10.205.32.55</t>
  </si>
  <si>
    <t>10.205.32.56</t>
  </si>
  <si>
    <t>App-10.205.32.56</t>
  </si>
  <si>
    <t>10.205.32.57</t>
  </si>
  <si>
    <t>App-10.205.32.57</t>
  </si>
  <si>
    <t>MAAG002394</t>
  </si>
  <si>
    <t>10.255.64.12</t>
  </si>
  <si>
    <t>CentOS Linux release 7.6 kernel 3.10.0-957.27.2.el7.x86_64</t>
  </si>
  <si>
    <t>ProLiant DL380 Gen10</t>
  </si>
  <si>
    <t>SGH916TJT3</t>
  </si>
  <si>
    <t>T6.2-E01</t>
  </si>
  <si>
    <t>10.255.64.13</t>
  </si>
  <si>
    <t>10.255.64.13 - SV_10.255.64.13-hlc6fbmt10g-153-OS</t>
  </si>
  <si>
    <t>SGH916TJT9</t>
  </si>
  <si>
    <t>T6.2-E02</t>
  </si>
  <si>
    <t>10.255.64.14</t>
  </si>
  <si>
    <t>SGH916TJSZ</t>
  </si>
  <si>
    <t>T6.2-E03</t>
  </si>
  <si>
    <t>10.255.56.58</t>
  </si>
  <si>
    <t>SGH916TJTL</t>
  </si>
  <si>
    <t xml:space="preserve">  10.255.56.59</t>
  </si>
  <si>
    <t>10.255.56.59 - SV_10.255.56.59-hlc6fbmt10g-148-OS</t>
  </si>
  <si>
    <t>SGH916TJV9</t>
  </si>
  <si>
    <t>10.254.136.65</t>
  </si>
  <si>
    <t>SV_10.254.136.65</t>
  </si>
  <si>
    <t>CentOS Linux release 7.8 kernel 3.10.0-1127.19.1.el7.x86</t>
  </si>
  <si>
    <t>SGH030VSSM</t>
  </si>
  <si>
    <t>T6.1-H06</t>
  </si>
  <si>
    <t>10.254.136.66</t>
  </si>
  <si>
    <t>SV_10.254.136.66</t>
  </si>
  <si>
    <t>SGH030VSSB</t>
  </si>
  <si>
    <t>10.254.136.67</t>
  </si>
  <si>
    <t>SV_10.254.136.67</t>
  </si>
  <si>
    <t>SGH030VSSC</t>
  </si>
  <si>
    <t>10.254.136.68</t>
  </si>
  <si>
    <t>SV_10.254.136.68</t>
  </si>
  <si>
    <t>SGH030VSSK</t>
  </si>
  <si>
    <t>10.254.136.69</t>
  </si>
  <si>
    <t>SV_10.254.136.69</t>
  </si>
  <si>
    <t>SGH030VSSJ</t>
  </si>
  <si>
    <t>T6.1-H07</t>
  </si>
  <si>
    <t>10.254.136.70</t>
  </si>
  <si>
    <t>SV_10.254.136.70</t>
  </si>
  <si>
    <t>SGH030VSSD</t>
  </si>
  <si>
    <t>10.254.136.71</t>
  </si>
  <si>
    <t>SV_10.254.136.71</t>
  </si>
  <si>
    <t>SGH030VSS8</t>
  </si>
  <si>
    <t>10.254.136.72</t>
  </si>
  <si>
    <t>SV_10.254.136.72</t>
  </si>
  <si>
    <t>CentOS Linux release 7.8 kernel 3.10.0-1127.19.1.el7.x86_64</t>
  </si>
  <si>
    <t>SGH030VSSH</t>
  </si>
  <si>
    <t>10.254.136.73</t>
  </si>
  <si>
    <t>SV_10.254.136.73</t>
  </si>
  <si>
    <t>SGH030VSSL</t>
  </si>
  <si>
    <t>T6.1-H08</t>
  </si>
  <si>
    <t>10.254.136.74</t>
  </si>
  <si>
    <t>SV_10.254.136.74</t>
  </si>
  <si>
    <t>SGH030VSSG</t>
  </si>
  <si>
    <t>10.254.136.75</t>
  </si>
  <si>
    <t>SV_10.254.136.75</t>
  </si>
  <si>
    <t>SGH030VSS9</t>
  </si>
  <si>
    <t>7color</t>
  </si>
  <si>
    <t>10.58.15.33</t>
  </si>
  <si>
    <t>QLDT</t>
  </si>
  <si>
    <t>31,36</t>
  </si>
  <si>
    <t>SV_10.58.15.33-localhost.localdomain-OS</t>
  </si>
  <si>
    <t>MAAG001405</t>
  </si>
  <si>
    <t>10.58.4.81</t>
  </si>
  <si>
    <t>23,53</t>
  </si>
  <si>
    <t>SV_10.58.4.81-vas_01-OS</t>
  </si>
  <si>
    <t>Red Hat Enterprise Linux AS release 4 kernel 2.6.9-103.ELlargesmp</t>
  </si>
  <si>
    <t>HP</t>
  </si>
  <si>
    <t>Proliant DL380 Gen 9</t>
  </si>
  <si>
    <t>2PFD52S</t>
  </si>
  <si>
    <t>PVN</t>
  </si>
  <si>
    <t>T5</t>
  </si>
  <si>
    <t>PVN-T5-I12A</t>
  </si>
  <si>
    <t>10.60.5.83</t>
  </si>
  <si>
    <t>7,69</t>
  </si>
  <si>
    <t>CentOS release 6.6 kernel 2.6.32-504.el6.x86_64</t>
  </si>
  <si>
    <t>nghialt4</t>
  </si>
  <si>
    <t>Hewlett Packard Enterprise</t>
  </si>
  <si>
    <t>ProLiant DL380 Gen9</t>
  </si>
  <si>
    <t>SGH645T99N</t>
  </si>
  <si>
    <t>10.60.5.84</t>
  </si>
  <si>
    <t>ProLiant DL180 Gen9</t>
  </si>
  <si>
    <t>SGH713WHV1</t>
  </si>
  <si>
    <t>T6.2-E04</t>
  </si>
  <si>
    <t>10.60.5.85</t>
  </si>
  <si>
    <t>SGH931T2LN</t>
  </si>
  <si>
    <t>T6.2-E05</t>
  </si>
  <si>
    <t>192.168.176.60</t>
  </si>
  <si>
    <t>15,57</t>
  </si>
  <si>
    <t>SV_192.168.176.60-gvm-app-46-OS</t>
  </si>
  <si>
    <t>hatt8</t>
  </si>
  <si>
    <t>MALU008616</t>
  </si>
  <si>
    <t>192.168.176.95</t>
  </si>
  <si>
    <t>MALU008596</t>
  </si>
  <si>
    <t>T6.2-H05</t>
  </si>
  <si>
    <t>AutoZone</t>
  </si>
  <si>
    <t>10.240.175.17</t>
  </si>
  <si>
    <t>7,64</t>
  </si>
  <si>
    <t>CentOS Linux release 7.4 kernel 3.10.0-862.9.1.el7.x86_64</t>
  </si>
  <si>
    <t>SGH906SNWV</t>
  </si>
  <si>
    <t>T6.2-D06</t>
  </si>
  <si>
    <t>BCCSGW_BSS</t>
  </si>
  <si>
    <t>10.30.142.155</t>
  </si>
  <si>
    <t>94,36</t>
  </si>
  <si>
    <t>SV_10.30.142.155-bccsapi-OS</t>
  </si>
  <si>
    <t>VTN_VHKTTC_UDCNTT</t>
  </si>
  <si>
    <t>SGH514WB4D</t>
  </si>
  <si>
    <t>Floor 2.1</t>
  </si>
  <si>
    <t>T2.1-I06</t>
  </si>
  <si>
    <t>10.30.142.156</t>
  </si>
  <si>
    <t>7,5</t>
  </si>
  <si>
    <t>SV_10.30.142.156-bccsapi-OS</t>
  </si>
  <si>
    <t>IBM</t>
  </si>
  <si>
    <t>x3650 M4</t>
  </si>
  <si>
    <t>06DWNHR</t>
  </si>
  <si>
    <t>10.30.7.15</t>
  </si>
  <si>
    <t>15,58</t>
  </si>
  <si>
    <t>SV_10.30.7.15-TTDD-APP01-TTDD-APP01-OS</t>
  </si>
  <si>
    <t>PowerEdge R740</t>
  </si>
  <si>
    <t>HXG7BS2</t>
  </si>
  <si>
    <t>T6.2-C10</t>
  </si>
  <si>
    <t>10.30.7.16</t>
  </si>
  <si>
    <t>SV_10.30.7.16-TTDD-APP02-TTDD-APP02-OS</t>
  </si>
  <si>
    <t>SGH906SNVC</t>
  </si>
  <si>
    <t>T6.2-D03</t>
  </si>
  <si>
    <t>10.58.4.83</t>
  </si>
  <si>
    <t>SV_10.58.4.83-srv-gw-83-srv-gw-83-OS</t>
  </si>
  <si>
    <t>SGH851V1CG</t>
  </si>
  <si>
    <t>10.58.4.91</t>
  </si>
  <si>
    <t>SV_10.58.4.91-wc03-OS</t>
  </si>
  <si>
    <t>SGH906SNWZ</t>
  </si>
  <si>
    <t>T6.2-D04</t>
  </si>
  <si>
    <t>10.60.129.135</t>
  </si>
  <si>
    <t>47,14</t>
  </si>
  <si>
    <t>ProLiant BL460c Gen9</t>
  </si>
  <si>
    <t>SGH619V3MJ</t>
  </si>
  <si>
    <t>Floor 5.1</t>
  </si>
  <si>
    <t>T5.1-D01</t>
  </si>
  <si>
    <t>10.60.129.136</t>
  </si>
  <si>
    <t>SGH619V9R4</t>
  </si>
  <si>
    <t>T5.1-D02</t>
  </si>
  <si>
    <t>10.60.5.80</t>
  </si>
  <si>
    <t>SGH931T2HF</t>
  </si>
  <si>
    <t>10.60.5.86</t>
  </si>
  <si>
    <t>SGH713WHV9</t>
  </si>
  <si>
    <t>BCCSGW_VAS</t>
  </si>
  <si>
    <t>10.60.5.70</t>
  </si>
  <si>
    <t>SGH702TT32</t>
  </si>
  <si>
    <t>T6.2-D05</t>
  </si>
  <si>
    <t>10.60.5.71</t>
  </si>
  <si>
    <t>SGH713W17N</t>
  </si>
  <si>
    <t>10.205.32.107</t>
  </si>
  <si>
    <t>51,93</t>
  </si>
  <si>
    <t>App-10.205.32.107</t>
  </si>
  <si>
    <t>SGH103YBW9</t>
  </si>
  <si>
    <t>T7.2-C15</t>
  </si>
  <si>
    <t>10.205.32.108</t>
  </si>
  <si>
    <t>App-10.205.32.108</t>
  </si>
  <si>
    <t>SGH103YBWC</t>
  </si>
  <si>
    <t>DKQT 133</t>
  </si>
  <si>
    <t>10.58.3.74</t>
  </si>
  <si>
    <t>15,51</t>
  </si>
  <si>
    <t>SV_10.58.3.74-localhost.localdomain-OS</t>
  </si>
  <si>
    <t>CentOS Linux release 7.7 kernel 3.10.0-1062.12.1.el7.x86_64</t>
  </si>
  <si>
    <t>MALU006577</t>
  </si>
  <si>
    <t>10.58.4.18</t>
  </si>
  <si>
    <t>MAAG001420</t>
  </si>
  <si>
    <t>DataPlus</t>
  </si>
  <si>
    <t>10.240.175.24</t>
  </si>
  <si>
    <t>SGH906SNVK</t>
  </si>
  <si>
    <t>10.240.175.47</t>
  </si>
  <si>
    <t>SGH551XV16</t>
  </si>
  <si>
    <t>T5.1-B07</t>
  </si>
  <si>
    <t>10.60.105.44</t>
  </si>
  <si>
    <t>10.207.201.93</t>
  </si>
  <si>
    <t>62,75</t>
  </si>
  <si>
    <t>App-10.207.201.93</t>
  </si>
  <si>
    <t>10.207.201.94</t>
  </si>
  <si>
    <t>App-10.207.201.94</t>
  </si>
  <si>
    <t>SGH213YKHR</t>
  </si>
  <si>
    <t>10.207.201.95</t>
  </si>
  <si>
    <t>App-10.207.201.95</t>
  </si>
  <si>
    <t>10.207.201.96</t>
  </si>
  <si>
    <t>App-10.207.201.96</t>
  </si>
  <si>
    <t>SGH213YMW4</t>
  </si>
  <si>
    <t>10.207.201.97</t>
  </si>
  <si>
    <t>App-10.207.201.97</t>
  </si>
  <si>
    <t>SGH213YMXW</t>
  </si>
  <si>
    <t>10.207.201.98</t>
  </si>
  <si>
    <t>App-10.207.201.98</t>
  </si>
  <si>
    <t>10.207.59.73</t>
  </si>
  <si>
    <t>78,51</t>
  </si>
  <si>
    <t>vtt-data-redis-10207059073</t>
  </si>
  <si>
    <t>SGH103YBW3</t>
  </si>
  <si>
    <t>T7.2-C14</t>
  </si>
  <si>
    <t>10.207.59.74</t>
  </si>
  <si>
    <t>vtt-data-redis-10207059074</t>
  </si>
  <si>
    <t>10.207.59.75</t>
  </si>
  <si>
    <t>vtt-data-redis-10207059075</t>
  </si>
  <si>
    <t>SGH103YBW7</t>
  </si>
  <si>
    <t>10.207.59.76</t>
  </si>
  <si>
    <t>vtt-data-redis-10207059076</t>
  </si>
  <si>
    <t>10.207.59.77</t>
  </si>
  <si>
    <t>vtt-data-redis-10207059077</t>
  </si>
  <si>
    <t>10.207.59.78</t>
  </si>
  <si>
    <t>vtt-data-redis-10207059078</t>
  </si>
  <si>
    <t>SGH103YBW1</t>
  </si>
  <si>
    <t>10.207.59.94</t>
  </si>
  <si>
    <t>vtt-data-redis-10207059094</t>
  </si>
  <si>
    <t>10.207.59.95</t>
  </si>
  <si>
    <t>vtt-data-redis-10207059095</t>
  </si>
  <si>
    <t>10.207.59.96</t>
  </si>
  <si>
    <t>vtt-data-redis-10207059096</t>
  </si>
  <si>
    <t>10.207.59.97</t>
  </si>
  <si>
    <t>vtt-data-redis-10207059097</t>
  </si>
  <si>
    <t>SGH103YBWF</t>
  </si>
  <si>
    <t>10.207.59.98</t>
  </si>
  <si>
    <t>vtt-data-redis-10207059098</t>
  </si>
  <si>
    <t>SGH103YBVV</t>
  </si>
  <si>
    <t>10.207.59.99</t>
  </si>
  <si>
    <t>vtt-data-redis-10207059099</t>
  </si>
  <si>
    <t>10.240.175.118</t>
  </si>
  <si>
    <t>47,01</t>
  </si>
  <si>
    <t>CentOS Linux release 7.7 kernel 3.10.0-1062.4.1.el7.x86_64</t>
  </si>
  <si>
    <t>MALU006552</t>
  </si>
  <si>
    <t>T6.2-G05</t>
  </si>
  <si>
    <t>10.240.175.121</t>
  </si>
  <si>
    <t>CentOS release 6.8 kernel 2.6.32-696.18.7.el6.x86_64</t>
  </si>
  <si>
    <t>MAAG001422</t>
  </si>
  <si>
    <t>10.240.175.122</t>
  </si>
  <si>
    <t>MALU006531</t>
  </si>
  <si>
    <t>10.240.175.123</t>
  </si>
  <si>
    <t>SGH620VEKY</t>
  </si>
  <si>
    <t>10.240.175.135</t>
  </si>
  <si>
    <t>31,26</t>
  </si>
  <si>
    <t>SERVER_10.240.175.135</t>
  </si>
  <si>
    <t>MALU008588</t>
  </si>
  <si>
    <t>10.240.175.136</t>
  </si>
  <si>
    <t>SERVER_10.240.175.136</t>
  </si>
  <si>
    <t>MALU008586</t>
  </si>
  <si>
    <t>10.240.175.138</t>
  </si>
  <si>
    <t>SERVER_10.240.175.138</t>
  </si>
  <si>
    <t>MALU008570</t>
  </si>
  <si>
    <t>T6.2-H04</t>
  </si>
  <si>
    <t>10.240.175.140</t>
  </si>
  <si>
    <t>SERVER_10.240.175.140</t>
  </si>
  <si>
    <t>MALU008560</t>
  </si>
  <si>
    <t>T6.2-H07</t>
  </si>
  <si>
    <t>10.240.175.142</t>
  </si>
  <si>
    <t>SERVER_10.240.175.142</t>
  </si>
  <si>
    <t>MALU008575</t>
  </si>
  <si>
    <t>T6.2-H01</t>
  </si>
  <si>
    <t>10.240.175.143</t>
  </si>
  <si>
    <t>SERVER_10.240.175.143</t>
  </si>
  <si>
    <t>MALU008578</t>
  </si>
  <si>
    <t>10.240.175.144</t>
  </si>
  <si>
    <t>SERVER_10.240.175.144</t>
  </si>
  <si>
    <t>MALU008567</t>
  </si>
  <si>
    <t>10.240.175.146</t>
  </si>
  <si>
    <t>SERVER_10.240.175.146</t>
  </si>
  <si>
    <t>10.240.175.155</t>
  </si>
  <si>
    <t>SERVER_10.240.175.155</t>
  </si>
  <si>
    <t>MALU008589</t>
  </si>
  <si>
    <t>10.240.175.156</t>
  </si>
  <si>
    <t>SERVER_10.240.175.156</t>
  </si>
  <si>
    <t>MALU008609</t>
  </si>
  <si>
    <t>10.240.175.157</t>
  </si>
  <si>
    <t>SERVER_10.240.175.157</t>
  </si>
  <si>
    <t>88B6F13</t>
  </si>
  <si>
    <t>T6.2-G06</t>
  </si>
  <si>
    <t>10.240.175.158</t>
  </si>
  <si>
    <t>SERVER_10.240.175.158</t>
  </si>
  <si>
    <t>10.240.175.1</t>
  </si>
  <si>
    <t>MALU006572</t>
  </si>
  <si>
    <t>T6.2-F09</t>
  </si>
  <si>
    <t>10.240.175.200</t>
  </si>
  <si>
    <t>SGH931T2LS</t>
  </si>
  <si>
    <t>10.240.175.201</t>
  </si>
  <si>
    <t>MAAG002340</t>
  </si>
  <si>
    <t>10.240.175.202</t>
  </si>
  <si>
    <t>SGH713WHV7</t>
  </si>
  <si>
    <t>10.240.175.203</t>
  </si>
  <si>
    <t>MAAG002343</t>
  </si>
  <si>
    <t>10.240.175.204</t>
  </si>
  <si>
    <t>10.240.175.205</t>
  </si>
  <si>
    <t>SGH713WHS7</t>
  </si>
  <si>
    <t>10.240.175.2</t>
  </si>
  <si>
    <t>SGH906SNK9</t>
  </si>
  <si>
    <t>T6.2-D10</t>
  </si>
  <si>
    <t>10.240.175.4</t>
  </si>
  <si>
    <t>10.240.175.63</t>
  </si>
  <si>
    <t>SGH931T2LZ</t>
  </si>
  <si>
    <t>10.240.175.64</t>
  </si>
  <si>
    <t>MAAG002353</t>
  </si>
  <si>
    <t>10.240.175.7</t>
  </si>
  <si>
    <t>10.240.175.9</t>
  </si>
  <si>
    <t>MAAG002339</t>
  </si>
  <si>
    <t>10.254.136.128</t>
  </si>
  <si>
    <t>251,41</t>
  </si>
  <si>
    <t>CentOS Linux release 7.9 kernel 3.10.0-1160.31.1.el7.x86_64</t>
  </si>
  <si>
    <t>hieupc3</t>
  </si>
  <si>
    <t>SGH103S21Q</t>
  </si>
  <si>
    <t>T7.2-B02</t>
  </si>
  <si>
    <t>10.254.136.135</t>
  </si>
  <si>
    <t>SGH103S21X</t>
  </si>
  <si>
    <t>T7.2-B01</t>
  </si>
  <si>
    <t>10.254.136.144</t>
  </si>
  <si>
    <t>SGH103S1Z0</t>
  </si>
  <si>
    <t>10.30.7.73</t>
  </si>
  <si>
    <t>252,17</t>
  </si>
  <si>
    <t>SV_10.30.7.73-BSS-APP-01-OS</t>
  </si>
  <si>
    <t>SGH650XPPJ</t>
  </si>
  <si>
    <t>T2.1-D03</t>
  </si>
  <si>
    <t>10.30.7.75</t>
  </si>
  <si>
    <t>SV_10.30.7.75-BSS-APP-03-OS</t>
  </si>
  <si>
    <t>SGH650XPPY</t>
  </si>
  <si>
    <t>T2.1-D08</t>
  </si>
  <si>
    <t>HomeNumber</t>
  </si>
  <si>
    <t>Italk</t>
  </si>
  <si>
    <t>10.240.175.10</t>
  </si>
  <si>
    <t>23,39</t>
  </si>
  <si>
    <t>10.60.105.208</t>
  </si>
  <si>
    <t>189,03</t>
  </si>
  <si>
    <t>SV_10.60.105.208-host_208-OS</t>
  </si>
  <si>
    <t>SGH620VEJB</t>
  </si>
  <si>
    <t>10.60.105.209</t>
  </si>
  <si>
    <t>157,47</t>
  </si>
  <si>
    <t>host_209-OS</t>
  </si>
  <si>
    <t>SGH619V9SS</t>
  </si>
  <si>
    <t>10.60.105.210</t>
  </si>
  <si>
    <t>173,25</t>
  </si>
  <si>
    <t>SV_10.60.105.210-OS</t>
  </si>
  <si>
    <t>SGH619V9RS</t>
  </si>
  <si>
    <t>10.60.105.211</t>
  </si>
  <si>
    <t>SV_10.60.105.211-host_211-OS</t>
  </si>
  <si>
    <t>SGH620VELW</t>
  </si>
  <si>
    <t>10.240.175.124</t>
  </si>
  <si>
    <t>11,63</t>
  </si>
  <si>
    <t>SGH851V1CS</t>
  </si>
  <si>
    <t>10.240.175.3</t>
  </si>
  <si>
    <t>SGH906SNVP</t>
  </si>
  <si>
    <t>MMSQT</t>
  </si>
  <si>
    <t>10.240.175.60</t>
  </si>
  <si>
    <t>SGH619V9P2</t>
  </si>
  <si>
    <t>10.58.15.47</t>
  </si>
  <si>
    <t>SV_10.58.15.47-APP-SMS-BB-OS</t>
  </si>
  <si>
    <t>MALU006570</t>
  </si>
  <si>
    <t>MPS</t>
  </si>
  <si>
    <t>10.60.105.105</t>
  </si>
  <si>
    <t>62,76</t>
  </si>
  <si>
    <t>10.60.105.106</t>
  </si>
  <si>
    <t>MALU005879</t>
  </si>
  <si>
    <t>T6.2-G01</t>
  </si>
  <si>
    <t>10.60.105.109</t>
  </si>
  <si>
    <t>10.60.105.110</t>
  </si>
  <si>
    <t>10.60.105.111</t>
  </si>
  <si>
    <t>SGH906SNK5</t>
  </si>
  <si>
    <t>T6.2-D09</t>
  </si>
  <si>
    <t>10.60.105.151</t>
  </si>
  <si>
    <t>39,13</t>
  </si>
  <si>
    <t>10.60.105.152</t>
  </si>
  <si>
    <t>SGH906SNX1</t>
  </si>
  <si>
    <t>10.60.105.153</t>
  </si>
  <si>
    <t>SGH713WHM5</t>
  </si>
  <si>
    <t>T6.2-E07</t>
  </si>
  <si>
    <t>10.60.105.154</t>
  </si>
  <si>
    <t>SGH551XV0E</t>
  </si>
  <si>
    <t>10.60.105.155</t>
  </si>
  <si>
    <t>SGH906SNKK</t>
  </si>
  <si>
    <t>10.60.105.156</t>
  </si>
  <si>
    <t>10.60.105.157</t>
  </si>
  <si>
    <t>SGH906SNKH</t>
  </si>
  <si>
    <t>10.60.105.158</t>
  </si>
  <si>
    <t>SGH551XYEP</t>
  </si>
  <si>
    <t>10.60.105.161</t>
  </si>
  <si>
    <t>10.60.105.162</t>
  </si>
  <si>
    <t>SGH713WHKD</t>
  </si>
  <si>
    <t>10.60.105.163</t>
  </si>
  <si>
    <t>SGH906SNWS</t>
  </si>
  <si>
    <t>10.60.105.164</t>
  </si>
  <si>
    <t>SGH713WHTL</t>
  </si>
  <si>
    <t>MSCN</t>
  </si>
  <si>
    <t>10.58.4.112</t>
  </si>
  <si>
    <t>SV_10.58.4.112-pv-db-76-OS</t>
  </si>
  <si>
    <t>MALU006554</t>
  </si>
  <si>
    <t>Provisioning_VAS</t>
  </si>
  <si>
    <t>10.30.7.68</t>
  </si>
  <si>
    <t>SV_10.30.7.68-localhost.localdomain-localhost.localdomain-OS</t>
  </si>
  <si>
    <t>88DBF13</t>
  </si>
  <si>
    <t>10.58.15.31</t>
  </si>
  <si>
    <t>SV_10.58.15.31-localhost.localdomain-OS</t>
  </si>
  <si>
    <t>MALU006527</t>
  </si>
  <si>
    <t>10.58.15.32</t>
  </si>
  <si>
    <t>SV_10.58.15.32-pv-db-OS</t>
  </si>
  <si>
    <t>10.58.15.45</t>
  </si>
  <si>
    <t>10.58.15.48</t>
  </si>
  <si>
    <t>SV_10.58.15.48-vaspro48-OS</t>
  </si>
  <si>
    <t>MALU005863</t>
  </si>
  <si>
    <t>10.58.4.193</t>
  </si>
  <si>
    <t>23,47</t>
  </si>
  <si>
    <t>SV_10.58.4.193-localhost.localdomain-OS</t>
  </si>
  <si>
    <t>JMJDBS2</t>
  </si>
  <si>
    <t>T6.2-C11</t>
  </si>
  <si>
    <t>10.60.100.74</t>
  </si>
  <si>
    <t>62,92</t>
  </si>
  <si>
    <t>App-1060100074</t>
  </si>
  <si>
    <t>MALU008577</t>
  </si>
  <si>
    <t>10.60.100.75</t>
  </si>
  <si>
    <t>App-1060100075</t>
  </si>
  <si>
    <t>10.60.100.76</t>
  </si>
  <si>
    <t>App-1060100076</t>
  </si>
  <si>
    <t>10.60.100.77</t>
  </si>
  <si>
    <t>App-1060100077</t>
  </si>
  <si>
    <t>10.60.100.78</t>
  </si>
  <si>
    <t>App-1060100078</t>
  </si>
  <si>
    <t>MALU008564</t>
  </si>
  <si>
    <t>10.60.100.79</t>
  </si>
  <si>
    <t>App-1060100079</t>
  </si>
  <si>
    <t>10.60.100.80</t>
  </si>
  <si>
    <t>App-1060100080</t>
  </si>
  <si>
    <t>MALU008599</t>
  </si>
  <si>
    <t>10.60.100.81</t>
  </si>
  <si>
    <t>App-1060100081</t>
  </si>
  <si>
    <t>MALU008598</t>
  </si>
  <si>
    <t>10.60.100.82</t>
  </si>
  <si>
    <t>App-1060100082</t>
  </si>
  <si>
    <t>10.60.100.83</t>
  </si>
  <si>
    <t>App-1060100083</t>
  </si>
  <si>
    <t>10.60.100.84</t>
  </si>
  <si>
    <t>App-1060100084</t>
  </si>
  <si>
    <t>10.60.100.85</t>
  </si>
  <si>
    <t>App-1060100085</t>
  </si>
  <si>
    <t>10.60.100.97</t>
  </si>
  <si>
    <t>125,92</t>
  </si>
  <si>
    <t>SV_10.60.100.97-PRV1-OS</t>
  </si>
  <si>
    <t>SGH551XTDY</t>
  </si>
  <si>
    <t>10.60.100.98</t>
  </si>
  <si>
    <t>SV_10.60.100.98-PRV2-OS</t>
  </si>
  <si>
    <t>SGH551XTXP</t>
  </si>
  <si>
    <t>T5.1-B06</t>
  </si>
  <si>
    <t>10.60.129.239</t>
  </si>
  <si>
    <t>125,83</t>
  </si>
  <si>
    <t>SV_10.60.129.239-pro-vas-01-OS</t>
  </si>
  <si>
    <t>UCSB-B200-M4</t>
  </si>
  <si>
    <t>FCH20357ZE2</t>
  </si>
  <si>
    <t>T6.1-A06</t>
  </si>
  <si>
    <t>10.60.129.240</t>
  </si>
  <si>
    <t>125,84</t>
  </si>
  <si>
    <t>SV_10.60.129.240-pro-vas-02-OS</t>
  </si>
  <si>
    <t>FCH2034J8CY</t>
  </si>
  <si>
    <t>Provisioning_BSS</t>
  </si>
  <si>
    <t>10.56.128.13</t>
  </si>
  <si>
    <t>62,79</t>
  </si>
  <si>
    <t>SV_10.56.128.13-10.56.128.13-OS</t>
  </si>
  <si>
    <t>ProLiant DL360 Gen9</t>
  </si>
  <si>
    <t>SGH529V1JK</t>
  </si>
  <si>
    <t>PDL</t>
  </si>
  <si>
    <t>T5PDL1</t>
  </si>
  <si>
    <t>PDL1_R51_C07</t>
  </si>
  <si>
    <t>10.56.128.18</t>
  </si>
  <si>
    <t>62,8</t>
  </si>
  <si>
    <t>SV_10.56.128.18-10.56.128.18-OS</t>
  </si>
  <si>
    <t>SGH529V1JC</t>
  </si>
  <si>
    <t>10.60.99.218</t>
  </si>
  <si>
    <t>252,15</t>
  </si>
  <si>
    <t>SV_10.60.99.218-sale-app03-OS</t>
  </si>
  <si>
    <t>SGH705XCJ8</t>
  </si>
  <si>
    <t>T5.1-H08</t>
  </si>
  <si>
    <t>10.60.99.220</t>
  </si>
  <si>
    <t>SV_10.60.99.220-sale-app04-OS</t>
  </si>
  <si>
    <t>SGH705XCJE</t>
  </si>
  <si>
    <t>10.60.99.222</t>
  </si>
  <si>
    <t>sale-app05-OS</t>
  </si>
  <si>
    <t>SGH705XCJ7</t>
  </si>
  <si>
    <t>SMSFamily</t>
  </si>
  <si>
    <t>10.58.4.82</t>
  </si>
  <si>
    <t>SV_10.58.4.82-vas-04-OS</t>
  </si>
  <si>
    <t>SMSBB</t>
  </si>
  <si>
    <t>10.240.175.11</t>
  </si>
  <si>
    <t>CentOS Linux release 7.4 kernel 3.10.0-862.6.3.el7.x86_64</t>
  </si>
  <si>
    <t>SGH906SNX3</t>
  </si>
  <si>
    <t>T6.2-D07</t>
  </si>
  <si>
    <t>10.60.5.232</t>
  </si>
  <si>
    <t>SGH931T2LX</t>
  </si>
  <si>
    <t>10.60.96.127</t>
  </si>
  <si>
    <t>SV_10.60.96.127-localhost.localdomain</t>
  </si>
  <si>
    <t>SGH931T2HC</t>
  </si>
  <si>
    <t>TBC 166</t>
  </si>
  <si>
    <t>10.254.146.148</t>
  </si>
  <si>
    <t>App-10.254.146.148</t>
  </si>
  <si>
    <t>MAAG002356</t>
  </si>
  <si>
    <t>TD Onoff</t>
  </si>
  <si>
    <t>10.240.175.35</t>
  </si>
  <si>
    <t>10.240.175.36</t>
  </si>
  <si>
    <t>SGH906SNX7</t>
  </si>
  <si>
    <t>10.240.175.38</t>
  </si>
  <si>
    <t>19,45</t>
  </si>
  <si>
    <t>10.208.81.62</t>
  </si>
  <si>
    <t>46,79</t>
  </si>
  <si>
    <t>App-10.208.81.62</t>
  </si>
  <si>
    <t>CentOS Stream 9</t>
  </si>
  <si>
    <t>tritm12</t>
  </si>
  <si>
    <t>SGH143TT0J</t>
  </si>
  <si>
    <t>T6.IDC2-P07</t>
  </si>
  <si>
    <t>10.208.81.63</t>
  </si>
  <si>
    <t>App-10.208.81.63</t>
  </si>
  <si>
    <t>SGH143TT6G</t>
  </si>
  <si>
    <t>T6.IDC2-P15</t>
  </si>
  <si>
    <t>10.208.81.64</t>
  </si>
  <si>
    <t>App-10.208.81.64</t>
  </si>
  <si>
    <t>PowerEdge R650</t>
  </si>
  <si>
    <t>H10XZQ3</t>
  </si>
  <si>
    <t>T6.IDC2-V03</t>
  </si>
  <si>
    <t>10.208.81.65</t>
  </si>
  <si>
    <t>App-10.208.81.65</t>
  </si>
  <si>
    <t>7VZWZQ3</t>
  </si>
  <si>
    <t>T6.IDC2-V08</t>
  </si>
  <si>
    <t>10.60.96.145</t>
  </si>
  <si>
    <t>27,42</t>
  </si>
  <si>
    <t>10.60.96.39</t>
  </si>
  <si>
    <t>app-10.60.96.39</t>
  </si>
  <si>
    <t>SGH143TSR1</t>
  </si>
  <si>
    <t>10.60.96.41</t>
  </si>
  <si>
    <t>app-10.60.96.41</t>
  </si>
  <si>
    <t>10.60.96.63</t>
  </si>
  <si>
    <t>MALU006579</t>
  </si>
  <si>
    <t>T6.2-F13</t>
  </si>
  <si>
    <t>10.60.96.64</t>
  </si>
  <si>
    <t>MALU005885</t>
  </si>
  <si>
    <t>10.207.56.71</t>
  </si>
  <si>
    <t>60,79</t>
  </si>
  <si>
    <t>vtt-TVBH-redis-10207056071</t>
  </si>
  <si>
    <t>10.207.56.72</t>
  </si>
  <si>
    <t>vtt-TVBH-redis-10207056072</t>
  </si>
  <si>
    <t>10.207.56.73</t>
  </si>
  <si>
    <t>vtt-TVBH-redis-10207056073</t>
  </si>
  <si>
    <t>SGH028TB7W</t>
  </si>
  <si>
    <t>10.207.56.74</t>
  </si>
  <si>
    <t>vtt-TVBH-redis-10207056074</t>
  </si>
  <si>
    <t>SGH028TB82</t>
  </si>
  <si>
    <t>10.207.56.75</t>
  </si>
  <si>
    <t>vtt-TVBH-redis-10207056075</t>
  </si>
  <si>
    <t>10.207.56.76</t>
  </si>
  <si>
    <t>vtt-TVBH-redis-10207056076</t>
  </si>
  <si>
    <t>10.207.56.77</t>
  </si>
  <si>
    <t>vtt-TVBH-redis-10207056077</t>
  </si>
  <si>
    <t>SGH028TB80</t>
  </si>
  <si>
    <t>10.207.56.78</t>
  </si>
  <si>
    <t>vtt-TVBH-redis-10207056078</t>
  </si>
  <si>
    <t>SGH028TB7M</t>
  </si>
  <si>
    <t>10.207.56.79</t>
  </si>
  <si>
    <t>vtt-TVBH-redis-10207056079</t>
  </si>
  <si>
    <t>10.207.56.80</t>
  </si>
  <si>
    <t>vtt-TVBH-redis-10207056080</t>
  </si>
  <si>
    <t>10.207.56.81</t>
  </si>
  <si>
    <t>vtt-TVBH-redis-10207056081</t>
  </si>
  <si>
    <t>SGH028TB7R</t>
  </si>
  <si>
    <t>10.207.56.82</t>
  </si>
  <si>
    <t>vtt-TVBH-redis-10207056082</t>
  </si>
  <si>
    <t>SGH028TB7Y</t>
  </si>
  <si>
    <t>10.207.56.83</t>
  </si>
  <si>
    <t>vtt-TVBH-redis-10207056083</t>
  </si>
  <si>
    <t>SGH103YBW5</t>
  </si>
  <si>
    <t>10.207.56.84</t>
  </si>
  <si>
    <t>vtt-TVBH-redis-10207056084</t>
  </si>
  <si>
    <t>SGH103YBWK</t>
  </si>
  <si>
    <t>10.207.56.85</t>
  </si>
  <si>
    <t>vtt-TVBH-redis-10207056085</t>
  </si>
  <si>
    <t>SGH028TB7F</t>
  </si>
  <si>
    <t>10.207.56.86</t>
  </si>
  <si>
    <t>vtt-TVBH-redis-10207056086</t>
  </si>
  <si>
    <t>10.60.96.146</t>
  </si>
  <si>
    <t>MALU006575</t>
  </si>
  <si>
    <t>10.60.96.147</t>
  </si>
  <si>
    <t>USSD098</t>
  </si>
  <si>
    <t>10.240.135.10</t>
  </si>
  <si>
    <t>125,81</t>
  </si>
  <si>
    <t>SV_10.240.135.10-localhost.localdomain-OS</t>
  </si>
  <si>
    <t>PowerEdge R730</t>
  </si>
  <si>
    <t>1PH40J2</t>
  </si>
  <si>
    <t>T5.1-I04</t>
  </si>
  <si>
    <t>10.240.135.11</t>
  </si>
  <si>
    <t>125,87</t>
  </si>
  <si>
    <t>SV_10.240.135.11-ussd-098-app02-OS</t>
  </si>
  <si>
    <t>Red Hat Enterprise Linux Server release 6.6 kernel 2.6.32-504.el6.x86_64</t>
  </si>
  <si>
    <t>1PJ80J2</t>
  </si>
  <si>
    <t>10.240.135.12</t>
  </si>
  <si>
    <t>SV_10.240.135.12-ussd-098-app03-OS</t>
  </si>
  <si>
    <t>1PH90J2</t>
  </si>
  <si>
    <t>10.254.158.75</t>
  </si>
  <si>
    <t>ussd098-redis-10254158075</t>
  </si>
  <si>
    <t>SGH103YBVX</t>
  </si>
  <si>
    <t>10.254.158.76</t>
  </si>
  <si>
    <t>ussd098-redis-10254158076</t>
  </si>
  <si>
    <t>10.254.158.77</t>
  </si>
  <si>
    <t>ussd098-redis-10254158077</t>
  </si>
  <si>
    <t>10.254.158.78</t>
  </si>
  <si>
    <t>ussd098-redis-10254158078</t>
  </si>
  <si>
    <t>10.254.158.79</t>
  </si>
  <si>
    <t>ussd098-redis-10254158079</t>
  </si>
  <si>
    <t>10.254.158.80</t>
  </si>
  <si>
    <t>ussd098-redis-10254158080</t>
  </si>
  <si>
    <t>10.254.158.81</t>
  </si>
  <si>
    <t>ussd098-redis-10254158081</t>
  </si>
  <si>
    <t>10.254.158.82</t>
  </si>
  <si>
    <t>ussd098-redis-10254158082</t>
  </si>
  <si>
    <t>10.254.158.83</t>
  </si>
  <si>
    <t>ussd098-redis-10254158083</t>
  </si>
  <si>
    <t>10.254.158.84</t>
  </si>
  <si>
    <t>ussd098-redis-10254158084</t>
  </si>
  <si>
    <t>SGH103YBWH</t>
  </si>
  <si>
    <t>10.254.158.85</t>
  </si>
  <si>
    <t>ussd098-redis-10254158085</t>
  </si>
  <si>
    <t>10.254.158.86</t>
  </si>
  <si>
    <t>ussd098-redis-10254158086</t>
  </si>
  <si>
    <t>10.60.105.219</t>
  </si>
  <si>
    <t>MALU006505</t>
  </si>
  <si>
    <t>10.60.105.220</t>
  </si>
  <si>
    <t>SGH619V9PE</t>
  </si>
  <si>
    <t>10.60.105.221</t>
  </si>
  <si>
    <t>MAAG002352</t>
  </si>
  <si>
    <t>10.60.105.222</t>
  </si>
  <si>
    <t>SGH906SNK1</t>
  </si>
  <si>
    <t>10.60.105.223</t>
  </si>
  <si>
    <t>10.60.105.224</t>
  </si>
  <si>
    <t>10.60.105.225</t>
  </si>
  <si>
    <t>SGH906SNVF</t>
  </si>
  <si>
    <t>10.60.105.226</t>
  </si>
  <si>
    <t>10.60.105.227</t>
  </si>
  <si>
    <t>MAAG002341</t>
  </si>
  <si>
    <t>10.60.105.228</t>
  </si>
  <si>
    <t>10.60.105.229</t>
  </si>
  <si>
    <t>10.60.105.230</t>
  </si>
  <si>
    <t>SGH906SNJV</t>
  </si>
  <si>
    <t>10.60.105.231</t>
  </si>
  <si>
    <t>SGH620VELF</t>
  </si>
  <si>
    <t>10.60.105.232</t>
  </si>
  <si>
    <t>SGH619V9S6</t>
  </si>
  <si>
    <t>10.60.105.233</t>
  </si>
  <si>
    <t>SGH620VEM3</t>
  </si>
  <si>
    <t>10.60.105.234</t>
  </si>
  <si>
    <t>VTFree</t>
  </si>
  <si>
    <t>10.240.175.41</t>
  </si>
  <si>
    <t>SGH851V1CJ</t>
  </si>
  <si>
    <t>10.240.175.42</t>
  </si>
  <si>
    <t>10.254.158.68</t>
  </si>
  <si>
    <t>59,8</t>
  </si>
  <si>
    <t>DB-10.254.158.68</t>
  </si>
  <si>
    <t>10.254.158.69</t>
  </si>
  <si>
    <t>DB-10.254.158.69</t>
  </si>
  <si>
    <t>10.254.158.70</t>
  </si>
  <si>
    <t>DB-10.254.158.70</t>
  </si>
  <si>
    <t>10.254.158.71</t>
  </si>
  <si>
    <t>DB-10.254.158.71</t>
  </si>
  <si>
    <t>10.254.158.72</t>
  </si>
  <si>
    <t>DB-10.254.158.72</t>
  </si>
  <si>
    <t>10.254.158.73</t>
  </si>
  <si>
    <t>DB-10.254.158.73</t>
  </si>
  <si>
    <t>10.60.106.143</t>
  </si>
  <si>
    <t>SGH906SNWN</t>
  </si>
  <si>
    <t>T6.2-D08</t>
  </si>
  <si>
    <t>10.60.106.144</t>
  </si>
  <si>
    <t>SGH620VEKT</t>
  </si>
  <si>
    <t>10.60.106.145</t>
  </si>
  <si>
    <t>SGH906SNKP</t>
  </si>
  <si>
    <t>10.60.5.74</t>
  </si>
  <si>
    <t>10.60.96.91</t>
  </si>
  <si>
    <t>SV_10.60.96.91-localhost.localdomain</t>
  </si>
  <si>
    <t>10.60.96.92</t>
  </si>
  <si>
    <t>SV_10.60.96.92-localhost.localdomain</t>
  </si>
  <si>
    <t>192.168.176.190</t>
  </si>
  <si>
    <t>SMSBrandName</t>
  </si>
  <si>
    <t>10.60.105.145</t>
  </si>
  <si>
    <t>39,25</t>
  </si>
  <si>
    <t>SGH906SNKT</t>
  </si>
  <si>
    <t>10.60.105.146</t>
  </si>
  <si>
    <t>10.60.105.253</t>
  </si>
  <si>
    <t>SERVER_10.60.105.253</t>
  </si>
  <si>
    <t>anhnt425</t>
  </si>
  <si>
    <t>10.60.105.34</t>
  </si>
  <si>
    <t>SERVER_10.60.105.34</t>
  </si>
  <si>
    <t>10.60.106.102</t>
  </si>
  <si>
    <t>SmSVoice</t>
  </si>
  <si>
    <t>10.30.147.133</t>
  </si>
  <si>
    <t>MALU008563</t>
  </si>
  <si>
    <t>10.30.147.134</t>
  </si>
  <si>
    <t>MALU008601</t>
  </si>
  <si>
    <t>10.30.147.139</t>
  </si>
  <si>
    <t>Hệ Thống Quản lý Bảo Hành</t>
  </si>
  <si>
    <t>192.168.176.72</t>
  </si>
  <si>
    <t>vinhhv4</t>
  </si>
  <si>
    <t>SPKDNN</t>
  </si>
  <si>
    <t>SV_192.168.176.72-db72-gvm-OS</t>
  </si>
  <si>
    <t>Red Hat Enterprise Linux AS release 4 kernel 3.0.9</t>
  </si>
  <si>
    <t>10.58.15.25</t>
  </si>
  <si>
    <t>MALU008603</t>
  </si>
  <si>
    <t>Mobile-CA</t>
  </si>
  <si>
    <t>10.255.62.121</t>
  </si>
  <si>
    <t>CA</t>
  </si>
  <si>
    <t>SV_10.255.62.121</t>
  </si>
  <si>
    <t>SGH143TSST</t>
  </si>
  <si>
    <t>10.255.62.122</t>
  </si>
  <si>
    <t>SV_10.255.62.122</t>
  </si>
  <si>
    <t>MAAG002445</t>
  </si>
  <si>
    <t>10.255.67.34</t>
  </si>
  <si>
    <t>CentOS Linux release 7.6 kernel 3.10.0-957.5.1.el7.x86_64</t>
  </si>
  <si>
    <t>luyennt2</t>
  </si>
  <si>
    <t>10.255.67.35</t>
  </si>
  <si>
    <t>SGH745SB0A</t>
  </si>
  <si>
    <t>T6.2-D02</t>
  </si>
  <si>
    <t>TMS V6</t>
  </si>
  <si>
    <t>10.207.189.184</t>
  </si>
  <si>
    <t>tms_v6_app1-tms_v6_app1-10.207.189.184/24</t>
  </si>
  <si>
    <t>CentOS</t>
  </si>
  <si>
    <t>VTT_TTCNTT_BUSPCKSCA</t>
  </si>
  <si>
    <t>Virtual Machine</t>
  </si>
  <si>
    <t>SGH213S4RF</t>
  </si>
  <si>
    <t>HLC_IDC</t>
  </si>
  <si>
    <t>Floor 3</t>
  </si>
  <si>
    <t>D10</t>
  </si>
  <si>
    <t>10.207.189.185</t>
  </si>
  <si>
    <t>tms_v6_app2-tms_v6_app2-10.207.189.185/24</t>
  </si>
  <si>
    <t>SGH133VSCP</t>
  </si>
  <si>
    <t>D09</t>
  </si>
  <si>
    <t>10.207.191.71</t>
  </si>
  <si>
    <t>tms_v6_db1-tms_v6_db1-10.207.191.71/24</t>
  </si>
  <si>
    <t>SGH133VSCM</t>
  </si>
  <si>
    <t>10.207.191.72</t>
  </si>
  <si>
    <t>tms_v6_db2-tms_v6_db2-10.207.191.72/24</t>
  </si>
  <si>
    <t>SGH133VS5W</t>
  </si>
  <si>
    <t>D08</t>
  </si>
  <si>
    <t>BCCS_CM_CA</t>
  </si>
  <si>
    <t>10.58.4.33</t>
  </si>
  <si>
    <t>62,9</t>
  </si>
  <si>
    <t>PRIMERGY CX2560 M4</t>
  </si>
  <si>
    <t>MAMC005281</t>
  </si>
  <si>
    <t>10.58.4.179</t>
  </si>
  <si>
    <t>SV_10.58.4.179-localhost.localdomain-localhost.localdomain-OS</t>
  </si>
  <si>
    <t>MALU005860</t>
  </si>
  <si>
    <t>10.60.5.106</t>
  </si>
  <si>
    <t>ERP-APP07-OS</t>
  </si>
  <si>
    <t>MAAG001395</t>
  </si>
  <si>
    <t>10.60.5.107</t>
  </si>
  <si>
    <t>app-10.60.5.107.novalocal-OS</t>
  </si>
  <si>
    <t>MAAG001399</t>
  </si>
  <si>
    <t>10.207.210.110</t>
  </si>
  <si>
    <t>10.207.210.111</t>
  </si>
  <si>
    <t>10.207.210.112</t>
  </si>
  <si>
    <t>10.207.210.107</t>
  </si>
  <si>
    <t>10.207.210.108</t>
  </si>
  <si>
    <t>10.207.210.109</t>
  </si>
  <si>
    <t>10.207.63.21</t>
  </si>
  <si>
    <t>Database-10.207.63.21</t>
  </si>
  <si>
    <t>Windows Server 2019 Standard</t>
  </si>
  <si>
    <t>SGH213YL4X</t>
  </si>
  <si>
    <t>10.207.63.22</t>
  </si>
  <si>
    <t>Database-10.207.63.22</t>
  </si>
  <si>
    <t>SGH143TSX5</t>
  </si>
  <si>
    <t>10.207.63.23</t>
  </si>
  <si>
    <t>Database-10.207.63.23</t>
  </si>
  <si>
    <t>10.60.106.79</t>
  </si>
  <si>
    <t>Microsoft Windows Server 2012 R2 Datacenter</t>
  </si>
  <si>
    <t>10.60.106.80</t>
  </si>
  <si>
    <t>10.60.106.151</t>
  </si>
  <si>
    <t>Microsoft Windows Server 2012 R2 Standard</t>
  </si>
  <si>
    <t>SGH931T2HT</t>
  </si>
  <si>
    <t>10.60.106.152</t>
  </si>
  <si>
    <t>SGH713WHL1</t>
  </si>
  <si>
    <t>10.60.106.176</t>
  </si>
  <si>
    <t>10.60.106.165</t>
  </si>
  <si>
    <t>app_10.60.106.165</t>
  </si>
  <si>
    <t>SGH931T2LQ</t>
  </si>
  <si>
    <t>10.60.106.166</t>
  </si>
  <si>
    <t>app_10.60.106.166</t>
  </si>
  <si>
    <t>SGH931T2LV</t>
  </si>
  <si>
    <t>10.60.106.167</t>
  </si>
  <si>
    <t>app_10.60.106.167</t>
  </si>
  <si>
    <t>10.60.107.200</t>
  </si>
  <si>
    <t>SV_10.60.107.200-BHXH1-OS</t>
  </si>
  <si>
    <t>SGH551XTXK</t>
  </si>
  <si>
    <t>T5.1-B04</t>
  </si>
  <si>
    <t>10.60.107.201</t>
  </si>
  <si>
    <t>SV_10.60.107.201-BHXH2-OS</t>
  </si>
  <si>
    <t>SGH551XTXX</t>
  </si>
  <si>
    <t>T5.1-B05</t>
  </si>
  <si>
    <t>"EJBCA</t>
  </si>
  <si>
    <t>(CoreCA)"</t>
  </si>
  <si>
    <t>10.240.251.133</t>
  </si>
  <si>
    <t>CentOS Linux release 7.7 kernel 3.10.0-1160.42.2.el7.x86_64</t>
  </si>
  <si>
    <t>nguyentk3</t>
  </si>
  <si>
    <t>Bare Metal</t>
  </si>
  <si>
    <t>SGH103YC13</t>
  </si>
  <si>
    <t>T8</t>
  </si>
  <si>
    <t>PVN-T8-E14</t>
  </si>
  <si>
    <t>10.240.251.134</t>
  </si>
  <si>
    <t>SGH103YC19</t>
  </si>
  <si>
    <t>PVN-T8-E11</t>
  </si>
  <si>
    <t>OCSP/CRL (CoreCA)</t>
  </si>
  <si>
    <t>10.240.251.68</t>
  </si>
  <si>
    <t>SGH103YC6L</t>
  </si>
  <si>
    <t>10.240.251.69</t>
  </si>
  <si>
    <t>SGH103YC6J</t>
  </si>
  <si>
    <t>LDAP (CoreCA)</t>
  </si>
  <si>
    <t>10.58.100.21</t>
  </si>
  <si>
    <t>SV_10.58.100.21-PV-LDAP-01-OS</t>
  </si>
  <si>
    <t>CentOS release 5.6 kernel 2.6.18-274.3.1.el5</t>
  </si>
  <si>
    <t>HC4G62S</t>
  </si>
  <si>
    <t>PVN-T8-E10</t>
  </si>
  <si>
    <t>10.58.100.22</t>
  </si>
  <si>
    <t>SV_10.58.100.22-PV-LDAP-02-OS</t>
  </si>
  <si>
    <t>CentOS release 5.7 kernel 2.6.18-274.3.1.el5</t>
  </si>
  <si>
    <t>GC4G62S</t>
  </si>
  <si>
    <t>Web (CoreCA)</t>
  </si>
  <si>
    <t>10.58.100.32</t>
  </si>
  <si>
    <t>SV_10.58.100.32-PV-RA-02-OS</t>
  </si>
  <si>
    <t>CC4G62S</t>
  </si>
  <si>
    <t>RA_Process (CoreCA)</t>
  </si>
  <si>
    <t>10.58.100.71</t>
  </si>
  <si>
    <t>CentOS release 5.5 kernel 2.6.18-194.el5</t>
  </si>
  <si>
    <t>10.58.100.72</t>
  </si>
  <si>
    <t>SV_10.58.100.72-OS</t>
  </si>
  <si>
    <t>CentOS release 5.8 kernel 2.6.18-308.el5</t>
  </si>
  <si>
    <t>System x3650 M3 -[7945D4A]-</t>
  </si>
  <si>
    <t>99AA314</t>
  </si>
  <si>
    <t>PVN-T8-E12</t>
  </si>
  <si>
    <t>Verify_CTS (CoreCA)</t>
  </si>
  <si>
    <t>10.58.100.34</t>
  </si>
  <si>
    <t>SV_10.58.100.34-localhost.localdomain-OS</t>
  </si>
  <si>
    <t>PowerEdge R730xd</t>
  </si>
  <si>
    <t>JTWZY42</t>
  </si>
  <si>
    <t>MyTime</t>
  </si>
  <si>
    <t>10.208.114.142</t>
  </si>
  <si>
    <t>4DPTMS3</t>
  </si>
  <si>
    <t>10.208.114.138</t>
  </si>
  <si>
    <t>1DPTMS3</t>
  </si>
  <si>
    <t>10.208.114.139</t>
  </si>
  <si>
    <t>10.208.114.140</t>
  </si>
  <si>
    <t>10.208.114.141</t>
  </si>
  <si>
    <t>4DYYRR3</t>
  </si>
  <si>
    <t>10.208.114.48</t>
  </si>
  <si>
    <t>10.208.114.59</t>
  </si>
  <si>
    <t>10.208.114.60</t>
  </si>
  <si>
    <t>10.208.114.61</t>
  </si>
  <si>
    <t>10.208.114.62</t>
  </si>
  <si>
    <t>Cloud CA 1.0</t>
  </si>
  <si>
    <t>10.208.114.37</t>
  </si>
  <si>
    <t>Microsoft Windows Server 2022 Standard</t>
  </si>
  <si>
    <t>C85H1G3</t>
  </si>
  <si>
    <t>PVN-T8-E15</t>
  </si>
  <si>
    <t>10.208.114.38</t>
  </si>
  <si>
    <t>duynq7</t>
  </si>
  <si>
    <t>B95H1G3</t>
  </si>
  <si>
    <t>10.208.114.39</t>
  </si>
  <si>
    <t>10.208.114.40</t>
  </si>
  <si>
    <t>JKPTKJ3</t>
  </si>
  <si>
    <t>10.208.114.41</t>
  </si>
  <si>
    <t>GKPTKJ3</t>
  </si>
  <si>
    <t>10.208.114.42</t>
  </si>
  <si>
    <t>Redhat Linux Enterprise 8.6</t>
  </si>
  <si>
    <t>SafeNet</t>
  </si>
  <si>
    <t>Luna Network HSM</t>
  </si>
  <si>
    <t>CPUAC9</t>
  </si>
  <si>
    <t>PVN-T8-E9</t>
  </si>
  <si>
    <t>10.208.114.43</t>
  </si>
  <si>
    <t>Redhat Linux Enterprise 8.4</t>
  </si>
  <si>
    <t>CPUAD1</t>
  </si>
  <si>
    <t>10.208.114.44</t>
  </si>
  <si>
    <t>127JX53</t>
  </si>
  <si>
    <t>10.208.114.45</t>
  </si>
  <si>
    <t>10.208.114.46</t>
  </si>
  <si>
    <t>129FX53</t>
  </si>
  <si>
    <t>10.208.114.51</t>
  </si>
  <si>
    <t>CentOS Linux 7.6 kernel 3.10.0-957.5.1.el7.x86</t>
  </si>
  <si>
    <t>10.208.114.52</t>
  </si>
  <si>
    <t>10.208.114.53</t>
  </si>
  <si>
    <t>10.208.114.54</t>
  </si>
  <si>
    <t>10.208.114.55</t>
  </si>
  <si>
    <t>10.208.114.56</t>
  </si>
  <si>
    <t>10.208.114.57</t>
  </si>
  <si>
    <t>10.208.114.58</t>
  </si>
  <si>
    <t>10.208.114.133</t>
  </si>
  <si>
    <t>10.208.114.134</t>
  </si>
  <si>
    <t>Cloud CA 2.0</t>
  </si>
  <si>
    <t>10.208.81.1</t>
  </si>
  <si>
    <t>App-10.208.81.1</t>
  </si>
  <si>
    <t>SGH143TSZ7</t>
  </si>
  <si>
    <t>10.208.81.2</t>
  </si>
  <si>
    <t>App-10.208.81.2</t>
  </si>
  <si>
    <t>SGH143TT6B</t>
  </si>
  <si>
    <t>10.208.81.3</t>
  </si>
  <si>
    <t>App-10.208.81.3</t>
  </si>
  <si>
    <t>320XZQ3</t>
  </si>
  <si>
    <t>T6.IDC2-V02</t>
  </si>
  <si>
    <t>10.208.81.4</t>
  </si>
  <si>
    <t>App-10.208.81.4</t>
  </si>
  <si>
    <t>7ZZWZQ3</t>
  </si>
  <si>
    <t>10.208.81.5</t>
  </si>
  <si>
    <t>App-10.208.81.5</t>
  </si>
  <si>
    <t>JTZWZQ3</t>
  </si>
  <si>
    <t>10.208.81.6</t>
  </si>
  <si>
    <t>App-10.208.81.6</t>
  </si>
  <si>
    <t>10.208.81.7</t>
  </si>
  <si>
    <t>App-10.208.81.7</t>
  </si>
  <si>
    <t>SGH143TT4N</t>
  </si>
  <si>
    <t>T6.IDC2-P14</t>
  </si>
  <si>
    <t>10.208.81.8</t>
  </si>
  <si>
    <t>App-10.208.81.8</t>
  </si>
  <si>
    <t>8YZWZQ3</t>
  </si>
  <si>
    <t>10.254.150.145</t>
  </si>
  <si>
    <t>CentOS Linux release 7.9 kernel 3.10.0-1160.25.1.el7.x86_64</t>
  </si>
  <si>
    <t>3Y822S3</t>
  </si>
  <si>
    <t>T6.IDC2-U01</t>
  </si>
  <si>
    <t>10.254.150.146</t>
  </si>
  <si>
    <t>GY822S3</t>
  </si>
  <si>
    <t>T6.IDC2-U02</t>
  </si>
  <si>
    <t>10.254.150.147</t>
  </si>
  <si>
    <t>1Z753S3</t>
  </si>
  <si>
    <t>10.254.150.148</t>
  </si>
  <si>
    <t>FY822S3</t>
  </si>
  <si>
    <t>10.254.150.149</t>
  </si>
  <si>
    <t>4Y822S3</t>
  </si>
  <si>
    <t>10.254.150.150</t>
  </si>
  <si>
    <t>2Y822S3</t>
  </si>
  <si>
    <t>10.254.150.151</t>
  </si>
  <si>
    <t>5Y822S3</t>
  </si>
  <si>
    <t>10.254.150.152</t>
  </si>
  <si>
    <t>JY822S3</t>
  </si>
  <si>
    <t>10.207.60.1</t>
  </si>
  <si>
    <t>Database-10.207.60.1</t>
  </si>
  <si>
    <t>SGH143TT4S</t>
  </si>
  <si>
    <t>10.207.60.2</t>
  </si>
  <si>
    <t>Database-10.207.60.2</t>
  </si>
  <si>
    <t>DTZWZQ3</t>
  </si>
  <si>
    <t>T6.IDC2-V01</t>
  </si>
  <si>
    <t>10.207.60.3</t>
  </si>
  <si>
    <t>Database-10.207.60.3</t>
  </si>
  <si>
    <t>2VZWZQ3</t>
  </si>
  <si>
    <t>T6.IDC2-V06</t>
  </si>
  <si>
    <t>10.207.60.4</t>
  </si>
  <si>
    <t>Database-10.207.60.4</t>
  </si>
  <si>
    <t>B20XZQ3</t>
  </si>
  <si>
    <t>10.207.60.6</t>
  </si>
  <si>
    <t>Database-10.207.60.6</t>
  </si>
  <si>
    <t>SGH143TT5Y</t>
  </si>
  <si>
    <t>Mykid Masscom</t>
  </si>
  <si>
    <t>10.254.158.90</t>
  </si>
  <si>
    <t>GTVT</t>
  </si>
  <si>
    <t>DB_10.254.158.90</t>
  </si>
  <si>
    <t>10.254.158.91</t>
  </si>
  <si>
    <t>DB_10.254.158.91</t>
  </si>
  <si>
    <t>10.207.59.113</t>
  </si>
  <si>
    <t>App_10.207.59.113</t>
  </si>
  <si>
    <t>10.207.59.114</t>
  </si>
  <si>
    <t>App_10.207.59.114</t>
  </si>
  <si>
    <t>10.207.59.115</t>
  </si>
  <si>
    <t>App_10.207.59.115</t>
  </si>
  <si>
    <t>Mykid 2G</t>
  </si>
  <si>
    <t>10.240.186.17</t>
  </si>
  <si>
    <t>CentOS Linux release 7.5 kernel 3.10.0-693.21.1.el7.x86_64</t>
  </si>
  <si>
    <t>10.240.186.18</t>
  </si>
  <si>
    <t>10.240.186.19</t>
  </si>
  <si>
    <t>10.240.186.20</t>
  </si>
  <si>
    <t>CentOS Linux release 7.5 kernel 3.10.0-862.14.4.el7.x86_64</t>
  </si>
  <si>
    <t>10.240.188.1</t>
  </si>
  <si>
    <t>CentOS Linux 7 (Core) release 7 kernel 3.10.0-862.el7.x86_64</t>
  </si>
  <si>
    <t>10.240.188.3</t>
  </si>
  <si>
    <t>linux</t>
  </si>
  <si>
    <t>Vtracking 1.0</t>
  </si>
  <si>
    <t>10.30.5.20</t>
  </si>
  <si>
    <t>SV_10.30.5.20-WIN-OS</t>
  </si>
  <si>
    <t>ProLiant DL380p Gen8</t>
  </si>
  <si>
    <t>SGH421J29A</t>
  </si>
  <si>
    <t>T2.1-E15</t>
  </si>
  <si>
    <t>10.30.5.21</t>
  </si>
  <si>
    <t>SV_10.30.5.21-WIN-OS</t>
  </si>
  <si>
    <t>SGH421J298</t>
  </si>
  <si>
    <t>10.30.5.25</t>
  </si>
  <si>
    <t>app_10.30.5.25</t>
  </si>
  <si>
    <t>MALU008593</t>
  </si>
  <si>
    <t>10.30.5.26</t>
  </si>
  <si>
    <t>app_10.30.5.26</t>
  </si>
  <si>
    <t>Microsoft Windows Server 2008 Enterprise_32189</t>
  </si>
  <si>
    <t>MALU008572</t>
  </si>
  <si>
    <t>10.60.135.55</t>
  </si>
  <si>
    <t>MALU006546</t>
  </si>
  <si>
    <t>10.60.135.56</t>
  </si>
  <si>
    <t>10.30.5.50</t>
  </si>
  <si>
    <t>Oracle Linux Server 7.9 release 7.9 kernel 5.4.17-2102.203.5.el7uek.x86_64</t>
  </si>
  <si>
    <t>HW61ZR3</t>
  </si>
  <si>
    <t>T6.IDC2-V12A</t>
  </si>
  <si>
    <t>10.30.5.51</t>
  </si>
  <si>
    <t>JV61ZR3</t>
  </si>
  <si>
    <t>T6.IDC2-V14</t>
  </si>
  <si>
    <t>10.30.5.52</t>
  </si>
  <si>
    <t>HV61ZR3</t>
  </si>
  <si>
    <t>10.60.32.175</t>
  </si>
  <si>
    <t>app_10.60.32.175</t>
  </si>
  <si>
    <t>MAAG001447</t>
  </si>
  <si>
    <t>10.60.32.176</t>
  </si>
  <si>
    <t>MALU008197</t>
  </si>
  <si>
    <t>T6.2-F11</t>
  </si>
  <si>
    <t>10.58.45.234</t>
  </si>
  <si>
    <t>SV_10.58.45.234-DB-234-OS</t>
  </si>
  <si>
    <t>nhungtp1</t>
  </si>
  <si>
    <t>PowerEdge R815</t>
  </si>
  <si>
    <t>GYJY82S</t>
  </si>
  <si>
    <t>PVN-T5-E06</t>
  </si>
  <si>
    <t>10.58.45.235</t>
  </si>
  <si>
    <t>SV_10.58.45.235-DB-235-OS</t>
  </si>
  <si>
    <t>HYJY82S</t>
  </si>
  <si>
    <t>10.254.147.132</t>
  </si>
  <si>
    <t>SERVER_10.254.147.132</t>
  </si>
  <si>
    <t>Linux release 56 kernel 4.15.0-70-generic</t>
  </si>
  <si>
    <t>10.254.147.133</t>
  </si>
  <si>
    <t>SERVER_10.254.147.133</t>
  </si>
  <si>
    <t>MAAG002407</t>
  </si>
  <si>
    <t>10.60.32.183</t>
  </si>
  <si>
    <t>SV_10.60.32.183-None-SV_10.60.32.183-1</t>
  </si>
  <si>
    <t>Microsoft Windows Server 2008 Enterprise</t>
  </si>
  <si>
    <t>MAAG001401</t>
  </si>
  <si>
    <t>10.207.163.1</t>
  </si>
  <si>
    <t>Kafka-10.207.163.1</t>
  </si>
  <si>
    <t>SGH103S2X4</t>
  </si>
  <si>
    <t>10.207.163.2</t>
  </si>
  <si>
    <t>Kafka-10.207.163.2</t>
  </si>
  <si>
    <t>SGH103YCNV</t>
  </si>
  <si>
    <t>T7.2-B08</t>
  </si>
  <si>
    <t>10.207.163.3</t>
  </si>
  <si>
    <t>Kafka-10.207.163.3</t>
  </si>
  <si>
    <t>SGH103S2YP</t>
  </si>
  <si>
    <t>10.207.163.4</t>
  </si>
  <si>
    <t>Kafka-10.207.163.4</t>
  </si>
  <si>
    <t>10.207.163.5</t>
  </si>
  <si>
    <t>App-10.205.56.38</t>
  </si>
  <si>
    <t>10.207.163.6</t>
  </si>
  <si>
    <t>App-10.205.56.39</t>
  </si>
  <si>
    <t>Mykid 2.0</t>
  </si>
  <si>
    <t>10.211.126.149/24</t>
  </si>
  <si>
    <t>App-10.211.126.149</t>
  </si>
  <si>
    <t>Rocky Linux 9.2</t>
  </si>
  <si>
    <t>ProLiant DL360 Gen10 Plus</t>
  </si>
  <si>
    <t>SGH343NSFX</t>
  </si>
  <si>
    <t>20T-Floor 6.IDC3</t>
  </si>
  <si>
    <t>T6.IDC3-C01</t>
  </si>
  <si>
    <t>10.211.126.150/24</t>
  </si>
  <si>
    <t>App-10.211.126.150</t>
  </si>
  <si>
    <t>SGH343NV24</t>
  </si>
  <si>
    <t>T6.IDC3-C10</t>
  </si>
  <si>
    <t>10.211.126.151/24</t>
  </si>
  <si>
    <t>App-10.211.126.151</t>
  </si>
  <si>
    <t>SGH343NVFN</t>
  </si>
  <si>
    <t>T6.IDC3-C03</t>
  </si>
  <si>
    <t>10.211.126.71/24</t>
  </si>
  <si>
    <t>App-10.211.126.71</t>
  </si>
  <si>
    <t>SGH343NVSS</t>
  </si>
  <si>
    <t>T6.IDC3-C04</t>
  </si>
  <si>
    <t>10.211.126.72/24</t>
  </si>
  <si>
    <t>App-10.211.126.72</t>
  </si>
  <si>
    <t>SGH343NSB1</t>
  </si>
  <si>
    <t>10.211.126.73/24</t>
  </si>
  <si>
    <t>App-10.211.126.73</t>
  </si>
  <si>
    <t>SGH343NV3Z</t>
  </si>
  <si>
    <t>T6.IDC3-C11</t>
  </si>
  <si>
    <t>10.211.126.75/24</t>
  </si>
  <si>
    <t>App-10.211.126.75</t>
  </si>
  <si>
    <t>10.211.126.76/24</t>
  </si>
  <si>
    <t>App-10.211.126.76</t>
  </si>
  <si>
    <t>SGH345G7Q3</t>
  </si>
  <si>
    <t>10.211.126.77/24</t>
  </si>
  <si>
    <t>App-10.211.126.77</t>
  </si>
  <si>
    <t>10.211.126.78/24</t>
  </si>
  <si>
    <t>App-10.211.126.78</t>
  </si>
  <si>
    <t>SGH343F177</t>
  </si>
  <si>
    <t>10.211.126.79/24</t>
  </si>
  <si>
    <t>App-10.211.126.79</t>
  </si>
  <si>
    <t>10.211.126.80/24</t>
  </si>
  <si>
    <t>App-10.211.126.80</t>
  </si>
  <si>
    <t>SGH343NVQK</t>
  </si>
  <si>
    <t>10.211.126.81/24</t>
  </si>
  <si>
    <t>App-10.211.126.81</t>
  </si>
  <si>
    <t>10.211.126.82/24</t>
  </si>
  <si>
    <t>App-10.211.126.82</t>
  </si>
  <si>
    <t>SGH343F0WF</t>
  </si>
  <si>
    <t>10.211.126.83/24</t>
  </si>
  <si>
    <t>App-10.211.126.83</t>
  </si>
  <si>
    <t>SGH343NV66</t>
  </si>
  <si>
    <t>10.211.126.84/24</t>
  </si>
  <si>
    <t>App-10.211.126.84</t>
  </si>
  <si>
    <t>SGH343NV1Y</t>
  </si>
  <si>
    <t>10.211.126.85/24</t>
  </si>
  <si>
    <t>App-10.211.126.85</t>
  </si>
  <si>
    <t>10.211.126.86/24</t>
  </si>
  <si>
    <t>App-10.211.126.86</t>
  </si>
  <si>
    <t>10.211.126.152/24</t>
  </si>
  <si>
    <t>App-10.211.126.152</t>
  </si>
  <si>
    <t>SGH343NV54</t>
  </si>
  <si>
    <t>10.211.126.153/24</t>
  </si>
  <si>
    <t>App-10.211.126.153</t>
  </si>
  <si>
    <t>10.211.126.154/24</t>
  </si>
  <si>
    <t>App-10.211.126.154</t>
  </si>
  <si>
    <t>SGH343NVBV</t>
  </si>
  <si>
    <t>T6.IDC3-C02</t>
  </si>
  <si>
    <t>10.211.126.155/24</t>
  </si>
  <si>
    <t>App-10.211.126.155</t>
  </si>
  <si>
    <t>SGH343F12N</t>
  </si>
  <si>
    <t>T6.IDC3-C09</t>
  </si>
  <si>
    <t>10.211.126.156/24</t>
  </si>
  <si>
    <t>App-10.211.126.156</t>
  </si>
  <si>
    <t>SGH343NV1C</t>
  </si>
  <si>
    <t>10.211.126.157/24</t>
  </si>
  <si>
    <t>App-10.211.126.157</t>
  </si>
  <si>
    <t>SGH343NV2F</t>
  </si>
  <si>
    <t>10.211.126.158/24</t>
  </si>
  <si>
    <t>App-10.211.126.158</t>
  </si>
  <si>
    <t>SGH343NVHP</t>
  </si>
  <si>
    <t>10.211.126.159/24</t>
  </si>
  <si>
    <t>App-10.211.126.159</t>
  </si>
  <si>
    <t>10.211.126.160/24</t>
  </si>
  <si>
    <t>App-10.211.126.160</t>
  </si>
  <si>
    <t>10.211.126.161/24</t>
  </si>
  <si>
    <t>App-10.211.126.161</t>
  </si>
  <si>
    <t>10.211.126.87/24</t>
  </si>
  <si>
    <t>App-10.211.126.87</t>
  </si>
  <si>
    <t>SGH343NSCH</t>
  </si>
  <si>
    <t>10.211.126.88/24</t>
  </si>
  <si>
    <t>App-10.211.126.88</t>
  </si>
  <si>
    <t>SGH343NSBB</t>
  </si>
  <si>
    <t>10.211.126.89/24</t>
  </si>
  <si>
    <t>App-10.211.126.89</t>
  </si>
  <si>
    <t>SGH343F0V5</t>
  </si>
  <si>
    <t>10.211.126.90/24</t>
  </si>
  <si>
    <t>App-10.211.126.90</t>
  </si>
  <si>
    <t>SGH343F0TD</t>
  </si>
  <si>
    <t>10.211.126.91/24</t>
  </si>
  <si>
    <t>App-10.211.126.91</t>
  </si>
  <si>
    <t>10.211.126.92/24</t>
  </si>
  <si>
    <t>App-10.211.126.92</t>
  </si>
  <si>
    <t>10.211.126.93/24</t>
  </si>
  <si>
    <t>App-10.211.126.93</t>
  </si>
  <si>
    <t>10.211.126.94/24</t>
  </si>
  <si>
    <t>App-10.211.126.94</t>
  </si>
  <si>
    <t>"10.211.93.65/24</t>
  </si>
  <si>
    <t>(VIP 10.211.93.68)"</t>
  </si>
  <si>
    <t>DB-10.211.93.65</t>
  </si>
  <si>
    <t>SGH343NVC4</t>
  </si>
  <si>
    <t>"10.211.93.66/24</t>
  </si>
  <si>
    <t>DB-10.211.93.66</t>
  </si>
  <si>
    <t>"10.211.93.67/24</t>
  </si>
  <si>
    <t>DB-10.211.93.67</t>
  </si>
  <si>
    <t>CM-BCCS2.0</t>
  </si>
  <si>
    <t>10.205.42.38</t>
  </si>
  <si>
    <t>QLKH</t>
  </si>
  <si>
    <t>App-10.205.42.38</t>
  </si>
  <si>
    <t>10.205.42.39</t>
  </si>
  <si>
    <t>App-10.205.42.39</t>
  </si>
  <si>
    <t>10.205.42.40</t>
  </si>
  <si>
    <t>App-10.205.42.40</t>
  </si>
  <si>
    <t>10.205.42.41</t>
  </si>
  <si>
    <t>App-10.205.42.41</t>
  </si>
  <si>
    <t>10.205.42.42</t>
  </si>
  <si>
    <t>App-10.205.42.42</t>
  </si>
  <si>
    <t>SGH103YBVZ</t>
  </si>
  <si>
    <t>10.205.42.43</t>
  </si>
  <si>
    <t>App-10.205.42.43</t>
  </si>
  <si>
    <t>10.240.147.100</t>
  </si>
  <si>
    <t>SV_10.240.147.100-bccs2-sale-intws-02-OS</t>
  </si>
  <si>
    <t>FCH2111V208</t>
  </si>
  <si>
    <t>T6.1-I05</t>
  </si>
  <si>
    <t>10.240.147.101</t>
  </si>
  <si>
    <t>SV_10.240.147.101-bccs2-sale-intws-03-OS</t>
  </si>
  <si>
    <t>FCH2111V0KG</t>
  </si>
  <si>
    <t>10.240.147.102</t>
  </si>
  <si>
    <t>SV_10.240.147.102-bccs2-sale-intws-04-OS</t>
  </si>
  <si>
    <t>FCH2112V0MZ</t>
  </si>
  <si>
    <t>T6.1-J04</t>
  </si>
  <si>
    <t>10.240.147.103</t>
  </si>
  <si>
    <t>SV_10.240.147.103-bccs-sale-intws-05-OS</t>
  </si>
  <si>
    <t>FCH2112V0ND</t>
  </si>
  <si>
    <t>10.240.147.104</t>
  </si>
  <si>
    <t>SV_10.240.147.104-bccs2-sale-intws-06-OS</t>
  </si>
  <si>
    <t>FCH2112V0MJ</t>
  </si>
  <si>
    <t>10.240.147.105</t>
  </si>
  <si>
    <t>bccs2-sale-solr-01-OS</t>
  </si>
  <si>
    <t>FCH2109V0ZE</t>
  </si>
  <si>
    <t>10.240.147.106</t>
  </si>
  <si>
    <t>SV_10.240.147.106-bccs2-sale-solr-02-OS</t>
  </si>
  <si>
    <t>FCH2112V0LP</t>
  </si>
  <si>
    <t>10.240.147.107</t>
  </si>
  <si>
    <t>SV_10.240.147.107-bccs2-sale-solr-03-OS</t>
  </si>
  <si>
    <t>FCH2109V0ZC</t>
  </si>
  <si>
    <t>10.240.147.108</t>
  </si>
  <si>
    <t>SV_10.240.147.108-bccs2-sale-websv-01-OS</t>
  </si>
  <si>
    <t>FCH2110V35S</t>
  </si>
  <si>
    <t>10.240.147.109</t>
  </si>
  <si>
    <t>SV_10.240.147.109-bccs2-sale-websv-02-OS</t>
  </si>
  <si>
    <t>FCH2109V10J</t>
  </si>
  <si>
    <t>10.240.147.110</t>
  </si>
  <si>
    <t>bccs2-sale-websv-03-OS</t>
  </si>
  <si>
    <t>FCH2111V1E0</t>
  </si>
  <si>
    <t>10.240.147.111</t>
  </si>
  <si>
    <t>SV_10.240.147.111-bccs2-sale-websv-04-OS</t>
  </si>
  <si>
    <t>FCH2112V0M6</t>
  </si>
  <si>
    <t>10.240.147.112</t>
  </si>
  <si>
    <t>SV_10.240.147.112-bccs2-sale-websv-05-OS</t>
  </si>
  <si>
    <t>FCH2112V0M3</t>
  </si>
  <si>
    <t>10.240.147.94</t>
  </si>
  <si>
    <t>SV_10.240.147.94-bccs2-sale-process-01-OS</t>
  </si>
  <si>
    <t>FCH2108V0HL</t>
  </si>
  <si>
    <t>10.240.147.95</t>
  </si>
  <si>
    <t>SV_10.240.147.95-bccs2-sale-process-02-OS</t>
  </si>
  <si>
    <t>FCH2108V0ZJ</t>
  </si>
  <si>
    <t>10.240.147.96</t>
  </si>
  <si>
    <t>bccs2-sale-extws-01-OS</t>
  </si>
  <si>
    <t>FCH2109V10F</t>
  </si>
  <si>
    <t>10.240.147.97</t>
  </si>
  <si>
    <t>SV_10.240.147.97-bccs2-sale-extws-02-OS</t>
  </si>
  <si>
    <t>FCH2112V0JB</t>
  </si>
  <si>
    <t>10.240.147.98</t>
  </si>
  <si>
    <t>SV_10.240.147.98-bccs2-sale-extws-03-OS</t>
  </si>
  <si>
    <t>FCH2111V0J6</t>
  </si>
  <si>
    <t>10.240.147.99</t>
  </si>
  <si>
    <t>SV_10.240.147.99-bccs2-sale-intws-01-OS</t>
  </si>
  <si>
    <t>FCH2112V0ME</t>
  </si>
  <si>
    <t>10.255.62.38</t>
  </si>
  <si>
    <t>SGH906SNK3</t>
  </si>
  <si>
    <t>T6.2-D11</t>
  </si>
  <si>
    <t>10.255.62.39</t>
  </si>
  <si>
    <t>SGH906SNWJ</t>
  </si>
  <si>
    <t>10.255.62.97</t>
  </si>
  <si>
    <t>MAAG001445</t>
  </si>
  <si>
    <t>10.255.62.98</t>
  </si>
  <si>
    <t>MAAG001428</t>
  </si>
  <si>
    <t>10.58.4.71</t>
  </si>
  <si>
    <t>MAAG001411</t>
  </si>
  <si>
    <t>10.60.96.4</t>
  </si>
  <si>
    <t>SV_10.60.96.4-host4-OS</t>
  </si>
  <si>
    <t>MALU008610</t>
  </si>
  <si>
    <t>192.168.176.94</t>
  </si>
  <si>
    <t>MNP</t>
  </si>
  <si>
    <t>10.240.147.50</t>
  </si>
  <si>
    <t>SV_10.240.147.50-bccs2-esb-mgmt-01-OS</t>
  </si>
  <si>
    <t>CentOS release 6.8 kernel 2.6.32-504.el6.x86_64</t>
  </si>
  <si>
    <t>FCH2109V15E</t>
  </si>
  <si>
    <t>T6.1-I11</t>
  </si>
  <si>
    <t>10.240.147.51</t>
  </si>
  <si>
    <t>SV_10.240.147.51-bccs2-esb-mgmt-02-OS</t>
  </si>
  <si>
    <t>FCH2109V176</t>
  </si>
  <si>
    <t>10.240.147.52</t>
  </si>
  <si>
    <t>SV_10.240.147.52-bccs2-esbmgmt-03-OS</t>
  </si>
  <si>
    <t>FCH2111V20H</t>
  </si>
  <si>
    <t>10.60.106.172</t>
  </si>
  <si>
    <t>10.60.106.173</t>
  </si>
  <si>
    <t>MAAG001439</t>
  </si>
  <si>
    <t>CRM</t>
  </si>
  <si>
    <t>10.254.137.134</t>
  </si>
  <si>
    <t>crmvtt-app-10254137134</t>
  </si>
  <si>
    <t>VTT_CNTT_TTPMKDVT</t>
  </si>
  <si>
    <t>10.254.137.135</t>
  </si>
  <si>
    <t>crmvtt-app-10254137135</t>
  </si>
  <si>
    <t>10.254.137.136</t>
  </si>
  <si>
    <t>crmvtt-app-10254137136</t>
  </si>
  <si>
    <t xml:space="preserve">Hóa đơn điện tử </t>
  </si>
  <si>
    <t>10.207.155.183</t>
  </si>
  <si>
    <t>HDDT</t>
  </si>
  <si>
    <t>app-10.205.36.61</t>
  </si>
  <si>
    <t>SGH143TSNX</t>
  </si>
  <si>
    <t>T7.2-A14</t>
  </si>
  <si>
    <t>10.207.155.184</t>
  </si>
  <si>
    <t>app-10.205.36.62</t>
  </si>
  <si>
    <t>SGH103S1FR</t>
  </si>
  <si>
    <t>T7.2-B09</t>
  </si>
  <si>
    <t>10.207.155.185</t>
  </si>
  <si>
    <t>app-10.205.36.63</t>
  </si>
  <si>
    <t>SGH103S2WR</t>
  </si>
  <si>
    <t>10.207.155.186</t>
  </si>
  <si>
    <t>app-10.205.36.64</t>
  </si>
  <si>
    <t>SGH143TSKV</t>
  </si>
  <si>
    <t>10.207.155.187</t>
  </si>
  <si>
    <t>app-10.205.36.65</t>
  </si>
  <si>
    <t>SGH143TSSY</t>
  </si>
  <si>
    <t>10.207.155.188</t>
  </si>
  <si>
    <t>app-10.205.36.66</t>
  </si>
  <si>
    <t>SGH103S1GV</t>
  </si>
  <si>
    <t>10.207.155.189</t>
  </si>
  <si>
    <t>app-10.205.36.67</t>
  </si>
  <si>
    <t>SGH103S2ZL</t>
  </si>
  <si>
    <t>10.207.155.190</t>
  </si>
  <si>
    <t>app-10.205.36.68</t>
  </si>
  <si>
    <t>10.207.155.191</t>
  </si>
  <si>
    <t>app-10.205.36.69</t>
  </si>
  <si>
    <t>53RR643</t>
  </si>
  <si>
    <t>10.207.155.194</t>
  </si>
  <si>
    <t>app-10.205.36.72</t>
  </si>
  <si>
    <t>10.207.155.195</t>
  </si>
  <si>
    <t>app-10.205.36.73</t>
  </si>
  <si>
    <t>10.207.155.196</t>
  </si>
  <si>
    <t>app-10.205.36.74</t>
  </si>
  <si>
    <t>10.207.156.118</t>
  </si>
  <si>
    <t>app-10.205.36.136</t>
  </si>
  <si>
    <t>10.207.156.119</t>
  </si>
  <si>
    <t>app-10.205.36.137</t>
  </si>
  <si>
    <t>SGH143TSM3</t>
  </si>
  <si>
    <t>10.207.156.120</t>
  </si>
  <si>
    <t>app-10.205.36.138</t>
  </si>
  <si>
    <t>9TQR643</t>
  </si>
  <si>
    <t>10.207.156.122</t>
  </si>
  <si>
    <t>app-10.205.36.140</t>
  </si>
  <si>
    <t>SGH143TSMC</t>
  </si>
  <si>
    <t>10.207.156.123</t>
  </si>
  <si>
    <t>app-10.205.36.141</t>
  </si>
  <si>
    <t>SGH103YCNJ</t>
  </si>
  <si>
    <t>10.207.156.124</t>
  </si>
  <si>
    <t>app-10.205.36.142</t>
  </si>
  <si>
    <t>10.207.156.125</t>
  </si>
  <si>
    <t>app-10.205.36.143</t>
  </si>
  <si>
    <t>10.207.156.144</t>
  </si>
  <si>
    <t>app-10.205.36.162</t>
  </si>
  <si>
    <t>SGH103S1H1</t>
  </si>
  <si>
    <t>10.207.156.145</t>
  </si>
  <si>
    <t>app-10.205.36.163</t>
  </si>
  <si>
    <t>MAAG002342</t>
  </si>
  <si>
    <t>10.207.156.156</t>
  </si>
  <si>
    <t>app-10.205.36.174</t>
  </si>
  <si>
    <t>10.207.156.157</t>
  </si>
  <si>
    <t>app-10.205.36.175</t>
  </si>
  <si>
    <t>MAAG002370</t>
  </si>
  <si>
    <t>10.207.156.160</t>
  </si>
  <si>
    <t>app-10.205.36.178</t>
  </si>
  <si>
    <t>MAAG002373</t>
  </si>
  <si>
    <t>10.207.156.161</t>
  </si>
  <si>
    <t>app-10.205.36.179</t>
  </si>
  <si>
    <t>10.207.156.162</t>
  </si>
  <si>
    <t>app-10.205.36.180</t>
  </si>
  <si>
    <t>SGH103YCNZ</t>
  </si>
  <si>
    <t>10.207.156.163</t>
  </si>
  <si>
    <t>app-10.205.36.181</t>
  </si>
  <si>
    <t>10.207.156.164</t>
  </si>
  <si>
    <t>app-10.205.36.182</t>
  </si>
  <si>
    <t>10.207.156.165</t>
  </si>
  <si>
    <t>app-10.205.36.183</t>
  </si>
  <si>
    <t>10.207.156.168</t>
  </si>
  <si>
    <t>app-10.205.36.186</t>
  </si>
  <si>
    <t>10.207.156.59</t>
  </si>
  <si>
    <t>app-10.205.36.77</t>
  </si>
  <si>
    <t>10.207.156.60</t>
  </si>
  <si>
    <t>app-10.205.36.78</t>
  </si>
  <si>
    <t>SGH103S304</t>
  </si>
  <si>
    <t>T7.2-B10</t>
  </si>
  <si>
    <t>10.207.156.61</t>
  </si>
  <si>
    <t>app-10.205.36.79</t>
  </si>
  <si>
    <t>10.207.156.62</t>
  </si>
  <si>
    <t>app-10.205.36.80</t>
  </si>
  <si>
    <t>SGH143TSPZ</t>
  </si>
  <si>
    <t>10.207.156.63</t>
  </si>
  <si>
    <t>app-10.205.36.81</t>
  </si>
  <si>
    <t>SGH103YCN6</t>
  </si>
  <si>
    <t>10.207.156.64</t>
  </si>
  <si>
    <t>app-10.205.36.82</t>
  </si>
  <si>
    <t>MAAG002513</t>
  </si>
  <si>
    <t>10.207.156.65</t>
  </si>
  <si>
    <t>app-10.205.36.83</t>
  </si>
  <si>
    <t>SGH143TSKB</t>
  </si>
  <si>
    <t>10.207.156.66</t>
  </si>
  <si>
    <t>app-10.205.36.84</t>
  </si>
  <si>
    <t>SGH103YCN4</t>
  </si>
  <si>
    <t>10.207.156.67</t>
  </si>
  <si>
    <t>app-10.205.36.85</t>
  </si>
  <si>
    <t>10.207.156.68</t>
  </si>
  <si>
    <t>app-10.205.36.86</t>
  </si>
  <si>
    <t>10.207.156.69</t>
  </si>
  <si>
    <t>app-10.205.36.87</t>
  </si>
  <si>
    <t>SGH103S1GZ</t>
  </si>
  <si>
    <t>10.207.156.70</t>
  </si>
  <si>
    <t>app-10.205.36.88</t>
  </si>
  <si>
    <t>10.207.156.71</t>
  </si>
  <si>
    <t>app-10.205.36.89</t>
  </si>
  <si>
    <t>SGH143TSQS</t>
  </si>
  <si>
    <t>10.207.156.72</t>
  </si>
  <si>
    <t>app-10.205.36.90</t>
  </si>
  <si>
    <t>SGH103S1GL</t>
  </si>
  <si>
    <t>10.207.156.73</t>
  </si>
  <si>
    <t>app-10.205.36.91</t>
  </si>
  <si>
    <t>10.207.156.74</t>
  </si>
  <si>
    <t>app-10.205.36.92</t>
  </si>
  <si>
    <t>SGH143TSLL</t>
  </si>
  <si>
    <t>10.207.156.75</t>
  </si>
  <si>
    <t>app-10.205.36.93</t>
  </si>
  <si>
    <t>SGH103S1GJ</t>
  </si>
  <si>
    <t>10.207.156.76</t>
  </si>
  <si>
    <t>app-10.205.36.94</t>
  </si>
  <si>
    <t>MAAG002351</t>
  </si>
  <si>
    <t>10.207.156.77</t>
  </si>
  <si>
    <t>app-10.205.36.95</t>
  </si>
  <si>
    <t>10.207.156.78</t>
  </si>
  <si>
    <t>app-10.205.36.96</t>
  </si>
  <si>
    <t>SGH103YCNN</t>
  </si>
  <si>
    <t>10.207.156.79</t>
  </si>
  <si>
    <t>app-10.205.36.97</t>
  </si>
  <si>
    <t>10.207.156.80</t>
  </si>
  <si>
    <t>app-10.205.36.98</t>
  </si>
  <si>
    <t>10.207.156.81</t>
  </si>
  <si>
    <t>app-10.205.36.99</t>
  </si>
  <si>
    <t>10.207.156.86</t>
  </si>
  <si>
    <t>app-10.205.36.104</t>
  </si>
  <si>
    <t>10.207.156.87</t>
  </si>
  <si>
    <t>app-10.205.36.105</t>
  </si>
  <si>
    <t>SGH103YCNG</t>
  </si>
  <si>
    <t>10.207.156.95</t>
  </si>
  <si>
    <t>app-10.205.36.113</t>
  </si>
  <si>
    <t>SGH143TSR8</t>
  </si>
  <si>
    <t>10.207.156.96</t>
  </si>
  <si>
    <t>app-10.205.36.114</t>
  </si>
  <si>
    <t>G9RR643</t>
  </si>
  <si>
    <t>10.207.58.24</t>
  </si>
  <si>
    <t>Invoice cluster-10.207.58.24</t>
  </si>
  <si>
    <t>CentOS Linux release 7.7 kernel 3.10.0-1062.12.1.el7.x86</t>
  </si>
  <si>
    <t>7RGS643</t>
  </si>
  <si>
    <t>T7.2-E11</t>
  </si>
  <si>
    <t>10.207.58.25</t>
  </si>
  <si>
    <t>Invoice cluster-10.207.58.25</t>
  </si>
  <si>
    <t>5JQR643</t>
  </si>
  <si>
    <t>T7.2-E07</t>
  </si>
  <si>
    <t>10.207.58.26</t>
  </si>
  <si>
    <t>Invoice cluster-10.207.58.26</t>
  </si>
  <si>
    <t>CPQR643</t>
  </si>
  <si>
    <t>10.207.58.27</t>
  </si>
  <si>
    <t>Invoice cluster-10.207.58.27</t>
  </si>
  <si>
    <t>BGQR643</t>
  </si>
  <si>
    <t>10.207.58.28</t>
  </si>
  <si>
    <t>Invoice cluster-10.207.58.28</t>
  </si>
  <si>
    <t>8PQR643</t>
  </si>
  <si>
    <t>10.207.58.29</t>
  </si>
  <si>
    <t>Invoice cluster-10.207.58.29</t>
  </si>
  <si>
    <t>JDQR643</t>
  </si>
  <si>
    <t>T7.2-E08</t>
  </si>
  <si>
    <t>10.207.58.30</t>
  </si>
  <si>
    <t>Invoice cluster-10.207.58.30</t>
  </si>
  <si>
    <t>6TQR643</t>
  </si>
  <si>
    <t>T7.2-E10</t>
  </si>
  <si>
    <t>10.207.58.31</t>
  </si>
  <si>
    <t>Invoice cluster-10.207.58.31</t>
  </si>
  <si>
    <t>CKQR643</t>
  </si>
  <si>
    <t>10.207.58.32</t>
  </si>
  <si>
    <t>Invoice cluster-10.207.58.32</t>
  </si>
  <si>
    <t>H9RR643</t>
  </si>
  <si>
    <t>10.207.58.33</t>
  </si>
  <si>
    <t>Invoice cluster-10.207.58.33</t>
  </si>
  <si>
    <t>FQQR643</t>
  </si>
  <si>
    <t>T7.2-E12</t>
  </si>
  <si>
    <t>10.207.58.34</t>
  </si>
  <si>
    <t>Invoice cluster-10.207.58.34</t>
  </si>
  <si>
    <t>9NGS643</t>
  </si>
  <si>
    <t>T7.2-E13</t>
  </si>
  <si>
    <t>10.207.58.35</t>
  </si>
  <si>
    <t>Invoice cluster-10.207.58.35</t>
  </si>
  <si>
    <t>6NGS643</t>
  </si>
  <si>
    <t>10.207.58.45</t>
  </si>
  <si>
    <t>Kafka, redis-10.207.58.45</t>
  </si>
  <si>
    <t>10.207.58.46</t>
  </si>
  <si>
    <t>Kafka, redis-10.207.58.46</t>
  </si>
  <si>
    <t>10.207.58.47</t>
  </si>
  <si>
    <t>Kafka, redis-10.207.58.47</t>
  </si>
  <si>
    <t>10.207.58.50</t>
  </si>
  <si>
    <t>Web invoice-10.207.58.50</t>
  </si>
  <si>
    <t>J9RR643</t>
  </si>
  <si>
    <t>10.207.58.51</t>
  </si>
  <si>
    <t>Web invoice-10.207.58.51</t>
  </si>
  <si>
    <t>257XB33</t>
  </si>
  <si>
    <t>10.207.58.52</t>
  </si>
  <si>
    <t>Web invoice-10.207.58.52</t>
  </si>
  <si>
    <t>79QR643</t>
  </si>
  <si>
    <t>10.207.58.53</t>
  </si>
  <si>
    <t>Web invoice-10.207.58.53</t>
  </si>
  <si>
    <t>99QR643</t>
  </si>
  <si>
    <t>10.207.58.55</t>
  </si>
  <si>
    <t>Web invoice-10.207.58.55</t>
  </si>
  <si>
    <t>947XB33</t>
  </si>
  <si>
    <t>10.207.58.56</t>
  </si>
  <si>
    <t>Tenant service-10.207.58.56</t>
  </si>
  <si>
    <t>GBQR643</t>
  </si>
  <si>
    <t>10.207.58.57</t>
  </si>
  <si>
    <t>Gateway-10.207.58.57</t>
  </si>
  <si>
    <t>657XB33</t>
  </si>
  <si>
    <t>10.207.58.58</t>
  </si>
  <si>
    <t>Registry-10.207.58.58</t>
  </si>
  <si>
    <t>F1RR643</t>
  </si>
  <si>
    <t>T7.2-C06</t>
  </si>
  <si>
    <t>10.207.59.116</t>
  </si>
  <si>
    <t>Invoice cluster-10.207.59.116</t>
  </si>
  <si>
    <t>C47XB33</t>
  </si>
  <si>
    <t>10.207.59.117</t>
  </si>
  <si>
    <t>Invoice cluster-10.207.59.117</t>
  </si>
  <si>
    <t>10.207.59.118</t>
  </si>
  <si>
    <t>Invoice cluster-10.207.59.118</t>
  </si>
  <si>
    <t>4JQR643</t>
  </si>
  <si>
    <t>10.207.59.119</t>
  </si>
  <si>
    <t>Invoice cluster-10.207.59.119</t>
  </si>
  <si>
    <t>63RR643</t>
  </si>
  <si>
    <t>10.207.59.120</t>
  </si>
  <si>
    <t>Invoice cluster-10.207.59.120</t>
  </si>
  <si>
    <t>J17XB33</t>
  </si>
  <si>
    <t>10.207.59.121</t>
  </si>
  <si>
    <t>Invoice cluster-10.207.59.121</t>
  </si>
  <si>
    <t>89QR643</t>
  </si>
  <si>
    <t>10.207.59.122</t>
  </si>
  <si>
    <t>Invoice cluster-10.207.59.122</t>
  </si>
  <si>
    <t>JQQR643</t>
  </si>
  <si>
    <t>10.207.59.123</t>
  </si>
  <si>
    <t>Invoice cluster-10.207.59.123</t>
  </si>
  <si>
    <t>857XB33</t>
  </si>
  <si>
    <t>10.207.59.124</t>
  </si>
  <si>
    <t>Invoice cluster-10.207.59.124</t>
  </si>
  <si>
    <t>10.207.59.125</t>
  </si>
  <si>
    <t>Invoice cluster-10.207.59.125</t>
  </si>
  <si>
    <t>10.207.59.126</t>
  </si>
  <si>
    <t>Invoice cluster-10.207.59.126</t>
  </si>
  <si>
    <t>GCQR643</t>
  </si>
  <si>
    <t>10.207.59.127</t>
  </si>
  <si>
    <t>Invoice cluster-10.207.59.127</t>
  </si>
  <si>
    <t>F57XB33</t>
  </si>
  <si>
    <t>10.207.59.134</t>
  </si>
  <si>
    <t>Kafka, redis-10.207.59.134</t>
  </si>
  <si>
    <t>10.207.59.135</t>
  </si>
  <si>
    <t>Kafka, redis-10.207.59.135</t>
  </si>
  <si>
    <t>10.207.59.136</t>
  </si>
  <si>
    <t>Kafka, redis-10.207.59.136</t>
  </si>
  <si>
    <t>10.207.59.140</t>
  </si>
  <si>
    <t>Web invoice-10.207.59.140</t>
  </si>
  <si>
    <t>8CQR643</t>
  </si>
  <si>
    <t>10.207.59.141</t>
  </si>
  <si>
    <t>Web invoice-10.207.59.141</t>
  </si>
  <si>
    <t>D1RR643</t>
  </si>
  <si>
    <t>10.207.59.142</t>
  </si>
  <si>
    <t>Web invoice-10.207.59.142</t>
  </si>
  <si>
    <t>4MQR643</t>
  </si>
  <si>
    <t>10.207.59.143</t>
  </si>
  <si>
    <t>Web invoice-10.207.59.143</t>
  </si>
  <si>
    <t>F47XB33</t>
  </si>
  <si>
    <t>10.207.59.144</t>
  </si>
  <si>
    <t>Web invoice-10.207.59.144</t>
  </si>
  <si>
    <t>HQQR643</t>
  </si>
  <si>
    <t>10.207.59.145</t>
  </si>
  <si>
    <t>Web invoice-10.207.59.145</t>
  </si>
  <si>
    <t>10.207.59.146</t>
  </si>
  <si>
    <t>Web invoice-10.207.59.146</t>
  </si>
  <si>
    <t>GQQR643</t>
  </si>
  <si>
    <t>10.207.59.147</t>
  </si>
  <si>
    <t>Web invoice-10.207.59.147</t>
  </si>
  <si>
    <t>HCQR643</t>
  </si>
  <si>
    <t>10.207.62.94</t>
  </si>
  <si>
    <t>DBInvoice3-10.207.62.94</t>
  </si>
  <si>
    <t>SGH143TSQJ</t>
  </si>
  <si>
    <t>10.207.62.95</t>
  </si>
  <si>
    <t>DBInvoice3-10.207.62.95</t>
  </si>
  <si>
    <t>2BRR643</t>
  </si>
  <si>
    <t>10.207.62.98</t>
  </si>
  <si>
    <t>DBInvoice3-10.207.62.98</t>
  </si>
  <si>
    <t>SGH143TST2</t>
  </si>
  <si>
    <t>10.255.63.103</t>
  </si>
  <si>
    <t>MAAG001406</t>
  </si>
  <si>
    <t>10.255.63.104</t>
  </si>
  <si>
    <t>10.255.63.105</t>
  </si>
  <si>
    <t>MAMC005288</t>
  </si>
  <si>
    <t>10.255.63.73</t>
  </si>
  <si>
    <t>MAMC005307</t>
  </si>
  <si>
    <t>10.255.63.74</t>
  </si>
  <si>
    <t>MAAG001414</t>
  </si>
  <si>
    <t>10.255.63.77</t>
  </si>
  <si>
    <t>10.255.63.78</t>
  </si>
  <si>
    <t>MALU006568</t>
  </si>
  <si>
    <t>10.255.63.94</t>
  </si>
  <si>
    <t>10.255.63.95</t>
  </si>
  <si>
    <t>10.255.63.96</t>
  </si>
  <si>
    <t>10.255.63.109</t>
  </si>
  <si>
    <t>10.255.63.110</t>
  </si>
  <si>
    <t>MALU006565</t>
  </si>
  <si>
    <t>10.255.63.111</t>
  </si>
  <si>
    <t>MAAG001408</t>
  </si>
  <si>
    <t>10.207.156.158</t>
  </si>
  <si>
    <t>app-10.205.36.176</t>
  </si>
  <si>
    <t>SGH143TSTL</t>
  </si>
  <si>
    <t>10.207.156.159</t>
  </si>
  <si>
    <t>app-10.205.36.177</t>
  </si>
  <si>
    <t>SGH103S1GN</t>
  </si>
  <si>
    <t>10.207.156.169</t>
  </si>
  <si>
    <t>app-10.205.36.187</t>
  </si>
  <si>
    <t>10.207.156.126</t>
  </si>
  <si>
    <t>app-10.205.36.144</t>
  </si>
  <si>
    <t>10.207.156.127</t>
  </si>
  <si>
    <t>app-10.205.36.145</t>
  </si>
  <si>
    <t>10.207.156.128</t>
  </si>
  <si>
    <t>app-10.205.36.146</t>
  </si>
  <si>
    <t>10.207.156.129</t>
  </si>
  <si>
    <t>app-10.205.36.147</t>
  </si>
  <si>
    <t>SGH103YCNX</t>
  </si>
  <si>
    <t>10.207.156.130</t>
  </si>
  <si>
    <t>app-10.205.36.148</t>
  </si>
  <si>
    <t>10.207.156.131</t>
  </si>
  <si>
    <t>app-10.205.36.149</t>
  </si>
  <si>
    <t>SGH143TSS9</t>
  </si>
  <si>
    <t>10.207.156.132</t>
  </si>
  <si>
    <t>app-10.205.36.150</t>
  </si>
  <si>
    <t>SGH103YCN8</t>
  </si>
  <si>
    <t>10.207.156.133</t>
  </si>
  <si>
    <t>app-10.205.36.151</t>
  </si>
  <si>
    <t>10.207.58.36</t>
  </si>
  <si>
    <t>Kafka, redis-10.207.58.36</t>
  </si>
  <si>
    <t>10.207.58.37</t>
  </si>
  <si>
    <t>Kafka, redis-10.207.58.37</t>
  </si>
  <si>
    <t>10.207.58.38</t>
  </si>
  <si>
    <t>Kafka, redis-10.207.58.38</t>
  </si>
  <si>
    <t>10.207.58.39</t>
  </si>
  <si>
    <t>Kafka, redis-10.207.58.39</t>
  </si>
  <si>
    <t>10.207.58.40</t>
  </si>
  <si>
    <t>Kafka, redis-10.207.58.40</t>
  </si>
  <si>
    <t>10.207.58.41</t>
  </si>
  <si>
    <t>Kafka, redis-10.207.58.41</t>
  </si>
  <si>
    <t>10.207.58.42</t>
  </si>
  <si>
    <t>Kafka, redis-10.207.58.42</t>
  </si>
  <si>
    <t>10.207.58.43</t>
  </si>
  <si>
    <t>Kafka, redis-10.207.58.43</t>
  </si>
  <si>
    <t>10.207.58.44</t>
  </si>
  <si>
    <t>Kafka, redis-10.207.58.44</t>
  </si>
  <si>
    <t>10.207.59.128</t>
  </si>
  <si>
    <t>Kafka, redis-10.207.59.128</t>
  </si>
  <si>
    <t>10.207.59.129</t>
  </si>
  <si>
    <t>Kafka, redis-10.207.59.129</t>
  </si>
  <si>
    <t>10.207.59.130</t>
  </si>
  <si>
    <t>Kafka, redis-10.207.59.130</t>
  </si>
  <si>
    <t>10.207.59.131</t>
  </si>
  <si>
    <t>Kafka, redis-10.207.59.131</t>
  </si>
  <si>
    <t>10.207.59.132</t>
  </si>
  <si>
    <t>Kafka, redis-10.207.59.132</t>
  </si>
  <si>
    <t>10.207.59.133</t>
  </si>
  <si>
    <t>Kafka, redis-10.207.59.133</t>
  </si>
  <si>
    <t>10.207.59.137</t>
  </si>
  <si>
    <t>Kafka, redis-10.207.59.137</t>
  </si>
  <si>
    <t>10.207.59.138</t>
  </si>
  <si>
    <t>Kafka, redis-10.207.59.138</t>
  </si>
  <si>
    <t>10.207.59.139</t>
  </si>
  <si>
    <t>Kafka, redis-10.207.59.139</t>
  </si>
  <si>
    <t>10.207.156.114</t>
  </si>
  <si>
    <t>app-10.205.36.132</t>
  </si>
  <si>
    <t>10.207.156.115</t>
  </si>
  <si>
    <t>app-10.205.36.133</t>
  </si>
  <si>
    <t>10.207.156.116</t>
  </si>
  <si>
    <t>app-10.205.36.134</t>
  </si>
  <si>
    <t>10.207.156.117</t>
  </si>
  <si>
    <t>app-10.205.36.135</t>
  </si>
  <si>
    <t>10.207.156.105</t>
  </si>
  <si>
    <t>DB Invoice-10.205.36.123</t>
  </si>
  <si>
    <t>10.207.156.106</t>
  </si>
  <si>
    <t>DB Invoice-10.205.36.124</t>
  </si>
  <si>
    <t>10.207.156.113</t>
  </si>
  <si>
    <t>DB Invoice-10.205.36.131</t>
  </si>
  <si>
    <t>10.207.156.107</t>
  </si>
  <si>
    <t>DB Invoice-10.205.36.125</t>
  </si>
  <si>
    <t>10.207.156.108</t>
  </si>
  <si>
    <t>DB Invoice-10.205.36.126</t>
  </si>
  <si>
    <t>10.207.156.112</t>
  </si>
  <si>
    <t>DB Invoice-10.205.36.130</t>
  </si>
  <si>
    <t>10.254.157.190</t>
  </si>
  <si>
    <t>DB Invoice_10.254.157.190</t>
  </si>
  <si>
    <t>10.254.157.191</t>
  </si>
  <si>
    <t>DB Invoice_10.254.157.191</t>
  </si>
  <si>
    <t>10.207.156.103</t>
  </si>
  <si>
    <t>DB Invoice-10.205.36.121</t>
  </si>
  <si>
    <t>10.254.157.192</t>
  </si>
  <si>
    <t>DB Invoice_10.254.157.192</t>
  </si>
  <si>
    <t>SGH143TSH8</t>
  </si>
  <si>
    <t>10.254.157.193</t>
  </si>
  <si>
    <t>DB Invoice_10.254.157.193</t>
  </si>
  <si>
    <t>10.207.156.111</t>
  </si>
  <si>
    <t>DB Invoice-10.205.36.129</t>
  </si>
  <si>
    <t>10.254.157.194</t>
  </si>
  <si>
    <t>DB Invoice_10.254.157.194</t>
  </si>
  <si>
    <t>10.254.157.195</t>
  </si>
  <si>
    <t>DB Invoice_10.254.157.195</t>
  </si>
  <si>
    <t>10.207.156.104</t>
  </si>
  <si>
    <t>DB Invoice-10.205.36.122</t>
  </si>
  <si>
    <t>10.254.158.97</t>
  </si>
  <si>
    <t>DB Invoice-10.254.158.97</t>
  </si>
  <si>
    <t>10.254.158.98</t>
  </si>
  <si>
    <t>DB Invoice-10.254.158.98</t>
  </si>
  <si>
    <t>10.207.156.110</t>
  </si>
  <si>
    <t>DB Invoice-10.205.36.128</t>
  </si>
  <si>
    <t>10.207.156.102</t>
  </si>
  <si>
    <t>DB Invoice-10.205.36.120</t>
  </si>
  <si>
    <t>32RR643</t>
  </si>
  <si>
    <t>10.254.158.101</t>
  </si>
  <si>
    <t>DB Invoice-10.254.158.101</t>
  </si>
  <si>
    <t>SGH143TSMM</t>
  </si>
  <si>
    <t xml:space="preserve">10.254.158.100 </t>
  </si>
  <si>
    <t>DB Invoice-10.254.158.100</t>
  </si>
  <si>
    <t>10.254.158.106</t>
  </si>
  <si>
    <t>DB Invoice-10.254.158.106</t>
  </si>
  <si>
    <t>10.254.158.107</t>
  </si>
  <si>
    <t>DB Invoice-10.254.158.107</t>
  </si>
  <si>
    <t>10.207.156.109</t>
  </si>
  <si>
    <t>DB Invoice-10.205.36.127</t>
  </si>
  <si>
    <t>10.207.156.99</t>
  </si>
  <si>
    <t>DB Invoice-10.205.36.117</t>
  </si>
  <si>
    <t>10.207.156.100</t>
  </si>
  <si>
    <t>DB Invoice-10.205.36.118</t>
  </si>
  <si>
    <t>10.207.156.101</t>
  </si>
  <si>
    <t>DB Invoice-10.205.36.119</t>
  </si>
  <si>
    <t>10.254.158.139</t>
  </si>
  <si>
    <t>DB-10.205.33.245</t>
  </si>
  <si>
    <t>10.254.158.140</t>
  </si>
  <si>
    <t>DB-10.205.33.246</t>
  </si>
  <si>
    <t>10.254.158.141</t>
  </si>
  <si>
    <t>DB-10.205.33.247</t>
  </si>
  <si>
    <t>Mbcss</t>
  </si>
  <si>
    <t>10.60.96.14</t>
  </si>
  <si>
    <t>Mobile</t>
  </si>
  <si>
    <t>SV_10.60.96.14-host14-OS</t>
  </si>
  <si>
    <t>Oracle Linux Server release 6.6 kernel 3.8.13-44.1.1.el6uek.x86_64</t>
  </si>
  <si>
    <t>SGH551XYCE</t>
  </si>
  <si>
    <t>10.60.96.15</t>
  </si>
  <si>
    <t>SV_10.60.96.15-host15-OS</t>
  </si>
  <si>
    <t>CentOS Linux release 7.3 kernel 3.10.0-514.el7.x86_64</t>
  </si>
  <si>
    <t>SGH551XYFK</t>
  </si>
  <si>
    <t>10.60.96.17</t>
  </si>
  <si>
    <t>SV_10.60.96.17-host17-OS</t>
  </si>
  <si>
    <t>SGH551XTD5</t>
  </si>
  <si>
    <t>10.30.131.80</t>
  </si>
  <si>
    <t>SV_10.30.131.80-mBCCS-APP01-OS</t>
  </si>
  <si>
    <t>SGH522VMWF</t>
  </si>
  <si>
    <t>T3GVM</t>
  </si>
  <si>
    <t>GVM9103_RACK07 (VTGM3.02)</t>
  </si>
  <si>
    <t>10.30.131.81</t>
  </si>
  <si>
    <t>SV_10.30.131.81-mBCCS-APP02-OS</t>
  </si>
  <si>
    <t>SGH522VMWM</t>
  </si>
  <si>
    <t>10.30.147.66</t>
  </si>
  <si>
    <t>SV_10.30.147.66-mBCCSApp02-OS</t>
  </si>
  <si>
    <t>SGH705XCHS</t>
  </si>
  <si>
    <t>GVM9103_RACK28 (MBCCS)</t>
  </si>
  <si>
    <t>10.30.147.68</t>
  </si>
  <si>
    <t>SV_10.30.147.68-mBCCSAPP03-OS</t>
  </si>
  <si>
    <t>SGH705XCJ2</t>
  </si>
  <si>
    <t>10.30.147.70</t>
  </si>
  <si>
    <t>SV_10.30.147.70-mBCCSApp01-OS</t>
  </si>
  <si>
    <t>SGH705XCJV</t>
  </si>
  <si>
    <t>10.207.161.37</t>
  </si>
  <si>
    <t>App-10.207.161.37</t>
  </si>
  <si>
    <t>SGH143TSMW</t>
  </si>
  <si>
    <t>10.207.161.38</t>
  </si>
  <si>
    <t>App-10.207.161.38</t>
  </si>
  <si>
    <t>SGH143TSSF</t>
  </si>
  <si>
    <t>10.207.161.39</t>
  </si>
  <si>
    <t>App-10.207.161.39</t>
  </si>
  <si>
    <t>10.207.161.40</t>
  </si>
  <si>
    <t>App-10.207.161.40</t>
  </si>
  <si>
    <t>7QQR643</t>
  </si>
  <si>
    <t>10.207.161.41</t>
  </si>
  <si>
    <t>App-10.207.161.41</t>
  </si>
  <si>
    <t>MAAG002345</t>
  </si>
  <si>
    <t>10.207.161.42</t>
  </si>
  <si>
    <t>App-10.207.161.42</t>
  </si>
  <si>
    <t>10.207.161.43</t>
  </si>
  <si>
    <t>App-10.207.161.43</t>
  </si>
  <si>
    <t>10.207.161.44</t>
  </si>
  <si>
    <t>App-10.207.161.44</t>
  </si>
  <si>
    <t>10.207.161.51</t>
  </si>
  <si>
    <t>App-10.207.161.51</t>
  </si>
  <si>
    <t>10.207.161.52</t>
  </si>
  <si>
    <t>App-10.207.161.52</t>
  </si>
  <si>
    <t>10.207.161.53</t>
  </si>
  <si>
    <t>App-10.207.161.53</t>
  </si>
  <si>
    <t>10.207.161.54</t>
  </si>
  <si>
    <t>App-10.207.161.54</t>
  </si>
  <si>
    <t>9RGS643</t>
  </si>
  <si>
    <t>10.207.161.55</t>
  </si>
  <si>
    <t>App-10.207.161.55</t>
  </si>
  <si>
    <t>10.207.161.56</t>
  </si>
  <si>
    <t>App-10.207.161.56</t>
  </si>
  <si>
    <t>10.207.161.57</t>
  </si>
  <si>
    <t>App-10.207.161.57</t>
  </si>
  <si>
    <t>MAAG002446</t>
  </si>
  <si>
    <t>10.207.161.58</t>
  </si>
  <si>
    <t>App-10.207.161.58</t>
  </si>
  <si>
    <t>10.60.135.192</t>
  </si>
  <si>
    <t>SGH931T2HP</t>
  </si>
  <si>
    <t>10.60.135.193</t>
  </si>
  <si>
    <t>10.60.135.194</t>
  </si>
  <si>
    <t>SGH645T9A9</t>
  </si>
  <si>
    <t>10.60.7.240</t>
  </si>
  <si>
    <t>93,25</t>
  </si>
  <si>
    <t>SV_10.60.7.240-NMS-APP06-OS</t>
  </si>
  <si>
    <t>10.60.7.35</t>
  </si>
  <si>
    <t>SV_10.60.7.35-NMS-APP08-OS</t>
  </si>
  <si>
    <t>10.207.161.1</t>
  </si>
  <si>
    <t>App-10.207.161.1</t>
  </si>
  <si>
    <t>10.207.161.2</t>
  </si>
  <si>
    <t>App-10.207.161.2</t>
  </si>
  <si>
    <t>SGH143TSHS</t>
  </si>
  <si>
    <t>10.207.161.3</t>
  </si>
  <si>
    <t>App-10.207.161.3</t>
  </si>
  <si>
    <t>10.207.161.4</t>
  </si>
  <si>
    <t>App-10.207.161.4</t>
  </si>
  <si>
    <t>10.207.161.5</t>
  </si>
  <si>
    <t>App-10.207.161.5</t>
  </si>
  <si>
    <t>10.207.161.6</t>
  </si>
  <si>
    <t>App-10.207.161.6</t>
  </si>
  <si>
    <t>10.207.161.7</t>
  </si>
  <si>
    <t>App-10.207.161.7</t>
  </si>
  <si>
    <t>10.207.161.8</t>
  </si>
  <si>
    <t>App-10.207.161.8</t>
  </si>
  <si>
    <t>10.207.161.9</t>
  </si>
  <si>
    <t>App-10.207.161.9</t>
  </si>
  <si>
    <t>10.207.161.10</t>
  </si>
  <si>
    <t>App-10.207.161.10</t>
  </si>
  <si>
    <t>10.207.161.11</t>
  </si>
  <si>
    <t>App-10.207.161.11</t>
  </si>
  <si>
    <t>MAAG002443</t>
  </si>
  <si>
    <t>10.207.161.12</t>
  </si>
  <si>
    <t>App-10.207.161.12</t>
  </si>
  <si>
    <t>MAAG002512</t>
  </si>
  <si>
    <t>10.240.184.88</t>
  </si>
  <si>
    <t>10.240.184.89</t>
  </si>
  <si>
    <t>10.60.130.43</t>
  </si>
  <si>
    <t>SV_10.60.130.43-localhost.localdomain-OS</t>
  </si>
  <si>
    <t>CentOS Linux release 7.4 kernel 3.10.0-862.el7.x86_64</t>
  </si>
  <si>
    <t>SGH810XAHV</t>
  </si>
  <si>
    <t>T6.1-L06</t>
  </si>
  <si>
    <t>10.60.130.44</t>
  </si>
  <si>
    <t>CentOS Linux release 7.4 kernel 3.10.0-693.el7.x86_64</t>
  </si>
  <si>
    <t>MALU006573</t>
  </si>
  <si>
    <t>10.254.137.103</t>
  </si>
  <si>
    <t>ndha_id_01</t>
  </si>
  <si>
    <t>10.254.137.104</t>
  </si>
  <si>
    <t>ndha_id_02</t>
  </si>
  <si>
    <t>10.254.137.105</t>
  </si>
  <si>
    <t>ndha_id_03</t>
  </si>
  <si>
    <t>10.254.137.106</t>
  </si>
  <si>
    <t>ndha_id_04</t>
  </si>
  <si>
    <t>10.254.137.107</t>
  </si>
  <si>
    <t>ndha_id_05</t>
  </si>
  <si>
    <t>10.254.137.108</t>
  </si>
  <si>
    <t>ndha_id_06</t>
  </si>
  <si>
    <t>10.254.137.109</t>
  </si>
  <si>
    <t>ndha_id_07</t>
  </si>
  <si>
    <t>10.254.137.110</t>
  </si>
  <si>
    <t>ndha_id_08</t>
  </si>
  <si>
    <t>10.254.137.111</t>
  </si>
  <si>
    <t>ndha_id_09</t>
  </si>
  <si>
    <t>10.254.137.112</t>
  </si>
  <si>
    <t>ndha_id_10</t>
  </si>
  <si>
    <t>10.254.137.113</t>
  </si>
  <si>
    <t>ndha_id_11</t>
  </si>
  <si>
    <t>Sale AI Assistant</t>
  </si>
  <si>
    <t>10.254.137.154</t>
  </si>
  <si>
    <t>App-10.205.32.62</t>
  </si>
  <si>
    <t>VTT_TTCNTT_BUSPCCM</t>
  </si>
  <si>
    <t>10.254.137.155</t>
  </si>
  <si>
    <t>App-10.205.32.63</t>
  </si>
  <si>
    <t>10.254.137.156</t>
  </si>
  <si>
    <t>App-10.205.32.64</t>
  </si>
  <si>
    <t>10.254.137.157</t>
  </si>
  <si>
    <t>App-10.205.32.65</t>
  </si>
  <si>
    <t>10.254.137.158</t>
  </si>
  <si>
    <t>App-10.205.32.66</t>
  </si>
  <si>
    <t>MAAG002338</t>
  </si>
  <si>
    <t>10.254.137.159</t>
  </si>
  <si>
    <t>App-10.205.32.67</t>
  </si>
  <si>
    <t>10.254.137.160</t>
  </si>
  <si>
    <t>App-10.205.32.68</t>
  </si>
  <si>
    <t>10.254.137.161</t>
  </si>
  <si>
    <t>App-10.205.32.69</t>
  </si>
  <si>
    <t>10.254.137.162</t>
  </si>
  <si>
    <t>App-10.205.32.70</t>
  </si>
  <si>
    <t>Mybox</t>
  </si>
  <si>
    <t>10.207.189.186</t>
  </si>
  <si>
    <t>ERP</t>
  </si>
  <si>
    <t>App-10.207.189.186</t>
  </si>
  <si>
    <t>10.207.189.187</t>
  </si>
  <si>
    <t>App-10.207.189.187</t>
  </si>
  <si>
    <t>10.207.189.188</t>
  </si>
  <si>
    <t>App-10.207.189.188</t>
  </si>
  <si>
    <t>SGH133VSDD</t>
  </si>
  <si>
    <t>10.207.189.189</t>
  </si>
  <si>
    <t>App-10.207.189.189</t>
  </si>
  <si>
    <t>SGH213S4QZ</t>
  </si>
  <si>
    <t>10.207.189.190</t>
  </si>
  <si>
    <t>App-10.207.189.190</t>
  </si>
  <si>
    <t>SGH133VS5T</t>
  </si>
  <si>
    <t>10.207.189.191</t>
  </si>
  <si>
    <t>App-10.207.189.191</t>
  </si>
  <si>
    <t>SGH133VSD2</t>
  </si>
  <si>
    <t>10.207.189.192</t>
  </si>
  <si>
    <t>App-10.207.189.192</t>
  </si>
  <si>
    <t>SGH133VSDL</t>
  </si>
  <si>
    <t>10.207.189.193</t>
  </si>
  <si>
    <t>App-10.207.189.193</t>
  </si>
  <si>
    <t>SGH133VSDS</t>
  </si>
  <si>
    <t>10.207.189.194</t>
  </si>
  <si>
    <t>App-10.207.189.194</t>
  </si>
  <si>
    <t>10.207.189.195</t>
  </si>
  <si>
    <t>App-10.207.189.195</t>
  </si>
  <si>
    <t>10.207.191.75</t>
  </si>
  <si>
    <t>DB-10.207.191.75</t>
  </si>
  <si>
    <t>SGH133VS5K</t>
  </si>
  <si>
    <t>10.207.191.76</t>
  </si>
  <si>
    <t>DB-10.207.191.76</t>
  </si>
  <si>
    <t>10.207.191.77</t>
  </si>
  <si>
    <t>DB-10.207.191.77</t>
  </si>
  <si>
    <t>SGH133VS5R</t>
  </si>
  <si>
    <t>10.207.191.78</t>
  </si>
  <si>
    <t>DB-10.207.191.78</t>
  </si>
  <si>
    <t>SGH133VMHH</t>
  </si>
  <si>
    <t>D11</t>
  </si>
  <si>
    <t>10.207.191.79</t>
  </si>
  <si>
    <t>DB-10.207.191.79</t>
  </si>
  <si>
    <t>SGH133VS55</t>
  </si>
  <si>
    <t>10.207.191.80</t>
  </si>
  <si>
    <t>DB-10.207.191.80</t>
  </si>
  <si>
    <t>VESS</t>
  </si>
  <si>
    <t>10.210.103.12</t>
  </si>
  <si>
    <t>vess01-VESS_APP-10.210.103.12/24</t>
  </si>
  <si>
    <t>SGH133VSDB</t>
  </si>
  <si>
    <t>10.210.103.13</t>
  </si>
  <si>
    <t>vess02-VESS_APP-10.210.103.13/24</t>
  </si>
  <si>
    <t>SGH133VS5M</t>
  </si>
  <si>
    <t>10.210.103.14</t>
  </si>
  <si>
    <t>vess03-VESS_APP-10.210.103.14/24</t>
  </si>
  <si>
    <t>SGH133VMHK</t>
  </si>
  <si>
    <t>10.210.103.15</t>
  </si>
  <si>
    <t>vess04-VESS_APP-10.210.103.15/24</t>
  </si>
  <si>
    <t>10.210.103.16</t>
  </si>
  <si>
    <t>vess05-VESS_APP-10.210.103.16/24</t>
  </si>
  <si>
    <t>SGH133VMH5</t>
  </si>
  <si>
    <t>10.210.103.17</t>
  </si>
  <si>
    <t>vess09-VESS_LOG-10.210.103.17/24</t>
  </si>
  <si>
    <t>10.210.103.18</t>
  </si>
  <si>
    <t>vess10-VESS_BACKUP-10.210.103.18/24</t>
  </si>
  <si>
    <t>SGH133VSCR</t>
  </si>
  <si>
    <t>10.210.103.19</t>
  </si>
  <si>
    <t>vess11-VESS_HA-10.210.103.19/24</t>
  </si>
  <si>
    <t>10.210.103.20</t>
  </si>
  <si>
    <t>vess12-VESS_NGINX-10.210.103.20/24</t>
  </si>
  <si>
    <t>10.210.103.21</t>
  </si>
  <si>
    <t>vess13-VESS_NFS-10.210.103.21/24</t>
  </si>
  <si>
    <t>SGH133VSCW</t>
  </si>
  <si>
    <t>10.207.191.100</t>
  </si>
  <si>
    <t>vess06-VESS_DB-10.207.191.100/24</t>
  </si>
  <si>
    <t>10.207.191.101</t>
  </si>
  <si>
    <t>vess07-VESS_DB-10.207.191.101/24</t>
  </si>
  <si>
    <t>10.207.191.102</t>
  </si>
  <si>
    <t>vess08-VESS_DB-10.207.191.102/24</t>
  </si>
  <si>
    <t>MYVIETTEL</t>
  </si>
  <si>
    <t>10.205.34.149</t>
  </si>
  <si>
    <t>Ngoctv1</t>
  </si>
  <si>
    <t>HTKH</t>
  </si>
  <si>
    <t>WebPortal-10.205.34.149</t>
  </si>
  <si>
    <t>10.205.34.150</t>
  </si>
  <si>
    <t>WebPortal-10.205.34.150</t>
  </si>
  <si>
    <t>10.205.34.151</t>
  </si>
  <si>
    <t>WebPortal-10.205.34.151</t>
  </si>
  <si>
    <t>C9RR643</t>
  </si>
  <si>
    <t>10.205.34.152</t>
  </si>
  <si>
    <t>WebPortal-10.205.34.152</t>
  </si>
  <si>
    <t>SGH103S2Z6</t>
  </si>
  <si>
    <t>10.205.34.153</t>
  </si>
  <si>
    <t>MyViettel-10.205.34.153</t>
  </si>
  <si>
    <t>10.205.34.154</t>
  </si>
  <si>
    <t>MyViettel-10.205.34.154</t>
  </si>
  <si>
    <t>SGH103S2ZB</t>
  </si>
  <si>
    <t>10.205.34.155</t>
  </si>
  <si>
    <t>MyViettel-10.205.34.155</t>
  </si>
  <si>
    <t>10.205.34.156</t>
  </si>
  <si>
    <t>MyViettel-10.205.34.156</t>
  </si>
  <si>
    <t>SGH103S2X8</t>
  </si>
  <si>
    <t>10.207.58.100</t>
  </si>
  <si>
    <t>CentOS Linux release 7.9 kernel 3.10.0-1062.9.1.el7.x86_64_32153</t>
  </si>
  <si>
    <t>SGH103S147</t>
  </si>
  <si>
    <t>T7.2-B03</t>
  </si>
  <si>
    <t>10.207.58.101</t>
  </si>
  <si>
    <t>SGH103S14H</t>
  </si>
  <si>
    <t>10.207.58.102</t>
  </si>
  <si>
    <t>SGH103S14C</t>
  </si>
  <si>
    <t>T7.2-B04</t>
  </si>
  <si>
    <t>10.207.58.68</t>
  </si>
  <si>
    <t>Kafka-10.207.58.68</t>
  </si>
  <si>
    <t>6KQR643</t>
  </si>
  <si>
    <t>10.207.58.69</t>
  </si>
  <si>
    <t>Event-10.207.58.69</t>
  </si>
  <si>
    <t>10.207.58.70</t>
  </si>
  <si>
    <t>Event-10.207.58.70</t>
  </si>
  <si>
    <t>D47XB33</t>
  </si>
  <si>
    <t>10.207.58.71</t>
  </si>
  <si>
    <t>Event-10.207.58.71</t>
  </si>
  <si>
    <t>10.207.58.72</t>
  </si>
  <si>
    <t>Event-10.207.58.72</t>
  </si>
  <si>
    <t>7MQR643</t>
  </si>
  <si>
    <t>10.207.58.73</t>
  </si>
  <si>
    <t>Gateway-10.207.58.73</t>
  </si>
  <si>
    <t>10.207.58.74</t>
  </si>
  <si>
    <t>Gateway-10.207.58.74</t>
  </si>
  <si>
    <t>10.207.58.75</t>
  </si>
  <si>
    <t>Gateway-10.207.58.75</t>
  </si>
  <si>
    <t>10.207.58.76</t>
  </si>
  <si>
    <t>Gateway-10.207.58.76</t>
  </si>
  <si>
    <t>52RR643</t>
  </si>
  <si>
    <t>10.207.58.77</t>
  </si>
  <si>
    <t>Gateway-10.207.58.77</t>
  </si>
  <si>
    <t>10.207.58.78</t>
  </si>
  <si>
    <t>Gateway-10.207.58.78</t>
  </si>
  <si>
    <t>10.207.58.79</t>
  </si>
  <si>
    <t>Gateway-10.207.58.79</t>
  </si>
  <si>
    <t>10.207.58.80</t>
  </si>
  <si>
    <t>Gateway-10.207.58.80</t>
  </si>
  <si>
    <t>CQGS643</t>
  </si>
  <si>
    <t>10.207.58.81</t>
  </si>
  <si>
    <t>Gateway-10.207.58.81</t>
  </si>
  <si>
    <t>10.207.58.83</t>
  </si>
  <si>
    <t>Redis-10.207.58.83</t>
  </si>
  <si>
    <t>10.207.58.84</t>
  </si>
  <si>
    <t>Redis-10.207.58.84</t>
  </si>
  <si>
    <t>2GQR643</t>
  </si>
  <si>
    <t>10.207.58.85</t>
  </si>
  <si>
    <t>Redis-10.207.58.85</t>
  </si>
  <si>
    <t>7LQR643</t>
  </si>
  <si>
    <t>10.207.58.86</t>
  </si>
  <si>
    <t>API-10.207.58.86</t>
  </si>
  <si>
    <t>10.207.58.87</t>
  </si>
  <si>
    <t>API-10.207.58.87</t>
  </si>
  <si>
    <t>10.207.58.88</t>
  </si>
  <si>
    <t>API-10.207.58.88</t>
  </si>
  <si>
    <t>91RR643</t>
  </si>
  <si>
    <t>10.208.81.102</t>
  </si>
  <si>
    <t>App-10.208.81.102</t>
  </si>
  <si>
    <t>SGH143TT0D</t>
  </si>
  <si>
    <t>10.208.81.103</t>
  </si>
  <si>
    <t>App-10.208.81.103</t>
  </si>
  <si>
    <t>J20XZQ3</t>
  </si>
  <si>
    <t>10.208.81.104</t>
  </si>
  <si>
    <t>App-10.208.81.104</t>
  </si>
  <si>
    <t>SGH143TT0S</t>
  </si>
  <si>
    <t>10.208.81.105</t>
  </si>
  <si>
    <t>App-10.208.81.105</t>
  </si>
  <si>
    <t>10.208.81.106</t>
  </si>
  <si>
    <t>App-10.208.81.106</t>
  </si>
  <si>
    <t>SGH143TSZR</t>
  </si>
  <si>
    <t>10.208.81.107</t>
  </si>
  <si>
    <t>App-10.208.81.107</t>
  </si>
  <si>
    <t>1VZWZQ3</t>
  </si>
  <si>
    <t>10.208.81.108</t>
  </si>
  <si>
    <t>App-10.208.81.108</t>
  </si>
  <si>
    <t>SGH143TT15</t>
  </si>
  <si>
    <t>10.208.81.109</t>
  </si>
  <si>
    <t>App-10.208.81.109</t>
  </si>
  <si>
    <t>10.208.81.110</t>
  </si>
  <si>
    <t>App-10.208.81.110</t>
  </si>
  <si>
    <t>10.240.134.200</t>
  </si>
  <si>
    <t>SV_10.240.134.200-APP04-OS</t>
  </si>
  <si>
    <t>SGH711TJY9</t>
  </si>
  <si>
    <t>T5.1-C12</t>
  </si>
  <si>
    <t>10.240.134.201</t>
  </si>
  <si>
    <t>SV_10.240.134.201-APP05-OS</t>
  </si>
  <si>
    <t>CentOS Linux release 7.9 kernel 3.10.0-123.el7.x86_64</t>
  </si>
  <si>
    <t>SGH711TJYT</t>
  </si>
  <si>
    <t>10.240.134.202</t>
  </si>
  <si>
    <t>SV_10.240.134.202-LOG01-OS</t>
  </si>
  <si>
    <t>10.240.134.203</t>
  </si>
  <si>
    <t>SV_10.240.134.203-LOG02-OS</t>
  </si>
  <si>
    <t>10.240.134.204</t>
  </si>
  <si>
    <t>SV_10.240.134.204-LOG03-OS</t>
  </si>
  <si>
    <t>10.240.134.205</t>
  </si>
  <si>
    <t>SV_10.240.134.205-MEDIA03-OS</t>
  </si>
  <si>
    <t>89H8F13</t>
  </si>
  <si>
    <t>10.240.134.206</t>
  </si>
  <si>
    <t>SV_10.240.134.206-MEDIA04-OS</t>
  </si>
  <si>
    <t>10.240.134.233</t>
  </si>
  <si>
    <t>IIM_SERVER_60009653</t>
  </si>
  <si>
    <t>SGH916TJTV</t>
  </si>
  <si>
    <t>10.240.134.241</t>
  </si>
  <si>
    <t>app-10.240.134.241</t>
  </si>
  <si>
    <t>SGH012VWRH</t>
  </si>
  <si>
    <t>T6.2-C03</t>
  </si>
  <si>
    <t>10.240.134.242</t>
  </si>
  <si>
    <t>app-10.240.134.242</t>
  </si>
  <si>
    <t>SGH012VWRK</t>
  </si>
  <si>
    <t>10.240.134.243</t>
  </si>
  <si>
    <t>app-10.240.134.243</t>
  </si>
  <si>
    <t>SGH012VWRW</t>
  </si>
  <si>
    <t>10.240.134.244</t>
  </si>
  <si>
    <t>app-10.240.134.244</t>
  </si>
  <si>
    <t>SGH012VWRR</t>
  </si>
  <si>
    <t>10.240.134.245</t>
  </si>
  <si>
    <t>app-10.240.134.245</t>
  </si>
  <si>
    <t>10.240.134.246</t>
  </si>
  <si>
    <t>app-10.240.134.246</t>
  </si>
  <si>
    <t>SGH012VWRY</t>
  </si>
  <si>
    <t>10.240.134.247</t>
  </si>
  <si>
    <t>app-10.240.134.247</t>
  </si>
  <si>
    <t>10.240.134.248</t>
  </si>
  <si>
    <t>app-10.240.134.248</t>
  </si>
  <si>
    <t>SGH916TJTJ</t>
  </si>
  <si>
    <t>10.240.134.249</t>
  </si>
  <si>
    <t>app-10.240.134.249</t>
  </si>
  <si>
    <t>10.240.134.250</t>
  </si>
  <si>
    <t>app-10.240.134.250</t>
  </si>
  <si>
    <t>SGH916TJTQ</t>
  </si>
  <si>
    <t>T6.2-C04</t>
  </si>
  <si>
    <t>10.240.184.127</t>
  </si>
  <si>
    <t>SGH906SNWL</t>
  </si>
  <si>
    <t>10.240.184.128</t>
  </si>
  <si>
    <t>10.240.184.129</t>
  </si>
  <si>
    <t>10.240.184.130</t>
  </si>
  <si>
    <t>10.240.184.131</t>
  </si>
  <si>
    <t>JMJFBS2</t>
  </si>
  <si>
    <t>T6.2-C09</t>
  </si>
  <si>
    <t>10.240.184.132</t>
  </si>
  <si>
    <t>SGH851V1CN</t>
  </si>
  <si>
    <t>10.240.184.133</t>
  </si>
  <si>
    <t>SGH906SNW0</t>
  </si>
  <si>
    <t>10.240.184.134</t>
  </si>
  <si>
    <t>10.240.184.135</t>
  </si>
  <si>
    <t>HSYFBS2</t>
  </si>
  <si>
    <t>T6.2-C12</t>
  </si>
  <si>
    <t>10.240.184.136</t>
  </si>
  <si>
    <t>SGH906SNJL</t>
  </si>
  <si>
    <t>10.240.184.137</t>
  </si>
  <si>
    <t>10.240.184.138</t>
  </si>
  <si>
    <t>SGH906SNJZ</t>
  </si>
  <si>
    <t>10.240.184.139</t>
  </si>
  <si>
    <t>SGH906SNVH</t>
  </si>
  <si>
    <t>10.240.184.49</t>
  </si>
  <si>
    <t>10.240.184.50</t>
  </si>
  <si>
    <t>10.240.184.90</t>
  </si>
  <si>
    <t>10.240.184.91</t>
  </si>
  <si>
    <t>10.240.197.101</t>
  </si>
  <si>
    <t>APP-10.240.197.101</t>
  </si>
  <si>
    <t>annt268</t>
  </si>
  <si>
    <t>10.240.197.31</t>
  </si>
  <si>
    <t>10.254.147.23</t>
  </si>
  <si>
    <t>APP-10.254.147.23</t>
  </si>
  <si>
    <t>MAAG002337</t>
  </si>
  <si>
    <t>10.254.147.24</t>
  </si>
  <si>
    <t>APP-10.254.147.24</t>
  </si>
  <si>
    <t>MAAG002491</t>
  </si>
  <si>
    <t>10.254.147.25</t>
  </si>
  <si>
    <t>APP-10.254.147.25</t>
  </si>
  <si>
    <t>MAAG002494</t>
  </si>
  <si>
    <t>10.254.147.26</t>
  </si>
  <si>
    <t>APP-10.254.147.26</t>
  </si>
  <si>
    <t>MAAG002533</t>
  </si>
  <si>
    <t>10.254.147.27</t>
  </si>
  <si>
    <t>APP-10.254.147.27</t>
  </si>
  <si>
    <t>MAAG002447</t>
  </si>
  <si>
    <t>T6.2-H03</t>
  </si>
  <si>
    <t>10.254.147.28</t>
  </si>
  <si>
    <t>APP-10.254.147.28</t>
  </si>
  <si>
    <t>MAAG002472</t>
  </si>
  <si>
    <t>10.254.147.29</t>
  </si>
  <si>
    <t>APP-10.254.147.29</t>
  </si>
  <si>
    <t>MAAG002475</t>
  </si>
  <si>
    <t>10.254.147.41</t>
  </si>
  <si>
    <t>APP-10.254.147.41</t>
  </si>
  <si>
    <t>MAAG002375</t>
  </si>
  <si>
    <t>10.254.147.42</t>
  </si>
  <si>
    <t>APP-10.254.147.42</t>
  </si>
  <si>
    <t>MAAG002506</t>
  </si>
  <si>
    <t>10.254.147.43</t>
  </si>
  <si>
    <t>APP-10.254.147.43</t>
  </si>
  <si>
    <t>MAAG002500</t>
  </si>
  <si>
    <t>10.254.147.44</t>
  </si>
  <si>
    <t>APP-10.254.147.44</t>
  </si>
  <si>
    <t>MAAG002336</t>
  </si>
  <si>
    <t>10.60.102.164</t>
  </si>
  <si>
    <t>10.60.102.165</t>
  </si>
  <si>
    <t>10.60.102.166</t>
  </si>
  <si>
    <t>10.60.102.167</t>
  </si>
  <si>
    <t>10.60.102.168</t>
  </si>
  <si>
    <t>10.60.102.169</t>
  </si>
  <si>
    <t>10.60.102.170</t>
  </si>
  <si>
    <t>MALU008614</t>
  </si>
  <si>
    <t>10.60.102.171</t>
  </si>
  <si>
    <t>CentOS release 6.6 kernel 2.6.32-696.1.1.el6.x86_64</t>
  </si>
  <si>
    <t>10.60.102.172</t>
  </si>
  <si>
    <t>10.60.102.173</t>
  </si>
  <si>
    <t>CentOS Linux release 7.7 kernel 3.10.0-1160.25.1.el7.x86_64</t>
  </si>
  <si>
    <t>10.60.102.174</t>
  </si>
  <si>
    <t>10.60.102.175</t>
  </si>
  <si>
    <t>SV_10.60.102.175-localhost.localdomain-OS</t>
  </si>
  <si>
    <t>SGH551XYE0</t>
  </si>
  <si>
    <t>T5.1-B08</t>
  </si>
  <si>
    <t>10.60.102.176</t>
  </si>
  <si>
    <t>10.60.102.177</t>
  </si>
  <si>
    <t>10.60.102.178</t>
  </si>
  <si>
    <t>SV_10.60.102.178-localhost.localdomain-OS</t>
  </si>
  <si>
    <t>SGH551XTDB</t>
  </si>
  <si>
    <t>10.60.102.179</t>
  </si>
  <si>
    <t>SV_10.60.102.179-localhost.localdomain-OS</t>
  </si>
  <si>
    <t>SGH551XYF0</t>
  </si>
  <si>
    <t>10.60.102.180</t>
  </si>
  <si>
    <t>SV_10.60.102.180-localhost.localdomain-OS</t>
  </si>
  <si>
    <t>SGH551XYFE</t>
  </si>
  <si>
    <t>10.60.102.195</t>
  </si>
  <si>
    <t>SV_10.60.102.195-localhost.localdomain-OS</t>
  </si>
  <si>
    <t>SGH551XTCN</t>
  </si>
  <si>
    <t>10.60.102.198</t>
  </si>
  <si>
    <t>SV_10.60.102.198-localhost.localdomain-OS</t>
  </si>
  <si>
    <t>SGH551XTCF</t>
  </si>
  <si>
    <t>10.60.102.207</t>
  </si>
  <si>
    <t>SV_10.60.102.207-localhost.localdomain-OS</t>
  </si>
  <si>
    <t>10.60.102.221</t>
  </si>
  <si>
    <t>SV_10.60.102.221-localhost.localdomain-OS</t>
  </si>
  <si>
    <t>10.60.102.224</t>
  </si>
  <si>
    <t>SV_10.60.102.224-Process02-OS</t>
  </si>
  <si>
    <t>F4F0GL2</t>
  </si>
  <si>
    <t>T5.1-C02</t>
  </si>
  <si>
    <t>10.60.102.227</t>
  </si>
  <si>
    <t>SV_10.60.102.227-Process01-OS</t>
  </si>
  <si>
    <t>Red Hat Enterprise Linux Server release 7.4 kernel 3.10.0-693.el7.x86_64</t>
  </si>
  <si>
    <t>F4F1GL2</t>
  </si>
  <si>
    <t>10.60.102.229</t>
  </si>
  <si>
    <t>SV_10.60.102.229-Process03-OS</t>
  </si>
  <si>
    <t>F4D4GL2</t>
  </si>
  <si>
    <t>10.60.102.230</t>
  </si>
  <si>
    <t>SV_10.60.102.230-Process04-SV_10.60.102.230-Process04-OS</t>
  </si>
  <si>
    <t>F4DXFL2</t>
  </si>
  <si>
    <t>10.60.232.114</t>
  </si>
  <si>
    <t>API-10.60.232.114</t>
  </si>
  <si>
    <t>10.60.232.115</t>
  </si>
  <si>
    <t>API-10.60.232.115</t>
  </si>
  <si>
    <t>10.60.232.116</t>
  </si>
  <si>
    <t>Process-10.60.232.116</t>
  </si>
  <si>
    <t>10.60.232.117</t>
  </si>
  <si>
    <t>Process-10.60.232.117</t>
  </si>
  <si>
    <t>10.60.102.143</t>
  </si>
  <si>
    <t>SV_10.60.102.143-DB01-OS</t>
  </si>
  <si>
    <t>CentOS Linux release 7.2 kernel 3.10.0-514.16.1.el7.x86_64</t>
  </si>
  <si>
    <t>VTN_TTVHKTTC_HTCNTTVT</t>
  </si>
  <si>
    <t>SGH529V17E</t>
  </si>
  <si>
    <t>T5.1-C08</t>
  </si>
  <si>
    <t>10.60.102.144</t>
  </si>
  <si>
    <t>SV_10.60.102.144-DB02-OS</t>
  </si>
  <si>
    <t>SGH529V17M</t>
  </si>
  <si>
    <t>10.60.102.145</t>
  </si>
  <si>
    <t>SV_10.60.102.145-db03-OS</t>
  </si>
  <si>
    <t>SGH529V16V</t>
  </si>
  <si>
    <t>10.60.102.146</t>
  </si>
  <si>
    <t>SV_10.60.102.146-localhost.localdomain-OS</t>
  </si>
  <si>
    <t>SGH529V152</t>
  </si>
  <si>
    <t>10.60.102.244</t>
  </si>
  <si>
    <t>10.60.102.244_AEROSPIKE_MYVIETTEL</t>
  </si>
  <si>
    <t>CentOS Linux release 7.9 kernel 3.10.0-1160.24.1.el7.x86_64</t>
  </si>
  <si>
    <t>SGH103S1Z8</t>
  </si>
  <si>
    <t>10.60.102.245</t>
  </si>
  <si>
    <t>10.60.102.245_AEROSPIKE_MYVIETTEL</t>
  </si>
  <si>
    <t>SGH103S1ZQ</t>
  </si>
  <si>
    <t>10.60.102.246</t>
  </si>
  <si>
    <t>10.60.102.246_AEROSPIKE_MYVIETTEL</t>
  </si>
  <si>
    <t>SGH103S21J</t>
  </si>
  <si>
    <t>10.60.102.247</t>
  </si>
  <si>
    <t>10.60.102.247_AEROSPIKE_MYVIETTEL</t>
  </si>
  <si>
    <t>SGH103S195</t>
  </si>
  <si>
    <t>10.60.102.248</t>
  </si>
  <si>
    <t>10.60.102.248_AEROSPIKE_MYVIETTEL</t>
  </si>
  <si>
    <t>SGH103S19M</t>
  </si>
  <si>
    <t>10.240.134.193</t>
  </si>
  <si>
    <t>SV_10.240.134.193-DB05-OS</t>
  </si>
  <si>
    <t>CentOS Linux release 7.2 kernel 3.10.0-327.el7.x86_64</t>
  </si>
  <si>
    <t>SGH711TJY1</t>
  </si>
  <si>
    <t>10.240.134.194</t>
  </si>
  <si>
    <t>SV_10.240.134.194-DB06-OS</t>
  </si>
  <si>
    <t>SGH711TJYL</t>
  </si>
  <si>
    <t>10.240.134.195</t>
  </si>
  <si>
    <t>SV_10.240.134.195-DB07-OS</t>
  </si>
  <si>
    <t>SGH711TJYD</t>
  </si>
  <si>
    <t>10.240.134.196</t>
  </si>
  <si>
    <t>SV_10.240.134.196-DB08-OS</t>
  </si>
  <si>
    <t>SGH711TJYW</t>
  </si>
  <si>
    <t>10.240.134.234</t>
  </si>
  <si>
    <t>SV_10.240.134.234-db09-OS</t>
  </si>
  <si>
    <t>SGH752VAWF</t>
  </si>
  <si>
    <t>T5.1-C06</t>
  </si>
  <si>
    <t>10.240.134.235</t>
  </si>
  <si>
    <t>SV_10.240.134.235-db10-OS</t>
  </si>
  <si>
    <t>SGH752VAWJ</t>
  </si>
  <si>
    <t>CORE_GAME</t>
  </si>
  <si>
    <t>10.205.35.205</t>
  </si>
  <si>
    <t>App-10.205.35.205</t>
  </si>
  <si>
    <t>10.205.35.206</t>
  </si>
  <si>
    <t>App-10.205.35.206</t>
  </si>
  <si>
    <t>10.205.35.207</t>
  </si>
  <si>
    <t>App-10.205.35.207</t>
  </si>
  <si>
    <t>10.205.35.208</t>
  </si>
  <si>
    <t>App-10.205.35.208</t>
  </si>
  <si>
    <t>10.205.35.209</t>
  </si>
  <si>
    <t>App-10.205.35.209</t>
  </si>
  <si>
    <t>10.205.35.5</t>
  </si>
  <si>
    <t>API_10.205.35.5</t>
  </si>
  <si>
    <t>10.205.35.6</t>
  </si>
  <si>
    <t>API_10.205.35.6</t>
  </si>
  <si>
    <t>SGH103S1G6</t>
  </si>
  <si>
    <t>10.205.35.7</t>
  </si>
  <si>
    <t>API_10.205.35.7</t>
  </si>
  <si>
    <t>10.205.35.8</t>
  </si>
  <si>
    <t>API_10.205.35.8</t>
  </si>
  <si>
    <t>SGH103S30H</t>
  </si>
  <si>
    <t>10.207.58.89</t>
  </si>
  <si>
    <t>APP-10.207.58.89</t>
  </si>
  <si>
    <t>SGH143TT59</t>
  </si>
  <si>
    <t>10.207.58.90</t>
  </si>
  <si>
    <t>APP-10.207.58.90</t>
  </si>
  <si>
    <t>SGH143TT2B</t>
  </si>
  <si>
    <t>T6.IDC2-P08</t>
  </si>
  <si>
    <t>10.207.58.91</t>
  </si>
  <si>
    <t>APP-10.207.58.91</t>
  </si>
  <si>
    <t>G10XZQ3</t>
  </si>
  <si>
    <t>10.240.184.120</t>
  </si>
  <si>
    <t>10.240.184.121</t>
  </si>
  <si>
    <t>10.240.184.122</t>
  </si>
  <si>
    <t>MALU005859</t>
  </si>
  <si>
    <t>10.240.184.123</t>
  </si>
  <si>
    <t>10.240.184.124</t>
  </si>
  <si>
    <t>10.240.184.125</t>
  </si>
  <si>
    <t>10.240.184.126</t>
  </si>
  <si>
    <t>10.240.184.41</t>
  </si>
  <si>
    <t>SGH906SNJN</t>
  </si>
  <si>
    <t>10.240.184.42</t>
  </si>
  <si>
    <t>10.240.184.43</t>
  </si>
  <si>
    <t>10.240.184.85</t>
  </si>
  <si>
    <t>10.240.184.86</t>
  </si>
  <si>
    <t>10.240.184.87</t>
  </si>
  <si>
    <t>10.60.96.1</t>
  </si>
  <si>
    <t>SV_10.60.96.1-ProcessGame</t>
  </si>
  <si>
    <t>Red Hat Enterprise Linux Server release 7.4 kernel 4.1.12-94.3.9.el7uek.x86_64</t>
  </si>
  <si>
    <t>SGH713W169</t>
  </si>
  <si>
    <t>10.60.96.2</t>
  </si>
  <si>
    <t>SGH713W16F</t>
  </si>
  <si>
    <t>10.60.96.3</t>
  </si>
  <si>
    <t>SV_10.60.96.3-ProcessGame3</t>
  </si>
  <si>
    <t>10.60.96.6</t>
  </si>
  <si>
    <t>SV_10.60.96.6-ProcessGame6</t>
  </si>
  <si>
    <t>10.60.96.8</t>
  </si>
  <si>
    <t>SV_10.60.96.8-ProcessGame8</t>
  </si>
  <si>
    <t>10.60.99.10</t>
  </si>
  <si>
    <t>SV_10.60.99.10-localhost.localdomain-OS</t>
  </si>
  <si>
    <t>F6SF8F2</t>
  </si>
  <si>
    <t>T5.1-E05</t>
  </si>
  <si>
    <t>10.60.99.11</t>
  </si>
  <si>
    <t>SV_10.60.99.11-localhost.localdomain-OS</t>
  </si>
  <si>
    <t>FCH2111V20F</t>
  </si>
  <si>
    <t>T5.1-E04</t>
  </si>
  <si>
    <t>10.60.99.12</t>
  </si>
  <si>
    <t>SV_10.60.99.12-localhost.localdomain-OS</t>
  </si>
  <si>
    <t>FCH2109V17J</t>
  </si>
  <si>
    <t>10.60.99.13</t>
  </si>
  <si>
    <t>SV_10.60.99.13-localhost.localdomain-OS</t>
  </si>
  <si>
    <t>FCH2109V17E</t>
  </si>
  <si>
    <t>10.60.99.14</t>
  </si>
  <si>
    <t>SV_10.60.99.14-localhost.localdomain-OS</t>
  </si>
  <si>
    <t>FCH2109V0L6</t>
  </si>
  <si>
    <t>10.60.99.15</t>
  </si>
  <si>
    <t>SV_10.60.99.15-localhost.localdomain-OS</t>
  </si>
  <si>
    <t>F76L8F2</t>
  </si>
  <si>
    <t>10.60.99.16</t>
  </si>
  <si>
    <t>SV_10.60.99.16-localhost.localdomain-OS</t>
  </si>
  <si>
    <t>F77J8F2</t>
  </si>
  <si>
    <t>10.60.99.7</t>
  </si>
  <si>
    <t>SV_10.60.99.7-localhost.localdomain-OS</t>
  </si>
  <si>
    <t>F6PF8F2</t>
  </si>
  <si>
    <t>10.60.99.9</t>
  </si>
  <si>
    <t>SV_10.60.99.9-localhost.localdomain-OS</t>
  </si>
  <si>
    <t>F6QF8F2</t>
  </si>
  <si>
    <t>Roaming</t>
  </si>
  <si>
    <t>10.58.4.21</t>
  </si>
  <si>
    <t>QLC</t>
  </si>
  <si>
    <t>10.58.4.245</t>
  </si>
  <si>
    <t>VTT_TTDSKSGL_GPTC</t>
  </si>
  <si>
    <t>10.60.106.53</t>
  </si>
  <si>
    <t>10.60.106.54</t>
  </si>
  <si>
    <t>MAAG001434</t>
  </si>
  <si>
    <t>10.60.96.115</t>
  </si>
  <si>
    <t>SV_10.60.96.115-localhost.localdomain</t>
  </si>
  <si>
    <t xml:space="preserve">10.60.96.116 </t>
  </si>
  <si>
    <t>192.168.176.87</t>
  </si>
  <si>
    <t>MALU008198</t>
  </si>
  <si>
    <t>192.168.176.88</t>
  </si>
  <si>
    <t>10.60.130.7</t>
  </si>
  <si>
    <t>10.60.129.138</t>
  </si>
  <si>
    <t>SV_10.60.129.138-mediation-app01-OS</t>
  </si>
  <si>
    <t>FCH2120V0U9</t>
  </si>
  <si>
    <t>T6.1-L05</t>
  </si>
  <si>
    <t>10.60.129.139</t>
  </si>
  <si>
    <t>SV_10.60.129.139-mediation-app02-OS</t>
  </si>
  <si>
    <t>FCH2119V4FY</t>
  </si>
  <si>
    <t>10.207.186.41</t>
  </si>
  <si>
    <t>RM_01-RM_01-10.207.186.41/24</t>
  </si>
  <si>
    <t>manhnt3</t>
  </si>
  <si>
    <t>10.207.186.42</t>
  </si>
  <si>
    <t>RM_02-RM_02-10.207.186.42/24</t>
  </si>
  <si>
    <t>SGH133VS53</t>
  </si>
  <si>
    <t>BONUS 3.0</t>
  </si>
  <si>
    <t>10.60.96.167</t>
  </si>
  <si>
    <t>SV_10.60.96.167-localhost.localdomain</t>
  </si>
  <si>
    <t>10.60.96.168</t>
  </si>
  <si>
    <t>LOGINFAIL</t>
  </si>
  <si>
    <t>PAY199</t>
  </si>
  <si>
    <t>10.60.5.53</t>
  </si>
  <si>
    <t>SGH702V2VD</t>
  </si>
  <si>
    <t>10.60.5.54</t>
  </si>
  <si>
    <t>10.60.5.78</t>
  </si>
  <si>
    <t>SGH713W16T</t>
  </si>
  <si>
    <t>10.60.5.79</t>
  </si>
  <si>
    <t>10.58.4.99</t>
  </si>
  <si>
    <t>SV_10.58.4.99-PV-APP-99-OS</t>
  </si>
  <si>
    <t>Module Chặn cắt định kỳ</t>
  </si>
  <si>
    <t>10.240.167.4</t>
  </si>
  <si>
    <t>gửi TBC, báo động đỏ</t>
  </si>
  <si>
    <t>10.60.129.133</t>
  </si>
  <si>
    <t>Báo cáo thu cước gạch nợ</t>
  </si>
  <si>
    <t>Hệ thống Khuyến mại trả sau - Discount and Adjustment</t>
  </si>
  <si>
    <t>10.240.167.15</t>
  </si>
  <si>
    <t>Billing import</t>
  </si>
  <si>
    <t>10.60.129.94</t>
  </si>
  <si>
    <t>10.60.129.93</t>
  </si>
  <si>
    <t>MAAG001423</t>
  </si>
  <si>
    <t>Billing chốt cước</t>
  </si>
  <si>
    <t>10.60.129.162</t>
  </si>
  <si>
    <t>SV_10.60.129.162-billdatanode162-OS</t>
  </si>
  <si>
    <t>sonkc</t>
  </si>
  <si>
    <t>FCH2109V118</t>
  </si>
  <si>
    <t>T6.1-K12</t>
  </si>
  <si>
    <t>10.60.129.163</t>
  </si>
  <si>
    <t>SV_10.60.129.163-billdatanode163-OS</t>
  </si>
  <si>
    <t>FCH2109V0ZN</t>
  </si>
  <si>
    <t>BSS_SMS_CHAN_NO_CUOC</t>
  </si>
  <si>
    <t>10.60.100.66</t>
  </si>
  <si>
    <t>SGH906SNVW</t>
  </si>
  <si>
    <t>BSS_PAYMENT</t>
  </si>
  <si>
    <t>10.240.167.10</t>
  </si>
  <si>
    <t>CentOS Linux release 7.4 kernel 3.10.0-862.11.6.el7.x86_64</t>
  </si>
  <si>
    <t>10.240.167.37</t>
  </si>
  <si>
    <t>10.240.167.38</t>
  </si>
  <si>
    <t>10.240.167.39</t>
  </si>
  <si>
    <t>CentOS release 6.6 kernel 2.6.32-754.6.3.el6.x86_64</t>
  </si>
  <si>
    <t>10.240.167.40</t>
  </si>
  <si>
    <t>10.240.167.41</t>
  </si>
  <si>
    <t>10.58.4.75</t>
  </si>
  <si>
    <t>10.58.4.76</t>
  </si>
  <si>
    <t>10.60.100.61</t>
  </si>
  <si>
    <t>SGH906SNKF</t>
  </si>
  <si>
    <t>10.60.100.62</t>
  </si>
  <si>
    <t>MAAG001402</t>
  </si>
  <si>
    <t>10.60.100.63</t>
  </si>
  <si>
    <t>SGH906SNWB</t>
  </si>
  <si>
    <t>10.60.100.64</t>
  </si>
  <si>
    <t>10.60.100.65</t>
  </si>
  <si>
    <t>10.60.5.13</t>
  </si>
  <si>
    <t>SV_10.60.5.13-app-smsgw-02-OS</t>
  </si>
  <si>
    <t>10.60.5.209</t>
  </si>
  <si>
    <t>MALU008607</t>
  </si>
  <si>
    <t>10.60.5.91</t>
  </si>
  <si>
    <t>10.60.96.170</t>
  </si>
  <si>
    <t>SERVER_10.60.96.170</t>
  </si>
  <si>
    <t>10.60.96.171</t>
  </si>
  <si>
    <t>MALU006548</t>
  </si>
  <si>
    <t>10.60.96.172</t>
  </si>
  <si>
    <t>10.60.96.204</t>
  </si>
  <si>
    <t>SV_10.60.96.204-localhost.localdomain</t>
  </si>
  <si>
    <t>10.60.96.205</t>
  </si>
  <si>
    <t>SV_10.60.96.205-localhost.localdomain</t>
  </si>
  <si>
    <t>10.60.96.250</t>
  </si>
  <si>
    <t>SGH713W167</t>
  </si>
  <si>
    <t>T6.2-D01</t>
  </si>
  <si>
    <t>10.60.96.251</t>
  </si>
  <si>
    <t>10.60.96.252</t>
  </si>
  <si>
    <t>192.168.131.242</t>
  </si>
  <si>
    <t>SV_192.168.131.242-svr-bidv-OS</t>
  </si>
  <si>
    <t>CentOS Linux release 6.0 kernel 2.6.32-71.el6.x86_64</t>
  </si>
  <si>
    <t>ProLiant DL380 G5</t>
  </si>
  <si>
    <t>SGH65209BK</t>
  </si>
  <si>
    <t>GVM9103_RACK40 (BLGM3.5)</t>
  </si>
  <si>
    <t>BSS_TB_CUOC_187</t>
  </si>
  <si>
    <t>10.60.129.134</t>
  </si>
  <si>
    <t>SGH619V3M9</t>
  </si>
  <si>
    <t>BSS_BAO_DONG_DO</t>
  </si>
  <si>
    <t>PAYMENT - BCCS2.0</t>
  </si>
  <si>
    <t>10.240.147.78</t>
  </si>
  <si>
    <t>SV_10.240.147.78-bccs2-payment-process-01-OS</t>
  </si>
  <si>
    <t>FCH2108V0SS</t>
  </si>
  <si>
    <t>T6.1-K10</t>
  </si>
  <si>
    <t>10.240.147.79</t>
  </si>
  <si>
    <t>SV_10.240.147.79-bccs2-payment-process-02-OS</t>
  </si>
  <si>
    <t>FCH2111V0JJ</t>
  </si>
  <si>
    <t>10.240.147.80</t>
  </si>
  <si>
    <t>SV_10.240.147.80-Payment-Int-WS01-OS</t>
  </si>
  <si>
    <t>FCH2108V0SN</t>
  </si>
  <si>
    <t>10.240.147.81</t>
  </si>
  <si>
    <t>SV_10.240.147.81-bccs2-payment-intws-02-OS</t>
  </si>
  <si>
    <t>FCH2111V20E</t>
  </si>
  <si>
    <t>10.240.147.82</t>
  </si>
  <si>
    <t>SV_10.240.147.82-bccs2-payment-websv-01-OS</t>
  </si>
  <si>
    <t>FCH2108V0SD</t>
  </si>
  <si>
    <t>10.240.147.83</t>
  </si>
  <si>
    <t>SV_10.240.147.83-bccs2-payment-websv-02-OS</t>
  </si>
  <si>
    <t>FCH2109V173</t>
  </si>
  <si>
    <t>Campaign Management</t>
  </si>
  <si>
    <t>10.60.99.20</t>
  </si>
  <si>
    <t>SV_10.60.99.20-host20-OS</t>
  </si>
  <si>
    <t>VTT_TTCNTT_BUSPQLCD</t>
  </si>
  <si>
    <t>F7RJ8F2</t>
  </si>
  <si>
    <t>T5.1-E06</t>
  </si>
  <si>
    <t>10.60.99.21</t>
  </si>
  <si>
    <t>SV_10.60.99.21-host21-OS</t>
  </si>
  <si>
    <t>F7SJ8F2</t>
  </si>
  <si>
    <t>10.60.99.22</t>
  </si>
  <si>
    <t>SV_10.60.99.22-host22-OS</t>
  </si>
  <si>
    <t>F7RC8F2</t>
  </si>
  <si>
    <t>10.60.99.23</t>
  </si>
  <si>
    <t>SV_10.60.99.23-host23-OS</t>
  </si>
  <si>
    <t>F7SD8F2</t>
  </si>
  <si>
    <t>10.60.99.24</t>
  </si>
  <si>
    <t>SV_10.60.99.24-host24-OS</t>
  </si>
  <si>
    <t>F7RL8F2</t>
  </si>
  <si>
    <t>10.60.99.25</t>
  </si>
  <si>
    <t>SV_10.60.99.25-host25-OS</t>
  </si>
  <si>
    <t>F7FF8F2</t>
  </si>
  <si>
    <t>10.60.99.26</t>
  </si>
  <si>
    <t>SV_10.60.99.26-host26-OS</t>
  </si>
  <si>
    <t>F7DK8F2</t>
  </si>
  <si>
    <t>10.60.99.27</t>
  </si>
  <si>
    <t>SV_10.60.99.27-host27-OS</t>
  </si>
  <si>
    <t>F7DG8F2</t>
  </si>
  <si>
    <t>10.60.99.28</t>
  </si>
  <si>
    <t>SV_10.60.99.28-host28-OS</t>
  </si>
  <si>
    <t>F7DM8F2</t>
  </si>
  <si>
    <t>10.60.99.29</t>
  </si>
  <si>
    <t>SV_10.60.99.29-host29-OS</t>
  </si>
  <si>
    <t>F7FK8F2</t>
  </si>
  <si>
    <t>10.60.99.34</t>
  </si>
  <si>
    <t>SV_10.60.99.34-host34-OS</t>
  </si>
  <si>
    <t>1ZDL8F2</t>
  </si>
  <si>
    <t>10.60.99.35</t>
  </si>
  <si>
    <t>SV_10.60.99.35-host35-OS</t>
  </si>
  <si>
    <t>1ZFM8F2</t>
  </si>
  <si>
    <t>10.60.99.40</t>
  </si>
  <si>
    <t>SV_10.60.99.40-CAMPAIGN-Hadoop-05-OS</t>
  </si>
  <si>
    <t>5QW70J2</t>
  </si>
  <si>
    <t>T5.1-E08</t>
  </si>
  <si>
    <t>10.60.99.41</t>
  </si>
  <si>
    <t>SV_10.60.99.41-CAMPAIGN-Hadoop-06-OS</t>
  </si>
  <si>
    <t>5QV90J2</t>
  </si>
  <si>
    <t>10.254.130.19</t>
  </si>
  <si>
    <t>SV_10.254.130.19-hlc-datalake-event-10254130019-OS</t>
  </si>
  <si>
    <t>CentOS Linux release 7.7 kernel 3.10.0-1127.18.2.el7.x86_64</t>
  </si>
  <si>
    <t>MAAG002081</t>
  </si>
  <si>
    <t>T6.2-L02</t>
  </si>
  <si>
    <t>10.254.130.20</t>
  </si>
  <si>
    <t>SV_10.254.130.20-hlc-datalake-event-10254130020-OS</t>
  </si>
  <si>
    <t>MAAG002090</t>
  </si>
  <si>
    <t>10.254.130.21</t>
  </si>
  <si>
    <t>SV_10.254.130.21-hlc-datalake-event-10254130021-OS</t>
  </si>
  <si>
    <t>MAAG002091</t>
  </si>
  <si>
    <t>10.254.130.22</t>
  </si>
  <si>
    <t>SV_10.254.130.22-hlc-datalake-event-10254130022-OS</t>
  </si>
  <si>
    <t>MAAG002092</t>
  </si>
  <si>
    <t>10.254.130.23</t>
  </si>
  <si>
    <t>SV_10.254.130.23-hlc-datalake-event-10254130023-OS</t>
  </si>
  <si>
    <t>MAAG002093</t>
  </si>
  <si>
    <t>10.254.130.24</t>
  </si>
  <si>
    <t>SV_10.254.130.24-hlc-datalake-event-10254130024-OS</t>
  </si>
  <si>
    <t>MAAG002094</t>
  </si>
  <si>
    <t>10.254.130.25</t>
  </si>
  <si>
    <t>SV_10.254.130.25-hlc-datalake-event-10254130025-OS</t>
  </si>
  <si>
    <t>MAAG002095</t>
  </si>
  <si>
    <t>10.254.130.26</t>
  </si>
  <si>
    <t>SV_10.254.130.26-hlc-datalake-event-10254130026-OS</t>
  </si>
  <si>
    <t>MAAG002096</t>
  </si>
  <si>
    <t>10.254.130.27</t>
  </si>
  <si>
    <t>SV_10.254.130.27-hlc-datalake-event-10254130027-OS</t>
  </si>
  <si>
    <t>MAAG002097</t>
  </si>
  <si>
    <t>10.254.130.28</t>
  </si>
  <si>
    <t>SV_10.254.130.28-hlc-datalake-event-10254130028-OS</t>
  </si>
  <si>
    <t>MAAG002098</t>
  </si>
  <si>
    <t>10.254.130.29</t>
  </si>
  <si>
    <t>SV_10.254.130.29-hlc-datalake-event-10254130029-OS</t>
  </si>
  <si>
    <t>MAAG002099</t>
  </si>
  <si>
    <t>10.254.130.40</t>
  </si>
  <si>
    <t>SV_10.254.130.40-hlc-datalake-npms-10254130040-OS</t>
  </si>
  <si>
    <t>MAAG002195</t>
  </si>
  <si>
    <t>T6.2-L04</t>
  </si>
  <si>
    <t>10.208.216.9</t>
  </si>
  <si>
    <t>data-ch35-11-sv35-01</t>
  </si>
  <si>
    <t>CentOS Linux 7.9 kernel 3.10.0-1160.92.1.el7.x86_64</t>
  </si>
  <si>
    <t>PowerEdge FC640</t>
  </si>
  <si>
    <t>4JXCGR3</t>
  </si>
  <si>
    <t>HKH9103_PM3.1</t>
  </si>
  <si>
    <t>CNTT3.1_AD.05</t>
  </si>
  <si>
    <t>10.208.216.10</t>
  </si>
  <si>
    <t>data-ch35-11-sv35-02</t>
  </si>
  <si>
    <t>5JXCGR3</t>
  </si>
  <si>
    <t>10.208.216.23</t>
  </si>
  <si>
    <t>data-ch35-14-sv35-03</t>
  </si>
  <si>
    <t>5RD3HR3</t>
  </si>
  <si>
    <t>CNTT3.1_AD.16</t>
  </si>
  <si>
    <t>10.208.216.28</t>
  </si>
  <si>
    <t>data-ch35-15-sv35-04</t>
  </si>
  <si>
    <t>43F3HR3</t>
  </si>
  <si>
    <t>CNTT3.1_AD.17</t>
  </si>
  <si>
    <t>10.208.216.33</t>
  </si>
  <si>
    <t>data-ch35-17-sv35-01</t>
  </si>
  <si>
    <t>GCXCGR3</t>
  </si>
  <si>
    <t>10.208.216.34</t>
  </si>
  <si>
    <t>data-ch35-17-sv35-02</t>
  </si>
  <si>
    <t>HCXCGR3</t>
  </si>
  <si>
    <t>10.208.216.35</t>
  </si>
  <si>
    <t>data-ch35-17-sv35-03</t>
  </si>
  <si>
    <t>JCXCGR3</t>
  </si>
  <si>
    <t>10.208.216.36</t>
  </si>
  <si>
    <t>data-ch35-17-sv35-04</t>
  </si>
  <si>
    <t>1DXCGR3</t>
  </si>
  <si>
    <t>10.208.216.40</t>
  </si>
  <si>
    <t>data-ch35-18-sv35-04</t>
  </si>
  <si>
    <t>HXD3HR3</t>
  </si>
  <si>
    <t>CNTT3.1_AD.18</t>
  </si>
  <si>
    <t>10.208.216.49</t>
  </si>
  <si>
    <t>data-ch35-21-sv35-01</t>
  </si>
  <si>
    <t>90FGGR3</t>
  </si>
  <si>
    <t>CNTT3.1_AD.19</t>
  </si>
  <si>
    <t>10.208.216.50</t>
  </si>
  <si>
    <t>data-ch35-21-sv35-02</t>
  </si>
  <si>
    <t>B0FGGR3</t>
  </si>
  <si>
    <t>10.208.216.61</t>
  </si>
  <si>
    <t>data-ch35-24-sv35-01</t>
  </si>
  <si>
    <t>JZDGGR3</t>
  </si>
  <si>
    <t>CNTT3.1_AD.20</t>
  </si>
  <si>
    <t>10.208.216.62</t>
  </si>
  <si>
    <t>data-ch35-24-sv35-02</t>
  </si>
  <si>
    <t>10FGGR3</t>
  </si>
  <si>
    <t>10.208.216.63</t>
  </si>
  <si>
    <t>data-ch35-24-sv35-03</t>
  </si>
  <si>
    <t>20FGGR3</t>
  </si>
  <si>
    <t>10.208.216.64</t>
  </si>
  <si>
    <t>data-ch35-24-sv35-04</t>
  </si>
  <si>
    <t>30FGGR3</t>
  </si>
  <si>
    <t>10.208.216.73</t>
  </si>
  <si>
    <t>data-ch35-27-sv35-01</t>
  </si>
  <si>
    <t>G0F3HR3</t>
  </si>
  <si>
    <t>CNTT3.1_AD.21</t>
  </si>
  <si>
    <t>10.208.216.74</t>
  </si>
  <si>
    <t>data-ch35-27-sv35-02</t>
  </si>
  <si>
    <t>H0F3HR3</t>
  </si>
  <si>
    <t>10.208.216.75</t>
  </si>
  <si>
    <t>data-ch35-27-sv35-03</t>
  </si>
  <si>
    <t>J0F3HR3</t>
  </si>
  <si>
    <t>10.208.216.76</t>
  </si>
  <si>
    <t>data-ch35-27-sv35-04</t>
  </si>
  <si>
    <t>11F3HR3</t>
  </si>
  <si>
    <t>10.208.216.93</t>
  </si>
  <si>
    <t>data-ch35-32-sv35-01</t>
  </si>
  <si>
    <t>9WD3HR3</t>
  </si>
  <si>
    <t>CNTT3.1_AG.05</t>
  </si>
  <si>
    <t>10.208.216.94</t>
  </si>
  <si>
    <t>data-ch35-32-sv35-02</t>
  </si>
  <si>
    <t>BWD3HR3</t>
  </si>
  <si>
    <t>10.208.216.95</t>
  </si>
  <si>
    <t>data-ch35-32-sv35-03</t>
  </si>
  <si>
    <t>CWD3HR3</t>
  </si>
  <si>
    <t>10.208.216.96</t>
  </si>
  <si>
    <t>data-ch35-32-sv35-04</t>
  </si>
  <si>
    <t>DWD3HR3</t>
  </si>
  <si>
    <t>10.208.216.109</t>
  </si>
  <si>
    <t>data-ch35-36-sv35-01</t>
  </si>
  <si>
    <t>13FGGR3</t>
  </si>
  <si>
    <t>CNTT3.1_AG.07</t>
  </si>
  <si>
    <t>10.208.216.110</t>
  </si>
  <si>
    <t>data-ch35-36-sv35-02</t>
  </si>
  <si>
    <t>23FGGR3</t>
  </si>
  <si>
    <t>10.208.216.113</t>
  </si>
  <si>
    <t>data-ch35-37-sv35-01</t>
  </si>
  <si>
    <t>8XD3HR3</t>
  </si>
  <si>
    <t>10.208.216.114</t>
  </si>
  <si>
    <t>data-ch35-37-sv35-02</t>
  </si>
  <si>
    <t>9XD3HR3</t>
  </si>
  <si>
    <t>10.208.216.149</t>
  </si>
  <si>
    <t>data-ch35-46-sv35-01</t>
  </si>
  <si>
    <t>HGXCGR3</t>
  </si>
  <si>
    <t>CNTT3.1_AG.14</t>
  </si>
  <si>
    <t>10.208.216.150</t>
  </si>
  <si>
    <t>data-ch35-46-sv35-02</t>
  </si>
  <si>
    <t>JGXCGR3</t>
  </si>
  <si>
    <t>10.208.216.151</t>
  </si>
  <si>
    <t>data-ch35-46-sv35-03</t>
  </si>
  <si>
    <t>1HXCGR3</t>
  </si>
  <si>
    <t>10.208.216.152</t>
  </si>
  <si>
    <t>data-ch35-46-sv35-04</t>
  </si>
  <si>
    <t>2HXCGR3</t>
  </si>
  <si>
    <t>Product Catalog + BCCS Product</t>
  </si>
  <si>
    <t>10.240.147.87</t>
  </si>
  <si>
    <t>SV_10.240.147.87-bccs2-product-websv-01-OS</t>
  </si>
  <si>
    <t>FCH2112V0NC</t>
  </si>
  <si>
    <t>10.240.147.88</t>
  </si>
  <si>
    <t>SV_10.240.147.88-bccs2-product-websv-02-OS</t>
  </si>
  <si>
    <t>FCH2106V101</t>
  </si>
  <si>
    <t>10.254.130.10</t>
  </si>
  <si>
    <t>SV_10.254.130.10-hlc-datalake-event-10254130010-OS</t>
  </si>
  <si>
    <t>MAAG002032</t>
  </si>
  <si>
    <t>T6.2-L01</t>
  </si>
  <si>
    <t>10.254.130.11</t>
  </si>
  <si>
    <t>SV_10.254.130.11-hlc-datalake-event-10254130011-OS</t>
  </si>
  <si>
    <t>MAAG002033</t>
  </si>
  <si>
    <t>10.254.130.12</t>
  </si>
  <si>
    <t>SV_10.254.130.12-hlc-datalake-event-10254130012-OS</t>
  </si>
  <si>
    <t>MAAG002062</t>
  </si>
  <si>
    <t>10.254.130.13</t>
  </si>
  <si>
    <t>SV_10.254.130.13-hlc-datalake-event-10254130013-OS</t>
  </si>
  <si>
    <t>MAAG002063</t>
  </si>
  <si>
    <t>10.254.130.14</t>
  </si>
  <si>
    <t>SV_10.254.130.14-hlc-datalake-event-10254130014-OS</t>
  </si>
  <si>
    <t>MAAG002064</t>
  </si>
  <si>
    <t>10.254.130.15</t>
  </si>
  <si>
    <t>SV_10.254.130.15-hlc-datalake-event-10254130015-OS</t>
  </si>
  <si>
    <t>MAAG002065</t>
  </si>
  <si>
    <t>10.254.130.16</t>
  </si>
  <si>
    <t>SV_10.254.130.16-hlc-datalake-event-10254130016-OS</t>
  </si>
  <si>
    <t>MAAG002078</t>
  </si>
  <si>
    <t>10.254.130.17</t>
  </si>
  <si>
    <t>SV_10.254.130.17-hlc-datalake-event-10254130017-OS</t>
  </si>
  <si>
    <t>MAAG002079</t>
  </si>
  <si>
    <t>10.254.130.18</t>
  </si>
  <si>
    <t>SV_10.254.130.18-hlc-datalake-event-10254130018-OS</t>
  </si>
  <si>
    <t>MAAG002080</t>
  </si>
  <si>
    <t>vContract</t>
  </si>
  <si>
    <t>10.207.163.145</t>
  </si>
  <si>
    <t>cuongbm</t>
  </si>
  <si>
    <t>BU SPM</t>
  </si>
  <si>
    <t>app-10.207.163.145</t>
  </si>
  <si>
    <t>10.207.163.146</t>
  </si>
  <si>
    <t>app-10.207.163.146</t>
  </si>
  <si>
    <t>10.207.163.147</t>
  </si>
  <si>
    <t>app-10.207.163.147</t>
  </si>
  <si>
    <t>10.207.163.148</t>
  </si>
  <si>
    <t>app-10.207.163.148</t>
  </si>
  <si>
    <t>SGH103YD0Q</t>
  </si>
  <si>
    <t>10.207.163.149</t>
  </si>
  <si>
    <t>app-10.207.163.149</t>
  </si>
  <si>
    <t>10.207.163.150</t>
  </si>
  <si>
    <t>app-10.207.163.150</t>
  </si>
  <si>
    <t>SGH103S2X6</t>
  </si>
  <si>
    <t>10.254.147.134</t>
  </si>
  <si>
    <t>App-10.254.147.134</t>
  </si>
  <si>
    <t>SGH028TB7T</t>
  </si>
  <si>
    <t>10.254.147.135</t>
  </si>
  <si>
    <t>App-10.254.147.135</t>
  </si>
  <si>
    <t>10.254.147.136</t>
  </si>
  <si>
    <t>App-10.254.147.136</t>
  </si>
  <si>
    <t>10.254.147.137</t>
  </si>
  <si>
    <t>App-10.254.147.137</t>
  </si>
  <si>
    <t>MAAG002479</t>
  </si>
  <si>
    <t>10.254.147.138</t>
  </si>
  <si>
    <t>App-10.254.147.138</t>
  </si>
  <si>
    <t>MAAG002420</t>
  </si>
  <si>
    <t>10.205.32.33</t>
  </si>
  <si>
    <t>App-10.205.32.33</t>
  </si>
  <si>
    <t>SGH028TB7P</t>
  </si>
  <si>
    <t>10.205.32.34</t>
  </si>
  <si>
    <t>App-10.205.32.34</t>
  </si>
  <si>
    <t>10.205.32.35</t>
  </si>
  <si>
    <t>App-10.205.32.35</t>
  </si>
  <si>
    <t>SGH028TB7K</t>
  </si>
  <si>
    <t>10.205.32.36</t>
  </si>
  <si>
    <t>App-10.205.32.36</t>
  </si>
  <si>
    <t>10.205.32.37</t>
  </si>
  <si>
    <t>App-10.205.32.37</t>
  </si>
  <si>
    <t>10.207.163.151</t>
  </si>
  <si>
    <t>app-10.207.163.151</t>
  </si>
  <si>
    <t>10.207.163.152</t>
  </si>
  <si>
    <t>app-10.207.163.152</t>
  </si>
  <si>
    <t>10.207.163.153</t>
  </si>
  <si>
    <t>app-10.207.163.153</t>
  </si>
  <si>
    <t>10.207.163.154</t>
  </si>
  <si>
    <t>app-10.207.163.154</t>
  </si>
  <si>
    <t>SGH103YCGS</t>
  </si>
  <si>
    <t>10.207.163.155</t>
  </si>
  <si>
    <t>app-10.207.163.155</t>
  </si>
  <si>
    <t>10.207.163.156</t>
  </si>
  <si>
    <t>app-10.207.163.156</t>
  </si>
  <si>
    <t>BPQR643</t>
  </si>
  <si>
    <t>10.207.163.157</t>
  </si>
  <si>
    <t>app-10.207.163.157</t>
  </si>
  <si>
    <t>10.207.163.158</t>
  </si>
  <si>
    <t>app-10.207.163.158</t>
  </si>
  <si>
    <t>10.207.163.159</t>
  </si>
  <si>
    <t>app-10.207.163.159</t>
  </si>
  <si>
    <t>10.254.147.140</t>
  </si>
  <si>
    <t>App-10.254.147.140</t>
  </si>
  <si>
    <t>10.254.147.141</t>
  </si>
  <si>
    <t>App-10.254.147.141</t>
  </si>
  <si>
    <t>10.254.147.142</t>
  </si>
  <si>
    <t>App-10.254.147.142</t>
  </si>
  <si>
    <t>10.254.157.164</t>
  </si>
  <si>
    <t>DB-10.254.157.164</t>
  </si>
  <si>
    <t>10.254.157.165</t>
  </si>
  <si>
    <t>DB-10.254.157.165</t>
  </si>
  <si>
    <t>MAAG002426</t>
  </si>
  <si>
    <t>10.254.157.166</t>
  </si>
  <si>
    <t>DB-10.254.157.166</t>
  </si>
  <si>
    <t>MAAG002427</t>
  </si>
  <si>
    <t>10.207.191.63</t>
  </si>
  <si>
    <t>DB-10.207.191.63</t>
  </si>
  <si>
    <t>SGH217TV1J</t>
  </si>
  <si>
    <t>ViettelContract</t>
  </si>
  <si>
    <t>10.207.189.73</t>
  </si>
  <si>
    <t>app-10.207.189.73</t>
  </si>
  <si>
    <t>10.207.189.74</t>
  </si>
  <si>
    <t>app-10.207.189.74</t>
  </si>
  <si>
    <t>10.207.189.75</t>
  </si>
  <si>
    <t>app-10.207.189.75</t>
  </si>
  <si>
    <t>SGH122TH94</t>
  </si>
  <si>
    <t>Floor 7</t>
  </si>
  <si>
    <t>T7.VTT-E04</t>
  </si>
  <si>
    <t>10.207.189.77</t>
  </si>
  <si>
    <t>app-10.207.189.77</t>
  </si>
  <si>
    <t>10.207.189.78</t>
  </si>
  <si>
    <t>app-10.207.189.78</t>
  </si>
  <si>
    <t>10.207.189.79</t>
  </si>
  <si>
    <t>app-10.207.189.79</t>
  </si>
  <si>
    <t>SGH122TH9L</t>
  </si>
  <si>
    <t>T7.VTT-E05</t>
  </si>
  <si>
    <t>10.207.189.80</t>
  </si>
  <si>
    <t>app-10.207.189.80</t>
  </si>
  <si>
    <t>10.207.189.81</t>
  </si>
  <si>
    <t>app-10.207.189.81</t>
  </si>
  <si>
    <t>10.207.189.82</t>
  </si>
  <si>
    <t>app-10.207.189.82</t>
  </si>
  <si>
    <t>10.207.189.83</t>
  </si>
  <si>
    <t>app-10.207.189.83</t>
  </si>
  <si>
    <t>10.207.189.84</t>
  </si>
  <si>
    <t>app-10.207.189.84</t>
  </si>
  <si>
    <t>SGH133VS5H</t>
  </si>
  <si>
    <t>10.207.189.85</t>
  </si>
  <si>
    <t>app-10.207.189.85</t>
  </si>
  <si>
    <t>10.207.189.86</t>
  </si>
  <si>
    <t>app-10.207.189.86</t>
  </si>
  <si>
    <t>SGH213S4QR</t>
  </si>
  <si>
    <t>10.207.189.87</t>
  </si>
  <si>
    <t>app-10.207.189.87</t>
  </si>
  <si>
    <t>10.207.189.88</t>
  </si>
  <si>
    <t>app-10.207.189.88</t>
  </si>
  <si>
    <t>SGH133VSD4</t>
  </si>
  <si>
    <t>10.207.189.89</t>
  </si>
  <si>
    <t>app-10.207.189.89</t>
  </si>
  <si>
    <t>10.207.189.90</t>
  </si>
  <si>
    <t>app-10.207.189.90</t>
  </si>
  <si>
    <t>10.207.189.91</t>
  </si>
  <si>
    <t>app-10.207.189.91</t>
  </si>
  <si>
    <t>10.207.189.92</t>
  </si>
  <si>
    <t>app-10.207.189.92</t>
  </si>
  <si>
    <t>10.207.189.93</t>
  </si>
  <si>
    <t>app-10.207.189.93</t>
  </si>
  <si>
    <t>10.207.189.94</t>
  </si>
  <si>
    <t>app-10.207.189.94</t>
  </si>
  <si>
    <t>10.207.189.95</t>
  </si>
  <si>
    <t>app-10.207.189.95</t>
  </si>
  <si>
    <t>10.207.189.96</t>
  </si>
  <si>
    <t>app-10.207.189.96</t>
  </si>
  <si>
    <t>10.207.189.97</t>
  </si>
  <si>
    <t>app-10.207.189.97</t>
  </si>
  <si>
    <t>10.207.189.98</t>
  </si>
  <si>
    <t>app-10.207.189.98</t>
  </si>
  <si>
    <t>SGH133VSDQ</t>
  </si>
  <si>
    <t>10.207.189.99</t>
  </si>
  <si>
    <t>app-10.207.189.99</t>
  </si>
  <si>
    <t>10.207.191.60</t>
  </si>
  <si>
    <t>DB-10.207.191.60</t>
  </si>
  <si>
    <t>SGH133VS5P</t>
  </si>
  <si>
    <t>10.207.191.61</t>
  </si>
  <si>
    <t>DB-10.207.191.61</t>
  </si>
  <si>
    <t>SGH133VS5C</t>
  </si>
  <si>
    <t>10.207.191.62</t>
  </si>
  <si>
    <t>DB-10.207.191.62</t>
  </si>
  <si>
    <t>SGH133VSD6</t>
  </si>
  <si>
    <t>Callbot Inbound CSKH</t>
  </si>
  <si>
    <t>10.205.33.145</t>
  </si>
  <si>
    <t>AI</t>
  </si>
  <si>
    <t>chatbot core-10.205.33.145</t>
  </si>
  <si>
    <t>VTT_CNTT_TTPTDL</t>
  </si>
  <si>
    <t>SGH122TH9Z</t>
  </si>
  <si>
    <t>10.205.33.146</t>
  </si>
  <si>
    <t>chatbot core-10.205.33.146</t>
  </si>
  <si>
    <t>10.205.33.147</t>
  </si>
  <si>
    <t>chatbot core-10.205.33.147</t>
  </si>
  <si>
    <t>SGH122THBH</t>
  </si>
  <si>
    <t>10.205.33.148</t>
  </si>
  <si>
    <t>chatbot core-10.205.33.148</t>
  </si>
  <si>
    <t>SGH122THBK</t>
  </si>
  <si>
    <t>T7.VTT-E06</t>
  </si>
  <si>
    <t>10.205.33.149</t>
  </si>
  <si>
    <t>Gateway-10.205.33.149</t>
  </si>
  <si>
    <t>SGH122TH96</t>
  </si>
  <si>
    <t>T7.VTT-E03</t>
  </si>
  <si>
    <t>10.205.33.150</t>
  </si>
  <si>
    <t>Gateway-10.205.33.150</t>
  </si>
  <si>
    <t>SGH122THBR</t>
  </si>
  <si>
    <t>10.205.33.151</t>
  </si>
  <si>
    <t>Gateway-10.205.33.151</t>
  </si>
  <si>
    <t>SGH122THB9</t>
  </si>
  <si>
    <t>10.205.33.152</t>
  </si>
  <si>
    <t>Gateway-10.205.33.152</t>
  </si>
  <si>
    <t>SGH122THBM</t>
  </si>
  <si>
    <t>10.205.33.153</t>
  </si>
  <si>
    <t>Gateway-10.205.33.153</t>
  </si>
  <si>
    <t>SGH122THBW</t>
  </si>
  <si>
    <t>10.205.33.154</t>
  </si>
  <si>
    <t>Business Adapter-10.205.33.154</t>
  </si>
  <si>
    <t>SGH122TH9G</t>
  </si>
  <si>
    <t>10.205.33.155</t>
  </si>
  <si>
    <t>Business Adapter-10.205.33.155</t>
  </si>
  <si>
    <t>10.205.33.156</t>
  </si>
  <si>
    <t>Business Adapter-10.205.33.156</t>
  </si>
  <si>
    <t>10.205.33.157</t>
  </si>
  <si>
    <t>Business Adapter-10.205.33.157</t>
  </si>
  <si>
    <t>SGH122TH9S</t>
  </si>
  <si>
    <t>10.205.33.158</t>
  </si>
  <si>
    <t>DB-10.205.33.158</t>
  </si>
  <si>
    <t>SGH122THBF</t>
  </si>
  <si>
    <t>10.205.33.159</t>
  </si>
  <si>
    <t>DB-10.205.33.159</t>
  </si>
  <si>
    <t>10.205.33.160</t>
  </si>
  <si>
    <t>DB-10.205.33.160</t>
  </si>
  <si>
    <t>10.205.33.161</t>
  </si>
  <si>
    <t>Redis-10.205.33.161</t>
  </si>
  <si>
    <t>10.205.33.162</t>
  </si>
  <si>
    <t>Redis-10.205.33.162</t>
  </si>
  <si>
    <t>SGH122TH8T</t>
  </si>
  <si>
    <t>10.205.33.163</t>
  </si>
  <si>
    <t>Redis-10.205.33.163</t>
  </si>
  <si>
    <t>SGH122TH9N</t>
  </si>
  <si>
    <t>10.205.33.164</t>
  </si>
  <si>
    <t>Kafka-10.205.33.164</t>
  </si>
  <si>
    <t>10.205.33.165</t>
  </si>
  <si>
    <t>Kafka-10.205.33.165</t>
  </si>
  <si>
    <t>10.205.33.166</t>
  </si>
  <si>
    <t>Kafka-10.205.33.166</t>
  </si>
  <si>
    <t>SGH122TH92</t>
  </si>
  <si>
    <t>10.205.33.167</t>
  </si>
  <si>
    <t>ELK Stack-10.205.33.167</t>
  </si>
  <si>
    <t>10.205.33.168</t>
  </si>
  <si>
    <t>ELK Stack-10.205.33.168</t>
  </si>
  <si>
    <t>10.205.33.169</t>
  </si>
  <si>
    <t>ELK Stack-10.205.33.169</t>
  </si>
  <si>
    <t>SGH122THB7</t>
  </si>
  <si>
    <t>Giám sát cuộc gọi CSKH</t>
  </si>
  <si>
    <t>10.205.33.129</t>
  </si>
  <si>
    <t>App-10.205.33.129</t>
  </si>
  <si>
    <t>10.205.33.130</t>
  </si>
  <si>
    <t>App-10.205.33.130</t>
  </si>
  <si>
    <t>10.205.33.131</t>
  </si>
  <si>
    <t>App-10.205.33.131</t>
  </si>
  <si>
    <t>SGH122THBC</t>
  </si>
  <si>
    <t>10.205.33.132</t>
  </si>
  <si>
    <t>App-10.205.33.132</t>
  </si>
  <si>
    <t>10.205.33.136</t>
  </si>
  <si>
    <t>Redis-10.205.33.136</t>
  </si>
  <si>
    <t>10.205.33.137</t>
  </si>
  <si>
    <t>Redis-10.205.33.137</t>
  </si>
  <si>
    <t>10.205.33.138</t>
  </si>
  <si>
    <t>Redis-10.205.33.138</t>
  </si>
  <si>
    <t>SGH122THBT</t>
  </si>
  <si>
    <t>10.205.33.139</t>
  </si>
  <si>
    <t>Kafka-10.205.33.139</t>
  </si>
  <si>
    <t>10.205.33.140</t>
  </si>
  <si>
    <t>Kafka-10.205.33.140</t>
  </si>
  <si>
    <t>10.205.33.141</t>
  </si>
  <si>
    <t>Kafka-10.205.33.141</t>
  </si>
  <si>
    <t>SGH122THB3</t>
  </si>
  <si>
    <t>10.205.33.142</t>
  </si>
  <si>
    <t>ELK Stack-10.205.33.142</t>
  </si>
  <si>
    <t>SGH122THBP</t>
  </si>
  <si>
    <t>10.205.33.143</t>
  </si>
  <si>
    <t>ELK Stack-10.205.33.143</t>
  </si>
  <si>
    <t>10.205.33.144</t>
  </si>
  <si>
    <t>ELK Stack-10.205.33.144</t>
  </si>
  <si>
    <t>10.205.33.133</t>
  </si>
  <si>
    <t>DB-10.205.33.133</t>
  </si>
  <si>
    <t>10.205.33.134</t>
  </si>
  <si>
    <t>DB-10.205.33.134</t>
  </si>
  <si>
    <t>10.205.33.135</t>
  </si>
  <si>
    <t>DB-10.205.33.135</t>
  </si>
  <si>
    <t>SGH122THBY</t>
  </si>
  <si>
    <t>Trợ lý ảo MyViettel</t>
  </si>
  <si>
    <t>10.207.59.110</t>
  </si>
  <si>
    <t>Bot Gateway public-10.207.59.110</t>
  </si>
  <si>
    <t>10.207.59.111</t>
  </si>
  <si>
    <t>Bot Gateway public-10.207.59.111</t>
  </si>
  <si>
    <t>10.255.62.56</t>
  </si>
  <si>
    <t>10.255.62.57</t>
  </si>
  <si>
    <t>10.255.62.58</t>
  </si>
  <si>
    <t>10.255.62.59</t>
  </si>
  <si>
    <t>SGH713WHTF</t>
  </si>
  <si>
    <t>10.255.62.60</t>
  </si>
  <si>
    <t>SGH645T9A5</t>
  </si>
  <si>
    <t>10.255.62.61</t>
  </si>
  <si>
    <t>10.255.62.62</t>
  </si>
  <si>
    <t>10.255.62.63</t>
  </si>
  <si>
    <t>10.255.62.64</t>
  </si>
  <si>
    <t>10.255.62.65</t>
  </si>
  <si>
    <t>10.255.62.66</t>
  </si>
  <si>
    <t>10.255.62.67</t>
  </si>
  <si>
    <t>10.255.62.68</t>
  </si>
  <si>
    <t>SGH713WHL5</t>
  </si>
  <si>
    <t>10.255.62.69</t>
  </si>
  <si>
    <t>10.255.62.70</t>
  </si>
  <si>
    <t>FCH2111V186</t>
  </si>
  <si>
    <t>10.255.62.71</t>
  </si>
  <si>
    <t>10.255.67.46</t>
  </si>
  <si>
    <t>SGH931T2HK</t>
  </si>
  <si>
    <t>10.255.67.47</t>
  </si>
  <si>
    <t>10.255.67.48</t>
  </si>
  <si>
    <t>MALU008608</t>
  </si>
  <si>
    <t>10.60.130.1</t>
  </si>
  <si>
    <t>None-10.60.130.1</t>
  </si>
  <si>
    <t>CentOS Linux release 7.4 kernel 3.10.0-693.el7.x86_64_8836</t>
  </si>
  <si>
    <t>SGH906SNJS</t>
  </si>
  <si>
    <t>10.60.130.2</t>
  </si>
  <si>
    <t>MALU005866</t>
  </si>
  <si>
    <t>10.60.130.3</t>
  </si>
  <si>
    <t>None-10.60.130.3</t>
  </si>
  <si>
    <t>10.60.130.10</t>
  </si>
  <si>
    <t>10.60.130.11</t>
  </si>
  <si>
    <t>10.60.130.12</t>
  </si>
  <si>
    <t>10.254.150.114</t>
  </si>
  <si>
    <t>9Y822S3</t>
  </si>
  <si>
    <t>10.254.150.115</t>
  </si>
  <si>
    <t>1Z822S3</t>
  </si>
  <si>
    <t>T6.IDC2-V12B</t>
  </si>
  <si>
    <t>FMRA</t>
  </si>
  <si>
    <t>10.60.129.164</t>
  </si>
  <si>
    <t>FMRA_DS</t>
  </si>
  <si>
    <t>SV_10.60.129.164-FMRADataNode164-OS</t>
  </si>
  <si>
    <t>CentOS release 6.8 kernel 2.6.32-696.23.1.el6.x86_64</t>
  </si>
  <si>
    <t>UCSC-C240-M4S2</t>
  </si>
  <si>
    <t>FCH2128V3HQ</t>
  </si>
  <si>
    <t>T6.2-A02</t>
  </si>
  <si>
    <t>10.60.129.165</t>
  </si>
  <si>
    <t>SV_10.60.129.165-FMRADataNode165-OS</t>
  </si>
  <si>
    <t>FCH2128V3HT</t>
  </si>
  <si>
    <t>10.60.129.166</t>
  </si>
  <si>
    <t>SV_10.60.129.166-FMRADataNode166-OS</t>
  </si>
  <si>
    <t>FCH2128V3JP</t>
  </si>
  <si>
    <t>T6.2-A03</t>
  </si>
  <si>
    <t>10.60.129.167</t>
  </si>
  <si>
    <t>SV_10.60.129.167-FMRADataNode167-OS</t>
  </si>
  <si>
    <t>FCH2128V3JT</t>
  </si>
  <si>
    <t>10.60.129.168</t>
  </si>
  <si>
    <t>SV_10.60.129.168-FMRADataNode168-OS</t>
  </si>
  <si>
    <t>FCH2128V3JY</t>
  </si>
  <si>
    <t>10.60.129.169</t>
  </si>
  <si>
    <t>SV_10.60.129.169-FMRADataNode169-OS</t>
  </si>
  <si>
    <t>FCH2128V3JZ</t>
  </si>
  <si>
    <t>10.60.129.170</t>
  </si>
  <si>
    <t>SV_10.60.129.170-FMRADataNode170-OS</t>
  </si>
  <si>
    <t>FCH2128V3K1</t>
  </si>
  <si>
    <t>10.60.129.171</t>
  </si>
  <si>
    <t>SV_10.60.129.171-FMRADataNode171-OS</t>
  </si>
  <si>
    <t>FCH2128V3K3</t>
  </si>
  <si>
    <t>10.60.129.172</t>
  </si>
  <si>
    <t>SV_10.60.129.172-FMRADataNode172-OS</t>
  </si>
  <si>
    <t>FCH2128V3KE</t>
  </si>
  <si>
    <t>10.60.129.173</t>
  </si>
  <si>
    <t>SV_10.60.129.173-FMRADataNode173-OS</t>
  </si>
  <si>
    <t>FCH2128V3KJ</t>
  </si>
  <si>
    <t>10.60.129.174</t>
  </si>
  <si>
    <t>SV_10.60.129.174-FMRADataNode174-OS</t>
  </si>
  <si>
    <t>FCH2128V3GM</t>
  </si>
  <si>
    <t>10.60.129.175</t>
  </si>
  <si>
    <t>SV_10.60.129.175-FMRADataNode175-OS</t>
  </si>
  <si>
    <t>FCH2128V3RH</t>
  </si>
  <si>
    <t>10.60.129.176</t>
  </si>
  <si>
    <t>FMRADataNode176-OS</t>
  </si>
  <si>
    <t>FCH2128V3RM</t>
  </si>
  <si>
    <t>10.60.129.177</t>
  </si>
  <si>
    <t>SV_10.60.129.177-FMRADataNode177-OS</t>
  </si>
  <si>
    <t>FCH2128V3SC</t>
  </si>
  <si>
    <t>10.60.129.178</t>
  </si>
  <si>
    <t>SV_10.60.129.178-FMRADataNode178-OS</t>
  </si>
  <si>
    <t>FCH2128V3SD</t>
  </si>
  <si>
    <t>10.60.129.179</t>
  </si>
  <si>
    <t>SV_10.60.129.179-FMRADataNode179-OS</t>
  </si>
  <si>
    <t>FCH2128V3SH</t>
  </si>
  <si>
    <t>10.60.129.180</t>
  </si>
  <si>
    <t>FMRADataNode180-OS</t>
  </si>
  <si>
    <t>FCH2128V3SJ</t>
  </si>
  <si>
    <t>T6.2-A05</t>
  </si>
  <si>
    <t>10.60.129.181</t>
  </si>
  <si>
    <t>SV_10.60.129.181-FMRADataNode181-OS</t>
  </si>
  <si>
    <t>FCH2128V3SK</t>
  </si>
  <si>
    <t>10.60.129.182</t>
  </si>
  <si>
    <t>SV_10.60.129.182-FMRADataNode182-OS</t>
  </si>
  <si>
    <t>FCH2128V3SM</t>
  </si>
  <si>
    <t>10.60.129.183</t>
  </si>
  <si>
    <t>SV_10.60.129.183-FMRADataNode183-OS</t>
  </si>
  <si>
    <t>FCH2128V3SP</t>
  </si>
  <si>
    <t>10.60.129.184</t>
  </si>
  <si>
    <t>SV_10.60.129.184-FMRADataNode184-OS</t>
  </si>
  <si>
    <t>FCH2128V3SY</t>
  </si>
  <si>
    <t>10.60.129.185</t>
  </si>
  <si>
    <t>SV_10.60.129.185-FMRADataNode185-OS</t>
  </si>
  <si>
    <t>FCH2128V3T0</t>
  </si>
  <si>
    <t>10.60.129.186</t>
  </si>
  <si>
    <t>SV_10.60.129.186-FMRADataNode186-OS</t>
  </si>
  <si>
    <t>FCH2128V3T6</t>
  </si>
  <si>
    <t>10.60.129.187</t>
  </si>
  <si>
    <t>SV_10.60.129.187-FMRADataNode187-OS</t>
  </si>
  <si>
    <t>FCH2128V3TB</t>
  </si>
  <si>
    <t>10.60.129.188</t>
  </si>
  <si>
    <t>SV_10.60.129.188-FMRADataNode188-OS</t>
  </si>
  <si>
    <t>FCH2129V15D</t>
  </si>
  <si>
    <t>T6.2-A06</t>
  </si>
  <si>
    <t>10.60.129.189</t>
  </si>
  <si>
    <t>SV_10.60.129.189-FMRADataNode189-OS</t>
  </si>
  <si>
    <t>FCH2128V08T</t>
  </si>
  <si>
    <t>10.60.129.190</t>
  </si>
  <si>
    <t>SV_10.60.129.190-FMRADataNode190-OS</t>
  </si>
  <si>
    <t>FCH2128V0BN</t>
  </si>
  <si>
    <t>10.60.129.191</t>
  </si>
  <si>
    <t>FMRADataNode191-OS</t>
  </si>
  <si>
    <t>FCH2128V0BJ</t>
  </si>
  <si>
    <t>10.60.129.192</t>
  </si>
  <si>
    <t>FMRADataNode192-OS</t>
  </si>
  <si>
    <t>FCH2128V026</t>
  </si>
  <si>
    <t>10.60.129.193</t>
  </si>
  <si>
    <t>SV_10.60.129.193-FMRADataNode193-OS</t>
  </si>
  <si>
    <t>FCH2129V11D</t>
  </si>
  <si>
    <t>10.60.129.208</t>
  </si>
  <si>
    <t>SV_10.60.129.208-FMRADataNode208-OS</t>
  </si>
  <si>
    <t>FCH2128V0B9</t>
  </si>
  <si>
    <t>10.60.129.209</t>
  </si>
  <si>
    <t>SV_10.60.129.209-FMRADataNode209-OS</t>
  </si>
  <si>
    <t>FCH2127V361</t>
  </si>
  <si>
    <t>T6.2-A04</t>
  </si>
  <si>
    <t>10.60.129.210</t>
  </si>
  <si>
    <t>SV_10.60.129.210-FMRADataNode210-OS</t>
  </si>
  <si>
    <t>FCH2127V2WQ</t>
  </si>
  <si>
    <t>T6.2-A01</t>
  </si>
  <si>
    <t>10.60.129.211</t>
  </si>
  <si>
    <t>SV_10.60.129.211-FMRADataNode211-OS</t>
  </si>
  <si>
    <t>FCH2127V324</t>
  </si>
  <si>
    <t>10.60.129.212</t>
  </si>
  <si>
    <t>SV_10.60.129.212-FMRADataNode212-OS</t>
  </si>
  <si>
    <t>FCH2127V34E</t>
  </si>
  <si>
    <t>10.60.129.213</t>
  </si>
  <si>
    <t>SV_10.60.129.213-FMRADataNode213-OS</t>
  </si>
  <si>
    <t>FCH2127V35G</t>
  </si>
  <si>
    <t>10.60.129.214</t>
  </si>
  <si>
    <t>SV_10.60.129.214-FMRADataNode214-OS</t>
  </si>
  <si>
    <t>FCH2127V35K</t>
  </si>
  <si>
    <t>10.60.129.215</t>
  </si>
  <si>
    <t>SV_10.60.129.215-FMRADataNode215-OS</t>
  </si>
  <si>
    <t>FCH2127V35M</t>
  </si>
  <si>
    <t>10.60.129.216</t>
  </si>
  <si>
    <t>SV_10.60.129.216-FMRADataNode216-OS</t>
  </si>
  <si>
    <t>FCH2127V35Q</t>
  </si>
  <si>
    <t>10.60.129.217</t>
  </si>
  <si>
    <t>SV_10.60.129.217-FMRADataNode217-OS</t>
  </si>
  <si>
    <t>FCH2127V35T</t>
  </si>
  <si>
    <t>10.60.129.218</t>
  </si>
  <si>
    <t>SV_10.60.129.218-FMRADataNode218-OS</t>
  </si>
  <si>
    <t>FCH2127V35U</t>
  </si>
  <si>
    <t>10.60.129.219</t>
  </si>
  <si>
    <t>SV_10.60.129.219-FMRADataNode219-OS</t>
  </si>
  <si>
    <t>FCH2127V35V</t>
  </si>
  <si>
    <t>10.60.129.220</t>
  </si>
  <si>
    <t>SV_10.60.129.220-FMRADataNode220-OS</t>
  </si>
  <si>
    <t>FCH2127V3A3</t>
  </si>
  <si>
    <t>10.60.129.221</t>
  </si>
  <si>
    <t>SV_10.60.129.221-FMRADataNode221-OS</t>
  </si>
  <si>
    <t>FCH2127V3AA</t>
  </si>
  <si>
    <t>10.60.129.222</t>
  </si>
  <si>
    <t>SV_10.60.129.222-FMRADataNode222-OS</t>
  </si>
  <si>
    <t>FCH2127V3AB</t>
  </si>
  <si>
    <t>10.60.129.223</t>
  </si>
  <si>
    <t>SV_10.60.129.223-FMRADataNode223-OS</t>
  </si>
  <si>
    <t>FCH2128V0AY</t>
  </si>
  <si>
    <t>10.60.129.224</t>
  </si>
  <si>
    <t>SV_10.60.129.224-FMRADataNode224-OS</t>
  </si>
  <si>
    <t>FCH2127V3RB</t>
  </si>
  <si>
    <t>10.60.129.225</t>
  </si>
  <si>
    <t>SV_10.60.129.225-FMRADataNode225-OS</t>
  </si>
  <si>
    <t>FCH2128V3FV</t>
  </si>
  <si>
    <t>10.60.129.226</t>
  </si>
  <si>
    <t>SV_10.60.129.226-FMRADataNode226-OS</t>
  </si>
  <si>
    <t>FCH2128V3G1</t>
  </si>
  <si>
    <t>10.60.129.227</t>
  </si>
  <si>
    <t>SV_10.60.129.227-FMRADataNode227-OS</t>
  </si>
  <si>
    <t>FCH2128V3G4</t>
  </si>
  <si>
    <t>10.60.129.228</t>
  </si>
  <si>
    <t>FMRADataNode228-OS</t>
  </si>
  <si>
    <t>FCH2128V3G8</t>
  </si>
  <si>
    <t>10.60.129.229</t>
  </si>
  <si>
    <t>SV_10.60.129.229-FMRADataNode229-OS</t>
  </si>
  <si>
    <t>FCH2128V3GD</t>
  </si>
  <si>
    <t>10.60.129.230</t>
  </si>
  <si>
    <t>SV_10.60.129.230-FMRADataNode230-OS</t>
  </si>
  <si>
    <t>FCH2128V3GH</t>
  </si>
  <si>
    <t>10.60.129.231</t>
  </si>
  <si>
    <t>SV_10.60.129.231-FMRADataNode231-OS</t>
  </si>
  <si>
    <t>FCH2128V3GK</t>
  </si>
  <si>
    <t>10.60.129.232</t>
  </si>
  <si>
    <t>SV_10.60.129.232-FMRADataNode232-OS</t>
  </si>
  <si>
    <t>FCH2128V3KP</t>
  </si>
  <si>
    <t>10.60.129.233</t>
  </si>
  <si>
    <t>SV_10.60.129.233-FMRADataNode233-OS</t>
  </si>
  <si>
    <t>FCH2128V3GV</t>
  </si>
  <si>
    <t>10.60.129.234</t>
  </si>
  <si>
    <t>SV_10.60.129.234-FMRADataNode234-OS</t>
  </si>
  <si>
    <t>FCH2128V3H2</t>
  </si>
  <si>
    <t>10.60.129.235</t>
  </si>
  <si>
    <t>SV_10.60.129.235-FMRADataNode235-OS</t>
  </si>
  <si>
    <t>FCH2128V3H8</t>
  </si>
  <si>
    <t>10.254.137.1</t>
  </si>
  <si>
    <t>CentOS release 6.8 (Final) kernel 2.6.32-754.35.1.el6.x86_64</t>
  </si>
  <si>
    <t>SGH103YCB9</t>
  </si>
  <si>
    <t>T7.2-E01</t>
  </si>
  <si>
    <t>10.254.137.2</t>
  </si>
  <si>
    <t>SGH103YCC4</t>
  </si>
  <si>
    <t>10.254.137.3</t>
  </si>
  <si>
    <t>SGH103YCBK</t>
  </si>
  <si>
    <t>10.254.137.4</t>
  </si>
  <si>
    <t>SGH103YCB5</t>
  </si>
  <si>
    <t>10.254.137.5</t>
  </si>
  <si>
    <t>SGH103YCB7</t>
  </si>
  <si>
    <t>10.254.137.6</t>
  </si>
  <si>
    <t>SGH103YC9Z</t>
  </si>
  <si>
    <t>10.254.137.7</t>
  </si>
  <si>
    <t>SGH103YCC2</t>
  </si>
  <si>
    <t>10.254.137.8</t>
  </si>
  <si>
    <t>SGH103YCC0</t>
  </si>
  <si>
    <t>10.254.137.9</t>
  </si>
  <si>
    <t>SGH103YCCG</t>
  </si>
  <si>
    <t>T7.2-E02</t>
  </si>
  <si>
    <t>10.254.137.10</t>
  </si>
  <si>
    <t>SGH103YCB1</t>
  </si>
  <si>
    <t>10.254.137.11</t>
  </si>
  <si>
    <t>SGH103YCBT</t>
  </si>
  <si>
    <t>10.254.137.12</t>
  </si>
  <si>
    <t>SGH103YCC8</t>
  </si>
  <si>
    <t>10.254.137.13</t>
  </si>
  <si>
    <t>SGH103YCBR</t>
  </si>
  <si>
    <t>10.254.137.14</t>
  </si>
  <si>
    <t>SGH103YCBF</t>
  </si>
  <si>
    <t>10.254.137.15</t>
  </si>
  <si>
    <t>SGH103YCBC</t>
  </si>
  <si>
    <t>10.254.137.16</t>
  </si>
  <si>
    <t>SGH103YC9X</t>
  </si>
  <si>
    <t>10.254.137.17</t>
  </si>
  <si>
    <t>ProLiant DL380 Gen10 Plus</t>
  </si>
  <si>
    <t>SGH103YCB3</t>
  </si>
  <si>
    <t>10.254.137.18</t>
  </si>
  <si>
    <t>SGH103YCBW</t>
  </si>
  <si>
    <t>T7.2-E03</t>
  </si>
  <si>
    <t>10.254.137.19</t>
  </si>
  <si>
    <t>SGH103YCBH</t>
  </si>
  <si>
    <t>10.254.137.20</t>
  </si>
  <si>
    <t>SGH103YCBP</t>
  </si>
  <si>
    <t>10.254.137.21</t>
  </si>
  <si>
    <t>SGH103YCCD</t>
  </si>
  <si>
    <t>10.254.137.22</t>
  </si>
  <si>
    <t>SGH103YCC6</t>
  </si>
  <si>
    <t>10.254.137.23</t>
  </si>
  <si>
    <t>SGH103YCCB</t>
  </si>
  <si>
    <t>10.254.137.24</t>
  </si>
  <si>
    <t>SGH103YCBY</t>
  </si>
  <si>
    <t>10.254.137.25</t>
  </si>
  <si>
    <t>SGH103YCBM</t>
  </si>
  <si>
    <t>10.60.129.127</t>
  </si>
  <si>
    <t>SGH620VEJT</t>
  </si>
  <si>
    <t>10.255.57.30</t>
  </si>
  <si>
    <t>SV_10.255.57.30</t>
  </si>
  <si>
    <t>SGH916TJVC</t>
  </si>
  <si>
    <t>T6.2-C05</t>
  </si>
  <si>
    <t>10.255.57.31</t>
  </si>
  <si>
    <t>SV_10.255.57.31</t>
  </si>
  <si>
    <t>10.255.57.32</t>
  </si>
  <si>
    <t>SV_10.255.57.32</t>
  </si>
  <si>
    <t>10.255.57.33</t>
  </si>
  <si>
    <t>SV_10.255.57.33</t>
  </si>
  <si>
    <t>SGH012VWRM</t>
  </si>
  <si>
    <t>10.255.57.34</t>
  </si>
  <si>
    <t>SV_10.255.57.34</t>
  </si>
  <si>
    <t>SGH916TJTX</t>
  </si>
  <si>
    <t>10.255.57.35</t>
  </si>
  <si>
    <t>SV_10.255.57.35</t>
  </si>
  <si>
    <t>10.255.57.36</t>
  </si>
  <si>
    <t>SV_10.255.57.36</t>
  </si>
  <si>
    <t>10.255.57.37</t>
  </si>
  <si>
    <t>SV_10.255.57.37</t>
  </si>
  <si>
    <t>SGH916TJTN</t>
  </si>
  <si>
    <t>10.255.56.85</t>
  </si>
  <si>
    <t>SGH906SNKM</t>
  </si>
  <si>
    <t>10.255.56.86</t>
  </si>
  <si>
    <t>SGH906SNK7</t>
  </si>
  <si>
    <t>10.255.56.87</t>
  </si>
  <si>
    <t>10.255.56.88</t>
  </si>
  <si>
    <t>MALU005852</t>
  </si>
  <si>
    <t>10.255.56.89</t>
  </si>
  <si>
    <t>10.255.56.90</t>
  </si>
  <si>
    <t>10.255.56.91</t>
  </si>
  <si>
    <t>10.255.56.92</t>
  </si>
  <si>
    <t>10.254.149.109</t>
  </si>
  <si>
    <t>Red Hat Enterprise Linux Server release 7.9 kernel 5.4.17-2102.204.4.4.el7uek.x86_64</t>
  </si>
  <si>
    <t>phonglh6</t>
  </si>
  <si>
    <t>SGH103S2Y0</t>
  </si>
  <si>
    <t>T7.2-D03</t>
  </si>
  <si>
    <t>10.254.149.110</t>
  </si>
  <si>
    <t>SGH103S2XH</t>
  </si>
  <si>
    <t>T7.2-D07</t>
  </si>
  <si>
    <t>10.240.217.75</t>
  </si>
  <si>
    <t>dr-vas03-db01-OS</t>
  </si>
  <si>
    <t>khanhnh23</t>
  </si>
  <si>
    <t>ProLiant BL460c Gen10</t>
  </si>
  <si>
    <t>SGH833SM58</t>
  </si>
  <si>
    <t>T4GVM</t>
  </si>
  <si>
    <t>GVM9104_RACK11 (T4.CNTT.DRDB.01)</t>
  </si>
  <si>
    <t>10.240.217.76</t>
  </si>
  <si>
    <t>SV_10.240.217.76-dr-vas03-db02-OS</t>
  </si>
  <si>
    <t>SGH833SM52</t>
  </si>
  <si>
    <t>10.255.64.23</t>
  </si>
  <si>
    <t>MALU005887</t>
  </si>
  <si>
    <t>10.255.64.24</t>
  </si>
  <si>
    <t>10.255.64.25</t>
  </si>
  <si>
    <t>Hệ thống Đối soát (VAS)</t>
  </si>
  <si>
    <t>10.240.175.103</t>
  </si>
  <si>
    <t>10.240.175.104</t>
  </si>
  <si>
    <t>SGH906SNX5</t>
  </si>
  <si>
    <t>10.240.175.105</t>
  </si>
  <si>
    <t>10.240.175.106</t>
  </si>
  <si>
    <t>Hệ thống Đối soát (ImportDS)</t>
  </si>
  <si>
    <t>10.255.56.160</t>
  </si>
  <si>
    <t>VTT_TTPTDL_BUSPDSKSGLDBDT</t>
  </si>
  <si>
    <t>10.255.56.161</t>
  </si>
  <si>
    <t>Hệ thống Đối soát (Quốc tế)</t>
  </si>
  <si>
    <t>10.60.106.180</t>
  </si>
  <si>
    <t>10.60.106.181</t>
  </si>
  <si>
    <t>10.60.97.80</t>
  </si>
  <si>
    <t>SV_10.60.97.80-localhost.localdomain</t>
  </si>
  <si>
    <t>Hệ thống Đối soát (Trong nước)</t>
  </si>
  <si>
    <t>10.207.161.128</t>
  </si>
  <si>
    <t>app-10.207.161.128</t>
  </si>
  <si>
    <t>SGH143TSRS</t>
  </si>
  <si>
    <t>10.207.161.129</t>
  </si>
  <si>
    <t>app-10.207.161.129</t>
  </si>
  <si>
    <t>Viettel Adhoc Report</t>
  </si>
  <si>
    <t>10.207.62.124</t>
  </si>
  <si>
    <t>Report</t>
  </si>
  <si>
    <t>2000+1500(backup)</t>
  </si>
  <si>
    <t>DB-10.207.62.124</t>
  </si>
  <si>
    <t>10.207.62.125</t>
  </si>
  <si>
    <t>DB-10.207.62.125</t>
  </si>
  <si>
    <t>10.207.62.126</t>
  </si>
  <si>
    <t>DB-10.207.62.126</t>
  </si>
  <si>
    <t>8KQR643</t>
  </si>
  <si>
    <t>10.207.163.53</t>
  </si>
  <si>
    <t>App-10.207.163.53</t>
  </si>
  <si>
    <t>SGH103S2YF</t>
  </si>
  <si>
    <t>10.207.163.54</t>
  </si>
  <si>
    <t>App-10.207.163.54</t>
  </si>
  <si>
    <t>10.207.163.55</t>
  </si>
  <si>
    <t>App-10.207.163.55</t>
  </si>
  <si>
    <t>12RR643</t>
  </si>
  <si>
    <t>10.207.163.56</t>
  </si>
  <si>
    <t>App-10.207.163.56</t>
  </si>
  <si>
    <t>10.207.163.57</t>
  </si>
  <si>
    <t>App-10.207.163.57</t>
  </si>
  <si>
    <t>VTT_TTPTDL_BUQLDLPTBC</t>
  </si>
  <si>
    <t>4BQR643</t>
  </si>
  <si>
    <t>10.207.163.58</t>
  </si>
  <si>
    <t>App-10.207.163.58</t>
  </si>
  <si>
    <t>Viettel Report</t>
  </si>
  <si>
    <t>10.60.127.2</t>
  </si>
  <si>
    <t>SV_10.60.127.2-vbi-reportdb-01-OS</t>
  </si>
  <si>
    <t>SGH637Y7RM</t>
  </si>
  <si>
    <t>T6.1-B01</t>
  </si>
  <si>
    <t>10.60.127.3</t>
  </si>
  <si>
    <t>SV_10.60.127.3-vbi-reportdb-02-OS</t>
  </si>
  <si>
    <t>SGH637Y7RS</t>
  </si>
  <si>
    <t>T6.1-B02</t>
  </si>
  <si>
    <t>10.60.129.68</t>
  </si>
  <si>
    <t>SV_10.60.129.68-VBIReport68-OS</t>
  </si>
  <si>
    <t>tuanga</t>
  </si>
  <si>
    <t>SGH637Y7RX</t>
  </si>
  <si>
    <t>T6.1-B04</t>
  </si>
  <si>
    <t>10.60.129.69</t>
  </si>
  <si>
    <t>SV_10.60.129.69-VBIReport69-OS</t>
  </si>
  <si>
    <t>SGH637Y7S0</t>
  </si>
  <si>
    <t>T6.1-B05</t>
  </si>
  <si>
    <t>10.207.155.8</t>
  </si>
  <si>
    <t>App-10.207.155.8</t>
  </si>
  <si>
    <t>Analytics_Bigdata</t>
  </si>
  <si>
    <t>10.208.216.41</t>
  </si>
  <si>
    <t>data-ch35-19-sv35-01</t>
  </si>
  <si>
    <t>5V895S3</t>
  </si>
  <si>
    <t>10.208.216.42</t>
  </si>
  <si>
    <t>data-ch35-19-sv35-02</t>
  </si>
  <si>
    <t>6V895S3</t>
  </si>
  <si>
    <t>10.208.216.43</t>
  </si>
  <si>
    <t>data-ch35-19-sv35-03</t>
  </si>
  <si>
    <t>7V895S3</t>
  </si>
  <si>
    <t>10.208.216.44</t>
  </si>
  <si>
    <t>data-ch35-19-sv35-04</t>
  </si>
  <si>
    <t>8V895S3</t>
  </si>
  <si>
    <t>10.208.217.67</t>
  </si>
  <si>
    <t>data-ch35-80-sv35-03</t>
  </si>
  <si>
    <t>9S895S3</t>
  </si>
  <si>
    <t>HKH9103_PM3.2</t>
  </si>
  <si>
    <t>CNTT3.2_BJ.08</t>
  </si>
  <si>
    <t>10.208.217.68</t>
  </si>
  <si>
    <t>data-ch35-80-sv35-04</t>
  </si>
  <si>
    <t>BS895S3</t>
  </si>
  <si>
    <t>10.208.217.77</t>
  </si>
  <si>
    <t>data-ch35-83-sv35-01</t>
  </si>
  <si>
    <t>G1FGGR3</t>
  </si>
  <si>
    <t>CNTT3.2_AZ.09</t>
  </si>
  <si>
    <t>10.208.217.78</t>
  </si>
  <si>
    <t>data-ch35-83-sv35-02</t>
  </si>
  <si>
    <t>H1FGGR3</t>
  </si>
  <si>
    <t>10.208.217.79</t>
  </si>
  <si>
    <t>data-ch35-83-sv35-03</t>
  </si>
  <si>
    <t>J1FGGR3</t>
  </si>
  <si>
    <t>10.208.217.80</t>
  </si>
  <si>
    <t>data-ch35-83-sv35-04</t>
  </si>
  <si>
    <t>12FGGR3</t>
  </si>
  <si>
    <t>Hệ thống Đối soát (Mediation phase 1)</t>
  </si>
  <si>
    <t>10.58.4.181</t>
  </si>
  <si>
    <t>MAAG001425</t>
  </si>
  <si>
    <t>10.60.96.117</t>
  </si>
  <si>
    <t>CentOS release 6.6 kernel 2.6.32-754.el6.x86_64</t>
  </si>
  <si>
    <t>10.60.96.160</t>
  </si>
  <si>
    <t>10.240.167.9</t>
  </si>
  <si>
    <t>Hệ thống Đối soát (Mediation MSC)</t>
  </si>
  <si>
    <t>10.240.167.7</t>
  </si>
  <si>
    <t>10.240.167.8</t>
  </si>
  <si>
    <t>SGH906SNWG</t>
  </si>
  <si>
    <t>10.60.96.212</t>
  </si>
  <si>
    <t xml:space="preserve">10.240.167.56 </t>
  </si>
  <si>
    <t>Mediation RA</t>
  </si>
  <si>
    <t>10.60.129.101</t>
  </si>
  <si>
    <t>fmra_app_10.60.129.101</t>
  </si>
  <si>
    <t>10.60.129.107</t>
  </si>
  <si>
    <t>fmra_app_10.60.129.107</t>
  </si>
  <si>
    <t>10.60.129.123</t>
  </si>
  <si>
    <t>App-10.60.129.123</t>
  </si>
  <si>
    <t>10.60.129.194</t>
  </si>
  <si>
    <t>SV_10.60.129.194-MEDIATION-SVR07-OS</t>
  </si>
  <si>
    <t>10.60.129.195</t>
  </si>
  <si>
    <t>SV_10.60.129.195-MEDIATION-SVR08-OS</t>
  </si>
  <si>
    <t>10.60.129.196</t>
  </si>
  <si>
    <t>SV_10.60.129.196-MEDIATION-SVR09-OS</t>
  </si>
  <si>
    <t>SGH551XV0V</t>
  </si>
  <si>
    <t>10.60.129.197</t>
  </si>
  <si>
    <t>app-10.60.129.197.novalocal-OS</t>
  </si>
  <si>
    <t>MALU005851</t>
  </si>
  <si>
    <t>10.60.129.198</t>
  </si>
  <si>
    <t>SV_10.60.129.198-MEDIATION-SVR11-OS</t>
  </si>
  <si>
    <t>10.60.129.199</t>
  </si>
  <si>
    <t>SV_10.60.129.199-MEDIATION-SVR12-OS</t>
  </si>
  <si>
    <t>SGH620VEL3</t>
  </si>
  <si>
    <t>10.60.129.200</t>
  </si>
  <si>
    <t>SV_10.60.129.200-app-10.60.129.200.novalocal-OS</t>
  </si>
  <si>
    <t>MAAG001449</t>
  </si>
  <si>
    <t>10.60.129.201</t>
  </si>
  <si>
    <t>SV_10.60.129.201-MEDIATION-SVR14-OS</t>
  </si>
  <si>
    <t>SGH551XTYV</t>
  </si>
  <si>
    <t>10.60.129.202</t>
  </si>
  <si>
    <t>SV_10.60.129.202-MEDIATION-SVR15-OS</t>
  </si>
  <si>
    <t>SGH551XYEH</t>
  </si>
  <si>
    <t>10.60.129.203</t>
  </si>
  <si>
    <t>SV_10.60.129.203-MEDIATION-SVR16-OS</t>
  </si>
  <si>
    <t>10.60.129.204</t>
  </si>
  <si>
    <t>MEDIATION-SVR17-OS</t>
  </si>
  <si>
    <t>MALU005886</t>
  </si>
  <si>
    <t>10.60.129.207</t>
  </si>
  <si>
    <t>SV_10.60.129.207-slave207-OS</t>
  </si>
  <si>
    <t>10.60.129.85</t>
  </si>
  <si>
    <t>10.60.129.85 - node_129.85-OS</t>
  </si>
  <si>
    <t>6D31LQ2</t>
  </si>
  <si>
    <t>T6.1-J01</t>
  </si>
  <si>
    <t>10.205.35.221</t>
  </si>
  <si>
    <t>Mediation-10.205.35.221</t>
  </si>
  <si>
    <t>10.205.35.222</t>
  </si>
  <si>
    <t>Mediation-10.205.35.222</t>
  </si>
  <si>
    <t>GDQR643</t>
  </si>
  <si>
    <t>10.205.35.223</t>
  </si>
  <si>
    <t>Mediation-10.205.35.223</t>
  </si>
  <si>
    <t>10.205.35.224</t>
  </si>
  <si>
    <t>Mediation-10.205.35.224</t>
  </si>
  <si>
    <t>B57XB33</t>
  </si>
  <si>
    <t>Viettel API Gateway</t>
  </si>
  <si>
    <t>10.208.95.15</t>
  </si>
  <si>
    <t>tuanha7</t>
  </si>
  <si>
    <t>Telco Core</t>
  </si>
  <si>
    <t>DB-10.208.95.15</t>
  </si>
  <si>
    <t>CentOS Linux release 7.9.2009 3.10.0-1160.71.1.el7.x86_64</t>
  </si>
  <si>
    <t>SGH213YL2L</t>
  </si>
  <si>
    <t>N3T2</t>
  </si>
  <si>
    <t>NTH9302_A05</t>
  </si>
  <si>
    <t>10.208.95.16</t>
  </si>
  <si>
    <t>DB-10.208.95.16</t>
  </si>
  <si>
    <t>SGH213YL2W</t>
  </si>
  <si>
    <t>NTH9302_A07</t>
  </si>
  <si>
    <t>10.208.95.17</t>
  </si>
  <si>
    <t>DB-10.208.95.17</t>
  </si>
  <si>
    <t>SGH213YL6K</t>
  </si>
  <si>
    <t>10.208.95.18</t>
  </si>
  <si>
    <t>DB-10.208.95.18</t>
  </si>
  <si>
    <t>SGH213YL2Z</t>
  </si>
  <si>
    <t>10.208.95.19</t>
  </si>
  <si>
    <t>DB-10.208.95.19</t>
  </si>
  <si>
    <t>SGH213YL77</t>
  </si>
  <si>
    <t>NTH9302_A04</t>
  </si>
  <si>
    <t>10.254.130.187</t>
  </si>
  <si>
    <t>CentOS Linux release 7.7 kernel 3.10.0-1160.21.1.el7.x86_64</t>
  </si>
  <si>
    <t>MAAG003082</t>
  </si>
  <si>
    <t>T6.2-L12</t>
  </si>
  <si>
    <t>10.254.130.188</t>
  </si>
  <si>
    <t>MAAG002927</t>
  </si>
  <si>
    <t>T6.2-L13</t>
  </si>
  <si>
    <t>10.254.130.189</t>
  </si>
  <si>
    <t>MAAG002928</t>
  </si>
  <si>
    <t>10.254.130.190</t>
  </si>
  <si>
    <t>MAAG002929</t>
  </si>
  <si>
    <t>10.254.130.191</t>
  </si>
  <si>
    <t>MAAG002930</t>
  </si>
  <si>
    <t>10.254.130.192</t>
  </si>
  <si>
    <t>MAAG003035</t>
  </si>
  <si>
    <t>vCOC</t>
  </si>
  <si>
    <t>10.207.161.13</t>
  </si>
  <si>
    <t>App-10.207.161.13</t>
  </si>
  <si>
    <t>5MQR643</t>
  </si>
  <si>
    <t>10.207.161.14</t>
  </si>
  <si>
    <t>App-10.207.161.14</t>
  </si>
  <si>
    <t>10.207.161.15</t>
  </si>
  <si>
    <t>App-10.207.161.15</t>
  </si>
  <si>
    <t>10.207.161.16</t>
  </si>
  <si>
    <t>App-10.207.161.16</t>
  </si>
  <si>
    <t>SGH143TSS5</t>
  </si>
  <si>
    <t>10.207.161.17</t>
  </si>
  <si>
    <t>App-10.207.161.17</t>
  </si>
  <si>
    <t>10.207.161.18</t>
  </si>
  <si>
    <t>App-10.207.161.18</t>
  </si>
  <si>
    <t>10.207.161.19</t>
  </si>
  <si>
    <t>App-10.207.161.19</t>
  </si>
  <si>
    <t>HTGS643</t>
  </si>
  <si>
    <t>10.207.161.28</t>
  </si>
  <si>
    <t>Redis-10.207.161.28</t>
  </si>
  <si>
    <t>SGH143TSTG</t>
  </si>
  <si>
    <t>10.207.161.29</t>
  </si>
  <si>
    <t>Redis-10.207.161.29</t>
  </si>
  <si>
    <t>10.207.161.30</t>
  </si>
  <si>
    <t>Redis-10.207.161.30</t>
  </si>
  <si>
    <t>H1RR643</t>
  </si>
  <si>
    <t>10.207.161.31</t>
  </si>
  <si>
    <t>Redis-10.207.161.31</t>
  </si>
  <si>
    <t>10.207.161.32</t>
  </si>
  <si>
    <t>Redis-10.207.161.32</t>
  </si>
  <si>
    <t>B1RR643</t>
  </si>
  <si>
    <t>10.207.161.33</t>
  </si>
  <si>
    <t>Redis-10.207.161.33</t>
  </si>
  <si>
    <t>10.207.161.34</t>
  </si>
  <si>
    <t>Redis-10.207.161.34</t>
  </si>
  <si>
    <t>10.207.161.35</t>
  </si>
  <si>
    <t>Redis-10.207.161.35</t>
  </si>
  <si>
    <t>10.207.161.36</t>
  </si>
  <si>
    <t>Redis-10.207.161.36</t>
  </si>
  <si>
    <t>10.207.59.52</t>
  </si>
  <si>
    <t>Telco new</t>
  </si>
  <si>
    <t>Web-10.254.158.1</t>
  </si>
  <si>
    <t>JGQR643</t>
  </si>
  <si>
    <t>T7.2-E09</t>
  </si>
  <si>
    <t>10.207.59.53</t>
  </si>
  <si>
    <t>Web-10.254.158.2</t>
  </si>
  <si>
    <t>10.207.59.55</t>
  </si>
  <si>
    <t>Web-10.254.158.4</t>
  </si>
  <si>
    <t>BQGS643</t>
  </si>
  <si>
    <t>T7.2-E06</t>
  </si>
  <si>
    <t>10.207.59.56</t>
  </si>
  <si>
    <t>Web-10.254.158.5</t>
  </si>
  <si>
    <t>10.207.59.57</t>
  </si>
  <si>
    <t>Web-10.254.158.6</t>
  </si>
  <si>
    <t>1BRR643</t>
  </si>
  <si>
    <t>T7.2-C07</t>
  </si>
  <si>
    <t>10.254.158.7</t>
  </si>
  <si>
    <t>API-10.254.158.7</t>
  </si>
  <si>
    <t>7FQR643</t>
  </si>
  <si>
    <t>10.254.158.8</t>
  </si>
  <si>
    <t>API-10.254.158.8</t>
  </si>
  <si>
    <t>10.254.158.9</t>
  </si>
  <si>
    <t>API-10.254.158.9</t>
  </si>
  <si>
    <t>13RR643</t>
  </si>
  <si>
    <t>10.254.158.10</t>
  </si>
  <si>
    <t>API-10.254.158.10</t>
  </si>
  <si>
    <t>10.254.158.11</t>
  </si>
  <si>
    <t>Redis-10.254.158.11</t>
  </si>
  <si>
    <t>10.254.158.12</t>
  </si>
  <si>
    <t>Redis-10.254.158.12</t>
  </si>
  <si>
    <t>10.254.158.13</t>
  </si>
  <si>
    <t>Redis-10.254.158.13</t>
  </si>
  <si>
    <t>10.254.158.14</t>
  </si>
  <si>
    <t>ELK-10.254.158.14</t>
  </si>
  <si>
    <t>10.254.158.15</t>
  </si>
  <si>
    <t>ELK-10.254.158.15</t>
  </si>
  <si>
    <t>2VGS643</t>
  </si>
  <si>
    <t>10.254.158.16</t>
  </si>
  <si>
    <t>ELK-10.254.158.16</t>
  </si>
  <si>
    <t>10.254.158.17</t>
  </si>
  <si>
    <t>ELK-10.254.158.17</t>
  </si>
  <si>
    <t>10.254.158.18</t>
  </si>
  <si>
    <t>DB-10.254.158.18</t>
  </si>
  <si>
    <t>10.254.158.19</t>
  </si>
  <si>
    <t>DB-10.254.158.19</t>
  </si>
  <si>
    <t>10.254.158.20</t>
  </si>
  <si>
    <t>DB-10.254.158.20</t>
  </si>
  <si>
    <t>TV360 RCM</t>
  </si>
  <si>
    <t>10.207.163.112</t>
  </si>
  <si>
    <t>app-10.207.163.112</t>
  </si>
  <si>
    <t>10.207.163.113</t>
  </si>
  <si>
    <t>app-10.207.163.113</t>
  </si>
  <si>
    <t>10.207.163.114</t>
  </si>
  <si>
    <t>app-10.207.163.114</t>
  </si>
  <si>
    <t>10.207.163.115</t>
  </si>
  <si>
    <t>app-10.207.163.115</t>
  </si>
  <si>
    <t>10.207.163.116</t>
  </si>
  <si>
    <t>app-10.207.163.116</t>
  </si>
  <si>
    <t>10.207.163.117</t>
  </si>
  <si>
    <t>app-10.207.163.117</t>
  </si>
  <si>
    <t>10.207.163.118</t>
  </si>
  <si>
    <t>app-10.207.163.118</t>
  </si>
  <si>
    <t>10.207.163.119</t>
  </si>
  <si>
    <t>app-10.207.163.119</t>
  </si>
  <si>
    <t>SGH143TSL2</t>
  </si>
  <si>
    <t>10.207.163.120</t>
  </si>
  <si>
    <t>app-10.207.163.120</t>
  </si>
  <si>
    <t>10.205.34.206</t>
  </si>
  <si>
    <t>ELK-10.205.34.206</t>
  </si>
  <si>
    <t>SGH103S2W5</t>
  </si>
  <si>
    <t>10.205.34.207</t>
  </si>
  <si>
    <t>ELK-10.205.34.207</t>
  </si>
  <si>
    <t>SGH103YC65</t>
  </si>
  <si>
    <t>10.205.34.208</t>
  </si>
  <si>
    <t>ELK-10.205.34.208</t>
  </si>
  <si>
    <t>10.205.34.209</t>
  </si>
  <si>
    <t>ELK-10.205.34.209</t>
  </si>
  <si>
    <t>SGH103S1HF</t>
  </si>
  <si>
    <t>10.205.34.210</t>
  </si>
  <si>
    <t>API-10.205.34.210</t>
  </si>
  <si>
    <t>10.205.34.211</t>
  </si>
  <si>
    <t>API-10.205.34.211</t>
  </si>
  <si>
    <t>SGH103S2XQ</t>
  </si>
  <si>
    <t>10.205.34.212</t>
  </si>
  <si>
    <t>API-10.205.34.212</t>
  </si>
  <si>
    <t>LMS</t>
  </si>
  <si>
    <t>10.30.141.74</t>
  </si>
  <si>
    <t>KTHT</t>
  </si>
  <si>
    <t>SV_10.30.141.74-csm-server-74-OS</t>
  </si>
  <si>
    <t>thanhnt75</t>
  </si>
  <si>
    <t>D6R31H2</t>
  </si>
  <si>
    <t>T2.1-C17</t>
  </si>
  <si>
    <t>10.30.141.75</t>
  </si>
  <si>
    <t>SV_10.30.141.75-localhost.localdomain-OS</t>
  </si>
  <si>
    <t>D6Q61H2</t>
  </si>
  <si>
    <t>10.30.141.76</t>
  </si>
  <si>
    <t>SV_10.30.141.76-localhost.localdomain-OS</t>
  </si>
  <si>
    <t>D6QB1H2</t>
  </si>
  <si>
    <t>10.60.135.136</t>
  </si>
  <si>
    <t>SV_10.60.135.136-videohay-encoder01-OS</t>
  </si>
  <si>
    <t>88GBF13</t>
  </si>
  <si>
    <t>10.60.135.137</t>
  </si>
  <si>
    <t>SV_10.60.135.137-videohay-encoder02-OS</t>
  </si>
  <si>
    <t>CentOS release 6.10 kernel 2.6.32-754.2.1.el6.x86_64</t>
  </si>
  <si>
    <t>FCH2117V2U3</t>
  </si>
  <si>
    <t>T6.1-L08</t>
  </si>
  <si>
    <t>VAS_BONUS</t>
  </si>
  <si>
    <t>10.60.129.71</t>
  </si>
  <si>
    <t>PTPM</t>
  </si>
  <si>
    <t>SGH645T9A7</t>
  </si>
  <si>
    <t>10.60.129.72</t>
  </si>
  <si>
    <t>10.60.127.32</t>
  </si>
  <si>
    <t>SV_10.60.127.32-SPONSOR-DB01-OS</t>
  </si>
  <si>
    <t>Oracle Linux Server release 6.6 kernel 3.8.13-44.1.1.el6uek.x86</t>
  </si>
  <si>
    <t>quannh49</t>
  </si>
  <si>
    <t>FCH20357ZA6</t>
  </si>
  <si>
    <t>10.60.127.34</t>
  </si>
  <si>
    <t>SV_10.60.127.34-SPONSOR-DB02-OS</t>
  </si>
  <si>
    <t>FCH20357ZE6</t>
  </si>
  <si>
    <t>10.60.127.36</t>
  </si>
  <si>
    <t>Mreward</t>
  </si>
  <si>
    <t>10.30.143.117</t>
  </si>
  <si>
    <t>quangvx</t>
  </si>
  <si>
    <t>IBM System x3650 M4: -[7915C2A]-</t>
  </si>
  <si>
    <t>06EAYFE</t>
  </si>
  <si>
    <t>T2.1-G16</t>
  </si>
  <si>
    <t>10.30.143.118</t>
  </si>
  <si>
    <t>IBM X3650 M4</t>
  </si>
  <si>
    <t>06DRAZH</t>
  </si>
  <si>
    <t>10.255.67.28</t>
  </si>
  <si>
    <t>10.255.67.29</t>
  </si>
  <si>
    <t>trongvd</t>
  </si>
  <si>
    <t>10.255.67.30</t>
  </si>
  <si>
    <t>Callbase</t>
  </si>
  <si>
    <t>10.58.4.3</t>
  </si>
  <si>
    <t>donlv</t>
  </si>
  <si>
    <t>SV_10.58.4.3-hadoop-master-OS</t>
  </si>
  <si>
    <t>Red Hat Enterprise Linux Server release 6.2 kernel 2.6.32-220.el6.x86_64</t>
  </si>
  <si>
    <t>PowerEdge R720</t>
  </si>
  <si>
    <t>DJ4GNW1</t>
  </si>
  <si>
    <t>PVN-T5-E05</t>
  </si>
  <si>
    <t>10.30.143.198</t>
  </si>
  <si>
    <t>SV_10.30.143.198-localhost.localdomain-OS</t>
  </si>
  <si>
    <t>CentOS release 6.4 kernel 2.6.32-358.el6.x86_64</t>
  </si>
  <si>
    <t>IBM System x3650 M4: -[7915B2A]-</t>
  </si>
  <si>
    <t>06DPZWB</t>
  </si>
  <si>
    <t>T2.1-I03</t>
  </si>
  <si>
    <t>MappingGW</t>
  </si>
  <si>
    <t>10.60.135.4</t>
  </si>
  <si>
    <t>10.60.135.15</t>
  </si>
  <si>
    <t>10.60.135.16</t>
  </si>
  <si>
    <t>MALU006571</t>
  </si>
  <si>
    <t>10.60.135.17</t>
  </si>
  <si>
    <t>10.60.135.18</t>
  </si>
  <si>
    <t>10.60.97.68</t>
  </si>
  <si>
    <t>10.60.97.69</t>
  </si>
  <si>
    <t>SGH906SNW4</t>
  </si>
  <si>
    <t>10.60.102.203</t>
  </si>
  <si>
    <t>10.60.102.204</t>
  </si>
  <si>
    <t>10.60.105.75</t>
  </si>
  <si>
    <t>SV_10.60.105.75-localhost.localdomain</t>
  </si>
  <si>
    <t>10.60.105.76</t>
  </si>
  <si>
    <t>10.30.13.116</t>
  </si>
  <si>
    <t>vmtuan</t>
  </si>
  <si>
    <t>10.30.13.117</t>
  </si>
  <si>
    <t>10.205.34.143</t>
  </si>
  <si>
    <t>CORE-10.205.34.143</t>
  </si>
  <si>
    <t>10.205.34.144</t>
  </si>
  <si>
    <t>CORE-10.205.34.144</t>
  </si>
  <si>
    <t>10.205.34.145</t>
  </si>
  <si>
    <t>CORE-10.205.34.145</t>
  </si>
  <si>
    <t>10.205.34.146</t>
  </si>
  <si>
    <t>REDIS-10.205.34.146</t>
  </si>
  <si>
    <t>10.205.34.147</t>
  </si>
  <si>
    <t>REDIS-10.205.34.147</t>
  </si>
  <si>
    <t>10.205.34.148</t>
  </si>
  <si>
    <t>REDIS-10.205.34.148</t>
  </si>
  <si>
    <t>10.60.137.5</t>
  </si>
  <si>
    <t>SV_10.60.137.5-api-db01-OS</t>
  </si>
  <si>
    <t>FCH2036J2SJ</t>
  </si>
  <si>
    <t>T6.1-A05</t>
  </si>
  <si>
    <t>10.60.137.7</t>
  </si>
  <si>
    <t>SV_10.60.137.7-api-db02-OS</t>
  </si>
  <si>
    <t>FCH20357Z9G</t>
  </si>
  <si>
    <t>NOTIFY_CSKH</t>
  </si>
  <si>
    <t>10.60.135.22</t>
  </si>
  <si>
    <t>10.60.135.23</t>
  </si>
  <si>
    <t>10.60.135.24</t>
  </si>
  <si>
    <t>10.60.135.26</t>
  </si>
  <si>
    <t>10.60.106.217</t>
  </si>
  <si>
    <t>10.60.106.218</t>
  </si>
  <si>
    <t>CentOS Linux release 6.0 (Final) kernel 2.6.32-71.el6.x86_64</t>
  </si>
  <si>
    <t>10.60.106.115</t>
  </si>
  <si>
    <t>All Blocking</t>
  </si>
  <si>
    <t>10.60.96.118</t>
  </si>
  <si>
    <t>10.58.4.24</t>
  </si>
  <si>
    <t>SV_10.58.4.24-localhost.localdomain-OS</t>
  </si>
  <si>
    <t>192.168.176.92</t>
  </si>
  <si>
    <t>10.240.175.107</t>
  </si>
  <si>
    <t>MAAG001454</t>
  </si>
  <si>
    <t>10.240.175.108</t>
  </si>
  <si>
    <t>SGH906SNVY</t>
  </si>
  <si>
    <t>10.240.175.109</t>
  </si>
  <si>
    <t>10.255.67.201</t>
  </si>
  <si>
    <t>DB-10.255.67.201</t>
  </si>
  <si>
    <t>huongnh</t>
  </si>
  <si>
    <t>10.255.67.202</t>
  </si>
  <si>
    <t>DB-10.255.67.202</t>
  </si>
  <si>
    <t>10.58.46.147</t>
  </si>
  <si>
    <t>601,3</t>
  </si>
  <si>
    <t>SV_10.58.46.147-vcLB147-OS</t>
  </si>
  <si>
    <t>MALU008604</t>
  </si>
  <si>
    <t>10.58.46.148</t>
  </si>
  <si>
    <t>SV_10.58.46.148-vcLB148-OS</t>
  </si>
  <si>
    <t>10.58.46.150</t>
  </si>
  <si>
    <t>1197,7</t>
  </si>
  <si>
    <t>SV_10.58.46.150-vcVCGW150-OS</t>
  </si>
  <si>
    <t>MALU008199</t>
  </si>
  <si>
    <t>10.58.46.166</t>
  </si>
  <si>
    <t>279,1</t>
  </si>
  <si>
    <t>SV_10.58.46.166-localhost.localdomain-OS</t>
  </si>
  <si>
    <t>MALU008613</t>
  </si>
  <si>
    <t>10.58.46.168</t>
  </si>
  <si>
    <t>SV_10.58.46.168-localhost.localdomain-OS</t>
  </si>
  <si>
    <t>10.205.35.134</t>
  </si>
  <si>
    <t>1138,2</t>
  </si>
  <si>
    <t>App-10.205.35.134</t>
  </si>
  <si>
    <t>SGH122THB1</t>
  </si>
  <si>
    <t>10.205.35.135</t>
  </si>
  <si>
    <t>App-10.205.35.135</t>
  </si>
  <si>
    <t>10.205.35.237</t>
  </si>
  <si>
    <t>923,2</t>
  </si>
  <si>
    <t>App-10.205.35.237</t>
  </si>
  <si>
    <t>SGH122TH8W</t>
  </si>
  <si>
    <t>10.205.35.238</t>
  </si>
  <si>
    <t>App-10.205.35.238</t>
  </si>
  <si>
    <t>10.205.35.239</t>
  </si>
  <si>
    <t>App-10.205.35.239</t>
  </si>
  <si>
    <t>SGH122TH9X</t>
  </si>
  <si>
    <t>10.254.156.55</t>
  </si>
  <si>
    <t>13808,2</t>
  </si>
  <si>
    <t>MAAG002517</t>
  </si>
  <si>
    <t>10.58.44.129</t>
  </si>
  <si>
    <t>SV_10.58.44.129-VCGW-APP-01-OS</t>
  </si>
  <si>
    <t>SGH650XPRW</t>
  </si>
  <si>
    <t>PVN-T5-D03</t>
  </si>
  <si>
    <t>10.58.44.130</t>
  </si>
  <si>
    <t>SV_10.58.44.130-VCGW-APP02-OS</t>
  </si>
  <si>
    <t>SGH650XPS7</t>
  </si>
  <si>
    <t>PVN-T5-D04</t>
  </si>
  <si>
    <t>Airtime</t>
  </si>
  <si>
    <t>10.58.4.14</t>
  </si>
  <si>
    <t>10.58.4.16</t>
  </si>
  <si>
    <t>SV_10.58.4.16-AirTime205-OS</t>
  </si>
  <si>
    <t>3VGS643</t>
  </si>
  <si>
    <t>10.58.4.15</t>
  </si>
  <si>
    <t>SV_10.58.4.15-AirTime204-SV_10.58.4.15-AirTime204-OS</t>
  </si>
  <si>
    <t>MALU008447</t>
  </si>
  <si>
    <t>10.58.3.22</t>
  </si>
  <si>
    <t>SV_10.58.3.22-atcdb1-OS</t>
  </si>
  <si>
    <t>10.58.3.23</t>
  </si>
  <si>
    <t>10.58.3.31</t>
  </si>
  <si>
    <t>10.255.56.155</t>
  </si>
  <si>
    <t>10.255.56.156</t>
  </si>
  <si>
    <t>10.255.56.157</t>
  </si>
  <si>
    <t>10.255.56.158</t>
  </si>
  <si>
    <t>MAAG001448</t>
  </si>
  <si>
    <t>10.255.56.159</t>
  </si>
  <si>
    <t>MAAG001436</t>
  </si>
  <si>
    <t>10.60.137.61</t>
  </si>
  <si>
    <t>371,6</t>
  </si>
  <si>
    <t>SV_10.60.137.61-airtime-db01-OS</t>
  </si>
  <si>
    <t>Oracle Linux Server release 6.8 kernel 4.1.12-124.20.7.el6uek.x86_64</t>
  </si>
  <si>
    <t>FCH2120V0A7</t>
  </si>
  <si>
    <t>T6.1-L09</t>
  </si>
  <si>
    <t>10.60.137.63</t>
  </si>
  <si>
    <t>SV_10.60.137.63-airtime-db02-OS</t>
  </si>
  <si>
    <t>FCH2119V1KJ</t>
  </si>
  <si>
    <t>T6.1-L10</t>
  </si>
  <si>
    <t>10.255.90.11</t>
  </si>
  <si>
    <t>389,8</t>
  </si>
  <si>
    <t>SV_10.255.90.11-localhost.localdomain-OS</t>
  </si>
  <si>
    <t>Oracle Linux Server release 6.10 kernel 4.1.12-124.39.5.el6uek.x86_64</t>
  </si>
  <si>
    <t>hanm24</t>
  </si>
  <si>
    <t>SGH004X5R4</t>
  </si>
  <si>
    <t>GVM9104_RACK24 (T4.CNTT.DRDB.05)</t>
  </si>
  <si>
    <t>10.255.90.12</t>
  </si>
  <si>
    <t>SV_10.255.90.12-localhost.localdomain-OS</t>
  </si>
  <si>
    <t>SGH004X5RL</t>
  </si>
  <si>
    <t>CallMeBack</t>
  </si>
  <si>
    <t>10.240.175.14</t>
  </si>
  <si>
    <t>10.207.62.82</t>
  </si>
  <si>
    <t>DB-10.207.62.82</t>
  </si>
  <si>
    <t>10.207.62.83</t>
  </si>
  <si>
    <t>DB-10.207.62.83</t>
  </si>
  <si>
    <t>VoiceOTP</t>
  </si>
  <si>
    <t>10.240.186.23</t>
  </si>
  <si>
    <t>SV_10.240.186.23-localhost.localdomain</t>
  </si>
  <si>
    <t>CentOS Linux release 7.4 kernel 3.10.0-957.1.3.el7.x86_64</t>
  </si>
  <si>
    <t>10.240.186.24</t>
  </si>
  <si>
    <t>10.240.186.25</t>
  </si>
  <si>
    <t>SV_10.240.186.25-localhost.localdomain</t>
  </si>
  <si>
    <t>SGH620VEK9</t>
  </si>
  <si>
    <t>10.240.186.26</t>
  </si>
  <si>
    <t>SV_10.240.186.26-localhost.localdomain</t>
  </si>
  <si>
    <t>10.240.188.23</t>
  </si>
  <si>
    <t>10.240.188.24</t>
  </si>
  <si>
    <t>SV_10.240.188.24-node02</t>
  </si>
  <si>
    <t>10.240.188.25</t>
  </si>
  <si>
    <t>MDM</t>
  </si>
  <si>
    <t>10.255.67.131</t>
  </si>
  <si>
    <t>bachpv1</t>
  </si>
  <si>
    <t>MALU006530</t>
  </si>
  <si>
    <t>10.255.67.132</t>
  </si>
  <si>
    <t>10.255.67.133</t>
  </si>
  <si>
    <t>10.240.158.40</t>
  </si>
  <si>
    <t>SV_10.240.158.40-KhoPhim-Encode10-OS</t>
  </si>
  <si>
    <t>FCH2129V15M</t>
  </si>
  <si>
    <t>T6.1-M13</t>
  </si>
  <si>
    <t>10.240.158.15</t>
  </si>
  <si>
    <t>SV_10.240.158.15-TopupDN-App2-OS</t>
  </si>
  <si>
    <t>FCH2129V13L</t>
  </si>
  <si>
    <t>T6.1-M11</t>
  </si>
  <si>
    <t>10.240.158.14</t>
  </si>
  <si>
    <t>SV_10.240.158.14-TopupDN-App1-OS</t>
  </si>
  <si>
    <t>FCH2129V15H</t>
  </si>
  <si>
    <t>T6.1-M10</t>
  </si>
  <si>
    <t>POKECALL</t>
  </si>
  <si>
    <t>10.255.67.182</t>
  </si>
  <si>
    <t>MAAG001424</t>
  </si>
  <si>
    <t>10.255.67.183</t>
  </si>
  <si>
    <t>MAAG001400</t>
  </si>
  <si>
    <t>10.255.67.184</t>
  </si>
  <si>
    <t>10.58.4.40</t>
  </si>
  <si>
    <t>App-10.58.4.40</t>
  </si>
  <si>
    <t>10.58.4.39</t>
  </si>
  <si>
    <t>App-10.58.4.39</t>
  </si>
  <si>
    <t>10.58.4.38</t>
  </si>
  <si>
    <t>App-10.58.4.38</t>
  </si>
  <si>
    <t>10.58.51.54</t>
  </si>
  <si>
    <t>SV_10.58.51.54-VBC7-OS</t>
  </si>
  <si>
    <t>GM2KNW1</t>
  </si>
  <si>
    <t>PVN-T8-A10</t>
  </si>
  <si>
    <t>10.58.51.6</t>
  </si>
  <si>
    <t>SV_10.58.51.6-VBC2-OS</t>
  </si>
  <si>
    <t>3GNLNW1</t>
  </si>
  <si>
    <t>10.60.96.136</t>
  </si>
  <si>
    <t>10.60.96.137</t>
  </si>
  <si>
    <t>10.58.52.25</t>
  </si>
  <si>
    <t>SV_10.58.52.25-localhost.localdomain-OS</t>
  </si>
  <si>
    <t>2WZ632S</t>
  </si>
  <si>
    <t>PVN-T5-H04</t>
  </si>
  <si>
    <t>10.58.52.26</t>
  </si>
  <si>
    <t>SV_10.58.52.26-localhost.localdomain-OS</t>
  </si>
  <si>
    <t>4FV462S</t>
  </si>
  <si>
    <t>COLLECTCALL</t>
  </si>
  <si>
    <t>10.60.106.99</t>
  </si>
  <si>
    <t>10.60.106.101</t>
  </si>
  <si>
    <t>10.254.156.52</t>
  </si>
  <si>
    <t>MAAG002487</t>
  </si>
  <si>
    <t>10.254.156.53</t>
  </si>
  <si>
    <t>MALU008165</t>
  </si>
  <si>
    <t>TC 1228</t>
  </si>
  <si>
    <t>10.60.105.62</t>
  </si>
  <si>
    <t>TC 1229</t>
  </si>
  <si>
    <t>10.60.105.64</t>
  </si>
  <si>
    <t>TC 1230</t>
  </si>
  <si>
    <t>10.255.67.4</t>
  </si>
  <si>
    <t>CentOS Linux release 7.5 kernel 3.10.0-862.3.2.el7.x86_64</t>
  </si>
  <si>
    <t>TC 1231</t>
  </si>
  <si>
    <t>10.255.67.5</t>
  </si>
  <si>
    <t>Imuzik Portal</t>
  </si>
  <si>
    <t>10.240.175.125</t>
  </si>
  <si>
    <t>SERVER_10.240.175.125</t>
  </si>
  <si>
    <t>10.240.175.126</t>
  </si>
  <si>
    <t>SERVER_10.240.175.126</t>
  </si>
  <si>
    <t>10.240.175.127</t>
  </si>
  <si>
    <t>SERVER_10.240.175.127</t>
  </si>
  <si>
    <t>10.240.175.93</t>
  </si>
  <si>
    <t>10.240.175.94</t>
  </si>
  <si>
    <t>10.240.175.95</t>
  </si>
  <si>
    <t>10.58.50.16</t>
  </si>
  <si>
    <t>SV_10.58.50.16-imizik-portal-OS</t>
  </si>
  <si>
    <t>3BH782S</t>
  </si>
  <si>
    <t>PVN-T8-A11</t>
  </si>
  <si>
    <t>10.58.50.17</t>
  </si>
  <si>
    <t>SV_10.58.50.17-ImuzikP3_DB1-OS</t>
  </si>
  <si>
    <t>CentOS release 5.5 kernel 2.6.18-194.el5xen</t>
  </si>
  <si>
    <t>JRDY32S</t>
  </si>
  <si>
    <t>PVN-T8-A12</t>
  </si>
  <si>
    <t>10.58.50.18</t>
  </si>
  <si>
    <t>SV_10.58.50.18-ImuzikP3-DB2-OS</t>
  </si>
  <si>
    <t>JQ7Z22S</t>
  </si>
  <si>
    <t>10.58.42.61</t>
  </si>
  <si>
    <t>SV_10.58.42.61-Mobitv-DB3-OS</t>
  </si>
  <si>
    <t>MAAG001398</t>
  </si>
  <si>
    <t>10.58.42.62</t>
  </si>
  <si>
    <t>SV_10.58.42.62-DB_imuzik_2-OS</t>
  </si>
  <si>
    <t>MALU008600</t>
  </si>
  <si>
    <t>NCQC</t>
  </si>
  <si>
    <t>10.60.105.95</t>
  </si>
  <si>
    <t>10.60.105.96</t>
  </si>
  <si>
    <t>SV_10.60.105.96-localhost.localdomain-localhost.localdomain</t>
  </si>
  <si>
    <t>10.254.192.49</t>
  </si>
  <si>
    <t>database-10.254.192.49</t>
  </si>
  <si>
    <t>SGH103S2Z4</t>
  </si>
  <si>
    <t>HHT9604</t>
  </si>
  <si>
    <t>HHT9604VTN02.H12</t>
  </si>
  <si>
    <t>10.254.192.50</t>
  </si>
  <si>
    <t>database-10.254.192.50</t>
  </si>
  <si>
    <t>SGH103YCMR</t>
  </si>
  <si>
    <t>HHT9604VTN02.G05</t>
  </si>
  <si>
    <t>10.207.155.69</t>
  </si>
  <si>
    <t>phunv22</t>
  </si>
  <si>
    <t>App-10.207.155.69</t>
  </si>
  <si>
    <t>hiennn10</t>
  </si>
  <si>
    <t>10.207.155.70</t>
  </si>
  <si>
    <t>App-10.207.155.70</t>
  </si>
  <si>
    <t>10.207.155.72</t>
  </si>
  <si>
    <t>App-10.207.155.72</t>
  </si>
  <si>
    <t>10.207.155.73</t>
  </si>
  <si>
    <t>App-10.207.155.73</t>
  </si>
  <si>
    <t>10.207.155.74</t>
  </si>
  <si>
    <t>App-10.207.155.74</t>
  </si>
  <si>
    <t>4BRR643</t>
  </si>
  <si>
    <t>10.207.155.75</t>
  </si>
  <si>
    <t>App-10.207.155.75</t>
  </si>
  <si>
    <t>10.207.155.76</t>
  </si>
  <si>
    <t>App-10.207.155.76</t>
  </si>
  <si>
    <t>SGH103YD00</t>
  </si>
  <si>
    <t>10.207.155.77</t>
  </si>
  <si>
    <t>App-10.207.155.77</t>
  </si>
  <si>
    <t>MAAG002344</t>
  </si>
  <si>
    <t>10.207.155.78</t>
  </si>
  <si>
    <t>App-10.207.155.78</t>
  </si>
  <si>
    <t>10.207.155.79</t>
  </si>
  <si>
    <t>App-10.207.155.79</t>
  </si>
  <si>
    <t>10.207.155.80</t>
  </si>
  <si>
    <t>App-10.207.155.80</t>
  </si>
  <si>
    <t>SGH103YC63</t>
  </si>
  <si>
    <t>10.207.155.81</t>
  </si>
  <si>
    <t>App-10.207.155.81</t>
  </si>
  <si>
    <t>SGH103YD0G</t>
  </si>
  <si>
    <t>10.207.155.82</t>
  </si>
  <si>
    <t>App-10.207.155.82</t>
  </si>
  <si>
    <t>10.207.155.83</t>
  </si>
  <si>
    <t>App-10.207.155.83</t>
  </si>
  <si>
    <t>10.207.155.84</t>
  </si>
  <si>
    <t>App-10.207.155.84</t>
  </si>
  <si>
    <t>10.207.155.85</t>
  </si>
  <si>
    <t>App-10.207.155.85</t>
  </si>
  <si>
    <t>10.207.155.86</t>
  </si>
  <si>
    <t>App-10.207.155.86</t>
  </si>
  <si>
    <t>10.207.155.87</t>
  </si>
  <si>
    <t>App-10.207.155.87</t>
  </si>
  <si>
    <t>10.207.155.88</t>
  </si>
  <si>
    <t>App-10.207.155.88</t>
  </si>
  <si>
    <t>10.207.155.89</t>
  </si>
  <si>
    <t>App-10.207.155.89</t>
  </si>
  <si>
    <t>10.207.155.90</t>
  </si>
  <si>
    <t>App-10.207.155.90</t>
  </si>
  <si>
    <t>10.207.155.91</t>
  </si>
  <si>
    <t>App-10.207.155.91</t>
  </si>
  <si>
    <t>SGH103YCZT</t>
  </si>
  <si>
    <t>10.207.155.92</t>
  </si>
  <si>
    <t>App-10.207.155.92</t>
  </si>
  <si>
    <t>10.207.155.93</t>
  </si>
  <si>
    <t>App-10.207.155.93</t>
  </si>
  <si>
    <t>10.207.155.65</t>
  </si>
  <si>
    <t>App-10.207.155.65</t>
  </si>
  <si>
    <t>10.207.155.66</t>
  </si>
  <si>
    <t>App-10.207.155.66</t>
  </si>
  <si>
    <t>10.207.155.67</t>
  </si>
  <si>
    <t>App-10.207.155.67</t>
  </si>
  <si>
    <t>10.207.62.48</t>
  </si>
  <si>
    <t>App-10.207.62.48</t>
  </si>
  <si>
    <t>10.207.62.49</t>
  </si>
  <si>
    <t>App-10.207.62.49</t>
  </si>
  <si>
    <t>10.207.62.50</t>
  </si>
  <si>
    <t>App-10.207.62.50</t>
  </si>
  <si>
    <t>10.207.62.52</t>
  </si>
  <si>
    <t>DB-10.207.62.52</t>
  </si>
  <si>
    <t>10.207.62.53</t>
  </si>
  <si>
    <t>DB-10.207.62.53</t>
  </si>
  <si>
    <t>10.207.62.54</t>
  </si>
  <si>
    <t>DB-10.207.62.54</t>
  </si>
  <si>
    <t>10.207.62.56</t>
  </si>
  <si>
    <t>DB-10.207.62.56</t>
  </si>
  <si>
    <t>10.207.62.57</t>
  </si>
  <si>
    <t>DB-10.207.62.57</t>
  </si>
  <si>
    <t>10.207.62.58</t>
  </si>
  <si>
    <t>DB-10.207.62.58</t>
  </si>
  <si>
    <t>10.207.62.106</t>
  </si>
  <si>
    <t>DB-10.207.62.106</t>
  </si>
  <si>
    <t>10.207.62.107</t>
  </si>
  <si>
    <t>DB-10.207.62.107</t>
  </si>
  <si>
    <t>10.207.62.108</t>
  </si>
  <si>
    <t>DB-10.207.62.108</t>
  </si>
  <si>
    <t>MAAG002397</t>
  </si>
  <si>
    <t>10.207.62.110</t>
  </si>
  <si>
    <t>DB-10.207.62.110</t>
  </si>
  <si>
    <t>10.207.62.111</t>
  </si>
  <si>
    <t>DB-10.207.62.111</t>
  </si>
  <si>
    <t>10.207.62.112</t>
  </si>
  <si>
    <t>DB-10.207.62.112</t>
  </si>
  <si>
    <t>10.240.158.7</t>
  </si>
  <si>
    <t>SV_10.240.158.7-MyClip-CMS1-OS</t>
  </si>
  <si>
    <t>FCH2129V014</t>
  </si>
  <si>
    <t>10.240.158.8</t>
  </si>
  <si>
    <t>SV_10.240.158.8-MyClip-CMS2-OS</t>
  </si>
  <si>
    <t>FCH2129V138</t>
  </si>
  <si>
    <t>10.240.158.9</t>
  </si>
  <si>
    <t>SV_10.240.158.9-OS</t>
  </si>
  <si>
    <t>FCH2129V18N</t>
  </si>
  <si>
    <t>10.240.158.75</t>
  </si>
  <si>
    <t>SV_10.240.158.75-SQLMyClip-DB1-OS</t>
  </si>
  <si>
    <t>FCH2129V189</t>
  </si>
  <si>
    <t>10.240.158.76</t>
  </si>
  <si>
    <t>SV_10.240.158.76-SQLMyClip-DB2-OS</t>
  </si>
  <si>
    <t>FCH2128V3R8</t>
  </si>
  <si>
    <t>10.240.158.77</t>
  </si>
  <si>
    <t>SV_10.240.158.77-SQLMyClip-DB3-OS</t>
  </si>
  <si>
    <t>FCH2127V3QT</t>
  </si>
  <si>
    <t>10.240.158.78</t>
  </si>
  <si>
    <t>SV_10.240.158.78-SQLMyClip-DB4-OS</t>
  </si>
  <si>
    <t>FCH2128V3RA</t>
  </si>
  <si>
    <t>10.240.158.30</t>
  </si>
  <si>
    <t>SV_10.240.158.30-KhoPhim-App3-OS</t>
  </si>
  <si>
    <t>FCH2129V18Y</t>
  </si>
  <si>
    <t>T6.1-M12</t>
  </si>
  <si>
    <t>10.240.158.32</t>
  </si>
  <si>
    <t>SV_10.240.158.32-KhoPhim-Encode2-OS</t>
  </si>
  <si>
    <t>FCH2129V17Z</t>
  </si>
  <si>
    <t>10.240.158.34</t>
  </si>
  <si>
    <t>SV_10.240.158.34-KhoPhim-Encode4-OS</t>
  </si>
  <si>
    <t>10.240.158.35</t>
  </si>
  <si>
    <t>SV_10.240.158.35-KhoPhim-Encode5-OS</t>
  </si>
  <si>
    <t>10.240.158.36</t>
  </si>
  <si>
    <t>SV_10.240.158.36-KhoPhim-encode6-OS</t>
  </si>
  <si>
    <t>10.60.135.139</t>
  </si>
  <si>
    <t>SV_10.60.135.139-localhost.localdomain-OS</t>
  </si>
  <si>
    <t>Red Hat Enterprise Linux Server release 7.6 kernel 3.10.0-1062.18.1.el7.x86_64</t>
  </si>
  <si>
    <t>FCH2118V064</t>
  </si>
  <si>
    <t>T6.1-L07</t>
  </si>
  <si>
    <t>10.60.135.140</t>
  </si>
  <si>
    <t>SV_10.60.135.140-videohay-memcache02-OS</t>
  </si>
  <si>
    <t>FCH2120V0Q3</t>
  </si>
  <si>
    <t>10.60.135.141</t>
  </si>
  <si>
    <t>SV_10.60.135.141-videohay-memcache03-OS</t>
  </si>
  <si>
    <t>FCH2118V0FD</t>
  </si>
  <si>
    <t>10.255.62.34</t>
  </si>
  <si>
    <t>SV_10.255.62.34-hlc6fvdm01-OS</t>
  </si>
  <si>
    <t>SGH910WP3K</t>
  </si>
  <si>
    <t>10.255.62.35</t>
  </si>
  <si>
    <t>SV_10.255.62.35-hlc6fvdm2-OS</t>
  </si>
  <si>
    <t>SGH910WP3B</t>
  </si>
  <si>
    <t>10.255.62.36</t>
  </si>
  <si>
    <t>SV_10.255.62.36-hlc6fvdm3-OS</t>
  </si>
  <si>
    <t>SGH910WP43</t>
  </si>
  <si>
    <t>VAS REPORT</t>
  </si>
  <si>
    <t>10.60.96.149</t>
  </si>
  <si>
    <t>anhpt151</t>
  </si>
  <si>
    <t>10.60.96.150</t>
  </si>
  <si>
    <t>10.240.188.6</t>
  </si>
  <si>
    <t>SV_10.240.188.6-db-voiceotp01-OS</t>
  </si>
  <si>
    <t>Red Hat Enterprise Linux Server release 7.4 kernel 4.1.12-94.8.2.el7uek.x86_64</t>
  </si>
  <si>
    <t>SGH749XKFC</t>
  </si>
  <si>
    <t>T6.2-B05</t>
  </si>
  <si>
    <t>10.240.188.8</t>
  </si>
  <si>
    <t>SV_10.240.188.8-db-voiceotp02-OS</t>
  </si>
  <si>
    <t>SGH749XKFE</t>
  </si>
  <si>
    <t>T6.2-B06</t>
  </si>
  <si>
    <t>10.240.188.10</t>
  </si>
  <si>
    <t>SV_10.240.188.10-db-voiceotp03-OS</t>
  </si>
  <si>
    <t>SGH749XKFH</t>
  </si>
  <si>
    <t>10.60.107.10</t>
  </si>
  <si>
    <t>3,48</t>
  </si>
  <si>
    <t>SV_10.60.107.10-vas-db01-OS</t>
  </si>
  <si>
    <t>SGH619V3M3</t>
  </si>
  <si>
    <t>T5.1-D03</t>
  </si>
  <si>
    <t>10.60.107.12</t>
  </si>
  <si>
    <t>SV_10.60.107.12-vas-db02-OS</t>
  </si>
  <si>
    <t>SGH619V9RP</t>
  </si>
  <si>
    <t>10.60.107.31</t>
  </si>
  <si>
    <t>SV_10.60.107.31-vas-db03-OS</t>
  </si>
  <si>
    <t>SGH619V9R0</t>
  </si>
  <si>
    <t>10.60.107.32</t>
  </si>
  <si>
    <t>SV_10.60.107.32-vas-db04-OS</t>
  </si>
  <si>
    <t>SGH619V9R2</t>
  </si>
  <si>
    <t>T5.1-D04</t>
  </si>
  <si>
    <t>Lifebox</t>
  </si>
  <si>
    <t>10.255.63.132</t>
  </si>
  <si>
    <t>Dịch vụ VAS</t>
  </si>
  <si>
    <t>MAMC005300</t>
  </si>
  <si>
    <t>10.255.63.133</t>
  </si>
  <si>
    <t>SGH906SNKR</t>
  </si>
  <si>
    <t>10.255.63.134</t>
  </si>
  <si>
    <t>10.255.63.135</t>
  </si>
  <si>
    <t>SGH906SNJQ</t>
  </si>
  <si>
    <t>10.255.63.136</t>
  </si>
  <si>
    <t>MAAG001444</t>
  </si>
  <si>
    <t>10.255.63.144</t>
  </si>
  <si>
    <t>10.255.63.145</t>
  </si>
  <si>
    <t>10.255.63.146</t>
  </si>
  <si>
    <t>MAAG001407</t>
  </si>
  <si>
    <t>10.255.67.176</t>
  </si>
  <si>
    <t>db-10.255.67.176</t>
  </si>
  <si>
    <t>Cent OS</t>
  </si>
  <si>
    <t>MAAG001412</t>
  </si>
  <si>
    <t>10.255.67.177</t>
  </si>
  <si>
    <t>db-10.255.67.177</t>
  </si>
  <si>
    <t>10.255.67.178</t>
  </si>
  <si>
    <t>db-10.255.67.178</t>
  </si>
  <si>
    <t>COMMAND_CODE</t>
  </si>
  <si>
    <t>10.60.97.70</t>
  </si>
  <si>
    <t>lamnq3</t>
  </si>
  <si>
    <t>SV_10.60.97.70-localhost.localdomain</t>
  </si>
  <si>
    <t>10.60.97.71</t>
  </si>
  <si>
    <t>SV_10.60.97.71-localhost.localdomain</t>
  </si>
  <si>
    <t>SGH906SNWX</t>
  </si>
  <si>
    <t>10.60.106.141</t>
  </si>
  <si>
    <t>10.60.106.142</t>
  </si>
  <si>
    <t>MAMC005287</t>
  </si>
  <si>
    <t>VAAA</t>
  </si>
  <si>
    <t>10.255.62.150</t>
  </si>
  <si>
    <t>VTT_TTVAS_KTHT</t>
  </si>
  <si>
    <t>10.255.62.151</t>
  </si>
  <si>
    <t>10.255.62.152</t>
  </si>
  <si>
    <t>SGH702V2TB</t>
  </si>
  <si>
    <t>10.255.62.153</t>
  </si>
  <si>
    <t>10.255.62.154</t>
  </si>
  <si>
    <t>10.255.63.163</t>
  </si>
  <si>
    <t>10.255.63.164</t>
  </si>
  <si>
    <t>MALU006576</t>
  </si>
  <si>
    <t>10.255.63.165</t>
  </si>
  <si>
    <t>MAMC005289</t>
  </si>
  <si>
    <t>10.255.63.166</t>
  </si>
  <si>
    <t>SV_10.255.63.166</t>
  </si>
  <si>
    <t>MAAG001435</t>
  </si>
  <si>
    <t>10.255.63.167</t>
  </si>
  <si>
    <t>SV_10.255.63.167</t>
  </si>
  <si>
    <t>MAMC005301</t>
  </si>
  <si>
    <t>10.255.63.168</t>
  </si>
  <si>
    <t>IIM_SERVER_60010875</t>
  </si>
  <si>
    <t>10.255.63.169</t>
  </si>
  <si>
    <t>SV_10.255.63.169</t>
  </si>
  <si>
    <t>10.255.63.170</t>
  </si>
  <si>
    <t>10.255.63.171</t>
  </si>
  <si>
    <t>MALU006574</t>
  </si>
  <si>
    <t>10.255.63.172</t>
  </si>
  <si>
    <t>UNGNGAY</t>
  </si>
  <si>
    <t>MCA</t>
  </si>
  <si>
    <t>10.58.46.6</t>
  </si>
  <si>
    <t>SIP1-OS</t>
  </si>
  <si>
    <t>PowerEdge R710</t>
  </si>
  <si>
    <t>H8DY32S</t>
  </si>
  <si>
    <t>PVN-T5-F02</t>
  </si>
  <si>
    <t>10.58.46.7</t>
  </si>
  <si>
    <t>SV_10.58.46.7-SIP2.MCA-OS</t>
  </si>
  <si>
    <t>G8DY32S</t>
  </si>
  <si>
    <t>10.58.46.8</t>
  </si>
  <si>
    <t>SV_10.58.46.8-SMS1-OS</t>
  </si>
  <si>
    <t>10.58.46.9</t>
  </si>
  <si>
    <t>SV_10.58.46.9-SMS2-OS</t>
  </si>
  <si>
    <t>MALU006550</t>
  </si>
  <si>
    <t>10.58.46.10</t>
  </si>
  <si>
    <t>SV_10.58.46.10-OMAP1-OS</t>
  </si>
  <si>
    <t>10.58.46.34</t>
  </si>
  <si>
    <t>SV_10.58.46.34-localhost.localdomain-OS</t>
  </si>
  <si>
    <t>thuong</t>
  </si>
  <si>
    <t>68DY32S</t>
  </si>
  <si>
    <t>PVN-T5-F01</t>
  </si>
  <si>
    <t>10.58.45.196</t>
  </si>
  <si>
    <t>SV_10.58.45.196-media01-OS</t>
  </si>
  <si>
    <t>CentOS release 5.8 kernel 2.6.18-308.el5xen</t>
  </si>
  <si>
    <t>SGH439WHR7</t>
  </si>
  <si>
    <t>PVN-T5-H02</t>
  </si>
  <si>
    <t>10.58.45.197</t>
  </si>
  <si>
    <t>SV_10.58.45.197-media02-OS</t>
  </si>
  <si>
    <t>SGH439WHR9</t>
  </si>
  <si>
    <t>10.58.45.198</t>
  </si>
  <si>
    <t>SV_10.58.45.198-localhost.localdomain-OS</t>
  </si>
  <si>
    <t>SGH439WHTB</t>
  </si>
  <si>
    <t>PVN-T5-H05</t>
  </si>
  <si>
    <t>10.58.45.199</t>
  </si>
  <si>
    <t>SV_10.58.45.199-localhost.localdomain-OS</t>
  </si>
  <si>
    <t>SGH439WHTF</t>
  </si>
  <si>
    <t>DCB</t>
  </si>
  <si>
    <t>10.60.106.139</t>
  </si>
  <si>
    <t>10.60.106.140</t>
  </si>
  <si>
    <t>SGH906SNKC</t>
  </si>
  <si>
    <t>10.60.106.147</t>
  </si>
  <si>
    <t>10.60.106.148</t>
  </si>
  <si>
    <t>10.240.175.116</t>
  </si>
  <si>
    <t>SERVER_10.240.175.116</t>
  </si>
  <si>
    <t>10.240.175.117</t>
  </si>
  <si>
    <t>SERVER_10.240.175.117</t>
  </si>
  <si>
    <t>SGH012VWRT</t>
  </si>
  <si>
    <t>Mydio</t>
  </si>
  <si>
    <t>10.210.103.30</t>
  </si>
  <si>
    <t>phumx</t>
  </si>
  <si>
    <t>mydio_master1-mydio_master1-10.210.103.30/24</t>
  </si>
  <si>
    <t>quanglh6</t>
  </si>
  <si>
    <t>10.210.103.31</t>
  </si>
  <si>
    <t>mydio_master2-mydio_master2-10.210.103.31/24</t>
  </si>
  <si>
    <t>SGH133VMHW</t>
  </si>
  <si>
    <t>10.210.103.32</t>
  </si>
  <si>
    <t>mydio_master3-mydio_master3-10.210.103.32/24</t>
  </si>
  <si>
    <t>10.210.103.33</t>
  </si>
  <si>
    <t>mydio_etcd1-mydio_etcd1-10.210.103.33/24</t>
  </si>
  <si>
    <t>10.210.103.34</t>
  </si>
  <si>
    <t>mydio_etcd2-mydio_etcd2-10.210.103.34/24</t>
  </si>
  <si>
    <t>10.210.103.35</t>
  </si>
  <si>
    <t>mydio_etcd3-mydio_etcd3-10.210.103.35/24</t>
  </si>
  <si>
    <t>SGH122TH9V</t>
  </si>
  <si>
    <t>10.210.103.36</t>
  </si>
  <si>
    <t>mydio_worker1-mydio_worker1-10.210.103.36/24</t>
  </si>
  <si>
    <t>10.210.103.37</t>
  </si>
  <si>
    <t>mydio_worker2-mydio_worker2-10.210.103.37/24</t>
  </si>
  <si>
    <t>SGH133VMH7</t>
  </si>
  <si>
    <t>10.210.103.38</t>
  </si>
  <si>
    <t>mydio_worker3-mydio_worker3-10.210.103.38/24</t>
  </si>
  <si>
    <t>SGH133VSCT</t>
  </si>
  <si>
    <t>10.210.103.39</t>
  </si>
  <si>
    <t>mydio_worker4-mydio_worker4-10.210.103.39/24</t>
  </si>
  <si>
    <t>SGH133VMHC</t>
  </si>
  <si>
    <t>10.210.103.40</t>
  </si>
  <si>
    <t>mydio_worker5-mydio_worker5-10.210.103.40/24</t>
  </si>
  <si>
    <t>10.210.103.41</t>
  </si>
  <si>
    <t>mydio_worker6-mydio_worker6-10.210.103.41/24</t>
  </si>
  <si>
    <t>10.210.103.42</t>
  </si>
  <si>
    <t>mydio_worker7-mydio_worker7-10.210.103.42/24</t>
  </si>
  <si>
    <t>10.210.103.43</t>
  </si>
  <si>
    <t>mydio_worker8-mydio_worker8-10.210.103.43/24</t>
  </si>
  <si>
    <t>10.210.103.44</t>
  </si>
  <si>
    <t>mydio_worker9-mydio_worker9-10.210.103.44/24</t>
  </si>
  <si>
    <t>10.210.103.45</t>
  </si>
  <si>
    <t>mydio_worker10-mydio_worker10-10.210.103.45/24</t>
  </si>
  <si>
    <t>10.210.103.46</t>
  </si>
  <si>
    <t>mydio_worker11-mydio_worker11-10.210.103.46/24</t>
  </si>
  <si>
    <t>10.210.103.47</t>
  </si>
  <si>
    <t>mydio_worker12-mydio_worker12-10.210.103.47/24</t>
  </si>
  <si>
    <t>10.210.103.48</t>
  </si>
  <si>
    <t>mydio_encoder1-mydio_encoder1-10.210.103.48/24</t>
  </si>
  <si>
    <t>10.210.103.49</t>
  </si>
  <si>
    <t>mydio_encoder2-mydio_encoder2-10.210.103.49/24</t>
  </si>
  <si>
    <t>10.210.103.50</t>
  </si>
  <si>
    <t>mydio_encoder3-mydio_encoder3-10.210.103.50/24</t>
  </si>
  <si>
    <t>10.210.103.51</t>
  </si>
  <si>
    <t>mydio_encoder4-mydio_encoder4-10.210.103.51/24</t>
  </si>
  <si>
    <t>10.207.191.32</t>
  </si>
  <si>
    <t>mydio_redis1-mydio_redis1-10.207.191.32/24</t>
  </si>
  <si>
    <t>10.207.191.33</t>
  </si>
  <si>
    <t>mydio_redis2-mydio_redis2-10.207.191.33/24</t>
  </si>
  <si>
    <t>SGH133VSDN</t>
  </si>
  <si>
    <t>10.207.191.34</t>
  </si>
  <si>
    <t>mydio_redis3-mydio_redis3-10.207.191.34/24</t>
  </si>
  <si>
    <t>10.207.191.35</t>
  </si>
  <si>
    <t>mydio_redis4-mydio_redis4-10.207.191.35/24</t>
  </si>
  <si>
    <t>10.207.191.36</t>
  </si>
  <si>
    <t>mydio_redis5-mydio_redis5-10.207.191.36/24</t>
  </si>
  <si>
    <t>10.207.191.37</t>
  </si>
  <si>
    <t>mydio_redis6-mydio_redis6-10.207.191.37/24</t>
  </si>
  <si>
    <t>10.210.103.52</t>
  </si>
  <si>
    <t>mydio_elasticsearch1-mydio_elasticsearch1-10.210.103.52/24</t>
  </si>
  <si>
    <t>10.210.103.53</t>
  </si>
  <si>
    <t>mydio_elasticsearch2-mydio_elasticsearch2-10.210.103.53/24</t>
  </si>
  <si>
    <t>10.210.103.54</t>
  </si>
  <si>
    <t>mydio_elasticsearch3-mydio_elasticsearch3-10.210.103.54/24</t>
  </si>
  <si>
    <t>10.210.103.55</t>
  </si>
  <si>
    <t>mydio_elasticsearch4-mydio_elasticsearch4-10.210.103.55/24</t>
  </si>
  <si>
    <t>10.210.103.56</t>
  </si>
  <si>
    <t>mydio_kafka1-mydio_kafka1-10.210.103.56/24</t>
  </si>
  <si>
    <t>10.210.103.57</t>
  </si>
  <si>
    <t>mydio_kafka2-mydio_kafka2-10.210.103.57/24</t>
  </si>
  <si>
    <t>10.210.103.58</t>
  </si>
  <si>
    <t>mydio_kafka3-mydio_kafka3-10.210.103.58/24</t>
  </si>
  <si>
    <t>10.210.103.59</t>
  </si>
  <si>
    <t>mydio_kafka4-mydio_kafka4-10.210.103.59/24</t>
  </si>
  <si>
    <t>10.207.191.38</t>
  </si>
  <si>
    <t>mydioDB_cms1-mydioDB_cms1-10.207.191.38/24</t>
  </si>
  <si>
    <t>10.207.191.39</t>
  </si>
  <si>
    <t>mydioDB_cms2-mydioDB_cms2-10.207.191.39/24</t>
  </si>
  <si>
    <t>10.207.191.40</t>
  </si>
  <si>
    <t>mydioDB_cms3-mydioDB_cms3-10.207.191.40/24</t>
  </si>
  <si>
    <t>10.207.191.41</t>
  </si>
  <si>
    <t>mydioDB_user1-mydioDB_user1-10.207.191.41/24</t>
  </si>
  <si>
    <t>10.207.191.42</t>
  </si>
  <si>
    <t>mydioDB_user2-mydioDB_user2-10.207.191.42/24</t>
  </si>
  <si>
    <t>10.207.191.43</t>
  </si>
  <si>
    <t>mydioDB_user3-mydioDB_user3-10.207.191.43/24</t>
  </si>
  <si>
    <t>10.207.191.104</t>
  </si>
  <si>
    <t>mydioDB_audiobook1-mydioDB_audiobook1-10.207.191.104/24</t>
  </si>
  <si>
    <t>10.207.191.105</t>
  </si>
  <si>
    <t>mydioDB_audiobook2-mydioDB_audiobook2-10.207.191.105/24</t>
  </si>
  <si>
    <t>10.207.191.106</t>
  </si>
  <si>
    <t>mydioDB_audiobook3-mydioDB_audiobook3-10.207.191.106/24</t>
  </si>
  <si>
    <t>10.207.191.107</t>
  </si>
  <si>
    <t>mydioDB_personal1-mydioDB_personal1-10.207.191.107/24</t>
  </si>
  <si>
    <t>10.207.191.108</t>
  </si>
  <si>
    <t>mydioDB_personal2-mydioDB_personal2-10.207.191.108/24</t>
  </si>
  <si>
    <t>10.207.191.109</t>
  </si>
  <si>
    <t>mydioDB_personal3-mydioDB_personal3-10.207.191.109/24</t>
  </si>
  <si>
    <t>10.207.191.110</t>
  </si>
  <si>
    <t>mydioDB_payment1-mydioDB_payment1-10.207.191.110/24</t>
  </si>
  <si>
    <t>10.207.191.111</t>
  </si>
  <si>
    <t>mydioDB_payment2-mydioDB_payment2-10.207.191.111/24</t>
  </si>
  <si>
    <t>10.207.191.112</t>
  </si>
  <si>
    <t>mydioDB_payment3-mydioDB_payment3-10.207.191.112/24</t>
  </si>
  <si>
    <t>10.207.191.113</t>
  </si>
  <si>
    <t>mydioDB_notification1-mydioDB_notification1-10.207.191.113/24</t>
  </si>
  <si>
    <t>10.207.191.114</t>
  </si>
  <si>
    <t>mydioDB_notification1-mydioDB_notification1-10.207.191.114/24</t>
  </si>
  <si>
    <t>10.207.191.115</t>
  </si>
  <si>
    <t>mydioDB_notification1-mydioDB_notification1-10.207.191.115/24</t>
  </si>
  <si>
    <t>V2T</t>
  </si>
  <si>
    <t>10.60.106.105</t>
  </si>
  <si>
    <t>10.60.106.109</t>
  </si>
  <si>
    <t>10.60.106.106</t>
  </si>
  <si>
    <t>10.60.106.107</t>
  </si>
  <si>
    <t>10.60.106.108</t>
  </si>
  <si>
    <t>10.60.135.52</t>
  </si>
  <si>
    <t>SV_10.60.135.52-localhost.localdomain</t>
  </si>
  <si>
    <t>MALU006502</t>
  </si>
  <si>
    <t>10.60.135.53</t>
  </si>
  <si>
    <t>10.60.135.54</t>
  </si>
  <si>
    <t>SV_10.60.135.54-localhost.localdomain</t>
  </si>
  <si>
    <t>10.60.135.144</t>
  </si>
  <si>
    <t>SV_10.60.135.144-vm-media01-OS</t>
  </si>
  <si>
    <t>10.60.135.145</t>
  </si>
  <si>
    <t>SV_10.60.135.145-vm-media02-OS</t>
  </si>
  <si>
    <t>10.60.135.146</t>
  </si>
  <si>
    <t>SV_10.60.135.146-vm-process01-OS</t>
  </si>
  <si>
    <t>10.60.135.147</t>
  </si>
  <si>
    <t>SV_10.60.135.147-vm-process02-OS</t>
  </si>
  <si>
    <t>MALU006578</t>
  </si>
  <si>
    <t>10.240.184.1</t>
  </si>
  <si>
    <t>CentOS Linux release 7.4 kernel 3.10.0-693.21.1.el7.x86_64</t>
  </si>
  <si>
    <t>MALU005878</t>
  </si>
  <si>
    <t>10.240.184.2</t>
  </si>
  <si>
    <t>10.240.184.3</t>
  </si>
  <si>
    <t>SV_10.240.184.3-voicemessage_app3</t>
  </si>
  <si>
    <t>10.240.184.4</t>
  </si>
  <si>
    <t>10.60.107.4</t>
  </si>
  <si>
    <t>SV_10.60.107.5-db-vasb1-OS</t>
  </si>
  <si>
    <t>SGH619V3LN</t>
  </si>
  <si>
    <t>10.60.107.41</t>
  </si>
  <si>
    <t>SV_10.60.107.39-db-vasb3-OS</t>
  </si>
  <si>
    <t>SGH619V9RV</t>
  </si>
  <si>
    <t>10.255.90.51</t>
  </si>
  <si>
    <t>SV_10.255.90.17-localhost.localdomain-OS</t>
  </si>
  <si>
    <t>Oracle Linux Server release 6.10 kernel 4.1.12-124.40.6.el6uek.x86_64</t>
  </si>
  <si>
    <t>SGH004X5R2</t>
  </si>
  <si>
    <t>GVM9104_RACK25 (T4.CNTT.DRDB.06)</t>
  </si>
  <si>
    <t>10.255.90.52</t>
  </si>
  <si>
    <t>SV_10.255.90.18-localhost.localdomain-OS</t>
  </si>
  <si>
    <t>SGH004X5RG</t>
  </si>
  <si>
    <t>USSD_800</t>
  </si>
  <si>
    <t>10.60.5.55</t>
  </si>
  <si>
    <t>10.60.5.56</t>
  </si>
  <si>
    <t>10.207.62.79</t>
  </si>
  <si>
    <t>DB-10.207.62.79</t>
  </si>
  <si>
    <t>10.207.62.80</t>
  </si>
  <si>
    <t>DB-10.207.62.80</t>
  </si>
  <si>
    <t>TopupRW</t>
  </si>
  <si>
    <t>10.240.175.98</t>
  </si>
  <si>
    <t>10.240.175.99</t>
  </si>
  <si>
    <t>10.240.175.100</t>
  </si>
  <si>
    <t>10.240.175.101</t>
  </si>
  <si>
    <t>10.255.67.128</t>
  </si>
  <si>
    <t>10.255.67.129</t>
  </si>
  <si>
    <t>QTAN</t>
  </si>
  <si>
    <t>10.58.128.66</t>
  </si>
  <si>
    <t>SV_10.58.128.66-VMLC66-OS</t>
  </si>
  <si>
    <t>Red Hat Enterprise Linux Server release 6.0 kernel 2.6.32-431.20.3.el6.x86_64</t>
  </si>
  <si>
    <t>HPSH92S</t>
  </si>
  <si>
    <t>PVN-T5-B05</t>
  </si>
  <si>
    <t>10.58.128.67</t>
  </si>
  <si>
    <t>SV_10.58.128.67-VMLC67-OS</t>
  </si>
  <si>
    <t>GPSH92S</t>
  </si>
  <si>
    <t>10.58.128.68</t>
  </si>
  <si>
    <t>SV_10.58.128.68-ivr_media_1-OS</t>
  </si>
  <si>
    <t>34SH92S</t>
  </si>
  <si>
    <t>10.58.128.69</t>
  </si>
  <si>
    <t>SV_10.58.128.69-ivr_media_2-OS</t>
  </si>
  <si>
    <t>B55J92S</t>
  </si>
  <si>
    <t>10.58.128.70</t>
  </si>
  <si>
    <t>SV_10.58.128.70-localhost.localdomain-OS</t>
  </si>
  <si>
    <t>H55J92S</t>
  </si>
  <si>
    <t>10.58.128.71</t>
  </si>
  <si>
    <t>SV_10.58.128.71-localhost.localdomain-OS</t>
  </si>
  <si>
    <t>G55J92S</t>
  </si>
  <si>
    <t>10.58.128.73</t>
  </si>
  <si>
    <t>SV_10.58.128.73-ivr_app2-OS</t>
  </si>
  <si>
    <t>C55J92S</t>
  </si>
  <si>
    <t>10.58.128.79</t>
  </si>
  <si>
    <t>SV_10.58.128.79-localhost.localdomain-OS</t>
  </si>
  <si>
    <t>JCH782S</t>
  </si>
  <si>
    <t>PVN-T5-C07</t>
  </si>
  <si>
    <t>10.254.156.43</t>
  </si>
  <si>
    <t>MAAG002471</t>
  </si>
  <si>
    <t>10.254.156.44</t>
  </si>
  <si>
    <t>MAAG002473</t>
  </si>
  <si>
    <t>Ishare (rechargeme)</t>
  </si>
  <si>
    <t>10.60.106.96</t>
  </si>
  <si>
    <t>10054,8</t>
  </si>
  <si>
    <t>10.60.106.97</t>
  </si>
  <si>
    <t>10.240.175.5</t>
  </si>
  <si>
    <t>10.240.175.6</t>
  </si>
  <si>
    <t>10.255.67.204</t>
  </si>
  <si>
    <t>DB-10.255.67.204</t>
  </si>
  <si>
    <t>10.255.67.205</t>
  </si>
  <si>
    <t>DB-10.255.67.205</t>
  </si>
  <si>
    <t>CallForward</t>
  </si>
  <si>
    <t>10.30.143.68</t>
  </si>
  <si>
    <t>SV_10.30.143.68-VAS-APP31-OS</t>
  </si>
  <si>
    <t>SGH447W81R</t>
  </si>
  <si>
    <t>T2.1-G15</t>
  </si>
  <si>
    <t>10.30.143.69</t>
  </si>
  <si>
    <t>SV_10.30.143.69-VAS-APP32-OS</t>
  </si>
  <si>
    <t>SGH447W81P</t>
  </si>
  <si>
    <t>10.255.67.43</t>
  </si>
  <si>
    <t>10.255.67.44</t>
  </si>
  <si>
    <t>(TTOL_QTAN)</t>
  </si>
  <si>
    <t>10.240.158.16</t>
  </si>
  <si>
    <t>SV_10.240.158.16-Telesale-App1-OS</t>
  </si>
  <si>
    <t>FCH2127V3BD</t>
  </si>
  <si>
    <t>10.240.158.18</t>
  </si>
  <si>
    <t>SV_10.240.158.18-Telesale-App3-OS</t>
  </si>
  <si>
    <t>FCH2129V152</t>
  </si>
  <si>
    <t>10.60.135.131</t>
  </si>
  <si>
    <t>SV_10.60.135.131-vdn-app-core01-OS</t>
  </si>
  <si>
    <t>CentOS release 6.9 kernel 2.6.32-754.2.1.el6.x86_64</t>
  </si>
  <si>
    <t>FCH2120V0T4</t>
  </si>
  <si>
    <t>T6.1-L11</t>
  </si>
  <si>
    <t>10.60.135.132</t>
  </si>
  <si>
    <t>SV_10.60.135.132-vdn-app-core02-OS</t>
  </si>
  <si>
    <t>FCH2119V3GV</t>
  </si>
  <si>
    <t>T6.1-L12</t>
  </si>
  <si>
    <t>10.60.135.133</t>
  </si>
  <si>
    <t>SV_10.60.135.133-vdn-app-core03-OS</t>
  </si>
  <si>
    <t>FCH2120V0DN</t>
  </si>
  <si>
    <t>T6.1-L13</t>
  </si>
  <si>
    <t>10.60.135.134</t>
  </si>
  <si>
    <t>SV_10.60.135.134-vdn-cms01-OS</t>
  </si>
  <si>
    <t>FCH2120V10A</t>
  </si>
  <si>
    <t>10.60.135.135</t>
  </si>
  <si>
    <t>SV_10.60.135.135-vdn-cms02-OS</t>
  </si>
  <si>
    <t>FCH2119V43T</t>
  </si>
  <si>
    <t>10.60.135.170</t>
  </si>
  <si>
    <t>10.240.158.21</t>
  </si>
  <si>
    <t>SV_10.240.158.21-ViDN_App1-OS</t>
  </si>
  <si>
    <t>FCH2128V3R6</t>
  </si>
  <si>
    <t>10.58.51.31</t>
  </si>
  <si>
    <t>8NNJF2S</t>
  </si>
  <si>
    <t>10.58.46.139</t>
  </si>
  <si>
    <t>SV_10.58.46.139-OS</t>
  </si>
  <si>
    <t>Red Hat Enterprise Linux Server release 6.0 kernel 2.6.32-71.el6.x86_64</t>
  </si>
  <si>
    <t>974N22S</t>
  </si>
  <si>
    <t>10.240.158.3</t>
  </si>
  <si>
    <t>SV_10.240.158.3-Telesale-CMS1-OS</t>
  </si>
  <si>
    <t>FCH2129V15F</t>
  </si>
  <si>
    <t>10.240.158.4</t>
  </si>
  <si>
    <t>SV_10.240.158.4-Telesale-CMS2-OS</t>
  </si>
  <si>
    <t>FCH2129V13T</t>
  </si>
  <si>
    <t>10.240.158.5</t>
  </si>
  <si>
    <t>SV_10.240.158.5-ViDN-CMS1-OS</t>
  </si>
  <si>
    <t>FCH2129V153</t>
  </si>
  <si>
    <t>10.240.158.6</t>
  </si>
  <si>
    <t>SV_10.240.158.6-ViDN-CMS2-OS</t>
  </si>
  <si>
    <t>FCH2129V154</t>
  </si>
  <si>
    <t>10.60.135.142</t>
  </si>
  <si>
    <t>SV_10.60.135.142-videohay-wap01-OS</t>
  </si>
  <si>
    <t>FCH2118V0SD</t>
  </si>
  <si>
    <t>10.60.135.143</t>
  </si>
  <si>
    <t>SV_10.60.135.143-videohay-wap02-OS</t>
  </si>
  <si>
    <t>SGH551XYCM</t>
  </si>
  <si>
    <t>10.58.46.171</t>
  </si>
  <si>
    <t>5WZV62S</t>
  </si>
  <si>
    <t>PVN-T5-E03</t>
  </si>
  <si>
    <t>10.58.46.174</t>
  </si>
  <si>
    <t>354Y32S</t>
  </si>
  <si>
    <t>10.58.46.177</t>
  </si>
  <si>
    <t>5SDY32S</t>
  </si>
  <si>
    <t>10.58.46.179</t>
  </si>
  <si>
    <t>43G782S</t>
  </si>
  <si>
    <t>10.58.46.178</t>
  </si>
  <si>
    <t>5BH782S</t>
  </si>
  <si>
    <t>10.58.69.138</t>
  </si>
  <si>
    <t>SV_10.58.69.138-localhost.localdomain-OS</t>
  </si>
  <si>
    <t>System x3650 M4 : -[7915C2A]-</t>
  </si>
  <si>
    <t>06XXEZ1</t>
  </si>
  <si>
    <t>PVN-T5-E01</t>
  </si>
  <si>
    <t>10.60.135.167</t>
  </si>
  <si>
    <t>10.60.135.168</t>
  </si>
  <si>
    <t>10.60.135.169</t>
  </si>
  <si>
    <t>10.60.135.171</t>
  </si>
  <si>
    <t>10.60.135.172</t>
  </si>
  <si>
    <t>10.240.158.26</t>
  </si>
  <si>
    <t>SV_10.240.158.26-PhimPortal-App1-OS</t>
  </si>
  <si>
    <t>FCH2128V3S7</t>
  </si>
  <si>
    <t>10.60.97.143</t>
  </si>
  <si>
    <t>SV_10.60.97.143-server-10-60-97-143-OS</t>
  </si>
  <si>
    <t>SGH619V3KR</t>
  </si>
  <si>
    <t>10.58.51.52</t>
  </si>
  <si>
    <t>SV_10.58.51.52-VBC5-OS</t>
  </si>
  <si>
    <t>PowerEdge R900</t>
  </si>
  <si>
    <t>GCCV22S</t>
  </si>
  <si>
    <t>10.255.90.30</t>
  </si>
  <si>
    <t>SV_10.255.90.3-localhost.localdomain-OS</t>
  </si>
  <si>
    <t>Red Hat Enterprise Linux Server release 7.7 kernel 4.14.35-1902.302.2.el7uek.x86_64</t>
  </si>
  <si>
    <t>SGH004X5R6</t>
  </si>
  <si>
    <t>10.255.90.31</t>
  </si>
  <si>
    <t>SV_10.255.90.4-localhost.localdomain-OS</t>
  </si>
  <si>
    <t>SGH004X5RZ</t>
  </si>
  <si>
    <t>10.60.137.54</t>
  </si>
  <si>
    <t>SV_10.60.137.53-dsg-db01-OS</t>
  </si>
  <si>
    <t>Oracle Linux Server release 6.8 kernel 4.1.12-124.15.2.el6uek.x86</t>
  </si>
  <si>
    <t>FCH2119V2K7</t>
  </si>
  <si>
    <t>10.60.137.57</t>
  </si>
  <si>
    <t>SV_10.60.137.56-dsg-db02-OS</t>
  </si>
  <si>
    <t>FCH2120V0UQ</t>
  </si>
  <si>
    <t>SGH133VSD8</t>
  </si>
  <si>
    <t>SGH133VMHP</t>
  </si>
  <si>
    <t>SGH133VMH9</t>
  </si>
  <si>
    <t>SGH122TH9D</t>
  </si>
  <si>
    <t>10.254.157.183</t>
  </si>
  <si>
    <t>MySQL-10.254.157.183</t>
  </si>
  <si>
    <t>SGH103S2W7</t>
  </si>
  <si>
    <t>10.254.157.184</t>
  </si>
  <si>
    <t>MySQL-10.254.157.184</t>
  </si>
  <si>
    <t>10.254.157.185</t>
  </si>
  <si>
    <t>MySQL-10.254.157.185</t>
  </si>
  <si>
    <t>SGH103S2YK</t>
  </si>
  <si>
    <t>SGH133VMH3</t>
  </si>
  <si>
    <t>SGH133VSDG</t>
  </si>
  <si>
    <t>SGH122TH98</t>
  </si>
  <si>
    <t>SGH122TH9Q</t>
  </si>
  <si>
    <t>SGH133VS57</t>
  </si>
  <si>
    <t>SGH133VS51</t>
  </si>
  <si>
    <t>SGH133VS5F</t>
  </si>
  <si>
    <t>10.254.157.187</t>
  </si>
  <si>
    <t>Mongodb-10.254.157.187</t>
  </si>
  <si>
    <t>SGH103S2WC</t>
  </si>
  <si>
    <t>10.254.157.188</t>
  </si>
  <si>
    <t>Mongodb-10.254.157.188</t>
  </si>
  <si>
    <t>10.254.157.189</t>
  </si>
  <si>
    <t>Mongodb-10.254.157.189</t>
  </si>
  <si>
    <t>NCDN</t>
  </si>
  <si>
    <t>TV360</t>
  </si>
  <si>
    <t>10.254.146.4</t>
  </si>
  <si>
    <t>App-10.254.146.4</t>
  </si>
  <si>
    <t>chinh1</t>
  </si>
  <si>
    <t>MAAG002332</t>
  </si>
  <si>
    <t>10.254.146.5</t>
  </si>
  <si>
    <t>App-10.254.146.5</t>
  </si>
  <si>
    <t>MAAG002431</t>
  </si>
  <si>
    <t>10.254.146.6</t>
  </si>
  <si>
    <t>App-10.254.146.6</t>
  </si>
  <si>
    <t>MAAG002489</t>
  </si>
  <si>
    <t>10.254.146.7</t>
  </si>
  <si>
    <t>App-10.254.146.7</t>
  </si>
  <si>
    <t>MAAG002348</t>
  </si>
  <si>
    <t>10.254.146.8</t>
  </si>
  <si>
    <t>App-10.254.146.8</t>
  </si>
  <si>
    <t>MAAG002430</t>
  </si>
  <si>
    <t>10.254.146.9</t>
  </si>
  <si>
    <t>App-10.254.146.9</t>
  </si>
  <si>
    <t>10.254.146.10</t>
  </si>
  <si>
    <t>App-10.254.146.10</t>
  </si>
  <si>
    <t>10.254.146.11</t>
  </si>
  <si>
    <t>App-10.254.146.11</t>
  </si>
  <si>
    <t>SGH213YL50</t>
  </si>
  <si>
    <t>10.254.146.12</t>
  </si>
  <si>
    <t>App-10.254.146.12</t>
  </si>
  <si>
    <t>10.254.146.13</t>
  </si>
  <si>
    <t>App-10.254.146.13</t>
  </si>
  <si>
    <t>10.254.146.14</t>
  </si>
  <si>
    <t>App-10.254.146.14</t>
  </si>
  <si>
    <t>SGH143TSN4</t>
  </si>
  <si>
    <t>10.254.146.15</t>
  </si>
  <si>
    <t>App-10.254.146.15</t>
  </si>
  <si>
    <t>FGQR643</t>
  </si>
  <si>
    <t>10.254.146.16</t>
  </si>
  <si>
    <t>App-10.254.146.16</t>
  </si>
  <si>
    <t>10.254.146.17</t>
  </si>
  <si>
    <t>App-10.254.146.17</t>
  </si>
  <si>
    <t>SGH143TSX1</t>
  </si>
  <si>
    <t>10.254.146.18</t>
  </si>
  <si>
    <t>App-10.254.146.18</t>
  </si>
  <si>
    <t>10.254.146.19</t>
  </si>
  <si>
    <t>App-10.254.146.19</t>
  </si>
  <si>
    <t>10.254.146.20</t>
  </si>
  <si>
    <t>App-10.254.146.20</t>
  </si>
  <si>
    <t>SGH103S2ZQ</t>
  </si>
  <si>
    <t>10.254.146.21</t>
  </si>
  <si>
    <t>App-10.254.146.21</t>
  </si>
  <si>
    <t>SGH103S1GX</t>
  </si>
  <si>
    <t>10.254.146.22</t>
  </si>
  <si>
    <t>App-10.254.146.22</t>
  </si>
  <si>
    <t>10.254.146.23</t>
  </si>
  <si>
    <t>App-10.254.146.23</t>
  </si>
  <si>
    <t>10.254.146.24</t>
  </si>
  <si>
    <t>App-10.254.146.24</t>
  </si>
  <si>
    <t>10.254.146.25</t>
  </si>
  <si>
    <t>App-10.254.146.25</t>
  </si>
  <si>
    <t>SGH143TSRJ</t>
  </si>
  <si>
    <t>10.254.146.26</t>
  </si>
  <si>
    <t>App-10.254.146.26</t>
  </si>
  <si>
    <t>SGH143TSXP</t>
  </si>
  <si>
    <t>10.254.146.27</t>
  </si>
  <si>
    <t>App-10.254.146.27</t>
  </si>
  <si>
    <t>10.254.146.28</t>
  </si>
  <si>
    <t>App-10.254.146.28</t>
  </si>
  <si>
    <t>SGH213YKH2</t>
  </si>
  <si>
    <t>10.254.146.29</t>
  </si>
  <si>
    <t>App-10.254.146.29</t>
  </si>
  <si>
    <t>10.254.146.30</t>
  </si>
  <si>
    <t>App-10.254.146.30</t>
  </si>
  <si>
    <t>SGH143TSK2</t>
  </si>
  <si>
    <t>10.254.146.31</t>
  </si>
  <si>
    <t>App-10.254.146.31</t>
  </si>
  <si>
    <t>10.254.146.32</t>
  </si>
  <si>
    <t>App-10.254.146.32</t>
  </si>
  <si>
    <t>SGH103YD06</t>
  </si>
  <si>
    <t>10.254.146.33</t>
  </si>
  <si>
    <t>App-10.254.146.33</t>
  </si>
  <si>
    <t>10.254.146.34</t>
  </si>
  <si>
    <t>App-10.254.146.34</t>
  </si>
  <si>
    <t>10.254.146.35</t>
  </si>
  <si>
    <t>App-10.254.146.35</t>
  </si>
  <si>
    <t>10.254.146.36</t>
  </si>
  <si>
    <t>App-10.254.146.36</t>
  </si>
  <si>
    <t>10.254.146.37</t>
  </si>
  <si>
    <t>App-10.254.146.37</t>
  </si>
  <si>
    <t>457XB33</t>
  </si>
  <si>
    <t>10.254.147.63</t>
  </si>
  <si>
    <t>worker-10.254.147.63</t>
  </si>
  <si>
    <t>MAAG002376</t>
  </si>
  <si>
    <t>10.254.147.64</t>
  </si>
  <si>
    <t>worker-10.254.147.64</t>
  </si>
  <si>
    <t>MAAG002435</t>
  </si>
  <si>
    <t>10.254.147.65</t>
  </si>
  <si>
    <t>worker-10.254.147.65</t>
  </si>
  <si>
    <t>10.254.147.66</t>
  </si>
  <si>
    <t>worker-10.254.147.66</t>
  </si>
  <si>
    <t>MAAG002374</t>
  </si>
  <si>
    <t>10.254.147.67</t>
  </si>
  <si>
    <t>worker-10.254.147.67</t>
  </si>
  <si>
    <t>MAAG002380</t>
  </si>
  <si>
    <t>10.254.147.68</t>
  </si>
  <si>
    <t>worker-10.254.147.68</t>
  </si>
  <si>
    <t>MAAG002357</t>
  </si>
  <si>
    <t>10.254.147.69</t>
  </si>
  <si>
    <t>worker-10.254.147.69</t>
  </si>
  <si>
    <t>MAAG002346</t>
  </si>
  <si>
    <t>10.254.147.70</t>
  </si>
  <si>
    <t>worker-10.254.147.70</t>
  </si>
  <si>
    <t>10.254.147.71</t>
  </si>
  <si>
    <t>worker-10.254.147.71</t>
  </si>
  <si>
    <t>MAAG002436</t>
  </si>
  <si>
    <t>10.254.147.72</t>
  </si>
  <si>
    <t>worker-10.254.147.72</t>
  </si>
  <si>
    <t>10.254.147.73</t>
  </si>
  <si>
    <t>worker-10.254.147.73</t>
  </si>
  <si>
    <t>MAAG002354</t>
  </si>
  <si>
    <t>10.254.147.74</t>
  </si>
  <si>
    <t>worker-10.254.147.74</t>
  </si>
  <si>
    <t>MAAG002334</t>
  </si>
  <si>
    <t>10.254.147.75</t>
  </si>
  <si>
    <t>worker-10.254.147.75</t>
  </si>
  <si>
    <t>MAAG002493</t>
  </si>
  <si>
    <t>10.254.147.76</t>
  </si>
  <si>
    <t>worker-10.254.147.76</t>
  </si>
  <si>
    <t>MAAG002355</t>
  </si>
  <si>
    <t>10.254.147.77</t>
  </si>
  <si>
    <t>worker-10.254.147.77</t>
  </si>
  <si>
    <t>MAAG002335</t>
  </si>
  <si>
    <t>10.254.147.78</t>
  </si>
  <si>
    <t>worker-10.254.147.78</t>
  </si>
  <si>
    <t>MAAG002532</t>
  </si>
  <si>
    <t>10.254.147.79</t>
  </si>
  <si>
    <t>worker-10.254.147.79</t>
  </si>
  <si>
    <t>10.254.147.80</t>
  </si>
  <si>
    <t>worker-10.254.147.80</t>
  </si>
  <si>
    <t>MAAG002378</t>
  </si>
  <si>
    <t>10.254.147.81</t>
  </si>
  <si>
    <t>worker-10.254.147.81</t>
  </si>
  <si>
    <t>MAAG002381</t>
  </si>
  <si>
    <t>10.254.147.82</t>
  </si>
  <si>
    <t>worker-10.254.147.82</t>
  </si>
  <si>
    <t>MAAG002379</t>
  </si>
  <si>
    <t>10.254.147.83</t>
  </si>
  <si>
    <t>worker-10.254.147.83</t>
  </si>
  <si>
    <t>MAAG002438</t>
  </si>
  <si>
    <t>10.254.147.84</t>
  </si>
  <si>
    <t>worker-10.254.147.84</t>
  </si>
  <si>
    <t>MAAG002437</t>
  </si>
  <si>
    <t>10.254.147.85</t>
  </si>
  <si>
    <t>worker-10.254.147.85</t>
  </si>
  <si>
    <t>10.254.147.86</t>
  </si>
  <si>
    <t>worker-10.254.147.86</t>
  </si>
  <si>
    <t>10.254.147.87</t>
  </si>
  <si>
    <t>worker-10.254.147.87</t>
  </si>
  <si>
    <t>10.254.147.88</t>
  </si>
  <si>
    <t>worker-10.254.147.88</t>
  </si>
  <si>
    <t>10.254.147.89</t>
  </si>
  <si>
    <t>worker-10.254.147.89</t>
  </si>
  <si>
    <t>10.254.147.90</t>
  </si>
  <si>
    <t>worker-10.254.147.90</t>
  </si>
  <si>
    <t>J2RR643</t>
  </si>
  <si>
    <t>10.254.148.45</t>
  </si>
  <si>
    <t>App_k8s-10.254.148.45</t>
  </si>
  <si>
    <t>SGH103S2W3</t>
  </si>
  <si>
    <t>10.254.148.46</t>
  </si>
  <si>
    <t>App_k8s-10.254.148.46</t>
  </si>
  <si>
    <t>10.254.148.47</t>
  </si>
  <si>
    <t>App_k8s-10.254.148.47</t>
  </si>
  <si>
    <t>10.254.148.48</t>
  </si>
  <si>
    <t>App_k8s-10.254.148.48</t>
  </si>
  <si>
    <t>SGH103S2XD</t>
  </si>
  <si>
    <t>10.254.148.49</t>
  </si>
  <si>
    <t>App_k8s-10.254.148.49</t>
  </si>
  <si>
    <t>SGH103S2YT</t>
  </si>
  <si>
    <t>10.254.148.50</t>
  </si>
  <si>
    <t>App_k8s-10.254.148.50</t>
  </si>
  <si>
    <t>10.254.148.51</t>
  </si>
  <si>
    <t>App_k8s-10.254.148.51</t>
  </si>
  <si>
    <t>10.254.148.52</t>
  </si>
  <si>
    <t>App_k8s-10.254.148.52</t>
  </si>
  <si>
    <t>SGH103S2WM</t>
  </si>
  <si>
    <t>10.254.148.53</t>
  </si>
  <si>
    <t>App_k8s-10.254.148.53</t>
  </si>
  <si>
    <t>10.254.148.54</t>
  </si>
  <si>
    <t>App_k8s-10.254.148.54</t>
  </si>
  <si>
    <t>SGH103S2XG</t>
  </si>
  <si>
    <t>10.254.148.55</t>
  </si>
  <si>
    <t>App_k8s-10.254.148.55</t>
  </si>
  <si>
    <t>10.254.148.56</t>
  </si>
  <si>
    <t>App_k8s-10.254.148.56</t>
  </si>
  <si>
    <t>SGH103S2WT</t>
  </si>
  <si>
    <t>10.254.148.57</t>
  </si>
  <si>
    <t>App_k8s-10.254.148.57</t>
  </si>
  <si>
    <t>10.254.148.58</t>
  </si>
  <si>
    <t>App_k8s-10.254.148.58</t>
  </si>
  <si>
    <t>10.254.148.59</t>
  </si>
  <si>
    <t>App_k8s-10.254.148.59</t>
  </si>
  <si>
    <t>10.254.148.60</t>
  </si>
  <si>
    <t>App_k8s-10.254.148.60</t>
  </si>
  <si>
    <t>10.254.148.61</t>
  </si>
  <si>
    <t>App_k8s-10.254.148.61</t>
  </si>
  <si>
    <t>10.254.148.62</t>
  </si>
  <si>
    <t>App_k8s-10.254.148.62</t>
  </si>
  <si>
    <t>SGH103S2W1</t>
  </si>
  <si>
    <t>10.254.148.63</t>
  </si>
  <si>
    <t>App_k8s-10.254.148.63</t>
  </si>
  <si>
    <t>10.254.148.64</t>
  </si>
  <si>
    <t>SERVER_10.254.148.64</t>
  </si>
  <si>
    <t>toanlv12</t>
  </si>
  <si>
    <t>10.254.148.65</t>
  </si>
  <si>
    <t>SERVER_10.254.148.65</t>
  </si>
  <si>
    <t>10.254.148.66</t>
  </si>
  <si>
    <t>SERVER_10.254.148.66</t>
  </si>
  <si>
    <t>10.205.34.41</t>
  </si>
  <si>
    <t>16BXB33</t>
  </si>
  <si>
    <t>T7.2-G14</t>
  </si>
  <si>
    <t>10.205.34.42</t>
  </si>
  <si>
    <t>36BXB33</t>
  </si>
  <si>
    <t>10.205.34.43</t>
  </si>
  <si>
    <t>D4BXB33</t>
  </si>
  <si>
    <t>10.205.34.44</t>
  </si>
  <si>
    <t>35BXB33</t>
  </si>
  <si>
    <t>10.205.34.45</t>
  </si>
  <si>
    <t>76BXB33</t>
  </si>
  <si>
    <t>10.205.34.46</t>
  </si>
  <si>
    <t>96BXB33</t>
  </si>
  <si>
    <t>10.254.156.29</t>
  </si>
  <si>
    <t>MySQL-10.254.156.29</t>
  </si>
  <si>
    <t>MALU008178</t>
  </si>
  <si>
    <t>10.254.156.30</t>
  </si>
  <si>
    <t>MySQL-10.254.156.30</t>
  </si>
  <si>
    <t>MALU008166</t>
  </si>
  <si>
    <t>10.254.156.31</t>
  </si>
  <si>
    <t>MySQL-10.254.156.31</t>
  </si>
  <si>
    <t>MAAG002490</t>
  </si>
  <si>
    <t>10.254.156.33</t>
  </si>
  <si>
    <t>MySQL-10.254.156.33</t>
  </si>
  <si>
    <t>10.254.156.34</t>
  </si>
  <si>
    <t>MySQL-10.254.156.34</t>
  </si>
  <si>
    <t>10.254.156.35</t>
  </si>
  <si>
    <t>MySQL-10.254.156.35</t>
  </si>
  <si>
    <t>CentOS Linux release 7.9 kernel 3.10.0-1062.12.1.el7.x86_64</t>
  </si>
  <si>
    <t>10.254.156.21</t>
  </si>
  <si>
    <t>MySQL-10.254.156.21</t>
  </si>
  <si>
    <t>MAAG001676</t>
  </si>
  <si>
    <t>10.254.156.22</t>
  </si>
  <si>
    <t>MySQL-10.254.156.22</t>
  </si>
  <si>
    <t>10.254.156.23</t>
  </si>
  <si>
    <t>MySQL-10.254.156.23</t>
  </si>
  <si>
    <t>MAAG002476</t>
  </si>
  <si>
    <t>10.254.158.63</t>
  </si>
  <si>
    <t>CentOS Linux release 7.9 kernel 3.10.0-1160.36.2.el7.x86</t>
  </si>
  <si>
    <t>SGH103S23Z</t>
  </si>
  <si>
    <t>10.254.158.64</t>
  </si>
  <si>
    <t>SGH103S243</t>
  </si>
  <si>
    <t>10.254.158.65</t>
  </si>
  <si>
    <t>SGH103YCHM</t>
  </si>
  <si>
    <t>10.254.158.59</t>
  </si>
  <si>
    <t>SGH103S20W</t>
  </si>
  <si>
    <t>10.254.158.60</t>
  </si>
  <si>
    <t>SGH103S21N</t>
  </si>
  <si>
    <t>10.254.158.61</t>
  </si>
  <si>
    <t>SGH103S23V</t>
  </si>
  <si>
    <t>10.254.156.9</t>
  </si>
  <si>
    <t>MySQL-10.254.156.9</t>
  </si>
  <si>
    <t>MAAG002449</t>
  </si>
  <si>
    <t>10.254.156.10</t>
  </si>
  <si>
    <t>MySQL-10.254.156.10</t>
  </si>
  <si>
    <t>10.254.156.11</t>
  </si>
  <si>
    <t>MySQL-10.254.156.11</t>
  </si>
  <si>
    <t>MAAG002330</t>
  </si>
  <si>
    <t>10.254.156.13</t>
  </si>
  <si>
    <t>MySQL-10.254.156.13</t>
  </si>
  <si>
    <t>10.254.156.14</t>
  </si>
  <si>
    <t>MySQL-10.254.156.14</t>
  </si>
  <si>
    <t>10.254.156.15</t>
  </si>
  <si>
    <t>MySQL-10.254.156.15</t>
  </si>
  <si>
    <t>MALU008177</t>
  </si>
  <si>
    <t>10.254.156.17</t>
  </si>
  <si>
    <t>MySQL-10.254.156.17</t>
  </si>
  <si>
    <t>10.254.156.18</t>
  </si>
  <si>
    <t>MySQL-10.254.156.18</t>
  </si>
  <si>
    <t>MALU008168</t>
  </si>
  <si>
    <t>10.254.156.19</t>
  </si>
  <si>
    <t>MySQL-10.254.156.19</t>
  </si>
  <si>
    <t>MAAG002509</t>
  </si>
  <si>
    <t>10.254.156.25</t>
  </si>
  <si>
    <t>MySQL-10.254.156.25</t>
  </si>
  <si>
    <t>MAAG002409</t>
  </si>
  <si>
    <t>10.254.156.26</t>
  </si>
  <si>
    <t>MySQL-10.254.156.26</t>
  </si>
  <si>
    <t>MAAG002488</t>
  </si>
  <si>
    <t>10.254.156.27</t>
  </si>
  <si>
    <t>MySQL-10.254.156.27</t>
  </si>
  <si>
    <t>MAAG002499</t>
  </si>
  <si>
    <t>10.254.157.84</t>
  </si>
  <si>
    <t>DB_common-10.254.157.84</t>
  </si>
  <si>
    <t>10.254.157.85</t>
  </si>
  <si>
    <t>DB_common-10.254.157.85</t>
  </si>
  <si>
    <t>10.254.157.86</t>
  </si>
  <si>
    <t>DB_common-10.254.157.86</t>
  </si>
  <si>
    <t>SGH103S30M</t>
  </si>
  <si>
    <t>10.254.157.87</t>
  </si>
  <si>
    <t>DB_report-10.254.157.87</t>
  </si>
  <si>
    <t>10.254.157.88</t>
  </si>
  <si>
    <t>DB_report-10.254.157.88</t>
  </si>
  <si>
    <t>10.254.157.89</t>
  </si>
  <si>
    <t>DB_report-10.254.157.89</t>
  </si>
  <si>
    <t>SGH103S2XB</t>
  </si>
  <si>
    <t>10.254.157.90</t>
  </si>
  <si>
    <t>DB_composite-10.254.157.90</t>
  </si>
  <si>
    <t>10.254.157.91</t>
  </si>
  <si>
    <t>DB_composite-10.254.157.91</t>
  </si>
  <si>
    <t>10.254.157.92</t>
  </si>
  <si>
    <t>DB_composite-10.254.157.92</t>
  </si>
  <si>
    <t>SGH103S2WF</t>
  </si>
  <si>
    <t>10.207.62.15</t>
  </si>
  <si>
    <t>10.205.33.231</t>
  </si>
  <si>
    <t>SGH103YBX5</t>
  </si>
  <si>
    <t>T7.2-C02</t>
  </si>
  <si>
    <t>10.207.62.31</t>
  </si>
  <si>
    <t>10.205.33.232</t>
  </si>
  <si>
    <t>SGH103YBX9</t>
  </si>
  <si>
    <t>10.207.62.32</t>
  </si>
  <si>
    <t>10.205.33.233</t>
  </si>
  <si>
    <t>SGH103YBXK</t>
  </si>
  <si>
    <t>10.254.146.51</t>
  </si>
  <si>
    <t>ElasticSearch-10.254.146.51</t>
  </si>
  <si>
    <t>VTNET</t>
  </si>
  <si>
    <t>10.254.146.52</t>
  </si>
  <si>
    <t>ElasticSearch-10.254.146.52</t>
  </si>
  <si>
    <t>10.254.146.53</t>
  </si>
  <si>
    <t>ElasticSearch-10.254.146.53</t>
  </si>
  <si>
    <t>MAAG002514</t>
  </si>
  <si>
    <t>10.254.146.40</t>
  </si>
  <si>
    <t>App-10.254.146.40</t>
  </si>
  <si>
    <t>10.254.146.41</t>
  </si>
  <si>
    <t>App-10.254.146.41</t>
  </si>
  <si>
    <t>10.254.146.42</t>
  </si>
  <si>
    <t>App-10.254.146.42</t>
  </si>
  <si>
    <t>10.254.148.34</t>
  </si>
  <si>
    <t>App_log_elastic-10.254.148.34</t>
  </si>
  <si>
    <t>hoantv2</t>
  </si>
  <si>
    <t>10.254.148.35</t>
  </si>
  <si>
    <t>App_log_elastic-10.254.148.35</t>
  </si>
  <si>
    <t>10.254.148.36</t>
  </si>
  <si>
    <t>App_log_elastic-10.254.148.36</t>
  </si>
  <si>
    <t>10.254.148.37</t>
  </si>
  <si>
    <t>App_log_elastic-10.254.148.37</t>
  </si>
  <si>
    <t>10.254.148.38</t>
  </si>
  <si>
    <t>App_log_elastic-10.254.148.38</t>
  </si>
  <si>
    <t>10.254.148.39</t>
  </si>
  <si>
    <t>App_log_elastic-10.254.148.39</t>
  </si>
  <si>
    <t>10.254.148.40</t>
  </si>
  <si>
    <t>App_log_elastic-10.254.148.40</t>
  </si>
  <si>
    <t>SGH103S2WH</t>
  </si>
  <si>
    <t>10.254.148.41</t>
  </si>
  <si>
    <t>App_log_elastic-10.254.148.41</t>
  </si>
  <si>
    <t>10.254.148.42</t>
  </si>
  <si>
    <t>App_log_elastic-10.254.148.42</t>
  </si>
  <si>
    <t>SGH103S2Y7</t>
  </si>
  <si>
    <t>10.254.148.43</t>
  </si>
  <si>
    <t>App_log_elastic-10.254.148.43</t>
  </si>
  <si>
    <t>10.254.148.44</t>
  </si>
  <si>
    <t>App_log_elastic-10.254.148.44</t>
  </si>
  <si>
    <t>10.207.62.8</t>
  </si>
  <si>
    <t>10.205.33.224</t>
  </si>
  <si>
    <t>SGH103YBXW</t>
  </si>
  <si>
    <t>T7.2-C01</t>
  </si>
  <si>
    <t>10.207.62.9</t>
  </si>
  <si>
    <t>10.205.33.225</t>
  </si>
  <si>
    <t>SGH103YBYL</t>
  </si>
  <si>
    <t>10.207.62.10</t>
  </si>
  <si>
    <t>10.205.33.226</t>
  </si>
  <si>
    <t>SGH103YBYZ</t>
  </si>
  <si>
    <t>10.207.62.11</t>
  </si>
  <si>
    <t>10.205.33.227</t>
  </si>
  <si>
    <t>SGH103YBY4</t>
  </si>
  <si>
    <t>10.207.62.12</t>
  </si>
  <si>
    <t>10.205.33.228</t>
  </si>
  <si>
    <t>SGH103YBXR</t>
  </si>
  <si>
    <t>10.207.62.13</t>
  </si>
  <si>
    <t>10.205.33.229</t>
  </si>
  <si>
    <t>SGH103YBZR</t>
  </si>
  <si>
    <t>10.207.62.14</t>
  </si>
  <si>
    <t>10.205.33.230</t>
  </si>
  <si>
    <t>SGH103YC2V</t>
  </si>
  <si>
    <t>10.207.155.110</t>
  </si>
  <si>
    <t>es-adlogging-tet-10.205.34.217</t>
  </si>
  <si>
    <t>10.207.155.111</t>
  </si>
  <si>
    <t>es-adlogging-tet-10.205.34.218</t>
  </si>
  <si>
    <t>SGH103S2Y3</t>
  </si>
  <si>
    <t>10.207.155.112</t>
  </si>
  <si>
    <t>es-adlogging-tet-10.205.34.219</t>
  </si>
  <si>
    <t>10.207.155.113</t>
  </si>
  <si>
    <t>es-adlogging-tet-10.205.34.220</t>
  </si>
  <si>
    <t>10.207.155.114</t>
  </si>
  <si>
    <t>es-adlogging-tet-10.205.34.221</t>
  </si>
  <si>
    <t>10.207.155.115</t>
  </si>
  <si>
    <t>es-adlogging-tet-10.205.34.222</t>
  </si>
  <si>
    <t>10.207.155.116</t>
  </si>
  <si>
    <t>es-adlogging-tet-10.205.34.223</t>
  </si>
  <si>
    <t>10.207.155.117</t>
  </si>
  <si>
    <t>es-adlogging-tet-10.205.34.224</t>
  </si>
  <si>
    <t>10.207.155.118</t>
  </si>
  <si>
    <t>es-adlogging-tet-10.205.34.225</t>
  </si>
  <si>
    <t>10.207.155.106</t>
  </si>
  <si>
    <t>es-notification-10.205.34.213</t>
  </si>
  <si>
    <t>SGH103S2X2</t>
  </si>
  <si>
    <t>10.207.155.107</t>
  </si>
  <si>
    <t>es-notification-10.205.34.214</t>
  </si>
  <si>
    <t>10.207.155.108</t>
  </si>
  <si>
    <t>es-notification-10.205.34.215</t>
  </si>
  <si>
    <t>SGH103S1GQ</t>
  </si>
  <si>
    <t>10.207.155.109</t>
  </si>
  <si>
    <t>es-notification-10.205.34.216</t>
  </si>
  <si>
    <t>10.254.147.91</t>
  </si>
  <si>
    <t>Logcent-10.254.147.91</t>
  </si>
  <si>
    <t>10.254.147.92</t>
  </si>
  <si>
    <t>Logcent-10.254.147.92</t>
  </si>
  <si>
    <t>MAAG002525</t>
  </si>
  <si>
    <t>10.254.147.93</t>
  </si>
  <si>
    <t>Logcent-10.254.147.93</t>
  </si>
  <si>
    <t>10.254.146.43</t>
  </si>
  <si>
    <t>ElasticSearch-10.254.146.43</t>
  </si>
  <si>
    <t>10.254.146.44</t>
  </si>
  <si>
    <t>ElasticSearch-10.254.146.44</t>
  </si>
  <si>
    <t>10.254.146.45</t>
  </si>
  <si>
    <t>ElasticSearch-10.254.146.45</t>
  </si>
  <si>
    <t>10.254.146.47</t>
  </si>
  <si>
    <t>ElasticSearch-10.254.146.47</t>
  </si>
  <si>
    <t>10.254.146.48</t>
  </si>
  <si>
    <t>ElasticSearch-10.254.146.48</t>
  </si>
  <si>
    <t>MAAG002442</t>
  </si>
  <si>
    <t>10.254.146.49</t>
  </si>
  <si>
    <t>ElasticSearch-10.254.146.49</t>
  </si>
  <si>
    <t>10.207.62.1</t>
  </si>
  <si>
    <t>10.205.33.217</t>
  </si>
  <si>
    <t>SGH103YC22</t>
  </si>
  <si>
    <t>10.207.62.2</t>
  </si>
  <si>
    <t>10.205.33.218</t>
  </si>
  <si>
    <t>SGH103YC1W</t>
  </si>
  <si>
    <t>10.207.62.3</t>
  </si>
  <si>
    <t>10.205.33.219</t>
  </si>
  <si>
    <t>SGH103YC1R</t>
  </si>
  <si>
    <t>10.207.62.4</t>
  </si>
  <si>
    <t>10.205.33.220</t>
  </si>
  <si>
    <t>SGH103YC1Y</t>
  </si>
  <si>
    <t>10.207.62.5</t>
  </si>
  <si>
    <t>10.205.33.221</t>
  </si>
  <si>
    <t>SGH103YC20</t>
  </si>
  <si>
    <t>10.207.62.6</t>
  </si>
  <si>
    <t>10.205.33.222</t>
  </si>
  <si>
    <t>SGH103YBXT</t>
  </si>
  <si>
    <t>10.207.62.7</t>
  </si>
  <si>
    <t>10.205.33.223</t>
  </si>
  <si>
    <t>SGH103YBZP</t>
  </si>
  <si>
    <t>10.254.148.19</t>
  </si>
  <si>
    <t>App_log_hot_elastic-10.254.148.19</t>
  </si>
  <si>
    <t>10.254.148.20</t>
  </si>
  <si>
    <t>App_log_hot_elastic-10.254.148.20</t>
  </si>
  <si>
    <t>10.254.148.21</t>
  </si>
  <si>
    <t>App_log_hot_elastic-10.254.148.21</t>
  </si>
  <si>
    <t>SGH103S30C</t>
  </si>
  <si>
    <t>10.254.148.22</t>
  </si>
  <si>
    <t>App_log_warm_elastic-10.254.148.22</t>
  </si>
  <si>
    <t>10.254.148.23</t>
  </si>
  <si>
    <t>App_log_warm_elastic-10.254.148.23</t>
  </si>
  <si>
    <t>10.254.148.24</t>
  </si>
  <si>
    <t>App_log_warm_elastic-10.254.148.24</t>
  </si>
  <si>
    <t>10.254.148.25</t>
  </si>
  <si>
    <t>App_log_central_hot_elastic-10.254.148.25</t>
  </si>
  <si>
    <t>10.254.148.26</t>
  </si>
  <si>
    <t>App_log_central_hot_elastic-10.254.148.26</t>
  </si>
  <si>
    <t>10.254.148.27</t>
  </si>
  <si>
    <t>App_log_central_hot_elastic-10.254.148.27</t>
  </si>
  <si>
    <t>10.254.148.28</t>
  </si>
  <si>
    <t>App_log_central_hot_elastic-10.254.148.28</t>
  </si>
  <si>
    <t>10.254.148.29</t>
  </si>
  <si>
    <t>App_log_central_hot_elastic-10.254.148.29</t>
  </si>
  <si>
    <t>10.254.148.30</t>
  </si>
  <si>
    <t>App_log_central_warm_elastic-10.254.148.30</t>
  </si>
  <si>
    <t>10.254.148.31</t>
  </si>
  <si>
    <t>App_log_central_warm_elastic-10.254.148.31</t>
  </si>
  <si>
    <t>10.254.148.32</t>
  </si>
  <si>
    <t>App_log_central_warm_elastic-10.254.148.32</t>
  </si>
  <si>
    <t>10.254.148.33</t>
  </si>
  <si>
    <t>App_log_central_warm_elastic-10.254.148.33</t>
  </si>
  <si>
    <t>10.254.147.182</t>
  </si>
  <si>
    <t>DB_common_redis-10.254.147.182</t>
  </si>
  <si>
    <t>CCQR643</t>
  </si>
  <si>
    <t>10.254.147.183</t>
  </si>
  <si>
    <t>DB_common_redis-10.254.147.183</t>
  </si>
  <si>
    <t>F2RR643</t>
  </si>
  <si>
    <t>10.254.147.184</t>
  </si>
  <si>
    <t>DB_common_redis-10.254.147.184</t>
  </si>
  <si>
    <t>10.254.147.185</t>
  </si>
  <si>
    <t>DB_common_redis-10.254.147.185</t>
  </si>
  <si>
    <t>10.254.147.186</t>
  </si>
  <si>
    <t>DB_common_redis-10.254.147.186</t>
  </si>
  <si>
    <t>HRQR643</t>
  </si>
  <si>
    <t>10.254.147.187</t>
  </si>
  <si>
    <t>DB_common_redis-10.254.147.187</t>
  </si>
  <si>
    <t>10.254.147.188</t>
  </si>
  <si>
    <t>DB_token_redis-10.254.147.188</t>
  </si>
  <si>
    <t>4DQR643</t>
  </si>
  <si>
    <t>10.254.147.189</t>
  </si>
  <si>
    <t>DB_token_redis-10.254.147.189</t>
  </si>
  <si>
    <t>GGQR643</t>
  </si>
  <si>
    <t>10.254.147.190</t>
  </si>
  <si>
    <t>DB_token_redis-10.254.147.190</t>
  </si>
  <si>
    <t>10.254.147.191</t>
  </si>
  <si>
    <t>DB_token_redis-10.254.147.191</t>
  </si>
  <si>
    <t>10.254.147.192</t>
  </si>
  <si>
    <t>DB_token_redis-10.254.147.192</t>
  </si>
  <si>
    <t>10.254.147.193</t>
  </si>
  <si>
    <t>DB_token_redis-10.254.147.193</t>
  </si>
  <si>
    <t>10.254.147.194</t>
  </si>
  <si>
    <t>DB_composite_redis-10.254.147.194</t>
  </si>
  <si>
    <t>10.254.147.195</t>
  </si>
  <si>
    <t>DB_composite_redis-10.254.147.195</t>
  </si>
  <si>
    <t>10.254.147.196</t>
  </si>
  <si>
    <t>DB_composite_redis-10.254.147.196</t>
  </si>
  <si>
    <t>10.254.147.197</t>
  </si>
  <si>
    <t>DB_composite_redis-10.254.147.197</t>
  </si>
  <si>
    <t>10.254.148.1</t>
  </si>
  <si>
    <t>DB_composite_redis-10.254.148.1</t>
  </si>
  <si>
    <t>10.254.148.2</t>
  </si>
  <si>
    <t>DB_composite_redis-10.254.148.2</t>
  </si>
  <si>
    <t>10.254.148.3</t>
  </si>
  <si>
    <t>DB_subscription_redis-10.254.148.3</t>
  </si>
  <si>
    <t>10.254.148.4</t>
  </si>
  <si>
    <t>DB_subscription_redis-10.254.148.4</t>
  </si>
  <si>
    <t>4GQR643</t>
  </si>
  <si>
    <t>10.254.148.5</t>
  </si>
  <si>
    <t>DB_subscription_redis-10.254.148.5</t>
  </si>
  <si>
    <t>10.254.148.6</t>
  </si>
  <si>
    <t>DB_subscription_redis-10.254.148.6</t>
  </si>
  <si>
    <t>10.254.148.7</t>
  </si>
  <si>
    <t>DB_subscription_redis-10.254.148.7</t>
  </si>
  <si>
    <t>1HQR643</t>
  </si>
  <si>
    <t>10.254.148.8</t>
  </si>
  <si>
    <t>DB_subscription_redis-10.254.148.8</t>
  </si>
  <si>
    <t>10.254.148.9</t>
  </si>
  <si>
    <t>DB_log_redis-10.254.148.9</t>
  </si>
  <si>
    <t>10.254.148.10</t>
  </si>
  <si>
    <t>DB_log_redis-10.254.148.10</t>
  </si>
  <si>
    <t>D9RR643</t>
  </si>
  <si>
    <t>10.254.148.11</t>
  </si>
  <si>
    <t>DB_log_redis-10.254.148.11</t>
  </si>
  <si>
    <t>10.254.148.12</t>
  </si>
  <si>
    <t>DB_log_redis-10.254.148.12</t>
  </si>
  <si>
    <t>43RR643</t>
  </si>
  <si>
    <t>10.254.148.13</t>
  </si>
  <si>
    <t>DB_log_redis-10.254.148.13</t>
  </si>
  <si>
    <t>10.254.148.14</t>
  </si>
  <si>
    <t>DB_log_redis-10.254.148.14</t>
  </si>
  <si>
    <t>10.254.148.15</t>
  </si>
  <si>
    <t>DB_log_redis-10.254.148.15</t>
  </si>
  <si>
    <t>10.254.148.16</t>
  </si>
  <si>
    <t>DB_log_redis-10.254.148.16</t>
  </si>
  <si>
    <t>10.254.148.17</t>
  </si>
  <si>
    <t>DB_log_redis-10.254.148.17</t>
  </si>
  <si>
    <t>FTQR643</t>
  </si>
  <si>
    <t>10.254.148.18</t>
  </si>
  <si>
    <t>DB_log_redis-10.254.148.18</t>
  </si>
  <si>
    <t>C1RR643</t>
  </si>
  <si>
    <t>10.207.155.119</t>
  </si>
  <si>
    <t>redis-vod-10.205.34.226</t>
  </si>
  <si>
    <t>10.207.155.120</t>
  </si>
  <si>
    <t>redis-vod-10.205.34.227</t>
  </si>
  <si>
    <t>10.207.155.121</t>
  </si>
  <si>
    <t>redis-vod-10.205.34.228</t>
  </si>
  <si>
    <t>10.207.155.122</t>
  </si>
  <si>
    <t>redis-vod-10.205.34.229</t>
  </si>
  <si>
    <t>10.207.155.123</t>
  </si>
  <si>
    <t>redis-vod-10.205.34.230</t>
  </si>
  <si>
    <t>10.207.155.124</t>
  </si>
  <si>
    <t>redis-vod-10.205.34.231</t>
  </si>
  <si>
    <t>10.207.155.125</t>
  </si>
  <si>
    <t>redis-vod-10.205.34.232</t>
  </si>
  <si>
    <t>10.207.155.126</t>
  </si>
  <si>
    <t>redis-vod-10.205.34.233</t>
  </si>
  <si>
    <t>10.207.155.127</t>
  </si>
  <si>
    <t>redis-vod-10.205.34.234</t>
  </si>
  <si>
    <t>10.207.155.128</t>
  </si>
  <si>
    <t>redis-vod-10.205.34.235</t>
  </si>
  <si>
    <t>10.207.155.129</t>
  </si>
  <si>
    <t>redis-vod-10.205.34.236</t>
  </si>
  <si>
    <t>10.207.155.130</t>
  </si>
  <si>
    <t>redis-vod-10.205.34.237</t>
  </si>
  <si>
    <t>10.207.155.131</t>
  </si>
  <si>
    <t>redis-vod-10.205.34.238</t>
  </si>
  <si>
    <t>10.207.155.132</t>
  </si>
  <si>
    <t>redis-vod-10.205.34.239</t>
  </si>
  <si>
    <t>10.207.155.133</t>
  </si>
  <si>
    <t>redis-livetv-10.205.34.240</t>
  </si>
  <si>
    <t>10.207.155.134</t>
  </si>
  <si>
    <t>redis-livetv-10.205.34.241</t>
  </si>
  <si>
    <t>10.207.155.135</t>
  </si>
  <si>
    <t>redis-livetv-10.205.34.242</t>
  </si>
  <si>
    <t>10.207.155.136</t>
  </si>
  <si>
    <t>redis-livetv-10.205.34.243</t>
  </si>
  <si>
    <t>10.207.155.137</t>
  </si>
  <si>
    <t>redis-livetv-10.205.34.244</t>
  </si>
  <si>
    <t>10.207.155.138</t>
  </si>
  <si>
    <t>redis-livetv-10.205.34.245</t>
  </si>
  <si>
    <t>3BRR643</t>
  </si>
  <si>
    <t>10.207.155.139</t>
  </si>
  <si>
    <t>redis-livetv-10.205.34.246</t>
  </si>
  <si>
    <t>10.207.155.140</t>
  </si>
  <si>
    <t>redis-livetv-10.205.34.247</t>
  </si>
  <si>
    <t>10.207.155.141</t>
  </si>
  <si>
    <t>redis-livetv-10.205.34.248</t>
  </si>
  <si>
    <t>10.207.155.142</t>
  </si>
  <si>
    <t>redis-livetv-10.205.34.249</t>
  </si>
  <si>
    <t>10.207.155.143</t>
  </si>
  <si>
    <t>redis-livetv-10.205.34.250</t>
  </si>
  <si>
    <t>10.207.155.144</t>
  </si>
  <si>
    <t>redis-livetv-10.205.34.251</t>
  </si>
  <si>
    <t>10.207.155.145</t>
  </si>
  <si>
    <t>redis-recommendation-10.205.34.252</t>
  </si>
  <si>
    <t>10.207.155.146</t>
  </si>
  <si>
    <t>redis-recommendation-10.205.34.253</t>
  </si>
  <si>
    <t>10.207.155.147</t>
  </si>
  <si>
    <t>redis-recommendation-10.205.34.254</t>
  </si>
  <si>
    <t>10.207.155.148</t>
  </si>
  <si>
    <t>redis-recommendation-10.205.35.1</t>
  </si>
  <si>
    <t>10.207.155.149</t>
  </si>
  <si>
    <t>redis-recommendation-10.205.35.2</t>
  </si>
  <si>
    <t>10.207.155.150</t>
  </si>
  <si>
    <t>redis-recommendation-10.205.35.3</t>
  </si>
  <si>
    <t>10.254.146.55</t>
  </si>
  <si>
    <t>Redis-10.254.146.55</t>
  </si>
  <si>
    <t>MAAG002508</t>
  </si>
  <si>
    <t>10.254.146.56</t>
  </si>
  <si>
    <t>Redis-10.254.146.56</t>
  </si>
  <si>
    <t>MAAG002333</t>
  </si>
  <si>
    <t>10.254.146.57</t>
  </si>
  <si>
    <t>Redis-10.254.146.57</t>
  </si>
  <si>
    <t>10.254.146.59</t>
  </si>
  <si>
    <t>Redis-10.254.146.59</t>
  </si>
  <si>
    <t>MAAG002498</t>
  </si>
  <si>
    <t>10.254.146.60</t>
  </si>
  <si>
    <t>Redis-10.254.146.60</t>
  </si>
  <si>
    <t>MALU008167</t>
  </si>
  <si>
    <t>10.254.146.61</t>
  </si>
  <si>
    <t>Redis-10.254.146.61</t>
  </si>
  <si>
    <t>10.254.146.63</t>
  </si>
  <si>
    <t>Redis-10.254.146.63</t>
  </si>
  <si>
    <t>10.254.146.64</t>
  </si>
  <si>
    <t>Redis-10.254.146.64</t>
  </si>
  <si>
    <t>10.254.146.65</t>
  </si>
  <si>
    <t>Redis-10.254.146.65</t>
  </si>
  <si>
    <t>MAAG002515</t>
  </si>
  <si>
    <t>10.254.146.67</t>
  </si>
  <si>
    <t>Redis-10.254.146.67</t>
  </si>
  <si>
    <t>10.254.146.68</t>
  </si>
  <si>
    <t>Redis-10.254.146.68</t>
  </si>
  <si>
    <t>MAAG002331</t>
  </si>
  <si>
    <t>10.254.146.69</t>
  </si>
  <si>
    <t>Redis-10.254.146.69</t>
  </si>
  <si>
    <t>10.254.146.71</t>
  </si>
  <si>
    <t>Redis-10.254.146.71</t>
  </si>
  <si>
    <t>10.254.146.72</t>
  </si>
  <si>
    <t>Redis-10.254.146.72</t>
  </si>
  <si>
    <t>MAAG002507</t>
  </si>
  <si>
    <t>10.254.146.73</t>
  </si>
  <si>
    <t>Redis-10.254.146.73</t>
  </si>
  <si>
    <t>MAAG002448</t>
  </si>
  <si>
    <t>10.254.146.75</t>
  </si>
  <si>
    <t>Redis-10.254.146.75</t>
  </si>
  <si>
    <t>MAAG002434</t>
  </si>
  <si>
    <t>10.254.146.76</t>
  </si>
  <si>
    <t>Redis-10.254.146.76</t>
  </si>
  <si>
    <t>10.254.146.77</t>
  </si>
  <si>
    <t>Redis-10.254.146.77</t>
  </si>
  <si>
    <t>10.254.146.79</t>
  </si>
  <si>
    <t>Redis-10.254.146.79</t>
  </si>
  <si>
    <t>10.254.146.80</t>
  </si>
  <si>
    <t>Redis-10.254.146.80</t>
  </si>
  <si>
    <t>MAAG002441</t>
  </si>
  <si>
    <t>10.254.146.81</t>
  </si>
  <si>
    <t>Redis-10.254.146.81</t>
  </si>
  <si>
    <t>10.254.146.83</t>
  </si>
  <si>
    <t>Redis-10.254.146.83</t>
  </si>
  <si>
    <t>MALU008164</t>
  </si>
  <si>
    <t>10.254.146.84</t>
  </si>
  <si>
    <t>Redis-10.254.146.84</t>
  </si>
  <si>
    <t>10.254.146.85</t>
  </si>
  <si>
    <t>Redis-10.254.146.85</t>
  </si>
  <si>
    <t>10.254.146.87</t>
  </si>
  <si>
    <t>Kafka-10.254.146.87</t>
  </si>
  <si>
    <t>10.254.146.88</t>
  </si>
  <si>
    <t>Kafka-10.254.146.88</t>
  </si>
  <si>
    <t>10.254.146.89</t>
  </si>
  <si>
    <t>Kafka-10.254.146.89</t>
  </si>
  <si>
    <t>10.207.62.22</t>
  </si>
  <si>
    <t>10.205.34.47</t>
  </si>
  <si>
    <t>86BXB33</t>
  </si>
  <si>
    <t>10.207.62.23</t>
  </si>
  <si>
    <t>10.205.34.48</t>
  </si>
  <si>
    <t>46BXB33</t>
  </si>
  <si>
    <t>10.207.62.24</t>
  </si>
  <si>
    <t>10.205.34.49</t>
  </si>
  <si>
    <t>66BXB33</t>
  </si>
  <si>
    <t>10.207.62.25</t>
  </si>
  <si>
    <t>10.205.34.50</t>
  </si>
  <si>
    <t>85BXB33</t>
  </si>
  <si>
    <t>10.207.62.26</t>
  </si>
  <si>
    <t>10.205.34.51</t>
  </si>
  <si>
    <t>C5BXB33</t>
  </si>
  <si>
    <t>10.207.62.27</t>
  </si>
  <si>
    <t>10.205.34.52</t>
  </si>
  <si>
    <t>G5BXB33</t>
  </si>
  <si>
    <t>10.207.62.28</t>
  </si>
  <si>
    <t>10.205.34.53</t>
  </si>
  <si>
    <t>H5BXB33</t>
  </si>
  <si>
    <t>T7.2-G15</t>
  </si>
  <si>
    <t>10.207.62.29</t>
  </si>
  <si>
    <t>10.205.34.54</t>
  </si>
  <si>
    <t>B5BXB33</t>
  </si>
  <si>
    <t>10.207.62.30</t>
  </si>
  <si>
    <t>10.205.34.55</t>
  </si>
  <si>
    <t>F4BXB33</t>
  </si>
  <si>
    <t>10.254.146.38</t>
  </si>
  <si>
    <t>App-10.254.146.38</t>
  </si>
  <si>
    <t>10.254.146.39</t>
  </si>
  <si>
    <t>App-10.254.146.39</t>
  </si>
  <si>
    <t>10.210.103.78</t>
  </si>
  <si>
    <t>CNTT</t>
  </si>
  <si>
    <t>SAN2023</t>
  </si>
  <si>
    <t>Đang chạy dv</t>
  </si>
  <si>
    <t>10.210.103.79</t>
  </si>
  <si>
    <t>AAM</t>
  </si>
  <si>
    <t>10.208.95.190</t>
  </si>
  <si>
    <t>Hệ thống AAM cũ</t>
  </si>
  <si>
    <t>10.208.95.191</t>
  </si>
  <si>
    <t>10.208.95.192</t>
  </si>
  <si>
    <t>10.208.95.193</t>
  </si>
  <si>
    <t>10.208.95.194</t>
  </si>
  <si>
    <t>10.207.186.52</t>
  </si>
  <si>
    <t>SR_VN_20240917_1200095</t>
  </si>
  <si>
    <t>10.207.186.53</t>
  </si>
  <si>
    <t>10.207.190.1</t>
  </si>
  <si>
    <t>10.207.190.2</t>
  </si>
  <si>
    <t>QLK</t>
  </si>
  <si>
    <t> 06/02/2024</t>
  </si>
  <si>
    <t>DinhDanhTaiQuay</t>
  </si>
  <si>
    <t>13/03/2025</t>
  </si>
  <si>
    <t>SR_VN_20250313_1339768</t>
  </si>
  <si>
    <t>JenkinsVTT</t>
  </si>
  <si>
    <t>10.211.126.162</t>
  </si>
  <si>
    <t>20/03/2025</t>
  </si>
  <si>
    <t>SR_VN_20250320_1345794</t>
  </si>
  <si>
    <t>10.211.126.163</t>
  </si>
  <si>
    <t>10.211.126.164</t>
  </si>
  <si>
    <t>10.211.126.165</t>
  </si>
  <si>
    <t>10.211.126.166</t>
  </si>
  <si>
    <t>10.211.126.167</t>
  </si>
  <si>
    <t>10.211.126.168</t>
  </si>
  <si>
    <t>10.211.126.169</t>
  </si>
  <si>
    <t>10.211.126.170</t>
  </si>
  <si>
    <t>10.211.126.171</t>
  </si>
  <si>
    <t>10.211.126.172</t>
  </si>
  <si>
    <t>10.211.126.173</t>
  </si>
  <si>
    <t>10.211.126.174</t>
  </si>
  <si>
    <t>10.211.126.175</t>
  </si>
  <si>
    <t>PAMVTT</t>
  </si>
  <si>
    <t>10.211.156.187</t>
  </si>
  <si>
    <t>VTT_HKH_SAN_2024_Q4_03</t>
  </si>
  <si>
    <t>VTT_HKH_HITACHI_E590H_SAN_03</t>
  </si>
  <si>
    <t>27/05/2025</t>
  </si>
  <si>
    <t>SR_VN_20250527_1397083</t>
  </si>
  <si>
    <t>10.211.156.188</t>
  </si>
  <si>
    <t>VTT_HKH_SAN_2024_Q4_04</t>
  </si>
  <si>
    <t>VTT_HKH_HITACHI_E590H_SAN_04</t>
  </si>
  <si>
    <t>10.211.156.189</t>
  </si>
  <si>
    <t>VTT_HKH_SAN_2024_Q4_05</t>
  </si>
  <si>
    <t>VTT_HKH_HITACHI_E590H_SAN_05</t>
  </si>
  <si>
    <t>10.211.45.104</t>
  </si>
  <si>
    <t>VTT_HKH_SAN_2024_Q4_06</t>
  </si>
  <si>
    <t>VTT_HKH_HITACHI_E590H_SAN_06</t>
  </si>
  <si>
    <t>VTT_HKH_SAN_2024_Q4_07</t>
  </si>
  <si>
    <t>VTT_HKH_HITACHI_E590H_SAN_07</t>
  </si>
  <si>
    <t>10.211.156.190</t>
  </si>
  <si>
    <t>10.211.156.191</t>
  </si>
  <si>
    <t>10.211.156.192</t>
  </si>
  <si>
    <t>10.208.95.125/24</t>
  </si>
  <si>
    <t>Cloud_NTH</t>
  </si>
  <si>
    <t>VTNET_SAN_2022_Q4_01</t>
  </si>
  <si>
    <t>VTNET_NTH_Hitachi_San01</t>
  </si>
  <si>
    <t>28/11/2025</t>
  </si>
  <si>
    <t>10.208.95.126/24</t>
  </si>
  <si>
    <t>VTNET_SAN_2022_Q4_02</t>
  </si>
  <si>
    <t>VTNET_NTH_Hitachi_San02</t>
  </si>
  <si>
    <t>10.208.95.127/24</t>
  </si>
  <si>
    <t>VTNET_SAN_2022_Q4_06</t>
  </si>
  <si>
    <t>VTNET_NTH_Hitachi_San06</t>
  </si>
  <si>
    <t>10.208.95.128/24</t>
  </si>
  <si>
    <t>10.208.95.129/24</t>
  </si>
  <si>
    <t>10.211.139.21/24</t>
  </si>
  <si>
    <t>10.211.139.22/24</t>
  </si>
  <si>
    <t>10.211.139.23/24</t>
  </si>
  <si>
    <t>10.211.139.24/24</t>
  </si>
  <si>
    <t>10.211.139.25/24</t>
  </si>
  <si>
    <t>10.211.139.26/24</t>
  </si>
  <si>
    <t>10.211.139.27/24</t>
  </si>
  <si>
    <t>10.211.139.28/24</t>
  </si>
  <si>
    <t>10.211.139.29/24</t>
  </si>
  <si>
    <t>10.211.139.30/24</t>
  </si>
  <si>
    <t>10.211.139.31/24</t>
  </si>
  <si>
    <t>10.211.139.32/24</t>
  </si>
  <si>
    <t>10.211.139.33/24</t>
  </si>
  <si>
    <t>10.211.139.34/24</t>
  </si>
  <si>
    <t>10.211.139.35/24</t>
  </si>
  <si>
    <t>10.211.139.36/24</t>
  </si>
  <si>
    <t>10.211.139.37/24</t>
  </si>
  <si>
    <t>10.211.139.38/24</t>
  </si>
  <si>
    <t>10.211.139.39/24</t>
  </si>
  <si>
    <t>10.211.139.40/24</t>
  </si>
  <si>
    <t>10.211.139.41/24</t>
  </si>
  <si>
    <t>10.211.139.42/24</t>
  </si>
  <si>
    <t>10.211.139.43/24</t>
  </si>
  <si>
    <t>10.211.93.70/24</t>
  </si>
  <si>
    <t>10.211.93.71/24</t>
  </si>
  <si>
    <t>10.211.93.72/24</t>
  </si>
  <si>
    <t>10.211.93.73/24</t>
  </si>
  <si>
    <t>10.211.93.74/24</t>
  </si>
  <si>
    <t>10.211.93.75/24</t>
  </si>
  <si>
    <t>10.211.93.76/24</t>
  </si>
  <si>
    <t>10.211.93.77/24</t>
  </si>
  <si>
    <t>10.211.93.78/24</t>
  </si>
  <si>
    <t>10.211.93.79/24</t>
  </si>
  <si>
    <t>10.211.93.80/24</t>
  </si>
  <si>
    <t>10.211.93.81/24</t>
  </si>
  <si>
    <t>10.211.93.82/24</t>
  </si>
  <si>
    <t>10.211.93.83/24</t>
  </si>
  <si>
    <t>10.211.93.84/24</t>
  </si>
  <si>
    <t>10.211.93.85/24</t>
  </si>
  <si>
    <t>10.211.93.86/24</t>
  </si>
  <si>
    <t>10.211.93.87/24</t>
  </si>
  <si>
    <t>10.211.93.88/24</t>
  </si>
  <si>
    <t>10.211.93.89/24</t>
  </si>
  <si>
    <t>10.211.93.90/24</t>
  </si>
  <si>
    <t>10.211.93.91/24</t>
  </si>
  <si>
    <t>10.211.93.92/24</t>
  </si>
  <si>
    <t>10.211.93.93/24</t>
  </si>
  <si>
    <t>10.211.93.94/24</t>
  </si>
  <si>
    <t>10.211.93.95/24</t>
  </si>
  <si>
    <t>10.211.126.176/24</t>
  </si>
  <si>
    <t>namlt16/nghialt4 (vtnet)</t>
  </si>
  <si>
    <t>10.211.126.177/24</t>
  </si>
  <si>
    <t>10.211.126.178/24</t>
  </si>
  <si>
    <t>10.211.126.179/24</t>
  </si>
  <si>
    <t>10.211.126.180/24</t>
  </si>
  <si>
    <t>10.211.126.181/24</t>
  </si>
  <si>
    <t>10.211.126.182/24</t>
  </si>
  <si>
    <t>10.211.126.183/24</t>
  </si>
  <si>
    <t>10.211.126.184/24</t>
  </si>
  <si>
    <t>10.211.126.185/24</t>
  </si>
  <si>
    <t>10.211.126.186/24</t>
  </si>
  <si>
    <t>10.211.126.187/24</t>
  </si>
  <si>
    <t>10.211.126.188/24</t>
  </si>
  <si>
    <t>10.211.126.189/24</t>
  </si>
  <si>
    <t>10.211.126.192/24</t>
  </si>
  <si>
    <t>10.211.126.193/24</t>
  </si>
  <si>
    <t>10.211.126.194/24</t>
  </si>
  <si>
    <t>10.211.126.195/24</t>
  </si>
  <si>
    <t>10.211.126.196/24</t>
  </si>
  <si>
    <t>10.211.126.197/24</t>
  </si>
  <si>
    <t>10.211.126.198/24</t>
  </si>
  <si>
    <t>10.211.127.1/24</t>
  </si>
  <si>
    <t>10.211.127.2/24</t>
  </si>
  <si>
    <t>10.211.127.3/24</t>
  </si>
  <si>
    <t>10.211.127.4/24</t>
  </si>
  <si>
    <t>10.211.127.5/24</t>
  </si>
  <si>
    <t>FTP_VTT</t>
  </si>
  <si>
    <t>10.211.118.193/24</t>
  </si>
  <si>
    <t>10.211.118.194/24</t>
  </si>
  <si>
    <t>Hạng mục</t>
  </si>
  <si>
    <t>I</t>
  </si>
  <si>
    <t>Checklist tổng quan</t>
  </si>
  <si>
    <t>STT </t>
  </si>
  <si>
    <t>Các lỗi thường gặp trong quá trình sizing </t>
  </si>
  <si>
    <t>Cách xử lý</t>
  </si>
  <si>
    <t>Yêu cầu đầu vào ( Loại yêu cầu cho ứng dụng mới hay nâng cấp hệ thống đang chạy)</t>
  </si>
  <si>
    <t>- Cần đề cập ngay trong bảng thông tin hệ thống trong Sizing
- Nếu là nâng cấp hệ thống đang chạy thì cần làm rõ thêm:
+ Bổ sung tài nguyên vào node đang chạy hay bổ sung node mới vào cụm đang chạy
+ Đưa ra thông tin IP server đang chạy để phục vụ khảo sát
+ Đưa ra các nhu cầu đăc biệt trong quá trình triển khai</t>
  </si>
  <si>
    <t>- Chưa có thông tin sở cứ đầu vào định cỡ.
- Thông tin sở cứ đầu vào tăng trưởng chưa đủ xác thực</t>
  </si>
  <si>
    <t>- Cần đưa ra log trích xuất từ hệ thống làm căn cứ cho đầu vào hệ thống tham chiếu
- Cần có kế hoạch/tờ trình kinh doanh hoặc văn bản có hiệu lực tương đương làm căn cứ tính toán tăng trưởng. Trường hợp exception yêu cầu tính toán theo căn cứ tăng trưởng bình quân các năm trước đó (không áp dụng với các hệ thống đang trong giai đoạn booming dịch vụ do tốc độ tăng trưởng không phản ánh mức tăng trưởng bình quân</t>
  </si>
  <si>
    <t>Mô tả tổng quan hệ thống</t>
  </si>
  <si>
    <t>- Cần đề cập ngay trong bảng thông tin hệ thống trong Sizing</t>
  </si>
  <si>
    <t>- Chưa có log tải hệ thống trên phần mềm giám sát tải
- Chưa lấy tải đúng theo tiêu chí 95 percentile trong tháng gần nhất</t>
  </si>
  <si>
    <t>- Cần có Phụ lục tải hệ thống chụp ảnh trích xuất từ hệ thống giám sát tải, tải lấy theo tiêu chí 95 percentile trong tháng gần nhất </t>
  </si>
  <si>
    <t>Đầu mối, đơn vị phát triển, định cỡ</t>
  </si>
  <si>
    <t>- Cần đề cập ngay trong bảng thông tin hệ thống trong Sizing. Kiểm tra xem đầu mối đã có tk DCIM chưa</t>
  </si>
  <si>
    <t>- Không làm rõ hệ thống tương đồng và lý do tương đồng </t>
  </si>
  <si>
    <t>- Đưa ra đẩy đủ căn cứ chứng minh hệ thống tương đồng (về công nghệ, về luồng nghiệp vụ,…)</t>
  </si>
  <si>
    <t>Cơ sở định cỡ</t>
  </si>
  <si>
    <t>- Chưa có căn cứ khi tính toán log lưu trữ</t>
  </si>
  <si>
    <t>- Với tính toán dung lượng lưu trữ tính tuyến tính theo đầu vào là số bản ghi cần chỉ rõ mỗi bản ghi có dung lượng bao nhiêu, bổ sung ảnh chụp log làm sở cứ trong sizing</t>
  </si>
  <si>
    <t>Thông số đầu vào</t>
  </si>
  <si>
    <t>- Thông số đầu vào cần làm rõ và giải thích chi tiết.
- Có sở cứ chứng minh bao gồm:
+ Thông số đầu vào hệ thống định cỡ (đầu vào tăng tăng trưởng) phải được đưa ra căn cứ bằng tờ trình kinh doanh/kế hoạch hoặc văn bản có hiệu lực tương đương</t>
  </si>
  <si>
    <t>- Chưa có link tham chiếu Cint sử dụng 2006 hay 2017</t>
  </si>
  <si>
    <t>- Yêu cầu thống nhất đơn vị tính toán năng lực CPU là Cint 2017 hay Cint 2006 ngay từ đầu sizing và áp dụng thống nhất xuyên suốt sizing
- Recommend tính toán theo năng lực Cint 2017, các dòng CPU cũ mới áp dụng Cint 2006
- Có link tham chiếu kết quả tra cứu Cint cho từng dòng CPU</t>
  </si>
  <si>
    <t>Mô hình logic tổng quan triển khai thực tế gồm đầy đủ các thành phần</t>
  </si>
  <si>
    <t>- Mô tả tổng quan các module dự kiến triển khai, luồng nghiệp vụ và giao tiếp logic giữa các module</t>
  </si>
  <si>
    <t>- Các lỗi basic về trình bày và chính tả</t>
  </si>
  <si>
    <t>- Đảm bảo trình bày đúng chính tả và chuẩn form sizing</t>
  </si>
  <si>
    <t>Mô hình vật lý tổng quan triển khai thực tế gồm đầy đủ các thành phần</t>
  </si>
  <si>
    <t>- Trình bày các module và thiết bị kết nối để có cái nhìn tổng quan về mô hình hệ thống. Mô tả luồng giao tiếp vật lý giữa các module. Chĩ rõ phân vùng mạng lưới của từng thành phần trong hệ thống</t>
  </si>
  <si>
    <t>- Khi triển khai dự án không chỉ rõ nhu cầu về LB, việc này dẫn tới khi phát sinh nhu cầu LB phải đánh giá lại toàn bộ quy hoạch IP và network để đánh giá khả năng cấp LB</t>
  </si>
  <si>
    <t>- Đánh giá và đề xuất nhu cầu LB ngay từ đầu dự án, đảm bảo đề cập đúng và đủ thông tin trong HSTK về nhu cầu LB, chỉ rõ cần LB cụm nào, IP nào, tính toán bandwidth cần đáp ứng</t>
  </si>
  <si>
    <t>Chi tiết phân hệ của hệ thống</t>
  </si>
  <si>
    <t>- Trình bày rõ các thông tin cấp phát. các thông tin như số lượng IP DCN, IP Public, Hệ điều hành, Thư viện cài thêm.</t>
  </si>
  <si>
    <t>- Xin yc kết nối chưa đúng luồng</t>
  </si>
  <si>
    <t>- Thực hiện xin kết nối theo đúng quy trình/guideline kết nối. Lưu ý chỉ rõ đơn vị trình ký, nếu là kết nối tới các cổng quản trị thì ký qua đơn vị đang vhkt máy chủ, nếu là kết nối tới các cổng ứng dụng thì ký qua đơn vị vhkt ứng dụng
- Xin đủ các loại kết nối bao gồm: kết nối đến và đi các hệ thống khác, kết nối nội bộ giữa các module, kết nối từ quản trị viên và người dùng tới hệ thống</t>
  </si>
  <si>
    <t>Khai báo phân tải Loadbalance</t>
  </si>
  <si>
    <t>- Trình bày các thông tin liên quan đến LB. LB Public hay Private, cứng hay mềm, LB cấp mới hay cũ, thuật toán</t>
  </si>
  <si>
    <t>- Đề xuất thiếu IP so với quy hoạch chuẩn</t>
  </si>
  <si>
    <t>- Đánh giá chi tiết và đề xuất đúng/đủ số lượng IP trong hstk/sizing, vd có IP VIP không,…</t>
  </si>
  <si>
    <t>1.10</t>
  </si>
  <si>
    <t>Chính sách kết nối </t>
  </si>
  <si>
    <t>- Trình bày rõ các kết nối theo hai chiều IN và OUT để quy hoạch hạ tầng. Cần có thông tin IP nguồn, IP đích, Port, Giao thức, Tên hệ thống, Mục đích.</t>
  </si>
  <si>
    <t>- Đề xuất thông tin thiếu tường minh</t>
  </si>
  <si>
    <t>- Ví dụ với dung lượng lưu trữ cần chỉ rõ loại lưu trữ là gì (San, Nas, local?), tốc độ vòng quay (tương ứng với iops) là bao nhiêu</t>
  </si>
  <si>
    <t>Luồng nghiệp vụ tổng quan của hệ thống bao gồm luồng nội bộ và luồng giao tiếp với bên ngoài</t>
  </si>
  <si>
    <t>- Trình bày rõ các luồng nghiệp vụ giao tiếp của các module (cần kết nối nội bộ hay cần kết nối ra hệ thống ngoài)</t>
  </si>
  <si>
    <t>- Đảm bảo các điều kiện với các kết nối đặc biệt vd kết nối public</t>
  </si>
  <si>
    <t>- Cần đánh giá mô hình/code qua đơn vị chức năng về ATTT trước khi triển khai xin kết nối</t>
  </si>
  <si>
    <t>Bảng tổng hợp đề xuất cấu hình cho toàn bộ hệ thống</t>
  </si>
  <si>
    <t>- Chốt lại sizing cần có bảng tổng kết nhu cầu tài nguyên tóm lược </t>
  </si>
  <si>
    <t>II</t>
  </si>
  <si>
    <t>Checklist chi tiết</t>
  </si>
  <si>
    <t>Các thành phần chức năng thuộc phân hệ Application </t>
  </si>
  <si>
    <t>2.1.1</t>
  </si>
  <si>
    <t>Mô tả chi tiết phân hệ</t>
  </si>
  <si>
    <t>- Mô tả chức năng của phân hệ và các kết nối đến phân hệ khác</t>
  </si>
  <si>
    <t>2.1.2</t>
  </si>
  <si>
    <t>Công nghệ sử dụng phân hệ</t>
  </si>
  <si>
    <t>- Trình bày công nghệ sử dụng (công nghệ cho module App, DB,…)</t>
  </si>
  <si>
    <t>2.1.3</t>
  </si>
  <si>
    <t>Hạ tầng phân hệ sử dụng vật lý hay ảo hóa</t>
  </si>
  <si>
    <t>- Ghi chú rõ nhu cầu hạ tầng của phân hệ, vật lý hay ảo hóa
- Nếu yêu cầu hạ tầng vật lý thì cần đưa ra lý do chứng minh nhu cầu
- Ngoài ra phân hệ ảo hóa có cấu hình max: cint 2006= 960, RAM= 128 GB (hạn chế để mức cấu hình này, nên để chia nhỏ ra nhiều node để thuận tiện cho ƯCTT sau này), thực tế best practice theo VHKT của VTNet là maximum 64GB RAM/1 node ảo hóa
- Cấu hình tối thiểu cho 1 server vật lý là: cint 2006= 960, RAM &gt;64 GB, cân đối với các yêu cầu đặc thù khác để ra quyết định sử dụng máy chủ vật lý hay máy chủ ảo hóa</t>
  </si>
  <si>
    <t>2.1.4</t>
  </si>
  <si>
    <t>Mức độ và khả năng dự phòng</t>
  </si>
  <si>
    <t>- Trong sizing cần tính toán mức độ dự phòng (ví dụ: N+1,..) hoặc mô hình dự phòng khác tùy đặc thù của từng loại module hệ thống</t>
  </si>
  <si>
    <t>2.1.5</t>
  </si>
  <si>
    <t>Max request (tps, rps, CCU…) từ các phân hệ khác hoặc từ ngoài truy vấn đến</t>
  </si>
  <si>
    <t>- Căn cứ theo đầu vào định cỡ (tuy nhiên trong cùng 1 hệ thống từng loại phân hệ Application có thể sẽ căn cứ vào TPS, CCU khác nhau căn cứ vào đặc thù của module được đánh giá)</t>
  </si>
  <si>
    <t>2.1.6</t>
  </si>
  <si>
    <t>Lưu lượng dữ liệu mỗi request</t>
  </si>
  <si>
    <t>- Việc tính toán này dựa vào đo đạc và thực tế sử dụng của hệ thống. Phục vụ cho việc tính toán LB, FW đáp ứng nhu cầu
- Đặc biệt cần làm kỹ với các hệ thống có nhu cầu lưu lượng băng thông cao vd các hệ thống streaming video của VAS,…</t>
  </si>
  <si>
    <t>2.1.7</t>
  </si>
  <si>
    <t>Nguồn request (Từ nội bộ hay bên ngoài)</t>
  </si>
  <si>
    <t>- Chỉ rõ nguồn request từ nội bộ hay bên ngoài.</t>
  </si>
  <si>
    <t>2.1.8</t>
  </si>
  <si>
    <t>Giao thức của request (HTTP,…), port giao thức</t>
  </si>
  <si>
    <t>- Chỉ ra port giao thức mà các phân hệ giao tiếp với nhau trong hệ thống</t>
  </si>
  <si>
    <t>2.1.9</t>
  </si>
  <si>
    <t>Tính toán sizing CPU mỗi request (Cint2017) và cho toàn phân hệ</t>
  </si>
  <si>
    <t>- Tính toán đảm bảo KPI = 0.75
- Cần đưa ra chi tiết sử dụng Cint 2006 hay Cint 2017, có link tham chiếu, thống nhất đại lượng tính toán xuyên suốt sizing</t>
  </si>
  <si>
    <t>2.1.10</t>
  </si>
  <si>
    <t>Tính toán sizing RAM mỗi request (MB) và cho toàn phân hệ</t>
  </si>
  <si>
    <t>- Tính toán định cỡ RAM dựa vào guideline của Tập Đoàn, dựa vào dữ liệu log tải thực tế chụp từ hệ thống
- Tính toán đảm bảo KPI RAM= 0.8</t>
  </si>
  <si>
    <t>2.1.11</t>
  </si>
  <si>
    <t>IOPS, Latecy mỗi request (MB) và cho toàn phân hệ</t>
  </si>
  <si>
    <t>- Cần tính toán làm rõ IOPS hệ thống nếu yêu cầu lưu trữ SSD, bình thường mặc định sẽ để lưu trữ tốc độ default 10krpm. </t>
  </si>
  <si>
    <t>2.1.12</t>
  </si>
  <si>
    <t>Tính toán sizing lưu trữ log cho phân hệ (sizing lặp lại nếu phân hệ dùng nhiều công nghệ lưu trữ khác nhau)</t>
  </si>
  <si>
    <t>- Tính toán log lưu trữ dựa vào dung lượng bản tin request/response, log phát sinh từ người dùng hoặc log hệ thống sinh ra,.. (có căn cứ là hình ảnh chụp log lưu trữ trong hệ thống) sau đó tính toán tuyến tính theo số lượng bản ghi</t>
  </si>
  <si>
    <t>2.1.13</t>
  </si>
  <si>
    <t>Tính toán sizing lưu trữ data cho phân hệ (sizing lặp lại nếu phân hệ dùng nhiều công nghệ lưu trữ khác nhau)</t>
  </si>
  <si>
    <t>- Tính toán lưu trữ dữ liệu phục vụ định cỡ trong khoảng thời gian nào (dẫn chứng tham chiếu theo quy định nào)</t>
  </si>
  <si>
    <t>2.1.14</t>
  </si>
  <si>
    <t>Loại lưu trữ sử dụng trong phân hệ (Block, Object, File local, File NAS)</t>
  </si>
  <si>
    <t>- Chỉ rõ loại dữ lưu trữ hoặc đề xuất lưu trữ (lưu trữ DB thường dùng SAN, lưu trữ App thông thường dùng NAS, Ceph,..). Trường hợp có nhu cầu đặc thù cần đề xuất phương án lưu trữ với lý do chi tiết </t>
  </si>
  <si>
    <t>2.1.15</t>
  </si>
  <si>
    <t>Sizing tính toán có tính đến yêu tố dự phòng mức dịch vụ, mức vật lý, backup trên thiết bị khác đang chạy dịch vụ, sai số tính toán, hướng dẫn bền vững</t>
  </si>
  <si>
    <t>- Đảm bảo dự phòng như mô tả</t>
  </si>
  <si>
    <t>2.1.16</t>
  </si>
  <si>
    <t>Bảng tổng hợp đề xuất cấu hình cho phân hệ</t>
  </si>
  <si>
    <t>- Bảng tổng hợp tài nguyên sau mỗi phân hệ định cỡ, kết quả khớp với thông tin tính toán</t>
  </si>
  <si>
    <t>2.1.17</t>
  </si>
  <si>
    <t>Tính toán băng thông FW, LB dựa trên số request tối đa của hệ thống.</t>
  </si>
  <si>
    <r>
      <rPr>
        <sz val="12"/>
        <color theme="1"/>
        <rFont val="Calibri"/>
        <scheme val="minor"/>
      </rPr>
      <t xml:space="preserve">- Tính toán dựa trên: (số Request, TPS tối đa của hệ thống) x (thông lượng mỗi request) x K dự phòng thông lượng
- Tính toán băng thông </t>
    </r>
    <r>
      <rPr>
        <b/>
        <sz val="12"/>
        <color indexed="2"/>
        <rFont val="Calibri"/>
        <scheme val="minor"/>
      </rPr>
      <t>không</t>
    </r>
    <r>
      <rPr>
        <sz val="12"/>
        <color theme="1"/>
        <rFont val="Calibri"/>
        <scheme val="minor"/>
      </rPr>
      <t xml:space="preserve"> có KPI mà chỉ có K dự phòng = 1.2</t>
    </r>
  </si>
  <si>
    <t>Các thành phần chức năng thuộc phân hệ Database</t>
  </si>
  <si>
    <t>2.2.1</t>
  </si>
  <si>
    <t>Cần có đủ 3 phân vùng /log, /backup, /u01 </t>
  </si>
  <si>
    <t>- Cần sizing đủ 3 phân vùng lưu trữ riêng biệt</t>
  </si>
  <si>
    <t>2.2.2</t>
  </si>
  <si>
    <t>Các node trong cụm nằm trên ít nhất 2 compute khác nhau (nếu cấp ảo hóa)</t>
  </si>
  <si>
    <t>2.2.3</t>
  </si>
  <si>
    <t>Đảm bảo phân vùng lưu trữ tối thiểu 3 bản backup của Database</t>
  </si>
  <si>
    <t>- Trong sizing cần tính toán dung lượng /backup lưu được tối thiểu 3 bản backup full của DB</t>
  </si>
  <si>
    <t>2.2.4</t>
  </si>
  <si>
    <t>Có khả năng mở rộng dung lượng lưu trữ cho phân vùng chứa Data (sử dụng LVM)</t>
  </si>
  <si>
    <t>- Cần làm rõ khi cấp phát về kế hoạch mở rộng trong 3 năm và trao đổi về hạ tầng cấp phát có đảm bảo được không. Phòng khi sau hết tài nguyên không mở rộng được. </t>
  </si>
  <si>
    <t>2.2.5</t>
  </si>
  <si>
    <t>Các node khác nhau trong cụm được cấp phát trên tối thiểu 2 tủ đĩa khác nhau (các phân vùng chứa datafile của các node trong cụm không nằm chung trên 1 storage)</t>
  </si>
  <si>
    <t>- Các /u01 lưu data của các node phải nằm trên ít nhất 2 storage khác nhau. </t>
  </si>
  <si>
    <t>2.2.6</t>
  </si>
  <si>
    <t>Đảm bảo sao lưu trên vùng lưu trữ độc lập, tách biệt với phân vùng lưu trữ datafile</t>
  </si>
  <si>
    <t>- /u01 và /backup phải nằm trên 2 storage khác nhau</t>
  </si>
  <si>
    <t>Các thành phần chức năng thuộc phân hệ K8S</t>
  </si>
  <si>
    <t>2.3.1</t>
  </si>
  <si>
    <t>Cấu hình mỗi node ít nhất:
- 4 vCPU
- 8GB RAM
- 100GB HDD</t>
  </si>
  <si>
    <t>- /u01 min 100GB</t>
  </si>
  <si>
    <t>2.3.2</t>
  </si>
  <si>
    <t>Storage (root disk và data disk) của master, etcd phải nằm ở 3 cụm storage khác nhau </t>
  </si>
  <si>
    <t>2.3.3</t>
  </si>
  <si>
    <t>Số node etcd là n, n phải là số lẻ, quorum = (n+1)/2 để đảm bảo không bị hiện tượng split-brain</t>
  </si>
  <si>
    <t>2.3.4</t>
  </si>
  <si>
    <t>Đảm bảo sao lưu dữ liệu của etcd ở tối thiểu 2 storage khác nhau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</si>
</sst>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 #,##0.00_ ;_ * \-#,##0.00_ ;_ * &quot;-&quot;??_ ;_ @_ "/>
    <numFmt numFmtId="166" formatCode="0_ "/>
    <numFmt numFmtId="167" formatCode="#,##0_ "/>
    <numFmt numFmtId="168" formatCode="0;\-0;\-;@"/>
    <numFmt numFmtId="169" formatCode="_(* #,##0.0_);_(* \(#,##0.0\);_(* &quot;-&quot;??_);_(@_)"/>
  </numFmts>
  <fonts count="68" x14ac:knownFonts="1">
    <font>
      <sz val="11"/>
      <color theme="1"/>
      <name val="Calibri"/>
      <scheme val="minor"/>
    </font>
    <font>
      <sz val="11"/>
      <color indexed="64"/>
      <name val="Arial"/>
    </font>
    <font>
      <b/>
      <sz val="11"/>
      <color theme="1"/>
      <name val="Calibri"/>
      <scheme val="minor"/>
    </font>
    <font>
      <sz val="11"/>
      <color indexed="2"/>
      <name val="Calibri"/>
      <scheme val="minor"/>
    </font>
    <font>
      <sz val="10"/>
      <color theme="1"/>
      <name val="Times New Roman"/>
    </font>
    <font>
      <u/>
      <sz val="10"/>
      <color theme="1"/>
      <name val="Times New Roman"/>
    </font>
    <font>
      <u/>
      <sz val="10"/>
      <color theme="1"/>
      <name val="Calibri"/>
    </font>
    <font>
      <sz val="10"/>
      <color rgb="FF172B4D"/>
      <name val="Times New Roman"/>
    </font>
    <font>
      <sz val="11"/>
      <name val="Calibri"/>
    </font>
    <font>
      <b/>
      <sz val="10"/>
      <color rgb="FF172B4D"/>
      <name val="Times New Roman"/>
    </font>
    <font>
      <sz val="10"/>
      <name val="Times New Roman"/>
    </font>
    <font>
      <b/>
      <sz val="11"/>
      <color rgb="FF172B4D"/>
      <name val="Times New Roman"/>
    </font>
    <font>
      <sz val="11"/>
      <name val="Times New Roman"/>
    </font>
    <font>
      <b/>
      <sz val="10"/>
      <color theme="1"/>
      <name val="Times New Roman"/>
    </font>
    <font>
      <i/>
      <sz val="10"/>
      <color theme="1"/>
      <name val="Times New Roman"/>
    </font>
    <font>
      <sz val="9.5"/>
      <color indexed="64"/>
      <name val="Arial"/>
    </font>
    <font>
      <sz val="10"/>
      <color indexed="64"/>
      <name val="Times New Roman"/>
    </font>
    <font>
      <sz val="11"/>
      <color indexed="2"/>
      <name val="Calibri"/>
    </font>
    <font>
      <sz val="11"/>
      <color theme="1"/>
      <name val="Times New Roman"/>
    </font>
    <font>
      <sz val="10"/>
      <color theme="1"/>
      <name val="Times New Roman"/>
    </font>
    <font>
      <sz val="11"/>
      <name val="Times New Roman"/>
    </font>
    <font>
      <sz val="11"/>
      <color rgb="FF4F4F4F"/>
      <name val="Times New Roman"/>
    </font>
    <font>
      <sz val="12"/>
      <color indexed="64"/>
      <name val="Times New Roman"/>
    </font>
    <font>
      <sz val="9"/>
      <color rgb="FF4F4F4F"/>
      <name val="Arial"/>
    </font>
    <font>
      <sz val="11"/>
      <color rgb="FF1F497D"/>
      <name val="Calibri"/>
    </font>
    <font>
      <sz val="10"/>
      <color indexed="2"/>
      <name val="Times New Roman"/>
    </font>
    <font>
      <b/>
      <sz val="9.5"/>
      <color indexed="64"/>
      <name val="Arial"/>
    </font>
    <font>
      <sz val="11"/>
      <color indexed="64"/>
      <name val="Times New Roman"/>
    </font>
    <font>
      <b/>
      <sz val="10"/>
      <color theme="1"/>
      <name val="Times New Roman"/>
    </font>
    <font>
      <sz val="10"/>
      <color rgb="FF4F4F4F"/>
      <name val="Times New Roman"/>
    </font>
    <font>
      <sz val="10"/>
      <color rgb="FF1F497D"/>
      <name val="Times New Roman"/>
    </font>
    <font>
      <b/>
      <sz val="10"/>
      <color indexed="64"/>
      <name val="Times New Roman"/>
    </font>
    <font>
      <sz val="11"/>
      <color indexed="64"/>
      <name val="Calibri"/>
    </font>
    <font>
      <sz val="8"/>
      <color indexed="64"/>
      <name val="Times New Roman"/>
    </font>
    <font>
      <sz val="8"/>
      <color theme="1"/>
      <name val="Times New Roman"/>
    </font>
    <font>
      <sz val="9.5"/>
      <color indexed="2"/>
      <name val="Arial"/>
    </font>
    <font>
      <sz val="8"/>
      <color indexed="2"/>
      <name val="Times New Roman"/>
    </font>
    <font>
      <b/>
      <sz val="14"/>
      <color theme="1"/>
      <name val="Calibri"/>
      <scheme val="minor"/>
    </font>
    <font>
      <b/>
      <sz val="11"/>
      <name val="Calibri"/>
      <scheme val="minor"/>
    </font>
    <font>
      <b/>
      <sz val="11"/>
      <name val="Times New Roman"/>
    </font>
    <font>
      <b/>
      <sz val="11"/>
      <color indexed="2"/>
      <name val="Calibri"/>
      <scheme val="minor"/>
    </font>
    <font>
      <b/>
      <sz val="11"/>
      <color indexed="64"/>
      <name val="Calibri"/>
    </font>
    <font>
      <b/>
      <sz val="11"/>
      <color indexed="64"/>
      <name val="Times New Roman"/>
    </font>
    <font>
      <b/>
      <sz val="12"/>
      <color indexed="64"/>
      <name val="Times New Roman"/>
    </font>
    <font>
      <b/>
      <sz val="11"/>
      <color theme="1"/>
      <name val="Times New Roman"/>
    </font>
    <font>
      <sz val="11"/>
      <color theme="1"/>
      <name val="Times New Roman"/>
    </font>
    <font>
      <u/>
      <sz val="11"/>
      <color indexed="64"/>
      <name val="Times New Roman"/>
    </font>
    <font>
      <b/>
      <sz val="12"/>
      <color theme="1"/>
      <name val="Calibri"/>
      <scheme val="minor"/>
    </font>
    <font>
      <b/>
      <i/>
      <sz val="10"/>
      <color theme="1"/>
      <name val="Times New Roman"/>
    </font>
    <font>
      <sz val="10"/>
      <color indexed="64"/>
      <name val="Calibri"/>
    </font>
    <font>
      <b/>
      <sz val="12"/>
      <color indexed="64"/>
      <name val="Calibri"/>
    </font>
    <font>
      <i/>
      <sz val="12"/>
      <color indexed="64"/>
      <name val="Calibri"/>
    </font>
    <font>
      <sz val="12"/>
      <color indexed="64"/>
      <name val="Calibri"/>
    </font>
    <font>
      <b/>
      <sz val="10"/>
      <color indexed="2"/>
      <name val="Times New Roman"/>
    </font>
    <font>
      <sz val="9"/>
      <color indexed="64"/>
      <name val="Calibri"/>
    </font>
    <font>
      <sz val="14"/>
      <color indexed="16"/>
      <name val="Times New Roman"/>
    </font>
    <font>
      <sz val="13"/>
      <color rgb="FF2E74B5"/>
      <name val="Times New Roman"/>
    </font>
    <font>
      <b/>
      <sz val="10.5"/>
      <color rgb="FF212529"/>
      <name val="Calibri"/>
    </font>
    <font>
      <sz val="10.5"/>
      <color rgb="FF212529"/>
      <name val="Calibri"/>
    </font>
    <font>
      <sz val="12"/>
      <color indexed="2"/>
      <name val="Times New Roman"/>
    </font>
    <font>
      <sz val="11"/>
      <name val="Calibri"/>
    </font>
    <font>
      <b/>
      <i/>
      <sz val="12"/>
      <color indexed="64"/>
      <name val="Times New Roman"/>
    </font>
    <font>
      <sz val="12"/>
      <color theme="1"/>
      <name val="Times New Roman"/>
    </font>
    <font>
      <sz val="11"/>
      <color theme="1"/>
      <name val="Calibri"/>
      <scheme val="minor"/>
    </font>
    <font>
      <sz val="11"/>
      <color indexed="64"/>
      <name val="Symbol"/>
    </font>
    <font>
      <sz val="12"/>
      <color theme="1"/>
      <name val="Calibri"/>
      <scheme val="minor"/>
    </font>
    <font>
      <b/>
      <sz val="12"/>
      <color indexed="2"/>
      <name val="Calibri"/>
      <scheme val="minor"/>
    </font>
    <font>
      <sz val="8"/>
      <name val="Tahoma"/>
    </font>
  </fonts>
  <fills count="27">
    <fill>
      <patternFill patternType="none"/>
    </fill>
    <fill>
      <patternFill patternType="gray125"/>
    </fill>
    <fill>
      <patternFill patternType="solid">
        <fgColor theme="5"/>
        <bgColor theme="5"/>
      </patternFill>
    </fill>
    <fill>
      <patternFill patternType="solid">
        <fgColor theme="5" tint="0.79985961485641044"/>
        <bgColor theme="5" tint="0.79985961485641044"/>
      </patternFill>
    </fill>
    <fill>
      <patternFill patternType="solid">
        <fgColor indexed="5"/>
        <bgColor indexed="5"/>
      </patternFill>
    </fill>
    <fill>
      <patternFill patternType="solid">
        <fgColor rgb="FFFDFCFA"/>
        <bgColor rgb="FFFDFCFA"/>
      </patternFill>
    </fill>
    <fill>
      <patternFill patternType="solid">
        <fgColor theme="0"/>
        <bgColor theme="0"/>
      </patternFill>
    </fill>
    <fill>
      <patternFill patternType="solid">
        <fgColor theme="0"/>
        <bgColor theme="0"/>
      </patternFill>
    </fill>
    <fill>
      <patternFill patternType="solid">
        <fgColor theme="4"/>
        <bgColor theme="4"/>
      </patternFill>
    </fill>
    <fill>
      <patternFill patternType="solid">
        <fgColor rgb="FF92D050"/>
        <bgColor rgb="FF92D050"/>
      </patternFill>
    </fill>
    <fill>
      <patternFill patternType="solid">
        <fgColor theme="4" tint="0.39945677053132728"/>
        <bgColor theme="4" tint="0.39945677053132728"/>
      </patternFill>
    </fill>
    <fill>
      <patternFill patternType="solid">
        <fgColor rgb="FF00B0F0"/>
        <bgColor rgb="FF00B0F0"/>
      </patternFill>
    </fill>
    <fill>
      <patternFill patternType="solid">
        <fgColor theme="4" tint="0.39976195562608724"/>
        <bgColor theme="4" tint="0.39976195562608724"/>
      </patternFill>
    </fill>
    <fill>
      <patternFill patternType="solid">
        <fgColor rgb="FFED7D31"/>
        <bgColor rgb="FFED7D31"/>
      </patternFill>
    </fill>
    <fill>
      <patternFill patternType="solid">
        <fgColor rgb="FFEDEDED"/>
        <bgColor rgb="FFEDEDED"/>
      </patternFill>
    </fill>
    <fill>
      <patternFill patternType="solid">
        <fgColor rgb="FFFFE699"/>
        <bgColor rgb="FFFFE699"/>
      </patternFill>
    </fill>
    <fill>
      <patternFill patternType="solid">
        <fgColor indexed="65"/>
      </patternFill>
    </fill>
    <fill>
      <patternFill patternType="solid">
        <fgColor theme="8"/>
        <bgColor theme="8"/>
      </patternFill>
    </fill>
    <fill>
      <patternFill patternType="solid">
        <fgColor theme="4" tint="0.59999389629810485"/>
        <bgColor theme="4" tint="0.59999389629810485"/>
      </patternFill>
    </fill>
    <fill>
      <patternFill patternType="solid">
        <fgColor rgb="FFBDD7EE"/>
        <bgColor rgb="FFBDD7EE"/>
      </patternFill>
    </fill>
    <fill>
      <patternFill patternType="solid">
        <fgColor rgb="FFA9D08E"/>
        <bgColor rgb="FFA9D08E"/>
      </patternFill>
    </fill>
    <fill>
      <patternFill patternType="solid">
        <fgColor rgb="FFFFC000"/>
        <bgColor rgb="FFFFC000"/>
      </patternFill>
    </fill>
    <fill>
      <patternFill patternType="solid">
        <fgColor rgb="FFB4C6E7"/>
        <bgColor rgb="FFB4C6E7"/>
      </patternFill>
    </fill>
    <fill>
      <patternFill patternType="solid">
        <fgColor theme="5"/>
        <bgColor theme="5"/>
      </patternFill>
    </fill>
    <fill>
      <patternFill patternType="solid">
        <fgColor rgb="FFC6E0B4"/>
        <bgColor rgb="FFC6E0B4"/>
      </patternFill>
    </fill>
    <fill>
      <patternFill patternType="solid">
        <fgColor rgb="FFF4B084"/>
        <bgColor rgb="FFF4B084"/>
      </patternFill>
    </fill>
    <fill>
      <patternFill patternType="solid">
        <fgColor theme="9"/>
        <bgColor theme="9"/>
      </patternFill>
    </fill>
  </fills>
  <borders count="27">
    <border>
      <left/>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top/>
      <bottom/>
      <diagonal/>
    </border>
    <border>
      <left/>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diagonal/>
    </border>
    <border>
      <left/>
      <right/>
      <top style="thin">
        <color theme="1"/>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theme="1"/>
      </left>
      <right style="thin">
        <color indexed="64"/>
      </right>
      <top style="thin">
        <color theme="1"/>
      </top>
      <bottom style="thin">
        <color theme="1"/>
      </bottom>
      <diagonal/>
    </border>
    <border>
      <left style="thin">
        <color indexed="64"/>
      </left>
      <right style="thin">
        <color indexed="64"/>
      </right>
      <top style="thin">
        <color theme="1"/>
      </top>
      <bottom style="thin">
        <color theme="1"/>
      </bottom>
      <diagonal/>
    </border>
    <border>
      <left style="thin">
        <color indexed="64"/>
      </left>
      <right style="thin">
        <color theme="1"/>
      </right>
      <top style="thin">
        <color theme="1"/>
      </top>
      <bottom style="thin">
        <color theme="1"/>
      </bottom>
      <diagonal/>
    </border>
    <border>
      <left style="thin">
        <color indexed="64"/>
      </left>
      <right/>
      <top/>
      <bottom/>
      <diagonal/>
    </border>
    <border>
      <left style="thin">
        <color theme="1"/>
      </left>
      <right style="thin">
        <color theme="1"/>
      </right>
      <top/>
      <bottom style="thin">
        <color theme="1"/>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theme="1"/>
      </left>
      <right/>
      <top style="thin">
        <color theme="1"/>
      </top>
      <bottom/>
      <diagonal/>
    </border>
    <border>
      <left/>
      <right style="thin">
        <color theme="1"/>
      </right>
      <top style="thin">
        <color theme="1"/>
      </top>
      <bottom/>
      <diagonal/>
    </border>
    <border>
      <left/>
      <right style="thin">
        <color indexed="64"/>
      </right>
      <top/>
      <bottom/>
      <diagonal/>
    </border>
    <border>
      <left style="thin">
        <color indexed="64"/>
      </left>
      <right style="thin">
        <color indexed="64"/>
      </right>
      <top/>
      <bottom/>
      <diagonal/>
    </border>
  </borders>
  <cellStyleXfs count="6">
    <xf numFmtId="0" fontId="0" fillId="0" borderId="0">
      <alignment vertical="center"/>
    </xf>
    <xf numFmtId="164" fontId="63" fillId="0" borderId="0">
      <alignment vertical="center"/>
    </xf>
    <xf numFmtId="0" fontId="1" fillId="0" borderId="0"/>
    <xf numFmtId="0" fontId="63" fillId="0" borderId="0"/>
    <xf numFmtId="164" fontId="63" fillId="0" borderId="0">
      <alignment vertical="center"/>
    </xf>
    <xf numFmtId="0" fontId="63" fillId="0" borderId="0"/>
  </cellStyleXfs>
  <cellXfs count="563">
    <xf numFmtId="0" fontId="0" fillId="0" borderId="0" xfId="0" applyAlignment="1">
      <alignment vertical="center"/>
    </xf>
    <xf numFmtId="0" fontId="4" fillId="0" borderId="0" xfId="0" applyFont="1" applyAlignment="1"/>
    <xf numFmtId="0" fontId="4"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horizontal="left"/>
    </xf>
    <xf numFmtId="0" fontId="4" fillId="0" borderId="0" xfId="0" applyFont="1" applyAlignment="1">
      <alignment horizont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xf>
    <xf numFmtId="14" fontId="4" fillId="0" borderId="2" xfId="0" applyNumberFormat="1" applyFont="1"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left"/>
    </xf>
    <xf numFmtId="0" fontId="4" fillId="0" borderId="1" xfId="0" applyFont="1" applyBorder="1" applyAlignment="1"/>
    <xf numFmtId="0" fontId="4" fillId="0" borderId="1" xfId="0" applyFont="1" applyBorder="1" applyAlignment="1">
      <alignment horizontal="center" wrapText="1"/>
    </xf>
    <xf numFmtId="0" fontId="4" fillId="0" borderId="1" xfId="0" quotePrefix="1" applyFont="1" applyBorder="1" applyAlignment="1">
      <alignment horizontal="center" vertical="center"/>
    </xf>
    <xf numFmtId="14" fontId="4" fillId="0" borderId="2" xfId="0" applyNumberFormat="1"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wrapText="1"/>
    </xf>
    <xf numFmtId="14" fontId="4" fillId="0" borderId="2"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0" borderId="2" xfId="0" applyFont="1" applyBorder="1" applyAlignment="1">
      <alignment horizontal="center" vertical="center"/>
    </xf>
    <xf numFmtId="0" fontId="4" fillId="0" borderId="1" xfId="0" applyFont="1" applyBorder="1" applyAlignment="1">
      <alignment vertical="center" wrapText="1"/>
    </xf>
    <xf numFmtId="0" fontId="4" fillId="0" borderId="2" xfId="0" applyFont="1" applyBorder="1" applyAlignment="1">
      <alignment horizontal="center"/>
    </xf>
    <xf numFmtId="0" fontId="4" fillId="0" borderId="2" xfId="0" applyFont="1" applyBorder="1" applyAlignment="1">
      <alignment horizontal="center" vertical="center" wrapText="1"/>
    </xf>
    <xf numFmtId="0" fontId="4" fillId="0" borderId="1" xfId="0" applyFont="1" applyBorder="1" applyAlignment="1">
      <alignment horizontal="left" wrapText="1"/>
    </xf>
    <xf numFmtId="14" fontId="4" fillId="0" borderId="1" xfId="0" applyNumberFormat="1" applyFont="1" applyBorder="1" applyAlignment="1">
      <alignment horizontal="center" vertical="center"/>
    </xf>
    <xf numFmtId="14" fontId="4" fillId="0" borderId="1" xfId="0" applyNumberFormat="1" applyFont="1" applyBorder="1" applyAlignment="1">
      <alignment horizontal="center"/>
    </xf>
    <xf numFmtId="14" fontId="4" fillId="0" borderId="0" xfId="0" applyNumberFormat="1" applyFont="1" applyAlignment="1">
      <alignment horizontal="center" vertical="center"/>
    </xf>
    <xf numFmtId="0" fontId="5" fillId="0" borderId="1" xfId="0" applyFont="1" applyBorder="1" applyAlignment="1">
      <alignment horizontal="center"/>
    </xf>
    <xf numFmtId="0" fontId="6" fillId="0" borderId="1" xfId="0" applyFont="1" applyBorder="1" applyAlignment="1"/>
    <xf numFmtId="0" fontId="7" fillId="0" borderId="1" xfId="0" applyFont="1" applyBorder="1" applyAlignment="1">
      <alignment horizontal="left"/>
    </xf>
    <xf numFmtId="0" fontId="8" fillId="0" borderId="1" xfId="0" applyFont="1" applyBorder="1" applyAlignment="1"/>
    <xf numFmtId="0" fontId="9" fillId="0" borderId="1" xfId="0" applyFont="1" applyBorder="1" applyAlignment="1">
      <alignment horizontal="left"/>
    </xf>
    <xf numFmtId="0" fontId="4" fillId="0" borderId="3" xfId="0" applyFont="1" applyBorder="1" applyAlignment="1"/>
    <xf numFmtId="0" fontId="9" fillId="0" borderId="0" xfId="0" applyFont="1" applyAlignment="1">
      <alignment horizontal="left"/>
    </xf>
    <xf numFmtId="0" fontId="9" fillId="0" borderId="1" xfId="0" applyFont="1" applyBorder="1" applyAlignment="1">
      <alignment horizontal="left" vertical="center"/>
    </xf>
    <xf numFmtId="0" fontId="10" fillId="0" borderId="1" xfId="0" applyFont="1" applyBorder="1" applyAlignment="1">
      <alignment horizontal="left"/>
    </xf>
    <xf numFmtId="0" fontId="11" fillId="0" borderId="1" xfId="0" applyFont="1" applyBorder="1" applyAlignment="1">
      <alignment horizontal="left"/>
    </xf>
    <xf numFmtId="0" fontId="10" fillId="0" borderId="1" xfId="0" applyFont="1" applyBorder="1" applyAlignment="1">
      <alignment horizontal="left" vertical="center"/>
    </xf>
    <xf numFmtId="14" fontId="9" fillId="0" borderId="1" xfId="0" applyNumberFormat="1" applyFont="1" applyBorder="1" applyAlignment="1">
      <alignment horizontal="left"/>
    </xf>
    <xf numFmtId="0" fontId="12" fillId="0" borderId="1" xfId="0" applyFont="1" applyBorder="1" applyAlignment="1">
      <alignment horizontal="left"/>
    </xf>
    <xf numFmtId="0" fontId="0" fillId="0" borderId="0" xfId="0" applyAlignment="1">
      <alignment horizontal="left"/>
    </xf>
    <xf numFmtId="0" fontId="4" fillId="4" borderId="1" xfId="0" applyFont="1" applyFill="1" applyBorder="1" applyAlignment="1"/>
    <xf numFmtId="0" fontId="4" fillId="0" borderId="0" xfId="0" applyFont="1" applyAlignment="1">
      <alignment horizontal="left" vertical="center"/>
    </xf>
    <xf numFmtId="0" fontId="13" fillId="0" borderId="1" xfId="0" applyFont="1" applyBorder="1" applyAlignment="1">
      <alignment horizontal="center"/>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3" fillId="4" borderId="1"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quotePrefix="1" applyFont="1" applyBorder="1" applyAlignment="1">
      <alignment vertical="center" wrapText="1"/>
    </xf>
    <xf numFmtId="0" fontId="4" fillId="0" borderId="1" xfId="0" applyFont="1" applyBorder="1" applyAlignment="1">
      <alignment vertical="center"/>
    </xf>
    <xf numFmtId="14" fontId="4"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16" fontId="4" fillId="0" borderId="1" xfId="0" quotePrefix="1" applyNumberFormat="1" applyFont="1" applyBorder="1" applyAlignment="1">
      <alignment horizontal="center" vertical="center" wrapText="1"/>
    </xf>
    <xf numFmtId="0" fontId="4" fillId="4" borderId="1" xfId="0" applyFont="1" applyFill="1" applyBorder="1" applyAlignment="1">
      <alignment vertical="center" wrapText="1"/>
    </xf>
    <xf numFmtId="16" fontId="4" fillId="0" borderId="1" xfId="0" applyNumberFormat="1" applyFont="1" applyBorder="1" applyAlignment="1">
      <alignment horizontal="center" vertical="center" wrapText="1"/>
    </xf>
    <xf numFmtId="0" fontId="4" fillId="0" borderId="1" xfId="0" quotePrefix="1" applyFont="1" applyBorder="1" applyAlignment="1">
      <alignment vertical="center"/>
    </xf>
    <xf numFmtId="0" fontId="4" fillId="4" borderId="1" xfId="0" quotePrefix="1" applyFont="1" applyFill="1" applyBorder="1" applyAlignment="1">
      <alignment vertical="center"/>
    </xf>
    <xf numFmtId="0" fontId="4" fillId="6" borderId="1" xfId="0" applyFont="1" applyFill="1" applyBorder="1" applyAlignment="1">
      <alignment vertical="center" wrapText="1"/>
    </xf>
    <xf numFmtId="0" fontId="16" fillId="0" borderId="1" xfId="0" applyFont="1" applyBorder="1" applyAlignment="1">
      <alignment horizontal="center" vertical="center"/>
    </xf>
    <xf numFmtId="0" fontId="10" fillId="0" borderId="1" xfId="0" applyFont="1" applyBorder="1" applyAlignment="1">
      <alignment horizontal="center" vertical="center"/>
    </xf>
    <xf numFmtId="0" fontId="17" fillId="0" borderId="1" xfId="0" applyFont="1" applyBorder="1" applyAlignment="1">
      <alignment vertical="center" wrapText="1"/>
    </xf>
    <xf numFmtId="0" fontId="18" fillId="0" borderId="1" xfId="0" applyFont="1" applyBorder="1" applyAlignment="1">
      <alignment vertical="center" wrapText="1"/>
    </xf>
    <xf numFmtId="0" fontId="17" fillId="0" borderId="1" xfId="0" applyFont="1" applyBorder="1" applyAlignment="1">
      <alignment vertical="center"/>
    </xf>
    <xf numFmtId="0" fontId="19" fillId="0" borderId="1" xfId="0" applyFont="1" applyBorder="1" applyAlignment="1">
      <alignment horizontal="left" wrapText="1"/>
    </xf>
    <xf numFmtId="0" fontId="18" fillId="6" borderId="1" xfId="0" applyFont="1" applyFill="1" applyBorder="1" applyAlignment="1">
      <alignment vertical="center" wrapText="1"/>
    </xf>
    <xf numFmtId="0" fontId="20" fillId="0" borderId="1" xfId="0" applyFont="1" applyBorder="1" applyAlignment="1">
      <alignment vertical="center" wrapText="1"/>
    </xf>
    <xf numFmtId="14" fontId="16" fillId="0" borderId="1" xfId="0" applyNumberFormat="1" applyFont="1" applyBorder="1" applyAlignment="1">
      <alignment horizontal="center" vertical="center"/>
    </xf>
    <xf numFmtId="0" fontId="10" fillId="0" borderId="1" xfId="0" applyFont="1" applyBorder="1" applyAlignment="1">
      <alignment vertical="center" wrapText="1"/>
    </xf>
    <xf numFmtId="0" fontId="2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horizontal="center" vertical="center"/>
    </xf>
    <xf numFmtId="0" fontId="19" fillId="7" borderId="1" xfId="0" applyFont="1" applyFill="1" applyBorder="1" applyAlignment="1">
      <alignment horizontal="center" vertical="center" wrapText="1"/>
    </xf>
    <xf numFmtId="0" fontId="19" fillId="7" borderId="1" xfId="0" applyFont="1" applyFill="1" applyBorder="1" applyAlignment="1">
      <alignment horizontal="center" vertical="center"/>
    </xf>
    <xf numFmtId="0" fontId="16" fillId="0" borderId="1" xfId="0" applyFont="1" applyBorder="1" applyAlignment="1">
      <alignment horizontal="center" vertical="center" wrapText="1"/>
    </xf>
    <xf numFmtId="0" fontId="22" fillId="0" borderId="1" xfId="0" applyFont="1" applyBorder="1" applyAlignment="1">
      <alignment vertical="center" wrapText="1"/>
    </xf>
    <xf numFmtId="0" fontId="15" fillId="0" borderId="1" xfId="0" applyFont="1" applyBorder="1" applyAlignment="1">
      <alignment horizontal="center" vertical="center"/>
    </xf>
    <xf numFmtId="0" fontId="23" fillId="0" borderId="1" xfId="0" applyFont="1" applyBorder="1" applyAlignment="1">
      <alignment horizontal="center" vertical="center"/>
    </xf>
    <xf numFmtId="0" fontId="19" fillId="0" borderId="1" xfId="0" applyFont="1" applyBorder="1" applyAlignment="1">
      <alignment horizontal="left"/>
    </xf>
    <xf numFmtId="0" fontId="8" fillId="0" borderId="1" xfId="0" applyFont="1" applyBorder="1" applyAlignment="1">
      <alignment vertical="center" wrapText="1"/>
    </xf>
    <xf numFmtId="0" fontId="19" fillId="0" borderId="1" xfId="0" applyFont="1" applyBorder="1" applyAlignment="1">
      <alignment vertical="center" wrapText="1"/>
    </xf>
    <xf numFmtId="0" fontId="19" fillId="0" borderId="1" xfId="0" applyFont="1" applyBorder="1" applyAlignment="1">
      <alignment vertical="center"/>
    </xf>
    <xf numFmtId="0" fontId="24" fillId="0" borderId="1" xfId="0" applyFont="1" applyBorder="1" applyAlignment="1">
      <alignment horizontal="justify" vertical="center"/>
    </xf>
    <xf numFmtId="0" fontId="23" fillId="0" borderId="1" xfId="0" applyFont="1" applyBorder="1" applyAlignment="1">
      <alignment horizontal="center" vertical="center" wrapText="1"/>
    </xf>
    <xf numFmtId="0" fontId="4" fillId="0" borderId="3" xfId="0" applyFont="1" applyBorder="1" applyAlignment="1">
      <alignment vertical="center"/>
    </xf>
    <xf numFmtId="0" fontId="4" fillId="0" borderId="1" xfId="0" applyFont="1" applyBorder="1" applyAlignment="1">
      <alignment horizontal="justify" vertical="center"/>
    </xf>
    <xf numFmtId="0" fontId="25" fillId="0" borderId="1" xfId="0" applyFont="1" applyBorder="1" applyAlignment="1">
      <alignment horizontal="center" vertical="center"/>
    </xf>
    <xf numFmtId="0" fontId="26" fillId="0" borderId="1" xfId="0" applyFont="1" applyBorder="1" applyAlignment="1">
      <alignment horizontal="center" vertical="center" wrapText="1"/>
    </xf>
    <xf numFmtId="0" fontId="27" fillId="6" borderId="1" xfId="0" applyFont="1" applyFill="1" applyBorder="1" applyAlignment="1">
      <alignment vertical="center" wrapText="1"/>
    </xf>
    <xf numFmtId="14" fontId="4" fillId="0" borderId="1" xfId="0" applyNumberFormat="1" applyFont="1" applyBorder="1" applyAlignment="1">
      <alignment horizontal="left" vertical="center"/>
    </xf>
    <xf numFmtId="0" fontId="15" fillId="0" borderId="1" xfId="0" applyFont="1" applyBorder="1" applyAlignment="1">
      <alignment horizontal="center"/>
    </xf>
    <xf numFmtId="0" fontId="25" fillId="4" borderId="1" xfId="0" applyFont="1" applyFill="1" applyBorder="1" applyAlignment="1">
      <alignment vertical="center"/>
    </xf>
    <xf numFmtId="0" fontId="24" fillId="0" borderId="1" xfId="0" applyFont="1" applyBorder="1" applyAlignment="1">
      <alignment vertical="center"/>
    </xf>
    <xf numFmtId="0" fontId="25" fillId="0" borderId="1" xfId="0" applyFont="1" applyBorder="1" applyAlignment="1">
      <alignment vertical="center"/>
    </xf>
    <xf numFmtId="0" fontId="26" fillId="0" borderId="1" xfId="0" applyFont="1" applyBorder="1" applyAlignment="1">
      <alignment horizontal="center" vertical="center"/>
    </xf>
    <xf numFmtId="14" fontId="8" fillId="0" borderId="1" xfId="0" applyNumberFormat="1" applyFont="1" applyBorder="1" applyAlignment="1">
      <alignment horizontal="left" vertical="center"/>
    </xf>
    <xf numFmtId="0" fontId="25" fillId="0" borderId="1" xfId="0" applyFont="1" applyBorder="1" applyAlignment="1">
      <alignment vertical="center" wrapText="1"/>
    </xf>
    <xf numFmtId="0" fontId="25" fillId="0" borderId="1" xfId="0" applyFont="1" applyBorder="1" applyAlignment="1">
      <alignment horizontal="center" vertical="center" wrapText="1"/>
    </xf>
    <xf numFmtId="0" fontId="25" fillId="4" borderId="1" xfId="0" applyFont="1" applyFill="1" applyBorder="1" applyAlignment="1">
      <alignment vertical="center" wrapText="1"/>
    </xf>
    <xf numFmtId="0" fontId="25" fillId="0" borderId="1" xfId="0" applyFont="1" applyBorder="1" applyAlignment="1">
      <alignment horizontal="left" vertical="center"/>
    </xf>
    <xf numFmtId="14" fontId="8" fillId="0" borderId="1" xfId="0" applyNumberFormat="1" applyFont="1" applyBorder="1" applyAlignment="1">
      <alignment horizontal="center" vertical="center"/>
    </xf>
    <xf numFmtId="0" fontId="25" fillId="4" borderId="1" xfId="0" applyFont="1" applyFill="1" applyBorder="1" applyAlignment="1">
      <alignment horizontal="center" vertical="center" wrapText="1"/>
    </xf>
    <xf numFmtId="0" fontId="19" fillId="7" borderId="1" xfId="0" applyFont="1" applyFill="1" applyBorder="1" applyAlignment="1">
      <alignment horizontal="center" wrapText="1"/>
    </xf>
    <xf numFmtId="0" fontId="19" fillId="7" borderId="1" xfId="0" applyFont="1" applyFill="1" applyBorder="1" applyAlignment="1">
      <alignment horizontal="center"/>
    </xf>
    <xf numFmtId="0" fontId="8" fillId="0" borderId="1" xfId="0" applyFont="1" applyBorder="1" applyAlignment="1">
      <alignment horizontal="center" vertical="center" wrapText="1"/>
    </xf>
    <xf numFmtId="0" fontId="4" fillId="4" borderId="1" xfId="0" applyFont="1" applyFill="1" applyBorder="1" applyAlignment="1">
      <alignment vertical="center"/>
    </xf>
    <xf numFmtId="0" fontId="8" fillId="0" borderId="1" xfId="0" applyFont="1" applyBorder="1" applyAlignment="1">
      <alignment horizontal="left" vertical="center" wrapText="1"/>
    </xf>
    <xf numFmtId="0" fontId="19" fillId="0" borderId="1" xfId="0" applyFont="1" applyBorder="1" applyAlignment="1">
      <alignment horizontal="center" wrapText="1"/>
    </xf>
    <xf numFmtId="0" fontId="19" fillId="0" borderId="1" xfId="0" applyFont="1" applyBorder="1" applyAlignment="1">
      <alignment horizontal="center"/>
    </xf>
    <xf numFmtId="0" fontId="8" fillId="0" borderId="1" xfId="0" applyFont="1" applyBorder="1" applyAlignment="1">
      <alignment horizontal="left" vertical="center"/>
    </xf>
    <xf numFmtId="0" fontId="16" fillId="0" borderId="7" xfId="0" applyFont="1" applyBorder="1" applyAlignment="1">
      <alignment horizontal="center" vertical="center" wrapText="1"/>
    </xf>
    <xf numFmtId="0" fontId="4" fillId="6" borderId="1" xfId="0" applyFont="1" applyFill="1" applyBorder="1" applyAlignment="1">
      <alignment vertical="center"/>
    </xf>
    <xf numFmtId="0" fontId="4" fillId="4" borderId="1" xfId="0" applyFont="1" applyFill="1" applyBorder="1" applyAlignment="1">
      <alignment horizontal="justify" vertical="center"/>
    </xf>
    <xf numFmtId="0" fontId="22" fillId="0" borderId="1" xfId="0" applyFont="1" applyBorder="1" applyAlignment="1">
      <alignment horizontal="left" wrapText="1"/>
    </xf>
    <xf numFmtId="0" fontId="19" fillId="0" borderId="0" xfId="0" applyFont="1" applyAlignment="1"/>
    <xf numFmtId="0" fontId="19" fillId="0" borderId="0" xfId="0" applyFont="1" applyAlignment="1">
      <alignment horizontal="left"/>
    </xf>
    <xf numFmtId="0" fontId="19" fillId="0" borderId="0" xfId="0" applyFont="1" applyAlignment="1">
      <alignment horizontal="center" vertical="center"/>
    </xf>
    <xf numFmtId="0" fontId="19" fillId="0" borderId="0" xfId="0" applyFont="1" applyAlignment="1">
      <alignment horizontal="center" wrapText="1"/>
    </xf>
    <xf numFmtId="0" fontId="19" fillId="0" borderId="0" xfId="0" applyFont="1" applyAlignment="1">
      <alignment horizontal="center"/>
    </xf>
    <xf numFmtId="0" fontId="28" fillId="0" borderId="0" xfId="0" applyFont="1" applyAlignment="1">
      <alignment vertical="center"/>
    </xf>
    <xf numFmtId="0" fontId="28" fillId="0" borderId="1" xfId="0" applyFont="1" applyBorder="1" applyAlignment="1">
      <alignment horizontal="center" vertical="center" wrapText="1"/>
    </xf>
    <xf numFmtId="0" fontId="28" fillId="0" borderId="0" xfId="0" applyFont="1" applyAlignment="1"/>
    <xf numFmtId="0" fontId="19" fillId="0" borderId="0" xfId="0" applyFont="1" applyAlignment="1">
      <alignment vertical="center"/>
    </xf>
    <xf numFmtId="0" fontId="19" fillId="4" borderId="1" xfId="0" applyFont="1" applyFill="1" applyBorder="1" applyAlignment="1">
      <alignment horizontal="center" vertical="center" wrapText="1"/>
    </xf>
    <xf numFmtId="0" fontId="19" fillId="0" borderId="1" xfId="0" applyFont="1" applyBorder="1" applyAlignment="1">
      <alignment horizontal="left" vertical="center" wrapText="1"/>
    </xf>
    <xf numFmtId="0" fontId="19" fillId="4" borderId="1" xfId="0" applyFont="1" applyFill="1" applyBorder="1" applyAlignment="1">
      <alignment horizontal="center" vertical="center"/>
    </xf>
    <xf numFmtId="0" fontId="19" fillId="0" borderId="3" xfId="0" applyFont="1" applyBorder="1" applyAlignment="1">
      <alignment vertical="center"/>
    </xf>
    <xf numFmtId="0" fontId="19" fillId="0" borderId="1" xfId="0" applyFont="1" applyBorder="1" applyAlignment="1">
      <alignment horizontal="left" vertical="center"/>
    </xf>
    <xf numFmtId="166" fontId="19" fillId="0" borderId="1" xfId="0" applyNumberFormat="1" applyFont="1" applyBorder="1" applyAlignment="1">
      <alignment horizontal="center"/>
    </xf>
    <xf numFmtId="0" fontId="19" fillId="0" borderId="1" xfId="0" applyFont="1" applyBorder="1" applyAlignment="1"/>
    <xf numFmtId="0" fontId="16" fillId="0" borderId="1" xfId="0" applyFont="1" applyBorder="1" applyAlignment="1">
      <alignment horizontal="left" vertical="center" wrapText="1"/>
    </xf>
    <xf numFmtId="0" fontId="16" fillId="7" borderId="1" xfId="0" applyFont="1" applyFill="1" applyBorder="1" applyAlignment="1">
      <alignment horizontal="center" vertical="center" wrapText="1"/>
    </xf>
    <xf numFmtId="0" fontId="16" fillId="7" borderId="1" xfId="0" applyFont="1" applyFill="1" applyBorder="1" applyAlignment="1">
      <alignment horizontal="left" vertical="center" wrapText="1"/>
    </xf>
    <xf numFmtId="0" fontId="19" fillId="9" borderId="1" xfId="0" applyFont="1" applyFill="1" applyBorder="1" applyAlignment="1">
      <alignment horizontal="center" vertical="center" wrapText="1"/>
    </xf>
    <xf numFmtId="0" fontId="19" fillId="9" borderId="1" xfId="0" applyFont="1" applyFill="1" applyBorder="1" applyAlignment="1">
      <alignment horizontal="center" vertical="center"/>
    </xf>
    <xf numFmtId="0" fontId="19" fillId="9" borderId="1" xfId="0" applyFont="1" applyFill="1" applyBorder="1" applyAlignment="1">
      <alignment horizontal="center" wrapText="1"/>
    </xf>
    <xf numFmtId="0" fontId="19" fillId="9" borderId="1" xfId="0" applyFont="1" applyFill="1" applyBorder="1" applyAlignment="1">
      <alignment horizontal="center"/>
    </xf>
    <xf numFmtId="0" fontId="16" fillId="9" borderId="1" xfId="0" applyFont="1" applyFill="1" applyBorder="1" applyAlignment="1">
      <alignment horizontal="center" vertical="center" wrapText="1"/>
    </xf>
    <xf numFmtId="0" fontId="16" fillId="9" borderId="1" xfId="0" applyFont="1" applyFill="1" applyBorder="1" applyAlignment="1">
      <alignment horizontal="left" vertical="center" wrapText="1"/>
    </xf>
    <xf numFmtId="1" fontId="16" fillId="0" borderId="1" xfId="0" applyNumberFormat="1" applyFont="1" applyBorder="1" applyAlignment="1">
      <alignment horizontal="center" vertical="center" wrapText="1"/>
    </xf>
    <xf numFmtId="0" fontId="4" fillId="4"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9" fillId="0" borderId="1" xfId="0" applyFont="1" applyBorder="1" applyAlignment="1">
      <alignment wrapText="1"/>
    </xf>
    <xf numFmtId="0" fontId="10" fillId="0" borderId="0" xfId="0" applyFont="1" applyAlignment="1"/>
    <xf numFmtId="0" fontId="16" fillId="0" borderId="2" xfId="0" applyFont="1" applyBorder="1" applyAlignment="1">
      <alignment horizontal="center" vertical="center" wrapText="1"/>
    </xf>
    <xf numFmtId="0" fontId="10" fillId="0" borderId="1" xfId="0" applyFont="1" applyBorder="1" applyAlignment="1">
      <alignment horizontal="center" wrapText="1"/>
    </xf>
    <xf numFmtId="0" fontId="10" fillId="0" borderId="1" xfId="0" applyFont="1" applyBorder="1" applyAlignment="1">
      <alignment horizontal="left" wrapText="1"/>
    </xf>
    <xf numFmtId="0" fontId="10" fillId="0" borderId="1" xfId="0" applyFont="1" applyBorder="1" applyAlignment="1"/>
    <xf numFmtId="0" fontId="29" fillId="0" borderId="1" xfId="0" applyFont="1" applyBorder="1" applyAlignment="1">
      <alignment horizontal="center" vertical="center"/>
    </xf>
    <xf numFmtId="0" fontId="19" fillId="0" borderId="3" xfId="0" applyFont="1" applyBorder="1" applyAlignment="1"/>
    <xf numFmtId="0" fontId="16" fillId="0" borderId="0" xfId="0" applyFont="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xf numFmtId="0" fontId="19" fillId="0" borderId="1" xfId="0" applyFont="1" applyBorder="1" applyAlignment="1">
      <alignment horizontal="justify"/>
    </xf>
    <xf numFmtId="0" fontId="10" fillId="0" borderId="1" xfId="0" applyFont="1" applyBorder="1" applyAlignment="1">
      <alignment horizontal="center"/>
    </xf>
    <xf numFmtId="0" fontId="25" fillId="0" borderId="1" xfId="0" applyFont="1" applyBorder="1" applyAlignment="1">
      <alignment horizontal="center"/>
    </xf>
    <xf numFmtId="0" fontId="25" fillId="0" borderId="1" xfId="0" applyFont="1" applyBorder="1" applyAlignment="1">
      <alignment horizontal="left"/>
    </xf>
    <xf numFmtId="0" fontId="16" fillId="0" borderId="1" xfId="0" applyFont="1" applyBorder="1" applyAlignment="1">
      <alignment horizontal="center"/>
    </xf>
    <xf numFmtId="0" fontId="16" fillId="0" borderId="0" xfId="0" applyFont="1" applyAlignment="1">
      <alignment horizontal="center"/>
    </xf>
    <xf numFmtId="0" fontId="31" fillId="0" borderId="1" xfId="0" applyFont="1" applyBorder="1" applyAlignment="1">
      <alignment horizontal="center" vertical="center"/>
    </xf>
    <xf numFmtId="0" fontId="19" fillId="0" borderId="1" xfId="0" applyFont="1" applyBorder="1" applyAlignment="1">
      <alignment horizontal="justify" vertical="center"/>
    </xf>
    <xf numFmtId="0" fontId="26" fillId="0" borderId="1" xfId="0" applyFont="1" applyBorder="1" applyAlignment="1"/>
    <xf numFmtId="0" fontId="32" fillId="0" borderId="8" xfId="0" applyFont="1" applyBorder="1" applyAlignment="1">
      <alignment horizontal="center"/>
    </xf>
    <xf numFmtId="0" fontId="15" fillId="0" borderId="1" xfId="0" applyFont="1" applyBorder="1" applyAlignment="1"/>
    <xf numFmtId="0" fontId="33" fillId="0" borderId="1" xfId="0" applyFont="1" applyBorder="1" applyAlignment="1">
      <alignment horizontal="center"/>
    </xf>
    <xf numFmtId="0" fontId="16" fillId="0" borderId="1" xfId="0" applyFont="1" applyBorder="1" applyAlignment="1">
      <alignment horizontal="left"/>
    </xf>
    <xf numFmtId="0" fontId="34" fillId="0" borderId="1" xfId="0" applyFont="1" applyBorder="1" applyAlignment="1">
      <alignment horizontal="center"/>
    </xf>
    <xf numFmtId="0" fontId="35" fillId="0" borderId="1" xfId="0" applyFont="1" applyBorder="1" applyAlignment="1"/>
    <xf numFmtId="0" fontId="36" fillId="0" borderId="1" xfId="0" applyFont="1" applyBorder="1" applyAlignment="1">
      <alignment horizontal="center"/>
    </xf>
    <xf numFmtId="0" fontId="16" fillId="0" borderId="2" xfId="0" applyFont="1" applyBorder="1" applyAlignment="1"/>
    <xf numFmtId="0" fontId="16" fillId="0" borderId="7" xfId="0" applyFont="1" applyBorder="1" applyAlignment="1">
      <alignment horizontal="left"/>
    </xf>
    <xf numFmtId="0" fontId="16" fillId="0" borderId="7" xfId="0" applyFont="1" applyBorder="1" applyAlignment="1">
      <alignment horizontal="center" vertical="center"/>
    </xf>
    <xf numFmtId="0" fontId="16" fillId="0" borderId="7" xfId="0" applyFont="1" applyBorder="1" applyAlignment="1">
      <alignment horizontal="center" wrapText="1"/>
    </xf>
    <xf numFmtId="0" fontId="16" fillId="0" borderId="7" xfId="0" applyFont="1" applyBorder="1" applyAlignment="1">
      <alignment horizontal="center"/>
    </xf>
    <xf numFmtId="0" fontId="16" fillId="0" borderId="7" xfId="0" applyFont="1" applyBorder="1" applyAlignment="1">
      <alignment vertical="center" wrapText="1"/>
    </xf>
    <xf numFmtId="0" fontId="33" fillId="0" borderId="7" xfId="0" applyFont="1" applyBorder="1" applyAlignment="1">
      <alignment horizontal="center"/>
    </xf>
    <xf numFmtId="0" fontId="32" fillId="0" borderId="0" xfId="0" applyFont="1" applyAlignment="1">
      <alignment horizontal="center"/>
    </xf>
    <xf numFmtId="0" fontId="16" fillId="0" borderId="2" xfId="0" applyFont="1" applyBorder="1" applyAlignment="1">
      <alignment horizontal="center"/>
    </xf>
    <xf numFmtId="0" fontId="22" fillId="0" borderId="1" xfId="0" applyFont="1" applyBorder="1" applyAlignment="1">
      <alignment horizontal="left"/>
    </xf>
    <xf numFmtId="0" fontId="8" fillId="0" borderId="1" xfId="0" applyFont="1" applyBorder="1" applyAlignment="1">
      <alignment horizontal="left"/>
    </xf>
    <xf numFmtId="0" fontId="32" fillId="0" borderId="1" xfId="0" applyFont="1" applyBorder="1" applyAlignment="1">
      <alignment horizontal="center"/>
    </xf>
    <xf numFmtId="0" fontId="10" fillId="0" borderId="0" xfId="0" applyFont="1" applyAlignment="1">
      <alignment horizontal="left"/>
    </xf>
    <xf numFmtId="167" fontId="19" fillId="0" borderId="1" xfId="0" applyNumberFormat="1" applyFont="1" applyBorder="1" applyAlignment="1">
      <alignment horizontal="center"/>
    </xf>
    <xf numFmtId="167" fontId="25" fillId="0" borderId="1" xfId="0" applyNumberFormat="1" applyFont="1" applyBorder="1" applyAlignment="1">
      <alignment horizontal="center"/>
    </xf>
    <xf numFmtId="0" fontId="0" fillId="0" borderId="0" xfId="0" applyAlignment="1"/>
    <xf numFmtId="0" fontId="38" fillId="2" borderId="1" xfId="0" applyFont="1" applyFill="1" applyBorder="1" applyAlignment="1">
      <alignment horizontal="center"/>
    </xf>
    <xf numFmtId="0" fontId="39" fillId="2" borderId="1" xfId="0" applyFont="1" applyFill="1" applyBorder="1" applyAlignment="1">
      <alignment horizontal="center" vertical="center"/>
    </xf>
    <xf numFmtId="166" fontId="0" fillId="0" borderId="1" xfId="0" applyNumberFormat="1" applyBorder="1" applyAlignment="1">
      <alignment horizontal="left" wrapText="1"/>
    </xf>
    <xf numFmtId="166" fontId="0" fillId="11" borderId="1" xfId="0" applyNumberFormat="1" applyFill="1" applyBorder="1" applyAlignment="1">
      <alignment horizontal="center" vertical="center"/>
    </xf>
    <xf numFmtId="166" fontId="0" fillId="0" borderId="1" xfId="0" applyNumberFormat="1" applyBorder="1" applyAlignment="1">
      <alignment horizontal="center"/>
    </xf>
    <xf numFmtId="166" fontId="0" fillId="0" borderId="1" xfId="0" applyNumberFormat="1" applyBorder="1" applyAlignment="1">
      <alignment horizontal="left"/>
    </xf>
    <xf numFmtId="166" fontId="3" fillId="0" borderId="1" xfId="0" applyNumberFormat="1" applyFont="1" applyBorder="1" applyAlignment="1">
      <alignment vertical="center" wrapText="1"/>
    </xf>
    <xf numFmtId="166" fontId="0" fillId="0" borderId="1" xfId="0" applyNumberFormat="1" applyBorder="1" applyAlignment="1">
      <alignment horizontal="center" wrapText="1"/>
    </xf>
    <xf numFmtId="166" fontId="3" fillId="0" borderId="1" xfId="0" applyNumberFormat="1" applyFont="1" applyBorder="1" applyAlignment="1">
      <alignment horizontal="center" vertical="center" wrapText="1"/>
    </xf>
    <xf numFmtId="166" fontId="2" fillId="0" borderId="1" xfId="0" applyNumberFormat="1" applyFont="1" applyBorder="1" applyAlignment="1">
      <alignment horizontal="left" wrapText="1"/>
    </xf>
    <xf numFmtId="166" fontId="2" fillId="0" borderId="1" xfId="0" applyNumberFormat="1" applyFont="1" applyBorder="1" applyAlignment="1">
      <alignment horizontal="center" wrapText="1"/>
    </xf>
    <xf numFmtId="166" fontId="40" fillId="0" borderId="1" xfId="0" applyNumberFormat="1" applyFont="1" applyBorder="1" applyAlignment="1">
      <alignment horizontal="center" vertical="center" wrapText="1"/>
    </xf>
    <xf numFmtId="166" fontId="38" fillId="2" borderId="1" xfId="0" applyNumberFormat="1" applyFont="1" applyFill="1" applyBorder="1" applyAlignment="1">
      <alignment horizontal="center"/>
    </xf>
    <xf numFmtId="166" fontId="39" fillId="2" borderId="1" xfId="0" applyNumberFormat="1" applyFont="1" applyFill="1" applyBorder="1" applyAlignment="1">
      <alignment horizontal="center" vertical="center"/>
    </xf>
    <xf numFmtId="166" fontId="2" fillId="0" borderId="1" xfId="0" applyNumberFormat="1" applyFont="1" applyBorder="1" applyAlignment="1">
      <alignment horizontal="center"/>
    </xf>
    <xf numFmtId="166" fontId="2" fillId="11" borderId="1" xfId="0" applyNumberFormat="1" applyFont="1" applyFill="1" applyBorder="1" applyAlignment="1">
      <alignment horizontal="center"/>
    </xf>
    <xf numFmtId="166" fontId="0" fillId="11" borderId="1" xfId="0" applyNumberFormat="1" applyFill="1" applyBorder="1" applyAlignment="1">
      <alignment horizontal="center"/>
    </xf>
    <xf numFmtId="166" fontId="3" fillId="0" borderId="1" xfId="0" applyNumberFormat="1" applyFont="1" applyBorder="1" applyAlignment="1">
      <alignment horizontal="center" vertical="center"/>
    </xf>
    <xf numFmtId="166" fontId="2" fillId="0" borderId="9" xfId="0" applyNumberFormat="1" applyFont="1" applyBorder="1" applyAlignment="1">
      <alignment horizontal="left" wrapText="1"/>
    </xf>
    <xf numFmtId="166" fontId="2" fillId="0" borderId="9" xfId="0" applyNumberFormat="1" applyFont="1" applyBorder="1" applyAlignment="1">
      <alignment horizontal="center"/>
    </xf>
    <xf numFmtId="166" fontId="42" fillId="9" borderId="1" xfId="0" applyNumberFormat="1" applyFont="1" applyFill="1" applyBorder="1" applyAlignment="1">
      <alignment horizontal="center" vertical="center"/>
    </xf>
    <xf numFmtId="0" fontId="42" fillId="15" borderId="1" xfId="0" applyFont="1" applyFill="1" applyBorder="1" applyAlignment="1">
      <alignment horizontal="center" vertical="center" wrapText="1"/>
    </xf>
    <xf numFmtId="0" fontId="42" fillId="14" borderId="1" xfId="0" applyFont="1" applyFill="1" applyBorder="1" applyAlignment="1">
      <alignment horizontal="center" vertical="center"/>
    </xf>
    <xf numFmtId="166" fontId="42" fillId="14" borderId="1" xfId="0" applyNumberFormat="1" applyFont="1" applyFill="1" applyBorder="1" applyAlignment="1">
      <alignment horizontal="center" vertical="center"/>
    </xf>
    <xf numFmtId="166" fontId="32" fillId="9" borderId="2" xfId="0" applyNumberFormat="1" applyFont="1" applyFill="1" applyBorder="1" applyAlignment="1">
      <alignment horizontal="center"/>
    </xf>
    <xf numFmtId="166" fontId="32" fillId="14" borderId="1" xfId="0" applyNumberFormat="1" applyFont="1" applyFill="1" applyBorder="1" applyAlignment="1">
      <alignment horizontal="center"/>
    </xf>
    <xf numFmtId="166" fontId="8" fillId="14" borderId="1" xfId="0" applyNumberFormat="1" applyFont="1" applyFill="1" applyBorder="1" applyAlignment="1">
      <alignment horizontal="center"/>
    </xf>
    <xf numFmtId="0" fontId="32" fillId="15" borderId="1" xfId="0" applyFont="1" applyFill="1" applyBorder="1" applyAlignment="1">
      <alignment horizontal="center" vertical="center" wrapText="1"/>
    </xf>
    <xf numFmtId="1" fontId="8" fillId="15" borderId="1" xfId="0" applyNumberFormat="1" applyFont="1" applyFill="1" applyBorder="1" applyAlignment="1">
      <alignment horizontal="center" vertical="center"/>
    </xf>
    <xf numFmtId="1" fontId="32" fillId="15" borderId="1" xfId="0" applyNumberFormat="1" applyFont="1" applyFill="1" applyBorder="1" applyAlignment="1">
      <alignment horizontal="center" vertical="center"/>
    </xf>
    <xf numFmtId="0" fontId="32" fillId="14" borderId="1" xfId="0" applyFont="1" applyFill="1" applyBorder="1" applyAlignment="1">
      <alignment horizontal="center" vertical="center"/>
    </xf>
    <xf numFmtId="166" fontId="8" fillId="9" borderId="2" xfId="0" applyNumberFormat="1" applyFont="1" applyFill="1" applyBorder="1" applyAlignment="1">
      <alignment horizontal="center"/>
    </xf>
    <xf numFmtId="166" fontId="41" fillId="9" borderId="2" xfId="0" applyNumberFormat="1" applyFont="1" applyFill="1" applyBorder="1" applyAlignment="1">
      <alignment horizontal="center"/>
    </xf>
    <xf numFmtId="166" fontId="41" fillId="14" borderId="1" xfId="0" applyNumberFormat="1" applyFont="1" applyFill="1" applyBorder="1" applyAlignment="1">
      <alignment horizontal="center" vertical="center"/>
    </xf>
    <xf numFmtId="0" fontId="41" fillId="15" borderId="1" xfId="0" applyFont="1" applyFill="1" applyBorder="1" applyAlignment="1">
      <alignment horizontal="center" vertical="center" wrapText="1"/>
    </xf>
    <xf numFmtId="0" fontId="0" fillId="0" borderId="3" xfId="0" applyBorder="1" applyAlignment="1"/>
    <xf numFmtId="0" fontId="0" fillId="0" borderId="0" xfId="0" applyAlignment="1">
      <alignment horizontal="center" vertical="center"/>
    </xf>
    <xf numFmtId="0" fontId="0" fillId="0" borderId="0" xfId="0" applyAlignment="1">
      <alignment vertical="center" wrapText="1"/>
    </xf>
    <xf numFmtId="0" fontId="44" fillId="0" borderId="1" xfId="0" applyFont="1" applyBorder="1" applyAlignment="1">
      <alignment horizontal="center" vertical="center" wrapText="1"/>
    </xf>
    <xf numFmtId="168" fontId="44" fillId="7" borderId="1" xfId="0" applyNumberFormat="1" applyFont="1" applyFill="1" applyBorder="1" applyAlignment="1">
      <alignment horizontal="center" vertical="center"/>
    </xf>
    <xf numFmtId="168" fontId="44" fillId="7" borderId="1" xfId="0" applyNumberFormat="1" applyFont="1" applyFill="1" applyBorder="1" applyAlignment="1">
      <alignment horizontal="center" vertical="center" wrapText="1"/>
    </xf>
    <xf numFmtId="0" fontId="42" fillId="16" borderId="1" xfId="0" applyFont="1" applyFill="1" applyBorder="1" applyAlignment="1">
      <alignment horizontal="center" vertical="center"/>
    </xf>
    <xf numFmtId="0" fontId="44" fillId="7" borderId="1" xfId="0" applyFont="1" applyFill="1" applyBorder="1" applyAlignment="1">
      <alignment horizontal="center" vertical="center" wrapText="1"/>
    </xf>
    <xf numFmtId="0" fontId="42" fillId="0" borderId="1" xfId="0" applyFont="1" applyBorder="1" applyAlignment="1">
      <alignment horizontal="center" vertical="center"/>
    </xf>
    <xf numFmtId="0" fontId="42" fillId="0" borderId="1" xfId="0" applyFont="1" applyBorder="1" applyAlignment="1">
      <alignment horizontal="center" vertical="center" wrapText="1"/>
    </xf>
    <xf numFmtId="0" fontId="27" fillId="0" borderId="2" xfId="0" quotePrefix="1" applyFont="1" applyBorder="1" applyAlignment="1">
      <alignment horizontal="center" vertical="center"/>
    </xf>
    <xf numFmtId="168" fontId="27" fillId="16" borderId="2" xfId="0" applyNumberFormat="1" applyFont="1" applyFill="1" applyBorder="1" applyAlignment="1">
      <alignment horizontal="center" vertical="center"/>
    </xf>
    <xf numFmtId="0" fontId="27" fillId="0" borderId="2" xfId="3" applyFont="1" applyBorder="1" applyAlignment="1">
      <alignment horizontal="left" vertical="center" wrapText="1"/>
    </xf>
    <xf numFmtId="168" fontId="27" fillId="16" borderId="2" xfId="0" applyNumberFormat="1" applyFont="1" applyFill="1" applyBorder="1" applyAlignment="1">
      <alignment vertical="center"/>
    </xf>
    <xf numFmtId="0" fontId="0" fillId="16" borderId="2" xfId="0" applyFill="1" applyBorder="1" applyAlignment="1">
      <alignment horizontal="center" vertical="center"/>
    </xf>
    <xf numFmtId="0" fontId="27" fillId="16" borderId="2" xfId="2" applyFont="1" applyFill="1" applyBorder="1" applyAlignment="1">
      <alignment horizontal="center" vertical="center" wrapText="1"/>
    </xf>
    <xf numFmtId="0" fontId="12" fillId="16" borderId="2" xfId="2" applyFont="1" applyFill="1" applyBorder="1" applyAlignment="1">
      <alignment horizontal="center" vertical="center" wrapText="1"/>
    </xf>
    <xf numFmtId="169" fontId="27" fillId="16" borderId="11" xfId="4" applyNumberFormat="1" applyFont="1" applyFill="1" applyBorder="1" applyAlignment="1">
      <alignment horizontal="center" vertical="center" wrapText="1"/>
    </xf>
    <xf numFmtId="0" fontId="27" fillId="0" borderId="11" xfId="0" applyFont="1" applyBorder="1" applyAlignment="1">
      <alignment vertical="center" wrapText="1"/>
    </xf>
    <xf numFmtId="0" fontId="45" fillId="16" borderId="2" xfId="0" applyFont="1" applyFill="1" applyBorder="1" applyAlignment="1">
      <alignment horizontal="center" vertical="center"/>
    </xf>
    <xf numFmtId="168" fontId="27" fillId="16" borderId="2" xfId="0" quotePrefix="1" applyNumberFormat="1" applyFont="1" applyFill="1" applyBorder="1" applyAlignment="1">
      <alignment vertical="center" wrapText="1"/>
    </xf>
    <xf numFmtId="168" fontId="27" fillId="16" borderId="12" xfId="0" applyNumberFormat="1" applyFont="1" applyFill="1" applyBorder="1" applyAlignment="1">
      <alignment horizontal="center" vertical="center"/>
    </xf>
    <xf numFmtId="168" fontId="27" fillId="16" borderId="12" xfId="0" quotePrefix="1" applyNumberFormat="1" applyFont="1" applyFill="1" applyBorder="1" applyAlignment="1">
      <alignment vertical="center" wrapText="1"/>
    </xf>
    <xf numFmtId="168" fontId="27" fillId="16" borderId="12" xfId="0" applyNumberFormat="1" applyFont="1" applyFill="1" applyBorder="1" applyAlignment="1">
      <alignment vertical="center" wrapText="1"/>
    </xf>
    <xf numFmtId="0" fontId="0" fillId="16" borderId="12" xfId="0" applyFill="1" applyBorder="1" applyAlignment="1">
      <alignment horizontal="center" vertical="center"/>
    </xf>
    <xf numFmtId="0" fontId="27" fillId="16" borderId="12" xfId="2" applyFont="1" applyFill="1" applyBorder="1" applyAlignment="1">
      <alignment horizontal="center" vertical="center" wrapText="1"/>
    </xf>
    <xf numFmtId="0" fontId="12" fillId="16" borderId="12" xfId="2" applyFont="1" applyFill="1" applyBorder="1" applyAlignment="1">
      <alignment horizontal="center" vertical="center" wrapText="1"/>
    </xf>
    <xf numFmtId="169" fontId="27" fillId="16" borderId="13" xfId="4" applyNumberFormat="1" applyFont="1" applyFill="1" applyBorder="1" applyAlignment="1">
      <alignment horizontal="center" vertical="center" wrapText="1"/>
    </xf>
    <xf numFmtId="0" fontId="27" fillId="0" borderId="13" xfId="0" applyFont="1" applyBorder="1" applyAlignment="1">
      <alignment vertical="center" wrapText="1"/>
    </xf>
    <xf numFmtId="0" fontId="45" fillId="16" borderId="12" xfId="0" applyFont="1" applyFill="1" applyBorder="1" applyAlignment="1">
      <alignment horizontal="center" vertical="center"/>
    </xf>
    <xf numFmtId="0" fontId="27" fillId="4" borderId="1" xfId="0" applyFont="1" applyFill="1" applyBorder="1" applyAlignment="1">
      <alignment horizontal="center" vertical="center" wrapText="1"/>
    </xf>
    <xf numFmtId="0" fontId="27" fillId="4" borderId="2" xfId="0" applyFont="1" applyFill="1" applyBorder="1" applyAlignment="1">
      <alignment horizontal="center" vertical="center" wrapText="1"/>
    </xf>
    <xf numFmtId="168" fontId="27" fillId="4" borderId="2" xfId="0" applyNumberFormat="1" applyFont="1" applyFill="1" applyBorder="1" applyAlignment="1">
      <alignment vertical="center" wrapText="1"/>
    </xf>
    <xf numFmtId="168" fontId="27" fillId="4" borderId="2" xfId="0" applyNumberFormat="1" applyFont="1" applyFill="1" applyBorder="1" applyAlignment="1">
      <alignment horizontal="center" vertical="center"/>
    </xf>
    <xf numFmtId="168" fontId="27" fillId="4" borderId="2" xfId="0" applyNumberFormat="1" applyFont="1" applyFill="1" applyBorder="1" applyAlignment="1"/>
    <xf numFmtId="0" fontId="0" fillId="4" borderId="2" xfId="0" applyFill="1" applyBorder="1" applyAlignment="1">
      <alignment horizontal="center" vertical="center"/>
    </xf>
    <xf numFmtId="0" fontId="27" fillId="4" borderId="2" xfId="2" applyFont="1" applyFill="1" applyBorder="1" applyAlignment="1">
      <alignment horizontal="center" vertical="center" wrapText="1"/>
    </xf>
    <xf numFmtId="0" fontId="12" fillId="4" borderId="2" xfId="2" applyFont="1" applyFill="1" applyBorder="1" applyAlignment="1">
      <alignment horizontal="center" vertical="center" wrapText="1"/>
    </xf>
    <xf numFmtId="169" fontId="27" fillId="4" borderId="11" xfId="4" applyNumberFormat="1" applyFont="1" applyFill="1" applyBorder="1" applyAlignment="1">
      <alignment horizontal="center" vertical="center" wrapText="1"/>
    </xf>
    <xf numFmtId="0" fontId="0" fillId="4" borderId="11" xfId="0" applyFill="1" applyBorder="1" applyAlignment="1">
      <alignment vertical="center" wrapText="1"/>
    </xf>
    <xf numFmtId="0" fontId="27" fillId="0" borderId="12" xfId="0" applyFont="1" applyBorder="1" applyAlignment="1">
      <alignment horizontal="center" vertical="center" wrapText="1"/>
    </xf>
    <xf numFmtId="0" fontId="27" fillId="16" borderId="8" xfId="0" applyFont="1" applyFill="1" applyBorder="1" applyAlignment="1">
      <alignment vertical="center" wrapText="1"/>
    </xf>
    <xf numFmtId="0" fontId="27" fillId="0" borderId="2" xfId="0" applyFont="1" applyBorder="1" applyAlignment="1">
      <alignment horizontal="center" vertical="center"/>
    </xf>
    <xf numFmtId="0" fontId="27" fillId="16" borderId="2" xfId="0" applyFont="1" applyFill="1" applyBorder="1" applyAlignment="1">
      <alignment horizontal="center" vertical="center"/>
    </xf>
    <xf numFmtId="0" fontId="27" fillId="16" borderId="2" xfId="0" applyFont="1" applyFill="1" applyBorder="1" applyAlignment="1">
      <alignment vertical="center" wrapText="1"/>
    </xf>
    <xf numFmtId="0" fontId="27" fillId="16" borderId="2" xfId="0" applyFont="1" applyFill="1" applyBorder="1" applyAlignment="1"/>
    <xf numFmtId="0" fontId="27" fillId="16" borderId="11" xfId="0" applyFont="1" applyFill="1" applyBorder="1" applyAlignment="1">
      <alignment horizontal="center" vertical="center"/>
    </xf>
    <xf numFmtId="0" fontId="0" fillId="0" borderId="11" xfId="0" applyBorder="1" applyAlignment="1">
      <alignment vertical="center" wrapText="1"/>
    </xf>
    <xf numFmtId="0" fontId="27" fillId="16" borderId="12" xfId="0" applyFont="1" applyFill="1" applyBorder="1" applyAlignment="1">
      <alignment horizontal="center" vertical="center"/>
    </xf>
    <xf numFmtId="0" fontId="27" fillId="16" borderId="12" xfId="0" applyFont="1" applyFill="1" applyBorder="1" applyAlignment="1">
      <alignment vertical="center" wrapText="1"/>
    </xf>
    <xf numFmtId="0" fontId="0" fillId="16" borderId="12" xfId="0" applyFill="1" applyBorder="1" applyAlignment="1">
      <alignment vertical="center"/>
    </xf>
    <xf numFmtId="0" fontId="45" fillId="16" borderId="12" xfId="0" applyFont="1" applyFill="1" applyBorder="1" applyAlignment="1">
      <alignment vertical="center"/>
    </xf>
    <xf numFmtId="0" fontId="27" fillId="16" borderId="13" xfId="0" applyFont="1" applyFill="1" applyBorder="1" applyAlignment="1">
      <alignment horizontal="center" vertical="center"/>
    </xf>
    <xf numFmtId="0" fontId="27" fillId="0" borderId="1" xfId="0" applyFont="1" applyBorder="1" applyAlignment="1">
      <alignment horizontal="center" vertical="center" wrapText="1"/>
    </xf>
    <xf numFmtId="0" fontId="27" fillId="16" borderId="1" xfId="0" applyFont="1" applyFill="1" applyBorder="1" applyAlignment="1">
      <alignment vertical="center"/>
    </xf>
    <xf numFmtId="0" fontId="27" fillId="16" borderId="1" xfId="0" applyFont="1" applyFill="1" applyBorder="1" applyAlignment="1">
      <alignment vertical="center" wrapText="1"/>
    </xf>
    <xf numFmtId="0" fontId="27" fillId="16" borderId="1" xfId="0" applyFont="1" applyFill="1" applyBorder="1" applyAlignment="1">
      <alignment horizontal="center" vertical="center"/>
    </xf>
    <xf numFmtId="0" fontId="46" fillId="16" borderId="1" xfId="0" applyFont="1" applyFill="1" applyBorder="1" applyAlignment="1">
      <alignment vertical="center" wrapText="1"/>
    </xf>
    <xf numFmtId="0" fontId="0" fillId="16" borderId="1" xfId="0" applyFill="1" applyBorder="1" applyAlignment="1">
      <alignment vertical="center"/>
    </xf>
    <xf numFmtId="0" fontId="45" fillId="16" borderId="1" xfId="0" applyFont="1" applyFill="1" applyBorder="1" applyAlignment="1">
      <alignment horizontal="center" vertical="center"/>
    </xf>
    <xf numFmtId="0" fontId="27" fillId="0" borderId="1" xfId="0" applyFont="1" applyBorder="1" applyAlignment="1">
      <alignment vertical="center" wrapText="1"/>
    </xf>
    <xf numFmtId="0" fontId="0" fillId="0" borderId="3" xfId="0" applyBorder="1" applyAlignment="1">
      <alignment vertical="center" wrapText="1"/>
    </xf>
    <xf numFmtId="0" fontId="45" fillId="0" borderId="1" xfId="0" applyFont="1" applyBorder="1" applyAlignment="1">
      <alignment horizontal="center" vertical="center" wrapText="1"/>
    </xf>
    <xf numFmtId="0" fontId="45" fillId="0" borderId="1" xfId="0" applyFont="1" applyBorder="1" applyAlignment="1">
      <alignment horizontal="center" vertical="center"/>
    </xf>
    <xf numFmtId="0" fontId="20" fillId="0" borderId="1" xfId="0" applyFont="1" applyBorder="1" applyAlignment="1">
      <alignment horizontal="center" vertical="center"/>
    </xf>
    <xf numFmtId="0" fontId="45" fillId="0" borderId="1" xfId="0" applyFont="1" applyBorder="1" applyAlignment="1">
      <alignment vertical="center" wrapText="1"/>
    </xf>
    <xf numFmtId="0" fontId="0" fillId="17" borderId="0" xfId="0" applyFill="1" applyAlignment="1">
      <alignment horizontal="center" vertical="center"/>
    </xf>
    <xf numFmtId="0" fontId="0" fillId="17" borderId="0" xfId="0" applyFill="1" applyAlignment="1">
      <alignment vertical="center" wrapText="1"/>
    </xf>
    <xf numFmtId="0" fontId="0" fillId="17" borderId="0" xfId="0" applyFill="1" applyAlignment="1"/>
    <xf numFmtId="0" fontId="44" fillId="0" borderId="1" xfId="0" applyFont="1" applyBorder="1" applyAlignment="1">
      <alignment horizontal="center" vertical="center"/>
    </xf>
    <xf numFmtId="0" fontId="44" fillId="0" borderId="1" xfId="0" applyFont="1" applyBorder="1" applyAlignment="1">
      <alignment vertical="center" wrapText="1"/>
    </xf>
    <xf numFmtId="0" fontId="42" fillId="0" borderId="2" xfId="0" applyFont="1" applyBorder="1" applyAlignment="1">
      <alignment horizontal="center" vertical="center"/>
    </xf>
    <xf numFmtId="0" fontId="42" fillId="0" borderId="11" xfId="0" applyFont="1" applyBorder="1" applyAlignment="1"/>
    <xf numFmtId="0" fontId="42" fillId="0" borderId="2" xfId="0" applyFont="1" applyBorder="1" applyAlignment="1"/>
    <xf numFmtId="0" fontId="27" fillId="0" borderId="2" xfId="0" applyFont="1" applyBorder="1" applyAlignment="1">
      <alignment horizontal="center" vertical="center" wrapText="1"/>
    </xf>
    <xf numFmtId="0" fontId="32" fillId="0" borderId="2" xfId="0" applyFont="1" applyBorder="1" applyAlignment="1"/>
    <xf numFmtId="0" fontId="12" fillId="0" borderId="1" xfId="0" applyFont="1" applyBorder="1" applyAlignment="1">
      <alignment vertical="center" wrapText="1"/>
    </xf>
    <xf numFmtId="0" fontId="27" fillId="16" borderId="2"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xf numFmtId="0" fontId="8" fillId="0" borderId="1" xfId="0" applyFont="1" applyBorder="1" applyAlignment="1">
      <alignment horizontal="center" vertical="center"/>
    </xf>
    <xf numFmtId="0" fontId="42" fillId="0" borderId="2" xfId="0" applyFont="1" applyBorder="1" applyAlignment="1">
      <alignment vertical="center" wrapText="1"/>
    </xf>
    <xf numFmtId="0" fontId="27" fillId="0" borderId="2" xfId="0" applyFont="1" applyBorder="1" applyAlignment="1">
      <alignment vertical="center" wrapText="1"/>
    </xf>
    <xf numFmtId="0" fontId="0" fillId="0" borderId="2" xfId="0" applyBorder="1" applyAlignment="1"/>
    <xf numFmtId="0" fontId="27" fillId="0" borderId="2" xfId="0" applyFont="1" applyBorder="1" applyAlignment="1"/>
    <xf numFmtId="0" fontId="0" fillId="0" borderId="2" xfId="0" applyBorder="1" applyAlignment="1">
      <alignment horizontal="center" vertical="center"/>
    </xf>
    <xf numFmtId="0" fontId="0" fillId="0" borderId="2" xfId="0" applyBorder="1" applyAlignment="1">
      <alignment vertical="center" wrapText="1"/>
    </xf>
    <xf numFmtId="0" fontId="27" fillId="0" borderId="12" xfId="0" applyFont="1" applyBorder="1" applyAlignment="1">
      <alignment horizontal="center" vertical="center"/>
    </xf>
    <xf numFmtId="0" fontId="27" fillId="0" borderId="12" xfId="0" applyFont="1" applyBorder="1" applyAlignment="1">
      <alignment vertical="center"/>
    </xf>
    <xf numFmtId="0" fontId="27" fillId="0" borderId="12" xfId="0" applyFont="1" applyBorder="1" applyAlignment="1">
      <alignment vertical="center" wrapText="1"/>
    </xf>
    <xf numFmtId="0" fontId="0" fillId="0" borderId="12" xfId="0" applyBorder="1" applyAlignment="1">
      <alignment vertical="center"/>
    </xf>
    <xf numFmtId="0" fontId="0" fillId="0" borderId="8" xfId="0" applyBorder="1" applyAlignment="1">
      <alignment vertical="center"/>
    </xf>
    <xf numFmtId="0" fontId="0" fillId="0" borderId="15" xfId="0" applyBorder="1" applyAlignment="1">
      <alignment vertical="center"/>
    </xf>
    <xf numFmtId="0" fontId="27" fillId="0" borderId="16" xfId="0" applyFont="1" applyBorder="1" applyAlignment="1">
      <alignment vertical="center"/>
    </xf>
    <xf numFmtId="0" fontId="27" fillId="0" borderId="16" xfId="0" applyFont="1" applyBorder="1" applyAlignment="1">
      <alignment vertical="center" wrapText="1"/>
    </xf>
    <xf numFmtId="0" fontId="0" fillId="0" borderId="16" xfId="0" applyBorder="1" applyAlignment="1">
      <alignment vertical="center"/>
    </xf>
    <xf numFmtId="0" fontId="27" fillId="0" borderId="16" xfId="0" applyFont="1" applyBorder="1" applyAlignment="1">
      <alignment horizontal="center" vertical="center"/>
    </xf>
    <xf numFmtId="0" fontId="0" fillId="0" borderId="17" xfId="0" applyBorder="1" applyAlignment="1">
      <alignment vertical="center"/>
    </xf>
    <xf numFmtId="0" fontId="27" fillId="0" borderId="2" xfId="0" applyFont="1" applyBorder="1" applyAlignment="1">
      <alignment vertical="center"/>
    </xf>
    <xf numFmtId="0" fontId="27" fillId="0" borderId="12" xfId="0" applyFont="1" applyBorder="1" applyAlignment="1"/>
    <xf numFmtId="0" fontId="27" fillId="0" borderId="8" xfId="0" applyFont="1" applyBorder="1" applyAlignment="1">
      <alignment vertical="center"/>
    </xf>
    <xf numFmtId="0" fontId="27" fillId="0" borderId="8" xfId="0" applyFont="1" applyBorder="1" applyAlignment="1"/>
    <xf numFmtId="0" fontId="27" fillId="0" borderId="8" xfId="0" applyFont="1" applyBorder="1" applyAlignment="1">
      <alignment vertical="center" wrapText="1"/>
    </xf>
    <xf numFmtId="0" fontId="48" fillId="0" borderId="1" xfId="0" applyFont="1" applyBorder="1" applyAlignment="1">
      <alignment horizontal="center" vertical="center" wrapText="1"/>
    </xf>
    <xf numFmtId="0" fontId="48" fillId="0" borderId="1" xfId="0" applyFont="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horizontal="left" vertical="center" wrapText="1"/>
    </xf>
    <xf numFmtId="0" fontId="19" fillId="0" borderId="2" xfId="0" applyFont="1" applyBorder="1" applyAlignment="1">
      <alignment horizontal="center" vertical="center"/>
    </xf>
    <xf numFmtId="1" fontId="16" fillId="0" borderId="2" xfId="0" applyNumberFormat="1" applyFont="1" applyBorder="1" applyAlignment="1">
      <alignment horizontal="center"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horizontal="center" vertical="center"/>
    </xf>
    <xf numFmtId="14" fontId="16" fillId="0" borderId="2" xfId="0" applyNumberFormat="1" applyFont="1" applyBorder="1" applyAlignment="1">
      <alignment horizontal="center" vertical="center" wrapText="1"/>
    </xf>
    <xf numFmtId="0" fontId="0" fillId="0" borderId="18" xfId="0" applyBorder="1" applyAlignment="1"/>
    <xf numFmtId="0" fontId="16" fillId="0" borderId="2" xfId="0" quotePrefix="1" applyFont="1" applyBorder="1" applyAlignment="1">
      <alignment horizontal="left" vertical="center" wrapText="1"/>
    </xf>
    <xf numFmtId="0" fontId="16" fillId="0" borderId="12" xfId="0" applyFont="1" applyBorder="1" applyAlignment="1">
      <alignment horizontal="center" vertical="center"/>
    </xf>
    <xf numFmtId="0" fontId="16" fillId="0" borderId="12" xfId="0" applyFont="1" applyBorder="1" applyAlignment="1">
      <alignment horizontal="left" vertical="center" wrapText="1"/>
    </xf>
    <xf numFmtId="0" fontId="19" fillId="0" borderId="12" xfId="0" applyFont="1" applyBorder="1" applyAlignment="1">
      <alignment horizontal="center" vertical="center"/>
    </xf>
    <xf numFmtId="0" fontId="0" fillId="0" borderId="9" xfId="0" applyBorder="1" applyAlignment="1"/>
    <xf numFmtId="0" fontId="16" fillId="0" borderId="12" xfId="0" applyFont="1" applyBorder="1" applyAlignment="1">
      <alignment horizontal="center" vertical="center" wrapText="1"/>
    </xf>
    <xf numFmtId="1" fontId="16" fillId="0" borderId="12" xfId="0" applyNumberFormat="1" applyFont="1" applyBorder="1" applyAlignment="1">
      <alignment horizontal="center" vertical="center" wrapText="1"/>
    </xf>
    <xf numFmtId="0" fontId="16" fillId="16" borderId="12" xfId="0" applyFont="1" applyFill="1" applyBorder="1" applyAlignment="1">
      <alignment horizontal="center" vertical="center" wrapText="1"/>
    </xf>
    <xf numFmtId="0" fontId="16" fillId="16" borderId="12" xfId="0" applyFont="1" applyFill="1" applyBorder="1" applyAlignment="1">
      <alignment horizontal="center" vertical="center"/>
    </xf>
    <xf numFmtId="0" fontId="8" fillId="0" borderId="0" xfId="0" applyFont="1" applyAlignment="1">
      <alignment horizontal="center" wrapText="1"/>
    </xf>
    <xf numFmtId="0" fontId="16" fillId="0" borderId="8" xfId="0" applyFont="1" applyBorder="1" applyAlignment="1">
      <alignment horizontal="center" vertical="center"/>
    </xf>
    <xf numFmtId="0" fontId="16" fillId="0" borderId="8" xfId="0" applyFont="1" applyBorder="1" applyAlignment="1">
      <alignment horizontal="left" vertical="center" wrapText="1"/>
    </xf>
    <xf numFmtId="0" fontId="19" fillId="0" borderId="8" xfId="0" applyFont="1" applyBorder="1" applyAlignment="1">
      <alignment horizontal="center" vertical="center"/>
    </xf>
    <xf numFmtId="0" fontId="0" fillId="0" borderId="19" xfId="0" applyBorder="1" applyAlignment="1"/>
    <xf numFmtId="0" fontId="16" fillId="0" borderId="8" xfId="0" applyFont="1" applyBorder="1" applyAlignment="1">
      <alignment horizontal="center" vertical="center" wrapText="1"/>
    </xf>
    <xf numFmtId="0" fontId="45" fillId="0" borderId="0" xfId="0" applyFont="1" applyAlignment="1">
      <alignment horizontal="center" vertical="center"/>
    </xf>
    <xf numFmtId="1" fontId="16" fillId="0" borderId="8" xfId="0" applyNumberFormat="1" applyFont="1" applyBorder="1" applyAlignment="1">
      <alignment horizontal="center" vertical="center" wrapText="1"/>
    </xf>
    <xf numFmtId="0" fontId="16" fillId="16" borderId="8" xfId="0" applyFont="1" applyFill="1" applyBorder="1" applyAlignment="1">
      <alignment horizontal="center" vertical="center" wrapText="1"/>
    </xf>
    <xf numFmtId="0" fontId="16" fillId="16" borderId="8" xfId="0" applyFont="1" applyFill="1" applyBorder="1" applyAlignment="1">
      <alignment horizontal="center" vertical="center"/>
    </xf>
    <xf numFmtId="0" fontId="16" fillId="6" borderId="2" xfId="0" applyFont="1" applyFill="1" applyBorder="1" applyAlignment="1">
      <alignment horizontal="center" vertical="center"/>
    </xf>
    <xf numFmtId="0" fontId="16" fillId="6" borderId="2" xfId="0" applyFont="1" applyFill="1" applyBorder="1" applyAlignment="1">
      <alignment horizontal="left" vertical="center" wrapText="1"/>
    </xf>
    <xf numFmtId="0" fontId="19" fillId="6" borderId="2" xfId="0" applyFont="1" applyFill="1" applyBorder="1" applyAlignment="1">
      <alignment horizontal="center" vertical="center"/>
    </xf>
    <xf numFmtId="0" fontId="0" fillId="6" borderId="1" xfId="0" applyFill="1" applyBorder="1" applyAlignment="1"/>
    <xf numFmtId="0" fontId="16" fillId="6" borderId="2" xfId="0" applyFont="1" applyFill="1" applyBorder="1" applyAlignment="1">
      <alignment horizontal="center" vertical="center" wrapText="1"/>
    </xf>
    <xf numFmtId="1" fontId="16" fillId="6" borderId="2" xfId="0" applyNumberFormat="1" applyFont="1" applyFill="1" applyBorder="1" applyAlignment="1">
      <alignment horizontal="center" vertical="center" wrapText="1"/>
    </xf>
    <xf numFmtId="0" fontId="32" fillId="0" borderId="1" xfId="0" applyFont="1" applyBorder="1" applyAlignment="1"/>
    <xf numFmtId="0" fontId="32" fillId="0" borderId="0" xfId="0" applyFont="1" applyAlignment="1">
      <alignment vertical="center"/>
    </xf>
    <xf numFmtId="0" fontId="31" fillId="19" borderId="1" xfId="0" applyFont="1" applyFill="1" applyBorder="1" applyAlignment="1">
      <alignment horizontal="center" vertical="center"/>
    </xf>
    <xf numFmtId="0" fontId="31" fillId="19" borderId="1" xfId="0" applyFont="1" applyFill="1" applyBorder="1" applyAlignment="1">
      <alignment horizontal="center" vertical="center" wrapText="1"/>
    </xf>
    <xf numFmtId="0" fontId="32" fillId="0" borderId="1" xfId="0" applyFont="1" applyBorder="1" applyAlignment="1">
      <alignment vertical="center"/>
    </xf>
    <xf numFmtId="3" fontId="16" fillId="0" borderId="1" xfId="0" applyNumberFormat="1" applyFont="1" applyBorder="1" applyAlignment="1">
      <alignment horizontal="center" vertical="center" wrapText="1"/>
    </xf>
    <xf numFmtId="0" fontId="49" fillId="0" borderId="1" xfId="0" applyFont="1" applyBorder="1" applyAlignment="1">
      <alignment horizontal="center" vertical="center" wrapText="1"/>
    </xf>
    <xf numFmtId="0" fontId="49" fillId="0" borderId="1" xfId="0" applyFont="1" applyBorder="1" applyAlignment="1">
      <alignment vertical="center" wrapText="1"/>
    </xf>
    <xf numFmtId="0" fontId="32" fillId="0" borderId="1" xfId="0" applyFont="1" applyBorder="1" applyAlignment="1">
      <alignment horizontal="center" vertical="center"/>
    </xf>
    <xf numFmtId="0" fontId="49" fillId="0" borderId="1" xfId="0" applyFont="1" applyBorder="1" applyAlignment="1">
      <alignment vertical="center"/>
    </xf>
    <xf numFmtId="0" fontId="32" fillId="0" borderId="1" xfId="0" applyFont="1" applyBorder="1" applyAlignment="1">
      <alignment vertical="center" wrapText="1"/>
    </xf>
    <xf numFmtId="0" fontId="32" fillId="0" borderId="1" xfId="0" applyFont="1" applyBorder="1" applyAlignment="1">
      <alignment horizontal="center" vertical="center" wrapText="1"/>
    </xf>
    <xf numFmtId="0" fontId="25" fillId="0" borderId="1" xfId="0" applyFont="1" applyBorder="1" applyAlignment="1">
      <alignment horizontal="left" vertical="center" wrapText="1"/>
    </xf>
    <xf numFmtId="0" fontId="16" fillId="0" borderId="0" xfId="0" applyFont="1" applyAlignment="1">
      <alignment horizontal="center" vertical="center"/>
    </xf>
    <xf numFmtId="0" fontId="41" fillId="0" borderId="12" xfId="0" applyFont="1" applyBorder="1" applyAlignment="1">
      <alignment vertical="center"/>
    </xf>
    <xf numFmtId="0" fontId="41" fillId="0" borderId="8" xfId="0" applyFont="1" applyBorder="1" applyAlignment="1">
      <alignment vertical="center"/>
    </xf>
    <xf numFmtId="0" fontId="32" fillId="0" borderId="2" xfId="0" applyFont="1" applyBorder="1" applyAlignment="1">
      <alignment vertical="center"/>
    </xf>
    <xf numFmtId="3" fontId="32" fillId="0" borderId="2" xfId="0" applyNumberFormat="1" applyFont="1" applyBorder="1" applyAlignment="1">
      <alignment vertical="center"/>
    </xf>
    <xf numFmtId="0" fontId="0" fillId="0" borderId="2" xfId="0" applyBorder="1" applyAlignment="1">
      <alignment vertical="center"/>
    </xf>
    <xf numFmtId="3" fontId="41" fillId="0" borderId="2" xfId="0" applyNumberFormat="1" applyFont="1" applyBorder="1" applyAlignment="1">
      <alignment vertical="center"/>
    </xf>
    <xf numFmtId="0" fontId="41" fillId="0" borderId="2" xfId="0" applyFont="1" applyBorder="1" applyAlignment="1">
      <alignment vertical="center"/>
    </xf>
    <xf numFmtId="0" fontId="32" fillId="0" borderId="12" xfId="0" applyFont="1" applyBorder="1" applyAlignment="1">
      <alignment vertical="center"/>
    </xf>
    <xf numFmtId="0" fontId="32" fillId="0" borderId="8" xfId="0" applyFont="1" applyBorder="1" applyAlignment="1">
      <alignment vertical="center"/>
    </xf>
    <xf numFmtId="0" fontId="32" fillId="0" borderId="26" xfId="0" applyFont="1" applyBorder="1" applyAlignment="1">
      <alignment vertical="center"/>
    </xf>
    <xf numFmtId="0" fontId="31" fillId="20" borderId="2" xfId="0" applyFont="1" applyFill="1" applyBorder="1" applyAlignment="1">
      <alignment vertical="center"/>
    </xf>
    <xf numFmtId="0" fontId="31" fillId="21" borderId="8" xfId="0" applyFont="1" applyFill="1" applyBorder="1" applyAlignment="1">
      <alignment vertical="center"/>
    </xf>
    <xf numFmtId="0" fontId="0" fillId="21" borderId="8" xfId="0" applyFill="1" applyBorder="1" applyAlignment="1">
      <alignment vertical="center"/>
    </xf>
    <xf numFmtId="0" fontId="27" fillId="0" borderId="2" xfId="0" applyFont="1" applyBorder="1" applyAlignment="1">
      <alignment horizontal="right" vertical="center"/>
    </xf>
    <xf numFmtId="0" fontId="50" fillId="22" borderId="8" xfId="0" applyFont="1" applyFill="1" applyBorder="1" applyAlignment="1">
      <alignment vertical="center"/>
    </xf>
    <xf numFmtId="0" fontId="51" fillId="22" borderId="2" xfId="0" applyFont="1" applyFill="1" applyBorder="1" applyAlignment="1">
      <alignment vertical="center"/>
    </xf>
    <xf numFmtId="0" fontId="52" fillId="22" borderId="2" xfId="0" applyFont="1" applyFill="1" applyBorder="1" applyAlignment="1">
      <alignment vertical="center"/>
    </xf>
    <xf numFmtId="0" fontId="27" fillId="0" borderId="26" xfId="0" applyFont="1" applyBorder="1" applyAlignment="1">
      <alignment vertical="center"/>
    </xf>
    <xf numFmtId="0" fontId="32" fillId="0" borderId="2" xfId="0" applyFont="1" applyBorder="1" applyAlignment="1">
      <alignment horizontal="right" vertical="center"/>
    </xf>
    <xf numFmtId="0" fontId="0" fillId="0" borderId="2" xfId="0" applyBorder="1" applyAlignment="1">
      <alignment horizontal="right" vertical="center"/>
    </xf>
    <xf numFmtId="0" fontId="42" fillId="20" borderId="2" xfId="0" applyFont="1" applyFill="1" applyBorder="1" applyAlignment="1">
      <alignment vertical="center"/>
    </xf>
    <xf numFmtId="0" fontId="27" fillId="21" borderId="2" xfId="0" applyFont="1" applyFill="1" applyBorder="1" applyAlignment="1">
      <alignment vertical="center"/>
    </xf>
    <xf numFmtId="0" fontId="27" fillId="16" borderId="2" xfId="0" applyFont="1" applyFill="1" applyBorder="1" applyAlignment="1">
      <alignment vertical="center"/>
    </xf>
    <xf numFmtId="0" fontId="27" fillId="4" borderId="2" xfId="0" applyFont="1" applyFill="1" applyBorder="1" applyAlignment="1">
      <alignment vertical="center"/>
    </xf>
    <xf numFmtId="0" fontId="27" fillId="16" borderId="12" xfId="0" applyFont="1" applyFill="1" applyBorder="1" applyAlignment="1">
      <alignment vertical="center"/>
    </xf>
    <xf numFmtId="0" fontId="27" fillId="16" borderId="8" xfId="0" applyFont="1" applyFill="1" applyBorder="1" applyAlignment="1">
      <alignment vertical="center"/>
    </xf>
    <xf numFmtId="0" fontId="27" fillId="16" borderId="26" xfId="0" applyFont="1" applyFill="1" applyBorder="1" applyAlignment="1">
      <alignment vertical="center"/>
    </xf>
    <xf numFmtId="0" fontId="42" fillId="23" borderId="2" xfId="0" applyFont="1" applyFill="1" applyBorder="1" applyAlignment="1">
      <alignment vertical="center"/>
    </xf>
    <xf numFmtId="0" fontId="0" fillId="23" borderId="2" xfId="0" applyFill="1" applyBorder="1" applyAlignment="1">
      <alignment vertical="center"/>
    </xf>
    <xf numFmtId="0" fontId="0" fillId="23" borderId="0" xfId="0" applyFill="1" applyAlignment="1">
      <alignment vertical="center"/>
    </xf>
    <xf numFmtId="0" fontId="2" fillId="0" borderId="1" xfId="0" applyFont="1" applyBorder="1" applyAlignment="1">
      <alignment horizontal="center" vertical="center"/>
    </xf>
    <xf numFmtId="0" fontId="0" fillId="0" borderId="1" xfId="0" applyBorder="1" applyAlignment="1">
      <alignment vertical="center"/>
    </xf>
    <xf numFmtId="0" fontId="27" fillId="0" borderId="1" xfId="0" applyFont="1" applyBorder="1" applyAlignment="1">
      <alignment vertical="center"/>
    </xf>
    <xf numFmtId="0" fontId="0" fillId="0" borderId="1" xfId="0" applyBorder="1" applyAlignment="1">
      <alignment horizontal="center" vertical="center" wrapText="1"/>
    </xf>
    <xf numFmtId="0" fontId="53" fillId="24" borderId="1" xfId="0" applyFont="1" applyFill="1" applyBorder="1" applyAlignment="1">
      <alignment horizontal="center" vertical="center" wrapText="1"/>
    </xf>
    <xf numFmtId="0" fontId="16" fillId="0" borderId="1" xfId="0" applyFont="1" applyBorder="1" applyAlignment="1">
      <alignment vertical="center" wrapText="1"/>
    </xf>
    <xf numFmtId="0" fontId="22" fillId="14" borderId="1" xfId="0" applyFont="1" applyFill="1" applyBorder="1" applyAlignment="1">
      <alignment vertical="center" wrapText="1"/>
    </xf>
    <xf numFmtId="0" fontId="0" fillId="0" borderId="6" xfId="0" applyBorder="1" applyAlignment="1">
      <alignment vertical="center" wrapText="1"/>
    </xf>
    <xf numFmtId="0" fontId="54" fillId="0" borderId="1" xfId="0" applyFont="1" applyBorder="1" applyAlignment="1">
      <alignment vertical="center" wrapText="1"/>
    </xf>
    <xf numFmtId="0" fontId="16" fillId="16" borderId="1" xfId="0" applyFont="1" applyFill="1" applyBorder="1" applyAlignment="1">
      <alignment vertical="center" wrapText="1"/>
    </xf>
    <xf numFmtId="0" fontId="55" fillId="0" borderId="1" xfId="0" applyFont="1" applyBorder="1" applyAlignment="1">
      <alignment vertical="center" wrapText="1"/>
    </xf>
    <xf numFmtId="0" fontId="56" fillId="0" borderId="1" xfId="0" applyFont="1" applyBorder="1" applyAlignment="1">
      <alignment vertical="center" wrapText="1"/>
    </xf>
    <xf numFmtId="0" fontId="57" fillId="16" borderId="1" xfId="0" applyFont="1" applyFill="1" applyBorder="1" applyAlignment="1">
      <alignment vertical="center" wrapText="1"/>
    </xf>
    <xf numFmtId="0" fontId="58" fillId="16" borderId="1" xfId="0" applyFont="1" applyFill="1" applyBorder="1" applyAlignment="1">
      <alignment vertical="center" wrapText="1"/>
    </xf>
    <xf numFmtId="0" fontId="59" fillId="0" borderId="1" xfId="0" applyFont="1" applyBorder="1" applyAlignment="1">
      <alignment vertical="center" wrapText="1"/>
    </xf>
    <xf numFmtId="0" fontId="0" fillId="4" borderId="1" xfId="0" applyFill="1" applyBorder="1" applyAlignment="1">
      <alignment vertical="center"/>
    </xf>
    <xf numFmtId="0" fontId="8" fillId="4" borderId="1" xfId="0" applyFont="1" applyFill="1" applyBorder="1" applyAlignment="1">
      <alignment vertical="center"/>
    </xf>
    <xf numFmtId="0" fontId="8" fillId="0" borderId="1" xfId="0" applyFont="1" applyBorder="1" applyAlignment="1">
      <alignment vertical="center"/>
    </xf>
    <xf numFmtId="0" fontId="32" fillId="4" borderId="1" xfId="0" applyFont="1" applyFill="1" applyBorder="1" applyAlignment="1">
      <alignment vertical="center"/>
    </xf>
    <xf numFmtId="14" fontId="32" fillId="4" borderId="1" xfId="0" applyNumberFormat="1" applyFont="1" applyFill="1" applyBorder="1" applyAlignment="1">
      <alignment vertical="center"/>
    </xf>
    <xf numFmtId="0" fontId="32" fillId="4" borderId="2" xfId="0" applyFont="1" applyFill="1" applyBorder="1" applyAlignment="1">
      <alignment vertical="center"/>
    </xf>
    <xf numFmtId="0" fontId="54" fillId="4" borderId="2" xfId="0" applyFont="1" applyFill="1" applyBorder="1" applyAlignment="1">
      <alignment vertical="center"/>
    </xf>
    <xf numFmtId="0" fontId="15" fillId="4" borderId="2" xfId="0" applyFont="1" applyFill="1" applyBorder="1" applyAlignment="1">
      <alignment vertical="center"/>
    </xf>
    <xf numFmtId="0" fontId="16" fillId="4" borderId="2" xfId="0" applyFont="1" applyFill="1" applyBorder="1" applyAlignment="1">
      <alignment vertical="center"/>
    </xf>
    <xf numFmtId="14" fontId="0" fillId="4" borderId="1" xfId="0" applyNumberFormat="1" applyFill="1" applyBorder="1" applyAlignment="1">
      <alignment vertical="center"/>
    </xf>
    <xf numFmtId="0" fontId="16" fillId="4" borderId="7" xfId="0" applyFont="1" applyFill="1" applyBorder="1" applyAlignment="1">
      <alignment vertical="center"/>
    </xf>
    <xf numFmtId="0" fontId="60" fillId="4" borderId="1" xfId="0" applyFont="1" applyFill="1" applyBorder="1" applyAlignment="1">
      <alignment vertical="center"/>
    </xf>
    <xf numFmtId="0" fontId="8" fillId="4" borderId="1" xfId="0" applyFont="1" applyFill="1" applyBorder="1" applyAlignment="1">
      <alignment horizontal="left" vertical="center"/>
    </xf>
    <xf numFmtId="0" fontId="45" fillId="0" borderId="0" xfId="0" applyFont="1" applyAlignment="1">
      <alignment vertical="center" wrapText="1"/>
    </xf>
    <xf numFmtId="0" fontId="45" fillId="0" borderId="0" xfId="0" applyFont="1" applyAlignment="1">
      <alignment horizontal="center" vertical="center" wrapText="1"/>
    </xf>
    <xf numFmtId="0" fontId="43" fillId="25" borderId="1" xfId="0" applyFont="1" applyFill="1" applyBorder="1" applyAlignment="1">
      <alignment horizontal="center" vertical="center" wrapText="1"/>
    </xf>
    <xf numFmtId="0" fontId="43" fillId="26" borderId="1" xfId="0" applyFont="1" applyFill="1" applyBorder="1" applyAlignment="1">
      <alignment horizontal="center" vertical="center" wrapText="1"/>
    </xf>
    <xf numFmtId="0" fontId="43" fillId="26" borderId="1" xfId="0" applyFont="1" applyFill="1" applyBorder="1" applyAlignment="1">
      <alignment vertical="center" wrapText="1"/>
    </xf>
    <xf numFmtId="0" fontId="22" fillId="26" borderId="1" xfId="0" applyFont="1" applyFill="1" applyBorder="1" applyAlignment="1">
      <alignment vertical="center" wrapText="1"/>
    </xf>
    <xf numFmtId="0" fontId="61" fillId="11" borderId="1" xfId="0" applyFont="1" applyFill="1" applyBorder="1" applyAlignment="1">
      <alignment horizontal="center" vertical="center" wrapText="1"/>
    </xf>
    <xf numFmtId="0" fontId="61" fillId="11" borderId="1" xfId="0" applyFont="1" applyFill="1" applyBorder="1" applyAlignment="1">
      <alignment vertical="center" wrapText="1"/>
    </xf>
    <xf numFmtId="0" fontId="22" fillId="0" borderId="1" xfId="0" applyFont="1" applyBorder="1" applyAlignment="1">
      <alignment horizontal="center" vertical="center" wrapText="1"/>
    </xf>
    <xf numFmtId="0" fontId="62" fillId="0" borderId="1" xfId="0" applyFont="1" applyBorder="1" applyAlignment="1">
      <alignment vertical="center" wrapText="1"/>
    </xf>
    <xf numFmtId="0" fontId="62" fillId="0" borderId="1" xfId="0" quotePrefix="1" applyFont="1" applyBorder="1" applyAlignment="1">
      <alignment vertical="center" wrapText="1"/>
    </xf>
    <xf numFmtId="0" fontId="22" fillId="0" borderId="1" xfId="0" quotePrefix="1" applyFont="1" applyBorder="1" applyAlignment="1">
      <alignment horizontal="center" vertical="center" wrapText="1"/>
    </xf>
    <xf numFmtId="0" fontId="43" fillId="8" borderId="1" xfId="0" applyFont="1" applyFill="1" applyBorder="1" applyAlignment="1">
      <alignment horizontal="center" vertical="center" wrapText="1"/>
    </xf>
    <xf numFmtId="0" fontId="43" fillId="8" borderId="1" xfId="0" applyFont="1" applyFill="1" applyBorder="1" applyAlignment="1">
      <alignment vertical="center" wrapText="1"/>
    </xf>
    <xf numFmtId="0" fontId="22" fillId="8" borderId="1" xfId="0" applyFont="1" applyFill="1" applyBorder="1" applyAlignment="1">
      <alignment vertical="center" wrapText="1"/>
    </xf>
    <xf numFmtId="0" fontId="62" fillId="8" borderId="1" xfId="0" applyFont="1" applyFill="1" applyBorder="1" applyAlignment="1">
      <alignment vertical="center" wrapText="1"/>
    </xf>
    <xf numFmtId="0" fontId="14" fillId="0" borderId="0" xfId="0" applyFont="1" applyAlignment="1">
      <alignment horizontal="left" vertical="center" wrapText="1"/>
    </xf>
    <xf numFmtId="0" fontId="4" fillId="8" borderId="5"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6" xfId="0" applyFont="1" applyFill="1" applyBorder="1" applyAlignment="1">
      <alignment horizontal="center" vertical="center"/>
    </xf>
    <xf numFmtId="0" fontId="28" fillId="0" borderId="1" xfId="0" applyFont="1" applyBorder="1" applyAlignment="1">
      <alignment horizontal="center"/>
    </xf>
    <xf numFmtId="0" fontId="19" fillId="0" borderId="1" xfId="0" applyFont="1" applyBorder="1" applyAlignment="1">
      <alignment horizontal="center"/>
    </xf>
    <xf numFmtId="0" fontId="25" fillId="0" borderId="1" xfId="0" applyFont="1" applyBorder="1" applyAlignment="1">
      <alignment horizontal="center"/>
    </xf>
    <xf numFmtId="0" fontId="25" fillId="0" borderId="1" xfId="0" applyFont="1" applyBorder="1" applyAlignment="1">
      <alignment horizontal="center" wrapText="1"/>
    </xf>
    <xf numFmtId="166" fontId="37" fillId="10" borderId="5" xfId="0" applyNumberFormat="1" applyFont="1" applyFill="1" applyBorder="1" applyAlignment="1">
      <alignment horizontal="center"/>
    </xf>
    <xf numFmtId="166" fontId="37" fillId="10" borderId="4" xfId="0" applyNumberFormat="1" applyFont="1" applyFill="1" applyBorder="1" applyAlignment="1">
      <alignment horizontal="center"/>
    </xf>
    <xf numFmtId="166" fontId="37" fillId="10" borderId="6" xfId="0" applyNumberFormat="1" applyFont="1" applyFill="1" applyBorder="1" applyAlignment="1">
      <alignment horizontal="center"/>
    </xf>
    <xf numFmtId="0" fontId="38" fillId="2" borderId="1" xfId="0" applyFont="1" applyFill="1" applyBorder="1" applyAlignment="1">
      <alignment horizontal="center"/>
    </xf>
    <xf numFmtId="0" fontId="0" fillId="0" borderId="1" xfId="0" applyBorder="1" applyAlignment="1">
      <alignment horizontal="left" wrapText="1"/>
    </xf>
    <xf numFmtId="0" fontId="2" fillId="4" borderId="1" xfId="0" applyFont="1" applyFill="1" applyBorder="1" applyAlignment="1">
      <alignment horizontal="center" vertical="center"/>
    </xf>
    <xf numFmtId="0" fontId="39" fillId="2" borderId="1" xfId="0" applyFont="1" applyFill="1" applyBorder="1" applyAlignment="1">
      <alignment horizontal="center" vertical="center"/>
    </xf>
    <xf numFmtId="0" fontId="39" fillId="2" borderId="1" xfId="0" applyFont="1" applyFill="1" applyBorder="1" applyAlignment="1">
      <alignment horizontal="center" vertical="center" wrapText="1"/>
    </xf>
    <xf numFmtId="0" fontId="39" fillId="2" borderId="9" xfId="0" applyFont="1" applyFill="1" applyBorder="1" applyAlignment="1">
      <alignment horizontal="center" vertical="center" wrapText="1"/>
    </xf>
    <xf numFmtId="166" fontId="37" fillId="12" borderId="5" xfId="0" applyNumberFormat="1" applyFont="1" applyFill="1" applyBorder="1" applyAlignment="1">
      <alignment horizontal="center" wrapText="1"/>
    </xf>
    <xf numFmtId="166" fontId="37" fillId="12" borderId="4" xfId="0" applyNumberFormat="1" applyFont="1" applyFill="1" applyBorder="1" applyAlignment="1">
      <alignment horizontal="center" wrapText="1"/>
    </xf>
    <xf numFmtId="166" fontId="37" fillId="12" borderId="6" xfId="0" applyNumberFormat="1" applyFont="1" applyFill="1" applyBorder="1" applyAlignment="1">
      <alignment horizontal="center" wrapText="1"/>
    </xf>
    <xf numFmtId="166" fontId="38" fillId="2" borderId="1" xfId="0" applyNumberFormat="1" applyFont="1" applyFill="1" applyBorder="1" applyAlignment="1">
      <alignment horizontal="center"/>
    </xf>
    <xf numFmtId="166" fontId="0" fillId="0" borderId="1" xfId="0" applyNumberFormat="1" applyBorder="1" applyAlignment="1">
      <alignment horizontal="left" wrapText="1"/>
    </xf>
    <xf numFmtId="166" fontId="39" fillId="2" borderId="1" xfId="0" applyNumberFormat="1" applyFont="1" applyFill="1" applyBorder="1" applyAlignment="1">
      <alignment horizontal="center" vertical="center"/>
    </xf>
    <xf numFmtId="166" fontId="39" fillId="2" borderId="1" xfId="0" applyNumberFormat="1" applyFont="1" applyFill="1" applyBorder="1" applyAlignment="1">
      <alignment horizontal="center" vertical="center" wrapText="1"/>
    </xf>
    <xf numFmtId="166" fontId="39" fillId="2" borderId="9" xfId="0" applyNumberFormat="1" applyFont="1" applyFill="1" applyBorder="1" applyAlignment="1">
      <alignment horizontal="center" vertical="center" wrapText="1"/>
    </xf>
    <xf numFmtId="166" fontId="37" fillId="10" borderId="1" xfId="0" applyNumberFormat="1" applyFont="1" applyFill="1" applyBorder="1" applyAlignment="1">
      <alignment horizontal="center"/>
    </xf>
    <xf numFmtId="166" fontId="41" fillId="13" borderId="1" xfId="0" applyNumberFormat="1" applyFont="1" applyFill="1" applyBorder="1" applyAlignment="1">
      <alignment horizontal="center"/>
    </xf>
    <xf numFmtId="166" fontId="42" fillId="9" borderId="1" xfId="0" applyNumberFormat="1" applyFont="1" applyFill="1" applyBorder="1" applyAlignment="1">
      <alignment horizontal="center" vertical="center"/>
    </xf>
    <xf numFmtId="166" fontId="42" fillId="14" borderId="1" xfId="0" applyNumberFormat="1" applyFont="1" applyFill="1" applyBorder="1" applyAlignment="1">
      <alignment horizontal="center" vertical="center" wrapText="1"/>
    </xf>
    <xf numFmtId="0" fontId="43" fillId="15" borderId="1" xfId="0" applyFont="1" applyFill="1" applyBorder="1" applyAlignment="1">
      <alignment horizontal="center" vertical="center" wrapText="1"/>
    </xf>
    <xf numFmtId="0" fontId="42" fillId="14" borderId="1" xfId="0" applyFont="1" applyFill="1" applyBorder="1" applyAlignment="1">
      <alignment horizontal="center" vertical="center"/>
    </xf>
    <xf numFmtId="166" fontId="42" fillId="9" borderId="1" xfId="0" applyNumberFormat="1" applyFont="1" applyFill="1" applyBorder="1" applyAlignment="1">
      <alignment horizontal="center" vertical="center" wrapText="1"/>
    </xf>
    <xf numFmtId="166" fontId="0" fillId="0" borderId="10" xfId="0" applyNumberFormat="1" applyBorder="1" applyAlignment="1">
      <alignment horizontal="center" wrapText="1"/>
    </xf>
    <xf numFmtId="166" fontId="0" fillId="0" borderId="0" xfId="0" applyNumberFormat="1" applyAlignment="1">
      <alignment horizontal="center" wrapText="1"/>
    </xf>
    <xf numFmtId="0" fontId="42" fillId="15" borderId="1" xfId="0" applyFont="1" applyFill="1" applyBorder="1" applyAlignment="1">
      <alignment horizontal="center" vertical="center" wrapText="1"/>
    </xf>
    <xf numFmtId="0" fontId="0" fillId="16" borderId="12" xfId="0" applyFill="1" applyBorder="1" applyAlignment="1">
      <alignment horizontal="center" vertical="center"/>
    </xf>
    <xf numFmtId="0" fontId="0" fillId="16" borderId="8" xfId="0" applyFill="1" applyBorder="1" applyAlignment="1">
      <alignment horizontal="center" vertical="center"/>
    </xf>
    <xf numFmtId="0" fontId="27" fillId="16" borderId="12" xfId="0" applyFont="1" applyFill="1" applyBorder="1" applyAlignment="1">
      <alignment horizontal="center" vertical="center" wrapText="1"/>
    </xf>
    <xf numFmtId="0" fontId="27" fillId="16" borderId="8" xfId="0" applyFont="1" applyFill="1"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vertical="center" wrapText="1"/>
    </xf>
    <xf numFmtId="169" fontId="27" fillId="16" borderId="13" xfId="4" applyNumberFormat="1" applyFont="1" applyFill="1" applyBorder="1" applyAlignment="1">
      <alignment horizontal="center" vertical="center" wrapText="1"/>
    </xf>
    <xf numFmtId="169" fontId="27" fillId="16" borderId="14" xfId="4" applyNumberFormat="1" applyFont="1" applyFill="1" applyBorder="1" applyAlignment="1">
      <alignment horizontal="center" vertical="center" wrapText="1"/>
    </xf>
    <xf numFmtId="0" fontId="12" fillId="16" borderId="12" xfId="2" applyFont="1" applyFill="1" applyBorder="1" applyAlignment="1">
      <alignment horizontal="center" vertical="center" wrapText="1"/>
    </xf>
    <xf numFmtId="0" fontId="12" fillId="16" borderId="8" xfId="2" applyFont="1" applyFill="1" applyBorder="1" applyAlignment="1">
      <alignment horizontal="center" vertical="center" wrapText="1"/>
    </xf>
    <xf numFmtId="0" fontId="45" fillId="16" borderId="12" xfId="0" applyFont="1" applyFill="1" applyBorder="1" applyAlignment="1">
      <alignment horizontal="center" vertical="center"/>
    </xf>
    <xf numFmtId="0" fontId="45" fillId="16" borderId="8" xfId="0" applyFont="1" applyFill="1" applyBorder="1" applyAlignment="1">
      <alignment horizontal="center" vertical="center"/>
    </xf>
    <xf numFmtId="168" fontId="27" fillId="16" borderId="12" xfId="0" applyNumberFormat="1" applyFont="1" applyFill="1" applyBorder="1" applyAlignment="1">
      <alignment vertical="center"/>
    </xf>
    <xf numFmtId="168" fontId="27" fillId="16" borderId="8" xfId="0" applyNumberFormat="1" applyFont="1" applyFill="1" applyBorder="1" applyAlignment="1">
      <alignment vertical="center"/>
    </xf>
    <xf numFmtId="168" fontId="27" fillId="16" borderId="12" xfId="0" applyNumberFormat="1" applyFont="1" applyFill="1" applyBorder="1" applyAlignment="1">
      <alignment horizontal="center" vertical="center"/>
    </xf>
    <xf numFmtId="168" fontId="27" fillId="16" borderId="8" xfId="0" applyNumberFormat="1" applyFont="1" applyFill="1" applyBorder="1" applyAlignment="1">
      <alignment horizontal="center" vertical="center"/>
    </xf>
    <xf numFmtId="0" fontId="27" fillId="0" borderId="12" xfId="0" applyFont="1" applyBorder="1" applyAlignment="1">
      <alignment horizontal="center" vertical="center" wrapText="1"/>
    </xf>
    <xf numFmtId="0" fontId="27" fillId="0" borderId="8" xfId="0" applyFont="1" applyBorder="1" applyAlignment="1">
      <alignment horizontal="center" vertical="center" wrapText="1"/>
    </xf>
    <xf numFmtId="0" fontId="47" fillId="0" borderId="0" xfId="0" applyFont="1" applyAlignment="1">
      <alignment horizontal="center" vertical="center"/>
    </xf>
    <xf numFmtId="0" fontId="0" fillId="0" borderId="12" xfId="0" applyBorder="1" applyAlignment="1">
      <alignment vertical="center"/>
    </xf>
    <xf numFmtId="0" fontId="0" fillId="0" borderId="8" xfId="0" applyBorder="1" applyAlignment="1">
      <alignment vertical="center"/>
    </xf>
    <xf numFmtId="0" fontId="27" fillId="0" borderId="12" xfId="0" applyFont="1" applyBorder="1" applyAlignment="1">
      <alignment vertical="center"/>
    </xf>
    <xf numFmtId="0" fontId="27" fillId="0" borderId="8" xfId="0" applyFont="1" applyBorder="1" applyAlignment="1">
      <alignment vertical="center"/>
    </xf>
    <xf numFmtId="0" fontId="27" fillId="0" borderId="12" xfId="0" applyFont="1" applyBorder="1" applyAlignment="1">
      <alignment horizontal="center" vertical="center"/>
    </xf>
    <xf numFmtId="0" fontId="27" fillId="0" borderId="8" xfId="0" applyFont="1" applyBorder="1" applyAlignment="1">
      <alignment horizontal="center" vertical="center"/>
    </xf>
    <xf numFmtId="0" fontId="0" fillId="0" borderId="12" xfId="0" applyBorder="1" applyAlignment="1">
      <alignment horizontal="center" vertical="center"/>
    </xf>
    <xf numFmtId="0" fontId="0" fillId="0" borderId="8" xfId="0" applyBorder="1" applyAlignment="1">
      <alignment horizontal="center" vertical="center"/>
    </xf>
    <xf numFmtId="0" fontId="47" fillId="18" borderId="1" xfId="0" applyFont="1" applyFill="1" applyBorder="1" applyAlignment="1">
      <alignment horizontal="center" vertical="center"/>
    </xf>
    <xf numFmtId="0" fontId="31" fillId="19" borderId="1" xfId="0" applyFont="1" applyFill="1" applyBorder="1" applyAlignment="1">
      <alignment horizontal="center" vertical="center"/>
    </xf>
    <xf numFmtId="0" fontId="31" fillId="19" borderId="1" xfId="0" applyFont="1" applyFill="1" applyBorder="1" applyAlignment="1">
      <alignment horizontal="center" vertical="center" wrapText="1"/>
    </xf>
    <xf numFmtId="0" fontId="43" fillId="0" borderId="0" xfId="0" applyFont="1" applyAlignment="1">
      <alignment vertical="center"/>
    </xf>
    <xf numFmtId="0" fontId="41" fillId="0" borderId="11" xfId="0" applyFont="1" applyBorder="1" applyAlignment="1">
      <alignment horizontal="center" vertical="center"/>
    </xf>
    <xf numFmtId="0" fontId="41" fillId="0" borderId="7" xfId="0" applyFont="1" applyBorder="1" applyAlignment="1">
      <alignment horizontal="center" vertical="center"/>
    </xf>
    <xf numFmtId="0" fontId="41" fillId="0" borderId="11" xfId="0" applyFont="1" applyBorder="1" applyAlignment="1">
      <alignment vertical="center"/>
    </xf>
    <xf numFmtId="0" fontId="41" fillId="0" borderId="21" xfId="0" applyFont="1" applyBorder="1" applyAlignment="1">
      <alignment vertical="center"/>
    </xf>
    <xf numFmtId="0" fontId="41" fillId="0" borderId="7" xfId="0" applyFont="1" applyBorder="1" applyAlignment="1">
      <alignment vertical="center"/>
    </xf>
    <xf numFmtId="0" fontId="41" fillId="0" borderId="1" xfId="0" applyFont="1" applyBorder="1" applyAlignment="1">
      <alignment horizontal="center" vertical="center"/>
    </xf>
    <xf numFmtId="0" fontId="41" fillId="0" borderId="20" xfId="0" applyFont="1" applyBorder="1" applyAlignment="1">
      <alignment horizontal="justify" vertical="center"/>
    </xf>
    <xf numFmtId="0" fontId="41" fillId="0" borderId="0" xfId="0" applyFont="1" applyAlignment="1">
      <alignment horizontal="justify" vertical="center"/>
    </xf>
    <xf numFmtId="0" fontId="41" fillId="0" borderId="20" xfId="0" applyFont="1" applyBorder="1" applyAlignment="1">
      <alignment horizontal="center" vertical="center" wrapText="1"/>
    </xf>
    <xf numFmtId="0" fontId="41" fillId="0" borderId="0" xfId="0" applyFont="1" applyAlignment="1">
      <alignment horizontal="center" vertical="center" wrapText="1"/>
    </xf>
    <xf numFmtId="0" fontId="32" fillId="0" borderId="1" xfId="0" applyFont="1" applyBorder="1" applyAlignment="1">
      <alignment horizontal="center" vertical="center"/>
    </xf>
    <xf numFmtId="0" fontId="41" fillId="0" borderId="9" xfId="0" applyFont="1" applyBorder="1" applyAlignment="1">
      <alignment horizontal="center" vertical="center"/>
    </xf>
    <xf numFmtId="0" fontId="41" fillId="0" borderId="23" xfId="0" applyFont="1" applyBorder="1" applyAlignment="1">
      <alignment horizontal="center" vertical="center"/>
    </xf>
    <xf numFmtId="0" fontId="41" fillId="0" borderId="10" xfId="0" applyFont="1" applyBorder="1" applyAlignment="1">
      <alignment horizontal="center" vertical="center"/>
    </xf>
    <xf numFmtId="0" fontId="41" fillId="0" borderId="24" xfId="0" applyFont="1" applyBorder="1" applyAlignment="1">
      <alignment horizontal="center" vertical="center"/>
    </xf>
    <xf numFmtId="0" fontId="41" fillId="0" borderId="22" xfId="0" applyFont="1" applyBorder="1" applyAlignment="1">
      <alignment horizontal="center" vertical="center" wrapText="1"/>
    </xf>
    <xf numFmtId="0" fontId="41" fillId="0" borderId="25" xfId="0" applyFont="1" applyBorder="1" applyAlignment="1">
      <alignment horizontal="center" vertical="center" wrapText="1"/>
    </xf>
    <xf numFmtId="0" fontId="41" fillId="0" borderId="13" xfId="0" applyFont="1" applyBorder="1" applyAlignment="1">
      <alignment horizontal="justify" vertical="center"/>
    </xf>
    <xf numFmtId="0" fontId="41" fillId="0" borderId="18" xfId="0" applyFont="1" applyBorder="1" applyAlignment="1">
      <alignment horizontal="justify" vertical="center"/>
    </xf>
    <xf numFmtId="0" fontId="0" fillId="0" borderId="11" xfId="0" applyBorder="1" applyAlignment="1">
      <alignment vertical="center"/>
    </xf>
    <xf numFmtId="0" fontId="0" fillId="0" borderId="21" xfId="0" applyBorder="1" applyAlignment="1">
      <alignment vertical="center"/>
    </xf>
    <xf numFmtId="0" fontId="0" fillId="0" borderId="7" xfId="0" applyBorder="1" applyAlignment="1">
      <alignment vertical="center"/>
    </xf>
    <xf numFmtId="0" fontId="0" fillId="0" borderId="0" xfId="0" applyAlignment="1">
      <alignment vertical="center"/>
    </xf>
    <xf numFmtId="0" fontId="32" fillId="0" borderId="12" xfId="0" applyFont="1" applyBorder="1" applyAlignment="1">
      <alignment vertical="center"/>
    </xf>
    <xf numFmtId="0" fontId="32" fillId="0" borderId="8" xfId="0" applyFont="1" applyBorder="1" applyAlignment="1">
      <alignment vertical="center"/>
    </xf>
    <xf numFmtId="0" fontId="32" fillId="0" borderId="26" xfId="0" applyFont="1" applyBorder="1" applyAlignment="1">
      <alignment vertical="center"/>
    </xf>
    <xf numFmtId="0" fontId="0" fillId="0" borderId="26" xfId="0" applyBorder="1" applyAlignment="1">
      <alignment vertical="center"/>
    </xf>
    <xf numFmtId="0" fontId="41" fillId="0" borderId="0" xfId="0" applyFont="1" applyAlignment="1">
      <alignment horizontal="center" vertical="center"/>
    </xf>
    <xf numFmtId="0" fontId="41" fillId="0" borderId="5" xfId="0" applyFont="1" applyBorder="1" applyAlignment="1">
      <alignment horizontal="center" vertical="center"/>
    </xf>
    <xf numFmtId="0" fontId="27" fillId="0" borderId="26" xfId="0" applyFont="1" applyBorder="1" applyAlignment="1">
      <alignment vertical="center"/>
    </xf>
    <xf numFmtId="0" fontId="27" fillId="0" borderId="12" xfId="0" applyFont="1" applyBorder="1" applyAlignment="1">
      <alignment horizontal="right" vertical="center"/>
    </xf>
    <xf numFmtId="0" fontId="27" fillId="0" borderId="26" xfId="0" applyFont="1" applyBorder="1" applyAlignment="1">
      <alignment horizontal="right" vertical="center"/>
    </xf>
    <xf numFmtId="0" fontId="27" fillId="0" borderId="8" xfId="0" applyFont="1" applyBorder="1" applyAlignment="1">
      <alignment horizontal="right" vertical="center"/>
    </xf>
    <xf numFmtId="0" fontId="42" fillId="20" borderId="11" xfId="0" applyFont="1" applyFill="1" applyBorder="1" applyAlignment="1">
      <alignment horizontal="center" vertical="center"/>
    </xf>
    <xf numFmtId="0" fontId="42" fillId="20" borderId="21" xfId="0" applyFont="1" applyFill="1" applyBorder="1" applyAlignment="1">
      <alignment horizontal="center" vertical="center"/>
    </xf>
    <xf numFmtId="0" fontId="42" fillId="20" borderId="7" xfId="0" applyFont="1" applyFill="1" applyBorder="1" applyAlignment="1">
      <alignment horizontal="center" vertical="center"/>
    </xf>
    <xf numFmtId="0" fontId="42" fillId="20" borderId="20" xfId="0" applyFont="1" applyFill="1" applyBorder="1" applyAlignment="1">
      <alignment horizontal="center" vertical="center"/>
    </xf>
    <xf numFmtId="0" fontId="42" fillId="20" borderId="0" xfId="0" applyFont="1" applyFill="1" applyAlignment="1">
      <alignment horizontal="center" vertical="center"/>
    </xf>
    <xf numFmtId="0" fontId="27" fillId="16" borderId="12" xfId="0" applyFont="1" applyFill="1" applyBorder="1" applyAlignment="1">
      <alignment vertical="center"/>
    </xf>
    <xf numFmtId="0" fontId="27" fillId="16" borderId="8" xfId="0" applyFont="1" applyFill="1" applyBorder="1" applyAlignment="1">
      <alignment vertical="center"/>
    </xf>
    <xf numFmtId="0" fontId="27" fillId="4" borderId="12" xfId="0" applyFont="1" applyFill="1" applyBorder="1" applyAlignment="1">
      <alignment vertical="center"/>
    </xf>
    <xf numFmtId="0" fontId="27" fillId="4" borderId="8" xfId="0" applyFont="1" applyFill="1" applyBorder="1" applyAlignment="1">
      <alignment vertical="center"/>
    </xf>
    <xf numFmtId="0" fontId="27" fillId="16" borderId="26" xfId="0" applyFont="1" applyFill="1" applyBorder="1" applyAlignment="1">
      <alignment vertical="center"/>
    </xf>
    <xf numFmtId="0" fontId="27" fillId="16" borderId="12" xfId="0" applyFont="1" applyFill="1" applyBorder="1" applyAlignment="1">
      <alignment vertical="center" wrapText="1"/>
    </xf>
    <xf numFmtId="0" fontId="27" fillId="16" borderId="26" xfId="0" applyFont="1" applyFill="1" applyBorder="1" applyAlignment="1">
      <alignment vertical="center" wrapText="1"/>
    </xf>
    <xf numFmtId="0" fontId="27" fillId="16" borderId="8" xfId="0" applyFont="1" applyFill="1" applyBorder="1" applyAlignment="1">
      <alignment vertical="center" wrapText="1"/>
    </xf>
  </cellXfs>
  <cellStyles count="6">
    <cellStyle name="Comma" xfId="4" builtinId="3"/>
    <cellStyle name="Comma 2" xfId="1"/>
    <cellStyle name="Normal" xfId="0" builtinId="0"/>
    <cellStyle name="Normal 2" xfId="2"/>
    <cellStyle name="Normal 2 2 14" xfId="3"/>
    <cellStyle name="Normal 2 2 14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R%20cap%20phat%20MyCC%20VT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Compute"/>
      <sheetName val="Image-Cloud "/>
    </sheetNames>
    <sheetDataSet>
      <sheetData sheetId="0" refreshError="1"/>
      <sheetData sheetId="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ira.kcntt.net/browse/PYC-10923" TargetMode="External"/><Relationship Id="rId3" Type="http://schemas.openxmlformats.org/officeDocument/2006/relationships/hyperlink" Target="https://jira.kcntt.net/browse/PYC-5300" TargetMode="External"/><Relationship Id="rId7" Type="http://schemas.openxmlformats.org/officeDocument/2006/relationships/hyperlink" Target="https://jira.kcntt.net/browse/PYC-6825" TargetMode="External"/><Relationship Id="rId2" Type="http://schemas.openxmlformats.org/officeDocument/2006/relationships/hyperlink" Target="https://jira.kcntt.net/browse/PYC-5252" TargetMode="External"/><Relationship Id="rId1" Type="http://schemas.openxmlformats.org/officeDocument/2006/relationships/hyperlink" Target="https://jira.kcntt.net/browse/PYC-4808" TargetMode="External"/><Relationship Id="rId6" Type="http://schemas.openxmlformats.org/officeDocument/2006/relationships/hyperlink" Target="https://jira.kcntt.net/browse/PYC-6448" TargetMode="External"/><Relationship Id="rId5" Type="http://schemas.openxmlformats.org/officeDocument/2006/relationships/hyperlink" Target="https://jira.kcntt.net/browse/PYC-5892" TargetMode="External"/><Relationship Id="rId10" Type="http://schemas.openxmlformats.org/officeDocument/2006/relationships/hyperlink" Target="https://jira.kcntt.net/browse/PYC-10448" TargetMode="External"/><Relationship Id="rId4" Type="http://schemas.openxmlformats.org/officeDocument/2006/relationships/hyperlink" Target="https://jira.kcntt.net/browse/PYC-5310" TargetMode="External"/><Relationship Id="rId9" Type="http://schemas.openxmlformats.org/officeDocument/2006/relationships/hyperlink" Target="https://jira.kcntt.net/browse/PYC-1305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jira.kcntt.net/browse/PYC-43863"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8"/>
  <sheetViews>
    <sheetView workbookViewId="0">
      <pane xSplit="6" ySplit="1" topLeftCell="G2" activePane="bottomRight" state="frozen"/>
      <selection activeCell="J68" sqref="J68"/>
      <selection pane="topRight"/>
      <selection pane="bottomLeft"/>
      <selection pane="bottomRight" activeCell="G2" sqref="G2"/>
    </sheetView>
  </sheetViews>
  <sheetFormatPr defaultColWidth="9" defaultRowHeight="12.75" x14ac:dyDescent="0.2"/>
  <cols>
    <col min="1" max="1" width="5.140625" style="2" customWidth="1"/>
    <col min="2" max="2" width="11.85546875" style="2" customWidth="1"/>
    <col min="3" max="3" width="11.28515625" style="2" customWidth="1"/>
    <col min="4" max="4" width="12.42578125" style="2" customWidth="1"/>
    <col min="5" max="5" width="26.28515625" style="2" customWidth="1"/>
    <col min="6" max="6" width="12.5703125" style="2" customWidth="1"/>
    <col min="7" max="9" width="12.42578125" style="2" customWidth="1"/>
    <col min="10" max="11" width="9" style="2" customWidth="1"/>
    <col min="12" max="12" width="11.7109375" style="3" customWidth="1"/>
    <col min="13" max="13" width="72.42578125" style="4" bestFit="1" customWidth="1"/>
    <col min="14" max="14" width="36.7109375" style="1" customWidth="1"/>
    <col min="15" max="16384" width="9" style="1"/>
  </cols>
  <sheetData>
    <row r="1" spans="1:14" s="5" customFormat="1" ht="51" x14ac:dyDescent="0.2">
      <c r="A1" s="6" t="s">
        <v>0</v>
      </c>
      <c r="B1" s="6" t="s">
        <v>1</v>
      </c>
      <c r="C1" s="6" t="s">
        <v>2</v>
      </c>
      <c r="D1" s="6" t="s">
        <v>3</v>
      </c>
      <c r="E1" s="6" t="s">
        <v>4</v>
      </c>
      <c r="F1" s="6" t="s">
        <v>5</v>
      </c>
      <c r="G1" s="6" t="s">
        <v>6</v>
      </c>
      <c r="H1" s="6" t="s">
        <v>7</v>
      </c>
      <c r="I1" s="6" t="s">
        <v>8</v>
      </c>
      <c r="J1" s="6" t="s">
        <v>9</v>
      </c>
      <c r="K1" s="6" t="s">
        <v>10</v>
      </c>
      <c r="L1" s="6" t="s">
        <v>11</v>
      </c>
      <c r="M1" s="6" t="s">
        <v>12</v>
      </c>
      <c r="N1" s="6" t="s">
        <v>13</v>
      </c>
    </row>
    <row r="2" spans="1:14" x14ac:dyDescent="0.2">
      <c r="A2" s="7">
        <v>1</v>
      </c>
      <c r="B2" s="7">
        <v>4140334</v>
      </c>
      <c r="C2" s="7"/>
      <c r="D2" s="7" t="s">
        <v>14</v>
      </c>
      <c r="E2" s="7" t="s">
        <v>15</v>
      </c>
      <c r="F2" s="7" t="s">
        <v>16</v>
      </c>
      <c r="G2" s="8">
        <v>44970</v>
      </c>
      <c r="H2" s="8">
        <v>44973</v>
      </c>
      <c r="I2" s="8">
        <v>44973</v>
      </c>
      <c r="J2" s="7"/>
      <c r="K2" s="7"/>
      <c r="L2" s="9"/>
      <c r="M2" s="10" t="s">
        <v>17</v>
      </c>
      <c r="N2" s="11"/>
    </row>
    <row r="3" spans="1:14" x14ac:dyDescent="0.2">
      <c r="A3" s="7">
        <v>2</v>
      </c>
      <c r="B3" s="7">
        <v>4140332</v>
      </c>
      <c r="C3" s="7"/>
      <c r="D3" s="7" t="s">
        <v>14</v>
      </c>
      <c r="E3" s="7" t="s">
        <v>18</v>
      </c>
      <c r="F3" s="7" t="s">
        <v>16</v>
      </c>
      <c r="G3" s="8">
        <v>44970</v>
      </c>
      <c r="H3" s="8">
        <v>44973</v>
      </c>
      <c r="I3" s="8">
        <v>44973</v>
      </c>
      <c r="J3" s="7"/>
      <c r="K3" s="7"/>
      <c r="L3" s="12"/>
      <c r="M3" s="10" t="s">
        <v>19</v>
      </c>
      <c r="N3" s="11"/>
    </row>
    <row r="4" spans="1:14" x14ac:dyDescent="0.2">
      <c r="A4" s="7">
        <v>3</v>
      </c>
      <c r="B4" s="12">
        <v>4145107</v>
      </c>
      <c r="C4" s="12"/>
      <c r="D4" s="7" t="s">
        <v>20</v>
      </c>
      <c r="E4" s="7" t="s">
        <v>15</v>
      </c>
      <c r="F4" s="7" t="s">
        <v>16</v>
      </c>
      <c r="G4" s="8">
        <v>44985</v>
      </c>
      <c r="H4" s="8">
        <v>44988</v>
      </c>
      <c r="I4" s="8">
        <v>44986</v>
      </c>
      <c r="J4" s="7"/>
      <c r="K4" s="7"/>
      <c r="L4" s="9"/>
      <c r="M4" s="10" t="s">
        <v>21</v>
      </c>
      <c r="N4" s="11"/>
    </row>
    <row r="5" spans="1:14" x14ac:dyDescent="0.2">
      <c r="A5" s="7">
        <v>4</v>
      </c>
      <c r="B5" s="12">
        <v>4145808</v>
      </c>
      <c r="C5" s="12"/>
      <c r="D5" s="7" t="s">
        <v>22</v>
      </c>
      <c r="E5" s="7" t="s">
        <v>18</v>
      </c>
      <c r="F5" s="7" t="s">
        <v>16</v>
      </c>
      <c r="G5" s="8">
        <v>44987</v>
      </c>
      <c r="H5" s="8">
        <v>44992</v>
      </c>
      <c r="I5" s="8">
        <v>44991</v>
      </c>
      <c r="J5" s="7"/>
      <c r="K5" s="7"/>
      <c r="L5" s="9"/>
      <c r="M5" s="10" t="s">
        <v>23</v>
      </c>
      <c r="N5" s="11"/>
    </row>
    <row r="6" spans="1:14" x14ac:dyDescent="0.2">
      <c r="A6" s="7">
        <v>5</v>
      </c>
      <c r="B6" s="12">
        <v>4148244</v>
      </c>
      <c r="C6" s="12"/>
      <c r="D6" s="7" t="s">
        <v>24</v>
      </c>
      <c r="E6" s="7" t="s">
        <v>25</v>
      </c>
      <c r="F6" s="7" t="s">
        <v>16</v>
      </c>
      <c r="G6" s="8">
        <v>44998</v>
      </c>
      <c r="H6" s="8">
        <v>45001</v>
      </c>
      <c r="I6" s="8">
        <v>45001</v>
      </c>
      <c r="J6" s="7"/>
      <c r="K6" s="7"/>
      <c r="L6" s="12"/>
      <c r="M6" s="10" t="s">
        <v>26</v>
      </c>
      <c r="N6" s="11"/>
    </row>
    <row r="7" spans="1:14" x14ac:dyDescent="0.2">
      <c r="A7" s="7">
        <v>6</v>
      </c>
      <c r="B7" s="7">
        <v>4148678</v>
      </c>
      <c r="C7" s="7"/>
      <c r="D7" s="7" t="s">
        <v>27</v>
      </c>
      <c r="E7" s="7" t="s">
        <v>28</v>
      </c>
      <c r="F7" s="7" t="s">
        <v>16</v>
      </c>
      <c r="G7" s="8">
        <v>44999</v>
      </c>
      <c r="H7" s="8">
        <v>45002</v>
      </c>
      <c r="I7" s="8">
        <v>45002</v>
      </c>
      <c r="J7" s="7"/>
      <c r="K7" s="7"/>
      <c r="L7" s="12"/>
      <c r="M7" s="10" t="s">
        <v>29</v>
      </c>
      <c r="N7" s="11"/>
    </row>
    <row r="8" spans="1:14" x14ac:dyDescent="0.2">
      <c r="A8" s="7">
        <v>7</v>
      </c>
      <c r="B8" s="7">
        <v>4149626</v>
      </c>
      <c r="C8" s="7"/>
      <c r="D8" s="7" t="s">
        <v>22</v>
      </c>
      <c r="E8" s="7" t="s">
        <v>30</v>
      </c>
      <c r="F8" s="7" t="s">
        <v>16</v>
      </c>
      <c r="G8" s="8">
        <v>45001</v>
      </c>
      <c r="H8" s="8">
        <v>45006</v>
      </c>
      <c r="I8" s="8">
        <v>45006</v>
      </c>
      <c r="J8" s="7"/>
      <c r="K8" s="7"/>
      <c r="L8" s="9"/>
      <c r="M8" s="10" t="s">
        <v>31</v>
      </c>
      <c r="N8" s="11"/>
    </row>
    <row r="9" spans="1:14" x14ac:dyDescent="0.2">
      <c r="A9" s="7">
        <v>8</v>
      </c>
      <c r="B9" s="7">
        <v>4149624</v>
      </c>
      <c r="C9" s="7"/>
      <c r="D9" s="7" t="s">
        <v>22</v>
      </c>
      <c r="E9" s="7" t="s">
        <v>30</v>
      </c>
      <c r="F9" s="7" t="s">
        <v>16</v>
      </c>
      <c r="G9" s="8">
        <v>45001</v>
      </c>
      <c r="H9" s="8">
        <v>45006</v>
      </c>
      <c r="I9" s="8">
        <v>45006</v>
      </c>
      <c r="J9" s="7"/>
      <c r="K9" s="7"/>
      <c r="L9" s="12"/>
      <c r="M9" s="10" t="s">
        <v>32</v>
      </c>
      <c r="N9" s="11"/>
    </row>
    <row r="10" spans="1:14" x14ac:dyDescent="0.2">
      <c r="A10" s="7">
        <v>9</v>
      </c>
      <c r="B10" s="7">
        <v>4151337</v>
      </c>
      <c r="C10" s="7"/>
      <c r="D10" s="7" t="s">
        <v>33</v>
      </c>
      <c r="E10" s="7" t="s">
        <v>25</v>
      </c>
      <c r="F10" s="7" t="s">
        <v>16</v>
      </c>
      <c r="G10" s="8">
        <v>45006</v>
      </c>
      <c r="H10" s="8">
        <v>45008</v>
      </c>
      <c r="I10" s="8">
        <v>45008</v>
      </c>
      <c r="J10" s="7"/>
      <c r="K10" s="7"/>
      <c r="L10" s="9"/>
      <c r="M10" s="10" t="s">
        <v>34</v>
      </c>
      <c r="N10" s="11"/>
    </row>
    <row r="11" spans="1:14" x14ac:dyDescent="0.2">
      <c r="A11" s="7">
        <v>10</v>
      </c>
      <c r="B11" s="7">
        <v>4153924</v>
      </c>
      <c r="C11" s="7"/>
      <c r="D11" s="7" t="s">
        <v>35</v>
      </c>
      <c r="E11" s="7" t="s">
        <v>25</v>
      </c>
      <c r="F11" s="7" t="s">
        <v>16</v>
      </c>
      <c r="G11" s="8">
        <v>45016</v>
      </c>
      <c r="H11" s="8">
        <v>45020</v>
      </c>
      <c r="I11" s="8">
        <v>45020</v>
      </c>
      <c r="J11" s="7"/>
      <c r="K11" s="7"/>
      <c r="L11" s="9"/>
      <c r="M11" s="10" t="s">
        <v>36</v>
      </c>
      <c r="N11" s="11"/>
    </row>
    <row r="12" spans="1:14" x14ac:dyDescent="0.2">
      <c r="A12" s="7">
        <v>11</v>
      </c>
      <c r="B12" s="7">
        <v>4155624</v>
      </c>
      <c r="C12" s="7"/>
      <c r="D12" s="7" t="s">
        <v>37</v>
      </c>
      <c r="E12" s="7" t="s">
        <v>28</v>
      </c>
      <c r="F12" s="7" t="s">
        <v>16</v>
      </c>
      <c r="G12" s="8">
        <v>45023</v>
      </c>
      <c r="H12" s="8">
        <v>45027</v>
      </c>
      <c r="I12" s="8">
        <v>45027</v>
      </c>
      <c r="J12" s="7"/>
      <c r="K12" s="7"/>
      <c r="L12" s="9"/>
      <c r="M12" s="10" t="s">
        <v>38</v>
      </c>
      <c r="N12" s="11"/>
    </row>
    <row r="13" spans="1:14" x14ac:dyDescent="0.2">
      <c r="A13" s="7">
        <v>12</v>
      </c>
      <c r="B13" s="12">
        <v>4156658</v>
      </c>
      <c r="C13" s="12"/>
      <c r="D13" s="7" t="s">
        <v>33</v>
      </c>
      <c r="E13" s="7" t="s">
        <v>25</v>
      </c>
      <c r="F13" s="7" t="s">
        <v>16</v>
      </c>
      <c r="G13" s="8">
        <v>45028</v>
      </c>
      <c r="H13" s="8">
        <v>45030</v>
      </c>
      <c r="I13" s="8">
        <v>45030</v>
      </c>
      <c r="J13" s="7"/>
      <c r="K13" s="7"/>
      <c r="L13" s="9"/>
      <c r="M13" s="10" t="s">
        <v>39</v>
      </c>
      <c r="N13" s="11"/>
    </row>
    <row r="14" spans="1:14" x14ac:dyDescent="0.2">
      <c r="A14" s="7">
        <v>13</v>
      </c>
      <c r="B14" s="7">
        <v>4157565</v>
      </c>
      <c r="C14" s="7"/>
      <c r="D14" s="7" t="s">
        <v>40</v>
      </c>
      <c r="E14" s="7" t="s">
        <v>28</v>
      </c>
      <c r="F14" s="7" t="s">
        <v>16</v>
      </c>
      <c r="G14" s="8">
        <v>45033</v>
      </c>
      <c r="H14" s="8">
        <v>45035</v>
      </c>
      <c r="I14" s="8">
        <v>45035</v>
      </c>
      <c r="J14" s="7"/>
      <c r="K14" s="7"/>
      <c r="L14" s="9"/>
      <c r="M14" s="10" t="s">
        <v>41</v>
      </c>
      <c r="N14" s="11"/>
    </row>
    <row r="15" spans="1:14" x14ac:dyDescent="0.2">
      <c r="A15" s="7">
        <v>14</v>
      </c>
      <c r="B15" s="7">
        <v>4161139</v>
      </c>
      <c r="C15" s="7"/>
      <c r="D15" s="7" t="s">
        <v>33</v>
      </c>
      <c r="E15" s="7" t="s">
        <v>42</v>
      </c>
      <c r="F15" s="7" t="s">
        <v>16</v>
      </c>
      <c r="G15" s="8">
        <v>45040</v>
      </c>
      <c r="H15" s="8">
        <v>45042</v>
      </c>
      <c r="I15" s="8">
        <v>45042</v>
      </c>
      <c r="J15" s="7"/>
      <c r="K15" s="7"/>
      <c r="L15" s="9"/>
      <c r="M15" s="10" t="s">
        <v>43</v>
      </c>
      <c r="N15" s="11"/>
    </row>
    <row r="16" spans="1:14" x14ac:dyDescent="0.2">
      <c r="A16" s="7">
        <v>15</v>
      </c>
      <c r="B16" s="7">
        <v>4161300</v>
      </c>
      <c r="C16" s="7"/>
      <c r="D16" s="7" t="s">
        <v>33</v>
      </c>
      <c r="E16" s="7" t="s">
        <v>44</v>
      </c>
      <c r="F16" s="7" t="s">
        <v>16</v>
      </c>
      <c r="G16" s="8">
        <v>45041</v>
      </c>
      <c r="H16" s="8">
        <v>45043</v>
      </c>
      <c r="I16" s="8">
        <v>45043</v>
      </c>
      <c r="J16" s="7"/>
      <c r="K16" s="7"/>
      <c r="L16" s="9"/>
      <c r="M16" s="10" t="s">
        <v>39</v>
      </c>
      <c r="N16" s="11"/>
    </row>
    <row r="17" spans="1:14" x14ac:dyDescent="0.2">
      <c r="A17" s="7">
        <v>16</v>
      </c>
      <c r="B17" s="7">
        <v>4161940</v>
      </c>
      <c r="C17" s="7"/>
      <c r="D17" s="12" t="s">
        <v>45</v>
      </c>
      <c r="E17" s="7" t="s">
        <v>42</v>
      </c>
      <c r="F17" s="7" t="s">
        <v>16</v>
      </c>
      <c r="G17" s="8">
        <v>45043</v>
      </c>
      <c r="H17" s="8">
        <v>45021</v>
      </c>
      <c r="I17" s="8">
        <v>45021</v>
      </c>
      <c r="J17" s="7"/>
      <c r="K17" s="7"/>
      <c r="L17" s="9"/>
      <c r="M17" s="10" t="s">
        <v>46</v>
      </c>
      <c r="N17" s="11"/>
    </row>
    <row r="18" spans="1:14" x14ac:dyDescent="0.2">
      <c r="A18" s="7">
        <v>17</v>
      </c>
      <c r="B18" s="7">
        <v>4163742</v>
      </c>
      <c r="C18" s="7"/>
      <c r="D18" s="7" t="s">
        <v>22</v>
      </c>
      <c r="E18" s="7" t="s">
        <v>42</v>
      </c>
      <c r="F18" s="7" t="s">
        <v>16</v>
      </c>
      <c r="G18" s="8">
        <v>45055</v>
      </c>
      <c r="H18" s="8">
        <v>45058</v>
      </c>
      <c r="I18" s="8">
        <v>45056</v>
      </c>
      <c r="J18" s="7"/>
      <c r="K18" s="7"/>
      <c r="L18" s="9"/>
      <c r="M18" s="10" t="s">
        <v>47</v>
      </c>
      <c r="N18" s="11"/>
    </row>
    <row r="19" spans="1:14" x14ac:dyDescent="0.2">
      <c r="A19" s="7">
        <v>18</v>
      </c>
      <c r="B19" s="7">
        <v>4163737</v>
      </c>
      <c r="C19" s="7"/>
      <c r="D19" s="12" t="s">
        <v>37</v>
      </c>
      <c r="E19" s="7" t="s">
        <v>28</v>
      </c>
      <c r="F19" s="7" t="s">
        <v>16</v>
      </c>
      <c r="G19" s="8">
        <v>45055</v>
      </c>
      <c r="H19" s="8">
        <v>45058</v>
      </c>
      <c r="I19" s="8">
        <v>45056</v>
      </c>
      <c r="J19" s="7"/>
      <c r="K19" s="7"/>
      <c r="L19" s="9"/>
      <c r="M19" s="10" t="s">
        <v>38</v>
      </c>
      <c r="N19" s="11"/>
    </row>
    <row r="20" spans="1:14" x14ac:dyDescent="0.2">
      <c r="A20" s="7">
        <v>19</v>
      </c>
      <c r="B20" s="7">
        <v>4164061</v>
      </c>
      <c r="C20" s="7"/>
      <c r="D20" s="7" t="s">
        <v>40</v>
      </c>
      <c r="E20" s="7" t="s">
        <v>44</v>
      </c>
      <c r="F20" s="7" t="s">
        <v>16</v>
      </c>
      <c r="G20" s="8">
        <v>45056</v>
      </c>
      <c r="H20" s="8">
        <v>45058</v>
      </c>
      <c r="I20" s="8">
        <v>45058</v>
      </c>
      <c r="J20" s="7"/>
      <c r="K20" s="7"/>
      <c r="L20" s="9"/>
      <c r="M20" s="10" t="s">
        <v>41</v>
      </c>
      <c r="N20" s="11"/>
    </row>
    <row r="21" spans="1:14" x14ac:dyDescent="0.2">
      <c r="A21" s="7">
        <v>20</v>
      </c>
      <c r="B21" s="7">
        <v>4164734</v>
      </c>
      <c r="C21" s="7"/>
      <c r="D21" s="7" t="s">
        <v>33</v>
      </c>
      <c r="E21" s="7" t="s">
        <v>25</v>
      </c>
      <c r="F21" s="7" t="s">
        <v>16</v>
      </c>
      <c r="G21" s="8">
        <v>45058</v>
      </c>
      <c r="H21" s="8">
        <v>45062</v>
      </c>
      <c r="I21" s="8">
        <v>45062</v>
      </c>
      <c r="J21" s="7"/>
      <c r="K21" s="7"/>
      <c r="L21" s="9"/>
      <c r="M21" s="10" t="s">
        <v>48</v>
      </c>
      <c r="N21" s="11"/>
    </row>
    <row r="22" spans="1:14" x14ac:dyDescent="0.2">
      <c r="A22" s="7">
        <v>21</v>
      </c>
      <c r="B22" s="7">
        <v>4164579</v>
      </c>
      <c r="C22" s="7"/>
      <c r="D22" s="7" t="s">
        <v>49</v>
      </c>
      <c r="E22" s="7" t="s">
        <v>28</v>
      </c>
      <c r="F22" s="7" t="s">
        <v>16</v>
      </c>
      <c r="G22" s="8">
        <v>45058</v>
      </c>
      <c r="H22" s="8">
        <v>45062</v>
      </c>
      <c r="I22" s="8">
        <v>45062</v>
      </c>
      <c r="J22" s="7"/>
      <c r="K22" s="7"/>
      <c r="L22" s="9"/>
      <c r="M22" s="10" t="s">
        <v>50</v>
      </c>
      <c r="N22" s="11"/>
    </row>
    <row r="23" spans="1:14" x14ac:dyDescent="0.2">
      <c r="A23" s="7">
        <v>22</v>
      </c>
      <c r="B23" s="7">
        <v>4171495</v>
      </c>
      <c r="C23" s="7"/>
      <c r="D23" s="7" t="s">
        <v>51</v>
      </c>
      <c r="E23" s="7" t="s">
        <v>52</v>
      </c>
      <c r="F23" s="7" t="s">
        <v>16</v>
      </c>
      <c r="G23" s="8">
        <v>45079</v>
      </c>
      <c r="H23" s="8">
        <v>45083</v>
      </c>
      <c r="I23" s="8">
        <v>45083</v>
      </c>
      <c r="J23" s="7"/>
      <c r="K23" s="7"/>
      <c r="L23" s="9"/>
      <c r="M23" s="10" t="s">
        <v>53</v>
      </c>
      <c r="N23" s="11"/>
    </row>
    <row r="24" spans="1:14" x14ac:dyDescent="0.2">
      <c r="A24" s="7">
        <v>23</v>
      </c>
      <c r="B24" s="7">
        <v>4172615</v>
      </c>
      <c r="C24" s="7"/>
      <c r="D24" s="7" t="s">
        <v>54</v>
      </c>
      <c r="E24" s="7" t="s">
        <v>28</v>
      </c>
      <c r="F24" s="7" t="s">
        <v>16</v>
      </c>
      <c r="G24" s="8">
        <v>45083</v>
      </c>
      <c r="H24" s="8">
        <v>45144</v>
      </c>
      <c r="I24" s="8">
        <v>45144</v>
      </c>
      <c r="J24" s="7"/>
      <c r="K24" s="7"/>
      <c r="L24" s="9"/>
      <c r="M24" s="10" t="s">
        <v>55</v>
      </c>
      <c r="N24" s="11"/>
    </row>
    <row r="25" spans="1:14" x14ac:dyDescent="0.2">
      <c r="A25" s="7">
        <v>24</v>
      </c>
      <c r="B25" s="7">
        <v>4172493</v>
      </c>
      <c r="C25" s="7"/>
      <c r="D25" s="7" t="s">
        <v>49</v>
      </c>
      <c r="E25" s="7" t="s">
        <v>25</v>
      </c>
      <c r="F25" s="7" t="s">
        <v>16</v>
      </c>
      <c r="G25" s="8">
        <v>45113</v>
      </c>
      <c r="H25" s="8">
        <v>45175</v>
      </c>
      <c r="I25" s="8">
        <v>45175</v>
      </c>
      <c r="J25" s="7"/>
      <c r="K25" s="7"/>
      <c r="L25" s="9"/>
      <c r="M25" s="10" t="s">
        <v>56</v>
      </c>
      <c r="N25" s="11"/>
    </row>
    <row r="26" spans="1:14" x14ac:dyDescent="0.2">
      <c r="A26" s="7">
        <v>25</v>
      </c>
      <c r="B26" s="7">
        <v>4173510</v>
      </c>
      <c r="C26" s="7"/>
      <c r="D26" s="7" t="s">
        <v>51</v>
      </c>
      <c r="E26" s="7" t="s">
        <v>28</v>
      </c>
      <c r="F26" s="7" t="s">
        <v>16</v>
      </c>
      <c r="G26" s="8">
        <v>45089</v>
      </c>
      <c r="H26" s="8">
        <v>45091</v>
      </c>
      <c r="I26" s="8">
        <v>45091</v>
      </c>
      <c r="J26" s="7"/>
      <c r="K26" s="7"/>
      <c r="L26" s="9"/>
      <c r="M26" s="10" t="s">
        <v>53</v>
      </c>
      <c r="N26" s="11"/>
    </row>
    <row r="27" spans="1:14" x14ac:dyDescent="0.2">
      <c r="A27" s="7">
        <v>26</v>
      </c>
      <c r="B27" s="7">
        <v>4173640</v>
      </c>
      <c r="C27" s="7"/>
      <c r="D27" s="7" t="s">
        <v>40</v>
      </c>
      <c r="E27" s="7" t="s">
        <v>44</v>
      </c>
      <c r="F27" s="7" t="s">
        <v>16</v>
      </c>
      <c r="G27" s="8">
        <v>45089</v>
      </c>
      <c r="H27" s="8">
        <v>45091</v>
      </c>
      <c r="I27" s="8">
        <v>45092</v>
      </c>
      <c r="J27" s="7"/>
      <c r="K27" s="7"/>
      <c r="L27" s="9"/>
      <c r="M27" s="10" t="s">
        <v>41</v>
      </c>
      <c r="N27" s="11"/>
    </row>
    <row r="28" spans="1:14" x14ac:dyDescent="0.2">
      <c r="A28" s="9">
        <v>27</v>
      </c>
      <c r="B28" s="13" t="s">
        <v>57</v>
      </c>
      <c r="C28" s="9"/>
      <c r="D28" s="9" t="s">
        <v>58</v>
      </c>
      <c r="E28" s="9" t="s">
        <v>42</v>
      </c>
      <c r="F28" s="9" t="s">
        <v>16</v>
      </c>
      <c r="G28" s="14">
        <v>45093</v>
      </c>
      <c r="H28" s="14">
        <v>45097</v>
      </c>
      <c r="I28" s="14">
        <v>45096</v>
      </c>
      <c r="J28" s="7"/>
      <c r="K28" s="7"/>
      <c r="L28" s="9"/>
      <c r="M28" s="15" t="s">
        <v>59</v>
      </c>
      <c r="N28" s="11"/>
    </row>
    <row r="29" spans="1:14" x14ac:dyDescent="0.2">
      <c r="A29" s="9">
        <v>28</v>
      </c>
      <c r="B29" s="9">
        <v>4176326</v>
      </c>
      <c r="C29" s="9"/>
      <c r="D29" s="9" t="s">
        <v>49</v>
      </c>
      <c r="E29" s="9" t="s">
        <v>25</v>
      </c>
      <c r="F29" s="9" t="s">
        <v>16</v>
      </c>
      <c r="G29" s="14">
        <v>45096</v>
      </c>
      <c r="H29" s="14">
        <v>45099</v>
      </c>
      <c r="I29" s="14">
        <v>45097</v>
      </c>
      <c r="J29" s="7"/>
      <c r="K29" s="7"/>
      <c r="L29" s="9"/>
      <c r="M29" s="15" t="s">
        <v>60</v>
      </c>
      <c r="N29" s="11"/>
    </row>
    <row r="30" spans="1:14" x14ac:dyDescent="0.2">
      <c r="A30" s="9">
        <v>29</v>
      </c>
      <c r="B30" s="9">
        <v>4178224</v>
      </c>
      <c r="C30" s="9"/>
      <c r="D30" s="9" t="s">
        <v>58</v>
      </c>
      <c r="E30" s="9" t="s">
        <v>44</v>
      </c>
      <c r="F30" s="9" t="s">
        <v>16</v>
      </c>
      <c r="G30" s="14">
        <v>45098</v>
      </c>
      <c r="H30" s="14">
        <v>45100</v>
      </c>
      <c r="I30" s="14">
        <v>45099</v>
      </c>
      <c r="J30" s="7"/>
      <c r="K30" s="7"/>
      <c r="L30" s="9"/>
      <c r="M30" s="15" t="s">
        <v>61</v>
      </c>
      <c r="N30" s="11"/>
    </row>
    <row r="31" spans="1:14" x14ac:dyDescent="0.2">
      <c r="A31" s="16">
        <v>30</v>
      </c>
      <c r="B31" s="16">
        <v>4179410</v>
      </c>
      <c r="C31" s="16"/>
      <c r="D31" s="16" t="s">
        <v>27</v>
      </c>
      <c r="E31" s="16" t="s">
        <v>25</v>
      </c>
      <c r="F31" s="16" t="s">
        <v>16</v>
      </c>
      <c r="G31" s="17">
        <v>45100</v>
      </c>
      <c r="H31" s="17">
        <v>45103</v>
      </c>
      <c r="I31" s="17">
        <v>45103</v>
      </c>
      <c r="J31" s="7"/>
      <c r="K31" s="7"/>
      <c r="L31" s="16"/>
      <c r="M31" s="18" t="s">
        <v>62</v>
      </c>
      <c r="N31" s="11"/>
    </row>
    <row r="32" spans="1:14" x14ac:dyDescent="0.2">
      <c r="A32" s="16">
        <v>31</v>
      </c>
      <c r="B32" s="16">
        <v>4180498</v>
      </c>
      <c r="C32" s="16"/>
      <c r="D32" s="16" t="s">
        <v>49</v>
      </c>
      <c r="E32" s="16" t="s">
        <v>25</v>
      </c>
      <c r="F32" s="16" t="s">
        <v>16</v>
      </c>
      <c r="G32" s="17">
        <v>45105</v>
      </c>
      <c r="H32" s="17">
        <v>45108</v>
      </c>
      <c r="I32" s="17">
        <v>45112</v>
      </c>
      <c r="J32" s="7"/>
      <c r="K32" s="7"/>
      <c r="L32" s="16"/>
      <c r="M32" s="15" t="s">
        <v>60</v>
      </c>
      <c r="N32" s="11" t="s">
        <v>63</v>
      </c>
    </row>
    <row r="33" spans="1:14" ht="25.5" x14ac:dyDescent="0.2">
      <c r="A33" s="16">
        <v>32</v>
      </c>
      <c r="B33" s="16">
        <v>4182686</v>
      </c>
      <c r="C33" s="16"/>
      <c r="D33" s="16" t="s">
        <v>54</v>
      </c>
      <c r="E33" s="16" t="s">
        <v>28</v>
      </c>
      <c r="F33" s="16" t="s">
        <v>64</v>
      </c>
      <c r="G33" s="17">
        <v>45114</v>
      </c>
      <c r="H33" s="17">
        <v>45118</v>
      </c>
      <c r="I33" s="17">
        <v>45121</v>
      </c>
      <c r="J33" s="7"/>
      <c r="K33" s="7"/>
      <c r="L33" s="16"/>
      <c r="M33" s="18" t="s">
        <v>65</v>
      </c>
      <c r="N33" s="11"/>
    </row>
    <row r="34" spans="1:14" x14ac:dyDescent="0.2">
      <c r="A34" s="16">
        <v>33</v>
      </c>
      <c r="B34" s="16">
        <v>4183198</v>
      </c>
      <c r="C34" s="16"/>
      <c r="D34" s="16" t="s">
        <v>66</v>
      </c>
      <c r="E34" s="16" t="s">
        <v>25</v>
      </c>
      <c r="F34" s="16" t="s">
        <v>16</v>
      </c>
      <c r="G34" s="17">
        <v>45117</v>
      </c>
      <c r="H34" s="17">
        <v>45119</v>
      </c>
      <c r="I34" s="17">
        <v>45118</v>
      </c>
      <c r="J34" s="7"/>
      <c r="K34" s="7"/>
      <c r="L34" s="16"/>
      <c r="M34" s="18" t="s">
        <v>67</v>
      </c>
      <c r="N34" s="11"/>
    </row>
    <row r="35" spans="1:14" x14ac:dyDescent="0.2">
      <c r="A35" s="16">
        <v>34</v>
      </c>
      <c r="B35" s="7">
        <v>4183199</v>
      </c>
      <c r="C35" s="7"/>
      <c r="D35" s="7" t="s">
        <v>20</v>
      </c>
      <c r="E35" s="7" t="s">
        <v>44</v>
      </c>
      <c r="F35" s="7" t="s">
        <v>16</v>
      </c>
      <c r="G35" s="8">
        <v>45117</v>
      </c>
      <c r="H35" s="17">
        <v>45119</v>
      </c>
      <c r="I35" s="8">
        <v>45125</v>
      </c>
      <c r="J35" s="7"/>
      <c r="K35" s="7"/>
      <c r="L35" s="9"/>
      <c r="M35" s="10" t="s">
        <v>68</v>
      </c>
      <c r="N35" s="11"/>
    </row>
    <row r="36" spans="1:14" x14ac:dyDescent="0.2">
      <c r="A36" s="7">
        <v>35</v>
      </c>
      <c r="B36" s="12">
        <v>4183212</v>
      </c>
      <c r="C36" s="12"/>
      <c r="D36" s="7" t="s">
        <v>58</v>
      </c>
      <c r="E36" s="7" t="s">
        <v>42</v>
      </c>
      <c r="F36" s="7" t="s">
        <v>16</v>
      </c>
      <c r="G36" s="8">
        <v>45117</v>
      </c>
      <c r="H36" s="17">
        <v>45119</v>
      </c>
      <c r="I36" s="8">
        <v>45135</v>
      </c>
      <c r="J36" s="7"/>
      <c r="K36" s="7"/>
      <c r="L36" s="9"/>
      <c r="M36" s="10" t="s">
        <v>69</v>
      </c>
      <c r="N36" s="11"/>
    </row>
    <row r="37" spans="1:14" x14ac:dyDescent="0.2">
      <c r="A37" s="7">
        <v>36</v>
      </c>
      <c r="B37" s="7">
        <v>4187821</v>
      </c>
      <c r="C37" s="7"/>
      <c r="D37" s="7" t="s">
        <v>70</v>
      </c>
      <c r="E37" s="7" t="s">
        <v>28</v>
      </c>
      <c r="F37" s="7" t="s">
        <v>16</v>
      </c>
      <c r="G37" s="8">
        <v>45127</v>
      </c>
      <c r="H37" s="8">
        <v>45130</v>
      </c>
      <c r="I37" s="8">
        <v>45131</v>
      </c>
      <c r="J37" s="7"/>
      <c r="K37" s="7"/>
      <c r="L37" s="9"/>
      <c r="M37" s="10" t="s">
        <v>71</v>
      </c>
      <c r="N37" s="11"/>
    </row>
    <row r="38" spans="1:14" x14ac:dyDescent="0.2">
      <c r="A38" s="16">
        <v>37</v>
      </c>
      <c r="B38" s="16">
        <v>4188679</v>
      </c>
      <c r="C38" s="16"/>
      <c r="D38" s="16" t="s">
        <v>72</v>
      </c>
      <c r="E38" s="16" t="s">
        <v>44</v>
      </c>
      <c r="F38" s="16" t="s">
        <v>16</v>
      </c>
      <c r="G38" s="17">
        <v>45131</v>
      </c>
      <c r="H38" s="17">
        <v>45133</v>
      </c>
      <c r="I38" s="17">
        <v>45135</v>
      </c>
      <c r="J38" s="7"/>
      <c r="K38" s="7"/>
      <c r="L38" s="9"/>
      <c r="M38" s="10" t="s">
        <v>73</v>
      </c>
      <c r="N38" s="11"/>
    </row>
    <row r="39" spans="1:14" x14ac:dyDescent="0.2">
      <c r="A39" s="7">
        <v>38</v>
      </c>
      <c r="B39" s="7">
        <v>4189869</v>
      </c>
      <c r="C39" s="7"/>
      <c r="D39" s="7" t="s">
        <v>74</v>
      </c>
      <c r="E39" s="7" t="s">
        <v>42</v>
      </c>
      <c r="F39" s="7" t="s">
        <v>16</v>
      </c>
      <c r="G39" s="8">
        <v>45135</v>
      </c>
      <c r="H39" s="8">
        <v>45139</v>
      </c>
      <c r="I39" s="17">
        <v>45138</v>
      </c>
      <c r="J39" s="7"/>
      <c r="K39" s="7"/>
      <c r="L39" s="9"/>
      <c r="M39" s="10" t="s">
        <v>75</v>
      </c>
      <c r="N39" s="11"/>
    </row>
    <row r="40" spans="1:14" x14ac:dyDescent="0.2">
      <c r="A40" s="7">
        <v>39</v>
      </c>
      <c r="B40" s="7">
        <v>4198143</v>
      </c>
      <c r="C40" s="7"/>
      <c r="D40" s="7" t="s">
        <v>76</v>
      </c>
      <c r="E40" s="7" t="s">
        <v>25</v>
      </c>
      <c r="F40" s="7" t="s">
        <v>16</v>
      </c>
      <c r="G40" s="8">
        <v>45163</v>
      </c>
      <c r="H40" s="8">
        <v>45167</v>
      </c>
      <c r="I40" s="8">
        <v>45166</v>
      </c>
      <c r="J40" s="7"/>
      <c r="K40" s="7"/>
      <c r="L40" s="9"/>
      <c r="M40" s="10" t="s">
        <v>77</v>
      </c>
      <c r="N40" s="11"/>
    </row>
    <row r="41" spans="1:14" x14ac:dyDescent="0.2">
      <c r="A41" s="7">
        <v>40</v>
      </c>
      <c r="B41" s="7">
        <v>4198497</v>
      </c>
      <c r="C41" s="7"/>
      <c r="D41" s="7" t="s">
        <v>78</v>
      </c>
      <c r="E41" s="7" t="s">
        <v>44</v>
      </c>
      <c r="F41" s="7" t="s">
        <v>16</v>
      </c>
      <c r="G41" s="8">
        <v>45166</v>
      </c>
      <c r="H41" s="8">
        <v>45168</v>
      </c>
      <c r="I41" s="8">
        <v>45167</v>
      </c>
      <c r="J41" s="7"/>
      <c r="K41" s="7"/>
      <c r="L41" s="9"/>
      <c r="M41" s="10" t="s">
        <v>79</v>
      </c>
      <c r="N41" s="11"/>
    </row>
    <row r="42" spans="1:14" x14ac:dyDescent="0.2">
      <c r="A42" s="7">
        <v>41</v>
      </c>
      <c r="B42" s="7">
        <v>4199290</v>
      </c>
      <c r="C42" s="7"/>
      <c r="D42" s="7" t="s">
        <v>35</v>
      </c>
      <c r="E42" s="7" t="s">
        <v>44</v>
      </c>
      <c r="F42" s="7" t="s">
        <v>16</v>
      </c>
      <c r="G42" s="8">
        <v>45167</v>
      </c>
      <c r="H42" s="8">
        <v>45174</v>
      </c>
      <c r="I42" s="8">
        <v>45174</v>
      </c>
      <c r="J42" s="7"/>
      <c r="K42" s="7"/>
      <c r="L42" s="9"/>
      <c r="M42" s="10" t="s">
        <v>80</v>
      </c>
      <c r="N42" s="11"/>
    </row>
    <row r="43" spans="1:14" x14ac:dyDescent="0.2">
      <c r="A43" s="7">
        <v>42</v>
      </c>
      <c r="B43" s="7">
        <v>4199538</v>
      </c>
      <c r="C43" s="7"/>
      <c r="D43" s="7" t="s">
        <v>81</v>
      </c>
      <c r="E43" s="7" t="s">
        <v>44</v>
      </c>
      <c r="F43" s="7" t="s">
        <v>16</v>
      </c>
      <c r="G43" s="8">
        <v>45175</v>
      </c>
      <c r="H43" s="8">
        <v>45177</v>
      </c>
      <c r="I43" s="8">
        <v>45177</v>
      </c>
      <c r="J43" s="7"/>
      <c r="K43" s="7"/>
      <c r="L43" s="9"/>
      <c r="M43" s="10" t="s">
        <v>82</v>
      </c>
      <c r="N43" s="11"/>
    </row>
    <row r="44" spans="1:14" x14ac:dyDescent="0.2">
      <c r="A44" s="7">
        <v>43</v>
      </c>
      <c r="B44" s="7" t="s">
        <v>83</v>
      </c>
      <c r="C44" s="7"/>
      <c r="D44" s="7" t="s">
        <v>84</v>
      </c>
      <c r="E44" s="7" t="s">
        <v>42</v>
      </c>
      <c r="F44" s="7" t="s">
        <v>16</v>
      </c>
      <c r="G44" s="8">
        <v>45176</v>
      </c>
      <c r="H44" s="8">
        <v>45179</v>
      </c>
      <c r="I44" s="8">
        <v>45180</v>
      </c>
      <c r="J44" s="7"/>
      <c r="K44" s="7"/>
      <c r="L44" s="9"/>
      <c r="M44" s="10" t="s">
        <v>85</v>
      </c>
      <c r="N44" s="11"/>
    </row>
    <row r="45" spans="1:14" ht="25.5" x14ac:dyDescent="0.2">
      <c r="A45" s="9">
        <v>44</v>
      </c>
      <c r="B45" s="9">
        <v>4199082</v>
      </c>
      <c r="C45" s="9"/>
      <c r="D45" s="9" t="s">
        <v>86</v>
      </c>
      <c r="E45" s="9" t="s">
        <v>25</v>
      </c>
      <c r="F45" s="7" t="s">
        <v>16</v>
      </c>
      <c r="G45" s="17">
        <v>45239</v>
      </c>
      <c r="H45" s="19" t="s">
        <v>87</v>
      </c>
      <c r="I45" s="14">
        <v>45269</v>
      </c>
      <c r="J45" s="7"/>
      <c r="K45" s="7"/>
      <c r="L45" s="9"/>
      <c r="M45" s="15" t="s">
        <v>88</v>
      </c>
      <c r="N45" s="20" t="s">
        <v>89</v>
      </c>
    </row>
    <row r="46" spans="1:14" x14ac:dyDescent="0.2">
      <c r="A46" s="7">
        <v>45</v>
      </c>
      <c r="B46" s="7">
        <v>4200717</v>
      </c>
      <c r="C46" s="7"/>
      <c r="D46" s="7" t="s">
        <v>14</v>
      </c>
      <c r="E46" s="7" t="s">
        <v>28</v>
      </c>
      <c r="F46" s="7" t="s">
        <v>16</v>
      </c>
      <c r="G46" s="21" t="s">
        <v>90</v>
      </c>
      <c r="H46" s="21" t="s">
        <v>91</v>
      </c>
      <c r="I46" s="21" t="s">
        <v>91</v>
      </c>
      <c r="J46" s="7"/>
      <c r="K46" s="7"/>
      <c r="L46" s="9"/>
      <c r="M46" s="10" t="s">
        <v>92</v>
      </c>
      <c r="N46" s="11"/>
    </row>
    <row r="47" spans="1:14" x14ac:dyDescent="0.2">
      <c r="A47" s="9">
        <v>46</v>
      </c>
      <c r="B47" s="9">
        <v>4201635</v>
      </c>
      <c r="C47" s="9"/>
      <c r="D47" s="9" t="s">
        <v>78</v>
      </c>
      <c r="E47" s="9" t="s">
        <v>44</v>
      </c>
      <c r="F47" s="9" t="s">
        <v>16</v>
      </c>
      <c r="G47" s="22" t="s">
        <v>93</v>
      </c>
      <c r="H47" s="19" t="s">
        <v>94</v>
      </c>
      <c r="I47" s="19" t="s">
        <v>94</v>
      </c>
      <c r="J47" s="7"/>
      <c r="K47" s="7"/>
      <c r="L47" s="9"/>
      <c r="M47" s="15" t="s">
        <v>95</v>
      </c>
      <c r="N47" s="11"/>
    </row>
    <row r="48" spans="1:14" x14ac:dyDescent="0.2">
      <c r="A48" s="7">
        <v>47</v>
      </c>
      <c r="B48" s="7">
        <v>4200717</v>
      </c>
      <c r="C48" s="7"/>
      <c r="D48" s="7" t="s">
        <v>14</v>
      </c>
      <c r="E48" s="7" t="s">
        <v>28</v>
      </c>
      <c r="F48" s="9" t="s">
        <v>16</v>
      </c>
      <c r="G48" s="8">
        <v>45087</v>
      </c>
      <c r="H48" s="8">
        <v>45179</v>
      </c>
      <c r="I48" s="8">
        <v>45240</v>
      </c>
      <c r="J48" s="7"/>
      <c r="K48" s="7"/>
      <c r="L48" s="9"/>
      <c r="M48" s="10" t="s">
        <v>96</v>
      </c>
      <c r="N48" s="11"/>
    </row>
    <row r="49" spans="1:14" x14ac:dyDescent="0.2">
      <c r="A49" s="7">
        <v>48</v>
      </c>
      <c r="B49" s="7" t="s">
        <v>97</v>
      </c>
      <c r="C49" s="7"/>
      <c r="D49" s="7" t="s">
        <v>98</v>
      </c>
      <c r="E49" s="7" t="s">
        <v>42</v>
      </c>
      <c r="F49" s="9" t="s">
        <v>16</v>
      </c>
      <c r="G49" s="8">
        <v>45209</v>
      </c>
      <c r="H49" s="21" t="s">
        <v>99</v>
      </c>
      <c r="I49" s="8">
        <v>45240</v>
      </c>
      <c r="J49" s="7"/>
      <c r="K49" s="7"/>
      <c r="L49" s="9"/>
      <c r="M49" s="23" t="s">
        <v>100</v>
      </c>
      <c r="N49" s="11"/>
    </row>
    <row r="50" spans="1:14" x14ac:dyDescent="0.2">
      <c r="A50" s="7">
        <v>49</v>
      </c>
      <c r="B50" s="7" t="s">
        <v>101</v>
      </c>
      <c r="C50" s="7"/>
      <c r="D50" s="7" t="s">
        <v>74</v>
      </c>
      <c r="E50" s="7" t="s">
        <v>25</v>
      </c>
      <c r="F50" s="9" t="s">
        <v>16</v>
      </c>
      <c r="G50" s="8">
        <v>45270</v>
      </c>
      <c r="H50" s="21" t="s">
        <v>102</v>
      </c>
      <c r="I50" s="21" t="s">
        <v>103</v>
      </c>
      <c r="J50" s="7"/>
      <c r="K50" s="7"/>
      <c r="L50" s="9"/>
      <c r="M50" s="10" t="s">
        <v>104</v>
      </c>
      <c r="N50" s="11"/>
    </row>
    <row r="51" spans="1:14" x14ac:dyDescent="0.2">
      <c r="A51" s="7">
        <v>50</v>
      </c>
      <c r="B51" s="7" t="s">
        <v>105</v>
      </c>
      <c r="C51" s="7"/>
      <c r="D51" s="7" t="s">
        <v>106</v>
      </c>
      <c r="E51" s="7" t="s">
        <v>25</v>
      </c>
      <c r="F51" s="9" t="s">
        <v>16</v>
      </c>
      <c r="G51" s="21" t="s">
        <v>107</v>
      </c>
      <c r="H51" s="21" t="s">
        <v>108</v>
      </c>
      <c r="I51" s="21" t="s">
        <v>107</v>
      </c>
      <c r="J51" s="7"/>
      <c r="K51" s="7"/>
      <c r="L51" s="9"/>
      <c r="M51" s="10" t="s">
        <v>109</v>
      </c>
      <c r="N51" s="11"/>
    </row>
    <row r="52" spans="1:14" x14ac:dyDescent="0.2">
      <c r="A52" s="7">
        <v>51</v>
      </c>
      <c r="B52" s="7" t="s">
        <v>110</v>
      </c>
      <c r="C52" s="7"/>
      <c r="D52" s="7" t="s">
        <v>111</v>
      </c>
      <c r="E52" s="7" t="s">
        <v>28</v>
      </c>
      <c r="F52" s="9" t="s">
        <v>16</v>
      </c>
      <c r="G52" s="21" t="s">
        <v>112</v>
      </c>
      <c r="H52" s="21" t="s">
        <v>113</v>
      </c>
      <c r="I52" s="21" t="s">
        <v>108</v>
      </c>
      <c r="J52" s="7"/>
      <c r="K52" s="7"/>
      <c r="L52" s="9"/>
      <c r="M52" s="10" t="s">
        <v>114</v>
      </c>
      <c r="N52" s="11"/>
    </row>
    <row r="53" spans="1:14" x14ac:dyDescent="0.2">
      <c r="A53" s="7">
        <v>52</v>
      </c>
      <c r="B53" s="7" t="s">
        <v>115</v>
      </c>
      <c r="C53" s="7"/>
      <c r="D53" s="7" t="s">
        <v>116</v>
      </c>
      <c r="E53" s="7" t="s">
        <v>25</v>
      </c>
      <c r="F53" s="9" t="s">
        <v>16</v>
      </c>
      <c r="G53" s="21" t="s">
        <v>113</v>
      </c>
      <c r="H53" s="21" t="s">
        <v>117</v>
      </c>
      <c r="I53" s="21" t="s">
        <v>113</v>
      </c>
      <c r="J53" s="7"/>
      <c r="K53" s="7"/>
      <c r="L53" s="9"/>
      <c r="M53" s="10" t="s">
        <v>118</v>
      </c>
      <c r="N53" s="11"/>
    </row>
    <row r="54" spans="1:14" x14ac:dyDescent="0.2">
      <c r="A54" s="7">
        <v>53</v>
      </c>
      <c r="B54" s="7" t="s">
        <v>119</v>
      </c>
      <c r="C54" s="7"/>
      <c r="D54" s="7" t="s">
        <v>76</v>
      </c>
      <c r="E54" s="7" t="s">
        <v>44</v>
      </c>
      <c r="F54" s="9" t="s">
        <v>16</v>
      </c>
      <c r="G54" s="21" t="s">
        <v>120</v>
      </c>
      <c r="H54" s="21" t="s">
        <v>120</v>
      </c>
      <c r="I54" s="21" t="s">
        <v>120</v>
      </c>
      <c r="J54" s="7"/>
      <c r="K54" s="7"/>
      <c r="L54" s="9"/>
      <c r="M54" s="10" t="s">
        <v>121</v>
      </c>
      <c r="N54" s="11"/>
    </row>
    <row r="55" spans="1:14" x14ac:dyDescent="0.2">
      <c r="A55" s="7">
        <v>54</v>
      </c>
      <c r="B55" s="7" t="s">
        <v>122</v>
      </c>
      <c r="C55" s="7"/>
      <c r="D55" s="7" t="s">
        <v>123</v>
      </c>
      <c r="E55" s="7" t="s">
        <v>44</v>
      </c>
      <c r="F55" s="9" t="s">
        <v>16</v>
      </c>
      <c r="G55" s="8">
        <v>44968</v>
      </c>
      <c r="H55" s="8">
        <v>45088</v>
      </c>
      <c r="I55" s="8">
        <v>45088</v>
      </c>
      <c r="J55" s="7"/>
      <c r="K55" s="7"/>
      <c r="L55" s="9"/>
      <c r="M55" s="10" t="s">
        <v>124</v>
      </c>
      <c r="N55" s="11"/>
    </row>
    <row r="56" spans="1:14" x14ac:dyDescent="0.2">
      <c r="A56" s="7">
        <v>56</v>
      </c>
      <c r="B56" s="7" t="s">
        <v>125</v>
      </c>
      <c r="C56" s="7"/>
      <c r="D56" s="7" t="s">
        <v>33</v>
      </c>
      <c r="E56" s="7" t="s">
        <v>126</v>
      </c>
      <c r="F56" s="9" t="s">
        <v>16</v>
      </c>
      <c r="G56" s="8">
        <v>45414</v>
      </c>
      <c r="H56" s="8">
        <v>45475</v>
      </c>
      <c r="I56" s="8">
        <v>45445</v>
      </c>
      <c r="J56" s="7"/>
      <c r="K56" s="7"/>
      <c r="L56" s="24">
        <v>44997</v>
      </c>
      <c r="M56" s="10" t="s">
        <v>127</v>
      </c>
      <c r="N56" s="11"/>
    </row>
    <row r="57" spans="1:14" x14ac:dyDescent="0.2">
      <c r="A57" s="7">
        <v>57</v>
      </c>
      <c r="B57" s="7" t="s">
        <v>128</v>
      </c>
      <c r="C57" s="7"/>
      <c r="D57" s="7" t="s">
        <v>129</v>
      </c>
      <c r="E57" s="7" t="s">
        <v>25</v>
      </c>
      <c r="F57" s="9" t="s">
        <v>16</v>
      </c>
      <c r="G57" s="8">
        <v>45088</v>
      </c>
      <c r="H57" s="8">
        <v>45149</v>
      </c>
      <c r="I57" s="8">
        <v>45149</v>
      </c>
      <c r="J57" s="7"/>
      <c r="K57" s="7"/>
      <c r="L57" s="9"/>
      <c r="M57" s="10" t="s">
        <v>130</v>
      </c>
      <c r="N57" s="11"/>
    </row>
    <row r="58" spans="1:14" x14ac:dyDescent="0.2">
      <c r="A58" s="7">
        <v>58</v>
      </c>
      <c r="B58" s="7" t="s">
        <v>131</v>
      </c>
      <c r="C58" s="7"/>
      <c r="D58" s="7" t="s">
        <v>132</v>
      </c>
      <c r="E58" s="7" t="s">
        <v>25</v>
      </c>
      <c r="F58" s="7" t="s">
        <v>16</v>
      </c>
      <c r="G58" s="8">
        <v>45118</v>
      </c>
      <c r="H58" s="8">
        <v>45180</v>
      </c>
      <c r="I58" s="8">
        <v>45149</v>
      </c>
      <c r="J58" s="7"/>
      <c r="K58" s="7"/>
      <c r="L58" s="9"/>
      <c r="M58" s="10" t="s">
        <v>133</v>
      </c>
      <c r="N58" s="11"/>
    </row>
    <row r="59" spans="1:14" x14ac:dyDescent="0.2">
      <c r="A59" s="7">
        <v>59</v>
      </c>
      <c r="B59" s="7" t="s">
        <v>134</v>
      </c>
      <c r="C59" s="7"/>
      <c r="D59" s="7" t="s">
        <v>135</v>
      </c>
      <c r="E59" s="7" t="s">
        <v>42</v>
      </c>
      <c r="F59" s="7" t="s">
        <v>16</v>
      </c>
      <c r="G59" s="8">
        <v>45240</v>
      </c>
      <c r="H59" s="21" t="s">
        <v>136</v>
      </c>
      <c r="I59" s="21" t="s">
        <v>137</v>
      </c>
      <c r="J59" s="7"/>
      <c r="K59" s="7">
        <v>5</v>
      </c>
      <c r="L59" s="9" t="s">
        <v>138</v>
      </c>
      <c r="M59" s="10" t="s">
        <v>139</v>
      </c>
      <c r="N59" s="11"/>
    </row>
    <row r="60" spans="1:14" x14ac:dyDescent="0.2">
      <c r="A60" s="7">
        <v>60</v>
      </c>
      <c r="B60" s="7" t="s">
        <v>140</v>
      </c>
      <c r="C60" s="7"/>
      <c r="D60" s="7" t="s">
        <v>106</v>
      </c>
      <c r="E60" s="7" t="s">
        <v>44</v>
      </c>
      <c r="F60" s="7" t="s">
        <v>16</v>
      </c>
      <c r="G60" s="8">
        <v>45210</v>
      </c>
      <c r="H60" s="21" t="s">
        <v>137</v>
      </c>
      <c r="I60" s="8">
        <v>45210</v>
      </c>
      <c r="J60" s="7">
        <v>1</v>
      </c>
      <c r="K60" s="7"/>
      <c r="L60" s="9" t="s">
        <v>141</v>
      </c>
      <c r="M60" s="10" t="s">
        <v>142</v>
      </c>
      <c r="N60" s="11"/>
    </row>
    <row r="61" spans="1:14" x14ac:dyDescent="0.2">
      <c r="A61" s="7">
        <v>61</v>
      </c>
      <c r="B61" s="7" t="s">
        <v>143</v>
      </c>
      <c r="C61" s="7"/>
      <c r="D61" s="7" t="s">
        <v>129</v>
      </c>
      <c r="E61" s="7" t="s">
        <v>25</v>
      </c>
      <c r="F61" s="7" t="s">
        <v>16</v>
      </c>
      <c r="G61" s="21" t="s">
        <v>144</v>
      </c>
      <c r="H61" s="21" t="s">
        <v>145</v>
      </c>
      <c r="I61" s="21" t="s">
        <v>146</v>
      </c>
      <c r="J61" s="7"/>
      <c r="K61" s="7"/>
      <c r="L61" s="9"/>
      <c r="M61" s="10" t="s">
        <v>147</v>
      </c>
      <c r="N61" s="11"/>
    </row>
    <row r="62" spans="1:14" x14ac:dyDescent="0.2">
      <c r="A62" s="7">
        <v>62</v>
      </c>
      <c r="B62" s="7" t="s">
        <v>148</v>
      </c>
      <c r="C62" s="7"/>
      <c r="D62" s="7" t="s">
        <v>149</v>
      </c>
      <c r="E62" s="7" t="s">
        <v>44</v>
      </c>
      <c r="F62" s="7" t="s">
        <v>16</v>
      </c>
      <c r="G62" s="21" t="s">
        <v>144</v>
      </c>
      <c r="H62" s="21" t="s">
        <v>145</v>
      </c>
      <c r="I62" s="21" t="s">
        <v>146</v>
      </c>
      <c r="J62" s="7"/>
      <c r="K62" s="7"/>
      <c r="L62" s="9"/>
      <c r="M62" s="10" t="s">
        <v>150</v>
      </c>
      <c r="N62" s="11"/>
    </row>
    <row r="63" spans="1:14" x14ac:dyDescent="0.2">
      <c r="A63" s="7">
        <v>63</v>
      </c>
      <c r="B63" s="7" t="s">
        <v>151</v>
      </c>
      <c r="C63" s="7"/>
      <c r="D63" s="7" t="s">
        <v>152</v>
      </c>
      <c r="E63" s="7" t="s">
        <v>42</v>
      </c>
      <c r="F63" s="7" t="s">
        <v>16</v>
      </c>
      <c r="G63" s="21" t="s">
        <v>144</v>
      </c>
      <c r="H63" s="21" t="s">
        <v>145</v>
      </c>
      <c r="I63" s="21" t="s">
        <v>146</v>
      </c>
      <c r="J63" s="7"/>
      <c r="K63" s="7"/>
      <c r="L63" s="9"/>
      <c r="M63" s="10" t="s">
        <v>153</v>
      </c>
      <c r="N63" s="11"/>
    </row>
    <row r="64" spans="1:14" x14ac:dyDescent="0.2">
      <c r="A64" s="7">
        <v>64</v>
      </c>
      <c r="B64" s="7" t="s">
        <v>154</v>
      </c>
      <c r="C64" s="7"/>
      <c r="D64" s="7" t="s">
        <v>78</v>
      </c>
      <c r="E64" s="7" t="s">
        <v>42</v>
      </c>
      <c r="F64" s="7" t="s">
        <v>16</v>
      </c>
      <c r="G64" s="21" t="s">
        <v>155</v>
      </c>
      <c r="H64" s="21" t="s">
        <v>156</v>
      </c>
      <c r="I64" s="21" t="s">
        <v>157</v>
      </c>
      <c r="J64" s="7"/>
      <c r="K64" s="7"/>
      <c r="L64" s="9"/>
      <c r="M64" s="10" t="s">
        <v>158</v>
      </c>
      <c r="N64" s="11"/>
    </row>
    <row r="65" spans="1:14" x14ac:dyDescent="0.2">
      <c r="A65" s="7">
        <v>65</v>
      </c>
      <c r="B65" s="7" t="s">
        <v>159</v>
      </c>
      <c r="C65" s="7"/>
      <c r="D65" s="7" t="s">
        <v>160</v>
      </c>
      <c r="E65" s="7" t="s">
        <v>44</v>
      </c>
      <c r="F65" s="7" t="s">
        <v>16</v>
      </c>
      <c r="G65" s="21" t="s">
        <v>155</v>
      </c>
      <c r="H65" s="21" t="s">
        <v>156</v>
      </c>
      <c r="I65" s="21" t="s">
        <v>156</v>
      </c>
      <c r="J65" s="7"/>
      <c r="K65" s="7"/>
      <c r="L65" s="24">
        <v>45089</v>
      </c>
      <c r="M65" s="10" t="s">
        <v>161</v>
      </c>
      <c r="N65" s="11"/>
    </row>
    <row r="66" spans="1:14" x14ac:dyDescent="0.2">
      <c r="A66" s="9">
        <v>66</v>
      </c>
      <c r="B66" s="7" t="s">
        <v>162</v>
      </c>
      <c r="C66" s="7"/>
      <c r="D66" s="9" t="s">
        <v>163</v>
      </c>
      <c r="E66" s="9" t="s">
        <v>44</v>
      </c>
      <c r="F66" s="7" t="s">
        <v>16</v>
      </c>
      <c r="G66" s="19" t="s">
        <v>164</v>
      </c>
      <c r="H66" s="14">
        <v>44938</v>
      </c>
      <c r="I66" s="14">
        <v>44938</v>
      </c>
      <c r="J66" s="7"/>
      <c r="K66" s="7"/>
      <c r="L66" s="24">
        <v>45272</v>
      </c>
      <c r="M66" s="15" t="s">
        <v>165</v>
      </c>
      <c r="N66" s="11" t="s">
        <v>166</v>
      </c>
    </row>
    <row r="67" spans="1:14" x14ac:dyDescent="0.2">
      <c r="A67" s="9">
        <v>67</v>
      </c>
      <c r="B67" s="7" t="s">
        <v>167</v>
      </c>
      <c r="C67" s="7"/>
      <c r="D67" s="9" t="s">
        <v>168</v>
      </c>
      <c r="E67" s="9" t="s">
        <v>44</v>
      </c>
      <c r="F67" s="7" t="s">
        <v>16</v>
      </c>
      <c r="G67" s="14">
        <v>44938</v>
      </c>
      <c r="H67" s="14">
        <v>45058</v>
      </c>
      <c r="I67" s="14">
        <v>45058</v>
      </c>
      <c r="J67" s="7"/>
      <c r="K67" s="7"/>
      <c r="L67" s="9"/>
      <c r="M67" s="15" t="s">
        <v>169</v>
      </c>
      <c r="N67" s="11"/>
    </row>
    <row r="68" spans="1:14" x14ac:dyDescent="0.2">
      <c r="A68" s="9">
        <v>68</v>
      </c>
      <c r="B68" s="7" t="s">
        <v>170</v>
      </c>
      <c r="C68" s="7"/>
      <c r="D68" s="9" t="s">
        <v>78</v>
      </c>
      <c r="E68" s="9" t="s">
        <v>42</v>
      </c>
      <c r="F68" s="7" t="s">
        <v>16</v>
      </c>
      <c r="G68" s="14">
        <v>44938</v>
      </c>
      <c r="H68" s="14">
        <v>45058</v>
      </c>
      <c r="I68" s="19"/>
      <c r="J68" s="7" t="s">
        <v>171</v>
      </c>
      <c r="K68" s="7"/>
      <c r="L68" s="24">
        <v>45089</v>
      </c>
      <c r="M68" s="15" t="s">
        <v>172</v>
      </c>
      <c r="N68" s="11"/>
    </row>
    <row r="69" spans="1:14" x14ac:dyDescent="0.2">
      <c r="A69" s="9">
        <v>69</v>
      </c>
      <c r="B69" s="7" t="s">
        <v>173</v>
      </c>
      <c r="C69" s="7"/>
      <c r="D69" s="9" t="s">
        <v>174</v>
      </c>
      <c r="E69" s="9" t="s">
        <v>44</v>
      </c>
      <c r="F69" s="7" t="s">
        <v>16</v>
      </c>
      <c r="G69" s="24">
        <v>45119</v>
      </c>
      <c r="H69" s="24">
        <v>45242</v>
      </c>
      <c r="I69" s="24">
        <v>45119</v>
      </c>
      <c r="J69" s="7"/>
      <c r="K69" s="7"/>
      <c r="L69" s="24">
        <v>45119</v>
      </c>
      <c r="M69" s="15" t="s">
        <v>175</v>
      </c>
      <c r="N69" s="11" t="s">
        <v>176</v>
      </c>
    </row>
    <row r="70" spans="1:14" x14ac:dyDescent="0.2">
      <c r="A70" s="9">
        <v>70</v>
      </c>
      <c r="B70" s="7" t="s">
        <v>177</v>
      </c>
      <c r="C70" s="7"/>
      <c r="D70" s="9" t="s">
        <v>54</v>
      </c>
      <c r="E70" s="9" t="s">
        <v>42</v>
      </c>
      <c r="F70" s="7" t="s">
        <v>16</v>
      </c>
      <c r="G70" s="24">
        <v>45272</v>
      </c>
      <c r="H70" s="9" t="s">
        <v>178</v>
      </c>
      <c r="I70" s="7"/>
      <c r="J70" s="7"/>
      <c r="K70" s="7"/>
      <c r="L70" s="24">
        <v>45272</v>
      </c>
      <c r="M70" s="15" t="s">
        <v>179</v>
      </c>
      <c r="N70" s="11" t="s">
        <v>180</v>
      </c>
    </row>
    <row r="71" spans="1:14" x14ac:dyDescent="0.2">
      <c r="A71" s="9">
        <v>71</v>
      </c>
      <c r="B71" s="7" t="s">
        <v>181</v>
      </c>
      <c r="C71" s="7" t="s">
        <v>182</v>
      </c>
      <c r="D71" s="9" t="s">
        <v>14</v>
      </c>
      <c r="E71" s="9" t="s">
        <v>44</v>
      </c>
      <c r="F71" s="7" t="s">
        <v>16</v>
      </c>
      <c r="G71" s="24">
        <v>45352</v>
      </c>
      <c r="H71" s="24">
        <v>45444</v>
      </c>
      <c r="I71" s="25">
        <v>45383</v>
      </c>
      <c r="J71" s="7"/>
      <c r="K71" s="7"/>
      <c r="L71" s="9" t="s">
        <v>183</v>
      </c>
      <c r="M71" s="15" t="s">
        <v>184</v>
      </c>
      <c r="N71" s="11"/>
    </row>
    <row r="72" spans="1:14" x14ac:dyDescent="0.2">
      <c r="A72" s="9">
        <v>72</v>
      </c>
      <c r="B72" s="7" t="s">
        <v>185</v>
      </c>
      <c r="C72" s="7" t="s">
        <v>182</v>
      </c>
      <c r="D72" s="9" t="s">
        <v>14</v>
      </c>
      <c r="E72" s="9" t="s">
        <v>44</v>
      </c>
      <c r="F72" s="7" t="s">
        <v>16</v>
      </c>
      <c r="G72" s="24">
        <v>45272</v>
      </c>
      <c r="H72" s="9" t="s">
        <v>178</v>
      </c>
      <c r="I72" s="9" t="s">
        <v>178</v>
      </c>
      <c r="J72" s="7"/>
      <c r="K72" s="7">
        <v>3</v>
      </c>
      <c r="L72" s="9" t="s">
        <v>178</v>
      </c>
      <c r="M72" s="15" t="s">
        <v>186</v>
      </c>
      <c r="N72" s="11"/>
    </row>
    <row r="73" spans="1:14" x14ac:dyDescent="0.2">
      <c r="A73" s="9">
        <v>73</v>
      </c>
      <c r="B73" s="7" t="s">
        <v>187</v>
      </c>
      <c r="C73" s="7" t="s">
        <v>188</v>
      </c>
      <c r="D73" s="9" t="s">
        <v>189</v>
      </c>
      <c r="E73" s="9" t="s">
        <v>44</v>
      </c>
      <c r="F73" s="7" t="s">
        <v>16</v>
      </c>
      <c r="G73" s="9" t="s">
        <v>190</v>
      </c>
      <c r="H73" s="9" t="s">
        <v>191</v>
      </c>
      <c r="I73" s="7" t="s">
        <v>191</v>
      </c>
      <c r="J73" s="7"/>
      <c r="K73" s="7"/>
      <c r="L73" s="9"/>
      <c r="M73" s="15" t="s">
        <v>192</v>
      </c>
      <c r="N73" s="11"/>
    </row>
    <row r="74" spans="1:14" x14ac:dyDescent="0.2">
      <c r="A74" s="9">
        <v>74</v>
      </c>
      <c r="B74" s="7" t="s">
        <v>193</v>
      </c>
      <c r="C74" s="7" t="s">
        <v>188</v>
      </c>
      <c r="D74" s="9" t="s">
        <v>76</v>
      </c>
      <c r="E74" s="9" t="s">
        <v>42</v>
      </c>
      <c r="F74" s="7" t="s">
        <v>16</v>
      </c>
      <c r="G74" s="9" t="s">
        <v>191</v>
      </c>
      <c r="H74" s="9" t="s">
        <v>194</v>
      </c>
      <c r="I74" s="7" t="s">
        <v>195</v>
      </c>
      <c r="J74" s="7"/>
      <c r="K74" s="7"/>
      <c r="L74" s="9" t="s">
        <v>194</v>
      </c>
      <c r="M74" s="15" t="s">
        <v>196</v>
      </c>
      <c r="N74" s="11"/>
    </row>
    <row r="75" spans="1:14" x14ac:dyDescent="0.2">
      <c r="A75" s="7">
        <v>75</v>
      </c>
      <c r="B75" s="7" t="s">
        <v>197</v>
      </c>
      <c r="C75" s="7" t="s">
        <v>188</v>
      </c>
      <c r="D75" s="7" t="s">
        <v>76</v>
      </c>
      <c r="E75" s="7" t="s">
        <v>198</v>
      </c>
      <c r="F75" s="7" t="s">
        <v>16</v>
      </c>
      <c r="G75" s="7" t="s">
        <v>195</v>
      </c>
      <c r="H75" s="7" t="s">
        <v>199</v>
      </c>
      <c r="I75" s="7" t="s">
        <v>194</v>
      </c>
      <c r="J75" s="7"/>
      <c r="K75" s="7"/>
      <c r="L75" s="9" t="s">
        <v>200</v>
      </c>
      <c r="M75" s="10" t="s">
        <v>201</v>
      </c>
      <c r="N75" s="11"/>
    </row>
    <row r="76" spans="1:14" x14ac:dyDescent="0.2">
      <c r="A76" s="7">
        <v>76</v>
      </c>
      <c r="B76" s="7" t="s">
        <v>202</v>
      </c>
      <c r="C76" s="7" t="s">
        <v>203</v>
      </c>
      <c r="D76" s="7" t="s">
        <v>204</v>
      </c>
      <c r="E76" s="7" t="s">
        <v>44</v>
      </c>
      <c r="F76" s="7" t="s">
        <v>16</v>
      </c>
      <c r="G76" s="7" t="s">
        <v>205</v>
      </c>
      <c r="H76" s="7" t="s">
        <v>138</v>
      </c>
      <c r="I76" s="7" t="s">
        <v>206</v>
      </c>
      <c r="J76" s="7"/>
      <c r="K76" s="7"/>
      <c r="L76" s="26">
        <v>45536</v>
      </c>
      <c r="M76" s="10" t="s">
        <v>207</v>
      </c>
      <c r="N76" s="11"/>
    </row>
    <row r="77" spans="1:14" x14ac:dyDescent="0.2">
      <c r="A77" s="7">
        <v>77</v>
      </c>
      <c r="B77" s="7" t="s">
        <v>208</v>
      </c>
      <c r="C77" s="7" t="s">
        <v>203</v>
      </c>
      <c r="D77" s="7" t="s">
        <v>160</v>
      </c>
      <c r="E77" s="7" t="s">
        <v>44</v>
      </c>
      <c r="F77" s="7" t="s">
        <v>16</v>
      </c>
      <c r="G77" s="7" t="s">
        <v>205</v>
      </c>
      <c r="H77" s="7" t="s">
        <v>138</v>
      </c>
      <c r="I77" s="7" t="s">
        <v>138</v>
      </c>
      <c r="J77" s="7"/>
      <c r="K77" s="7"/>
      <c r="L77" s="24">
        <v>45352</v>
      </c>
      <c r="M77" s="10" t="s">
        <v>209</v>
      </c>
      <c r="N77" s="11"/>
    </row>
    <row r="78" spans="1:14" x14ac:dyDescent="0.2">
      <c r="A78" s="7">
        <v>78</v>
      </c>
      <c r="B78" s="7" t="s">
        <v>210</v>
      </c>
      <c r="C78" s="7" t="s">
        <v>203</v>
      </c>
      <c r="D78" s="7" t="s">
        <v>160</v>
      </c>
      <c r="E78" s="7" t="s">
        <v>25</v>
      </c>
      <c r="F78" s="7" t="s">
        <v>16</v>
      </c>
      <c r="G78" s="25">
        <v>45323</v>
      </c>
      <c r="H78" s="25">
        <v>45413</v>
      </c>
      <c r="I78" s="25">
        <v>45413</v>
      </c>
      <c r="J78" s="7"/>
      <c r="K78" s="7"/>
      <c r="L78" s="24">
        <v>45413</v>
      </c>
      <c r="M78" s="10" t="s">
        <v>211</v>
      </c>
      <c r="N78" s="11"/>
    </row>
    <row r="79" spans="1:14" x14ac:dyDescent="0.2">
      <c r="A79" s="7">
        <v>79</v>
      </c>
      <c r="B79" s="7" t="s">
        <v>212</v>
      </c>
      <c r="C79" s="7" t="s">
        <v>188</v>
      </c>
      <c r="D79" s="7" t="s">
        <v>213</v>
      </c>
      <c r="E79" s="7" t="s">
        <v>214</v>
      </c>
      <c r="F79" s="7" t="s">
        <v>16</v>
      </c>
      <c r="G79" s="25">
        <v>45323</v>
      </c>
      <c r="H79" s="25">
        <v>45413</v>
      </c>
      <c r="I79" s="25">
        <v>45413</v>
      </c>
      <c r="J79" s="7"/>
      <c r="K79" s="7"/>
      <c r="L79" s="24">
        <v>45413</v>
      </c>
      <c r="M79" s="10" t="s">
        <v>215</v>
      </c>
      <c r="N79" s="11"/>
    </row>
    <row r="80" spans="1:14" x14ac:dyDescent="0.2">
      <c r="A80" s="7">
        <v>80</v>
      </c>
      <c r="B80" s="7" t="s">
        <v>216</v>
      </c>
      <c r="C80" s="7" t="s">
        <v>188</v>
      </c>
      <c r="D80" s="7" t="s">
        <v>54</v>
      </c>
      <c r="E80" s="7" t="s">
        <v>44</v>
      </c>
      <c r="F80" s="7" t="s">
        <v>16</v>
      </c>
      <c r="G80" s="25">
        <v>45323</v>
      </c>
      <c r="H80" s="25">
        <v>45413</v>
      </c>
      <c r="I80" s="25">
        <v>45323</v>
      </c>
      <c r="J80" s="7"/>
      <c r="K80" s="7"/>
      <c r="L80" s="24">
        <v>45413</v>
      </c>
      <c r="M80" s="10" t="s">
        <v>217</v>
      </c>
      <c r="N80" s="11"/>
    </row>
    <row r="81" spans="1:14" x14ac:dyDescent="0.2">
      <c r="A81" s="7">
        <v>81</v>
      </c>
      <c r="B81" s="7" t="s">
        <v>218</v>
      </c>
      <c r="C81" s="7" t="s">
        <v>188</v>
      </c>
      <c r="D81" s="7" t="s">
        <v>219</v>
      </c>
      <c r="E81" s="7" t="s">
        <v>44</v>
      </c>
      <c r="F81" s="7" t="s">
        <v>16</v>
      </c>
      <c r="G81" s="25">
        <v>45352</v>
      </c>
      <c r="H81" s="25">
        <v>45413</v>
      </c>
      <c r="I81" s="25">
        <v>45352</v>
      </c>
      <c r="J81" s="7"/>
      <c r="K81" s="7"/>
      <c r="L81" s="24">
        <v>45352</v>
      </c>
      <c r="M81" s="10" t="s">
        <v>220</v>
      </c>
      <c r="N81" s="11"/>
    </row>
    <row r="82" spans="1:14" x14ac:dyDescent="0.2">
      <c r="A82" s="7">
        <v>82</v>
      </c>
      <c r="B82" s="7" t="s">
        <v>221</v>
      </c>
      <c r="C82" s="7" t="s">
        <v>188</v>
      </c>
      <c r="D82" s="7" t="s">
        <v>152</v>
      </c>
      <c r="E82" s="7" t="s">
        <v>44</v>
      </c>
      <c r="F82" s="7" t="s">
        <v>16</v>
      </c>
      <c r="G82" s="25">
        <v>45383</v>
      </c>
      <c r="H82" s="25">
        <v>45505</v>
      </c>
      <c r="I82" s="25">
        <v>45413</v>
      </c>
      <c r="J82" s="7"/>
      <c r="K82" s="7"/>
      <c r="L82" s="3" t="s">
        <v>183</v>
      </c>
      <c r="M82" s="10" t="s">
        <v>222</v>
      </c>
      <c r="N82" s="11"/>
    </row>
    <row r="83" spans="1:14" x14ac:dyDescent="0.2">
      <c r="A83" s="7">
        <v>83</v>
      </c>
      <c r="B83" s="7" t="s">
        <v>223</v>
      </c>
      <c r="C83" s="7" t="s">
        <v>188</v>
      </c>
      <c r="D83" s="7" t="s">
        <v>224</v>
      </c>
      <c r="E83" s="7" t="s">
        <v>214</v>
      </c>
      <c r="F83" s="7" t="s">
        <v>16</v>
      </c>
      <c r="G83" s="25">
        <v>45505</v>
      </c>
      <c r="H83" s="25">
        <v>45597</v>
      </c>
      <c r="I83" s="25">
        <v>45536</v>
      </c>
      <c r="J83" s="7"/>
      <c r="K83" s="7"/>
      <c r="L83" s="24">
        <v>45294</v>
      </c>
      <c r="M83" s="10" t="s">
        <v>225</v>
      </c>
      <c r="N83" s="11"/>
    </row>
    <row r="84" spans="1:14" x14ac:dyDescent="0.2">
      <c r="A84" s="7">
        <v>84</v>
      </c>
      <c r="B84" s="7" t="s">
        <v>226</v>
      </c>
      <c r="C84" s="7" t="s">
        <v>182</v>
      </c>
      <c r="D84" s="7" t="s">
        <v>227</v>
      </c>
      <c r="E84" s="7" t="s">
        <v>44</v>
      </c>
      <c r="F84" s="7" t="s">
        <v>16</v>
      </c>
      <c r="G84" s="25">
        <v>45597</v>
      </c>
      <c r="H84" s="7" t="s">
        <v>228</v>
      </c>
      <c r="I84" s="25">
        <v>45597</v>
      </c>
      <c r="J84" s="7"/>
      <c r="K84" s="7"/>
      <c r="L84" s="9"/>
      <c r="M84" s="10" t="s">
        <v>229</v>
      </c>
      <c r="N84" s="11"/>
    </row>
    <row r="85" spans="1:14" x14ac:dyDescent="0.2">
      <c r="A85" s="7">
        <v>85</v>
      </c>
      <c r="B85" s="7" t="s">
        <v>230</v>
      </c>
      <c r="C85" s="7" t="s">
        <v>188</v>
      </c>
      <c r="D85" s="7" t="s">
        <v>231</v>
      </c>
      <c r="E85" s="7" t="s">
        <v>44</v>
      </c>
      <c r="F85" s="7" t="s">
        <v>16</v>
      </c>
      <c r="G85" s="7" t="s">
        <v>232</v>
      </c>
      <c r="H85" s="25">
        <v>45324</v>
      </c>
      <c r="I85" s="25">
        <v>45323</v>
      </c>
      <c r="J85" s="7"/>
      <c r="K85" s="7"/>
      <c r="L85" s="9" t="s">
        <v>233</v>
      </c>
      <c r="M85" s="10" t="s">
        <v>234</v>
      </c>
      <c r="N85" s="11"/>
    </row>
    <row r="86" spans="1:14" x14ac:dyDescent="0.2">
      <c r="A86" s="7">
        <v>86</v>
      </c>
      <c r="B86" s="7" t="s">
        <v>235</v>
      </c>
      <c r="C86" s="7" t="s">
        <v>236</v>
      </c>
      <c r="D86" s="7" t="s">
        <v>237</v>
      </c>
      <c r="E86" s="7" t="s">
        <v>214</v>
      </c>
      <c r="F86" s="7" t="s">
        <v>16</v>
      </c>
      <c r="G86" s="7" t="s">
        <v>238</v>
      </c>
      <c r="H86" s="7" t="s">
        <v>239</v>
      </c>
      <c r="I86" s="7" t="s">
        <v>239</v>
      </c>
      <c r="J86" s="7"/>
      <c r="K86" s="7"/>
      <c r="L86" s="9"/>
      <c r="M86" s="10" t="s">
        <v>240</v>
      </c>
      <c r="N86" s="11"/>
    </row>
    <row r="87" spans="1:14" x14ac:dyDescent="0.2">
      <c r="A87" s="7">
        <v>87</v>
      </c>
      <c r="B87" s="7" t="s">
        <v>241</v>
      </c>
      <c r="C87" s="7" t="s">
        <v>242</v>
      </c>
      <c r="D87" s="7" t="s">
        <v>243</v>
      </c>
      <c r="E87" s="7" t="s">
        <v>44</v>
      </c>
      <c r="F87" s="7" t="s">
        <v>16</v>
      </c>
      <c r="G87" s="7" t="s">
        <v>239</v>
      </c>
      <c r="H87" s="7" t="s">
        <v>244</v>
      </c>
      <c r="I87" s="7" t="s">
        <v>244</v>
      </c>
      <c r="J87" s="7"/>
      <c r="K87" s="7">
        <v>3</v>
      </c>
      <c r="L87" s="3" t="s">
        <v>183</v>
      </c>
      <c r="M87" s="10" t="s">
        <v>245</v>
      </c>
      <c r="N87" s="11"/>
    </row>
    <row r="88" spans="1:14" x14ac:dyDescent="0.2">
      <c r="A88" s="7">
        <v>88</v>
      </c>
      <c r="B88" s="7" t="s">
        <v>246</v>
      </c>
      <c r="C88" s="7" t="s">
        <v>188</v>
      </c>
      <c r="D88" s="7" t="s">
        <v>76</v>
      </c>
      <c r="E88" s="7" t="s">
        <v>126</v>
      </c>
      <c r="F88" s="7" t="s">
        <v>16</v>
      </c>
      <c r="G88" s="7" t="s">
        <v>247</v>
      </c>
      <c r="H88" s="7" t="s">
        <v>248</v>
      </c>
      <c r="I88" s="7" t="s">
        <v>248</v>
      </c>
      <c r="J88" s="7"/>
      <c r="K88" s="7"/>
      <c r="L88" s="24">
        <v>45293</v>
      </c>
      <c r="M88" s="10" t="s">
        <v>249</v>
      </c>
      <c r="N88" s="11"/>
    </row>
    <row r="89" spans="1:14" x14ac:dyDescent="0.2">
      <c r="A89" s="7">
        <v>89</v>
      </c>
      <c r="B89" s="7" t="s">
        <v>250</v>
      </c>
      <c r="C89" s="7" t="s">
        <v>236</v>
      </c>
      <c r="D89" s="7" t="s">
        <v>149</v>
      </c>
      <c r="E89" s="7" t="s">
        <v>44</v>
      </c>
      <c r="F89" s="7" t="s">
        <v>16</v>
      </c>
      <c r="G89" s="7" t="s">
        <v>251</v>
      </c>
      <c r="H89" s="7" t="s">
        <v>252</v>
      </c>
      <c r="I89" s="7" t="s">
        <v>248</v>
      </c>
      <c r="J89" s="7"/>
      <c r="K89" s="7"/>
      <c r="L89" s="9"/>
      <c r="M89" s="10" t="s">
        <v>253</v>
      </c>
      <c r="N89" s="11"/>
    </row>
    <row r="90" spans="1:14" x14ac:dyDescent="0.2">
      <c r="A90" s="7">
        <v>90</v>
      </c>
      <c r="B90" s="7" t="s">
        <v>254</v>
      </c>
      <c r="C90" s="7" t="s">
        <v>236</v>
      </c>
      <c r="D90" s="7" t="s">
        <v>149</v>
      </c>
      <c r="E90" s="7" t="s">
        <v>126</v>
      </c>
      <c r="F90" s="7" t="s">
        <v>16</v>
      </c>
      <c r="G90" s="7" t="s">
        <v>251</v>
      </c>
      <c r="H90" s="7" t="s">
        <v>252</v>
      </c>
      <c r="I90" s="7" t="s">
        <v>248</v>
      </c>
      <c r="J90" s="7"/>
      <c r="K90" s="7"/>
      <c r="L90" s="9"/>
      <c r="M90" s="10" t="s">
        <v>255</v>
      </c>
      <c r="N90" s="11"/>
    </row>
    <row r="91" spans="1:14" x14ac:dyDescent="0.2">
      <c r="A91" s="7">
        <v>91</v>
      </c>
      <c r="B91" s="7" t="s">
        <v>256</v>
      </c>
      <c r="C91" s="7" t="s">
        <v>236</v>
      </c>
      <c r="D91" s="7" t="s">
        <v>149</v>
      </c>
      <c r="E91" s="7" t="s">
        <v>214</v>
      </c>
      <c r="F91" s="7" t="s">
        <v>16</v>
      </c>
      <c r="G91" s="7" t="s">
        <v>251</v>
      </c>
      <c r="H91" s="7" t="s">
        <v>252</v>
      </c>
      <c r="I91" s="7" t="s">
        <v>248</v>
      </c>
      <c r="J91" s="7"/>
      <c r="K91" s="7"/>
      <c r="L91" s="9"/>
      <c r="M91" s="15" t="s">
        <v>257</v>
      </c>
      <c r="N91" s="11"/>
    </row>
    <row r="92" spans="1:14" x14ac:dyDescent="0.2">
      <c r="A92" s="7">
        <v>93</v>
      </c>
      <c r="B92" s="7" t="s">
        <v>258</v>
      </c>
      <c r="C92" s="7" t="s">
        <v>188</v>
      </c>
      <c r="D92" s="7" t="s">
        <v>213</v>
      </c>
      <c r="E92" s="7" t="s">
        <v>214</v>
      </c>
      <c r="F92" s="7" t="s">
        <v>16</v>
      </c>
      <c r="G92" s="7" t="s">
        <v>252</v>
      </c>
      <c r="H92" s="25">
        <v>45324</v>
      </c>
      <c r="I92" s="7" t="s">
        <v>259</v>
      </c>
      <c r="J92" s="7"/>
      <c r="K92" s="7"/>
      <c r="L92" s="24">
        <v>45507</v>
      </c>
      <c r="M92" s="10" t="s">
        <v>260</v>
      </c>
      <c r="N92" s="11"/>
    </row>
    <row r="93" spans="1:14" x14ac:dyDescent="0.2">
      <c r="A93" s="7">
        <v>94</v>
      </c>
      <c r="B93" s="7" t="s">
        <v>261</v>
      </c>
      <c r="C93" s="7" t="s">
        <v>188</v>
      </c>
      <c r="D93" s="7" t="s">
        <v>262</v>
      </c>
      <c r="E93" s="7" t="s">
        <v>44</v>
      </c>
      <c r="F93" s="7" t="s">
        <v>16</v>
      </c>
      <c r="G93" s="25">
        <v>45445</v>
      </c>
      <c r="H93" s="7" t="s">
        <v>263</v>
      </c>
      <c r="I93" s="7" t="s">
        <v>263</v>
      </c>
      <c r="J93" s="7"/>
      <c r="K93" s="7"/>
      <c r="L93" s="24" t="s">
        <v>264</v>
      </c>
      <c r="M93" s="10" t="s">
        <v>265</v>
      </c>
      <c r="N93" s="11"/>
    </row>
    <row r="94" spans="1:14" x14ac:dyDescent="0.2">
      <c r="A94" s="7">
        <v>95</v>
      </c>
      <c r="B94" s="27" t="s">
        <v>266</v>
      </c>
      <c r="C94" s="7" t="s">
        <v>188</v>
      </c>
      <c r="D94" s="7" t="s">
        <v>213</v>
      </c>
      <c r="E94" s="7" t="s">
        <v>126</v>
      </c>
      <c r="F94" s="7" t="s">
        <v>16</v>
      </c>
      <c r="G94" s="2" t="s">
        <v>263</v>
      </c>
      <c r="H94" s="7" t="s">
        <v>267</v>
      </c>
      <c r="I94" s="7" t="s">
        <v>268</v>
      </c>
      <c r="J94" s="7"/>
      <c r="K94" s="7"/>
      <c r="L94" s="24">
        <v>45599</v>
      </c>
      <c r="M94" s="10" t="s">
        <v>269</v>
      </c>
      <c r="N94" s="11"/>
    </row>
    <row r="95" spans="1:14" x14ac:dyDescent="0.2">
      <c r="A95" s="7">
        <v>96</v>
      </c>
      <c r="B95" s="7" t="s">
        <v>270</v>
      </c>
      <c r="C95" s="7" t="s">
        <v>236</v>
      </c>
      <c r="D95" s="7" t="s">
        <v>271</v>
      </c>
      <c r="E95" s="7" t="s">
        <v>44</v>
      </c>
      <c r="F95" s="7" t="s">
        <v>16</v>
      </c>
      <c r="G95" s="7" t="s">
        <v>268</v>
      </c>
      <c r="H95" s="7" t="s">
        <v>233</v>
      </c>
      <c r="I95" s="7" t="s">
        <v>268</v>
      </c>
      <c r="J95" s="7"/>
      <c r="K95" s="7"/>
      <c r="L95" s="9"/>
      <c r="M95" s="10" t="s">
        <v>272</v>
      </c>
      <c r="N95" s="11"/>
    </row>
    <row r="96" spans="1:14" x14ac:dyDescent="0.2">
      <c r="A96" s="7">
        <v>97</v>
      </c>
      <c r="B96" s="7" t="s">
        <v>273</v>
      </c>
      <c r="C96" s="7" t="s">
        <v>236</v>
      </c>
      <c r="D96" s="7" t="s">
        <v>149</v>
      </c>
      <c r="E96" s="7" t="s">
        <v>44</v>
      </c>
      <c r="F96" s="7" t="s">
        <v>16</v>
      </c>
      <c r="G96" s="7" t="s">
        <v>233</v>
      </c>
      <c r="H96" s="7" t="s">
        <v>274</v>
      </c>
      <c r="I96" s="7" t="s">
        <v>275</v>
      </c>
      <c r="J96" s="7"/>
      <c r="K96" s="7"/>
      <c r="L96" s="9"/>
      <c r="M96" s="10" t="s">
        <v>276</v>
      </c>
      <c r="N96" s="11"/>
    </row>
    <row r="97" spans="1:14" x14ac:dyDescent="0.2">
      <c r="A97" s="7">
        <v>98</v>
      </c>
      <c r="B97" s="7" t="s">
        <v>277</v>
      </c>
      <c r="C97" s="7" t="s">
        <v>182</v>
      </c>
      <c r="D97" s="9" t="s">
        <v>14</v>
      </c>
      <c r="E97" s="9" t="s">
        <v>126</v>
      </c>
      <c r="F97" s="7" t="s">
        <v>16</v>
      </c>
      <c r="G97" s="24" t="s">
        <v>259</v>
      </c>
      <c r="H97" s="9" t="s">
        <v>275</v>
      </c>
      <c r="I97" s="9" t="s">
        <v>275</v>
      </c>
      <c r="J97" s="7"/>
      <c r="K97" s="7">
        <v>3</v>
      </c>
      <c r="L97" s="24">
        <v>45446</v>
      </c>
      <c r="M97" s="15" t="s">
        <v>278</v>
      </c>
      <c r="N97" s="11"/>
    </row>
    <row r="98" spans="1:14" x14ac:dyDescent="0.2">
      <c r="A98" s="7">
        <v>99</v>
      </c>
      <c r="B98" s="7" t="s">
        <v>279</v>
      </c>
      <c r="C98" s="7" t="s">
        <v>236</v>
      </c>
      <c r="D98" s="7" t="s">
        <v>271</v>
      </c>
      <c r="E98" s="7" t="s">
        <v>126</v>
      </c>
      <c r="F98" s="7" t="s">
        <v>16</v>
      </c>
      <c r="G98" s="25">
        <v>45385</v>
      </c>
      <c r="H98" s="25">
        <v>45446</v>
      </c>
      <c r="I98" s="25">
        <v>45446</v>
      </c>
      <c r="J98" s="7"/>
      <c r="K98" s="7"/>
      <c r="L98" s="9"/>
      <c r="M98" s="10" t="s">
        <v>280</v>
      </c>
      <c r="N98" s="11" t="s">
        <v>281</v>
      </c>
    </row>
    <row r="99" spans="1:14" x14ac:dyDescent="0.2">
      <c r="A99" s="7">
        <v>100</v>
      </c>
      <c r="B99" s="7" t="s">
        <v>282</v>
      </c>
      <c r="C99" s="7" t="s">
        <v>236</v>
      </c>
      <c r="D99" s="7" t="s">
        <v>283</v>
      </c>
      <c r="E99" s="7" t="s">
        <v>214</v>
      </c>
      <c r="F99" s="7" t="s">
        <v>16</v>
      </c>
      <c r="G99" s="25">
        <v>45385</v>
      </c>
      <c r="H99" s="25">
        <v>45446</v>
      </c>
      <c r="I99" s="25">
        <v>45385</v>
      </c>
      <c r="J99" s="7"/>
      <c r="K99" s="7"/>
      <c r="L99" s="9"/>
      <c r="M99" s="10" t="s">
        <v>284</v>
      </c>
      <c r="N99" s="11"/>
    </row>
    <row r="100" spans="1:14" x14ac:dyDescent="0.2">
      <c r="A100" s="7">
        <v>101</v>
      </c>
      <c r="B100" s="7" t="s">
        <v>285</v>
      </c>
      <c r="C100" s="7" t="s">
        <v>236</v>
      </c>
      <c r="D100" s="7" t="s">
        <v>286</v>
      </c>
      <c r="E100" s="7" t="s">
        <v>25</v>
      </c>
      <c r="F100" s="7" t="s">
        <v>16</v>
      </c>
      <c r="G100" s="25">
        <v>45415</v>
      </c>
      <c r="H100" s="25">
        <v>45476</v>
      </c>
      <c r="I100" s="25">
        <v>45476</v>
      </c>
      <c r="J100" s="7"/>
      <c r="K100" s="7"/>
      <c r="L100" s="9" t="s">
        <v>287</v>
      </c>
      <c r="M100" s="10" t="s">
        <v>288</v>
      </c>
      <c r="N100" s="11" t="s">
        <v>289</v>
      </c>
    </row>
    <row r="101" spans="1:14" x14ac:dyDescent="0.2">
      <c r="A101" s="7">
        <v>104</v>
      </c>
      <c r="B101" s="7" t="s">
        <v>290</v>
      </c>
      <c r="C101" s="7" t="s">
        <v>188</v>
      </c>
      <c r="D101" s="7" t="s">
        <v>76</v>
      </c>
      <c r="E101" s="7" t="s">
        <v>44</v>
      </c>
      <c r="F101" s="7" t="s">
        <v>16</v>
      </c>
      <c r="G101" s="25">
        <v>45476</v>
      </c>
      <c r="H101" s="25">
        <v>45629</v>
      </c>
      <c r="I101" s="7" t="s">
        <v>291</v>
      </c>
      <c r="J101" s="7"/>
      <c r="K101" s="7"/>
      <c r="L101" s="24" t="s">
        <v>292</v>
      </c>
      <c r="M101" s="10" t="s">
        <v>293</v>
      </c>
    </row>
    <row r="102" spans="1:14" x14ac:dyDescent="0.2">
      <c r="A102" s="7">
        <v>102</v>
      </c>
      <c r="B102" s="7" t="s">
        <v>294</v>
      </c>
      <c r="C102" s="7" t="s">
        <v>188</v>
      </c>
      <c r="D102" s="7" t="s">
        <v>295</v>
      </c>
      <c r="E102" s="7" t="s">
        <v>44</v>
      </c>
      <c r="F102" s="7" t="s">
        <v>16</v>
      </c>
      <c r="G102" s="25">
        <v>45507</v>
      </c>
      <c r="H102" s="25">
        <v>45629</v>
      </c>
      <c r="I102" s="25">
        <v>45507</v>
      </c>
      <c r="J102" s="7"/>
      <c r="K102" s="7"/>
      <c r="L102" s="9"/>
      <c r="M102" s="10" t="s">
        <v>296</v>
      </c>
      <c r="N102" s="11"/>
    </row>
    <row r="103" spans="1:14" x14ac:dyDescent="0.2">
      <c r="A103" s="7">
        <v>103</v>
      </c>
      <c r="B103" s="7" t="s">
        <v>297</v>
      </c>
      <c r="C103" s="7" t="s">
        <v>236</v>
      </c>
      <c r="D103" s="7" t="s">
        <v>298</v>
      </c>
      <c r="E103" s="7" t="s">
        <v>126</v>
      </c>
      <c r="F103" s="7" t="s">
        <v>16</v>
      </c>
      <c r="G103" s="25">
        <v>45507</v>
      </c>
      <c r="H103" s="25">
        <v>45629</v>
      </c>
      <c r="I103" s="25">
        <v>45599</v>
      </c>
      <c r="J103" s="7"/>
      <c r="K103" s="7"/>
      <c r="L103" s="9" t="s">
        <v>299</v>
      </c>
      <c r="M103" s="10" t="s">
        <v>300</v>
      </c>
      <c r="N103" s="11"/>
    </row>
    <row r="104" spans="1:14" x14ac:dyDescent="0.2">
      <c r="A104" s="7">
        <v>104</v>
      </c>
      <c r="B104" s="7" t="s">
        <v>301</v>
      </c>
      <c r="C104" s="7" t="s">
        <v>188</v>
      </c>
      <c r="D104" s="7" t="s">
        <v>302</v>
      </c>
      <c r="E104" s="7" t="s">
        <v>25</v>
      </c>
      <c r="F104" s="7" t="s">
        <v>16</v>
      </c>
      <c r="G104" s="25">
        <v>45629</v>
      </c>
      <c r="H104" s="7" t="s">
        <v>303</v>
      </c>
      <c r="I104" s="7" t="s">
        <v>264</v>
      </c>
      <c r="J104" s="7"/>
      <c r="K104" s="7">
        <v>2</v>
      </c>
      <c r="L104" s="9"/>
      <c r="M104" s="10" t="s">
        <v>304</v>
      </c>
      <c r="N104" s="11"/>
    </row>
    <row r="105" spans="1:14" x14ac:dyDescent="0.2">
      <c r="A105" s="7">
        <v>105</v>
      </c>
      <c r="B105" s="7" t="s">
        <v>305</v>
      </c>
      <c r="C105" s="7" t="s">
        <v>236</v>
      </c>
      <c r="D105" s="7" t="s">
        <v>271</v>
      </c>
      <c r="E105" s="7" t="s">
        <v>126</v>
      </c>
      <c r="F105" s="7" t="s">
        <v>16</v>
      </c>
      <c r="G105" s="7" t="s">
        <v>303</v>
      </c>
      <c r="H105" s="7" t="s">
        <v>306</v>
      </c>
      <c r="I105" s="7" t="s">
        <v>264</v>
      </c>
      <c r="J105" s="7"/>
      <c r="K105" s="7"/>
      <c r="L105" s="9"/>
      <c r="M105" s="4" t="s">
        <v>307</v>
      </c>
      <c r="N105" s="11"/>
    </row>
    <row r="106" spans="1:14" x14ac:dyDescent="0.2">
      <c r="A106" s="7">
        <v>106</v>
      </c>
      <c r="B106" s="7" t="s">
        <v>308</v>
      </c>
      <c r="C106" s="7" t="s">
        <v>188</v>
      </c>
      <c r="D106" s="7" t="s">
        <v>309</v>
      </c>
      <c r="E106" s="7" t="s">
        <v>214</v>
      </c>
      <c r="F106" s="7" t="s">
        <v>16</v>
      </c>
      <c r="G106" s="7" t="s">
        <v>303</v>
      </c>
      <c r="H106" s="7" t="s">
        <v>306</v>
      </c>
      <c r="I106" s="7" t="s">
        <v>264</v>
      </c>
      <c r="J106" s="7"/>
      <c r="K106" s="7"/>
      <c r="L106" s="9"/>
      <c r="M106" s="10" t="s">
        <v>310</v>
      </c>
      <c r="N106" s="11"/>
    </row>
    <row r="107" spans="1:14" x14ac:dyDescent="0.2">
      <c r="A107" s="7">
        <v>107</v>
      </c>
      <c r="B107" s="7" t="s">
        <v>311</v>
      </c>
      <c r="C107" s="7" t="s">
        <v>188</v>
      </c>
      <c r="D107" s="7" t="s">
        <v>54</v>
      </c>
      <c r="E107" s="7" t="s">
        <v>44</v>
      </c>
      <c r="F107" s="7" t="s">
        <v>16</v>
      </c>
      <c r="G107" s="7" t="s">
        <v>312</v>
      </c>
      <c r="H107" s="7" t="s">
        <v>287</v>
      </c>
      <c r="I107" s="7" t="s">
        <v>313</v>
      </c>
      <c r="J107" s="7"/>
      <c r="K107" s="7">
        <v>2</v>
      </c>
      <c r="L107" s="9" t="s">
        <v>314</v>
      </c>
      <c r="M107" s="10" t="s">
        <v>315</v>
      </c>
      <c r="N107" s="11"/>
    </row>
    <row r="108" spans="1:14" x14ac:dyDescent="0.2">
      <c r="A108" s="7">
        <v>108</v>
      </c>
      <c r="B108" s="9" t="s">
        <v>316</v>
      </c>
      <c r="C108" s="7" t="s">
        <v>236</v>
      </c>
      <c r="D108" s="7" t="s">
        <v>317</v>
      </c>
      <c r="E108" s="7" t="s">
        <v>25</v>
      </c>
      <c r="F108" s="7" t="s">
        <v>16</v>
      </c>
      <c r="G108" s="7" t="s">
        <v>312</v>
      </c>
      <c r="H108" s="7" t="s">
        <v>287</v>
      </c>
      <c r="I108" s="7" t="s">
        <v>287</v>
      </c>
      <c r="J108" s="7"/>
      <c r="K108" s="7"/>
      <c r="L108" s="9"/>
      <c r="M108" s="10" t="s">
        <v>318</v>
      </c>
      <c r="N108" s="11"/>
    </row>
    <row r="109" spans="1:14" x14ac:dyDescent="0.2">
      <c r="A109" s="7">
        <v>109</v>
      </c>
      <c r="B109" s="7" t="s">
        <v>319</v>
      </c>
      <c r="C109" s="7" t="s">
        <v>188</v>
      </c>
      <c r="D109" s="7" t="s">
        <v>98</v>
      </c>
      <c r="E109" s="7" t="s">
        <v>126</v>
      </c>
      <c r="F109" s="7" t="s">
        <v>16</v>
      </c>
      <c r="G109" s="7" t="s">
        <v>314</v>
      </c>
      <c r="H109" s="7" t="s">
        <v>320</v>
      </c>
      <c r="I109" s="7" t="s">
        <v>321</v>
      </c>
      <c r="J109" s="7"/>
      <c r="K109" s="7">
        <v>3</v>
      </c>
      <c r="L109" s="24" t="s">
        <v>322</v>
      </c>
      <c r="M109" s="10" t="s">
        <v>323</v>
      </c>
      <c r="N109" s="11"/>
    </row>
    <row r="110" spans="1:14" x14ac:dyDescent="0.2">
      <c r="A110" s="7">
        <v>110</v>
      </c>
      <c r="B110" s="7" t="s">
        <v>324</v>
      </c>
      <c r="C110" s="7" t="s">
        <v>188</v>
      </c>
      <c r="D110" s="7" t="s">
        <v>325</v>
      </c>
      <c r="E110" s="7" t="s">
        <v>25</v>
      </c>
      <c r="F110" s="7" t="s">
        <v>16</v>
      </c>
      <c r="G110" s="7" t="s">
        <v>321</v>
      </c>
      <c r="H110" s="7" t="s">
        <v>326</v>
      </c>
      <c r="I110" s="7" t="s">
        <v>326</v>
      </c>
      <c r="J110" s="7"/>
      <c r="K110" s="7"/>
      <c r="L110" s="24">
        <v>45569</v>
      </c>
      <c r="M110" s="10" t="s">
        <v>327</v>
      </c>
      <c r="N110" s="11"/>
    </row>
    <row r="111" spans="1:14" x14ac:dyDescent="0.2">
      <c r="A111" s="7">
        <v>110</v>
      </c>
      <c r="B111" s="7" t="s">
        <v>328</v>
      </c>
      <c r="C111" s="7" t="s">
        <v>188</v>
      </c>
      <c r="D111" s="7" t="s">
        <v>231</v>
      </c>
      <c r="E111" s="7" t="s">
        <v>44</v>
      </c>
      <c r="F111" s="7" t="s">
        <v>16</v>
      </c>
      <c r="G111" s="7" t="s">
        <v>320</v>
      </c>
      <c r="H111" s="7" t="s">
        <v>329</v>
      </c>
      <c r="I111" s="25">
        <v>45295</v>
      </c>
      <c r="J111" s="7"/>
      <c r="K111" s="7"/>
      <c r="L111" s="24">
        <v>45295</v>
      </c>
      <c r="M111" s="10" t="s">
        <v>330</v>
      </c>
      <c r="N111" s="28" t="s">
        <v>331</v>
      </c>
    </row>
    <row r="112" spans="1:14" x14ac:dyDescent="0.2">
      <c r="A112" s="7">
        <v>111</v>
      </c>
      <c r="B112" s="7" t="s">
        <v>332</v>
      </c>
      <c r="C112" s="7" t="s">
        <v>182</v>
      </c>
      <c r="D112" s="7" t="s">
        <v>333</v>
      </c>
      <c r="E112" s="7" t="s">
        <v>214</v>
      </c>
      <c r="F112" s="7" t="s">
        <v>16</v>
      </c>
      <c r="G112" s="7" t="s">
        <v>326</v>
      </c>
      <c r="H112" s="25">
        <v>45295</v>
      </c>
      <c r="I112" s="25">
        <v>45295</v>
      </c>
      <c r="J112" s="7"/>
      <c r="K112" s="7"/>
      <c r="L112" s="9" t="s">
        <v>334</v>
      </c>
      <c r="M112" s="10" t="s">
        <v>335</v>
      </c>
      <c r="N112" s="11"/>
    </row>
    <row r="113" spans="1:15" x14ac:dyDescent="0.2">
      <c r="A113" s="7">
        <v>112</v>
      </c>
      <c r="B113" s="7" t="s">
        <v>336</v>
      </c>
      <c r="C113" s="7" t="s">
        <v>188</v>
      </c>
      <c r="D113" s="7" t="s">
        <v>76</v>
      </c>
      <c r="E113" s="7" t="s">
        <v>25</v>
      </c>
      <c r="F113" s="7" t="s">
        <v>16</v>
      </c>
      <c r="G113" s="25">
        <v>45295</v>
      </c>
      <c r="H113" s="25">
        <v>45355</v>
      </c>
      <c r="I113" s="25">
        <v>45355</v>
      </c>
      <c r="J113" s="7"/>
      <c r="K113" s="7"/>
      <c r="L113" s="24">
        <v>45355</v>
      </c>
      <c r="M113" s="10" t="s">
        <v>337</v>
      </c>
      <c r="N113" s="11"/>
    </row>
    <row r="114" spans="1:15" x14ac:dyDescent="0.2">
      <c r="A114" s="7">
        <v>113</v>
      </c>
      <c r="B114" s="7" t="s">
        <v>338</v>
      </c>
      <c r="C114" s="7" t="s">
        <v>188</v>
      </c>
      <c r="D114" s="7" t="s">
        <v>76</v>
      </c>
      <c r="E114" s="7" t="s">
        <v>44</v>
      </c>
      <c r="F114" s="7" t="s">
        <v>16</v>
      </c>
      <c r="G114" s="25">
        <v>45416</v>
      </c>
      <c r="H114" s="25">
        <v>45539</v>
      </c>
      <c r="I114" s="25">
        <v>45539</v>
      </c>
      <c r="J114" s="7"/>
      <c r="K114" s="7"/>
      <c r="L114" s="24"/>
      <c r="M114" s="10" t="s">
        <v>339</v>
      </c>
      <c r="N114" s="11"/>
    </row>
    <row r="115" spans="1:15" x14ac:dyDescent="0.2">
      <c r="A115" s="7">
        <v>114</v>
      </c>
      <c r="B115" s="7" t="s">
        <v>340</v>
      </c>
      <c r="C115" s="7" t="s">
        <v>188</v>
      </c>
      <c r="D115" s="7" t="s">
        <v>33</v>
      </c>
      <c r="E115" s="7" t="s">
        <v>126</v>
      </c>
      <c r="F115" s="7" t="s">
        <v>16</v>
      </c>
      <c r="G115" s="25">
        <v>45539</v>
      </c>
      <c r="H115" s="25">
        <v>45600</v>
      </c>
      <c r="I115" s="25">
        <v>45600</v>
      </c>
      <c r="J115" s="7"/>
      <c r="K115" s="7"/>
      <c r="L115" s="9"/>
      <c r="M115" s="10" t="s">
        <v>341</v>
      </c>
      <c r="N115" s="11"/>
    </row>
    <row r="116" spans="1:15" x14ac:dyDescent="0.2">
      <c r="A116" s="7">
        <v>115</v>
      </c>
      <c r="B116" s="7" t="s">
        <v>342</v>
      </c>
      <c r="C116" s="7" t="s">
        <v>188</v>
      </c>
      <c r="D116" s="7" t="s">
        <v>343</v>
      </c>
      <c r="E116" s="7" t="s">
        <v>25</v>
      </c>
      <c r="F116" s="7" t="s">
        <v>16</v>
      </c>
      <c r="G116" s="25">
        <v>45539</v>
      </c>
      <c r="H116" s="25">
        <v>45600</v>
      </c>
      <c r="I116" s="25">
        <v>45600</v>
      </c>
      <c r="J116" s="7"/>
      <c r="K116" s="7"/>
      <c r="L116" s="9"/>
      <c r="M116" s="10" t="s">
        <v>344</v>
      </c>
      <c r="N116" s="11"/>
    </row>
    <row r="117" spans="1:15" x14ac:dyDescent="0.2">
      <c r="A117" s="7">
        <v>116</v>
      </c>
      <c r="B117" s="7" t="s">
        <v>345</v>
      </c>
      <c r="C117" s="7" t="s">
        <v>182</v>
      </c>
      <c r="D117" s="7" t="s">
        <v>346</v>
      </c>
      <c r="E117" s="7" t="s">
        <v>214</v>
      </c>
      <c r="F117" s="7" t="s">
        <v>16</v>
      </c>
      <c r="G117" s="25">
        <v>45600</v>
      </c>
      <c r="H117" s="7" t="s">
        <v>347</v>
      </c>
      <c r="I117" s="7" t="s">
        <v>347</v>
      </c>
      <c r="J117" s="7"/>
      <c r="K117" s="7"/>
      <c r="L117" s="9" t="s">
        <v>348</v>
      </c>
      <c r="M117" s="10" t="s">
        <v>349</v>
      </c>
      <c r="N117" s="11"/>
    </row>
    <row r="118" spans="1:15" x14ac:dyDescent="0.2">
      <c r="A118" s="7">
        <v>117</v>
      </c>
      <c r="B118" s="7" t="s">
        <v>350</v>
      </c>
      <c r="C118" s="7" t="s">
        <v>236</v>
      </c>
      <c r="D118" s="7" t="s">
        <v>271</v>
      </c>
      <c r="E118" s="7" t="s">
        <v>126</v>
      </c>
      <c r="F118" s="7" t="s">
        <v>16</v>
      </c>
      <c r="G118" s="7" t="s">
        <v>351</v>
      </c>
      <c r="H118" s="7" t="s">
        <v>352</v>
      </c>
      <c r="I118" s="7" t="s">
        <v>353</v>
      </c>
      <c r="J118" s="7"/>
      <c r="K118" s="7"/>
      <c r="L118" s="9" t="s">
        <v>354</v>
      </c>
      <c r="M118" s="10" t="s">
        <v>355</v>
      </c>
      <c r="N118" s="11"/>
    </row>
    <row r="119" spans="1:15" x14ac:dyDescent="0.2">
      <c r="A119" s="7">
        <v>118</v>
      </c>
      <c r="B119" s="7" t="s">
        <v>356</v>
      </c>
      <c r="C119" s="7" t="s">
        <v>188</v>
      </c>
      <c r="D119" s="7" t="s">
        <v>33</v>
      </c>
      <c r="E119" s="7" t="s">
        <v>25</v>
      </c>
      <c r="F119" s="7" t="s">
        <v>16</v>
      </c>
      <c r="G119" s="7" t="s">
        <v>351</v>
      </c>
      <c r="H119" s="7" t="s">
        <v>352</v>
      </c>
      <c r="I119" s="7" t="s">
        <v>352</v>
      </c>
      <c r="J119" s="7"/>
      <c r="K119" s="7"/>
      <c r="L119" s="9"/>
      <c r="M119" s="10" t="s">
        <v>357</v>
      </c>
      <c r="N119" s="11"/>
    </row>
    <row r="120" spans="1:15" x14ac:dyDescent="0.2">
      <c r="A120" s="7">
        <v>119</v>
      </c>
      <c r="B120" s="7" t="s">
        <v>358</v>
      </c>
      <c r="C120" s="7" t="s">
        <v>203</v>
      </c>
      <c r="D120" s="7" t="s">
        <v>160</v>
      </c>
      <c r="E120" s="7" t="s">
        <v>44</v>
      </c>
      <c r="F120" s="7" t="s">
        <v>16</v>
      </c>
      <c r="G120" s="7" t="s">
        <v>351</v>
      </c>
      <c r="H120" s="7" t="s">
        <v>352</v>
      </c>
      <c r="I120" s="7" t="s">
        <v>353</v>
      </c>
      <c r="J120" s="7"/>
      <c r="K120" s="7"/>
      <c r="L120" s="9" t="s">
        <v>292</v>
      </c>
      <c r="M120" s="10" t="s">
        <v>359</v>
      </c>
      <c r="N120" s="11"/>
    </row>
    <row r="121" spans="1:15" x14ac:dyDescent="0.2">
      <c r="A121" s="7">
        <v>120</v>
      </c>
      <c r="B121" s="7" t="s">
        <v>360</v>
      </c>
      <c r="C121" s="7" t="s">
        <v>188</v>
      </c>
      <c r="D121" s="7" t="s">
        <v>361</v>
      </c>
      <c r="E121" s="7" t="s">
        <v>214</v>
      </c>
      <c r="F121" s="7" t="s">
        <v>16</v>
      </c>
      <c r="G121" s="7" t="s">
        <v>353</v>
      </c>
      <c r="H121" s="7" t="s">
        <v>322</v>
      </c>
      <c r="I121" s="7" t="s">
        <v>352</v>
      </c>
      <c r="J121" s="7"/>
      <c r="K121" s="7"/>
      <c r="L121" s="9"/>
      <c r="M121" s="10" t="s">
        <v>362</v>
      </c>
      <c r="N121" s="11"/>
    </row>
    <row r="122" spans="1:15" x14ac:dyDescent="0.2">
      <c r="A122" s="7">
        <v>121</v>
      </c>
      <c r="B122" s="7" t="s">
        <v>363</v>
      </c>
      <c r="C122" s="7" t="s">
        <v>188</v>
      </c>
      <c r="D122" s="7" t="s">
        <v>189</v>
      </c>
      <c r="E122" s="7" t="s">
        <v>44</v>
      </c>
      <c r="F122" s="7" t="s">
        <v>16</v>
      </c>
      <c r="G122" s="7" t="s">
        <v>322</v>
      </c>
      <c r="H122" s="7" t="s">
        <v>292</v>
      </c>
      <c r="I122" s="7" t="s">
        <v>292</v>
      </c>
      <c r="J122" s="7"/>
      <c r="K122" s="7"/>
      <c r="L122" s="9"/>
      <c r="M122" s="10" t="s">
        <v>364</v>
      </c>
      <c r="N122" s="11"/>
    </row>
    <row r="123" spans="1:15" x14ac:dyDescent="0.2">
      <c r="A123" s="7">
        <v>122</v>
      </c>
      <c r="B123" s="7" t="s">
        <v>365</v>
      </c>
      <c r="C123" s="7" t="s">
        <v>203</v>
      </c>
      <c r="D123" s="7" t="s">
        <v>160</v>
      </c>
      <c r="E123" s="7" t="s">
        <v>126</v>
      </c>
      <c r="F123" s="7" t="s">
        <v>16</v>
      </c>
      <c r="G123" s="7" t="s">
        <v>322</v>
      </c>
      <c r="H123" s="7" t="s">
        <v>292</v>
      </c>
      <c r="I123" s="7" t="s">
        <v>292</v>
      </c>
      <c r="J123" s="7"/>
      <c r="K123" s="7"/>
      <c r="L123" s="9" t="s">
        <v>348</v>
      </c>
      <c r="M123" s="10" t="s">
        <v>366</v>
      </c>
      <c r="N123" s="11"/>
    </row>
    <row r="124" spans="1:15" x14ac:dyDescent="0.2">
      <c r="A124" s="7">
        <v>123</v>
      </c>
      <c r="B124" s="7" t="s">
        <v>367</v>
      </c>
      <c r="C124" s="7" t="s">
        <v>188</v>
      </c>
      <c r="D124" s="7" t="s">
        <v>368</v>
      </c>
      <c r="E124" s="7" t="s">
        <v>25</v>
      </c>
      <c r="F124" s="7" t="s">
        <v>16</v>
      </c>
      <c r="G124" s="25">
        <v>45448</v>
      </c>
      <c r="H124" s="25">
        <v>45509</v>
      </c>
      <c r="I124" s="25">
        <v>45509</v>
      </c>
      <c r="J124" s="7"/>
      <c r="K124" s="7"/>
      <c r="L124" s="24">
        <v>45391</v>
      </c>
      <c r="M124" s="29" t="s">
        <v>369</v>
      </c>
      <c r="N124" s="11"/>
    </row>
    <row r="125" spans="1:15" ht="15" x14ac:dyDescent="0.25">
      <c r="A125" s="7">
        <v>124</v>
      </c>
      <c r="B125" s="7" t="s">
        <v>370</v>
      </c>
      <c r="C125" s="7" t="s">
        <v>188</v>
      </c>
      <c r="D125" s="7" t="s">
        <v>371</v>
      </c>
      <c r="E125" s="7" t="s">
        <v>44</v>
      </c>
      <c r="F125" s="7" t="s">
        <v>16</v>
      </c>
      <c r="G125" s="25">
        <v>45540</v>
      </c>
      <c r="H125" s="25" t="s">
        <v>372</v>
      </c>
      <c r="I125" s="25">
        <v>45570</v>
      </c>
      <c r="J125" s="7"/>
      <c r="K125" s="7"/>
      <c r="L125" s="9" t="s">
        <v>373</v>
      </c>
      <c r="M125" s="29" t="s">
        <v>374</v>
      </c>
      <c r="N125" s="30" t="s">
        <v>375</v>
      </c>
    </row>
    <row r="126" spans="1:15" ht="15" x14ac:dyDescent="0.25">
      <c r="A126" s="7">
        <v>125</v>
      </c>
      <c r="B126" s="7" t="s">
        <v>376</v>
      </c>
      <c r="C126" s="7" t="s">
        <v>188</v>
      </c>
      <c r="D126" s="7" t="s">
        <v>371</v>
      </c>
      <c r="E126" s="7" t="s">
        <v>214</v>
      </c>
      <c r="F126" s="7" t="s">
        <v>16</v>
      </c>
      <c r="G126" s="25">
        <v>45540</v>
      </c>
      <c r="H126" s="25" t="s">
        <v>372</v>
      </c>
      <c r="I126" s="25">
        <v>45570</v>
      </c>
      <c r="J126" s="7"/>
      <c r="K126" s="7"/>
      <c r="L126" s="9" t="s">
        <v>373</v>
      </c>
      <c r="M126" s="31" t="s">
        <v>377</v>
      </c>
      <c r="N126" s="30" t="s">
        <v>375</v>
      </c>
    </row>
    <row r="127" spans="1:15" x14ac:dyDescent="0.2">
      <c r="A127" s="7">
        <v>126</v>
      </c>
      <c r="B127" s="7" t="s">
        <v>378</v>
      </c>
      <c r="C127" s="7" t="s">
        <v>236</v>
      </c>
      <c r="D127" s="7" t="s">
        <v>379</v>
      </c>
      <c r="E127" s="7" t="s">
        <v>126</v>
      </c>
      <c r="F127" s="7" t="s">
        <v>16</v>
      </c>
      <c r="G127" s="7" t="s">
        <v>372</v>
      </c>
      <c r="H127" s="7" t="s">
        <v>380</v>
      </c>
      <c r="I127" s="7" t="s">
        <v>380</v>
      </c>
      <c r="J127" s="7"/>
      <c r="K127" s="7"/>
      <c r="L127" s="9"/>
      <c r="M127" s="10" t="s">
        <v>381</v>
      </c>
      <c r="N127" s="11"/>
      <c r="O127" s="32"/>
    </row>
    <row r="128" spans="1:15" x14ac:dyDescent="0.2">
      <c r="A128" s="7">
        <v>127</v>
      </c>
      <c r="B128" s="7" t="s">
        <v>382</v>
      </c>
      <c r="C128" s="7" t="s">
        <v>203</v>
      </c>
      <c r="D128" s="7" t="s">
        <v>160</v>
      </c>
      <c r="E128" s="7" t="s">
        <v>44</v>
      </c>
      <c r="F128" s="7" t="s">
        <v>16</v>
      </c>
      <c r="G128" s="7" t="s">
        <v>383</v>
      </c>
      <c r="H128" s="7" t="s">
        <v>384</v>
      </c>
      <c r="I128" s="7" t="s">
        <v>385</v>
      </c>
      <c r="J128" s="7"/>
      <c r="K128" s="7"/>
      <c r="L128" s="9" t="s">
        <v>386</v>
      </c>
      <c r="M128" s="31" t="s">
        <v>387</v>
      </c>
      <c r="N128" s="11"/>
      <c r="O128" s="32"/>
    </row>
    <row r="129" spans="1:15" x14ac:dyDescent="0.2">
      <c r="A129" s="7">
        <v>128</v>
      </c>
      <c r="B129" s="7" t="s">
        <v>388</v>
      </c>
      <c r="C129" s="7" t="s">
        <v>236</v>
      </c>
      <c r="D129" s="7" t="s">
        <v>389</v>
      </c>
      <c r="E129" s="7" t="s">
        <v>126</v>
      </c>
      <c r="F129" s="7" t="s">
        <v>16</v>
      </c>
      <c r="G129" s="7" t="s">
        <v>385</v>
      </c>
      <c r="H129" s="7" t="s">
        <v>390</v>
      </c>
      <c r="I129" s="7" t="s">
        <v>391</v>
      </c>
      <c r="J129" s="7">
        <v>1</v>
      </c>
      <c r="K129" s="7"/>
      <c r="L129" s="24">
        <v>45332</v>
      </c>
      <c r="M129" s="31" t="s">
        <v>392</v>
      </c>
      <c r="N129" s="11"/>
      <c r="O129" s="32"/>
    </row>
    <row r="130" spans="1:15" ht="15" x14ac:dyDescent="0.25">
      <c r="A130" s="7">
        <v>129</v>
      </c>
      <c r="B130" s="7" t="s">
        <v>393</v>
      </c>
      <c r="C130" s="7" t="s">
        <v>188</v>
      </c>
      <c r="D130" s="7" t="s">
        <v>361</v>
      </c>
      <c r="E130" s="7" t="s">
        <v>214</v>
      </c>
      <c r="F130" s="7" t="s">
        <v>16</v>
      </c>
      <c r="G130" s="7" t="s">
        <v>334</v>
      </c>
      <c r="H130" s="25">
        <v>45357</v>
      </c>
      <c r="I130" s="25">
        <v>45357</v>
      </c>
      <c r="J130" s="7"/>
      <c r="K130" s="7"/>
      <c r="L130" s="9" t="s">
        <v>394</v>
      </c>
      <c r="M130" s="31" t="s">
        <v>395</v>
      </c>
      <c r="N130" s="30" t="s">
        <v>375</v>
      </c>
      <c r="O130" s="32"/>
    </row>
    <row r="131" spans="1:15" ht="15" x14ac:dyDescent="0.25">
      <c r="A131" s="7">
        <v>130</v>
      </c>
      <c r="B131" s="7" t="s">
        <v>396</v>
      </c>
      <c r="C131" s="7" t="s">
        <v>188</v>
      </c>
      <c r="D131" s="7" t="s">
        <v>397</v>
      </c>
      <c r="E131" s="7" t="s">
        <v>25</v>
      </c>
      <c r="F131" s="7" t="s">
        <v>16</v>
      </c>
      <c r="G131" s="25">
        <v>45357</v>
      </c>
      <c r="H131" s="25">
        <v>45418</v>
      </c>
      <c r="I131" s="25">
        <v>45418</v>
      </c>
      <c r="J131" s="7"/>
      <c r="K131" s="7"/>
      <c r="L131" s="24">
        <v>45419</v>
      </c>
      <c r="M131" s="33" t="s">
        <v>398</v>
      </c>
      <c r="N131" s="30" t="s">
        <v>375</v>
      </c>
      <c r="O131" s="32"/>
    </row>
    <row r="132" spans="1:15" ht="15" x14ac:dyDescent="0.25">
      <c r="A132" s="7">
        <v>131</v>
      </c>
      <c r="B132" s="7" t="s">
        <v>399</v>
      </c>
      <c r="C132" s="7" t="s">
        <v>203</v>
      </c>
      <c r="D132" s="7" t="s">
        <v>160</v>
      </c>
      <c r="E132" s="7" t="s">
        <v>44</v>
      </c>
      <c r="F132" s="7" t="s">
        <v>16</v>
      </c>
      <c r="G132" s="25">
        <v>45357</v>
      </c>
      <c r="H132" s="25">
        <v>45418</v>
      </c>
      <c r="I132" s="25">
        <v>45418</v>
      </c>
      <c r="J132" s="7"/>
      <c r="K132" s="7"/>
      <c r="L132" s="24">
        <v>45633</v>
      </c>
      <c r="M132" s="33" t="s">
        <v>400</v>
      </c>
      <c r="N132" s="30" t="s">
        <v>375</v>
      </c>
      <c r="O132" s="32"/>
    </row>
    <row r="133" spans="1:15" x14ac:dyDescent="0.2">
      <c r="A133" s="7">
        <v>132</v>
      </c>
      <c r="B133" s="7" t="s">
        <v>401</v>
      </c>
      <c r="C133" s="7" t="s">
        <v>188</v>
      </c>
      <c r="D133" s="7" t="s">
        <v>402</v>
      </c>
      <c r="E133" s="7" t="s">
        <v>214</v>
      </c>
      <c r="F133" s="7" t="s">
        <v>16</v>
      </c>
      <c r="G133" s="25">
        <v>45388</v>
      </c>
      <c r="H133" s="25">
        <v>45449</v>
      </c>
      <c r="I133" s="25">
        <v>45449</v>
      </c>
      <c r="J133" s="7"/>
      <c r="K133" s="7"/>
      <c r="L133" s="9"/>
      <c r="M133" s="34" t="s">
        <v>403</v>
      </c>
      <c r="N133" s="11"/>
      <c r="O133" s="32"/>
    </row>
    <row r="134" spans="1:15" x14ac:dyDescent="0.2">
      <c r="A134" s="7">
        <v>133</v>
      </c>
      <c r="B134" s="7" t="s">
        <v>404</v>
      </c>
      <c r="C134" s="7" t="s">
        <v>203</v>
      </c>
      <c r="D134" s="7" t="s">
        <v>160</v>
      </c>
      <c r="E134" s="7" t="s">
        <v>44</v>
      </c>
      <c r="F134" s="7" t="s">
        <v>16</v>
      </c>
      <c r="G134" s="25">
        <v>45571</v>
      </c>
      <c r="H134" s="25">
        <v>45632</v>
      </c>
      <c r="I134" s="7" t="s">
        <v>405</v>
      </c>
      <c r="J134" s="7"/>
      <c r="K134" s="7"/>
      <c r="L134" s="24">
        <v>45329</v>
      </c>
      <c r="M134" s="31" t="s">
        <v>406</v>
      </c>
      <c r="N134" s="11" t="s">
        <v>407</v>
      </c>
      <c r="O134" s="32"/>
    </row>
    <row r="135" spans="1:15" x14ac:dyDescent="0.2">
      <c r="A135" s="7">
        <v>134</v>
      </c>
      <c r="B135" s="7" t="s">
        <v>408</v>
      </c>
      <c r="C135" s="7" t="s">
        <v>188</v>
      </c>
      <c r="D135" s="7" t="s">
        <v>33</v>
      </c>
      <c r="E135" s="7" t="s">
        <v>25</v>
      </c>
      <c r="F135" s="7" t="s">
        <v>16</v>
      </c>
      <c r="G135" s="25">
        <v>45571</v>
      </c>
      <c r="H135" s="25">
        <v>45632</v>
      </c>
      <c r="I135" s="25">
        <v>45632</v>
      </c>
      <c r="J135" s="7"/>
      <c r="K135" s="7"/>
      <c r="L135" s="9" t="s">
        <v>409</v>
      </c>
      <c r="M135" s="31" t="s">
        <v>410</v>
      </c>
      <c r="N135" s="11"/>
    </row>
    <row r="136" spans="1:15" x14ac:dyDescent="0.2">
      <c r="A136" s="7">
        <v>135</v>
      </c>
      <c r="B136" s="7" t="s">
        <v>411</v>
      </c>
      <c r="C136" s="7" t="s">
        <v>236</v>
      </c>
      <c r="D136" s="7" t="s">
        <v>271</v>
      </c>
      <c r="E136" s="7" t="s">
        <v>126</v>
      </c>
      <c r="F136" s="7" t="s">
        <v>16</v>
      </c>
      <c r="G136" s="25">
        <v>45571</v>
      </c>
      <c r="H136" s="25">
        <v>45632</v>
      </c>
      <c r="I136" s="25">
        <v>45632</v>
      </c>
      <c r="J136" s="7"/>
      <c r="K136" s="7"/>
      <c r="L136" s="9"/>
      <c r="M136" s="31" t="s">
        <v>412</v>
      </c>
      <c r="N136" s="11"/>
    </row>
    <row r="137" spans="1:15" x14ac:dyDescent="0.2">
      <c r="A137" s="7">
        <v>136</v>
      </c>
      <c r="B137" s="7" t="s">
        <v>413</v>
      </c>
      <c r="C137" s="7" t="s">
        <v>188</v>
      </c>
      <c r="D137" s="7" t="s">
        <v>414</v>
      </c>
      <c r="E137" s="7" t="s">
        <v>214</v>
      </c>
      <c r="F137" s="7" t="s">
        <v>16</v>
      </c>
      <c r="G137" s="25">
        <v>45632</v>
      </c>
      <c r="H137" s="7" t="s">
        <v>415</v>
      </c>
      <c r="I137" s="7" t="s">
        <v>415</v>
      </c>
      <c r="J137" s="7"/>
      <c r="K137" s="7"/>
      <c r="L137" s="9" t="s">
        <v>416</v>
      </c>
      <c r="M137" s="31" t="s">
        <v>417</v>
      </c>
      <c r="N137" s="11"/>
    </row>
    <row r="138" spans="1:15" x14ac:dyDescent="0.2">
      <c r="A138" s="7">
        <v>137</v>
      </c>
      <c r="B138" s="7" t="s">
        <v>418</v>
      </c>
      <c r="C138" s="7" t="s">
        <v>188</v>
      </c>
      <c r="D138" s="7" t="s">
        <v>419</v>
      </c>
      <c r="E138" s="7" t="s">
        <v>44</v>
      </c>
      <c r="F138" s="7" t="s">
        <v>16</v>
      </c>
      <c r="G138" s="7" t="s">
        <v>420</v>
      </c>
      <c r="H138" s="7" t="s">
        <v>421</v>
      </c>
      <c r="I138" s="7" t="s">
        <v>420</v>
      </c>
      <c r="J138" s="7"/>
      <c r="K138" s="7"/>
      <c r="L138" s="9" t="s">
        <v>394</v>
      </c>
      <c r="M138" s="31" t="s">
        <v>422</v>
      </c>
      <c r="N138" s="11" t="s">
        <v>423</v>
      </c>
    </row>
    <row r="139" spans="1:15" x14ac:dyDescent="0.2">
      <c r="A139" s="7">
        <v>138</v>
      </c>
      <c r="B139" s="7" t="s">
        <v>424</v>
      </c>
      <c r="C139" s="7" t="s">
        <v>188</v>
      </c>
      <c r="D139" s="7" t="s">
        <v>425</v>
      </c>
      <c r="E139" s="7" t="s">
        <v>25</v>
      </c>
      <c r="F139" s="7" t="s">
        <v>16</v>
      </c>
      <c r="G139" s="7" t="s">
        <v>394</v>
      </c>
      <c r="H139" s="7" t="s">
        <v>426</v>
      </c>
      <c r="I139" s="7" t="s">
        <v>426</v>
      </c>
      <c r="J139" s="7"/>
      <c r="K139" s="7"/>
      <c r="L139" s="24">
        <v>45542</v>
      </c>
      <c r="M139" s="10" t="s">
        <v>427</v>
      </c>
      <c r="N139" s="11" t="s">
        <v>428</v>
      </c>
    </row>
    <row r="140" spans="1:15" x14ac:dyDescent="0.2">
      <c r="A140" s="7">
        <v>139</v>
      </c>
      <c r="B140" s="7" t="s">
        <v>429</v>
      </c>
      <c r="C140" s="7" t="s">
        <v>236</v>
      </c>
      <c r="D140" s="7" t="s">
        <v>123</v>
      </c>
      <c r="E140" s="7" t="s">
        <v>126</v>
      </c>
      <c r="F140" s="7" t="s">
        <v>16</v>
      </c>
      <c r="G140" s="7" t="s">
        <v>426</v>
      </c>
      <c r="H140" s="7" t="s">
        <v>416</v>
      </c>
      <c r="I140" s="7" t="s">
        <v>416</v>
      </c>
      <c r="J140" s="7"/>
      <c r="K140" s="7"/>
      <c r="L140" s="9" t="s">
        <v>416</v>
      </c>
      <c r="M140" s="31" t="s">
        <v>430</v>
      </c>
      <c r="N140" s="11" t="s">
        <v>423</v>
      </c>
    </row>
    <row r="141" spans="1:15" x14ac:dyDescent="0.2">
      <c r="A141" s="7">
        <v>140</v>
      </c>
      <c r="B141" s="7" t="s">
        <v>431</v>
      </c>
      <c r="C141" s="7" t="s">
        <v>188</v>
      </c>
      <c r="D141" s="7" t="s">
        <v>432</v>
      </c>
      <c r="E141" s="7" t="s">
        <v>214</v>
      </c>
      <c r="F141" s="7" t="s">
        <v>16</v>
      </c>
      <c r="G141" s="7" t="s">
        <v>416</v>
      </c>
      <c r="H141" s="25">
        <v>45329</v>
      </c>
      <c r="I141" s="25">
        <v>45298</v>
      </c>
      <c r="J141" s="7">
        <v>1</v>
      </c>
      <c r="K141" s="7"/>
      <c r="L141" s="9" t="s">
        <v>433</v>
      </c>
      <c r="M141" s="35" t="s">
        <v>434</v>
      </c>
      <c r="N141" s="11"/>
    </row>
    <row r="142" spans="1:15" x14ac:dyDescent="0.2">
      <c r="A142" s="7">
        <v>141</v>
      </c>
      <c r="B142" s="7" t="s">
        <v>435</v>
      </c>
      <c r="C142" s="7" t="s">
        <v>236</v>
      </c>
      <c r="D142" s="7" t="s">
        <v>436</v>
      </c>
      <c r="E142" s="7" t="s">
        <v>437</v>
      </c>
      <c r="F142" s="7" t="s">
        <v>16</v>
      </c>
      <c r="G142" s="25">
        <v>45298</v>
      </c>
      <c r="H142" s="25">
        <v>45358</v>
      </c>
      <c r="I142" s="25">
        <v>45329</v>
      </c>
      <c r="J142" s="7"/>
      <c r="K142" s="7"/>
      <c r="L142" s="24">
        <v>45511</v>
      </c>
      <c r="M142" s="31" t="s">
        <v>438</v>
      </c>
      <c r="N142" s="11" t="s">
        <v>423</v>
      </c>
    </row>
    <row r="143" spans="1:15" ht="14.25" x14ac:dyDescent="0.2">
      <c r="A143" s="7">
        <v>142</v>
      </c>
      <c r="B143" s="7" t="s">
        <v>439</v>
      </c>
      <c r="C143" s="7" t="s">
        <v>188</v>
      </c>
      <c r="D143" s="7" t="s">
        <v>78</v>
      </c>
      <c r="E143" s="7" t="s">
        <v>44</v>
      </c>
      <c r="F143" s="7" t="s">
        <v>16</v>
      </c>
      <c r="G143" s="25">
        <v>45389</v>
      </c>
      <c r="H143" s="25">
        <v>45511</v>
      </c>
      <c r="I143" s="25">
        <v>45419</v>
      </c>
      <c r="J143" s="7"/>
      <c r="K143" s="7"/>
      <c r="L143" s="24">
        <v>45420</v>
      </c>
      <c r="M143" s="36" t="s">
        <v>440</v>
      </c>
      <c r="N143" s="11"/>
    </row>
    <row r="144" spans="1:15" x14ac:dyDescent="0.2">
      <c r="A144" s="7">
        <v>143</v>
      </c>
      <c r="B144" s="7" t="s">
        <v>441</v>
      </c>
      <c r="C144" s="7" t="s">
        <v>188</v>
      </c>
      <c r="D144" s="7" t="s">
        <v>295</v>
      </c>
      <c r="E144" s="7" t="s">
        <v>25</v>
      </c>
      <c r="F144" s="7" t="s">
        <v>16</v>
      </c>
      <c r="G144" s="25">
        <v>45511</v>
      </c>
      <c r="H144" s="25">
        <v>45572</v>
      </c>
      <c r="I144" s="25">
        <v>45572</v>
      </c>
      <c r="J144" s="7"/>
      <c r="K144" s="7"/>
      <c r="L144" s="9" t="s">
        <v>442</v>
      </c>
      <c r="M144" s="31" t="s">
        <v>443</v>
      </c>
      <c r="N144" s="11"/>
    </row>
    <row r="145" spans="1:14" x14ac:dyDescent="0.2">
      <c r="A145" s="7">
        <v>144</v>
      </c>
      <c r="B145" s="7" t="s">
        <v>444</v>
      </c>
      <c r="C145" s="7" t="s">
        <v>203</v>
      </c>
      <c r="D145" s="7" t="s">
        <v>160</v>
      </c>
      <c r="E145" s="7" t="s">
        <v>126</v>
      </c>
      <c r="F145" s="7" t="s">
        <v>16</v>
      </c>
      <c r="G145" s="25">
        <v>45511</v>
      </c>
      <c r="H145" s="25">
        <v>45572</v>
      </c>
      <c r="I145" s="25">
        <v>45572</v>
      </c>
      <c r="J145" s="7"/>
      <c r="K145" s="7"/>
      <c r="L145" s="24" t="s">
        <v>445</v>
      </c>
      <c r="M145" s="37" t="s">
        <v>446</v>
      </c>
      <c r="N145" s="11"/>
    </row>
    <row r="146" spans="1:14" x14ac:dyDescent="0.2">
      <c r="A146" s="7">
        <v>145</v>
      </c>
      <c r="B146" s="7" t="s">
        <v>447</v>
      </c>
      <c r="C146" s="7" t="s">
        <v>182</v>
      </c>
      <c r="D146" s="7" t="s">
        <v>448</v>
      </c>
      <c r="E146" s="7" t="s">
        <v>214</v>
      </c>
      <c r="F146" s="7" t="s">
        <v>16</v>
      </c>
      <c r="G146" s="25">
        <v>45603</v>
      </c>
      <c r="H146" s="7" t="s">
        <v>449</v>
      </c>
      <c r="I146" s="25">
        <v>45603</v>
      </c>
      <c r="J146" s="7"/>
      <c r="K146" s="7"/>
      <c r="L146" s="9"/>
      <c r="M146" s="34" t="s">
        <v>450</v>
      </c>
      <c r="N146" s="11"/>
    </row>
    <row r="147" spans="1:14" x14ac:dyDescent="0.2">
      <c r="A147" s="7">
        <v>146</v>
      </c>
      <c r="B147" s="7" t="s">
        <v>451</v>
      </c>
      <c r="C147" s="7" t="s">
        <v>188</v>
      </c>
      <c r="D147" s="7" t="s">
        <v>402</v>
      </c>
      <c r="E147" s="7" t="s">
        <v>214</v>
      </c>
      <c r="F147" s="7" t="s">
        <v>16</v>
      </c>
      <c r="G147" s="25">
        <v>45633</v>
      </c>
      <c r="H147" s="7" t="s">
        <v>452</v>
      </c>
      <c r="I147" s="7" t="s">
        <v>449</v>
      </c>
      <c r="J147" s="7"/>
      <c r="K147" s="7"/>
      <c r="L147" s="9"/>
      <c r="M147" s="31" t="s">
        <v>453</v>
      </c>
      <c r="N147" s="11" t="s">
        <v>454</v>
      </c>
    </row>
    <row r="148" spans="1:14" x14ac:dyDescent="0.2">
      <c r="A148" s="7">
        <v>147</v>
      </c>
      <c r="B148" s="7" t="s">
        <v>455</v>
      </c>
      <c r="C148" s="7" t="s">
        <v>188</v>
      </c>
      <c r="D148" s="7" t="s">
        <v>33</v>
      </c>
      <c r="E148" s="7" t="s">
        <v>126</v>
      </c>
      <c r="F148" s="7" t="s">
        <v>16</v>
      </c>
      <c r="G148" s="7" t="s">
        <v>449</v>
      </c>
      <c r="H148" s="7" t="s">
        <v>456</v>
      </c>
      <c r="I148" s="7" t="s">
        <v>409</v>
      </c>
      <c r="J148" s="7"/>
      <c r="K148" s="7"/>
      <c r="L148" s="9" t="s">
        <v>457</v>
      </c>
      <c r="M148" s="31" t="s">
        <v>458</v>
      </c>
      <c r="N148" s="11" t="s">
        <v>459</v>
      </c>
    </row>
    <row r="149" spans="1:14" x14ac:dyDescent="0.2">
      <c r="A149" s="7">
        <v>148</v>
      </c>
      <c r="B149" s="7" t="s">
        <v>460</v>
      </c>
      <c r="C149" s="7" t="s">
        <v>188</v>
      </c>
      <c r="D149" s="7" t="s">
        <v>461</v>
      </c>
      <c r="E149" s="7" t="s">
        <v>437</v>
      </c>
      <c r="F149" s="7" t="s">
        <v>16</v>
      </c>
      <c r="G149" s="7" t="s">
        <v>456</v>
      </c>
      <c r="H149" s="7" t="s">
        <v>442</v>
      </c>
      <c r="I149" s="7" t="s">
        <v>442</v>
      </c>
      <c r="J149" s="7"/>
      <c r="K149" s="7"/>
      <c r="L149" s="9" t="s">
        <v>462</v>
      </c>
      <c r="M149" s="31" t="s">
        <v>463</v>
      </c>
      <c r="N149" s="11"/>
    </row>
    <row r="150" spans="1:14" x14ac:dyDescent="0.2">
      <c r="A150" s="7">
        <v>149</v>
      </c>
      <c r="B150" s="7" t="s">
        <v>464</v>
      </c>
      <c r="C150" s="7" t="s">
        <v>188</v>
      </c>
      <c r="D150" s="7" t="s">
        <v>189</v>
      </c>
      <c r="E150" s="7" t="s">
        <v>44</v>
      </c>
      <c r="F150" s="7" t="s">
        <v>16</v>
      </c>
      <c r="G150" s="7" t="s">
        <v>409</v>
      </c>
      <c r="H150" s="7" t="s">
        <v>462</v>
      </c>
      <c r="I150" s="7" t="s">
        <v>442</v>
      </c>
      <c r="J150" s="7"/>
      <c r="K150" s="7"/>
      <c r="L150" s="24">
        <v>45420</v>
      </c>
      <c r="M150" s="31" t="s">
        <v>465</v>
      </c>
      <c r="N150" s="11"/>
    </row>
    <row r="151" spans="1:14" x14ac:dyDescent="0.2">
      <c r="A151" s="7">
        <v>150</v>
      </c>
      <c r="B151" s="7" t="s">
        <v>466</v>
      </c>
      <c r="C151" s="7" t="s">
        <v>188</v>
      </c>
      <c r="D151" s="7" t="s">
        <v>189</v>
      </c>
      <c r="E151" s="7" t="s">
        <v>25</v>
      </c>
      <c r="F151" s="7" t="s">
        <v>16</v>
      </c>
      <c r="G151" s="7" t="s">
        <v>462</v>
      </c>
      <c r="H151" s="7" t="s">
        <v>467</v>
      </c>
      <c r="I151" s="7" t="s">
        <v>468</v>
      </c>
      <c r="J151" s="7"/>
      <c r="K151" s="7"/>
      <c r="L151" s="9"/>
      <c r="M151" s="31" t="s">
        <v>469</v>
      </c>
      <c r="N151" s="11"/>
    </row>
    <row r="152" spans="1:14" x14ac:dyDescent="0.2">
      <c r="A152" s="7">
        <v>151</v>
      </c>
      <c r="B152" s="7" t="s">
        <v>470</v>
      </c>
      <c r="C152" s="7" t="s">
        <v>188</v>
      </c>
      <c r="D152" s="7" t="s">
        <v>135</v>
      </c>
      <c r="E152" s="7" t="s">
        <v>44</v>
      </c>
      <c r="F152" s="7" t="s">
        <v>16</v>
      </c>
      <c r="G152" s="7" t="s">
        <v>471</v>
      </c>
      <c r="H152" s="7" t="s">
        <v>472</v>
      </c>
      <c r="I152" s="25">
        <v>45299</v>
      </c>
      <c r="J152" s="7"/>
      <c r="K152" s="7"/>
      <c r="L152" s="9"/>
      <c r="M152" s="31" t="s">
        <v>473</v>
      </c>
      <c r="N152" s="11"/>
    </row>
    <row r="153" spans="1:14" x14ac:dyDescent="0.2">
      <c r="A153" s="7">
        <v>152</v>
      </c>
      <c r="B153" s="7" t="s">
        <v>474</v>
      </c>
      <c r="C153" s="7" t="s">
        <v>188</v>
      </c>
      <c r="D153" s="7" t="s">
        <v>189</v>
      </c>
      <c r="E153" s="7" t="s">
        <v>25</v>
      </c>
      <c r="F153" s="7" t="s">
        <v>16</v>
      </c>
      <c r="G153" s="7" t="s">
        <v>471</v>
      </c>
      <c r="H153" s="7" t="s">
        <v>472</v>
      </c>
      <c r="I153" s="7" t="s">
        <v>471</v>
      </c>
      <c r="J153" s="7"/>
      <c r="K153" s="7"/>
      <c r="L153" s="9"/>
      <c r="M153" s="31" t="s">
        <v>475</v>
      </c>
      <c r="N153" s="11"/>
    </row>
    <row r="154" spans="1:14" x14ac:dyDescent="0.2">
      <c r="A154" s="7">
        <v>153</v>
      </c>
      <c r="B154" s="7" t="s">
        <v>476</v>
      </c>
      <c r="C154" s="7" t="s">
        <v>188</v>
      </c>
      <c r="D154" s="7" t="s">
        <v>389</v>
      </c>
      <c r="E154" s="7" t="s">
        <v>126</v>
      </c>
      <c r="F154" s="7" t="s">
        <v>16</v>
      </c>
      <c r="G154" s="7" t="s">
        <v>477</v>
      </c>
      <c r="H154" s="25">
        <v>45299</v>
      </c>
      <c r="I154" s="25">
        <v>45420</v>
      </c>
      <c r="J154" s="7"/>
      <c r="K154" s="7"/>
      <c r="L154" s="24">
        <v>45332</v>
      </c>
      <c r="M154" s="31" t="s">
        <v>478</v>
      </c>
      <c r="N154" s="11"/>
    </row>
    <row r="155" spans="1:14" x14ac:dyDescent="0.2">
      <c r="A155" s="7">
        <v>154</v>
      </c>
      <c r="B155" s="7" t="s">
        <v>479</v>
      </c>
      <c r="C155" s="7" t="s">
        <v>188</v>
      </c>
      <c r="D155" s="7" t="s">
        <v>480</v>
      </c>
      <c r="E155" s="7" t="s">
        <v>437</v>
      </c>
      <c r="F155" s="7" t="s">
        <v>16</v>
      </c>
      <c r="G155" s="7" t="s">
        <v>472</v>
      </c>
      <c r="H155" s="25">
        <v>45330</v>
      </c>
      <c r="I155" s="25">
        <v>45330</v>
      </c>
      <c r="J155" s="7"/>
      <c r="K155" s="7"/>
      <c r="L155" s="9" t="s">
        <v>481</v>
      </c>
      <c r="M155" s="31" t="s">
        <v>482</v>
      </c>
      <c r="N155" s="11"/>
    </row>
    <row r="156" spans="1:14" x14ac:dyDescent="0.2">
      <c r="A156" s="7">
        <v>155</v>
      </c>
      <c r="B156" s="7" t="s">
        <v>483</v>
      </c>
      <c r="C156" s="7" t="s">
        <v>188</v>
      </c>
      <c r="D156" s="7" t="s">
        <v>76</v>
      </c>
      <c r="E156" s="7" t="s">
        <v>25</v>
      </c>
      <c r="F156" s="7" t="s">
        <v>16</v>
      </c>
      <c r="G156" s="25">
        <v>45299</v>
      </c>
      <c r="H156" s="25">
        <v>45420</v>
      </c>
      <c r="I156" s="25">
        <v>45420</v>
      </c>
      <c r="J156" s="7">
        <v>1</v>
      </c>
      <c r="K156" s="7"/>
      <c r="L156" s="25" t="s">
        <v>484</v>
      </c>
      <c r="M156" s="31" t="s">
        <v>485</v>
      </c>
      <c r="N156" s="11"/>
    </row>
    <row r="157" spans="1:14" x14ac:dyDescent="0.2">
      <c r="A157" s="7">
        <v>156</v>
      </c>
      <c r="B157" s="7"/>
      <c r="C157" s="7" t="s">
        <v>188</v>
      </c>
      <c r="D157" s="7" t="s">
        <v>486</v>
      </c>
      <c r="E157" s="7" t="s">
        <v>487</v>
      </c>
      <c r="F157" s="7" t="s">
        <v>16</v>
      </c>
      <c r="G157" s="25">
        <v>45420</v>
      </c>
      <c r="H157" s="25">
        <v>45420</v>
      </c>
      <c r="I157" s="25">
        <v>45420</v>
      </c>
      <c r="J157" s="7"/>
      <c r="K157" s="7"/>
      <c r="L157" s="25">
        <v>45420</v>
      </c>
      <c r="M157" s="10" t="s">
        <v>488</v>
      </c>
      <c r="N157" s="11"/>
    </row>
    <row r="158" spans="1:14" x14ac:dyDescent="0.2">
      <c r="A158" s="7">
        <v>157</v>
      </c>
      <c r="B158" s="7" t="s">
        <v>489</v>
      </c>
      <c r="C158" s="7" t="s">
        <v>188</v>
      </c>
      <c r="D158" s="7" t="s">
        <v>490</v>
      </c>
      <c r="E158" s="7" t="s">
        <v>437</v>
      </c>
      <c r="F158" s="7" t="s">
        <v>16</v>
      </c>
      <c r="G158" s="25">
        <v>45451</v>
      </c>
      <c r="H158" s="25">
        <v>45512</v>
      </c>
      <c r="I158" s="25">
        <v>45481</v>
      </c>
      <c r="J158" s="7"/>
      <c r="K158" s="7"/>
      <c r="L158" s="9" t="s">
        <v>141</v>
      </c>
      <c r="M158" s="31" t="s">
        <v>491</v>
      </c>
      <c r="N158" s="11"/>
    </row>
    <row r="159" spans="1:14" x14ac:dyDescent="0.2">
      <c r="A159" s="7">
        <v>158</v>
      </c>
      <c r="B159" s="7" t="s">
        <v>492</v>
      </c>
      <c r="C159" s="7" t="s">
        <v>236</v>
      </c>
      <c r="D159" s="7" t="s">
        <v>174</v>
      </c>
      <c r="E159" s="7" t="s">
        <v>126</v>
      </c>
      <c r="F159" s="7" t="s">
        <v>493</v>
      </c>
      <c r="G159" s="25">
        <v>45451</v>
      </c>
      <c r="H159" s="25">
        <v>45512</v>
      </c>
      <c r="I159" s="25">
        <v>45451</v>
      </c>
      <c r="J159" s="7"/>
      <c r="K159" s="7"/>
      <c r="L159" s="9"/>
      <c r="M159" s="31" t="s">
        <v>494</v>
      </c>
      <c r="N159" s="11" t="s">
        <v>495</v>
      </c>
    </row>
    <row r="160" spans="1:14" x14ac:dyDescent="0.2">
      <c r="A160" s="7">
        <v>159</v>
      </c>
      <c r="B160" s="7" t="s">
        <v>496</v>
      </c>
      <c r="C160" s="7" t="s">
        <v>236</v>
      </c>
      <c r="D160" s="7" t="s">
        <v>174</v>
      </c>
      <c r="E160" s="7" t="s">
        <v>126</v>
      </c>
      <c r="F160" s="7" t="s">
        <v>16</v>
      </c>
      <c r="G160" s="25">
        <v>45481</v>
      </c>
      <c r="H160" s="25">
        <v>45543</v>
      </c>
      <c r="I160" s="25">
        <v>45543</v>
      </c>
      <c r="J160" s="7"/>
      <c r="K160" s="7"/>
      <c r="L160" s="9"/>
      <c r="M160" s="34" t="s">
        <v>497</v>
      </c>
      <c r="N160" s="11"/>
    </row>
    <row r="161" spans="1:15" x14ac:dyDescent="0.2">
      <c r="A161" s="7">
        <v>160</v>
      </c>
      <c r="B161" s="7" t="s">
        <v>498</v>
      </c>
      <c r="C161" s="7" t="s">
        <v>236</v>
      </c>
      <c r="D161" s="7" t="s">
        <v>174</v>
      </c>
      <c r="E161" s="7" t="s">
        <v>214</v>
      </c>
      <c r="F161" s="7" t="s">
        <v>16</v>
      </c>
      <c r="G161" s="25">
        <v>45481</v>
      </c>
      <c r="H161" s="25">
        <v>45543</v>
      </c>
      <c r="I161" s="25">
        <v>45543</v>
      </c>
      <c r="J161" s="7"/>
      <c r="K161" s="7"/>
      <c r="L161" s="9"/>
      <c r="M161" s="38" t="s">
        <v>499</v>
      </c>
      <c r="N161" s="25"/>
    </row>
    <row r="162" spans="1:15" x14ac:dyDescent="0.2">
      <c r="A162" s="7">
        <v>161</v>
      </c>
      <c r="B162" s="7" t="s">
        <v>500</v>
      </c>
      <c r="C162" s="7" t="s">
        <v>188</v>
      </c>
      <c r="D162" s="7" t="s">
        <v>40</v>
      </c>
      <c r="E162" s="7" t="s">
        <v>437</v>
      </c>
      <c r="F162" s="7" t="s">
        <v>16</v>
      </c>
      <c r="G162" s="25">
        <v>45634</v>
      </c>
      <c r="H162" s="7" t="s">
        <v>481</v>
      </c>
      <c r="I162" s="7" t="s">
        <v>481</v>
      </c>
      <c r="J162" s="7"/>
      <c r="K162" s="7"/>
      <c r="L162" s="9" t="s">
        <v>445</v>
      </c>
      <c r="M162" s="35" t="s">
        <v>501</v>
      </c>
      <c r="N162" s="11"/>
    </row>
    <row r="163" spans="1:15" x14ac:dyDescent="0.2">
      <c r="A163" s="7">
        <v>162</v>
      </c>
      <c r="B163" s="7" t="s">
        <v>502</v>
      </c>
      <c r="C163" s="7" t="s">
        <v>188</v>
      </c>
      <c r="D163" s="7" t="s">
        <v>503</v>
      </c>
      <c r="E163" s="7" t="s">
        <v>44</v>
      </c>
      <c r="F163" s="7" t="s">
        <v>16</v>
      </c>
      <c r="G163" s="25">
        <v>45634</v>
      </c>
      <c r="H163" s="7" t="s">
        <v>481</v>
      </c>
      <c r="I163" s="7" t="s">
        <v>481</v>
      </c>
      <c r="J163" s="7"/>
      <c r="K163" s="7"/>
      <c r="L163" s="9"/>
      <c r="M163" s="31" t="s">
        <v>504</v>
      </c>
      <c r="N163" s="11"/>
    </row>
    <row r="164" spans="1:15" x14ac:dyDescent="0.2">
      <c r="A164" s="7">
        <v>163</v>
      </c>
      <c r="B164" s="7" t="s">
        <v>505</v>
      </c>
      <c r="C164" s="7" t="s">
        <v>188</v>
      </c>
      <c r="D164" s="7" t="s">
        <v>98</v>
      </c>
      <c r="E164" s="7" t="s">
        <v>126</v>
      </c>
      <c r="F164" s="7" t="s">
        <v>16</v>
      </c>
      <c r="G164" s="7" t="s">
        <v>506</v>
      </c>
      <c r="H164" s="7" t="s">
        <v>507</v>
      </c>
      <c r="I164" s="7" t="s">
        <v>481</v>
      </c>
      <c r="J164" s="7"/>
      <c r="K164" s="7"/>
      <c r="L164" s="9" t="s">
        <v>508</v>
      </c>
      <c r="M164" s="31" t="s">
        <v>509</v>
      </c>
      <c r="N164" s="11"/>
    </row>
    <row r="165" spans="1:15" x14ac:dyDescent="0.2">
      <c r="A165" s="7">
        <v>164</v>
      </c>
      <c r="B165" s="7" t="s">
        <v>510</v>
      </c>
      <c r="C165" s="7" t="s">
        <v>236</v>
      </c>
      <c r="D165" s="7" t="s">
        <v>20</v>
      </c>
      <c r="E165" s="7" t="s">
        <v>214</v>
      </c>
      <c r="F165" s="7" t="s">
        <v>16</v>
      </c>
      <c r="G165" s="7" t="s">
        <v>507</v>
      </c>
      <c r="H165" s="7" t="s">
        <v>457</v>
      </c>
      <c r="I165" s="7" t="s">
        <v>508</v>
      </c>
      <c r="J165" s="7"/>
      <c r="K165" s="7"/>
      <c r="L165" s="9"/>
      <c r="M165" s="31" t="s">
        <v>511</v>
      </c>
      <c r="N165" s="11"/>
    </row>
    <row r="166" spans="1:15" x14ac:dyDescent="0.2">
      <c r="A166" s="7">
        <v>165</v>
      </c>
      <c r="B166" s="7" t="s">
        <v>512</v>
      </c>
      <c r="C166" s="7" t="s">
        <v>203</v>
      </c>
      <c r="D166" s="7" t="s">
        <v>160</v>
      </c>
      <c r="E166" s="7" t="s">
        <v>44</v>
      </c>
      <c r="F166" s="7" t="s">
        <v>16</v>
      </c>
      <c r="G166" s="7" t="s">
        <v>513</v>
      </c>
      <c r="H166" s="7" t="s">
        <v>484</v>
      </c>
      <c r="I166" s="7" t="s">
        <v>514</v>
      </c>
      <c r="J166" s="7">
        <v>1</v>
      </c>
      <c r="K166" s="7"/>
      <c r="L166" s="9" t="s">
        <v>515</v>
      </c>
      <c r="M166" s="31" t="s">
        <v>516</v>
      </c>
      <c r="N166" s="11"/>
    </row>
    <row r="167" spans="1:15" x14ac:dyDescent="0.2">
      <c r="A167" s="7">
        <v>166</v>
      </c>
      <c r="B167" s="7" t="s">
        <v>517</v>
      </c>
      <c r="C167" s="7" t="s">
        <v>188</v>
      </c>
      <c r="D167" s="7" t="s">
        <v>461</v>
      </c>
      <c r="E167" s="7" t="s">
        <v>437</v>
      </c>
      <c r="F167" s="7" t="s">
        <v>16</v>
      </c>
      <c r="G167" s="7" t="s">
        <v>514</v>
      </c>
      <c r="H167" s="7" t="s">
        <v>518</v>
      </c>
      <c r="I167" s="7" t="s">
        <v>518</v>
      </c>
      <c r="J167" s="7"/>
      <c r="K167" s="7"/>
      <c r="L167" s="9" t="s">
        <v>515</v>
      </c>
      <c r="M167" s="31" t="s">
        <v>519</v>
      </c>
      <c r="N167" s="11"/>
    </row>
    <row r="168" spans="1:15" x14ac:dyDescent="0.2">
      <c r="A168" s="7">
        <v>167</v>
      </c>
      <c r="B168" s="7" t="s">
        <v>520</v>
      </c>
      <c r="C168" s="7" t="s">
        <v>188</v>
      </c>
      <c r="D168" s="7" t="s">
        <v>54</v>
      </c>
      <c r="E168" s="7" t="s">
        <v>25</v>
      </c>
      <c r="F168" s="7" t="s">
        <v>16</v>
      </c>
      <c r="G168" s="7" t="s">
        <v>515</v>
      </c>
      <c r="H168" s="7" t="s">
        <v>141</v>
      </c>
      <c r="I168" s="7" t="s">
        <v>515</v>
      </c>
      <c r="J168" s="7"/>
      <c r="K168" s="7"/>
      <c r="L168" s="24">
        <v>45421</v>
      </c>
      <c r="M168" s="31" t="s">
        <v>521</v>
      </c>
      <c r="N168" s="11"/>
    </row>
    <row r="169" spans="1:15" x14ac:dyDescent="0.2">
      <c r="A169" s="7">
        <v>168</v>
      </c>
      <c r="B169" s="7" t="s">
        <v>522</v>
      </c>
      <c r="C169" s="7" t="s">
        <v>188</v>
      </c>
      <c r="D169" s="7" t="s">
        <v>33</v>
      </c>
      <c r="E169" s="7" t="s">
        <v>214</v>
      </c>
      <c r="F169" s="7" t="s">
        <v>16</v>
      </c>
      <c r="G169" s="25">
        <v>45421</v>
      </c>
      <c r="H169" s="25">
        <v>45544</v>
      </c>
      <c r="I169" s="25">
        <v>45452</v>
      </c>
      <c r="J169" s="7"/>
      <c r="K169" s="7"/>
      <c r="L169" s="9"/>
      <c r="M169" s="31" t="s">
        <v>523</v>
      </c>
      <c r="N169" s="11"/>
    </row>
    <row r="170" spans="1:15" x14ac:dyDescent="0.2">
      <c r="A170" s="7">
        <v>169</v>
      </c>
      <c r="B170" s="7" t="s">
        <v>524</v>
      </c>
      <c r="C170" s="7" t="s">
        <v>525</v>
      </c>
      <c r="D170" s="7" t="s">
        <v>37</v>
      </c>
      <c r="E170" s="7" t="s">
        <v>126</v>
      </c>
      <c r="F170" s="7" t="s">
        <v>526</v>
      </c>
      <c r="G170" s="25">
        <v>45605</v>
      </c>
      <c r="H170" s="7" t="s">
        <v>527</v>
      </c>
      <c r="I170" s="25">
        <v>45605</v>
      </c>
      <c r="J170" s="7"/>
      <c r="K170" s="7"/>
      <c r="L170" s="9"/>
      <c r="M170" s="31" t="s">
        <v>528</v>
      </c>
      <c r="N170" s="11" t="s">
        <v>529</v>
      </c>
    </row>
    <row r="171" spans="1:15" x14ac:dyDescent="0.2">
      <c r="A171" s="7">
        <v>170</v>
      </c>
      <c r="B171" s="7" t="s">
        <v>530</v>
      </c>
      <c r="C171" s="7" t="s">
        <v>188</v>
      </c>
      <c r="D171" s="7" t="s">
        <v>72</v>
      </c>
      <c r="E171" s="7" t="s">
        <v>44</v>
      </c>
      <c r="F171" s="7" t="s">
        <v>16</v>
      </c>
      <c r="G171" s="25">
        <v>45605</v>
      </c>
      <c r="H171" s="7" t="s">
        <v>527</v>
      </c>
      <c r="I171" s="7" t="s">
        <v>527</v>
      </c>
      <c r="J171" s="7"/>
      <c r="K171" s="7"/>
      <c r="L171" s="9"/>
      <c r="M171" s="31" t="s">
        <v>531</v>
      </c>
      <c r="N171" s="11"/>
    </row>
    <row r="172" spans="1:15" x14ac:dyDescent="0.2">
      <c r="A172" s="7">
        <v>171</v>
      </c>
      <c r="B172" s="7" t="s">
        <v>532</v>
      </c>
      <c r="C172" s="7" t="s">
        <v>182</v>
      </c>
      <c r="D172" s="7" t="s">
        <v>333</v>
      </c>
      <c r="E172" s="7" t="s">
        <v>214</v>
      </c>
      <c r="F172" s="7"/>
      <c r="G172" s="7" t="s">
        <v>533</v>
      </c>
      <c r="H172" s="7"/>
      <c r="I172" s="7"/>
      <c r="J172" s="7"/>
      <c r="K172" s="7"/>
      <c r="L172" s="9"/>
      <c r="M172" s="15" t="s">
        <v>534</v>
      </c>
      <c r="N172" s="11"/>
    </row>
    <row r="173" spans="1:15" x14ac:dyDescent="0.2">
      <c r="A173" s="7">
        <v>172</v>
      </c>
      <c r="B173" s="7" t="s">
        <v>535</v>
      </c>
      <c r="C173" s="7" t="s">
        <v>182</v>
      </c>
      <c r="D173" s="7" t="s">
        <v>333</v>
      </c>
      <c r="E173" s="7" t="s">
        <v>25</v>
      </c>
      <c r="F173" s="7"/>
      <c r="G173" s="7" t="s">
        <v>533</v>
      </c>
      <c r="H173" s="7"/>
      <c r="I173" s="7"/>
      <c r="J173" s="7"/>
      <c r="K173" s="7"/>
      <c r="L173" s="9"/>
      <c r="M173" s="15" t="s">
        <v>536</v>
      </c>
      <c r="N173" s="11"/>
    </row>
    <row r="174" spans="1:15" x14ac:dyDescent="0.2">
      <c r="A174" s="7">
        <v>173</v>
      </c>
      <c r="B174" s="7" t="s">
        <v>537</v>
      </c>
      <c r="C174" s="7" t="s">
        <v>236</v>
      </c>
      <c r="D174" s="7" t="s">
        <v>538</v>
      </c>
      <c r="E174" s="7" t="s">
        <v>437</v>
      </c>
      <c r="F174" s="7" t="s">
        <v>16</v>
      </c>
      <c r="G174" s="7" t="s">
        <v>539</v>
      </c>
      <c r="H174" s="7" t="s">
        <v>540</v>
      </c>
      <c r="I174" s="7" t="s">
        <v>541</v>
      </c>
      <c r="J174" s="7"/>
      <c r="K174" s="7"/>
      <c r="L174" s="9"/>
      <c r="M174" s="31" t="s">
        <v>542</v>
      </c>
      <c r="N174" s="11" t="s">
        <v>543</v>
      </c>
      <c r="O174" s="32"/>
    </row>
    <row r="175" spans="1:15" x14ac:dyDescent="0.2">
      <c r="A175" s="7">
        <v>174</v>
      </c>
      <c r="B175" s="7" t="s">
        <v>544</v>
      </c>
      <c r="C175" s="7" t="s">
        <v>236</v>
      </c>
      <c r="D175" s="7" t="s">
        <v>545</v>
      </c>
      <c r="E175" s="7" t="s">
        <v>44</v>
      </c>
      <c r="F175" s="7" t="s">
        <v>16</v>
      </c>
      <c r="G175" s="7" t="s">
        <v>539</v>
      </c>
      <c r="H175" s="7" t="s">
        <v>540</v>
      </c>
      <c r="I175" s="7" t="s">
        <v>546</v>
      </c>
      <c r="J175" s="7"/>
      <c r="K175" s="7"/>
      <c r="L175" s="9"/>
      <c r="M175" s="31" t="s">
        <v>547</v>
      </c>
      <c r="N175" s="11"/>
      <c r="O175" s="32"/>
    </row>
    <row r="176" spans="1:15" x14ac:dyDescent="0.2">
      <c r="A176" s="7">
        <v>175</v>
      </c>
      <c r="B176" s="7" t="s">
        <v>548</v>
      </c>
      <c r="C176" s="7" t="s">
        <v>188</v>
      </c>
      <c r="D176" s="7" t="s">
        <v>414</v>
      </c>
      <c r="E176" s="7" t="s">
        <v>126</v>
      </c>
      <c r="F176" s="7" t="s">
        <v>493</v>
      </c>
      <c r="G176" s="7" t="s">
        <v>549</v>
      </c>
      <c r="H176" s="7" t="s">
        <v>541</v>
      </c>
      <c r="I176" s="7" t="s">
        <v>549</v>
      </c>
      <c r="J176" s="7"/>
      <c r="K176" s="7"/>
      <c r="L176" s="9"/>
      <c r="M176" s="31" t="s">
        <v>550</v>
      </c>
      <c r="N176" s="11" t="s">
        <v>551</v>
      </c>
      <c r="O176" s="32"/>
    </row>
    <row r="177" spans="1:15" x14ac:dyDescent="0.2">
      <c r="A177" s="7">
        <v>176</v>
      </c>
      <c r="B177" s="7" t="s">
        <v>552</v>
      </c>
      <c r="C177" s="7" t="s">
        <v>188</v>
      </c>
      <c r="D177" s="7" t="s">
        <v>553</v>
      </c>
      <c r="E177" s="7" t="s">
        <v>44</v>
      </c>
      <c r="F177" s="7" t="s">
        <v>16</v>
      </c>
      <c r="G177" s="7" t="s">
        <v>541</v>
      </c>
      <c r="H177" s="7" t="s">
        <v>554</v>
      </c>
      <c r="I177" s="7" t="s">
        <v>541</v>
      </c>
      <c r="J177" s="7"/>
      <c r="K177" s="7"/>
      <c r="L177" s="9"/>
      <c r="M177" s="31" t="s">
        <v>555</v>
      </c>
      <c r="N177" s="11"/>
      <c r="O177" s="32"/>
    </row>
    <row r="178" spans="1:15" x14ac:dyDescent="0.2">
      <c r="A178" s="7">
        <v>177</v>
      </c>
      <c r="B178" s="7" t="s">
        <v>556</v>
      </c>
      <c r="C178" s="7" t="s">
        <v>236</v>
      </c>
      <c r="D178" s="7" t="s">
        <v>557</v>
      </c>
      <c r="E178" s="7" t="s">
        <v>437</v>
      </c>
      <c r="F178" s="7" t="s">
        <v>16</v>
      </c>
      <c r="G178" s="7" t="s">
        <v>541</v>
      </c>
      <c r="H178" s="7" t="s">
        <v>554</v>
      </c>
      <c r="I178" s="7" t="s">
        <v>546</v>
      </c>
      <c r="J178" s="7"/>
      <c r="K178" s="7"/>
      <c r="L178" s="24">
        <v>45332</v>
      </c>
      <c r="M178" s="31" t="s">
        <v>558</v>
      </c>
      <c r="N178" s="11"/>
      <c r="O178" s="32"/>
    </row>
    <row r="179" spans="1:15" x14ac:dyDescent="0.2">
      <c r="A179" s="7">
        <v>178</v>
      </c>
      <c r="B179" s="7" t="s">
        <v>559</v>
      </c>
      <c r="C179" s="7" t="s">
        <v>188</v>
      </c>
      <c r="D179" s="7" t="s">
        <v>432</v>
      </c>
      <c r="E179" s="7" t="s">
        <v>126</v>
      </c>
      <c r="F179" s="7" t="s">
        <v>16</v>
      </c>
      <c r="G179" s="25">
        <v>45514</v>
      </c>
      <c r="H179" s="25">
        <v>45636</v>
      </c>
      <c r="I179" s="25">
        <v>45606</v>
      </c>
      <c r="J179" s="7"/>
      <c r="K179" s="7"/>
      <c r="L179" s="9"/>
      <c r="M179" s="31" t="s">
        <v>560</v>
      </c>
      <c r="N179" s="11"/>
      <c r="O179" s="32"/>
    </row>
    <row r="180" spans="1:15" x14ac:dyDescent="0.2">
      <c r="A180" s="7">
        <v>179</v>
      </c>
      <c r="B180" s="7" t="s">
        <v>561</v>
      </c>
      <c r="C180" s="7" t="s">
        <v>203</v>
      </c>
      <c r="D180" s="7" t="s">
        <v>160</v>
      </c>
      <c r="E180" s="7" t="s">
        <v>437</v>
      </c>
      <c r="F180" s="7" t="s">
        <v>16</v>
      </c>
      <c r="G180" s="25">
        <v>45606</v>
      </c>
      <c r="H180" s="7" t="s">
        <v>562</v>
      </c>
      <c r="I180" s="7" t="s">
        <v>563</v>
      </c>
      <c r="J180" s="7"/>
      <c r="K180" s="7"/>
      <c r="L180" s="9" t="s">
        <v>564</v>
      </c>
      <c r="M180" s="35" t="s">
        <v>565</v>
      </c>
      <c r="N180" s="11"/>
      <c r="O180" s="32"/>
    </row>
    <row r="181" spans="1:15" x14ac:dyDescent="0.2">
      <c r="A181" s="7">
        <v>180</v>
      </c>
      <c r="B181" s="7" t="s">
        <v>566</v>
      </c>
      <c r="C181" s="7" t="s">
        <v>182</v>
      </c>
      <c r="D181" s="7" t="s">
        <v>333</v>
      </c>
      <c r="E181" s="7" t="s">
        <v>214</v>
      </c>
      <c r="F181" s="7" t="s">
        <v>16</v>
      </c>
      <c r="G181" s="7" t="s">
        <v>567</v>
      </c>
      <c r="H181" s="7" t="s">
        <v>568</v>
      </c>
      <c r="I181" s="7" t="s">
        <v>569</v>
      </c>
      <c r="J181" s="7"/>
      <c r="K181" s="7"/>
      <c r="L181" s="9"/>
      <c r="M181" s="31" t="s">
        <v>570</v>
      </c>
      <c r="N181" s="11"/>
    </row>
    <row r="182" spans="1:15" x14ac:dyDescent="0.2">
      <c r="A182" s="7">
        <v>181</v>
      </c>
      <c r="B182" s="7" t="s">
        <v>571</v>
      </c>
      <c r="C182" s="7" t="s">
        <v>236</v>
      </c>
      <c r="D182" s="7" t="s">
        <v>84</v>
      </c>
      <c r="E182" s="7" t="s">
        <v>25</v>
      </c>
      <c r="F182" s="7" t="s">
        <v>16</v>
      </c>
      <c r="G182" s="7" t="s">
        <v>572</v>
      </c>
      <c r="H182" s="7" t="s">
        <v>573</v>
      </c>
      <c r="I182" s="7" t="s">
        <v>569</v>
      </c>
      <c r="J182" s="7"/>
      <c r="K182" s="7"/>
      <c r="L182" s="9"/>
      <c r="M182" s="31" t="s">
        <v>574</v>
      </c>
      <c r="N182" s="11"/>
    </row>
    <row r="183" spans="1:15" x14ac:dyDescent="0.2">
      <c r="A183" s="7">
        <v>182</v>
      </c>
      <c r="B183" s="7" t="s">
        <v>575</v>
      </c>
      <c r="C183" s="7" t="s">
        <v>203</v>
      </c>
      <c r="D183" s="7" t="s">
        <v>160</v>
      </c>
      <c r="E183" s="7" t="s">
        <v>44</v>
      </c>
      <c r="F183" s="7" t="s">
        <v>16</v>
      </c>
      <c r="G183" s="7" t="s">
        <v>569</v>
      </c>
      <c r="H183" s="7" t="s">
        <v>576</v>
      </c>
      <c r="I183" s="7" t="s">
        <v>577</v>
      </c>
      <c r="J183" s="7"/>
      <c r="K183" s="7"/>
      <c r="L183" s="9"/>
      <c r="M183" s="31" t="s">
        <v>578</v>
      </c>
      <c r="N183" s="11"/>
    </row>
    <row r="184" spans="1:15" x14ac:dyDescent="0.2">
      <c r="A184" s="7">
        <v>183</v>
      </c>
      <c r="B184" s="7" t="s">
        <v>579</v>
      </c>
      <c r="C184" s="7"/>
      <c r="D184" s="7" t="s">
        <v>580</v>
      </c>
      <c r="E184" s="7" t="s">
        <v>25</v>
      </c>
      <c r="F184" s="7" t="s">
        <v>16</v>
      </c>
      <c r="G184" s="7" t="s">
        <v>576</v>
      </c>
      <c r="H184" s="7" t="s">
        <v>577</v>
      </c>
      <c r="I184" s="7" t="s">
        <v>577</v>
      </c>
      <c r="J184" s="7">
        <v>2</v>
      </c>
      <c r="K184" s="7"/>
      <c r="L184" s="9"/>
      <c r="M184" s="31" t="s">
        <v>581</v>
      </c>
      <c r="N184" s="11"/>
    </row>
    <row r="185" spans="1:15" ht="15" x14ac:dyDescent="0.25">
      <c r="A185" s="7">
        <v>184</v>
      </c>
      <c r="B185" s="7" t="s">
        <v>582</v>
      </c>
      <c r="C185" s="7" t="s">
        <v>236</v>
      </c>
      <c r="D185" s="7" t="s">
        <v>538</v>
      </c>
      <c r="E185" s="7" t="s">
        <v>437</v>
      </c>
      <c r="F185" s="7" t="s">
        <v>16</v>
      </c>
      <c r="G185" s="7" t="s">
        <v>583</v>
      </c>
      <c r="H185" s="7" t="s">
        <v>584</v>
      </c>
      <c r="I185" s="25">
        <v>45302</v>
      </c>
      <c r="J185" s="7"/>
      <c r="K185" s="7"/>
      <c r="M185" s="39" t="s">
        <v>585</v>
      </c>
      <c r="N185" s="11"/>
    </row>
    <row r="186" spans="1:15" x14ac:dyDescent="0.2">
      <c r="A186" s="7">
        <v>185</v>
      </c>
      <c r="B186" s="7" t="s">
        <v>586</v>
      </c>
      <c r="C186" s="7" t="s">
        <v>188</v>
      </c>
      <c r="D186" s="7" t="s">
        <v>587</v>
      </c>
      <c r="E186" s="7" t="s">
        <v>126</v>
      </c>
      <c r="F186" s="7" t="s">
        <v>16</v>
      </c>
      <c r="G186" s="7" t="s">
        <v>577</v>
      </c>
      <c r="H186" s="25">
        <v>45302</v>
      </c>
      <c r="I186" s="7" t="s">
        <v>584</v>
      </c>
      <c r="J186" s="9"/>
      <c r="K186" s="7">
        <v>5</v>
      </c>
      <c r="L186" s="24">
        <v>45750</v>
      </c>
      <c r="M186" s="31" t="s">
        <v>588</v>
      </c>
      <c r="N186" s="11"/>
    </row>
    <row r="187" spans="1:15" x14ac:dyDescent="0.2">
      <c r="A187" s="7">
        <v>186</v>
      </c>
      <c r="B187" s="7" t="s">
        <v>589</v>
      </c>
      <c r="C187" s="7" t="s">
        <v>188</v>
      </c>
      <c r="D187" s="7" t="s">
        <v>78</v>
      </c>
      <c r="E187" s="7" t="s">
        <v>44</v>
      </c>
      <c r="F187" s="7" t="s">
        <v>16</v>
      </c>
      <c r="G187" s="25">
        <v>45454</v>
      </c>
      <c r="H187" s="25">
        <v>45515</v>
      </c>
      <c r="I187" s="25">
        <v>45484</v>
      </c>
      <c r="J187" s="7"/>
      <c r="K187" s="7"/>
      <c r="L187" s="9"/>
      <c r="M187" s="31" t="s">
        <v>590</v>
      </c>
      <c r="N187" s="11"/>
    </row>
    <row r="188" spans="1:15" x14ac:dyDescent="0.2">
      <c r="A188" s="7">
        <v>187</v>
      </c>
      <c r="B188" s="7" t="s">
        <v>591</v>
      </c>
      <c r="C188" s="7" t="s">
        <v>188</v>
      </c>
      <c r="D188" s="7" t="s">
        <v>592</v>
      </c>
      <c r="E188" s="7" t="s">
        <v>214</v>
      </c>
      <c r="F188" s="7" t="s">
        <v>16</v>
      </c>
      <c r="G188" s="25">
        <v>45637</v>
      </c>
      <c r="H188" s="25">
        <v>45607</v>
      </c>
      <c r="I188" s="25">
        <v>45484</v>
      </c>
      <c r="J188" s="7"/>
      <c r="K188" s="7"/>
      <c r="L188" s="9"/>
      <c r="M188" s="31" t="s">
        <v>593</v>
      </c>
      <c r="N188" s="11"/>
    </row>
    <row r="189" spans="1:15" x14ac:dyDescent="0.2">
      <c r="A189" s="7">
        <v>188</v>
      </c>
      <c r="B189" s="7" t="s">
        <v>594</v>
      </c>
      <c r="C189" s="7" t="s">
        <v>203</v>
      </c>
      <c r="D189" s="7" t="s">
        <v>160</v>
      </c>
      <c r="E189" s="7" t="s">
        <v>25</v>
      </c>
      <c r="F189" s="7" t="s">
        <v>16</v>
      </c>
      <c r="G189" s="25">
        <v>45607</v>
      </c>
      <c r="H189" s="7" t="s">
        <v>595</v>
      </c>
      <c r="I189" s="7" t="s">
        <v>595</v>
      </c>
      <c r="J189" s="7"/>
      <c r="K189" s="7"/>
      <c r="L189" s="9"/>
      <c r="M189" s="31" t="s">
        <v>596</v>
      </c>
      <c r="N189" s="11"/>
    </row>
    <row r="190" spans="1:15" ht="15" x14ac:dyDescent="0.25">
      <c r="A190" s="7">
        <v>189</v>
      </c>
      <c r="B190" s="7" t="s">
        <v>597</v>
      </c>
      <c r="C190" s="7" t="s">
        <v>182</v>
      </c>
      <c r="D190" s="7" t="s">
        <v>333</v>
      </c>
      <c r="E190" s="7" t="s">
        <v>126</v>
      </c>
      <c r="F190" s="7" t="s">
        <v>16</v>
      </c>
      <c r="G190" s="25" t="s">
        <v>598</v>
      </c>
      <c r="H190" s="7" t="s">
        <v>599</v>
      </c>
      <c r="I190" s="7" t="s">
        <v>600</v>
      </c>
      <c r="J190" s="7"/>
      <c r="K190" s="7"/>
      <c r="L190" s="9"/>
      <c r="M190" s="40" t="s">
        <v>601</v>
      </c>
      <c r="N190" s="11"/>
    </row>
    <row r="191" spans="1:15" x14ac:dyDescent="0.2">
      <c r="A191" s="7">
        <v>190</v>
      </c>
      <c r="B191" s="7" t="s">
        <v>602</v>
      </c>
      <c r="C191" s="7" t="s">
        <v>188</v>
      </c>
      <c r="D191" s="7" t="s">
        <v>70</v>
      </c>
      <c r="E191" s="7" t="s">
        <v>44</v>
      </c>
      <c r="F191" s="7" t="s">
        <v>16</v>
      </c>
      <c r="G191" s="25" t="s">
        <v>598</v>
      </c>
      <c r="H191" s="7" t="s">
        <v>599</v>
      </c>
      <c r="I191" s="7" t="s">
        <v>603</v>
      </c>
      <c r="J191" s="7"/>
      <c r="K191" s="7"/>
      <c r="L191" s="9"/>
      <c r="M191" s="31" t="s">
        <v>604</v>
      </c>
      <c r="N191" s="11"/>
    </row>
    <row r="192" spans="1:15" x14ac:dyDescent="0.2">
      <c r="A192" s="7">
        <v>191</v>
      </c>
      <c r="B192" s="7" t="s">
        <v>605</v>
      </c>
      <c r="C192" s="7" t="s">
        <v>188</v>
      </c>
      <c r="D192" s="7" t="s">
        <v>606</v>
      </c>
      <c r="E192" s="7" t="s">
        <v>437</v>
      </c>
      <c r="F192" s="7" t="s">
        <v>16</v>
      </c>
      <c r="G192" s="7" t="s">
        <v>603</v>
      </c>
      <c r="H192" s="7" t="s">
        <v>607</v>
      </c>
      <c r="I192" s="25">
        <v>45394</v>
      </c>
      <c r="J192" s="7"/>
      <c r="K192" s="7"/>
      <c r="L192" s="9"/>
      <c r="M192" s="31" t="s">
        <v>608</v>
      </c>
      <c r="N192" s="11"/>
    </row>
    <row r="193" spans="1:14" x14ac:dyDescent="0.2">
      <c r="A193" s="7">
        <v>192</v>
      </c>
      <c r="B193" s="7" t="s">
        <v>609</v>
      </c>
      <c r="C193" s="7" t="s">
        <v>188</v>
      </c>
      <c r="D193" s="7" t="s">
        <v>98</v>
      </c>
      <c r="E193" s="7" t="s">
        <v>126</v>
      </c>
      <c r="F193" s="7" t="s">
        <v>16</v>
      </c>
      <c r="G193" s="7" t="s">
        <v>610</v>
      </c>
      <c r="H193" s="25">
        <v>45334</v>
      </c>
      <c r="I193" s="7" t="s">
        <v>610</v>
      </c>
      <c r="J193" s="7"/>
      <c r="K193" s="7"/>
      <c r="L193" s="9"/>
      <c r="M193" s="31" t="s">
        <v>611</v>
      </c>
      <c r="N193" s="11" t="s">
        <v>612</v>
      </c>
    </row>
    <row r="194" spans="1:14" x14ac:dyDescent="0.2">
      <c r="A194" s="7">
        <v>193</v>
      </c>
      <c r="B194" s="7" t="s">
        <v>613</v>
      </c>
      <c r="C194" s="7" t="s">
        <v>188</v>
      </c>
      <c r="D194" s="7" t="s">
        <v>33</v>
      </c>
      <c r="E194" s="7" t="s">
        <v>214</v>
      </c>
      <c r="F194" s="7" t="s">
        <v>16</v>
      </c>
      <c r="G194" s="25">
        <v>45334</v>
      </c>
      <c r="H194" s="25">
        <v>45394</v>
      </c>
      <c r="I194" s="25">
        <v>45334</v>
      </c>
      <c r="J194" s="7"/>
      <c r="K194" s="7"/>
      <c r="L194" s="9"/>
      <c r="M194" s="31" t="s">
        <v>614</v>
      </c>
      <c r="N194" s="11"/>
    </row>
    <row r="195" spans="1:14" x14ac:dyDescent="0.2">
      <c r="A195" s="7">
        <v>194</v>
      </c>
      <c r="B195" s="7" t="s">
        <v>615</v>
      </c>
      <c r="C195" s="7" t="s">
        <v>188</v>
      </c>
      <c r="D195" s="7" t="s">
        <v>616</v>
      </c>
      <c r="E195" s="7" t="s">
        <v>126</v>
      </c>
      <c r="F195" s="7" t="s">
        <v>16</v>
      </c>
      <c r="G195" s="25">
        <v>45577</v>
      </c>
      <c r="H195" s="25">
        <v>45638</v>
      </c>
      <c r="I195" s="25">
        <v>45577</v>
      </c>
      <c r="J195" s="7"/>
      <c r="K195" s="7"/>
      <c r="L195" s="9"/>
      <c r="M195" s="31" t="s">
        <v>617</v>
      </c>
      <c r="N195" s="41" t="s">
        <v>618</v>
      </c>
    </row>
    <row r="196" spans="1:14" x14ac:dyDescent="0.2">
      <c r="A196" s="7">
        <v>195</v>
      </c>
      <c r="B196" s="7" t="s">
        <v>619</v>
      </c>
      <c r="C196" s="7" t="s">
        <v>188</v>
      </c>
      <c r="D196" s="7" t="s">
        <v>414</v>
      </c>
      <c r="E196" s="7" t="s">
        <v>25</v>
      </c>
      <c r="F196" s="7" t="s">
        <v>16</v>
      </c>
      <c r="G196" s="25">
        <v>45608</v>
      </c>
      <c r="H196" s="25" t="s">
        <v>620</v>
      </c>
      <c r="I196" s="25">
        <v>45638</v>
      </c>
      <c r="J196" s="7"/>
      <c r="K196" s="7"/>
      <c r="L196" s="9"/>
      <c r="M196" s="35" t="s">
        <v>621</v>
      </c>
      <c r="N196" s="11"/>
    </row>
    <row r="197" spans="1:14" x14ac:dyDescent="0.2">
      <c r="A197" s="7">
        <v>196</v>
      </c>
      <c r="B197" s="7" t="s">
        <v>622</v>
      </c>
      <c r="C197" s="7" t="s">
        <v>188</v>
      </c>
      <c r="D197" s="7" t="s">
        <v>461</v>
      </c>
      <c r="E197" s="7" t="s">
        <v>437</v>
      </c>
      <c r="F197" s="7" t="s">
        <v>16</v>
      </c>
      <c r="G197" s="7" t="s">
        <v>623</v>
      </c>
      <c r="H197" s="7" t="s">
        <v>624</v>
      </c>
      <c r="I197" s="7" t="s">
        <v>564</v>
      </c>
      <c r="J197" s="7"/>
      <c r="K197" s="7"/>
      <c r="L197" s="9"/>
      <c r="M197" s="10" t="s">
        <v>625</v>
      </c>
      <c r="N197" s="11"/>
    </row>
    <row r="198" spans="1:14" x14ac:dyDescent="0.2">
      <c r="A198" s="7">
        <v>197</v>
      </c>
      <c r="B198" s="7" t="s">
        <v>626</v>
      </c>
      <c r="C198" s="7" t="s">
        <v>188</v>
      </c>
      <c r="D198" s="7" t="s">
        <v>98</v>
      </c>
      <c r="E198" s="7" t="s">
        <v>44</v>
      </c>
      <c r="F198" s="7" t="s">
        <v>16</v>
      </c>
      <c r="G198" s="7" t="s">
        <v>623</v>
      </c>
      <c r="H198" s="7" t="s">
        <v>627</v>
      </c>
      <c r="I198" s="7" t="s">
        <v>627</v>
      </c>
      <c r="J198" s="7"/>
      <c r="K198" s="7"/>
      <c r="L198" s="9"/>
      <c r="M198" s="10" t="s">
        <v>628</v>
      </c>
      <c r="N198" s="11" t="s">
        <v>629</v>
      </c>
    </row>
    <row r="199" spans="1:14" x14ac:dyDescent="0.2">
      <c r="A199" s="7">
        <v>198</v>
      </c>
      <c r="B199" s="7" t="s">
        <v>630</v>
      </c>
      <c r="C199" s="7" t="s">
        <v>188</v>
      </c>
      <c r="D199" s="7" t="s">
        <v>98</v>
      </c>
      <c r="E199" s="7" t="s">
        <v>25</v>
      </c>
      <c r="F199" s="7" t="s">
        <v>16</v>
      </c>
      <c r="G199" s="7" t="s">
        <v>623</v>
      </c>
      <c r="H199" s="7" t="s">
        <v>627</v>
      </c>
      <c r="I199" s="7" t="s">
        <v>627</v>
      </c>
      <c r="J199" s="7"/>
      <c r="K199" s="7"/>
      <c r="L199" s="9"/>
      <c r="M199" s="10" t="s">
        <v>631</v>
      </c>
      <c r="N199" s="11"/>
    </row>
    <row r="200" spans="1:14" x14ac:dyDescent="0.2">
      <c r="A200" s="7">
        <v>199</v>
      </c>
      <c r="B200" s="7" t="s">
        <v>632</v>
      </c>
      <c r="C200" s="7" t="s">
        <v>188</v>
      </c>
      <c r="D200" s="7" t="s">
        <v>98</v>
      </c>
      <c r="E200" s="7" t="s">
        <v>214</v>
      </c>
      <c r="F200" s="7" t="s">
        <v>16</v>
      </c>
      <c r="G200" s="7" t="s">
        <v>623</v>
      </c>
      <c r="H200" s="7" t="s">
        <v>627</v>
      </c>
      <c r="I200" s="7" t="s">
        <v>627</v>
      </c>
      <c r="J200" s="7"/>
      <c r="K200" s="7"/>
      <c r="L200" s="9"/>
      <c r="M200" s="10" t="s">
        <v>633</v>
      </c>
      <c r="N200" s="11"/>
    </row>
    <row r="201" spans="1:14" x14ac:dyDescent="0.2">
      <c r="A201" s="7">
        <v>200</v>
      </c>
      <c r="B201" s="7" t="s">
        <v>634</v>
      </c>
      <c r="C201" s="7" t="s">
        <v>188</v>
      </c>
      <c r="D201" s="7" t="s">
        <v>635</v>
      </c>
      <c r="E201" s="7" t="s">
        <v>437</v>
      </c>
      <c r="F201" s="7" t="s">
        <v>16</v>
      </c>
      <c r="G201" s="25">
        <v>45717</v>
      </c>
      <c r="H201" s="25">
        <v>45839</v>
      </c>
      <c r="I201" s="25">
        <v>45839</v>
      </c>
      <c r="J201" s="7"/>
      <c r="K201" s="7"/>
      <c r="L201" s="9"/>
      <c r="M201" s="10" t="s">
        <v>636</v>
      </c>
      <c r="N201" s="11"/>
    </row>
    <row r="202" spans="1:14" x14ac:dyDescent="0.2">
      <c r="A202" s="7">
        <v>201</v>
      </c>
      <c r="B202" s="7" t="s">
        <v>637</v>
      </c>
      <c r="C202" s="7" t="s">
        <v>188</v>
      </c>
      <c r="D202" s="7" t="s">
        <v>638</v>
      </c>
      <c r="E202" s="7" t="s">
        <v>44</v>
      </c>
      <c r="F202" s="7" t="s">
        <v>16</v>
      </c>
      <c r="G202" s="25">
        <v>45839</v>
      </c>
      <c r="H202" s="25">
        <v>45901</v>
      </c>
      <c r="I202" s="25">
        <v>45870</v>
      </c>
      <c r="J202" s="7"/>
      <c r="K202" s="7"/>
      <c r="L202" s="24">
        <v>45931</v>
      </c>
      <c r="M202" s="10" t="s">
        <v>639</v>
      </c>
      <c r="N202" s="11"/>
    </row>
    <row r="203" spans="1:14" x14ac:dyDescent="0.2">
      <c r="A203" s="7">
        <v>202</v>
      </c>
      <c r="B203" s="7" t="s">
        <v>640</v>
      </c>
      <c r="C203" s="7" t="s">
        <v>188</v>
      </c>
      <c r="D203" s="7" t="s">
        <v>641</v>
      </c>
      <c r="E203" s="7" t="s">
        <v>126</v>
      </c>
      <c r="F203" s="7" t="s">
        <v>16</v>
      </c>
      <c r="G203" s="25" t="s">
        <v>642</v>
      </c>
      <c r="H203" s="7" t="s">
        <v>643</v>
      </c>
      <c r="I203" s="7" t="s">
        <v>644</v>
      </c>
      <c r="J203" s="7"/>
      <c r="K203" s="7"/>
      <c r="L203" s="9"/>
      <c r="M203" s="10" t="s">
        <v>645</v>
      </c>
      <c r="N203" s="11"/>
    </row>
    <row r="204" spans="1:14" x14ac:dyDescent="0.2">
      <c r="A204" s="7">
        <v>203</v>
      </c>
      <c r="B204" s="7" t="s">
        <v>646</v>
      </c>
      <c r="C204" s="7" t="s">
        <v>188</v>
      </c>
      <c r="D204" s="7" t="s">
        <v>402</v>
      </c>
      <c r="E204" s="7" t="s">
        <v>25</v>
      </c>
      <c r="F204" s="7" t="s">
        <v>16</v>
      </c>
      <c r="G204" s="7" t="s">
        <v>644</v>
      </c>
      <c r="H204" s="7" t="s">
        <v>647</v>
      </c>
      <c r="I204" s="7" t="s">
        <v>647</v>
      </c>
      <c r="J204" s="7"/>
      <c r="K204" s="7"/>
      <c r="L204" s="9"/>
      <c r="M204" s="10" t="s">
        <v>648</v>
      </c>
      <c r="N204" s="11"/>
    </row>
    <row r="205" spans="1:14" x14ac:dyDescent="0.2">
      <c r="A205" s="7">
        <v>204</v>
      </c>
      <c r="B205" s="7" t="s">
        <v>649</v>
      </c>
      <c r="C205" s="7" t="s">
        <v>188</v>
      </c>
      <c r="D205" s="7" t="s">
        <v>606</v>
      </c>
      <c r="E205" s="7" t="s">
        <v>214</v>
      </c>
      <c r="F205" s="7" t="s">
        <v>16</v>
      </c>
      <c r="G205" s="7" t="s">
        <v>647</v>
      </c>
      <c r="H205" s="7" t="s">
        <v>650</v>
      </c>
      <c r="I205" s="7" t="s">
        <v>647</v>
      </c>
      <c r="J205" s="7"/>
      <c r="K205" s="7"/>
      <c r="L205" s="9"/>
      <c r="M205" s="10" t="s">
        <v>651</v>
      </c>
      <c r="N205" s="11"/>
    </row>
    <row r="206" spans="1:14" x14ac:dyDescent="0.2">
      <c r="A206" s="7">
        <v>205</v>
      </c>
      <c r="B206" s="7" t="s">
        <v>652</v>
      </c>
      <c r="C206" s="7" t="s">
        <v>653</v>
      </c>
      <c r="D206" s="7" t="s">
        <v>654</v>
      </c>
      <c r="E206" s="7" t="s">
        <v>437</v>
      </c>
      <c r="F206" s="7" t="s">
        <v>16</v>
      </c>
      <c r="G206" s="7" t="s">
        <v>655</v>
      </c>
      <c r="H206" s="7" t="s">
        <v>656</v>
      </c>
      <c r="I206" s="7" t="s">
        <v>657</v>
      </c>
      <c r="J206" s="7"/>
      <c r="K206" s="7"/>
      <c r="L206" s="9"/>
      <c r="M206" s="10" t="s">
        <v>658</v>
      </c>
      <c r="N206" s="11"/>
    </row>
    <row r="207" spans="1:14" x14ac:dyDescent="0.2">
      <c r="A207" s="7">
        <v>206</v>
      </c>
      <c r="B207" s="7" t="s">
        <v>659</v>
      </c>
      <c r="C207" s="7" t="s">
        <v>236</v>
      </c>
      <c r="D207" s="7" t="s">
        <v>20</v>
      </c>
      <c r="E207" s="7" t="s">
        <v>44</v>
      </c>
      <c r="F207" s="7" t="s">
        <v>16</v>
      </c>
      <c r="G207" s="7" t="s">
        <v>655</v>
      </c>
      <c r="H207" s="7" t="s">
        <v>656</v>
      </c>
      <c r="I207" s="7" t="s">
        <v>656</v>
      </c>
      <c r="J207" s="7">
        <v>2</v>
      </c>
      <c r="K207" s="7"/>
      <c r="L207" s="9"/>
      <c r="M207" s="10" t="s">
        <v>660</v>
      </c>
      <c r="N207" s="11"/>
    </row>
    <row r="208" spans="1:14" x14ac:dyDescent="0.2">
      <c r="A208" s="7">
        <v>207</v>
      </c>
      <c r="B208" s="7" t="s">
        <v>661</v>
      </c>
      <c r="C208" s="7" t="s">
        <v>188</v>
      </c>
      <c r="D208" s="7" t="s">
        <v>662</v>
      </c>
      <c r="E208" s="7" t="s">
        <v>25</v>
      </c>
      <c r="F208" s="7" t="s">
        <v>16</v>
      </c>
      <c r="G208" s="7" t="s">
        <v>650</v>
      </c>
      <c r="H208" s="7" t="s">
        <v>663</v>
      </c>
      <c r="I208" s="7" t="s">
        <v>650</v>
      </c>
      <c r="J208" s="7"/>
      <c r="K208" s="7"/>
      <c r="L208" s="9"/>
      <c r="M208" s="10" t="s">
        <v>664</v>
      </c>
      <c r="N208" s="11"/>
    </row>
    <row r="209" spans="1:14" x14ac:dyDescent="0.2">
      <c r="A209" s="7">
        <v>208</v>
      </c>
      <c r="B209" s="7" t="s">
        <v>665</v>
      </c>
      <c r="C209" s="7" t="s">
        <v>236</v>
      </c>
      <c r="D209" s="7" t="s">
        <v>271</v>
      </c>
      <c r="E209" s="7" t="s">
        <v>437</v>
      </c>
      <c r="F209" s="7" t="s">
        <v>16</v>
      </c>
      <c r="G209" s="7" t="s">
        <v>650</v>
      </c>
      <c r="H209" s="7" t="s">
        <v>663</v>
      </c>
      <c r="I209" s="7" t="s">
        <v>656</v>
      </c>
      <c r="J209" s="7"/>
      <c r="K209" s="7"/>
      <c r="L209" s="9"/>
      <c r="M209" s="10" t="s">
        <v>666</v>
      </c>
      <c r="N209" s="11"/>
    </row>
    <row r="210" spans="1:14" x14ac:dyDescent="0.2">
      <c r="A210" s="7">
        <v>209</v>
      </c>
      <c r="B210" s="7" t="s">
        <v>667</v>
      </c>
      <c r="C210" s="7" t="s">
        <v>188</v>
      </c>
      <c r="D210" s="7" t="s">
        <v>668</v>
      </c>
      <c r="E210" s="7" t="s">
        <v>44</v>
      </c>
      <c r="F210" s="7" t="s">
        <v>16</v>
      </c>
      <c r="G210" s="25">
        <v>45810</v>
      </c>
      <c r="H210" s="25">
        <v>45932</v>
      </c>
      <c r="I210" s="25">
        <v>45993</v>
      </c>
      <c r="J210" s="7"/>
      <c r="K210" s="7"/>
      <c r="L210" s="9" t="s">
        <v>669</v>
      </c>
      <c r="M210" s="10" t="s">
        <v>670</v>
      </c>
      <c r="N210" s="11"/>
    </row>
    <row r="211" spans="1:14" x14ac:dyDescent="0.2">
      <c r="A211" s="7">
        <v>210</v>
      </c>
      <c r="B211" s="7" t="s">
        <v>671</v>
      </c>
      <c r="C211" s="7" t="s">
        <v>653</v>
      </c>
      <c r="D211" s="7" t="s">
        <v>672</v>
      </c>
      <c r="E211" s="7" t="s">
        <v>126</v>
      </c>
      <c r="F211" s="7" t="s">
        <v>16</v>
      </c>
      <c r="G211" s="25">
        <v>45810</v>
      </c>
      <c r="H211" s="25">
        <v>45932</v>
      </c>
      <c r="I211" s="25">
        <v>45963</v>
      </c>
      <c r="J211" s="7"/>
      <c r="K211" s="7"/>
      <c r="L211" s="9"/>
      <c r="M211" s="10" t="s">
        <v>673</v>
      </c>
      <c r="N211" s="11"/>
    </row>
    <row r="212" spans="1:14" x14ac:dyDescent="0.2">
      <c r="A212" s="7">
        <v>211</v>
      </c>
      <c r="B212" s="7" t="s">
        <v>674</v>
      </c>
      <c r="C212" s="7" t="s">
        <v>188</v>
      </c>
      <c r="D212" s="7" t="s">
        <v>419</v>
      </c>
      <c r="E212" s="7" t="s">
        <v>25</v>
      </c>
      <c r="F212" s="7" t="s">
        <v>16</v>
      </c>
      <c r="G212" s="25">
        <v>45840</v>
      </c>
      <c r="H212" s="25">
        <v>45993</v>
      </c>
      <c r="I212" s="25">
        <v>45993</v>
      </c>
      <c r="J212" s="7"/>
      <c r="K212" s="7"/>
      <c r="L212" s="9"/>
      <c r="M212" s="10" t="s">
        <v>675</v>
      </c>
    </row>
    <row r="213" spans="1:14" x14ac:dyDescent="0.2">
      <c r="A213" s="7">
        <v>212</v>
      </c>
      <c r="B213" s="7" t="s">
        <v>676</v>
      </c>
      <c r="C213" s="7" t="s">
        <v>188</v>
      </c>
      <c r="D213" s="7" t="s">
        <v>641</v>
      </c>
      <c r="E213" s="7" t="s">
        <v>25</v>
      </c>
      <c r="F213" s="7" t="s">
        <v>16</v>
      </c>
      <c r="G213" s="25">
        <v>45993</v>
      </c>
      <c r="H213" s="7" t="s">
        <v>677</v>
      </c>
      <c r="I213" s="25">
        <v>45993</v>
      </c>
      <c r="J213" s="7"/>
      <c r="K213" s="7"/>
      <c r="L213" s="9"/>
      <c r="M213" s="10" t="s">
        <v>678</v>
      </c>
      <c r="N213" s="11"/>
    </row>
    <row r="214" spans="1:14" x14ac:dyDescent="0.2">
      <c r="A214" s="7">
        <v>213</v>
      </c>
      <c r="B214" s="7" t="s">
        <v>679</v>
      </c>
      <c r="C214" s="7" t="s">
        <v>188</v>
      </c>
      <c r="D214" s="7" t="s">
        <v>680</v>
      </c>
      <c r="E214" s="7" t="s">
        <v>437</v>
      </c>
      <c r="F214" s="7" t="s">
        <v>16</v>
      </c>
      <c r="G214" s="25">
        <v>45993</v>
      </c>
      <c r="H214" s="7" t="s">
        <v>677</v>
      </c>
      <c r="I214" s="25">
        <v>45993</v>
      </c>
      <c r="J214" s="7"/>
      <c r="K214" s="7"/>
      <c r="L214" s="9"/>
      <c r="M214" s="10" t="s">
        <v>681</v>
      </c>
      <c r="N214" s="11"/>
    </row>
    <row r="215" spans="1:14" x14ac:dyDescent="0.2">
      <c r="A215" s="7">
        <v>214</v>
      </c>
      <c r="B215" s="7" t="s">
        <v>682</v>
      </c>
      <c r="C215" s="7" t="s">
        <v>236</v>
      </c>
      <c r="D215" s="7" t="s">
        <v>86</v>
      </c>
      <c r="E215" s="7" t="s">
        <v>214</v>
      </c>
      <c r="F215" s="7" t="s">
        <v>16</v>
      </c>
      <c r="G215" s="7" t="s">
        <v>683</v>
      </c>
      <c r="H215" s="7" t="s">
        <v>684</v>
      </c>
      <c r="I215" s="7" t="s">
        <v>684</v>
      </c>
      <c r="J215" s="7"/>
      <c r="K215" s="7"/>
      <c r="L215" s="9"/>
      <c r="M215" s="10" t="s">
        <v>685</v>
      </c>
      <c r="N215" s="11"/>
    </row>
    <row r="216" spans="1:14" x14ac:dyDescent="0.2">
      <c r="A216" s="7">
        <v>215</v>
      </c>
      <c r="B216" s="7" t="s">
        <v>686</v>
      </c>
      <c r="C216" s="7" t="s">
        <v>188</v>
      </c>
      <c r="D216" s="7" t="s">
        <v>580</v>
      </c>
      <c r="E216" s="7" t="s">
        <v>25</v>
      </c>
      <c r="F216" s="7" t="s">
        <v>16</v>
      </c>
      <c r="G216" s="7" t="s">
        <v>684</v>
      </c>
      <c r="H216" s="7" t="s">
        <v>669</v>
      </c>
      <c r="I216" s="7" t="s">
        <v>687</v>
      </c>
      <c r="J216" s="7"/>
      <c r="K216" s="7"/>
      <c r="L216" s="9"/>
      <c r="M216" s="10" t="s">
        <v>688</v>
      </c>
      <c r="N216" s="11"/>
    </row>
    <row r="217" spans="1:14" x14ac:dyDescent="0.2">
      <c r="A217" s="7">
        <v>216</v>
      </c>
      <c r="B217" s="7" t="s">
        <v>689</v>
      </c>
      <c r="C217" s="7" t="s">
        <v>236</v>
      </c>
      <c r="D217" s="7" t="s">
        <v>557</v>
      </c>
      <c r="E217" s="7" t="s">
        <v>437</v>
      </c>
      <c r="F217" s="7" t="s">
        <v>16</v>
      </c>
      <c r="G217" s="7" t="s">
        <v>684</v>
      </c>
      <c r="H217" s="7" t="s">
        <v>669</v>
      </c>
      <c r="I217" s="7" t="s">
        <v>690</v>
      </c>
      <c r="J217" s="7"/>
      <c r="K217" s="7"/>
      <c r="L217" s="9"/>
      <c r="M217" s="10" t="s">
        <v>691</v>
      </c>
      <c r="N217" s="11"/>
    </row>
    <row r="218" spans="1:14" x14ac:dyDescent="0.2">
      <c r="A218" s="7">
        <v>217</v>
      </c>
      <c r="B218" s="7" t="s">
        <v>692</v>
      </c>
      <c r="C218" s="7" t="s">
        <v>203</v>
      </c>
      <c r="D218" s="7" t="s">
        <v>160</v>
      </c>
      <c r="E218" s="7" t="s">
        <v>44</v>
      </c>
      <c r="F218" s="7" t="s">
        <v>16</v>
      </c>
      <c r="G218" s="7" t="s">
        <v>693</v>
      </c>
      <c r="H218" s="7" t="s">
        <v>694</v>
      </c>
      <c r="I218" s="7" t="s">
        <v>695</v>
      </c>
      <c r="J218" s="7"/>
      <c r="K218" s="7"/>
      <c r="L218" s="9"/>
      <c r="M218" s="10" t="s">
        <v>696</v>
      </c>
      <c r="N218" s="11"/>
    </row>
    <row r="219" spans="1:14" x14ac:dyDescent="0.2">
      <c r="A219" s="7">
        <v>218</v>
      </c>
      <c r="B219" s="7" t="s">
        <v>697</v>
      </c>
      <c r="C219" s="7" t="s">
        <v>188</v>
      </c>
      <c r="D219" s="7" t="s">
        <v>27</v>
      </c>
      <c r="E219" s="7" t="s">
        <v>126</v>
      </c>
      <c r="F219" s="7" t="s">
        <v>16</v>
      </c>
      <c r="G219" s="7" t="s">
        <v>694</v>
      </c>
      <c r="H219" s="25">
        <v>45719</v>
      </c>
      <c r="I219" s="7" t="s">
        <v>694</v>
      </c>
      <c r="J219" s="7"/>
      <c r="K219" s="7"/>
      <c r="L219" s="9" t="s">
        <v>698</v>
      </c>
      <c r="M219" s="10" t="s">
        <v>699</v>
      </c>
      <c r="N219" s="11"/>
    </row>
    <row r="220" spans="1:14" x14ac:dyDescent="0.2">
      <c r="A220" s="7">
        <v>219</v>
      </c>
      <c r="B220" s="7" t="s">
        <v>700</v>
      </c>
      <c r="C220" s="7" t="s">
        <v>188</v>
      </c>
      <c r="D220" s="7" t="s">
        <v>224</v>
      </c>
      <c r="E220" s="7" t="s">
        <v>214</v>
      </c>
      <c r="F220" s="7" t="s">
        <v>16</v>
      </c>
      <c r="G220" s="7" t="s">
        <v>694</v>
      </c>
      <c r="H220" s="25">
        <v>45719</v>
      </c>
      <c r="I220" s="7" t="s">
        <v>694</v>
      </c>
      <c r="J220" s="7"/>
      <c r="K220" s="7"/>
      <c r="L220" s="9"/>
      <c r="M220" s="10" t="s">
        <v>701</v>
      </c>
      <c r="N220" s="11"/>
    </row>
    <row r="221" spans="1:14" x14ac:dyDescent="0.2">
      <c r="A221" s="7">
        <v>220</v>
      </c>
      <c r="B221" s="7" t="s">
        <v>702</v>
      </c>
      <c r="C221" s="7" t="s">
        <v>188</v>
      </c>
      <c r="D221" s="7" t="s">
        <v>703</v>
      </c>
      <c r="E221" s="7" t="s">
        <v>437</v>
      </c>
      <c r="F221" s="7" t="s">
        <v>16</v>
      </c>
      <c r="G221" s="7" t="s">
        <v>698</v>
      </c>
      <c r="H221" s="25">
        <v>45750</v>
      </c>
      <c r="I221" s="25">
        <v>45114</v>
      </c>
      <c r="J221" s="7"/>
      <c r="K221" s="7"/>
      <c r="L221" s="9"/>
      <c r="M221" s="10" t="s">
        <v>704</v>
      </c>
      <c r="N221" s="11"/>
    </row>
    <row r="222" spans="1:14" x14ac:dyDescent="0.2">
      <c r="A222" s="7">
        <v>221</v>
      </c>
      <c r="B222" s="7" t="s">
        <v>705</v>
      </c>
      <c r="C222" s="7" t="s">
        <v>188</v>
      </c>
      <c r="D222" s="7" t="s">
        <v>706</v>
      </c>
      <c r="E222" s="7" t="s">
        <v>25</v>
      </c>
      <c r="F222" s="7" t="s">
        <v>16</v>
      </c>
      <c r="G222" s="25">
        <v>45719</v>
      </c>
      <c r="H222" s="25">
        <v>45780</v>
      </c>
      <c r="I222" s="25">
        <v>45841</v>
      </c>
      <c r="J222" s="7"/>
      <c r="K222" s="7"/>
      <c r="L222" s="9"/>
      <c r="M222" s="10" t="s">
        <v>707</v>
      </c>
      <c r="N222" s="11"/>
    </row>
    <row r="223" spans="1:14" x14ac:dyDescent="0.2">
      <c r="A223" s="7">
        <v>222</v>
      </c>
      <c r="B223" s="7" t="s">
        <v>708</v>
      </c>
      <c r="C223" s="7" t="s">
        <v>236</v>
      </c>
      <c r="D223" s="7" t="s">
        <v>298</v>
      </c>
      <c r="E223" s="7" t="s">
        <v>437</v>
      </c>
      <c r="F223" s="7" t="s">
        <v>16</v>
      </c>
      <c r="G223" s="25">
        <v>45841</v>
      </c>
      <c r="H223" s="25">
        <v>45964</v>
      </c>
      <c r="I223" s="7" t="s">
        <v>709</v>
      </c>
      <c r="J223" s="7"/>
      <c r="K223" s="7"/>
      <c r="L223" s="9"/>
      <c r="M223" s="10" t="s">
        <v>710</v>
      </c>
      <c r="N223" s="11"/>
    </row>
    <row r="224" spans="1:14" x14ac:dyDescent="0.2">
      <c r="A224" s="7">
        <v>223</v>
      </c>
      <c r="B224" s="7" t="s">
        <v>711</v>
      </c>
      <c r="C224" s="7" t="s">
        <v>203</v>
      </c>
      <c r="D224" s="7" t="s">
        <v>204</v>
      </c>
      <c r="E224" s="7" t="s">
        <v>126</v>
      </c>
      <c r="F224" s="7" t="s">
        <v>16</v>
      </c>
      <c r="G224" s="25">
        <v>45841</v>
      </c>
      <c r="H224" s="25">
        <v>45964</v>
      </c>
      <c r="I224" s="7" t="s">
        <v>712</v>
      </c>
      <c r="J224" s="7"/>
      <c r="K224" s="7"/>
      <c r="L224" s="9"/>
      <c r="M224" s="10" t="s">
        <v>713</v>
      </c>
      <c r="N224" s="11"/>
    </row>
    <row r="225" spans="1:14" x14ac:dyDescent="0.2">
      <c r="A225" s="7">
        <v>224</v>
      </c>
      <c r="B225" s="7" t="s">
        <v>714</v>
      </c>
      <c r="C225" s="7" t="s">
        <v>188</v>
      </c>
      <c r="D225" s="7" t="s">
        <v>76</v>
      </c>
      <c r="E225" s="7" t="s">
        <v>44</v>
      </c>
      <c r="F225" s="7" t="s">
        <v>16</v>
      </c>
      <c r="G225" s="7" t="s">
        <v>715</v>
      </c>
      <c r="H225" s="7" t="s">
        <v>716</v>
      </c>
      <c r="I225" s="7" t="s">
        <v>715</v>
      </c>
      <c r="J225" s="7"/>
      <c r="K225" s="7"/>
      <c r="L225" s="9"/>
      <c r="M225" s="10" t="s">
        <v>717</v>
      </c>
      <c r="N225" s="11" t="s">
        <v>289</v>
      </c>
    </row>
    <row r="226" spans="1:14" x14ac:dyDescent="0.2">
      <c r="A226" s="7">
        <v>225</v>
      </c>
      <c r="B226" s="7" t="s">
        <v>718</v>
      </c>
      <c r="C226" s="7" t="s">
        <v>188</v>
      </c>
      <c r="D226" s="7" t="s">
        <v>719</v>
      </c>
      <c r="E226" s="7" t="s">
        <v>214</v>
      </c>
      <c r="F226" s="7" t="s">
        <v>16</v>
      </c>
      <c r="G226" s="7" t="s">
        <v>709</v>
      </c>
      <c r="H226" s="7" t="s">
        <v>720</v>
      </c>
      <c r="I226" s="7" t="s">
        <v>709</v>
      </c>
      <c r="J226" s="7"/>
      <c r="K226" s="7"/>
      <c r="L226" s="9"/>
      <c r="M226" s="10" t="s">
        <v>721</v>
      </c>
      <c r="N226" s="11"/>
    </row>
    <row r="227" spans="1:14" x14ac:dyDescent="0.2">
      <c r="A227" s="7">
        <v>226</v>
      </c>
      <c r="B227" s="7" t="s">
        <v>722</v>
      </c>
      <c r="C227" s="7" t="s">
        <v>188</v>
      </c>
      <c r="D227" s="7" t="s">
        <v>419</v>
      </c>
      <c r="E227" s="7" t="s">
        <v>25</v>
      </c>
      <c r="F227" s="7" t="s">
        <v>16</v>
      </c>
      <c r="G227" s="7" t="s">
        <v>723</v>
      </c>
      <c r="H227" s="7" t="s">
        <v>724</v>
      </c>
      <c r="I227" s="7" t="s">
        <v>725</v>
      </c>
      <c r="J227" s="7"/>
      <c r="K227" s="7"/>
      <c r="L227" s="9"/>
      <c r="M227" s="10" t="s">
        <v>726</v>
      </c>
      <c r="N227" s="11"/>
    </row>
    <row r="228" spans="1:14" x14ac:dyDescent="0.2">
      <c r="A228" s="7">
        <v>227</v>
      </c>
      <c r="B228" s="7" t="s">
        <v>727</v>
      </c>
      <c r="C228" s="7" t="s">
        <v>728</v>
      </c>
      <c r="D228" s="7" t="s">
        <v>729</v>
      </c>
      <c r="E228" s="7" t="s">
        <v>437</v>
      </c>
      <c r="F228" s="7" t="s">
        <v>16</v>
      </c>
      <c r="G228" s="7" t="s">
        <v>730</v>
      </c>
      <c r="H228" s="25">
        <v>45692</v>
      </c>
      <c r="I228" s="25">
        <v>45720</v>
      </c>
      <c r="J228" s="7"/>
      <c r="K228" s="7"/>
      <c r="L228" s="9"/>
      <c r="M228" s="10" t="s">
        <v>731</v>
      </c>
      <c r="N228" s="11"/>
    </row>
    <row r="229" spans="1:14" x14ac:dyDescent="0.2">
      <c r="A229" s="7">
        <v>228</v>
      </c>
      <c r="B229" s="7" t="s">
        <v>732</v>
      </c>
      <c r="C229" s="7" t="s">
        <v>188</v>
      </c>
      <c r="D229" s="7" t="s">
        <v>76</v>
      </c>
      <c r="E229" s="7" t="s">
        <v>44</v>
      </c>
      <c r="F229" s="7" t="s">
        <v>16</v>
      </c>
      <c r="G229" s="25">
        <v>45661</v>
      </c>
      <c r="H229" s="25">
        <v>45720</v>
      </c>
      <c r="I229" s="25">
        <v>45720</v>
      </c>
      <c r="J229" s="7"/>
      <c r="K229" s="7"/>
      <c r="L229" s="9"/>
      <c r="M229" s="10" t="s">
        <v>733</v>
      </c>
      <c r="N229" s="11"/>
    </row>
    <row r="230" spans="1:14" x14ac:dyDescent="0.2">
      <c r="A230" s="7">
        <v>229</v>
      </c>
      <c r="B230" s="7" t="s">
        <v>734</v>
      </c>
      <c r="C230" s="7" t="s">
        <v>188</v>
      </c>
      <c r="D230" s="7" t="s">
        <v>606</v>
      </c>
      <c r="E230" s="7" t="s">
        <v>126</v>
      </c>
      <c r="F230" s="7" t="s">
        <v>16</v>
      </c>
      <c r="G230" s="25">
        <v>45720</v>
      </c>
      <c r="H230" s="25">
        <v>45842</v>
      </c>
      <c r="I230" s="7" t="s">
        <v>735</v>
      </c>
      <c r="J230" s="7"/>
      <c r="K230" s="7"/>
      <c r="L230" s="9"/>
      <c r="M230" s="10" t="s">
        <v>736</v>
      </c>
      <c r="N230" s="11" t="s">
        <v>737</v>
      </c>
    </row>
    <row r="231" spans="1:14" x14ac:dyDescent="0.2">
      <c r="A231" s="7">
        <v>230</v>
      </c>
      <c r="B231" s="7" t="s">
        <v>738</v>
      </c>
      <c r="C231" s="7" t="s">
        <v>236</v>
      </c>
      <c r="D231" s="7" t="s">
        <v>538</v>
      </c>
      <c r="E231" s="7" t="s">
        <v>126</v>
      </c>
      <c r="F231" s="7" t="s">
        <v>16</v>
      </c>
      <c r="G231" s="25">
        <v>45873</v>
      </c>
      <c r="H231" s="25">
        <v>45934</v>
      </c>
      <c r="I231" s="25">
        <v>45965</v>
      </c>
      <c r="J231" s="7"/>
      <c r="K231" s="7"/>
      <c r="L231" s="9"/>
      <c r="M231" s="10" t="s">
        <v>739</v>
      </c>
      <c r="N231" s="11"/>
    </row>
    <row r="232" spans="1:14" x14ac:dyDescent="0.2">
      <c r="A232" s="7">
        <v>231</v>
      </c>
      <c r="B232" s="7" t="s">
        <v>740</v>
      </c>
      <c r="C232" s="7" t="s">
        <v>203</v>
      </c>
      <c r="D232" s="7" t="s">
        <v>160</v>
      </c>
      <c r="E232" s="7" t="s">
        <v>44</v>
      </c>
      <c r="F232" s="7" t="s">
        <v>16</v>
      </c>
      <c r="G232" s="7" t="s">
        <v>741</v>
      </c>
      <c r="H232" s="7" t="s">
        <v>742</v>
      </c>
      <c r="I232" s="7" t="s">
        <v>743</v>
      </c>
      <c r="J232" s="7"/>
      <c r="K232" s="7"/>
      <c r="L232" s="9"/>
      <c r="M232" s="31" t="s">
        <v>744</v>
      </c>
      <c r="N232" s="11"/>
    </row>
    <row r="233" spans="1:14" x14ac:dyDescent="0.2">
      <c r="A233" s="7">
        <v>232</v>
      </c>
      <c r="B233" s="7" t="s">
        <v>745</v>
      </c>
      <c r="C233" s="7" t="s">
        <v>188</v>
      </c>
      <c r="D233" s="7" t="s">
        <v>746</v>
      </c>
      <c r="E233" s="7" t="s">
        <v>214</v>
      </c>
      <c r="F233" s="7" t="s">
        <v>16</v>
      </c>
      <c r="G233" s="7" t="s">
        <v>741</v>
      </c>
      <c r="H233" s="7" t="s">
        <v>742</v>
      </c>
      <c r="I233" s="7" t="s">
        <v>747</v>
      </c>
      <c r="J233" s="7"/>
      <c r="K233" s="7"/>
      <c r="L233" s="9"/>
      <c r="M233" s="10" t="s">
        <v>748</v>
      </c>
      <c r="N233" s="11"/>
    </row>
    <row r="234" spans="1:14" x14ac:dyDescent="0.2">
      <c r="A234" s="7">
        <v>233</v>
      </c>
      <c r="B234" s="7" t="s">
        <v>749</v>
      </c>
      <c r="C234" s="7" t="s">
        <v>188</v>
      </c>
      <c r="D234" s="7" t="s">
        <v>668</v>
      </c>
      <c r="E234" s="7" t="s">
        <v>44</v>
      </c>
      <c r="F234" s="7" t="s">
        <v>16</v>
      </c>
      <c r="G234" s="7" t="s">
        <v>747</v>
      </c>
      <c r="H234" s="7" t="s">
        <v>750</v>
      </c>
      <c r="I234" s="7" t="s">
        <v>735</v>
      </c>
      <c r="J234" s="7"/>
      <c r="K234" s="7"/>
      <c r="L234" s="9"/>
      <c r="M234" s="31" t="s">
        <v>751</v>
      </c>
      <c r="N234" s="11"/>
    </row>
    <row r="235" spans="1:14" x14ac:dyDescent="0.2">
      <c r="A235" s="7">
        <v>234</v>
      </c>
      <c r="B235" s="7" t="s">
        <v>752</v>
      </c>
      <c r="C235" s="7" t="s">
        <v>182</v>
      </c>
      <c r="D235" s="7" t="s">
        <v>333</v>
      </c>
      <c r="E235" s="7" t="s">
        <v>25</v>
      </c>
      <c r="F235" s="7" t="s">
        <v>16</v>
      </c>
      <c r="G235" s="7" t="s">
        <v>742</v>
      </c>
      <c r="H235" s="7" t="s">
        <v>750</v>
      </c>
      <c r="I235" s="7" t="s">
        <v>753</v>
      </c>
      <c r="J235" s="7"/>
      <c r="K235" s="7"/>
      <c r="L235" s="9"/>
      <c r="M235" s="31" t="s">
        <v>754</v>
      </c>
      <c r="N235" s="11"/>
    </row>
    <row r="236" spans="1:14" x14ac:dyDescent="0.2">
      <c r="A236" s="7">
        <v>235</v>
      </c>
      <c r="B236" s="7" t="s">
        <v>755</v>
      </c>
      <c r="C236" s="7"/>
      <c r="D236" s="7" t="s">
        <v>756</v>
      </c>
      <c r="E236" s="7" t="s">
        <v>214</v>
      </c>
      <c r="F236" s="7" t="s">
        <v>16</v>
      </c>
      <c r="G236" s="7" t="s">
        <v>742</v>
      </c>
      <c r="H236" s="7" t="s">
        <v>750</v>
      </c>
      <c r="I236" s="7" t="s">
        <v>735</v>
      </c>
      <c r="J236" s="7"/>
      <c r="K236" s="7"/>
      <c r="L236" s="9"/>
      <c r="M236" s="31" t="s">
        <v>757</v>
      </c>
      <c r="N236" s="11"/>
    </row>
    <row r="237" spans="1:14" x14ac:dyDescent="0.2">
      <c r="A237" s="7">
        <v>236</v>
      </c>
      <c r="B237" s="7" t="s">
        <v>758</v>
      </c>
      <c r="C237" s="7" t="s">
        <v>188</v>
      </c>
      <c r="D237" s="7" t="s">
        <v>759</v>
      </c>
      <c r="E237" s="7" t="s">
        <v>437</v>
      </c>
      <c r="F237" s="7" t="s">
        <v>16</v>
      </c>
      <c r="G237" s="7" t="s">
        <v>743</v>
      </c>
      <c r="H237" s="7" t="s">
        <v>760</v>
      </c>
      <c r="I237" s="7" t="s">
        <v>760</v>
      </c>
      <c r="J237" s="7"/>
      <c r="K237" s="7"/>
      <c r="L237" s="9"/>
      <c r="M237" s="10" t="s">
        <v>761</v>
      </c>
      <c r="N237" s="11"/>
    </row>
    <row r="238" spans="1:14" x14ac:dyDescent="0.2">
      <c r="A238" s="7">
        <v>237</v>
      </c>
      <c r="B238" s="7" t="s">
        <v>762</v>
      </c>
      <c r="C238" s="7" t="s">
        <v>188</v>
      </c>
      <c r="D238" s="7" t="s">
        <v>763</v>
      </c>
      <c r="E238" s="7" t="s">
        <v>25</v>
      </c>
      <c r="F238" s="7" t="s">
        <v>16</v>
      </c>
      <c r="G238" s="7" t="s">
        <v>743</v>
      </c>
      <c r="H238" s="7" t="s">
        <v>760</v>
      </c>
      <c r="I238" s="7" t="s">
        <v>764</v>
      </c>
      <c r="J238" s="7"/>
      <c r="K238" s="7"/>
      <c r="L238" s="9"/>
      <c r="M238" s="10" t="s">
        <v>765</v>
      </c>
      <c r="N238" s="11"/>
    </row>
    <row r="239" spans="1:14" x14ac:dyDescent="0.2">
      <c r="A239" s="7">
        <v>238</v>
      </c>
      <c r="B239" s="7" t="s">
        <v>766</v>
      </c>
      <c r="C239" s="7" t="s">
        <v>242</v>
      </c>
      <c r="D239" s="7" t="s">
        <v>243</v>
      </c>
      <c r="E239" s="7" t="s">
        <v>437</v>
      </c>
      <c r="F239" s="7" t="s">
        <v>16</v>
      </c>
      <c r="G239" s="7" t="s">
        <v>767</v>
      </c>
      <c r="H239" s="7" t="s">
        <v>768</v>
      </c>
      <c r="I239" s="25">
        <v>45843</v>
      </c>
      <c r="J239" s="7"/>
      <c r="K239" s="7"/>
      <c r="L239" s="9"/>
      <c r="M239" s="10" t="s">
        <v>769</v>
      </c>
      <c r="N239" s="11"/>
    </row>
    <row r="240" spans="1:14" ht="13.5" customHeight="1" x14ac:dyDescent="0.2">
      <c r="A240" s="7">
        <v>239</v>
      </c>
      <c r="B240" s="7" t="s">
        <v>770</v>
      </c>
      <c r="C240" s="7" t="s">
        <v>188</v>
      </c>
      <c r="D240" s="7" t="s">
        <v>432</v>
      </c>
      <c r="E240" s="7" t="s">
        <v>126</v>
      </c>
      <c r="F240" s="7" t="s">
        <v>16</v>
      </c>
      <c r="G240" s="25">
        <v>45782</v>
      </c>
      <c r="H240" s="25">
        <v>45843</v>
      </c>
      <c r="I240" s="25">
        <v>45843</v>
      </c>
      <c r="J240" s="7"/>
      <c r="K240" s="7"/>
      <c r="L240" s="9" t="s">
        <v>771</v>
      </c>
      <c r="M240" s="10" t="s">
        <v>772</v>
      </c>
      <c r="N240" s="11"/>
    </row>
    <row r="241" spans="1:14" x14ac:dyDescent="0.2">
      <c r="A241" s="7">
        <v>240</v>
      </c>
      <c r="B241" s="7" t="s">
        <v>773</v>
      </c>
      <c r="C241" s="7" t="s">
        <v>188</v>
      </c>
      <c r="D241" s="7" t="s">
        <v>432</v>
      </c>
      <c r="E241" s="7" t="s">
        <v>25</v>
      </c>
      <c r="F241" s="7" t="s">
        <v>16</v>
      </c>
      <c r="G241" s="25">
        <v>45782</v>
      </c>
      <c r="H241" s="25">
        <v>45843</v>
      </c>
      <c r="I241" s="25">
        <v>45782</v>
      </c>
      <c r="J241" s="7"/>
      <c r="K241" s="7"/>
      <c r="L241" s="9"/>
      <c r="M241" s="10" t="s">
        <v>774</v>
      </c>
      <c r="N241" s="11"/>
    </row>
    <row r="242" spans="1:14" x14ac:dyDescent="0.2">
      <c r="A242" s="7">
        <v>241</v>
      </c>
      <c r="B242" s="7" t="s">
        <v>775</v>
      </c>
      <c r="C242" s="7" t="s">
        <v>188</v>
      </c>
      <c r="D242" s="7" t="s">
        <v>763</v>
      </c>
      <c r="E242" s="7" t="s">
        <v>437</v>
      </c>
      <c r="F242" s="7" t="s">
        <v>16</v>
      </c>
      <c r="G242" s="25">
        <v>45813</v>
      </c>
      <c r="H242" s="25">
        <v>1141601</v>
      </c>
      <c r="I242" s="25">
        <v>45843</v>
      </c>
      <c r="J242" s="7"/>
      <c r="K242" s="7"/>
      <c r="L242" s="9"/>
      <c r="M242" s="10" t="s">
        <v>776</v>
      </c>
      <c r="N242" s="11" t="s">
        <v>777</v>
      </c>
    </row>
    <row r="243" spans="1:14" x14ac:dyDescent="0.2">
      <c r="A243" s="7">
        <v>242</v>
      </c>
      <c r="B243" s="7" t="s">
        <v>778</v>
      </c>
      <c r="C243" s="7" t="s">
        <v>188</v>
      </c>
      <c r="D243" s="7" t="s">
        <v>635</v>
      </c>
      <c r="E243" s="7" t="s">
        <v>44</v>
      </c>
      <c r="F243" s="7" t="s">
        <v>16</v>
      </c>
      <c r="G243" s="25">
        <v>45843</v>
      </c>
      <c r="H243" s="25">
        <v>45905</v>
      </c>
      <c r="I243" s="25">
        <v>45905</v>
      </c>
      <c r="J243" s="7"/>
      <c r="K243" s="7"/>
      <c r="L243" s="9"/>
      <c r="M243" s="10" t="s">
        <v>779</v>
      </c>
      <c r="N243" s="11"/>
    </row>
    <row r="244" spans="1:14" x14ac:dyDescent="0.2">
      <c r="A244" s="7">
        <v>243</v>
      </c>
      <c r="B244" s="7" t="s">
        <v>780</v>
      </c>
      <c r="C244" s="7" t="s">
        <v>188</v>
      </c>
      <c r="D244" s="7" t="s">
        <v>432</v>
      </c>
      <c r="E244" s="7" t="s">
        <v>214</v>
      </c>
      <c r="F244" s="7" t="s">
        <v>16</v>
      </c>
      <c r="G244" s="25">
        <v>45874</v>
      </c>
      <c r="H244" s="25">
        <v>45996</v>
      </c>
      <c r="I244" s="25">
        <v>45905</v>
      </c>
      <c r="J244" s="7"/>
      <c r="K244" s="7"/>
      <c r="L244" s="9"/>
      <c r="M244" s="10" t="s">
        <v>781</v>
      </c>
      <c r="N244" s="11"/>
    </row>
    <row r="245" spans="1:14" x14ac:dyDescent="0.2">
      <c r="A245" s="7">
        <v>244</v>
      </c>
      <c r="B245" s="7" t="s">
        <v>782</v>
      </c>
      <c r="C245" s="7" t="s">
        <v>203</v>
      </c>
      <c r="D245" s="7" t="s">
        <v>160</v>
      </c>
      <c r="E245" s="7" t="s">
        <v>44</v>
      </c>
      <c r="F245" s="7" t="s">
        <v>16</v>
      </c>
      <c r="G245" s="7" t="s">
        <v>783</v>
      </c>
      <c r="H245" s="7" t="s">
        <v>784</v>
      </c>
      <c r="I245" s="7" t="s">
        <v>785</v>
      </c>
      <c r="J245" s="7"/>
      <c r="K245" s="7"/>
      <c r="L245" s="9"/>
      <c r="M245" s="10" t="s">
        <v>786</v>
      </c>
      <c r="N245" s="11"/>
    </row>
    <row r="246" spans="1:14" x14ac:dyDescent="0.2">
      <c r="A246" s="7">
        <v>245</v>
      </c>
      <c r="B246" s="7" t="s">
        <v>787</v>
      </c>
      <c r="C246" s="7" t="s">
        <v>203</v>
      </c>
      <c r="D246" s="7" t="s">
        <v>123</v>
      </c>
      <c r="E246" s="7" t="s">
        <v>126</v>
      </c>
      <c r="F246" s="7" t="s">
        <v>16</v>
      </c>
      <c r="G246" s="7" t="s">
        <v>785</v>
      </c>
      <c r="H246" s="7" t="s">
        <v>771</v>
      </c>
      <c r="I246" s="7" t="s">
        <v>788</v>
      </c>
      <c r="J246" s="7"/>
      <c r="K246" s="7"/>
      <c r="L246" s="9" t="s">
        <v>789</v>
      </c>
      <c r="M246" s="31" t="s">
        <v>790</v>
      </c>
      <c r="N246" s="11"/>
    </row>
    <row r="247" spans="1:14" x14ac:dyDescent="0.2">
      <c r="A247" s="7">
        <v>246</v>
      </c>
      <c r="B247" s="7" t="s">
        <v>791</v>
      </c>
      <c r="C247" s="7" t="s">
        <v>203</v>
      </c>
      <c r="D247" s="7" t="s">
        <v>160</v>
      </c>
      <c r="E247" s="7" t="s">
        <v>25</v>
      </c>
      <c r="F247" s="7" t="s">
        <v>16</v>
      </c>
      <c r="G247" s="7" t="s">
        <v>785</v>
      </c>
      <c r="H247" s="7" t="s">
        <v>771</v>
      </c>
      <c r="I247" s="7" t="s">
        <v>788</v>
      </c>
      <c r="J247" s="7"/>
      <c r="K247" s="7"/>
      <c r="L247" s="9"/>
      <c r="M247" s="10" t="s">
        <v>792</v>
      </c>
      <c r="N247" s="11"/>
    </row>
    <row r="248" spans="1:14" x14ac:dyDescent="0.2">
      <c r="A248" s="7">
        <v>247</v>
      </c>
      <c r="B248" s="7" t="s">
        <v>793</v>
      </c>
      <c r="C248" s="7" t="s">
        <v>794</v>
      </c>
      <c r="D248" s="7" t="s">
        <v>746</v>
      </c>
      <c r="E248" s="7" t="s">
        <v>25</v>
      </c>
      <c r="F248" s="7" t="s">
        <v>16</v>
      </c>
      <c r="G248" s="7" t="s">
        <v>771</v>
      </c>
      <c r="H248" s="7" t="s">
        <v>795</v>
      </c>
      <c r="I248" s="7" t="s">
        <v>796</v>
      </c>
      <c r="J248" s="7"/>
      <c r="K248" s="7"/>
      <c r="L248" s="9"/>
      <c r="M248" s="10" t="s">
        <v>797</v>
      </c>
      <c r="N248" s="11"/>
    </row>
    <row r="249" spans="1:14" x14ac:dyDescent="0.2">
      <c r="A249" s="7">
        <v>248</v>
      </c>
      <c r="B249" s="7" t="s">
        <v>798</v>
      </c>
      <c r="C249" s="7" t="s">
        <v>203</v>
      </c>
      <c r="D249" s="7" t="s">
        <v>160</v>
      </c>
      <c r="F249" s="7"/>
      <c r="G249" s="7" t="s">
        <v>799</v>
      </c>
      <c r="H249" s="7" t="s">
        <v>800</v>
      </c>
      <c r="I249" s="7" t="s">
        <v>437</v>
      </c>
      <c r="J249" s="7"/>
      <c r="K249" s="7"/>
      <c r="L249" s="9"/>
      <c r="M249" s="10" t="s">
        <v>801</v>
      </c>
      <c r="N249" s="11"/>
    </row>
    <row r="250" spans="1:14" x14ac:dyDescent="0.2">
      <c r="A250" s="7">
        <v>249</v>
      </c>
      <c r="B250" s="7" t="s">
        <v>802</v>
      </c>
      <c r="C250" s="7" t="s">
        <v>203</v>
      </c>
      <c r="D250" s="7" t="s">
        <v>160</v>
      </c>
      <c r="E250" s="7" t="s">
        <v>44</v>
      </c>
      <c r="F250" s="7" t="s">
        <v>16</v>
      </c>
      <c r="G250" s="7" t="s">
        <v>799</v>
      </c>
      <c r="H250" s="7" t="s">
        <v>800</v>
      </c>
      <c r="I250" s="25">
        <v>45753</v>
      </c>
      <c r="J250" s="7"/>
      <c r="K250" s="7"/>
      <c r="L250" s="9"/>
      <c r="M250" s="10" t="s">
        <v>803</v>
      </c>
      <c r="N250" s="11"/>
    </row>
    <row r="251" spans="1:14" x14ac:dyDescent="0.2">
      <c r="A251" s="7">
        <v>250</v>
      </c>
      <c r="B251" s="7" t="s">
        <v>804</v>
      </c>
      <c r="C251" s="7" t="s">
        <v>203</v>
      </c>
      <c r="D251" s="7" t="s">
        <v>160</v>
      </c>
      <c r="E251" s="7" t="s">
        <v>214</v>
      </c>
      <c r="F251" s="7" t="s">
        <v>16</v>
      </c>
      <c r="G251" s="7" t="s">
        <v>800</v>
      </c>
      <c r="H251" s="25">
        <v>45694</v>
      </c>
      <c r="I251" s="7"/>
      <c r="J251" s="7"/>
      <c r="K251" s="7"/>
      <c r="L251" s="9"/>
      <c r="M251" s="31" t="s">
        <v>805</v>
      </c>
      <c r="N251" s="11"/>
    </row>
    <row r="252" spans="1:14" x14ac:dyDescent="0.2">
      <c r="A252" s="7">
        <v>251</v>
      </c>
      <c r="B252" s="7" t="s">
        <v>806</v>
      </c>
      <c r="C252" s="7" t="s">
        <v>188</v>
      </c>
      <c r="D252" s="7" t="s">
        <v>587</v>
      </c>
      <c r="E252" s="7" t="s">
        <v>126</v>
      </c>
      <c r="F252" s="7" t="s">
        <v>16</v>
      </c>
      <c r="G252" s="25">
        <v>45783</v>
      </c>
      <c r="H252" s="25">
        <v>45906</v>
      </c>
      <c r="I252" s="25">
        <v>45936</v>
      </c>
      <c r="J252" s="7"/>
      <c r="K252" s="7"/>
      <c r="L252" s="9"/>
      <c r="M252" s="15" t="s">
        <v>807</v>
      </c>
      <c r="N252" s="11"/>
    </row>
    <row r="253" spans="1:14" x14ac:dyDescent="0.2">
      <c r="A253" s="7">
        <v>252</v>
      </c>
      <c r="B253" s="7" t="s">
        <v>808</v>
      </c>
      <c r="C253" s="7" t="s">
        <v>188</v>
      </c>
      <c r="D253" s="7" t="s">
        <v>135</v>
      </c>
      <c r="E253" s="7" t="s">
        <v>25</v>
      </c>
      <c r="F253" s="7" t="s">
        <v>16</v>
      </c>
      <c r="G253" s="25">
        <v>45936</v>
      </c>
      <c r="H253" s="25">
        <v>45997</v>
      </c>
      <c r="I253" s="25">
        <v>45997</v>
      </c>
      <c r="J253" s="7"/>
      <c r="K253" s="7"/>
      <c r="L253" s="9"/>
      <c r="M253" s="15" t="s">
        <v>809</v>
      </c>
      <c r="N253" s="11"/>
    </row>
    <row r="254" spans="1:14" x14ac:dyDescent="0.2">
      <c r="A254" s="7">
        <v>253</v>
      </c>
      <c r="B254" s="7" t="s">
        <v>810</v>
      </c>
      <c r="C254" s="7" t="s">
        <v>236</v>
      </c>
      <c r="D254" s="7" t="s">
        <v>271</v>
      </c>
      <c r="E254" s="7" t="s">
        <v>437</v>
      </c>
      <c r="F254" s="7"/>
      <c r="G254" s="7" t="s">
        <v>811</v>
      </c>
      <c r="H254" s="7" t="s">
        <v>812</v>
      </c>
      <c r="I254" s="7"/>
      <c r="J254" s="7"/>
      <c r="K254" s="7"/>
      <c r="L254" s="9"/>
      <c r="M254" s="31" t="s">
        <v>813</v>
      </c>
      <c r="N254" s="11"/>
    </row>
    <row r="255" spans="1:14" x14ac:dyDescent="0.2">
      <c r="A255" s="7"/>
      <c r="B255" s="7"/>
      <c r="C255" s="7"/>
      <c r="D255" s="7"/>
      <c r="E255" s="7"/>
      <c r="F255" s="7"/>
      <c r="G255" s="7"/>
      <c r="H255" s="7"/>
      <c r="I255" s="7"/>
      <c r="J255" s="7"/>
      <c r="K255" s="7"/>
      <c r="L255" s="9"/>
      <c r="M255" s="10"/>
      <c r="N255" s="11"/>
    </row>
    <row r="256" spans="1:14" x14ac:dyDescent="0.2">
      <c r="A256" s="7"/>
      <c r="B256" s="7"/>
      <c r="C256" s="7"/>
      <c r="D256" s="7"/>
      <c r="E256" s="7"/>
      <c r="F256" s="7"/>
      <c r="G256" s="7"/>
      <c r="H256" s="7"/>
      <c r="I256" s="7"/>
      <c r="J256" s="7"/>
      <c r="K256" s="7"/>
      <c r="L256" s="9"/>
      <c r="M256" s="10"/>
      <c r="N256" s="11"/>
    </row>
    <row r="257" spans="1:14" x14ac:dyDescent="0.2">
      <c r="A257" s="7"/>
      <c r="B257" s="7"/>
      <c r="C257" s="7"/>
      <c r="D257" s="7"/>
      <c r="E257" s="7"/>
      <c r="F257" s="7"/>
      <c r="G257" s="7"/>
      <c r="H257" s="7"/>
      <c r="I257" s="7"/>
      <c r="J257" s="7"/>
      <c r="K257" s="7"/>
      <c r="L257" s="9"/>
      <c r="M257" s="10"/>
      <c r="N257" s="11"/>
    </row>
    <row r="258" spans="1:14" x14ac:dyDescent="0.2">
      <c r="A258" s="7"/>
      <c r="B258" s="7"/>
      <c r="C258" s="7"/>
      <c r="D258" s="7"/>
      <c r="E258" s="7"/>
      <c r="F258" s="7"/>
      <c r="G258" s="7"/>
      <c r="H258" s="7"/>
      <c r="I258" s="7"/>
      <c r="J258" s="7"/>
      <c r="K258" s="7"/>
      <c r="L258" s="9"/>
      <c r="M258" s="10"/>
      <c r="N258" s="11"/>
    </row>
    <row r="259" spans="1:14" x14ac:dyDescent="0.2">
      <c r="A259" s="7"/>
      <c r="B259" s="7"/>
      <c r="C259" s="7"/>
      <c r="D259" s="7"/>
      <c r="E259" s="7"/>
      <c r="F259" s="7"/>
      <c r="G259" s="7"/>
      <c r="H259" s="7"/>
      <c r="I259" s="7"/>
      <c r="J259" s="7"/>
      <c r="K259" s="7"/>
      <c r="L259" s="9"/>
      <c r="M259" s="10"/>
      <c r="N259" s="11"/>
    </row>
    <row r="260" spans="1:14" x14ac:dyDescent="0.2">
      <c r="A260" s="7"/>
      <c r="B260" s="7"/>
      <c r="C260" s="7"/>
      <c r="D260" s="7"/>
      <c r="E260" s="7"/>
      <c r="F260" s="7"/>
      <c r="G260" s="7"/>
      <c r="H260" s="7"/>
      <c r="I260" s="7"/>
      <c r="J260" s="7"/>
      <c r="K260" s="7"/>
      <c r="L260" s="9"/>
      <c r="M260" s="10"/>
      <c r="N260" s="11"/>
    </row>
    <row r="261" spans="1:14" x14ac:dyDescent="0.2">
      <c r="A261" s="7"/>
      <c r="B261" s="7"/>
      <c r="C261" s="7"/>
      <c r="D261" s="7"/>
      <c r="E261" s="7"/>
      <c r="F261" s="7"/>
      <c r="G261" s="7"/>
      <c r="H261" s="7"/>
      <c r="I261" s="7"/>
      <c r="J261" s="7"/>
      <c r="K261" s="7"/>
      <c r="L261" s="9"/>
      <c r="M261" s="10"/>
      <c r="N261" s="11"/>
    </row>
    <row r="262" spans="1:14" x14ac:dyDescent="0.2">
      <c r="A262" s="7"/>
      <c r="B262" s="7"/>
      <c r="C262" s="7"/>
      <c r="D262" s="7"/>
      <c r="E262" s="7"/>
      <c r="F262" s="7"/>
      <c r="G262" s="7"/>
      <c r="H262" s="7"/>
      <c r="I262" s="7"/>
      <c r="J262" s="7"/>
      <c r="K262" s="7"/>
      <c r="L262" s="9"/>
      <c r="M262" s="10"/>
      <c r="N262" s="11"/>
    </row>
    <row r="263" spans="1:14" x14ac:dyDescent="0.2">
      <c r="A263" s="7"/>
      <c r="B263" s="7"/>
      <c r="C263" s="7"/>
      <c r="D263" s="7"/>
      <c r="E263" s="7"/>
      <c r="F263" s="7"/>
      <c r="G263" s="7"/>
      <c r="H263" s="7"/>
      <c r="I263" s="7"/>
      <c r="J263" s="7"/>
      <c r="K263" s="7"/>
      <c r="L263" s="9"/>
      <c r="M263" s="10"/>
      <c r="N263" s="11"/>
    </row>
    <row r="264" spans="1:14" x14ac:dyDescent="0.2">
      <c r="A264" s="7"/>
      <c r="B264" s="7"/>
      <c r="C264" s="7"/>
      <c r="D264" s="7"/>
      <c r="E264" s="7"/>
      <c r="F264" s="7"/>
      <c r="G264" s="7"/>
      <c r="H264" s="7"/>
      <c r="I264" s="7"/>
      <c r="J264" s="7"/>
      <c r="K264" s="7"/>
      <c r="L264" s="9"/>
      <c r="M264" s="10"/>
      <c r="N264" s="11"/>
    </row>
    <row r="265" spans="1:14" x14ac:dyDescent="0.2">
      <c r="A265" s="7"/>
      <c r="B265" s="7"/>
      <c r="C265" s="7"/>
      <c r="D265" s="7"/>
      <c r="E265" s="7"/>
      <c r="F265" s="7"/>
      <c r="G265" s="7"/>
      <c r="H265" s="7"/>
      <c r="I265" s="7"/>
      <c r="J265" s="7"/>
      <c r="K265" s="7"/>
      <c r="L265" s="9"/>
      <c r="M265" s="10"/>
      <c r="N265" s="11"/>
    </row>
    <row r="266" spans="1:14" x14ac:dyDescent="0.2">
      <c r="A266" s="7"/>
      <c r="B266" s="7"/>
      <c r="C266" s="7"/>
      <c r="D266" s="7"/>
      <c r="E266" s="7"/>
      <c r="F266" s="7"/>
      <c r="G266" s="7"/>
      <c r="H266" s="7"/>
      <c r="I266" s="7"/>
      <c r="J266" s="7"/>
      <c r="K266" s="7"/>
      <c r="L266" s="9"/>
      <c r="M266" s="10"/>
      <c r="N266" s="11"/>
    </row>
    <row r="267" spans="1:14" x14ac:dyDescent="0.2">
      <c r="A267" s="7"/>
      <c r="B267" s="7"/>
      <c r="C267" s="7"/>
      <c r="D267" s="7"/>
      <c r="E267" s="7"/>
      <c r="F267" s="7"/>
      <c r="G267" s="7"/>
      <c r="H267" s="7"/>
      <c r="I267" s="7"/>
      <c r="J267" s="7"/>
      <c r="K267" s="7"/>
      <c r="L267" s="9"/>
      <c r="M267" s="10"/>
      <c r="N267" s="11"/>
    </row>
    <row r="268" spans="1:14" x14ac:dyDescent="0.2">
      <c r="A268" s="7"/>
      <c r="B268" s="7"/>
      <c r="C268" s="7"/>
      <c r="D268" s="7"/>
      <c r="E268" s="7"/>
      <c r="F268" s="7"/>
      <c r="G268" s="7"/>
      <c r="H268" s="7"/>
      <c r="I268" s="7"/>
      <c r="J268" s="7"/>
      <c r="K268" s="7"/>
      <c r="L268" s="9"/>
      <c r="M268" s="10"/>
      <c r="N268" s="11"/>
    </row>
    <row r="269" spans="1:14" x14ac:dyDescent="0.2">
      <c r="A269" s="7"/>
      <c r="B269" s="7"/>
      <c r="C269" s="7"/>
      <c r="D269" s="7"/>
      <c r="E269" s="7"/>
      <c r="F269" s="7"/>
      <c r="G269" s="7"/>
      <c r="H269" s="7"/>
      <c r="I269" s="7"/>
      <c r="J269" s="7"/>
      <c r="K269" s="7"/>
      <c r="L269" s="9"/>
      <c r="M269" s="10"/>
      <c r="N269" s="11"/>
    </row>
    <row r="270" spans="1:14" x14ac:dyDescent="0.2">
      <c r="A270" s="7"/>
      <c r="B270" s="7"/>
      <c r="C270" s="7"/>
      <c r="D270" s="7"/>
      <c r="E270" s="7"/>
      <c r="F270" s="7"/>
      <c r="G270" s="7"/>
      <c r="H270" s="7"/>
      <c r="I270" s="7"/>
      <c r="J270" s="7"/>
      <c r="K270" s="7"/>
      <c r="L270" s="9"/>
      <c r="M270" s="15"/>
      <c r="N270" s="11"/>
    </row>
    <row r="271" spans="1:14" x14ac:dyDescent="0.2">
      <c r="G271" s="7"/>
      <c r="M271" s="42"/>
    </row>
    <row r="272" spans="1:14" x14ac:dyDescent="0.2">
      <c r="B272" s="43" t="s">
        <v>814</v>
      </c>
      <c r="C272" s="43" t="s">
        <v>815</v>
      </c>
      <c r="D272" s="43" t="s">
        <v>816</v>
      </c>
      <c r="E272" s="43" t="s">
        <v>817</v>
      </c>
      <c r="F272" s="43" t="s">
        <v>818</v>
      </c>
      <c r="G272" s="43" t="s">
        <v>819</v>
      </c>
      <c r="H272" s="43" t="s">
        <v>820</v>
      </c>
      <c r="I272" s="43" t="s">
        <v>821</v>
      </c>
      <c r="J272" s="43" t="s">
        <v>822</v>
      </c>
      <c r="K272" s="43" t="s">
        <v>823</v>
      </c>
      <c r="L272" s="43" t="s">
        <v>824</v>
      </c>
    </row>
    <row r="273" spans="2:12" x14ac:dyDescent="0.2">
      <c r="B273" s="12" t="s">
        <v>214</v>
      </c>
      <c r="C273" s="7">
        <v>9</v>
      </c>
      <c r="D273" s="7">
        <f>COUNTIF(E113:E141,"khanhnd23")</f>
        <v>7</v>
      </c>
      <c r="E273" s="7">
        <f>COUNTIF(E142:E178,"khanhnd23")</f>
        <v>6</v>
      </c>
      <c r="F273" s="7">
        <f>COUNTIF(E179:E201,"khanhnd23")</f>
        <v>4</v>
      </c>
      <c r="G273" s="7">
        <f>COUNTIF(E202:E271,"khanhnd23")</f>
        <v>8</v>
      </c>
      <c r="H273" s="7"/>
      <c r="I273" s="7"/>
      <c r="J273" s="7"/>
      <c r="K273" s="7" t="s">
        <v>825</v>
      </c>
      <c r="L273" s="7">
        <f>SUMIF($E$1:$E$270,B273,$J$1:$J$270)</f>
        <v>1</v>
      </c>
    </row>
    <row r="274" spans="2:12" x14ac:dyDescent="0.2">
      <c r="B274" s="12" t="s">
        <v>25</v>
      </c>
      <c r="C274" s="7">
        <v>7</v>
      </c>
      <c r="D274" s="7">
        <f>COUNTIF(E113:E142,"ductn")</f>
        <v>7</v>
      </c>
      <c r="E274" s="7">
        <f>COUNTIF(E134:E178,"ductn")</f>
        <v>8</v>
      </c>
      <c r="F274" s="7">
        <f>COUNTIF(E180:E201,"ductn")</f>
        <v>5</v>
      </c>
      <c r="G274" s="7">
        <f>COUNTIF(E202:E271,"ductn")</f>
        <v>13</v>
      </c>
      <c r="H274" s="7"/>
      <c r="I274" s="7"/>
      <c r="J274" s="7"/>
      <c r="K274" s="7" t="s">
        <v>437</v>
      </c>
      <c r="L274" s="7">
        <f>SUMIF($E$1:$E$270,B274,$J$1:$J$270)</f>
        <v>3</v>
      </c>
    </row>
    <row r="275" spans="2:12" x14ac:dyDescent="0.2">
      <c r="B275" s="7" t="s">
        <v>44</v>
      </c>
      <c r="C275" s="7">
        <v>16</v>
      </c>
      <c r="D275" s="7">
        <f>COUNTIF(E113:E141,"vinhtq18")</f>
        <v>8</v>
      </c>
      <c r="E275" s="7">
        <f>COUNTIF(E142:E178,"vinhtq18")</f>
        <v>8</v>
      </c>
      <c r="F275" s="7">
        <f>COUNTIF(E179:E201,"vinhtq18")</f>
        <v>4</v>
      </c>
      <c r="G275" s="7">
        <f>COUNTIF(E202:E271,"vinhtq18")</f>
        <v>11</v>
      </c>
      <c r="H275" s="7"/>
      <c r="I275" s="7"/>
      <c r="J275" s="7"/>
      <c r="K275" s="7" t="s">
        <v>126</v>
      </c>
      <c r="L275" s="7">
        <f>SUMIF($E$1:$E$270,B275,$J$1:$J$270)</f>
        <v>4</v>
      </c>
    </row>
    <row r="276" spans="2:12" x14ac:dyDescent="0.2">
      <c r="B276" s="7" t="s">
        <v>126</v>
      </c>
      <c r="C276" s="7">
        <v>8</v>
      </c>
      <c r="D276" s="7">
        <f>COUNTIF(E113:E141,"thongnv31")</f>
        <v>7</v>
      </c>
      <c r="E276" s="7">
        <f>COUNTIF(E142:E178,"thongnv31")</f>
        <v>8</v>
      </c>
      <c r="F276" s="7">
        <f>COUNTIF(E179:E201,"thongnv31")</f>
        <v>5</v>
      </c>
      <c r="G276" s="7">
        <f>COUNTIF(E202:E271,"thongnv31")</f>
        <v>9</v>
      </c>
      <c r="H276" s="7"/>
      <c r="I276" s="7"/>
      <c r="J276" s="7"/>
      <c r="K276" s="7" t="s">
        <v>214</v>
      </c>
      <c r="L276" s="7">
        <f>SUMIF($E$1:$E$270,B276,$J$1:$J$270)</f>
        <v>1</v>
      </c>
    </row>
    <row r="277" spans="2:12" x14ac:dyDescent="0.2">
      <c r="B277" s="7" t="s">
        <v>437</v>
      </c>
      <c r="C277" s="7">
        <v>0</v>
      </c>
      <c r="D277" s="7">
        <v>0</v>
      </c>
      <c r="E277" s="7">
        <f>COUNTIF(E142:E178,"tuanha3")</f>
        <v>8</v>
      </c>
      <c r="F277" s="7">
        <f>COUNTIF(E179:E201,"tuanha3")</f>
        <v>5</v>
      </c>
      <c r="G277" s="7">
        <f>COUNTIF(E202:E271,"tuanha3")</f>
        <v>11</v>
      </c>
      <c r="H277" s="7"/>
      <c r="I277" s="7"/>
      <c r="J277" s="7"/>
      <c r="K277" s="7" t="s">
        <v>44</v>
      </c>
      <c r="L277" s="7">
        <f>SUMIF($E$1:$E$270,B277,$J$1:$J$270)</f>
        <v>0</v>
      </c>
    </row>
    <row r="278" spans="2:12" x14ac:dyDescent="0.2">
      <c r="C278" s="2">
        <f>SUM(C273:C277)</f>
        <v>40</v>
      </c>
      <c r="D278" s="2">
        <f>SUM(D273:D277)</f>
        <v>29</v>
      </c>
      <c r="E278" s="2">
        <f>SUM(E273:E277)</f>
        <v>38</v>
      </c>
      <c r="F278" s="2">
        <f>SUM(F273:F277)</f>
        <v>23</v>
      </c>
      <c r="G278" s="2">
        <f>SUM(G273:G277)</f>
        <v>52</v>
      </c>
    </row>
  </sheetData>
  <autoFilter ref="A1:N166"/>
  <hyperlinks>
    <hyperlink ref="B58" r:id="rId1"/>
    <hyperlink ref="B61" r:id="rId2"/>
    <hyperlink ref="B62" r:id="rId3"/>
    <hyperlink ref="B63" r:id="rId4"/>
    <hyperlink ref="B64" r:id="rId5"/>
    <hyperlink ref="B67" r:id="rId6"/>
    <hyperlink ref="B69" r:id="rId7"/>
    <hyperlink ref="B94" r:id="rId8"/>
    <hyperlink ref="B108" r:id="rId9"/>
    <hyperlink ref="N111" r:id="rId10" tooltip="Đánh giá sizing hệ thống Mobile-CA"/>
  </hyperlinks>
  <printOptions gridLines="1" gridLinesSet="0"/>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195"/>
  <sheetViews>
    <sheetView tabSelected="1" workbookViewId="0">
      <pane xSplit="7" ySplit="2" topLeftCell="H71" activePane="bottomRight" state="frozen"/>
      <selection activeCell="F42" sqref="F42"/>
      <selection pane="topRight"/>
      <selection pane="bottomLeft"/>
      <selection pane="bottomRight" activeCell="G155" sqref="G155"/>
    </sheetView>
  </sheetViews>
  <sheetFormatPr defaultColWidth="9" defaultRowHeight="12.75" x14ac:dyDescent="0.25"/>
  <cols>
    <col min="1" max="1" width="6.7109375" style="3" customWidth="1"/>
    <col min="2" max="2" width="10" style="3" customWidth="1"/>
    <col min="3" max="3" width="30.7109375" style="45" customWidth="1"/>
    <col min="4" max="4" width="10" style="3" customWidth="1"/>
    <col min="5" max="5" width="11" style="46" customWidth="1"/>
    <col min="6" max="6" width="9.7109375" style="3" customWidth="1"/>
    <col min="7" max="7" width="32.85546875" style="3" customWidth="1"/>
    <col min="8" max="8" width="48.42578125" style="44" customWidth="1"/>
    <col min="9" max="9" width="12.42578125" style="3" customWidth="1"/>
    <col min="10" max="10" width="52" style="42" customWidth="1"/>
    <col min="11" max="11" width="12.42578125" style="3" customWidth="1"/>
    <col min="12" max="12" width="11.140625" style="3" customWidth="1"/>
    <col min="13" max="13" width="39.5703125" style="44" customWidth="1"/>
    <col min="14" max="16384" width="9" style="44"/>
  </cols>
  <sheetData>
    <row r="1" spans="1:13" ht="44.85" customHeight="1" x14ac:dyDescent="0.25">
      <c r="C1" s="451" t="s">
        <v>826</v>
      </c>
      <c r="D1" s="451"/>
      <c r="E1" s="451"/>
      <c r="F1" s="451"/>
      <c r="G1" s="451"/>
      <c r="H1" s="47"/>
      <c r="I1" s="48"/>
      <c r="J1" s="47"/>
    </row>
    <row r="2" spans="1:13" s="46" customFormat="1" ht="25.5" x14ac:dyDescent="0.25">
      <c r="A2" s="49" t="s">
        <v>0</v>
      </c>
      <c r="B2" s="50" t="s">
        <v>1</v>
      </c>
      <c r="C2" s="49" t="s">
        <v>827</v>
      </c>
      <c r="D2" s="49" t="s">
        <v>2</v>
      </c>
      <c r="E2" s="49" t="s">
        <v>828</v>
      </c>
      <c r="F2" s="49" t="s">
        <v>829</v>
      </c>
      <c r="G2" s="49" t="s">
        <v>830</v>
      </c>
      <c r="H2" s="49" t="s">
        <v>831</v>
      </c>
      <c r="I2" s="49" t="s">
        <v>832</v>
      </c>
      <c r="J2" s="49" t="s">
        <v>833</v>
      </c>
      <c r="K2" s="49" t="s">
        <v>834</v>
      </c>
      <c r="L2" s="49" t="s">
        <v>16</v>
      </c>
    </row>
    <row r="3" spans="1:13" ht="38.25" hidden="1" x14ac:dyDescent="0.25">
      <c r="A3" s="51">
        <v>1</v>
      </c>
      <c r="B3" s="9"/>
      <c r="C3" s="20" t="s">
        <v>835</v>
      </c>
      <c r="D3" s="16" t="s">
        <v>188</v>
      </c>
      <c r="E3" s="16"/>
      <c r="F3" s="9" t="s">
        <v>28</v>
      </c>
      <c r="G3" s="16" t="s">
        <v>836</v>
      </c>
      <c r="H3" s="20"/>
      <c r="I3" s="16"/>
      <c r="J3" s="18" t="s">
        <v>837</v>
      </c>
      <c r="K3" s="16"/>
      <c r="L3" s="16" t="s">
        <v>838</v>
      </c>
    </row>
    <row r="4" spans="1:13" ht="25.5" hidden="1" x14ac:dyDescent="0.25">
      <c r="A4" s="51">
        <v>2</v>
      </c>
      <c r="B4" s="9"/>
      <c r="C4" s="20" t="s">
        <v>839</v>
      </c>
      <c r="D4" s="16" t="s">
        <v>236</v>
      </c>
      <c r="E4" s="16"/>
      <c r="F4" s="9" t="s">
        <v>28</v>
      </c>
      <c r="G4" s="16" t="s">
        <v>840</v>
      </c>
      <c r="H4" s="20"/>
      <c r="I4" s="16"/>
      <c r="J4" s="18"/>
      <c r="K4" s="16"/>
      <c r="L4" s="16" t="s">
        <v>838</v>
      </c>
    </row>
    <row r="5" spans="1:13" ht="25.5" hidden="1" x14ac:dyDescent="0.25">
      <c r="A5" s="51">
        <v>3</v>
      </c>
      <c r="B5" s="9"/>
      <c r="C5" s="20" t="s">
        <v>841</v>
      </c>
      <c r="D5" s="16" t="e">
        <v>#N/A</v>
      </c>
      <c r="E5" s="16"/>
      <c r="F5" s="9" t="s">
        <v>28</v>
      </c>
      <c r="G5" s="9" t="s">
        <v>842</v>
      </c>
      <c r="H5" s="52" t="s">
        <v>843</v>
      </c>
      <c r="I5" s="16"/>
      <c r="J5" s="18"/>
      <c r="K5" s="16"/>
      <c r="L5" s="16" t="s">
        <v>838</v>
      </c>
    </row>
    <row r="6" spans="1:13" ht="25.5" hidden="1" x14ac:dyDescent="0.25">
      <c r="A6" s="51">
        <v>4</v>
      </c>
      <c r="B6" s="9"/>
      <c r="C6" s="20" t="s">
        <v>844</v>
      </c>
      <c r="D6" s="16" t="s">
        <v>236</v>
      </c>
      <c r="E6" s="16" t="s">
        <v>845</v>
      </c>
      <c r="F6" s="9" t="s">
        <v>28</v>
      </c>
      <c r="G6" s="9" t="s">
        <v>846</v>
      </c>
      <c r="H6" s="20" t="s">
        <v>847</v>
      </c>
      <c r="I6" s="16"/>
      <c r="J6" s="18"/>
      <c r="K6" s="16"/>
      <c r="L6" s="16" t="s">
        <v>838</v>
      </c>
    </row>
    <row r="7" spans="1:13" ht="38.25" hidden="1" x14ac:dyDescent="0.25">
      <c r="A7" s="51">
        <v>5</v>
      </c>
      <c r="B7" s="9"/>
      <c r="C7" s="20" t="s">
        <v>848</v>
      </c>
      <c r="D7" s="16" t="s">
        <v>188</v>
      </c>
      <c r="E7" s="16"/>
      <c r="F7" s="9" t="s">
        <v>28</v>
      </c>
      <c r="G7" s="16" t="s">
        <v>849</v>
      </c>
      <c r="H7" s="20" t="s">
        <v>850</v>
      </c>
      <c r="I7" s="16"/>
      <c r="J7" s="18" t="s">
        <v>851</v>
      </c>
      <c r="K7" s="16"/>
      <c r="L7" s="16" t="s">
        <v>838</v>
      </c>
    </row>
    <row r="8" spans="1:13" hidden="1" x14ac:dyDescent="0.25">
      <c r="A8" s="51">
        <v>6</v>
      </c>
      <c r="B8" s="9"/>
      <c r="C8" s="20" t="s">
        <v>852</v>
      </c>
      <c r="D8" s="16" t="s">
        <v>188</v>
      </c>
      <c r="E8" s="16"/>
      <c r="F8" s="9" t="s">
        <v>28</v>
      </c>
      <c r="G8" s="16" t="s">
        <v>853</v>
      </c>
      <c r="H8" s="20"/>
      <c r="I8" s="16"/>
      <c r="J8" s="18" t="s">
        <v>854</v>
      </c>
      <c r="K8" s="16"/>
      <c r="L8" s="16" t="s">
        <v>838</v>
      </c>
    </row>
    <row r="9" spans="1:13" hidden="1" x14ac:dyDescent="0.25">
      <c r="A9" s="51">
        <v>7</v>
      </c>
      <c r="B9" s="9"/>
      <c r="C9" s="20" t="s">
        <v>855</v>
      </c>
      <c r="D9" s="16" t="s">
        <v>236</v>
      </c>
      <c r="E9" s="16"/>
      <c r="F9" s="9" t="s">
        <v>28</v>
      </c>
      <c r="G9" s="16" t="s">
        <v>856</v>
      </c>
      <c r="H9" s="20" t="s">
        <v>857</v>
      </c>
      <c r="I9" s="16"/>
      <c r="J9" s="18"/>
      <c r="K9" s="16"/>
      <c r="L9" s="16" t="s">
        <v>838</v>
      </c>
    </row>
    <row r="10" spans="1:13" hidden="1" x14ac:dyDescent="0.25">
      <c r="A10" s="51">
        <v>8</v>
      </c>
      <c r="B10" s="9"/>
      <c r="C10" s="20" t="s">
        <v>858</v>
      </c>
      <c r="D10" s="16" t="s">
        <v>188</v>
      </c>
      <c r="E10" s="16"/>
      <c r="F10" s="9" t="s">
        <v>44</v>
      </c>
      <c r="G10" s="9" t="s">
        <v>859</v>
      </c>
      <c r="H10" s="53"/>
      <c r="I10" s="9"/>
      <c r="J10" s="15" t="s">
        <v>860</v>
      </c>
      <c r="K10" s="16"/>
      <c r="L10" s="16" t="s">
        <v>838</v>
      </c>
    </row>
    <row r="11" spans="1:13" ht="25.5" hidden="1" x14ac:dyDescent="0.25">
      <c r="A11" s="51">
        <v>9</v>
      </c>
      <c r="B11" s="9"/>
      <c r="C11" s="20" t="s">
        <v>861</v>
      </c>
      <c r="D11" s="16" t="s">
        <v>188</v>
      </c>
      <c r="E11" s="16" t="s">
        <v>862</v>
      </c>
      <c r="F11" s="9" t="s">
        <v>863</v>
      </c>
      <c r="G11" s="16" t="s">
        <v>864</v>
      </c>
      <c r="H11" s="20"/>
      <c r="I11" s="16"/>
      <c r="J11" s="15" t="s">
        <v>865</v>
      </c>
      <c r="K11" s="9"/>
      <c r="L11" s="9" t="s">
        <v>838</v>
      </c>
    </row>
    <row r="12" spans="1:13" ht="51" hidden="1" x14ac:dyDescent="0.25">
      <c r="A12" s="51">
        <v>10</v>
      </c>
      <c r="B12" s="9"/>
      <c r="C12" s="20" t="s">
        <v>866</v>
      </c>
      <c r="D12" s="16" t="s">
        <v>867</v>
      </c>
      <c r="E12" s="16" t="s">
        <v>868</v>
      </c>
      <c r="F12" s="9"/>
      <c r="G12" s="16" t="s">
        <v>869</v>
      </c>
      <c r="H12" s="20" t="s">
        <v>870</v>
      </c>
      <c r="I12" s="16"/>
      <c r="J12" s="15"/>
      <c r="K12" s="16"/>
      <c r="L12" s="9" t="s">
        <v>871</v>
      </c>
      <c r="M12" s="44" t="s">
        <v>872</v>
      </c>
    </row>
    <row r="13" spans="1:13" hidden="1" x14ac:dyDescent="0.25">
      <c r="A13" s="51">
        <v>11</v>
      </c>
      <c r="B13" s="9"/>
      <c r="C13" s="20" t="s">
        <v>873</v>
      </c>
      <c r="D13" s="16" t="e">
        <v>#N/A</v>
      </c>
      <c r="E13" s="16" t="s">
        <v>874</v>
      </c>
      <c r="F13" s="9"/>
      <c r="G13" s="9"/>
      <c r="H13" s="20" t="s">
        <v>875</v>
      </c>
      <c r="I13" s="16"/>
      <c r="J13" s="15"/>
      <c r="K13" s="9"/>
      <c r="L13" s="9" t="s">
        <v>871</v>
      </c>
      <c r="M13" s="44" t="s">
        <v>872</v>
      </c>
    </row>
    <row r="14" spans="1:13" ht="25.5" hidden="1" x14ac:dyDescent="0.25">
      <c r="A14" s="51">
        <v>12</v>
      </c>
      <c r="B14" s="9"/>
      <c r="C14" s="20" t="s">
        <v>876</v>
      </c>
      <c r="D14" s="16" t="e">
        <v>#N/A</v>
      </c>
      <c r="E14" s="16" t="s">
        <v>877</v>
      </c>
      <c r="F14" s="9"/>
      <c r="G14" s="9"/>
      <c r="H14" s="20" t="s">
        <v>878</v>
      </c>
      <c r="I14" s="16"/>
      <c r="J14" s="15"/>
      <c r="K14" s="9"/>
      <c r="L14" s="9" t="s">
        <v>871</v>
      </c>
      <c r="M14" s="44" t="s">
        <v>879</v>
      </c>
    </row>
    <row r="15" spans="1:13" ht="25.5" hidden="1" x14ac:dyDescent="0.25">
      <c r="A15" s="51">
        <v>13</v>
      </c>
      <c r="B15" s="9"/>
      <c r="C15" s="20" t="s">
        <v>880</v>
      </c>
      <c r="D15" s="16" t="s">
        <v>236</v>
      </c>
      <c r="E15" s="16" t="s">
        <v>20</v>
      </c>
      <c r="F15" s="9" t="s">
        <v>863</v>
      </c>
      <c r="G15" s="16" t="s">
        <v>881</v>
      </c>
      <c r="H15" s="20" t="s">
        <v>882</v>
      </c>
      <c r="I15" s="16"/>
      <c r="J15" s="15"/>
      <c r="K15" s="9"/>
      <c r="L15" s="9" t="s">
        <v>838</v>
      </c>
    </row>
    <row r="16" spans="1:13" hidden="1" x14ac:dyDescent="0.25">
      <c r="A16" s="51">
        <v>14</v>
      </c>
      <c r="B16" s="9"/>
      <c r="C16" s="20" t="s">
        <v>883</v>
      </c>
      <c r="D16" s="16" t="s">
        <v>188</v>
      </c>
      <c r="E16" s="16" t="s">
        <v>54</v>
      </c>
      <c r="F16" s="9" t="s">
        <v>28</v>
      </c>
      <c r="G16" s="16" t="s">
        <v>884</v>
      </c>
      <c r="H16" s="20" t="s">
        <v>857</v>
      </c>
      <c r="I16" s="16"/>
      <c r="J16" s="15" t="s">
        <v>885</v>
      </c>
      <c r="K16" s="16"/>
      <c r="L16" s="9" t="s">
        <v>838</v>
      </c>
    </row>
    <row r="17" spans="1:13" hidden="1" x14ac:dyDescent="0.25">
      <c r="A17" s="51">
        <v>15</v>
      </c>
      <c r="B17" s="9"/>
      <c r="C17" s="20" t="s">
        <v>886</v>
      </c>
      <c r="D17" s="16" t="e">
        <v>#N/A</v>
      </c>
      <c r="E17" s="16" t="s">
        <v>759</v>
      </c>
      <c r="F17" s="9" t="s">
        <v>28</v>
      </c>
      <c r="G17" s="16"/>
      <c r="H17" s="20" t="s">
        <v>857</v>
      </c>
      <c r="I17" s="16"/>
      <c r="J17" s="15"/>
      <c r="K17" s="16"/>
      <c r="L17" s="9" t="s">
        <v>838</v>
      </c>
      <c r="M17" s="44" t="s">
        <v>879</v>
      </c>
    </row>
    <row r="18" spans="1:13" ht="25.5" hidden="1" x14ac:dyDescent="0.25">
      <c r="A18" s="51">
        <v>16</v>
      </c>
      <c r="B18" s="9"/>
      <c r="C18" s="20" t="s">
        <v>887</v>
      </c>
      <c r="D18" s="16" t="s">
        <v>188</v>
      </c>
      <c r="E18" s="16" t="s">
        <v>888</v>
      </c>
      <c r="F18" s="9" t="s">
        <v>28</v>
      </c>
      <c r="G18" s="16" t="s">
        <v>889</v>
      </c>
      <c r="H18" s="20" t="s">
        <v>890</v>
      </c>
      <c r="I18" s="16"/>
      <c r="J18" s="15" t="s">
        <v>891</v>
      </c>
      <c r="K18" s="16"/>
      <c r="L18" s="9" t="s">
        <v>838</v>
      </c>
      <c r="M18" s="44" t="s">
        <v>892</v>
      </c>
    </row>
    <row r="19" spans="1:13" hidden="1" x14ac:dyDescent="0.25">
      <c r="A19" s="51">
        <v>17</v>
      </c>
      <c r="B19" s="9"/>
      <c r="C19" s="20" t="s">
        <v>893</v>
      </c>
      <c r="D19" s="16" t="s">
        <v>188</v>
      </c>
      <c r="E19" s="16" t="s">
        <v>22</v>
      </c>
      <c r="F19" s="9" t="s">
        <v>863</v>
      </c>
      <c r="G19" s="16" t="s">
        <v>894</v>
      </c>
      <c r="H19" s="20" t="s">
        <v>857</v>
      </c>
      <c r="I19" s="16"/>
      <c r="J19" s="15" t="s">
        <v>895</v>
      </c>
      <c r="K19" s="16"/>
      <c r="L19" s="9" t="s">
        <v>838</v>
      </c>
    </row>
    <row r="20" spans="1:13" hidden="1" x14ac:dyDescent="0.25">
      <c r="A20" s="51">
        <v>18</v>
      </c>
      <c r="B20" s="9"/>
      <c r="C20" s="20" t="s">
        <v>896</v>
      </c>
      <c r="D20" s="16" t="s">
        <v>188</v>
      </c>
      <c r="E20" s="16" t="s">
        <v>58</v>
      </c>
      <c r="F20" s="9" t="s">
        <v>863</v>
      </c>
      <c r="G20" s="16" t="s">
        <v>897</v>
      </c>
      <c r="H20" s="20" t="s">
        <v>857</v>
      </c>
      <c r="I20" s="16"/>
      <c r="J20" s="15"/>
      <c r="K20" s="16"/>
      <c r="L20" s="9" t="s">
        <v>838</v>
      </c>
    </row>
    <row r="21" spans="1:13" ht="25.5" hidden="1" x14ac:dyDescent="0.25">
      <c r="A21" s="51">
        <v>19</v>
      </c>
      <c r="B21" s="9"/>
      <c r="C21" s="20" t="s">
        <v>898</v>
      </c>
      <c r="D21" s="16" t="s">
        <v>188</v>
      </c>
      <c r="E21" s="16" t="s">
        <v>58</v>
      </c>
      <c r="F21" s="9" t="s">
        <v>863</v>
      </c>
      <c r="G21" s="16" t="s">
        <v>899</v>
      </c>
      <c r="H21" s="52" t="s">
        <v>847</v>
      </c>
      <c r="I21" s="16"/>
      <c r="J21" s="18" t="s">
        <v>900</v>
      </c>
      <c r="K21" s="16"/>
      <c r="L21" s="9" t="s">
        <v>838</v>
      </c>
    </row>
    <row r="22" spans="1:13" hidden="1" x14ac:dyDescent="0.25">
      <c r="A22" s="51">
        <v>20</v>
      </c>
      <c r="B22" s="9"/>
      <c r="C22" s="20" t="s">
        <v>901</v>
      </c>
      <c r="D22" s="16" t="s">
        <v>203</v>
      </c>
      <c r="E22" s="16" t="s">
        <v>160</v>
      </c>
      <c r="F22" s="9" t="s">
        <v>863</v>
      </c>
      <c r="G22" s="16"/>
      <c r="H22" s="20" t="s">
        <v>902</v>
      </c>
      <c r="I22" s="16"/>
      <c r="J22" s="15"/>
      <c r="K22" s="16"/>
      <c r="L22" s="9" t="s">
        <v>838</v>
      </c>
      <c r="M22" s="44" t="s">
        <v>879</v>
      </c>
    </row>
    <row r="23" spans="1:13" ht="25.5" hidden="1" x14ac:dyDescent="0.25">
      <c r="A23" s="51">
        <v>21</v>
      </c>
      <c r="B23" s="9"/>
      <c r="C23" s="20" t="s">
        <v>903</v>
      </c>
      <c r="D23" s="16" t="s">
        <v>188</v>
      </c>
      <c r="E23" s="16" t="s">
        <v>668</v>
      </c>
      <c r="F23" s="9" t="s">
        <v>863</v>
      </c>
      <c r="G23" s="16" t="s">
        <v>904</v>
      </c>
      <c r="H23" s="20" t="s">
        <v>890</v>
      </c>
      <c r="I23" s="16"/>
      <c r="J23" s="15" t="s">
        <v>905</v>
      </c>
      <c r="K23" s="16"/>
      <c r="L23" s="9" t="s">
        <v>838</v>
      </c>
      <c r="M23" s="44" t="s">
        <v>879</v>
      </c>
    </row>
    <row r="24" spans="1:13" ht="25.5" hidden="1" x14ac:dyDescent="0.25">
      <c r="A24" s="51">
        <v>22</v>
      </c>
      <c r="B24" s="9"/>
      <c r="C24" s="20" t="s">
        <v>906</v>
      </c>
      <c r="D24" s="16" t="s">
        <v>188</v>
      </c>
      <c r="E24" s="16" t="s">
        <v>907</v>
      </c>
      <c r="F24" s="9" t="s">
        <v>44</v>
      </c>
      <c r="G24" s="16" t="s">
        <v>908</v>
      </c>
      <c r="H24" s="20" t="s">
        <v>847</v>
      </c>
      <c r="I24" s="16"/>
      <c r="J24" s="15" t="s">
        <v>909</v>
      </c>
      <c r="K24" s="16"/>
      <c r="L24" s="9" t="s">
        <v>838</v>
      </c>
      <c r="M24" s="44" t="s">
        <v>879</v>
      </c>
    </row>
    <row r="25" spans="1:13" ht="25.5" hidden="1" x14ac:dyDescent="0.25">
      <c r="A25" s="51">
        <v>23</v>
      </c>
      <c r="B25" s="9"/>
      <c r="C25" s="20" t="s">
        <v>910</v>
      </c>
      <c r="D25" s="16" t="e">
        <v>#N/A</v>
      </c>
      <c r="E25" s="16" t="s">
        <v>911</v>
      </c>
      <c r="F25" s="9" t="s">
        <v>44</v>
      </c>
      <c r="G25" s="16"/>
      <c r="H25" s="20" t="s">
        <v>912</v>
      </c>
      <c r="I25" s="16"/>
      <c r="J25" s="15"/>
      <c r="K25" s="16"/>
      <c r="L25" s="9" t="s">
        <v>838</v>
      </c>
      <c r="M25" s="44" t="s">
        <v>879</v>
      </c>
    </row>
    <row r="26" spans="1:13" ht="25.5" hidden="1" x14ac:dyDescent="0.25">
      <c r="A26" s="51">
        <v>24</v>
      </c>
      <c r="B26" s="9"/>
      <c r="C26" s="20" t="s">
        <v>913</v>
      </c>
      <c r="D26" s="16" t="s">
        <v>188</v>
      </c>
      <c r="E26" s="16" t="s">
        <v>54</v>
      </c>
      <c r="F26" s="9" t="s">
        <v>28</v>
      </c>
      <c r="G26" s="9" t="s">
        <v>914</v>
      </c>
      <c r="H26" s="20" t="s">
        <v>857</v>
      </c>
      <c r="I26" s="16"/>
      <c r="J26" s="15"/>
      <c r="K26" s="9"/>
      <c r="L26" s="9" t="s">
        <v>838</v>
      </c>
    </row>
    <row r="27" spans="1:13" hidden="1" x14ac:dyDescent="0.25">
      <c r="A27" s="51">
        <v>25</v>
      </c>
      <c r="B27" s="9"/>
      <c r="C27" s="20" t="s">
        <v>915</v>
      </c>
      <c r="D27" s="16" t="s">
        <v>188</v>
      </c>
      <c r="E27" s="16" t="s">
        <v>54</v>
      </c>
      <c r="F27" s="9" t="s">
        <v>28</v>
      </c>
      <c r="G27" s="9"/>
      <c r="H27" s="53" t="s">
        <v>916</v>
      </c>
      <c r="I27" s="9"/>
      <c r="J27" s="15"/>
      <c r="K27" s="9"/>
      <c r="L27" s="9" t="s">
        <v>838</v>
      </c>
    </row>
    <row r="28" spans="1:13" ht="38.25" hidden="1" x14ac:dyDescent="0.25">
      <c r="A28" s="51">
        <v>26</v>
      </c>
      <c r="B28" s="9"/>
      <c r="C28" s="20" t="s">
        <v>917</v>
      </c>
      <c r="D28" s="16" t="s">
        <v>188</v>
      </c>
      <c r="E28" s="16" t="s">
        <v>160</v>
      </c>
      <c r="F28" s="9" t="s">
        <v>25</v>
      </c>
      <c r="G28" s="9"/>
      <c r="H28" s="52" t="s">
        <v>847</v>
      </c>
      <c r="I28" s="16"/>
      <c r="J28" s="15"/>
      <c r="K28" s="9"/>
      <c r="L28" s="9" t="s">
        <v>838</v>
      </c>
      <c r="M28" s="44" t="s">
        <v>879</v>
      </c>
    </row>
    <row r="29" spans="1:13" ht="25.5" hidden="1" x14ac:dyDescent="0.25">
      <c r="A29" s="51">
        <v>27</v>
      </c>
      <c r="B29" s="9"/>
      <c r="C29" s="20" t="s">
        <v>918</v>
      </c>
      <c r="D29" s="16" t="s">
        <v>188</v>
      </c>
      <c r="E29" s="16"/>
      <c r="F29" s="9" t="s">
        <v>919</v>
      </c>
      <c r="G29" s="9" t="s">
        <v>920</v>
      </c>
      <c r="H29" s="20" t="s">
        <v>882</v>
      </c>
      <c r="I29" s="16"/>
      <c r="J29" s="15" t="s">
        <v>921</v>
      </c>
      <c r="K29" s="9"/>
      <c r="L29" s="9" t="s">
        <v>838</v>
      </c>
    </row>
    <row r="30" spans="1:13" hidden="1" x14ac:dyDescent="0.25">
      <c r="A30" s="51">
        <v>28</v>
      </c>
      <c r="B30" s="9"/>
      <c r="C30" s="20" t="s">
        <v>922</v>
      </c>
      <c r="D30" s="16" t="s">
        <v>188</v>
      </c>
      <c r="E30" s="16" t="s">
        <v>923</v>
      </c>
      <c r="F30" s="9" t="s">
        <v>25</v>
      </c>
      <c r="G30" s="9" t="s">
        <v>924</v>
      </c>
      <c r="H30" s="52" t="s">
        <v>847</v>
      </c>
      <c r="I30" s="16"/>
      <c r="J30" s="15" t="s">
        <v>925</v>
      </c>
      <c r="K30" s="9"/>
      <c r="L30" s="9" t="s">
        <v>838</v>
      </c>
      <c r="M30" s="44" t="s">
        <v>879</v>
      </c>
    </row>
    <row r="31" spans="1:13" ht="25.5" hidden="1" x14ac:dyDescent="0.25">
      <c r="A31" s="51">
        <v>29</v>
      </c>
      <c r="B31" s="9"/>
      <c r="C31" s="20" t="s">
        <v>926</v>
      </c>
      <c r="D31" s="16" t="s">
        <v>188</v>
      </c>
      <c r="E31" s="16" t="s">
        <v>27</v>
      </c>
      <c r="F31" s="9" t="s">
        <v>25</v>
      </c>
      <c r="G31" s="16" t="s">
        <v>927</v>
      </c>
      <c r="H31" s="52" t="s">
        <v>847</v>
      </c>
      <c r="I31" s="16"/>
      <c r="J31" s="15" t="s">
        <v>928</v>
      </c>
      <c r="K31" s="9"/>
      <c r="L31" s="9" t="s">
        <v>838</v>
      </c>
    </row>
    <row r="32" spans="1:13" ht="25.5" hidden="1" x14ac:dyDescent="0.25">
      <c r="A32" s="51">
        <v>30</v>
      </c>
      <c r="B32" s="9"/>
      <c r="C32" s="20" t="s">
        <v>929</v>
      </c>
      <c r="D32" s="16" t="s">
        <v>203</v>
      </c>
      <c r="E32" s="16" t="s">
        <v>160</v>
      </c>
      <c r="F32" s="9" t="s">
        <v>25</v>
      </c>
      <c r="G32" s="9" t="s">
        <v>930</v>
      </c>
      <c r="H32" s="52" t="s">
        <v>931</v>
      </c>
      <c r="I32" s="16"/>
      <c r="J32" s="15" t="s">
        <v>925</v>
      </c>
      <c r="K32" s="9"/>
      <c r="L32" s="9" t="s">
        <v>838</v>
      </c>
    </row>
    <row r="33" spans="1:12" ht="25.5" hidden="1" x14ac:dyDescent="0.25">
      <c r="A33" s="51">
        <v>31</v>
      </c>
      <c r="B33" s="9"/>
      <c r="C33" s="20" t="s">
        <v>932</v>
      </c>
      <c r="D33" s="16" t="s">
        <v>203</v>
      </c>
      <c r="E33" s="16" t="s">
        <v>160</v>
      </c>
      <c r="F33" s="9" t="s">
        <v>25</v>
      </c>
      <c r="G33" s="9" t="s">
        <v>933</v>
      </c>
      <c r="H33" s="52" t="s">
        <v>847</v>
      </c>
      <c r="I33" s="16"/>
      <c r="J33" s="15" t="s">
        <v>925</v>
      </c>
      <c r="K33" s="9"/>
      <c r="L33" s="9" t="s">
        <v>838</v>
      </c>
    </row>
    <row r="34" spans="1:12" ht="25.5" hidden="1" x14ac:dyDescent="0.25">
      <c r="A34" s="51">
        <v>32</v>
      </c>
      <c r="B34" s="9"/>
      <c r="C34" s="20" t="s">
        <v>934</v>
      </c>
      <c r="D34" s="16" t="s">
        <v>188</v>
      </c>
      <c r="E34" s="16" t="s">
        <v>54</v>
      </c>
      <c r="F34" s="9" t="s">
        <v>28</v>
      </c>
      <c r="G34" s="9" t="s">
        <v>935</v>
      </c>
      <c r="H34" s="52" t="s">
        <v>931</v>
      </c>
      <c r="I34" s="16"/>
      <c r="J34" s="15"/>
      <c r="K34" s="9"/>
      <c r="L34" s="9" t="s">
        <v>838</v>
      </c>
    </row>
    <row r="35" spans="1:12" ht="51" hidden="1" x14ac:dyDescent="0.25">
      <c r="A35" s="51">
        <v>33</v>
      </c>
      <c r="B35" s="9"/>
      <c r="C35" s="20" t="s">
        <v>936</v>
      </c>
      <c r="D35" s="16" t="s">
        <v>188</v>
      </c>
      <c r="E35" s="16" t="s">
        <v>54</v>
      </c>
      <c r="F35" s="9" t="s">
        <v>28</v>
      </c>
      <c r="G35" s="16" t="s">
        <v>937</v>
      </c>
      <c r="H35" s="20" t="s">
        <v>938</v>
      </c>
      <c r="I35" s="16"/>
      <c r="J35" s="18" t="s">
        <v>939</v>
      </c>
      <c r="K35" s="9"/>
      <c r="L35" s="9" t="s">
        <v>838</v>
      </c>
    </row>
    <row r="36" spans="1:12" ht="51" hidden="1" x14ac:dyDescent="0.25">
      <c r="A36" s="51">
        <v>34</v>
      </c>
      <c r="B36" s="9"/>
      <c r="C36" s="20" t="s">
        <v>940</v>
      </c>
      <c r="D36" s="16" t="s">
        <v>188</v>
      </c>
      <c r="E36" s="16" t="s">
        <v>54</v>
      </c>
      <c r="F36" s="9" t="s">
        <v>28</v>
      </c>
      <c r="G36" s="16" t="s">
        <v>941</v>
      </c>
      <c r="H36" s="20" t="s">
        <v>938</v>
      </c>
      <c r="I36" s="16"/>
      <c r="J36" s="18" t="s">
        <v>939</v>
      </c>
      <c r="K36" s="9"/>
      <c r="L36" s="9" t="s">
        <v>838</v>
      </c>
    </row>
    <row r="37" spans="1:12" ht="25.5" hidden="1" x14ac:dyDescent="0.25">
      <c r="A37" s="51">
        <v>35</v>
      </c>
      <c r="B37" s="9"/>
      <c r="C37" s="20" t="s">
        <v>942</v>
      </c>
      <c r="D37" s="16" t="s">
        <v>188</v>
      </c>
      <c r="E37" s="16" t="s">
        <v>54</v>
      </c>
      <c r="F37" s="9" t="s">
        <v>28</v>
      </c>
      <c r="G37" s="16" t="s">
        <v>943</v>
      </c>
      <c r="H37" s="52" t="s">
        <v>931</v>
      </c>
      <c r="I37" s="16"/>
      <c r="J37" s="15"/>
      <c r="K37" s="9"/>
      <c r="L37" s="9" t="s">
        <v>838</v>
      </c>
    </row>
    <row r="38" spans="1:12" hidden="1" x14ac:dyDescent="0.25">
      <c r="A38" s="51">
        <v>36</v>
      </c>
      <c r="B38" s="9"/>
      <c r="C38" s="20" t="s">
        <v>944</v>
      </c>
      <c r="D38" s="16" t="s">
        <v>188</v>
      </c>
      <c r="E38" s="16" t="s">
        <v>20</v>
      </c>
      <c r="F38" s="9" t="s">
        <v>44</v>
      </c>
      <c r="G38" s="9" t="s">
        <v>945</v>
      </c>
      <c r="H38" s="52" t="s">
        <v>847</v>
      </c>
      <c r="I38" s="16"/>
      <c r="J38" s="15" t="s">
        <v>946</v>
      </c>
      <c r="K38" s="16"/>
      <c r="L38" s="9" t="s">
        <v>838</v>
      </c>
    </row>
    <row r="39" spans="1:12" ht="25.5" hidden="1" x14ac:dyDescent="0.25">
      <c r="A39" s="51">
        <v>37</v>
      </c>
      <c r="B39" s="9"/>
      <c r="C39" s="20" t="s">
        <v>947</v>
      </c>
      <c r="D39" s="16" t="s">
        <v>203</v>
      </c>
      <c r="E39" s="16" t="s">
        <v>948</v>
      </c>
      <c r="F39" s="9" t="s">
        <v>25</v>
      </c>
      <c r="G39" s="16" t="s">
        <v>949</v>
      </c>
      <c r="H39" s="20" t="s">
        <v>847</v>
      </c>
      <c r="I39" s="16"/>
      <c r="J39" s="15" t="s">
        <v>950</v>
      </c>
      <c r="K39" s="9"/>
      <c r="L39" s="9" t="s">
        <v>838</v>
      </c>
    </row>
    <row r="40" spans="1:12" ht="25.5" hidden="1" x14ac:dyDescent="0.25">
      <c r="A40" s="51">
        <v>38</v>
      </c>
      <c r="B40" s="9"/>
      <c r="C40" s="20" t="s">
        <v>951</v>
      </c>
      <c r="D40" s="16" t="s">
        <v>188</v>
      </c>
      <c r="E40" s="16" t="s">
        <v>616</v>
      </c>
      <c r="F40" s="9" t="s">
        <v>44</v>
      </c>
      <c r="G40" s="9" t="s">
        <v>952</v>
      </c>
      <c r="H40" s="52" t="s">
        <v>847</v>
      </c>
      <c r="I40" s="16"/>
      <c r="J40" s="15" t="s">
        <v>953</v>
      </c>
      <c r="K40" s="9"/>
      <c r="L40" s="9" t="s">
        <v>838</v>
      </c>
    </row>
    <row r="41" spans="1:12" ht="38.25" hidden="1" x14ac:dyDescent="0.25">
      <c r="A41" s="51">
        <v>39</v>
      </c>
      <c r="B41" s="9"/>
      <c r="C41" s="20" t="s">
        <v>954</v>
      </c>
      <c r="D41" s="16" t="s">
        <v>188</v>
      </c>
      <c r="E41" s="16" t="s">
        <v>955</v>
      </c>
      <c r="F41" s="9" t="s">
        <v>25</v>
      </c>
      <c r="G41" s="9" t="s">
        <v>956</v>
      </c>
      <c r="H41" s="52" t="s">
        <v>847</v>
      </c>
      <c r="I41" s="16"/>
      <c r="J41" s="15" t="s">
        <v>957</v>
      </c>
      <c r="K41" s="9"/>
      <c r="L41" s="9" t="s">
        <v>838</v>
      </c>
    </row>
    <row r="42" spans="1:12" ht="25.5" hidden="1" x14ac:dyDescent="0.25">
      <c r="A42" s="51">
        <v>40</v>
      </c>
      <c r="B42" s="9"/>
      <c r="C42" s="20" t="s">
        <v>958</v>
      </c>
      <c r="D42" s="16" t="s">
        <v>188</v>
      </c>
      <c r="E42" s="16" t="s">
        <v>129</v>
      </c>
      <c r="F42" s="9" t="s">
        <v>25</v>
      </c>
      <c r="G42" s="9" t="s">
        <v>959</v>
      </c>
      <c r="H42" s="53" t="s">
        <v>847</v>
      </c>
      <c r="I42" s="9"/>
      <c r="J42" s="15"/>
      <c r="K42" s="9"/>
      <c r="L42" s="9" t="s">
        <v>838</v>
      </c>
    </row>
    <row r="43" spans="1:12" ht="25.5" hidden="1" x14ac:dyDescent="0.25">
      <c r="A43" s="51">
        <v>41</v>
      </c>
      <c r="B43" s="9"/>
      <c r="C43" s="20" t="s">
        <v>960</v>
      </c>
      <c r="D43" s="16" t="s">
        <v>188</v>
      </c>
      <c r="E43" s="16" t="s">
        <v>70</v>
      </c>
      <c r="F43" s="9" t="s">
        <v>25</v>
      </c>
      <c r="G43" s="9" t="s">
        <v>961</v>
      </c>
      <c r="H43" s="20" t="s">
        <v>962</v>
      </c>
      <c r="I43" s="16"/>
      <c r="J43" s="15"/>
      <c r="K43" s="9"/>
      <c r="L43" s="9" t="s">
        <v>963</v>
      </c>
    </row>
    <row r="44" spans="1:12" ht="25.5" hidden="1" x14ac:dyDescent="0.25">
      <c r="A44" s="51">
        <v>42</v>
      </c>
      <c r="B44" s="9"/>
      <c r="C44" s="20" t="s">
        <v>964</v>
      </c>
      <c r="D44" s="16" t="s">
        <v>188</v>
      </c>
      <c r="E44" s="16" t="s">
        <v>965</v>
      </c>
      <c r="F44" s="9" t="s">
        <v>44</v>
      </c>
      <c r="G44" s="9" t="s">
        <v>966</v>
      </c>
      <c r="H44" s="20" t="s">
        <v>847</v>
      </c>
      <c r="I44" s="16"/>
      <c r="J44" s="15" t="s">
        <v>967</v>
      </c>
      <c r="K44" s="9"/>
      <c r="L44" s="9" t="s">
        <v>838</v>
      </c>
    </row>
    <row r="45" spans="1:12" ht="25.5" hidden="1" x14ac:dyDescent="0.25">
      <c r="A45" s="51">
        <v>43</v>
      </c>
      <c r="B45" s="9"/>
      <c r="C45" s="20" t="s">
        <v>968</v>
      </c>
      <c r="D45" s="16" t="s">
        <v>188</v>
      </c>
      <c r="E45" s="16" t="s">
        <v>969</v>
      </c>
      <c r="F45" s="9" t="s">
        <v>44</v>
      </c>
      <c r="G45" s="9" t="s">
        <v>970</v>
      </c>
      <c r="H45" s="53" t="s">
        <v>847</v>
      </c>
      <c r="I45" s="9"/>
      <c r="J45" s="15" t="s">
        <v>967</v>
      </c>
      <c r="K45" s="9"/>
      <c r="L45" s="9" t="s">
        <v>838</v>
      </c>
    </row>
    <row r="46" spans="1:12" ht="25.5" hidden="1" x14ac:dyDescent="0.25">
      <c r="A46" s="51">
        <v>44</v>
      </c>
      <c r="B46" s="9"/>
      <c r="C46" s="20" t="s">
        <v>971</v>
      </c>
      <c r="D46" s="16" t="s">
        <v>188</v>
      </c>
      <c r="E46" s="16" t="s">
        <v>972</v>
      </c>
      <c r="F46" s="9" t="s">
        <v>42</v>
      </c>
      <c r="G46" s="16" t="s">
        <v>973</v>
      </c>
      <c r="H46" s="20" t="s">
        <v>847</v>
      </c>
      <c r="I46" s="16"/>
      <c r="J46" s="15"/>
      <c r="K46" s="9"/>
      <c r="L46" s="9" t="s">
        <v>838</v>
      </c>
    </row>
    <row r="47" spans="1:12" ht="25.5" hidden="1" x14ac:dyDescent="0.25">
      <c r="A47" s="51">
        <v>45</v>
      </c>
      <c r="B47" s="9"/>
      <c r="C47" s="20" t="s">
        <v>974</v>
      </c>
      <c r="D47" s="16" t="s">
        <v>236</v>
      </c>
      <c r="E47" s="16" t="s">
        <v>84</v>
      </c>
      <c r="F47" s="9" t="s">
        <v>42</v>
      </c>
      <c r="G47" s="16" t="s">
        <v>975</v>
      </c>
      <c r="H47" s="20" t="s">
        <v>847</v>
      </c>
      <c r="I47" s="16"/>
      <c r="J47" s="15" t="s">
        <v>976</v>
      </c>
      <c r="K47" s="9"/>
      <c r="L47" s="9" t="s">
        <v>838</v>
      </c>
    </row>
    <row r="48" spans="1:12" ht="25.5" hidden="1" x14ac:dyDescent="0.25">
      <c r="A48" s="51">
        <v>46</v>
      </c>
      <c r="B48" s="9"/>
      <c r="C48" s="20" t="s">
        <v>977</v>
      </c>
      <c r="D48" s="16" t="s">
        <v>188</v>
      </c>
      <c r="E48" s="16" t="s">
        <v>132</v>
      </c>
      <c r="F48" s="9" t="s">
        <v>25</v>
      </c>
      <c r="G48" s="16" t="s">
        <v>978</v>
      </c>
      <c r="H48" s="20" t="s">
        <v>847</v>
      </c>
      <c r="I48" s="16"/>
      <c r="J48" s="15"/>
      <c r="K48" s="9"/>
      <c r="L48" s="9" t="s">
        <v>838</v>
      </c>
    </row>
    <row r="49" spans="1:12" ht="25.5" hidden="1" x14ac:dyDescent="0.25">
      <c r="A49" s="51">
        <v>47</v>
      </c>
      <c r="B49" s="9"/>
      <c r="C49" s="20" t="s">
        <v>979</v>
      </c>
      <c r="D49" s="16" t="s">
        <v>980</v>
      </c>
      <c r="E49" s="16" t="s">
        <v>981</v>
      </c>
      <c r="F49" s="9" t="s">
        <v>42</v>
      </c>
      <c r="G49" s="16" t="s">
        <v>982</v>
      </c>
      <c r="H49" s="20" t="s">
        <v>847</v>
      </c>
      <c r="I49" s="16"/>
      <c r="J49" s="18" t="s">
        <v>983</v>
      </c>
      <c r="K49" s="9"/>
      <c r="L49" s="9" t="s">
        <v>838</v>
      </c>
    </row>
    <row r="50" spans="1:12" ht="25.5" hidden="1" x14ac:dyDescent="0.25">
      <c r="A50" s="51">
        <v>48</v>
      </c>
      <c r="B50" s="9"/>
      <c r="C50" s="20" t="s">
        <v>984</v>
      </c>
      <c r="D50" s="16" t="s">
        <v>980</v>
      </c>
      <c r="E50" s="16" t="s">
        <v>985</v>
      </c>
      <c r="F50" s="9" t="s">
        <v>44</v>
      </c>
      <c r="G50" s="9" t="s">
        <v>986</v>
      </c>
      <c r="H50" s="53" t="s">
        <v>16</v>
      </c>
      <c r="I50" s="9"/>
      <c r="J50" s="15"/>
      <c r="K50" s="9"/>
      <c r="L50" s="9" t="s">
        <v>838</v>
      </c>
    </row>
    <row r="51" spans="1:12" ht="51" hidden="1" x14ac:dyDescent="0.25">
      <c r="A51" s="51">
        <v>49</v>
      </c>
      <c r="B51" s="9"/>
      <c r="C51" s="20" t="s">
        <v>987</v>
      </c>
      <c r="D51" s="16" t="s">
        <v>188</v>
      </c>
      <c r="E51" s="16" t="s">
        <v>988</v>
      </c>
      <c r="F51" s="9" t="s">
        <v>44</v>
      </c>
      <c r="G51" s="9" t="s">
        <v>989</v>
      </c>
      <c r="H51" s="20" t="s">
        <v>990</v>
      </c>
      <c r="I51" s="9" t="s">
        <v>991</v>
      </c>
      <c r="J51" s="15" t="s">
        <v>992</v>
      </c>
      <c r="K51" s="9"/>
      <c r="L51" s="9" t="s">
        <v>963</v>
      </c>
    </row>
    <row r="52" spans="1:12" ht="25.5" hidden="1" x14ac:dyDescent="0.25">
      <c r="A52" s="51">
        <v>50</v>
      </c>
      <c r="B52" s="9"/>
      <c r="C52" s="20" t="s">
        <v>993</v>
      </c>
      <c r="D52" s="16" t="s">
        <v>188</v>
      </c>
      <c r="E52" s="16" t="s">
        <v>106</v>
      </c>
      <c r="F52" s="9" t="s">
        <v>25</v>
      </c>
      <c r="G52" s="9" t="s">
        <v>994</v>
      </c>
      <c r="H52" s="20" t="s">
        <v>847</v>
      </c>
      <c r="I52" s="9"/>
      <c r="J52" s="15" t="s">
        <v>995</v>
      </c>
      <c r="K52" s="9"/>
      <c r="L52" s="9" t="s">
        <v>838</v>
      </c>
    </row>
    <row r="53" spans="1:12" hidden="1" x14ac:dyDescent="0.25">
      <c r="A53" s="51">
        <v>51</v>
      </c>
      <c r="B53" s="9"/>
      <c r="C53" s="20" t="s">
        <v>996</v>
      </c>
      <c r="D53" s="16" t="s">
        <v>188</v>
      </c>
      <c r="E53" s="16" t="s">
        <v>132</v>
      </c>
      <c r="F53" s="9" t="s">
        <v>25</v>
      </c>
      <c r="G53" s="9" t="s">
        <v>997</v>
      </c>
      <c r="H53" s="52" t="s">
        <v>847</v>
      </c>
      <c r="I53" s="54"/>
      <c r="J53" s="15" t="s">
        <v>998</v>
      </c>
      <c r="K53" s="16"/>
      <c r="L53" s="9" t="s">
        <v>838</v>
      </c>
    </row>
    <row r="54" spans="1:12" ht="25.5" hidden="1" x14ac:dyDescent="0.25">
      <c r="A54" s="51">
        <v>52</v>
      </c>
      <c r="B54" s="9"/>
      <c r="C54" s="20" t="s">
        <v>999</v>
      </c>
      <c r="D54" s="16" t="s">
        <v>188</v>
      </c>
      <c r="E54" s="16" t="s">
        <v>152</v>
      </c>
      <c r="F54" s="9" t="s">
        <v>42</v>
      </c>
      <c r="G54" s="16" t="s">
        <v>1000</v>
      </c>
      <c r="H54" s="20" t="s">
        <v>1001</v>
      </c>
      <c r="I54" s="16"/>
      <c r="J54" s="15" t="s">
        <v>1002</v>
      </c>
      <c r="K54" s="9"/>
      <c r="L54" s="9" t="s">
        <v>838</v>
      </c>
    </row>
    <row r="55" spans="1:12" ht="25.5" hidden="1" x14ac:dyDescent="0.25">
      <c r="A55" s="51">
        <v>53</v>
      </c>
      <c r="B55" s="9"/>
      <c r="C55" s="20" t="s">
        <v>1003</v>
      </c>
      <c r="D55" s="16" t="s">
        <v>980</v>
      </c>
      <c r="E55" s="16" t="s">
        <v>129</v>
      </c>
      <c r="F55" s="9" t="s">
        <v>44</v>
      </c>
      <c r="G55" s="55" t="s">
        <v>1004</v>
      </c>
      <c r="H55" s="20" t="s">
        <v>931</v>
      </c>
      <c r="I55" s="16" t="s">
        <v>267</v>
      </c>
      <c r="J55" s="15" t="s">
        <v>1005</v>
      </c>
      <c r="K55" s="9" t="s">
        <v>259</v>
      </c>
      <c r="L55" s="9" t="s">
        <v>838</v>
      </c>
    </row>
    <row r="56" spans="1:12" ht="25.5" hidden="1" x14ac:dyDescent="0.25">
      <c r="A56" s="51">
        <v>54</v>
      </c>
      <c r="B56" s="9"/>
      <c r="C56" s="20" t="s">
        <v>1006</v>
      </c>
      <c r="D56" s="16" t="s">
        <v>1007</v>
      </c>
      <c r="E56" s="16" t="s">
        <v>1008</v>
      </c>
      <c r="F56" s="9" t="s">
        <v>863</v>
      </c>
      <c r="G56" s="20" t="s">
        <v>1009</v>
      </c>
      <c r="H56" s="20" t="s">
        <v>1010</v>
      </c>
      <c r="I56" s="56" t="s">
        <v>1011</v>
      </c>
      <c r="J56" s="15" t="s">
        <v>1012</v>
      </c>
      <c r="K56" s="9"/>
      <c r="L56" s="9" t="s">
        <v>963</v>
      </c>
    </row>
    <row r="57" spans="1:12" ht="25.5" hidden="1" x14ac:dyDescent="0.25">
      <c r="A57" s="51">
        <v>55</v>
      </c>
      <c r="B57" s="9"/>
      <c r="C57" s="20" t="s">
        <v>1013</v>
      </c>
      <c r="D57" s="16" t="s">
        <v>203</v>
      </c>
      <c r="E57" s="16" t="s">
        <v>160</v>
      </c>
      <c r="F57" s="9" t="s">
        <v>44</v>
      </c>
      <c r="G57" s="16" t="s">
        <v>1014</v>
      </c>
      <c r="H57" s="57" t="s">
        <v>1015</v>
      </c>
      <c r="I57" s="58">
        <v>45271</v>
      </c>
      <c r="J57" s="15" t="s">
        <v>1012</v>
      </c>
      <c r="K57" s="9"/>
      <c r="L57" s="9" t="s">
        <v>963</v>
      </c>
    </row>
    <row r="58" spans="1:12" ht="25.5" hidden="1" x14ac:dyDescent="0.25">
      <c r="A58" s="51">
        <v>56</v>
      </c>
      <c r="B58" s="9"/>
      <c r="C58" s="20" t="s">
        <v>1016</v>
      </c>
      <c r="D58" s="16" t="s">
        <v>236</v>
      </c>
      <c r="E58" s="16" t="s">
        <v>86</v>
      </c>
      <c r="F58" s="9" t="s">
        <v>44</v>
      </c>
      <c r="G58" s="16" t="s">
        <v>1017</v>
      </c>
      <c r="H58" s="20" t="s">
        <v>847</v>
      </c>
      <c r="I58" s="54">
        <v>45272</v>
      </c>
      <c r="J58" s="15" t="s">
        <v>1018</v>
      </c>
      <c r="K58" s="9" t="s">
        <v>1019</v>
      </c>
      <c r="L58" s="9" t="s">
        <v>838</v>
      </c>
    </row>
    <row r="59" spans="1:12" ht="25.5" hidden="1" x14ac:dyDescent="0.25">
      <c r="A59" s="51">
        <v>57</v>
      </c>
      <c r="B59" s="9"/>
      <c r="C59" s="20" t="s">
        <v>1020</v>
      </c>
      <c r="D59" s="16" t="s">
        <v>980</v>
      </c>
      <c r="E59" s="16" t="s">
        <v>129</v>
      </c>
      <c r="F59" s="9" t="s">
        <v>25</v>
      </c>
      <c r="G59" s="16" t="s">
        <v>1021</v>
      </c>
      <c r="H59" s="20" t="s">
        <v>847</v>
      </c>
      <c r="I59" s="16" t="s">
        <v>178</v>
      </c>
      <c r="J59" s="15" t="s">
        <v>1022</v>
      </c>
      <c r="K59" s="9"/>
      <c r="L59" s="9" t="s">
        <v>838</v>
      </c>
    </row>
    <row r="60" spans="1:12" ht="25.5" hidden="1" x14ac:dyDescent="0.25">
      <c r="A60" s="51">
        <v>58</v>
      </c>
      <c r="B60" s="9"/>
      <c r="C60" s="20" t="s">
        <v>1023</v>
      </c>
      <c r="D60" s="16" t="s">
        <v>188</v>
      </c>
      <c r="E60" s="16" t="s">
        <v>219</v>
      </c>
      <c r="F60" s="9" t="s">
        <v>44</v>
      </c>
      <c r="G60" s="16" t="s">
        <v>1024</v>
      </c>
      <c r="H60" s="20" t="s">
        <v>847</v>
      </c>
      <c r="I60" s="54">
        <v>45383</v>
      </c>
      <c r="J60" s="15" t="s">
        <v>1025</v>
      </c>
      <c r="K60" s="24">
        <v>45383</v>
      </c>
      <c r="L60" s="9" t="s">
        <v>838</v>
      </c>
    </row>
    <row r="61" spans="1:12" ht="38.25" hidden="1" x14ac:dyDescent="0.25">
      <c r="A61" s="51">
        <v>59</v>
      </c>
      <c r="B61" s="9"/>
      <c r="C61" s="20" t="s">
        <v>1026</v>
      </c>
      <c r="D61" s="9" t="s">
        <v>188</v>
      </c>
      <c r="E61" s="16" t="s">
        <v>54</v>
      </c>
      <c r="F61" s="9" t="s">
        <v>44</v>
      </c>
      <c r="G61" s="16" t="s">
        <v>1027</v>
      </c>
      <c r="H61" s="20" t="s">
        <v>847</v>
      </c>
      <c r="I61" s="24">
        <v>45505</v>
      </c>
      <c r="J61" s="15" t="s">
        <v>1028</v>
      </c>
      <c r="K61" s="24" t="s">
        <v>1029</v>
      </c>
      <c r="L61" s="9" t="s">
        <v>838</v>
      </c>
    </row>
    <row r="62" spans="1:12" ht="25.5" hidden="1" x14ac:dyDescent="0.25">
      <c r="A62" s="51">
        <v>60</v>
      </c>
      <c r="B62" s="9"/>
      <c r="C62" s="20" t="s">
        <v>1030</v>
      </c>
      <c r="D62" s="9" t="s">
        <v>188</v>
      </c>
      <c r="E62" s="16" t="s">
        <v>22</v>
      </c>
      <c r="F62" s="9" t="s">
        <v>44</v>
      </c>
      <c r="G62" s="9" t="s">
        <v>1031</v>
      </c>
      <c r="H62" s="59" t="s">
        <v>847</v>
      </c>
      <c r="I62" s="24">
        <v>45536</v>
      </c>
      <c r="J62" s="15" t="s">
        <v>1032</v>
      </c>
      <c r="K62" s="9" t="s">
        <v>238</v>
      </c>
      <c r="L62" s="9" t="s">
        <v>838</v>
      </c>
    </row>
    <row r="63" spans="1:12" ht="25.5" hidden="1" x14ac:dyDescent="0.25">
      <c r="A63" s="51">
        <v>61</v>
      </c>
      <c r="B63" s="9"/>
      <c r="C63" s="20" t="s">
        <v>1033</v>
      </c>
      <c r="D63" s="9" t="s">
        <v>242</v>
      </c>
      <c r="E63" s="16" t="s">
        <v>14</v>
      </c>
      <c r="F63" s="9" t="s">
        <v>44</v>
      </c>
      <c r="G63" s="9" t="s">
        <v>1034</v>
      </c>
      <c r="H63" s="53" t="s">
        <v>1035</v>
      </c>
      <c r="I63" s="24">
        <v>45597</v>
      </c>
      <c r="J63" s="15" t="s">
        <v>1036</v>
      </c>
      <c r="K63" s="9" t="s">
        <v>1037</v>
      </c>
      <c r="L63" s="9" t="s">
        <v>963</v>
      </c>
    </row>
    <row r="64" spans="1:12" hidden="1" x14ac:dyDescent="0.25">
      <c r="A64" s="51">
        <v>62</v>
      </c>
      <c r="B64" s="9"/>
      <c r="C64" s="20" t="s">
        <v>1038</v>
      </c>
      <c r="D64" s="9" t="s">
        <v>236</v>
      </c>
      <c r="E64" s="16" t="s">
        <v>271</v>
      </c>
      <c r="F64" s="9" t="s">
        <v>44</v>
      </c>
      <c r="G64" s="16" t="s">
        <v>1039</v>
      </c>
      <c r="H64" s="60" t="s">
        <v>1040</v>
      </c>
      <c r="I64" s="9" t="s">
        <v>1041</v>
      </c>
      <c r="J64" s="15" t="s">
        <v>1042</v>
      </c>
      <c r="K64" s="9" t="s">
        <v>274</v>
      </c>
      <c r="L64" s="9" t="s">
        <v>838</v>
      </c>
    </row>
    <row r="65" spans="1:14" hidden="1" x14ac:dyDescent="0.25">
      <c r="A65" s="51">
        <v>63</v>
      </c>
      <c r="B65" s="9"/>
      <c r="C65" s="20" t="s">
        <v>1043</v>
      </c>
      <c r="D65" s="9" t="s">
        <v>188</v>
      </c>
      <c r="E65" s="16" t="s">
        <v>988</v>
      </c>
      <c r="F65" s="9" t="s">
        <v>44</v>
      </c>
      <c r="G65" s="16" t="s">
        <v>1044</v>
      </c>
      <c r="H65" s="20" t="s">
        <v>847</v>
      </c>
      <c r="I65" s="9" t="s">
        <v>1041</v>
      </c>
      <c r="J65" s="20" t="s">
        <v>1045</v>
      </c>
      <c r="K65" s="9" t="s">
        <v>244</v>
      </c>
      <c r="L65" s="9" t="s">
        <v>838</v>
      </c>
    </row>
    <row r="66" spans="1:14" ht="25.5" hidden="1" x14ac:dyDescent="0.25">
      <c r="A66" s="51">
        <v>64</v>
      </c>
      <c r="B66" s="9"/>
      <c r="C66" s="20" t="s">
        <v>1046</v>
      </c>
      <c r="D66" s="9" t="s">
        <v>1007</v>
      </c>
      <c r="E66" s="16" t="s">
        <v>480</v>
      </c>
      <c r="F66" s="9" t="s">
        <v>44</v>
      </c>
      <c r="G66" s="16" t="s">
        <v>1047</v>
      </c>
      <c r="H66" s="20" t="s">
        <v>847</v>
      </c>
      <c r="I66" s="9" t="s">
        <v>251</v>
      </c>
      <c r="J66" s="15" t="s">
        <v>1048</v>
      </c>
      <c r="K66" s="24">
        <v>45293</v>
      </c>
      <c r="L66" s="9" t="s">
        <v>838</v>
      </c>
    </row>
    <row r="67" spans="1:14" ht="25.5" x14ac:dyDescent="0.25">
      <c r="A67" s="51">
        <v>65</v>
      </c>
      <c r="B67" s="9"/>
      <c r="C67" s="20" t="s">
        <v>1049</v>
      </c>
      <c r="D67" s="9" t="s">
        <v>188</v>
      </c>
      <c r="E67" s="16" t="s">
        <v>224</v>
      </c>
      <c r="F67" s="9" t="s">
        <v>214</v>
      </c>
      <c r="G67" s="16" t="s">
        <v>1050</v>
      </c>
      <c r="H67" s="61" t="s">
        <v>1051</v>
      </c>
      <c r="I67" s="9" t="s">
        <v>248</v>
      </c>
      <c r="J67" s="15" t="s">
        <v>1052</v>
      </c>
      <c r="K67" s="24">
        <v>45476</v>
      </c>
      <c r="L67" s="9" t="s">
        <v>838</v>
      </c>
    </row>
    <row r="68" spans="1:14" ht="25.5" hidden="1" x14ac:dyDescent="0.25">
      <c r="A68" s="51">
        <v>66</v>
      </c>
      <c r="B68" s="9"/>
      <c r="C68" s="16" t="s">
        <v>1053</v>
      </c>
      <c r="D68" s="9" t="s">
        <v>188</v>
      </c>
      <c r="E68" s="20" t="s">
        <v>33</v>
      </c>
      <c r="F68" s="53" t="s">
        <v>44</v>
      </c>
      <c r="G68" s="9" t="s">
        <v>1054</v>
      </c>
      <c r="H68" s="53" t="s">
        <v>1055</v>
      </c>
      <c r="I68" s="24">
        <v>45448</v>
      </c>
      <c r="J68" s="15" t="s">
        <v>1056</v>
      </c>
      <c r="K68" s="9"/>
      <c r="L68" s="9" t="s">
        <v>963</v>
      </c>
    </row>
    <row r="69" spans="1:14" ht="25.5" hidden="1" x14ac:dyDescent="0.2">
      <c r="A69" s="51">
        <v>67</v>
      </c>
      <c r="B69" s="9"/>
      <c r="C69" s="23" t="s">
        <v>1057</v>
      </c>
      <c r="D69" s="9" t="s">
        <v>188</v>
      </c>
      <c r="E69" s="16" t="s">
        <v>213</v>
      </c>
      <c r="F69" s="9" t="s">
        <v>126</v>
      </c>
      <c r="G69" s="9" t="s">
        <v>1058</v>
      </c>
      <c r="H69" s="20" t="s">
        <v>1059</v>
      </c>
      <c r="I69" s="9" t="s">
        <v>313</v>
      </c>
      <c r="J69" s="18" t="s">
        <v>1060</v>
      </c>
      <c r="K69" s="9" t="s">
        <v>348</v>
      </c>
      <c r="L69" s="9" t="s">
        <v>838</v>
      </c>
    </row>
    <row r="70" spans="1:14" ht="25.5" hidden="1" x14ac:dyDescent="0.25">
      <c r="A70" s="51">
        <v>68</v>
      </c>
      <c r="B70" s="9"/>
      <c r="C70" s="20" t="s">
        <v>1061</v>
      </c>
      <c r="D70" s="9" t="s">
        <v>188</v>
      </c>
      <c r="E70" s="16" t="s">
        <v>54</v>
      </c>
      <c r="F70" s="9" t="s">
        <v>44</v>
      </c>
      <c r="G70" s="9">
        <v>458488</v>
      </c>
      <c r="H70" s="59" t="s">
        <v>847</v>
      </c>
      <c r="I70" s="9" t="s">
        <v>314</v>
      </c>
      <c r="J70" s="15" t="s">
        <v>1062</v>
      </c>
      <c r="K70" s="24">
        <v>45386</v>
      </c>
      <c r="L70" s="9" t="s">
        <v>838</v>
      </c>
    </row>
    <row r="71" spans="1:14" ht="24" customHeight="1" x14ac:dyDescent="0.2">
      <c r="A71" s="51">
        <v>69</v>
      </c>
      <c r="B71" s="9"/>
      <c r="C71" s="23" t="s">
        <v>1063</v>
      </c>
      <c r="D71" s="9" t="s">
        <v>188</v>
      </c>
      <c r="E71" s="16" t="s">
        <v>213</v>
      </c>
      <c r="F71" s="9" t="s">
        <v>214</v>
      </c>
      <c r="G71" s="62" t="s">
        <v>1064</v>
      </c>
      <c r="H71" s="20" t="s">
        <v>847</v>
      </c>
      <c r="I71" s="62" t="s">
        <v>1065</v>
      </c>
      <c r="J71" s="18" t="s">
        <v>1066</v>
      </c>
      <c r="K71" s="24" t="s">
        <v>348</v>
      </c>
      <c r="L71" s="9" t="s">
        <v>838</v>
      </c>
      <c r="N71" s="44" t="s">
        <v>171</v>
      </c>
    </row>
    <row r="72" spans="1:14" hidden="1" x14ac:dyDescent="0.2">
      <c r="A72" s="51">
        <v>70</v>
      </c>
      <c r="B72" s="9"/>
      <c r="C72" s="23" t="s">
        <v>1067</v>
      </c>
      <c r="D72" s="9" t="s">
        <v>188</v>
      </c>
      <c r="E72" s="16" t="s">
        <v>262</v>
      </c>
      <c r="F72" s="9" t="s">
        <v>44</v>
      </c>
      <c r="G72" s="9" t="s">
        <v>1068</v>
      </c>
      <c r="H72" s="53" t="s">
        <v>847</v>
      </c>
      <c r="I72" s="9" t="s">
        <v>326</v>
      </c>
      <c r="J72" s="15" t="s">
        <v>1069</v>
      </c>
      <c r="K72" s="9" t="s">
        <v>352</v>
      </c>
      <c r="L72" s="9" t="s">
        <v>838</v>
      </c>
    </row>
    <row r="73" spans="1:14" ht="25.5" hidden="1" x14ac:dyDescent="0.25">
      <c r="A73" s="51">
        <v>71</v>
      </c>
      <c r="B73" s="9"/>
      <c r="C73" s="20" t="s">
        <v>1070</v>
      </c>
      <c r="D73" s="9" t="s">
        <v>188</v>
      </c>
      <c r="E73" s="16" t="s">
        <v>70</v>
      </c>
      <c r="F73" s="9" t="s">
        <v>44</v>
      </c>
      <c r="G73" s="9">
        <v>468949</v>
      </c>
      <c r="H73" s="53" t="s">
        <v>1071</v>
      </c>
      <c r="I73" s="24">
        <v>45295</v>
      </c>
      <c r="J73" s="15" t="s">
        <v>1072</v>
      </c>
      <c r="K73" s="9" t="s">
        <v>347</v>
      </c>
      <c r="L73" s="9" t="s">
        <v>838</v>
      </c>
    </row>
    <row r="74" spans="1:14" hidden="1" x14ac:dyDescent="0.25">
      <c r="A74" s="51">
        <v>72</v>
      </c>
      <c r="B74" s="9"/>
      <c r="C74" s="20" t="s">
        <v>1073</v>
      </c>
      <c r="D74" s="9" t="s">
        <v>1074</v>
      </c>
      <c r="E74" s="16" t="s">
        <v>503</v>
      </c>
      <c r="F74" s="9" t="s">
        <v>25</v>
      </c>
      <c r="G74" s="9" t="s">
        <v>1075</v>
      </c>
      <c r="H74" s="53" t="s">
        <v>1076</v>
      </c>
      <c r="I74" s="24">
        <v>45569</v>
      </c>
      <c r="J74" s="15"/>
      <c r="K74" s="9"/>
      <c r="L74" s="9" t="s">
        <v>838</v>
      </c>
    </row>
    <row r="75" spans="1:14" ht="25.5" hidden="1" x14ac:dyDescent="0.25">
      <c r="A75" s="51">
        <v>73</v>
      </c>
      <c r="B75" s="9"/>
      <c r="C75" s="20" t="s">
        <v>1077</v>
      </c>
      <c r="D75" s="9" t="s">
        <v>1074</v>
      </c>
      <c r="E75" s="16" t="s">
        <v>503</v>
      </c>
      <c r="F75" s="9" t="s">
        <v>25</v>
      </c>
      <c r="G75" s="9" t="s">
        <v>1078</v>
      </c>
      <c r="H75" s="53" t="s">
        <v>1076</v>
      </c>
      <c r="I75" s="24">
        <v>45569</v>
      </c>
      <c r="J75" s="15"/>
      <c r="K75" s="9"/>
      <c r="L75" s="9" t="s">
        <v>838</v>
      </c>
    </row>
    <row r="76" spans="1:14" ht="76.5" hidden="1" x14ac:dyDescent="0.25">
      <c r="A76" s="51">
        <v>74</v>
      </c>
      <c r="B76" s="9"/>
      <c r="C76" s="20" t="s">
        <v>1079</v>
      </c>
      <c r="D76" s="9" t="s">
        <v>188</v>
      </c>
      <c r="E76" s="16" t="s">
        <v>98</v>
      </c>
      <c r="F76" s="9" t="s">
        <v>126</v>
      </c>
      <c r="G76" s="9">
        <v>478083</v>
      </c>
      <c r="H76" s="61" t="s">
        <v>1080</v>
      </c>
      <c r="I76" s="24">
        <v>45327</v>
      </c>
      <c r="J76" s="18" t="s">
        <v>1081</v>
      </c>
      <c r="K76" s="9"/>
      <c r="L76" s="9" t="s">
        <v>963</v>
      </c>
    </row>
    <row r="77" spans="1:14" hidden="1" x14ac:dyDescent="0.25">
      <c r="A77" s="51">
        <v>75</v>
      </c>
      <c r="B77" s="9"/>
      <c r="C77" s="20" t="s">
        <v>1082</v>
      </c>
      <c r="D77" s="9" t="s">
        <v>188</v>
      </c>
      <c r="E77" s="16" t="s">
        <v>76</v>
      </c>
      <c r="F77" s="9" t="s">
        <v>44</v>
      </c>
      <c r="G77" s="9">
        <v>490249</v>
      </c>
      <c r="H77" s="53" t="s">
        <v>847</v>
      </c>
      <c r="I77" s="9" t="s">
        <v>351</v>
      </c>
      <c r="J77" s="18" t="s">
        <v>1083</v>
      </c>
      <c r="K77" s="9" t="s">
        <v>384</v>
      </c>
      <c r="L77" s="9" t="s">
        <v>838</v>
      </c>
    </row>
    <row r="78" spans="1:14" ht="25.5" hidden="1" x14ac:dyDescent="0.25">
      <c r="A78" s="51">
        <v>76</v>
      </c>
      <c r="B78" s="9"/>
      <c r="C78" s="20" t="s">
        <v>1084</v>
      </c>
      <c r="D78" s="9" t="s">
        <v>236</v>
      </c>
      <c r="E78" s="16" t="s">
        <v>271</v>
      </c>
      <c r="F78" s="9" t="s">
        <v>126</v>
      </c>
      <c r="G78" s="9"/>
      <c r="H78" s="53" t="s">
        <v>1085</v>
      </c>
      <c r="I78" s="9" t="s">
        <v>1086</v>
      </c>
      <c r="J78" s="15"/>
      <c r="K78" s="9"/>
      <c r="L78" s="9" t="s">
        <v>838</v>
      </c>
    </row>
    <row r="79" spans="1:14" ht="38.25" hidden="1" x14ac:dyDescent="0.25">
      <c r="A79" s="51">
        <v>77</v>
      </c>
      <c r="B79" s="9"/>
      <c r="C79" s="20" t="s">
        <v>1087</v>
      </c>
      <c r="D79" s="9" t="s">
        <v>236</v>
      </c>
      <c r="E79" s="16" t="s">
        <v>298</v>
      </c>
      <c r="F79" s="63" t="s">
        <v>126</v>
      </c>
      <c r="G79" s="9"/>
      <c r="H79" s="20" t="s">
        <v>1088</v>
      </c>
      <c r="I79" s="9"/>
      <c r="J79" s="15"/>
      <c r="K79" s="9"/>
      <c r="L79" s="9" t="s">
        <v>963</v>
      </c>
    </row>
    <row r="80" spans="1:14" ht="22.7" hidden="1" customHeight="1" x14ac:dyDescent="0.25">
      <c r="A80" s="51">
        <v>78</v>
      </c>
      <c r="B80" s="9"/>
      <c r="C80" s="20" t="s">
        <v>1089</v>
      </c>
      <c r="D80" s="9" t="s">
        <v>203</v>
      </c>
      <c r="E80" s="16" t="s">
        <v>1090</v>
      </c>
      <c r="F80" s="9" t="s">
        <v>44</v>
      </c>
      <c r="G80" s="9">
        <v>502531</v>
      </c>
      <c r="H80" s="53" t="s">
        <v>847</v>
      </c>
      <c r="I80" s="9" t="s">
        <v>348</v>
      </c>
      <c r="J80" s="15" t="s">
        <v>1091</v>
      </c>
      <c r="K80" s="24">
        <v>45388</v>
      </c>
      <c r="L80" s="9" t="s">
        <v>838</v>
      </c>
    </row>
    <row r="81" spans="1:12" ht="78" hidden="1" x14ac:dyDescent="0.25">
      <c r="A81" s="51">
        <v>79</v>
      </c>
      <c r="B81" s="9"/>
      <c r="C81" s="20" t="s">
        <v>1092</v>
      </c>
      <c r="D81" s="9" t="s">
        <v>203</v>
      </c>
      <c r="E81" s="16" t="s">
        <v>1093</v>
      </c>
      <c r="F81" s="9" t="s">
        <v>126</v>
      </c>
      <c r="G81" s="9" t="s">
        <v>1094</v>
      </c>
      <c r="H81" s="61" t="s">
        <v>1095</v>
      </c>
      <c r="I81" s="24">
        <v>45387</v>
      </c>
      <c r="J81" s="18" t="s">
        <v>1096</v>
      </c>
      <c r="K81" s="9"/>
      <c r="L81" s="9" t="s">
        <v>963</v>
      </c>
    </row>
    <row r="82" spans="1:12" hidden="1" x14ac:dyDescent="0.25">
      <c r="A82" s="51">
        <v>80</v>
      </c>
      <c r="B82" s="9"/>
      <c r="C82" s="20" t="s">
        <v>1097</v>
      </c>
      <c r="D82" s="9" t="s">
        <v>203</v>
      </c>
      <c r="E82" s="16" t="s">
        <v>1093</v>
      </c>
      <c r="F82" s="9" t="s">
        <v>126</v>
      </c>
      <c r="G82" s="9">
        <v>491035</v>
      </c>
      <c r="H82" s="53" t="s">
        <v>847</v>
      </c>
      <c r="I82" s="24">
        <v>45540</v>
      </c>
      <c r="J82" s="15" t="s">
        <v>1098</v>
      </c>
      <c r="K82" s="9" t="s">
        <v>1099</v>
      </c>
      <c r="L82" s="9" t="s">
        <v>838</v>
      </c>
    </row>
    <row r="83" spans="1:12" ht="45" x14ac:dyDescent="0.25">
      <c r="A83" s="51">
        <v>81</v>
      </c>
      <c r="B83" s="9"/>
      <c r="C83" s="20" t="s">
        <v>1100</v>
      </c>
      <c r="D83" s="9" t="s">
        <v>1007</v>
      </c>
      <c r="E83" s="16" t="s">
        <v>346</v>
      </c>
      <c r="F83" s="9" t="s">
        <v>214</v>
      </c>
      <c r="G83" s="9" t="s">
        <v>1101</v>
      </c>
      <c r="H83" s="64" t="s">
        <v>1102</v>
      </c>
      <c r="I83" s="24">
        <v>45479</v>
      </c>
      <c r="J83" s="18"/>
      <c r="K83" s="9"/>
      <c r="L83" s="9" t="s">
        <v>838</v>
      </c>
    </row>
    <row r="84" spans="1:12" ht="38.25" hidden="1" x14ac:dyDescent="0.25">
      <c r="A84" s="51">
        <v>82</v>
      </c>
      <c r="B84" s="9"/>
      <c r="C84" s="20" t="s">
        <v>1103</v>
      </c>
      <c r="D84" s="9" t="s">
        <v>188</v>
      </c>
      <c r="E84" s="16" t="s">
        <v>54</v>
      </c>
      <c r="F84" s="9" t="s">
        <v>44</v>
      </c>
      <c r="G84" s="9" t="s">
        <v>1104</v>
      </c>
      <c r="H84" s="65"/>
      <c r="I84" s="9" t="s">
        <v>1105</v>
      </c>
      <c r="J84" s="20" t="s">
        <v>1106</v>
      </c>
      <c r="K84" s="24">
        <v>45298</v>
      </c>
      <c r="L84" s="9" t="s">
        <v>838</v>
      </c>
    </row>
    <row r="85" spans="1:12" ht="15" hidden="1" x14ac:dyDescent="0.25">
      <c r="A85" s="51">
        <v>83</v>
      </c>
      <c r="B85" s="9"/>
      <c r="C85" s="20" t="s">
        <v>1107</v>
      </c>
      <c r="D85" s="9" t="s">
        <v>188</v>
      </c>
      <c r="E85" s="16" t="s">
        <v>1108</v>
      </c>
      <c r="F85" s="9" t="s">
        <v>44</v>
      </c>
      <c r="G85" s="9">
        <v>534599</v>
      </c>
      <c r="H85" s="66"/>
      <c r="I85" s="9" t="s">
        <v>385</v>
      </c>
      <c r="J85" s="20" t="s">
        <v>1109</v>
      </c>
      <c r="K85" s="24">
        <v>45358</v>
      </c>
      <c r="L85" s="9" t="s">
        <v>838</v>
      </c>
    </row>
    <row r="86" spans="1:12" ht="15" hidden="1" x14ac:dyDescent="0.25">
      <c r="A86" s="51">
        <v>84</v>
      </c>
      <c r="B86" s="9"/>
      <c r="C86" s="20" t="s">
        <v>1110</v>
      </c>
      <c r="D86" s="9" t="s">
        <v>188</v>
      </c>
      <c r="E86" s="16" t="s">
        <v>1108</v>
      </c>
      <c r="F86" s="9" t="s">
        <v>44</v>
      </c>
      <c r="G86" s="9">
        <v>536944</v>
      </c>
      <c r="H86" s="66"/>
      <c r="I86" s="9" t="s">
        <v>385</v>
      </c>
      <c r="J86" s="20" t="s">
        <v>1111</v>
      </c>
      <c r="K86" s="24">
        <v>45389</v>
      </c>
      <c r="L86" s="9" t="s">
        <v>838</v>
      </c>
    </row>
    <row r="87" spans="1:12" ht="38.25" hidden="1" x14ac:dyDescent="0.2">
      <c r="A87" s="51">
        <v>85</v>
      </c>
      <c r="B87" s="9"/>
      <c r="C87" s="67" t="s">
        <v>1112</v>
      </c>
      <c r="D87" s="9" t="s">
        <v>236</v>
      </c>
      <c r="E87" s="16" t="s">
        <v>298</v>
      </c>
      <c r="F87" s="9" t="s">
        <v>126</v>
      </c>
      <c r="G87" s="9" t="s">
        <v>1113</v>
      </c>
      <c r="H87" s="68"/>
      <c r="I87" s="9" t="s">
        <v>1114</v>
      </c>
      <c r="J87" s="20" t="s">
        <v>1115</v>
      </c>
      <c r="K87" s="9"/>
      <c r="L87" s="9" t="s">
        <v>1116</v>
      </c>
    </row>
    <row r="88" spans="1:12" ht="15" hidden="1" x14ac:dyDescent="0.25">
      <c r="A88" s="51">
        <v>86</v>
      </c>
      <c r="B88" s="9"/>
      <c r="C88" s="69" t="s">
        <v>1117</v>
      </c>
      <c r="D88" s="9" t="s">
        <v>203</v>
      </c>
      <c r="E88" s="16" t="s">
        <v>1090</v>
      </c>
      <c r="F88" s="9" t="s">
        <v>44</v>
      </c>
      <c r="G88" s="9" t="s">
        <v>1118</v>
      </c>
      <c r="H88" s="64"/>
      <c r="I88" s="24">
        <v>45357</v>
      </c>
      <c r="J88" s="20" t="s">
        <v>1119</v>
      </c>
      <c r="K88" s="24">
        <v>45572</v>
      </c>
      <c r="L88" s="9" t="s">
        <v>838</v>
      </c>
    </row>
    <row r="89" spans="1:12" ht="15" hidden="1" x14ac:dyDescent="0.25">
      <c r="A89" s="51">
        <v>87</v>
      </c>
      <c r="B89" s="9"/>
      <c r="C89" s="20" t="s">
        <v>1120</v>
      </c>
      <c r="D89" s="9" t="s">
        <v>188</v>
      </c>
      <c r="E89" s="16" t="s">
        <v>152</v>
      </c>
      <c r="F89" s="9" t="s">
        <v>44</v>
      </c>
      <c r="G89" s="9">
        <v>518686</v>
      </c>
      <c r="H89" s="64"/>
      <c r="I89" s="24">
        <v>45388</v>
      </c>
      <c r="J89" s="20" t="s">
        <v>1121</v>
      </c>
      <c r="K89" s="9" t="s">
        <v>1122</v>
      </c>
      <c r="L89" s="9" t="s">
        <v>838</v>
      </c>
    </row>
    <row r="90" spans="1:12" ht="51" hidden="1" x14ac:dyDescent="0.25">
      <c r="A90" s="51">
        <v>88</v>
      </c>
      <c r="B90" s="9"/>
      <c r="C90" s="20" t="s">
        <v>1079</v>
      </c>
      <c r="D90" s="9" t="s">
        <v>188</v>
      </c>
      <c r="E90" s="16" t="s">
        <v>98</v>
      </c>
      <c r="F90" s="9" t="s">
        <v>126</v>
      </c>
      <c r="G90" s="9" t="s">
        <v>1123</v>
      </c>
      <c r="H90" s="61" t="s">
        <v>1124</v>
      </c>
      <c r="I90" s="24">
        <v>45449</v>
      </c>
      <c r="J90" s="20" t="s">
        <v>1125</v>
      </c>
      <c r="K90" s="9"/>
      <c r="L90" s="9" t="s">
        <v>963</v>
      </c>
    </row>
    <row r="91" spans="1:12" hidden="1" x14ac:dyDescent="0.25">
      <c r="A91" s="51">
        <v>89</v>
      </c>
      <c r="B91" s="9"/>
      <c r="C91" s="20" t="s">
        <v>1126</v>
      </c>
      <c r="D91" s="9" t="s">
        <v>188</v>
      </c>
      <c r="E91" s="16" t="s">
        <v>419</v>
      </c>
      <c r="F91" s="9" t="s">
        <v>44</v>
      </c>
      <c r="G91" s="9" t="s">
        <v>1127</v>
      </c>
      <c r="H91" s="20" t="s">
        <v>857</v>
      </c>
      <c r="I91" s="9" t="s">
        <v>420</v>
      </c>
      <c r="J91" s="20" t="s">
        <v>1128</v>
      </c>
      <c r="K91" s="9" t="s">
        <v>462</v>
      </c>
      <c r="L91" s="9" t="s">
        <v>838</v>
      </c>
    </row>
    <row r="92" spans="1:12" ht="38.25" x14ac:dyDescent="0.25">
      <c r="A92" s="51">
        <v>90</v>
      </c>
      <c r="B92" s="9"/>
      <c r="C92" s="20" t="s">
        <v>1129</v>
      </c>
      <c r="D92" s="9" t="s">
        <v>203</v>
      </c>
      <c r="E92" s="16" t="s">
        <v>160</v>
      </c>
      <c r="F92" s="9" t="s">
        <v>214</v>
      </c>
      <c r="G92" s="9" t="s">
        <v>1130</v>
      </c>
      <c r="H92" s="53" t="s">
        <v>857</v>
      </c>
      <c r="I92" s="9" t="s">
        <v>1131</v>
      </c>
      <c r="J92" s="20" t="s">
        <v>1132</v>
      </c>
      <c r="K92" s="9" t="s">
        <v>1133</v>
      </c>
      <c r="L92" s="9" t="s">
        <v>838</v>
      </c>
    </row>
    <row r="93" spans="1:12" ht="38.25" hidden="1" x14ac:dyDescent="0.25">
      <c r="A93" s="51">
        <v>91</v>
      </c>
      <c r="B93" s="9"/>
      <c r="C93" s="20" t="s">
        <v>1134</v>
      </c>
      <c r="D93" s="9" t="s">
        <v>236</v>
      </c>
      <c r="E93" s="16" t="s">
        <v>298</v>
      </c>
      <c r="F93" s="9" t="s">
        <v>126</v>
      </c>
      <c r="G93" s="9" t="s">
        <v>1135</v>
      </c>
      <c r="H93" s="20" t="s">
        <v>1136</v>
      </c>
      <c r="I93" s="9" t="s">
        <v>1114</v>
      </c>
      <c r="J93" s="20" t="s">
        <v>1137</v>
      </c>
      <c r="K93" s="24">
        <v>45389</v>
      </c>
      <c r="L93" s="9" t="s">
        <v>838</v>
      </c>
    </row>
    <row r="94" spans="1:12" ht="25.5" x14ac:dyDescent="0.25">
      <c r="A94" s="51">
        <v>92</v>
      </c>
      <c r="B94" s="9"/>
      <c r="C94" s="20" t="s">
        <v>1138</v>
      </c>
      <c r="D94" s="9" t="s">
        <v>1074</v>
      </c>
      <c r="E94" s="16" t="s">
        <v>361</v>
      </c>
      <c r="F94" s="9" t="s">
        <v>214</v>
      </c>
      <c r="G94" s="9" t="s">
        <v>1139</v>
      </c>
      <c r="H94" s="20" t="s">
        <v>857</v>
      </c>
      <c r="I94" s="62" t="s">
        <v>1140</v>
      </c>
      <c r="J94" s="20" t="s">
        <v>1141</v>
      </c>
      <c r="K94" s="70">
        <v>45419</v>
      </c>
      <c r="L94" s="62" t="s">
        <v>838</v>
      </c>
    </row>
    <row r="95" spans="1:12" ht="25.5" hidden="1" x14ac:dyDescent="0.25">
      <c r="A95" s="16">
        <v>93</v>
      </c>
      <c r="B95" s="9"/>
      <c r="C95" s="20" t="s">
        <v>1142</v>
      </c>
      <c r="D95" s="9" t="s">
        <v>1143</v>
      </c>
      <c r="E95" s="16" t="s">
        <v>368</v>
      </c>
      <c r="F95" s="9" t="s">
        <v>25</v>
      </c>
      <c r="G95" s="16" t="s">
        <v>1144</v>
      </c>
      <c r="H95" s="20" t="s">
        <v>857</v>
      </c>
      <c r="I95" s="24">
        <v>45421</v>
      </c>
      <c r="J95" s="20" t="s">
        <v>1145</v>
      </c>
      <c r="K95" s="13" t="s">
        <v>1146</v>
      </c>
      <c r="L95" s="9" t="s">
        <v>838</v>
      </c>
    </row>
    <row r="96" spans="1:12" ht="38.25" hidden="1" x14ac:dyDescent="0.25">
      <c r="A96" s="51">
        <v>94</v>
      </c>
      <c r="B96" s="9"/>
      <c r="C96" s="20" t="s">
        <v>1147</v>
      </c>
      <c r="D96" s="9" t="s">
        <v>188</v>
      </c>
      <c r="E96" s="16" t="s">
        <v>98</v>
      </c>
      <c r="F96" s="9" t="s">
        <v>126</v>
      </c>
      <c r="G96" s="9" t="s">
        <v>1148</v>
      </c>
      <c r="H96" s="20" t="s">
        <v>1149</v>
      </c>
      <c r="I96" s="24">
        <v>45388</v>
      </c>
      <c r="J96" s="20" t="s">
        <v>1150</v>
      </c>
      <c r="K96" s="24">
        <v>45572</v>
      </c>
      <c r="L96" s="9" t="s">
        <v>838</v>
      </c>
    </row>
    <row r="97" spans="1:12" ht="35.25" hidden="1" customHeight="1" x14ac:dyDescent="0.25">
      <c r="A97" s="16">
        <v>95</v>
      </c>
      <c r="B97" s="9"/>
      <c r="C97" s="20" t="s">
        <v>1151</v>
      </c>
      <c r="D97" s="9" t="s">
        <v>188</v>
      </c>
      <c r="E97" s="16" t="s">
        <v>486</v>
      </c>
      <c r="F97" s="9" t="s">
        <v>25</v>
      </c>
      <c r="G97" s="9" t="s">
        <v>1152</v>
      </c>
      <c r="H97" s="20" t="s">
        <v>857</v>
      </c>
      <c r="I97" s="9"/>
      <c r="J97" s="20" t="s">
        <v>1153</v>
      </c>
      <c r="K97" s="9" t="s">
        <v>433</v>
      </c>
      <c r="L97" s="9" t="s">
        <v>838</v>
      </c>
    </row>
    <row r="98" spans="1:12" hidden="1" x14ac:dyDescent="0.25">
      <c r="A98" s="51">
        <v>96</v>
      </c>
      <c r="B98" s="9"/>
      <c r="C98" s="20" t="s">
        <v>1154</v>
      </c>
      <c r="D98" s="9" t="s">
        <v>203</v>
      </c>
      <c r="E98" s="16" t="s">
        <v>160</v>
      </c>
      <c r="F98" s="9" t="s">
        <v>44</v>
      </c>
      <c r="G98" s="9">
        <v>538234</v>
      </c>
      <c r="H98" s="20" t="s">
        <v>857</v>
      </c>
      <c r="I98" s="24">
        <v>45358</v>
      </c>
      <c r="J98" s="20" t="s">
        <v>1155</v>
      </c>
      <c r="K98" s="9" t="s">
        <v>468</v>
      </c>
      <c r="L98" s="9" t="s">
        <v>838</v>
      </c>
    </row>
    <row r="99" spans="1:12" ht="21.75" hidden="1" customHeight="1" x14ac:dyDescent="0.25">
      <c r="A99" s="16">
        <v>97</v>
      </c>
      <c r="B99" s="9"/>
      <c r="C99" s="71" t="s">
        <v>1156</v>
      </c>
      <c r="D99" s="9" t="s">
        <v>188</v>
      </c>
      <c r="E99" s="16" t="s">
        <v>295</v>
      </c>
      <c r="F99" s="9" t="s">
        <v>25</v>
      </c>
      <c r="G99" s="16" t="s">
        <v>1157</v>
      </c>
      <c r="H99" s="52" t="s">
        <v>857</v>
      </c>
      <c r="I99" s="24"/>
      <c r="J99" s="15"/>
      <c r="K99" s="24">
        <v>45332</v>
      </c>
      <c r="L99" s="9" t="s">
        <v>838</v>
      </c>
    </row>
    <row r="100" spans="1:12" ht="38.25" x14ac:dyDescent="0.25">
      <c r="A100" s="51">
        <v>98</v>
      </c>
      <c r="B100" s="9"/>
      <c r="C100" s="20" t="s">
        <v>1158</v>
      </c>
      <c r="D100" s="9" t="s">
        <v>188</v>
      </c>
      <c r="E100" s="16" t="s">
        <v>1159</v>
      </c>
      <c r="F100" s="9" t="s">
        <v>214</v>
      </c>
      <c r="G100" s="9" t="s">
        <v>1160</v>
      </c>
      <c r="H100" s="20" t="s">
        <v>1161</v>
      </c>
      <c r="I100" s="9" t="s">
        <v>1162</v>
      </c>
      <c r="J100" s="15" t="s">
        <v>1163</v>
      </c>
      <c r="K100" s="9" t="s">
        <v>1164</v>
      </c>
      <c r="L100" s="9" t="s">
        <v>838</v>
      </c>
    </row>
    <row r="101" spans="1:12" ht="25.5" hidden="1" x14ac:dyDescent="0.25">
      <c r="A101" s="51">
        <v>99</v>
      </c>
      <c r="B101" s="9"/>
      <c r="C101" s="20" t="s">
        <v>1165</v>
      </c>
      <c r="D101" s="9" t="s">
        <v>188</v>
      </c>
      <c r="E101" s="16" t="s">
        <v>78</v>
      </c>
      <c r="F101" s="9" t="s">
        <v>44</v>
      </c>
      <c r="G101" s="72">
        <v>542236</v>
      </c>
      <c r="H101" s="53" t="s">
        <v>1166</v>
      </c>
      <c r="I101" s="24">
        <v>45481</v>
      </c>
      <c r="J101" s="15" t="s">
        <v>1167</v>
      </c>
      <c r="K101" s="9" t="s">
        <v>484</v>
      </c>
      <c r="L101" s="9" t="s">
        <v>838</v>
      </c>
    </row>
    <row r="102" spans="1:12" ht="51" hidden="1" x14ac:dyDescent="0.25">
      <c r="A102" s="51">
        <v>100</v>
      </c>
      <c r="B102" s="9"/>
      <c r="C102" s="20" t="s">
        <v>1168</v>
      </c>
      <c r="D102" s="9" t="s">
        <v>236</v>
      </c>
      <c r="E102" s="16" t="s">
        <v>379</v>
      </c>
      <c r="F102" s="9" t="s">
        <v>126</v>
      </c>
      <c r="G102" s="9" t="s">
        <v>1169</v>
      </c>
      <c r="H102" s="20" t="s">
        <v>1170</v>
      </c>
      <c r="I102" s="24">
        <v>45512</v>
      </c>
      <c r="J102" s="18" t="s">
        <v>1171</v>
      </c>
      <c r="K102" s="9" t="s">
        <v>527</v>
      </c>
      <c r="L102" s="9" t="s">
        <v>838</v>
      </c>
    </row>
    <row r="103" spans="1:12" ht="33" hidden="1" customHeight="1" x14ac:dyDescent="0.25">
      <c r="A103" s="51">
        <v>101</v>
      </c>
      <c r="B103" s="9"/>
      <c r="C103" s="20" t="s">
        <v>1172</v>
      </c>
      <c r="D103" s="9" t="s">
        <v>188</v>
      </c>
      <c r="E103" s="16" t="s">
        <v>189</v>
      </c>
      <c r="F103" s="9" t="s">
        <v>44</v>
      </c>
      <c r="G103" s="9">
        <v>542224</v>
      </c>
      <c r="H103" s="20" t="s">
        <v>1166</v>
      </c>
      <c r="I103" s="24">
        <v>45634</v>
      </c>
      <c r="J103" s="15" t="s">
        <v>1173</v>
      </c>
      <c r="K103" s="24">
        <v>45391</v>
      </c>
      <c r="L103" s="9" t="s">
        <v>838</v>
      </c>
    </row>
    <row r="104" spans="1:12" ht="27.75" hidden="1" customHeight="1" x14ac:dyDescent="0.25">
      <c r="A104" s="51">
        <v>102</v>
      </c>
      <c r="B104" s="9"/>
      <c r="C104" s="73" t="s">
        <v>1174</v>
      </c>
      <c r="D104" s="74" t="s">
        <v>203</v>
      </c>
      <c r="E104" s="75" t="s">
        <v>160</v>
      </c>
      <c r="F104" s="76" t="s">
        <v>25</v>
      </c>
      <c r="G104" s="77" t="s">
        <v>1175</v>
      </c>
      <c r="H104" s="20" t="s">
        <v>1166</v>
      </c>
      <c r="I104" s="24">
        <v>45634</v>
      </c>
      <c r="J104" s="15"/>
      <c r="K104" s="24">
        <v>45780</v>
      </c>
      <c r="L104" s="9" t="s">
        <v>838</v>
      </c>
    </row>
    <row r="105" spans="1:12" ht="25.5" hidden="1" x14ac:dyDescent="0.25">
      <c r="A105" s="9">
        <v>103</v>
      </c>
      <c r="B105" s="9"/>
      <c r="C105" s="20" t="s">
        <v>1176</v>
      </c>
      <c r="D105" s="9" t="s">
        <v>1007</v>
      </c>
      <c r="E105" s="16" t="s">
        <v>480</v>
      </c>
      <c r="F105" s="9" t="s">
        <v>437</v>
      </c>
      <c r="G105" s="77" t="s">
        <v>1177</v>
      </c>
      <c r="H105" s="20" t="s">
        <v>1166</v>
      </c>
      <c r="I105" s="9" t="s">
        <v>508</v>
      </c>
      <c r="J105" s="18" t="s">
        <v>1178</v>
      </c>
      <c r="K105" s="24">
        <v>45809</v>
      </c>
      <c r="L105" s="9" t="s">
        <v>838</v>
      </c>
    </row>
    <row r="106" spans="1:12" ht="31.5" hidden="1" x14ac:dyDescent="0.25">
      <c r="A106" s="9">
        <v>104</v>
      </c>
      <c r="B106" s="9"/>
      <c r="C106" s="78" t="s">
        <v>1179</v>
      </c>
      <c r="D106" s="9" t="s">
        <v>188</v>
      </c>
      <c r="E106" s="16" t="s">
        <v>425</v>
      </c>
      <c r="F106" s="9" t="s">
        <v>44</v>
      </c>
      <c r="G106" s="77" t="s">
        <v>1180</v>
      </c>
      <c r="H106" s="20" t="s">
        <v>1166</v>
      </c>
      <c r="I106" s="9" t="s">
        <v>507</v>
      </c>
      <c r="J106" s="15" t="s">
        <v>1181</v>
      </c>
      <c r="K106" s="24">
        <v>45544</v>
      </c>
      <c r="L106" s="9" t="s">
        <v>838</v>
      </c>
    </row>
    <row r="107" spans="1:12" ht="38.25" hidden="1" x14ac:dyDescent="0.25">
      <c r="A107" s="9">
        <v>105</v>
      </c>
      <c r="B107" s="9"/>
      <c r="C107" s="20" t="s">
        <v>1182</v>
      </c>
      <c r="D107" s="9" t="s">
        <v>236</v>
      </c>
      <c r="E107" s="16" t="s">
        <v>298</v>
      </c>
      <c r="F107" s="9" t="s">
        <v>126</v>
      </c>
      <c r="G107" s="79" t="s">
        <v>1183</v>
      </c>
      <c r="H107" s="20" t="s">
        <v>16</v>
      </c>
      <c r="I107" s="9" t="s">
        <v>518</v>
      </c>
      <c r="J107" s="18" t="s">
        <v>1184</v>
      </c>
      <c r="K107" s="9" t="s">
        <v>1185</v>
      </c>
      <c r="L107" s="9" t="s">
        <v>838</v>
      </c>
    </row>
    <row r="108" spans="1:12" ht="25.5" hidden="1" x14ac:dyDescent="0.25">
      <c r="A108" s="9">
        <v>106</v>
      </c>
      <c r="B108" s="9"/>
      <c r="C108" s="20" t="s">
        <v>1186</v>
      </c>
      <c r="D108" s="9" t="s">
        <v>188</v>
      </c>
      <c r="E108" s="16" t="s">
        <v>1187</v>
      </c>
      <c r="F108" s="9" t="s">
        <v>25</v>
      </c>
      <c r="G108" s="16" t="s">
        <v>1188</v>
      </c>
      <c r="H108" s="20" t="s">
        <v>1166</v>
      </c>
      <c r="I108" s="9" t="s">
        <v>1189</v>
      </c>
      <c r="J108" s="18" t="s">
        <v>1190</v>
      </c>
      <c r="K108" s="9" t="s">
        <v>541</v>
      </c>
      <c r="L108" s="9" t="s">
        <v>838</v>
      </c>
    </row>
    <row r="109" spans="1:12" ht="25.5" x14ac:dyDescent="0.2">
      <c r="A109" s="9">
        <v>107</v>
      </c>
      <c r="B109" s="9"/>
      <c r="C109" s="20" t="s">
        <v>1191</v>
      </c>
      <c r="D109" s="9" t="s">
        <v>188</v>
      </c>
      <c r="E109" s="16" t="s">
        <v>432</v>
      </c>
      <c r="F109" s="9" t="s">
        <v>214</v>
      </c>
      <c r="G109" s="80">
        <v>543982</v>
      </c>
      <c r="H109" s="81" t="s">
        <v>1192</v>
      </c>
      <c r="I109" s="9" t="s">
        <v>1193</v>
      </c>
      <c r="J109" s="18" t="s">
        <v>1194</v>
      </c>
      <c r="K109" s="24">
        <v>45635</v>
      </c>
      <c r="L109" s="9" t="s">
        <v>838</v>
      </c>
    </row>
    <row r="110" spans="1:12" hidden="1" x14ac:dyDescent="0.25">
      <c r="A110" s="9">
        <v>108</v>
      </c>
      <c r="B110" s="9"/>
      <c r="C110" s="20" t="s">
        <v>1195</v>
      </c>
      <c r="D110" s="9" t="s">
        <v>203</v>
      </c>
      <c r="E110" s="16" t="s">
        <v>160</v>
      </c>
      <c r="F110" s="9" t="s">
        <v>44</v>
      </c>
      <c r="G110" s="9" t="s">
        <v>1196</v>
      </c>
      <c r="H110" s="20" t="s">
        <v>1166</v>
      </c>
      <c r="I110" s="9" t="s">
        <v>515</v>
      </c>
      <c r="J110" s="15" t="s">
        <v>1197</v>
      </c>
      <c r="K110" s="9" t="s">
        <v>540</v>
      </c>
      <c r="L110" s="9" t="s">
        <v>838</v>
      </c>
    </row>
    <row r="111" spans="1:12" ht="25.5" hidden="1" x14ac:dyDescent="0.25">
      <c r="A111" s="9">
        <v>109</v>
      </c>
      <c r="B111" s="9"/>
      <c r="C111" s="20" t="s">
        <v>1198</v>
      </c>
      <c r="D111" s="9" t="s">
        <v>188</v>
      </c>
      <c r="E111" s="16" t="s">
        <v>490</v>
      </c>
      <c r="F111" s="9" t="s">
        <v>437</v>
      </c>
      <c r="G111" s="80">
        <v>546758</v>
      </c>
      <c r="H111" s="20" t="s">
        <v>1166</v>
      </c>
      <c r="I111" s="9" t="s">
        <v>445</v>
      </c>
      <c r="J111" s="18" t="s">
        <v>1199</v>
      </c>
      <c r="K111" s="9" t="s">
        <v>546</v>
      </c>
      <c r="L111" s="9" t="s">
        <v>838</v>
      </c>
    </row>
    <row r="112" spans="1:12" hidden="1" x14ac:dyDescent="0.25">
      <c r="A112" s="9">
        <v>110</v>
      </c>
      <c r="B112" s="9"/>
      <c r="C112" s="20" t="s">
        <v>1200</v>
      </c>
      <c r="D112" s="9" t="s">
        <v>980</v>
      </c>
      <c r="E112" s="16" t="s">
        <v>985</v>
      </c>
      <c r="F112" s="9" t="s">
        <v>25</v>
      </c>
      <c r="G112" s="80">
        <v>544219</v>
      </c>
      <c r="H112" s="20" t="s">
        <v>1166</v>
      </c>
      <c r="I112" s="24">
        <v>45391</v>
      </c>
      <c r="J112" s="15" t="s">
        <v>1201</v>
      </c>
      <c r="K112" s="24">
        <v>45544</v>
      </c>
      <c r="L112" s="9" t="s">
        <v>838</v>
      </c>
    </row>
    <row r="113" spans="1:13" ht="30" hidden="1" x14ac:dyDescent="0.25">
      <c r="A113" s="9">
        <v>111</v>
      </c>
      <c r="B113" s="9"/>
      <c r="C113" s="82" t="s">
        <v>1202</v>
      </c>
      <c r="D113" s="74" t="s">
        <v>188</v>
      </c>
      <c r="E113" s="83" t="s">
        <v>1108</v>
      </c>
      <c r="F113" s="84" t="s">
        <v>44</v>
      </c>
      <c r="G113" s="85" t="s">
        <v>1203</v>
      </c>
      <c r="H113" s="20" t="s">
        <v>1166</v>
      </c>
      <c r="I113" s="9" t="s">
        <v>515</v>
      </c>
      <c r="J113" s="15" t="s">
        <v>1204</v>
      </c>
      <c r="K113" s="24">
        <v>45452</v>
      </c>
      <c r="L113" s="9" t="s">
        <v>838</v>
      </c>
    </row>
    <row r="114" spans="1:13" ht="24" hidden="1" x14ac:dyDescent="0.25">
      <c r="A114" s="9">
        <v>112</v>
      </c>
      <c r="B114" s="9"/>
      <c r="C114" s="20" t="s">
        <v>1205</v>
      </c>
      <c r="D114" s="9" t="s">
        <v>980</v>
      </c>
      <c r="E114" s="16" t="s">
        <v>129</v>
      </c>
      <c r="F114" s="9" t="s">
        <v>25</v>
      </c>
      <c r="G114" s="86" t="s">
        <v>1206</v>
      </c>
      <c r="H114" s="20" t="s">
        <v>1166</v>
      </c>
      <c r="I114" s="24">
        <v>45421</v>
      </c>
      <c r="J114" s="15" t="s">
        <v>1207</v>
      </c>
      <c r="K114" s="9" t="s">
        <v>541</v>
      </c>
      <c r="L114" s="9" t="s">
        <v>838</v>
      </c>
    </row>
    <row r="115" spans="1:13" ht="25.5" hidden="1" x14ac:dyDescent="0.25">
      <c r="A115" s="9">
        <v>113</v>
      </c>
      <c r="B115" s="9"/>
      <c r="C115" s="20" t="s">
        <v>1208</v>
      </c>
      <c r="D115" s="9" t="s">
        <v>794</v>
      </c>
      <c r="E115" s="16" t="s">
        <v>54</v>
      </c>
      <c r="F115" s="9" t="s">
        <v>25</v>
      </c>
      <c r="G115" s="86" t="s">
        <v>1209</v>
      </c>
      <c r="H115" s="20" t="s">
        <v>1166</v>
      </c>
      <c r="I115" s="24">
        <v>45421</v>
      </c>
      <c r="J115" s="18" t="s">
        <v>1210</v>
      </c>
      <c r="K115" s="9" t="s">
        <v>549</v>
      </c>
      <c r="L115" s="9" t="s">
        <v>838</v>
      </c>
      <c r="M115" s="87"/>
    </row>
    <row r="116" spans="1:13" hidden="1" x14ac:dyDescent="0.25">
      <c r="A116" s="9">
        <v>114</v>
      </c>
      <c r="B116" s="9"/>
      <c r="C116" s="20" t="s">
        <v>1211</v>
      </c>
      <c r="D116" s="9" t="s">
        <v>188</v>
      </c>
      <c r="E116" s="16" t="s">
        <v>106</v>
      </c>
      <c r="F116" s="9" t="s">
        <v>44</v>
      </c>
      <c r="G116" s="9">
        <v>544639</v>
      </c>
      <c r="H116" s="20" t="s">
        <v>1166</v>
      </c>
      <c r="I116" s="24">
        <v>45421</v>
      </c>
      <c r="J116" s="15" t="s">
        <v>1212</v>
      </c>
      <c r="K116" s="9" t="s">
        <v>1185</v>
      </c>
      <c r="L116" s="9" t="s">
        <v>838</v>
      </c>
    </row>
    <row r="117" spans="1:13" ht="76.5" hidden="1" x14ac:dyDescent="0.25">
      <c r="A117" s="9">
        <v>115</v>
      </c>
      <c r="B117" s="9"/>
      <c r="C117" s="69" t="s">
        <v>1213</v>
      </c>
      <c r="D117" s="9" t="s">
        <v>188</v>
      </c>
      <c r="E117" s="16" t="s">
        <v>106</v>
      </c>
      <c r="F117" s="9" t="s">
        <v>44</v>
      </c>
      <c r="G117" s="9" t="s">
        <v>1214</v>
      </c>
      <c r="H117" s="61" t="s">
        <v>1215</v>
      </c>
      <c r="I117" s="24">
        <v>45421</v>
      </c>
      <c r="J117" s="15" t="s">
        <v>1216</v>
      </c>
      <c r="K117" s="9"/>
      <c r="L117" s="9" t="s">
        <v>963</v>
      </c>
    </row>
    <row r="118" spans="1:13" ht="25.5" hidden="1" x14ac:dyDescent="0.25">
      <c r="A118" s="9">
        <v>116</v>
      </c>
      <c r="B118" s="9"/>
      <c r="C118" s="20" t="s">
        <v>1217</v>
      </c>
      <c r="D118" s="9" t="s">
        <v>188</v>
      </c>
      <c r="E118" s="16" t="s">
        <v>98</v>
      </c>
      <c r="F118" s="9" t="s">
        <v>126</v>
      </c>
      <c r="G118" s="79" t="s">
        <v>1218</v>
      </c>
      <c r="H118" s="20" t="s">
        <v>1219</v>
      </c>
      <c r="I118" s="9" t="s">
        <v>513</v>
      </c>
      <c r="J118" s="18" t="s">
        <v>1220</v>
      </c>
      <c r="K118" s="24">
        <v>45332</v>
      </c>
      <c r="L118" s="9" t="s">
        <v>838</v>
      </c>
    </row>
    <row r="119" spans="1:13" ht="25.5" hidden="1" x14ac:dyDescent="0.25">
      <c r="A119" s="9">
        <v>117</v>
      </c>
      <c r="B119" s="9"/>
      <c r="C119" s="20" t="s">
        <v>1221</v>
      </c>
      <c r="D119" s="9" t="s">
        <v>188</v>
      </c>
      <c r="E119" s="16" t="s">
        <v>40</v>
      </c>
      <c r="F119" s="9" t="s">
        <v>437</v>
      </c>
      <c r="G119" s="80">
        <v>547016</v>
      </c>
      <c r="H119" s="20" t="s">
        <v>1166</v>
      </c>
      <c r="I119" s="9" t="s">
        <v>533</v>
      </c>
      <c r="J119" s="18" t="s">
        <v>1222</v>
      </c>
      <c r="K119" s="9" t="s">
        <v>546</v>
      </c>
      <c r="L119" s="9" t="s">
        <v>838</v>
      </c>
    </row>
    <row r="120" spans="1:13" hidden="1" x14ac:dyDescent="0.25">
      <c r="A120" s="9">
        <v>118</v>
      </c>
      <c r="B120" s="9"/>
      <c r="C120" s="20" t="s">
        <v>1223</v>
      </c>
      <c r="D120" s="9" t="s">
        <v>203</v>
      </c>
      <c r="E120" s="16" t="s">
        <v>160</v>
      </c>
      <c r="F120" s="9" t="s">
        <v>126</v>
      </c>
      <c r="G120" s="9"/>
      <c r="H120" s="53" t="s">
        <v>1224</v>
      </c>
      <c r="I120" s="9" t="s">
        <v>539</v>
      </c>
      <c r="J120" s="15" t="s">
        <v>1225</v>
      </c>
      <c r="K120" s="9"/>
      <c r="L120" s="9" t="s">
        <v>963</v>
      </c>
    </row>
    <row r="121" spans="1:13" ht="25.5" hidden="1" x14ac:dyDescent="0.25">
      <c r="A121" s="9">
        <v>119</v>
      </c>
      <c r="B121" s="9"/>
      <c r="C121" s="20" t="s">
        <v>1226</v>
      </c>
      <c r="D121" s="9" t="s">
        <v>236</v>
      </c>
      <c r="E121" s="16" t="s">
        <v>1227</v>
      </c>
      <c r="F121" s="9" t="s">
        <v>44</v>
      </c>
      <c r="G121" s="55" t="s">
        <v>1228</v>
      </c>
      <c r="H121" s="20" t="s">
        <v>1166</v>
      </c>
      <c r="I121" s="24">
        <v>45514</v>
      </c>
      <c r="J121" s="88" t="s">
        <v>1229</v>
      </c>
      <c r="K121" s="9" t="s">
        <v>642</v>
      </c>
      <c r="L121" s="9" t="s">
        <v>838</v>
      </c>
    </row>
    <row r="122" spans="1:13" hidden="1" x14ac:dyDescent="0.25">
      <c r="A122" s="9">
        <v>120</v>
      </c>
      <c r="B122" s="9"/>
      <c r="C122" s="20" t="s">
        <v>1230</v>
      </c>
      <c r="D122" s="9" t="s">
        <v>188</v>
      </c>
      <c r="E122" s="16" t="s">
        <v>168</v>
      </c>
      <c r="F122" s="9" t="s">
        <v>44</v>
      </c>
      <c r="G122" s="80">
        <v>549149</v>
      </c>
      <c r="H122" s="20" t="s">
        <v>1166</v>
      </c>
      <c r="I122" s="24">
        <v>45606</v>
      </c>
      <c r="J122" s="15" t="s">
        <v>1231</v>
      </c>
      <c r="K122" s="9" t="s">
        <v>1232</v>
      </c>
      <c r="L122" s="9" t="s">
        <v>838</v>
      </c>
    </row>
    <row r="123" spans="1:13" ht="25.5" hidden="1" x14ac:dyDescent="0.25">
      <c r="A123" s="9">
        <v>121</v>
      </c>
      <c r="B123" s="9"/>
      <c r="C123" s="20" t="s">
        <v>1233</v>
      </c>
      <c r="D123" s="9" t="s">
        <v>236</v>
      </c>
      <c r="E123" s="16" t="s">
        <v>557</v>
      </c>
      <c r="F123" s="9" t="s">
        <v>437</v>
      </c>
      <c r="G123" s="86">
        <v>549383</v>
      </c>
      <c r="H123" s="20" t="s">
        <v>1166</v>
      </c>
      <c r="I123" s="9" t="s">
        <v>563</v>
      </c>
      <c r="J123" s="15" t="s">
        <v>1234</v>
      </c>
      <c r="K123" s="9" t="s">
        <v>576</v>
      </c>
      <c r="L123" s="9" t="s">
        <v>838</v>
      </c>
    </row>
    <row r="124" spans="1:13" ht="25.5" hidden="1" x14ac:dyDescent="0.25">
      <c r="A124" s="89">
        <v>122</v>
      </c>
      <c r="B124" s="9"/>
      <c r="C124" s="20" t="s">
        <v>1235</v>
      </c>
      <c r="D124" s="9" t="s">
        <v>236</v>
      </c>
      <c r="E124" s="16" t="s">
        <v>174</v>
      </c>
      <c r="F124" s="9" t="s">
        <v>44</v>
      </c>
      <c r="G124" s="90" t="s">
        <v>1236</v>
      </c>
      <c r="H124" s="20" t="s">
        <v>1166</v>
      </c>
      <c r="I124" s="9" t="s">
        <v>287</v>
      </c>
      <c r="J124" s="88" t="s">
        <v>1237</v>
      </c>
      <c r="K124" s="24">
        <v>45965</v>
      </c>
      <c r="L124" s="9" t="s">
        <v>838</v>
      </c>
    </row>
    <row r="125" spans="1:13" ht="25.5" hidden="1" x14ac:dyDescent="0.25">
      <c r="A125" s="9">
        <v>123</v>
      </c>
      <c r="B125" s="9"/>
      <c r="C125" s="20" t="s">
        <v>1238</v>
      </c>
      <c r="D125" s="9" t="s">
        <v>188</v>
      </c>
      <c r="E125" s="16" t="s">
        <v>432</v>
      </c>
      <c r="F125" s="9" t="s">
        <v>126</v>
      </c>
      <c r="G125" s="9" t="s">
        <v>1239</v>
      </c>
      <c r="H125" s="91" t="s">
        <v>1240</v>
      </c>
      <c r="I125" s="9" t="s">
        <v>573</v>
      </c>
      <c r="J125" s="15" t="s">
        <v>1241</v>
      </c>
      <c r="K125" s="9"/>
      <c r="L125" s="9" t="s">
        <v>838</v>
      </c>
    </row>
    <row r="126" spans="1:13" ht="38.25" hidden="1" x14ac:dyDescent="0.25">
      <c r="A126" s="9">
        <v>124</v>
      </c>
      <c r="B126" s="9"/>
      <c r="C126" s="20" t="s">
        <v>1242</v>
      </c>
      <c r="D126" s="9" t="s">
        <v>236</v>
      </c>
      <c r="E126" s="16" t="s">
        <v>271</v>
      </c>
      <c r="F126" s="9" t="s">
        <v>126</v>
      </c>
      <c r="G126" s="16" t="s">
        <v>1243</v>
      </c>
      <c r="H126" s="20" t="s">
        <v>1244</v>
      </c>
      <c r="I126" s="9" t="s">
        <v>577</v>
      </c>
      <c r="J126" s="18" t="s">
        <v>1245</v>
      </c>
      <c r="K126" s="24">
        <v>45577</v>
      </c>
      <c r="L126" s="9" t="s">
        <v>838</v>
      </c>
    </row>
    <row r="127" spans="1:13" ht="25.5" hidden="1" x14ac:dyDescent="0.25">
      <c r="A127" s="9">
        <v>125</v>
      </c>
      <c r="B127" s="9"/>
      <c r="C127" s="20" t="s">
        <v>1246</v>
      </c>
      <c r="D127" s="9" t="s">
        <v>794</v>
      </c>
      <c r="E127" s="16" t="s">
        <v>1247</v>
      </c>
      <c r="F127" s="9" t="s">
        <v>25</v>
      </c>
      <c r="G127" s="9" t="s">
        <v>1248</v>
      </c>
      <c r="H127" s="53" t="s">
        <v>857</v>
      </c>
      <c r="I127" s="24">
        <v>45484</v>
      </c>
      <c r="J127" s="15" t="s">
        <v>1249</v>
      </c>
      <c r="K127" s="9" t="s">
        <v>598</v>
      </c>
      <c r="L127" s="9" t="s">
        <v>838</v>
      </c>
    </row>
    <row r="128" spans="1:13" ht="30" hidden="1" x14ac:dyDescent="0.25">
      <c r="A128" s="9">
        <v>126</v>
      </c>
      <c r="B128" s="9"/>
      <c r="C128" s="82" t="s">
        <v>1250</v>
      </c>
      <c r="D128" s="9" t="s">
        <v>203</v>
      </c>
      <c r="E128" s="16" t="s">
        <v>160</v>
      </c>
      <c r="F128" s="9" t="s">
        <v>44</v>
      </c>
      <c r="G128" s="55" t="s">
        <v>1251</v>
      </c>
      <c r="H128" s="53" t="s">
        <v>857</v>
      </c>
      <c r="I128" s="9" t="s">
        <v>603</v>
      </c>
      <c r="J128" s="15" t="s">
        <v>1252</v>
      </c>
      <c r="K128" s="24">
        <v>45424</v>
      </c>
      <c r="L128" s="9" t="s">
        <v>838</v>
      </c>
    </row>
    <row r="129" spans="1:13" ht="30" hidden="1" x14ac:dyDescent="0.25">
      <c r="A129" s="9">
        <v>127</v>
      </c>
      <c r="B129" s="9"/>
      <c r="C129" s="82" t="s">
        <v>1253</v>
      </c>
      <c r="D129" s="9" t="s">
        <v>203</v>
      </c>
      <c r="E129" s="16" t="s">
        <v>160</v>
      </c>
      <c r="F129" s="9" t="s">
        <v>44</v>
      </c>
      <c r="G129" s="55" t="s">
        <v>1254</v>
      </c>
      <c r="H129" s="53" t="s">
        <v>857</v>
      </c>
      <c r="I129" s="9" t="s">
        <v>1255</v>
      </c>
      <c r="J129" s="15" t="s">
        <v>1256</v>
      </c>
      <c r="K129" s="24">
        <v>45424</v>
      </c>
      <c r="L129" s="9" t="s">
        <v>838</v>
      </c>
    </row>
    <row r="130" spans="1:13" ht="42" hidden="1" customHeight="1" x14ac:dyDescent="0.25">
      <c r="A130" s="9">
        <v>128</v>
      </c>
      <c r="B130" s="9"/>
      <c r="C130" s="20" t="s">
        <v>1257</v>
      </c>
      <c r="D130" s="9" t="s">
        <v>188</v>
      </c>
      <c r="E130" s="16" t="s">
        <v>98</v>
      </c>
      <c r="F130" s="9" t="s">
        <v>126</v>
      </c>
      <c r="G130" s="79" t="s">
        <v>1258</v>
      </c>
      <c r="H130" s="57" t="s">
        <v>1259</v>
      </c>
      <c r="I130" s="9" t="s">
        <v>610</v>
      </c>
      <c r="J130" s="18" t="s">
        <v>1260</v>
      </c>
      <c r="K130" s="9"/>
      <c r="L130" s="16" t="s">
        <v>1261</v>
      </c>
    </row>
    <row r="131" spans="1:13" hidden="1" x14ac:dyDescent="0.25">
      <c r="A131" s="9">
        <v>129</v>
      </c>
      <c r="B131" s="9"/>
      <c r="C131" s="20" t="s">
        <v>1262</v>
      </c>
      <c r="D131" s="9" t="s">
        <v>236</v>
      </c>
      <c r="E131" s="16" t="s">
        <v>271</v>
      </c>
      <c r="F131" s="9" t="s">
        <v>126</v>
      </c>
      <c r="G131" s="9" t="s">
        <v>1239</v>
      </c>
      <c r="H131" s="53" t="s">
        <v>857</v>
      </c>
      <c r="I131" s="9" t="s">
        <v>1263</v>
      </c>
      <c r="J131" s="92" t="s">
        <v>1264</v>
      </c>
      <c r="K131" s="24">
        <v>45779</v>
      </c>
      <c r="L131" s="9" t="s">
        <v>838</v>
      </c>
    </row>
    <row r="132" spans="1:13" ht="25.5" hidden="1" x14ac:dyDescent="0.2">
      <c r="A132" s="9">
        <v>130</v>
      </c>
      <c r="B132" s="9"/>
      <c r="C132" s="20" t="s">
        <v>1265</v>
      </c>
      <c r="D132" s="9" t="s">
        <v>188</v>
      </c>
      <c r="E132" s="16" t="s">
        <v>70</v>
      </c>
      <c r="F132" s="9" t="s">
        <v>44</v>
      </c>
      <c r="G132" s="93" t="s">
        <v>1266</v>
      </c>
      <c r="H132" s="94" t="s">
        <v>1267</v>
      </c>
      <c r="I132" s="9" t="s">
        <v>1263</v>
      </c>
      <c r="J132" s="15" t="s">
        <v>1268</v>
      </c>
      <c r="K132" s="24">
        <v>45839</v>
      </c>
      <c r="L132" s="9" t="s">
        <v>838</v>
      </c>
    </row>
    <row r="133" spans="1:13" ht="45" hidden="1" x14ac:dyDescent="0.25">
      <c r="A133" s="9">
        <v>131</v>
      </c>
      <c r="B133" s="9"/>
      <c r="C133" s="82" t="s">
        <v>1269</v>
      </c>
      <c r="D133" s="9" t="s">
        <v>188</v>
      </c>
      <c r="E133" s="16" t="s">
        <v>988</v>
      </c>
      <c r="F133" s="9" t="s">
        <v>44</v>
      </c>
      <c r="G133" s="9" t="s">
        <v>1270</v>
      </c>
      <c r="H133" s="59" t="s">
        <v>857</v>
      </c>
      <c r="I133" s="9" t="s">
        <v>1263</v>
      </c>
      <c r="J133" s="18" t="s">
        <v>1271</v>
      </c>
      <c r="K133" s="9" t="s">
        <v>564</v>
      </c>
      <c r="L133" s="9" t="s">
        <v>838</v>
      </c>
    </row>
    <row r="134" spans="1:13" ht="25.5" hidden="1" x14ac:dyDescent="0.25">
      <c r="A134" s="9">
        <v>132</v>
      </c>
      <c r="B134" s="9"/>
      <c r="C134" s="20" t="s">
        <v>1272</v>
      </c>
      <c r="D134" s="9" t="s">
        <v>236</v>
      </c>
      <c r="E134" s="16" t="s">
        <v>1273</v>
      </c>
      <c r="F134" s="9" t="s">
        <v>25</v>
      </c>
      <c r="G134" s="83" t="s">
        <v>1274</v>
      </c>
      <c r="H134" s="53" t="s">
        <v>857</v>
      </c>
      <c r="I134" s="24">
        <v>45484</v>
      </c>
      <c r="J134" s="15"/>
      <c r="K134" s="9" t="s">
        <v>620</v>
      </c>
      <c r="L134" s="9" t="s">
        <v>838</v>
      </c>
    </row>
    <row r="135" spans="1:13" ht="25.5" hidden="1" x14ac:dyDescent="0.25">
      <c r="A135" s="9">
        <v>133</v>
      </c>
      <c r="B135" s="9"/>
      <c r="C135" s="20" t="s">
        <v>1275</v>
      </c>
      <c r="D135" s="9" t="s">
        <v>188</v>
      </c>
      <c r="E135" s="16" t="s">
        <v>70</v>
      </c>
      <c r="F135" s="9" t="s">
        <v>25</v>
      </c>
      <c r="G135" s="83" t="s">
        <v>1276</v>
      </c>
      <c r="H135" s="53" t="s">
        <v>857</v>
      </c>
      <c r="I135" s="24" t="s">
        <v>1277</v>
      </c>
      <c r="J135" s="15" t="s">
        <v>1278</v>
      </c>
      <c r="K135" s="24">
        <v>45566</v>
      </c>
      <c r="L135" s="9" t="s">
        <v>838</v>
      </c>
    </row>
    <row r="136" spans="1:13" ht="25.5" hidden="1" x14ac:dyDescent="0.25">
      <c r="A136" s="9">
        <v>134</v>
      </c>
      <c r="B136" s="9"/>
      <c r="C136" s="20" t="s">
        <v>1279</v>
      </c>
      <c r="D136" s="9" t="s">
        <v>188</v>
      </c>
      <c r="E136" s="16" t="s">
        <v>486</v>
      </c>
      <c r="F136" s="9" t="s">
        <v>25</v>
      </c>
      <c r="G136" s="9" t="s">
        <v>963</v>
      </c>
      <c r="H136" s="9" t="s">
        <v>1280</v>
      </c>
      <c r="I136" s="24"/>
      <c r="J136" s="15"/>
      <c r="K136" s="9"/>
      <c r="L136" s="9" t="s">
        <v>963</v>
      </c>
    </row>
    <row r="137" spans="1:13" ht="15" x14ac:dyDescent="0.25">
      <c r="A137" s="9">
        <v>135</v>
      </c>
      <c r="B137" s="9"/>
      <c r="C137" s="20" t="s">
        <v>614</v>
      </c>
      <c r="D137" s="9" t="s">
        <v>188</v>
      </c>
      <c r="E137" s="16" t="s">
        <v>33</v>
      </c>
      <c r="F137" s="9" t="s">
        <v>214</v>
      </c>
      <c r="G137" s="9" t="s">
        <v>1281</v>
      </c>
      <c r="H137" s="95" t="s">
        <v>1282</v>
      </c>
      <c r="I137" s="24">
        <v>45638</v>
      </c>
      <c r="J137" s="15" t="s">
        <v>1283</v>
      </c>
      <c r="K137" s="9" t="s">
        <v>1284</v>
      </c>
      <c r="L137" s="9" t="s">
        <v>838</v>
      </c>
    </row>
    <row r="138" spans="1:13" ht="25.5" hidden="1" x14ac:dyDescent="0.25">
      <c r="A138" s="9">
        <v>136</v>
      </c>
      <c r="B138" s="9"/>
      <c r="C138" s="20" t="s">
        <v>1285</v>
      </c>
      <c r="D138" s="9" t="s">
        <v>203</v>
      </c>
      <c r="E138" s="16" t="s">
        <v>1090</v>
      </c>
      <c r="F138" s="9" t="s">
        <v>437</v>
      </c>
      <c r="G138" s="55" t="s">
        <v>1286</v>
      </c>
      <c r="H138" s="53" t="s">
        <v>857</v>
      </c>
      <c r="I138" s="24" t="s">
        <v>620</v>
      </c>
      <c r="J138" s="15" t="s">
        <v>1287</v>
      </c>
      <c r="K138" s="24">
        <v>45932</v>
      </c>
      <c r="L138" s="9" t="s">
        <v>838</v>
      </c>
    </row>
    <row r="139" spans="1:13" ht="63.75" hidden="1" x14ac:dyDescent="0.25">
      <c r="A139" s="9">
        <v>137</v>
      </c>
      <c r="B139" s="9"/>
      <c r="C139" s="20" t="s">
        <v>1288</v>
      </c>
      <c r="D139" s="9" t="s">
        <v>236</v>
      </c>
      <c r="E139" s="16" t="s">
        <v>174</v>
      </c>
      <c r="F139" s="9" t="s">
        <v>126</v>
      </c>
      <c r="G139" s="16" t="s">
        <v>1289</v>
      </c>
      <c r="H139" s="61" t="s">
        <v>1290</v>
      </c>
      <c r="I139" s="24" t="s">
        <v>620</v>
      </c>
      <c r="J139" s="18" t="s">
        <v>1291</v>
      </c>
      <c r="K139" s="9"/>
      <c r="L139" s="9" t="s">
        <v>838</v>
      </c>
    </row>
    <row r="140" spans="1:13" ht="51" x14ac:dyDescent="0.25">
      <c r="A140" s="9">
        <v>138</v>
      </c>
      <c r="B140" s="9"/>
      <c r="C140" s="20" t="s">
        <v>1292</v>
      </c>
      <c r="D140" s="9" t="s">
        <v>236</v>
      </c>
      <c r="E140" s="16" t="s">
        <v>1227</v>
      </c>
      <c r="F140" s="9" t="s">
        <v>214</v>
      </c>
      <c r="G140" s="9" t="s">
        <v>1293</v>
      </c>
      <c r="H140" s="20" t="s">
        <v>1294</v>
      </c>
      <c r="I140" s="24" t="s">
        <v>1295</v>
      </c>
      <c r="J140" s="15" t="s">
        <v>1296</v>
      </c>
      <c r="K140" s="24">
        <v>45779</v>
      </c>
      <c r="L140" s="9" t="s">
        <v>838</v>
      </c>
      <c r="M140" s="9"/>
    </row>
    <row r="141" spans="1:13" ht="25.5" hidden="1" x14ac:dyDescent="0.25">
      <c r="A141" s="9">
        <v>139</v>
      </c>
      <c r="B141" s="9"/>
      <c r="C141" s="20" t="s">
        <v>1297</v>
      </c>
      <c r="D141" s="9" t="s">
        <v>236</v>
      </c>
      <c r="E141" s="16" t="s">
        <v>174</v>
      </c>
      <c r="F141" s="9" t="s">
        <v>126</v>
      </c>
      <c r="G141" s="9" t="s">
        <v>1239</v>
      </c>
      <c r="H141" s="53" t="s">
        <v>857</v>
      </c>
      <c r="I141" s="24" t="s">
        <v>620</v>
      </c>
      <c r="J141" s="92" t="s">
        <v>1298</v>
      </c>
      <c r="K141" s="24">
        <v>45779</v>
      </c>
      <c r="L141" s="9" t="s">
        <v>838</v>
      </c>
    </row>
    <row r="142" spans="1:13" ht="25.5" hidden="1" x14ac:dyDescent="0.25">
      <c r="A142" s="9">
        <v>140</v>
      </c>
      <c r="B142" s="9"/>
      <c r="C142" s="20" t="s">
        <v>1299</v>
      </c>
      <c r="D142" s="9" t="s">
        <v>236</v>
      </c>
      <c r="E142" s="16" t="s">
        <v>1227</v>
      </c>
      <c r="F142" s="9" t="s">
        <v>126</v>
      </c>
      <c r="G142" s="9" t="s">
        <v>1239</v>
      </c>
      <c r="H142" s="53" t="s">
        <v>857</v>
      </c>
      <c r="I142" s="9" t="s">
        <v>1295</v>
      </c>
      <c r="J142" s="92" t="s">
        <v>1300</v>
      </c>
      <c r="K142" s="9"/>
      <c r="L142" s="9" t="s">
        <v>838</v>
      </c>
    </row>
    <row r="143" spans="1:13" ht="38.25" hidden="1" x14ac:dyDescent="0.25">
      <c r="A143" s="9">
        <v>141</v>
      </c>
      <c r="B143" s="9"/>
      <c r="C143" s="20" t="s">
        <v>1301</v>
      </c>
      <c r="D143" s="9" t="s">
        <v>203</v>
      </c>
      <c r="E143" s="16" t="s">
        <v>1090</v>
      </c>
      <c r="F143" s="9" t="s">
        <v>44</v>
      </c>
      <c r="G143" s="9" t="s">
        <v>1302</v>
      </c>
      <c r="H143" s="96" t="s">
        <v>171</v>
      </c>
      <c r="I143" s="24" t="s">
        <v>623</v>
      </c>
      <c r="J143" s="15" t="s">
        <v>1303</v>
      </c>
      <c r="K143" s="9"/>
      <c r="L143" s="9" t="s">
        <v>1304</v>
      </c>
    </row>
    <row r="144" spans="1:13" ht="30" hidden="1" x14ac:dyDescent="0.25">
      <c r="A144" s="9">
        <v>142</v>
      </c>
      <c r="B144" s="9"/>
      <c r="C144" s="82" t="s">
        <v>1305</v>
      </c>
      <c r="D144" s="9" t="s">
        <v>203</v>
      </c>
      <c r="E144" s="16" t="s">
        <v>160</v>
      </c>
      <c r="F144" s="9" t="s">
        <v>44</v>
      </c>
      <c r="G144" s="9" t="s">
        <v>1306</v>
      </c>
      <c r="H144" s="20" t="s">
        <v>857</v>
      </c>
      <c r="I144" s="24" t="s">
        <v>1307</v>
      </c>
      <c r="J144" s="15" t="s">
        <v>1308</v>
      </c>
      <c r="K144" s="9" t="s">
        <v>1309</v>
      </c>
      <c r="L144" s="9" t="s">
        <v>838</v>
      </c>
    </row>
    <row r="145" spans="1:13" ht="25.5" hidden="1" x14ac:dyDescent="0.25">
      <c r="A145" s="9">
        <v>143</v>
      </c>
      <c r="B145" s="9"/>
      <c r="C145" s="20" t="s">
        <v>1310</v>
      </c>
      <c r="D145" s="9" t="s">
        <v>1311</v>
      </c>
      <c r="E145" s="16" t="s">
        <v>1312</v>
      </c>
      <c r="F145" s="9" t="s">
        <v>44</v>
      </c>
      <c r="G145" s="62" t="s">
        <v>1313</v>
      </c>
      <c r="H145" s="53" t="s">
        <v>857</v>
      </c>
      <c r="I145" s="24" t="s">
        <v>1314</v>
      </c>
      <c r="J145" s="15" t="s">
        <v>1315</v>
      </c>
      <c r="K145" s="9" t="s">
        <v>1316</v>
      </c>
      <c r="L145" s="9" t="s">
        <v>838</v>
      </c>
    </row>
    <row r="146" spans="1:13" ht="25.5" hidden="1" x14ac:dyDescent="0.25">
      <c r="A146" s="9">
        <v>144</v>
      </c>
      <c r="B146" s="9"/>
      <c r="C146" s="20" t="s">
        <v>1317</v>
      </c>
      <c r="D146" s="9" t="s">
        <v>188</v>
      </c>
      <c r="E146" s="16" t="s">
        <v>461</v>
      </c>
      <c r="F146" s="9" t="s">
        <v>437</v>
      </c>
      <c r="G146" s="97" t="s">
        <v>1318</v>
      </c>
      <c r="H146" s="53" t="s">
        <v>857</v>
      </c>
      <c r="I146" s="24" t="s">
        <v>1277</v>
      </c>
      <c r="J146" s="15" t="s">
        <v>1319</v>
      </c>
      <c r="K146" s="9" t="s">
        <v>687</v>
      </c>
      <c r="L146" s="9" t="s">
        <v>838</v>
      </c>
    </row>
    <row r="147" spans="1:13" ht="25.5" hidden="1" x14ac:dyDescent="0.25">
      <c r="A147" s="9">
        <v>145</v>
      </c>
      <c r="B147" s="9"/>
      <c r="C147" s="20" t="s">
        <v>1320</v>
      </c>
      <c r="D147" s="9" t="s">
        <v>188</v>
      </c>
      <c r="E147" s="16" t="s">
        <v>668</v>
      </c>
      <c r="F147" s="9" t="s">
        <v>825</v>
      </c>
      <c r="G147" s="79" t="s">
        <v>1321</v>
      </c>
      <c r="H147" s="53" t="s">
        <v>857</v>
      </c>
      <c r="I147" s="24">
        <v>45870</v>
      </c>
      <c r="J147" s="15" t="s">
        <v>1322</v>
      </c>
      <c r="K147" s="9"/>
      <c r="L147" s="9" t="s">
        <v>838</v>
      </c>
      <c r="M147" s="87"/>
    </row>
    <row r="148" spans="1:13" ht="25.5" hidden="1" x14ac:dyDescent="0.25">
      <c r="A148" s="9">
        <v>146</v>
      </c>
      <c r="B148" s="9"/>
      <c r="C148" s="20" t="s">
        <v>1323</v>
      </c>
      <c r="D148" s="9" t="s">
        <v>188</v>
      </c>
      <c r="E148" s="16" t="s">
        <v>414</v>
      </c>
      <c r="F148" s="9" t="s">
        <v>825</v>
      </c>
      <c r="G148" s="55" t="s">
        <v>1324</v>
      </c>
      <c r="H148" s="53" t="s">
        <v>857</v>
      </c>
      <c r="I148" s="24" t="s">
        <v>643</v>
      </c>
      <c r="J148" s="15" t="s">
        <v>1325</v>
      </c>
      <c r="K148" s="9"/>
      <c r="L148" s="9" t="s">
        <v>838</v>
      </c>
    </row>
    <row r="149" spans="1:13" ht="25.5" hidden="1" x14ac:dyDescent="0.25">
      <c r="A149" s="9">
        <v>147</v>
      </c>
      <c r="B149" s="9"/>
      <c r="C149" s="20" t="s">
        <v>1326</v>
      </c>
      <c r="D149" s="9" t="s">
        <v>188</v>
      </c>
      <c r="E149" s="16" t="s">
        <v>402</v>
      </c>
      <c r="F149" s="9" t="s">
        <v>825</v>
      </c>
      <c r="G149" s="79" t="s">
        <v>1327</v>
      </c>
      <c r="H149" s="53" t="s">
        <v>1328</v>
      </c>
      <c r="I149" s="24" t="s">
        <v>643</v>
      </c>
      <c r="J149" s="15" t="s">
        <v>1329</v>
      </c>
      <c r="K149" s="9"/>
      <c r="L149" s="9" t="s">
        <v>963</v>
      </c>
    </row>
    <row r="150" spans="1:13" hidden="1" x14ac:dyDescent="0.25">
      <c r="A150" s="9">
        <v>148</v>
      </c>
      <c r="B150" s="9"/>
      <c r="C150" s="20" t="s">
        <v>1330</v>
      </c>
      <c r="D150" s="9" t="s">
        <v>188</v>
      </c>
      <c r="E150" s="16" t="s">
        <v>662</v>
      </c>
      <c r="F150" s="9" t="s">
        <v>825</v>
      </c>
      <c r="G150" s="79" t="s">
        <v>1331</v>
      </c>
      <c r="H150" s="53" t="s">
        <v>857</v>
      </c>
      <c r="I150" s="24" t="s">
        <v>656</v>
      </c>
      <c r="J150" s="15" t="s">
        <v>1332</v>
      </c>
      <c r="K150" s="9"/>
      <c r="L150" s="9" t="s">
        <v>838</v>
      </c>
    </row>
    <row r="151" spans="1:13" ht="25.5" hidden="1" x14ac:dyDescent="0.25">
      <c r="A151" s="9">
        <v>149</v>
      </c>
      <c r="B151" s="9"/>
      <c r="C151" s="20" t="s">
        <v>1257</v>
      </c>
      <c r="D151" s="9" t="s">
        <v>188</v>
      </c>
      <c r="E151" s="16" t="s">
        <v>98</v>
      </c>
      <c r="F151" s="9" t="s">
        <v>126</v>
      </c>
      <c r="G151" s="79" t="s">
        <v>1333</v>
      </c>
      <c r="H151" s="61" t="s">
        <v>16</v>
      </c>
      <c r="I151" s="9" t="s">
        <v>610</v>
      </c>
      <c r="J151" s="18" t="s">
        <v>1334</v>
      </c>
      <c r="K151" s="9"/>
      <c r="L151" s="16" t="s">
        <v>838</v>
      </c>
    </row>
    <row r="152" spans="1:13" ht="30" x14ac:dyDescent="0.25">
      <c r="A152" s="9">
        <v>150</v>
      </c>
      <c r="B152" s="9"/>
      <c r="C152" s="82" t="s">
        <v>1335</v>
      </c>
      <c r="D152" s="9" t="s">
        <v>188</v>
      </c>
      <c r="E152" s="16" t="s">
        <v>592</v>
      </c>
      <c r="F152" s="9" t="s">
        <v>214</v>
      </c>
      <c r="G152" s="79" t="s">
        <v>1336</v>
      </c>
      <c r="H152" s="61" t="s">
        <v>1337</v>
      </c>
      <c r="I152" s="24">
        <v>45993</v>
      </c>
      <c r="J152" s="98" t="s">
        <v>1338</v>
      </c>
      <c r="K152" s="9" t="s">
        <v>1339</v>
      </c>
      <c r="L152" s="9" t="s">
        <v>838</v>
      </c>
    </row>
    <row r="153" spans="1:13" hidden="1" x14ac:dyDescent="0.25">
      <c r="A153" s="9">
        <v>151</v>
      </c>
      <c r="B153" s="9"/>
      <c r="C153" s="99" t="s">
        <v>1340</v>
      </c>
      <c r="D153" s="89" t="s">
        <v>188</v>
      </c>
      <c r="E153" s="100" t="s">
        <v>70</v>
      </c>
      <c r="F153" s="89" t="s">
        <v>44</v>
      </c>
      <c r="G153" s="89" t="s">
        <v>1341</v>
      </c>
      <c r="H153" s="101" t="s">
        <v>1342</v>
      </c>
      <c r="I153" s="89" t="s">
        <v>669</v>
      </c>
      <c r="J153" s="102" t="s">
        <v>1343</v>
      </c>
      <c r="K153" s="24">
        <v>45782</v>
      </c>
      <c r="L153" s="9" t="s">
        <v>838</v>
      </c>
    </row>
    <row r="154" spans="1:13" ht="318.75" hidden="1" x14ac:dyDescent="0.25">
      <c r="A154" s="9">
        <v>152</v>
      </c>
      <c r="B154" s="9"/>
      <c r="C154" s="20" t="s">
        <v>1344</v>
      </c>
      <c r="D154" s="9" t="s">
        <v>188</v>
      </c>
      <c r="E154" s="16" t="s">
        <v>668</v>
      </c>
      <c r="F154" s="9" t="s">
        <v>44</v>
      </c>
      <c r="G154" s="9" t="s">
        <v>1345</v>
      </c>
      <c r="H154" s="99" t="s">
        <v>1346</v>
      </c>
      <c r="I154" s="9" t="s">
        <v>693</v>
      </c>
      <c r="J154" s="18" t="s">
        <v>1347</v>
      </c>
      <c r="K154" s="24">
        <v>45720</v>
      </c>
      <c r="L154" s="9" t="s">
        <v>838</v>
      </c>
    </row>
    <row r="155" spans="1:13" ht="25.5" x14ac:dyDescent="0.2">
      <c r="A155" s="9">
        <v>153</v>
      </c>
      <c r="B155" s="9"/>
      <c r="C155" s="67" t="s">
        <v>1348</v>
      </c>
      <c r="D155" s="9" t="s">
        <v>188</v>
      </c>
      <c r="E155" s="16" t="s">
        <v>432</v>
      </c>
      <c r="F155" s="9" t="s">
        <v>214</v>
      </c>
      <c r="G155" s="97" t="s">
        <v>1349</v>
      </c>
      <c r="H155" s="20" t="s">
        <v>857</v>
      </c>
      <c r="I155" s="103">
        <v>45933</v>
      </c>
      <c r="J155" s="15" t="s">
        <v>1350</v>
      </c>
      <c r="K155" s="9" t="s">
        <v>1351</v>
      </c>
      <c r="L155" s="9" t="s">
        <v>838</v>
      </c>
    </row>
    <row r="156" spans="1:13" ht="25.5" hidden="1" x14ac:dyDescent="0.2">
      <c r="A156" s="9">
        <v>154</v>
      </c>
      <c r="B156" s="9"/>
      <c r="C156" s="23" t="s">
        <v>1352</v>
      </c>
      <c r="D156" s="9" t="s">
        <v>188</v>
      </c>
      <c r="E156" s="16" t="s">
        <v>271</v>
      </c>
      <c r="F156" s="9" t="s">
        <v>437</v>
      </c>
      <c r="G156" s="79" t="s">
        <v>1353</v>
      </c>
      <c r="H156" s="53" t="s">
        <v>1354</v>
      </c>
      <c r="I156" s="9" t="s">
        <v>1355</v>
      </c>
      <c r="J156" s="18" t="s">
        <v>1356</v>
      </c>
      <c r="K156" s="24">
        <v>45904</v>
      </c>
      <c r="L156" s="9" t="s">
        <v>838</v>
      </c>
    </row>
    <row r="157" spans="1:13" ht="38.25" hidden="1" x14ac:dyDescent="0.25">
      <c r="A157" s="9">
        <v>155</v>
      </c>
      <c r="B157" s="9"/>
      <c r="C157" s="20" t="s">
        <v>1357</v>
      </c>
      <c r="D157" s="9" t="s">
        <v>188</v>
      </c>
      <c r="E157" s="16" t="s">
        <v>668</v>
      </c>
      <c r="F157" s="9" t="s">
        <v>825</v>
      </c>
      <c r="G157" s="16" t="s">
        <v>1358</v>
      </c>
      <c r="H157" s="53" t="s">
        <v>857</v>
      </c>
      <c r="I157" s="9" t="s">
        <v>1359</v>
      </c>
      <c r="J157" s="18" t="s">
        <v>1360</v>
      </c>
      <c r="K157" s="9"/>
      <c r="L157" s="9" t="s">
        <v>838</v>
      </c>
    </row>
    <row r="158" spans="1:13" ht="25.5" hidden="1" x14ac:dyDescent="0.25">
      <c r="A158" s="9">
        <v>156</v>
      </c>
      <c r="B158" s="9"/>
      <c r="C158" s="20" t="s">
        <v>1361</v>
      </c>
      <c r="D158" s="9" t="s">
        <v>188</v>
      </c>
      <c r="E158" s="16" t="s">
        <v>641</v>
      </c>
      <c r="F158" s="9" t="s">
        <v>825</v>
      </c>
      <c r="G158" s="20" t="s">
        <v>1362</v>
      </c>
      <c r="H158" s="53" t="s">
        <v>857</v>
      </c>
      <c r="I158" s="9" t="s">
        <v>1363</v>
      </c>
      <c r="J158" s="18" t="s">
        <v>1364</v>
      </c>
      <c r="K158" s="9"/>
      <c r="L158" s="9" t="s">
        <v>838</v>
      </c>
    </row>
    <row r="159" spans="1:13" ht="25.5" x14ac:dyDescent="0.25">
      <c r="A159" s="9">
        <v>157</v>
      </c>
      <c r="B159" s="9"/>
      <c r="C159" s="104" t="s">
        <v>1365</v>
      </c>
      <c r="D159" s="9" t="s">
        <v>1007</v>
      </c>
      <c r="E159" s="16" t="s">
        <v>346</v>
      </c>
      <c r="F159" s="9" t="s">
        <v>214</v>
      </c>
      <c r="G159" s="97" t="s">
        <v>1366</v>
      </c>
      <c r="H159" s="53" t="s">
        <v>1367</v>
      </c>
      <c r="I159" s="9" t="s">
        <v>1284</v>
      </c>
      <c r="J159" s="15" t="s">
        <v>1368</v>
      </c>
      <c r="K159" s="9" t="s">
        <v>1369</v>
      </c>
      <c r="L159" s="9" t="s">
        <v>838</v>
      </c>
    </row>
    <row r="160" spans="1:13" ht="60" hidden="1" x14ac:dyDescent="0.2">
      <c r="A160" s="9">
        <v>158</v>
      </c>
      <c r="B160" s="9"/>
      <c r="C160" s="73" t="s">
        <v>1370</v>
      </c>
      <c r="D160" s="74" t="s">
        <v>188</v>
      </c>
      <c r="E160" s="105" t="s">
        <v>587</v>
      </c>
      <c r="F160" s="106" t="s">
        <v>126</v>
      </c>
      <c r="G160" s="107" t="s">
        <v>1371</v>
      </c>
      <c r="H160" s="20" t="s">
        <v>1372</v>
      </c>
      <c r="I160" s="24">
        <v>45841</v>
      </c>
      <c r="J160" s="18" t="s">
        <v>1373</v>
      </c>
      <c r="K160" s="9"/>
      <c r="L160" s="9" t="s">
        <v>838</v>
      </c>
    </row>
    <row r="161" spans="1:13" ht="25.5" hidden="1" x14ac:dyDescent="0.25">
      <c r="A161" s="9">
        <v>159</v>
      </c>
      <c r="B161" s="9"/>
      <c r="C161" s="20" t="s">
        <v>1374</v>
      </c>
      <c r="D161" s="9" t="s">
        <v>794</v>
      </c>
      <c r="E161" s="16" t="s">
        <v>746</v>
      </c>
      <c r="F161" s="9" t="s">
        <v>825</v>
      </c>
      <c r="G161" s="16" t="s">
        <v>1375</v>
      </c>
      <c r="H161" s="53" t="s">
        <v>857</v>
      </c>
      <c r="I161" s="24">
        <v>45933</v>
      </c>
      <c r="J161" s="18" t="s">
        <v>1376</v>
      </c>
      <c r="K161" s="9"/>
      <c r="L161" s="9" t="s">
        <v>838</v>
      </c>
    </row>
    <row r="162" spans="1:13" ht="25.5" hidden="1" x14ac:dyDescent="0.25">
      <c r="A162" s="9">
        <v>160</v>
      </c>
      <c r="B162" s="9"/>
      <c r="C162" s="20" t="s">
        <v>1377</v>
      </c>
      <c r="D162" s="9" t="s">
        <v>188</v>
      </c>
      <c r="E162" s="16" t="s">
        <v>668</v>
      </c>
      <c r="F162" s="9" t="s">
        <v>44</v>
      </c>
      <c r="G162" s="9" t="s">
        <v>1378</v>
      </c>
      <c r="H162" s="88" t="s">
        <v>1379</v>
      </c>
      <c r="I162" s="24">
        <v>45994</v>
      </c>
      <c r="J162" s="15" t="s">
        <v>1380</v>
      </c>
      <c r="K162" s="24">
        <v>45720</v>
      </c>
      <c r="L162" s="9" t="s">
        <v>838</v>
      </c>
    </row>
    <row r="163" spans="1:13" ht="25.5" hidden="1" x14ac:dyDescent="0.25">
      <c r="A163" s="9">
        <v>161</v>
      </c>
      <c r="B163" s="9"/>
      <c r="C163" s="20" t="s">
        <v>1381</v>
      </c>
      <c r="D163" s="9" t="s">
        <v>188</v>
      </c>
      <c r="E163" s="16" t="s">
        <v>76</v>
      </c>
      <c r="F163" s="9" t="s">
        <v>44</v>
      </c>
      <c r="G163" s="97" t="s">
        <v>1382</v>
      </c>
      <c r="H163" s="96" t="s">
        <v>1383</v>
      </c>
      <c r="I163" s="9" t="s">
        <v>712</v>
      </c>
      <c r="J163" s="15" t="s">
        <v>1384</v>
      </c>
      <c r="K163" s="24">
        <v>45904</v>
      </c>
      <c r="L163" s="9" t="s">
        <v>838</v>
      </c>
    </row>
    <row r="164" spans="1:13" ht="25.5" hidden="1" x14ac:dyDescent="0.2">
      <c r="A164" s="9">
        <v>162</v>
      </c>
      <c r="B164" s="9"/>
      <c r="C164" s="23" t="s">
        <v>1385</v>
      </c>
      <c r="D164" s="9" t="s">
        <v>188</v>
      </c>
      <c r="E164" s="16" t="s">
        <v>703</v>
      </c>
      <c r="F164" s="9" t="s">
        <v>437</v>
      </c>
      <c r="G164" s="97" t="s">
        <v>1386</v>
      </c>
      <c r="H164" s="53" t="s">
        <v>16</v>
      </c>
      <c r="I164" s="24">
        <v>45720</v>
      </c>
      <c r="J164" s="15" t="s">
        <v>1387</v>
      </c>
      <c r="K164" s="9" t="s">
        <v>742</v>
      </c>
      <c r="L164" s="9" t="s">
        <v>838</v>
      </c>
    </row>
    <row r="165" spans="1:13" ht="25.5" hidden="1" x14ac:dyDescent="0.2">
      <c r="A165" s="9">
        <v>163</v>
      </c>
      <c r="B165" s="9"/>
      <c r="C165" s="67" t="s">
        <v>1388</v>
      </c>
      <c r="D165" s="9" t="s">
        <v>188</v>
      </c>
      <c r="E165" s="16" t="s">
        <v>76</v>
      </c>
      <c r="F165" s="9" t="s">
        <v>44</v>
      </c>
      <c r="G165" s="9" t="s">
        <v>1389</v>
      </c>
      <c r="H165" s="89" t="s">
        <v>1390</v>
      </c>
      <c r="I165" s="24">
        <v>45751</v>
      </c>
      <c r="J165" s="15" t="s">
        <v>1391</v>
      </c>
      <c r="K165" s="24" t="s">
        <v>741</v>
      </c>
      <c r="L165" s="9" t="s">
        <v>838</v>
      </c>
    </row>
    <row r="166" spans="1:13" ht="25.5" hidden="1" x14ac:dyDescent="0.2">
      <c r="A166" s="9">
        <v>164</v>
      </c>
      <c r="B166" s="9"/>
      <c r="C166" s="67" t="s">
        <v>1392</v>
      </c>
      <c r="D166" s="9" t="s">
        <v>188</v>
      </c>
      <c r="E166" s="16" t="s">
        <v>668</v>
      </c>
      <c r="F166" s="9" t="s">
        <v>825</v>
      </c>
      <c r="G166" s="16" t="s">
        <v>1393</v>
      </c>
      <c r="H166" s="53"/>
      <c r="I166" s="24">
        <v>45934</v>
      </c>
      <c r="J166" s="15"/>
      <c r="K166" s="9"/>
      <c r="L166" s="9" t="s">
        <v>838</v>
      </c>
    </row>
    <row r="167" spans="1:13" ht="38.25" hidden="1" x14ac:dyDescent="0.25">
      <c r="A167" s="9"/>
      <c r="B167" s="9"/>
      <c r="C167" s="20" t="s">
        <v>1394</v>
      </c>
      <c r="D167" s="9" t="s">
        <v>1395</v>
      </c>
      <c r="E167" s="16" t="s">
        <v>729</v>
      </c>
      <c r="F167" s="9" t="s">
        <v>126</v>
      </c>
      <c r="G167" s="9" t="s">
        <v>1396</v>
      </c>
      <c r="H167" s="20" t="s">
        <v>1397</v>
      </c>
      <c r="I167" s="9" t="s">
        <v>747</v>
      </c>
      <c r="J167" s="18" t="s">
        <v>1398</v>
      </c>
      <c r="K167" s="9" t="s">
        <v>767</v>
      </c>
      <c r="L167" s="9" t="s">
        <v>838</v>
      </c>
    </row>
    <row r="168" spans="1:13" x14ac:dyDescent="0.25">
      <c r="A168" s="452"/>
      <c r="B168" s="453"/>
      <c r="C168" s="453"/>
      <c r="D168" s="453"/>
      <c r="E168" s="453"/>
      <c r="F168" s="453"/>
      <c r="G168" s="453"/>
      <c r="H168" s="453"/>
      <c r="I168" s="453"/>
      <c r="J168" s="453"/>
      <c r="K168" s="453"/>
      <c r="L168" s="454"/>
    </row>
    <row r="169" spans="1:13" ht="25.5" x14ac:dyDescent="0.25">
      <c r="A169" s="9">
        <v>1</v>
      </c>
      <c r="B169" s="9" t="s">
        <v>1399</v>
      </c>
      <c r="C169" s="20" t="s">
        <v>1400</v>
      </c>
      <c r="D169" s="9" t="s">
        <v>188</v>
      </c>
      <c r="E169" s="16" t="s">
        <v>419</v>
      </c>
      <c r="F169" s="9" t="s">
        <v>825</v>
      </c>
      <c r="G169" s="55" t="s">
        <v>1401</v>
      </c>
      <c r="H169" s="108" t="s">
        <v>1402</v>
      </c>
      <c r="I169" s="24">
        <v>45813</v>
      </c>
      <c r="J169" s="15" t="s">
        <v>1403</v>
      </c>
      <c r="K169" s="9"/>
      <c r="L169" s="9"/>
    </row>
    <row r="170" spans="1:13" ht="30" x14ac:dyDescent="0.25">
      <c r="A170" s="9">
        <v>2</v>
      </c>
      <c r="B170" s="9" t="s">
        <v>1404</v>
      </c>
      <c r="C170" s="20" t="s">
        <v>1405</v>
      </c>
      <c r="D170" s="9" t="s">
        <v>188</v>
      </c>
      <c r="E170" s="16" t="s">
        <v>746</v>
      </c>
      <c r="F170" s="9" t="s">
        <v>214</v>
      </c>
      <c r="G170" s="97" t="s">
        <v>1406</v>
      </c>
      <c r="H170" s="53" t="s">
        <v>1407</v>
      </c>
      <c r="I170" s="9" t="s">
        <v>1408</v>
      </c>
      <c r="J170" s="109" t="s">
        <v>1409</v>
      </c>
      <c r="K170" s="9" t="s">
        <v>1410</v>
      </c>
      <c r="L170" s="9" t="s">
        <v>838</v>
      </c>
    </row>
    <row r="171" spans="1:13" ht="51" x14ac:dyDescent="0.2">
      <c r="A171" s="9">
        <v>3</v>
      </c>
      <c r="B171" s="9"/>
      <c r="C171" s="67" t="s">
        <v>1411</v>
      </c>
      <c r="D171" s="74" t="s">
        <v>203</v>
      </c>
      <c r="E171" s="110" t="s">
        <v>160</v>
      </c>
      <c r="F171" s="111" t="s">
        <v>44</v>
      </c>
      <c r="G171" s="74" t="s">
        <v>1412</v>
      </c>
      <c r="H171" s="101" t="s">
        <v>1413</v>
      </c>
      <c r="I171" s="9"/>
      <c r="J171" s="15" t="s">
        <v>1414</v>
      </c>
      <c r="K171" s="9"/>
      <c r="L171" s="9"/>
    </row>
    <row r="172" spans="1:13" ht="62.65" customHeight="1" x14ac:dyDescent="0.2">
      <c r="A172" s="9">
        <v>4</v>
      </c>
      <c r="B172" s="9" t="s">
        <v>1415</v>
      </c>
      <c r="C172" s="67" t="s">
        <v>1416</v>
      </c>
      <c r="D172" s="9" t="s">
        <v>188</v>
      </c>
      <c r="E172" s="16" t="s">
        <v>76</v>
      </c>
      <c r="F172" s="9" t="s">
        <v>44</v>
      </c>
      <c r="G172" s="97" t="s">
        <v>1417</v>
      </c>
      <c r="H172" s="53" t="s">
        <v>16</v>
      </c>
      <c r="I172" s="24">
        <v>45843</v>
      </c>
      <c r="J172" s="15" t="s">
        <v>1418</v>
      </c>
      <c r="K172" s="24">
        <v>45690</v>
      </c>
      <c r="L172" s="9" t="s">
        <v>838</v>
      </c>
    </row>
    <row r="173" spans="1:13" ht="25.5" x14ac:dyDescent="0.2">
      <c r="A173" s="9">
        <v>5</v>
      </c>
      <c r="B173" s="9" t="s">
        <v>1419</v>
      </c>
      <c r="C173" s="67" t="s">
        <v>1420</v>
      </c>
      <c r="D173" s="9" t="s">
        <v>242</v>
      </c>
      <c r="E173" s="16" t="s">
        <v>14</v>
      </c>
      <c r="F173" s="9" t="s">
        <v>437</v>
      </c>
      <c r="G173" s="97" t="s">
        <v>1421</v>
      </c>
      <c r="H173" s="57" t="s">
        <v>1422</v>
      </c>
      <c r="I173" s="9" t="s">
        <v>743</v>
      </c>
      <c r="J173" s="15"/>
      <c r="K173" s="9"/>
      <c r="L173" s="9"/>
    </row>
    <row r="174" spans="1:13" ht="25.5" x14ac:dyDescent="0.25">
      <c r="A174" s="9">
        <v>6</v>
      </c>
      <c r="B174" s="9" t="s">
        <v>1423</v>
      </c>
      <c r="C174" s="20" t="s">
        <v>1424</v>
      </c>
      <c r="D174" s="9" t="s">
        <v>188</v>
      </c>
      <c r="E174" s="16" t="s">
        <v>1425</v>
      </c>
      <c r="F174" s="9" t="s">
        <v>437</v>
      </c>
      <c r="G174" s="90" t="s">
        <v>1426</v>
      </c>
      <c r="H174" s="108" t="s">
        <v>857</v>
      </c>
      <c r="I174" s="9" t="s">
        <v>796</v>
      </c>
      <c r="J174" s="112" t="s">
        <v>1427</v>
      </c>
      <c r="K174" s="9"/>
      <c r="L174" s="9" t="s">
        <v>838</v>
      </c>
      <c r="M174" s="44" t="s">
        <v>1428</v>
      </c>
    </row>
    <row r="175" spans="1:13" ht="25.5" x14ac:dyDescent="0.25">
      <c r="A175" s="9">
        <v>7</v>
      </c>
      <c r="B175" s="9"/>
      <c r="C175" s="20" t="s">
        <v>1429</v>
      </c>
      <c r="D175" s="9" t="s">
        <v>188</v>
      </c>
      <c r="E175" s="16" t="s">
        <v>70</v>
      </c>
      <c r="F175" s="9" t="s">
        <v>126</v>
      </c>
      <c r="G175" s="9" t="s">
        <v>1430</v>
      </c>
      <c r="H175" s="53" t="s">
        <v>16</v>
      </c>
      <c r="I175" s="24">
        <v>45874</v>
      </c>
      <c r="J175" s="15" t="s">
        <v>1431</v>
      </c>
      <c r="K175" s="24">
        <v>45996</v>
      </c>
      <c r="L175" s="9" t="s">
        <v>838</v>
      </c>
      <c r="M175" s="44" t="s">
        <v>1432</v>
      </c>
    </row>
    <row r="176" spans="1:13" ht="25.5" x14ac:dyDescent="0.25">
      <c r="A176" s="9">
        <v>8</v>
      </c>
      <c r="B176" s="9" t="s">
        <v>1433</v>
      </c>
      <c r="C176" s="20" t="s">
        <v>1434</v>
      </c>
      <c r="D176" s="9" t="s">
        <v>188</v>
      </c>
      <c r="E176" s="16" t="s">
        <v>668</v>
      </c>
      <c r="F176" s="9" t="s">
        <v>44</v>
      </c>
      <c r="G176" s="79" t="s">
        <v>1435</v>
      </c>
      <c r="H176" s="94" t="s">
        <v>1436</v>
      </c>
      <c r="I176" s="24">
        <v>45905</v>
      </c>
      <c r="J176" s="15" t="s">
        <v>1437</v>
      </c>
      <c r="K176" s="9"/>
      <c r="L176" s="9" t="s">
        <v>963</v>
      </c>
    </row>
    <row r="177" spans="1:12" ht="25.5" x14ac:dyDescent="0.25">
      <c r="A177" s="9">
        <v>9</v>
      </c>
      <c r="B177" s="9" t="s">
        <v>1438</v>
      </c>
      <c r="C177" s="20" t="s">
        <v>1439</v>
      </c>
      <c r="D177" s="9" t="s">
        <v>188</v>
      </c>
      <c r="E177" s="16" t="s">
        <v>680</v>
      </c>
      <c r="F177" s="9" t="s">
        <v>437</v>
      </c>
      <c r="G177" s="79"/>
      <c r="H177" s="108" t="s">
        <v>1440</v>
      </c>
      <c r="I177" s="9" t="s">
        <v>796</v>
      </c>
      <c r="J177" s="15" t="s">
        <v>1441</v>
      </c>
      <c r="K177" s="9"/>
      <c r="L177" s="9"/>
    </row>
    <row r="178" spans="1:12" ht="25.5" x14ac:dyDescent="0.25">
      <c r="A178" s="9">
        <v>10</v>
      </c>
      <c r="B178" s="9" t="s">
        <v>1442</v>
      </c>
      <c r="C178" s="20" t="s">
        <v>1443</v>
      </c>
      <c r="D178" s="9" t="s">
        <v>188</v>
      </c>
      <c r="E178" s="16" t="s">
        <v>763</v>
      </c>
      <c r="F178" s="9" t="s">
        <v>825</v>
      </c>
      <c r="G178" s="113" t="s">
        <v>1444</v>
      </c>
      <c r="H178" s="114" t="s">
        <v>857</v>
      </c>
      <c r="I178" s="9" t="s">
        <v>1445</v>
      </c>
      <c r="J178" s="15" t="s">
        <v>1446</v>
      </c>
      <c r="K178" s="9"/>
      <c r="L178" s="9" t="s">
        <v>838</v>
      </c>
    </row>
    <row r="179" spans="1:12" ht="25.5" x14ac:dyDescent="0.25">
      <c r="A179" s="9">
        <v>11</v>
      </c>
      <c r="B179" s="9" t="s">
        <v>1447</v>
      </c>
      <c r="C179" s="20" t="s">
        <v>1448</v>
      </c>
      <c r="D179" s="9" t="s">
        <v>188</v>
      </c>
      <c r="E179" s="16" t="s">
        <v>1449</v>
      </c>
      <c r="F179" s="9" t="s">
        <v>825</v>
      </c>
      <c r="G179" s="9" t="s">
        <v>1450</v>
      </c>
      <c r="H179" s="114" t="s">
        <v>857</v>
      </c>
      <c r="I179" s="9" t="s">
        <v>796</v>
      </c>
      <c r="J179" s="15" t="s">
        <v>1451</v>
      </c>
      <c r="K179" s="9"/>
      <c r="L179" s="9" t="s">
        <v>838</v>
      </c>
    </row>
    <row r="180" spans="1:12" ht="51" x14ac:dyDescent="0.25">
      <c r="A180" s="9">
        <v>12</v>
      </c>
      <c r="B180" s="9" t="s">
        <v>1452</v>
      </c>
      <c r="C180" s="20" t="s">
        <v>1453</v>
      </c>
      <c r="D180" s="9" t="s">
        <v>188</v>
      </c>
      <c r="E180" s="16" t="s">
        <v>1449</v>
      </c>
      <c r="F180" s="9" t="s">
        <v>126</v>
      </c>
      <c r="G180" s="79" t="s">
        <v>1454</v>
      </c>
      <c r="H180" s="61" t="s">
        <v>1455</v>
      </c>
      <c r="I180" s="9" t="s">
        <v>795</v>
      </c>
      <c r="J180" s="15" t="s">
        <v>1456</v>
      </c>
      <c r="K180" s="9"/>
      <c r="L180" s="9" t="s">
        <v>963</v>
      </c>
    </row>
    <row r="181" spans="1:12" ht="38.25" x14ac:dyDescent="0.25">
      <c r="A181" s="9">
        <v>13</v>
      </c>
      <c r="B181" s="9" t="s">
        <v>1457</v>
      </c>
      <c r="C181" s="20" t="s">
        <v>1458</v>
      </c>
      <c r="D181" s="9" t="s">
        <v>236</v>
      </c>
      <c r="E181" s="16" t="s">
        <v>123</v>
      </c>
      <c r="F181" s="9" t="s">
        <v>126</v>
      </c>
      <c r="G181" s="16" t="s">
        <v>1459</v>
      </c>
      <c r="H181" s="20" t="s">
        <v>1460</v>
      </c>
      <c r="I181" s="9" t="s">
        <v>795</v>
      </c>
      <c r="J181" s="18" t="s">
        <v>1461</v>
      </c>
      <c r="K181" s="24">
        <v>45814</v>
      </c>
      <c r="L181" s="9" t="s">
        <v>838</v>
      </c>
    </row>
    <row r="182" spans="1:12" ht="25.5" x14ac:dyDescent="0.25">
      <c r="A182" s="9">
        <v>14</v>
      </c>
      <c r="B182" s="9"/>
      <c r="C182" s="20" t="s">
        <v>1462</v>
      </c>
      <c r="D182" s="9" t="s">
        <v>1463</v>
      </c>
      <c r="E182" s="16" t="s">
        <v>437</v>
      </c>
      <c r="F182" s="9" t="s">
        <v>437</v>
      </c>
      <c r="G182" s="79" t="s">
        <v>1464</v>
      </c>
      <c r="H182" s="108" t="s">
        <v>857</v>
      </c>
      <c r="I182" s="9" t="s">
        <v>795</v>
      </c>
      <c r="J182" s="15" t="s">
        <v>1456</v>
      </c>
      <c r="K182" s="24">
        <v>45783</v>
      </c>
      <c r="L182" s="9" t="s">
        <v>838</v>
      </c>
    </row>
    <row r="183" spans="1:12" ht="38.25" x14ac:dyDescent="0.2">
      <c r="A183" s="9">
        <v>15</v>
      </c>
      <c r="B183" s="9"/>
      <c r="C183" s="67" t="s">
        <v>1465</v>
      </c>
      <c r="D183" s="9" t="s">
        <v>188</v>
      </c>
      <c r="E183" s="16" t="s">
        <v>668</v>
      </c>
      <c r="F183" s="9" t="s">
        <v>44</v>
      </c>
      <c r="G183" s="9" t="s">
        <v>1466</v>
      </c>
      <c r="H183" s="115" t="s">
        <v>1467</v>
      </c>
      <c r="I183" s="9" t="s">
        <v>799</v>
      </c>
      <c r="J183" s="112" t="s">
        <v>1468</v>
      </c>
      <c r="K183" s="9"/>
      <c r="L183" s="9"/>
    </row>
    <row r="184" spans="1:12" ht="63.75" x14ac:dyDescent="0.25">
      <c r="A184" s="9">
        <v>16</v>
      </c>
      <c r="B184" s="9"/>
      <c r="C184" s="116" t="s">
        <v>1469</v>
      </c>
      <c r="D184" s="9" t="s">
        <v>188</v>
      </c>
      <c r="E184" s="16" t="s">
        <v>668</v>
      </c>
      <c r="F184" s="9" t="s">
        <v>44</v>
      </c>
      <c r="G184" s="9" t="s">
        <v>1470</v>
      </c>
      <c r="H184" s="115" t="s">
        <v>1471</v>
      </c>
      <c r="I184" s="9" t="s">
        <v>799</v>
      </c>
      <c r="J184" s="112" t="s">
        <v>1468</v>
      </c>
      <c r="K184" s="9"/>
      <c r="L184" s="9"/>
    </row>
    <row r="185" spans="1:12" ht="25.5" x14ac:dyDescent="0.25">
      <c r="A185" s="9">
        <v>17</v>
      </c>
      <c r="B185" s="9"/>
      <c r="C185" s="20" t="s">
        <v>1472</v>
      </c>
      <c r="D185" s="9" t="s">
        <v>203</v>
      </c>
      <c r="E185" s="16" t="s">
        <v>1093</v>
      </c>
      <c r="F185" s="9" t="s">
        <v>437</v>
      </c>
      <c r="G185" s="9"/>
      <c r="H185" s="53" t="s">
        <v>1473</v>
      </c>
      <c r="I185" s="9" t="s">
        <v>1474</v>
      </c>
      <c r="J185" s="15" t="s">
        <v>1475</v>
      </c>
      <c r="K185" s="9"/>
      <c r="L185" s="9"/>
    </row>
    <row r="186" spans="1:12" ht="38.25" x14ac:dyDescent="0.25">
      <c r="A186" s="9">
        <v>18</v>
      </c>
      <c r="B186" s="9" t="s">
        <v>1476</v>
      </c>
      <c r="C186" s="20" t="s">
        <v>1477</v>
      </c>
      <c r="D186" s="9" t="s">
        <v>203</v>
      </c>
      <c r="E186" s="16" t="s">
        <v>160</v>
      </c>
      <c r="F186" s="9" t="s">
        <v>214</v>
      </c>
      <c r="G186" s="97" t="s">
        <v>1478</v>
      </c>
      <c r="H186" s="53" t="s">
        <v>1473</v>
      </c>
      <c r="I186" s="9" t="s">
        <v>1479</v>
      </c>
      <c r="J186" s="15" t="s">
        <v>1480</v>
      </c>
      <c r="K186" s="9"/>
      <c r="L186" s="9"/>
    </row>
    <row r="187" spans="1:12" x14ac:dyDescent="0.25">
      <c r="A187" s="9"/>
      <c r="B187" s="9"/>
      <c r="C187" s="20"/>
      <c r="D187" s="9"/>
      <c r="E187" s="16"/>
      <c r="F187" s="9"/>
      <c r="G187" s="9"/>
      <c r="H187" s="53"/>
      <c r="I187" s="9"/>
      <c r="J187" s="15"/>
      <c r="K187" s="9"/>
      <c r="L187" s="9"/>
    </row>
    <row r="188" spans="1:12" x14ac:dyDescent="0.25">
      <c r="A188" s="9"/>
      <c r="B188" s="9"/>
      <c r="C188" s="20"/>
      <c r="D188" s="9"/>
      <c r="E188" s="16"/>
      <c r="F188" s="9"/>
      <c r="G188" s="9"/>
      <c r="H188" s="53"/>
      <c r="I188" s="9"/>
      <c r="J188" s="15"/>
      <c r="K188" s="9"/>
      <c r="L188" s="9"/>
    </row>
    <row r="189" spans="1:12" x14ac:dyDescent="0.25">
      <c r="A189" s="9"/>
      <c r="B189" s="9"/>
      <c r="C189" s="20"/>
      <c r="D189" s="9"/>
      <c r="E189" s="16"/>
      <c r="F189" s="9"/>
      <c r="G189" s="9"/>
      <c r="H189" s="53"/>
      <c r="I189" s="9"/>
      <c r="J189" s="15"/>
      <c r="K189" s="9"/>
      <c r="L189" s="9"/>
    </row>
    <row r="190" spans="1:12" x14ac:dyDescent="0.25">
      <c r="A190" s="9"/>
      <c r="B190" s="9"/>
      <c r="C190" s="20"/>
      <c r="D190" s="9"/>
      <c r="E190" s="16"/>
      <c r="F190" s="9"/>
      <c r="G190" s="9"/>
      <c r="H190" s="53"/>
      <c r="I190" s="9"/>
      <c r="J190" s="15"/>
      <c r="K190" s="9"/>
      <c r="L190" s="9"/>
    </row>
    <row r="191" spans="1:12" x14ac:dyDescent="0.25">
      <c r="A191" s="9"/>
      <c r="B191" s="9"/>
      <c r="C191" s="20"/>
      <c r="D191" s="9"/>
      <c r="E191" s="16"/>
      <c r="F191" s="9"/>
      <c r="G191" s="9"/>
      <c r="H191" s="53"/>
      <c r="I191" s="9"/>
      <c r="J191" s="15"/>
      <c r="K191" s="9"/>
      <c r="L191" s="9"/>
    </row>
    <row r="192" spans="1:12" x14ac:dyDescent="0.25">
      <c r="A192" s="9"/>
      <c r="B192" s="9"/>
      <c r="C192" s="20"/>
      <c r="D192" s="9"/>
      <c r="E192" s="16"/>
      <c r="F192" s="9"/>
      <c r="G192" s="9"/>
      <c r="H192" s="53"/>
      <c r="I192" s="9"/>
      <c r="J192" s="15"/>
      <c r="K192" s="9"/>
      <c r="L192" s="9"/>
    </row>
    <row r="193" spans="1:12" x14ac:dyDescent="0.25">
      <c r="A193" s="9"/>
      <c r="B193" s="9"/>
      <c r="C193" s="20"/>
      <c r="D193" s="9"/>
      <c r="E193" s="16"/>
      <c r="F193" s="9"/>
      <c r="G193" s="9"/>
      <c r="H193" s="53"/>
      <c r="I193" s="9"/>
      <c r="J193" s="15"/>
      <c r="K193" s="9"/>
      <c r="L193" s="9"/>
    </row>
    <row r="194" spans="1:12" x14ac:dyDescent="0.25">
      <c r="A194" s="9"/>
      <c r="B194" s="9"/>
      <c r="C194" s="20"/>
      <c r="D194" s="9"/>
      <c r="E194" s="16"/>
      <c r="F194" s="9"/>
      <c r="G194" s="9"/>
      <c r="H194" s="53"/>
      <c r="I194" s="9"/>
      <c r="J194" s="15"/>
      <c r="K194" s="9"/>
      <c r="L194" s="9"/>
    </row>
    <row r="195" spans="1:12" x14ac:dyDescent="0.25">
      <c r="A195" s="9"/>
      <c r="B195" s="9"/>
      <c r="C195" s="20"/>
      <c r="D195" s="9"/>
      <c r="E195" s="16"/>
      <c r="F195" s="9"/>
      <c r="G195" s="9"/>
      <c r="H195" s="53"/>
      <c r="I195" s="9"/>
      <c r="J195" s="15"/>
      <c r="K195" s="9"/>
      <c r="L195" s="9"/>
    </row>
  </sheetData>
  <autoFilter ref="A2:L167">
    <filterColumn colId="5">
      <filters>
        <filter val="khanhnd23"/>
      </filters>
    </filterColumn>
  </autoFilter>
  <mergeCells count="2">
    <mergeCell ref="C1:G1"/>
    <mergeCell ref="A168:L168"/>
  </mergeCells>
  <hyperlinks>
    <hyperlink ref="B181" r:id="rId1"/>
  </hyperlinks>
  <printOptions gridLines="1" gridLinesSet="0"/>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69"/>
  <sheetViews>
    <sheetView workbookViewId="0">
      <pane xSplit="108" ySplit="1" topLeftCell="DE2" activePane="bottomRight" state="frozen"/>
      <selection activeCell="G130" sqref="G130"/>
      <selection pane="topRight"/>
      <selection pane="bottomLeft"/>
      <selection pane="bottomRight" activeCell="DE2" sqref="DE2"/>
    </sheetView>
  </sheetViews>
  <sheetFormatPr defaultColWidth="9" defaultRowHeight="12.75" x14ac:dyDescent="0.2"/>
  <cols>
    <col min="1" max="1" width="6.140625" style="117" customWidth="1"/>
    <col min="2" max="2" width="66.5703125" style="118" customWidth="1"/>
    <col min="3" max="3" width="8.5703125" style="119" customWidth="1"/>
    <col min="4" max="4" width="10.140625" style="120" customWidth="1"/>
    <col min="5" max="5" width="12.28515625" style="121" customWidth="1"/>
    <col min="6" max="6" width="28" style="117" customWidth="1"/>
    <col min="7" max="7" width="11.140625" style="121" customWidth="1"/>
    <col min="8" max="8" width="9.5703125" style="121" customWidth="1"/>
    <col min="9" max="9" width="9.7109375" style="121" customWidth="1"/>
    <col min="10" max="10" width="8.7109375" style="121" customWidth="1"/>
    <col min="11" max="11" width="9.28515625" style="121" customWidth="1"/>
    <col min="12" max="13" width="9.140625" style="121" customWidth="1"/>
    <col min="14" max="14" width="8.42578125" style="121" customWidth="1"/>
    <col min="15" max="15" width="9.140625" style="121" customWidth="1"/>
    <col min="16" max="16" width="8.42578125" style="121" customWidth="1"/>
    <col min="17" max="17" width="9.5703125" style="121" customWidth="1"/>
    <col min="18" max="18" width="12.7109375" style="121" customWidth="1"/>
    <col min="19" max="19" width="9.140625" style="121" customWidth="1"/>
    <col min="20" max="20" width="22.5703125" style="118" customWidth="1"/>
    <col min="21" max="21" width="10.140625" style="117" customWidth="1"/>
    <col min="22" max="16384" width="9" style="117"/>
  </cols>
  <sheetData>
    <row r="1" spans="1:16384" s="122" customFormat="1" ht="38.25" x14ac:dyDescent="0.2">
      <c r="A1" s="123" t="s">
        <v>0</v>
      </c>
      <c r="B1" s="123" t="s">
        <v>1481</v>
      </c>
      <c r="C1" s="123" t="s">
        <v>2</v>
      </c>
      <c r="D1" s="123" t="s">
        <v>828</v>
      </c>
      <c r="E1" s="123" t="s">
        <v>1482</v>
      </c>
      <c r="F1" s="123" t="s">
        <v>830</v>
      </c>
      <c r="G1" s="123" t="s">
        <v>1483</v>
      </c>
      <c r="H1" s="123" t="s">
        <v>1484</v>
      </c>
      <c r="I1" s="123" t="s">
        <v>1485</v>
      </c>
      <c r="J1" s="123" t="s">
        <v>1486</v>
      </c>
      <c r="K1" s="123" t="s">
        <v>1487</v>
      </c>
      <c r="L1" s="123" t="s">
        <v>1488</v>
      </c>
      <c r="M1" s="123" t="s">
        <v>1489</v>
      </c>
      <c r="N1" s="123" t="s">
        <v>1490</v>
      </c>
      <c r="O1" s="123" t="s">
        <v>1491</v>
      </c>
      <c r="P1" s="123" t="s">
        <v>1492</v>
      </c>
      <c r="Q1" s="123" t="s">
        <v>1493</v>
      </c>
      <c r="R1" s="123" t="s">
        <v>1494</v>
      </c>
      <c r="S1" s="123" t="s">
        <v>1495</v>
      </c>
      <c r="T1" s="123" t="s">
        <v>13</v>
      </c>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c r="AU1" s="124"/>
      <c r="AV1" s="124"/>
      <c r="AW1" s="124"/>
      <c r="AX1" s="124"/>
      <c r="AY1" s="124"/>
      <c r="AZ1" s="124"/>
      <c r="BA1" s="124"/>
      <c r="BB1" s="124"/>
      <c r="BC1" s="124"/>
      <c r="BD1" s="124"/>
      <c r="BE1" s="124"/>
      <c r="BF1" s="124"/>
      <c r="BG1" s="124"/>
      <c r="BH1" s="124"/>
      <c r="BI1" s="124"/>
      <c r="BJ1" s="124"/>
      <c r="BK1" s="124"/>
      <c r="BL1" s="124"/>
      <c r="BM1" s="124"/>
      <c r="BN1" s="124"/>
      <c r="BO1" s="124"/>
      <c r="BP1" s="124"/>
      <c r="BQ1" s="124"/>
      <c r="BR1" s="124"/>
      <c r="BS1" s="124"/>
      <c r="BT1" s="124"/>
      <c r="BU1" s="124"/>
      <c r="BV1" s="124"/>
      <c r="BW1" s="124"/>
      <c r="BX1" s="124"/>
      <c r="BY1" s="124"/>
      <c r="BZ1" s="124"/>
      <c r="CA1" s="124"/>
      <c r="CB1" s="124"/>
      <c r="CC1" s="124"/>
      <c r="CD1" s="124"/>
      <c r="CE1" s="124"/>
      <c r="CF1" s="124"/>
      <c r="CG1" s="124"/>
      <c r="CH1" s="124"/>
      <c r="CI1" s="124"/>
      <c r="CJ1" s="124"/>
      <c r="CK1" s="124"/>
      <c r="CL1" s="124"/>
      <c r="CM1" s="124"/>
      <c r="CN1" s="124"/>
      <c r="CO1" s="124"/>
      <c r="CP1" s="124"/>
      <c r="CQ1" s="124"/>
      <c r="CR1" s="124"/>
      <c r="CS1" s="124"/>
      <c r="CT1" s="124"/>
      <c r="CU1" s="124"/>
      <c r="CV1" s="124"/>
      <c r="CW1" s="124"/>
      <c r="CX1" s="124"/>
      <c r="CY1" s="124"/>
      <c r="CZ1" s="124"/>
      <c r="DA1" s="124"/>
      <c r="DB1" s="124"/>
      <c r="DC1" s="124"/>
      <c r="DD1" s="124"/>
      <c r="DE1" s="124"/>
      <c r="DF1" s="124"/>
      <c r="DG1" s="124"/>
      <c r="DH1" s="124"/>
      <c r="DI1" s="124"/>
      <c r="DJ1" s="124"/>
      <c r="DK1" s="124"/>
      <c r="DL1" s="124"/>
      <c r="DM1" s="124"/>
      <c r="DN1" s="124"/>
      <c r="DO1" s="124"/>
      <c r="DP1" s="124"/>
      <c r="DQ1" s="124"/>
      <c r="DR1" s="124"/>
      <c r="DS1" s="124"/>
      <c r="DT1" s="124"/>
      <c r="DU1" s="124"/>
      <c r="DV1" s="124"/>
      <c r="DW1" s="124"/>
      <c r="DX1" s="124"/>
      <c r="DY1" s="124"/>
      <c r="DZ1" s="124"/>
      <c r="EA1" s="124"/>
      <c r="EB1" s="124"/>
      <c r="EC1" s="124"/>
      <c r="ED1" s="124"/>
      <c r="EE1" s="124"/>
      <c r="EF1" s="124"/>
      <c r="EG1" s="124"/>
      <c r="EH1" s="124"/>
      <c r="EI1" s="124"/>
      <c r="EJ1" s="124"/>
      <c r="EK1" s="124"/>
      <c r="EL1" s="124"/>
      <c r="EM1" s="124"/>
      <c r="EN1" s="124"/>
      <c r="EO1" s="124"/>
      <c r="EP1" s="124"/>
      <c r="EQ1" s="124"/>
      <c r="ER1" s="124"/>
      <c r="ES1" s="124"/>
      <c r="ET1" s="124"/>
      <c r="EU1" s="124"/>
      <c r="EV1" s="124"/>
      <c r="EW1" s="124"/>
      <c r="EX1" s="124"/>
      <c r="EY1" s="124"/>
      <c r="EZ1" s="124"/>
      <c r="FA1" s="124"/>
      <c r="FB1" s="124"/>
      <c r="FC1" s="124"/>
      <c r="FD1" s="124"/>
      <c r="FE1" s="124"/>
      <c r="FF1" s="124"/>
      <c r="FG1" s="124"/>
      <c r="FH1" s="124"/>
      <c r="FI1" s="124"/>
      <c r="FJ1" s="124"/>
      <c r="FK1" s="124"/>
      <c r="FL1" s="124"/>
      <c r="FM1" s="124"/>
      <c r="FN1" s="124"/>
      <c r="FO1" s="124"/>
      <c r="FP1" s="124"/>
      <c r="FQ1" s="124"/>
      <c r="FR1" s="124"/>
      <c r="FS1" s="124"/>
      <c r="FT1" s="124"/>
      <c r="FU1" s="124"/>
      <c r="FV1" s="124"/>
      <c r="FW1" s="124"/>
      <c r="FX1" s="124"/>
      <c r="FY1" s="124"/>
      <c r="FZ1" s="124"/>
      <c r="GA1" s="124"/>
      <c r="GB1" s="124"/>
      <c r="GC1" s="124"/>
      <c r="GD1" s="124"/>
      <c r="GE1" s="124"/>
      <c r="GF1" s="124"/>
      <c r="GG1" s="124"/>
      <c r="GH1" s="124"/>
      <c r="GI1" s="124"/>
      <c r="GJ1" s="124"/>
      <c r="GK1" s="124"/>
      <c r="GL1" s="124"/>
      <c r="GM1" s="124"/>
      <c r="GN1" s="124"/>
      <c r="GO1" s="124"/>
      <c r="GP1" s="124"/>
      <c r="GQ1" s="124"/>
      <c r="GR1" s="124"/>
      <c r="GS1" s="124"/>
      <c r="GT1" s="124"/>
      <c r="GU1" s="124"/>
      <c r="GV1" s="124"/>
      <c r="GW1" s="124"/>
      <c r="GX1" s="124"/>
      <c r="GY1" s="124"/>
      <c r="GZ1" s="124"/>
      <c r="HA1" s="124"/>
      <c r="HB1" s="124"/>
      <c r="HC1" s="124"/>
      <c r="HD1" s="124"/>
      <c r="HE1" s="124"/>
      <c r="HF1" s="124"/>
      <c r="HG1" s="124"/>
      <c r="HH1" s="124"/>
      <c r="HI1" s="124"/>
      <c r="HJ1" s="124"/>
      <c r="HK1" s="124"/>
      <c r="HL1" s="124"/>
      <c r="HM1" s="124"/>
      <c r="HN1" s="124"/>
      <c r="HO1" s="124"/>
      <c r="HP1" s="124"/>
      <c r="HQ1" s="124"/>
      <c r="HR1" s="124"/>
      <c r="HS1" s="124"/>
      <c r="HT1" s="124"/>
      <c r="HU1" s="124"/>
      <c r="HV1" s="124"/>
      <c r="HW1" s="124"/>
      <c r="HX1" s="124"/>
      <c r="HY1" s="124"/>
      <c r="HZ1" s="124"/>
      <c r="IA1" s="124"/>
      <c r="IB1" s="124"/>
      <c r="IC1" s="124"/>
      <c r="ID1" s="124"/>
      <c r="IE1" s="124"/>
      <c r="IF1" s="124"/>
      <c r="IG1" s="124"/>
      <c r="IH1" s="124"/>
      <c r="II1" s="124"/>
      <c r="IJ1" s="124"/>
      <c r="IK1" s="124"/>
      <c r="IL1" s="124"/>
      <c r="IM1" s="124"/>
      <c r="IN1" s="124"/>
      <c r="IO1" s="124"/>
      <c r="IP1" s="124"/>
      <c r="IQ1" s="124"/>
      <c r="IR1" s="124"/>
      <c r="IS1" s="124"/>
      <c r="IT1" s="124"/>
      <c r="IU1" s="124"/>
      <c r="IV1" s="124"/>
      <c r="IW1" s="124"/>
      <c r="IX1" s="124"/>
      <c r="IY1" s="124"/>
      <c r="IZ1" s="124"/>
      <c r="JA1" s="124"/>
      <c r="JB1" s="124"/>
      <c r="JC1" s="124"/>
      <c r="JD1" s="124"/>
      <c r="JE1" s="124"/>
      <c r="JF1" s="124"/>
      <c r="JG1" s="124"/>
      <c r="JH1" s="124"/>
      <c r="JI1" s="124"/>
      <c r="JJ1" s="124"/>
      <c r="JK1" s="124"/>
      <c r="JL1" s="124"/>
      <c r="JM1" s="124"/>
      <c r="JN1" s="124"/>
      <c r="JO1" s="124"/>
      <c r="JP1" s="124"/>
      <c r="JQ1" s="124"/>
      <c r="JR1" s="124"/>
      <c r="JS1" s="124"/>
      <c r="JT1" s="124"/>
      <c r="JU1" s="124"/>
      <c r="JV1" s="124"/>
      <c r="JW1" s="124"/>
      <c r="JX1" s="124"/>
      <c r="JY1" s="124"/>
      <c r="JZ1" s="124"/>
      <c r="KA1" s="124"/>
      <c r="KB1" s="124"/>
      <c r="KC1" s="124"/>
      <c r="KD1" s="124"/>
      <c r="KE1" s="124"/>
      <c r="KF1" s="124"/>
      <c r="KG1" s="124"/>
      <c r="KH1" s="124"/>
      <c r="KI1" s="124"/>
      <c r="KJ1" s="124"/>
      <c r="KK1" s="124"/>
      <c r="KL1" s="124"/>
      <c r="KM1" s="124"/>
      <c r="KN1" s="124"/>
      <c r="KO1" s="124"/>
      <c r="KP1" s="124"/>
      <c r="KQ1" s="124"/>
      <c r="KR1" s="124"/>
      <c r="KS1" s="124"/>
      <c r="KT1" s="124"/>
      <c r="KU1" s="124"/>
      <c r="KV1" s="124"/>
      <c r="KW1" s="124"/>
      <c r="KX1" s="124"/>
      <c r="KY1" s="124"/>
      <c r="KZ1" s="124"/>
      <c r="LA1" s="124"/>
      <c r="LB1" s="124"/>
      <c r="LC1" s="124"/>
      <c r="LD1" s="124"/>
      <c r="LE1" s="124"/>
      <c r="LF1" s="124"/>
      <c r="LG1" s="124"/>
      <c r="LH1" s="124"/>
      <c r="LI1" s="124"/>
      <c r="LJ1" s="124"/>
      <c r="LK1" s="124"/>
      <c r="LL1" s="124"/>
      <c r="LM1" s="124"/>
      <c r="LN1" s="124"/>
      <c r="LO1" s="124"/>
      <c r="LP1" s="124"/>
      <c r="LQ1" s="124"/>
      <c r="LR1" s="124"/>
      <c r="LS1" s="124"/>
      <c r="LT1" s="124"/>
      <c r="LU1" s="124"/>
      <c r="LV1" s="124"/>
      <c r="LW1" s="124"/>
      <c r="LX1" s="124"/>
      <c r="LY1" s="124"/>
      <c r="LZ1" s="124"/>
      <c r="MA1" s="124"/>
      <c r="MB1" s="124"/>
      <c r="MC1" s="124"/>
      <c r="MD1" s="124"/>
      <c r="ME1" s="124"/>
      <c r="MF1" s="124"/>
      <c r="MG1" s="124"/>
      <c r="MH1" s="124"/>
      <c r="MI1" s="124"/>
      <c r="MJ1" s="124"/>
      <c r="MK1" s="124"/>
      <c r="ML1" s="124"/>
      <c r="MM1" s="124"/>
      <c r="MN1" s="124"/>
      <c r="MO1" s="124"/>
      <c r="MP1" s="124"/>
      <c r="MQ1" s="124"/>
      <c r="MR1" s="124"/>
      <c r="MS1" s="124"/>
      <c r="MT1" s="124"/>
      <c r="MU1" s="124"/>
      <c r="MV1" s="124"/>
      <c r="MW1" s="124"/>
      <c r="MX1" s="124"/>
      <c r="MY1" s="124"/>
      <c r="MZ1" s="124"/>
      <c r="NA1" s="124"/>
      <c r="NB1" s="124"/>
      <c r="NC1" s="124"/>
      <c r="ND1" s="124"/>
      <c r="NE1" s="124"/>
      <c r="NF1" s="124"/>
      <c r="NG1" s="124"/>
      <c r="NH1" s="124"/>
      <c r="NI1" s="124"/>
      <c r="NJ1" s="124"/>
      <c r="NK1" s="124"/>
      <c r="NL1" s="124"/>
      <c r="NM1" s="124"/>
      <c r="NN1" s="124"/>
      <c r="NO1" s="124"/>
      <c r="NP1" s="124"/>
      <c r="NQ1" s="124"/>
      <c r="NR1" s="124"/>
      <c r="NS1" s="124"/>
      <c r="NT1" s="124"/>
      <c r="NU1" s="124"/>
      <c r="NV1" s="124"/>
      <c r="NW1" s="124"/>
      <c r="NX1" s="124"/>
      <c r="NY1" s="124"/>
      <c r="NZ1" s="124"/>
      <c r="OA1" s="124"/>
      <c r="OB1" s="124"/>
      <c r="OC1" s="124"/>
      <c r="OD1" s="124"/>
      <c r="OE1" s="124"/>
      <c r="OF1" s="124"/>
      <c r="OG1" s="124"/>
      <c r="OH1" s="124"/>
      <c r="OI1" s="124"/>
      <c r="OJ1" s="124"/>
      <c r="OK1" s="124"/>
      <c r="OL1" s="124"/>
      <c r="OM1" s="124"/>
      <c r="ON1" s="124"/>
      <c r="OO1" s="124"/>
      <c r="OP1" s="124"/>
      <c r="OQ1" s="124"/>
      <c r="OR1" s="124"/>
      <c r="OS1" s="124"/>
      <c r="OT1" s="124"/>
      <c r="OU1" s="124"/>
      <c r="OV1" s="124"/>
      <c r="OW1" s="124"/>
      <c r="OX1" s="124"/>
      <c r="OY1" s="124"/>
      <c r="OZ1" s="124"/>
      <c r="PA1" s="124"/>
      <c r="PB1" s="124"/>
      <c r="PC1" s="124"/>
      <c r="PD1" s="124"/>
      <c r="PE1" s="124"/>
      <c r="PF1" s="124"/>
      <c r="PG1" s="124"/>
      <c r="PH1" s="124"/>
      <c r="PI1" s="124"/>
      <c r="PJ1" s="124"/>
      <c r="PK1" s="124"/>
      <c r="PL1" s="124"/>
      <c r="PM1" s="124"/>
      <c r="PN1" s="124"/>
      <c r="PO1" s="124"/>
      <c r="PP1" s="124"/>
      <c r="PQ1" s="124"/>
      <c r="PR1" s="124"/>
      <c r="PS1" s="124"/>
      <c r="PT1" s="124"/>
      <c r="PU1" s="124"/>
      <c r="PV1" s="124"/>
      <c r="PW1" s="124"/>
      <c r="PX1" s="124"/>
      <c r="PY1" s="124"/>
      <c r="PZ1" s="124"/>
      <c r="QA1" s="124"/>
      <c r="QB1" s="124"/>
      <c r="QC1" s="124"/>
      <c r="QD1" s="124"/>
      <c r="QE1" s="124"/>
      <c r="QF1" s="124"/>
      <c r="QG1" s="124"/>
      <c r="QH1" s="124"/>
      <c r="QI1" s="124"/>
      <c r="QJ1" s="124"/>
      <c r="QK1" s="124"/>
      <c r="QL1" s="124"/>
      <c r="QM1" s="124"/>
      <c r="QN1" s="124"/>
      <c r="QO1" s="124"/>
      <c r="QP1" s="124"/>
      <c r="QQ1" s="124"/>
      <c r="QR1" s="124"/>
      <c r="QS1" s="124"/>
      <c r="QT1" s="124"/>
      <c r="QU1" s="124"/>
      <c r="QV1" s="124"/>
      <c r="QW1" s="124"/>
      <c r="QX1" s="124"/>
      <c r="QY1" s="124"/>
      <c r="QZ1" s="124"/>
      <c r="RA1" s="124"/>
      <c r="RB1" s="124"/>
      <c r="RC1" s="124"/>
      <c r="RD1" s="124"/>
      <c r="RE1" s="124"/>
      <c r="RF1" s="124"/>
      <c r="RG1" s="124"/>
      <c r="RH1" s="124"/>
      <c r="RI1" s="124"/>
      <c r="RJ1" s="124"/>
      <c r="RK1" s="124"/>
      <c r="RL1" s="124"/>
      <c r="RM1" s="124"/>
      <c r="RN1" s="124"/>
      <c r="RO1" s="124"/>
      <c r="RP1" s="124"/>
      <c r="RQ1" s="124"/>
      <c r="RR1" s="124"/>
      <c r="RS1" s="124"/>
      <c r="RT1" s="124"/>
      <c r="RU1" s="124"/>
      <c r="RV1" s="124"/>
      <c r="RW1" s="124"/>
      <c r="RX1" s="124"/>
      <c r="RY1" s="124"/>
      <c r="RZ1" s="124"/>
      <c r="SA1" s="124"/>
      <c r="SB1" s="124"/>
      <c r="SC1" s="124"/>
      <c r="SD1" s="124"/>
      <c r="SE1" s="124"/>
      <c r="SF1" s="124"/>
      <c r="SG1" s="124"/>
      <c r="SH1" s="124"/>
      <c r="SI1" s="124"/>
      <c r="SJ1" s="124"/>
      <c r="SK1" s="124"/>
      <c r="SL1" s="124"/>
      <c r="SM1" s="124"/>
      <c r="SN1" s="124"/>
      <c r="SO1" s="124"/>
      <c r="SP1" s="124"/>
      <c r="SQ1" s="124"/>
      <c r="SR1" s="124"/>
      <c r="SS1" s="124"/>
      <c r="ST1" s="124"/>
      <c r="SU1" s="124"/>
      <c r="SV1" s="124"/>
      <c r="SW1" s="124"/>
      <c r="SX1" s="124"/>
      <c r="SY1" s="124"/>
      <c r="SZ1" s="124"/>
      <c r="TA1" s="124"/>
      <c r="TB1" s="124"/>
      <c r="TC1" s="124"/>
      <c r="TD1" s="124"/>
      <c r="TE1" s="124"/>
      <c r="TF1" s="124"/>
      <c r="TG1" s="124"/>
      <c r="TH1" s="124"/>
      <c r="TI1" s="124"/>
      <c r="TJ1" s="124"/>
      <c r="TK1" s="124"/>
      <c r="TL1" s="124"/>
      <c r="TM1" s="124"/>
      <c r="TN1" s="124"/>
      <c r="TO1" s="124"/>
      <c r="TP1" s="124"/>
      <c r="TQ1" s="124"/>
      <c r="TR1" s="124"/>
      <c r="TS1" s="124"/>
      <c r="TT1" s="124"/>
      <c r="TU1" s="124"/>
      <c r="TV1" s="124"/>
      <c r="TW1" s="124"/>
      <c r="TX1" s="124"/>
      <c r="TY1" s="124"/>
      <c r="TZ1" s="124"/>
      <c r="UA1" s="124"/>
      <c r="UB1" s="124"/>
      <c r="UC1" s="124"/>
      <c r="UD1" s="124"/>
      <c r="UE1" s="124"/>
      <c r="UF1" s="124"/>
      <c r="UG1" s="124"/>
      <c r="UH1" s="124"/>
      <c r="UI1" s="124"/>
      <c r="UJ1" s="124"/>
      <c r="UK1" s="124"/>
      <c r="UL1" s="124"/>
      <c r="UM1" s="124"/>
      <c r="UN1" s="124"/>
      <c r="UO1" s="124"/>
      <c r="UP1" s="124"/>
      <c r="UQ1" s="124"/>
      <c r="UR1" s="124"/>
      <c r="US1" s="124"/>
      <c r="UT1" s="124"/>
      <c r="UU1" s="124"/>
      <c r="UV1" s="124"/>
      <c r="UW1" s="124"/>
      <c r="UX1" s="124"/>
      <c r="UY1" s="124"/>
      <c r="UZ1" s="124"/>
      <c r="VA1" s="124"/>
      <c r="VB1" s="124"/>
      <c r="VC1" s="124"/>
      <c r="VD1" s="124"/>
      <c r="VE1" s="124"/>
      <c r="VF1" s="124"/>
      <c r="VG1" s="124"/>
      <c r="VH1" s="124"/>
      <c r="VI1" s="124"/>
      <c r="VJ1" s="124"/>
      <c r="VK1" s="124"/>
      <c r="VL1" s="124"/>
      <c r="VM1" s="124"/>
      <c r="VN1" s="124"/>
      <c r="VO1" s="124"/>
      <c r="VP1" s="124"/>
      <c r="VQ1" s="124"/>
      <c r="VR1" s="124"/>
      <c r="VS1" s="124"/>
      <c r="VT1" s="124"/>
      <c r="VU1" s="124"/>
      <c r="VV1" s="124"/>
      <c r="VW1" s="124"/>
      <c r="VX1" s="124"/>
      <c r="VY1" s="124"/>
      <c r="VZ1" s="124"/>
      <c r="WA1" s="124"/>
      <c r="WB1" s="124"/>
      <c r="WC1" s="124"/>
      <c r="WD1" s="124"/>
      <c r="WE1" s="124"/>
      <c r="WF1" s="124"/>
      <c r="WG1" s="124"/>
      <c r="WH1" s="124"/>
      <c r="WI1" s="124"/>
      <c r="WJ1" s="124"/>
      <c r="WK1" s="124"/>
      <c r="WL1" s="124"/>
      <c r="WM1" s="124"/>
      <c r="WN1" s="124"/>
      <c r="WO1" s="124"/>
      <c r="WP1" s="124"/>
      <c r="WQ1" s="124"/>
      <c r="WR1" s="124"/>
      <c r="WS1" s="124"/>
      <c r="WT1" s="124"/>
      <c r="WU1" s="124"/>
      <c r="WV1" s="124"/>
      <c r="WW1" s="124"/>
      <c r="WX1" s="124"/>
      <c r="WY1" s="124"/>
      <c r="WZ1" s="124"/>
      <c r="XA1" s="124"/>
      <c r="XB1" s="124"/>
      <c r="XC1" s="124"/>
      <c r="XD1" s="124"/>
      <c r="XE1" s="124"/>
      <c r="XF1" s="124"/>
      <c r="XG1" s="124"/>
      <c r="XH1" s="124"/>
      <c r="XI1" s="124"/>
      <c r="XJ1" s="124"/>
      <c r="XK1" s="124"/>
      <c r="XL1" s="124"/>
      <c r="XM1" s="124"/>
      <c r="XN1" s="124"/>
      <c r="XO1" s="124"/>
      <c r="XP1" s="124"/>
      <c r="XQ1" s="124"/>
      <c r="XR1" s="124"/>
      <c r="XS1" s="124"/>
      <c r="XT1" s="124"/>
      <c r="XU1" s="124"/>
      <c r="XV1" s="124"/>
      <c r="XW1" s="124"/>
      <c r="XX1" s="124"/>
      <c r="XY1" s="124"/>
      <c r="XZ1" s="124"/>
      <c r="YA1" s="124"/>
      <c r="YB1" s="124"/>
      <c r="YC1" s="124"/>
      <c r="YD1" s="124"/>
      <c r="YE1" s="124"/>
      <c r="YF1" s="124"/>
      <c r="YG1" s="124"/>
      <c r="YH1" s="124"/>
      <c r="YI1" s="124"/>
      <c r="YJ1" s="124"/>
      <c r="YK1" s="124"/>
      <c r="YL1" s="124"/>
      <c r="YM1" s="124"/>
      <c r="YN1" s="124"/>
      <c r="YO1" s="124"/>
      <c r="YP1" s="124"/>
      <c r="YQ1" s="124"/>
      <c r="YR1" s="124"/>
      <c r="YS1" s="124"/>
      <c r="YT1" s="124"/>
      <c r="YU1" s="124"/>
      <c r="YV1" s="124"/>
      <c r="YW1" s="124"/>
      <c r="YX1" s="124"/>
      <c r="YY1" s="124"/>
      <c r="YZ1" s="124"/>
      <c r="ZA1" s="124"/>
      <c r="ZB1" s="124"/>
      <c r="ZC1" s="124"/>
      <c r="ZD1" s="124"/>
      <c r="ZE1" s="124"/>
      <c r="ZF1" s="124"/>
      <c r="ZG1" s="124"/>
      <c r="ZH1" s="124"/>
      <c r="ZI1" s="124"/>
      <c r="ZJ1" s="124"/>
      <c r="ZK1" s="124"/>
      <c r="ZL1" s="124"/>
      <c r="ZM1" s="124"/>
      <c r="ZN1" s="124"/>
      <c r="ZO1" s="124"/>
      <c r="ZP1" s="124"/>
      <c r="ZQ1" s="124"/>
      <c r="ZR1" s="124"/>
      <c r="ZS1" s="124"/>
      <c r="ZT1" s="124"/>
      <c r="ZU1" s="124"/>
      <c r="ZV1" s="124"/>
      <c r="ZW1" s="124"/>
      <c r="ZX1" s="124"/>
      <c r="ZY1" s="124"/>
      <c r="ZZ1" s="124"/>
      <c r="AAA1" s="124"/>
      <c r="AAB1" s="124"/>
      <c r="AAC1" s="124"/>
      <c r="AAD1" s="124"/>
      <c r="AAE1" s="124"/>
      <c r="AAF1" s="124"/>
      <c r="AAG1" s="124"/>
      <c r="AAH1" s="124"/>
      <c r="AAI1" s="124"/>
      <c r="AAJ1" s="124"/>
      <c r="AAK1" s="124"/>
      <c r="AAL1" s="124"/>
      <c r="AAM1" s="124"/>
      <c r="AAN1" s="124"/>
      <c r="AAO1" s="124"/>
      <c r="AAP1" s="124"/>
      <c r="AAQ1" s="124"/>
      <c r="AAR1" s="124"/>
      <c r="AAS1" s="124"/>
      <c r="AAT1" s="124"/>
      <c r="AAU1" s="124"/>
      <c r="AAV1" s="124"/>
      <c r="AAW1" s="124"/>
      <c r="AAX1" s="124"/>
      <c r="AAY1" s="124"/>
      <c r="AAZ1" s="124"/>
      <c r="ABA1" s="124"/>
      <c r="ABB1" s="124"/>
      <c r="ABC1" s="124"/>
      <c r="ABD1" s="124"/>
      <c r="ABE1" s="124"/>
      <c r="ABF1" s="124"/>
      <c r="ABG1" s="124"/>
      <c r="ABH1" s="124"/>
      <c r="ABI1" s="124"/>
      <c r="ABJ1" s="124"/>
      <c r="ABK1" s="124"/>
      <c r="ABL1" s="124"/>
      <c r="ABM1" s="124"/>
      <c r="ABN1" s="124"/>
      <c r="ABO1" s="124"/>
      <c r="ABP1" s="124"/>
      <c r="ABQ1" s="124"/>
      <c r="ABR1" s="124"/>
      <c r="ABS1" s="124"/>
      <c r="ABT1" s="124"/>
      <c r="ABU1" s="124"/>
      <c r="ABV1" s="124"/>
      <c r="ABW1" s="124"/>
      <c r="ABX1" s="124"/>
      <c r="ABY1" s="124"/>
      <c r="ABZ1" s="124"/>
      <c r="ACA1" s="124"/>
      <c r="ACB1" s="124"/>
      <c r="ACC1" s="124"/>
      <c r="ACD1" s="124"/>
      <c r="ACE1" s="124"/>
      <c r="ACF1" s="124"/>
      <c r="ACG1" s="124"/>
      <c r="ACH1" s="124"/>
      <c r="ACI1" s="124"/>
      <c r="ACJ1" s="124"/>
      <c r="ACK1" s="124"/>
      <c r="ACL1" s="124"/>
      <c r="ACM1" s="124"/>
      <c r="ACN1" s="124"/>
      <c r="ACO1" s="124"/>
      <c r="ACP1" s="124"/>
      <c r="ACQ1" s="124"/>
      <c r="ACR1" s="124"/>
      <c r="ACS1" s="124"/>
      <c r="ACT1" s="124"/>
      <c r="ACU1" s="124"/>
      <c r="ACV1" s="124"/>
      <c r="ACW1" s="124"/>
      <c r="ACX1" s="124"/>
      <c r="ACY1" s="124"/>
      <c r="ACZ1" s="124"/>
      <c r="ADA1" s="124"/>
      <c r="ADB1" s="124"/>
      <c r="ADC1" s="124"/>
      <c r="ADD1" s="124"/>
      <c r="ADE1" s="124"/>
      <c r="ADF1" s="124"/>
      <c r="ADG1" s="124"/>
      <c r="ADH1" s="124"/>
      <c r="ADI1" s="124"/>
      <c r="ADJ1" s="124"/>
      <c r="ADK1" s="124"/>
      <c r="ADL1" s="124"/>
      <c r="ADM1" s="124"/>
      <c r="ADN1" s="124"/>
      <c r="ADO1" s="124"/>
      <c r="ADP1" s="124"/>
      <c r="ADQ1" s="124"/>
      <c r="ADR1" s="124"/>
      <c r="ADS1" s="124"/>
      <c r="ADT1" s="124"/>
      <c r="ADU1" s="124"/>
      <c r="ADV1" s="124"/>
      <c r="ADW1" s="124"/>
      <c r="ADX1" s="124"/>
      <c r="ADY1" s="124"/>
      <c r="ADZ1" s="124"/>
      <c r="AEA1" s="124"/>
      <c r="AEB1" s="124"/>
      <c r="AEC1" s="124"/>
      <c r="AED1" s="124"/>
      <c r="AEE1" s="124"/>
      <c r="AEF1" s="124"/>
      <c r="AEG1" s="124"/>
      <c r="AEH1" s="124"/>
      <c r="AEI1" s="124"/>
      <c r="AEJ1" s="124"/>
      <c r="AEK1" s="124"/>
      <c r="AEL1" s="124"/>
      <c r="AEM1" s="124"/>
      <c r="AEN1" s="124"/>
      <c r="AEO1" s="124"/>
      <c r="AEP1" s="124"/>
      <c r="AEQ1" s="124"/>
      <c r="AER1" s="124"/>
      <c r="AES1" s="124"/>
      <c r="AET1" s="124"/>
      <c r="AEU1" s="124"/>
      <c r="AEV1" s="124"/>
      <c r="AEW1" s="124"/>
      <c r="AEX1" s="124"/>
      <c r="AEY1" s="124"/>
      <c r="AEZ1" s="124"/>
      <c r="AFA1" s="124"/>
      <c r="AFB1" s="124"/>
      <c r="AFC1" s="124"/>
      <c r="AFD1" s="124"/>
      <c r="AFE1" s="124"/>
      <c r="AFF1" s="124"/>
      <c r="AFG1" s="124"/>
      <c r="AFH1" s="124"/>
      <c r="AFI1" s="124"/>
      <c r="AFJ1" s="124"/>
      <c r="AFK1" s="124"/>
      <c r="AFL1" s="124"/>
      <c r="AFM1" s="124"/>
      <c r="AFN1" s="124"/>
      <c r="AFO1" s="124"/>
      <c r="AFP1" s="124"/>
      <c r="AFQ1" s="124"/>
      <c r="AFR1" s="124"/>
      <c r="AFS1" s="124"/>
      <c r="AFT1" s="124"/>
      <c r="AFU1" s="124"/>
      <c r="AFV1" s="124"/>
      <c r="AFW1" s="124"/>
      <c r="AFX1" s="124"/>
      <c r="AFY1" s="124"/>
      <c r="AFZ1" s="124"/>
      <c r="AGA1" s="124"/>
      <c r="AGB1" s="124"/>
      <c r="AGC1" s="124"/>
      <c r="AGD1" s="124"/>
      <c r="AGE1" s="124"/>
      <c r="AGF1" s="124"/>
      <c r="AGG1" s="124"/>
      <c r="AGH1" s="124"/>
      <c r="AGI1" s="124"/>
      <c r="AGJ1" s="124"/>
      <c r="AGK1" s="124"/>
      <c r="AGL1" s="124"/>
      <c r="AGM1" s="124"/>
      <c r="AGN1" s="124"/>
      <c r="AGO1" s="124"/>
      <c r="AGP1" s="124"/>
      <c r="AGQ1" s="124"/>
      <c r="AGR1" s="124"/>
      <c r="AGS1" s="124"/>
      <c r="AGT1" s="124"/>
      <c r="AGU1" s="124"/>
      <c r="AGV1" s="124"/>
      <c r="AGW1" s="124"/>
      <c r="AGX1" s="124"/>
      <c r="AGY1" s="124"/>
      <c r="AGZ1" s="124"/>
      <c r="AHA1" s="124"/>
      <c r="AHB1" s="124"/>
      <c r="AHC1" s="124"/>
      <c r="AHD1" s="124"/>
      <c r="AHE1" s="124"/>
      <c r="AHF1" s="124"/>
      <c r="AHG1" s="124"/>
      <c r="AHH1" s="124"/>
      <c r="AHI1" s="124"/>
      <c r="AHJ1" s="124"/>
      <c r="AHK1" s="124"/>
      <c r="AHL1" s="124"/>
      <c r="AHM1" s="124"/>
      <c r="AHN1" s="124"/>
      <c r="AHO1" s="124"/>
      <c r="AHP1" s="124"/>
      <c r="AHQ1" s="124"/>
      <c r="AHR1" s="124"/>
      <c r="AHS1" s="124"/>
      <c r="AHT1" s="124"/>
      <c r="AHU1" s="124"/>
      <c r="AHV1" s="124"/>
      <c r="AHW1" s="124"/>
      <c r="AHX1" s="124"/>
      <c r="AHY1" s="124"/>
      <c r="AHZ1" s="124"/>
      <c r="AIA1" s="124"/>
      <c r="AIB1" s="124"/>
      <c r="AIC1" s="124"/>
      <c r="AID1" s="124"/>
      <c r="AIE1" s="124"/>
      <c r="AIF1" s="124"/>
      <c r="AIG1" s="124"/>
      <c r="AIH1" s="124"/>
      <c r="AII1" s="124"/>
      <c r="AIJ1" s="124"/>
      <c r="AIK1" s="124"/>
      <c r="AIL1" s="124"/>
      <c r="AIM1" s="124"/>
      <c r="AIN1" s="124"/>
      <c r="AIO1" s="124"/>
      <c r="AIP1" s="124"/>
      <c r="AIQ1" s="124"/>
      <c r="AIR1" s="124"/>
      <c r="AIS1" s="124"/>
      <c r="AIT1" s="124"/>
      <c r="AIU1" s="124"/>
      <c r="AIV1" s="124"/>
      <c r="AIW1" s="124"/>
      <c r="AIX1" s="124"/>
      <c r="AIY1" s="124"/>
      <c r="AIZ1" s="124"/>
      <c r="AJA1" s="124"/>
      <c r="AJB1" s="124"/>
      <c r="AJC1" s="124"/>
      <c r="AJD1" s="124"/>
      <c r="AJE1" s="124"/>
      <c r="AJF1" s="124"/>
      <c r="AJG1" s="124"/>
      <c r="AJH1" s="124"/>
      <c r="AJI1" s="124"/>
      <c r="AJJ1" s="124"/>
      <c r="AJK1" s="124"/>
      <c r="AJL1" s="124"/>
      <c r="AJM1" s="124"/>
      <c r="AJN1" s="124"/>
      <c r="AJO1" s="124"/>
      <c r="AJP1" s="124"/>
      <c r="AJQ1" s="124"/>
      <c r="AJR1" s="124"/>
      <c r="AJS1" s="124"/>
      <c r="AJT1" s="124"/>
      <c r="AJU1" s="124"/>
      <c r="AJV1" s="124"/>
      <c r="AJW1" s="124"/>
      <c r="AJX1" s="124"/>
      <c r="AJY1" s="124"/>
      <c r="AJZ1" s="124"/>
      <c r="AKA1" s="124"/>
      <c r="AKB1" s="124"/>
      <c r="AKC1" s="124"/>
      <c r="AKD1" s="124"/>
      <c r="AKE1" s="124"/>
      <c r="AKF1" s="124"/>
      <c r="AKG1" s="124"/>
      <c r="AKH1" s="124"/>
      <c r="AKI1" s="124"/>
      <c r="AKJ1" s="124"/>
      <c r="AKK1" s="124"/>
      <c r="AKL1" s="124"/>
      <c r="AKM1" s="124"/>
      <c r="AKN1" s="124"/>
      <c r="AKO1" s="124"/>
      <c r="AKP1" s="124"/>
      <c r="AKQ1" s="124"/>
      <c r="AKR1" s="124"/>
      <c r="AKS1" s="124"/>
      <c r="AKT1" s="124"/>
      <c r="AKU1" s="124"/>
      <c r="AKV1" s="124"/>
      <c r="AKW1" s="124"/>
      <c r="AKX1" s="124"/>
      <c r="AKY1" s="124"/>
      <c r="AKZ1" s="124"/>
      <c r="ALA1" s="124"/>
      <c r="ALB1" s="124"/>
      <c r="ALC1" s="124"/>
      <c r="ALD1" s="124"/>
      <c r="ALE1" s="124"/>
      <c r="ALF1" s="124"/>
      <c r="ALG1" s="124"/>
      <c r="ALH1" s="124"/>
      <c r="ALI1" s="124"/>
      <c r="ALJ1" s="124"/>
      <c r="ALK1" s="124"/>
      <c r="ALL1" s="124"/>
      <c r="ALM1" s="124"/>
      <c r="ALN1" s="124"/>
      <c r="ALO1" s="124"/>
      <c r="ALP1" s="124"/>
      <c r="ALQ1" s="124"/>
      <c r="ALR1" s="124"/>
      <c r="ALS1" s="124"/>
      <c r="ALT1" s="124"/>
      <c r="ALU1" s="124"/>
      <c r="ALV1" s="124"/>
      <c r="ALW1" s="124"/>
      <c r="ALX1" s="124"/>
      <c r="ALY1" s="124"/>
      <c r="ALZ1" s="124"/>
      <c r="AMA1" s="124"/>
      <c r="AMB1" s="124"/>
      <c r="AMC1" s="124"/>
      <c r="AMD1" s="124"/>
      <c r="AME1" s="124"/>
      <c r="AMF1" s="124"/>
      <c r="AMG1" s="124"/>
      <c r="AMH1" s="124"/>
      <c r="AMI1" s="124"/>
      <c r="AMJ1" s="124"/>
      <c r="AMK1" s="124"/>
      <c r="AML1" s="124"/>
      <c r="AMM1" s="124"/>
      <c r="AMN1" s="124"/>
      <c r="AMO1" s="124"/>
      <c r="AMP1" s="124"/>
      <c r="AMQ1" s="124"/>
      <c r="AMR1" s="124"/>
      <c r="AMS1" s="124"/>
      <c r="AMT1" s="124"/>
      <c r="AMU1" s="124"/>
      <c r="AMV1" s="124"/>
      <c r="AMW1" s="124"/>
      <c r="AMX1" s="124"/>
      <c r="AMY1" s="124"/>
      <c r="AMZ1" s="124"/>
      <c r="ANA1" s="124"/>
      <c r="ANB1" s="124"/>
      <c r="ANC1" s="124"/>
      <c r="AND1" s="124"/>
      <c r="ANE1" s="124"/>
      <c r="ANF1" s="124"/>
      <c r="ANG1" s="124"/>
      <c r="ANH1" s="124"/>
      <c r="ANI1" s="124"/>
      <c r="ANJ1" s="124"/>
      <c r="ANK1" s="124"/>
      <c r="ANL1" s="124"/>
      <c r="ANM1" s="124"/>
      <c r="ANN1" s="124"/>
      <c r="ANO1" s="124"/>
      <c r="ANP1" s="124"/>
      <c r="ANQ1" s="124"/>
      <c r="ANR1" s="124"/>
      <c r="ANS1" s="124"/>
      <c r="ANT1" s="124"/>
      <c r="ANU1" s="124"/>
      <c r="ANV1" s="124"/>
      <c r="ANW1" s="124"/>
      <c r="ANX1" s="124"/>
      <c r="ANY1" s="124"/>
      <c r="ANZ1" s="124"/>
      <c r="AOA1" s="124"/>
      <c r="AOB1" s="124"/>
      <c r="AOC1" s="124"/>
      <c r="AOD1" s="124"/>
      <c r="AOE1" s="124"/>
      <c r="AOF1" s="124"/>
      <c r="AOG1" s="124"/>
      <c r="AOH1" s="124"/>
      <c r="AOI1" s="124"/>
      <c r="AOJ1" s="124"/>
      <c r="AOK1" s="124"/>
      <c r="AOL1" s="124"/>
      <c r="AOM1" s="124"/>
      <c r="AON1" s="124"/>
      <c r="AOO1" s="124"/>
      <c r="AOP1" s="124"/>
      <c r="AOQ1" s="124"/>
      <c r="AOR1" s="124"/>
      <c r="AOS1" s="124"/>
      <c r="AOT1" s="124"/>
      <c r="AOU1" s="124"/>
      <c r="AOV1" s="124"/>
      <c r="AOW1" s="124"/>
      <c r="AOX1" s="124"/>
      <c r="AOY1" s="124"/>
      <c r="AOZ1" s="124"/>
      <c r="APA1" s="124"/>
      <c r="APB1" s="124"/>
      <c r="APC1" s="124"/>
      <c r="APD1" s="124"/>
      <c r="APE1" s="124"/>
      <c r="APF1" s="124"/>
      <c r="APG1" s="124"/>
      <c r="APH1" s="124"/>
      <c r="API1" s="124"/>
      <c r="APJ1" s="124"/>
      <c r="APK1" s="124"/>
      <c r="APL1" s="124"/>
      <c r="APM1" s="124"/>
      <c r="APN1" s="124"/>
      <c r="APO1" s="124"/>
      <c r="APP1" s="124"/>
      <c r="APQ1" s="124"/>
      <c r="APR1" s="124"/>
      <c r="APS1" s="124"/>
      <c r="APT1" s="124"/>
      <c r="APU1" s="124"/>
      <c r="APV1" s="124"/>
      <c r="APW1" s="124"/>
      <c r="APX1" s="124"/>
      <c r="APY1" s="124"/>
      <c r="APZ1" s="124"/>
      <c r="AQA1" s="124"/>
      <c r="AQB1" s="124"/>
      <c r="AQC1" s="124"/>
      <c r="AQD1" s="124"/>
      <c r="AQE1" s="124"/>
      <c r="AQF1" s="124"/>
      <c r="AQG1" s="124"/>
      <c r="AQH1" s="124"/>
      <c r="AQI1" s="124"/>
      <c r="AQJ1" s="124"/>
      <c r="AQK1" s="124"/>
      <c r="AQL1" s="124"/>
      <c r="AQM1" s="124"/>
      <c r="AQN1" s="124"/>
      <c r="AQO1" s="124"/>
      <c r="AQP1" s="124"/>
      <c r="AQQ1" s="124"/>
      <c r="AQR1" s="124"/>
      <c r="AQS1" s="124"/>
      <c r="AQT1" s="124"/>
      <c r="AQU1" s="124"/>
      <c r="AQV1" s="124"/>
      <c r="AQW1" s="124"/>
      <c r="AQX1" s="124"/>
      <c r="AQY1" s="124"/>
      <c r="AQZ1" s="124"/>
      <c r="ARA1" s="124"/>
      <c r="ARB1" s="124"/>
      <c r="ARC1" s="124"/>
      <c r="ARD1" s="124"/>
      <c r="ARE1" s="124"/>
      <c r="ARF1" s="124"/>
      <c r="ARG1" s="124"/>
      <c r="ARH1" s="124"/>
      <c r="ARI1" s="124"/>
      <c r="ARJ1" s="124"/>
      <c r="ARK1" s="124"/>
      <c r="ARL1" s="124"/>
      <c r="ARM1" s="124"/>
      <c r="ARN1" s="124"/>
      <c r="ARO1" s="124"/>
      <c r="ARP1" s="124"/>
      <c r="ARQ1" s="124"/>
      <c r="ARR1" s="124"/>
      <c r="ARS1" s="124"/>
      <c r="ART1" s="124"/>
      <c r="ARU1" s="124"/>
      <c r="ARV1" s="124"/>
      <c r="ARW1" s="124"/>
      <c r="ARX1" s="124"/>
      <c r="ARY1" s="124"/>
      <c r="ARZ1" s="124"/>
      <c r="ASA1" s="124"/>
      <c r="ASB1" s="124"/>
      <c r="ASC1" s="124"/>
      <c r="ASD1" s="124"/>
      <c r="ASE1" s="124"/>
      <c r="ASF1" s="124"/>
      <c r="ASG1" s="124"/>
      <c r="ASH1" s="124"/>
      <c r="ASI1" s="124"/>
      <c r="ASJ1" s="124"/>
      <c r="ASK1" s="124"/>
      <c r="ASL1" s="124"/>
      <c r="ASM1" s="124"/>
      <c r="ASN1" s="124"/>
      <c r="ASO1" s="124"/>
      <c r="ASP1" s="124"/>
      <c r="ASQ1" s="124"/>
      <c r="ASR1" s="124"/>
      <c r="ASS1" s="124"/>
      <c r="AST1" s="124"/>
      <c r="ASU1" s="124"/>
      <c r="ASV1" s="124"/>
      <c r="ASW1" s="124"/>
      <c r="ASX1" s="124"/>
      <c r="ASY1" s="124"/>
      <c r="ASZ1" s="124"/>
      <c r="ATA1" s="124"/>
      <c r="ATB1" s="124"/>
      <c r="ATC1" s="124"/>
      <c r="ATD1" s="124"/>
      <c r="ATE1" s="124"/>
      <c r="ATF1" s="124"/>
      <c r="ATG1" s="124"/>
      <c r="ATH1" s="124"/>
      <c r="ATI1" s="124"/>
      <c r="ATJ1" s="124"/>
      <c r="ATK1" s="124"/>
      <c r="ATL1" s="124"/>
      <c r="ATM1" s="124"/>
      <c r="ATN1" s="124"/>
      <c r="ATO1" s="124"/>
      <c r="ATP1" s="124"/>
      <c r="ATQ1" s="124"/>
      <c r="ATR1" s="124"/>
      <c r="ATS1" s="124"/>
      <c r="ATT1" s="124"/>
      <c r="ATU1" s="124"/>
      <c r="ATV1" s="124"/>
      <c r="ATW1" s="124"/>
      <c r="ATX1" s="124"/>
      <c r="ATY1" s="124"/>
      <c r="ATZ1" s="124"/>
      <c r="AUA1" s="124"/>
      <c r="AUB1" s="124"/>
      <c r="AUC1" s="124"/>
      <c r="AUD1" s="124"/>
      <c r="AUE1" s="124"/>
      <c r="AUF1" s="124"/>
      <c r="AUG1" s="124"/>
      <c r="AUH1" s="124"/>
      <c r="AUI1" s="124"/>
      <c r="AUJ1" s="124"/>
      <c r="AUK1" s="124"/>
      <c r="AUL1" s="124"/>
      <c r="AUM1" s="124"/>
      <c r="AUN1" s="124"/>
      <c r="AUO1" s="124"/>
      <c r="AUP1" s="124"/>
      <c r="AUQ1" s="124"/>
      <c r="AUR1" s="124"/>
      <c r="AUS1" s="124"/>
      <c r="AUT1" s="124"/>
      <c r="AUU1" s="124"/>
      <c r="AUV1" s="124"/>
      <c r="AUW1" s="124"/>
      <c r="AUX1" s="124"/>
      <c r="AUY1" s="124"/>
      <c r="AUZ1" s="124"/>
      <c r="AVA1" s="124"/>
      <c r="AVB1" s="124"/>
      <c r="AVC1" s="124"/>
      <c r="AVD1" s="124"/>
      <c r="AVE1" s="124"/>
      <c r="AVF1" s="124"/>
      <c r="AVG1" s="124"/>
      <c r="AVH1" s="124"/>
      <c r="AVI1" s="124"/>
      <c r="AVJ1" s="124"/>
      <c r="AVK1" s="124"/>
      <c r="AVL1" s="124"/>
      <c r="AVM1" s="124"/>
      <c r="AVN1" s="124"/>
      <c r="AVO1" s="124"/>
      <c r="AVP1" s="124"/>
      <c r="AVQ1" s="124"/>
      <c r="AVR1" s="124"/>
      <c r="AVS1" s="124"/>
      <c r="AVT1" s="124"/>
      <c r="AVU1" s="124"/>
      <c r="AVV1" s="124"/>
      <c r="AVW1" s="124"/>
      <c r="AVX1" s="124"/>
      <c r="AVY1" s="124"/>
      <c r="AVZ1" s="124"/>
      <c r="AWA1" s="124"/>
      <c r="AWB1" s="124"/>
      <c r="AWC1" s="124"/>
      <c r="AWD1" s="124"/>
      <c r="AWE1" s="124"/>
      <c r="AWF1" s="124"/>
      <c r="AWG1" s="124"/>
      <c r="AWH1" s="124"/>
      <c r="AWI1" s="124"/>
      <c r="AWJ1" s="124"/>
      <c r="AWK1" s="124"/>
      <c r="AWL1" s="124"/>
      <c r="AWM1" s="124"/>
      <c r="AWN1" s="124"/>
      <c r="AWO1" s="124"/>
      <c r="AWP1" s="124"/>
      <c r="AWQ1" s="124"/>
      <c r="AWR1" s="124"/>
      <c r="AWS1" s="124"/>
      <c r="AWT1" s="124"/>
      <c r="AWU1" s="124"/>
      <c r="AWV1" s="124"/>
      <c r="AWW1" s="124"/>
      <c r="AWX1" s="124"/>
      <c r="AWY1" s="124"/>
      <c r="AWZ1" s="124"/>
      <c r="AXA1" s="124"/>
      <c r="AXB1" s="124"/>
      <c r="AXC1" s="124"/>
      <c r="AXD1" s="124"/>
      <c r="AXE1" s="124"/>
      <c r="AXF1" s="124"/>
      <c r="AXG1" s="124"/>
      <c r="AXH1" s="124"/>
      <c r="AXI1" s="124"/>
      <c r="AXJ1" s="124"/>
      <c r="AXK1" s="124"/>
      <c r="AXL1" s="124"/>
      <c r="AXM1" s="124"/>
      <c r="AXN1" s="124"/>
      <c r="AXO1" s="124"/>
      <c r="AXP1" s="124"/>
      <c r="AXQ1" s="124"/>
      <c r="AXR1" s="124"/>
      <c r="AXS1" s="124"/>
      <c r="AXT1" s="124"/>
      <c r="AXU1" s="124"/>
      <c r="AXV1" s="124"/>
      <c r="AXW1" s="124"/>
      <c r="AXX1" s="124"/>
      <c r="AXY1" s="124"/>
      <c r="AXZ1" s="124"/>
      <c r="AYA1" s="124"/>
      <c r="AYB1" s="124"/>
      <c r="AYC1" s="124"/>
      <c r="AYD1" s="124"/>
      <c r="AYE1" s="124"/>
      <c r="AYF1" s="124"/>
      <c r="AYG1" s="124"/>
      <c r="AYH1" s="124"/>
      <c r="AYI1" s="124"/>
      <c r="AYJ1" s="124"/>
      <c r="AYK1" s="124"/>
      <c r="AYL1" s="124"/>
      <c r="AYM1" s="124"/>
      <c r="AYN1" s="124"/>
      <c r="AYO1" s="124"/>
      <c r="AYP1" s="124"/>
      <c r="AYQ1" s="124"/>
      <c r="AYR1" s="124"/>
      <c r="AYS1" s="124"/>
      <c r="AYT1" s="124"/>
      <c r="AYU1" s="124"/>
      <c r="AYV1" s="124"/>
      <c r="AYW1" s="124"/>
      <c r="AYX1" s="124"/>
      <c r="AYY1" s="124"/>
      <c r="AYZ1" s="124"/>
      <c r="AZA1" s="124"/>
      <c r="AZB1" s="124"/>
      <c r="AZC1" s="124"/>
      <c r="AZD1" s="124"/>
      <c r="AZE1" s="124"/>
      <c r="AZF1" s="124"/>
      <c r="AZG1" s="124"/>
      <c r="AZH1" s="124"/>
      <c r="AZI1" s="124"/>
      <c r="AZJ1" s="124"/>
      <c r="AZK1" s="124"/>
      <c r="AZL1" s="124"/>
      <c r="AZM1" s="124"/>
      <c r="AZN1" s="124"/>
      <c r="AZO1" s="124"/>
      <c r="AZP1" s="124"/>
      <c r="AZQ1" s="124"/>
      <c r="AZR1" s="124"/>
      <c r="AZS1" s="124"/>
      <c r="AZT1" s="124"/>
      <c r="AZU1" s="124"/>
      <c r="AZV1" s="124"/>
      <c r="AZW1" s="124"/>
      <c r="AZX1" s="124"/>
      <c r="AZY1" s="124"/>
      <c r="AZZ1" s="124"/>
      <c r="BAA1" s="124"/>
      <c r="BAB1" s="124"/>
      <c r="BAC1" s="124"/>
      <c r="BAD1" s="124"/>
      <c r="BAE1" s="124"/>
      <c r="BAF1" s="124"/>
      <c r="BAG1" s="124"/>
      <c r="BAH1" s="124"/>
      <c r="BAI1" s="124"/>
      <c r="BAJ1" s="124"/>
      <c r="BAK1" s="124"/>
      <c r="BAL1" s="124"/>
      <c r="BAM1" s="124"/>
      <c r="BAN1" s="124"/>
      <c r="BAO1" s="124"/>
      <c r="BAP1" s="124"/>
      <c r="BAQ1" s="124"/>
      <c r="BAR1" s="124"/>
      <c r="BAS1" s="124"/>
      <c r="BAT1" s="124"/>
      <c r="BAU1" s="124"/>
      <c r="BAV1" s="124"/>
      <c r="BAW1" s="124"/>
      <c r="BAX1" s="124"/>
      <c r="BAY1" s="124"/>
      <c r="BAZ1" s="124"/>
      <c r="BBA1" s="124"/>
      <c r="BBB1" s="124"/>
      <c r="BBC1" s="124"/>
      <c r="BBD1" s="124"/>
      <c r="BBE1" s="124"/>
      <c r="BBF1" s="124"/>
      <c r="BBG1" s="124"/>
      <c r="BBH1" s="124"/>
      <c r="BBI1" s="124"/>
      <c r="BBJ1" s="124"/>
      <c r="BBK1" s="124"/>
      <c r="BBL1" s="124"/>
      <c r="BBM1" s="124"/>
      <c r="BBN1" s="124"/>
      <c r="BBO1" s="124"/>
      <c r="BBP1" s="124"/>
      <c r="BBQ1" s="124"/>
      <c r="BBR1" s="124"/>
      <c r="BBS1" s="124"/>
      <c r="BBT1" s="124"/>
      <c r="BBU1" s="124"/>
      <c r="BBV1" s="124"/>
      <c r="BBW1" s="124"/>
      <c r="BBX1" s="124"/>
      <c r="BBY1" s="124"/>
      <c r="BBZ1" s="124"/>
      <c r="BCA1" s="124"/>
      <c r="BCB1" s="124"/>
      <c r="BCC1" s="124"/>
      <c r="BCD1" s="124"/>
      <c r="BCE1" s="124"/>
      <c r="BCF1" s="124"/>
      <c r="BCG1" s="124"/>
      <c r="BCH1" s="124"/>
      <c r="BCI1" s="124"/>
      <c r="BCJ1" s="124"/>
      <c r="BCK1" s="124"/>
      <c r="BCL1" s="124"/>
      <c r="BCM1" s="124"/>
      <c r="BCN1" s="124"/>
      <c r="BCO1" s="124"/>
      <c r="BCP1" s="124"/>
      <c r="BCQ1" s="124"/>
      <c r="BCR1" s="124"/>
      <c r="BCS1" s="124"/>
      <c r="BCT1" s="124"/>
      <c r="BCU1" s="124"/>
      <c r="BCV1" s="124"/>
      <c r="BCW1" s="124"/>
      <c r="BCX1" s="124"/>
      <c r="BCY1" s="124"/>
      <c r="BCZ1" s="124"/>
      <c r="BDA1" s="124"/>
      <c r="BDB1" s="124"/>
      <c r="BDC1" s="124"/>
      <c r="BDD1" s="124"/>
      <c r="BDE1" s="124"/>
      <c r="BDF1" s="124"/>
      <c r="BDG1" s="124"/>
      <c r="BDH1" s="124"/>
      <c r="BDI1" s="124"/>
      <c r="BDJ1" s="124"/>
      <c r="BDK1" s="124"/>
      <c r="BDL1" s="124"/>
      <c r="BDM1" s="124"/>
      <c r="BDN1" s="124"/>
      <c r="BDO1" s="124"/>
      <c r="BDP1" s="124"/>
      <c r="BDQ1" s="124"/>
      <c r="BDR1" s="124"/>
      <c r="BDS1" s="124"/>
      <c r="BDT1" s="124"/>
      <c r="BDU1" s="124"/>
      <c r="BDV1" s="124"/>
      <c r="BDW1" s="124"/>
      <c r="BDX1" s="124"/>
      <c r="BDY1" s="124"/>
      <c r="BDZ1" s="124"/>
      <c r="BEA1" s="124"/>
      <c r="BEB1" s="124"/>
      <c r="BEC1" s="124"/>
      <c r="BED1" s="124"/>
      <c r="BEE1" s="124"/>
      <c r="BEF1" s="124"/>
      <c r="BEG1" s="124"/>
      <c r="BEH1" s="124"/>
      <c r="BEI1" s="124"/>
      <c r="BEJ1" s="124"/>
      <c r="BEK1" s="124"/>
      <c r="BEL1" s="124"/>
      <c r="BEM1" s="124"/>
      <c r="BEN1" s="124"/>
      <c r="BEO1" s="124"/>
      <c r="BEP1" s="124"/>
      <c r="BEQ1" s="124"/>
      <c r="BER1" s="124"/>
      <c r="BES1" s="124"/>
      <c r="BET1" s="124"/>
      <c r="BEU1" s="124"/>
      <c r="BEV1" s="124"/>
      <c r="BEW1" s="124"/>
      <c r="BEX1" s="124"/>
      <c r="BEY1" s="124"/>
      <c r="BEZ1" s="124"/>
      <c r="BFA1" s="124"/>
      <c r="BFB1" s="124"/>
      <c r="BFC1" s="124"/>
      <c r="BFD1" s="124"/>
      <c r="BFE1" s="124"/>
      <c r="BFF1" s="124"/>
      <c r="BFG1" s="124"/>
      <c r="BFH1" s="124"/>
      <c r="BFI1" s="124"/>
      <c r="BFJ1" s="124"/>
      <c r="BFK1" s="124"/>
      <c r="BFL1" s="124"/>
      <c r="BFM1" s="124"/>
      <c r="BFN1" s="124"/>
      <c r="BFO1" s="124"/>
      <c r="BFP1" s="124"/>
      <c r="BFQ1" s="124"/>
      <c r="BFR1" s="124"/>
      <c r="BFS1" s="124"/>
      <c r="BFT1" s="124"/>
      <c r="BFU1" s="124"/>
      <c r="BFV1" s="124"/>
      <c r="BFW1" s="124"/>
      <c r="BFX1" s="124"/>
      <c r="BFY1" s="124"/>
      <c r="BFZ1" s="124"/>
      <c r="BGA1" s="124"/>
      <c r="BGB1" s="124"/>
      <c r="BGC1" s="124"/>
      <c r="BGD1" s="124"/>
      <c r="BGE1" s="124"/>
      <c r="BGF1" s="124"/>
      <c r="BGG1" s="124"/>
      <c r="BGH1" s="124"/>
      <c r="BGI1" s="124"/>
      <c r="BGJ1" s="124"/>
      <c r="BGK1" s="124"/>
      <c r="BGL1" s="124"/>
      <c r="BGM1" s="124"/>
      <c r="BGN1" s="124"/>
      <c r="BGO1" s="124"/>
      <c r="BGP1" s="124"/>
      <c r="BGQ1" s="124"/>
      <c r="BGR1" s="124"/>
      <c r="BGS1" s="124"/>
      <c r="BGT1" s="124"/>
      <c r="BGU1" s="124"/>
      <c r="BGV1" s="124"/>
      <c r="BGW1" s="124"/>
      <c r="BGX1" s="124"/>
      <c r="BGY1" s="124"/>
      <c r="BGZ1" s="124"/>
      <c r="BHA1" s="124"/>
      <c r="BHB1" s="124"/>
      <c r="BHC1" s="124"/>
      <c r="BHD1" s="124"/>
      <c r="BHE1" s="124"/>
      <c r="BHF1" s="124"/>
      <c r="BHG1" s="124"/>
      <c r="BHH1" s="124"/>
      <c r="BHI1" s="124"/>
      <c r="BHJ1" s="124"/>
      <c r="BHK1" s="124"/>
      <c r="BHL1" s="124"/>
      <c r="BHM1" s="124"/>
      <c r="BHN1" s="124"/>
      <c r="BHO1" s="124"/>
      <c r="BHP1" s="124"/>
      <c r="BHQ1" s="124"/>
      <c r="BHR1" s="124"/>
      <c r="BHS1" s="124"/>
      <c r="BHT1" s="124"/>
      <c r="BHU1" s="124"/>
      <c r="BHV1" s="124"/>
      <c r="BHW1" s="124"/>
      <c r="BHX1" s="124"/>
      <c r="BHY1" s="124"/>
      <c r="BHZ1" s="124"/>
      <c r="BIA1" s="124"/>
      <c r="BIB1" s="124"/>
      <c r="BIC1" s="124"/>
      <c r="BID1" s="124"/>
      <c r="BIE1" s="124"/>
      <c r="BIF1" s="124"/>
      <c r="BIG1" s="124"/>
      <c r="BIH1" s="124"/>
      <c r="BII1" s="124"/>
      <c r="BIJ1" s="124"/>
      <c r="BIK1" s="124"/>
      <c r="BIL1" s="124"/>
      <c r="BIM1" s="124"/>
      <c r="BIN1" s="124"/>
      <c r="BIO1" s="124"/>
      <c r="BIP1" s="124"/>
      <c r="BIQ1" s="124"/>
      <c r="BIR1" s="124"/>
      <c r="BIS1" s="124"/>
      <c r="BIT1" s="124"/>
      <c r="BIU1" s="124"/>
      <c r="BIV1" s="124"/>
      <c r="BIW1" s="124"/>
      <c r="BIX1" s="124"/>
      <c r="BIY1" s="124"/>
      <c r="BIZ1" s="124"/>
      <c r="BJA1" s="124"/>
      <c r="BJB1" s="124"/>
      <c r="BJC1" s="124"/>
      <c r="BJD1" s="124"/>
      <c r="BJE1" s="124"/>
      <c r="BJF1" s="124"/>
      <c r="BJG1" s="124"/>
      <c r="BJH1" s="124"/>
      <c r="BJI1" s="124"/>
      <c r="BJJ1" s="124"/>
      <c r="BJK1" s="124"/>
      <c r="BJL1" s="124"/>
      <c r="BJM1" s="124"/>
      <c r="BJN1" s="124"/>
      <c r="BJO1" s="124"/>
      <c r="BJP1" s="124"/>
      <c r="BJQ1" s="124"/>
      <c r="BJR1" s="124"/>
      <c r="BJS1" s="124"/>
      <c r="BJT1" s="124"/>
      <c r="BJU1" s="124"/>
      <c r="BJV1" s="124"/>
      <c r="BJW1" s="124"/>
      <c r="BJX1" s="124"/>
      <c r="BJY1" s="124"/>
      <c r="BJZ1" s="124"/>
      <c r="BKA1" s="124"/>
      <c r="BKB1" s="124"/>
      <c r="BKC1" s="124"/>
      <c r="BKD1" s="124"/>
      <c r="BKE1" s="124"/>
      <c r="BKF1" s="124"/>
      <c r="BKG1" s="124"/>
      <c r="BKH1" s="124"/>
      <c r="BKI1" s="124"/>
      <c r="BKJ1" s="124"/>
      <c r="BKK1" s="124"/>
      <c r="BKL1" s="124"/>
      <c r="BKM1" s="124"/>
      <c r="BKN1" s="124"/>
      <c r="BKO1" s="124"/>
      <c r="BKP1" s="124"/>
      <c r="BKQ1" s="124"/>
      <c r="BKR1" s="124"/>
      <c r="BKS1" s="124"/>
      <c r="BKT1" s="124"/>
      <c r="BKU1" s="124"/>
      <c r="BKV1" s="124"/>
      <c r="BKW1" s="124"/>
      <c r="BKX1" s="124"/>
      <c r="BKY1" s="124"/>
      <c r="BKZ1" s="124"/>
      <c r="BLA1" s="124"/>
      <c r="BLB1" s="124"/>
      <c r="BLC1" s="124"/>
      <c r="BLD1" s="124"/>
      <c r="BLE1" s="124"/>
      <c r="BLF1" s="124"/>
      <c r="BLG1" s="124"/>
      <c r="BLH1" s="124"/>
      <c r="BLI1" s="124"/>
      <c r="BLJ1" s="124"/>
      <c r="BLK1" s="124"/>
      <c r="BLL1" s="124"/>
      <c r="BLM1" s="124"/>
      <c r="BLN1" s="124"/>
      <c r="BLO1" s="124"/>
      <c r="BLP1" s="124"/>
      <c r="BLQ1" s="124"/>
      <c r="BLR1" s="124"/>
      <c r="BLS1" s="124"/>
      <c r="BLT1" s="124"/>
      <c r="BLU1" s="124"/>
      <c r="BLV1" s="124"/>
      <c r="BLW1" s="124"/>
      <c r="BLX1" s="124"/>
      <c r="BLY1" s="124"/>
      <c r="BLZ1" s="124"/>
      <c r="BMA1" s="124"/>
      <c r="BMB1" s="124"/>
      <c r="BMC1" s="124"/>
      <c r="BMD1" s="124"/>
      <c r="BME1" s="124"/>
      <c r="BMF1" s="124"/>
      <c r="BMG1" s="124"/>
      <c r="BMH1" s="124"/>
      <c r="BMI1" s="124"/>
      <c r="BMJ1" s="124"/>
      <c r="BMK1" s="124"/>
      <c r="BML1" s="124"/>
      <c r="BMM1" s="124"/>
      <c r="BMN1" s="124"/>
      <c r="BMO1" s="124"/>
      <c r="BMP1" s="124"/>
      <c r="BMQ1" s="124"/>
      <c r="BMR1" s="124"/>
      <c r="BMS1" s="124"/>
      <c r="BMT1" s="124"/>
      <c r="BMU1" s="124"/>
      <c r="BMV1" s="124"/>
      <c r="BMW1" s="124"/>
      <c r="BMX1" s="124"/>
      <c r="BMY1" s="124"/>
      <c r="BMZ1" s="124"/>
      <c r="BNA1" s="124"/>
      <c r="BNB1" s="124"/>
      <c r="BNC1" s="124"/>
      <c r="BND1" s="124"/>
      <c r="BNE1" s="124"/>
      <c r="BNF1" s="124"/>
      <c r="BNG1" s="124"/>
      <c r="BNH1" s="124"/>
      <c r="BNI1" s="124"/>
      <c r="BNJ1" s="124"/>
      <c r="BNK1" s="124"/>
      <c r="BNL1" s="124"/>
      <c r="BNM1" s="124"/>
      <c r="BNN1" s="124"/>
      <c r="BNO1" s="124"/>
      <c r="BNP1" s="124"/>
      <c r="BNQ1" s="124"/>
      <c r="BNR1" s="124"/>
      <c r="BNS1" s="124"/>
      <c r="BNT1" s="124"/>
      <c r="BNU1" s="124"/>
      <c r="BNV1" s="124"/>
      <c r="BNW1" s="124"/>
      <c r="BNX1" s="124"/>
      <c r="BNY1" s="124"/>
      <c r="BNZ1" s="124"/>
      <c r="BOA1" s="124"/>
      <c r="BOB1" s="124"/>
      <c r="BOC1" s="124"/>
      <c r="BOD1" s="124"/>
      <c r="BOE1" s="124"/>
      <c r="BOF1" s="124"/>
      <c r="BOG1" s="124"/>
      <c r="BOH1" s="124"/>
      <c r="BOI1" s="124"/>
      <c r="BOJ1" s="124"/>
      <c r="BOK1" s="124"/>
      <c r="BOL1" s="124"/>
      <c r="BOM1" s="124"/>
      <c r="BON1" s="124"/>
      <c r="BOO1" s="124"/>
      <c r="BOP1" s="124"/>
      <c r="BOQ1" s="124"/>
      <c r="BOR1" s="124"/>
      <c r="BOS1" s="124"/>
      <c r="BOT1" s="124"/>
      <c r="BOU1" s="124"/>
      <c r="BOV1" s="124"/>
      <c r="BOW1" s="124"/>
      <c r="BOX1" s="124"/>
      <c r="BOY1" s="124"/>
      <c r="BOZ1" s="124"/>
      <c r="BPA1" s="124"/>
      <c r="BPB1" s="124"/>
      <c r="BPC1" s="124"/>
      <c r="BPD1" s="124"/>
      <c r="BPE1" s="124"/>
      <c r="BPF1" s="124"/>
      <c r="BPG1" s="124"/>
      <c r="BPH1" s="124"/>
      <c r="BPI1" s="124"/>
      <c r="BPJ1" s="124"/>
      <c r="BPK1" s="124"/>
      <c r="BPL1" s="124"/>
      <c r="BPM1" s="124"/>
      <c r="BPN1" s="124"/>
      <c r="BPO1" s="124"/>
      <c r="BPP1" s="124"/>
      <c r="BPQ1" s="124"/>
      <c r="BPR1" s="124"/>
      <c r="BPS1" s="124"/>
      <c r="BPT1" s="124"/>
      <c r="BPU1" s="124"/>
      <c r="BPV1" s="124"/>
      <c r="BPW1" s="124"/>
      <c r="BPX1" s="124"/>
      <c r="BPY1" s="124"/>
      <c r="BPZ1" s="124"/>
      <c r="BQA1" s="124"/>
      <c r="BQB1" s="124"/>
      <c r="BQC1" s="124"/>
      <c r="BQD1" s="124"/>
      <c r="BQE1" s="124"/>
      <c r="BQF1" s="124"/>
      <c r="BQG1" s="124"/>
      <c r="BQH1" s="124"/>
      <c r="BQI1" s="124"/>
      <c r="BQJ1" s="124"/>
      <c r="BQK1" s="124"/>
      <c r="BQL1" s="124"/>
      <c r="BQM1" s="124"/>
      <c r="BQN1" s="124"/>
      <c r="BQO1" s="124"/>
      <c r="BQP1" s="124"/>
      <c r="BQQ1" s="124"/>
      <c r="BQR1" s="124"/>
      <c r="BQS1" s="124"/>
      <c r="BQT1" s="124"/>
      <c r="BQU1" s="124"/>
      <c r="BQV1" s="124"/>
      <c r="BQW1" s="124"/>
      <c r="BQX1" s="124"/>
      <c r="BQY1" s="124"/>
      <c r="BQZ1" s="124"/>
      <c r="BRA1" s="124"/>
      <c r="BRB1" s="124"/>
      <c r="BRC1" s="124"/>
      <c r="BRD1" s="124"/>
      <c r="BRE1" s="124"/>
      <c r="BRF1" s="124"/>
      <c r="BRG1" s="124"/>
      <c r="BRH1" s="124"/>
      <c r="BRI1" s="124"/>
      <c r="BRJ1" s="124"/>
      <c r="BRK1" s="124"/>
      <c r="BRL1" s="124"/>
      <c r="BRM1" s="124"/>
      <c r="BRN1" s="124"/>
      <c r="BRO1" s="124"/>
      <c r="BRP1" s="124"/>
      <c r="BRQ1" s="124"/>
      <c r="BRR1" s="124"/>
      <c r="BRS1" s="124"/>
      <c r="BRT1" s="124"/>
      <c r="BRU1" s="124"/>
      <c r="BRV1" s="124"/>
      <c r="BRW1" s="124"/>
      <c r="BRX1" s="124"/>
      <c r="BRY1" s="124"/>
      <c r="BRZ1" s="124"/>
      <c r="BSA1" s="124"/>
      <c r="BSB1" s="124"/>
      <c r="BSC1" s="124"/>
      <c r="BSD1" s="124"/>
      <c r="BSE1" s="124"/>
      <c r="BSF1" s="124"/>
      <c r="BSG1" s="124"/>
      <c r="BSH1" s="124"/>
      <c r="BSI1" s="124"/>
      <c r="BSJ1" s="124"/>
      <c r="BSK1" s="124"/>
      <c r="BSL1" s="124"/>
      <c r="BSM1" s="124"/>
      <c r="BSN1" s="124"/>
      <c r="BSO1" s="124"/>
      <c r="BSP1" s="124"/>
      <c r="BSQ1" s="124"/>
      <c r="BSR1" s="124"/>
      <c r="BSS1" s="124"/>
      <c r="BST1" s="124"/>
      <c r="BSU1" s="124"/>
      <c r="BSV1" s="124"/>
      <c r="BSW1" s="124"/>
      <c r="BSX1" s="124"/>
      <c r="BSY1" s="124"/>
      <c r="BSZ1" s="124"/>
      <c r="BTA1" s="124"/>
      <c r="BTB1" s="124"/>
      <c r="BTC1" s="124"/>
      <c r="BTD1" s="124"/>
      <c r="BTE1" s="124"/>
      <c r="BTF1" s="124"/>
      <c r="BTG1" s="124"/>
      <c r="BTH1" s="124"/>
      <c r="BTI1" s="124"/>
      <c r="BTJ1" s="124"/>
      <c r="BTK1" s="124"/>
      <c r="BTL1" s="124"/>
      <c r="BTM1" s="124"/>
      <c r="BTN1" s="124"/>
      <c r="BTO1" s="124"/>
      <c r="BTP1" s="124"/>
      <c r="BTQ1" s="124"/>
      <c r="BTR1" s="124"/>
      <c r="BTS1" s="124"/>
      <c r="BTT1" s="124"/>
      <c r="BTU1" s="124"/>
      <c r="BTV1" s="124"/>
      <c r="BTW1" s="124"/>
      <c r="BTX1" s="124"/>
      <c r="BTY1" s="124"/>
      <c r="BTZ1" s="124"/>
      <c r="BUA1" s="124"/>
      <c r="BUB1" s="124"/>
      <c r="BUC1" s="124"/>
      <c r="BUD1" s="124"/>
      <c r="BUE1" s="124"/>
      <c r="BUF1" s="124"/>
      <c r="BUG1" s="124"/>
      <c r="BUH1" s="124"/>
      <c r="BUI1" s="124"/>
      <c r="BUJ1" s="124"/>
      <c r="BUK1" s="124"/>
      <c r="BUL1" s="124"/>
      <c r="BUM1" s="124"/>
      <c r="BUN1" s="124"/>
      <c r="BUO1" s="124"/>
      <c r="BUP1" s="124"/>
      <c r="BUQ1" s="124"/>
      <c r="BUR1" s="124"/>
      <c r="BUS1" s="124"/>
      <c r="BUT1" s="124"/>
      <c r="BUU1" s="124"/>
      <c r="BUV1" s="124"/>
      <c r="BUW1" s="124"/>
      <c r="BUX1" s="124"/>
      <c r="BUY1" s="124"/>
      <c r="BUZ1" s="124"/>
      <c r="BVA1" s="124"/>
      <c r="BVB1" s="124"/>
      <c r="BVC1" s="124"/>
      <c r="BVD1" s="124"/>
      <c r="BVE1" s="124"/>
      <c r="BVF1" s="124"/>
      <c r="BVG1" s="124"/>
      <c r="BVH1" s="124"/>
      <c r="BVI1" s="124"/>
      <c r="BVJ1" s="124"/>
      <c r="BVK1" s="124"/>
      <c r="BVL1" s="124"/>
      <c r="BVM1" s="124"/>
      <c r="BVN1" s="124"/>
      <c r="BVO1" s="124"/>
      <c r="BVP1" s="124"/>
      <c r="BVQ1" s="124"/>
      <c r="BVR1" s="124"/>
      <c r="BVS1" s="124"/>
      <c r="BVT1" s="124"/>
      <c r="BVU1" s="124"/>
      <c r="BVV1" s="124"/>
      <c r="BVW1" s="124"/>
      <c r="BVX1" s="124"/>
      <c r="BVY1" s="124"/>
      <c r="BVZ1" s="124"/>
      <c r="BWA1" s="124"/>
      <c r="BWB1" s="124"/>
      <c r="BWC1" s="124"/>
      <c r="BWD1" s="124"/>
      <c r="BWE1" s="124"/>
      <c r="BWF1" s="124"/>
      <c r="BWG1" s="124"/>
      <c r="BWH1" s="124"/>
      <c r="BWI1" s="124"/>
      <c r="BWJ1" s="124"/>
      <c r="BWK1" s="124"/>
      <c r="BWL1" s="124"/>
      <c r="BWM1" s="124"/>
      <c r="BWN1" s="124"/>
      <c r="BWO1" s="124"/>
      <c r="BWP1" s="124"/>
      <c r="BWQ1" s="124"/>
      <c r="BWR1" s="124"/>
      <c r="BWS1" s="124"/>
      <c r="BWT1" s="124"/>
      <c r="BWU1" s="124"/>
      <c r="BWV1" s="124"/>
      <c r="BWW1" s="124"/>
      <c r="BWX1" s="124"/>
      <c r="BWY1" s="124"/>
      <c r="BWZ1" s="124"/>
      <c r="BXA1" s="124"/>
      <c r="BXB1" s="124"/>
      <c r="BXC1" s="124"/>
      <c r="BXD1" s="124"/>
      <c r="BXE1" s="124"/>
      <c r="BXF1" s="124"/>
      <c r="BXG1" s="124"/>
      <c r="BXH1" s="124"/>
      <c r="BXI1" s="124"/>
      <c r="BXJ1" s="124"/>
      <c r="BXK1" s="124"/>
      <c r="BXL1" s="124"/>
      <c r="BXM1" s="124"/>
      <c r="BXN1" s="124"/>
      <c r="BXO1" s="124"/>
      <c r="BXP1" s="124"/>
      <c r="BXQ1" s="124"/>
      <c r="BXR1" s="124"/>
      <c r="BXS1" s="124"/>
      <c r="BXT1" s="124"/>
      <c r="BXU1" s="124"/>
      <c r="BXV1" s="124"/>
      <c r="BXW1" s="124"/>
      <c r="BXX1" s="124"/>
      <c r="BXY1" s="124"/>
      <c r="BXZ1" s="124"/>
      <c r="BYA1" s="124"/>
      <c r="BYB1" s="124"/>
      <c r="BYC1" s="124"/>
      <c r="BYD1" s="124"/>
      <c r="BYE1" s="124"/>
      <c r="BYF1" s="124"/>
      <c r="BYG1" s="124"/>
      <c r="BYH1" s="124"/>
      <c r="BYI1" s="124"/>
      <c r="BYJ1" s="124"/>
      <c r="BYK1" s="124"/>
      <c r="BYL1" s="124"/>
      <c r="BYM1" s="124"/>
      <c r="BYN1" s="124"/>
      <c r="BYO1" s="124"/>
      <c r="BYP1" s="124"/>
      <c r="BYQ1" s="124"/>
      <c r="BYR1" s="124"/>
      <c r="BYS1" s="124"/>
      <c r="BYT1" s="124"/>
      <c r="BYU1" s="124"/>
      <c r="BYV1" s="124"/>
      <c r="BYW1" s="124"/>
      <c r="BYX1" s="124"/>
      <c r="BYY1" s="124"/>
      <c r="BYZ1" s="124"/>
      <c r="BZA1" s="124"/>
      <c r="BZB1" s="124"/>
      <c r="BZC1" s="124"/>
      <c r="BZD1" s="124"/>
      <c r="BZE1" s="124"/>
      <c r="BZF1" s="124"/>
      <c r="BZG1" s="124"/>
      <c r="BZH1" s="124"/>
      <c r="BZI1" s="124"/>
      <c r="BZJ1" s="124"/>
      <c r="BZK1" s="124"/>
      <c r="BZL1" s="124"/>
      <c r="BZM1" s="124"/>
      <c r="BZN1" s="124"/>
      <c r="BZO1" s="124"/>
      <c r="BZP1" s="124"/>
      <c r="BZQ1" s="124"/>
      <c r="BZR1" s="124"/>
      <c r="BZS1" s="124"/>
      <c r="BZT1" s="124"/>
      <c r="BZU1" s="124"/>
      <c r="BZV1" s="124"/>
      <c r="BZW1" s="124"/>
      <c r="BZX1" s="124"/>
      <c r="BZY1" s="124"/>
      <c r="BZZ1" s="124"/>
      <c r="CAA1" s="124"/>
      <c r="CAB1" s="124"/>
      <c r="CAC1" s="124"/>
      <c r="CAD1" s="124"/>
      <c r="CAE1" s="124"/>
      <c r="CAF1" s="124"/>
      <c r="CAG1" s="124"/>
      <c r="CAH1" s="124"/>
      <c r="CAI1" s="124"/>
      <c r="CAJ1" s="124"/>
      <c r="CAK1" s="124"/>
      <c r="CAL1" s="124"/>
      <c r="CAM1" s="124"/>
      <c r="CAN1" s="124"/>
      <c r="CAO1" s="124"/>
      <c r="CAP1" s="124"/>
      <c r="CAQ1" s="124"/>
      <c r="CAR1" s="124"/>
      <c r="CAS1" s="124"/>
      <c r="CAT1" s="124"/>
      <c r="CAU1" s="124"/>
      <c r="CAV1" s="124"/>
      <c r="CAW1" s="124"/>
      <c r="CAX1" s="124"/>
      <c r="CAY1" s="124"/>
      <c r="CAZ1" s="124"/>
      <c r="CBA1" s="124"/>
      <c r="CBB1" s="124"/>
      <c r="CBC1" s="124"/>
      <c r="CBD1" s="124"/>
      <c r="CBE1" s="124"/>
      <c r="CBF1" s="124"/>
      <c r="CBG1" s="124"/>
      <c r="CBH1" s="124"/>
      <c r="CBI1" s="124"/>
      <c r="CBJ1" s="124"/>
      <c r="CBK1" s="124"/>
      <c r="CBL1" s="124"/>
      <c r="CBM1" s="124"/>
      <c r="CBN1" s="124"/>
      <c r="CBO1" s="124"/>
      <c r="CBP1" s="124"/>
      <c r="CBQ1" s="124"/>
      <c r="CBR1" s="124"/>
      <c r="CBS1" s="124"/>
      <c r="CBT1" s="124"/>
      <c r="CBU1" s="124"/>
      <c r="CBV1" s="124"/>
      <c r="CBW1" s="124"/>
      <c r="CBX1" s="124"/>
      <c r="CBY1" s="124"/>
      <c r="CBZ1" s="124"/>
      <c r="CCA1" s="124"/>
      <c r="CCB1" s="124"/>
      <c r="CCC1" s="124"/>
      <c r="CCD1" s="124"/>
      <c r="CCE1" s="124"/>
      <c r="CCF1" s="124"/>
      <c r="CCG1" s="124"/>
      <c r="CCH1" s="124"/>
      <c r="CCI1" s="124"/>
      <c r="CCJ1" s="124"/>
      <c r="CCK1" s="124"/>
      <c r="CCL1" s="124"/>
      <c r="CCM1" s="124"/>
      <c r="CCN1" s="124"/>
      <c r="CCO1" s="124"/>
      <c r="CCP1" s="124"/>
      <c r="CCQ1" s="124"/>
      <c r="CCR1" s="124"/>
      <c r="CCS1" s="124"/>
      <c r="CCT1" s="124"/>
      <c r="CCU1" s="124"/>
      <c r="CCV1" s="124"/>
      <c r="CCW1" s="124"/>
      <c r="CCX1" s="124"/>
      <c r="CCY1" s="124"/>
      <c r="CCZ1" s="124"/>
      <c r="CDA1" s="124"/>
      <c r="CDB1" s="124"/>
      <c r="CDC1" s="124"/>
      <c r="CDD1" s="124"/>
      <c r="CDE1" s="124"/>
      <c r="CDF1" s="124"/>
      <c r="CDG1" s="124"/>
      <c r="CDH1" s="124"/>
      <c r="CDI1" s="124"/>
      <c r="CDJ1" s="124"/>
      <c r="CDK1" s="124"/>
      <c r="CDL1" s="124"/>
      <c r="CDM1" s="124"/>
      <c r="CDN1" s="124"/>
      <c r="CDO1" s="124"/>
      <c r="CDP1" s="124"/>
      <c r="CDQ1" s="124"/>
      <c r="CDR1" s="124"/>
      <c r="CDS1" s="124"/>
      <c r="CDT1" s="124"/>
      <c r="CDU1" s="124"/>
      <c r="CDV1" s="124"/>
      <c r="CDW1" s="124"/>
      <c r="CDX1" s="124"/>
      <c r="CDY1" s="124"/>
      <c r="CDZ1" s="124"/>
      <c r="CEA1" s="124"/>
      <c r="CEB1" s="124"/>
      <c r="CEC1" s="124"/>
      <c r="CED1" s="124"/>
      <c r="CEE1" s="124"/>
      <c r="CEF1" s="124"/>
      <c r="CEG1" s="124"/>
      <c r="CEH1" s="124"/>
      <c r="CEI1" s="124"/>
      <c r="CEJ1" s="124"/>
      <c r="CEK1" s="124"/>
      <c r="CEL1" s="124"/>
      <c r="CEM1" s="124"/>
      <c r="CEN1" s="124"/>
      <c r="CEO1" s="124"/>
      <c r="CEP1" s="124"/>
      <c r="CEQ1" s="124"/>
      <c r="CER1" s="124"/>
      <c r="CES1" s="124"/>
      <c r="CET1" s="124"/>
      <c r="CEU1" s="124"/>
      <c r="CEV1" s="124"/>
      <c r="CEW1" s="124"/>
      <c r="CEX1" s="124"/>
      <c r="CEY1" s="124"/>
      <c r="CEZ1" s="124"/>
      <c r="CFA1" s="124"/>
      <c r="CFB1" s="124"/>
      <c r="CFC1" s="124"/>
      <c r="CFD1" s="124"/>
      <c r="CFE1" s="124"/>
      <c r="CFF1" s="124"/>
      <c r="CFG1" s="124"/>
      <c r="CFH1" s="124"/>
      <c r="CFI1" s="124"/>
      <c r="CFJ1" s="124"/>
      <c r="CFK1" s="124"/>
      <c r="CFL1" s="124"/>
      <c r="CFM1" s="124"/>
      <c r="CFN1" s="124"/>
      <c r="CFO1" s="124"/>
      <c r="CFP1" s="124"/>
      <c r="CFQ1" s="124"/>
      <c r="CFR1" s="124"/>
      <c r="CFS1" s="124"/>
      <c r="CFT1" s="124"/>
      <c r="CFU1" s="124"/>
      <c r="CFV1" s="124"/>
      <c r="CFW1" s="124"/>
      <c r="CFX1" s="124"/>
      <c r="CFY1" s="124"/>
      <c r="CFZ1" s="124"/>
      <c r="CGA1" s="124"/>
      <c r="CGB1" s="124"/>
      <c r="CGC1" s="124"/>
      <c r="CGD1" s="124"/>
      <c r="CGE1" s="124"/>
      <c r="CGF1" s="124"/>
      <c r="CGG1" s="124"/>
      <c r="CGH1" s="124"/>
      <c r="CGI1" s="124"/>
      <c r="CGJ1" s="124"/>
      <c r="CGK1" s="124"/>
      <c r="CGL1" s="124"/>
      <c r="CGM1" s="124"/>
      <c r="CGN1" s="124"/>
      <c r="CGO1" s="124"/>
      <c r="CGP1" s="124"/>
      <c r="CGQ1" s="124"/>
      <c r="CGR1" s="124"/>
      <c r="CGS1" s="124"/>
      <c r="CGT1" s="124"/>
      <c r="CGU1" s="124"/>
      <c r="CGV1" s="124"/>
      <c r="CGW1" s="124"/>
      <c r="CGX1" s="124"/>
      <c r="CGY1" s="124"/>
      <c r="CGZ1" s="124"/>
      <c r="CHA1" s="124"/>
      <c r="CHB1" s="124"/>
      <c r="CHC1" s="124"/>
      <c r="CHD1" s="124"/>
      <c r="CHE1" s="124"/>
      <c r="CHF1" s="124"/>
      <c r="CHG1" s="124"/>
      <c r="CHH1" s="124"/>
      <c r="CHI1" s="124"/>
      <c r="CHJ1" s="124"/>
      <c r="CHK1" s="124"/>
      <c r="CHL1" s="124"/>
      <c r="CHM1" s="124"/>
      <c r="CHN1" s="124"/>
      <c r="CHO1" s="124"/>
      <c r="CHP1" s="124"/>
      <c r="CHQ1" s="124"/>
      <c r="CHR1" s="124"/>
      <c r="CHS1" s="124"/>
      <c r="CHT1" s="124"/>
      <c r="CHU1" s="124"/>
      <c r="CHV1" s="124"/>
      <c r="CHW1" s="124"/>
      <c r="CHX1" s="124"/>
      <c r="CHY1" s="124"/>
      <c r="CHZ1" s="124"/>
      <c r="CIA1" s="124"/>
      <c r="CIB1" s="124"/>
      <c r="CIC1" s="124"/>
      <c r="CID1" s="124"/>
      <c r="CIE1" s="124"/>
      <c r="CIF1" s="124"/>
      <c r="CIG1" s="124"/>
      <c r="CIH1" s="124"/>
      <c r="CII1" s="124"/>
      <c r="CIJ1" s="124"/>
      <c r="CIK1" s="124"/>
      <c r="CIL1" s="124"/>
      <c r="CIM1" s="124"/>
      <c r="CIN1" s="124"/>
      <c r="CIO1" s="124"/>
      <c r="CIP1" s="124"/>
      <c r="CIQ1" s="124"/>
      <c r="CIR1" s="124"/>
      <c r="CIS1" s="124"/>
      <c r="CIT1" s="124"/>
      <c r="CIU1" s="124"/>
      <c r="CIV1" s="124"/>
      <c r="CIW1" s="124"/>
      <c r="CIX1" s="124"/>
      <c r="CIY1" s="124"/>
      <c r="CIZ1" s="124"/>
      <c r="CJA1" s="124"/>
      <c r="CJB1" s="124"/>
      <c r="CJC1" s="124"/>
      <c r="CJD1" s="124"/>
      <c r="CJE1" s="124"/>
      <c r="CJF1" s="124"/>
      <c r="CJG1" s="124"/>
      <c r="CJH1" s="124"/>
      <c r="CJI1" s="124"/>
      <c r="CJJ1" s="124"/>
      <c r="CJK1" s="124"/>
      <c r="CJL1" s="124"/>
      <c r="CJM1" s="124"/>
      <c r="CJN1" s="124"/>
      <c r="CJO1" s="124"/>
      <c r="CJP1" s="124"/>
      <c r="CJQ1" s="124"/>
      <c r="CJR1" s="124"/>
      <c r="CJS1" s="124"/>
      <c r="CJT1" s="124"/>
      <c r="CJU1" s="124"/>
      <c r="CJV1" s="124"/>
      <c r="CJW1" s="124"/>
      <c r="CJX1" s="124"/>
      <c r="CJY1" s="124"/>
      <c r="CJZ1" s="124"/>
      <c r="CKA1" s="124"/>
      <c r="CKB1" s="124"/>
      <c r="CKC1" s="124"/>
      <c r="CKD1" s="124"/>
      <c r="CKE1" s="124"/>
      <c r="CKF1" s="124"/>
      <c r="CKG1" s="124"/>
      <c r="CKH1" s="124"/>
      <c r="CKI1" s="124"/>
      <c r="CKJ1" s="124"/>
      <c r="CKK1" s="124"/>
      <c r="CKL1" s="124"/>
      <c r="CKM1" s="124"/>
      <c r="CKN1" s="124"/>
      <c r="CKO1" s="124"/>
      <c r="CKP1" s="124"/>
      <c r="CKQ1" s="124"/>
      <c r="CKR1" s="124"/>
      <c r="CKS1" s="124"/>
      <c r="CKT1" s="124"/>
      <c r="CKU1" s="124"/>
      <c r="CKV1" s="124"/>
      <c r="CKW1" s="124"/>
      <c r="CKX1" s="124"/>
      <c r="CKY1" s="124"/>
      <c r="CKZ1" s="124"/>
      <c r="CLA1" s="124"/>
      <c r="CLB1" s="124"/>
      <c r="CLC1" s="124"/>
      <c r="CLD1" s="124"/>
      <c r="CLE1" s="124"/>
      <c r="CLF1" s="124"/>
      <c r="CLG1" s="124"/>
      <c r="CLH1" s="124"/>
      <c r="CLI1" s="124"/>
      <c r="CLJ1" s="124"/>
      <c r="CLK1" s="124"/>
      <c r="CLL1" s="124"/>
      <c r="CLM1" s="124"/>
      <c r="CLN1" s="124"/>
      <c r="CLO1" s="124"/>
      <c r="CLP1" s="124"/>
      <c r="CLQ1" s="124"/>
      <c r="CLR1" s="124"/>
      <c r="CLS1" s="124"/>
      <c r="CLT1" s="124"/>
      <c r="CLU1" s="124"/>
      <c r="CLV1" s="124"/>
      <c r="CLW1" s="124"/>
      <c r="CLX1" s="124"/>
      <c r="CLY1" s="124"/>
      <c r="CLZ1" s="124"/>
      <c r="CMA1" s="124"/>
      <c r="CMB1" s="124"/>
      <c r="CMC1" s="124"/>
      <c r="CMD1" s="124"/>
      <c r="CME1" s="124"/>
      <c r="CMF1" s="124"/>
      <c r="CMG1" s="124"/>
      <c r="CMH1" s="124"/>
      <c r="CMI1" s="124"/>
      <c r="CMJ1" s="124"/>
      <c r="CMK1" s="124"/>
      <c r="CML1" s="124"/>
      <c r="CMM1" s="124"/>
      <c r="CMN1" s="124"/>
      <c r="CMO1" s="124"/>
      <c r="CMP1" s="124"/>
      <c r="CMQ1" s="124"/>
      <c r="CMR1" s="124"/>
      <c r="CMS1" s="124"/>
      <c r="CMT1" s="124"/>
      <c r="CMU1" s="124"/>
      <c r="CMV1" s="124"/>
      <c r="CMW1" s="124"/>
      <c r="CMX1" s="124"/>
      <c r="CMY1" s="124"/>
      <c r="CMZ1" s="124"/>
      <c r="CNA1" s="124"/>
      <c r="CNB1" s="124"/>
      <c r="CNC1" s="124"/>
      <c r="CND1" s="124"/>
      <c r="CNE1" s="124"/>
      <c r="CNF1" s="124"/>
      <c r="CNG1" s="124"/>
      <c r="CNH1" s="124"/>
      <c r="CNI1" s="124"/>
      <c r="CNJ1" s="124"/>
      <c r="CNK1" s="124"/>
      <c r="CNL1" s="124"/>
      <c r="CNM1" s="124"/>
      <c r="CNN1" s="124"/>
      <c r="CNO1" s="124"/>
      <c r="CNP1" s="124"/>
      <c r="CNQ1" s="124"/>
      <c r="CNR1" s="124"/>
      <c r="CNS1" s="124"/>
      <c r="CNT1" s="124"/>
      <c r="CNU1" s="124"/>
      <c r="CNV1" s="124"/>
      <c r="CNW1" s="124"/>
      <c r="CNX1" s="124"/>
      <c r="CNY1" s="124"/>
      <c r="CNZ1" s="124"/>
      <c r="COA1" s="124"/>
      <c r="COB1" s="124"/>
      <c r="COC1" s="124"/>
      <c r="COD1" s="124"/>
      <c r="COE1" s="124"/>
      <c r="COF1" s="124"/>
      <c r="COG1" s="124"/>
      <c r="COH1" s="124"/>
      <c r="COI1" s="124"/>
      <c r="COJ1" s="124"/>
      <c r="COK1" s="124"/>
      <c r="COL1" s="124"/>
      <c r="COM1" s="124"/>
      <c r="CON1" s="124"/>
      <c r="COO1" s="124"/>
      <c r="COP1" s="124"/>
      <c r="COQ1" s="124"/>
      <c r="COR1" s="124"/>
      <c r="COS1" s="124"/>
      <c r="COT1" s="124"/>
      <c r="COU1" s="124"/>
      <c r="COV1" s="124"/>
      <c r="COW1" s="124"/>
      <c r="COX1" s="124"/>
      <c r="COY1" s="124"/>
      <c r="COZ1" s="124"/>
      <c r="CPA1" s="124"/>
      <c r="CPB1" s="124"/>
      <c r="CPC1" s="124"/>
      <c r="CPD1" s="124"/>
      <c r="CPE1" s="124"/>
      <c r="CPF1" s="124"/>
      <c r="CPG1" s="124"/>
      <c r="CPH1" s="124"/>
      <c r="CPI1" s="124"/>
      <c r="CPJ1" s="124"/>
      <c r="CPK1" s="124"/>
      <c r="CPL1" s="124"/>
      <c r="CPM1" s="124"/>
      <c r="CPN1" s="124"/>
      <c r="CPO1" s="124"/>
      <c r="CPP1" s="124"/>
      <c r="CPQ1" s="124"/>
      <c r="CPR1" s="124"/>
      <c r="CPS1" s="124"/>
      <c r="CPT1" s="124"/>
      <c r="CPU1" s="124"/>
      <c r="CPV1" s="124"/>
      <c r="CPW1" s="124"/>
      <c r="CPX1" s="124"/>
      <c r="CPY1" s="124"/>
      <c r="CPZ1" s="124"/>
      <c r="CQA1" s="124"/>
      <c r="CQB1" s="124"/>
      <c r="CQC1" s="124"/>
      <c r="CQD1" s="124"/>
      <c r="CQE1" s="124"/>
      <c r="CQF1" s="124"/>
      <c r="CQG1" s="124"/>
      <c r="CQH1" s="124"/>
      <c r="CQI1" s="124"/>
      <c r="CQJ1" s="124"/>
      <c r="CQK1" s="124"/>
      <c r="CQL1" s="124"/>
      <c r="CQM1" s="124"/>
      <c r="CQN1" s="124"/>
      <c r="CQO1" s="124"/>
      <c r="CQP1" s="124"/>
      <c r="CQQ1" s="124"/>
      <c r="CQR1" s="124"/>
      <c r="CQS1" s="124"/>
      <c r="CQT1" s="124"/>
      <c r="CQU1" s="124"/>
      <c r="CQV1" s="124"/>
      <c r="CQW1" s="124"/>
      <c r="CQX1" s="124"/>
      <c r="CQY1" s="124"/>
      <c r="CQZ1" s="124"/>
      <c r="CRA1" s="124"/>
      <c r="CRB1" s="124"/>
      <c r="CRC1" s="124"/>
      <c r="CRD1" s="124"/>
      <c r="CRE1" s="124"/>
      <c r="CRF1" s="124"/>
      <c r="CRG1" s="124"/>
      <c r="CRH1" s="124"/>
      <c r="CRI1" s="124"/>
      <c r="CRJ1" s="124"/>
      <c r="CRK1" s="124"/>
      <c r="CRL1" s="124"/>
      <c r="CRM1" s="124"/>
      <c r="CRN1" s="124"/>
      <c r="CRO1" s="124"/>
      <c r="CRP1" s="124"/>
      <c r="CRQ1" s="124"/>
      <c r="CRR1" s="124"/>
      <c r="CRS1" s="124"/>
      <c r="CRT1" s="124"/>
      <c r="CRU1" s="124"/>
      <c r="CRV1" s="124"/>
      <c r="CRW1" s="124"/>
      <c r="CRX1" s="124"/>
      <c r="CRY1" s="124"/>
      <c r="CRZ1" s="124"/>
      <c r="CSA1" s="124"/>
      <c r="CSB1" s="124"/>
      <c r="CSC1" s="124"/>
      <c r="CSD1" s="124"/>
      <c r="CSE1" s="124"/>
      <c r="CSF1" s="124"/>
      <c r="CSG1" s="124"/>
      <c r="CSH1" s="124"/>
      <c r="CSI1" s="124"/>
      <c r="CSJ1" s="124"/>
      <c r="CSK1" s="124"/>
      <c r="CSL1" s="124"/>
      <c r="CSM1" s="124"/>
      <c r="CSN1" s="124"/>
      <c r="CSO1" s="124"/>
      <c r="CSP1" s="124"/>
      <c r="CSQ1" s="124"/>
      <c r="CSR1" s="124"/>
      <c r="CSS1" s="124"/>
      <c r="CST1" s="124"/>
      <c r="CSU1" s="124"/>
      <c r="CSV1" s="124"/>
      <c r="CSW1" s="124"/>
      <c r="CSX1" s="124"/>
      <c r="CSY1" s="124"/>
      <c r="CSZ1" s="124"/>
      <c r="CTA1" s="124"/>
      <c r="CTB1" s="124"/>
      <c r="CTC1" s="124"/>
      <c r="CTD1" s="124"/>
      <c r="CTE1" s="124"/>
      <c r="CTF1" s="124"/>
      <c r="CTG1" s="124"/>
      <c r="CTH1" s="124"/>
      <c r="CTI1" s="124"/>
      <c r="CTJ1" s="124"/>
      <c r="CTK1" s="124"/>
      <c r="CTL1" s="124"/>
      <c r="CTM1" s="124"/>
      <c r="CTN1" s="124"/>
      <c r="CTO1" s="124"/>
      <c r="CTP1" s="124"/>
      <c r="CTQ1" s="124"/>
      <c r="CTR1" s="124"/>
      <c r="CTS1" s="124"/>
      <c r="CTT1" s="124"/>
      <c r="CTU1" s="124"/>
      <c r="CTV1" s="124"/>
      <c r="CTW1" s="124"/>
      <c r="CTX1" s="124"/>
      <c r="CTY1" s="124"/>
      <c r="CTZ1" s="124"/>
      <c r="CUA1" s="124"/>
      <c r="CUB1" s="124"/>
      <c r="CUC1" s="124"/>
      <c r="CUD1" s="124"/>
      <c r="CUE1" s="124"/>
      <c r="CUF1" s="124"/>
      <c r="CUG1" s="124"/>
      <c r="CUH1" s="124"/>
      <c r="CUI1" s="124"/>
      <c r="CUJ1" s="124"/>
      <c r="CUK1" s="124"/>
      <c r="CUL1" s="124"/>
      <c r="CUM1" s="124"/>
      <c r="CUN1" s="124"/>
      <c r="CUO1" s="124"/>
      <c r="CUP1" s="124"/>
      <c r="CUQ1" s="124"/>
      <c r="CUR1" s="124"/>
      <c r="CUS1" s="124"/>
      <c r="CUT1" s="124"/>
      <c r="CUU1" s="124"/>
      <c r="CUV1" s="124"/>
      <c r="CUW1" s="124"/>
      <c r="CUX1" s="124"/>
      <c r="CUY1" s="124"/>
      <c r="CUZ1" s="124"/>
      <c r="CVA1" s="124"/>
      <c r="CVB1" s="124"/>
      <c r="CVC1" s="124"/>
      <c r="CVD1" s="124"/>
      <c r="CVE1" s="124"/>
      <c r="CVF1" s="124"/>
      <c r="CVG1" s="124"/>
      <c r="CVH1" s="124"/>
      <c r="CVI1" s="124"/>
      <c r="CVJ1" s="124"/>
      <c r="CVK1" s="124"/>
      <c r="CVL1" s="124"/>
      <c r="CVM1" s="124"/>
      <c r="CVN1" s="124"/>
      <c r="CVO1" s="124"/>
      <c r="CVP1" s="124"/>
      <c r="CVQ1" s="124"/>
      <c r="CVR1" s="124"/>
      <c r="CVS1" s="124"/>
      <c r="CVT1" s="124"/>
      <c r="CVU1" s="124"/>
      <c r="CVV1" s="124"/>
      <c r="CVW1" s="124"/>
      <c r="CVX1" s="124"/>
      <c r="CVY1" s="124"/>
      <c r="CVZ1" s="124"/>
      <c r="CWA1" s="124"/>
      <c r="CWB1" s="124"/>
      <c r="CWC1" s="124"/>
      <c r="CWD1" s="124"/>
      <c r="CWE1" s="124"/>
      <c r="CWF1" s="124"/>
      <c r="CWG1" s="124"/>
      <c r="CWH1" s="124"/>
      <c r="CWI1" s="124"/>
      <c r="CWJ1" s="124"/>
      <c r="CWK1" s="124"/>
      <c r="CWL1" s="124"/>
      <c r="CWM1" s="124"/>
      <c r="CWN1" s="124"/>
      <c r="CWO1" s="124"/>
      <c r="CWP1" s="124"/>
      <c r="CWQ1" s="124"/>
      <c r="CWR1" s="124"/>
      <c r="CWS1" s="124"/>
      <c r="CWT1" s="124"/>
      <c r="CWU1" s="124"/>
      <c r="CWV1" s="124"/>
      <c r="CWW1" s="124"/>
      <c r="CWX1" s="124"/>
      <c r="CWY1" s="124"/>
      <c r="CWZ1" s="124"/>
      <c r="CXA1" s="124"/>
      <c r="CXB1" s="124"/>
      <c r="CXC1" s="124"/>
      <c r="CXD1" s="124"/>
      <c r="CXE1" s="124"/>
      <c r="CXF1" s="124"/>
      <c r="CXG1" s="124"/>
      <c r="CXH1" s="124"/>
      <c r="CXI1" s="124"/>
      <c r="CXJ1" s="124"/>
      <c r="CXK1" s="124"/>
      <c r="CXL1" s="124"/>
      <c r="CXM1" s="124"/>
      <c r="CXN1" s="124"/>
      <c r="CXO1" s="124"/>
      <c r="CXP1" s="124"/>
      <c r="CXQ1" s="124"/>
      <c r="CXR1" s="124"/>
      <c r="CXS1" s="124"/>
      <c r="CXT1" s="124"/>
      <c r="CXU1" s="124"/>
      <c r="CXV1" s="124"/>
      <c r="CXW1" s="124"/>
      <c r="CXX1" s="124"/>
      <c r="CXY1" s="124"/>
      <c r="CXZ1" s="124"/>
      <c r="CYA1" s="124"/>
      <c r="CYB1" s="124"/>
      <c r="CYC1" s="124"/>
      <c r="CYD1" s="124"/>
      <c r="CYE1" s="124"/>
      <c r="CYF1" s="124"/>
      <c r="CYG1" s="124"/>
      <c r="CYH1" s="124"/>
      <c r="CYI1" s="124"/>
      <c r="CYJ1" s="124"/>
      <c r="CYK1" s="124"/>
      <c r="CYL1" s="124"/>
      <c r="CYM1" s="124"/>
      <c r="CYN1" s="124"/>
      <c r="CYO1" s="124"/>
      <c r="CYP1" s="124"/>
      <c r="CYQ1" s="124"/>
      <c r="CYR1" s="124"/>
      <c r="CYS1" s="124"/>
      <c r="CYT1" s="124"/>
      <c r="CYU1" s="124"/>
      <c r="CYV1" s="124"/>
      <c r="CYW1" s="124"/>
      <c r="CYX1" s="124"/>
      <c r="CYY1" s="124"/>
      <c r="CYZ1" s="124"/>
      <c r="CZA1" s="124"/>
      <c r="CZB1" s="124"/>
      <c r="CZC1" s="124"/>
      <c r="CZD1" s="124"/>
      <c r="CZE1" s="124"/>
      <c r="CZF1" s="124"/>
      <c r="CZG1" s="124"/>
      <c r="CZH1" s="124"/>
      <c r="CZI1" s="124"/>
      <c r="CZJ1" s="124"/>
      <c r="CZK1" s="124"/>
      <c r="CZL1" s="124"/>
      <c r="CZM1" s="124"/>
      <c r="CZN1" s="124"/>
      <c r="CZO1" s="124"/>
      <c r="CZP1" s="124"/>
      <c r="CZQ1" s="124"/>
      <c r="CZR1" s="124"/>
      <c r="CZS1" s="124"/>
      <c r="CZT1" s="124"/>
      <c r="CZU1" s="124"/>
      <c r="CZV1" s="124"/>
      <c r="CZW1" s="124"/>
      <c r="CZX1" s="124"/>
      <c r="CZY1" s="124"/>
      <c r="CZZ1" s="124"/>
      <c r="DAA1" s="124"/>
      <c r="DAB1" s="124"/>
      <c r="DAC1" s="124"/>
      <c r="DAD1" s="124"/>
      <c r="DAE1" s="124"/>
      <c r="DAF1" s="124"/>
      <c r="DAG1" s="124"/>
      <c r="DAH1" s="124"/>
      <c r="DAI1" s="124"/>
      <c r="DAJ1" s="124"/>
      <c r="DAK1" s="124"/>
      <c r="DAL1" s="124"/>
      <c r="DAM1" s="124"/>
      <c r="DAN1" s="124"/>
      <c r="DAO1" s="124"/>
      <c r="DAP1" s="124"/>
      <c r="DAQ1" s="124"/>
      <c r="DAR1" s="124"/>
      <c r="DAS1" s="124"/>
      <c r="DAT1" s="124"/>
      <c r="DAU1" s="124"/>
      <c r="DAV1" s="124"/>
      <c r="DAW1" s="124"/>
      <c r="DAX1" s="124"/>
      <c r="DAY1" s="124"/>
      <c r="DAZ1" s="124"/>
      <c r="DBA1" s="124"/>
      <c r="DBB1" s="124"/>
      <c r="DBC1" s="124"/>
      <c r="DBD1" s="124"/>
      <c r="DBE1" s="124"/>
      <c r="DBF1" s="124"/>
      <c r="DBG1" s="124"/>
      <c r="DBH1" s="124"/>
      <c r="DBI1" s="124"/>
      <c r="DBJ1" s="124"/>
      <c r="DBK1" s="124"/>
      <c r="DBL1" s="124"/>
      <c r="DBM1" s="124"/>
      <c r="DBN1" s="124"/>
      <c r="DBO1" s="124"/>
      <c r="DBP1" s="124"/>
      <c r="DBQ1" s="124"/>
      <c r="DBR1" s="124"/>
      <c r="DBS1" s="124"/>
      <c r="DBT1" s="124"/>
      <c r="DBU1" s="124"/>
      <c r="DBV1" s="124"/>
      <c r="DBW1" s="124"/>
      <c r="DBX1" s="124"/>
      <c r="DBY1" s="124"/>
      <c r="DBZ1" s="124"/>
      <c r="DCA1" s="124"/>
      <c r="DCB1" s="124"/>
      <c r="DCC1" s="124"/>
      <c r="DCD1" s="124"/>
      <c r="DCE1" s="124"/>
      <c r="DCF1" s="124"/>
      <c r="DCG1" s="124"/>
      <c r="DCH1" s="124"/>
      <c r="DCI1" s="124"/>
      <c r="DCJ1" s="124"/>
      <c r="DCK1" s="124"/>
      <c r="DCL1" s="124"/>
      <c r="DCM1" s="124"/>
      <c r="DCN1" s="124"/>
      <c r="DCO1" s="124"/>
      <c r="DCP1" s="124"/>
      <c r="DCQ1" s="124"/>
      <c r="DCR1" s="124"/>
      <c r="DCS1" s="124"/>
      <c r="DCT1" s="124"/>
      <c r="DCU1" s="124"/>
      <c r="DCV1" s="124"/>
      <c r="DCW1" s="124"/>
      <c r="DCX1" s="124"/>
      <c r="DCY1" s="124"/>
      <c r="DCZ1" s="124"/>
      <c r="DDA1" s="124"/>
      <c r="DDB1" s="124"/>
      <c r="DDC1" s="124"/>
      <c r="DDD1" s="124"/>
      <c r="DDE1" s="124"/>
      <c r="DDF1" s="124"/>
      <c r="DDG1" s="124"/>
      <c r="DDH1" s="124"/>
      <c r="DDI1" s="124"/>
      <c r="DDJ1" s="124"/>
      <c r="DDK1" s="124"/>
      <c r="DDL1" s="124"/>
      <c r="DDM1" s="124"/>
      <c r="DDN1" s="124"/>
      <c r="DDO1" s="124"/>
      <c r="DDP1" s="124"/>
      <c r="DDQ1" s="124"/>
      <c r="DDR1" s="124"/>
      <c r="DDS1" s="124"/>
      <c r="DDT1" s="124"/>
      <c r="DDU1" s="124"/>
      <c r="DDV1" s="124"/>
      <c r="DDW1" s="124"/>
      <c r="DDX1" s="124"/>
      <c r="DDY1" s="124"/>
      <c r="DDZ1" s="124"/>
      <c r="DEA1" s="124"/>
      <c r="DEB1" s="124"/>
      <c r="DEC1" s="124"/>
      <c r="DED1" s="124"/>
      <c r="DEE1" s="124"/>
      <c r="DEF1" s="124"/>
      <c r="DEG1" s="124"/>
      <c r="DEH1" s="124"/>
      <c r="DEI1" s="124"/>
      <c r="DEJ1" s="124"/>
      <c r="DEK1" s="124"/>
      <c r="DEL1" s="124"/>
      <c r="DEM1" s="124"/>
      <c r="DEN1" s="124"/>
      <c r="DEO1" s="124"/>
      <c r="DEP1" s="124"/>
      <c r="DEQ1" s="124"/>
      <c r="DER1" s="124"/>
      <c r="DES1" s="124"/>
      <c r="DET1" s="124"/>
      <c r="DEU1" s="124"/>
      <c r="DEV1" s="124"/>
      <c r="DEW1" s="124"/>
      <c r="DEX1" s="124"/>
      <c r="DEY1" s="124"/>
      <c r="DEZ1" s="124"/>
      <c r="DFA1" s="124"/>
      <c r="DFB1" s="124"/>
      <c r="DFC1" s="124"/>
      <c r="DFD1" s="124"/>
      <c r="DFE1" s="124"/>
      <c r="DFF1" s="124"/>
      <c r="DFG1" s="124"/>
      <c r="DFH1" s="124"/>
      <c r="DFI1" s="124"/>
      <c r="DFJ1" s="124"/>
      <c r="DFK1" s="124"/>
      <c r="DFL1" s="124"/>
      <c r="DFM1" s="124"/>
      <c r="DFN1" s="124"/>
      <c r="DFO1" s="124"/>
      <c r="DFP1" s="124"/>
      <c r="DFQ1" s="124"/>
      <c r="DFR1" s="124"/>
      <c r="DFS1" s="124"/>
      <c r="DFT1" s="124"/>
      <c r="DFU1" s="124"/>
      <c r="DFV1" s="124"/>
      <c r="DFW1" s="124"/>
      <c r="DFX1" s="124"/>
      <c r="DFY1" s="124"/>
      <c r="DFZ1" s="124"/>
      <c r="DGA1" s="124"/>
      <c r="DGB1" s="124"/>
      <c r="DGC1" s="124"/>
      <c r="DGD1" s="124"/>
      <c r="DGE1" s="124"/>
      <c r="DGF1" s="124"/>
      <c r="DGG1" s="124"/>
      <c r="DGH1" s="124"/>
      <c r="DGI1" s="124"/>
      <c r="DGJ1" s="124"/>
      <c r="DGK1" s="124"/>
      <c r="DGL1" s="124"/>
      <c r="DGM1" s="124"/>
      <c r="DGN1" s="124"/>
      <c r="DGO1" s="124"/>
      <c r="DGP1" s="124"/>
      <c r="DGQ1" s="124"/>
      <c r="DGR1" s="124"/>
      <c r="DGS1" s="124"/>
      <c r="DGT1" s="124"/>
      <c r="DGU1" s="124"/>
      <c r="DGV1" s="124"/>
      <c r="DGW1" s="124"/>
      <c r="DGX1" s="124"/>
      <c r="DGY1" s="124"/>
      <c r="DGZ1" s="124"/>
      <c r="DHA1" s="124"/>
      <c r="DHB1" s="124"/>
      <c r="DHC1" s="124"/>
      <c r="DHD1" s="124"/>
      <c r="DHE1" s="124"/>
      <c r="DHF1" s="124"/>
      <c r="DHG1" s="124"/>
      <c r="DHH1" s="124"/>
      <c r="DHI1" s="124"/>
      <c r="DHJ1" s="124"/>
      <c r="DHK1" s="124"/>
      <c r="DHL1" s="124"/>
      <c r="DHM1" s="124"/>
      <c r="DHN1" s="124"/>
      <c r="DHO1" s="124"/>
      <c r="DHP1" s="124"/>
      <c r="DHQ1" s="124"/>
      <c r="DHR1" s="124"/>
      <c r="DHS1" s="124"/>
      <c r="DHT1" s="124"/>
      <c r="DHU1" s="124"/>
      <c r="DHV1" s="124"/>
      <c r="DHW1" s="124"/>
      <c r="DHX1" s="124"/>
      <c r="DHY1" s="124"/>
      <c r="DHZ1" s="124"/>
      <c r="DIA1" s="124"/>
      <c r="DIB1" s="124"/>
      <c r="DIC1" s="124"/>
      <c r="DID1" s="124"/>
      <c r="DIE1" s="124"/>
      <c r="DIF1" s="124"/>
      <c r="DIG1" s="124"/>
      <c r="DIH1" s="124"/>
      <c r="DII1" s="124"/>
      <c r="DIJ1" s="124"/>
      <c r="DIK1" s="124"/>
      <c r="DIL1" s="124"/>
      <c r="DIM1" s="124"/>
      <c r="DIN1" s="124"/>
      <c r="DIO1" s="124"/>
      <c r="DIP1" s="124"/>
      <c r="DIQ1" s="124"/>
      <c r="DIR1" s="124"/>
      <c r="DIS1" s="124"/>
      <c r="DIT1" s="124"/>
      <c r="DIU1" s="124"/>
      <c r="DIV1" s="124"/>
      <c r="DIW1" s="124"/>
      <c r="DIX1" s="124"/>
      <c r="DIY1" s="124"/>
      <c r="DIZ1" s="124"/>
      <c r="DJA1" s="124"/>
      <c r="DJB1" s="124"/>
      <c r="DJC1" s="124"/>
      <c r="DJD1" s="124"/>
      <c r="DJE1" s="124"/>
      <c r="DJF1" s="124"/>
      <c r="DJG1" s="124"/>
      <c r="DJH1" s="124"/>
      <c r="DJI1" s="124"/>
      <c r="DJJ1" s="124"/>
      <c r="DJK1" s="124"/>
      <c r="DJL1" s="124"/>
      <c r="DJM1" s="124"/>
      <c r="DJN1" s="124"/>
      <c r="DJO1" s="124"/>
      <c r="DJP1" s="124"/>
      <c r="DJQ1" s="124"/>
      <c r="DJR1" s="124"/>
      <c r="DJS1" s="124"/>
      <c r="DJT1" s="124"/>
      <c r="DJU1" s="124"/>
      <c r="DJV1" s="124"/>
      <c r="DJW1" s="124"/>
      <c r="DJX1" s="124"/>
      <c r="DJY1" s="124"/>
      <c r="DJZ1" s="124"/>
      <c r="DKA1" s="124"/>
      <c r="DKB1" s="124"/>
      <c r="DKC1" s="124"/>
      <c r="DKD1" s="124"/>
      <c r="DKE1" s="124"/>
      <c r="DKF1" s="124"/>
      <c r="DKG1" s="124"/>
      <c r="DKH1" s="124"/>
      <c r="DKI1" s="124"/>
      <c r="DKJ1" s="124"/>
      <c r="DKK1" s="124"/>
      <c r="DKL1" s="124"/>
      <c r="DKM1" s="124"/>
      <c r="DKN1" s="124"/>
      <c r="DKO1" s="124"/>
      <c r="DKP1" s="124"/>
      <c r="DKQ1" s="124"/>
      <c r="DKR1" s="124"/>
      <c r="DKS1" s="124"/>
      <c r="DKT1" s="124"/>
      <c r="DKU1" s="124"/>
      <c r="DKV1" s="124"/>
      <c r="DKW1" s="124"/>
      <c r="DKX1" s="124"/>
      <c r="DKY1" s="124"/>
      <c r="DKZ1" s="124"/>
      <c r="DLA1" s="124"/>
      <c r="DLB1" s="124"/>
      <c r="DLC1" s="124"/>
      <c r="DLD1" s="124"/>
      <c r="DLE1" s="124"/>
      <c r="DLF1" s="124"/>
      <c r="DLG1" s="124"/>
      <c r="DLH1" s="124"/>
      <c r="DLI1" s="124"/>
      <c r="DLJ1" s="124"/>
      <c r="DLK1" s="124"/>
      <c r="DLL1" s="124"/>
      <c r="DLM1" s="124"/>
      <c r="DLN1" s="124"/>
      <c r="DLO1" s="124"/>
      <c r="DLP1" s="124"/>
      <c r="DLQ1" s="124"/>
      <c r="DLR1" s="124"/>
      <c r="DLS1" s="124"/>
      <c r="DLT1" s="124"/>
      <c r="DLU1" s="124"/>
      <c r="DLV1" s="124"/>
      <c r="DLW1" s="124"/>
      <c r="DLX1" s="124"/>
      <c r="DLY1" s="124"/>
      <c r="DLZ1" s="124"/>
      <c r="DMA1" s="124"/>
      <c r="DMB1" s="124"/>
      <c r="DMC1" s="124"/>
      <c r="DMD1" s="124"/>
      <c r="DME1" s="124"/>
      <c r="DMF1" s="124"/>
      <c r="DMG1" s="124"/>
      <c r="DMH1" s="124"/>
      <c r="DMI1" s="124"/>
      <c r="DMJ1" s="124"/>
      <c r="DMK1" s="124"/>
      <c r="DML1" s="124"/>
      <c r="DMM1" s="124"/>
      <c r="DMN1" s="124"/>
      <c r="DMO1" s="124"/>
      <c r="DMP1" s="124"/>
      <c r="DMQ1" s="124"/>
      <c r="DMR1" s="124"/>
      <c r="DMS1" s="124"/>
      <c r="DMT1" s="124"/>
      <c r="DMU1" s="124"/>
      <c r="DMV1" s="124"/>
      <c r="DMW1" s="124"/>
      <c r="DMX1" s="124"/>
      <c r="DMY1" s="124"/>
      <c r="DMZ1" s="124"/>
      <c r="DNA1" s="124"/>
      <c r="DNB1" s="124"/>
      <c r="DNC1" s="124"/>
      <c r="DND1" s="124"/>
      <c r="DNE1" s="124"/>
      <c r="DNF1" s="124"/>
      <c r="DNG1" s="124"/>
      <c r="DNH1" s="124"/>
      <c r="DNI1" s="124"/>
      <c r="DNJ1" s="124"/>
      <c r="DNK1" s="124"/>
      <c r="DNL1" s="124"/>
      <c r="DNM1" s="124"/>
      <c r="DNN1" s="124"/>
      <c r="DNO1" s="124"/>
      <c r="DNP1" s="124"/>
      <c r="DNQ1" s="124"/>
      <c r="DNR1" s="124"/>
      <c r="DNS1" s="124"/>
      <c r="DNT1" s="124"/>
      <c r="DNU1" s="124"/>
      <c r="DNV1" s="124"/>
      <c r="DNW1" s="124"/>
      <c r="DNX1" s="124"/>
      <c r="DNY1" s="124"/>
      <c r="DNZ1" s="124"/>
      <c r="DOA1" s="124"/>
      <c r="DOB1" s="124"/>
      <c r="DOC1" s="124"/>
      <c r="DOD1" s="124"/>
      <c r="DOE1" s="124"/>
      <c r="DOF1" s="124"/>
      <c r="DOG1" s="124"/>
      <c r="DOH1" s="124"/>
      <c r="DOI1" s="124"/>
      <c r="DOJ1" s="124"/>
      <c r="DOK1" s="124"/>
      <c r="DOL1" s="124"/>
      <c r="DOM1" s="124"/>
      <c r="DON1" s="124"/>
      <c r="DOO1" s="124"/>
      <c r="DOP1" s="124"/>
      <c r="DOQ1" s="124"/>
      <c r="DOR1" s="124"/>
      <c r="DOS1" s="124"/>
      <c r="DOT1" s="124"/>
      <c r="DOU1" s="124"/>
      <c r="DOV1" s="124"/>
      <c r="DOW1" s="124"/>
      <c r="DOX1" s="124"/>
      <c r="DOY1" s="124"/>
      <c r="DOZ1" s="124"/>
      <c r="DPA1" s="124"/>
      <c r="DPB1" s="124"/>
      <c r="DPC1" s="124"/>
      <c r="DPD1" s="124"/>
      <c r="DPE1" s="124"/>
      <c r="DPF1" s="124"/>
      <c r="DPG1" s="124"/>
      <c r="DPH1" s="124"/>
      <c r="DPI1" s="124"/>
      <c r="DPJ1" s="124"/>
      <c r="DPK1" s="124"/>
      <c r="DPL1" s="124"/>
      <c r="DPM1" s="124"/>
      <c r="DPN1" s="124"/>
      <c r="DPO1" s="124"/>
      <c r="DPP1" s="124"/>
      <c r="DPQ1" s="124"/>
      <c r="DPR1" s="124"/>
      <c r="DPS1" s="124"/>
      <c r="DPT1" s="124"/>
      <c r="DPU1" s="124"/>
      <c r="DPV1" s="124"/>
      <c r="DPW1" s="124"/>
      <c r="DPX1" s="124"/>
      <c r="DPY1" s="124"/>
      <c r="DPZ1" s="124"/>
      <c r="DQA1" s="124"/>
      <c r="DQB1" s="124"/>
      <c r="DQC1" s="124"/>
      <c r="DQD1" s="124"/>
      <c r="DQE1" s="124"/>
      <c r="DQF1" s="124"/>
      <c r="DQG1" s="124"/>
      <c r="DQH1" s="124"/>
      <c r="DQI1" s="124"/>
      <c r="DQJ1" s="124"/>
      <c r="DQK1" s="124"/>
      <c r="DQL1" s="124"/>
      <c r="DQM1" s="124"/>
      <c r="DQN1" s="124"/>
      <c r="DQO1" s="124"/>
      <c r="DQP1" s="124"/>
      <c r="DQQ1" s="124"/>
      <c r="DQR1" s="124"/>
      <c r="DQS1" s="124"/>
      <c r="DQT1" s="124"/>
      <c r="DQU1" s="124"/>
      <c r="DQV1" s="124"/>
      <c r="DQW1" s="124"/>
      <c r="DQX1" s="124"/>
      <c r="DQY1" s="124"/>
      <c r="DQZ1" s="124"/>
      <c r="DRA1" s="124"/>
      <c r="DRB1" s="124"/>
      <c r="DRC1" s="124"/>
      <c r="DRD1" s="124"/>
      <c r="DRE1" s="124"/>
      <c r="DRF1" s="124"/>
      <c r="DRG1" s="124"/>
      <c r="DRH1" s="124"/>
      <c r="DRI1" s="124"/>
      <c r="DRJ1" s="124"/>
      <c r="DRK1" s="124"/>
      <c r="DRL1" s="124"/>
      <c r="DRM1" s="124"/>
      <c r="DRN1" s="124"/>
      <c r="DRO1" s="124"/>
      <c r="DRP1" s="124"/>
      <c r="DRQ1" s="124"/>
      <c r="DRR1" s="124"/>
      <c r="DRS1" s="124"/>
      <c r="DRT1" s="124"/>
      <c r="DRU1" s="124"/>
      <c r="DRV1" s="124"/>
      <c r="DRW1" s="124"/>
      <c r="DRX1" s="124"/>
      <c r="DRY1" s="124"/>
      <c r="DRZ1" s="124"/>
      <c r="DSA1" s="124"/>
      <c r="DSB1" s="124"/>
      <c r="DSC1" s="124"/>
      <c r="DSD1" s="124"/>
      <c r="DSE1" s="124"/>
      <c r="DSF1" s="124"/>
      <c r="DSG1" s="124"/>
      <c r="DSH1" s="124"/>
      <c r="DSI1" s="124"/>
      <c r="DSJ1" s="124"/>
      <c r="DSK1" s="124"/>
      <c r="DSL1" s="124"/>
      <c r="DSM1" s="124"/>
      <c r="DSN1" s="124"/>
      <c r="DSO1" s="124"/>
      <c r="DSP1" s="124"/>
      <c r="DSQ1" s="124"/>
      <c r="DSR1" s="124"/>
      <c r="DSS1" s="124"/>
      <c r="DST1" s="124"/>
      <c r="DSU1" s="124"/>
      <c r="DSV1" s="124"/>
      <c r="DSW1" s="124"/>
      <c r="DSX1" s="124"/>
      <c r="DSY1" s="124"/>
      <c r="DSZ1" s="124"/>
      <c r="DTA1" s="124"/>
      <c r="DTB1" s="124"/>
      <c r="DTC1" s="124"/>
      <c r="DTD1" s="124"/>
      <c r="DTE1" s="124"/>
      <c r="DTF1" s="124"/>
      <c r="DTG1" s="124"/>
      <c r="DTH1" s="124"/>
      <c r="DTI1" s="124"/>
      <c r="DTJ1" s="124"/>
      <c r="DTK1" s="124"/>
      <c r="DTL1" s="124"/>
      <c r="DTM1" s="124"/>
      <c r="DTN1" s="124"/>
      <c r="DTO1" s="124"/>
      <c r="DTP1" s="124"/>
      <c r="DTQ1" s="124"/>
      <c r="DTR1" s="124"/>
      <c r="DTS1" s="124"/>
      <c r="DTT1" s="124"/>
      <c r="DTU1" s="124"/>
      <c r="DTV1" s="124"/>
      <c r="DTW1" s="124"/>
      <c r="DTX1" s="124"/>
      <c r="DTY1" s="124"/>
      <c r="DTZ1" s="124"/>
      <c r="DUA1" s="124"/>
      <c r="DUB1" s="124"/>
      <c r="DUC1" s="124"/>
      <c r="DUD1" s="124"/>
      <c r="DUE1" s="124"/>
      <c r="DUF1" s="124"/>
      <c r="DUG1" s="124"/>
      <c r="DUH1" s="124"/>
      <c r="DUI1" s="124"/>
      <c r="DUJ1" s="124"/>
      <c r="DUK1" s="124"/>
      <c r="DUL1" s="124"/>
      <c r="DUM1" s="124"/>
      <c r="DUN1" s="124"/>
      <c r="DUO1" s="124"/>
      <c r="DUP1" s="124"/>
      <c r="DUQ1" s="124"/>
      <c r="DUR1" s="124"/>
      <c r="DUS1" s="124"/>
      <c r="DUT1" s="124"/>
      <c r="DUU1" s="124"/>
      <c r="DUV1" s="124"/>
      <c r="DUW1" s="124"/>
      <c r="DUX1" s="124"/>
      <c r="DUY1" s="124"/>
      <c r="DUZ1" s="124"/>
      <c r="DVA1" s="124"/>
      <c r="DVB1" s="124"/>
      <c r="DVC1" s="124"/>
      <c r="DVD1" s="124"/>
      <c r="DVE1" s="124"/>
      <c r="DVF1" s="124"/>
      <c r="DVG1" s="124"/>
      <c r="DVH1" s="124"/>
      <c r="DVI1" s="124"/>
      <c r="DVJ1" s="124"/>
      <c r="DVK1" s="124"/>
      <c r="DVL1" s="124"/>
      <c r="DVM1" s="124"/>
      <c r="DVN1" s="124"/>
      <c r="DVO1" s="124"/>
      <c r="DVP1" s="124"/>
      <c r="DVQ1" s="124"/>
      <c r="DVR1" s="124"/>
      <c r="DVS1" s="124"/>
      <c r="DVT1" s="124"/>
      <c r="DVU1" s="124"/>
      <c r="DVV1" s="124"/>
      <c r="DVW1" s="124"/>
      <c r="DVX1" s="124"/>
      <c r="DVY1" s="124"/>
      <c r="DVZ1" s="124"/>
      <c r="DWA1" s="124"/>
      <c r="DWB1" s="124"/>
      <c r="DWC1" s="124"/>
      <c r="DWD1" s="124"/>
      <c r="DWE1" s="124"/>
      <c r="DWF1" s="124"/>
      <c r="DWG1" s="124"/>
      <c r="DWH1" s="124"/>
      <c r="DWI1" s="124"/>
      <c r="DWJ1" s="124"/>
      <c r="DWK1" s="124"/>
      <c r="DWL1" s="124"/>
      <c r="DWM1" s="124"/>
      <c r="DWN1" s="124"/>
      <c r="DWO1" s="124"/>
      <c r="DWP1" s="124"/>
      <c r="DWQ1" s="124"/>
      <c r="DWR1" s="124"/>
      <c r="DWS1" s="124"/>
      <c r="DWT1" s="124"/>
      <c r="DWU1" s="124"/>
      <c r="DWV1" s="124"/>
      <c r="DWW1" s="124"/>
      <c r="DWX1" s="124"/>
      <c r="DWY1" s="124"/>
      <c r="DWZ1" s="124"/>
      <c r="DXA1" s="124"/>
      <c r="DXB1" s="124"/>
      <c r="DXC1" s="124"/>
      <c r="DXD1" s="124"/>
      <c r="DXE1" s="124"/>
      <c r="DXF1" s="124"/>
      <c r="DXG1" s="124"/>
      <c r="DXH1" s="124"/>
      <c r="DXI1" s="124"/>
      <c r="DXJ1" s="124"/>
      <c r="DXK1" s="124"/>
      <c r="DXL1" s="124"/>
      <c r="DXM1" s="124"/>
      <c r="DXN1" s="124"/>
      <c r="DXO1" s="124"/>
      <c r="DXP1" s="124"/>
      <c r="DXQ1" s="124"/>
      <c r="DXR1" s="124"/>
      <c r="DXS1" s="124"/>
      <c r="DXT1" s="124"/>
      <c r="DXU1" s="124"/>
      <c r="DXV1" s="124"/>
      <c r="DXW1" s="124"/>
      <c r="DXX1" s="124"/>
      <c r="DXY1" s="124"/>
      <c r="DXZ1" s="124"/>
      <c r="DYA1" s="124"/>
      <c r="DYB1" s="124"/>
      <c r="DYC1" s="124"/>
      <c r="DYD1" s="124"/>
      <c r="DYE1" s="124"/>
      <c r="DYF1" s="124"/>
      <c r="DYG1" s="124"/>
      <c r="DYH1" s="124"/>
      <c r="DYI1" s="124"/>
      <c r="DYJ1" s="124"/>
      <c r="DYK1" s="124"/>
      <c r="DYL1" s="124"/>
      <c r="DYM1" s="124"/>
      <c r="DYN1" s="124"/>
      <c r="DYO1" s="124"/>
      <c r="DYP1" s="124"/>
      <c r="DYQ1" s="124"/>
      <c r="DYR1" s="124"/>
      <c r="DYS1" s="124"/>
      <c r="DYT1" s="124"/>
      <c r="DYU1" s="124"/>
      <c r="DYV1" s="124"/>
      <c r="DYW1" s="124"/>
      <c r="DYX1" s="124"/>
      <c r="DYY1" s="124"/>
      <c r="DYZ1" s="124"/>
      <c r="DZA1" s="124"/>
      <c r="DZB1" s="124"/>
      <c r="DZC1" s="124"/>
      <c r="DZD1" s="124"/>
      <c r="DZE1" s="124"/>
      <c r="DZF1" s="124"/>
      <c r="DZG1" s="124"/>
      <c r="DZH1" s="124"/>
      <c r="DZI1" s="124"/>
      <c r="DZJ1" s="124"/>
      <c r="DZK1" s="124"/>
      <c r="DZL1" s="124"/>
      <c r="DZM1" s="124"/>
      <c r="DZN1" s="124"/>
      <c r="DZO1" s="124"/>
      <c r="DZP1" s="124"/>
      <c r="DZQ1" s="124"/>
      <c r="DZR1" s="124"/>
      <c r="DZS1" s="124"/>
      <c r="DZT1" s="124"/>
      <c r="DZU1" s="124"/>
      <c r="DZV1" s="124"/>
      <c r="DZW1" s="124"/>
      <c r="DZX1" s="124"/>
      <c r="DZY1" s="124"/>
      <c r="DZZ1" s="124"/>
      <c r="EAA1" s="124"/>
      <c r="EAB1" s="124"/>
      <c r="EAC1" s="124"/>
      <c r="EAD1" s="124"/>
      <c r="EAE1" s="124"/>
      <c r="EAF1" s="124"/>
      <c r="EAG1" s="124"/>
      <c r="EAH1" s="124"/>
      <c r="EAI1" s="124"/>
      <c r="EAJ1" s="124"/>
      <c r="EAK1" s="124"/>
      <c r="EAL1" s="124"/>
      <c r="EAM1" s="124"/>
      <c r="EAN1" s="124"/>
      <c r="EAO1" s="124"/>
      <c r="EAP1" s="124"/>
      <c r="EAQ1" s="124"/>
      <c r="EAR1" s="124"/>
      <c r="EAS1" s="124"/>
      <c r="EAT1" s="124"/>
      <c r="EAU1" s="124"/>
      <c r="EAV1" s="124"/>
      <c r="EAW1" s="124"/>
      <c r="EAX1" s="124"/>
      <c r="EAY1" s="124"/>
      <c r="EAZ1" s="124"/>
      <c r="EBA1" s="124"/>
      <c r="EBB1" s="124"/>
      <c r="EBC1" s="124"/>
      <c r="EBD1" s="124"/>
      <c r="EBE1" s="124"/>
      <c r="EBF1" s="124"/>
      <c r="EBG1" s="124"/>
      <c r="EBH1" s="124"/>
      <c r="EBI1" s="124"/>
      <c r="EBJ1" s="124"/>
      <c r="EBK1" s="124"/>
      <c r="EBL1" s="124"/>
      <c r="EBM1" s="124"/>
      <c r="EBN1" s="124"/>
      <c r="EBO1" s="124"/>
      <c r="EBP1" s="124"/>
      <c r="EBQ1" s="124"/>
      <c r="EBR1" s="124"/>
      <c r="EBS1" s="124"/>
      <c r="EBT1" s="124"/>
      <c r="EBU1" s="124"/>
      <c r="EBV1" s="124"/>
      <c r="EBW1" s="124"/>
      <c r="EBX1" s="124"/>
      <c r="EBY1" s="124"/>
      <c r="EBZ1" s="124"/>
      <c r="ECA1" s="124"/>
      <c r="ECB1" s="124"/>
      <c r="ECC1" s="124"/>
      <c r="ECD1" s="124"/>
      <c r="ECE1" s="124"/>
      <c r="ECF1" s="124"/>
      <c r="ECG1" s="124"/>
      <c r="ECH1" s="124"/>
      <c r="ECI1" s="124"/>
      <c r="ECJ1" s="124"/>
      <c r="ECK1" s="124"/>
      <c r="ECL1" s="124"/>
      <c r="ECM1" s="124"/>
      <c r="ECN1" s="124"/>
      <c r="ECO1" s="124"/>
      <c r="ECP1" s="124"/>
      <c r="ECQ1" s="124"/>
      <c r="ECR1" s="124"/>
      <c r="ECS1" s="124"/>
      <c r="ECT1" s="124"/>
      <c r="ECU1" s="124"/>
      <c r="ECV1" s="124"/>
      <c r="ECW1" s="124"/>
      <c r="ECX1" s="124"/>
      <c r="ECY1" s="124"/>
      <c r="ECZ1" s="124"/>
      <c r="EDA1" s="124"/>
      <c r="EDB1" s="124"/>
      <c r="EDC1" s="124"/>
      <c r="EDD1" s="124"/>
      <c r="EDE1" s="124"/>
      <c r="EDF1" s="124"/>
      <c r="EDG1" s="124"/>
      <c r="EDH1" s="124"/>
      <c r="EDI1" s="124"/>
      <c r="EDJ1" s="124"/>
      <c r="EDK1" s="124"/>
      <c r="EDL1" s="124"/>
      <c r="EDM1" s="124"/>
      <c r="EDN1" s="124"/>
      <c r="EDO1" s="124"/>
      <c r="EDP1" s="124"/>
      <c r="EDQ1" s="124"/>
      <c r="EDR1" s="124"/>
      <c r="EDS1" s="124"/>
      <c r="EDT1" s="124"/>
      <c r="EDU1" s="124"/>
      <c r="EDV1" s="124"/>
      <c r="EDW1" s="124"/>
      <c r="EDX1" s="124"/>
      <c r="EDY1" s="124"/>
      <c r="EDZ1" s="124"/>
      <c r="EEA1" s="124"/>
      <c r="EEB1" s="124"/>
      <c r="EEC1" s="124"/>
      <c r="EED1" s="124"/>
      <c r="EEE1" s="124"/>
      <c r="EEF1" s="124"/>
      <c r="EEG1" s="124"/>
      <c r="EEH1" s="124"/>
      <c r="EEI1" s="124"/>
      <c r="EEJ1" s="124"/>
      <c r="EEK1" s="124"/>
      <c r="EEL1" s="124"/>
      <c r="EEM1" s="124"/>
      <c r="EEN1" s="124"/>
      <c r="EEO1" s="124"/>
      <c r="EEP1" s="124"/>
      <c r="EEQ1" s="124"/>
      <c r="EER1" s="124"/>
      <c r="EES1" s="124"/>
      <c r="EET1" s="124"/>
      <c r="EEU1" s="124"/>
      <c r="EEV1" s="124"/>
      <c r="EEW1" s="124"/>
      <c r="EEX1" s="124"/>
      <c r="EEY1" s="124"/>
      <c r="EEZ1" s="124"/>
      <c r="EFA1" s="124"/>
      <c r="EFB1" s="124"/>
      <c r="EFC1" s="124"/>
      <c r="EFD1" s="124"/>
      <c r="EFE1" s="124"/>
      <c r="EFF1" s="124"/>
      <c r="EFG1" s="124"/>
      <c r="EFH1" s="124"/>
      <c r="EFI1" s="124"/>
      <c r="EFJ1" s="124"/>
      <c r="EFK1" s="124"/>
      <c r="EFL1" s="124"/>
      <c r="EFM1" s="124"/>
      <c r="EFN1" s="124"/>
      <c r="EFO1" s="124"/>
      <c r="EFP1" s="124"/>
      <c r="EFQ1" s="124"/>
      <c r="EFR1" s="124"/>
      <c r="EFS1" s="124"/>
      <c r="EFT1" s="124"/>
      <c r="EFU1" s="124"/>
      <c r="EFV1" s="124"/>
      <c r="EFW1" s="124"/>
      <c r="EFX1" s="124"/>
      <c r="EFY1" s="124"/>
      <c r="EFZ1" s="124"/>
      <c r="EGA1" s="124"/>
      <c r="EGB1" s="124"/>
      <c r="EGC1" s="124"/>
      <c r="EGD1" s="124"/>
      <c r="EGE1" s="124"/>
      <c r="EGF1" s="124"/>
      <c r="EGG1" s="124"/>
      <c r="EGH1" s="124"/>
      <c r="EGI1" s="124"/>
      <c r="EGJ1" s="124"/>
      <c r="EGK1" s="124"/>
      <c r="EGL1" s="124"/>
      <c r="EGM1" s="124"/>
      <c r="EGN1" s="124"/>
      <c r="EGO1" s="124"/>
      <c r="EGP1" s="124"/>
      <c r="EGQ1" s="124"/>
      <c r="EGR1" s="124"/>
      <c r="EGS1" s="124"/>
      <c r="EGT1" s="124"/>
      <c r="EGU1" s="124"/>
      <c r="EGV1" s="124"/>
      <c r="EGW1" s="124"/>
      <c r="EGX1" s="124"/>
      <c r="EGY1" s="124"/>
      <c r="EGZ1" s="124"/>
      <c r="EHA1" s="124"/>
      <c r="EHB1" s="124"/>
      <c r="EHC1" s="124"/>
      <c r="EHD1" s="124"/>
      <c r="EHE1" s="124"/>
      <c r="EHF1" s="124"/>
      <c r="EHG1" s="124"/>
      <c r="EHH1" s="124"/>
      <c r="EHI1" s="124"/>
      <c r="EHJ1" s="124"/>
      <c r="EHK1" s="124"/>
      <c r="EHL1" s="124"/>
      <c r="EHM1" s="124"/>
      <c r="EHN1" s="124"/>
      <c r="EHO1" s="124"/>
      <c r="EHP1" s="124"/>
      <c r="EHQ1" s="124"/>
      <c r="EHR1" s="124"/>
      <c r="EHS1" s="124"/>
      <c r="EHT1" s="124"/>
      <c r="EHU1" s="124"/>
      <c r="EHV1" s="124"/>
      <c r="EHW1" s="124"/>
      <c r="EHX1" s="124"/>
      <c r="EHY1" s="124"/>
      <c r="EHZ1" s="124"/>
      <c r="EIA1" s="124"/>
      <c r="EIB1" s="124"/>
      <c r="EIC1" s="124"/>
      <c r="EID1" s="124"/>
      <c r="EIE1" s="124"/>
      <c r="EIF1" s="124"/>
      <c r="EIG1" s="124"/>
      <c r="EIH1" s="124"/>
      <c r="EII1" s="124"/>
      <c r="EIJ1" s="124"/>
      <c r="EIK1" s="124"/>
      <c r="EIL1" s="124"/>
      <c r="EIM1" s="124"/>
      <c r="EIN1" s="124"/>
      <c r="EIO1" s="124"/>
      <c r="EIP1" s="124"/>
      <c r="EIQ1" s="124"/>
      <c r="EIR1" s="124"/>
      <c r="EIS1" s="124"/>
      <c r="EIT1" s="124"/>
      <c r="EIU1" s="124"/>
      <c r="EIV1" s="124"/>
      <c r="EIW1" s="124"/>
      <c r="EIX1" s="124"/>
      <c r="EIY1" s="124"/>
      <c r="EIZ1" s="124"/>
      <c r="EJA1" s="124"/>
      <c r="EJB1" s="124"/>
      <c r="EJC1" s="124"/>
      <c r="EJD1" s="124"/>
      <c r="EJE1" s="124"/>
      <c r="EJF1" s="124"/>
      <c r="EJG1" s="124"/>
      <c r="EJH1" s="124"/>
      <c r="EJI1" s="124"/>
      <c r="EJJ1" s="124"/>
      <c r="EJK1" s="124"/>
      <c r="EJL1" s="124"/>
      <c r="EJM1" s="124"/>
      <c r="EJN1" s="124"/>
      <c r="EJO1" s="124"/>
      <c r="EJP1" s="124"/>
      <c r="EJQ1" s="124"/>
      <c r="EJR1" s="124"/>
      <c r="EJS1" s="124"/>
      <c r="EJT1" s="124"/>
      <c r="EJU1" s="124"/>
      <c r="EJV1" s="124"/>
      <c r="EJW1" s="124"/>
      <c r="EJX1" s="124"/>
      <c r="EJY1" s="124"/>
      <c r="EJZ1" s="124"/>
      <c r="EKA1" s="124"/>
      <c r="EKB1" s="124"/>
      <c r="EKC1" s="124"/>
      <c r="EKD1" s="124"/>
      <c r="EKE1" s="124"/>
      <c r="EKF1" s="124"/>
      <c r="EKG1" s="124"/>
      <c r="EKH1" s="124"/>
      <c r="EKI1" s="124"/>
      <c r="EKJ1" s="124"/>
      <c r="EKK1" s="124"/>
      <c r="EKL1" s="124"/>
      <c r="EKM1" s="124"/>
      <c r="EKN1" s="124"/>
      <c r="EKO1" s="124"/>
      <c r="EKP1" s="124"/>
      <c r="EKQ1" s="124"/>
      <c r="EKR1" s="124"/>
      <c r="EKS1" s="124"/>
      <c r="EKT1" s="124"/>
      <c r="EKU1" s="124"/>
      <c r="EKV1" s="124"/>
      <c r="EKW1" s="124"/>
      <c r="EKX1" s="124"/>
      <c r="EKY1" s="124"/>
      <c r="EKZ1" s="124"/>
      <c r="ELA1" s="124"/>
      <c r="ELB1" s="124"/>
      <c r="ELC1" s="124"/>
      <c r="ELD1" s="124"/>
      <c r="ELE1" s="124"/>
      <c r="ELF1" s="124"/>
      <c r="ELG1" s="124"/>
      <c r="ELH1" s="124"/>
      <c r="ELI1" s="124"/>
      <c r="ELJ1" s="124"/>
      <c r="ELK1" s="124"/>
      <c r="ELL1" s="124"/>
      <c r="ELM1" s="124"/>
      <c r="ELN1" s="124"/>
      <c r="ELO1" s="124"/>
      <c r="ELP1" s="124"/>
      <c r="ELQ1" s="124"/>
      <c r="ELR1" s="124"/>
      <c r="ELS1" s="124"/>
      <c r="ELT1" s="124"/>
      <c r="ELU1" s="124"/>
      <c r="ELV1" s="124"/>
      <c r="ELW1" s="124"/>
      <c r="ELX1" s="124"/>
      <c r="ELY1" s="124"/>
      <c r="ELZ1" s="124"/>
      <c r="EMA1" s="124"/>
      <c r="EMB1" s="124"/>
      <c r="EMC1" s="124"/>
      <c r="EMD1" s="124"/>
      <c r="EME1" s="124"/>
      <c r="EMF1" s="124"/>
      <c r="EMG1" s="124"/>
      <c r="EMH1" s="124"/>
      <c r="EMI1" s="124"/>
      <c r="EMJ1" s="124"/>
      <c r="EMK1" s="124"/>
      <c r="EML1" s="124"/>
      <c r="EMM1" s="124"/>
      <c r="EMN1" s="124"/>
      <c r="EMO1" s="124"/>
      <c r="EMP1" s="124"/>
      <c r="EMQ1" s="124"/>
      <c r="EMR1" s="124"/>
      <c r="EMS1" s="124"/>
      <c r="EMT1" s="124"/>
      <c r="EMU1" s="124"/>
      <c r="EMV1" s="124"/>
      <c r="EMW1" s="124"/>
      <c r="EMX1" s="124"/>
      <c r="EMY1" s="124"/>
      <c r="EMZ1" s="124"/>
      <c r="ENA1" s="124"/>
      <c r="ENB1" s="124"/>
      <c r="ENC1" s="124"/>
      <c r="END1" s="124"/>
      <c r="ENE1" s="124"/>
      <c r="ENF1" s="124"/>
      <c r="ENG1" s="124"/>
      <c r="ENH1" s="124"/>
      <c r="ENI1" s="124"/>
      <c r="ENJ1" s="124"/>
      <c r="ENK1" s="124"/>
      <c r="ENL1" s="124"/>
      <c r="ENM1" s="124"/>
      <c r="ENN1" s="124"/>
      <c r="ENO1" s="124"/>
      <c r="ENP1" s="124"/>
      <c r="ENQ1" s="124"/>
      <c r="ENR1" s="124"/>
      <c r="ENS1" s="124"/>
      <c r="ENT1" s="124"/>
      <c r="ENU1" s="124"/>
      <c r="ENV1" s="124"/>
      <c r="ENW1" s="124"/>
      <c r="ENX1" s="124"/>
      <c r="ENY1" s="124"/>
      <c r="ENZ1" s="124"/>
      <c r="EOA1" s="124"/>
      <c r="EOB1" s="124"/>
      <c r="EOC1" s="124"/>
      <c r="EOD1" s="124"/>
      <c r="EOE1" s="124"/>
      <c r="EOF1" s="124"/>
      <c r="EOG1" s="124"/>
      <c r="EOH1" s="124"/>
      <c r="EOI1" s="124"/>
      <c r="EOJ1" s="124"/>
      <c r="EOK1" s="124"/>
      <c r="EOL1" s="124"/>
      <c r="EOM1" s="124"/>
      <c r="EON1" s="124"/>
      <c r="EOO1" s="124"/>
      <c r="EOP1" s="124"/>
      <c r="EOQ1" s="124"/>
      <c r="EOR1" s="124"/>
      <c r="EOS1" s="124"/>
      <c r="EOT1" s="124"/>
      <c r="EOU1" s="124"/>
      <c r="EOV1" s="124"/>
      <c r="EOW1" s="124"/>
      <c r="EOX1" s="124"/>
      <c r="EOY1" s="124"/>
      <c r="EOZ1" s="124"/>
      <c r="EPA1" s="124"/>
      <c r="EPB1" s="124"/>
      <c r="EPC1" s="124"/>
      <c r="EPD1" s="124"/>
      <c r="EPE1" s="124"/>
      <c r="EPF1" s="124"/>
      <c r="EPG1" s="124"/>
      <c r="EPH1" s="124"/>
      <c r="EPI1" s="124"/>
      <c r="EPJ1" s="124"/>
      <c r="EPK1" s="124"/>
      <c r="EPL1" s="124"/>
      <c r="EPM1" s="124"/>
      <c r="EPN1" s="124"/>
      <c r="EPO1" s="124"/>
      <c r="EPP1" s="124"/>
      <c r="EPQ1" s="124"/>
      <c r="EPR1" s="124"/>
      <c r="EPS1" s="124"/>
      <c r="EPT1" s="124"/>
      <c r="EPU1" s="124"/>
      <c r="EPV1" s="124"/>
      <c r="EPW1" s="124"/>
      <c r="EPX1" s="124"/>
      <c r="EPY1" s="124"/>
      <c r="EPZ1" s="124"/>
      <c r="EQA1" s="124"/>
      <c r="EQB1" s="124"/>
      <c r="EQC1" s="124"/>
      <c r="EQD1" s="124"/>
      <c r="EQE1" s="124"/>
      <c r="EQF1" s="124"/>
      <c r="EQG1" s="124"/>
      <c r="EQH1" s="124"/>
      <c r="EQI1" s="124"/>
      <c r="EQJ1" s="124"/>
      <c r="EQK1" s="124"/>
      <c r="EQL1" s="124"/>
      <c r="EQM1" s="124"/>
      <c r="EQN1" s="124"/>
      <c r="EQO1" s="124"/>
      <c r="EQP1" s="124"/>
      <c r="EQQ1" s="124"/>
      <c r="EQR1" s="124"/>
      <c r="EQS1" s="124"/>
      <c r="EQT1" s="124"/>
      <c r="EQU1" s="124"/>
      <c r="EQV1" s="124"/>
      <c r="EQW1" s="124"/>
      <c r="EQX1" s="124"/>
      <c r="EQY1" s="124"/>
      <c r="EQZ1" s="124"/>
      <c r="ERA1" s="124"/>
      <c r="ERB1" s="124"/>
      <c r="ERC1" s="124"/>
      <c r="ERD1" s="124"/>
      <c r="ERE1" s="124"/>
      <c r="ERF1" s="124"/>
      <c r="ERG1" s="124"/>
      <c r="ERH1" s="124"/>
      <c r="ERI1" s="124"/>
      <c r="ERJ1" s="124"/>
      <c r="ERK1" s="124"/>
      <c r="ERL1" s="124"/>
      <c r="ERM1" s="124"/>
      <c r="ERN1" s="124"/>
      <c r="ERO1" s="124"/>
      <c r="ERP1" s="124"/>
      <c r="ERQ1" s="124"/>
      <c r="ERR1" s="124"/>
      <c r="ERS1" s="124"/>
      <c r="ERT1" s="124"/>
      <c r="ERU1" s="124"/>
      <c r="ERV1" s="124"/>
      <c r="ERW1" s="124"/>
      <c r="ERX1" s="124"/>
      <c r="ERY1" s="124"/>
      <c r="ERZ1" s="124"/>
      <c r="ESA1" s="124"/>
      <c r="ESB1" s="124"/>
      <c r="ESC1" s="124"/>
      <c r="ESD1" s="124"/>
      <c r="ESE1" s="124"/>
      <c r="ESF1" s="124"/>
      <c r="ESG1" s="124"/>
      <c r="ESH1" s="124"/>
      <c r="ESI1" s="124"/>
      <c r="ESJ1" s="124"/>
      <c r="ESK1" s="124"/>
      <c r="ESL1" s="124"/>
      <c r="ESM1" s="124"/>
      <c r="ESN1" s="124"/>
      <c r="ESO1" s="124"/>
      <c r="ESP1" s="124"/>
      <c r="ESQ1" s="124"/>
      <c r="ESR1" s="124"/>
      <c r="ESS1" s="124"/>
      <c r="EST1" s="124"/>
      <c r="ESU1" s="124"/>
      <c r="ESV1" s="124"/>
      <c r="ESW1" s="124"/>
      <c r="ESX1" s="124"/>
      <c r="ESY1" s="124"/>
      <c r="ESZ1" s="124"/>
      <c r="ETA1" s="124"/>
      <c r="ETB1" s="124"/>
      <c r="ETC1" s="124"/>
      <c r="ETD1" s="124"/>
      <c r="ETE1" s="124"/>
      <c r="ETF1" s="124"/>
      <c r="ETG1" s="124"/>
      <c r="ETH1" s="124"/>
      <c r="ETI1" s="124"/>
      <c r="ETJ1" s="124"/>
      <c r="ETK1" s="124"/>
      <c r="ETL1" s="124"/>
      <c r="ETM1" s="124"/>
      <c r="ETN1" s="124"/>
      <c r="ETO1" s="124"/>
      <c r="ETP1" s="124"/>
      <c r="ETQ1" s="124"/>
      <c r="ETR1" s="124"/>
      <c r="ETS1" s="124"/>
      <c r="ETT1" s="124"/>
      <c r="ETU1" s="124"/>
      <c r="ETV1" s="124"/>
      <c r="ETW1" s="124"/>
      <c r="ETX1" s="124"/>
      <c r="ETY1" s="124"/>
      <c r="ETZ1" s="124"/>
      <c r="EUA1" s="124"/>
      <c r="EUB1" s="124"/>
      <c r="EUC1" s="124"/>
      <c r="EUD1" s="124"/>
      <c r="EUE1" s="124"/>
      <c r="EUF1" s="124"/>
      <c r="EUG1" s="124"/>
      <c r="EUH1" s="124"/>
      <c r="EUI1" s="124"/>
      <c r="EUJ1" s="124"/>
      <c r="EUK1" s="124"/>
      <c r="EUL1" s="124"/>
      <c r="EUM1" s="124"/>
      <c r="EUN1" s="124"/>
      <c r="EUO1" s="124"/>
      <c r="EUP1" s="124"/>
      <c r="EUQ1" s="124"/>
      <c r="EUR1" s="124"/>
      <c r="EUS1" s="124"/>
      <c r="EUT1" s="124"/>
      <c r="EUU1" s="124"/>
      <c r="EUV1" s="124"/>
      <c r="EUW1" s="124"/>
      <c r="EUX1" s="124"/>
      <c r="EUY1" s="124"/>
      <c r="EUZ1" s="124"/>
      <c r="EVA1" s="124"/>
      <c r="EVB1" s="124"/>
      <c r="EVC1" s="124"/>
      <c r="EVD1" s="124"/>
      <c r="EVE1" s="124"/>
      <c r="EVF1" s="124"/>
      <c r="EVG1" s="124"/>
      <c r="EVH1" s="124"/>
      <c r="EVI1" s="124"/>
      <c r="EVJ1" s="124"/>
      <c r="EVK1" s="124"/>
      <c r="EVL1" s="124"/>
      <c r="EVM1" s="124"/>
      <c r="EVN1" s="124"/>
      <c r="EVO1" s="124"/>
      <c r="EVP1" s="124"/>
      <c r="EVQ1" s="124"/>
      <c r="EVR1" s="124"/>
      <c r="EVS1" s="124"/>
      <c r="EVT1" s="124"/>
      <c r="EVU1" s="124"/>
      <c r="EVV1" s="124"/>
      <c r="EVW1" s="124"/>
      <c r="EVX1" s="124"/>
      <c r="EVY1" s="124"/>
      <c r="EVZ1" s="124"/>
      <c r="EWA1" s="124"/>
      <c r="EWB1" s="124"/>
      <c r="EWC1" s="124"/>
      <c r="EWD1" s="124"/>
      <c r="EWE1" s="124"/>
      <c r="EWF1" s="124"/>
      <c r="EWG1" s="124"/>
      <c r="EWH1" s="124"/>
      <c r="EWI1" s="124"/>
      <c r="EWJ1" s="124"/>
      <c r="EWK1" s="124"/>
      <c r="EWL1" s="124"/>
      <c r="EWM1" s="124"/>
      <c r="EWN1" s="124"/>
      <c r="EWO1" s="124"/>
      <c r="EWP1" s="124"/>
      <c r="EWQ1" s="124"/>
      <c r="EWR1" s="124"/>
      <c r="EWS1" s="124"/>
      <c r="EWT1" s="124"/>
      <c r="EWU1" s="124"/>
      <c r="EWV1" s="124"/>
      <c r="EWW1" s="124"/>
      <c r="EWX1" s="124"/>
      <c r="EWY1" s="124"/>
      <c r="EWZ1" s="124"/>
      <c r="EXA1" s="124"/>
      <c r="EXB1" s="124"/>
      <c r="EXC1" s="124"/>
      <c r="EXD1" s="124"/>
      <c r="EXE1" s="124"/>
      <c r="EXF1" s="124"/>
      <c r="EXG1" s="124"/>
      <c r="EXH1" s="124"/>
      <c r="EXI1" s="124"/>
      <c r="EXJ1" s="124"/>
      <c r="EXK1" s="124"/>
      <c r="EXL1" s="124"/>
      <c r="EXM1" s="124"/>
      <c r="EXN1" s="124"/>
      <c r="EXO1" s="124"/>
      <c r="EXP1" s="124"/>
      <c r="EXQ1" s="124"/>
      <c r="EXR1" s="124"/>
      <c r="EXS1" s="124"/>
      <c r="EXT1" s="124"/>
      <c r="EXU1" s="124"/>
      <c r="EXV1" s="124"/>
      <c r="EXW1" s="124"/>
      <c r="EXX1" s="124"/>
      <c r="EXY1" s="124"/>
      <c r="EXZ1" s="124"/>
      <c r="EYA1" s="124"/>
      <c r="EYB1" s="124"/>
      <c r="EYC1" s="124"/>
      <c r="EYD1" s="124"/>
      <c r="EYE1" s="124"/>
      <c r="EYF1" s="124"/>
      <c r="EYG1" s="124"/>
      <c r="EYH1" s="124"/>
      <c r="EYI1" s="124"/>
      <c r="EYJ1" s="124"/>
      <c r="EYK1" s="124"/>
      <c r="EYL1" s="124"/>
      <c r="EYM1" s="124"/>
      <c r="EYN1" s="124"/>
      <c r="EYO1" s="124"/>
      <c r="EYP1" s="124"/>
      <c r="EYQ1" s="124"/>
      <c r="EYR1" s="124"/>
      <c r="EYS1" s="124"/>
      <c r="EYT1" s="124"/>
      <c r="EYU1" s="124"/>
      <c r="EYV1" s="124"/>
      <c r="EYW1" s="124"/>
      <c r="EYX1" s="124"/>
      <c r="EYY1" s="124"/>
      <c r="EYZ1" s="124"/>
      <c r="EZA1" s="124"/>
      <c r="EZB1" s="124"/>
      <c r="EZC1" s="124"/>
      <c r="EZD1" s="124"/>
      <c r="EZE1" s="124"/>
      <c r="EZF1" s="124"/>
      <c r="EZG1" s="124"/>
      <c r="EZH1" s="124"/>
      <c r="EZI1" s="124"/>
      <c r="EZJ1" s="124"/>
      <c r="EZK1" s="124"/>
      <c r="EZL1" s="124"/>
      <c r="EZM1" s="124"/>
      <c r="EZN1" s="124"/>
      <c r="EZO1" s="124"/>
      <c r="EZP1" s="124"/>
      <c r="EZQ1" s="124"/>
      <c r="EZR1" s="124"/>
      <c r="EZS1" s="124"/>
      <c r="EZT1" s="124"/>
      <c r="EZU1" s="124"/>
      <c r="EZV1" s="124"/>
      <c r="EZW1" s="124"/>
      <c r="EZX1" s="124"/>
      <c r="EZY1" s="124"/>
      <c r="EZZ1" s="124"/>
      <c r="FAA1" s="124"/>
      <c r="FAB1" s="124"/>
      <c r="FAC1" s="124"/>
      <c r="FAD1" s="124"/>
      <c r="FAE1" s="124"/>
      <c r="FAF1" s="124"/>
      <c r="FAG1" s="124"/>
      <c r="FAH1" s="124"/>
      <c r="FAI1" s="124"/>
      <c r="FAJ1" s="124"/>
      <c r="FAK1" s="124"/>
      <c r="FAL1" s="124"/>
      <c r="FAM1" s="124"/>
      <c r="FAN1" s="124"/>
      <c r="FAO1" s="124"/>
      <c r="FAP1" s="124"/>
      <c r="FAQ1" s="124"/>
      <c r="FAR1" s="124"/>
      <c r="FAS1" s="124"/>
      <c r="FAT1" s="124"/>
      <c r="FAU1" s="124"/>
      <c r="FAV1" s="124"/>
      <c r="FAW1" s="124"/>
      <c r="FAX1" s="124"/>
      <c r="FAY1" s="124"/>
      <c r="FAZ1" s="124"/>
      <c r="FBA1" s="124"/>
      <c r="FBB1" s="124"/>
      <c r="FBC1" s="124"/>
      <c r="FBD1" s="124"/>
      <c r="FBE1" s="124"/>
      <c r="FBF1" s="124"/>
      <c r="FBG1" s="124"/>
      <c r="FBH1" s="124"/>
      <c r="FBI1" s="124"/>
      <c r="FBJ1" s="124"/>
      <c r="FBK1" s="124"/>
      <c r="FBL1" s="124"/>
      <c r="FBM1" s="124"/>
      <c r="FBN1" s="124"/>
      <c r="FBO1" s="124"/>
      <c r="FBP1" s="124"/>
      <c r="FBQ1" s="124"/>
      <c r="FBR1" s="124"/>
      <c r="FBS1" s="124"/>
      <c r="FBT1" s="124"/>
      <c r="FBU1" s="124"/>
      <c r="FBV1" s="124"/>
      <c r="FBW1" s="124"/>
      <c r="FBX1" s="124"/>
      <c r="FBY1" s="124"/>
      <c r="FBZ1" s="124"/>
      <c r="FCA1" s="124"/>
      <c r="FCB1" s="124"/>
      <c r="FCC1" s="124"/>
      <c r="FCD1" s="124"/>
      <c r="FCE1" s="124"/>
      <c r="FCF1" s="124"/>
      <c r="FCG1" s="124"/>
      <c r="FCH1" s="124"/>
      <c r="FCI1" s="124"/>
      <c r="FCJ1" s="124"/>
      <c r="FCK1" s="124"/>
      <c r="FCL1" s="124"/>
      <c r="FCM1" s="124"/>
      <c r="FCN1" s="124"/>
      <c r="FCO1" s="124"/>
      <c r="FCP1" s="124"/>
      <c r="FCQ1" s="124"/>
      <c r="FCR1" s="124"/>
      <c r="FCS1" s="124"/>
      <c r="FCT1" s="124"/>
      <c r="FCU1" s="124"/>
      <c r="FCV1" s="124"/>
      <c r="FCW1" s="124"/>
      <c r="FCX1" s="124"/>
      <c r="FCY1" s="124"/>
      <c r="FCZ1" s="124"/>
      <c r="FDA1" s="124"/>
      <c r="FDB1" s="124"/>
      <c r="FDC1" s="124"/>
      <c r="FDD1" s="124"/>
      <c r="FDE1" s="124"/>
      <c r="FDF1" s="124"/>
      <c r="FDG1" s="124"/>
      <c r="FDH1" s="124"/>
      <c r="FDI1" s="124"/>
      <c r="FDJ1" s="124"/>
      <c r="FDK1" s="124"/>
      <c r="FDL1" s="124"/>
      <c r="FDM1" s="124"/>
      <c r="FDN1" s="124"/>
      <c r="FDO1" s="124"/>
      <c r="FDP1" s="124"/>
      <c r="FDQ1" s="124"/>
      <c r="FDR1" s="124"/>
      <c r="FDS1" s="124"/>
      <c r="FDT1" s="124"/>
      <c r="FDU1" s="124"/>
      <c r="FDV1" s="124"/>
      <c r="FDW1" s="124"/>
      <c r="FDX1" s="124"/>
      <c r="FDY1" s="124"/>
      <c r="FDZ1" s="124"/>
      <c r="FEA1" s="124"/>
      <c r="FEB1" s="124"/>
      <c r="FEC1" s="124"/>
      <c r="FED1" s="124"/>
      <c r="FEE1" s="124"/>
      <c r="FEF1" s="124"/>
      <c r="FEG1" s="124"/>
      <c r="FEH1" s="124"/>
      <c r="FEI1" s="124"/>
      <c r="FEJ1" s="124"/>
      <c r="FEK1" s="124"/>
      <c r="FEL1" s="124"/>
      <c r="FEM1" s="124"/>
      <c r="FEN1" s="124"/>
      <c r="FEO1" s="124"/>
      <c r="FEP1" s="124"/>
      <c r="FEQ1" s="124"/>
      <c r="FER1" s="124"/>
      <c r="FES1" s="124"/>
      <c r="FET1" s="124"/>
      <c r="FEU1" s="124"/>
      <c r="FEV1" s="124"/>
      <c r="FEW1" s="124"/>
      <c r="FEX1" s="124"/>
      <c r="FEY1" s="124"/>
      <c r="FEZ1" s="124"/>
      <c r="FFA1" s="124"/>
      <c r="FFB1" s="124"/>
      <c r="FFC1" s="124"/>
      <c r="FFD1" s="124"/>
      <c r="FFE1" s="124"/>
      <c r="FFF1" s="124"/>
      <c r="FFG1" s="124"/>
      <c r="FFH1" s="124"/>
      <c r="FFI1" s="124"/>
      <c r="FFJ1" s="124"/>
      <c r="FFK1" s="124"/>
      <c r="FFL1" s="124"/>
      <c r="FFM1" s="124"/>
      <c r="FFN1" s="124"/>
      <c r="FFO1" s="124"/>
      <c r="FFP1" s="124"/>
      <c r="FFQ1" s="124"/>
      <c r="FFR1" s="124"/>
      <c r="FFS1" s="124"/>
      <c r="FFT1" s="124"/>
      <c r="FFU1" s="124"/>
      <c r="FFV1" s="124"/>
      <c r="FFW1" s="124"/>
      <c r="FFX1" s="124"/>
      <c r="FFY1" s="124"/>
      <c r="FFZ1" s="124"/>
      <c r="FGA1" s="124"/>
      <c r="FGB1" s="124"/>
      <c r="FGC1" s="124"/>
      <c r="FGD1" s="124"/>
      <c r="FGE1" s="124"/>
      <c r="FGF1" s="124"/>
      <c r="FGG1" s="124"/>
      <c r="FGH1" s="124"/>
      <c r="FGI1" s="124"/>
      <c r="FGJ1" s="124"/>
      <c r="FGK1" s="124"/>
      <c r="FGL1" s="124"/>
      <c r="FGM1" s="124"/>
      <c r="FGN1" s="124"/>
      <c r="FGO1" s="124"/>
      <c r="FGP1" s="124"/>
      <c r="FGQ1" s="124"/>
      <c r="FGR1" s="124"/>
      <c r="FGS1" s="124"/>
      <c r="FGT1" s="124"/>
      <c r="FGU1" s="124"/>
      <c r="FGV1" s="124"/>
      <c r="FGW1" s="124"/>
      <c r="FGX1" s="124"/>
      <c r="FGY1" s="124"/>
      <c r="FGZ1" s="124"/>
      <c r="FHA1" s="124"/>
      <c r="FHB1" s="124"/>
      <c r="FHC1" s="124"/>
      <c r="FHD1" s="124"/>
      <c r="FHE1" s="124"/>
      <c r="FHF1" s="124"/>
      <c r="FHG1" s="124"/>
      <c r="FHH1" s="124"/>
      <c r="FHI1" s="124"/>
      <c r="FHJ1" s="124"/>
      <c r="FHK1" s="124"/>
      <c r="FHL1" s="124"/>
      <c r="FHM1" s="124"/>
      <c r="FHN1" s="124"/>
      <c r="FHO1" s="124"/>
      <c r="FHP1" s="124"/>
      <c r="FHQ1" s="124"/>
      <c r="FHR1" s="124"/>
      <c r="FHS1" s="124"/>
      <c r="FHT1" s="124"/>
      <c r="FHU1" s="124"/>
      <c r="FHV1" s="124"/>
      <c r="FHW1" s="124"/>
      <c r="FHX1" s="124"/>
      <c r="FHY1" s="124"/>
      <c r="FHZ1" s="124"/>
      <c r="FIA1" s="124"/>
      <c r="FIB1" s="124"/>
      <c r="FIC1" s="124"/>
      <c r="FID1" s="124"/>
      <c r="FIE1" s="124"/>
      <c r="FIF1" s="124"/>
      <c r="FIG1" s="124"/>
      <c r="FIH1" s="124"/>
      <c r="FII1" s="124"/>
      <c r="FIJ1" s="124"/>
      <c r="FIK1" s="124"/>
      <c r="FIL1" s="124"/>
      <c r="FIM1" s="124"/>
      <c r="FIN1" s="124"/>
      <c r="FIO1" s="124"/>
      <c r="FIP1" s="124"/>
      <c r="FIQ1" s="124"/>
      <c r="FIR1" s="124"/>
      <c r="FIS1" s="124"/>
      <c r="FIT1" s="124"/>
      <c r="FIU1" s="124"/>
      <c r="FIV1" s="124"/>
      <c r="FIW1" s="124"/>
      <c r="FIX1" s="124"/>
      <c r="FIY1" s="124"/>
      <c r="FIZ1" s="124"/>
      <c r="FJA1" s="124"/>
      <c r="FJB1" s="124"/>
      <c r="FJC1" s="124"/>
      <c r="FJD1" s="124"/>
      <c r="FJE1" s="124"/>
      <c r="FJF1" s="124"/>
      <c r="FJG1" s="124"/>
      <c r="FJH1" s="124"/>
      <c r="FJI1" s="124"/>
      <c r="FJJ1" s="124"/>
      <c r="FJK1" s="124"/>
      <c r="FJL1" s="124"/>
      <c r="FJM1" s="124"/>
      <c r="FJN1" s="124"/>
      <c r="FJO1" s="124"/>
      <c r="FJP1" s="124"/>
      <c r="FJQ1" s="124"/>
      <c r="FJR1" s="124"/>
      <c r="FJS1" s="124"/>
      <c r="FJT1" s="124"/>
      <c r="FJU1" s="124"/>
      <c r="FJV1" s="124"/>
      <c r="FJW1" s="124"/>
      <c r="FJX1" s="124"/>
      <c r="FJY1" s="124"/>
      <c r="FJZ1" s="124"/>
      <c r="FKA1" s="124"/>
      <c r="FKB1" s="124"/>
      <c r="FKC1" s="124"/>
      <c r="FKD1" s="124"/>
      <c r="FKE1" s="124"/>
      <c r="FKF1" s="124"/>
      <c r="FKG1" s="124"/>
      <c r="FKH1" s="124"/>
      <c r="FKI1" s="124"/>
      <c r="FKJ1" s="124"/>
      <c r="FKK1" s="124"/>
      <c r="FKL1" s="124"/>
      <c r="FKM1" s="124"/>
      <c r="FKN1" s="124"/>
      <c r="FKO1" s="124"/>
      <c r="FKP1" s="124"/>
      <c r="FKQ1" s="124"/>
      <c r="FKR1" s="124"/>
      <c r="FKS1" s="124"/>
      <c r="FKT1" s="124"/>
      <c r="FKU1" s="124"/>
      <c r="FKV1" s="124"/>
      <c r="FKW1" s="124"/>
      <c r="FKX1" s="124"/>
      <c r="FKY1" s="124"/>
      <c r="FKZ1" s="124"/>
      <c r="FLA1" s="124"/>
      <c r="FLB1" s="124"/>
      <c r="FLC1" s="124"/>
      <c r="FLD1" s="124"/>
      <c r="FLE1" s="124"/>
      <c r="FLF1" s="124"/>
      <c r="FLG1" s="124"/>
      <c r="FLH1" s="124"/>
      <c r="FLI1" s="124"/>
      <c r="FLJ1" s="124"/>
      <c r="FLK1" s="124"/>
      <c r="FLL1" s="124"/>
      <c r="FLM1" s="124"/>
      <c r="FLN1" s="124"/>
      <c r="FLO1" s="124"/>
      <c r="FLP1" s="124"/>
      <c r="FLQ1" s="124"/>
      <c r="FLR1" s="124"/>
      <c r="FLS1" s="124"/>
      <c r="FLT1" s="124"/>
      <c r="FLU1" s="124"/>
      <c r="FLV1" s="124"/>
      <c r="FLW1" s="124"/>
      <c r="FLX1" s="124"/>
      <c r="FLY1" s="124"/>
      <c r="FLZ1" s="124"/>
      <c r="FMA1" s="124"/>
      <c r="FMB1" s="124"/>
      <c r="FMC1" s="124"/>
      <c r="FMD1" s="124"/>
      <c r="FME1" s="124"/>
      <c r="FMF1" s="124"/>
      <c r="FMG1" s="124"/>
      <c r="FMH1" s="124"/>
      <c r="FMI1" s="124"/>
      <c r="FMJ1" s="124"/>
      <c r="FMK1" s="124"/>
      <c r="FML1" s="124"/>
      <c r="FMM1" s="124"/>
      <c r="FMN1" s="124"/>
      <c r="FMO1" s="124"/>
      <c r="FMP1" s="124"/>
      <c r="FMQ1" s="124"/>
      <c r="FMR1" s="124"/>
      <c r="FMS1" s="124"/>
      <c r="FMT1" s="124"/>
      <c r="FMU1" s="124"/>
      <c r="FMV1" s="124"/>
      <c r="FMW1" s="124"/>
      <c r="FMX1" s="124"/>
      <c r="FMY1" s="124"/>
      <c r="FMZ1" s="124"/>
      <c r="FNA1" s="124"/>
      <c r="FNB1" s="124"/>
      <c r="FNC1" s="124"/>
      <c r="FND1" s="124"/>
      <c r="FNE1" s="124"/>
      <c r="FNF1" s="124"/>
      <c r="FNG1" s="124"/>
      <c r="FNH1" s="124"/>
      <c r="FNI1" s="124"/>
      <c r="FNJ1" s="124"/>
      <c r="FNK1" s="124"/>
      <c r="FNL1" s="124"/>
      <c r="FNM1" s="124"/>
      <c r="FNN1" s="124"/>
      <c r="FNO1" s="124"/>
      <c r="FNP1" s="124"/>
      <c r="FNQ1" s="124"/>
      <c r="FNR1" s="124"/>
      <c r="FNS1" s="124"/>
      <c r="FNT1" s="124"/>
      <c r="FNU1" s="124"/>
      <c r="FNV1" s="124"/>
      <c r="FNW1" s="124"/>
      <c r="FNX1" s="124"/>
      <c r="FNY1" s="124"/>
      <c r="FNZ1" s="124"/>
      <c r="FOA1" s="124"/>
      <c r="FOB1" s="124"/>
      <c r="FOC1" s="124"/>
      <c r="FOD1" s="124"/>
      <c r="FOE1" s="124"/>
      <c r="FOF1" s="124"/>
      <c r="FOG1" s="124"/>
      <c r="FOH1" s="124"/>
      <c r="FOI1" s="124"/>
      <c r="FOJ1" s="124"/>
      <c r="FOK1" s="124"/>
      <c r="FOL1" s="124"/>
      <c r="FOM1" s="124"/>
      <c r="FON1" s="124"/>
      <c r="FOO1" s="124"/>
      <c r="FOP1" s="124"/>
      <c r="FOQ1" s="124"/>
      <c r="FOR1" s="124"/>
      <c r="FOS1" s="124"/>
      <c r="FOT1" s="124"/>
      <c r="FOU1" s="124"/>
      <c r="FOV1" s="124"/>
      <c r="FOW1" s="124"/>
      <c r="FOX1" s="124"/>
      <c r="FOY1" s="124"/>
      <c r="FOZ1" s="124"/>
      <c r="FPA1" s="124"/>
      <c r="FPB1" s="124"/>
      <c r="FPC1" s="124"/>
      <c r="FPD1" s="124"/>
      <c r="FPE1" s="124"/>
      <c r="FPF1" s="124"/>
      <c r="FPG1" s="124"/>
      <c r="FPH1" s="124"/>
      <c r="FPI1" s="124"/>
      <c r="FPJ1" s="124"/>
      <c r="FPK1" s="124"/>
      <c r="FPL1" s="124"/>
      <c r="FPM1" s="124"/>
      <c r="FPN1" s="124"/>
      <c r="FPO1" s="124"/>
      <c r="FPP1" s="124"/>
      <c r="FPQ1" s="124"/>
      <c r="FPR1" s="124"/>
      <c r="FPS1" s="124"/>
      <c r="FPT1" s="124"/>
      <c r="FPU1" s="124"/>
      <c r="FPV1" s="124"/>
      <c r="FPW1" s="124"/>
      <c r="FPX1" s="124"/>
      <c r="FPY1" s="124"/>
      <c r="FPZ1" s="124"/>
      <c r="FQA1" s="124"/>
      <c r="FQB1" s="124"/>
      <c r="FQC1" s="124"/>
      <c r="FQD1" s="124"/>
      <c r="FQE1" s="124"/>
      <c r="FQF1" s="124"/>
      <c r="FQG1" s="124"/>
      <c r="FQH1" s="124"/>
      <c r="FQI1" s="124"/>
      <c r="FQJ1" s="124"/>
      <c r="FQK1" s="124"/>
      <c r="FQL1" s="124"/>
      <c r="FQM1" s="124"/>
      <c r="FQN1" s="124"/>
      <c r="FQO1" s="124"/>
      <c r="FQP1" s="124"/>
      <c r="FQQ1" s="124"/>
      <c r="FQR1" s="124"/>
      <c r="FQS1" s="124"/>
      <c r="FQT1" s="124"/>
      <c r="FQU1" s="124"/>
      <c r="FQV1" s="124"/>
      <c r="FQW1" s="124"/>
      <c r="FQX1" s="124"/>
      <c r="FQY1" s="124"/>
      <c r="FQZ1" s="124"/>
      <c r="FRA1" s="124"/>
      <c r="FRB1" s="124"/>
      <c r="FRC1" s="124"/>
      <c r="FRD1" s="124"/>
      <c r="FRE1" s="124"/>
      <c r="FRF1" s="124"/>
      <c r="FRG1" s="124"/>
      <c r="FRH1" s="124"/>
      <c r="FRI1" s="124"/>
      <c r="FRJ1" s="124"/>
      <c r="FRK1" s="124"/>
      <c r="FRL1" s="124"/>
      <c r="FRM1" s="124"/>
      <c r="FRN1" s="124"/>
      <c r="FRO1" s="124"/>
      <c r="FRP1" s="124"/>
      <c r="FRQ1" s="124"/>
      <c r="FRR1" s="124"/>
      <c r="FRS1" s="124"/>
      <c r="FRT1" s="124"/>
      <c r="FRU1" s="124"/>
      <c r="FRV1" s="124"/>
      <c r="FRW1" s="124"/>
      <c r="FRX1" s="124"/>
      <c r="FRY1" s="124"/>
      <c r="FRZ1" s="124"/>
      <c r="FSA1" s="124"/>
      <c r="FSB1" s="124"/>
      <c r="FSC1" s="124"/>
      <c r="FSD1" s="124"/>
      <c r="FSE1" s="124"/>
      <c r="FSF1" s="124"/>
      <c r="FSG1" s="124"/>
      <c r="FSH1" s="124"/>
      <c r="FSI1" s="124"/>
      <c r="FSJ1" s="124"/>
      <c r="FSK1" s="124"/>
      <c r="FSL1" s="124"/>
      <c r="FSM1" s="124"/>
      <c r="FSN1" s="124"/>
      <c r="FSO1" s="124"/>
      <c r="FSP1" s="124"/>
      <c r="FSQ1" s="124"/>
      <c r="FSR1" s="124"/>
      <c r="FSS1" s="124"/>
      <c r="FST1" s="124"/>
      <c r="FSU1" s="124"/>
      <c r="FSV1" s="124"/>
      <c r="FSW1" s="124"/>
      <c r="FSX1" s="124"/>
      <c r="FSY1" s="124"/>
      <c r="FSZ1" s="124"/>
      <c r="FTA1" s="124"/>
      <c r="FTB1" s="124"/>
      <c r="FTC1" s="124"/>
      <c r="FTD1" s="124"/>
      <c r="FTE1" s="124"/>
      <c r="FTF1" s="124"/>
      <c r="FTG1" s="124"/>
      <c r="FTH1" s="124"/>
      <c r="FTI1" s="124"/>
      <c r="FTJ1" s="124"/>
      <c r="FTK1" s="124"/>
      <c r="FTL1" s="124"/>
      <c r="FTM1" s="124"/>
      <c r="FTN1" s="124"/>
      <c r="FTO1" s="124"/>
      <c r="FTP1" s="124"/>
      <c r="FTQ1" s="124"/>
      <c r="FTR1" s="124"/>
      <c r="FTS1" s="124"/>
      <c r="FTT1" s="124"/>
      <c r="FTU1" s="124"/>
      <c r="FTV1" s="124"/>
      <c r="FTW1" s="124"/>
      <c r="FTX1" s="124"/>
      <c r="FTY1" s="124"/>
      <c r="FTZ1" s="124"/>
      <c r="FUA1" s="124"/>
      <c r="FUB1" s="124"/>
      <c r="FUC1" s="124"/>
      <c r="FUD1" s="124"/>
      <c r="FUE1" s="124"/>
      <c r="FUF1" s="124"/>
      <c r="FUG1" s="124"/>
      <c r="FUH1" s="124"/>
      <c r="FUI1" s="124"/>
      <c r="FUJ1" s="124"/>
      <c r="FUK1" s="124"/>
      <c r="FUL1" s="124"/>
      <c r="FUM1" s="124"/>
      <c r="FUN1" s="124"/>
      <c r="FUO1" s="124"/>
      <c r="FUP1" s="124"/>
      <c r="FUQ1" s="124"/>
      <c r="FUR1" s="124"/>
      <c r="FUS1" s="124"/>
      <c r="FUT1" s="124"/>
      <c r="FUU1" s="124"/>
      <c r="FUV1" s="124"/>
      <c r="FUW1" s="124"/>
      <c r="FUX1" s="124"/>
      <c r="FUY1" s="124"/>
      <c r="FUZ1" s="124"/>
      <c r="FVA1" s="124"/>
      <c r="FVB1" s="124"/>
      <c r="FVC1" s="124"/>
      <c r="FVD1" s="124"/>
      <c r="FVE1" s="124"/>
      <c r="FVF1" s="124"/>
      <c r="FVG1" s="124"/>
      <c r="FVH1" s="124"/>
      <c r="FVI1" s="124"/>
      <c r="FVJ1" s="124"/>
      <c r="FVK1" s="124"/>
      <c r="FVL1" s="124"/>
      <c r="FVM1" s="124"/>
      <c r="FVN1" s="124"/>
      <c r="FVO1" s="124"/>
      <c r="FVP1" s="124"/>
      <c r="FVQ1" s="124"/>
      <c r="FVR1" s="124"/>
      <c r="FVS1" s="124"/>
      <c r="FVT1" s="124"/>
      <c r="FVU1" s="124"/>
      <c r="FVV1" s="124"/>
      <c r="FVW1" s="124"/>
      <c r="FVX1" s="124"/>
      <c r="FVY1" s="124"/>
      <c r="FVZ1" s="124"/>
      <c r="FWA1" s="124"/>
      <c r="FWB1" s="124"/>
      <c r="FWC1" s="124"/>
      <c r="FWD1" s="124"/>
      <c r="FWE1" s="124"/>
      <c r="FWF1" s="124"/>
      <c r="FWG1" s="124"/>
      <c r="FWH1" s="124"/>
      <c r="FWI1" s="124"/>
      <c r="FWJ1" s="124"/>
      <c r="FWK1" s="124"/>
      <c r="FWL1" s="124"/>
      <c r="FWM1" s="124"/>
      <c r="FWN1" s="124"/>
      <c r="FWO1" s="124"/>
      <c r="FWP1" s="124"/>
      <c r="FWQ1" s="124"/>
      <c r="FWR1" s="124"/>
      <c r="FWS1" s="124"/>
      <c r="FWT1" s="124"/>
      <c r="FWU1" s="124"/>
      <c r="FWV1" s="124"/>
      <c r="FWW1" s="124"/>
      <c r="FWX1" s="124"/>
      <c r="FWY1" s="124"/>
      <c r="FWZ1" s="124"/>
      <c r="FXA1" s="124"/>
      <c r="FXB1" s="124"/>
      <c r="FXC1" s="124"/>
      <c r="FXD1" s="124"/>
      <c r="FXE1" s="124"/>
      <c r="FXF1" s="124"/>
      <c r="FXG1" s="124"/>
      <c r="FXH1" s="124"/>
      <c r="FXI1" s="124"/>
      <c r="FXJ1" s="124"/>
      <c r="FXK1" s="124"/>
      <c r="FXL1" s="124"/>
      <c r="FXM1" s="124"/>
      <c r="FXN1" s="124"/>
      <c r="FXO1" s="124"/>
      <c r="FXP1" s="124"/>
      <c r="FXQ1" s="124"/>
      <c r="FXR1" s="124"/>
      <c r="FXS1" s="124"/>
      <c r="FXT1" s="124"/>
      <c r="FXU1" s="124"/>
      <c r="FXV1" s="124"/>
      <c r="FXW1" s="124"/>
      <c r="FXX1" s="124"/>
      <c r="FXY1" s="124"/>
      <c r="FXZ1" s="124"/>
      <c r="FYA1" s="124"/>
      <c r="FYB1" s="124"/>
      <c r="FYC1" s="124"/>
      <c r="FYD1" s="124"/>
      <c r="FYE1" s="124"/>
      <c r="FYF1" s="124"/>
      <c r="FYG1" s="124"/>
      <c r="FYH1" s="124"/>
      <c r="FYI1" s="124"/>
      <c r="FYJ1" s="124"/>
      <c r="FYK1" s="124"/>
      <c r="FYL1" s="124"/>
      <c r="FYM1" s="124"/>
      <c r="FYN1" s="124"/>
      <c r="FYO1" s="124"/>
      <c r="FYP1" s="124"/>
      <c r="FYQ1" s="124"/>
      <c r="FYR1" s="124"/>
      <c r="FYS1" s="124"/>
      <c r="FYT1" s="124"/>
      <c r="FYU1" s="124"/>
      <c r="FYV1" s="124"/>
      <c r="FYW1" s="124"/>
      <c r="FYX1" s="124"/>
      <c r="FYY1" s="124"/>
      <c r="FYZ1" s="124"/>
      <c r="FZA1" s="124"/>
      <c r="FZB1" s="124"/>
      <c r="FZC1" s="124"/>
      <c r="FZD1" s="124"/>
      <c r="FZE1" s="124"/>
      <c r="FZF1" s="124"/>
      <c r="FZG1" s="124"/>
      <c r="FZH1" s="124"/>
      <c r="FZI1" s="124"/>
      <c r="FZJ1" s="124"/>
      <c r="FZK1" s="124"/>
      <c r="FZL1" s="124"/>
      <c r="FZM1" s="124"/>
      <c r="FZN1" s="124"/>
      <c r="FZO1" s="124"/>
      <c r="FZP1" s="124"/>
      <c r="FZQ1" s="124"/>
      <c r="FZR1" s="124"/>
      <c r="FZS1" s="124"/>
      <c r="FZT1" s="124"/>
      <c r="FZU1" s="124"/>
      <c r="FZV1" s="124"/>
      <c r="FZW1" s="124"/>
      <c r="FZX1" s="124"/>
      <c r="FZY1" s="124"/>
      <c r="FZZ1" s="124"/>
      <c r="GAA1" s="124"/>
      <c r="GAB1" s="124"/>
      <c r="GAC1" s="124"/>
      <c r="GAD1" s="124"/>
      <c r="GAE1" s="124"/>
      <c r="GAF1" s="124"/>
      <c r="GAG1" s="124"/>
      <c r="GAH1" s="124"/>
      <c r="GAI1" s="124"/>
      <c r="GAJ1" s="124"/>
      <c r="GAK1" s="124"/>
      <c r="GAL1" s="124"/>
      <c r="GAM1" s="124"/>
      <c r="GAN1" s="124"/>
      <c r="GAO1" s="124"/>
      <c r="GAP1" s="124"/>
      <c r="GAQ1" s="124"/>
      <c r="GAR1" s="124"/>
      <c r="GAS1" s="124"/>
      <c r="GAT1" s="124"/>
      <c r="GAU1" s="124"/>
      <c r="GAV1" s="124"/>
      <c r="GAW1" s="124"/>
      <c r="GAX1" s="124"/>
      <c r="GAY1" s="124"/>
      <c r="GAZ1" s="124"/>
      <c r="GBA1" s="124"/>
      <c r="GBB1" s="124"/>
      <c r="GBC1" s="124"/>
      <c r="GBD1" s="124"/>
      <c r="GBE1" s="124"/>
      <c r="GBF1" s="124"/>
      <c r="GBG1" s="124"/>
      <c r="GBH1" s="124"/>
      <c r="GBI1" s="124"/>
      <c r="GBJ1" s="124"/>
      <c r="GBK1" s="124"/>
      <c r="GBL1" s="124"/>
      <c r="GBM1" s="124"/>
      <c r="GBN1" s="124"/>
      <c r="GBO1" s="124"/>
      <c r="GBP1" s="124"/>
      <c r="GBQ1" s="124"/>
      <c r="GBR1" s="124"/>
      <c r="GBS1" s="124"/>
      <c r="GBT1" s="124"/>
      <c r="GBU1" s="124"/>
      <c r="GBV1" s="124"/>
      <c r="GBW1" s="124"/>
      <c r="GBX1" s="124"/>
      <c r="GBY1" s="124"/>
      <c r="GBZ1" s="124"/>
      <c r="GCA1" s="124"/>
      <c r="GCB1" s="124"/>
      <c r="GCC1" s="124"/>
      <c r="GCD1" s="124"/>
      <c r="GCE1" s="124"/>
      <c r="GCF1" s="124"/>
      <c r="GCG1" s="124"/>
      <c r="GCH1" s="124"/>
      <c r="GCI1" s="124"/>
      <c r="GCJ1" s="124"/>
      <c r="GCK1" s="124"/>
      <c r="GCL1" s="124"/>
      <c r="GCM1" s="124"/>
      <c r="GCN1" s="124"/>
      <c r="GCO1" s="124"/>
      <c r="GCP1" s="124"/>
      <c r="GCQ1" s="124"/>
      <c r="GCR1" s="124"/>
      <c r="GCS1" s="124"/>
      <c r="GCT1" s="124"/>
      <c r="GCU1" s="124"/>
      <c r="GCV1" s="124"/>
      <c r="GCW1" s="124"/>
      <c r="GCX1" s="124"/>
      <c r="GCY1" s="124"/>
      <c r="GCZ1" s="124"/>
      <c r="GDA1" s="124"/>
      <c r="GDB1" s="124"/>
      <c r="GDC1" s="124"/>
      <c r="GDD1" s="124"/>
      <c r="GDE1" s="124"/>
      <c r="GDF1" s="124"/>
      <c r="GDG1" s="124"/>
      <c r="GDH1" s="124"/>
      <c r="GDI1" s="124"/>
      <c r="GDJ1" s="124"/>
      <c r="GDK1" s="124"/>
      <c r="GDL1" s="124"/>
      <c r="GDM1" s="124"/>
      <c r="GDN1" s="124"/>
      <c r="GDO1" s="124"/>
      <c r="GDP1" s="124"/>
      <c r="GDQ1" s="124"/>
      <c r="GDR1" s="124"/>
      <c r="GDS1" s="124"/>
      <c r="GDT1" s="124"/>
      <c r="GDU1" s="124"/>
      <c r="GDV1" s="124"/>
      <c r="GDW1" s="124"/>
      <c r="GDX1" s="124"/>
      <c r="GDY1" s="124"/>
      <c r="GDZ1" s="124"/>
      <c r="GEA1" s="124"/>
      <c r="GEB1" s="124"/>
      <c r="GEC1" s="124"/>
      <c r="GED1" s="124"/>
      <c r="GEE1" s="124"/>
      <c r="GEF1" s="124"/>
      <c r="GEG1" s="124"/>
      <c r="GEH1" s="124"/>
      <c r="GEI1" s="124"/>
      <c r="GEJ1" s="124"/>
      <c r="GEK1" s="124"/>
      <c r="GEL1" s="124"/>
      <c r="GEM1" s="124"/>
      <c r="GEN1" s="124"/>
      <c r="GEO1" s="124"/>
      <c r="GEP1" s="124"/>
      <c r="GEQ1" s="124"/>
      <c r="GER1" s="124"/>
      <c r="GES1" s="124"/>
      <c r="GET1" s="124"/>
      <c r="GEU1" s="124"/>
      <c r="GEV1" s="124"/>
      <c r="GEW1" s="124"/>
      <c r="GEX1" s="124"/>
      <c r="GEY1" s="124"/>
      <c r="GEZ1" s="124"/>
      <c r="GFA1" s="124"/>
      <c r="GFB1" s="124"/>
      <c r="GFC1" s="124"/>
      <c r="GFD1" s="124"/>
      <c r="GFE1" s="124"/>
      <c r="GFF1" s="124"/>
      <c r="GFG1" s="124"/>
      <c r="GFH1" s="124"/>
      <c r="GFI1" s="124"/>
      <c r="GFJ1" s="124"/>
      <c r="GFK1" s="124"/>
      <c r="GFL1" s="124"/>
      <c r="GFM1" s="124"/>
      <c r="GFN1" s="124"/>
      <c r="GFO1" s="124"/>
      <c r="GFP1" s="124"/>
      <c r="GFQ1" s="124"/>
      <c r="GFR1" s="124"/>
      <c r="GFS1" s="124"/>
      <c r="GFT1" s="124"/>
      <c r="GFU1" s="124"/>
      <c r="GFV1" s="124"/>
      <c r="GFW1" s="124"/>
      <c r="GFX1" s="124"/>
      <c r="GFY1" s="124"/>
      <c r="GFZ1" s="124"/>
      <c r="GGA1" s="124"/>
      <c r="GGB1" s="124"/>
      <c r="GGC1" s="124"/>
      <c r="GGD1" s="124"/>
      <c r="GGE1" s="124"/>
      <c r="GGF1" s="124"/>
      <c r="GGG1" s="124"/>
      <c r="GGH1" s="124"/>
      <c r="GGI1" s="124"/>
      <c r="GGJ1" s="124"/>
      <c r="GGK1" s="124"/>
      <c r="GGL1" s="124"/>
      <c r="GGM1" s="124"/>
      <c r="GGN1" s="124"/>
      <c r="GGO1" s="124"/>
      <c r="GGP1" s="124"/>
      <c r="GGQ1" s="124"/>
      <c r="GGR1" s="124"/>
      <c r="GGS1" s="124"/>
      <c r="GGT1" s="124"/>
      <c r="GGU1" s="124"/>
      <c r="GGV1" s="124"/>
      <c r="GGW1" s="124"/>
      <c r="GGX1" s="124"/>
      <c r="GGY1" s="124"/>
      <c r="GGZ1" s="124"/>
      <c r="GHA1" s="124"/>
      <c r="GHB1" s="124"/>
      <c r="GHC1" s="124"/>
      <c r="GHD1" s="124"/>
      <c r="GHE1" s="124"/>
      <c r="GHF1" s="124"/>
      <c r="GHG1" s="124"/>
      <c r="GHH1" s="124"/>
      <c r="GHI1" s="124"/>
      <c r="GHJ1" s="124"/>
      <c r="GHK1" s="124"/>
      <c r="GHL1" s="124"/>
      <c r="GHM1" s="124"/>
      <c r="GHN1" s="124"/>
      <c r="GHO1" s="124"/>
      <c r="GHP1" s="124"/>
      <c r="GHQ1" s="124"/>
      <c r="GHR1" s="124"/>
      <c r="GHS1" s="124"/>
      <c r="GHT1" s="124"/>
      <c r="GHU1" s="124"/>
      <c r="GHV1" s="124"/>
      <c r="GHW1" s="124"/>
      <c r="GHX1" s="124"/>
      <c r="GHY1" s="124"/>
      <c r="GHZ1" s="124"/>
      <c r="GIA1" s="124"/>
      <c r="GIB1" s="124"/>
      <c r="GIC1" s="124"/>
      <c r="GID1" s="124"/>
      <c r="GIE1" s="124"/>
      <c r="GIF1" s="124"/>
      <c r="GIG1" s="124"/>
      <c r="GIH1" s="124"/>
      <c r="GII1" s="124"/>
      <c r="GIJ1" s="124"/>
      <c r="GIK1" s="124"/>
      <c r="GIL1" s="124"/>
      <c r="GIM1" s="124"/>
      <c r="GIN1" s="124"/>
      <c r="GIO1" s="124"/>
      <c r="GIP1" s="124"/>
      <c r="GIQ1" s="124"/>
      <c r="GIR1" s="124"/>
      <c r="GIS1" s="124"/>
      <c r="GIT1" s="124"/>
      <c r="GIU1" s="124"/>
      <c r="GIV1" s="124"/>
      <c r="GIW1" s="124"/>
      <c r="GIX1" s="124"/>
      <c r="GIY1" s="124"/>
      <c r="GIZ1" s="124"/>
      <c r="GJA1" s="124"/>
      <c r="GJB1" s="124"/>
      <c r="GJC1" s="124"/>
      <c r="GJD1" s="124"/>
      <c r="GJE1" s="124"/>
      <c r="GJF1" s="124"/>
      <c r="GJG1" s="124"/>
      <c r="GJH1" s="124"/>
      <c r="GJI1" s="124"/>
      <c r="GJJ1" s="124"/>
      <c r="GJK1" s="124"/>
      <c r="GJL1" s="124"/>
      <c r="GJM1" s="124"/>
      <c r="GJN1" s="124"/>
      <c r="GJO1" s="124"/>
      <c r="GJP1" s="124"/>
      <c r="GJQ1" s="124"/>
      <c r="GJR1" s="124"/>
      <c r="GJS1" s="124"/>
      <c r="GJT1" s="124"/>
      <c r="GJU1" s="124"/>
      <c r="GJV1" s="124"/>
      <c r="GJW1" s="124"/>
      <c r="GJX1" s="124"/>
      <c r="GJY1" s="124"/>
      <c r="GJZ1" s="124"/>
      <c r="GKA1" s="124"/>
      <c r="GKB1" s="124"/>
      <c r="GKC1" s="124"/>
      <c r="GKD1" s="124"/>
      <c r="GKE1" s="124"/>
      <c r="GKF1" s="124"/>
      <c r="GKG1" s="124"/>
      <c r="GKH1" s="124"/>
      <c r="GKI1" s="124"/>
      <c r="GKJ1" s="124"/>
      <c r="GKK1" s="124"/>
      <c r="GKL1" s="124"/>
      <c r="GKM1" s="124"/>
      <c r="GKN1" s="124"/>
      <c r="GKO1" s="124"/>
      <c r="GKP1" s="124"/>
      <c r="GKQ1" s="124"/>
      <c r="GKR1" s="124"/>
      <c r="GKS1" s="124"/>
      <c r="GKT1" s="124"/>
      <c r="GKU1" s="124"/>
      <c r="GKV1" s="124"/>
      <c r="GKW1" s="124"/>
      <c r="GKX1" s="124"/>
      <c r="GKY1" s="124"/>
      <c r="GKZ1" s="124"/>
      <c r="GLA1" s="124"/>
      <c r="GLB1" s="124"/>
      <c r="GLC1" s="124"/>
      <c r="GLD1" s="124"/>
      <c r="GLE1" s="124"/>
      <c r="GLF1" s="124"/>
      <c r="GLG1" s="124"/>
      <c r="GLH1" s="124"/>
      <c r="GLI1" s="124"/>
      <c r="GLJ1" s="124"/>
      <c r="GLK1" s="124"/>
      <c r="GLL1" s="124"/>
      <c r="GLM1" s="124"/>
      <c r="GLN1" s="124"/>
      <c r="GLO1" s="124"/>
      <c r="GLP1" s="124"/>
      <c r="GLQ1" s="124"/>
      <c r="GLR1" s="124"/>
      <c r="GLS1" s="124"/>
      <c r="GLT1" s="124"/>
      <c r="GLU1" s="124"/>
      <c r="GLV1" s="124"/>
      <c r="GLW1" s="124"/>
      <c r="GLX1" s="124"/>
      <c r="GLY1" s="124"/>
      <c r="GLZ1" s="124"/>
      <c r="GMA1" s="124"/>
      <c r="GMB1" s="124"/>
      <c r="GMC1" s="124"/>
      <c r="GMD1" s="124"/>
      <c r="GME1" s="124"/>
      <c r="GMF1" s="124"/>
      <c r="GMG1" s="124"/>
      <c r="GMH1" s="124"/>
      <c r="GMI1" s="124"/>
      <c r="GMJ1" s="124"/>
      <c r="GMK1" s="124"/>
      <c r="GML1" s="124"/>
      <c r="GMM1" s="124"/>
      <c r="GMN1" s="124"/>
      <c r="GMO1" s="124"/>
      <c r="GMP1" s="124"/>
      <c r="GMQ1" s="124"/>
      <c r="GMR1" s="124"/>
      <c r="GMS1" s="124"/>
      <c r="GMT1" s="124"/>
      <c r="GMU1" s="124"/>
      <c r="GMV1" s="124"/>
      <c r="GMW1" s="124"/>
      <c r="GMX1" s="124"/>
      <c r="GMY1" s="124"/>
      <c r="GMZ1" s="124"/>
      <c r="GNA1" s="124"/>
      <c r="GNB1" s="124"/>
      <c r="GNC1" s="124"/>
      <c r="GND1" s="124"/>
      <c r="GNE1" s="124"/>
      <c r="GNF1" s="124"/>
      <c r="GNG1" s="124"/>
      <c r="GNH1" s="124"/>
      <c r="GNI1" s="124"/>
      <c r="GNJ1" s="124"/>
      <c r="GNK1" s="124"/>
      <c r="GNL1" s="124"/>
      <c r="GNM1" s="124"/>
      <c r="GNN1" s="124"/>
      <c r="GNO1" s="124"/>
      <c r="GNP1" s="124"/>
      <c r="GNQ1" s="124"/>
      <c r="GNR1" s="124"/>
      <c r="GNS1" s="124"/>
      <c r="GNT1" s="124"/>
      <c r="GNU1" s="124"/>
      <c r="GNV1" s="124"/>
      <c r="GNW1" s="124"/>
      <c r="GNX1" s="124"/>
      <c r="GNY1" s="124"/>
      <c r="GNZ1" s="124"/>
      <c r="GOA1" s="124"/>
      <c r="GOB1" s="124"/>
      <c r="GOC1" s="124"/>
      <c r="GOD1" s="124"/>
      <c r="GOE1" s="124"/>
      <c r="GOF1" s="124"/>
      <c r="GOG1" s="124"/>
      <c r="GOH1" s="124"/>
      <c r="GOI1" s="124"/>
      <c r="GOJ1" s="124"/>
      <c r="GOK1" s="124"/>
      <c r="GOL1" s="124"/>
      <c r="GOM1" s="124"/>
      <c r="GON1" s="124"/>
      <c r="GOO1" s="124"/>
      <c r="GOP1" s="124"/>
      <c r="GOQ1" s="124"/>
      <c r="GOR1" s="124"/>
      <c r="GOS1" s="124"/>
      <c r="GOT1" s="124"/>
      <c r="GOU1" s="124"/>
      <c r="GOV1" s="124"/>
      <c r="GOW1" s="124"/>
      <c r="GOX1" s="124"/>
      <c r="GOY1" s="124"/>
      <c r="GOZ1" s="124"/>
      <c r="GPA1" s="124"/>
      <c r="GPB1" s="124"/>
      <c r="GPC1" s="124"/>
      <c r="GPD1" s="124"/>
      <c r="GPE1" s="124"/>
      <c r="GPF1" s="124"/>
      <c r="GPG1" s="124"/>
      <c r="GPH1" s="124"/>
      <c r="GPI1" s="124"/>
      <c r="GPJ1" s="124"/>
      <c r="GPK1" s="124"/>
      <c r="GPL1" s="124"/>
      <c r="GPM1" s="124"/>
      <c r="GPN1" s="124"/>
      <c r="GPO1" s="124"/>
      <c r="GPP1" s="124"/>
      <c r="GPQ1" s="124"/>
      <c r="GPR1" s="124"/>
      <c r="GPS1" s="124"/>
      <c r="GPT1" s="124"/>
      <c r="GPU1" s="124"/>
      <c r="GPV1" s="124"/>
      <c r="GPW1" s="124"/>
      <c r="GPX1" s="124"/>
      <c r="GPY1" s="124"/>
      <c r="GPZ1" s="124"/>
      <c r="GQA1" s="124"/>
      <c r="GQB1" s="124"/>
      <c r="GQC1" s="124"/>
      <c r="GQD1" s="124"/>
      <c r="GQE1" s="124"/>
      <c r="GQF1" s="124"/>
      <c r="GQG1" s="124"/>
      <c r="GQH1" s="124"/>
      <c r="GQI1" s="124"/>
      <c r="GQJ1" s="124"/>
      <c r="GQK1" s="124"/>
      <c r="GQL1" s="124"/>
      <c r="GQM1" s="124"/>
      <c r="GQN1" s="124"/>
      <c r="GQO1" s="124"/>
      <c r="GQP1" s="124"/>
      <c r="GQQ1" s="124"/>
      <c r="GQR1" s="124"/>
      <c r="GQS1" s="124"/>
      <c r="GQT1" s="124"/>
      <c r="GQU1" s="124"/>
      <c r="GQV1" s="124"/>
      <c r="GQW1" s="124"/>
      <c r="GQX1" s="124"/>
      <c r="GQY1" s="124"/>
      <c r="GQZ1" s="124"/>
      <c r="GRA1" s="124"/>
      <c r="GRB1" s="124"/>
      <c r="GRC1" s="124"/>
      <c r="GRD1" s="124"/>
      <c r="GRE1" s="124"/>
      <c r="GRF1" s="124"/>
      <c r="GRG1" s="124"/>
      <c r="GRH1" s="124"/>
      <c r="GRI1" s="124"/>
      <c r="GRJ1" s="124"/>
      <c r="GRK1" s="124"/>
      <c r="GRL1" s="124"/>
      <c r="GRM1" s="124"/>
      <c r="GRN1" s="124"/>
      <c r="GRO1" s="124"/>
      <c r="GRP1" s="124"/>
      <c r="GRQ1" s="124"/>
      <c r="GRR1" s="124"/>
      <c r="GRS1" s="124"/>
      <c r="GRT1" s="124"/>
      <c r="GRU1" s="124"/>
      <c r="GRV1" s="124"/>
      <c r="GRW1" s="124"/>
      <c r="GRX1" s="124"/>
      <c r="GRY1" s="124"/>
      <c r="GRZ1" s="124"/>
      <c r="GSA1" s="124"/>
      <c r="GSB1" s="124"/>
      <c r="GSC1" s="124"/>
      <c r="GSD1" s="124"/>
      <c r="GSE1" s="124"/>
      <c r="GSF1" s="124"/>
      <c r="GSG1" s="124"/>
      <c r="GSH1" s="124"/>
      <c r="GSI1" s="124"/>
      <c r="GSJ1" s="124"/>
      <c r="GSK1" s="124"/>
      <c r="GSL1" s="124"/>
      <c r="GSM1" s="124"/>
      <c r="GSN1" s="124"/>
      <c r="GSO1" s="124"/>
      <c r="GSP1" s="124"/>
      <c r="GSQ1" s="124"/>
      <c r="GSR1" s="124"/>
      <c r="GSS1" s="124"/>
      <c r="GST1" s="124"/>
      <c r="GSU1" s="124"/>
      <c r="GSV1" s="124"/>
      <c r="GSW1" s="124"/>
      <c r="GSX1" s="124"/>
      <c r="GSY1" s="124"/>
      <c r="GSZ1" s="124"/>
      <c r="GTA1" s="124"/>
      <c r="GTB1" s="124"/>
      <c r="GTC1" s="124"/>
      <c r="GTD1" s="124"/>
      <c r="GTE1" s="124"/>
      <c r="GTF1" s="124"/>
      <c r="GTG1" s="124"/>
      <c r="GTH1" s="124"/>
      <c r="GTI1" s="124"/>
      <c r="GTJ1" s="124"/>
      <c r="GTK1" s="124"/>
      <c r="GTL1" s="124"/>
      <c r="GTM1" s="124"/>
      <c r="GTN1" s="124"/>
      <c r="GTO1" s="124"/>
      <c r="GTP1" s="124"/>
      <c r="GTQ1" s="124"/>
      <c r="GTR1" s="124"/>
      <c r="GTS1" s="124"/>
      <c r="GTT1" s="124"/>
      <c r="GTU1" s="124"/>
      <c r="GTV1" s="124"/>
      <c r="GTW1" s="124"/>
      <c r="GTX1" s="124"/>
      <c r="GTY1" s="124"/>
      <c r="GTZ1" s="124"/>
      <c r="GUA1" s="124"/>
      <c r="GUB1" s="124"/>
      <c r="GUC1" s="124"/>
      <c r="GUD1" s="124"/>
      <c r="GUE1" s="124"/>
      <c r="GUF1" s="124"/>
      <c r="GUG1" s="124"/>
      <c r="GUH1" s="124"/>
      <c r="GUI1" s="124"/>
      <c r="GUJ1" s="124"/>
      <c r="GUK1" s="124"/>
      <c r="GUL1" s="124"/>
      <c r="GUM1" s="124"/>
      <c r="GUN1" s="124"/>
      <c r="GUO1" s="124"/>
      <c r="GUP1" s="124"/>
      <c r="GUQ1" s="124"/>
      <c r="GUR1" s="124"/>
      <c r="GUS1" s="124"/>
      <c r="GUT1" s="124"/>
      <c r="GUU1" s="124"/>
      <c r="GUV1" s="124"/>
      <c r="GUW1" s="124"/>
      <c r="GUX1" s="124"/>
      <c r="GUY1" s="124"/>
      <c r="GUZ1" s="124"/>
      <c r="GVA1" s="124"/>
      <c r="GVB1" s="124"/>
      <c r="GVC1" s="124"/>
      <c r="GVD1" s="124"/>
      <c r="GVE1" s="124"/>
      <c r="GVF1" s="124"/>
      <c r="GVG1" s="124"/>
      <c r="GVH1" s="124"/>
      <c r="GVI1" s="124"/>
      <c r="GVJ1" s="124"/>
      <c r="GVK1" s="124"/>
      <c r="GVL1" s="124"/>
      <c r="GVM1" s="124"/>
      <c r="GVN1" s="124"/>
      <c r="GVO1" s="124"/>
      <c r="GVP1" s="124"/>
      <c r="GVQ1" s="124"/>
      <c r="GVR1" s="124"/>
      <c r="GVS1" s="124"/>
      <c r="GVT1" s="124"/>
      <c r="GVU1" s="124"/>
      <c r="GVV1" s="124"/>
      <c r="GVW1" s="124"/>
      <c r="GVX1" s="124"/>
      <c r="GVY1" s="124"/>
      <c r="GVZ1" s="124"/>
      <c r="GWA1" s="124"/>
      <c r="GWB1" s="124"/>
      <c r="GWC1" s="124"/>
      <c r="GWD1" s="124"/>
      <c r="GWE1" s="124"/>
      <c r="GWF1" s="124"/>
      <c r="GWG1" s="124"/>
      <c r="GWH1" s="124"/>
      <c r="GWI1" s="124"/>
      <c r="GWJ1" s="124"/>
      <c r="GWK1" s="124"/>
      <c r="GWL1" s="124"/>
      <c r="GWM1" s="124"/>
      <c r="GWN1" s="124"/>
      <c r="GWO1" s="124"/>
      <c r="GWP1" s="124"/>
      <c r="GWQ1" s="124"/>
      <c r="GWR1" s="124"/>
      <c r="GWS1" s="124"/>
      <c r="GWT1" s="124"/>
      <c r="GWU1" s="124"/>
      <c r="GWV1" s="124"/>
      <c r="GWW1" s="124"/>
      <c r="GWX1" s="124"/>
      <c r="GWY1" s="124"/>
      <c r="GWZ1" s="124"/>
      <c r="GXA1" s="124"/>
      <c r="GXB1" s="124"/>
      <c r="GXC1" s="124"/>
      <c r="GXD1" s="124"/>
      <c r="GXE1" s="124"/>
      <c r="GXF1" s="124"/>
      <c r="GXG1" s="124"/>
      <c r="GXH1" s="124"/>
      <c r="GXI1" s="124"/>
      <c r="GXJ1" s="124"/>
      <c r="GXK1" s="124"/>
      <c r="GXL1" s="124"/>
      <c r="GXM1" s="124"/>
      <c r="GXN1" s="124"/>
      <c r="GXO1" s="124"/>
      <c r="GXP1" s="124"/>
      <c r="GXQ1" s="124"/>
      <c r="GXR1" s="124"/>
      <c r="GXS1" s="124"/>
      <c r="GXT1" s="124"/>
      <c r="GXU1" s="124"/>
      <c r="GXV1" s="124"/>
      <c r="GXW1" s="124"/>
      <c r="GXX1" s="124"/>
      <c r="GXY1" s="124"/>
      <c r="GXZ1" s="124"/>
      <c r="GYA1" s="124"/>
      <c r="GYB1" s="124"/>
      <c r="GYC1" s="124"/>
      <c r="GYD1" s="124"/>
      <c r="GYE1" s="124"/>
      <c r="GYF1" s="124"/>
      <c r="GYG1" s="124"/>
      <c r="GYH1" s="124"/>
      <c r="GYI1" s="124"/>
      <c r="GYJ1" s="124"/>
      <c r="GYK1" s="124"/>
      <c r="GYL1" s="124"/>
      <c r="GYM1" s="124"/>
      <c r="GYN1" s="124"/>
      <c r="GYO1" s="124"/>
      <c r="GYP1" s="124"/>
      <c r="GYQ1" s="124"/>
      <c r="GYR1" s="124"/>
      <c r="GYS1" s="124"/>
      <c r="GYT1" s="124"/>
      <c r="GYU1" s="124"/>
      <c r="GYV1" s="124"/>
      <c r="GYW1" s="124"/>
      <c r="GYX1" s="124"/>
      <c r="GYY1" s="124"/>
      <c r="GYZ1" s="124"/>
      <c r="GZA1" s="124"/>
      <c r="GZB1" s="124"/>
      <c r="GZC1" s="124"/>
      <c r="GZD1" s="124"/>
      <c r="GZE1" s="124"/>
      <c r="GZF1" s="124"/>
      <c r="GZG1" s="124"/>
      <c r="GZH1" s="124"/>
      <c r="GZI1" s="124"/>
      <c r="GZJ1" s="124"/>
      <c r="GZK1" s="124"/>
      <c r="GZL1" s="124"/>
      <c r="GZM1" s="124"/>
      <c r="GZN1" s="124"/>
      <c r="GZO1" s="124"/>
      <c r="GZP1" s="124"/>
      <c r="GZQ1" s="124"/>
      <c r="GZR1" s="124"/>
      <c r="GZS1" s="124"/>
      <c r="GZT1" s="124"/>
      <c r="GZU1" s="124"/>
      <c r="GZV1" s="124"/>
      <c r="GZW1" s="124"/>
      <c r="GZX1" s="124"/>
      <c r="GZY1" s="124"/>
      <c r="GZZ1" s="124"/>
      <c r="HAA1" s="124"/>
      <c r="HAB1" s="124"/>
      <c r="HAC1" s="124"/>
      <c r="HAD1" s="124"/>
      <c r="HAE1" s="124"/>
      <c r="HAF1" s="124"/>
      <c r="HAG1" s="124"/>
      <c r="HAH1" s="124"/>
      <c r="HAI1" s="124"/>
      <c r="HAJ1" s="124"/>
      <c r="HAK1" s="124"/>
      <c r="HAL1" s="124"/>
      <c r="HAM1" s="124"/>
      <c r="HAN1" s="124"/>
      <c r="HAO1" s="124"/>
      <c r="HAP1" s="124"/>
      <c r="HAQ1" s="124"/>
      <c r="HAR1" s="124"/>
      <c r="HAS1" s="124"/>
      <c r="HAT1" s="124"/>
      <c r="HAU1" s="124"/>
      <c r="HAV1" s="124"/>
      <c r="HAW1" s="124"/>
      <c r="HAX1" s="124"/>
      <c r="HAY1" s="124"/>
      <c r="HAZ1" s="124"/>
      <c r="HBA1" s="124"/>
      <c r="HBB1" s="124"/>
      <c r="HBC1" s="124"/>
      <c r="HBD1" s="124"/>
      <c r="HBE1" s="124"/>
      <c r="HBF1" s="124"/>
      <c r="HBG1" s="124"/>
      <c r="HBH1" s="124"/>
      <c r="HBI1" s="124"/>
      <c r="HBJ1" s="124"/>
      <c r="HBK1" s="124"/>
      <c r="HBL1" s="124"/>
      <c r="HBM1" s="124"/>
      <c r="HBN1" s="124"/>
      <c r="HBO1" s="124"/>
      <c r="HBP1" s="124"/>
      <c r="HBQ1" s="124"/>
      <c r="HBR1" s="124"/>
      <c r="HBS1" s="124"/>
      <c r="HBT1" s="124"/>
      <c r="HBU1" s="124"/>
      <c r="HBV1" s="124"/>
      <c r="HBW1" s="124"/>
      <c r="HBX1" s="124"/>
      <c r="HBY1" s="124"/>
      <c r="HBZ1" s="124"/>
      <c r="HCA1" s="124"/>
      <c r="HCB1" s="124"/>
      <c r="HCC1" s="124"/>
      <c r="HCD1" s="124"/>
      <c r="HCE1" s="124"/>
      <c r="HCF1" s="124"/>
      <c r="HCG1" s="124"/>
      <c r="HCH1" s="124"/>
      <c r="HCI1" s="124"/>
      <c r="HCJ1" s="124"/>
      <c r="HCK1" s="124"/>
      <c r="HCL1" s="124"/>
      <c r="HCM1" s="124"/>
      <c r="HCN1" s="124"/>
      <c r="HCO1" s="124"/>
      <c r="HCP1" s="124"/>
      <c r="HCQ1" s="124"/>
      <c r="HCR1" s="124"/>
      <c r="HCS1" s="124"/>
      <c r="HCT1" s="124"/>
      <c r="HCU1" s="124"/>
      <c r="HCV1" s="124"/>
      <c r="HCW1" s="124"/>
      <c r="HCX1" s="124"/>
      <c r="HCY1" s="124"/>
      <c r="HCZ1" s="124"/>
      <c r="HDA1" s="124"/>
      <c r="HDB1" s="124"/>
      <c r="HDC1" s="124"/>
      <c r="HDD1" s="124"/>
      <c r="HDE1" s="124"/>
      <c r="HDF1" s="124"/>
      <c r="HDG1" s="124"/>
      <c r="HDH1" s="124"/>
      <c r="HDI1" s="124"/>
      <c r="HDJ1" s="124"/>
      <c r="HDK1" s="124"/>
      <c r="HDL1" s="124"/>
      <c r="HDM1" s="124"/>
      <c r="HDN1" s="124"/>
      <c r="HDO1" s="124"/>
      <c r="HDP1" s="124"/>
      <c r="HDQ1" s="124"/>
      <c r="HDR1" s="124"/>
      <c r="HDS1" s="124"/>
      <c r="HDT1" s="124"/>
      <c r="HDU1" s="124"/>
      <c r="HDV1" s="124"/>
      <c r="HDW1" s="124"/>
      <c r="HDX1" s="124"/>
      <c r="HDY1" s="124"/>
      <c r="HDZ1" s="124"/>
      <c r="HEA1" s="124"/>
      <c r="HEB1" s="124"/>
      <c r="HEC1" s="124"/>
      <c r="HED1" s="124"/>
      <c r="HEE1" s="124"/>
      <c r="HEF1" s="124"/>
      <c r="HEG1" s="124"/>
      <c r="HEH1" s="124"/>
      <c r="HEI1" s="124"/>
      <c r="HEJ1" s="124"/>
      <c r="HEK1" s="124"/>
      <c r="HEL1" s="124"/>
      <c r="HEM1" s="124"/>
      <c r="HEN1" s="124"/>
      <c r="HEO1" s="124"/>
      <c r="HEP1" s="124"/>
      <c r="HEQ1" s="124"/>
      <c r="HER1" s="124"/>
      <c r="HES1" s="124"/>
      <c r="HET1" s="124"/>
      <c r="HEU1" s="124"/>
      <c r="HEV1" s="124"/>
      <c r="HEW1" s="124"/>
      <c r="HEX1" s="124"/>
      <c r="HEY1" s="124"/>
      <c r="HEZ1" s="124"/>
      <c r="HFA1" s="124"/>
      <c r="HFB1" s="124"/>
      <c r="HFC1" s="124"/>
      <c r="HFD1" s="124"/>
      <c r="HFE1" s="124"/>
      <c r="HFF1" s="124"/>
      <c r="HFG1" s="124"/>
      <c r="HFH1" s="124"/>
      <c r="HFI1" s="124"/>
      <c r="HFJ1" s="124"/>
      <c r="HFK1" s="124"/>
      <c r="HFL1" s="124"/>
      <c r="HFM1" s="124"/>
      <c r="HFN1" s="124"/>
      <c r="HFO1" s="124"/>
      <c r="HFP1" s="124"/>
      <c r="HFQ1" s="124"/>
      <c r="HFR1" s="124"/>
      <c r="HFS1" s="124"/>
      <c r="HFT1" s="124"/>
      <c r="HFU1" s="124"/>
      <c r="HFV1" s="124"/>
      <c r="HFW1" s="124"/>
      <c r="HFX1" s="124"/>
      <c r="HFY1" s="124"/>
      <c r="HFZ1" s="124"/>
      <c r="HGA1" s="124"/>
      <c r="HGB1" s="124"/>
      <c r="HGC1" s="124"/>
      <c r="HGD1" s="124"/>
      <c r="HGE1" s="124"/>
      <c r="HGF1" s="124"/>
      <c r="HGG1" s="124"/>
      <c r="HGH1" s="124"/>
      <c r="HGI1" s="124"/>
      <c r="HGJ1" s="124"/>
      <c r="HGK1" s="124"/>
      <c r="HGL1" s="124"/>
      <c r="HGM1" s="124"/>
      <c r="HGN1" s="124"/>
      <c r="HGO1" s="124"/>
      <c r="HGP1" s="124"/>
      <c r="HGQ1" s="124"/>
      <c r="HGR1" s="124"/>
      <c r="HGS1" s="124"/>
      <c r="HGT1" s="124"/>
      <c r="HGU1" s="124"/>
      <c r="HGV1" s="124"/>
      <c r="HGW1" s="124"/>
      <c r="HGX1" s="124"/>
      <c r="HGY1" s="124"/>
      <c r="HGZ1" s="124"/>
      <c r="HHA1" s="124"/>
      <c r="HHB1" s="124"/>
      <c r="HHC1" s="124"/>
      <c r="HHD1" s="124"/>
      <c r="HHE1" s="124"/>
      <c r="HHF1" s="124"/>
      <c r="HHG1" s="124"/>
      <c r="HHH1" s="124"/>
      <c r="HHI1" s="124"/>
      <c r="HHJ1" s="124"/>
      <c r="HHK1" s="124"/>
      <c r="HHL1" s="124"/>
      <c r="HHM1" s="124"/>
      <c r="HHN1" s="124"/>
      <c r="HHO1" s="124"/>
      <c r="HHP1" s="124"/>
      <c r="HHQ1" s="124"/>
      <c r="HHR1" s="124"/>
      <c r="HHS1" s="124"/>
      <c r="HHT1" s="124"/>
      <c r="HHU1" s="124"/>
      <c r="HHV1" s="124"/>
      <c r="HHW1" s="124"/>
      <c r="HHX1" s="124"/>
      <c r="HHY1" s="124"/>
      <c r="HHZ1" s="124"/>
      <c r="HIA1" s="124"/>
      <c r="HIB1" s="124"/>
      <c r="HIC1" s="124"/>
      <c r="HID1" s="124"/>
      <c r="HIE1" s="124"/>
      <c r="HIF1" s="124"/>
      <c r="HIG1" s="124"/>
      <c r="HIH1" s="124"/>
      <c r="HII1" s="124"/>
      <c r="HIJ1" s="124"/>
      <c r="HIK1" s="124"/>
      <c r="HIL1" s="124"/>
      <c r="HIM1" s="124"/>
      <c r="HIN1" s="124"/>
      <c r="HIO1" s="124"/>
      <c r="HIP1" s="124"/>
      <c r="HIQ1" s="124"/>
      <c r="HIR1" s="124"/>
      <c r="HIS1" s="124"/>
      <c r="HIT1" s="124"/>
      <c r="HIU1" s="124"/>
      <c r="HIV1" s="124"/>
      <c r="HIW1" s="124"/>
      <c r="HIX1" s="124"/>
      <c r="HIY1" s="124"/>
      <c r="HIZ1" s="124"/>
      <c r="HJA1" s="124"/>
      <c r="HJB1" s="124"/>
      <c r="HJC1" s="124"/>
      <c r="HJD1" s="124"/>
      <c r="HJE1" s="124"/>
      <c r="HJF1" s="124"/>
      <c r="HJG1" s="124"/>
      <c r="HJH1" s="124"/>
      <c r="HJI1" s="124"/>
      <c r="HJJ1" s="124"/>
      <c r="HJK1" s="124"/>
      <c r="HJL1" s="124"/>
      <c r="HJM1" s="124"/>
      <c r="HJN1" s="124"/>
      <c r="HJO1" s="124"/>
      <c r="HJP1" s="124"/>
      <c r="HJQ1" s="124"/>
      <c r="HJR1" s="124"/>
      <c r="HJS1" s="124"/>
      <c r="HJT1" s="124"/>
      <c r="HJU1" s="124"/>
      <c r="HJV1" s="124"/>
      <c r="HJW1" s="124"/>
      <c r="HJX1" s="124"/>
      <c r="HJY1" s="124"/>
      <c r="HJZ1" s="124"/>
      <c r="HKA1" s="124"/>
      <c r="HKB1" s="124"/>
      <c r="HKC1" s="124"/>
      <c r="HKD1" s="124"/>
      <c r="HKE1" s="124"/>
      <c r="HKF1" s="124"/>
      <c r="HKG1" s="124"/>
      <c r="HKH1" s="124"/>
      <c r="HKI1" s="124"/>
      <c r="HKJ1" s="124"/>
      <c r="HKK1" s="124"/>
      <c r="HKL1" s="124"/>
      <c r="HKM1" s="124"/>
      <c r="HKN1" s="124"/>
      <c r="HKO1" s="124"/>
      <c r="HKP1" s="124"/>
      <c r="HKQ1" s="124"/>
      <c r="HKR1" s="124"/>
      <c r="HKS1" s="124"/>
      <c r="HKT1" s="124"/>
      <c r="HKU1" s="124"/>
      <c r="HKV1" s="124"/>
      <c r="HKW1" s="124"/>
      <c r="HKX1" s="124"/>
      <c r="HKY1" s="124"/>
      <c r="HKZ1" s="124"/>
      <c r="HLA1" s="124"/>
      <c r="HLB1" s="124"/>
      <c r="HLC1" s="124"/>
      <c r="HLD1" s="124"/>
      <c r="HLE1" s="124"/>
      <c r="HLF1" s="124"/>
      <c r="HLG1" s="124"/>
      <c r="HLH1" s="124"/>
      <c r="HLI1" s="124"/>
      <c r="HLJ1" s="124"/>
      <c r="HLK1" s="124"/>
      <c r="HLL1" s="124"/>
      <c r="HLM1" s="124"/>
      <c r="HLN1" s="124"/>
      <c r="HLO1" s="124"/>
      <c r="HLP1" s="124"/>
      <c r="HLQ1" s="124"/>
      <c r="HLR1" s="124"/>
      <c r="HLS1" s="124"/>
      <c r="HLT1" s="124"/>
      <c r="HLU1" s="124"/>
      <c r="HLV1" s="124"/>
      <c r="HLW1" s="124"/>
      <c r="HLX1" s="124"/>
      <c r="HLY1" s="124"/>
      <c r="HLZ1" s="124"/>
      <c r="HMA1" s="124"/>
      <c r="HMB1" s="124"/>
      <c r="HMC1" s="124"/>
      <c r="HMD1" s="124"/>
      <c r="HME1" s="124"/>
      <c r="HMF1" s="124"/>
      <c r="HMG1" s="124"/>
      <c r="HMH1" s="124"/>
      <c r="HMI1" s="124"/>
      <c r="HMJ1" s="124"/>
      <c r="HMK1" s="124"/>
      <c r="HML1" s="124"/>
      <c r="HMM1" s="124"/>
      <c r="HMN1" s="124"/>
      <c r="HMO1" s="124"/>
      <c r="HMP1" s="124"/>
      <c r="HMQ1" s="124"/>
      <c r="HMR1" s="124"/>
      <c r="HMS1" s="124"/>
      <c r="HMT1" s="124"/>
      <c r="HMU1" s="124"/>
      <c r="HMV1" s="124"/>
      <c r="HMW1" s="124"/>
      <c r="HMX1" s="124"/>
      <c r="HMY1" s="124"/>
      <c r="HMZ1" s="124"/>
      <c r="HNA1" s="124"/>
      <c r="HNB1" s="124"/>
      <c r="HNC1" s="124"/>
      <c r="HND1" s="124"/>
      <c r="HNE1" s="124"/>
      <c r="HNF1" s="124"/>
      <c r="HNG1" s="124"/>
      <c r="HNH1" s="124"/>
      <c r="HNI1" s="124"/>
      <c r="HNJ1" s="124"/>
      <c r="HNK1" s="124"/>
      <c r="HNL1" s="124"/>
      <c r="HNM1" s="124"/>
      <c r="HNN1" s="124"/>
      <c r="HNO1" s="124"/>
      <c r="HNP1" s="124"/>
      <c r="HNQ1" s="124"/>
      <c r="HNR1" s="124"/>
      <c r="HNS1" s="124"/>
      <c r="HNT1" s="124"/>
      <c r="HNU1" s="124"/>
      <c r="HNV1" s="124"/>
      <c r="HNW1" s="124"/>
      <c r="HNX1" s="124"/>
      <c r="HNY1" s="124"/>
      <c r="HNZ1" s="124"/>
      <c r="HOA1" s="124"/>
      <c r="HOB1" s="124"/>
      <c r="HOC1" s="124"/>
      <c r="HOD1" s="124"/>
      <c r="HOE1" s="124"/>
      <c r="HOF1" s="124"/>
      <c r="HOG1" s="124"/>
      <c r="HOH1" s="124"/>
      <c r="HOI1" s="124"/>
      <c r="HOJ1" s="124"/>
      <c r="HOK1" s="124"/>
      <c r="HOL1" s="124"/>
      <c r="HOM1" s="124"/>
      <c r="HON1" s="124"/>
      <c r="HOO1" s="124"/>
      <c r="HOP1" s="124"/>
      <c r="HOQ1" s="124"/>
      <c r="HOR1" s="124"/>
      <c r="HOS1" s="124"/>
      <c r="HOT1" s="124"/>
      <c r="HOU1" s="124"/>
      <c r="HOV1" s="124"/>
      <c r="HOW1" s="124"/>
      <c r="HOX1" s="124"/>
      <c r="HOY1" s="124"/>
      <c r="HOZ1" s="124"/>
      <c r="HPA1" s="124"/>
      <c r="HPB1" s="124"/>
      <c r="HPC1" s="124"/>
      <c r="HPD1" s="124"/>
      <c r="HPE1" s="124"/>
      <c r="HPF1" s="124"/>
      <c r="HPG1" s="124"/>
      <c r="HPH1" s="124"/>
      <c r="HPI1" s="124"/>
      <c r="HPJ1" s="124"/>
      <c r="HPK1" s="124"/>
      <c r="HPL1" s="124"/>
      <c r="HPM1" s="124"/>
      <c r="HPN1" s="124"/>
      <c r="HPO1" s="124"/>
      <c r="HPP1" s="124"/>
      <c r="HPQ1" s="124"/>
      <c r="HPR1" s="124"/>
      <c r="HPS1" s="124"/>
      <c r="HPT1" s="124"/>
      <c r="HPU1" s="124"/>
      <c r="HPV1" s="124"/>
      <c r="HPW1" s="124"/>
      <c r="HPX1" s="124"/>
      <c r="HPY1" s="124"/>
      <c r="HPZ1" s="124"/>
      <c r="HQA1" s="124"/>
      <c r="HQB1" s="124"/>
      <c r="HQC1" s="124"/>
      <c r="HQD1" s="124"/>
      <c r="HQE1" s="124"/>
      <c r="HQF1" s="124"/>
      <c r="HQG1" s="124"/>
      <c r="HQH1" s="124"/>
      <c r="HQI1" s="124"/>
      <c r="HQJ1" s="124"/>
      <c r="HQK1" s="124"/>
      <c r="HQL1" s="124"/>
      <c r="HQM1" s="124"/>
      <c r="HQN1" s="124"/>
      <c r="HQO1" s="124"/>
      <c r="HQP1" s="124"/>
      <c r="HQQ1" s="124"/>
      <c r="HQR1" s="124"/>
      <c r="HQS1" s="124"/>
      <c r="HQT1" s="124"/>
      <c r="HQU1" s="124"/>
      <c r="HQV1" s="124"/>
      <c r="HQW1" s="124"/>
      <c r="HQX1" s="124"/>
      <c r="HQY1" s="124"/>
      <c r="HQZ1" s="124"/>
      <c r="HRA1" s="124"/>
      <c r="HRB1" s="124"/>
      <c r="HRC1" s="124"/>
      <c r="HRD1" s="124"/>
      <c r="HRE1" s="124"/>
      <c r="HRF1" s="124"/>
      <c r="HRG1" s="124"/>
      <c r="HRH1" s="124"/>
      <c r="HRI1" s="124"/>
      <c r="HRJ1" s="124"/>
      <c r="HRK1" s="124"/>
      <c r="HRL1" s="124"/>
      <c r="HRM1" s="124"/>
      <c r="HRN1" s="124"/>
      <c r="HRO1" s="124"/>
      <c r="HRP1" s="124"/>
      <c r="HRQ1" s="124"/>
      <c r="HRR1" s="124"/>
      <c r="HRS1" s="124"/>
      <c r="HRT1" s="124"/>
      <c r="HRU1" s="124"/>
      <c r="HRV1" s="124"/>
      <c r="HRW1" s="124"/>
      <c r="HRX1" s="124"/>
      <c r="HRY1" s="124"/>
      <c r="HRZ1" s="124"/>
      <c r="HSA1" s="124"/>
      <c r="HSB1" s="124"/>
      <c r="HSC1" s="124"/>
      <c r="HSD1" s="124"/>
      <c r="HSE1" s="124"/>
      <c r="HSF1" s="124"/>
      <c r="HSG1" s="124"/>
      <c r="HSH1" s="124"/>
      <c r="HSI1" s="124"/>
      <c r="HSJ1" s="124"/>
      <c r="HSK1" s="124"/>
      <c r="HSL1" s="124"/>
      <c r="HSM1" s="124"/>
      <c r="HSN1" s="124"/>
      <c r="HSO1" s="124"/>
      <c r="HSP1" s="124"/>
      <c r="HSQ1" s="124"/>
      <c r="HSR1" s="124"/>
      <c r="HSS1" s="124"/>
      <c r="HST1" s="124"/>
      <c r="HSU1" s="124"/>
      <c r="HSV1" s="124"/>
      <c r="HSW1" s="124"/>
      <c r="HSX1" s="124"/>
      <c r="HSY1" s="124"/>
      <c r="HSZ1" s="124"/>
      <c r="HTA1" s="124"/>
      <c r="HTB1" s="124"/>
      <c r="HTC1" s="124"/>
      <c r="HTD1" s="124"/>
      <c r="HTE1" s="124"/>
      <c r="HTF1" s="124"/>
      <c r="HTG1" s="124"/>
      <c r="HTH1" s="124"/>
      <c r="HTI1" s="124"/>
      <c r="HTJ1" s="124"/>
      <c r="HTK1" s="124"/>
      <c r="HTL1" s="124"/>
      <c r="HTM1" s="124"/>
      <c r="HTN1" s="124"/>
      <c r="HTO1" s="124"/>
      <c r="HTP1" s="124"/>
      <c r="HTQ1" s="124"/>
      <c r="HTR1" s="124"/>
      <c r="HTS1" s="124"/>
      <c r="HTT1" s="124"/>
      <c r="HTU1" s="124"/>
      <c r="HTV1" s="124"/>
      <c r="HTW1" s="124"/>
      <c r="HTX1" s="124"/>
      <c r="HTY1" s="124"/>
      <c r="HTZ1" s="124"/>
      <c r="HUA1" s="124"/>
      <c r="HUB1" s="124"/>
      <c r="HUC1" s="124"/>
      <c r="HUD1" s="124"/>
      <c r="HUE1" s="124"/>
      <c r="HUF1" s="124"/>
      <c r="HUG1" s="124"/>
      <c r="HUH1" s="124"/>
      <c r="HUI1" s="124"/>
      <c r="HUJ1" s="124"/>
      <c r="HUK1" s="124"/>
      <c r="HUL1" s="124"/>
      <c r="HUM1" s="124"/>
      <c r="HUN1" s="124"/>
      <c r="HUO1" s="124"/>
      <c r="HUP1" s="124"/>
      <c r="HUQ1" s="124"/>
      <c r="HUR1" s="124"/>
      <c r="HUS1" s="124"/>
      <c r="HUT1" s="124"/>
      <c r="HUU1" s="124"/>
      <c r="HUV1" s="124"/>
      <c r="HUW1" s="124"/>
      <c r="HUX1" s="124"/>
      <c r="HUY1" s="124"/>
      <c r="HUZ1" s="124"/>
      <c r="HVA1" s="124"/>
      <c r="HVB1" s="124"/>
      <c r="HVC1" s="124"/>
      <c r="HVD1" s="124"/>
      <c r="HVE1" s="124"/>
      <c r="HVF1" s="124"/>
      <c r="HVG1" s="124"/>
      <c r="HVH1" s="124"/>
      <c r="HVI1" s="124"/>
      <c r="HVJ1" s="124"/>
      <c r="HVK1" s="124"/>
      <c r="HVL1" s="124"/>
      <c r="HVM1" s="124"/>
      <c r="HVN1" s="124"/>
      <c r="HVO1" s="124"/>
      <c r="HVP1" s="124"/>
      <c r="HVQ1" s="124"/>
      <c r="HVR1" s="124"/>
      <c r="HVS1" s="124"/>
      <c r="HVT1" s="124"/>
      <c r="HVU1" s="124"/>
      <c r="HVV1" s="124"/>
      <c r="HVW1" s="124"/>
      <c r="HVX1" s="124"/>
      <c r="HVY1" s="124"/>
      <c r="HVZ1" s="124"/>
      <c r="HWA1" s="124"/>
      <c r="HWB1" s="124"/>
      <c r="HWC1" s="124"/>
      <c r="HWD1" s="124"/>
      <c r="HWE1" s="124"/>
      <c r="HWF1" s="124"/>
      <c r="HWG1" s="124"/>
      <c r="HWH1" s="124"/>
      <c r="HWI1" s="124"/>
      <c r="HWJ1" s="124"/>
      <c r="HWK1" s="124"/>
      <c r="HWL1" s="124"/>
      <c r="HWM1" s="124"/>
      <c r="HWN1" s="124"/>
      <c r="HWO1" s="124"/>
      <c r="HWP1" s="124"/>
      <c r="HWQ1" s="124"/>
      <c r="HWR1" s="124"/>
      <c r="HWS1" s="124"/>
      <c r="HWT1" s="124"/>
      <c r="HWU1" s="124"/>
      <c r="HWV1" s="124"/>
      <c r="HWW1" s="124"/>
      <c r="HWX1" s="124"/>
      <c r="HWY1" s="124"/>
      <c r="HWZ1" s="124"/>
      <c r="HXA1" s="124"/>
      <c r="HXB1" s="124"/>
      <c r="HXC1" s="124"/>
      <c r="HXD1" s="124"/>
      <c r="HXE1" s="124"/>
      <c r="HXF1" s="124"/>
      <c r="HXG1" s="124"/>
      <c r="HXH1" s="124"/>
      <c r="HXI1" s="124"/>
      <c r="HXJ1" s="124"/>
      <c r="HXK1" s="124"/>
      <c r="HXL1" s="124"/>
      <c r="HXM1" s="124"/>
      <c r="HXN1" s="124"/>
      <c r="HXO1" s="124"/>
      <c r="HXP1" s="124"/>
      <c r="HXQ1" s="124"/>
      <c r="HXR1" s="124"/>
      <c r="HXS1" s="124"/>
      <c r="HXT1" s="124"/>
      <c r="HXU1" s="124"/>
      <c r="HXV1" s="124"/>
      <c r="HXW1" s="124"/>
      <c r="HXX1" s="124"/>
      <c r="HXY1" s="124"/>
      <c r="HXZ1" s="124"/>
      <c r="HYA1" s="124"/>
      <c r="HYB1" s="124"/>
      <c r="HYC1" s="124"/>
      <c r="HYD1" s="124"/>
      <c r="HYE1" s="124"/>
      <c r="HYF1" s="124"/>
      <c r="HYG1" s="124"/>
      <c r="HYH1" s="124"/>
      <c r="HYI1" s="124"/>
      <c r="HYJ1" s="124"/>
      <c r="HYK1" s="124"/>
      <c r="HYL1" s="124"/>
      <c r="HYM1" s="124"/>
      <c r="HYN1" s="124"/>
      <c r="HYO1" s="124"/>
      <c r="HYP1" s="124"/>
      <c r="HYQ1" s="124"/>
      <c r="HYR1" s="124"/>
      <c r="HYS1" s="124"/>
      <c r="HYT1" s="124"/>
      <c r="HYU1" s="124"/>
      <c r="HYV1" s="124"/>
      <c r="HYW1" s="124"/>
      <c r="HYX1" s="124"/>
      <c r="HYY1" s="124"/>
      <c r="HYZ1" s="124"/>
      <c r="HZA1" s="124"/>
      <c r="HZB1" s="124"/>
      <c r="HZC1" s="124"/>
      <c r="HZD1" s="124"/>
      <c r="HZE1" s="124"/>
      <c r="HZF1" s="124"/>
      <c r="HZG1" s="124"/>
      <c r="HZH1" s="124"/>
      <c r="HZI1" s="124"/>
      <c r="HZJ1" s="124"/>
      <c r="HZK1" s="124"/>
      <c r="HZL1" s="124"/>
      <c r="HZM1" s="124"/>
      <c r="HZN1" s="124"/>
      <c r="HZO1" s="124"/>
      <c r="HZP1" s="124"/>
      <c r="HZQ1" s="124"/>
      <c r="HZR1" s="124"/>
      <c r="HZS1" s="124"/>
      <c r="HZT1" s="124"/>
      <c r="HZU1" s="124"/>
      <c r="HZV1" s="124"/>
      <c r="HZW1" s="124"/>
      <c r="HZX1" s="124"/>
      <c r="HZY1" s="124"/>
      <c r="HZZ1" s="124"/>
      <c r="IAA1" s="124"/>
      <c r="IAB1" s="124"/>
      <c r="IAC1" s="124"/>
      <c r="IAD1" s="124"/>
      <c r="IAE1" s="124"/>
      <c r="IAF1" s="124"/>
      <c r="IAG1" s="124"/>
      <c r="IAH1" s="124"/>
      <c r="IAI1" s="124"/>
      <c r="IAJ1" s="124"/>
      <c r="IAK1" s="124"/>
      <c r="IAL1" s="124"/>
      <c r="IAM1" s="124"/>
      <c r="IAN1" s="124"/>
      <c r="IAO1" s="124"/>
      <c r="IAP1" s="124"/>
      <c r="IAQ1" s="124"/>
      <c r="IAR1" s="124"/>
      <c r="IAS1" s="124"/>
      <c r="IAT1" s="124"/>
      <c r="IAU1" s="124"/>
      <c r="IAV1" s="124"/>
      <c r="IAW1" s="124"/>
      <c r="IAX1" s="124"/>
      <c r="IAY1" s="124"/>
      <c r="IAZ1" s="124"/>
      <c r="IBA1" s="124"/>
      <c r="IBB1" s="124"/>
      <c r="IBC1" s="124"/>
      <c r="IBD1" s="124"/>
      <c r="IBE1" s="124"/>
      <c r="IBF1" s="124"/>
      <c r="IBG1" s="124"/>
      <c r="IBH1" s="124"/>
      <c r="IBI1" s="124"/>
      <c r="IBJ1" s="124"/>
      <c r="IBK1" s="124"/>
      <c r="IBL1" s="124"/>
      <c r="IBM1" s="124"/>
      <c r="IBN1" s="124"/>
      <c r="IBO1" s="124"/>
      <c r="IBP1" s="124"/>
      <c r="IBQ1" s="124"/>
      <c r="IBR1" s="124"/>
      <c r="IBS1" s="124"/>
      <c r="IBT1" s="124"/>
      <c r="IBU1" s="124"/>
      <c r="IBV1" s="124"/>
      <c r="IBW1" s="124"/>
      <c r="IBX1" s="124"/>
      <c r="IBY1" s="124"/>
      <c r="IBZ1" s="124"/>
      <c r="ICA1" s="124"/>
      <c r="ICB1" s="124"/>
      <c r="ICC1" s="124"/>
      <c r="ICD1" s="124"/>
      <c r="ICE1" s="124"/>
      <c r="ICF1" s="124"/>
      <c r="ICG1" s="124"/>
      <c r="ICH1" s="124"/>
      <c r="ICI1" s="124"/>
      <c r="ICJ1" s="124"/>
      <c r="ICK1" s="124"/>
      <c r="ICL1" s="124"/>
      <c r="ICM1" s="124"/>
      <c r="ICN1" s="124"/>
      <c r="ICO1" s="124"/>
      <c r="ICP1" s="124"/>
      <c r="ICQ1" s="124"/>
      <c r="ICR1" s="124"/>
      <c r="ICS1" s="124"/>
      <c r="ICT1" s="124"/>
      <c r="ICU1" s="124"/>
      <c r="ICV1" s="124"/>
      <c r="ICW1" s="124"/>
      <c r="ICX1" s="124"/>
      <c r="ICY1" s="124"/>
      <c r="ICZ1" s="124"/>
      <c r="IDA1" s="124"/>
      <c r="IDB1" s="124"/>
      <c r="IDC1" s="124"/>
      <c r="IDD1" s="124"/>
      <c r="IDE1" s="124"/>
      <c r="IDF1" s="124"/>
      <c r="IDG1" s="124"/>
      <c r="IDH1" s="124"/>
      <c r="IDI1" s="124"/>
      <c r="IDJ1" s="124"/>
      <c r="IDK1" s="124"/>
      <c r="IDL1" s="124"/>
      <c r="IDM1" s="124"/>
      <c r="IDN1" s="124"/>
      <c r="IDO1" s="124"/>
      <c r="IDP1" s="124"/>
      <c r="IDQ1" s="124"/>
      <c r="IDR1" s="124"/>
      <c r="IDS1" s="124"/>
      <c r="IDT1" s="124"/>
      <c r="IDU1" s="124"/>
      <c r="IDV1" s="124"/>
      <c r="IDW1" s="124"/>
      <c r="IDX1" s="124"/>
      <c r="IDY1" s="124"/>
      <c r="IDZ1" s="124"/>
      <c r="IEA1" s="124"/>
      <c r="IEB1" s="124"/>
      <c r="IEC1" s="124"/>
      <c r="IED1" s="124"/>
      <c r="IEE1" s="124"/>
      <c r="IEF1" s="124"/>
      <c r="IEG1" s="124"/>
      <c r="IEH1" s="124"/>
      <c r="IEI1" s="124"/>
      <c r="IEJ1" s="124"/>
      <c r="IEK1" s="124"/>
      <c r="IEL1" s="124"/>
      <c r="IEM1" s="124"/>
      <c r="IEN1" s="124"/>
      <c r="IEO1" s="124"/>
      <c r="IEP1" s="124"/>
      <c r="IEQ1" s="124"/>
      <c r="IER1" s="124"/>
      <c r="IES1" s="124"/>
      <c r="IET1" s="124"/>
      <c r="IEU1" s="124"/>
      <c r="IEV1" s="124"/>
      <c r="IEW1" s="124"/>
      <c r="IEX1" s="124"/>
      <c r="IEY1" s="124"/>
      <c r="IEZ1" s="124"/>
      <c r="IFA1" s="124"/>
      <c r="IFB1" s="124"/>
      <c r="IFC1" s="124"/>
      <c r="IFD1" s="124"/>
      <c r="IFE1" s="124"/>
      <c r="IFF1" s="124"/>
      <c r="IFG1" s="124"/>
      <c r="IFH1" s="124"/>
      <c r="IFI1" s="124"/>
      <c r="IFJ1" s="124"/>
      <c r="IFK1" s="124"/>
      <c r="IFL1" s="124"/>
      <c r="IFM1" s="124"/>
      <c r="IFN1" s="124"/>
      <c r="IFO1" s="124"/>
      <c r="IFP1" s="124"/>
      <c r="IFQ1" s="124"/>
      <c r="IFR1" s="124"/>
      <c r="IFS1" s="124"/>
      <c r="IFT1" s="124"/>
      <c r="IFU1" s="124"/>
      <c r="IFV1" s="124"/>
      <c r="IFW1" s="124"/>
      <c r="IFX1" s="124"/>
      <c r="IFY1" s="124"/>
      <c r="IFZ1" s="124"/>
      <c r="IGA1" s="124"/>
      <c r="IGB1" s="124"/>
      <c r="IGC1" s="124"/>
      <c r="IGD1" s="124"/>
      <c r="IGE1" s="124"/>
      <c r="IGF1" s="124"/>
      <c r="IGG1" s="124"/>
      <c r="IGH1" s="124"/>
      <c r="IGI1" s="124"/>
      <c r="IGJ1" s="124"/>
      <c r="IGK1" s="124"/>
      <c r="IGL1" s="124"/>
      <c r="IGM1" s="124"/>
      <c r="IGN1" s="124"/>
      <c r="IGO1" s="124"/>
      <c r="IGP1" s="124"/>
      <c r="IGQ1" s="124"/>
      <c r="IGR1" s="124"/>
      <c r="IGS1" s="124"/>
      <c r="IGT1" s="124"/>
      <c r="IGU1" s="124"/>
      <c r="IGV1" s="124"/>
      <c r="IGW1" s="124"/>
      <c r="IGX1" s="124"/>
      <c r="IGY1" s="124"/>
      <c r="IGZ1" s="124"/>
      <c r="IHA1" s="124"/>
      <c r="IHB1" s="124"/>
      <c r="IHC1" s="124"/>
      <c r="IHD1" s="124"/>
      <c r="IHE1" s="124"/>
      <c r="IHF1" s="124"/>
      <c r="IHG1" s="124"/>
      <c r="IHH1" s="124"/>
      <c r="IHI1" s="124"/>
      <c r="IHJ1" s="124"/>
      <c r="IHK1" s="124"/>
      <c r="IHL1" s="124"/>
      <c r="IHM1" s="124"/>
      <c r="IHN1" s="124"/>
      <c r="IHO1" s="124"/>
      <c r="IHP1" s="124"/>
      <c r="IHQ1" s="124"/>
      <c r="IHR1" s="124"/>
      <c r="IHS1" s="124"/>
      <c r="IHT1" s="124"/>
      <c r="IHU1" s="124"/>
      <c r="IHV1" s="124"/>
      <c r="IHW1" s="124"/>
      <c r="IHX1" s="124"/>
      <c r="IHY1" s="124"/>
      <c r="IHZ1" s="124"/>
      <c r="IIA1" s="124"/>
      <c r="IIB1" s="124"/>
      <c r="IIC1" s="124"/>
      <c r="IID1" s="124"/>
      <c r="IIE1" s="124"/>
      <c r="IIF1" s="124"/>
      <c r="IIG1" s="124"/>
      <c r="IIH1" s="124"/>
      <c r="III1" s="124"/>
      <c r="IIJ1" s="124"/>
      <c r="IIK1" s="124"/>
      <c r="IIL1" s="124"/>
      <c r="IIM1" s="124"/>
      <c r="IIN1" s="124"/>
      <c r="IIO1" s="124"/>
      <c r="IIP1" s="124"/>
      <c r="IIQ1" s="124"/>
      <c r="IIR1" s="124"/>
      <c r="IIS1" s="124"/>
      <c r="IIT1" s="124"/>
      <c r="IIU1" s="124"/>
      <c r="IIV1" s="124"/>
      <c r="IIW1" s="124"/>
      <c r="IIX1" s="124"/>
      <c r="IIY1" s="124"/>
      <c r="IIZ1" s="124"/>
      <c r="IJA1" s="124"/>
      <c r="IJB1" s="124"/>
      <c r="IJC1" s="124"/>
      <c r="IJD1" s="124"/>
      <c r="IJE1" s="124"/>
      <c r="IJF1" s="124"/>
      <c r="IJG1" s="124"/>
      <c r="IJH1" s="124"/>
      <c r="IJI1" s="124"/>
      <c r="IJJ1" s="124"/>
      <c r="IJK1" s="124"/>
      <c r="IJL1" s="124"/>
      <c r="IJM1" s="124"/>
      <c r="IJN1" s="124"/>
      <c r="IJO1" s="124"/>
      <c r="IJP1" s="124"/>
      <c r="IJQ1" s="124"/>
      <c r="IJR1" s="124"/>
      <c r="IJS1" s="124"/>
      <c r="IJT1" s="124"/>
      <c r="IJU1" s="124"/>
      <c r="IJV1" s="124"/>
      <c r="IJW1" s="124"/>
      <c r="IJX1" s="124"/>
      <c r="IJY1" s="124"/>
      <c r="IJZ1" s="124"/>
      <c r="IKA1" s="124"/>
      <c r="IKB1" s="124"/>
      <c r="IKC1" s="124"/>
      <c r="IKD1" s="124"/>
      <c r="IKE1" s="124"/>
      <c r="IKF1" s="124"/>
      <c r="IKG1" s="124"/>
      <c r="IKH1" s="124"/>
      <c r="IKI1" s="124"/>
      <c r="IKJ1" s="124"/>
      <c r="IKK1" s="124"/>
      <c r="IKL1" s="124"/>
      <c r="IKM1" s="124"/>
      <c r="IKN1" s="124"/>
      <c r="IKO1" s="124"/>
      <c r="IKP1" s="124"/>
      <c r="IKQ1" s="124"/>
      <c r="IKR1" s="124"/>
      <c r="IKS1" s="124"/>
      <c r="IKT1" s="124"/>
      <c r="IKU1" s="124"/>
      <c r="IKV1" s="124"/>
      <c r="IKW1" s="124"/>
      <c r="IKX1" s="124"/>
      <c r="IKY1" s="124"/>
      <c r="IKZ1" s="124"/>
      <c r="ILA1" s="124"/>
      <c r="ILB1" s="124"/>
      <c r="ILC1" s="124"/>
      <c r="ILD1" s="124"/>
      <c r="ILE1" s="124"/>
      <c r="ILF1" s="124"/>
      <c r="ILG1" s="124"/>
      <c r="ILH1" s="124"/>
      <c r="ILI1" s="124"/>
      <c r="ILJ1" s="124"/>
      <c r="ILK1" s="124"/>
      <c r="ILL1" s="124"/>
      <c r="ILM1" s="124"/>
      <c r="ILN1" s="124"/>
      <c r="ILO1" s="124"/>
      <c r="ILP1" s="124"/>
      <c r="ILQ1" s="124"/>
      <c r="ILR1" s="124"/>
      <c r="ILS1" s="124"/>
      <c r="ILT1" s="124"/>
      <c r="ILU1" s="124"/>
      <c r="ILV1" s="124"/>
      <c r="ILW1" s="124"/>
      <c r="ILX1" s="124"/>
      <c r="ILY1" s="124"/>
      <c r="ILZ1" s="124"/>
      <c r="IMA1" s="124"/>
      <c r="IMB1" s="124"/>
      <c r="IMC1" s="124"/>
      <c r="IMD1" s="124"/>
      <c r="IME1" s="124"/>
      <c r="IMF1" s="124"/>
      <c r="IMG1" s="124"/>
      <c r="IMH1" s="124"/>
      <c r="IMI1" s="124"/>
      <c r="IMJ1" s="124"/>
      <c r="IMK1" s="124"/>
      <c r="IML1" s="124"/>
      <c r="IMM1" s="124"/>
      <c r="IMN1" s="124"/>
      <c r="IMO1" s="124"/>
      <c r="IMP1" s="124"/>
      <c r="IMQ1" s="124"/>
      <c r="IMR1" s="124"/>
      <c r="IMS1" s="124"/>
      <c r="IMT1" s="124"/>
      <c r="IMU1" s="124"/>
      <c r="IMV1" s="124"/>
      <c r="IMW1" s="124"/>
      <c r="IMX1" s="124"/>
      <c r="IMY1" s="124"/>
      <c r="IMZ1" s="124"/>
      <c r="INA1" s="124"/>
      <c r="INB1" s="124"/>
      <c r="INC1" s="124"/>
      <c r="IND1" s="124"/>
      <c r="INE1" s="124"/>
      <c r="INF1" s="124"/>
      <c r="ING1" s="124"/>
      <c r="INH1" s="124"/>
      <c r="INI1" s="124"/>
      <c r="INJ1" s="124"/>
      <c r="INK1" s="124"/>
      <c r="INL1" s="124"/>
      <c r="INM1" s="124"/>
      <c r="INN1" s="124"/>
      <c r="INO1" s="124"/>
      <c r="INP1" s="124"/>
      <c r="INQ1" s="124"/>
      <c r="INR1" s="124"/>
      <c r="INS1" s="124"/>
      <c r="INT1" s="124"/>
      <c r="INU1" s="124"/>
      <c r="INV1" s="124"/>
      <c r="INW1" s="124"/>
      <c r="INX1" s="124"/>
      <c r="INY1" s="124"/>
      <c r="INZ1" s="124"/>
      <c r="IOA1" s="124"/>
      <c r="IOB1" s="124"/>
      <c r="IOC1" s="124"/>
      <c r="IOD1" s="124"/>
      <c r="IOE1" s="124"/>
      <c r="IOF1" s="124"/>
      <c r="IOG1" s="124"/>
      <c r="IOH1" s="124"/>
      <c r="IOI1" s="124"/>
      <c r="IOJ1" s="124"/>
      <c r="IOK1" s="124"/>
      <c r="IOL1" s="124"/>
      <c r="IOM1" s="124"/>
      <c r="ION1" s="124"/>
      <c r="IOO1" s="124"/>
      <c r="IOP1" s="124"/>
      <c r="IOQ1" s="124"/>
      <c r="IOR1" s="124"/>
      <c r="IOS1" s="124"/>
      <c r="IOT1" s="124"/>
      <c r="IOU1" s="124"/>
      <c r="IOV1" s="124"/>
      <c r="IOW1" s="124"/>
      <c r="IOX1" s="124"/>
      <c r="IOY1" s="124"/>
      <c r="IOZ1" s="124"/>
      <c r="IPA1" s="124"/>
      <c r="IPB1" s="124"/>
      <c r="IPC1" s="124"/>
      <c r="IPD1" s="124"/>
      <c r="IPE1" s="124"/>
      <c r="IPF1" s="124"/>
      <c r="IPG1" s="124"/>
      <c r="IPH1" s="124"/>
      <c r="IPI1" s="124"/>
      <c r="IPJ1" s="124"/>
      <c r="IPK1" s="124"/>
      <c r="IPL1" s="124"/>
      <c r="IPM1" s="124"/>
      <c r="IPN1" s="124"/>
      <c r="IPO1" s="124"/>
      <c r="IPP1" s="124"/>
      <c r="IPQ1" s="124"/>
      <c r="IPR1" s="124"/>
      <c r="IPS1" s="124"/>
      <c r="IPT1" s="124"/>
      <c r="IPU1" s="124"/>
      <c r="IPV1" s="124"/>
      <c r="IPW1" s="124"/>
      <c r="IPX1" s="124"/>
      <c r="IPY1" s="124"/>
      <c r="IPZ1" s="124"/>
      <c r="IQA1" s="124"/>
      <c r="IQB1" s="124"/>
      <c r="IQC1" s="124"/>
      <c r="IQD1" s="124"/>
      <c r="IQE1" s="124"/>
      <c r="IQF1" s="124"/>
      <c r="IQG1" s="124"/>
      <c r="IQH1" s="124"/>
      <c r="IQI1" s="124"/>
      <c r="IQJ1" s="124"/>
      <c r="IQK1" s="124"/>
      <c r="IQL1" s="124"/>
      <c r="IQM1" s="124"/>
      <c r="IQN1" s="124"/>
      <c r="IQO1" s="124"/>
      <c r="IQP1" s="124"/>
      <c r="IQQ1" s="124"/>
      <c r="IQR1" s="124"/>
      <c r="IQS1" s="124"/>
      <c r="IQT1" s="124"/>
      <c r="IQU1" s="124"/>
      <c r="IQV1" s="124"/>
      <c r="IQW1" s="124"/>
      <c r="IQX1" s="124"/>
      <c r="IQY1" s="124"/>
      <c r="IQZ1" s="124"/>
      <c r="IRA1" s="124"/>
      <c r="IRB1" s="124"/>
      <c r="IRC1" s="124"/>
      <c r="IRD1" s="124"/>
      <c r="IRE1" s="124"/>
      <c r="IRF1" s="124"/>
      <c r="IRG1" s="124"/>
      <c r="IRH1" s="124"/>
      <c r="IRI1" s="124"/>
      <c r="IRJ1" s="124"/>
      <c r="IRK1" s="124"/>
      <c r="IRL1" s="124"/>
      <c r="IRM1" s="124"/>
      <c r="IRN1" s="124"/>
      <c r="IRO1" s="124"/>
      <c r="IRP1" s="124"/>
      <c r="IRQ1" s="124"/>
      <c r="IRR1" s="124"/>
      <c r="IRS1" s="124"/>
      <c r="IRT1" s="124"/>
      <c r="IRU1" s="124"/>
      <c r="IRV1" s="124"/>
      <c r="IRW1" s="124"/>
      <c r="IRX1" s="124"/>
      <c r="IRY1" s="124"/>
      <c r="IRZ1" s="124"/>
      <c r="ISA1" s="124"/>
      <c r="ISB1" s="124"/>
      <c r="ISC1" s="124"/>
      <c r="ISD1" s="124"/>
      <c r="ISE1" s="124"/>
      <c r="ISF1" s="124"/>
      <c r="ISG1" s="124"/>
      <c r="ISH1" s="124"/>
      <c r="ISI1" s="124"/>
      <c r="ISJ1" s="124"/>
      <c r="ISK1" s="124"/>
      <c r="ISL1" s="124"/>
      <c r="ISM1" s="124"/>
      <c r="ISN1" s="124"/>
      <c r="ISO1" s="124"/>
      <c r="ISP1" s="124"/>
      <c r="ISQ1" s="124"/>
      <c r="ISR1" s="124"/>
      <c r="ISS1" s="124"/>
      <c r="IST1" s="124"/>
      <c r="ISU1" s="124"/>
      <c r="ISV1" s="124"/>
      <c r="ISW1" s="124"/>
      <c r="ISX1" s="124"/>
      <c r="ISY1" s="124"/>
      <c r="ISZ1" s="124"/>
      <c r="ITA1" s="124"/>
      <c r="ITB1" s="124"/>
      <c r="ITC1" s="124"/>
      <c r="ITD1" s="124"/>
      <c r="ITE1" s="124"/>
      <c r="ITF1" s="124"/>
      <c r="ITG1" s="124"/>
      <c r="ITH1" s="124"/>
      <c r="ITI1" s="124"/>
      <c r="ITJ1" s="124"/>
      <c r="ITK1" s="124"/>
      <c r="ITL1" s="124"/>
      <c r="ITM1" s="124"/>
      <c r="ITN1" s="124"/>
      <c r="ITO1" s="124"/>
      <c r="ITP1" s="124"/>
      <c r="ITQ1" s="124"/>
      <c r="ITR1" s="124"/>
      <c r="ITS1" s="124"/>
      <c r="ITT1" s="124"/>
      <c r="ITU1" s="124"/>
      <c r="ITV1" s="124"/>
      <c r="ITW1" s="124"/>
      <c r="ITX1" s="124"/>
      <c r="ITY1" s="124"/>
      <c r="ITZ1" s="124"/>
      <c r="IUA1" s="124"/>
      <c r="IUB1" s="124"/>
      <c r="IUC1" s="124"/>
      <c r="IUD1" s="124"/>
      <c r="IUE1" s="124"/>
      <c r="IUF1" s="124"/>
      <c r="IUG1" s="124"/>
      <c r="IUH1" s="124"/>
      <c r="IUI1" s="124"/>
      <c r="IUJ1" s="124"/>
      <c r="IUK1" s="124"/>
      <c r="IUL1" s="124"/>
      <c r="IUM1" s="124"/>
      <c r="IUN1" s="124"/>
      <c r="IUO1" s="124"/>
      <c r="IUP1" s="124"/>
      <c r="IUQ1" s="124"/>
      <c r="IUR1" s="124"/>
      <c r="IUS1" s="124"/>
      <c r="IUT1" s="124"/>
      <c r="IUU1" s="124"/>
      <c r="IUV1" s="124"/>
      <c r="IUW1" s="124"/>
      <c r="IUX1" s="124"/>
      <c r="IUY1" s="124"/>
      <c r="IUZ1" s="124"/>
      <c r="IVA1" s="124"/>
      <c r="IVB1" s="124"/>
      <c r="IVC1" s="124"/>
      <c r="IVD1" s="124"/>
      <c r="IVE1" s="124"/>
      <c r="IVF1" s="124"/>
      <c r="IVG1" s="124"/>
      <c r="IVH1" s="124"/>
      <c r="IVI1" s="124"/>
      <c r="IVJ1" s="124"/>
      <c r="IVK1" s="124"/>
      <c r="IVL1" s="124"/>
      <c r="IVM1" s="124"/>
      <c r="IVN1" s="124"/>
      <c r="IVO1" s="124"/>
      <c r="IVP1" s="124"/>
      <c r="IVQ1" s="124"/>
      <c r="IVR1" s="124"/>
      <c r="IVS1" s="124"/>
      <c r="IVT1" s="124"/>
      <c r="IVU1" s="124"/>
      <c r="IVV1" s="124"/>
      <c r="IVW1" s="124"/>
      <c r="IVX1" s="124"/>
      <c r="IVY1" s="124"/>
      <c r="IVZ1" s="124"/>
      <c r="IWA1" s="124"/>
      <c r="IWB1" s="124"/>
      <c r="IWC1" s="124"/>
      <c r="IWD1" s="124"/>
      <c r="IWE1" s="124"/>
      <c r="IWF1" s="124"/>
      <c r="IWG1" s="124"/>
      <c r="IWH1" s="124"/>
      <c r="IWI1" s="124"/>
      <c r="IWJ1" s="124"/>
      <c r="IWK1" s="124"/>
      <c r="IWL1" s="124"/>
      <c r="IWM1" s="124"/>
      <c r="IWN1" s="124"/>
      <c r="IWO1" s="124"/>
      <c r="IWP1" s="124"/>
      <c r="IWQ1" s="124"/>
      <c r="IWR1" s="124"/>
      <c r="IWS1" s="124"/>
      <c r="IWT1" s="124"/>
      <c r="IWU1" s="124"/>
      <c r="IWV1" s="124"/>
      <c r="IWW1" s="124"/>
      <c r="IWX1" s="124"/>
      <c r="IWY1" s="124"/>
      <c r="IWZ1" s="124"/>
      <c r="IXA1" s="124"/>
      <c r="IXB1" s="124"/>
      <c r="IXC1" s="124"/>
      <c r="IXD1" s="124"/>
      <c r="IXE1" s="124"/>
      <c r="IXF1" s="124"/>
      <c r="IXG1" s="124"/>
      <c r="IXH1" s="124"/>
      <c r="IXI1" s="124"/>
      <c r="IXJ1" s="124"/>
      <c r="IXK1" s="124"/>
      <c r="IXL1" s="124"/>
      <c r="IXM1" s="124"/>
      <c r="IXN1" s="124"/>
      <c r="IXO1" s="124"/>
      <c r="IXP1" s="124"/>
      <c r="IXQ1" s="124"/>
      <c r="IXR1" s="124"/>
      <c r="IXS1" s="124"/>
      <c r="IXT1" s="124"/>
      <c r="IXU1" s="124"/>
      <c r="IXV1" s="124"/>
      <c r="IXW1" s="124"/>
      <c r="IXX1" s="124"/>
      <c r="IXY1" s="124"/>
      <c r="IXZ1" s="124"/>
      <c r="IYA1" s="124"/>
      <c r="IYB1" s="124"/>
      <c r="IYC1" s="124"/>
      <c r="IYD1" s="124"/>
      <c r="IYE1" s="124"/>
      <c r="IYF1" s="124"/>
      <c r="IYG1" s="124"/>
      <c r="IYH1" s="124"/>
      <c r="IYI1" s="124"/>
      <c r="IYJ1" s="124"/>
      <c r="IYK1" s="124"/>
      <c r="IYL1" s="124"/>
      <c r="IYM1" s="124"/>
      <c r="IYN1" s="124"/>
      <c r="IYO1" s="124"/>
      <c r="IYP1" s="124"/>
      <c r="IYQ1" s="124"/>
      <c r="IYR1" s="124"/>
      <c r="IYS1" s="124"/>
      <c r="IYT1" s="124"/>
      <c r="IYU1" s="124"/>
      <c r="IYV1" s="124"/>
      <c r="IYW1" s="124"/>
      <c r="IYX1" s="124"/>
      <c r="IYY1" s="124"/>
      <c r="IYZ1" s="124"/>
      <c r="IZA1" s="124"/>
      <c r="IZB1" s="124"/>
      <c r="IZC1" s="124"/>
      <c r="IZD1" s="124"/>
      <c r="IZE1" s="124"/>
      <c r="IZF1" s="124"/>
      <c r="IZG1" s="124"/>
      <c r="IZH1" s="124"/>
      <c r="IZI1" s="124"/>
      <c r="IZJ1" s="124"/>
      <c r="IZK1" s="124"/>
      <c r="IZL1" s="124"/>
      <c r="IZM1" s="124"/>
      <c r="IZN1" s="124"/>
      <c r="IZO1" s="124"/>
      <c r="IZP1" s="124"/>
      <c r="IZQ1" s="124"/>
      <c r="IZR1" s="124"/>
      <c r="IZS1" s="124"/>
      <c r="IZT1" s="124"/>
      <c r="IZU1" s="124"/>
      <c r="IZV1" s="124"/>
      <c r="IZW1" s="124"/>
      <c r="IZX1" s="124"/>
      <c r="IZY1" s="124"/>
      <c r="IZZ1" s="124"/>
      <c r="JAA1" s="124"/>
      <c r="JAB1" s="124"/>
      <c r="JAC1" s="124"/>
      <c r="JAD1" s="124"/>
      <c r="JAE1" s="124"/>
      <c r="JAF1" s="124"/>
      <c r="JAG1" s="124"/>
      <c r="JAH1" s="124"/>
      <c r="JAI1" s="124"/>
      <c r="JAJ1" s="124"/>
      <c r="JAK1" s="124"/>
      <c r="JAL1" s="124"/>
      <c r="JAM1" s="124"/>
      <c r="JAN1" s="124"/>
      <c r="JAO1" s="124"/>
      <c r="JAP1" s="124"/>
      <c r="JAQ1" s="124"/>
      <c r="JAR1" s="124"/>
      <c r="JAS1" s="124"/>
      <c r="JAT1" s="124"/>
      <c r="JAU1" s="124"/>
      <c r="JAV1" s="124"/>
      <c r="JAW1" s="124"/>
      <c r="JAX1" s="124"/>
      <c r="JAY1" s="124"/>
      <c r="JAZ1" s="124"/>
      <c r="JBA1" s="124"/>
      <c r="JBB1" s="124"/>
      <c r="JBC1" s="124"/>
      <c r="JBD1" s="124"/>
      <c r="JBE1" s="124"/>
      <c r="JBF1" s="124"/>
      <c r="JBG1" s="124"/>
      <c r="JBH1" s="124"/>
      <c r="JBI1" s="124"/>
      <c r="JBJ1" s="124"/>
      <c r="JBK1" s="124"/>
      <c r="JBL1" s="124"/>
      <c r="JBM1" s="124"/>
      <c r="JBN1" s="124"/>
      <c r="JBO1" s="124"/>
      <c r="JBP1" s="124"/>
      <c r="JBQ1" s="124"/>
      <c r="JBR1" s="124"/>
      <c r="JBS1" s="124"/>
      <c r="JBT1" s="124"/>
      <c r="JBU1" s="124"/>
      <c r="JBV1" s="124"/>
      <c r="JBW1" s="124"/>
      <c r="JBX1" s="124"/>
      <c r="JBY1" s="124"/>
      <c r="JBZ1" s="124"/>
      <c r="JCA1" s="124"/>
      <c r="JCB1" s="124"/>
      <c r="JCC1" s="124"/>
      <c r="JCD1" s="124"/>
      <c r="JCE1" s="124"/>
      <c r="JCF1" s="124"/>
      <c r="JCG1" s="124"/>
      <c r="JCH1" s="124"/>
      <c r="JCI1" s="124"/>
      <c r="JCJ1" s="124"/>
      <c r="JCK1" s="124"/>
      <c r="JCL1" s="124"/>
      <c r="JCM1" s="124"/>
      <c r="JCN1" s="124"/>
      <c r="JCO1" s="124"/>
      <c r="JCP1" s="124"/>
      <c r="JCQ1" s="124"/>
      <c r="JCR1" s="124"/>
      <c r="JCS1" s="124"/>
      <c r="JCT1" s="124"/>
      <c r="JCU1" s="124"/>
      <c r="JCV1" s="124"/>
      <c r="JCW1" s="124"/>
      <c r="JCX1" s="124"/>
      <c r="JCY1" s="124"/>
      <c r="JCZ1" s="124"/>
      <c r="JDA1" s="124"/>
      <c r="JDB1" s="124"/>
      <c r="JDC1" s="124"/>
      <c r="JDD1" s="124"/>
      <c r="JDE1" s="124"/>
      <c r="JDF1" s="124"/>
      <c r="JDG1" s="124"/>
      <c r="JDH1" s="124"/>
      <c r="JDI1" s="124"/>
      <c r="JDJ1" s="124"/>
      <c r="JDK1" s="124"/>
      <c r="JDL1" s="124"/>
      <c r="JDM1" s="124"/>
      <c r="JDN1" s="124"/>
      <c r="JDO1" s="124"/>
      <c r="JDP1" s="124"/>
      <c r="JDQ1" s="124"/>
      <c r="JDR1" s="124"/>
      <c r="JDS1" s="124"/>
      <c r="JDT1" s="124"/>
      <c r="JDU1" s="124"/>
      <c r="JDV1" s="124"/>
      <c r="JDW1" s="124"/>
      <c r="JDX1" s="124"/>
      <c r="JDY1" s="124"/>
      <c r="JDZ1" s="124"/>
      <c r="JEA1" s="124"/>
      <c r="JEB1" s="124"/>
      <c r="JEC1" s="124"/>
      <c r="JED1" s="124"/>
      <c r="JEE1" s="124"/>
      <c r="JEF1" s="124"/>
      <c r="JEG1" s="124"/>
      <c r="JEH1" s="124"/>
      <c r="JEI1" s="124"/>
      <c r="JEJ1" s="124"/>
      <c r="JEK1" s="124"/>
      <c r="JEL1" s="124"/>
      <c r="JEM1" s="124"/>
      <c r="JEN1" s="124"/>
      <c r="JEO1" s="124"/>
      <c r="JEP1" s="124"/>
      <c r="JEQ1" s="124"/>
      <c r="JER1" s="124"/>
      <c r="JES1" s="124"/>
      <c r="JET1" s="124"/>
      <c r="JEU1" s="124"/>
      <c r="JEV1" s="124"/>
      <c r="JEW1" s="124"/>
      <c r="JEX1" s="124"/>
      <c r="JEY1" s="124"/>
      <c r="JEZ1" s="124"/>
      <c r="JFA1" s="124"/>
      <c r="JFB1" s="124"/>
      <c r="JFC1" s="124"/>
      <c r="JFD1" s="124"/>
      <c r="JFE1" s="124"/>
      <c r="JFF1" s="124"/>
      <c r="JFG1" s="124"/>
      <c r="JFH1" s="124"/>
      <c r="JFI1" s="124"/>
      <c r="JFJ1" s="124"/>
      <c r="JFK1" s="124"/>
      <c r="JFL1" s="124"/>
      <c r="JFM1" s="124"/>
      <c r="JFN1" s="124"/>
      <c r="JFO1" s="124"/>
      <c r="JFP1" s="124"/>
      <c r="JFQ1" s="124"/>
      <c r="JFR1" s="124"/>
      <c r="JFS1" s="124"/>
      <c r="JFT1" s="124"/>
      <c r="JFU1" s="124"/>
      <c r="JFV1" s="124"/>
      <c r="JFW1" s="124"/>
      <c r="JFX1" s="124"/>
      <c r="JFY1" s="124"/>
      <c r="JFZ1" s="124"/>
      <c r="JGA1" s="124"/>
      <c r="JGB1" s="124"/>
      <c r="JGC1" s="124"/>
      <c r="JGD1" s="124"/>
      <c r="JGE1" s="124"/>
      <c r="JGF1" s="124"/>
      <c r="JGG1" s="124"/>
      <c r="JGH1" s="124"/>
      <c r="JGI1" s="124"/>
      <c r="JGJ1" s="124"/>
      <c r="JGK1" s="124"/>
      <c r="JGL1" s="124"/>
      <c r="JGM1" s="124"/>
      <c r="JGN1" s="124"/>
      <c r="JGO1" s="124"/>
      <c r="JGP1" s="124"/>
      <c r="JGQ1" s="124"/>
      <c r="JGR1" s="124"/>
      <c r="JGS1" s="124"/>
      <c r="JGT1" s="124"/>
      <c r="JGU1" s="124"/>
      <c r="JGV1" s="124"/>
      <c r="JGW1" s="124"/>
      <c r="JGX1" s="124"/>
      <c r="JGY1" s="124"/>
      <c r="JGZ1" s="124"/>
      <c r="JHA1" s="124"/>
      <c r="JHB1" s="124"/>
      <c r="JHC1" s="124"/>
      <c r="JHD1" s="124"/>
      <c r="JHE1" s="124"/>
      <c r="JHF1" s="124"/>
      <c r="JHG1" s="124"/>
      <c r="JHH1" s="124"/>
      <c r="JHI1" s="124"/>
      <c r="JHJ1" s="124"/>
      <c r="JHK1" s="124"/>
      <c r="JHL1" s="124"/>
      <c r="JHM1" s="124"/>
      <c r="JHN1" s="124"/>
      <c r="JHO1" s="124"/>
      <c r="JHP1" s="124"/>
      <c r="JHQ1" s="124"/>
      <c r="JHR1" s="124"/>
      <c r="JHS1" s="124"/>
      <c r="JHT1" s="124"/>
      <c r="JHU1" s="124"/>
      <c r="JHV1" s="124"/>
      <c r="JHW1" s="124"/>
      <c r="JHX1" s="124"/>
      <c r="JHY1" s="124"/>
      <c r="JHZ1" s="124"/>
      <c r="JIA1" s="124"/>
      <c r="JIB1" s="124"/>
      <c r="JIC1" s="124"/>
      <c r="JID1" s="124"/>
      <c r="JIE1" s="124"/>
      <c r="JIF1" s="124"/>
      <c r="JIG1" s="124"/>
      <c r="JIH1" s="124"/>
      <c r="JII1" s="124"/>
      <c r="JIJ1" s="124"/>
      <c r="JIK1" s="124"/>
      <c r="JIL1" s="124"/>
      <c r="JIM1" s="124"/>
      <c r="JIN1" s="124"/>
      <c r="JIO1" s="124"/>
      <c r="JIP1" s="124"/>
      <c r="JIQ1" s="124"/>
      <c r="JIR1" s="124"/>
      <c r="JIS1" s="124"/>
      <c r="JIT1" s="124"/>
      <c r="JIU1" s="124"/>
      <c r="JIV1" s="124"/>
      <c r="JIW1" s="124"/>
      <c r="JIX1" s="124"/>
      <c r="JIY1" s="124"/>
      <c r="JIZ1" s="124"/>
      <c r="JJA1" s="124"/>
      <c r="JJB1" s="124"/>
      <c r="JJC1" s="124"/>
      <c r="JJD1" s="124"/>
      <c r="JJE1" s="124"/>
      <c r="JJF1" s="124"/>
      <c r="JJG1" s="124"/>
      <c r="JJH1" s="124"/>
      <c r="JJI1" s="124"/>
      <c r="JJJ1" s="124"/>
      <c r="JJK1" s="124"/>
      <c r="JJL1" s="124"/>
      <c r="JJM1" s="124"/>
      <c r="JJN1" s="124"/>
      <c r="JJO1" s="124"/>
      <c r="JJP1" s="124"/>
      <c r="JJQ1" s="124"/>
      <c r="JJR1" s="124"/>
      <c r="JJS1" s="124"/>
      <c r="JJT1" s="124"/>
      <c r="JJU1" s="124"/>
      <c r="JJV1" s="124"/>
      <c r="JJW1" s="124"/>
      <c r="JJX1" s="124"/>
      <c r="JJY1" s="124"/>
      <c r="JJZ1" s="124"/>
      <c r="JKA1" s="124"/>
      <c r="JKB1" s="124"/>
      <c r="JKC1" s="124"/>
      <c r="JKD1" s="124"/>
      <c r="JKE1" s="124"/>
      <c r="JKF1" s="124"/>
      <c r="JKG1" s="124"/>
      <c r="JKH1" s="124"/>
      <c r="JKI1" s="124"/>
      <c r="JKJ1" s="124"/>
      <c r="JKK1" s="124"/>
      <c r="JKL1" s="124"/>
      <c r="JKM1" s="124"/>
      <c r="JKN1" s="124"/>
      <c r="JKO1" s="124"/>
      <c r="JKP1" s="124"/>
      <c r="JKQ1" s="124"/>
      <c r="JKR1" s="124"/>
      <c r="JKS1" s="124"/>
      <c r="JKT1" s="124"/>
      <c r="JKU1" s="124"/>
      <c r="JKV1" s="124"/>
      <c r="JKW1" s="124"/>
      <c r="JKX1" s="124"/>
      <c r="JKY1" s="124"/>
      <c r="JKZ1" s="124"/>
      <c r="JLA1" s="124"/>
      <c r="JLB1" s="124"/>
      <c r="JLC1" s="124"/>
      <c r="JLD1" s="124"/>
      <c r="JLE1" s="124"/>
      <c r="JLF1" s="124"/>
      <c r="JLG1" s="124"/>
      <c r="JLH1" s="124"/>
      <c r="JLI1" s="124"/>
      <c r="JLJ1" s="124"/>
      <c r="JLK1" s="124"/>
      <c r="JLL1" s="124"/>
      <c r="JLM1" s="124"/>
      <c r="JLN1" s="124"/>
      <c r="JLO1" s="124"/>
      <c r="JLP1" s="124"/>
      <c r="JLQ1" s="124"/>
      <c r="JLR1" s="124"/>
      <c r="JLS1" s="124"/>
      <c r="JLT1" s="124"/>
      <c r="JLU1" s="124"/>
      <c r="JLV1" s="124"/>
      <c r="JLW1" s="124"/>
      <c r="JLX1" s="124"/>
      <c r="JLY1" s="124"/>
      <c r="JLZ1" s="124"/>
      <c r="JMA1" s="124"/>
      <c r="JMB1" s="124"/>
      <c r="JMC1" s="124"/>
      <c r="JMD1" s="124"/>
      <c r="JME1" s="124"/>
      <c r="JMF1" s="124"/>
      <c r="JMG1" s="124"/>
      <c r="JMH1" s="124"/>
      <c r="JMI1" s="124"/>
      <c r="JMJ1" s="124"/>
      <c r="JMK1" s="124"/>
      <c r="JML1" s="124"/>
      <c r="JMM1" s="124"/>
      <c r="JMN1" s="124"/>
      <c r="JMO1" s="124"/>
      <c r="JMP1" s="124"/>
      <c r="JMQ1" s="124"/>
      <c r="JMR1" s="124"/>
      <c r="JMS1" s="124"/>
      <c r="JMT1" s="124"/>
      <c r="JMU1" s="124"/>
      <c r="JMV1" s="124"/>
      <c r="JMW1" s="124"/>
      <c r="JMX1" s="124"/>
      <c r="JMY1" s="124"/>
      <c r="JMZ1" s="124"/>
      <c r="JNA1" s="124"/>
      <c r="JNB1" s="124"/>
      <c r="JNC1" s="124"/>
      <c r="JND1" s="124"/>
      <c r="JNE1" s="124"/>
      <c r="JNF1" s="124"/>
      <c r="JNG1" s="124"/>
      <c r="JNH1" s="124"/>
      <c r="JNI1" s="124"/>
      <c r="JNJ1" s="124"/>
      <c r="JNK1" s="124"/>
      <c r="JNL1" s="124"/>
      <c r="JNM1" s="124"/>
      <c r="JNN1" s="124"/>
      <c r="JNO1" s="124"/>
      <c r="JNP1" s="124"/>
      <c r="JNQ1" s="124"/>
      <c r="JNR1" s="124"/>
      <c r="JNS1" s="124"/>
      <c r="JNT1" s="124"/>
      <c r="JNU1" s="124"/>
      <c r="JNV1" s="124"/>
      <c r="JNW1" s="124"/>
      <c r="JNX1" s="124"/>
      <c r="JNY1" s="124"/>
      <c r="JNZ1" s="124"/>
      <c r="JOA1" s="124"/>
      <c r="JOB1" s="124"/>
      <c r="JOC1" s="124"/>
      <c r="JOD1" s="124"/>
      <c r="JOE1" s="124"/>
      <c r="JOF1" s="124"/>
      <c r="JOG1" s="124"/>
      <c r="JOH1" s="124"/>
      <c r="JOI1" s="124"/>
      <c r="JOJ1" s="124"/>
      <c r="JOK1" s="124"/>
      <c r="JOL1" s="124"/>
      <c r="JOM1" s="124"/>
      <c r="JON1" s="124"/>
      <c r="JOO1" s="124"/>
      <c r="JOP1" s="124"/>
      <c r="JOQ1" s="124"/>
      <c r="JOR1" s="124"/>
      <c r="JOS1" s="124"/>
      <c r="JOT1" s="124"/>
      <c r="JOU1" s="124"/>
      <c r="JOV1" s="124"/>
      <c r="JOW1" s="124"/>
      <c r="JOX1" s="124"/>
      <c r="JOY1" s="124"/>
      <c r="JOZ1" s="124"/>
      <c r="JPA1" s="124"/>
      <c r="JPB1" s="124"/>
      <c r="JPC1" s="124"/>
      <c r="JPD1" s="124"/>
      <c r="JPE1" s="124"/>
      <c r="JPF1" s="124"/>
      <c r="JPG1" s="124"/>
      <c r="JPH1" s="124"/>
      <c r="JPI1" s="124"/>
      <c r="JPJ1" s="124"/>
      <c r="JPK1" s="124"/>
      <c r="JPL1" s="124"/>
      <c r="JPM1" s="124"/>
      <c r="JPN1" s="124"/>
      <c r="JPO1" s="124"/>
      <c r="JPP1" s="124"/>
      <c r="JPQ1" s="124"/>
      <c r="JPR1" s="124"/>
      <c r="JPS1" s="124"/>
      <c r="JPT1" s="124"/>
      <c r="JPU1" s="124"/>
      <c r="JPV1" s="124"/>
      <c r="JPW1" s="124"/>
      <c r="JPX1" s="124"/>
      <c r="JPY1" s="124"/>
      <c r="JPZ1" s="124"/>
      <c r="JQA1" s="124"/>
      <c r="JQB1" s="124"/>
      <c r="JQC1" s="124"/>
      <c r="JQD1" s="124"/>
      <c r="JQE1" s="124"/>
      <c r="JQF1" s="124"/>
      <c r="JQG1" s="124"/>
      <c r="JQH1" s="124"/>
      <c r="JQI1" s="124"/>
      <c r="JQJ1" s="124"/>
      <c r="JQK1" s="124"/>
      <c r="JQL1" s="124"/>
      <c r="JQM1" s="124"/>
      <c r="JQN1" s="124"/>
      <c r="JQO1" s="124"/>
      <c r="JQP1" s="124"/>
      <c r="JQQ1" s="124"/>
      <c r="JQR1" s="124"/>
      <c r="JQS1" s="124"/>
      <c r="JQT1" s="124"/>
      <c r="JQU1" s="124"/>
      <c r="JQV1" s="124"/>
      <c r="JQW1" s="124"/>
      <c r="JQX1" s="124"/>
      <c r="JQY1" s="124"/>
      <c r="JQZ1" s="124"/>
      <c r="JRA1" s="124"/>
      <c r="JRB1" s="124"/>
      <c r="JRC1" s="124"/>
      <c r="JRD1" s="124"/>
      <c r="JRE1" s="124"/>
      <c r="JRF1" s="124"/>
      <c r="JRG1" s="124"/>
      <c r="JRH1" s="124"/>
      <c r="JRI1" s="124"/>
      <c r="JRJ1" s="124"/>
      <c r="JRK1" s="124"/>
      <c r="JRL1" s="124"/>
      <c r="JRM1" s="124"/>
      <c r="JRN1" s="124"/>
      <c r="JRO1" s="124"/>
      <c r="JRP1" s="124"/>
      <c r="JRQ1" s="124"/>
      <c r="JRR1" s="124"/>
      <c r="JRS1" s="124"/>
      <c r="JRT1" s="124"/>
      <c r="JRU1" s="124"/>
      <c r="JRV1" s="124"/>
      <c r="JRW1" s="124"/>
      <c r="JRX1" s="124"/>
      <c r="JRY1" s="124"/>
      <c r="JRZ1" s="124"/>
      <c r="JSA1" s="124"/>
      <c r="JSB1" s="124"/>
      <c r="JSC1" s="124"/>
      <c r="JSD1" s="124"/>
      <c r="JSE1" s="124"/>
      <c r="JSF1" s="124"/>
      <c r="JSG1" s="124"/>
      <c r="JSH1" s="124"/>
      <c r="JSI1" s="124"/>
      <c r="JSJ1" s="124"/>
      <c r="JSK1" s="124"/>
      <c r="JSL1" s="124"/>
      <c r="JSM1" s="124"/>
      <c r="JSN1" s="124"/>
      <c r="JSO1" s="124"/>
      <c r="JSP1" s="124"/>
      <c r="JSQ1" s="124"/>
      <c r="JSR1" s="124"/>
      <c r="JSS1" s="124"/>
      <c r="JST1" s="124"/>
      <c r="JSU1" s="124"/>
      <c r="JSV1" s="124"/>
      <c r="JSW1" s="124"/>
      <c r="JSX1" s="124"/>
      <c r="JSY1" s="124"/>
      <c r="JSZ1" s="124"/>
      <c r="JTA1" s="124"/>
      <c r="JTB1" s="124"/>
      <c r="JTC1" s="124"/>
      <c r="JTD1" s="124"/>
      <c r="JTE1" s="124"/>
      <c r="JTF1" s="124"/>
      <c r="JTG1" s="124"/>
      <c r="JTH1" s="124"/>
      <c r="JTI1" s="124"/>
      <c r="JTJ1" s="124"/>
      <c r="JTK1" s="124"/>
      <c r="JTL1" s="124"/>
      <c r="JTM1" s="124"/>
      <c r="JTN1" s="124"/>
      <c r="JTO1" s="124"/>
      <c r="JTP1" s="124"/>
      <c r="JTQ1" s="124"/>
      <c r="JTR1" s="124"/>
      <c r="JTS1" s="124"/>
      <c r="JTT1" s="124"/>
      <c r="JTU1" s="124"/>
      <c r="JTV1" s="124"/>
      <c r="JTW1" s="124"/>
      <c r="JTX1" s="124"/>
      <c r="JTY1" s="124"/>
      <c r="JTZ1" s="124"/>
      <c r="JUA1" s="124"/>
      <c r="JUB1" s="124"/>
      <c r="JUC1" s="124"/>
      <c r="JUD1" s="124"/>
      <c r="JUE1" s="124"/>
      <c r="JUF1" s="124"/>
      <c r="JUG1" s="124"/>
      <c r="JUH1" s="124"/>
      <c r="JUI1" s="124"/>
      <c r="JUJ1" s="124"/>
      <c r="JUK1" s="124"/>
      <c r="JUL1" s="124"/>
      <c r="JUM1" s="124"/>
      <c r="JUN1" s="124"/>
      <c r="JUO1" s="124"/>
      <c r="JUP1" s="124"/>
      <c r="JUQ1" s="124"/>
      <c r="JUR1" s="124"/>
      <c r="JUS1" s="124"/>
      <c r="JUT1" s="124"/>
      <c r="JUU1" s="124"/>
      <c r="JUV1" s="124"/>
      <c r="JUW1" s="124"/>
      <c r="JUX1" s="124"/>
      <c r="JUY1" s="124"/>
      <c r="JUZ1" s="124"/>
      <c r="JVA1" s="124"/>
      <c r="JVB1" s="124"/>
      <c r="JVC1" s="124"/>
      <c r="JVD1" s="124"/>
      <c r="JVE1" s="124"/>
      <c r="JVF1" s="124"/>
      <c r="JVG1" s="124"/>
      <c r="JVH1" s="124"/>
      <c r="JVI1" s="124"/>
      <c r="JVJ1" s="124"/>
      <c r="JVK1" s="124"/>
      <c r="JVL1" s="124"/>
      <c r="JVM1" s="124"/>
      <c r="JVN1" s="124"/>
      <c r="JVO1" s="124"/>
      <c r="JVP1" s="124"/>
      <c r="JVQ1" s="124"/>
      <c r="JVR1" s="124"/>
      <c r="JVS1" s="124"/>
      <c r="JVT1" s="124"/>
      <c r="JVU1" s="124"/>
      <c r="JVV1" s="124"/>
      <c r="JVW1" s="124"/>
      <c r="JVX1" s="124"/>
      <c r="JVY1" s="124"/>
      <c r="JVZ1" s="124"/>
      <c r="JWA1" s="124"/>
      <c r="JWB1" s="124"/>
      <c r="JWC1" s="124"/>
      <c r="JWD1" s="124"/>
      <c r="JWE1" s="124"/>
      <c r="JWF1" s="124"/>
      <c r="JWG1" s="124"/>
      <c r="JWH1" s="124"/>
      <c r="JWI1" s="124"/>
      <c r="JWJ1" s="124"/>
      <c r="JWK1" s="124"/>
      <c r="JWL1" s="124"/>
      <c r="JWM1" s="124"/>
      <c r="JWN1" s="124"/>
      <c r="JWO1" s="124"/>
      <c r="JWP1" s="124"/>
      <c r="JWQ1" s="124"/>
      <c r="JWR1" s="124"/>
      <c r="JWS1" s="124"/>
      <c r="JWT1" s="124"/>
      <c r="JWU1" s="124"/>
      <c r="JWV1" s="124"/>
      <c r="JWW1" s="124"/>
      <c r="JWX1" s="124"/>
      <c r="JWY1" s="124"/>
      <c r="JWZ1" s="124"/>
      <c r="JXA1" s="124"/>
      <c r="JXB1" s="124"/>
      <c r="JXC1" s="124"/>
      <c r="JXD1" s="124"/>
      <c r="JXE1" s="124"/>
      <c r="JXF1" s="124"/>
      <c r="JXG1" s="124"/>
      <c r="JXH1" s="124"/>
      <c r="JXI1" s="124"/>
      <c r="JXJ1" s="124"/>
      <c r="JXK1" s="124"/>
      <c r="JXL1" s="124"/>
      <c r="JXM1" s="124"/>
      <c r="JXN1" s="124"/>
      <c r="JXO1" s="124"/>
      <c r="JXP1" s="124"/>
      <c r="JXQ1" s="124"/>
      <c r="JXR1" s="124"/>
      <c r="JXS1" s="124"/>
      <c r="JXT1" s="124"/>
      <c r="JXU1" s="124"/>
      <c r="JXV1" s="124"/>
      <c r="JXW1" s="124"/>
      <c r="JXX1" s="124"/>
      <c r="JXY1" s="124"/>
      <c r="JXZ1" s="124"/>
      <c r="JYA1" s="124"/>
      <c r="JYB1" s="124"/>
      <c r="JYC1" s="124"/>
      <c r="JYD1" s="124"/>
      <c r="JYE1" s="124"/>
      <c r="JYF1" s="124"/>
      <c r="JYG1" s="124"/>
      <c r="JYH1" s="124"/>
      <c r="JYI1" s="124"/>
      <c r="JYJ1" s="124"/>
      <c r="JYK1" s="124"/>
      <c r="JYL1" s="124"/>
      <c r="JYM1" s="124"/>
      <c r="JYN1" s="124"/>
      <c r="JYO1" s="124"/>
      <c r="JYP1" s="124"/>
      <c r="JYQ1" s="124"/>
      <c r="JYR1" s="124"/>
      <c r="JYS1" s="124"/>
      <c r="JYT1" s="124"/>
      <c r="JYU1" s="124"/>
      <c r="JYV1" s="124"/>
      <c r="JYW1" s="124"/>
      <c r="JYX1" s="124"/>
      <c r="JYY1" s="124"/>
      <c r="JYZ1" s="124"/>
      <c r="JZA1" s="124"/>
      <c r="JZB1" s="124"/>
      <c r="JZC1" s="124"/>
      <c r="JZD1" s="124"/>
      <c r="JZE1" s="124"/>
      <c r="JZF1" s="124"/>
      <c r="JZG1" s="124"/>
      <c r="JZH1" s="124"/>
      <c r="JZI1" s="124"/>
      <c r="JZJ1" s="124"/>
      <c r="JZK1" s="124"/>
      <c r="JZL1" s="124"/>
      <c r="JZM1" s="124"/>
      <c r="JZN1" s="124"/>
      <c r="JZO1" s="124"/>
      <c r="JZP1" s="124"/>
      <c r="JZQ1" s="124"/>
      <c r="JZR1" s="124"/>
      <c r="JZS1" s="124"/>
      <c r="JZT1" s="124"/>
      <c r="JZU1" s="124"/>
      <c r="JZV1" s="124"/>
      <c r="JZW1" s="124"/>
      <c r="JZX1" s="124"/>
      <c r="JZY1" s="124"/>
      <c r="JZZ1" s="124"/>
      <c r="KAA1" s="124"/>
      <c r="KAB1" s="124"/>
      <c r="KAC1" s="124"/>
      <c r="KAD1" s="124"/>
      <c r="KAE1" s="124"/>
      <c r="KAF1" s="124"/>
      <c r="KAG1" s="124"/>
      <c r="KAH1" s="124"/>
      <c r="KAI1" s="124"/>
      <c r="KAJ1" s="124"/>
      <c r="KAK1" s="124"/>
      <c r="KAL1" s="124"/>
      <c r="KAM1" s="124"/>
      <c r="KAN1" s="124"/>
      <c r="KAO1" s="124"/>
      <c r="KAP1" s="124"/>
      <c r="KAQ1" s="124"/>
      <c r="KAR1" s="124"/>
      <c r="KAS1" s="124"/>
      <c r="KAT1" s="124"/>
      <c r="KAU1" s="124"/>
      <c r="KAV1" s="124"/>
      <c r="KAW1" s="124"/>
      <c r="KAX1" s="124"/>
      <c r="KAY1" s="124"/>
      <c r="KAZ1" s="124"/>
      <c r="KBA1" s="124"/>
      <c r="KBB1" s="124"/>
      <c r="KBC1" s="124"/>
      <c r="KBD1" s="124"/>
      <c r="KBE1" s="124"/>
      <c r="KBF1" s="124"/>
      <c r="KBG1" s="124"/>
      <c r="KBH1" s="124"/>
      <c r="KBI1" s="124"/>
      <c r="KBJ1" s="124"/>
      <c r="KBK1" s="124"/>
      <c r="KBL1" s="124"/>
      <c r="KBM1" s="124"/>
      <c r="KBN1" s="124"/>
      <c r="KBO1" s="124"/>
      <c r="KBP1" s="124"/>
      <c r="KBQ1" s="124"/>
      <c r="KBR1" s="124"/>
      <c r="KBS1" s="124"/>
      <c r="KBT1" s="124"/>
      <c r="KBU1" s="124"/>
      <c r="KBV1" s="124"/>
      <c r="KBW1" s="124"/>
      <c r="KBX1" s="124"/>
      <c r="KBY1" s="124"/>
      <c r="KBZ1" s="124"/>
      <c r="KCA1" s="124"/>
      <c r="KCB1" s="124"/>
      <c r="KCC1" s="124"/>
      <c r="KCD1" s="124"/>
      <c r="KCE1" s="124"/>
      <c r="KCF1" s="124"/>
      <c r="KCG1" s="124"/>
      <c r="KCH1" s="124"/>
      <c r="KCI1" s="124"/>
      <c r="KCJ1" s="124"/>
      <c r="KCK1" s="124"/>
      <c r="KCL1" s="124"/>
      <c r="KCM1" s="124"/>
      <c r="KCN1" s="124"/>
      <c r="KCO1" s="124"/>
      <c r="KCP1" s="124"/>
      <c r="KCQ1" s="124"/>
      <c r="KCR1" s="124"/>
      <c r="KCS1" s="124"/>
      <c r="KCT1" s="124"/>
      <c r="KCU1" s="124"/>
      <c r="KCV1" s="124"/>
      <c r="KCW1" s="124"/>
      <c r="KCX1" s="124"/>
      <c r="KCY1" s="124"/>
      <c r="KCZ1" s="124"/>
      <c r="KDA1" s="124"/>
      <c r="KDB1" s="124"/>
      <c r="KDC1" s="124"/>
      <c r="KDD1" s="124"/>
      <c r="KDE1" s="124"/>
      <c r="KDF1" s="124"/>
      <c r="KDG1" s="124"/>
      <c r="KDH1" s="124"/>
      <c r="KDI1" s="124"/>
      <c r="KDJ1" s="124"/>
      <c r="KDK1" s="124"/>
      <c r="KDL1" s="124"/>
      <c r="KDM1" s="124"/>
      <c r="KDN1" s="124"/>
      <c r="KDO1" s="124"/>
      <c r="KDP1" s="124"/>
      <c r="KDQ1" s="124"/>
      <c r="KDR1" s="124"/>
      <c r="KDS1" s="124"/>
      <c r="KDT1" s="124"/>
      <c r="KDU1" s="124"/>
      <c r="KDV1" s="124"/>
      <c r="KDW1" s="124"/>
      <c r="KDX1" s="124"/>
      <c r="KDY1" s="124"/>
      <c r="KDZ1" s="124"/>
      <c r="KEA1" s="124"/>
      <c r="KEB1" s="124"/>
      <c r="KEC1" s="124"/>
      <c r="KED1" s="124"/>
      <c r="KEE1" s="124"/>
      <c r="KEF1" s="124"/>
      <c r="KEG1" s="124"/>
      <c r="KEH1" s="124"/>
      <c r="KEI1" s="124"/>
      <c r="KEJ1" s="124"/>
      <c r="KEK1" s="124"/>
      <c r="KEL1" s="124"/>
      <c r="KEM1" s="124"/>
      <c r="KEN1" s="124"/>
      <c r="KEO1" s="124"/>
      <c r="KEP1" s="124"/>
      <c r="KEQ1" s="124"/>
      <c r="KER1" s="124"/>
      <c r="KES1" s="124"/>
      <c r="KET1" s="124"/>
      <c r="KEU1" s="124"/>
      <c r="KEV1" s="124"/>
      <c r="KEW1" s="124"/>
      <c r="KEX1" s="124"/>
      <c r="KEY1" s="124"/>
      <c r="KEZ1" s="124"/>
      <c r="KFA1" s="124"/>
      <c r="KFB1" s="124"/>
      <c r="KFC1" s="124"/>
      <c r="KFD1" s="124"/>
      <c r="KFE1" s="124"/>
      <c r="KFF1" s="124"/>
      <c r="KFG1" s="124"/>
      <c r="KFH1" s="124"/>
      <c r="KFI1" s="124"/>
      <c r="KFJ1" s="124"/>
      <c r="KFK1" s="124"/>
      <c r="KFL1" s="124"/>
      <c r="KFM1" s="124"/>
      <c r="KFN1" s="124"/>
      <c r="KFO1" s="124"/>
      <c r="KFP1" s="124"/>
      <c r="KFQ1" s="124"/>
      <c r="KFR1" s="124"/>
      <c r="KFS1" s="124"/>
      <c r="KFT1" s="124"/>
      <c r="KFU1" s="124"/>
      <c r="KFV1" s="124"/>
      <c r="KFW1" s="124"/>
      <c r="KFX1" s="124"/>
      <c r="KFY1" s="124"/>
      <c r="KFZ1" s="124"/>
      <c r="KGA1" s="124"/>
      <c r="KGB1" s="124"/>
      <c r="KGC1" s="124"/>
      <c r="KGD1" s="124"/>
      <c r="KGE1" s="124"/>
      <c r="KGF1" s="124"/>
      <c r="KGG1" s="124"/>
      <c r="KGH1" s="124"/>
      <c r="KGI1" s="124"/>
      <c r="KGJ1" s="124"/>
      <c r="KGK1" s="124"/>
      <c r="KGL1" s="124"/>
      <c r="KGM1" s="124"/>
      <c r="KGN1" s="124"/>
      <c r="KGO1" s="124"/>
      <c r="KGP1" s="124"/>
      <c r="KGQ1" s="124"/>
      <c r="KGR1" s="124"/>
      <c r="KGS1" s="124"/>
      <c r="KGT1" s="124"/>
      <c r="KGU1" s="124"/>
      <c r="KGV1" s="124"/>
      <c r="KGW1" s="124"/>
      <c r="KGX1" s="124"/>
      <c r="KGY1" s="124"/>
      <c r="KGZ1" s="124"/>
      <c r="KHA1" s="124"/>
      <c r="KHB1" s="124"/>
      <c r="KHC1" s="124"/>
      <c r="KHD1" s="124"/>
      <c r="KHE1" s="124"/>
      <c r="KHF1" s="124"/>
      <c r="KHG1" s="124"/>
      <c r="KHH1" s="124"/>
      <c r="KHI1" s="124"/>
      <c r="KHJ1" s="124"/>
      <c r="KHK1" s="124"/>
      <c r="KHL1" s="124"/>
      <c r="KHM1" s="124"/>
      <c r="KHN1" s="124"/>
      <c r="KHO1" s="124"/>
      <c r="KHP1" s="124"/>
      <c r="KHQ1" s="124"/>
      <c r="KHR1" s="124"/>
      <c r="KHS1" s="124"/>
      <c r="KHT1" s="124"/>
      <c r="KHU1" s="124"/>
      <c r="KHV1" s="124"/>
      <c r="KHW1" s="124"/>
      <c r="KHX1" s="124"/>
      <c r="KHY1" s="124"/>
      <c r="KHZ1" s="124"/>
      <c r="KIA1" s="124"/>
      <c r="KIB1" s="124"/>
      <c r="KIC1" s="124"/>
      <c r="KID1" s="124"/>
      <c r="KIE1" s="124"/>
      <c r="KIF1" s="124"/>
      <c r="KIG1" s="124"/>
      <c r="KIH1" s="124"/>
      <c r="KII1" s="124"/>
      <c r="KIJ1" s="124"/>
      <c r="KIK1" s="124"/>
      <c r="KIL1" s="124"/>
      <c r="KIM1" s="124"/>
      <c r="KIN1" s="124"/>
      <c r="KIO1" s="124"/>
      <c r="KIP1" s="124"/>
      <c r="KIQ1" s="124"/>
      <c r="KIR1" s="124"/>
      <c r="KIS1" s="124"/>
      <c r="KIT1" s="124"/>
      <c r="KIU1" s="124"/>
      <c r="KIV1" s="124"/>
      <c r="KIW1" s="124"/>
      <c r="KIX1" s="124"/>
      <c r="KIY1" s="124"/>
      <c r="KIZ1" s="124"/>
      <c r="KJA1" s="124"/>
      <c r="KJB1" s="124"/>
      <c r="KJC1" s="124"/>
      <c r="KJD1" s="124"/>
      <c r="KJE1" s="124"/>
      <c r="KJF1" s="124"/>
      <c r="KJG1" s="124"/>
      <c r="KJH1" s="124"/>
      <c r="KJI1" s="124"/>
      <c r="KJJ1" s="124"/>
      <c r="KJK1" s="124"/>
      <c r="KJL1" s="124"/>
      <c r="KJM1" s="124"/>
      <c r="KJN1" s="124"/>
      <c r="KJO1" s="124"/>
      <c r="KJP1" s="124"/>
      <c r="KJQ1" s="124"/>
      <c r="KJR1" s="124"/>
      <c r="KJS1" s="124"/>
      <c r="KJT1" s="124"/>
      <c r="KJU1" s="124"/>
      <c r="KJV1" s="124"/>
      <c r="KJW1" s="124"/>
      <c r="KJX1" s="124"/>
      <c r="KJY1" s="124"/>
      <c r="KJZ1" s="124"/>
      <c r="KKA1" s="124"/>
      <c r="KKB1" s="124"/>
      <c r="KKC1" s="124"/>
      <c r="KKD1" s="124"/>
      <c r="KKE1" s="124"/>
      <c r="KKF1" s="124"/>
      <c r="KKG1" s="124"/>
      <c r="KKH1" s="124"/>
      <c r="KKI1" s="124"/>
      <c r="KKJ1" s="124"/>
      <c r="KKK1" s="124"/>
      <c r="KKL1" s="124"/>
      <c r="KKM1" s="124"/>
      <c r="KKN1" s="124"/>
      <c r="KKO1" s="124"/>
      <c r="KKP1" s="124"/>
      <c r="KKQ1" s="124"/>
      <c r="KKR1" s="124"/>
      <c r="KKS1" s="124"/>
      <c r="KKT1" s="124"/>
      <c r="KKU1" s="124"/>
      <c r="KKV1" s="124"/>
      <c r="KKW1" s="124"/>
      <c r="KKX1" s="124"/>
      <c r="KKY1" s="124"/>
      <c r="KKZ1" s="124"/>
      <c r="KLA1" s="124"/>
      <c r="KLB1" s="124"/>
      <c r="KLC1" s="124"/>
      <c r="KLD1" s="124"/>
      <c r="KLE1" s="124"/>
      <c r="KLF1" s="124"/>
      <c r="KLG1" s="124"/>
      <c r="KLH1" s="124"/>
      <c r="KLI1" s="124"/>
      <c r="KLJ1" s="124"/>
      <c r="KLK1" s="124"/>
      <c r="KLL1" s="124"/>
      <c r="KLM1" s="124"/>
      <c r="KLN1" s="124"/>
      <c r="KLO1" s="124"/>
      <c r="KLP1" s="124"/>
      <c r="KLQ1" s="124"/>
      <c r="KLR1" s="124"/>
      <c r="KLS1" s="124"/>
      <c r="KLT1" s="124"/>
      <c r="KLU1" s="124"/>
      <c r="KLV1" s="124"/>
      <c r="KLW1" s="124"/>
      <c r="KLX1" s="124"/>
      <c r="KLY1" s="124"/>
      <c r="KLZ1" s="124"/>
      <c r="KMA1" s="124"/>
      <c r="KMB1" s="124"/>
      <c r="KMC1" s="124"/>
      <c r="KMD1" s="124"/>
      <c r="KME1" s="124"/>
      <c r="KMF1" s="124"/>
      <c r="KMG1" s="124"/>
      <c r="KMH1" s="124"/>
      <c r="KMI1" s="124"/>
      <c r="KMJ1" s="124"/>
      <c r="KMK1" s="124"/>
      <c r="KML1" s="124"/>
      <c r="KMM1" s="124"/>
      <c r="KMN1" s="124"/>
      <c r="KMO1" s="124"/>
      <c r="KMP1" s="124"/>
      <c r="KMQ1" s="124"/>
      <c r="KMR1" s="124"/>
      <c r="KMS1" s="124"/>
      <c r="KMT1" s="124"/>
      <c r="KMU1" s="124"/>
      <c r="KMV1" s="124"/>
      <c r="KMW1" s="124"/>
      <c r="KMX1" s="124"/>
      <c r="KMY1" s="124"/>
      <c r="KMZ1" s="124"/>
      <c r="KNA1" s="124"/>
      <c r="KNB1" s="124"/>
      <c r="KNC1" s="124"/>
      <c r="KND1" s="124"/>
      <c r="KNE1" s="124"/>
      <c r="KNF1" s="124"/>
      <c r="KNG1" s="124"/>
      <c r="KNH1" s="124"/>
      <c r="KNI1" s="124"/>
      <c r="KNJ1" s="124"/>
      <c r="KNK1" s="124"/>
      <c r="KNL1" s="124"/>
      <c r="KNM1" s="124"/>
      <c r="KNN1" s="124"/>
      <c r="KNO1" s="124"/>
      <c r="KNP1" s="124"/>
      <c r="KNQ1" s="124"/>
      <c r="KNR1" s="124"/>
      <c r="KNS1" s="124"/>
      <c r="KNT1" s="124"/>
      <c r="KNU1" s="124"/>
      <c r="KNV1" s="124"/>
      <c r="KNW1" s="124"/>
      <c r="KNX1" s="124"/>
      <c r="KNY1" s="124"/>
      <c r="KNZ1" s="124"/>
      <c r="KOA1" s="124"/>
      <c r="KOB1" s="124"/>
      <c r="KOC1" s="124"/>
      <c r="KOD1" s="124"/>
      <c r="KOE1" s="124"/>
      <c r="KOF1" s="124"/>
      <c r="KOG1" s="124"/>
      <c r="KOH1" s="124"/>
      <c r="KOI1" s="124"/>
      <c r="KOJ1" s="124"/>
      <c r="KOK1" s="124"/>
      <c r="KOL1" s="124"/>
      <c r="KOM1" s="124"/>
      <c r="KON1" s="124"/>
      <c r="KOO1" s="124"/>
      <c r="KOP1" s="124"/>
      <c r="KOQ1" s="124"/>
      <c r="KOR1" s="124"/>
      <c r="KOS1" s="124"/>
      <c r="KOT1" s="124"/>
      <c r="KOU1" s="124"/>
      <c r="KOV1" s="124"/>
      <c r="KOW1" s="124"/>
      <c r="KOX1" s="124"/>
      <c r="KOY1" s="124"/>
      <c r="KOZ1" s="124"/>
      <c r="KPA1" s="124"/>
      <c r="KPB1" s="124"/>
      <c r="KPC1" s="124"/>
      <c r="KPD1" s="124"/>
      <c r="KPE1" s="124"/>
      <c r="KPF1" s="124"/>
      <c r="KPG1" s="124"/>
      <c r="KPH1" s="124"/>
      <c r="KPI1" s="124"/>
      <c r="KPJ1" s="124"/>
      <c r="KPK1" s="124"/>
      <c r="KPL1" s="124"/>
      <c r="KPM1" s="124"/>
      <c r="KPN1" s="124"/>
      <c r="KPO1" s="124"/>
      <c r="KPP1" s="124"/>
      <c r="KPQ1" s="124"/>
      <c r="KPR1" s="124"/>
      <c r="KPS1" s="124"/>
      <c r="KPT1" s="124"/>
      <c r="KPU1" s="124"/>
      <c r="KPV1" s="124"/>
      <c r="KPW1" s="124"/>
      <c r="KPX1" s="124"/>
      <c r="KPY1" s="124"/>
      <c r="KPZ1" s="124"/>
      <c r="KQA1" s="124"/>
      <c r="KQB1" s="124"/>
      <c r="KQC1" s="124"/>
      <c r="KQD1" s="124"/>
      <c r="KQE1" s="124"/>
      <c r="KQF1" s="124"/>
      <c r="KQG1" s="124"/>
      <c r="KQH1" s="124"/>
      <c r="KQI1" s="124"/>
      <c r="KQJ1" s="124"/>
      <c r="KQK1" s="124"/>
      <c r="KQL1" s="124"/>
      <c r="KQM1" s="124"/>
      <c r="KQN1" s="124"/>
      <c r="KQO1" s="124"/>
      <c r="KQP1" s="124"/>
      <c r="KQQ1" s="124"/>
      <c r="KQR1" s="124"/>
      <c r="KQS1" s="124"/>
      <c r="KQT1" s="124"/>
      <c r="KQU1" s="124"/>
      <c r="KQV1" s="124"/>
      <c r="KQW1" s="124"/>
      <c r="KQX1" s="124"/>
      <c r="KQY1" s="124"/>
      <c r="KQZ1" s="124"/>
      <c r="KRA1" s="124"/>
      <c r="KRB1" s="124"/>
      <c r="KRC1" s="124"/>
      <c r="KRD1" s="124"/>
      <c r="KRE1" s="124"/>
      <c r="KRF1" s="124"/>
      <c r="KRG1" s="124"/>
      <c r="KRH1" s="124"/>
      <c r="KRI1" s="124"/>
      <c r="KRJ1" s="124"/>
      <c r="KRK1" s="124"/>
      <c r="KRL1" s="124"/>
      <c r="KRM1" s="124"/>
      <c r="KRN1" s="124"/>
      <c r="KRO1" s="124"/>
      <c r="KRP1" s="124"/>
      <c r="KRQ1" s="124"/>
      <c r="KRR1" s="124"/>
      <c r="KRS1" s="124"/>
      <c r="KRT1" s="124"/>
      <c r="KRU1" s="124"/>
      <c r="KRV1" s="124"/>
      <c r="KRW1" s="124"/>
      <c r="KRX1" s="124"/>
      <c r="KRY1" s="124"/>
      <c r="KRZ1" s="124"/>
      <c r="KSA1" s="124"/>
      <c r="KSB1" s="124"/>
      <c r="KSC1" s="124"/>
      <c r="KSD1" s="124"/>
      <c r="KSE1" s="124"/>
      <c r="KSF1" s="124"/>
      <c r="KSG1" s="124"/>
      <c r="KSH1" s="124"/>
      <c r="KSI1" s="124"/>
      <c r="KSJ1" s="124"/>
      <c r="KSK1" s="124"/>
      <c r="KSL1" s="124"/>
      <c r="KSM1" s="124"/>
      <c r="KSN1" s="124"/>
      <c r="KSO1" s="124"/>
      <c r="KSP1" s="124"/>
      <c r="KSQ1" s="124"/>
      <c r="KSR1" s="124"/>
      <c r="KSS1" s="124"/>
      <c r="KST1" s="124"/>
      <c r="KSU1" s="124"/>
      <c r="KSV1" s="124"/>
      <c r="KSW1" s="124"/>
      <c r="KSX1" s="124"/>
      <c r="KSY1" s="124"/>
      <c r="KSZ1" s="124"/>
      <c r="KTA1" s="124"/>
      <c r="KTB1" s="124"/>
      <c r="KTC1" s="124"/>
      <c r="KTD1" s="124"/>
      <c r="KTE1" s="124"/>
      <c r="KTF1" s="124"/>
      <c r="KTG1" s="124"/>
      <c r="KTH1" s="124"/>
      <c r="KTI1" s="124"/>
      <c r="KTJ1" s="124"/>
      <c r="KTK1" s="124"/>
      <c r="KTL1" s="124"/>
      <c r="KTM1" s="124"/>
      <c r="KTN1" s="124"/>
      <c r="KTO1" s="124"/>
      <c r="KTP1" s="124"/>
      <c r="KTQ1" s="124"/>
      <c r="KTR1" s="124"/>
      <c r="KTS1" s="124"/>
      <c r="KTT1" s="124"/>
      <c r="KTU1" s="124"/>
      <c r="KTV1" s="124"/>
      <c r="KTW1" s="124"/>
      <c r="KTX1" s="124"/>
      <c r="KTY1" s="124"/>
      <c r="KTZ1" s="124"/>
      <c r="KUA1" s="124"/>
      <c r="KUB1" s="124"/>
      <c r="KUC1" s="124"/>
      <c r="KUD1" s="124"/>
      <c r="KUE1" s="124"/>
      <c r="KUF1" s="124"/>
      <c r="KUG1" s="124"/>
      <c r="KUH1" s="124"/>
      <c r="KUI1" s="124"/>
      <c r="KUJ1" s="124"/>
      <c r="KUK1" s="124"/>
      <c r="KUL1" s="124"/>
      <c r="KUM1" s="124"/>
      <c r="KUN1" s="124"/>
      <c r="KUO1" s="124"/>
      <c r="KUP1" s="124"/>
      <c r="KUQ1" s="124"/>
      <c r="KUR1" s="124"/>
      <c r="KUS1" s="124"/>
      <c r="KUT1" s="124"/>
      <c r="KUU1" s="124"/>
      <c r="KUV1" s="124"/>
      <c r="KUW1" s="124"/>
      <c r="KUX1" s="124"/>
      <c r="KUY1" s="124"/>
      <c r="KUZ1" s="124"/>
      <c r="KVA1" s="124"/>
      <c r="KVB1" s="124"/>
      <c r="KVC1" s="124"/>
      <c r="KVD1" s="124"/>
      <c r="KVE1" s="124"/>
      <c r="KVF1" s="124"/>
      <c r="KVG1" s="124"/>
      <c r="KVH1" s="124"/>
      <c r="KVI1" s="124"/>
      <c r="KVJ1" s="124"/>
      <c r="KVK1" s="124"/>
      <c r="KVL1" s="124"/>
      <c r="KVM1" s="124"/>
      <c r="KVN1" s="124"/>
      <c r="KVO1" s="124"/>
      <c r="KVP1" s="124"/>
      <c r="KVQ1" s="124"/>
      <c r="KVR1" s="124"/>
      <c r="KVS1" s="124"/>
      <c r="KVT1" s="124"/>
      <c r="KVU1" s="124"/>
      <c r="KVV1" s="124"/>
      <c r="KVW1" s="124"/>
      <c r="KVX1" s="124"/>
      <c r="KVY1" s="124"/>
      <c r="KVZ1" s="124"/>
      <c r="KWA1" s="124"/>
      <c r="KWB1" s="124"/>
      <c r="KWC1" s="124"/>
      <c r="KWD1" s="124"/>
      <c r="KWE1" s="124"/>
      <c r="KWF1" s="124"/>
      <c r="KWG1" s="124"/>
      <c r="KWH1" s="124"/>
      <c r="KWI1" s="124"/>
      <c r="KWJ1" s="124"/>
      <c r="KWK1" s="124"/>
      <c r="KWL1" s="124"/>
      <c r="KWM1" s="124"/>
      <c r="KWN1" s="124"/>
      <c r="KWO1" s="124"/>
      <c r="KWP1" s="124"/>
      <c r="KWQ1" s="124"/>
      <c r="KWR1" s="124"/>
      <c r="KWS1" s="124"/>
      <c r="KWT1" s="124"/>
      <c r="KWU1" s="124"/>
      <c r="KWV1" s="124"/>
      <c r="KWW1" s="124"/>
      <c r="KWX1" s="124"/>
      <c r="KWY1" s="124"/>
      <c r="KWZ1" s="124"/>
      <c r="KXA1" s="124"/>
      <c r="KXB1" s="124"/>
      <c r="KXC1" s="124"/>
      <c r="KXD1" s="124"/>
      <c r="KXE1" s="124"/>
      <c r="KXF1" s="124"/>
      <c r="KXG1" s="124"/>
      <c r="KXH1" s="124"/>
      <c r="KXI1" s="124"/>
      <c r="KXJ1" s="124"/>
      <c r="KXK1" s="124"/>
      <c r="KXL1" s="124"/>
      <c r="KXM1" s="124"/>
      <c r="KXN1" s="124"/>
      <c r="KXO1" s="124"/>
      <c r="KXP1" s="124"/>
      <c r="KXQ1" s="124"/>
      <c r="KXR1" s="124"/>
      <c r="KXS1" s="124"/>
      <c r="KXT1" s="124"/>
      <c r="KXU1" s="124"/>
      <c r="KXV1" s="124"/>
      <c r="KXW1" s="124"/>
      <c r="KXX1" s="124"/>
      <c r="KXY1" s="124"/>
      <c r="KXZ1" s="124"/>
      <c r="KYA1" s="124"/>
      <c r="KYB1" s="124"/>
      <c r="KYC1" s="124"/>
      <c r="KYD1" s="124"/>
      <c r="KYE1" s="124"/>
      <c r="KYF1" s="124"/>
      <c r="KYG1" s="124"/>
      <c r="KYH1" s="124"/>
      <c r="KYI1" s="124"/>
      <c r="KYJ1" s="124"/>
      <c r="KYK1" s="124"/>
      <c r="KYL1" s="124"/>
      <c r="KYM1" s="124"/>
      <c r="KYN1" s="124"/>
      <c r="KYO1" s="124"/>
      <c r="KYP1" s="124"/>
      <c r="KYQ1" s="124"/>
      <c r="KYR1" s="124"/>
      <c r="KYS1" s="124"/>
      <c r="KYT1" s="124"/>
      <c r="KYU1" s="124"/>
      <c r="KYV1" s="124"/>
      <c r="KYW1" s="124"/>
      <c r="KYX1" s="124"/>
      <c r="KYY1" s="124"/>
      <c r="KYZ1" s="124"/>
      <c r="KZA1" s="124"/>
      <c r="KZB1" s="124"/>
      <c r="KZC1" s="124"/>
      <c r="KZD1" s="124"/>
      <c r="KZE1" s="124"/>
      <c r="KZF1" s="124"/>
      <c r="KZG1" s="124"/>
      <c r="KZH1" s="124"/>
      <c r="KZI1" s="124"/>
      <c r="KZJ1" s="124"/>
      <c r="KZK1" s="124"/>
      <c r="KZL1" s="124"/>
      <c r="KZM1" s="124"/>
      <c r="KZN1" s="124"/>
      <c r="KZO1" s="124"/>
      <c r="KZP1" s="124"/>
      <c r="KZQ1" s="124"/>
      <c r="KZR1" s="124"/>
      <c r="KZS1" s="124"/>
      <c r="KZT1" s="124"/>
      <c r="KZU1" s="124"/>
      <c r="KZV1" s="124"/>
      <c r="KZW1" s="124"/>
      <c r="KZX1" s="124"/>
      <c r="KZY1" s="124"/>
      <c r="KZZ1" s="124"/>
      <c r="LAA1" s="124"/>
      <c r="LAB1" s="124"/>
      <c r="LAC1" s="124"/>
      <c r="LAD1" s="124"/>
      <c r="LAE1" s="124"/>
      <c r="LAF1" s="124"/>
      <c r="LAG1" s="124"/>
      <c r="LAH1" s="124"/>
      <c r="LAI1" s="124"/>
      <c r="LAJ1" s="124"/>
      <c r="LAK1" s="124"/>
      <c r="LAL1" s="124"/>
      <c r="LAM1" s="124"/>
      <c r="LAN1" s="124"/>
      <c r="LAO1" s="124"/>
      <c r="LAP1" s="124"/>
      <c r="LAQ1" s="124"/>
      <c r="LAR1" s="124"/>
      <c r="LAS1" s="124"/>
      <c r="LAT1" s="124"/>
      <c r="LAU1" s="124"/>
      <c r="LAV1" s="124"/>
      <c r="LAW1" s="124"/>
      <c r="LAX1" s="124"/>
      <c r="LAY1" s="124"/>
      <c r="LAZ1" s="124"/>
      <c r="LBA1" s="124"/>
      <c r="LBB1" s="124"/>
      <c r="LBC1" s="124"/>
      <c r="LBD1" s="124"/>
      <c r="LBE1" s="124"/>
      <c r="LBF1" s="124"/>
      <c r="LBG1" s="124"/>
      <c r="LBH1" s="124"/>
      <c r="LBI1" s="124"/>
      <c r="LBJ1" s="124"/>
      <c r="LBK1" s="124"/>
      <c r="LBL1" s="124"/>
      <c r="LBM1" s="124"/>
      <c r="LBN1" s="124"/>
      <c r="LBO1" s="124"/>
      <c r="LBP1" s="124"/>
      <c r="LBQ1" s="124"/>
      <c r="LBR1" s="124"/>
      <c r="LBS1" s="124"/>
      <c r="LBT1" s="124"/>
      <c r="LBU1" s="124"/>
      <c r="LBV1" s="124"/>
      <c r="LBW1" s="124"/>
      <c r="LBX1" s="124"/>
      <c r="LBY1" s="124"/>
      <c r="LBZ1" s="124"/>
      <c r="LCA1" s="124"/>
      <c r="LCB1" s="124"/>
      <c r="LCC1" s="124"/>
      <c r="LCD1" s="124"/>
      <c r="LCE1" s="124"/>
      <c r="LCF1" s="124"/>
      <c r="LCG1" s="124"/>
      <c r="LCH1" s="124"/>
      <c r="LCI1" s="124"/>
      <c r="LCJ1" s="124"/>
      <c r="LCK1" s="124"/>
      <c r="LCL1" s="124"/>
      <c r="LCM1" s="124"/>
      <c r="LCN1" s="124"/>
      <c r="LCO1" s="124"/>
      <c r="LCP1" s="124"/>
      <c r="LCQ1" s="124"/>
      <c r="LCR1" s="124"/>
      <c r="LCS1" s="124"/>
      <c r="LCT1" s="124"/>
      <c r="LCU1" s="124"/>
      <c r="LCV1" s="124"/>
      <c r="LCW1" s="124"/>
      <c r="LCX1" s="124"/>
      <c r="LCY1" s="124"/>
      <c r="LCZ1" s="124"/>
      <c r="LDA1" s="124"/>
      <c r="LDB1" s="124"/>
      <c r="LDC1" s="124"/>
      <c r="LDD1" s="124"/>
      <c r="LDE1" s="124"/>
      <c r="LDF1" s="124"/>
      <c r="LDG1" s="124"/>
      <c r="LDH1" s="124"/>
      <c r="LDI1" s="124"/>
      <c r="LDJ1" s="124"/>
      <c r="LDK1" s="124"/>
      <c r="LDL1" s="124"/>
      <c r="LDM1" s="124"/>
      <c r="LDN1" s="124"/>
      <c r="LDO1" s="124"/>
      <c r="LDP1" s="124"/>
      <c r="LDQ1" s="124"/>
      <c r="LDR1" s="124"/>
      <c r="LDS1" s="124"/>
      <c r="LDT1" s="124"/>
      <c r="LDU1" s="124"/>
      <c r="LDV1" s="124"/>
      <c r="LDW1" s="124"/>
      <c r="LDX1" s="124"/>
      <c r="LDY1" s="124"/>
      <c r="LDZ1" s="124"/>
      <c r="LEA1" s="124"/>
      <c r="LEB1" s="124"/>
      <c r="LEC1" s="124"/>
      <c r="LED1" s="124"/>
      <c r="LEE1" s="124"/>
      <c r="LEF1" s="124"/>
      <c r="LEG1" s="124"/>
      <c r="LEH1" s="124"/>
      <c r="LEI1" s="124"/>
      <c r="LEJ1" s="124"/>
      <c r="LEK1" s="124"/>
      <c r="LEL1" s="124"/>
      <c r="LEM1" s="124"/>
      <c r="LEN1" s="124"/>
      <c r="LEO1" s="124"/>
      <c r="LEP1" s="124"/>
      <c r="LEQ1" s="124"/>
      <c r="LER1" s="124"/>
      <c r="LES1" s="124"/>
      <c r="LET1" s="124"/>
      <c r="LEU1" s="124"/>
      <c r="LEV1" s="124"/>
      <c r="LEW1" s="124"/>
      <c r="LEX1" s="124"/>
      <c r="LEY1" s="124"/>
      <c r="LEZ1" s="124"/>
      <c r="LFA1" s="124"/>
      <c r="LFB1" s="124"/>
      <c r="LFC1" s="124"/>
      <c r="LFD1" s="124"/>
      <c r="LFE1" s="124"/>
      <c r="LFF1" s="124"/>
      <c r="LFG1" s="124"/>
      <c r="LFH1" s="124"/>
      <c r="LFI1" s="124"/>
      <c r="LFJ1" s="124"/>
      <c r="LFK1" s="124"/>
      <c r="LFL1" s="124"/>
      <c r="LFM1" s="124"/>
      <c r="LFN1" s="124"/>
      <c r="LFO1" s="124"/>
      <c r="LFP1" s="124"/>
      <c r="LFQ1" s="124"/>
      <c r="LFR1" s="124"/>
      <c r="LFS1" s="124"/>
      <c r="LFT1" s="124"/>
      <c r="LFU1" s="124"/>
      <c r="LFV1" s="124"/>
      <c r="LFW1" s="124"/>
      <c r="LFX1" s="124"/>
      <c r="LFY1" s="124"/>
      <c r="LFZ1" s="124"/>
      <c r="LGA1" s="124"/>
      <c r="LGB1" s="124"/>
      <c r="LGC1" s="124"/>
      <c r="LGD1" s="124"/>
      <c r="LGE1" s="124"/>
      <c r="LGF1" s="124"/>
      <c r="LGG1" s="124"/>
      <c r="LGH1" s="124"/>
      <c r="LGI1" s="124"/>
      <c r="LGJ1" s="124"/>
      <c r="LGK1" s="124"/>
      <c r="LGL1" s="124"/>
      <c r="LGM1" s="124"/>
      <c r="LGN1" s="124"/>
      <c r="LGO1" s="124"/>
      <c r="LGP1" s="124"/>
      <c r="LGQ1" s="124"/>
      <c r="LGR1" s="124"/>
      <c r="LGS1" s="124"/>
      <c r="LGT1" s="124"/>
      <c r="LGU1" s="124"/>
      <c r="LGV1" s="124"/>
      <c r="LGW1" s="124"/>
      <c r="LGX1" s="124"/>
      <c r="LGY1" s="124"/>
      <c r="LGZ1" s="124"/>
      <c r="LHA1" s="124"/>
      <c r="LHB1" s="124"/>
      <c r="LHC1" s="124"/>
      <c r="LHD1" s="124"/>
      <c r="LHE1" s="124"/>
      <c r="LHF1" s="124"/>
      <c r="LHG1" s="124"/>
      <c r="LHH1" s="124"/>
      <c r="LHI1" s="124"/>
      <c r="LHJ1" s="124"/>
      <c r="LHK1" s="124"/>
      <c r="LHL1" s="124"/>
      <c r="LHM1" s="124"/>
      <c r="LHN1" s="124"/>
      <c r="LHO1" s="124"/>
      <c r="LHP1" s="124"/>
      <c r="LHQ1" s="124"/>
      <c r="LHR1" s="124"/>
      <c r="LHS1" s="124"/>
      <c r="LHT1" s="124"/>
      <c r="LHU1" s="124"/>
      <c r="LHV1" s="124"/>
      <c r="LHW1" s="124"/>
      <c r="LHX1" s="124"/>
      <c r="LHY1" s="124"/>
      <c r="LHZ1" s="124"/>
      <c r="LIA1" s="124"/>
      <c r="LIB1" s="124"/>
      <c r="LIC1" s="124"/>
      <c r="LID1" s="124"/>
      <c r="LIE1" s="124"/>
      <c r="LIF1" s="124"/>
      <c r="LIG1" s="124"/>
      <c r="LIH1" s="124"/>
      <c r="LII1" s="124"/>
      <c r="LIJ1" s="124"/>
      <c r="LIK1" s="124"/>
      <c r="LIL1" s="124"/>
      <c r="LIM1" s="124"/>
      <c r="LIN1" s="124"/>
      <c r="LIO1" s="124"/>
      <c r="LIP1" s="124"/>
      <c r="LIQ1" s="124"/>
      <c r="LIR1" s="124"/>
      <c r="LIS1" s="124"/>
      <c r="LIT1" s="124"/>
      <c r="LIU1" s="124"/>
      <c r="LIV1" s="124"/>
      <c r="LIW1" s="124"/>
      <c r="LIX1" s="124"/>
      <c r="LIY1" s="124"/>
      <c r="LIZ1" s="124"/>
      <c r="LJA1" s="124"/>
      <c r="LJB1" s="124"/>
      <c r="LJC1" s="124"/>
      <c r="LJD1" s="124"/>
      <c r="LJE1" s="124"/>
      <c r="LJF1" s="124"/>
      <c r="LJG1" s="124"/>
      <c r="LJH1" s="124"/>
      <c r="LJI1" s="124"/>
      <c r="LJJ1" s="124"/>
      <c r="LJK1" s="124"/>
      <c r="LJL1" s="124"/>
      <c r="LJM1" s="124"/>
      <c r="LJN1" s="124"/>
      <c r="LJO1" s="124"/>
      <c r="LJP1" s="124"/>
      <c r="LJQ1" s="124"/>
      <c r="LJR1" s="124"/>
      <c r="LJS1" s="124"/>
      <c r="LJT1" s="124"/>
      <c r="LJU1" s="124"/>
      <c r="LJV1" s="124"/>
      <c r="LJW1" s="124"/>
      <c r="LJX1" s="124"/>
      <c r="LJY1" s="124"/>
      <c r="LJZ1" s="124"/>
      <c r="LKA1" s="124"/>
      <c r="LKB1" s="124"/>
      <c r="LKC1" s="124"/>
      <c r="LKD1" s="124"/>
      <c r="LKE1" s="124"/>
      <c r="LKF1" s="124"/>
      <c r="LKG1" s="124"/>
      <c r="LKH1" s="124"/>
      <c r="LKI1" s="124"/>
      <c r="LKJ1" s="124"/>
      <c r="LKK1" s="124"/>
      <c r="LKL1" s="124"/>
      <c r="LKM1" s="124"/>
      <c r="LKN1" s="124"/>
      <c r="LKO1" s="124"/>
      <c r="LKP1" s="124"/>
      <c r="LKQ1" s="124"/>
      <c r="LKR1" s="124"/>
      <c r="LKS1" s="124"/>
      <c r="LKT1" s="124"/>
      <c r="LKU1" s="124"/>
      <c r="LKV1" s="124"/>
      <c r="LKW1" s="124"/>
      <c r="LKX1" s="124"/>
      <c r="LKY1" s="124"/>
      <c r="LKZ1" s="124"/>
      <c r="LLA1" s="124"/>
      <c r="LLB1" s="124"/>
      <c r="LLC1" s="124"/>
      <c r="LLD1" s="124"/>
      <c r="LLE1" s="124"/>
      <c r="LLF1" s="124"/>
      <c r="LLG1" s="124"/>
      <c r="LLH1" s="124"/>
      <c r="LLI1" s="124"/>
      <c r="LLJ1" s="124"/>
      <c r="LLK1" s="124"/>
      <c r="LLL1" s="124"/>
      <c r="LLM1" s="124"/>
      <c r="LLN1" s="124"/>
      <c r="LLO1" s="124"/>
      <c r="LLP1" s="124"/>
      <c r="LLQ1" s="124"/>
      <c r="LLR1" s="124"/>
      <c r="LLS1" s="124"/>
      <c r="LLT1" s="124"/>
      <c r="LLU1" s="124"/>
      <c r="LLV1" s="124"/>
      <c r="LLW1" s="124"/>
      <c r="LLX1" s="124"/>
      <c r="LLY1" s="124"/>
      <c r="LLZ1" s="124"/>
      <c r="LMA1" s="124"/>
      <c r="LMB1" s="124"/>
      <c r="LMC1" s="124"/>
      <c r="LMD1" s="124"/>
      <c r="LME1" s="124"/>
      <c r="LMF1" s="124"/>
      <c r="LMG1" s="124"/>
      <c r="LMH1" s="124"/>
      <c r="LMI1" s="124"/>
      <c r="LMJ1" s="124"/>
      <c r="LMK1" s="124"/>
      <c r="LML1" s="124"/>
      <c r="LMM1" s="124"/>
      <c r="LMN1" s="124"/>
      <c r="LMO1" s="124"/>
      <c r="LMP1" s="124"/>
      <c r="LMQ1" s="124"/>
      <c r="LMR1" s="124"/>
      <c r="LMS1" s="124"/>
      <c r="LMT1" s="124"/>
      <c r="LMU1" s="124"/>
      <c r="LMV1" s="124"/>
      <c r="LMW1" s="124"/>
      <c r="LMX1" s="124"/>
      <c r="LMY1" s="124"/>
      <c r="LMZ1" s="124"/>
      <c r="LNA1" s="124"/>
      <c r="LNB1" s="124"/>
      <c r="LNC1" s="124"/>
      <c r="LND1" s="124"/>
      <c r="LNE1" s="124"/>
      <c r="LNF1" s="124"/>
      <c r="LNG1" s="124"/>
      <c r="LNH1" s="124"/>
      <c r="LNI1" s="124"/>
      <c r="LNJ1" s="124"/>
      <c r="LNK1" s="124"/>
      <c r="LNL1" s="124"/>
      <c r="LNM1" s="124"/>
      <c r="LNN1" s="124"/>
      <c r="LNO1" s="124"/>
      <c r="LNP1" s="124"/>
      <c r="LNQ1" s="124"/>
      <c r="LNR1" s="124"/>
      <c r="LNS1" s="124"/>
      <c r="LNT1" s="124"/>
      <c r="LNU1" s="124"/>
      <c r="LNV1" s="124"/>
      <c r="LNW1" s="124"/>
      <c r="LNX1" s="124"/>
      <c r="LNY1" s="124"/>
      <c r="LNZ1" s="124"/>
      <c r="LOA1" s="124"/>
      <c r="LOB1" s="124"/>
      <c r="LOC1" s="124"/>
      <c r="LOD1" s="124"/>
      <c r="LOE1" s="124"/>
      <c r="LOF1" s="124"/>
      <c r="LOG1" s="124"/>
      <c r="LOH1" s="124"/>
      <c r="LOI1" s="124"/>
      <c r="LOJ1" s="124"/>
      <c r="LOK1" s="124"/>
      <c r="LOL1" s="124"/>
      <c r="LOM1" s="124"/>
      <c r="LON1" s="124"/>
      <c r="LOO1" s="124"/>
      <c r="LOP1" s="124"/>
      <c r="LOQ1" s="124"/>
      <c r="LOR1" s="124"/>
      <c r="LOS1" s="124"/>
      <c r="LOT1" s="124"/>
      <c r="LOU1" s="124"/>
      <c r="LOV1" s="124"/>
      <c r="LOW1" s="124"/>
      <c r="LOX1" s="124"/>
      <c r="LOY1" s="124"/>
      <c r="LOZ1" s="124"/>
      <c r="LPA1" s="124"/>
      <c r="LPB1" s="124"/>
      <c r="LPC1" s="124"/>
      <c r="LPD1" s="124"/>
      <c r="LPE1" s="124"/>
      <c r="LPF1" s="124"/>
      <c r="LPG1" s="124"/>
      <c r="LPH1" s="124"/>
      <c r="LPI1" s="124"/>
      <c r="LPJ1" s="124"/>
      <c r="LPK1" s="124"/>
      <c r="LPL1" s="124"/>
      <c r="LPM1" s="124"/>
      <c r="LPN1" s="124"/>
      <c r="LPO1" s="124"/>
      <c r="LPP1" s="124"/>
      <c r="LPQ1" s="124"/>
      <c r="LPR1" s="124"/>
      <c r="LPS1" s="124"/>
      <c r="LPT1" s="124"/>
      <c r="LPU1" s="124"/>
      <c r="LPV1" s="124"/>
      <c r="LPW1" s="124"/>
      <c r="LPX1" s="124"/>
      <c r="LPY1" s="124"/>
      <c r="LPZ1" s="124"/>
      <c r="LQA1" s="124"/>
      <c r="LQB1" s="124"/>
      <c r="LQC1" s="124"/>
      <c r="LQD1" s="124"/>
      <c r="LQE1" s="124"/>
      <c r="LQF1" s="124"/>
      <c r="LQG1" s="124"/>
      <c r="LQH1" s="124"/>
      <c r="LQI1" s="124"/>
      <c r="LQJ1" s="124"/>
      <c r="LQK1" s="124"/>
      <c r="LQL1" s="124"/>
      <c r="LQM1" s="124"/>
      <c r="LQN1" s="124"/>
      <c r="LQO1" s="124"/>
      <c r="LQP1" s="124"/>
      <c r="LQQ1" s="124"/>
      <c r="LQR1" s="124"/>
      <c r="LQS1" s="124"/>
      <c r="LQT1" s="124"/>
      <c r="LQU1" s="124"/>
      <c r="LQV1" s="124"/>
      <c r="LQW1" s="124"/>
      <c r="LQX1" s="124"/>
      <c r="LQY1" s="124"/>
      <c r="LQZ1" s="124"/>
      <c r="LRA1" s="124"/>
      <c r="LRB1" s="124"/>
      <c r="LRC1" s="124"/>
      <c r="LRD1" s="124"/>
      <c r="LRE1" s="124"/>
      <c r="LRF1" s="124"/>
      <c r="LRG1" s="124"/>
      <c r="LRH1" s="124"/>
      <c r="LRI1" s="124"/>
      <c r="LRJ1" s="124"/>
      <c r="LRK1" s="124"/>
      <c r="LRL1" s="124"/>
      <c r="LRM1" s="124"/>
      <c r="LRN1" s="124"/>
      <c r="LRO1" s="124"/>
      <c r="LRP1" s="124"/>
      <c r="LRQ1" s="124"/>
      <c r="LRR1" s="124"/>
      <c r="LRS1" s="124"/>
      <c r="LRT1" s="124"/>
      <c r="LRU1" s="124"/>
      <c r="LRV1" s="124"/>
      <c r="LRW1" s="124"/>
      <c r="LRX1" s="124"/>
      <c r="LRY1" s="124"/>
      <c r="LRZ1" s="124"/>
      <c r="LSA1" s="124"/>
      <c r="LSB1" s="124"/>
      <c r="LSC1" s="124"/>
      <c r="LSD1" s="124"/>
      <c r="LSE1" s="124"/>
      <c r="LSF1" s="124"/>
      <c r="LSG1" s="124"/>
      <c r="LSH1" s="124"/>
      <c r="LSI1" s="124"/>
      <c r="LSJ1" s="124"/>
      <c r="LSK1" s="124"/>
      <c r="LSL1" s="124"/>
      <c r="LSM1" s="124"/>
      <c r="LSN1" s="124"/>
      <c r="LSO1" s="124"/>
      <c r="LSP1" s="124"/>
      <c r="LSQ1" s="124"/>
      <c r="LSR1" s="124"/>
      <c r="LSS1" s="124"/>
      <c r="LST1" s="124"/>
      <c r="LSU1" s="124"/>
      <c r="LSV1" s="124"/>
      <c r="LSW1" s="124"/>
      <c r="LSX1" s="124"/>
      <c r="LSY1" s="124"/>
      <c r="LSZ1" s="124"/>
      <c r="LTA1" s="124"/>
      <c r="LTB1" s="124"/>
      <c r="LTC1" s="124"/>
      <c r="LTD1" s="124"/>
      <c r="LTE1" s="124"/>
      <c r="LTF1" s="124"/>
      <c r="LTG1" s="124"/>
      <c r="LTH1" s="124"/>
      <c r="LTI1" s="124"/>
      <c r="LTJ1" s="124"/>
      <c r="LTK1" s="124"/>
      <c r="LTL1" s="124"/>
      <c r="LTM1" s="124"/>
      <c r="LTN1" s="124"/>
      <c r="LTO1" s="124"/>
      <c r="LTP1" s="124"/>
      <c r="LTQ1" s="124"/>
      <c r="LTR1" s="124"/>
      <c r="LTS1" s="124"/>
      <c r="LTT1" s="124"/>
      <c r="LTU1" s="124"/>
      <c r="LTV1" s="124"/>
      <c r="LTW1" s="124"/>
      <c r="LTX1" s="124"/>
      <c r="LTY1" s="124"/>
      <c r="LTZ1" s="124"/>
      <c r="LUA1" s="124"/>
      <c r="LUB1" s="124"/>
      <c r="LUC1" s="124"/>
      <c r="LUD1" s="124"/>
      <c r="LUE1" s="124"/>
      <c r="LUF1" s="124"/>
      <c r="LUG1" s="124"/>
      <c r="LUH1" s="124"/>
      <c r="LUI1" s="124"/>
      <c r="LUJ1" s="124"/>
      <c r="LUK1" s="124"/>
      <c r="LUL1" s="124"/>
      <c r="LUM1" s="124"/>
      <c r="LUN1" s="124"/>
      <c r="LUO1" s="124"/>
      <c r="LUP1" s="124"/>
      <c r="LUQ1" s="124"/>
      <c r="LUR1" s="124"/>
      <c r="LUS1" s="124"/>
      <c r="LUT1" s="124"/>
      <c r="LUU1" s="124"/>
      <c r="LUV1" s="124"/>
      <c r="LUW1" s="124"/>
      <c r="LUX1" s="124"/>
      <c r="LUY1" s="124"/>
      <c r="LUZ1" s="124"/>
      <c r="LVA1" s="124"/>
      <c r="LVB1" s="124"/>
      <c r="LVC1" s="124"/>
      <c r="LVD1" s="124"/>
      <c r="LVE1" s="124"/>
      <c r="LVF1" s="124"/>
      <c r="LVG1" s="124"/>
      <c r="LVH1" s="124"/>
      <c r="LVI1" s="124"/>
      <c r="LVJ1" s="124"/>
      <c r="LVK1" s="124"/>
      <c r="LVL1" s="124"/>
      <c r="LVM1" s="124"/>
      <c r="LVN1" s="124"/>
      <c r="LVO1" s="124"/>
      <c r="LVP1" s="124"/>
      <c r="LVQ1" s="124"/>
      <c r="LVR1" s="124"/>
      <c r="LVS1" s="124"/>
      <c r="LVT1" s="124"/>
      <c r="LVU1" s="124"/>
      <c r="LVV1" s="124"/>
      <c r="LVW1" s="124"/>
      <c r="LVX1" s="124"/>
      <c r="LVY1" s="124"/>
      <c r="LVZ1" s="124"/>
      <c r="LWA1" s="124"/>
      <c r="LWB1" s="124"/>
      <c r="LWC1" s="124"/>
      <c r="LWD1" s="124"/>
      <c r="LWE1" s="124"/>
      <c r="LWF1" s="124"/>
      <c r="LWG1" s="124"/>
      <c r="LWH1" s="124"/>
      <c r="LWI1" s="124"/>
      <c r="LWJ1" s="124"/>
      <c r="LWK1" s="124"/>
      <c r="LWL1" s="124"/>
      <c r="LWM1" s="124"/>
      <c r="LWN1" s="124"/>
      <c r="LWO1" s="124"/>
      <c r="LWP1" s="124"/>
      <c r="LWQ1" s="124"/>
      <c r="LWR1" s="124"/>
      <c r="LWS1" s="124"/>
      <c r="LWT1" s="124"/>
      <c r="LWU1" s="124"/>
      <c r="LWV1" s="124"/>
      <c r="LWW1" s="124"/>
      <c r="LWX1" s="124"/>
      <c r="LWY1" s="124"/>
      <c r="LWZ1" s="124"/>
      <c r="LXA1" s="124"/>
      <c r="LXB1" s="124"/>
      <c r="LXC1" s="124"/>
      <c r="LXD1" s="124"/>
      <c r="LXE1" s="124"/>
      <c r="LXF1" s="124"/>
      <c r="LXG1" s="124"/>
      <c r="LXH1" s="124"/>
      <c r="LXI1" s="124"/>
      <c r="LXJ1" s="124"/>
      <c r="LXK1" s="124"/>
      <c r="LXL1" s="124"/>
      <c r="LXM1" s="124"/>
      <c r="LXN1" s="124"/>
      <c r="LXO1" s="124"/>
      <c r="LXP1" s="124"/>
      <c r="LXQ1" s="124"/>
      <c r="LXR1" s="124"/>
      <c r="LXS1" s="124"/>
      <c r="LXT1" s="124"/>
      <c r="LXU1" s="124"/>
      <c r="LXV1" s="124"/>
      <c r="LXW1" s="124"/>
      <c r="LXX1" s="124"/>
      <c r="LXY1" s="124"/>
      <c r="LXZ1" s="124"/>
      <c r="LYA1" s="124"/>
      <c r="LYB1" s="124"/>
      <c r="LYC1" s="124"/>
      <c r="LYD1" s="124"/>
      <c r="LYE1" s="124"/>
      <c r="LYF1" s="124"/>
      <c r="LYG1" s="124"/>
      <c r="LYH1" s="124"/>
      <c r="LYI1" s="124"/>
      <c r="LYJ1" s="124"/>
      <c r="LYK1" s="124"/>
      <c r="LYL1" s="124"/>
      <c r="LYM1" s="124"/>
      <c r="LYN1" s="124"/>
      <c r="LYO1" s="124"/>
      <c r="LYP1" s="124"/>
      <c r="LYQ1" s="124"/>
      <c r="LYR1" s="124"/>
      <c r="LYS1" s="124"/>
      <c r="LYT1" s="124"/>
      <c r="LYU1" s="124"/>
      <c r="LYV1" s="124"/>
      <c r="LYW1" s="124"/>
      <c r="LYX1" s="124"/>
      <c r="LYY1" s="124"/>
      <c r="LYZ1" s="124"/>
      <c r="LZA1" s="124"/>
      <c r="LZB1" s="124"/>
      <c r="LZC1" s="124"/>
      <c r="LZD1" s="124"/>
      <c r="LZE1" s="124"/>
      <c r="LZF1" s="124"/>
      <c r="LZG1" s="124"/>
      <c r="LZH1" s="124"/>
      <c r="LZI1" s="124"/>
      <c r="LZJ1" s="124"/>
      <c r="LZK1" s="124"/>
      <c r="LZL1" s="124"/>
      <c r="LZM1" s="124"/>
      <c r="LZN1" s="124"/>
      <c r="LZO1" s="124"/>
      <c r="LZP1" s="124"/>
      <c r="LZQ1" s="124"/>
      <c r="LZR1" s="124"/>
      <c r="LZS1" s="124"/>
      <c r="LZT1" s="124"/>
      <c r="LZU1" s="124"/>
      <c r="LZV1" s="124"/>
      <c r="LZW1" s="124"/>
      <c r="LZX1" s="124"/>
      <c r="LZY1" s="124"/>
      <c r="LZZ1" s="124"/>
      <c r="MAA1" s="124"/>
      <c r="MAB1" s="124"/>
      <c r="MAC1" s="124"/>
      <c r="MAD1" s="124"/>
      <c r="MAE1" s="124"/>
      <c r="MAF1" s="124"/>
      <c r="MAG1" s="124"/>
      <c r="MAH1" s="124"/>
      <c r="MAI1" s="124"/>
      <c r="MAJ1" s="124"/>
      <c r="MAK1" s="124"/>
      <c r="MAL1" s="124"/>
      <c r="MAM1" s="124"/>
      <c r="MAN1" s="124"/>
      <c r="MAO1" s="124"/>
      <c r="MAP1" s="124"/>
      <c r="MAQ1" s="124"/>
      <c r="MAR1" s="124"/>
      <c r="MAS1" s="124"/>
      <c r="MAT1" s="124"/>
      <c r="MAU1" s="124"/>
      <c r="MAV1" s="124"/>
      <c r="MAW1" s="124"/>
      <c r="MAX1" s="124"/>
      <c r="MAY1" s="124"/>
      <c r="MAZ1" s="124"/>
      <c r="MBA1" s="124"/>
      <c r="MBB1" s="124"/>
      <c r="MBC1" s="124"/>
      <c r="MBD1" s="124"/>
      <c r="MBE1" s="124"/>
      <c r="MBF1" s="124"/>
      <c r="MBG1" s="124"/>
      <c r="MBH1" s="124"/>
      <c r="MBI1" s="124"/>
      <c r="MBJ1" s="124"/>
      <c r="MBK1" s="124"/>
      <c r="MBL1" s="124"/>
      <c r="MBM1" s="124"/>
      <c r="MBN1" s="124"/>
      <c r="MBO1" s="124"/>
      <c r="MBP1" s="124"/>
      <c r="MBQ1" s="124"/>
      <c r="MBR1" s="124"/>
      <c r="MBS1" s="124"/>
      <c r="MBT1" s="124"/>
      <c r="MBU1" s="124"/>
      <c r="MBV1" s="124"/>
      <c r="MBW1" s="124"/>
      <c r="MBX1" s="124"/>
      <c r="MBY1" s="124"/>
      <c r="MBZ1" s="124"/>
      <c r="MCA1" s="124"/>
      <c r="MCB1" s="124"/>
      <c r="MCC1" s="124"/>
      <c r="MCD1" s="124"/>
      <c r="MCE1" s="124"/>
      <c r="MCF1" s="124"/>
      <c r="MCG1" s="124"/>
      <c r="MCH1" s="124"/>
      <c r="MCI1" s="124"/>
      <c r="MCJ1" s="124"/>
      <c r="MCK1" s="124"/>
      <c r="MCL1" s="124"/>
      <c r="MCM1" s="124"/>
      <c r="MCN1" s="124"/>
      <c r="MCO1" s="124"/>
      <c r="MCP1" s="124"/>
      <c r="MCQ1" s="124"/>
      <c r="MCR1" s="124"/>
      <c r="MCS1" s="124"/>
      <c r="MCT1" s="124"/>
      <c r="MCU1" s="124"/>
      <c r="MCV1" s="124"/>
      <c r="MCW1" s="124"/>
      <c r="MCX1" s="124"/>
      <c r="MCY1" s="124"/>
      <c r="MCZ1" s="124"/>
      <c r="MDA1" s="124"/>
      <c r="MDB1" s="124"/>
      <c r="MDC1" s="124"/>
      <c r="MDD1" s="124"/>
      <c r="MDE1" s="124"/>
      <c r="MDF1" s="124"/>
      <c r="MDG1" s="124"/>
      <c r="MDH1" s="124"/>
      <c r="MDI1" s="124"/>
      <c r="MDJ1" s="124"/>
      <c r="MDK1" s="124"/>
      <c r="MDL1" s="124"/>
      <c r="MDM1" s="124"/>
      <c r="MDN1" s="124"/>
      <c r="MDO1" s="124"/>
      <c r="MDP1" s="124"/>
      <c r="MDQ1" s="124"/>
      <c r="MDR1" s="124"/>
      <c r="MDS1" s="124"/>
      <c r="MDT1" s="124"/>
      <c r="MDU1" s="124"/>
      <c r="MDV1" s="124"/>
      <c r="MDW1" s="124"/>
      <c r="MDX1" s="124"/>
      <c r="MDY1" s="124"/>
      <c r="MDZ1" s="124"/>
      <c r="MEA1" s="124"/>
      <c r="MEB1" s="124"/>
      <c r="MEC1" s="124"/>
      <c r="MED1" s="124"/>
      <c r="MEE1" s="124"/>
      <c r="MEF1" s="124"/>
      <c r="MEG1" s="124"/>
      <c r="MEH1" s="124"/>
      <c r="MEI1" s="124"/>
      <c r="MEJ1" s="124"/>
      <c r="MEK1" s="124"/>
      <c r="MEL1" s="124"/>
      <c r="MEM1" s="124"/>
      <c r="MEN1" s="124"/>
      <c r="MEO1" s="124"/>
      <c r="MEP1" s="124"/>
      <c r="MEQ1" s="124"/>
      <c r="MER1" s="124"/>
      <c r="MES1" s="124"/>
      <c r="MET1" s="124"/>
      <c r="MEU1" s="124"/>
      <c r="MEV1" s="124"/>
      <c r="MEW1" s="124"/>
      <c r="MEX1" s="124"/>
      <c r="MEY1" s="124"/>
      <c r="MEZ1" s="124"/>
      <c r="MFA1" s="124"/>
      <c r="MFB1" s="124"/>
      <c r="MFC1" s="124"/>
      <c r="MFD1" s="124"/>
      <c r="MFE1" s="124"/>
      <c r="MFF1" s="124"/>
      <c r="MFG1" s="124"/>
      <c r="MFH1" s="124"/>
      <c r="MFI1" s="124"/>
      <c r="MFJ1" s="124"/>
      <c r="MFK1" s="124"/>
      <c r="MFL1" s="124"/>
      <c r="MFM1" s="124"/>
      <c r="MFN1" s="124"/>
      <c r="MFO1" s="124"/>
      <c r="MFP1" s="124"/>
      <c r="MFQ1" s="124"/>
      <c r="MFR1" s="124"/>
      <c r="MFS1" s="124"/>
      <c r="MFT1" s="124"/>
      <c r="MFU1" s="124"/>
      <c r="MFV1" s="124"/>
      <c r="MFW1" s="124"/>
      <c r="MFX1" s="124"/>
      <c r="MFY1" s="124"/>
      <c r="MFZ1" s="124"/>
      <c r="MGA1" s="124"/>
      <c r="MGB1" s="124"/>
      <c r="MGC1" s="124"/>
      <c r="MGD1" s="124"/>
      <c r="MGE1" s="124"/>
      <c r="MGF1" s="124"/>
      <c r="MGG1" s="124"/>
      <c r="MGH1" s="124"/>
      <c r="MGI1" s="124"/>
      <c r="MGJ1" s="124"/>
      <c r="MGK1" s="124"/>
      <c r="MGL1" s="124"/>
      <c r="MGM1" s="124"/>
      <c r="MGN1" s="124"/>
      <c r="MGO1" s="124"/>
      <c r="MGP1" s="124"/>
      <c r="MGQ1" s="124"/>
      <c r="MGR1" s="124"/>
      <c r="MGS1" s="124"/>
      <c r="MGT1" s="124"/>
      <c r="MGU1" s="124"/>
      <c r="MGV1" s="124"/>
      <c r="MGW1" s="124"/>
      <c r="MGX1" s="124"/>
      <c r="MGY1" s="124"/>
      <c r="MGZ1" s="124"/>
      <c r="MHA1" s="124"/>
      <c r="MHB1" s="124"/>
      <c r="MHC1" s="124"/>
      <c r="MHD1" s="124"/>
      <c r="MHE1" s="124"/>
      <c r="MHF1" s="124"/>
      <c r="MHG1" s="124"/>
      <c r="MHH1" s="124"/>
      <c r="MHI1" s="124"/>
      <c r="MHJ1" s="124"/>
      <c r="MHK1" s="124"/>
      <c r="MHL1" s="124"/>
      <c r="MHM1" s="124"/>
      <c r="MHN1" s="124"/>
      <c r="MHO1" s="124"/>
      <c r="MHP1" s="124"/>
      <c r="MHQ1" s="124"/>
      <c r="MHR1" s="124"/>
      <c r="MHS1" s="124"/>
      <c r="MHT1" s="124"/>
      <c r="MHU1" s="124"/>
      <c r="MHV1" s="124"/>
      <c r="MHW1" s="124"/>
      <c r="MHX1" s="124"/>
      <c r="MHY1" s="124"/>
      <c r="MHZ1" s="124"/>
      <c r="MIA1" s="124"/>
      <c r="MIB1" s="124"/>
      <c r="MIC1" s="124"/>
      <c r="MID1" s="124"/>
      <c r="MIE1" s="124"/>
      <c r="MIF1" s="124"/>
      <c r="MIG1" s="124"/>
      <c r="MIH1" s="124"/>
      <c r="MII1" s="124"/>
      <c r="MIJ1" s="124"/>
      <c r="MIK1" s="124"/>
      <c r="MIL1" s="124"/>
      <c r="MIM1" s="124"/>
      <c r="MIN1" s="124"/>
      <c r="MIO1" s="124"/>
      <c r="MIP1" s="124"/>
      <c r="MIQ1" s="124"/>
      <c r="MIR1" s="124"/>
      <c r="MIS1" s="124"/>
      <c r="MIT1" s="124"/>
      <c r="MIU1" s="124"/>
      <c r="MIV1" s="124"/>
      <c r="MIW1" s="124"/>
      <c r="MIX1" s="124"/>
      <c r="MIY1" s="124"/>
      <c r="MIZ1" s="124"/>
      <c r="MJA1" s="124"/>
      <c r="MJB1" s="124"/>
      <c r="MJC1" s="124"/>
      <c r="MJD1" s="124"/>
      <c r="MJE1" s="124"/>
      <c r="MJF1" s="124"/>
      <c r="MJG1" s="124"/>
      <c r="MJH1" s="124"/>
      <c r="MJI1" s="124"/>
      <c r="MJJ1" s="124"/>
      <c r="MJK1" s="124"/>
      <c r="MJL1" s="124"/>
      <c r="MJM1" s="124"/>
      <c r="MJN1" s="124"/>
      <c r="MJO1" s="124"/>
      <c r="MJP1" s="124"/>
      <c r="MJQ1" s="124"/>
      <c r="MJR1" s="124"/>
      <c r="MJS1" s="124"/>
      <c r="MJT1" s="124"/>
      <c r="MJU1" s="124"/>
      <c r="MJV1" s="124"/>
      <c r="MJW1" s="124"/>
      <c r="MJX1" s="124"/>
      <c r="MJY1" s="124"/>
      <c r="MJZ1" s="124"/>
      <c r="MKA1" s="124"/>
      <c r="MKB1" s="124"/>
      <c r="MKC1" s="124"/>
      <c r="MKD1" s="124"/>
      <c r="MKE1" s="124"/>
      <c r="MKF1" s="124"/>
      <c r="MKG1" s="124"/>
      <c r="MKH1" s="124"/>
      <c r="MKI1" s="124"/>
      <c r="MKJ1" s="124"/>
      <c r="MKK1" s="124"/>
      <c r="MKL1" s="124"/>
      <c r="MKM1" s="124"/>
      <c r="MKN1" s="124"/>
      <c r="MKO1" s="124"/>
      <c r="MKP1" s="124"/>
      <c r="MKQ1" s="124"/>
      <c r="MKR1" s="124"/>
      <c r="MKS1" s="124"/>
      <c r="MKT1" s="124"/>
      <c r="MKU1" s="124"/>
      <c r="MKV1" s="124"/>
      <c r="MKW1" s="124"/>
      <c r="MKX1" s="124"/>
      <c r="MKY1" s="124"/>
      <c r="MKZ1" s="124"/>
      <c r="MLA1" s="124"/>
      <c r="MLB1" s="124"/>
      <c r="MLC1" s="124"/>
      <c r="MLD1" s="124"/>
      <c r="MLE1" s="124"/>
      <c r="MLF1" s="124"/>
      <c r="MLG1" s="124"/>
      <c r="MLH1" s="124"/>
      <c r="MLI1" s="124"/>
      <c r="MLJ1" s="124"/>
      <c r="MLK1" s="124"/>
      <c r="MLL1" s="124"/>
      <c r="MLM1" s="124"/>
      <c r="MLN1" s="124"/>
      <c r="MLO1" s="124"/>
      <c r="MLP1" s="124"/>
      <c r="MLQ1" s="124"/>
      <c r="MLR1" s="124"/>
      <c r="MLS1" s="124"/>
      <c r="MLT1" s="124"/>
      <c r="MLU1" s="124"/>
      <c r="MLV1" s="124"/>
      <c r="MLW1" s="124"/>
      <c r="MLX1" s="124"/>
      <c r="MLY1" s="124"/>
      <c r="MLZ1" s="124"/>
      <c r="MMA1" s="124"/>
      <c r="MMB1" s="124"/>
      <c r="MMC1" s="124"/>
      <c r="MMD1" s="124"/>
      <c r="MME1" s="124"/>
      <c r="MMF1" s="124"/>
      <c r="MMG1" s="124"/>
      <c r="MMH1" s="124"/>
      <c r="MMI1" s="124"/>
      <c r="MMJ1" s="124"/>
      <c r="MMK1" s="124"/>
      <c r="MML1" s="124"/>
      <c r="MMM1" s="124"/>
      <c r="MMN1" s="124"/>
      <c r="MMO1" s="124"/>
      <c r="MMP1" s="124"/>
      <c r="MMQ1" s="124"/>
      <c r="MMR1" s="124"/>
      <c r="MMS1" s="124"/>
      <c r="MMT1" s="124"/>
      <c r="MMU1" s="124"/>
      <c r="MMV1" s="124"/>
      <c r="MMW1" s="124"/>
      <c r="MMX1" s="124"/>
      <c r="MMY1" s="124"/>
      <c r="MMZ1" s="124"/>
      <c r="MNA1" s="124"/>
      <c r="MNB1" s="124"/>
      <c r="MNC1" s="124"/>
      <c r="MND1" s="124"/>
      <c r="MNE1" s="124"/>
      <c r="MNF1" s="124"/>
      <c r="MNG1" s="124"/>
      <c r="MNH1" s="124"/>
      <c r="MNI1" s="124"/>
      <c r="MNJ1" s="124"/>
      <c r="MNK1" s="124"/>
      <c r="MNL1" s="124"/>
      <c r="MNM1" s="124"/>
      <c r="MNN1" s="124"/>
      <c r="MNO1" s="124"/>
      <c r="MNP1" s="124"/>
      <c r="MNQ1" s="124"/>
      <c r="MNR1" s="124"/>
      <c r="MNS1" s="124"/>
      <c r="MNT1" s="124"/>
      <c r="MNU1" s="124"/>
      <c r="MNV1" s="124"/>
      <c r="MNW1" s="124"/>
      <c r="MNX1" s="124"/>
      <c r="MNY1" s="124"/>
      <c r="MNZ1" s="124"/>
      <c r="MOA1" s="124"/>
      <c r="MOB1" s="124"/>
      <c r="MOC1" s="124"/>
      <c r="MOD1" s="124"/>
      <c r="MOE1" s="124"/>
      <c r="MOF1" s="124"/>
      <c r="MOG1" s="124"/>
      <c r="MOH1" s="124"/>
      <c r="MOI1" s="124"/>
      <c r="MOJ1" s="124"/>
      <c r="MOK1" s="124"/>
      <c r="MOL1" s="124"/>
      <c r="MOM1" s="124"/>
      <c r="MON1" s="124"/>
      <c r="MOO1" s="124"/>
      <c r="MOP1" s="124"/>
      <c r="MOQ1" s="124"/>
      <c r="MOR1" s="124"/>
      <c r="MOS1" s="124"/>
      <c r="MOT1" s="124"/>
      <c r="MOU1" s="124"/>
      <c r="MOV1" s="124"/>
      <c r="MOW1" s="124"/>
      <c r="MOX1" s="124"/>
      <c r="MOY1" s="124"/>
      <c r="MOZ1" s="124"/>
      <c r="MPA1" s="124"/>
      <c r="MPB1" s="124"/>
      <c r="MPC1" s="124"/>
      <c r="MPD1" s="124"/>
      <c r="MPE1" s="124"/>
      <c r="MPF1" s="124"/>
      <c r="MPG1" s="124"/>
      <c r="MPH1" s="124"/>
      <c r="MPI1" s="124"/>
      <c r="MPJ1" s="124"/>
      <c r="MPK1" s="124"/>
      <c r="MPL1" s="124"/>
      <c r="MPM1" s="124"/>
      <c r="MPN1" s="124"/>
      <c r="MPO1" s="124"/>
      <c r="MPP1" s="124"/>
      <c r="MPQ1" s="124"/>
      <c r="MPR1" s="124"/>
      <c r="MPS1" s="124"/>
      <c r="MPT1" s="124"/>
      <c r="MPU1" s="124"/>
      <c r="MPV1" s="124"/>
      <c r="MPW1" s="124"/>
      <c r="MPX1" s="124"/>
      <c r="MPY1" s="124"/>
      <c r="MPZ1" s="124"/>
      <c r="MQA1" s="124"/>
      <c r="MQB1" s="124"/>
      <c r="MQC1" s="124"/>
      <c r="MQD1" s="124"/>
      <c r="MQE1" s="124"/>
      <c r="MQF1" s="124"/>
      <c r="MQG1" s="124"/>
      <c r="MQH1" s="124"/>
      <c r="MQI1" s="124"/>
      <c r="MQJ1" s="124"/>
      <c r="MQK1" s="124"/>
      <c r="MQL1" s="124"/>
      <c r="MQM1" s="124"/>
      <c r="MQN1" s="124"/>
      <c r="MQO1" s="124"/>
      <c r="MQP1" s="124"/>
      <c r="MQQ1" s="124"/>
      <c r="MQR1" s="124"/>
      <c r="MQS1" s="124"/>
      <c r="MQT1" s="124"/>
      <c r="MQU1" s="124"/>
      <c r="MQV1" s="124"/>
      <c r="MQW1" s="124"/>
      <c r="MQX1" s="124"/>
      <c r="MQY1" s="124"/>
      <c r="MQZ1" s="124"/>
      <c r="MRA1" s="124"/>
      <c r="MRB1" s="124"/>
      <c r="MRC1" s="124"/>
      <c r="MRD1" s="124"/>
      <c r="MRE1" s="124"/>
      <c r="MRF1" s="124"/>
      <c r="MRG1" s="124"/>
      <c r="MRH1" s="124"/>
      <c r="MRI1" s="124"/>
      <c r="MRJ1" s="124"/>
      <c r="MRK1" s="124"/>
      <c r="MRL1" s="124"/>
      <c r="MRM1" s="124"/>
      <c r="MRN1" s="124"/>
      <c r="MRO1" s="124"/>
      <c r="MRP1" s="124"/>
      <c r="MRQ1" s="124"/>
      <c r="MRR1" s="124"/>
      <c r="MRS1" s="124"/>
      <c r="MRT1" s="124"/>
      <c r="MRU1" s="124"/>
      <c r="MRV1" s="124"/>
      <c r="MRW1" s="124"/>
      <c r="MRX1" s="124"/>
      <c r="MRY1" s="124"/>
      <c r="MRZ1" s="124"/>
      <c r="MSA1" s="124"/>
      <c r="MSB1" s="124"/>
      <c r="MSC1" s="124"/>
      <c r="MSD1" s="124"/>
      <c r="MSE1" s="124"/>
      <c r="MSF1" s="124"/>
      <c r="MSG1" s="124"/>
      <c r="MSH1" s="124"/>
      <c r="MSI1" s="124"/>
      <c r="MSJ1" s="124"/>
      <c r="MSK1" s="124"/>
      <c r="MSL1" s="124"/>
      <c r="MSM1" s="124"/>
      <c r="MSN1" s="124"/>
      <c r="MSO1" s="124"/>
      <c r="MSP1" s="124"/>
      <c r="MSQ1" s="124"/>
      <c r="MSR1" s="124"/>
      <c r="MSS1" s="124"/>
      <c r="MST1" s="124"/>
      <c r="MSU1" s="124"/>
      <c r="MSV1" s="124"/>
      <c r="MSW1" s="124"/>
      <c r="MSX1" s="124"/>
      <c r="MSY1" s="124"/>
      <c r="MSZ1" s="124"/>
      <c r="MTA1" s="124"/>
      <c r="MTB1" s="124"/>
      <c r="MTC1" s="124"/>
      <c r="MTD1" s="124"/>
      <c r="MTE1" s="124"/>
      <c r="MTF1" s="124"/>
      <c r="MTG1" s="124"/>
      <c r="MTH1" s="124"/>
      <c r="MTI1" s="124"/>
      <c r="MTJ1" s="124"/>
      <c r="MTK1" s="124"/>
      <c r="MTL1" s="124"/>
      <c r="MTM1" s="124"/>
      <c r="MTN1" s="124"/>
      <c r="MTO1" s="124"/>
      <c r="MTP1" s="124"/>
      <c r="MTQ1" s="124"/>
      <c r="MTR1" s="124"/>
      <c r="MTS1" s="124"/>
      <c r="MTT1" s="124"/>
      <c r="MTU1" s="124"/>
      <c r="MTV1" s="124"/>
      <c r="MTW1" s="124"/>
      <c r="MTX1" s="124"/>
      <c r="MTY1" s="124"/>
      <c r="MTZ1" s="124"/>
      <c r="MUA1" s="124"/>
      <c r="MUB1" s="124"/>
      <c r="MUC1" s="124"/>
      <c r="MUD1" s="124"/>
      <c r="MUE1" s="124"/>
      <c r="MUF1" s="124"/>
      <c r="MUG1" s="124"/>
      <c r="MUH1" s="124"/>
      <c r="MUI1" s="124"/>
      <c r="MUJ1" s="124"/>
      <c r="MUK1" s="124"/>
      <c r="MUL1" s="124"/>
      <c r="MUM1" s="124"/>
      <c r="MUN1" s="124"/>
      <c r="MUO1" s="124"/>
      <c r="MUP1" s="124"/>
      <c r="MUQ1" s="124"/>
      <c r="MUR1" s="124"/>
      <c r="MUS1" s="124"/>
      <c r="MUT1" s="124"/>
      <c r="MUU1" s="124"/>
      <c r="MUV1" s="124"/>
      <c r="MUW1" s="124"/>
      <c r="MUX1" s="124"/>
      <c r="MUY1" s="124"/>
      <c r="MUZ1" s="124"/>
      <c r="MVA1" s="124"/>
      <c r="MVB1" s="124"/>
      <c r="MVC1" s="124"/>
      <c r="MVD1" s="124"/>
      <c r="MVE1" s="124"/>
      <c r="MVF1" s="124"/>
      <c r="MVG1" s="124"/>
      <c r="MVH1" s="124"/>
      <c r="MVI1" s="124"/>
      <c r="MVJ1" s="124"/>
      <c r="MVK1" s="124"/>
      <c r="MVL1" s="124"/>
      <c r="MVM1" s="124"/>
      <c r="MVN1" s="124"/>
      <c r="MVO1" s="124"/>
      <c r="MVP1" s="124"/>
      <c r="MVQ1" s="124"/>
      <c r="MVR1" s="124"/>
      <c r="MVS1" s="124"/>
      <c r="MVT1" s="124"/>
      <c r="MVU1" s="124"/>
      <c r="MVV1" s="124"/>
      <c r="MVW1" s="124"/>
      <c r="MVX1" s="124"/>
      <c r="MVY1" s="124"/>
      <c r="MVZ1" s="124"/>
      <c r="MWA1" s="124"/>
      <c r="MWB1" s="124"/>
      <c r="MWC1" s="124"/>
      <c r="MWD1" s="124"/>
      <c r="MWE1" s="124"/>
      <c r="MWF1" s="124"/>
      <c r="MWG1" s="124"/>
      <c r="MWH1" s="124"/>
      <c r="MWI1" s="124"/>
      <c r="MWJ1" s="124"/>
      <c r="MWK1" s="124"/>
      <c r="MWL1" s="124"/>
      <c r="MWM1" s="124"/>
      <c r="MWN1" s="124"/>
      <c r="MWO1" s="124"/>
      <c r="MWP1" s="124"/>
      <c r="MWQ1" s="124"/>
      <c r="MWR1" s="124"/>
      <c r="MWS1" s="124"/>
      <c r="MWT1" s="124"/>
      <c r="MWU1" s="124"/>
      <c r="MWV1" s="124"/>
      <c r="MWW1" s="124"/>
      <c r="MWX1" s="124"/>
      <c r="MWY1" s="124"/>
      <c r="MWZ1" s="124"/>
      <c r="MXA1" s="124"/>
      <c r="MXB1" s="124"/>
      <c r="MXC1" s="124"/>
      <c r="MXD1" s="124"/>
      <c r="MXE1" s="124"/>
      <c r="MXF1" s="124"/>
      <c r="MXG1" s="124"/>
      <c r="MXH1" s="124"/>
      <c r="MXI1" s="124"/>
      <c r="MXJ1" s="124"/>
      <c r="MXK1" s="124"/>
      <c r="MXL1" s="124"/>
      <c r="MXM1" s="124"/>
      <c r="MXN1" s="124"/>
      <c r="MXO1" s="124"/>
      <c r="MXP1" s="124"/>
      <c r="MXQ1" s="124"/>
      <c r="MXR1" s="124"/>
      <c r="MXS1" s="124"/>
      <c r="MXT1" s="124"/>
      <c r="MXU1" s="124"/>
      <c r="MXV1" s="124"/>
      <c r="MXW1" s="124"/>
      <c r="MXX1" s="124"/>
      <c r="MXY1" s="124"/>
      <c r="MXZ1" s="124"/>
      <c r="MYA1" s="124"/>
      <c r="MYB1" s="124"/>
      <c r="MYC1" s="124"/>
      <c r="MYD1" s="124"/>
      <c r="MYE1" s="124"/>
      <c r="MYF1" s="124"/>
      <c r="MYG1" s="124"/>
      <c r="MYH1" s="124"/>
      <c r="MYI1" s="124"/>
      <c r="MYJ1" s="124"/>
      <c r="MYK1" s="124"/>
      <c r="MYL1" s="124"/>
      <c r="MYM1" s="124"/>
      <c r="MYN1" s="124"/>
      <c r="MYO1" s="124"/>
      <c r="MYP1" s="124"/>
      <c r="MYQ1" s="124"/>
      <c r="MYR1" s="124"/>
      <c r="MYS1" s="124"/>
      <c r="MYT1" s="124"/>
      <c r="MYU1" s="124"/>
      <c r="MYV1" s="124"/>
      <c r="MYW1" s="124"/>
      <c r="MYX1" s="124"/>
      <c r="MYY1" s="124"/>
      <c r="MYZ1" s="124"/>
      <c r="MZA1" s="124"/>
      <c r="MZB1" s="124"/>
      <c r="MZC1" s="124"/>
      <c r="MZD1" s="124"/>
      <c r="MZE1" s="124"/>
      <c r="MZF1" s="124"/>
      <c r="MZG1" s="124"/>
      <c r="MZH1" s="124"/>
      <c r="MZI1" s="124"/>
      <c r="MZJ1" s="124"/>
      <c r="MZK1" s="124"/>
      <c r="MZL1" s="124"/>
      <c r="MZM1" s="124"/>
      <c r="MZN1" s="124"/>
      <c r="MZO1" s="124"/>
      <c r="MZP1" s="124"/>
      <c r="MZQ1" s="124"/>
      <c r="MZR1" s="124"/>
      <c r="MZS1" s="124"/>
      <c r="MZT1" s="124"/>
      <c r="MZU1" s="124"/>
      <c r="MZV1" s="124"/>
      <c r="MZW1" s="124"/>
      <c r="MZX1" s="124"/>
      <c r="MZY1" s="124"/>
      <c r="MZZ1" s="124"/>
      <c r="NAA1" s="124"/>
      <c r="NAB1" s="124"/>
      <c r="NAC1" s="124"/>
      <c r="NAD1" s="124"/>
      <c r="NAE1" s="124"/>
      <c r="NAF1" s="124"/>
      <c r="NAG1" s="124"/>
      <c r="NAH1" s="124"/>
      <c r="NAI1" s="124"/>
      <c r="NAJ1" s="124"/>
      <c r="NAK1" s="124"/>
      <c r="NAL1" s="124"/>
      <c r="NAM1" s="124"/>
      <c r="NAN1" s="124"/>
      <c r="NAO1" s="124"/>
      <c r="NAP1" s="124"/>
      <c r="NAQ1" s="124"/>
      <c r="NAR1" s="124"/>
      <c r="NAS1" s="124"/>
      <c r="NAT1" s="124"/>
      <c r="NAU1" s="124"/>
      <c r="NAV1" s="124"/>
      <c r="NAW1" s="124"/>
      <c r="NAX1" s="124"/>
      <c r="NAY1" s="124"/>
      <c r="NAZ1" s="124"/>
      <c r="NBA1" s="124"/>
      <c r="NBB1" s="124"/>
      <c r="NBC1" s="124"/>
      <c r="NBD1" s="124"/>
      <c r="NBE1" s="124"/>
      <c r="NBF1" s="124"/>
      <c r="NBG1" s="124"/>
      <c r="NBH1" s="124"/>
      <c r="NBI1" s="124"/>
      <c r="NBJ1" s="124"/>
      <c r="NBK1" s="124"/>
      <c r="NBL1" s="124"/>
      <c r="NBM1" s="124"/>
      <c r="NBN1" s="124"/>
      <c r="NBO1" s="124"/>
      <c r="NBP1" s="124"/>
      <c r="NBQ1" s="124"/>
      <c r="NBR1" s="124"/>
      <c r="NBS1" s="124"/>
      <c r="NBT1" s="124"/>
      <c r="NBU1" s="124"/>
      <c r="NBV1" s="124"/>
      <c r="NBW1" s="124"/>
      <c r="NBX1" s="124"/>
      <c r="NBY1" s="124"/>
      <c r="NBZ1" s="124"/>
      <c r="NCA1" s="124"/>
      <c r="NCB1" s="124"/>
      <c r="NCC1" s="124"/>
      <c r="NCD1" s="124"/>
      <c r="NCE1" s="124"/>
      <c r="NCF1" s="124"/>
      <c r="NCG1" s="124"/>
      <c r="NCH1" s="124"/>
      <c r="NCI1" s="124"/>
      <c r="NCJ1" s="124"/>
      <c r="NCK1" s="124"/>
      <c r="NCL1" s="124"/>
      <c r="NCM1" s="124"/>
      <c r="NCN1" s="124"/>
      <c r="NCO1" s="124"/>
      <c r="NCP1" s="124"/>
      <c r="NCQ1" s="124"/>
      <c r="NCR1" s="124"/>
      <c r="NCS1" s="124"/>
      <c r="NCT1" s="124"/>
      <c r="NCU1" s="124"/>
      <c r="NCV1" s="124"/>
      <c r="NCW1" s="124"/>
      <c r="NCX1" s="124"/>
      <c r="NCY1" s="124"/>
      <c r="NCZ1" s="124"/>
      <c r="NDA1" s="124"/>
      <c r="NDB1" s="124"/>
      <c r="NDC1" s="124"/>
      <c r="NDD1" s="124"/>
      <c r="NDE1" s="124"/>
      <c r="NDF1" s="124"/>
      <c r="NDG1" s="124"/>
      <c r="NDH1" s="124"/>
      <c r="NDI1" s="124"/>
      <c r="NDJ1" s="124"/>
      <c r="NDK1" s="124"/>
      <c r="NDL1" s="124"/>
      <c r="NDM1" s="124"/>
      <c r="NDN1" s="124"/>
      <c r="NDO1" s="124"/>
      <c r="NDP1" s="124"/>
      <c r="NDQ1" s="124"/>
      <c r="NDR1" s="124"/>
      <c r="NDS1" s="124"/>
      <c r="NDT1" s="124"/>
      <c r="NDU1" s="124"/>
      <c r="NDV1" s="124"/>
      <c r="NDW1" s="124"/>
      <c r="NDX1" s="124"/>
      <c r="NDY1" s="124"/>
      <c r="NDZ1" s="124"/>
      <c r="NEA1" s="124"/>
      <c r="NEB1" s="124"/>
      <c r="NEC1" s="124"/>
      <c r="NED1" s="124"/>
      <c r="NEE1" s="124"/>
      <c r="NEF1" s="124"/>
      <c r="NEG1" s="124"/>
      <c r="NEH1" s="124"/>
      <c r="NEI1" s="124"/>
      <c r="NEJ1" s="124"/>
      <c r="NEK1" s="124"/>
      <c r="NEL1" s="124"/>
      <c r="NEM1" s="124"/>
      <c r="NEN1" s="124"/>
      <c r="NEO1" s="124"/>
      <c r="NEP1" s="124"/>
      <c r="NEQ1" s="124"/>
      <c r="NER1" s="124"/>
      <c r="NES1" s="124"/>
      <c r="NET1" s="124"/>
      <c r="NEU1" s="124"/>
      <c r="NEV1" s="124"/>
      <c r="NEW1" s="124"/>
      <c r="NEX1" s="124"/>
      <c r="NEY1" s="124"/>
      <c r="NEZ1" s="124"/>
      <c r="NFA1" s="124"/>
      <c r="NFB1" s="124"/>
      <c r="NFC1" s="124"/>
      <c r="NFD1" s="124"/>
      <c r="NFE1" s="124"/>
      <c r="NFF1" s="124"/>
      <c r="NFG1" s="124"/>
      <c r="NFH1" s="124"/>
      <c r="NFI1" s="124"/>
      <c r="NFJ1" s="124"/>
      <c r="NFK1" s="124"/>
      <c r="NFL1" s="124"/>
      <c r="NFM1" s="124"/>
      <c r="NFN1" s="124"/>
      <c r="NFO1" s="124"/>
      <c r="NFP1" s="124"/>
      <c r="NFQ1" s="124"/>
      <c r="NFR1" s="124"/>
      <c r="NFS1" s="124"/>
      <c r="NFT1" s="124"/>
      <c r="NFU1" s="124"/>
      <c r="NFV1" s="124"/>
      <c r="NFW1" s="124"/>
      <c r="NFX1" s="124"/>
      <c r="NFY1" s="124"/>
      <c r="NFZ1" s="124"/>
      <c r="NGA1" s="124"/>
      <c r="NGB1" s="124"/>
      <c r="NGC1" s="124"/>
      <c r="NGD1" s="124"/>
      <c r="NGE1" s="124"/>
      <c r="NGF1" s="124"/>
      <c r="NGG1" s="124"/>
      <c r="NGH1" s="124"/>
      <c r="NGI1" s="124"/>
      <c r="NGJ1" s="124"/>
      <c r="NGK1" s="124"/>
      <c r="NGL1" s="124"/>
      <c r="NGM1" s="124"/>
      <c r="NGN1" s="124"/>
      <c r="NGO1" s="124"/>
      <c r="NGP1" s="124"/>
      <c r="NGQ1" s="124"/>
      <c r="NGR1" s="124"/>
      <c r="NGS1" s="124"/>
      <c r="NGT1" s="124"/>
      <c r="NGU1" s="124"/>
      <c r="NGV1" s="124"/>
      <c r="NGW1" s="124"/>
      <c r="NGX1" s="124"/>
      <c r="NGY1" s="124"/>
      <c r="NGZ1" s="124"/>
      <c r="NHA1" s="124"/>
      <c r="NHB1" s="124"/>
      <c r="NHC1" s="124"/>
      <c r="NHD1" s="124"/>
      <c r="NHE1" s="124"/>
      <c r="NHF1" s="124"/>
      <c r="NHG1" s="124"/>
      <c r="NHH1" s="124"/>
      <c r="NHI1" s="124"/>
      <c r="NHJ1" s="124"/>
      <c r="NHK1" s="124"/>
      <c r="NHL1" s="124"/>
      <c r="NHM1" s="124"/>
      <c r="NHN1" s="124"/>
      <c r="NHO1" s="124"/>
      <c r="NHP1" s="124"/>
      <c r="NHQ1" s="124"/>
      <c r="NHR1" s="124"/>
      <c r="NHS1" s="124"/>
      <c r="NHT1" s="124"/>
      <c r="NHU1" s="124"/>
      <c r="NHV1" s="124"/>
      <c r="NHW1" s="124"/>
      <c r="NHX1" s="124"/>
      <c r="NHY1" s="124"/>
      <c r="NHZ1" s="124"/>
      <c r="NIA1" s="124"/>
      <c r="NIB1" s="124"/>
      <c r="NIC1" s="124"/>
      <c r="NID1" s="124"/>
      <c r="NIE1" s="124"/>
      <c r="NIF1" s="124"/>
      <c r="NIG1" s="124"/>
      <c r="NIH1" s="124"/>
      <c r="NII1" s="124"/>
      <c r="NIJ1" s="124"/>
      <c r="NIK1" s="124"/>
      <c r="NIL1" s="124"/>
      <c r="NIM1" s="124"/>
      <c r="NIN1" s="124"/>
      <c r="NIO1" s="124"/>
      <c r="NIP1" s="124"/>
      <c r="NIQ1" s="124"/>
      <c r="NIR1" s="124"/>
      <c r="NIS1" s="124"/>
      <c r="NIT1" s="124"/>
      <c r="NIU1" s="124"/>
      <c r="NIV1" s="124"/>
      <c r="NIW1" s="124"/>
      <c r="NIX1" s="124"/>
      <c r="NIY1" s="124"/>
      <c r="NIZ1" s="124"/>
      <c r="NJA1" s="124"/>
      <c r="NJB1" s="124"/>
      <c r="NJC1" s="124"/>
      <c r="NJD1" s="124"/>
      <c r="NJE1" s="124"/>
      <c r="NJF1" s="124"/>
      <c r="NJG1" s="124"/>
      <c r="NJH1" s="124"/>
      <c r="NJI1" s="124"/>
      <c r="NJJ1" s="124"/>
      <c r="NJK1" s="124"/>
      <c r="NJL1" s="124"/>
      <c r="NJM1" s="124"/>
      <c r="NJN1" s="124"/>
      <c r="NJO1" s="124"/>
      <c r="NJP1" s="124"/>
      <c r="NJQ1" s="124"/>
      <c r="NJR1" s="124"/>
      <c r="NJS1" s="124"/>
      <c r="NJT1" s="124"/>
      <c r="NJU1" s="124"/>
      <c r="NJV1" s="124"/>
      <c r="NJW1" s="124"/>
      <c r="NJX1" s="124"/>
      <c r="NJY1" s="124"/>
      <c r="NJZ1" s="124"/>
      <c r="NKA1" s="124"/>
      <c r="NKB1" s="124"/>
      <c r="NKC1" s="124"/>
      <c r="NKD1" s="124"/>
      <c r="NKE1" s="124"/>
      <c r="NKF1" s="124"/>
      <c r="NKG1" s="124"/>
      <c r="NKH1" s="124"/>
      <c r="NKI1" s="124"/>
      <c r="NKJ1" s="124"/>
      <c r="NKK1" s="124"/>
      <c r="NKL1" s="124"/>
      <c r="NKM1" s="124"/>
      <c r="NKN1" s="124"/>
      <c r="NKO1" s="124"/>
      <c r="NKP1" s="124"/>
      <c r="NKQ1" s="124"/>
      <c r="NKR1" s="124"/>
      <c r="NKS1" s="124"/>
      <c r="NKT1" s="124"/>
      <c r="NKU1" s="124"/>
      <c r="NKV1" s="124"/>
      <c r="NKW1" s="124"/>
      <c r="NKX1" s="124"/>
      <c r="NKY1" s="124"/>
      <c r="NKZ1" s="124"/>
      <c r="NLA1" s="124"/>
      <c r="NLB1" s="124"/>
      <c r="NLC1" s="124"/>
      <c r="NLD1" s="124"/>
      <c r="NLE1" s="124"/>
      <c r="NLF1" s="124"/>
      <c r="NLG1" s="124"/>
      <c r="NLH1" s="124"/>
      <c r="NLI1" s="124"/>
      <c r="NLJ1" s="124"/>
      <c r="NLK1" s="124"/>
      <c r="NLL1" s="124"/>
      <c r="NLM1" s="124"/>
      <c r="NLN1" s="124"/>
      <c r="NLO1" s="124"/>
      <c r="NLP1" s="124"/>
      <c r="NLQ1" s="124"/>
      <c r="NLR1" s="124"/>
      <c r="NLS1" s="124"/>
      <c r="NLT1" s="124"/>
      <c r="NLU1" s="124"/>
      <c r="NLV1" s="124"/>
      <c r="NLW1" s="124"/>
      <c r="NLX1" s="124"/>
      <c r="NLY1" s="124"/>
      <c r="NLZ1" s="124"/>
      <c r="NMA1" s="124"/>
      <c r="NMB1" s="124"/>
      <c r="NMC1" s="124"/>
      <c r="NMD1" s="124"/>
      <c r="NME1" s="124"/>
      <c r="NMF1" s="124"/>
      <c r="NMG1" s="124"/>
      <c r="NMH1" s="124"/>
      <c r="NMI1" s="124"/>
      <c r="NMJ1" s="124"/>
      <c r="NMK1" s="124"/>
      <c r="NML1" s="124"/>
      <c r="NMM1" s="124"/>
      <c r="NMN1" s="124"/>
      <c r="NMO1" s="124"/>
      <c r="NMP1" s="124"/>
      <c r="NMQ1" s="124"/>
      <c r="NMR1" s="124"/>
      <c r="NMS1" s="124"/>
      <c r="NMT1" s="124"/>
      <c r="NMU1" s="124"/>
      <c r="NMV1" s="124"/>
      <c r="NMW1" s="124"/>
      <c r="NMX1" s="124"/>
      <c r="NMY1" s="124"/>
      <c r="NMZ1" s="124"/>
      <c r="NNA1" s="124"/>
      <c r="NNB1" s="124"/>
      <c r="NNC1" s="124"/>
      <c r="NND1" s="124"/>
      <c r="NNE1" s="124"/>
      <c r="NNF1" s="124"/>
      <c r="NNG1" s="124"/>
      <c r="NNH1" s="124"/>
      <c r="NNI1" s="124"/>
      <c r="NNJ1" s="124"/>
      <c r="NNK1" s="124"/>
      <c r="NNL1" s="124"/>
      <c r="NNM1" s="124"/>
      <c r="NNN1" s="124"/>
      <c r="NNO1" s="124"/>
      <c r="NNP1" s="124"/>
      <c r="NNQ1" s="124"/>
      <c r="NNR1" s="124"/>
      <c r="NNS1" s="124"/>
      <c r="NNT1" s="124"/>
      <c r="NNU1" s="124"/>
      <c r="NNV1" s="124"/>
      <c r="NNW1" s="124"/>
      <c r="NNX1" s="124"/>
      <c r="NNY1" s="124"/>
      <c r="NNZ1" s="124"/>
      <c r="NOA1" s="124"/>
      <c r="NOB1" s="124"/>
      <c r="NOC1" s="124"/>
      <c r="NOD1" s="124"/>
      <c r="NOE1" s="124"/>
      <c r="NOF1" s="124"/>
      <c r="NOG1" s="124"/>
      <c r="NOH1" s="124"/>
      <c r="NOI1" s="124"/>
      <c r="NOJ1" s="124"/>
      <c r="NOK1" s="124"/>
      <c r="NOL1" s="124"/>
      <c r="NOM1" s="124"/>
      <c r="NON1" s="124"/>
      <c r="NOO1" s="124"/>
      <c r="NOP1" s="124"/>
      <c r="NOQ1" s="124"/>
      <c r="NOR1" s="124"/>
      <c r="NOS1" s="124"/>
      <c r="NOT1" s="124"/>
      <c r="NOU1" s="124"/>
      <c r="NOV1" s="124"/>
      <c r="NOW1" s="124"/>
      <c r="NOX1" s="124"/>
      <c r="NOY1" s="124"/>
      <c r="NOZ1" s="124"/>
      <c r="NPA1" s="124"/>
      <c r="NPB1" s="124"/>
      <c r="NPC1" s="124"/>
      <c r="NPD1" s="124"/>
      <c r="NPE1" s="124"/>
      <c r="NPF1" s="124"/>
      <c r="NPG1" s="124"/>
      <c r="NPH1" s="124"/>
      <c r="NPI1" s="124"/>
      <c r="NPJ1" s="124"/>
      <c r="NPK1" s="124"/>
      <c r="NPL1" s="124"/>
      <c r="NPM1" s="124"/>
      <c r="NPN1" s="124"/>
      <c r="NPO1" s="124"/>
      <c r="NPP1" s="124"/>
      <c r="NPQ1" s="124"/>
      <c r="NPR1" s="124"/>
      <c r="NPS1" s="124"/>
      <c r="NPT1" s="124"/>
      <c r="NPU1" s="124"/>
      <c r="NPV1" s="124"/>
      <c r="NPW1" s="124"/>
      <c r="NPX1" s="124"/>
      <c r="NPY1" s="124"/>
      <c r="NPZ1" s="124"/>
      <c r="NQA1" s="124"/>
      <c r="NQB1" s="124"/>
      <c r="NQC1" s="124"/>
      <c r="NQD1" s="124"/>
      <c r="NQE1" s="124"/>
      <c r="NQF1" s="124"/>
      <c r="NQG1" s="124"/>
      <c r="NQH1" s="124"/>
      <c r="NQI1" s="124"/>
      <c r="NQJ1" s="124"/>
      <c r="NQK1" s="124"/>
      <c r="NQL1" s="124"/>
      <c r="NQM1" s="124"/>
      <c r="NQN1" s="124"/>
      <c r="NQO1" s="124"/>
      <c r="NQP1" s="124"/>
      <c r="NQQ1" s="124"/>
      <c r="NQR1" s="124"/>
      <c r="NQS1" s="124"/>
      <c r="NQT1" s="124"/>
      <c r="NQU1" s="124"/>
      <c r="NQV1" s="124"/>
      <c r="NQW1" s="124"/>
      <c r="NQX1" s="124"/>
      <c r="NQY1" s="124"/>
      <c r="NQZ1" s="124"/>
      <c r="NRA1" s="124"/>
      <c r="NRB1" s="124"/>
      <c r="NRC1" s="124"/>
      <c r="NRD1" s="124"/>
      <c r="NRE1" s="124"/>
      <c r="NRF1" s="124"/>
      <c r="NRG1" s="124"/>
      <c r="NRH1" s="124"/>
      <c r="NRI1" s="124"/>
      <c r="NRJ1" s="124"/>
      <c r="NRK1" s="124"/>
      <c r="NRL1" s="124"/>
      <c r="NRM1" s="124"/>
      <c r="NRN1" s="124"/>
      <c r="NRO1" s="124"/>
      <c r="NRP1" s="124"/>
      <c r="NRQ1" s="124"/>
      <c r="NRR1" s="124"/>
      <c r="NRS1" s="124"/>
      <c r="NRT1" s="124"/>
      <c r="NRU1" s="124"/>
      <c r="NRV1" s="124"/>
      <c r="NRW1" s="124"/>
      <c r="NRX1" s="124"/>
      <c r="NRY1" s="124"/>
      <c r="NRZ1" s="124"/>
      <c r="NSA1" s="124"/>
      <c r="NSB1" s="124"/>
      <c r="NSC1" s="124"/>
      <c r="NSD1" s="124"/>
      <c r="NSE1" s="124"/>
      <c r="NSF1" s="124"/>
      <c r="NSG1" s="124"/>
      <c r="NSH1" s="124"/>
      <c r="NSI1" s="124"/>
      <c r="NSJ1" s="124"/>
      <c r="NSK1" s="124"/>
      <c r="NSL1" s="124"/>
      <c r="NSM1" s="124"/>
      <c r="NSN1" s="124"/>
      <c r="NSO1" s="124"/>
      <c r="NSP1" s="124"/>
      <c r="NSQ1" s="124"/>
      <c r="NSR1" s="124"/>
      <c r="NSS1" s="124"/>
      <c r="NST1" s="124"/>
      <c r="NSU1" s="124"/>
      <c r="NSV1" s="124"/>
      <c r="NSW1" s="124"/>
      <c r="NSX1" s="124"/>
      <c r="NSY1" s="124"/>
      <c r="NSZ1" s="124"/>
      <c r="NTA1" s="124"/>
      <c r="NTB1" s="124"/>
      <c r="NTC1" s="124"/>
      <c r="NTD1" s="124"/>
      <c r="NTE1" s="124"/>
      <c r="NTF1" s="124"/>
      <c r="NTG1" s="124"/>
      <c r="NTH1" s="124"/>
      <c r="NTI1" s="124"/>
      <c r="NTJ1" s="124"/>
      <c r="NTK1" s="124"/>
      <c r="NTL1" s="124"/>
      <c r="NTM1" s="124"/>
      <c r="NTN1" s="124"/>
      <c r="NTO1" s="124"/>
      <c r="NTP1" s="124"/>
      <c r="NTQ1" s="124"/>
      <c r="NTR1" s="124"/>
      <c r="NTS1" s="124"/>
      <c r="NTT1" s="124"/>
      <c r="NTU1" s="124"/>
      <c r="NTV1" s="124"/>
      <c r="NTW1" s="124"/>
      <c r="NTX1" s="124"/>
      <c r="NTY1" s="124"/>
      <c r="NTZ1" s="124"/>
      <c r="NUA1" s="124"/>
      <c r="NUB1" s="124"/>
      <c r="NUC1" s="124"/>
      <c r="NUD1" s="124"/>
      <c r="NUE1" s="124"/>
      <c r="NUF1" s="124"/>
      <c r="NUG1" s="124"/>
      <c r="NUH1" s="124"/>
      <c r="NUI1" s="124"/>
      <c r="NUJ1" s="124"/>
      <c r="NUK1" s="124"/>
      <c r="NUL1" s="124"/>
      <c r="NUM1" s="124"/>
      <c r="NUN1" s="124"/>
      <c r="NUO1" s="124"/>
      <c r="NUP1" s="124"/>
      <c r="NUQ1" s="124"/>
      <c r="NUR1" s="124"/>
      <c r="NUS1" s="124"/>
      <c r="NUT1" s="124"/>
      <c r="NUU1" s="124"/>
      <c r="NUV1" s="124"/>
      <c r="NUW1" s="124"/>
      <c r="NUX1" s="124"/>
      <c r="NUY1" s="124"/>
      <c r="NUZ1" s="124"/>
      <c r="NVA1" s="124"/>
      <c r="NVB1" s="124"/>
      <c r="NVC1" s="124"/>
      <c r="NVD1" s="124"/>
      <c r="NVE1" s="124"/>
      <c r="NVF1" s="124"/>
      <c r="NVG1" s="124"/>
      <c r="NVH1" s="124"/>
      <c r="NVI1" s="124"/>
      <c r="NVJ1" s="124"/>
      <c r="NVK1" s="124"/>
      <c r="NVL1" s="124"/>
      <c r="NVM1" s="124"/>
      <c r="NVN1" s="124"/>
      <c r="NVO1" s="124"/>
      <c r="NVP1" s="124"/>
      <c r="NVQ1" s="124"/>
      <c r="NVR1" s="124"/>
      <c r="NVS1" s="124"/>
      <c r="NVT1" s="124"/>
      <c r="NVU1" s="124"/>
      <c r="NVV1" s="124"/>
      <c r="NVW1" s="124"/>
      <c r="NVX1" s="124"/>
      <c r="NVY1" s="124"/>
      <c r="NVZ1" s="124"/>
      <c r="NWA1" s="124"/>
      <c r="NWB1" s="124"/>
      <c r="NWC1" s="124"/>
      <c r="NWD1" s="124"/>
      <c r="NWE1" s="124"/>
      <c r="NWF1" s="124"/>
      <c r="NWG1" s="124"/>
      <c r="NWH1" s="124"/>
      <c r="NWI1" s="124"/>
      <c r="NWJ1" s="124"/>
      <c r="NWK1" s="124"/>
      <c r="NWL1" s="124"/>
      <c r="NWM1" s="124"/>
      <c r="NWN1" s="124"/>
      <c r="NWO1" s="124"/>
      <c r="NWP1" s="124"/>
      <c r="NWQ1" s="124"/>
      <c r="NWR1" s="124"/>
      <c r="NWS1" s="124"/>
      <c r="NWT1" s="124"/>
      <c r="NWU1" s="124"/>
      <c r="NWV1" s="124"/>
      <c r="NWW1" s="124"/>
      <c r="NWX1" s="124"/>
      <c r="NWY1" s="124"/>
      <c r="NWZ1" s="124"/>
      <c r="NXA1" s="124"/>
      <c r="NXB1" s="124"/>
      <c r="NXC1" s="124"/>
      <c r="NXD1" s="124"/>
      <c r="NXE1" s="124"/>
      <c r="NXF1" s="124"/>
      <c r="NXG1" s="124"/>
      <c r="NXH1" s="124"/>
      <c r="NXI1" s="124"/>
      <c r="NXJ1" s="124"/>
      <c r="NXK1" s="124"/>
      <c r="NXL1" s="124"/>
      <c r="NXM1" s="124"/>
      <c r="NXN1" s="124"/>
      <c r="NXO1" s="124"/>
      <c r="NXP1" s="124"/>
      <c r="NXQ1" s="124"/>
      <c r="NXR1" s="124"/>
      <c r="NXS1" s="124"/>
      <c r="NXT1" s="124"/>
      <c r="NXU1" s="124"/>
      <c r="NXV1" s="124"/>
      <c r="NXW1" s="124"/>
      <c r="NXX1" s="124"/>
      <c r="NXY1" s="124"/>
      <c r="NXZ1" s="124"/>
      <c r="NYA1" s="124"/>
      <c r="NYB1" s="124"/>
      <c r="NYC1" s="124"/>
      <c r="NYD1" s="124"/>
      <c r="NYE1" s="124"/>
      <c r="NYF1" s="124"/>
      <c r="NYG1" s="124"/>
      <c r="NYH1" s="124"/>
      <c r="NYI1" s="124"/>
      <c r="NYJ1" s="124"/>
      <c r="NYK1" s="124"/>
      <c r="NYL1" s="124"/>
      <c r="NYM1" s="124"/>
      <c r="NYN1" s="124"/>
      <c r="NYO1" s="124"/>
      <c r="NYP1" s="124"/>
      <c r="NYQ1" s="124"/>
      <c r="NYR1" s="124"/>
      <c r="NYS1" s="124"/>
      <c r="NYT1" s="124"/>
      <c r="NYU1" s="124"/>
      <c r="NYV1" s="124"/>
      <c r="NYW1" s="124"/>
      <c r="NYX1" s="124"/>
      <c r="NYY1" s="124"/>
      <c r="NYZ1" s="124"/>
      <c r="NZA1" s="124"/>
      <c r="NZB1" s="124"/>
      <c r="NZC1" s="124"/>
      <c r="NZD1" s="124"/>
      <c r="NZE1" s="124"/>
      <c r="NZF1" s="124"/>
      <c r="NZG1" s="124"/>
      <c r="NZH1" s="124"/>
      <c r="NZI1" s="124"/>
      <c r="NZJ1" s="124"/>
      <c r="NZK1" s="124"/>
      <c r="NZL1" s="124"/>
      <c r="NZM1" s="124"/>
      <c r="NZN1" s="124"/>
      <c r="NZO1" s="124"/>
      <c r="NZP1" s="124"/>
      <c r="NZQ1" s="124"/>
      <c r="NZR1" s="124"/>
      <c r="NZS1" s="124"/>
      <c r="NZT1" s="124"/>
      <c r="NZU1" s="124"/>
      <c r="NZV1" s="124"/>
      <c r="NZW1" s="124"/>
      <c r="NZX1" s="124"/>
      <c r="NZY1" s="124"/>
      <c r="NZZ1" s="124"/>
      <c r="OAA1" s="124"/>
      <c r="OAB1" s="124"/>
      <c r="OAC1" s="124"/>
      <c r="OAD1" s="124"/>
      <c r="OAE1" s="124"/>
      <c r="OAF1" s="124"/>
      <c r="OAG1" s="124"/>
      <c r="OAH1" s="124"/>
      <c r="OAI1" s="124"/>
      <c r="OAJ1" s="124"/>
      <c r="OAK1" s="124"/>
      <c r="OAL1" s="124"/>
      <c r="OAM1" s="124"/>
      <c r="OAN1" s="124"/>
      <c r="OAO1" s="124"/>
      <c r="OAP1" s="124"/>
      <c r="OAQ1" s="124"/>
      <c r="OAR1" s="124"/>
      <c r="OAS1" s="124"/>
      <c r="OAT1" s="124"/>
      <c r="OAU1" s="124"/>
      <c r="OAV1" s="124"/>
      <c r="OAW1" s="124"/>
      <c r="OAX1" s="124"/>
      <c r="OAY1" s="124"/>
      <c r="OAZ1" s="124"/>
      <c r="OBA1" s="124"/>
      <c r="OBB1" s="124"/>
      <c r="OBC1" s="124"/>
      <c r="OBD1" s="124"/>
      <c r="OBE1" s="124"/>
      <c r="OBF1" s="124"/>
      <c r="OBG1" s="124"/>
      <c r="OBH1" s="124"/>
      <c r="OBI1" s="124"/>
      <c r="OBJ1" s="124"/>
      <c r="OBK1" s="124"/>
      <c r="OBL1" s="124"/>
      <c r="OBM1" s="124"/>
      <c r="OBN1" s="124"/>
      <c r="OBO1" s="124"/>
      <c r="OBP1" s="124"/>
      <c r="OBQ1" s="124"/>
      <c r="OBR1" s="124"/>
      <c r="OBS1" s="124"/>
      <c r="OBT1" s="124"/>
      <c r="OBU1" s="124"/>
      <c r="OBV1" s="124"/>
      <c r="OBW1" s="124"/>
      <c r="OBX1" s="124"/>
      <c r="OBY1" s="124"/>
      <c r="OBZ1" s="124"/>
      <c r="OCA1" s="124"/>
      <c r="OCB1" s="124"/>
      <c r="OCC1" s="124"/>
      <c r="OCD1" s="124"/>
      <c r="OCE1" s="124"/>
      <c r="OCF1" s="124"/>
      <c r="OCG1" s="124"/>
      <c r="OCH1" s="124"/>
      <c r="OCI1" s="124"/>
      <c r="OCJ1" s="124"/>
      <c r="OCK1" s="124"/>
      <c r="OCL1" s="124"/>
      <c r="OCM1" s="124"/>
      <c r="OCN1" s="124"/>
      <c r="OCO1" s="124"/>
      <c r="OCP1" s="124"/>
      <c r="OCQ1" s="124"/>
      <c r="OCR1" s="124"/>
      <c r="OCS1" s="124"/>
      <c r="OCT1" s="124"/>
      <c r="OCU1" s="124"/>
      <c r="OCV1" s="124"/>
      <c r="OCW1" s="124"/>
      <c r="OCX1" s="124"/>
      <c r="OCY1" s="124"/>
      <c r="OCZ1" s="124"/>
      <c r="ODA1" s="124"/>
      <c r="ODB1" s="124"/>
      <c r="ODC1" s="124"/>
      <c r="ODD1" s="124"/>
      <c r="ODE1" s="124"/>
      <c r="ODF1" s="124"/>
      <c r="ODG1" s="124"/>
      <c r="ODH1" s="124"/>
      <c r="ODI1" s="124"/>
      <c r="ODJ1" s="124"/>
      <c r="ODK1" s="124"/>
      <c r="ODL1" s="124"/>
      <c r="ODM1" s="124"/>
      <c r="ODN1" s="124"/>
      <c r="ODO1" s="124"/>
      <c r="ODP1" s="124"/>
      <c r="ODQ1" s="124"/>
      <c r="ODR1" s="124"/>
      <c r="ODS1" s="124"/>
      <c r="ODT1" s="124"/>
      <c r="ODU1" s="124"/>
      <c r="ODV1" s="124"/>
      <c r="ODW1" s="124"/>
      <c r="ODX1" s="124"/>
      <c r="ODY1" s="124"/>
      <c r="ODZ1" s="124"/>
      <c r="OEA1" s="124"/>
      <c r="OEB1" s="124"/>
      <c r="OEC1" s="124"/>
      <c r="OED1" s="124"/>
      <c r="OEE1" s="124"/>
      <c r="OEF1" s="124"/>
      <c r="OEG1" s="124"/>
      <c r="OEH1" s="124"/>
      <c r="OEI1" s="124"/>
      <c r="OEJ1" s="124"/>
      <c r="OEK1" s="124"/>
      <c r="OEL1" s="124"/>
      <c r="OEM1" s="124"/>
      <c r="OEN1" s="124"/>
      <c r="OEO1" s="124"/>
      <c r="OEP1" s="124"/>
      <c r="OEQ1" s="124"/>
      <c r="OER1" s="124"/>
      <c r="OES1" s="124"/>
      <c r="OET1" s="124"/>
      <c r="OEU1" s="124"/>
      <c r="OEV1" s="124"/>
      <c r="OEW1" s="124"/>
      <c r="OEX1" s="124"/>
      <c r="OEY1" s="124"/>
      <c r="OEZ1" s="124"/>
      <c r="OFA1" s="124"/>
      <c r="OFB1" s="124"/>
      <c r="OFC1" s="124"/>
      <c r="OFD1" s="124"/>
      <c r="OFE1" s="124"/>
      <c r="OFF1" s="124"/>
      <c r="OFG1" s="124"/>
      <c r="OFH1" s="124"/>
      <c r="OFI1" s="124"/>
      <c r="OFJ1" s="124"/>
      <c r="OFK1" s="124"/>
      <c r="OFL1" s="124"/>
      <c r="OFM1" s="124"/>
      <c r="OFN1" s="124"/>
      <c r="OFO1" s="124"/>
      <c r="OFP1" s="124"/>
      <c r="OFQ1" s="124"/>
      <c r="OFR1" s="124"/>
      <c r="OFS1" s="124"/>
      <c r="OFT1" s="124"/>
      <c r="OFU1" s="124"/>
      <c r="OFV1" s="124"/>
      <c r="OFW1" s="124"/>
      <c r="OFX1" s="124"/>
      <c r="OFY1" s="124"/>
      <c r="OFZ1" s="124"/>
      <c r="OGA1" s="124"/>
      <c r="OGB1" s="124"/>
      <c r="OGC1" s="124"/>
      <c r="OGD1" s="124"/>
      <c r="OGE1" s="124"/>
      <c r="OGF1" s="124"/>
      <c r="OGG1" s="124"/>
      <c r="OGH1" s="124"/>
      <c r="OGI1" s="124"/>
      <c r="OGJ1" s="124"/>
      <c r="OGK1" s="124"/>
      <c r="OGL1" s="124"/>
      <c r="OGM1" s="124"/>
      <c r="OGN1" s="124"/>
      <c r="OGO1" s="124"/>
      <c r="OGP1" s="124"/>
      <c r="OGQ1" s="124"/>
      <c r="OGR1" s="124"/>
      <c r="OGS1" s="124"/>
      <c r="OGT1" s="124"/>
      <c r="OGU1" s="124"/>
      <c r="OGV1" s="124"/>
      <c r="OGW1" s="124"/>
      <c r="OGX1" s="124"/>
      <c r="OGY1" s="124"/>
      <c r="OGZ1" s="124"/>
      <c r="OHA1" s="124"/>
      <c r="OHB1" s="124"/>
      <c r="OHC1" s="124"/>
      <c r="OHD1" s="124"/>
      <c r="OHE1" s="124"/>
      <c r="OHF1" s="124"/>
      <c r="OHG1" s="124"/>
      <c r="OHH1" s="124"/>
      <c r="OHI1" s="124"/>
      <c r="OHJ1" s="124"/>
      <c r="OHK1" s="124"/>
      <c r="OHL1" s="124"/>
      <c r="OHM1" s="124"/>
      <c r="OHN1" s="124"/>
      <c r="OHO1" s="124"/>
      <c r="OHP1" s="124"/>
      <c r="OHQ1" s="124"/>
      <c r="OHR1" s="124"/>
      <c r="OHS1" s="124"/>
      <c r="OHT1" s="124"/>
      <c r="OHU1" s="124"/>
      <c r="OHV1" s="124"/>
      <c r="OHW1" s="124"/>
      <c r="OHX1" s="124"/>
      <c r="OHY1" s="124"/>
      <c r="OHZ1" s="124"/>
      <c r="OIA1" s="124"/>
      <c r="OIB1" s="124"/>
      <c r="OIC1" s="124"/>
      <c r="OID1" s="124"/>
      <c r="OIE1" s="124"/>
      <c r="OIF1" s="124"/>
      <c r="OIG1" s="124"/>
      <c r="OIH1" s="124"/>
      <c r="OII1" s="124"/>
      <c r="OIJ1" s="124"/>
      <c r="OIK1" s="124"/>
      <c r="OIL1" s="124"/>
      <c r="OIM1" s="124"/>
      <c r="OIN1" s="124"/>
      <c r="OIO1" s="124"/>
      <c r="OIP1" s="124"/>
      <c r="OIQ1" s="124"/>
      <c r="OIR1" s="124"/>
      <c r="OIS1" s="124"/>
      <c r="OIT1" s="124"/>
      <c r="OIU1" s="124"/>
      <c r="OIV1" s="124"/>
      <c r="OIW1" s="124"/>
      <c r="OIX1" s="124"/>
      <c r="OIY1" s="124"/>
      <c r="OIZ1" s="124"/>
      <c r="OJA1" s="124"/>
      <c r="OJB1" s="124"/>
      <c r="OJC1" s="124"/>
      <c r="OJD1" s="124"/>
      <c r="OJE1" s="124"/>
      <c r="OJF1" s="124"/>
      <c r="OJG1" s="124"/>
      <c r="OJH1" s="124"/>
      <c r="OJI1" s="124"/>
      <c r="OJJ1" s="124"/>
      <c r="OJK1" s="124"/>
      <c r="OJL1" s="124"/>
      <c r="OJM1" s="124"/>
      <c r="OJN1" s="124"/>
      <c r="OJO1" s="124"/>
      <c r="OJP1" s="124"/>
      <c r="OJQ1" s="124"/>
      <c r="OJR1" s="124"/>
      <c r="OJS1" s="124"/>
      <c r="OJT1" s="124"/>
      <c r="OJU1" s="124"/>
      <c r="OJV1" s="124"/>
      <c r="OJW1" s="124"/>
      <c r="OJX1" s="124"/>
      <c r="OJY1" s="124"/>
      <c r="OJZ1" s="124"/>
      <c r="OKA1" s="124"/>
      <c r="OKB1" s="124"/>
      <c r="OKC1" s="124"/>
      <c r="OKD1" s="124"/>
      <c r="OKE1" s="124"/>
      <c r="OKF1" s="124"/>
      <c r="OKG1" s="124"/>
      <c r="OKH1" s="124"/>
      <c r="OKI1" s="124"/>
      <c r="OKJ1" s="124"/>
      <c r="OKK1" s="124"/>
      <c r="OKL1" s="124"/>
      <c r="OKM1" s="124"/>
      <c r="OKN1" s="124"/>
      <c r="OKO1" s="124"/>
      <c r="OKP1" s="124"/>
      <c r="OKQ1" s="124"/>
      <c r="OKR1" s="124"/>
      <c r="OKS1" s="124"/>
      <c r="OKT1" s="124"/>
      <c r="OKU1" s="124"/>
      <c r="OKV1" s="124"/>
      <c r="OKW1" s="124"/>
      <c r="OKX1" s="124"/>
      <c r="OKY1" s="124"/>
      <c r="OKZ1" s="124"/>
      <c r="OLA1" s="124"/>
      <c r="OLB1" s="124"/>
      <c r="OLC1" s="124"/>
      <c r="OLD1" s="124"/>
      <c r="OLE1" s="124"/>
      <c r="OLF1" s="124"/>
      <c r="OLG1" s="124"/>
      <c r="OLH1" s="124"/>
      <c r="OLI1" s="124"/>
      <c r="OLJ1" s="124"/>
      <c r="OLK1" s="124"/>
      <c r="OLL1" s="124"/>
      <c r="OLM1" s="124"/>
      <c r="OLN1" s="124"/>
      <c r="OLO1" s="124"/>
      <c r="OLP1" s="124"/>
      <c r="OLQ1" s="124"/>
      <c r="OLR1" s="124"/>
      <c r="OLS1" s="124"/>
      <c r="OLT1" s="124"/>
      <c r="OLU1" s="124"/>
      <c r="OLV1" s="124"/>
      <c r="OLW1" s="124"/>
      <c r="OLX1" s="124"/>
      <c r="OLY1" s="124"/>
      <c r="OLZ1" s="124"/>
      <c r="OMA1" s="124"/>
      <c r="OMB1" s="124"/>
      <c r="OMC1" s="124"/>
      <c r="OMD1" s="124"/>
      <c r="OME1" s="124"/>
      <c r="OMF1" s="124"/>
      <c r="OMG1" s="124"/>
      <c r="OMH1" s="124"/>
      <c r="OMI1" s="124"/>
      <c r="OMJ1" s="124"/>
      <c r="OMK1" s="124"/>
      <c r="OML1" s="124"/>
      <c r="OMM1" s="124"/>
      <c r="OMN1" s="124"/>
      <c r="OMO1" s="124"/>
      <c r="OMP1" s="124"/>
      <c r="OMQ1" s="124"/>
      <c r="OMR1" s="124"/>
      <c r="OMS1" s="124"/>
      <c r="OMT1" s="124"/>
      <c r="OMU1" s="124"/>
      <c r="OMV1" s="124"/>
      <c r="OMW1" s="124"/>
      <c r="OMX1" s="124"/>
      <c r="OMY1" s="124"/>
      <c r="OMZ1" s="124"/>
      <c r="ONA1" s="124"/>
      <c r="ONB1" s="124"/>
      <c r="ONC1" s="124"/>
      <c r="OND1" s="124"/>
      <c r="ONE1" s="124"/>
      <c r="ONF1" s="124"/>
      <c r="ONG1" s="124"/>
      <c r="ONH1" s="124"/>
      <c r="ONI1" s="124"/>
      <c r="ONJ1" s="124"/>
      <c r="ONK1" s="124"/>
      <c r="ONL1" s="124"/>
      <c r="ONM1" s="124"/>
      <c r="ONN1" s="124"/>
      <c r="ONO1" s="124"/>
      <c r="ONP1" s="124"/>
      <c r="ONQ1" s="124"/>
      <c r="ONR1" s="124"/>
      <c r="ONS1" s="124"/>
      <c r="ONT1" s="124"/>
      <c r="ONU1" s="124"/>
      <c r="ONV1" s="124"/>
      <c r="ONW1" s="124"/>
      <c r="ONX1" s="124"/>
      <c r="ONY1" s="124"/>
      <c r="ONZ1" s="124"/>
      <c r="OOA1" s="124"/>
      <c r="OOB1" s="124"/>
      <c r="OOC1" s="124"/>
      <c r="OOD1" s="124"/>
      <c r="OOE1" s="124"/>
      <c r="OOF1" s="124"/>
      <c r="OOG1" s="124"/>
      <c r="OOH1" s="124"/>
      <c r="OOI1" s="124"/>
      <c r="OOJ1" s="124"/>
      <c r="OOK1" s="124"/>
      <c r="OOL1" s="124"/>
      <c r="OOM1" s="124"/>
      <c r="OON1" s="124"/>
      <c r="OOO1" s="124"/>
      <c r="OOP1" s="124"/>
      <c r="OOQ1" s="124"/>
      <c r="OOR1" s="124"/>
      <c r="OOS1" s="124"/>
      <c r="OOT1" s="124"/>
      <c r="OOU1" s="124"/>
      <c r="OOV1" s="124"/>
      <c r="OOW1" s="124"/>
      <c r="OOX1" s="124"/>
      <c r="OOY1" s="124"/>
      <c r="OOZ1" s="124"/>
      <c r="OPA1" s="124"/>
      <c r="OPB1" s="124"/>
      <c r="OPC1" s="124"/>
      <c r="OPD1" s="124"/>
      <c r="OPE1" s="124"/>
      <c r="OPF1" s="124"/>
      <c r="OPG1" s="124"/>
      <c r="OPH1" s="124"/>
      <c r="OPI1" s="124"/>
      <c r="OPJ1" s="124"/>
      <c r="OPK1" s="124"/>
      <c r="OPL1" s="124"/>
      <c r="OPM1" s="124"/>
      <c r="OPN1" s="124"/>
      <c r="OPO1" s="124"/>
      <c r="OPP1" s="124"/>
      <c r="OPQ1" s="124"/>
      <c r="OPR1" s="124"/>
      <c r="OPS1" s="124"/>
      <c r="OPT1" s="124"/>
      <c r="OPU1" s="124"/>
      <c r="OPV1" s="124"/>
      <c r="OPW1" s="124"/>
      <c r="OPX1" s="124"/>
      <c r="OPY1" s="124"/>
      <c r="OPZ1" s="124"/>
      <c r="OQA1" s="124"/>
      <c r="OQB1" s="124"/>
      <c r="OQC1" s="124"/>
      <c r="OQD1" s="124"/>
      <c r="OQE1" s="124"/>
      <c r="OQF1" s="124"/>
      <c r="OQG1" s="124"/>
      <c r="OQH1" s="124"/>
      <c r="OQI1" s="124"/>
      <c r="OQJ1" s="124"/>
      <c r="OQK1" s="124"/>
      <c r="OQL1" s="124"/>
      <c r="OQM1" s="124"/>
      <c r="OQN1" s="124"/>
      <c r="OQO1" s="124"/>
      <c r="OQP1" s="124"/>
      <c r="OQQ1" s="124"/>
      <c r="OQR1" s="124"/>
      <c r="OQS1" s="124"/>
      <c r="OQT1" s="124"/>
      <c r="OQU1" s="124"/>
      <c r="OQV1" s="124"/>
      <c r="OQW1" s="124"/>
      <c r="OQX1" s="124"/>
      <c r="OQY1" s="124"/>
      <c r="OQZ1" s="124"/>
      <c r="ORA1" s="124"/>
      <c r="ORB1" s="124"/>
      <c r="ORC1" s="124"/>
      <c r="ORD1" s="124"/>
      <c r="ORE1" s="124"/>
      <c r="ORF1" s="124"/>
      <c r="ORG1" s="124"/>
      <c r="ORH1" s="124"/>
      <c r="ORI1" s="124"/>
      <c r="ORJ1" s="124"/>
      <c r="ORK1" s="124"/>
      <c r="ORL1" s="124"/>
      <c r="ORM1" s="124"/>
      <c r="ORN1" s="124"/>
      <c r="ORO1" s="124"/>
      <c r="ORP1" s="124"/>
      <c r="ORQ1" s="124"/>
      <c r="ORR1" s="124"/>
      <c r="ORS1" s="124"/>
      <c r="ORT1" s="124"/>
      <c r="ORU1" s="124"/>
      <c r="ORV1" s="124"/>
      <c r="ORW1" s="124"/>
      <c r="ORX1" s="124"/>
      <c r="ORY1" s="124"/>
      <c r="ORZ1" s="124"/>
      <c r="OSA1" s="124"/>
      <c r="OSB1" s="124"/>
      <c r="OSC1" s="124"/>
      <c r="OSD1" s="124"/>
      <c r="OSE1" s="124"/>
      <c r="OSF1" s="124"/>
      <c r="OSG1" s="124"/>
      <c r="OSH1" s="124"/>
      <c r="OSI1" s="124"/>
      <c r="OSJ1" s="124"/>
      <c r="OSK1" s="124"/>
      <c r="OSL1" s="124"/>
      <c r="OSM1" s="124"/>
      <c r="OSN1" s="124"/>
      <c r="OSO1" s="124"/>
      <c r="OSP1" s="124"/>
      <c r="OSQ1" s="124"/>
      <c r="OSR1" s="124"/>
      <c r="OSS1" s="124"/>
      <c r="OST1" s="124"/>
      <c r="OSU1" s="124"/>
      <c r="OSV1" s="124"/>
      <c r="OSW1" s="124"/>
      <c r="OSX1" s="124"/>
      <c r="OSY1" s="124"/>
      <c r="OSZ1" s="124"/>
      <c r="OTA1" s="124"/>
      <c r="OTB1" s="124"/>
      <c r="OTC1" s="124"/>
      <c r="OTD1" s="124"/>
      <c r="OTE1" s="124"/>
      <c r="OTF1" s="124"/>
      <c r="OTG1" s="124"/>
      <c r="OTH1" s="124"/>
      <c r="OTI1" s="124"/>
      <c r="OTJ1" s="124"/>
      <c r="OTK1" s="124"/>
      <c r="OTL1" s="124"/>
      <c r="OTM1" s="124"/>
      <c r="OTN1" s="124"/>
      <c r="OTO1" s="124"/>
      <c r="OTP1" s="124"/>
      <c r="OTQ1" s="124"/>
      <c r="OTR1" s="124"/>
      <c r="OTS1" s="124"/>
      <c r="OTT1" s="124"/>
      <c r="OTU1" s="124"/>
      <c r="OTV1" s="124"/>
      <c r="OTW1" s="124"/>
      <c r="OTX1" s="124"/>
      <c r="OTY1" s="124"/>
      <c r="OTZ1" s="124"/>
      <c r="OUA1" s="124"/>
      <c r="OUB1" s="124"/>
      <c r="OUC1" s="124"/>
      <c r="OUD1" s="124"/>
      <c r="OUE1" s="124"/>
      <c r="OUF1" s="124"/>
      <c r="OUG1" s="124"/>
      <c r="OUH1" s="124"/>
      <c r="OUI1" s="124"/>
      <c r="OUJ1" s="124"/>
      <c r="OUK1" s="124"/>
      <c r="OUL1" s="124"/>
      <c r="OUM1" s="124"/>
      <c r="OUN1" s="124"/>
      <c r="OUO1" s="124"/>
      <c r="OUP1" s="124"/>
      <c r="OUQ1" s="124"/>
      <c r="OUR1" s="124"/>
      <c r="OUS1" s="124"/>
      <c r="OUT1" s="124"/>
      <c r="OUU1" s="124"/>
      <c r="OUV1" s="124"/>
      <c r="OUW1" s="124"/>
      <c r="OUX1" s="124"/>
      <c r="OUY1" s="124"/>
      <c r="OUZ1" s="124"/>
      <c r="OVA1" s="124"/>
      <c r="OVB1" s="124"/>
      <c r="OVC1" s="124"/>
      <c r="OVD1" s="124"/>
      <c r="OVE1" s="124"/>
      <c r="OVF1" s="124"/>
      <c r="OVG1" s="124"/>
      <c r="OVH1" s="124"/>
      <c r="OVI1" s="124"/>
      <c r="OVJ1" s="124"/>
      <c r="OVK1" s="124"/>
      <c r="OVL1" s="124"/>
      <c r="OVM1" s="124"/>
      <c r="OVN1" s="124"/>
      <c r="OVO1" s="124"/>
      <c r="OVP1" s="124"/>
      <c r="OVQ1" s="124"/>
      <c r="OVR1" s="124"/>
      <c r="OVS1" s="124"/>
      <c r="OVT1" s="124"/>
      <c r="OVU1" s="124"/>
      <c r="OVV1" s="124"/>
      <c r="OVW1" s="124"/>
      <c r="OVX1" s="124"/>
      <c r="OVY1" s="124"/>
      <c r="OVZ1" s="124"/>
      <c r="OWA1" s="124"/>
      <c r="OWB1" s="124"/>
      <c r="OWC1" s="124"/>
      <c r="OWD1" s="124"/>
      <c r="OWE1" s="124"/>
      <c r="OWF1" s="124"/>
      <c r="OWG1" s="124"/>
      <c r="OWH1" s="124"/>
      <c r="OWI1" s="124"/>
      <c r="OWJ1" s="124"/>
      <c r="OWK1" s="124"/>
      <c r="OWL1" s="124"/>
      <c r="OWM1" s="124"/>
      <c r="OWN1" s="124"/>
      <c r="OWO1" s="124"/>
      <c r="OWP1" s="124"/>
      <c r="OWQ1" s="124"/>
      <c r="OWR1" s="124"/>
      <c r="OWS1" s="124"/>
      <c r="OWT1" s="124"/>
      <c r="OWU1" s="124"/>
      <c r="OWV1" s="124"/>
      <c r="OWW1" s="124"/>
      <c r="OWX1" s="124"/>
      <c r="OWY1" s="124"/>
      <c r="OWZ1" s="124"/>
      <c r="OXA1" s="124"/>
      <c r="OXB1" s="124"/>
      <c r="OXC1" s="124"/>
      <c r="OXD1" s="124"/>
      <c r="OXE1" s="124"/>
      <c r="OXF1" s="124"/>
      <c r="OXG1" s="124"/>
      <c r="OXH1" s="124"/>
      <c r="OXI1" s="124"/>
      <c r="OXJ1" s="124"/>
      <c r="OXK1" s="124"/>
      <c r="OXL1" s="124"/>
      <c r="OXM1" s="124"/>
      <c r="OXN1" s="124"/>
      <c r="OXO1" s="124"/>
      <c r="OXP1" s="124"/>
      <c r="OXQ1" s="124"/>
      <c r="OXR1" s="124"/>
      <c r="OXS1" s="124"/>
      <c r="OXT1" s="124"/>
      <c r="OXU1" s="124"/>
      <c r="OXV1" s="124"/>
      <c r="OXW1" s="124"/>
      <c r="OXX1" s="124"/>
      <c r="OXY1" s="124"/>
      <c r="OXZ1" s="124"/>
      <c r="OYA1" s="124"/>
      <c r="OYB1" s="124"/>
      <c r="OYC1" s="124"/>
      <c r="OYD1" s="124"/>
      <c r="OYE1" s="124"/>
      <c r="OYF1" s="124"/>
      <c r="OYG1" s="124"/>
      <c r="OYH1" s="124"/>
      <c r="OYI1" s="124"/>
      <c r="OYJ1" s="124"/>
      <c r="OYK1" s="124"/>
      <c r="OYL1" s="124"/>
      <c r="OYM1" s="124"/>
      <c r="OYN1" s="124"/>
      <c r="OYO1" s="124"/>
      <c r="OYP1" s="124"/>
      <c r="OYQ1" s="124"/>
      <c r="OYR1" s="124"/>
      <c r="OYS1" s="124"/>
      <c r="OYT1" s="124"/>
      <c r="OYU1" s="124"/>
      <c r="OYV1" s="124"/>
      <c r="OYW1" s="124"/>
      <c r="OYX1" s="124"/>
      <c r="OYY1" s="124"/>
      <c r="OYZ1" s="124"/>
      <c r="OZA1" s="124"/>
      <c r="OZB1" s="124"/>
      <c r="OZC1" s="124"/>
      <c r="OZD1" s="124"/>
      <c r="OZE1" s="124"/>
      <c r="OZF1" s="124"/>
      <c r="OZG1" s="124"/>
      <c r="OZH1" s="124"/>
      <c r="OZI1" s="124"/>
      <c r="OZJ1" s="124"/>
      <c r="OZK1" s="124"/>
      <c r="OZL1" s="124"/>
      <c r="OZM1" s="124"/>
      <c r="OZN1" s="124"/>
      <c r="OZO1" s="124"/>
      <c r="OZP1" s="124"/>
      <c r="OZQ1" s="124"/>
      <c r="OZR1" s="124"/>
      <c r="OZS1" s="124"/>
      <c r="OZT1" s="124"/>
      <c r="OZU1" s="124"/>
      <c r="OZV1" s="124"/>
      <c r="OZW1" s="124"/>
      <c r="OZX1" s="124"/>
      <c r="OZY1" s="124"/>
      <c r="OZZ1" s="124"/>
      <c r="PAA1" s="124"/>
      <c r="PAB1" s="124"/>
      <c r="PAC1" s="124"/>
      <c r="PAD1" s="124"/>
      <c r="PAE1" s="124"/>
      <c r="PAF1" s="124"/>
      <c r="PAG1" s="124"/>
      <c r="PAH1" s="124"/>
      <c r="PAI1" s="124"/>
      <c r="PAJ1" s="124"/>
      <c r="PAK1" s="124"/>
      <c r="PAL1" s="124"/>
      <c r="PAM1" s="124"/>
      <c r="PAN1" s="124"/>
      <c r="PAO1" s="124"/>
      <c r="PAP1" s="124"/>
      <c r="PAQ1" s="124"/>
      <c r="PAR1" s="124"/>
      <c r="PAS1" s="124"/>
      <c r="PAT1" s="124"/>
      <c r="PAU1" s="124"/>
      <c r="PAV1" s="124"/>
      <c r="PAW1" s="124"/>
      <c r="PAX1" s="124"/>
      <c r="PAY1" s="124"/>
      <c r="PAZ1" s="124"/>
      <c r="PBA1" s="124"/>
      <c r="PBB1" s="124"/>
      <c r="PBC1" s="124"/>
      <c r="PBD1" s="124"/>
      <c r="PBE1" s="124"/>
      <c r="PBF1" s="124"/>
      <c r="PBG1" s="124"/>
      <c r="PBH1" s="124"/>
      <c r="PBI1" s="124"/>
      <c r="PBJ1" s="124"/>
      <c r="PBK1" s="124"/>
      <c r="PBL1" s="124"/>
      <c r="PBM1" s="124"/>
      <c r="PBN1" s="124"/>
      <c r="PBO1" s="124"/>
      <c r="PBP1" s="124"/>
      <c r="PBQ1" s="124"/>
      <c r="PBR1" s="124"/>
      <c r="PBS1" s="124"/>
      <c r="PBT1" s="124"/>
      <c r="PBU1" s="124"/>
      <c r="PBV1" s="124"/>
      <c r="PBW1" s="124"/>
      <c r="PBX1" s="124"/>
      <c r="PBY1" s="124"/>
      <c r="PBZ1" s="124"/>
      <c r="PCA1" s="124"/>
      <c r="PCB1" s="124"/>
      <c r="PCC1" s="124"/>
      <c r="PCD1" s="124"/>
      <c r="PCE1" s="124"/>
      <c r="PCF1" s="124"/>
      <c r="PCG1" s="124"/>
      <c r="PCH1" s="124"/>
      <c r="PCI1" s="124"/>
      <c r="PCJ1" s="124"/>
      <c r="PCK1" s="124"/>
      <c r="PCL1" s="124"/>
      <c r="PCM1" s="124"/>
      <c r="PCN1" s="124"/>
      <c r="PCO1" s="124"/>
      <c r="PCP1" s="124"/>
      <c r="PCQ1" s="124"/>
      <c r="PCR1" s="124"/>
      <c r="PCS1" s="124"/>
      <c r="PCT1" s="124"/>
      <c r="PCU1" s="124"/>
      <c r="PCV1" s="124"/>
      <c r="PCW1" s="124"/>
      <c r="PCX1" s="124"/>
      <c r="PCY1" s="124"/>
      <c r="PCZ1" s="124"/>
      <c r="PDA1" s="124"/>
      <c r="PDB1" s="124"/>
      <c r="PDC1" s="124"/>
      <c r="PDD1" s="124"/>
      <c r="PDE1" s="124"/>
      <c r="PDF1" s="124"/>
      <c r="PDG1" s="124"/>
      <c r="PDH1" s="124"/>
      <c r="PDI1" s="124"/>
      <c r="PDJ1" s="124"/>
      <c r="PDK1" s="124"/>
      <c r="PDL1" s="124"/>
      <c r="PDM1" s="124"/>
      <c r="PDN1" s="124"/>
      <c r="PDO1" s="124"/>
      <c r="PDP1" s="124"/>
      <c r="PDQ1" s="124"/>
      <c r="PDR1" s="124"/>
      <c r="PDS1" s="124"/>
      <c r="PDT1" s="124"/>
      <c r="PDU1" s="124"/>
      <c r="PDV1" s="124"/>
      <c r="PDW1" s="124"/>
      <c r="PDX1" s="124"/>
      <c r="PDY1" s="124"/>
      <c r="PDZ1" s="124"/>
      <c r="PEA1" s="124"/>
      <c r="PEB1" s="124"/>
      <c r="PEC1" s="124"/>
      <c r="PED1" s="124"/>
      <c r="PEE1" s="124"/>
      <c r="PEF1" s="124"/>
      <c r="PEG1" s="124"/>
      <c r="PEH1" s="124"/>
      <c r="PEI1" s="124"/>
      <c r="PEJ1" s="124"/>
      <c r="PEK1" s="124"/>
      <c r="PEL1" s="124"/>
      <c r="PEM1" s="124"/>
      <c r="PEN1" s="124"/>
      <c r="PEO1" s="124"/>
      <c r="PEP1" s="124"/>
      <c r="PEQ1" s="124"/>
      <c r="PER1" s="124"/>
      <c r="PES1" s="124"/>
      <c r="PET1" s="124"/>
      <c r="PEU1" s="124"/>
      <c r="PEV1" s="124"/>
      <c r="PEW1" s="124"/>
      <c r="PEX1" s="124"/>
      <c r="PEY1" s="124"/>
      <c r="PEZ1" s="124"/>
      <c r="PFA1" s="124"/>
      <c r="PFB1" s="124"/>
      <c r="PFC1" s="124"/>
      <c r="PFD1" s="124"/>
      <c r="PFE1" s="124"/>
      <c r="PFF1" s="124"/>
      <c r="PFG1" s="124"/>
      <c r="PFH1" s="124"/>
      <c r="PFI1" s="124"/>
      <c r="PFJ1" s="124"/>
      <c r="PFK1" s="124"/>
      <c r="PFL1" s="124"/>
      <c r="PFM1" s="124"/>
      <c r="PFN1" s="124"/>
      <c r="PFO1" s="124"/>
      <c r="PFP1" s="124"/>
      <c r="PFQ1" s="124"/>
      <c r="PFR1" s="124"/>
      <c r="PFS1" s="124"/>
      <c r="PFT1" s="124"/>
      <c r="PFU1" s="124"/>
      <c r="PFV1" s="124"/>
      <c r="PFW1" s="124"/>
      <c r="PFX1" s="124"/>
      <c r="PFY1" s="124"/>
      <c r="PFZ1" s="124"/>
      <c r="PGA1" s="124"/>
      <c r="PGB1" s="124"/>
      <c r="PGC1" s="124"/>
      <c r="PGD1" s="124"/>
      <c r="PGE1" s="124"/>
      <c r="PGF1" s="124"/>
      <c r="PGG1" s="124"/>
      <c r="PGH1" s="124"/>
      <c r="PGI1" s="124"/>
      <c r="PGJ1" s="124"/>
      <c r="PGK1" s="124"/>
      <c r="PGL1" s="124"/>
      <c r="PGM1" s="124"/>
      <c r="PGN1" s="124"/>
      <c r="PGO1" s="124"/>
      <c r="PGP1" s="124"/>
      <c r="PGQ1" s="124"/>
      <c r="PGR1" s="124"/>
      <c r="PGS1" s="124"/>
      <c r="PGT1" s="124"/>
      <c r="PGU1" s="124"/>
      <c r="PGV1" s="124"/>
      <c r="PGW1" s="124"/>
      <c r="PGX1" s="124"/>
      <c r="PGY1" s="124"/>
      <c r="PGZ1" s="124"/>
      <c r="PHA1" s="124"/>
      <c r="PHB1" s="124"/>
      <c r="PHC1" s="124"/>
      <c r="PHD1" s="124"/>
      <c r="PHE1" s="124"/>
      <c r="PHF1" s="124"/>
      <c r="PHG1" s="124"/>
      <c r="PHH1" s="124"/>
      <c r="PHI1" s="124"/>
      <c r="PHJ1" s="124"/>
      <c r="PHK1" s="124"/>
      <c r="PHL1" s="124"/>
      <c r="PHM1" s="124"/>
      <c r="PHN1" s="124"/>
      <c r="PHO1" s="124"/>
      <c r="PHP1" s="124"/>
      <c r="PHQ1" s="124"/>
      <c r="PHR1" s="124"/>
      <c r="PHS1" s="124"/>
      <c r="PHT1" s="124"/>
      <c r="PHU1" s="124"/>
      <c r="PHV1" s="124"/>
      <c r="PHW1" s="124"/>
      <c r="PHX1" s="124"/>
      <c r="PHY1" s="124"/>
      <c r="PHZ1" s="124"/>
      <c r="PIA1" s="124"/>
      <c r="PIB1" s="124"/>
      <c r="PIC1" s="124"/>
      <c r="PID1" s="124"/>
      <c r="PIE1" s="124"/>
      <c r="PIF1" s="124"/>
      <c r="PIG1" s="124"/>
      <c r="PIH1" s="124"/>
      <c r="PII1" s="124"/>
      <c r="PIJ1" s="124"/>
      <c r="PIK1" s="124"/>
      <c r="PIL1" s="124"/>
      <c r="PIM1" s="124"/>
      <c r="PIN1" s="124"/>
      <c r="PIO1" s="124"/>
      <c r="PIP1" s="124"/>
      <c r="PIQ1" s="124"/>
      <c r="PIR1" s="124"/>
      <c r="PIS1" s="124"/>
      <c r="PIT1" s="124"/>
      <c r="PIU1" s="124"/>
      <c r="PIV1" s="124"/>
      <c r="PIW1" s="124"/>
      <c r="PIX1" s="124"/>
      <c r="PIY1" s="124"/>
      <c r="PIZ1" s="124"/>
      <c r="PJA1" s="124"/>
      <c r="PJB1" s="124"/>
      <c r="PJC1" s="124"/>
      <c r="PJD1" s="124"/>
      <c r="PJE1" s="124"/>
      <c r="PJF1" s="124"/>
      <c r="PJG1" s="124"/>
      <c r="PJH1" s="124"/>
      <c r="PJI1" s="124"/>
      <c r="PJJ1" s="124"/>
      <c r="PJK1" s="124"/>
      <c r="PJL1" s="124"/>
      <c r="PJM1" s="124"/>
      <c r="PJN1" s="124"/>
      <c r="PJO1" s="124"/>
      <c r="PJP1" s="124"/>
      <c r="PJQ1" s="124"/>
      <c r="PJR1" s="124"/>
      <c r="PJS1" s="124"/>
      <c r="PJT1" s="124"/>
      <c r="PJU1" s="124"/>
      <c r="PJV1" s="124"/>
      <c r="PJW1" s="124"/>
      <c r="PJX1" s="124"/>
      <c r="PJY1" s="124"/>
      <c r="PJZ1" s="124"/>
      <c r="PKA1" s="124"/>
      <c r="PKB1" s="124"/>
      <c r="PKC1" s="124"/>
      <c r="PKD1" s="124"/>
      <c r="PKE1" s="124"/>
      <c r="PKF1" s="124"/>
      <c r="PKG1" s="124"/>
      <c r="PKH1" s="124"/>
      <c r="PKI1" s="124"/>
      <c r="PKJ1" s="124"/>
      <c r="PKK1" s="124"/>
      <c r="PKL1" s="124"/>
      <c r="PKM1" s="124"/>
      <c r="PKN1" s="124"/>
      <c r="PKO1" s="124"/>
      <c r="PKP1" s="124"/>
      <c r="PKQ1" s="124"/>
      <c r="PKR1" s="124"/>
      <c r="PKS1" s="124"/>
      <c r="PKT1" s="124"/>
      <c r="PKU1" s="124"/>
      <c r="PKV1" s="124"/>
      <c r="PKW1" s="124"/>
      <c r="PKX1" s="124"/>
      <c r="PKY1" s="124"/>
      <c r="PKZ1" s="124"/>
      <c r="PLA1" s="124"/>
      <c r="PLB1" s="124"/>
      <c r="PLC1" s="124"/>
      <c r="PLD1" s="124"/>
      <c r="PLE1" s="124"/>
      <c r="PLF1" s="124"/>
      <c r="PLG1" s="124"/>
      <c r="PLH1" s="124"/>
      <c r="PLI1" s="124"/>
      <c r="PLJ1" s="124"/>
      <c r="PLK1" s="124"/>
      <c r="PLL1" s="124"/>
      <c r="PLM1" s="124"/>
      <c r="PLN1" s="124"/>
      <c r="PLO1" s="124"/>
      <c r="PLP1" s="124"/>
      <c r="PLQ1" s="124"/>
      <c r="PLR1" s="124"/>
      <c r="PLS1" s="124"/>
      <c r="PLT1" s="124"/>
      <c r="PLU1" s="124"/>
      <c r="PLV1" s="124"/>
      <c r="PLW1" s="124"/>
      <c r="PLX1" s="124"/>
      <c r="PLY1" s="124"/>
      <c r="PLZ1" s="124"/>
      <c r="PMA1" s="124"/>
      <c r="PMB1" s="124"/>
      <c r="PMC1" s="124"/>
      <c r="PMD1" s="124"/>
      <c r="PME1" s="124"/>
      <c r="PMF1" s="124"/>
      <c r="PMG1" s="124"/>
      <c r="PMH1" s="124"/>
      <c r="PMI1" s="124"/>
      <c r="PMJ1" s="124"/>
      <c r="PMK1" s="124"/>
      <c r="PML1" s="124"/>
      <c r="PMM1" s="124"/>
      <c r="PMN1" s="124"/>
      <c r="PMO1" s="124"/>
      <c r="PMP1" s="124"/>
      <c r="PMQ1" s="124"/>
      <c r="PMR1" s="124"/>
      <c r="PMS1" s="124"/>
      <c r="PMT1" s="124"/>
      <c r="PMU1" s="124"/>
      <c r="PMV1" s="124"/>
      <c r="PMW1" s="124"/>
      <c r="PMX1" s="124"/>
      <c r="PMY1" s="124"/>
      <c r="PMZ1" s="124"/>
      <c r="PNA1" s="124"/>
      <c r="PNB1" s="124"/>
      <c r="PNC1" s="124"/>
      <c r="PND1" s="124"/>
      <c r="PNE1" s="124"/>
      <c r="PNF1" s="124"/>
      <c r="PNG1" s="124"/>
      <c r="PNH1" s="124"/>
      <c r="PNI1" s="124"/>
      <c r="PNJ1" s="124"/>
      <c r="PNK1" s="124"/>
      <c r="PNL1" s="124"/>
      <c r="PNM1" s="124"/>
      <c r="PNN1" s="124"/>
      <c r="PNO1" s="124"/>
      <c r="PNP1" s="124"/>
      <c r="PNQ1" s="124"/>
      <c r="PNR1" s="124"/>
      <c r="PNS1" s="124"/>
      <c r="PNT1" s="124"/>
      <c r="PNU1" s="124"/>
      <c r="PNV1" s="124"/>
      <c r="PNW1" s="124"/>
      <c r="PNX1" s="124"/>
      <c r="PNY1" s="124"/>
      <c r="PNZ1" s="124"/>
      <c r="POA1" s="124"/>
      <c r="POB1" s="124"/>
      <c r="POC1" s="124"/>
      <c r="POD1" s="124"/>
      <c r="POE1" s="124"/>
      <c r="POF1" s="124"/>
      <c r="POG1" s="124"/>
      <c r="POH1" s="124"/>
      <c r="POI1" s="124"/>
      <c r="POJ1" s="124"/>
      <c r="POK1" s="124"/>
      <c r="POL1" s="124"/>
      <c r="POM1" s="124"/>
      <c r="PON1" s="124"/>
      <c r="POO1" s="124"/>
      <c r="POP1" s="124"/>
      <c r="POQ1" s="124"/>
      <c r="POR1" s="124"/>
      <c r="POS1" s="124"/>
      <c r="POT1" s="124"/>
      <c r="POU1" s="124"/>
      <c r="POV1" s="124"/>
      <c r="POW1" s="124"/>
      <c r="POX1" s="124"/>
      <c r="POY1" s="124"/>
      <c r="POZ1" s="124"/>
      <c r="PPA1" s="124"/>
      <c r="PPB1" s="124"/>
      <c r="PPC1" s="124"/>
      <c r="PPD1" s="124"/>
      <c r="PPE1" s="124"/>
      <c r="PPF1" s="124"/>
      <c r="PPG1" s="124"/>
      <c r="PPH1" s="124"/>
      <c r="PPI1" s="124"/>
      <c r="PPJ1" s="124"/>
      <c r="PPK1" s="124"/>
      <c r="PPL1" s="124"/>
      <c r="PPM1" s="124"/>
      <c r="PPN1" s="124"/>
      <c r="PPO1" s="124"/>
      <c r="PPP1" s="124"/>
      <c r="PPQ1" s="124"/>
      <c r="PPR1" s="124"/>
      <c r="PPS1" s="124"/>
      <c r="PPT1" s="124"/>
      <c r="PPU1" s="124"/>
      <c r="PPV1" s="124"/>
      <c r="PPW1" s="124"/>
      <c r="PPX1" s="124"/>
      <c r="PPY1" s="124"/>
      <c r="PPZ1" s="124"/>
      <c r="PQA1" s="124"/>
      <c r="PQB1" s="124"/>
      <c r="PQC1" s="124"/>
      <c r="PQD1" s="124"/>
      <c r="PQE1" s="124"/>
      <c r="PQF1" s="124"/>
      <c r="PQG1" s="124"/>
      <c r="PQH1" s="124"/>
      <c r="PQI1" s="124"/>
      <c r="PQJ1" s="124"/>
      <c r="PQK1" s="124"/>
      <c r="PQL1" s="124"/>
      <c r="PQM1" s="124"/>
      <c r="PQN1" s="124"/>
      <c r="PQO1" s="124"/>
      <c r="PQP1" s="124"/>
      <c r="PQQ1" s="124"/>
      <c r="PQR1" s="124"/>
      <c r="PQS1" s="124"/>
      <c r="PQT1" s="124"/>
      <c r="PQU1" s="124"/>
      <c r="PQV1" s="124"/>
      <c r="PQW1" s="124"/>
      <c r="PQX1" s="124"/>
      <c r="PQY1" s="124"/>
      <c r="PQZ1" s="124"/>
      <c r="PRA1" s="124"/>
      <c r="PRB1" s="124"/>
      <c r="PRC1" s="124"/>
      <c r="PRD1" s="124"/>
      <c r="PRE1" s="124"/>
      <c r="PRF1" s="124"/>
      <c r="PRG1" s="124"/>
      <c r="PRH1" s="124"/>
      <c r="PRI1" s="124"/>
      <c r="PRJ1" s="124"/>
      <c r="PRK1" s="124"/>
      <c r="PRL1" s="124"/>
      <c r="PRM1" s="124"/>
      <c r="PRN1" s="124"/>
      <c r="PRO1" s="124"/>
      <c r="PRP1" s="124"/>
      <c r="PRQ1" s="124"/>
      <c r="PRR1" s="124"/>
      <c r="PRS1" s="124"/>
      <c r="PRT1" s="124"/>
      <c r="PRU1" s="124"/>
      <c r="PRV1" s="124"/>
      <c r="PRW1" s="124"/>
      <c r="PRX1" s="124"/>
      <c r="PRY1" s="124"/>
      <c r="PRZ1" s="124"/>
      <c r="PSA1" s="124"/>
      <c r="PSB1" s="124"/>
      <c r="PSC1" s="124"/>
      <c r="PSD1" s="124"/>
      <c r="PSE1" s="124"/>
      <c r="PSF1" s="124"/>
      <c r="PSG1" s="124"/>
      <c r="PSH1" s="124"/>
      <c r="PSI1" s="124"/>
      <c r="PSJ1" s="124"/>
      <c r="PSK1" s="124"/>
      <c r="PSL1" s="124"/>
      <c r="PSM1" s="124"/>
      <c r="PSN1" s="124"/>
      <c r="PSO1" s="124"/>
      <c r="PSP1" s="124"/>
      <c r="PSQ1" s="124"/>
      <c r="PSR1" s="124"/>
      <c r="PSS1" s="124"/>
      <c r="PST1" s="124"/>
      <c r="PSU1" s="124"/>
      <c r="PSV1" s="124"/>
      <c r="PSW1" s="124"/>
      <c r="PSX1" s="124"/>
      <c r="PSY1" s="124"/>
      <c r="PSZ1" s="124"/>
      <c r="PTA1" s="124"/>
      <c r="PTB1" s="124"/>
      <c r="PTC1" s="124"/>
      <c r="PTD1" s="124"/>
      <c r="PTE1" s="124"/>
      <c r="PTF1" s="124"/>
      <c r="PTG1" s="124"/>
      <c r="PTH1" s="124"/>
      <c r="PTI1" s="124"/>
      <c r="PTJ1" s="124"/>
      <c r="PTK1" s="124"/>
      <c r="PTL1" s="124"/>
      <c r="PTM1" s="124"/>
      <c r="PTN1" s="124"/>
      <c r="PTO1" s="124"/>
      <c r="PTP1" s="124"/>
      <c r="PTQ1" s="124"/>
      <c r="PTR1" s="124"/>
      <c r="PTS1" s="124"/>
      <c r="PTT1" s="124"/>
      <c r="PTU1" s="124"/>
      <c r="PTV1" s="124"/>
      <c r="PTW1" s="124"/>
      <c r="PTX1" s="124"/>
      <c r="PTY1" s="124"/>
      <c r="PTZ1" s="124"/>
      <c r="PUA1" s="124"/>
      <c r="PUB1" s="124"/>
      <c r="PUC1" s="124"/>
      <c r="PUD1" s="124"/>
      <c r="PUE1" s="124"/>
      <c r="PUF1" s="124"/>
      <c r="PUG1" s="124"/>
      <c r="PUH1" s="124"/>
      <c r="PUI1" s="124"/>
      <c r="PUJ1" s="124"/>
      <c r="PUK1" s="124"/>
      <c r="PUL1" s="124"/>
      <c r="PUM1" s="124"/>
      <c r="PUN1" s="124"/>
      <c r="PUO1" s="124"/>
      <c r="PUP1" s="124"/>
      <c r="PUQ1" s="124"/>
      <c r="PUR1" s="124"/>
      <c r="PUS1" s="124"/>
      <c r="PUT1" s="124"/>
      <c r="PUU1" s="124"/>
      <c r="PUV1" s="124"/>
      <c r="PUW1" s="124"/>
      <c r="PUX1" s="124"/>
      <c r="PUY1" s="124"/>
      <c r="PUZ1" s="124"/>
      <c r="PVA1" s="124"/>
      <c r="PVB1" s="124"/>
      <c r="PVC1" s="124"/>
      <c r="PVD1" s="124"/>
      <c r="PVE1" s="124"/>
      <c r="PVF1" s="124"/>
      <c r="PVG1" s="124"/>
      <c r="PVH1" s="124"/>
      <c r="PVI1" s="124"/>
      <c r="PVJ1" s="124"/>
      <c r="PVK1" s="124"/>
      <c r="PVL1" s="124"/>
      <c r="PVM1" s="124"/>
      <c r="PVN1" s="124"/>
      <c r="PVO1" s="124"/>
      <c r="PVP1" s="124"/>
      <c r="PVQ1" s="124"/>
      <c r="PVR1" s="124"/>
      <c r="PVS1" s="124"/>
      <c r="PVT1" s="124"/>
      <c r="PVU1" s="124"/>
      <c r="PVV1" s="124"/>
      <c r="PVW1" s="124"/>
      <c r="PVX1" s="124"/>
      <c r="PVY1" s="124"/>
      <c r="PVZ1" s="124"/>
      <c r="PWA1" s="124"/>
      <c r="PWB1" s="124"/>
      <c r="PWC1" s="124"/>
      <c r="PWD1" s="124"/>
      <c r="PWE1" s="124"/>
      <c r="PWF1" s="124"/>
      <c r="PWG1" s="124"/>
      <c r="PWH1" s="124"/>
      <c r="PWI1" s="124"/>
      <c r="PWJ1" s="124"/>
      <c r="PWK1" s="124"/>
      <c r="PWL1" s="124"/>
      <c r="PWM1" s="124"/>
      <c r="PWN1" s="124"/>
      <c r="PWO1" s="124"/>
      <c r="PWP1" s="124"/>
      <c r="PWQ1" s="124"/>
      <c r="PWR1" s="124"/>
      <c r="PWS1" s="124"/>
      <c r="PWT1" s="124"/>
      <c r="PWU1" s="124"/>
      <c r="PWV1" s="124"/>
      <c r="PWW1" s="124"/>
      <c r="PWX1" s="124"/>
      <c r="PWY1" s="124"/>
      <c r="PWZ1" s="124"/>
      <c r="PXA1" s="124"/>
      <c r="PXB1" s="124"/>
      <c r="PXC1" s="124"/>
      <c r="PXD1" s="124"/>
      <c r="PXE1" s="124"/>
      <c r="PXF1" s="124"/>
      <c r="PXG1" s="124"/>
      <c r="PXH1" s="124"/>
      <c r="PXI1" s="124"/>
      <c r="PXJ1" s="124"/>
      <c r="PXK1" s="124"/>
      <c r="PXL1" s="124"/>
      <c r="PXM1" s="124"/>
      <c r="PXN1" s="124"/>
      <c r="PXO1" s="124"/>
      <c r="PXP1" s="124"/>
      <c r="PXQ1" s="124"/>
      <c r="PXR1" s="124"/>
      <c r="PXS1" s="124"/>
      <c r="PXT1" s="124"/>
      <c r="PXU1" s="124"/>
      <c r="PXV1" s="124"/>
      <c r="PXW1" s="124"/>
      <c r="PXX1" s="124"/>
      <c r="PXY1" s="124"/>
      <c r="PXZ1" s="124"/>
      <c r="PYA1" s="124"/>
      <c r="PYB1" s="124"/>
      <c r="PYC1" s="124"/>
      <c r="PYD1" s="124"/>
      <c r="PYE1" s="124"/>
      <c r="PYF1" s="124"/>
      <c r="PYG1" s="124"/>
      <c r="PYH1" s="124"/>
      <c r="PYI1" s="124"/>
      <c r="PYJ1" s="124"/>
      <c r="PYK1" s="124"/>
      <c r="PYL1" s="124"/>
      <c r="PYM1" s="124"/>
      <c r="PYN1" s="124"/>
      <c r="PYO1" s="124"/>
      <c r="PYP1" s="124"/>
      <c r="PYQ1" s="124"/>
      <c r="PYR1" s="124"/>
      <c r="PYS1" s="124"/>
      <c r="PYT1" s="124"/>
      <c r="PYU1" s="124"/>
      <c r="PYV1" s="124"/>
      <c r="PYW1" s="124"/>
      <c r="PYX1" s="124"/>
      <c r="PYY1" s="124"/>
      <c r="PYZ1" s="124"/>
      <c r="PZA1" s="124"/>
      <c r="PZB1" s="124"/>
      <c r="PZC1" s="124"/>
      <c r="PZD1" s="124"/>
      <c r="PZE1" s="124"/>
      <c r="PZF1" s="124"/>
      <c r="PZG1" s="124"/>
      <c r="PZH1" s="124"/>
      <c r="PZI1" s="124"/>
      <c r="PZJ1" s="124"/>
      <c r="PZK1" s="124"/>
      <c r="PZL1" s="124"/>
      <c r="PZM1" s="124"/>
      <c r="PZN1" s="124"/>
      <c r="PZO1" s="124"/>
      <c r="PZP1" s="124"/>
      <c r="PZQ1" s="124"/>
      <c r="PZR1" s="124"/>
      <c r="PZS1" s="124"/>
      <c r="PZT1" s="124"/>
      <c r="PZU1" s="124"/>
      <c r="PZV1" s="124"/>
      <c r="PZW1" s="124"/>
      <c r="PZX1" s="124"/>
      <c r="PZY1" s="124"/>
      <c r="PZZ1" s="124"/>
      <c r="QAA1" s="124"/>
      <c r="QAB1" s="124"/>
      <c r="QAC1" s="124"/>
      <c r="QAD1" s="124"/>
      <c r="QAE1" s="124"/>
      <c r="QAF1" s="124"/>
      <c r="QAG1" s="124"/>
      <c r="QAH1" s="124"/>
      <c r="QAI1" s="124"/>
      <c r="QAJ1" s="124"/>
      <c r="QAK1" s="124"/>
      <c r="QAL1" s="124"/>
      <c r="QAM1" s="124"/>
      <c r="QAN1" s="124"/>
      <c r="QAO1" s="124"/>
      <c r="QAP1" s="124"/>
      <c r="QAQ1" s="124"/>
      <c r="QAR1" s="124"/>
      <c r="QAS1" s="124"/>
      <c r="QAT1" s="124"/>
      <c r="QAU1" s="124"/>
      <c r="QAV1" s="124"/>
      <c r="QAW1" s="124"/>
      <c r="QAX1" s="124"/>
      <c r="QAY1" s="124"/>
      <c r="QAZ1" s="124"/>
      <c r="QBA1" s="124"/>
      <c r="QBB1" s="124"/>
      <c r="QBC1" s="124"/>
      <c r="QBD1" s="124"/>
      <c r="QBE1" s="124"/>
      <c r="QBF1" s="124"/>
      <c r="QBG1" s="124"/>
      <c r="QBH1" s="124"/>
      <c r="QBI1" s="124"/>
      <c r="QBJ1" s="124"/>
      <c r="QBK1" s="124"/>
      <c r="QBL1" s="124"/>
      <c r="QBM1" s="124"/>
      <c r="QBN1" s="124"/>
      <c r="QBO1" s="124"/>
      <c r="QBP1" s="124"/>
      <c r="QBQ1" s="124"/>
      <c r="QBR1" s="124"/>
      <c r="QBS1" s="124"/>
      <c r="QBT1" s="124"/>
      <c r="QBU1" s="124"/>
      <c r="QBV1" s="124"/>
      <c r="QBW1" s="124"/>
      <c r="QBX1" s="124"/>
      <c r="QBY1" s="124"/>
      <c r="QBZ1" s="124"/>
      <c r="QCA1" s="124"/>
      <c r="QCB1" s="124"/>
      <c r="QCC1" s="124"/>
      <c r="QCD1" s="124"/>
      <c r="QCE1" s="124"/>
      <c r="QCF1" s="124"/>
      <c r="QCG1" s="124"/>
      <c r="QCH1" s="124"/>
      <c r="QCI1" s="124"/>
      <c r="QCJ1" s="124"/>
      <c r="QCK1" s="124"/>
      <c r="QCL1" s="124"/>
      <c r="QCM1" s="124"/>
      <c r="QCN1" s="124"/>
      <c r="QCO1" s="124"/>
      <c r="QCP1" s="124"/>
      <c r="QCQ1" s="124"/>
      <c r="QCR1" s="124"/>
      <c r="QCS1" s="124"/>
      <c r="QCT1" s="124"/>
      <c r="QCU1" s="124"/>
      <c r="QCV1" s="124"/>
      <c r="QCW1" s="124"/>
      <c r="QCX1" s="124"/>
      <c r="QCY1" s="124"/>
      <c r="QCZ1" s="124"/>
      <c r="QDA1" s="124"/>
      <c r="QDB1" s="124"/>
      <c r="QDC1" s="124"/>
      <c r="QDD1" s="124"/>
      <c r="QDE1" s="124"/>
      <c r="QDF1" s="124"/>
      <c r="QDG1" s="124"/>
      <c r="QDH1" s="124"/>
      <c r="QDI1" s="124"/>
      <c r="QDJ1" s="124"/>
      <c r="QDK1" s="124"/>
      <c r="QDL1" s="124"/>
      <c r="QDM1" s="124"/>
      <c r="QDN1" s="124"/>
      <c r="QDO1" s="124"/>
      <c r="QDP1" s="124"/>
      <c r="QDQ1" s="124"/>
      <c r="QDR1" s="124"/>
      <c r="QDS1" s="124"/>
      <c r="QDT1" s="124"/>
      <c r="QDU1" s="124"/>
      <c r="QDV1" s="124"/>
      <c r="QDW1" s="124"/>
      <c r="QDX1" s="124"/>
      <c r="QDY1" s="124"/>
      <c r="QDZ1" s="124"/>
      <c r="QEA1" s="124"/>
      <c r="QEB1" s="124"/>
      <c r="QEC1" s="124"/>
      <c r="QED1" s="124"/>
      <c r="QEE1" s="124"/>
      <c r="QEF1" s="124"/>
      <c r="QEG1" s="124"/>
      <c r="QEH1" s="124"/>
      <c r="QEI1" s="124"/>
      <c r="QEJ1" s="124"/>
      <c r="QEK1" s="124"/>
      <c r="QEL1" s="124"/>
      <c r="QEM1" s="124"/>
      <c r="QEN1" s="124"/>
      <c r="QEO1" s="124"/>
      <c r="QEP1" s="124"/>
      <c r="QEQ1" s="124"/>
      <c r="QER1" s="124"/>
      <c r="QES1" s="124"/>
      <c r="QET1" s="124"/>
      <c r="QEU1" s="124"/>
      <c r="QEV1" s="124"/>
      <c r="QEW1" s="124"/>
      <c r="QEX1" s="124"/>
      <c r="QEY1" s="124"/>
      <c r="QEZ1" s="124"/>
      <c r="QFA1" s="124"/>
      <c r="QFB1" s="124"/>
      <c r="QFC1" s="124"/>
      <c r="QFD1" s="124"/>
      <c r="QFE1" s="124"/>
      <c r="QFF1" s="124"/>
      <c r="QFG1" s="124"/>
      <c r="QFH1" s="124"/>
      <c r="QFI1" s="124"/>
      <c r="QFJ1" s="124"/>
      <c r="QFK1" s="124"/>
      <c r="QFL1" s="124"/>
      <c r="QFM1" s="124"/>
      <c r="QFN1" s="124"/>
      <c r="QFO1" s="124"/>
      <c r="QFP1" s="124"/>
      <c r="QFQ1" s="124"/>
      <c r="QFR1" s="124"/>
      <c r="QFS1" s="124"/>
      <c r="QFT1" s="124"/>
      <c r="QFU1" s="124"/>
      <c r="QFV1" s="124"/>
      <c r="QFW1" s="124"/>
      <c r="QFX1" s="124"/>
      <c r="QFY1" s="124"/>
      <c r="QFZ1" s="124"/>
      <c r="QGA1" s="124"/>
      <c r="QGB1" s="124"/>
      <c r="QGC1" s="124"/>
      <c r="QGD1" s="124"/>
      <c r="QGE1" s="124"/>
      <c r="QGF1" s="124"/>
      <c r="QGG1" s="124"/>
      <c r="QGH1" s="124"/>
      <c r="QGI1" s="124"/>
      <c r="QGJ1" s="124"/>
      <c r="QGK1" s="124"/>
      <c r="QGL1" s="124"/>
      <c r="QGM1" s="124"/>
      <c r="QGN1" s="124"/>
      <c r="QGO1" s="124"/>
      <c r="QGP1" s="124"/>
      <c r="QGQ1" s="124"/>
      <c r="QGR1" s="124"/>
      <c r="QGS1" s="124"/>
      <c r="QGT1" s="124"/>
      <c r="QGU1" s="124"/>
      <c r="QGV1" s="124"/>
      <c r="QGW1" s="124"/>
      <c r="QGX1" s="124"/>
      <c r="QGY1" s="124"/>
      <c r="QGZ1" s="124"/>
      <c r="QHA1" s="124"/>
      <c r="QHB1" s="124"/>
      <c r="QHC1" s="124"/>
      <c r="QHD1" s="124"/>
      <c r="QHE1" s="124"/>
      <c r="QHF1" s="124"/>
      <c r="QHG1" s="124"/>
      <c r="QHH1" s="124"/>
      <c r="QHI1" s="124"/>
      <c r="QHJ1" s="124"/>
      <c r="QHK1" s="124"/>
      <c r="QHL1" s="124"/>
      <c r="QHM1" s="124"/>
      <c r="QHN1" s="124"/>
      <c r="QHO1" s="124"/>
      <c r="QHP1" s="124"/>
      <c r="QHQ1" s="124"/>
      <c r="QHR1" s="124"/>
      <c r="QHS1" s="124"/>
      <c r="QHT1" s="124"/>
      <c r="QHU1" s="124"/>
      <c r="QHV1" s="124"/>
      <c r="QHW1" s="124"/>
      <c r="QHX1" s="124"/>
      <c r="QHY1" s="124"/>
      <c r="QHZ1" s="124"/>
      <c r="QIA1" s="124"/>
      <c r="QIB1" s="124"/>
      <c r="QIC1" s="124"/>
      <c r="QID1" s="124"/>
      <c r="QIE1" s="124"/>
      <c r="QIF1" s="124"/>
      <c r="QIG1" s="124"/>
      <c r="QIH1" s="124"/>
      <c r="QII1" s="124"/>
      <c r="QIJ1" s="124"/>
      <c r="QIK1" s="124"/>
      <c r="QIL1" s="124"/>
      <c r="QIM1" s="124"/>
      <c r="QIN1" s="124"/>
      <c r="QIO1" s="124"/>
      <c r="QIP1" s="124"/>
      <c r="QIQ1" s="124"/>
      <c r="QIR1" s="124"/>
      <c r="QIS1" s="124"/>
      <c r="QIT1" s="124"/>
      <c r="QIU1" s="124"/>
      <c r="QIV1" s="124"/>
      <c r="QIW1" s="124"/>
      <c r="QIX1" s="124"/>
      <c r="QIY1" s="124"/>
      <c r="QIZ1" s="124"/>
      <c r="QJA1" s="124"/>
      <c r="QJB1" s="124"/>
      <c r="QJC1" s="124"/>
      <c r="QJD1" s="124"/>
      <c r="QJE1" s="124"/>
      <c r="QJF1" s="124"/>
      <c r="QJG1" s="124"/>
      <c r="QJH1" s="124"/>
      <c r="QJI1" s="124"/>
      <c r="QJJ1" s="124"/>
      <c r="QJK1" s="124"/>
      <c r="QJL1" s="124"/>
      <c r="QJM1" s="124"/>
      <c r="QJN1" s="124"/>
      <c r="QJO1" s="124"/>
      <c r="QJP1" s="124"/>
      <c r="QJQ1" s="124"/>
      <c r="QJR1" s="124"/>
      <c r="QJS1" s="124"/>
      <c r="QJT1" s="124"/>
      <c r="QJU1" s="124"/>
      <c r="QJV1" s="124"/>
      <c r="QJW1" s="124"/>
      <c r="QJX1" s="124"/>
      <c r="QJY1" s="124"/>
      <c r="QJZ1" s="124"/>
      <c r="QKA1" s="124"/>
      <c r="QKB1" s="124"/>
      <c r="QKC1" s="124"/>
      <c r="QKD1" s="124"/>
      <c r="QKE1" s="124"/>
      <c r="QKF1" s="124"/>
      <c r="QKG1" s="124"/>
      <c r="QKH1" s="124"/>
      <c r="QKI1" s="124"/>
      <c r="QKJ1" s="124"/>
      <c r="QKK1" s="124"/>
      <c r="QKL1" s="124"/>
      <c r="QKM1" s="124"/>
      <c r="QKN1" s="124"/>
      <c r="QKO1" s="124"/>
      <c r="QKP1" s="124"/>
      <c r="QKQ1" s="124"/>
      <c r="QKR1" s="124"/>
      <c r="QKS1" s="124"/>
      <c r="QKT1" s="124"/>
      <c r="QKU1" s="124"/>
      <c r="QKV1" s="124"/>
      <c r="QKW1" s="124"/>
      <c r="QKX1" s="124"/>
      <c r="QKY1" s="124"/>
      <c r="QKZ1" s="124"/>
      <c r="QLA1" s="124"/>
      <c r="QLB1" s="124"/>
      <c r="QLC1" s="124"/>
      <c r="QLD1" s="124"/>
      <c r="QLE1" s="124"/>
      <c r="QLF1" s="124"/>
      <c r="QLG1" s="124"/>
      <c r="QLH1" s="124"/>
      <c r="QLI1" s="124"/>
      <c r="QLJ1" s="124"/>
      <c r="QLK1" s="124"/>
      <c r="QLL1" s="124"/>
      <c r="QLM1" s="124"/>
      <c r="QLN1" s="124"/>
      <c r="QLO1" s="124"/>
      <c r="QLP1" s="124"/>
      <c r="QLQ1" s="124"/>
      <c r="QLR1" s="124"/>
      <c r="QLS1" s="124"/>
      <c r="QLT1" s="124"/>
      <c r="QLU1" s="124"/>
      <c r="QLV1" s="124"/>
      <c r="QLW1" s="124"/>
      <c r="QLX1" s="124"/>
      <c r="QLY1" s="124"/>
      <c r="QLZ1" s="124"/>
      <c r="QMA1" s="124"/>
      <c r="QMB1" s="124"/>
      <c r="QMC1" s="124"/>
      <c r="QMD1" s="124"/>
      <c r="QME1" s="124"/>
      <c r="QMF1" s="124"/>
      <c r="QMG1" s="124"/>
      <c r="QMH1" s="124"/>
      <c r="QMI1" s="124"/>
      <c r="QMJ1" s="124"/>
      <c r="QMK1" s="124"/>
      <c r="QML1" s="124"/>
      <c r="QMM1" s="124"/>
      <c r="QMN1" s="124"/>
      <c r="QMO1" s="124"/>
      <c r="QMP1" s="124"/>
      <c r="QMQ1" s="124"/>
      <c r="QMR1" s="124"/>
      <c r="QMS1" s="124"/>
      <c r="QMT1" s="124"/>
      <c r="QMU1" s="124"/>
      <c r="QMV1" s="124"/>
      <c r="QMW1" s="124"/>
      <c r="QMX1" s="124"/>
      <c r="QMY1" s="124"/>
      <c r="QMZ1" s="124"/>
      <c r="QNA1" s="124"/>
      <c r="QNB1" s="124"/>
      <c r="QNC1" s="124"/>
      <c r="QND1" s="124"/>
      <c r="QNE1" s="124"/>
      <c r="QNF1" s="124"/>
      <c r="QNG1" s="124"/>
      <c r="QNH1" s="124"/>
      <c r="QNI1" s="124"/>
      <c r="QNJ1" s="124"/>
      <c r="QNK1" s="124"/>
      <c r="QNL1" s="124"/>
      <c r="QNM1" s="124"/>
      <c r="QNN1" s="124"/>
      <c r="QNO1" s="124"/>
      <c r="QNP1" s="124"/>
      <c r="QNQ1" s="124"/>
      <c r="QNR1" s="124"/>
      <c r="QNS1" s="124"/>
      <c r="QNT1" s="124"/>
      <c r="QNU1" s="124"/>
      <c r="QNV1" s="124"/>
      <c r="QNW1" s="124"/>
      <c r="QNX1" s="124"/>
      <c r="QNY1" s="124"/>
      <c r="QNZ1" s="124"/>
      <c r="QOA1" s="124"/>
      <c r="QOB1" s="124"/>
      <c r="QOC1" s="124"/>
      <c r="QOD1" s="124"/>
      <c r="QOE1" s="124"/>
      <c r="QOF1" s="124"/>
      <c r="QOG1" s="124"/>
      <c r="QOH1" s="124"/>
      <c r="QOI1" s="124"/>
      <c r="QOJ1" s="124"/>
      <c r="QOK1" s="124"/>
      <c r="QOL1" s="124"/>
      <c r="QOM1" s="124"/>
      <c r="QON1" s="124"/>
      <c r="QOO1" s="124"/>
      <c r="QOP1" s="124"/>
      <c r="QOQ1" s="124"/>
      <c r="QOR1" s="124"/>
      <c r="QOS1" s="124"/>
      <c r="QOT1" s="124"/>
      <c r="QOU1" s="124"/>
      <c r="QOV1" s="124"/>
      <c r="QOW1" s="124"/>
      <c r="QOX1" s="124"/>
      <c r="QOY1" s="124"/>
      <c r="QOZ1" s="124"/>
      <c r="QPA1" s="124"/>
      <c r="QPB1" s="124"/>
      <c r="QPC1" s="124"/>
      <c r="QPD1" s="124"/>
      <c r="QPE1" s="124"/>
      <c r="QPF1" s="124"/>
      <c r="QPG1" s="124"/>
      <c r="QPH1" s="124"/>
      <c r="QPI1" s="124"/>
      <c r="QPJ1" s="124"/>
      <c r="QPK1" s="124"/>
      <c r="QPL1" s="124"/>
      <c r="QPM1" s="124"/>
      <c r="QPN1" s="124"/>
      <c r="QPO1" s="124"/>
      <c r="QPP1" s="124"/>
      <c r="QPQ1" s="124"/>
      <c r="QPR1" s="124"/>
      <c r="QPS1" s="124"/>
      <c r="QPT1" s="124"/>
      <c r="QPU1" s="124"/>
      <c r="QPV1" s="124"/>
      <c r="QPW1" s="124"/>
      <c r="QPX1" s="124"/>
      <c r="QPY1" s="124"/>
      <c r="QPZ1" s="124"/>
      <c r="QQA1" s="124"/>
      <c r="QQB1" s="124"/>
      <c r="QQC1" s="124"/>
      <c r="QQD1" s="124"/>
      <c r="QQE1" s="124"/>
      <c r="QQF1" s="124"/>
      <c r="QQG1" s="124"/>
      <c r="QQH1" s="124"/>
      <c r="QQI1" s="124"/>
      <c r="QQJ1" s="124"/>
      <c r="QQK1" s="124"/>
      <c r="QQL1" s="124"/>
      <c r="QQM1" s="124"/>
      <c r="QQN1" s="124"/>
      <c r="QQO1" s="124"/>
      <c r="QQP1" s="124"/>
      <c r="QQQ1" s="124"/>
      <c r="QQR1" s="124"/>
      <c r="QQS1" s="124"/>
      <c r="QQT1" s="124"/>
      <c r="QQU1" s="124"/>
      <c r="QQV1" s="124"/>
      <c r="QQW1" s="124"/>
      <c r="QQX1" s="124"/>
      <c r="QQY1" s="124"/>
      <c r="QQZ1" s="124"/>
      <c r="QRA1" s="124"/>
      <c r="QRB1" s="124"/>
      <c r="QRC1" s="124"/>
      <c r="QRD1" s="124"/>
      <c r="QRE1" s="124"/>
      <c r="QRF1" s="124"/>
      <c r="QRG1" s="124"/>
      <c r="QRH1" s="124"/>
      <c r="QRI1" s="124"/>
      <c r="QRJ1" s="124"/>
      <c r="QRK1" s="124"/>
      <c r="QRL1" s="124"/>
      <c r="QRM1" s="124"/>
      <c r="QRN1" s="124"/>
      <c r="QRO1" s="124"/>
      <c r="QRP1" s="124"/>
      <c r="QRQ1" s="124"/>
      <c r="QRR1" s="124"/>
      <c r="QRS1" s="124"/>
      <c r="QRT1" s="124"/>
      <c r="QRU1" s="124"/>
      <c r="QRV1" s="124"/>
      <c r="QRW1" s="124"/>
      <c r="QRX1" s="124"/>
      <c r="QRY1" s="124"/>
      <c r="QRZ1" s="124"/>
      <c r="QSA1" s="124"/>
      <c r="QSB1" s="124"/>
      <c r="QSC1" s="124"/>
      <c r="QSD1" s="124"/>
      <c r="QSE1" s="124"/>
      <c r="QSF1" s="124"/>
      <c r="QSG1" s="124"/>
      <c r="QSH1" s="124"/>
      <c r="QSI1" s="124"/>
      <c r="QSJ1" s="124"/>
      <c r="QSK1" s="124"/>
      <c r="QSL1" s="124"/>
      <c r="QSM1" s="124"/>
      <c r="QSN1" s="124"/>
      <c r="QSO1" s="124"/>
      <c r="QSP1" s="124"/>
      <c r="QSQ1" s="124"/>
      <c r="QSR1" s="124"/>
      <c r="QSS1" s="124"/>
      <c r="QST1" s="124"/>
      <c r="QSU1" s="124"/>
      <c r="QSV1" s="124"/>
      <c r="QSW1" s="124"/>
      <c r="QSX1" s="124"/>
      <c r="QSY1" s="124"/>
      <c r="QSZ1" s="124"/>
      <c r="QTA1" s="124"/>
      <c r="QTB1" s="124"/>
      <c r="QTC1" s="124"/>
      <c r="QTD1" s="124"/>
      <c r="QTE1" s="124"/>
      <c r="QTF1" s="124"/>
      <c r="QTG1" s="124"/>
      <c r="QTH1" s="124"/>
      <c r="QTI1" s="124"/>
      <c r="QTJ1" s="124"/>
      <c r="QTK1" s="124"/>
      <c r="QTL1" s="124"/>
      <c r="QTM1" s="124"/>
      <c r="QTN1" s="124"/>
      <c r="QTO1" s="124"/>
      <c r="QTP1" s="124"/>
      <c r="QTQ1" s="124"/>
      <c r="QTR1" s="124"/>
      <c r="QTS1" s="124"/>
      <c r="QTT1" s="124"/>
      <c r="QTU1" s="124"/>
      <c r="QTV1" s="124"/>
      <c r="QTW1" s="124"/>
      <c r="QTX1" s="124"/>
      <c r="QTY1" s="124"/>
      <c r="QTZ1" s="124"/>
      <c r="QUA1" s="124"/>
      <c r="QUB1" s="124"/>
      <c r="QUC1" s="124"/>
      <c r="QUD1" s="124"/>
      <c r="QUE1" s="124"/>
      <c r="QUF1" s="124"/>
      <c r="QUG1" s="124"/>
      <c r="QUH1" s="124"/>
      <c r="QUI1" s="124"/>
      <c r="QUJ1" s="124"/>
      <c r="QUK1" s="124"/>
      <c r="QUL1" s="124"/>
      <c r="QUM1" s="124"/>
      <c r="QUN1" s="124"/>
      <c r="QUO1" s="124"/>
      <c r="QUP1" s="124"/>
      <c r="QUQ1" s="124"/>
      <c r="QUR1" s="124"/>
      <c r="QUS1" s="124"/>
      <c r="QUT1" s="124"/>
      <c r="QUU1" s="124"/>
      <c r="QUV1" s="124"/>
      <c r="QUW1" s="124"/>
      <c r="QUX1" s="124"/>
      <c r="QUY1" s="124"/>
      <c r="QUZ1" s="124"/>
      <c r="QVA1" s="124"/>
      <c r="QVB1" s="124"/>
      <c r="QVC1" s="124"/>
      <c r="QVD1" s="124"/>
      <c r="QVE1" s="124"/>
      <c r="QVF1" s="124"/>
      <c r="QVG1" s="124"/>
      <c r="QVH1" s="124"/>
      <c r="QVI1" s="124"/>
      <c r="QVJ1" s="124"/>
      <c r="QVK1" s="124"/>
      <c r="QVL1" s="124"/>
      <c r="QVM1" s="124"/>
      <c r="QVN1" s="124"/>
      <c r="QVO1" s="124"/>
      <c r="QVP1" s="124"/>
      <c r="QVQ1" s="124"/>
      <c r="QVR1" s="124"/>
      <c r="QVS1" s="124"/>
      <c r="QVT1" s="124"/>
      <c r="QVU1" s="124"/>
      <c r="QVV1" s="124"/>
      <c r="QVW1" s="124"/>
      <c r="QVX1" s="124"/>
      <c r="QVY1" s="124"/>
      <c r="QVZ1" s="124"/>
      <c r="QWA1" s="124"/>
      <c r="QWB1" s="124"/>
      <c r="QWC1" s="124"/>
      <c r="QWD1" s="124"/>
      <c r="QWE1" s="124"/>
      <c r="QWF1" s="124"/>
      <c r="QWG1" s="124"/>
      <c r="QWH1" s="124"/>
      <c r="QWI1" s="124"/>
      <c r="QWJ1" s="124"/>
      <c r="QWK1" s="124"/>
      <c r="QWL1" s="124"/>
      <c r="QWM1" s="124"/>
      <c r="QWN1" s="124"/>
      <c r="QWO1" s="124"/>
      <c r="QWP1" s="124"/>
      <c r="QWQ1" s="124"/>
      <c r="QWR1" s="124"/>
      <c r="QWS1" s="124"/>
      <c r="QWT1" s="124"/>
      <c r="QWU1" s="124"/>
      <c r="QWV1" s="124"/>
      <c r="QWW1" s="124"/>
      <c r="QWX1" s="124"/>
      <c r="QWY1" s="124"/>
      <c r="QWZ1" s="124"/>
      <c r="QXA1" s="124"/>
      <c r="QXB1" s="124"/>
      <c r="QXC1" s="124"/>
      <c r="QXD1" s="124"/>
      <c r="QXE1" s="124"/>
      <c r="QXF1" s="124"/>
      <c r="QXG1" s="124"/>
      <c r="QXH1" s="124"/>
      <c r="QXI1" s="124"/>
      <c r="QXJ1" s="124"/>
      <c r="QXK1" s="124"/>
      <c r="QXL1" s="124"/>
      <c r="QXM1" s="124"/>
      <c r="QXN1" s="124"/>
      <c r="QXO1" s="124"/>
      <c r="QXP1" s="124"/>
      <c r="QXQ1" s="124"/>
      <c r="QXR1" s="124"/>
      <c r="QXS1" s="124"/>
      <c r="QXT1" s="124"/>
      <c r="QXU1" s="124"/>
      <c r="QXV1" s="124"/>
      <c r="QXW1" s="124"/>
      <c r="QXX1" s="124"/>
      <c r="QXY1" s="124"/>
      <c r="QXZ1" s="124"/>
      <c r="QYA1" s="124"/>
      <c r="QYB1" s="124"/>
      <c r="QYC1" s="124"/>
      <c r="QYD1" s="124"/>
      <c r="QYE1" s="124"/>
      <c r="QYF1" s="124"/>
      <c r="QYG1" s="124"/>
      <c r="QYH1" s="124"/>
      <c r="QYI1" s="124"/>
      <c r="QYJ1" s="124"/>
      <c r="QYK1" s="124"/>
      <c r="QYL1" s="124"/>
      <c r="QYM1" s="124"/>
      <c r="QYN1" s="124"/>
      <c r="QYO1" s="124"/>
      <c r="QYP1" s="124"/>
      <c r="QYQ1" s="124"/>
      <c r="QYR1" s="124"/>
      <c r="QYS1" s="124"/>
      <c r="QYT1" s="124"/>
      <c r="QYU1" s="124"/>
      <c r="QYV1" s="124"/>
      <c r="QYW1" s="124"/>
      <c r="QYX1" s="124"/>
      <c r="QYY1" s="124"/>
      <c r="QYZ1" s="124"/>
      <c r="QZA1" s="124"/>
      <c r="QZB1" s="124"/>
      <c r="QZC1" s="124"/>
      <c r="QZD1" s="124"/>
      <c r="QZE1" s="124"/>
      <c r="QZF1" s="124"/>
      <c r="QZG1" s="124"/>
      <c r="QZH1" s="124"/>
      <c r="QZI1" s="124"/>
      <c r="QZJ1" s="124"/>
      <c r="QZK1" s="124"/>
      <c r="QZL1" s="124"/>
      <c r="QZM1" s="124"/>
      <c r="QZN1" s="124"/>
      <c r="QZO1" s="124"/>
      <c r="QZP1" s="124"/>
      <c r="QZQ1" s="124"/>
      <c r="QZR1" s="124"/>
      <c r="QZS1" s="124"/>
      <c r="QZT1" s="124"/>
      <c r="QZU1" s="124"/>
      <c r="QZV1" s="124"/>
      <c r="QZW1" s="124"/>
      <c r="QZX1" s="124"/>
      <c r="QZY1" s="124"/>
      <c r="QZZ1" s="124"/>
      <c r="RAA1" s="124"/>
      <c r="RAB1" s="124"/>
      <c r="RAC1" s="124"/>
      <c r="RAD1" s="124"/>
      <c r="RAE1" s="124"/>
      <c r="RAF1" s="124"/>
      <c r="RAG1" s="124"/>
      <c r="RAH1" s="124"/>
      <c r="RAI1" s="124"/>
      <c r="RAJ1" s="124"/>
      <c r="RAK1" s="124"/>
      <c r="RAL1" s="124"/>
      <c r="RAM1" s="124"/>
      <c r="RAN1" s="124"/>
      <c r="RAO1" s="124"/>
      <c r="RAP1" s="124"/>
      <c r="RAQ1" s="124"/>
      <c r="RAR1" s="124"/>
      <c r="RAS1" s="124"/>
      <c r="RAT1" s="124"/>
      <c r="RAU1" s="124"/>
      <c r="RAV1" s="124"/>
      <c r="RAW1" s="124"/>
      <c r="RAX1" s="124"/>
      <c r="RAY1" s="124"/>
      <c r="RAZ1" s="124"/>
      <c r="RBA1" s="124"/>
      <c r="RBB1" s="124"/>
      <c r="RBC1" s="124"/>
      <c r="RBD1" s="124"/>
      <c r="RBE1" s="124"/>
      <c r="RBF1" s="124"/>
      <c r="RBG1" s="124"/>
      <c r="RBH1" s="124"/>
      <c r="RBI1" s="124"/>
      <c r="RBJ1" s="124"/>
      <c r="RBK1" s="124"/>
      <c r="RBL1" s="124"/>
      <c r="RBM1" s="124"/>
      <c r="RBN1" s="124"/>
      <c r="RBO1" s="124"/>
      <c r="RBP1" s="124"/>
      <c r="RBQ1" s="124"/>
      <c r="RBR1" s="124"/>
      <c r="RBS1" s="124"/>
      <c r="RBT1" s="124"/>
      <c r="RBU1" s="124"/>
      <c r="RBV1" s="124"/>
      <c r="RBW1" s="124"/>
      <c r="RBX1" s="124"/>
      <c r="RBY1" s="124"/>
      <c r="RBZ1" s="124"/>
      <c r="RCA1" s="124"/>
      <c r="RCB1" s="124"/>
      <c r="RCC1" s="124"/>
      <c r="RCD1" s="124"/>
      <c r="RCE1" s="124"/>
      <c r="RCF1" s="124"/>
      <c r="RCG1" s="124"/>
      <c r="RCH1" s="124"/>
      <c r="RCI1" s="124"/>
      <c r="RCJ1" s="124"/>
      <c r="RCK1" s="124"/>
      <c r="RCL1" s="124"/>
      <c r="RCM1" s="124"/>
      <c r="RCN1" s="124"/>
      <c r="RCO1" s="124"/>
      <c r="RCP1" s="124"/>
      <c r="RCQ1" s="124"/>
      <c r="RCR1" s="124"/>
      <c r="RCS1" s="124"/>
      <c r="RCT1" s="124"/>
      <c r="RCU1" s="124"/>
      <c r="RCV1" s="124"/>
      <c r="RCW1" s="124"/>
      <c r="RCX1" s="124"/>
      <c r="RCY1" s="124"/>
      <c r="RCZ1" s="124"/>
      <c r="RDA1" s="124"/>
      <c r="RDB1" s="124"/>
      <c r="RDC1" s="124"/>
      <c r="RDD1" s="124"/>
      <c r="RDE1" s="124"/>
      <c r="RDF1" s="124"/>
      <c r="RDG1" s="124"/>
      <c r="RDH1" s="124"/>
      <c r="RDI1" s="124"/>
      <c r="RDJ1" s="124"/>
      <c r="RDK1" s="124"/>
      <c r="RDL1" s="124"/>
      <c r="RDM1" s="124"/>
      <c r="RDN1" s="124"/>
      <c r="RDO1" s="124"/>
      <c r="RDP1" s="124"/>
      <c r="RDQ1" s="124"/>
      <c r="RDR1" s="124"/>
      <c r="RDS1" s="124"/>
      <c r="RDT1" s="124"/>
      <c r="RDU1" s="124"/>
      <c r="RDV1" s="124"/>
      <c r="RDW1" s="124"/>
      <c r="RDX1" s="124"/>
      <c r="RDY1" s="124"/>
      <c r="RDZ1" s="124"/>
      <c r="REA1" s="124"/>
      <c r="REB1" s="124"/>
      <c r="REC1" s="124"/>
      <c r="RED1" s="124"/>
      <c r="REE1" s="124"/>
      <c r="REF1" s="124"/>
      <c r="REG1" s="124"/>
      <c r="REH1" s="124"/>
      <c r="REI1" s="124"/>
      <c r="REJ1" s="124"/>
      <c r="REK1" s="124"/>
      <c r="REL1" s="124"/>
      <c r="REM1" s="124"/>
      <c r="REN1" s="124"/>
      <c r="REO1" s="124"/>
      <c r="REP1" s="124"/>
      <c r="REQ1" s="124"/>
      <c r="RER1" s="124"/>
      <c r="RES1" s="124"/>
      <c r="RET1" s="124"/>
      <c r="REU1" s="124"/>
      <c r="REV1" s="124"/>
      <c r="REW1" s="124"/>
      <c r="REX1" s="124"/>
      <c r="REY1" s="124"/>
      <c r="REZ1" s="124"/>
      <c r="RFA1" s="124"/>
      <c r="RFB1" s="124"/>
      <c r="RFC1" s="124"/>
      <c r="RFD1" s="124"/>
      <c r="RFE1" s="124"/>
      <c r="RFF1" s="124"/>
      <c r="RFG1" s="124"/>
      <c r="RFH1" s="124"/>
      <c r="RFI1" s="124"/>
      <c r="RFJ1" s="124"/>
      <c r="RFK1" s="124"/>
      <c r="RFL1" s="124"/>
      <c r="RFM1" s="124"/>
      <c r="RFN1" s="124"/>
      <c r="RFO1" s="124"/>
      <c r="RFP1" s="124"/>
      <c r="RFQ1" s="124"/>
      <c r="RFR1" s="124"/>
      <c r="RFS1" s="124"/>
      <c r="RFT1" s="124"/>
      <c r="RFU1" s="124"/>
      <c r="RFV1" s="124"/>
      <c r="RFW1" s="124"/>
      <c r="RFX1" s="124"/>
      <c r="RFY1" s="124"/>
      <c r="RFZ1" s="124"/>
      <c r="RGA1" s="124"/>
      <c r="RGB1" s="124"/>
      <c r="RGC1" s="124"/>
      <c r="RGD1" s="124"/>
      <c r="RGE1" s="124"/>
      <c r="RGF1" s="124"/>
      <c r="RGG1" s="124"/>
      <c r="RGH1" s="124"/>
      <c r="RGI1" s="124"/>
      <c r="RGJ1" s="124"/>
      <c r="RGK1" s="124"/>
      <c r="RGL1" s="124"/>
      <c r="RGM1" s="124"/>
      <c r="RGN1" s="124"/>
      <c r="RGO1" s="124"/>
      <c r="RGP1" s="124"/>
      <c r="RGQ1" s="124"/>
      <c r="RGR1" s="124"/>
      <c r="RGS1" s="124"/>
      <c r="RGT1" s="124"/>
      <c r="RGU1" s="124"/>
      <c r="RGV1" s="124"/>
      <c r="RGW1" s="124"/>
      <c r="RGX1" s="124"/>
      <c r="RGY1" s="124"/>
      <c r="RGZ1" s="124"/>
      <c r="RHA1" s="124"/>
      <c r="RHB1" s="124"/>
      <c r="RHC1" s="124"/>
      <c r="RHD1" s="124"/>
      <c r="RHE1" s="124"/>
      <c r="RHF1" s="124"/>
      <c r="RHG1" s="124"/>
      <c r="RHH1" s="124"/>
      <c r="RHI1" s="124"/>
      <c r="RHJ1" s="124"/>
      <c r="RHK1" s="124"/>
      <c r="RHL1" s="124"/>
      <c r="RHM1" s="124"/>
      <c r="RHN1" s="124"/>
      <c r="RHO1" s="124"/>
      <c r="RHP1" s="124"/>
      <c r="RHQ1" s="124"/>
      <c r="RHR1" s="124"/>
      <c r="RHS1" s="124"/>
      <c r="RHT1" s="124"/>
      <c r="RHU1" s="124"/>
      <c r="RHV1" s="124"/>
      <c r="RHW1" s="124"/>
      <c r="RHX1" s="124"/>
      <c r="RHY1" s="124"/>
      <c r="RHZ1" s="124"/>
      <c r="RIA1" s="124"/>
      <c r="RIB1" s="124"/>
      <c r="RIC1" s="124"/>
      <c r="RID1" s="124"/>
      <c r="RIE1" s="124"/>
      <c r="RIF1" s="124"/>
      <c r="RIG1" s="124"/>
      <c r="RIH1" s="124"/>
      <c r="RII1" s="124"/>
      <c r="RIJ1" s="124"/>
      <c r="RIK1" s="124"/>
      <c r="RIL1" s="124"/>
      <c r="RIM1" s="124"/>
      <c r="RIN1" s="124"/>
      <c r="RIO1" s="124"/>
      <c r="RIP1" s="124"/>
      <c r="RIQ1" s="124"/>
      <c r="RIR1" s="124"/>
      <c r="RIS1" s="124"/>
      <c r="RIT1" s="124"/>
      <c r="RIU1" s="124"/>
      <c r="RIV1" s="124"/>
      <c r="RIW1" s="124"/>
      <c r="RIX1" s="124"/>
      <c r="RIY1" s="124"/>
      <c r="RIZ1" s="124"/>
      <c r="RJA1" s="124"/>
      <c r="RJB1" s="124"/>
      <c r="RJC1" s="124"/>
      <c r="RJD1" s="124"/>
      <c r="RJE1" s="124"/>
      <c r="RJF1" s="124"/>
      <c r="RJG1" s="124"/>
      <c r="RJH1" s="124"/>
      <c r="RJI1" s="124"/>
      <c r="RJJ1" s="124"/>
      <c r="RJK1" s="124"/>
      <c r="RJL1" s="124"/>
      <c r="RJM1" s="124"/>
      <c r="RJN1" s="124"/>
      <c r="RJO1" s="124"/>
      <c r="RJP1" s="124"/>
      <c r="RJQ1" s="124"/>
      <c r="RJR1" s="124"/>
      <c r="RJS1" s="124"/>
      <c r="RJT1" s="124"/>
      <c r="RJU1" s="124"/>
      <c r="RJV1" s="124"/>
      <c r="RJW1" s="124"/>
      <c r="RJX1" s="124"/>
      <c r="RJY1" s="124"/>
      <c r="RJZ1" s="124"/>
      <c r="RKA1" s="124"/>
      <c r="RKB1" s="124"/>
      <c r="RKC1" s="124"/>
      <c r="RKD1" s="124"/>
      <c r="RKE1" s="124"/>
      <c r="RKF1" s="124"/>
      <c r="RKG1" s="124"/>
      <c r="RKH1" s="124"/>
      <c r="RKI1" s="124"/>
      <c r="RKJ1" s="124"/>
      <c r="RKK1" s="124"/>
      <c r="RKL1" s="124"/>
      <c r="RKM1" s="124"/>
      <c r="RKN1" s="124"/>
      <c r="RKO1" s="124"/>
      <c r="RKP1" s="124"/>
      <c r="RKQ1" s="124"/>
      <c r="RKR1" s="124"/>
      <c r="RKS1" s="124"/>
      <c r="RKT1" s="124"/>
      <c r="RKU1" s="124"/>
      <c r="RKV1" s="124"/>
      <c r="RKW1" s="124"/>
      <c r="RKX1" s="124"/>
      <c r="RKY1" s="124"/>
      <c r="RKZ1" s="124"/>
      <c r="RLA1" s="124"/>
      <c r="RLB1" s="124"/>
      <c r="RLC1" s="124"/>
      <c r="RLD1" s="124"/>
      <c r="RLE1" s="124"/>
      <c r="RLF1" s="124"/>
      <c r="RLG1" s="124"/>
      <c r="RLH1" s="124"/>
      <c r="RLI1" s="124"/>
      <c r="RLJ1" s="124"/>
      <c r="RLK1" s="124"/>
      <c r="RLL1" s="124"/>
      <c r="RLM1" s="124"/>
      <c r="RLN1" s="124"/>
      <c r="RLO1" s="124"/>
      <c r="RLP1" s="124"/>
      <c r="RLQ1" s="124"/>
      <c r="RLR1" s="124"/>
      <c r="RLS1" s="124"/>
      <c r="RLT1" s="124"/>
      <c r="RLU1" s="124"/>
      <c r="RLV1" s="124"/>
      <c r="RLW1" s="124"/>
      <c r="RLX1" s="124"/>
      <c r="RLY1" s="124"/>
      <c r="RLZ1" s="124"/>
      <c r="RMA1" s="124"/>
      <c r="RMB1" s="124"/>
      <c r="RMC1" s="124"/>
      <c r="RMD1" s="124"/>
      <c r="RME1" s="124"/>
      <c r="RMF1" s="124"/>
      <c r="RMG1" s="124"/>
      <c r="RMH1" s="124"/>
      <c r="RMI1" s="124"/>
      <c r="RMJ1" s="124"/>
      <c r="RMK1" s="124"/>
      <c r="RML1" s="124"/>
      <c r="RMM1" s="124"/>
      <c r="RMN1" s="124"/>
      <c r="RMO1" s="124"/>
      <c r="RMP1" s="124"/>
      <c r="RMQ1" s="124"/>
      <c r="RMR1" s="124"/>
      <c r="RMS1" s="124"/>
      <c r="RMT1" s="124"/>
      <c r="RMU1" s="124"/>
      <c r="RMV1" s="124"/>
      <c r="RMW1" s="124"/>
      <c r="RMX1" s="124"/>
      <c r="RMY1" s="124"/>
      <c r="RMZ1" s="124"/>
      <c r="RNA1" s="124"/>
      <c r="RNB1" s="124"/>
      <c r="RNC1" s="124"/>
      <c r="RND1" s="124"/>
      <c r="RNE1" s="124"/>
      <c r="RNF1" s="124"/>
      <c r="RNG1" s="124"/>
      <c r="RNH1" s="124"/>
      <c r="RNI1" s="124"/>
      <c r="RNJ1" s="124"/>
      <c r="RNK1" s="124"/>
      <c r="RNL1" s="124"/>
      <c r="RNM1" s="124"/>
      <c r="RNN1" s="124"/>
      <c r="RNO1" s="124"/>
      <c r="RNP1" s="124"/>
      <c r="RNQ1" s="124"/>
      <c r="RNR1" s="124"/>
      <c r="RNS1" s="124"/>
      <c r="RNT1" s="124"/>
      <c r="RNU1" s="124"/>
      <c r="RNV1" s="124"/>
      <c r="RNW1" s="124"/>
      <c r="RNX1" s="124"/>
      <c r="RNY1" s="124"/>
      <c r="RNZ1" s="124"/>
      <c r="ROA1" s="124"/>
      <c r="ROB1" s="124"/>
      <c r="ROC1" s="124"/>
      <c r="ROD1" s="124"/>
      <c r="ROE1" s="124"/>
      <c r="ROF1" s="124"/>
      <c r="ROG1" s="124"/>
      <c r="ROH1" s="124"/>
      <c r="ROI1" s="124"/>
      <c r="ROJ1" s="124"/>
      <c r="ROK1" s="124"/>
      <c r="ROL1" s="124"/>
      <c r="ROM1" s="124"/>
      <c r="RON1" s="124"/>
      <c r="ROO1" s="124"/>
      <c r="ROP1" s="124"/>
      <c r="ROQ1" s="124"/>
      <c r="ROR1" s="124"/>
      <c r="ROS1" s="124"/>
      <c r="ROT1" s="124"/>
      <c r="ROU1" s="124"/>
      <c r="ROV1" s="124"/>
      <c r="ROW1" s="124"/>
      <c r="ROX1" s="124"/>
      <c r="ROY1" s="124"/>
      <c r="ROZ1" s="124"/>
      <c r="RPA1" s="124"/>
      <c r="RPB1" s="124"/>
      <c r="RPC1" s="124"/>
      <c r="RPD1" s="124"/>
      <c r="RPE1" s="124"/>
      <c r="RPF1" s="124"/>
      <c r="RPG1" s="124"/>
      <c r="RPH1" s="124"/>
      <c r="RPI1" s="124"/>
      <c r="RPJ1" s="124"/>
      <c r="RPK1" s="124"/>
      <c r="RPL1" s="124"/>
      <c r="RPM1" s="124"/>
      <c r="RPN1" s="124"/>
      <c r="RPO1" s="124"/>
      <c r="RPP1" s="124"/>
      <c r="RPQ1" s="124"/>
      <c r="RPR1" s="124"/>
      <c r="RPS1" s="124"/>
      <c r="RPT1" s="124"/>
      <c r="RPU1" s="124"/>
      <c r="RPV1" s="124"/>
      <c r="RPW1" s="124"/>
      <c r="RPX1" s="124"/>
      <c r="RPY1" s="124"/>
      <c r="RPZ1" s="124"/>
      <c r="RQA1" s="124"/>
      <c r="RQB1" s="124"/>
      <c r="RQC1" s="124"/>
      <c r="RQD1" s="124"/>
      <c r="RQE1" s="124"/>
      <c r="RQF1" s="124"/>
      <c r="RQG1" s="124"/>
      <c r="RQH1" s="124"/>
      <c r="RQI1" s="124"/>
      <c r="RQJ1" s="124"/>
      <c r="RQK1" s="124"/>
      <c r="RQL1" s="124"/>
      <c r="RQM1" s="124"/>
      <c r="RQN1" s="124"/>
      <c r="RQO1" s="124"/>
      <c r="RQP1" s="124"/>
      <c r="RQQ1" s="124"/>
      <c r="RQR1" s="124"/>
      <c r="RQS1" s="124"/>
      <c r="RQT1" s="124"/>
      <c r="RQU1" s="124"/>
      <c r="RQV1" s="124"/>
      <c r="RQW1" s="124"/>
      <c r="RQX1" s="124"/>
      <c r="RQY1" s="124"/>
      <c r="RQZ1" s="124"/>
      <c r="RRA1" s="124"/>
      <c r="RRB1" s="124"/>
      <c r="RRC1" s="124"/>
      <c r="RRD1" s="124"/>
      <c r="RRE1" s="124"/>
      <c r="RRF1" s="124"/>
      <c r="RRG1" s="124"/>
      <c r="RRH1" s="124"/>
      <c r="RRI1" s="124"/>
      <c r="RRJ1" s="124"/>
      <c r="RRK1" s="124"/>
      <c r="RRL1" s="124"/>
      <c r="RRM1" s="124"/>
      <c r="RRN1" s="124"/>
      <c r="RRO1" s="124"/>
      <c r="RRP1" s="124"/>
      <c r="RRQ1" s="124"/>
      <c r="RRR1" s="124"/>
      <c r="RRS1" s="124"/>
      <c r="RRT1" s="124"/>
      <c r="RRU1" s="124"/>
      <c r="RRV1" s="124"/>
      <c r="RRW1" s="124"/>
      <c r="RRX1" s="124"/>
      <c r="RRY1" s="124"/>
      <c r="RRZ1" s="124"/>
      <c r="RSA1" s="124"/>
      <c r="RSB1" s="124"/>
      <c r="RSC1" s="124"/>
      <c r="RSD1" s="124"/>
      <c r="RSE1" s="124"/>
      <c r="RSF1" s="124"/>
      <c r="RSG1" s="124"/>
      <c r="RSH1" s="124"/>
      <c r="RSI1" s="124"/>
      <c r="RSJ1" s="124"/>
      <c r="RSK1" s="124"/>
      <c r="RSL1" s="124"/>
      <c r="RSM1" s="124"/>
      <c r="RSN1" s="124"/>
      <c r="RSO1" s="124"/>
      <c r="RSP1" s="124"/>
      <c r="RSQ1" s="124"/>
      <c r="RSR1" s="124"/>
      <c r="RSS1" s="124"/>
      <c r="RST1" s="124"/>
      <c r="RSU1" s="124"/>
      <c r="RSV1" s="124"/>
      <c r="RSW1" s="124"/>
      <c r="RSX1" s="124"/>
      <c r="RSY1" s="124"/>
      <c r="RSZ1" s="124"/>
      <c r="RTA1" s="124"/>
      <c r="RTB1" s="124"/>
      <c r="RTC1" s="124"/>
      <c r="RTD1" s="124"/>
      <c r="RTE1" s="124"/>
      <c r="RTF1" s="124"/>
      <c r="RTG1" s="124"/>
      <c r="RTH1" s="124"/>
      <c r="RTI1" s="124"/>
      <c r="RTJ1" s="124"/>
      <c r="RTK1" s="124"/>
      <c r="RTL1" s="124"/>
      <c r="RTM1" s="124"/>
      <c r="RTN1" s="124"/>
      <c r="RTO1" s="124"/>
      <c r="RTP1" s="124"/>
      <c r="RTQ1" s="124"/>
      <c r="RTR1" s="124"/>
      <c r="RTS1" s="124"/>
      <c r="RTT1" s="124"/>
      <c r="RTU1" s="124"/>
      <c r="RTV1" s="124"/>
      <c r="RTW1" s="124"/>
      <c r="RTX1" s="124"/>
      <c r="RTY1" s="124"/>
      <c r="RTZ1" s="124"/>
      <c r="RUA1" s="124"/>
      <c r="RUB1" s="124"/>
      <c r="RUC1" s="124"/>
      <c r="RUD1" s="124"/>
      <c r="RUE1" s="124"/>
      <c r="RUF1" s="124"/>
      <c r="RUG1" s="124"/>
      <c r="RUH1" s="124"/>
      <c r="RUI1" s="124"/>
      <c r="RUJ1" s="124"/>
      <c r="RUK1" s="124"/>
      <c r="RUL1" s="124"/>
      <c r="RUM1" s="124"/>
      <c r="RUN1" s="124"/>
      <c r="RUO1" s="124"/>
      <c r="RUP1" s="124"/>
      <c r="RUQ1" s="124"/>
      <c r="RUR1" s="124"/>
      <c r="RUS1" s="124"/>
      <c r="RUT1" s="124"/>
      <c r="RUU1" s="124"/>
      <c r="RUV1" s="124"/>
      <c r="RUW1" s="124"/>
      <c r="RUX1" s="124"/>
      <c r="RUY1" s="124"/>
      <c r="RUZ1" s="124"/>
      <c r="RVA1" s="124"/>
      <c r="RVB1" s="124"/>
      <c r="RVC1" s="124"/>
      <c r="RVD1" s="124"/>
      <c r="RVE1" s="124"/>
      <c r="RVF1" s="124"/>
      <c r="RVG1" s="124"/>
      <c r="RVH1" s="124"/>
      <c r="RVI1" s="124"/>
      <c r="RVJ1" s="124"/>
      <c r="RVK1" s="124"/>
      <c r="RVL1" s="124"/>
      <c r="RVM1" s="124"/>
      <c r="RVN1" s="124"/>
      <c r="RVO1" s="124"/>
      <c r="RVP1" s="124"/>
      <c r="RVQ1" s="124"/>
      <c r="RVR1" s="124"/>
      <c r="RVS1" s="124"/>
      <c r="RVT1" s="124"/>
      <c r="RVU1" s="124"/>
      <c r="RVV1" s="124"/>
      <c r="RVW1" s="124"/>
      <c r="RVX1" s="124"/>
      <c r="RVY1" s="124"/>
      <c r="RVZ1" s="124"/>
      <c r="RWA1" s="124"/>
      <c r="RWB1" s="124"/>
      <c r="RWC1" s="124"/>
      <c r="RWD1" s="124"/>
      <c r="RWE1" s="124"/>
      <c r="RWF1" s="124"/>
      <c r="RWG1" s="124"/>
      <c r="RWH1" s="124"/>
      <c r="RWI1" s="124"/>
      <c r="RWJ1" s="124"/>
      <c r="RWK1" s="124"/>
      <c r="RWL1" s="124"/>
      <c r="RWM1" s="124"/>
      <c r="RWN1" s="124"/>
      <c r="RWO1" s="124"/>
      <c r="RWP1" s="124"/>
      <c r="RWQ1" s="124"/>
      <c r="RWR1" s="124"/>
      <c r="RWS1" s="124"/>
      <c r="RWT1" s="124"/>
      <c r="RWU1" s="124"/>
      <c r="RWV1" s="124"/>
      <c r="RWW1" s="124"/>
      <c r="RWX1" s="124"/>
      <c r="RWY1" s="124"/>
      <c r="RWZ1" s="124"/>
      <c r="RXA1" s="124"/>
      <c r="RXB1" s="124"/>
      <c r="RXC1" s="124"/>
      <c r="RXD1" s="124"/>
      <c r="RXE1" s="124"/>
      <c r="RXF1" s="124"/>
      <c r="RXG1" s="124"/>
      <c r="RXH1" s="124"/>
      <c r="RXI1" s="124"/>
      <c r="RXJ1" s="124"/>
      <c r="RXK1" s="124"/>
      <c r="RXL1" s="124"/>
      <c r="RXM1" s="124"/>
      <c r="RXN1" s="124"/>
      <c r="RXO1" s="124"/>
      <c r="RXP1" s="124"/>
      <c r="RXQ1" s="124"/>
      <c r="RXR1" s="124"/>
      <c r="RXS1" s="124"/>
      <c r="RXT1" s="124"/>
      <c r="RXU1" s="124"/>
      <c r="RXV1" s="124"/>
      <c r="RXW1" s="124"/>
      <c r="RXX1" s="124"/>
      <c r="RXY1" s="124"/>
      <c r="RXZ1" s="124"/>
      <c r="RYA1" s="124"/>
      <c r="RYB1" s="124"/>
      <c r="RYC1" s="124"/>
      <c r="RYD1" s="124"/>
      <c r="RYE1" s="124"/>
      <c r="RYF1" s="124"/>
      <c r="RYG1" s="124"/>
      <c r="RYH1" s="124"/>
      <c r="RYI1" s="124"/>
      <c r="RYJ1" s="124"/>
      <c r="RYK1" s="124"/>
      <c r="RYL1" s="124"/>
      <c r="RYM1" s="124"/>
      <c r="RYN1" s="124"/>
      <c r="RYO1" s="124"/>
      <c r="RYP1" s="124"/>
      <c r="RYQ1" s="124"/>
      <c r="RYR1" s="124"/>
      <c r="RYS1" s="124"/>
      <c r="RYT1" s="124"/>
      <c r="RYU1" s="124"/>
      <c r="RYV1" s="124"/>
      <c r="RYW1" s="124"/>
      <c r="RYX1" s="124"/>
      <c r="RYY1" s="124"/>
      <c r="RYZ1" s="124"/>
      <c r="RZA1" s="124"/>
      <c r="RZB1" s="124"/>
      <c r="RZC1" s="124"/>
      <c r="RZD1" s="124"/>
      <c r="RZE1" s="124"/>
      <c r="RZF1" s="124"/>
      <c r="RZG1" s="124"/>
      <c r="RZH1" s="124"/>
      <c r="RZI1" s="124"/>
      <c r="RZJ1" s="124"/>
      <c r="RZK1" s="124"/>
      <c r="RZL1" s="124"/>
      <c r="RZM1" s="124"/>
      <c r="RZN1" s="124"/>
      <c r="RZO1" s="124"/>
      <c r="RZP1" s="124"/>
      <c r="RZQ1" s="124"/>
      <c r="RZR1" s="124"/>
      <c r="RZS1" s="124"/>
      <c r="RZT1" s="124"/>
      <c r="RZU1" s="124"/>
      <c r="RZV1" s="124"/>
      <c r="RZW1" s="124"/>
      <c r="RZX1" s="124"/>
      <c r="RZY1" s="124"/>
      <c r="RZZ1" s="124"/>
      <c r="SAA1" s="124"/>
      <c r="SAB1" s="124"/>
      <c r="SAC1" s="124"/>
      <c r="SAD1" s="124"/>
      <c r="SAE1" s="124"/>
      <c r="SAF1" s="124"/>
      <c r="SAG1" s="124"/>
      <c r="SAH1" s="124"/>
      <c r="SAI1" s="124"/>
      <c r="SAJ1" s="124"/>
      <c r="SAK1" s="124"/>
      <c r="SAL1" s="124"/>
      <c r="SAM1" s="124"/>
      <c r="SAN1" s="124"/>
      <c r="SAO1" s="124"/>
      <c r="SAP1" s="124"/>
      <c r="SAQ1" s="124"/>
      <c r="SAR1" s="124"/>
      <c r="SAS1" s="124"/>
      <c r="SAT1" s="124"/>
      <c r="SAU1" s="124"/>
      <c r="SAV1" s="124"/>
      <c r="SAW1" s="124"/>
      <c r="SAX1" s="124"/>
      <c r="SAY1" s="124"/>
      <c r="SAZ1" s="124"/>
      <c r="SBA1" s="124"/>
      <c r="SBB1" s="124"/>
      <c r="SBC1" s="124"/>
      <c r="SBD1" s="124"/>
      <c r="SBE1" s="124"/>
      <c r="SBF1" s="124"/>
      <c r="SBG1" s="124"/>
      <c r="SBH1" s="124"/>
      <c r="SBI1" s="124"/>
      <c r="SBJ1" s="124"/>
      <c r="SBK1" s="124"/>
      <c r="SBL1" s="124"/>
      <c r="SBM1" s="124"/>
      <c r="SBN1" s="124"/>
      <c r="SBO1" s="124"/>
      <c r="SBP1" s="124"/>
      <c r="SBQ1" s="124"/>
      <c r="SBR1" s="124"/>
      <c r="SBS1" s="124"/>
      <c r="SBT1" s="124"/>
      <c r="SBU1" s="124"/>
      <c r="SBV1" s="124"/>
      <c r="SBW1" s="124"/>
      <c r="SBX1" s="124"/>
      <c r="SBY1" s="124"/>
      <c r="SBZ1" s="124"/>
      <c r="SCA1" s="124"/>
      <c r="SCB1" s="124"/>
      <c r="SCC1" s="124"/>
      <c r="SCD1" s="124"/>
      <c r="SCE1" s="124"/>
      <c r="SCF1" s="124"/>
      <c r="SCG1" s="124"/>
      <c r="SCH1" s="124"/>
      <c r="SCI1" s="124"/>
      <c r="SCJ1" s="124"/>
      <c r="SCK1" s="124"/>
      <c r="SCL1" s="124"/>
      <c r="SCM1" s="124"/>
      <c r="SCN1" s="124"/>
      <c r="SCO1" s="124"/>
      <c r="SCP1" s="124"/>
      <c r="SCQ1" s="124"/>
      <c r="SCR1" s="124"/>
      <c r="SCS1" s="124"/>
      <c r="SCT1" s="124"/>
      <c r="SCU1" s="124"/>
      <c r="SCV1" s="124"/>
      <c r="SCW1" s="124"/>
      <c r="SCX1" s="124"/>
      <c r="SCY1" s="124"/>
      <c r="SCZ1" s="124"/>
      <c r="SDA1" s="124"/>
      <c r="SDB1" s="124"/>
      <c r="SDC1" s="124"/>
      <c r="SDD1" s="124"/>
      <c r="SDE1" s="124"/>
      <c r="SDF1" s="124"/>
      <c r="SDG1" s="124"/>
      <c r="SDH1" s="124"/>
      <c r="SDI1" s="124"/>
      <c r="SDJ1" s="124"/>
      <c r="SDK1" s="124"/>
      <c r="SDL1" s="124"/>
      <c r="SDM1" s="124"/>
      <c r="SDN1" s="124"/>
      <c r="SDO1" s="124"/>
      <c r="SDP1" s="124"/>
      <c r="SDQ1" s="124"/>
      <c r="SDR1" s="124"/>
      <c r="SDS1" s="124"/>
      <c r="SDT1" s="124"/>
      <c r="SDU1" s="124"/>
      <c r="SDV1" s="124"/>
      <c r="SDW1" s="124"/>
      <c r="SDX1" s="124"/>
      <c r="SDY1" s="124"/>
      <c r="SDZ1" s="124"/>
      <c r="SEA1" s="124"/>
      <c r="SEB1" s="124"/>
      <c r="SEC1" s="124"/>
      <c r="SED1" s="124"/>
      <c r="SEE1" s="124"/>
      <c r="SEF1" s="124"/>
      <c r="SEG1" s="124"/>
      <c r="SEH1" s="124"/>
      <c r="SEI1" s="124"/>
      <c r="SEJ1" s="124"/>
      <c r="SEK1" s="124"/>
      <c r="SEL1" s="124"/>
      <c r="SEM1" s="124"/>
      <c r="SEN1" s="124"/>
      <c r="SEO1" s="124"/>
      <c r="SEP1" s="124"/>
      <c r="SEQ1" s="124"/>
      <c r="SER1" s="124"/>
      <c r="SES1" s="124"/>
      <c r="SET1" s="124"/>
      <c r="SEU1" s="124"/>
      <c r="SEV1" s="124"/>
      <c r="SEW1" s="124"/>
      <c r="SEX1" s="124"/>
      <c r="SEY1" s="124"/>
      <c r="SEZ1" s="124"/>
      <c r="SFA1" s="124"/>
      <c r="SFB1" s="124"/>
      <c r="SFC1" s="124"/>
      <c r="SFD1" s="124"/>
      <c r="SFE1" s="124"/>
      <c r="SFF1" s="124"/>
      <c r="SFG1" s="124"/>
      <c r="SFH1" s="124"/>
      <c r="SFI1" s="124"/>
      <c r="SFJ1" s="124"/>
      <c r="SFK1" s="124"/>
      <c r="SFL1" s="124"/>
      <c r="SFM1" s="124"/>
      <c r="SFN1" s="124"/>
      <c r="SFO1" s="124"/>
      <c r="SFP1" s="124"/>
      <c r="SFQ1" s="124"/>
      <c r="SFR1" s="124"/>
      <c r="SFS1" s="124"/>
      <c r="SFT1" s="124"/>
      <c r="SFU1" s="124"/>
      <c r="SFV1" s="124"/>
      <c r="SFW1" s="124"/>
      <c r="SFX1" s="124"/>
      <c r="SFY1" s="124"/>
      <c r="SFZ1" s="124"/>
      <c r="SGA1" s="124"/>
      <c r="SGB1" s="124"/>
      <c r="SGC1" s="124"/>
      <c r="SGD1" s="124"/>
      <c r="SGE1" s="124"/>
      <c r="SGF1" s="124"/>
      <c r="SGG1" s="124"/>
      <c r="SGH1" s="124"/>
      <c r="SGI1" s="124"/>
      <c r="SGJ1" s="124"/>
      <c r="SGK1" s="124"/>
      <c r="SGL1" s="124"/>
      <c r="SGM1" s="124"/>
      <c r="SGN1" s="124"/>
      <c r="SGO1" s="124"/>
      <c r="SGP1" s="124"/>
      <c r="SGQ1" s="124"/>
      <c r="SGR1" s="124"/>
      <c r="SGS1" s="124"/>
      <c r="SGT1" s="124"/>
      <c r="SGU1" s="124"/>
      <c r="SGV1" s="124"/>
      <c r="SGW1" s="124"/>
      <c r="SGX1" s="124"/>
      <c r="SGY1" s="124"/>
      <c r="SGZ1" s="124"/>
      <c r="SHA1" s="124"/>
      <c r="SHB1" s="124"/>
      <c r="SHC1" s="124"/>
      <c r="SHD1" s="124"/>
      <c r="SHE1" s="124"/>
      <c r="SHF1" s="124"/>
      <c r="SHG1" s="124"/>
      <c r="SHH1" s="124"/>
      <c r="SHI1" s="124"/>
      <c r="SHJ1" s="124"/>
      <c r="SHK1" s="124"/>
      <c r="SHL1" s="124"/>
      <c r="SHM1" s="124"/>
      <c r="SHN1" s="124"/>
      <c r="SHO1" s="124"/>
      <c r="SHP1" s="124"/>
      <c r="SHQ1" s="124"/>
      <c r="SHR1" s="124"/>
      <c r="SHS1" s="124"/>
      <c r="SHT1" s="124"/>
      <c r="SHU1" s="124"/>
      <c r="SHV1" s="124"/>
      <c r="SHW1" s="124"/>
      <c r="SHX1" s="124"/>
      <c r="SHY1" s="124"/>
      <c r="SHZ1" s="124"/>
      <c r="SIA1" s="124"/>
      <c r="SIB1" s="124"/>
      <c r="SIC1" s="124"/>
      <c r="SID1" s="124"/>
      <c r="SIE1" s="124"/>
      <c r="SIF1" s="124"/>
      <c r="SIG1" s="124"/>
      <c r="SIH1" s="124"/>
      <c r="SII1" s="124"/>
      <c r="SIJ1" s="124"/>
      <c r="SIK1" s="124"/>
      <c r="SIL1" s="124"/>
      <c r="SIM1" s="124"/>
      <c r="SIN1" s="124"/>
      <c r="SIO1" s="124"/>
      <c r="SIP1" s="124"/>
      <c r="SIQ1" s="124"/>
      <c r="SIR1" s="124"/>
      <c r="SIS1" s="124"/>
      <c r="SIT1" s="124"/>
      <c r="SIU1" s="124"/>
      <c r="SIV1" s="124"/>
      <c r="SIW1" s="124"/>
      <c r="SIX1" s="124"/>
      <c r="SIY1" s="124"/>
      <c r="SIZ1" s="124"/>
      <c r="SJA1" s="124"/>
      <c r="SJB1" s="124"/>
      <c r="SJC1" s="124"/>
      <c r="SJD1" s="124"/>
      <c r="SJE1" s="124"/>
      <c r="SJF1" s="124"/>
      <c r="SJG1" s="124"/>
      <c r="SJH1" s="124"/>
      <c r="SJI1" s="124"/>
      <c r="SJJ1" s="124"/>
      <c r="SJK1" s="124"/>
      <c r="SJL1" s="124"/>
      <c r="SJM1" s="124"/>
      <c r="SJN1" s="124"/>
      <c r="SJO1" s="124"/>
      <c r="SJP1" s="124"/>
      <c r="SJQ1" s="124"/>
      <c r="SJR1" s="124"/>
      <c r="SJS1" s="124"/>
      <c r="SJT1" s="124"/>
      <c r="SJU1" s="124"/>
      <c r="SJV1" s="124"/>
      <c r="SJW1" s="124"/>
      <c r="SJX1" s="124"/>
      <c r="SJY1" s="124"/>
      <c r="SJZ1" s="124"/>
      <c r="SKA1" s="124"/>
      <c r="SKB1" s="124"/>
      <c r="SKC1" s="124"/>
      <c r="SKD1" s="124"/>
      <c r="SKE1" s="124"/>
      <c r="SKF1" s="124"/>
      <c r="SKG1" s="124"/>
      <c r="SKH1" s="124"/>
      <c r="SKI1" s="124"/>
      <c r="SKJ1" s="124"/>
      <c r="SKK1" s="124"/>
      <c r="SKL1" s="124"/>
      <c r="SKM1" s="124"/>
      <c r="SKN1" s="124"/>
      <c r="SKO1" s="124"/>
      <c r="SKP1" s="124"/>
      <c r="SKQ1" s="124"/>
      <c r="SKR1" s="124"/>
      <c r="SKS1" s="124"/>
      <c r="SKT1" s="124"/>
      <c r="SKU1" s="124"/>
      <c r="SKV1" s="124"/>
      <c r="SKW1" s="124"/>
      <c r="SKX1" s="124"/>
      <c r="SKY1" s="124"/>
      <c r="SKZ1" s="124"/>
      <c r="SLA1" s="124"/>
      <c r="SLB1" s="124"/>
      <c r="SLC1" s="124"/>
      <c r="SLD1" s="124"/>
      <c r="SLE1" s="124"/>
      <c r="SLF1" s="124"/>
      <c r="SLG1" s="124"/>
      <c r="SLH1" s="124"/>
      <c r="SLI1" s="124"/>
      <c r="SLJ1" s="124"/>
      <c r="SLK1" s="124"/>
      <c r="SLL1" s="124"/>
      <c r="SLM1" s="124"/>
      <c r="SLN1" s="124"/>
      <c r="SLO1" s="124"/>
      <c r="SLP1" s="124"/>
      <c r="SLQ1" s="124"/>
      <c r="SLR1" s="124"/>
      <c r="SLS1" s="124"/>
      <c r="SLT1" s="124"/>
      <c r="SLU1" s="124"/>
      <c r="SLV1" s="124"/>
      <c r="SLW1" s="124"/>
      <c r="SLX1" s="124"/>
      <c r="SLY1" s="124"/>
      <c r="SLZ1" s="124"/>
      <c r="SMA1" s="124"/>
      <c r="SMB1" s="124"/>
      <c r="SMC1" s="124"/>
      <c r="SMD1" s="124"/>
      <c r="SME1" s="124"/>
      <c r="SMF1" s="124"/>
      <c r="SMG1" s="124"/>
      <c r="SMH1" s="124"/>
      <c r="SMI1" s="124"/>
      <c r="SMJ1" s="124"/>
      <c r="SMK1" s="124"/>
      <c r="SML1" s="124"/>
      <c r="SMM1" s="124"/>
      <c r="SMN1" s="124"/>
      <c r="SMO1" s="124"/>
      <c r="SMP1" s="124"/>
      <c r="SMQ1" s="124"/>
      <c r="SMR1" s="124"/>
      <c r="SMS1" s="124"/>
      <c r="SMT1" s="124"/>
      <c r="SMU1" s="124"/>
      <c r="SMV1" s="124"/>
      <c r="SMW1" s="124"/>
      <c r="SMX1" s="124"/>
      <c r="SMY1" s="124"/>
      <c r="SMZ1" s="124"/>
      <c r="SNA1" s="124"/>
      <c r="SNB1" s="124"/>
      <c r="SNC1" s="124"/>
      <c r="SND1" s="124"/>
      <c r="SNE1" s="124"/>
      <c r="SNF1" s="124"/>
      <c r="SNG1" s="124"/>
      <c r="SNH1" s="124"/>
      <c r="SNI1" s="124"/>
      <c r="SNJ1" s="124"/>
      <c r="SNK1" s="124"/>
      <c r="SNL1" s="124"/>
      <c r="SNM1" s="124"/>
      <c r="SNN1" s="124"/>
      <c r="SNO1" s="124"/>
      <c r="SNP1" s="124"/>
      <c r="SNQ1" s="124"/>
      <c r="SNR1" s="124"/>
      <c r="SNS1" s="124"/>
      <c r="SNT1" s="124"/>
      <c r="SNU1" s="124"/>
      <c r="SNV1" s="124"/>
      <c r="SNW1" s="124"/>
      <c r="SNX1" s="124"/>
      <c r="SNY1" s="124"/>
      <c r="SNZ1" s="124"/>
      <c r="SOA1" s="124"/>
      <c r="SOB1" s="124"/>
      <c r="SOC1" s="124"/>
      <c r="SOD1" s="124"/>
      <c r="SOE1" s="124"/>
      <c r="SOF1" s="124"/>
      <c r="SOG1" s="124"/>
      <c r="SOH1" s="124"/>
      <c r="SOI1" s="124"/>
      <c r="SOJ1" s="124"/>
      <c r="SOK1" s="124"/>
      <c r="SOL1" s="124"/>
      <c r="SOM1" s="124"/>
      <c r="SON1" s="124"/>
      <c r="SOO1" s="124"/>
      <c r="SOP1" s="124"/>
      <c r="SOQ1" s="124"/>
      <c r="SOR1" s="124"/>
      <c r="SOS1" s="124"/>
      <c r="SOT1" s="124"/>
      <c r="SOU1" s="124"/>
      <c r="SOV1" s="124"/>
      <c r="SOW1" s="124"/>
      <c r="SOX1" s="124"/>
      <c r="SOY1" s="124"/>
      <c r="SOZ1" s="124"/>
      <c r="SPA1" s="124"/>
      <c r="SPB1" s="124"/>
      <c r="SPC1" s="124"/>
      <c r="SPD1" s="124"/>
      <c r="SPE1" s="124"/>
      <c r="SPF1" s="124"/>
      <c r="SPG1" s="124"/>
      <c r="SPH1" s="124"/>
      <c r="SPI1" s="124"/>
      <c r="SPJ1" s="124"/>
      <c r="SPK1" s="124"/>
      <c r="SPL1" s="124"/>
      <c r="SPM1" s="124"/>
      <c r="SPN1" s="124"/>
      <c r="SPO1" s="124"/>
      <c r="SPP1" s="124"/>
      <c r="SPQ1" s="124"/>
      <c r="SPR1" s="124"/>
      <c r="SPS1" s="124"/>
      <c r="SPT1" s="124"/>
      <c r="SPU1" s="124"/>
      <c r="SPV1" s="124"/>
      <c r="SPW1" s="124"/>
      <c r="SPX1" s="124"/>
      <c r="SPY1" s="124"/>
      <c r="SPZ1" s="124"/>
      <c r="SQA1" s="124"/>
      <c r="SQB1" s="124"/>
      <c r="SQC1" s="124"/>
      <c r="SQD1" s="124"/>
      <c r="SQE1" s="124"/>
      <c r="SQF1" s="124"/>
      <c r="SQG1" s="124"/>
      <c r="SQH1" s="124"/>
      <c r="SQI1" s="124"/>
      <c r="SQJ1" s="124"/>
      <c r="SQK1" s="124"/>
      <c r="SQL1" s="124"/>
      <c r="SQM1" s="124"/>
      <c r="SQN1" s="124"/>
      <c r="SQO1" s="124"/>
      <c r="SQP1" s="124"/>
      <c r="SQQ1" s="124"/>
      <c r="SQR1" s="124"/>
      <c r="SQS1" s="124"/>
      <c r="SQT1" s="124"/>
      <c r="SQU1" s="124"/>
      <c r="SQV1" s="124"/>
      <c r="SQW1" s="124"/>
      <c r="SQX1" s="124"/>
      <c r="SQY1" s="124"/>
      <c r="SQZ1" s="124"/>
      <c r="SRA1" s="124"/>
      <c r="SRB1" s="124"/>
      <c r="SRC1" s="124"/>
      <c r="SRD1" s="124"/>
      <c r="SRE1" s="124"/>
      <c r="SRF1" s="124"/>
      <c r="SRG1" s="124"/>
      <c r="SRH1" s="124"/>
      <c r="SRI1" s="124"/>
      <c r="SRJ1" s="124"/>
      <c r="SRK1" s="124"/>
      <c r="SRL1" s="124"/>
      <c r="SRM1" s="124"/>
      <c r="SRN1" s="124"/>
      <c r="SRO1" s="124"/>
      <c r="SRP1" s="124"/>
      <c r="SRQ1" s="124"/>
      <c r="SRR1" s="124"/>
      <c r="SRS1" s="124"/>
      <c r="SRT1" s="124"/>
      <c r="SRU1" s="124"/>
      <c r="SRV1" s="124"/>
      <c r="SRW1" s="124"/>
      <c r="SRX1" s="124"/>
      <c r="SRY1" s="124"/>
      <c r="SRZ1" s="124"/>
      <c r="SSA1" s="124"/>
      <c r="SSB1" s="124"/>
      <c r="SSC1" s="124"/>
      <c r="SSD1" s="124"/>
      <c r="SSE1" s="124"/>
      <c r="SSF1" s="124"/>
      <c r="SSG1" s="124"/>
      <c r="SSH1" s="124"/>
      <c r="SSI1" s="124"/>
      <c r="SSJ1" s="124"/>
      <c r="SSK1" s="124"/>
      <c r="SSL1" s="124"/>
      <c r="SSM1" s="124"/>
      <c r="SSN1" s="124"/>
      <c r="SSO1" s="124"/>
      <c r="SSP1" s="124"/>
      <c r="SSQ1" s="124"/>
      <c r="SSR1" s="124"/>
      <c r="SSS1" s="124"/>
      <c r="SST1" s="124"/>
      <c r="SSU1" s="124"/>
      <c r="SSV1" s="124"/>
      <c r="SSW1" s="124"/>
      <c r="SSX1" s="124"/>
      <c r="SSY1" s="124"/>
      <c r="SSZ1" s="124"/>
      <c r="STA1" s="124"/>
      <c r="STB1" s="124"/>
      <c r="STC1" s="124"/>
      <c r="STD1" s="124"/>
      <c r="STE1" s="124"/>
      <c r="STF1" s="124"/>
      <c r="STG1" s="124"/>
      <c r="STH1" s="124"/>
      <c r="STI1" s="124"/>
      <c r="STJ1" s="124"/>
      <c r="STK1" s="124"/>
      <c r="STL1" s="124"/>
      <c r="STM1" s="124"/>
      <c r="STN1" s="124"/>
      <c r="STO1" s="124"/>
      <c r="STP1" s="124"/>
      <c r="STQ1" s="124"/>
      <c r="STR1" s="124"/>
      <c r="STS1" s="124"/>
      <c r="STT1" s="124"/>
      <c r="STU1" s="124"/>
      <c r="STV1" s="124"/>
      <c r="STW1" s="124"/>
      <c r="STX1" s="124"/>
      <c r="STY1" s="124"/>
      <c r="STZ1" s="124"/>
      <c r="SUA1" s="124"/>
      <c r="SUB1" s="124"/>
      <c r="SUC1" s="124"/>
      <c r="SUD1" s="124"/>
      <c r="SUE1" s="124"/>
      <c r="SUF1" s="124"/>
      <c r="SUG1" s="124"/>
      <c r="SUH1" s="124"/>
      <c r="SUI1" s="124"/>
      <c r="SUJ1" s="124"/>
      <c r="SUK1" s="124"/>
      <c r="SUL1" s="124"/>
      <c r="SUM1" s="124"/>
      <c r="SUN1" s="124"/>
      <c r="SUO1" s="124"/>
      <c r="SUP1" s="124"/>
      <c r="SUQ1" s="124"/>
      <c r="SUR1" s="124"/>
      <c r="SUS1" s="124"/>
      <c r="SUT1" s="124"/>
      <c r="SUU1" s="124"/>
      <c r="SUV1" s="124"/>
      <c r="SUW1" s="124"/>
      <c r="SUX1" s="124"/>
      <c r="SUY1" s="124"/>
      <c r="SUZ1" s="124"/>
      <c r="SVA1" s="124"/>
      <c r="SVB1" s="124"/>
      <c r="SVC1" s="124"/>
      <c r="SVD1" s="124"/>
      <c r="SVE1" s="124"/>
      <c r="SVF1" s="124"/>
      <c r="SVG1" s="124"/>
      <c r="SVH1" s="124"/>
      <c r="SVI1" s="124"/>
      <c r="SVJ1" s="124"/>
      <c r="SVK1" s="124"/>
      <c r="SVL1" s="124"/>
      <c r="SVM1" s="124"/>
      <c r="SVN1" s="124"/>
      <c r="SVO1" s="124"/>
      <c r="SVP1" s="124"/>
      <c r="SVQ1" s="124"/>
      <c r="SVR1" s="124"/>
      <c r="SVS1" s="124"/>
      <c r="SVT1" s="124"/>
      <c r="SVU1" s="124"/>
      <c r="SVV1" s="124"/>
      <c r="SVW1" s="124"/>
      <c r="SVX1" s="124"/>
      <c r="SVY1" s="124"/>
      <c r="SVZ1" s="124"/>
      <c r="SWA1" s="124"/>
      <c r="SWB1" s="124"/>
      <c r="SWC1" s="124"/>
      <c r="SWD1" s="124"/>
      <c r="SWE1" s="124"/>
      <c r="SWF1" s="124"/>
      <c r="SWG1" s="124"/>
      <c r="SWH1" s="124"/>
      <c r="SWI1" s="124"/>
      <c r="SWJ1" s="124"/>
      <c r="SWK1" s="124"/>
      <c r="SWL1" s="124"/>
      <c r="SWM1" s="124"/>
      <c r="SWN1" s="124"/>
      <c r="SWO1" s="124"/>
      <c r="SWP1" s="124"/>
      <c r="SWQ1" s="124"/>
      <c r="SWR1" s="124"/>
      <c r="SWS1" s="124"/>
      <c r="SWT1" s="124"/>
      <c r="SWU1" s="124"/>
      <c r="SWV1" s="124"/>
      <c r="SWW1" s="124"/>
      <c r="SWX1" s="124"/>
      <c r="SWY1" s="124"/>
      <c r="SWZ1" s="124"/>
      <c r="SXA1" s="124"/>
      <c r="SXB1" s="124"/>
      <c r="SXC1" s="124"/>
      <c r="SXD1" s="124"/>
      <c r="SXE1" s="124"/>
      <c r="SXF1" s="124"/>
      <c r="SXG1" s="124"/>
      <c r="SXH1" s="124"/>
      <c r="SXI1" s="124"/>
      <c r="SXJ1" s="124"/>
      <c r="SXK1" s="124"/>
      <c r="SXL1" s="124"/>
      <c r="SXM1" s="124"/>
      <c r="SXN1" s="124"/>
      <c r="SXO1" s="124"/>
      <c r="SXP1" s="124"/>
      <c r="SXQ1" s="124"/>
      <c r="SXR1" s="124"/>
      <c r="SXS1" s="124"/>
      <c r="SXT1" s="124"/>
      <c r="SXU1" s="124"/>
      <c r="SXV1" s="124"/>
      <c r="SXW1" s="124"/>
      <c r="SXX1" s="124"/>
      <c r="SXY1" s="124"/>
      <c r="SXZ1" s="124"/>
      <c r="SYA1" s="124"/>
      <c r="SYB1" s="124"/>
      <c r="SYC1" s="124"/>
      <c r="SYD1" s="124"/>
      <c r="SYE1" s="124"/>
      <c r="SYF1" s="124"/>
      <c r="SYG1" s="124"/>
      <c r="SYH1" s="124"/>
      <c r="SYI1" s="124"/>
      <c r="SYJ1" s="124"/>
      <c r="SYK1" s="124"/>
      <c r="SYL1" s="124"/>
      <c r="SYM1" s="124"/>
      <c r="SYN1" s="124"/>
      <c r="SYO1" s="124"/>
      <c r="SYP1" s="124"/>
      <c r="SYQ1" s="124"/>
      <c r="SYR1" s="124"/>
      <c r="SYS1" s="124"/>
      <c r="SYT1" s="124"/>
      <c r="SYU1" s="124"/>
      <c r="SYV1" s="124"/>
      <c r="SYW1" s="124"/>
      <c r="SYX1" s="124"/>
      <c r="SYY1" s="124"/>
      <c r="SYZ1" s="124"/>
      <c r="SZA1" s="124"/>
      <c r="SZB1" s="124"/>
      <c r="SZC1" s="124"/>
      <c r="SZD1" s="124"/>
      <c r="SZE1" s="124"/>
      <c r="SZF1" s="124"/>
      <c r="SZG1" s="124"/>
      <c r="SZH1" s="124"/>
      <c r="SZI1" s="124"/>
      <c r="SZJ1" s="124"/>
      <c r="SZK1" s="124"/>
      <c r="SZL1" s="124"/>
      <c r="SZM1" s="124"/>
      <c r="SZN1" s="124"/>
      <c r="SZO1" s="124"/>
      <c r="SZP1" s="124"/>
      <c r="SZQ1" s="124"/>
      <c r="SZR1" s="124"/>
      <c r="SZS1" s="124"/>
      <c r="SZT1" s="124"/>
      <c r="SZU1" s="124"/>
      <c r="SZV1" s="124"/>
      <c r="SZW1" s="124"/>
      <c r="SZX1" s="124"/>
      <c r="SZY1" s="124"/>
      <c r="SZZ1" s="124"/>
      <c r="TAA1" s="124"/>
      <c r="TAB1" s="124"/>
      <c r="TAC1" s="124"/>
      <c r="TAD1" s="124"/>
      <c r="TAE1" s="124"/>
      <c r="TAF1" s="124"/>
      <c r="TAG1" s="124"/>
      <c r="TAH1" s="124"/>
      <c r="TAI1" s="124"/>
      <c r="TAJ1" s="124"/>
      <c r="TAK1" s="124"/>
      <c r="TAL1" s="124"/>
      <c r="TAM1" s="124"/>
      <c r="TAN1" s="124"/>
      <c r="TAO1" s="124"/>
      <c r="TAP1" s="124"/>
      <c r="TAQ1" s="124"/>
      <c r="TAR1" s="124"/>
      <c r="TAS1" s="124"/>
      <c r="TAT1" s="124"/>
      <c r="TAU1" s="124"/>
      <c r="TAV1" s="124"/>
      <c r="TAW1" s="124"/>
      <c r="TAX1" s="124"/>
      <c r="TAY1" s="124"/>
      <c r="TAZ1" s="124"/>
      <c r="TBA1" s="124"/>
      <c r="TBB1" s="124"/>
      <c r="TBC1" s="124"/>
      <c r="TBD1" s="124"/>
      <c r="TBE1" s="124"/>
      <c r="TBF1" s="124"/>
      <c r="TBG1" s="124"/>
      <c r="TBH1" s="124"/>
      <c r="TBI1" s="124"/>
      <c r="TBJ1" s="124"/>
      <c r="TBK1" s="124"/>
      <c r="TBL1" s="124"/>
      <c r="TBM1" s="124"/>
      <c r="TBN1" s="124"/>
      <c r="TBO1" s="124"/>
      <c r="TBP1" s="124"/>
      <c r="TBQ1" s="124"/>
      <c r="TBR1" s="124"/>
      <c r="TBS1" s="124"/>
      <c r="TBT1" s="124"/>
      <c r="TBU1" s="124"/>
      <c r="TBV1" s="124"/>
      <c r="TBW1" s="124"/>
      <c r="TBX1" s="124"/>
      <c r="TBY1" s="124"/>
      <c r="TBZ1" s="124"/>
      <c r="TCA1" s="124"/>
      <c r="TCB1" s="124"/>
      <c r="TCC1" s="124"/>
      <c r="TCD1" s="124"/>
      <c r="TCE1" s="124"/>
      <c r="TCF1" s="124"/>
      <c r="TCG1" s="124"/>
      <c r="TCH1" s="124"/>
      <c r="TCI1" s="124"/>
      <c r="TCJ1" s="124"/>
      <c r="TCK1" s="124"/>
      <c r="TCL1" s="124"/>
      <c r="TCM1" s="124"/>
      <c r="TCN1" s="124"/>
      <c r="TCO1" s="124"/>
      <c r="TCP1" s="124"/>
      <c r="TCQ1" s="124"/>
      <c r="TCR1" s="124"/>
      <c r="TCS1" s="124"/>
      <c r="TCT1" s="124"/>
      <c r="TCU1" s="124"/>
      <c r="TCV1" s="124"/>
      <c r="TCW1" s="124"/>
      <c r="TCX1" s="124"/>
      <c r="TCY1" s="124"/>
      <c r="TCZ1" s="124"/>
      <c r="TDA1" s="124"/>
      <c r="TDB1" s="124"/>
      <c r="TDC1" s="124"/>
      <c r="TDD1" s="124"/>
      <c r="TDE1" s="124"/>
      <c r="TDF1" s="124"/>
      <c r="TDG1" s="124"/>
      <c r="TDH1" s="124"/>
      <c r="TDI1" s="124"/>
      <c r="TDJ1" s="124"/>
      <c r="TDK1" s="124"/>
      <c r="TDL1" s="124"/>
      <c r="TDM1" s="124"/>
      <c r="TDN1" s="124"/>
      <c r="TDO1" s="124"/>
      <c r="TDP1" s="124"/>
      <c r="TDQ1" s="124"/>
      <c r="TDR1" s="124"/>
      <c r="TDS1" s="124"/>
      <c r="TDT1" s="124"/>
      <c r="TDU1" s="124"/>
      <c r="TDV1" s="124"/>
      <c r="TDW1" s="124"/>
      <c r="TDX1" s="124"/>
      <c r="TDY1" s="124"/>
      <c r="TDZ1" s="124"/>
      <c r="TEA1" s="124"/>
      <c r="TEB1" s="124"/>
      <c r="TEC1" s="124"/>
      <c r="TED1" s="124"/>
      <c r="TEE1" s="124"/>
      <c r="TEF1" s="124"/>
      <c r="TEG1" s="124"/>
      <c r="TEH1" s="124"/>
      <c r="TEI1" s="124"/>
      <c r="TEJ1" s="124"/>
      <c r="TEK1" s="124"/>
      <c r="TEL1" s="124"/>
      <c r="TEM1" s="124"/>
      <c r="TEN1" s="124"/>
      <c r="TEO1" s="124"/>
      <c r="TEP1" s="124"/>
      <c r="TEQ1" s="124"/>
      <c r="TER1" s="124"/>
      <c r="TES1" s="124"/>
      <c r="TET1" s="124"/>
      <c r="TEU1" s="124"/>
      <c r="TEV1" s="124"/>
      <c r="TEW1" s="124"/>
      <c r="TEX1" s="124"/>
      <c r="TEY1" s="124"/>
      <c r="TEZ1" s="124"/>
      <c r="TFA1" s="124"/>
      <c r="TFB1" s="124"/>
      <c r="TFC1" s="124"/>
      <c r="TFD1" s="124"/>
      <c r="TFE1" s="124"/>
      <c r="TFF1" s="124"/>
      <c r="TFG1" s="124"/>
      <c r="TFH1" s="124"/>
      <c r="TFI1" s="124"/>
      <c r="TFJ1" s="124"/>
      <c r="TFK1" s="124"/>
      <c r="TFL1" s="124"/>
      <c r="TFM1" s="124"/>
      <c r="TFN1" s="124"/>
      <c r="TFO1" s="124"/>
      <c r="TFP1" s="124"/>
      <c r="TFQ1" s="124"/>
      <c r="TFR1" s="124"/>
      <c r="TFS1" s="124"/>
      <c r="TFT1" s="124"/>
      <c r="TFU1" s="124"/>
      <c r="TFV1" s="124"/>
      <c r="TFW1" s="124"/>
      <c r="TFX1" s="124"/>
      <c r="TFY1" s="124"/>
      <c r="TFZ1" s="124"/>
      <c r="TGA1" s="124"/>
      <c r="TGB1" s="124"/>
      <c r="TGC1" s="124"/>
      <c r="TGD1" s="124"/>
      <c r="TGE1" s="124"/>
      <c r="TGF1" s="124"/>
      <c r="TGG1" s="124"/>
      <c r="TGH1" s="124"/>
      <c r="TGI1" s="124"/>
      <c r="TGJ1" s="124"/>
      <c r="TGK1" s="124"/>
      <c r="TGL1" s="124"/>
      <c r="TGM1" s="124"/>
      <c r="TGN1" s="124"/>
      <c r="TGO1" s="124"/>
      <c r="TGP1" s="124"/>
      <c r="TGQ1" s="124"/>
      <c r="TGR1" s="124"/>
      <c r="TGS1" s="124"/>
      <c r="TGT1" s="124"/>
      <c r="TGU1" s="124"/>
      <c r="TGV1" s="124"/>
      <c r="TGW1" s="124"/>
      <c r="TGX1" s="124"/>
      <c r="TGY1" s="124"/>
      <c r="TGZ1" s="124"/>
      <c r="THA1" s="124"/>
      <c r="THB1" s="124"/>
      <c r="THC1" s="124"/>
      <c r="THD1" s="124"/>
      <c r="THE1" s="124"/>
      <c r="THF1" s="124"/>
      <c r="THG1" s="124"/>
      <c r="THH1" s="124"/>
      <c r="THI1" s="124"/>
      <c r="THJ1" s="124"/>
      <c r="THK1" s="124"/>
      <c r="THL1" s="124"/>
      <c r="THM1" s="124"/>
      <c r="THN1" s="124"/>
      <c r="THO1" s="124"/>
      <c r="THP1" s="124"/>
      <c r="THQ1" s="124"/>
      <c r="THR1" s="124"/>
      <c r="THS1" s="124"/>
      <c r="THT1" s="124"/>
      <c r="THU1" s="124"/>
      <c r="THV1" s="124"/>
      <c r="THW1" s="124"/>
      <c r="THX1" s="124"/>
      <c r="THY1" s="124"/>
      <c r="THZ1" s="124"/>
      <c r="TIA1" s="124"/>
      <c r="TIB1" s="124"/>
      <c r="TIC1" s="124"/>
      <c r="TID1" s="124"/>
      <c r="TIE1" s="124"/>
      <c r="TIF1" s="124"/>
      <c r="TIG1" s="124"/>
      <c r="TIH1" s="124"/>
      <c r="TII1" s="124"/>
      <c r="TIJ1" s="124"/>
      <c r="TIK1" s="124"/>
      <c r="TIL1" s="124"/>
      <c r="TIM1" s="124"/>
      <c r="TIN1" s="124"/>
      <c r="TIO1" s="124"/>
      <c r="TIP1" s="124"/>
      <c r="TIQ1" s="124"/>
      <c r="TIR1" s="124"/>
      <c r="TIS1" s="124"/>
      <c r="TIT1" s="124"/>
      <c r="TIU1" s="124"/>
      <c r="TIV1" s="124"/>
      <c r="TIW1" s="124"/>
      <c r="TIX1" s="124"/>
      <c r="TIY1" s="124"/>
      <c r="TIZ1" s="124"/>
      <c r="TJA1" s="124"/>
      <c r="TJB1" s="124"/>
      <c r="TJC1" s="124"/>
      <c r="TJD1" s="124"/>
      <c r="TJE1" s="124"/>
      <c r="TJF1" s="124"/>
      <c r="TJG1" s="124"/>
      <c r="TJH1" s="124"/>
      <c r="TJI1" s="124"/>
      <c r="TJJ1" s="124"/>
      <c r="TJK1" s="124"/>
      <c r="TJL1" s="124"/>
      <c r="TJM1" s="124"/>
      <c r="TJN1" s="124"/>
      <c r="TJO1" s="124"/>
      <c r="TJP1" s="124"/>
      <c r="TJQ1" s="124"/>
      <c r="TJR1" s="124"/>
      <c r="TJS1" s="124"/>
      <c r="TJT1" s="124"/>
      <c r="TJU1" s="124"/>
      <c r="TJV1" s="124"/>
      <c r="TJW1" s="124"/>
      <c r="TJX1" s="124"/>
      <c r="TJY1" s="124"/>
      <c r="TJZ1" s="124"/>
      <c r="TKA1" s="124"/>
      <c r="TKB1" s="124"/>
      <c r="TKC1" s="124"/>
      <c r="TKD1" s="124"/>
      <c r="TKE1" s="124"/>
      <c r="TKF1" s="124"/>
      <c r="TKG1" s="124"/>
      <c r="TKH1" s="124"/>
      <c r="TKI1" s="124"/>
      <c r="TKJ1" s="124"/>
      <c r="TKK1" s="124"/>
      <c r="TKL1" s="124"/>
      <c r="TKM1" s="124"/>
      <c r="TKN1" s="124"/>
      <c r="TKO1" s="124"/>
      <c r="TKP1" s="124"/>
      <c r="TKQ1" s="124"/>
      <c r="TKR1" s="124"/>
      <c r="TKS1" s="124"/>
      <c r="TKT1" s="124"/>
      <c r="TKU1" s="124"/>
      <c r="TKV1" s="124"/>
      <c r="TKW1" s="124"/>
      <c r="TKX1" s="124"/>
      <c r="TKY1" s="124"/>
      <c r="TKZ1" s="124"/>
      <c r="TLA1" s="124"/>
      <c r="TLB1" s="124"/>
      <c r="TLC1" s="124"/>
      <c r="TLD1" s="124"/>
      <c r="TLE1" s="124"/>
      <c r="TLF1" s="124"/>
      <c r="TLG1" s="124"/>
      <c r="TLH1" s="124"/>
      <c r="TLI1" s="124"/>
      <c r="TLJ1" s="124"/>
      <c r="TLK1" s="124"/>
      <c r="TLL1" s="124"/>
      <c r="TLM1" s="124"/>
      <c r="TLN1" s="124"/>
      <c r="TLO1" s="124"/>
      <c r="TLP1" s="124"/>
      <c r="TLQ1" s="124"/>
      <c r="TLR1" s="124"/>
      <c r="TLS1" s="124"/>
      <c r="TLT1" s="124"/>
      <c r="TLU1" s="124"/>
      <c r="TLV1" s="124"/>
      <c r="TLW1" s="124"/>
      <c r="TLX1" s="124"/>
      <c r="TLY1" s="124"/>
      <c r="TLZ1" s="124"/>
      <c r="TMA1" s="124"/>
      <c r="TMB1" s="124"/>
      <c r="TMC1" s="124"/>
      <c r="TMD1" s="124"/>
      <c r="TME1" s="124"/>
      <c r="TMF1" s="124"/>
      <c r="TMG1" s="124"/>
      <c r="TMH1" s="124"/>
      <c r="TMI1" s="124"/>
      <c r="TMJ1" s="124"/>
      <c r="TMK1" s="124"/>
      <c r="TML1" s="124"/>
      <c r="TMM1" s="124"/>
      <c r="TMN1" s="124"/>
      <c r="TMO1" s="124"/>
      <c r="TMP1" s="124"/>
      <c r="TMQ1" s="124"/>
      <c r="TMR1" s="124"/>
      <c r="TMS1" s="124"/>
      <c r="TMT1" s="124"/>
      <c r="TMU1" s="124"/>
      <c r="TMV1" s="124"/>
      <c r="TMW1" s="124"/>
      <c r="TMX1" s="124"/>
      <c r="TMY1" s="124"/>
      <c r="TMZ1" s="124"/>
      <c r="TNA1" s="124"/>
      <c r="TNB1" s="124"/>
      <c r="TNC1" s="124"/>
      <c r="TND1" s="124"/>
      <c r="TNE1" s="124"/>
      <c r="TNF1" s="124"/>
      <c r="TNG1" s="124"/>
      <c r="TNH1" s="124"/>
      <c r="TNI1" s="124"/>
      <c r="TNJ1" s="124"/>
      <c r="TNK1" s="124"/>
      <c r="TNL1" s="124"/>
      <c r="TNM1" s="124"/>
      <c r="TNN1" s="124"/>
      <c r="TNO1" s="124"/>
      <c r="TNP1" s="124"/>
      <c r="TNQ1" s="124"/>
      <c r="TNR1" s="124"/>
      <c r="TNS1" s="124"/>
      <c r="TNT1" s="124"/>
      <c r="TNU1" s="124"/>
      <c r="TNV1" s="124"/>
      <c r="TNW1" s="124"/>
      <c r="TNX1" s="124"/>
      <c r="TNY1" s="124"/>
      <c r="TNZ1" s="124"/>
      <c r="TOA1" s="124"/>
      <c r="TOB1" s="124"/>
      <c r="TOC1" s="124"/>
      <c r="TOD1" s="124"/>
      <c r="TOE1" s="124"/>
      <c r="TOF1" s="124"/>
      <c r="TOG1" s="124"/>
      <c r="TOH1" s="124"/>
      <c r="TOI1" s="124"/>
      <c r="TOJ1" s="124"/>
      <c r="TOK1" s="124"/>
      <c r="TOL1" s="124"/>
      <c r="TOM1" s="124"/>
      <c r="TON1" s="124"/>
      <c r="TOO1" s="124"/>
      <c r="TOP1" s="124"/>
      <c r="TOQ1" s="124"/>
      <c r="TOR1" s="124"/>
      <c r="TOS1" s="124"/>
      <c r="TOT1" s="124"/>
      <c r="TOU1" s="124"/>
      <c r="TOV1" s="124"/>
      <c r="TOW1" s="124"/>
      <c r="TOX1" s="124"/>
      <c r="TOY1" s="124"/>
      <c r="TOZ1" s="124"/>
      <c r="TPA1" s="124"/>
      <c r="TPB1" s="124"/>
      <c r="TPC1" s="124"/>
      <c r="TPD1" s="124"/>
      <c r="TPE1" s="124"/>
      <c r="TPF1" s="124"/>
      <c r="TPG1" s="124"/>
      <c r="TPH1" s="124"/>
      <c r="TPI1" s="124"/>
      <c r="TPJ1" s="124"/>
      <c r="TPK1" s="124"/>
      <c r="TPL1" s="124"/>
      <c r="TPM1" s="124"/>
      <c r="TPN1" s="124"/>
      <c r="TPO1" s="124"/>
      <c r="TPP1" s="124"/>
      <c r="TPQ1" s="124"/>
      <c r="TPR1" s="124"/>
      <c r="TPS1" s="124"/>
      <c r="TPT1" s="124"/>
      <c r="TPU1" s="124"/>
      <c r="TPV1" s="124"/>
      <c r="TPW1" s="124"/>
      <c r="TPX1" s="124"/>
      <c r="TPY1" s="124"/>
      <c r="TPZ1" s="124"/>
      <c r="TQA1" s="124"/>
      <c r="TQB1" s="124"/>
      <c r="TQC1" s="124"/>
      <c r="TQD1" s="124"/>
      <c r="TQE1" s="124"/>
      <c r="TQF1" s="124"/>
      <c r="TQG1" s="124"/>
      <c r="TQH1" s="124"/>
      <c r="TQI1" s="124"/>
      <c r="TQJ1" s="124"/>
      <c r="TQK1" s="124"/>
      <c r="TQL1" s="124"/>
      <c r="TQM1" s="124"/>
      <c r="TQN1" s="124"/>
      <c r="TQO1" s="124"/>
      <c r="TQP1" s="124"/>
      <c r="TQQ1" s="124"/>
      <c r="TQR1" s="124"/>
      <c r="TQS1" s="124"/>
      <c r="TQT1" s="124"/>
      <c r="TQU1" s="124"/>
      <c r="TQV1" s="124"/>
      <c r="TQW1" s="124"/>
      <c r="TQX1" s="124"/>
      <c r="TQY1" s="124"/>
      <c r="TQZ1" s="124"/>
      <c r="TRA1" s="124"/>
      <c r="TRB1" s="124"/>
      <c r="TRC1" s="124"/>
      <c r="TRD1" s="124"/>
      <c r="TRE1" s="124"/>
      <c r="TRF1" s="124"/>
      <c r="TRG1" s="124"/>
      <c r="TRH1" s="124"/>
      <c r="TRI1" s="124"/>
      <c r="TRJ1" s="124"/>
      <c r="TRK1" s="124"/>
      <c r="TRL1" s="124"/>
      <c r="TRM1" s="124"/>
      <c r="TRN1" s="124"/>
      <c r="TRO1" s="124"/>
      <c r="TRP1" s="124"/>
      <c r="TRQ1" s="124"/>
      <c r="TRR1" s="124"/>
      <c r="TRS1" s="124"/>
      <c r="TRT1" s="124"/>
      <c r="TRU1" s="124"/>
      <c r="TRV1" s="124"/>
      <c r="TRW1" s="124"/>
      <c r="TRX1" s="124"/>
      <c r="TRY1" s="124"/>
      <c r="TRZ1" s="124"/>
      <c r="TSA1" s="124"/>
      <c r="TSB1" s="124"/>
      <c r="TSC1" s="124"/>
      <c r="TSD1" s="124"/>
      <c r="TSE1" s="124"/>
      <c r="TSF1" s="124"/>
      <c r="TSG1" s="124"/>
      <c r="TSH1" s="124"/>
      <c r="TSI1" s="124"/>
      <c r="TSJ1" s="124"/>
      <c r="TSK1" s="124"/>
      <c r="TSL1" s="124"/>
      <c r="TSM1" s="124"/>
      <c r="TSN1" s="124"/>
      <c r="TSO1" s="124"/>
      <c r="TSP1" s="124"/>
      <c r="TSQ1" s="124"/>
      <c r="TSR1" s="124"/>
      <c r="TSS1" s="124"/>
      <c r="TST1" s="124"/>
      <c r="TSU1" s="124"/>
      <c r="TSV1" s="124"/>
      <c r="TSW1" s="124"/>
      <c r="TSX1" s="124"/>
      <c r="TSY1" s="124"/>
      <c r="TSZ1" s="124"/>
      <c r="TTA1" s="124"/>
      <c r="TTB1" s="124"/>
      <c r="TTC1" s="124"/>
      <c r="TTD1" s="124"/>
      <c r="TTE1" s="124"/>
      <c r="TTF1" s="124"/>
      <c r="TTG1" s="124"/>
      <c r="TTH1" s="124"/>
      <c r="TTI1" s="124"/>
      <c r="TTJ1" s="124"/>
      <c r="TTK1" s="124"/>
      <c r="TTL1" s="124"/>
      <c r="TTM1" s="124"/>
      <c r="TTN1" s="124"/>
      <c r="TTO1" s="124"/>
      <c r="TTP1" s="124"/>
      <c r="TTQ1" s="124"/>
      <c r="TTR1" s="124"/>
      <c r="TTS1" s="124"/>
      <c r="TTT1" s="124"/>
      <c r="TTU1" s="124"/>
      <c r="TTV1" s="124"/>
      <c r="TTW1" s="124"/>
      <c r="TTX1" s="124"/>
      <c r="TTY1" s="124"/>
      <c r="TTZ1" s="124"/>
      <c r="TUA1" s="124"/>
      <c r="TUB1" s="124"/>
      <c r="TUC1" s="124"/>
      <c r="TUD1" s="124"/>
      <c r="TUE1" s="124"/>
      <c r="TUF1" s="124"/>
      <c r="TUG1" s="124"/>
      <c r="TUH1" s="124"/>
      <c r="TUI1" s="124"/>
      <c r="TUJ1" s="124"/>
      <c r="TUK1" s="124"/>
      <c r="TUL1" s="124"/>
      <c r="TUM1" s="124"/>
      <c r="TUN1" s="124"/>
      <c r="TUO1" s="124"/>
      <c r="TUP1" s="124"/>
      <c r="TUQ1" s="124"/>
      <c r="TUR1" s="124"/>
      <c r="TUS1" s="124"/>
      <c r="TUT1" s="124"/>
      <c r="TUU1" s="124"/>
      <c r="TUV1" s="124"/>
      <c r="TUW1" s="124"/>
      <c r="TUX1" s="124"/>
      <c r="TUY1" s="124"/>
      <c r="TUZ1" s="124"/>
      <c r="TVA1" s="124"/>
      <c r="TVB1" s="124"/>
      <c r="TVC1" s="124"/>
      <c r="TVD1" s="124"/>
      <c r="TVE1" s="124"/>
      <c r="TVF1" s="124"/>
      <c r="TVG1" s="124"/>
      <c r="TVH1" s="124"/>
      <c r="TVI1" s="124"/>
      <c r="TVJ1" s="124"/>
      <c r="TVK1" s="124"/>
      <c r="TVL1" s="124"/>
      <c r="TVM1" s="124"/>
      <c r="TVN1" s="124"/>
      <c r="TVO1" s="124"/>
      <c r="TVP1" s="124"/>
      <c r="TVQ1" s="124"/>
      <c r="TVR1" s="124"/>
      <c r="TVS1" s="124"/>
      <c r="TVT1" s="124"/>
      <c r="TVU1" s="124"/>
      <c r="TVV1" s="124"/>
      <c r="TVW1" s="124"/>
      <c r="TVX1" s="124"/>
      <c r="TVY1" s="124"/>
      <c r="TVZ1" s="124"/>
      <c r="TWA1" s="124"/>
      <c r="TWB1" s="124"/>
      <c r="TWC1" s="124"/>
      <c r="TWD1" s="124"/>
      <c r="TWE1" s="124"/>
      <c r="TWF1" s="124"/>
      <c r="TWG1" s="124"/>
      <c r="TWH1" s="124"/>
      <c r="TWI1" s="124"/>
      <c r="TWJ1" s="124"/>
      <c r="TWK1" s="124"/>
      <c r="TWL1" s="124"/>
      <c r="TWM1" s="124"/>
      <c r="TWN1" s="124"/>
      <c r="TWO1" s="124"/>
      <c r="TWP1" s="124"/>
      <c r="TWQ1" s="124"/>
      <c r="TWR1" s="124"/>
      <c r="TWS1" s="124"/>
      <c r="TWT1" s="124"/>
      <c r="TWU1" s="124"/>
      <c r="TWV1" s="124"/>
      <c r="TWW1" s="124"/>
      <c r="TWX1" s="124"/>
      <c r="TWY1" s="124"/>
      <c r="TWZ1" s="124"/>
      <c r="TXA1" s="124"/>
      <c r="TXB1" s="124"/>
      <c r="TXC1" s="124"/>
      <c r="TXD1" s="124"/>
      <c r="TXE1" s="124"/>
      <c r="TXF1" s="124"/>
      <c r="TXG1" s="124"/>
      <c r="TXH1" s="124"/>
      <c r="TXI1" s="124"/>
      <c r="TXJ1" s="124"/>
      <c r="TXK1" s="124"/>
      <c r="TXL1" s="124"/>
      <c r="TXM1" s="124"/>
      <c r="TXN1" s="124"/>
      <c r="TXO1" s="124"/>
      <c r="TXP1" s="124"/>
      <c r="TXQ1" s="124"/>
      <c r="TXR1" s="124"/>
      <c r="TXS1" s="124"/>
      <c r="TXT1" s="124"/>
      <c r="TXU1" s="124"/>
      <c r="TXV1" s="124"/>
      <c r="TXW1" s="124"/>
      <c r="TXX1" s="124"/>
      <c r="TXY1" s="124"/>
      <c r="TXZ1" s="124"/>
      <c r="TYA1" s="124"/>
      <c r="TYB1" s="124"/>
      <c r="TYC1" s="124"/>
      <c r="TYD1" s="124"/>
      <c r="TYE1" s="124"/>
      <c r="TYF1" s="124"/>
      <c r="TYG1" s="124"/>
      <c r="TYH1" s="124"/>
      <c r="TYI1" s="124"/>
      <c r="TYJ1" s="124"/>
      <c r="TYK1" s="124"/>
      <c r="TYL1" s="124"/>
      <c r="TYM1" s="124"/>
      <c r="TYN1" s="124"/>
      <c r="TYO1" s="124"/>
      <c r="TYP1" s="124"/>
      <c r="TYQ1" s="124"/>
      <c r="TYR1" s="124"/>
      <c r="TYS1" s="124"/>
      <c r="TYT1" s="124"/>
      <c r="TYU1" s="124"/>
      <c r="TYV1" s="124"/>
      <c r="TYW1" s="124"/>
      <c r="TYX1" s="124"/>
      <c r="TYY1" s="124"/>
      <c r="TYZ1" s="124"/>
      <c r="TZA1" s="124"/>
      <c r="TZB1" s="124"/>
      <c r="TZC1" s="124"/>
      <c r="TZD1" s="124"/>
      <c r="TZE1" s="124"/>
      <c r="TZF1" s="124"/>
      <c r="TZG1" s="124"/>
      <c r="TZH1" s="124"/>
      <c r="TZI1" s="124"/>
      <c r="TZJ1" s="124"/>
      <c r="TZK1" s="124"/>
      <c r="TZL1" s="124"/>
      <c r="TZM1" s="124"/>
      <c r="TZN1" s="124"/>
      <c r="TZO1" s="124"/>
      <c r="TZP1" s="124"/>
      <c r="TZQ1" s="124"/>
      <c r="TZR1" s="124"/>
      <c r="TZS1" s="124"/>
      <c r="TZT1" s="124"/>
      <c r="TZU1" s="124"/>
      <c r="TZV1" s="124"/>
      <c r="TZW1" s="124"/>
      <c r="TZX1" s="124"/>
      <c r="TZY1" s="124"/>
      <c r="TZZ1" s="124"/>
      <c r="UAA1" s="124"/>
      <c r="UAB1" s="124"/>
      <c r="UAC1" s="124"/>
      <c r="UAD1" s="124"/>
      <c r="UAE1" s="124"/>
      <c r="UAF1" s="124"/>
      <c r="UAG1" s="124"/>
      <c r="UAH1" s="124"/>
      <c r="UAI1" s="124"/>
      <c r="UAJ1" s="124"/>
      <c r="UAK1" s="124"/>
      <c r="UAL1" s="124"/>
      <c r="UAM1" s="124"/>
      <c r="UAN1" s="124"/>
      <c r="UAO1" s="124"/>
      <c r="UAP1" s="124"/>
      <c r="UAQ1" s="124"/>
      <c r="UAR1" s="124"/>
      <c r="UAS1" s="124"/>
      <c r="UAT1" s="124"/>
      <c r="UAU1" s="124"/>
      <c r="UAV1" s="124"/>
      <c r="UAW1" s="124"/>
      <c r="UAX1" s="124"/>
      <c r="UAY1" s="124"/>
      <c r="UAZ1" s="124"/>
      <c r="UBA1" s="124"/>
      <c r="UBB1" s="124"/>
      <c r="UBC1" s="124"/>
      <c r="UBD1" s="124"/>
      <c r="UBE1" s="124"/>
      <c r="UBF1" s="124"/>
      <c r="UBG1" s="124"/>
      <c r="UBH1" s="124"/>
      <c r="UBI1" s="124"/>
      <c r="UBJ1" s="124"/>
      <c r="UBK1" s="124"/>
      <c r="UBL1" s="124"/>
      <c r="UBM1" s="124"/>
      <c r="UBN1" s="124"/>
      <c r="UBO1" s="124"/>
      <c r="UBP1" s="124"/>
      <c r="UBQ1" s="124"/>
      <c r="UBR1" s="124"/>
      <c r="UBS1" s="124"/>
      <c r="UBT1" s="124"/>
      <c r="UBU1" s="124"/>
      <c r="UBV1" s="124"/>
      <c r="UBW1" s="124"/>
      <c r="UBX1" s="124"/>
      <c r="UBY1" s="124"/>
      <c r="UBZ1" s="124"/>
      <c r="UCA1" s="124"/>
      <c r="UCB1" s="124"/>
      <c r="UCC1" s="124"/>
      <c r="UCD1" s="124"/>
      <c r="UCE1" s="124"/>
      <c r="UCF1" s="124"/>
      <c r="UCG1" s="124"/>
      <c r="UCH1" s="124"/>
      <c r="UCI1" s="124"/>
      <c r="UCJ1" s="124"/>
      <c r="UCK1" s="124"/>
      <c r="UCL1" s="124"/>
      <c r="UCM1" s="124"/>
      <c r="UCN1" s="124"/>
      <c r="UCO1" s="124"/>
      <c r="UCP1" s="124"/>
      <c r="UCQ1" s="124"/>
      <c r="UCR1" s="124"/>
      <c r="UCS1" s="124"/>
      <c r="UCT1" s="124"/>
      <c r="UCU1" s="124"/>
      <c r="UCV1" s="124"/>
      <c r="UCW1" s="124"/>
      <c r="UCX1" s="124"/>
      <c r="UCY1" s="124"/>
      <c r="UCZ1" s="124"/>
      <c r="UDA1" s="124"/>
      <c r="UDB1" s="124"/>
      <c r="UDC1" s="124"/>
      <c r="UDD1" s="124"/>
      <c r="UDE1" s="124"/>
      <c r="UDF1" s="124"/>
      <c r="UDG1" s="124"/>
      <c r="UDH1" s="124"/>
      <c r="UDI1" s="124"/>
      <c r="UDJ1" s="124"/>
      <c r="UDK1" s="124"/>
      <c r="UDL1" s="124"/>
      <c r="UDM1" s="124"/>
      <c r="UDN1" s="124"/>
      <c r="UDO1" s="124"/>
      <c r="UDP1" s="124"/>
      <c r="UDQ1" s="124"/>
      <c r="UDR1" s="124"/>
      <c r="UDS1" s="124"/>
      <c r="UDT1" s="124"/>
      <c r="UDU1" s="124"/>
      <c r="UDV1" s="124"/>
      <c r="UDW1" s="124"/>
      <c r="UDX1" s="124"/>
      <c r="UDY1" s="124"/>
      <c r="UDZ1" s="124"/>
      <c r="UEA1" s="124"/>
      <c r="UEB1" s="124"/>
      <c r="UEC1" s="124"/>
      <c r="UED1" s="124"/>
      <c r="UEE1" s="124"/>
      <c r="UEF1" s="124"/>
      <c r="UEG1" s="124"/>
      <c r="UEH1" s="124"/>
      <c r="UEI1" s="124"/>
      <c r="UEJ1" s="124"/>
      <c r="UEK1" s="124"/>
      <c r="UEL1" s="124"/>
      <c r="UEM1" s="124"/>
      <c r="UEN1" s="124"/>
      <c r="UEO1" s="124"/>
      <c r="UEP1" s="124"/>
      <c r="UEQ1" s="124"/>
      <c r="UER1" s="124"/>
      <c r="UES1" s="124"/>
      <c r="UET1" s="124"/>
      <c r="UEU1" s="124"/>
      <c r="UEV1" s="124"/>
      <c r="UEW1" s="124"/>
      <c r="UEX1" s="124"/>
      <c r="UEY1" s="124"/>
      <c r="UEZ1" s="124"/>
      <c r="UFA1" s="124"/>
      <c r="UFB1" s="124"/>
      <c r="UFC1" s="124"/>
      <c r="UFD1" s="124"/>
      <c r="UFE1" s="124"/>
      <c r="UFF1" s="124"/>
      <c r="UFG1" s="124"/>
      <c r="UFH1" s="124"/>
      <c r="UFI1" s="124"/>
      <c r="UFJ1" s="124"/>
      <c r="UFK1" s="124"/>
      <c r="UFL1" s="124"/>
      <c r="UFM1" s="124"/>
      <c r="UFN1" s="124"/>
      <c r="UFO1" s="124"/>
      <c r="UFP1" s="124"/>
      <c r="UFQ1" s="124"/>
      <c r="UFR1" s="124"/>
      <c r="UFS1" s="124"/>
      <c r="UFT1" s="124"/>
      <c r="UFU1" s="124"/>
      <c r="UFV1" s="124"/>
      <c r="UFW1" s="124"/>
      <c r="UFX1" s="124"/>
      <c r="UFY1" s="124"/>
      <c r="UFZ1" s="124"/>
      <c r="UGA1" s="124"/>
      <c r="UGB1" s="124"/>
      <c r="UGC1" s="124"/>
      <c r="UGD1" s="124"/>
      <c r="UGE1" s="124"/>
      <c r="UGF1" s="124"/>
      <c r="UGG1" s="124"/>
      <c r="UGH1" s="124"/>
      <c r="UGI1" s="124"/>
      <c r="UGJ1" s="124"/>
      <c r="UGK1" s="124"/>
      <c r="UGL1" s="124"/>
      <c r="UGM1" s="124"/>
      <c r="UGN1" s="124"/>
      <c r="UGO1" s="124"/>
      <c r="UGP1" s="124"/>
      <c r="UGQ1" s="124"/>
      <c r="UGR1" s="124"/>
      <c r="UGS1" s="124"/>
      <c r="UGT1" s="124"/>
      <c r="UGU1" s="124"/>
      <c r="UGV1" s="124"/>
      <c r="UGW1" s="124"/>
      <c r="UGX1" s="124"/>
      <c r="UGY1" s="124"/>
      <c r="UGZ1" s="124"/>
      <c r="UHA1" s="124"/>
      <c r="UHB1" s="124"/>
      <c r="UHC1" s="124"/>
      <c r="UHD1" s="124"/>
      <c r="UHE1" s="124"/>
      <c r="UHF1" s="124"/>
      <c r="UHG1" s="124"/>
      <c r="UHH1" s="124"/>
      <c r="UHI1" s="124"/>
      <c r="UHJ1" s="124"/>
      <c r="UHK1" s="124"/>
      <c r="UHL1" s="124"/>
      <c r="UHM1" s="124"/>
      <c r="UHN1" s="124"/>
      <c r="UHO1" s="124"/>
      <c r="UHP1" s="124"/>
      <c r="UHQ1" s="124"/>
      <c r="UHR1" s="124"/>
      <c r="UHS1" s="124"/>
      <c r="UHT1" s="124"/>
      <c r="UHU1" s="124"/>
      <c r="UHV1" s="124"/>
      <c r="UHW1" s="124"/>
      <c r="UHX1" s="124"/>
      <c r="UHY1" s="124"/>
      <c r="UHZ1" s="124"/>
      <c r="UIA1" s="124"/>
      <c r="UIB1" s="124"/>
      <c r="UIC1" s="124"/>
      <c r="UID1" s="124"/>
      <c r="UIE1" s="124"/>
      <c r="UIF1" s="124"/>
      <c r="UIG1" s="124"/>
      <c r="UIH1" s="124"/>
      <c r="UII1" s="124"/>
      <c r="UIJ1" s="124"/>
      <c r="UIK1" s="124"/>
      <c r="UIL1" s="124"/>
      <c r="UIM1" s="124"/>
      <c r="UIN1" s="124"/>
      <c r="UIO1" s="124"/>
      <c r="UIP1" s="124"/>
      <c r="UIQ1" s="124"/>
      <c r="UIR1" s="124"/>
      <c r="UIS1" s="124"/>
      <c r="UIT1" s="124"/>
      <c r="UIU1" s="124"/>
      <c r="UIV1" s="124"/>
      <c r="UIW1" s="124"/>
      <c r="UIX1" s="124"/>
      <c r="UIY1" s="124"/>
      <c r="UIZ1" s="124"/>
      <c r="UJA1" s="124"/>
      <c r="UJB1" s="124"/>
      <c r="UJC1" s="124"/>
      <c r="UJD1" s="124"/>
      <c r="UJE1" s="124"/>
      <c r="UJF1" s="124"/>
      <c r="UJG1" s="124"/>
      <c r="UJH1" s="124"/>
      <c r="UJI1" s="124"/>
      <c r="UJJ1" s="124"/>
      <c r="UJK1" s="124"/>
      <c r="UJL1" s="124"/>
      <c r="UJM1" s="124"/>
      <c r="UJN1" s="124"/>
      <c r="UJO1" s="124"/>
      <c r="UJP1" s="124"/>
      <c r="UJQ1" s="124"/>
      <c r="UJR1" s="124"/>
      <c r="UJS1" s="124"/>
      <c r="UJT1" s="124"/>
      <c r="UJU1" s="124"/>
      <c r="UJV1" s="124"/>
      <c r="UJW1" s="124"/>
      <c r="UJX1" s="124"/>
      <c r="UJY1" s="124"/>
      <c r="UJZ1" s="124"/>
      <c r="UKA1" s="124"/>
      <c r="UKB1" s="124"/>
      <c r="UKC1" s="124"/>
      <c r="UKD1" s="124"/>
      <c r="UKE1" s="124"/>
      <c r="UKF1" s="124"/>
      <c r="UKG1" s="124"/>
      <c r="UKH1" s="124"/>
      <c r="UKI1" s="124"/>
      <c r="UKJ1" s="124"/>
      <c r="UKK1" s="124"/>
      <c r="UKL1" s="124"/>
      <c r="UKM1" s="124"/>
      <c r="UKN1" s="124"/>
      <c r="UKO1" s="124"/>
      <c r="UKP1" s="124"/>
      <c r="UKQ1" s="124"/>
      <c r="UKR1" s="124"/>
      <c r="UKS1" s="124"/>
      <c r="UKT1" s="124"/>
      <c r="UKU1" s="124"/>
      <c r="UKV1" s="124"/>
      <c r="UKW1" s="124"/>
      <c r="UKX1" s="124"/>
      <c r="UKY1" s="124"/>
      <c r="UKZ1" s="124"/>
      <c r="ULA1" s="124"/>
      <c r="ULB1" s="124"/>
      <c r="ULC1" s="124"/>
      <c r="ULD1" s="124"/>
      <c r="ULE1" s="124"/>
      <c r="ULF1" s="124"/>
      <c r="ULG1" s="124"/>
      <c r="ULH1" s="124"/>
      <c r="ULI1" s="124"/>
      <c r="ULJ1" s="124"/>
      <c r="ULK1" s="124"/>
      <c r="ULL1" s="124"/>
      <c r="ULM1" s="124"/>
      <c r="ULN1" s="124"/>
      <c r="ULO1" s="124"/>
      <c r="ULP1" s="124"/>
      <c r="ULQ1" s="124"/>
      <c r="ULR1" s="124"/>
      <c r="ULS1" s="124"/>
      <c r="ULT1" s="124"/>
      <c r="ULU1" s="124"/>
      <c r="ULV1" s="124"/>
      <c r="ULW1" s="124"/>
      <c r="ULX1" s="124"/>
      <c r="ULY1" s="124"/>
      <c r="ULZ1" s="124"/>
      <c r="UMA1" s="124"/>
      <c r="UMB1" s="124"/>
      <c r="UMC1" s="124"/>
      <c r="UMD1" s="124"/>
      <c r="UME1" s="124"/>
      <c r="UMF1" s="124"/>
      <c r="UMG1" s="124"/>
      <c r="UMH1" s="124"/>
      <c r="UMI1" s="124"/>
      <c r="UMJ1" s="124"/>
      <c r="UMK1" s="124"/>
      <c r="UML1" s="124"/>
      <c r="UMM1" s="124"/>
      <c r="UMN1" s="124"/>
      <c r="UMO1" s="124"/>
      <c r="UMP1" s="124"/>
      <c r="UMQ1" s="124"/>
      <c r="UMR1" s="124"/>
      <c r="UMS1" s="124"/>
      <c r="UMT1" s="124"/>
      <c r="UMU1" s="124"/>
      <c r="UMV1" s="124"/>
      <c r="UMW1" s="124"/>
      <c r="UMX1" s="124"/>
      <c r="UMY1" s="124"/>
      <c r="UMZ1" s="124"/>
      <c r="UNA1" s="124"/>
      <c r="UNB1" s="124"/>
      <c r="UNC1" s="124"/>
      <c r="UND1" s="124"/>
      <c r="UNE1" s="124"/>
      <c r="UNF1" s="124"/>
      <c r="UNG1" s="124"/>
      <c r="UNH1" s="124"/>
      <c r="UNI1" s="124"/>
      <c r="UNJ1" s="124"/>
      <c r="UNK1" s="124"/>
      <c r="UNL1" s="124"/>
      <c r="UNM1" s="124"/>
      <c r="UNN1" s="124"/>
      <c r="UNO1" s="124"/>
      <c r="UNP1" s="124"/>
      <c r="UNQ1" s="124"/>
      <c r="UNR1" s="124"/>
      <c r="UNS1" s="124"/>
      <c r="UNT1" s="124"/>
      <c r="UNU1" s="124"/>
      <c r="UNV1" s="124"/>
      <c r="UNW1" s="124"/>
      <c r="UNX1" s="124"/>
      <c r="UNY1" s="124"/>
      <c r="UNZ1" s="124"/>
      <c r="UOA1" s="124"/>
      <c r="UOB1" s="124"/>
      <c r="UOC1" s="124"/>
      <c r="UOD1" s="124"/>
      <c r="UOE1" s="124"/>
      <c r="UOF1" s="124"/>
      <c r="UOG1" s="124"/>
      <c r="UOH1" s="124"/>
      <c r="UOI1" s="124"/>
      <c r="UOJ1" s="124"/>
      <c r="UOK1" s="124"/>
      <c r="UOL1" s="124"/>
      <c r="UOM1" s="124"/>
      <c r="UON1" s="124"/>
      <c r="UOO1" s="124"/>
      <c r="UOP1" s="124"/>
      <c r="UOQ1" s="124"/>
      <c r="UOR1" s="124"/>
      <c r="UOS1" s="124"/>
      <c r="UOT1" s="124"/>
      <c r="UOU1" s="124"/>
      <c r="UOV1" s="124"/>
      <c r="UOW1" s="124"/>
      <c r="UOX1" s="124"/>
      <c r="UOY1" s="124"/>
      <c r="UOZ1" s="124"/>
      <c r="UPA1" s="124"/>
      <c r="UPB1" s="124"/>
      <c r="UPC1" s="124"/>
      <c r="UPD1" s="124"/>
      <c r="UPE1" s="124"/>
      <c r="UPF1" s="124"/>
      <c r="UPG1" s="124"/>
      <c r="UPH1" s="124"/>
      <c r="UPI1" s="124"/>
      <c r="UPJ1" s="124"/>
      <c r="UPK1" s="124"/>
      <c r="UPL1" s="124"/>
      <c r="UPM1" s="124"/>
      <c r="UPN1" s="124"/>
      <c r="UPO1" s="124"/>
      <c r="UPP1" s="124"/>
      <c r="UPQ1" s="124"/>
      <c r="UPR1" s="124"/>
      <c r="UPS1" s="124"/>
      <c r="UPT1" s="124"/>
      <c r="UPU1" s="124"/>
      <c r="UPV1" s="124"/>
      <c r="UPW1" s="124"/>
      <c r="UPX1" s="124"/>
      <c r="UPY1" s="124"/>
      <c r="UPZ1" s="124"/>
      <c r="UQA1" s="124"/>
      <c r="UQB1" s="124"/>
      <c r="UQC1" s="124"/>
      <c r="UQD1" s="124"/>
      <c r="UQE1" s="124"/>
      <c r="UQF1" s="124"/>
      <c r="UQG1" s="124"/>
      <c r="UQH1" s="124"/>
      <c r="UQI1" s="124"/>
      <c r="UQJ1" s="124"/>
      <c r="UQK1" s="124"/>
      <c r="UQL1" s="124"/>
      <c r="UQM1" s="124"/>
      <c r="UQN1" s="124"/>
      <c r="UQO1" s="124"/>
      <c r="UQP1" s="124"/>
      <c r="UQQ1" s="124"/>
      <c r="UQR1" s="124"/>
      <c r="UQS1" s="124"/>
      <c r="UQT1" s="124"/>
      <c r="UQU1" s="124"/>
      <c r="UQV1" s="124"/>
      <c r="UQW1" s="124"/>
      <c r="UQX1" s="124"/>
      <c r="UQY1" s="124"/>
      <c r="UQZ1" s="124"/>
      <c r="URA1" s="124"/>
      <c r="URB1" s="124"/>
      <c r="URC1" s="124"/>
      <c r="URD1" s="124"/>
      <c r="URE1" s="124"/>
      <c r="URF1" s="124"/>
      <c r="URG1" s="124"/>
      <c r="URH1" s="124"/>
      <c r="URI1" s="124"/>
      <c r="URJ1" s="124"/>
      <c r="URK1" s="124"/>
      <c r="URL1" s="124"/>
      <c r="URM1" s="124"/>
      <c r="URN1" s="124"/>
      <c r="URO1" s="124"/>
      <c r="URP1" s="124"/>
      <c r="URQ1" s="124"/>
      <c r="URR1" s="124"/>
      <c r="URS1" s="124"/>
      <c r="URT1" s="124"/>
      <c r="URU1" s="124"/>
      <c r="URV1" s="124"/>
      <c r="URW1" s="124"/>
      <c r="URX1" s="124"/>
      <c r="URY1" s="124"/>
      <c r="URZ1" s="124"/>
      <c r="USA1" s="124"/>
      <c r="USB1" s="124"/>
      <c r="USC1" s="124"/>
      <c r="USD1" s="124"/>
      <c r="USE1" s="124"/>
      <c r="USF1" s="124"/>
      <c r="USG1" s="124"/>
      <c r="USH1" s="124"/>
      <c r="USI1" s="124"/>
      <c r="USJ1" s="124"/>
      <c r="USK1" s="124"/>
      <c r="USL1" s="124"/>
      <c r="USM1" s="124"/>
      <c r="USN1" s="124"/>
      <c r="USO1" s="124"/>
      <c r="USP1" s="124"/>
      <c r="USQ1" s="124"/>
      <c r="USR1" s="124"/>
      <c r="USS1" s="124"/>
      <c r="UST1" s="124"/>
      <c r="USU1" s="124"/>
      <c r="USV1" s="124"/>
      <c r="USW1" s="124"/>
      <c r="USX1" s="124"/>
      <c r="USY1" s="124"/>
      <c r="USZ1" s="124"/>
      <c r="UTA1" s="124"/>
      <c r="UTB1" s="124"/>
      <c r="UTC1" s="124"/>
      <c r="UTD1" s="124"/>
      <c r="UTE1" s="124"/>
      <c r="UTF1" s="124"/>
      <c r="UTG1" s="124"/>
      <c r="UTH1" s="124"/>
      <c r="UTI1" s="124"/>
      <c r="UTJ1" s="124"/>
      <c r="UTK1" s="124"/>
      <c r="UTL1" s="124"/>
      <c r="UTM1" s="124"/>
      <c r="UTN1" s="124"/>
      <c r="UTO1" s="124"/>
      <c r="UTP1" s="124"/>
      <c r="UTQ1" s="124"/>
      <c r="UTR1" s="124"/>
      <c r="UTS1" s="124"/>
      <c r="UTT1" s="124"/>
      <c r="UTU1" s="124"/>
      <c r="UTV1" s="124"/>
      <c r="UTW1" s="124"/>
      <c r="UTX1" s="124"/>
      <c r="UTY1" s="124"/>
      <c r="UTZ1" s="124"/>
      <c r="UUA1" s="124"/>
      <c r="UUB1" s="124"/>
      <c r="UUC1" s="124"/>
      <c r="UUD1" s="124"/>
      <c r="UUE1" s="124"/>
      <c r="UUF1" s="124"/>
      <c r="UUG1" s="124"/>
      <c r="UUH1" s="124"/>
      <c r="UUI1" s="124"/>
      <c r="UUJ1" s="124"/>
      <c r="UUK1" s="124"/>
      <c r="UUL1" s="124"/>
      <c r="UUM1" s="124"/>
      <c r="UUN1" s="124"/>
      <c r="UUO1" s="124"/>
      <c r="UUP1" s="124"/>
      <c r="UUQ1" s="124"/>
      <c r="UUR1" s="124"/>
      <c r="UUS1" s="124"/>
      <c r="UUT1" s="124"/>
      <c r="UUU1" s="124"/>
      <c r="UUV1" s="124"/>
      <c r="UUW1" s="124"/>
      <c r="UUX1" s="124"/>
      <c r="UUY1" s="124"/>
      <c r="UUZ1" s="124"/>
      <c r="UVA1" s="124"/>
      <c r="UVB1" s="124"/>
      <c r="UVC1" s="124"/>
      <c r="UVD1" s="124"/>
      <c r="UVE1" s="124"/>
      <c r="UVF1" s="124"/>
      <c r="UVG1" s="124"/>
      <c r="UVH1" s="124"/>
      <c r="UVI1" s="124"/>
      <c r="UVJ1" s="124"/>
      <c r="UVK1" s="124"/>
      <c r="UVL1" s="124"/>
      <c r="UVM1" s="124"/>
      <c r="UVN1" s="124"/>
      <c r="UVO1" s="124"/>
      <c r="UVP1" s="124"/>
      <c r="UVQ1" s="124"/>
      <c r="UVR1" s="124"/>
      <c r="UVS1" s="124"/>
      <c r="UVT1" s="124"/>
      <c r="UVU1" s="124"/>
      <c r="UVV1" s="124"/>
      <c r="UVW1" s="124"/>
      <c r="UVX1" s="124"/>
      <c r="UVY1" s="124"/>
      <c r="UVZ1" s="124"/>
      <c r="UWA1" s="124"/>
      <c r="UWB1" s="124"/>
      <c r="UWC1" s="124"/>
      <c r="UWD1" s="124"/>
      <c r="UWE1" s="124"/>
      <c r="UWF1" s="124"/>
      <c r="UWG1" s="124"/>
      <c r="UWH1" s="124"/>
      <c r="UWI1" s="124"/>
      <c r="UWJ1" s="124"/>
      <c r="UWK1" s="124"/>
      <c r="UWL1" s="124"/>
      <c r="UWM1" s="124"/>
      <c r="UWN1" s="124"/>
      <c r="UWO1" s="124"/>
      <c r="UWP1" s="124"/>
      <c r="UWQ1" s="124"/>
      <c r="UWR1" s="124"/>
      <c r="UWS1" s="124"/>
      <c r="UWT1" s="124"/>
      <c r="UWU1" s="124"/>
      <c r="UWV1" s="124"/>
      <c r="UWW1" s="124"/>
      <c r="UWX1" s="124"/>
      <c r="UWY1" s="124"/>
      <c r="UWZ1" s="124"/>
      <c r="UXA1" s="124"/>
      <c r="UXB1" s="124"/>
      <c r="UXC1" s="124"/>
      <c r="UXD1" s="124"/>
      <c r="UXE1" s="124"/>
      <c r="UXF1" s="124"/>
      <c r="UXG1" s="124"/>
      <c r="UXH1" s="124"/>
      <c r="UXI1" s="124"/>
      <c r="UXJ1" s="124"/>
      <c r="UXK1" s="124"/>
      <c r="UXL1" s="124"/>
      <c r="UXM1" s="124"/>
      <c r="UXN1" s="124"/>
      <c r="UXO1" s="124"/>
      <c r="UXP1" s="124"/>
      <c r="UXQ1" s="124"/>
      <c r="UXR1" s="124"/>
      <c r="UXS1" s="124"/>
      <c r="UXT1" s="124"/>
      <c r="UXU1" s="124"/>
      <c r="UXV1" s="124"/>
      <c r="UXW1" s="124"/>
      <c r="UXX1" s="124"/>
      <c r="UXY1" s="124"/>
      <c r="UXZ1" s="124"/>
      <c r="UYA1" s="124"/>
      <c r="UYB1" s="124"/>
      <c r="UYC1" s="124"/>
      <c r="UYD1" s="124"/>
      <c r="UYE1" s="124"/>
      <c r="UYF1" s="124"/>
      <c r="UYG1" s="124"/>
      <c r="UYH1" s="124"/>
      <c r="UYI1" s="124"/>
      <c r="UYJ1" s="124"/>
      <c r="UYK1" s="124"/>
      <c r="UYL1" s="124"/>
      <c r="UYM1" s="124"/>
      <c r="UYN1" s="124"/>
      <c r="UYO1" s="124"/>
      <c r="UYP1" s="124"/>
      <c r="UYQ1" s="124"/>
      <c r="UYR1" s="124"/>
      <c r="UYS1" s="124"/>
      <c r="UYT1" s="124"/>
      <c r="UYU1" s="124"/>
      <c r="UYV1" s="124"/>
      <c r="UYW1" s="124"/>
      <c r="UYX1" s="124"/>
      <c r="UYY1" s="124"/>
      <c r="UYZ1" s="124"/>
      <c r="UZA1" s="124"/>
      <c r="UZB1" s="124"/>
      <c r="UZC1" s="124"/>
      <c r="UZD1" s="124"/>
      <c r="UZE1" s="124"/>
      <c r="UZF1" s="124"/>
      <c r="UZG1" s="124"/>
      <c r="UZH1" s="124"/>
      <c r="UZI1" s="124"/>
      <c r="UZJ1" s="124"/>
      <c r="UZK1" s="124"/>
      <c r="UZL1" s="124"/>
      <c r="UZM1" s="124"/>
      <c r="UZN1" s="124"/>
      <c r="UZO1" s="124"/>
      <c r="UZP1" s="124"/>
      <c r="UZQ1" s="124"/>
      <c r="UZR1" s="124"/>
      <c r="UZS1" s="124"/>
      <c r="UZT1" s="124"/>
      <c r="UZU1" s="124"/>
      <c r="UZV1" s="124"/>
      <c r="UZW1" s="124"/>
      <c r="UZX1" s="124"/>
      <c r="UZY1" s="124"/>
      <c r="UZZ1" s="124"/>
      <c r="VAA1" s="124"/>
      <c r="VAB1" s="124"/>
      <c r="VAC1" s="124"/>
      <c r="VAD1" s="124"/>
      <c r="VAE1" s="124"/>
      <c r="VAF1" s="124"/>
      <c r="VAG1" s="124"/>
      <c r="VAH1" s="124"/>
      <c r="VAI1" s="124"/>
      <c r="VAJ1" s="124"/>
      <c r="VAK1" s="124"/>
      <c r="VAL1" s="124"/>
      <c r="VAM1" s="124"/>
      <c r="VAN1" s="124"/>
      <c r="VAO1" s="124"/>
      <c r="VAP1" s="124"/>
      <c r="VAQ1" s="124"/>
      <c r="VAR1" s="124"/>
      <c r="VAS1" s="124"/>
      <c r="VAT1" s="124"/>
      <c r="VAU1" s="124"/>
      <c r="VAV1" s="124"/>
      <c r="VAW1" s="124"/>
      <c r="VAX1" s="124"/>
      <c r="VAY1" s="124"/>
      <c r="VAZ1" s="124"/>
      <c r="VBA1" s="124"/>
      <c r="VBB1" s="124"/>
      <c r="VBC1" s="124"/>
      <c r="VBD1" s="124"/>
      <c r="VBE1" s="124"/>
      <c r="VBF1" s="124"/>
      <c r="VBG1" s="124"/>
      <c r="VBH1" s="124"/>
      <c r="VBI1" s="124"/>
      <c r="VBJ1" s="124"/>
      <c r="VBK1" s="124"/>
      <c r="VBL1" s="124"/>
      <c r="VBM1" s="124"/>
      <c r="VBN1" s="124"/>
      <c r="VBO1" s="124"/>
      <c r="VBP1" s="124"/>
      <c r="VBQ1" s="124"/>
      <c r="VBR1" s="124"/>
      <c r="VBS1" s="124"/>
      <c r="VBT1" s="124"/>
      <c r="VBU1" s="124"/>
      <c r="VBV1" s="124"/>
      <c r="VBW1" s="124"/>
      <c r="VBX1" s="124"/>
      <c r="VBY1" s="124"/>
      <c r="VBZ1" s="124"/>
      <c r="VCA1" s="124"/>
      <c r="VCB1" s="124"/>
      <c r="VCC1" s="124"/>
      <c r="VCD1" s="124"/>
      <c r="VCE1" s="124"/>
      <c r="VCF1" s="124"/>
      <c r="VCG1" s="124"/>
      <c r="VCH1" s="124"/>
      <c r="VCI1" s="124"/>
      <c r="VCJ1" s="124"/>
      <c r="VCK1" s="124"/>
      <c r="VCL1" s="124"/>
      <c r="VCM1" s="124"/>
      <c r="VCN1" s="124"/>
      <c r="VCO1" s="124"/>
      <c r="VCP1" s="124"/>
      <c r="VCQ1" s="124"/>
      <c r="VCR1" s="124"/>
      <c r="VCS1" s="124"/>
      <c r="VCT1" s="124"/>
      <c r="VCU1" s="124"/>
      <c r="VCV1" s="124"/>
      <c r="VCW1" s="124"/>
      <c r="VCX1" s="124"/>
      <c r="VCY1" s="124"/>
      <c r="VCZ1" s="124"/>
      <c r="VDA1" s="124"/>
      <c r="VDB1" s="124"/>
      <c r="VDC1" s="124"/>
      <c r="VDD1" s="124"/>
      <c r="VDE1" s="124"/>
      <c r="VDF1" s="124"/>
      <c r="VDG1" s="124"/>
      <c r="VDH1" s="124"/>
      <c r="VDI1" s="124"/>
      <c r="VDJ1" s="124"/>
      <c r="VDK1" s="124"/>
      <c r="VDL1" s="124"/>
      <c r="VDM1" s="124"/>
      <c r="VDN1" s="124"/>
      <c r="VDO1" s="124"/>
      <c r="VDP1" s="124"/>
      <c r="VDQ1" s="124"/>
      <c r="VDR1" s="124"/>
      <c r="VDS1" s="124"/>
      <c r="VDT1" s="124"/>
      <c r="VDU1" s="124"/>
      <c r="VDV1" s="124"/>
      <c r="VDW1" s="124"/>
      <c r="VDX1" s="124"/>
      <c r="VDY1" s="124"/>
      <c r="VDZ1" s="124"/>
      <c r="VEA1" s="124"/>
      <c r="VEB1" s="124"/>
      <c r="VEC1" s="124"/>
      <c r="VED1" s="124"/>
      <c r="VEE1" s="124"/>
      <c r="VEF1" s="124"/>
      <c r="VEG1" s="124"/>
      <c r="VEH1" s="124"/>
      <c r="VEI1" s="124"/>
      <c r="VEJ1" s="124"/>
      <c r="VEK1" s="124"/>
      <c r="VEL1" s="124"/>
      <c r="VEM1" s="124"/>
      <c r="VEN1" s="124"/>
      <c r="VEO1" s="124"/>
      <c r="VEP1" s="124"/>
      <c r="VEQ1" s="124"/>
      <c r="VER1" s="124"/>
      <c r="VES1" s="124"/>
      <c r="VET1" s="124"/>
      <c r="VEU1" s="124"/>
      <c r="VEV1" s="124"/>
      <c r="VEW1" s="124"/>
      <c r="VEX1" s="124"/>
      <c r="VEY1" s="124"/>
      <c r="VEZ1" s="124"/>
      <c r="VFA1" s="124"/>
      <c r="VFB1" s="124"/>
      <c r="VFC1" s="124"/>
      <c r="VFD1" s="124"/>
      <c r="VFE1" s="124"/>
      <c r="VFF1" s="124"/>
      <c r="VFG1" s="124"/>
      <c r="VFH1" s="124"/>
      <c r="VFI1" s="124"/>
      <c r="VFJ1" s="124"/>
      <c r="VFK1" s="124"/>
      <c r="VFL1" s="124"/>
      <c r="VFM1" s="124"/>
      <c r="VFN1" s="124"/>
      <c r="VFO1" s="124"/>
      <c r="VFP1" s="124"/>
      <c r="VFQ1" s="124"/>
      <c r="VFR1" s="124"/>
      <c r="VFS1" s="124"/>
      <c r="VFT1" s="124"/>
      <c r="VFU1" s="124"/>
      <c r="VFV1" s="124"/>
      <c r="VFW1" s="124"/>
      <c r="VFX1" s="124"/>
      <c r="VFY1" s="124"/>
      <c r="VFZ1" s="124"/>
      <c r="VGA1" s="124"/>
      <c r="VGB1" s="124"/>
      <c r="VGC1" s="124"/>
      <c r="VGD1" s="124"/>
      <c r="VGE1" s="124"/>
      <c r="VGF1" s="124"/>
      <c r="VGG1" s="124"/>
      <c r="VGH1" s="124"/>
      <c r="VGI1" s="124"/>
      <c r="VGJ1" s="124"/>
      <c r="VGK1" s="124"/>
      <c r="VGL1" s="124"/>
      <c r="VGM1" s="124"/>
      <c r="VGN1" s="124"/>
      <c r="VGO1" s="124"/>
      <c r="VGP1" s="124"/>
      <c r="VGQ1" s="124"/>
      <c r="VGR1" s="124"/>
      <c r="VGS1" s="124"/>
      <c r="VGT1" s="124"/>
      <c r="VGU1" s="124"/>
      <c r="VGV1" s="124"/>
      <c r="VGW1" s="124"/>
      <c r="VGX1" s="124"/>
      <c r="VGY1" s="124"/>
      <c r="VGZ1" s="124"/>
      <c r="VHA1" s="124"/>
      <c r="VHB1" s="124"/>
      <c r="VHC1" s="124"/>
      <c r="VHD1" s="124"/>
      <c r="VHE1" s="124"/>
      <c r="VHF1" s="124"/>
      <c r="VHG1" s="124"/>
      <c r="VHH1" s="124"/>
      <c r="VHI1" s="124"/>
      <c r="VHJ1" s="124"/>
      <c r="VHK1" s="124"/>
      <c r="VHL1" s="124"/>
      <c r="VHM1" s="124"/>
      <c r="VHN1" s="124"/>
      <c r="VHO1" s="124"/>
      <c r="VHP1" s="124"/>
      <c r="VHQ1" s="124"/>
      <c r="VHR1" s="124"/>
      <c r="VHS1" s="124"/>
      <c r="VHT1" s="124"/>
      <c r="VHU1" s="124"/>
      <c r="VHV1" s="124"/>
      <c r="VHW1" s="124"/>
      <c r="VHX1" s="124"/>
      <c r="VHY1" s="124"/>
      <c r="VHZ1" s="124"/>
      <c r="VIA1" s="124"/>
      <c r="VIB1" s="124"/>
      <c r="VIC1" s="124"/>
      <c r="VID1" s="124"/>
      <c r="VIE1" s="124"/>
      <c r="VIF1" s="124"/>
      <c r="VIG1" s="124"/>
      <c r="VIH1" s="124"/>
      <c r="VII1" s="124"/>
      <c r="VIJ1" s="124"/>
      <c r="VIK1" s="124"/>
      <c r="VIL1" s="124"/>
      <c r="VIM1" s="124"/>
      <c r="VIN1" s="124"/>
      <c r="VIO1" s="124"/>
      <c r="VIP1" s="124"/>
      <c r="VIQ1" s="124"/>
      <c r="VIR1" s="124"/>
      <c r="VIS1" s="124"/>
      <c r="VIT1" s="124"/>
      <c r="VIU1" s="124"/>
      <c r="VIV1" s="124"/>
      <c r="VIW1" s="124"/>
      <c r="VIX1" s="124"/>
      <c r="VIY1" s="124"/>
      <c r="VIZ1" s="124"/>
      <c r="VJA1" s="124"/>
      <c r="VJB1" s="124"/>
      <c r="VJC1" s="124"/>
      <c r="VJD1" s="124"/>
      <c r="VJE1" s="124"/>
      <c r="VJF1" s="124"/>
      <c r="VJG1" s="124"/>
      <c r="VJH1" s="124"/>
      <c r="VJI1" s="124"/>
      <c r="VJJ1" s="124"/>
      <c r="VJK1" s="124"/>
      <c r="VJL1" s="124"/>
      <c r="VJM1" s="124"/>
      <c r="VJN1" s="124"/>
      <c r="VJO1" s="124"/>
      <c r="VJP1" s="124"/>
      <c r="VJQ1" s="124"/>
      <c r="VJR1" s="124"/>
      <c r="VJS1" s="124"/>
      <c r="VJT1" s="124"/>
      <c r="VJU1" s="124"/>
      <c r="VJV1" s="124"/>
      <c r="VJW1" s="124"/>
      <c r="VJX1" s="124"/>
      <c r="VJY1" s="124"/>
      <c r="VJZ1" s="124"/>
      <c r="VKA1" s="124"/>
      <c r="VKB1" s="124"/>
      <c r="VKC1" s="124"/>
      <c r="VKD1" s="124"/>
      <c r="VKE1" s="124"/>
      <c r="VKF1" s="124"/>
      <c r="VKG1" s="124"/>
      <c r="VKH1" s="124"/>
      <c r="VKI1" s="124"/>
      <c r="VKJ1" s="124"/>
      <c r="VKK1" s="124"/>
      <c r="VKL1" s="124"/>
      <c r="VKM1" s="124"/>
      <c r="VKN1" s="124"/>
      <c r="VKO1" s="124"/>
      <c r="VKP1" s="124"/>
      <c r="VKQ1" s="124"/>
      <c r="VKR1" s="124"/>
      <c r="VKS1" s="124"/>
      <c r="VKT1" s="124"/>
      <c r="VKU1" s="124"/>
      <c r="VKV1" s="124"/>
      <c r="VKW1" s="124"/>
      <c r="VKX1" s="124"/>
      <c r="VKY1" s="124"/>
      <c r="VKZ1" s="124"/>
      <c r="VLA1" s="124"/>
      <c r="VLB1" s="124"/>
      <c r="VLC1" s="124"/>
      <c r="VLD1" s="124"/>
      <c r="VLE1" s="124"/>
      <c r="VLF1" s="124"/>
      <c r="VLG1" s="124"/>
      <c r="VLH1" s="124"/>
      <c r="VLI1" s="124"/>
      <c r="VLJ1" s="124"/>
      <c r="VLK1" s="124"/>
      <c r="VLL1" s="124"/>
      <c r="VLM1" s="124"/>
      <c r="VLN1" s="124"/>
      <c r="VLO1" s="124"/>
      <c r="VLP1" s="124"/>
      <c r="VLQ1" s="124"/>
      <c r="VLR1" s="124"/>
      <c r="VLS1" s="124"/>
      <c r="VLT1" s="124"/>
      <c r="VLU1" s="124"/>
      <c r="VLV1" s="124"/>
      <c r="VLW1" s="124"/>
      <c r="VLX1" s="124"/>
      <c r="VLY1" s="124"/>
      <c r="VLZ1" s="124"/>
      <c r="VMA1" s="124"/>
      <c r="VMB1" s="124"/>
      <c r="VMC1" s="124"/>
      <c r="VMD1" s="124"/>
      <c r="VME1" s="124"/>
      <c r="VMF1" s="124"/>
      <c r="VMG1" s="124"/>
      <c r="VMH1" s="124"/>
      <c r="VMI1" s="124"/>
      <c r="VMJ1" s="124"/>
      <c r="VMK1" s="124"/>
      <c r="VML1" s="124"/>
      <c r="VMM1" s="124"/>
      <c r="VMN1" s="124"/>
      <c r="VMO1" s="124"/>
      <c r="VMP1" s="124"/>
      <c r="VMQ1" s="124"/>
      <c r="VMR1" s="124"/>
      <c r="VMS1" s="124"/>
      <c r="VMT1" s="124"/>
      <c r="VMU1" s="124"/>
      <c r="VMV1" s="124"/>
      <c r="VMW1" s="124"/>
      <c r="VMX1" s="124"/>
      <c r="VMY1" s="124"/>
      <c r="VMZ1" s="124"/>
      <c r="VNA1" s="124"/>
      <c r="VNB1" s="124"/>
      <c r="VNC1" s="124"/>
      <c r="VND1" s="124"/>
      <c r="VNE1" s="124"/>
      <c r="VNF1" s="124"/>
      <c r="VNG1" s="124"/>
      <c r="VNH1" s="124"/>
      <c r="VNI1" s="124"/>
      <c r="VNJ1" s="124"/>
      <c r="VNK1" s="124"/>
      <c r="VNL1" s="124"/>
      <c r="VNM1" s="124"/>
      <c r="VNN1" s="124"/>
      <c r="VNO1" s="124"/>
      <c r="VNP1" s="124"/>
      <c r="VNQ1" s="124"/>
      <c r="VNR1" s="124"/>
      <c r="VNS1" s="124"/>
      <c r="VNT1" s="124"/>
      <c r="VNU1" s="124"/>
      <c r="VNV1" s="124"/>
      <c r="VNW1" s="124"/>
      <c r="VNX1" s="124"/>
      <c r="VNY1" s="124"/>
      <c r="VNZ1" s="124"/>
      <c r="VOA1" s="124"/>
      <c r="VOB1" s="124"/>
      <c r="VOC1" s="124"/>
      <c r="VOD1" s="124"/>
      <c r="VOE1" s="124"/>
      <c r="VOF1" s="124"/>
      <c r="VOG1" s="124"/>
      <c r="VOH1" s="124"/>
      <c r="VOI1" s="124"/>
      <c r="VOJ1" s="124"/>
      <c r="VOK1" s="124"/>
      <c r="VOL1" s="124"/>
      <c r="VOM1" s="124"/>
      <c r="VON1" s="124"/>
      <c r="VOO1" s="124"/>
      <c r="VOP1" s="124"/>
      <c r="VOQ1" s="124"/>
      <c r="VOR1" s="124"/>
      <c r="VOS1" s="124"/>
      <c r="VOT1" s="124"/>
      <c r="VOU1" s="124"/>
      <c r="VOV1" s="124"/>
      <c r="VOW1" s="124"/>
      <c r="VOX1" s="124"/>
      <c r="VOY1" s="124"/>
      <c r="VOZ1" s="124"/>
      <c r="VPA1" s="124"/>
      <c r="VPB1" s="124"/>
      <c r="VPC1" s="124"/>
      <c r="VPD1" s="124"/>
      <c r="VPE1" s="124"/>
      <c r="VPF1" s="124"/>
      <c r="VPG1" s="124"/>
      <c r="VPH1" s="124"/>
      <c r="VPI1" s="124"/>
      <c r="VPJ1" s="124"/>
      <c r="VPK1" s="124"/>
      <c r="VPL1" s="124"/>
      <c r="VPM1" s="124"/>
      <c r="VPN1" s="124"/>
      <c r="VPO1" s="124"/>
      <c r="VPP1" s="124"/>
      <c r="VPQ1" s="124"/>
      <c r="VPR1" s="124"/>
      <c r="VPS1" s="124"/>
      <c r="VPT1" s="124"/>
      <c r="VPU1" s="124"/>
      <c r="VPV1" s="124"/>
      <c r="VPW1" s="124"/>
      <c r="VPX1" s="124"/>
      <c r="VPY1" s="124"/>
      <c r="VPZ1" s="124"/>
      <c r="VQA1" s="124"/>
      <c r="VQB1" s="124"/>
      <c r="VQC1" s="124"/>
      <c r="VQD1" s="124"/>
      <c r="VQE1" s="124"/>
      <c r="VQF1" s="124"/>
      <c r="VQG1" s="124"/>
      <c r="VQH1" s="124"/>
      <c r="VQI1" s="124"/>
      <c r="VQJ1" s="124"/>
      <c r="VQK1" s="124"/>
      <c r="VQL1" s="124"/>
      <c r="VQM1" s="124"/>
      <c r="VQN1" s="124"/>
      <c r="VQO1" s="124"/>
      <c r="VQP1" s="124"/>
      <c r="VQQ1" s="124"/>
      <c r="VQR1" s="124"/>
      <c r="VQS1" s="124"/>
      <c r="VQT1" s="124"/>
      <c r="VQU1" s="124"/>
      <c r="VQV1" s="124"/>
      <c r="VQW1" s="124"/>
      <c r="VQX1" s="124"/>
      <c r="VQY1" s="124"/>
      <c r="VQZ1" s="124"/>
      <c r="VRA1" s="124"/>
      <c r="VRB1" s="124"/>
      <c r="VRC1" s="124"/>
      <c r="VRD1" s="124"/>
      <c r="VRE1" s="124"/>
      <c r="VRF1" s="124"/>
      <c r="VRG1" s="124"/>
      <c r="VRH1" s="124"/>
      <c r="VRI1" s="124"/>
      <c r="VRJ1" s="124"/>
      <c r="VRK1" s="124"/>
      <c r="VRL1" s="124"/>
      <c r="VRM1" s="124"/>
      <c r="VRN1" s="124"/>
      <c r="VRO1" s="124"/>
      <c r="VRP1" s="124"/>
      <c r="VRQ1" s="124"/>
      <c r="VRR1" s="124"/>
      <c r="VRS1" s="124"/>
      <c r="VRT1" s="124"/>
      <c r="VRU1" s="124"/>
      <c r="VRV1" s="124"/>
      <c r="VRW1" s="124"/>
      <c r="VRX1" s="124"/>
      <c r="VRY1" s="124"/>
      <c r="VRZ1" s="124"/>
      <c r="VSA1" s="124"/>
      <c r="VSB1" s="124"/>
      <c r="VSC1" s="124"/>
      <c r="VSD1" s="124"/>
      <c r="VSE1" s="124"/>
      <c r="VSF1" s="124"/>
      <c r="VSG1" s="124"/>
      <c r="VSH1" s="124"/>
      <c r="VSI1" s="124"/>
      <c r="VSJ1" s="124"/>
      <c r="VSK1" s="124"/>
      <c r="VSL1" s="124"/>
      <c r="VSM1" s="124"/>
      <c r="VSN1" s="124"/>
      <c r="VSO1" s="124"/>
      <c r="VSP1" s="124"/>
      <c r="VSQ1" s="124"/>
      <c r="VSR1" s="124"/>
      <c r="VSS1" s="124"/>
      <c r="VST1" s="124"/>
      <c r="VSU1" s="124"/>
      <c r="VSV1" s="124"/>
      <c r="VSW1" s="124"/>
      <c r="VSX1" s="124"/>
      <c r="VSY1" s="124"/>
      <c r="VSZ1" s="124"/>
      <c r="VTA1" s="124"/>
      <c r="VTB1" s="124"/>
      <c r="VTC1" s="124"/>
      <c r="VTD1" s="124"/>
      <c r="VTE1" s="124"/>
      <c r="VTF1" s="124"/>
      <c r="VTG1" s="124"/>
      <c r="VTH1" s="124"/>
      <c r="VTI1" s="124"/>
      <c r="VTJ1" s="124"/>
      <c r="VTK1" s="124"/>
      <c r="VTL1" s="124"/>
      <c r="VTM1" s="124"/>
      <c r="VTN1" s="124"/>
      <c r="VTO1" s="124"/>
      <c r="VTP1" s="124"/>
      <c r="VTQ1" s="124"/>
      <c r="VTR1" s="124"/>
      <c r="VTS1" s="124"/>
      <c r="VTT1" s="124"/>
      <c r="VTU1" s="124"/>
      <c r="VTV1" s="124"/>
      <c r="VTW1" s="124"/>
      <c r="VTX1" s="124"/>
      <c r="VTY1" s="124"/>
      <c r="VTZ1" s="124"/>
      <c r="VUA1" s="124"/>
      <c r="VUB1" s="124"/>
      <c r="VUC1" s="124"/>
      <c r="VUD1" s="124"/>
      <c r="VUE1" s="124"/>
      <c r="VUF1" s="124"/>
      <c r="VUG1" s="124"/>
      <c r="VUH1" s="124"/>
      <c r="VUI1" s="124"/>
      <c r="VUJ1" s="124"/>
      <c r="VUK1" s="124"/>
      <c r="VUL1" s="124"/>
      <c r="VUM1" s="124"/>
      <c r="VUN1" s="124"/>
      <c r="VUO1" s="124"/>
      <c r="VUP1" s="124"/>
      <c r="VUQ1" s="124"/>
      <c r="VUR1" s="124"/>
      <c r="VUS1" s="124"/>
      <c r="VUT1" s="124"/>
      <c r="VUU1" s="124"/>
      <c r="VUV1" s="124"/>
      <c r="VUW1" s="124"/>
      <c r="VUX1" s="124"/>
      <c r="VUY1" s="124"/>
      <c r="VUZ1" s="124"/>
      <c r="VVA1" s="124"/>
      <c r="VVB1" s="124"/>
      <c r="VVC1" s="124"/>
      <c r="VVD1" s="124"/>
      <c r="VVE1" s="124"/>
      <c r="VVF1" s="124"/>
      <c r="VVG1" s="124"/>
      <c r="VVH1" s="124"/>
      <c r="VVI1" s="124"/>
      <c r="VVJ1" s="124"/>
      <c r="VVK1" s="124"/>
      <c r="VVL1" s="124"/>
      <c r="VVM1" s="124"/>
      <c r="VVN1" s="124"/>
      <c r="VVO1" s="124"/>
      <c r="VVP1" s="124"/>
      <c r="VVQ1" s="124"/>
      <c r="VVR1" s="124"/>
      <c r="VVS1" s="124"/>
      <c r="VVT1" s="124"/>
      <c r="VVU1" s="124"/>
      <c r="VVV1" s="124"/>
      <c r="VVW1" s="124"/>
      <c r="VVX1" s="124"/>
      <c r="VVY1" s="124"/>
      <c r="VVZ1" s="124"/>
      <c r="VWA1" s="124"/>
      <c r="VWB1" s="124"/>
      <c r="VWC1" s="124"/>
      <c r="VWD1" s="124"/>
      <c r="VWE1" s="124"/>
      <c r="VWF1" s="124"/>
      <c r="VWG1" s="124"/>
      <c r="VWH1" s="124"/>
      <c r="VWI1" s="124"/>
      <c r="VWJ1" s="124"/>
      <c r="VWK1" s="124"/>
      <c r="VWL1" s="124"/>
      <c r="VWM1" s="124"/>
      <c r="VWN1" s="124"/>
      <c r="VWO1" s="124"/>
      <c r="VWP1" s="124"/>
      <c r="VWQ1" s="124"/>
      <c r="VWR1" s="124"/>
      <c r="VWS1" s="124"/>
      <c r="VWT1" s="124"/>
      <c r="VWU1" s="124"/>
      <c r="VWV1" s="124"/>
      <c r="VWW1" s="124"/>
      <c r="VWX1" s="124"/>
      <c r="VWY1" s="124"/>
      <c r="VWZ1" s="124"/>
      <c r="VXA1" s="124"/>
      <c r="VXB1" s="124"/>
      <c r="VXC1" s="124"/>
      <c r="VXD1" s="124"/>
      <c r="VXE1" s="124"/>
      <c r="VXF1" s="124"/>
      <c r="VXG1" s="124"/>
      <c r="VXH1" s="124"/>
      <c r="VXI1" s="124"/>
      <c r="VXJ1" s="124"/>
      <c r="VXK1" s="124"/>
      <c r="VXL1" s="124"/>
      <c r="VXM1" s="124"/>
      <c r="VXN1" s="124"/>
      <c r="VXO1" s="124"/>
      <c r="VXP1" s="124"/>
      <c r="VXQ1" s="124"/>
      <c r="VXR1" s="124"/>
      <c r="VXS1" s="124"/>
      <c r="VXT1" s="124"/>
      <c r="VXU1" s="124"/>
      <c r="VXV1" s="124"/>
      <c r="VXW1" s="124"/>
      <c r="VXX1" s="124"/>
      <c r="VXY1" s="124"/>
      <c r="VXZ1" s="124"/>
      <c r="VYA1" s="124"/>
      <c r="VYB1" s="124"/>
      <c r="VYC1" s="124"/>
      <c r="VYD1" s="124"/>
      <c r="VYE1" s="124"/>
      <c r="VYF1" s="124"/>
      <c r="VYG1" s="124"/>
      <c r="VYH1" s="124"/>
      <c r="VYI1" s="124"/>
      <c r="VYJ1" s="124"/>
      <c r="VYK1" s="124"/>
      <c r="VYL1" s="124"/>
      <c r="VYM1" s="124"/>
      <c r="VYN1" s="124"/>
      <c r="VYO1" s="124"/>
      <c r="VYP1" s="124"/>
      <c r="VYQ1" s="124"/>
      <c r="VYR1" s="124"/>
      <c r="VYS1" s="124"/>
      <c r="VYT1" s="124"/>
      <c r="VYU1" s="124"/>
      <c r="VYV1" s="124"/>
      <c r="VYW1" s="124"/>
      <c r="VYX1" s="124"/>
      <c r="VYY1" s="124"/>
      <c r="VYZ1" s="124"/>
      <c r="VZA1" s="124"/>
      <c r="VZB1" s="124"/>
      <c r="VZC1" s="124"/>
      <c r="VZD1" s="124"/>
      <c r="VZE1" s="124"/>
      <c r="VZF1" s="124"/>
      <c r="VZG1" s="124"/>
      <c r="VZH1" s="124"/>
      <c r="VZI1" s="124"/>
      <c r="VZJ1" s="124"/>
      <c r="VZK1" s="124"/>
      <c r="VZL1" s="124"/>
      <c r="VZM1" s="124"/>
      <c r="VZN1" s="124"/>
      <c r="VZO1" s="124"/>
      <c r="VZP1" s="124"/>
      <c r="VZQ1" s="124"/>
      <c r="VZR1" s="124"/>
      <c r="VZS1" s="124"/>
      <c r="VZT1" s="124"/>
      <c r="VZU1" s="124"/>
      <c r="VZV1" s="124"/>
      <c r="VZW1" s="124"/>
      <c r="VZX1" s="124"/>
      <c r="VZY1" s="124"/>
      <c r="VZZ1" s="124"/>
      <c r="WAA1" s="124"/>
      <c r="WAB1" s="124"/>
      <c r="WAC1" s="124"/>
      <c r="WAD1" s="124"/>
      <c r="WAE1" s="124"/>
      <c r="WAF1" s="124"/>
      <c r="WAG1" s="124"/>
      <c r="WAH1" s="124"/>
      <c r="WAI1" s="124"/>
      <c r="WAJ1" s="124"/>
      <c r="WAK1" s="124"/>
      <c r="WAL1" s="124"/>
      <c r="WAM1" s="124"/>
      <c r="WAN1" s="124"/>
      <c r="WAO1" s="124"/>
      <c r="WAP1" s="124"/>
      <c r="WAQ1" s="124"/>
      <c r="WAR1" s="124"/>
      <c r="WAS1" s="124"/>
      <c r="WAT1" s="124"/>
      <c r="WAU1" s="124"/>
      <c r="WAV1" s="124"/>
      <c r="WAW1" s="124"/>
      <c r="WAX1" s="124"/>
      <c r="WAY1" s="124"/>
      <c r="WAZ1" s="124"/>
      <c r="WBA1" s="124"/>
      <c r="WBB1" s="124"/>
      <c r="WBC1" s="124"/>
      <c r="WBD1" s="124"/>
      <c r="WBE1" s="124"/>
      <c r="WBF1" s="124"/>
      <c r="WBG1" s="124"/>
      <c r="WBH1" s="124"/>
      <c r="WBI1" s="124"/>
      <c r="WBJ1" s="124"/>
      <c r="WBK1" s="124"/>
      <c r="WBL1" s="124"/>
      <c r="WBM1" s="124"/>
      <c r="WBN1" s="124"/>
      <c r="WBO1" s="124"/>
      <c r="WBP1" s="124"/>
      <c r="WBQ1" s="124"/>
      <c r="WBR1" s="124"/>
      <c r="WBS1" s="124"/>
      <c r="WBT1" s="124"/>
      <c r="WBU1" s="124"/>
      <c r="WBV1" s="124"/>
      <c r="WBW1" s="124"/>
      <c r="WBX1" s="124"/>
      <c r="WBY1" s="124"/>
      <c r="WBZ1" s="124"/>
      <c r="WCA1" s="124"/>
      <c r="WCB1" s="124"/>
      <c r="WCC1" s="124"/>
      <c r="WCD1" s="124"/>
      <c r="WCE1" s="124"/>
      <c r="WCF1" s="124"/>
      <c r="WCG1" s="124"/>
      <c r="WCH1" s="124"/>
      <c r="WCI1" s="124"/>
      <c r="WCJ1" s="124"/>
      <c r="WCK1" s="124"/>
      <c r="WCL1" s="124"/>
      <c r="WCM1" s="124"/>
      <c r="WCN1" s="124"/>
      <c r="WCO1" s="124"/>
      <c r="WCP1" s="124"/>
      <c r="WCQ1" s="124"/>
      <c r="WCR1" s="124"/>
      <c r="WCS1" s="124"/>
      <c r="WCT1" s="124"/>
      <c r="WCU1" s="124"/>
      <c r="WCV1" s="124"/>
      <c r="WCW1" s="124"/>
      <c r="WCX1" s="124"/>
      <c r="WCY1" s="124"/>
      <c r="WCZ1" s="124"/>
      <c r="WDA1" s="124"/>
      <c r="WDB1" s="124"/>
      <c r="WDC1" s="124"/>
      <c r="WDD1" s="124"/>
      <c r="WDE1" s="124"/>
      <c r="WDF1" s="124"/>
      <c r="WDG1" s="124"/>
      <c r="WDH1" s="124"/>
      <c r="WDI1" s="124"/>
      <c r="WDJ1" s="124"/>
      <c r="WDK1" s="124"/>
      <c r="WDL1" s="124"/>
      <c r="WDM1" s="124"/>
      <c r="WDN1" s="124"/>
      <c r="WDO1" s="124"/>
      <c r="WDP1" s="124"/>
      <c r="WDQ1" s="124"/>
      <c r="WDR1" s="124"/>
      <c r="WDS1" s="124"/>
      <c r="WDT1" s="124"/>
      <c r="WDU1" s="124"/>
      <c r="WDV1" s="124"/>
      <c r="WDW1" s="124"/>
      <c r="WDX1" s="124"/>
      <c r="WDY1" s="124"/>
      <c r="WDZ1" s="124"/>
      <c r="WEA1" s="124"/>
      <c r="WEB1" s="124"/>
      <c r="WEC1" s="124"/>
      <c r="WED1" s="124"/>
      <c r="WEE1" s="124"/>
      <c r="WEF1" s="124"/>
      <c r="WEG1" s="124"/>
      <c r="WEH1" s="124"/>
      <c r="WEI1" s="124"/>
      <c r="WEJ1" s="124"/>
      <c r="WEK1" s="124"/>
      <c r="WEL1" s="124"/>
      <c r="WEM1" s="124"/>
      <c r="WEN1" s="124"/>
      <c r="WEO1" s="124"/>
      <c r="WEP1" s="124"/>
      <c r="WEQ1" s="124"/>
      <c r="WER1" s="124"/>
      <c r="WES1" s="124"/>
      <c r="WET1" s="124"/>
      <c r="WEU1" s="124"/>
      <c r="WEV1" s="124"/>
      <c r="WEW1" s="124"/>
      <c r="WEX1" s="124"/>
      <c r="WEY1" s="124"/>
      <c r="WEZ1" s="124"/>
      <c r="WFA1" s="124"/>
      <c r="WFB1" s="124"/>
      <c r="WFC1" s="124"/>
      <c r="WFD1" s="124"/>
      <c r="WFE1" s="124"/>
      <c r="WFF1" s="124"/>
      <c r="WFG1" s="124"/>
      <c r="WFH1" s="124"/>
      <c r="WFI1" s="124"/>
      <c r="WFJ1" s="124"/>
      <c r="WFK1" s="124"/>
      <c r="WFL1" s="124"/>
      <c r="WFM1" s="124"/>
      <c r="WFN1" s="124"/>
      <c r="WFO1" s="124"/>
      <c r="WFP1" s="124"/>
      <c r="WFQ1" s="124"/>
      <c r="WFR1" s="124"/>
      <c r="WFS1" s="124"/>
      <c r="WFT1" s="124"/>
      <c r="WFU1" s="124"/>
      <c r="WFV1" s="124"/>
      <c r="WFW1" s="124"/>
      <c r="WFX1" s="124"/>
      <c r="WFY1" s="124"/>
      <c r="WFZ1" s="124"/>
      <c r="WGA1" s="124"/>
      <c r="WGB1" s="124"/>
      <c r="WGC1" s="124"/>
      <c r="WGD1" s="124"/>
      <c r="WGE1" s="124"/>
      <c r="WGF1" s="124"/>
      <c r="WGG1" s="124"/>
      <c r="WGH1" s="124"/>
      <c r="WGI1" s="124"/>
      <c r="WGJ1" s="124"/>
      <c r="WGK1" s="124"/>
      <c r="WGL1" s="124"/>
      <c r="WGM1" s="124"/>
      <c r="WGN1" s="124"/>
      <c r="WGO1" s="124"/>
      <c r="WGP1" s="124"/>
      <c r="WGQ1" s="124"/>
      <c r="WGR1" s="124"/>
      <c r="WGS1" s="124"/>
      <c r="WGT1" s="124"/>
      <c r="WGU1" s="124"/>
      <c r="WGV1" s="124"/>
      <c r="WGW1" s="124"/>
      <c r="WGX1" s="124"/>
      <c r="WGY1" s="124"/>
      <c r="WGZ1" s="124"/>
      <c r="WHA1" s="124"/>
      <c r="WHB1" s="124"/>
      <c r="WHC1" s="124"/>
      <c r="WHD1" s="124"/>
      <c r="WHE1" s="124"/>
      <c r="WHF1" s="124"/>
      <c r="WHG1" s="124"/>
      <c r="WHH1" s="124"/>
      <c r="WHI1" s="124"/>
      <c r="WHJ1" s="124"/>
      <c r="WHK1" s="124"/>
      <c r="WHL1" s="124"/>
      <c r="WHM1" s="124"/>
      <c r="WHN1" s="124"/>
      <c r="WHO1" s="124"/>
      <c r="WHP1" s="124"/>
      <c r="WHQ1" s="124"/>
      <c r="WHR1" s="124"/>
      <c r="WHS1" s="124"/>
      <c r="WHT1" s="124"/>
      <c r="WHU1" s="124"/>
      <c r="WHV1" s="124"/>
      <c r="WHW1" s="124"/>
      <c r="WHX1" s="124"/>
      <c r="WHY1" s="124"/>
      <c r="WHZ1" s="124"/>
      <c r="WIA1" s="124"/>
      <c r="WIB1" s="124"/>
      <c r="WIC1" s="124"/>
      <c r="WID1" s="124"/>
      <c r="WIE1" s="124"/>
      <c r="WIF1" s="124"/>
      <c r="WIG1" s="124"/>
      <c r="WIH1" s="124"/>
      <c r="WII1" s="124"/>
      <c r="WIJ1" s="124"/>
      <c r="WIK1" s="124"/>
      <c r="WIL1" s="124"/>
      <c r="WIM1" s="124"/>
      <c r="WIN1" s="124"/>
      <c r="WIO1" s="124"/>
      <c r="WIP1" s="124"/>
      <c r="WIQ1" s="124"/>
      <c r="WIR1" s="124"/>
      <c r="WIS1" s="124"/>
      <c r="WIT1" s="124"/>
      <c r="WIU1" s="124"/>
      <c r="WIV1" s="124"/>
      <c r="WIW1" s="124"/>
      <c r="WIX1" s="124"/>
      <c r="WIY1" s="124"/>
      <c r="WIZ1" s="124"/>
      <c r="WJA1" s="124"/>
      <c r="WJB1" s="124"/>
      <c r="WJC1" s="124"/>
      <c r="WJD1" s="124"/>
      <c r="WJE1" s="124"/>
      <c r="WJF1" s="124"/>
      <c r="WJG1" s="124"/>
      <c r="WJH1" s="124"/>
      <c r="WJI1" s="124"/>
      <c r="WJJ1" s="124"/>
      <c r="WJK1" s="124"/>
      <c r="WJL1" s="124"/>
      <c r="WJM1" s="124"/>
      <c r="WJN1" s="124"/>
      <c r="WJO1" s="124"/>
      <c r="WJP1" s="124"/>
      <c r="WJQ1" s="124"/>
      <c r="WJR1" s="124"/>
      <c r="WJS1" s="124"/>
      <c r="WJT1" s="124"/>
      <c r="WJU1" s="124"/>
      <c r="WJV1" s="124"/>
      <c r="WJW1" s="124"/>
      <c r="WJX1" s="124"/>
      <c r="WJY1" s="124"/>
      <c r="WJZ1" s="124"/>
      <c r="WKA1" s="124"/>
      <c r="WKB1" s="124"/>
      <c r="WKC1" s="124"/>
      <c r="WKD1" s="124"/>
      <c r="WKE1" s="124"/>
      <c r="WKF1" s="124"/>
      <c r="WKG1" s="124"/>
      <c r="WKH1" s="124"/>
      <c r="WKI1" s="124"/>
      <c r="WKJ1" s="124"/>
      <c r="WKK1" s="124"/>
      <c r="WKL1" s="124"/>
      <c r="WKM1" s="124"/>
      <c r="WKN1" s="124"/>
      <c r="WKO1" s="124"/>
      <c r="WKP1" s="124"/>
      <c r="WKQ1" s="124"/>
      <c r="WKR1" s="124"/>
      <c r="WKS1" s="124"/>
      <c r="WKT1" s="124"/>
      <c r="WKU1" s="124"/>
      <c r="WKV1" s="124"/>
      <c r="WKW1" s="124"/>
      <c r="WKX1" s="124"/>
      <c r="WKY1" s="124"/>
      <c r="WKZ1" s="124"/>
      <c r="WLA1" s="124"/>
      <c r="WLB1" s="124"/>
      <c r="WLC1" s="124"/>
      <c r="WLD1" s="124"/>
      <c r="WLE1" s="124"/>
      <c r="WLF1" s="124"/>
      <c r="WLG1" s="124"/>
      <c r="WLH1" s="124"/>
      <c r="WLI1" s="124"/>
      <c r="WLJ1" s="124"/>
      <c r="WLK1" s="124"/>
      <c r="WLL1" s="124"/>
      <c r="WLM1" s="124"/>
      <c r="WLN1" s="124"/>
      <c r="WLO1" s="124"/>
      <c r="WLP1" s="124"/>
      <c r="WLQ1" s="124"/>
      <c r="WLR1" s="124"/>
      <c r="WLS1" s="124"/>
      <c r="WLT1" s="124"/>
      <c r="WLU1" s="124"/>
      <c r="WLV1" s="124"/>
      <c r="WLW1" s="124"/>
      <c r="WLX1" s="124"/>
      <c r="WLY1" s="124"/>
      <c r="WLZ1" s="124"/>
      <c r="WMA1" s="124"/>
      <c r="WMB1" s="124"/>
      <c r="WMC1" s="124"/>
      <c r="WMD1" s="124"/>
      <c r="WME1" s="124"/>
      <c r="WMF1" s="124"/>
      <c r="WMG1" s="124"/>
      <c r="WMH1" s="124"/>
      <c r="WMI1" s="124"/>
      <c r="WMJ1" s="124"/>
      <c r="WMK1" s="124"/>
      <c r="WML1" s="124"/>
      <c r="WMM1" s="124"/>
      <c r="WMN1" s="124"/>
      <c r="WMO1" s="124"/>
      <c r="WMP1" s="124"/>
      <c r="WMQ1" s="124"/>
      <c r="WMR1" s="124"/>
      <c r="WMS1" s="124"/>
      <c r="WMT1" s="124"/>
      <c r="WMU1" s="124"/>
      <c r="WMV1" s="124"/>
      <c r="WMW1" s="124"/>
      <c r="WMX1" s="124"/>
      <c r="WMY1" s="124"/>
      <c r="WMZ1" s="124"/>
      <c r="WNA1" s="124"/>
      <c r="WNB1" s="124"/>
      <c r="WNC1" s="124"/>
      <c r="WND1" s="124"/>
      <c r="WNE1" s="124"/>
      <c r="WNF1" s="124"/>
      <c r="WNG1" s="124"/>
      <c r="WNH1" s="124"/>
      <c r="WNI1" s="124"/>
      <c r="WNJ1" s="124"/>
      <c r="WNK1" s="124"/>
      <c r="WNL1" s="124"/>
      <c r="WNM1" s="124"/>
      <c r="WNN1" s="124"/>
      <c r="WNO1" s="124"/>
      <c r="WNP1" s="124"/>
      <c r="WNQ1" s="124"/>
      <c r="WNR1" s="124"/>
      <c r="WNS1" s="124"/>
      <c r="WNT1" s="124"/>
      <c r="WNU1" s="124"/>
      <c r="WNV1" s="124"/>
      <c r="WNW1" s="124"/>
      <c r="WNX1" s="124"/>
      <c r="WNY1" s="124"/>
      <c r="WNZ1" s="124"/>
      <c r="WOA1" s="124"/>
      <c r="WOB1" s="124"/>
      <c r="WOC1" s="124"/>
      <c r="WOD1" s="124"/>
      <c r="WOE1" s="124"/>
      <c r="WOF1" s="124"/>
      <c r="WOG1" s="124"/>
      <c r="WOH1" s="124"/>
      <c r="WOI1" s="124"/>
      <c r="WOJ1" s="124"/>
      <c r="WOK1" s="124"/>
      <c r="WOL1" s="124"/>
      <c r="WOM1" s="124"/>
      <c r="WON1" s="124"/>
      <c r="WOO1" s="124"/>
      <c r="WOP1" s="124"/>
      <c r="WOQ1" s="124"/>
      <c r="WOR1" s="124"/>
      <c r="WOS1" s="124"/>
      <c r="WOT1" s="124"/>
      <c r="WOU1" s="124"/>
      <c r="WOV1" s="124"/>
      <c r="WOW1" s="124"/>
      <c r="WOX1" s="124"/>
      <c r="WOY1" s="124"/>
      <c r="WOZ1" s="124"/>
      <c r="WPA1" s="124"/>
      <c r="WPB1" s="124"/>
      <c r="WPC1" s="124"/>
      <c r="WPD1" s="124"/>
      <c r="WPE1" s="124"/>
      <c r="WPF1" s="124"/>
      <c r="WPG1" s="124"/>
      <c r="WPH1" s="124"/>
      <c r="WPI1" s="124"/>
      <c r="WPJ1" s="124"/>
      <c r="WPK1" s="124"/>
      <c r="WPL1" s="124"/>
      <c r="WPM1" s="124"/>
      <c r="WPN1" s="124"/>
      <c r="WPO1" s="124"/>
      <c r="WPP1" s="124"/>
      <c r="WPQ1" s="124"/>
      <c r="WPR1" s="124"/>
      <c r="WPS1" s="124"/>
      <c r="WPT1" s="124"/>
      <c r="WPU1" s="124"/>
      <c r="WPV1" s="124"/>
      <c r="WPW1" s="124"/>
      <c r="WPX1" s="124"/>
      <c r="WPY1" s="124"/>
      <c r="WPZ1" s="124"/>
      <c r="WQA1" s="124"/>
      <c r="WQB1" s="124"/>
      <c r="WQC1" s="124"/>
      <c r="WQD1" s="124"/>
      <c r="WQE1" s="124"/>
      <c r="WQF1" s="124"/>
      <c r="WQG1" s="124"/>
      <c r="WQH1" s="124"/>
      <c r="WQI1" s="124"/>
      <c r="WQJ1" s="124"/>
      <c r="WQK1" s="124"/>
      <c r="WQL1" s="124"/>
      <c r="WQM1" s="124"/>
      <c r="WQN1" s="124"/>
      <c r="WQO1" s="124"/>
      <c r="WQP1" s="124"/>
      <c r="WQQ1" s="124"/>
      <c r="WQR1" s="124"/>
      <c r="WQS1" s="124"/>
      <c r="WQT1" s="124"/>
      <c r="WQU1" s="124"/>
      <c r="WQV1" s="124"/>
      <c r="WQW1" s="124"/>
      <c r="WQX1" s="124"/>
      <c r="WQY1" s="124"/>
      <c r="WQZ1" s="124"/>
      <c r="WRA1" s="124"/>
      <c r="WRB1" s="124"/>
      <c r="WRC1" s="124"/>
      <c r="WRD1" s="124"/>
      <c r="WRE1" s="124"/>
      <c r="WRF1" s="124"/>
      <c r="WRG1" s="124"/>
      <c r="WRH1" s="124"/>
      <c r="WRI1" s="124"/>
      <c r="WRJ1" s="124"/>
      <c r="WRK1" s="124"/>
      <c r="WRL1" s="124"/>
      <c r="WRM1" s="124"/>
      <c r="WRN1" s="124"/>
      <c r="WRO1" s="124"/>
      <c r="WRP1" s="124"/>
      <c r="WRQ1" s="124"/>
      <c r="WRR1" s="124"/>
      <c r="WRS1" s="124"/>
      <c r="WRT1" s="124"/>
      <c r="WRU1" s="124"/>
      <c r="WRV1" s="124"/>
      <c r="WRW1" s="124"/>
      <c r="WRX1" s="124"/>
      <c r="WRY1" s="124"/>
      <c r="WRZ1" s="124"/>
      <c r="WSA1" s="124"/>
      <c r="WSB1" s="124"/>
      <c r="WSC1" s="124"/>
      <c r="WSD1" s="124"/>
      <c r="WSE1" s="124"/>
      <c r="WSF1" s="124"/>
      <c r="WSG1" s="124"/>
      <c r="WSH1" s="124"/>
      <c r="WSI1" s="124"/>
      <c r="WSJ1" s="124"/>
      <c r="WSK1" s="124"/>
      <c r="WSL1" s="124"/>
      <c r="WSM1" s="124"/>
      <c r="WSN1" s="124"/>
      <c r="WSO1" s="124"/>
      <c r="WSP1" s="124"/>
      <c r="WSQ1" s="124"/>
      <c r="WSR1" s="124"/>
      <c r="WSS1" s="124"/>
      <c r="WST1" s="124"/>
      <c r="WSU1" s="124"/>
      <c r="WSV1" s="124"/>
      <c r="WSW1" s="124"/>
      <c r="WSX1" s="124"/>
      <c r="WSY1" s="124"/>
      <c r="WSZ1" s="124"/>
      <c r="WTA1" s="124"/>
      <c r="WTB1" s="124"/>
      <c r="WTC1" s="124"/>
      <c r="WTD1" s="124"/>
      <c r="WTE1" s="124"/>
      <c r="WTF1" s="124"/>
      <c r="WTG1" s="124"/>
      <c r="WTH1" s="124"/>
      <c r="WTI1" s="124"/>
      <c r="WTJ1" s="124"/>
      <c r="WTK1" s="124"/>
      <c r="WTL1" s="124"/>
      <c r="WTM1" s="124"/>
      <c r="WTN1" s="124"/>
      <c r="WTO1" s="124"/>
      <c r="WTP1" s="124"/>
      <c r="WTQ1" s="124"/>
      <c r="WTR1" s="124"/>
      <c r="WTS1" s="124"/>
      <c r="WTT1" s="124"/>
      <c r="WTU1" s="124"/>
      <c r="WTV1" s="124"/>
      <c r="WTW1" s="124"/>
      <c r="WTX1" s="124"/>
      <c r="WTY1" s="124"/>
      <c r="WTZ1" s="124"/>
      <c r="WUA1" s="124"/>
      <c r="WUB1" s="124"/>
      <c r="WUC1" s="124"/>
      <c r="WUD1" s="124"/>
      <c r="WUE1" s="124"/>
      <c r="WUF1" s="124"/>
      <c r="WUG1" s="124"/>
      <c r="WUH1" s="124"/>
      <c r="WUI1" s="124"/>
      <c r="WUJ1" s="124"/>
      <c r="WUK1" s="124"/>
      <c r="WUL1" s="124"/>
      <c r="WUM1" s="124"/>
      <c r="WUN1" s="124"/>
      <c r="WUO1" s="124"/>
      <c r="WUP1" s="124"/>
      <c r="WUQ1" s="124"/>
      <c r="WUR1" s="124"/>
      <c r="WUS1" s="124"/>
      <c r="WUT1" s="124"/>
      <c r="WUU1" s="124"/>
      <c r="WUV1" s="124"/>
      <c r="WUW1" s="124"/>
      <c r="WUX1" s="124"/>
      <c r="WUY1" s="124"/>
      <c r="WUZ1" s="124"/>
      <c r="WVA1" s="124"/>
      <c r="WVB1" s="124"/>
      <c r="WVC1" s="124"/>
      <c r="WVD1" s="124"/>
      <c r="WVE1" s="124"/>
      <c r="WVF1" s="124"/>
      <c r="WVG1" s="124"/>
      <c r="WVH1" s="124"/>
      <c r="WVI1" s="124"/>
      <c r="WVJ1" s="124"/>
      <c r="WVK1" s="124"/>
      <c r="WVL1" s="124"/>
      <c r="WVM1" s="124"/>
      <c r="WVN1" s="124"/>
      <c r="WVO1" s="124"/>
      <c r="WVP1" s="124"/>
      <c r="WVQ1" s="124"/>
      <c r="WVR1" s="124"/>
      <c r="WVS1" s="124"/>
      <c r="WVT1" s="124"/>
      <c r="WVU1" s="124"/>
      <c r="WVV1" s="124"/>
      <c r="WVW1" s="124"/>
      <c r="WVX1" s="124"/>
      <c r="WVY1" s="124"/>
      <c r="WVZ1" s="124"/>
      <c r="WWA1" s="124"/>
      <c r="WWB1" s="124"/>
      <c r="WWC1" s="124"/>
      <c r="WWD1" s="124"/>
      <c r="WWE1" s="124"/>
      <c r="WWF1" s="124"/>
      <c r="WWG1" s="124"/>
      <c r="WWH1" s="124"/>
      <c r="WWI1" s="124"/>
      <c r="WWJ1" s="124"/>
      <c r="WWK1" s="124"/>
      <c r="WWL1" s="124"/>
      <c r="WWM1" s="124"/>
      <c r="WWN1" s="124"/>
      <c r="WWO1" s="124"/>
      <c r="WWP1" s="124"/>
      <c r="WWQ1" s="124"/>
      <c r="WWR1" s="124"/>
      <c r="WWS1" s="124"/>
      <c r="WWT1" s="124"/>
      <c r="WWU1" s="124"/>
      <c r="WWV1" s="124"/>
      <c r="WWW1" s="124"/>
      <c r="WWX1" s="124"/>
      <c r="WWY1" s="124"/>
      <c r="WWZ1" s="124"/>
      <c r="WXA1" s="124"/>
      <c r="WXB1" s="124"/>
      <c r="WXC1" s="124"/>
      <c r="WXD1" s="124"/>
      <c r="WXE1" s="124"/>
      <c r="WXF1" s="124"/>
      <c r="WXG1" s="124"/>
      <c r="WXH1" s="124"/>
      <c r="WXI1" s="124"/>
      <c r="WXJ1" s="124"/>
      <c r="WXK1" s="124"/>
      <c r="WXL1" s="124"/>
      <c r="WXM1" s="124"/>
      <c r="WXN1" s="124"/>
      <c r="WXO1" s="124"/>
      <c r="WXP1" s="124"/>
      <c r="WXQ1" s="124"/>
      <c r="WXR1" s="124"/>
      <c r="WXS1" s="124"/>
      <c r="WXT1" s="124"/>
      <c r="WXU1" s="124"/>
      <c r="WXV1" s="124"/>
      <c r="WXW1" s="124"/>
      <c r="WXX1" s="124"/>
      <c r="WXY1" s="124"/>
      <c r="WXZ1" s="124"/>
      <c r="WYA1" s="124"/>
      <c r="WYB1" s="124"/>
      <c r="WYC1" s="124"/>
      <c r="WYD1" s="124"/>
      <c r="WYE1" s="124"/>
      <c r="WYF1" s="124"/>
      <c r="WYG1" s="124"/>
      <c r="WYH1" s="124"/>
      <c r="WYI1" s="124"/>
      <c r="WYJ1" s="124"/>
      <c r="WYK1" s="124"/>
      <c r="WYL1" s="124"/>
      <c r="WYM1" s="124"/>
      <c r="WYN1" s="124"/>
      <c r="WYO1" s="124"/>
      <c r="WYP1" s="124"/>
      <c r="WYQ1" s="124"/>
      <c r="WYR1" s="124"/>
      <c r="WYS1" s="124"/>
      <c r="WYT1" s="124"/>
      <c r="WYU1" s="124"/>
      <c r="WYV1" s="124"/>
      <c r="WYW1" s="124"/>
      <c r="WYX1" s="124"/>
      <c r="WYY1" s="124"/>
      <c r="WYZ1" s="124"/>
      <c r="WZA1" s="124"/>
      <c r="WZB1" s="124"/>
      <c r="WZC1" s="124"/>
      <c r="WZD1" s="124"/>
      <c r="WZE1" s="124"/>
      <c r="WZF1" s="124"/>
      <c r="WZG1" s="124"/>
      <c r="WZH1" s="124"/>
      <c r="WZI1" s="124"/>
      <c r="WZJ1" s="124"/>
      <c r="WZK1" s="124"/>
      <c r="WZL1" s="124"/>
      <c r="WZM1" s="124"/>
      <c r="WZN1" s="124"/>
      <c r="WZO1" s="124"/>
      <c r="WZP1" s="124"/>
      <c r="WZQ1" s="124"/>
      <c r="WZR1" s="124"/>
      <c r="WZS1" s="124"/>
      <c r="WZT1" s="124"/>
      <c r="WZU1" s="124"/>
      <c r="WZV1" s="124"/>
      <c r="WZW1" s="124"/>
      <c r="WZX1" s="124"/>
      <c r="WZY1" s="124"/>
      <c r="WZZ1" s="124"/>
      <c r="XAA1" s="124"/>
      <c r="XAB1" s="124"/>
      <c r="XAC1" s="124"/>
      <c r="XAD1" s="124"/>
      <c r="XAE1" s="124"/>
      <c r="XAF1" s="124"/>
      <c r="XAG1" s="124"/>
      <c r="XAH1" s="124"/>
      <c r="XAI1" s="124"/>
      <c r="XAJ1" s="124"/>
      <c r="XAK1" s="124"/>
      <c r="XAL1" s="124"/>
      <c r="XAM1" s="124"/>
      <c r="XAN1" s="124"/>
      <c r="XAO1" s="124"/>
      <c r="XAP1" s="124"/>
      <c r="XAQ1" s="124"/>
      <c r="XAR1" s="124"/>
      <c r="XAS1" s="124"/>
      <c r="XAT1" s="124"/>
      <c r="XAU1" s="124"/>
      <c r="XAV1" s="124"/>
      <c r="XAW1" s="124"/>
      <c r="XAX1" s="124"/>
      <c r="XAY1" s="124"/>
      <c r="XAZ1" s="124"/>
      <c r="XBA1" s="124"/>
      <c r="XBB1" s="124"/>
      <c r="XBC1" s="124"/>
      <c r="XBD1" s="124"/>
      <c r="XBE1" s="124"/>
      <c r="XBF1" s="124"/>
      <c r="XBG1" s="124"/>
      <c r="XBH1" s="124"/>
      <c r="XBI1" s="124"/>
      <c r="XBJ1" s="124"/>
      <c r="XBK1" s="124"/>
      <c r="XBL1" s="124"/>
      <c r="XBM1" s="124"/>
      <c r="XBN1" s="124"/>
      <c r="XBO1" s="124"/>
      <c r="XBP1" s="124"/>
      <c r="XBQ1" s="124"/>
      <c r="XBR1" s="124"/>
      <c r="XBS1" s="124"/>
      <c r="XBT1" s="124"/>
      <c r="XBU1" s="124"/>
      <c r="XBV1" s="124"/>
      <c r="XBW1" s="124"/>
      <c r="XBX1" s="124"/>
      <c r="XBY1" s="124"/>
      <c r="XBZ1" s="124"/>
      <c r="XCA1" s="124"/>
      <c r="XCB1" s="124"/>
      <c r="XCC1" s="124"/>
      <c r="XCD1" s="124"/>
      <c r="XCE1" s="124"/>
      <c r="XCF1" s="124"/>
      <c r="XCG1" s="124"/>
      <c r="XCH1" s="124"/>
      <c r="XCI1" s="124"/>
      <c r="XCJ1" s="124"/>
      <c r="XCK1" s="124"/>
      <c r="XCL1" s="124"/>
      <c r="XCM1" s="124"/>
      <c r="XCN1" s="124"/>
      <c r="XCO1" s="124"/>
      <c r="XCP1" s="124"/>
      <c r="XCQ1" s="124"/>
      <c r="XCR1" s="124"/>
      <c r="XCS1" s="124"/>
      <c r="XCT1" s="124"/>
      <c r="XCU1" s="124"/>
      <c r="XCV1" s="124"/>
      <c r="XCW1" s="124"/>
      <c r="XCX1" s="124"/>
      <c r="XCY1" s="124"/>
      <c r="XCZ1" s="124"/>
      <c r="XDA1" s="124"/>
      <c r="XDB1" s="124"/>
      <c r="XDC1" s="124"/>
      <c r="XDD1" s="124"/>
      <c r="XDE1" s="124"/>
      <c r="XDF1" s="124"/>
      <c r="XDG1" s="124"/>
      <c r="XDH1" s="124"/>
      <c r="XDI1" s="124"/>
      <c r="XDJ1" s="124"/>
      <c r="XDK1" s="124"/>
      <c r="XDL1" s="124"/>
      <c r="XDM1" s="124"/>
      <c r="XDN1" s="124"/>
      <c r="XDO1" s="124"/>
      <c r="XDP1" s="124"/>
      <c r="XDQ1" s="124"/>
      <c r="XDR1" s="124"/>
      <c r="XDS1" s="124"/>
      <c r="XDT1" s="124"/>
      <c r="XDU1" s="124"/>
      <c r="XDV1" s="124"/>
      <c r="XDW1" s="124"/>
      <c r="XDX1" s="124"/>
      <c r="XDY1" s="124"/>
      <c r="XDZ1" s="124"/>
      <c r="XEA1" s="124"/>
      <c r="XEB1" s="124"/>
      <c r="XEC1" s="124"/>
      <c r="XED1" s="124"/>
      <c r="XEE1" s="124"/>
      <c r="XEF1" s="124"/>
      <c r="XEG1" s="124"/>
      <c r="XEH1" s="124"/>
      <c r="XEI1" s="124"/>
      <c r="XEJ1" s="124"/>
      <c r="XEK1" s="124"/>
      <c r="XEL1" s="124"/>
      <c r="XEM1" s="124"/>
      <c r="XEN1" s="124"/>
      <c r="XEO1" s="124"/>
      <c r="XEP1" s="124"/>
      <c r="XEQ1" s="124"/>
      <c r="XER1" s="124"/>
      <c r="XES1" s="124"/>
      <c r="XET1" s="124"/>
      <c r="XEU1" s="124"/>
      <c r="XEV1" s="124"/>
      <c r="XEW1" s="124"/>
      <c r="XEX1" s="124"/>
      <c r="XEY1" s="124"/>
      <c r="XEZ1" s="124"/>
      <c r="XFA1" s="124"/>
      <c r="XFB1" s="124"/>
      <c r="XFC1" s="124"/>
      <c r="XFD1" s="124"/>
    </row>
    <row r="2" spans="1:16384" s="125" customFormat="1" x14ac:dyDescent="0.25">
      <c r="A2" s="73">
        <v>1</v>
      </c>
      <c r="B2" s="126" t="s">
        <v>1496</v>
      </c>
      <c r="C2" s="73"/>
      <c r="D2" s="73"/>
      <c r="E2" s="73"/>
      <c r="F2" s="73"/>
      <c r="G2" s="73"/>
      <c r="H2" s="73">
        <v>3</v>
      </c>
      <c r="I2" s="73">
        <v>72</v>
      </c>
      <c r="J2" s="73">
        <f t="shared" ref="J2:J41" si="0">I2*3</f>
        <v>216</v>
      </c>
      <c r="K2" s="73">
        <v>72</v>
      </c>
      <c r="L2" s="73">
        <v>23380</v>
      </c>
      <c r="M2" s="73"/>
      <c r="N2" s="73"/>
      <c r="O2" s="73"/>
      <c r="P2" s="73"/>
      <c r="Q2" s="84"/>
      <c r="R2" s="73" t="s">
        <v>1497</v>
      </c>
      <c r="S2" s="73" t="s">
        <v>1498</v>
      </c>
      <c r="T2" s="127" t="s">
        <v>1499</v>
      </c>
    </row>
    <row r="3" spans="1:16384" s="125" customFormat="1" x14ac:dyDescent="0.25">
      <c r="A3" s="74">
        <v>2</v>
      </c>
      <c r="B3" s="128" t="s">
        <v>1500</v>
      </c>
      <c r="C3" s="74" t="s">
        <v>203</v>
      </c>
      <c r="D3" s="74"/>
      <c r="E3" s="74"/>
      <c r="F3" s="74"/>
      <c r="G3" s="74"/>
      <c r="H3" s="74">
        <v>3</v>
      </c>
      <c r="I3" s="74">
        <v>36</v>
      </c>
      <c r="J3" s="74">
        <f t="shared" si="0"/>
        <v>108</v>
      </c>
      <c r="K3" s="74">
        <v>48</v>
      </c>
      <c r="L3" s="74">
        <v>1380</v>
      </c>
      <c r="M3" s="74"/>
      <c r="N3" s="74"/>
      <c r="O3" s="74"/>
      <c r="P3" s="74"/>
      <c r="Q3" s="74"/>
      <c r="R3" s="74" t="s">
        <v>1497</v>
      </c>
      <c r="S3" s="74" t="s">
        <v>1498</v>
      </c>
      <c r="T3" s="84" t="s">
        <v>1499</v>
      </c>
    </row>
    <row r="4" spans="1:16384" s="125" customFormat="1" x14ac:dyDescent="0.25">
      <c r="A4" s="73">
        <v>3</v>
      </c>
      <c r="B4" s="126" t="s">
        <v>1501</v>
      </c>
      <c r="C4" s="73" t="s">
        <v>236</v>
      </c>
      <c r="D4" s="73"/>
      <c r="E4" s="73"/>
      <c r="F4" s="73"/>
      <c r="G4" s="73"/>
      <c r="H4" s="73">
        <v>16</v>
      </c>
      <c r="I4" s="73">
        <v>716</v>
      </c>
      <c r="J4" s="73">
        <f t="shared" si="0"/>
        <v>2148</v>
      </c>
      <c r="K4" s="73">
        <v>1024</v>
      </c>
      <c r="L4" s="73">
        <v>33960</v>
      </c>
      <c r="M4" s="73">
        <v>21800</v>
      </c>
      <c r="N4" s="73"/>
      <c r="O4" s="73"/>
      <c r="P4" s="73"/>
      <c r="Q4" s="84"/>
      <c r="R4" s="73" t="s">
        <v>1497</v>
      </c>
      <c r="S4" s="73" t="s">
        <v>1498</v>
      </c>
      <c r="T4" s="127" t="s">
        <v>1499</v>
      </c>
      <c r="U4" s="129"/>
    </row>
    <row r="5" spans="1:16384" s="125" customFormat="1" x14ac:dyDescent="0.25">
      <c r="A5" s="74">
        <v>4</v>
      </c>
      <c r="B5" s="126" t="s">
        <v>1502</v>
      </c>
      <c r="C5" s="73" t="s">
        <v>236</v>
      </c>
      <c r="D5" s="73"/>
      <c r="E5" s="73"/>
      <c r="F5" s="73"/>
      <c r="G5" s="73"/>
      <c r="H5" s="73">
        <v>25</v>
      </c>
      <c r="I5" s="73">
        <v>932</v>
      </c>
      <c r="J5" s="73">
        <f t="shared" si="0"/>
        <v>2796</v>
      </c>
      <c r="K5" s="73">
        <v>1600</v>
      </c>
      <c r="L5" s="73">
        <v>51450</v>
      </c>
      <c r="M5" s="73">
        <v>36800</v>
      </c>
      <c r="N5" s="73"/>
      <c r="O5" s="73"/>
      <c r="P5" s="73"/>
      <c r="Q5" s="84"/>
      <c r="R5" s="73" t="s">
        <v>1497</v>
      </c>
      <c r="S5" s="73" t="s">
        <v>1498</v>
      </c>
      <c r="T5" s="127"/>
    </row>
    <row r="6" spans="1:16384" s="125" customFormat="1" x14ac:dyDescent="0.25">
      <c r="A6" s="73">
        <v>5</v>
      </c>
      <c r="B6" s="126" t="s">
        <v>1503</v>
      </c>
      <c r="C6" s="73" t="s">
        <v>188</v>
      </c>
      <c r="D6" s="73"/>
      <c r="E6" s="73"/>
      <c r="F6" s="73"/>
      <c r="G6" s="73"/>
      <c r="H6" s="73">
        <v>10</v>
      </c>
      <c r="I6" s="73">
        <v>120</v>
      </c>
      <c r="J6" s="73">
        <f t="shared" si="0"/>
        <v>360</v>
      </c>
      <c r="K6" s="73">
        <v>416</v>
      </c>
      <c r="L6" s="73">
        <v>7900</v>
      </c>
      <c r="M6" s="73"/>
      <c r="N6" s="73"/>
      <c r="O6" s="73"/>
      <c r="P6" s="73"/>
      <c r="Q6" s="84"/>
      <c r="R6" s="73" t="s">
        <v>1497</v>
      </c>
      <c r="S6" s="73" t="s">
        <v>1498</v>
      </c>
      <c r="T6" s="127"/>
    </row>
    <row r="7" spans="1:16384" s="125" customFormat="1" x14ac:dyDescent="0.25">
      <c r="A7" s="74">
        <v>6</v>
      </c>
      <c r="B7" s="126" t="s">
        <v>1504</v>
      </c>
      <c r="C7" s="73" t="s">
        <v>203</v>
      </c>
      <c r="D7" s="73"/>
      <c r="E7" s="73"/>
      <c r="F7" s="73"/>
      <c r="G7" s="73"/>
      <c r="H7" s="73">
        <v>20</v>
      </c>
      <c r="I7" s="73">
        <v>304</v>
      </c>
      <c r="J7" s="73">
        <f t="shared" si="0"/>
        <v>912</v>
      </c>
      <c r="K7" s="73">
        <v>848</v>
      </c>
      <c r="L7" s="73">
        <v>20300</v>
      </c>
      <c r="M7" s="73"/>
      <c r="N7" s="73"/>
      <c r="O7" s="73"/>
      <c r="P7" s="73"/>
      <c r="Q7" s="84"/>
      <c r="R7" s="73" t="s">
        <v>1497</v>
      </c>
      <c r="S7" s="73" t="s">
        <v>1498</v>
      </c>
      <c r="T7" s="127" t="s">
        <v>1505</v>
      </c>
    </row>
    <row r="8" spans="1:16384" s="125" customFormat="1" x14ac:dyDescent="0.25">
      <c r="A8" s="73">
        <v>7</v>
      </c>
      <c r="B8" s="126" t="s">
        <v>1506</v>
      </c>
      <c r="C8" s="73" t="s">
        <v>203</v>
      </c>
      <c r="D8" s="73"/>
      <c r="E8" s="73"/>
      <c r="F8" s="73"/>
      <c r="G8" s="73"/>
      <c r="H8" s="73">
        <v>2</v>
      </c>
      <c r="I8" s="73">
        <v>40</v>
      </c>
      <c r="J8" s="73">
        <f t="shared" si="0"/>
        <v>120</v>
      </c>
      <c r="K8" s="73">
        <v>32</v>
      </c>
      <c r="L8" s="73">
        <v>1120</v>
      </c>
      <c r="M8" s="73"/>
      <c r="N8" s="73"/>
      <c r="O8" s="73"/>
      <c r="P8" s="73"/>
      <c r="Q8" s="84"/>
      <c r="R8" s="73" t="s">
        <v>1497</v>
      </c>
      <c r="S8" s="73" t="s">
        <v>1498</v>
      </c>
      <c r="T8" s="127" t="s">
        <v>1499</v>
      </c>
    </row>
    <row r="9" spans="1:16384" s="125" customFormat="1" x14ac:dyDescent="0.25">
      <c r="A9" s="74">
        <v>8</v>
      </c>
      <c r="B9" s="126" t="s">
        <v>1507</v>
      </c>
      <c r="C9" s="73" t="s">
        <v>188</v>
      </c>
      <c r="D9" s="73"/>
      <c r="E9" s="73"/>
      <c r="F9" s="73"/>
      <c r="G9" s="73"/>
      <c r="H9" s="73">
        <v>6</v>
      </c>
      <c r="I9" s="73">
        <v>126</v>
      </c>
      <c r="J9" s="73">
        <f t="shared" si="0"/>
        <v>378</v>
      </c>
      <c r="K9" s="73">
        <v>168</v>
      </c>
      <c r="L9" s="73">
        <v>2660</v>
      </c>
      <c r="M9" s="73"/>
      <c r="N9" s="73"/>
      <c r="O9" s="73"/>
      <c r="P9" s="73"/>
      <c r="Q9" s="84"/>
      <c r="R9" s="73" t="s">
        <v>1497</v>
      </c>
      <c r="S9" s="73" t="s">
        <v>1498</v>
      </c>
      <c r="T9" s="127"/>
    </row>
    <row r="10" spans="1:16384" s="125" customFormat="1" x14ac:dyDescent="0.25">
      <c r="A10" s="73">
        <v>9</v>
      </c>
      <c r="B10" s="126" t="s">
        <v>1508</v>
      </c>
      <c r="C10" s="73" t="s">
        <v>203</v>
      </c>
      <c r="D10" s="73"/>
      <c r="E10" s="73"/>
      <c r="F10" s="73"/>
      <c r="G10" s="73"/>
      <c r="H10" s="73">
        <v>40</v>
      </c>
      <c r="I10" s="73">
        <v>416</v>
      </c>
      <c r="J10" s="73">
        <f t="shared" si="0"/>
        <v>1248</v>
      </c>
      <c r="K10" s="73">
        <v>1696</v>
      </c>
      <c r="L10" s="73">
        <v>35300</v>
      </c>
      <c r="M10" s="73"/>
      <c r="N10" s="73"/>
      <c r="O10" s="73"/>
      <c r="P10" s="73"/>
      <c r="Q10" s="84"/>
      <c r="R10" s="73" t="s">
        <v>1497</v>
      </c>
      <c r="S10" s="73" t="s">
        <v>1509</v>
      </c>
      <c r="T10" s="127"/>
    </row>
    <row r="11" spans="1:16384" s="125" customFormat="1" x14ac:dyDescent="0.25">
      <c r="A11" s="74">
        <v>10</v>
      </c>
      <c r="B11" s="126" t="s">
        <v>1510</v>
      </c>
      <c r="C11" s="73" t="s">
        <v>188</v>
      </c>
      <c r="D11" s="73"/>
      <c r="E11" s="73"/>
      <c r="F11" s="73" t="s">
        <v>1511</v>
      </c>
      <c r="G11" s="73"/>
      <c r="H11" s="73">
        <v>2</v>
      </c>
      <c r="I11" s="73">
        <v>40</v>
      </c>
      <c r="J11" s="73">
        <f t="shared" si="0"/>
        <v>120</v>
      </c>
      <c r="K11" s="73">
        <v>192</v>
      </c>
      <c r="L11" s="73">
        <v>1120</v>
      </c>
      <c r="M11" s="73"/>
      <c r="N11" s="73"/>
      <c r="O11" s="73"/>
      <c r="P11" s="73"/>
      <c r="Q11" s="84"/>
      <c r="R11" s="73" t="s">
        <v>1497</v>
      </c>
      <c r="S11" s="73" t="s">
        <v>1498</v>
      </c>
      <c r="T11" s="127"/>
    </row>
    <row r="12" spans="1:16384" s="125" customFormat="1" ht="25.5" x14ac:dyDescent="0.25">
      <c r="A12" s="73">
        <v>11</v>
      </c>
      <c r="B12" s="126" t="s">
        <v>1512</v>
      </c>
      <c r="C12" s="73" t="s">
        <v>1513</v>
      </c>
      <c r="D12" s="73" t="s">
        <v>1514</v>
      </c>
      <c r="E12" s="73"/>
      <c r="F12" s="73"/>
      <c r="G12" s="73"/>
      <c r="H12" s="73">
        <v>35</v>
      </c>
      <c r="I12" s="73">
        <v>1118</v>
      </c>
      <c r="J12" s="73">
        <f t="shared" si="0"/>
        <v>3354</v>
      </c>
      <c r="K12" s="73">
        <v>1462</v>
      </c>
      <c r="L12" s="73">
        <v>12890</v>
      </c>
      <c r="M12" s="73">
        <v>5000</v>
      </c>
      <c r="N12" s="73"/>
      <c r="O12" s="73"/>
      <c r="P12" s="73"/>
      <c r="Q12" s="84"/>
      <c r="R12" s="73" t="s">
        <v>1497</v>
      </c>
      <c r="S12" s="73" t="s">
        <v>1498</v>
      </c>
      <c r="T12" s="127" t="s">
        <v>1515</v>
      </c>
    </row>
    <row r="13" spans="1:16384" s="125" customFormat="1" x14ac:dyDescent="0.25">
      <c r="A13" s="74">
        <v>12</v>
      </c>
      <c r="B13" s="126" t="s">
        <v>1516</v>
      </c>
      <c r="C13" s="73" t="s">
        <v>203</v>
      </c>
      <c r="D13" s="73"/>
      <c r="E13" s="73"/>
      <c r="F13" s="73" t="s">
        <v>1517</v>
      </c>
      <c r="G13" s="73"/>
      <c r="H13" s="73">
        <v>12</v>
      </c>
      <c r="I13" s="73">
        <v>208</v>
      </c>
      <c r="J13" s="73">
        <f t="shared" si="0"/>
        <v>624</v>
      </c>
      <c r="K13" s="73">
        <v>384</v>
      </c>
      <c r="L13" s="73">
        <v>9920</v>
      </c>
      <c r="M13" s="73">
        <v>3400</v>
      </c>
      <c r="N13" s="73"/>
      <c r="O13" s="73"/>
      <c r="P13" s="73"/>
      <c r="Q13" s="84"/>
      <c r="R13" s="73" t="s">
        <v>1497</v>
      </c>
      <c r="S13" s="73" t="s">
        <v>1498</v>
      </c>
      <c r="T13" s="127"/>
    </row>
    <row r="14" spans="1:16384" s="125" customFormat="1" x14ac:dyDescent="0.25">
      <c r="A14" s="73">
        <v>13</v>
      </c>
      <c r="B14" s="126" t="s">
        <v>1518</v>
      </c>
      <c r="C14" s="73" t="s">
        <v>188</v>
      </c>
      <c r="D14" s="73"/>
      <c r="E14" s="73"/>
      <c r="F14" s="73"/>
      <c r="G14" s="73"/>
      <c r="H14" s="73">
        <v>51</v>
      </c>
      <c r="I14" s="73">
        <v>744</v>
      </c>
      <c r="J14" s="73">
        <f t="shared" si="0"/>
        <v>2232</v>
      </c>
      <c r="K14" s="73">
        <v>1936</v>
      </c>
      <c r="L14" s="73">
        <v>30240</v>
      </c>
      <c r="M14" s="73"/>
      <c r="N14" s="73"/>
      <c r="O14" s="73"/>
      <c r="P14" s="73"/>
      <c r="Q14" s="84"/>
      <c r="R14" s="73" t="s">
        <v>1497</v>
      </c>
      <c r="S14" s="73" t="s">
        <v>1498</v>
      </c>
      <c r="T14" s="127"/>
    </row>
    <row r="15" spans="1:16384" s="125" customFormat="1" x14ac:dyDescent="0.25">
      <c r="A15" s="74">
        <v>14</v>
      </c>
      <c r="B15" s="126" t="s">
        <v>1519</v>
      </c>
      <c r="C15" s="73" t="s">
        <v>188</v>
      </c>
      <c r="D15" s="73"/>
      <c r="E15" s="73"/>
      <c r="F15" s="73"/>
      <c r="G15" s="73"/>
      <c r="H15" s="73">
        <v>4</v>
      </c>
      <c r="I15" s="73">
        <v>58</v>
      </c>
      <c r="J15" s="73">
        <f t="shared" si="0"/>
        <v>174</v>
      </c>
      <c r="K15" s="73">
        <v>256</v>
      </c>
      <c r="L15" s="73">
        <v>1640</v>
      </c>
      <c r="M15" s="73"/>
      <c r="N15" s="73"/>
      <c r="O15" s="73"/>
      <c r="P15" s="73"/>
      <c r="Q15" s="84"/>
      <c r="R15" s="73" t="s">
        <v>1497</v>
      </c>
      <c r="S15" s="73" t="s">
        <v>1498</v>
      </c>
      <c r="T15" s="127"/>
    </row>
    <row r="16" spans="1:16384" s="125" customFormat="1" x14ac:dyDescent="0.25">
      <c r="A16" s="73">
        <v>15</v>
      </c>
      <c r="B16" s="126" t="s">
        <v>1520</v>
      </c>
      <c r="C16" s="73" t="s">
        <v>188</v>
      </c>
      <c r="D16" s="73"/>
      <c r="E16" s="73"/>
      <c r="F16" s="73" t="s">
        <v>1521</v>
      </c>
      <c r="G16" s="73"/>
      <c r="H16" s="73">
        <v>2</v>
      </c>
      <c r="I16" s="73">
        <v>64</v>
      </c>
      <c r="J16" s="73">
        <f t="shared" si="0"/>
        <v>192</v>
      </c>
      <c r="K16" s="73">
        <v>192</v>
      </c>
      <c r="L16" s="73">
        <v>2220</v>
      </c>
      <c r="M16" s="73"/>
      <c r="N16" s="73"/>
      <c r="O16" s="73"/>
      <c r="P16" s="73"/>
      <c r="Q16" s="84"/>
      <c r="R16" s="73" t="s">
        <v>1497</v>
      </c>
      <c r="S16" s="73" t="s">
        <v>1498</v>
      </c>
      <c r="T16" s="127"/>
    </row>
    <row r="17" spans="1:20" x14ac:dyDescent="0.2">
      <c r="A17" s="74">
        <v>16</v>
      </c>
      <c r="B17" s="128" t="s">
        <v>1522</v>
      </c>
      <c r="C17" s="74" t="s">
        <v>1523</v>
      </c>
      <c r="D17" s="73"/>
      <c r="E17" s="73"/>
      <c r="F17" s="111" t="s">
        <v>1524</v>
      </c>
      <c r="G17" s="74" t="s">
        <v>1525</v>
      </c>
      <c r="H17" s="111">
        <v>33</v>
      </c>
      <c r="I17" s="111">
        <v>500</v>
      </c>
      <c r="J17" s="111">
        <f t="shared" si="0"/>
        <v>1500</v>
      </c>
      <c r="K17" s="111">
        <v>1976</v>
      </c>
      <c r="L17" s="111">
        <v>37650</v>
      </c>
      <c r="M17" s="111"/>
      <c r="N17" s="111"/>
      <c r="O17" s="111"/>
      <c r="P17" s="111"/>
      <c r="Q17" s="111"/>
      <c r="R17" s="73" t="s">
        <v>1497</v>
      </c>
      <c r="S17" s="73" t="s">
        <v>1498</v>
      </c>
      <c r="T17" s="81"/>
    </row>
    <row r="18" spans="1:20" x14ac:dyDescent="0.2">
      <c r="A18" s="73">
        <v>17</v>
      </c>
      <c r="B18" s="74" t="s">
        <v>1526</v>
      </c>
      <c r="C18" s="74" t="s">
        <v>1074</v>
      </c>
      <c r="D18" s="110"/>
      <c r="E18" s="111"/>
      <c r="F18" s="74" t="s">
        <v>1527</v>
      </c>
      <c r="G18" s="74" t="s">
        <v>1525</v>
      </c>
      <c r="H18" s="74">
        <v>2</v>
      </c>
      <c r="I18" s="74">
        <v>48</v>
      </c>
      <c r="J18" s="74">
        <f t="shared" si="0"/>
        <v>144</v>
      </c>
      <c r="K18" s="74">
        <v>64</v>
      </c>
      <c r="L18" s="74">
        <v>11420</v>
      </c>
      <c r="M18" s="74"/>
      <c r="N18" s="74"/>
      <c r="O18" s="74"/>
      <c r="P18" s="74"/>
      <c r="Q18" s="111"/>
      <c r="R18" s="74" t="s">
        <v>1528</v>
      </c>
      <c r="S18" s="111" t="s">
        <v>1529</v>
      </c>
      <c r="T18" s="130"/>
    </row>
    <row r="19" spans="1:20" x14ac:dyDescent="0.2">
      <c r="A19" s="74">
        <v>18</v>
      </c>
      <c r="B19" s="74" t="s">
        <v>1530</v>
      </c>
      <c r="C19" s="74" t="s">
        <v>1531</v>
      </c>
      <c r="D19" s="110"/>
      <c r="E19" s="111"/>
      <c r="F19" s="74" t="s">
        <v>1532</v>
      </c>
      <c r="G19" s="74" t="s">
        <v>1525</v>
      </c>
      <c r="H19" s="74">
        <v>3</v>
      </c>
      <c r="I19" s="74">
        <v>24</v>
      </c>
      <c r="J19" s="111">
        <f t="shared" si="0"/>
        <v>72</v>
      </c>
      <c r="K19" s="74">
        <v>48</v>
      </c>
      <c r="L19" s="74">
        <v>5250</v>
      </c>
      <c r="M19" s="74"/>
      <c r="N19" s="74"/>
      <c r="O19" s="74"/>
      <c r="P19" s="74"/>
      <c r="Q19" s="111"/>
      <c r="R19" s="74" t="s">
        <v>1528</v>
      </c>
      <c r="S19" s="111" t="s">
        <v>1529</v>
      </c>
      <c r="T19" s="130"/>
    </row>
    <row r="20" spans="1:20" x14ac:dyDescent="0.2">
      <c r="A20" s="73">
        <v>19</v>
      </c>
      <c r="B20" s="74" t="s">
        <v>1500</v>
      </c>
      <c r="C20" s="74" t="s">
        <v>203</v>
      </c>
      <c r="D20" s="110"/>
      <c r="E20" s="111"/>
      <c r="F20" s="73" t="s">
        <v>1533</v>
      </c>
      <c r="G20" s="74" t="s">
        <v>1525</v>
      </c>
      <c r="H20" s="74">
        <v>2</v>
      </c>
      <c r="I20" s="74">
        <v>50</v>
      </c>
      <c r="J20" s="74">
        <f t="shared" si="0"/>
        <v>150</v>
      </c>
      <c r="K20" s="74">
        <v>80</v>
      </c>
      <c r="L20" s="74">
        <v>2200</v>
      </c>
      <c r="M20" s="74"/>
      <c r="N20" s="74"/>
      <c r="O20" s="74"/>
      <c r="P20" s="74"/>
      <c r="Q20" s="111"/>
      <c r="R20" s="74" t="s">
        <v>1528</v>
      </c>
      <c r="S20" s="111" t="s">
        <v>1529</v>
      </c>
      <c r="T20" s="130"/>
    </row>
    <row r="21" spans="1:20" x14ac:dyDescent="0.2">
      <c r="A21" s="74">
        <v>20</v>
      </c>
      <c r="B21" s="74" t="s">
        <v>1534</v>
      </c>
      <c r="C21" s="74" t="s">
        <v>188</v>
      </c>
      <c r="D21" s="73"/>
      <c r="E21" s="73"/>
      <c r="F21" s="111" t="s">
        <v>1535</v>
      </c>
      <c r="G21" s="74" t="s">
        <v>1525</v>
      </c>
      <c r="H21" s="111" t="s">
        <v>1536</v>
      </c>
      <c r="I21" s="111"/>
      <c r="J21" s="111">
        <f t="shared" si="0"/>
        <v>0</v>
      </c>
      <c r="K21" s="111">
        <v>96</v>
      </c>
      <c r="L21" s="111">
        <v>3600</v>
      </c>
      <c r="M21" s="111"/>
      <c r="N21" s="111"/>
      <c r="O21" s="111"/>
      <c r="P21" s="111"/>
      <c r="Q21" s="111"/>
      <c r="R21" s="73" t="s">
        <v>1528</v>
      </c>
      <c r="S21" s="73" t="s">
        <v>1537</v>
      </c>
      <c r="T21" s="81"/>
    </row>
    <row r="22" spans="1:20" x14ac:dyDescent="0.2">
      <c r="A22" s="73">
        <v>21</v>
      </c>
      <c r="B22" s="74" t="s">
        <v>1538</v>
      </c>
      <c r="C22" s="74" t="s">
        <v>203</v>
      </c>
      <c r="D22" s="110"/>
      <c r="E22" s="111"/>
      <c r="F22" s="111" t="s">
        <v>1539</v>
      </c>
      <c r="G22" s="74" t="s">
        <v>1525</v>
      </c>
      <c r="H22" s="111">
        <v>19</v>
      </c>
      <c r="I22" s="131">
        <v>232</v>
      </c>
      <c r="J22" s="111">
        <f t="shared" si="0"/>
        <v>696</v>
      </c>
      <c r="K22" s="111">
        <v>192</v>
      </c>
      <c r="L22" s="111"/>
      <c r="M22" s="111"/>
      <c r="N22" s="111">
        <v>12980</v>
      </c>
      <c r="O22" s="111"/>
      <c r="P22" s="111"/>
      <c r="Q22" s="132"/>
      <c r="R22" s="74" t="s">
        <v>1540</v>
      </c>
      <c r="S22" s="111" t="s">
        <v>1541</v>
      </c>
      <c r="T22" s="81"/>
    </row>
    <row r="23" spans="1:20" x14ac:dyDescent="0.2">
      <c r="A23" s="74">
        <v>22</v>
      </c>
      <c r="B23" s="73" t="s">
        <v>1542</v>
      </c>
      <c r="C23" s="74" t="s">
        <v>188</v>
      </c>
      <c r="D23" s="110"/>
      <c r="E23" s="111"/>
      <c r="F23" s="77" t="s">
        <v>1543</v>
      </c>
      <c r="G23" s="77" t="s">
        <v>1525</v>
      </c>
      <c r="H23" s="77">
        <v>11</v>
      </c>
      <c r="I23" s="77">
        <v>176</v>
      </c>
      <c r="J23" s="74">
        <f t="shared" si="0"/>
        <v>528</v>
      </c>
      <c r="K23" s="77">
        <v>360</v>
      </c>
      <c r="L23" s="77"/>
      <c r="M23" s="77"/>
      <c r="N23" s="77">
        <v>9410</v>
      </c>
      <c r="O23" s="77"/>
      <c r="P23" s="77"/>
      <c r="Q23" s="132"/>
      <c r="R23" s="77" t="s">
        <v>1544</v>
      </c>
      <c r="S23" s="111" t="s">
        <v>1541</v>
      </c>
      <c r="T23" s="133"/>
    </row>
    <row r="24" spans="1:20" x14ac:dyDescent="0.2">
      <c r="A24" s="73">
        <v>23</v>
      </c>
      <c r="B24" s="74" t="s">
        <v>1545</v>
      </c>
      <c r="C24" s="74" t="s">
        <v>188</v>
      </c>
      <c r="D24" s="110"/>
      <c r="E24" s="111"/>
      <c r="F24" s="111" t="s">
        <v>1546</v>
      </c>
      <c r="G24" s="111" t="s">
        <v>1547</v>
      </c>
      <c r="H24" s="111" t="s">
        <v>1536</v>
      </c>
      <c r="I24" s="111">
        <v>72</v>
      </c>
      <c r="J24" s="111">
        <f t="shared" si="0"/>
        <v>216</v>
      </c>
      <c r="K24" s="111">
        <v>288</v>
      </c>
      <c r="L24" s="111">
        <v>6600</v>
      </c>
      <c r="M24" s="111"/>
      <c r="N24" s="111"/>
      <c r="O24" s="111"/>
      <c r="P24" s="111"/>
      <c r="Q24" s="111"/>
      <c r="R24" s="74" t="s">
        <v>1528</v>
      </c>
      <c r="S24" s="111" t="s">
        <v>1529</v>
      </c>
      <c r="T24" s="81"/>
    </row>
    <row r="25" spans="1:20" x14ac:dyDescent="0.2">
      <c r="A25" s="74">
        <v>24</v>
      </c>
      <c r="B25" s="74" t="s">
        <v>1548</v>
      </c>
      <c r="C25" s="74" t="s">
        <v>188</v>
      </c>
      <c r="D25" s="110"/>
      <c r="E25" s="111"/>
      <c r="F25" s="111" t="s">
        <v>1549</v>
      </c>
      <c r="G25" s="111" t="s">
        <v>1547</v>
      </c>
      <c r="H25" s="111">
        <v>19</v>
      </c>
      <c r="I25" s="131">
        <f>611/3</f>
        <v>203.66666666666666</v>
      </c>
      <c r="J25" s="74">
        <f t="shared" si="0"/>
        <v>611</v>
      </c>
      <c r="K25" s="111">
        <v>4072</v>
      </c>
      <c r="L25" s="111">
        <v>4699</v>
      </c>
      <c r="M25" s="111"/>
      <c r="N25" s="111"/>
      <c r="O25" s="111"/>
      <c r="P25" s="111"/>
      <c r="Q25" s="111"/>
      <c r="R25" s="74" t="s">
        <v>1544</v>
      </c>
      <c r="S25" s="73" t="s">
        <v>1537</v>
      </c>
      <c r="T25" s="81"/>
    </row>
    <row r="26" spans="1:20" x14ac:dyDescent="0.2">
      <c r="A26" s="73">
        <v>25</v>
      </c>
      <c r="B26" s="74" t="s">
        <v>1550</v>
      </c>
      <c r="C26" s="74" t="s">
        <v>188</v>
      </c>
      <c r="D26" s="110"/>
      <c r="E26" s="111"/>
      <c r="F26" s="111" t="s">
        <v>1551</v>
      </c>
      <c r="G26" s="111" t="s">
        <v>1547</v>
      </c>
      <c r="H26" s="111">
        <v>8</v>
      </c>
      <c r="I26" s="131">
        <f>1273/3</f>
        <v>424.33333333333331</v>
      </c>
      <c r="J26" s="111">
        <f t="shared" si="0"/>
        <v>1273</v>
      </c>
      <c r="K26" s="111">
        <v>474</v>
      </c>
      <c r="L26" s="111">
        <v>3261</v>
      </c>
      <c r="M26" s="111"/>
      <c r="N26" s="111"/>
      <c r="O26" s="111"/>
      <c r="P26" s="111"/>
      <c r="Q26" s="111"/>
      <c r="R26" s="74" t="s">
        <v>1528</v>
      </c>
      <c r="S26" s="73" t="s">
        <v>1537</v>
      </c>
      <c r="T26" s="81"/>
    </row>
    <row r="27" spans="1:20" x14ac:dyDescent="0.2">
      <c r="A27" s="74">
        <v>26</v>
      </c>
      <c r="B27" s="74" t="s">
        <v>1552</v>
      </c>
      <c r="C27" s="74" t="s">
        <v>1074</v>
      </c>
      <c r="D27" s="110"/>
      <c r="E27" s="111"/>
      <c r="F27" s="111" t="s">
        <v>1553</v>
      </c>
      <c r="G27" s="111" t="s">
        <v>1547</v>
      </c>
      <c r="H27" s="111">
        <v>8</v>
      </c>
      <c r="I27" s="131">
        <v>427</v>
      </c>
      <c r="J27" s="74">
        <f t="shared" si="0"/>
        <v>1281</v>
      </c>
      <c r="K27" s="111">
        <v>1691</v>
      </c>
      <c r="L27" s="111">
        <f>20000*8</f>
        <v>160000</v>
      </c>
      <c r="M27" s="111"/>
      <c r="N27" s="111"/>
      <c r="O27" s="111"/>
      <c r="P27" s="111"/>
      <c r="Q27" s="111"/>
      <c r="R27" s="111" t="s">
        <v>1544</v>
      </c>
      <c r="S27" s="111"/>
      <c r="T27" s="81"/>
    </row>
    <row r="28" spans="1:20" x14ac:dyDescent="0.2">
      <c r="A28" s="73">
        <v>27</v>
      </c>
      <c r="B28" s="74" t="s">
        <v>1554</v>
      </c>
      <c r="C28" s="74" t="s">
        <v>188</v>
      </c>
      <c r="D28" s="110"/>
      <c r="E28" s="111"/>
      <c r="F28" s="111" t="s">
        <v>1555</v>
      </c>
      <c r="G28" s="111" t="s">
        <v>1547</v>
      </c>
      <c r="H28" s="111">
        <v>4</v>
      </c>
      <c r="I28" s="131">
        <v>129</v>
      </c>
      <c r="J28" s="111">
        <f t="shared" si="0"/>
        <v>387</v>
      </c>
      <c r="K28" s="111">
        <f>90*4</f>
        <v>360</v>
      </c>
      <c r="L28" s="111">
        <f>680*4</f>
        <v>2720</v>
      </c>
      <c r="M28" s="111"/>
      <c r="N28" s="111"/>
      <c r="O28" s="111"/>
      <c r="P28" s="111"/>
      <c r="Q28" s="111"/>
      <c r="R28" s="74" t="s">
        <v>1528</v>
      </c>
      <c r="S28" s="73" t="s">
        <v>1537</v>
      </c>
      <c r="T28" s="81"/>
    </row>
    <row r="29" spans="1:20" x14ac:dyDescent="0.2">
      <c r="A29" s="74">
        <v>28</v>
      </c>
      <c r="B29" s="74" t="s">
        <v>1556</v>
      </c>
      <c r="C29" s="74" t="s">
        <v>188</v>
      </c>
      <c r="D29" s="110"/>
      <c r="E29" s="111"/>
      <c r="F29" s="111" t="s">
        <v>1557</v>
      </c>
      <c r="G29" s="111" t="s">
        <v>1547</v>
      </c>
      <c r="H29" s="111">
        <v>20</v>
      </c>
      <c r="I29" s="131">
        <v>124</v>
      </c>
      <c r="J29" s="74">
        <f t="shared" si="0"/>
        <v>372</v>
      </c>
      <c r="K29" s="111">
        <v>346</v>
      </c>
      <c r="L29" s="111">
        <v>2814</v>
      </c>
      <c r="M29" s="111"/>
      <c r="N29" s="111"/>
      <c r="O29" s="111"/>
      <c r="P29" s="111"/>
      <c r="Q29" s="111"/>
      <c r="R29" s="74" t="s">
        <v>1528</v>
      </c>
      <c r="S29" s="111" t="s">
        <v>1529</v>
      </c>
      <c r="T29" s="81"/>
    </row>
    <row r="30" spans="1:20" x14ac:dyDescent="0.2">
      <c r="A30" s="73">
        <v>29</v>
      </c>
      <c r="B30" s="74" t="s">
        <v>1558</v>
      </c>
      <c r="C30" s="74" t="s">
        <v>188</v>
      </c>
      <c r="D30" s="110"/>
      <c r="E30" s="111"/>
      <c r="F30" s="111" t="s">
        <v>1559</v>
      </c>
      <c r="G30" s="111" t="s">
        <v>1547</v>
      </c>
      <c r="H30" s="111">
        <v>111</v>
      </c>
      <c r="I30" s="131">
        <v>1513</v>
      </c>
      <c r="J30" s="111">
        <f t="shared" si="0"/>
        <v>4539</v>
      </c>
      <c r="K30" s="111">
        <f>(140+1272)*3</f>
        <v>4236</v>
      </c>
      <c r="L30" s="111">
        <v>105466</v>
      </c>
      <c r="M30" s="111"/>
      <c r="N30" s="111"/>
      <c r="O30" s="111"/>
      <c r="P30" s="111"/>
      <c r="Q30" s="111"/>
      <c r="R30" s="74" t="s">
        <v>1528</v>
      </c>
      <c r="S30" s="111" t="s">
        <v>1529</v>
      </c>
      <c r="T30" s="81"/>
    </row>
    <row r="31" spans="1:20" x14ac:dyDescent="0.2">
      <c r="A31" s="74">
        <v>30</v>
      </c>
      <c r="B31" s="74" t="s">
        <v>1560</v>
      </c>
      <c r="C31" s="74" t="s">
        <v>188</v>
      </c>
      <c r="D31" s="73"/>
      <c r="E31" s="73"/>
      <c r="F31" s="110" t="s">
        <v>1561</v>
      </c>
      <c r="G31" s="111" t="s">
        <v>1547</v>
      </c>
      <c r="H31" s="111" t="s">
        <v>1536</v>
      </c>
      <c r="I31" s="131">
        <v>26</v>
      </c>
      <c r="J31" s="74">
        <f t="shared" si="0"/>
        <v>78</v>
      </c>
      <c r="K31" s="111">
        <v>72</v>
      </c>
      <c r="L31" s="111">
        <v>30600</v>
      </c>
      <c r="M31" s="111"/>
      <c r="N31" s="111"/>
      <c r="O31" s="111"/>
      <c r="P31" s="111"/>
      <c r="Q31" s="111"/>
      <c r="R31" s="73" t="s">
        <v>1528</v>
      </c>
      <c r="S31" s="73" t="s">
        <v>1537</v>
      </c>
      <c r="T31" s="81"/>
    </row>
    <row r="32" spans="1:20" x14ac:dyDescent="0.2">
      <c r="A32" s="73">
        <v>31</v>
      </c>
      <c r="B32" s="74" t="s">
        <v>1562</v>
      </c>
      <c r="C32" s="74" t="s">
        <v>188</v>
      </c>
      <c r="D32" s="73"/>
      <c r="E32" s="73"/>
      <c r="F32" s="111" t="s">
        <v>1563</v>
      </c>
      <c r="G32" s="111" t="s">
        <v>1547</v>
      </c>
      <c r="H32" s="111">
        <v>13</v>
      </c>
      <c r="I32" s="131">
        <v>56</v>
      </c>
      <c r="J32" s="111">
        <f t="shared" si="0"/>
        <v>168</v>
      </c>
      <c r="K32" s="111">
        <v>832</v>
      </c>
      <c r="L32" s="111">
        <v>15600</v>
      </c>
      <c r="M32" s="111"/>
      <c r="N32" s="111"/>
      <c r="O32" s="111"/>
      <c r="P32" s="111"/>
      <c r="Q32" s="111"/>
      <c r="R32" s="74" t="s">
        <v>1528</v>
      </c>
      <c r="S32" s="111" t="s">
        <v>1529</v>
      </c>
      <c r="T32" s="81"/>
    </row>
    <row r="33" spans="1:20" x14ac:dyDescent="0.2">
      <c r="A33" s="74">
        <v>32</v>
      </c>
      <c r="B33" s="74" t="s">
        <v>1564</v>
      </c>
      <c r="C33" s="74" t="s">
        <v>188</v>
      </c>
      <c r="D33" s="110"/>
      <c r="E33" s="111"/>
      <c r="F33" s="111" t="s">
        <v>1565</v>
      </c>
      <c r="G33" s="111" t="s">
        <v>1547</v>
      </c>
      <c r="H33" s="111">
        <v>13</v>
      </c>
      <c r="I33" s="131">
        <v>55</v>
      </c>
      <c r="J33" s="74">
        <f t="shared" si="0"/>
        <v>165</v>
      </c>
      <c r="K33" s="111">
        <f>8*32+3*32+2*16</f>
        <v>384</v>
      </c>
      <c r="L33" s="111">
        <f>8*300+3*300+2*350+800</f>
        <v>4800</v>
      </c>
      <c r="M33" s="111"/>
      <c r="N33" s="111"/>
      <c r="O33" s="111"/>
      <c r="P33" s="111"/>
      <c r="Q33" s="132"/>
      <c r="R33" s="111" t="s">
        <v>1528</v>
      </c>
      <c r="S33" s="111" t="s">
        <v>1529</v>
      </c>
      <c r="T33" s="81"/>
    </row>
    <row r="34" spans="1:20" x14ac:dyDescent="0.2">
      <c r="A34" s="73">
        <v>33</v>
      </c>
      <c r="B34" s="74" t="s">
        <v>1566</v>
      </c>
      <c r="C34" s="74" t="s">
        <v>188</v>
      </c>
      <c r="D34" s="110"/>
      <c r="E34" s="111"/>
      <c r="F34" s="111" t="s">
        <v>1567</v>
      </c>
      <c r="G34" s="111" t="s">
        <v>1547</v>
      </c>
      <c r="H34" s="111">
        <v>6</v>
      </c>
      <c r="I34" s="131">
        <v>60</v>
      </c>
      <c r="J34" s="111">
        <f t="shared" si="0"/>
        <v>180</v>
      </c>
      <c r="K34" s="111">
        <f>3*32+3*48</f>
        <v>240</v>
      </c>
      <c r="L34" s="111">
        <f>4*4531+4*10354</f>
        <v>59540</v>
      </c>
      <c r="M34" s="111"/>
      <c r="N34" s="111"/>
      <c r="O34" s="111"/>
      <c r="P34" s="111"/>
      <c r="Q34" s="132"/>
      <c r="R34" s="111" t="s">
        <v>1528</v>
      </c>
      <c r="S34" s="111" t="s">
        <v>1529</v>
      </c>
      <c r="T34" s="81"/>
    </row>
    <row r="35" spans="1:20" x14ac:dyDescent="0.2">
      <c r="A35" s="74">
        <v>34</v>
      </c>
      <c r="B35" s="74" t="s">
        <v>1568</v>
      </c>
      <c r="C35" s="74" t="s">
        <v>1531</v>
      </c>
      <c r="D35" s="110"/>
      <c r="E35" s="111"/>
      <c r="F35" s="111" t="s">
        <v>1569</v>
      </c>
      <c r="G35" s="111" t="s">
        <v>1547</v>
      </c>
      <c r="H35" s="111">
        <v>2</v>
      </c>
      <c r="I35" s="131">
        <v>10</v>
      </c>
      <c r="J35" s="74">
        <f t="shared" si="0"/>
        <v>30</v>
      </c>
      <c r="K35" s="111">
        <v>128</v>
      </c>
      <c r="L35" s="111"/>
      <c r="M35" s="111"/>
      <c r="N35" s="111">
        <v>750</v>
      </c>
      <c r="O35" s="111"/>
      <c r="P35" s="111"/>
      <c r="Q35" s="132"/>
      <c r="R35" s="74" t="s">
        <v>1540</v>
      </c>
      <c r="S35" s="111" t="s">
        <v>1541</v>
      </c>
      <c r="T35" s="81"/>
    </row>
    <row r="36" spans="1:20" x14ac:dyDescent="0.2">
      <c r="A36" s="73">
        <v>35</v>
      </c>
      <c r="B36" s="74" t="s">
        <v>1570</v>
      </c>
      <c r="C36" s="74" t="s">
        <v>203</v>
      </c>
      <c r="D36" s="110"/>
      <c r="E36" s="111"/>
      <c r="F36" s="110" t="s">
        <v>1571</v>
      </c>
      <c r="G36" s="111" t="s">
        <v>1547</v>
      </c>
      <c r="H36" s="111">
        <v>2</v>
      </c>
      <c r="I36" s="111">
        <v>24</v>
      </c>
      <c r="J36" s="111">
        <f t="shared" si="0"/>
        <v>72</v>
      </c>
      <c r="K36" s="111">
        <v>434</v>
      </c>
      <c r="L36" s="111">
        <v>1200</v>
      </c>
      <c r="M36" s="111"/>
      <c r="N36" s="111"/>
      <c r="O36" s="111"/>
      <c r="P36" s="111"/>
      <c r="Q36" s="132"/>
      <c r="R36" s="74" t="s">
        <v>1528</v>
      </c>
      <c r="S36" s="73" t="s">
        <v>1537</v>
      </c>
      <c r="T36" s="81"/>
    </row>
    <row r="37" spans="1:20" x14ac:dyDescent="0.2">
      <c r="A37" s="73">
        <v>37</v>
      </c>
      <c r="B37" s="74" t="s">
        <v>1572</v>
      </c>
      <c r="C37" s="74" t="s">
        <v>203</v>
      </c>
      <c r="D37" s="110"/>
      <c r="E37" s="111"/>
      <c r="F37" s="110" t="s">
        <v>1573</v>
      </c>
      <c r="G37" s="111" t="s">
        <v>1547</v>
      </c>
      <c r="H37" s="111">
        <v>49</v>
      </c>
      <c r="I37" s="131">
        <v>696</v>
      </c>
      <c r="J37" s="111">
        <f t="shared" si="0"/>
        <v>2088</v>
      </c>
      <c r="K37" s="111">
        <v>1840</v>
      </c>
      <c r="L37" s="111">
        <v>27140</v>
      </c>
      <c r="M37" s="111"/>
      <c r="N37" s="111"/>
      <c r="O37" s="111"/>
      <c r="P37" s="111"/>
      <c r="Q37" s="132"/>
      <c r="R37" s="74" t="s">
        <v>1528</v>
      </c>
      <c r="S37" s="73" t="s">
        <v>1529</v>
      </c>
      <c r="T37" s="81"/>
    </row>
    <row r="38" spans="1:20" x14ac:dyDescent="0.2">
      <c r="A38" s="74">
        <v>38</v>
      </c>
      <c r="B38" s="73" t="s">
        <v>1574</v>
      </c>
      <c r="C38" s="74" t="s">
        <v>188</v>
      </c>
      <c r="D38" s="110"/>
      <c r="E38" s="111"/>
      <c r="F38" s="77" t="s">
        <v>1575</v>
      </c>
      <c r="G38" s="77" t="s">
        <v>1576</v>
      </c>
      <c r="H38" s="77">
        <v>4</v>
      </c>
      <c r="I38" s="77">
        <f>22*4</f>
        <v>88</v>
      </c>
      <c r="J38" s="74">
        <f t="shared" si="0"/>
        <v>264</v>
      </c>
      <c r="K38" s="77">
        <f>44+45+46+47</f>
        <v>182</v>
      </c>
      <c r="L38" s="77">
        <f>4*(537+100)</f>
        <v>2548</v>
      </c>
      <c r="M38" s="77"/>
      <c r="N38" s="77"/>
      <c r="O38" s="77"/>
      <c r="P38" s="77"/>
      <c r="Q38" s="132"/>
      <c r="R38" s="74" t="s">
        <v>1528</v>
      </c>
      <c r="S38" s="73" t="s">
        <v>1537</v>
      </c>
      <c r="T38" s="133"/>
    </row>
    <row r="39" spans="1:20" x14ac:dyDescent="0.2">
      <c r="A39" s="73">
        <v>39</v>
      </c>
      <c r="B39" s="73" t="s">
        <v>1577</v>
      </c>
      <c r="C39" s="74" t="s">
        <v>188</v>
      </c>
      <c r="D39" s="110"/>
      <c r="E39" s="111"/>
      <c r="F39" s="77" t="s">
        <v>1578</v>
      </c>
      <c r="G39" s="77" t="s">
        <v>1576</v>
      </c>
      <c r="H39" s="77">
        <v>10</v>
      </c>
      <c r="I39" s="77">
        <v>20</v>
      </c>
      <c r="J39" s="77">
        <f t="shared" si="0"/>
        <v>60</v>
      </c>
      <c r="K39" s="77">
        <v>640</v>
      </c>
      <c r="L39" s="77">
        <v>3000</v>
      </c>
      <c r="M39" s="77"/>
      <c r="N39" s="77"/>
      <c r="O39" s="77"/>
      <c r="P39" s="77"/>
      <c r="Q39" s="132"/>
      <c r="R39" s="77" t="s">
        <v>1528</v>
      </c>
      <c r="S39" s="111" t="s">
        <v>1529</v>
      </c>
      <c r="T39" s="133"/>
    </row>
    <row r="40" spans="1:20" x14ac:dyDescent="0.2">
      <c r="A40" s="74">
        <v>40</v>
      </c>
      <c r="B40" s="73" t="s">
        <v>1579</v>
      </c>
      <c r="C40" s="74" t="s">
        <v>188</v>
      </c>
      <c r="D40" s="110"/>
      <c r="E40" s="111"/>
      <c r="F40" s="77" t="s">
        <v>1580</v>
      </c>
      <c r="G40" s="77" t="s">
        <v>1576</v>
      </c>
      <c r="H40" s="77">
        <v>19</v>
      </c>
      <c r="I40" s="77">
        <f>46*19</f>
        <v>874</v>
      </c>
      <c r="J40" s="77">
        <f t="shared" si="0"/>
        <v>2622</v>
      </c>
      <c r="K40" s="77">
        <f>64*19</f>
        <v>1216</v>
      </c>
      <c r="L40" s="77">
        <f>120*19</f>
        <v>2280</v>
      </c>
      <c r="M40" s="77"/>
      <c r="N40" s="77"/>
      <c r="O40" s="77"/>
      <c r="P40" s="77"/>
      <c r="Q40" s="132"/>
      <c r="R40" s="74" t="s">
        <v>1528</v>
      </c>
      <c r="S40" s="111" t="s">
        <v>1529</v>
      </c>
      <c r="T40" s="133"/>
    </row>
    <row r="41" spans="1:20" x14ac:dyDescent="0.2">
      <c r="A41" s="73">
        <v>41</v>
      </c>
      <c r="B41" s="126" t="s">
        <v>1581</v>
      </c>
      <c r="C41" s="74" t="s">
        <v>1523</v>
      </c>
      <c r="D41" s="73"/>
      <c r="E41" s="73"/>
      <c r="F41" s="77" t="s">
        <v>1582</v>
      </c>
      <c r="G41" s="77" t="s">
        <v>1576</v>
      </c>
      <c r="H41" s="111">
        <v>33</v>
      </c>
      <c r="I41" s="111">
        <v>-500</v>
      </c>
      <c r="J41" s="111">
        <f t="shared" si="0"/>
        <v>-1500</v>
      </c>
      <c r="K41" s="111">
        <v>-1976</v>
      </c>
      <c r="L41" s="111">
        <v>-37650</v>
      </c>
      <c r="M41" s="111"/>
      <c r="N41" s="77"/>
      <c r="O41" s="77"/>
      <c r="P41" s="77"/>
      <c r="Q41" s="132"/>
      <c r="R41" s="73" t="s">
        <v>1497</v>
      </c>
      <c r="S41" s="73" t="s">
        <v>1498</v>
      </c>
      <c r="T41" s="133"/>
    </row>
    <row r="42" spans="1:20" x14ac:dyDescent="0.2">
      <c r="A42" s="74">
        <v>42</v>
      </c>
      <c r="B42" s="73" t="s">
        <v>1583</v>
      </c>
      <c r="C42" s="74" t="s">
        <v>188</v>
      </c>
      <c r="D42" s="110"/>
      <c r="E42" s="111"/>
      <c r="F42" s="77" t="s">
        <v>1584</v>
      </c>
      <c r="G42" s="77" t="s">
        <v>1576</v>
      </c>
      <c r="H42" s="77"/>
      <c r="I42" s="77"/>
      <c r="J42" s="77"/>
      <c r="K42" s="77">
        <f>34*3</f>
        <v>102</v>
      </c>
      <c r="L42" s="77"/>
      <c r="M42" s="77"/>
      <c r="N42" s="77"/>
      <c r="O42" s="77"/>
      <c r="P42" s="77"/>
      <c r="Q42" s="132"/>
      <c r="R42" s="77" t="s">
        <v>1528</v>
      </c>
      <c r="S42" s="73" t="s">
        <v>1537</v>
      </c>
      <c r="T42" s="133"/>
    </row>
    <row r="43" spans="1:20" x14ac:dyDescent="0.2">
      <c r="A43" s="73">
        <v>43</v>
      </c>
      <c r="B43" s="73" t="s">
        <v>1585</v>
      </c>
      <c r="C43" s="74" t="s">
        <v>236</v>
      </c>
      <c r="D43" s="110"/>
      <c r="E43" s="111"/>
      <c r="F43" s="77" t="s">
        <v>1586</v>
      </c>
      <c r="G43" s="77" t="s">
        <v>1576</v>
      </c>
      <c r="H43" s="77"/>
      <c r="I43" s="77"/>
      <c r="J43" s="77"/>
      <c r="K43" s="77">
        <f>32*3</f>
        <v>96</v>
      </c>
      <c r="L43" s="77"/>
      <c r="M43" s="77"/>
      <c r="N43" s="77"/>
      <c r="O43" s="77"/>
      <c r="P43" s="77"/>
      <c r="Q43" s="132"/>
      <c r="R43" s="74" t="s">
        <v>1528</v>
      </c>
      <c r="S43" s="73" t="s">
        <v>1537</v>
      </c>
      <c r="T43" s="133"/>
    </row>
    <row r="44" spans="1:20" x14ac:dyDescent="0.2">
      <c r="A44" s="74">
        <v>44</v>
      </c>
      <c r="B44" s="73" t="s">
        <v>1587</v>
      </c>
      <c r="C44" s="74" t="s">
        <v>1531</v>
      </c>
      <c r="D44" s="110"/>
      <c r="E44" s="111"/>
      <c r="F44" s="77" t="s">
        <v>1588</v>
      </c>
      <c r="G44" s="77" t="s">
        <v>1576</v>
      </c>
      <c r="H44" s="77">
        <v>4</v>
      </c>
      <c r="I44" s="77">
        <f>-(20*2+32*2)</f>
        <v>-104</v>
      </c>
      <c r="J44" s="77">
        <f>I44*3</f>
        <v>-312</v>
      </c>
      <c r="K44" s="77">
        <f>-(64*4)</f>
        <v>-256</v>
      </c>
      <c r="L44" s="77">
        <f>-(890*4)</f>
        <v>-3560</v>
      </c>
      <c r="M44" s="77"/>
      <c r="N44" s="77"/>
      <c r="O44" s="77"/>
      <c r="P44" s="77"/>
      <c r="Q44" s="132"/>
      <c r="R44" s="77" t="s">
        <v>1528</v>
      </c>
      <c r="S44" s="111" t="s">
        <v>1529</v>
      </c>
      <c r="T44" s="133"/>
    </row>
    <row r="45" spans="1:20" x14ac:dyDescent="0.2">
      <c r="A45" s="73">
        <v>45</v>
      </c>
      <c r="B45" s="73" t="s">
        <v>1589</v>
      </c>
      <c r="C45" s="74" t="s">
        <v>188</v>
      </c>
      <c r="D45" s="110"/>
      <c r="E45" s="111"/>
      <c r="F45" s="77" t="s">
        <v>1590</v>
      </c>
      <c r="G45" s="77" t="s">
        <v>1576</v>
      </c>
      <c r="H45" s="77">
        <v>6</v>
      </c>
      <c r="I45" s="77">
        <f>-(6*10)</f>
        <v>-60</v>
      </c>
      <c r="J45" s="77">
        <f>I45*3</f>
        <v>-180</v>
      </c>
      <c r="K45" s="77"/>
      <c r="L45" s="77"/>
      <c r="M45" s="77"/>
      <c r="N45" s="77"/>
      <c r="O45" s="77"/>
      <c r="P45" s="77"/>
      <c r="Q45" s="132"/>
      <c r="R45" s="77" t="s">
        <v>1528</v>
      </c>
      <c r="S45" s="111" t="s">
        <v>1529</v>
      </c>
      <c r="T45" s="133"/>
    </row>
    <row r="46" spans="1:20" x14ac:dyDescent="0.2">
      <c r="A46" s="74">
        <v>46</v>
      </c>
      <c r="B46" s="73" t="s">
        <v>1591</v>
      </c>
      <c r="C46" s="74" t="s">
        <v>188</v>
      </c>
      <c r="D46" s="110"/>
      <c r="E46" s="111"/>
      <c r="F46" s="77" t="s">
        <v>1592</v>
      </c>
      <c r="G46" s="77" t="s">
        <v>1576</v>
      </c>
      <c r="H46" s="77">
        <v>11</v>
      </c>
      <c r="I46" s="111">
        <f>2*16+9*8</f>
        <v>104</v>
      </c>
      <c r="J46" s="77">
        <f>2*48+9*24</f>
        <v>312</v>
      </c>
      <c r="K46" s="77">
        <f>2*32+9*16</f>
        <v>208</v>
      </c>
      <c r="L46" s="77">
        <f>2*610+9*160</f>
        <v>2660</v>
      </c>
      <c r="M46" s="77"/>
      <c r="N46" s="77"/>
      <c r="O46" s="77"/>
      <c r="P46" s="77"/>
      <c r="Q46" s="132"/>
      <c r="R46" s="77" t="s">
        <v>1528</v>
      </c>
      <c r="S46" s="111" t="s">
        <v>1529</v>
      </c>
      <c r="T46" s="133"/>
    </row>
    <row r="47" spans="1:20" x14ac:dyDescent="0.2">
      <c r="A47" s="73">
        <v>47</v>
      </c>
      <c r="B47" s="73" t="s">
        <v>1593</v>
      </c>
      <c r="C47" s="74" t="s">
        <v>188</v>
      </c>
      <c r="D47" s="110"/>
      <c r="E47" s="111"/>
      <c r="F47" s="77" t="s">
        <v>1594</v>
      </c>
      <c r="G47" s="77" t="s">
        <v>1576</v>
      </c>
      <c r="H47" s="77">
        <v>12</v>
      </c>
      <c r="I47" s="77">
        <f>-(12*8)</f>
        <v>-96</v>
      </c>
      <c r="J47" s="77">
        <f t="shared" ref="J47:J57" si="1">I47*3</f>
        <v>-288</v>
      </c>
      <c r="K47" s="77"/>
      <c r="L47" s="77"/>
      <c r="M47" s="77"/>
      <c r="N47" s="77"/>
      <c r="O47" s="77"/>
      <c r="P47" s="77"/>
      <c r="Q47" s="132"/>
      <c r="R47" s="77" t="s">
        <v>1528</v>
      </c>
      <c r="S47" s="111" t="s">
        <v>1529</v>
      </c>
      <c r="T47" s="133"/>
    </row>
    <row r="48" spans="1:20" x14ac:dyDescent="0.2">
      <c r="A48" s="74">
        <v>48</v>
      </c>
      <c r="B48" s="73" t="s">
        <v>1595</v>
      </c>
      <c r="C48" s="74" t="s">
        <v>188</v>
      </c>
      <c r="D48" s="110"/>
      <c r="E48" s="111"/>
      <c r="F48" s="77" t="s">
        <v>1596</v>
      </c>
      <c r="G48" s="77" t="s">
        <v>1576</v>
      </c>
      <c r="H48" s="77">
        <v>3</v>
      </c>
      <c r="I48" s="77">
        <f>-12*3</f>
        <v>-36</v>
      </c>
      <c r="J48" s="77">
        <f t="shared" si="1"/>
        <v>-108</v>
      </c>
      <c r="K48" s="77">
        <f>-70*3</f>
        <v>-210</v>
      </c>
      <c r="L48" s="77">
        <f>-460*3</f>
        <v>-1380</v>
      </c>
      <c r="M48" s="77"/>
      <c r="N48" s="77"/>
      <c r="O48" s="77"/>
      <c r="P48" s="77"/>
      <c r="Q48" s="132"/>
      <c r="R48" s="77" t="s">
        <v>1528</v>
      </c>
      <c r="S48" s="111" t="s">
        <v>1529</v>
      </c>
      <c r="T48" s="133"/>
    </row>
    <row r="49" spans="1:20" x14ac:dyDescent="0.2">
      <c r="A49" s="73">
        <v>49</v>
      </c>
      <c r="B49" s="73" t="s">
        <v>1597</v>
      </c>
      <c r="C49" s="74" t="s">
        <v>188</v>
      </c>
      <c r="D49" s="110"/>
      <c r="E49" s="111"/>
      <c r="F49" s="77" t="s">
        <v>1598</v>
      </c>
      <c r="G49" s="77" t="s">
        <v>1576</v>
      </c>
      <c r="H49" s="111">
        <v>19</v>
      </c>
      <c r="I49" s="111">
        <f>13*6+14*3+10*3</f>
        <v>150</v>
      </c>
      <c r="J49" s="111">
        <f t="shared" si="1"/>
        <v>450</v>
      </c>
      <c r="K49" s="111">
        <f>16*3+64*3+10*3+64*4+16*3+38*3</f>
        <v>688</v>
      </c>
      <c r="L49" s="111">
        <f>1360*3+460*3+260+3+360*10</f>
        <v>9323</v>
      </c>
      <c r="M49" s="111"/>
      <c r="N49" s="77"/>
      <c r="O49" s="77"/>
      <c r="P49" s="77"/>
      <c r="Q49" s="132"/>
      <c r="R49" s="111" t="s">
        <v>1528</v>
      </c>
      <c r="S49" s="111" t="s">
        <v>1529</v>
      </c>
      <c r="T49" s="133"/>
    </row>
    <row r="50" spans="1:20" x14ac:dyDescent="0.2">
      <c r="A50" s="74">
        <v>50</v>
      </c>
      <c r="B50" s="126" t="s">
        <v>1599</v>
      </c>
      <c r="C50" s="74" t="s">
        <v>236</v>
      </c>
      <c r="D50" s="73"/>
      <c r="E50" s="73"/>
      <c r="F50" s="77" t="s">
        <v>1600</v>
      </c>
      <c r="G50" s="77" t="s">
        <v>1576</v>
      </c>
      <c r="H50" s="77">
        <v>3</v>
      </c>
      <c r="I50" s="77">
        <v>-58</v>
      </c>
      <c r="J50" s="77">
        <f t="shared" si="1"/>
        <v>-174</v>
      </c>
      <c r="K50" s="77"/>
      <c r="L50" s="77"/>
      <c r="M50" s="77"/>
      <c r="N50" s="77"/>
      <c r="O50" s="77"/>
      <c r="P50" s="77"/>
      <c r="Q50" s="132"/>
      <c r="R50" s="73" t="s">
        <v>1497</v>
      </c>
      <c r="S50" s="73" t="s">
        <v>1498</v>
      </c>
      <c r="T50" s="133"/>
    </row>
    <row r="51" spans="1:20" x14ac:dyDescent="0.2">
      <c r="A51" s="73">
        <v>51</v>
      </c>
      <c r="B51" s="73" t="s">
        <v>1601</v>
      </c>
      <c r="C51" s="74" t="s">
        <v>188</v>
      </c>
      <c r="D51" s="110"/>
      <c r="E51" s="111"/>
      <c r="F51" s="77" t="s">
        <v>1602</v>
      </c>
      <c r="G51" s="77" t="s">
        <v>1576</v>
      </c>
      <c r="H51" s="77">
        <v>3</v>
      </c>
      <c r="I51" s="77">
        <f>-30</f>
        <v>-30</v>
      </c>
      <c r="J51" s="77">
        <f t="shared" si="1"/>
        <v>-90</v>
      </c>
      <c r="K51" s="77"/>
      <c r="L51" s="77"/>
      <c r="M51" s="77"/>
      <c r="N51" s="77"/>
      <c r="O51" s="77"/>
      <c r="P51" s="77"/>
      <c r="Q51" s="132"/>
      <c r="R51" s="77" t="s">
        <v>1528</v>
      </c>
      <c r="S51" s="111" t="s">
        <v>1529</v>
      </c>
      <c r="T51" s="133"/>
    </row>
    <row r="52" spans="1:20" ht="38.25" x14ac:dyDescent="0.2">
      <c r="A52" s="74">
        <v>52</v>
      </c>
      <c r="B52" s="75" t="s">
        <v>1603</v>
      </c>
      <c r="C52" s="76" t="s">
        <v>1074</v>
      </c>
      <c r="D52" s="105"/>
      <c r="E52" s="106"/>
      <c r="F52" s="134" t="s">
        <v>1604</v>
      </c>
      <c r="G52" s="134" t="s">
        <v>1576</v>
      </c>
      <c r="H52" s="134">
        <v>2</v>
      </c>
      <c r="I52" s="134">
        <v>119</v>
      </c>
      <c r="J52" s="134">
        <f t="shared" si="1"/>
        <v>357</v>
      </c>
      <c r="K52" s="134">
        <f>28.5*2</f>
        <v>57</v>
      </c>
      <c r="L52" s="134">
        <f>153*2+26000</f>
        <v>26306</v>
      </c>
      <c r="M52" s="134"/>
      <c r="N52" s="134"/>
      <c r="O52" s="134"/>
      <c r="P52" s="134"/>
      <c r="Q52" s="111"/>
      <c r="R52" s="134" t="s">
        <v>1528</v>
      </c>
      <c r="S52" s="111" t="s">
        <v>1529</v>
      </c>
      <c r="T52" s="135" t="s">
        <v>1605</v>
      </c>
    </row>
    <row r="53" spans="1:20" x14ac:dyDescent="0.2">
      <c r="A53" s="73">
        <v>53</v>
      </c>
      <c r="B53" s="75" t="s">
        <v>1606</v>
      </c>
      <c r="C53" s="74" t="s">
        <v>203</v>
      </c>
      <c r="D53" s="105"/>
      <c r="E53" s="106"/>
      <c r="F53" s="77" t="s">
        <v>1607</v>
      </c>
      <c r="G53" s="77" t="s">
        <v>1608</v>
      </c>
      <c r="H53" s="77">
        <v>2</v>
      </c>
      <c r="I53" s="77">
        <v>98</v>
      </c>
      <c r="J53" s="77">
        <f t="shared" si="1"/>
        <v>294</v>
      </c>
      <c r="K53" s="77">
        <f>77*2</f>
        <v>154</v>
      </c>
      <c r="L53" s="77">
        <v>4080</v>
      </c>
      <c r="M53" s="77"/>
      <c r="N53" s="77"/>
      <c r="O53" s="77"/>
      <c r="P53" s="77"/>
      <c r="Q53" s="111"/>
      <c r="R53" s="134" t="s">
        <v>1528</v>
      </c>
      <c r="S53" s="111" t="s">
        <v>1529</v>
      </c>
      <c r="T53" s="133"/>
    </row>
    <row r="54" spans="1:20" x14ac:dyDescent="0.2">
      <c r="A54" s="74">
        <v>54</v>
      </c>
      <c r="B54" s="73" t="s">
        <v>1609</v>
      </c>
      <c r="C54" s="74" t="s">
        <v>203</v>
      </c>
      <c r="D54" s="105"/>
      <c r="E54" s="106"/>
      <c r="F54" s="77" t="s">
        <v>1610</v>
      </c>
      <c r="G54" s="77" t="s">
        <v>1608</v>
      </c>
      <c r="H54" s="77">
        <v>2</v>
      </c>
      <c r="I54" s="77">
        <f>24*2</f>
        <v>48</v>
      </c>
      <c r="J54" s="77">
        <f t="shared" si="1"/>
        <v>144</v>
      </c>
      <c r="K54" s="77">
        <f>26*2</f>
        <v>52</v>
      </c>
      <c r="L54" s="77">
        <f>671*2+402</f>
        <v>1744</v>
      </c>
      <c r="M54" s="77"/>
      <c r="N54" s="77"/>
      <c r="O54" s="77"/>
      <c r="P54" s="77"/>
      <c r="Q54" s="111"/>
      <c r="R54" s="134" t="s">
        <v>1528</v>
      </c>
      <c r="S54" s="111" t="s">
        <v>1529</v>
      </c>
      <c r="T54" s="133"/>
    </row>
    <row r="55" spans="1:20" x14ac:dyDescent="0.2">
      <c r="A55" s="73">
        <v>55</v>
      </c>
      <c r="B55" s="73" t="s">
        <v>1611</v>
      </c>
      <c r="C55" s="74" t="s">
        <v>188</v>
      </c>
      <c r="D55" s="110"/>
      <c r="E55" s="111"/>
      <c r="F55" s="77" t="s">
        <v>1612</v>
      </c>
      <c r="G55" s="77" t="s">
        <v>1608</v>
      </c>
      <c r="H55" s="77">
        <v>5</v>
      </c>
      <c r="I55" s="77">
        <f>-(8*3+15+12)</f>
        <v>-51</v>
      </c>
      <c r="J55" s="77">
        <f t="shared" si="1"/>
        <v>-153</v>
      </c>
      <c r="K55" s="77">
        <f>-(48+64)</f>
        <v>-112</v>
      </c>
      <c r="L55" s="77">
        <f>-(1360+650)</f>
        <v>-2010</v>
      </c>
      <c r="M55" s="77"/>
      <c r="N55" s="77"/>
      <c r="O55" s="77"/>
      <c r="P55" s="77"/>
      <c r="Q55" s="111"/>
      <c r="R55" s="74" t="s">
        <v>1544</v>
      </c>
      <c r="S55" s="73" t="s">
        <v>1537</v>
      </c>
      <c r="T55" s="133"/>
    </row>
    <row r="56" spans="1:20" x14ac:dyDescent="0.2">
      <c r="A56" s="74">
        <v>56</v>
      </c>
      <c r="B56" s="73" t="s">
        <v>1613</v>
      </c>
      <c r="C56" s="74" t="s">
        <v>203</v>
      </c>
      <c r="D56" s="105"/>
      <c r="E56" s="106"/>
      <c r="F56" s="77" t="s">
        <v>1614</v>
      </c>
      <c r="G56" s="77" t="s">
        <v>1608</v>
      </c>
      <c r="H56" s="77">
        <v>2</v>
      </c>
      <c r="I56" s="77">
        <v>48</v>
      </c>
      <c r="J56" s="77">
        <f t="shared" si="1"/>
        <v>144</v>
      </c>
      <c r="K56" s="77">
        <v>48</v>
      </c>
      <c r="L56" s="77">
        <f>192*2+49*2</f>
        <v>482</v>
      </c>
      <c r="M56" s="77"/>
      <c r="N56" s="77"/>
      <c r="O56" s="77"/>
      <c r="P56" s="77"/>
      <c r="Q56" s="111"/>
      <c r="R56" s="134" t="s">
        <v>1528</v>
      </c>
      <c r="S56" s="111" t="s">
        <v>1529</v>
      </c>
      <c r="T56" s="133"/>
    </row>
    <row r="57" spans="1:20" x14ac:dyDescent="0.2">
      <c r="A57" s="73">
        <v>57</v>
      </c>
      <c r="B57" s="73" t="s">
        <v>1615</v>
      </c>
      <c r="C57" s="74" t="s">
        <v>203</v>
      </c>
      <c r="D57" s="105"/>
      <c r="E57" s="106"/>
      <c r="F57" s="77" t="s">
        <v>1616</v>
      </c>
      <c r="G57" s="77" t="s">
        <v>1608</v>
      </c>
      <c r="H57" s="77">
        <v>2</v>
      </c>
      <c r="I57" s="77">
        <v>48</v>
      </c>
      <c r="J57" s="77">
        <f t="shared" si="1"/>
        <v>144</v>
      </c>
      <c r="K57" s="77">
        <v>48</v>
      </c>
      <c r="L57" s="77">
        <f>204*2+92*2</f>
        <v>592</v>
      </c>
      <c r="M57" s="77"/>
      <c r="N57" s="77"/>
      <c r="O57" s="77"/>
      <c r="P57" s="77"/>
      <c r="Q57" s="111"/>
      <c r="R57" s="134" t="s">
        <v>1528</v>
      </c>
      <c r="S57" s="111" t="s">
        <v>1529</v>
      </c>
      <c r="T57" s="133"/>
    </row>
    <row r="58" spans="1:20" x14ac:dyDescent="0.2">
      <c r="A58" s="74">
        <v>58</v>
      </c>
      <c r="B58" s="73" t="s">
        <v>1617</v>
      </c>
      <c r="C58" s="74" t="s">
        <v>188</v>
      </c>
      <c r="D58" s="110"/>
      <c r="E58" s="111"/>
      <c r="F58" s="77" t="s">
        <v>1618</v>
      </c>
      <c r="G58" s="77" t="s">
        <v>1608</v>
      </c>
      <c r="H58" s="77"/>
      <c r="I58" s="77"/>
      <c r="J58" s="77"/>
      <c r="K58" s="77"/>
      <c r="L58" s="77">
        <v>100</v>
      </c>
      <c r="M58" s="77"/>
      <c r="N58" s="77"/>
      <c r="O58" s="77"/>
      <c r="P58" s="77"/>
      <c r="Q58" s="111"/>
      <c r="R58" s="134" t="s">
        <v>1528</v>
      </c>
      <c r="S58" s="111">
        <v>2019</v>
      </c>
      <c r="T58" s="133"/>
    </row>
    <row r="59" spans="1:20" x14ac:dyDescent="0.2">
      <c r="A59" s="73">
        <v>59</v>
      </c>
      <c r="B59" s="73" t="s">
        <v>1619</v>
      </c>
      <c r="C59" s="74" t="s">
        <v>203</v>
      </c>
      <c r="D59" s="110"/>
      <c r="E59" s="111"/>
      <c r="F59" s="77" t="s">
        <v>1620</v>
      </c>
      <c r="G59" s="77" t="s">
        <v>1608</v>
      </c>
      <c r="H59" s="77">
        <v>2</v>
      </c>
      <c r="I59" s="77">
        <v>23</v>
      </c>
      <c r="J59" s="77">
        <f>I59*3</f>
        <v>69</v>
      </c>
      <c r="K59" s="77">
        <f>24*2</f>
        <v>48</v>
      </c>
      <c r="L59" s="77">
        <f>200*2</f>
        <v>400</v>
      </c>
      <c r="M59" s="77"/>
      <c r="N59" s="77"/>
      <c r="O59" s="77"/>
      <c r="P59" s="77"/>
      <c r="Q59" s="111"/>
      <c r="R59" s="134" t="s">
        <v>1528</v>
      </c>
      <c r="S59" s="111" t="s">
        <v>1529</v>
      </c>
      <c r="T59" s="133"/>
    </row>
    <row r="60" spans="1:20" x14ac:dyDescent="0.2">
      <c r="A60" s="74">
        <v>60</v>
      </c>
      <c r="B60" s="73" t="s">
        <v>1621</v>
      </c>
      <c r="C60" s="74" t="s">
        <v>188</v>
      </c>
      <c r="D60" s="110"/>
      <c r="E60" s="111"/>
      <c r="F60" s="77" t="s">
        <v>1622</v>
      </c>
      <c r="G60" s="77" t="s">
        <v>1608</v>
      </c>
      <c r="H60" s="77">
        <v>4</v>
      </c>
      <c r="I60" s="77">
        <v>-24</v>
      </c>
      <c r="J60" s="77"/>
      <c r="K60" s="77"/>
      <c r="L60" s="77"/>
      <c r="M60" s="77"/>
      <c r="N60" s="111"/>
      <c r="O60" s="111"/>
      <c r="P60" s="111"/>
      <c r="Q60" s="111"/>
      <c r="R60" s="74" t="s">
        <v>1544</v>
      </c>
      <c r="S60" s="73" t="s">
        <v>1537</v>
      </c>
      <c r="T60" s="133"/>
    </row>
    <row r="61" spans="1:20" x14ac:dyDescent="0.2">
      <c r="A61" s="73">
        <v>61</v>
      </c>
      <c r="B61" s="73" t="s">
        <v>1623</v>
      </c>
      <c r="C61" s="74" t="s">
        <v>236</v>
      </c>
      <c r="D61" s="110"/>
      <c r="E61" s="111"/>
      <c r="F61" s="77" t="s">
        <v>1624</v>
      </c>
      <c r="G61" s="77" t="s">
        <v>1608</v>
      </c>
      <c r="H61" s="77">
        <v>12</v>
      </c>
      <c r="I61" s="77">
        <v>-90</v>
      </c>
      <c r="J61" s="77">
        <v>-270</v>
      </c>
      <c r="K61" s="77"/>
      <c r="L61" s="77"/>
      <c r="M61" s="77"/>
      <c r="N61" s="77"/>
      <c r="O61" s="77"/>
      <c r="P61" s="77"/>
      <c r="Q61" s="111"/>
      <c r="R61" s="134" t="s">
        <v>1528</v>
      </c>
      <c r="S61" s="111" t="s">
        <v>1529</v>
      </c>
      <c r="T61" s="133"/>
    </row>
    <row r="62" spans="1:20" x14ac:dyDescent="0.2">
      <c r="A62" s="74">
        <v>62</v>
      </c>
      <c r="B62" s="75" t="s">
        <v>1625</v>
      </c>
      <c r="C62" s="76" t="s">
        <v>188</v>
      </c>
      <c r="D62" s="105"/>
      <c r="E62" s="106"/>
      <c r="F62" s="134" t="s">
        <v>1626</v>
      </c>
      <c r="G62" s="134" t="s">
        <v>1608</v>
      </c>
      <c r="H62" s="134">
        <v>12</v>
      </c>
      <c r="I62" s="134">
        <v>0</v>
      </c>
      <c r="J62" s="134">
        <v>0</v>
      </c>
      <c r="K62" s="134">
        <f>64*12</f>
        <v>768</v>
      </c>
      <c r="L62" s="134">
        <v>0</v>
      </c>
      <c r="M62" s="134"/>
      <c r="N62" s="134"/>
      <c r="O62" s="134"/>
      <c r="P62" s="134"/>
      <c r="Q62" s="111"/>
      <c r="R62" s="134" t="s">
        <v>1528</v>
      </c>
      <c r="S62" s="111" t="s">
        <v>1529</v>
      </c>
      <c r="T62" s="135"/>
    </row>
    <row r="63" spans="1:20" x14ac:dyDescent="0.2">
      <c r="A63" s="73">
        <v>63</v>
      </c>
      <c r="B63" s="75" t="s">
        <v>1627</v>
      </c>
      <c r="C63" s="76" t="s">
        <v>188</v>
      </c>
      <c r="D63" s="105"/>
      <c r="E63" s="106"/>
      <c r="F63" s="134" t="s">
        <v>1628</v>
      </c>
      <c r="G63" s="134" t="s">
        <v>1608</v>
      </c>
      <c r="H63" s="134">
        <v>13</v>
      </c>
      <c r="I63" s="134">
        <v>260</v>
      </c>
      <c r="J63" s="134">
        <f>I63*3</f>
        <v>780</v>
      </c>
      <c r="K63" s="134">
        <v>816</v>
      </c>
      <c r="L63" s="134">
        <v>48000</v>
      </c>
      <c r="M63" s="134"/>
      <c r="N63" s="134"/>
      <c r="O63" s="134"/>
      <c r="P63" s="134"/>
      <c r="Q63" s="111"/>
      <c r="R63" s="134" t="s">
        <v>1528</v>
      </c>
      <c r="S63" s="111" t="s">
        <v>1529</v>
      </c>
      <c r="T63" s="135"/>
    </row>
    <row r="64" spans="1:20" x14ac:dyDescent="0.2">
      <c r="A64" s="74">
        <v>64</v>
      </c>
      <c r="B64" s="75" t="s">
        <v>1629</v>
      </c>
      <c r="C64" s="76" t="s">
        <v>188</v>
      </c>
      <c r="D64" s="105"/>
      <c r="E64" s="106"/>
      <c r="F64" s="134" t="s">
        <v>1630</v>
      </c>
      <c r="G64" s="134" t="s">
        <v>1608</v>
      </c>
      <c r="H64" s="134">
        <v>3</v>
      </c>
      <c r="I64" s="134"/>
      <c r="J64" s="134"/>
      <c r="K64" s="134"/>
      <c r="L64" s="134"/>
      <c r="M64" s="134"/>
      <c r="N64" s="134"/>
      <c r="O64" s="134"/>
      <c r="P64" s="134"/>
      <c r="Q64" s="111"/>
      <c r="R64" s="134"/>
      <c r="S64" s="106"/>
      <c r="T64" s="135"/>
    </row>
    <row r="65" spans="1:20" x14ac:dyDescent="0.2">
      <c r="A65" s="73">
        <v>65</v>
      </c>
      <c r="B65" s="75" t="s">
        <v>1631</v>
      </c>
      <c r="C65" s="76" t="s">
        <v>188</v>
      </c>
      <c r="D65" s="105"/>
      <c r="E65" s="106"/>
      <c r="F65" s="134" t="s">
        <v>1630</v>
      </c>
      <c r="G65" s="134" t="s">
        <v>1608</v>
      </c>
      <c r="H65" s="134">
        <v>3</v>
      </c>
      <c r="I65" s="134"/>
      <c r="J65" s="134"/>
      <c r="K65" s="134"/>
      <c r="L65" s="134"/>
      <c r="M65" s="134"/>
      <c r="N65" s="134"/>
      <c r="O65" s="134"/>
      <c r="P65" s="134"/>
      <c r="Q65" s="111"/>
      <c r="R65" s="134"/>
      <c r="S65" s="106"/>
      <c r="T65" s="135"/>
    </row>
    <row r="66" spans="1:20" ht="38.25" x14ac:dyDescent="0.2">
      <c r="A66" s="74">
        <v>66</v>
      </c>
      <c r="B66" s="73" t="s">
        <v>1632</v>
      </c>
      <c r="C66" s="76" t="s">
        <v>188</v>
      </c>
      <c r="D66" s="105"/>
      <c r="E66" s="106"/>
      <c r="F66" s="77" t="s">
        <v>1633</v>
      </c>
      <c r="G66" s="77" t="s">
        <v>1608</v>
      </c>
      <c r="H66" s="77">
        <v>5</v>
      </c>
      <c r="I66" s="77"/>
      <c r="J66" s="77"/>
      <c r="K66" s="77"/>
      <c r="L66" s="77"/>
      <c r="M66" s="77">
        <v>5693</v>
      </c>
      <c r="N66" s="77"/>
      <c r="O66" s="77"/>
      <c r="P66" s="77"/>
      <c r="Q66" s="111"/>
      <c r="R66" s="134" t="s">
        <v>1528</v>
      </c>
      <c r="S66" s="111" t="s">
        <v>1529</v>
      </c>
      <c r="T66" s="133" t="s">
        <v>1634</v>
      </c>
    </row>
    <row r="67" spans="1:20" x14ac:dyDescent="0.2">
      <c r="A67" s="73">
        <v>67</v>
      </c>
      <c r="B67" s="73" t="s">
        <v>1635</v>
      </c>
      <c r="C67" s="74" t="s">
        <v>188</v>
      </c>
      <c r="D67" s="105"/>
      <c r="E67" s="106"/>
      <c r="F67" s="77" t="s">
        <v>1636</v>
      </c>
      <c r="G67" s="77" t="s">
        <v>1608</v>
      </c>
      <c r="H67" s="77">
        <v>6</v>
      </c>
      <c r="I67" s="77">
        <v>-60</v>
      </c>
      <c r="J67" s="134">
        <f t="shared" ref="J67:J72" si="2">I67*3</f>
        <v>-180</v>
      </c>
      <c r="K67" s="77"/>
      <c r="L67" s="77"/>
      <c r="M67" s="77"/>
      <c r="N67" s="77"/>
      <c r="O67" s="77"/>
      <c r="P67" s="77"/>
      <c r="Q67" s="111"/>
      <c r="R67" s="134" t="s">
        <v>1528</v>
      </c>
      <c r="S67" s="111" t="s">
        <v>1529</v>
      </c>
      <c r="T67" s="133"/>
    </row>
    <row r="68" spans="1:20" x14ac:dyDescent="0.2">
      <c r="A68" s="74">
        <v>68</v>
      </c>
      <c r="B68" s="75" t="s">
        <v>1637</v>
      </c>
      <c r="C68" s="74" t="s">
        <v>236</v>
      </c>
      <c r="D68" s="105"/>
      <c r="E68" s="106"/>
      <c r="F68" s="77" t="s">
        <v>1638</v>
      </c>
      <c r="G68" s="77" t="s">
        <v>1608</v>
      </c>
      <c r="H68" s="77">
        <v>27</v>
      </c>
      <c r="I68" s="77">
        <v>300</v>
      </c>
      <c r="J68" s="134">
        <f t="shared" si="2"/>
        <v>900</v>
      </c>
      <c r="K68" s="77">
        <v>1452</v>
      </c>
      <c r="L68" s="77">
        <v>35875</v>
      </c>
      <c r="M68" s="77"/>
      <c r="N68" s="77"/>
      <c r="O68" s="77"/>
      <c r="P68" s="77"/>
      <c r="Q68" s="111"/>
      <c r="R68" s="134" t="s">
        <v>1528</v>
      </c>
      <c r="S68" s="111" t="s">
        <v>1529</v>
      </c>
      <c r="T68" s="133"/>
    </row>
    <row r="69" spans="1:20" x14ac:dyDescent="0.2">
      <c r="A69" s="73">
        <v>69</v>
      </c>
      <c r="B69" s="126" t="s">
        <v>1639</v>
      </c>
      <c r="C69" s="76" t="s">
        <v>188</v>
      </c>
      <c r="D69" s="134"/>
      <c r="E69" s="134"/>
      <c r="F69" s="134" t="s">
        <v>1640</v>
      </c>
      <c r="G69" s="134" t="s">
        <v>1608</v>
      </c>
      <c r="H69" s="134">
        <v>10</v>
      </c>
      <c r="I69" s="134">
        <v>112</v>
      </c>
      <c r="J69" s="134">
        <f t="shared" si="2"/>
        <v>336</v>
      </c>
      <c r="K69" s="134">
        <v>224</v>
      </c>
      <c r="L69" s="134">
        <v>2060</v>
      </c>
      <c r="M69" s="134"/>
      <c r="N69" s="134"/>
      <c r="O69" s="134"/>
      <c r="P69" s="134"/>
      <c r="Q69" s="111"/>
      <c r="R69" s="134" t="s">
        <v>1497</v>
      </c>
      <c r="S69" s="73" t="s">
        <v>1498</v>
      </c>
      <c r="T69" s="135"/>
    </row>
    <row r="70" spans="1:20" x14ac:dyDescent="0.2">
      <c r="A70" s="74">
        <v>70</v>
      </c>
      <c r="B70" s="75" t="s">
        <v>1641</v>
      </c>
      <c r="C70" s="74" t="s">
        <v>188</v>
      </c>
      <c r="D70" s="105"/>
      <c r="E70" s="106"/>
      <c r="F70" s="77" t="s">
        <v>1642</v>
      </c>
      <c r="G70" s="77" t="s">
        <v>1643</v>
      </c>
      <c r="H70" s="77">
        <v>28</v>
      </c>
      <c r="I70" s="77">
        <v>666</v>
      </c>
      <c r="J70" s="111">
        <f t="shared" si="2"/>
        <v>1998</v>
      </c>
      <c r="K70" s="77">
        <v>1336</v>
      </c>
      <c r="L70" s="77">
        <v>38280</v>
      </c>
      <c r="M70" s="77"/>
      <c r="N70" s="77"/>
      <c r="O70" s="77"/>
      <c r="P70" s="77"/>
      <c r="Q70" s="111"/>
      <c r="R70" s="134" t="s">
        <v>1528</v>
      </c>
      <c r="S70" s="111" t="s">
        <v>1529</v>
      </c>
      <c r="T70" s="133"/>
    </row>
    <row r="71" spans="1:20" ht="25.5" x14ac:dyDescent="0.2">
      <c r="A71" s="73">
        <v>71</v>
      </c>
      <c r="B71" s="75" t="s">
        <v>1644</v>
      </c>
      <c r="C71" s="74" t="s">
        <v>188</v>
      </c>
      <c r="D71" s="105"/>
      <c r="E71" s="106"/>
      <c r="F71" s="77" t="s">
        <v>1645</v>
      </c>
      <c r="G71" s="77" t="s">
        <v>1643</v>
      </c>
      <c r="H71" s="77">
        <v>3</v>
      </c>
      <c r="I71" s="77">
        <v>72</v>
      </c>
      <c r="J71" s="77">
        <f t="shared" si="2"/>
        <v>216</v>
      </c>
      <c r="K71" s="77">
        <f>48*3</f>
        <v>144</v>
      </c>
      <c r="L71" s="77">
        <v>1500</v>
      </c>
      <c r="M71" s="77"/>
      <c r="N71" s="77"/>
      <c r="O71" s="77"/>
      <c r="P71" s="77"/>
      <c r="Q71" s="111"/>
      <c r="R71" s="134" t="s">
        <v>1528</v>
      </c>
      <c r="S71" s="111" t="s">
        <v>1529</v>
      </c>
      <c r="T71" s="133" t="s">
        <v>1646</v>
      </c>
    </row>
    <row r="72" spans="1:20" x14ac:dyDescent="0.2">
      <c r="A72" s="74">
        <v>72</v>
      </c>
      <c r="B72" s="126" t="s">
        <v>835</v>
      </c>
      <c r="C72" s="74" t="s">
        <v>188</v>
      </c>
      <c r="D72" s="110"/>
      <c r="E72" s="111"/>
      <c r="F72" s="77" t="str">
        <f>INDEX('Cấp phát TN'!C1:G1048575,MATCH(B72,'Cấp phát TN'!C1:C1048575,0),2)</f>
        <v>BSS</v>
      </c>
      <c r="G72" s="77" t="s">
        <v>1643</v>
      </c>
      <c r="H72" s="77">
        <v>4</v>
      </c>
      <c r="I72" s="77">
        <f>16*2+24*2</f>
        <v>80</v>
      </c>
      <c r="J72" s="77">
        <f t="shared" si="2"/>
        <v>240</v>
      </c>
      <c r="K72" s="77">
        <f>16*2+32*2</f>
        <v>96</v>
      </c>
      <c r="L72" s="77">
        <v>1340</v>
      </c>
      <c r="M72" s="77">
        <f>350*2+200*2+1200</f>
        <v>2300</v>
      </c>
      <c r="N72" s="77"/>
      <c r="O72" s="77"/>
      <c r="P72" s="77"/>
      <c r="Q72" s="111"/>
      <c r="R72" s="134" t="s">
        <v>1497</v>
      </c>
      <c r="S72" s="73" t="s">
        <v>1498</v>
      </c>
      <c r="T72" s="133"/>
    </row>
    <row r="73" spans="1:20" ht="25.5" x14ac:dyDescent="0.2">
      <c r="A73" s="73">
        <v>73</v>
      </c>
      <c r="B73" s="73" t="s">
        <v>1647</v>
      </c>
      <c r="C73" s="74" t="s">
        <v>188</v>
      </c>
      <c r="D73" s="110"/>
      <c r="E73" s="111"/>
      <c r="F73" s="77" t="s">
        <v>1648</v>
      </c>
      <c r="G73" s="77" t="s">
        <v>1643</v>
      </c>
      <c r="H73" s="77">
        <v>19</v>
      </c>
      <c r="I73" s="77">
        <v>210</v>
      </c>
      <c r="J73" s="77">
        <v>630</v>
      </c>
      <c r="K73" s="77">
        <v>678</v>
      </c>
      <c r="L73" s="77">
        <v>37920</v>
      </c>
      <c r="M73" s="77"/>
      <c r="N73" s="77"/>
      <c r="O73" s="77"/>
      <c r="P73" s="77"/>
      <c r="Q73" s="111"/>
      <c r="R73" s="134"/>
      <c r="S73" s="73"/>
      <c r="T73" s="133" t="s">
        <v>1649</v>
      </c>
    </row>
    <row r="74" spans="1:20" x14ac:dyDescent="0.2">
      <c r="A74" s="74">
        <v>74</v>
      </c>
      <c r="B74" s="75" t="s">
        <v>1650</v>
      </c>
      <c r="C74" s="74" t="s">
        <v>203</v>
      </c>
      <c r="D74" s="105"/>
      <c r="E74" s="106"/>
      <c r="F74" s="77" t="s">
        <v>1651</v>
      </c>
      <c r="G74" s="77" t="s">
        <v>1643</v>
      </c>
      <c r="H74" s="77">
        <v>49</v>
      </c>
      <c r="I74" s="77">
        <v>-696</v>
      </c>
      <c r="J74" s="77">
        <f t="shared" ref="J74:J79" si="3">I74*3</f>
        <v>-2088</v>
      </c>
      <c r="K74" s="77">
        <v>-1840</v>
      </c>
      <c r="L74" s="77">
        <v>-27140</v>
      </c>
      <c r="M74" s="77"/>
      <c r="N74" s="77"/>
      <c r="O74" s="77"/>
      <c r="P74" s="77"/>
      <c r="Q74" s="111"/>
      <c r="R74" s="134" t="s">
        <v>1528</v>
      </c>
      <c r="S74" s="111" t="s">
        <v>1529</v>
      </c>
      <c r="T74" s="133"/>
    </row>
    <row r="75" spans="1:20" x14ac:dyDescent="0.2">
      <c r="A75" s="73">
        <v>75</v>
      </c>
      <c r="B75" s="75" t="s">
        <v>1652</v>
      </c>
      <c r="C75" s="74" t="s">
        <v>203</v>
      </c>
      <c r="D75" s="105"/>
      <c r="E75" s="106"/>
      <c r="F75" s="77" t="s">
        <v>1653</v>
      </c>
      <c r="G75" s="77" t="s">
        <v>1643</v>
      </c>
      <c r="H75" s="77">
        <v>42</v>
      </c>
      <c r="I75" s="77">
        <f>8*18+4*6+8*3+24*3*5</f>
        <v>552</v>
      </c>
      <c r="J75" s="77">
        <f t="shared" si="3"/>
        <v>1656</v>
      </c>
      <c r="K75" s="77">
        <f>16*18+8*6+24*3+24*3+25*3+24*3+63*3+31*3</f>
        <v>909</v>
      </c>
      <c r="L75" s="77">
        <f>220*18+260*6+260*3+300*3+300*3+300*3+920*3+300*3+300</f>
        <v>12960</v>
      </c>
      <c r="M75" s="77"/>
      <c r="N75" s="77"/>
      <c r="O75" s="77"/>
      <c r="P75" s="77"/>
      <c r="Q75" s="111"/>
      <c r="R75" s="134" t="s">
        <v>1528</v>
      </c>
      <c r="S75" s="111" t="s">
        <v>1529</v>
      </c>
      <c r="T75" s="133"/>
    </row>
    <row r="76" spans="1:20" x14ac:dyDescent="0.2">
      <c r="A76" s="74">
        <v>76</v>
      </c>
      <c r="B76" s="75" t="s">
        <v>1654</v>
      </c>
      <c r="C76" s="74" t="s">
        <v>188</v>
      </c>
      <c r="D76" s="105"/>
      <c r="E76" s="106"/>
      <c r="F76" s="77" t="s">
        <v>1655</v>
      </c>
      <c r="G76" s="77" t="s">
        <v>1643</v>
      </c>
      <c r="H76" s="77">
        <v>25</v>
      </c>
      <c r="I76" s="111">
        <v>176</v>
      </c>
      <c r="J76" s="77">
        <f t="shared" si="3"/>
        <v>528</v>
      </c>
      <c r="K76" s="77">
        <v>360</v>
      </c>
      <c r="L76" s="77">
        <v>5840</v>
      </c>
      <c r="M76" s="77"/>
      <c r="N76" s="77"/>
      <c r="O76" s="77"/>
      <c r="P76" s="77"/>
      <c r="Q76" s="111"/>
      <c r="R76" s="134" t="s">
        <v>1528</v>
      </c>
      <c r="S76" s="111" t="s">
        <v>1529</v>
      </c>
      <c r="T76" s="133"/>
    </row>
    <row r="77" spans="1:20" x14ac:dyDescent="0.2">
      <c r="A77" s="73">
        <v>77</v>
      </c>
      <c r="B77" s="75" t="s">
        <v>1656</v>
      </c>
      <c r="C77" s="74" t="s">
        <v>236</v>
      </c>
      <c r="D77" s="105"/>
      <c r="E77" s="106"/>
      <c r="F77" s="77" t="s">
        <v>1657</v>
      </c>
      <c r="G77" s="77" t="s">
        <v>1643</v>
      </c>
      <c r="H77" s="77">
        <v>9</v>
      </c>
      <c r="I77" s="77">
        <f>24*3+6*8</f>
        <v>120</v>
      </c>
      <c r="J77" s="77">
        <f t="shared" si="3"/>
        <v>360</v>
      </c>
      <c r="K77" s="77">
        <f>76*3+52*6</f>
        <v>540</v>
      </c>
      <c r="L77" s="77">
        <f>700*6+4200+2700*2</f>
        <v>13800</v>
      </c>
      <c r="M77" s="77"/>
      <c r="N77" s="77"/>
      <c r="O77" s="77"/>
      <c r="P77" s="77"/>
      <c r="Q77" s="111"/>
      <c r="R77" s="134" t="s">
        <v>1528</v>
      </c>
      <c r="S77" s="111" t="s">
        <v>1529</v>
      </c>
      <c r="T77" s="133"/>
    </row>
    <row r="78" spans="1:20" x14ac:dyDescent="0.2">
      <c r="A78" s="74">
        <v>78</v>
      </c>
      <c r="B78" s="75" t="s">
        <v>839</v>
      </c>
      <c r="C78" s="74" t="s">
        <v>236</v>
      </c>
      <c r="D78" s="105"/>
      <c r="E78" s="106"/>
      <c r="F78" s="77" t="str">
        <f>INDEX('Cấp phát TN'!C1:G1048575,MATCH(B78,'Cấp phát TN'!C1:C1048575,0),2)</f>
        <v>DAC</v>
      </c>
      <c r="G78" s="77" t="s">
        <v>1643</v>
      </c>
      <c r="H78" s="77">
        <v>5</v>
      </c>
      <c r="I78" s="77">
        <f>24*3+16</f>
        <v>88</v>
      </c>
      <c r="J78" s="77">
        <f t="shared" si="3"/>
        <v>264</v>
      </c>
      <c r="K78" s="77">
        <f>24*3+44*2</f>
        <v>160</v>
      </c>
      <c r="L78" s="77">
        <f>3300+2000*2+550*2</f>
        <v>8400</v>
      </c>
      <c r="M78" s="77"/>
      <c r="N78" s="77"/>
      <c r="O78" s="77"/>
      <c r="P78" s="77"/>
      <c r="Q78" s="111"/>
      <c r="R78" s="134" t="s">
        <v>1528</v>
      </c>
      <c r="S78" s="111" t="s">
        <v>1529</v>
      </c>
      <c r="T78" s="133"/>
    </row>
    <row r="79" spans="1:20" x14ac:dyDescent="0.2">
      <c r="A79" s="73">
        <v>79</v>
      </c>
      <c r="B79" s="75" t="s">
        <v>1658</v>
      </c>
      <c r="C79" s="74" t="s">
        <v>188</v>
      </c>
      <c r="D79" s="105"/>
      <c r="E79" s="106"/>
      <c r="F79" s="77" t="s">
        <v>1659</v>
      </c>
      <c r="G79" s="77" t="s">
        <v>1643</v>
      </c>
      <c r="H79" s="77">
        <v>12</v>
      </c>
      <c r="I79" s="77">
        <f>12*12</f>
        <v>144</v>
      </c>
      <c r="J79" s="77">
        <f t="shared" si="3"/>
        <v>432</v>
      </c>
      <c r="K79" s="77">
        <f>52*12</f>
        <v>624</v>
      </c>
      <c r="L79" s="77">
        <f>314*12</f>
        <v>3768</v>
      </c>
      <c r="M79" s="77"/>
      <c r="N79" s="77"/>
      <c r="O79" s="77"/>
      <c r="P79" s="77"/>
      <c r="Q79" s="111"/>
      <c r="R79" s="134" t="s">
        <v>1528</v>
      </c>
      <c r="S79" s="111" t="s">
        <v>1529</v>
      </c>
      <c r="T79" s="133"/>
    </row>
    <row r="80" spans="1:20" x14ac:dyDescent="0.2">
      <c r="A80" s="74">
        <v>80</v>
      </c>
      <c r="B80" s="75" t="s">
        <v>1660</v>
      </c>
      <c r="C80" s="74" t="s">
        <v>188</v>
      </c>
      <c r="D80" s="105"/>
      <c r="E80" s="106"/>
      <c r="F80" s="77" t="s">
        <v>1661</v>
      </c>
      <c r="G80" s="77" t="s">
        <v>1643</v>
      </c>
      <c r="H80" s="77">
        <v>3</v>
      </c>
      <c r="I80" s="77"/>
      <c r="J80" s="77"/>
      <c r="K80" s="77"/>
      <c r="L80" s="77">
        <v>600</v>
      </c>
      <c r="M80" s="77"/>
      <c r="N80" s="77"/>
      <c r="O80" s="77"/>
      <c r="P80" s="77"/>
      <c r="Q80" s="111"/>
      <c r="R80" s="134" t="s">
        <v>1528</v>
      </c>
      <c r="S80" s="111" t="s">
        <v>1529</v>
      </c>
      <c r="T80" s="133"/>
    </row>
    <row r="81" spans="1:20" ht="25.5" x14ac:dyDescent="0.2">
      <c r="A81" s="73">
        <v>81</v>
      </c>
      <c r="B81" s="136" t="s">
        <v>1662</v>
      </c>
      <c r="C81" s="137" t="s">
        <v>203</v>
      </c>
      <c r="D81" s="138"/>
      <c r="E81" s="139"/>
      <c r="F81" s="140"/>
      <c r="G81" s="140"/>
      <c r="H81" s="140"/>
      <c r="I81" s="140">
        <v>1118</v>
      </c>
      <c r="J81" s="139">
        <f>I81*3</f>
        <v>3354</v>
      </c>
      <c r="K81" s="140">
        <v>1462</v>
      </c>
      <c r="L81" s="140">
        <v>9860</v>
      </c>
      <c r="M81" s="140"/>
      <c r="N81" s="140"/>
      <c r="O81" s="140"/>
      <c r="P81" s="140"/>
      <c r="Q81" s="111"/>
      <c r="R81" s="140"/>
      <c r="S81" s="139"/>
      <c r="T81" s="141" t="s">
        <v>1663</v>
      </c>
    </row>
    <row r="82" spans="1:20" ht="25.5" x14ac:dyDescent="0.2">
      <c r="A82" s="74">
        <v>82</v>
      </c>
      <c r="B82" s="136" t="s">
        <v>1664</v>
      </c>
      <c r="C82" s="137" t="s">
        <v>188</v>
      </c>
      <c r="D82" s="138"/>
      <c r="E82" s="139"/>
      <c r="F82" s="140"/>
      <c r="G82" s="140"/>
      <c r="H82" s="140"/>
      <c r="I82" s="140">
        <v>702</v>
      </c>
      <c r="J82" s="140">
        <v>2321</v>
      </c>
      <c r="K82" s="140"/>
      <c r="L82" s="140"/>
      <c r="M82" s="140"/>
      <c r="N82" s="140"/>
      <c r="O82" s="140"/>
      <c r="P82" s="140"/>
      <c r="Q82" s="111"/>
      <c r="R82" s="140"/>
      <c r="S82" s="139"/>
      <c r="T82" s="141" t="s">
        <v>1663</v>
      </c>
    </row>
    <row r="83" spans="1:20" x14ac:dyDescent="0.2">
      <c r="A83" s="73">
        <v>83</v>
      </c>
      <c r="B83" s="73" t="s">
        <v>1665</v>
      </c>
      <c r="C83" s="74" t="s">
        <v>188</v>
      </c>
      <c r="D83" s="105"/>
      <c r="E83" s="106"/>
      <c r="F83" s="77" t="s">
        <v>1666</v>
      </c>
      <c r="G83" s="77" t="s">
        <v>1643</v>
      </c>
      <c r="H83" s="77">
        <v>5</v>
      </c>
      <c r="I83" s="77">
        <f>8*5</f>
        <v>40</v>
      </c>
      <c r="J83" s="77">
        <f>I83*3</f>
        <v>120</v>
      </c>
      <c r="K83" s="77">
        <f>55*5</f>
        <v>275</v>
      </c>
      <c r="L83" s="77">
        <f>192*5</f>
        <v>960</v>
      </c>
      <c r="M83" s="77"/>
      <c r="N83" s="77"/>
      <c r="O83" s="77"/>
      <c r="P83" s="77"/>
      <c r="Q83" s="111"/>
      <c r="R83" s="134" t="s">
        <v>1528</v>
      </c>
      <c r="S83" s="111" t="s">
        <v>1529</v>
      </c>
      <c r="T83" s="133" t="s">
        <v>1667</v>
      </c>
    </row>
    <row r="84" spans="1:20" x14ac:dyDescent="0.2">
      <c r="A84" s="74">
        <v>84</v>
      </c>
      <c r="B84" s="126" t="s">
        <v>1668</v>
      </c>
      <c r="C84" s="74" t="s">
        <v>188</v>
      </c>
      <c r="D84" s="105"/>
      <c r="E84" s="106"/>
      <c r="F84" s="77" t="s">
        <v>1669</v>
      </c>
      <c r="G84" s="77" t="s">
        <v>1643</v>
      </c>
      <c r="H84" s="77">
        <v>20</v>
      </c>
      <c r="I84" s="77">
        <f>32*20</f>
        <v>640</v>
      </c>
      <c r="J84" s="77">
        <f>I84*3</f>
        <v>1920</v>
      </c>
      <c r="K84" s="77">
        <f>32*20</f>
        <v>640</v>
      </c>
      <c r="L84" s="77">
        <f>280*20</f>
        <v>5600</v>
      </c>
      <c r="M84" s="77"/>
      <c r="N84" s="77"/>
      <c r="O84" s="77"/>
      <c r="P84" s="77"/>
      <c r="Q84" s="111"/>
      <c r="R84" s="134" t="s">
        <v>1497</v>
      </c>
      <c r="S84" s="73" t="s">
        <v>1498</v>
      </c>
      <c r="T84" s="133"/>
    </row>
    <row r="85" spans="1:20" x14ac:dyDescent="0.2">
      <c r="A85" s="73">
        <v>85</v>
      </c>
      <c r="B85" s="126" t="s">
        <v>1670</v>
      </c>
      <c r="C85" s="74" t="s">
        <v>188</v>
      </c>
      <c r="D85" s="105"/>
      <c r="E85" s="106"/>
      <c r="F85" s="77" t="s">
        <v>1671</v>
      </c>
      <c r="G85" s="77" t="s">
        <v>1643</v>
      </c>
      <c r="H85" s="77">
        <v>13</v>
      </c>
      <c r="I85" s="77">
        <f>32*13</f>
        <v>416</v>
      </c>
      <c r="J85" s="77">
        <f>I85*3</f>
        <v>1248</v>
      </c>
      <c r="K85" s="77">
        <f>32*13</f>
        <v>416</v>
      </c>
      <c r="L85" s="77">
        <f>280*13</f>
        <v>3640</v>
      </c>
      <c r="M85" s="77"/>
      <c r="N85" s="77"/>
      <c r="O85" s="77"/>
      <c r="P85" s="77"/>
      <c r="Q85" s="111"/>
      <c r="R85" s="134" t="s">
        <v>1497</v>
      </c>
      <c r="S85" s="73" t="s">
        <v>1498</v>
      </c>
      <c r="T85" s="133"/>
    </row>
    <row r="86" spans="1:20" x14ac:dyDescent="0.2">
      <c r="A86" s="74">
        <v>86</v>
      </c>
      <c r="B86" s="126" t="s">
        <v>1672</v>
      </c>
      <c r="C86" s="74" t="s">
        <v>188</v>
      </c>
      <c r="D86" s="105"/>
      <c r="E86" s="106"/>
      <c r="F86" s="77"/>
      <c r="G86" s="77" t="s">
        <v>1643</v>
      </c>
      <c r="H86" s="77">
        <v>10</v>
      </c>
      <c r="I86" s="77">
        <v>-120</v>
      </c>
      <c r="J86" s="77">
        <f>I86*3</f>
        <v>-360</v>
      </c>
      <c r="K86" s="77">
        <v>-416</v>
      </c>
      <c r="L86" s="77">
        <v>-7900</v>
      </c>
      <c r="M86" s="77"/>
      <c r="N86" s="77"/>
      <c r="O86" s="77"/>
      <c r="P86" s="77"/>
      <c r="Q86" s="111"/>
      <c r="R86" s="134" t="s">
        <v>1497</v>
      </c>
      <c r="S86" s="73" t="s">
        <v>1498</v>
      </c>
      <c r="T86" s="133" t="s">
        <v>1673</v>
      </c>
    </row>
    <row r="87" spans="1:20" x14ac:dyDescent="0.2">
      <c r="A87" s="73">
        <v>87</v>
      </c>
      <c r="B87" s="73" t="s">
        <v>852</v>
      </c>
      <c r="C87" s="74" t="str">
        <f>VLOOKUP(B87,'Cấp phát TN'!C1:G1048575,2,FALSE)</f>
        <v>BSS</v>
      </c>
      <c r="D87" s="105">
        <f>VLOOKUP(B87,'Cấp phát TN'!C1:G1048575,3,FALSE)</f>
        <v>0</v>
      </c>
      <c r="E87" s="106" t="str">
        <f>VLOOKUP(B87,'Cấp phát TN'!C1:G1048575,4,FALSE)</f>
        <v>hieuhv13</v>
      </c>
      <c r="F87" s="77" t="str">
        <f>VLOOKUP(B87,'Cấp phát TN'!C1:G1048575,5,FALSE)</f>
        <v>SR_VN_20230426_780377</v>
      </c>
      <c r="G87" s="77" t="s">
        <v>1643</v>
      </c>
      <c r="H87" s="77">
        <v>25</v>
      </c>
      <c r="I87" s="111">
        <v>-176</v>
      </c>
      <c r="J87" s="77">
        <f>I87*3</f>
        <v>-528</v>
      </c>
      <c r="K87" s="77">
        <v>-360</v>
      </c>
      <c r="L87" s="77">
        <v>-5840</v>
      </c>
      <c r="M87" s="77"/>
      <c r="N87" s="77"/>
      <c r="O87" s="77"/>
      <c r="P87" s="77"/>
      <c r="Q87" s="111"/>
      <c r="R87" s="134" t="s">
        <v>1528</v>
      </c>
      <c r="S87" s="111" t="s">
        <v>1529</v>
      </c>
      <c r="T87" s="133" t="s">
        <v>1674</v>
      </c>
    </row>
    <row r="88" spans="1:20" ht="25.5" x14ac:dyDescent="0.2">
      <c r="A88" s="74">
        <v>88</v>
      </c>
      <c r="B88" s="73" t="s">
        <v>848</v>
      </c>
      <c r="C88" s="74" t="str">
        <f>VLOOKUP(B88,'Cấp phát TN'!C1:G1048575,2,FALSE)</f>
        <v>BSS</v>
      </c>
      <c r="D88" s="105">
        <f>VLOOKUP(B88,'Cấp phát TN'!C1:G1048575,3,FALSE)</f>
        <v>0</v>
      </c>
      <c r="E88" s="106" t="str">
        <f>VLOOKUP(B88,'Cấp phát TN'!C1:G1048575,4,FALSE)</f>
        <v>hieuhv13</v>
      </c>
      <c r="F88" s="77" t="str">
        <f>VLOOKUP(B88,'Cấp phát TN'!C1:G1048575,5,FALSE)</f>
        <v>SR_VN_20230419_775285
SR_VN_20230425_779549</v>
      </c>
      <c r="G88" s="77" t="s">
        <v>1675</v>
      </c>
      <c r="H88" s="77">
        <v>17</v>
      </c>
      <c r="I88" s="77">
        <v>220</v>
      </c>
      <c r="J88" s="77">
        <f>220*3</f>
        <v>660</v>
      </c>
      <c r="K88" s="77">
        <v>592</v>
      </c>
      <c r="L88" s="77">
        <f>60*17+8*160+6*200+920*3+500*3+600</f>
        <v>8360</v>
      </c>
      <c r="M88" s="77"/>
      <c r="N88" s="77"/>
      <c r="O88" s="77"/>
      <c r="P88" s="77"/>
      <c r="Q88" s="111"/>
      <c r="R88" s="134" t="s">
        <v>1528</v>
      </c>
      <c r="S88" s="111" t="s">
        <v>1529</v>
      </c>
      <c r="T88" s="133"/>
    </row>
    <row r="89" spans="1:20" x14ac:dyDescent="0.2">
      <c r="A89" s="73">
        <v>89</v>
      </c>
      <c r="B89" s="73" t="s">
        <v>852</v>
      </c>
      <c r="C89" s="74" t="str">
        <f>VLOOKUP(B89,'Cấp phát TN'!C1:G1048575,2,FALSE)</f>
        <v>BSS</v>
      </c>
      <c r="D89" s="105">
        <f>VLOOKUP(B89,'Cấp phát TN'!C1:G1048575,3,FALSE)</f>
        <v>0</v>
      </c>
      <c r="E89" s="106" t="str">
        <f>VLOOKUP(B89,'Cấp phát TN'!C1:G1048575,4,FALSE)</f>
        <v>hieuhv13</v>
      </c>
      <c r="F89" s="77" t="str">
        <f>VLOOKUP(B89,'Cấp phát TN'!C1:G1048575,5,FALSE)</f>
        <v>SR_VN_20230426_780377</v>
      </c>
      <c r="G89" s="77" t="s">
        <v>1675</v>
      </c>
      <c r="H89" s="77">
        <v>8</v>
      </c>
      <c r="I89" s="77">
        <v>-44</v>
      </c>
      <c r="J89" s="77">
        <f>-44*3</f>
        <v>-132</v>
      </c>
      <c r="K89" s="77">
        <v>-96</v>
      </c>
      <c r="L89" s="77">
        <f>-8*60-3*160-5*200-100</f>
        <v>-2060</v>
      </c>
      <c r="M89" s="77"/>
      <c r="N89" s="77"/>
      <c r="O89" s="77"/>
      <c r="P89" s="77"/>
      <c r="Q89" s="111"/>
      <c r="R89" s="134" t="s">
        <v>1528</v>
      </c>
      <c r="S89" s="111" t="s">
        <v>1529</v>
      </c>
      <c r="T89" s="133"/>
    </row>
    <row r="90" spans="1:20" x14ac:dyDescent="0.2">
      <c r="A90" s="74">
        <v>90</v>
      </c>
      <c r="B90" s="73" t="s">
        <v>858</v>
      </c>
      <c r="C90" s="74" t="str">
        <f>VLOOKUP(B90,'Cấp phát TN'!C1:G1048575,2,FALSE)</f>
        <v>BSS</v>
      </c>
      <c r="D90" s="105">
        <f>VLOOKUP(B90,'Cấp phát TN'!C1:G1048575,3,FALSE)</f>
        <v>0</v>
      </c>
      <c r="E90" s="106" t="str">
        <f>VLOOKUP(B90,'Cấp phát TN'!C1:G1048575,4,FALSE)</f>
        <v>vinhtq18</v>
      </c>
      <c r="F90" s="77" t="str">
        <f>VLOOKUP(B90,'Cấp phát TN'!C1:G1048575,5,FALSE)</f>
        <v>SR_VN_20230480_776480</v>
      </c>
      <c r="G90" s="77" t="s">
        <v>1675</v>
      </c>
      <c r="H90" s="77">
        <v>4</v>
      </c>
      <c r="I90" s="77">
        <f>4*4</f>
        <v>16</v>
      </c>
      <c r="J90" s="77">
        <f>16*3</f>
        <v>48</v>
      </c>
      <c r="K90" s="77">
        <f>2*8+4*2</f>
        <v>24</v>
      </c>
      <c r="L90" s="77">
        <f>(60+0.5+16+15+20+312+312)*2+(60+0.5+16+15+20+8+8)*2</f>
        <v>1726</v>
      </c>
      <c r="M90" s="77"/>
      <c r="N90" s="77"/>
      <c r="O90" s="77"/>
      <c r="P90" s="77"/>
      <c r="Q90" s="111"/>
      <c r="R90" s="134" t="s">
        <v>1528</v>
      </c>
      <c r="S90" s="111" t="s">
        <v>1529</v>
      </c>
      <c r="T90" s="133"/>
    </row>
    <row r="91" spans="1:20" ht="25.5" x14ac:dyDescent="0.2">
      <c r="A91" s="73">
        <v>91</v>
      </c>
      <c r="B91" s="73" t="s">
        <v>855</v>
      </c>
      <c r="C91" s="74" t="str">
        <f>VLOOKUP(B91,'Cấp phát TN'!C1:G1048575,2,FALSE)</f>
        <v>DAC</v>
      </c>
      <c r="D91" s="105">
        <f>VLOOKUP(B91,'Cấp phát TN'!C1:G1048575,3,FALSE)</f>
        <v>0</v>
      </c>
      <c r="E91" s="106" t="str">
        <f>VLOOKUP(B91,'Cấp phát TN'!C1:G1048575,4,FALSE)</f>
        <v>hieuhv13</v>
      </c>
      <c r="F91" s="77" t="str">
        <f>VLOOKUP(B91,'Cấp phát TN'!C1:G1048575,5,FALSE)</f>
        <v>SR_VN_20230419_775606</v>
      </c>
      <c r="G91" s="77" t="s">
        <v>1643</v>
      </c>
      <c r="H91" s="77">
        <v>9</v>
      </c>
      <c r="I91" s="77">
        <f>17*3+22*3+24*3</f>
        <v>189</v>
      </c>
      <c r="J91" s="77">
        <f>I91*3</f>
        <v>567</v>
      </c>
      <c r="K91" s="77">
        <f>64*3+70*3+68*3</f>
        <v>606</v>
      </c>
      <c r="L91" s="77">
        <f>((60+900+100)*3+(60+3*1024)*3+3*(60+1024+100+1024))</f>
        <v>19200</v>
      </c>
      <c r="M91" s="77">
        <f>500+1.5*1024+500</f>
        <v>2536</v>
      </c>
      <c r="N91" s="77"/>
      <c r="O91" s="77"/>
      <c r="P91" s="77"/>
      <c r="Q91" s="111"/>
      <c r="R91" s="134" t="s">
        <v>1528</v>
      </c>
      <c r="S91" s="111" t="s">
        <v>1529</v>
      </c>
      <c r="T91" s="133" t="s">
        <v>1676</v>
      </c>
    </row>
    <row r="92" spans="1:20" ht="38.25" x14ac:dyDescent="0.2">
      <c r="A92" s="74">
        <v>92</v>
      </c>
      <c r="B92" s="126" t="s">
        <v>1677</v>
      </c>
      <c r="C92" s="74" t="e">
        <f>VLOOKUP(B92,'Cấp phát TN'!C1:G1048575,2,FALSE)</f>
        <v>#N/A</v>
      </c>
      <c r="D92" s="105" t="e">
        <f>VLOOKUP(B92,'Cấp phát TN'!C1:G1048575,3,FALSE)</f>
        <v>#N/A</v>
      </c>
      <c r="E92" s="106" t="e">
        <f>VLOOKUP(B92,'Cấp phát TN'!C1:G1048575,4,FALSE)</f>
        <v>#N/A</v>
      </c>
      <c r="F92" s="77" t="e">
        <f>VLOOKUP(B92,'Cấp phát TN'!C1:G1048575,5,FALSE)</f>
        <v>#N/A</v>
      </c>
      <c r="G92" s="77" t="s">
        <v>1675</v>
      </c>
      <c r="H92" s="77">
        <v>33</v>
      </c>
      <c r="I92" s="77">
        <f>-33*32</f>
        <v>-1056</v>
      </c>
      <c r="J92" s="77">
        <f>I92*3</f>
        <v>-3168</v>
      </c>
      <c r="K92" s="77">
        <f>-33*32</f>
        <v>-1056</v>
      </c>
      <c r="L92" s="77">
        <f>-(60+220)*33</f>
        <v>-9240</v>
      </c>
      <c r="M92" s="77"/>
      <c r="N92" s="77"/>
      <c r="O92" s="77"/>
      <c r="P92" s="77"/>
      <c r="Q92" s="111"/>
      <c r="R92" s="134" t="s">
        <v>1497</v>
      </c>
      <c r="S92" s="73" t="s">
        <v>1498</v>
      </c>
      <c r="T92" s="73" t="s">
        <v>1677</v>
      </c>
    </row>
    <row r="93" spans="1:20" ht="25.5" x14ac:dyDescent="0.2">
      <c r="A93" s="73">
        <v>93</v>
      </c>
      <c r="B93" s="73" t="s">
        <v>866</v>
      </c>
      <c r="C93" s="74" t="str">
        <f>VLOOKUP(B93,'Cấp phát TN'!C1:G1048575,2,FALSE)</f>
        <v>VTN</v>
      </c>
      <c r="D93" s="105" t="str">
        <f>VLOOKUP(B93,'Cấp phát TN'!C1:G1048575,3,FALSE)</f>
        <v>sonnh30</v>
      </c>
      <c r="E93" s="106">
        <f>VLOOKUP(B93,'Cấp phát TN'!C1:G1048575,4,FALSE)</f>
        <v>0</v>
      </c>
      <c r="F93" s="77" t="str">
        <f>VLOOKUP(B93,'Cấp phát TN'!C1:G1048575,5,FALSE)</f>
        <v xml:space="preserve">
KTTC: SR_VN_20230320_756800</v>
      </c>
      <c r="G93" s="77" t="s">
        <v>1675</v>
      </c>
      <c r="H93" s="77">
        <v>6</v>
      </c>
      <c r="I93" s="77">
        <f>34*H93</f>
        <v>204</v>
      </c>
      <c r="J93" s="77">
        <f>I93*3</f>
        <v>612</v>
      </c>
      <c r="K93" s="77">
        <f>79*H93</f>
        <v>474</v>
      </c>
      <c r="L93" s="77">
        <f>400*H93</f>
        <v>2400</v>
      </c>
      <c r="M93" s="77"/>
      <c r="N93" s="77"/>
      <c r="O93" s="77"/>
      <c r="P93" s="77"/>
      <c r="Q93" s="111"/>
      <c r="R93" s="134"/>
      <c r="S93" s="106"/>
      <c r="T93" s="133" t="s">
        <v>1678</v>
      </c>
    </row>
    <row r="94" spans="1:20" ht="25.5" x14ac:dyDescent="0.2">
      <c r="A94" s="74">
        <v>94</v>
      </c>
      <c r="B94" s="73" t="s">
        <v>880</v>
      </c>
      <c r="C94" s="74" t="str">
        <f>VLOOKUP(B94,'Cấp phát TN'!C1:G1048575,2,FALSE)</f>
        <v>DAC</v>
      </c>
      <c r="D94" s="105" t="str">
        <f>VLOOKUP(B94,'Cấp phát TN'!C1:G1048575,3,FALSE)</f>
        <v>anhnt576</v>
      </c>
      <c r="E94" s="106" t="str">
        <f>VLOOKUP(B94,'Cấp phát TN'!C1:G1048575,4,FALSE)</f>
        <v>Hoangld2</v>
      </c>
      <c r="F94" s="77" t="str">
        <f>VLOOKUP(B94,'Cấp phát TN'!C1:G1048575,5,FALSE)</f>
        <v>KTTC: SR_VN_20230705_826658
VHKT: SR_VN_20230710_830025</v>
      </c>
      <c r="G94" s="77" t="s">
        <v>1675</v>
      </c>
      <c r="H94" s="77">
        <v>5</v>
      </c>
      <c r="I94" s="77">
        <f>119*H94</f>
        <v>595</v>
      </c>
      <c r="J94" s="77">
        <f>I94*3</f>
        <v>1785</v>
      </c>
      <c r="K94" s="77">
        <f>96*$H$94</f>
        <v>480</v>
      </c>
      <c r="L94" s="77">
        <f>8060*$H$94</f>
        <v>40300</v>
      </c>
      <c r="M94" s="77"/>
      <c r="N94" s="77"/>
      <c r="O94" s="77"/>
      <c r="P94" s="77"/>
      <c r="Q94" s="111"/>
      <c r="R94" s="134" t="s">
        <v>1679</v>
      </c>
      <c r="S94" s="111" t="s">
        <v>1529</v>
      </c>
      <c r="T94" s="133"/>
    </row>
    <row r="95" spans="1:20" x14ac:dyDescent="0.2">
      <c r="A95" s="73">
        <v>95</v>
      </c>
      <c r="B95" s="73" t="s">
        <v>893</v>
      </c>
      <c r="C95" s="74" t="str">
        <f>VLOOKUP(B95,'Cấp phát TN'!C1:G1048575,2,FALSE)</f>
        <v>BSS</v>
      </c>
      <c r="D95" s="105" t="str">
        <f>VLOOKUP(B95,'Cấp phát TN'!C1:G1048575,3,FALSE)</f>
        <v>tuyenpv9</v>
      </c>
      <c r="E95" s="106" t="str">
        <f>VLOOKUP(B95,'Cấp phát TN'!C1:G1048575,4,FALSE)</f>
        <v>Hoangld2</v>
      </c>
      <c r="F95" s="77" t="str">
        <f>VLOOKUP(B95,'Cấp phát TN'!C1:G1048575,5,FALSE)</f>
        <v>SR_VN_20230602_803532</v>
      </c>
      <c r="G95" s="77" t="s">
        <v>1675</v>
      </c>
      <c r="H95" s="77">
        <v>2</v>
      </c>
      <c r="I95" s="77">
        <f>ROUND(J95/3,0)</f>
        <v>65</v>
      </c>
      <c r="J95" s="77">
        <f>97*2</f>
        <v>194</v>
      </c>
      <c r="K95" s="77">
        <f>49*$H95</f>
        <v>98</v>
      </c>
      <c r="L95" s="77">
        <f>1125+802</f>
        <v>1927</v>
      </c>
      <c r="M95" s="77"/>
      <c r="N95" s="77"/>
      <c r="O95" s="77"/>
      <c r="P95" s="77"/>
      <c r="Q95" s="111"/>
      <c r="R95" s="134" t="s">
        <v>1528</v>
      </c>
      <c r="S95" s="111" t="s">
        <v>1529</v>
      </c>
      <c r="T95" s="133" t="s">
        <v>1680</v>
      </c>
    </row>
    <row r="96" spans="1:20" ht="25.5" x14ac:dyDescent="0.2">
      <c r="A96" s="74">
        <v>96</v>
      </c>
      <c r="B96" s="73" t="s">
        <v>887</v>
      </c>
      <c r="C96" s="74" t="str">
        <f>VLOOKUP(B96,'Cấp phát TN'!C1:G1048575,2,FALSE)</f>
        <v>BSS</v>
      </c>
      <c r="D96" s="105" t="str">
        <f>VLOOKUP(B96,'Cấp phát TN'!C1:G1048575,3,FALSE)</f>
        <v>tiendd
tuanna29</v>
      </c>
      <c r="E96" s="106" t="str">
        <f>VLOOKUP(B96,'Cấp phát TN'!C1:G1048575,4,FALSE)</f>
        <v>hieuhv13</v>
      </c>
      <c r="F96" s="77" t="str">
        <f>VLOOKUP(B96,'Cấp phát TN'!C1:G1048575,5,FALSE)</f>
        <v xml:space="preserve">
VHKT: SR_VN_20230711_831000</v>
      </c>
      <c r="G96" s="77" t="s">
        <v>1675</v>
      </c>
      <c r="H96" s="77">
        <v>10</v>
      </c>
      <c r="I96" s="77">
        <f>25*2+23*2+26*2+13*2+20*2</f>
        <v>214</v>
      </c>
      <c r="J96" s="77">
        <f>I96*3</f>
        <v>642</v>
      </c>
      <c r="K96" s="77">
        <f>29*2+49*2+63*2+12*2+64*2</f>
        <v>434</v>
      </c>
      <c r="L96" s="77">
        <f>400*2+1.2*1020*2+80*2+232*2+220*2+250*2</f>
        <v>4812</v>
      </c>
      <c r="M96" s="77"/>
      <c r="N96" s="77"/>
      <c r="O96" s="77"/>
      <c r="P96" s="77"/>
      <c r="Q96" s="111"/>
      <c r="R96" s="134" t="s">
        <v>1528</v>
      </c>
      <c r="S96" s="111" t="s">
        <v>1529</v>
      </c>
      <c r="T96" s="133"/>
    </row>
    <row r="97" spans="1:20" x14ac:dyDescent="0.2">
      <c r="A97" s="73">
        <v>97</v>
      </c>
      <c r="B97" s="73" t="s">
        <v>883</v>
      </c>
      <c r="C97" s="74" t="str">
        <f>VLOOKUP(B97,'Cấp phát TN'!C1:G1048575,2,FALSE)</f>
        <v>BSS</v>
      </c>
      <c r="D97" s="105" t="str">
        <f>VLOOKUP(B97,'Cấp phát TN'!C1:G1048575,3,FALSE)</f>
        <v>hainv71</v>
      </c>
      <c r="E97" s="106" t="str">
        <f>VLOOKUP(B97,'Cấp phát TN'!C1:G1048575,4,FALSE)</f>
        <v>hieuhv13</v>
      </c>
      <c r="F97" s="77" t="str">
        <f>VLOOKUP(B97,'Cấp phát TN'!C1:G1048575,5,FALSE)</f>
        <v>SR_VN_20230630_823903</v>
      </c>
      <c r="G97" s="77" t="s">
        <v>1675</v>
      </c>
      <c r="H97" s="77">
        <v>15</v>
      </c>
      <c r="I97" s="77"/>
      <c r="J97" s="77"/>
      <c r="K97" s="77"/>
      <c r="L97" s="77">
        <v>28395</v>
      </c>
      <c r="M97" s="77"/>
      <c r="N97" s="77"/>
      <c r="O97" s="77"/>
      <c r="P97" s="77"/>
      <c r="Q97" s="111"/>
      <c r="R97" s="134" t="s">
        <v>1528</v>
      </c>
      <c r="S97" s="111" t="s">
        <v>1529</v>
      </c>
      <c r="T97" s="133"/>
    </row>
    <row r="98" spans="1:20" x14ac:dyDescent="0.2">
      <c r="A98" s="74">
        <v>98</v>
      </c>
      <c r="B98" s="73" t="s">
        <v>913</v>
      </c>
      <c r="C98" s="74" t="str">
        <f>VLOOKUP(B98,'Cấp phát TN'!C1:G1048575,2,FALSE)</f>
        <v>BSS</v>
      </c>
      <c r="D98" s="105" t="str">
        <f>VLOOKUP(B98,'Cấp phát TN'!C1:G1048575,3,FALSE)</f>
        <v>hainv71</v>
      </c>
      <c r="E98" s="106" t="str">
        <f>VLOOKUP(B98,'Cấp phát TN'!C1:G1048575,4,FALSE)</f>
        <v>hieuhv13</v>
      </c>
      <c r="F98" s="77" t="str">
        <f>VLOOKUP(B98,'Cấp phát TN'!C1:G1048575,5,FALSE)</f>
        <v>SR_VN_20230620_815799</v>
      </c>
      <c r="G98" s="77" t="s">
        <v>1675</v>
      </c>
      <c r="H98" s="77">
        <v>7</v>
      </c>
      <c r="I98" s="77"/>
      <c r="J98" s="77"/>
      <c r="K98" s="77"/>
      <c r="L98" s="77"/>
      <c r="M98" s="77">
        <v>5364</v>
      </c>
      <c r="N98" s="77"/>
      <c r="O98" s="77"/>
      <c r="P98" s="77"/>
      <c r="Q98" s="111"/>
      <c r="R98" s="134" t="s">
        <v>1528</v>
      </c>
      <c r="S98" s="111" t="s">
        <v>1529</v>
      </c>
      <c r="T98" s="133"/>
    </row>
    <row r="99" spans="1:20" x14ac:dyDescent="0.2">
      <c r="A99" s="73">
        <v>99</v>
      </c>
      <c r="B99" s="73" t="s">
        <v>896</v>
      </c>
      <c r="C99" s="74" t="str">
        <f>VLOOKUP(B99,'Cấp phát TN'!C1:G1048575,2,FALSE)</f>
        <v>BSS</v>
      </c>
      <c r="D99" s="105" t="str">
        <f>VLOOKUP(B99,'Cấp phát TN'!C1:G1048575,3,FALSE)</f>
        <v>dattht</v>
      </c>
      <c r="E99" s="106" t="str">
        <f>VLOOKUP(B99,'Cấp phát TN'!C1:G1048575,4,FALSE)</f>
        <v>Hoangld2</v>
      </c>
      <c r="F99" s="77" t="str">
        <f>VLOOKUP(B99,'Cấp phát TN'!C1:G1048575,5,FALSE)</f>
        <v>SR_VN_20230623_818696</v>
      </c>
      <c r="G99" s="77" t="s">
        <v>1675</v>
      </c>
      <c r="H99" s="77">
        <v>15</v>
      </c>
      <c r="I99" s="77">
        <v>153</v>
      </c>
      <c r="J99" s="77">
        <f>I99*3</f>
        <v>459</v>
      </c>
      <c r="K99" s="77">
        <v>345</v>
      </c>
      <c r="L99" s="77">
        <v>2400</v>
      </c>
      <c r="M99" s="77"/>
      <c r="N99" s="77"/>
      <c r="O99" s="77"/>
      <c r="P99" s="77"/>
      <c r="Q99" s="111"/>
      <c r="R99" s="134" t="s">
        <v>1528</v>
      </c>
      <c r="S99" s="111" t="s">
        <v>1529</v>
      </c>
      <c r="T99" s="133" t="s">
        <v>1681</v>
      </c>
    </row>
    <row r="100" spans="1:20" x14ac:dyDescent="0.2">
      <c r="A100" s="74">
        <v>100</v>
      </c>
      <c r="B100" s="73" t="s">
        <v>918</v>
      </c>
      <c r="C100" s="74" t="str">
        <f>VLOOKUP(B100,'Cấp phát TN'!C1:G1048575,2,FALSE)</f>
        <v>BSS</v>
      </c>
      <c r="D100" s="105">
        <f>VLOOKUP(B100,'Cấp phát TN'!C1:G1048575,3,FALSE)</f>
        <v>0</v>
      </c>
      <c r="E100" s="106" t="str">
        <f>VLOOKUP(B100,'Cấp phát TN'!C1:G1048575,4,FALSE)</f>
        <v>None</v>
      </c>
      <c r="F100" s="77" t="str">
        <f>VLOOKUP(B100,'Cấp phát TN'!C1:G1048575,5,FALSE)</f>
        <v>SR_VN_20230705_826839</v>
      </c>
      <c r="G100" s="77" t="s">
        <v>1682</v>
      </c>
      <c r="H100" s="77">
        <v>12</v>
      </c>
      <c r="I100" s="77">
        <f>J100/3</f>
        <v>228</v>
      </c>
      <c r="J100" s="77">
        <v>684</v>
      </c>
      <c r="K100" s="77">
        <v>768</v>
      </c>
      <c r="L100" s="77">
        <f>1500*12</f>
        <v>18000</v>
      </c>
      <c r="M100" s="77"/>
      <c r="N100" s="77"/>
      <c r="O100" s="77"/>
      <c r="P100" s="77"/>
      <c r="Q100" s="111"/>
      <c r="R100" s="134" t="s">
        <v>1528</v>
      </c>
      <c r="S100" s="111" t="s">
        <v>1529</v>
      </c>
      <c r="T100" s="133"/>
    </row>
    <row r="101" spans="1:20" x14ac:dyDescent="0.2">
      <c r="A101" s="73">
        <v>101</v>
      </c>
      <c r="B101" s="73" t="s">
        <v>917</v>
      </c>
      <c r="C101" s="74" t="str">
        <f>VLOOKUP(B101,'Cấp phát TN'!C1:G1048575,2,FALSE)</f>
        <v>BSS</v>
      </c>
      <c r="D101" s="105" t="str">
        <f>VLOOKUP(B101,'Cấp phát TN'!C1:G1048575,3,FALSE)</f>
        <v>hanq1</v>
      </c>
      <c r="E101" s="106" t="str">
        <f>VLOOKUP(B101,'Cấp phát TN'!C1:G1048575,4,FALSE)</f>
        <v>ductn</v>
      </c>
      <c r="F101" s="77">
        <f>VLOOKUP(B101,'Cấp phát TN'!C1:G1048575,5,FALSE)</f>
        <v>0</v>
      </c>
      <c r="G101" s="77" t="s">
        <v>1682</v>
      </c>
      <c r="H101" s="77">
        <v>2</v>
      </c>
      <c r="I101" s="142">
        <f>J101/3</f>
        <v>19.333333333333332</v>
      </c>
      <c r="J101" s="77">
        <f>29*2</f>
        <v>58</v>
      </c>
      <c r="K101" s="77">
        <f>38*2</f>
        <v>76</v>
      </c>
      <c r="L101" s="77">
        <f>441*2</f>
        <v>882</v>
      </c>
      <c r="M101" s="77"/>
      <c r="N101" s="77"/>
      <c r="O101" s="77"/>
      <c r="P101" s="77"/>
      <c r="Q101" s="111"/>
      <c r="R101" s="134" t="s">
        <v>1528</v>
      </c>
      <c r="S101" s="111" t="s">
        <v>1529</v>
      </c>
      <c r="T101" s="133"/>
    </row>
    <row r="102" spans="1:20" ht="25.5" x14ac:dyDescent="0.2">
      <c r="A102" s="74">
        <v>102</v>
      </c>
      <c r="B102" s="126" t="s">
        <v>1683</v>
      </c>
      <c r="C102" s="74" t="s">
        <v>188</v>
      </c>
      <c r="D102" s="105" t="s">
        <v>58</v>
      </c>
      <c r="E102" s="106" t="s">
        <v>42</v>
      </c>
      <c r="F102" s="77" t="s">
        <v>1684</v>
      </c>
      <c r="G102" s="77" t="s">
        <v>1682</v>
      </c>
      <c r="H102" s="77">
        <v>2</v>
      </c>
      <c r="I102" s="142">
        <v>8</v>
      </c>
      <c r="J102" s="77">
        <f>I102*3</f>
        <v>24</v>
      </c>
      <c r="K102" s="77">
        <v>16</v>
      </c>
      <c r="L102" s="77">
        <v>320</v>
      </c>
      <c r="M102" s="77"/>
      <c r="N102" s="77"/>
      <c r="O102" s="77"/>
      <c r="P102" s="77"/>
      <c r="Q102" s="111"/>
      <c r="R102" s="134" t="s">
        <v>1497</v>
      </c>
      <c r="S102" s="106" t="s">
        <v>1498</v>
      </c>
      <c r="T102" s="133" t="s">
        <v>1685</v>
      </c>
    </row>
    <row r="103" spans="1:20" ht="25.5" x14ac:dyDescent="0.2">
      <c r="A103" s="74"/>
      <c r="B103" s="126" t="s">
        <v>1683</v>
      </c>
      <c r="C103" s="74" t="s">
        <v>188</v>
      </c>
      <c r="D103" s="105" t="s">
        <v>58</v>
      </c>
      <c r="E103" s="106" t="s">
        <v>42</v>
      </c>
      <c r="F103" s="77" t="s">
        <v>1684</v>
      </c>
      <c r="G103" s="77" t="s">
        <v>1682</v>
      </c>
      <c r="H103" s="77">
        <v>28</v>
      </c>
      <c r="I103" s="142">
        <v>425</v>
      </c>
      <c r="J103" s="77">
        <f>I103*3</f>
        <v>1275</v>
      </c>
      <c r="K103" s="77">
        <v>1081</v>
      </c>
      <c r="L103" s="77">
        <v>13280</v>
      </c>
      <c r="M103" s="77"/>
      <c r="N103" s="77"/>
      <c r="O103" s="77"/>
      <c r="P103" s="77"/>
      <c r="Q103" s="111"/>
      <c r="R103" s="134" t="s">
        <v>1497</v>
      </c>
      <c r="S103" s="106" t="s">
        <v>1509</v>
      </c>
      <c r="T103" s="133" t="s">
        <v>1685</v>
      </c>
    </row>
    <row r="104" spans="1:20" x14ac:dyDescent="0.2">
      <c r="A104" s="73">
        <v>103</v>
      </c>
      <c r="B104" s="73" t="s">
        <v>934</v>
      </c>
      <c r="C104" s="74" t="str">
        <f>VLOOKUP(B104,'Cấp phát TN'!C1:G1048575,2,FALSE)</f>
        <v>BSS</v>
      </c>
      <c r="D104" s="105" t="str">
        <f>VLOOKUP(B104,'Cấp phát TN'!C1:G1048575,3,FALSE)</f>
        <v>hainv71</v>
      </c>
      <c r="E104" s="106" t="str">
        <f>VLOOKUP(B104,'Cấp phát TN'!C1:G1048575,4,FALSE)</f>
        <v>hieuhv13</v>
      </c>
      <c r="F104" s="77" t="str">
        <f>VLOOKUP(B104,'Cấp phát TN'!C1:G1048575,5,FALSE)</f>
        <v>SR_VN_20230721_838316</v>
      </c>
      <c r="G104" s="77" t="s">
        <v>1682</v>
      </c>
      <c r="H104" s="77">
        <v>18</v>
      </c>
      <c r="I104" s="142"/>
      <c r="J104" s="77"/>
      <c r="K104" s="77"/>
      <c r="L104" s="77">
        <v>-27000</v>
      </c>
      <c r="M104" s="77"/>
      <c r="N104" s="77"/>
      <c r="O104" s="77"/>
      <c r="P104" s="77"/>
      <c r="Q104" s="111"/>
      <c r="R104" s="134" t="s">
        <v>1528</v>
      </c>
      <c r="S104" s="111" t="s">
        <v>1529</v>
      </c>
      <c r="T104" s="133"/>
    </row>
    <row r="105" spans="1:20" ht="38.25" x14ac:dyDescent="0.2">
      <c r="A105" s="74">
        <v>104</v>
      </c>
      <c r="B105" s="73" t="s">
        <v>936</v>
      </c>
      <c r="C105" s="74" t="str">
        <f>VLOOKUP(B105,'Cấp phát TN'!C1:G1048575,2,FALSE)</f>
        <v>BSS</v>
      </c>
      <c r="D105" s="105" t="str">
        <f>VLOOKUP(B105,'Cấp phát TN'!C1:G1048575,3,FALSE)</f>
        <v>hainv71</v>
      </c>
      <c r="E105" s="106" t="str">
        <f>VLOOKUP(B105,'Cấp phát TN'!C1:G1048575,4,FALSE)</f>
        <v>hieuhv13</v>
      </c>
      <c r="F105" s="77" t="str">
        <f>VLOOKUP(B105,'Cấp phát TN'!C1:G1048575,5,FALSE)</f>
        <v>SR_VN_20230721_838319
SR_VN_20230804_848646
SR_VN_20230822_860821</v>
      </c>
      <c r="G105" s="77" t="s">
        <v>1682</v>
      </c>
      <c r="H105" s="77">
        <v>30</v>
      </c>
      <c r="I105" s="142"/>
      <c r="J105" s="77"/>
      <c r="K105" s="77">
        <v>870</v>
      </c>
      <c r="L105" s="77">
        <v>142485</v>
      </c>
      <c r="M105" s="77"/>
      <c r="N105" s="77"/>
      <c r="O105" s="77"/>
      <c r="P105" s="77"/>
      <c r="Q105" s="111"/>
      <c r="R105" s="134" t="s">
        <v>1528</v>
      </c>
      <c r="S105" s="111" t="s">
        <v>1529</v>
      </c>
      <c r="T105" s="133"/>
    </row>
    <row r="106" spans="1:20" ht="38.25" x14ac:dyDescent="0.2">
      <c r="A106" s="73">
        <v>105</v>
      </c>
      <c r="B106" s="73" t="s">
        <v>940</v>
      </c>
      <c r="C106" s="74" t="str">
        <f>VLOOKUP(B106,'Cấp phát TN'!C1:G1048575,2,FALSE)</f>
        <v>BSS</v>
      </c>
      <c r="D106" s="105" t="str">
        <f>VLOOKUP(B106,'Cấp phát TN'!C1:G1048575,3,FALSE)</f>
        <v>hainv71</v>
      </c>
      <c r="E106" s="106" t="str">
        <f>VLOOKUP(B106,'Cấp phát TN'!C1:G1048575,4,FALSE)</f>
        <v>hieuhv13</v>
      </c>
      <c r="F106" s="77" t="str">
        <f>VLOOKUP(B106,'Cấp phát TN'!C1:G1048575,5,FALSE)</f>
        <v>SR_VN_20230721_838308
SR_VN_20230804_848646
SR_VN_20230822_860821</v>
      </c>
      <c r="G106" s="77" t="s">
        <v>1682</v>
      </c>
      <c r="H106" s="77">
        <v>3</v>
      </c>
      <c r="I106" s="142"/>
      <c r="J106" s="77"/>
      <c r="K106" s="77"/>
      <c r="L106" s="77">
        <v>9725</v>
      </c>
      <c r="M106" s="77"/>
      <c r="N106" s="77"/>
      <c r="O106" s="77"/>
      <c r="P106" s="77"/>
      <c r="Q106" s="111"/>
      <c r="R106" s="134" t="s">
        <v>1528</v>
      </c>
      <c r="S106" s="111" t="s">
        <v>1529</v>
      </c>
      <c r="T106" s="133"/>
    </row>
    <row r="107" spans="1:20" ht="25.5" x14ac:dyDescent="0.2">
      <c r="A107" s="74">
        <v>106</v>
      </c>
      <c r="B107" s="73" t="s">
        <v>942</v>
      </c>
      <c r="C107" s="74" t="str">
        <f>VLOOKUP(B107,'Cấp phát TN'!C1:G1048575,2,FALSE)</f>
        <v>BSS</v>
      </c>
      <c r="D107" s="105" t="str">
        <f>VLOOKUP(B107,'Cấp phát TN'!C1:G1048575,3,FALSE)</f>
        <v>hainv71</v>
      </c>
      <c r="E107" s="106" t="str">
        <f>VLOOKUP(B107,'Cấp phát TN'!C1:G1048575,4,FALSE)</f>
        <v>hieuhv13</v>
      </c>
      <c r="F107" s="77" t="str">
        <f>VLOOKUP(B107,'Cấp phát TN'!C1:G1048575,5,FALSE)</f>
        <v>SR_VN_20230721_838393
SR_VN_20230728_842829</v>
      </c>
      <c r="G107" s="77" t="s">
        <v>1682</v>
      </c>
      <c r="H107" s="77">
        <v>3</v>
      </c>
      <c r="I107" s="142"/>
      <c r="J107" s="77"/>
      <c r="K107" s="77"/>
      <c r="L107" s="77">
        <v>-9011</v>
      </c>
      <c r="M107" s="77"/>
      <c r="N107" s="77"/>
      <c r="O107" s="77"/>
      <c r="P107" s="77"/>
      <c r="Q107" s="111"/>
      <c r="R107" s="134" t="s">
        <v>1528</v>
      </c>
      <c r="S107" s="111" t="s">
        <v>1529</v>
      </c>
      <c r="T107" s="133"/>
    </row>
    <row r="108" spans="1:20" x14ac:dyDescent="0.2">
      <c r="A108" s="73">
        <v>107</v>
      </c>
      <c r="B108" s="73" t="s">
        <v>929</v>
      </c>
      <c r="C108" s="74" t="str">
        <f>VLOOKUP(B108,'Cấp phát TN'!C1:G1048575,2,FALSE)</f>
        <v>VAS</v>
      </c>
      <c r="D108" s="105" t="str">
        <f>VLOOKUP(B108,'Cấp phát TN'!C1:G1048575,3,FALSE)</f>
        <v>hanq1</v>
      </c>
      <c r="E108" s="106" t="str">
        <f>VLOOKUP(B108,'Cấp phát TN'!C1:G1048575,4,FALSE)</f>
        <v>ductn</v>
      </c>
      <c r="F108" s="77" t="str">
        <f>VLOOKUP(B108,'Cấp phát TN'!C1:G1048575,5,FALSE)</f>
        <v>SR_VN_20230801_845766</v>
      </c>
      <c r="G108" s="77" t="s">
        <v>1682</v>
      </c>
      <c r="H108" s="77">
        <v>2</v>
      </c>
      <c r="I108" s="142">
        <f>-32*2</f>
        <v>-64</v>
      </c>
      <c r="J108" s="77">
        <f>I108*3</f>
        <v>-192</v>
      </c>
      <c r="K108" s="77">
        <f>-38*2</f>
        <v>-76</v>
      </c>
      <c r="L108" s="77">
        <f>-450*2</f>
        <v>-900</v>
      </c>
      <c r="M108" s="77"/>
      <c r="N108" s="77"/>
      <c r="O108" s="77"/>
      <c r="P108" s="77"/>
      <c r="Q108" s="111"/>
      <c r="R108" s="134" t="s">
        <v>1528</v>
      </c>
      <c r="S108" s="111" t="s">
        <v>1529</v>
      </c>
      <c r="T108" s="133"/>
    </row>
    <row r="109" spans="1:20" x14ac:dyDescent="0.2">
      <c r="A109" s="74">
        <v>108</v>
      </c>
      <c r="B109" s="73" t="s">
        <v>932</v>
      </c>
      <c r="C109" s="74" t="str">
        <f>VLOOKUP(B109,'Cấp phát TN'!C1:G1048575,2,FALSE)</f>
        <v>VAS</v>
      </c>
      <c r="D109" s="105" t="str">
        <f>VLOOKUP(B109,'Cấp phát TN'!C1:G1048575,3,FALSE)</f>
        <v>hanq1</v>
      </c>
      <c r="E109" s="106" t="str">
        <f>VLOOKUP(B109,'Cấp phát TN'!C1:G1048575,4,FALSE)</f>
        <v>ductn</v>
      </c>
      <c r="F109" s="77" t="str">
        <f>VLOOKUP(B109,'Cấp phát TN'!C1:G1048575,5,FALSE)</f>
        <v>SR_VN_20230801_845806</v>
      </c>
      <c r="G109" s="77" t="s">
        <v>1682</v>
      </c>
      <c r="H109" s="77">
        <v>2</v>
      </c>
      <c r="I109" s="142">
        <f>30*2/3</f>
        <v>20</v>
      </c>
      <c r="J109" s="77">
        <f>I109*3</f>
        <v>60</v>
      </c>
      <c r="K109" s="77">
        <f>64*2</f>
        <v>128</v>
      </c>
      <c r="L109" s="77">
        <f>(484+204)*2</f>
        <v>1376</v>
      </c>
      <c r="M109" s="77"/>
      <c r="N109" s="77"/>
      <c r="O109" s="77"/>
      <c r="P109" s="77"/>
      <c r="Q109" s="111"/>
      <c r="R109" s="134" t="s">
        <v>1528</v>
      </c>
      <c r="S109" s="111" t="s">
        <v>1529</v>
      </c>
      <c r="T109" s="133"/>
    </row>
    <row r="110" spans="1:20" ht="25.5" x14ac:dyDescent="0.2">
      <c r="A110" s="73">
        <v>109</v>
      </c>
      <c r="B110" s="143" t="s">
        <v>922</v>
      </c>
      <c r="C110" s="74" t="str">
        <f>VLOOKUP(B110,'Cấp phát TN'!C1:G1048575,2,FALSE)</f>
        <v>BSS</v>
      </c>
      <c r="D110" s="105" t="str">
        <f>VLOOKUP(B110,'Cấp phát TN'!C1:G1048575,3,FALSE)</f>
        <v>ducdm25</v>
      </c>
      <c r="E110" s="106" t="str">
        <f>VLOOKUP(B110,'Cấp phát TN'!C1:G1048575,4,FALSE)</f>
        <v>ductn</v>
      </c>
      <c r="F110" s="77" t="str">
        <f>VLOOKUP(B110,'Cấp phát TN'!C1:G1048575,5,FALSE)</f>
        <v>SR_VN_20230802_846756</v>
      </c>
      <c r="G110" s="77" t="s">
        <v>1682</v>
      </c>
      <c r="H110" s="77">
        <v>29</v>
      </c>
      <c r="I110" s="142">
        <v>410</v>
      </c>
      <c r="J110" s="77">
        <f>I110*3</f>
        <v>1230</v>
      </c>
      <c r="K110" s="77">
        <v>380</v>
      </c>
      <c r="L110" s="77">
        <v>4026</v>
      </c>
      <c r="M110" s="77">
        <v>3000</v>
      </c>
      <c r="N110" s="77"/>
      <c r="O110" s="77"/>
      <c r="P110" s="77"/>
      <c r="Q110" s="111"/>
      <c r="R110" s="134" t="s">
        <v>1497</v>
      </c>
      <c r="S110" s="106" t="s">
        <v>1509</v>
      </c>
      <c r="T110" s="133" t="s">
        <v>1686</v>
      </c>
    </row>
    <row r="111" spans="1:20" x14ac:dyDescent="0.2">
      <c r="A111" s="74">
        <v>110</v>
      </c>
      <c r="B111" s="73" t="s">
        <v>944</v>
      </c>
      <c r="C111" s="74" t="str">
        <f>VLOOKUP(B111,'Cấp phát TN'!C1:G1048575,2,FALSE)</f>
        <v>BSS</v>
      </c>
      <c r="D111" s="105" t="str">
        <f>VLOOKUP(B111,'Cấp phát TN'!C1:G1048575,3,FALSE)</f>
        <v>anhnt576</v>
      </c>
      <c r="E111" s="106" t="str">
        <f>VLOOKUP(B111,'Cấp phát TN'!C1:G1048575,4,FALSE)</f>
        <v>vinhtq18</v>
      </c>
      <c r="F111" s="77" t="str">
        <f>VLOOKUP(B111,'Cấp phát TN'!C1:G1048575,5,FALSE)</f>
        <v>SR_VN_20230731_843633</v>
      </c>
      <c r="G111" s="77" t="s">
        <v>1682</v>
      </c>
      <c r="H111" s="77">
        <v>2</v>
      </c>
      <c r="I111" s="142">
        <f>J111/3</f>
        <v>17.333333333333332</v>
      </c>
      <c r="J111" s="77">
        <f>52</f>
        <v>52</v>
      </c>
      <c r="K111" s="77">
        <f>64*2</f>
        <v>128</v>
      </c>
      <c r="L111" s="77">
        <f>1060*2</f>
        <v>2120</v>
      </c>
      <c r="M111" s="77"/>
      <c r="N111" s="77"/>
      <c r="O111" s="77"/>
      <c r="P111" s="77"/>
      <c r="Q111" s="111"/>
      <c r="R111" s="134" t="s">
        <v>1528</v>
      </c>
      <c r="S111" s="111" t="s">
        <v>1529</v>
      </c>
      <c r="T111" s="133"/>
    </row>
    <row r="112" spans="1:20" ht="25.5" x14ac:dyDescent="0.2">
      <c r="A112" s="73">
        <v>111</v>
      </c>
      <c r="B112" s="73" t="s">
        <v>906</v>
      </c>
      <c r="C112" s="74" t="str">
        <f>VLOOKUP(B112,'Cấp phát TN'!C1:G1048575,2,FALSE)</f>
        <v>BSS</v>
      </c>
      <c r="D112" s="105" t="str">
        <f>VLOOKUP(B112,'Cấp phát TN'!C1:G1048575,3,FALSE)</f>
        <v>cuongbm,dattht</v>
      </c>
      <c r="E112" s="106" t="str">
        <f>VLOOKUP(B112,'Cấp phát TN'!C1:G1048575,4,FALSE)</f>
        <v>vinhtq18</v>
      </c>
      <c r="F112" s="77" t="str">
        <f>VLOOKUP(B112,'Cấp phát TN'!C1:G1048575,5,FALSE)</f>
        <v>SR_VN_20230809_854573</v>
      </c>
      <c r="G112" s="77" t="s">
        <v>1682</v>
      </c>
      <c r="H112" s="77">
        <v>5</v>
      </c>
      <c r="I112" s="142">
        <f>(11.43*2/3+16.51)</f>
        <v>24.130000000000003</v>
      </c>
      <c r="J112" s="77">
        <f>I112*3</f>
        <v>72.390000000000015</v>
      </c>
      <c r="K112" s="77">
        <f>12*2+8*3</f>
        <v>48</v>
      </c>
      <c r="L112" s="77">
        <f>92*2+84*3</f>
        <v>436</v>
      </c>
      <c r="M112" s="77">
        <v>120</v>
      </c>
      <c r="N112" s="77"/>
      <c r="O112" s="77"/>
      <c r="P112" s="77"/>
      <c r="Q112" s="111"/>
      <c r="R112" s="134" t="s">
        <v>1528</v>
      </c>
      <c r="S112" s="111" t="s">
        <v>1529</v>
      </c>
      <c r="T112" s="133"/>
    </row>
    <row r="113" spans="1:20" ht="25.5" x14ac:dyDescent="0.2">
      <c r="A113" s="74">
        <v>112</v>
      </c>
      <c r="B113" s="73" t="s">
        <v>926</v>
      </c>
      <c r="C113" s="74" t="str">
        <f>VLOOKUP(B113,'Cấp phát TN'!C1:G1048575,2,FALSE)</f>
        <v>BSS</v>
      </c>
      <c r="D113" s="105" t="str">
        <f>VLOOKUP(B113,'Cấp phát TN'!C1:G1048575,3,FALSE)</f>
        <v>quanhh3</v>
      </c>
      <c r="E113" s="106" t="str">
        <f>VLOOKUP(B113,'Cấp phát TN'!C1:G1048575,4,FALSE)</f>
        <v>ductn</v>
      </c>
      <c r="F113" s="77" t="str">
        <f>VLOOKUP(B113,'Cấp phát TN'!C1:G1048575,5,FALSE)</f>
        <v>SR_VN_20230821_859805
SR_VN_20230823_862290</v>
      </c>
      <c r="G113" s="77" t="s">
        <v>1682</v>
      </c>
      <c r="H113" s="77">
        <v>2</v>
      </c>
      <c r="I113" s="142">
        <v>30</v>
      </c>
      <c r="J113" s="77">
        <f>I113*3</f>
        <v>90</v>
      </c>
      <c r="K113" s="77">
        <v>88</v>
      </c>
      <c r="L113" s="77">
        <v>2836</v>
      </c>
      <c r="M113" s="77"/>
      <c r="N113" s="77"/>
      <c r="O113" s="77"/>
      <c r="P113" s="77"/>
      <c r="Q113" s="111"/>
      <c r="R113" s="134" t="s">
        <v>1528</v>
      </c>
      <c r="S113" s="111" t="s">
        <v>1529</v>
      </c>
      <c r="T113" s="133"/>
    </row>
    <row r="114" spans="1:20" ht="25.5" x14ac:dyDescent="0.2">
      <c r="A114" s="73">
        <v>113</v>
      </c>
      <c r="B114" s="126" t="s">
        <v>947</v>
      </c>
      <c r="C114" s="74" t="str">
        <f>VLOOKUP(B114,'Cấp phát TN'!C1:G1048575,2,FALSE)</f>
        <v>VAS</v>
      </c>
      <c r="D114" s="105" t="str">
        <f>VLOOKUP(B114,'Cấp phát TN'!C1:G1048575,3,FALSE)</f>
        <v>nhatnt2</v>
      </c>
      <c r="E114" s="106" t="str">
        <f>VLOOKUP(B114,'Cấp phát TN'!C1:G1048575,4,FALSE)</f>
        <v>ductn</v>
      </c>
      <c r="F114" s="77" t="str">
        <f>VLOOKUP(B114,'Cấp phát TN'!C1:G1048575,5,FALSE)</f>
        <v>SR_VN_20230825_863935
SR_VN_20230824_863188</v>
      </c>
      <c r="G114" s="77" t="s">
        <v>1682</v>
      </c>
      <c r="H114" s="77">
        <v>10</v>
      </c>
      <c r="I114" s="142">
        <v>120</v>
      </c>
      <c r="J114" s="77">
        <f>120*3</f>
        <v>360</v>
      </c>
      <c r="K114" s="77">
        <v>160</v>
      </c>
      <c r="L114" s="77">
        <v>1600</v>
      </c>
      <c r="M114" s="77"/>
      <c r="N114" s="77"/>
      <c r="O114" s="77"/>
      <c r="P114" s="77"/>
      <c r="Q114" s="111"/>
      <c r="R114" s="134" t="s">
        <v>1497</v>
      </c>
      <c r="S114" s="106" t="s">
        <v>1509</v>
      </c>
      <c r="T114" s="133" t="s">
        <v>1687</v>
      </c>
    </row>
    <row r="115" spans="1:20" x14ac:dyDescent="0.2">
      <c r="A115" s="74">
        <v>114</v>
      </c>
      <c r="B115" s="73" t="s">
        <v>951</v>
      </c>
      <c r="C115" s="74" t="str">
        <f>VLOOKUP(B115,'Cấp phát TN'!C1:G1048575,2,FALSE)</f>
        <v>BSS</v>
      </c>
      <c r="D115" s="105" t="str">
        <f>VLOOKUP(B115,'Cấp phát TN'!C1:G1048575,3,FALSE)</f>
        <v>dinhvv</v>
      </c>
      <c r="E115" s="106" t="str">
        <f>VLOOKUP(B115,'Cấp phát TN'!C1:G1048575,4,FALSE)</f>
        <v>vinhtq18</v>
      </c>
      <c r="F115" s="77" t="str">
        <f>VLOOKUP(B115,'Cấp phát TN'!C1:G1048575,5,FALSE)</f>
        <v>SR_VN_20230830_867755</v>
      </c>
      <c r="G115" s="77" t="s">
        <v>1682</v>
      </c>
      <c r="H115" s="77">
        <v>1</v>
      </c>
      <c r="I115" s="142">
        <v>8</v>
      </c>
      <c r="J115" s="77">
        <v>24</v>
      </c>
      <c r="K115" s="77">
        <v>12</v>
      </c>
      <c r="L115" s="77">
        <v>1084</v>
      </c>
      <c r="M115" s="77"/>
      <c r="N115" s="77"/>
      <c r="O115" s="77"/>
      <c r="P115" s="77"/>
      <c r="Q115" s="111"/>
      <c r="R115" s="134" t="s">
        <v>1528</v>
      </c>
      <c r="S115" s="111" t="s">
        <v>1529</v>
      </c>
      <c r="T115" s="133"/>
    </row>
    <row r="116" spans="1:20" x14ac:dyDescent="0.2">
      <c r="A116" s="73">
        <v>115</v>
      </c>
      <c r="B116" s="73" t="s">
        <v>954</v>
      </c>
      <c r="C116" s="74" t="str">
        <f>VLOOKUP(B116,'Cấp phát TN'!C1:G1048575,2,FALSE)</f>
        <v>BSS</v>
      </c>
      <c r="D116" s="105" t="str">
        <f>VLOOKUP(B116,'Cấp phát TN'!C1:G1048575,3,FALSE)</f>
        <v>phucnd12</v>
      </c>
      <c r="E116" s="106" t="str">
        <f>VLOOKUP(B116,'Cấp phát TN'!C1:G1048575,4,FALSE)</f>
        <v>ductn</v>
      </c>
      <c r="F116" s="77" t="str">
        <f>VLOOKUP(B116,'Cấp phát TN'!C1:G1048575,5,FALSE)</f>
        <v>SR_VN_20230912_877415</v>
      </c>
      <c r="G116" s="77" t="s">
        <v>1682</v>
      </c>
      <c r="H116" s="77">
        <v>2</v>
      </c>
      <c r="I116" s="142">
        <v>8</v>
      </c>
      <c r="J116" s="77">
        <v>24</v>
      </c>
      <c r="K116" s="77">
        <v>16</v>
      </c>
      <c r="L116" s="77">
        <v>500</v>
      </c>
      <c r="M116" s="77"/>
      <c r="N116" s="77"/>
      <c r="O116" s="77"/>
      <c r="P116" s="77"/>
      <c r="Q116" s="111"/>
      <c r="R116" s="134" t="s">
        <v>1528</v>
      </c>
      <c r="S116" s="111" t="s">
        <v>1529</v>
      </c>
      <c r="T116" s="133"/>
    </row>
    <row r="117" spans="1:20" ht="25.5" x14ac:dyDescent="0.2">
      <c r="A117" s="74">
        <v>116</v>
      </c>
      <c r="B117" s="143" t="s">
        <v>958</v>
      </c>
      <c r="C117" s="74" t="str">
        <f>VLOOKUP(B117,'Cấp phát TN'!C1:G1048575,2,FALSE)</f>
        <v>BSS</v>
      </c>
      <c r="D117" s="105" t="str">
        <f>VLOOKUP(B117,'Cấp phát TN'!C1:G1048575,3,FALSE)</f>
        <v>thaind4</v>
      </c>
      <c r="E117" s="106" t="str">
        <f>VLOOKUP(B117,'Cấp phát TN'!C1:G1048575,4,FALSE)</f>
        <v>ductn</v>
      </c>
      <c r="F117" s="77" t="str">
        <f>VLOOKUP(B117,'Cấp phát TN'!C1:G1048575,5,FALSE)</f>
        <v>SR_VN_20230831_868990
SR_VN_20230908_875132</v>
      </c>
      <c r="G117" s="77" t="s">
        <v>1682</v>
      </c>
      <c r="H117" s="77">
        <v>22</v>
      </c>
      <c r="I117" s="142">
        <v>244</v>
      </c>
      <c r="J117" s="77">
        <f>I117*3</f>
        <v>732</v>
      </c>
      <c r="K117" s="77">
        <v>925</v>
      </c>
      <c r="L117" s="77">
        <f>12629+1320</f>
        <v>13949</v>
      </c>
      <c r="M117" s="77">
        <v>703</v>
      </c>
      <c r="N117" s="77"/>
      <c r="O117" s="77"/>
      <c r="P117" s="77"/>
      <c r="Q117" s="111"/>
      <c r="R117" s="134" t="s">
        <v>1497</v>
      </c>
      <c r="S117" s="106" t="s">
        <v>1509</v>
      </c>
      <c r="T117" s="133"/>
    </row>
    <row r="118" spans="1:20" ht="25.5" x14ac:dyDescent="0.2">
      <c r="A118" s="73">
        <v>117</v>
      </c>
      <c r="B118" s="73" t="s">
        <v>960</v>
      </c>
      <c r="C118" s="74" t="str">
        <f>VLOOKUP(B118,'Cấp phát TN'!C1:G1048575,2,FALSE)</f>
        <v>BSS</v>
      </c>
      <c r="D118" s="105" t="str">
        <f>VLOOKUP(B118,'Cấp phát TN'!C1:G1048575,3,FALSE)</f>
        <v>hienlt15</v>
      </c>
      <c r="E118" s="106" t="str">
        <f>VLOOKUP(B118,'Cấp phát TN'!C1:G1048575,4,FALSE)</f>
        <v>ductn</v>
      </c>
      <c r="F118" s="77" t="str">
        <f>VLOOKUP(B118,'Cấp phát TN'!C1:G1048575,5,FALSE)</f>
        <v>SR_VN_20230919_883121</v>
      </c>
      <c r="G118" s="77" t="s">
        <v>1682</v>
      </c>
      <c r="H118" s="77">
        <v>3</v>
      </c>
      <c r="I118" s="142">
        <v>32</v>
      </c>
      <c r="J118" s="77">
        <f>I118*3</f>
        <v>96</v>
      </c>
      <c r="K118" s="77">
        <v>288</v>
      </c>
      <c r="L118" s="77">
        <v>59400</v>
      </c>
      <c r="M118" s="77"/>
      <c r="N118" s="77"/>
      <c r="O118" s="77"/>
      <c r="P118" s="77"/>
      <c r="Q118" s="111"/>
      <c r="R118" s="134" t="s">
        <v>1497</v>
      </c>
      <c r="S118" s="106"/>
      <c r="T118" s="133" t="s">
        <v>1688</v>
      </c>
    </row>
    <row r="119" spans="1:20" ht="25.5" x14ac:dyDescent="0.2">
      <c r="A119" s="74">
        <v>118</v>
      </c>
      <c r="B119" s="73" t="s">
        <v>964</v>
      </c>
      <c r="C119" s="74" t="str">
        <f>VLOOKUP(B119,'Cấp phát TN'!C1:G1048575,2,FALSE)</f>
        <v>BSS</v>
      </c>
      <c r="D119" s="105" t="str">
        <f>VLOOKUP(B119,'Cấp phát TN'!C1:G1048575,3,FALSE)</f>
        <v>dinhvv, chinh3</v>
      </c>
      <c r="E119" s="106" t="str">
        <f>VLOOKUP(B119,'Cấp phát TN'!C1:G1048575,4,FALSE)</f>
        <v>vinhtq18</v>
      </c>
      <c r="F119" s="77" t="str">
        <f>VLOOKUP(B119,'Cấp phát TN'!C1:G1048575,5,FALSE)</f>
        <v>SR_VN_20230915_880493</v>
      </c>
      <c r="G119" s="77" t="s">
        <v>1682</v>
      </c>
      <c r="H119" s="77"/>
      <c r="I119" s="142"/>
      <c r="J119" s="77"/>
      <c r="K119" s="77"/>
      <c r="L119" s="77"/>
      <c r="M119" s="77"/>
      <c r="N119" s="77">
        <v>10834</v>
      </c>
      <c r="O119" s="77"/>
      <c r="P119" s="77"/>
      <c r="Q119" s="111"/>
      <c r="R119" s="134" t="s">
        <v>1528</v>
      </c>
      <c r="S119" s="111" t="s">
        <v>1689</v>
      </c>
      <c r="T119" s="133"/>
    </row>
    <row r="120" spans="1:20" ht="25.5" x14ac:dyDescent="0.2">
      <c r="A120" s="73">
        <v>119</v>
      </c>
      <c r="B120" s="73" t="s">
        <v>968</v>
      </c>
      <c r="C120" s="74" t="str">
        <f>VLOOKUP(B120,'Cấp phát TN'!C1:G1048575,2,FALSE)</f>
        <v>BSS</v>
      </c>
      <c r="D120" s="105" t="str">
        <f>VLOOKUP(B120,'Cấp phát TN'!C1:G1048575,3,FALSE)</f>
        <v>hungpm6, hoangnt14</v>
      </c>
      <c r="E120" s="106" t="str">
        <f>VLOOKUP(B120,'Cấp phát TN'!C1:G1048575,4,FALSE)</f>
        <v>vinhtq18</v>
      </c>
      <c r="F120" s="77" t="str">
        <f>VLOOKUP(B120,'Cấp phát TN'!C1:G1048575,5,FALSE)</f>
        <v>SR_VN_20230915_880549</v>
      </c>
      <c r="G120" s="77" t="s">
        <v>1682</v>
      </c>
      <c r="H120" s="77">
        <v>26</v>
      </c>
      <c r="I120" s="142">
        <v>92</v>
      </c>
      <c r="J120" s="77">
        <f>I120*3</f>
        <v>276</v>
      </c>
      <c r="K120" s="77">
        <v>166</v>
      </c>
      <c r="L120" s="77">
        <v>448</v>
      </c>
      <c r="M120" s="77"/>
      <c r="N120" s="77"/>
      <c r="O120" s="77"/>
      <c r="P120" s="77"/>
      <c r="Q120" s="111"/>
      <c r="R120" s="134" t="s">
        <v>1528</v>
      </c>
      <c r="S120" s="111" t="s">
        <v>1529</v>
      </c>
      <c r="T120" s="133"/>
    </row>
    <row r="121" spans="1:20" ht="25.5" x14ac:dyDescent="0.2">
      <c r="A121" s="74">
        <v>120</v>
      </c>
      <c r="B121" s="126" t="s">
        <v>971</v>
      </c>
      <c r="C121" s="74" t="str">
        <f>VLOOKUP(B121,'Cấp phát TN'!C1:G1048575,2,FALSE)</f>
        <v>BSS</v>
      </c>
      <c r="D121" s="105" t="str">
        <f>VLOOKUP(B121,'Cấp phát TN'!C1:G1048575,3,FALSE)</f>
        <v>duongvx, ducdm25</v>
      </c>
      <c r="E121" s="106" t="str">
        <f>VLOOKUP(B121,'Cấp phát TN'!C1:G1048575,4,FALSE)</f>
        <v>hoangld2</v>
      </c>
      <c r="F121" s="77" t="str">
        <f>VLOOKUP(B121,'Cấp phát TN'!C1:G1048575,5,FALSE)</f>
        <v>SR_VN_20230920_883909
SR_VN_20231030_919726</v>
      </c>
      <c r="G121" s="77" t="s">
        <v>1682</v>
      </c>
      <c r="H121" s="77">
        <v>14</v>
      </c>
      <c r="I121" s="142">
        <v>152</v>
      </c>
      <c r="J121" s="77">
        <f>I121*3</f>
        <v>456</v>
      </c>
      <c r="K121" s="77">
        <v>432</v>
      </c>
      <c r="L121" s="77">
        <v>3693</v>
      </c>
      <c r="M121" s="77"/>
      <c r="N121" s="77"/>
      <c r="O121" s="77"/>
      <c r="P121" s="77"/>
      <c r="Q121" s="111"/>
      <c r="R121" s="134" t="s">
        <v>1497</v>
      </c>
      <c r="S121" s="106" t="s">
        <v>1509</v>
      </c>
      <c r="T121" s="133"/>
    </row>
    <row r="122" spans="1:20" x14ac:dyDescent="0.2">
      <c r="A122" s="73">
        <v>121</v>
      </c>
      <c r="B122" s="73" t="s">
        <v>974</v>
      </c>
      <c r="C122" s="74" t="str">
        <f>VLOOKUP(B122,'Cấp phát TN'!C1:G1048575,2,FALSE)</f>
        <v>DAC</v>
      </c>
      <c r="D122" s="105" t="str">
        <f>VLOOKUP(B122,'Cấp phát TN'!C1:G1048575,3,FALSE)</f>
        <v>hoangnt21</v>
      </c>
      <c r="E122" s="106" t="str">
        <f>VLOOKUP(B122,'Cấp phát TN'!C1:G1048575,4,FALSE)</f>
        <v>hoangld2</v>
      </c>
      <c r="F122" s="77" t="str">
        <f>VLOOKUP(B122,'Cấp phát TN'!C1:G1048575,5,FALSE)</f>
        <v>SR_VN_20231228_971876</v>
      </c>
      <c r="G122" s="77" t="s">
        <v>1682</v>
      </c>
      <c r="H122" s="77">
        <v>2</v>
      </c>
      <c r="I122" s="142">
        <v>7</v>
      </c>
      <c r="J122" s="77">
        <f>I122*3</f>
        <v>21</v>
      </c>
      <c r="K122" s="77">
        <v>19</v>
      </c>
      <c r="L122" s="77"/>
      <c r="M122" s="77">
        <v>200</v>
      </c>
      <c r="N122" s="77"/>
      <c r="O122" s="77"/>
      <c r="P122" s="77"/>
      <c r="Q122" s="111"/>
      <c r="R122" s="134" t="s">
        <v>1528</v>
      </c>
      <c r="S122" s="111" t="s">
        <v>1529</v>
      </c>
      <c r="T122" s="133"/>
    </row>
    <row r="123" spans="1:20" ht="25.5" x14ac:dyDescent="0.2">
      <c r="A123" s="74">
        <v>122</v>
      </c>
      <c r="B123" s="73" t="s">
        <v>977</v>
      </c>
      <c r="C123" s="74" t="str">
        <f>VLOOKUP(B123,'Cấp phát TN'!C1:G1048575,2,FALSE)</f>
        <v>BSS</v>
      </c>
      <c r="D123" s="105" t="str">
        <f>VLOOKUP(B123,'Cấp phát TN'!C1:G1048575,3,FALSE)</f>
        <v>khanhdn1</v>
      </c>
      <c r="E123" s="106" t="str">
        <f>VLOOKUP(B123,'Cấp phát TN'!C1:G1048575,4,FALSE)</f>
        <v>ductn</v>
      </c>
      <c r="F123" s="77" t="str">
        <f>VLOOKUP(B123,'Cấp phát TN'!C1:G1048575,5,FALSE)</f>
        <v>SR_VN_20230928_891118
SR_VN_20230929_891788</v>
      </c>
      <c r="G123" s="77" t="s">
        <v>1682</v>
      </c>
      <c r="H123" s="77">
        <v>9</v>
      </c>
      <c r="I123" s="142">
        <v>150</v>
      </c>
      <c r="J123" s="77">
        <f>40*3+20*3+90*3</f>
        <v>450</v>
      </c>
      <c r="K123" s="77">
        <f>83*3+16*3+38*3</f>
        <v>411</v>
      </c>
      <c r="L123" s="77">
        <f>5000+500+200*3+200*3+200*3</f>
        <v>7300</v>
      </c>
      <c r="M123" s="77"/>
      <c r="N123" s="77"/>
      <c r="O123" s="77"/>
      <c r="P123" s="77"/>
      <c r="Q123" s="111"/>
      <c r="R123" s="134" t="s">
        <v>1497</v>
      </c>
      <c r="S123" s="111" t="s">
        <v>1529</v>
      </c>
      <c r="T123" s="133"/>
    </row>
    <row r="124" spans="1:20" ht="38.25" x14ac:dyDescent="0.2">
      <c r="A124" s="73">
        <v>123</v>
      </c>
      <c r="B124" s="73" t="s">
        <v>977</v>
      </c>
      <c r="C124" s="74" t="str">
        <f>VLOOKUP(B124,'Cấp phát TN'!C1:G1048575,2,FALSE)</f>
        <v>BSS</v>
      </c>
      <c r="D124" s="105" t="str">
        <f>VLOOKUP(B124,'Cấp phát TN'!C1:G1048575,3,FALSE)</f>
        <v>khanhdn1</v>
      </c>
      <c r="E124" s="106" t="str">
        <f>VLOOKUP(B124,'Cấp phát TN'!C1:G1048575,4,FALSE)</f>
        <v>ductn</v>
      </c>
      <c r="F124" s="77" t="str">
        <f>VLOOKUP(B124,'Cấp phát TN'!C1:G1048575,5,FALSE)</f>
        <v>SR_VN_20230928_891118
SR_VN_20230929_891788</v>
      </c>
      <c r="G124" s="77" t="s">
        <v>1682</v>
      </c>
      <c r="H124" s="77"/>
      <c r="I124" s="142"/>
      <c r="J124" s="77"/>
      <c r="K124" s="77"/>
      <c r="L124" s="77"/>
      <c r="M124" s="77">
        <v>10000</v>
      </c>
      <c r="N124" s="77"/>
      <c r="O124" s="77"/>
      <c r="P124" s="77"/>
      <c r="Q124" s="111"/>
      <c r="R124" s="134" t="s">
        <v>1497</v>
      </c>
      <c r="S124" s="106" t="s">
        <v>1509</v>
      </c>
      <c r="T124" s="133" t="s">
        <v>1690</v>
      </c>
    </row>
    <row r="125" spans="1:20" ht="25.5" x14ac:dyDescent="0.2">
      <c r="A125" s="74">
        <v>124</v>
      </c>
      <c r="B125" s="73" t="s">
        <v>979</v>
      </c>
      <c r="C125" s="74" t="str">
        <f>VLOOKUP(B125,'Cấp phát TN'!C1:G1048575,2,FALSE)</f>
        <v>DVKH</v>
      </c>
      <c r="D125" s="105" t="str">
        <f>VLOOKUP(B125,'Cấp phát TN'!C1:G1048575,3,FALSE)</f>
        <v>trong td1</v>
      </c>
      <c r="E125" s="106" t="str">
        <f>VLOOKUP(B125,'Cấp phát TN'!C1:G1048575,4,FALSE)</f>
        <v>hoangld2</v>
      </c>
      <c r="F125" s="77" t="str">
        <f>VLOOKUP(B125,'Cấp phát TN'!C1:G1048575,5,FALSE)</f>
        <v>SR_VN_20231009_898775
SR_VN_20231016_904382</v>
      </c>
      <c r="G125" s="77" t="s">
        <v>1691</v>
      </c>
      <c r="H125" s="77">
        <v>2</v>
      </c>
      <c r="I125" s="142">
        <v>8</v>
      </c>
      <c r="J125" s="77">
        <f>I125*3</f>
        <v>24</v>
      </c>
      <c r="K125" s="77">
        <f>73*2</f>
        <v>146</v>
      </c>
      <c r="L125" s="77">
        <f>569+730</f>
        <v>1299</v>
      </c>
      <c r="M125" s="77"/>
      <c r="N125" s="77"/>
      <c r="O125" s="77"/>
      <c r="P125" s="77"/>
      <c r="Q125" s="111"/>
      <c r="R125" s="134" t="s">
        <v>1528</v>
      </c>
      <c r="S125" s="111" t="s">
        <v>1529</v>
      </c>
      <c r="T125" s="133"/>
    </row>
    <row r="126" spans="1:20" ht="25.5" x14ac:dyDescent="0.2">
      <c r="A126" s="73">
        <v>125</v>
      </c>
      <c r="B126" s="73" t="s">
        <v>993</v>
      </c>
      <c r="C126" s="74" t="str">
        <f>VLOOKUP(B126,'Cấp phát TN'!C1:G1048575,2,FALSE)</f>
        <v>BSS</v>
      </c>
      <c r="D126" s="105" t="str">
        <f>VLOOKUP(B126,'Cấp phát TN'!C1:G1048575,3,FALSE)</f>
        <v>hoabv8</v>
      </c>
      <c r="E126" s="106" t="str">
        <f>VLOOKUP(B126,'Cấp phát TN'!C1:G1048575,4,FALSE)</f>
        <v>ductn</v>
      </c>
      <c r="F126" s="77" t="str">
        <f>VLOOKUP(B126,'Cấp phát TN'!C1:G1048575,5,FALSE)</f>
        <v>SR_VN_20231115_933218</v>
      </c>
      <c r="G126" s="77" t="s">
        <v>1691</v>
      </c>
      <c r="H126" s="77"/>
      <c r="I126" s="77"/>
      <c r="J126" s="77"/>
      <c r="K126" s="77"/>
      <c r="L126" s="77">
        <v>10192</v>
      </c>
      <c r="M126" s="77"/>
      <c r="N126" s="77"/>
      <c r="O126" s="77"/>
      <c r="P126" s="77"/>
      <c r="Q126" s="111"/>
      <c r="R126" s="134"/>
      <c r="S126" s="73"/>
      <c r="T126" s="133" t="s">
        <v>1649</v>
      </c>
    </row>
    <row r="127" spans="1:20" x14ac:dyDescent="0.2">
      <c r="A127" s="74">
        <v>126</v>
      </c>
      <c r="B127" s="126" t="s">
        <v>996</v>
      </c>
      <c r="C127" s="74" t="str">
        <f>VLOOKUP(B127,'Cấp phát TN'!C1:G1048575,2,FALSE)</f>
        <v>BSS</v>
      </c>
      <c r="D127" s="105" t="str">
        <f>VLOOKUP(B127,'Cấp phát TN'!C1:G1048575,3,FALSE)</f>
        <v>khanhdn1</v>
      </c>
      <c r="E127" s="106" t="str">
        <f>VLOOKUP(B127,'Cấp phát TN'!C1:G1048575,4,FALSE)</f>
        <v>ductn</v>
      </c>
      <c r="F127" s="77" t="str">
        <f>VLOOKUP(B127,'Cấp phát TN'!C1:G1048575,5,FALSE)</f>
        <v>SR_VN_20231114_932016</v>
      </c>
      <c r="G127" s="77" t="s">
        <v>1691</v>
      </c>
      <c r="H127" s="77">
        <v>5</v>
      </c>
      <c r="I127" s="77">
        <v>20</v>
      </c>
      <c r="J127" s="77">
        <f>I127*3</f>
        <v>60</v>
      </c>
      <c r="K127" s="77">
        <v>40</v>
      </c>
      <c r="L127" s="77">
        <v>1100</v>
      </c>
      <c r="M127" s="77"/>
      <c r="N127" s="77"/>
      <c r="O127" s="77"/>
      <c r="P127" s="77"/>
      <c r="Q127" s="111"/>
      <c r="R127" s="134" t="s">
        <v>1497</v>
      </c>
      <c r="S127" s="73" t="s">
        <v>1509</v>
      </c>
      <c r="T127" s="133"/>
    </row>
    <row r="128" spans="1:20" ht="25.5" x14ac:dyDescent="0.2">
      <c r="A128" s="73">
        <v>127</v>
      </c>
      <c r="B128" s="126" t="s">
        <v>999</v>
      </c>
      <c r="C128" s="74" t="str">
        <f>VLOOKUP(B128,'Cấp phát TN'!C1:G1048575,2,FALSE)</f>
        <v>BSS</v>
      </c>
      <c r="D128" s="105" t="str">
        <f>VLOOKUP(B128,'Cấp phát TN'!C1:G1048575,3,FALSE)</f>
        <v>minhca</v>
      </c>
      <c r="E128" s="106" t="str">
        <f>VLOOKUP(B128,'Cấp phát TN'!C1:G1048575,4,FALSE)</f>
        <v>hoangld2</v>
      </c>
      <c r="F128" s="77" t="str">
        <f>VLOOKUP(B128,'Cấp phát TN'!C1:G1048575,5,FALSE)</f>
        <v>SR_VN_20231129_945650
SR_VN_20231130_946805</v>
      </c>
      <c r="G128" s="77" t="s">
        <v>1691</v>
      </c>
      <c r="H128" s="77">
        <v>16</v>
      </c>
      <c r="I128" s="77">
        <v>393</v>
      </c>
      <c r="J128" s="77">
        <f>I128*3</f>
        <v>1179</v>
      </c>
      <c r="K128" s="77">
        <v>959</v>
      </c>
      <c r="L128" s="77">
        <v>28714</v>
      </c>
      <c r="M128" s="77"/>
      <c r="N128" s="77"/>
      <c r="O128" s="77"/>
      <c r="P128" s="77"/>
      <c r="Q128" s="111"/>
      <c r="R128" s="134" t="s">
        <v>1497</v>
      </c>
      <c r="S128" s="106" t="s">
        <v>1509</v>
      </c>
      <c r="T128" s="133" t="s">
        <v>1499</v>
      </c>
    </row>
    <row r="129" spans="1:21" ht="51" x14ac:dyDescent="0.2">
      <c r="A129" s="74">
        <v>128</v>
      </c>
      <c r="B129" s="73" t="s">
        <v>1013</v>
      </c>
      <c r="C129" s="74" t="str">
        <f>VLOOKUP(B129,'Cấp phát TN'!C1:G1048575,2,FALSE)</f>
        <v>VAS</v>
      </c>
      <c r="D129" s="105" t="str">
        <f>VLOOKUP(B129,'Cấp phát TN'!C1:G1048575,3,FALSE)</f>
        <v>hanq1</v>
      </c>
      <c r="E129" s="106" t="str">
        <f>VLOOKUP(B129,'Cấp phát TN'!C1:G1048575,4,FALSE)</f>
        <v>vinhtq18</v>
      </c>
      <c r="F129" s="77" t="str">
        <f>VLOOKUP(B129,'Cấp phát TN'!C1:G1048575,5,FALSE)</f>
        <v>SR_VN_20231211_955585
SR_VN_20231211_955847</v>
      </c>
      <c r="G129" s="77" t="s">
        <v>1691</v>
      </c>
      <c r="H129" s="77"/>
      <c r="I129" s="77"/>
      <c r="J129" s="77"/>
      <c r="K129" s="77"/>
      <c r="L129" s="77">
        <v>15066</v>
      </c>
      <c r="M129" s="77"/>
      <c r="N129" s="111"/>
      <c r="O129" s="111"/>
      <c r="P129" s="111"/>
      <c r="Q129" s="111"/>
      <c r="R129" s="134" t="s">
        <v>1528</v>
      </c>
      <c r="S129" s="76"/>
      <c r="T129" s="133" t="s">
        <v>1692</v>
      </c>
    </row>
    <row r="130" spans="1:21" ht="25.5" x14ac:dyDescent="0.2">
      <c r="A130" s="73">
        <v>129</v>
      </c>
      <c r="B130" s="144" t="s">
        <v>1016</v>
      </c>
      <c r="C130" s="74" t="str">
        <f>VLOOKUP(B130,'Cấp phát TN'!C1:G1048575,2,FALSE)</f>
        <v>DAC</v>
      </c>
      <c r="D130" s="105" t="str">
        <f>VLOOKUP(B130,'Cấp phát TN'!C1:G1048575,3,FALSE)</f>
        <v>kientt6</v>
      </c>
      <c r="E130" s="106" t="str">
        <f>VLOOKUP(B130,'Cấp phát TN'!C1:G1048575,4,FALSE)</f>
        <v>vinhtq18</v>
      </c>
      <c r="F130" s="77" t="str">
        <f>VLOOKUP(B130,'Cấp phát TN'!C1:G1048575,5,FALSE)</f>
        <v>SR_VN_20231212_956779</v>
      </c>
      <c r="G130" s="77" t="s">
        <v>1691</v>
      </c>
      <c r="H130" s="77">
        <v>2</v>
      </c>
      <c r="I130" s="77">
        <v>32</v>
      </c>
      <c r="J130" s="77">
        <v>100</v>
      </c>
      <c r="K130" s="77">
        <v>64</v>
      </c>
      <c r="L130" s="77">
        <v>1350</v>
      </c>
      <c r="M130" s="77"/>
      <c r="N130" s="77"/>
      <c r="O130" s="77"/>
      <c r="P130" s="77"/>
      <c r="Q130" s="111"/>
      <c r="R130" s="134" t="s">
        <v>1693</v>
      </c>
      <c r="S130" s="106" t="s">
        <v>1529</v>
      </c>
      <c r="T130" s="133" t="s">
        <v>1694</v>
      </c>
    </row>
    <row r="131" spans="1:21" x14ac:dyDescent="0.2">
      <c r="A131" s="74">
        <v>130</v>
      </c>
      <c r="B131" s="143" t="s">
        <v>1020</v>
      </c>
      <c r="C131" s="74" t="str">
        <f>VLOOKUP(B131,'Cấp phát TN'!C1:G1048575,2,FALSE)</f>
        <v>DVKH</v>
      </c>
      <c r="D131" s="105" t="str">
        <f>VLOOKUP(B131,'Cấp phát TN'!C1:G1048575,3,FALSE)</f>
        <v>thaind4</v>
      </c>
      <c r="E131" s="106" t="str">
        <f>VLOOKUP(B131,'Cấp phát TN'!C1:G1048575,4,FALSE)</f>
        <v>ductn</v>
      </c>
      <c r="F131" s="77" t="str">
        <f>VLOOKUP(B131,'Cấp phát TN'!C1:G1048575,5,FALSE)</f>
        <v>SR_VN_20231215_960486</v>
      </c>
      <c r="G131" s="77" t="s">
        <v>1691</v>
      </c>
      <c r="H131" s="77">
        <v>18</v>
      </c>
      <c r="I131" s="77">
        <v>577</v>
      </c>
      <c r="J131" s="77">
        <f>I131*3</f>
        <v>1731</v>
      </c>
      <c r="K131" s="77">
        <v>794</v>
      </c>
      <c r="L131" s="77">
        <v>10759</v>
      </c>
      <c r="M131" s="77"/>
      <c r="N131" s="77"/>
      <c r="O131" s="77"/>
      <c r="P131" s="77"/>
      <c r="Q131" s="111"/>
      <c r="R131" s="134" t="s">
        <v>1497</v>
      </c>
      <c r="S131" s="106" t="s">
        <v>1509</v>
      </c>
      <c r="T131" s="133" t="s">
        <v>1499</v>
      </c>
    </row>
    <row r="132" spans="1:21" ht="25.5" x14ac:dyDescent="0.2">
      <c r="A132" s="73">
        <v>131</v>
      </c>
      <c r="B132" s="144" t="s">
        <v>1023</v>
      </c>
      <c r="C132" s="74" t="str">
        <f>VLOOKUP(B132,'Cấp phát TN'!C1:G1048575,2,FALSE)</f>
        <v>BSS</v>
      </c>
      <c r="D132" s="105" t="str">
        <f>VLOOKUP(B132,'Cấp phát TN'!C1:G1048575,3,FALSE)</f>
        <v>vanha1</v>
      </c>
      <c r="E132" s="106" t="str">
        <f>VLOOKUP(B132,'Cấp phát TN'!C1:G1048575,4,FALSE)</f>
        <v>vinhtq18</v>
      </c>
      <c r="F132" s="77" t="str">
        <f>VLOOKUP(B132,'Cấp phát TN'!C1:G1048575,5,FALSE)</f>
        <v>SR_VN_20240104_977532</v>
      </c>
      <c r="G132" s="77" t="s">
        <v>815</v>
      </c>
      <c r="H132" s="77">
        <v>4</v>
      </c>
      <c r="I132" s="77">
        <f>48*H132</f>
        <v>192</v>
      </c>
      <c r="J132" s="77">
        <v>120</v>
      </c>
      <c r="K132" s="77">
        <v>96</v>
      </c>
      <c r="L132" s="77">
        <v>1024</v>
      </c>
      <c r="M132" s="77"/>
      <c r="N132" s="77"/>
      <c r="O132" s="77"/>
      <c r="P132" s="77"/>
      <c r="Q132" s="111"/>
      <c r="R132" s="77" t="s">
        <v>1693</v>
      </c>
      <c r="S132" s="111"/>
      <c r="T132" s="133" t="s">
        <v>1695</v>
      </c>
      <c r="U132" s="117" t="s">
        <v>1696</v>
      </c>
    </row>
    <row r="133" spans="1:21" ht="38.25" x14ac:dyDescent="0.2">
      <c r="A133" s="74">
        <v>132</v>
      </c>
      <c r="B133" s="144" t="s">
        <v>1026</v>
      </c>
      <c r="C133" s="74" t="str">
        <f>VLOOKUP(B133,'Cấp phát TN'!C1:G1048575,2,FALSE)</f>
        <v>BSS</v>
      </c>
      <c r="D133" s="105" t="str">
        <f>VLOOKUP(B133,'Cấp phát TN'!C1:G1048575,3,FALSE)</f>
        <v>hainv71</v>
      </c>
      <c r="E133" s="106" t="str">
        <f>VLOOKUP(B133,'Cấp phát TN'!C1:G1048575,4,FALSE)</f>
        <v>vinhtq18</v>
      </c>
      <c r="F133" s="77" t="str">
        <f>VLOOKUP(B133,'Cấp phát TN'!C1:G1048575,5,FALSE)</f>
        <v>SR_VN_20240110_982362
SR_VN_20240116_988764(thu hồi tài nguyên)</v>
      </c>
      <c r="G133" s="77" t="s">
        <v>815</v>
      </c>
      <c r="H133" s="77">
        <f>15+2+4+3+1</f>
        <v>25</v>
      </c>
      <c r="I133" s="142">
        <f>J133/3</f>
        <v>223.33333333333334</v>
      </c>
      <c r="J133" s="77">
        <f>28*15+33*2+33*4+52*1</f>
        <v>670</v>
      </c>
      <c r="K133" s="77">
        <f>66*15+94*2+94*4+96*1</f>
        <v>1650</v>
      </c>
      <c r="L133" s="77">
        <f>160*15+10579*2+5319*4+12558*1</f>
        <v>57392</v>
      </c>
      <c r="M133" s="77"/>
      <c r="N133" s="77"/>
      <c r="O133" s="77"/>
      <c r="P133" s="77"/>
      <c r="Q133" s="111"/>
      <c r="R133" s="77" t="s">
        <v>1693</v>
      </c>
      <c r="S133" s="111" t="s">
        <v>1529</v>
      </c>
      <c r="T133" s="133" t="s">
        <v>1697</v>
      </c>
      <c r="U133" s="117" t="s">
        <v>1696</v>
      </c>
    </row>
    <row r="134" spans="1:21" ht="51" x14ac:dyDescent="0.2">
      <c r="A134" s="73">
        <v>133</v>
      </c>
      <c r="B134" s="73" t="s">
        <v>1030</v>
      </c>
      <c r="C134" s="74" t="str">
        <f>VLOOKUP(B134,'Cấp phát TN'!C1:G1048575,2,FALSE)</f>
        <v>BSS</v>
      </c>
      <c r="D134" s="105" t="str">
        <f>VLOOKUP(B134,'Cấp phát TN'!C1:G1048575,3,FALSE)</f>
        <v>tuyenpv9</v>
      </c>
      <c r="E134" s="106" t="str">
        <f>VLOOKUP(B134,'Cấp phát TN'!C1:G1048575,4,FALSE)</f>
        <v>vinhtq18</v>
      </c>
      <c r="F134" s="77" t="str">
        <f>VLOOKUP(B134,'Cấp phát TN'!C1:G1048575,5,FALSE)</f>
        <v>SR_VN_20240109_981257</v>
      </c>
      <c r="G134" s="77" t="s">
        <v>815</v>
      </c>
      <c r="H134" s="77">
        <v>2</v>
      </c>
      <c r="I134" s="77"/>
      <c r="J134" s="77"/>
      <c r="K134" s="77"/>
      <c r="L134" s="77">
        <v>100</v>
      </c>
      <c r="M134" s="77"/>
      <c r="N134" s="77"/>
      <c r="O134" s="77"/>
      <c r="P134" s="77"/>
      <c r="Q134" s="111"/>
      <c r="R134" s="77" t="s">
        <v>1693</v>
      </c>
      <c r="S134" s="111" t="s">
        <v>1529</v>
      </c>
      <c r="T134" s="133" t="s">
        <v>1698</v>
      </c>
      <c r="U134" s="117" t="s">
        <v>1699</v>
      </c>
    </row>
    <row r="135" spans="1:21" ht="51" x14ac:dyDescent="0.2">
      <c r="A135" s="74">
        <v>134</v>
      </c>
      <c r="B135" s="144" t="s">
        <v>1038</v>
      </c>
      <c r="C135" s="74" t="str">
        <f>VLOOKUP(B135,'Cấp phát TN'!C1:G1048575,2,FALSE)</f>
        <v>DAC</v>
      </c>
      <c r="D135" s="105" t="str">
        <f>VLOOKUP(B135,'Cấp phát TN'!C1:G1048575,3,FALSE)</f>
        <v>anhvt105</v>
      </c>
      <c r="E135" s="106" t="str">
        <f>VLOOKUP(B135,'Cấp phát TN'!C1:G1048575,4,FALSE)</f>
        <v>vinhtq18</v>
      </c>
      <c r="F135" s="77" t="str">
        <f>VLOOKUP(B135,'Cấp phát TN'!C1:G1048575,5,FALSE)</f>
        <v>SR_VN_20240201_1016847</v>
      </c>
      <c r="G135" s="77" t="s">
        <v>815</v>
      </c>
      <c r="H135" s="77">
        <v>6</v>
      </c>
      <c r="I135" s="77">
        <v>201</v>
      </c>
      <c r="J135" s="77">
        <v>660</v>
      </c>
      <c r="K135" s="77">
        <v>1536</v>
      </c>
      <c r="L135" s="77"/>
      <c r="M135" s="77"/>
      <c r="N135" s="77"/>
      <c r="O135" s="77">
        <v>24000</v>
      </c>
      <c r="P135" s="77">
        <v>6000</v>
      </c>
      <c r="Q135" s="111"/>
      <c r="R135" s="77" t="s">
        <v>1693</v>
      </c>
      <c r="S135" s="111" t="s">
        <v>1700</v>
      </c>
      <c r="T135" s="133" t="s">
        <v>1701</v>
      </c>
      <c r="U135" s="117" t="s">
        <v>1699</v>
      </c>
    </row>
    <row r="136" spans="1:21" ht="51" x14ac:dyDescent="0.2">
      <c r="A136" s="73">
        <v>135</v>
      </c>
      <c r="B136" s="73" t="s">
        <v>1043</v>
      </c>
      <c r="C136" s="74" t="str">
        <f>VLOOKUP(B136,'Cấp phát TN'!C1:G1048575,2,FALSE)</f>
        <v>BSS</v>
      </c>
      <c r="D136" s="105" t="str">
        <f>VLOOKUP(B136,'Cấp phát TN'!C1:G1048575,3,FALSE)</f>
        <v>hoangnt14</v>
      </c>
      <c r="E136" s="106" t="str">
        <f>VLOOKUP(B136,'Cấp phát TN'!C1:G1048575,4,FALSE)</f>
        <v>vinhtq18</v>
      </c>
      <c r="F136" s="77" t="str">
        <f>VLOOKUP(B136,'Cấp phát TN'!C1:G1048575,5,FALSE)</f>
        <v>SR_VN_20240119_992661</v>
      </c>
      <c r="G136" s="77" t="s">
        <v>815</v>
      </c>
      <c r="H136" s="77">
        <v>4</v>
      </c>
      <c r="I136" s="77"/>
      <c r="J136" s="77"/>
      <c r="K136" s="77">
        <v>80</v>
      </c>
      <c r="L136" s="111"/>
      <c r="M136" s="77">
        <v>40000</v>
      </c>
      <c r="N136" s="77"/>
      <c r="O136" s="77"/>
      <c r="P136" s="77"/>
      <c r="Q136" s="111"/>
      <c r="R136" s="77" t="s">
        <v>1693</v>
      </c>
      <c r="S136" s="111" t="s">
        <v>1529</v>
      </c>
      <c r="T136" s="145" t="s">
        <v>1702</v>
      </c>
      <c r="U136" s="117" t="s">
        <v>1696</v>
      </c>
    </row>
    <row r="137" spans="1:21" x14ac:dyDescent="0.2">
      <c r="A137" s="74">
        <v>136</v>
      </c>
      <c r="B137" s="77" t="s">
        <v>1046</v>
      </c>
      <c r="C137" s="74" t="str">
        <f>VLOOKUP(B137,'Cấp phát TN'!C1:G1048575,2,FALSE)</f>
        <v>GPCNTT</v>
      </c>
      <c r="D137" s="105" t="str">
        <f>VLOOKUP(B137,'Cấp phát TN'!C1:G1048575,3,FALSE)</f>
        <v>anhtt229</v>
      </c>
      <c r="E137" s="106" t="str">
        <f>VLOOKUP(B137,'Cấp phát TN'!C1:G1048575,4,FALSE)</f>
        <v>vinhtq18</v>
      </c>
      <c r="F137" s="77" t="str">
        <f>VLOOKUP(B137,'Cấp phát TN'!C1:G1048575,5,FALSE)</f>
        <v>SR_VN_20240131_1003698</v>
      </c>
      <c r="G137" s="77" t="s">
        <v>815</v>
      </c>
      <c r="H137" s="77">
        <v>1</v>
      </c>
      <c r="I137" s="77">
        <v>32</v>
      </c>
      <c r="J137" s="77">
        <v>93</v>
      </c>
      <c r="K137" s="77">
        <v>16</v>
      </c>
      <c r="L137" s="77">
        <v>1060</v>
      </c>
      <c r="M137" s="77">
        <v>1000</v>
      </c>
      <c r="N137" s="77"/>
      <c r="O137" s="77"/>
      <c r="P137" s="77"/>
      <c r="Q137" s="111"/>
      <c r="R137" s="77"/>
      <c r="S137" s="111" t="s">
        <v>1509</v>
      </c>
      <c r="T137" s="133" t="s">
        <v>1703</v>
      </c>
      <c r="U137" s="117" t="s">
        <v>1696</v>
      </c>
    </row>
    <row r="138" spans="1:21" ht="25.5" x14ac:dyDescent="0.2">
      <c r="A138" s="73">
        <v>137</v>
      </c>
      <c r="B138" s="73" t="s">
        <v>1704</v>
      </c>
      <c r="C138" s="74" t="s">
        <v>980</v>
      </c>
      <c r="D138" s="110" t="s">
        <v>1705</v>
      </c>
      <c r="E138" s="111" t="s">
        <v>44</v>
      </c>
      <c r="F138" s="77" t="s">
        <v>1706</v>
      </c>
      <c r="G138" s="77" t="s">
        <v>815</v>
      </c>
      <c r="H138" s="77">
        <v>11</v>
      </c>
      <c r="I138" s="77">
        <v>-154</v>
      </c>
      <c r="J138" s="77">
        <v>-463</v>
      </c>
      <c r="K138" s="77">
        <v>-352</v>
      </c>
      <c r="L138" s="77">
        <v>-3300</v>
      </c>
      <c r="M138" s="77"/>
      <c r="N138" s="77"/>
      <c r="O138" s="77"/>
      <c r="P138" s="77"/>
      <c r="Q138" s="111"/>
      <c r="R138" s="77" t="s">
        <v>1540</v>
      </c>
      <c r="S138" s="111" t="s">
        <v>1529</v>
      </c>
      <c r="T138" s="133" t="s">
        <v>1707</v>
      </c>
      <c r="U138" s="117" t="s">
        <v>1696</v>
      </c>
    </row>
    <row r="139" spans="1:21" x14ac:dyDescent="0.2">
      <c r="A139" s="74">
        <v>138</v>
      </c>
      <c r="B139" s="144" t="s">
        <v>1049</v>
      </c>
      <c r="C139" s="74" t="str">
        <f>VLOOKUP(B139,'Cấp phát TN'!C1:G1048575,2,FALSE)</f>
        <v>BSS</v>
      </c>
      <c r="D139" s="105" t="str">
        <f>VLOOKUP(B139,'Cấp phát TN'!C1:G1048575,3,FALSE)</f>
        <v>giangnt109</v>
      </c>
      <c r="E139" s="106" t="str">
        <f>VLOOKUP(B139,'Cấp phát TN'!C1:G1048575,4,FALSE)</f>
        <v>khanhnd23</v>
      </c>
      <c r="F139" s="77" t="str">
        <f>VLOOKUP(B139,'Cấp phát TN'!C1:G1048575,5,FALSE)</f>
        <v>SR_VN_20240229_1028368</v>
      </c>
      <c r="G139" s="77" t="s">
        <v>815</v>
      </c>
      <c r="H139" s="77">
        <v>31</v>
      </c>
      <c r="I139" s="77">
        <v>903</v>
      </c>
      <c r="J139" s="77">
        <v>2710</v>
      </c>
      <c r="K139" s="77">
        <v>7936</v>
      </c>
      <c r="L139" s="77"/>
      <c r="M139" s="77"/>
      <c r="N139" s="77"/>
      <c r="O139" s="77">
        <v>372736</v>
      </c>
      <c r="P139" s="77"/>
      <c r="Q139" s="111"/>
      <c r="R139" s="77" t="s">
        <v>1693</v>
      </c>
      <c r="S139" s="111" t="s">
        <v>1700</v>
      </c>
      <c r="T139" s="133" t="s">
        <v>1708</v>
      </c>
      <c r="U139" s="117" t="s">
        <v>1699</v>
      </c>
    </row>
    <row r="140" spans="1:21" x14ac:dyDescent="0.2">
      <c r="A140" s="73">
        <v>139</v>
      </c>
      <c r="B140" s="73" t="s">
        <v>1709</v>
      </c>
      <c r="C140" s="74" t="s">
        <v>188</v>
      </c>
      <c r="D140" s="110" t="s">
        <v>988</v>
      </c>
      <c r="E140" s="111" t="s">
        <v>44</v>
      </c>
      <c r="F140" s="146" t="s">
        <v>1710</v>
      </c>
      <c r="G140" s="111" t="s">
        <v>815</v>
      </c>
      <c r="H140" s="77">
        <v>4</v>
      </c>
      <c r="I140" s="77"/>
      <c r="J140" s="77"/>
      <c r="K140" s="77">
        <v>-80</v>
      </c>
      <c r="L140" s="111"/>
      <c r="M140" s="77">
        <v>-40000</v>
      </c>
      <c r="N140" s="77"/>
      <c r="O140" s="77"/>
      <c r="P140" s="77"/>
      <c r="Q140" s="111"/>
      <c r="R140" s="77" t="s">
        <v>1693</v>
      </c>
      <c r="S140" s="111" t="s">
        <v>1529</v>
      </c>
      <c r="T140" s="145"/>
      <c r="U140" s="117" t="s">
        <v>1696</v>
      </c>
    </row>
    <row r="141" spans="1:21" x14ac:dyDescent="0.2">
      <c r="A141" s="74">
        <v>140</v>
      </c>
      <c r="B141" s="74" t="s">
        <v>1063</v>
      </c>
      <c r="C141" s="74" t="str">
        <f>VLOOKUP(B141,'Cấp phát TN'!C1:G1048575,2,FALSE)</f>
        <v>BSS</v>
      </c>
      <c r="D141" s="105" t="str">
        <f>VLOOKUP(B141,'Cấp phát TN'!C1:G1048575,3,FALSE)</f>
        <v>thanhtt69</v>
      </c>
      <c r="E141" s="106" t="str">
        <f>VLOOKUP(B141,'Cấp phát TN'!C1:G1048575,4,FALSE)</f>
        <v>khanhnd23</v>
      </c>
      <c r="F141" s="77" t="str">
        <f>VLOOKUP(B141,'Cấp phát TN'!C1:G1048575,5,FALSE)</f>
        <v>SR_VN_20240327_1044602</v>
      </c>
      <c r="G141" s="111" t="s">
        <v>815</v>
      </c>
      <c r="H141" s="111">
        <v>8</v>
      </c>
      <c r="I141" s="111">
        <v>229</v>
      </c>
      <c r="J141" s="111">
        <v>686</v>
      </c>
      <c r="K141" s="111">
        <v>276</v>
      </c>
      <c r="L141" s="111">
        <v>18947</v>
      </c>
      <c r="M141" s="111">
        <v>1790</v>
      </c>
      <c r="N141" s="111"/>
      <c r="O141" s="111"/>
      <c r="P141" s="111"/>
      <c r="Q141" s="111"/>
      <c r="R141" s="77" t="s">
        <v>1693</v>
      </c>
      <c r="S141" s="111" t="s">
        <v>1529</v>
      </c>
      <c r="T141" s="81" t="s">
        <v>1711</v>
      </c>
      <c r="U141" s="117" t="s">
        <v>1696</v>
      </c>
    </row>
    <row r="142" spans="1:21" x14ac:dyDescent="0.2">
      <c r="A142" s="73">
        <v>141</v>
      </c>
      <c r="B142" s="74" t="s">
        <v>1057</v>
      </c>
      <c r="C142" s="74" t="str">
        <f>VLOOKUP(B142,'Cấp phát TN'!C1:G1048575,2,FALSE)</f>
        <v>BSS</v>
      </c>
      <c r="D142" s="105" t="str">
        <f>VLOOKUP(B142,'Cấp phát TN'!C1:G1048575,3,FALSE)</f>
        <v>thanhtt69</v>
      </c>
      <c r="E142" s="106" t="str">
        <f>VLOOKUP(B142,'Cấp phát TN'!C1:G1048575,4,FALSE)</f>
        <v>thongnv31</v>
      </c>
      <c r="F142" s="77" t="str">
        <f>VLOOKUP(B142,'Cấp phát TN'!C1:G1048575,5,FALSE)</f>
        <v>SR_VN_20240320_1038556</v>
      </c>
      <c r="G142" s="111" t="s">
        <v>815</v>
      </c>
      <c r="H142" s="111">
        <v>17</v>
      </c>
      <c r="I142" s="111">
        <f>541-355</f>
        <v>186</v>
      </c>
      <c r="J142" s="111">
        <f>1623-J143</f>
        <v>560</v>
      </c>
      <c r="K142" s="111">
        <f>1907-K143</f>
        <v>308</v>
      </c>
      <c r="L142" s="111">
        <f>77154-L143</f>
        <v>48939</v>
      </c>
      <c r="M142" s="111"/>
      <c r="N142" s="111"/>
      <c r="O142" s="111"/>
      <c r="P142" s="111"/>
      <c r="Q142" s="111"/>
      <c r="R142" s="77" t="s">
        <v>1693</v>
      </c>
      <c r="S142" s="111" t="s">
        <v>1529</v>
      </c>
      <c r="T142" s="81" t="s">
        <v>1712</v>
      </c>
      <c r="U142" s="117" t="s">
        <v>1696</v>
      </c>
    </row>
    <row r="143" spans="1:21" x14ac:dyDescent="0.2">
      <c r="A143" s="74">
        <v>142</v>
      </c>
      <c r="B143" s="74" t="s">
        <v>1057</v>
      </c>
      <c r="C143" s="74" t="str">
        <f>VLOOKUP(B143,'Cấp phát TN'!C2:G1048575,2,FALSE)</f>
        <v>BSS</v>
      </c>
      <c r="D143" s="105" t="str">
        <f>VLOOKUP(B143,'Cấp phát TN'!C2:G1048575,3,FALSE)</f>
        <v>thanhtt69</v>
      </c>
      <c r="E143" s="106" t="str">
        <f>VLOOKUP(B143,'Cấp phát TN'!C2:G1048575,4,FALSE)</f>
        <v>thongnv31</v>
      </c>
      <c r="F143" s="147" t="str">
        <f>VLOOKUP(B142,'Cấp phát TN'!C1:G1048575,5,FALSE)</f>
        <v>SR_VN_20240320_1038556</v>
      </c>
      <c r="G143" s="121" t="s">
        <v>815</v>
      </c>
      <c r="H143" s="121">
        <v>8</v>
      </c>
      <c r="I143" s="148">
        <v>355</v>
      </c>
      <c r="J143" s="148">
        <v>1063</v>
      </c>
      <c r="K143" s="148">
        <v>1599</v>
      </c>
      <c r="L143" s="148">
        <v>28215</v>
      </c>
      <c r="R143" s="121" t="s">
        <v>1528</v>
      </c>
      <c r="T143" s="118" t="s">
        <v>1713</v>
      </c>
    </row>
    <row r="144" spans="1:21" x14ac:dyDescent="0.2">
      <c r="A144" s="73">
        <v>143</v>
      </c>
      <c r="B144" s="74" t="s">
        <v>1053</v>
      </c>
      <c r="C144" s="74" t="str">
        <f>VLOOKUP(B144,'Cấp phát TN'!C1:G1048575,2,FALSE)</f>
        <v>BSS</v>
      </c>
      <c r="D144" s="105" t="str">
        <f>VLOOKUP(B144,'Cấp phát TN'!C1:G1048575,3,FALSE)</f>
        <v>tamdtt1</v>
      </c>
      <c r="E144" s="106" t="str">
        <f>VLOOKUP(B144,'Cấp phát TN'!C1:G1048575,4,FALSE)</f>
        <v>vinhtq18</v>
      </c>
      <c r="F144" s="77" t="str">
        <f>VLOOKUP(B144,'Cấp phát TN'!C1:G1048575,5,FALSE)</f>
        <v>SR_VN_20240506_1079517</v>
      </c>
      <c r="G144" s="74" t="s">
        <v>816</v>
      </c>
      <c r="H144" s="74">
        <v>2</v>
      </c>
      <c r="I144" s="74">
        <v>8</v>
      </c>
      <c r="J144" s="74">
        <v>24</v>
      </c>
      <c r="K144" s="74">
        <v>64</v>
      </c>
      <c r="L144" s="74">
        <v>1326</v>
      </c>
      <c r="M144" s="84"/>
      <c r="N144" s="84"/>
      <c r="O144" s="84"/>
      <c r="P144" s="84"/>
      <c r="Q144" s="111"/>
      <c r="R144" s="74" t="s">
        <v>1693</v>
      </c>
      <c r="S144" s="111"/>
      <c r="T144" s="149" t="s">
        <v>1714</v>
      </c>
      <c r="U144" s="117" t="s">
        <v>1696</v>
      </c>
    </row>
    <row r="145" spans="1:22" x14ac:dyDescent="0.2">
      <c r="A145" s="74">
        <v>144</v>
      </c>
      <c r="B145" s="16" t="s">
        <v>1061</v>
      </c>
      <c r="C145" s="74" t="str">
        <f>VLOOKUP(B145,'Cấp phát TN'!C1:G1048575,2,FALSE)</f>
        <v>BSS</v>
      </c>
      <c r="D145" s="105" t="str">
        <f>VLOOKUP(B145,'Cấp phát TN'!C1:G1048575,3,FALSE)</f>
        <v>hainv71</v>
      </c>
      <c r="E145" s="106" t="str">
        <f>VLOOKUP(B145,'Cấp phát TN'!C1:G1048575,4,FALSE)</f>
        <v>vinhtq18</v>
      </c>
      <c r="F145" s="77">
        <f>VLOOKUP(B145,'Cấp phát TN'!C1:G1048575,5,FALSE)</f>
        <v>458488</v>
      </c>
      <c r="G145" s="74" t="s">
        <v>815</v>
      </c>
      <c r="H145" s="74">
        <v>5</v>
      </c>
      <c r="I145" s="74">
        <v>87</v>
      </c>
      <c r="J145" s="74">
        <v>260</v>
      </c>
      <c r="K145" s="74">
        <v>255</v>
      </c>
      <c r="L145" s="74">
        <v>2520</v>
      </c>
      <c r="M145" s="84"/>
      <c r="N145" s="84"/>
      <c r="O145" s="84"/>
      <c r="P145" s="84"/>
      <c r="Q145" s="111"/>
      <c r="R145" s="74" t="s">
        <v>1693</v>
      </c>
      <c r="S145" s="111" t="s">
        <v>1529</v>
      </c>
      <c r="T145" s="149"/>
      <c r="U145" s="117" t="s">
        <v>1696</v>
      </c>
    </row>
    <row r="146" spans="1:22" x14ac:dyDescent="0.2">
      <c r="A146" s="73">
        <v>145</v>
      </c>
      <c r="B146" s="16" t="s">
        <v>1067</v>
      </c>
      <c r="C146" s="9" t="s">
        <v>182</v>
      </c>
      <c r="D146" s="16" t="s">
        <v>262</v>
      </c>
      <c r="E146" s="9" t="s">
        <v>44</v>
      </c>
      <c r="F146" s="77" t="str">
        <f>VLOOKUP(B146,'Cấp phát TN'!C1:G1048575,5,FALSE)</f>
        <v>SR_VN_20240412_1060111</v>
      </c>
      <c r="G146" s="74" t="s">
        <v>815</v>
      </c>
      <c r="H146" s="74"/>
      <c r="I146" s="74"/>
      <c r="J146" s="74"/>
      <c r="K146" s="74"/>
      <c r="L146" s="111"/>
      <c r="M146" s="74">
        <v>310</v>
      </c>
      <c r="N146" s="84"/>
      <c r="O146" s="84"/>
      <c r="P146" s="84"/>
      <c r="Q146" s="111"/>
      <c r="R146" s="74" t="s">
        <v>1693</v>
      </c>
      <c r="S146" s="111" t="s">
        <v>1529</v>
      </c>
      <c r="T146" s="149"/>
      <c r="U146" s="117" t="s">
        <v>1696</v>
      </c>
    </row>
    <row r="147" spans="1:22" x14ac:dyDescent="0.2">
      <c r="A147" s="74">
        <v>146</v>
      </c>
      <c r="B147" s="16" t="s">
        <v>1070</v>
      </c>
      <c r="C147" s="9" t="s">
        <v>188</v>
      </c>
      <c r="D147" s="16" t="s">
        <v>70</v>
      </c>
      <c r="E147" s="9" t="s">
        <v>44</v>
      </c>
      <c r="F147" s="144">
        <v>468949</v>
      </c>
      <c r="G147" s="9" t="s">
        <v>815</v>
      </c>
      <c r="H147" s="74">
        <v>25</v>
      </c>
      <c r="I147" s="74">
        <v>328</v>
      </c>
      <c r="J147" s="74">
        <v>1128</v>
      </c>
      <c r="K147" s="74">
        <v>1752</v>
      </c>
      <c r="L147" s="74">
        <v>58268</v>
      </c>
      <c r="M147" s="84"/>
      <c r="N147" s="84"/>
      <c r="O147" s="84"/>
      <c r="P147" s="84"/>
      <c r="Q147" s="111"/>
      <c r="R147" s="74" t="s">
        <v>1693</v>
      </c>
      <c r="S147" s="111" t="s">
        <v>1529</v>
      </c>
      <c r="T147" s="149"/>
      <c r="U147" s="117" t="s">
        <v>1696</v>
      </c>
    </row>
    <row r="148" spans="1:22" x14ac:dyDescent="0.2">
      <c r="A148" s="73">
        <v>147</v>
      </c>
      <c r="B148" s="16" t="s">
        <v>1073</v>
      </c>
      <c r="C148" s="74" t="str">
        <f>VLOOKUP(B148,'Cấp phát TN'!C1:G1048575,2,FALSE)</f>
        <v>ATTT</v>
      </c>
      <c r="D148" s="105" t="str">
        <f>VLOOKUP(B148,'Cấp phát TN'!C1:G1048575,3,FALSE)</f>
        <v>duongns</v>
      </c>
      <c r="E148" s="106" t="str">
        <f>VLOOKUP(B148,'Cấp phát TN'!C1:G1048575,4,FALSE)</f>
        <v>ductn</v>
      </c>
      <c r="F148" s="77" t="str">
        <f>VLOOKUP(B148,'Cấp phát TN'!C1:G1048575,5,FALSE)</f>
        <v>SR_VN_20240410_1057140</v>
      </c>
      <c r="G148" s="74" t="s">
        <v>816</v>
      </c>
      <c r="H148" s="74">
        <v>2</v>
      </c>
      <c r="I148" s="74">
        <v>16</v>
      </c>
      <c r="J148" s="74">
        <v>48</v>
      </c>
      <c r="K148" s="74">
        <v>64</v>
      </c>
      <c r="L148" s="111"/>
      <c r="M148" s="74">
        <v>40000</v>
      </c>
      <c r="N148" s="84"/>
      <c r="O148" s="84"/>
      <c r="P148" s="84"/>
      <c r="Q148" s="111"/>
      <c r="R148" s="74" t="s">
        <v>1693</v>
      </c>
      <c r="S148" s="111" t="s">
        <v>1529</v>
      </c>
      <c r="T148" s="149"/>
      <c r="U148" s="117" t="s">
        <v>1696</v>
      </c>
    </row>
    <row r="149" spans="1:22" x14ac:dyDescent="0.2">
      <c r="A149" s="74">
        <v>148</v>
      </c>
      <c r="B149" s="16" t="s">
        <v>1077</v>
      </c>
      <c r="C149" s="74" t="str">
        <f>VLOOKUP(B149,'Cấp phát TN'!C1:G1048575,2,FALSE)</f>
        <v>ATTT</v>
      </c>
      <c r="D149" s="105" t="str">
        <f>VLOOKUP(B149,'Cấp phát TN'!C1:G1048575,3,FALSE)</f>
        <v>duongns</v>
      </c>
      <c r="E149" s="106" t="str">
        <f>VLOOKUP(B149,'Cấp phát TN'!C1:G1048575,4,FALSE)</f>
        <v>ductn</v>
      </c>
      <c r="F149" s="77" t="str">
        <f>VLOOKUP(B149,'Cấp phát TN'!C1:G1048575,5,FALSE)</f>
        <v>SR_VN_20240410_1057256</v>
      </c>
      <c r="G149" s="74" t="s">
        <v>816</v>
      </c>
      <c r="H149" s="74">
        <v>1</v>
      </c>
      <c r="I149" s="74">
        <v>8</v>
      </c>
      <c r="J149" s="74">
        <v>24</v>
      </c>
      <c r="K149" s="74">
        <v>16</v>
      </c>
      <c r="L149" s="74">
        <v>300</v>
      </c>
      <c r="M149" s="84"/>
      <c r="N149" s="84"/>
      <c r="O149" s="84"/>
      <c r="P149" s="84"/>
      <c r="Q149" s="111"/>
      <c r="R149" s="74" t="s">
        <v>1693</v>
      </c>
      <c r="S149" s="111" t="s">
        <v>1529</v>
      </c>
      <c r="T149" s="149"/>
      <c r="U149" s="117" t="s">
        <v>1696</v>
      </c>
    </row>
    <row r="150" spans="1:22" x14ac:dyDescent="0.2">
      <c r="A150" s="73">
        <v>149</v>
      </c>
      <c r="B150" s="143" t="s">
        <v>1082</v>
      </c>
      <c r="C150" s="9" t="s">
        <v>188</v>
      </c>
      <c r="D150" s="16" t="s">
        <v>76</v>
      </c>
      <c r="E150" s="9" t="s">
        <v>44</v>
      </c>
      <c r="F150" s="16">
        <v>490249</v>
      </c>
      <c r="G150" s="74" t="s">
        <v>816</v>
      </c>
      <c r="H150" s="74">
        <v>2</v>
      </c>
      <c r="I150" s="74">
        <v>32</v>
      </c>
      <c r="J150" s="74">
        <f>I150*3</f>
        <v>96</v>
      </c>
      <c r="K150" s="74">
        <v>46</v>
      </c>
      <c r="L150" s="74">
        <v>1040</v>
      </c>
      <c r="M150" s="84"/>
      <c r="N150" s="84"/>
      <c r="O150" s="84"/>
      <c r="P150" s="84"/>
      <c r="Q150" s="111"/>
      <c r="R150" s="74" t="s">
        <v>1497</v>
      </c>
      <c r="S150" s="111" t="s">
        <v>1509</v>
      </c>
      <c r="T150" s="150" t="s">
        <v>1499</v>
      </c>
      <c r="U150" s="117" t="s">
        <v>1696</v>
      </c>
    </row>
    <row r="151" spans="1:22" x14ac:dyDescent="0.2">
      <c r="A151" s="74">
        <v>150</v>
      </c>
      <c r="B151" s="74" t="s">
        <v>1084</v>
      </c>
      <c r="C151" s="74" t="str">
        <f>VLOOKUP(B151,'Cấp phát TN'!C1:G1048575,2,FALSE)</f>
        <v>DAC</v>
      </c>
      <c r="D151" s="105" t="str">
        <f>VLOOKUP(B151,'Cấp phát TN'!C1:G1048575,3,FALSE)</f>
        <v>anhvt105</v>
      </c>
      <c r="E151" s="106" t="str">
        <f>VLOOKUP(B151,'Cấp phát TN'!C1:G1048575,4,FALSE)</f>
        <v>thongnv31</v>
      </c>
      <c r="F151" s="77">
        <f>VLOOKUP(B151,'Cấp phát TN'!C1:G1048575,5,FALSE)</f>
        <v>0</v>
      </c>
      <c r="G151" s="74" t="s">
        <v>816</v>
      </c>
      <c r="H151" s="74">
        <v>30</v>
      </c>
      <c r="I151" s="74">
        <v>1830</v>
      </c>
      <c r="J151" s="74">
        <v>5490</v>
      </c>
      <c r="K151" s="74">
        <v>3840</v>
      </c>
      <c r="L151" s="74"/>
      <c r="M151" s="84"/>
      <c r="N151" s="84"/>
      <c r="O151" s="84">
        <v>528600</v>
      </c>
      <c r="P151" s="84"/>
      <c r="Q151" s="111"/>
      <c r="R151" s="74" t="s">
        <v>1693</v>
      </c>
      <c r="S151" s="111" t="s">
        <v>1700</v>
      </c>
      <c r="T151" s="149"/>
    </row>
    <row r="152" spans="1:22" ht="25.5" x14ac:dyDescent="0.2">
      <c r="A152" s="73">
        <v>151</v>
      </c>
      <c r="B152" s="128" t="s">
        <v>1092</v>
      </c>
      <c r="C152" s="74" t="str">
        <f>VLOOKUP(B152,'Cấp phát TN'!C1:G1048575,2,FALSE)</f>
        <v>VAS</v>
      </c>
      <c r="D152" s="105" t="str">
        <f>VLOOKUP(B152,'Cấp phát TN'!C1:G1048575,3,FALSE)</f>
        <v>ndtho</v>
      </c>
      <c r="E152" s="106" t="str">
        <f>VLOOKUP(B152,'Cấp phát TN'!C1:G1048575,4,FALSE)</f>
        <v>thongnv31</v>
      </c>
      <c r="F152" s="77" t="str">
        <f>VLOOKUP(B152,'Cấp phát TN'!C1:G1048575,5,FALSE)</f>
        <v>SR_VN_20240504_1078614</v>
      </c>
      <c r="G152" s="74" t="s">
        <v>816</v>
      </c>
      <c r="H152" s="74">
        <v>3</v>
      </c>
      <c r="I152" s="74"/>
      <c r="J152" s="74"/>
      <c r="K152" s="74"/>
      <c r="L152" s="74">
        <v>450</v>
      </c>
      <c r="M152" s="84"/>
      <c r="N152" s="84"/>
      <c r="O152" s="84"/>
      <c r="P152" s="84"/>
      <c r="Q152" s="111"/>
      <c r="R152" s="74"/>
      <c r="S152" s="111"/>
      <c r="T152" s="149" t="s">
        <v>1715</v>
      </c>
    </row>
    <row r="153" spans="1:22" x14ac:dyDescent="0.2">
      <c r="A153" s="74">
        <v>152</v>
      </c>
      <c r="B153" s="143" t="s">
        <v>1097</v>
      </c>
      <c r="C153" s="74" t="str">
        <f>VLOOKUP(B153,'Cấp phát TN'!C2:G1048575,2,FALSE)</f>
        <v>VAS</v>
      </c>
      <c r="D153" s="105" t="str">
        <f>VLOOKUP(B153,'Cấp phát TN'!C2:G1048575,3,FALSE)</f>
        <v>ndtho</v>
      </c>
      <c r="E153" s="106" t="str">
        <f>VLOOKUP(B153,'Cấp phát TN'!C2:G1048575,4,FALSE)</f>
        <v>thongnv31</v>
      </c>
      <c r="F153" s="77">
        <f>VLOOKUP(B153,'Cấp phát TN'!C2:G1048575,5,FALSE)</f>
        <v>491035</v>
      </c>
      <c r="G153" s="74" t="s">
        <v>816</v>
      </c>
      <c r="H153" s="74">
        <v>3</v>
      </c>
      <c r="I153" s="74">
        <v>30</v>
      </c>
      <c r="J153" s="74">
        <v>90</v>
      </c>
      <c r="K153" s="74">
        <v>30</v>
      </c>
      <c r="L153" s="74">
        <v>390</v>
      </c>
      <c r="M153" s="84"/>
      <c r="N153" s="84"/>
      <c r="O153" s="84"/>
      <c r="P153" s="84"/>
      <c r="Q153" s="111"/>
      <c r="R153" s="74" t="s">
        <v>1497</v>
      </c>
      <c r="S153" s="111" t="s">
        <v>1509</v>
      </c>
      <c r="T153" s="149"/>
    </row>
    <row r="154" spans="1:22" s="132" customFormat="1" ht="51" x14ac:dyDescent="0.2">
      <c r="A154" s="73">
        <v>153</v>
      </c>
      <c r="B154" s="143" t="s">
        <v>1100</v>
      </c>
      <c r="C154" s="74" t="str">
        <f>VLOOKUP(B154,'Cấp phát TN'!C3:G1048575,2,FALSE)</f>
        <v>GPCNTT</v>
      </c>
      <c r="D154" s="105" t="str">
        <f>VLOOKUP(B154,'Cấp phát TN'!C3:G1048575,3,FALSE)</f>
        <v>thiendv1</v>
      </c>
      <c r="E154" s="106" t="str">
        <f>VLOOKUP(B154,'Cấp phát TN'!C3:G1048575,4,FALSE)</f>
        <v>khanhnd23</v>
      </c>
      <c r="F154" s="77" t="s">
        <v>1716</v>
      </c>
      <c r="G154" s="74" t="s">
        <v>816</v>
      </c>
      <c r="H154" s="74">
        <v>33</v>
      </c>
      <c r="I154" s="74">
        <v>954</v>
      </c>
      <c r="J154" s="74">
        <f>I154*3</f>
        <v>2862</v>
      </c>
      <c r="K154" s="74">
        <v>1394</v>
      </c>
      <c r="L154" s="74">
        <v>116170</v>
      </c>
      <c r="R154" s="132" t="s">
        <v>1497</v>
      </c>
      <c r="S154" s="74" t="s">
        <v>1509</v>
      </c>
      <c r="T154" s="133" t="s">
        <v>1717</v>
      </c>
    </row>
    <row r="155" spans="1:22" s="132" customFormat="1" x14ac:dyDescent="0.2">
      <c r="A155" s="74">
        <v>154</v>
      </c>
      <c r="B155" s="16" t="s">
        <v>1089</v>
      </c>
      <c r="C155" s="9" t="s">
        <v>203</v>
      </c>
      <c r="D155" s="16" t="s">
        <v>1090</v>
      </c>
      <c r="E155" s="9" t="s">
        <v>44</v>
      </c>
      <c r="F155" s="16">
        <v>502531</v>
      </c>
      <c r="G155" s="74" t="s">
        <v>816</v>
      </c>
      <c r="H155" s="74">
        <v>7</v>
      </c>
      <c r="I155" s="74">
        <v>98</v>
      </c>
      <c r="J155" s="74">
        <v>294</v>
      </c>
      <c r="K155" s="74">
        <v>441</v>
      </c>
      <c r="L155" s="74">
        <v>3010</v>
      </c>
      <c r="R155" s="74" t="s">
        <v>1693</v>
      </c>
      <c r="S155" s="111" t="s">
        <v>1529</v>
      </c>
      <c r="U155" s="117" t="s">
        <v>1696</v>
      </c>
    </row>
    <row r="156" spans="1:22" s="132" customFormat="1" x14ac:dyDescent="0.2">
      <c r="A156" s="73">
        <v>155</v>
      </c>
      <c r="B156" s="16" t="s">
        <v>1107</v>
      </c>
      <c r="C156" s="9" t="s">
        <v>188</v>
      </c>
      <c r="D156" s="16" t="s">
        <v>1108</v>
      </c>
      <c r="E156" s="9" t="s">
        <v>44</v>
      </c>
      <c r="F156" s="9">
        <v>534599</v>
      </c>
      <c r="G156" s="74" t="s">
        <v>816</v>
      </c>
      <c r="H156" s="74">
        <v>6</v>
      </c>
      <c r="I156" s="74">
        <v>84</v>
      </c>
      <c r="J156" s="74">
        <v>252</v>
      </c>
      <c r="K156" s="74">
        <v>378</v>
      </c>
      <c r="L156" s="74">
        <v>15000</v>
      </c>
      <c r="R156" s="132" t="s">
        <v>1693</v>
      </c>
      <c r="S156" s="74" t="s">
        <v>1529</v>
      </c>
      <c r="T156" s="132" t="s">
        <v>1718</v>
      </c>
      <c r="U156" s="132" t="s">
        <v>1696</v>
      </c>
    </row>
    <row r="157" spans="1:22" x14ac:dyDescent="0.2">
      <c r="A157" s="74">
        <v>156</v>
      </c>
      <c r="B157" s="16" t="s">
        <v>1110</v>
      </c>
      <c r="C157" s="9" t="s">
        <v>188</v>
      </c>
      <c r="D157" s="16" t="s">
        <v>1108</v>
      </c>
      <c r="E157" s="9" t="s">
        <v>44</v>
      </c>
      <c r="F157" s="9">
        <v>536944</v>
      </c>
      <c r="G157" s="74" t="s">
        <v>816</v>
      </c>
      <c r="H157" s="74">
        <v>5</v>
      </c>
      <c r="I157" s="74">
        <v>40</v>
      </c>
      <c r="J157" s="74">
        <v>120</v>
      </c>
      <c r="K157" s="74">
        <v>300</v>
      </c>
      <c r="L157" s="74">
        <v>15000</v>
      </c>
      <c r="R157" s="132" t="s">
        <v>1693</v>
      </c>
      <c r="S157" s="74" t="s">
        <v>1529</v>
      </c>
      <c r="T157" s="151" t="s">
        <v>375</v>
      </c>
      <c r="U157" s="132" t="s">
        <v>1696</v>
      </c>
    </row>
    <row r="158" spans="1:22" ht="25.5" x14ac:dyDescent="0.2">
      <c r="A158" s="73">
        <v>157</v>
      </c>
      <c r="B158" s="73" t="s">
        <v>1112</v>
      </c>
      <c r="C158" s="74" t="str">
        <f>VLOOKUP(B158,'Cấp phát TN'!C2:G1048575,2,FALSE)</f>
        <v>DAC</v>
      </c>
      <c r="D158" s="105" t="str">
        <f>VLOOKUP(B158,'Cấp phát TN'!C1:G1048575,3,FALSE)</f>
        <v>longhv15</v>
      </c>
      <c r="E158" s="106" t="str">
        <f>VLOOKUP(B158,'Cấp phát TN'!C2:G1048575,4,FALSE)</f>
        <v>thongnv31</v>
      </c>
      <c r="F158" s="151" t="str">
        <f>VLOOKUP(B158,'Cấp phát TN'!C1:G1048575,5,FALSE)</f>
        <v>SR_VN_20240531_1104153</v>
      </c>
      <c r="G158" s="74" t="s">
        <v>816</v>
      </c>
      <c r="H158" s="111">
        <v>15</v>
      </c>
      <c r="I158" s="111">
        <v>326</v>
      </c>
      <c r="J158" s="111">
        <v>978</v>
      </c>
      <c r="K158" s="111">
        <v>822</v>
      </c>
      <c r="L158" s="111">
        <v>23700</v>
      </c>
      <c r="M158" s="111">
        <v>5200</v>
      </c>
      <c r="N158" s="111"/>
      <c r="O158" s="111"/>
      <c r="P158" s="111"/>
      <c r="Q158" s="111"/>
      <c r="R158" s="132" t="s">
        <v>1719</v>
      </c>
      <c r="S158" s="111" t="s">
        <v>1720</v>
      </c>
      <c r="T158" s="149"/>
    </row>
    <row r="159" spans="1:22" x14ac:dyDescent="0.2">
      <c r="A159" s="74">
        <v>158</v>
      </c>
      <c r="B159" s="144" t="s">
        <v>1117</v>
      </c>
      <c r="C159" s="9" t="s">
        <v>203</v>
      </c>
      <c r="D159" s="16" t="s">
        <v>1090</v>
      </c>
      <c r="E159" s="9" t="s">
        <v>44</v>
      </c>
      <c r="F159" s="9" t="s">
        <v>1118</v>
      </c>
      <c r="G159" s="74" t="s">
        <v>816</v>
      </c>
      <c r="H159" s="111"/>
      <c r="I159" s="111"/>
      <c r="J159" s="111"/>
      <c r="K159" s="111"/>
      <c r="M159" s="111">
        <v>973</v>
      </c>
      <c r="N159" s="111"/>
      <c r="O159" s="111"/>
      <c r="P159" s="111"/>
      <c r="Q159" s="111"/>
      <c r="R159" s="132" t="s">
        <v>1693</v>
      </c>
      <c r="S159" s="74" t="s">
        <v>1529</v>
      </c>
      <c r="T159" s="81" t="s">
        <v>1721</v>
      </c>
      <c r="U159" s="132" t="s">
        <v>1696</v>
      </c>
    </row>
    <row r="160" spans="1:22" ht="25.5" x14ac:dyDescent="0.2">
      <c r="A160" s="73">
        <v>159</v>
      </c>
      <c r="B160" s="143" t="s">
        <v>1120</v>
      </c>
      <c r="C160" s="9" t="s">
        <v>188</v>
      </c>
      <c r="D160" s="16" t="s">
        <v>152</v>
      </c>
      <c r="E160" s="9" t="s">
        <v>44</v>
      </c>
      <c r="F160" s="152">
        <v>518686</v>
      </c>
      <c r="G160" s="74" t="s">
        <v>816</v>
      </c>
      <c r="H160" s="74">
        <v>13</v>
      </c>
      <c r="I160" s="74">
        <v>216</v>
      </c>
      <c r="J160" s="74">
        <v>648</v>
      </c>
      <c r="K160" s="74">
        <v>722</v>
      </c>
      <c r="L160" s="74">
        <v>14060</v>
      </c>
      <c r="M160" s="84"/>
      <c r="N160" s="84"/>
      <c r="O160" s="84"/>
      <c r="P160" s="84"/>
      <c r="Q160" s="111"/>
      <c r="R160" s="74" t="s">
        <v>1497</v>
      </c>
      <c r="S160" s="74" t="s">
        <v>1509</v>
      </c>
      <c r="T160" s="149" t="s">
        <v>1722</v>
      </c>
      <c r="U160" s="132" t="s">
        <v>1696</v>
      </c>
      <c r="V160" s="153"/>
    </row>
    <row r="161" spans="1:16383" ht="38.25" x14ac:dyDescent="0.2">
      <c r="A161" s="74">
        <v>160</v>
      </c>
      <c r="B161" s="20" t="s">
        <v>1147</v>
      </c>
      <c r="C161" s="74" t="str">
        <f>VLOOKUP(B161,'Cấp phát TN'!C2:G1048575,2,FALSE)</f>
        <v>BSS</v>
      </c>
      <c r="D161" s="105" t="str">
        <f>VLOOKUP(B161,'Cấp phát TN'!C1:G1048575,3,FALSE)</f>
        <v>tiendc</v>
      </c>
      <c r="E161" s="106" t="str">
        <f>VLOOKUP(B161,'Cấp phát TN'!C2:G1048575,4,FALSE)</f>
        <v>thongnv31</v>
      </c>
      <c r="F161" s="149" t="str">
        <f>VLOOKUP(B161,'Cấp phát TN'!C1:G1048575,5,FALSE)</f>
        <v>SR_VN_20240627_1129447</v>
      </c>
      <c r="G161" s="74" t="s">
        <v>816</v>
      </c>
      <c r="H161" s="74">
        <v>21</v>
      </c>
      <c r="I161" s="74">
        <v>280</v>
      </c>
      <c r="J161" s="74">
        <v>840</v>
      </c>
      <c r="K161" s="74">
        <v>1323</v>
      </c>
      <c r="L161" s="74">
        <v>2520</v>
      </c>
      <c r="M161" s="84"/>
      <c r="N161" s="84"/>
      <c r="O161" s="84"/>
      <c r="P161" s="84"/>
      <c r="Q161" s="111"/>
      <c r="R161" s="74" t="s">
        <v>1693</v>
      </c>
      <c r="S161" s="111" t="s">
        <v>1529</v>
      </c>
      <c r="T161" s="149" t="s">
        <v>1723</v>
      </c>
      <c r="U161" s="132" t="s">
        <v>1696</v>
      </c>
      <c r="V161" s="153"/>
    </row>
    <row r="162" spans="1:16383" x14ac:dyDescent="0.2">
      <c r="A162" s="73">
        <v>161</v>
      </c>
      <c r="B162" s="16" t="s">
        <v>1126</v>
      </c>
      <c r="C162" s="9" t="s">
        <v>188</v>
      </c>
      <c r="D162" s="16" t="s">
        <v>419</v>
      </c>
      <c r="E162" s="9" t="s">
        <v>44</v>
      </c>
      <c r="F162" s="77" t="s">
        <v>1724</v>
      </c>
      <c r="G162" s="74" t="s">
        <v>816</v>
      </c>
      <c r="H162" s="111">
        <v>3</v>
      </c>
      <c r="I162" s="111"/>
      <c r="J162" s="111"/>
      <c r="K162" s="111">
        <v>48</v>
      </c>
      <c r="L162" s="111">
        <v>420</v>
      </c>
      <c r="M162" s="111"/>
      <c r="N162" s="111"/>
      <c r="O162" s="111"/>
      <c r="P162" s="111"/>
      <c r="Q162" s="111"/>
      <c r="R162" s="74" t="s">
        <v>1693</v>
      </c>
      <c r="S162" s="74" t="s">
        <v>1529</v>
      </c>
      <c r="T162" s="81"/>
      <c r="U162" s="132"/>
      <c r="V162" s="153"/>
    </row>
    <row r="163" spans="1:16383" x14ac:dyDescent="0.2">
      <c r="A163" s="74">
        <v>162</v>
      </c>
      <c r="B163" s="143" t="s">
        <v>1725</v>
      </c>
      <c r="C163" s="9" t="s">
        <v>203</v>
      </c>
      <c r="D163" s="16" t="s">
        <v>160</v>
      </c>
      <c r="E163" s="9" t="s">
        <v>214</v>
      </c>
      <c r="F163" s="149" t="s">
        <v>1130</v>
      </c>
      <c r="G163" s="74" t="s">
        <v>816</v>
      </c>
      <c r="H163" s="73">
        <v>-51</v>
      </c>
      <c r="I163" s="73">
        <v>-744</v>
      </c>
      <c r="J163" s="73">
        <f>I163*3</f>
        <v>-2232</v>
      </c>
      <c r="K163" s="73">
        <v>-1936</v>
      </c>
      <c r="L163" s="73">
        <v>-30240</v>
      </c>
      <c r="M163" s="74"/>
      <c r="N163" s="74"/>
      <c r="O163" s="74"/>
      <c r="P163" s="74"/>
      <c r="Q163" s="74"/>
      <c r="R163" s="74" t="s">
        <v>1497</v>
      </c>
      <c r="S163" s="74" t="s">
        <v>1498</v>
      </c>
      <c r="T163" s="74" t="s">
        <v>1726</v>
      </c>
      <c r="U163" s="132" t="s">
        <v>1696</v>
      </c>
      <c r="V163" s="129"/>
      <c r="W163" s="125"/>
      <c r="X163" s="125"/>
      <c r="Y163" s="125"/>
      <c r="Z163" s="125"/>
      <c r="AA163" s="125"/>
      <c r="AB163" s="125"/>
      <c r="AC163" s="125"/>
      <c r="AD163" s="125"/>
      <c r="AE163" s="125"/>
      <c r="AF163" s="125"/>
      <c r="AG163" s="125"/>
      <c r="AH163" s="125"/>
      <c r="AI163" s="125"/>
      <c r="AJ163" s="125"/>
      <c r="AK163" s="125"/>
      <c r="AL163" s="125"/>
      <c r="AM163" s="125"/>
      <c r="AN163" s="125"/>
      <c r="AO163" s="125"/>
      <c r="AP163" s="125"/>
      <c r="AQ163" s="125"/>
      <c r="AR163" s="125"/>
      <c r="AS163" s="125"/>
      <c r="AT163" s="125"/>
      <c r="AU163" s="125"/>
      <c r="AV163" s="125"/>
      <c r="AW163" s="125"/>
      <c r="AX163" s="125"/>
      <c r="AY163" s="125"/>
      <c r="AZ163" s="125"/>
      <c r="BA163" s="125"/>
      <c r="BB163" s="125"/>
      <c r="BC163" s="125"/>
      <c r="BD163" s="125"/>
      <c r="BE163" s="125"/>
      <c r="BF163" s="125"/>
      <c r="BG163" s="125"/>
      <c r="BH163" s="125"/>
      <c r="BI163" s="125"/>
      <c r="BJ163" s="125"/>
      <c r="BK163" s="125"/>
      <c r="BL163" s="125"/>
      <c r="BM163" s="125"/>
      <c r="BN163" s="125"/>
      <c r="BO163" s="125"/>
      <c r="BP163" s="125"/>
      <c r="BQ163" s="125"/>
      <c r="BR163" s="125"/>
      <c r="BS163" s="125"/>
      <c r="BT163" s="125"/>
      <c r="BU163" s="125"/>
      <c r="BV163" s="125"/>
      <c r="BW163" s="125"/>
      <c r="BX163" s="125"/>
      <c r="BY163" s="125"/>
      <c r="BZ163" s="125"/>
      <c r="CA163" s="125"/>
      <c r="CB163" s="125"/>
      <c r="CC163" s="125"/>
      <c r="CD163" s="125"/>
      <c r="CE163" s="125"/>
      <c r="CF163" s="125"/>
      <c r="CG163" s="125"/>
      <c r="CH163" s="125"/>
      <c r="CI163" s="125"/>
      <c r="CJ163" s="125"/>
      <c r="CK163" s="125"/>
      <c r="CL163" s="125"/>
      <c r="CM163" s="125"/>
      <c r="CN163" s="125"/>
      <c r="CO163" s="125"/>
      <c r="CP163" s="125"/>
      <c r="CQ163" s="125"/>
      <c r="CR163" s="125"/>
      <c r="CS163" s="125"/>
      <c r="CT163" s="125"/>
      <c r="CU163" s="125"/>
      <c r="CV163" s="125"/>
      <c r="CW163" s="125"/>
      <c r="CX163" s="125"/>
      <c r="CY163" s="125"/>
      <c r="CZ163" s="125"/>
      <c r="DA163" s="125"/>
      <c r="DB163" s="125"/>
      <c r="DC163" s="125"/>
      <c r="DD163" s="125"/>
      <c r="DE163" s="125"/>
      <c r="DF163" s="125"/>
      <c r="DG163" s="125"/>
      <c r="DH163" s="125"/>
      <c r="DI163" s="125"/>
      <c r="DJ163" s="125"/>
      <c r="DK163" s="125"/>
      <c r="DL163" s="125"/>
      <c r="DM163" s="125"/>
      <c r="DN163" s="125"/>
      <c r="DO163" s="125"/>
      <c r="DP163" s="125"/>
      <c r="DQ163" s="125"/>
      <c r="DR163" s="125"/>
      <c r="DS163" s="125"/>
      <c r="DT163" s="125"/>
      <c r="DU163" s="125"/>
      <c r="DV163" s="125"/>
      <c r="DW163" s="125"/>
      <c r="DX163" s="125"/>
      <c r="DY163" s="125"/>
      <c r="DZ163" s="125"/>
      <c r="EA163" s="125"/>
      <c r="EB163" s="125"/>
      <c r="EC163" s="125"/>
      <c r="ED163" s="125"/>
      <c r="EE163" s="125"/>
      <c r="EF163" s="125"/>
      <c r="EG163" s="125"/>
      <c r="EH163" s="125"/>
      <c r="EI163" s="125"/>
      <c r="EJ163" s="125"/>
      <c r="EK163" s="125"/>
      <c r="EL163" s="125"/>
      <c r="EM163" s="125"/>
      <c r="EN163" s="125"/>
      <c r="EO163" s="125"/>
      <c r="EP163" s="125"/>
      <c r="EQ163" s="125"/>
      <c r="ER163" s="125"/>
      <c r="ES163" s="125"/>
      <c r="ET163" s="125"/>
      <c r="EU163" s="125"/>
      <c r="EV163" s="125"/>
      <c r="EW163" s="125"/>
      <c r="EX163" s="125"/>
      <c r="EY163" s="125"/>
      <c r="EZ163" s="125"/>
      <c r="FA163" s="125"/>
      <c r="FB163" s="125"/>
      <c r="FC163" s="125"/>
      <c r="FD163" s="125"/>
      <c r="FE163" s="125"/>
      <c r="FF163" s="125"/>
      <c r="FG163" s="125"/>
      <c r="FH163" s="125"/>
      <c r="FI163" s="125"/>
      <c r="FJ163" s="125"/>
      <c r="FK163" s="125"/>
      <c r="FL163" s="125"/>
      <c r="FM163" s="125"/>
      <c r="FN163" s="125"/>
      <c r="FO163" s="125"/>
      <c r="FP163" s="125"/>
      <c r="FQ163" s="125"/>
      <c r="FR163" s="125"/>
      <c r="FS163" s="125"/>
      <c r="FT163" s="125"/>
      <c r="FU163" s="125"/>
      <c r="FV163" s="125"/>
      <c r="FW163" s="125"/>
      <c r="FX163" s="125"/>
      <c r="FY163" s="125"/>
      <c r="FZ163" s="125"/>
      <c r="GA163" s="125"/>
      <c r="GB163" s="125"/>
      <c r="GC163" s="125"/>
      <c r="GD163" s="125"/>
      <c r="GE163" s="125"/>
      <c r="GF163" s="125"/>
      <c r="GG163" s="125"/>
      <c r="GH163" s="125"/>
      <c r="GI163" s="125"/>
      <c r="GJ163" s="125"/>
      <c r="GK163" s="125"/>
      <c r="GL163" s="125"/>
      <c r="GM163" s="125"/>
      <c r="GN163" s="125"/>
      <c r="GO163" s="125"/>
      <c r="GP163" s="125"/>
      <c r="GQ163" s="125"/>
      <c r="GR163" s="125"/>
      <c r="GS163" s="125"/>
      <c r="GT163" s="125"/>
      <c r="GU163" s="125"/>
      <c r="GV163" s="125"/>
      <c r="GW163" s="125"/>
      <c r="GX163" s="125"/>
      <c r="GY163" s="125"/>
      <c r="GZ163" s="125"/>
      <c r="HA163" s="125"/>
      <c r="HB163" s="125"/>
      <c r="HC163" s="125"/>
      <c r="HD163" s="125"/>
      <c r="HE163" s="125"/>
      <c r="HF163" s="125"/>
      <c r="HG163" s="125"/>
      <c r="HH163" s="125"/>
      <c r="HI163" s="125"/>
      <c r="HJ163" s="125"/>
      <c r="HK163" s="125"/>
      <c r="HL163" s="125"/>
      <c r="HM163" s="125"/>
      <c r="HN163" s="125"/>
      <c r="HO163" s="125"/>
      <c r="HP163" s="125"/>
      <c r="HQ163" s="125"/>
      <c r="HR163" s="125"/>
      <c r="HS163" s="125"/>
      <c r="HT163" s="125"/>
      <c r="HU163" s="125"/>
      <c r="HV163" s="125"/>
      <c r="HW163" s="125"/>
      <c r="HX163" s="125"/>
      <c r="HY163" s="125"/>
      <c r="HZ163" s="125"/>
      <c r="IA163" s="125"/>
      <c r="IB163" s="125"/>
      <c r="IC163" s="125"/>
      <c r="ID163" s="125"/>
      <c r="IE163" s="125"/>
      <c r="IF163" s="125"/>
      <c r="IG163" s="125"/>
      <c r="IH163" s="125"/>
      <c r="II163" s="125"/>
      <c r="IJ163" s="125"/>
      <c r="IK163" s="125"/>
      <c r="IL163" s="125"/>
      <c r="IM163" s="125"/>
      <c r="IN163" s="125"/>
      <c r="IO163" s="125"/>
      <c r="IP163" s="125"/>
      <c r="IQ163" s="125"/>
      <c r="IR163" s="125"/>
      <c r="IS163" s="125"/>
      <c r="IT163" s="125"/>
      <c r="IU163" s="125"/>
      <c r="IV163" s="125"/>
      <c r="IW163" s="125"/>
      <c r="IX163" s="125"/>
      <c r="IY163" s="125"/>
      <c r="IZ163" s="125"/>
      <c r="JA163" s="125"/>
      <c r="JB163" s="125"/>
      <c r="JC163" s="125"/>
      <c r="JD163" s="125"/>
      <c r="JE163" s="125"/>
      <c r="JF163" s="125"/>
      <c r="JG163" s="125"/>
      <c r="JH163" s="125"/>
      <c r="JI163" s="125"/>
      <c r="JJ163" s="125"/>
      <c r="JK163" s="125"/>
      <c r="JL163" s="125"/>
      <c r="JM163" s="125"/>
      <c r="JN163" s="125"/>
      <c r="JO163" s="125"/>
      <c r="JP163" s="125"/>
      <c r="JQ163" s="125"/>
      <c r="JR163" s="125"/>
      <c r="JS163" s="125"/>
      <c r="JT163" s="125"/>
      <c r="JU163" s="125"/>
      <c r="JV163" s="125"/>
      <c r="JW163" s="125"/>
      <c r="JX163" s="125"/>
      <c r="JY163" s="125"/>
      <c r="JZ163" s="125"/>
      <c r="KA163" s="125"/>
      <c r="KB163" s="125"/>
      <c r="KC163" s="125"/>
      <c r="KD163" s="125"/>
      <c r="KE163" s="125"/>
      <c r="KF163" s="125"/>
      <c r="KG163" s="125"/>
      <c r="KH163" s="125"/>
      <c r="KI163" s="125"/>
      <c r="KJ163" s="125"/>
      <c r="KK163" s="125"/>
      <c r="KL163" s="125"/>
      <c r="KM163" s="125"/>
      <c r="KN163" s="125"/>
      <c r="KO163" s="125"/>
      <c r="KP163" s="125"/>
      <c r="KQ163" s="125"/>
      <c r="KR163" s="125"/>
      <c r="KS163" s="125"/>
      <c r="KT163" s="125"/>
      <c r="KU163" s="125"/>
      <c r="KV163" s="125"/>
      <c r="KW163" s="125"/>
      <c r="KX163" s="125"/>
      <c r="KY163" s="125"/>
      <c r="KZ163" s="125"/>
      <c r="LA163" s="125"/>
      <c r="LB163" s="125"/>
      <c r="LC163" s="125"/>
      <c r="LD163" s="125"/>
      <c r="LE163" s="125"/>
      <c r="LF163" s="125"/>
      <c r="LG163" s="125"/>
      <c r="LH163" s="125"/>
      <c r="LI163" s="125"/>
      <c r="LJ163" s="125"/>
      <c r="LK163" s="125"/>
      <c r="LL163" s="125"/>
      <c r="LM163" s="125"/>
      <c r="LN163" s="125"/>
      <c r="LO163" s="125"/>
      <c r="LP163" s="125"/>
      <c r="LQ163" s="125"/>
      <c r="LR163" s="125"/>
      <c r="LS163" s="125"/>
      <c r="LT163" s="125"/>
      <c r="LU163" s="125"/>
      <c r="LV163" s="125"/>
      <c r="LW163" s="125"/>
      <c r="LX163" s="125"/>
      <c r="LY163" s="125"/>
      <c r="LZ163" s="125"/>
      <c r="MA163" s="125"/>
      <c r="MB163" s="125"/>
      <c r="MC163" s="125"/>
      <c r="MD163" s="125"/>
      <c r="ME163" s="125"/>
      <c r="MF163" s="125"/>
      <c r="MG163" s="125"/>
      <c r="MH163" s="125"/>
      <c r="MI163" s="125"/>
      <c r="MJ163" s="125"/>
      <c r="MK163" s="125"/>
      <c r="ML163" s="125"/>
      <c r="MM163" s="125"/>
      <c r="MN163" s="125"/>
      <c r="MO163" s="125"/>
      <c r="MP163" s="125"/>
      <c r="MQ163" s="125"/>
      <c r="MR163" s="125"/>
      <c r="MS163" s="125"/>
      <c r="MT163" s="125"/>
      <c r="MU163" s="125"/>
      <c r="MV163" s="125"/>
      <c r="MW163" s="125"/>
      <c r="MX163" s="125"/>
      <c r="MY163" s="125"/>
      <c r="MZ163" s="125"/>
      <c r="NA163" s="125"/>
      <c r="NB163" s="125"/>
      <c r="NC163" s="125"/>
      <c r="ND163" s="125"/>
      <c r="NE163" s="125"/>
      <c r="NF163" s="125"/>
      <c r="NG163" s="125"/>
      <c r="NH163" s="125"/>
      <c r="NI163" s="125"/>
      <c r="NJ163" s="125"/>
      <c r="NK163" s="125"/>
      <c r="NL163" s="125"/>
      <c r="NM163" s="125"/>
      <c r="NN163" s="125"/>
      <c r="NO163" s="125"/>
      <c r="NP163" s="125"/>
      <c r="NQ163" s="125"/>
      <c r="NR163" s="125"/>
      <c r="NS163" s="125"/>
      <c r="NT163" s="125"/>
      <c r="NU163" s="125"/>
      <c r="NV163" s="125"/>
      <c r="NW163" s="125"/>
      <c r="NX163" s="125"/>
      <c r="NY163" s="125"/>
      <c r="NZ163" s="125"/>
      <c r="OA163" s="125"/>
      <c r="OB163" s="125"/>
      <c r="OC163" s="125"/>
      <c r="OD163" s="125"/>
      <c r="OE163" s="125"/>
      <c r="OF163" s="125"/>
      <c r="OG163" s="125"/>
      <c r="OH163" s="125"/>
      <c r="OI163" s="125"/>
      <c r="OJ163" s="125"/>
      <c r="OK163" s="125"/>
      <c r="OL163" s="125"/>
      <c r="OM163" s="125"/>
      <c r="ON163" s="125"/>
      <c r="OO163" s="125"/>
      <c r="OP163" s="125"/>
      <c r="OQ163" s="125"/>
      <c r="OR163" s="125"/>
      <c r="OS163" s="125"/>
      <c r="OT163" s="125"/>
      <c r="OU163" s="125"/>
      <c r="OV163" s="125"/>
      <c r="OW163" s="125"/>
      <c r="OX163" s="125"/>
      <c r="OY163" s="125"/>
      <c r="OZ163" s="125"/>
      <c r="PA163" s="125"/>
      <c r="PB163" s="125"/>
      <c r="PC163" s="125"/>
      <c r="PD163" s="125"/>
      <c r="PE163" s="125"/>
      <c r="PF163" s="125"/>
      <c r="PG163" s="125"/>
      <c r="PH163" s="125"/>
      <c r="PI163" s="125"/>
      <c r="PJ163" s="125"/>
      <c r="PK163" s="125"/>
      <c r="PL163" s="125"/>
      <c r="PM163" s="125"/>
      <c r="PN163" s="125"/>
      <c r="PO163" s="125"/>
      <c r="PP163" s="125"/>
      <c r="PQ163" s="125"/>
      <c r="PR163" s="125"/>
      <c r="PS163" s="125"/>
      <c r="PT163" s="125"/>
      <c r="PU163" s="125"/>
      <c r="PV163" s="125"/>
      <c r="PW163" s="125"/>
      <c r="PX163" s="125"/>
      <c r="PY163" s="125"/>
      <c r="PZ163" s="125"/>
      <c r="QA163" s="125"/>
      <c r="QB163" s="125"/>
      <c r="QC163" s="125"/>
      <c r="QD163" s="125"/>
      <c r="QE163" s="125"/>
      <c r="QF163" s="125"/>
      <c r="QG163" s="125"/>
      <c r="QH163" s="125"/>
      <c r="QI163" s="125"/>
      <c r="QJ163" s="125"/>
      <c r="QK163" s="125"/>
      <c r="QL163" s="125"/>
      <c r="QM163" s="125"/>
      <c r="QN163" s="125"/>
      <c r="QO163" s="125"/>
      <c r="QP163" s="125"/>
      <c r="QQ163" s="125"/>
      <c r="QR163" s="125"/>
      <c r="QS163" s="125"/>
      <c r="QT163" s="125"/>
      <c r="QU163" s="125"/>
      <c r="QV163" s="125"/>
      <c r="QW163" s="125"/>
      <c r="QX163" s="125"/>
      <c r="QY163" s="125"/>
      <c r="QZ163" s="125"/>
      <c r="RA163" s="125"/>
      <c r="RB163" s="125"/>
      <c r="RC163" s="125"/>
      <c r="RD163" s="125"/>
      <c r="RE163" s="125"/>
      <c r="RF163" s="125"/>
      <c r="RG163" s="125"/>
      <c r="RH163" s="125"/>
      <c r="RI163" s="125"/>
      <c r="RJ163" s="125"/>
      <c r="RK163" s="125"/>
      <c r="RL163" s="125"/>
      <c r="RM163" s="125"/>
      <c r="RN163" s="125"/>
      <c r="RO163" s="125"/>
      <c r="RP163" s="125"/>
      <c r="RQ163" s="125"/>
      <c r="RR163" s="125"/>
      <c r="RS163" s="125"/>
      <c r="RT163" s="125"/>
      <c r="RU163" s="125"/>
      <c r="RV163" s="125"/>
      <c r="RW163" s="125"/>
      <c r="RX163" s="125"/>
      <c r="RY163" s="125"/>
      <c r="RZ163" s="125"/>
      <c r="SA163" s="125"/>
      <c r="SB163" s="125"/>
      <c r="SC163" s="125"/>
      <c r="SD163" s="125"/>
      <c r="SE163" s="125"/>
      <c r="SF163" s="125"/>
      <c r="SG163" s="125"/>
      <c r="SH163" s="125"/>
      <c r="SI163" s="125"/>
      <c r="SJ163" s="125"/>
      <c r="SK163" s="125"/>
      <c r="SL163" s="125"/>
      <c r="SM163" s="125"/>
      <c r="SN163" s="125"/>
      <c r="SO163" s="125"/>
      <c r="SP163" s="125"/>
      <c r="SQ163" s="125"/>
      <c r="SR163" s="125"/>
      <c r="SS163" s="125"/>
      <c r="ST163" s="125"/>
      <c r="SU163" s="125"/>
      <c r="SV163" s="125"/>
      <c r="SW163" s="125"/>
      <c r="SX163" s="125"/>
      <c r="SY163" s="125"/>
      <c r="SZ163" s="125"/>
      <c r="TA163" s="125"/>
      <c r="TB163" s="125"/>
      <c r="TC163" s="125"/>
      <c r="TD163" s="125"/>
      <c r="TE163" s="125"/>
      <c r="TF163" s="125"/>
      <c r="TG163" s="125"/>
      <c r="TH163" s="125"/>
      <c r="TI163" s="125"/>
      <c r="TJ163" s="125"/>
      <c r="TK163" s="125"/>
      <c r="TL163" s="125"/>
      <c r="TM163" s="125"/>
      <c r="TN163" s="125"/>
      <c r="TO163" s="125"/>
      <c r="TP163" s="125"/>
      <c r="TQ163" s="125"/>
      <c r="TR163" s="125"/>
      <c r="TS163" s="125"/>
      <c r="TT163" s="125"/>
      <c r="TU163" s="125"/>
      <c r="TV163" s="125"/>
      <c r="TW163" s="125"/>
      <c r="TX163" s="125"/>
      <c r="TY163" s="125"/>
      <c r="TZ163" s="125"/>
      <c r="UA163" s="125"/>
      <c r="UB163" s="125"/>
      <c r="UC163" s="125"/>
      <c r="UD163" s="125"/>
      <c r="UE163" s="125"/>
      <c r="UF163" s="125"/>
      <c r="UG163" s="125"/>
      <c r="UH163" s="125"/>
      <c r="UI163" s="125"/>
      <c r="UJ163" s="125"/>
      <c r="UK163" s="125"/>
      <c r="UL163" s="125"/>
      <c r="UM163" s="125"/>
      <c r="UN163" s="125"/>
      <c r="UO163" s="125"/>
      <c r="UP163" s="125"/>
      <c r="UQ163" s="125"/>
      <c r="UR163" s="125"/>
      <c r="US163" s="125"/>
      <c r="UT163" s="125"/>
      <c r="UU163" s="125"/>
      <c r="UV163" s="125"/>
      <c r="UW163" s="125"/>
      <c r="UX163" s="125"/>
      <c r="UY163" s="125"/>
      <c r="UZ163" s="125"/>
      <c r="VA163" s="125"/>
      <c r="VB163" s="125"/>
      <c r="VC163" s="125"/>
      <c r="VD163" s="125"/>
      <c r="VE163" s="125"/>
      <c r="VF163" s="125"/>
      <c r="VG163" s="125"/>
      <c r="VH163" s="125"/>
      <c r="VI163" s="125"/>
      <c r="VJ163" s="125"/>
      <c r="VK163" s="125"/>
      <c r="VL163" s="125"/>
      <c r="VM163" s="125"/>
      <c r="VN163" s="125"/>
      <c r="VO163" s="125"/>
      <c r="VP163" s="125"/>
      <c r="VQ163" s="125"/>
      <c r="VR163" s="125"/>
      <c r="VS163" s="125"/>
      <c r="VT163" s="125"/>
      <c r="VU163" s="125"/>
      <c r="VV163" s="125"/>
      <c r="VW163" s="125"/>
      <c r="VX163" s="125"/>
      <c r="VY163" s="125"/>
      <c r="VZ163" s="125"/>
      <c r="WA163" s="125"/>
      <c r="WB163" s="125"/>
      <c r="WC163" s="125"/>
      <c r="WD163" s="125"/>
      <c r="WE163" s="125"/>
      <c r="WF163" s="125"/>
      <c r="WG163" s="125"/>
      <c r="WH163" s="125"/>
      <c r="WI163" s="125"/>
      <c r="WJ163" s="125"/>
      <c r="WK163" s="125"/>
      <c r="WL163" s="125"/>
      <c r="WM163" s="125"/>
      <c r="WN163" s="125"/>
      <c r="WO163" s="125"/>
      <c r="WP163" s="125"/>
      <c r="WQ163" s="125"/>
      <c r="WR163" s="125"/>
      <c r="WS163" s="125"/>
      <c r="WT163" s="125"/>
      <c r="WU163" s="125"/>
      <c r="WV163" s="125"/>
      <c r="WW163" s="125"/>
      <c r="WX163" s="125"/>
      <c r="WY163" s="125"/>
      <c r="WZ163" s="125"/>
      <c r="XA163" s="125"/>
      <c r="XB163" s="125"/>
      <c r="XC163" s="125"/>
      <c r="XD163" s="125"/>
      <c r="XE163" s="125"/>
      <c r="XF163" s="125"/>
      <c r="XG163" s="125"/>
      <c r="XH163" s="125"/>
      <c r="XI163" s="125"/>
      <c r="XJ163" s="125"/>
      <c r="XK163" s="125"/>
      <c r="XL163" s="125"/>
      <c r="XM163" s="125"/>
      <c r="XN163" s="125"/>
      <c r="XO163" s="125"/>
      <c r="XP163" s="125"/>
      <c r="XQ163" s="125"/>
      <c r="XR163" s="125"/>
      <c r="XS163" s="125"/>
      <c r="XT163" s="125"/>
      <c r="XU163" s="125"/>
      <c r="XV163" s="125"/>
      <c r="XW163" s="125"/>
      <c r="XX163" s="125"/>
      <c r="XY163" s="125"/>
      <c r="XZ163" s="125"/>
      <c r="YA163" s="125"/>
      <c r="YB163" s="125"/>
      <c r="YC163" s="125"/>
      <c r="YD163" s="125"/>
      <c r="YE163" s="125"/>
      <c r="YF163" s="125"/>
      <c r="YG163" s="125"/>
      <c r="YH163" s="125"/>
      <c r="YI163" s="125"/>
      <c r="YJ163" s="125"/>
      <c r="YK163" s="125"/>
      <c r="YL163" s="125"/>
      <c r="YM163" s="125"/>
      <c r="YN163" s="125"/>
      <c r="YO163" s="125"/>
      <c r="YP163" s="125"/>
      <c r="YQ163" s="125"/>
      <c r="YR163" s="125"/>
      <c r="YS163" s="125"/>
      <c r="YT163" s="125"/>
      <c r="YU163" s="125"/>
      <c r="YV163" s="125"/>
      <c r="YW163" s="125"/>
      <c r="YX163" s="125"/>
      <c r="YY163" s="125"/>
      <c r="YZ163" s="125"/>
      <c r="ZA163" s="125"/>
      <c r="ZB163" s="125"/>
      <c r="ZC163" s="125"/>
      <c r="ZD163" s="125"/>
      <c r="ZE163" s="125"/>
      <c r="ZF163" s="125"/>
      <c r="ZG163" s="125"/>
      <c r="ZH163" s="125"/>
      <c r="ZI163" s="125"/>
      <c r="ZJ163" s="125"/>
      <c r="ZK163" s="125"/>
      <c r="ZL163" s="125"/>
      <c r="ZM163" s="125"/>
      <c r="ZN163" s="125"/>
      <c r="ZO163" s="125"/>
      <c r="ZP163" s="125"/>
      <c r="ZQ163" s="125"/>
      <c r="ZR163" s="125"/>
      <c r="ZS163" s="125"/>
      <c r="ZT163" s="125"/>
      <c r="ZU163" s="125"/>
      <c r="ZV163" s="125"/>
      <c r="ZW163" s="125"/>
      <c r="ZX163" s="125"/>
      <c r="ZY163" s="125"/>
      <c r="ZZ163" s="125"/>
      <c r="AAA163" s="125"/>
      <c r="AAB163" s="125"/>
      <c r="AAC163" s="125"/>
      <c r="AAD163" s="125"/>
      <c r="AAE163" s="125"/>
      <c r="AAF163" s="125"/>
      <c r="AAG163" s="125"/>
      <c r="AAH163" s="125"/>
      <c r="AAI163" s="125"/>
      <c r="AAJ163" s="125"/>
      <c r="AAK163" s="125"/>
      <c r="AAL163" s="125"/>
      <c r="AAM163" s="125"/>
      <c r="AAN163" s="125"/>
      <c r="AAO163" s="125"/>
      <c r="AAP163" s="125"/>
      <c r="AAQ163" s="125"/>
      <c r="AAR163" s="125"/>
      <c r="AAS163" s="125"/>
      <c r="AAT163" s="125"/>
      <c r="AAU163" s="125"/>
      <c r="AAV163" s="125"/>
      <c r="AAW163" s="125"/>
      <c r="AAX163" s="125"/>
      <c r="AAY163" s="125"/>
      <c r="AAZ163" s="125"/>
      <c r="ABA163" s="125"/>
      <c r="ABB163" s="125"/>
      <c r="ABC163" s="125"/>
      <c r="ABD163" s="125"/>
      <c r="ABE163" s="125"/>
      <c r="ABF163" s="125"/>
      <c r="ABG163" s="125"/>
      <c r="ABH163" s="125"/>
      <c r="ABI163" s="125"/>
      <c r="ABJ163" s="125"/>
      <c r="ABK163" s="125"/>
      <c r="ABL163" s="125"/>
      <c r="ABM163" s="125"/>
      <c r="ABN163" s="125"/>
      <c r="ABO163" s="125"/>
      <c r="ABP163" s="125"/>
      <c r="ABQ163" s="125"/>
      <c r="ABR163" s="125"/>
      <c r="ABS163" s="125"/>
      <c r="ABT163" s="125"/>
      <c r="ABU163" s="125"/>
      <c r="ABV163" s="125"/>
      <c r="ABW163" s="125"/>
      <c r="ABX163" s="125"/>
      <c r="ABY163" s="125"/>
      <c r="ABZ163" s="125"/>
      <c r="ACA163" s="125"/>
      <c r="ACB163" s="125"/>
      <c r="ACC163" s="125"/>
      <c r="ACD163" s="125"/>
      <c r="ACE163" s="125"/>
      <c r="ACF163" s="125"/>
      <c r="ACG163" s="125"/>
      <c r="ACH163" s="125"/>
      <c r="ACI163" s="125"/>
      <c r="ACJ163" s="125"/>
      <c r="ACK163" s="125"/>
      <c r="ACL163" s="125"/>
      <c r="ACM163" s="125"/>
      <c r="ACN163" s="125"/>
      <c r="ACO163" s="125"/>
      <c r="ACP163" s="125"/>
      <c r="ACQ163" s="125"/>
      <c r="ACR163" s="125"/>
      <c r="ACS163" s="125"/>
      <c r="ACT163" s="125"/>
      <c r="ACU163" s="125"/>
      <c r="ACV163" s="125"/>
      <c r="ACW163" s="125"/>
      <c r="ACX163" s="125"/>
      <c r="ACY163" s="125"/>
      <c r="ACZ163" s="125"/>
      <c r="ADA163" s="125"/>
      <c r="ADB163" s="125"/>
      <c r="ADC163" s="125"/>
      <c r="ADD163" s="125"/>
      <c r="ADE163" s="125"/>
      <c r="ADF163" s="125"/>
      <c r="ADG163" s="125"/>
      <c r="ADH163" s="125"/>
      <c r="ADI163" s="125"/>
      <c r="ADJ163" s="125"/>
      <c r="ADK163" s="125"/>
      <c r="ADL163" s="125"/>
      <c r="ADM163" s="125"/>
      <c r="ADN163" s="125"/>
      <c r="ADO163" s="125"/>
      <c r="ADP163" s="125"/>
      <c r="ADQ163" s="125"/>
      <c r="ADR163" s="125"/>
      <c r="ADS163" s="125"/>
      <c r="ADT163" s="125"/>
      <c r="ADU163" s="125"/>
      <c r="ADV163" s="125"/>
      <c r="ADW163" s="125"/>
      <c r="ADX163" s="125"/>
      <c r="ADY163" s="125"/>
      <c r="ADZ163" s="125"/>
      <c r="AEA163" s="125"/>
      <c r="AEB163" s="125"/>
      <c r="AEC163" s="125"/>
      <c r="AED163" s="125"/>
      <c r="AEE163" s="125"/>
      <c r="AEF163" s="125"/>
      <c r="AEG163" s="125"/>
      <c r="AEH163" s="125"/>
      <c r="AEI163" s="125"/>
      <c r="AEJ163" s="125"/>
      <c r="AEK163" s="125"/>
      <c r="AEL163" s="125"/>
      <c r="AEM163" s="125"/>
      <c r="AEN163" s="125"/>
      <c r="AEO163" s="125"/>
      <c r="AEP163" s="125"/>
      <c r="AEQ163" s="125"/>
      <c r="AER163" s="125"/>
      <c r="AES163" s="125"/>
      <c r="AET163" s="125"/>
      <c r="AEU163" s="125"/>
      <c r="AEV163" s="125"/>
      <c r="AEW163" s="125"/>
      <c r="AEX163" s="125"/>
      <c r="AEY163" s="125"/>
      <c r="AEZ163" s="125"/>
      <c r="AFA163" s="125"/>
      <c r="AFB163" s="125"/>
      <c r="AFC163" s="125"/>
      <c r="AFD163" s="125"/>
      <c r="AFE163" s="125"/>
      <c r="AFF163" s="125"/>
      <c r="AFG163" s="125"/>
      <c r="AFH163" s="125"/>
      <c r="AFI163" s="125"/>
      <c r="AFJ163" s="125"/>
      <c r="AFK163" s="125"/>
      <c r="AFL163" s="125"/>
      <c r="AFM163" s="125"/>
      <c r="AFN163" s="125"/>
      <c r="AFO163" s="125"/>
      <c r="AFP163" s="125"/>
      <c r="AFQ163" s="125"/>
      <c r="AFR163" s="125"/>
      <c r="AFS163" s="125"/>
      <c r="AFT163" s="125"/>
      <c r="AFU163" s="125"/>
      <c r="AFV163" s="125"/>
      <c r="AFW163" s="125"/>
      <c r="AFX163" s="125"/>
      <c r="AFY163" s="125"/>
      <c r="AFZ163" s="125"/>
      <c r="AGA163" s="125"/>
      <c r="AGB163" s="125"/>
      <c r="AGC163" s="125"/>
      <c r="AGD163" s="125"/>
      <c r="AGE163" s="125"/>
      <c r="AGF163" s="125"/>
      <c r="AGG163" s="125"/>
      <c r="AGH163" s="125"/>
      <c r="AGI163" s="125"/>
      <c r="AGJ163" s="125"/>
      <c r="AGK163" s="125"/>
      <c r="AGL163" s="125"/>
      <c r="AGM163" s="125"/>
      <c r="AGN163" s="125"/>
      <c r="AGO163" s="125"/>
      <c r="AGP163" s="125"/>
      <c r="AGQ163" s="125"/>
      <c r="AGR163" s="125"/>
      <c r="AGS163" s="125"/>
      <c r="AGT163" s="125"/>
      <c r="AGU163" s="125"/>
      <c r="AGV163" s="125"/>
      <c r="AGW163" s="125"/>
      <c r="AGX163" s="125"/>
      <c r="AGY163" s="125"/>
      <c r="AGZ163" s="125"/>
      <c r="AHA163" s="125"/>
      <c r="AHB163" s="125"/>
      <c r="AHC163" s="125"/>
      <c r="AHD163" s="125"/>
      <c r="AHE163" s="125"/>
      <c r="AHF163" s="125"/>
      <c r="AHG163" s="125"/>
      <c r="AHH163" s="125"/>
      <c r="AHI163" s="125"/>
      <c r="AHJ163" s="125"/>
      <c r="AHK163" s="125"/>
      <c r="AHL163" s="125"/>
      <c r="AHM163" s="125"/>
      <c r="AHN163" s="125"/>
      <c r="AHO163" s="125"/>
      <c r="AHP163" s="125"/>
      <c r="AHQ163" s="125"/>
      <c r="AHR163" s="125"/>
      <c r="AHS163" s="125"/>
      <c r="AHT163" s="125"/>
      <c r="AHU163" s="125"/>
      <c r="AHV163" s="125"/>
      <c r="AHW163" s="125"/>
      <c r="AHX163" s="125"/>
      <c r="AHY163" s="125"/>
      <c r="AHZ163" s="125"/>
      <c r="AIA163" s="125"/>
      <c r="AIB163" s="125"/>
      <c r="AIC163" s="125"/>
      <c r="AID163" s="125"/>
      <c r="AIE163" s="125"/>
      <c r="AIF163" s="125"/>
      <c r="AIG163" s="125"/>
      <c r="AIH163" s="125"/>
      <c r="AII163" s="125"/>
      <c r="AIJ163" s="125"/>
      <c r="AIK163" s="125"/>
      <c r="AIL163" s="125"/>
      <c r="AIM163" s="125"/>
      <c r="AIN163" s="125"/>
      <c r="AIO163" s="125"/>
      <c r="AIP163" s="125"/>
      <c r="AIQ163" s="125"/>
      <c r="AIR163" s="125"/>
      <c r="AIS163" s="125"/>
      <c r="AIT163" s="125"/>
      <c r="AIU163" s="125"/>
      <c r="AIV163" s="125"/>
      <c r="AIW163" s="125"/>
      <c r="AIX163" s="125"/>
      <c r="AIY163" s="125"/>
      <c r="AIZ163" s="125"/>
      <c r="AJA163" s="125"/>
      <c r="AJB163" s="125"/>
      <c r="AJC163" s="125"/>
      <c r="AJD163" s="125"/>
      <c r="AJE163" s="125"/>
      <c r="AJF163" s="125"/>
      <c r="AJG163" s="125"/>
      <c r="AJH163" s="125"/>
      <c r="AJI163" s="125"/>
      <c r="AJJ163" s="125"/>
      <c r="AJK163" s="125"/>
      <c r="AJL163" s="125"/>
      <c r="AJM163" s="125"/>
      <c r="AJN163" s="125"/>
      <c r="AJO163" s="125"/>
      <c r="AJP163" s="125"/>
      <c r="AJQ163" s="125"/>
      <c r="AJR163" s="125"/>
      <c r="AJS163" s="125"/>
      <c r="AJT163" s="125"/>
      <c r="AJU163" s="125"/>
      <c r="AJV163" s="125"/>
      <c r="AJW163" s="125"/>
      <c r="AJX163" s="125"/>
      <c r="AJY163" s="125"/>
      <c r="AJZ163" s="125"/>
      <c r="AKA163" s="125"/>
      <c r="AKB163" s="125"/>
      <c r="AKC163" s="125"/>
      <c r="AKD163" s="125"/>
      <c r="AKE163" s="125"/>
      <c r="AKF163" s="125"/>
      <c r="AKG163" s="125"/>
      <c r="AKH163" s="125"/>
      <c r="AKI163" s="125"/>
      <c r="AKJ163" s="125"/>
      <c r="AKK163" s="125"/>
      <c r="AKL163" s="125"/>
      <c r="AKM163" s="125"/>
      <c r="AKN163" s="125"/>
      <c r="AKO163" s="125"/>
      <c r="AKP163" s="125"/>
      <c r="AKQ163" s="125"/>
      <c r="AKR163" s="125"/>
      <c r="AKS163" s="125"/>
      <c r="AKT163" s="125"/>
      <c r="AKU163" s="125"/>
      <c r="AKV163" s="125"/>
      <c r="AKW163" s="125"/>
      <c r="AKX163" s="125"/>
      <c r="AKY163" s="125"/>
      <c r="AKZ163" s="125"/>
      <c r="ALA163" s="125"/>
      <c r="ALB163" s="125"/>
      <c r="ALC163" s="125"/>
      <c r="ALD163" s="125"/>
      <c r="ALE163" s="125"/>
      <c r="ALF163" s="125"/>
      <c r="ALG163" s="125"/>
      <c r="ALH163" s="125"/>
      <c r="ALI163" s="125"/>
      <c r="ALJ163" s="125"/>
      <c r="ALK163" s="125"/>
      <c r="ALL163" s="125"/>
      <c r="ALM163" s="125"/>
      <c r="ALN163" s="125"/>
      <c r="ALO163" s="125"/>
      <c r="ALP163" s="125"/>
      <c r="ALQ163" s="125"/>
      <c r="ALR163" s="125"/>
      <c r="ALS163" s="125"/>
      <c r="ALT163" s="125"/>
      <c r="ALU163" s="125"/>
      <c r="ALV163" s="125"/>
      <c r="ALW163" s="125"/>
      <c r="ALX163" s="125"/>
      <c r="ALY163" s="125"/>
      <c r="ALZ163" s="125"/>
      <c r="AMA163" s="125"/>
      <c r="AMB163" s="125"/>
      <c r="AMC163" s="125"/>
      <c r="AMD163" s="125"/>
      <c r="AME163" s="125"/>
      <c r="AMF163" s="125"/>
      <c r="AMG163" s="125"/>
      <c r="AMH163" s="125"/>
      <c r="AMI163" s="125"/>
      <c r="AMJ163" s="125"/>
      <c r="AMK163" s="125"/>
      <c r="AML163" s="125"/>
      <c r="AMM163" s="125"/>
      <c r="AMN163" s="125"/>
      <c r="AMO163" s="125"/>
      <c r="AMP163" s="125"/>
      <c r="AMQ163" s="125"/>
      <c r="AMR163" s="125"/>
      <c r="AMS163" s="125"/>
      <c r="AMT163" s="125"/>
      <c r="AMU163" s="125"/>
      <c r="AMV163" s="125"/>
      <c r="AMW163" s="125"/>
      <c r="AMX163" s="125"/>
      <c r="AMY163" s="125"/>
      <c r="AMZ163" s="125"/>
      <c r="ANA163" s="125"/>
      <c r="ANB163" s="125"/>
      <c r="ANC163" s="125"/>
      <c r="AND163" s="125"/>
      <c r="ANE163" s="125"/>
      <c r="ANF163" s="125"/>
      <c r="ANG163" s="125"/>
      <c r="ANH163" s="125"/>
      <c r="ANI163" s="125"/>
      <c r="ANJ163" s="125"/>
      <c r="ANK163" s="125"/>
      <c r="ANL163" s="125"/>
      <c r="ANM163" s="125"/>
      <c r="ANN163" s="125"/>
      <c r="ANO163" s="125"/>
      <c r="ANP163" s="125"/>
      <c r="ANQ163" s="125"/>
      <c r="ANR163" s="125"/>
      <c r="ANS163" s="125"/>
      <c r="ANT163" s="125"/>
      <c r="ANU163" s="125"/>
      <c r="ANV163" s="125"/>
      <c r="ANW163" s="125"/>
      <c r="ANX163" s="125"/>
      <c r="ANY163" s="125"/>
      <c r="ANZ163" s="125"/>
      <c r="AOA163" s="125"/>
      <c r="AOB163" s="125"/>
      <c r="AOC163" s="125"/>
      <c r="AOD163" s="125"/>
      <c r="AOE163" s="125"/>
      <c r="AOF163" s="125"/>
      <c r="AOG163" s="125"/>
      <c r="AOH163" s="125"/>
      <c r="AOI163" s="125"/>
      <c r="AOJ163" s="125"/>
      <c r="AOK163" s="125"/>
      <c r="AOL163" s="125"/>
      <c r="AOM163" s="125"/>
      <c r="AON163" s="125"/>
      <c r="AOO163" s="125"/>
      <c r="AOP163" s="125"/>
      <c r="AOQ163" s="125"/>
      <c r="AOR163" s="125"/>
      <c r="AOS163" s="125"/>
      <c r="AOT163" s="125"/>
      <c r="AOU163" s="125"/>
      <c r="AOV163" s="125"/>
      <c r="AOW163" s="125"/>
      <c r="AOX163" s="125"/>
      <c r="AOY163" s="125"/>
      <c r="AOZ163" s="125"/>
      <c r="APA163" s="125"/>
      <c r="APB163" s="125"/>
      <c r="APC163" s="125"/>
      <c r="APD163" s="125"/>
      <c r="APE163" s="125"/>
      <c r="APF163" s="125"/>
      <c r="APG163" s="125"/>
      <c r="APH163" s="125"/>
      <c r="API163" s="125"/>
      <c r="APJ163" s="125"/>
      <c r="APK163" s="125"/>
      <c r="APL163" s="125"/>
      <c r="APM163" s="125"/>
      <c r="APN163" s="125"/>
      <c r="APO163" s="125"/>
      <c r="APP163" s="125"/>
      <c r="APQ163" s="125"/>
      <c r="APR163" s="125"/>
      <c r="APS163" s="125"/>
      <c r="APT163" s="125"/>
      <c r="APU163" s="125"/>
      <c r="APV163" s="125"/>
      <c r="APW163" s="125"/>
      <c r="APX163" s="125"/>
      <c r="APY163" s="125"/>
      <c r="APZ163" s="125"/>
      <c r="AQA163" s="125"/>
      <c r="AQB163" s="125"/>
      <c r="AQC163" s="125"/>
      <c r="AQD163" s="125"/>
      <c r="AQE163" s="125"/>
      <c r="AQF163" s="125"/>
      <c r="AQG163" s="125"/>
      <c r="AQH163" s="125"/>
      <c r="AQI163" s="125"/>
      <c r="AQJ163" s="125"/>
      <c r="AQK163" s="125"/>
      <c r="AQL163" s="125"/>
      <c r="AQM163" s="125"/>
      <c r="AQN163" s="125"/>
      <c r="AQO163" s="125"/>
      <c r="AQP163" s="125"/>
      <c r="AQQ163" s="125"/>
      <c r="AQR163" s="125"/>
      <c r="AQS163" s="125"/>
      <c r="AQT163" s="125"/>
      <c r="AQU163" s="125"/>
      <c r="AQV163" s="125"/>
      <c r="AQW163" s="125"/>
      <c r="AQX163" s="125"/>
      <c r="AQY163" s="125"/>
      <c r="AQZ163" s="125"/>
      <c r="ARA163" s="125"/>
      <c r="ARB163" s="125"/>
      <c r="ARC163" s="125"/>
      <c r="ARD163" s="125"/>
      <c r="ARE163" s="125"/>
      <c r="ARF163" s="125"/>
      <c r="ARG163" s="125"/>
      <c r="ARH163" s="125"/>
      <c r="ARI163" s="125"/>
      <c r="ARJ163" s="125"/>
      <c r="ARK163" s="125"/>
      <c r="ARL163" s="125"/>
      <c r="ARM163" s="125"/>
      <c r="ARN163" s="125"/>
      <c r="ARO163" s="125"/>
      <c r="ARP163" s="125"/>
      <c r="ARQ163" s="125"/>
      <c r="ARR163" s="125"/>
      <c r="ARS163" s="125"/>
      <c r="ART163" s="125"/>
      <c r="ARU163" s="125"/>
      <c r="ARV163" s="125"/>
      <c r="ARW163" s="125"/>
      <c r="ARX163" s="125"/>
      <c r="ARY163" s="125"/>
      <c r="ARZ163" s="125"/>
      <c r="ASA163" s="125"/>
      <c r="ASB163" s="125"/>
      <c r="ASC163" s="125"/>
      <c r="ASD163" s="125"/>
      <c r="ASE163" s="125"/>
      <c r="ASF163" s="125"/>
      <c r="ASG163" s="125"/>
      <c r="ASH163" s="125"/>
      <c r="ASI163" s="125"/>
      <c r="ASJ163" s="125"/>
      <c r="ASK163" s="125"/>
      <c r="ASL163" s="125"/>
      <c r="ASM163" s="125"/>
      <c r="ASN163" s="125"/>
      <c r="ASO163" s="125"/>
      <c r="ASP163" s="125"/>
      <c r="ASQ163" s="125"/>
      <c r="ASR163" s="125"/>
      <c r="ASS163" s="125"/>
      <c r="AST163" s="125"/>
      <c r="ASU163" s="125"/>
      <c r="ASV163" s="125"/>
      <c r="ASW163" s="125"/>
      <c r="ASX163" s="125"/>
      <c r="ASY163" s="125"/>
      <c r="ASZ163" s="125"/>
      <c r="ATA163" s="125"/>
      <c r="ATB163" s="125"/>
      <c r="ATC163" s="125"/>
      <c r="ATD163" s="125"/>
      <c r="ATE163" s="125"/>
      <c r="ATF163" s="125"/>
      <c r="ATG163" s="125"/>
      <c r="ATH163" s="125"/>
      <c r="ATI163" s="125"/>
      <c r="ATJ163" s="125"/>
      <c r="ATK163" s="125"/>
      <c r="ATL163" s="125"/>
      <c r="ATM163" s="125"/>
      <c r="ATN163" s="125"/>
      <c r="ATO163" s="125"/>
      <c r="ATP163" s="125"/>
      <c r="ATQ163" s="125"/>
      <c r="ATR163" s="125"/>
      <c r="ATS163" s="125"/>
      <c r="ATT163" s="125"/>
      <c r="ATU163" s="125"/>
      <c r="ATV163" s="125"/>
      <c r="ATW163" s="125"/>
      <c r="ATX163" s="125"/>
      <c r="ATY163" s="125"/>
      <c r="ATZ163" s="125"/>
      <c r="AUA163" s="125"/>
      <c r="AUB163" s="125"/>
      <c r="AUC163" s="125"/>
      <c r="AUD163" s="125"/>
      <c r="AUE163" s="125"/>
      <c r="AUF163" s="125"/>
      <c r="AUG163" s="125"/>
      <c r="AUH163" s="125"/>
      <c r="AUI163" s="125"/>
      <c r="AUJ163" s="125"/>
      <c r="AUK163" s="125"/>
      <c r="AUL163" s="125"/>
      <c r="AUM163" s="125"/>
      <c r="AUN163" s="125"/>
      <c r="AUO163" s="125"/>
      <c r="AUP163" s="125"/>
      <c r="AUQ163" s="125"/>
      <c r="AUR163" s="125"/>
      <c r="AUS163" s="125"/>
      <c r="AUT163" s="125"/>
      <c r="AUU163" s="125"/>
      <c r="AUV163" s="125"/>
      <c r="AUW163" s="125"/>
      <c r="AUX163" s="125"/>
      <c r="AUY163" s="125"/>
      <c r="AUZ163" s="125"/>
      <c r="AVA163" s="125"/>
      <c r="AVB163" s="125"/>
      <c r="AVC163" s="125"/>
      <c r="AVD163" s="125"/>
      <c r="AVE163" s="125"/>
      <c r="AVF163" s="125"/>
      <c r="AVG163" s="125"/>
      <c r="AVH163" s="125"/>
      <c r="AVI163" s="125"/>
      <c r="AVJ163" s="125"/>
      <c r="AVK163" s="125"/>
      <c r="AVL163" s="125"/>
      <c r="AVM163" s="125"/>
      <c r="AVN163" s="125"/>
      <c r="AVO163" s="125"/>
      <c r="AVP163" s="125"/>
      <c r="AVQ163" s="125"/>
      <c r="AVR163" s="125"/>
      <c r="AVS163" s="125"/>
      <c r="AVT163" s="125"/>
      <c r="AVU163" s="125"/>
      <c r="AVV163" s="125"/>
      <c r="AVW163" s="125"/>
      <c r="AVX163" s="125"/>
      <c r="AVY163" s="125"/>
      <c r="AVZ163" s="125"/>
      <c r="AWA163" s="125"/>
      <c r="AWB163" s="125"/>
      <c r="AWC163" s="125"/>
      <c r="AWD163" s="125"/>
      <c r="AWE163" s="125"/>
      <c r="AWF163" s="125"/>
      <c r="AWG163" s="125"/>
      <c r="AWH163" s="125"/>
      <c r="AWI163" s="125"/>
      <c r="AWJ163" s="125"/>
      <c r="AWK163" s="125"/>
      <c r="AWL163" s="125"/>
      <c r="AWM163" s="125"/>
      <c r="AWN163" s="125"/>
      <c r="AWO163" s="125"/>
      <c r="AWP163" s="125"/>
      <c r="AWQ163" s="125"/>
      <c r="AWR163" s="125"/>
      <c r="AWS163" s="125"/>
      <c r="AWT163" s="125"/>
      <c r="AWU163" s="125"/>
      <c r="AWV163" s="125"/>
      <c r="AWW163" s="125"/>
      <c r="AWX163" s="125"/>
      <c r="AWY163" s="125"/>
      <c r="AWZ163" s="125"/>
      <c r="AXA163" s="125"/>
      <c r="AXB163" s="125"/>
      <c r="AXC163" s="125"/>
      <c r="AXD163" s="125"/>
      <c r="AXE163" s="125"/>
      <c r="AXF163" s="125"/>
      <c r="AXG163" s="125"/>
      <c r="AXH163" s="125"/>
      <c r="AXI163" s="125"/>
      <c r="AXJ163" s="125"/>
      <c r="AXK163" s="125"/>
      <c r="AXL163" s="125"/>
      <c r="AXM163" s="125"/>
      <c r="AXN163" s="125"/>
      <c r="AXO163" s="125"/>
      <c r="AXP163" s="125"/>
      <c r="AXQ163" s="125"/>
      <c r="AXR163" s="125"/>
      <c r="AXS163" s="125"/>
      <c r="AXT163" s="125"/>
      <c r="AXU163" s="125"/>
      <c r="AXV163" s="125"/>
      <c r="AXW163" s="125"/>
      <c r="AXX163" s="125"/>
      <c r="AXY163" s="125"/>
      <c r="AXZ163" s="125"/>
      <c r="AYA163" s="125"/>
      <c r="AYB163" s="125"/>
      <c r="AYC163" s="125"/>
      <c r="AYD163" s="125"/>
      <c r="AYE163" s="125"/>
      <c r="AYF163" s="125"/>
      <c r="AYG163" s="125"/>
      <c r="AYH163" s="125"/>
      <c r="AYI163" s="125"/>
      <c r="AYJ163" s="125"/>
      <c r="AYK163" s="125"/>
      <c r="AYL163" s="125"/>
      <c r="AYM163" s="125"/>
      <c r="AYN163" s="125"/>
      <c r="AYO163" s="125"/>
      <c r="AYP163" s="125"/>
      <c r="AYQ163" s="125"/>
      <c r="AYR163" s="125"/>
      <c r="AYS163" s="125"/>
      <c r="AYT163" s="125"/>
      <c r="AYU163" s="125"/>
      <c r="AYV163" s="125"/>
      <c r="AYW163" s="125"/>
      <c r="AYX163" s="125"/>
      <c r="AYY163" s="125"/>
      <c r="AYZ163" s="125"/>
      <c r="AZA163" s="125"/>
      <c r="AZB163" s="125"/>
      <c r="AZC163" s="125"/>
      <c r="AZD163" s="125"/>
      <c r="AZE163" s="125"/>
      <c r="AZF163" s="125"/>
      <c r="AZG163" s="125"/>
      <c r="AZH163" s="125"/>
      <c r="AZI163" s="125"/>
      <c r="AZJ163" s="125"/>
      <c r="AZK163" s="125"/>
      <c r="AZL163" s="125"/>
      <c r="AZM163" s="125"/>
      <c r="AZN163" s="125"/>
      <c r="AZO163" s="125"/>
      <c r="AZP163" s="125"/>
      <c r="AZQ163" s="125"/>
      <c r="AZR163" s="125"/>
      <c r="AZS163" s="125"/>
      <c r="AZT163" s="125"/>
      <c r="AZU163" s="125"/>
      <c r="AZV163" s="125"/>
      <c r="AZW163" s="125"/>
      <c r="AZX163" s="125"/>
      <c r="AZY163" s="125"/>
      <c r="AZZ163" s="125"/>
      <c r="BAA163" s="125"/>
      <c r="BAB163" s="125"/>
      <c r="BAC163" s="125"/>
      <c r="BAD163" s="125"/>
      <c r="BAE163" s="125"/>
      <c r="BAF163" s="125"/>
      <c r="BAG163" s="125"/>
      <c r="BAH163" s="125"/>
      <c r="BAI163" s="125"/>
      <c r="BAJ163" s="125"/>
      <c r="BAK163" s="125"/>
      <c r="BAL163" s="125"/>
      <c r="BAM163" s="125"/>
      <c r="BAN163" s="125"/>
      <c r="BAO163" s="125"/>
      <c r="BAP163" s="125"/>
      <c r="BAQ163" s="125"/>
      <c r="BAR163" s="125"/>
      <c r="BAS163" s="125"/>
      <c r="BAT163" s="125"/>
      <c r="BAU163" s="125"/>
      <c r="BAV163" s="125"/>
      <c r="BAW163" s="125"/>
      <c r="BAX163" s="125"/>
      <c r="BAY163" s="125"/>
      <c r="BAZ163" s="125"/>
      <c r="BBA163" s="125"/>
      <c r="BBB163" s="125"/>
      <c r="BBC163" s="125"/>
      <c r="BBD163" s="125"/>
      <c r="BBE163" s="125"/>
      <c r="BBF163" s="125"/>
      <c r="BBG163" s="125"/>
      <c r="BBH163" s="125"/>
      <c r="BBI163" s="125"/>
      <c r="BBJ163" s="125"/>
      <c r="BBK163" s="125"/>
      <c r="BBL163" s="125"/>
      <c r="BBM163" s="125"/>
      <c r="BBN163" s="125"/>
      <c r="BBO163" s="125"/>
      <c r="BBP163" s="125"/>
      <c r="BBQ163" s="125"/>
      <c r="BBR163" s="125"/>
      <c r="BBS163" s="125"/>
      <c r="BBT163" s="125"/>
      <c r="BBU163" s="125"/>
      <c r="BBV163" s="125"/>
      <c r="BBW163" s="125"/>
      <c r="BBX163" s="125"/>
      <c r="BBY163" s="125"/>
      <c r="BBZ163" s="125"/>
      <c r="BCA163" s="125"/>
      <c r="BCB163" s="125"/>
      <c r="BCC163" s="125"/>
      <c r="BCD163" s="125"/>
      <c r="BCE163" s="125"/>
      <c r="BCF163" s="125"/>
      <c r="BCG163" s="125"/>
      <c r="BCH163" s="125"/>
      <c r="BCI163" s="125"/>
      <c r="BCJ163" s="125"/>
      <c r="BCK163" s="125"/>
      <c r="BCL163" s="125"/>
      <c r="BCM163" s="125"/>
      <c r="BCN163" s="125"/>
      <c r="BCO163" s="125"/>
      <c r="BCP163" s="125"/>
      <c r="BCQ163" s="125"/>
      <c r="BCR163" s="125"/>
      <c r="BCS163" s="125"/>
      <c r="BCT163" s="125"/>
      <c r="BCU163" s="125"/>
      <c r="BCV163" s="125"/>
      <c r="BCW163" s="125"/>
      <c r="BCX163" s="125"/>
      <c r="BCY163" s="125"/>
      <c r="BCZ163" s="125"/>
      <c r="BDA163" s="125"/>
      <c r="BDB163" s="125"/>
      <c r="BDC163" s="125"/>
      <c r="BDD163" s="125"/>
      <c r="BDE163" s="125"/>
      <c r="BDF163" s="125"/>
      <c r="BDG163" s="125"/>
      <c r="BDH163" s="125"/>
      <c r="BDI163" s="125"/>
      <c r="BDJ163" s="125"/>
      <c r="BDK163" s="125"/>
      <c r="BDL163" s="125"/>
      <c r="BDM163" s="125"/>
      <c r="BDN163" s="125"/>
      <c r="BDO163" s="125"/>
      <c r="BDP163" s="125"/>
      <c r="BDQ163" s="125"/>
      <c r="BDR163" s="125"/>
      <c r="BDS163" s="125"/>
      <c r="BDT163" s="125"/>
      <c r="BDU163" s="125"/>
      <c r="BDV163" s="125"/>
      <c r="BDW163" s="125"/>
      <c r="BDX163" s="125"/>
      <c r="BDY163" s="125"/>
      <c r="BDZ163" s="125"/>
      <c r="BEA163" s="125"/>
      <c r="BEB163" s="125"/>
      <c r="BEC163" s="125"/>
      <c r="BED163" s="125"/>
      <c r="BEE163" s="125"/>
      <c r="BEF163" s="125"/>
      <c r="BEG163" s="125"/>
      <c r="BEH163" s="125"/>
      <c r="BEI163" s="125"/>
      <c r="BEJ163" s="125"/>
      <c r="BEK163" s="125"/>
      <c r="BEL163" s="125"/>
      <c r="BEM163" s="125"/>
      <c r="BEN163" s="125"/>
      <c r="BEO163" s="125"/>
      <c r="BEP163" s="125"/>
      <c r="BEQ163" s="125"/>
      <c r="BER163" s="125"/>
      <c r="BES163" s="125"/>
      <c r="BET163" s="125"/>
      <c r="BEU163" s="125"/>
      <c r="BEV163" s="125"/>
      <c r="BEW163" s="125"/>
      <c r="BEX163" s="125"/>
      <c r="BEY163" s="125"/>
      <c r="BEZ163" s="125"/>
      <c r="BFA163" s="125"/>
      <c r="BFB163" s="125"/>
      <c r="BFC163" s="125"/>
      <c r="BFD163" s="125"/>
      <c r="BFE163" s="125"/>
      <c r="BFF163" s="125"/>
      <c r="BFG163" s="125"/>
      <c r="BFH163" s="125"/>
      <c r="BFI163" s="125"/>
      <c r="BFJ163" s="125"/>
      <c r="BFK163" s="125"/>
      <c r="BFL163" s="125"/>
      <c r="BFM163" s="125"/>
      <c r="BFN163" s="125"/>
      <c r="BFO163" s="125"/>
      <c r="BFP163" s="125"/>
      <c r="BFQ163" s="125"/>
      <c r="BFR163" s="125"/>
      <c r="BFS163" s="125"/>
      <c r="BFT163" s="125"/>
      <c r="BFU163" s="125"/>
      <c r="BFV163" s="125"/>
      <c r="BFW163" s="125"/>
      <c r="BFX163" s="125"/>
      <c r="BFY163" s="125"/>
      <c r="BFZ163" s="125"/>
      <c r="BGA163" s="125"/>
      <c r="BGB163" s="125"/>
      <c r="BGC163" s="125"/>
      <c r="BGD163" s="125"/>
      <c r="BGE163" s="125"/>
      <c r="BGF163" s="125"/>
      <c r="BGG163" s="125"/>
      <c r="BGH163" s="125"/>
      <c r="BGI163" s="125"/>
      <c r="BGJ163" s="125"/>
      <c r="BGK163" s="125"/>
      <c r="BGL163" s="125"/>
      <c r="BGM163" s="125"/>
      <c r="BGN163" s="125"/>
      <c r="BGO163" s="125"/>
      <c r="BGP163" s="125"/>
      <c r="BGQ163" s="125"/>
      <c r="BGR163" s="125"/>
      <c r="BGS163" s="125"/>
      <c r="BGT163" s="125"/>
      <c r="BGU163" s="125"/>
      <c r="BGV163" s="125"/>
      <c r="BGW163" s="125"/>
      <c r="BGX163" s="125"/>
      <c r="BGY163" s="125"/>
      <c r="BGZ163" s="125"/>
      <c r="BHA163" s="125"/>
      <c r="BHB163" s="125"/>
      <c r="BHC163" s="125"/>
      <c r="BHD163" s="125"/>
      <c r="BHE163" s="125"/>
      <c r="BHF163" s="125"/>
      <c r="BHG163" s="125"/>
      <c r="BHH163" s="125"/>
      <c r="BHI163" s="125"/>
      <c r="BHJ163" s="125"/>
      <c r="BHK163" s="125"/>
      <c r="BHL163" s="125"/>
      <c r="BHM163" s="125"/>
      <c r="BHN163" s="125"/>
      <c r="BHO163" s="125"/>
      <c r="BHP163" s="125"/>
      <c r="BHQ163" s="125"/>
      <c r="BHR163" s="125"/>
      <c r="BHS163" s="125"/>
      <c r="BHT163" s="125"/>
      <c r="BHU163" s="125"/>
      <c r="BHV163" s="125"/>
      <c r="BHW163" s="125"/>
      <c r="BHX163" s="125"/>
      <c r="BHY163" s="125"/>
      <c r="BHZ163" s="125"/>
      <c r="BIA163" s="125"/>
      <c r="BIB163" s="125"/>
      <c r="BIC163" s="125"/>
      <c r="BID163" s="125"/>
      <c r="BIE163" s="125"/>
      <c r="BIF163" s="125"/>
      <c r="BIG163" s="125"/>
      <c r="BIH163" s="125"/>
      <c r="BII163" s="125"/>
      <c r="BIJ163" s="125"/>
      <c r="BIK163" s="125"/>
      <c r="BIL163" s="125"/>
      <c r="BIM163" s="125"/>
      <c r="BIN163" s="125"/>
      <c r="BIO163" s="125"/>
      <c r="BIP163" s="125"/>
      <c r="BIQ163" s="125"/>
      <c r="BIR163" s="125"/>
      <c r="BIS163" s="125"/>
      <c r="BIT163" s="125"/>
      <c r="BIU163" s="125"/>
      <c r="BIV163" s="125"/>
      <c r="BIW163" s="125"/>
      <c r="BIX163" s="125"/>
      <c r="BIY163" s="125"/>
      <c r="BIZ163" s="125"/>
      <c r="BJA163" s="125"/>
      <c r="BJB163" s="125"/>
      <c r="BJC163" s="125"/>
      <c r="BJD163" s="125"/>
      <c r="BJE163" s="125"/>
      <c r="BJF163" s="125"/>
      <c r="BJG163" s="125"/>
      <c r="BJH163" s="125"/>
      <c r="BJI163" s="125"/>
      <c r="BJJ163" s="125"/>
      <c r="BJK163" s="125"/>
      <c r="BJL163" s="125"/>
      <c r="BJM163" s="125"/>
      <c r="BJN163" s="125"/>
      <c r="BJO163" s="125"/>
      <c r="BJP163" s="125"/>
      <c r="BJQ163" s="125"/>
      <c r="BJR163" s="125"/>
      <c r="BJS163" s="125"/>
      <c r="BJT163" s="125"/>
      <c r="BJU163" s="125"/>
      <c r="BJV163" s="125"/>
      <c r="BJW163" s="125"/>
      <c r="BJX163" s="125"/>
      <c r="BJY163" s="125"/>
      <c r="BJZ163" s="125"/>
      <c r="BKA163" s="125"/>
      <c r="BKB163" s="125"/>
      <c r="BKC163" s="125"/>
      <c r="BKD163" s="125"/>
      <c r="BKE163" s="125"/>
      <c r="BKF163" s="125"/>
      <c r="BKG163" s="125"/>
      <c r="BKH163" s="125"/>
      <c r="BKI163" s="125"/>
      <c r="BKJ163" s="125"/>
      <c r="BKK163" s="125"/>
      <c r="BKL163" s="125"/>
      <c r="BKM163" s="125"/>
      <c r="BKN163" s="125"/>
      <c r="BKO163" s="125"/>
      <c r="BKP163" s="125"/>
      <c r="BKQ163" s="125"/>
      <c r="BKR163" s="125"/>
      <c r="BKS163" s="125"/>
      <c r="BKT163" s="125"/>
      <c r="BKU163" s="125"/>
      <c r="BKV163" s="125"/>
      <c r="BKW163" s="125"/>
      <c r="BKX163" s="125"/>
      <c r="BKY163" s="125"/>
      <c r="BKZ163" s="125"/>
      <c r="BLA163" s="125"/>
      <c r="BLB163" s="125"/>
      <c r="BLC163" s="125"/>
      <c r="BLD163" s="125"/>
      <c r="BLE163" s="125"/>
      <c r="BLF163" s="125"/>
      <c r="BLG163" s="125"/>
      <c r="BLH163" s="125"/>
      <c r="BLI163" s="125"/>
      <c r="BLJ163" s="125"/>
      <c r="BLK163" s="125"/>
      <c r="BLL163" s="125"/>
      <c r="BLM163" s="125"/>
      <c r="BLN163" s="125"/>
      <c r="BLO163" s="125"/>
      <c r="BLP163" s="125"/>
      <c r="BLQ163" s="125"/>
      <c r="BLR163" s="125"/>
      <c r="BLS163" s="125"/>
      <c r="BLT163" s="125"/>
      <c r="BLU163" s="125"/>
      <c r="BLV163" s="125"/>
      <c r="BLW163" s="125"/>
      <c r="BLX163" s="125"/>
      <c r="BLY163" s="125"/>
      <c r="BLZ163" s="125"/>
      <c r="BMA163" s="125"/>
      <c r="BMB163" s="125"/>
      <c r="BMC163" s="125"/>
      <c r="BMD163" s="125"/>
      <c r="BME163" s="125"/>
      <c r="BMF163" s="125"/>
      <c r="BMG163" s="125"/>
      <c r="BMH163" s="125"/>
      <c r="BMI163" s="125"/>
      <c r="BMJ163" s="125"/>
      <c r="BMK163" s="125"/>
      <c r="BML163" s="125"/>
      <c r="BMM163" s="125"/>
      <c r="BMN163" s="125"/>
      <c r="BMO163" s="125"/>
      <c r="BMP163" s="125"/>
      <c r="BMQ163" s="125"/>
      <c r="BMR163" s="125"/>
      <c r="BMS163" s="125"/>
      <c r="BMT163" s="125"/>
      <c r="BMU163" s="125"/>
      <c r="BMV163" s="125"/>
      <c r="BMW163" s="125"/>
      <c r="BMX163" s="125"/>
      <c r="BMY163" s="125"/>
      <c r="BMZ163" s="125"/>
      <c r="BNA163" s="125"/>
      <c r="BNB163" s="125"/>
      <c r="BNC163" s="125"/>
      <c r="BND163" s="125"/>
      <c r="BNE163" s="125"/>
      <c r="BNF163" s="125"/>
      <c r="BNG163" s="125"/>
      <c r="BNH163" s="125"/>
      <c r="BNI163" s="125"/>
      <c r="BNJ163" s="125"/>
      <c r="BNK163" s="125"/>
      <c r="BNL163" s="125"/>
      <c r="BNM163" s="125"/>
      <c r="BNN163" s="125"/>
      <c r="BNO163" s="125"/>
      <c r="BNP163" s="125"/>
      <c r="BNQ163" s="125"/>
      <c r="BNR163" s="125"/>
      <c r="BNS163" s="125"/>
      <c r="BNT163" s="125"/>
      <c r="BNU163" s="125"/>
      <c r="BNV163" s="125"/>
      <c r="BNW163" s="125"/>
      <c r="BNX163" s="125"/>
      <c r="BNY163" s="125"/>
      <c r="BNZ163" s="125"/>
      <c r="BOA163" s="125"/>
      <c r="BOB163" s="125"/>
      <c r="BOC163" s="125"/>
      <c r="BOD163" s="125"/>
      <c r="BOE163" s="125"/>
      <c r="BOF163" s="125"/>
      <c r="BOG163" s="125"/>
      <c r="BOH163" s="125"/>
      <c r="BOI163" s="125"/>
      <c r="BOJ163" s="125"/>
      <c r="BOK163" s="125"/>
      <c r="BOL163" s="125"/>
      <c r="BOM163" s="125"/>
      <c r="BON163" s="125"/>
      <c r="BOO163" s="125"/>
      <c r="BOP163" s="125"/>
      <c r="BOQ163" s="125"/>
      <c r="BOR163" s="125"/>
      <c r="BOS163" s="125"/>
      <c r="BOT163" s="125"/>
      <c r="BOU163" s="125"/>
      <c r="BOV163" s="125"/>
      <c r="BOW163" s="125"/>
      <c r="BOX163" s="125"/>
      <c r="BOY163" s="125"/>
      <c r="BOZ163" s="125"/>
      <c r="BPA163" s="125"/>
      <c r="BPB163" s="125"/>
      <c r="BPC163" s="125"/>
      <c r="BPD163" s="125"/>
      <c r="BPE163" s="125"/>
      <c r="BPF163" s="125"/>
      <c r="BPG163" s="125"/>
      <c r="BPH163" s="125"/>
      <c r="BPI163" s="125"/>
      <c r="BPJ163" s="125"/>
      <c r="BPK163" s="125"/>
      <c r="BPL163" s="125"/>
      <c r="BPM163" s="125"/>
      <c r="BPN163" s="125"/>
      <c r="BPO163" s="125"/>
      <c r="BPP163" s="125"/>
      <c r="BPQ163" s="125"/>
      <c r="BPR163" s="125"/>
      <c r="BPS163" s="125"/>
      <c r="BPT163" s="125"/>
      <c r="BPU163" s="125"/>
      <c r="BPV163" s="125"/>
      <c r="BPW163" s="125"/>
      <c r="BPX163" s="125"/>
      <c r="BPY163" s="125"/>
      <c r="BPZ163" s="125"/>
      <c r="BQA163" s="125"/>
      <c r="BQB163" s="125"/>
      <c r="BQC163" s="125"/>
      <c r="BQD163" s="125"/>
      <c r="BQE163" s="125"/>
      <c r="BQF163" s="125"/>
      <c r="BQG163" s="125"/>
      <c r="BQH163" s="125"/>
      <c r="BQI163" s="125"/>
      <c r="BQJ163" s="125"/>
      <c r="BQK163" s="125"/>
      <c r="BQL163" s="125"/>
      <c r="BQM163" s="125"/>
      <c r="BQN163" s="125"/>
      <c r="BQO163" s="125"/>
      <c r="BQP163" s="125"/>
      <c r="BQQ163" s="125"/>
      <c r="BQR163" s="125"/>
      <c r="BQS163" s="125"/>
      <c r="BQT163" s="125"/>
      <c r="BQU163" s="125"/>
      <c r="BQV163" s="125"/>
      <c r="BQW163" s="125"/>
      <c r="BQX163" s="125"/>
      <c r="BQY163" s="125"/>
      <c r="BQZ163" s="125"/>
      <c r="BRA163" s="125"/>
      <c r="BRB163" s="125"/>
      <c r="BRC163" s="125"/>
      <c r="BRD163" s="125"/>
      <c r="BRE163" s="125"/>
      <c r="BRF163" s="125"/>
      <c r="BRG163" s="125"/>
      <c r="BRH163" s="125"/>
      <c r="BRI163" s="125"/>
      <c r="BRJ163" s="125"/>
      <c r="BRK163" s="125"/>
      <c r="BRL163" s="125"/>
      <c r="BRM163" s="125"/>
      <c r="BRN163" s="125"/>
      <c r="BRO163" s="125"/>
      <c r="BRP163" s="125"/>
      <c r="BRQ163" s="125"/>
      <c r="BRR163" s="125"/>
      <c r="BRS163" s="125"/>
      <c r="BRT163" s="125"/>
      <c r="BRU163" s="125"/>
      <c r="BRV163" s="125"/>
      <c r="BRW163" s="125"/>
      <c r="BRX163" s="125"/>
      <c r="BRY163" s="125"/>
      <c r="BRZ163" s="125"/>
      <c r="BSA163" s="125"/>
      <c r="BSB163" s="125"/>
      <c r="BSC163" s="125"/>
      <c r="BSD163" s="125"/>
      <c r="BSE163" s="125"/>
      <c r="BSF163" s="125"/>
      <c r="BSG163" s="125"/>
      <c r="BSH163" s="125"/>
      <c r="BSI163" s="125"/>
      <c r="BSJ163" s="125"/>
      <c r="BSK163" s="125"/>
      <c r="BSL163" s="125"/>
      <c r="BSM163" s="125"/>
      <c r="BSN163" s="125"/>
      <c r="BSO163" s="125"/>
      <c r="BSP163" s="125"/>
      <c r="BSQ163" s="125"/>
      <c r="BSR163" s="125"/>
      <c r="BSS163" s="125"/>
      <c r="BST163" s="125"/>
      <c r="BSU163" s="125"/>
      <c r="BSV163" s="125"/>
      <c r="BSW163" s="125"/>
      <c r="BSX163" s="125"/>
      <c r="BSY163" s="125"/>
      <c r="BSZ163" s="125"/>
      <c r="BTA163" s="125"/>
      <c r="BTB163" s="125"/>
      <c r="BTC163" s="125"/>
      <c r="BTD163" s="125"/>
      <c r="BTE163" s="125"/>
      <c r="BTF163" s="125"/>
      <c r="BTG163" s="125"/>
      <c r="BTH163" s="125"/>
      <c r="BTI163" s="125"/>
      <c r="BTJ163" s="125"/>
      <c r="BTK163" s="125"/>
      <c r="BTL163" s="125"/>
      <c r="BTM163" s="125"/>
      <c r="BTN163" s="125"/>
      <c r="BTO163" s="125"/>
      <c r="BTP163" s="125"/>
      <c r="BTQ163" s="125"/>
      <c r="BTR163" s="125"/>
      <c r="BTS163" s="125"/>
      <c r="BTT163" s="125"/>
      <c r="BTU163" s="125"/>
      <c r="BTV163" s="125"/>
      <c r="BTW163" s="125"/>
      <c r="BTX163" s="125"/>
      <c r="BTY163" s="125"/>
      <c r="BTZ163" s="125"/>
      <c r="BUA163" s="125"/>
      <c r="BUB163" s="125"/>
      <c r="BUC163" s="125"/>
      <c r="BUD163" s="125"/>
      <c r="BUE163" s="125"/>
      <c r="BUF163" s="125"/>
      <c r="BUG163" s="125"/>
      <c r="BUH163" s="125"/>
      <c r="BUI163" s="125"/>
      <c r="BUJ163" s="125"/>
      <c r="BUK163" s="125"/>
      <c r="BUL163" s="125"/>
      <c r="BUM163" s="125"/>
      <c r="BUN163" s="125"/>
      <c r="BUO163" s="125"/>
      <c r="BUP163" s="125"/>
      <c r="BUQ163" s="125"/>
      <c r="BUR163" s="125"/>
      <c r="BUS163" s="125"/>
      <c r="BUT163" s="125"/>
      <c r="BUU163" s="125"/>
      <c r="BUV163" s="125"/>
      <c r="BUW163" s="125"/>
      <c r="BUX163" s="125"/>
      <c r="BUY163" s="125"/>
      <c r="BUZ163" s="125"/>
      <c r="BVA163" s="125"/>
      <c r="BVB163" s="125"/>
      <c r="BVC163" s="125"/>
      <c r="BVD163" s="125"/>
      <c r="BVE163" s="125"/>
      <c r="BVF163" s="125"/>
      <c r="BVG163" s="125"/>
      <c r="BVH163" s="125"/>
      <c r="BVI163" s="125"/>
      <c r="BVJ163" s="125"/>
      <c r="BVK163" s="125"/>
      <c r="BVL163" s="125"/>
      <c r="BVM163" s="125"/>
      <c r="BVN163" s="125"/>
      <c r="BVO163" s="125"/>
      <c r="BVP163" s="125"/>
      <c r="BVQ163" s="125"/>
      <c r="BVR163" s="125"/>
      <c r="BVS163" s="125"/>
      <c r="BVT163" s="125"/>
      <c r="BVU163" s="125"/>
      <c r="BVV163" s="125"/>
      <c r="BVW163" s="125"/>
      <c r="BVX163" s="125"/>
      <c r="BVY163" s="125"/>
      <c r="BVZ163" s="125"/>
      <c r="BWA163" s="125"/>
      <c r="BWB163" s="125"/>
      <c r="BWC163" s="125"/>
      <c r="BWD163" s="125"/>
      <c r="BWE163" s="125"/>
      <c r="BWF163" s="125"/>
      <c r="BWG163" s="125"/>
      <c r="BWH163" s="125"/>
      <c r="BWI163" s="125"/>
      <c r="BWJ163" s="125"/>
      <c r="BWK163" s="125"/>
      <c r="BWL163" s="125"/>
      <c r="BWM163" s="125"/>
      <c r="BWN163" s="125"/>
      <c r="BWO163" s="125"/>
      <c r="BWP163" s="125"/>
      <c r="BWQ163" s="125"/>
      <c r="BWR163" s="125"/>
      <c r="BWS163" s="125"/>
      <c r="BWT163" s="125"/>
      <c r="BWU163" s="125"/>
      <c r="BWV163" s="125"/>
      <c r="BWW163" s="125"/>
      <c r="BWX163" s="125"/>
      <c r="BWY163" s="125"/>
      <c r="BWZ163" s="125"/>
      <c r="BXA163" s="125"/>
      <c r="BXB163" s="125"/>
      <c r="BXC163" s="125"/>
      <c r="BXD163" s="125"/>
      <c r="BXE163" s="125"/>
      <c r="BXF163" s="125"/>
      <c r="BXG163" s="125"/>
      <c r="BXH163" s="125"/>
      <c r="BXI163" s="125"/>
      <c r="BXJ163" s="125"/>
      <c r="BXK163" s="125"/>
      <c r="BXL163" s="125"/>
      <c r="BXM163" s="125"/>
      <c r="BXN163" s="125"/>
      <c r="BXO163" s="125"/>
      <c r="BXP163" s="125"/>
      <c r="BXQ163" s="125"/>
      <c r="BXR163" s="125"/>
      <c r="BXS163" s="125"/>
      <c r="BXT163" s="125"/>
      <c r="BXU163" s="125"/>
      <c r="BXV163" s="125"/>
      <c r="BXW163" s="125"/>
      <c r="BXX163" s="125"/>
      <c r="BXY163" s="125"/>
      <c r="BXZ163" s="125"/>
      <c r="BYA163" s="125"/>
      <c r="BYB163" s="125"/>
      <c r="BYC163" s="125"/>
      <c r="BYD163" s="125"/>
      <c r="BYE163" s="125"/>
      <c r="BYF163" s="125"/>
      <c r="BYG163" s="125"/>
      <c r="BYH163" s="125"/>
      <c r="BYI163" s="125"/>
      <c r="BYJ163" s="125"/>
      <c r="BYK163" s="125"/>
      <c r="BYL163" s="125"/>
      <c r="BYM163" s="125"/>
      <c r="BYN163" s="125"/>
      <c r="BYO163" s="125"/>
      <c r="BYP163" s="125"/>
      <c r="BYQ163" s="125"/>
      <c r="BYR163" s="125"/>
      <c r="BYS163" s="125"/>
      <c r="BYT163" s="125"/>
      <c r="BYU163" s="125"/>
      <c r="BYV163" s="125"/>
      <c r="BYW163" s="125"/>
      <c r="BYX163" s="125"/>
      <c r="BYY163" s="125"/>
      <c r="BYZ163" s="125"/>
      <c r="BZA163" s="125"/>
      <c r="BZB163" s="125"/>
      <c r="BZC163" s="125"/>
      <c r="BZD163" s="125"/>
      <c r="BZE163" s="125"/>
      <c r="BZF163" s="125"/>
      <c r="BZG163" s="125"/>
      <c r="BZH163" s="125"/>
      <c r="BZI163" s="125"/>
      <c r="BZJ163" s="125"/>
      <c r="BZK163" s="125"/>
      <c r="BZL163" s="125"/>
      <c r="BZM163" s="125"/>
      <c r="BZN163" s="125"/>
      <c r="BZO163" s="125"/>
      <c r="BZP163" s="125"/>
      <c r="BZQ163" s="125"/>
      <c r="BZR163" s="125"/>
      <c r="BZS163" s="125"/>
      <c r="BZT163" s="125"/>
      <c r="BZU163" s="125"/>
      <c r="BZV163" s="125"/>
      <c r="BZW163" s="125"/>
      <c r="BZX163" s="125"/>
      <c r="BZY163" s="125"/>
      <c r="BZZ163" s="125"/>
      <c r="CAA163" s="125"/>
      <c r="CAB163" s="125"/>
      <c r="CAC163" s="125"/>
      <c r="CAD163" s="125"/>
      <c r="CAE163" s="125"/>
      <c r="CAF163" s="125"/>
      <c r="CAG163" s="125"/>
      <c r="CAH163" s="125"/>
      <c r="CAI163" s="125"/>
      <c r="CAJ163" s="125"/>
      <c r="CAK163" s="125"/>
      <c r="CAL163" s="125"/>
      <c r="CAM163" s="125"/>
      <c r="CAN163" s="125"/>
      <c r="CAO163" s="125"/>
      <c r="CAP163" s="125"/>
      <c r="CAQ163" s="125"/>
      <c r="CAR163" s="125"/>
      <c r="CAS163" s="125"/>
      <c r="CAT163" s="125"/>
      <c r="CAU163" s="125"/>
      <c r="CAV163" s="125"/>
      <c r="CAW163" s="125"/>
      <c r="CAX163" s="125"/>
      <c r="CAY163" s="125"/>
      <c r="CAZ163" s="125"/>
      <c r="CBA163" s="125"/>
      <c r="CBB163" s="125"/>
      <c r="CBC163" s="125"/>
      <c r="CBD163" s="125"/>
      <c r="CBE163" s="125"/>
      <c r="CBF163" s="125"/>
      <c r="CBG163" s="125"/>
      <c r="CBH163" s="125"/>
      <c r="CBI163" s="125"/>
      <c r="CBJ163" s="125"/>
      <c r="CBK163" s="125"/>
      <c r="CBL163" s="125"/>
      <c r="CBM163" s="125"/>
      <c r="CBN163" s="125"/>
      <c r="CBO163" s="125"/>
      <c r="CBP163" s="125"/>
      <c r="CBQ163" s="125"/>
      <c r="CBR163" s="125"/>
      <c r="CBS163" s="125"/>
      <c r="CBT163" s="125"/>
      <c r="CBU163" s="125"/>
      <c r="CBV163" s="125"/>
      <c r="CBW163" s="125"/>
      <c r="CBX163" s="125"/>
      <c r="CBY163" s="125"/>
      <c r="CBZ163" s="125"/>
      <c r="CCA163" s="125"/>
      <c r="CCB163" s="125"/>
      <c r="CCC163" s="125"/>
      <c r="CCD163" s="125"/>
      <c r="CCE163" s="125"/>
      <c r="CCF163" s="125"/>
      <c r="CCG163" s="125"/>
      <c r="CCH163" s="125"/>
      <c r="CCI163" s="125"/>
      <c r="CCJ163" s="125"/>
      <c r="CCK163" s="125"/>
      <c r="CCL163" s="125"/>
      <c r="CCM163" s="125"/>
      <c r="CCN163" s="125"/>
      <c r="CCO163" s="125"/>
      <c r="CCP163" s="125"/>
      <c r="CCQ163" s="125"/>
      <c r="CCR163" s="125"/>
      <c r="CCS163" s="125"/>
      <c r="CCT163" s="125"/>
      <c r="CCU163" s="125"/>
      <c r="CCV163" s="125"/>
      <c r="CCW163" s="125"/>
      <c r="CCX163" s="125"/>
      <c r="CCY163" s="125"/>
      <c r="CCZ163" s="125"/>
      <c r="CDA163" s="125"/>
      <c r="CDB163" s="125"/>
      <c r="CDC163" s="125"/>
      <c r="CDD163" s="125"/>
      <c r="CDE163" s="125"/>
      <c r="CDF163" s="125"/>
      <c r="CDG163" s="125"/>
      <c r="CDH163" s="125"/>
      <c r="CDI163" s="125"/>
      <c r="CDJ163" s="125"/>
      <c r="CDK163" s="125"/>
      <c r="CDL163" s="125"/>
      <c r="CDM163" s="125"/>
      <c r="CDN163" s="125"/>
      <c r="CDO163" s="125"/>
      <c r="CDP163" s="125"/>
      <c r="CDQ163" s="125"/>
      <c r="CDR163" s="125"/>
      <c r="CDS163" s="125"/>
      <c r="CDT163" s="125"/>
      <c r="CDU163" s="125"/>
      <c r="CDV163" s="125"/>
      <c r="CDW163" s="125"/>
      <c r="CDX163" s="125"/>
      <c r="CDY163" s="125"/>
      <c r="CDZ163" s="125"/>
      <c r="CEA163" s="125"/>
      <c r="CEB163" s="125"/>
      <c r="CEC163" s="125"/>
      <c r="CED163" s="125"/>
      <c r="CEE163" s="125"/>
      <c r="CEF163" s="125"/>
      <c r="CEG163" s="125"/>
      <c r="CEH163" s="125"/>
      <c r="CEI163" s="125"/>
      <c r="CEJ163" s="125"/>
      <c r="CEK163" s="125"/>
      <c r="CEL163" s="125"/>
      <c r="CEM163" s="125"/>
      <c r="CEN163" s="125"/>
      <c r="CEO163" s="125"/>
      <c r="CEP163" s="125"/>
      <c r="CEQ163" s="125"/>
      <c r="CER163" s="125"/>
      <c r="CES163" s="125"/>
      <c r="CET163" s="125"/>
      <c r="CEU163" s="125"/>
      <c r="CEV163" s="125"/>
      <c r="CEW163" s="125"/>
      <c r="CEX163" s="125"/>
      <c r="CEY163" s="125"/>
      <c r="CEZ163" s="125"/>
      <c r="CFA163" s="125"/>
      <c r="CFB163" s="125"/>
      <c r="CFC163" s="125"/>
      <c r="CFD163" s="125"/>
      <c r="CFE163" s="125"/>
      <c r="CFF163" s="125"/>
      <c r="CFG163" s="125"/>
      <c r="CFH163" s="125"/>
      <c r="CFI163" s="125"/>
      <c r="CFJ163" s="125"/>
      <c r="CFK163" s="125"/>
      <c r="CFL163" s="125"/>
      <c r="CFM163" s="125"/>
      <c r="CFN163" s="125"/>
      <c r="CFO163" s="125"/>
      <c r="CFP163" s="125"/>
      <c r="CFQ163" s="125"/>
      <c r="CFR163" s="125"/>
      <c r="CFS163" s="125"/>
      <c r="CFT163" s="125"/>
      <c r="CFU163" s="125"/>
      <c r="CFV163" s="125"/>
      <c r="CFW163" s="125"/>
      <c r="CFX163" s="125"/>
      <c r="CFY163" s="125"/>
      <c r="CFZ163" s="125"/>
      <c r="CGA163" s="125"/>
      <c r="CGB163" s="125"/>
      <c r="CGC163" s="125"/>
      <c r="CGD163" s="125"/>
      <c r="CGE163" s="125"/>
      <c r="CGF163" s="125"/>
      <c r="CGG163" s="125"/>
      <c r="CGH163" s="125"/>
      <c r="CGI163" s="125"/>
      <c r="CGJ163" s="125"/>
      <c r="CGK163" s="125"/>
      <c r="CGL163" s="125"/>
      <c r="CGM163" s="125"/>
      <c r="CGN163" s="125"/>
      <c r="CGO163" s="125"/>
      <c r="CGP163" s="125"/>
      <c r="CGQ163" s="125"/>
      <c r="CGR163" s="125"/>
      <c r="CGS163" s="125"/>
      <c r="CGT163" s="125"/>
      <c r="CGU163" s="125"/>
      <c r="CGV163" s="125"/>
      <c r="CGW163" s="125"/>
      <c r="CGX163" s="125"/>
      <c r="CGY163" s="125"/>
      <c r="CGZ163" s="125"/>
      <c r="CHA163" s="125"/>
      <c r="CHB163" s="125"/>
      <c r="CHC163" s="125"/>
      <c r="CHD163" s="125"/>
      <c r="CHE163" s="125"/>
      <c r="CHF163" s="125"/>
      <c r="CHG163" s="125"/>
      <c r="CHH163" s="125"/>
      <c r="CHI163" s="125"/>
      <c r="CHJ163" s="125"/>
      <c r="CHK163" s="125"/>
      <c r="CHL163" s="125"/>
      <c r="CHM163" s="125"/>
      <c r="CHN163" s="125"/>
      <c r="CHO163" s="125"/>
      <c r="CHP163" s="125"/>
      <c r="CHQ163" s="125"/>
      <c r="CHR163" s="125"/>
      <c r="CHS163" s="125"/>
      <c r="CHT163" s="125"/>
      <c r="CHU163" s="125"/>
      <c r="CHV163" s="125"/>
      <c r="CHW163" s="125"/>
      <c r="CHX163" s="125"/>
      <c r="CHY163" s="125"/>
      <c r="CHZ163" s="125"/>
      <c r="CIA163" s="125"/>
      <c r="CIB163" s="125"/>
      <c r="CIC163" s="125"/>
      <c r="CID163" s="125"/>
      <c r="CIE163" s="125"/>
      <c r="CIF163" s="125"/>
      <c r="CIG163" s="125"/>
      <c r="CIH163" s="125"/>
      <c r="CII163" s="125"/>
      <c r="CIJ163" s="125"/>
      <c r="CIK163" s="125"/>
      <c r="CIL163" s="125"/>
      <c r="CIM163" s="125"/>
      <c r="CIN163" s="125"/>
      <c r="CIO163" s="125"/>
      <c r="CIP163" s="125"/>
      <c r="CIQ163" s="125"/>
      <c r="CIR163" s="125"/>
      <c r="CIS163" s="125"/>
      <c r="CIT163" s="125"/>
      <c r="CIU163" s="125"/>
      <c r="CIV163" s="125"/>
      <c r="CIW163" s="125"/>
      <c r="CIX163" s="125"/>
      <c r="CIY163" s="125"/>
      <c r="CIZ163" s="125"/>
      <c r="CJA163" s="125"/>
      <c r="CJB163" s="125"/>
      <c r="CJC163" s="125"/>
      <c r="CJD163" s="125"/>
      <c r="CJE163" s="125"/>
      <c r="CJF163" s="125"/>
      <c r="CJG163" s="125"/>
      <c r="CJH163" s="125"/>
      <c r="CJI163" s="125"/>
      <c r="CJJ163" s="125"/>
      <c r="CJK163" s="125"/>
      <c r="CJL163" s="125"/>
      <c r="CJM163" s="125"/>
      <c r="CJN163" s="125"/>
      <c r="CJO163" s="125"/>
      <c r="CJP163" s="125"/>
      <c r="CJQ163" s="125"/>
      <c r="CJR163" s="125"/>
      <c r="CJS163" s="125"/>
      <c r="CJT163" s="125"/>
      <c r="CJU163" s="125"/>
      <c r="CJV163" s="125"/>
      <c r="CJW163" s="125"/>
      <c r="CJX163" s="125"/>
      <c r="CJY163" s="125"/>
      <c r="CJZ163" s="125"/>
      <c r="CKA163" s="125"/>
      <c r="CKB163" s="125"/>
      <c r="CKC163" s="125"/>
      <c r="CKD163" s="125"/>
      <c r="CKE163" s="125"/>
      <c r="CKF163" s="125"/>
      <c r="CKG163" s="125"/>
      <c r="CKH163" s="125"/>
      <c r="CKI163" s="125"/>
      <c r="CKJ163" s="125"/>
      <c r="CKK163" s="125"/>
      <c r="CKL163" s="125"/>
      <c r="CKM163" s="125"/>
      <c r="CKN163" s="125"/>
      <c r="CKO163" s="125"/>
      <c r="CKP163" s="125"/>
      <c r="CKQ163" s="125"/>
      <c r="CKR163" s="125"/>
      <c r="CKS163" s="125"/>
      <c r="CKT163" s="125"/>
      <c r="CKU163" s="125"/>
      <c r="CKV163" s="125"/>
      <c r="CKW163" s="125"/>
      <c r="CKX163" s="125"/>
      <c r="CKY163" s="125"/>
      <c r="CKZ163" s="125"/>
      <c r="CLA163" s="125"/>
      <c r="CLB163" s="125"/>
      <c r="CLC163" s="125"/>
      <c r="CLD163" s="125"/>
      <c r="CLE163" s="125"/>
      <c r="CLF163" s="125"/>
      <c r="CLG163" s="125"/>
      <c r="CLH163" s="125"/>
      <c r="CLI163" s="125"/>
      <c r="CLJ163" s="125"/>
      <c r="CLK163" s="125"/>
      <c r="CLL163" s="125"/>
      <c r="CLM163" s="125"/>
      <c r="CLN163" s="125"/>
      <c r="CLO163" s="125"/>
      <c r="CLP163" s="125"/>
      <c r="CLQ163" s="125"/>
      <c r="CLR163" s="125"/>
      <c r="CLS163" s="125"/>
      <c r="CLT163" s="125"/>
      <c r="CLU163" s="125"/>
      <c r="CLV163" s="125"/>
      <c r="CLW163" s="125"/>
      <c r="CLX163" s="125"/>
      <c r="CLY163" s="125"/>
      <c r="CLZ163" s="125"/>
      <c r="CMA163" s="125"/>
      <c r="CMB163" s="125"/>
      <c r="CMC163" s="125"/>
      <c r="CMD163" s="125"/>
      <c r="CME163" s="125"/>
      <c r="CMF163" s="125"/>
      <c r="CMG163" s="125"/>
      <c r="CMH163" s="125"/>
      <c r="CMI163" s="125"/>
      <c r="CMJ163" s="125"/>
      <c r="CMK163" s="125"/>
      <c r="CML163" s="125"/>
      <c r="CMM163" s="125"/>
      <c r="CMN163" s="125"/>
      <c r="CMO163" s="125"/>
      <c r="CMP163" s="125"/>
      <c r="CMQ163" s="125"/>
      <c r="CMR163" s="125"/>
      <c r="CMS163" s="125"/>
      <c r="CMT163" s="125"/>
      <c r="CMU163" s="125"/>
      <c r="CMV163" s="125"/>
      <c r="CMW163" s="125"/>
      <c r="CMX163" s="125"/>
      <c r="CMY163" s="125"/>
      <c r="CMZ163" s="125"/>
      <c r="CNA163" s="125"/>
      <c r="CNB163" s="125"/>
      <c r="CNC163" s="125"/>
      <c r="CND163" s="125"/>
      <c r="CNE163" s="125"/>
      <c r="CNF163" s="125"/>
      <c r="CNG163" s="125"/>
      <c r="CNH163" s="125"/>
      <c r="CNI163" s="125"/>
      <c r="CNJ163" s="125"/>
      <c r="CNK163" s="125"/>
      <c r="CNL163" s="125"/>
      <c r="CNM163" s="125"/>
      <c r="CNN163" s="125"/>
      <c r="CNO163" s="125"/>
      <c r="CNP163" s="125"/>
      <c r="CNQ163" s="125"/>
      <c r="CNR163" s="125"/>
      <c r="CNS163" s="125"/>
      <c r="CNT163" s="125"/>
      <c r="CNU163" s="125"/>
      <c r="CNV163" s="125"/>
      <c r="CNW163" s="125"/>
      <c r="CNX163" s="125"/>
      <c r="CNY163" s="125"/>
      <c r="CNZ163" s="125"/>
      <c r="COA163" s="125"/>
      <c r="COB163" s="125"/>
      <c r="COC163" s="125"/>
      <c r="COD163" s="125"/>
      <c r="COE163" s="125"/>
      <c r="COF163" s="125"/>
      <c r="COG163" s="125"/>
      <c r="COH163" s="125"/>
      <c r="COI163" s="125"/>
      <c r="COJ163" s="125"/>
      <c r="COK163" s="125"/>
      <c r="COL163" s="125"/>
      <c r="COM163" s="125"/>
      <c r="CON163" s="125"/>
      <c r="COO163" s="125"/>
      <c r="COP163" s="125"/>
      <c r="COQ163" s="125"/>
      <c r="COR163" s="125"/>
      <c r="COS163" s="125"/>
      <c r="COT163" s="125"/>
      <c r="COU163" s="125"/>
      <c r="COV163" s="125"/>
      <c r="COW163" s="125"/>
      <c r="COX163" s="125"/>
      <c r="COY163" s="125"/>
      <c r="COZ163" s="125"/>
      <c r="CPA163" s="125"/>
      <c r="CPB163" s="125"/>
      <c r="CPC163" s="125"/>
      <c r="CPD163" s="125"/>
      <c r="CPE163" s="125"/>
      <c r="CPF163" s="125"/>
      <c r="CPG163" s="125"/>
      <c r="CPH163" s="125"/>
      <c r="CPI163" s="125"/>
      <c r="CPJ163" s="125"/>
      <c r="CPK163" s="125"/>
      <c r="CPL163" s="125"/>
      <c r="CPM163" s="125"/>
      <c r="CPN163" s="125"/>
      <c r="CPO163" s="125"/>
      <c r="CPP163" s="125"/>
      <c r="CPQ163" s="125"/>
      <c r="CPR163" s="125"/>
      <c r="CPS163" s="125"/>
      <c r="CPT163" s="125"/>
      <c r="CPU163" s="125"/>
      <c r="CPV163" s="125"/>
      <c r="CPW163" s="125"/>
      <c r="CPX163" s="125"/>
      <c r="CPY163" s="125"/>
      <c r="CPZ163" s="125"/>
      <c r="CQA163" s="125"/>
      <c r="CQB163" s="125"/>
      <c r="CQC163" s="125"/>
      <c r="CQD163" s="125"/>
      <c r="CQE163" s="125"/>
      <c r="CQF163" s="125"/>
      <c r="CQG163" s="125"/>
      <c r="CQH163" s="125"/>
      <c r="CQI163" s="125"/>
      <c r="CQJ163" s="125"/>
      <c r="CQK163" s="125"/>
      <c r="CQL163" s="125"/>
      <c r="CQM163" s="125"/>
      <c r="CQN163" s="125"/>
      <c r="CQO163" s="125"/>
      <c r="CQP163" s="125"/>
      <c r="CQQ163" s="125"/>
      <c r="CQR163" s="125"/>
      <c r="CQS163" s="125"/>
      <c r="CQT163" s="125"/>
      <c r="CQU163" s="125"/>
      <c r="CQV163" s="125"/>
      <c r="CQW163" s="125"/>
      <c r="CQX163" s="125"/>
      <c r="CQY163" s="125"/>
      <c r="CQZ163" s="125"/>
      <c r="CRA163" s="125"/>
      <c r="CRB163" s="125"/>
      <c r="CRC163" s="125"/>
      <c r="CRD163" s="125"/>
      <c r="CRE163" s="125"/>
      <c r="CRF163" s="125"/>
      <c r="CRG163" s="125"/>
      <c r="CRH163" s="125"/>
      <c r="CRI163" s="125"/>
      <c r="CRJ163" s="125"/>
      <c r="CRK163" s="125"/>
      <c r="CRL163" s="125"/>
      <c r="CRM163" s="125"/>
      <c r="CRN163" s="125"/>
      <c r="CRO163" s="125"/>
      <c r="CRP163" s="125"/>
      <c r="CRQ163" s="125"/>
      <c r="CRR163" s="125"/>
      <c r="CRS163" s="125"/>
      <c r="CRT163" s="125"/>
      <c r="CRU163" s="125"/>
      <c r="CRV163" s="125"/>
      <c r="CRW163" s="125"/>
      <c r="CRX163" s="125"/>
      <c r="CRY163" s="125"/>
      <c r="CRZ163" s="125"/>
      <c r="CSA163" s="125"/>
      <c r="CSB163" s="125"/>
      <c r="CSC163" s="125"/>
      <c r="CSD163" s="125"/>
      <c r="CSE163" s="125"/>
      <c r="CSF163" s="125"/>
      <c r="CSG163" s="125"/>
      <c r="CSH163" s="125"/>
      <c r="CSI163" s="125"/>
      <c r="CSJ163" s="125"/>
      <c r="CSK163" s="125"/>
      <c r="CSL163" s="125"/>
      <c r="CSM163" s="125"/>
      <c r="CSN163" s="125"/>
      <c r="CSO163" s="125"/>
      <c r="CSP163" s="125"/>
      <c r="CSQ163" s="125"/>
      <c r="CSR163" s="125"/>
      <c r="CSS163" s="125"/>
      <c r="CST163" s="125"/>
      <c r="CSU163" s="125"/>
      <c r="CSV163" s="125"/>
      <c r="CSW163" s="125"/>
      <c r="CSX163" s="125"/>
      <c r="CSY163" s="125"/>
      <c r="CSZ163" s="125"/>
      <c r="CTA163" s="125"/>
      <c r="CTB163" s="125"/>
      <c r="CTC163" s="125"/>
      <c r="CTD163" s="125"/>
      <c r="CTE163" s="125"/>
      <c r="CTF163" s="125"/>
      <c r="CTG163" s="125"/>
      <c r="CTH163" s="125"/>
      <c r="CTI163" s="125"/>
      <c r="CTJ163" s="125"/>
      <c r="CTK163" s="125"/>
      <c r="CTL163" s="125"/>
      <c r="CTM163" s="125"/>
      <c r="CTN163" s="125"/>
      <c r="CTO163" s="125"/>
      <c r="CTP163" s="125"/>
      <c r="CTQ163" s="125"/>
      <c r="CTR163" s="125"/>
      <c r="CTS163" s="125"/>
      <c r="CTT163" s="125"/>
      <c r="CTU163" s="125"/>
      <c r="CTV163" s="125"/>
      <c r="CTW163" s="125"/>
      <c r="CTX163" s="125"/>
      <c r="CTY163" s="125"/>
      <c r="CTZ163" s="125"/>
      <c r="CUA163" s="125"/>
      <c r="CUB163" s="125"/>
      <c r="CUC163" s="125"/>
      <c r="CUD163" s="125"/>
      <c r="CUE163" s="125"/>
      <c r="CUF163" s="125"/>
      <c r="CUG163" s="125"/>
      <c r="CUH163" s="125"/>
      <c r="CUI163" s="125"/>
      <c r="CUJ163" s="125"/>
      <c r="CUK163" s="125"/>
      <c r="CUL163" s="125"/>
      <c r="CUM163" s="125"/>
      <c r="CUN163" s="125"/>
      <c r="CUO163" s="125"/>
      <c r="CUP163" s="125"/>
      <c r="CUQ163" s="125"/>
      <c r="CUR163" s="125"/>
      <c r="CUS163" s="125"/>
      <c r="CUT163" s="125"/>
      <c r="CUU163" s="125"/>
      <c r="CUV163" s="125"/>
      <c r="CUW163" s="125"/>
      <c r="CUX163" s="125"/>
      <c r="CUY163" s="125"/>
      <c r="CUZ163" s="125"/>
      <c r="CVA163" s="125"/>
      <c r="CVB163" s="125"/>
      <c r="CVC163" s="125"/>
      <c r="CVD163" s="125"/>
      <c r="CVE163" s="125"/>
      <c r="CVF163" s="125"/>
      <c r="CVG163" s="125"/>
      <c r="CVH163" s="125"/>
      <c r="CVI163" s="125"/>
      <c r="CVJ163" s="125"/>
      <c r="CVK163" s="125"/>
      <c r="CVL163" s="125"/>
      <c r="CVM163" s="125"/>
      <c r="CVN163" s="125"/>
      <c r="CVO163" s="125"/>
      <c r="CVP163" s="125"/>
      <c r="CVQ163" s="125"/>
      <c r="CVR163" s="125"/>
      <c r="CVS163" s="125"/>
      <c r="CVT163" s="125"/>
      <c r="CVU163" s="125"/>
      <c r="CVV163" s="125"/>
      <c r="CVW163" s="125"/>
      <c r="CVX163" s="125"/>
      <c r="CVY163" s="125"/>
      <c r="CVZ163" s="125"/>
      <c r="CWA163" s="125"/>
      <c r="CWB163" s="125"/>
      <c r="CWC163" s="125"/>
      <c r="CWD163" s="125"/>
      <c r="CWE163" s="125"/>
      <c r="CWF163" s="125"/>
      <c r="CWG163" s="125"/>
      <c r="CWH163" s="125"/>
      <c r="CWI163" s="125"/>
      <c r="CWJ163" s="125"/>
      <c r="CWK163" s="125"/>
      <c r="CWL163" s="125"/>
      <c r="CWM163" s="125"/>
      <c r="CWN163" s="125"/>
      <c r="CWO163" s="125"/>
      <c r="CWP163" s="125"/>
      <c r="CWQ163" s="125"/>
      <c r="CWR163" s="125"/>
      <c r="CWS163" s="125"/>
      <c r="CWT163" s="125"/>
      <c r="CWU163" s="125"/>
      <c r="CWV163" s="125"/>
      <c r="CWW163" s="125"/>
      <c r="CWX163" s="125"/>
      <c r="CWY163" s="125"/>
      <c r="CWZ163" s="125"/>
      <c r="CXA163" s="125"/>
      <c r="CXB163" s="125"/>
      <c r="CXC163" s="125"/>
      <c r="CXD163" s="125"/>
      <c r="CXE163" s="125"/>
      <c r="CXF163" s="125"/>
      <c r="CXG163" s="125"/>
      <c r="CXH163" s="125"/>
      <c r="CXI163" s="125"/>
      <c r="CXJ163" s="125"/>
      <c r="CXK163" s="125"/>
      <c r="CXL163" s="125"/>
      <c r="CXM163" s="125"/>
      <c r="CXN163" s="125"/>
      <c r="CXO163" s="125"/>
      <c r="CXP163" s="125"/>
      <c r="CXQ163" s="125"/>
      <c r="CXR163" s="125"/>
      <c r="CXS163" s="125"/>
      <c r="CXT163" s="125"/>
      <c r="CXU163" s="125"/>
      <c r="CXV163" s="125"/>
      <c r="CXW163" s="125"/>
      <c r="CXX163" s="125"/>
      <c r="CXY163" s="125"/>
      <c r="CXZ163" s="125"/>
      <c r="CYA163" s="125"/>
      <c r="CYB163" s="125"/>
      <c r="CYC163" s="125"/>
      <c r="CYD163" s="125"/>
      <c r="CYE163" s="125"/>
      <c r="CYF163" s="125"/>
      <c r="CYG163" s="125"/>
      <c r="CYH163" s="125"/>
      <c r="CYI163" s="125"/>
      <c r="CYJ163" s="125"/>
      <c r="CYK163" s="125"/>
      <c r="CYL163" s="125"/>
      <c r="CYM163" s="125"/>
      <c r="CYN163" s="125"/>
      <c r="CYO163" s="125"/>
      <c r="CYP163" s="125"/>
      <c r="CYQ163" s="125"/>
      <c r="CYR163" s="125"/>
      <c r="CYS163" s="125"/>
      <c r="CYT163" s="125"/>
      <c r="CYU163" s="125"/>
      <c r="CYV163" s="125"/>
      <c r="CYW163" s="125"/>
      <c r="CYX163" s="125"/>
      <c r="CYY163" s="125"/>
      <c r="CYZ163" s="125"/>
      <c r="CZA163" s="125"/>
      <c r="CZB163" s="125"/>
      <c r="CZC163" s="125"/>
      <c r="CZD163" s="125"/>
      <c r="CZE163" s="125"/>
      <c r="CZF163" s="125"/>
      <c r="CZG163" s="125"/>
      <c r="CZH163" s="125"/>
      <c r="CZI163" s="125"/>
      <c r="CZJ163" s="125"/>
      <c r="CZK163" s="125"/>
      <c r="CZL163" s="125"/>
      <c r="CZM163" s="125"/>
      <c r="CZN163" s="125"/>
      <c r="CZO163" s="125"/>
      <c r="CZP163" s="125"/>
      <c r="CZQ163" s="125"/>
      <c r="CZR163" s="125"/>
      <c r="CZS163" s="125"/>
      <c r="CZT163" s="125"/>
      <c r="CZU163" s="125"/>
      <c r="CZV163" s="125"/>
      <c r="CZW163" s="125"/>
      <c r="CZX163" s="125"/>
      <c r="CZY163" s="125"/>
      <c r="CZZ163" s="125"/>
      <c r="DAA163" s="125"/>
      <c r="DAB163" s="125"/>
      <c r="DAC163" s="125"/>
      <c r="DAD163" s="125"/>
      <c r="DAE163" s="125"/>
      <c r="DAF163" s="125"/>
      <c r="DAG163" s="125"/>
      <c r="DAH163" s="125"/>
      <c r="DAI163" s="125"/>
      <c r="DAJ163" s="125"/>
      <c r="DAK163" s="125"/>
      <c r="DAL163" s="125"/>
      <c r="DAM163" s="125"/>
      <c r="DAN163" s="125"/>
      <c r="DAO163" s="125"/>
      <c r="DAP163" s="125"/>
      <c r="DAQ163" s="125"/>
      <c r="DAR163" s="125"/>
      <c r="DAS163" s="125"/>
      <c r="DAT163" s="125"/>
      <c r="DAU163" s="125"/>
      <c r="DAV163" s="125"/>
      <c r="DAW163" s="125"/>
      <c r="DAX163" s="125"/>
      <c r="DAY163" s="125"/>
      <c r="DAZ163" s="125"/>
      <c r="DBA163" s="125"/>
      <c r="DBB163" s="125"/>
      <c r="DBC163" s="125"/>
      <c r="DBD163" s="125"/>
      <c r="DBE163" s="125"/>
      <c r="DBF163" s="125"/>
      <c r="DBG163" s="125"/>
      <c r="DBH163" s="125"/>
      <c r="DBI163" s="125"/>
      <c r="DBJ163" s="125"/>
      <c r="DBK163" s="125"/>
      <c r="DBL163" s="125"/>
      <c r="DBM163" s="125"/>
      <c r="DBN163" s="125"/>
      <c r="DBO163" s="125"/>
      <c r="DBP163" s="125"/>
      <c r="DBQ163" s="125"/>
      <c r="DBR163" s="125"/>
      <c r="DBS163" s="125"/>
      <c r="DBT163" s="125"/>
      <c r="DBU163" s="125"/>
      <c r="DBV163" s="125"/>
      <c r="DBW163" s="125"/>
      <c r="DBX163" s="125"/>
      <c r="DBY163" s="125"/>
      <c r="DBZ163" s="125"/>
      <c r="DCA163" s="125"/>
      <c r="DCB163" s="125"/>
      <c r="DCC163" s="125"/>
      <c r="DCD163" s="125"/>
      <c r="DCE163" s="125"/>
      <c r="DCF163" s="125"/>
      <c r="DCG163" s="125"/>
      <c r="DCH163" s="125"/>
      <c r="DCI163" s="125"/>
      <c r="DCJ163" s="125"/>
      <c r="DCK163" s="125"/>
      <c r="DCL163" s="125"/>
      <c r="DCM163" s="125"/>
      <c r="DCN163" s="125"/>
      <c r="DCO163" s="125"/>
      <c r="DCP163" s="125"/>
      <c r="DCQ163" s="125"/>
      <c r="DCR163" s="125"/>
      <c r="DCS163" s="125"/>
      <c r="DCT163" s="125"/>
      <c r="DCU163" s="125"/>
      <c r="DCV163" s="125"/>
      <c r="DCW163" s="125"/>
      <c r="DCX163" s="125"/>
      <c r="DCY163" s="125"/>
      <c r="DCZ163" s="125"/>
      <c r="DDA163" s="125"/>
      <c r="DDB163" s="125"/>
      <c r="DDC163" s="125"/>
      <c r="DDD163" s="125"/>
      <c r="DDE163" s="125"/>
      <c r="DDF163" s="125"/>
      <c r="DDG163" s="125"/>
      <c r="DDH163" s="125"/>
      <c r="DDI163" s="125"/>
      <c r="DDJ163" s="125"/>
      <c r="DDK163" s="125"/>
      <c r="DDL163" s="125"/>
      <c r="DDM163" s="125"/>
      <c r="DDN163" s="125"/>
      <c r="DDO163" s="125"/>
      <c r="DDP163" s="125"/>
      <c r="DDQ163" s="125"/>
      <c r="DDR163" s="125"/>
      <c r="DDS163" s="125"/>
      <c r="DDT163" s="125"/>
      <c r="DDU163" s="125"/>
      <c r="DDV163" s="125"/>
      <c r="DDW163" s="125"/>
      <c r="DDX163" s="125"/>
      <c r="DDY163" s="125"/>
      <c r="DDZ163" s="125"/>
      <c r="DEA163" s="125"/>
      <c r="DEB163" s="125"/>
      <c r="DEC163" s="125"/>
      <c r="DED163" s="125"/>
      <c r="DEE163" s="125"/>
      <c r="DEF163" s="125"/>
      <c r="DEG163" s="125"/>
      <c r="DEH163" s="125"/>
      <c r="DEI163" s="125"/>
      <c r="DEJ163" s="125"/>
      <c r="DEK163" s="125"/>
      <c r="DEL163" s="125"/>
      <c r="DEM163" s="125"/>
      <c r="DEN163" s="125"/>
      <c r="DEO163" s="125"/>
      <c r="DEP163" s="125"/>
      <c r="DEQ163" s="125"/>
      <c r="DER163" s="125"/>
      <c r="DES163" s="125"/>
      <c r="DET163" s="125"/>
      <c r="DEU163" s="125"/>
      <c r="DEV163" s="125"/>
      <c r="DEW163" s="125"/>
      <c r="DEX163" s="125"/>
      <c r="DEY163" s="125"/>
      <c r="DEZ163" s="125"/>
      <c r="DFA163" s="125"/>
      <c r="DFB163" s="125"/>
      <c r="DFC163" s="125"/>
      <c r="DFD163" s="125"/>
      <c r="DFE163" s="125"/>
      <c r="DFF163" s="125"/>
      <c r="DFG163" s="125"/>
      <c r="DFH163" s="125"/>
      <c r="DFI163" s="125"/>
      <c r="DFJ163" s="125"/>
      <c r="DFK163" s="125"/>
      <c r="DFL163" s="125"/>
      <c r="DFM163" s="125"/>
      <c r="DFN163" s="125"/>
      <c r="DFO163" s="125"/>
      <c r="DFP163" s="125"/>
      <c r="DFQ163" s="125"/>
      <c r="DFR163" s="125"/>
      <c r="DFS163" s="125"/>
      <c r="DFT163" s="125"/>
      <c r="DFU163" s="125"/>
      <c r="DFV163" s="125"/>
      <c r="DFW163" s="125"/>
      <c r="DFX163" s="125"/>
      <c r="DFY163" s="125"/>
      <c r="DFZ163" s="125"/>
      <c r="DGA163" s="125"/>
      <c r="DGB163" s="125"/>
      <c r="DGC163" s="125"/>
      <c r="DGD163" s="125"/>
      <c r="DGE163" s="125"/>
      <c r="DGF163" s="125"/>
      <c r="DGG163" s="125"/>
      <c r="DGH163" s="125"/>
      <c r="DGI163" s="125"/>
      <c r="DGJ163" s="125"/>
      <c r="DGK163" s="125"/>
      <c r="DGL163" s="125"/>
      <c r="DGM163" s="125"/>
      <c r="DGN163" s="125"/>
      <c r="DGO163" s="125"/>
      <c r="DGP163" s="125"/>
      <c r="DGQ163" s="125"/>
      <c r="DGR163" s="125"/>
      <c r="DGS163" s="125"/>
      <c r="DGT163" s="125"/>
      <c r="DGU163" s="125"/>
      <c r="DGV163" s="125"/>
      <c r="DGW163" s="125"/>
      <c r="DGX163" s="125"/>
      <c r="DGY163" s="125"/>
      <c r="DGZ163" s="125"/>
      <c r="DHA163" s="125"/>
      <c r="DHB163" s="125"/>
      <c r="DHC163" s="125"/>
      <c r="DHD163" s="125"/>
      <c r="DHE163" s="125"/>
      <c r="DHF163" s="125"/>
      <c r="DHG163" s="125"/>
      <c r="DHH163" s="125"/>
      <c r="DHI163" s="125"/>
      <c r="DHJ163" s="125"/>
      <c r="DHK163" s="125"/>
      <c r="DHL163" s="125"/>
      <c r="DHM163" s="125"/>
      <c r="DHN163" s="125"/>
      <c r="DHO163" s="125"/>
      <c r="DHP163" s="125"/>
      <c r="DHQ163" s="125"/>
      <c r="DHR163" s="125"/>
      <c r="DHS163" s="125"/>
      <c r="DHT163" s="125"/>
      <c r="DHU163" s="125"/>
      <c r="DHV163" s="125"/>
      <c r="DHW163" s="125"/>
      <c r="DHX163" s="125"/>
      <c r="DHY163" s="125"/>
      <c r="DHZ163" s="125"/>
      <c r="DIA163" s="125"/>
      <c r="DIB163" s="125"/>
      <c r="DIC163" s="125"/>
      <c r="DID163" s="125"/>
      <c r="DIE163" s="125"/>
      <c r="DIF163" s="125"/>
      <c r="DIG163" s="125"/>
      <c r="DIH163" s="125"/>
      <c r="DII163" s="125"/>
      <c r="DIJ163" s="125"/>
      <c r="DIK163" s="125"/>
      <c r="DIL163" s="125"/>
      <c r="DIM163" s="125"/>
      <c r="DIN163" s="125"/>
      <c r="DIO163" s="125"/>
      <c r="DIP163" s="125"/>
      <c r="DIQ163" s="125"/>
      <c r="DIR163" s="125"/>
      <c r="DIS163" s="125"/>
      <c r="DIT163" s="125"/>
      <c r="DIU163" s="125"/>
      <c r="DIV163" s="125"/>
      <c r="DIW163" s="125"/>
      <c r="DIX163" s="125"/>
      <c r="DIY163" s="125"/>
      <c r="DIZ163" s="125"/>
      <c r="DJA163" s="125"/>
      <c r="DJB163" s="125"/>
      <c r="DJC163" s="125"/>
      <c r="DJD163" s="125"/>
      <c r="DJE163" s="125"/>
      <c r="DJF163" s="125"/>
      <c r="DJG163" s="125"/>
      <c r="DJH163" s="125"/>
      <c r="DJI163" s="125"/>
      <c r="DJJ163" s="125"/>
      <c r="DJK163" s="125"/>
      <c r="DJL163" s="125"/>
      <c r="DJM163" s="125"/>
      <c r="DJN163" s="125"/>
      <c r="DJO163" s="125"/>
      <c r="DJP163" s="125"/>
      <c r="DJQ163" s="125"/>
      <c r="DJR163" s="125"/>
      <c r="DJS163" s="125"/>
      <c r="DJT163" s="125"/>
      <c r="DJU163" s="125"/>
      <c r="DJV163" s="125"/>
      <c r="DJW163" s="125"/>
      <c r="DJX163" s="125"/>
      <c r="DJY163" s="125"/>
      <c r="DJZ163" s="125"/>
      <c r="DKA163" s="125"/>
      <c r="DKB163" s="125"/>
      <c r="DKC163" s="125"/>
      <c r="DKD163" s="125"/>
      <c r="DKE163" s="125"/>
      <c r="DKF163" s="125"/>
      <c r="DKG163" s="125"/>
      <c r="DKH163" s="125"/>
      <c r="DKI163" s="125"/>
      <c r="DKJ163" s="125"/>
      <c r="DKK163" s="125"/>
      <c r="DKL163" s="125"/>
      <c r="DKM163" s="125"/>
      <c r="DKN163" s="125"/>
      <c r="DKO163" s="125"/>
      <c r="DKP163" s="125"/>
      <c r="DKQ163" s="125"/>
      <c r="DKR163" s="125"/>
      <c r="DKS163" s="125"/>
      <c r="DKT163" s="125"/>
      <c r="DKU163" s="125"/>
      <c r="DKV163" s="125"/>
      <c r="DKW163" s="125"/>
      <c r="DKX163" s="125"/>
      <c r="DKY163" s="125"/>
      <c r="DKZ163" s="125"/>
      <c r="DLA163" s="125"/>
      <c r="DLB163" s="125"/>
      <c r="DLC163" s="125"/>
      <c r="DLD163" s="125"/>
      <c r="DLE163" s="125"/>
      <c r="DLF163" s="125"/>
      <c r="DLG163" s="125"/>
      <c r="DLH163" s="125"/>
      <c r="DLI163" s="125"/>
      <c r="DLJ163" s="125"/>
      <c r="DLK163" s="125"/>
      <c r="DLL163" s="125"/>
      <c r="DLM163" s="125"/>
      <c r="DLN163" s="125"/>
      <c r="DLO163" s="125"/>
      <c r="DLP163" s="125"/>
      <c r="DLQ163" s="125"/>
      <c r="DLR163" s="125"/>
      <c r="DLS163" s="125"/>
      <c r="DLT163" s="125"/>
      <c r="DLU163" s="125"/>
      <c r="DLV163" s="125"/>
      <c r="DLW163" s="125"/>
      <c r="DLX163" s="125"/>
      <c r="DLY163" s="125"/>
      <c r="DLZ163" s="125"/>
      <c r="DMA163" s="125"/>
      <c r="DMB163" s="125"/>
      <c r="DMC163" s="125"/>
      <c r="DMD163" s="125"/>
      <c r="DME163" s="125"/>
      <c r="DMF163" s="125"/>
      <c r="DMG163" s="125"/>
      <c r="DMH163" s="125"/>
      <c r="DMI163" s="125"/>
      <c r="DMJ163" s="125"/>
      <c r="DMK163" s="125"/>
      <c r="DML163" s="125"/>
      <c r="DMM163" s="125"/>
      <c r="DMN163" s="125"/>
      <c r="DMO163" s="125"/>
      <c r="DMP163" s="125"/>
      <c r="DMQ163" s="125"/>
      <c r="DMR163" s="125"/>
      <c r="DMS163" s="125"/>
      <c r="DMT163" s="125"/>
      <c r="DMU163" s="125"/>
      <c r="DMV163" s="125"/>
      <c r="DMW163" s="125"/>
      <c r="DMX163" s="125"/>
      <c r="DMY163" s="125"/>
      <c r="DMZ163" s="125"/>
      <c r="DNA163" s="125"/>
      <c r="DNB163" s="125"/>
      <c r="DNC163" s="125"/>
      <c r="DND163" s="125"/>
      <c r="DNE163" s="125"/>
      <c r="DNF163" s="125"/>
      <c r="DNG163" s="125"/>
      <c r="DNH163" s="125"/>
      <c r="DNI163" s="125"/>
      <c r="DNJ163" s="125"/>
      <c r="DNK163" s="125"/>
      <c r="DNL163" s="125"/>
      <c r="DNM163" s="125"/>
      <c r="DNN163" s="125"/>
      <c r="DNO163" s="125"/>
      <c r="DNP163" s="125"/>
      <c r="DNQ163" s="125"/>
      <c r="DNR163" s="125"/>
      <c r="DNS163" s="125"/>
      <c r="DNT163" s="125"/>
      <c r="DNU163" s="125"/>
      <c r="DNV163" s="125"/>
      <c r="DNW163" s="125"/>
      <c r="DNX163" s="125"/>
      <c r="DNY163" s="125"/>
      <c r="DNZ163" s="125"/>
      <c r="DOA163" s="125"/>
      <c r="DOB163" s="125"/>
      <c r="DOC163" s="125"/>
      <c r="DOD163" s="125"/>
      <c r="DOE163" s="125"/>
      <c r="DOF163" s="125"/>
      <c r="DOG163" s="125"/>
      <c r="DOH163" s="125"/>
      <c r="DOI163" s="125"/>
      <c r="DOJ163" s="125"/>
      <c r="DOK163" s="125"/>
      <c r="DOL163" s="125"/>
      <c r="DOM163" s="125"/>
      <c r="DON163" s="125"/>
      <c r="DOO163" s="125"/>
      <c r="DOP163" s="125"/>
      <c r="DOQ163" s="125"/>
      <c r="DOR163" s="125"/>
      <c r="DOS163" s="125"/>
      <c r="DOT163" s="125"/>
      <c r="DOU163" s="125"/>
      <c r="DOV163" s="125"/>
      <c r="DOW163" s="125"/>
      <c r="DOX163" s="125"/>
      <c r="DOY163" s="125"/>
      <c r="DOZ163" s="125"/>
      <c r="DPA163" s="125"/>
      <c r="DPB163" s="125"/>
      <c r="DPC163" s="125"/>
      <c r="DPD163" s="125"/>
      <c r="DPE163" s="125"/>
      <c r="DPF163" s="125"/>
      <c r="DPG163" s="125"/>
      <c r="DPH163" s="125"/>
      <c r="DPI163" s="125"/>
      <c r="DPJ163" s="125"/>
      <c r="DPK163" s="125"/>
      <c r="DPL163" s="125"/>
      <c r="DPM163" s="125"/>
      <c r="DPN163" s="125"/>
      <c r="DPO163" s="125"/>
      <c r="DPP163" s="125"/>
      <c r="DPQ163" s="125"/>
      <c r="DPR163" s="125"/>
      <c r="DPS163" s="125"/>
      <c r="DPT163" s="125"/>
      <c r="DPU163" s="125"/>
      <c r="DPV163" s="125"/>
      <c r="DPW163" s="125"/>
      <c r="DPX163" s="125"/>
      <c r="DPY163" s="125"/>
      <c r="DPZ163" s="125"/>
      <c r="DQA163" s="125"/>
      <c r="DQB163" s="125"/>
      <c r="DQC163" s="125"/>
      <c r="DQD163" s="125"/>
      <c r="DQE163" s="125"/>
      <c r="DQF163" s="125"/>
      <c r="DQG163" s="125"/>
      <c r="DQH163" s="125"/>
      <c r="DQI163" s="125"/>
      <c r="DQJ163" s="125"/>
      <c r="DQK163" s="125"/>
      <c r="DQL163" s="125"/>
      <c r="DQM163" s="125"/>
      <c r="DQN163" s="125"/>
      <c r="DQO163" s="125"/>
      <c r="DQP163" s="125"/>
      <c r="DQQ163" s="125"/>
      <c r="DQR163" s="125"/>
      <c r="DQS163" s="125"/>
      <c r="DQT163" s="125"/>
      <c r="DQU163" s="125"/>
      <c r="DQV163" s="125"/>
      <c r="DQW163" s="125"/>
      <c r="DQX163" s="125"/>
      <c r="DQY163" s="125"/>
      <c r="DQZ163" s="125"/>
      <c r="DRA163" s="125"/>
      <c r="DRB163" s="125"/>
      <c r="DRC163" s="125"/>
      <c r="DRD163" s="125"/>
      <c r="DRE163" s="125"/>
      <c r="DRF163" s="125"/>
      <c r="DRG163" s="125"/>
      <c r="DRH163" s="125"/>
      <c r="DRI163" s="125"/>
      <c r="DRJ163" s="125"/>
      <c r="DRK163" s="125"/>
      <c r="DRL163" s="125"/>
      <c r="DRM163" s="125"/>
      <c r="DRN163" s="125"/>
      <c r="DRO163" s="125"/>
      <c r="DRP163" s="125"/>
      <c r="DRQ163" s="125"/>
      <c r="DRR163" s="125"/>
      <c r="DRS163" s="125"/>
      <c r="DRT163" s="125"/>
      <c r="DRU163" s="125"/>
      <c r="DRV163" s="125"/>
      <c r="DRW163" s="125"/>
      <c r="DRX163" s="125"/>
      <c r="DRY163" s="125"/>
      <c r="DRZ163" s="125"/>
      <c r="DSA163" s="125"/>
      <c r="DSB163" s="125"/>
      <c r="DSC163" s="125"/>
      <c r="DSD163" s="125"/>
      <c r="DSE163" s="125"/>
      <c r="DSF163" s="125"/>
      <c r="DSG163" s="125"/>
      <c r="DSH163" s="125"/>
      <c r="DSI163" s="125"/>
      <c r="DSJ163" s="125"/>
      <c r="DSK163" s="125"/>
      <c r="DSL163" s="125"/>
      <c r="DSM163" s="125"/>
      <c r="DSN163" s="125"/>
      <c r="DSO163" s="125"/>
      <c r="DSP163" s="125"/>
      <c r="DSQ163" s="125"/>
      <c r="DSR163" s="125"/>
      <c r="DSS163" s="125"/>
      <c r="DST163" s="125"/>
      <c r="DSU163" s="125"/>
      <c r="DSV163" s="125"/>
      <c r="DSW163" s="125"/>
      <c r="DSX163" s="125"/>
      <c r="DSY163" s="125"/>
      <c r="DSZ163" s="125"/>
      <c r="DTA163" s="125"/>
      <c r="DTB163" s="125"/>
      <c r="DTC163" s="125"/>
      <c r="DTD163" s="125"/>
      <c r="DTE163" s="125"/>
      <c r="DTF163" s="125"/>
      <c r="DTG163" s="125"/>
      <c r="DTH163" s="125"/>
      <c r="DTI163" s="125"/>
      <c r="DTJ163" s="125"/>
      <c r="DTK163" s="125"/>
      <c r="DTL163" s="125"/>
      <c r="DTM163" s="125"/>
      <c r="DTN163" s="125"/>
      <c r="DTO163" s="125"/>
      <c r="DTP163" s="125"/>
      <c r="DTQ163" s="125"/>
      <c r="DTR163" s="125"/>
      <c r="DTS163" s="125"/>
      <c r="DTT163" s="125"/>
      <c r="DTU163" s="125"/>
      <c r="DTV163" s="125"/>
      <c r="DTW163" s="125"/>
      <c r="DTX163" s="125"/>
      <c r="DTY163" s="125"/>
      <c r="DTZ163" s="125"/>
      <c r="DUA163" s="125"/>
      <c r="DUB163" s="125"/>
      <c r="DUC163" s="125"/>
      <c r="DUD163" s="125"/>
      <c r="DUE163" s="125"/>
      <c r="DUF163" s="125"/>
      <c r="DUG163" s="125"/>
      <c r="DUH163" s="125"/>
      <c r="DUI163" s="125"/>
      <c r="DUJ163" s="125"/>
      <c r="DUK163" s="125"/>
      <c r="DUL163" s="125"/>
      <c r="DUM163" s="125"/>
      <c r="DUN163" s="125"/>
      <c r="DUO163" s="125"/>
      <c r="DUP163" s="125"/>
      <c r="DUQ163" s="125"/>
      <c r="DUR163" s="125"/>
      <c r="DUS163" s="125"/>
      <c r="DUT163" s="125"/>
      <c r="DUU163" s="125"/>
      <c r="DUV163" s="125"/>
      <c r="DUW163" s="125"/>
      <c r="DUX163" s="125"/>
      <c r="DUY163" s="125"/>
      <c r="DUZ163" s="125"/>
      <c r="DVA163" s="125"/>
      <c r="DVB163" s="125"/>
      <c r="DVC163" s="125"/>
      <c r="DVD163" s="125"/>
      <c r="DVE163" s="125"/>
      <c r="DVF163" s="125"/>
      <c r="DVG163" s="125"/>
      <c r="DVH163" s="125"/>
      <c r="DVI163" s="125"/>
      <c r="DVJ163" s="125"/>
      <c r="DVK163" s="125"/>
      <c r="DVL163" s="125"/>
      <c r="DVM163" s="125"/>
      <c r="DVN163" s="125"/>
      <c r="DVO163" s="125"/>
      <c r="DVP163" s="125"/>
      <c r="DVQ163" s="125"/>
      <c r="DVR163" s="125"/>
      <c r="DVS163" s="125"/>
      <c r="DVT163" s="125"/>
      <c r="DVU163" s="125"/>
      <c r="DVV163" s="125"/>
      <c r="DVW163" s="125"/>
      <c r="DVX163" s="125"/>
      <c r="DVY163" s="125"/>
      <c r="DVZ163" s="125"/>
      <c r="DWA163" s="125"/>
      <c r="DWB163" s="125"/>
      <c r="DWC163" s="125"/>
      <c r="DWD163" s="125"/>
      <c r="DWE163" s="125"/>
      <c r="DWF163" s="125"/>
      <c r="DWG163" s="125"/>
      <c r="DWH163" s="125"/>
      <c r="DWI163" s="125"/>
      <c r="DWJ163" s="125"/>
      <c r="DWK163" s="125"/>
      <c r="DWL163" s="125"/>
      <c r="DWM163" s="125"/>
      <c r="DWN163" s="125"/>
      <c r="DWO163" s="125"/>
      <c r="DWP163" s="125"/>
      <c r="DWQ163" s="125"/>
      <c r="DWR163" s="125"/>
      <c r="DWS163" s="125"/>
      <c r="DWT163" s="125"/>
      <c r="DWU163" s="125"/>
      <c r="DWV163" s="125"/>
      <c r="DWW163" s="125"/>
      <c r="DWX163" s="125"/>
      <c r="DWY163" s="125"/>
      <c r="DWZ163" s="125"/>
      <c r="DXA163" s="125"/>
      <c r="DXB163" s="125"/>
      <c r="DXC163" s="125"/>
      <c r="DXD163" s="125"/>
      <c r="DXE163" s="125"/>
      <c r="DXF163" s="125"/>
      <c r="DXG163" s="125"/>
      <c r="DXH163" s="125"/>
      <c r="DXI163" s="125"/>
      <c r="DXJ163" s="125"/>
      <c r="DXK163" s="125"/>
      <c r="DXL163" s="125"/>
      <c r="DXM163" s="125"/>
      <c r="DXN163" s="125"/>
      <c r="DXO163" s="125"/>
      <c r="DXP163" s="125"/>
      <c r="DXQ163" s="125"/>
      <c r="DXR163" s="125"/>
      <c r="DXS163" s="125"/>
      <c r="DXT163" s="125"/>
      <c r="DXU163" s="125"/>
      <c r="DXV163" s="125"/>
      <c r="DXW163" s="125"/>
      <c r="DXX163" s="125"/>
      <c r="DXY163" s="125"/>
      <c r="DXZ163" s="125"/>
      <c r="DYA163" s="125"/>
      <c r="DYB163" s="125"/>
      <c r="DYC163" s="125"/>
      <c r="DYD163" s="125"/>
      <c r="DYE163" s="125"/>
      <c r="DYF163" s="125"/>
      <c r="DYG163" s="125"/>
      <c r="DYH163" s="125"/>
      <c r="DYI163" s="125"/>
      <c r="DYJ163" s="125"/>
      <c r="DYK163" s="125"/>
      <c r="DYL163" s="125"/>
      <c r="DYM163" s="125"/>
      <c r="DYN163" s="125"/>
      <c r="DYO163" s="125"/>
      <c r="DYP163" s="125"/>
      <c r="DYQ163" s="125"/>
      <c r="DYR163" s="125"/>
      <c r="DYS163" s="125"/>
      <c r="DYT163" s="125"/>
      <c r="DYU163" s="125"/>
      <c r="DYV163" s="125"/>
      <c r="DYW163" s="125"/>
      <c r="DYX163" s="125"/>
      <c r="DYY163" s="125"/>
      <c r="DYZ163" s="125"/>
      <c r="DZA163" s="125"/>
      <c r="DZB163" s="125"/>
      <c r="DZC163" s="125"/>
      <c r="DZD163" s="125"/>
      <c r="DZE163" s="125"/>
      <c r="DZF163" s="125"/>
      <c r="DZG163" s="125"/>
      <c r="DZH163" s="125"/>
      <c r="DZI163" s="125"/>
      <c r="DZJ163" s="125"/>
      <c r="DZK163" s="125"/>
      <c r="DZL163" s="125"/>
      <c r="DZM163" s="125"/>
      <c r="DZN163" s="125"/>
      <c r="DZO163" s="125"/>
      <c r="DZP163" s="125"/>
      <c r="DZQ163" s="125"/>
      <c r="DZR163" s="125"/>
      <c r="DZS163" s="125"/>
      <c r="DZT163" s="125"/>
      <c r="DZU163" s="125"/>
      <c r="DZV163" s="125"/>
      <c r="DZW163" s="125"/>
      <c r="DZX163" s="125"/>
      <c r="DZY163" s="125"/>
      <c r="DZZ163" s="125"/>
      <c r="EAA163" s="125"/>
      <c r="EAB163" s="125"/>
      <c r="EAC163" s="125"/>
      <c r="EAD163" s="125"/>
      <c r="EAE163" s="125"/>
      <c r="EAF163" s="125"/>
      <c r="EAG163" s="125"/>
      <c r="EAH163" s="125"/>
      <c r="EAI163" s="125"/>
      <c r="EAJ163" s="125"/>
      <c r="EAK163" s="125"/>
      <c r="EAL163" s="125"/>
      <c r="EAM163" s="125"/>
      <c r="EAN163" s="125"/>
      <c r="EAO163" s="125"/>
      <c r="EAP163" s="125"/>
      <c r="EAQ163" s="125"/>
      <c r="EAR163" s="125"/>
      <c r="EAS163" s="125"/>
      <c r="EAT163" s="125"/>
      <c r="EAU163" s="125"/>
      <c r="EAV163" s="125"/>
      <c r="EAW163" s="125"/>
      <c r="EAX163" s="125"/>
      <c r="EAY163" s="125"/>
      <c r="EAZ163" s="125"/>
      <c r="EBA163" s="125"/>
      <c r="EBB163" s="125"/>
      <c r="EBC163" s="125"/>
      <c r="EBD163" s="125"/>
      <c r="EBE163" s="125"/>
      <c r="EBF163" s="125"/>
      <c r="EBG163" s="125"/>
      <c r="EBH163" s="125"/>
      <c r="EBI163" s="125"/>
      <c r="EBJ163" s="125"/>
      <c r="EBK163" s="125"/>
      <c r="EBL163" s="125"/>
      <c r="EBM163" s="125"/>
      <c r="EBN163" s="125"/>
      <c r="EBO163" s="125"/>
      <c r="EBP163" s="125"/>
      <c r="EBQ163" s="125"/>
      <c r="EBR163" s="125"/>
      <c r="EBS163" s="125"/>
      <c r="EBT163" s="125"/>
      <c r="EBU163" s="125"/>
      <c r="EBV163" s="125"/>
      <c r="EBW163" s="125"/>
      <c r="EBX163" s="125"/>
      <c r="EBY163" s="125"/>
      <c r="EBZ163" s="125"/>
      <c r="ECA163" s="125"/>
      <c r="ECB163" s="125"/>
      <c r="ECC163" s="125"/>
      <c r="ECD163" s="125"/>
      <c r="ECE163" s="125"/>
      <c r="ECF163" s="125"/>
      <c r="ECG163" s="125"/>
      <c r="ECH163" s="125"/>
      <c r="ECI163" s="125"/>
      <c r="ECJ163" s="125"/>
      <c r="ECK163" s="125"/>
      <c r="ECL163" s="125"/>
      <c r="ECM163" s="125"/>
      <c r="ECN163" s="125"/>
      <c r="ECO163" s="125"/>
      <c r="ECP163" s="125"/>
      <c r="ECQ163" s="125"/>
      <c r="ECR163" s="125"/>
      <c r="ECS163" s="125"/>
      <c r="ECT163" s="125"/>
      <c r="ECU163" s="125"/>
      <c r="ECV163" s="125"/>
      <c r="ECW163" s="125"/>
      <c r="ECX163" s="125"/>
      <c r="ECY163" s="125"/>
      <c r="ECZ163" s="125"/>
      <c r="EDA163" s="125"/>
      <c r="EDB163" s="125"/>
      <c r="EDC163" s="125"/>
      <c r="EDD163" s="125"/>
      <c r="EDE163" s="125"/>
      <c r="EDF163" s="125"/>
      <c r="EDG163" s="125"/>
      <c r="EDH163" s="125"/>
      <c r="EDI163" s="125"/>
      <c r="EDJ163" s="125"/>
      <c r="EDK163" s="125"/>
      <c r="EDL163" s="125"/>
      <c r="EDM163" s="125"/>
      <c r="EDN163" s="125"/>
      <c r="EDO163" s="125"/>
      <c r="EDP163" s="125"/>
      <c r="EDQ163" s="125"/>
      <c r="EDR163" s="125"/>
      <c r="EDS163" s="125"/>
      <c r="EDT163" s="125"/>
      <c r="EDU163" s="125"/>
      <c r="EDV163" s="125"/>
      <c r="EDW163" s="125"/>
      <c r="EDX163" s="125"/>
      <c r="EDY163" s="125"/>
      <c r="EDZ163" s="125"/>
      <c r="EEA163" s="125"/>
      <c r="EEB163" s="125"/>
      <c r="EEC163" s="125"/>
      <c r="EED163" s="125"/>
      <c r="EEE163" s="125"/>
      <c r="EEF163" s="125"/>
      <c r="EEG163" s="125"/>
      <c r="EEH163" s="125"/>
      <c r="EEI163" s="125"/>
      <c r="EEJ163" s="125"/>
      <c r="EEK163" s="125"/>
      <c r="EEL163" s="125"/>
      <c r="EEM163" s="125"/>
      <c r="EEN163" s="125"/>
      <c r="EEO163" s="125"/>
      <c r="EEP163" s="125"/>
      <c r="EEQ163" s="125"/>
      <c r="EER163" s="125"/>
      <c r="EES163" s="125"/>
      <c r="EET163" s="125"/>
      <c r="EEU163" s="125"/>
      <c r="EEV163" s="125"/>
      <c r="EEW163" s="125"/>
      <c r="EEX163" s="125"/>
      <c r="EEY163" s="125"/>
      <c r="EEZ163" s="125"/>
      <c r="EFA163" s="125"/>
      <c r="EFB163" s="125"/>
      <c r="EFC163" s="125"/>
      <c r="EFD163" s="125"/>
      <c r="EFE163" s="125"/>
      <c r="EFF163" s="125"/>
      <c r="EFG163" s="125"/>
      <c r="EFH163" s="125"/>
      <c r="EFI163" s="125"/>
      <c r="EFJ163" s="125"/>
      <c r="EFK163" s="125"/>
      <c r="EFL163" s="125"/>
      <c r="EFM163" s="125"/>
      <c r="EFN163" s="125"/>
      <c r="EFO163" s="125"/>
      <c r="EFP163" s="125"/>
      <c r="EFQ163" s="125"/>
      <c r="EFR163" s="125"/>
      <c r="EFS163" s="125"/>
      <c r="EFT163" s="125"/>
      <c r="EFU163" s="125"/>
      <c r="EFV163" s="125"/>
      <c r="EFW163" s="125"/>
      <c r="EFX163" s="125"/>
      <c r="EFY163" s="125"/>
      <c r="EFZ163" s="125"/>
      <c r="EGA163" s="125"/>
      <c r="EGB163" s="125"/>
      <c r="EGC163" s="125"/>
      <c r="EGD163" s="125"/>
      <c r="EGE163" s="125"/>
      <c r="EGF163" s="125"/>
      <c r="EGG163" s="125"/>
      <c r="EGH163" s="125"/>
      <c r="EGI163" s="125"/>
      <c r="EGJ163" s="125"/>
      <c r="EGK163" s="125"/>
      <c r="EGL163" s="125"/>
      <c r="EGM163" s="125"/>
      <c r="EGN163" s="125"/>
      <c r="EGO163" s="125"/>
      <c r="EGP163" s="125"/>
      <c r="EGQ163" s="125"/>
      <c r="EGR163" s="125"/>
      <c r="EGS163" s="125"/>
      <c r="EGT163" s="125"/>
      <c r="EGU163" s="125"/>
      <c r="EGV163" s="125"/>
      <c r="EGW163" s="125"/>
      <c r="EGX163" s="125"/>
      <c r="EGY163" s="125"/>
      <c r="EGZ163" s="125"/>
      <c r="EHA163" s="125"/>
      <c r="EHB163" s="125"/>
      <c r="EHC163" s="125"/>
      <c r="EHD163" s="125"/>
      <c r="EHE163" s="125"/>
      <c r="EHF163" s="125"/>
      <c r="EHG163" s="125"/>
      <c r="EHH163" s="125"/>
      <c r="EHI163" s="125"/>
      <c r="EHJ163" s="125"/>
      <c r="EHK163" s="125"/>
      <c r="EHL163" s="125"/>
      <c r="EHM163" s="125"/>
      <c r="EHN163" s="125"/>
      <c r="EHO163" s="125"/>
      <c r="EHP163" s="125"/>
      <c r="EHQ163" s="125"/>
      <c r="EHR163" s="125"/>
      <c r="EHS163" s="125"/>
      <c r="EHT163" s="125"/>
      <c r="EHU163" s="125"/>
      <c r="EHV163" s="125"/>
      <c r="EHW163" s="125"/>
      <c r="EHX163" s="125"/>
      <c r="EHY163" s="125"/>
      <c r="EHZ163" s="125"/>
      <c r="EIA163" s="125"/>
      <c r="EIB163" s="125"/>
      <c r="EIC163" s="125"/>
      <c r="EID163" s="125"/>
      <c r="EIE163" s="125"/>
      <c r="EIF163" s="125"/>
      <c r="EIG163" s="125"/>
      <c r="EIH163" s="125"/>
      <c r="EII163" s="125"/>
      <c r="EIJ163" s="125"/>
      <c r="EIK163" s="125"/>
      <c r="EIL163" s="125"/>
      <c r="EIM163" s="125"/>
      <c r="EIN163" s="125"/>
      <c r="EIO163" s="125"/>
      <c r="EIP163" s="125"/>
      <c r="EIQ163" s="125"/>
      <c r="EIR163" s="125"/>
      <c r="EIS163" s="125"/>
      <c r="EIT163" s="125"/>
      <c r="EIU163" s="125"/>
      <c r="EIV163" s="125"/>
      <c r="EIW163" s="125"/>
      <c r="EIX163" s="125"/>
      <c r="EIY163" s="125"/>
      <c r="EIZ163" s="125"/>
      <c r="EJA163" s="125"/>
      <c r="EJB163" s="125"/>
      <c r="EJC163" s="125"/>
      <c r="EJD163" s="125"/>
      <c r="EJE163" s="125"/>
      <c r="EJF163" s="125"/>
      <c r="EJG163" s="125"/>
      <c r="EJH163" s="125"/>
      <c r="EJI163" s="125"/>
      <c r="EJJ163" s="125"/>
      <c r="EJK163" s="125"/>
      <c r="EJL163" s="125"/>
      <c r="EJM163" s="125"/>
      <c r="EJN163" s="125"/>
      <c r="EJO163" s="125"/>
      <c r="EJP163" s="125"/>
      <c r="EJQ163" s="125"/>
      <c r="EJR163" s="125"/>
      <c r="EJS163" s="125"/>
      <c r="EJT163" s="125"/>
      <c r="EJU163" s="125"/>
      <c r="EJV163" s="125"/>
      <c r="EJW163" s="125"/>
      <c r="EJX163" s="125"/>
      <c r="EJY163" s="125"/>
      <c r="EJZ163" s="125"/>
      <c r="EKA163" s="125"/>
      <c r="EKB163" s="125"/>
      <c r="EKC163" s="125"/>
      <c r="EKD163" s="125"/>
      <c r="EKE163" s="125"/>
      <c r="EKF163" s="125"/>
      <c r="EKG163" s="125"/>
      <c r="EKH163" s="125"/>
      <c r="EKI163" s="125"/>
      <c r="EKJ163" s="125"/>
      <c r="EKK163" s="125"/>
      <c r="EKL163" s="125"/>
      <c r="EKM163" s="125"/>
      <c r="EKN163" s="125"/>
      <c r="EKO163" s="125"/>
      <c r="EKP163" s="125"/>
      <c r="EKQ163" s="125"/>
      <c r="EKR163" s="125"/>
      <c r="EKS163" s="125"/>
      <c r="EKT163" s="125"/>
      <c r="EKU163" s="125"/>
      <c r="EKV163" s="125"/>
      <c r="EKW163" s="125"/>
      <c r="EKX163" s="125"/>
      <c r="EKY163" s="125"/>
      <c r="EKZ163" s="125"/>
      <c r="ELA163" s="125"/>
      <c r="ELB163" s="125"/>
      <c r="ELC163" s="125"/>
      <c r="ELD163" s="125"/>
      <c r="ELE163" s="125"/>
      <c r="ELF163" s="125"/>
      <c r="ELG163" s="125"/>
      <c r="ELH163" s="125"/>
      <c r="ELI163" s="125"/>
      <c r="ELJ163" s="125"/>
      <c r="ELK163" s="125"/>
      <c r="ELL163" s="125"/>
      <c r="ELM163" s="125"/>
      <c r="ELN163" s="125"/>
      <c r="ELO163" s="125"/>
      <c r="ELP163" s="125"/>
      <c r="ELQ163" s="125"/>
      <c r="ELR163" s="125"/>
      <c r="ELS163" s="125"/>
      <c r="ELT163" s="125"/>
      <c r="ELU163" s="125"/>
      <c r="ELV163" s="125"/>
      <c r="ELW163" s="125"/>
      <c r="ELX163" s="125"/>
      <c r="ELY163" s="125"/>
      <c r="ELZ163" s="125"/>
      <c r="EMA163" s="125"/>
      <c r="EMB163" s="125"/>
      <c r="EMC163" s="125"/>
      <c r="EMD163" s="125"/>
      <c r="EME163" s="125"/>
      <c r="EMF163" s="125"/>
      <c r="EMG163" s="125"/>
      <c r="EMH163" s="125"/>
      <c r="EMI163" s="125"/>
      <c r="EMJ163" s="125"/>
      <c r="EMK163" s="125"/>
      <c r="EML163" s="125"/>
      <c r="EMM163" s="125"/>
      <c r="EMN163" s="125"/>
      <c r="EMO163" s="125"/>
      <c r="EMP163" s="125"/>
      <c r="EMQ163" s="125"/>
      <c r="EMR163" s="125"/>
      <c r="EMS163" s="125"/>
      <c r="EMT163" s="125"/>
      <c r="EMU163" s="125"/>
      <c r="EMV163" s="125"/>
      <c r="EMW163" s="125"/>
      <c r="EMX163" s="125"/>
      <c r="EMY163" s="125"/>
      <c r="EMZ163" s="125"/>
      <c r="ENA163" s="125"/>
      <c r="ENB163" s="125"/>
      <c r="ENC163" s="125"/>
      <c r="END163" s="125"/>
      <c r="ENE163" s="125"/>
      <c r="ENF163" s="125"/>
      <c r="ENG163" s="125"/>
      <c r="ENH163" s="125"/>
      <c r="ENI163" s="125"/>
      <c r="ENJ163" s="125"/>
      <c r="ENK163" s="125"/>
      <c r="ENL163" s="125"/>
      <c r="ENM163" s="125"/>
      <c r="ENN163" s="125"/>
      <c r="ENO163" s="125"/>
      <c r="ENP163" s="125"/>
      <c r="ENQ163" s="125"/>
      <c r="ENR163" s="125"/>
      <c r="ENS163" s="125"/>
      <c r="ENT163" s="125"/>
      <c r="ENU163" s="125"/>
      <c r="ENV163" s="125"/>
      <c r="ENW163" s="125"/>
      <c r="ENX163" s="125"/>
      <c r="ENY163" s="125"/>
      <c r="ENZ163" s="125"/>
      <c r="EOA163" s="125"/>
      <c r="EOB163" s="125"/>
      <c r="EOC163" s="125"/>
      <c r="EOD163" s="125"/>
      <c r="EOE163" s="125"/>
      <c r="EOF163" s="125"/>
      <c r="EOG163" s="125"/>
      <c r="EOH163" s="125"/>
      <c r="EOI163" s="125"/>
      <c r="EOJ163" s="125"/>
      <c r="EOK163" s="125"/>
      <c r="EOL163" s="125"/>
      <c r="EOM163" s="125"/>
      <c r="EON163" s="125"/>
      <c r="EOO163" s="125"/>
      <c r="EOP163" s="125"/>
      <c r="EOQ163" s="125"/>
      <c r="EOR163" s="125"/>
      <c r="EOS163" s="125"/>
      <c r="EOT163" s="125"/>
      <c r="EOU163" s="125"/>
      <c r="EOV163" s="125"/>
      <c r="EOW163" s="125"/>
      <c r="EOX163" s="125"/>
      <c r="EOY163" s="125"/>
      <c r="EOZ163" s="125"/>
      <c r="EPA163" s="125"/>
      <c r="EPB163" s="125"/>
      <c r="EPC163" s="125"/>
      <c r="EPD163" s="125"/>
      <c r="EPE163" s="125"/>
      <c r="EPF163" s="125"/>
      <c r="EPG163" s="125"/>
      <c r="EPH163" s="125"/>
      <c r="EPI163" s="125"/>
      <c r="EPJ163" s="125"/>
      <c r="EPK163" s="125"/>
      <c r="EPL163" s="125"/>
      <c r="EPM163" s="125"/>
      <c r="EPN163" s="125"/>
      <c r="EPO163" s="125"/>
      <c r="EPP163" s="125"/>
      <c r="EPQ163" s="125"/>
      <c r="EPR163" s="125"/>
      <c r="EPS163" s="125"/>
      <c r="EPT163" s="125"/>
      <c r="EPU163" s="125"/>
      <c r="EPV163" s="125"/>
      <c r="EPW163" s="125"/>
      <c r="EPX163" s="125"/>
      <c r="EPY163" s="125"/>
      <c r="EPZ163" s="125"/>
      <c r="EQA163" s="125"/>
      <c r="EQB163" s="125"/>
      <c r="EQC163" s="125"/>
      <c r="EQD163" s="125"/>
      <c r="EQE163" s="125"/>
      <c r="EQF163" s="125"/>
      <c r="EQG163" s="125"/>
      <c r="EQH163" s="125"/>
      <c r="EQI163" s="125"/>
      <c r="EQJ163" s="125"/>
      <c r="EQK163" s="125"/>
      <c r="EQL163" s="125"/>
      <c r="EQM163" s="125"/>
      <c r="EQN163" s="125"/>
      <c r="EQO163" s="125"/>
      <c r="EQP163" s="125"/>
      <c r="EQQ163" s="125"/>
      <c r="EQR163" s="125"/>
      <c r="EQS163" s="125"/>
      <c r="EQT163" s="125"/>
      <c r="EQU163" s="125"/>
      <c r="EQV163" s="125"/>
      <c r="EQW163" s="125"/>
      <c r="EQX163" s="125"/>
      <c r="EQY163" s="125"/>
      <c r="EQZ163" s="125"/>
      <c r="ERA163" s="125"/>
      <c r="ERB163" s="125"/>
      <c r="ERC163" s="125"/>
      <c r="ERD163" s="125"/>
      <c r="ERE163" s="125"/>
      <c r="ERF163" s="125"/>
      <c r="ERG163" s="125"/>
      <c r="ERH163" s="125"/>
      <c r="ERI163" s="125"/>
      <c r="ERJ163" s="125"/>
      <c r="ERK163" s="125"/>
      <c r="ERL163" s="125"/>
      <c r="ERM163" s="125"/>
      <c r="ERN163" s="125"/>
      <c r="ERO163" s="125"/>
      <c r="ERP163" s="125"/>
      <c r="ERQ163" s="125"/>
      <c r="ERR163" s="125"/>
      <c r="ERS163" s="125"/>
      <c r="ERT163" s="125"/>
      <c r="ERU163" s="125"/>
      <c r="ERV163" s="125"/>
      <c r="ERW163" s="125"/>
      <c r="ERX163" s="125"/>
      <c r="ERY163" s="125"/>
      <c r="ERZ163" s="125"/>
      <c r="ESA163" s="125"/>
      <c r="ESB163" s="125"/>
      <c r="ESC163" s="125"/>
      <c r="ESD163" s="125"/>
      <c r="ESE163" s="125"/>
      <c r="ESF163" s="125"/>
      <c r="ESG163" s="125"/>
      <c r="ESH163" s="125"/>
      <c r="ESI163" s="125"/>
      <c r="ESJ163" s="125"/>
      <c r="ESK163" s="125"/>
      <c r="ESL163" s="125"/>
      <c r="ESM163" s="125"/>
      <c r="ESN163" s="125"/>
      <c r="ESO163" s="125"/>
      <c r="ESP163" s="125"/>
      <c r="ESQ163" s="125"/>
      <c r="ESR163" s="125"/>
      <c r="ESS163" s="125"/>
      <c r="EST163" s="125"/>
      <c r="ESU163" s="125"/>
      <c r="ESV163" s="125"/>
      <c r="ESW163" s="125"/>
      <c r="ESX163" s="125"/>
      <c r="ESY163" s="125"/>
      <c r="ESZ163" s="125"/>
      <c r="ETA163" s="125"/>
      <c r="ETB163" s="125"/>
      <c r="ETC163" s="125"/>
      <c r="ETD163" s="125"/>
      <c r="ETE163" s="125"/>
      <c r="ETF163" s="125"/>
      <c r="ETG163" s="125"/>
      <c r="ETH163" s="125"/>
      <c r="ETI163" s="125"/>
      <c r="ETJ163" s="125"/>
      <c r="ETK163" s="125"/>
      <c r="ETL163" s="125"/>
      <c r="ETM163" s="125"/>
      <c r="ETN163" s="125"/>
      <c r="ETO163" s="125"/>
      <c r="ETP163" s="125"/>
      <c r="ETQ163" s="125"/>
      <c r="ETR163" s="125"/>
      <c r="ETS163" s="125"/>
      <c r="ETT163" s="125"/>
      <c r="ETU163" s="125"/>
      <c r="ETV163" s="125"/>
      <c r="ETW163" s="125"/>
      <c r="ETX163" s="125"/>
      <c r="ETY163" s="125"/>
      <c r="ETZ163" s="125"/>
      <c r="EUA163" s="125"/>
      <c r="EUB163" s="125"/>
      <c r="EUC163" s="125"/>
      <c r="EUD163" s="125"/>
      <c r="EUE163" s="125"/>
      <c r="EUF163" s="125"/>
      <c r="EUG163" s="125"/>
      <c r="EUH163" s="125"/>
      <c r="EUI163" s="125"/>
      <c r="EUJ163" s="125"/>
      <c r="EUK163" s="125"/>
      <c r="EUL163" s="125"/>
      <c r="EUM163" s="125"/>
      <c r="EUN163" s="125"/>
      <c r="EUO163" s="125"/>
      <c r="EUP163" s="125"/>
      <c r="EUQ163" s="125"/>
      <c r="EUR163" s="125"/>
      <c r="EUS163" s="125"/>
      <c r="EUT163" s="125"/>
      <c r="EUU163" s="125"/>
      <c r="EUV163" s="125"/>
      <c r="EUW163" s="125"/>
      <c r="EUX163" s="125"/>
      <c r="EUY163" s="125"/>
      <c r="EUZ163" s="125"/>
      <c r="EVA163" s="125"/>
      <c r="EVB163" s="125"/>
      <c r="EVC163" s="125"/>
      <c r="EVD163" s="125"/>
      <c r="EVE163" s="125"/>
      <c r="EVF163" s="125"/>
      <c r="EVG163" s="125"/>
      <c r="EVH163" s="125"/>
      <c r="EVI163" s="125"/>
      <c r="EVJ163" s="125"/>
      <c r="EVK163" s="125"/>
      <c r="EVL163" s="125"/>
      <c r="EVM163" s="125"/>
      <c r="EVN163" s="125"/>
      <c r="EVO163" s="125"/>
      <c r="EVP163" s="125"/>
      <c r="EVQ163" s="125"/>
      <c r="EVR163" s="125"/>
      <c r="EVS163" s="125"/>
      <c r="EVT163" s="125"/>
      <c r="EVU163" s="125"/>
      <c r="EVV163" s="125"/>
      <c r="EVW163" s="125"/>
      <c r="EVX163" s="125"/>
      <c r="EVY163" s="125"/>
      <c r="EVZ163" s="125"/>
      <c r="EWA163" s="125"/>
      <c r="EWB163" s="125"/>
      <c r="EWC163" s="125"/>
      <c r="EWD163" s="125"/>
      <c r="EWE163" s="125"/>
      <c r="EWF163" s="125"/>
      <c r="EWG163" s="125"/>
      <c r="EWH163" s="125"/>
      <c r="EWI163" s="125"/>
      <c r="EWJ163" s="125"/>
      <c r="EWK163" s="125"/>
      <c r="EWL163" s="125"/>
      <c r="EWM163" s="125"/>
      <c r="EWN163" s="125"/>
      <c r="EWO163" s="125"/>
      <c r="EWP163" s="125"/>
      <c r="EWQ163" s="125"/>
      <c r="EWR163" s="125"/>
      <c r="EWS163" s="125"/>
      <c r="EWT163" s="125"/>
      <c r="EWU163" s="125"/>
      <c r="EWV163" s="125"/>
      <c r="EWW163" s="125"/>
      <c r="EWX163" s="125"/>
      <c r="EWY163" s="125"/>
      <c r="EWZ163" s="125"/>
      <c r="EXA163" s="125"/>
      <c r="EXB163" s="125"/>
      <c r="EXC163" s="125"/>
      <c r="EXD163" s="125"/>
      <c r="EXE163" s="125"/>
      <c r="EXF163" s="125"/>
      <c r="EXG163" s="125"/>
      <c r="EXH163" s="125"/>
      <c r="EXI163" s="125"/>
      <c r="EXJ163" s="125"/>
      <c r="EXK163" s="125"/>
      <c r="EXL163" s="125"/>
      <c r="EXM163" s="125"/>
      <c r="EXN163" s="125"/>
      <c r="EXO163" s="125"/>
      <c r="EXP163" s="125"/>
      <c r="EXQ163" s="125"/>
      <c r="EXR163" s="125"/>
      <c r="EXS163" s="125"/>
      <c r="EXT163" s="125"/>
      <c r="EXU163" s="125"/>
      <c r="EXV163" s="125"/>
      <c r="EXW163" s="125"/>
      <c r="EXX163" s="125"/>
      <c r="EXY163" s="125"/>
      <c r="EXZ163" s="125"/>
      <c r="EYA163" s="125"/>
      <c r="EYB163" s="125"/>
      <c r="EYC163" s="125"/>
      <c r="EYD163" s="125"/>
      <c r="EYE163" s="125"/>
      <c r="EYF163" s="125"/>
      <c r="EYG163" s="125"/>
      <c r="EYH163" s="125"/>
      <c r="EYI163" s="125"/>
      <c r="EYJ163" s="125"/>
      <c r="EYK163" s="125"/>
      <c r="EYL163" s="125"/>
      <c r="EYM163" s="125"/>
      <c r="EYN163" s="125"/>
      <c r="EYO163" s="125"/>
      <c r="EYP163" s="125"/>
      <c r="EYQ163" s="125"/>
      <c r="EYR163" s="125"/>
      <c r="EYS163" s="125"/>
      <c r="EYT163" s="125"/>
      <c r="EYU163" s="125"/>
      <c r="EYV163" s="125"/>
      <c r="EYW163" s="125"/>
      <c r="EYX163" s="125"/>
      <c r="EYY163" s="125"/>
      <c r="EYZ163" s="125"/>
      <c r="EZA163" s="125"/>
      <c r="EZB163" s="125"/>
      <c r="EZC163" s="125"/>
      <c r="EZD163" s="125"/>
      <c r="EZE163" s="125"/>
      <c r="EZF163" s="125"/>
      <c r="EZG163" s="125"/>
      <c r="EZH163" s="125"/>
      <c r="EZI163" s="125"/>
      <c r="EZJ163" s="125"/>
      <c r="EZK163" s="125"/>
      <c r="EZL163" s="125"/>
      <c r="EZM163" s="125"/>
      <c r="EZN163" s="125"/>
      <c r="EZO163" s="125"/>
      <c r="EZP163" s="125"/>
      <c r="EZQ163" s="125"/>
      <c r="EZR163" s="125"/>
      <c r="EZS163" s="125"/>
      <c r="EZT163" s="125"/>
      <c r="EZU163" s="125"/>
      <c r="EZV163" s="125"/>
      <c r="EZW163" s="125"/>
      <c r="EZX163" s="125"/>
      <c r="EZY163" s="125"/>
      <c r="EZZ163" s="125"/>
      <c r="FAA163" s="125"/>
      <c r="FAB163" s="125"/>
      <c r="FAC163" s="125"/>
      <c r="FAD163" s="125"/>
      <c r="FAE163" s="125"/>
      <c r="FAF163" s="125"/>
      <c r="FAG163" s="125"/>
      <c r="FAH163" s="125"/>
      <c r="FAI163" s="125"/>
      <c r="FAJ163" s="125"/>
      <c r="FAK163" s="125"/>
      <c r="FAL163" s="125"/>
      <c r="FAM163" s="125"/>
      <c r="FAN163" s="125"/>
      <c r="FAO163" s="125"/>
      <c r="FAP163" s="125"/>
      <c r="FAQ163" s="125"/>
      <c r="FAR163" s="125"/>
      <c r="FAS163" s="125"/>
      <c r="FAT163" s="125"/>
      <c r="FAU163" s="125"/>
      <c r="FAV163" s="125"/>
      <c r="FAW163" s="125"/>
      <c r="FAX163" s="125"/>
      <c r="FAY163" s="125"/>
      <c r="FAZ163" s="125"/>
      <c r="FBA163" s="125"/>
      <c r="FBB163" s="125"/>
      <c r="FBC163" s="125"/>
      <c r="FBD163" s="125"/>
      <c r="FBE163" s="125"/>
      <c r="FBF163" s="125"/>
      <c r="FBG163" s="125"/>
      <c r="FBH163" s="125"/>
      <c r="FBI163" s="125"/>
      <c r="FBJ163" s="125"/>
      <c r="FBK163" s="125"/>
      <c r="FBL163" s="125"/>
      <c r="FBM163" s="125"/>
      <c r="FBN163" s="125"/>
      <c r="FBO163" s="125"/>
      <c r="FBP163" s="125"/>
      <c r="FBQ163" s="125"/>
      <c r="FBR163" s="125"/>
      <c r="FBS163" s="125"/>
      <c r="FBT163" s="125"/>
      <c r="FBU163" s="125"/>
      <c r="FBV163" s="125"/>
      <c r="FBW163" s="125"/>
      <c r="FBX163" s="125"/>
      <c r="FBY163" s="125"/>
      <c r="FBZ163" s="125"/>
      <c r="FCA163" s="125"/>
      <c r="FCB163" s="125"/>
      <c r="FCC163" s="125"/>
      <c r="FCD163" s="125"/>
      <c r="FCE163" s="125"/>
      <c r="FCF163" s="125"/>
      <c r="FCG163" s="125"/>
      <c r="FCH163" s="125"/>
      <c r="FCI163" s="125"/>
      <c r="FCJ163" s="125"/>
      <c r="FCK163" s="125"/>
      <c r="FCL163" s="125"/>
      <c r="FCM163" s="125"/>
      <c r="FCN163" s="125"/>
      <c r="FCO163" s="125"/>
      <c r="FCP163" s="125"/>
      <c r="FCQ163" s="125"/>
      <c r="FCR163" s="125"/>
      <c r="FCS163" s="125"/>
      <c r="FCT163" s="125"/>
      <c r="FCU163" s="125"/>
      <c r="FCV163" s="125"/>
      <c r="FCW163" s="125"/>
      <c r="FCX163" s="125"/>
      <c r="FCY163" s="125"/>
      <c r="FCZ163" s="125"/>
      <c r="FDA163" s="125"/>
      <c r="FDB163" s="125"/>
      <c r="FDC163" s="125"/>
      <c r="FDD163" s="125"/>
      <c r="FDE163" s="125"/>
      <c r="FDF163" s="125"/>
      <c r="FDG163" s="125"/>
      <c r="FDH163" s="125"/>
      <c r="FDI163" s="125"/>
      <c r="FDJ163" s="125"/>
      <c r="FDK163" s="125"/>
      <c r="FDL163" s="125"/>
      <c r="FDM163" s="125"/>
      <c r="FDN163" s="125"/>
      <c r="FDO163" s="125"/>
      <c r="FDP163" s="125"/>
      <c r="FDQ163" s="125"/>
      <c r="FDR163" s="125"/>
      <c r="FDS163" s="125"/>
      <c r="FDT163" s="125"/>
      <c r="FDU163" s="125"/>
      <c r="FDV163" s="125"/>
      <c r="FDW163" s="125"/>
      <c r="FDX163" s="125"/>
      <c r="FDY163" s="125"/>
      <c r="FDZ163" s="125"/>
      <c r="FEA163" s="125"/>
      <c r="FEB163" s="125"/>
      <c r="FEC163" s="125"/>
      <c r="FED163" s="125"/>
      <c r="FEE163" s="125"/>
      <c r="FEF163" s="125"/>
      <c r="FEG163" s="125"/>
      <c r="FEH163" s="125"/>
      <c r="FEI163" s="125"/>
      <c r="FEJ163" s="125"/>
      <c r="FEK163" s="125"/>
      <c r="FEL163" s="125"/>
      <c r="FEM163" s="125"/>
      <c r="FEN163" s="125"/>
      <c r="FEO163" s="125"/>
      <c r="FEP163" s="125"/>
      <c r="FEQ163" s="125"/>
      <c r="FER163" s="125"/>
      <c r="FES163" s="125"/>
      <c r="FET163" s="125"/>
      <c r="FEU163" s="125"/>
      <c r="FEV163" s="125"/>
      <c r="FEW163" s="125"/>
      <c r="FEX163" s="125"/>
      <c r="FEY163" s="125"/>
      <c r="FEZ163" s="125"/>
      <c r="FFA163" s="125"/>
      <c r="FFB163" s="125"/>
      <c r="FFC163" s="125"/>
      <c r="FFD163" s="125"/>
      <c r="FFE163" s="125"/>
      <c r="FFF163" s="125"/>
      <c r="FFG163" s="125"/>
      <c r="FFH163" s="125"/>
      <c r="FFI163" s="125"/>
      <c r="FFJ163" s="125"/>
      <c r="FFK163" s="125"/>
      <c r="FFL163" s="125"/>
      <c r="FFM163" s="125"/>
      <c r="FFN163" s="125"/>
      <c r="FFO163" s="125"/>
      <c r="FFP163" s="125"/>
      <c r="FFQ163" s="125"/>
      <c r="FFR163" s="125"/>
      <c r="FFS163" s="125"/>
      <c r="FFT163" s="125"/>
      <c r="FFU163" s="125"/>
      <c r="FFV163" s="125"/>
      <c r="FFW163" s="125"/>
      <c r="FFX163" s="125"/>
      <c r="FFY163" s="125"/>
      <c r="FFZ163" s="125"/>
      <c r="FGA163" s="125"/>
      <c r="FGB163" s="125"/>
      <c r="FGC163" s="125"/>
      <c r="FGD163" s="125"/>
      <c r="FGE163" s="125"/>
      <c r="FGF163" s="125"/>
      <c r="FGG163" s="125"/>
      <c r="FGH163" s="125"/>
      <c r="FGI163" s="125"/>
      <c r="FGJ163" s="125"/>
      <c r="FGK163" s="125"/>
      <c r="FGL163" s="125"/>
      <c r="FGM163" s="125"/>
      <c r="FGN163" s="125"/>
      <c r="FGO163" s="125"/>
      <c r="FGP163" s="125"/>
      <c r="FGQ163" s="125"/>
      <c r="FGR163" s="125"/>
      <c r="FGS163" s="125"/>
      <c r="FGT163" s="125"/>
      <c r="FGU163" s="125"/>
      <c r="FGV163" s="125"/>
      <c r="FGW163" s="125"/>
      <c r="FGX163" s="125"/>
      <c r="FGY163" s="125"/>
      <c r="FGZ163" s="125"/>
      <c r="FHA163" s="125"/>
      <c r="FHB163" s="125"/>
      <c r="FHC163" s="125"/>
      <c r="FHD163" s="125"/>
      <c r="FHE163" s="125"/>
      <c r="FHF163" s="125"/>
      <c r="FHG163" s="125"/>
      <c r="FHH163" s="125"/>
      <c r="FHI163" s="125"/>
      <c r="FHJ163" s="125"/>
      <c r="FHK163" s="125"/>
      <c r="FHL163" s="125"/>
      <c r="FHM163" s="125"/>
      <c r="FHN163" s="125"/>
      <c r="FHO163" s="125"/>
      <c r="FHP163" s="125"/>
      <c r="FHQ163" s="125"/>
      <c r="FHR163" s="125"/>
      <c r="FHS163" s="125"/>
      <c r="FHT163" s="125"/>
      <c r="FHU163" s="125"/>
      <c r="FHV163" s="125"/>
      <c r="FHW163" s="125"/>
      <c r="FHX163" s="125"/>
      <c r="FHY163" s="125"/>
      <c r="FHZ163" s="125"/>
      <c r="FIA163" s="125"/>
      <c r="FIB163" s="125"/>
      <c r="FIC163" s="125"/>
      <c r="FID163" s="125"/>
      <c r="FIE163" s="125"/>
      <c r="FIF163" s="125"/>
      <c r="FIG163" s="125"/>
      <c r="FIH163" s="125"/>
      <c r="FII163" s="125"/>
      <c r="FIJ163" s="125"/>
      <c r="FIK163" s="125"/>
      <c r="FIL163" s="125"/>
      <c r="FIM163" s="125"/>
      <c r="FIN163" s="125"/>
      <c r="FIO163" s="125"/>
      <c r="FIP163" s="125"/>
      <c r="FIQ163" s="125"/>
      <c r="FIR163" s="125"/>
      <c r="FIS163" s="125"/>
      <c r="FIT163" s="125"/>
      <c r="FIU163" s="125"/>
      <c r="FIV163" s="125"/>
      <c r="FIW163" s="125"/>
      <c r="FIX163" s="125"/>
      <c r="FIY163" s="125"/>
      <c r="FIZ163" s="125"/>
      <c r="FJA163" s="125"/>
      <c r="FJB163" s="125"/>
      <c r="FJC163" s="125"/>
      <c r="FJD163" s="125"/>
      <c r="FJE163" s="125"/>
      <c r="FJF163" s="125"/>
      <c r="FJG163" s="125"/>
      <c r="FJH163" s="125"/>
      <c r="FJI163" s="125"/>
      <c r="FJJ163" s="125"/>
      <c r="FJK163" s="125"/>
      <c r="FJL163" s="125"/>
      <c r="FJM163" s="125"/>
      <c r="FJN163" s="125"/>
      <c r="FJO163" s="125"/>
      <c r="FJP163" s="125"/>
      <c r="FJQ163" s="125"/>
      <c r="FJR163" s="125"/>
      <c r="FJS163" s="125"/>
      <c r="FJT163" s="125"/>
      <c r="FJU163" s="125"/>
      <c r="FJV163" s="125"/>
      <c r="FJW163" s="125"/>
      <c r="FJX163" s="125"/>
      <c r="FJY163" s="125"/>
      <c r="FJZ163" s="125"/>
      <c r="FKA163" s="125"/>
      <c r="FKB163" s="125"/>
      <c r="FKC163" s="125"/>
      <c r="FKD163" s="125"/>
      <c r="FKE163" s="125"/>
      <c r="FKF163" s="125"/>
      <c r="FKG163" s="125"/>
      <c r="FKH163" s="125"/>
      <c r="FKI163" s="125"/>
      <c r="FKJ163" s="125"/>
      <c r="FKK163" s="125"/>
      <c r="FKL163" s="125"/>
      <c r="FKM163" s="125"/>
      <c r="FKN163" s="125"/>
      <c r="FKO163" s="125"/>
      <c r="FKP163" s="125"/>
      <c r="FKQ163" s="125"/>
      <c r="FKR163" s="125"/>
      <c r="FKS163" s="125"/>
      <c r="FKT163" s="125"/>
      <c r="FKU163" s="125"/>
      <c r="FKV163" s="125"/>
      <c r="FKW163" s="125"/>
      <c r="FKX163" s="125"/>
      <c r="FKY163" s="125"/>
      <c r="FKZ163" s="125"/>
      <c r="FLA163" s="125"/>
      <c r="FLB163" s="125"/>
      <c r="FLC163" s="125"/>
      <c r="FLD163" s="125"/>
      <c r="FLE163" s="125"/>
      <c r="FLF163" s="125"/>
      <c r="FLG163" s="125"/>
      <c r="FLH163" s="125"/>
      <c r="FLI163" s="125"/>
      <c r="FLJ163" s="125"/>
      <c r="FLK163" s="125"/>
      <c r="FLL163" s="125"/>
      <c r="FLM163" s="125"/>
      <c r="FLN163" s="125"/>
      <c r="FLO163" s="125"/>
      <c r="FLP163" s="125"/>
      <c r="FLQ163" s="125"/>
      <c r="FLR163" s="125"/>
      <c r="FLS163" s="125"/>
      <c r="FLT163" s="125"/>
      <c r="FLU163" s="125"/>
      <c r="FLV163" s="125"/>
      <c r="FLW163" s="125"/>
      <c r="FLX163" s="125"/>
      <c r="FLY163" s="125"/>
      <c r="FLZ163" s="125"/>
      <c r="FMA163" s="125"/>
      <c r="FMB163" s="125"/>
      <c r="FMC163" s="125"/>
      <c r="FMD163" s="125"/>
      <c r="FME163" s="125"/>
      <c r="FMF163" s="125"/>
      <c r="FMG163" s="125"/>
      <c r="FMH163" s="125"/>
      <c r="FMI163" s="125"/>
      <c r="FMJ163" s="125"/>
      <c r="FMK163" s="125"/>
      <c r="FML163" s="125"/>
      <c r="FMM163" s="125"/>
      <c r="FMN163" s="125"/>
      <c r="FMO163" s="125"/>
      <c r="FMP163" s="125"/>
      <c r="FMQ163" s="125"/>
      <c r="FMR163" s="125"/>
      <c r="FMS163" s="125"/>
      <c r="FMT163" s="125"/>
      <c r="FMU163" s="125"/>
      <c r="FMV163" s="125"/>
      <c r="FMW163" s="125"/>
      <c r="FMX163" s="125"/>
      <c r="FMY163" s="125"/>
      <c r="FMZ163" s="125"/>
      <c r="FNA163" s="125"/>
      <c r="FNB163" s="125"/>
      <c r="FNC163" s="125"/>
      <c r="FND163" s="125"/>
      <c r="FNE163" s="125"/>
      <c r="FNF163" s="125"/>
      <c r="FNG163" s="125"/>
      <c r="FNH163" s="125"/>
      <c r="FNI163" s="125"/>
      <c r="FNJ163" s="125"/>
      <c r="FNK163" s="125"/>
      <c r="FNL163" s="125"/>
      <c r="FNM163" s="125"/>
      <c r="FNN163" s="125"/>
      <c r="FNO163" s="125"/>
      <c r="FNP163" s="125"/>
      <c r="FNQ163" s="125"/>
      <c r="FNR163" s="125"/>
      <c r="FNS163" s="125"/>
      <c r="FNT163" s="125"/>
      <c r="FNU163" s="125"/>
      <c r="FNV163" s="125"/>
      <c r="FNW163" s="125"/>
      <c r="FNX163" s="125"/>
      <c r="FNY163" s="125"/>
      <c r="FNZ163" s="125"/>
      <c r="FOA163" s="125"/>
      <c r="FOB163" s="125"/>
      <c r="FOC163" s="125"/>
      <c r="FOD163" s="125"/>
      <c r="FOE163" s="125"/>
      <c r="FOF163" s="125"/>
      <c r="FOG163" s="125"/>
      <c r="FOH163" s="125"/>
      <c r="FOI163" s="125"/>
      <c r="FOJ163" s="125"/>
      <c r="FOK163" s="125"/>
      <c r="FOL163" s="125"/>
      <c r="FOM163" s="125"/>
      <c r="FON163" s="125"/>
      <c r="FOO163" s="125"/>
      <c r="FOP163" s="125"/>
      <c r="FOQ163" s="125"/>
      <c r="FOR163" s="125"/>
      <c r="FOS163" s="125"/>
      <c r="FOT163" s="125"/>
      <c r="FOU163" s="125"/>
      <c r="FOV163" s="125"/>
      <c r="FOW163" s="125"/>
      <c r="FOX163" s="125"/>
      <c r="FOY163" s="125"/>
      <c r="FOZ163" s="125"/>
      <c r="FPA163" s="125"/>
      <c r="FPB163" s="125"/>
      <c r="FPC163" s="125"/>
      <c r="FPD163" s="125"/>
      <c r="FPE163" s="125"/>
      <c r="FPF163" s="125"/>
      <c r="FPG163" s="125"/>
      <c r="FPH163" s="125"/>
      <c r="FPI163" s="125"/>
      <c r="FPJ163" s="125"/>
      <c r="FPK163" s="125"/>
      <c r="FPL163" s="125"/>
      <c r="FPM163" s="125"/>
      <c r="FPN163" s="125"/>
      <c r="FPO163" s="125"/>
      <c r="FPP163" s="125"/>
      <c r="FPQ163" s="125"/>
      <c r="FPR163" s="125"/>
      <c r="FPS163" s="125"/>
      <c r="FPT163" s="125"/>
      <c r="FPU163" s="125"/>
      <c r="FPV163" s="125"/>
      <c r="FPW163" s="125"/>
      <c r="FPX163" s="125"/>
      <c r="FPY163" s="125"/>
      <c r="FPZ163" s="125"/>
      <c r="FQA163" s="125"/>
      <c r="FQB163" s="125"/>
      <c r="FQC163" s="125"/>
      <c r="FQD163" s="125"/>
      <c r="FQE163" s="125"/>
      <c r="FQF163" s="125"/>
      <c r="FQG163" s="125"/>
      <c r="FQH163" s="125"/>
      <c r="FQI163" s="125"/>
      <c r="FQJ163" s="125"/>
      <c r="FQK163" s="125"/>
      <c r="FQL163" s="125"/>
      <c r="FQM163" s="125"/>
      <c r="FQN163" s="125"/>
      <c r="FQO163" s="125"/>
      <c r="FQP163" s="125"/>
      <c r="FQQ163" s="125"/>
      <c r="FQR163" s="125"/>
      <c r="FQS163" s="125"/>
      <c r="FQT163" s="125"/>
      <c r="FQU163" s="125"/>
      <c r="FQV163" s="125"/>
      <c r="FQW163" s="125"/>
      <c r="FQX163" s="125"/>
      <c r="FQY163" s="125"/>
      <c r="FQZ163" s="125"/>
      <c r="FRA163" s="125"/>
      <c r="FRB163" s="125"/>
      <c r="FRC163" s="125"/>
      <c r="FRD163" s="125"/>
      <c r="FRE163" s="125"/>
      <c r="FRF163" s="125"/>
      <c r="FRG163" s="125"/>
      <c r="FRH163" s="125"/>
      <c r="FRI163" s="125"/>
      <c r="FRJ163" s="125"/>
      <c r="FRK163" s="125"/>
      <c r="FRL163" s="125"/>
      <c r="FRM163" s="125"/>
      <c r="FRN163" s="125"/>
      <c r="FRO163" s="125"/>
      <c r="FRP163" s="125"/>
      <c r="FRQ163" s="125"/>
      <c r="FRR163" s="125"/>
      <c r="FRS163" s="125"/>
      <c r="FRT163" s="125"/>
      <c r="FRU163" s="125"/>
      <c r="FRV163" s="125"/>
      <c r="FRW163" s="125"/>
      <c r="FRX163" s="125"/>
      <c r="FRY163" s="125"/>
      <c r="FRZ163" s="125"/>
      <c r="FSA163" s="125"/>
      <c r="FSB163" s="125"/>
      <c r="FSC163" s="125"/>
      <c r="FSD163" s="125"/>
      <c r="FSE163" s="125"/>
      <c r="FSF163" s="125"/>
      <c r="FSG163" s="125"/>
      <c r="FSH163" s="125"/>
      <c r="FSI163" s="125"/>
      <c r="FSJ163" s="125"/>
      <c r="FSK163" s="125"/>
      <c r="FSL163" s="125"/>
      <c r="FSM163" s="125"/>
      <c r="FSN163" s="125"/>
      <c r="FSO163" s="125"/>
      <c r="FSP163" s="125"/>
      <c r="FSQ163" s="125"/>
      <c r="FSR163" s="125"/>
      <c r="FSS163" s="125"/>
      <c r="FST163" s="125"/>
      <c r="FSU163" s="125"/>
      <c r="FSV163" s="125"/>
      <c r="FSW163" s="125"/>
      <c r="FSX163" s="125"/>
      <c r="FSY163" s="125"/>
      <c r="FSZ163" s="125"/>
      <c r="FTA163" s="125"/>
      <c r="FTB163" s="125"/>
      <c r="FTC163" s="125"/>
      <c r="FTD163" s="125"/>
      <c r="FTE163" s="125"/>
      <c r="FTF163" s="125"/>
      <c r="FTG163" s="125"/>
      <c r="FTH163" s="125"/>
      <c r="FTI163" s="125"/>
      <c r="FTJ163" s="125"/>
      <c r="FTK163" s="125"/>
      <c r="FTL163" s="125"/>
      <c r="FTM163" s="125"/>
      <c r="FTN163" s="125"/>
      <c r="FTO163" s="125"/>
      <c r="FTP163" s="125"/>
      <c r="FTQ163" s="125"/>
      <c r="FTR163" s="125"/>
      <c r="FTS163" s="125"/>
      <c r="FTT163" s="125"/>
      <c r="FTU163" s="125"/>
      <c r="FTV163" s="125"/>
      <c r="FTW163" s="125"/>
      <c r="FTX163" s="125"/>
      <c r="FTY163" s="125"/>
      <c r="FTZ163" s="125"/>
      <c r="FUA163" s="125"/>
      <c r="FUB163" s="125"/>
      <c r="FUC163" s="125"/>
      <c r="FUD163" s="125"/>
      <c r="FUE163" s="125"/>
      <c r="FUF163" s="125"/>
      <c r="FUG163" s="125"/>
      <c r="FUH163" s="125"/>
      <c r="FUI163" s="125"/>
      <c r="FUJ163" s="125"/>
      <c r="FUK163" s="125"/>
      <c r="FUL163" s="125"/>
      <c r="FUM163" s="125"/>
      <c r="FUN163" s="125"/>
      <c r="FUO163" s="125"/>
      <c r="FUP163" s="125"/>
      <c r="FUQ163" s="125"/>
      <c r="FUR163" s="125"/>
      <c r="FUS163" s="125"/>
      <c r="FUT163" s="125"/>
      <c r="FUU163" s="125"/>
      <c r="FUV163" s="125"/>
      <c r="FUW163" s="125"/>
      <c r="FUX163" s="125"/>
      <c r="FUY163" s="125"/>
      <c r="FUZ163" s="125"/>
      <c r="FVA163" s="125"/>
      <c r="FVB163" s="125"/>
      <c r="FVC163" s="125"/>
      <c r="FVD163" s="125"/>
      <c r="FVE163" s="125"/>
      <c r="FVF163" s="125"/>
      <c r="FVG163" s="125"/>
      <c r="FVH163" s="125"/>
      <c r="FVI163" s="125"/>
      <c r="FVJ163" s="125"/>
      <c r="FVK163" s="125"/>
      <c r="FVL163" s="125"/>
      <c r="FVM163" s="125"/>
      <c r="FVN163" s="125"/>
      <c r="FVO163" s="125"/>
      <c r="FVP163" s="125"/>
      <c r="FVQ163" s="125"/>
      <c r="FVR163" s="125"/>
      <c r="FVS163" s="125"/>
      <c r="FVT163" s="125"/>
      <c r="FVU163" s="125"/>
      <c r="FVV163" s="125"/>
      <c r="FVW163" s="125"/>
      <c r="FVX163" s="125"/>
      <c r="FVY163" s="125"/>
      <c r="FVZ163" s="125"/>
      <c r="FWA163" s="125"/>
      <c r="FWB163" s="125"/>
      <c r="FWC163" s="125"/>
      <c r="FWD163" s="125"/>
      <c r="FWE163" s="125"/>
      <c r="FWF163" s="125"/>
      <c r="FWG163" s="125"/>
      <c r="FWH163" s="125"/>
      <c r="FWI163" s="125"/>
      <c r="FWJ163" s="125"/>
      <c r="FWK163" s="125"/>
      <c r="FWL163" s="125"/>
      <c r="FWM163" s="125"/>
      <c r="FWN163" s="125"/>
      <c r="FWO163" s="125"/>
      <c r="FWP163" s="125"/>
      <c r="FWQ163" s="125"/>
      <c r="FWR163" s="125"/>
      <c r="FWS163" s="125"/>
      <c r="FWT163" s="125"/>
      <c r="FWU163" s="125"/>
      <c r="FWV163" s="125"/>
      <c r="FWW163" s="125"/>
      <c r="FWX163" s="125"/>
      <c r="FWY163" s="125"/>
      <c r="FWZ163" s="125"/>
      <c r="FXA163" s="125"/>
      <c r="FXB163" s="125"/>
      <c r="FXC163" s="125"/>
      <c r="FXD163" s="125"/>
      <c r="FXE163" s="125"/>
      <c r="FXF163" s="125"/>
      <c r="FXG163" s="125"/>
      <c r="FXH163" s="125"/>
      <c r="FXI163" s="125"/>
      <c r="FXJ163" s="125"/>
      <c r="FXK163" s="125"/>
      <c r="FXL163" s="125"/>
      <c r="FXM163" s="125"/>
      <c r="FXN163" s="125"/>
      <c r="FXO163" s="125"/>
      <c r="FXP163" s="125"/>
      <c r="FXQ163" s="125"/>
      <c r="FXR163" s="125"/>
      <c r="FXS163" s="125"/>
      <c r="FXT163" s="125"/>
      <c r="FXU163" s="125"/>
      <c r="FXV163" s="125"/>
      <c r="FXW163" s="125"/>
      <c r="FXX163" s="125"/>
      <c r="FXY163" s="125"/>
      <c r="FXZ163" s="125"/>
      <c r="FYA163" s="125"/>
      <c r="FYB163" s="125"/>
      <c r="FYC163" s="125"/>
      <c r="FYD163" s="125"/>
      <c r="FYE163" s="125"/>
      <c r="FYF163" s="125"/>
      <c r="FYG163" s="125"/>
      <c r="FYH163" s="125"/>
      <c r="FYI163" s="125"/>
      <c r="FYJ163" s="125"/>
      <c r="FYK163" s="125"/>
      <c r="FYL163" s="125"/>
      <c r="FYM163" s="125"/>
      <c r="FYN163" s="125"/>
      <c r="FYO163" s="125"/>
      <c r="FYP163" s="125"/>
      <c r="FYQ163" s="125"/>
      <c r="FYR163" s="125"/>
      <c r="FYS163" s="125"/>
      <c r="FYT163" s="125"/>
      <c r="FYU163" s="125"/>
      <c r="FYV163" s="125"/>
      <c r="FYW163" s="125"/>
      <c r="FYX163" s="125"/>
      <c r="FYY163" s="125"/>
      <c r="FYZ163" s="125"/>
      <c r="FZA163" s="125"/>
      <c r="FZB163" s="125"/>
      <c r="FZC163" s="125"/>
      <c r="FZD163" s="125"/>
      <c r="FZE163" s="125"/>
      <c r="FZF163" s="125"/>
      <c r="FZG163" s="125"/>
      <c r="FZH163" s="125"/>
      <c r="FZI163" s="125"/>
      <c r="FZJ163" s="125"/>
      <c r="FZK163" s="125"/>
      <c r="FZL163" s="125"/>
      <c r="FZM163" s="125"/>
      <c r="FZN163" s="125"/>
      <c r="FZO163" s="125"/>
      <c r="FZP163" s="125"/>
      <c r="FZQ163" s="125"/>
      <c r="FZR163" s="125"/>
      <c r="FZS163" s="125"/>
      <c r="FZT163" s="125"/>
      <c r="FZU163" s="125"/>
      <c r="FZV163" s="125"/>
      <c r="FZW163" s="125"/>
      <c r="FZX163" s="125"/>
      <c r="FZY163" s="125"/>
      <c r="FZZ163" s="125"/>
      <c r="GAA163" s="125"/>
      <c r="GAB163" s="125"/>
      <c r="GAC163" s="125"/>
      <c r="GAD163" s="125"/>
      <c r="GAE163" s="125"/>
      <c r="GAF163" s="125"/>
      <c r="GAG163" s="125"/>
      <c r="GAH163" s="125"/>
      <c r="GAI163" s="125"/>
      <c r="GAJ163" s="125"/>
      <c r="GAK163" s="125"/>
      <c r="GAL163" s="125"/>
      <c r="GAM163" s="125"/>
      <c r="GAN163" s="125"/>
      <c r="GAO163" s="125"/>
      <c r="GAP163" s="125"/>
      <c r="GAQ163" s="125"/>
      <c r="GAR163" s="125"/>
      <c r="GAS163" s="125"/>
      <c r="GAT163" s="125"/>
      <c r="GAU163" s="125"/>
      <c r="GAV163" s="125"/>
      <c r="GAW163" s="125"/>
      <c r="GAX163" s="125"/>
      <c r="GAY163" s="125"/>
      <c r="GAZ163" s="125"/>
      <c r="GBA163" s="125"/>
      <c r="GBB163" s="125"/>
      <c r="GBC163" s="125"/>
      <c r="GBD163" s="125"/>
      <c r="GBE163" s="125"/>
      <c r="GBF163" s="125"/>
      <c r="GBG163" s="125"/>
      <c r="GBH163" s="125"/>
      <c r="GBI163" s="125"/>
      <c r="GBJ163" s="125"/>
      <c r="GBK163" s="125"/>
      <c r="GBL163" s="125"/>
      <c r="GBM163" s="125"/>
      <c r="GBN163" s="125"/>
      <c r="GBO163" s="125"/>
      <c r="GBP163" s="125"/>
      <c r="GBQ163" s="125"/>
      <c r="GBR163" s="125"/>
      <c r="GBS163" s="125"/>
      <c r="GBT163" s="125"/>
      <c r="GBU163" s="125"/>
      <c r="GBV163" s="125"/>
      <c r="GBW163" s="125"/>
      <c r="GBX163" s="125"/>
      <c r="GBY163" s="125"/>
      <c r="GBZ163" s="125"/>
      <c r="GCA163" s="125"/>
      <c r="GCB163" s="125"/>
      <c r="GCC163" s="125"/>
      <c r="GCD163" s="125"/>
      <c r="GCE163" s="125"/>
      <c r="GCF163" s="125"/>
      <c r="GCG163" s="125"/>
      <c r="GCH163" s="125"/>
      <c r="GCI163" s="125"/>
      <c r="GCJ163" s="125"/>
      <c r="GCK163" s="125"/>
      <c r="GCL163" s="125"/>
      <c r="GCM163" s="125"/>
      <c r="GCN163" s="125"/>
      <c r="GCO163" s="125"/>
      <c r="GCP163" s="125"/>
      <c r="GCQ163" s="125"/>
      <c r="GCR163" s="125"/>
      <c r="GCS163" s="125"/>
      <c r="GCT163" s="125"/>
      <c r="GCU163" s="125"/>
      <c r="GCV163" s="125"/>
      <c r="GCW163" s="125"/>
      <c r="GCX163" s="125"/>
      <c r="GCY163" s="125"/>
      <c r="GCZ163" s="125"/>
      <c r="GDA163" s="125"/>
      <c r="GDB163" s="125"/>
      <c r="GDC163" s="125"/>
      <c r="GDD163" s="125"/>
      <c r="GDE163" s="125"/>
      <c r="GDF163" s="125"/>
      <c r="GDG163" s="125"/>
      <c r="GDH163" s="125"/>
      <c r="GDI163" s="125"/>
      <c r="GDJ163" s="125"/>
      <c r="GDK163" s="125"/>
      <c r="GDL163" s="125"/>
      <c r="GDM163" s="125"/>
      <c r="GDN163" s="125"/>
      <c r="GDO163" s="125"/>
      <c r="GDP163" s="125"/>
      <c r="GDQ163" s="125"/>
      <c r="GDR163" s="125"/>
      <c r="GDS163" s="125"/>
      <c r="GDT163" s="125"/>
      <c r="GDU163" s="125"/>
      <c r="GDV163" s="125"/>
      <c r="GDW163" s="125"/>
      <c r="GDX163" s="125"/>
      <c r="GDY163" s="125"/>
      <c r="GDZ163" s="125"/>
      <c r="GEA163" s="125"/>
      <c r="GEB163" s="125"/>
      <c r="GEC163" s="125"/>
      <c r="GED163" s="125"/>
      <c r="GEE163" s="125"/>
      <c r="GEF163" s="125"/>
      <c r="GEG163" s="125"/>
      <c r="GEH163" s="125"/>
      <c r="GEI163" s="125"/>
      <c r="GEJ163" s="125"/>
      <c r="GEK163" s="125"/>
      <c r="GEL163" s="125"/>
      <c r="GEM163" s="125"/>
      <c r="GEN163" s="125"/>
      <c r="GEO163" s="125"/>
      <c r="GEP163" s="125"/>
      <c r="GEQ163" s="125"/>
      <c r="GER163" s="125"/>
      <c r="GES163" s="125"/>
      <c r="GET163" s="125"/>
      <c r="GEU163" s="125"/>
      <c r="GEV163" s="125"/>
      <c r="GEW163" s="125"/>
      <c r="GEX163" s="125"/>
      <c r="GEY163" s="125"/>
      <c r="GEZ163" s="125"/>
      <c r="GFA163" s="125"/>
      <c r="GFB163" s="125"/>
      <c r="GFC163" s="125"/>
      <c r="GFD163" s="125"/>
      <c r="GFE163" s="125"/>
      <c r="GFF163" s="125"/>
      <c r="GFG163" s="125"/>
      <c r="GFH163" s="125"/>
      <c r="GFI163" s="125"/>
      <c r="GFJ163" s="125"/>
      <c r="GFK163" s="125"/>
      <c r="GFL163" s="125"/>
      <c r="GFM163" s="125"/>
      <c r="GFN163" s="125"/>
      <c r="GFO163" s="125"/>
      <c r="GFP163" s="125"/>
      <c r="GFQ163" s="125"/>
      <c r="GFR163" s="125"/>
      <c r="GFS163" s="125"/>
      <c r="GFT163" s="125"/>
      <c r="GFU163" s="125"/>
      <c r="GFV163" s="125"/>
      <c r="GFW163" s="125"/>
      <c r="GFX163" s="125"/>
      <c r="GFY163" s="125"/>
      <c r="GFZ163" s="125"/>
      <c r="GGA163" s="125"/>
      <c r="GGB163" s="125"/>
      <c r="GGC163" s="125"/>
      <c r="GGD163" s="125"/>
      <c r="GGE163" s="125"/>
      <c r="GGF163" s="125"/>
      <c r="GGG163" s="125"/>
      <c r="GGH163" s="125"/>
      <c r="GGI163" s="125"/>
      <c r="GGJ163" s="125"/>
      <c r="GGK163" s="125"/>
      <c r="GGL163" s="125"/>
      <c r="GGM163" s="125"/>
      <c r="GGN163" s="125"/>
      <c r="GGO163" s="125"/>
      <c r="GGP163" s="125"/>
      <c r="GGQ163" s="125"/>
      <c r="GGR163" s="125"/>
      <c r="GGS163" s="125"/>
      <c r="GGT163" s="125"/>
      <c r="GGU163" s="125"/>
      <c r="GGV163" s="125"/>
      <c r="GGW163" s="125"/>
      <c r="GGX163" s="125"/>
      <c r="GGY163" s="125"/>
      <c r="GGZ163" s="125"/>
      <c r="GHA163" s="125"/>
      <c r="GHB163" s="125"/>
      <c r="GHC163" s="125"/>
      <c r="GHD163" s="125"/>
      <c r="GHE163" s="125"/>
      <c r="GHF163" s="125"/>
      <c r="GHG163" s="125"/>
      <c r="GHH163" s="125"/>
      <c r="GHI163" s="125"/>
      <c r="GHJ163" s="125"/>
      <c r="GHK163" s="125"/>
      <c r="GHL163" s="125"/>
      <c r="GHM163" s="125"/>
      <c r="GHN163" s="125"/>
      <c r="GHO163" s="125"/>
      <c r="GHP163" s="125"/>
      <c r="GHQ163" s="125"/>
      <c r="GHR163" s="125"/>
      <c r="GHS163" s="125"/>
      <c r="GHT163" s="125"/>
      <c r="GHU163" s="125"/>
      <c r="GHV163" s="125"/>
      <c r="GHW163" s="125"/>
      <c r="GHX163" s="125"/>
      <c r="GHY163" s="125"/>
      <c r="GHZ163" s="125"/>
      <c r="GIA163" s="125"/>
      <c r="GIB163" s="125"/>
      <c r="GIC163" s="125"/>
      <c r="GID163" s="125"/>
      <c r="GIE163" s="125"/>
      <c r="GIF163" s="125"/>
      <c r="GIG163" s="125"/>
      <c r="GIH163" s="125"/>
      <c r="GII163" s="125"/>
      <c r="GIJ163" s="125"/>
      <c r="GIK163" s="125"/>
      <c r="GIL163" s="125"/>
      <c r="GIM163" s="125"/>
      <c r="GIN163" s="125"/>
      <c r="GIO163" s="125"/>
      <c r="GIP163" s="125"/>
      <c r="GIQ163" s="125"/>
      <c r="GIR163" s="125"/>
      <c r="GIS163" s="125"/>
      <c r="GIT163" s="125"/>
      <c r="GIU163" s="125"/>
      <c r="GIV163" s="125"/>
      <c r="GIW163" s="125"/>
      <c r="GIX163" s="125"/>
      <c r="GIY163" s="125"/>
      <c r="GIZ163" s="125"/>
      <c r="GJA163" s="125"/>
      <c r="GJB163" s="125"/>
      <c r="GJC163" s="125"/>
      <c r="GJD163" s="125"/>
      <c r="GJE163" s="125"/>
      <c r="GJF163" s="125"/>
      <c r="GJG163" s="125"/>
      <c r="GJH163" s="125"/>
      <c r="GJI163" s="125"/>
      <c r="GJJ163" s="125"/>
      <c r="GJK163" s="125"/>
      <c r="GJL163" s="125"/>
      <c r="GJM163" s="125"/>
      <c r="GJN163" s="125"/>
      <c r="GJO163" s="125"/>
      <c r="GJP163" s="125"/>
      <c r="GJQ163" s="125"/>
      <c r="GJR163" s="125"/>
      <c r="GJS163" s="125"/>
      <c r="GJT163" s="125"/>
      <c r="GJU163" s="125"/>
      <c r="GJV163" s="125"/>
      <c r="GJW163" s="125"/>
      <c r="GJX163" s="125"/>
      <c r="GJY163" s="125"/>
      <c r="GJZ163" s="125"/>
      <c r="GKA163" s="125"/>
      <c r="GKB163" s="125"/>
      <c r="GKC163" s="125"/>
      <c r="GKD163" s="125"/>
      <c r="GKE163" s="125"/>
      <c r="GKF163" s="125"/>
      <c r="GKG163" s="125"/>
      <c r="GKH163" s="125"/>
      <c r="GKI163" s="125"/>
      <c r="GKJ163" s="125"/>
      <c r="GKK163" s="125"/>
      <c r="GKL163" s="125"/>
      <c r="GKM163" s="125"/>
      <c r="GKN163" s="125"/>
      <c r="GKO163" s="125"/>
      <c r="GKP163" s="125"/>
      <c r="GKQ163" s="125"/>
      <c r="GKR163" s="125"/>
      <c r="GKS163" s="125"/>
      <c r="GKT163" s="125"/>
      <c r="GKU163" s="125"/>
      <c r="GKV163" s="125"/>
      <c r="GKW163" s="125"/>
      <c r="GKX163" s="125"/>
      <c r="GKY163" s="125"/>
      <c r="GKZ163" s="125"/>
      <c r="GLA163" s="125"/>
      <c r="GLB163" s="125"/>
      <c r="GLC163" s="125"/>
      <c r="GLD163" s="125"/>
      <c r="GLE163" s="125"/>
      <c r="GLF163" s="125"/>
      <c r="GLG163" s="125"/>
      <c r="GLH163" s="125"/>
      <c r="GLI163" s="125"/>
      <c r="GLJ163" s="125"/>
      <c r="GLK163" s="125"/>
      <c r="GLL163" s="125"/>
      <c r="GLM163" s="125"/>
      <c r="GLN163" s="125"/>
      <c r="GLO163" s="125"/>
      <c r="GLP163" s="125"/>
      <c r="GLQ163" s="125"/>
      <c r="GLR163" s="125"/>
      <c r="GLS163" s="125"/>
      <c r="GLT163" s="125"/>
      <c r="GLU163" s="125"/>
      <c r="GLV163" s="125"/>
      <c r="GLW163" s="125"/>
      <c r="GLX163" s="125"/>
      <c r="GLY163" s="125"/>
      <c r="GLZ163" s="125"/>
      <c r="GMA163" s="125"/>
      <c r="GMB163" s="125"/>
      <c r="GMC163" s="125"/>
      <c r="GMD163" s="125"/>
      <c r="GME163" s="125"/>
      <c r="GMF163" s="125"/>
      <c r="GMG163" s="125"/>
      <c r="GMH163" s="125"/>
      <c r="GMI163" s="125"/>
      <c r="GMJ163" s="125"/>
      <c r="GMK163" s="125"/>
      <c r="GML163" s="125"/>
      <c r="GMM163" s="125"/>
      <c r="GMN163" s="125"/>
      <c r="GMO163" s="125"/>
      <c r="GMP163" s="125"/>
      <c r="GMQ163" s="125"/>
      <c r="GMR163" s="125"/>
      <c r="GMS163" s="125"/>
      <c r="GMT163" s="125"/>
      <c r="GMU163" s="125"/>
      <c r="GMV163" s="125"/>
      <c r="GMW163" s="125"/>
      <c r="GMX163" s="125"/>
      <c r="GMY163" s="125"/>
      <c r="GMZ163" s="125"/>
      <c r="GNA163" s="125"/>
      <c r="GNB163" s="125"/>
      <c r="GNC163" s="125"/>
      <c r="GND163" s="125"/>
      <c r="GNE163" s="125"/>
      <c r="GNF163" s="125"/>
      <c r="GNG163" s="125"/>
      <c r="GNH163" s="125"/>
      <c r="GNI163" s="125"/>
      <c r="GNJ163" s="125"/>
      <c r="GNK163" s="125"/>
      <c r="GNL163" s="125"/>
      <c r="GNM163" s="125"/>
      <c r="GNN163" s="125"/>
      <c r="GNO163" s="125"/>
      <c r="GNP163" s="125"/>
      <c r="GNQ163" s="125"/>
      <c r="GNR163" s="125"/>
      <c r="GNS163" s="125"/>
      <c r="GNT163" s="125"/>
      <c r="GNU163" s="125"/>
      <c r="GNV163" s="125"/>
      <c r="GNW163" s="125"/>
      <c r="GNX163" s="125"/>
      <c r="GNY163" s="125"/>
      <c r="GNZ163" s="125"/>
      <c r="GOA163" s="125"/>
      <c r="GOB163" s="125"/>
      <c r="GOC163" s="125"/>
      <c r="GOD163" s="125"/>
      <c r="GOE163" s="125"/>
      <c r="GOF163" s="125"/>
      <c r="GOG163" s="125"/>
      <c r="GOH163" s="125"/>
      <c r="GOI163" s="125"/>
      <c r="GOJ163" s="125"/>
      <c r="GOK163" s="125"/>
      <c r="GOL163" s="125"/>
      <c r="GOM163" s="125"/>
      <c r="GON163" s="125"/>
      <c r="GOO163" s="125"/>
      <c r="GOP163" s="125"/>
      <c r="GOQ163" s="125"/>
      <c r="GOR163" s="125"/>
      <c r="GOS163" s="125"/>
      <c r="GOT163" s="125"/>
      <c r="GOU163" s="125"/>
      <c r="GOV163" s="125"/>
      <c r="GOW163" s="125"/>
      <c r="GOX163" s="125"/>
      <c r="GOY163" s="125"/>
      <c r="GOZ163" s="125"/>
      <c r="GPA163" s="125"/>
      <c r="GPB163" s="125"/>
      <c r="GPC163" s="125"/>
      <c r="GPD163" s="125"/>
      <c r="GPE163" s="125"/>
      <c r="GPF163" s="125"/>
      <c r="GPG163" s="125"/>
      <c r="GPH163" s="125"/>
      <c r="GPI163" s="125"/>
      <c r="GPJ163" s="125"/>
      <c r="GPK163" s="125"/>
      <c r="GPL163" s="125"/>
      <c r="GPM163" s="125"/>
      <c r="GPN163" s="125"/>
      <c r="GPO163" s="125"/>
      <c r="GPP163" s="125"/>
      <c r="GPQ163" s="125"/>
      <c r="GPR163" s="125"/>
      <c r="GPS163" s="125"/>
      <c r="GPT163" s="125"/>
      <c r="GPU163" s="125"/>
      <c r="GPV163" s="125"/>
      <c r="GPW163" s="125"/>
      <c r="GPX163" s="125"/>
      <c r="GPY163" s="125"/>
      <c r="GPZ163" s="125"/>
      <c r="GQA163" s="125"/>
      <c r="GQB163" s="125"/>
      <c r="GQC163" s="125"/>
      <c r="GQD163" s="125"/>
      <c r="GQE163" s="125"/>
      <c r="GQF163" s="125"/>
      <c r="GQG163" s="125"/>
      <c r="GQH163" s="125"/>
      <c r="GQI163" s="125"/>
      <c r="GQJ163" s="125"/>
      <c r="GQK163" s="125"/>
      <c r="GQL163" s="125"/>
      <c r="GQM163" s="125"/>
      <c r="GQN163" s="125"/>
      <c r="GQO163" s="125"/>
      <c r="GQP163" s="125"/>
      <c r="GQQ163" s="125"/>
      <c r="GQR163" s="125"/>
      <c r="GQS163" s="125"/>
      <c r="GQT163" s="125"/>
      <c r="GQU163" s="125"/>
      <c r="GQV163" s="125"/>
      <c r="GQW163" s="125"/>
      <c r="GQX163" s="125"/>
      <c r="GQY163" s="125"/>
      <c r="GQZ163" s="125"/>
      <c r="GRA163" s="125"/>
      <c r="GRB163" s="125"/>
      <c r="GRC163" s="125"/>
      <c r="GRD163" s="125"/>
      <c r="GRE163" s="125"/>
      <c r="GRF163" s="125"/>
      <c r="GRG163" s="125"/>
      <c r="GRH163" s="125"/>
      <c r="GRI163" s="125"/>
      <c r="GRJ163" s="125"/>
      <c r="GRK163" s="125"/>
      <c r="GRL163" s="125"/>
      <c r="GRM163" s="125"/>
      <c r="GRN163" s="125"/>
      <c r="GRO163" s="125"/>
      <c r="GRP163" s="125"/>
      <c r="GRQ163" s="125"/>
      <c r="GRR163" s="125"/>
      <c r="GRS163" s="125"/>
      <c r="GRT163" s="125"/>
      <c r="GRU163" s="125"/>
      <c r="GRV163" s="125"/>
      <c r="GRW163" s="125"/>
      <c r="GRX163" s="125"/>
      <c r="GRY163" s="125"/>
      <c r="GRZ163" s="125"/>
      <c r="GSA163" s="125"/>
      <c r="GSB163" s="125"/>
      <c r="GSC163" s="125"/>
      <c r="GSD163" s="125"/>
      <c r="GSE163" s="125"/>
      <c r="GSF163" s="125"/>
      <c r="GSG163" s="125"/>
      <c r="GSH163" s="125"/>
      <c r="GSI163" s="125"/>
      <c r="GSJ163" s="125"/>
      <c r="GSK163" s="125"/>
      <c r="GSL163" s="125"/>
      <c r="GSM163" s="125"/>
      <c r="GSN163" s="125"/>
      <c r="GSO163" s="125"/>
      <c r="GSP163" s="125"/>
      <c r="GSQ163" s="125"/>
      <c r="GSR163" s="125"/>
      <c r="GSS163" s="125"/>
      <c r="GST163" s="125"/>
      <c r="GSU163" s="125"/>
      <c r="GSV163" s="125"/>
      <c r="GSW163" s="125"/>
      <c r="GSX163" s="125"/>
      <c r="GSY163" s="125"/>
      <c r="GSZ163" s="125"/>
      <c r="GTA163" s="125"/>
      <c r="GTB163" s="125"/>
      <c r="GTC163" s="125"/>
      <c r="GTD163" s="125"/>
      <c r="GTE163" s="125"/>
      <c r="GTF163" s="125"/>
      <c r="GTG163" s="125"/>
      <c r="GTH163" s="125"/>
      <c r="GTI163" s="125"/>
      <c r="GTJ163" s="125"/>
      <c r="GTK163" s="125"/>
      <c r="GTL163" s="125"/>
      <c r="GTM163" s="125"/>
      <c r="GTN163" s="125"/>
      <c r="GTO163" s="125"/>
      <c r="GTP163" s="125"/>
      <c r="GTQ163" s="125"/>
      <c r="GTR163" s="125"/>
      <c r="GTS163" s="125"/>
      <c r="GTT163" s="125"/>
      <c r="GTU163" s="125"/>
      <c r="GTV163" s="125"/>
      <c r="GTW163" s="125"/>
      <c r="GTX163" s="125"/>
      <c r="GTY163" s="125"/>
      <c r="GTZ163" s="125"/>
      <c r="GUA163" s="125"/>
      <c r="GUB163" s="125"/>
      <c r="GUC163" s="125"/>
      <c r="GUD163" s="125"/>
      <c r="GUE163" s="125"/>
      <c r="GUF163" s="125"/>
      <c r="GUG163" s="125"/>
      <c r="GUH163" s="125"/>
      <c r="GUI163" s="125"/>
      <c r="GUJ163" s="125"/>
      <c r="GUK163" s="125"/>
      <c r="GUL163" s="125"/>
      <c r="GUM163" s="125"/>
      <c r="GUN163" s="125"/>
      <c r="GUO163" s="125"/>
      <c r="GUP163" s="125"/>
      <c r="GUQ163" s="125"/>
      <c r="GUR163" s="125"/>
      <c r="GUS163" s="125"/>
      <c r="GUT163" s="125"/>
      <c r="GUU163" s="125"/>
      <c r="GUV163" s="125"/>
      <c r="GUW163" s="125"/>
      <c r="GUX163" s="125"/>
      <c r="GUY163" s="125"/>
      <c r="GUZ163" s="125"/>
      <c r="GVA163" s="125"/>
      <c r="GVB163" s="125"/>
      <c r="GVC163" s="125"/>
      <c r="GVD163" s="125"/>
      <c r="GVE163" s="125"/>
      <c r="GVF163" s="125"/>
      <c r="GVG163" s="125"/>
      <c r="GVH163" s="125"/>
      <c r="GVI163" s="125"/>
      <c r="GVJ163" s="125"/>
      <c r="GVK163" s="125"/>
      <c r="GVL163" s="125"/>
      <c r="GVM163" s="125"/>
      <c r="GVN163" s="125"/>
      <c r="GVO163" s="125"/>
      <c r="GVP163" s="125"/>
      <c r="GVQ163" s="125"/>
      <c r="GVR163" s="125"/>
      <c r="GVS163" s="125"/>
      <c r="GVT163" s="125"/>
      <c r="GVU163" s="125"/>
      <c r="GVV163" s="125"/>
      <c r="GVW163" s="125"/>
      <c r="GVX163" s="125"/>
      <c r="GVY163" s="125"/>
      <c r="GVZ163" s="125"/>
      <c r="GWA163" s="125"/>
      <c r="GWB163" s="125"/>
      <c r="GWC163" s="125"/>
      <c r="GWD163" s="125"/>
      <c r="GWE163" s="125"/>
      <c r="GWF163" s="125"/>
      <c r="GWG163" s="125"/>
      <c r="GWH163" s="125"/>
      <c r="GWI163" s="125"/>
      <c r="GWJ163" s="125"/>
      <c r="GWK163" s="125"/>
      <c r="GWL163" s="125"/>
      <c r="GWM163" s="125"/>
      <c r="GWN163" s="125"/>
      <c r="GWO163" s="125"/>
      <c r="GWP163" s="125"/>
      <c r="GWQ163" s="125"/>
      <c r="GWR163" s="125"/>
      <c r="GWS163" s="125"/>
      <c r="GWT163" s="125"/>
      <c r="GWU163" s="125"/>
      <c r="GWV163" s="125"/>
      <c r="GWW163" s="125"/>
      <c r="GWX163" s="125"/>
      <c r="GWY163" s="125"/>
      <c r="GWZ163" s="125"/>
      <c r="GXA163" s="125"/>
      <c r="GXB163" s="125"/>
      <c r="GXC163" s="125"/>
      <c r="GXD163" s="125"/>
      <c r="GXE163" s="125"/>
      <c r="GXF163" s="125"/>
      <c r="GXG163" s="125"/>
      <c r="GXH163" s="125"/>
      <c r="GXI163" s="125"/>
      <c r="GXJ163" s="125"/>
      <c r="GXK163" s="125"/>
      <c r="GXL163" s="125"/>
      <c r="GXM163" s="125"/>
      <c r="GXN163" s="125"/>
      <c r="GXO163" s="125"/>
      <c r="GXP163" s="125"/>
      <c r="GXQ163" s="125"/>
      <c r="GXR163" s="125"/>
      <c r="GXS163" s="125"/>
      <c r="GXT163" s="125"/>
      <c r="GXU163" s="125"/>
      <c r="GXV163" s="125"/>
      <c r="GXW163" s="125"/>
      <c r="GXX163" s="125"/>
      <c r="GXY163" s="125"/>
      <c r="GXZ163" s="125"/>
      <c r="GYA163" s="125"/>
      <c r="GYB163" s="125"/>
      <c r="GYC163" s="125"/>
      <c r="GYD163" s="125"/>
      <c r="GYE163" s="125"/>
      <c r="GYF163" s="125"/>
      <c r="GYG163" s="125"/>
      <c r="GYH163" s="125"/>
      <c r="GYI163" s="125"/>
      <c r="GYJ163" s="125"/>
      <c r="GYK163" s="125"/>
      <c r="GYL163" s="125"/>
      <c r="GYM163" s="125"/>
      <c r="GYN163" s="125"/>
      <c r="GYO163" s="125"/>
      <c r="GYP163" s="125"/>
      <c r="GYQ163" s="125"/>
      <c r="GYR163" s="125"/>
      <c r="GYS163" s="125"/>
      <c r="GYT163" s="125"/>
      <c r="GYU163" s="125"/>
      <c r="GYV163" s="125"/>
      <c r="GYW163" s="125"/>
      <c r="GYX163" s="125"/>
      <c r="GYY163" s="125"/>
      <c r="GYZ163" s="125"/>
      <c r="GZA163" s="125"/>
      <c r="GZB163" s="125"/>
      <c r="GZC163" s="125"/>
      <c r="GZD163" s="125"/>
      <c r="GZE163" s="125"/>
      <c r="GZF163" s="125"/>
      <c r="GZG163" s="125"/>
      <c r="GZH163" s="125"/>
      <c r="GZI163" s="125"/>
      <c r="GZJ163" s="125"/>
      <c r="GZK163" s="125"/>
      <c r="GZL163" s="125"/>
      <c r="GZM163" s="125"/>
      <c r="GZN163" s="125"/>
      <c r="GZO163" s="125"/>
      <c r="GZP163" s="125"/>
      <c r="GZQ163" s="125"/>
      <c r="GZR163" s="125"/>
      <c r="GZS163" s="125"/>
      <c r="GZT163" s="125"/>
      <c r="GZU163" s="125"/>
      <c r="GZV163" s="125"/>
      <c r="GZW163" s="125"/>
      <c r="GZX163" s="125"/>
      <c r="GZY163" s="125"/>
      <c r="GZZ163" s="125"/>
      <c r="HAA163" s="125"/>
      <c r="HAB163" s="125"/>
      <c r="HAC163" s="125"/>
      <c r="HAD163" s="125"/>
      <c r="HAE163" s="125"/>
      <c r="HAF163" s="125"/>
      <c r="HAG163" s="125"/>
      <c r="HAH163" s="125"/>
      <c r="HAI163" s="125"/>
      <c r="HAJ163" s="125"/>
      <c r="HAK163" s="125"/>
      <c r="HAL163" s="125"/>
      <c r="HAM163" s="125"/>
      <c r="HAN163" s="125"/>
      <c r="HAO163" s="125"/>
      <c r="HAP163" s="125"/>
      <c r="HAQ163" s="125"/>
      <c r="HAR163" s="125"/>
      <c r="HAS163" s="125"/>
      <c r="HAT163" s="125"/>
      <c r="HAU163" s="125"/>
      <c r="HAV163" s="125"/>
      <c r="HAW163" s="125"/>
      <c r="HAX163" s="125"/>
      <c r="HAY163" s="125"/>
      <c r="HAZ163" s="125"/>
      <c r="HBA163" s="125"/>
      <c r="HBB163" s="125"/>
      <c r="HBC163" s="125"/>
      <c r="HBD163" s="125"/>
      <c r="HBE163" s="125"/>
      <c r="HBF163" s="125"/>
      <c r="HBG163" s="125"/>
      <c r="HBH163" s="125"/>
      <c r="HBI163" s="125"/>
      <c r="HBJ163" s="125"/>
      <c r="HBK163" s="125"/>
      <c r="HBL163" s="125"/>
      <c r="HBM163" s="125"/>
      <c r="HBN163" s="125"/>
      <c r="HBO163" s="125"/>
      <c r="HBP163" s="125"/>
      <c r="HBQ163" s="125"/>
      <c r="HBR163" s="125"/>
      <c r="HBS163" s="125"/>
      <c r="HBT163" s="125"/>
      <c r="HBU163" s="125"/>
      <c r="HBV163" s="125"/>
      <c r="HBW163" s="125"/>
      <c r="HBX163" s="125"/>
      <c r="HBY163" s="125"/>
      <c r="HBZ163" s="125"/>
      <c r="HCA163" s="125"/>
      <c r="HCB163" s="125"/>
      <c r="HCC163" s="125"/>
      <c r="HCD163" s="125"/>
      <c r="HCE163" s="125"/>
      <c r="HCF163" s="125"/>
      <c r="HCG163" s="125"/>
      <c r="HCH163" s="125"/>
      <c r="HCI163" s="125"/>
      <c r="HCJ163" s="125"/>
      <c r="HCK163" s="125"/>
      <c r="HCL163" s="125"/>
      <c r="HCM163" s="125"/>
      <c r="HCN163" s="125"/>
      <c r="HCO163" s="125"/>
      <c r="HCP163" s="125"/>
      <c r="HCQ163" s="125"/>
      <c r="HCR163" s="125"/>
      <c r="HCS163" s="125"/>
      <c r="HCT163" s="125"/>
      <c r="HCU163" s="125"/>
      <c r="HCV163" s="125"/>
      <c r="HCW163" s="125"/>
      <c r="HCX163" s="125"/>
      <c r="HCY163" s="125"/>
      <c r="HCZ163" s="125"/>
      <c r="HDA163" s="125"/>
      <c r="HDB163" s="125"/>
      <c r="HDC163" s="125"/>
      <c r="HDD163" s="125"/>
      <c r="HDE163" s="125"/>
      <c r="HDF163" s="125"/>
      <c r="HDG163" s="125"/>
      <c r="HDH163" s="125"/>
      <c r="HDI163" s="125"/>
      <c r="HDJ163" s="125"/>
      <c r="HDK163" s="125"/>
      <c r="HDL163" s="125"/>
      <c r="HDM163" s="125"/>
      <c r="HDN163" s="125"/>
      <c r="HDO163" s="125"/>
      <c r="HDP163" s="125"/>
      <c r="HDQ163" s="125"/>
      <c r="HDR163" s="125"/>
      <c r="HDS163" s="125"/>
      <c r="HDT163" s="125"/>
      <c r="HDU163" s="125"/>
      <c r="HDV163" s="125"/>
      <c r="HDW163" s="125"/>
      <c r="HDX163" s="125"/>
      <c r="HDY163" s="125"/>
      <c r="HDZ163" s="125"/>
      <c r="HEA163" s="125"/>
      <c r="HEB163" s="125"/>
      <c r="HEC163" s="125"/>
      <c r="HED163" s="125"/>
      <c r="HEE163" s="125"/>
      <c r="HEF163" s="125"/>
      <c r="HEG163" s="125"/>
      <c r="HEH163" s="125"/>
      <c r="HEI163" s="125"/>
      <c r="HEJ163" s="125"/>
      <c r="HEK163" s="125"/>
      <c r="HEL163" s="125"/>
      <c r="HEM163" s="125"/>
      <c r="HEN163" s="125"/>
      <c r="HEO163" s="125"/>
      <c r="HEP163" s="125"/>
      <c r="HEQ163" s="125"/>
      <c r="HER163" s="125"/>
      <c r="HES163" s="125"/>
      <c r="HET163" s="125"/>
      <c r="HEU163" s="125"/>
      <c r="HEV163" s="125"/>
      <c r="HEW163" s="125"/>
      <c r="HEX163" s="125"/>
      <c r="HEY163" s="125"/>
      <c r="HEZ163" s="125"/>
      <c r="HFA163" s="125"/>
      <c r="HFB163" s="125"/>
      <c r="HFC163" s="125"/>
      <c r="HFD163" s="125"/>
      <c r="HFE163" s="125"/>
      <c r="HFF163" s="125"/>
      <c r="HFG163" s="125"/>
      <c r="HFH163" s="125"/>
      <c r="HFI163" s="125"/>
      <c r="HFJ163" s="125"/>
      <c r="HFK163" s="125"/>
      <c r="HFL163" s="125"/>
      <c r="HFM163" s="125"/>
      <c r="HFN163" s="125"/>
      <c r="HFO163" s="125"/>
      <c r="HFP163" s="125"/>
      <c r="HFQ163" s="125"/>
      <c r="HFR163" s="125"/>
      <c r="HFS163" s="125"/>
      <c r="HFT163" s="125"/>
      <c r="HFU163" s="125"/>
      <c r="HFV163" s="125"/>
      <c r="HFW163" s="125"/>
      <c r="HFX163" s="125"/>
      <c r="HFY163" s="125"/>
      <c r="HFZ163" s="125"/>
      <c r="HGA163" s="125"/>
      <c r="HGB163" s="125"/>
      <c r="HGC163" s="125"/>
      <c r="HGD163" s="125"/>
      <c r="HGE163" s="125"/>
      <c r="HGF163" s="125"/>
      <c r="HGG163" s="125"/>
      <c r="HGH163" s="125"/>
      <c r="HGI163" s="125"/>
      <c r="HGJ163" s="125"/>
      <c r="HGK163" s="125"/>
      <c r="HGL163" s="125"/>
      <c r="HGM163" s="125"/>
      <c r="HGN163" s="125"/>
      <c r="HGO163" s="125"/>
      <c r="HGP163" s="125"/>
      <c r="HGQ163" s="125"/>
      <c r="HGR163" s="125"/>
      <c r="HGS163" s="125"/>
      <c r="HGT163" s="125"/>
      <c r="HGU163" s="125"/>
      <c r="HGV163" s="125"/>
      <c r="HGW163" s="125"/>
      <c r="HGX163" s="125"/>
      <c r="HGY163" s="125"/>
      <c r="HGZ163" s="125"/>
      <c r="HHA163" s="125"/>
      <c r="HHB163" s="125"/>
      <c r="HHC163" s="125"/>
      <c r="HHD163" s="125"/>
      <c r="HHE163" s="125"/>
      <c r="HHF163" s="125"/>
      <c r="HHG163" s="125"/>
      <c r="HHH163" s="125"/>
      <c r="HHI163" s="125"/>
      <c r="HHJ163" s="125"/>
      <c r="HHK163" s="125"/>
      <c r="HHL163" s="125"/>
      <c r="HHM163" s="125"/>
      <c r="HHN163" s="125"/>
      <c r="HHO163" s="125"/>
      <c r="HHP163" s="125"/>
      <c r="HHQ163" s="125"/>
      <c r="HHR163" s="125"/>
      <c r="HHS163" s="125"/>
      <c r="HHT163" s="125"/>
      <c r="HHU163" s="125"/>
      <c r="HHV163" s="125"/>
      <c r="HHW163" s="125"/>
      <c r="HHX163" s="125"/>
      <c r="HHY163" s="125"/>
      <c r="HHZ163" s="125"/>
      <c r="HIA163" s="125"/>
      <c r="HIB163" s="125"/>
      <c r="HIC163" s="125"/>
      <c r="HID163" s="125"/>
      <c r="HIE163" s="125"/>
      <c r="HIF163" s="125"/>
      <c r="HIG163" s="125"/>
      <c r="HIH163" s="125"/>
      <c r="HII163" s="125"/>
      <c r="HIJ163" s="125"/>
      <c r="HIK163" s="125"/>
      <c r="HIL163" s="125"/>
      <c r="HIM163" s="125"/>
      <c r="HIN163" s="125"/>
      <c r="HIO163" s="125"/>
      <c r="HIP163" s="125"/>
      <c r="HIQ163" s="125"/>
      <c r="HIR163" s="125"/>
      <c r="HIS163" s="125"/>
      <c r="HIT163" s="125"/>
      <c r="HIU163" s="125"/>
      <c r="HIV163" s="125"/>
      <c r="HIW163" s="125"/>
      <c r="HIX163" s="125"/>
      <c r="HIY163" s="125"/>
      <c r="HIZ163" s="125"/>
      <c r="HJA163" s="125"/>
      <c r="HJB163" s="125"/>
      <c r="HJC163" s="125"/>
      <c r="HJD163" s="125"/>
      <c r="HJE163" s="125"/>
      <c r="HJF163" s="125"/>
      <c r="HJG163" s="125"/>
      <c r="HJH163" s="125"/>
      <c r="HJI163" s="125"/>
      <c r="HJJ163" s="125"/>
      <c r="HJK163" s="125"/>
      <c r="HJL163" s="125"/>
      <c r="HJM163" s="125"/>
      <c r="HJN163" s="125"/>
      <c r="HJO163" s="125"/>
      <c r="HJP163" s="125"/>
      <c r="HJQ163" s="125"/>
      <c r="HJR163" s="125"/>
      <c r="HJS163" s="125"/>
      <c r="HJT163" s="125"/>
      <c r="HJU163" s="125"/>
      <c r="HJV163" s="125"/>
      <c r="HJW163" s="125"/>
      <c r="HJX163" s="125"/>
      <c r="HJY163" s="125"/>
      <c r="HJZ163" s="125"/>
      <c r="HKA163" s="125"/>
      <c r="HKB163" s="125"/>
      <c r="HKC163" s="125"/>
      <c r="HKD163" s="125"/>
      <c r="HKE163" s="125"/>
      <c r="HKF163" s="125"/>
      <c r="HKG163" s="125"/>
      <c r="HKH163" s="125"/>
      <c r="HKI163" s="125"/>
      <c r="HKJ163" s="125"/>
      <c r="HKK163" s="125"/>
      <c r="HKL163" s="125"/>
      <c r="HKM163" s="125"/>
      <c r="HKN163" s="125"/>
      <c r="HKO163" s="125"/>
      <c r="HKP163" s="125"/>
      <c r="HKQ163" s="125"/>
      <c r="HKR163" s="125"/>
      <c r="HKS163" s="125"/>
      <c r="HKT163" s="125"/>
      <c r="HKU163" s="125"/>
      <c r="HKV163" s="125"/>
      <c r="HKW163" s="125"/>
      <c r="HKX163" s="125"/>
      <c r="HKY163" s="125"/>
      <c r="HKZ163" s="125"/>
      <c r="HLA163" s="125"/>
      <c r="HLB163" s="125"/>
      <c r="HLC163" s="125"/>
      <c r="HLD163" s="125"/>
      <c r="HLE163" s="125"/>
      <c r="HLF163" s="125"/>
      <c r="HLG163" s="125"/>
      <c r="HLH163" s="125"/>
      <c r="HLI163" s="125"/>
      <c r="HLJ163" s="125"/>
      <c r="HLK163" s="125"/>
      <c r="HLL163" s="125"/>
      <c r="HLM163" s="125"/>
      <c r="HLN163" s="125"/>
      <c r="HLO163" s="125"/>
      <c r="HLP163" s="125"/>
      <c r="HLQ163" s="125"/>
      <c r="HLR163" s="125"/>
      <c r="HLS163" s="125"/>
      <c r="HLT163" s="125"/>
      <c r="HLU163" s="125"/>
      <c r="HLV163" s="125"/>
      <c r="HLW163" s="125"/>
      <c r="HLX163" s="125"/>
      <c r="HLY163" s="125"/>
      <c r="HLZ163" s="125"/>
      <c r="HMA163" s="125"/>
      <c r="HMB163" s="125"/>
      <c r="HMC163" s="125"/>
      <c r="HMD163" s="125"/>
      <c r="HME163" s="125"/>
      <c r="HMF163" s="125"/>
      <c r="HMG163" s="125"/>
      <c r="HMH163" s="125"/>
      <c r="HMI163" s="125"/>
      <c r="HMJ163" s="125"/>
      <c r="HMK163" s="125"/>
      <c r="HML163" s="125"/>
      <c r="HMM163" s="125"/>
      <c r="HMN163" s="125"/>
      <c r="HMO163" s="125"/>
      <c r="HMP163" s="125"/>
      <c r="HMQ163" s="125"/>
      <c r="HMR163" s="125"/>
      <c r="HMS163" s="125"/>
      <c r="HMT163" s="125"/>
      <c r="HMU163" s="125"/>
      <c r="HMV163" s="125"/>
      <c r="HMW163" s="125"/>
      <c r="HMX163" s="125"/>
      <c r="HMY163" s="125"/>
      <c r="HMZ163" s="125"/>
      <c r="HNA163" s="125"/>
      <c r="HNB163" s="125"/>
      <c r="HNC163" s="125"/>
      <c r="HND163" s="125"/>
      <c r="HNE163" s="125"/>
      <c r="HNF163" s="125"/>
      <c r="HNG163" s="125"/>
      <c r="HNH163" s="125"/>
      <c r="HNI163" s="125"/>
      <c r="HNJ163" s="125"/>
      <c r="HNK163" s="125"/>
      <c r="HNL163" s="125"/>
      <c r="HNM163" s="125"/>
      <c r="HNN163" s="125"/>
      <c r="HNO163" s="125"/>
      <c r="HNP163" s="125"/>
      <c r="HNQ163" s="125"/>
      <c r="HNR163" s="125"/>
      <c r="HNS163" s="125"/>
      <c r="HNT163" s="125"/>
      <c r="HNU163" s="125"/>
      <c r="HNV163" s="125"/>
      <c r="HNW163" s="125"/>
      <c r="HNX163" s="125"/>
      <c r="HNY163" s="125"/>
      <c r="HNZ163" s="125"/>
      <c r="HOA163" s="125"/>
      <c r="HOB163" s="125"/>
      <c r="HOC163" s="125"/>
      <c r="HOD163" s="125"/>
      <c r="HOE163" s="125"/>
      <c r="HOF163" s="125"/>
      <c r="HOG163" s="125"/>
      <c r="HOH163" s="125"/>
      <c r="HOI163" s="125"/>
      <c r="HOJ163" s="125"/>
      <c r="HOK163" s="125"/>
      <c r="HOL163" s="125"/>
      <c r="HOM163" s="125"/>
      <c r="HON163" s="125"/>
      <c r="HOO163" s="125"/>
      <c r="HOP163" s="125"/>
      <c r="HOQ163" s="125"/>
      <c r="HOR163" s="125"/>
      <c r="HOS163" s="125"/>
      <c r="HOT163" s="125"/>
      <c r="HOU163" s="125"/>
      <c r="HOV163" s="125"/>
      <c r="HOW163" s="125"/>
      <c r="HOX163" s="125"/>
      <c r="HOY163" s="125"/>
      <c r="HOZ163" s="125"/>
      <c r="HPA163" s="125"/>
      <c r="HPB163" s="125"/>
      <c r="HPC163" s="125"/>
      <c r="HPD163" s="125"/>
      <c r="HPE163" s="125"/>
      <c r="HPF163" s="125"/>
      <c r="HPG163" s="125"/>
      <c r="HPH163" s="125"/>
      <c r="HPI163" s="125"/>
      <c r="HPJ163" s="125"/>
      <c r="HPK163" s="125"/>
      <c r="HPL163" s="125"/>
      <c r="HPM163" s="125"/>
      <c r="HPN163" s="125"/>
      <c r="HPO163" s="125"/>
      <c r="HPP163" s="125"/>
      <c r="HPQ163" s="125"/>
      <c r="HPR163" s="125"/>
      <c r="HPS163" s="125"/>
      <c r="HPT163" s="125"/>
      <c r="HPU163" s="125"/>
      <c r="HPV163" s="125"/>
      <c r="HPW163" s="125"/>
      <c r="HPX163" s="125"/>
      <c r="HPY163" s="125"/>
      <c r="HPZ163" s="125"/>
      <c r="HQA163" s="125"/>
      <c r="HQB163" s="125"/>
      <c r="HQC163" s="125"/>
      <c r="HQD163" s="125"/>
      <c r="HQE163" s="125"/>
      <c r="HQF163" s="125"/>
      <c r="HQG163" s="125"/>
      <c r="HQH163" s="125"/>
      <c r="HQI163" s="125"/>
      <c r="HQJ163" s="125"/>
      <c r="HQK163" s="125"/>
      <c r="HQL163" s="125"/>
      <c r="HQM163" s="125"/>
      <c r="HQN163" s="125"/>
      <c r="HQO163" s="125"/>
      <c r="HQP163" s="125"/>
      <c r="HQQ163" s="125"/>
      <c r="HQR163" s="125"/>
      <c r="HQS163" s="125"/>
      <c r="HQT163" s="125"/>
      <c r="HQU163" s="125"/>
      <c r="HQV163" s="125"/>
      <c r="HQW163" s="125"/>
      <c r="HQX163" s="125"/>
      <c r="HQY163" s="125"/>
      <c r="HQZ163" s="125"/>
      <c r="HRA163" s="125"/>
      <c r="HRB163" s="125"/>
      <c r="HRC163" s="125"/>
      <c r="HRD163" s="125"/>
      <c r="HRE163" s="125"/>
      <c r="HRF163" s="125"/>
      <c r="HRG163" s="125"/>
      <c r="HRH163" s="125"/>
      <c r="HRI163" s="125"/>
      <c r="HRJ163" s="125"/>
      <c r="HRK163" s="125"/>
      <c r="HRL163" s="125"/>
      <c r="HRM163" s="125"/>
      <c r="HRN163" s="125"/>
      <c r="HRO163" s="125"/>
      <c r="HRP163" s="125"/>
      <c r="HRQ163" s="125"/>
      <c r="HRR163" s="125"/>
      <c r="HRS163" s="125"/>
      <c r="HRT163" s="125"/>
      <c r="HRU163" s="125"/>
      <c r="HRV163" s="125"/>
      <c r="HRW163" s="125"/>
      <c r="HRX163" s="125"/>
      <c r="HRY163" s="125"/>
      <c r="HRZ163" s="125"/>
      <c r="HSA163" s="125"/>
      <c r="HSB163" s="125"/>
      <c r="HSC163" s="125"/>
      <c r="HSD163" s="125"/>
      <c r="HSE163" s="125"/>
      <c r="HSF163" s="125"/>
      <c r="HSG163" s="125"/>
      <c r="HSH163" s="125"/>
      <c r="HSI163" s="125"/>
      <c r="HSJ163" s="125"/>
      <c r="HSK163" s="125"/>
      <c r="HSL163" s="125"/>
      <c r="HSM163" s="125"/>
      <c r="HSN163" s="125"/>
      <c r="HSO163" s="125"/>
      <c r="HSP163" s="125"/>
      <c r="HSQ163" s="125"/>
      <c r="HSR163" s="125"/>
      <c r="HSS163" s="125"/>
      <c r="HST163" s="125"/>
      <c r="HSU163" s="125"/>
      <c r="HSV163" s="125"/>
      <c r="HSW163" s="125"/>
      <c r="HSX163" s="125"/>
      <c r="HSY163" s="125"/>
      <c r="HSZ163" s="125"/>
      <c r="HTA163" s="125"/>
      <c r="HTB163" s="125"/>
      <c r="HTC163" s="125"/>
      <c r="HTD163" s="125"/>
      <c r="HTE163" s="125"/>
      <c r="HTF163" s="125"/>
      <c r="HTG163" s="125"/>
      <c r="HTH163" s="125"/>
      <c r="HTI163" s="125"/>
      <c r="HTJ163" s="125"/>
      <c r="HTK163" s="125"/>
      <c r="HTL163" s="125"/>
      <c r="HTM163" s="125"/>
      <c r="HTN163" s="125"/>
      <c r="HTO163" s="125"/>
      <c r="HTP163" s="125"/>
      <c r="HTQ163" s="125"/>
      <c r="HTR163" s="125"/>
      <c r="HTS163" s="125"/>
      <c r="HTT163" s="125"/>
      <c r="HTU163" s="125"/>
      <c r="HTV163" s="125"/>
      <c r="HTW163" s="125"/>
      <c r="HTX163" s="125"/>
      <c r="HTY163" s="125"/>
      <c r="HTZ163" s="125"/>
      <c r="HUA163" s="125"/>
      <c r="HUB163" s="125"/>
      <c r="HUC163" s="125"/>
      <c r="HUD163" s="125"/>
      <c r="HUE163" s="125"/>
      <c r="HUF163" s="125"/>
      <c r="HUG163" s="125"/>
      <c r="HUH163" s="125"/>
      <c r="HUI163" s="125"/>
      <c r="HUJ163" s="125"/>
      <c r="HUK163" s="125"/>
      <c r="HUL163" s="125"/>
      <c r="HUM163" s="125"/>
      <c r="HUN163" s="125"/>
      <c r="HUO163" s="125"/>
      <c r="HUP163" s="125"/>
      <c r="HUQ163" s="125"/>
      <c r="HUR163" s="125"/>
      <c r="HUS163" s="125"/>
      <c r="HUT163" s="125"/>
      <c r="HUU163" s="125"/>
      <c r="HUV163" s="125"/>
      <c r="HUW163" s="125"/>
      <c r="HUX163" s="125"/>
      <c r="HUY163" s="125"/>
      <c r="HUZ163" s="125"/>
      <c r="HVA163" s="125"/>
      <c r="HVB163" s="125"/>
      <c r="HVC163" s="125"/>
      <c r="HVD163" s="125"/>
      <c r="HVE163" s="125"/>
      <c r="HVF163" s="125"/>
      <c r="HVG163" s="125"/>
      <c r="HVH163" s="125"/>
      <c r="HVI163" s="125"/>
      <c r="HVJ163" s="125"/>
      <c r="HVK163" s="125"/>
      <c r="HVL163" s="125"/>
      <c r="HVM163" s="125"/>
      <c r="HVN163" s="125"/>
      <c r="HVO163" s="125"/>
      <c r="HVP163" s="125"/>
      <c r="HVQ163" s="125"/>
      <c r="HVR163" s="125"/>
      <c r="HVS163" s="125"/>
      <c r="HVT163" s="125"/>
      <c r="HVU163" s="125"/>
      <c r="HVV163" s="125"/>
      <c r="HVW163" s="125"/>
      <c r="HVX163" s="125"/>
      <c r="HVY163" s="125"/>
      <c r="HVZ163" s="125"/>
      <c r="HWA163" s="125"/>
      <c r="HWB163" s="125"/>
      <c r="HWC163" s="125"/>
      <c r="HWD163" s="125"/>
      <c r="HWE163" s="125"/>
      <c r="HWF163" s="125"/>
      <c r="HWG163" s="125"/>
      <c r="HWH163" s="125"/>
      <c r="HWI163" s="125"/>
      <c r="HWJ163" s="125"/>
      <c r="HWK163" s="125"/>
      <c r="HWL163" s="125"/>
      <c r="HWM163" s="125"/>
      <c r="HWN163" s="125"/>
      <c r="HWO163" s="125"/>
      <c r="HWP163" s="125"/>
      <c r="HWQ163" s="125"/>
      <c r="HWR163" s="125"/>
      <c r="HWS163" s="125"/>
      <c r="HWT163" s="125"/>
      <c r="HWU163" s="125"/>
      <c r="HWV163" s="125"/>
      <c r="HWW163" s="125"/>
      <c r="HWX163" s="125"/>
      <c r="HWY163" s="125"/>
      <c r="HWZ163" s="125"/>
      <c r="HXA163" s="125"/>
      <c r="HXB163" s="125"/>
      <c r="HXC163" s="125"/>
      <c r="HXD163" s="125"/>
      <c r="HXE163" s="125"/>
      <c r="HXF163" s="125"/>
      <c r="HXG163" s="125"/>
      <c r="HXH163" s="125"/>
      <c r="HXI163" s="125"/>
      <c r="HXJ163" s="125"/>
      <c r="HXK163" s="125"/>
      <c r="HXL163" s="125"/>
      <c r="HXM163" s="125"/>
      <c r="HXN163" s="125"/>
      <c r="HXO163" s="125"/>
      <c r="HXP163" s="125"/>
      <c r="HXQ163" s="125"/>
      <c r="HXR163" s="125"/>
      <c r="HXS163" s="125"/>
      <c r="HXT163" s="125"/>
      <c r="HXU163" s="125"/>
      <c r="HXV163" s="125"/>
      <c r="HXW163" s="125"/>
      <c r="HXX163" s="125"/>
      <c r="HXY163" s="125"/>
      <c r="HXZ163" s="125"/>
      <c r="HYA163" s="125"/>
      <c r="HYB163" s="125"/>
      <c r="HYC163" s="125"/>
      <c r="HYD163" s="125"/>
      <c r="HYE163" s="125"/>
      <c r="HYF163" s="125"/>
      <c r="HYG163" s="125"/>
      <c r="HYH163" s="125"/>
      <c r="HYI163" s="125"/>
      <c r="HYJ163" s="125"/>
      <c r="HYK163" s="125"/>
      <c r="HYL163" s="125"/>
      <c r="HYM163" s="125"/>
      <c r="HYN163" s="125"/>
      <c r="HYO163" s="125"/>
      <c r="HYP163" s="125"/>
      <c r="HYQ163" s="125"/>
      <c r="HYR163" s="125"/>
      <c r="HYS163" s="125"/>
      <c r="HYT163" s="125"/>
      <c r="HYU163" s="125"/>
      <c r="HYV163" s="125"/>
      <c r="HYW163" s="125"/>
      <c r="HYX163" s="125"/>
      <c r="HYY163" s="125"/>
      <c r="HYZ163" s="125"/>
      <c r="HZA163" s="125"/>
      <c r="HZB163" s="125"/>
      <c r="HZC163" s="125"/>
      <c r="HZD163" s="125"/>
      <c r="HZE163" s="125"/>
      <c r="HZF163" s="125"/>
      <c r="HZG163" s="125"/>
      <c r="HZH163" s="125"/>
      <c r="HZI163" s="125"/>
      <c r="HZJ163" s="125"/>
      <c r="HZK163" s="125"/>
      <c r="HZL163" s="125"/>
      <c r="HZM163" s="125"/>
      <c r="HZN163" s="125"/>
      <c r="HZO163" s="125"/>
      <c r="HZP163" s="125"/>
      <c r="HZQ163" s="125"/>
      <c r="HZR163" s="125"/>
      <c r="HZS163" s="125"/>
      <c r="HZT163" s="125"/>
      <c r="HZU163" s="125"/>
      <c r="HZV163" s="125"/>
      <c r="HZW163" s="125"/>
      <c r="HZX163" s="125"/>
      <c r="HZY163" s="125"/>
      <c r="HZZ163" s="125"/>
      <c r="IAA163" s="125"/>
      <c r="IAB163" s="125"/>
      <c r="IAC163" s="125"/>
      <c r="IAD163" s="125"/>
      <c r="IAE163" s="125"/>
      <c r="IAF163" s="125"/>
      <c r="IAG163" s="125"/>
      <c r="IAH163" s="125"/>
      <c r="IAI163" s="125"/>
      <c r="IAJ163" s="125"/>
      <c r="IAK163" s="125"/>
      <c r="IAL163" s="125"/>
      <c r="IAM163" s="125"/>
      <c r="IAN163" s="125"/>
      <c r="IAO163" s="125"/>
      <c r="IAP163" s="125"/>
      <c r="IAQ163" s="125"/>
      <c r="IAR163" s="125"/>
      <c r="IAS163" s="125"/>
      <c r="IAT163" s="125"/>
      <c r="IAU163" s="125"/>
      <c r="IAV163" s="125"/>
      <c r="IAW163" s="125"/>
      <c r="IAX163" s="125"/>
      <c r="IAY163" s="125"/>
      <c r="IAZ163" s="125"/>
      <c r="IBA163" s="125"/>
      <c r="IBB163" s="125"/>
      <c r="IBC163" s="125"/>
      <c r="IBD163" s="125"/>
      <c r="IBE163" s="125"/>
      <c r="IBF163" s="125"/>
      <c r="IBG163" s="125"/>
      <c r="IBH163" s="125"/>
      <c r="IBI163" s="125"/>
      <c r="IBJ163" s="125"/>
      <c r="IBK163" s="125"/>
      <c r="IBL163" s="125"/>
      <c r="IBM163" s="125"/>
      <c r="IBN163" s="125"/>
      <c r="IBO163" s="125"/>
      <c r="IBP163" s="125"/>
      <c r="IBQ163" s="125"/>
      <c r="IBR163" s="125"/>
      <c r="IBS163" s="125"/>
      <c r="IBT163" s="125"/>
      <c r="IBU163" s="125"/>
      <c r="IBV163" s="125"/>
      <c r="IBW163" s="125"/>
      <c r="IBX163" s="125"/>
      <c r="IBY163" s="125"/>
      <c r="IBZ163" s="125"/>
      <c r="ICA163" s="125"/>
      <c r="ICB163" s="125"/>
      <c r="ICC163" s="125"/>
      <c r="ICD163" s="125"/>
      <c r="ICE163" s="125"/>
      <c r="ICF163" s="125"/>
      <c r="ICG163" s="125"/>
      <c r="ICH163" s="125"/>
      <c r="ICI163" s="125"/>
      <c r="ICJ163" s="125"/>
      <c r="ICK163" s="125"/>
      <c r="ICL163" s="125"/>
      <c r="ICM163" s="125"/>
      <c r="ICN163" s="125"/>
      <c r="ICO163" s="125"/>
      <c r="ICP163" s="125"/>
      <c r="ICQ163" s="125"/>
      <c r="ICR163" s="125"/>
      <c r="ICS163" s="125"/>
      <c r="ICT163" s="125"/>
      <c r="ICU163" s="125"/>
      <c r="ICV163" s="125"/>
      <c r="ICW163" s="125"/>
      <c r="ICX163" s="125"/>
      <c r="ICY163" s="125"/>
      <c r="ICZ163" s="125"/>
      <c r="IDA163" s="125"/>
      <c r="IDB163" s="125"/>
      <c r="IDC163" s="125"/>
      <c r="IDD163" s="125"/>
      <c r="IDE163" s="125"/>
      <c r="IDF163" s="125"/>
      <c r="IDG163" s="125"/>
      <c r="IDH163" s="125"/>
      <c r="IDI163" s="125"/>
      <c r="IDJ163" s="125"/>
      <c r="IDK163" s="125"/>
      <c r="IDL163" s="125"/>
      <c r="IDM163" s="125"/>
      <c r="IDN163" s="125"/>
      <c r="IDO163" s="125"/>
      <c r="IDP163" s="125"/>
      <c r="IDQ163" s="125"/>
      <c r="IDR163" s="125"/>
      <c r="IDS163" s="125"/>
      <c r="IDT163" s="125"/>
      <c r="IDU163" s="125"/>
      <c r="IDV163" s="125"/>
      <c r="IDW163" s="125"/>
      <c r="IDX163" s="125"/>
      <c r="IDY163" s="125"/>
      <c r="IDZ163" s="125"/>
      <c r="IEA163" s="125"/>
      <c r="IEB163" s="125"/>
      <c r="IEC163" s="125"/>
      <c r="IED163" s="125"/>
      <c r="IEE163" s="125"/>
      <c r="IEF163" s="125"/>
      <c r="IEG163" s="125"/>
      <c r="IEH163" s="125"/>
      <c r="IEI163" s="125"/>
      <c r="IEJ163" s="125"/>
      <c r="IEK163" s="125"/>
      <c r="IEL163" s="125"/>
      <c r="IEM163" s="125"/>
      <c r="IEN163" s="125"/>
      <c r="IEO163" s="125"/>
      <c r="IEP163" s="125"/>
      <c r="IEQ163" s="125"/>
      <c r="IER163" s="125"/>
      <c r="IES163" s="125"/>
      <c r="IET163" s="125"/>
      <c r="IEU163" s="125"/>
      <c r="IEV163" s="125"/>
      <c r="IEW163" s="125"/>
      <c r="IEX163" s="125"/>
      <c r="IEY163" s="125"/>
      <c r="IEZ163" s="125"/>
      <c r="IFA163" s="125"/>
      <c r="IFB163" s="125"/>
      <c r="IFC163" s="125"/>
      <c r="IFD163" s="125"/>
      <c r="IFE163" s="125"/>
      <c r="IFF163" s="125"/>
      <c r="IFG163" s="125"/>
      <c r="IFH163" s="125"/>
      <c r="IFI163" s="125"/>
      <c r="IFJ163" s="125"/>
      <c r="IFK163" s="125"/>
      <c r="IFL163" s="125"/>
      <c r="IFM163" s="125"/>
      <c r="IFN163" s="125"/>
      <c r="IFO163" s="125"/>
      <c r="IFP163" s="125"/>
      <c r="IFQ163" s="125"/>
      <c r="IFR163" s="125"/>
      <c r="IFS163" s="125"/>
      <c r="IFT163" s="125"/>
      <c r="IFU163" s="125"/>
      <c r="IFV163" s="125"/>
      <c r="IFW163" s="125"/>
      <c r="IFX163" s="125"/>
      <c r="IFY163" s="125"/>
      <c r="IFZ163" s="125"/>
      <c r="IGA163" s="125"/>
      <c r="IGB163" s="125"/>
      <c r="IGC163" s="125"/>
      <c r="IGD163" s="125"/>
      <c r="IGE163" s="125"/>
      <c r="IGF163" s="125"/>
      <c r="IGG163" s="125"/>
      <c r="IGH163" s="125"/>
      <c r="IGI163" s="125"/>
      <c r="IGJ163" s="125"/>
      <c r="IGK163" s="125"/>
      <c r="IGL163" s="125"/>
      <c r="IGM163" s="125"/>
      <c r="IGN163" s="125"/>
      <c r="IGO163" s="125"/>
      <c r="IGP163" s="125"/>
      <c r="IGQ163" s="125"/>
      <c r="IGR163" s="125"/>
      <c r="IGS163" s="125"/>
      <c r="IGT163" s="125"/>
      <c r="IGU163" s="125"/>
      <c r="IGV163" s="125"/>
      <c r="IGW163" s="125"/>
      <c r="IGX163" s="125"/>
      <c r="IGY163" s="125"/>
      <c r="IGZ163" s="125"/>
      <c r="IHA163" s="125"/>
      <c r="IHB163" s="125"/>
      <c r="IHC163" s="125"/>
      <c r="IHD163" s="125"/>
      <c r="IHE163" s="125"/>
      <c r="IHF163" s="125"/>
      <c r="IHG163" s="125"/>
      <c r="IHH163" s="125"/>
      <c r="IHI163" s="125"/>
      <c r="IHJ163" s="125"/>
      <c r="IHK163" s="125"/>
      <c r="IHL163" s="125"/>
      <c r="IHM163" s="125"/>
      <c r="IHN163" s="125"/>
      <c r="IHO163" s="125"/>
      <c r="IHP163" s="125"/>
      <c r="IHQ163" s="125"/>
      <c r="IHR163" s="125"/>
      <c r="IHS163" s="125"/>
      <c r="IHT163" s="125"/>
      <c r="IHU163" s="125"/>
      <c r="IHV163" s="125"/>
      <c r="IHW163" s="125"/>
      <c r="IHX163" s="125"/>
      <c r="IHY163" s="125"/>
      <c r="IHZ163" s="125"/>
      <c r="IIA163" s="125"/>
      <c r="IIB163" s="125"/>
      <c r="IIC163" s="125"/>
      <c r="IID163" s="125"/>
      <c r="IIE163" s="125"/>
      <c r="IIF163" s="125"/>
      <c r="IIG163" s="125"/>
      <c r="IIH163" s="125"/>
      <c r="III163" s="125"/>
      <c r="IIJ163" s="125"/>
      <c r="IIK163" s="125"/>
      <c r="IIL163" s="125"/>
      <c r="IIM163" s="125"/>
      <c r="IIN163" s="125"/>
      <c r="IIO163" s="125"/>
      <c r="IIP163" s="125"/>
      <c r="IIQ163" s="125"/>
      <c r="IIR163" s="125"/>
      <c r="IIS163" s="125"/>
      <c r="IIT163" s="125"/>
      <c r="IIU163" s="125"/>
      <c r="IIV163" s="125"/>
      <c r="IIW163" s="125"/>
      <c r="IIX163" s="125"/>
      <c r="IIY163" s="125"/>
      <c r="IIZ163" s="125"/>
      <c r="IJA163" s="125"/>
      <c r="IJB163" s="125"/>
      <c r="IJC163" s="125"/>
      <c r="IJD163" s="125"/>
      <c r="IJE163" s="125"/>
      <c r="IJF163" s="125"/>
      <c r="IJG163" s="125"/>
      <c r="IJH163" s="125"/>
      <c r="IJI163" s="125"/>
      <c r="IJJ163" s="125"/>
      <c r="IJK163" s="125"/>
      <c r="IJL163" s="125"/>
      <c r="IJM163" s="125"/>
      <c r="IJN163" s="125"/>
      <c r="IJO163" s="125"/>
      <c r="IJP163" s="125"/>
      <c r="IJQ163" s="125"/>
      <c r="IJR163" s="125"/>
      <c r="IJS163" s="125"/>
      <c r="IJT163" s="125"/>
      <c r="IJU163" s="125"/>
      <c r="IJV163" s="125"/>
      <c r="IJW163" s="125"/>
      <c r="IJX163" s="125"/>
      <c r="IJY163" s="125"/>
      <c r="IJZ163" s="125"/>
      <c r="IKA163" s="125"/>
      <c r="IKB163" s="125"/>
      <c r="IKC163" s="125"/>
      <c r="IKD163" s="125"/>
      <c r="IKE163" s="125"/>
      <c r="IKF163" s="125"/>
      <c r="IKG163" s="125"/>
      <c r="IKH163" s="125"/>
      <c r="IKI163" s="125"/>
      <c r="IKJ163" s="125"/>
      <c r="IKK163" s="125"/>
      <c r="IKL163" s="125"/>
      <c r="IKM163" s="125"/>
      <c r="IKN163" s="125"/>
      <c r="IKO163" s="125"/>
      <c r="IKP163" s="125"/>
      <c r="IKQ163" s="125"/>
      <c r="IKR163" s="125"/>
      <c r="IKS163" s="125"/>
      <c r="IKT163" s="125"/>
      <c r="IKU163" s="125"/>
      <c r="IKV163" s="125"/>
      <c r="IKW163" s="125"/>
      <c r="IKX163" s="125"/>
      <c r="IKY163" s="125"/>
      <c r="IKZ163" s="125"/>
      <c r="ILA163" s="125"/>
      <c r="ILB163" s="125"/>
      <c r="ILC163" s="125"/>
      <c r="ILD163" s="125"/>
      <c r="ILE163" s="125"/>
      <c r="ILF163" s="125"/>
      <c r="ILG163" s="125"/>
      <c r="ILH163" s="125"/>
      <c r="ILI163" s="125"/>
      <c r="ILJ163" s="125"/>
      <c r="ILK163" s="125"/>
      <c r="ILL163" s="125"/>
      <c r="ILM163" s="125"/>
      <c r="ILN163" s="125"/>
      <c r="ILO163" s="125"/>
      <c r="ILP163" s="125"/>
      <c r="ILQ163" s="125"/>
      <c r="ILR163" s="125"/>
      <c r="ILS163" s="125"/>
      <c r="ILT163" s="125"/>
      <c r="ILU163" s="125"/>
      <c r="ILV163" s="125"/>
      <c r="ILW163" s="125"/>
      <c r="ILX163" s="125"/>
      <c r="ILY163" s="125"/>
      <c r="ILZ163" s="125"/>
      <c r="IMA163" s="125"/>
      <c r="IMB163" s="125"/>
      <c r="IMC163" s="125"/>
      <c r="IMD163" s="125"/>
      <c r="IME163" s="125"/>
      <c r="IMF163" s="125"/>
      <c r="IMG163" s="125"/>
      <c r="IMH163" s="125"/>
      <c r="IMI163" s="125"/>
      <c r="IMJ163" s="125"/>
      <c r="IMK163" s="125"/>
      <c r="IML163" s="125"/>
      <c r="IMM163" s="125"/>
      <c r="IMN163" s="125"/>
      <c r="IMO163" s="125"/>
      <c r="IMP163" s="125"/>
      <c r="IMQ163" s="125"/>
      <c r="IMR163" s="125"/>
      <c r="IMS163" s="125"/>
      <c r="IMT163" s="125"/>
      <c r="IMU163" s="125"/>
      <c r="IMV163" s="125"/>
      <c r="IMW163" s="125"/>
      <c r="IMX163" s="125"/>
      <c r="IMY163" s="125"/>
      <c r="IMZ163" s="125"/>
      <c r="INA163" s="125"/>
      <c r="INB163" s="125"/>
      <c r="INC163" s="125"/>
      <c r="IND163" s="125"/>
      <c r="INE163" s="125"/>
      <c r="INF163" s="125"/>
      <c r="ING163" s="125"/>
      <c r="INH163" s="125"/>
      <c r="INI163" s="125"/>
      <c r="INJ163" s="125"/>
      <c r="INK163" s="125"/>
      <c r="INL163" s="125"/>
      <c r="INM163" s="125"/>
      <c r="INN163" s="125"/>
      <c r="INO163" s="125"/>
      <c r="INP163" s="125"/>
      <c r="INQ163" s="125"/>
      <c r="INR163" s="125"/>
      <c r="INS163" s="125"/>
      <c r="INT163" s="125"/>
      <c r="INU163" s="125"/>
      <c r="INV163" s="125"/>
      <c r="INW163" s="125"/>
      <c r="INX163" s="125"/>
      <c r="INY163" s="125"/>
      <c r="INZ163" s="125"/>
      <c r="IOA163" s="125"/>
      <c r="IOB163" s="125"/>
      <c r="IOC163" s="125"/>
      <c r="IOD163" s="125"/>
      <c r="IOE163" s="125"/>
      <c r="IOF163" s="125"/>
      <c r="IOG163" s="125"/>
      <c r="IOH163" s="125"/>
      <c r="IOI163" s="125"/>
      <c r="IOJ163" s="125"/>
      <c r="IOK163" s="125"/>
      <c r="IOL163" s="125"/>
      <c r="IOM163" s="125"/>
      <c r="ION163" s="125"/>
      <c r="IOO163" s="125"/>
      <c r="IOP163" s="125"/>
      <c r="IOQ163" s="125"/>
      <c r="IOR163" s="125"/>
      <c r="IOS163" s="125"/>
      <c r="IOT163" s="125"/>
      <c r="IOU163" s="125"/>
      <c r="IOV163" s="125"/>
      <c r="IOW163" s="125"/>
      <c r="IOX163" s="125"/>
      <c r="IOY163" s="125"/>
      <c r="IOZ163" s="125"/>
      <c r="IPA163" s="125"/>
      <c r="IPB163" s="125"/>
      <c r="IPC163" s="125"/>
      <c r="IPD163" s="125"/>
      <c r="IPE163" s="125"/>
      <c r="IPF163" s="125"/>
      <c r="IPG163" s="125"/>
      <c r="IPH163" s="125"/>
      <c r="IPI163" s="125"/>
      <c r="IPJ163" s="125"/>
      <c r="IPK163" s="125"/>
      <c r="IPL163" s="125"/>
      <c r="IPM163" s="125"/>
      <c r="IPN163" s="125"/>
      <c r="IPO163" s="125"/>
      <c r="IPP163" s="125"/>
      <c r="IPQ163" s="125"/>
      <c r="IPR163" s="125"/>
      <c r="IPS163" s="125"/>
      <c r="IPT163" s="125"/>
      <c r="IPU163" s="125"/>
      <c r="IPV163" s="125"/>
      <c r="IPW163" s="125"/>
      <c r="IPX163" s="125"/>
      <c r="IPY163" s="125"/>
      <c r="IPZ163" s="125"/>
      <c r="IQA163" s="125"/>
      <c r="IQB163" s="125"/>
      <c r="IQC163" s="125"/>
      <c r="IQD163" s="125"/>
      <c r="IQE163" s="125"/>
      <c r="IQF163" s="125"/>
      <c r="IQG163" s="125"/>
      <c r="IQH163" s="125"/>
      <c r="IQI163" s="125"/>
      <c r="IQJ163" s="125"/>
      <c r="IQK163" s="125"/>
      <c r="IQL163" s="125"/>
      <c r="IQM163" s="125"/>
      <c r="IQN163" s="125"/>
      <c r="IQO163" s="125"/>
      <c r="IQP163" s="125"/>
      <c r="IQQ163" s="125"/>
      <c r="IQR163" s="125"/>
      <c r="IQS163" s="125"/>
      <c r="IQT163" s="125"/>
      <c r="IQU163" s="125"/>
      <c r="IQV163" s="125"/>
      <c r="IQW163" s="125"/>
      <c r="IQX163" s="125"/>
      <c r="IQY163" s="125"/>
      <c r="IQZ163" s="125"/>
      <c r="IRA163" s="125"/>
      <c r="IRB163" s="125"/>
      <c r="IRC163" s="125"/>
      <c r="IRD163" s="125"/>
      <c r="IRE163" s="125"/>
      <c r="IRF163" s="125"/>
      <c r="IRG163" s="125"/>
      <c r="IRH163" s="125"/>
      <c r="IRI163" s="125"/>
      <c r="IRJ163" s="125"/>
      <c r="IRK163" s="125"/>
      <c r="IRL163" s="125"/>
      <c r="IRM163" s="125"/>
      <c r="IRN163" s="125"/>
      <c r="IRO163" s="125"/>
      <c r="IRP163" s="125"/>
      <c r="IRQ163" s="125"/>
      <c r="IRR163" s="125"/>
      <c r="IRS163" s="125"/>
      <c r="IRT163" s="125"/>
      <c r="IRU163" s="125"/>
      <c r="IRV163" s="125"/>
      <c r="IRW163" s="125"/>
      <c r="IRX163" s="125"/>
      <c r="IRY163" s="125"/>
      <c r="IRZ163" s="125"/>
      <c r="ISA163" s="125"/>
      <c r="ISB163" s="125"/>
      <c r="ISC163" s="125"/>
      <c r="ISD163" s="125"/>
      <c r="ISE163" s="125"/>
      <c r="ISF163" s="125"/>
      <c r="ISG163" s="125"/>
      <c r="ISH163" s="125"/>
      <c r="ISI163" s="125"/>
      <c r="ISJ163" s="125"/>
      <c r="ISK163" s="125"/>
      <c r="ISL163" s="125"/>
      <c r="ISM163" s="125"/>
      <c r="ISN163" s="125"/>
      <c r="ISO163" s="125"/>
      <c r="ISP163" s="125"/>
      <c r="ISQ163" s="125"/>
      <c r="ISR163" s="125"/>
      <c r="ISS163" s="125"/>
      <c r="IST163" s="125"/>
      <c r="ISU163" s="125"/>
      <c r="ISV163" s="125"/>
      <c r="ISW163" s="125"/>
      <c r="ISX163" s="125"/>
      <c r="ISY163" s="125"/>
      <c r="ISZ163" s="125"/>
      <c r="ITA163" s="125"/>
      <c r="ITB163" s="125"/>
      <c r="ITC163" s="125"/>
      <c r="ITD163" s="125"/>
      <c r="ITE163" s="125"/>
      <c r="ITF163" s="125"/>
      <c r="ITG163" s="125"/>
      <c r="ITH163" s="125"/>
      <c r="ITI163" s="125"/>
      <c r="ITJ163" s="125"/>
      <c r="ITK163" s="125"/>
      <c r="ITL163" s="125"/>
      <c r="ITM163" s="125"/>
      <c r="ITN163" s="125"/>
      <c r="ITO163" s="125"/>
      <c r="ITP163" s="125"/>
      <c r="ITQ163" s="125"/>
      <c r="ITR163" s="125"/>
      <c r="ITS163" s="125"/>
      <c r="ITT163" s="125"/>
      <c r="ITU163" s="125"/>
      <c r="ITV163" s="125"/>
      <c r="ITW163" s="125"/>
      <c r="ITX163" s="125"/>
      <c r="ITY163" s="125"/>
      <c r="ITZ163" s="125"/>
      <c r="IUA163" s="125"/>
      <c r="IUB163" s="125"/>
      <c r="IUC163" s="125"/>
      <c r="IUD163" s="125"/>
      <c r="IUE163" s="125"/>
      <c r="IUF163" s="125"/>
      <c r="IUG163" s="125"/>
      <c r="IUH163" s="125"/>
      <c r="IUI163" s="125"/>
      <c r="IUJ163" s="125"/>
      <c r="IUK163" s="125"/>
      <c r="IUL163" s="125"/>
      <c r="IUM163" s="125"/>
      <c r="IUN163" s="125"/>
      <c r="IUO163" s="125"/>
      <c r="IUP163" s="125"/>
      <c r="IUQ163" s="125"/>
      <c r="IUR163" s="125"/>
      <c r="IUS163" s="125"/>
      <c r="IUT163" s="125"/>
      <c r="IUU163" s="125"/>
      <c r="IUV163" s="125"/>
      <c r="IUW163" s="125"/>
      <c r="IUX163" s="125"/>
      <c r="IUY163" s="125"/>
      <c r="IUZ163" s="125"/>
      <c r="IVA163" s="125"/>
      <c r="IVB163" s="125"/>
      <c r="IVC163" s="125"/>
      <c r="IVD163" s="125"/>
      <c r="IVE163" s="125"/>
      <c r="IVF163" s="125"/>
      <c r="IVG163" s="125"/>
      <c r="IVH163" s="125"/>
      <c r="IVI163" s="125"/>
      <c r="IVJ163" s="125"/>
      <c r="IVK163" s="125"/>
      <c r="IVL163" s="125"/>
      <c r="IVM163" s="125"/>
      <c r="IVN163" s="125"/>
      <c r="IVO163" s="125"/>
      <c r="IVP163" s="125"/>
      <c r="IVQ163" s="125"/>
      <c r="IVR163" s="125"/>
      <c r="IVS163" s="125"/>
      <c r="IVT163" s="125"/>
      <c r="IVU163" s="125"/>
      <c r="IVV163" s="125"/>
      <c r="IVW163" s="125"/>
      <c r="IVX163" s="125"/>
      <c r="IVY163" s="125"/>
      <c r="IVZ163" s="125"/>
      <c r="IWA163" s="125"/>
      <c r="IWB163" s="125"/>
      <c r="IWC163" s="125"/>
      <c r="IWD163" s="125"/>
      <c r="IWE163" s="125"/>
      <c r="IWF163" s="125"/>
      <c r="IWG163" s="125"/>
      <c r="IWH163" s="125"/>
      <c r="IWI163" s="125"/>
      <c r="IWJ163" s="125"/>
      <c r="IWK163" s="125"/>
      <c r="IWL163" s="125"/>
      <c r="IWM163" s="125"/>
      <c r="IWN163" s="125"/>
      <c r="IWO163" s="125"/>
      <c r="IWP163" s="125"/>
      <c r="IWQ163" s="125"/>
      <c r="IWR163" s="125"/>
      <c r="IWS163" s="125"/>
      <c r="IWT163" s="125"/>
      <c r="IWU163" s="125"/>
      <c r="IWV163" s="125"/>
      <c r="IWW163" s="125"/>
      <c r="IWX163" s="125"/>
      <c r="IWY163" s="125"/>
      <c r="IWZ163" s="125"/>
      <c r="IXA163" s="125"/>
      <c r="IXB163" s="125"/>
      <c r="IXC163" s="125"/>
      <c r="IXD163" s="125"/>
      <c r="IXE163" s="125"/>
      <c r="IXF163" s="125"/>
      <c r="IXG163" s="125"/>
      <c r="IXH163" s="125"/>
      <c r="IXI163" s="125"/>
      <c r="IXJ163" s="125"/>
      <c r="IXK163" s="125"/>
      <c r="IXL163" s="125"/>
      <c r="IXM163" s="125"/>
      <c r="IXN163" s="125"/>
      <c r="IXO163" s="125"/>
      <c r="IXP163" s="125"/>
      <c r="IXQ163" s="125"/>
      <c r="IXR163" s="125"/>
      <c r="IXS163" s="125"/>
      <c r="IXT163" s="125"/>
      <c r="IXU163" s="125"/>
      <c r="IXV163" s="125"/>
      <c r="IXW163" s="125"/>
      <c r="IXX163" s="125"/>
      <c r="IXY163" s="125"/>
      <c r="IXZ163" s="125"/>
      <c r="IYA163" s="125"/>
      <c r="IYB163" s="125"/>
      <c r="IYC163" s="125"/>
      <c r="IYD163" s="125"/>
      <c r="IYE163" s="125"/>
      <c r="IYF163" s="125"/>
      <c r="IYG163" s="125"/>
      <c r="IYH163" s="125"/>
      <c r="IYI163" s="125"/>
      <c r="IYJ163" s="125"/>
      <c r="IYK163" s="125"/>
      <c r="IYL163" s="125"/>
      <c r="IYM163" s="125"/>
      <c r="IYN163" s="125"/>
      <c r="IYO163" s="125"/>
      <c r="IYP163" s="125"/>
      <c r="IYQ163" s="125"/>
      <c r="IYR163" s="125"/>
      <c r="IYS163" s="125"/>
      <c r="IYT163" s="125"/>
      <c r="IYU163" s="125"/>
      <c r="IYV163" s="125"/>
      <c r="IYW163" s="125"/>
      <c r="IYX163" s="125"/>
      <c r="IYY163" s="125"/>
      <c r="IYZ163" s="125"/>
      <c r="IZA163" s="125"/>
      <c r="IZB163" s="125"/>
      <c r="IZC163" s="125"/>
      <c r="IZD163" s="125"/>
      <c r="IZE163" s="125"/>
      <c r="IZF163" s="125"/>
      <c r="IZG163" s="125"/>
      <c r="IZH163" s="125"/>
      <c r="IZI163" s="125"/>
      <c r="IZJ163" s="125"/>
      <c r="IZK163" s="125"/>
      <c r="IZL163" s="125"/>
      <c r="IZM163" s="125"/>
      <c r="IZN163" s="125"/>
      <c r="IZO163" s="125"/>
      <c r="IZP163" s="125"/>
      <c r="IZQ163" s="125"/>
      <c r="IZR163" s="125"/>
      <c r="IZS163" s="125"/>
      <c r="IZT163" s="125"/>
      <c r="IZU163" s="125"/>
      <c r="IZV163" s="125"/>
      <c r="IZW163" s="125"/>
      <c r="IZX163" s="125"/>
      <c r="IZY163" s="125"/>
      <c r="IZZ163" s="125"/>
      <c r="JAA163" s="125"/>
      <c r="JAB163" s="125"/>
      <c r="JAC163" s="125"/>
      <c r="JAD163" s="125"/>
      <c r="JAE163" s="125"/>
      <c r="JAF163" s="125"/>
      <c r="JAG163" s="125"/>
      <c r="JAH163" s="125"/>
      <c r="JAI163" s="125"/>
      <c r="JAJ163" s="125"/>
      <c r="JAK163" s="125"/>
      <c r="JAL163" s="125"/>
      <c r="JAM163" s="125"/>
      <c r="JAN163" s="125"/>
      <c r="JAO163" s="125"/>
      <c r="JAP163" s="125"/>
      <c r="JAQ163" s="125"/>
      <c r="JAR163" s="125"/>
      <c r="JAS163" s="125"/>
      <c r="JAT163" s="125"/>
      <c r="JAU163" s="125"/>
      <c r="JAV163" s="125"/>
      <c r="JAW163" s="125"/>
      <c r="JAX163" s="125"/>
      <c r="JAY163" s="125"/>
      <c r="JAZ163" s="125"/>
      <c r="JBA163" s="125"/>
      <c r="JBB163" s="125"/>
      <c r="JBC163" s="125"/>
      <c r="JBD163" s="125"/>
      <c r="JBE163" s="125"/>
      <c r="JBF163" s="125"/>
      <c r="JBG163" s="125"/>
      <c r="JBH163" s="125"/>
      <c r="JBI163" s="125"/>
      <c r="JBJ163" s="125"/>
      <c r="JBK163" s="125"/>
      <c r="JBL163" s="125"/>
      <c r="JBM163" s="125"/>
      <c r="JBN163" s="125"/>
      <c r="JBO163" s="125"/>
      <c r="JBP163" s="125"/>
      <c r="JBQ163" s="125"/>
      <c r="JBR163" s="125"/>
      <c r="JBS163" s="125"/>
      <c r="JBT163" s="125"/>
      <c r="JBU163" s="125"/>
      <c r="JBV163" s="125"/>
      <c r="JBW163" s="125"/>
      <c r="JBX163" s="125"/>
      <c r="JBY163" s="125"/>
      <c r="JBZ163" s="125"/>
      <c r="JCA163" s="125"/>
      <c r="JCB163" s="125"/>
      <c r="JCC163" s="125"/>
      <c r="JCD163" s="125"/>
      <c r="JCE163" s="125"/>
      <c r="JCF163" s="125"/>
      <c r="JCG163" s="125"/>
      <c r="JCH163" s="125"/>
      <c r="JCI163" s="125"/>
      <c r="JCJ163" s="125"/>
      <c r="JCK163" s="125"/>
      <c r="JCL163" s="125"/>
      <c r="JCM163" s="125"/>
      <c r="JCN163" s="125"/>
      <c r="JCO163" s="125"/>
      <c r="JCP163" s="125"/>
      <c r="JCQ163" s="125"/>
      <c r="JCR163" s="125"/>
      <c r="JCS163" s="125"/>
      <c r="JCT163" s="125"/>
      <c r="JCU163" s="125"/>
      <c r="JCV163" s="125"/>
      <c r="JCW163" s="125"/>
      <c r="JCX163" s="125"/>
      <c r="JCY163" s="125"/>
      <c r="JCZ163" s="125"/>
      <c r="JDA163" s="125"/>
      <c r="JDB163" s="125"/>
      <c r="JDC163" s="125"/>
      <c r="JDD163" s="125"/>
      <c r="JDE163" s="125"/>
      <c r="JDF163" s="125"/>
      <c r="JDG163" s="125"/>
      <c r="JDH163" s="125"/>
      <c r="JDI163" s="125"/>
      <c r="JDJ163" s="125"/>
      <c r="JDK163" s="125"/>
      <c r="JDL163" s="125"/>
      <c r="JDM163" s="125"/>
      <c r="JDN163" s="125"/>
      <c r="JDO163" s="125"/>
      <c r="JDP163" s="125"/>
      <c r="JDQ163" s="125"/>
      <c r="JDR163" s="125"/>
      <c r="JDS163" s="125"/>
      <c r="JDT163" s="125"/>
      <c r="JDU163" s="125"/>
      <c r="JDV163" s="125"/>
      <c r="JDW163" s="125"/>
      <c r="JDX163" s="125"/>
      <c r="JDY163" s="125"/>
      <c r="JDZ163" s="125"/>
      <c r="JEA163" s="125"/>
      <c r="JEB163" s="125"/>
      <c r="JEC163" s="125"/>
      <c r="JED163" s="125"/>
      <c r="JEE163" s="125"/>
      <c r="JEF163" s="125"/>
      <c r="JEG163" s="125"/>
      <c r="JEH163" s="125"/>
      <c r="JEI163" s="125"/>
      <c r="JEJ163" s="125"/>
      <c r="JEK163" s="125"/>
      <c r="JEL163" s="125"/>
      <c r="JEM163" s="125"/>
      <c r="JEN163" s="125"/>
      <c r="JEO163" s="125"/>
      <c r="JEP163" s="125"/>
      <c r="JEQ163" s="125"/>
      <c r="JER163" s="125"/>
      <c r="JES163" s="125"/>
      <c r="JET163" s="125"/>
      <c r="JEU163" s="125"/>
      <c r="JEV163" s="125"/>
      <c r="JEW163" s="125"/>
      <c r="JEX163" s="125"/>
      <c r="JEY163" s="125"/>
      <c r="JEZ163" s="125"/>
      <c r="JFA163" s="125"/>
      <c r="JFB163" s="125"/>
      <c r="JFC163" s="125"/>
      <c r="JFD163" s="125"/>
      <c r="JFE163" s="125"/>
      <c r="JFF163" s="125"/>
      <c r="JFG163" s="125"/>
      <c r="JFH163" s="125"/>
      <c r="JFI163" s="125"/>
      <c r="JFJ163" s="125"/>
      <c r="JFK163" s="125"/>
      <c r="JFL163" s="125"/>
      <c r="JFM163" s="125"/>
      <c r="JFN163" s="125"/>
      <c r="JFO163" s="125"/>
      <c r="JFP163" s="125"/>
      <c r="JFQ163" s="125"/>
      <c r="JFR163" s="125"/>
      <c r="JFS163" s="125"/>
      <c r="JFT163" s="125"/>
      <c r="JFU163" s="125"/>
      <c r="JFV163" s="125"/>
      <c r="JFW163" s="125"/>
      <c r="JFX163" s="125"/>
      <c r="JFY163" s="125"/>
      <c r="JFZ163" s="125"/>
      <c r="JGA163" s="125"/>
      <c r="JGB163" s="125"/>
      <c r="JGC163" s="125"/>
      <c r="JGD163" s="125"/>
      <c r="JGE163" s="125"/>
      <c r="JGF163" s="125"/>
      <c r="JGG163" s="125"/>
      <c r="JGH163" s="125"/>
      <c r="JGI163" s="125"/>
      <c r="JGJ163" s="125"/>
      <c r="JGK163" s="125"/>
      <c r="JGL163" s="125"/>
      <c r="JGM163" s="125"/>
      <c r="JGN163" s="125"/>
      <c r="JGO163" s="125"/>
      <c r="JGP163" s="125"/>
      <c r="JGQ163" s="125"/>
      <c r="JGR163" s="125"/>
      <c r="JGS163" s="125"/>
      <c r="JGT163" s="125"/>
      <c r="JGU163" s="125"/>
      <c r="JGV163" s="125"/>
      <c r="JGW163" s="125"/>
      <c r="JGX163" s="125"/>
      <c r="JGY163" s="125"/>
      <c r="JGZ163" s="125"/>
      <c r="JHA163" s="125"/>
      <c r="JHB163" s="125"/>
      <c r="JHC163" s="125"/>
      <c r="JHD163" s="125"/>
      <c r="JHE163" s="125"/>
      <c r="JHF163" s="125"/>
      <c r="JHG163" s="125"/>
      <c r="JHH163" s="125"/>
      <c r="JHI163" s="125"/>
      <c r="JHJ163" s="125"/>
      <c r="JHK163" s="125"/>
      <c r="JHL163" s="125"/>
      <c r="JHM163" s="125"/>
      <c r="JHN163" s="125"/>
      <c r="JHO163" s="125"/>
      <c r="JHP163" s="125"/>
      <c r="JHQ163" s="125"/>
      <c r="JHR163" s="125"/>
      <c r="JHS163" s="125"/>
      <c r="JHT163" s="125"/>
      <c r="JHU163" s="125"/>
      <c r="JHV163" s="125"/>
      <c r="JHW163" s="125"/>
      <c r="JHX163" s="125"/>
      <c r="JHY163" s="125"/>
      <c r="JHZ163" s="125"/>
      <c r="JIA163" s="125"/>
      <c r="JIB163" s="125"/>
      <c r="JIC163" s="125"/>
      <c r="JID163" s="125"/>
      <c r="JIE163" s="125"/>
      <c r="JIF163" s="125"/>
      <c r="JIG163" s="125"/>
      <c r="JIH163" s="125"/>
      <c r="JII163" s="125"/>
      <c r="JIJ163" s="125"/>
      <c r="JIK163" s="125"/>
      <c r="JIL163" s="125"/>
      <c r="JIM163" s="125"/>
      <c r="JIN163" s="125"/>
      <c r="JIO163" s="125"/>
      <c r="JIP163" s="125"/>
      <c r="JIQ163" s="125"/>
      <c r="JIR163" s="125"/>
      <c r="JIS163" s="125"/>
      <c r="JIT163" s="125"/>
      <c r="JIU163" s="125"/>
      <c r="JIV163" s="125"/>
      <c r="JIW163" s="125"/>
      <c r="JIX163" s="125"/>
      <c r="JIY163" s="125"/>
      <c r="JIZ163" s="125"/>
      <c r="JJA163" s="125"/>
      <c r="JJB163" s="125"/>
      <c r="JJC163" s="125"/>
      <c r="JJD163" s="125"/>
      <c r="JJE163" s="125"/>
      <c r="JJF163" s="125"/>
      <c r="JJG163" s="125"/>
      <c r="JJH163" s="125"/>
      <c r="JJI163" s="125"/>
      <c r="JJJ163" s="125"/>
      <c r="JJK163" s="125"/>
      <c r="JJL163" s="125"/>
      <c r="JJM163" s="125"/>
      <c r="JJN163" s="125"/>
      <c r="JJO163" s="125"/>
      <c r="JJP163" s="125"/>
      <c r="JJQ163" s="125"/>
      <c r="JJR163" s="125"/>
      <c r="JJS163" s="125"/>
      <c r="JJT163" s="125"/>
      <c r="JJU163" s="125"/>
      <c r="JJV163" s="125"/>
      <c r="JJW163" s="125"/>
      <c r="JJX163" s="125"/>
      <c r="JJY163" s="125"/>
      <c r="JJZ163" s="125"/>
      <c r="JKA163" s="125"/>
      <c r="JKB163" s="125"/>
      <c r="JKC163" s="125"/>
      <c r="JKD163" s="125"/>
      <c r="JKE163" s="125"/>
      <c r="JKF163" s="125"/>
      <c r="JKG163" s="125"/>
      <c r="JKH163" s="125"/>
      <c r="JKI163" s="125"/>
      <c r="JKJ163" s="125"/>
      <c r="JKK163" s="125"/>
      <c r="JKL163" s="125"/>
      <c r="JKM163" s="125"/>
      <c r="JKN163" s="125"/>
      <c r="JKO163" s="125"/>
      <c r="JKP163" s="125"/>
      <c r="JKQ163" s="125"/>
      <c r="JKR163" s="125"/>
      <c r="JKS163" s="125"/>
      <c r="JKT163" s="125"/>
      <c r="JKU163" s="125"/>
      <c r="JKV163" s="125"/>
      <c r="JKW163" s="125"/>
      <c r="JKX163" s="125"/>
      <c r="JKY163" s="125"/>
      <c r="JKZ163" s="125"/>
      <c r="JLA163" s="125"/>
      <c r="JLB163" s="125"/>
      <c r="JLC163" s="125"/>
      <c r="JLD163" s="125"/>
      <c r="JLE163" s="125"/>
      <c r="JLF163" s="125"/>
      <c r="JLG163" s="125"/>
      <c r="JLH163" s="125"/>
      <c r="JLI163" s="125"/>
      <c r="JLJ163" s="125"/>
      <c r="JLK163" s="125"/>
      <c r="JLL163" s="125"/>
      <c r="JLM163" s="125"/>
      <c r="JLN163" s="125"/>
      <c r="JLO163" s="125"/>
      <c r="JLP163" s="125"/>
      <c r="JLQ163" s="125"/>
      <c r="JLR163" s="125"/>
      <c r="JLS163" s="125"/>
      <c r="JLT163" s="125"/>
      <c r="JLU163" s="125"/>
      <c r="JLV163" s="125"/>
      <c r="JLW163" s="125"/>
      <c r="JLX163" s="125"/>
      <c r="JLY163" s="125"/>
      <c r="JLZ163" s="125"/>
      <c r="JMA163" s="125"/>
      <c r="JMB163" s="125"/>
      <c r="JMC163" s="125"/>
      <c r="JMD163" s="125"/>
      <c r="JME163" s="125"/>
      <c r="JMF163" s="125"/>
      <c r="JMG163" s="125"/>
      <c r="JMH163" s="125"/>
      <c r="JMI163" s="125"/>
      <c r="JMJ163" s="125"/>
      <c r="JMK163" s="125"/>
      <c r="JML163" s="125"/>
      <c r="JMM163" s="125"/>
      <c r="JMN163" s="125"/>
      <c r="JMO163" s="125"/>
      <c r="JMP163" s="125"/>
      <c r="JMQ163" s="125"/>
      <c r="JMR163" s="125"/>
      <c r="JMS163" s="125"/>
      <c r="JMT163" s="125"/>
      <c r="JMU163" s="125"/>
      <c r="JMV163" s="125"/>
      <c r="JMW163" s="125"/>
      <c r="JMX163" s="125"/>
      <c r="JMY163" s="125"/>
      <c r="JMZ163" s="125"/>
      <c r="JNA163" s="125"/>
      <c r="JNB163" s="125"/>
      <c r="JNC163" s="125"/>
      <c r="JND163" s="125"/>
      <c r="JNE163" s="125"/>
      <c r="JNF163" s="125"/>
      <c r="JNG163" s="125"/>
      <c r="JNH163" s="125"/>
      <c r="JNI163" s="125"/>
      <c r="JNJ163" s="125"/>
      <c r="JNK163" s="125"/>
      <c r="JNL163" s="125"/>
      <c r="JNM163" s="125"/>
      <c r="JNN163" s="125"/>
      <c r="JNO163" s="125"/>
      <c r="JNP163" s="125"/>
      <c r="JNQ163" s="125"/>
      <c r="JNR163" s="125"/>
      <c r="JNS163" s="125"/>
      <c r="JNT163" s="125"/>
      <c r="JNU163" s="125"/>
      <c r="JNV163" s="125"/>
      <c r="JNW163" s="125"/>
      <c r="JNX163" s="125"/>
      <c r="JNY163" s="125"/>
      <c r="JNZ163" s="125"/>
      <c r="JOA163" s="125"/>
      <c r="JOB163" s="125"/>
      <c r="JOC163" s="125"/>
      <c r="JOD163" s="125"/>
      <c r="JOE163" s="125"/>
      <c r="JOF163" s="125"/>
      <c r="JOG163" s="125"/>
      <c r="JOH163" s="125"/>
      <c r="JOI163" s="125"/>
      <c r="JOJ163" s="125"/>
      <c r="JOK163" s="125"/>
      <c r="JOL163" s="125"/>
      <c r="JOM163" s="125"/>
      <c r="JON163" s="125"/>
      <c r="JOO163" s="125"/>
      <c r="JOP163" s="125"/>
      <c r="JOQ163" s="125"/>
      <c r="JOR163" s="125"/>
      <c r="JOS163" s="125"/>
      <c r="JOT163" s="125"/>
      <c r="JOU163" s="125"/>
      <c r="JOV163" s="125"/>
      <c r="JOW163" s="125"/>
      <c r="JOX163" s="125"/>
      <c r="JOY163" s="125"/>
      <c r="JOZ163" s="125"/>
      <c r="JPA163" s="125"/>
      <c r="JPB163" s="125"/>
      <c r="JPC163" s="125"/>
      <c r="JPD163" s="125"/>
      <c r="JPE163" s="125"/>
      <c r="JPF163" s="125"/>
      <c r="JPG163" s="125"/>
      <c r="JPH163" s="125"/>
      <c r="JPI163" s="125"/>
      <c r="JPJ163" s="125"/>
      <c r="JPK163" s="125"/>
      <c r="JPL163" s="125"/>
      <c r="JPM163" s="125"/>
      <c r="JPN163" s="125"/>
      <c r="JPO163" s="125"/>
      <c r="JPP163" s="125"/>
      <c r="JPQ163" s="125"/>
      <c r="JPR163" s="125"/>
      <c r="JPS163" s="125"/>
      <c r="JPT163" s="125"/>
      <c r="JPU163" s="125"/>
      <c r="JPV163" s="125"/>
      <c r="JPW163" s="125"/>
      <c r="JPX163" s="125"/>
      <c r="JPY163" s="125"/>
      <c r="JPZ163" s="125"/>
      <c r="JQA163" s="125"/>
      <c r="JQB163" s="125"/>
      <c r="JQC163" s="125"/>
      <c r="JQD163" s="125"/>
      <c r="JQE163" s="125"/>
      <c r="JQF163" s="125"/>
      <c r="JQG163" s="125"/>
      <c r="JQH163" s="125"/>
      <c r="JQI163" s="125"/>
      <c r="JQJ163" s="125"/>
      <c r="JQK163" s="125"/>
      <c r="JQL163" s="125"/>
      <c r="JQM163" s="125"/>
      <c r="JQN163" s="125"/>
      <c r="JQO163" s="125"/>
      <c r="JQP163" s="125"/>
      <c r="JQQ163" s="125"/>
      <c r="JQR163" s="125"/>
      <c r="JQS163" s="125"/>
      <c r="JQT163" s="125"/>
      <c r="JQU163" s="125"/>
      <c r="JQV163" s="125"/>
      <c r="JQW163" s="125"/>
      <c r="JQX163" s="125"/>
      <c r="JQY163" s="125"/>
      <c r="JQZ163" s="125"/>
      <c r="JRA163" s="125"/>
      <c r="JRB163" s="125"/>
      <c r="JRC163" s="125"/>
      <c r="JRD163" s="125"/>
      <c r="JRE163" s="125"/>
      <c r="JRF163" s="125"/>
      <c r="JRG163" s="125"/>
      <c r="JRH163" s="125"/>
      <c r="JRI163" s="125"/>
      <c r="JRJ163" s="125"/>
      <c r="JRK163" s="125"/>
      <c r="JRL163" s="125"/>
      <c r="JRM163" s="125"/>
      <c r="JRN163" s="125"/>
      <c r="JRO163" s="125"/>
      <c r="JRP163" s="125"/>
      <c r="JRQ163" s="125"/>
      <c r="JRR163" s="125"/>
      <c r="JRS163" s="125"/>
      <c r="JRT163" s="125"/>
      <c r="JRU163" s="125"/>
      <c r="JRV163" s="125"/>
      <c r="JRW163" s="125"/>
      <c r="JRX163" s="125"/>
      <c r="JRY163" s="125"/>
      <c r="JRZ163" s="125"/>
      <c r="JSA163" s="125"/>
      <c r="JSB163" s="125"/>
      <c r="JSC163" s="125"/>
      <c r="JSD163" s="125"/>
      <c r="JSE163" s="125"/>
      <c r="JSF163" s="125"/>
      <c r="JSG163" s="125"/>
      <c r="JSH163" s="125"/>
      <c r="JSI163" s="125"/>
      <c r="JSJ163" s="125"/>
      <c r="JSK163" s="125"/>
      <c r="JSL163" s="125"/>
      <c r="JSM163" s="125"/>
      <c r="JSN163" s="125"/>
      <c r="JSO163" s="125"/>
      <c r="JSP163" s="125"/>
      <c r="JSQ163" s="125"/>
      <c r="JSR163" s="125"/>
      <c r="JSS163" s="125"/>
      <c r="JST163" s="125"/>
      <c r="JSU163" s="125"/>
      <c r="JSV163" s="125"/>
      <c r="JSW163" s="125"/>
      <c r="JSX163" s="125"/>
      <c r="JSY163" s="125"/>
      <c r="JSZ163" s="125"/>
      <c r="JTA163" s="125"/>
      <c r="JTB163" s="125"/>
      <c r="JTC163" s="125"/>
      <c r="JTD163" s="125"/>
      <c r="JTE163" s="125"/>
      <c r="JTF163" s="125"/>
      <c r="JTG163" s="125"/>
      <c r="JTH163" s="125"/>
      <c r="JTI163" s="125"/>
      <c r="JTJ163" s="125"/>
      <c r="JTK163" s="125"/>
      <c r="JTL163" s="125"/>
      <c r="JTM163" s="125"/>
      <c r="JTN163" s="125"/>
      <c r="JTO163" s="125"/>
      <c r="JTP163" s="125"/>
      <c r="JTQ163" s="125"/>
      <c r="JTR163" s="125"/>
      <c r="JTS163" s="125"/>
      <c r="JTT163" s="125"/>
      <c r="JTU163" s="125"/>
      <c r="JTV163" s="125"/>
      <c r="JTW163" s="125"/>
      <c r="JTX163" s="125"/>
      <c r="JTY163" s="125"/>
      <c r="JTZ163" s="125"/>
      <c r="JUA163" s="125"/>
      <c r="JUB163" s="125"/>
      <c r="JUC163" s="125"/>
      <c r="JUD163" s="125"/>
      <c r="JUE163" s="125"/>
      <c r="JUF163" s="125"/>
      <c r="JUG163" s="125"/>
      <c r="JUH163" s="125"/>
      <c r="JUI163" s="125"/>
      <c r="JUJ163" s="125"/>
      <c r="JUK163" s="125"/>
      <c r="JUL163" s="125"/>
      <c r="JUM163" s="125"/>
      <c r="JUN163" s="125"/>
      <c r="JUO163" s="125"/>
      <c r="JUP163" s="125"/>
      <c r="JUQ163" s="125"/>
      <c r="JUR163" s="125"/>
      <c r="JUS163" s="125"/>
      <c r="JUT163" s="125"/>
      <c r="JUU163" s="125"/>
      <c r="JUV163" s="125"/>
      <c r="JUW163" s="125"/>
      <c r="JUX163" s="125"/>
      <c r="JUY163" s="125"/>
      <c r="JUZ163" s="125"/>
      <c r="JVA163" s="125"/>
      <c r="JVB163" s="125"/>
      <c r="JVC163" s="125"/>
      <c r="JVD163" s="125"/>
      <c r="JVE163" s="125"/>
      <c r="JVF163" s="125"/>
      <c r="JVG163" s="125"/>
      <c r="JVH163" s="125"/>
      <c r="JVI163" s="125"/>
      <c r="JVJ163" s="125"/>
      <c r="JVK163" s="125"/>
      <c r="JVL163" s="125"/>
      <c r="JVM163" s="125"/>
      <c r="JVN163" s="125"/>
      <c r="JVO163" s="125"/>
      <c r="JVP163" s="125"/>
      <c r="JVQ163" s="125"/>
      <c r="JVR163" s="125"/>
      <c r="JVS163" s="125"/>
      <c r="JVT163" s="125"/>
      <c r="JVU163" s="125"/>
      <c r="JVV163" s="125"/>
      <c r="JVW163" s="125"/>
      <c r="JVX163" s="125"/>
      <c r="JVY163" s="125"/>
      <c r="JVZ163" s="125"/>
      <c r="JWA163" s="125"/>
      <c r="JWB163" s="125"/>
      <c r="JWC163" s="125"/>
      <c r="JWD163" s="125"/>
      <c r="JWE163" s="125"/>
      <c r="JWF163" s="125"/>
      <c r="JWG163" s="125"/>
      <c r="JWH163" s="125"/>
      <c r="JWI163" s="125"/>
      <c r="JWJ163" s="125"/>
      <c r="JWK163" s="125"/>
      <c r="JWL163" s="125"/>
      <c r="JWM163" s="125"/>
      <c r="JWN163" s="125"/>
      <c r="JWO163" s="125"/>
      <c r="JWP163" s="125"/>
      <c r="JWQ163" s="125"/>
      <c r="JWR163" s="125"/>
      <c r="JWS163" s="125"/>
      <c r="JWT163" s="125"/>
      <c r="JWU163" s="125"/>
      <c r="JWV163" s="125"/>
      <c r="JWW163" s="125"/>
      <c r="JWX163" s="125"/>
      <c r="JWY163" s="125"/>
      <c r="JWZ163" s="125"/>
      <c r="JXA163" s="125"/>
      <c r="JXB163" s="125"/>
      <c r="JXC163" s="125"/>
      <c r="JXD163" s="125"/>
      <c r="JXE163" s="125"/>
      <c r="JXF163" s="125"/>
      <c r="JXG163" s="125"/>
      <c r="JXH163" s="125"/>
      <c r="JXI163" s="125"/>
      <c r="JXJ163" s="125"/>
      <c r="JXK163" s="125"/>
      <c r="JXL163" s="125"/>
      <c r="JXM163" s="125"/>
      <c r="JXN163" s="125"/>
      <c r="JXO163" s="125"/>
      <c r="JXP163" s="125"/>
      <c r="JXQ163" s="125"/>
      <c r="JXR163" s="125"/>
      <c r="JXS163" s="125"/>
      <c r="JXT163" s="125"/>
      <c r="JXU163" s="125"/>
      <c r="JXV163" s="125"/>
      <c r="JXW163" s="125"/>
      <c r="JXX163" s="125"/>
      <c r="JXY163" s="125"/>
      <c r="JXZ163" s="125"/>
      <c r="JYA163" s="125"/>
      <c r="JYB163" s="125"/>
      <c r="JYC163" s="125"/>
      <c r="JYD163" s="125"/>
      <c r="JYE163" s="125"/>
      <c r="JYF163" s="125"/>
      <c r="JYG163" s="125"/>
      <c r="JYH163" s="125"/>
      <c r="JYI163" s="125"/>
      <c r="JYJ163" s="125"/>
      <c r="JYK163" s="125"/>
      <c r="JYL163" s="125"/>
      <c r="JYM163" s="125"/>
      <c r="JYN163" s="125"/>
      <c r="JYO163" s="125"/>
      <c r="JYP163" s="125"/>
      <c r="JYQ163" s="125"/>
      <c r="JYR163" s="125"/>
      <c r="JYS163" s="125"/>
      <c r="JYT163" s="125"/>
      <c r="JYU163" s="125"/>
      <c r="JYV163" s="125"/>
      <c r="JYW163" s="125"/>
      <c r="JYX163" s="125"/>
      <c r="JYY163" s="125"/>
      <c r="JYZ163" s="125"/>
      <c r="JZA163" s="125"/>
      <c r="JZB163" s="125"/>
      <c r="JZC163" s="125"/>
      <c r="JZD163" s="125"/>
      <c r="JZE163" s="125"/>
      <c r="JZF163" s="125"/>
      <c r="JZG163" s="125"/>
      <c r="JZH163" s="125"/>
      <c r="JZI163" s="125"/>
      <c r="JZJ163" s="125"/>
      <c r="JZK163" s="125"/>
      <c r="JZL163" s="125"/>
      <c r="JZM163" s="125"/>
      <c r="JZN163" s="125"/>
      <c r="JZO163" s="125"/>
      <c r="JZP163" s="125"/>
      <c r="JZQ163" s="125"/>
      <c r="JZR163" s="125"/>
      <c r="JZS163" s="125"/>
      <c r="JZT163" s="125"/>
      <c r="JZU163" s="125"/>
      <c r="JZV163" s="125"/>
      <c r="JZW163" s="125"/>
      <c r="JZX163" s="125"/>
      <c r="JZY163" s="125"/>
      <c r="JZZ163" s="125"/>
      <c r="KAA163" s="125"/>
      <c r="KAB163" s="125"/>
      <c r="KAC163" s="125"/>
      <c r="KAD163" s="125"/>
      <c r="KAE163" s="125"/>
      <c r="KAF163" s="125"/>
      <c r="KAG163" s="125"/>
      <c r="KAH163" s="125"/>
      <c r="KAI163" s="125"/>
      <c r="KAJ163" s="125"/>
      <c r="KAK163" s="125"/>
      <c r="KAL163" s="125"/>
      <c r="KAM163" s="125"/>
      <c r="KAN163" s="125"/>
      <c r="KAO163" s="125"/>
      <c r="KAP163" s="125"/>
      <c r="KAQ163" s="125"/>
      <c r="KAR163" s="125"/>
      <c r="KAS163" s="125"/>
      <c r="KAT163" s="125"/>
      <c r="KAU163" s="125"/>
      <c r="KAV163" s="125"/>
      <c r="KAW163" s="125"/>
      <c r="KAX163" s="125"/>
      <c r="KAY163" s="125"/>
      <c r="KAZ163" s="125"/>
      <c r="KBA163" s="125"/>
      <c r="KBB163" s="125"/>
      <c r="KBC163" s="125"/>
      <c r="KBD163" s="125"/>
      <c r="KBE163" s="125"/>
      <c r="KBF163" s="125"/>
      <c r="KBG163" s="125"/>
      <c r="KBH163" s="125"/>
      <c r="KBI163" s="125"/>
      <c r="KBJ163" s="125"/>
      <c r="KBK163" s="125"/>
      <c r="KBL163" s="125"/>
      <c r="KBM163" s="125"/>
      <c r="KBN163" s="125"/>
      <c r="KBO163" s="125"/>
      <c r="KBP163" s="125"/>
      <c r="KBQ163" s="125"/>
      <c r="KBR163" s="125"/>
      <c r="KBS163" s="125"/>
      <c r="KBT163" s="125"/>
      <c r="KBU163" s="125"/>
      <c r="KBV163" s="125"/>
      <c r="KBW163" s="125"/>
      <c r="KBX163" s="125"/>
      <c r="KBY163" s="125"/>
      <c r="KBZ163" s="125"/>
      <c r="KCA163" s="125"/>
      <c r="KCB163" s="125"/>
      <c r="KCC163" s="125"/>
      <c r="KCD163" s="125"/>
      <c r="KCE163" s="125"/>
      <c r="KCF163" s="125"/>
      <c r="KCG163" s="125"/>
      <c r="KCH163" s="125"/>
      <c r="KCI163" s="125"/>
      <c r="KCJ163" s="125"/>
      <c r="KCK163" s="125"/>
      <c r="KCL163" s="125"/>
      <c r="KCM163" s="125"/>
      <c r="KCN163" s="125"/>
      <c r="KCO163" s="125"/>
      <c r="KCP163" s="125"/>
      <c r="KCQ163" s="125"/>
      <c r="KCR163" s="125"/>
      <c r="KCS163" s="125"/>
      <c r="KCT163" s="125"/>
      <c r="KCU163" s="125"/>
      <c r="KCV163" s="125"/>
      <c r="KCW163" s="125"/>
      <c r="KCX163" s="125"/>
      <c r="KCY163" s="125"/>
      <c r="KCZ163" s="125"/>
      <c r="KDA163" s="125"/>
      <c r="KDB163" s="125"/>
      <c r="KDC163" s="125"/>
      <c r="KDD163" s="125"/>
      <c r="KDE163" s="125"/>
      <c r="KDF163" s="125"/>
      <c r="KDG163" s="125"/>
      <c r="KDH163" s="125"/>
      <c r="KDI163" s="125"/>
      <c r="KDJ163" s="125"/>
      <c r="KDK163" s="125"/>
      <c r="KDL163" s="125"/>
      <c r="KDM163" s="125"/>
      <c r="KDN163" s="125"/>
      <c r="KDO163" s="125"/>
      <c r="KDP163" s="125"/>
      <c r="KDQ163" s="125"/>
      <c r="KDR163" s="125"/>
      <c r="KDS163" s="125"/>
      <c r="KDT163" s="125"/>
      <c r="KDU163" s="125"/>
      <c r="KDV163" s="125"/>
      <c r="KDW163" s="125"/>
      <c r="KDX163" s="125"/>
      <c r="KDY163" s="125"/>
      <c r="KDZ163" s="125"/>
      <c r="KEA163" s="125"/>
      <c r="KEB163" s="125"/>
      <c r="KEC163" s="125"/>
      <c r="KED163" s="125"/>
      <c r="KEE163" s="125"/>
      <c r="KEF163" s="125"/>
      <c r="KEG163" s="125"/>
      <c r="KEH163" s="125"/>
      <c r="KEI163" s="125"/>
      <c r="KEJ163" s="125"/>
      <c r="KEK163" s="125"/>
      <c r="KEL163" s="125"/>
      <c r="KEM163" s="125"/>
      <c r="KEN163" s="125"/>
      <c r="KEO163" s="125"/>
      <c r="KEP163" s="125"/>
      <c r="KEQ163" s="125"/>
      <c r="KER163" s="125"/>
      <c r="KES163" s="125"/>
      <c r="KET163" s="125"/>
      <c r="KEU163" s="125"/>
      <c r="KEV163" s="125"/>
      <c r="KEW163" s="125"/>
      <c r="KEX163" s="125"/>
      <c r="KEY163" s="125"/>
      <c r="KEZ163" s="125"/>
      <c r="KFA163" s="125"/>
      <c r="KFB163" s="125"/>
      <c r="KFC163" s="125"/>
      <c r="KFD163" s="125"/>
      <c r="KFE163" s="125"/>
      <c r="KFF163" s="125"/>
      <c r="KFG163" s="125"/>
      <c r="KFH163" s="125"/>
      <c r="KFI163" s="125"/>
      <c r="KFJ163" s="125"/>
      <c r="KFK163" s="125"/>
      <c r="KFL163" s="125"/>
      <c r="KFM163" s="125"/>
      <c r="KFN163" s="125"/>
      <c r="KFO163" s="125"/>
      <c r="KFP163" s="125"/>
      <c r="KFQ163" s="125"/>
      <c r="KFR163" s="125"/>
      <c r="KFS163" s="125"/>
      <c r="KFT163" s="125"/>
      <c r="KFU163" s="125"/>
      <c r="KFV163" s="125"/>
      <c r="KFW163" s="125"/>
      <c r="KFX163" s="125"/>
      <c r="KFY163" s="125"/>
      <c r="KFZ163" s="125"/>
      <c r="KGA163" s="125"/>
      <c r="KGB163" s="125"/>
      <c r="KGC163" s="125"/>
      <c r="KGD163" s="125"/>
      <c r="KGE163" s="125"/>
      <c r="KGF163" s="125"/>
      <c r="KGG163" s="125"/>
      <c r="KGH163" s="125"/>
      <c r="KGI163" s="125"/>
      <c r="KGJ163" s="125"/>
      <c r="KGK163" s="125"/>
      <c r="KGL163" s="125"/>
      <c r="KGM163" s="125"/>
      <c r="KGN163" s="125"/>
      <c r="KGO163" s="125"/>
      <c r="KGP163" s="125"/>
      <c r="KGQ163" s="125"/>
      <c r="KGR163" s="125"/>
      <c r="KGS163" s="125"/>
      <c r="KGT163" s="125"/>
      <c r="KGU163" s="125"/>
      <c r="KGV163" s="125"/>
      <c r="KGW163" s="125"/>
      <c r="KGX163" s="125"/>
      <c r="KGY163" s="125"/>
      <c r="KGZ163" s="125"/>
      <c r="KHA163" s="125"/>
      <c r="KHB163" s="125"/>
      <c r="KHC163" s="125"/>
      <c r="KHD163" s="125"/>
      <c r="KHE163" s="125"/>
      <c r="KHF163" s="125"/>
      <c r="KHG163" s="125"/>
      <c r="KHH163" s="125"/>
      <c r="KHI163" s="125"/>
      <c r="KHJ163" s="125"/>
      <c r="KHK163" s="125"/>
      <c r="KHL163" s="125"/>
      <c r="KHM163" s="125"/>
      <c r="KHN163" s="125"/>
      <c r="KHO163" s="125"/>
      <c r="KHP163" s="125"/>
      <c r="KHQ163" s="125"/>
      <c r="KHR163" s="125"/>
      <c r="KHS163" s="125"/>
      <c r="KHT163" s="125"/>
      <c r="KHU163" s="125"/>
      <c r="KHV163" s="125"/>
      <c r="KHW163" s="125"/>
      <c r="KHX163" s="125"/>
      <c r="KHY163" s="125"/>
      <c r="KHZ163" s="125"/>
      <c r="KIA163" s="125"/>
      <c r="KIB163" s="125"/>
      <c r="KIC163" s="125"/>
      <c r="KID163" s="125"/>
      <c r="KIE163" s="125"/>
      <c r="KIF163" s="125"/>
      <c r="KIG163" s="125"/>
      <c r="KIH163" s="125"/>
      <c r="KII163" s="125"/>
      <c r="KIJ163" s="125"/>
      <c r="KIK163" s="125"/>
      <c r="KIL163" s="125"/>
      <c r="KIM163" s="125"/>
      <c r="KIN163" s="125"/>
      <c r="KIO163" s="125"/>
      <c r="KIP163" s="125"/>
      <c r="KIQ163" s="125"/>
      <c r="KIR163" s="125"/>
      <c r="KIS163" s="125"/>
      <c r="KIT163" s="125"/>
      <c r="KIU163" s="125"/>
      <c r="KIV163" s="125"/>
      <c r="KIW163" s="125"/>
      <c r="KIX163" s="125"/>
      <c r="KIY163" s="125"/>
      <c r="KIZ163" s="125"/>
      <c r="KJA163" s="125"/>
      <c r="KJB163" s="125"/>
      <c r="KJC163" s="125"/>
      <c r="KJD163" s="125"/>
      <c r="KJE163" s="125"/>
      <c r="KJF163" s="125"/>
      <c r="KJG163" s="125"/>
      <c r="KJH163" s="125"/>
      <c r="KJI163" s="125"/>
      <c r="KJJ163" s="125"/>
      <c r="KJK163" s="125"/>
      <c r="KJL163" s="125"/>
      <c r="KJM163" s="125"/>
      <c r="KJN163" s="125"/>
      <c r="KJO163" s="125"/>
      <c r="KJP163" s="125"/>
      <c r="KJQ163" s="125"/>
      <c r="KJR163" s="125"/>
      <c r="KJS163" s="125"/>
      <c r="KJT163" s="125"/>
      <c r="KJU163" s="125"/>
      <c r="KJV163" s="125"/>
      <c r="KJW163" s="125"/>
      <c r="KJX163" s="125"/>
      <c r="KJY163" s="125"/>
      <c r="KJZ163" s="125"/>
      <c r="KKA163" s="125"/>
      <c r="KKB163" s="125"/>
      <c r="KKC163" s="125"/>
      <c r="KKD163" s="125"/>
      <c r="KKE163" s="125"/>
      <c r="KKF163" s="125"/>
      <c r="KKG163" s="125"/>
      <c r="KKH163" s="125"/>
      <c r="KKI163" s="125"/>
      <c r="KKJ163" s="125"/>
      <c r="KKK163" s="125"/>
      <c r="KKL163" s="125"/>
      <c r="KKM163" s="125"/>
      <c r="KKN163" s="125"/>
      <c r="KKO163" s="125"/>
      <c r="KKP163" s="125"/>
      <c r="KKQ163" s="125"/>
      <c r="KKR163" s="125"/>
      <c r="KKS163" s="125"/>
      <c r="KKT163" s="125"/>
      <c r="KKU163" s="125"/>
      <c r="KKV163" s="125"/>
      <c r="KKW163" s="125"/>
      <c r="KKX163" s="125"/>
      <c r="KKY163" s="125"/>
      <c r="KKZ163" s="125"/>
      <c r="KLA163" s="125"/>
      <c r="KLB163" s="125"/>
      <c r="KLC163" s="125"/>
      <c r="KLD163" s="125"/>
      <c r="KLE163" s="125"/>
      <c r="KLF163" s="125"/>
      <c r="KLG163" s="125"/>
      <c r="KLH163" s="125"/>
      <c r="KLI163" s="125"/>
      <c r="KLJ163" s="125"/>
      <c r="KLK163" s="125"/>
      <c r="KLL163" s="125"/>
      <c r="KLM163" s="125"/>
      <c r="KLN163" s="125"/>
      <c r="KLO163" s="125"/>
      <c r="KLP163" s="125"/>
      <c r="KLQ163" s="125"/>
      <c r="KLR163" s="125"/>
      <c r="KLS163" s="125"/>
      <c r="KLT163" s="125"/>
      <c r="KLU163" s="125"/>
      <c r="KLV163" s="125"/>
      <c r="KLW163" s="125"/>
      <c r="KLX163" s="125"/>
      <c r="KLY163" s="125"/>
      <c r="KLZ163" s="125"/>
      <c r="KMA163" s="125"/>
      <c r="KMB163" s="125"/>
      <c r="KMC163" s="125"/>
      <c r="KMD163" s="125"/>
      <c r="KME163" s="125"/>
      <c r="KMF163" s="125"/>
      <c r="KMG163" s="125"/>
      <c r="KMH163" s="125"/>
      <c r="KMI163" s="125"/>
      <c r="KMJ163" s="125"/>
      <c r="KMK163" s="125"/>
      <c r="KML163" s="125"/>
      <c r="KMM163" s="125"/>
      <c r="KMN163" s="125"/>
      <c r="KMO163" s="125"/>
      <c r="KMP163" s="125"/>
      <c r="KMQ163" s="125"/>
      <c r="KMR163" s="125"/>
      <c r="KMS163" s="125"/>
      <c r="KMT163" s="125"/>
      <c r="KMU163" s="125"/>
      <c r="KMV163" s="125"/>
      <c r="KMW163" s="125"/>
      <c r="KMX163" s="125"/>
      <c r="KMY163" s="125"/>
      <c r="KMZ163" s="125"/>
      <c r="KNA163" s="125"/>
      <c r="KNB163" s="125"/>
      <c r="KNC163" s="125"/>
      <c r="KND163" s="125"/>
      <c r="KNE163" s="125"/>
      <c r="KNF163" s="125"/>
      <c r="KNG163" s="125"/>
      <c r="KNH163" s="125"/>
      <c r="KNI163" s="125"/>
      <c r="KNJ163" s="125"/>
      <c r="KNK163" s="125"/>
      <c r="KNL163" s="125"/>
      <c r="KNM163" s="125"/>
      <c r="KNN163" s="125"/>
      <c r="KNO163" s="125"/>
      <c r="KNP163" s="125"/>
      <c r="KNQ163" s="125"/>
      <c r="KNR163" s="125"/>
      <c r="KNS163" s="125"/>
      <c r="KNT163" s="125"/>
      <c r="KNU163" s="125"/>
      <c r="KNV163" s="125"/>
      <c r="KNW163" s="125"/>
      <c r="KNX163" s="125"/>
      <c r="KNY163" s="125"/>
      <c r="KNZ163" s="125"/>
      <c r="KOA163" s="125"/>
      <c r="KOB163" s="125"/>
      <c r="KOC163" s="125"/>
      <c r="KOD163" s="125"/>
      <c r="KOE163" s="125"/>
      <c r="KOF163" s="125"/>
      <c r="KOG163" s="125"/>
      <c r="KOH163" s="125"/>
      <c r="KOI163" s="125"/>
      <c r="KOJ163" s="125"/>
      <c r="KOK163" s="125"/>
      <c r="KOL163" s="125"/>
      <c r="KOM163" s="125"/>
      <c r="KON163" s="125"/>
      <c r="KOO163" s="125"/>
      <c r="KOP163" s="125"/>
      <c r="KOQ163" s="125"/>
      <c r="KOR163" s="125"/>
      <c r="KOS163" s="125"/>
      <c r="KOT163" s="125"/>
      <c r="KOU163" s="125"/>
      <c r="KOV163" s="125"/>
      <c r="KOW163" s="125"/>
      <c r="KOX163" s="125"/>
      <c r="KOY163" s="125"/>
      <c r="KOZ163" s="125"/>
      <c r="KPA163" s="125"/>
      <c r="KPB163" s="125"/>
      <c r="KPC163" s="125"/>
      <c r="KPD163" s="125"/>
      <c r="KPE163" s="125"/>
      <c r="KPF163" s="125"/>
      <c r="KPG163" s="125"/>
      <c r="KPH163" s="125"/>
      <c r="KPI163" s="125"/>
      <c r="KPJ163" s="125"/>
      <c r="KPK163" s="125"/>
      <c r="KPL163" s="125"/>
      <c r="KPM163" s="125"/>
      <c r="KPN163" s="125"/>
      <c r="KPO163" s="125"/>
      <c r="KPP163" s="125"/>
      <c r="KPQ163" s="125"/>
      <c r="KPR163" s="125"/>
      <c r="KPS163" s="125"/>
      <c r="KPT163" s="125"/>
      <c r="KPU163" s="125"/>
      <c r="KPV163" s="125"/>
      <c r="KPW163" s="125"/>
      <c r="KPX163" s="125"/>
      <c r="KPY163" s="125"/>
      <c r="KPZ163" s="125"/>
      <c r="KQA163" s="125"/>
      <c r="KQB163" s="125"/>
      <c r="KQC163" s="125"/>
      <c r="KQD163" s="125"/>
      <c r="KQE163" s="125"/>
      <c r="KQF163" s="125"/>
      <c r="KQG163" s="125"/>
      <c r="KQH163" s="125"/>
      <c r="KQI163" s="125"/>
      <c r="KQJ163" s="125"/>
      <c r="KQK163" s="125"/>
      <c r="KQL163" s="125"/>
      <c r="KQM163" s="125"/>
      <c r="KQN163" s="125"/>
      <c r="KQO163" s="125"/>
      <c r="KQP163" s="125"/>
      <c r="KQQ163" s="125"/>
      <c r="KQR163" s="125"/>
      <c r="KQS163" s="125"/>
      <c r="KQT163" s="125"/>
      <c r="KQU163" s="125"/>
      <c r="KQV163" s="125"/>
      <c r="KQW163" s="125"/>
      <c r="KQX163" s="125"/>
      <c r="KQY163" s="125"/>
      <c r="KQZ163" s="125"/>
      <c r="KRA163" s="125"/>
      <c r="KRB163" s="125"/>
      <c r="KRC163" s="125"/>
      <c r="KRD163" s="125"/>
      <c r="KRE163" s="125"/>
      <c r="KRF163" s="125"/>
      <c r="KRG163" s="125"/>
      <c r="KRH163" s="125"/>
      <c r="KRI163" s="125"/>
      <c r="KRJ163" s="125"/>
      <c r="KRK163" s="125"/>
      <c r="KRL163" s="125"/>
      <c r="KRM163" s="125"/>
      <c r="KRN163" s="125"/>
      <c r="KRO163" s="125"/>
      <c r="KRP163" s="125"/>
      <c r="KRQ163" s="125"/>
      <c r="KRR163" s="125"/>
      <c r="KRS163" s="125"/>
      <c r="KRT163" s="125"/>
      <c r="KRU163" s="125"/>
      <c r="KRV163" s="125"/>
      <c r="KRW163" s="125"/>
      <c r="KRX163" s="125"/>
      <c r="KRY163" s="125"/>
      <c r="KRZ163" s="125"/>
      <c r="KSA163" s="125"/>
      <c r="KSB163" s="125"/>
      <c r="KSC163" s="125"/>
      <c r="KSD163" s="125"/>
      <c r="KSE163" s="125"/>
      <c r="KSF163" s="125"/>
      <c r="KSG163" s="125"/>
      <c r="KSH163" s="125"/>
      <c r="KSI163" s="125"/>
      <c r="KSJ163" s="125"/>
      <c r="KSK163" s="125"/>
      <c r="KSL163" s="125"/>
      <c r="KSM163" s="125"/>
      <c r="KSN163" s="125"/>
      <c r="KSO163" s="125"/>
      <c r="KSP163" s="125"/>
      <c r="KSQ163" s="125"/>
      <c r="KSR163" s="125"/>
      <c r="KSS163" s="125"/>
      <c r="KST163" s="125"/>
      <c r="KSU163" s="125"/>
      <c r="KSV163" s="125"/>
      <c r="KSW163" s="125"/>
      <c r="KSX163" s="125"/>
      <c r="KSY163" s="125"/>
      <c r="KSZ163" s="125"/>
      <c r="KTA163" s="125"/>
      <c r="KTB163" s="125"/>
      <c r="KTC163" s="125"/>
      <c r="KTD163" s="125"/>
      <c r="KTE163" s="125"/>
      <c r="KTF163" s="125"/>
      <c r="KTG163" s="125"/>
      <c r="KTH163" s="125"/>
      <c r="KTI163" s="125"/>
      <c r="KTJ163" s="125"/>
      <c r="KTK163" s="125"/>
      <c r="KTL163" s="125"/>
      <c r="KTM163" s="125"/>
      <c r="KTN163" s="125"/>
      <c r="KTO163" s="125"/>
      <c r="KTP163" s="125"/>
      <c r="KTQ163" s="125"/>
      <c r="KTR163" s="125"/>
      <c r="KTS163" s="125"/>
      <c r="KTT163" s="125"/>
      <c r="KTU163" s="125"/>
      <c r="KTV163" s="125"/>
      <c r="KTW163" s="125"/>
      <c r="KTX163" s="125"/>
      <c r="KTY163" s="125"/>
      <c r="KTZ163" s="125"/>
      <c r="KUA163" s="125"/>
      <c r="KUB163" s="125"/>
      <c r="KUC163" s="125"/>
      <c r="KUD163" s="125"/>
      <c r="KUE163" s="125"/>
      <c r="KUF163" s="125"/>
      <c r="KUG163" s="125"/>
      <c r="KUH163" s="125"/>
      <c r="KUI163" s="125"/>
      <c r="KUJ163" s="125"/>
      <c r="KUK163" s="125"/>
      <c r="KUL163" s="125"/>
      <c r="KUM163" s="125"/>
      <c r="KUN163" s="125"/>
      <c r="KUO163" s="125"/>
      <c r="KUP163" s="125"/>
      <c r="KUQ163" s="125"/>
      <c r="KUR163" s="125"/>
      <c r="KUS163" s="125"/>
      <c r="KUT163" s="125"/>
      <c r="KUU163" s="125"/>
      <c r="KUV163" s="125"/>
      <c r="KUW163" s="125"/>
      <c r="KUX163" s="125"/>
      <c r="KUY163" s="125"/>
      <c r="KUZ163" s="125"/>
      <c r="KVA163" s="125"/>
      <c r="KVB163" s="125"/>
      <c r="KVC163" s="125"/>
      <c r="KVD163" s="125"/>
      <c r="KVE163" s="125"/>
      <c r="KVF163" s="125"/>
      <c r="KVG163" s="125"/>
      <c r="KVH163" s="125"/>
      <c r="KVI163" s="125"/>
      <c r="KVJ163" s="125"/>
      <c r="KVK163" s="125"/>
      <c r="KVL163" s="125"/>
      <c r="KVM163" s="125"/>
      <c r="KVN163" s="125"/>
      <c r="KVO163" s="125"/>
      <c r="KVP163" s="125"/>
      <c r="KVQ163" s="125"/>
      <c r="KVR163" s="125"/>
      <c r="KVS163" s="125"/>
      <c r="KVT163" s="125"/>
      <c r="KVU163" s="125"/>
      <c r="KVV163" s="125"/>
      <c r="KVW163" s="125"/>
      <c r="KVX163" s="125"/>
      <c r="KVY163" s="125"/>
      <c r="KVZ163" s="125"/>
      <c r="KWA163" s="125"/>
      <c r="KWB163" s="125"/>
      <c r="KWC163" s="125"/>
      <c r="KWD163" s="125"/>
      <c r="KWE163" s="125"/>
      <c r="KWF163" s="125"/>
      <c r="KWG163" s="125"/>
      <c r="KWH163" s="125"/>
      <c r="KWI163" s="125"/>
      <c r="KWJ163" s="125"/>
      <c r="KWK163" s="125"/>
      <c r="KWL163" s="125"/>
      <c r="KWM163" s="125"/>
      <c r="KWN163" s="125"/>
      <c r="KWO163" s="125"/>
      <c r="KWP163" s="125"/>
      <c r="KWQ163" s="125"/>
      <c r="KWR163" s="125"/>
      <c r="KWS163" s="125"/>
      <c r="KWT163" s="125"/>
      <c r="KWU163" s="125"/>
      <c r="KWV163" s="125"/>
      <c r="KWW163" s="125"/>
      <c r="KWX163" s="125"/>
      <c r="KWY163" s="125"/>
      <c r="KWZ163" s="125"/>
      <c r="KXA163" s="125"/>
      <c r="KXB163" s="125"/>
      <c r="KXC163" s="125"/>
      <c r="KXD163" s="125"/>
      <c r="KXE163" s="125"/>
      <c r="KXF163" s="125"/>
      <c r="KXG163" s="125"/>
      <c r="KXH163" s="125"/>
      <c r="KXI163" s="125"/>
      <c r="KXJ163" s="125"/>
      <c r="KXK163" s="125"/>
      <c r="KXL163" s="125"/>
      <c r="KXM163" s="125"/>
      <c r="KXN163" s="125"/>
      <c r="KXO163" s="125"/>
      <c r="KXP163" s="125"/>
      <c r="KXQ163" s="125"/>
      <c r="KXR163" s="125"/>
      <c r="KXS163" s="125"/>
      <c r="KXT163" s="125"/>
      <c r="KXU163" s="125"/>
      <c r="KXV163" s="125"/>
      <c r="KXW163" s="125"/>
      <c r="KXX163" s="125"/>
      <c r="KXY163" s="125"/>
      <c r="KXZ163" s="125"/>
      <c r="KYA163" s="125"/>
      <c r="KYB163" s="125"/>
      <c r="KYC163" s="125"/>
      <c r="KYD163" s="125"/>
      <c r="KYE163" s="125"/>
      <c r="KYF163" s="125"/>
      <c r="KYG163" s="125"/>
      <c r="KYH163" s="125"/>
      <c r="KYI163" s="125"/>
      <c r="KYJ163" s="125"/>
      <c r="KYK163" s="125"/>
      <c r="KYL163" s="125"/>
      <c r="KYM163" s="125"/>
      <c r="KYN163" s="125"/>
      <c r="KYO163" s="125"/>
      <c r="KYP163" s="125"/>
      <c r="KYQ163" s="125"/>
      <c r="KYR163" s="125"/>
      <c r="KYS163" s="125"/>
      <c r="KYT163" s="125"/>
      <c r="KYU163" s="125"/>
      <c r="KYV163" s="125"/>
      <c r="KYW163" s="125"/>
      <c r="KYX163" s="125"/>
      <c r="KYY163" s="125"/>
      <c r="KYZ163" s="125"/>
      <c r="KZA163" s="125"/>
      <c r="KZB163" s="125"/>
      <c r="KZC163" s="125"/>
      <c r="KZD163" s="125"/>
      <c r="KZE163" s="125"/>
      <c r="KZF163" s="125"/>
      <c r="KZG163" s="125"/>
      <c r="KZH163" s="125"/>
      <c r="KZI163" s="125"/>
      <c r="KZJ163" s="125"/>
      <c r="KZK163" s="125"/>
      <c r="KZL163" s="125"/>
      <c r="KZM163" s="125"/>
      <c r="KZN163" s="125"/>
      <c r="KZO163" s="125"/>
      <c r="KZP163" s="125"/>
      <c r="KZQ163" s="125"/>
      <c r="KZR163" s="125"/>
      <c r="KZS163" s="125"/>
      <c r="KZT163" s="125"/>
      <c r="KZU163" s="125"/>
      <c r="KZV163" s="125"/>
      <c r="KZW163" s="125"/>
      <c r="KZX163" s="125"/>
      <c r="KZY163" s="125"/>
      <c r="KZZ163" s="125"/>
      <c r="LAA163" s="125"/>
      <c r="LAB163" s="125"/>
      <c r="LAC163" s="125"/>
      <c r="LAD163" s="125"/>
      <c r="LAE163" s="125"/>
      <c r="LAF163" s="125"/>
      <c r="LAG163" s="125"/>
      <c r="LAH163" s="125"/>
      <c r="LAI163" s="125"/>
      <c r="LAJ163" s="125"/>
      <c r="LAK163" s="125"/>
      <c r="LAL163" s="125"/>
      <c r="LAM163" s="125"/>
      <c r="LAN163" s="125"/>
      <c r="LAO163" s="125"/>
      <c r="LAP163" s="125"/>
      <c r="LAQ163" s="125"/>
      <c r="LAR163" s="125"/>
      <c r="LAS163" s="125"/>
      <c r="LAT163" s="125"/>
      <c r="LAU163" s="125"/>
      <c r="LAV163" s="125"/>
      <c r="LAW163" s="125"/>
      <c r="LAX163" s="125"/>
      <c r="LAY163" s="125"/>
      <c r="LAZ163" s="125"/>
      <c r="LBA163" s="125"/>
      <c r="LBB163" s="125"/>
      <c r="LBC163" s="125"/>
      <c r="LBD163" s="125"/>
      <c r="LBE163" s="125"/>
      <c r="LBF163" s="125"/>
      <c r="LBG163" s="125"/>
      <c r="LBH163" s="125"/>
      <c r="LBI163" s="125"/>
      <c r="LBJ163" s="125"/>
      <c r="LBK163" s="125"/>
      <c r="LBL163" s="125"/>
      <c r="LBM163" s="125"/>
      <c r="LBN163" s="125"/>
      <c r="LBO163" s="125"/>
      <c r="LBP163" s="125"/>
      <c r="LBQ163" s="125"/>
      <c r="LBR163" s="125"/>
      <c r="LBS163" s="125"/>
      <c r="LBT163" s="125"/>
      <c r="LBU163" s="125"/>
      <c r="LBV163" s="125"/>
      <c r="LBW163" s="125"/>
      <c r="LBX163" s="125"/>
      <c r="LBY163" s="125"/>
      <c r="LBZ163" s="125"/>
      <c r="LCA163" s="125"/>
      <c r="LCB163" s="125"/>
      <c r="LCC163" s="125"/>
      <c r="LCD163" s="125"/>
      <c r="LCE163" s="125"/>
      <c r="LCF163" s="125"/>
      <c r="LCG163" s="125"/>
      <c r="LCH163" s="125"/>
      <c r="LCI163" s="125"/>
      <c r="LCJ163" s="125"/>
      <c r="LCK163" s="125"/>
      <c r="LCL163" s="125"/>
      <c r="LCM163" s="125"/>
      <c r="LCN163" s="125"/>
      <c r="LCO163" s="125"/>
      <c r="LCP163" s="125"/>
      <c r="LCQ163" s="125"/>
      <c r="LCR163" s="125"/>
      <c r="LCS163" s="125"/>
      <c r="LCT163" s="125"/>
      <c r="LCU163" s="125"/>
      <c r="LCV163" s="125"/>
      <c r="LCW163" s="125"/>
      <c r="LCX163" s="125"/>
      <c r="LCY163" s="125"/>
      <c r="LCZ163" s="125"/>
      <c r="LDA163" s="125"/>
      <c r="LDB163" s="125"/>
      <c r="LDC163" s="125"/>
      <c r="LDD163" s="125"/>
      <c r="LDE163" s="125"/>
      <c r="LDF163" s="125"/>
      <c r="LDG163" s="125"/>
      <c r="LDH163" s="125"/>
      <c r="LDI163" s="125"/>
      <c r="LDJ163" s="125"/>
      <c r="LDK163" s="125"/>
      <c r="LDL163" s="125"/>
      <c r="LDM163" s="125"/>
      <c r="LDN163" s="125"/>
      <c r="LDO163" s="125"/>
      <c r="LDP163" s="125"/>
      <c r="LDQ163" s="125"/>
      <c r="LDR163" s="125"/>
      <c r="LDS163" s="125"/>
      <c r="LDT163" s="125"/>
      <c r="LDU163" s="125"/>
      <c r="LDV163" s="125"/>
      <c r="LDW163" s="125"/>
      <c r="LDX163" s="125"/>
      <c r="LDY163" s="125"/>
      <c r="LDZ163" s="125"/>
      <c r="LEA163" s="125"/>
      <c r="LEB163" s="125"/>
      <c r="LEC163" s="125"/>
      <c r="LED163" s="125"/>
      <c r="LEE163" s="125"/>
      <c r="LEF163" s="125"/>
      <c r="LEG163" s="125"/>
      <c r="LEH163" s="125"/>
      <c r="LEI163" s="125"/>
      <c r="LEJ163" s="125"/>
      <c r="LEK163" s="125"/>
      <c r="LEL163" s="125"/>
      <c r="LEM163" s="125"/>
      <c r="LEN163" s="125"/>
      <c r="LEO163" s="125"/>
      <c r="LEP163" s="125"/>
      <c r="LEQ163" s="125"/>
      <c r="LER163" s="125"/>
      <c r="LES163" s="125"/>
      <c r="LET163" s="125"/>
      <c r="LEU163" s="125"/>
      <c r="LEV163" s="125"/>
      <c r="LEW163" s="125"/>
      <c r="LEX163" s="125"/>
      <c r="LEY163" s="125"/>
      <c r="LEZ163" s="125"/>
      <c r="LFA163" s="125"/>
      <c r="LFB163" s="125"/>
      <c r="LFC163" s="125"/>
      <c r="LFD163" s="125"/>
      <c r="LFE163" s="125"/>
      <c r="LFF163" s="125"/>
      <c r="LFG163" s="125"/>
      <c r="LFH163" s="125"/>
      <c r="LFI163" s="125"/>
      <c r="LFJ163" s="125"/>
      <c r="LFK163" s="125"/>
      <c r="LFL163" s="125"/>
      <c r="LFM163" s="125"/>
      <c r="LFN163" s="125"/>
      <c r="LFO163" s="125"/>
      <c r="LFP163" s="125"/>
      <c r="LFQ163" s="125"/>
      <c r="LFR163" s="125"/>
      <c r="LFS163" s="125"/>
      <c r="LFT163" s="125"/>
      <c r="LFU163" s="125"/>
      <c r="LFV163" s="125"/>
      <c r="LFW163" s="125"/>
      <c r="LFX163" s="125"/>
      <c r="LFY163" s="125"/>
      <c r="LFZ163" s="125"/>
      <c r="LGA163" s="125"/>
      <c r="LGB163" s="125"/>
      <c r="LGC163" s="125"/>
      <c r="LGD163" s="125"/>
      <c r="LGE163" s="125"/>
      <c r="LGF163" s="125"/>
      <c r="LGG163" s="125"/>
      <c r="LGH163" s="125"/>
      <c r="LGI163" s="125"/>
      <c r="LGJ163" s="125"/>
      <c r="LGK163" s="125"/>
      <c r="LGL163" s="125"/>
      <c r="LGM163" s="125"/>
      <c r="LGN163" s="125"/>
      <c r="LGO163" s="125"/>
      <c r="LGP163" s="125"/>
      <c r="LGQ163" s="125"/>
      <c r="LGR163" s="125"/>
      <c r="LGS163" s="125"/>
      <c r="LGT163" s="125"/>
      <c r="LGU163" s="125"/>
      <c r="LGV163" s="125"/>
      <c r="LGW163" s="125"/>
      <c r="LGX163" s="125"/>
      <c r="LGY163" s="125"/>
      <c r="LGZ163" s="125"/>
      <c r="LHA163" s="125"/>
      <c r="LHB163" s="125"/>
      <c r="LHC163" s="125"/>
      <c r="LHD163" s="125"/>
      <c r="LHE163" s="125"/>
      <c r="LHF163" s="125"/>
      <c r="LHG163" s="125"/>
      <c r="LHH163" s="125"/>
      <c r="LHI163" s="125"/>
      <c r="LHJ163" s="125"/>
      <c r="LHK163" s="125"/>
      <c r="LHL163" s="125"/>
      <c r="LHM163" s="125"/>
      <c r="LHN163" s="125"/>
      <c r="LHO163" s="125"/>
      <c r="LHP163" s="125"/>
      <c r="LHQ163" s="125"/>
      <c r="LHR163" s="125"/>
      <c r="LHS163" s="125"/>
      <c r="LHT163" s="125"/>
      <c r="LHU163" s="125"/>
      <c r="LHV163" s="125"/>
      <c r="LHW163" s="125"/>
      <c r="LHX163" s="125"/>
      <c r="LHY163" s="125"/>
      <c r="LHZ163" s="125"/>
      <c r="LIA163" s="125"/>
      <c r="LIB163" s="125"/>
      <c r="LIC163" s="125"/>
      <c r="LID163" s="125"/>
      <c r="LIE163" s="125"/>
      <c r="LIF163" s="125"/>
      <c r="LIG163" s="125"/>
      <c r="LIH163" s="125"/>
      <c r="LII163" s="125"/>
      <c r="LIJ163" s="125"/>
      <c r="LIK163" s="125"/>
      <c r="LIL163" s="125"/>
      <c r="LIM163" s="125"/>
      <c r="LIN163" s="125"/>
      <c r="LIO163" s="125"/>
      <c r="LIP163" s="125"/>
      <c r="LIQ163" s="125"/>
      <c r="LIR163" s="125"/>
      <c r="LIS163" s="125"/>
      <c r="LIT163" s="125"/>
      <c r="LIU163" s="125"/>
      <c r="LIV163" s="125"/>
      <c r="LIW163" s="125"/>
      <c r="LIX163" s="125"/>
      <c r="LIY163" s="125"/>
      <c r="LIZ163" s="125"/>
      <c r="LJA163" s="125"/>
      <c r="LJB163" s="125"/>
      <c r="LJC163" s="125"/>
      <c r="LJD163" s="125"/>
      <c r="LJE163" s="125"/>
      <c r="LJF163" s="125"/>
      <c r="LJG163" s="125"/>
      <c r="LJH163" s="125"/>
      <c r="LJI163" s="125"/>
      <c r="LJJ163" s="125"/>
      <c r="LJK163" s="125"/>
      <c r="LJL163" s="125"/>
      <c r="LJM163" s="125"/>
      <c r="LJN163" s="125"/>
      <c r="LJO163" s="125"/>
      <c r="LJP163" s="125"/>
      <c r="LJQ163" s="125"/>
      <c r="LJR163" s="125"/>
      <c r="LJS163" s="125"/>
      <c r="LJT163" s="125"/>
      <c r="LJU163" s="125"/>
      <c r="LJV163" s="125"/>
      <c r="LJW163" s="125"/>
      <c r="LJX163" s="125"/>
      <c r="LJY163" s="125"/>
      <c r="LJZ163" s="125"/>
      <c r="LKA163" s="125"/>
      <c r="LKB163" s="125"/>
      <c r="LKC163" s="125"/>
      <c r="LKD163" s="125"/>
      <c r="LKE163" s="125"/>
      <c r="LKF163" s="125"/>
      <c r="LKG163" s="125"/>
      <c r="LKH163" s="125"/>
      <c r="LKI163" s="125"/>
      <c r="LKJ163" s="125"/>
      <c r="LKK163" s="125"/>
      <c r="LKL163" s="125"/>
      <c r="LKM163" s="125"/>
      <c r="LKN163" s="125"/>
      <c r="LKO163" s="125"/>
      <c r="LKP163" s="125"/>
      <c r="LKQ163" s="125"/>
      <c r="LKR163" s="125"/>
      <c r="LKS163" s="125"/>
      <c r="LKT163" s="125"/>
      <c r="LKU163" s="125"/>
      <c r="LKV163" s="125"/>
      <c r="LKW163" s="125"/>
      <c r="LKX163" s="125"/>
      <c r="LKY163" s="125"/>
      <c r="LKZ163" s="125"/>
      <c r="LLA163" s="125"/>
      <c r="LLB163" s="125"/>
      <c r="LLC163" s="125"/>
      <c r="LLD163" s="125"/>
      <c r="LLE163" s="125"/>
      <c r="LLF163" s="125"/>
      <c r="LLG163" s="125"/>
      <c r="LLH163" s="125"/>
      <c r="LLI163" s="125"/>
      <c r="LLJ163" s="125"/>
      <c r="LLK163" s="125"/>
      <c r="LLL163" s="125"/>
      <c r="LLM163" s="125"/>
      <c r="LLN163" s="125"/>
      <c r="LLO163" s="125"/>
      <c r="LLP163" s="125"/>
      <c r="LLQ163" s="125"/>
      <c r="LLR163" s="125"/>
      <c r="LLS163" s="125"/>
      <c r="LLT163" s="125"/>
      <c r="LLU163" s="125"/>
      <c r="LLV163" s="125"/>
      <c r="LLW163" s="125"/>
      <c r="LLX163" s="125"/>
      <c r="LLY163" s="125"/>
      <c r="LLZ163" s="125"/>
      <c r="LMA163" s="125"/>
      <c r="LMB163" s="125"/>
      <c r="LMC163" s="125"/>
      <c r="LMD163" s="125"/>
      <c r="LME163" s="125"/>
      <c r="LMF163" s="125"/>
      <c r="LMG163" s="125"/>
      <c r="LMH163" s="125"/>
      <c r="LMI163" s="125"/>
      <c r="LMJ163" s="125"/>
      <c r="LMK163" s="125"/>
      <c r="LML163" s="125"/>
      <c r="LMM163" s="125"/>
      <c r="LMN163" s="125"/>
      <c r="LMO163" s="125"/>
      <c r="LMP163" s="125"/>
      <c r="LMQ163" s="125"/>
      <c r="LMR163" s="125"/>
      <c r="LMS163" s="125"/>
      <c r="LMT163" s="125"/>
      <c r="LMU163" s="125"/>
      <c r="LMV163" s="125"/>
      <c r="LMW163" s="125"/>
      <c r="LMX163" s="125"/>
      <c r="LMY163" s="125"/>
      <c r="LMZ163" s="125"/>
      <c r="LNA163" s="125"/>
      <c r="LNB163" s="125"/>
      <c r="LNC163" s="125"/>
      <c r="LND163" s="125"/>
      <c r="LNE163" s="125"/>
      <c r="LNF163" s="125"/>
      <c r="LNG163" s="125"/>
      <c r="LNH163" s="125"/>
      <c r="LNI163" s="125"/>
      <c r="LNJ163" s="125"/>
      <c r="LNK163" s="125"/>
      <c r="LNL163" s="125"/>
      <c r="LNM163" s="125"/>
      <c r="LNN163" s="125"/>
      <c r="LNO163" s="125"/>
      <c r="LNP163" s="125"/>
      <c r="LNQ163" s="125"/>
      <c r="LNR163" s="125"/>
      <c r="LNS163" s="125"/>
      <c r="LNT163" s="125"/>
      <c r="LNU163" s="125"/>
      <c r="LNV163" s="125"/>
      <c r="LNW163" s="125"/>
      <c r="LNX163" s="125"/>
      <c r="LNY163" s="125"/>
      <c r="LNZ163" s="125"/>
      <c r="LOA163" s="125"/>
      <c r="LOB163" s="125"/>
      <c r="LOC163" s="125"/>
      <c r="LOD163" s="125"/>
      <c r="LOE163" s="125"/>
      <c r="LOF163" s="125"/>
      <c r="LOG163" s="125"/>
      <c r="LOH163" s="125"/>
      <c r="LOI163" s="125"/>
      <c r="LOJ163" s="125"/>
      <c r="LOK163" s="125"/>
      <c r="LOL163" s="125"/>
      <c r="LOM163" s="125"/>
      <c r="LON163" s="125"/>
      <c r="LOO163" s="125"/>
      <c r="LOP163" s="125"/>
      <c r="LOQ163" s="125"/>
      <c r="LOR163" s="125"/>
      <c r="LOS163" s="125"/>
      <c r="LOT163" s="125"/>
      <c r="LOU163" s="125"/>
      <c r="LOV163" s="125"/>
      <c r="LOW163" s="125"/>
      <c r="LOX163" s="125"/>
      <c r="LOY163" s="125"/>
      <c r="LOZ163" s="125"/>
      <c r="LPA163" s="125"/>
      <c r="LPB163" s="125"/>
      <c r="LPC163" s="125"/>
      <c r="LPD163" s="125"/>
      <c r="LPE163" s="125"/>
      <c r="LPF163" s="125"/>
      <c r="LPG163" s="125"/>
      <c r="LPH163" s="125"/>
      <c r="LPI163" s="125"/>
      <c r="LPJ163" s="125"/>
      <c r="LPK163" s="125"/>
      <c r="LPL163" s="125"/>
      <c r="LPM163" s="125"/>
      <c r="LPN163" s="125"/>
      <c r="LPO163" s="125"/>
      <c r="LPP163" s="125"/>
      <c r="LPQ163" s="125"/>
      <c r="LPR163" s="125"/>
      <c r="LPS163" s="125"/>
      <c r="LPT163" s="125"/>
      <c r="LPU163" s="125"/>
      <c r="LPV163" s="125"/>
      <c r="LPW163" s="125"/>
      <c r="LPX163" s="125"/>
      <c r="LPY163" s="125"/>
      <c r="LPZ163" s="125"/>
      <c r="LQA163" s="125"/>
      <c r="LQB163" s="125"/>
      <c r="LQC163" s="125"/>
      <c r="LQD163" s="125"/>
      <c r="LQE163" s="125"/>
      <c r="LQF163" s="125"/>
      <c r="LQG163" s="125"/>
      <c r="LQH163" s="125"/>
      <c r="LQI163" s="125"/>
      <c r="LQJ163" s="125"/>
      <c r="LQK163" s="125"/>
      <c r="LQL163" s="125"/>
      <c r="LQM163" s="125"/>
      <c r="LQN163" s="125"/>
      <c r="LQO163" s="125"/>
      <c r="LQP163" s="125"/>
      <c r="LQQ163" s="125"/>
      <c r="LQR163" s="125"/>
      <c r="LQS163" s="125"/>
      <c r="LQT163" s="125"/>
      <c r="LQU163" s="125"/>
      <c r="LQV163" s="125"/>
      <c r="LQW163" s="125"/>
      <c r="LQX163" s="125"/>
      <c r="LQY163" s="125"/>
      <c r="LQZ163" s="125"/>
      <c r="LRA163" s="125"/>
      <c r="LRB163" s="125"/>
      <c r="LRC163" s="125"/>
      <c r="LRD163" s="125"/>
      <c r="LRE163" s="125"/>
      <c r="LRF163" s="125"/>
      <c r="LRG163" s="125"/>
      <c r="LRH163" s="125"/>
      <c r="LRI163" s="125"/>
      <c r="LRJ163" s="125"/>
      <c r="LRK163" s="125"/>
      <c r="LRL163" s="125"/>
      <c r="LRM163" s="125"/>
      <c r="LRN163" s="125"/>
      <c r="LRO163" s="125"/>
      <c r="LRP163" s="125"/>
      <c r="LRQ163" s="125"/>
      <c r="LRR163" s="125"/>
      <c r="LRS163" s="125"/>
      <c r="LRT163" s="125"/>
      <c r="LRU163" s="125"/>
      <c r="LRV163" s="125"/>
      <c r="LRW163" s="125"/>
      <c r="LRX163" s="125"/>
      <c r="LRY163" s="125"/>
      <c r="LRZ163" s="125"/>
      <c r="LSA163" s="125"/>
      <c r="LSB163" s="125"/>
      <c r="LSC163" s="125"/>
      <c r="LSD163" s="125"/>
      <c r="LSE163" s="125"/>
      <c r="LSF163" s="125"/>
      <c r="LSG163" s="125"/>
      <c r="LSH163" s="125"/>
      <c r="LSI163" s="125"/>
      <c r="LSJ163" s="125"/>
      <c r="LSK163" s="125"/>
      <c r="LSL163" s="125"/>
      <c r="LSM163" s="125"/>
      <c r="LSN163" s="125"/>
      <c r="LSO163" s="125"/>
      <c r="LSP163" s="125"/>
      <c r="LSQ163" s="125"/>
      <c r="LSR163" s="125"/>
      <c r="LSS163" s="125"/>
      <c r="LST163" s="125"/>
      <c r="LSU163" s="125"/>
      <c r="LSV163" s="125"/>
      <c r="LSW163" s="125"/>
      <c r="LSX163" s="125"/>
      <c r="LSY163" s="125"/>
      <c r="LSZ163" s="125"/>
      <c r="LTA163" s="125"/>
      <c r="LTB163" s="125"/>
      <c r="LTC163" s="125"/>
      <c r="LTD163" s="125"/>
      <c r="LTE163" s="125"/>
      <c r="LTF163" s="125"/>
      <c r="LTG163" s="125"/>
      <c r="LTH163" s="125"/>
      <c r="LTI163" s="125"/>
      <c r="LTJ163" s="125"/>
      <c r="LTK163" s="125"/>
      <c r="LTL163" s="125"/>
      <c r="LTM163" s="125"/>
      <c r="LTN163" s="125"/>
      <c r="LTO163" s="125"/>
      <c r="LTP163" s="125"/>
      <c r="LTQ163" s="125"/>
      <c r="LTR163" s="125"/>
      <c r="LTS163" s="125"/>
      <c r="LTT163" s="125"/>
      <c r="LTU163" s="125"/>
      <c r="LTV163" s="125"/>
      <c r="LTW163" s="125"/>
      <c r="LTX163" s="125"/>
      <c r="LTY163" s="125"/>
      <c r="LTZ163" s="125"/>
      <c r="LUA163" s="125"/>
      <c r="LUB163" s="125"/>
      <c r="LUC163" s="125"/>
      <c r="LUD163" s="125"/>
      <c r="LUE163" s="125"/>
      <c r="LUF163" s="125"/>
      <c r="LUG163" s="125"/>
      <c r="LUH163" s="125"/>
      <c r="LUI163" s="125"/>
      <c r="LUJ163" s="125"/>
      <c r="LUK163" s="125"/>
      <c r="LUL163" s="125"/>
      <c r="LUM163" s="125"/>
      <c r="LUN163" s="125"/>
      <c r="LUO163" s="125"/>
      <c r="LUP163" s="125"/>
      <c r="LUQ163" s="125"/>
      <c r="LUR163" s="125"/>
      <c r="LUS163" s="125"/>
      <c r="LUT163" s="125"/>
      <c r="LUU163" s="125"/>
      <c r="LUV163" s="125"/>
      <c r="LUW163" s="125"/>
      <c r="LUX163" s="125"/>
      <c r="LUY163" s="125"/>
      <c r="LUZ163" s="125"/>
      <c r="LVA163" s="125"/>
      <c r="LVB163" s="125"/>
      <c r="LVC163" s="125"/>
      <c r="LVD163" s="125"/>
      <c r="LVE163" s="125"/>
      <c r="LVF163" s="125"/>
      <c r="LVG163" s="125"/>
      <c r="LVH163" s="125"/>
      <c r="LVI163" s="125"/>
      <c r="LVJ163" s="125"/>
      <c r="LVK163" s="125"/>
      <c r="LVL163" s="125"/>
      <c r="LVM163" s="125"/>
      <c r="LVN163" s="125"/>
      <c r="LVO163" s="125"/>
      <c r="LVP163" s="125"/>
      <c r="LVQ163" s="125"/>
      <c r="LVR163" s="125"/>
      <c r="LVS163" s="125"/>
      <c r="LVT163" s="125"/>
      <c r="LVU163" s="125"/>
      <c r="LVV163" s="125"/>
      <c r="LVW163" s="125"/>
      <c r="LVX163" s="125"/>
      <c r="LVY163" s="125"/>
      <c r="LVZ163" s="125"/>
      <c r="LWA163" s="125"/>
      <c r="LWB163" s="125"/>
      <c r="LWC163" s="125"/>
      <c r="LWD163" s="125"/>
      <c r="LWE163" s="125"/>
      <c r="LWF163" s="125"/>
      <c r="LWG163" s="125"/>
      <c r="LWH163" s="125"/>
      <c r="LWI163" s="125"/>
      <c r="LWJ163" s="125"/>
      <c r="LWK163" s="125"/>
      <c r="LWL163" s="125"/>
      <c r="LWM163" s="125"/>
      <c r="LWN163" s="125"/>
      <c r="LWO163" s="125"/>
      <c r="LWP163" s="125"/>
      <c r="LWQ163" s="125"/>
      <c r="LWR163" s="125"/>
      <c r="LWS163" s="125"/>
      <c r="LWT163" s="125"/>
      <c r="LWU163" s="125"/>
      <c r="LWV163" s="125"/>
      <c r="LWW163" s="125"/>
      <c r="LWX163" s="125"/>
      <c r="LWY163" s="125"/>
      <c r="LWZ163" s="125"/>
      <c r="LXA163" s="125"/>
      <c r="LXB163" s="125"/>
      <c r="LXC163" s="125"/>
      <c r="LXD163" s="125"/>
      <c r="LXE163" s="125"/>
      <c r="LXF163" s="125"/>
      <c r="LXG163" s="125"/>
      <c r="LXH163" s="125"/>
      <c r="LXI163" s="125"/>
      <c r="LXJ163" s="125"/>
      <c r="LXK163" s="125"/>
      <c r="LXL163" s="125"/>
      <c r="LXM163" s="125"/>
      <c r="LXN163" s="125"/>
      <c r="LXO163" s="125"/>
      <c r="LXP163" s="125"/>
      <c r="LXQ163" s="125"/>
      <c r="LXR163" s="125"/>
      <c r="LXS163" s="125"/>
      <c r="LXT163" s="125"/>
      <c r="LXU163" s="125"/>
      <c r="LXV163" s="125"/>
      <c r="LXW163" s="125"/>
      <c r="LXX163" s="125"/>
      <c r="LXY163" s="125"/>
      <c r="LXZ163" s="125"/>
      <c r="LYA163" s="125"/>
      <c r="LYB163" s="125"/>
      <c r="LYC163" s="125"/>
      <c r="LYD163" s="125"/>
      <c r="LYE163" s="125"/>
      <c r="LYF163" s="125"/>
      <c r="LYG163" s="125"/>
      <c r="LYH163" s="125"/>
      <c r="LYI163" s="125"/>
      <c r="LYJ163" s="125"/>
      <c r="LYK163" s="125"/>
      <c r="LYL163" s="125"/>
      <c r="LYM163" s="125"/>
      <c r="LYN163" s="125"/>
      <c r="LYO163" s="125"/>
      <c r="LYP163" s="125"/>
      <c r="LYQ163" s="125"/>
      <c r="LYR163" s="125"/>
      <c r="LYS163" s="125"/>
      <c r="LYT163" s="125"/>
      <c r="LYU163" s="125"/>
      <c r="LYV163" s="125"/>
      <c r="LYW163" s="125"/>
      <c r="LYX163" s="125"/>
      <c r="LYY163" s="125"/>
      <c r="LYZ163" s="125"/>
      <c r="LZA163" s="125"/>
      <c r="LZB163" s="125"/>
      <c r="LZC163" s="125"/>
      <c r="LZD163" s="125"/>
      <c r="LZE163" s="125"/>
      <c r="LZF163" s="125"/>
      <c r="LZG163" s="125"/>
      <c r="LZH163" s="125"/>
      <c r="LZI163" s="125"/>
      <c r="LZJ163" s="125"/>
      <c r="LZK163" s="125"/>
      <c r="LZL163" s="125"/>
      <c r="LZM163" s="125"/>
      <c r="LZN163" s="125"/>
      <c r="LZO163" s="125"/>
      <c r="LZP163" s="125"/>
      <c r="LZQ163" s="125"/>
      <c r="LZR163" s="125"/>
      <c r="LZS163" s="125"/>
      <c r="LZT163" s="125"/>
      <c r="LZU163" s="125"/>
      <c r="LZV163" s="125"/>
      <c r="LZW163" s="125"/>
      <c r="LZX163" s="125"/>
      <c r="LZY163" s="125"/>
      <c r="LZZ163" s="125"/>
      <c r="MAA163" s="125"/>
      <c r="MAB163" s="125"/>
      <c r="MAC163" s="125"/>
      <c r="MAD163" s="125"/>
      <c r="MAE163" s="125"/>
      <c r="MAF163" s="125"/>
      <c r="MAG163" s="125"/>
      <c r="MAH163" s="125"/>
      <c r="MAI163" s="125"/>
      <c r="MAJ163" s="125"/>
      <c r="MAK163" s="125"/>
      <c r="MAL163" s="125"/>
      <c r="MAM163" s="125"/>
      <c r="MAN163" s="125"/>
      <c r="MAO163" s="125"/>
      <c r="MAP163" s="125"/>
      <c r="MAQ163" s="125"/>
      <c r="MAR163" s="125"/>
      <c r="MAS163" s="125"/>
      <c r="MAT163" s="125"/>
      <c r="MAU163" s="125"/>
      <c r="MAV163" s="125"/>
      <c r="MAW163" s="125"/>
      <c r="MAX163" s="125"/>
      <c r="MAY163" s="125"/>
      <c r="MAZ163" s="125"/>
      <c r="MBA163" s="125"/>
      <c r="MBB163" s="125"/>
      <c r="MBC163" s="125"/>
      <c r="MBD163" s="125"/>
      <c r="MBE163" s="125"/>
      <c r="MBF163" s="125"/>
      <c r="MBG163" s="125"/>
      <c r="MBH163" s="125"/>
      <c r="MBI163" s="125"/>
      <c r="MBJ163" s="125"/>
      <c r="MBK163" s="125"/>
      <c r="MBL163" s="125"/>
      <c r="MBM163" s="125"/>
      <c r="MBN163" s="125"/>
      <c r="MBO163" s="125"/>
      <c r="MBP163" s="125"/>
      <c r="MBQ163" s="125"/>
      <c r="MBR163" s="125"/>
      <c r="MBS163" s="125"/>
      <c r="MBT163" s="125"/>
      <c r="MBU163" s="125"/>
      <c r="MBV163" s="125"/>
      <c r="MBW163" s="125"/>
      <c r="MBX163" s="125"/>
      <c r="MBY163" s="125"/>
      <c r="MBZ163" s="125"/>
      <c r="MCA163" s="125"/>
      <c r="MCB163" s="125"/>
      <c r="MCC163" s="125"/>
      <c r="MCD163" s="125"/>
      <c r="MCE163" s="125"/>
      <c r="MCF163" s="125"/>
      <c r="MCG163" s="125"/>
      <c r="MCH163" s="125"/>
      <c r="MCI163" s="125"/>
      <c r="MCJ163" s="125"/>
      <c r="MCK163" s="125"/>
      <c r="MCL163" s="125"/>
      <c r="MCM163" s="125"/>
      <c r="MCN163" s="125"/>
      <c r="MCO163" s="125"/>
      <c r="MCP163" s="125"/>
      <c r="MCQ163" s="125"/>
      <c r="MCR163" s="125"/>
      <c r="MCS163" s="125"/>
      <c r="MCT163" s="125"/>
      <c r="MCU163" s="125"/>
      <c r="MCV163" s="125"/>
      <c r="MCW163" s="125"/>
      <c r="MCX163" s="125"/>
      <c r="MCY163" s="125"/>
      <c r="MCZ163" s="125"/>
      <c r="MDA163" s="125"/>
      <c r="MDB163" s="125"/>
      <c r="MDC163" s="125"/>
      <c r="MDD163" s="125"/>
      <c r="MDE163" s="125"/>
      <c r="MDF163" s="125"/>
      <c r="MDG163" s="125"/>
      <c r="MDH163" s="125"/>
      <c r="MDI163" s="125"/>
      <c r="MDJ163" s="125"/>
      <c r="MDK163" s="125"/>
      <c r="MDL163" s="125"/>
      <c r="MDM163" s="125"/>
      <c r="MDN163" s="125"/>
      <c r="MDO163" s="125"/>
      <c r="MDP163" s="125"/>
      <c r="MDQ163" s="125"/>
      <c r="MDR163" s="125"/>
      <c r="MDS163" s="125"/>
      <c r="MDT163" s="125"/>
      <c r="MDU163" s="125"/>
      <c r="MDV163" s="125"/>
      <c r="MDW163" s="125"/>
      <c r="MDX163" s="125"/>
      <c r="MDY163" s="125"/>
      <c r="MDZ163" s="125"/>
      <c r="MEA163" s="125"/>
      <c r="MEB163" s="125"/>
      <c r="MEC163" s="125"/>
      <c r="MED163" s="125"/>
      <c r="MEE163" s="125"/>
      <c r="MEF163" s="125"/>
      <c r="MEG163" s="125"/>
      <c r="MEH163" s="125"/>
      <c r="MEI163" s="125"/>
      <c r="MEJ163" s="125"/>
      <c r="MEK163" s="125"/>
      <c r="MEL163" s="125"/>
      <c r="MEM163" s="125"/>
      <c r="MEN163" s="125"/>
      <c r="MEO163" s="125"/>
      <c r="MEP163" s="125"/>
      <c r="MEQ163" s="125"/>
      <c r="MER163" s="125"/>
      <c r="MES163" s="125"/>
      <c r="MET163" s="125"/>
      <c r="MEU163" s="125"/>
      <c r="MEV163" s="125"/>
      <c r="MEW163" s="125"/>
      <c r="MEX163" s="125"/>
      <c r="MEY163" s="125"/>
      <c r="MEZ163" s="125"/>
      <c r="MFA163" s="125"/>
      <c r="MFB163" s="125"/>
      <c r="MFC163" s="125"/>
      <c r="MFD163" s="125"/>
      <c r="MFE163" s="125"/>
      <c r="MFF163" s="125"/>
      <c r="MFG163" s="125"/>
      <c r="MFH163" s="125"/>
      <c r="MFI163" s="125"/>
      <c r="MFJ163" s="125"/>
      <c r="MFK163" s="125"/>
      <c r="MFL163" s="125"/>
      <c r="MFM163" s="125"/>
      <c r="MFN163" s="125"/>
      <c r="MFO163" s="125"/>
      <c r="MFP163" s="125"/>
      <c r="MFQ163" s="125"/>
      <c r="MFR163" s="125"/>
      <c r="MFS163" s="125"/>
      <c r="MFT163" s="125"/>
      <c r="MFU163" s="125"/>
      <c r="MFV163" s="125"/>
      <c r="MFW163" s="125"/>
      <c r="MFX163" s="125"/>
      <c r="MFY163" s="125"/>
      <c r="MFZ163" s="125"/>
      <c r="MGA163" s="125"/>
      <c r="MGB163" s="125"/>
      <c r="MGC163" s="125"/>
      <c r="MGD163" s="125"/>
      <c r="MGE163" s="125"/>
      <c r="MGF163" s="125"/>
      <c r="MGG163" s="125"/>
      <c r="MGH163" s="125"/>
      <c r="MGI163" s="125"/>
      <c r="MGJ163" s="125"/>
      <c r="MGK163" s="125"/>
      <c r="MGL163" s="125"/>
      <c r="MGM163" s="125"/>
      <c r="MGN163" s="125"/>
      <c r="MGO163" s="125"/>
      <c r="MGP163" s="125"/>
      <c r="MGQ163" s="125"/>
      <c r="MGR163" s="125"/>
      <c r="MGS163" s="125"/>
      <c r="MGT163" s="125"/>
      <c r="MGU163" s="125"/>
      <c r="MGV163" s="125"/>
      <c r="MGW163" s="125"/>
      <c r="MGX163" s="125"/>
      <c r="MGY163" s="125"/>
      <c r="MGZ163" s="125"/>
      <c r="MHA163" s="125"/>
      <c r="MHB163" s="125"/>
      <c r="MHC163" s="125"/>
      <c r="MHD163" s="125"/>
      <c r="MHE163" s="125"/>
      <c r="MHF163" s="125"/>
      <c r="MHG163" s="125"/>
      <c r="MHH163" s="125"/>
      <c r="MHI163" s="125"/>
      <c r="MHJ163" s="125"/>
      <c r="MHK163" s="125"/>
      <c r="MHL163" s="125"/>
      <c r="MHM163" s="125"/>
      <c r="MHN163" s="125"/>
      <c r="MHO163" s="125"/>
      <c r="MHP163" s="125"/>
      <c r="MHQ163" s="125"/>
      <c r="MHR163" s="125"/>
      <c r="MHS163" s="125"/>
      <c r="MHT163" s="125"/>
      <c r="MHU163" s="125"/>
      <c r="MHV163" s="125"/>
      <c r="MHW163" s="125"/>
      <c r="MHX163" s="125"/>
      <c r="MHY163" s="125"/>
      <c r="MHZ163" s="125"/>
      <c r="MIA163" s="125"/>
      <c r="MIB163" s="125"/>
      <c r="MIC163" s="125"/>
      <c r="MID163" s="125"/>
      <c r="MIE163" s="125"/>
      <c r="MIF163" s="125"/>
      <c r="MIG163" s="125"/>
      <c r="MIH163" s="125"/>
      <c r="MII163" s="125"/>
      <c r="MIJ163" s="125"/>
      <c r="MIK163" s="125"/>
      <c r="MIL163" s="125"/>
      <c r="MIM163" s="125"/>
      <c r="MIN163" s="125"/>
      <c r="MIO163" s="125"/>
      <c r="MIP163" s="125"/>
      <c r="MIQ163" s="125"/>
      <c r="MIR163" s="125"/>
      <c r="MIS163" s="125"/>
      <c r="MIT163" s="125"/>
      <c r="MIU163" s="125"/>
      <c r="MIV163" s="125"/>
      <c r="MIW163" s="125"/>
      <c r="MIX163" s="125"/>
      <c r="MIY163" s="125"/>
      <c r="MIZ163" s="125"/>
      <c r="MJA163" s="125"/>
      <c r="MJB163" s="125"/>
      <c r="MJC163" s="125"/>
      <c r="MJD163" s="125"/>
      <c r="MJE163" s="125"/>
      <c r="MJF163" s="125"/>
      <c r="MJG163" s="125"/>
      <c r="MJH163" s="125"/>
      <c r="MJI163" s="125"/>
      <c r="MJJ163" s="125"/>
      <c r="MJK163" s="125"/>
      <c r="MJL163" s="125"/>
      <c r="MJM163" s="125"/>
      <c r="MJN163" s="125"/>
      <c r="MJO163" s="125"/>
      <c r="MJP163" s="125"/>
      <c r="MJQ163" s="125"/>
      <c r="MJR163" s="125"/>
      <c r="MJS163" s="125"/>
      <c r="MJT163" s="125"/>
      <c r="MJU163" s="125"/>
      <c r="MJV163" s="125"/>
      <c r="MJW163" s="125"/>
      <c r="MJX163" s="125"/>
      <c r="MJY163" s="125"/>
      <c r="MJZ163" s="125"/>
      <c r="MKA163" s="125"/>
      <c r="MKB163" s="125"/>
      <c r="MKC163" s="125"/>
      <c r="MKD163" s="125"/>
      <c r="MKE163" s="125"/>
      <c r="MKF163" s="125"/>
      <c r="MKG163" s="125"/>
      <c r="MKH163" s="125"/>
      <c r="MKI163" s="125"/>
      <c r="MKJ163" s="125"/>
      <c r="MKK163" s="125"/>
      <c r="MKL163" s="125"/>
      <c r="MKM163" s="125"/>
      <c r="MKN163" s="125"/>
      <c r="MKO163" s="125"/>
      <c r="MKP163" s="125"/>
      <c r="MKQ163" s="125"/>
      <c r="MKR163" s="125"/>
      <c r="MKS163" s="125"/>
      <c r="MKT163" s="125"/>
      <c r="MKU163" s="125"/>
      <c r="MKV163" s="125"/>
      <c r="MKW163" s="125"/>
      <c r="MKX163" s="125"/>
      <c r="MKY163" s="125"/>
      <c r="MKZ163" s="125"/>
      <c r="MLA163" s="125"/>
      <c r="MLB163" s="125"/>
      <c r="MLC163" s="125"/>
      <c r="MLD163" s="125"/>
      <c r="MLE163" s="125"/>
      <c r="MLF163" s="125"/>
      <c r="MLG163" s="125"/>
      <c r="MLH163" s="125"/>
      <c r="MLI163" s="125"/>
      <c r="MLJ163" s="125"/>
      <c r="MLK163" s="125"/>
      <c r="MLL163" s="125"/>
      <c r="MLM163" s="125"/>
      <c r="MLN163" s="125"/>
      <c r="MLO163" s="125"/>
      <c r="MLP163" s="125"/>
      <c r="MLQ163" s="125"/>
      <c r="MLR163" s="125"/>
      <c r="MLS163" s="125"/>
      <c r="MLT163" s="125"/>
      <c r="MLU163" s="125"/>
      <c r="MLV163" s="125"/>
      <c r="MLW163" s="125"/>
      <c r="MLX163" s="125"/>
      <c r="MLY163" s="125"/>
      <c r="MLZ163" s="125"/>
      <c r="MMA163" s="125"/>
      <c r="MMB163" s="125"/>
      <c r="MMC163" s="125"/>
      <c r="MMD163" s="125"/>
      <c r="MME163" s="125"/>
      <c r="MMF163" s="125"/>
      <c r="MMG163" s="125"/>
      <c r="MMH163" s="125"/>
      <c r="MMI163" s="125"/>
      <c r="MMJ163" s="125"/>
      <c r="MMK163" s="125"/>
      <c r="MML163" s="125"/>
      <c r="MMM163" s="125"/>
      <c r="MMN163" s="125"/>
      <c r="MMO163" s="125"/>
      <c r="MMP163" s="125"/>
      <c r="MMQ163" s="125"/>
      <c r="MMR163" s="125"/>
      <c r="MMS163" s="125"/>
      <c r="MMT163" s="125"/>
      <c r="MMU163" s="125"/>
      <c r="MMV163" s="125"/>
      <c r="MMW163" s="125"/>
      <c r="MMX163" s="125"/>
      <c r="MMY163" s="125"/>
      <c r="MMZ163" s="125"/>
      <c r="MNA163" s="125"/>
      <c r="MNB163" s="125"/>
      <c r="MNC163" s="125"/>
      <c r="MND163" s="125"/>
      <c r="MNE163" s="125"/>
      <c r="MNF163" s="125"/>
      <c r="MNG163" s="125"/>
      <c r="MNH163" s="125"/>
      <c r="MNI163" s="125"/>
      <c r="MNJ163" s="125"/>
      <c r="MNK163" s="125"/>
      <c r="MNL163" s="125"/>
      <c r="MNM163" s="125"/>
      <c r="MNN163" s="125"/>
      <c r="MNO163" s="125"/>
      <c r="MNP163" s="125"/>
      <c r="MNQ163" s="125"/>
      <c r="MNR163" s="125"/>
      <c r="MNS163" s="125"/>
      <c r="MNT163" s="125"/>
      <c r="MNU163" s="125"/>
      <c r="MNV163" s="125"/>
      <c r="MNW163" s="125"/>
      <c r="MNX163" s="125"/>
      <c r="MNY163" s="125"/>
      <c r="MNZ163" s="125"/>
      <c r="MOA163" s="125"/>
      <c r="MOB163" s="125"/>
      <c r="MOC163" s="125"/>
      <c r="MOD163" s="125"/>
      <c r="MOE163" s="125"/>
      <c r="MOF163" s="125"/>
      <c r="MOG163" s="125"/>
      <c r="MOH163" s="125"/>
      <c r="MOI163" s="125"/>
      <c r="MOJ163" s="125"/>
      <c r="MOK163" s="125"/>
      <c r="MOL163" s="125"/>
      <c r="MOM163" s="125"/>
      <c r="MON163" s="125"/>
      <c r="MOO163" s="125"/>
      <c r="MOP163" s="125"/>
      <c r="MOQ163" s="125"/>
      <c r="MOR163" s="125"/>
      <c r="MOS163" s="125"/>
      <c r="MOT163" s="125"/>
      <c r="MOU163" s="125"/>
      <c r="MOV163" s="125"/>
      <c r="MOW163" s="125"/>
      <c r="MOX163" s="125"/>
      <c r="MOY163" s="125"/>
      <c r="MOZ163" s="125"/>
      <c r="MPA163" s="125"/>
      <c r="MPB163" s="125"/>
      <c r="MPC163" s="125"/>
      <c r="MPD163" s="125"/>
      <c r="MPE163" s="125"/>
      <c r="MPF163" s="125"/>
      <c r="MPG163" s="125"/>
      <c r="MPH163" s="125"/>
      <c r="MPI163" s="125"/>
      <c r="MPJ163" s="125"/>
      <c r="MPK163" s="125"/>
      <c r="MPL163" s="125"/>
      <c r="MPM163" s="125"/>
      <c r="MPN163" s="125"/>
      <c r="MPO163" s="125"/>
      <c r="MPP163" s="125"/>
      <c r="MPQ163" s="125"/>
      <c r="MPR163" s="125"/>
      <c r="MPS163" s="125"/>
      <c r="MPT163" s="125"/>
      <c r="MPU163" s="125"/>
      <c r="MPV163" s="125"/>
      <c r="MPW163" s="125"/>
      <c r="MPX163" s="125"/>
      <c r="MPY163" s="125"/>
      <c r="MPZ163" s="125"/>
      <c r="MQA163" s="125"/>
      <c r="MQB163" s="125"/>
      <c r="MQC163" s="125"/>
      <c r="MQD163" s="125"/>
      <c r="MQE163" s="125"/>
      <c r="MQF163" s="125"/>
      <c r="MQG163" s="125"/>
      <c r="MQH163" s="125"/>
      <c r="MQI163" s="125"/>
      <c r="MQJ163" s="125"/>
      <c r="MQK163" s="125"/>
      <c r="MQL163" s="125"/>
      <c r="MQM163" s="125"/>
      <c r="MQN163" s="125"/>
      <c r="MQO163" s="125"/>
      <c r="MQP163" s="125"/>
      <c r="MQQ163" s="125"/>
      <c r="MQR163" s="125"/>
      <c r="MQS163" s="125"/>
      <c r="MQT163" s="125"/>
      <c r="MQU163" s="125"/>
      <c r="MQV163" s="125"/>
      <c r="MQW163" s="125"/>
      <c r="MQX163" s="125"/>
      <c r="MQY163" s="125"/>
      <c r="MQZ163" s="125"/>
      <c r="MRA163" s="125"/>
      <c r="MRB163" s="125"/>
      <c r="MRC163" s="125"/>
      <c r="MRD163" s="125"/>
      <c r="MRE163" s="125"/>
      <c r="MRF163" s="125"/>
      <c r="MRG163" s="125"/>
      <c r="MRH163" s="125"/>
      <c r="MRI163" s="125"/>
      <c r="MRJ163" s="125"/>
      <c r="MRK163" s="125"/>
      <c r="MRL163" s="125"/>
      <c r="MRM163" s="125"/>
      <c r="MRN163" s="125"/>
      <c r="MRO163" s="125"/>
      <c r="MRP163" s="125"/>
      <c r="MRQ163" s="125"/>
      <c r="MRR163" s="125"/>
      <c r="MRS163" s="125"/>
      <c r="MRT163" s="125"/>
      <c r="MRU163" s="125"/>
      <c r="MRV163" s="125"/>
      <c r="MRW163" s="125"/>
      <c r="MRX163" s="125"/>
      <c r="MRY163" s="125"/>
      <c r="MRZ163" s="125"/>
      <c r="MSA163" s="125"/>
      <c r="MSB163" s="125"/>
      <c r="MSC163" s="125"/>
      <c r="MSD163" s="125"/>
      <c r="MSE163" s="125"/>
      <c r="MSF163" s="125"/>
      <c r="MSG163" s="125"/>
      <c r="MSH163" s="125"/>
      <c r="MSI163" s="125"/>
      <c r="MSJ163" s="125"/>
      <c r="MSK163" s="125"/>
      <c r="MSL163" s="125"/>
      <c r="MSM163" s="125"/>
      <c r="MSN163" s="125"/>
      <c r="MSO163" s="125"/>
      <c r="MSP163" s="125"/>
      <c r="MSQ163" s="125"/>
      <c r="MSR163" s="125"/>
      <c r="MSS163" s="125"/>
      <c r="MST163" s="125"/>
      <c r="MSU163" s="125"/>
      <c r="MSV163" s="125"/>
      <c r="MSW163" s="125"/>
      <c r="MSX163" s="125"/>
      <c r="MSY163" s="125"/>
      <c r="MSZ163" s="125"/>
      <c r="MTA163" s="125"/>
      <c r="MTB163" s="125"/>
      <c r="MTC163" s="125"/>
      <c r="MTD163" s="125"/>
      <c r="MTE163" s="125"/>
      <c r="MTF163" s="125"/>
      <c r="MTG163" s="125"/>
      <c r="MTH163" s="125"/>
      <c r="MTI163" s="125"/>
      <c r="MTJ163" s="125"/>
      <c r="MTK163" s="125"/>
      <c r="MTL163" s="125"/>
      <c r="MTM163" s="125"/>
      <c r="MTN163" s="125"/>
      <c r="MTO163" s="125"/>
      <c r="MTP163" s="125"/>
      <c r="MTQ163" s="125"/>
      <c r="MTR163" s="125"/>
      <c r="MTS163" s="125"/>
      <c r="MTT163" s="125"/>
      <c r="MTU163" s="125"/>
      <c r="MTV163" s="125"/>
      <c r="MTW163" s="125"/>
      <c r="MTX163" s="125"/>
      <c r="MTY163" s="125"/>
      <c r="MTZ163" s="125"/>
      <c r="MUA163" s="125"/>
      <c r="MUB163" s="125"/>
      <c r="MUC163" s="125"/>
      <c r="MUD163" s="125"/>
      <c r="MUE163" s="125"/>
      <c r="MUF163" s="125"/>
      <c r="MUG163" s="125"/>
      <c r="MUH163" s="125"/>
      <c r="MUI163" s="125"/>
      <c r="MUJ163" s="125"/>
      <c r="MUK163" s="125"/>
      <c r="MUL163" s="125"/>
      <c r="MUM163" s="125"/>
      <c r="MUN163" s="125"/>
      <c r="MUO163" s="125"/>
      <c r="MUP163" s="125"/>
      <c r="MUQ163" s="125"/>
      <c r="MUR163" s="125"/>
      <c r="MUS163" s="125"/>
      <c r="MUT163" s="125"/>
      <c r="MUU163" s="125"/>
      <c r="MUV163" s="125"/>
      <c r="MUW163" s="125"/>
      <c r="MUX163" s="125"/>
      <c r="MUY163" s="125"/>
      <c r="MUZ163" s="125"/>
      <c r="MVA163" s="125"/>
      <c r="MVB163" s="125"/>
      <c r="MVC163" s="125"/>
      <c r="MVD163" s="125"/>
      <c r="MVE163" s="125"/>
      <c r="MVF163" s="125"/>
      <c r="MVG163" s="125"/>
      <c r="MVH163" s="125"/>
      <c r="MVI163" s="125"/>
      <c r="MVJ163" s="125"/>
      <c r="MVK163" s="125"/>
      <c r="MVL163" s="125"/>
      <c r="MVM163" s="125"/>
      <c r="MVN163" s="125"/>
      <c r="MVO163" s="125"/>
      <c r="MVP163" s="125"/>
      <c r="MVQ163" s="125"/>
      <c r="MVR163" s="125"/>
      <c r="MVS163" s="125"/>
      <c r="MVT163" s="125"/>
      <c r="MVU163" s="125"/>
      <c r="MVV163" s="125"/>
      <c r="MVW163" s="125"/>
      <c r="MVX163" s="125"/>
      <c r="MVY163" s="125"/>
      <c r="MVZ163" s="125"/>
      <c r="MWA163" s="125"/>
      <c r="MWB163" s="125"/>
      <c r="MWC163" s="125"/>
      <c r="MWD163" s="125"/>
      <c r="MWE163" s="125"/>
      <c r="MWF163" s="125"/>
      <c r="MWG163" s="125"/>
      <c r="MWH163" s="125"/>
      <c r="MWI163" s="125"/>
      <c r="MWJ163" s="125"/>
      <c r="MWK163" s="125"/>
      <c r="MWL163" s="125"/>
      <c r="MWM163" s="125"/>
      <c r="MWN163" s="125"/>
      <c r="MWO163" s="125"/>
      <c r="MWP163" s="125"/>
      <c r="MWQ163" s="125"/>
      <c r="MWR163" s="125"/>
      <c r="MWS163" s="125"/>
      <c r="MWT163" s="125"/>
      <c r="MWU163" s="125"/>
      <c r="MWV163" s="125"/>
      <c r="MWW163" s="125"/>
      <c r="MWX163" s="125"/>
      <c r="MWY163" s="125"/>
      <c r="MWZ163" s="125"/>
      <c r="MXA163" s="125"/>
      <c r="MXB163" s="125"/>
      <c r="MXC163" s="125"/>
      <c r="MXD163" s="125"/>
      <c r="MXE163" s="125"/>
      <c r="MXF163" s="125"/>
      <c r="MXG163" s="125"/>
      <c r="MXH163" s="125"/>
      <c r="MXI163" s="125"/>
      <c r="MXJ163" s="125"/>
      <c r="MXK163" s="125"/>
      <c r="MXL163" s="125"/>
      <c r="MXM163" s="125"/>
      <c r="MXN163" s="125"/>
      <c r="MXO163" s="125"/>
      <c r="MXP163" s="125"/>
      <c r="MXQ163" s="125"/>
      <c r="MXR163" s="125"/>
      <c r="MXS163" s="125"/>
      <c r="MXT163" s="125"/>
      <c r="MXU163" s="125"/>
      <c r="MXV163" s="125"/>
      <c r="MXW163" s="125"/>
      <c r="MXX163" s="125"/>
      <c r="MXY163" s="125"/>
      <c r="MXZ163" s="125"/>
      <c r="MYA163" s="125"/>
      <c r="MYB163" s="125"/>
      <c r="MYC163" s="125"/>
      <c r="MYD163" s="125"/>
      <c r="MYE163" s="125"/>
      <c r="MYF163" s="125"/>
      <c r="MYG163" s="125"/>
      <c r="MYH163" s="125"/>
      <c r="MYI163" s="125"/>
      <c r="MYJ163" s="125"/>
      <c r="MYK163" s="125"/>
      <c r="MYL163" s="125"/>
      <c r="MYM163" s="125"/>
      <c r="MYN163" s="125"/>
      <c r="MYO163" s="125"/>
      <c r="MYP163" s="125"/>
      <c r="MYQ163" s="125"/>
      <c r="MYR163" s="125"/>
      <c r="MYS163" s="125"/>
      <c r="MYT163" s="125"/>
      <c r="MYU163" s="125"/>
      <c r="MYV163" s="125"/>
      <c r="MYW163" s="125"/>
      <c r="MYX163" s="125"/>
      <c r="MYY163" s="125"/>
      <c r="MYZ163" s="125"/>
      <c r="MZA163" s="125"/>
      <c r="MZB163" s="125"/>
      <c r="MZC163" s="125"/>
      <c r="MZD163" s="125"/>
      <c r="MZE163" s="125"/>
      <c r="MZF163" s="125"/>
      <c r="MZG163" s="125"/>
      <c r="MZH163" s="125"/>
      <c r="MZI163" s="125"/>
      <c r="MZJ163" s="125"/>
      <c r="MZK163" s="125"/>
      <c r="MZL163" s="125"/>
      <c r="MZM163" s="125"/>
      <c r="MZN163" s="125"/>
      <c r="MZO163" s="125"/>
      <c r="MZP163" s="125"/>
      <c r="MZQ163" s="125"/>
      <c r="MZR163" s="125"/>
      <c r="MZS163" s="125"/>
      <c r="MZT163" s="125"/>
      <c r="MZU163" s="125"/>
      <c r="MZV163" s="125"/>
      <c r="MZW163" s="125"/>
      <c r="MZX163" s="125"/>
      <c r="MZY163" s="125"/>
      <c r="MZZ163" s="125"/>
      <c r="NAA163" s="125"/>
      <c r="NAB163" s="125"/>
      <c r="NAC163" s="125"/>
      <c r="NAD163" s="125"/>
      <c r="NAE163" s="125"/>
      <c r="NAF163" s="125"/>
      <c r="NAG163" s="125"/>
      <c r="NAH163" s="125"/>
      <c r="NAI163" s="125"/>
      <c r="NAJ163" s="125"/>
      <c r="NAK163" s="125"/>
      <c r="NAL163" s="125"/>
      <c r="NAM163" s="125"/>
      <c r="NAN163" s="125"/>
      <c r="NAO163" s="125"/>
      <c r="NAP163" s="125"/>
      <c r="NAQ163" s="125"/>
      <c r="NAR163" s="125"/>
      <c r="NAS163" s="125"/>
      <c r="NAT163" s="125"/>
      <c r="NAU163" s="125"/>
      <c r="NAV163" s="125"/>
      <c r="NAW163" s="125"/>
      <c r="NAX163" s="125"/>
      <c r="NAY163" s="125"/>
      <c r="NAZ163" s="125"/>
      <c r="NBA163" s="125"/>
      <c r="NBB163" s="125"/>
      <c r="NBC163" s="125"/>
      <c r="NBD163" s="125"/>
      <c r="NBE163" s="125"/>
      <c r="NBF163" s="125"/>
      <c r="NBG163" s="125"/>
      <c r="NBH163" s="125"/>
      <c r="NBI163" s="125"/>
      <c r="NBJ163" s="125"/>
      <c r="NBK163" s="125"/>
      <c r="NBL163" s="125"/>
      <c r="NBM163" s="125"/>
      <c r="NBN163" s="125"/>
      <c r="NBO163" s="125"/>
      <c r="NBP163" s="125"/>
      <c r="NBQ163" s="125"/>
      <c r="NBR163" s="125"/>
      <c r="NBS163" s="125"/>
      <c r="NBT163" s="125"/>
      <c r="NBU163" s="125"/>
      <c r="NBV163" s="125"/>
      <c r="NBW163" s="125"/>
      <c r="NBX163" s="125"/>
      <c r="NBY163" s="125"/>
      <c r="NBZ163" s="125"/>
      <c r="NCA163" s="125"/>
      <c r="NCB163" s="125"/>
      <c r="NCC163" s="125"/>
      <c r="NCD163" s="125"/>
      <c r="NCE163" s="125"/>
      <c r="NCF163" s="125"/>
      <c r="NCG163" s="125"/>
      <c r="NCH163" s="125"/>
      <c r="NCI163" s="125"/>
      <c r="NCJ163" s="125"/>
      <c r="NCK163" s="125"/>
      <c r="NCL163" s="125"/>
      <c r="NCM163" s="125"/>
      <c r="NCN163" s="125"/>
      <c r="NCO163" s="125"/>
      <c r="NCP163" s="125"/>
      <c r="NCQ163" s="125"/>
      <c r="NCR163" s="125"/>
      <c r="NCS163" s="125"/>
      <c r="NCT163" s="125"/>
      <c r="NCU163" s="125"/>
      <c r="NCV163" s="125"/>
      <c r="NCW163" s="125"/>
      <c r="NCX163" s="125"/>
      <c r="NCY163" s="125"/>
      <c r="NCZ163" s="125"/>
      <c r="NDA163" s="125"/>
      <c r="NDB163" s="125"/>
      <c r="NDC163" s="125"/>
      <c r="NDD163" s="125"/>
      <c r="NDE163" s="125"/>
      <c r="NDF163" s="125"/>
      <c r="NDG163" s="125"/>
      <c r="NDH163" s="125"/>
      <c r="NDI163" s="125"/>
      <c r="NDJ163" s="125"/>
      <c r="NDK163" s="125"/>
      <c r="NDL163" s="125"/>
      <c r="NDM163" s="125"/>
      <c r="NDN163" s="125"/>
      <c r="NDO163" s="125"/>
      <c r="NDP163" s="125"/>
      <c r="NDQ163" s="125"/>
      <c r="NDR163" s="125"/>
      <c r="NDS163" s="125"/>
      <c r="NDT163" s="125"/>
      <c r="NDU163" s="125"/>
      <c r="NDV163" s="125"/>
      <c r="NDW163" s="125"/>
      <c r="NDX163" s="125"/>
      <c r="NDY163" s="125"/>
      <c r="NDZ163" s="125"/>
      <c r="NEA163" s="125"/>
      <c r="NEB163" s="125"/>
      <c r="NEC163" s="125"/>
      <c r="NED163" s="125"/>
      <c r="NEE163" s="125"/>
      <c r="NEF163" s="125"/>
      <c r="NEG163" s="125"/>
      <c r="NEH163" s="125"/>
      <c r="NEI163" s="125"/>
      <c r="NEJ163" s="125"/>
      <c r="NEK163" s="125"/>
      <c r="NEL163" s="125"/>
      <c r="NEM163" s="125"/>
      <c r="NEN163" s="125"/>
      <c r="NEO163" s="125"/>
      <c r="NEP163" s="125"/>
      <c r="NEQ163" s="125"/>
      <c r="NER163" s="125"/>
      <c r="NES163" s="125"/>
      <c r="NET163" s="125"/>
      <c r="NEU163" s="125"/>
      <c r="NEV163" s="125"/>
      <c r="NEW163" s="125"/>
      <c r="NEX163" s="125"/>
      <c r="NEY163" s="125"/>
      <c r="NEZ163" s="125"/>
      <c r="NFA163" s="125"/>
      <c r="NFB163" s="125"/>
      <c r="NFC163" s="125"/>
      <c r="NFD163" s="125"/>
      <c r="NFE163" s="125"/>
      <c r="NFF163" s="125"/>
      <c r="NFG163" s="125"/>
      <c r="NFH163" s="125"/>
      <c r="NFI163" s="125"/>
      <c r="NFJ163" s="125"/>
      <c r="NFK163" s="125"/>
      <c r="NFL163" s="125"/>
      <c r="NFM163" s="125"/>
      <c r="NFN163" s="125"/>
      <c r="NFO163" s="125"/>
      <c r="NFP163" s="125"/>
      <c r="NFQ163" s="125"/>
      <c r="NFR163" s="125"/>
      <c r="NFS163" s="125"/>
      <c r="NFT163" s="125"/>
      <c r="NFU163" s="125"/>
      <c r="NFV163" s="125"/>
      <c r="NFW163" s="125"/>
      <c r="NFX163" s="125"/>
      <c r="NFY163" s="125"/>
      <c r="NFZ163" s="125"/>
      <c r="NGA163" s="125"/>
      <c r="NGB163" s="125"/>
      <c r="NGC163" s="125"/>
      <c r="NGD163" s="125"/>
      <c r="NGE163" s="125"/>
      <c r="NGF163" s="125"/>
      <c r="NGG163" s="125"/>
      <c r="NGH163" s="125"/>
      <c r="NGI163" s="125"/>
      <c r="NGJ163" s="125"/>
      <c r="NGK163" s="125"/>
      <c r="NGL163" s="125"/>
      <c r="NGM163" s="125"/>
      <c r="NGN163" s="125"/>
      <c r="NGO163" s="125"/>
      <c r="NGP163" s="125"/>
      <c r="NGQ163" s="125"/>
      <c r="NGR163" s="125"/>
      <c r="NGS163" s="125"/>
      <c r="NGT163" s="125"/>
      <c r="NGU163" s="125"/>
      <c r="NGV163" s="125"/>
      <c r="NGW163" s="125"/>
      <c r="NGX163" s="125"/>
      <c r="NGY163" s="125"/>
      <c r="NGZ163" s="125"/>
      <c r="NHA163" s="125"/>
      <c r="NHB163" s="125"/>
      <c r="NHC163" s="125"/>
      <c r="NHD163" s="125"/>
      <c r="NHE163" s="125"/>
      <c r="NHF163" s="125"/>
      <c r="NHG163" s="125"/>
      <c r="NHH163" s="125"/>
      <c r="NHI163" s="125"/>
      <c r="NHJ163" s="125"/>
      <c r="NHK163" s="125"/>
      <c r="NHL163" s="125"/>
      <c r="NHM163" s="125"/>
      <c r="NHN163" s="125"/>
      <c r="NHO163" s="125"/>
      <c r="NHP163" s="125"/>
      <c r="NHQ163" s="125"/>
      <c r="NHR163" s="125"/>
      <c r="NHS163" s="125"/>
      <c r="NHT163" s="125"/>
      <c r="NHU163" s="125"/>
      <c r="NHV163" s="125"/>
      <c r="NHW163" s="125"/>
      <c r="NHX163" s="125"/>
      <c r="NHY163" s="125"/>
      <c r="NHZ163" s="125"/>
      <c r="NIA163" s="125"/>
      <c r="NIB163" s="125"/>
      <c r="NIC163" s="125"/>
      <c r="NID163" s="125"/>
      <c r="NIE163" s="125"/>
      <c r="NIF163" s="125"/>
      <c r="NIG163" s="125"/>
      <c r="NIH163" s="125"/>
      <c r="NII163" s="125"/>
      <c r="NIJ163" s="125"/>
      <c r="NIK163" s="125"/>
      <c r="NIL163" s="125"/>
      <c r="NIM163" s="125"/>
      <c r="NIN163" s="125"/>
      <c r="NIO163" s="125"/>
      <c r="NIP163" s="125"/>
      <c r="NIQ163" s="125"/>
      <c r="NIR163" s="125"/>
      <c r="NIS163" s="125"/>
      <c r="NIT163" s="125"/>
      <c r="NIU163" s="125"/>
      <c r="NIV163" s="125"/>
      <c r="NIW163" s="125"/>
      <c r="NIX163" s="125"/>
      <c r="NIY163" s="125"/>
      <c r="NIZ163" s="125"/>
      <c r="NJA163" s="125"/>
      <c r="NJB163" s="125"/>
      <c r="NJC163" s="125"/>
      <c r="NJD163" s="125"/>
      <c r="NJE163" s="125"/>
      <c r="NJF163" s="125"/>
      <c r="NJG163" s="125"/>
      <c r="NJH163" s="125"/>
      <c r="NJI163" s="125"/>
      <c r="NJJ163" s="125"/>
      <c r="NJK163" s="125"/>
      <c r="NJL163" s="125"/>
      <c r="NJM163" s="125"/>
      <c r="NJN163" s="125"/>
      <c r="NJO163" s="125"/>
      <c r="NJP163" s="125"/>
      <c r="NJQ163" s="125"/>
      <c r="NJR163" s="125"/>
      <c r="NJS163" s="125"/>
      <c r="NJT163" s="125"/>
      <c r="NJU163" s="125"/>
      <c r="NJV163" s="125"/>
      <c r="NJW163" s="125"/>
      <c r="NJX163" s="125"/>
      <c r="NJY163" s="125"/>
      <c r="NJZ163" s="125"/>
      <c r="NKA163" s="125"/>
      <c r="NKB163" s="125"/>
      <c r="NKC163" s="125"/>
      <c r="NKD163" s="125"/>
      <c r="NKE163" s="125"/>
      <c r="NKF163" s="125"/>
      <c r="NKG163" s="125"/>
      <c r="NKH163" s="125"/>
      <c r="NKI163" s="125"/>
      <c r="NKJ163" s="125"/>
      <c r="NKK163" s="125"/>
      <c r="NKL163" s="125"/>
      <c r="NKM163" s="125"/>
      <c r="NKN163" s="125"/>
      <c r="NKO163" s="125"/>
      <c r="NKP163" s="125"/>
      <c r="NKQ163" s="125"/>
      <c r="NKR163" s="125"/>
      <c r="NKS163" s="125"/>
      <c r="NKT163" s="125"/>
      <c r="NKU163" s="125"/>
      <c r="NKV163" s="125"/>
      <c r="NKW163" s="125"/>
      <c r="NKX163" s="125"/>
      <c r="NKY163" s="125"/>
      <c r="NKZ163" s="125"/>
      <c r="NLA163" s="125"/>
      <c r="NLB163" s="125"/>
      <c r="NLC163" s="125"/>
      <c r="NLD163" s="125"/>
      <c r="NLE163" s="125"/>
      <c r="NLF163" s="125"/>
      <c r="NLG163" s="125"/>
      <c r="NLH163" s="125"/>
      <c r="NLI163" s="125"/>
      <c r="NLJ163" s="125"/>
      <c r="NLK163" s="125"/>
      <c r="NLL163" s="125"/>
      <c r="NLM163" s="125"/>
      <c r="NLN163" s="125"/>
      <c r="NLO163" s="125"/>
      <c r="NLP163" s="125"/>
      <c r="NLQ163" s="125"/>
      <c r="NLR163" s="125"/>
      <c r="NLS163" s="125"/>
      <c r="NLT163" s="125"/>
      <c r="NLU163" s="125"/>
      <c r="NLV163" s="125"/>
      <c r="NLW163" s="125"/>
      <c r="NLX163" s="125"/>
      <c r="NLY163" s="125"/>
      <c r="NLZ163" s="125"/>
      <c r="NMA163" s="125"/>
      <c r="NMB163" s="125"/>
      <c r="NMC163" s="125"/>
      <c r="NMD163" s="125"/>
      <c r="NME163" s="125"/>
      <c r="NMF163" s="125"/>
      <c r="NMG163" s="125"/>
      <c r="NMH163" s="125"/>
      <c r="NMI163" s="125"/>
      <c r="NMJ163" s="125"/>
      <c r="NMK163" s="125"/>
      <c r="NML163" s="125"/>
      <c r="NMM163" s="125"/>
      <c r="NMN163" s="125"/>
      <c r="NMO163" s="125"/>
      <c r="NMP163" s="125"/>
      <c r="NMQ163" s="125"/>
      <c r="NMR163" s="125"/>
      <c r="NMS163" s="125"/>
      <c r="NMT163" s="125"/>
      <c r="NMU163" s="125"/>
      <c r="NMV163" s="125"/>
      <c r="NMW163" s="125"/>
      <c r="NMX163" s="125"/>
      <c r="NMY163" s="125"/>
      <c r="NMZ163" s="125"/>
      <c r="NNA163" s="125"/>
      <c r="NNB163" s="125"/>
      <c r="NNC163" s="125"/>
      <c r="NND163" s="125"/>
      <c r="NNE163" s="125"/>
      <c r="NNF163" s="125"/>
      <c r="NNG163" s="125"/>
      <c r="NNH163" s="125"/>
      <c r="NNI163" s="125"/>
      <c r="NNJ163" s="125"/>
      <c r="NNK163" s="125"/>
      <c r="NNL163" s="125"/>
      <c r="NNM163" s="125"/>
      <c r="NNN163" s="125"/>
      <c r="NNO163" s="125"/>
      <c r="NNP163" s="125"/>
      <c r="NNQ163" s="125"/>
      <c r="NNR163" s="125"/>
      <c r="NNS163" s="125"/>
      <c r="NNT163" s="125"/>
      <c r="NNU163" s="125"/>
      <c r="NNV163" s="125"/>
      <c r="NNW163" s="125"/>
      <c r="NNX163" s="125"/>
      <c r="NNY163" s="125"/>
      <c r="NNZ163" s="125"/>
      <c r="NOA163" s="125"/>
      <c r="NOB163" s="125"/>
      <c r="NOC163" s="125"/>
      <c r="NOD163" s="125"/>
      <c r="NOE163" s="125"/>
      <c r="NOF163" s="125"/>
      <c r="NOG163" s="125"/>
      <c r="NOH163" s="125"/>
      <c r="NOI163" s="125"/>
      <c r="NOJ163" s="125"/>
      <c r="NOK163" s="125"/>
      <c r="NOL163" s="125"/>
      <c r="NOM163" s="125"/>
      <c r="NON163" s="125"/>
      <c r="NOO163" s="125"/>
      <c r="NOP163" s="125"/>
      <c r="NOQ163" s="125"/>
      <c r="NOR163" s="125"/>
      <c r="NOS163" s="125"/>
      <c r="NOT163" s="125"/>
      <c r="NOU163" s="125"/>
      <c r="NOV163" s="125"/>
      <c r="NOW163" s="125"/>
      <c r="NOX163" s="125"/>
      <c r="NOY163" s="125"/>
      <c r="NOZ163" s="125"/>
      <c r="NPA163" s="125"/>
      <c r="NPB163" s="125"/>
      <c r="NPC163" s="125"/>
      <c r="NPD163" s="125"/>
      <c r="NPE163" s="125"/>
      <c r="NPF163" s="125"/>
      <c r="NPG163" s="125"/>
      <c r="NPH163" s="125"/>
      <c r="NPI163" s="125"/>
      <c r="NPJ163" s="125"/>
      <c r="NPK163" s="125"/>
      <c r="NPL163" s="125"/>
      <c r="NPM163" s="125"/>
      <c r="NPN163" s="125"/>
      <c r="NPO163" s="125"/>
      <c r="NPP163" s="125"/>
      <c r="NPQ163" s="125"/>
      <c r="NPR163" s="125"/>
      <c r="NPS163" s="125"/>
      <c r="NPT163" s="125"/>
      <c r="NPU163" s="125"/>
      <c r="NPV163" s="125"/>
      <c r="NPW163" s="125"/>
      <c r="NPX163" s="125"/>
      <c r="NPY163" s="125"/>
      <c r="NPZ163" s="125"/>
      <c r="NQA163" s="125"/>
      <c r="NQB163" s="125"/>
      <c r="NQC163" s="125"/>
      <c r="NQD163" s="125"/>
      <c r="NQE163" s="125"/>
      <c r="NQF163" s="125"/>
      <c r="NQG163" s="125"/>
      <c r="NQH163" s="125"/>
      <c r="NQI163" s="125"/>
      <c r="NQJ163" s="125"/>
      <c r="NQK163" s="125"/>
      <c r="NQL163" s="125"/>
      <c r="NQM163" s="125"/>
      <c r="NQN163" s="125"/>
      <c r="NQO163" s="125"/>
      <c r="NQP163" s="125"/>
      <c r="NQQ163" s="125"/>
      <c r="NQR163" s="125"/>
      <c r="NQS163" s="125"/>
      <c r="NQT163" s="125"/>
      <c r="NQU163" s="125"/>
      <c r="NQV163" s="125"/>
      <c r="NQW163" s="125"/>
      <c r="NQX163" s="125"/>
      <c r="NQY163" s="125"/>
      <c r="NQZ163" s="125"/>
      <c r="NRA163" s="125"/>
      <c r="NRB163" s="125"/>
      <c r="NRC163" s="125"/>
      <c r="NRD163" s="125"/>
      <c r="NRE163" s="125"/>
      <c r="NRF163" s="125"/>
      <c r="NRG163" s="125"/>
      <c r="NRH163" s="125"/>
      <c r="NRI163" s="125"/>
      <c r="NRJ163" s="125"/>
      <c r="NRK163" s="125"/>
      <c r="NRL163" s="125"/>
      <c r="NRM163" s="125"/>
      <c r="NRN163" s="125"/>
      <c r="NRO163" s="125"/>
      <c r="NRP163" s="125"/>
      <c r="NRQ163" s="125"/>
      <c r="NRR163" s="125"/>
      <c r="NRS163" s="125"/>
      <c r="NRT163" s="125"/>
      <c r="NRU163" s="125"/>
      <c r="NRV163" s="125"/>
      <c r="NRW163" s="125"/>
      <c r="NRX163" s="125"/>
      <c r="NRY163" s="125"/>
      <c r="NRZ163" s="125"/>
      <c r="NSA163" s="125"/>
      <c r="NSB163" s="125"/>
      <c r="NSC163" s="125"/>
      <c r="NSD163" s="125"/>
      <c r="NSE163" s="125"/>
      <c r="NSF163" s="125"/>
      <c r="NSG163" s="125"/>
      <c r="NSH163" s="125"/>
      <c r="NSI163" s="125"/>
      <c r="NSJ163" s="125"/>
      <c r="NSK163" s="125"/>
      <c r="NSL163" s="125"/>
      <c r="NSM163" s="125"/>
      <c r="NSN163" s="125"/>
      <c r="NSO163" s="125"/>
      <c r="NSP163" s="125"/>
      <c r="NSQ163" s="125"/>
      <c r="NSR163" s="125"/>
      <c r="NSS163" s="125"/>
      <c r="NST163" s="125"/>
      <c r="NSU163" s="125"/>
      <c r="NSV163" s="125"/>
      <c r="NSW163" s="125"/>
      <c r="NSX163" s="125"/>
      <c r="NSY163" s="125"/>
      <c r="NSZ163" s="125"/>
      <c r="NTA163" s="125"/>
      <c r="NTB163" s="125"/>
      <c r="NTC163" s="125"/>
      <c r="NTD163" s="125"/>
      <c r="NTE163" s="125"/>
      <c r="NTF163" s="125"/>
      <c r="NTG163" s="125"/>
      <c r="NTH163" s="125"/>
      <c r="NTI163" s="125"/>
      <c r="NTJ163" s="125"/>
      <c r="NTK163" s="125"/>
      <c r="NTL163" s="125"/>
      <c r="NTM163" s="125"/>
      <c r="NTN163" s="125"/>
      <c r="NTO163" s="125"/>
      <c r="NTP163" s="125"/>
      <c r="NTQ163" s="125"/>
      <c r="NTR163" s="125"/>
      <c r="NTS163" s="125"/>
      <c r="NTT163" s="125"/>
      <c r="NTU163" s="125"/>
      <c r="NTV163" s="125"/>
      <c r="NTW163" s="125"/>
      <c r="NTX163" s="125"/>
      <c r="NTY163" s="125"/>
      <c r="NTZ163" s="125"/>
      <c r="NUA163" s="125"/>
      <c r="NUB163" s="125"/>
      <c r="NUC163" s="125"/>
      <c r="NUD163" s="125"/>
      <c r="NUE163" s="125"/>
      <c r="NUF163" s="125"/>
      <c r="NUG163" s="125"/>
      <c r="NUH163" s="125"/>
      <c r="NUI163" s="125"/>
      <c r="NUJ163" s="125"/>
      <c r="NUK163" s="125"/>
      <c r="NUL163" s="125"/>
      <c r="NUM163" s="125"/>
      <c r="NUN163" s="125"/>
      <c r="NUO163" s="125"/>
      <c r="NUP163" s="125"/>
      <c r="NUQ163" s="125"/>
      <c r="NUR163" s="125"/>
      <c r="NUS163" s="125"/>
      <c r="NUT163" s="125"/>
      <c r="NUU163" s="125"/>
      <c r="NUV163" s="125"/>
      <c r="NUW163" s="125"/>
      <c r="NUX163" s="125"/>
      <c r="NUY163" s="125"/>
      <c r="NUZ163" s="125"/>
      <c r="NVA163" s="125"/>
      <c r="NVB163" s="125"/>
      <c r="NVC163" s="125"/>
      <c r="NVD163" s="125"/>
      <c r="NVE163" s="125"/>
      <c r="NVF163" s="125"/>
      <c r="NVG163" s="125"/>
      <c r="NVH163" s="125"/>
      <c r="NVI163" s="125"/>
      <c r="NVJ163" s="125"/>
      <c r="NVK163" s="125"/>
      <c r="NVL163" s="125"/>
      <c r="NVM163" s="125"/>
      <c r="NVN163" s="125"/>
      <c r="NVO163" s="125"/>
      <c r="NVP163" s="125"/>
      <c r="NVQ163" s="125"/>
      <c r="NVR163" s="125"/>
      <c r="NVS163" s="125"/>
      <c r="NVT163" s="125"/>
      <c r="NVU163" s="125"/>
      <c r="NVV163" s="125"/>
      <c r="NVW163" s="125"/>
      <c r="NVX163" s="125"/>
      <c r="NVY163" s="125"/>
      <c r="NVZ163" s="125"/>
      <c r="NWA163" s="125"/>
      <c r="NWB163" s="125"/>
      <c r="NWC163" s="125"/>
      <c r="NWD163" s="125"/>
      <c r="NWE163" s="125"/>
      <c r="NWF163" s="125"/>
      <c r="NWG163" s="125"/>
      <c r="NWH163" s="125"/>
      <c r="NWI163" s="125"/>
      <c r="NWJ163" s="125"/>
      <c r="NWK163" s="125"/>
      <c r="NWL163" s="125"/>
      <c r="NWM163" s="125"/>
      <c r="NWN163" s="125"/>
      <c r="NWO163" s="125"/>
      <c r="NWP163" s="125"/>
      <c r="NWQ163" s="125"/>
      <c r="NWR163" s="125"/>
      <c r="NWS163" s="125"/>
      <c r="NWT163" s="125"/>
      <c r="NWU163" s="125"/>
      <c r="NWV163" s="125"/>
      <c r="NWW163" s="125"/>
      <c r="NWX163" s="125"/>
      <c r="NWY163" s="125"/>
      <c r="NWZ163" s="125"/>
      <c r="NXA163" s="125"/>
      <c r="NXB163" s="125"/>
      <c r="NXC163" s="125"/>
      <c r="NXD163" s="125"/>
      <c r="NXE163" s="125"/>
      <c r="NXF163" s="125"/>
      <c r="NXG163" s="125"/>
      <c r="NXH163" s="125"/>
      <c r="NXI163" s="125"/>
      <c r="NXJ163" s="125"/>
      <c r="NXK163" s="125"/>
      <c r="NXL163" s="125"/>
      <c r="NXM163" s="125"/>
      <c r="NXN163" s="125"/>
      <c r="NXO163" s="125"/>
      <c r="NXP163" s="125"/>
      <c r="NXQ163" s="125"/>
      <c r="NXR163" s="125"/>
      <c r="NXS163" s="125"/>
      <c r="NXT163" s="125"/>
      <c r="NXU163" s="125"/>
      <c r="NXV163" s="125"/>
      <c r="NXW163" s="125"/>
      <c r="NXX163" s="125"/>
      <c r="NXY163" s="125"/>
      <c r="NXZ163" s="125"/>
      <c r="NYA163" s="125"/>
      <c r="NYB163" s="125"/>
      <c r="NYC163" s="125"/>
      <c r="NYD163" s="125"/>
      <c r="NYE163" s="125"/>
      <c r="NYF163" s="125"/>
      <c r="NYG163" s="125"/>
      <c r="NYH163" s="125"/>
      <c r="NYI163" s="125"/>
      <c r="NYJ163" s="125"/>
      <c r="NYK163" s="125"/>
      <c r="NYL163" s="125"/>
      <c r="NYM163" s="125"/>
      <c r="NYN163" s="125"/>
      <c r="NYO163" s="125"/>
      <c r="NYP163" s="125"/>
      <c r="NYQ163" s="125"/>
      <c r="NYR163" s="125"/>
      <c r="NYS163" s="125"/>
      <c r="NYT163" s="125"/>
      <c r="NYU163" s="125"/>
      <c r="NYV163" s="125"/>
      <c r="NYW163" s="125"/>
      <c r="NYX163" s="125"/>
      <c r="NYY163" s="125"/>
      <c r="NYZ163" s="125"/>
      <c r="NZA163" s="125"/>
      <c r="NZB163" s="125"/>
      <c r="NZC163" s="125"/>
      <c r="NZD163" s="125"/>
      <c r="NZE163" s="125"/>
      <c r="NZF163" s="125"/>
      <c r="NZG163" s="125"/>
      <c r="NZH163" s="125"/>
      <c r="NZI163" s="125"/>
      <c r="NZJ163" s="125"/>
      <c r="NZK163" s="125"/>
      <c r="NZL163" s="125"/>
      <c r="NZM163" s="125"/>
      <c r="NZN163" s="125"/>
      <c r="NZO163" s="125"/>
      <c r="NZP163" s="125"/>
      <c r="NZQ163" s="125"/>
      <c r="NZR163" s="125"/>
      <c r="NZS163" s="125"/>
      <c r="NZT163" s="125"/>
      <c r="NZU163" s="125"/>
      <c r="NZV163" s="125"/>
      <c r="NZW163" s="125"/>
      <c r="NZX163" s="125"/>
      <c r="NZY163" s="125"/>
      <c r="NZZ163" s="125"/>
      <c r="OAA163" s="125"/>
      <c r="OAB163" s="125"/>
      <c r="OAC163" s="125"/>
      <c r="OAD163" s="125"/>
      <c r="OAE163" s="125"/>
      <c r="OAF163" s="125"/>
      <c r="OAG163" s="125"/>
      <c r="OAH163" s="125"/>
      <c r="OAI163" s="125"/>
      <c r="OAJ163" s="125"/>
      <c r="OAK163" s="125"/>
      <c r="OAL163" s="125"/>
      <c r="OAM163" s="125"/>
      <c r="OAN163" s="125"/>
      <c r="OAO163" s="125"/>
      <c r="OAP163" s="125"/>
      <c r="OAQ163" s="125"/>
      <c r="OAR163" s="125"/>
      <c r="OAS163" s="125"/>
      <c r="OAT163" s="125"/>
      <c r="OAU163" s="125"/>
      <c r="OAV163" s="125"/>
      <c r="OAW163" s="125"/>
      <c r="OAX163" s="125"/>
      <c r="OAY163" s="125"/>
      <c r="OAZ163" s="125"/>
      <c r="OBA163" s="125"/>
      <c r="OBB163" s="125"/>
      <c r="OBC163" s="125"/>
      <c r="OBD163" s="125"/>
      <c r="OBE163" s="125"/>
      <c r="OBF163" s="125"/>
      <c r="OBG163" s="125"/>
      <c r="OBH163" s="125"/>
      <c r="OBI163" s="125"/>
      <c r="OBJ163" s="125"/>
      <c r="OBK163" s="125"/>
      <c r="OBL163" s="125"/>
      <c r="OBM163" s="125"/>
      <c r="OBN163" s="125"/>
      <c r="OBO163" s="125"/>
      <c r="OBP163" s="125"/>
      <c r="OBQ163" s="125"/>
      <c r="OBR163" s="125"/>
      <c r="OBS163" s="125"/>
      <c r="OBT163" s="125"/>
      <c r="OBU163" s="125"/>
      <c r="OBV163" s="125"/>
      <c r="OBW163" s="125"/>
      <c r="OBX163" s="125"/>
      <c r="OBY163" s="125"/>
      <c r="OBZ163" s="125"/>
      <c r="OCA163" s="125"/>
      <c r="OCB163" s="125"/>
      <c r="OCC163" s="125"/>
      <c r="OCD163" s="125"/>
      <c r="OCE163" s="125"/>
      <c r="OCF163" s="125"/>
      <c r="OCG163" s="125"/>
      <c r="OCH163" s="125"/>
      <c r="OCI163" s="125"/>
      <c r="OCJ163" s="125"/>
      <c r="OCK163" s="125"/>
      <c r="OCL163" s="125"/>
      <c r="OCM163" s="125"/>
      <c r="OCN163" s="125"/>
      <c r="OCO163" s="125"/>
      <c r="OCP163" s="125"/>
      <c r="OCQ163" s="125"/>
      <c r="OCR163" s="125"/>
      <c r="OCS163" s="125"/>
      <c r="OCT163" s="125"/>
      <c r="OCU163" s="125"/>
      <c r="OCV163" s="125"/>
      <c r="OCW163" s="125"/>
      <c r="OCX163" s="125"/>
      <c r="OCY163" s="125"/>
      <c r="OCZ163" s="125"/>
      <c r="ODA163" s="125"/>
      <c r="ODB163" s="125"/>
      <c r="ODC163" s="125"/>
      <c r="ODD163" s="125"/>
      <c r="ODE163" s="125"/>
      <c r="ODF163" s="125"/>
      <c r="ODG163" s="125"/>
      <c r="ODH163" s="125"/>
      <c r="ODI163" s="125"/>
      <c r="ODJ163" s="125"/>
      <c r="ODK163" s="125"/>
      <c r="ODL163" s="125"/>
      <c r="ODM163" s="125"/>
      <c r="ODN163" s="125"/>
      <c r="ODO163" s="125"/>
      <c r="ODP163" s="125"/>
      <c r="ODQ163" s="125"/>
      <c r="ODR163" s="125"/>
      <c r="ODS163" s="125"/>
      <c r="ODT163" s="125"/>
      <c r="ODU163" s="125"/>
      <c r="ODV163" s="125"/>
      <c r="ODW163" s="125"/>
      <c r="ODX163" s="125"/>
      <c r="ODY163" s="125"/>
      <c r="ODZ163" s="125"/>
      <c r="OEA163" s="125"/>
      <c r="OEB163" s="125"/>
      <c r="OEC163" s="125"/>
      <c r="OED163" s="125"/>
      <c r="OEE163" s="125"/>
      <c r="OEF163" s="125"/>
      <c r="OEG163" s="125"/>
      <c r="OEH163" s="125"/>
      <c r="OEI163" s="125"/>
      <c r="OEJ163" s="125"/>
      <c r="OEK163" s="125"/>
      <c r="OEL163" s="125"/>
      <c r="OEM163" s="125"/>
      <c r="OEN163" s="125"/>
      <c r="OEO163" s="125"/>
      <c r="OEP163" s="125"/>
      <c r="OEQ163" s="125"/>
      <c r="OER163" s="125"/>
      <c r="OES163" s="125"/>
      <c r="OET163" s="125"/>
      <c r="OEU163" s="125"/>
      <c r="OEV163" s="125"/>
      <c r="OEW163" s="125"/>
      <c r="OEX163" s="125"/>
      <c r="OEY163" s="125"/>
      <c r="OEZ163" s="125"/>
      <c r="OFA163" s="125"/>
      <c r="OFB163" s="125"/>
      <c r="OFC163" s="125"/>
      <c r="OFD163" s="125"/>
      <c r="OFE163" s="125"/>
      <c r="OFF163" s="125"/>
      <c r="OFG163" s="125"/>
      <c r="OFH163" s="125"/>
      <c r="OFI163" s="125"/>
      <c r="OFJ163" s="125"/>
      <c r="OFK163" s="125"/>
      <c r="OFL163" s="125"/>
      <c r="OFM163" s="125"/>
      <c r="OFN163" s="125"/>
      <c r="OFO163" s="125"/>
      <c r="OFP163" s="125"/>
      <c r="OFQ163" s="125"/>
      <c r="OFR163" s="125"/>
      <c r="OFS163" s="125"/>
      <c r="OFT163" s="125"/>
      <c r="OFU163" s="125"/>
      <c r="OFV163" s="125"/>
      <c r="OFW163" s="125"/>
      <c r="OFX163" s="125"/>
      <c r="OFY163" s="125"/>
      <c r="OFZ163" s="125"/>
      <c r="OGA163" s="125"/>
      <c r="OGB163" s="125"/>
      <c r="OGC163" s="125"/>
      <c r="OGD163" s="125"/>
      <c r="OGE163" s="125"/>
      <c r="OGF163" s="125"/>
      <c r="OGG163" s="125"/>
      <c r="OGH163" s="125"/>
      <c r="OGI163" s="125"/>
      <c r="OGJ163" s="125"/>
      <c r="OGK163" s="125"/>
      <c r="OGL163" s="125"/>
      <c r="OGM163" s="125"/>
      <c r="OGN163" s="125"/>
      <c r="OGO163" s="125"/>
      <c r="OGP163" s="125"/>
      <c r="OGQ163" s="125"/>
      <c r="OGR163" s="125"/>
      <c r="OGS163" s="125"/>
      <c r="OGT163" s="125"/>
      <c r="OGU163" s="125"/>
      <c r="OGV163" s="125"/>
      <c r="OGW163" s="125"/>
      <c r="OGX163" s="125"/>
      <c r="OGY163" s="125"/>
      <c r="OGZ163" s="125"/>
      <c r="OHA163" s="125"/>
      <c r="OHB163" s="125"/>
      <c r="OHC163" s="125"/>
      <c r="OHD163" s="125"/>
      <c r="OHE163" s="125"/>
      <c r="OHF163" s="125"/>
      <c r="OHG163" s="125"/>
      <c r="OHH163" s="125"/>
      <c r="OHI163" s="125"/>
      <c r="OHJ163" s="125"/>
      <c r="OHK163" s="125"/>
      <c r="OHL163" s="125"/>
      <c r="OHM163" s="125"/>
      <c r="OHN163" s="125"/>
      <c r="OHO163" s="125"/>
      <c r="OHP163" s="125"/>
      <c r="OHQ163" s="125"/>
      <c r="OHR163" s="125"/>
      <c r="OHS163" s="125"/>
      <c r="OHT163" s="125"/>
      <c r="OHU163" s="125"/>
      <c r="OHV163" s="125"/>
      <c r="OHW163" s="125"/>
      <c r="OHX163" s="125"/>
      <c r="OHY163" s="125"/>
      <c r="OHZ163" s="125"/>
      <c r="OIA163" s="125"/>
      <c r="OIB163" s="125"/>
      <c r="OIC163" s="125"/>
      <c r="OID163" s="125"/>
      <c r="OIE163" s="125"/>
      <c r="OIF163" s="125"/>
      <c r="OIG163" s="125"/>
      <c r="OIH163" s="125"/>
      <c r="OII163" s="125"/>
      <c r="OIJ163" s="125"/>
      <c r="OIK163" s="125"/>
      <c r="OIL163" s="125"/>
      <c r="OIM163" s="125"/>
      <c r="OIN163" s="125"/>
      <c r="OIO163" s="125"/>
      <c r="OIP163" s="125"/>
      <c r="OIQ163" s="125"/>
      <c r="OIR163" s="125"/>
      <c r="OIS163" s="125"/>
      <c r="OIT163" s="125"/>
      <c r="OIU163" s="125"/>
      <c r="OIV163" s="125"/>
      <c r="OIW163" s="125"/>
      <c r="OIX163" s="125"/>
      <c r="OIY163" s="125"/>
      <c r="OIZ163" s="125"/>
      <c r="OJA163" s="125"/>
      <c r="OJB163" s="125"/>
      <c r="OJC163" s="125"/>
      <c r="OJD163" s="125"/>
      <c r="OJE163" s="125"/>
      <c r="OJF163" s="125"/>
      <c r="OJG163" s="125"/>
      <c r="OJH163" s="125"/>
      <c r="OJI163" s="125"/>
      <c r="OJJ163" s="125"/>
      <c r="OJK163" s="125"/>
      <c r="OJL163" s="125"/>
      <c r="OJM163" s="125"/>
      <c r="OJN163" s="125"/>
      <c r="OJO163" s="125"/>
      <c r="OJP163" s="125"/>
      <c r="OJQ163" s="125"/>
      <c r="OJR163" s="125"/>
      <c r="OJS163" s="125"/>
      <c r="OJT163" s="125"/>
      <c r="OJU163" s="125"/>
      <c r="OJV163" s="125"/>
      <c r="OJW163" s="125"/>
      <c r="OJX163" s="125"/>
      <c r="OJY163" s="125"/>
      <c r="OJZ163" s="125"/>
      <c r="OKA163" s="125"/>
      <c r="OKB163" s="125"/>
      <c r="OKC163" s="125"/>
      <c r="OKD163" s="125"/>
      <c r="OKE163" s="125"/>
      <c r="OKF163" s="125"/>
      <c r="OKG163" s="125"/>
      <c r="OKH163" s="125"/>
      <c r="OKI163" s="125"/>
      <c r="OKJ163" s="125"/>
      <c r="OKK163" s="125"/>
      <c r="OKL163" s="125"/>
      <c r="OKM163" s="125"/>
      <c r="OKN163" s="125"/>
      <c r="OKO163" s="125"/>
      <c r="OKP163" s="125"/>
      <c r="OKQ163" s="125"/>
      <c r="OKR163" s="125"/>
      <c r="OKS163" s="125"/>
      <c r="OKT163" s="125"/>
      <c r="OKU163" s="125"/>
      <c r="OKV163" s="125"/>
      <c r="OKW163" s="125"/>
      <c r="OKX163" s="125"/>
      <c r="OKY163" s="125"/>
      <c r="OKZ163" s="125"/>
      <c r="OLA163" s="125"/>
      <c r="OLB163" s="125"/>
      <c r="OLC163" s="125"/>
      <c r="OLD163" s="125"/>
      <c r="OLE163" s="125"/>
      <c r="OLF163" s="125"/>
      <c r="OLG163" s="125"/>
      <c r="OLH163" s="125"/>
      <c r="OLI163" s="125"/>
      <c r="OLJ163" s="125"/>
      <c r="OLK163" s="125"/>
      <c r="OLL163" s="125"/>
      <c r="OLM163" s="125"/>
      <c r="OLN163" s="125"/>
      <c r="OLO163" s="125"/>
      <c r="OLP163" s="125"/>
      <c r="OLQ163" s="125"/>
      <c r="OLR163" s="125"/>
      <c r="OLS163" s="125"/>
      <c r="OLT163" s="125"/>
      <c r="OLU163" s="125"/>
      <c r="OLV163" s="125"/>
      <c r="OLW163" s="125"/>
      <c r="OLX163" s="125"/>
      <c r="OLY163" s="125"/>
      <c r="OLZ163" s="125"/>
      <c r="OMA163" s="125"/>
      <c r="OMB163" s="125"/>
      <c r="OMC163" s="125"/>
      <c r="OMD163" s="125"/>
      <c r="OME163" s="125"/>
      <c r="OMF163" s="125"/>
      <c r="OMG163" s="125"/>
      <c r="OMH163" s="125"/>
      <c r="OMI163" s="125"/>
      <c r="OMJ163" s="125"/>
      <c r="OMK163" s="125"/>
      <c r="OML163" s="125"/>
      <c r="OMM163" s="125"/>
      <c r="OMN163" s="125"/>
      <c r="OMO163" s="125"/>
      <c r="OMP163" s="125"/>
      <c r="OMQ163" s="125"/>
      <c r="OMR163" s="125"/>
      <c r="OMS163" s="125"/>
      <c r="OMT163" s="125"/>
      <c r="OMU163" s="125"/>
      <c r="OMV163" s="125"/>
      <c r="OMW163" s="125"/>
      <c r="OMX163" s="125"/>
      <c r="OMY163" s="125"/>
      <c r="OMZ163" s="125"/>
      <c r="ONA163" s="125"/>
      <c r="ONB163" s="125"/>
      <c r="ONC163" s="125"/>
      <c r="OND163" s="125"/>
      <c r="ONE163" s="125"/>
      <c r="ONF163" s="125"/>
      <c r="ONG163" s="125"/>
      <c r="ONH163" s="125"/>
      <c r="ONI163" s="125"/>
      <c r="ONJ163" s="125"/>
      <c r="ONK163" s="125"/>
      <c r="ONL163" s="125"/>
      <c r="ONM163" s="125"/>
      <c r="ONN163" s="125"/>
      <c r="ONO163" s="125"/>
      <c r="ONP163" s="125"/>
      <c r="ONQ163" s="125"/>
      <c r="ONR163" s="125"/>
      <c r="ONS163" s="125"/>
      <c r="ONT163" s="125"/>
      <c r="ONU163" s="125"/>
      <c r="ONV163" s="125"/>
      <c r="ONW163" s="125"/>
      <c r="ONX163" s="125"/>
      <c r="ONY163" s="125"/>
      <c r="ONZ163" s="125"/>
      <c r="OOA163" s="125"/>
      <c r="OOB163" s="125"/>
      <c r="OOC163" s="125"/>
      <c r="OOD163" s="125"/>
      <c r="OOE163" s="125"/>
      <c r="OOF163" s="125"/>
      <c r="OOG163" s="125"/>
      <c r="OOH163" s="125"/>
      <c r="OOI163" s="125"/>
      <c r="OOJ163" s="125"/>
      <c r="OOK163" s="125"/>
      <c r="OOL163" s="125"/>
      <c r="OOM163" s="125"/>
      <c r="OON163" s="125"/>
      <c r="OOO163" s="125"/>
      <c r="OOP163" s="125"/>
      <c r="OOQ163" s="125"/>
      <c r="OOR163" s="125"/>
      <c r="OOS163" s="125"/>
      <c r="OOT163" s="125"/>
      <c r="OOU163" s="125"/>
      <c r="OOV163" s="125"/>
      <c r="OOW163" s="125"/>
      <c r="OOX163" s="125"/>
      <c r="OOY163" s="125"/>
      <c r="OOZ163" s="125"/>
      <c r="OPA163" s="125"/>
      <c r="OPB163" s="125"/>
      <c r="OPC163" s="125"/>
      <c r="OPD163" s="125"/>
      <c r="OPE163" s="125"/>
      <c r="OPF163" s="125"/>
      <c r="OPG163" s="125"/>
      <c r="OPH163" s="125"/>
      <c r="OPI163" s="125"/>
      <c r="OPJ163" s="125"/>
      <c r="OPK163" s="125"/>
      <c r="OPL163" s="125"/>
      <c r="OPM163" s="125"/>
      <c r="OPN163" s="125"/>
      <c r="OPO163" s="125"/>
      <c r="OPP163" s="125"/>
      <c r="OPQ163" s="125"/>
      <c r="OPR163" s="125"/>
      <c r="OPS163" s="125"/>
      <c r="OPT163" s="125"/>
      <c r="OPU163" s="125"/>
      <c r="OPV163" s="125"/>
      <c r="OPW163" s="125"/>
      <c r="OPX163" s="125"/>
      <c r="OPY163" s="125"/>
      <c r="OPZ163" s="125"/>
      <c r="OQA163" s="125"/>
      <c r="OQB163" s="125"/>
      <c r="OQC163" s="125"/>
      <c r="OQD163" s="125"/>
      <c r="OQE163" s="125"/>
      <c r="OQF163" s="125"/>
      <c r="OQG163" s="125"/>
      <c r="OQH163" s="125"/>
      <c r="OQI163" s="125"/>
      <c r="OQJ163" s="125"/>
      <c r="OQK163" s="125"/>
      <c r="OQL163" s="125"/>
      <c r="OQM163" s="125"/>
      <c r="OQN163" s="125"/>
      <c r="OQO163" s="125"/>
      <c r="OQP163" s="125"/>
      <c r="OQQ163" s="125"/>
      <c r="OQR163" s="125"/>
      <c r="OQS163" s="125"/>
      <c r="OQT163" s="125"/>
      <c r="OQU163" s="125"/>
      <c r="OQV163" s="125"/>
      <c r="OQW163" s="125"/>
      <c r="OQX163" s="125"/>
      <c r="OQY163" s="125"/>
      <c r="OQZ163" s="125"/>
      <c r="ORA163" s="125"/>
      <c r="ORB163" s="125"/>
      <c r="ORC163" s="125"/>
      <c r="ORD163" s="125"/>
      <c r="ORE163" s="125"/>
      <c r="ORF163" s="125"/>
      <c r="ORG163" s="125"/>
      <c r="ORH163" s="125"/>
      <c r="ORI163" s="125"/>
      <c r="ORJ163" s="125"/>
      <c r="ORK163" s="125"/>
      <c r="ORL163" s="125"/>
      <c r="ORM163" s="125"/>
      <c r="ORN163" s="125"/>
      <c r="ORO163" s="125"/>
      <c r="ORP163" s="125"/>
      <c r="ORQ163" s="125"/>
      <c r="ORR163" s="125"/>
      <c r="ORS163" s="125"/>
      <c r="ORT163" s="125"/>
      <c r="ORU163" s="125"/>
      <c r="ORV163" s="125"/>
      <c r="ORW163" s="125"/>
      <c r="ORX163" s="125"/>
      <c r="ORY163" s="125"/>
      <c r="ORZ163" s="125"/>
      <c r="OSA163" s="125"/>
      <c r="OSB163" s="125"/>
      <c r="OSC163" s="125"/>
      <c r="OSD163" s="125"/>
      <c r="OSE163" s="125"/>
      <c r="OSF163" s="125"/>
      <c r="OSG163" s="125"/>
      <c r="OSH163" s="125"/>
      <c r="OSI163" s="125"/>
      <c r="OSJ163" s="125"/>
      <c r="OSK163" s="125"/>
      <c r="OSL163" s="125"/>
      <c r="OSM163" s="125"/>
      <c r="OSN163" s="125"/>
      <c r="OSO163" s="125"/>
      <c r="OSP163" s="125"/>
      <c r="OSQ163" s="125"/>
      <c r="OSR163" s="125"/>
      <c r="OSS163" s="125"/>
      <c r="OST163" s="125"/>
      <c r="OSU163" s="125"/>
      <c r="OSV163" s="125"/>
      <c r="OSW163" s="125"/>
      <c r="OSX163" s="125"/>
      <c r="OSY163" s="125"/>
      <c r="OSZ163" s="125"/>
      <c r="OTA163" s="125"/>
      <c r="OTB163" s="125"/>
      <c r="OTC163" s="125"/>
      <c r="OTD163" s="125"/>
      <c r="OTE163" s="125"/>
      <c r="OTF163" s="125"/>
      <c r="OTG163" s="125"/>
      <c r="OTH163" s="125"/>
      <c r="OTI163" s="125"/>
      <c r="OTJ163" s="125"/>
      <c r="OTK163" s="125"/>
      <c r="OTL163" s="125"/>
      <c r="OTM163" s="125"/>
      <c r="OTN163" s="125"/>
      <c r="OTO163" s="125"/>
      <c r="OTP163" s="125"/>
      <c r="OTQ163" s="125"/>
      <c r="OTR163" s="125"/>
      <c r="OTS163" s="125"/>
      <c r="OTT163" s="125"/>
      <c r="OTU163" s="125"/>
      <c r="OTV163" s="125"/>
      <c r="OTW163" s="125"/>
      <c r="OTX163" s="125"/>
      <c r="OTY163" s="125"/>
      <c r="OTZ163" s="125"/>
      <c r="OUA163" s="125"/>
      <c r="OUB163" s="125"/>
      <c r="OUC163" s="125"/>
      <c r="OUD163" s="125"/>
      <c r="OUE163" s="125"/>
      <c r="OUF163" s="125"/>
      <c r="OUG163" s="125"/>
      <c r="OUH163" s="125"/>
      <c r="OUI163" s="125"/>
      <c r="OUJ163" s="125"/>
      <c r="OUK163" s="125"/>
      <c r="OUL163" s="125"/>
      <c r="OUM163" s="125"/>
      <c r="OUN163" s="125"/>
      <c r="OUO163" s="125"/>
      <c r="OUP163" s="125"/>
      <c r="OUQ163" s="125"/>
      <c r="OUR163" s="125"/>
      <c r="OUS163" s="125"/>
      <c r="OUT163" s="125"/>
      <c r="OUU163" s="125"/>
      <c r="OUV163" s="125"/>
      <c r="OUW163" s="125"/>
      <c r="OUX163" s="125"/>
      <c r="OUY163" s="125"/>
      <c r="OUZ163" s="125"/>
      <c r="OVA163" s="125"/>
      <c r="OVB163" s="125"/>
      <c r="OVC163" s="125"/>
      <c r="OVD163" s="125"/>
      <c r="OVE163" s="125"/>
      <c r="OVF163" s="125"/>
      <c r="OVG163" s="125"/>
      <c r="OVH163" s="125"/>
      <c r="OVI163" s="125"/>
      <c r="OVJ163" s="125"/>
      <c r="OVK163" s="125"/>
      <c r="OVL163" s="125"/>
      <c r="OVM163" s="125"/>
      <c r="OVN163" s="125"/>
      <c r="OVO163" s="125"/>
      <c r="OVP163" s="125"/>
      <c r="OVQ163" s="125"/>
      <c r="OVR163" s="125"/>
      <c r="OVS163" s="125"/>
      <c r="OVT163" s="125"/>
      <c r="OVU163" s="125"/>
      <c r="OVV163" s="125"/>
      <c r="OVW163" s="125"/>
      <c r="OVX163" s="125"/>
      <c r="OVY163" s="125"/>
      <c r="OVZ163" s="125"/>
      <c r="OWA163" s="125"/>
      <c r="OWB163" s="125"/>
      <c r="OWC163" s="125"/>
      <c r="OWD163" s="125"/>
      <c r="OWE163" s="125"/>
      <c r="OWF163" s="125"/>
      <c r="OWG163" s="125"/>
      <c r="OWH163" s="125"/>
      <c r="OWI163" s="125"/>
      <c r="OWJ163" s="125"/>
      <c r="OWK163" s="125"/>
      <c r="OWL163" s="125"/>
      <c r="OWM163" s="125"/>
      <c r="OWN163" s="125"/>
      <c r="OWO163" s="125"/>
      <c r="OWP163" s="125"/>
      <c r="OWQ163" s="125"/>
      <c r="OWR163" s="125"/>
      <c r="OWS163" s="125"/>
      <c r="OWT163" s="125"/>
      <c r="OWU163" s="125"/>
      <c r="OWV163" s="125"/>
      <c r="OWW163" s="125"/>
      <c r="OWX163" s="125"/>
      <c r="OWY163" s="125"/>
      <c r="OWZ163" s="125"/>
      <c r="OXA163" s="125"/>
      <c r="OXB163" s="125"/>
      <c r="OXC163" s="125"/>
      <c r="OXD163" s="125"/>
      <c r="OXE163" s="125"/>
      <c r="OXF163" s="125"/>
      <c r="OXG163" s="125"/>
      <c r="OXH163" s="125"/>
      <c r="OXI163" s="125"/>
      <c r="OXJ163" s="125"/>
      <c r="OXK163" s="125"/>
      <c r="OXL163" s="125"/>
      <c r="OXM163" s="125"/>
      <c r="OXN163" s="125"/>
      <c r="OXO163" s="125"/>
      <c r="OXP163" s="125"/>
      <c r="OXQ163" s="125"/>
      <c r="OXR163" s="125"/>
      <c r="OXS163" s="125"/>
      <c r="OXT163" s="125"/>
      <c r="OXU163" s="125"/>
      <c r="OXV163" s="125"/>
      <c r="OXW163" s="125"/>
      <c r="OXX163" s="125"/>
      <c r="OXY163" s="125"/>
      <c r="OXZ163" s="125"/>
      <c r="OYA163" s="125"/>
      <c r="OYB163" s="125"/>
      <c r="OYC163" s="125"/>
      <c r="OYD163" s="125"/>
      <c r="OYE163" s="125"/>
      <c r="OYF163" s="125"/>
      <c r="OYG163" s="125"/>
      <c r="OYH163" s="125"/>
      <c r="OYI163" s="125"/>
      <c r="OYJ163" s="125"/>
      <c r="OYK163" s="125"/>
      <c r="OYL163" s="125"/>
      <c r="OYM163" s="125"/>
      <c r="OYN163" s="125"/>
      <c r="OYO163" s="125"/>
      <c r="OYP163" s="125"/>
      <c r="OYQ163" s="125"/>
      <c r="OYR163" s="125"/>
      <c r="OYS163" s="125"/>
      <c r="OYT163" s="125"/>
      <c r="OYU163" s="125"/>
      <c r="OYV163" s="125"/>
      <c r="OYW163" s="125"/>
      <c r="OYX163" s="125"/>
      <c r="OYY163" s="125"/>
      <c r="OYZ163" s="125"/>
      <c r="OZA163" s="125"/>
      <c r="OZB163" s="125"/>
      <c r="OZC163" s="125"/>
      <c r="OZD163" s="125"/>
      <c r="OZE163" s="125"/>
      <c r="OZF163" s="125"/>
      <c r="OZG163" s="125"/>
      <c r="OZH163" s="125"/>
      <c r="OZI163" s="125"/>
      <c r="OZJ163" s="125"/>
      <c r="OZK163" s="125"/>
      <c r="OZL163" s="125"/>
      <c r="OZM163" s="125"/>
      <c r="OZN163" s="125"/>
      <c r="OZO163" s="125"/>
      <c r="OZP163" s="125"/>
      <c r="OZQ163" s="125"/>
      <c r="OZR163" s="125"/>
      <c r="OZS163" s="125"/>
      <c r="OZT163" s="125"/>
      <c r="OZU163" s="125"/>
      <c r="OZV163" s="125"/>
      <c r="OZW163" s="125"/>
      <c r="OZX163" s="125"/>
      <c r="OZY163" s="125"/>
      <c r="OZZ163" s="125"/>
      <c r="PAA163" s="125"/>
      <c r="PAB163" s="125"/>
      <c r="PAC163" s="125"/>
      <c r="PAD163" s="125"/>
      <c r="PAE163" s="125"/>
      <c r="PAF163" s="125"/>
      <c r="PAG163" s="125"/>
      <c r="PAH163" s="125"/>
      <c r="PAI163" s="125"/>
      <c r="PAJ163" s="125"/>
      <c r="PAK163" s="125"/>
      <c r="PAL163" s="125"/>
      <c r="PAM163" s="125"/>
      <c r="PAN163" s="125"/>
      <c r="PAO163" s="125"/>
      <c r="PAP163" s="125"/>
      <c r="PAQ163" s="125"/>
      <c r="PAR163" s="125"/>
      <c r="PAS163" s="125"/>
      <c r="PAT163" s="125"/>
      <c r="PAU163" s="125"/>
      <c r="PAV163" s="125"/>
      <c r="PAW163" s="125"/>
      <c r="PAX163" s="125"/>
      <c r="PAY163" s="125"/>
      <c r="PAZ163" s="125"/>
      <c r="PBA163" s="125"/>
      <c r="PBB163" s="125"/>
      <c r="PBC163" s="125"/>
      <c r="PBD163" s="125"/>
      <c r="PBE163" s="125"/>
      <c r="PBF163" s="125"/>
      <c r="PBG163" s="125"/>
      <c r="PBH163" s="125"/>
      <c r="PBI163" s="125"/>
      <c r="PBJ163" s="125"/>
      <c r="PBK163" s="125"/>
      <c r="PBL163" s="125"/>
      <c r="PBM163" s="125"/>
      <c r="PBN163" s="125"/>
      <c r="PBO163" s="125"/>
      <c r="PBP163" s="125"/>
      <c r="PBQ163" s="125"/>
      <c r="PBR163" s="125"/>
      <c r="PBS163" s="125"/>
      <c r="PBT163" s="125"/>
      <c r="PBU163" s="125"/>
      <c r="PBV163" s="125"/>
      <c r="PBW163" s="125"/>
      <c r="PBX163" s="125"/>
      <c r="PBY163" s="125"/>
      <c r="PBZ163" s="125"/>
      <c r="PCA163" s="125"/>
      <c r="PCB163" s="125"/>
      <c r="PCC163" s="125"/>
      <c r="PCD163" s="125"/>
      <c r="PCE163" s="125"/>
      <c r="PCF163" s="125"/>
      <c r="PCG163" s="125"/>
      <c r="PCH163" s="125"/>
      <c r="PCI163" s="125"/>
      <c r="PCJ163" s="125"/>
      <c r="PCK163" s="125"/>
      <c r="PCL163" s="125"/>
      <c r="PCM163" s="125"/>
      <c r="PCN163" s="125"/>
      <c r="PCO163" s="125"/>
      <c r="PCP163" s="125"/>
      <c r="PCQ163" s="125"/>
      <c r="PCR163" s="125"/>
      <c r="PCS163" s="125"/>
      <c r="PCT163" s="125"/>
      <c r="PCU163" s="125"/>
      <c r="PCV163" s="125"/>
      <c r="PCW163" s="125"/>
      <c r="PCX163" s="125"/>
      <c r="PCY163" s="125"/>
      <c r="PCZ163" s="125"/>
      <c r="PDA163" s="125"/>
      <c r="PDB163" s="125"/>
      <c r="PDC163" s="125"/>
      <c r="PDD163" s="125"/>
      <c r="PDE163" s="125"/>
      <c r="PDF163" s="125"/>
      <c r="PDG163" s="125"/>
      <c r="PDH163" s="125"/>
      <c r="PDI163" s="125"/>
      <c r="PDJ163" s="125"/>
      <c r="PDK163" s="125"/>
      <c r="PDL163" s="125"/>
      <c r="PDM163" s="125"/>
      <c r="PDN163" s="125"/>
      <c r="PDO163" s="125"/>
      <c r="PDP163" s="125"/>
      <c r="PDQ163" s="125"/>
      <c r="PDR163" s="125"/>
      <c r="PDS163" s="125"/>
      <c r="PDT163" s="125"/>
      <c r="PDU163" s="125"/>
      <c r="PDV163" s="125"/>
      <c r="PDW163" s="125"/>
      <c r="PDX163" s="125"/>
      <c r="PDY163" s="125"/>
      <c r="PDZ163" s="125"/>
      <c r="PEA163" s="125"/>
      <c r="PEB163" s="125"/>
      <c r="PEC163" s="125"/>
      <c r="PED163" s="125"/>
      <c r="PEE163" s="125"/>
      <c r="PEF163" s="125"/>
      <c r="PEG163" s="125"/>
      <c r="PEH163" s="125"/>
      <c r="PEI163" s="125"/>
      <c r="PEJ163" s="125"/>
      <c r="PEK163" s="125"/>
      <c r="PEL163" s="125"/>
      <c r="PEM163" s="125"/>
      <c r="PEN163" s="125"/>
      <c r="PEO163" s="125"/>
      <c r="PEP163" s="125"/>
      <c r="PEQ163" s="125"/>
      <c r="PER163" s="125"/>
      <c r="PES163" s="125"/>
      <c r="PET163" s="125"/>
      <c r="PEU163" s="125"/>
      <c r="PEV163" s="125"/>
      <c r="PEW163" s="125"/>
      <c r="PEX163" s="125"/>
      <c r="PEY163" s="125"/>
      <c r="PEZ163" s="125"/>
      <c r="PFA163" s="125"/>
      <c r="PFB163" s="125"/>
      <c r="PFC163" s="125"/>
      <c r="PFD163" s="125"/>
      <c r="PFE163" s="125"/>
      <c r="PFF163" s="125"/>
      <c r="PFG163" s="125"/>
      <c r="PFH163" s="125"/>
      <c r="PFI163" s="125"/>
      <c r="PFJ163" s="125"/>
      <c r="PFK163" s="125"/>
      <c r="PFL163" s="125"/>
      <c r="PFM163" s="125"/>
      <c r="PFN163" s="125"/>
      <c r="PFO163" s="125"/>
      <c r="PFP163" s="125"/>
      <c r="PFQ163" s="125"/>
      <c r="PFR163" s="125"/>
      <c r="PFS163" s="125"/>
      <c r="PFT163" s="125"/>
      <c r="PFU163" s="125"/>
      <c r="PFV163" s="125"/>
      <c r="PFW163" s="125"/>
      <c r="PFX163" s="125"/>
      <c r="PFY163" s="125"/>
      <c r="PFZ163" s="125"/>
      <c r="PGA163" s="125"/>
      <c r="PGB163" s="125"/>
      <c r="PGC163" s="125"/>
      <c r="PGD163" s="125"/>
      <c r="PGE163" s="125"/>
      <c r="PGF163" s="125"/>
      <c r="PGG163" s="125"/>
      <c r="PGH163" s="125"/>
      <c r="PGI163" s="125"/>
      <c r="PGJ163" s="125"/>
      <c r="PGK163" s="125"/>
      <c r="PGL163" s="125"/>
      <c r="PGM163" s="125"/>
      <c r="PGN163" s="125"/>
      <c r="PGO163" s="125"/>
      <c r="PGP163" s="125"/>
      <c r="PGQ163" s="125"/>
      <c r="PGR163" s="125"/>
      <c r="PGS163" s="125"/>
      <c r="PGT163" s="125"/>
      <c r="PGU163" s="125"/>
      <c r="PGV163" s="125"/>
      <c r="PGW163" s="125"/>
      <c r="PGX163" s="125"/>
      <c r="PGY163" s="125"/>
      <c r="PGZ163" s="125"/>
      <c r="PHA163" s="125"/>
      <c r="PHB163" s="125"/>
      <c r="PHC163" s="125"/>
      <c r="PHD163" s="125"/>
      <c r="PHE163" s="125"/>
      <c r="PHF163" s="125"/>
      <c r="PHG163" s="125"/>
      <c r="PHH163" s="125"/>
      <c r="PHI163" s="125"/>
      <c r="PHJ163" s="125"/>
      <c r="PHK163" s="125"/>
      <c r="PHL163" s="125"/>
      <c r="PHM163" s="125"/>
      <c r="PHN163" s="125"/>
      <c r="PHO163" s="125"/>
      <c r="PHP163" s="125"/>
      <c r="PHQ163" s="125"/>
      <c r="PHR163" s="125"/>
      <c r="PHS163" s="125"/>
      <c r="PHT163" s="125"/>
      <c r="PHU163" s="125"/>
      <c r="PHV163" s="125"/>
      <c r="PHW163" s="125"/>
      <c r="PHX163" s="125"/>
      <c r="PHY163" s="125"/>
      <c r="PHZ163" s="125"/>
      <c r="PIA163" s="125"/>
      <c r="PIB163" s="125"/>
      <c r="PIC163" s="125"/>
      <c r="PID163" s="125"/>
      <c r="PIE163" s="125"/>
      <c r="PIF163" s="125"/>
      <c r="PIG163" s="125"/>
      <c r="PIH163" s="125"/>
      <c r="PII163" s="125"/>
      <c r="PIJ163" s="125"/>
      <c r="PIK163" s="125"/>
      <c r="PIL163" s="125"/>
      <c r="PIM163" s="125"/>
      <c r="PIN163" s="125"/>
      <c r="PIO163" s="125"/>
      <c r="PIP163" s="125"/>
      <c r="PIQ163" s="125"/>
      <c r="PIR163" s="125"/>
      <c r="PIS163" s="125"/>
      <c r="PIT163" s="125"/>
      <c r="PIU163" s="125"/>
      <c r="PIV163" s="125"/>
      <c r="PIW163" s="125"/>
      <c r="PIX163" s="125"/>
      <c r="PIY163" s="125"/>
      <c r="PIZ163" s="125"/>
      <c r="PJA163" s="125"/>
      <c r="PJB163" s="125"/>
      <c r="PJC163" s="125"/>
      <c r="PJD163" s="125"/>
      <c r="PJE163" s="125"/>
      <c r="PJF163" s="125"/>
      <c r="PJG163" s="125"/>
      <c r="PJH163" s="125"/>
      <c r="PJI163" s="125"/>
      <c r="PJJ163" s="125"/>
      <c r="PJK163" s="125"/>
      <c r="PJL163" s="125"/>
      <c r="PJM163" s="125"/>
      <c r="PJN163" s="125"/>
      <c r="PJO163" s="125"/>
      <c r="PJP163" s="125"/>
      <c r="PJQ163" s="125"/>
      <c r="PJR163" s="125"/>
      <c r="PJS163" s="125"/>
      <c r="PJT163" s="125"/>
      <c r="PJU163" s="125"/>
      <c r="PJV163" s="125"/>
      <c r="PJW163" s="125"/>
      <c r="PJX163" s="125"/>
      <c r="PJY163" s="125"/>
      <c r="PJZ163" s="125"/>
      <c r="PKA163" s="125"/>
      <c r="PKB163" s="125"/>
      <c r="PKC163" s="125"/>
      <c r="PKD163" s="125"/>
      <c r="PKE163" s="125"/>
      <c r="PKF163" s="125"/>
      <c r="PKG163" s="125"/>
      <c r="PKH163" s="125"/>
      <c r="PKI163" s="125"/>
      <c r="PKJ163" s="125"/>
      <c r="PKK163" s="125"/>
      <c r="PKL163" s="125"/>
      <c r="PKM163" s="125"/>
      <c r="PKN163" s="125"/>
      <c r="PKO163" s="125"/>
      <c r="PKP163" s="125"/>
      <c r="PKQ163" s="125"/>
      <c r="PKR163" s="125"/>
      <c r="PKS163" s="125"/>
      <c r="PKT163" s="125"/>
      <c r="PKU163" s="125"/>
      <c r="PKV163" s="125"/>
      <c r="PKW163" s="125"/>
      <c r="PKX163" s="125"/>
      <c r="PKY163" s="125"/>
      <c r="PKZ163" s="125"/>
      <c r="PLA163" s="125"/>
      <c r="PLB163" s="125"/>
      <c r="PLC163" s="125"/>
      <c r="PLD163" s="125"/>
      <c r="PLE163" s="125"/>
      <c r="PLF163" s="125"/>
      <c r="PLG163" s="125"/>
      <c r="PLH163" s="125"/>
      <c r="PLI163" s="125"/>
      <c r="PLJ163" s="125"/>
      <c r="PLK163" s="125"/>
      <c r="PLL163" s="125"/>
      <c r="PLM163" s="125"/>
      <c r="PLN163" s="125"/>
      <c r="PLO163" s="125"/>
      <c r="PLP163" s="125"/>
      <c r="PLQ163" s="125"/>
      <c r="PLR163" s="125"/>
      <c r="PLS163" s="125"/>
      <c r="PLT163" s="125"/>
      <c r="PLU163" s="125"/>
      <c r="PLV163" s="125"/>
      <c r="PLW163" s="125"/>
      <c r="PLX163" s="125"/>
      <c r="PLY163" s="125"/>
      <c r="PLZ163" s="125"/>
      <c r="PMA163" s="125"/>
      <c r="PMB163" s="125"/>
      <c r="PMC163" s="125"/>
      <c r="PMD163" s="125"/>
      <c r="PME163" s="125"/>
      <c r="PMF163" s="125"/>
      <c r="PMG163" s="125"/>
      <c r="PMH163" s="125"/>
      <c r="PMI163" s="125"/>
      <c r="PMJ163" s="125"/>
      <c r="PMK163" s="125"/>
      <c r="PML163" s="125"/>
      <c r="PMM163" s="125"/>
      <c r="PMN163" s="125"/>
      <c r="PMO163" s="125"/>
      <c r="PMP163" s="125"/>
      <c r="PMQ163" s="125"/>
      <c r="PMR163" s="125"/>
      <c r="PMS163" s="125"/>
      <c r="PMT163" s="125"/>
      <c r="PMU163" s="125"/>
      <c r="PMV163" s="125"/>
      <c r="PMW163" s="125"/>
      <c r="PMX163" s="125"/>
      <c r="PMY163" s="125"/>
      <c r="PMZ163" s="125"/>
      <c r="PNA163" s="125"/>
      <c r="PNB163" s="125"/>
      <c r="PNC163" s="125"/>
      <c r="PND163" s="125"/>
      <c r="PNE163" s="125"/>
      <c r="PNF163" s="125"/>
      <c r="PNG163" s="125"/>
      <c r="PNH163" s="125"/>
      <c r="PNI163" s="125"/>
      <c r="PNJ163" s="125"/>
      <c r="PNK163" s="125"/>
      <c r="PNL163" s="125"/>
      <c r="PNM163" s="125"/>
      <c r="PNN163" s="125"/>
      <c r="PNO163" s="125"/>
      <c r="PNP163" s="125"/>
      <c r="PNQ163" s="125"/>
      <c r="PNR163" s="125"/>
      <c r="PNS163" s="125"/>
      <c r="PNT163" s="125"/>
      <c r="PNU163" s="125"/>
      <c r="PNV163" s="125"/>
      <c r="PNW163" s="125"/>
      <c r="PNX163" s="125"/>
      <c r="PNY163" s="125"/>
      <c r="PNZ163" s="125"/>
      <c r="POA163" s="125"/>
      <c r="POB163" s="125"/>
      <c r="POC163" s="125"/>
      <c r="POD163" s="125"/>
      <c r="POE163" s="125"/>
      <c r="POF163" s="125"/>
      <c r="POG163" s="125"/>
      <c r="POH163" s="125"/>
      <c r="POI163" s="125"/>
      <c r="POJ163" s="125"/>
      <c r="POK163" s="125"/>
      <c r="POL163" s="125"/>
      <c r="POM163" s="125"/>
      <c r="PON163" s="125"/>
      <c r="POO163" s="125"/>
      <c r="POP163" s="125"/>
      <c r="POQ163" s="125"/>
      <c r="POR163" s="125"/>
      <c r="POS163" s="125"/>
      <c r="POT163" s="125"/>
      <c r="POU163" s="125"/>
      <c r="POV163" s="125"/>
      <c r="POW163" s="125"/>
      <c r="POX163" s="125"/>
      <c r="POY163" s="125"/>
      <c r="POZ163" s="125"/>
      <c r="PPA163" s="125"/>
      <c r="PPB163" s="125"/>
      <c r="PPC163" s="125"/>
      <c r="PPD163" s="125"/>
      <c r="PPE163" s="125"/>
      <c r="PPF163" s="125"/>
      <c r="PPG163" s="125"/>
      <c r="PPH163" s="125"/>
      <c r="PPI163" s="125"/>
      <c r="PPJ163" s="125"/>
      <c r="PPK163" s="125"/>
      <c r="PPL163" s="125"/>
      <c r="PPM163" s="125"/>
      <c r="PPN163" s="125"/>
      <c r="PPO163" s="125"/>
      <c r="PPP163" s="125"/>
      <c r="PPQ163" s="125"/>
      <c r="PPR163" s="125"/>
      <c r="PPS163" s="125"/>
      <c r="PPT163" s="125"/>
      <c r="PPU163" s="125"/>
      <c r="PPV163" s="125"/>
      <c r="PPW163" s="125"/>
      <c r="PPX163" s="125"/>
      <c r="PPY163" s="125"/>
      <c r="PPZ163" s="125"/>
      <c r="PQA163" s="125"/>
      <c r="PQB163" s="125"/>
      <c r="PQC163" s="125"/>
      <c r="PQD163" s="125"/>
      <c r="PQE163" s="125"/>
      <c r="PQF163" s="125"/>
      <c r="PQG163" s="125"/>
      <c r="PQH163" s="125"/>
      <c r="PQI163" s="125"/>
      <c r="PQJ163" s="125"/>
      <c r="PQK163" s="125"/>
      <c r="PQL163" s="125"/>
      <c r="PQM163" s="125"/>
      <c r="PQN163" s="125"/>
      <c r="PQO163" s="125"/>
      <c r="PQP163" s="125"/>
      <c r="PQQ163" s="125"/>
      <c r="PQR163" s="125"/>
      <c r="PQS163" s="125"/>
      <c r="PQT163" s="125"/>
      <c r="PQU163" s="125"/>
      <c r="PQV163" s="125"/>
      <c r="PQW163" s="125"/>
      <c r="PQX163" s="125"/>
      <c r="PQY163" s="125"/>
      <c r="PQZ163" s="125"/>
      <c r="PRA163" s="125"/>
      <c r="PRB163" s="125"/>
      <c r="PRC163" s="125"/>
      <c r="PRD163" s="125"/>
      <c r="PRE163" s="125"/>
      <c r="PRF163" s="125"/>
      <c r="PRG163" s="125"/>
      <c r="PRH163" s="125"/>
      <c r="PRI163" s="125"/>
      <c r="PRJ163" s="125"/>
      <c r="PRK163" s="125"/>
      <c r="PRL163" s="125"/>
      <c r="PRM163" s="125"/>
      <c r="PRN163" s="125"/>
      <c r="PRO163" s="125"/>
      <c r="PRP163" s="125"/>
      <c r="PRQ163" s="125"/>
      <c r="PRR163" s="125"/>
      <c r="PRS163" s="125"/>
      <c r="PRT163" s="125"/>
      <c r="PRU163" s="125"/>
      <c r="PRV163" s="125"/>
      <c r="PRW163" s="125"/>
      <c r="PRX163" s="125"/>
      <c r="PRY163" s="125"/>
      <c r="PRZ163" s="125"/>
      <c r="PSA163" s="125"/>
      <c r="PSB163" s="125"/>
      <c r="PSC163" s="125"/>
      <c r="PSD163" s="125"/>
      <c r="PSE163" s="125"/>
      <c r="PSF163" s="125"/>
      <c r="PSG163" s="125"/>
      <c r="PSH163" s="125"/>
      <c r="PSI163" s="125"/>
      <c r="PSJ163" s="125"/>
      <c r="PSK163" s="125"/>
      <c r="PSL163" s="125"/>
      <c r="PSM163" s="125"/>
      <c r="PSN163" s="125"/>
      <c r="PSO163" s="125"/>
      <c r="PSP163" s="125"/>
      <c r="PSQ163" s="125"/>
      <c r="PSR163" s="125"/>
      <c r="PSS163" s="125"/>
      <c r="PST163" s="125"/>
      <c r="PSU163" s="125"/>
      <c r="PSV163" s="125"/>
      <c r="PSW163" s="125"/>
      <c r="PSX163" s="125"/>
      <c r="PSY163" s="125"/>
      <c r="PSZ163" s="125"/>
      <c r="PTA163" s="125"/>
      <c r="PTB163" s="125"/>
      <c r="PTC163" s="125"/>
      <c r="PTD163" s="125"/>
      <c r="PTE163" s="125"/>
      <c r="PTF163" s="125"/>
      <c r="PTG163" s="125"/>
      <c r="PTH163" s="125"/>
      <c r="PTI163" s="125"/>
      <c r="PTJ163" s="125"/>
      <c r="PTK163" s="125"/>
      <c r="PTL163" s="125"/>
      <c r="PTM163" s="125"/>
      <c r="PTN163" s="125"/>
      <c r="PTO163" s="125"/>
      <c r="PTP163" s="125"/>
      <c r="PTQ163" s="125"/>
      <c r="PTR163" s="125"/>
      <c r="PTS163" s="125"/>
      <c r="PTT163" s="125"/>
      <c r="PTU163" s="125"/>
      <c r="PTV163" s="125"/>
      <c r="PTW163" s="125"/>
      <c r="PTX163" s="125"/>
      <c r="PTY163" s="125"/>
      <c r="PTZ163" s="125"/>
      <c r="PUA163" s="125"/>
      <c r="PUB163" s="125"/>
      <c r="PUC163" s="125"/>
      <c r="PUD163" s="125"/>
      <c r="PUE163" s="125"/>
      <c r="PUF163" s="125"/>
      <c r="PUG163" s="125"/>
      <c r="PUH163" s="125"/>
      <c r="PUI163" s="125"/>
      <c r="PUJ163" s="125"/>
      <c r="PUK163" s="125"/>
      <c r="PUL163" s="125"/>
      <c r="PUM163" s="125"/>
      <c r="PUN163" s="125"/>
      <c r="PUO163" s="125"/>
      <c r="PUP163" s="125"/>
      <c r="PUQ163" s="125"/>
      <c r="PUR163" s="125"/>
      <c r="PUS163" s="125"/>
      <c r="PUT163" s="125"/>
      <c r="PUU163" s="125"/>
      <c r="PUV163" s="125"/>
      <c r="PUW163" s="125"/>
      <c r="PUX163" s="125"/>
      <c r="PUY163" s="125"/>
      <c r="PUZ163" s="125"/>
      <c r="PVA163" s="125"/>
      <c r="PVB163" s="125"/>
      <c r="PVC163" s="125"/>
      <c r="PVD163" s="125"/>
      <c r="PVE163" s="125"/>
      <c r="PVF163" s="125"/>
      <c r="PVG163" s="125"/>
      <c r="PVH163" s="125"/>
      <c r="PVI163" s="125"/>
      <c r="PVJ163" s="125"/>
      <c r="PVK163" s="125"/>
      <c r="PVL163" s="125"/>
      <c r="PVM163" s="125"/>
      <c r="PVN163" s="125"/>
      <c r="PVO163" s="125"/>
      <c r="PVP163" s="125"/>
      <c r="PVQ163" s="125"/>
      <c r="PVR163" s="125"/>
      <c r="PVS163" s="125"/>
      <c r="PVT163" s="125"/>
      <c r="PVU163" s="125"/>
      <c r="PVV163" s="125"/>
      <c r="PVW163" s="125"/>
      <c r="PVX163" s="125"/>
      <c r="PVY163" s="125"/>
      <c r="PVZ163" s="125"/>
      <c r="PWA163" s="125"/>
      <c r="PWB163" s="125"/>
      <c r="PWC163" s="125"/>
      <c r="PWD163" s="125"/>
      <c r="PWE163" s="125"/>
      <c r="PWF163" s="125"/>
      <c r="PWG163" s="125"/>
      <c r="PWH163" s="125"/>
      <c r="PWI163" s="125"/>
      <c r="PWJ163" s="125"/>
      <c r="PWK163" s="125"/>
      <c r="PWL163" s="125"/>
      <c r="PWM163" s="125"/>
      <c r="PWN163" s="125"/>
      <c r="PWO163" s="125"/>
      <c r="PWP163" s="125"/>
      <c r="PWQ163" s="125"/>
      <c r="PWR163" s="125"/>
      <c r="PWS163" s="125"/>
      <c r="PWT163" s="125"/>
      <c r="PWU163" s="125"/>
      <c r="PWV163" s="125"/>
      <c r="PWW163" s="125"/>
      <c r="PWX163" s="125"/>
      <c r="PWY163" s="125"/>
      <c r="PWZ163" s="125"/>
      <c r="PXA163" s="125"/>
      <c r="PXB163" s="125"/>
      <c r="PXC163" s="125"/>
      <c r="PXD163" s="125"/>
      <c r="PXE163" s="125"/>
      <c r="PXF163" s="125"/>
      <c r="PXG163" s="125"/>
      <c r="PXH163" s="125"/>
      <c r="PXI163" s="125"/>
      <c r="PXJ163" s="125"/>
      <c r="PXK163" s="125"/>
      <c r="PXL163" s="125"/>
      <c r="PXM163" s="125"/>
      <c r="PXN163" s="125"/>
      <c r="PXO163" s="125"/>
      <c r="PXP163" s="125"/>
      <c r="PXQ163" s="125"/>
      <c r="PXR163" s="125"/>
      <c r="PXS163" s="125"/>
      <c r="PXT163" s="125"/>
      <c r="PXU163" s="125"/>
      <c r="PXV163" s="125"/>
      <c r="PXW163" s="125"/>
      <c r="PXX163" s="125"/>
      <c r="PXY163" s="125"/>
      <c r="PXZ163" s="125"/>
      <c r="PYA163" s="125"/>
      <c r="PYB163" s="125"/>
      <c r="PYC163" s="125"/>
      <c r="PYD163" s="125"/>
      <c r="PYE163" s="125"/>
      <c r="PYF163" s="125"/>
      <c r="PYG163" s="125"/>
      <c r="PYH163" s="125"/>
      <c r="PYI163" s="125"/>
      <c r="PYJ163" s="125"/>
      <c r="PYK163" s="125"/>
      <c r="PYL163" s="125"/>
      <c r="PYM163" s="125"/>
      <c r="PYN163" s="125"/>
      <c r="PYO163" s="125"/>
      <c r="PYP163" s="125"/>
      <c r="PYQ163" s="125"/>
      <c r="PYR163" s="125"/>
      <c r="PYS163" s="125"/>
      <c r="PYT163" s="125"/>
      <c r="PYU163" s="125"/>
      <c r="PYV163" s="125"/>
      <c r="PYW163" s="125"/>
      <c r="PYX163" s="125"/>
      <c r="PYY163" s="125"/>
      <c r="PYZ163" s="125"/>
      <c r="PZA163" s="125"/>
      <c r="PZB163" s="125"/>
      <c r="PZC163" s="125"/>
      <c r="PZD163" s="125"/>
      <c r="PZE163" s="125"/>
      <c r="PZF163" s="125"/>
      <c r="PZG163" s="125"/>
      <c r="PZH163" s="125"/>
      <c r="PZI163" s="125"/>
      <c r="PZJ163" s="125"/>
      <c r="PZK163" s="125"/>
      <c r="PZL163" s="125"/>
      <c r="PZM163" s="125"/>
      <c r="PZN163" s="125"/>
      <c r="PZO163" s="125"/>
      <c r="PZP163" s="125"/>
      <c r="PZQ163" s="125"/>
      <c r="PZR163" s="125"/>
      <c r="PZS163" s="125"/>
      <c r="PZT163" s="125"/>
      <c r="PZU163" s="125"/>
      <c r="PZV163" s="125"/>
      <c r="PZW163" s="125"/>
      <c r="PZX163" s="125"/>
      <c r="PZY163" s="125"/>
      <c r="PZZ163" s="125"/>
      <c r="QAA163" s="125"/>
      <c r="QAB163" s="125"/>
      <c r="QAC163" s="125"/>
      <c r="QAD163" s="125"/>
      <c r="QAE163" s="125"/>
      <c r="QAF163" s="125"/>
      <c r="QAG163" s="125"/>
      <c r="QAH163" s="125"/>
      <c r="QAI163" s="125"/>
      <c r="QAJ163" s="125"/>
      <c r="QAK163" s="125"/>
      <c r="QAL163" s="125"/>
      <c r="QAM163" s="125"/>
      <c r="QAN163" s="125"/>
      <c r="QAO163" s="125"/>
      <c r="QAP163" s="125"/>
      <c r="QAQ163" s="125"/>
      <c r="QAR163" s="125"/>
      <c r="QAS163" s="125"/>
      <c r="QAT163" s="125"/>
      <c r="QAU163" s="125"/>
      <c r="QAV163" s="125"/>
      <c r="QAW163" s="125"/>
      <c r="QAX163" s="125"/>
      <c r="QAY163" s="125"/>
      <c r="QAZ163" s="125"/>
      <c r="QBA163" s="125"/>
      <c r="QBB163" s="125"/>
      <c r="QBC163" s="125"/>
      <c r="QBD163" s="125"/>
      <c r="QBE163" s="125"/>
      <c r="QBF163" s="125"/>
      <c r="QBG163" s="125"/>
      <c r="QBH163" s="125"/>
      <c r="QBI163" s="125"/>
      <c r="QBJ163" s="125"/>
      <c r="QBK163" s="125"/>
      <c r="QBL163" s="125"/>
      <c r="QBM163" s="125"/>
      <c r="QBN163" s="125"/>
      <c r="QBO163" s="125"/>
      <c r="QBP163" s="125"/>
      <c r="QBQ163" s="125"/>
      <c r="QBR163" s="125"/>
      <c r="QBS163" s="125"/>
      <c r="QBT163" s="125"/>
      <c r="QBU163" s="125"/>
      <c r="QBV163" s="125"/>
      <c r="QBW163" s="125"/>
      <c r="QBX163" s="125"/>
      <c r="QBY163" s="125"/>
      <c r="QBZ163" s="125"/>
      <c r="QCA163" s="125"/>
      <c r="QCB163" s="125"/>
      <c r="QCC163" s="125"/>
      <c r="QCD163" s="125"/>
      <c r="QCE163" s="125"/>
      <c r="QCF163" s="125"/>
      <c r="QCG163" s="125"/>
      <c r="QCH163" s="125"/>
      <c r="QCI163" s="125"/>
      <c r="QCJ163" s="125"/>
      <c r="QCK163" s="125"/>
      <c r="QCL163" s="125"/>
      <c r="QCM163" s="125"/>
      <c r="QCN163" s="125"/>
      <c r="QCO163" s="125"/>
      <c r="QCP163" s="125"/>
      <c r="QCQ163" s="125"/>
      <c r="QCR163" s="125"/>
      <c r="QCS163" s="125"/>
      <c r="QCT163" s="125"/>
      <c r="QCU163" s="125"/>
      <c r="QCV163" s="125"/>
      <c r="QCW163" s="125"/>
      <c r="QCX163" s="125"/>
      <c r="QCY163" s="125"/>
      <c r="QCZ163" s="125"/>
      <c r="QDA163" s="125"/>
      <c r="QDB163" s="125"/>
      <c r="QDC163" s="125"/>
      <c r="QDD163" s="125"/>
      <c r="QDE163" s="125"/>
      <c r="QDF163" s="125"/>
      <c r="QDG163" s="125"/>
      <c r="QDH163" s="125"/>
      <c r="QDI163" s="125"/>
      <c r="QDJ163" s="125"/>
      <c r="QDK163" s="125"/>
      <c r="QDL163" s="125"/>
      <c r="QDM163" s="125"/>
      <c r="QDN163" s="125"/>
      <c r="QDO163" s="125"/>
      <c r="QDP163" s="125"/>
      <c r="QDQ163" s="125"/>
      <c r="QDR163" s="125"/>
      <c r="QDS163" s="125"/>
      <c r="QDT163" s="125"/>
      <c r="QDU163" s="125"/>
      <c r="QDV163" s="125"/>
      <c r="QDW163" s="125"/>
      <c r="QDX163" s="125"/>
      <c r="QDY163" s="125"/>
      <c r="QDZ163" s="125"/>
      <c r="QEA163" s="125"/>
      <c r="QEB163" s="125"/>
      <c r="QEC163" s="125"/>
      <c r="QED163" s="125"/>
      <c r="QEE163" s="125"/>
      <c r="QEF163" s="125"/>
      <c r="QEG163" s="125"/>
      <c r="QEH163" s="125"/>
      <c r="QEI163" s="125"/>
      <c r="QEJ163" s="125"/>
      <c r="QEK163" s="125"/>
      <c r="QEL163" s="125"/>
      <c r="QEM163" s="125"/>
      <c r="QEN163" s="125"/>
      <c r="QEO163" s="125"/>
      <c r="QEP163" s="125"/>
      <c r="QEQ163" s="125"/>
      <c r="QER163" s="125"/>
      <c r="QES163" s="125"/>
      <c r="QET163" s="125"/>
      <c r="QEU163" s="125"/>
      <c r="QEV163" s="125"/>
      <c r="QEW163" s="125"/>
      <c r="QEX163" s="125"/>
      <c r="QEY163" s="125"/>
      <c r="QEZ163" s="125"/>
      <c r="QFA163" s="125"/>
      <c r="QFB163" s="125"/>
      <c r="QFC163" s="125"/>
      <c r="QFD163" s="125"/>
      <c r="QFE163" s="125"/>
      <c r="QFF163" s="125"/>
      <c r="QFG163" s="125"/>
      <c r="QFH163" s="125"/>
      <c r="QFI163" s="125"/>
      <c r="QFJ163" s="125"/>
      <c r="QFK163" s="125"/>
      <c r="QFL163" s="125"/>
      <c r="QFM163" s="125"/>
      <c r="QFN163" s="125"/>
      <c r="QFO163" s="125"/>
      <c r="QFP163" s="125"/>
      <c r="QFQ163" s="125"/>
      <c r="QFR163" s="125"/>
      <c r="QFS163" s="125"/>
      <c r="QFT163" s="125"/>
      <c r="QFU163" s="125"/>
      <c r="QFV163" s="125"/>
      <c r="QFW163" s="125"/>
      <c r="QFX163" s="125"/>
      <c r="QFY163" s="125"/>
      <c r="QFZ163" s="125"/>
      <c r="QGA163" s="125"/>
      <c r="QGB163" s="125"/>
      <c r="QGC163" s="125"/>
      <c r="QGD163" s="125"/>
      <c r="QGE163" s="125"/>
      <c r="QGF163" s="125"/>
      <c r="QGG163" s="125"/>
      <c r="QGH163" s="125"/>
      <c r="QGI163" s="125"/>
      <c r="QGJ163" s="125"/>
      <c r="QGK163" s="125"/>
      <c r="QGL163" s="125"/>
      <c r="QGM163" s="125"/>
      <c r="QGN163" s="125"/>
      <c r="QGO163" s="125"/>
      <c r="QGP163" s="125"/>
      <c r="QGQ163" s="125"/>
      <c r="QGR163" s="125"/>
      <c r="QGS163" s="125"/>
      <c r="QGT163" s="125"/>
      <c r="QGU163" s="125"/>
      <c r="QGV163" s="125"/>
      <c r="QGW163" s="125"/>
      <c r="QGX163" s="125"/>
      <c r="QGY163" s="125"/>
      <c r="QGZ163" s="125"/>
      <c r="QHA163" s="125"/>
      <c r="QHB163" s="125"/>
      <c r="QHC163" s="125"/>
      <c r="QHD163" s="125"/>
      <c r="QHE163" s="125"/>
      <c r="QHF163" s="125"/>
      <c r="QHG163" s="125"/>
      <c r="QHH163" s="125"/>
      <c r="QHI163" s="125"/>
      <c r="QHJ163" s="125"/>
      <c r="QHK163" s="125"/>
      <c r="QHL163" s="125"/>
      <c r="QHM163" s="125"/>
      <c r="QHN163" s="125"/>
      <c r="QHO163" s="125"/>
      <c r="QHP163" s="125"/>
      <c r="QHQ163" s="125"/>
      <c r="QHR163" s="125"/>
      <c r="QHS163" s="125"/>
      <c r="QHT163" s="125"/>
      <c r="QHU163" s="125"/>
      <c r="QHV163" s="125"/>
      <c r="QHW163" s="125"/>
      <c r="QHX163" s="125"/>
      <c r="QHY163" s="125"/>
      <c r="QHZ163" s="125"/>
      <c r="QIA163" s="125"/>
      <c r="QIB163" s="125"/>
      <c r="QIC163" s="125"/>
      <c r="QID163" s="125"/>
      <c r="QIE163" s="125"/>
      <c r="QIF163" s="125"/>
      <c r="QIG163" s="125"/>
      <c r="QIH163" s="125"/>
      <c r="QII163" s="125"/>
      <c r="QIJ163" s="125"/>
      <c r="QIK163" s="125"/>
      <c r="QIL163" s="125"/>
      <c r="QIM163" s="125"/>
      <c r="QIN163" s="125"/>
      <c r="QIO163" s="125"/>
      <c r="QIP163" s="125"/>
      <c r="QIQ163" s="125"/>
      <c r="QIR163" s="125"/>
      <c r="QIS163" s="125"/>
      <c r="QIT163" s="125"/>
      <c r="QIU163" s="125"/>
      <c r="QIV163" s="125"/>
      <c r="QIW163" s="125"/>
      <c r="QIX163" s="125"/>
      <c r="QIY163" s="125"/>
      <c r="QIZ163" s="125"/>
      <c r="QJA163" s="125"/>
      <c r="QJB163" s="125"/>
      <c r="QJC163" s="125"/>
      <c r="QJD163" s="125"/>
      <c r="QJE163" s="125"/>
      <c r="QJF163" s="125"/>
      <c r="QJG163" s="125"/>
      <c r="QJH163" s="125"/>
      <c r="QJI163" s="125"/>
      <c r="QJJ163" s="125"/>
      <c r="QJK163" s="125"/>
      <c r="QJL163" s="125"/>
      <c r="QJM163" s="125"/>
      <c r="QJN163" s="125"/>
      <c r="QJO163" s="125"/>
      <c r="QJP163" s="125"/>
      <c r="QJQ163" s="125"/>
      <c r="QJR163" s="125"/>
      <c r="QJS163" s="125"/>
      <c r="QJT163" s="125"/>
      <c r="QJU163" s="125"/>
      <c r="QJV163" s="125"/>
      <c r="QJW163" s="125"/>
      <c r="QJX163" s="125"/>
      <c r="QJY163" s="125"/>
      <c r="QJZ163" s="125"/>
      <c r="QKA163" s="125"/>
      <c r="QKB163" s="125"/>
      <c r="QKC163" s="125"/>
      <c r="QKD163" s="125"/>
      <c r="QKE163" s="125"/>
      <c r="QKF163" s="125"/>
      <c r="QKG163" s="125"/>
      <c r="QKH163" s="125"/>
      <c r="QKI163" s="125"/>
      <c r="QKJ163" s="125"/>
      <c r="QKK163" s="125"/>
      <c r="QKL163" s="125"/>
      <c r="QKM163" s="125"/>
      <c r="QKN163" s="125"/>
      <c r="QKO163" s="125"/>
      <c r="QKP163" s="125"/>
      <c r="QKQ163" s="125"/>
      <c r="QKR163" s="125"/>
      <c r="QKS163" s="125"/>
      <c r="QKT163" s="125"/>
      <c r="QKU163" s="125"/>
      <c r="QKV163" s="125"/>
      <c r="QKW163" s="125"/>
      <c r="QKX163" s="125"/>
      <c r="QKY163" s="125"/>
      <c r="QKZ163" s="125"/>
      <c r="QLA163" s="125"/>
      <c r="QLB163" s="125"/>
      <c r="QLC163" s="125"/>
      <c r="QLD163" s="125"/>
      <c r="QLE163" s="125"/>
      <c r="QLF163" s="125"/>
      <c r="QLG163" s="125"/>
      <c r="QLH163" s="125"/>
      <c r="QLI163" s="125"/>
      <c r="QLJ163" s="125"/>
      <c r="QLK163" s="125"/>
      <c r="QLL163" s="125"/>
      <c r="QLM163" s="125"/>
      <c r="QLN163" s="125"/>
      <c r="QLO163" s="125"/>
      <c r="QLP163" s="125"/>
      <c r="QLQ163" s="125"/>
      <c r="QLR163" s="125"/>
      <c r="QLS163" s="125"/>
      <c r="QLT163" s="125"/>
      <c r="QLU163" s="125"/>
      <c r="QLV163" s="125"/>
      <c r="QLW163" s="125"/>
      <c r="QLX163" s="125"/>
      <c r="QLY163" s="125"/>
      <c r="QLZ163" s="125"/>
      <c r="QMA163" s="125"/>
      <c r="QMB163" s="125"/>
      <c r="QMC163" s="125"/>
      <c r="QMD163" s="125"/>
      <c r="QME163" s="125"/>
      <c r="QMF163" s="125"/>
      <c r="QMG163" s="125"/>
      <c r="QMH163" s="125"/>
      <c r="QMI163" s="125"/>
      <c r="QMJ163" s="125"/>
      <c r="QMK163" s="125"/>
      <c r="QML163" s="125"/>
      <c r="QMM163" s="125"/>
      <c r="QMN163" s="125"/>
      <c r="QMO163" s="125"/>
      <c r="QMP163" s="125"/>
      <c r="QMQ163" s="125"/>
      <c r="QMR163" s="125"/>
      <c r="QMS163" s="125"/>
      <c r="QMT163" s="125"/>
      <c r="QMU163" s="125"/>
      <c r="QMV163" s="125"/>
      <c r="QMW163" s="125"/>
      <c r="QMX163" s="125"/>
      <c r="QMY163" s="125"/>
      <c r="QMZ163" s="125"/>
      <c r="QNA163" s="125"/>
      <c r="QNB163" s="125"/>
      <c r="QNC163" s="125"/>
      <c r="QND163" s="125"/>
      <c r="QNE163" s="125"/>
      <c r="QNF163" s="125"/>
      <c r="QNG163" s="125"/>
      <c r="QNH163" s="125"/>
      <c r="QNI163" s="125"/>
      <c r="QNJ163" s="125"/>
      <c r="QNK163" s="125"/>
      <c r="QNL163" s="125"/>
      <c r="QNM163" s="125"/>
      <c r="QNN163" s="125"/>
      <c r="QNO163" s="125"/>
      <c r="QNP163" s="125"/>
      <c r="QNQ163" s="125"/>
      <c r="QNR163" s="125"/>
      <c r="QNS163" s="125"/>
      <c r="QNT163" s="125"/>
      <c r="QNU163" s="125"/>
      <c r="QNV163" s="125"/>
      <c r="QNW163" s="125"/>
      <c r="QNX163" s="125"/>
      <c r="QNY163" s="125"/>
      <c r="QNZ163" s="125"/>
      <c r="QOA163" s="125"/>
      <c r="QOB163" s="125"/>
      <c r="QOC163" s="125"/>
      <c r="QOD163" s="125"/>
      <c r="QOE163" s="125"/>
      <c r="QOF163" s="125"/>
      <c r="QOG163" s="125"/>
      <c r="QOH163" s="125"/>
      <c r="QOI163" s="125"/>
      <c r="QOJ163" s="125"/>
      <c r="QOK163" s="125"/>
      <c r="QOL163" s="125"/>
      <c r="QOM163" s="125"/>
      <c r="QON163" s="125"/>
      <c r="QOO163" s="125"/>
      <c r="QOP163" s="125"/>
      <c r="QOQ163" s="125"/>
      <c r="QOR163" s="125"/>
      <c r="QOS163" s="125"/>
      <c r="QOT163" s="125"/>
      <c r="QOU163" s="125"/>
      <c r="QOV163" s="125"/>
      <c r="QOW163" s="125"/>
      <c r="QOX163" s="125"/>
      <c r="QOY163" s="125"/>
      <c r="QOZ163" s="125"/>
      <c r="QPA163" s="125"/>
      <c r="QPB163" s="125"/>
      <c r="QPC163" s="125"/>
      <c r="QPD163" s="125"/>
      <c r="QPE163" s="125"/>
      <c r="QPF163" s="125"/>
      <c r="QPG163" s="125"/>
      <c r="QPH163" s="125"/>
      <c r="QPI163" s="125"/>
      <c r="QPJ163" s="125"/>
      <c r="QPK163" s="125"/>
      <c r="QPL163" s="125"/>
      <c r="QPM163" s="125"/>
      <c r="QPN163" s="125"/>
      <c r="QPO163" s="125"/>
      <c r="QPP163" s="125"/>
      <c r="QPQ163" s="125"/>
      <c r="QPR163" s="125"/>
      <c r="QPS163" s="125"/>
      <c r="QPT163" s="125"/>
      <c r="QPU163" s="125"/>
      <c r="QPV163" s="125"/>
      <c r="QPW163" s="125"/>
      <c r="QPX163" s="125"/>
      <c r="QPY163" s="125"/>
      <c r="QPZ163" s="125"/>
      <c r="QQA163" s="125"/>
      <c r="QQB163" s="125"/>
      <c r="QQC163" s="125"/>
      <c r="QQD163" s="125"/>
      <c r="QQE163" s="125"/>
      <c r="QQF163" s="125"/>
      <c r="QQG163" s="125"/>
      <c r="QQH163" s="125"/>
      <c r="QQI163" s="125"/>
      <c r="QQJ163" s="125"/>
      <c r="QQK163" s="125"/>
      <c r="QQL163" s="125"/>
      <c r="QQM163" s="125"/>
      <c r="QQN163" s="125"/>
      <c r="QQO163" s="125"/>
      <c r="QQP163" s="125"/>
      <c r="QQQ163" s="125"/>
      <c r="QQR163" s="125"/>
      <c r="QQS163" s="125"/>
      <c r="QQT163" s="125"/>
      <c r="QQU163" s="125"/>
      <c r="QQV163" s="125"/>
      <c r="QQW163" s="125"/>
      <c r="QQX163" s="125"/>
      <c r="QQY163" s="125"/>
      <c r="QQZ163" s="125"/>
      <c r="QRA163" s="125"/>
      <c r="QRB163" s="125"/>
      <c r="QRC163" s="125"/>
      <c r="QRD163" s="125"/>
      <c r="QRE163" s="125"/>
      <c r="QRF163" s="125"/>
      <c r="QRG163" s="125"/>
      <c r="QRH163" s="125"/>
      <c r="QRI163" s="125"/>
      <c r="QRJ163" s="125"/>
      <c r="QRK163" s="125"/>
      <c r="QRL163" s="125"/>
      <c r="QRM163" s="125"/>
      <c r="QRN163" s="125"/>
      <c r="QRO163" s="125"/>
      <c r="QRP163" s="125"/>
      <c r="QRQ163" s="125"/>
      <c r="QRR163" s="125"/>
      <c r="QRS163" s="125"/>
      <c r="QRT163" s="125"/>
      <c r="QRU163" s="125"/>
      <c r="QRV163" s="125"/>
      <c r="QRW163" s="125"/>
      <c r="QRX163" s="125"/>
      <c r="QRY163" s="125"/>
      <c r="QRZ163" s="125"/>
      <c r="QSA163" s="125"/>
      <c r="QSB163" s="125"/>
      <c r="QSC163" s="125"/>
      <c r="QSD163" s="125"/>
      <c r="QSE163" s="125"/>
      <c r="QSF163" s="125"/>
      <c r="QSG163" s="125"/>
      <c r="QSH163" s="125"/>
      <c r="QSI163" s="125"/>
      <c r="QSJ163" s="125"/>
      <c r="QSK163" s="125"/>
      <c r="QSL163" s="125"/>
      <c r="QSM163" s="125"/>
      <c r="QSN163" s="125"/>
      <c r="QSO163" s="125"/>
      <c r="QSP163" s="125"/>
      <c r="QSQ163" s="125"/>
      <c r="QSR163" s="125"/>
      <c r="QSS163" s="125"/>
      <c r="QST163" s="125"/>
      <c r="QSU163" s="125"/>
      <c r="QSV163" s="125"/>
      <c r="QSW163" s="125"/>
      <c r="QSX163" s="125"/>
      <c r="QSY163" s="125"/>
      <c r="QSZ163" s="125"/>
      <c r="QTA163" s="125"/>
      <c r="QTB163" s="125"/>
      <c r="QTC163" s="125"/>
      <c r="QTD163" s="125"/>
      <c r="QTE163" s="125"/>
      <c r="QTF163" s="125"/>
      <c r="QTG163" s="125"/>
      <c r="QTH163" s="125"/>
      <c r="QTI163" s="125"/>
      <c r="QTJ163" s="125"/>
      <c r="QTK163" s="125"/>
      <c r="QTL163" s="125"/>
      <c r="QTM163" s="125"/>
      <c r="QTN163" s="125"/>
      <c r="QTO163" s="125"/>
      <c r="QTP163" s="125"/>
      <c r="QTQ163" s="125"/>
      <c r="QTR163" s="125"/>
      <c r="QTS163" s="125"/>
      <c r="QTT163" s="125"/>
      <c r="QTU163" s="125"/>
      <c r="QTV163" s="125"/>
      <c r="QTW163" s="125"/>
      <c r="QTX163" s="125"/>
      <c r="QTY163" s="125"/>
      <c r="QTZ163" s="125"/>
      <c r="QUA163" s="125"/>
      <c r="QUB163" s="125"/>
      <c r="QUC163" s="125"/>
      <c r="QUD163" s="125"/>
      <c r="QUE163" s="125"/>
      <c r="QUF163" s="125"/>
      <c r="QUG163" s="125"/>
      <c r="QUH163" s="125"/>
      <c r="QUI163" s="125"/>
      <c r="QUJ163" s="125"/>
      <c r="QUK163" s="125"/>
      <c r="QUL163" s="125"/>
      <c r="QUM163" s="125"/>
      <c r="QUN163" s="125"/>
      <c r="QUO163" s="125"/>
      <c r="QUP163" s="125"/>
      <c r="QUQ163" s="125"/>
      <c r="QUR163" s="125"/>
      <c r="QUS163" s="125"/>
      <c r="QUT163" s="125"/>
      <c r="QUU163" s="125"/>
      <c r="QUV163" s="125"/>
      <c r="QUW163" s="125"/>
      <c r="QUX163" s="125"/>
      <c r="QUY163" s="125"/>
      <c r="QUZ163" s="125"/>
      <c r="QVA163" s="125"/>
      <c r="QVB163" s="125"/>
      <c r="QVC163" s="125"/>
      <c r="QVD163" s="125"/>
      <c r="QVE163" s="125"/>
      <c r="QVF163" s="125"/>
      <c r="QVG163" s="125"/>
      <c r="QVH163" s="125"/>
      <c r="QVI163" s="125"/>
      <c r="QVJ163" s="125"/>
      <c r="QVK163" s="125"/>
      <c r="QVL163" s="125"/>
      <c r="QVM163" s="125"/>
      <c r="QVN163" s="125"/>
      <c r="QVO163" s="125"/>
      <c r="QVP163" s="125"/>
      <c r="QVQ163" s="125"/>
      <c r="QVR163" s="125"/>
      <c r="QVS163" s="125"/>
      <c r="QVT163" s="125"/>
      <c r="QVU163" s="125"/>
      <c r="QVV163" s="125"/>
      <c r="QVW163" s="125"/>
      <c r="QVX163" s="125"/>
      <c r="QVY163" s="125"/>
      <c r="QVZ163" s="125"/>
      <c r="QWA163" s="125"/>
      <c r="QWB163" s="125"/>
      <c r="QWC163" s="125"/>
      <c r="QWD163" s="125"/>
      <c r="QWE163" s="125"/>
      <c r="QWF163" s="125"/>
      <c r="QWG163" s="125"/>
      <c r="QWH163" s="125"/>
      <c r="QWI163" s="125"/>
      <c r="QWJ163" s="125"/>
      <c r="QWK163" s="125"/>
      <c r="QWL163" s="125"/>
      <c r="QWM163" s="125"/>
      <c r="QWN163" s="125"/>
      <c r="QWO163" s="125"/>
      <c r="QWP163" s="125"/>
      <c r="QWQ163" s="125"/>
      <c r="QWR163" s="125"/>
      <c r="QWS163" s="125"/>
      <c r="QWT163" s="125"/>
      <c r="QWU163" s="125"/>
      <c r="QWV163" s="125"/>
      <c r="QWW163" s="125"/>
      <c r="QWX163" s="125"/>
      <c r="QWY163" s="125"/>
      <c r="QWZ163" s="125"/>
      <c r="QXA163" s="125"/>
      <c r="QXB163" s="125"/>
      <c r="QXC163" s="125"/>
      <c r="QXD163" s="125"/>
      <c r="QXE163" s="125"/>
      <c r="QXF163" s="125"/>
      <c r="QXG163" s="125"/>
      <c r="QXH163" s="125"/>
      <c r="QXI163" s="125"/>
      <c r="QXJ163" s="125"/>
      <c r="QXK163" s="125"/>
      <c r="QXL163" s="125"/>
      <c r="QXM163" s="125"/>
      <c r="QXN163" s="125"/>
      <c r="QXO163" s="125"/>
      <c r="QXP163" s="125"/>
      <c r="QXQ163" s="125"/>
      <c r="QXR163" s="125"/>
      <c r="QXS163" s="125"/>
      <c r="QXT163" s="125"/>
      <c r="QXU163" s="125"/>
      <c r="QXV163" s="125"/>
      <c r="QXW163" s="125"/>
      <c r="QXX163" s="125"/>
      <c r="QXY163" s="125"/>
      <c r="QXZ163" s="125"/>
      <c r="QYA163" s="125"/>
      <c r="QYB163" s="125"/>
      <c r="QYC163" s="125"/>
      <c r="QYD163" s="125"/>
      <c r="QYE163" s="125"/>
      <c r="QYF163" s="125"/>
      <c r="QYG163" s="125"/>
      <c r="QYH163" s="125"/>
      <c r="QYI163" s="125"/>
      <c r="QYJ163" s="125"/>
      <c r="QYK163" s="125"/>
      <c r="QYL163" s="125"/>
      <c r="QYM163" s="125"/>
      <c r="QYN163" s="125"/>
      <c r="QYO163" s="125"/>
      <c r="QYP163" s="125"/>
      <c r="QYQ163" s="125"/>
      <c r="QYR163" s="125"/>
      <c r="QYS163" s="125"/>
      <c r="QYT163" s="125"/>
      <c r="QYU163" s="125"/>
      <c r="QYV163" s="125"/>
      <c r="QYW163" s="125"/>
      <c r="QYX163" s="125"/>
      <c r="QYY163" s="125"/>
      <c r="QYZ163" s="125"/>
      <c r="QZA163" s="125"/>
      <c r="QZB163" s="125"/>
      <c r="QZC163" s="125"/>
      <c r="QZD163" s="125"/>
      <c r="QZE163" s="125"/>
      <c r="QZF163" s="125"/>
      <c r="QZG163" s="125"/>
      <c r="QZH163" s="125"/>
      <c r="QZI163" s="125"/>
      <c r="QZJ163" s="125"/>
      <c r="QZK163" s="125"/>
      <c r="QZL163" s="125"/>
      <c r="QZM163" s="125"/>
      <c r="QZN163" s="125"/>
      <c r="QZO163" s="125"/>
      <c r="QZP163" s="125"/>
      <c r="QZQ163" s="125"/>
      <c r="QZR163" s="125"/>
      <c r="QZS163" s="125"/>
      <c r="QZT163" s="125"/>
      <c r="QZU163" s="125"/>
      <c r="QZV163" s="125"/>
      <c r="QZW163" s="125"/>
      <c r="QZX163" s="125"/>
      <c r="QZY163" s="125"/>
      <c r="QZZ163" s="125"/>
      <c r="RAA163" s="125"/>
      <c r="RAB163" s="125"/>
      <c r="RAC163" s="125"/>
      <c r="RAD163" s="125"/>
      <c r="RAE163" s="125"/>
      <c r="RAF163" s="125"/>
      <c r="RAG163" s="125"/>
      <c r="RAH163" s="125"/>
      <c r="RAI163" s="125"/>
      <c r="RAJ163" s="125"/>
      <c r="RAK163" s="125"/>
      <c r="RAL163" s="125"/>
      <c r="RAM163" s="125"/>
      <c r="RAN163" s="125"/>
      <c r="RAO163" s="125"/>
      <c r="RAP163" s="125"/>
      <c r="RAQ163" s="125"/>
      <c r="RAR163" s="125"/>
      <c r="RAS163" s="125"/>
      <c r="RAT163" s="125"/>
      <c r="RAU163" s="125"/>
      <c r="RAV163" s="125"/>
      <c r="RAW163" s="125"/>
      <c r="RAX163" s="125"/>
      <c r="RAY163" s="125"/>
      <c r="RAZ163" s="125"/>
      <c r="RBA163" s="125"/>
      <c r="RBB163" s="125"/>
      <c r="RBC163" s="125"/>
      <c r="RBD163" s="125"/>
      <c r="RBE163" s="125"/>
      <c r="RBF163" s="125"/>
      <c r="RBG163" s="125"/>
      <c r="RBH163" s="125"/>
      <c r="RBI163" s="125"/>
      <c r="RBJ163" s="125"/>
      <c r="RBK163" s="125"/>
      <c r="RBL163" s="125"/>
      <c r="RBM163" s="125"/>
      <c r="RBN163" s="125"/>
      <c r="RBO163" s="125"/>
      <c r="RBP163" s="125"/>
      <c r="RBQ163" s="125"/>
      <c r="RBR163" s="125"/>
      <c r="RBS163" s="125"/>
      <c r="RBT163" s="125"/>
      <c r="RBU163" s="125"/>
      <c r="RBV163" s="125"/>
      <c r="RBW163" s="125"/>
      <c r="RBX163" s="125"/>
      <c r="RBY163" s="125"/>
      <c r="RBZ163" s="125"/>
      <c r="RCA163" s="125"/>
      <c r="RCB163" s="125"/>
      <c r="RCC163" s="125"/>
      <c r="RCD163" s="125"/>
      <c r="RCE163" s="125"/>
      <c r="RCF163" s="125"/>
      <c r="RCG163" s="125"/>
      <c r="RCH163" s="125"/>
      <c r="RCI163" s="125"/>
      <c r="RCJ163" s="125"/>
      <c r="RCK163" s="125"/>
      <c r="RCL163" s="125"/>
      <c r="RCM163" s="125"/>
      <c r="RCN163" s="125"/>
      <c r="RCO163" s="125"/>
      <c r="RCP163" s="125"/>
      <c r="RCQ163" s="125"/>
      <c r="RCR163" s="125"/>
      <c r="RCS163" s="125"/>
      <c r="RCT163" s="125"/>
      <c r="RCU163" s="125"/>
      <c r="RCV163" s="125"/>
      <c r="RCW163" s="125"/>
      <c r="RCX163" s="125"/>
      <c r="RCY163" s="125"/>
      <c r="RCZ163" s="125"/>
      <c r="RDA163" s="125"/>
      <c r="RDB163" s="125"/>
      <c r="RDC163" s="125"/>
      <c r="RDD163" s="125"/>
      <c r="RDE163" s="125"/>
      <c r="RDF163" s="125"/>
      <c r="RDG163" s="125"/>
      <c r="RDH163" s="125"/>
      <c r="RDI163" s="125"/>
      <c r="RDJ163" s="125"/>
      <c r="RDK163" s="125"/>
      <c r="RDL163" s="125"/>
      <c r="RDM163" s="125"/>
      <c r="RDN163" s="125"/>
      <c r="RDO163" s="125"/>
      <c r="RDP163" s="125"/>
      <c r="RDQ163" s="125"/>
      <c r="RDR163" s="125"/>
      <c r="RDS163" s="125"/>
      <c r="RDT163" s="125"/>
      <c r="RDU163" s="125"/>
      <c r="RDV163" s="125"/>
      <c r="RDW163" s="125"/>
      <c r="RDX163" s="125"/>
      <c r="RDY163" s="125"/>
      <c r="RDZ163" s="125"/>
      <c r="REA163" s="125"/>
      <c r="REB163" s="125"/>
      <c r="REC163" s="125"/>
      <c r="RED163" s="125"/>
      <c r="REE163" s="125"/>
      <c r="REF163" s="125"/>
      <c r="REG163" s="125"/>
      <c r="REH163" s="125"/>
      <c r="REI163" s="125"/>
      <c r="REJ163" s="125"/>
      <c r="REK163" s="125"/>
      <c r="REL163" s="125"/>
      <c r="REM163" s="125"/>
      <c r="REN163" s="125"/>
      <c r="REO163" s="125"/>
      <c r="REP163" s="125"/>
      <c r="REQ163" s="125"/>
      <c r="RER163" s="125"/>
      <c r="RES163" s="125"/>
      <c r="RET163" s="125"/>
      <c r="REU163" s="125"/>
      <c r="REV163" s="125"/>
      <c r="REW163" s="125"/>
      <c r="REX163" s="125"/>
      <c r="REY163" s="125"/>
      <c r="REZ163" s="125"/>
      <c r="RFA163" s="125"/>
      <c r="RFB163" s="125"/>
      <c r="RFC163" s="125"/>
      <c r="RFD163" s="125"/>
      <c r="RFE163" s="125"/>
      <c r="RFF163" s="125"/>
      <c r="RFG163" s="125"/>
      <c r="RFH163" s="125"/>
      <c r="RFI163" s="125"/>
      <c r="RFJ163" s="125"/>
      <c r="RFK163" s="125"/>
      <c r="RFL163" s="125"/>
      <c r="RFM163" s="125"/>
      <c r="RFN163" s="125"/>
      <c r="RFO163" s="125"/>
      <c r="RFP163" s="125"/>
      <c r="RFQ163" s="125"/>
      <c r="RFR163" s="125"/>
      <c r="RFS163" s="125"/>
      <c r="RFT163" s="125"/>
      <c r="RFU163" s="125"/>
      <c r="RFV163" s="125"/>
      <c r="RFW163" s="125"/>
      <c r="RFX163" s="125"/>
      <c r="RFY163" s="125"/>
      <c r="RFZ163" s="125"/>
      <c r="RGA163" s="125"/>
      <c r="RGB163" s="125"/>
      <c r="RGC163" s="125"/>
      <c r="RGD163" s="125"/>
      <c r="RGE163" s="125"/>
      <c r="RGF163" s="125"/>
      <c r="RGG163" s="125"/>
      <c r="RGH163" s="125"/>
      <c r="RGI163" s="125"/>
      <c r="RGJ163" s="125"/>
      <c r="RGK163" s="125"/>
      <c r="RGL163" s="125"/>
      <c r="RGM163" s="125"/>
      <c r="RGN163" s="125"/>
      <c r="RGO163" s="125"/>
      <c r="RGP163" s="125"/>
      <c r="RGQ163" s="125"/>
      <c r="RGR163" s="125"/>
      <c r="RGS163" s="125"/>
      <c r="RGT163" s="125"/>
      <c r="RGU163" s="125"/>
      <c r="RGV163" s="125"/>
      <c r="RGW163" s="125"/>
      <c r="RGX163" s="125"/>
      <c r="RGY163" s="125"/>
      <c r="RGZ163" s="125"/>
      <c r="RHA163" s="125"/>
      <c r="RHB163" s="125"/>
      <c r="RHC163" s="125"/>
      <c r="RHD163" s="125"/>
      <c r="RHE163" s="125"/>
      <c r="RHF163" s="125"/>
      <c r="RHG163" s="125"/>
      <c r="RHH163" s="125"/>
      <c r="RHI163" s="125"/>
      <c r="RHJ163" s="125"/>
      <c r="RHK163" s="125"/>
      <c r="RHL163" s="125"/>
      <c r="RHM163" s="125"/>
      <c r="RHN163" s="125"/>
      <c r="RHO163" s="125"/>
      <c r="RHP163" s="125"/>
      <c r="RHQ163" s="125"/>
      <c r="RHR163" s="125"/>
      <c r="RHS163" s="125"/>
      <c r="RHT163" s="125"/>
      <c r="RHU163" s="125"/>
      <c r="RHV163" s="125"/>
      <c r="RHW163" s="125"/>
      <c r="RHX163" s="125"/>
      <c r="RHY163" s="125"/>
      <c r="RHZ163" s="125"/>
      <c r="RIA163" s="125"/>
      <c r="RIB163" s="125"/>
      <c r="RIC163" s="125"/>
      <c r="RID163" s="125"/>
      <c r="RIE163" s="125"/>
      <c r="RIF163" s="125"/>
      <c r="RIG163" s="125"/>
      <c r="RIH163" s="125"/>
      <c r="RII163" s="125"/>
      <c r="RIJ163" s="125"/>
      <c r="RIK163" s="125"/>
      <c r="RIL163" s="125"/>
      <c r="RIM163" s="125"/>
      <c r="RIN163" s="125"/>
      <c r="RIO163" s="125"/>
      <c r="RIP163" s="125"/>
      <c r="RIQ163" s="125"/>
      <c r="RIR163" s="125"/>
      <c r="RIS163" s="125"/>
      <c r="RIT163" s="125"/>
      <c r="RIU163" s="125"/>
      <c r="RIV163" s="125"/>
      <c r="RIW163" s="125"/>
      <c r="RIX163" s="125"/>
      <c r="RIY163" s="125"/>
      <c r="RIZ163" s="125"/>
      <c r="RJA163" s="125"/>
      <c r="RJB163" s="125"/>
      <c r="RJC163" s="125"/>
      <c r="RJD163" s="125"/>
      <c r="RJE163" s="125"/>
      <c r="RJF163" s="125"/>
      <c r="RJG163" s="125"/>
      <c r="RJH163" s="125"/>
      <c r="RJI163" s="125"/>
      <c r="RJJ163" s="125"/>
      <c r="RJK163" s="125"/>
      <c r="RJL163" s="125"/>
      <c r="RJM163" s="125"/>
      <c r="RJN163" s="125"/>
      <c r="RJO163" s="125"/>
      <c r="RJP163" s="125"/>
      <c r="RJQ163" s="125"/>
      <c r="RJR163" s="125"/>
      <c r="RJS163" s="125"/>
      <c r="RJT163" s="125"/>
      <c r="RJU163" s="125"/>
      <c r="RJV163" s="125"/>
      <c r="RJW163" s="125"/>
      <c r="RJX163" s="125"/>
      <c r="RJY163" s="125"/>
      <c r="RJZ163" s="125"/>
      <c r="RKA163" s="125"/>
      <c r="RKB163" s="125"/>
      <c r="RKC163" s="125"/>
      <c r="RKD163" s="125"/>
      <c r="RKE163" s="125"/>
      <c r="RKF163" s="125"/>
      <c r="RKG163" s="125"/>
      <c r="RKH163" s="125"/>
      <c r="RKI163" s="125"/>
      <c r="RKJ163" s="125"/>
      <c r="RKK163" s="125"/>
      <c r="RKL163" s="125"/>
      <c r="RKM163" s="125"/>
      <c r="RKN163" s="125"/>
      <c r="RKO163" s="125"/>
      <c r="RKP163" s="125"/>
      <c r="RKQ163" s="125"/>
      <c r="RKR163" s="125"/>
      <c r="RKS163" s="125"/>
      <c r="RKT163" s="125"/>
      <c r="RKU163" s="125"/>
      <c r="RKV163" s="125"/>
      <c r="RKW163" s="125"/>
      <c r="RKX163" s="125"/>
      <c r="RKY163" s="125"/>
      <c r="RKZ163" s="125"/>
      <c r="RLA163" s="125"/>
      <c r="RLB163" s="125"/>
      <c r="RLC163" s="125"/>
      <c r="RLD163" s="125"/>
      <c r="RLE163" s="125"/>
      <c r="RLF163" s="125"/>
      <c r="RLG163" s="125"/>
      <c r="RLH163" s="125"/>
      <c r="RLI163" s="125"/>
      <c r="RLJ163" s="125"/>
      <c r="RLK163" s="125"/>
      <c r="RLL163" s="125"/>
      <c r="RLM163" s="125"/>
      <c r="RLN163" s="125"/>
      <c r="RLO163" s="125"/>
      <c r="RLP163" s="125"/>
      <c r="RLQ163" s="125"/>
      <c r="RLR163" s="125"/>
      <c r="RLS163" s="125"/>
      <c r="RLT163" s="125"/>
      <c r="RLU163" s="125"/>
      <c r="RLV163" s="125"/>
      <c r="RLW163" s="125"/>
      <c r="RLX163" s="125"/>
      <c r="RLY163" s="125"/>
      <c r="RLZ163" s="125"/>
      <c r="RMA163" s="125"/>
      <c r="RMB163" s="125"/>
      <c r="RMC163" s="125"/>
      <c r="RMD163" s="125"/>
      <c r="RME163" s="125"/>
      <c r="RMF163" s="125"/>
      <c r="RMG163" s="125"/>
      <c r="RMH163" s="125"/>
      <c r="RMI163" s="125"/>
      <c r="RMJ163" s="125"/>
      <c r="RMK163" s="125"/>
      <c r="RML163" s="125"/>
      <c r="RMM163" s="125"/>
      <c r="RMN163" s="125"/>
      <c r="RMO163" s="125"/>
      <c r="RMP163" s="125"/>
      <c r="RMQ163" s="125"/>
      <c r="RMR163" s="125"/>
      <c r="RMS163" s="125"/>
      <c r="RMT163" s="125"/>
      <c r="RMU163" s="125"/>
      <c r="RMV163" s="125"/>
      <c r="RMW163" s="125"/>
      <c r="RMX163" s="125"/>
      <c r="RMY163" s="125"/>
      <c r="RMZ163" s="125"/>
      <c r="RNA163" s="125"/>
      <c r="RNB163" s="125"/>
      <c r="RNC163" s="125"/>
      <c r="RND163" s="125"/>
      <c r="RNE163" s="125"/>
      <c r="RNF163" s="125"/>
      <c r="RNG163" s="125"/>
      <c r="RNH163" s="125"/>
      <c r="RNI163" s="125"/>
      <c r="RNJ163" s="125"/>
      <c r="RNK163" s="125"/>
      <c r="RNL163" s="125"/>
      <c r="RNM163" s="125"/>
      <c r="RNN163" s="125"/>
      <c r="RNO163" s="125"/>
      <c r="RNP163" s="125"/>
      <c r="RNQ163" s="125"/>
      <c r="RNR163" s="125"/>
      <c r="RNS163" s="125"/>
      <c r="RNT163" s="125"/>
      <c r="RNU163" s="125"/>
      <c r="RNV163" s="125"/>
      <c r="RNW163" s="125"/>
      <c r="RNX163" s="125"/>
      <c r="RNY163" s="125"/>
      <c r="RNZ163" s="125"/>
      <c r="ROA163" s="125"/>
      <c r="ROB163" s="125"/>
      <c r="ROC163" s="125"/>
      <c r="ROD163" s="125"/>
      <c r="ROE163" s="125"/>
      <c r="ROF163" s="125"/>
      <c r="ROG163" s="125"/>
      <c r="ROH163" s="125"/>
      <c r="ROI163" s="125"/>
      <c r="ROJ163" s="125"/>
      <c r="ROK163" s="125"/>
      <c r="ROL163" s="125"/>
      <c r="ROM163" s="125"/>
      <c r="RON163" s="125"/>
      <c r="ROO163" s="125"/>
      <c r="ROP163" s="125"/>
      <c r="ROQ163" s="125"/>
      <c r="ROR163" s="125"/>
      <c r="ROS163" s="125"/>
      <c r="ROT163" s="125"/>
      <c r="ROU163" s="125"/>
      <c r="ROV163" s="125"/>
      <c r="ROW163" s="125"/>
      <c r="ROX163" s="125"/>
      <c r="ROY163" s="125"/>
      <c r="ROZ163" s="125"/>
      <c r="RPA163" s="125"/>
      <c r="RPB163" s="125"/>
      <c r="RPC163" s="125"/>
      <c r="RPD163" s="125"/>
      <c r="RPE163" s="125"/>
      <c r="RPF163" s="125"/>
      <c r="RPG163" s="125"/>
      <c r="RPH163" s="125"/>
      <c r="RPI163" s="125"/>
      <c r="RPJ163" s="125"/>
      <c r="RPK163" s="125"/>
      <c r="RPL163" s="125"/>
      <c r="RPM163" s="125"/>
      <c r="RPN163" s="125"/>
      <c r="RPO163" s="125"/>
      <c r="RPP163" s="125"/>
      <c r="RPQ163" s="125"/>
      <c r="RPR163" s="125"/>
      <c r="RPS163" s="125"/>
      <c r="RPT163" s="125"/>
      <c r="RPU163" s="125"/>
      <c r="RPV163" s="125"/>
      <c r="RPW163" s="125"/>
      <c r="RPX163" s="125"/>
      <c r="RPY163" s="125"/>
      <c r="RPZ163" s="125"/>
      <c r="RQA163" s="125"/>
      <c r="RQB163" s="125"/>
      <c r="RQC163" s="125"/>
      <c r="RQD163" s="125"/>
      <c r="RQE163" s="125"/>
      <c r="RQF163" s="125"/>
      <c r="RQG163" s="125"/>
      <c r="RQH163" s="125"/>
      <c r="RQI163" s="125"/>
      <c r="RQJ163" s="125"/>
      <c r="RQK163" s="125"/>
      <c r="RQL163" s="125"/>
      <c r="RQM163" s="125"/>
      <c r="RQN163" s="125"/>
      <c r="RQO163" s="125"/>
      <c r="RQP163" s="125"/>
      <c r="RQQ163" s="125"/>
      <c r="RQR163" s="125"/>
      <c r="RQS163" s="125"/>
      <c r="RQT163" s="125"/>
      <c r="RQU163" s="125"/>
      <c r="RQV163" s="125"/>
      <c r="RQW163" s="125"/>
      <c r="RQX163" s="125"/>
      <c r="RQY163" s="125"/>
      <c r="RQZ163" s="125"/>
      <c r="RRA163" s="125"/>
      <c r="RRB163" s="125"/>
      <c r="RRC163" s="125"/>
      <c r="RRD163" s="125"/>
      <c r="RRE163" s="125"/>
      <c r="RRF163" s="125"/>
      <c r="RRG163" s="125"/>
      <c r="RRH163" s="125"/>
      <c r="RRI163" s="125"/>
      <c r="RRJ163" s="125"/>
      <c r="RRK163" s="125"/>
      <c r="RRL163" s="125"/>
      <c r="RRM163" s="125"/>
      <c r="RRN163" s="125"/>
      <c r="RRO163" s="125"/>
      <c r="RRP163" s="125"/>
      <c r="RRQ163" s="125"/>
      <c r="RRR163" s="125"/>
      <c r="RRS163" s="125"/>
      <c r="RRT163" s="125"/>
      <c r="RRU163" s="125"/>
      <c r="RRV163" s="125"/>
      <c r="RRW163" s="125"/>
      <c r="RRX163" s="125"/>
      <c r="RRY163" s="125"/>
      <c r="RRZ163" s="125"/>
      <c r="RSA163" s="125"/>
      <c r="RSB163" s="125"/>
      <c r="RSC163" s="125"/>
      <c r="RSD163" s="125"/>
      <c r="RSE163" s="125"/>
      <c r="RSF163" s="125"/>
      <c r="RSG163" s="125"/>
      <c r="RSH163" s="125"/>
      <c r="RSI163" s="125"/>
      <c r="RSJ163" s="125"/>
      <c r="RSK163" s="125"/>
      <c r="RSL163" s="125"/>
      <c r="RSM163" s="125"/>
      <c r="RSN163" s="125"/>
      <c r="RSO163" s="125"/>
      <c r="RSP163" s="125"/>
      <c r="RSQ163" s="125"/>
      <c r="RSR163" s="125"/>
      <c r="RSS163" s="125"/>
      <c r="RST163" s="125"/>
      <c r="RSU163" s="125"/>
      <c r="RSV163" s="125"/>
      <c r="RSW163" s="125"/>
      <c r="RSX163" s="125"/>
      <c r="RSY163" s="125"/>
      <c r="RSZ163" s="125"/>
      <c r="RTA163" s="125"/>
      <c r="RTB163" s="125"/>
      <c r="RTC163" s="125"/>
      <c r="RTD163" s="125"/>
      <c r="RTE163" s="125"/>
      <c r="RTF163" s="125"/>
      <c r="RTG163" s="125"/>
      <c r="RTH163" s="125"/>
      <c r="RTI163" s="125"/>
      <c r="RTJ163" s="125"/>
      <c r="RTK163" s="125"/>
      <c r="RTL163" s="125"/>
      <c r="RTM163" s="125"/>
      <c r="RTN163" s="125"/>
      <c r="RTO163" s="125"/>
      <c r="RTP163" s="125"/>
      <c r="RTQ163" s="125"/>
      <c r="RTR163" s="125"/>
      <c r="RTS163" s="125"/>
      <c r="RTT163" s="125"/>
      <c r="RTU163" s="125"/>
      <c r="RTV163" s="125"/>
      <c r="RTW163" s="125"/>
      <c r="RTX163" s="125"/>
      <c r="RTY163" s="125"/>
      <c r="RTZ163" s="125"/>
      <c r="RUA163" s="125"/>
      <c r="RUB163" s="125"/>
      <c r="RUC163" s="125"/>
      <c r="RUD163" s="125"/>
      <c r="RUE163" s="125"/>
      <c r="RUF163" s="125"/>
      <c r="RUG163" s="125"/>
      <c r="RUH163" s="125"/>
      <c r="RUI163" s="125"/>
      <c r="RUJ163" s="125"/>
      <c r="RUK163" s="125"/>
      <c r="RUL163" s="125"/>
      <c r="RUM163" s="125"/>
      <c r="RUN163" s="125"/>
      <c r="RUO163" s="125"/>
      <c r="RUP163" s="125"/>
      <c r="RUQ163" s="125"/>
      <c r="RUR163" s="125"/>
      <c r="RUS163" s="125"/>
      <c r="RUT163" s="125"/>
      <c r="RUU163" s="125"/>
      <c r="RUV163" s="125"/>
      <c r="RUW163" s="125"/>
      <c r="RUX163" s="125"/>
      <c r="RUY163" s="125"/>
      <c r="RUZ163" s="125"/>
      <c r="RVA163" s="125"/>
      <c r="RVB163" s="125"/>
      <c r="RVC163" s="125"/>
      <c r="RVD163" s="125"/>
      <c r="RVE163" s="125"/>
      <c r="RVF163" s="125"/>
      <c r="RVG163" s="125"/>
      <c r="RVH163" s="125"/>
      <c r="RVI163" s="125"/>
      <c r="RVJ163" s="125"/>
      <c r="RVK163" s="125"/>
      <c r="RVL163" s="125"/>
      <c r="RVM163" s="125"/>
      <c r="RVN163" s="125"/>
      <c r="RVO163" s="125"/>
      <c r="RVP163" s="125"/>
      <c r="RVQ163" s="125"/>
      <c r="RVR163" s="125"/>
      <c r="RVS163" s="125"/>
      <c r="RVT163" s="125"/>
      <c r="RVU163" s="125"/>
      <c r="RVV163" s="125"/>
      <c r="RVW163" s="125"/>
      <c r="RVX163" s="125"/>
      <c r="RVY163" s="125"/>
      <c r="RVZ163" s="125"/>
      <c r="RWA163" s="125"/>
      <c r="RWB163" s="125"/>
      <c r="RWC163" s="125"/>
      <c r="RWD163" s="125"/>
      <c r="RWE163" s="125"/>
      <c r="RWF163" s="125"/>
      <c r="RWG163" s="125"/>
      <c r="RWH163" s="125"/>
      <c r="RWI163" s="125"/>
      <c r="RWJ163" s="125"/>
      <c r="RWK163" s="125"/>
      <c r="RWL163" s="125"/>
      <c r="RWM163" s="125"/>
      <c r="RWN163" s="125"/>
      <c r="RWO163" s="125"/>
      <c r="RWP163" s="125"/>
      <c r="RWQ163" s="125"/>
      <c r="RWR163" s="125"/>
      <c r="RWS163" s="125"/>
      <c r="RWT163" s="125"/>
      <c r="RWU163" s="125"/>
      <c r="RWV163" s="125"/>
      <c r="RWW163" s="125"/>
      <c r="RWX163" s="125"/>
      <c r="RWY163" s="125"/>
      <c r="RWZ163" s="125"/>
      <c r="RXA163" s="125"/>
      <c r="RXB163" s="125"/>
      <c r="RXC163" s="125"/>
      <c r="RXD163" s="125"/>
      <c r="RXE163" s="125"/>
      <c r="RXF163" s="125"/>
      <c r="RXG163" s="125"/>
      <c r="RXH163" s="125"/>
      <c r="RXI163" s="125"/>
      <c r="RXJ163" s="125"/>
      <c r="RXK163" s="125"/>
      <c r="RXL163" s="125"/>
      <c r="RXM163" s="125"/>
      <c r="RXN163" s="125"/>
      <c r="RXO163" s="125"/>
      <c r="RXP163" s="125"/>
      <c r="RXQ163" s="125"/>
      <c r="RXR163" s="125"/>
      <c r="RXS163" s="125"/>
      <c r="RXT163" s="125"/>
      <c r="RXU163" s="125"/>
      <c r="RXV163" s="125"/>
      <c r="RXW163" s="125"/>
      <c r="RXX163" s="125"/>
      <c r="RXY163" s="125"/>
      <c r="RXZ163" s="125"/>
      <c r="RYA163" s="125"/>
      <c r="RYB163" s="125"/>
      <c r="RYC163" s="125"/>
      <c r="RYD163" s="125"/>
      <c r="RYE163" s="125"/>
      <c r="RYF163" s="125"/>
      <c r="RYG163" s="125"/>
      <c r="RYH163" s="125"/>
      <c r="RYI163" s="125"/>
      <c r="RYJ163" s="125"/>
      <c r="RYK163" s="125"/>
      <c r="RYL163" s="125"/>
      <c r="RYM163" s="125"/>
      <c r="RYN163" s="125"/>
      <c r="RYO163" s="125"/>
      <c r="RYP163" s="125"/>
      <c r="RYQ163" s="125"/>
      <c r="RYR163" s="125"/>
      <c r="RYS163" s="125"/>
      <c r="RYT163" s="125"/>
      <c r="RYU163" s="125"/>
      <c r="RYV163" s="125"/>
      <c r="RYW163" s="125"/>
      <c r="RYX163" s="125"/>
      <c r="RYY163" s="125"/>
      <c r="RYZ163" s="125"/>
      <c r="RZA163" s="125"/>
      <c r="RZB163" s="125"/>
      <c r="RZC163" s="125"/>
      <c r="RZD163" s="125"/>
      <c r="RZE163" s="125"/>
      <c r="RZF163" s="125"/>
      <c r="RZG163" s="125"/>
      <c r="RZH163" s="125"/>
      <c r="RZI163" s="125"/>
      <c r="RZJ163" s="125"/>
      <c r="RZK163" s="125"/>
      <c r="RZL163" s="125"/>
      <c r="RZM163" s="125"/>
      <c r="RZN163" s="125"/>
      <c r="RZO163" s="125"/>
      <c r="RZP163" s="125"/>
      <c r="RZQ163" s="125"/>
      <c r="RZR163" s="125"/>
      <c r="RZS163" s="125"/>
      <c r="RZT163" s="125"/>
      <c r="RZU163" s="125"/>
      <c r="RZV163" s="125"/>
      <c r="RZW163" s="125"/>
      <c r="RZX163" s="125"/>
      <c r="RZY163" s="125"/>
      <c r="RZZ163" s="125"/>
      <c r="SAA163" s="125"/>
      <c r="SAB163" s="125"/>
      <c r="SAC163" s="125"/>
      <c r="SAD163" s="125"/>
      <c r="SAE163" s="125"/>
      <c r="SAF163" s="125"/>
      <c r="SAG163" s="125"/>
      <c r="SAH163" s="125"/>
      <c r="SAI163" s="125"/>
      <c r="SAJ163" s="125"/>
      <c r="SAK163" s="125"/>
      <c r="SAL163" s="125"/>
      <c r="SAM163" s="125"/>
      <c r="SAN163" s="125"/>
      <c r="SAO163" s="125"/>
      <c r="SAP163" s="125"/>
      <c r="SAQ163" s="125"/>
      <c r="SAR163" s="125"/>
      <c r="SAS163" s="125"/>
      <c r="SAT163" s="125"/>
      <c r="SAU163" s="125"/>
      <c r="SAV163" s="125"/>
      <c r="SAW163" s="125"/>
      <c r="SAX163" s="125"/>
      <c r="SAY163" s="125"/>
      <c r="SAZ163" s="125"/>
      <c r="SBA163" s="125"/>
      <c r="SBB163" s="125"/>
      <c r="SBC163" s="125"/>
      <c r="SBD163" s="125"/>
      <c r="SBE163" s="125"/>
      <c r="SBF163" s="125"/>
      <c r="SBG163" s="125"/>
      <c r="SBH163" s="125"/>
      <c r="SBI163" s="125"/>
      <c r="SBJ163" s="125"/>
      <c r="SBK163" s="125"/>
      <c r="SBL163" s="125"/>
      <c r="SBM163" s="125"/>
      <c r="SBN163" s="125"/>
      <c r="SBO163" s="125"/>
      <c r="SBP163" s="125"/>
      <c r="SBQ163" s="125"/>
      <c r="SBR163" s="125"/>
      <c r="SBS163" s="125"/>
      <c r="SBT163" s="125"/>
      <c r="SBU163" s="125"/>
      <c r="SBV163" s="125"/>
      <c r="SBW163" s="125"/>
      <c r="SBX163" s="125"/>
      <c r="SBY163" s="125"/>
      <c r="SBZ163" s="125"/>
      <c r="SCA163" s="125"/>
      <c r="SCB163" s="125"/>
      <c r="SCC163" s="125"/>
      <c r="SCD163" s="125"/>
      <c r="SCE163" s="125"/>
      <c r="SCF163" s="125"/>
      <c r="SCG163" s="125"/>
      <c r="SCH163" s="125"/>
      <c r="SCI163" s="125"/>
      <c r="SCJ163" s="125"/>
      <c r="SCK163" s="125"/>
      <c r="SCL163" s="125"/>
      <c r="SCM163" s="125"/>
      <c r="SCN163" s="125"/>
      <c r="SCO163" s="125"/>
      <c r="SCP163" s="125"/>
      <c r="SCQ163" s="125"/>
      <c r="SCR163" s="125"/>
      <c r="SCS163" s="125"/>
      <c r="SCT163" s="125"/>
      <c r="SCU163" s="125"/>
      <c r="SCV163" s="125"/>
      <c r="SCW163" s="125"/>
      <c r="SCX163" s="125"/>
      <c r="SCY163" s="125"/>
      <c r="SCZ163" s="125"/>
      <c r="SDA163" s="125"/>
      <c r="SDB163" s="125"/>
      <c r="SDC163" s="125"/>
      <c r="SDD163" s="125"/>
      <c r="SDE163" s="125"/>
      <c r="SDF163" s="125"/>
      <c r="SDG163" s="125"/>
      <c r="SDH163" s="125"/>
      <c r="SDI163" s="125"/>
      <c r="SDJ163" s="125"/>
      <c r="SDK163" s="125"/>
      <c r="SDL163" s="125"/>
      <c r="SDM163" s="125"/>
      <c r="SDN163" s="125"/>
      <c r="SDO163" s="125"/>
      <c r="SDP163" s="125"/>
      <c r="SDQ163" s="125"/>
      <c r="SDR163" s="125"/>
      <c r="SDS163" s="125"/>
      <c r="SDT163" s="125"/>
      <c r="SDU163" s="125"/>
      <c r="SDV163" s="125"/>
      <c r="SDW163" s="125"/>
      <c r="SDX163" s="125"/>
      <c r="SDY163" s="125"/>
      <c r="SDZ163" s="125"/>
      <c r="SEA163" s="125"/>
      <c r="SEB163" s="125"/>
      <c r="SEC163" s="125"/>
      <c r="SED163" s="125"/>
      <c r="SEE163" s="125"/>
      <c r="SEF163" s="125"/>
      <c r="SEG163" s="125"/>
      <c r="SEH163" s="125"/>
      <c r="SEI163" s="125"/>
      <c r="SEJ163" s="125"/>
      <c r="SEK163" s="125"/>
      <c r="SEL163" s="125"/>
      <c r="SEM163" s="125"/>
      <c r="SEN163" s="125"/>
      <c r="SEO163" s="125"/>
      <c r="SEP163" s="125"/>
      <c r="SEQ163" s="125"/>
      <c r="SER163" s="125"/>
      <c r="SES163" s="125"/>
      <c r="SET163" s="125"/>
      <c r="SEU163" s="125"/>
      <c r="SEV163" s="125"/>
      <c r="SEW163" s="125"/>
      <c r="SEX163" s="125"/>
      <c r="SEY163" s="125"/>
      <c r="SEZ163" s="125"/>
      <c r="SFA163" s="125"/>
      <c r="SFB163" s="125"/>
      <c r="SFC163" s="125"/>
      <c r="SFD163" s="125"/>
      <c r="SFE163" s="125"/>
      <c r="SFF163" s="125"/>
      <c r="SFG163" s="125"/>
      <c r="SFH163" s="125"/>
      <c r="SFI163" s="125"/>
      <c r="SFJ163" s="125"/>
      <c r="SFK163" s="125"/>
      <c r="SFL163" s="125"/>
      <c r="SFM163" s="125"/>
      <c r="SFN163" s="125"/>
      <c r="SFO163" s="125"/>
      <c r="SFP163" s="125"/>
      <c r="SFQ163" s="125"/>
      <c r="SFR163" s="125"/>
      <c r="SFS163" s="125"/>
      <c r="SFT163" s="125"/>
      <c r="SFU163" s="125"/>
      <c r="SFV163" s="125"/>
      <c r="SFW163" s="125"/>
      <c r="SFX163" s="125"/>
      <c r="SFY163" s="125"/>
      <c r="SFZ163" s="125"/>
      <c r="SGA163" s="125"/>
      <c r="SGB163" s="125"/>
      <c r="SGC163" s="125"/>
      <c r="SGD163" s="125"/>
      <c r="SGE163" s="125"/>
      <c r="SGF163" s="125"/>
      <c r="SGG163" s="125"/>
      <c r="SGH163" s="125"/>
      <c r="SGI163" s="125"/>
      <c r="SGJ163" s="125"/>
      <c r="SGK163" s="125"/>
      <c r="SGL163" s="125"/>
      <c r="SGM163" s="125"/>
      <c r="SGN163" s="125"/>
      <c r="SGO163" s="125"/>
      <c r="SGP163" s="125"/>
      <c r="SGQ163" s="125"/>
      <c r="SGR163" s="125"/>
      <c r="SGS163" s="125"/>
      <c r="SGT163" s="125"/>
      <c r="SGU163" s="125"/>
      <c r="SGV163" s="125"/>
      <c r="SGW163" s="125"/>
      <c r="SGX163" s="125"/>
      <c r="SGY163" s="125"/>
      <c r="SGZ163" s="125"/>
      <c r="SHA163" s="125"/>
      <c r="SHB163" s="125"/>
      <c r="SHC163" s="125"/>
      <c r="SHD163" s="125"/>
      <c r="SHE163" s="125"/>
      <c r="SHF163" s="125"/>
      <c r="SHG163" s="125"/>
      <c r="SHH163" s="125"/>
      <c r="SHI163" s="125"/>
      <c r="SHJ163" s="125"/>
      <c r="SHK163" s="125"/>
      <c r="SHL163" s="125"/>
      <c r="SHM163" s="125"/>
      <c r="SHN163" s="125"/>
      <c r="SHO163" s="125"/>
      <c r="SHP163" s="125"/>
      <c r="SHQ163" s="125"/>
      <c r="SHR163" s="125"/>
      <c r="SHS163" s="125"/>
      <c r="SHT163" s="125"/>
      <c r="SHU163" s="125"/>
      <c r="SHV163" s="125"/>
      <c r="SHW163" s="125"/>
      <c r="SHX163" s="125"/>
      <c r="SHY163" s="125"/>
      <c r="SHZ163" s="125"/>
      <c r="SIA163" s="125"/>
      <c r="SIB163" s="125"/>
      <c r="SIC163" s="125"/>
      <c r="SID163" s="125"/>
      <c r="SIE163" s="125"/>
      <c r="SIF163" s="125"/>
      <c r="SIG163" s="125"/>
      <c r="SIH163" s="125"/>
      <c r="SII163" s="125"/>
      <c r="SIJ163" s="125"/>
      <c r="SIK163" s="125"/>
      <c r="SIL163" s="125"/>
      <c r="SIM163" s="125"/>
      <c r="SIN163" s="125"/>
      <c r="SIO163" s="125"/>
      <c r="SIP163" s="125"/>
      <c r="SIQ163" s="125"/>
      <c r="SIR163" s="125"/>
      <c r="SIS163" s="125"/>
      <c r="SIT163" s="125"/>
      <c r="SIU163" s="125"/>
      <c r="SIV163" s="125"/>
      <c r="SIW163" s="125"/>
      <c r="SIX163" s="125"/>
      <c r="SIY163" s="125"/>
      <c r="SIZ163" s="125"/>
      <c r="SJA163" s="125"/>
      <c r="SJB163" s="125"/>
      <c r="SJC163" s="125"/>
      <c r="SJD163" s="125"/>
      <c r="SJE163" s="125"/>
      <c r="SJF163" s="125"/>
      <c r="SJG163" s="125"/>
      <c r="SJH163" s="125"/>
      <c r="SJI163" s="125"/>
      <c r="SJJ163" s="125"/>
      <c r="SJK163" s="125"/>
      <c r="SJL163" s="125"/>
      <c r="SJM163" s="125"/>
      <c r="SJN163" s="125"/>
      <c r="SJO163" s="125"/>
      <c r="SJP163" s="125"/>
      <c r="SJQ163" s="125"/>
      <c r="SJR163" s="125"/>
      <c r="SJS163" s="125"/>
      <c r="SJT163" s="125"/>
      <c r="SJU163" s="125"/>
      <c r="SJV163" s="125"/>
      <c r="SJW163" s="125"/>
      <c r="SJX163" s="125"/>
      <c r="SJY163" s="125"/>
      <c r="SJZ163" s="125"/>
      <c r="SKA163" s="125"/>
      <c r="SKB163" s="125"/>
      <c r="SKC163" s="125"/>
      <c r="SKD163" s="125"/>
      <c r="SKE163" s="125"/>
      <c r="SKF163" s="125"/>
      <c r="SKG163" s="125"/>
      <c r="SKH163" s="125"/>
      <c r="SKI163" s="125"/>
      <c r="SKJ163" s="125"/>
      <c r="SKK163" s="125"/>
      <c r="SKL163" s="125"/>
      <c r="SKM163" s="125"/>
      <c r="SKN163" s="125"/>
      <c r="SKO163" s="125"/>
      <c r="SKP163" s="125"/>
      <c r="SKQ163" s="125"/>
      <c r="SKR163" s="125"/>
      <c r="SKS163" s="125"/>
      <c r="SKT163" s="125"/>
      <c r="SKU163" s="125"/>
      <c r="SKV163" s="125"/>
      <c r="SKW163" s="125"/>
      <c r="SKX163" s="125"/>
      <c r="SKY163" s="125"/>
      <c r="SKZ163" s="125"/>
      <c r="SLA163" s="125"/>
      <c r="SLB163" s="125"/>
      <c r="SLC163" s="125"/>
      <c r="SLD163" s="125"/>
      <c r="SLE163" s="125"/>
      <c r="SLF163" s="125"/>
      <c r="SLG163" s="125"/>
      <c r="SLH163" s="125"/>
      <c r="SLI163" s="125"/>
      <c r="SLJ163" s="125"/>
      <c r="SLK163" s="125"/>
      <c r="SLL163" s="125"/>
      <c r="SLM163" s="125"/>
      <c r="SLN163" s="125"/>
      <c r="SLO163" s="125"/>
      <c r="SLP163" s="125"/>
      <c r="SLQ163" s="125"/>
      <c r="SLR163" s="125"/>
      <c r="SLS163" s="125"/>
      <c r="SLT163" s="125"/>
      <c r="SLU163" s="125"/>
      <c r="SLV163" s="125"/>
      <c r="SLW163" s="125"/>
      <c r="SLX163" s="125"/>
      <c r="SLY163" s="125"/>
      <c r="SLZ163" s="125"/>
      <c r="SMA163" s="125"/>
      <c r="SMB163" s="125"/>
      <c r="SMC163" s="125"/>
      <c r="SMD163" s="125"/>
      <c r="SME163" s="125"/>
      <c r="SMF163" s="125"/>
      <c r="SMG163" s="125"/>
      <c r="SMH163" s="125"/>
      <c r="SMI163" s="125"/>
      <c r="SMJ163" s="125"/>
      <c r="SMK163" s="125"/>
      <c r="SML163" s="125"/>
      <c r="SMM163" s="125"/>
      <c r="SMN163" s="125"/>
      <c r="SMO163" s="125"/>
      <c r="SMP163" s="125"/>
      <c r="SMQ163" s="125"/>
      <c r="SMR163" s="125"/>
      <c r="SMS163" s="125"/>
      <c r="SMT163" s="125"/>
      <c r="SMU163" s="125"/>
      <c r="SMV163" s="125"/>
      <c r="SMW163" s="125"/>
      <c r="SMX163" s="125"/>
      <c r="SMY163" s="125"/>
      <c r="SMZ163" s="125"/>
      <c r="SNA163" s="125"/>
      <c r="SNB163" s="125"/>
      <c r="SNC163" s="125"/>
      <c r="SND163" s="125"/>
      <c r="SNE163" s="125"/>
      <c r="SNF163" s="125"/>
      <c r="SNG163" s="125"/>
      <c r="SNH163" s="125"/>
      <c r="SNI163" s="125"/>
      <c r="SNJ163" s="125"/>
      <c r="SNK163" s="125"/>
      <c r="SNL163" s="125"/>
      <c r="SNM163" s="125"/>
      <c r="SNN163" s="125"/>
      <c r="SNO163" s="125"/>
      <c r="SNP163" s="125"/>
      <c r="SNQ163" s="125"/>
      <c r="SNR163" s="125"/>
      <c r="SNS163" s="125"/>
      <c r="SNT163" s="125"/>
      <c r="SNU163" s="125"/>
      <c r="SNV163" s="125"/>
      <c r="SNW163" s="125"/>
      <c r="SNX163" s="125"/>
      <c r="SNY163" s="125"/>
      <c r="SNZ163" s="125"/>
      <c r="SOA163" s="125"/>
      <c r="SOB163" s="125"/>
      <c r="SOC163" s="125"/>
      <c r="SOD163" s="125"/>
      <c r="SOE163" s="125"/>
      <c r="SOF163" s="125"/>
      <c r="SOG163" s="125"/>
      <c r="SOH163" s="125"/>
      <c r="SOI163" s="125"/>
      <c r="SOJ163" s="125"/>
      <c r="SOK163" s="125"/>
      <c r="SOL163" s="125"/>
      <c r="SOM163" s="125"/>
      <c r="SON163" s="125"/>
      <c r="SOO163" s="125"/>
      <c r="SOP163" s="125"/>
      <c r="SOQ163" s="125"/>
      <c r="SOR163" s="125"/>
      <c r="SOS163" s="125"/>
      <c r="SOT163" s="125"/>
      <c r="SOU163" s="125"/>
      <c r="SOV163" s="125"/>
      <c r="SOW163" s="125"/>
      <c r="SOX163" s="125"/>
      <c r="SOY163" s="125"/>
      <c r="SOZ163" s="125"/>
      <c r="SPA163" s="125"/>
      <c r="SPB163" s="125"/>
      <c r="SPC163" s="125"/>
      <c r="SPD163" s="125"/>
      <c r="SPE163" s="125"/>
      <c r="SPF163" s="125"/>
      <c r="SPG163" s="125"/>
      <c r="SPH163" s="125"/>
      <c r="SPI163" s="125"/>
      <c r="SPJ163" s="125"/>
      <c r="SPK163" s="125"/>
      <c r="SPL163" s="125"/>
      <c r="SPM163" s="125"/>
      <c r="SPN163" s="125"/>
      <c r="SPO163" s="125"/>
      <c r="SPP163" s="125"/>
      <c r="SPQ163" s="125"/>
      <c r="SPR163" s="125"/>
      <c r="SPS163" s="125"/>
      <c r="SPT163" s="125"/>
      <c r="SPU163" s="125"/>
      <c r="SPV163" s="125"/>
      <c r="SPW163" s="125"/>
      <c r="SPX163" s="125"/>
      <c r="SPY163" s="125"/>
      <c r="SPZ163" s="125"/>
      <c r="SQA163" s="125"/>
      <c r="SQB163" s="125"/>
      <c r="SQC163" s="125"/>
      <c r="SQD163" s="125"/>
      <c r="SQE163" s="125"/>
      <c r="SQF163" s="125"/>
      <c r="SQG163" s="125"/>
      <c r="SQH163" s="125"/>
      <c r="SQI163" s="125"/>
      <c r="SQJ163" s="125"/>
      <c r="SQK163" s="125"/>
      <c r="SQL163" s="125"/>
      <c r="SQM163" s="125"/>
      <c r="SQN163" s="125"/>
      <c r="SQO163" s="125"/>
      <c r="SQP163" s="125"/>
      <c r="SQQ163" s="125"/>
      <c r="SQR163" s="125"/>
      <c r="SQS163" s="125"/>
      <c r="SQT163" s="125"/>
      <c r="SQU163" s="125"/>
      <c r="SQV163" s="125"/>
      <c r="SQW163" s="125"/>
      <c r="SQX163" s="125"/>
      <c r="SQY163" s="125"/>
      <c r="SQZ163" s="125"/>
      <c r="SRA163" s="125"/>
      <c r="SRB163" s="125"/>
      <c r="SRC163" s="125"/>
      <c r="SRD163" s="125"/>
      <c r="SRE163" s="125"/>
      <c r="SRF163" s="125"/>
      <c r="SRG163" s="125"/>
      <c r="SRH163" s="125"/>
      <c r="SRI163" s="125"/>
      <c r="SRJ163" s="125"/>
      <c r="SRK163" s="125"/>
      <c r="SRL163" s="125"/>
      <c r="SRM163" s="125"/>
      <c r="SRN163" s="125"/>
      <c r="SRO163" s="125"/>
      <c r="SRP163" s="125"/>
      <c r="SRQ163" s="125"/>
      <c r="SRR163" s="125"/>
      <c r="SRS163" s="125"/>
      <c r="SRT163" s="125"/>
      <c r="SRU163" s="125"/>
      <c r="SRV163" s="125"/>
      <c r="SRW163" s="125"/>
      <c r="SRX163" s="125"/>
      <c r="SRY163" s="125"/>
      <c r="SRZ163" s="125"/>
      <c r="SSA163" s="125"/>
      <c r="SSB163" s="125"/>
      <c r="SSC163" s="125"/>
      <c r="SSD163" s="125"/>
      <c r="SSE163" s="125"/>
      <c r="SSF163" s="125"/>
      <c r="SSG163" s="125"/>
      <c r="SSH163" s="125"/>
      <c r="SSI163" s="125"/>
      <c r="SSJ163" s="125"/>
      <c r="SSK163" s="125"/>
      <c r="SSL163" s="125"/>
      <c r="SSM163" s="125"/>
      <c r="SSN163" s="125"/>
      <c r="SSO163" s="125"/>
      <c r="SSP163" s="125"/>
      <c r="SSQ163" s="125"/>
      <c r="SSR163" s="125"/>
      <c r="SSS163" s="125"/>
      <c r="SST163" s="125"/>
      <c r="SSU163" s="125"/>
      <c r="SSV163" s="125"/>
      <c r="SSW163" s="125"/>
      <c r="SSX163" s="125"/>
      <c r="SSY163" s="125"/>
      <c r="SSZ163" s="125"/>
      <c r="STA163" s="125"/>
      <c r="STB163" s="125"/>
      <c r="STC163" s="125"/>
      <c r="STD163" s="125"/>
      <c r="STE163" s="125"/>
      <c r="STF163" s="125"/>
      <c r="STG163" s="125"/>
      <c r="STH163" s="125"/>
      <c r="STI163" s="125"/>
      <c r="STJ163" s="125"/>
      <c r="STK163" s="125"/>
      <c r="STL163" s="125"/>
      <c r="STM163" s="125"/>
      <c r="STN163" s="125"/>
      <c r="STO163" s="125"/>
      <c r="STP163" s="125"/>
      <c r="STQ163" s="125"/>
      <c r="STR163" s="125"/>
      <c r="STS163" s="125"/>
      <c r="STT163" s="125"/>
      <c r="STU163" s="125"/>
      <c r="STV163" s="125"/>
      <c r="STW163" s="125"/>
      <c r="STX163" s="125"/>
      <c r="STY163" s="125"/>
      <c r="STZ163" s="125"/>
      <c r="SUA163" s="125"/>
      <c r="SUB163" s="125"/>
      <c r="SUC163" s="125"/>
      <c r="SUD163" s="125"/>
      <c r="SUE163" s="125"/>
      <c r="SUF163" s="125"/>
      <c r="SUG163" s="125"/>
      <c r="SUH163" s="125"/>
      <c r="SUI163" s="125"/>
      <c r="SUJ163" s="125"/>
      <c r="SUK163" s="125"/>
      <c r="SUL163" s="125"/>
      <c r="SUM163" s="125"/>
      <c r="SUN163" s="125"/>
      <c r="SUO163" s="125"/>
      <c r="SUP163" s="125"/>
      <c r="SUQ163" s="125"/>
      <c r="SUR163" s="125"/>
      <c r="SUS163" s="125"/>
      <c r="SUT163" s="125"/>
      <c r="SUU163" s="125"/>
      <c r="SUV163" s="125"/>
      <c r="SUW163" s="125"/>
      <c r="SUX163" s="125"/>
      <c r="SUY163" s="125"/>
      <c r="SUZ163" s="125"/>
      <c r="SVA163" s="125"/>
      <c r="SVB163" s="125"/>
      <c r="SVC163" s="125"/>
      <c r="SVD163" s="125"/>
      <c r="SVE163" s="125"/>
      <c r="SVF163" s="125"/>
      <c r="SVG163" s="125"/>
      <c r="SVH163" s="125"/>
      <c r="SVI163" s="125"/>
      <c r="SVJ163" s="125"/>
      <c r="SVK163" s="125"/>
      <c r="SVL163" s="125"/>
      <c r="SVM163" s="125"/>
      <c r="SVN163" s="125"/>
      <c r="SVO163" s="125"/>
      <c r="SVP163" s="125"/>
      <c r="SVQ163" s="125"/>
      <c r="SVR163" s="125"/>
      <c r="SVS163" s="125"/>
      <c r="SVT163" s="125"/>
      <c r="SVU163" s="125"/>
      <c r="SVV163" s="125"/>
      <c r="SVW163" s="125"/>
      <c r="SVX163" s="125"/>
      <c r="SVY163" s="125"/>
      <c r="SVZ163" s="125"/>
      <c r="SWA163" s="125"/>
      <c r="SWB163" s="125"/>
      <c r="SWC163" s="125"/>
      <c r="SWD163" s="125"/>
      <c r="SWE163" s="125"/>
      <c r="SWF163" s="125"/>
      <c r="SWG163" s="125"/>
      <c r="SWH163" s="125"/>
      <c r="SWI163" s="125"/>
      <c r="SWJ163" s="125"/>
      <c r="SWK163" s="125"/>
      <c r="SWL163" s="125"/>
      <c r="SWM163" s="125"/>
      <c r="SWN163" s="125"/>
      <c r="SWO163" s="125"/>
      <c r="SWP163" s="125"/>
      <c r="SWQ163" s="125"/>
      <c r="SWR163" s="125"/>
      <c r="SWS163" s="125"/>
      <c r="SWT163" s="125"/>
      <c r="SWU163" s="125"/>
      <c r="SWV163" s="125"/>
      <c r="SWW163" s="125"/>
      <c r="SWX163" s="125"/>
      <c r="SWY163" s="125"/>
      <c r="SWZ163" s="125"/>
      <c r="SXA163" s="125"/>
      <c r="SXB163" s="125"/>
      <c r="SXC163" s="125"/>
      <c r="SXD163" s="125"/>
      <c r="SXE163" s="125"/>
      <c r="SXF163" s="125"/>
      <c r="SXG163" s="125"/>
      <c r="SXH163" s="125"/>
      <c r="SXI163" s="125"/>
      <c r="SXJ163" s="125"/>
      <c r="SXK163" s="125"/>
      <c r="SXL163" s="125"/>
      <c r="SXM163" s="125"/>
      <c r="SXN163" s="125"/>
      <c r="SXO163" s="125"/>
      <c r="SXP163" s="125"/>
      <c r="SXQ163" s="125"/>
      <c r="SXR163" s="125"/>
      <c r="SXS163" s="125"/>
      <c r="SXT163" s="125"/>
      <c r="SXU163" s="125"/>
      <c r="SXV163" s="125"/>
      <c r="SXW163" s="125"/>
      <c r="SXX163" s="125"/>
      <c r="SXY163" s="125"/>
      <c r="SXZ163" s="125"/>
      <c r="SYA163" s="125"/>
      <c r="SYB163" s="125"/>
      <c r="SYC163" s="125"/>
      <c r="SYD163" s="125"/>
      <c r="SYE163" s="125"/>
      <c r="SYF163" s="125"/>
      <c r="SYG163" s="125"/>
      <c r="SYH163" s="125"/>
      <c r="SYI163" s="125"/>
      <c r="SYJ163" s="125"/>
      <c r="SYK163" s="125"/>
      <c r="SYL163" s="125"/>
      <c r="SYM163" s="125"/>
      <c r="SYN163" s="125"/>
      <c r="SYO163" s="125"/>
      <c r="SYP163" s="125"/>
      <c r="SYQ163" s="125"/>
      <c r="SYR163" s="125"/>
      <c r="SYS163" s="125"/>
      <c r="SYT163" s="125"/>
      <c r="SYU163" s="125"/>
      <c r="SYV163" s="125"/>
      <c r="SYW163" s="125"/>
      <c r="SYX163" s="125"/>
      <c r="SYY163" s="125"/>
      <c r="SYZ163" s="125"/>
      <c r="SZA163" s="125"/>
      <c r="SZB163" s="125"/>
      <c r="SZC163" s="125"/>
      <c r="SZD163" s="125"/>
      <c r="SZE163" s="125"/>
      <c r="SZF163" s="125"/>
      <c r="SZG163" s="125"/>
      <c r="SZH163" s="125"/>
      <c r="SZI163" s="125"/>
      <c r="SZJ163" s="125"/>
      <c r="SZK163" s="125"/>
      <c r="SZL163" s="125"/>
      <c r="SZM163" s="125"/>
      <c r="SZN163" s="125"/>
      <c r="SZO163" s="125"/>
      <c r="SZP163" s="125"/>
      <c r="SZQ163" s="125"/>
      <c r="SZR163" s="125"/>
      <c r="SZS163" s="125"/>
      <c r="SZT163" s="125"/>
      <c r="SZU163" s="125"/>
      <c r="SZV163" s="125"/>
      <c r="SZW163" s="125"/>
      <c r="SZX163" s="125"/>
      <c r="SZY163" s="125"/>
      <c r="SZZ163" s="125"/>
      <c r="TAA163" s="125"/>
      <c r="TAB163" s="125"/>
      <c r="TAC163" s="125"/>
      <c r="TAD163" s="125"/>
      <c r="TAE163" s="125"/>
      <c r="TAF163" s="125"/>
      <c r="TAG163" s="125"/>
      <c r="TAH163" s="125"/>
      <c r="TAI163" s="125"/>
      <c r="TAJ163" s="125"/>
      <c r="TAK163" s="125"/>
      <c r="TAL163" s="125"/>
      <c r="TAM163" s="125"/>
      <c r="TAN163" s="125"/>
      <c r="TAO163" s="125"/>
      <c r="TAP163" s="125"/>
      <c r="TAQ163" s="125"/>
      <c r="TAR163" s="125"/>
      <c r="TAS163" s="125"/>
      <c r="TAT163" s="125"/>
      <c r="TAU163" s="125"/>
      <c r="TAV163" s="125"/>
      <c r="TAW163" s="125"/>
      <c r="TAX163" s="125"/>
      <c r="TAY163" s="125"/>
      <c r="TAZ163" s="125"/>
      <c r="TBA163" s="125"/>
      <c r="TBB163" s="125"/>
      <c r="TBC163" s="125"/>
      <c r="TBD163" s="125"/>
      <c r="TBE163" s="125"/>
      <c r="TBF163" s="125"/>
      <c r="TBG163" s="125"/>
      <c r="TBH163" s="125"/>
      <c r="TBI163" s="125"/>
      <c r="TBJ163" s="125"/>
      <c r="TBK163" s="125"/>
      <c r="TBL163" s="125"/>
      <c r="TBM163" s="125"/>
      <c r="TBN163" s="125"/>
      <c r="TBO163" s="125"/>
      <c r="TBP163" s="125"/>
      <c r="TBQ163" s="125"/>
      <c r="TBR163" s="125"/>
      <c r="TBS163" s="125"/>
      <c r="TBT163" s="125"/>
      <c r="TBU163" s="125"/>
      <c r="TBV163" s="125"/>
      <c r="TBW163" s="125"/>
      <c r="TBX163" s="125"/>
      <c r="TBY163" s="125"/>
      <c r="TBZ163" s="125"/>
      <c r="TCA163" s="125"/>
      <c r="TCB163" s="125"/>
      <c r="TCC163" s="125"/>
      <c r="TCD163" s="125"/>
      <c r="TCE163" s="125"/>
      <c r="TCF163" s="125"/>
      <c r="TCG163" s="125"/>
      <c r="TCH163" s="125"/>
      <c r="TCI163" s="125"/>
      <c r="TCJ163" s="125"/>
      <c r="TCK163" s="125"/>
      <c r="TCL163" s="125"/>
      <c r="TCM163" s="125"/>
      <c r="TCN163" s="125"/>
      <c r="TCO163" s="125"/>
      <c r="TCP163" s="125"/>
      <c r="TCQ163" s="125"/>
      <c r="TCR163" s="125"/>
      <c r="TCS163" s="125"/>
      <c r="TCT163" s="125"/>
      <c r="TCU163" s="125"/>
      <c r="TCV163" s="125"/>
      <c r="TCW163" s="125"/>
      <c r="TCX163" s="125"/>
      <c r="TCY163" s="125"/>
      <c r="TCZ163" s="125"/>
      <c r="TDA163" s="125"/>
      <c r="TDB163" s="125"/>
      <c r="TDC163" s="125"/>
      <c r="TDD163" s="125"/>
      <c r="TDE163" s="125"/>
      <c r="TDF163" s="125"/>
      <c r="TDG163" s="125"/>
      <c r="TDH163" s="125"/>
      <c r="TDI163" s="125"/>
      <c r="TDJ163" s="125"/>
      <c r="TDK163" s="125"/>
      <c r="TDL163" s="125"/>
      <c r="TDM163" s="125"/>
      <c r="TDN163" s="125"/>
      <c r="TDO163" s="125"/>
      <c r="TDP163" s="125"/>
      <c r="TDQ163" s="125"/>
      <c r="TDR163" s="125"/>
      <c r="TDS163" s="125"/>
      <c r="TDT163" s="125"/>
      <c r="TDU163" s="125"/>
      <c r="TDV163" s="125"/>
      <c r="TDW163" s="125"/>
      <c r="TDX163" s="125"/>
      <c r="TDY163" s="125"/>
      <c r="TDZ163" s="125"/>
      <c r="TEA163" s="125"/>
      <c r="TEB163" s="125"/>
      <c r="TEC163" s="125"/>
      <c r="TED163" s="125"/>
      <c r="TEE163" s="125"/>
      <c r="TEF163" s="125"/>
      <c r="TEG163" s="125"/>
      <c r="TEH163" s="125"/>
      <c r="TEI163" s="125"/>
      <c r="TEJ163" s="125"/>
      <c r="TEK163" s="125"/>
      <c r="TEL163" s="125"/>
      <c r="TEM163" s="125"/>
      <c r="TEN163" s="125"/>
      <c r="TEO163" s="125"/>
      <c r="TEP163" s="125"/>
      <c r="TEQ163" s="125"/>
      <c r="TER163" s="125"/>
      <c r="TES163" s="125"/>
      <c r="TET163" s="125"/>
      <c r="TEU163" s="125"/>
      <c r="TEV163" s="125"/>
      <c r="TEW163" s="125"/>
      <c r="TEX163" s="125"/>
      <c r="TEY163" s="125"/>
      <c r="TEZ163" s="125"/>
      <c r="TFA163" s="125"/>
      <c r="TFB163" s="125"/>
      <c r="TFC163" s="125"/>
      <c r="TFD163" s="125"/>
      <c r="TFE163" s="125"/>
      <c r="TFF163" s="125"/>
      <c r="TFG163" s="125"/>
      <c r="TFH163" s="125"/>
      <c r="TFI163" s="125"/>
      <c r="TFJ163" s="125"/>
      <c r="TFK163" s="125"/>
      <c r="TFL163" s="125"/>
      <c r="TFM163" s="125"/>
      <c r="TFN163" s="125"/>
      <c r="TFO163" s="125"/>
      <c r="TFP163" s="125"/>
      <c r="TFQ163" s="125"/>
      <c r="TFR163" s="125"/>
      <c r="TFS163" s="125"/>
      <c r="TFT163" s="125"/>
      <c r="TFU163" s="125"/>
      <c r="TFV163" s="125"/>
      <c r="TFW163" s="125"/>
      <c r="TFX163" s="125"/>
      <c r="TFY163" s="125"/>
      <c r="TFZ163" s="125"/>
      <c r="TGA163" s="125"/>
      <c r="TGB163" s="125"/>
      <c r="TGC163" s="125"/>
      <c r="TGD163" s="125"/>
      <c r="TGE163" s="125"/>
      <c r="TGF163" s="125"/>
      <c r="TGG163" s="125"/>
      <c r="TGH163" s="125"/>
      <c r="TGI163" s="125"/>
      <c r="TGJ163" s="125"/>
      <c r="TGK163" s="125"/>
      <c r="TGL163" s="125"/>
      <c r="TGM163" s="125"/>
      <c r="TGN163" s="125"/>
      <c r="TGO163" s="125"/>
      <c r="TGP163" s="125"/>
      <c r="TGQ163" s="125"/>
      <c r="TGR163" s="125"/>
      <c r="TGS163" s="125"/>
      <c r="TGT163" s="125"/>
      <c r="TGU163" s="125"/>
      <c r="TGV163" s="125"/>
      <c r="TGW163" s="125"/>
      <c r="TGX163" s="125"/>
      <c r="TGY163" s="125"/>
      <c r="TGZ163" s="125"/>
      <c r="THA163" s="125"/>
      <c r="THB163" s="125"/>
      <c r="THC163" s="125"/>
      <c r="THD163" s="125"/>
      <c r="THE163" s="125"/>
      <c r="THF163" s="125"/>
      <c r="THG163" s="125"/>
      <c r="THH163" s="125"/>
      <c r="THI163" s="125"/>
      <c r="THJ163" s="125"/>
      <c r="THK163" s="125"/>
      <c r="THL163" s="125"/>
      <c r="THM163" s="125"/>
      <c r="THN163" s="125"/>
      <c r="THO163" s="125"/>
      <c r="THP163" s="125"/>
      <c r="THQ163" s="125"/>
      <c r="THR163" s="125"/>
      <c r="THS163" s="125"/>
      <c r="THT163" s="125"/>
      <c r="THU163" s="125"/>
      <c r="THV163" s="125"/>
      <c r="THW163" s="125"/>
      <c r="THX163" s="125"/>
      <c r="THY163" s="125"/>
      <c r="THZ163" s="125"/>
      <c r="TIA163" s="125"/>
      <c r="TIB163" s="125"/>
      <c r="TIC163" s="125"/>
      <c r="TID163" s="125"/>
      <c r="TIE163" s="125"/>
      <c r="TIF163" s="125"/>
      <c r="TIG163" s="125"/>
      <c r="TIH163" s="125"/>
      <c r="TII163" s="125"/>
      <c r="TIJ163" s="125"/>
      <c r="TIK163" s="125"/>
      <c r="TIL163" s="125"/>
      <c r="TIM163" s="125"/>
      <c r="TIN163" s="125"/>
      <c r="TIO163" s="125"/>
      <c r="TIP163" s="125"/>
      <c r="TIQ163" s="125"/>
      <c r="TIR163" s="125"/>
      <c r="TIS163" s="125"/>
      <c r="TIT163" s="125"/>
      <c r="TIU163" s="125"/>
      <c r="TIV163" s="125"/>
      <c r="TIW163" s="125"/>
      <c r="TIX163" s="125"/>
      <c r="TIY163" s="125"/>
      <c r="TIZ163" s="125"/>
      <c r="TJA163" s="125"/>
      <c r="TJB163" s="125"/>
      <c r="TJC163" s="125"/>
      <c r="TJD163" s="125"/>
      <c r="TJE163" s="125"/>
      <c r="TJF163" s="125"/>
      <c r="TJG163" s="125"/>
      <c r="TJH163" s="125"/>
      <c r="TJI163" s="125"/>
      <c r="TJJ163" s="125"/>
      <c r="TJK163" s="125"/>
      <c r="TJL163" s="125"/>
      <c r="TJM163" s="125"/>
      <c r="TJN163" s="125"/>
      <c r="TJO163" s="125"/>
      <c r="TJP163" s="125"/>
      <c r="TJQ163" s="125"/>
      <c r="TJR163" s="125"/>
      <c r="TJS163" s="125"/>
      <c r="TJT163" s="125"/>
      <c r="TJU163" s="125"/>
      <c r="TJV163" s="125"/>
      <c r="TJW163" s="125"/>
      <c r="TJX163" s="125"/>
      <c r="TJY163" s="125"/>
      <c r="TJZ163" s="125"/>
      <c r="TKA163" s="125"/>
      <c r="TKB163" s="125"/>
      <c r="TKC163" s="125"/>
      <c r="TKD163" s="125"/>
      <c r="TKE163" s="125"/>
      <c r="TKF163" s="125"/>
      <c r="TKG163" s="125"/>
      <c r="TKH163" s="125"/>
      <c r="TKI163" s="125"/>
      <c r="TKJ163" s="125"/>
      <c r="TKK163" s="125"/>
      <c r="TKL163" s="125"/>
      <c r="TKM163" s="125"/>
      <c r="TKN163" s="125"/>
      <c r="TKO163" s="125"/>
      <c r="TKP163" s="125"/>
      <c r="TKQ163" s="125"/>
      <c r="TKR163" s="125"/>
      <c r="TKS163" s="125"/>
      <c r="TKT163" s="125"/>
      <c r="TKU163" s="125"/>
      <c r="TKV163" s="125"/>
      <c r="TKW163" s="125"/>
      <c r="TKX163" s="125"/>
      <c r="TKY163" s="125"/>
      <c r="TKZ163" s="125"/>
      <c r="TLA163" s="125"/>
      <c r="TLB163" s="125"/>
      <c r="TLC163" s="125"/>
      <c r="TLD163" s="125"/>
      <c r="TLE163" s="125"/>
      <c r="TLF163" s="125"/>
      <c r="TLG163" s="125"/>
      <c r="TLH163" s="125"/>
      <c r="TLI163" s="125"/>
      <c r="TLJ163" s="125"/>
      <c r="TLK163" s="125"/>
      <c r="TLL163" s="125"/>
      <c r="TLM163" s="125"/>
      <c r="TLN163" s="125"/>
      <c r="TLO163" s="125"/>
      <c r="TLP163" s="125"/>
      <c r="TLQ163" s="125"/>
      <c r="TLR163" s="125"/>
      <c r="TLS163" s="125"/>
      <c r="TLT163" s="125"/>
      <c r="TLU163" s="125"/>
      <c r="TLV163" s="125"/>
      <c r="TLW163" s="125"/>
      <c r="TLX163" s="125"/>
      <c r="TLY163" s="125"/>
      <c r="TLZ163" s="125"/>
      <c r="TMA163" s="125"/>
      <c r="TMB163" s="125"/>
      <c r="TMC163" s="125"/>
      <c r="TMD163" s="125"/>
      <c r="TME163" s="125"/>
      <c r="TMF163" s="125"/>
      <c r="TMG163" s="125"/>
      <c r="TMH163" s="125"/>
      <c r="TMI163" s="125"/>
      <c r="TMJ163" s="125"/>
      <c r="TMK163" s="125"/>
      <c r="TML163" s="125"/>
      <c r="TMM163" s="125"/>
      <c r="TMN163" s="125"/>
      <c r="TMO163" s="125"/>
      <c r="TMP163" s="125"/>
      <c r="TMQ163" s="125"/>
      <c r="TMR163" s="125"/>
      <c r="TMS163" s="125"/>
      <c r="TMT163" s="125"/>
      <c r="TMU163" s="125"/>
      <c r="TMV163" s="125"/>
      <c r="TMW163" s="125"/>
      <c r="TMX163" s="125"/>
      <c r="TMY163" s="125"/>
      <c r="TMZ163" s="125"/>
      <c r="TNA163" s="125"/>
      <c r="TNB163" s="125"/>
      <c r="TNC163" s="125"/>
      <c r="TND163" s="125"/>
      <c r="TNE163" s="125"/>
      <c r="TNF163" s="125"/>
      <c r="TNG163" s="125"/>
      <c r="TNH163" s="125"/>
      <c r="TNI163" s="125"/>
      <c r="TNJ163" s="125"/>
      <c r="TNK163" s="125"/>
      <c r="TNL163" s="125"/>
      <c r="TNM163" s="125"/>
      <c r="TNN163" s="125"/>
      <c r="TNO163" s="125"/>
      <c r="TNP163" s="125"/>
      <c r="TNQ163" s="125"/>
      <c r="TNR163" s="125"/>
      <c r="TNS163" s="125"/>
      <c r="TNT163" s="125"/>
      <c r="TNU163" s="125"/>
      <c r="TNV163" s="125"/>
      <c r="TNW163" s="125"/>
      <c r="TNX163" s="125"/>
      <c r="TNY163" s="125"/>
      <c r="TNZ163" s="125"/>
      <c r="TOA163" s="125"/>
      <c r="TOB163" s="125"/>
      <c r="TOC163" s="125"/>
      <c r="TOD163" s="125"/>
      <c r="TOE163" s="125"/>
      <c r="TOF163" s="125"/>
      <c r="TOG163" s="125"/>
      <c r="TOH163" s="125"/>
      <c r="TOI163" s="125"/>
      <c r="TOJ163" s="125"/>
      <c r="TOK163" s="125"/>
      <c r="TOL163" s="125"/>
      <c r="TOM163" s="125"/>
      <c r="TON163" s="125"/>
      <c r="TOO163" s="125"/>
      <c r="TOP163" s="125"/>
      <c r="TOQ163" s="125"/>
      <c r="TOR163" s="125"/>
      <c r="TOS163" s="125"/>
      <c r="TOT163" s="125"/>
      <c r="TOU163" s="125"/>
      <c r="TOV163" s="125"/>
      <c r="TOW163" s="125"/>
      <c r="TOX163" s="125"/>
      <c r="TOY163" s="125"/>
      <c r="TOZ163" s="125"/>
      <c r="TPA163" s="125"/>
      <c r="TPB163" s="125"/>
      <c r="TPC163" s="125"/>
      <c r="TPD163" s="125"/>
      <c r="TPE163" s="125"/>
      <c r="TPF163" s="125"/>
      <c r="TPG163" s="125"/>
      <c r="TPH163" s="125"/>
      <c r="TPI163" s="125"/>
      <c r="TPJ163" s="125"/>
      <c r="TPK163" s="125"/>
      <c r="TPL163" s="125"/>
      <c r="TPM163" s="125"/>
      <c r="TPN163" s="125"/>
      <c r="TPO163" s="125"/>
      <c r="TPP163" s="125"/>
      <c r="TPQ163" s="125"/>
      <c r="TPR163" s="125"/>
      <c r="TPS163" s="125"/>
      <c r="TPT163" s="125"/>
      <c r="TPU163" s="125"/>
      <c r="TPV163" s="125"/>
      <c r="TPW163" s="125"/>
      <c r="TPX163" s="125"/>
      <c r="TPY163" s="125"/>
      <c r="TPZ163" s="125"/>
      <c r="TQA163" s="125"/>
      <c r="TQB163" s="125"/>
      <c r="TQC163" s="125"/>
      <c r="TQD163" s="125"/>
      <c r="TQE163" s="125"/>
      <c r="TQF163" s="125"/>
      <c r="TQG163" s="125"/>
      <c r="TQH163" s="125"/>
      <c r="TQI163" s="125"/>
      <c r="TQJ163" s="125"/>
      <c r="TQK163" s="125"/>
      <c r="TQL163" s="125"/>
      <c r="TQM163" s="125"/>
      <c r="TQN163" s="125"/>
      <c r="TQO163" s="125"/>
      <c r="TQP163" s="125"/>
      <c r="TQQ163" s="125"/>
      <c r="TQR163" s="125"/>
      <c r="TQS163" s="125"/>
      <c r="TQT163" s="125"/>
      <c r="TQU163" s="125"/>
      <c r="TQV163" s="125"/>
      <c r="TQW163" s="125"/>
      <c r="TQX163" s="125"/>
      <c r="TQY163" s="125"/>
      <c r="TQZ163" s="125"/>
      <c r="TRA163" s="125"/>
      <c r="TRB163" s="125"/>
      <c r="TRC163" s="125"/>
      <c r="TRD163" s="125"/>
      <c r="TRE163" s="125"/>
      <c r="TRF163" s="125"/>
      <c r="TRG163" s="125"/>
      <c r="TRH163" s="125"/>
      <c r="TRI163" s="125"/>
      <c r="TRJ163" s="125"/>
      <c r="TRK163" s="125"/>
      <c r="TRL163" s="125"/>
      <c r="TRM163" s="125"/>
      <c r="TRN163" s="125"/>
      <c r="TRO163" s="125"/>
      <c r="TRP163" s="125"/>
      <c r="TRQ163" s="125"/>
      <c r="TRR163" s="125"/>
      <c r="TRS163" s="125"/>
      <c r="TRT163" s="125"/>
      <c r="TRU163" s="125"/>
      <c r="TRV163" s="125"/>
      <c r="TRW163" s="125"/>
      <c r="TRX163" s="125"/>
      <c r="TRY163" s="125"/>
      <c r="TRZ163" s="125"/>
      <c r="TSA163" s="125"/>
      <c r="TSB163" s="125"/>
      <c r="TSC163" s="125"/>
      <c r="TSD163" s="125"/>
      <c r="TSE163" s="125"/>
      <c r="TSF163" s="125"/>
      <c r="TSG163" s="125"/>
      <c r="TSH163" s="125"/>
      <c r="TSI163" s="125"/>
      <c r="TSJ163" s="125"/>
      <c r="TSK163" s="125"/>
      <c r="TSL163" s="125"/>
      <c r="TSM163" s="125"/>
      <c r="TSN163" s="125"/>
      <c r="TSO163" s="125"/>
      <c r="TSP163" s="125"/>
      <c r="TSQ163" s="125"/>
      <c r="TSR163" s="125"/>
      <c r="TSS163" s="125"/>
      <c r="TST163" s="125"/>
      <c r="TSU163" s="125"/>
      <c r="TSV163" s="125"/>
      <c r="TSW163" s="125"/>
      <c r="TSX163" s="125"/>
      <c r="TSY163" s="125"/>
      <c r="TSZ163" s="125"/>
      <c r="TTA163" s="125"/>
      <c r="TTB163" s="125"/>
      <c r="TTC163" s="125"/>
      <c r="TTD163" s="125"/>
      <c r="TTE163" s="125"/>
      <c r="TTF163" s="125"/>
      <c r="TTG163" s="125"/>
      <c r="TTH163" s="125"/>
      <c r="TTI163" s="125"/>
      <c r="TTJ163" s="125"/>
      <c r="TTK163" s="125"/>
      <c r="TTL163" s="125"/>
      <c r="TTM163" s="125"/>
      <c r="TTN163" s="125"/>
      <c r="TTO163" s="125"/>
      <c r="TTP163" s="125"/>
      <c r="TTQ163" s="125"/>
      <c r="TTR163" s="125"/>
      <c r="TTS163" s="125"/>
      <c r="TTT163" s="125"/>
      <c r="TTU163" s="125"/>
      <c r="TTV163" s="125"/>
      <c r="TTW163" s="125"/>
      <c r="TTX163" s="125"/>
      <c r="TTY163" s="125"/>
      <c r="TTZ163" s="125"/>
      <c r="TUA163" s="125"/>
      <c r="TUB163" s="125"/>
      <c r="TUC163" s="125"/>
      <c r="TUD163" s="125"/>
      <c r="TUE163" s="125"/>
      <c r="TUF163" s="125"/>
      <c r="TUG163" s="125"/>
      <c r="TUH163" s="125"/>
      <c r="TUI163" s="125"/>
      <c r="TUJ163" s="125"/>
      <c r="TUK163" s="125"/>
      <c r="TUL163" s="125"/>
      <c r="TUM163" s="125"/>
      <c r="TUN163" s="125"/>
      <c r="TUO163" s="125"/>
      <c r="TUP163" s="125"/>
      <c r="TUQ163" s="125"/>
      <c r="TUR163" s="125"/>
      <c r="TUS163" s="125"/>
      <c r="TUT163" s="125"/>
      <c r="TUU163" s="125"/>
      <c r="TUV163" s="125"/>
      <c r="TUW163" s="125"/>
      <c r="TUX163" s="125"/>
      <c r="TUY163" s="125"/>
      <c r="TUZ163" s="125"/>
      <c r="TVA163" s="125"/>
      <c r="TVB163" s="125"/>
      <c r="TVC163" s="125"/>
      <c r="TVD163" s="125"/>
      <c r="TVE163" s="125"/>
      <c r="TVF163" s="125"/>
      <c r="TVG163" s="125"/>
      <c r="TVH163" s="125"/>
      <c r="TVI163" s="125"/>
      <c r="TVJ163" s="125"/>
      <c r="TVK163" s="125"/>
      <c r="TVL163" s="125"/>
      <c r="TVM163" s="125"/>
      <c r="TVN163" s="125"/>
      <c r="TVO163" s="125"/>
      <c r="TVP163" s="125"/>
      <c r="TVQ163" s="125"/>
      <c r="TVR163" s="125"/>
      <c r="TVS163" s="125"/>
      <c r="TVT163" s="125"/>
      <c r="TVU163" s="125"/>
      <c r="TVV163" s="125"/>
      <c r="TVW163" s="125"/>
      <c r="TVX163" s="125"/>
      <c r="TVY163" s="125"/>
      <c r="TVZ163" s="125"/>
      <c r="TWA163" s="125"/>
      <c r="TWB163" s="125"/>
      <c r="TWC163" s="125"/>
      <c r="TWD163" s="125"/>
      <c r="TWE163" s="125"/>
      <c r="TWF163" s="125"/>
      <c r="TWG163" s="125"/>
      <c r="TWH163" s="125"/>
      <c r="TWI163" s="125"/>
      <c r="TWJ163" s="125"/>
      <c r="TWK163" s="125"/>
      <c r="TWL163" s="125"/>
      <c r="TWM163" s="125"/>
      <c r="TWN163" s="125"/>
      <c r="TWO163" s="125"/>
      <c r="TWP163" s="125"/>
      <c r="TWQ163" s="125"/>
      <c r="TWR163" s="125"/>
      <c r="TWS163" s="125"/>
      <c r="TWT163" s="125"/>
      <c r="TWU163" s="125"/>
      <c r="TWV163" s="125"/>
      <c r="TWW163" s="125"/>
      <c r="TWX163" s="125"/>
      <c r="TWY163" s="125"/>
      <c r="TWZ163" s="125"/>
      <c r="TXA163" s="125"/>
      <c r="TXB163" s="125"/>
      <c r="TXC163" s="125"/>
      <c r="TXD163" s="125"/>
      <c r="TXE163" s="125"/>
      <c r="TXF163" s="125"/>
      <c r="TXG163" s="125"/>
      <c r="TXH163" s="125"/>
      <c r="TXI163" s="125"/>
      <c r="TXJ163" s="125"/>
      <c r="TXK163" s="125"/>
      <c r="TXL163" s="125"/>
      <c r="TXM163" s="125"/>
      <c r="TXN163" s="125"/>
      <c r="TXO163" s="125"/>
      <c r="TXP163" s="125"/>
      <c r="TXQ163" s="125"/>
      <c r="TXR163" s="125"/>
      <c r="TXS163" s="125"/>
      <c r="TXT163" s="125"/>
      <c r="TXU163" s="125"/>
      <c r="TXV163" s="125"/>
      <c r="TXW163" s="125"/>
      <c r="TXX163" s="125"/>
      <c r="TXY163" s="125"/>
      <c r="TXZ163" s="125"/>
      <c r="TYA163" s="125"/>
      <c r="TYB163" s="125"/>
      <c r="TYC163" s="125"/>
      <c r="TYD163" s="125"/>
      <c r="TYE163" s="125"/>
      <c r="TYF163" s="125"/>
      <c r="TYG163" s="125"/>
      <c r="TYH163" s="125"/>
      <c r="TYI163" s="125"/>
      <c r="TYJ163" s="125"/>
      <c r="TYK163" s="125"/>
      <c r="TYL163" s="125"/>
      <c r="TYM163" s="125"/>
      <c r="TYN163" s="125"/>
      <c r="TYO163" s="125"/>
      <c r="TYP163" s="125"/>
      <c r="TYQ163" s="125"/>
      <c r="TYR163" s="125"/>
      <c r="TYS163" s="125"/>
      <c r="TYT163" s="125"/>
      <c r="TYU163" s="125"/>
      <c r="TYV163" s="125"/>
      <c r="TYW163" s="125"/>
      <c r="TYX163" s="125"/>
      <c r="TYY163" s="125"/>
      <c r="TYZ163" s="125"/>
      <c r="TZA163" s="125"/>
      <c r="TZB163" s="125"/>
      <c r="TZC163" s="125"/>
      <c r="TZD163" s="125"/>
      <c r="TZE163" s="125"/>
      <c r="TZF163" s="125"/>
      <c r="TZG163" s="125"/>
      <c r="TZH163" s="125"/>
      <c r="TZI163" s="125"/>
      <c r="TZJ163" s="125"/>
      <c r="TZK163" s="125"/>
      <c r="TZL163" s="125"/>
      <c r="TZM163" s="125"/>
      <c r="TZN163" s="125"/>
      <c r="TZO163" s="125"/>
      <c r="TZP163" s="125"/>
      <c r="TZQ163" s="125"/>
      <c r="TZR163" s="125"/>
      <c r="TZS163" s="125"/>
      <c r="TZT163" s="125"/>
      <c r="TZU163" s="125"/>
      <c r="TZV163" s="125"/>
      <c r="TZW163" s="125"/>
      <c r="TZX163" s="125"/>
      <c r="TZY163" s="125"/>
      <c r="TZZ163" s="125"/>
      <c r="UAA163" s="125"/>
      <c r="UAB163" s="125"/>
      <c r="UAC163" s="125"/>
      <c r="UAD163" s="125"/>
      <c r="UAE163" s="125"/>
      <c r="UAF163" s="125"/>
      <c r="UAG163" s="125"/>
      <c r="UAH163" s="125"/>
      <c r="UAI163" s="125"/>
      <c r="UAJ163" s="125"/>
      <c r="UAK163" s="125"/>
      <c r="UAL163" s="125"/>
      <c r="UAM163" s="125"/>
      <c r="UAN163" s="125"/>
      <c r="UAO163" s="125"/>
      <c r="UAP163" s="125"/>
      <c r="UAQ163" s="125"/>
      <c r="UAR163" s="125"/>
      <c r="UAS163" s="125"/>
      <c r="UAT163" s="125"/>
      <c r="UAU163" s="125"/>
      <c r="UAV163" s="125"/>
      <c r="UAW163" s="125"/>
      <c r="UAX163" s="125"/>
      <c r="UAY163" s="125"/>
      <c r="UAZ163" s="125"/>
      <c r="UBA163" s="125"/>
      <c r="UBB163" s="125"/>
      <c r="UBC163" s="125"/>
      <c r="UBD163" s="125"/>
      <c r="UBE163" s="125"/>
      <c r="UBF163" s="125"/>
      <c r="UBG163" s="125"/>
      <c r="UBH163" s="125"/>
      <c r="UBI163" s="125"/>
      <c r="UBJ163" s="125"/>
      <c r="UBK163" s="125"/>
      <c r="UBL163" s="125"/>
      <c r="UBM163" s="125"/>
      <c r="UBN163" s="125"/>
      <c r="UBO163" s="125"/>
      <c r="UBP163" s="125"/>
      <c r="UBQ163" s="125"/>
      <c r="UBR163" s="125"/>
      <c r="UBS163" s="125"/>
      <c r="UBT163" s="125"/>
      <c r="UBU163" s="125"/>
      <c r="UBV163" s="125"/>
      <c r="UBW163" s="125"/>
      <c r="UBX163" s="125"/>
      <c r="UBY163" s="125"/>
      <c r="UBZ163" s="125"/>
      <c r="UCA163" s="125"/>
      <c r="UCB163" s="125"/>
      <c r="UCC163" s="125"/>
      <c r="UCD163" s="125"/>
      <c r="UCE163" s="125"/>
      <c r="UCF163" s="125"/>
      <c r="UCG163" s="125"/>
      <c r="UCH163" s="125"/>
      <c r="UCI163" s="125"/>
      <c r="UCJ163" s="125"/>
      <c r="UCK163" s="125"/>
      <c r="UCL163" s="125"/>
      <c r="UCM163" s="125"/>
      <c r="UCN163" s="125"/>
      <c r="UCO163" s="125"/>
      <c r="UCP163" s="125"/>
      <c r="UCQ163" s="125"/>
      <c r="UCR163" s="125"/>
      <c r="UCS163" s="125"/>
      <c r="UCT163" s="125"/>
      <c r="UCU163" s="125"/>
      <c r="UCV163" s="125"/>
      <c r="UCW163" s="125"/>
      <c r="UCX163" s="125"/>
      <c r="UCY163" s="125"/>
      <c r="UCZ163" s="125"/>
      <c r="UDA163" s="125"/>
      <c r="UDB163" s="125"/>
      <c r="UDC163" s="125"/>
      <c r="UDD163" s="125"/>
      <c r="UDE163" s="125"/>
      <c r="UDF163" s="125"/>
      <c r="UDG163" s="125"/>
      <c r="UDH163" s="125"/>
      <c r="UDI163" s="125"/>
      <c r="UDJ163" s="125"/>
      <c r="UDK163" s="125"/>
      <c r="UDL163" s="125"/>
      <c r="UDM163" s="125"/>
      <c r="UDN163" s="125"/>
      <c r="UDO163" s="125"/>
      <c r="UDP163" s="125"/>
      <c r="UDQ163" s="125"/>
      <c r="UDR163" s="125"/>
      <c r="UDS163" s="125"/>
      <c r="UDT163" s="125"/>
      <c r="UDU163" s="125"/>
      <c r="UDV163" s="125"/>
      <c r="UDW163" s="125"/>
      <c r="UDX163" s="125"/>
      <c r="UDY163" s="125"/>
      <c r="UDZ163" s="125"/>
      <c r="UEA163" s="125"/>
      <c r="UEB163" s="125"/>
      <c r="UEC163" s="125"/>
      <c r="UED163" s="125"/>
      <c r="UEE163" s="125"/>
      <c r="UEF163" s="125"/>
      <c r="UEG163" s="125"/>
      <c r="UEH163" s="125"/>
      <c r="UEI163" s="125"/>
      <c r="UEJ163" s="125"/>
      <c r="UEK163" s="125"/>
      <c r="UEL163" s="125"/>
      <c r="UEM163" s="125"/>
      <c r="UEN163" s="125"/>
      <c r="UEO163" s="125"/>
      <c r="UEP163" s="125"/>
      <c r="UEQ163" s="125"/>
      <c r="UER163" s="125"/>
      <c r="UES163" s="125"/>
      <c r="UET163" s="125"/>
      <c r="UEU163" s="125"/>
      <c r="UEV163" s="125"/>
      <c r="UEW163" s="125"/>
      <c r="UEX163" s="125"/>
      <c r="UEY163" s="125"/>
      <c r="UEZ163" s="125"/>
      <c r="UFA163" s="125"/>
      <c r="UFB163" s="125"/>
      <c r="UFC163" s="125"/>
      <c r="UFD163" s="125"/>
      <c r="UFE163" s="125"/>
      <c r="UFF163" s="125"/>
      <c r="UFG163" s="125"/>
      <c r="UFH163" s="125"/>
      <c r="UFI163" s="125"/>
      <c r="UFJ163" s="125"/>
      <c r="UFK163" s="125"/>
      <c r="UFL163" s="125"/>
      <c r="UFM163" s="125"/>
      <c r="UFN163" s="125"/>
      <c r="UFO163" s="125"/>
      <c r="UFP163" s="125"/>
      <c r="UFQ163" s="125"/>
      <c r="UFR163" s="125"/>
      <c r="UFS163" s="125"/>
      <c r="UFT163" s="125"/>
      <c r="UFU163" s="125"/>
      <c r="UFV163" s="125"/>
      <c r="UFW163" s="125"/>
      <c r="UFX163" s="125"/>
      <c r="UFY163" s="125"/>
      <c r="UFZ163" s="125"/>
      <c r="UGA163" s="125"/>
      <c r="UGB163" s="125"/>
      <c r="UGC163" s="125"/>
      <c r="UGD163" s="125"/>
      <c r="UGE163" s="125"/>
      <c r="UGF163" s="125"/>
      <c r="UGG163" s="125"/>
      <c r="UGH163" s="125"/>
      <c r="UGI163" s="125"/>
      <c r="UGJ163" s="125"/>
      <c r="UGK163" s="125"/>
      <c r="UGL163" s="125"/>
      <c r="UGM163" s="125"/>
      <c r="UGN163" s="125"/>
      <c r="UGO163" s="125"/>
      <c r="UGP163" s="125"/>
      <c r="UGQ163" s="125"/>
      <c r="UGR163" s="125"/>
      <c r="UGS163" s="125"/>
      <c r="UGT163" s="125"/>
      <c r="UGU163" s="125"/>
      <c r="UGV163" s="125"/>
      <c r="UGW163" s="125"/>
      <c r="UGX163" s="125"/>
      <c r="UGY163" s="125"/>
      <c r="UGZ163" s="125"/>
      <c r="UHA163" s="125"/>
      <c r="UHB163" s="125"/>
      <c r="UHC163" s="125"/>
      <c r="UHD163" s="125"/>
      <c r="UHE163" s="125"/>
      <c r="UHF163" s="125"/>
      <c r="UHG163" s="125"/>
      <c r="UHH163" s="125"/>
      <c r="UHI163" s="125"/>
      <c r="UHJ163" s="125"/>
      <c r="UHK163" s="125"/>
      <c r="UHL163" s="125"/>
      <c r="UHM163" s="125"/>
      <c r="UHN163" s="125"/>
      <c r="UHO163" s="125"/>
      <c r="UHP163" s="125"/>
      <c r="UHQ163" s="125"/>
      <c r="UHR163" s="125"/>
      <c r="UHS163" s="125"/>
      <c r="UHT163" s="125"/>
      <c r="UHU163" s="125"/>
      <c r="UHV163" s="125"/>
      <c r="UHW163" s="125"/>
      <c r="UHX163" s="125"/>
      <c r="UHY163" s="125"/>
      <c r="UHZ163" s="125"/>
      <c r="UIA163" s="125"/>
      <c r="UIB163" s="125"/>
      <c r="UIC163" s="125"/>
      <c r="UID163" s="125"/>
      <c r="UIE163" s="125"/>
      <c r="UIF163" s="125"/>
      <c r="UIG163" s="125"/>
      <c r="UIH163" s="125"/>
      <c r="UII163" s="125"/>
      <c r="UIJ163" s="125"/>
      <c r="UIK163" s="125"/>
      <c r="UIL163" s="125"/>
      <c r="UIM163" s="125"/>
      <c r="UIN163" s="125"/>
      <c r="UIO163" s="125"/>
      <c r="UIP163" s="125"/>
      <c r="UIQ163" s="125"/>
      <c r="UIR163" s="125"/>
      <c r="UIS163" s="125"/>
      <c r="UIT163" s="125"/>
      <c r="UIU163" s="125"/>
      <c r="UIV163" s="125"/>
      <c r="UIW163" s="125"/>
      <c r="UIX163" s="125"/>
      <c r="UIY163" s="125"/>
      <c r="UIZ163" s="125"/>
      <c r="UJA163" s="125"/>
      <c r="UJB163" s="125"/>
      <c r="UJC163" s="125"/>
      <c r="UJD163" s="125"/>
      <c r="UJE163" s="125"/>
      <c r="UJF163" s="125"/>
      <c r="UJG163" s="125"/>
      <c r="UJH163" s="125"/>
      <c r="UJI163" s="125"/>
      <c r="UJJ163" s="125"/>
      <c r="UJK163" s="125"/>
      <c r="UJL163" s="125"/>
      <c r="UJM163" s="125"/>
      <c r="UJN163" s="125"/>
      <c r="UJO163" s="125"/>
      <c r="UJP163" s="125"/>
      <c r="UJQ163" s="125"/>
      <c r="UJR163" s="125"/>
      <c r="UJS163" s="125"/>
      <c r="UJT163" s="125"/>
      <c r="UJU163" s="125"/>
      <c r="UJV163" s="125"/>
      <c r="UJW163" s="125"/>
      <c r="UJX163" s="125"/>
      <c r="UJY163" s="125"/>
      <c r="UJZ163" s="125"/>
      <c r="UKA163" s="125"/>
      <c r="UKB163" s="125"/>
      <c r="UKC163" s="125"/>
      <c r="UKD163" s="125"/>
      <c r="UKE163" s="125"/>
      <c r="UKF163" s="125"/>
      <c r="UKG163" s="125"/>
      <c r="UKH163" s="125"/>
      <c r="UKI163" s="125"/>
      <c r="UKJ163" s="125"/>
      <c r="UKK163" s="125"/>
      <c r="UKL163" s="125"/>
      <c r="UKM163" s="125"/>
      <c r="UKN163" s="125"/>
      <c r="UKO163" s="125"/>
      <c r="UKP163" s="125"/>
      <c r="UKQ163" s="125"/>
      <c r="UKR163" s="125"/>
      <c r="UKS163" s="125"/>
      <c r="UKT163" s="125"/>
      <c r="UKU163" s="125"/>
      <c r="UKV163" s="125"/>
      <c r="UKW163" s="125"/>
      <c r="UKX163" s="125"/>
      <c r="UKY163" s="125"/>
      <c r="UKZ163" s="125"/>
      <c r="ULA163" s="125"/>
      <c r="ULB163" s="125"/>
      <c r="ULC163" s="125"/>
      <c r="ULD163" s="125"/>
      <c r="ULE163" s="125"/>
      <c r="ULF163" s="125"/>
      <c r="ULG163" s="125"/>
      <c r="ULH163" s="125"/>
      <c r="ULI163" s="125"/>
      <c r="ULJ163" s="125"/>
      <c r="ULK163" s="125"/>
      <c r="ULL163" s="125"/>
      <c r="ULM163" s="125"/>
      <c r="ULN163" s="125"/>
      <c r="ULO163" s="125"/>
      <c r="ULP163" s="125"/>
      <c r="ULQ163" s="125"/>
      <c r="ULR163" s="125"/>
      <c r="ULS163" s="125"/>
      <c r="ULT163" s="125"/>
      <c r="ULU163" s="125"/>
      <c r="ULV163" s="125"/>
      <c r="ULW163" s="125"/>
      <c r="ULX163" s="125"/>
      <c r="ULY163" s="125"/>
      <c r="ULZ163" s="125"/>
      <c r="UMA163" s="125"/>
      <c r="UMB163" s="125"/>
      <c r="UMC163" s="125"/>
      <c r="UMD163" s="125"/>
      <c r="UME163" s="125"/>
      <c r="UMF163" s="125"/>
      <c r="UMG163" s="125"/>
      <c r="UMH163" s="125"/>
      <c r="UMI163" s="125"/>
      <c r="UMJ163" s="125"/>
      <c r="UMK163" s="125"/>
      <c r="UML163" s="125"/>
      <c r="UMM163" s="125"/>
      <c r="UMN163" s="125"/>
      <c r="UMO163" s="125"/>
      <c r="UMP163" s="125"/>
      <c r="UMQ163" s="125"/>
      <c r="UMR163" s="125"/>
      <c r="UMS163" s="125"/>
      <c r="UMT163" s="125"/>
      <c r="UMU163" s="125"/>
      <c r="UMV163" s="125"/>
      <c r="UMW163" s="125"/>
      <c r="UMX163" s="125"/>
      <c r="UMY163" s="125"/>
      <c r="UMZ163" s="125"/>
      <c r="UNA163" s="125"/>
      <c r="UNB163" s="125"/>
      <c r="UNC163" s="125"/>
      <c r="UND163" s="125"/>
      <c r="UNE163" s="125"/>
      <c r="UNF163" s="125"/>
      <c r="UNG163" s="125"/>
      <c r="UNH163" s="125"/>
      <c r="UNI163" s="125"/>
      <c r="UNJ163" s="125"/>
      <c r="UNK163" s="125"/>
      <c r="UNL163" s="125"/>
      <c r="UNM163" s="125"/>
      <c r="UNN163" s="125"/>
      <c r="UNO163" s="125"/>
      <c r="UNP163" s="125"/>
      <c r="UNQ163" s="125"/>
      <c r="UNR163" s="125"/>
      <c r="UNS163" s="125"/>
      <c r="UNT163" s="125"/>
      <c r="UNU163" s="125"/>
      <c r="UNV163" s="125"/>
      <c r="UNW163" s="125"/>
      <c r="UNX163" s="125"/>
      <c r="UNY163" s="125"/>
      <c r="UNZ163" s="125"/>
      <c r="UOA163" s="125"/>
      <c r="UOB163" s="125"/>
      <c r="UOC163" s="125"/>
      <c r="UOD163" s="125"/>
      <c r="UOE163" s="125"/>
      <c r="UOF163" s="125"/>
      <c r="UOG163" s="125"/>
      <c r="UOH163" s="125"/>
      <c r="UOI163" s="125"/>
      <c r="UOJ163" s="125"/>
      <c r="UOK163" s="125"/>
      <c r="UOL163" s="125"/>
      <c r="UOM163" s="125"/>
      <c r="UON163" s="125"/>
      <c r="UOO163" s="125"/>
      <c r="UOP163" s="125"/>
      <c r="UOQ163" s="125"/>
      <c r="UOR163" s="125"/>
      <c r="UOS163" s="125"/>
      <c r="UOT163" s="125"/>
      <c r="UOU163" s="125"/>
      <c r="UOV163" s="125"/>
      <c r="UOW163" s="125"/>
      <c r="UOX163" s="125"/>
      <c r="UOY163" s="125"/>
      <c r="UOZ163" s="125"/>
      <c r="UPA163" s="125"/>
      <c r="UPB163" s="125"/>
      <c r="UPC163" s="125"/>
      <c r="UPD163" s="125"/>
      <c r="UPE163" s="125"/>
      <c r="UPF163" s="125"/>
      <c r="UPG163" s="125"/>
      <c r="UPH163" s="125"/>
      <c r="UPI163" s="125"/>
      <c r="UPJ163" s="125"/>
      <c r="UPK163" s="125"/>
      <c r="UPL163" s="125"/>
      <c r="UPM163" s="125"/>
      <c r="UPN163" s="125"/>
      <c r="UPO163" s="125"/>
      <c r="UPP163" s="125"/>
      <c r="UPQ163" s="125"/>
      <c r="UPR163" s="125"/>
      <c r="UPS163" s="125"/>
      <c r="UPT163" s="125"/>
      <c r="UPU163" s="125"/>
      <c r="UPV163" s="125"/>
      <c r="UPW163" s="125"/>
      <c r="UPX163" s="125"/>
      <c r="UPY163" s="125"/>
      <c r="UPZ163" s="125"/>
      <c r="UQA163" s="125"/>
      <c r="UQB163" s="125"/>
      <c r="UQC163" s="125"/>
      <c r="UQD163" s="125"/>
      <c r="UQE163" s="125"/>
      <c r="UQF163" s="125"/>
      <c r="UQG163" s="125"/>
      <c r="UQH163" s="125"/>
      <c r="UQI163" s="125"/>
      <c r="UQJ163" s="125"/>
      <c r="UQK163" s="125"/>
      <c r="UQL163" s="125"/>
      <c r="UQM163" s="125"/>
      <c r="UQN163" s="125"/>
      <c r="UQO163" s="125"/>
      <c r="UQP163" s="125"/>
      <c r="UQQ163" s="125"/>
      <c r="UQR163" s="125"/>
      <c r="UQS163" s="125"/>
      <c r="UQT163" s="125"/>
      <c r="UQU163" s="125"/>
      <c r="UQV163" s="125"/>
      <c r="UQW163" s="125"/>
      <c r="UQX163" s="125"/>
      <c r="UQY163" s="125"/>
      <c r="UQZ163" s="125"/>
      <c r="URA163" s="125"/>
      <c r="URB163" s="125"/>
      <c r="URC163" s="125"/>
      <c r="URD163" s="125"/>
      <c r="URE163" s="125"/>
      <c r="URF163" s="125"/>
      <c r="URG163" s="125"/>
      <c r="URH163" s="125"/>
      <c r="URI163" s="125"/>
      <c r="URJ163" s="125"/>
      <c r="URK163" s="125"/>
      <c r="URL163" s="125"/>
      <c r="URM163" s="125"/>
      <c r="URN163" s="125"/>
      <c r="URO163" s="125"/>
      <c r="URP163" s="125"/>
      <c r="URQ163" s="125"/>
      <c r="URR163" s="125"/>
      <c r="URS163" s="125"/>
      <c r="URT163" s="125"/>
      <c r="URU163" s="125"/>
      <c r="URV163" s="125"/>
      <c r="URW163" s="125"/>
      <c r="URX163" s="125"/>
      <c r="URY163" s="125"/>
      <c r="URZ163" s="125"/>
      <c r="USA163" s="125"/>
      <c r="USB163" s="125"/>
      <c r="USC163" s="125"/>
      <c r="USD163" s="125"/>
      <c r="USE163" s="125"/>
      <c r="USF163" s="125"/>
      <c r="USG163" s="125"/>
      <c r="USH163" s="125"/>
      <c r="USI163" s="125"/>
      <c r="USJ163" s="125"/>
      <c r="USK163" s="125"/>
      <c r="USL163" s="125"/>
      <c r="USM163" s="125"/>
      <c r="USN163" s="125"/>
      <c r="USO163" s="125"/>
      <c r="USP163" s="125"/>
      <c r="USQ163" s="125"/>
      <c r="USR163" s="125"/>
      <c r="USS163" s="125"/>
      <c r="UST163" s="125"/>
      <c r="USU163" s="125"/>
      <c r="USV163" s="125"/>
      <c r="USW163" s="125"/>
      <c r="USX163" s="125"/>
      <c r="USY163" s="125"/>
      <c r="USZ163" s="125"/>
      <c r="UTA163" s="125"/>
      <c r="UTB163" s="125"/>
      <c r="UTC163" s="125"/>
      <c r="UTD163" s="125"/>
      <c r="UTE163" s="125"/>
      <c r="UTF163" s="125"/>
      <c r="UTG163" s="125"/>
      <c r="UTH163" s="125"/>
      <c r="UTI163" s="125"/>
      <c r="UTJ163" s="125"/>
      <c r="UTK163" s="125"/>
      <c r="UTL163" s="125"/>
      <c r="UTM163" s="125"/>
      <c r="UTN163" s="125"/>
      <c r="UTO163" s="125"/>
      <c r="UTP163" s="125"/>
      <c r="UTQ163" s="125"/>
      <c r="UTR163" s="125"/>
      <c r="UTS163" s="125"/>
      <c r="UTT163" s="125"/>
      <c r="UTU163" s="125"/>
      <c r="UTV163" s="125"/>
      <c r="UTW163" s="125"/>
      <c r="UTX163" s="125"/>
      <c r="UTY163" s="125"/>
      <c r="UTZ163" s="125"/>
      <c r="UUA163" s="125"/>
      <c r="UUB163" s="125"/>
      <c r="UUC163" s="125"/>
      <c r="UUD163" s="125"/>
      <c r="UUE163" s="125"/>
      <c r="UUF163" s="125"/>
      <c r="UUG163" s="125"/>
      <c r="UUH163" s="125"/>
      <c r="UUI163" s="125"/>
      <c r="UUJ163" s="125"/>
      <c r="UUK163" s="125"/>
      <c r="UUL163" s="125"/>
      <c r="UUM163" s="125"/>
      <c r="UUN163" s="125"/>
      <c r="UUO163" s="125"/>
      <c r="UUP163" s="125"/>
      <c r="UUQ163" s="125"/>
      <c r="UUR163" s="125"/>
      <c r="UUS163" s="125"/>
      <c r="UUT163" s="125"/>
      <c r="UUU163" s="125"/>
      <c r="UUV163" s="125"/>
      <c r="UUW163" s="125"/>
      <c r="UUX163" s="125"/>
      <c r="UUY163" s="125"/>
      <c r="UUZ163" s="125"/>
      <c r="UVA163" s="125"/>
      <c r="UVB163" s="125"/>
      <c r="UVC163" s="125"/>
      <c r="UVD163" s="125"/>
      <c r="UVE163" s="125"/>
      <c r="UVF163" s="125"/>
      <c r="UVG163" s="125"/>
      <c r="UVH163" s="125"/>
      <c r="UVI163" s="125"/>
      <c r="UVJ163" s="125"/>
      <c r="UVK163" s="125"/>
      <c r="UVL163" s="125"/>
      <c r="UVM163" s="125"/>
      <c r="UVN163" s="125"/>
      <c r="UVO163" s="125"/>
      <c r="UVP163" s="125"/>
      <c r="UVQ163" s="125"/>
      <c r="UVR163" s="125"/>
      <c r="UVS163" s="125"/>
      <c r="UVT163" s="125"/>
      <c r="UVU163" s="125"/>
      <c r="UVV163" s="125"/>
      <c r="UVW163" s="125"/>
      <c r="UVX163" s="125"/>
      <c r="UVY163" s="125"/>
      <c r="UVZ163" s="125"/>
      <c r="UWA163" s="125"/>
      <c r="UWB163" s="125"/>
      <c r="UWC163" s="125"/>
      <c r="UWD163" s="125"/>
      <c r="UWE163" s="125"/>
      <c r="UWF163" s="125"/>
      <c r="UWG163" s="125"/>
      <c r="UWH163" s="125"/>
      <c r="UWI163" s="125"/>
      <c r="UWJ163" s="125"/>
      <c r="UWK163" s="125"/>
      <c r="UWL163" s="125"/>
      <c r="UWM163" s="125"/>
      <c r="UWN163" s="125"/>
      <c r="UWO163" s="125"/>
      <c r="UWP163" s="125"/>
      <c r="UWQ163" s="125"/>
      <c r="UWR163" s="125"/>
      <c r="UWS163" s="125"/>
      <c r="UWT163" s="125"/>
      <c r="UWU163" s="125"/>
      <c r="UWV163" s="125"/>
      <c r="UWW163" s="125"/>
      <c r="UWX163" s="125"/>
      <c r="UWY163" s="125"/>
      <c r="UWZ163" s="125"/>
      <c r="UXA163" s="125"/>
      <c r="UXB163" s="125"/>
      <c r="UXC163" s="125"/>
      <c r="UXD163" s="125"/>
      <c r="UXE163" s="125"/>
      <c r="UXF163" s="125"/>
      <c r="UXG163" s="125"/>
      <c r="UXH163" s="125"/>
      <c r="UXI163" s="125"/>
      <c r="UXJ163" s="125"/>
      <c r="UXK163" s="125"/>
      <c r="UXL163" s="125"/>
      <c r="UXM163" s="125"/>
      <c r="UXN163" s="125"/>
      <c r="UXO163" s="125"/>
      <c r="UXP163" s="125"/>
      <c r="UXQ163" s="125"/>
      <c r="UXR163" s="125"/>
      <c r="UXS163" s="125"/>
      <c r="UXT163" s="125"/>
      <c r="UXU163" s="125"/>
      <c r="UXV163" s="125"/>
      <c r="UXW163" s="125"/>
      <c r="UXX163" s="125"/>
      <c r="UXY163" s="125"/>
      <c r="UXZ163" s="125"/>
      <c r="UYA163" s="125"/>
      <c r="UYB163" s="125"/>
      <c r="UYC163" s="125"/>
      <c r="UYD163" s="125"/>
      <c r="UYE163" s="125"/>
      <c r="UYF163" s="125"/>
      <c r="UYG163" s="125"/>
      <c r="UYH163" s="125"/>
      <c r="UYI163" s="125"/>
      <c r="UYJ163" s="125"/>
      <c r="UYK163" s="125"/>
      <c r="UYL163" s="125"/>
      <c r="UYM163" s="125"/>
      <c r="UYN163" s="125"/>
      <c r="UYO163" s="125"/>
      <c r="UYP163" s="125"/>
      <c r="UYQ163" s="125"/>
      <c r="UYR163" s="125"/>
      <c r="UYS163" s="125"/>
      <c r="UYT163" s="125"/>
      <c r="UYU163" s="125"/>
      <c r="UYV163" s="125"/>
      <c r="UYW163" s="125"/>
      <c r="UYX163" s="125"/>
      <c r="UYY163" s="125"/>
      <c r="UYZ163" s="125"/>
      <c r="UZA163" s="125"/>
      <c r="UZB163" s="125"/>
      <c r="UZC163" s="125"/>
      <c r="UZD163" s="125"/>
      <c r="UZE163" s="125"/>
      <c r="UZF163" s="125"/>
      <c r="UZG163" s="125"/>
      <c r="UZH163" s="125"/>
      <c r="UZI163" s="125"/>
      <c r="UZJ163" s="125"/>
      <c r="UZK163" s="125"/>
      <c r="UZL163" s="125"/>
      <c r="UZM163" s="125"/>
      <c r="UZN163" s="125"/>
      <c r="UZO163" s="125"/>
      <c r="UZP163" s="125"/>
      <c r="UZQ163" s="125"/>
      <c r="UZR163" s="125"/>
      <c r="UZS163" s="125"/>
      <c r="UZT163" s="125"/>
      <c r="UZU163" s="125"/>
      <c r="UZV163" s="125"/>
      <c r="UZW163" s="125"/>
      <c r="UZX163" s="125"/>
      <c r="UZY163" s="125"/>
      <c r="UZZ163" s="125"/>
      <c r="VAA163" s="125"/>
      <c r="VAB163" s="125"/>
      <c r="VAC163" s="125"/>
      <c r="VAD163" s="125"/>
      <c r="VAE163" s="125"/>
      <c r="VAF163" s="125"/>
      <c r="VAG163" s="125"/>
      <c r="VAH163" s="125"/>
      <c r="VAI163" s="125"/>
      <c r="VAJ163" s="125"/>
      <c r="VAK163" s="125"/>
      <c r="VAL163" s="125"/>
      <c r="VAM163" s="125"/>
      <c r="VAN163" s="125"/>
      <c r="VAO163" s="125"/>
      <c r="VAP163" s="125"/>
      <c r="VAQ163" s="125"/>
      <c r="VAR163" s="125"/>
      <c r="VAS163" s="125"/>
      <c r="VAT163" s="125"/>
      <c r="VAU163" s="125"/>
      <c r="VAV163" s="125"/>
      <c r="VAW163" s="125"/>
      <c r="VAX163" s="125"/>
      <c r="VAY163" s="125"/>
      <c r="VAZ163" s="125"/>
      <c r="VBA163" s="125"/>
      <c r="VBB163" s="125"/>
      <c r="VBC163" s="125"/>
      <c r="VBD163" s="125"/>
      <c r="VBE163" s="125"/>
      <c r="VBF163" s="125"/>
      <c r="VBG163" s="125"/>
      <c r="VBH163" s="125"/>
      <c r="VBI163" s="125"/>
      <c r="VBJ163" s="125"/>
      <c r="VBK163" s="125"/>
      <c r="VBL163" s="125"/>
      <c r="VBM163" s="125"/>
      <c r="VBN163" s="125"/>
      <c r="VBO163" s="125"/>
      <c r="VBP163" s="125"/>
      <c r="VBQ163" s="125"/>
      <c r="VBR163" s="125"/>
      <c r="VBS163" s="125"/>
      <c r="VBT163" s="125"/>
      <c r="VBU163" s="125"/>
      <c r="VBV163" s="125"/>
      <c r="VBW163" s="125"/>
      <c r="VBX163" s="125"/>
      <c r="VBY163" s="125"/>
      <c r="VBZ163" s="125"/>
      <c r="VCA163" s="125"/>
      <c r="VCB163" s="125"/>
      <c r="VCC163" s="125"/>
      <c r="VCD163" s="125"/>
      <c r="VCE163" s="125"/>
      <c r="VCF163" s="125"/>
      <c r="VCG163" s="125"/>
      <c r="VCH163" s="125"/>
      <c r="VCI163" s="125"/>
      <c r="VCJ163" s="125"/>
      <c r="VCK163" s="125"/>
      <c r="VCL163" s="125"/>
      <c r="VCM163" s="125"/>
      <c r="VCN163" s="125"/>
      <c r="VCO163" s="125"/>
      <c r="VCP163" s="125"/>
      <c r="VCQ163" s="125"/>
      <c r="VCR163" s="125"/>
      <c r="VCS163" s="125"/>
      <c r="VCT163" s="125"/>
      <c r="VCU163" s="125"/>
      <c r="VCV163" s="125"/>
      <c r="VCW163" s="125"/>
      <c r="VCX163" s="125"/>
      <c r="VCY163" s="125"/>
      <c r="VCZ163" s="125"/>
      <c r="VDA163" s="125"/>
      <c r="VDB163" s="125"/>
      <c r="VDC163" s="125"/>
      <c r="VDD163" s="125"/>
      <c r="VDE163" s="125"/>
      <c r="VDF163" s="125"/>
      <c r="VDG163" s="125"/>
      <c r="VDH163" s="125"/>
      <c r="VDI163" s="125"/>
      <c r="VDJ163" s="125"/>
      <c r="VDK163" s="125"/>
      <c r="VDL163" s="125"/>
      <c r="VDM163" s="125"/>
      <c r="VDN163" s="125"/>
      <c r="VDO163" s="125"/>
      <c r="VDP163" s="125"/>
      <c r="VDQ163" s="125"/>
      <c r="VDR163" s="125"/>
      <c r="VDS163" s="125"/>
      <c r="VDT163" s="125"/>
      <c r="VDU163" s="125"/>
      <c r="VDV163" s="125"/>
      <c r="VDW163" s="125"/>
      <c r="VDX163" s="125"/>
      <c r="VDY163" s="125"/>
      <c r="VDZ163" s="125"/>
      <c r="VEA163" s="125"/>
      <c r="VEB163" s="125"/>
      <c r="VEC163" s="125"/>
      <c r="VED163" s="125"/>
      <c r="VEE163" s="125"/>
      <c r="VEF163" s="125"/>
      <c r="VEG163" s="125"/>
      <c r="VEH163" s="125"/>
      <c r="VEI163" s="125"/>
      <c r="VEJ163" s="125"/>
      <c r="VEK163" s="125"/>
      <c r="VEL163" s="125"/>
      <c r="VEM163" s="125"/>
      <c r="VEN163" s="125"/>
      <c r="VEO163" s="125"/>
      <c r="VEP163" s="125"/>
      <c r="VEQ163" s="125"/>
      <c r="VER163" s="125"/>
      <c r="VES163" s="125"/>
      <c r="VET163" s="125"/>
      <c r="VEU163" s="125"/>
      <c r="VEV163" s="125"/>
      <c r="VEW163" s="125"/>
      <c r="VEX163" s="125"/>
      <c r="VEY163" s="125"/>
      <c r="VEZ163" s="125"/>
      <c r="VFA163" s="125"/>
      <c r="VFB163" s="125"/>
      <c r="VFC163" s="125"/>
      <c r="VFD163" s="125"/>
      <c r="VFE163" s="125"/>
      <c r="VFF163" s="125"/>
      <c r="VFG163" s="125"/>
      <c r="VFH163" s="125"/>
      <c r="VFI163" s="125"/>
      <c r="VFJ163" s="125"/>
      <c r="VFK163" s="125"/>
      <c r="VFL163" s="125"/>
      <c r="VFM163" s="125"/>
      <c r="VFN163" s="125"/>
      <c r="VFO163" s="125"/>
      <c r="VFP163" s="125"/>
      <c r="VFQ163" s="125"/>
      <c r="VFR163" s="125"/>
      <c r="VFS163" s="125"/>
      <c r="VFT163" s="125"/>
      <c r="VFU163" s="125"/>
      <c r="VFV163" s="125"/>
      <c r="VFW163" s="125"/>
      <c r="VFX163" s="125"/>
      <c r="VFY163" s="125"/>
      <c r="VFZ163" s="125"/>
      <c r="VGA163" s="125"/>
      <c r="VGB163" s="125"/>
      <c r="VGC163" s="125"/>
      <c r="VGD163" s="125"/>
      <c r="VGE163" s="125"/>
      <c r="VGF163" s="125"/>
      <c r="VGG163" s="125"/>
      <c r="VGH163" s="125"/>
      <c r="VGI163" s="125"/>
      <c r="VGJ163" s="125"/>
      <c r="VGK163" s="125"/>
      <c r="VGL163" s="125"/>
      <c r="VGM163" s="125"/>
      <c r="VGN163" s="125"/>
      <c r="VGO163" s="125"/>
      <c r="VGP163" s="125"/>
      <c r="VGQ163" s="125"/>
      <c r="VGR163" s="125"/>
      <c r="VGS163" s="125"/>
      <c r="VGT163" s="125"/>
      <c r="VGU163" s="125"/>
      <c r="VGV163" s="125"/>
      <c r="VGW163" s="125"/>
      <c r="VGX163" s="125"/>
      <c r="VGY163" s="125"/>
      <c r="VGZ163" s="125"/>
      <c r="VHA163" s="125"/>
      <c r="VHB163" s="125"/>
      <c r="VHC163" s="125"/>
      <c r="VHD163" s="125"/>
      <c r="VHE163" s="125"/>
      <c r="VHF163" s="125"/>
      <c r="VHG163" s="125"/>
      <c r="VHH163" s="125"/>
      <c r="VHI163" s="125"/>
      <c r="VHJ163" s="125"/>
      <c r="VHK163" s="125"/>
      <c r="VHL163" s="125"/>
      <c r="VHM163" s="125"/>
      <c r="VHN163" s="125"/>
      <c r="VHO163" s="125"/>
      <c r="VHP163" s="125"/>
      <c r="VHQ163" s="125"/>
      <c r="VHR163" s="125"/>
      <c r="VHS163" s="125"/>
      <c r="VHT163" s="125"/>
      <c r="VHU163" s="125"/>
      <c r="VHV163" s="125"/>
      <c r="VHW163" s="125"/>
      <c r="VHX163" s="125"/>
      <c r="VHY163" s="125"/>
      <c r="VHZ163" s="125"/>
      <c r="VIA163" s="125"/>
      <c r="VIB163" s="125"/>
      <c r="VIC163" s="125"/>
      <c r="VID163" s="125"/>
      <c r="VIE163" s="125"/>
      <c r="VIF163" s="125"/>
      <c r="VIG163" s="125"/>
      <c r="VIH163" s="125"/>
      <c r="VII163" s="125"/>
      <c r="VIJ163" s="125"/>
      <c r="VIK163" s="125"/>
      <c r="VIL163" s="125"/>
      <c r="VIM163" s="125"/>
      <c r="VIN163" s="125"/>
      <c r="VIO163" s="125"/>
      <c r="VIP163" s="125"/>
      <c r="VIQ163" s="125"/>
      <c r="VIR163" s="125"/>
      <c r="VIS163" s="125"/>
      <c r="VIT163" s="125"/>
      <c r="VIU163" s="125"/>
      <c r="VIV163" s="125"/>
      <c r="VIW163" s="125"/>
      <c r="VIX163" s="125"/>
      <c r="VIY163" s="125"/>
      <c r="VIZ163" s="125"/>
      <c r="VJA163" s="125"/>
      <c r="VJB163" s="125"/>
      <c r="VJC163" s="125"/>
      <c r="VJD163" s="125"/>
      <c r="VJE163" s="125"/>
      <c r="VJF163" s="125"/>
      <c r="VJG163" s="125"/>
      <c r="VJH163" s="125"/>
      <c r="VJI163" s="125"/>
      <c r="VJJ163" s="125"/>
      <c r="VJK163" s="125"/>
      <c r="VJL163" s="125"/>
      <c r="VJM163" s="125"/>
      <c r="VJN163" s="125"/>
      <c r="VJO163" s="125"/>
      <c r="VJP163" s="125"/>
      <c r="VJQ163" s="125"/>
      <c r="VJR163" s="125"/>
      <c r="VJS163" s="125"/>
      <c r="VJT163" s="125"/>
      <c r="VJU163" s="125"/>
      <c r="VJV163" s="125"/>
      <c r="VJW163" s="125"/>
      <c r="VJX163" s="125"/>
      <c r="VJY163" s="125"/>
      <c r="VJZ163" s="125"/>
      <c r="VKA163" s="125"/>
      <c r="VKB163" s="125"/>
      <c r="VKC163" s="125"/>
      <c r="VKD163" s="125"/>
      <c r="VKE163" s="125"/>
      <c r="VKF163" s="125"/>
      <c r="VKG163" s="125"/>
      <c r="VKH163" s="125"/>
      <c r="VKI163" s="125"/>
      <c r="VKJ163" s="125"/>
      <c r="VKK163" s="125"/>
      <c r="VKL163" s="125"/>
      <c r="VKM163" s="125"/>
      <c r="VKN163" s="125"/>
      <c r="VKO163" s="125"/>
      <c r="VKP163" s="125"/>
      <c r="VKQ163" s="125"/>
      <c r="VKR163" s="125"/>
      <c r="VKS163" s="125"/>
      <c r="VKT163" s="125"/>
      <c r="VKU163" s="125"/>
      <c r="VKV163" s="125"/>
      <c r="VKW163" s="125"/>
      <c r="VKX163" s="125"/>
      <c r="VKY163" s="125"/>
      <c r="VKZ163" s="125"/>
      <c r="VLA163" s="125"/>
      <c r="VLB163" s="125"/>
      <c r="VLC163" s="125"/>
      <c r="VLD163" s="125"/>
      <c r="VLE163" s="125"/>
      <c r="VLF163" s="125"/>
      <c r="VLG163" s="125"/>
      <c r="VLH163" s="125"/>
      <c r="VLI163" s="125"/>
      <c r="VLJ163" s="125"/>
      <c r="VLK163" s="125"/>
      <c r="VLL163" s="125"/>
      <c r="VLM163" s="125"/>
      <c r="VLN163" s="125"/>
      <c r="VLO163" s="125"/>
      <c r="VLP163" s="125"/>
      <c r="VLQ163" s="125"/>
      <c r="VLR163" s="125"/>
      <c r="VLS163" s="125"/>
      <c r="VLT163" s="125"/>
      <c r="VLU163" s="125"/>
      <c r="VLV163" s="125"/>
      <c r="VLW163" s="125"/>
      <c r="VLX163" s="125"/>
      <c r="VLY163" s="125"/>
      <c r="VLZ163" s="125"/>
      <c r="VMA163" s="125"/>
      <c r="VMB163" s="125"/>
      <c r="VMC163" s="125"/>
      <c r="VMD163" s="125"/>
      <c r="VME163" s="125"/>
      <c r="VMF163" s="125"/>
      <c r="VMG163" s="125"/>
      <c r="VMH163" s="125"/>
      <c r="VMI163" s="125"/>
      <c r="VMJ163" s="125"/>
      <c r="VMK163" s="125"/>
      <c r="VML163" s="125"/>
      <c r="VMM163" s="125"/>
      <c r="VMN163" s="125"/>
      <c r="VMO163" s="125"/>
      <c r="VMP163" s="125"/>
      <c r="VMQ163" s="125"/>
      <c r="VMR163" s="125"/>
      <c r="VMS163" s="125"/>
      <c r="VMT163" s="125"/>
      <c r="VMU163" s="125"/>
      <c r="VMV163" s="125"/>
      <c r="VMW163" s="125"/>
      <c r="VMX163" s="125"/>
      <c r="VMY163" s="125"/>
      <c r="VMZ163" s="125"/>
      <c r="VNA163" s="125"/>
      <c r="VNB163" s="125"/>
      <c r="VNC163" s="125"/>
      <c r="VND163" s="125"/>
      <c r="VNE163" s="125"/>
      <c r="VNF163" s="125"/>
      <c r="VNG163" s="125"/>
      <c r="VNH163" s="125"/>
      <c r="VNI163" s="125"/>
      <c r="VNJ163" s="125"/>
      <c r="VNK163" s="125"/>
      <c r="VNL163" s="125"/>
      <c r="VNM163" s="125"/>
      <c r="VNN163" s="125"/>
      <c r="VNO163" s="125"/>
      <c r="VNP163" s="125"/>
      <c r="VNQ163" s="125"/>
      <c r="VNR163" s="125"/>
      <c r="VNS163" s="125"/>
      <c r="VNT163" s="125"/>
      <c r="VNU163" s="125"/>
      <c r="VNV163" s="125"/>
      <c r="VNW163" s="125"/>
      <c r="VNX163" s="125"/>
      <c r="VNY163" s="125"/>
      <c r="VNZ163" s="125"/>
      <c r="VOA163" s="125"/>
      <c r="VOB163" s="125"/>
      <c r="VOC163" s="125"/>
      <c r="VOD163" s="125"/>
      <c r="VOE163" s="125"/>
      <c r="VOF163" s="125"/>
      <c r="VOG163" s="125"/>
      <c r="VOH163" s="125"/>
      <c r="VOI163" s="125"/>
      <c r="VOJ163" s="125"/>
      <c r="VOK163" s="125"/>
      <c r="VOL163" s="125"/>
      <c r="VOM163" s="125"/>
      <c r="VON163" s="125"/>
      <c r="VOO163" s="125"/>
      <c r="VOP163" s="125"/>
      <c r="VOQ163" s="125"/>
      <c r="VOR163" s="125"/>
      <c r="VOS163" s="125"/>
      <c r="VOT163" s="125"/>
      <c r="VOU163" s="125"/>
      <c r="VOV163" s="125"/>
      <c r="VOW163" s="125"/>
      <c r="VOX163" s="125"/>
      <c r="VOY163" s="125"/>
      <c r="VOZ163" s="125"/>
      <c r="VPA163" s="125"/>
      <c r="VPB163" s="125"/>
      <c r="VPC163" s="125"/>
      <c r="VPD163" s="125"/>
      <c r="VPE163" s="125"/>
      <c r="VPF163" s="125"/>
      <c r="VPG163" s="125"/>
      <c r="VPH163" s="125"/>
      <c r="VPI163" s="125"/>
      <c r="VPJ163" s="125"/>
      <c r="VPK163" s="125"/>
      <c r="VPL163" s="125"/>
      <c r="VPM163" s="125"/>
      <c r="VPN163" s="125"/>
      <c r="VPO163" s="125"/>
      <c r="VPP163" s="125"/>
      <c r="VPQ163" s="125"/>
      <c r="VPR163" s="125"/>
      <c r="VPS163" s="125"/>
      <c r="VPT163" s="125"/>
      <c r="VPU163" s="125"/>
      <c r="VPV163" s="125"/>
      <c r="VPW163" s="125"/>
      <c r="VPX163" s="125"/>
      <c r="VPY163" s="125"/>
      <c r="VPZ163" s="125"/>
      <c r="VQA163" s="125"/>
      <c r="VQB163" s="125"/>
      <c r="VQC163" s="125"/>
      <c r="VQD163" s="125"/>
      <c r="VQE163" s="125"/>
      <c r="VQF163" s="125"/>
      <c r="VQG163" s="125"/>
      <c r="VQH163" s="125"/>
      <c r="VQI163" s="125"/>
      <c r="VQJ163" s="125"/>
      <c r="VQK163" s="125"/>
      <c r="VQL163" s="125"/>
      <c r="VQM163" s="125"/>
      <c r="VQN163" s="125"/>
      <c r="VQO163" s="125"/>
      <c r="VQP163" s="125"/>
      <c r="VQQ163" s="125"/>
      <c r="VQR163" s="125"/>
      <c r="VQS163" s="125"/>
      <c r="VQT163" s="125"/>
      <c r="VQU163" s="125"/>
      <c r="VQV163" s="125"/>
      <c r="VQW163" s="125"/>
      <c r="VQX163" s="125"/>
      <c r="VQY163" s="125"/>
      <c r="VQZ163" s="125"/>
      <c r="VRA163" s="125"/>
      <c r="VRB163" s="125"/>
      <c r="VRC163" s="125"/>
      <c r="VRD163" s="125"/>
      <c r="VRE163" s="125"/>
      <c r="VRF163" s="125"/>
      <c r="VRG163" s="125"/>
      <c r="VRH163" s="125"/>
      <c r="VRI163" s="125"/>
      <c r="VRJ163" s="125"/>
      <c r="VRK163" s="125"/>
      <c r="VRL163" s="125"/>
      <c r="VRM163" s="125"/>
      <c r="VRN163" s="125"/>
      <c r="VRO163" s="125"/>
      <c r="VRP163" s="125"/>
      <c r="VRQ163" s="125"/>
      <c r="VRR163" s="125"/>
      <c r="VRS163" s="125"/>
      <c r="VRT163" s="125"/>
      <c r="VRU163" s="125"/>
      <c r="VRV163" s="125"/>
      <c r="VRW163" s="125"/>
      <c r="VRX163" s="125"/>
      <c r="VRY163" s="125"/>
      <c r="VRZ163" s="125"/>
      <c r="VSA163" s="125"/>
      <c r="VSB163" s="125"/>
      <c r="VSC163" s="125"/>
      <c r="VSD163" s="125"/>
      <c r="VSE163" s="125"/>
      <c r="VSF163" s="125"/>
      <c r="VSG163" s="125"/>
      <c r="VSH163" s="125"/>
      <c r="VSI163" s="125"/>
      <c r="VSJ163" s="125"/>
      <c r="VSK163" s="125"/>
      <c r="VSL163" s="125"/>
      <c r="VSM163" s="125"/>
      <c r="VSN163" s="125"/>
      <c r="VSO163" s="125"/>
      <c r="VSP163" s="125"/>
      <c r="VSQ163" s="125"/>
      <c r="VSR163" s="125"/>
      <c r="VSS163" s="125"/>
      <c r="VST163" s="125"/>
      <c r="VSU163" s="125"/>
      <c r="VSV163" s="125"/>
      <c r="VSW163" s="125"/>
      <c r="VSX163" s="125"/>
      <c r="VSY163" s="125"/>
      <c r="VSZ163" s="125"/>
      <c r="VTA163" s="125"/>
      <c r="VTB163" s="125"/>
      <c r="VTC163" s="125"/>
      <c r="VTD163" s="125"/>
      <c r="VTE163" s="125"/>
      <c r="VTF163" s="125"/>
      <c r="VTG163" s="125"/>
      <c r="VTH163" s="125"/>
      <c r="VTI163" s="125"/>
      <c r="VTJ163" s="125"/>
      <c r="VTK163" s="125"/>
      <c r="VTL163" s="125"/>
      <c r="VTM163" s="125"/>
      <c r="VTN163" s="125"/>
      <c r="VTO163" s="125"/>
      <c r="VTP163" s="125"/>
      <c r="VTQ163" s="125"/>
      <c r="VTR163" s="125"/>
      <c r="VTS163" s="125"/>
      <c r="VTT163" s="125"/>
      <c r="VTU163" s="125"/>
      <c r="VTV163" s="125"/>
      <c r="VTW163" s="125"/>
      <c r="VTX163" s="125"/>
      <c r="VTY163" s="125"/>
      <c r="VTZ163" s="125"/>
      <c r="VUA163" s="125"/>
      <c r="VUB163" s="125"/>
      <c r="VUC163" s="125"/>
      <c r="VUD163" s="125"/>
      <c r="VUE163" s="125"/>
      <c r="VUF163" s="125"/>
      <c r="VUG163" s="125"/>
      <c r="VUH163" s="125"/>
      <c r="VUI163" s="125"/>
      <c r="VUJ163" s="125"/>
      <c r="VUK163" s="125"/>
      <c r="VUL163" s="125"/>
      <c r="VUM163" s="125"/>
      <c r="VUN163" s="125"/>
      <c r="VUO163" s="125"/>
      <c r="VUP163" s="125"/>
      <c r="VUQ163" s="125"/>
      <c r="VUR163" s="125"/>
      <c r="VUS163" s="125"/>
      <c r="VUT163" s="125"/>
      <c r="VUU163" s="125"/>
      <c r="VUV163" s="125"/>
      <c r="VUW163" s="125"/>
      <c r="VUX163" s="125"/>
      <c r="VUY163" s="125"/>
      <c r="VUZ163" s="125"/>
      <c r="VVA163" s="125"/>
      <c r="VVB163" s="125"/>
      <c r="VVC163" s="125"/>
      <c r="VVD163" s="125"/>
      <c r="VVE163" s="125"/>
      <c r="VVF163" s="125"/>
      <c r="VVG163" s="125"/>
      <c r="VVH163" s="125"/>
      <c r="VVI163" s="125"/>
      <c r="VVJ163" s="125"/>
      <c r="VVK163" s="125"/>
      <c r="VVL163" s="125"/>
      <c r="VVM163" s="125"/>
      <c r="VVN163" s="125"/>
      <c r="VVO163" s="125"/>
      <c r="VVP163" s="125"/>
      <c r="VVQ163" s="125"/>
      <c r="VVR163" s="125"/>
      <c r="VVS163" s="125"/>
      <c r="VVT163" s="125"/>
      <c r="VVU163" s="125"/>
      <c r="VVV163" s="125"/>
      <c r="VVW163" s="125"/>
      <c r="VVX163" s="125"/>
      <c r="VVY163" s="125"/>
      <c r="VVZ163" s="125"/>
      <c r="VWA163" s="125"/>
      <c r="VWB163" s="125"/>
      <c r="VWC163" s="125"/>
      <c r="VWD163" s="125"/>
      <c r="VWE163" s="125"/>
      <c r="VWF163" s="125"/>
      <c r="VWG163" s="125"/>
      <c r="VWH163" s="125"/>
      <c r="VWI163" s="125"/>
      <c r="VWJ163" s="125"/>
      <c r="VWK163" s="125"/>
      <c r="VWL163" s="125"/>
      <c r="VWM163" s="125"/>
      <c r="VWN163" s="125"/>
      <c r="VWO163" s="125"/>
      <c r="VWP163" s="125"/>
      <c r="VWQ163" s="125"/>
      <c r="VWR163" s="125"/>
      <c r="VWS163" s="125"/>
      <c r="VWT163" s="125"/>
      <c r="VWU163" s="125"/>
      <c r="VWV163" s="125"/>
      <c r="VWW163" s="125"/>
      <c r="VWX163" s="125"/>
      <c r="VWY163" s="125"/>
      <c r="VWZ163" s="125"/>
      <c r="VXA163" s="125"/>
      <c r="VXB163" s="125"/>
      <c r="VXC163" s="125"/>
      <c r="VXD163" s="125"/>
      <c r="VXE163" s="125"/>
      <c r="VXF163" s="125"/>
      <c r="VXG163" s="125"/>
      <c r="VXH163" s="125"/>
      <c r="VXI163" s="125"/>
      <c r="VXJ163" s="125"/>
      <c r="VXK163" s="125"/>
      <c r="VXL163" s="125"/>
      <c r="VXM163" s="125"/>
      <c r="VXN163" s="125"/>
      <c r="VXO163" s="125"/>
      <c r="VXP163" s="125"/>
      <c r="VXQ163" s="125"/>
      <c r="VXR163" s="125"/>
      <c r="VXS163" s="125"/>
      <c r="VXT163" s="125"/>
      <c r="VXU163" s="125"/>
      <c r="VXV163" s="125"/>
      <c r="VXW163" s="125"/>
      <c r="VXX163" s="125"/>
      <c r="VXY163" s="125"/>
      <c r="VXZ163" s="125"/>
      <c r="VYA163" s="125"/>
      <c r="VYB163" s="125"/>
      <c r="VYC163" s="125"/>
      <c r="VYD163" s="125"/>
      <c r="VYE163" s="125"/>
      <c r="VYF163" s="125"/>
      <c r="VYG163" s="125"/>
      <c r="VYH163" s="125"/>
      <c r="VYI163" s="125"/>
      <c r="VYJ163" s="125"/>
      <c r="VYK163" s="125"/>
      <c r="VYL163" s="125"/>
      <c r="VYM163" s="125"/>
      <c r="VYN163" s="125"/>
      <c r="VYO163" s="125"/>
      <c r="VYP163" s="125"/>
      <c r="VYQ163" s="125"/>
      <c r="VYR163" s="125"/>
      <c r="VYS163" s="125"/>
      <c r="VYT163" s="125"/>
      <c r="VYU163" s="125"/>
      <c r="VYV163" s="125"/>
      <c r="VYW163" s="125"/>
      <c r="VYX163" s="125"/>
      <c r="VYY163" s="125"/>
      <c r="VYZ163" s="125"/>
      <c r="VZA163" s="125"/>
      <c r="VZB163" s="125"/>
      <c r="VZC163" s="125"/>
      <c r="VZD163" s="125"/>
      <c r="VZE163" s="125"/>
      <c r="VZF163" s="125"/>
      <c r="VZG163" s="125"/>
      <c r="VZH163" s="125"/>
      <c r="VZI163" s="125"/>
      <c r="VZJ163" s="125"/>
      <c r="VZK163" s="125"/>
      <c r="VZL163" s="125"/>
      <c r="VZM163" s="125"/>
      <c r="VZN163" s="125"/>
      <c r="VZO163" s="125"/>
      <c r="VZP163" s="125"/>
      <c r="VZQ163" s="125"/>
      <c r="VZR163" s="125"/>
      <c r="VZS163" s="125"/>
      <c r="VZT163" s="125"/>
      <c r="VZU163" s="125"/>
      <c r="VZV163" s="125"/>
      <c r="VZW163" s="125"/>
      <c r="VZX163" s="125"/>
      <c r="VZY163" s="125"/>
      <c r="VZZ163" s="125"/>
      <c r="WAA163" s="125"/>
      <c r="WAB163" s="125"/>
      <c r="WAC163" s="125"/>
      <c r="WAD163" s="125"/>
      <c r="WAE163" s="125"/>
      <c r="WAF163" s="125"/>
      <c r="WAG163" s="125"/>
      <c r="WAH163" s="125"/>
      <c r="WAI163" s="125"/>
      <c r="WAJ163" s="125"/>
      <c r="WAK163" s="125"/>
      <c r="WAL163" s="125"/>
      <c r="WAM163" s="125"/>
      <c r="WAN163" s="125"/>
      <c r="WAO163" s="125"/>
      <c r="WAP163" s="125"/>
      <c r="WAQ163" s="125"/>
      <c r="WAR163" s="125"/>
      <c r="WAS163" s="125"/>
      <c r="WAT163" s="125"/>
      <c r="WAU163" s="125"/>
      <c r="WAV163" s="125"/>
      <c r="WAW163" s="125"/>
      <c r="WAX163" s="125"/>
      <c r="WAY163" s="125"/>
      <c r="WAZ163" s="125"/>
      <c r="WBA163" s="125"/>
      <c r="WBB163" s="125"/>
      <c r="WBC163" s="125"/>
      <c r="WBD163" s="125"/>
      <c r="WBE163" s="125"/>
      <c r="WBF163" s="125"/>
      <c r="WBG163" s="125"/>
      <c r="WBH163" s="125"/>
      <c r="WBI163" s="125"/>
      <c r="WBJ163" s="125"/>
      <c r="WBK163" s="125"/>
      <c r="WBL163" s="125"/>
      <c r="WBM163" s="125"/>
      <c r="WBN163" s="125"/>
      <c r="WBO163" s="125"/>
      <c r="WBP163" s="125"/>
      <c r="WBQ163" s="125"/>
      <c r="WBR163" s="125"/>
      <c r="WBS163" s="125"/>
      <c r="WBT163" s="125"/>
      <c r="WBU163" s="125"/>
      <c r="WBV163" s="125"/>
      <c r="WBW163" s="125"/>
      <c r="WBX163" s="125"/>
      <c r="WBY163" s="125"/>
      <c r="WBZ163" s="125"/>
      <c r="WCA163" s="125"/>
      <c r="WCB163" s="125"/>
      <c r="WCC163" s="125"/>
      <c r="WCD163" s="125"/>
      <c r="WCE163" s="125"/>
      <c r="WCF163" s="125"/>
      <c r="WCG163" s="125"/>
      <c r="WCH163" s="125"/>
      <c r="WCI163" s="125"/>
      <c r="WCJ163" s="125"/>
      <c r="WCK163" s="125"/>
      <c r="WCL163" s="125"/>
      <c r="WCM163" s="125"/>
      <c r="WCN163" s="125"/>
      <c r="WCO163" s="125"/>
      <c r="WCP163" s="125"/>
      <c r="WCQ163" s="125"/>
      <c r="WCR163" s="125"/>
      <c r="WCS163" s="125"/>
      <c r="WCT163" s="125"/>
      <c r="WCU163" s="125"/>
      <c r="WCV163" s="125"/>
      <c r="WCW163" s="125"/>
      <c r="WCX163" s="125"/>
      <c r="WCY163" s="125"/>
      <c r="WCZ163" s="125"/>
      <c r="WDA163" s="125"/>
      <c r="WDB163" s="125"/>
      <c r="WDC163" s="125"/>
      <c r="WDD163" s="125"/>
      <c r="WDE163" s="125"/>
      <c r="WDF163" s="125"/>
      <c r="WDG163" s="125"/>
      <c r="WDH163" s="125"/>
      <c r="WDI163" s="125"/>
      <c r="WDJ163" s="125"/>
      <c r="WDK163" s="125"/>
      <c r="WDL163" s="125"/>
      <c r="WDM163" s="125"/>
      <c r="WDN163" s="125"/>
      <c r="WDO163" s="125"/>
      <c r="WDP163" s="125"/>
      <c r="WDQ163" s="125"/>
      <c r="WDR163" s="125"/>
      <c r="WDS163" s="125"/>
      <c r="WDT163" s="125"/>
      <c r="WDU163" s="125"/>
      <c r="WDV163" s="125"/>
      <c r="WDW163" s="125"/>
      <c r="WDX163" s="125"/>
      <c r="WDY163" s="125"/>
      <c r="WDZ163" s="125"/>
      <c r="WEA163" s="125"/>
      <c r="WEB163" s="125"/>
      <c r="WEC163" s="125"/>
      <c r="WED163" s="125"/>
      <c r="WEE163" s="125"/>
      <c r="WEF163" s="125"/>
      <c r="WEG163" s="125"/>
      <c r="WEH163" s="125"/>
      <c r="WEI163" s="125"/>
      <c r="WEJ163" s="125"/>
      <c r="WEK163" s="125"/>
      <c r="WEL163" s="125"/>
      <c r="WEM163" s="125"/>
      <c r="WEN163" s="125"/>
      <c r="WEO163" s="125"/>
      <c r="WEP163" s="125"/>
      <c r="WEQ163" s="125"/>
      <c r="WER163" s="125"/>
      <c r="WES163" s="125"/>
      <c r="WET163" s="125"/>
      <c r="WEU163" s="125"/>
      <c r="WEV163" s="125"/>
      <c r="WEW163" s="125"/>
      <c r="WEX163" s="125"/>
      <c r="WEY163" s="125"/>
      <c r="WEZ163" s="125"/>
      <c r="WFA163" s="125"/>
      <c r="WFB163" s="125"/>
      <c r="WFC163" s="125"/>
      <c r="WFD163" s="125"/>
      <c r="WFE163" s="125"/>
      <c r="WFF163" s="125"/>
      <c r="WFG163" s="125"/>
      <c r="WFH163" s="125"/>
      <c r="WFI163" s="125"/>
      <c r="WFJ163" s="125"/>
      <c r="WFK163" s="125"/>
      <c r="WFL163" s="125"/>
      <c r="WFM163" s="125"/>
      <c r="WFN163" s="125"/>
      <c r="WFO163" s="125"/>
      <c r="WFP163" s="125"/>
      <c r="WFQ163" s="125"/>
      <c r="WFR163" s="125"/>
      <c r="WFS163" s="125"/>
      <c r="WFT163" s="125"/>
      <c r="WFU163" s="125"/>
      <c r="WFV163" s="125"/>
      <c r="WFW163" s="125"/>
      <c r="WFX163" s="125"/>
      <c r="WFY163" s="125"/>
      <c r="WFZ163" s="125"/>
      <c r="WGA163" s="125"/>
      <c r="WGB163" s="125"/>
      <c r="WGC163" s="125"/>
      <c r="WGD163" s="125"/>
      <c r="WGE163" s="125"/>
      <c r="WGF163" s="125"/>
      <c r="WGG163" s="125"/>
      <c r="WGH163" s="125"/>
      <c r="WGI163" s="125"/>
      <c r="WGJ163" s="125"/>
      <c r="WGK163" s="125"/>
      <c r="WGL163" s="125"/>
      <c r="WGM163" s="125"/>
      <c r="WGN163" s="125"/>
      <c r="WGO163" s="125"/>
      <c r="WGP163" s="125"/>
      <c r="WGQ163" s="125"/>
      <c r="WGR163" s="125"/>
      <c r="WGS163" s="125"/>
      <c r="WGT163" s="125"/>
      <c r="WGU163" s="125"/>
      <c r="WGV163" s="125"/>
      <c r="WGW163" s="125"/>
      <c r="WGX163" s="125"/>
      <c r="WGY163" s="125"/>
      <c r="WGZ163" s="125"/>
      <c r="WHA163" s="125"/>
      <c r="WHB163" s="125"/>
      <c r="WHC163" s="125"/>
      <c r="WHD163" s="125"/>
      <c r="WHE163" s="125"/>
      <c r="WHF163" s="125"/>
      <c r="WHG163" s="125"/>
      <c r="WHH163" s="125"/>
      <c r="WHI163" s="125"/>
      <c r="WHJ163" s="125"/>
      <c r="WHK163" s="125"/>
      <c r="WHL163" s="125"/>
      <c r="WHM163" s="125"/>
      <c r="WHN163" s="125"/>
      <c r="WHO163" s="125"/>
      <c r="WHP163" s="125"/>
      <c r="WHQ163" s="125"/>
      <c r="WHR163" s="125"/>
      <c r="WHS163" s="125"/>
      <c r="WHT163" s="125"/>
      <c r="WHU163" s="125"/>
      <c r="WHV163" s="125"/>
      <c r="WHW163" s="125"/>
      <c r="WHX163" s="125"/>
      <c r="WHY163" s="125"/>
      <c r="WHZ163" s="125"/>
      <c r="WIA163" s="125"/>
      <c r="WIB163" s="125"/>
      <c r="WIC163" s="125"/>
      <c r="WID163" s="125"/>
      <c r="WIE163" s="125"/>
      <c r="WIF163" s="125"/>
      <c r="WIG163" s="125"/>
      <c r="WIH163" s="125"/>
      <c r="WII163" s="125"/>
      <c r="WIJ163" s="125"/>
      <c r="WIK163" s="125"/>
      <c r="WIL163" s="125"/>
      <c r="WIM163" s="125"/>
      <c r="WIN163" s="125"/>
      <c r="WIO163" s="125"/>
      <c r="WIP163" s="125"/>
      <c r="WIQ163" s="125"/>
      <c r="WIR163" s="125"/>
      <c r="WIS163" s="125"/>
      <c r="WIT163" s="125"/>
      <c r="WIU163" s="125"/>
      <c r="WIV163" s="125"/>
      <c r="WIW163" s="125"/>
      <c r="WIX163" s="125"/>
      <c r="WIY163" s="125"/>
      <c r="WIZ163" s="125"/>
      <c r="WJA163" s="125"/>
      <c r="WJB163" s="125"/>
      <c r="WJC163" s="125"/>
      <c r="WJD163" s="125"/>
      <c r="WJE163" s="125"/>
      <c r="WJF163" s="125"/>
      <c r="WJG163" s="125"/>
      <c r="WJH163" s="125"/>
      <c r="WJI163" s="125"/>
      <c r="WJJ163" s="125"/>
      <c r="WJK163" s="125"/>
      <c r="WJL163" s="125"/>
      <c r="WJM163" s="125"/>
      <c r="WJN163" s="125"/>
      <c r="WJO163" s="125"/>
      <c r="WJP163" s="125"/>
      <c r="WJQ163" s="125"/>
      <c r="WJR163" s="125"/>
      <c r="WJS163" s="125"/>
      <c r="WJT163" s="125"/>
      <c r="WJU163" s="125"/>
      <c r="WJV163" s="125"/>
      <c r="WJW163" s="125"/>
      <c r="WJX163" s="125"/>
      <c r="WJY163" s="125"/>
      <c r="WJZ163" s="125"/>
      <c r="WKA163" s="125"/>
      <c r="WKB163" s="125"/>
      <c r="WKC163" s="125"/>
      <c r="WKD163" s="125"/>
      <c r="WKE163" s="125"/>
      <c r="WKF163" s="125"/>
      <c r="WKG163" s="125"/>
      <c r="WKH163" s="125"/>
      <c r="WKI163" s="125"/>
      <c r="WKJ163" s="125"/>
      <c r="WKK163" s="125"/>
      <c r="WKL163" s="125"/>
      <c r="WKM163" s="125"/>
      <c r="WKN163" s="125"/>
      <c r="WKO163" s="125"/>
      <c r="WKP163" s="125"/>
      <c r="WKQ163" s="125"/>
      <c r="WKR163" s="125"/>
      <c r="WKS163" s="125"/>
      <c r="WKT163" s="125"/>
      <c r="WKU163" s="125"/>
      <c r="WKV163" s="125"/>
      <c r="WKW163" s="125"/>
      <c r="WKX163" s="125"/>
      <c r="WKY163" s="125"/>
      <c r="WKZ163" s="125"/>
      <c r="WLA163" s="125"/>
      <c r="WLB163" s="125"/>
      <c r="WLC163" s="125"/>
      <c r="WLD163" s="125"/>
      <c r="WLE163" s="125"/>
      <c r="WLF163" s="125"/>
      <c r="WLG163" s="125"/>
      <c r="WLH163" s="125"/>
      <c r="WLI163" s="125"/>
      <c r="WLJ163" s="125"/>
      <c r="WLK163" s="125"/>
      <c r="WLL163" s="125"/>
      <c r="WLM163" s="125"/>
      <c r="WLN163" s="125"/>
      <c r="WLO163" s="125"/>
      <c r="WLP163" s="125"/>
      <c r="WLQ163" s="125"/>
      <c r="WLR163" s="125"/>
      <c r="WLS163" s="125"/>
      <c r="WLT163" s="125"/>
      <c r="WLU163" s="125"/>
      <c r="WLV163" s="125"/>
      <c r="WLW163" s="125"/>
      <c r="WLX163" s="125"/>
      <c r="WLY163" s="125"/>
      <c r="WLZ163" s="125"/>
      <c r="WMA163" s="125"/>
      <c r="WMB163" s="125"/>
      <c r="WMC163" s="125"/>
      <c r="WMD163" s="125"/>
      <c r="WME163" s="125"/>
      <c r="WMF163" s="125"/>
      <c r="WMG163" s="125"/>
      <c r="WMH163" s="125"/>
      <c r="WMI163" s="125"/>
      <c r="WMJ163" s="125"/>
      <c r="WMK163" s="125"/>
      <c r="WML163" s="125"/>
      <c r="WMM163" s="125"/>
      <c r="WMN163" s="125"/>
      <c r="WMO163" s="125"/>
      <c r="WMP163" s="125"/>
      <c r="WMQ163" s="125"/>
      <c r="WMR163" s="125"/>
      <c r="WMS163" s="125"/>
      <c r="WMT163" s="125"/>
      <c r="WMU163" s="125"/>
      <c r="WMV163" s="125"/>
      <c r="WMW163" s="125"/>
      <c r="WMX163" s="125"/>
      <c r="WMY163" s="125"/>
      <c r="WMZ163" s="125"/>
      <c r="WNA163" s="125"/>
      <c r="WNB163" s="125"/>
      <c r="WNC163" s="125"/>
      <c r="WND163" s="125"/>
      <c r="WNE163" s="125"/>
      <c r="WNF163" s="125"/>
      <c r="WNG163" s="125"/>
      <c r="WNH163" s="125"/>
      <c r="WNI163" s="125"/>
      <c r="WNJ163" s="125"/>
      <c r="WNK163" s="125"/>
      <c r="WNL163" s="125"/>
      <c r="WNM163" s="125"/>
      <c r="WNN163" s="125"/>
      <c r="WNO163" s="125"/>
      <c r="WNP163" s="125"/>
      <c r="WNQ163" s="125"/>
      <c r="WNR163" s="125"/>
      <c r="WNS163" s="125"/>
      <c r="WNT163" s="125"/>
      <c r="WNU163" s="125"/>
      <c r="WNV163" s="125"/>
      <c r="WNW163" s="125"/>
      <c r="WNX163" s="125"/>
      <c r="WNY163" s="125"/>
      <c r="WNZ163" s="125"/>
      <c r="WOA163" s="125"/>
      <c r="WOB163" s="125"/>
      <c r="WOC163" s="125"/>
      <c r="WOD163" s="125"/>
      <c r="WOE163" s="125"/>
      <c r="WOF163" s="125"/>
      <c r="WOG163" s="125"/>
      <c r="WOH163" s="125"/>
      <c r="WOI163" s="125"/>
      <c r="WOJ163" s="125"/>
      <c r="WOK163" s="125"/>
      <c r="WOL163" s="125"/>
      <c r="WOM163" s="125"/>
      <c r="WON163" s="125"/>
      <c r="WOO163" s="125"/>
      <c r="WOP163" s="125"/>
      <c r="WOQ163" s="125"/>
      <c r="WOR163" s="125"/>
      <c r="WOS163" s="125"/>
      <c r="WOT163" s="125"/>
      <c r="WOU163" s="125"/>
      <c r="WOV163" s="125"/>
      <c r="WOW163" s="125"/>
      <c r="WOX163" s="125"/>
      <c r="WOY163" s="125"/>
      <c r="WOZ163" s="125"/>
      <c r="WPA163" s="125"/>
      <c r="WPB163" s="125"/>
      <c r="WPC163" s="125"/>
      <c r="WPD163" s="125"/>
      <c r="WPE163" s="125"/>
      <c r="WPF163" s="125"/>
      <c r="WPG163" s="125"/>
      <c r="WPH163" s="125"/>
      <c r="WPI163" s="125"/>
      <c r="WPJ163" s="125"/>
      <c r="WPK163" s="125"/>
      <c r="WPL163" s="125"/>
      <c r="WPM163" s="125"/>
      <c r="WPN163" s="125"/>
      <c r="WPO163" s="125"/>
      <c r="WPP163" s="125"/>
      <c r="WPQ163" s="125"/>
      <c r="WPR163" s="125"/>
      <c r="WPS163" s="125"/>
      <c r="WPT163" s="125"/>
      <c r="WPU163" s="125"/>
      <c r="WPV163" s="125"/>
      <c r="WPW163" s="125"/>
      <c r="WPX163" s="125"/>
      <c r="WPY163" s="125"/>
      <c r="WPZ163" s="125"/>
      <c r="WQA163" s="125"/>
      <c r="WQB163" s="125"/>
      <c r="WQC163" s="125"/>
      <c r="WQD163" s="125"/>
      <c r="WQE163" s="125"/>
      <c r="WQF163" s="125"/>
      <c r="WQG163" s="125"/>
      <c r="WQH163" s="125"/>
      <c r="WQI163" s="125"/>
      <c r="WQJ163" s="125"/>
      <c r="WQK163" s="125"/>
      <c r="WQL163" s="125"/>
      <c r="WQM163" s="125"/>
      <c r="WQN163" s="125"/>
      <c r="WQO163" s="125"/>
      <c r="WQP163" s="125"/>
      <c r="WQQ163" s="125"/>
      <c r="WQR163" s="125"/>
      <c r="WQS163" s="125"/>
      <c r="WQT163" s="125"/>
      <c r="WQU163" s="125"/>
      <c r="WQV163" s="125"/>
      <c r="WQW163" s="125"/>
      <c r="WQX163" s="125"/>
      <c r="WQY163" s="125"/>
      <c r="WQZ163" s="125"/>
      <c r="WRA163" s="125"/>
      <c r="WRB163" s="125"/>
      <c r="WRC163" s="125"/>
      <c r="WRD163" s="125"/>
      <c r="WRE163" s="125"/>
      <c r="WRF163" s="125"/>
      <c r="WRG163" s="125"/>
      <c r="WRH163" s="125"/>
      <c r="WRI163" s="125"/>
      <c r="WRJ163" s="125"/>
      <c r="WRK163" s="125"/>
      <c r="WRL163" s="125"/>
      <c r="WRM163" s="125"/>
      <c r="WRN163" s="125"/>
      <c r="WRO163" s="125"/>
      <c r="WRP163" s="125"/>
      <c r="WRQ163" s="125"/>
      <c r="WRR163" s="125"/>
      <c r="WRS163" s="125"/>
      <c r="WRT163" s="125"/>
      <c r="WRU163" s="125"/>
      <c r="WRV163" s="125"/>
      <c r="WRW163" s="125"/>
      <c r="WRX163" s="125"/>
      <c r="WRY163" s="125"/>
      <c r="WRZ163" s="125"/>
      <c r="WSA163" s="125"/>
      <c r="WSB163" s="125"/>
      <c r="WSC163" s="125"/>
      <c r="WSD163" s="125"/>
      <c r="WSE163" s="125"/>
      <c r="WSF163" s="125"/>
      <c r="WSG163" s="125"/>
      <c r="WSH163" s="125"/>
      <c r="WSI163" s="125"/>
      <c r="WSJ163" s="125"/>
      <c r="WSK163" s="125"/>
      <c r="WSL163" s="125"/>
      <c r="WSM163" s="125"/>
      <c r="WSN163" s="125"/>
      <c r="WSO163" s="125"/>
      <c r="WSP163" s="125"/>
      <c r="WSQ163" s="125"/>
      <c r="WSR163" s="125"/>
      <c r="WSS163" s="125"/>
      <c r="WST163" s="125"/>
      <c r="WSU163" s="125"/>
      <c r="WSV163" s="125"/>
      <c r="WSW163" s="125"/>
      <c r="WSX163" s="125"/>
      <c r="WSY163" s="125"/>
      <c r="WSZ163" s="125"/>
      <c r="WTA163" s="125"/>
      <c r="WTB163" s="125"/>
      <c r="WTC163" s="125"/>
      <c r="WTD163" s="125"/>
      <c r="WTE163" s="125"/>
      <c r="WTF163" s="125"/>
      <c r="WTG163" s="125"/>
      <c r="WTH163" s="125"/>
      <c r="WTI163" s="125"/>
      <c r="WTJ163" s="125"/>
      <c r="WTK163" s="125"/>
      <c r="WTL163" s="125"/>
      <c r="WTM163" s="125"/>
      <c r="WTN163" s="125"/>
      <c r="WTO163" s="125"/>
      <c r="WTP163" s="125"/>
      <c r="WTQ163" s="125"/>
      <c r="WTR163" s="125"/>
      <c r="WTS163" s="125"/>
      <c r="WTT163" s="125"/>
      <c r="WTU163" s="125"/>
      <c r="WTV163" s="125"/>
      <c r="WTW163" s="125"/>
      <c r="WTX163" s="125"/>
      <c r="WTY163" s="125"/>
      <c r="WTZ163" s="125"/>
      <c r="WUA163" s="125"/>
      <c r="WUB163" s="125"/>
      <c r="WUC163" s="125"/>
      <c r="WUD163" s="125"/>
      <c r="WUE163" s="125"/>
      <c r="WUF163" s="125"/>
      <c r="WUG163" s="125"/>
      <c r="WUH163" s="125"/>
      <c r="WUI163" s="125"/>
      <c r="WUJ163" s="125"/>
      <c r="WUK163" s="125"/>
      <c r="WUL163" s="125"/>
      <c r="WUM163" s="125"/>
      <c r="WUN163" s="125"/>
      <c r="WUO163" s="125"/>
      <c r="WUP163" s="125"/>
      <c r="WUQ163" s="125"/>
      <c r="WUR163" s="125"/>
      <c r="WUS163" s="125"/>
      <c r="WUT163" s="125"/>
      <c r="WUU163" s="125"/>
      <c r="WUV163" s="125"/>
      <c r="WUW163" s="125"/>
      <c r="WUX163" s="125"/>
      <c r="WUY163" s="125"/>
      <c r="WUZ163" s="125"/>
      <c r="WVA163" s="125"/>
      <c r="WVB163" s="125"/>
      <c r="WVC163" s="125"/>
      <c r="WVD163" s="125"/>
      <c r="WVE163" s="125"/>
      <c r="WVF163" s="125"/>
      <c r="WVG163" s="125"/>
      <c r="WVH163" s="125"/>
      <c r="WVI163" s="125"/>
      <c r="WVJ163" s="125"/>
      <c r="WVK163" s="125"/>
      <c r="WVL163" s="125"/>
      <c r="WVM163" s="125"/>
      <c r="WVN163" s="125"/>
      <c r="WVO163" s="125"/>
      <c r="WVP163" s="125"/>
      <c r="WVQ163" s="125"/>
      <c r="WVR163" s="125"/>
      <c r="WVS163" s="125"/>
      <c r="WVT163" s="125"/>
      <c r="WVU163" s="125"/>
      <c r="WVV163" s="125"/>
      <c r="WVW163" s="125"/>
      <c r="WVX163" s="125"/>
      <c r="WVY163" s="125"/>
      <c r="WVZ163" s="125"/>
      <c r="WWA163" s="125"/>
      <c r="WWB163" s="125"/>
      <c r="WWC163" s="125"/>
      <c r="WWD163" s="125"/>
      <c r="WWE163" s="125"/>
      <c r="WWF163" s="125"/>
      <c r="WWG163" s="125"/>
      <c r="WWH163" s="125"/>
      <c r="WWI163" s="125"/>
      <c r="WWJ163" s="125"/>
      <c r="WWK163" s="125"/>
      <c r="WWL163" s="125"/>
      <c r="WWM163" s="125"/>
      <c r="WWN163" s="125"/>
      <c r="WWO163" s="125"/>
      <c r="WWP163" s="125"/>
      <c r="WWQ163" s="125"/>
      <c r="WWR163" s="125"/>
      <c r="WWS163" s="125"/>
      <c r="WWT163" s="125"/>
      <c r="WWU163" s="125"/>
      <c r="WWV163" s="125"/>
      <c r="WWW163" s="125"/>
      <c r="WWX163" s="125"/>
      <c r="WWY163" s="125"/>
      <c r="WWZ163" s="125"/>
      <c r="WXA163" s="125"/>
      <c r="WXB163" s="125"/>
      <c r="WXC163" s="125"/>
      <c r="WXD163" s="125"/>
      <c r="WXE163" s="125"/>
      <c r="WXF163" s="125"/>
      <c r="WXG163" s="125"/>
      <c r="WXH163" s="125"/>
      <c r="WXI163" s="125"/>
      <c r="WXJ163" s="125"/>
      <c r="WXK163" s="125"/>
      <c r="WXL163" s="125"/>
      <c r="WXM163" s="125"/>
      <c r="WXN163" s="125"/>
      <c r="WXO163" s="125"/>
      <c r="WXP163" s="125"/>
      <c r="WXQ163" s="125"/>
      <c r="WXR163" s="125"/>
      <c r="WXS163" s="125"/>
      <c r="WXT163" s="125"/>
      <c r="WXU163" s="125"/>
      <c r="WXV163" s="125"/>
      <c r="WXW163" s="125"/>
      <c r="WXX163" s="125"/>
      <c r="WXY163" s="125"/>
      <c r="WXZ163" s="125"/>
      <c r="WYA163" s="125"/>
      <c r="WYB163" s="125"/>
      <c r="WYC163" s="125"/>
      <c r="WYD163" s="125"/>
      <c r="WYE163" s="125"/>
      <c r="WYF163" s="125"/>
      <c r="WYG163" s="125"/>
      <c r="WYH163" s="125"/>
      <c r="WYI163" s="125"/>
      <c r="WYJ163" s="125"/>
      <c r="WYK163" s="125"/>
      <c r="WYL163" s="125"/>
      <c r="WYM163" s="125"/>
      <c r="WYN163" s="125"/>
      <c r="WYO163" s="125"/>
      <c r="WYP163" s="125"/>
      <c r="WYQ163" s="125"/>
      <c r="WYR163" s="125"/>
      <c r="WYS163" s="125"/>
      <c r="WYT163" s="125"/>
      <c r="WYU163" s="125"/>
      <c r="WYV163" s="125"/>
      <c r="WYW163" s="125"/>
      <c r="WYX163" s="125"/>
      <c r="WYY163" s="125"/>
      <c r="WYZ163" s="125"/>
      <c r="WZA163" s="125"/>
      <c r="WZB163" s="125"/>
      <c r="WZC163" s="125"/>
      <c r="WZD163" s="125"/>
      <c r="WZE163" s="125"/>
      <c r="WZF163" s="125"/>
      <c r="WZG163" s="125"/>
      <c r="WZH163" s="125"/>
      <c r="WZI163" s="125"/>
      <c r="WZJ163" s="125"/>
      <c r="WZK163" s="125"/>
      <c r="WZL163" s="125"/>
      <c r="WZM163" s="125"/>
      <c r="WZN163" s="125"/>
      <c r="WZO163" s="125"/>
      <c r="WZP163" s="125"/>
      <c r="WZQ163" s="125"/>
      <c r="WZR163" s="125"/>
      <c r="WZS163" s="125"/>
      <c r="WZT163" s="125"/>
      <c r="WZU163" s="125"/>
      <c r="WZV163" s="125"/>
      <c r="WZW163" s="125"/>
      <c r="WZX163" s="125"/>
      <c r="WZY163" s="125"/>
      <c r="WZZ163" s="125"/>
      <c r="XAA163" s="125"/>
      <c r="XAB163" s="125"/>
      <c r="XAC163" s="125"/>
      <c r="XAD163" s="125"/>
      <c r="XAE163" s="125"/>
      <c r="XAF163" s="125"/>
      <c r="XAG163" s="125"/>
      <c r="XAH163" s="125"/>
      <c r="XAI163" s="125"/>
      <c r="XAJ163" s="125"/>
      <c r="XAK163" s="125"/>
      <c r="XAL163" s="125"/>
      <c r="XAM163" s="125"/>
      <c r="XAN163" s="125"/>
      <c r="XAO163" s="125"/>
      <c r="XAP163" s="125"/>
      <c r="XAQ163" s="125"/>
      <c r="XAR163" s="125"/>
      <c r="XAS163" s="125"/>
      <c r="XAT163" s="125"/>
      <c r="XAU163" s="125"/>
      <c r="XAV163" s="125"/>
      <c r="XAW163" s="125"/>
      <c r="XAX163" s="125"/>
      <c r="XAY163" s="125"/>
      <c r="XAZ163" s="125"/>
      <c r="XBA163" s="125"/>
      <c r="XBB163" s="125"/>
      <c r="XBC163" s="125"/>
      <c r="XBD163" s="125"/>
      <c r="XBE163" s="125"/>
      <c r="XBF163" s="125"/>
      <c r="XBG163" s="125"/>
      <c r="XBH163" s="125"/>
      <c r="XBI163" s="125"/>
      <c r="XBJ163" s="125"/>
      <c r="XBK163" s="125"/>
      <c r="XBL163" s="125"/>
      <c r="XBM163" s="125"/>
      <c r="XBN163" s="125"/>
      <c r="XBO163" s="125"/>
      <c r="XBP163" s="125"/>
      <c r="XBQ163" s="125"/>
      <c r="XBR163" s="125"/>
      <c r="XBS163" s="125"/>
      <c r="XBT163" s="125"/>
      <c r="XBU163" s="125"/>
      <c r="XBV163" s="125"/>
      <c r="XBW163" s="125"/>
      <c r="XBX163" s="125"/>
      <c r="XBY163" s="125"/>
      <c r="XBZ163" s="125"/>
      <c r="XCA163" s="125"/>
      <c r="XCB163" s="125"/>
      <c r="XCC163" s="125"/>
      <c r="XCD163" s="125"/>
      <c r="XCE163" s="125"/>
      <c r="XCF163" s="125"/>
      <c r="XCG163" s="125"/>
      <c r="XCH163" s="125"/>
      <c r="XCI163" s="125"/>
      <c r="XCJ163" s="125"/>
      <c r="XCK163" s="125"/>
      <c r="XCL163" s="125"/>
      <c r="XCM163" s="125"/>
      <c r="XCN163" s="125"/>
      <c r="XCO163" s="125"/>
      <c r="XCP163" s="125"/>
      <c r="XCQ163" s="125"/>
      <c r="XCR163" s="125"/>
      <c r="XCS163" s="125"/>
      <c r="XCT163" s="125"/>
      <c r="XCU163" s="125"/>
      <c r="XCV163" s="125"/>
      <c r="XCW163" s="125"/>
      <c r="XCX163" s="125"/>
      <c r="XCY163" s="125"/>
      <c r="XCZ163" s="125"/>
      <c r="XDA163" s="125"/>
      <c r="XDB163" s="125"/>
      <c r="XDC163" s="125"/>
      <c r="XDD163" s="125"/>
      <c r="XDE163" s="125"/>
      <c r="XDF163" s="125"/>
      <c r="XDG163" s="125"/>
      <c r="XDH163" s="125"/>
      <c r="XDI163" s="125"/>
      <c r="XDJ163" s="125"/>
      <c r="XDK163" s="125"/>
      <c r="XDL163" s="125"/>
      <c r="XDM163" s="125"/>
      <c r="XDN163" s="125"/>
      <c r="XDO163" s="125"/>
      <c r="XDP163" s="125"/>
      <c r="XDQ163" s="125"/>
      <c r="XDR163" s="125"/>
      <c r="XDS163" s="125"/>
      <c r="XDT163" s="125"/>
      <c r="XDU163" s="125"/>
      <c r="XDV163" s="125"/>
      <c r="XDW163" s="125"/>
      <c r="XDX163" s="125"/>
      <c r="XDY163" s="125"/>
      <c r="XDZ163" s="125"/>
      <c r="XEA163" s="125"/>
      <c r="XEB163" s="125"/>
      <c r="XEC163" s="125"/>
      <c r="XED163" s="125"/>
      <c r="XEE163" s="125"/>
      <c r="XEF163" s="125"/>
      <c r="XEG163" s="125"/>
      <c r="XEH163" s="125"/>
      <c r="XEI163" s="125"/>
      <c r="XEJ163" s="125"/>
      <c r="XEK163" s="125"/>
      <c r="XEL163" s="125"/>
      <c r="XEM163" s="125"/>
      <c r="XEN163" s="125"/>
      <c r="XEO163" s="125"/>
      <c r="XEP163" s="125"/>
      <c r="XEQ163" s="125"/>
      <c r="XER163" s="125"/>
      <c r="XES163" s="125"/>
      <c r="XET163" s="125"/>
      <c r="XEU163" s="125"/>
      <c r="XEV163" s="125"/>
      <c r="XEW163" s="125"/>
      <c r="XEX163" s="125"/>
      <c r="XEY163" s="125"/>
      <c r="XEZ163" s="125"/>
      <c r="XFA163" s="125"/>
      <c r="XFB163" s="125"/>
      <c r="XFC163" s="125"/>
    </row>
    <row r="164" spans="1:16383" ht="27.4" customHeight="1" x14ac:dyDescent="0.2">
      <c r="A164" s="73">
        <v>163</v>
      </c>
      <c r="B164" s="20" t="s">
        <v>1138</v>
      </c>
      <c r="C164" s="9" t="s">
        <v>1074</v>
      </c>
      <c r="D164" s="16" t="s">
        <v>361</v>
      </c>
      <c r="E164" s="9" t="s">
        <v>214</v>
      </c>
      <c r="F164" s="77" t="s">
        <v>1139</v>
      </c>
      <c r="G164" s="74" t="s">
        <v>816</v>
      </c>
      <c r="H164" s="111">
        <v>7</v>
      </c>
      <c r="I164" s="111">
        <v>80</v>
      </c>
      <c r="J164" s="111">
        <v>240</v>
      </c>
      <c r="K164" s="111">
        <v>136</v>
      </c>
      <c r="L164" s="111">
        <v>4070</v>
      </c>
      <c r="M164" s="111"/>
      <c r="N164" s="111"/>
      <c r="O164" s="111"/>
      <c r="P164" s="111"/>
      <c r="Q164" s="111"/>
      <c r="R164" s="74" t="s">
        <v>1693</v>
      </c>
      <c r="S164" s="74" t="s">
        <v>1529</v>
      </c>
      <c r="T164" s="81" t="s">
        <v>1727</v>
      </c>
      <c r="U164" s="132"/>
      <c r="V164" s="153"/>
    </row>
    <row r="165" spans="1:16383" x14ac:dyDescent="0.2">
      <c r="A165" s="74">
        <v>164</v>
      </c>
      <c r="B165" s="61" t="s">
        <v>1728</v>
      </c>
      <c r="C165" s="9" t="s">
        <v>1143</v>
      </c>
      <c r="D165" s="16" t="s">
        <v>368</v>
      </c>
      <c r="E165" s="16" t="s">
        <v>25</v>
      </c>
      <c r="F165" s="154" t="s">
        <v>1729</v>
      </c>
      <c r="G165" s="74" t="s">
        <v>816</v>
      </c>
      <c r="H165" s="111">
        <v>12</v>
      </c>
      <c r="I165" s="111">
        <f>7*32+14*5</f>
        <v>294</v>
      </c>
      <c r="J165" s="111">
        <f>I165*3</f>
        <v>882</v>
      </c>
      <c r="K165" s="111">
        <f>64*7+64*5</f>
        <v>768</v>
      </c>
      <c r="L165" s="111">
        <f>2000*7+1150*5</f>
        <v>19750</v>
      </c>
      <c r="M165" s="111"/>
      <c r="N165" s="111"/>
      <c r="O165" s="111"/>
      <c r="P165" s="111"/>
      <c r="Q165" s="111"/>
      <c r="R165" s="74" t="s">
        <v>1693</v>
      </c>
      <c r="S165" s="74" t="s">
        <v>1529</v>
      </c>
      <c r="T165" s="81"/>
      <c r="U165" s="132" t="s">
        <v>1696</v>
      </c>
      <c r="V165" s="153"/>
    </row>
    <row r="166" spans="1:16383" x14ac:dyDescent="0.2">
      <c r="A166" s="73">
        <v>165</v>
      </c>
      <c r="B166" s="57" t="s">
        <v>1154</v>
      </c>
      <c r="C166" s="9" t="s">
        <v>203</v>
      </c>
      <c r="D166" s="16" t="s">
        <v>160</v>
      </c>
      <c r="E166" s="9" t="s">
        <v>44</v>
      </c>
      <c r="F166" s="16">
        <v>538234</v>
      </c>
      <c r="G166" s="74" t="s">
        <v>816</v>
      </c>
      <c r="H166" s="111">
        <v>40</v>
      </c>
      <c r="I166" s="111">
        <v>392</v>
      </c>
      <c r="J166" s="111">
        <v>154</v>
      </c>
      <c r="K166" s="111">
        <v>973</v>
      </c>
      <c r="L166" s="111">
        <v>14320</v>
      </c>
      <c r="M166" s="111">
        <v>747</v>
      </c>
      <c r="N166" s="111"/>
      <c r="O166" s="111"/>
      <c r="P166" s="111"/>
      <c r="Q166" s="111"/>
      <c r="R166" s="74" t="s">
        <v>1497</v>
      </c>
      <c r="S166" s="74" t="s">
        <v>1509</v>
      </c>
      <c r="T166" s="81" t="s">
        <v>1730</v>
      </c>
      <c r="U166" s="132"/>
      <c r="V166" s="153"/>
    </row>
    <row r="167" spans="1:16383" x14ac:dyDescent="0.2">
      <c r="A167" s="132"/>
      <c r="B167" s="57" t="s">
        <v>1154</v>
      </c>
      <c r="C167" s="9" t="s">
        <v>203</v>
      </c>
      <c r="D167" s="16" t="s">
        <v>160</v>
      </c>
      <c r="E167" s="9" t="s">
        <v>44</v>
      </c>
      <c r="F167" s="16">
        <v>538234</v>
      </c>
      <c r="G167" s="74" t="s">
        <v>816</v>
      </c>
      <c r="H167" s="111">
        <v>14</v>
      </c>
      <c r="I167" s="111">
        <v>68</v>
      </c>
      <c r="J167" s="111">
        <v>154</v>
      </c>
      <c r="K167" s="111">
        <v>430</v>
      </c>
      <c r="L167" s="111">
        <v>4162</v>
      </c>
      <c r="M167" s="111"/>
      <c r="N167" s="111"/>
      <c r="O167" s="111"/>
      <c r="P167" s="111"/>
      <c r="Q167" s="111"/>
      <c r="R167" s="111" t="s">
        <v>1497</v>
      </c>
      <c r="S167" s="111" t="s">
        <v>1498</v>
      </c>
      <c r="T167" s="81"/>
      <c r="U167" s="132"/>
    </row>
    <row r="168" spans="1:16383" x14ac:dyDescent="0.2">
      <c r="A168" s="74">
        <v>166</v>
      </c>
      <c r="B168" s="71" t="s">
        <v>1731</v>
      </c>
      <c r="C168" s="9" t="s">
        <v>203</v>
      </c>
      <c r="D168" s="16" t="s">
        <v>160</v>
      </c>
      <c r="E168" s="9" t="s">
        <v>44</v>
      </c>
      <c r="F168" s="16" t="s">
        <v>1732</v>
      </c>
      <c r="G168" s="74" t="s">
        <v>816</v>
      </c>
      <c r="H168" s="74">
        <v>-2</v>
      </c>
      <c r="I168" s="74">
        <v>-8</v>
      </c>
      <c r="J168" s="74">
        <v>-24</v>
      </c>
      <c r="K168" s="74">
        <v>-32</v>
      </c>
      <c r="L168" s="74">
        <v>-300</v>
      </c>
      <c r="M168" s="111"/>
      <c r="N168" s="111"/>
      <c r="O168" s="111"/>
      <c r="P168" s="111"/>
      <c r="Q168" s="111"/>
      <c r="R168" s="74" t="s">
        <v>1540</v>
      </c>
      <c r="S168" s="74"/>
      <c r="T168" s="130" t="s">
        <v>1733</v>
      </c>
      <c r="U168" s="132"/>
      <c r="V168" s="153"/>
    </row>
    <row r="169" spans="1:16383" x14ac:dyDescent="0.2">
      <c r="A169" s="73">
        <v>167</v>
      </c>
      <c r="B169" s="20" t="s">
        <v>1151</v>
      </c>
      <c r="C169" s="9" t="str">
        <f>VLOOKUP(B169,'Cấp phát TN'!C2:G1048575,2,FALSE)</f>
        <v>BSS</v>
      </c>
      <c r="D169" s="105" t="str">
        <f>VLOOKUP(B169,'Cấp phát TN'!C1:G1048575,3,FALSE)</f>
        <v>dungdb1</v>
      </c>
      <c r="E169" s="9" t="str">
        <f>VLOOKUP(B169,'Cấp phát TN'!C2:G1048575,4,FALSE)</f>
        <v>ductn</v>
      </c>
      <c r="F169" s="16" t="str">
        <f>VLOOKUP(B169,'Cấp phát TN'!C1:G1048575,5,FALSE)</f>
        <v>SR_VN_20240708_1139274</v>
      </c>
      <c r="G169" s="74" t="s">
        <v>816</v>
      </c>
      <c r="H169" s="74">
        <v>10</v>
      </c>
      <c r="I169" s="74">
        <v>96</v>
      </c>
      <c r="J169" s="74">
        <f>32*2+20*3+44*2+25*3</f>
        <v>287</v>
      </c>
      <c r="K169" s="74">
        <f>26*2+38*3+17*2+22*3</f>
        <v>266</v>
      </c>
      <c r="L169" s="74">
        <f>60*10+505*3+181*2+660*3+372*2</f>
        <v>5201</v>
      </c>
      <c r="M169" s="111"/>
      <c r="N169" s="111"/>
      <c r="O169" s="111"/>
      <c r="P169" s="111"/>
      <c r="Q169" s="111"/>
      <c r="R169" s="132"/>
      <c r="S169" s="74"/>
      <c r="T169" s="81" t="s">
        <v>1734</v>
      </c>
      <c r="U169" s="132"/>
      <c r="V169" s="153"/>
    </row>
    <row r="170" spans="1:16383" x14ac:dyDescent="0.2">
      <c r="A170" s="74">
        <v>168</v>
      </c>
      <c r="B170" s="144" t="s">
        <v>1735</v>
      </c>
      <c r="C170" s="9" t="s">
        <v>203</v>
      </c>
      <c r="D170" s="16" t="s">
        <v>160</v>
      </c>
      <c r="E170" s="9" t="s">
        <v>44</v>
      </c>
      <c r="F170" s="77" t="s">
        <v>1736</v>
      </c>
      <c r="G170" s="74" t="s">
        <v>816</v>
      </c>
      <c r="H170" s="74">
        <v>-1</v>
      </c>
      <c r="I170" s="74">
        <v>-2</v>
      </c>
      <c r="J170" s="74">
        <v>-6</v>
      </c>
      <c r="K170" s="74">
        <v>-6</v>
      </c>
      <c r="L170" s="74">
        <v>-150</v>
      </c>
      <c r="M170" s="111"/>
      <c r="N170" s="111"/>
      <c r="O170" s="111"/>
      <c r="P170" s="111"/>
      <c r="Q170" s="111"/>
      <c r="R170" s="74" t="s">
        <v>1540</v>
      </c>
      <c r="S170" s="74"/>
      <c r="T170" s="130" t="s">
        <v>1737</v>
      </c>
      <c r="U170" s="132" t="s">
        <v>1696</v>
      </c>
      <c r="V170" s="129"/>
      <c r="W170" s="125"/>
      <c r="X170" s="125"/>
      <c r="Y170" s="125"/>
      <c r="Z170" s="125"/>
      <c r="AA170" s="125"/>
      <c r="AB170" s="125"/>
      <c r="AC170" s="125"/>
      <c r="AD170" s="125"/>
      <c r="AE170" s="125"/>
      <c r="AF170" s="125"/>
      <c r="AG170" s="125"/>
      <c r="AH170" s="125"/>
      <c r="AI170" s="125"/>
      <c r="AJ170" s="125"/>
      <c r="AK170" s="125"/>
      <c r="AL170" s="125"/>
      <c r="AM170" s="125"/>
      <c r="AN170" s="125"/>
      <c r="AO170" s="125"/>
      <c r="AP170" s="125"/>
      <c r="AQ170" s="125"/>
      <c r="AR170" s="125"/>
      <c r="AS170" s="125"/>
      <c r="AT170" s="125"/>
      <c r="AU170" s="125"/>
      <c r="AV170" s="125"/>
      <c r="AW170" s="125"/>
      <c r="AX170" s="125"/>
      <c r="AY170" s="125"/>
      <c r="AZ170" s="125"/>
      <c r="BA170" s="125"/>
      <c r="BB170" s="125"/>
      <c r="BC170" s="125"/>
      <c r="BD170" s="125"/>
      <c r="BE170" s="125"/>
      <c r="BF170" s="125"/>
      <c r="BG170" s="125"/>
      <c r="BH170" s="125"/>
      <c r="BI170" s="125"/>
      <c r="BJ170" s="125"/>
      <c r="BK170" s="125"/>
      <c r="BL170" s="125"/>
      <c r="BM170" s="125"/>
      <c r="BN170" s="125"/>
      <c r="BO170" s="125"/>
      <c r="BP170" s="125"/>
      <c r="BQ170" s="125"/>
      <c r="BR170" s="125"/>
      <c r="BS170" s="125"/>
      <c r="BT170" s="125"/>
      <c r="BU170" s="125"/>
      <c r="BV170" s="125"/>
      <c r="BW170" s="125"/>
      <c r="BX170" s="125"/>
      <c r="BY170" s="125"/>
      <c r="BZ170" s="125"/>
      <c r="CA170" s="125"/>
      <c r="CB170" s="125"/>
      <c r="CC170" s="125"/>
      <c r="CD170" s="125"/>
      <c r="CE170" s="125"/>
      <c r="CF170" s="125"/>
      <c r="CG170" s="125"/>
      <c r="CH170" s="125"/>
      <c r="CI170" s="125"/>
      <c r="CJ170" s="125"/>
      <c r="CK170" s="125"/>
      <c r="CL170" s="125"/>
      <c r="CM170" s="125"/>
      <c r="CN170" s="125"/>
      <c r="CO170" s="125"/>
      <c r="CP170" s="125"/>
      <c r="CQ170" s="125"/>
      <c r="CR170" s="125"/>
      <c r="CS170" s="125"/>
      <c r="CT170" s="125"/>
      <c r="CU170" s="125"/>
      <c r="CV170" s="125"/>
      <c r="CW170" s="125"/>
      <c r="CX170" s="125"/>
      <c r="CY170" s="125"/>
      <c r="CZ170" s="125"/>
      <c r="DA170" s="125"/>
      <c r="DB170" s="125"/>
      <c r="DC170" s="125"/>
      <c r="DD170" s="125"/>
      <c r="DE170" s="125"/>
      <c r="DF170" s="125"/>
      <c r="DG170" s="125"/>
      <c r="DH170" s="125"/>
      <c r="DI170" s="125"/>
      <c r="DJ170" s="125"/>
      <c r="DK170" s="125"/>
      <c r="DL170" s="125"/>
      <c r="DM170" s="125"/>
      <c r="DN170" s="125"/>
      <c r="DO170" s="125"/>
      <c r="DP170" s="125"/>
      <c r="DQ170" s="125"/>
      <c r="DR170" s="125"/>
      <c r="DS170" s="125"/>
      <c r="DT170" s="125"/>
      <c r="DU170" s="125"/>
      <c r="DV170" s="125"/>
      <c r="DW170" s="125"/>
      <c r="DX170" s="125"/>
      <c r="DY170" s="125"/>
      <c r="DZ170" s="125"/>
      <c r="EA170" s="125"/>
      <c r="EB170" s="125"/>
      <c r="EC170" s="125"/>
      <c r="ED170" s="125"/>
      <c r="EE170" s="125"/>
      <c r="EF170" s="125"/>
      <c r="EG170" s="125"/>
      <c r="EH170" s="125"/>
      <c r="EI170" s="125"/>
      <c r="EJ170" s="125"/>
      <c r="EK170" s="125"/>
      <c r="EL170" s="125"/>
      <c r="EM170" s="125"/>
      <c r="EN170" s="125"/>
      <c r="EO170" s="125"/>
      <c r="EP170" s="125"/>
      <c r="EQ170" s="125"/>
      <c r="ER170" s="125"/>
      <c r="ES170" s="125"/>
      <c r="ET170" s="125"/>
      <c r="EU170" s="125"/>
      <c r="EV170" s="125"/>
      <c r="EW170" s="125"/>
      <c r="EX170" s="125"/>
      <c r="EY170" s="125"/>
      <c r="EZ170" s="125"/>
      <c r="FA170" s="125"/>
      <c r="FB170" s="125"/>
      <c r="FC170" s="125"/>
      <c r="FD170" s="125"/>
      <c r="FE170" s="125"/>
      <c r="FF170" s="125"/>
      <c r="FG170" s="125"/>
      <c r="FH170" s="125"/>
      <c r="FI170" s="125"/>
      <c r="FJ170" s="125"/>
      <c r="FK170" s="125"/>
      <c r="FL170" s="125"/>
      <c r="FM170" s="125"/>
      <c r="FN170" s="125"/>
      <c r="FO170" s="125"/>
      <c r="FP170" s="125"/>
      <c r="FQ170" s="125"/>
      <c r="FR170" s="125"/>
      <c r="FS170" s="125"/>
      <c r="FT170" s="125"/>
      <c r="FU170" s="125"/>
      <c r="FV170" s="125"/>
      <c r="FW170" s="125"/>
      <c r="FX170" s="125"/>
      <c r="FY170" s="125"/>
      <c r="FZ170" s="125"/>
      <c r="GA170" s="125"/>
      <c r="GB170" s="125"/>
      <c r="GC170" s="125"/>
      <c r="GD170" s="125"/>
      <c r="GE170" s="125"/>
      <c r="GF170" s="125"/>
      <c r="GG170" s="125"/>
      <c r="GH170" s="125"/>
      <c r="GI170" s="125"/>
      <c r="GJ170" s="125"/>
      <c r="GK170" s="125"/>
      <c r="GL170" s="125"/>
      <c r="GM170" s="125"/>
      <c r="GN170" s="125"/>
      <c r="GO170" s="125"/>
      <c r="GP170" s="125"/>
      <c r="GQ170" s="125"/>
      <c r="GR170" s="125"/>
      <c r="GS170" s="125"/>
      <c r="GT170" s="125"/>
      <c r="GU170" s="125"/>
      <c r="GV170" s="125"/>
      <c r="GW170" s="125"/>
      <c r="GX170" s="125"/>
      <c r="GY170" s="125"/>
      <c r="GZ170" s="125"/>
      <c r="HA170" s="125"/>
      <c r="HB170" s="125"/>
      <c r="HC170" s="125"/>
      <c r="HD170" s="125"/>
      <c r="HE170" s="125"/>
      <c r="HF170" s="125"/>
      <c r="HG170" s="125"/>
      <c r="HH170" s="125"/>
      <c r="HI170" s="125"/>
      <c r="HJ170" s="125"/>
      <c r="HK170" s="125"/>
      <c r="HL170" s="125"/>
      <c r="HM170" s="125"/>
      <c r="HN170" s="125"/>
      <c r="HO170" s="125"/>
      <c r="HP170" s="125"/>
      <c r="HQ170" s="125"/>
      <c r="HR170" s="125"/>
      <c r="HS170" s="125"/>
      <c r="HT170" s="125"/>
      <c r="HU170" s="125"/>
      <c r="HV170" s="125"/>
      <c r="HW170" s="125"/>
      <c r="HX170" s="125"/>
      <c r="HY170" s="125"/>
      <c r="HZ170" s="125"/>
      <c r="IA170" s="125"/>
      <c r="IB170" s="125"/>
      <c r="IC170" s="125"/>
      <c r="ID170" s="125"/>
      <c r="IE170" s="125"/>
      <c r="IF170" s="125"/>
      <c r="IG170" s="125"/>
      <c r="IH170" s="125"/>
      <c r="II170" s="125"/>
      <c r="IJ170" s="125"/>
      <c r="IK170" s="125"/>
      <c r="IL170" s="125"/>
      <c r="IM170" s="125"/>
      <c r="IN170" s="125"/>
      <c r="IO170" s="125"/>
      <c r="IP170" s="125"/>
      <c r="IQ170" s="125"/>
      <c r="IR170" s="125"/>
      <c r="IS170" s="125"/>
      <c r="IT170" s="125"/>
      <c r="IU170" s="125"/>
      <c r="IV170" s="125"/>
      <c r="IW170" s="125"/>
      <c r="IX170" s="125"/>
      <c r="IY170" s="125"/>
      <c r="IZ170" s="125"/>
      <c r="JA170" s="125"/>
      <c r="JB170" s="125"/>
      <c r="JC170" s="125"/>
      <c r="JD170" s="125"/>
      <c r="JE170" s="125"/>
      <c r="JF170" s="125"/>
      <c r="JG170" s="125"/>
      <c r="JH170" s="125"/>
      <c r="JI170" s="125"/>
      <c r="JJ170" s="125"/>
      <c r="JK170" s="125"/>
      <c r="JL170" s="125"/>
      <c r="JM170" s="125"/>
      <c r="JN170" s="125"/>
      <c r="JO170" s="125"/>
      <c r="JP170" s="125"/>
      <c r="JQ170" s="125"/>
      <c r="JR170" s="125"/>
      <c r="JS170" s="125"/>
      <c r="JT170" s="125"/>
      <c r="JU170" s="125"/>
      <c r="JV170" s="125"/>
      <c r="JW170" s="125"/>
      <c r="JX170" s="125"/>
      <c r="JY170" s="125"/>
      <c r="JZ170" s="125"/>
      <c r="KA170" s="125"/>
      <c r="KB170" s="125"/>
      <c r="KC170" s="125"/>
      <c r="KD170" s="125"/>
      <c r="KE170" s="125"/>
      <c r="KF170" s="125"/>
      <c r="KG170" s="125"/>
      <c r="KH170" s="125"/>
      <c r="KI170" s="125"/>
      <c r="KJ170" s="125"/>
      <c r="KK170" s="125"/>
      <c r="KL170" s="125"/>
      <c r="KM170" s="125"/>
      <c r="KN170" s="125"/>
      <c r="KO170" s="125"/>
      <c r="KP170" s="125"/>
      <c r="KQ170" s="125"/>
      <c r="KR170" s="125"/>
      <c r="KS170" s="125"/>
      <c r="KT170" s="125"/>
      <c r="KU170" s="125"/>
      <c r="KV170" s="125"/>
      <c r="KW170" s="125"/>
      <c r="KX170" s="125"/>
      <c r="KY170" s="125"/>
      <c r="KZ170" s="125"/>
      <c r="LA170" s="125"/>
      <c r="LB170" s="125"/>
      <c r="LC170" s="125"/>
      <c r="LD170" s="125"/>
      <c r="LE170" s="125"/>
      <c r="LF170" s="125"/>
      <c r="LG170" s="125"/>
      <c r="LH170" s="125"/>
      <c r="LI170" s="125"/>
      <c r="LJ170" s="125"/>
      <c r="LK170" s="125"/>
      <c r="LL170" s="125"/>
      <c r="LM170" s="125"/>
      <c r="LN170" s="125"/>
      <c r="LO170" s="125"/>
      <c r="LP170" s="125"/>
      <c r="LQ170" s="125"/>
      <c r="LR170" s="125"/>
      <c r="LS170" s="125"/>
      <c r="LT170" s="125"/>
      <c r="LU170" s="125"/>
      <c r="LV170" s="125"/>
      <c r="LW170" s="125"/>
      <c r="LX170" s="125"/>
      <c r="LY170" s="125"/>
      <c r="LZ170" s="125"/>
      <c r="MA170" s="125"/>
      <c r="MB170" s="125"/>
      <c r="MC170" s="125"/>
      <c r="MD170" s="125"/>
      <c r="ME170" s="125"/>
      <c r="MF170" s="125"/>
      <c r="MG170" s="125"/>
      <c r="MH170" s="125"/>
      <c r="MI170" s="125"/>
      <c r="MJ170" s="125"/>
      <c r="MK170" s="125"/>
      <c r="ML170" s="125"/>
      <c r="MM170" s="125"/>
      <c r="MN170" s="125"/>
      <c r="MO170" s="125"/>
      <c r="MP170" s="125"/>
      <c r="MQ170" s="125"/>
      <c r="MR170" s="125"/>
      <c r="MS170" s="125"/>
      <c r="MT170" s="125"/>
      <c r="MU170" s="125"/>
      <c r="MV170" s="125"/>
      <c r="MW170" s="125"/>
      <c r="MX170" s="125"/>
      <c r="MY170" s="125"/>
      <c r="MZ170" s="125"/>
      <c r="NA170" s="125"/>
      <c r="NB170" s="125"/>
      <c r="NC170" s="125"/>
      <c r="ND170" s="125"/>
      <c r="NE170" s="125"/>
      <c r="NF170" s="125"/>
      <c r="NG170" s="125"/>
      <c r="NH170" s="125"/>
      <c r="NI170" s="125"/>
      <c r="NJ170" s="125"/>
      <c r="NK170" s="125"/>
      <c r="NL170" s="125"/>
      <c r="NM170" s="125"/>
      <c r="NN170" s="125"/>
      <c r="NO170" s="125"/>
      <c r="NP170" s="125"/>
      <c r="NQ170" s="125"/>
      <c r="NR170" s="125"/>
      <c r="NS170" s="125"/>
      <c r="NT170" s="125"/>
      <c r="NU170" s="125"/>
      <c r="NV170" s="125"/>
      <c r="NW170" s="125"/>
      <c r="NX170" s="125"/>
      <c r="NY170" s="125"/>
      <c r="NZ170" s="125"/>
      <c r="OA170" s="125"/>
      <c r="OB170" s="125"/>
      <c r="OC170" s="125"/>
      <c r="OD170" s="125"/>
      <c r="OE170" s="125"/>
      <c r="OF170" s="125"/>
      <c r="OG170" s="125"/>
      <c r="OH170" s="125"/>
      <c r="OI170" s="125"/>
      <c r="OJ170" s="125"/>
      <c r="OK170" s="125"/>
      <c r="OL170" s="125"/>
      <c r="OM170" s="125"/>
      <c r="ON170" s="125"/>
      <c r="OO170" s="125"/>
      <c r="OP170" s="125"/>
      <c r="OQ170" s="125"/>
      <c r="OR170" s="125"/>
      <c r="OS170" s="125"/>
      <c r="OT170" s="125"/>
      <c r="OU170" s="125"/>
      <c r="OV170" s="125"/>
      <c r="OW170" s="125"/>
      <c r="OX170" s="125"/>
      <c r="OY170" s="125"/>
      <c r="OZ170" s="125"/>
      <c r="PA170" s="125"/>
      <c r="PB170" s="125"/>
      <c r="PC170" s="125"/>
      <c r="PD170" s="125"/>
      <c r="PE170" s="125"/>
      <c r="PF170" s="125"/>
      <c r="PG170" s="125"/>
      <c r="PH170" s="125"/>
      <c r="PI170" s="125"/>
      <c r="PJ170" s="125"/>
      <c r="PK170" s="125"/>
      <c r="PL170" s="125"/>
      <c r="PM170" s="125"/>
      <c r="PN170" s="125"/>
      <c r="PO170" s="125"/>
      <c r="PP170" s="125"/>
      <c r="PQ170" s="125"/>
      <c r="PR170" s="125"/>
      <c r="PS170" s="125"/>
      <c r="PT170" s="125"/>
      <c r="PU170" s="125"/>
      <c r="PV170" s="125"/>
      <c r="PW170" s="125"/>
      <c r="PX170" s="125"/>
      <c r="PY170" s="125"/>
      <c r="PZ170" s="125"/>
      <c r="QA170" s="125"/>
      <c r="QB170" s="125"/>
      <c r="QC170" s="125"/>
      <c r="QD170" s="125"/>
      <c r="QE170" s="125"/>
      <c r="QF170" s="125"/>
      <c r="QG170" s="125"/>
      <c r="QH170" s="125"/>
      <c r="QI170" s="125"/>
      <c r="QJ170" s="125"/>
      <c r="QK170" s="125"/>
      <c r="QL170" s="125"/>
      <c r="QM170" s="125"/>
      <c r="QN170" s="125"/>
      <c r="QO170" s="125"/>
      <c r="QP170" s="125"/>
      <c r="QQ170" s="125"/>
      <c r="QR170" s="125"/>
      <c r="QS170" s="125"/>
      <c r="QT170" s="125"/>
      <c r="QU170" s="125"/>
      <c r="QV170" s="125"/>
      <c r="QW170" s="125"/>
      <c r="QX170" s="125"/>
      <c r="QY170" s="125"/>
      <c r="QZ170" s="125"/>
      <c r="RA170" s="125"/>
      <c r="RB170" s="125"/>
      <c r="RC170" s="125"/>
      <c r="RD170" s="125"/>
      <c r="RE170" s="125"/>
      <c r="RF170" s="125"/>
      <c r="RG170" s="125"/>
      <c r="RH170" s="125"/>
      <c r="RI170" s="125"/>
      <c r="RJ170" s="125"/>
      <c r="RK170" s="125"/>
      <c r="RL170" s="125"/>
      <c r="RM170" s="125"/>
      <c r="RN170" s="125"/>
      <c r="RO170" s="125"/>
      <c r="RP170" s="125"/>
      <c r="RQ170" s="125"/>
      <c r="RR170" s="125"/>
      <c r="RS170" s="125"/>
      <c r="RT170" s="125"/>
      <c r="RU170" s="125"/>
      <c r="RV170" s="125"/>
      <c r="RW170" s="125"/>
      <c r="RX170" s="125"/>
      <c r="RY170" s="125"/>
      <c r="RZ170" s="125"/>
      <c r="SA170" s="125"/>
      <c r="SB170" s="125"/>
      <c r="SC170" s="125"/>
      <c r="SD170" s="125"/>
      <c r="SE170" s="125"/>
      <c r="SF170" s="125"/>
      <c r="SG170" s="125"/>
      <c r="SH170" s="125"/>
      <c r="SI170" s="125"/>
      <c r="SJ170" s="125"/>
      <c r="SK170" s="125"/>
      <c r="SL170" s="125"/>
      <c r="SM170" s="125"/>
      <c r="SN170" s="125"/>
      <c r="SO170" s="125"/>
      <c r="SP170" s="125"/>
      <c r="SQ170" s="125"/>
      <c r="SR170" s="125"/>
      <c r="SS170" s="125"/>
      <c r="ST170" s="125"/>
      <c r="SU170" s="125"/>
      <c r="SV170" s="125"/>
      <c r="SW170" s="125"/>
      <c r="SX170" s="125"/>
      <c r="SY170" s="125"/>
      <c r="SZ170" s="125"/>
      <c r="TA170" s="125"/>
      <c r="TB170" s="125"/>
      <c r="TC170" s="125"/>
      <c r="TD170" s="125"/>
      <c r="TE170" s="125"/>
      <c r="TF170" s="125"/>
      <c r="TG170" s="125"/>
      <c r="TH170" s="125"/>
      <c r="TI170" s="125"/>
      <c r="TJ170" s="125"/>
      <c r="TK170" s="125"/>
      <c r="TL170" s="125"/>
      <c r="TM170" s="125"/>
      <c r="TN170" s="125"/>
      <c r="TO170" s="125"/>
      <c r="TP170" s="125"/>
      <c r="TQ170" s="125"/>
      <c r="TR170" s="125"/>
      <c r="TS170" s="125"/>
      <c r="TT170" s="125"/>
      <c r="TU170" s="125"/>
      <c r="TV170" s="125"/>
      <c r="TW170" s="125"/>
      <c r="TX170" s="125"/>
      <c r="TY170" s="125"/>
      <c r="TZ170" s="125"/>
      <c r="UA170" s="125"/>
      <c r="UB170" s="125"/>
      <c r="UC170" s="125"/>
      <c r="UD170" s="125"/>
      <c r="UE170" s="125"/>
      <c r="UF170" s="125"/>
      <c r="UG170" s="125"/>
      <c r="UH170" s="125"/>
      <c r="UI170" s="125"/>
      <c r="UJ170" s="125"/>
      <c r="UK170" s="125"/>
      <c r="UL170" s="125"/>
      <c r="UM170" s="125"/>
      <c r="UN170" s="125"/>
      <c r="UO170" s="125"/>
      <c r="UP170" s="125"/>
      <c r="UQ170" s="125"/>
      <c r="UR170" s="125"/>
      <c r="US170" s="125"/>
      <c r="UT170" s="125"/>
      <c r="UU170" s="125"/>
      <c r="UV170" s="125"/>
      <c r="UW170" s="125"/>
      <c r="UX170" s="125"/>
      <c r="UY170" s="125"/>
      <c r="UZ170" s="125"/>
      <c r="VA170" s="125"/>
      <c r="VB170" s="125"/>
      <c r="VC170" s="125"/>
      <c r="VD170" s="125"/>
      <c r="VE170" s="125"/>
      <c r="VF170" s="125"/>
      <c r="VG170" s="125"/>
      <c r="VH170" s="125"/>
      <c r="VI170" s="125"/>
      <c r="VJ170" s="125"/>
      <c r="VK170" s="125"/>
      <c r="VL170" s="125"/>
      <c r="VM170" s="125"/>
      <c r="VN170" s="125"/>
      <c r="VO170" s="125"/>
      <c r="VP170" s="125"/>
      <c r="VQ170" s="125"/>
      <c r="VR170" s="125"/>
      <c r="VS170" s="125"/>
      <c r="VT170" s="125"/>
      <c r="VU170" s="125"/>
      <c r="VV170" s="125"/>
      <c r="VW170" s="125"/>
      <c r="VX170" s="125"/>
      <c r="VY170" s="125"/>
      <c r="VZ170" s="125"/>
      <c r="WA170" s="125"/>
      <c r="WB170" s="125"/>
      <c r="WC170" s="125"/>
      <c r="WD170" s="125"/>
      <c r="WE170" s="125"/>
      <c r="WF170" s="125"/>
      <c r="WG170" s="125"/>
      <c r="WH170" s="125"/>
      <c r="WI170" s="125"/>
      <c r="WJ170" s="125"/>
      <c r="WK170" s="125"/>
      <c r="WL170" s="125"/>
      <c r="WM170" s="125"/>
      <c r="WN170" s="125"/>
      <c r="WO170" s="125"/>
      <c r="WP170" s="125"/>
      <c r="WQ170" s="125"/>
      <c r="WR170" s="125"/>
      <c r="WS170" s="125"/>
      <c r="WT170" s="125"/>
      <c r="WU170" s="125"/>
      <c r="WV170" s="125"/>
      <c r="WW170" s="125"/>
      <c r="WX170" s="125"/>
      <c r="WY170" s="125"/>
      <c r="WZ170" s="125"/>
      <c r="XA170" s="125"/>
      <c r="XB170" s="125"/>
      <c r="XC170" s="125"/>
      <c r="XD170" s="125"/>
      <c r="XE170" s="125"/>
      <c r="XF170" s="125"/>
      <c r="XG170" s="125"/>
      <c r="XH170" s="125"/>
      <c r="XI170" s="125"/>
      <c r="XJ170" s="125"/>
      <c r="XK170" s="125"/>
      <c r="XL170" s="125"/>
      <c r="XM170" s="125"/>
      <c r="XN170" s="125"/>
      <c r="XO170" s="125"/>
      <c r="XP170" s="125"/>
      <c r="XQ170" s="125"/>
      <c r="XR170" s="125"/>
      <c r="XS170" s="125"/>
      <c r="XT170" s="125"/>
      <c r="XU170" s="125"/>
      <c r="XV170" s="125"/>
      <c r="XW170" s="125"/>
      <c r="XX170" s="125"/>
      <c r="XY170" s="125"/>
      <c r="XZ170" s="125"/>
      <c r="YA170" s="125"/>
      <c r="YB170" s="125"/>
      <c r="YC170" s="125"/>
      <c r="YD170" s="125"/>
      <c r="YE170" s="125"/>
      <c r="YF170" s="125"/>
      <c r="YG170" s="125"/>
      <c r="YH170" s="125"/>
      <c r="YI170" s="125"/>
      <c r="YJ170" s="125"/>
      <c r="YK170" s="125"/>
      <c r="YL170" s="125"/>
      <c r="YM170" s="125"/>
      <c r="YN170" s="125"/>
      <c r="YO170" s="125"/>
      <c r="YP170" s="125"/>
      <c r="YQ170" s="125"/>
      <c r="YR170" s="125"/>
      <c r="YS170" s="125"/>
      <c r="YT170" s="125"/>
      <c r="YU170" s="125"/>
      <c r="YV170" s="125"/>
      <c r="YW170" s="125"/>
      <c r="YX170" s="125"/>
      <c r="YY170" s="125"/>
      <c r="YZ170" s="125"/>
      <c r="ZA170" s="125"/>
      <c r="ZB170" s="125"/>
      <c r="ZC170" s="125"/>
      <c r="ZD170" s="125"/>
      <c r="ZE170" s="125"/>
      <c r="ZF170" s="125"/>
      <c r="ZG170" s="125"/>
      <c r="ZH170" s="125"/>
      <c r="ZI170" s="125"/>
      <c r="ZJ170" s="125"/>
      <c r="ZK170" s="125"/>
      <c r="ZL170" s="125"/>
      <c r="ZM170" s="125"/>
      <c r="ZN170" s="125"/>
      <c r="ZO170" s="125"/>
      <c r="ZP170" s="125"/>
      <c r="ZQ170" s="125"/>
      <c r="ZR170" s="125"/>
      <c r="ZS170" s="125"/>
      <c r="ZT170" s="125"/>
      <c r="ZU170" s="125"/>
      <c r="ZV170" s="125"/>
      <c r="ZW170" s="125"/>
      <c r="ZX170" s="125"/>
      <c r="ZY170" s="125"/>
      <c r="ZZ170" s="125"/>
      <c r="AAA170" s="125"/>
      <c r="AAB170" s="125"/>
      <c r="AAC170" s="125"/>
      <c r="AAD170" s="125"/>
      <c r="AAE170" s="125"/>
      <c r="AAF170" s="125"/>
      <c r="AAG170" s="125"/>
      <c r="AAH170" s="125"/>
      <c r="AAI170" s="125"/>
      <c r="AAJ170" s="125"/>
      <c r="AAK170" s="125"/>
      <c r="AAL170" s="125"/>
      <c r="AAM170" s="125"/>
      <c r="AAN170" s="125"/>
      <c r="AAO170" s="125"/>
      <c r="AAP170" s="125"/>
      <c r="AAQ170" s="125"/>
      <c r="AAR170" s="125"/>
      <c r="AAS170" s="125"/>
      <c r="AAT170" s="125"/>
      <c r="AAU170" s="125"/>
      <c r="AAV170" s="125"/>
      <c r="AAW170" s="125"/>
      <c r="AAX170" s="125"/>
      <c r="AAY170" s="125"/>
      <c r="AAZ170" s="125"/>
      <c r="ABA170" s="125"/>
      <c r="ABB170" s="125"/>
      <c r="ABC170" s="125"/>
      <c r="ABD170" s="125"/>
      <c r="ABE170" s="125"/>
      <c r="ABF170" s="125"/>
      <c r="ABG170" s="125"/>
      <c r="ABH170" s="125"/>
      <c r="ABI170" s="125"/>
      <c r="ABJ170" s="125"/>
      <c r="ABK170" s="125"/>
      <c r="ABL170" s="125"/>
      <c r="ABM170" s="125"/>
      <c r="ABN170" s="125"/>
      <c r="ABO170" s="125"/>
      <c r="ABP170" s="125"/>
      <c r="ABQ170" s="125"/>
      <c r="ABR170" s="125"/>
      <c r="ABS170" s="125"/>
      <c r="ABT170" s="125"/>
      <c r="ABU170" s="125"/>
      <c r="ABV170" s="125"/>
      <c r="ABW170" s="125"/>
      <c r="ABX170" s="125"/>
      <c r="ABY170" s="125"/>
      <c r="ABZ170" s="125"/>
      <c r="ACA170" s="125"/>
      <c r="ACB170" s="125"/>
      <c r="ACC170" s="125"/>
      <c r="ACD170" s="125"/>
      <c r="ACE170" s="125"/>
      <c r="ACF170" s="125"/>
      <c r="ACG170" s="125"/>
      <c r="ACH170" s="125"/>
      <c r="ACI170" s="125"/>
      <c r="ACJ170" s="125"/>
      <c r="ACK170" s="125"/>
      <c r="ACL170" s="125"/>
      <c r="ACM170" s="125"/>
      <c r="ACN170" s="125"/>
      <c r="ACO170" s="125"/>
      <c r="ACP170" s="125"/>
      <c r="ACQ170" s="125"/>
      <c r="ACR170" s="125"/>
      <c r="ACS170" s="125"/>
      <c r="ACT170" s="125"/>
      <c r="ACU170" s="125"/>
      <c r="ACV170" s="125"/>
      <c r="ACW170" s="125"/>
      <c r="ACX170" s="125"/>
      <c r="ACY170" s="125"/>
      <c r="ACZ170" s="125"/>
      <c r="ADA170" s="125"/>
      <c r="ADB170" s="125"/>
      <c r="ADC170" s="125"/>
      <c r="ADD170" s="125"/>
      <c r="ADE170" s="125"/>
      <c r="ADF170" s="125"/>
      <c r="ADG170" s="125"/>
      <c r="ADH170" s="125"/>
      <c r="ADI170" s="125"/>
      <c r="ADJ170" s="125"/>
      <c r="ADK170" s="125"/>
      <c r="ADL170" s="125"/>
      <c r="ADM170" s="125"/>
      <c r="ADN170" s="125"/>
      <c r="ADO170" s="125"/>
      <c r="ADP170" s="125"/>
      <c r="ADQ170" s="125"/>
      <c r="ADR170" s="125"/>
      <c r="ADS170" s="125"/>
      <c r="ADT170" s="125"/>
      <c r="ADU170" s="125"/>
      <c r="ADV170" s="125"/>
      <c r="ADW170" s="125"/>
      <c r="ADX170" s="125"/>
      <c r="ADY170" s="125"/>
      <c r="ADZ170" s="125"/>
      <c r="AEA170" s="125"/>
      <c r="AEB170" s="125"/>
      <c r="AEC170" s="125"/>
      <c r="AED170" s="125"/>
      <c r="AEE170" s="125"/>
      <c r="AEF170" s="125"/>
      <c r="AEG170" s="125"/>
      <c r="AEH170" s="125"/>
      <c r="AEI170" s="125"/>
      <c r="AEJ170" s="125"/>
      <c r="AEK170" s="125"/>
      <c r="AEL170" s="125"/>
      <c r="AEM170" s="125"/>
      <c r="AEN170" s="125"/>
      <c r="AEO170" s="125"/>
      <c r="AEP170" s="125"/>
      <c r="AEQ170" s="125"/>
      <c r="AER170" s="125"/>
      <c r="AES170" s="125"/>
      <c r="AET170" s="125"/>
      <c r="AEU170" s="125"/>
      <c r="AEV170" s="125"/>
      <c r="AEW170" s="125"/>
      <c r="AEX170" s="125"/>
      <c r="AEY170" s="125"/>
      <c r="AEZ170" s="125"/>
      <c r="AFA170" s="125"/>
      <c r="AFB170" s="125"/>
      <c r="AFC170" s="125"/>
      <c r="AFD170" s="125"/>
      <c r="AFE170" s="125"/>
      <c r="AFF170" s="125"/>
      <c r="AFG170" s="125"/>
      <c r="AFH170" s="125"/>
      <c r="AFI170" s="125"/>
      <c r="AFJ170" s="125"/>
      <c r="AFK170" s="125"/>
      <c r="AFL170" s="125"/>
      <c r="AFM170" s="125"/>
      <c r="AFN170" s="125"/>
      <c r="AFO170" s="125"/>
      <c r="AFP170" s="125"/>
      <c r="AFQ170" s="125"/>
      <c r="AFR170" s="125"/>
      <c r="AFS170" s="125"/>
      <c r="AFT170" s="125"/>
      <c r="AFU170" s="125"/>
      <c r="AFV170" s="125"/>
      <c r="AFW170" s="125"/>
      <c r="AFX170" s="125"/>
      <c r="AFY170" s="125"/>
      <c r="AFZ170" s="125"/>
      <c r="AGA170" s="125"/>
      <c r="AGB170" s="125"/>
      <c r="AGC170" s="125"/>
      <c r="AGD170" s="125"/>
      <c r="AGE170" s="125"/>
      <c r="AGF170" s="125"/>
      <c r="AGG170" s="125"/>
      <c r="AGH170" s="125"/>
      <c r="AGI170" s="125"/>
      <c r="AGJ170" s="125"/>
      <c r="AGK170" s="125"/>
      <c r="AGL170" s="125"/>
      <c r="AGM170" s="125"/>
      <c r="AGN170" s="125"/>
      <c r="AGO170" s="125"/>
      <c r="AGP170" s="125"/>
      <c r="AGQ170" s="125"/>
      <c r="AGR170" s="125"/>
      <c r="AGS170" s="125"/>
      <c r="AGT170" s="125"/>
      <c r="AGU170" s="125"/>
      <c r="AGV170" s="125"/>
      <c r="AGW170" s="125"/>
      <c r="AGX170" s="125"/>
      <c r="AGY170" s="125"/>
      <c r="AGZ170" s="125"/>
      <c r="AHA170" s="125"/>
      <c r="AHB170" s="125"/>
      <c r="AHC170" s="125"/>
      <c r="AHD170" s="125"/>
      <c r="AHE170" s="125"/>
      <c r="AHF170" s="125"/>
      <c r="AHG170" s="125"/>
      <c r="AHH170" s="125"/>
      <c r="AHI170" s="125"/>
      <c r="AHJ170" s="125"/>
      <c r="AHK170" s="125"/>
      <c r="AHL170" s="125"/>
      <c r="AHM170" s="125"/>
      <c r="AHN170" s="125"/>
      <c r="AHO170" s="125"/>
      <c r="AHP170" s="125"/>
      <c r="AHQ170" s="125"/>
      <c r="AHR170" s="125"/>
      <c r="AHS170" s="125"/>
      <c r="AHT170" s="125"/>
      <c r="AHU170" s="125"/>
      <c r="AHV170" s="125"/>
      <c r="AHW170" s="125"/>
      <c r="AHX170" s="125"/>
      <c r="AHY170" s="125"/>
      <c r="AHZ170" s="125"/>
      <c r="AIA170" s="125"/>
      <c r="AIB170" s="125"/>
      <c r="AIC170" s="125"/>
      <c r="AID170" s="125"/>
      <c r="AIE170" s="125"/>
      <c r="AIF170" s="125"/>
      <c r="AIG170" s="125"/>
      <c r="AIH170" s="125"/>
      <c r="AII170" s="125"/>
      <c r="AIJ170" s="125"/>
      <c r="AIK170" s="125"/>
      <c r="AIL170" s="125"/>
      <c r="AIM170" s="125"/>
      <c r="AIN170" s="125"/>
      <c r="AIO170" s="125"/>
      <c r="AIP170" s="125"/>
      <c r="AIQ170" s="125"/>
      <c r="AIR170" s="125"/>
      <c r="AIS170" s="125"/>
      <c r="AIT170" s="125"/>
      <c r="AIU170" s="125"/>
      <c r="AIV170" s="125"/>
      <c r="AIW170" s="125"/>
      <c r="AIX170" s="125"/>
      <c r="AIY170" s="125"/>
      <c r="AIZ170" s="125"/>
      <c r="AJA170" s="125"/>
      <c r="AJB170" s="125"/>
      <c r="AJC170" s="125"/>
      <c r="AJD170" s="125"/>
      <c r="AJE170" s="125"/>
      <c r="AJF170" s="125"/>
      <c r="AJG170" s="125"/>
      <c r="AJH170" s="125"/>
      <c r="AJI170" s="125"/>
      <c r="AJJ170" s="125"/>
      <c r="AJK170" s="125"/>
      <c r="AJL170" s="125"/>
      <c r="AJM170" s="125"/>
      <c r="AJN170" s="125"/>
      <c r="AJO170" s="125"/>
      <c r="AJP170" s="125"/>
      <c r="AJQ170" s="125"/>
      <c r="AJR170" s="125"/>
      <c r="AJS170" s="125"/>
      <c r="AJT170" s="125"/>
      <c r="AJU170" s="125"/>
      <c r="AJV170" s="125"/>
      <c r="AJW170" s="125"/>
      <c r="AJX170" s="125"/>
      <c r="AJY170" s="125"/>
      <c r="AJZ170" s="125"/>
      <c r="AKA170" s="125"/>
      <c r="AKB170" s="125"/>
      <c r="AKC170" s="125"/>
      <c r="AKD170" s="125"/>
      <c r="AKE170" s="125"/>
      <c r="AKF170" s="125"/>
      <c r="AKG170" s="125"/>
      <c r="AKH170" s="125"/>
      <c r="AKI170" s="125"/>
      <c r="AKJ170" s="125"/>
      <c r="AKK170" s="125"/>
      <c r="AKL170" s="125"/>
      <c r="AKM170" s="125"/>
      <c r="AKN170" s="125"/>
      <c r="AKO170" s="125"/>
      <c r="AKP170" s="125"/>
      <c r="AKQ170" s="125"/>
      <c r="AKR170" s="125"/>
      <c r="AKS170" s="125"/>
      <c r="AKT170" s="125"/>
      <c r="AKU170" s="125"/>
      <c r="AKV170" s="125"/>
      <c r="AKW170" s="125"/>
      <c r="AKX170" s="125"/>
      <c r="AKY170" s="125"/>
      <c r="AKZ170" s="125"/>
      <c r="ALA170" s="125"/>
      <c r="ALB170" s="125"/>
      <c r="ALC170" s="125"/>
      <c r="ALD170" s="125"/>
      <c r="ALE170" s="125"/>
      <c r="ALF170" s="125"/>
      <c r="ALG170" s="125"/>
      <c r="ALH170" s="125"/>
      <c r="ALI170" s="125"/>
      <c r="ALJ170" s="125"/>
      <c r="ALK170" s="125"/>
      <c r="ALL170" s="125"/>
      <c r="ALM170" s="125"/>
      <c r="ALN170" s="125"/>
      <c r="ALO170" s="125"/>
      <c r="ALP170" s="125"/>
      <c r="ALQ170" s="125"/>
      <c r="ALR170" s="125"/>
      <c r="ALS170" s="125"/>
      <c r="ALT170" s="125"/>
      <c r="ALU170" s="125"/>
      <c r="ALV170" s="125"/>
      <c r="ALW170" s="125"/>
      <c r="ALX170" s="125"/>
      <c r="ALY170" s="125"/>
      <c r="ALZ170" s="125"/>
      <c r="AMA170" s="125"/>
      <c r="AMB170" s="125"/>
      <c r="AMC170" s="125"/>
      <c r="AMD170" s="125"/>
      <c r="AME170" s="125"/>
      <c r="AMF170" s="125"/>
      <c r="AMG170" s="125"/>
      <c r="AMH170" s="125"/>
      <c r="AMI170" s="125"/>
      <c r="AMJ170" s="125"/>
      <c r="AMK170" s="125"/>
      <c r="AML170" s="125"/>
      <c r="AMM170" s="125"/>
      <c r="AMN170" s="125"/>
      <c r="AMO170" s="125"/>
      <c r="AMP170" s="125"/>
      <c r="AMQ170" s="125"/>
      <c r="AMR170" s="125"/>
      <c r="AMS170" s="125"/>
      <c r="AMT170" s="125"/>
      <c r="AMU170" s="125"/>
      <c r="AMV170" s="125"/>
      <c r="AMW170" s="125"/>
      <c r="AMX170" s="125"/>
      <c r="AMY170" s="125"/>
      <c r="AMZ170" s="125"/>
      <c r="ANA170" s="125"/>
      <c r="ANB170" s="125"/>
      <c r="ANC170" s="125"/>
      <c r="AND170" s="125"/>
      <c r="ANE170" s="125"/>
      <c r="ANF170" s="125"/>
      <c r="ANG170" s="125"/>
      <c r="ANH170" s="125"/>
      <c r="ANI170" s="125"/>
      <c r="ANJ170" s="125"/>
      <c r="ANK170" s="125"/>
      <c r="ANL170" s="125"/>
      <c r="ANM170" s="125"/>
      <c r="ANN170" s="125"/>
      <c r="ANO170" s="125"/>
      <c r="ANP170" s="125"/>
      <c r="ANQ170" s="125"/>
      <c r="ANR170" s="125"/>
      <c r="ANS170" s="125"/>
      <c r="ANT170" s="125"/>
      <c r="ANU170" s="125"/>
      <c r="ANV170" s="125"/>
      <c r="ANW170" s="125"/>
      <c r="ANX170" s="125"/>
      <c r="ANY170" s="125"/>
      <c r="ANZ170" s="125"/>
      <c r="AOA170" s="125"/>
      <c r="AOB170" s="125"/>
      <c r="AOC170" s="125"/>
      <c r="AOD170" s="125"/>
      <c r="AOE170" s="125"/>
      <c r="AOF170" s="125"/>
      <c r="AOG170" s="125"/>
      <c r="AOH170" s="125"/>
      <c r="AOI170" s="125"/>
      <c r="AOJ170" s="125"/>
      <c r="AOK170" s="125"/>
      <c r="AOL170" s="125"/>
      <c r="AOM170" s="125"/>
      <c r="AON170" s="125"/>
      <c r="AOO170" s="125"/>
      <c r="AOP170" s="125"/>
      <c r="AOQ170" s="125"/>
      <c r="AOR170" s="125"/>
      <c r="AOS170" s="125"/>
      <c r="AOT170" s="125"/>
      <c r="AOU170" s="125"/>
      <c r="AOV170" s="125"/>
      <c r="AOW170" s="125"/>
      <c r="AOX170" s="125"/>
      <c r="AOY170" s="125"/>
      <c r="AOZ170" s="125"/>
      <c r="APA170" s="125"/>
      <c r="APB170" s="125"/>
      <c r="APC170" s="125"/>
      <c r="APD170" s="125"/>
      <c r="APE170" s="125"/>
      <c r="APF170" s="125"/>
      <c r="APG170" s="125"/>
      <c r="APH170" s="125"/>
      <c r="API170" s="125"/>
      <c r="APJ170" s="125"/>
      <c r="APK170" s="125"/>
      <c r="APL170" s="125"/>
      <c r="APM170" s="125"/>
      <c r="APN170" s="125"/>
      <c r="APO170" s="125"/>
      <c r="APP170" s="125"/>
      <c r="APQ170" s="125"/>
      <c r="APR170" s="125"/>
      <c r="APS170" s="125"/>
      <c r="APT170" s="125"/>
      <c r="APU170" s="125"/>
      <c r="APV170" s="125"/>
      <c r="APW170" s="125"/>
      <c r="APX170" s="125"/>
      <c r="APY170" s="125"/>
      <c r="APZ170" s="125"/>
      <c r="AQA170" s="125"/>
      <c r="AQB170" s="125"/>
      <c r="AQC170" s="125"/>
      <c r="AQD170" s="125"/>
      <c r="AQE170" s="125"/>
      <c r="AQF170" s="125"/>
      <c r="AQG170" s="125"/>
      <c r="AQH170" s="125"/>
      <c r="AQI170" s="125"/>
      <c r="AQJ170" s="125"/>
      <c r="AQK170" s="125"/>
      <c r="AQL170" s="125"/>
      <c r="AQM170" s="125"/>
      <c r="AQN170" s="125"/>
      <c r="AQO170" s="125"/>
      <c r="AQP170" s="125"/>
      <c r="AQQ170" s="125"/>
      <c r="AQR170" s="125"/>
      <c r="AQS170" s="125"/>
      <c r="AQT170" s="125"/>
      <c r="AQU170" s="125"/>
      <c r="AQV170" s="125"/>
      <c r="AQW170" s="125"/>
      <c r="AQX170" s="125"/>
      <c r="AQY170" s="125"/>
      <c r="AQZ170" s="125"/>
      <c r="ARA170" s="125"/>
      <c r="ARB170" s="125"/>
      <c r="ARC170" s="125"/>
      <c r="ARD170" s="125"/>
      <c r="ARE170" s="125"/>
      <c r="ARF170" s="125"/>
      <c r="ARG170" s="125"/>
      <c r="ARH170" s="125"/>
      <c r="ARI170" s="125"/>
      <c r="ARJ170" s="125"/>
      <c r="ARK170" s="125"/>
      <c r="ARL170" s="125"/>
      <c r="ARM170" s="125"/>
      <c r="ARN170" s="125"/>
      <c r="ARO170" s="125"/>
      <c r="ARP170" s="125"/>
      <c r="ARQ170" s="125"/>
      <c r="ARR170" s="125"/>
      <c r="ARS170" s="125"/>
      <c r="ART170" s="125"/>
      <c r="ARU170" s="125"/>
      <c r="ARV170" s="125"/>
      <c r="ARW170" s="125"/>
      <c r="ARX170" s="125"/>
      <c r="ARY170" s="125"/>
      <c r="ARZ170" s="125"/>
      <c r="ASA170" s="125"/>
      <c r="ASB170" s="125"/>
      <c r="ASC170" s="125"/>
      <c r="ASD170" s="125"/>
      <c r="ASE170" s="125"/>
      <c r="ASF170" s="125"/>
      <c r="ASG170" s="125"/>
      <c r="ASH170" s="125"/>
      <c r="ASI170" s="125"/>
      <c r="ASJ170" s="125"/>
      <c r="ASK170" s="125"/>
      <c r="ASL170" s="125"/>
      <c r="ASM170" s="125"/>
      <c r="ASN170" s="125"/>
      <c r="ASO170" s="125"/>
      <c r="ASP170" s="125"/>
      <c r="ASQ170" s="125"/>
      <c r="ASR170" s="125"/>
      <c r="ASS170" s="125"/>
      <c r="AST170" s="125"/>
      <c r="ASU170" s="125"/>
      <c r="ASV170" s="125"/>
      <c r="ASW170" s="125"/>
      <c r="ASX170" s="125"/>
      <c r="ASY170" s="125"/>
      <c r="ASZ170" s="125"/>
      <c r="ATA170" s="125"/>
      <c r="ATB170" s="125"/>
      <c r="ATC170" s="125"/>
      <c r="ATD170" s="125"/>
      <c r="ATE170" s="125"/>
      <c r="ATF170" s="125"/>
      <c r="ATG170" s="125"/>
      <c r="ATH170" s="125"/>
      <c r="ATI170" s="125"/>
      <c r="ATJ170" s="125"/>
      <c r="ATK170" s="125"/>
      <c r="ATL170" s="125"/>
      <c r="ATM170" s="125"/>
      <c r="ATN170" s="125"/>
      <c r="ATO170" s="125"/>
      <c r="ATP170" s="125"/>
      <c r="ATQ170" s="125"/>
      <c r="ATR170" s="125"/>
      <c r="ATS170" s="125"/>
      <c r="ATT170" s="125"/>
      <c r="ATU170" s="125"/>
      <c r="ATV170" s="125"/>
      <c r="ATW170" s="125"/>
      <c r="ATX170" s="125"/>
      <c r="ATY170" s="125"/>
      <c r="ATZ170" s="125"/>
      <c r="AUA170" s="125"/>
      <c r="AUB170" s="125"/>
      <c r="AUC170" s="125"/>
      <c r="AUD170" s="125"/>
      <c r="AUE170" s="125"/>
      <c r="AUF170" s="125"/>
      <c r="AUG170" s="125"/>
      <c r="AUH170" s="125"/>
      <c r="AUI170" s="125"/>
      <c r="AUJ170" s="125"/>
      <c r="AUK170" s="125"/>
      <c r="AUL170" s="125"/>
      <c r="AUM170" s="125"/>
      <c r="AUN170" s="125"/>
      <c r="AUO170" s="125"/>
      <c r="AUP170" s="125"/>
      <c r="AUQ170" s="125"/>
      <c r="AUR170" s="125"/>
      <c r="AUS170" s="125"/>
      <c r="AUT170" s="125"/>
      <c r="AUU170" s="125"/>
      <c r="AUV170" s="125"/>
      <c r="AUW170" s="125"/>
      <c r="AUX170" s="125"/>
      <c r="AUY170" s="125"/>
      <c r="AUZ170" s="125"/>
      <c r="AVA170" s="125"/>
      <c r="AVB170" s="125"/>
      <c r="AVC170" s="125"/>
      <c r="AVD170" s="125"/>
      <c r="AVE170" s="125"/>
      <c r="AVF170" s="125"/>
      <c r="AVG170" s="125"/>
      <c r="AVH170" s="125"/>
      <c r="AVI170" s="125"/>
      <c r="AVJ170" s="125"/>
      <c r="AVK170" s="125"/>
      <c r="AVL170" s="125"/>
      <c r="AVM170" s="125"/>
      <c r="AVN170" s="125"/>
      <c r="AVO170" s="125"/>
      <c r="AVP170" s="125"/>
      <c r="AVQ170" s="125"/>
      <c r="AVR170" s="125"/>
      <c r="AVS170" s="125"/>
      <c r="AVT170" s="125"/>
      <c r="AVU170" s="125"/>
      <c r="AVV170" s="125"/>
      <c r="AVW170" s="125"/>
      <c r="AVX170" s="125"/>
      <c r="AVY170" s="125"/>
      <c r="AVZ170" s="125"/>
      <c r="AWA170" s="125"/>
      <c r="AWB170" s="125"/>
      <c r="AWC170" s="125"/>
      <c r="AWD170" s="125"/>
      <c r="AWE170" s="125"/>
      <c r="AWF170" s="125"/>
      <c r="AWG170" s="125"/>
      <c r="AWH170" s="125"/>
      <c r="AWI170" s="125"/>
      <c r="AWJ170" s="125"/>
      <c r="AWK170" s="125"/>
      <c r="AWL170" s="125"/>
      <c r="AWM170" s="125"/>
      <c r="AWN170" s="125"/>
      <c r="AWO170" s="125"/>
      <c r="AWP170" s="125"/>
      <c r="AWQ170" s="125"/>
      <c r="AWR170" s="125"/>
      <c r="AWS170" s="125"/>
      <c r="AWT170" s="125"/>
      <c r="AWU170" s="125"/>
      <c r="AWV170" s="125"/>
      <c r="AWW170" s="125"/>
      <c r="AWX170" s="125"/>
      <c r="AWY170" s="125"/>
      <c r="AWZ170" s="125"/>
      <c r="AXA170" s="125"/>
      <c r="AXB170" s="125"/>
      <c r="AXC170" s="125"/>
      <c r="AXD170" s="125"/>
      <c r="AXE170" s="125"/>
      <c r="AXF170" s="125"/>
      <c r="AXG170" s="125"/>
      <c r="AXH170" s="125"/>
      <c r="AXI170" s="125"/>
      <c r="AXJ170" s="125"/>
      <c r="AXK170" s="125"/>
      <c r="AXL170" s="125"/>
      <c r="AXM170" s="125"/>
      <c r="AXN170" s="125"/>
      <c r="AXO170" s="125"/>
      <c r="AXP170" s="125"/>
      <c r="AXQ170" s="125"/>
      <c r="AXR170" s="125"/>
      <c r="AXS170" s="125"/>
      <c r="AXT170" s="125"/>
      <c r="AXU170" s="125"/>
      <c r="AXV170" s="125"/>
      <c r="AXW170" s="125"/>
      <c r="AXX170" s="125"/>
      <c r="AXY170" s="125"/>
      <c r="AXZ170" s="125"/>
      <c r="AYA170" s="125"/>
      <c r="AYB170" s="125"/>
      <c r="AYC170" s="125"/>
      <c r="AYD170" s="125"/>
      <c r="AYE170" s="125"/>
      <c r="AYF170" s="125"/>
      <c r="AYG170" s="125"/>
      <c r="AYH170" s="125"/>
      <c r="AYI170" s="125"/>
      <c r="AYJ170" s="125"/>
      <c r="AYK170" s="125"/>
      <c r="AYL170" s="125"/>
      <c r="AYM170" s="125"/>
      <c r="AYN170" s="125"/>
      <c r="AYO170" s="125"/>
      <c r="AYP170" s="125"/>
      <c r="AYQ170" s="125"/>
      <c r="AYR170" s="125"/>
      <c r="AYS170" s="125"/>
      <c r="AYT170" s="125"/>
      <c r="AYU170" s="125"/>
      <c r="AYV170" s="125"/>
      <c r="AYW170" s="125"/>
      <c r="AYX170" s="125"/>
      <c r="AYY170" s="125"/>
      <c r="AYZ170" s="125"/>
      <c r="AZA170" s="125"/>
      <c r="AZB170" s="125"/>
      <c r="AZC170" s="125"/>
      <c r="AZD170" s="125"/>
      <c r="AZE170" s="125"/>
      <c r="AZF170" s="125"/>
      <c r="AZG170" s="125"/>
      <c r="AZH170" s="125"/>
      <c r="AZI170" s="125"/>
      <c r="AZJ170" s="125"/>
      <c r="AZK170" s="125"/>
      <c r="AZL170" s="125"/>
      <c r="AZM170" s="125"/>
      <c r="AZN170" s="125"/>
      <c r="AZO170" s="125"/>
      <c r="AZP170" s="125"/>
      <c r="AZQ170" s="125"/>
      <c r="AZR170" s="125"/>
      <c r="AZS170" s="125"/>
      <c r="AZT170" s="125"/>
      <c r="AZU170" s="125"/>
      <c r="AZV170" s="125"/>
      <c r="AZW170" s="125"/>
      <c r="AZX170" s="125"/>
      <c r="AZY170" s="125"/>
      <c r="AZZ170" s="125"/>
      <c r="BAA170" s="125"/>
      <c r="BAB170" s="125"/>
      <c r="BAC170" s="125"/>
      <c r="BAD170" s="125"/>
      <c r="BAE170" s="125"/>
      <c r="BAF170" s="125"/>
      <c r="BAG170" s="125"/>
      <c r="BAH170" s="125"/>
      <c r="BAI170" s="125"/>
      <c r="BAJ170" s="125"/>
      <c r="BAK170" s="125"/>
      <c r="BAL170" s="125"/>
      <c r="BAM170" s="125"/>
      <c r="BAN170" s="125"/>
      <c r="BAO170" s="125"/>
      <c r="BAP170" s="125"/>
      <c r="BAQ170" s="125"/>
      <c r="BAR170" s="125"/>
      <c r="BAS170" s="125"/>
      <c r="BAT170" s="125"/>
      <c r="BAU170" s="125"/>
      <c r="BAV170" s="125"/>
      <c r="BAW170" s="125"/>
      <c r="BAX170" s="125"/>
      <c r="BAY170" s="125"/>
      <c r="BAZ170" s="125"/>
      <c r="BBA170" s="125"/>
      <c r="BBB170" s="125"/>
      <c r="BBC170" s="125"/>
      <c r="BBD170" s="125"/>
      <c r="BBE170" s="125"/>
      <c r="BBF170" s="125"/>
      <c r="BBG170" s="125"/>
      <c r="BBH170" s="125"/>
      <c r="BBI170" s="125"/>
      <c r="BBJ170" s="125"/>
      <c r="BBK170" s="125"/>
      <c r="BBL170" s="125"/>
      <c r="BBM170" s="125"/>
      <c r="BBN170" s="125"/>
      <c r="BBO170" s="125"/>
      <c r="BBP170" s="125"/>
      <c r="BBQ170" s="125"/>
      <c r="BBR170" s="125"/>
      <c r="BBS170" s="125"/>
      <c r="BBT170" s="125"/>
      <c r="BBU170" s="125"/>
      <c r="BBV170" s="125"/>
      <c r="BBW170" s="125"/>
      <c r="BBX170" s="125"/>
      <c r="BBY170" s="125"/>
      <c r="BBZ170" s="125"/>
      <c r="BCA170" s="125"/>
      <c r="BCB170" s="125"/>
      <c r="BCC170" s="125"/>
      <c r="BCD170" s="125"/>
      <c r="BCE170" s="125"/>
      <c r="BCF170" s="125"/>
      <c r="BCG170" s="125"/>
      <c r="BCH170" s="125"/>
      <c r="BCI170" s="125"/>
      <c r="BCJ170" s="125"/>
      <c r="BCK170" s="125"/>
      <c r="BCL170" s="125"/>
      <c r="BCM170" s="125"/>
      <c r="BCN170" s="125"/>
      <c r="BCO170" s="125"/>
      <c r="BCP170" s="125"/>
      <c r="BCQ170" s="125"/>
      <c r="BCR170" s="125"/>
      <c r="BCS170" s="125"/>
      <c r="BCT170" s="125"/>
      <c r="BCU170" s="125"/>
      <c r="BCV170" s="125"/>
      <c r="BCW170" s="125"/>
      <c r="BCX170" s="125"/>
      <c r="BCY170" s="125"/>
      <c r="BCZ170" s="125"/>
      <c r="BDA170" s="125"/>
      <c r="BDB170" s="125"/>
      <c r="BDC170" s="125"/>
      <c r="BDD170" s="125"/>
      <c r="BDE170" s="125"/>
      <c r="BDF170" s="125"/>
      <c r="BDG170" s="125"/>
      <c r="BDH170" s="125"/>
      <c r="BDI170" s="125"/>
      <c r="BDJ170" s="125"/>
      <c r="BDK170" s="125"/>
      <c r="BDL170" s="125"/>
      <c r="BDM170" s="125"/>
      <c r="BDN170" s="125"/>
      <c r="BDO170" s="125"/>
      <c r="BDP170" s="125"/>
      <c r="BDQ170" s="125"/>
      <c r="BDR170" s="125"/>
      <c r="BDS170" s="125"/>
      <c r="BDT170" s="125"/>
      <c r="BDU170" s="125"/>
      <c r="BDV170" s="125"/>
      <c r="BDW170" s="125"/>
      <c r="BDX170" s="125"/>
      <c r="BDY170" s="125"/>
      <c r="BDZ170" s="125"/>
      <c r="BEA170" s="125"/>
      <c r="BEB170" s="125"/>
      <c r="BEC170" s="125"/>
      <c r="BED170" s="125"/>
      <c r="BEE170" s="125"/>
      <c r="BEF170" s="125"/>
      <c r="BEG170" s="125"/>
      <c r="BEH170" s="125"/>
      <c r="BEI170" s="125"/>
      <c r="BEJ170" s="125"/>
      <c r="BEK170" s="125"/>
      <c r="BEL170" s="125"/>
      <c r="BEM170" s="125"/>
      <c r="BEN170" s="125"/>
      <c r="BEO170" s="125"/>
      <c r="BEP170" s="125"/>
      <c r="BEQ170" s="125"/>
      <c r="BER170" s="125"/>
      <c r="BES170" s="125"/>
      <c r="BET170" s="125"/>
      <c r="BEU170" s="125"/>
      <c r="BEV170" s="125"/>
      <c r="BEW170" s="125"/>
      <c r="BEX170" s="125"/>
      <c r="BEY170" s="125"/>
      <c r="BEZ170" s="125"/>
      <c r="BFA170" s="125"/>
      <c r="BFB170" s="125"/>
      <c r="BFC170" s="125"/>
      <c r="BFD170" s="125"/>
      <c r="BFE170" s="125"/>
      <c r="BFF170" s="125"/>
      <c r="BFG170" s="125"/>
      <c r="BFH170" s="125"/>
      <c r="BFI170" s="125"/>
      <c r="BFJ170" s="125"/>
      <c r="BFK170" s="125"/>
      <c r="BFL170" s="125"/>
      <c r="BFM170" s="125"/>
      <c r="BFN170" s="125"/>
      <c r="BFO170" s="125"/>
      <c r="BFP170" s="125"/>
      <c r="BFQ170" s="125"/>
      <c r="BFR170" s="125"/>
      <c r="BFS170" s="125"/>
      <c r="BFT170" s="125"/>
      <c r="BFU170" s="125"/>
      <c r="BFV170" s="125"/>
      <c r="BFW170" s="125"/>
      <c r="BFX170" s="125"/>
      <c r="BFY170" s="125"/>
      <c r="BFZ170" s="125"/>
      <c r="BGA170" s="125"/>
      <c r="BGB170" s="125"/>
      <c r="BGC170" s="125"/>
      <c r="BGD170" s="125"/>
      <c r="BGE170" s="125"/>
      <c r="BGF170" s="125"/>
      <c r="BGG170" s="125"/>
      <c r="BGH170" s="125"/>
      <c r="BGI170" s="125"/>
      <c r="BGJ170" s="125"/>
      <c r="BGK170" s="125"/>
      <c r="BGL170" s="125"/>
      <c r="BGM170" s="125"/>
      <c r="BGN170" s="125"/>
      <c r="BGO170" s="125"/>
      <c r="BGP170" s="125"/>
      <c r="BGQ170" s="125"/>
      <c r="BGR170" s="125"/>
      <c r="BGS170" s="125"/>
      <c r="BGT170" s="125"/>
      <c r="BGU170" s="125"/>
      <c r="BGV170" s="125"/>
      <c r="BGW170" s="125"/>
      <c r="BGX170" s="125"/>
      <c r="BGY170" s="125"/>
      <c r="BGZ170" s="125"/>
      <c r="BHA170" s="125"/>
      <c r="BHB170" s="125"/>
      <c r="BHC170" s="125"/>
      <c r="BHD170" s="125"/>
      <c r="BHE170" s="125"/>
      <c r="BHF170" s="125"/>
      <c r="BHG170" s="125"/>
      <c r="BHH170" s="125"/>
      <c r="BHI170" s="125"/>
      <c r="BHJ170" s="125"/>
      <c r="BHK170" s="125"/>
      <c r="BHL170" s="125"/>
      <c r="BHM170" s="125"/>
      <c r="BHN170" s="125"/>
      <c r="BHO170" s="125"/>
      <c r="BHP170" s="125"/>
      <c r="BHQ170" s="125"/>
      <c r="BHR170" s="125"/>
      <c r="BHS170" s="125"/>
      <c r="BHT170" s="125"/>
      <c r="BHU170" s="125"/>
      <c r="BHV170" s="125"/>
      <c r="BHW170" s="125"/>
      <c r="BHX170" s="125"/>
      <c r="BHY170" s="125"/>
      <c r="BHZ170" s="125"/>
      <c r="BIA170" s="125"/>
      <c r="BIB170" s="125"/>
      <c r="BIC170" s="125"/>
      <c r="BID170" s="125"/>
      <c r="BIE170" s="125"/>
      <c r="BIF170" s="125"/>
      <c r="BIG170" s="125"/>
      <c r="BIH170" s="125"/>
      <c r="BII170" s="125"/>
      <c r="BIJ170" s="125"/>
      <c r="BIK170" s="125"/>
      <c r="BIL170" s="125"/>
      <c r="BIM170" s="125"/>
      <c r="BIN170" s="125"/>
      <c r="BIO170" s="125"/>
      <c r="BIP170" s="125"/>
      <c r="BIQ170" s="125"/>
      <c r="BIR170" s="125"/>
      <c r="BIS170" s="125"/>
      <c r="BIT170" s="125"/>
      <c r="BIU170" s="125"/>
      <c r="BIV170" s="125"/>
      <c r="BIW170" s="125"/>
      <c r="BIX170" s="125"/>
      <c r="BIY170" s="125"/>
      <c r="BIZ170" s="125"/>
      <c r="BJA170" s="125"/>
      <c r="BJB170" s="125"/>
      <c r="BJC170" s="125"/>
      <c r="BJD170" s="125"/>
      <c r="BJE170" s="125"/>
      <c r="BJF170" s="125"/>
      <c r="BJG170" s="125"/>
      <c r="BJH170" s="125"/>
      <c r="BJI170" s="125"/>
      <c r="BJJ170" s="125"/>
      <c r="BJK170" s="125"/>
      <c r="BJL170" s="125"/>
      <c r="BJM170" s="125"/>
      <c r="BJN170" s="125"/>
      <c r="BJO170" s="125"/>
      <c r="BJP170" s="125"/>
      <c r="BJQ170" s="125"/>
      <c r="BJR170" s="125"/>
      <c r="BJS170" s="125"/>
      <c r="BJT170" s="125"/>
      <c r="BJU170" s="125"/>
      <c r="BJV170" s="125"/>
      <c r="BJW170" s="125"/>
      <c r="BJX170" s="125"/>
      <c r="BJY170" s="125"/>
      <c r="BJZ170" s="125"/>
      <c r="BKA170" s="125"/>
      <c r="BKB170" s="125"/>
      <c r="BKC170" s="125"/>
      <c r="BKD170" s="125"/>
      <c r="BKE170" s="125"/>
      <c r="BKF170" s="125"/>
      <c r="BKG170" s="125"/>
      <c r="BKH170" s="125"/>
      <c r="BKI170" s="125"/>
      <c r="BKJ170" s="125"/>
      <c r="BKK170" s="125"/>
      <c r="BKL170" s="125"/>
      <c r="BKM170" s="125"/>
      <c r="BKN170" s="125"/>
      <c r="BKO170" s="125"/>
      <c r="BKP170" s="125"/>
      <c r="BKQ170" s="125"/>
      <c r="BKR170" s="125"/>
      <c r="BKS170" s="125"/>
      <c r="BKT170" s="125"/>
      <c r="BKU170" s="125"/>
      <c r="BKV170" s="125"/>
      <c r="BKW170" s="125"/>
      <c r="BKX170" s="125"/>
      <c r="BKY170" s="125"/>
      <c r="BKZ170" s="125"/>
      <c r="BLA170" s="125"/>
      <c r="BLB170" s="125"/>
      <c r="BLC170" s="125"/>
      <c r="BLD170" s="125"/>
      <c r="BLE170" s="125"/>
      <c r="BLF170" s="125"/>
      <c r="BLG170" s="125"/>
      <c r="BLH170" s="125"/>
      <c r="BLI170" s="125"/>
      <c r="BLJ170" s="125"/>
      <c r="BLK170" s="125"/>
      <c r="BLL170" s="125"/>
      <c r="BLM170" s="125"/>
      <c r="BLN170" s="125"/>
      <c r="BLO170" s="125"/>
      <c r="BLP170" s="125"/>
      <c r="BLQ170" s="125"/>
      <c r="BLR170" s="125"/>
      <c r="BLS170" s="125"/>
      <c r="BLT170" s="125"/>
      <c r="BLU170" s="125"/>
      <c r="BLV170" s="125"/>
      <c r="BLW170" s="125"/>
      <c r="BLX170" s="125"/>
      <c r="BLY170" s="125"/>
      <c r="BLZ170" s="125"/>
      <c r="BMA170" s="125"/>
      <c r="BMB170" s="125"/>
      <c r="BMC170" s="125"/>
      <c r="BMD170" s="125"/>
      <c r="BME170" s="125"/>
      <c r="BMF170" s="125"/>
      <c r="BMG170" s="125"/>
      <c r="BMH170" s="125"/>
      <c r="BMI170" s="125"/>
      <c r="BMJ170" s="125"/>
      <c r="BMK170" s="125"/>
      <c r="BML170" s="125"/>
      <c r="BMM170" s="125"/>
      <c r="BMN170" s="125"/>
      <c r="BMO170" s="125"/>
      <c r="BMP170" s="125"/>
      <c r="BMQ170" s="125"/>
      <c r="BMR170" s="125"/>
      <c r="BMS170" s="125"/>
      <c r="BMT170" s="125"/>
      <c r="BMU170" s="125"/>
      <c r="BMV170" s="125"/>
      <c r="BMW170" s="125"/>
      <c r="BMX170" s="125"/>
      <c r="BMY170" s="125"/>
      <c r="BMZ170" s="125"/>
      <c r="BNA170" s="125"/>
      <c r="BNB170" s="125"/>
      <c r="BNC170" s="125"/>
      <c r="BND170" s="125"/>
      <c r="BNE170" s="125"/>
      <c r="BNF170" s="125"/>
      <c r="BNG170" s="125"/>
      <c r="BNH170" s="125"/>
      <c r="BNI170" s="125"/>
      <c r="BNJ170" s="125"/>
      <c r="BNK170" s="125"/>
      <c r="BNL170" s="125"/>
      <c r="BNM170" s="125"/>
      <c r="BNN170" s="125"/>
      <c r="BNO170" s="125"/>
      <c r="BNP170" s="125"/>
      <c r="BNQ170" s="125"/>
      <c r="BNR170" s="125"/>
      <c r="BNS170" s="125"/>
      <c r="BNT170" s="125"/>
      <c r="BNU170" s="125"/>
      <c r="BNV170" s="125"/>
      <c r="BNW170" s="125"/>
      <c r="BNX170" s="125"/>
      <c r="BNY170" s="125"/>
      <c r="BNZ170" s="125"/>
      <c r="BOA170" s="125"/>
      <c r="BOB170" s="125"/>
      <c r="BOC170" s="125"/>
      <c r="BOD170" s="125"/>
      <c r="BOE170" s="125"/>
      <c r="BOF170" s="125"/>
      <c r="BOG170" s="125"/>
      <c r="BOH170" s="125"/>
      <c r="BOI170" s="125"/>
      <c r="BOJ170" s="125"/>
      <c r="BOK170" s="125"/>
      <c r="BOL170" s="125"/>
      <c r="BOM170" s="125"/>
      <c r="BON170" s="125"/>
      <c r="BOO170" s="125"/>
      <c r="BOP170" s="125"/>
      <c r="BOQ170" s="125"/>
      <c r="BOR170" s="125"/>
      <c r="BOS170" s="125"/>
      <c r="BOT170" s="125"/>
      <c r="BOU170" s="125"/>
      <c r="BOV170" s="125"/>
      <c r="BOW170" s="125"/>
      <c r="BOX170" s="125"/>
      <c r="BOY170" s="125"/>
      <c r="BOZ170" s="125"/>
      <c r="BPA170" s="125"/>
      <c r="BPB170" s="125"/>
      <c r="BPC170" s="125"/>
      <c r="BPD170" s="125"/>
      <c r="BPE170" s="125"/>
      <c r="BPF170" s="125"/>
      <c r="BPG170" s="125"/>
      <c r="BPH170" s="125"/>
      <c r="BPI170" s="125"/>
      <c r="BPJ170" s="125"/>
      <c r="BPK170" s="125"/>
      <c r="BPL170" s="125"/>
      <c r="BPM170" s="125"/>
      <c r="BPN170" s="125"/>
      <c r="BPO170" s="125"/>
      <c r="BPP170" s="125"/>
      <c r="BPQ170" s="125"/>
      <c r="BPR170" s="125"/>
      <c r="BPS170" s="125"/>
      <c r="BPT170" s="125"/>
      <c r="BPU170" s="125"/>
      <c r="BPV170" s="125"/>
      <c r="BPW170" s="125"/>
      <c r="BPX170" s="125"/>
      <c r="BPY170" s="125"/>
      <c r="BPZ170" s="125"/>
      <c r="BQA170" s="125"/>
      <c r="BQB170" s="125"/>
      <c r="BQC170" s="125"/>
      <c r="BQD170" s="125"/>
      <c r="BQE170" s="125"/>
      <c r="BQF170" s="125"/>
      <c r="BQG170" s="125"/>
      <c r="BQH170" s="125"/>
      <c r="BQI170" s="125"/>
      <c r="BQJ170" s="125"/>
      <c r="BQK170" s="125"/>
      <c r="BQL170" s="125"/>
      <c r="BQM170" s="125"/>
      <c r="BQN170" s="125"/>
      <c r="BQO170" s="125"/>
      <c r="BQP170" s="125"/>
      <c r="BQQ170" s="125"/>
      <c r="BQR170" s="125"/>
      <c r="BQS170" s="125"/>
      <c r="BQT170" s="125"/>
      <c r="BQU170" s="125"/>
      <c r="BQV170" s="125"/>
      <c r="BQW170" s="125"/>
      <c r="BQX170" s="125"/>
      <c r="BQY170" s="125"/>
      <c r="BQZ170" s="125"/>
      <c r="BRA170" s="125"/>
      <c r="BRB170" s="125"/>
      <c r="BRC170" s="125"/>
      <c r="BRD170" s="125"/>
      <c r="BRE170" s="125"/>
      <c r="BRF170" s="125"/>
      <c r="BRG170" s="125"/>
      <c r="BRH170" s="125"/>
      <c r="BRI170" s="125"/>
      <c r="BRJ170" s="125"/>
      <c r="BRK170" s="125"/>
      <c r="BRL170" s="125"/>
      <c r="BRM170" s="125"/>
      <c r="BRN170" s="125"/>
      <c r="BRO170" s="125"/>
      <c r="BRP170" s="125"/>
      <c r="BRQ170" s="125"/>
      <c r="BRR170" s="125"/>
      <c r="BRS170" s="125"/>
      <c r="BRT170" s="125"/>
      <c r="BRU170" s="125"/>
      <c r="BRV170" s="125"/>
      <c r="BRW170" s="125"/>
      <c r="BRX170" s="125"/>
      <c r="BRY170" s="125"/>
      <c r="BRZ170" s="125"/>
      <c r="BSA170" s="125"/>
      <c r="BSB170" s="125"/>
      <c r="BSC170" s="125"/>
      <c r="BSD170" s="125"/>
      <c r="BSE170" s="125"/>
      <c r="BSF170" s="125"/>
      <c r="BSG170" s="125"/>
      <c r="BSH170" s="125"/>
      <c r="BSI170" s="125"/>
      <c r="BSJ170" s="125"/>
      <c r="BSK170" s="125"/>
      <c r="BSL170" s="125"/>
      <c r="BSM170" s="125"/>
      <c r="BSN170" s="125"/>
      <c r="BSO170" s="125"/>
      <c r="BSP170" s="125"/>
      <c r="BSQ170" s="125"/>
      <c r="BSR170" s="125"/>
      <c r="BSS170" s="125"/>
      <c r="BST170" s="125"/>
      <c r="BSU170" s="125"/>
      <c r="BSV170" s="125"/>
      <c r="BSW170" s="125"/>
      <c r="BSX170" s="125"/>
      <c r="BSY170" s="125"/>
      <c r="BSZ170" s="125"/>
      <c r="BTA170" s="125"/>
      <c r="BTB170" s="125"/>
      <c r="BTC170" s="125"/>
      <c r="BTD170" s="125"/>
      <c r="BTE170" s="125"/>
      <c r="BTF170" s="125"/>
      <c r="BTG170" s="125"/>
      <c r="BTH170" s="125"/>
      <c r="BTI170" s="125"/>
      <c r="BTJ170" s="125"/>
      <c r="BTK170" s="125"/>
      <c r="BTL170" s="125"/>
      <c r="BTM170" s="125"/>
      <c r="BTN170" s="125"/>
      <c r="BTO170" s="125"/>
      <c r="BTP170" s="125"/>
      <c r="BTQ170" s="125"/>
      <c r="BTR170" s="125"/>
      <c r="BTS170" s="125"/>
      <c r="BTT170" s="125"/>
      <c r="BTU170" s="125"/>
      <c r="BTV170" s="125"/>
      <c r="BTW170" s="125"/>
      <c r="BTX170" s="125"/>
      <c r="BTY170" s="125"/>
      <c r="BTZ170" s="125"/>
      <c r="BUA170" s="125"/>
      <c r="BUB170" s="125"/>
      <c r="BUC170" s="125"/>
      <c r="BUD170" s="125"/>
      <c r="BUE170" s="125"/>
      <c r="BUF170" s="125"/>
      <c r="BUG170" s="125"/>
      <c r="BUH170" s="125"/>
      <c r="BUI170" s="125"/>
      <c r="BUJ170" s="125"/>
      <c r="BUK170" s="125"/>
      <c r="BUL170" s="125"/>
      <c r="BUM170" s="125"/>
      <c r="BUN170" s="125"/>
      <c r="BUO170" s="125"/>
      <c r="BUP170" s="125"/>
      <c r="BUQ170" s="125"/>
      <c r="BUR170" s="125"/>
      <c r="BUS170" s="125"/>
      <c r="BUT170" s="125"/>
      <c r="BUU170" s="125"/>
      <c r="BUV170" s="125"/>
      <c r="BUW170" s="125"/>
      <c r="BUX170" s="125"/>
      <c r="BUY170" s="125"/>
      <c r="BUZ170" s="125"/>
      <c r="BVA170" s="125"/>
      <c r="BVB170" s="125"/>
      <c r="BVC170" s="125"/>
      <c r="BVD170" s="125"/>
      <c r="BVE170" s="125"/>
      <c r="BVF170" s="125"/>
      <c r="BVG170" s="125"/>
      <c r="BVH170" s="125"/>
      <c r="BVI170" s="125"/>
      <c r="BVJ170" s="125"/>
      <c r="BVK170" s="125"/>
      <c r="BVL170" s="125"/>
      <c r="BVM170" s="125"/>
      <c r="BVN170" s="125"/>
      <c r="BVO170" s="125"/>
      <c r="BVP170" s="125"/>
      <c r="BVQ170" s="125"/>
      <c r="BVR170" s="125"/>
      <c r="BVS170" s="125"/>
      <c r="BVT170" s="125"/>
      <c r="BVU170" s="125"/>
      <c r="BVV170" s="125"/>
      <c r="BVW170" s="125"/>
      <c r="BVX170" s="125"/>
      <c r="BVY170" s="125"/>
      <c r="BVZ170" s="125"/>
      <c r="BWA170" s="125"/>
      <c r="BWB170" s="125"/>
      <c r="BWC170" s="125"/>
      <c r="BWD170" s="125"/>
      <c r="BWE170" s="125"/>
      <c r="BWF170" s="125"/>
      <c r="BWG170" s="125"/>
      <c r="BWH170" s="125"/>
      <c r="BWI170" s="125"/>
      <c r="BWJ170" s="125"/>
      <c r="BWK170" s="125"/>
      <c r="BWL170" s="125"/>
      <c r="BWM170" s="125"/>
      <c r="BWN170" s="125"/>
      <c r="BWO170" s="125"/>
      <c r="BWP170" s="125"/>
      <c r="BWQ170" s="125"/>
      <c r="BWR170" s="125"/>
      <c r="BWS170" s="125"/>
      <c r="BWT170" s="125"/>
      <c r="BWU170" s="125"/>
      <c r="BWV170" s="125"/>
      <c r="BWW170" s="125"/>
      <c r="BWX170" s="125"/>
      <c r="BWY170" s="125"/>
      <c r="BWZ170" s="125"/>
      <c r="BXA170" s="125"/>
      <c r="BXB170" s="125"/>
      <c r="BXC170" s="125"/>
      <c r="BXD170" s="125"/>
      <c r="BXE170" s="125"/>
      <c r="BXF170" s="125"/>
      <c r="BXG170" s="125"/>
      <c r="BXH170" s="125"/>
      <c r="BXI170" s="125"/>
      <c r="BXJ170" s="125"/>
      <c r="BXK170" s="125"/>
      <c r="BXL170" s="125"/>
      <c r="BXM170" s="125"/>
      <c r="BXN170" s="125"/>
      <c r="BXO170" s="125"/>
      <c r="BXP170" s="125"/>
      <c r="BXQ170" s="125"/>
      <c r="BXR170" s="125"/>
      <c r="BXS170" s="125"/>
      <c r="BXT170" s="125"/>
      <c r="BXU170" s="125"/>
      <c r="BXV170" s="125"/>
      <c r="BXW170" s="125"/>
      <c r="BXX170" s="125"/>
      <c r="BXY170" s="125"/>
      <c r="BXZ170" s="125"/>
      <c r="BYA170" s="125"/>
      <c r="BYB170" s="125"/>
      <c r="BYC170" s="125"/>
      <c r="BYD170" s="125"/>
      <c r="BYE170" s="125"/>
      <c r="BYF170" s="125"/>
      <c r="BYG170" s="125"/>
      <c r="BYH170" s="125"/>
      <c r="BYI170" s="125"/>
      <c r="BYJ170" s="125"/>
      <c r="BYK170" s="125"/>
      <c r="BYL170" s="125"/>
      <c r="BYM170" s="125"/>
      <c r="BYN170" s="125"/>
      <c r="BYO170" s="125"/>
      <c r="BYP170" s="125"/>
      <c r="BYQ170" s="125"/>
      <c r="BYR170" s="125"/>
      <c r="BYS170" s="125"/>
      <c r="BYT170" s="125"/>
      <c r="BYU170" s="125"/>
      <c r="BYV170" s="125"/>
      <c r="BYW170" s="125"/>
      <c r="BYX170" s="125"/>
      <c r="BYY170" s="125"/>
      <c r="BYZ170" s="125"/>
      <c r="BZA170" s="125"/>
      <c r="BZB170" s="125"/>
      <c r="BZC170" s="125"/>
      <c r="BZD170" s="125"/>
      <c r="BZE170" s="125"/>
      <c r="BZF170" s="125"/>
      <c r="BZG170" s="125"/>
      <c r="BZH170" s="125"/>
      <c r="BZI170" s="125"/>
      <c r="BZJ170" s="125"/>
      <c r="BZK170" s="125"/>
      <c r="BZL170" s="125"/>
      <c r="BZM170" s="125"/>
      <c r="BZN170" s="125"/>
      <c r="BZO170" s="125"/>
      <c r="BZP170" s="125"/>
      <c r="BZQ170" s="125"/>
      <c r="BZR170" s="125"/>
      <c r="BZS170" s="125"/>
      <c r="BZT170" s="125"/>
      <c r="BZU170" s="125"/>
      <c r="BZV170" s="125"/>
      <c r="BZW170" s="125"/>
      <c r="BZX170" s="125"/>
      <c r="BZY170" s="125"/>
      <c r="BZZ170" s="125"/>
      <c r="CAA170" s="125"/>
      <c r="CAB170" s="125"/>
      <c r="CAC170" s="125"/>
      <c r="CAD170" s="125"/>
      <c r="CAE170" s="125"/>
      <c r="CAF170" s="125"/>
      <c r="CAG170" s="125"/>
      <c r="CAH170" s="125"/>
      <c r="CAI170" s="125"/>
      <c r="CAJ170" s="125"/>
      <c r="CAK170" s="125"/>
      <c r="CAL170" s="125"/>
      <c r="CAM170" s="125"/>
      <c r="CAN170" s="125"/>
      <c r="CAO170" s="125"/>
      <c r="CAP170" s="125"/>
      <c r="CAQ170" s="125"/>
      <c r="CAR170" s="125"/>
      <c r="CAS170" s="125"/>
      <c r="CAT170" s="125"/>
      <c r="CAU170" s="125"/>
      <c r="CAV170" s="125"/>
      <c r="CAW170" s="125"/>
      <c r="CAX170" s="125"/>
      <c r="CAY170" s="125"/>
      <c r="CAZ170" s="125"/>
      <c r="CBA170" s="125"/>
      <c r="CBB170" s="125"/>
      <c r="CBC170" s="125"/>
      <c r="CBD170" s="125"/>
      <c r="CBE170" s="125"/>
      <c r="CBF170" s="125"/>
      <c r="CBG170" s="125"/>
      <c r="CBH170" s="125"/>
      <c r="CBI170" s="125"/>
      <c r="CBJ170" s="125"/>
      <c r="CBK170" s="125"/>
      <c r="CBL170" s="125"/>
      <c r="CBM170" s="125"/>
      <c r="CBN170" s="125"/>
      <c r="CBO170" s="125"/>
      <c r="CBP170" s="125"/>
      <c r="CBQ170" s="125"/>
      <c r="CBR170" s="125"/>
      <c r="CBS170" s="125"/>
      <c r="CBT170" s="125"/>
      <c r="CBU170" s="125"/>
      <c r="CBV170" s="125"/>
      <c r="CBW170" s="125"/>
      <c r="CBX170" s="125"/>
      <c r="CBY170" s="125"/>
      <c r="CBZ170" s="125"/>
      <c r="CCA170" s="125"/>
      <c r="CCB170" s="125"/>
      <c r="CCC170" s="125"/>
      <c r="CCD170" s="125"/>
      <c r="CCE170" s="125"/>
      <c r="CCF170" s="125"/>
      <c r="CCG170" s="125"/>
      <c r="CCH170" s="125"/>
      <c r="CCI170" s="125"/>
      <c r="CCJ170" s="125"/>
      <c r="CCK170" s="125"/>
      <c r="CCL170" s="125"/>
      <c r="CCM170" s="125"/>
      <c r="CCN170" s="125"/>
      <c r="CCO170" s="125"/>
      <c r="CCP170" s="125"/>
      <c r="CCQ170" s="125"/>
      <c r="CCR170" s="125"/>
      <c r="CCS170" s="125"/>
      <c r="CCT170" s="125"/>
      <c r="CCU170" s="125"/>
      <c r="CCV170" s="125"/>
      <c r="CCW170" s="125"/>
      <c r="CCX170" s="125"/>
      <c r="CCY170" s="125"/>
      <c r="CCZ170" s="125"/>
      <c r="CDA170" s="125"/>
      <c r="CDB170" s="125"/>
      <c r="CDC170" s="125"/>
      <c r="CDD170" s="125"/>
      <c r="CDE170" s="125"/>
      <c r="CDF170" s="125"/>
      <c r="CDG170" s="125"/>
      <c r="CDH170" s="125"/>
      <c r="CDI170" s="125"/>
      <c r="CDJ170" s="125"/>
      <c r="CDK170" s="125"/>
      <c r="CDL170" s="125"/>
      <c r="CDM170" s="125"/>
      <c r="CDN170" s="125"/>
      <c r="CDO170" s="125"/>
      <c r="CDP170" s="125"/>
      <c r="CDQ170" s="125"/>
      <c r="CDR170" s="125"/>
      <c r="CDS170" s="125"/>
      <c r="CDT170" s="125"/>
      <c r="CDU170" s="125"/>
      <c r="CDV170" s="125"/>
      <c r="CDW170" s="125"/>
      <c r="CDX170" s="125"/>
      <c r="CDY170" s="125"/>
      <c r="CDZ170" s="125"/>
      <c r="CEA170" s="125"/>
      <c r="CEB170" s="125"/>
      <c r="CEC170" s="125"/>
      <c r="CED170" s="125"/>
      <c r="CEE170" s="125"/>
      <c r="CEF170" s="125"/>
      <c r="CEG170" s="125"/>
      <c r="CEH170" s="125"/>
      <c r="CEI170" s="125"/>
      <c r="CEJ170" s="125"/>
      <c r="CEK170" s="125"/>
      <c r="CEL170" s="125"/>
      <c r="CEM170" s="125"/>
      <c r="CEN170" s="125"/>
      <c r="CEO170" s="125"/>
      <c r="CEP170" s="125"/>
      <c r="CEQ170" s="125"/>
      <c r="CER170" s="125"/>
      <c r="CES170" s="125"/>
      <c r="CET170" s="125"/>
      <c r="CEU170" s="125"/>
      <c r="CEV170" s="125"/>
      <c r="CEW170" s="125"/>
      <c r="CEX170" s="125"/>
      <c r="CEY170" s="125"/>
      <c r="CEZ170" s="125"/>
      <c r="CFA170" s="125"/>
      <c r="CFB170" s="125"/>
      <c r="CFC170" s="125"/>
      <c r="CFD170" s="125"/>
      <c r="CFE170" s="125"/>
      <c r="CFF170" s="125"/>
      <c r="CFG170" s="125"/>
      <c r="CFH170" s="125"/>
      <c r="CFI170" s="125"/>
      <c r="CFJ170" s="125"/>
      <c r="CFK170" s="125"/>
      <c r="CFL170" s="125"/>
      <c r="CFM170" s="125"/>
      <c r="CFN170" s="125"/>
      <c r="CFO170" s="125"/>
      <c r="CFP170" s="125"/>
      <c r="CFQ170" s="125"/>
      <c r="CFR170" s="125"/>
      <c r="CFS170" s="125"/>
      <c r="CFT170" s="125"/>
      <c r="CFU170" s="125"/>
      <c r="CFV170" s="125"/>
      <c r="CFW170" s="125"/>
      <c r="CFX170" s="125"/>
      <c r="CFY170" s="125"/>
      <c r="CFZ170" s="125"/>
      <c r="CGA170" s="125"/>
      <c r="CGB170" s="125"/>
      <c r="CGC170" s="125"/>
      <c r="CGD170" s="125"/>
      <c r="CGE170" s="125"/>
      <c r="CGF170" s="125"/>
      <c r="CGG170" s="125"/>
      <c r="CGH170" s="125"/>
      <c r="CGI170" s="125"/>
      <c r="CGJ170" s="125"/>
      <c r="CGK170" s="125"/>
      <c r="CGL170" s="125"/>
      <c r="CGM170" s="125"/>
      <c r="CGN170" s="125"/>
      <c r="CGO170" s="125"/>
      <c r="CGP170" s="125"/>
      <c r="CGQ170" s="125"/>
      <c r="CGR170" s="125"/>
      <c r="CGS170" s="125"/>
      <c r="CGT170" s="125"/>
      <c r="CGU170" s="125"/>
      <c r="CGV170" s="125"/>
      <c r="CGW170" s="125"/>
      <c r="CGX170" s="125"/>
      <c r="CGY170" s="125"/>
      <c r="CGZ170" s="125"/>
      <c r="CHA170" s="125"/>
      <c r="CHB170" s="125"/>
      <c r="CHC170" s="125"/>
      <c r="CHD170" s="125"/>
      <c r="CHE170" s="125"/>
      <c r="CHF170" s="125"/>
      <c r="CHG170" s="125"/>
      <c r="CHH170" s="125"/>
      <c r="CHI170" s="125"/>
      <c r="CHJ170" s="125"/>
      <c r="CHK170" s="125"/>
      <c r="CHL170" s="125"/>
      <c r="CHM170" s="125"/>
      <c r="CHN170" s="125"/>
      <c r="CHO170" s="125"/>
      <c r="CHP170" s="125"/>
      <c r="CHQ170" s="125"/>
      <c r="CHR170" s="125"/>
      <c r="CHS170" s="125"/>
      <c r="CHT170" s="125"/>
      <c r="CHU170" s="125"/>
      <c r="CHV170" s="125"/>
      <c r="CHW170" s="125"/>
      <c r="CHX170" s="125"/>
      <c r="CHY170" s="125"/>
      <c r="CHZ170" s="125"/>
      <c r="CIA170" s="125"/>
      <c r="CIB170" s="125"/>
      <c r="CIC170" s="125"/>
      <c r="CID170" s="125"/>
      <c r="CIE170" s="125"/>
      <c r="CIF170" s="125"/>
      <c r="CIG170" s="125"/>
      <c r="CIH170" s="125"/>
      <c r="CII170" s="125"/>
      <c r="CIJ170" s="125"/>
      <c r="CIK170" s="125"/>
      <c r="CIL170" s="125"/>
      <c r="CIM170" s="125"/>
      <c r="CIN170" s="125"/>
      <c r="CIO170" s="125"/>
      <c r="CIP170" s="125"/>
      <c r="CIQ170" s="125"/>
      <c r="CIR170" s="125"/>
      <c r="CIS170" s="125"/>
      <c r="CIT170" s="125"/>
      <c r="CIU170" s="125"/>
      <c r="CIV170" s="125"/>
      <c r="CIW170" s="125"/>
      <c r="CIX170" s="125"/>
      <c r="CIY170" s="125"/>
      <c r="CIZ170" s="125"/>
      <c r="CJA170" s="125"/>
      <c r="CJB170" s="125"/>
      <c r="CJC170" s="125"/>
      <c r="CJD170" s="125"/>
      <c r="CJE170" s="125"/>
      <c r="CJF170" s="125"/>
      <c r="CJG170" s="125"/>
      <c r="CJH170" s="125"/>
      <c r="CJI170" s="125"/>
      <c r="CJJ170" s="125"/>
      <c r="CJK170" s="125"/>
      <c r="CJL170" s="125"/>
      <c r="CJM170" s="125"/>
      <c r="CJN170" s="125"/>
      <c r="CJO170" s="125"/>
      <c r="CJP170" s="125"/>
      <c r="CJQ170" s="125"/>
      <c r="CJR170" s="125"/>
      <c r="CJS170" s="125"/>
      <c r="CJT170" s="125"/>
      <c r="CJU170" s="125"/>
      <c r="CJV170" s="125"/>
      <c r="CJW170" s="125"/>
      <c r="CJX170" s="125"/>
      <c r="CJY170" s="125"/>
      <c r="CJZ170" s="125"/>
      <c r="CKA170" s="125"/>
      <c r="CKB170" s="125"/>
      <c r="CKC170" s="125"/>
      <c r="CKD170" s="125"/>
      <c r="CKE170" s="125"/>
      <c r="CKF170" s="125"/>
      <c r="CKG170" s="125"/>
      <c r="CKH170" s="125"/>
      <c r="CKI170" s="125"/>
      <c r="CKJ170" s="125"/>
      <c r="CKK170" s="125"/>
      <c r="CKL170" s="125"/>
      <c r="CKM170" s="125"/>
      <c r="CKN170" s="125"/>
      <c r="CKO170" s="125"/>
      <c r="CKP170" s="125"/>
      <c r="CKQ170" s="125"/>
      <c r="CKR170" s="125"/>
      <c r="CKS170" s="125"/>
      <c r="CKT170" s="125"/>
      <c r="CKU170" s="125"/>
      <c r="CKV170" s="125"/>
      <c r="CKW170" s="125"/>
      <c r="CKX170" s="125"/>
      <c r="CKY170" s="125"/>
      <c r="CKZ170" s="125"/>
      <c r="CLA170" s="125"/>
      <c r="CLB170" s="125"/>
      <c r="CLC170" s="125"/>
      <c r="CLD170" s="125"/>
      <c r="CLE170" s="125"/>
      <c r="CLF170" s="125"/>
      <c r="CLG170" s="125"/>
      <c r="CLH170" s="125"/>
      <c r="CLI170" s="125"/>
      <c r="CLJ170" s="125"/>
      <c r="CLK170" s="125"/>
      <c r="CLL170" s="125"/>
      <c r="CLM170" s="125"/>
      <c r="CLN170" s="125"/>
      <c r="CLO170" s="125"/>
      <c r="CLP170" s="125"/>
      <c r="CLQ170" s="125"/>
      <c r="CLR170" s="125"/>
      <c r="CLS170" s="125"/>
      <c r="CLT170" s="125"/>
      <c r="CLU170" s="125"/>
      <c r="CLV170" s="125"/>
      <c r="CLW170" s="125"/>
      <c r="CLX170" s="125"/>
      <c r="CLY170" s="125"/>
      <c r="CLZ170" s="125"/>
      <c r="CMA170" s="125"/>
      <c r="CMB170" s="125"/>
      <c r="CMC170" s="125"/>
      <c r="CMD170" s="125"/>
      <c r="CME170" s="125"/>
      <c r="CMF170" s="125"/>
      <c r="CMG170" s="125"/>
      <c r="CMH170" s="125"/>
      <c r="CMI170" s="125"/>
      <c r="CMJ170" s="125"/>
      <c r="CMK170" s="125"/>
      <c r="CML170" s="125"/>
      <c r="CMM170" s="125"/>
      <c r="CMN170" s="125"/>
      <c r="CMO170" s="125"/>
      <c r="CMP170" s="125"/>
      <c r="CMQ170" s="125"/>
      <c r="CMR170" s="125"/>
      <c r="CMS170" s="125"/>
      <c r="CMT170" s="125"/>
      <c r="CMU170" s="125"/>
      <c r="CMV170" s="125"/>
      <c r="CMW170" s="125"/>
      <c r="CMX170" s="125"/>
      <c r="CMY170" s="125"/>
      <c r="CMZ170" s="125"/>
      <c r="CNA170" s="125"/>
      <c r="CNB170" s="125"/>
      <c r="CNC170" s="125"/>
      <c r="CND170" s="125"/>
      <c r="CNE170" s="125"/>
      <c r="CNF170" s="125"/>
      <c r="CNG170" s="125"/>
      <c r="CNH170" s="125"/>
      <c r="CNI170" s="125"/>
      <c r="CNJ170" s="125"/>
      <c r="CNK170" s="125"/>
      <c r="CNL170" s="125"/>
      <c r="CNM170" s="125"/>
      <c r="CNN170" s="125"/>
      <c r="CNO170" s="125"/>
      <c r="CNP170" s="125"/>
      <c r="CNQ170" s="125"/>
      <c r="CNR170" s="125"/>
      <c r="CNS170" s="125"/>
      <c r="CNT170" s="125"/>
      <c r="CNU170" s="125"/>
      <c r="CNV170" s="125"/>
      <c r="CNW170" s="125"/>
      <c r="CNX170" s="125"/>
      <c r="CNY170" s="125"/>
      <c r="CNZ170" s="125"/>
      <c r="COA170" s="125"/>
      <c r="COB170" s="125"/>
      <c r="COC170" s="125"/>
      <c r="COD170" s="125"/>
      <c r="COE170" s="125"/>
      <c r="COF170" s="125"/>
      <c r="COG170" s="125"/>
      <c r="COH170" s="125"/>
      <c r="COI170" s="125"/>
      <c r="COJ170" s="125"/>
      <c r="COK170" s="125"/>
      <c r="COL170" s="125"/>
      <c r="COM170" s="125"/>
      <c r="CON170" s="125"/>
      <c r="COO170" s="125"/>
      <c r="COP170" s="125"/>
      <c r="COQ170" s="125"/>
      <c r="COR170" s="125"/>
      <c r="COS170" s="125"/>
      <c r="COT170" s="125"/>
      <c r="COU170" s="125"/>
      <c r="COV170" s="125"/>
      <c r="COW170" s="125"/>
      <c r="COX170" s="125"/>
      <c r="COY170" s="125"/>
      <c r="COZ170" s="125"/>
      <c r="CPA170" s="125"/>
      <c r="CPB170" s="125"/>
      <c r="CPC170" s="125"/>
      <c r="CPD170" s="125"/>
      <c r="CPE170" s="125"/>
      <c r="CPF170" s="125"/>
      <c r="CPG170" s="125"/>
      <c r="CPH170" s="125"/>
      <c r="CPI170" s="125"/>
      <c r="CPJ170" s="125"/>
      <c r="CPK170" s="125"/>
      <c r="CPL170" s="125"/>
      <c r="CPM170" s="125"/>
      <c r="CPN170" s="125"/>
      <c r="CPO170" s="125"/>
      <c r="CPP170" s="125"/>
      <c r="CPQ170" s="125"/>
      <c r="CPR170" s="125"/>
      <c r="CPS170" s="125"/>
      <c r="CPT170" s="125"/>
      <c r="CPU170" s="125"/>
      <c r="CPV170" s="125"/>
      <c r="CPW170" s="125"/>
      <c r="CPX170" s="125"/>
      <c r="CPY170" s="125"/>
      <c r="CPZ170" s="125"/>
      <c r="CQA170" s="125"/>
      <c r="CQB170" s="125"/>
      <c r="CQC170" s="125"/>
      <c r="CQD170" s="125"/>
      <c r="CQE170" s="125"/>
      <c r="CQF170" s="125"/>
      <c r="CQG170" s="125"/>
      <c r="CQH170" s="125"/>
      <c r="CQI170" s="125"/>
      <c r="CQJ170" s="125"/>
      <c r="CQK170" s="125"/>
      <c r="CQL170" s="125"/>
      <c r="CQM170" s="125"/>
      <c r="CQN170" s="125"/>
      <c r="CQO170" s="125"/>
      <c r="CQP170" s="125"/>
      <c r="CQQ170" s="125"/>
      <c r="CQR170" s="125"/>
      <c r="CQS170" s="125"/>
      <c r="CQT170" s="125"/>
      <c r="CQU170" s="125"/>
      <c r="CQV170" s="125"/>
      <c r="CQW170" s="125"/>
      <c r="CQX170" s="125"/>
      <c r="CQY170" s="125"/>
      <c r="CQZ170" s="125"/>
      <c r="CRA170" s="125"/>
      <c r="CRB170" s="125"/>
      <c r="CRC170" s="125"/>
      <c r="CRD170" s="125"/>
      <c r="CRE170" s="125"/>
      <c r="CRF170" s="125"/>
      <c r="CRG170" s="125"/>
      <c r="CRH170" s="125"/>
      <c r="CRI170" s="125"/>
      <c r="CRJ170" s="125"/>
      <c r="CRK170" s="125"/>
      <c r="CRL170" s="125"/>
      <c r="CRM170" s="125"/>
      <c r="CRN170" s="125"/>
      <c r="CRO170" s="125"/>
      <c r="CRP170" s="125"/>
      <c r="CRQ170" s="125"/>
      <c r="CRR170" s="125"/>
      <c r="CRS170" s="125"/>
      <c r="CRT170" s="125"/>
      <c r="CRU170" s="125"/>
      <c r="CRV170" s="125"/>
      <c r="CRW170" s="125"/>
      <c r="CRX170" s="125"/>
      <c r="CRY170" s="125"/>
      <c r="CRZ170" s="125"/>
      <c r="CSA170" s="125"/>
      <c r="CSB170" s="125"/>
      <c r="CSC170" s="125"/>
      <c r="CSD170" s="125"/>
      <c r="CSE170" s="125"/>
      <c r="CSF170" s="125"/>
      <c r="CSG170" s="125"/>
      <c r="CSH170" s="125"/>
      <c r="CSI170" s="125"/>
      <c r="CSJ170" s="125"/>
      <c r="CSK170" s="125"/>
      <c r="CSL170" s="125"/>
      <c r="CSM170" s="125"/>
      <c r="CSN170" s="125"/>
      <c r="CSO170" s="125"/>
      <c r="CSP170" s="125"/>
      <c r="CSQ170" s="125"/>
      <c r="CSR170" s="125"/>
      <c r="CSS170" s="125"/>
      <c r="CST170" s="125"/>
      <c r="CSU170" s="125"/>
      <c r="CSV170" s="125"/>
      <c r="CSW170" s="125"/>
      <c r="CSX170" s="125"/>
      <c r="CSY170" s="125"/>
      <c r="CSZ170" s="125"/>
      <c r="CTA170" s="125"/>
      <c r="CTB170" s="125"/>
      <c r="CTC170" s="125"/>
      <c r="CTD170" s="125"/>
      <c r="CTE170" s="125"/>
      <c r="CTF170" s="125"/>
      <c r="CTG170" s="125"/>
      <c r="CTH170" s="125"/>
      <c r="CTI170" s="125"/>
      <c r="CTJ170" s="125"/>
      <c r="CTK170" s="125"/>
      <c r="CTL170" s="125"/>
      <c r="CTM170" s="125"/>
      <c r="CTN170" s="125"/>
      <c r="CTO170" s="125"/>
      <c r="CTP170" s="125"/>
      <c r="CTQ170" s="125"/>
      <c r="CTR170" s="125"/>
      <c r="CTS170" s="125"/>
      <c r="CTT170" s="125"/>
      <c r="CTU170" s="125"/>
      <c r="CTV170" s="125"/>
      <c r="CTW170" s="125"/>
      <c r="CTX170" s="125"/>
      <c r="CTY170" s="125"/>
      <c r="CTZ170" s="125"/>
      <c r="CUA170" s="125"/>
      <c r="CUB170" s="125"/>
      <c r="CUC170" s="125"/>
      <c r="CUD170" s="125"/>
      <c r="CUE170" s="125"/>
      <c r="CUF170" s="125"/>
      <c r="CUG170" s="125"/>
      <c r="CUH170" s="125"/>
      <c r="CUI170" s="125"/>
      <c r="CUJ170" s="125"/>
      <c r="CUK170" s="125"/>
      <c r="CUL170" s="125"/>
      <c r="CUM170" s="125"/>
      <c r="CUN170" s="125"/>
      <c r="CUO170" s="125"/>
      <c r="CUP170" s="125"/>
      <c r="CUQ170" s="125"/>
      <c r="CUR170" s="125"/>
      <c r="CUS170" s="125"/>
      <c r="CUT170" s="125"/>
      <c r="CUU170" s="125"/>
      <c r="CUV170" s="125"/>
      <c r="CUW170" s="125"/>
      <c r="CUX170" s="125"/>
      <c r="CUY170" s="125"/>
      <c r="CUZ170" s="125"/>
      <c r="CVA170" s="125"/>
      <c r="CVB170" s="125"/>
      <c r="CVC170" s="125"/>
      <c r="CVD170" s="125"/>
      <c r="CVE170" s="125"/>
      <c r="CVF170" s="125"/>
      <c r="CVG170" s="125"/>
      <c r="CVH170" s="125"/>
      <c r="CVI170" s="125"/>
      <c r="CVJ170" s="125"/>
      <c r="CVK170" s="125"/>
      <c r="CVL170" s="125"/>
      <c r="CVM170" s="125"/>
      <c r="CVN170" s="125"/>
      <c r="CVO170" s="125"/>
      <c r="CVP170" s="125"/>
      <c r="CVQ170" s="125"/>
      <c r="CVR170" s="125"/>
      <c r="CVS170" s="125"/>
      <c r="CVT170" s="125"/>
      <c r="CVU170" s="125"/>
      <c r="CVV170" s="125"/>
      <c r="CVW170" s="125"/>
      <c r="CVX170" s="125"/>
      <c r="CVY170" s="125"/>
      <c r="CVZ170" s="125"/>
      <c r="CWA170" s="125"/>
      <c r="CWB170" s="125"/>
      <c r="CWC170" s="125"/>
      <c r="CWD170" s="125"/>
      <c r="CWE170" s="125"/>
      <c r="CWF170" s="125"/>
      <c r="CWG170" s="125"/>
      <c r="CWH170" s="125"/>
      <c r="CWI170" s="125"/>
      <c r="CWJ170" s="125"/>
      <c r="CWK170" s="125"/>
      <c r="CWL170" s="125"/>
      <c r="CWM170" s="125"/>
      <c r="CWN170" s="125"/>
      <c r="CWO170" s="125"/>
      <c r="CWP170" s="125"/>
      <c r="CWQ170" s="125"/>
      <c r="CWR170" s="125"/>
      <c r="CWS170" s="125"/>
      <c r="CWT170" s="125"/>
      <c r="CWU170" s="125"/>
      <c r="CWV170" s="125"/>
      <c r="CWW170" s="125"/>
      <c r="CWX170" s="125"/>
      <c r="CWY170" s="125"/>
      <c r="CWZ170" s="125"/>
      <c r="CXA170" s="125"/>
      <c r="CXB170" s="125"/>
      <c r="CXC170" s="125"/>
      <c r="CXD170" s="125"/>
      <c r="CXE170" s="125"/>
      <c r="CXF170" s="125"/>
      <c r="CXG170" s="125"/>
      <c r="CXH170" s="125"/>
      <c r="CXI170" s="125"/>
      <c r="CXJ170" s="125"/>
      <c r="CXK170" s="125"/>
      <c r="CXL170" s="125"/>
      <c r="CXM170" s="125"/>
      <c r="CXN170" s="125"/>
      <c r="CXO170" s="125"/>
      <c r="CXP170" s="125"/>
      <c r="CXQ170" s="125"/>
      <c r="CXR170" s="125"/>
      <c r="CXS170" s="125"/>
      <c r="CXT170" s="125"/>
      <c r="CXU170" s="125"/>
      <c r="CXV170" s="125"/>
      <c r="CXW170" s="125"/>
      <c r="CXX170" s="125"/>
      <c r="CXY170" s="125"/>
      <c r="CXZ170" s="125"/>
      <c r="CYA170" s="125"/>
      <c r="CYB170" s="125"/>
      <c r="CYC170" s="125"/>
      <c r="CYD170" s="125"/>
      <c r="CYE170" s="125"/>
      <c r="CYF170" s="125"/>
      <c r="CYG170" s="125"/>
      <c r="CYH170" s="125"/>
      <c r="CYI170" s="125"/>
      <c r="CYJ170" s="125"/>
      <c r="CYK170" s="125"/>
      <c r="CYL170" s="125"/>
      <c r="CYM170" s="125"/>
      <c r="CYN170" s="125"/>
      <c r="CYO170" s="125"/>
      <c r="CYP170" s="125"/>
      <c r="CYQ170" s="125"/>
      <c r="CYR170" s="125"/>
      <c r="CYS170" s="125"/>
      <c r="CYT170" s="125"/>
      <c r="CYU170" s="125"/>
      <c r="CYV170" s="125"/>
      <c r="CYW170" s="125"/>
      <c r="CYX170" s="125"/>
      <c r="CYY170" s="125"/>
      <c r="CYZ170" s="125"/>
      <c r="CZA170" s="125"/>
      <c r="CZB170" s="125"/>
      <c r="CZC170" s="125"/>
      <c r="CZD170" s="125"/>
      <c r="CZE170" s="125"/>
      <c r="CZF170" s="125"/>
      <c r="CZG170" s="125"/>
      <c r="CZH170" s="125"/>
      <c r="CZI170" s="125"/>
      <c r="CZJ170" s="125"/>
      <c r="CZK170" s="125"/>
      <c r="CZL170" s="125"/>
      <c r="CZM170" s="125"/>
      <c r="CZN170" s="125"/>
      <c r="CZO170" s="125"/>
      <c r="CZP170" s="125"/>
      <c r="CZQ170" s="125"/>
      <c r="CZR170" s="125"/>
      <c r="CZS170" s="125"/>
      <c r="CZT170" s="125"/>
      <c r="CZU170" s="125"/>
      <c r="CZV170" s="125"/>
      <c r="CZW170" s="125"/>
      <c r="CZX170" s="125"/>
      <c r="CZY170" s="125"/>
      <c r="CZZ170" s="125"/>
      <c r="DAA170" s="125"/>
      <c r="DAB170" s="125"/>
      <c r="DAC170" s="125"/>
      <c r="DAD170" s="125"/>
      <c r="DAE170" s="125"/>
      <c r="DAF170" s="125"/>
      <c r="DAG170" s="125"/>
      <c r="DAH170" s="125"/>
      <c r="DAI170" s="125"/>
      <c r="DAJ170" s="125"/>
      <c r="DAK170" s="125"/>
      <c r="DAL170" s="125"/>
      <c r="DAM170" s="125"/>
      <c r="DAN170" s="125"/>
      <c r="DAO170" s="125"/>
      <c r="DAP170" s="125"/>
      <c r="DAQ170" s="125"/>
      <c r="DAR170" s="125"/>
      <c r="DAS170" s="125"/>
      <c r="DAT170" s="125"/>
      <c r="DAU170" s="125"/>
      <c r="DAV170" s="125"/>
      <c r="DAW170" s="125"/>
      <c r="DAX170" s="125"/>
      <c r="DAY170" s="125"/>
      <c r="DAZ170" s="125"/>
      <c r="DBA170" s="125"/>
      <c r="DBB170" s="125"/>
      <c r="DBC170" s="125"/>
      <c r="DBD170" s="125"/>
      <c r="DBE170" s="125"/>
      <c r="DBF170" s="125"/>
      <c r="DBG170" s="125"/>
      <c r="DBH170" s="125"/>
      <c r="DBI170" s="125"/>
      <c r="DBJ170" s="125"/>
      <c r="DBK170" s="125"/>
      <c r="DBL170" s="125"/>
      <c r="DBM170" s="125"/>
      <c r="DBN170" s="125"/>
      <c r="DBO170" s="125"/>
      <c r="DBP170" s="125"/>
      <c r="DBQ170" s="125"/>
      <c r="DBR170" s="125"/>
      <c r="DBS170" s="125"/>
      <c r="DBT170" s="125"/>
      <c r="DBU170" s="125"/>
      <c r="DBV170" s="125"/>
      <c r="DBW170" s="125"/>
      <c r="DBX170" s="125"/>
      <c r="DBY170" s="125"/>
      <c r="DBZ170" s="125"/>
      <c r="DCA170" s="125"/>
      <c r="DCB170" s="125"/>
      <c r="DCC170" s="125"/>
      <c r="DCD170" s="125"/>
      <c r="DCE170" s="125"/>
      <c r="DCF170" s="125"/>
      <c r="DCG170" s="125"/>
      <c r="DCH170" s="125"/>
      <c r="DCI170" s="125"/>
      <c r="DCJ170" s="125"/>
      <c r="DCK170" s="125"/>
      <c r="DCL170" s="125"/>
      <c r="DCM170" s="125"/>
      <c r="DCN170" s="125"/>
      <c r="DCO170" s="125"/>
      <c r="DCP170" s="125"/>
      <c r="DCQ170" s="125"/>
      <c r="DCR170" s="125"/>
      <c r="DCS170" s="125"/>
      <c r="DCT170" s="125"/>
      <c r="DCU170" s="125"/>
      <c r="DCV170" s="125"/>
      <c r="DCW170" s="125"/>
      <c r="DCX170" s="125"/>
      <c r="DCY170" s="125"/>
      <c r="DCZ170" s="125"/>
      <c r="DDA170" s="125"/>
      <c r="DDB170" s="125"/>
      <c r="DDC170" s="125"/>
      <c r="DDD170" s="125"/>
      <c r="DDE170" s="125"/>
      <c r="DDF170" s="125"/>
      <c r="DDG170" s="125"/>
      <c r="DDH170" s="125"/>
      <c r="DDI170" s="125"/>
      <c r="DDJ170" s="125"/>
      <c r="DDK170" s="125"/>
      <c r="DDL170" s="125"/>
      <c r="DDM170" s="125"/>
      <c r="DDN170" s="125"/>
      <c r="DDO170" s="125"/>
      <c r="DDP170" s="125"/>
      <c r="DDQ170" s="125"/>
      <c r="DDR170" s="125"/>
      <c r="DDS170" s="125"/>
      <c r="DDT170" s="125"/>
      <c r="DDU170" s="125"/>
      <c r="DDV170" s="125"/>
      <c r="DDW170" s="125"/>
      <c r="DDX170" s="125"/>
      <c r="DDY170" s="125"/>
      <c r="DDZ170" s="125"/>
      <c r="DEA170" s="125"/>
      <c r="DEB170" s="125"/>
      <c r="DEC170" s="125"/>
      <c r="DED170" s="125"/>
      <c r="DEE170" s="125"/>
      <c r="DEF170" s="125"/>
      <c r="DEG170" s="125"/>
      <c r="DEH170" s="125"/>
      <c r="DEI170" s="125"/>
      <c r="DEJ170" s="125"/>
      <c r="DEK170" s="125"/>
      <c r="DEL170" s="125"/>
      <c r="DEM170" s="125"/>
      <c r="DEN170" s="125"/>
      <c r="DEO170" s="125"/>
      <c r="DEP170" s="125"/>
      <c r="DEQ170" s="125"/>
      <c r="DER170" s="125"/>
      <c r="DES170" s="125"/>
      <c r="DET170" s="125"/>
      <c r="DEU170" s="125"/>
      <c r="DEV170" s="125"/>
      <c r="DEW170" s="125"/>
      <c r="DEX170" s="125"/>
      <c r="DEY170" s="125"/>
      <c r="DEZ170" s="125"/>
      <c r="DFA170" s="125"/>
      <c r="DFB170" s="125"/>
      <c r="DFC170" s="125"/>
      <c r="DFD170" s="125"/>
      <c r="DFE170" s="125"/>
      <c r="DFF170" s="125"/>
      <c r="DFG170" s="125"/>
      <c r="DFH170" s="125"/>
      <c r="DFI170" s="125"/>
      <c r="DFJ170" s="125"/>
      <c r="DFK170" s="125"/>
      <c r="DFL170" s="125"/>
      <c r="DFM170" s="125"/>
      <c r="DFN170" s="125"/>
      <c r="DFO170" s="125"/>
      <c r="DFP170" s="125"/>
      <c r="DFQ170" s="125"/>
      <c r="DFR170" s="125"/>
      <c r="DFS170" s="125"/>
      <c r="DFT170" s="125"/>
      <c r="DFU170" s="125"/>
      <c r="DFV170" s="125"/>
      <c r="DFW170" s="125"/>
      <c r="DFX170" s="125"/>
      <c r="DFY170" s="125"/>
      <c r="DFZ170" s="125"/>
      <c r="DGA170" s="125"/>
      <c r="DGB170" s="125"/>
      <c r="DGC170" s="125"/>
      <c r="DGD170" s="125"/>
      <c r="DGE170" s="125"/>
      <c r="DGF170" s="125"/>
      <c r="DGG170" s="125"/>
      <c r="DGH170" s="125"/>
      <c r="DGI170" s="125"/>
      <c r="DGJ170" s="125"/>
      <c r="DGK170" s="125"/>
      <c r="DGL170" s="125"/>
      <c r="DGM170" s="125"/>
      <c r="DGN170" s="125"/>
      <c r="DGO170" s="125"/>
      <c r="DGP170" s="125"/>
      <c r="DGQ170" s="125"/>
      <c r="DGR170" s="125"/>
      <c r="DGS170" s="125"/>
      <c r="DGT170" s="125"/>
      <c r="DGU170" s="125"/>
      <c r="DGV170" s="125"/>
      <c r="DGW170" s="125"/>
      <c r="DGX170" s="125"/>
      <c r="DGY170" s="125"/>
      <c r="DGZ170" s="125"/>
      <c r="DHA170" s="125"/>
      <c r="DHB170" s="125"/>
      <c r="DHC170" s="125"/>
      <c r="DHD170" s="125"/>
      <c r="DHE170" s="125"/>
      <c r="DHF170" s="125"/>
      <c r="DHG170" s="125"/>
      <c r="DHH170" s="125"/>
      <c r="DHI170" s="125"/>
      <c r="DHJ170" s="125"/>
      <c r="DHK170" s="125"/>
      <c r="DHL170" s="125"/>
      <c r="DHM170" s="125"/>
      <c r="DHN170" s="125"/>
      <c r="DHO170" s="125"/>
      <c r="DHP170" s="125"/>
      <c r="DHQ170" s="125"/>
      <c r="DHR170" s="125"/>
      <c r="DHS170" s="125"/>
      <c r="DHT170" s="125"/>
      <c r="DHU170" s="125"/>
      <c r="DHV170" s="125"/>
      <c r="DHW170" s="125"/>
      <c r="DHX170" s="125"/>
      <c r="DHY170" s="125"/>
      <c r="DHZ170" s="125"/>
      <c r="DIA170" s="125"/>
      <c r="DIB170" s="125"/>
      <c r="DIC170" s="125"/>
      <c r="DID170" s="125"/>
      <c r="DIE170" s="125"/>
      <c r="DIF170" s="125"/>
      <c r="DIG170" s="125"/>
      <c r="DIH170" s="125"/>
      <c r="DII170" s="125"/>
      <c r="DIJ170" s="125"/>
      <c r="DIK170" s="125"/>
      <c r="DIL170" s="125"/>
      <c r="DIM170" s="125"/>
      <c r="DIN170" s="125"/>
      <c r="DIO170" s="125"/>
      <c r="DIP170" s="125"/>
      <c r="DIQ170" s="125"/>
      <c r="DIR170" s="125"/>
      <c r="DIS170" s="125"/>
      <c r="DIT170" s="125"/>
      <c r="DIU170" s="125"/>
      <c r="DIV170" s="125"/>
      <c r="DIW170" s="125"/>
      <c r="DIX170" s="125"/>
      <c r="DIY170" s="125"/>
      <c r="DIZ170" s="125"/>
      <c r="DJA170" s="125"/>
      <c r="DJB170" s="125"/>
      <c r="DJC170" s="125"/>
      <c r="DJD170" s="125"/>
      <c r="DJE170" s="125"/>
      <c r="DJF170" s="125"/>
      <c r="DJG170" s="125"/>
      <c r="DJH170" s="125"/>
      <c r="DJI170" s="125"/>
      <c r="DJJ170" s="125"/>
      <c r="DJK170" s="125"/>
      <c r="DJL170" s="125"/>
      <c r="DJM170" s="125"/>
      <c r="DJN170" s="125"/>
      <c r="DJO170" s="125"/>
      <c r="DJP170" s="125"/>
      <c r="DJQ170" s="125"/>
      <c r="DJR170" s="125"/>
      <c r="DJS170" s="125"/>
      <c r="DJT170" s="125"/>
      <c r="DJU170" s="125"/>
      <c r="DJV170" s="125"/>
      <c r="DJW170" s="125"/>
      <c r="DJX170" s="125"/>
      <c r="DJY170" s="125"/>
      <c r="DJZ170" s="125"/>
      <c r="DKA170" s="125"/>
      <c r="DKB170" s="125"/>
      <c r="DKC170" s="125"/>
      <c r="DKD170" s="125"/>
      <c r="DKE170" s="125"/>
      <c r="DKF170" s="125"/>
      <c r="DKG170" s="125"/>
      <c r="DKH170" s="125"/>
      <c r="DKI170" s="125"/>
      <c r="DKJ170" s="125"/>
      <c r="DKK170" s="125"/>
      <c r="DKL170" s="125"/>
      <c r="DKM170" s="125"/>
      <c r="DKN170" s="125"/>
      <c r="DKO170" s="125"/>
      <c r="DKP170" s="125"/>
      <c r="DKQ170" s="125"/>
      <c r="DKR170" s="125"/>
      <c r="DKS170" s="125"/>
      <c r="DKT170" s="125"/>
      <c r="DKU170" s="125"/>
      <c r="DKV170" s="125"/>
      <c r="DKW170" s="125"/>
      <c r="DKX170" s="125"/>
      <c r="DKY170" s="125"/>
      <c r="DKZ170" s="125"/>
      <c r="DLA170" s="125"/>
      <c r="DLB170" s="125"/>
      <c r="DLC170" s="125"/>
      <c r="DLD170" s="125"/>
      <c r="DLE170" s="125"/>
      <c r="DLF170" s="125"/>
      <c r="DLG170" s="125"/>
      <c r="DLH170" s="125"/>
      <c r="DLI170" s="125"/>
      <c r="DLJ170" s="125"/>
      <c r="DLK170" s="125"/>
      <c r="DLL170" s="125"/>
      <c r="DLM170" s="125"/>
      <c r="DLN170" s="125"/>
      <c r="DLO170" s="125"/>
      <c r="DLP170" s="125"/>
      <c r="DLQ170" s="125"/>
      <c r="DLR170" s="125"/>
      <c r="DLS170" s="125"/>
      <c r="DLT170" s="125"/>
      <c r="DLU170" s="125"/>
      <c r="DLV170" s="125"/>
      <c r="DLW170" s="125"/>
      <c r="DLX170" s="125"/>
      <c r="DLY170" s="125"/>
      <c r="DLZ170" s="125"/>
      <c r="DMA170" s="125"/>
      <c r="DMB170" s="125"/>
      <c r="DMC170" s="125"/>
      <c r="DMD170" s="125"/>
      <c r="DME170" s="125"/>
      <c r="DMF170" s="125"/>
      <c r="DMG170" s="125"/>
      <c r="DMH170" s="125"/>
      <c r="DMI170" s="125"/>
      <c r="DMJ170" s="125"/>
      <c r="DMK170" s="125"/>
      <c r="DML170" s="125"/>
      <c r="DMM170" s="125"/>
      <c r="DMN170" s="125"/>
      <c r="DMO170" s="125"/>
      <c r="DMP170" s="125"/>
      <c r="DMQ170" s="125"/>
      <c r="DMR170" s="125"/>
      <c r="DMS170" s="125"/>
      <c r="DMT170" s="125"/>
      <c r="DMU170" s="125"/>
      <c r="DMV170" s="125"/>
      <c r="DMW170" s="125"/>
      <c r="DMX170" s="125"/>
      <c r="DMY170" s="125"/>
      <c r="DMZ170" s="125"/>
      <c r="DNA170" s="125"/>
      <c r="DNB170" s="125"/>
      <c r="DNC170" s="125"/>
      <c r="DND170" s="125"/>
      <c r="DNE170" s="125"/>
      <c r="DNF170" s="125"/>
      <c r="DNG170" s="125"/>
      <c r="DNH170" s="125"/>
      <c r="DNI170" s="125"/>
      <c r="DNJ170" s="125"/>
      <c r="DNK170" s="125"/>
      <c r="DNL170" s="125"/>
      <c r="DNM170" s="125"/>
      <c r="DNN170" s="125"/>
      <c r="DNO170" s="125"/>
      <c r="DNP170" s="125"/>
      <c r="DNQ170" s="125"/>
      <c r="DNR170" s="125"/>
      <c r="DNS170" s="125"/>
      <c r="DNT170" s="125"/>
      <c r="DNU170" s="125"/>
      <c r="DNV170" s="125"/>
      <c r="DNW170" s="125"/>
      <c r="DNX170" s="125"/>
      <c r="DNY170" s="125"/>
      <c r="DNZ170" s="125"/>
      <c r="DOA170" s="125"/>
      <c r="DOB170" s="125"/>
      <c r="DOC170" s="125"/>
      <c r="DOD170" s="125"/>
      <c r="DOE170" s="125"/>
      <c r="DOF170" s="125"/>
      <c r="DOG170" s="125"/>
      <c r="DOH170" s="125"/>
      <c r="DOI170" s="125"/>
      <c r="DOJ170" s="125"/>
      <c r="DOK170" s="125"/>
      <c r="DOL170" s="125"/>
      <c r="DOM170" s="125"/>
      <c r="DON170" s="125"/>
      <c r="DOO170" s="125"/>
      <c r="DOP170" s="125"/>
      <c r="DOQ170" s="125"/>
      <c r="DOR170" s="125"/>
      <c r="DOS170" s="125"/>
      <c r="DOT170" s="125"/>
      <c r="DOU170" s="125"/>
      <c r="DOV170" s="125"/>
      <c r="DOW170" s="125"/>
      <c r="DOX170" s="125"/>
      <c r="DOY170" s="125"/>
      <c r="DOZ170" s="125"/>
      <c r="DPA170" s="125"/>
      <c r="DPB170" s="125"/>
      <c r="DPC170" s="125"/>
      <c r="DPD170" s="125"/>
      <c r="DPE170" s="125"/>
      <c r="DPF170" s="125"/>
      <c r="DPG170" s="125"/>
      <c r="DPH170" s="125"/>
      <c r="DPI170" s="125"/>
      <c r="DPJ170" s="125"/>
      <c r="DPK170" s="125"/>
      <c r="DPL170" s="125"/>
      <c r="DPM170" s="125"/>
      <c r="DPN170" s="125"/>
      <c r="DPO170" s="125"/>
      <c r="DPP170" s="125"/>
      <c r="DPQ170" s="125"/>
      <c r="DPR170" s="125"/>
      <c r="DPS170" s="125"/>
      <c r="DPT170" s="125"/>
      <c r="DPU170" s="125"/>
      <c r="DPV170" s="125"/>
      <c r="DPW170" s="125"/>
      <c r="DPX170" s="125"/>
      <c r="DPY170" s="125"/>
      <c r="DPZ170" s="125"/>
      <c r="DQA170" s="125"/>
      <c r="DQB170" s="125"/>
      <c r="DQC170" s="125"/>
      <c r="DQD170" s="125"/>
      <c r="DQE170" s="125"/>
      <c r="DQF170" s="125"/>
      <c r="DQG170" s="125"/>
      <c r="DQH170" s="125"/>
      <c r="DQI170" s="125"/>
      <c r="DQJ170" s="125"/>
      <c r="DQK170" s="125"/>
      <c r="DQL170" s="125"/>
      <c r="DQM170" s="125"/>
      <c r="DQN170" s="125"/>
      <c r="DQO170" s="125"/>
      <c r="DQP170" s="125"/>
      <c r="DQQ170" s="125"/>
      <c r="DQR170" s="125"/>
      <c r="DQS170" s="125"/>
      <c r="DQT170" s="125"/>
      <c r="DQU170" s="125"/>
      <c r="DQV170" s="125"/>
      <c r="DQW170" s="125"/>
      <c r="DQX170" s="125"/>
      <c r="DQY170" s="125"/>
      <c r="DQZ170" s="125"/>
      <c r="DRA170" s="125"/>
      <c r="DRB170" s="125"/>
      <c r="DRC170" s="125"/>
      <c r="DRD170" s="125"/>
      <c r="DRE170" s="125"/>
      <c r="DRF170" s="125"/>
      <c r="DRG170" s="125"/>
      <c r="DRH170" s="125"/>
      <c r="DRI170" s="125"/>
      <c r="DRJ170" s="125"/>
      <c r="DRK170" s="125"/>
      <c r="DRL170" s="125"/>
      <c r="DRM170" s="125"/>
      <c r="DRN170" s="125"/>
      <c r="DRO170" s="125"/>
      <c r="DRP170" s="125"/>
      <c r="DRQ170" s="125"/>
      <c r="DRR170" s="125"/>
      <c r="DRS170" s="125"/>
      <c r="DRT170" s="125"/>
      <c r="DRU170" s="125"/>
      <c r="DRV170" s="125"/>
      <c r="DRW170" s="125"/>
      <c r="DRX170" s="125"/>
      <c r="DRY170" s="125"/>
      <c r="DRZ170" s="125"/>
      <c r="DSA170" s="125"/>
      <c r="DSB170" s="125"/>
      <c r="DSC170" s="125"/>
      <c r="DSD170" s="125"/>
      <c r="DSE170" s="125"/>
      <c r="DSF170" s="125"/>
      <c r="DSG170" s="125"/>
      <c r="DSH170" s="125"/>
      <c r="DSI170" s="125"/>
      <c r="DSJ170" s="125"/>
      <c r="DSK170" s="125"/>
      <c r="DSL170" s="125"/>
      <c r="DSM170" s="125"/>
      <c r="DSN170" s="125"/>
      <c r="DSO170" s="125"/>
      <c r="DSP170" s="125"/>
      <c r="DSQ170" s="125"/>
      <c r="DSR170" s="125"/>
      <c r="DSS170" s="125"/>
      <c r="DST170" s="125"/>
      <c r="DSU170" s="125"/>
      <c r="DSV170" s="125"/>
      <c r="DSW170" s="125"/>
      <c r="DSX170" s="125"/>
      <c r="DSY170" s="125"/>
      <c r="DSZ170" s="125"/>
      <c r="DTA170" s="125"/>
      <c r="DTB170" s="125"/>
      <c r="DTC170" s="125"/>
      <c r="DTD170" s="125"/>
      <c r="DTE170" s="125"/>
      <c r="DTF170" s="125"/>
      <c r="DTG170" s="125"/>
      <c r="DTH170" s="125"/>
      <c r="DTI170" s="125"/>
      <c r="DTJ170" s="125"/>
      <c r="DTK170" s="125"/>
      <c r="DTL170" s="125"/>
      <c r="DTM170" s="125"/>
      <c r="DTN170" s="125"/>
      <c r="DTO170" s="125"/>
      <c r="DTP170" s="125"/>
      <c r="DTQ170" s="125"/>
      <c r="DTR170" s="125"/>
      <c r="DTS170" s="125"/>
      <c r="DTT170" s="125"/>
      <c r="DTU170" s="125"/>
      <c r="DTV170" s="125"/>
      <c r="DTW170" s="125"/>
      <c r="DTX170" s="125"/>
      <c r="DTY170" s="125"/>
      <c r="DTZ170" s="125"/>
      <c r="DUA170" s="125"/>
      <c r="DUB170" s="125"/>
      <c r="DUC170" s="125"/>
      <c r="DUD170" s="125"/>
      <c r="DUE170" s="125"/>
      <c r="DUF170" s="125"/>
      <c r="DUG170" s="125"/>
      <c r="DUH170" s="125"/>
      <c r="DUI170" s="125"/>
      <c r="DUJ170" s="125"/>
      <c r="DUK170" s="125"/>
      <c r="DUL170" s="125"/>
      <c r="DUM170" s="125"/>
      <c r="DUN170" s="125"/>
      <c r="DUO170" s="125"/>
      <c r="DUP170" s="125"/>
      <c r="DUQ170" s="125"/>
      <c r="DUR170" s="125"/>
      <c r="DUS170" s="125"/>
      <c r="DUT170" s="125"/>
      <c r="DUU170" s="125"/>
      <c r="DUV170" s="125"/>
      <c r="DUW170" s="125"/>
      <c r="DUX170" s="125"/>
      <c r="DUY170" s="125"/>
      <c r="DUZ170" s="125"/>
      <c r="DVA170" s="125"/>
      <c r="DVB170" s="125"/>
      <c r="DVC170" s="125"/>
      <c r="DVD170" s="125"/>
      <c r="DVE170" s="125"/>
      <c r="DVF170" s="125"/>
      <c r="DVG170" s="125"/>
      <c r="DVH170" s="125"/>
      <c r="DVI170" s="125"/>
      <c r="DVJ170" s="125"/>
      <c r="DVK170" s="125"/>
      <c r="DVL170" s="125"/>
      <c r="DVM170" s="125"/>
      <c r="DVN170" s="125"/>
      <c r="DVO170" s="125"/>
      <c r="DVP170" s="125"/>
      <c r="DVQ170" s="125"/>
      <c r="DVR170" s="125"/>
      <c r="DVS170" s="125"/>
      <c r="DVT170" s="125"/>
      <c r="DVU170" s="125"/>
      <c r="DVV170" s="125"/>
      <c r="DVW170" s="125"/>
      <c r="DVX170" s="125"/>
      <c r="DVY170" s="125"/>
      <c r="DVZ170" s="125"/>
      <c r="DWA170" s="125"/>
      <c r="DWB170" s="125"/>
      <c r="DWC170" s="125"/>
      <c r="DWD170" s="125"/>
      <c r="DWE170" s="125"/>
      <c r="DWF170" s="125"/>
      <c r="DWG170" s="125"/>
      <c r="DWH170" s="125"/>
      <c r="DWI170" s="125"/>
      <c r="DWJ170" s="125"/>
      <c r="DWK170" s="125"/>
      <c r="DWL170" s="125"/>
      <c r="DWM170" s="125"/>
      <c r="DWN170" s="125"/>
      <c r="DWO170" s="125"/>
      <c r="DWP170" s="125"/>
      <c r="DWQ170" s="125"/>
      <c r="DWR170" s="125"/>
      <c r="DWS170" s="125"/>
      <c r="DWT170" s="125"/>
      <c r="DWU170" s="125"/>
      <c r="DWV170" s="125"/>
      <c r="DWW170" s="125"/>
      <c r="DWX170" s="125"/>
      <c r="DWY170" s="125"/>
      <c r="DWZ170" s="125"/>
      <c r="DXA170" s="125"/>
      <c r="DXB170" s="125"/>
      <c r="DXC170" s="125"/>
      <c r="DXD170" s="125"/>
      <c r="DXE170" s="125"/>
      <c r="DXF170" s="125"/>
      <c r="DXG170" s="125"/>
      <c r="DXH170" s="125"/>
      <c r="DXI170" s="125"/>
      <c r="DXJ170" s="125"/>
      <c r="DXK170" s="125"/>
      <c r="DXL170" s="125"/>
      <c r="DXM170" s="125"/>
      <c r="DXN170" s="125"/>
      <c r="DXO170" s="125"/>
      <c r="DXP170" s="125"/>
      <c r="DXQ170" s="125"/>
      <c r="DXR170" s="125"/>
      <c r="DXS170" s="125"/>
      <c r="DXT170" s="125"/>
      <c r="DXU170" s="125"/>
      <c r="DXV170" s="125"/>
      <c r="DXW170" s="125"/>
      <c r="DXX170" s="125"/>
      <c r="DXY170" s="125"/>
      <c r="DXZ170" s="125"/>
      <c r="DYA170" s="125"/>
      <c r="DYB170" s="125"/>
      <c r="DYC170" s="125"/>
      <c r="DYD170" s="125"/>
      <c r="DYE170" s="125"/>
      <c r="DYF170" s="125"/>
      <c r="DYG170" s="125"/>
      <c r="DYH170" s="125"/>
      <c r="DYI170" s="125"/>
      <c r="DYJ170" s="125"/>
      <c r="DYK170" s="125"/>
      <c r="DYL170" s="125"/>
      <c r="DYM170" s="125"/>
      <c r="DYN170" s="125"/>
      <c r="DYO170" s="125"/>
      <c r="DYP170" s="125"/>
      <c r="DYQ170" s="125"/>
      <c r="DYR170" s="125"/>
      <c r="DYS170" s="125"/>
      <c r="DYT170" s="125"/>
      <c r="DYU170" s="125"/>
      <c r="DYV170" s="125"/>
      <c r="DYW170" s="125"/>
      <c r="DYX170" s="125"/>
      <c r="DYY170" s="125"/>
      <c r="DYZ170" s="125"/>
      <c r="DZA170" s="125"/>
      <c r="DZB170" s="125"/>
      <c r="DZC170" s="125"/>
      <c r="DZD170" s="125"/>
      <c r="DZE170" s="125"/>
      <c r="DZF170" s="125"/>
      <c r="DZG170" s="125"/>
      <c r="DZH170" s="125"/>
      <c r="DZI170" s="125"/>
      <c r="DZJ170" s="125"/>
      <c r="DZK170" s="125"/>
      <c r="DZL170" s="125"/>
      <c r="DZM170" s="125"/>
      <c r="DZN170" s="125"/>
      <c r="DZO170" s="125"/>
      <c r="DZP170" s="125"/>
      <c r="DZQ170" s="125"/>
      <c r="DZR170" s="125"/>
      <c r="DZS170" s="125"/>
      <c r="DZT170" s="125"/>
      <c r="DZU170" s="125"/>
      <c r="DZV170" s="125"/>
      <c r="DZW170" s="125"/>
      <c r="DZX170" s="125"/>
      <c r="DZY170" s="125"/>
      <c r="DZZ170" s="125"/>
      <c r="EAA170" s="125"/>
      <c r="EAB170" s="125"/>
      <c r="EAC170" s="125"/>
      <c r="EAD170" s="125"/>
      <c r="EAE170" s="125"/>
      <c r="EAF170" s="125"/>
      <c r="EAG170" s="125"/>
      <c r="EAH170" s="125"/>
      <c r="EAI170" s="125"/>
      <c r="EAJ170" s="125"/>
      <c r="EAK170" s="125"/>
      <c r="EAL170" s="125"/>
      <c r="EAM170" s="125"/>
      <c r="EAN170" s="125"/>
      <c r="EAO170" s="125"/>
      <c r="EAP170" s="125"/>
      <c r="EAQ170" s="125"/>
      <c r="EAR170" s="125"/>
      <c r="EAS170" s="125"/>
      <c r="EAT170" s="125"/>
      <c r="EAU170" s="125"/>
      <c r="EAV170" s="125"/>
      <c r="EAW170" s="125"/>
      <c r="EAX170" s="125"/>
      <c r="EAY170" s="125"/>
      <c r="EAZ170" s="125"/>
      <c r="EBA170" s="125"/>
      <c r="EBB170" s="125"/>
      <c r="EBC170" s="125"/>
      <c r="EBD170" s="125"/>
      <c r="EBE170" s="125"/>
      <c r="EBF170" s="125"/>
      <c r="EBG170" s="125"/>
      <c r="EBH170" s="125"/>
      <c r="EBI170" s="125"/>
      <c r="EBJ170" s="125"/>
      <c r="EBK170" s="125"/>
      <c r="EBL170" s="125"/>
      <c r="EBM170" s="125"/>
      <c r="EBN170" s="125"/>
      <c r="EBO170" s="125"/>
      <c r="EBP170" s="125"/>
      <c r="EBQ170" s="125"/>
      <c r="EBR170" s="125"/>
      <c r="EBS170" s="125"/>
      <c r="EBT170" s="125"/>
      <c r="EBU170" s="125"/>
      <c r="EBV170" s="125"/>
      <c r="EBW170" s="125"/>
      <c r="EBX170" s="125"/>
      <c r="EBY170" s="125"/>
      <c r="EBZ170" s="125"/>
      <c r="ECA170" s="125"/>
      <c r="ECB170" s="125"/>
      <c r="ECC170" s="125"/>
      <c r="ECD170" s="125"/>
      <c r="ECE170" s="125"/>
      <c r="ECF170" s="125"/>
      <c r="ECG170" s="125"/>
      <c r="ECH170" s="125"/>
      <c r="ECI170" s="125"/>
      <c r="ECJ170" s="125"/>
      <c r="ECK170" s="125"/>
      <c r="ECL170" s="125"/>
      <c r="ECM170" s="125"/>
      <c r="ECN170" s="125"/>
      <c r="ECO170" s="125"/>
      <c r="ECP170" s="125"/>
      <c r="ECQ170" s="125"/>
      <c r="ECR170" s="125"/>
      <c r="ECS170" s="125"/>
      <c r="ECT170" s="125"/>
      <c r="ECU170" s="125"/>
      <c r="ECV170" s="125"/>
      <c r="ECW170" s="125"/>
      <c r="ECX170" s="125"/>
      <c r="ECY170" s="125"/>
      <c r="ECZ170" s="125"/>
      <c r="EDA170" s="125"/>
      <c r="EDB170" s="125"/>
      <c r="EDC170" s="125"/>
      <c r="EDD170" s="125"/>
      <c r="EDE170" s="125"/>
      <c r="EDF170" s="125"/>
      <c r="EDG170" s="125"/>
      <c r="EDH170" s="125"/>
      <c r="EDI170" s="125"/>
      <c r="EDJ170" s="125"/>
      <c r="EDK170" s="125"/>
      <c r="EDL170" s="125"/>
      <c r="EDM170" s="125"/>
      <c r="EDN170" s="125"/>
      <c r="EDO170" s="125"/>
      <c r="EDP170" s="125"/>
      <c r="EDQ170" s="125"/>
      <c r="EDR170" s="125"/>
      <c r="EDS170" s="125"/>
      <c r="EDT170" s="125"/>
      <c r="EDU170" s="125"/>
      <c r="EDV170" s="125"/>
      <c r="EDW170" s="125"/>
      <c r="EDX170" s="125"/>
      <c r="EDY170" s="125"/>
      <c r="EDZ170" s="125"/>
      <c r="EEA170" s="125"/>
      <c r="EEB170" s="125"/>
      <c r="EEC170" s="125"/>
      <c r="EED170" s="125"/>
      <c r="EEE170" s="125"/>
      <c r="EEF170" s="125"/>
      <c r="EEG170" s="125"/>
      <c r="EEH170" s="125"/>
      <c r="EEI170" s="125"/>
      <c r="EEJ170" s="125"/>
      <c r="EEK170" s="125"/>
      <c r="EEL170" s="125"/>
      <c r="EEM170" s="125"/>
      <c r="EEN170" s="125"/>
      <c r="EEO170" s="125"/>
      <c r="EEP170" s="125"/>
      <c r="EEQ170" s="125"/>
      <c r="EER170" s="125"/>
      <c r="EES170" s="125"/>
      <c r="EET170" s="125"/>
      <c r="EEU170" s="125"/>
      <c r="EEV170" s="125"/>
      <c r="EEW170" s="125"/>
      <c r="EEX170" s="125"/>
      <c r="EEY170" s="125"/>
      <c r="EEZ170" s="125"/>
      <c r="EFA170" s="125"/>
      <c r="EFB170" s="125"/>
      <c r="EFC170" s="125"/>
      <c r="EFD170" s="125"/>
      <c r="EFE170" s="125"/>
      <c r="EFF170" s="125"/>
      <c r="EFG170" s="125"/>
      <c r="EFH170" s="125"/>
      <c r="EFI170" s="125"/>
      <c r="EFJ170" s="125"/>
      <c r="EFK170" s="125"/>
      <c r="EFL170" s="125"/>
      <c r="EFM170" s="125"/>
      <c r="EFN170" s="125"/>
      <c r="EFO170" s="125"/>
      <c r="EFP170" s="125"/>
      <c r="EFQ170" s="125"/>
      <c r="EFR170" s="125"/>
      <c r="EFS170" s="125"/>
      <c r="EFT170" s="125"/>
      <c r="EFU170" s="125"/>
      <c r="EFV170" s="125"/>
      <c r="EFW170" s="125"/>
      <c r="EFX170" s="125"/>
      <c r="EFY170" s="125"/>
      <c r="EFZ170" s="125"/>
      <c r="EGA170" s="125"/>
      <c r="EGB170" s="125"/>
      <c r="EGC170" s="125"/>
      <c r="EGD170" s="125"/>
      <c r="EGE170" s="125"/>
      <c r="EGF170" s="125"/>
      <c r="EGG170" s="125"/>
      <c r="EGH170" s="125"/>
      <c r="EGI170" s="125"/>
      <c r="EGJ170" s="125"/>
      <c r="EGK170" s="125"/>
      <c r="EGL170" s="125"/>
      <c r="EGM170" s="125"/>
      <c r="EGN170" s="125"/>
      <c r="EGO170" s="125"/>
      <c r="EGP170" s="125"/>
      <c r="EGQ170" s="125"/>
      <c r="EGR170" s="125"/>
      <c r="EGS170" s="125"/>
      <c r="EGT170" s="125"/>
      <c r="EGU170" s="125"/>
      <c r="EGV170" s="125"/>
      <c r="EGW170" s="125"/>
      <c r="EGX170" s="125"/>
      <c r="EGY170" s="125"/>
      <c r="EGZ170" s="125"/>
      <c r="EHA170" s="125"/>
      <c r="EHB170" s="125"/>
      <c r="EHC170" s="125"/>
      <c r="EHD170" s="125"/>
      <c r="EHE170" s="125"/>
      <c r="EHF170" s="125"/>
      <c r="EHG170" s="125"/>
      <c r="EHH170" s="125"/>
      <c r="EHI170" s="125"/>
      <c r="EHJ170" s="125"/>
      <c r="EHK170" s="125"/>
      <c r="EHL170" s="125"/>
      <c r="EHM170" s="125"/>
      <c r="EHN170" s="125"/>
      <c r="EHO170" s="125"/>
      <c r="EHP170" s="125"/>
      <c r="EHQ170" s="125"/>
      <c r="EHR170" s="125"/>
      <c r="EHS170" s="125"/>
      <c r="EHT170" s="125"/>
      <c r="EHU170" s="125"/>
      <c r="EHV170" s="125"/>
      <c r="EHW170" s="125"/>
      <c r="EHX170" s="125"/>
      <c r="EHY170" s="125"/>
      <c r="EHZ170" s="125"/>
      <c r="EIA170" s="125"/>
      <c r="EIB170" s="125"/>
      <c r="EIC170" s="125"/>
      <c r="EID170" s="125"/>
      <c r="EIE170" s="125"/>
      <c r="EIF170" s="125"/>
      <c r="EIG170" s="125"/>
      <c r="EIH170" s="125"/>
      <c r="EII170" s="125"/>
      <c r="EIJ170" s="125"/>
      <c r="EIK170" s="125"/>
      <c r="EIL170" s="125"/>
      <c r="EIM170" s="125"/>
      <c r="EIN170" s="125"/>
      <c r="EIO170" s="125"/>
      <c r="EIP170" s="125"/>
      <c r="EIQ170" s="125"/>
      <c r="EIR170" s="125"/>
      <c r="EIS170" s="125"/>
      <c r="EIT170" s="125"/>
      <c r="EIU170" s="125"/>
      <c r="EIV170" s="125"/>
      <c r="EIW170" s="125"/>
      <c r="EIX170" s="125"/>
      <c r="EIY170" s="125"/>
      <c r="EIZ170" s="125"/>
      <c r="EJA170" s="125"/>
      <c r="EJB170" s="125"/>
      <c r="EJC170" s="125"/>
      <c r="EJD170" s="125"/>
      <c r="EJE170" s="125"/>
      <c r="EJF170" s="125"/>
      <c r="EJG170" s="125"/>
      <c r="EJH170" s="125"/>
      <c r="EJI170" s="125"/>
      <c r="EJJ170" s="125"/>
      <c r="EJK170" s="125"/>
      <c r="EJL170" s="125"/>
      <c r="EJM170" s="125"/>
      <c r="EJN170" s="125"/>
      <c r="EJO170" s="125"/>
      <c r="EJP170" s="125"/>
      <c r="EJQ170" s="125"/>
      <c r="EJR170" s="125"/>
      <c r="EJS170" s="125"/>
      <c r="EJT170" s="125"/>
      <c r="EJU170" s="125"/>
      <c r="EJV170" s="125"/>
      <c r="EJW170" s="125"/>
      <c r="EJX170" s="125"/>
      <c r="EJY170" s="125"/>
      <c r="EJZ170" s="125"/>
      <c r="EKA170" s="125"/>
      <c r="EKB170" s="125"/>
      <c r="EKC170" s="125"/>
      <c r="EKD170" s="125"/>
      <c r="EKE170" s="125"/>
      <c r="EKF170" s="125"/>
      <c r="EKG170" s="125"/>
      <c r="EKH170" s="125"/>
      <c r="EKI170" s="125"/>
      <c r="EKJ170" s="125"/>
      <c r="EKK170" s="125"/>
      <c r="EKL170" s="125"/>
      <c r="EKM170" s="125"/>
      <c r="EKN170" s="125"/>
      <c r="EKO170" s="125"/>
      <c r="EKP170" s="125"/>
      <c r="EKQ170" s="125"/>
      <c r="EKR170" s="125"/>
      <c r="EKS170" s="125"/>
      <c r="EKT170" s="125"/>
      <c r="EKU170" s="125"/>
      <c r="EKV170" s="125"/>
      <c r="EKW170" s="125"/>
      <c r="EKX170" s="125"/>
      <c r="EKY170" s="125"/>
      <c r="EKZ170" s="125"/>
      <c r="ELA170" s="125"/>
      <c r="ELB170" s="125"/>
      <c r="ELC170" s="125"/>
      <c r="ELD170" s="125"/>
      <c r="ELE170" s="125"/>
      <c r="ELF170" s="125"/>
      <c r="ELG170" s="125"/>
      <c r="ELH170" s="125"/>
      <c r="ELI170" s="125"/>
      <c r="ELJ170" s="125"/>
      <c r="ELK170" s="125"/>
      <c r="ELL170" s="125"/>
      <c r="ELM170" s="125"/>
      <c r="ELN170" s="125"/>
      <c r="ELO170" s="125"/>
      <c r="ELP170" s="125"/>
      <c r="ELQ170" s="125"/>
      <c r="ELR170" s="125"/>
      <c r="ELS170" s="125"/>
      <c r="ELT170" s="125"/>
      <c r="ELU170" s="125"/>
      <c r="ELV170" s="125"/>
      <c r="ELW170" s="125"/>
      <c r="ELX170" s="125"/>
      <c r="ELY170" s="125"/>
      <c r="ELZ170" s="125"/>
      <c r="EMA170" s="125"/>
      <c r="EMB170" s="125"/>
      <c r="EMC170" s="125"/>
      <c r="EMD170" s="125"/>
      <c r="EME170" s="125"/>
      <c r="EMF170" s="125"/>
      <c r="EMG170" s="125"/>
      <c r="EMH170" s="125"/>
      <c r="EMI170" s="125"/>
      <c r="EMJ170" s="125"/>
      <c r="EMK170" s="125"/>
      <c r="EML170" s="125"/>
      <c r="EMM170" s="125"/>
      <c r="EMN170" s="125"/>
      <c r="EMO170" s="125"/>
      <c r="EMP170" s="125"/>
      <c r="EMQ170" s="125"/>
      <c r="EMR170" s="125"/>
      <c r="EMS170" s="125"/>
      <c r="EMT170" s="125"/>
      <c r="EMU170" s="125"/>
      <c r="EMV170" s="125"/>
      <c r="EMW170" s="125"/>
      <c r="EMX170" s="125"/>
      <c r="EMY170" s="125"/>
      <c r="EMZ170" s="125"/>
      <c r="ENA170" s="125"/>
      <c r="ENB170" s="125"/>
      <c r="ENC170" s="125"/>
      <c r="END170" s="125"/>
      <c r="ENE170" s="125"/>
      <c r="ENF170" s="125"/>
      <c r="ENG170" s="125"/>
      <c r="ENH170" s="125"/>
      <c r="ENI170" s="125"/>
      <c r="ENJ170" s="125"/>
      <c r="ENK170" s="125"/>
      <c r="ENL170" s="125"/>
      <c r="ENM170" s="125"/>
      <c r="ENN170" s="125"/>
      <c r="ENO170" s="125"/>
      <c r="ENP170" s="125"/>
      <c r="ENQ170" s="125"/>
      <c r="ENR170" s="125"/>
      <c r="ENS170" s="125"/>
      <c r="ENT170" s="125"/>
      <c r="ENU170" s="125"/>
      <c r="ENV170" s="125"/>
      <c r="ENW170" s="125"/>
      <c r="ENX170" s="125"/>
      <c r="ENY170" s="125"/>
      <c r="ENZ170" s="125"/>
      <c r="EOA170" s="125"/>
      <c r="EOB170" s="125"/>
      <c r="EOC170" s="125"/>
      <c r="EOD170" s="125"/>
      <c r="EOE170" s="125"/>
      <c r="EOF170" s="125"/>
      <c r="EOG170" s="125"/>
      <c r="EOH170" s="125"/>
      <c r="EOI170" s="125"/>
      <c r="EOJ170" s="125"/>
      <c r="EOK170" s="125"/>
      <c r="EOL170" s="125"/>
      <c r="EOM170" s="125"/>
      <c r="EON170" s="125"/>
      <c r="EOO170" s="125"/>
      <c r="EOP170" s="125"/>
      <c r="EOQ170" s="125"/>
      <c r="EOR170" s="125"/>
      <c r="EOS170" s="125"/>
      <c r="EOT170" s="125"/>
      <c r="EOU170" s="125"/>
      <c r="EOV170" s="125"/>
      <c r="EOW170" s="125"/>
      <c r="EOX170" s="125"/>
      <c r="EOY170" s="125"/>
      <c r="EOZ170" s="125"/>
      <c r="EPA170" s="125"/>
      <c r="EPB170" s="125"/>
      <c r="EPC170" s="125"/>
      <c r="EPD170" s="125"/>
      <c r="EPE170" s="125"/>
      <c r="EPF170" s="125"/>
      <c r="EPG170" s="125"/>
      <c r="EPH170" s="125"/>
      <c r="EPI170" s="125"/>
      <c r="EPJ170" s="125"/>
      <c r="EPK170" s="125"/>
      <c r="EPL170" s="125"/>
      <c r="EPM170" s="125"/>
      <c r="EPN170" s="125"/>
      <c r="EPO170" s="125"/>
      <c r="EPP170" s="125"/>
      <c r="EPQ170" s="125"/>
      <c r="EPR170" s="125"/>
      <c r="EPS170" s="125"/>
      <c r="EPT170" s="125"/>
      <c r="EPU170" s="125"/>
      <c r="EPV170" s="125"/>
      <c r="EPW170" s="125"/>
      <c r="EPX170" s="125"/>
      <c r="EPY170" s="125"/>
      <c r="EPZ170" s="125"/>
      <c r="EQA170" s="125"/>
      <c r="EQB170" s="125"/>
      <c r="EQC170" s="125"/>
      <c r="EQD170" s="125"/>
      <c r="EQE170" s="125"/>
      <c r="EQF170" s="125"/>
      <c r="EQG170" s="125"/>
      <c r="EQH170" s="125"/>
      <c r="EQI170" s="125"/>
      <c r="EQJ170" s="125"/>
      <c r="EQK170" s="125"/>
      <c r="EQL170" s="125"/>
      <c r="EQM170" s="125"/>
      <c r="EQN170" s="125"/>
      <c r="EQO170" s="125"/>
      <c r="EQP170" s="125"/>
      <c r="EQQ170" s="125"/>
      <c r="EQR170" s="125"/>
      <c r="EQS170" s="125"/>
      <c r="EQT170" s="125"/>
      <c r="EQU170" s="125"/>
      <c r="EQV170" s="125"/>
      <c r="EQW170" s="125"/>
      <c r="EQX170" s="125"/>
      <c r="EQY170" s="125"/>
      <c r="EQZ170" s="125"/>
      <c r="ERA170" s="125"/>
      <c r="ERB170" s="125"/>
      <c r="ERC170" s="125"/>
      <c r="ERD170" s="125"/>
      <c r="ERE170" s="125"/>
      <c r="ERF170" s="125"/>
      <c r="ERG170" s="125"/>
      <c r="ERH170" s="125"/>
      <c r="ERI170" s="125"/>
      <c r="ERJ170" s="125"/>
      <c r="ERK170" s="125"/>
      <c r="ERL170" s="125"/>
      <c r="ERM170" s="125"/>
      <c r="ERN170" s="125"/>
      <c r="ERO170" s="125"/>
      <c r="ERP170" s="125"/>
      <c r="ERQ170" s="125"/>
      <c r="ERR170" s="125"/>
      <c r="ERS170" s="125"/>
      <c r="ERT170" s="125"/>
      <c r="ERU170" s="125"/>
      <c r="ERV170" s="125"/>
      <c r="ERW170" s="125"/>
      <c r="ERX170" s="125"/>
      <c r="ERY170" s="125"/>
      <c r="ERZ170" s="125"/>
      <c r="ESA170" s="125"/>
      <c r="ESB170" s="125"/>
      <c r="ESC170" s="125"/>
      <c r="ESD170" s="125"/>
      <c r="ESE170" s="125"/>
      <c r="ESF170" s="125"/>
      <c r="ESG170" s="125"/>
      <c r="ESH170" s="125"/>
      <c r="ESI170" s="125"/>
      <c r="ESJ170" s="125"/>
      <c r="ESK170" s="125"/>
      <c r="ESL170" s="125"/>
      <c r="ESM170" s="125"/>
      <c r="ESN170" s="125"/>
      <c r="ESO170" s="125"/>
      <c r="ESP170" s="125"/>
      <c r="ESQ170" s="125"/>
      <c r="ESR170" s="125"/>
      <c r="ESS170" s="125"/>
      <c r="EST170" s="125"/>
      <c r="ESU170" s="125"/>
      <c r="ESV170" s="125"/>
      <c r="ESW170" s="125"/>
      <c r="ESX170" s="125"/>
      <c r="ESY170" s="125"/>
      <c r="ESZ170" s="125"/>
      <c r="ETA170" s="125"/>
      <c r="ETB170" s="125"/>
      <c r="ETC170" s="125"/>
      <c r="ETD170" s="125"/>
      <c r="ETE170" s="125"/>
      <c r="ETF170" s="125"/>
      <c r="ETG170" s="125"/>
      <c r="ETH170" s="125"/>
      <c r="ETI170" s="125"/>
      <c r="ETJ170" s="125"/>
      <c r="ETK170" s="125"/>
      <c r="ETL170" s="125"/>
      <c r="ETM170" s="125"/>
      <c r="ETN170" s="125"/>
      <c r="ETO170" s="125"/>
      <c r="ETP170" s="125"/>
      <c r="ETQ170" s="125"/>
      <c r="ETR170" s="125"/>
      <c r="ETS170" s="125"/>
      <c r="ETT170" s="125"/>
      <c r="ETU170" s="125"/>
      <c r="ETV170" s="125"/>
      <c r="ETW170" s="125"/>
      <c r="ETX170" s="125"/>
      <c r="ETY170" s="125"/>
      <c r="ETZ170" s="125"/>
      <c r="EUA170" s="125"/>
      <c r="EUB170" s="125"/>
      <c r="EUC170" s="125"/>
      <c r="EUD170" s="125"/>
      <c r="EUE170" s="125"/>
      <c r="EUF170" s="125"/>
      <c r="EUG170" s="125"/>
      <c r="EUH170" s="125"/>
      <c r="EUI170" s="125"/>
      <c r="EUJ170" s="125"/>
      <c r="EUK170" s="125"/>
      <c r="EUL170" s="125"/>
      <c r="EUM170" s="125"/>
      <c r="EUN170" s="125"/>
      <c r="EUO170" s="125"/>
      <c r="EUP170" s="125"/>
      <c r="EUQ170" s="125"/>
      <c r="EUR170" s="125"/>
      <c r="EUS170" s="125"/>
      <c r="EUT170" s="125"/>
      <c r="EUU170" s="125"/>
      <c r="EUV170" s="125"/>
      <c r="EUW170" s="125"/>
      <c r="EUX170" s="125"/>
      <c r="EUY170" s="125"/>
      <c r="EUZ170" s="125"/>
      <c r="EVA170" s="125"/>
      <c r="EVB170" s="125"/>
      <c r="EVC170" s="125"/>
      <c r="EVD170" s="125"/>
      <c r="EVE170" s="125"/>
      <c r="EVF170" s="125"/>
      <c r="EVG170" s="125"/>
      <c r="EVH170" s="125"/>
      <c r="EVI170" s="125"/>
      <c r="EVJ170" s="125"/>
      <c r="EVK170" s="125"/>
      <c r="EVL170" s="125"/>
      <c r="EVM170" s="125"/>
      <c r="EVN170" s="125"/>
      <c r="EVO170" s="125"/>
      <c r="EVP170" s="125"/>
      <c r="EVQ170" s="125"/>
      <c r="EVR170" s="125"/>
      <c r="EVS170" s="125"/>
      <c r="EVT170" s="125"/>
      <c r="EVU170" s="125"/>
      <c r="EVV170" s="125"/>
      <c r="EVW170" s="125"/>
      <c r="EVX170" s="125"/>
      <c r="EVY170" s="125"/>
      <c r="EVZ170" s="125"/>
      <c r="EWA170" s="125"/>
      <c r="EWB170" s="125"/>
      <c r="EWC170" s="125"/>
      <c r="EWD170" s="125"/>
      <c r="EWE170" s="125"/>
      <c r="EWF170" s="125"/>
      <c r="EWG170" s="125"/>
      <c r="EWH170" s="125"/>
      <c r="EWI170" s="125"/>
      <c r="EWJ170" s="125"/>
      <c r="EWK170" s="125"/>
      <c r="EWL170" s="125"/>
      <c r="EWM170" s="125"/>
      <c r="EWN170" s="125"/>
      <c r="EWO170" s="125"/>
      <c r="EWP170" s="125"/>
      <c r="EWQ170" s="125"/>
      <c r="EWR170" s="125"/>
      <c r="EWS170" s="125"/>
      <c r="EWT170" s="125"/>
      <c r="EWU170" s="125"/>
      <c r="EWV170" s="125"/>
      <c r="EWW170" s="125"/>
      <c r="EWX170" s="125"/>
      <c r="EWY170" s="125"/>
      <c r="EWZ170" s="125"/>
      <c r="EXA170" s="125"/>
      <c r="EXB170" s="125"/>
      <c r="EXC170" s="125"/>
      <c r="EXD170" s="125"/>
      <c r="EXE170" s="125"/>
      <c r="EXF170" s="125"/>
      <c r="EXG170" s="125"/>
      <c r="EXH170" s="125"/>
      <c r="EXI170" s="125"/>
      <c r="EXJ170" s="125"/>
      <c r="EXK170" s="125"/>
      <c r="EXL170" s="125"/>
      <c r="EXM170" s="125"/>
      <c r="EXN170" s="125"/>
      <c r="EXO170" s="125"/>
      <c r="EXP170" s="125"/>
      <c r="EXQ170" s="125"/>
      <c r="EXR170" s="125"/>
      <c r="EXS170" s="125"/>
      <c r="EXT170" s="125"/>
      <c r="EXU170" s="125"/>
      <c r="EXV170" s="125"/>
      <c r="EXW170" s="125"/>
      <c r="EXX170" s="125"/>
      <c r="EXY170" s="125"/>
      <c r="EXZ170" s="125"/>
      <c r="EYA170" s="125"/>
      <c r="EYB170" s="125"/>
      <c r="EYC170" s="125"/>
      <c r="EYD170" s="125"/>
      <c r="EYE170" s="125"/>
      <c r="EYF170" s="125"/>
      <c r="EYG170" s="125"/>
      <c r="EYH170" s="125"/>
      <c r="EYI170" s="125"/>
      <c r="EYJ170" s="125"/>
      <c r="EYK170" s="125"/>
      <c r="EYL170" s="125"/>
      <c r="EYM170" s="125"/>
      <c r="EYN170" s="125"/>
      <c r="EYO170" s="125"/>
      <c r="EYP170" s="125"/>
      <c r="EYQ170" s="125"/>
      <c r="EYR170" s="125"/>
      <c r="EYS170" s="125"/>
      <c r="EYT170" s="125"/>
      <c r="EYU170" s="125"/>
      <c r="EYV170" s="125"/>
      <c r="EYW170" s="125"/>
      <c r="EYX170" s="125"/>
      <c r="EYY170" s="125"/>
      <c r="EYZ170" s="125"/>
      <c r="EZA170" s="125"/>
      <c r="EZB170" s="125"/>
      <c r="EZC170" s="125"/>
      <c r="EZD170" s="125"/>
      <c r="EZE170" s="125"/>
      <c r="EZF170" s="125"/>
      <c r="EZG170" s="125"/>
      <c r="EZH170" s="125"/>
      <c r="EZI170" s="125"/>
      <c r="EZJ170" s="125"/>
      <c r="EZK170" s="125"/>
      <c r="EZL170" s="125"/>
      <c r="EZM170" s="125"/>
      <c r="EZN170" s="125"/>
      <c r="EZO170" s="125"/>
      <c r="EZP170" s="125"/>
      <c r="EZQ170" s="125"/>
      <c r="EZR170" s="125"/>
      <c r="EZS170" s="125"/>
      <c r="EZT170" s="125"/>
      <c r="EZU170" s="125"/>
      <c r="EZV170" s="125"/>
      <c r="EZW170" s="125"/>
      <c r="EZX170" s="125"/>
      <c r="EZY170" s="125"/>
      <c r="EZZ170" s="125"/>
      <c r="FAA170" s="125"/>
      <c r="FAB170" s="125"/>
      <c r="FAC170" s="125"/>
      <c r="FAD170" s="125"/>
      <c r="FAE170" s="125"/>
      <c r="FAF170" s="125"/>
      <c r="FAG170" s="125"/>
      <c r="FAH170" s="125"/>
      <c r="FAI170" s="125"/>
      <c r="FAJ170" s="125"/>
      <c r="FAK170" s="125"/>
      <c r="FAL170" s="125"/>
      <c r="FAM170" s="125"/>
      <c r="FAN170" s="125"/>
      <c r="FAO170" s="125"/>
      <c r="FAP170" s="125"/>
      <c r="FAQ170" s="125"/>
      <c r="FAR170" s="125"/>
      <c r="FAS170" s="125"/>
      <c r="FAT170" s="125"/>
      <c r="FAU170" s="125"/>
      <c r="FAV170" s="125"/>
      <c r="FAW170" s="125"/>
      <c r="FAX170" s="125"/>
      <c r="FAY170" s="125"/>
      <c r="FAZ170" s="125"/>
      <c r="FBA170" s="125"/>
      <c r="FBB170" s="125"/>
      <c r="FBC170" s="125"/>
      <c r="FBD170" s="125"/>
      <c r="FBE170" s="125"/>
      <c r="FBF170" s="125"/>
      <c r="FBG170" s="125"/>
      <c r="FBH170" s="125"/>
      <c r="FBI170" s="125"/>
      <c r="FBJ170" s="125"/>
      <c r="FBK170" s="125"/>
      <c r="FBL170" s="125"/>
      <c r="FBM170" s="125"/>
      <c r="FBN170" s="125"/>
      <c r="FBO170" s="125"/>
      <c r="FBP170" s="125"/>
      <c r="FBQ170" s="125"/>
      <c r="FBR170" s="125"/>
      <c r="FBS170" s="125"/>
      <c r="FBT170" s="125"/>
      <c r="FBU170" s="125"/>
      <c r="FBV170" s="125"/>
      <c r="FBW170" s="125"/>
      <c r="FBX170" s="125"/>
      <c r="FBY170" s="125"/>
      <c r="FBZ170" s="125"/>
      <c r="FCA170" s="125"/>
      <c r="FCB170" s="125"/>
      <c r="FCC170" s="125"/>
      <c r="FCD170" s="125"/>
      <c r="FCE170" s="125"/>
      <c r="FCF170" s="125"/>
      <c r="FCG170" s="125"/>
      <c r="FCH170" s="125"/>
      <c r="FCI170" s="125"/>
      <c r="FCJ170" s="125"/>
      <c r="FCK170" s="125"/>
      <c r="FCL170" s="125"/>
      <c r="FCM170" s="125"/>
      <c r="FCN170" s="125"/>
      <c r="FCO170" s="125"/>
      <c r="FCP170" s="125"/>
      <c r="FCQ170" s="125"/>
      <c r="FCR170" s="125"/>
      <c r="FCS170" s="125"/>
      <c r="FCT170" s="125"/>
      <c r="FCU170" s="125"/>
      <c r="FCV170" s="125"/>
      <c r="FCW170" s="125"/>
      <c r="FCX170" s="125"/>
      <c r="FCY170" s="125"/>
      <c r="FCZ170" s="125"/>
      <c r="FDA170" s="125"/>
      <c r="FDB170" s="125"/>
      <c r="FDC170" s="125"/>
      <c r="FDD170" s="125"/>
      <c r="FDE170" s="125"/>
      <c r="FDF170" s="125"/>
      <c r="FDG170" s="125"/>
      <c r="FDH170" s="125"/>
      <c r="FDI170" s="125"/>
      <c r="FDJ170" s="125"/>
      <c r="FDK170" s="125"/>
      <c r="FDL170" s="125"/>
      <c r="FDM170" s="125"/>
      <c r="FDN170" s="125"/>
      <c r="FDO170" s="125"/>
      <c r="FDP170" s="125"/>
      <c r="FDQ170" s="125"/>
      <c r="FDR170" s="125"/>
      <c r="FDS170" s="125"/>
      <c r="FDT170" s="125"/>
      <c r="FDU170" s="125"/>
      <c r="FDV170" s="125"/>
      <c r="FDW170" s="125"/>
      <c r="FDX170" s="125"/>
      <c r="FDY170" s="125"/>
      <c r="FDZ170" s="125"/>
      <c r="FEA170" s="125"/>
      <c r="FEB170" s="125"/>
      <c r="FEC170" s="125"/>
      <c r="FED170" s="125"/>
      <c r="FEE170" s="125"/>
      <c r="FEF170" s="125"/>
      <c r="FEG170" s="125"/>
      <c r="FEH170" s="125"/>
      <c r="FEI170" s="125"/>
      <c r="FEJ170" s="125"/>
      <c r="FEK170" s="125"/>
      <c r="FEL170" s="125"/>
      <c r="FEM170" s="125"/>
      <c r="FEN170" s="125"/>
      <c r="FEO170" s="125"/>
      <c r="FEP170" s="125"/>
      <c r="FEQ170" s="125"/>
      <c r="FER170" s="125"/>
      <c r="FES170" s="125"/>
      <c r="FET170" s="125"/>
      <c r="FEU170" s="125"/>
      <c r="FEV170" s="125"/>
      <c r="FEW170" s="125"/>
      <c r="FEX170" s="125"/>
      <c r="FEY170" s="125"/>
      <c r="FEZ170" s="125"/>
      <c r="FFA170" s="125"/>
      <c r="FFB170" s="125"/>
      <c r="FFC170" s="125"/>
      <c r="FFD170" s="125"/>
      <c r="FFE170" s="125"/>
      <c r="FFF170" s="125"/>
      <c r="FFG170" s="125"/>
      <c r="FFH170" s="125"/>
      <c r="FFI170" s="125"/>
      <c r="FFJ170" s="125"/>
      <c r="FFK170" s="125"/>
      <c r="FFL170" s="125"/>
      <c r="FFM170" s="125"/>
      <c r="FFN170" s="125"/>
      <c r="FFO170" s="125"/>
      <c r="FFP170" s="125"/>
      <c r="FFQ170" s="125"/>
      <c r="FFR170" s="125"/>
      <c r="FFS170" s="125"/>
      <c r="FFT170" s="125"/>
      <c r="FFU170" s="125"/>
      <c r="FFV170" s="125"/>
      <c r="FFW170" s="125"/>
      <c r="FFX170" s="125"/>
      <c r="FFY170" s="125"/>
      <c r="FFZ170" s="125"/>
      <c r="FGA170" s="125"/>
      <c r="FGB170" s="125"/>
      <c r="FGC170" s="125"/>
      <c r="FGD170" s="125"/>
      <c r="FGE170" s="125"/>
      <c r="FGF170" s="125"/>
      <c r="FGG170" s="125"/>
      <c r="FGH170" s="125"/>
      <c r="FGI170" s="125"/>
      <c r="FGJ170" s="125"/>
      <c r="FGK170" s="125"/>
      <c r="FGL170" s="125"/>
      <c r="FGM170" s="125"/>
      <c r="FGN170" s="125"/>
      <c r="FGO170" s="125"/>
      <c r="FGP170" s="125"/>
      <c r="FGQ170" s="125"/>
      <c r="FGR170" s="125"/>
      <c r="FGS170" s="125"/>
      <c r="FGT170" s="125"/>
      <c r="FGU170" s="125"/>
      <c r="FGV170" s="125"/>
      <c r="FGW170" s="125"/>
      <c r="FGX170" s="125"/>
      <c r="FGY170" s="125"/>
      <c r="FGZ170" s="125"/>
      <c r="FHA170" s="125"/>
      <c r="FHB170" s="125"/>
      <c r="FHC170" s="125"/>
      <c r="FHD170" s="125"/>
      <c r="FHE170" s="125"/>
      <c r="FHF170" s="125"/>
      <c r="FHG170" s="125"/>
      <c r="FHH170" s="125"/>
      <c r="FHI170" s="125"/>
      <c r="FHJ170" s="125"/>
      <c r="FHK170" s="125"/>
      <c r="FHL170" s="125"/>
      <c r="FHM170" s="125"/>
      <c r="FHN170" s="125"/>
      <c r="FHO170" s="125"/>
      <c r="FHP170" s="125"/>
      <c r="FHQ170" s="125"/>
      <c r="FHR170" s="125"/>
      <c r="FHS170" s="125"/>
      <c r="FHT170" s="125"/>
      <c r="FHU170" s="125"/>
      <c r="FHV170" s="125"/>
      <c r="FHW170" s="125"/>
      <c r="FHX170" s="125"/>
      <c r="FHY170" s="125"/>
      <c r="FHZ170" s="125"/>
      <c r="FIA170" s="125"/>
      <c r="FIB170" s="125"/>
      <c r="FIC170" s="125"/>
      <c r="FID170" s="125"/>
      <c r="FIE170" s="125"/>
      <c r="FIF170" s="125"/>
      <c r="FIG170" s="125"/>
      <c r="FIH170" s="125"/>
      <c r="FII170" s="125"/>
      <c r="FIJ170" s="125"/>
      <c r="FIK170" s="125"/>
      <c r="FIL170" s="125"/>
      <c r="FIM170" s="125"/>
      <c r="FIN170" s="125"/>
      <c r="FIO170" s="125"/>
      <c r="FIP170" s="125"/>
      <c r="FIQ170" s="125"/>
      <c r="FIR170" s="125"/>
      <c r="FIS170" s="125"/>
      <c r="FIT170" s="125"/>
      <c r="FIU170" s="125"/>
      <c r="FIV170" s="125"/>
      <c r="FIW170" s="125"/>
      <c r="FIX170" s="125"/>
      <c r="FIY170" s="125"/>
      <c r="FIZ170" s="125"/>
      <c r="FJA170" s="125"/>
      <c r="FJB170" s="125"/>
      <c r="FJC170" s="125"/>
      <c r="FJD170" s="125"/>
      <c r="FJE170" s="125"/>
      <c r="FJF170" s="125"/>
      <c r="FJG170" s="125"/>
      <c r="FJH170" s="125"/>
      <c r="FJI170" s="125"/>
      <c r="FJJ170" s="125"/>
      <c r="FJK170" s="125"/>
      <c r="FJL170" s="125"/>
      <c r="FJM170" s="125"/>
      <c r="FJN170" s="125"/>
      <c r="FJO170" s="125"/>
      <c r="FJP170" s="125"/>
      <c r="FJQ170" s="125"/>
      <c r="FJR170" s="125"/>
      <c r="FJS170" s="125"/>
      <c r="FJT170" s="125"/>
      <c r="FJU170" s="125"/>
      <c r="FJV170" s="125"/>
      <c r="FJW170" s="125"/>
      <c r="FJX170" s="125"/>
      <c r="FJY170" s="125"/>
      <c r="FJZ170" s="125"/>
      <c r="FKA170" s="125"/>
      <c r="FKB170" s="125"/>
      <c r="FKC170" s="125"/>
      <c r="FKD170" s="125"/>
      <c r="FKE170" s="125"/>
      <c r="FKF170" s="125"/>
      <c r="FKG170" s="125"/>
      <c r="FKH170" s="125"/>
      <c r="FKI170" s="125"/>
      <c r="FKJ170" s="125"/>
      <c r="FKK170" s="125"/>
      <c r="FKL170" s="125"/>
      <c r="FKM170" s="125"/>
      <c r="FKN170" s="125"/>
      <c r="FKO170" s="125"/>
      <c r="FKP170" s="125"/>
      <c r="FKQ170" s="125"/>
      <c r="FKR170" s="125"/>
      <c r="FKS170" s="125"/>
      <c r="FKT170" s="125"/>
      <c r="FKU170" s="125"/>
      <c r="FKV170" s="125"/>
      <c r="FKW170" s="125"/>
      <c r="FKX170" s="125"/>
      <c r="FKY170" s="125"/>
      <c r="FKZ170" s="125"/>
      <c r="FLA170" s="125"/>
      <c r="FLB170" s="125"/>
      <c r="FLC170" s="125"/>
      <c r="FLD170" s="125"/>
      <c r="FLE170" s="125"/>
      <c r="FLF170" s="125"/>
      <c r="FLG170" s="125"/>
      <c r="FLH170" s="125"/>
      <c r="FLI170" s="125"/>
      <c r="FLJ170" s="125"/>
      <c r="FLK170" s="125"/>
      <c r="FLL170" s="125"/>
      <c r="FLM170" s="125"/>
      <c r="FLN170" s="125"/>
      <c r="FLO170" s="125"/>
      <c r="FLP170" s="125"/>
      <c r="FLQ170" s="125"/>
      <c r="FLR170" s="125"/>
      <c r="FLS170" s="125"/>
      <c r="FLT170" s="125"/>
      <c r="FLU170" s="125"/>
      <c r="FLV170" s="125"/>
      <c r="FLW170" s="125"/>
      <c r="FLX170" s="125"/>
      <c r="FLY170" s="125"/>
      <c r="FLZ170" s="125"/>
      <c r="FMA170" s="125"/>
      <c r="FMB170" s="125"/>
      <c r="FMC170" s="125"/>
      <c r="FMD170" s="125"/>
      <c r="FME170" s="125"/>
      <c r="FMF170" s="125"/>
      <c r="FMG170" s="125"/>
      <c r="FMH170" s="125"/>
      <c r="FMI170" s="125"/>
      <c r="FMJ170" s="125"/>
      <c r="FMK170" s="125"/>
      <c r="FML170" s="125"/>
      <c r="FMM170" s="125"/>
      <c r="FMN170" s="125"/>
      <c r="FMO170" s="125"/>
      <c r="FMP170" s="125"/>
      <c r="FMQ170" s="125"/>
      <c r="FMR170" s="125"/>
      <c r="FMS170" s="125"/>
      <c r="FMT170" s="125"/>
      <c r="FMU170" s="125"/>
      <c r="FMV170" s="125"/>
      <c r="FMW170" s="125"/>
      <c r="FMX170" s="125"/>
      <c r="FMY170" s="125"/>
      <c r="FMZ170" s="125"/>
      <c r="FNA170" s="125"/>
      <c r="FNB170" s="125"/>
      <c r="FNC170" s="125"/>
      <c r="FND170" s="125"/>
      <c r="FNE170" s="125"/>
      <c r="FNF170" s="125"/>
      <c r="FNG170" s="125"/>
      <c r="FNH170" s="125"/>
      <c r="FNI170" s="125"/>
      <c r="FNJ170" s="125"/>
      <c r="FNK170" s="125"/>
      <c r="FNL170" s="125"/>
      <c r="FNM170" s="125"/>
      <c r="FNN170" s="125"/>
      <c r="FNO170" s="125"/>
      <c r="FNP170" s="125"/>
      <c r="FNQ170" s="125"/>
      <c r="FNR170" s="125"/>
      <c r="FNS170" s="125"/>
      <c r="FNT170" s="125"/>
      <c r="FNU170" s="125"/>
      <c r="FNV170" s="125"/>
      <c r="FNW170" s="125"/>
      <c r="FNX170" s="125"/>
      <c r="FNY170" s="125"/>
      <c r="FNZ170" s="125"/>
      <c r="FOA170" s="125"/>
      <c r="FOB170" s="125"/>
      <c r="FOC170" s="125"/>
      <c r="FOD170" s="125"/>
      <c r="FOE170" s="125"/>
      <c r="FOF170" s="125"/>
      <c r="FOG170" s="125"/>
      <c r="FOH170" s="125"/>
      <c r="FOI170" s="125"/>
      <c r="FOJ170" s="125"/>
      <c r="FOK170" s="125"/>
      <c r="FOL170" s="125"/>
      <c r="FOM170" s="125"/>
      <c r="FON170" s="125"/>
      <c r="FOO170" s="125"/>
      <c r="FOP170" s="125"/>
      <c r="FOQ170" s="125"/>
      <c r="FOR170" s="125"/>
      <c r="FOS170" s="125"/>
      <c r="FOT170" s="125"/>
      <c r="FOU170" s="125"/>
      <c r="FOV170" s="125"/>
      <c r="FOW170" s="125"/>
      <c r="FOX170" s="125"/>
      <c r="FOY170" s="125"/>
      <c r="FOZ170" s="125"/>
      <c r="FPA170" s="125"/>
      <c r="FPB170" s="125"/>
      <c r="FPC170" s="125"/>
      <c r="FPD170" s="125"/>
      <c r="FPE170" s="125"/>
      <c r="FPF170" s="125"/>
      <c r="FPG170" s="125"/>
      <c r="FPH170" s="125"/>
      <c r="FPI170" s="125"/>
      <c r="FPJ170" s="125"/>
      <c r="FPK170" s="125"/>
      <c r="FPL170" s="125"/>
      <c r="FPM170" s="125"/>
      <c r="FPN170" s="125"/>
      <c r="FPO170" s="125"/>
      <c r="FPP170" s="125"/>
      <c r="FPQ170" s="125"/>
      <c r="FPR170" s="125"/>
      <c r="FPS170" s="125"/>
      <c r="FPT170" s="125"/>
      <c r="FPU170" s="125"/>
      <c r="FPV170" s="125"/>
      <c r="FPW170" s="125"/>
      <c r="FPX170" s="125"/>
      <c r="FPY170" s="125"/>
      <c r="FPZ170" s="125"/>
      <c r="FQA170" s="125"/>
      <c r="FQB170" s="125"/>
      <c r="FQC170" s="125"/>
      <c r="FQD170" s="125"/>
      <c r="FQE170" s="125"/>
      <c r="FQF170" s="125"/>
      <c r="FQG170" s="125"/>
      <c r="FQH170" s="125"/>
      <c r="FQI170" s="125"/>
      <c r="FQJ170" s="125"/>
      <c r="FQK170" s="125"/>
      <c r="FQL170" s="125"/>
      <c r="FQM170" s="125"/>
      <c r="FQN170" s="125"/>
      <c r="FQO170" s="125"/>
      <c r="FQP170" s="125"/>
      <c r="FQQ170" s="125"/>
      <c r="FQR170" s="125"/>
      <c r="FQS170" s="125"/>
      <c r="FQT170" s="125"/>
      <c r="FQU170" s="125"/>
      <c r="FQV170" s="125"/>
      <c r="FQW170" s="125"/>
      <c r="FQX170" s="125"/>
      <c r="FQY170" s="125"/>
      <c r="FQZ170" s="125"/>
      <c r="FRA170" s="125"/>
      <c r="FRB170" s="125"/>
      <c r="FRC170" s="125"/>
      <c r="FRD170" s="125"/>
      <c r="FRE170" s="125"/>
      <c r="FRF170" s="125"/>
      <c r="FRG170" s="125"/>
      <c r="FRH170" s="125"/>
      <c r="FRI170" s="125"/>
      <c r="FRJ170" s="125"/>
      <c r="FRK170" s="125"/>
      <c r="FRL170" s="125"/>
      <c r="FRM170" s="125"/>
      <c r="FRN170" s="125"/>
      <c r="FRO170" s="125"/>
      <c r="FRP170" s="125"/>
      <c r="FRQ170" s="125"/>
      <c r="FRR170" s="125"/>
      <c r="FRS170" s="125"/>
      <c r="FRT170" s="125"/>
      <c r="FRU170" s="125"/>
      <c r="FRV170" s="125"/>
      <c r="FRW170" s="125"/>
      <c r="FRX170" s="125"/>
      <c r="FRY170" s="125"/>
      <c r="FRZ170" s="125"/>
      <c r="FSA170" s="125"/>
      <c r="FSB170" s="125"/>
      <c r="FSC170" s="125"/>
      <c r="FSD170" s="125"/>
      <c r="FSE170" s="125"/>
      <c r="FSF170" s="125"/>
      <c r="FSG170" s="125"/>
      <c r="FSH170" s="125"/>
      <c r="FSI170" s="125"/>
      <c r="FSJ170" s="125"/>
      <c r="FSK170" s="125"/>
      <c r="FSL170" s="125"/>
      <c r="FSM170" s="125"/>
      <c r="FSN170" s="125"/>
      <c r="FSO170" s="125"/>
      <c r="FSP170" s="125"/>
      <c r="FSQ170" s="125"/>
      <c r="FSR170" s="125"/>
      <c r="FSS170" s="125"/>
      <c r="FST170" s="125"/>
      <c r="FSU170" s="125"/>
      <c r="FSV170" s="125"/>
      <c r="FSW170" s="125"/>
      <c r="FSX170" s="125"/>
      <c r="FSY170" s="125"/>
      <c r="FSZ170" s="125"/>
      <c r="FTA170" s="125"/>
      <c r="FTB170" s="125"/>
      <c r="FTC170" s="125"/>
      <c r="FTD170" s="125"/>
      <c r="FTE170" s="125"/>
      <c r="FTF170" s="125"/>
      <c r="FTG170" s="125"/>
      <c r="FTH170" s="125"/>
      <c r="FTI170" s="125"/>
      <c r="FTJ170" s="125"/>
      <c r="FTK170" s="125"/>
      <c r="FTL170" s="125"/>
      <c r="FTM170" s="125"/>
      <c r="FTN170" s="125"/>
      <c r="FTO170" s="125"/>
      <c r="FTP170" s="125"/>
      <c r="FTQ170" s="125"/>
      <c r="FTR170" s="125"/>
      <c r="FTS170" s="125"/>
      <c r="FTT170" s="125"/>
      <c r="FTU170" s="125"/>
      <c r="FTV170" s="125"/>
      <c r="FTW170" s="125"/>
      <c r="FTX170" s="125"/>
      <c r="FTY170" s="125"/>
      <c r="FTZ170" s="125"/>
      <c r="FUA170" s="125"/>
      <c r="FUB170" s="125"/>
      <c r="FUC170" s="125"/>
      <c r="FUD170" s="125"/>
      <c r="FUE170" s="125"/>
      <c r="FUF170" s="125"/>
      <c r="FUG170" s="125"/>
      <c r="FUH170" s="125"/>
      <c r="FUI170" s="125"/>
      <c r="FUJ170" s="125"/>
      <c r="FUK170" s="125"/>
      <c r="FUL170" s="125"/>
      <c r="FUM170" s="125"/>
      <c r="FUN170" s="125"/>
      <c r="FUO170" s="125"/>
      <c r="FUP170" s="125"/>
      <c r="FUQ170" s="125"/>
      <c r="FUR170" s="125"/>
      <c r="FUS170" s="125"/>
      <c r="FUT170" s="125"/>
      <c r="FUU170" s="125"/>
      <c r="FUV170" s="125"/>
      <c r="FUW170" s="125"/>
      <c r="FUX170" s="125"/>
      <c r="FUY170" s="125"/>
      <c r="FUZ170" s="125"/>
      <c r="FVA170" s="125"/>
      <c r="FVB170" s="125"/>
      <c r="FVC170" s="125"/>
      <c r="FVD170" s="125"/>
      <c r="FVE170" s="125"/>
      <c r="FVF170" s="125"/>
      <c r="FVG170" s="125"/>
      <c r="FVH170" s="125"/>
      <c r="FVI170" s="125"/>
      <c r="FVJ170" s="125"/>
      <c r="FVK170" s="125"/>
      <c r="FVL170" s="125"/>
      <c r="FVM170" s="125"/>
      <c r="FVN170" s="125"/>
      <c r="FVO170" s="125"/>
      <c r="FVP170" s="125"/>
      <c r="FVQ170" s="125"/>
      <c r="FVR170" s="125"/>
      <c r="FVS170" s="125"/>
      <c r="FVT170" s="125"/>
      <c r="FVU170" s="125"/>
      <c r="FVV170" s="125"/>
      <c r="FVW170" s="125"/>
      <c r="FVX170" s="125"/>
      <c r="FVY170" s="125"/>
      <c r="FVZ170" s="125"/>
      <c r="FWA170" s="125"/>
      <c r="FWB170" s="125"/>
      <c r="FWC170" s="125"/>
      <c r="FWD170" s="125"/>
      <c r="FWE170" s="125"/>
      <c r="FWF170" s="125"/>
      <c r="FWG170" s="125"/>
      <c r="FWH170" s="125"/>
      <c r="FWI170" s="125"/>
      <c r="FWJ170" s="125"/>
      <c r="FWK170" s="125"/>
      <c r="FWL170" s="125"/>
      <c r="FWM170" s="125"/>
      <c r="FWN170" s="125"/>
      <c r="FWO170" s="125"/>
      <c r="FWP170" s="125"/>
      <c r="FWQ170" s="125"/>
      <c r="FWR170" s="125"/>
      <c r="FWS170" s="125"/>
      <c r="FWT170" s="125"/>
      <c r="FWU170" s="125"/>
      <c r="FWV170" s="125"/>
      <c r="FWW170" s="125"/>
      <c r="FWX170" s="125"/>
      <c r="FWY170" s="125"/>
      <c r="FWZ170" s="125"/>
      <c r="FXA170" s="125"/>
      <c r="FXB170" s="125"/>
      <c r="FXC170" s="125"/>
      <c r="FXD170" s="125"/>
      <c r="FXE170" s="125"/>
      <c r="FXF170" s="125"/>
      <c r="FXG170" s="125"/>
      <c r="FXH170" s="125"/>
      <c r="FXI170" s="125"/>
      <c r="FXJ170" s="125"/>
      <c r="FXK170" s="125"/>
      <c r="FXL170" s="125"/>
      <c r="FXM170" s="125"/>
      <c r="FXN170" s="125"/>
      <c r="FXO170" s="125"/>
      <c r="FXP170" s="125"/>
      <c r="FXQ170" s="125"/>
      <c r="FXR170" s="125"/>
      <c r="FXS170" s="125"/>
      <c r="FXT170" s="125"/>
      <c r="FXU170" s="125"/>
      <c r="FXV170" s="125"/>
      <c r="FXW170" s="125"/>
      <c r="FXX170" s="125"/>
      <c r="FXY170" s="125"/>
      <c r="FXZ170" s="125"/>
      <c r="FYA170" s="125"/>
      <c r="FYB170" s="125"/>
      <c r="FYC170" s="125"/>
      <c r="FYD170" s="125"/>
      <c r="FYE170" s="125"/>
      <c r="FYF170" s="125"/>
      <c r="FYG170" s="125"/>
      <c r="FYH170" s="125"/>
      <c r="FYI170" s="125"/>
      <c r="FYJ170" s="125"/>
      <c r="FYK170" s="125"/>
      <c r="FYL170" s="125"/>
      <c r="FYM170" s="125"/>
      <c r="FYN170" s="125"/>
      <c r="FYO170" s="125"/>
      <c r="FYP170" s="125"/>
      <c r="FYQ170" s="125"/>
      <c r="FYR170" s="125"/>
      <c r="FYS170" s="125"/>
      <c r="FYT170" s="125"/>
      <c r="FYU170" s="125"/>
      <c r="FYV170" s="125"/>
      <c r="FYW170" s="125"/>
      <c r="FYX170" s="125"/>
      <c r="FYY170" s="125"/>
      <c r="FYZ170" s="125"/>
      <c r="FZA170" s="125"/>
      <c r="FZB170" s="125"/>
      <c r="FZC170" s="125"/>
      <c r="FZD170" s="125"/>
      <c r="FZE170" s="125"/>
      <c r="FZF170" s="125"/>
      <c r="FZG170" s="125"/>
      <c r="FZH170" s="125"/>
      <c r="FZI170" s="125"/>
      <c r="FZJ170" s="125"/>
      <c r="FZK170" s="125"/>
      <c r="FZL170" s="125"/>
      <c r="FZM170" s="125"/>
      <c r="FZN170" s="125"/>
      <c r="FZO170" s="125"/>
      <c r="FZP170" s="125"/>
      <c r="FZQ170" s="125"/>
      <c r="FZR170" s="125"/>
      <c r="FZS170" s="125"/>
      <c r="FZT170" s="125"/>
      <c r="FZU170" s="125"/>
      <c r="FZV170" s="125"/>
      <c r="FZW170" s="125"/>
      <c r="FZX170" s="125"/>
      <c r="FZY170" s="125"/>
      <c r="FZZ170" s="125"/>
      <c r="GAA170" s="125"/>
      <c r="GAB170" s="125"/>
      <c r="GAC170" s="125"/>
      <c r="GAD170" s="125"/>
      <c r="GAE170" s="125"/>
      <c r="GAF170" s="125"/>
      <c r="GAG170" s="125"/>
      <c r="GAH170" s="125"/>
      <c r="GAI170" s="125"/>
      <c r="GAJ170" s="125"/>
      <c r="GAK170" s="125"/>
      <c r="GAL170" s="125"/>
      <c r="GAM170" s="125"/>
      <c r="GAN170" s="125"/>
      <c r="GAO170" s="125"/>
      <c r="GAP170" s="125"/>
      <c r="GAQ170" s="125"/>
      <c r="GAR170" s="125"/>
      <c r="GAS170" s="125"/>
      <c r="GAT170" s="125"/>
      <c r="GAU170" s="125"/>
      <c r="GAV170" s="125"/>
      <c r="GAW170" s="125"/>
      <c r="GAX170" s="125"/>
      <c r="GAY170" s="125"/>
      <c r="GAZ170" s="125"/>
      <c r="GBA170" s="125"/>
      <c r="GBB170" s="125"/>
      <c r="GBC170" s="125"/>
      <c r="GBD170" s="125"/>
      <c r="GBE170" s="125"/>
      <c r="GBF170" s="125"/>
      <c r="GBG170" s="125"/>
      <c r="GBH170" s="125"/>
      <c r="GBI170" s="125"/>
      <c r="GBJ170" s="125"/>
      <c r="GBK170" s="125"/>
      <c r="GBL170" s="125"/>
      <c r="GBM170" s="125"/>
      <c r="GBN170" s="125"/>
      <c r="GBO170" s="125"/>
      <c r="GBP170" s="125"/>
      <c r="GBQ170" s="125"/>
      <c r="GBR170" s="125"/>
      <c r="GBS170" s="125"/>
      <c r="GBT170" s="125"/>
      <c r="GBU170" s="125"/>
      <c r="GBV170" s="125"/>
      <c r="GBW170" s="125"/>
      <c r="GBX170" s="125"/>
      <c r="GBY170" s="125"/>
      <c r="GBZ170" s="125"/>
      <c r="GCA170" s="125"/>
      <c r="GCB170" s="125"/>
      <c r="GCC170" s="125"/>
      <c r="GCD170" s="125"/>
      <c r="GCE170" s="125"/>
      <c r="GCF170" s="125"/>
      <c r="GCG170" s="125"/>
      <c r="GCH170" s="125"/>
      <c r="GCI170" s="125"/>
      <c r="GCJ170" s="125"/>
      <c r="GCK170" s="125"/>
      <c r="GCL170" s="125"/>
      <c r="GCM170" s="125"/>
      <c r="GCN170" s="125"/>
      <c r="GCO170" s="125"/>
      <c r="GCP170" s="125"/>
      <c r="GCQ170" s="125"/>
      <c r="GCR170" s="125"/>
      <c r="GCS170" s="125"/>
      <c r="GCT170" s="125"/>
      <c r="GCU170" s="125"/>
      <c r="GCV170" s="125"/>
      <c r="GCW170" s="125"/>
      <c r="GCX170" s="125"/>
      <c r="GCY170" s="125"/>
      <c r="GCZ170" s="125"/>
      <c r="GDA170" s="125"/>
      <c r="GDB170" s="125"/>
      <c r="GDC170" s="125"/>
      <c r="GDD170" s="125"/>
      <c r="GDE170" s="125"/>
      <c r="GDF170" s="125"/>
      <c r="GDG170" s="125"/>
      <c r="GDH170" s="125"/>
      <c r="GDI170" s="125"/>
      <c r="GDJ170" s="125"/>
      <c r="GDK170" s="125"/>
      <c r="GDL170" s="125"/>
      <c r="GDM170" s="125"/>
      <c r="GDN170" s="125"/>
      <c r="GDO170" s="125"/>
      <c r="GDP170" s="125"/>
      <c r="GDQ170" s="125"/>
      <c r="GDR170" s="125"/>
      <c r="GDS170" s="125"/>
      <c r="GDT170" s="125"/>
      <c r="GDU170" s="125"/>
      <c r="GDV170" s="125"/>
      <c r="GDW170" s="125"/>
      <c r="GDX170" s="125"/>
      <c r="GDY170" s="125"/>
      <c r="GDZ170" s="125"/>
      <c r="GEA170" s="125"/>
      <c r="GEB170" s="125"/>
      <c r="GEC170" s="125"/>
      <c r="GED170" s="125"/>
      <c r="GEE170" s="125"/>
      <c r="GEF170" s="125"/>
      <c r="GEG170" s="125"/>
      <c r="GEH170" s="125"/>
      <c r="GEI170" s="125"/>
      <c r="GEJ170" s="125"/>
      <c r="GEK170" s="125"/>
      <c r="GEL170" s="125"/>
      <c r="GEM170" s="125"/>
      <c r="GEN170" s="125"/>
      <c r="GEO170" s="125"/>
      <c r="GEP170" s="125"/>
      <c r="GEQ170" s="125"/>
      <c r="GER170" s="125"/>
      <c r="GES170" s="125"/>
      <c r="GET170" s="125"/>
      <c r="GEU170" s="125"/>
      <c r="GEV170" s="125"/>
      <c r="GEW170" s="125"/>
      <c r="GEX170" s="125"/>
      <c r="GEY170" s="125"/>
      <c r="GEZ170" s="125"/>
      <c r="GFA170" s="125"/>
      <c r="GFB170" s="125"/>
      <c r="GFC170" s="125"/>
      <c r="GFD170" s="125"/>
      <c r="GFE170" s="125"/>
      <c r="GFF170" s="125"/>
      <c r="GFG170" s="125"/>
      <c r="GFH170" s="125"/>
      <c r="GFI170" s="125"/>
      <c r="GFJ170" s="125"/>
      <c r="GFK170" s="125"/>
      <c r="GFL170" s="125"/>
      <c r="GFM170" s="125"/>
      <c r="GFN170" s="125"/>
      <c r="GFO170" s="125"/>
      <c r="GFP170" s="125"/>
      <c r="GFQ170" s="125"/>
      <c r="GFR170" s="125"/>
      <c r="GFS170" s="125"/>
      <c r="GFT170" s="125"/>
      <c r="GFU170" s="125"/>
      <c r="GFV170" s="125"/>
      <c r="GFW170" s="125"/>
      <c r="GFX170" s="125"/>
      <c r="GFY170" s="125"/>
      <c r="GFZ170" s="125"/>
      <c r="GGA170" s="125"/>
      <c r="GGB170" s="125"/>
      <c r="GGC170" s="125"/>
      <c r="GGD170" s="125"/>
      <c r="GGE170" s="125"/>
      <c r="GGF170" s="125"/>
      <c r="GGG170" s="125"/>
      <c r="GGH170" s="125"/>
      <c r="GGI170" s="125"/>
      <c r="GGJ170" s="125"/>
      <c r="GGK170" s="125"/>
      <c r="GGL170" s="125"/>
      <c r="GGM170" s="125"/>
      <c r="GGN170" s="125"/>
      <c r="GGO170" s="125"/>
      <c r="GGP170" s="125"/>
      <c r="GGQ170" s="125"/>
      <c r="GGR170" s="125"/>
      <c r="GGS170" s="125"/>
      <c r="GGT170" s="125"/>
      <c r="GGU170" s="125"/>
      <c r="GGV170" s="125"/>
      <c r="GGW170" s="125"/>
      <c r="GGX170" s="125"/>
      <c r="GGY170" s="125"/>
      <c r="GGZ170" s="125"/>
      <c r="GHA170" s="125"/>
      <c r="GHB170" s="125"/>
      <c r="GHC170" s="125"/>
      <c r="GHD170" s="125"/>
      <c r="GHE170" s="125"/>
      <c r="GHF170" s="125"/>
      <c r="GHG170" s="125"/>
      <c r="GHH170" s="125"/>
      <c r="GHI170" s="125"/>
      <c r="GHJ170" s="125"/>
      <c r="GHK170" s="125"/>
      <c r="GHL170" s="125"/>
      <c r="GHM170" s="125"/>
      <c r="GHN170" s="125"/>
      <c r="GHO170" s="125"/>
      <c r="GHP170" s="125"/>
      <c r="GHQ170" s="125"/>
      <c r="GHR170" s="125"/>
      <c r="GHS170" s="125"/>
      <c r="GHT170" s="125"/>
      <c r="GHU170" s="125"/>
      <c r="GHV170" s="125"/>
      <c r="GHW170" s="125"/>
      <c r="GHX170" s="125"/>
      <c r="GHY170" s="125"/>
      <c r="GHZ170" s="125"/>
      <c r="GIA170" s="125"/>
      <c r="GIB170" s="125"/>
      <c r="GIC170" s="125"/>
      <c r="GID170" s="125"/>
      <c r="GIE170" s="125"/>
      <c r="GIF170" s="125"/>
      <c r="GIG170" s="125"/>
      <c r="GIH170" s="125"/>
      <c r="GII170" s="125"/>
      <c r="GIJ170" s="125"/>
      <c r="GIK170" s="125"/>
      <c r="GIL170" s="125"/>
      <c r="GIM170" s="125"/>
      <c r="GIN170" s="125"/>
      <c r="GIO170" s="125"/>
      <c r="GIP170" s="125"/>
      <c r="GIQ170" s="125"/>
      <c r="GIR170" s="125"/>
      <c r="GIS170" s="125"/>
      <c r="GIT170" s="125"/>
      <c r="GIU170" s="125"/>
      <c r="GIV170" s="125"/>
      <c r="GIW170" s="125"/>
      <c r="GIX170" s="125"/>
      <c r="GIY170" s="125"/>
      <c r="GIZ170" s="125"/>
      <c r="GJA170" s="125"/>
      <c r="GJB170" s="125"/>
      <c r="GJC170" s="125"/>
      <c r="GJD170" s="125"/>
      <c r="GJE170" s="125"/>
      <c r="GJF170" s="125"/>
      <c r="GJG170" s="125"/>
      <c r="GJH170" s="125"/>
      <c r="GJI170" s="125"/>
      <c r="GJJ170" s="125"/>
      <c r="GJK170" s="125"/>
      <c r="GJL170" s="125"/>
      <c r="GJM170" s="125"/>
      <c r="GJN170" s="125"/>
      <c r="GJO170" s="125"/>
      <c r="GJP170" s="125"/>
      <c r="GJQ170" s="125"/>
      <c r="GJR170" s="125"/>
      <c r="GJS170" s="125"/>
      <c r="GJT170" s="125"/>
      <c r="GJU170" s="125"/>
      <c r="GJV170" s="125"/>
      <c r="GJW170" s="125"/>
      <c r="GJX170" s="125"/>
      <c r="GJY170" s="125"/>
      <c r="GJZ170" s="125"/>
      <c r="GKA170" s="125"/>
      <c r="GKB170" s="125"/>
      <c r="GKC170" s="125"/>
      <c r="GKD170" s="125"/>
      <c r="GKE170" s="125"/>
      <c r="GKF170" s="125"/>
      <c r="GKG170" s="125"/>
      <c r="GKH170" s="125"/>
      <c r="GKI170" s="125"/>
      <c r="GKJ170" s="125"/>
      <c r="GKK170" s="125"/>
      <c r="GKL170" s="125"/>
      <c r="GKM170" s="125"/>
      <c r="GKN170" s="125"/>
      <c r="GKO170" s="125"/>
      <c r="GKP170" s="125"/>
      <c r="GKQ170" s="125"/>
      <c r="GKR170" s="125"/>
      <c r="GKS170" s="125"/>
      <c r="GKT170" s="125"/>
      <c r="GKU170" s="125"/>
      <c r="GKV170" s="125"/>
      <c r="GKW170" s="125"/>
      <c r="GKX170" s="125"/>
      <c r="GKY170" s="125"/>
      <c r="GKZ170" s="125"/>
      <c r="GLA170" s="125"/>
      <c r="GLB170" s="125"/>
      <c r="GLC170" s="125"/>
      <c r="GLD170" s="125"/>
      <c r="GLE170" s="125"/>
      <c r="GLF170" s="125"/>
      <c r="GLG170" s="125"/>
      <c r="GLH170" s="125"/>
      <c r="GLI170" s="125"/>
      <c r="GLJ170" s="125"/>
      <c r="GLK170" s="125"/>
      <c r="GLL170" s="125"/>
      <c r="GLM170" s="125"/>
      <c r="GLN170" s="125"/>
      <c r="GLO170" s="125"/>
      <c r="GLP170" s="125"/>
      <c r="GLQ170" s="125"/>
      <c r="GLR170" s="125"/>
      <c r="GLS170" s="125"/>
      <c r="GLT170" s="125"/>
      <c r="GLU170" s="125"/>
      <c r="GLV170" s="125"/>
      <c r="GLW170" s="125"/>
      <c r="GLX170" s="125"/>
      <c r="GLY170" s="125"/>
      <c r="GLZ170" s="125"/>
      <c r="GMA170" s="125"/>
      <c r="GMB170" s="125"/>
      <c r="GMC170" s="125"/>
      <c r="GMD170" s="125"/>
      <c r="GME170" s="125"/>
      <c r="GMF170" s="125"/>
      <c r="GMG170" s="125"/>
      <c r="GMH170" s="125"/>
      <c r="GMI170" s="125"/>
      <c r="GMJ170" s="125"/>
      <c r="GMK170" s="125"/>
      <c r="GML170" s="125"/>
      <c r="GMM170" s="125"/>
      <c r="GMN170" s="125"/>
      <c r="GMO170" s="125"/>
      <c r="GMP170" s="125"/>
      <c r="GMQ170" s="125"/>
      <c r="GMR170" s="125"/>
      <c r="GMS170" s="125"/>
      <c r="GMT170" s="125"/>
      <c r="GMU170" s="125"/>
      <c r="GMV170" s="125"/>
      <c r="GMW170" s="125"/>
      <c r="GMX170" s="125"/>
      <c r="GMY170" s="125"/>
      <c r="GMZ170" s="125"/>
      <c r="GNA170" s="125"/>
      <c r="GNB170" s="125"/>
      <c r="GNC170" s="125"/>
      <c r="GND170" s="125"/>
      <c r="GNE170" s="125"/>
      <c r="GNF170" s="125"/>
      <c r="GNG170" s="125"/>
      <c r="GNH170" s="125"/>
      <c r="GNI170" s="125"/>
      <c r="GNJ170" s="125"/>
      <c r="GNK170" s="125"/>
      <c r="GNL170" s="125"/>
      <c r="GNM170" s="125"/>
      <c r="GNN170" s="125"/>
      <c r="GNO170" s="125"/>
      <c r="GNP170" s="125"/>
      <c r="GNQ170" s="125"/>
      <c r="GNR170" s="125"/>
      <c r="GNS170" s="125"/>
      <c r="GNT170" s="125"/>
      <c r="GNU170" s="125"/>
      <c r="GNV170" s="125"/>
      <c r="GNW170" s="125"/>
      <c r="GNX170" s="125"/>
      <c r="GNY170" s="125"/>
      <c r="GNZ170" s="125"/>
      <c r="GOA170" s="125"/>
      <c r="GOB170" s="125"/>
      <c r="GOC170" s="125"/>
      <c r="GOD170" s="125"/>
      <c r="GOE170" s="125"/>
      <c r="GOF170" s="125"/>
      <c r="GOG170" s="125"/>
      <c r="GOH170" s="125"/>
      <c r="GOI170" s="125"/>
      <c r="GOJ170" s="125"/>
      <c r="GOK170" s="125"/>
      <c r="GOL170" s="125"/>
      <c r="GOM170" s="125"/>
      <c r="GON170" s="125"/>
      <c r="GOO170" s="125"/>
      <c r="GOP170" s="125"/>
      <c r="GOQ170" s="125"/>
      <c r="GOR170" s="125"/>
      <c r="GOS170" s="125"/>
      <c r="GOT170" s="125"/>
      <c r="GOU170" s="125"/>
      <c r="GOV170" s="125"/>
      <c r="GOW170" s="125"/>
      <c r="GOX170" s="125"/>
      <c r="GOY170" s="125"/>
      <c r="GOZ170" s="125"/>
      <c r="GPA170" s="125"/>
      <c r="GPB170" s="125"/>
      <c r="GPC170" s="125"/>
      <c r="GPD170" s="125"/>
      <c r="GPE170" s="125"/>
      <c r="GPF170" s="125"/>
      <c r="GPG170" s="125"/>
      <c r="GPH170" s="125"/>
      <c r="GPI170" s="125"/>
      <c r="GPJ170" s="125"/>
      <c r="GPK170" s="125"/>
      <c r="GPL170" s="125"/>
      <c r="GPM170" s="125"/>
      <c r="GPN170" s="125"/>
      <c r="GPO170" s="125"/>
      <c r="GPP170" s="125"/>
      <c r="GPQ170" s="125"/>
      <c r="GPR170" s="125"/>
      <c r="GPS170" s="125"/>
      <c r="GPT170" s="125"/>
      <c r="GPU170" s="125"/>
      <c r="GPV170" s="125"/>
      <c r="GPW170" s="125"/>
      <c r="GPX170" s="125"/>
      <c r="GPY170" s="125"/>
      <c r="GPZ170" s="125"/>
      <c r="GQA170" s="125"/>
      <c r="GQB170" s="125"/>
      <c r="GQC170" s="125"/>
      <c r="GQD170" s="125"/>
      <c r="GQE170" s="125"/>
      <c r="GQF170" s="125"/>
      <c r="GQG170" s="125"/>
      <c r="GQH170" s="125"/>
      <c r="GQI170" s="125"/>
      <c r="GQJ170" s="125"/>
      <c r="GQK170" s="125"/>
      <c r="GQL170" s="125"/>
      <c r="GQM170" s="125"/>
      <c r="GQN170" s="125"/>
      <c r="GQO170" s="125"/>
      <c r="GQP170" s="125"/>
      <c r="GQQ170" s="125"/>
      <c r="GQR170" s="125"/>
      <c r="GQS170" s="125"/>
      <c r="GQT170" s="125"/>
      <c r="GQU170" s="125"/>
      <c r="GQV170" s="125"/>
      <c r="GQW170" s="125"/>
      <c r="GQX170" s="125"/>
      <c r="GQY170" s="125"/>
      <c r="GQZ170" s="125"/>
      <c r="GRA170" s="125"/>
      <c r="GRB170" s="125"/>
      <c r="GRC170" s="125"/>
      <c r="GRD170" s="125"/>
      <c r="GRE170" s="125"/>
      <c r="GRF170" s="125"/>
      <c r="GRG170" s="125"/>
      <c r="GRH170" s="125"/>
      <c r="GRI170" s="125"/>
      <c r="GRJ170" s="125"/>
      <c r="GRK170" s="125"/>
      <c r="GRL170" s="125"/>
      <c r="GRM170" s="125"/>
      <c r="GRN170" s="125"/>
      <c r="GRO170" s="125"/>
      <c r="GRP170" s="125"/>
      <c r="GRQ170" s="125"/>
      <c r="GRR170" s="125"/>
      <c r="GRS170" s="125"/>
      <c r="GRT170" s="125"/>
      <c r="GRU170" s="125"/>
      <c r="GRV170" s="125"/>
      <c r="GRW170" s="125"/>
      <c r="GRX170" s="125"/>
      <c r="GRY170" s="125"/>
      <c r="GRZ170" s="125"/>
      <c r="GSA170" s="125"/>
      <c r="GSB170" s="125"/>
      <c r="GSC170" s="125"/>
      <c r="GSD170" s="125"/>
      <c r="GSE170" s="125"/>
      <c r="GSF170" s="125"/>
      <c r="GSG170" s="125"/>
      <c r="GSH170" s="125"/>
      <c r="GSI170" s="125"/>
      <c r="GSJ170" s="125"/>
      <c r="GSK170" s="125"/>
      <c r="GSL170" s="125"/>
      <c r="GSM170" s="125"/>
      <c r="GSN170" s="125"/>
      <c r="GSO170" s="125"/>
      <c r="GSP170" s="125"/>
      <c r="GSQ170" s="125"/>
      <c r="GSR170" s="125"/>
      <c r="GSS170" s="125"/>
      <c r="GST170" s="125"/>
      <c r="GSU170" s="125"/>
      <c r="GSV170" s="125"/>
      <c r="GSW170" s="125"/>
      <c r="GSX170" s="125"/>
      <c r="GSY170" s="125"/>
      <c r="GSZ170" s="125"/>
      <c r="GTA170" s="125"/>
      <c r="GTB170" s="125"/>
      <c r="GTC170" s="125"/>
      <c r="GTD170" s="125"/>
      <c r="GTE170" s="125"/>
      <c r="GTF170" s="125"/>
      <c r="GTG170" s="125"/>
      <c r="GTH170" s="125"/>
      <c r="GTI170" s="125"/>
      <c r="GTJ170" s="125"/>
      <c r="GTK170" s="125"/>
      <c r="GTL170" s="125"/>
      <c r="GTM170" s="125"/>
      <c r="GTN170" s="125"/>
      <c r="GTO170" s="125"/>
      <c r="GTP170" s="125"/>
      <c r="GTQ170" s="125"/>
      <c r="GTR170" s="125"/>
      <c r="GTS170" s="125"/>
      <c r="GTT170" s="125"/>
      <c r="GTU170" s="125"/>
      <c r="GTV170" s="125"/>
      <c r="GTW170" s="125"/>
      <c r="GTX170" s="125"/>
      <c r="GTY170" s="125"/>
      <c r="GTZ170" s="125"/>
      <c r="GUA170" s="125"/>
      <c r="GUB170" s="125"/>
      <c r="GUC170" s="125"/>
      <c r="GUD170" s="125"/>
      <c r="GUE170" s="125"/>
      <c r="GUF170" s="125"/>
      <c r="GUG170" s="125"/>
      <c r="GUH170" s="125"/>
      <c r="GUI170" s="125"/>
      <c r="GUJ170" s="125"/>
      <c r="GUK170" s="125"/>
      <c r="GUL170" s="125"/>
      <c r="GUM170" s="125"/>
      <c r="GUN170" s="125"/>
      <c r="GUO170" s="125"/>
      <c r="GUP170" s="125"/>
      <c r="GUQ170" s="125"/>
      <c r="GUR170" s="125"/>
      <c r="GUS170" s="125"/>
      <c r="GUT170" s="125"/>
      <c r="GUU170" s="125"/>
      <c r="GUV170" s="125"/>
      <c r="GUW170" s="125"/>
      <c r="GUX170" s="125"/>
      <c r="GUY170" s="125"/>
      <c r="GUZ170" s="125"/>
      <c r="GVA170" s="125"/>
      <c r="GVB170" s="125"/>
      <c r="GVC170" s="125"/>
      <c r="GVD170" s="125"/>
      <c r="GVE170" s="125"/>
      <c r="GVF170" s="125"/>
      <c r="GVG170" s="125"/>
      <c r="GVH170" s="125"/>
      <c r="GVI170" s="125"/>
      <c r="GVJ170" s="125"/>
      <c r="GVK170" s="125"/>
      <c r="GVL170" s="125"/>
      <c r="GVM170" s="125"/>
      <c r="GVN170" s="125"/>
      <c r="GVO170" s="125"/>
      <c r="GVP170" s="125"/>
      <c r="GVQ170" s="125"/>
      <c r="GVR170" s="125"/>
      <c r="GVS170" s="125"/>
      <c r="GVT170" s="125"/>
      <c r="GVU170" s="125"/>
      <c r="GVV170" s="125"/>
      <c r="GVW170" s="125"/>
      <c r="GVX170" s="125"/>
      <c r="GVY170" s="125"/>
      <c r="GVZ170" s="125"/>
      <c r="GWA170" s="125"/>
      <c r="GWB170" s="125"/>
      <c r="GWC170" s="125"/>
      <c r="GWD170" s="125"/>
      <c r="GWE170" s="125"/>
      <c r="GWF170" s="125"/>
      <c r="GWG170" s="125"/>
      <c r="GWH170" s="125"/>
      <c r="GWI170" s="125"/>
      <c r="GWJ170" s="125"/>
      <c r="GWK170" s="125"/>
      <c r="GWL170" s="125"/>
      <c r="GWM170" s="125"/>
      <c r="GWN170" s="125"/>
      <c r="GWO170" s="125"/>
      <c r="GWP170" s="125"/>
      <c r="GWQ170" s="125"/>
      <c r="GWR170" s="125"/>
      <c r="GWS170" s="125"/>
      <c r="GWT170" s="125"/>
      <c r="GWU170" s="125"/>
      <c r="GWV170" s="125"/>
      <c r="GWW170" s="125"/>
      <c r="GWX170" s="125"/>
      <c r="GWY170" s="125"/>
      <c r="GWZ170" s="125"/>
      <c r="GXA170" s="125"/>
      <c r="GXB170" s="125"/>
      <c r="GXC170" s="125"/>
      <c r="GXD170" s="125"/>
      <c r="GXE170" s="125"/>
      <c r="GXF170" s="125"/>
      <c r="GXG170" s="125"/>
      <c r="GXH170" s="125"/>
      <c r="GXI170" s="125"/>
      <c r="GXJ170" s="125"/>
      <c r="GXK170" s="125"/>
      <c r="GXL170" s="125"/>
      <c r="GXM170" s="125"/>
      <c r="GXN170" s="125"/>
      <c r="GXO170" s="125"/>
      <c r="GXP170" s="125"/>
      <c r="GXQ170" s="125"/>
      <c r="GXR170" s="125"/>
      <c r="GXS170" s="125"/>
      <c r="GXT170" s="125"/>
      <c r="GXU170" s="125"/>
      <c r="GXV170" s="125"/>
      <c r="GXW170" s="125"/>
      <c r="GXX170" s="125"/>
      <c r="GXY170" s="125"/>
      <c r="GXZ170" s="125"/>
      <c r="GYA170" s="125"/>
      <c r="GYB170" s="125"/>
      <c r="GYC170" s="125"/>
      <c r="GYD170" s="125"/>
      <c r="GYE170" s="125"/>
      <c r="GYF170" s="125"/>
      <c r="GYG170" s="125"/>
      <c r="GYH170" s="125"/>
      <c r="GYI170" s="125"/>
      <c r="GYJ170" s="125"/>
      <c r="GYK170" s="125"/>
      <c r="GYL170" s="125"/>
      <c r="GYM170" s="125"/>
      <c r="GYN170" s="125"/>
      <c r="GYO170" s="125"/>
      <c r="GYP170" s="125"/>
      <c r="GYQ170" s="125"/>
      <c r="GYR170" s="125"/>
      <c r="GYS170" s="125"/>
      <c r="GYT170" s="125"/>
      <c r="GYU170" s="125"/>
      <c r="GYV170" s="125"/>
      <c r="GYW170" s="125"/>
      <c r="GYX170" s="125"/>
      <c r="GYY170" s="125"/>
      <c r="GYZ170" s="125"/>
      <c r="GZA170" s="125"/>
      <c r="GZB170" s="125"/>
      <c r="GZC170" s="125"/>
      <c r="GZD170" s="125"/>
      <c r="GZE170" s="125"/>
      <c r="GZF170" s="125"/>
      <c r="GZG170" s="125"/>
      <c r="GZH170" s="125"/>
      <c r="GZI170" s="125"/>
      <c r="GZJ170" s="125"/>
      <c r="GZK170" s="125"/>
      <c r="GZL170" s="125"/>
      <c r="GZM170" s="125"/>
      <c r="GZN170" s="125"/>
      <c r="GZO170" s="125"/>
      <c r="GZP170" s="125"/>
      <c r="GZQ170" s="125"/>
      <c r="GZR170" s="125"/>
      <c r="GZS170" s="125"/>
      <c r="GZT170" s="125"/>
      <c r="GZU170" s="125"/>
      <c r="GZV170" s="125"/>
      <c r="GZW170" s="125"/>
      <c r="GZX170" s="125"/>
      <c r="GZY170" s="125"/>
      <c r="GZZ170" s="125"/>
      <c r="HAA170" s="125"/>
      <c r="HAB170" s="125"/>
      <c r="HAC170" s="125"/>
      <c r="HAD170" s="125"/>
      <c r="HAE170" s="125"/>
      <c r="HAF170" s="125"/>
      <c r="HAG170" s="125"/>
      <c r="HAH170" s="125"/>
      <c r="HAI170" s="125"/>
      <c r="HAJ170" s="125"/>
      <c r="HAK170" s="125"/>
      <c r="HAL170" s="125"/>
      <c r="HAM170" s="125"/>
      <c r="HAN170" s="125"/>
      <c r="HAO170" s="125"/>
      <c r="HAP170" s="125"/>
      <c r="HAQ170" s="125"/>
      <c r="HAR170" s="125"/>
      <c r="HAS170" s="125"/>
      <c r="HAT170" s="125"/>
      <c r="HAU170" s="125"/>
      <c r="HAV170" s="125"/>
      <c r="HAW170" s="125"/>
      <c r="HAX170" s="125"/>
      <c r="HAY170" s="125"/>
      <c r="HAZ170" s="125"/>
      <c r="HBA170" s="125"/>
      <c r="HBB170" s="125"/>
      <c r="HBC170" s="125"/>
      <c r="HBD170" s="125"/>
      <c r="HBE170" s="125"/>
      <c r="HBF170" s="125"/>
      <c r="HBG170" s="125"/>
      <c r="HBH170" s="125"/>
      <c r="HBI170" s="125"/>
      <c r="HBJ170" s="125"/>
      <c r="HBK170" s="125"/>
      <c r="HBL170" s="125"/>
      <c r="HBM170" s="125"/>
      <c r="HBN170" s="125"/>
      <c r="HBO170" s="125"/>
      <c r="HBP170" s="125"/>
      <c r="HBQ170" s="125"/>
      <c r="HBR170" s="125"/>
      <c r="HBS170" s="125"/>
      <c r="HBT170" s="125"/>
      <c r="HBU170" s="125"/>
      <c r="HBV170" s="125"/>
      <c r="HBW170" s="125"/>
      <c r="HBX170" s="125"/>
      <c r="HBY170" s="125"/>
      <c r="HBZ170" s="125"/>
      <c r="HCA170" s="125"/>
      <c r="HCB170" s="125"/>
      <c r="HCC170" s="125"/>
      <c r="HCD170" s="125"/>
      <c r="HCE170" s="125"/>
      <c r="HCF170" s="125"/>
      <c r="HCG170" s="125"/>
      <c r="HCH170" s="125"/>
      <c r="HCI170" s="125"/>
      <c r="HCJ170" s="125"/>
      <c r="HCK170" s="125"/>
      <c r="HCL170" s="125"/>
      <c r="HCM170" s="125"/>
      <c r="HCN170" s="125"/>
      <c r="HCO170" s="125"/>
      <c r="HCP170" s="125"/>
      <c r="HCQ170" s="125"/>
      <c r="HCR170" s="125"/>
      <c r="HCS170" s="125"/>
      <c r="HCT170" s="125"/>
      <c r="HCU170" s="125"/>
      <c r="HCV170" s="125"/>
      <c r="HCW170" s="125"/>
      <c r="HCX170" s="125"/>
      <c r="HCY170" s="125"/>
      <c r="HCZ170" s="125"/>
      <c r="HDA170" s="125"/>
      <c r="HDB170" s="125"/>
      <c r="HDC170" s="125"/>
      <c r="HDD170" s="125"/>
      <c r="HDE170" s="125"/>
      <c r="HDF170" s="125"/>
      <c r="HDG170" s="125"/>
      <c r="HDH170" s="125"/>
      <c r="HDI170" s="125"/>
      <c r="HDJ170" s="125"/>
      <c r="HDK170" s="125"/>
      <c r="HDL170" s="125"/>
      <c r="HDM170" s="125"/>
      <c r="HDN170" s="125"/>
      <c r="HDO170" s="125"/>
      <c r="HDP170" s="125"/>
      <c r="HDQ170" s="125"/>
      <c r="HDR170" s="125"/>
      <c r="HDS170" s="125"/>
      <c r="HDT170" s="125"/>
      <c r="HDU170" s="125"/>
      <c r="HDV170" s="125"/>
      <c r="HDW170" s="125"/>
      <c r="HDX170" s="125"/>
      <c r="HDY170" s="125"/>
      <c r="HDZ170" s="125"/>
      <c r="HEA170" s="125"/>
      <c r="HEB170" s="125"/>
      <c r="HEC170" s="125"/>
      <c r="HED170" s="125"/>
      <c r="HEE170" s="125"/>
      <c r="HEF170" s="125"/>
      <c r="HEG170" s="125"/>
      <c r="HEH170" s="125"/>
      <c r="HEI170" s="125"/>
      <c r="HEJ170" s="125"/>
      <c r="HEK170" s="125"/>
      <c r="HEL170" s="125"/>
      <c r="HEM170" s="125"/>
      <c r="HEN170" s="125"/>
      <c r="HEO170" s="125"/>
      <c r="HEP170" s="125"/>
      <c r="HEQ170" s="125"/>
      <c r="HER170" s="125"/>
      <c r="HES170" s="125"/>
      <c r="HET170" s="125"/>
      <c r="HEU170" s="125"/>
      <c r="HEV170" s="125"/>
      <c r="HEW170" s="125"/>
      <c r="HEX170" s="125"/>
      <c r="HEY170" s="125"/>
      <c r="HEZ170" s="125"/>
      <c r="HFA170" s="125"/>
      <c r="HFB170" s="125"/>
      <c r="HFC170" s="125"/>
      <c r="HFD170" s="125"/>
      <c r="HFE170" s="125"/>
      <c r="HFF170" s="125"/>
      <c r="HFG170" s="125"/>
      <c r="HFH170" s="125"/>
      <c r="HFI170" s="125"/>
      <c r="HFJ170" s="125"/>
      <c r="HFK170" s="125"/>
      <c r="HFL170" s="125"/>
      <c r="HFM170" s="125"/>
      <c r="HFN170" s="125"/>
      <c r="HFO170" s="125"/>
      <c r="HFP170" s="125"/>
      <c r="HFQ170" s="125"/>
      <c r="HFR170" s="125"/>
      <c r="HFS170" s="125"/>
      <c r="HFT170" s="125"/>
      <c r="HFU170" s="125"/>
      <c r="HFV170" s="125"/>
      <c r="HFW170" s="125"/>
      <c r="HFX170" s="125"/>
      <c r="HFY170" s="125"/>
      <c r="HFZ170" s="125"/>
      <c r="HGA170" s="125"/>
      <c r="HGB170" s="125"/>
      <c r="HGC170" s="125"/>
      <c r="HGD170" s="125"/>
      <c r="HGE170" s="125"/>
      <c r="HGF170" s="125"/>
      <c r="HGG170" s="125"/>
      <c r="HGH170" s="125"/>
      <c r="HGI170" s="125"/>
      <c r="HGJ170" s="125"/>
      <c r="HGK170" s="125"/>
      <c r="HGL170" s="125"/>
      <c r="HGM170" s="125"/>
      <c r="HGN170" s="125"/>
      <c r="HGO170" s="125"/>
      <c r="HGP170" s="125"/>
      <c r="HGQ170" s="125"/>
      <c r="HGR170" s="125"/>
      <c r="HGS170" s="125"/>
      <c r="HGT170" s="125"/>
      <c r="HGU170" s="125"/>
      <c r="HGV170" s="125"/>
      <c r="HGW170" s="125"/>
      <c r="HGX170" s="125"/>
      <c r="HGY170" s="125"/>
      <c r="HGZ170" s="125"/>
      <c r="HHA170" s="125"/>
      <c r="HHB170" s="125"/>
      <c r="HHC170" s="125"/>
      <c r="HHD170" s="125"/>
      <c r="HHE170" s="125"/>
      <c r="HHF170" s="125"/>
      <c r="HHG170" s="125"/>
      <c r="HHH170" s="125"/>
      <c r="HHI170" s="125"/>
      <c r="HHJ170" s="125"/>
      <c r="HHK170" s="125"/>
      <c r="HHL170" s="125"/>
      <c r="HHM170" s="125"/>
      <c r="HHN170" s="125"/>
      <c r="HHO170" s="125"/>
      <c r="HHP170" s="125"/>
      <c r="HHQ170" s="125"/>
      <c r="HHR170" s="125"/>
      <c r="HHS170" s="125"/>
      <c r="HHT170" s="125"/>
      <c r="HHU170" s="125"/>
      <c r="HHV170" s="125"/>
      <c r="HHW170" s="125"/>
      <c r="HHX170" s="125"/>
      <c r="HHY170" s="125"/>
      <c r="HHZ170" s="125"/>
      <c r="HIA170" s="125"/>
      <c r="HIB170" s="125"/>
      <c r="HIC170" s="125"/>
      <c r="HID170" s="125"/>
      <c r="HIE170" s="125"/>
      <c r="HIF170" s="125"/>
      <c r="HIG170" s="125"/>
      <c r="HIH170" s="125"/>
      <c r="HII170" s="125"/>
      <c r="HIJ170" s="125"/>
      <c r="HIK170" s="125"/>
      <c r="HIL170" s="125"/>
      <c r="HIM170" s="125"/>
      <c r="HIN170" s="125"/>
      <c r="HIO170" s="125"/>
      <c r="HIP170" s="125"/>
      <c r="HIQ170" s="125"/>
      <c r="HIR170" s="125"/>
      <c r="HIS170" s="125"/>
      <c r="HIT170" s="125"/>
      <c r="HIU170" s="125"/>
      <c r="HIV170" s="125"/>
      <c r="HIW170" s="125"/>
      <c r="HIX170" s="125"/>
      <c r="HIY170" s="125"/>
      <c r="HIZ170" s="125"/>
      <c r="HJA170" s="125"/>
      <c r="HJB170" s="125"/>
      <c r="HJC170" s="125"/>
      <c r="HJD170" s="125"/>
      <c r="HJE170" s="125"/>
      <c r="HJF170" s="125"/>
      <c r="HJG170" s="125"/>
      <c r="HJH170" s="125"/>
      <c r="HJI170" s="125"/>
      <c r="HJJ170" s="125"/>
      <c r="HJK170" s="125"/>
      <c r="HJL170" s="125"/>
      <c r="HJM170" s="125"/>
      <c r="HJN170" s="125"/>
      <c r="HJO170" s="125"/>
      <c r="HJP170" s="125"/>
      <c r="HJQ170" s="125"/>
      <c r="HJR170" s="125"/>
      <c r="HJS170" s="125"/>
      <c r="HJT170" s="125"/>
      <c r="HJU170" s="125"/>
      <c r="HJV170" s="125"/>
      <c r="HJW170" s="125"/>
      <c r="HJX170" s="125"/>
      <c r="HJY170" s="125"/>
      <c r="HJZ170" s="125"/>
      <c r="HKA170" s="125"/>
      <c r="HKB170" s="125"/>
      <c r="HKC170" s="125"/>
      <c r="HKD170" s="125"/>
      <c r="HKE170" s="125"/>
      <c r="HKF170" s="125"/>
      <c r="HKG170" s="125"/>
      <c r="HKH170" s="125"/>
      <c r="HKI170" s="125"/>
      <c r="HKJ170" s="125"/>
      <c r="HKK170" s="125"/>
      <c r="HKL170" s="125"/>
      <c r="HKM170" s="125"/>
      <c r="HKN170" s="125"/>
      <c r="HKO170" s="125"/>
      <c r="HKP170" s="125"/>
      <c r="HKQ170" s="125"/>
      <c r="HKR170" s="125"/>
      <c r="HKS170" s="125"/>
      <c r="HKT170" s="125"/>
      <c r="HKU170" s="125"/>
      <c r="HKV170" s="125"/>
      <c r="HKW170" s="125"/>
      <c r="HKX170" s="125"/>
      <c r="HKY170" s="125"/>
      <c r="HKZ170" s="125"/>
      <c r="HLA170" s="125"/>
      <c r="HLB170" s="125"/>
      <c r="HLC170" s="125"/>
      <c r="HLD170" s="125"/>
      <c r="HLE170" s="125"/>
      <c r="HLF170" s="125"/>
      <c r="HLG170" s="125"/>
      <c r="HLH170" s="125"/>
      <c r="HLI170" s="125"/>
      <c r="HLJ170" s="125"/>
      <c r="HLK170" s="125"/>
      <c r="HLL170" s="125"/>
      <c r="HLM170" s="125"/>
      <c r="HLN170" s="125"/>
      <c r="HLO170" s="125"/>
      <c r="HLP170" s="125"/>
      <c r="HLQ170" s="125"/>
      <c r="HLR170" s="125"/>
      <c r="HLS170" s="125"/>
      <c r="HLT170" s="125"/>
      <c r="HLU170" s="125"/>
      <c r="HLV170" s="125"/>
      <c r="HLW170" s="125"/>
      <c r="HLX170" s="125"/>
      <c r="HLY170" s="125"/>
      <c r="HLZ170" s="125"/>
      <c r="HMA170" s="125"/>
      <c r="HMB170" s="125"/>
      <c r="HMC170" s="125"/>
      <c r="HMD170" s="125"/>
      <c r="HME170" s="125"/>
      <c r="HMF170" s="125"/>
      <c r="HMG170" s="125"/>
      <c r="HMH170" s="125"/>
      <c r="HMI170" s="125"/>
      <c r="HMJ170" s="125"/>
      <c r="HMK170" s="125"/>
      <c r="HML170" s="125"/>
      <c r="HMM170" s="125"/>
      <c r="HMN170" s="125"/>
      <c r="HMO170" s="125"/>
      <c r="HMP170" s="125"/>
      <c r="HMQ170" s="125"/>
      <c r="HMR170" s="125"/>
      <c r="HMS170" s="125"/>
      <c r="HMT170" s="125"/>
      <c r="HMU170" s="125"/>
      <c r="HMV170" s="125"/>
      <c r="HMW170" s="125"/>
      <c r="HMX170" s="125"/>
      <c r="HMY170" s="125"/>
      <c r="HMZ170" s="125"/>
      <c r="HNA170" s="125"/>
      <c r="HNB170" s="125"/>
      <c r="HNC170" s="125"/>
      <c r="HND170" s="125"/>
      <c r="HNE170" s="125"/>
      <c r="HNF170" s="125"/>
      <c r="HNG170" s="125"/>
      <c r="HNH170" s="125"/>
      <c r="HNI170" s="125"/>
      <c r="HNJ170" s="125"/>
      <c r="HNK170" s="125"/>
      <c r="HNL170" s="125"/>
      <c r="HNM170" s="125"/>
      <c r="HNN170" s="125"/>
      <c r="HNO170" s="125"/>
      <c r="HNP170" s="125"/>
      <c r="HNQ170" s="125"/>
      <c r="HNR170" s="125"/>
      <c r="HNS170" s="125"/>
      <c r="HNT170" s="125"/>
      <c r="HNU170" s="125"/>
      <c r="HNV170" s="125"/>
      <c r="HNW170" s="125"/>
      <c r="HNX170" s="125"/>
      <c r="HNY170" s="125"/>
      <c r="HNZ170" s="125"/>
      <c r="HOA170" s="125"/>
      <c r="HOB170" s="125"/>
      <c r="HOC170" s="125"/>
      <c r="HOD170" s="125"/>
      <c r="HOE170" s="125"/>
      <c r="HOF170" s="125"/>
      <c r="HOG170" s="125"/>
      <c r="HOH170" s="125"/>
      <c r="HOI170" s="125"/>
      <c r="HOJ170" s="125"/>
      <c r="HOK170" s="125"/>
      <c r="HOL170" s="125"/>
      <c r="HOM170" s="125"/>
      <c r="HON170" s="125"/>
      <c r="HOO170" s="125"/>
      <c r="HOP170" s="125"/>
      <c r="HOQ170" s="125"/>
      <c r="HOR170" s="125"/>
      <c r="HOS170" s="125"/>
      <c r="HOT170" s="125"/>
      <c r="HOU170" s="125"/>
      <c r="HOV170" s="125"/>
      <c r="HOW170" s="125"/>
      <c r="HOX170" s="125"/>
      <c r="HOY170" s="125"/>
      <c r="HOZ170" s="125"/>
      <c r="HPA170" s="125"/>
      <c r="HPB170" s="125"/>
      <c r="HPC170" s="125"/>
      <c r="HPD170" s="125"/>
      <c r="HPE170" s="125"/>
      <c r="HPF170" s="125"/>
      <c r="HPG170" s="125"/>
      <c r="HPH170" s="125"/>
      <c r="HPI170" s="125"/>
      <c r="HPJ170" s="125"/>
      <c r="HPK170" s="125"/>
      <c r="HPL170" s="125"/>
      <c r="HPM170" s="125"/>
      <c r="HPN170" s="125"/>
      <c r="HPO170" s="125"/>
      <c r="HPP170" s="125"/>
      <c r="HPQ170" s="125"/>
      <c r="HPR170" s="125"/>
      <c r="HPS170" s="125"/>
      <c r="HPT170" s="125"/>
      <c r="HPU170" s="125"/>
      <c r="HPV170" s="125"/>
      <c r="HPW170" s="125"/>
      <c r="HPX170" s="125"/>
      <c r="HPY170" s="125"/>
      <c r="HPZ170" s="125"/>
      <c r="HQA170" s="125"/>
      <c r="HQB170" s="125"/>
      <c r="HQC170" s="125"/>
      <c r="HQD170" s="125"/>
      <c r="HQE170" s="125"/>
      <c r="HQF170" s="125"/>
      <c r="HQG170" s="125"/>
      <c r="HQH170" s="125"/>
      <c r="HQI170" s="125"/>
      <c r="HQJ170" s="125"/>
      <c r="HQK170" s="125"/>
      <c r="HQL170" s="125"/>
      <c r="HQM170" s="125"/>
      <c r="HQN170" s="125"/>
      <c r="HQO170" s="125"/>
      <c r="HQP170" s="125"/>
      <c r="HQQ170" s="125"/>
      <c r="HQR170" s="125"/>
      <c r="HQS170" s="125"/>
      <c r="HQT170" s="125"/>
      <c r="HQU170" s="125"/>
      <c r="HQV170" s="125"/>
      <c r="HQW170" s="125"/>
      <c r="HQX170" s="125"/>
      <c r="HQY170" s="125"/>
      <c r="HQZ170" s="125"/>
      <c r="HRA170" s="125"/>
      <c r="HRB170" s="125"/>
      <c r="HRC170" s="125"/>
      <c r="HRD170" s="125"/>
      <c r="HRE170" s="125"/>
      <c r="HRF170" s="125"/>
      <c r="HRG170" s="125"/>
      <c r="HRH170" s="125"/>
      <c r="HRI170" s="125"/>
      <c r="HRJ170" s="125"/>
      <c r="HRK170" s="125"/>
      <c r="HRL170" s="125"/>
      <c r="HRM170" s="125"/>
      <c r="HRN170" s="125"/>
      <c r="HRO170" s="125"/>
      <c r="HRP170" s="125"/>
      <c r="HRQ170" s="125"/>
      <c r="HRR170" s="125"/>
      <c r="HRS170" s="125"/>
      <c r="HRT170" s="125"/>
      <c r="HRU170" s="125"/>
      <c r="HRV170" s="125"/>
      <c r="HRW170" s="125"/>
      <c r="HRX170" s="125"/>
      <c r="HRY170" s="125"/>
      <c r="HRZ170" s="125"/>
      <c r="HSA170" s="125"/>
      <c r="HSB170" s="125"/>
      <c r="HSC170" s="125"/>
      <c r="HSD170" s="125"/>
      <c r="HSE170" s="125"/>
      <c r="HSF170" s="125"/>
      <c r="HSG170" s="125"/>
      <c r="HSH170" s="125"/>
      <c r="HSI170" s="125"/>
      <c r="HSJ170" s="125"/>
      <c r="HSK170" s="125"/>
      <c r="HSL170" s="125"/>
      <c r="HSM170" s="125"/>
      <c r="HSN170" s="125"/>
      <c r="HSO170" s="125"/>
      <c r="HSP170" s="125"/>
      <c r="HSQ170" s="125"/>
      <c r="HSR170" s="125"/>
      <c r="HSS170" s="125"/>
      <c r="HST170" s="125"/>
      <c r="HSU170" s="125"/>
      <c r="HSV170" s="125"/>
      <c r="HSW170" s="125"/>
      <c r="HSX170" s="125"/>
      <c r="HSY170" s="125"/>
      <c r="HSZ170" s="125"/>
      <c r="HTA170" s="125"/>
      <c r="HTB170" s="125"/>
      <c r="HTC170" s="125"/>
      <c r="HTD170" s="125"/>
      <c r="HTE170" s="125"/>
      <c r="HTF170" s="125"/>
      <c r="HTG170" s="125"/>
      <c r="HTH170" s="125"/>
      <c r="HTI170" s="125"/>
      <c r="HTJ170" s="125"/>
      <c r="HTK170" s="125"/>
      <c r="HTL170" s="125"/>
      <c r="HTM170" s="125"/>
      <c r="HTN170" s="125"/>
      <c r="HTO170" s="125"/>
      <c r="HTP170" s="125"/>
      <c r="HTQ170" s="125"/>
      <c r="HTR170" s="125"/>
      <c r="HTS170" s="125"/>
      <c r="HTT170" s="125"/>
      <c r="HTU170" s="125"/>
      <c r="HTV170" s="125"/>
      <c r="HTW170" s="125"/>
      <c r="HTX170" s="125"/>
      <c r="HTY170" s="125"/>
      <c r="HTZ170" s="125"/>
      <c r="HUA170" s="125"/>
      <c r="HUB170" s="125"/>
      <c r="HUC170" s="125"/>
      <c r="HUD170" s="125"/>
      <c r="HUE170" s="125"/>
      <c r="HUF170" s="125"/>
      <c r="HUG170" s="125"/>
      <c r="HUH170" s="125"/>
      <c r="HUI170" s="125"/>
      <c r="HUJ170" s="125"/>
      <c r="HUK170" s="125"/>
      <c r="HUL170" s="125"/>
      <c r="HUM170" s="125"/>
      <c r="HUN170" s="125"/>
      <c r="HUO170" s="125"/>
      <c r="HUP170" s="125"/>
      <c r="HUQ170" s="125"/>
      <c r="HUR170" s="125"/>
      <c r="HUS170" s="125"/>
      <c r="HUT170" s="125"/>
      <c r="HUU170" s="125"/>
      <c r="HUV170" s="125"/>
      <c r="HUW170" s="125"/>
      <c r="HUX170" s="125"/>
      <c r="HUY170" s="125"/>
      <c r="HUZ170" s="125"/>
      <c r="HVA170" s="125"/>
      <c r="HVB170" s="125"/>
      <c r="HVC170" s="125"/>
      <c r="HVD170" s="125"/>
      <c r="HVE170" s="125"/>
      <c r="HVF170" s="125"/>
      <c r="HVG170" s="125"/>
      <c r="HVH170" s="125"/>
      <c r="HVI170" s="125"/>
      <c r="HVJ170" s="125"/>
      <c r="HVK170" s="125"/>
      <c r="HVL170" s="125"/>
      <c r="HVM170" s="125"/>
      <c r="HVN170" s="125"/>
      <c r="HVO170" s="125"/>
      <c r="HVP170" s="125"/>
      <c r="HVQ170" s="125"/>
      <c r="HVR170" s="125"/>
      <c r="HVS170" s="125"/>
      <c r="HVT170" s="125"/>
      <c r="HVU170" s="125"/>
      <c r="HVV170" s="125"/>
      <c r="HVW170" s="125"/>
      <c r="HVX170" s="125"/>
      <c r="HVY170" s="125"/>
      <c r="HVZ170" s="125"/>
      <c r="HWA170" s="125"/>
      <c r="HWB170" s="125"/>
      <c r="HWC170" s="125"/>
      <c r="HWD170" s="125"/>
      <c r="HWE170" s="125"/>
      <c r="HWF170" s="125"/>
      <c r="HWG170" s="125"/>
      <c r="HWH170" s="125"/>
      <c r="HWI170" s="125"/>
      <c r="HWJ170" s="125"/>
      <c r="HWK170" s="125"/>
      <c r="HWL170" s="125"/>
      <c r="HWM170" s="125"/>
      <c r="HWN170" s="125"/>
      <c r="HWO170" s="125"/>
      <c r="HWP170" s="125"/>
      <c r="HWQ170" s="125"/>
      <c r="HWR170" s="125"/>
      <c r="HWS170" s="125"/>
      <c r="HWT170" s="125"/>
      <c r="HWU170" s="125"/>
      <c r="HWV170" s="125"/>
      <c r="HWW170" s="125"/>
      <c r="HWX170" s="125"/>
      <c r="HWY170" s="125"/>
      <c r="HWZ170" s="125"/>
      <c r="HXA170" s="125"/>
      <c r="HXB170" s="125"/>
      <c r="HXC170" s="125"/>
      <c r="HXD170" s="125"/>
      <c r="HXE170" s="125"/>
      <c r="HXF170" s="125"/>
      <c r="HXG170" s="125"/>
      <c r="HXH170" s="125"/>
      <c r="HXI170" s="125"/>
      <c r="HXJ170" s="125"/>
      <c r="HXK170" s="125"/>
      <c r="HXL170" s="125"/>
      <c r="HXM170" s="125"/>
      <c r="HXN170" s="125"/>
      <c r="HXO170" s="125"/>
      <c r="HXP170" s="125"/>
      <c r="HXQ170" s="125"/>
      <c r="HXR170" s="125"/>
      <c r="HXS170" s="125"/>
      <c r="HXT170" s="125"/>
      <c r="HXU170" s="125"/>
      <c r="HXV170" s="125"/>
      <c r="HXW170" s="125"/>
      <c r="HXX170" s="125"/>
      <c r="HXY170" s="125"/>
      <c r="HXZ170" s="125"/>
      <c r="HYA170" s="125"/>
      <c r="HYB170" s="125"/>
      <c r="HYC170" s="125"/>
      <c r="HYD170" s="125"/>
      <c r="HYE170" s="125"/>
      <c r="HYF170" s="125"/>
      <c r="HYG170" s="125"/>
      <c r="HYH170" s="125"/>
      <c r="HYI170" s="125"/>
      <c r="HYJ170" s="125"/>
      <c r="HYK170" s="125"/>
      <c r="HYL170" s="125"/>
      <c r="HYM170" s="125"/>
      <c r="HYN170" s="125"/>
      <c r="HYO170" s="125"/>
      <c r="HYP170" s="125"/>
      <c r="HYQ170" s="125"/>
      <c r="HYR170" s="125"/>
      <c r="HYS170" s="125"/>
      <c r="HYT170" s="125"/>
      <c r="HYU170" s="125"/>
      <c r="HYV170" s="125"/>
      <c r="HYW170" s="125"/>
      <c r="HYX170" s="125"/>
      <c r="HYY170" s="125"/>
      <c r="HYZ170" s="125"/>
      <c r="HZA170" s="125"/>
      <c r="HZB170" s="125"/>
      <c r="HZC170" s="125"/>
      <c r="HZD170" s="125"/>
      <c r="HZE170" s="125"/>
      <c r="HZF170" s="125"/>
      <c r="HZG170" s="125"/>
      <c r="HZH170" s="125"/>
      <c r="HZI170" s="125"/>
      <c r="HZJ170" s="125"/>
      <c r="HZK170" s="125"/>
      <c r="HZL170" s="125"/>
      <c r="HZM170" s="125"/>
      <c r="HZN170" s="125"/>
      <c r="HZO170" s="125"/>
      <c r="HZP170" s="125"/>
      <c r="HZQ170" s="125"/>
      <c r="HZR170" s="125"/>
      <c r="HZS170" s="125"/>
      <c r="HZT170" s="125"/>
      <c r="HZU170" s="125"/>
      <c r="HZV170" s="125"/>
      <c r="HZW170" s="125"/>
      <c r="HZX170" s="125"/>
      <c r="HZY170" s="125"/>
      <c r="HZZ170" s="125"/>
      <c r="IAA170" s="125"/>
      <c r="IAB170" s="125"/>
      <c r="IAC170" s="125"/>
      <c r="IAD170" s="125"/>
      <c r="IAE170" s="125"/>
      <c r="IAF170" s="125"/>
      <c r="IAG170" s="125"/>
      <c r="IAH170" s="125"/>
      <c r="IAI170" s="125"/>
      <c r="IAJ170" s="125"/>
      <c r="IAK170" s="125"/>
      <c r="IAL170" s="125"/>
      <c r="IAM170" s="125"/>
      <c r="IAN170" s="125"/>
      <c r="IAO170" s="125"/>
      <c r="IAP170" s="125"/>
      <c r="IAQ170" s="125"/>
      <c r="IAR170" s="125"/>
      <c r="IAS170" s="125"/>
      <c r="IAT170" s="125"/>
      <c r="IAU170" s="125"/>
      <c r="IAV170" s="125"/>
      <c r="IAW170" s="125"/>
      <c r="IAX170" s="125"/>
      <c r="IAY170" s="125"/>
      <c r="IAZ170" s="125"/>
      <c r="IBA170" s="125"/>
      <c r="IBB170" s="125"/>
      <c r="IBC170" s="125"/>
      <c r="IBD170" s="125"/>
      <c r="IBE170" s="125"/>
      <c r="IBF170" s="125"/>
      <c r="IBG170" s="125"/>
      <c r="IBH170" s="125"/>
      <c r="IBI170" s="125"/>
      <c r="IBJ170" s="125"/>
      <c r="IBK170" s="125"/>
      <c r="IBL170" s="125"/>
      <c r="IBM170" s="125"/>
      <c r="IBN170" s="125"/>
      <c r="IBO170" s="125"/>
      <c r="IBP170" s="125"/>
      <c r="IBQ170" s="125"/>
      <c r="IBR170" s="125"/>
      <c r="IBS170" s="125"/>
      <c r="IBT170" s="125"/>
      <c r="IBU170" s="125"/>
      <c r="IBV170" s="125"/>
      <c r="IBW170" s="125"/>
      <c r="IBX170" s="125"/>
      <c r="IBY170" s="125"/>
      <c r="IBZ170" s="125"/>
      <c r="ICA170" s="125"/>
      <c r="ICB170" s="125"/>
      <c r="ICC170" s="125"/>
      <c r="ICD170" s="125"/>
      <c r="ICE170" s="125"/>
      <c r="ICF170" s="125"/>
      <c r="ICG170" s="125"/>
      <c r="ICH170" s="125"/>
      <c r="ICI170" s="125"/>
      <c r="ICJ170" s="125"/>
      <c r="ICK170" s="125"/>
      <c r="ICL170" s="125"/>
      <c r="ICM170" s="125"/>
      <c r="ICN170" s="125"/>
      <c r="ICO170" s="125"/>
      <c r="ICP170" s="125"/>
      <c r="ICQ170" s="125"/>
      <c r="ICR170" s="125"/>
      <c r="ICS170" s="125"/>
      <c r="ICT170" s="125"/>
      <c r="ICU170" s="125"/>
      <c r="ICV170" s="125"/>
      <c r="ICW170" s="125"/>
      <c r="ICX170" s="125"/>
      <c r="ICY170" s="125"/>
      <c r="ICZ170" s="125"/>
      <c r="IDA170" s="125"/>
      <c r="IDB170" s="125"/>
      <c r="IDC170" s="125"/>
      <c r="IDD170" s="125"/>
      <c r="IDE170" s="125"/>
      <c r="IDF170" s="125"/>
      <c r="IDG170" s="125"/>
      <c r="IDH170" s="125"/>
      <c r="IDI170" s="125"/>
      <c r="IDJ170" s="125"/>
      <c r="IDK170" s="125"/>
      <c r="IDL170" s="125"/>
      <c r="IDM170" s="125"/>
      <c r="IDN170" s="125"/>
      <c r="IDO170" s="125"/>
      <c r="IDP170" s="125"/>
      <c r="IDQ170" s="125"/>
      <c r="IDR170" s="125"/>
      <c r="IDS170" s="125"/>
      <c r="IDT170" s="125"/>
      <c r="IDU170" s="125"/>
      <c r="IDV170" s="125"/>
      <c r="IDW170" s="125"/>
      <c r="IDX170" s="125"/>
      <c r="IDY170" s="125"/>
      <c r="IDZ170" s="125"/>
      <c r="IEA170" s="125"/>
      <c r="IEB170" s="125"/>
      <c r="IEC170" s="125"/>
      <c r="IED170" s="125"/>
      <c r="IEE170" s="125"/>
      <c r="IEF170" s="125"/>
      <c r="IEG170" s="125"/>
      <c r="IEH170" s="125"/>
      <c r="IEI170" s="125"/>
      <c r="IEJ170" s="125"/>
      <c r="IEK170" s="125"/>
      <c r="IEL170" s="125"/>
      <c r="IEM170" s="125"/>
      <c r="IEN170" s="125"/>
      <c r="IEO170" s="125"/>
      <c r="IEP170" s="125"/>
      <c r="IEQ170" s="125"/>
      <c r="IER170" s="125"/>
      <c r="IES170" s="125"/>
      <c r="IET170" s="125"/>
      <c r="IEU170" s="125"/>
      <c r="IEV170" s="125"/>
      <c r="IEW170" s="125"/>
      <c r="IEX170" s="125"/>
      <c r="IEY170" s="125"/>
      <c r="IEZ170" s="125"/>
      <c r="IFA170" s="125"/>
      <c r="IFB170" s="125"/>
      <c r="IFC170" s="125"/>
      <c r="IFD170" s="125"/>
      <c r="IFE170" s="125"/>
      <c r="IFF170" s="125"/>
      <c r="IFG170" s="125"/>
      <c r="IFH170" s="125"/>
      <c r="IFI170" s="125"/>
      <c r="IFJ170" s="125"/>
      <c r="IFK170" s="125"/>
      <c r="IFL170" s="125"/>
      <c r="IFM170" s="125"/>
      <c r="IFN170" s="125"/>
      <c r="IFO170" s="125"/>
      <c r="IFP170" s="125"/>
      <c r="IFQ170" s="125"/>
      <c r="IFR170" s="125"/>
      <c r="IFS170" s="125"/>
      <c r="IFT170" s="125"/>
      <c r="IFU170" s="125"/>
      <c r="IFV170" s="125"/>
      <c r="IFW170" s="125"/>
      <c r="IFX170" s="125"/>
      <c r="IFY170" s="125"/>
      <c r="IFZ170" s="125"/>
      <c r="IGA170" s="125"/>
      <c r="IGB170" s="125"/>
      <c r="IGC170" s="125"/>
      <c r="IGD170" s="125"/>
      <c r="IGE170" s="125"/>
      <c r="IGF170" s="125"/>
      <c r="IGG170" s="125"/>
      <c r="IGH170" s="125"/>
      <c r="IGI170" s="125"/>
      <c r="IGJ170" s="125"/>
      <c r="IGK170" s="125"/>
      <c r="IGL170" s="125"/>
      <c r="IGM170" s="125"/>
      <c r="IGN170" s="125"/>
      <c r="IGO170" s="125"/>
      <c r="IGP170" s="125"/>
      <c r="IGQ170" s="125"/>
      <c r="IGR170" s="125"/>
      <c r="IGS170" s="125"/>
      <c r="IGT170" s="125"/>
      <c r="IGU170" s="125"/>
      <c r="IGV170" s="125"/>
      <c r="IGW170" s="125"/>
      <c r="IGX170" s="125"/>
      <c r="IGY170" s="125"/>
      <c r="IGZ170" s="125"/>
      <c r="IHA170" s="125"/>
      <c r="IHB170" s="125"/>
      <c r="IHC170" s="125"/>
      <c r="IHD170" s="125"/>
      <c r="IHE170" s="125"/>
      <c r="IHF170" s="125"/>
      <c r="IHG170" s="125"/>
      <c r="IHH170" s="125"/>
      <c r="IHI170" s="125"/>
      <c r="IHJ170" s="125"/>
      <c r="IHK170" s="125"/>
      <c r="IHL170" s="125"/>
      <c r="IHM170" s="125"/>
      <c r="IHN170" s="125"/>
      <c r="IHO170" s="125"/>
      <c r="IHP170" s="125"/>
      <c r="IHQ170" s="125"/>
      <c r="IHR170" s="125"/>
      <c r="IHS170" s="125"/>
      <c r="IHT170" s="125"/>
      <c r="IHU170" s="125"/>
      <c r="IHV170" s="125"/>
      <c r="IHW170" s="125"/>
      <c r="IHX170" s="125"/>
      <c r="IHY170" s="125"/>
      <c r="IHZ170" s="125"/>
      <c r="IIA170" s="125"/>
      <c r="IIB170" s="125"/>
      <c r="IIC170" s="125"/>
      <c r="IID170" s="125"/>
      <c r="IIE170" s="125"/>
      <c r="IIF170" s="125"/>
      <c r="IIG170" s="125"/>
      <c r="IIH170" s="125"/>
      <c r="III170" s="125"/>
      <c r="IIJ170" s="125"/>
      <c r="IIK170" s="125"/>
      <c r="IIL170" s="125"/>
      <c r="IIM170" s="125"/>
      <c r="IIN170" s="125"/>
      <c r="IIO170" s="125"/>
      <c r="IIP170" s="125"/>
      <c r="IIQ170" s="125"/>
      <c r="IIR170" s="125"/>
      <c r="IIS170" s="125"/>
      <c r="IIT170" s="125"/>
      <c r="IIU170" s="125"/>
      <c r="IIV170" s="125"/>
      <c r="IIW170" s="125"/>
      <c r="IIX170" s="125"/>
      <c r="IIY170" s="125"/>
      <c r="IIZ170" s="125"/>
      <c r="IJA170" s="125"/>
      <c r="IJB170" s="125"/>
      <c r="IJC170" s="125"/>
      <c r="IJD170" s="125"/>
      <c r="IJE170" s="125"/>
      <c r="IJF170" s="125"/>
      <c r="IJG170" s="125"/>
      <c r="IJH170" s="125"/>
      <c r="IJI170" s="125"/>
      <c r="IJJ170" s="125"/>
      <c r="IJK170" s="125"/>
      <c r="IJL170" s="125"/>
      <c r="IJM170" s="125"/>
      <c r="IJN170" s="125"/>
      <c r="IJO170" s="125"/>
      <c r="IJP170" s="125"/>
      <c r="IJQ170" s="125"/>
      <c r="IJR170" s="125"/>
      <c r="IJS170" s="125"/>
      <c r="IJT170" s="125"/>
      <c r="IJU170" s="125"/>
      <c r="IJV170" s="125"/>
      <c r="IJW170" s="125"/>
      <c r="IJX170" s="125"/>
      <c r="IJY170" s="125"/>
      <c r="IJZ170" s="125"/>
      <c r="IKA170" s="125"/>
      <c r="IKB170" s="125"/>
      <c r="IKC170" s="125"/>
      <c r="IKD170" s="125"/>
      <c r="IKE170" s="125"/>
      <c r="IKF170" s="125"/>
      <c r="IKG170" s="125"/>
      <c r="IKH170" s="125"/>
      <c r="IKI170" s="125"/>
      <c r="IKJ170" s="125"/>
      <c r="IKK170" s="125"/>
      <c r="IKL170" s="125"/>
      <c r="IKM170" s="125"/>
      <c r="IKN170" s="125"/>
      <c r="IKO170" s="125"/>
      <c r="IKP170" s="125"/>
      <c r="IKQ170" s="125"/>
      <c r="IKR170" s="125"/>
      <c r="IKS170" s="125"/>
      <c r="IKT170" s="125"/>
      <c r="IKU170" s="125"/>
      <c r="IKV170" s="125"/>
      <c r="IKW170" s="125"/>
      <c r="IKX170" s="125"/>
      <c r="IKY170" s="125"/>
      <c r="IKZ170" s="125"/>
      <c r="ILA170" s="125"/>
      <c r="ILB170" s="125"/>
      <c r="ILC170" s="125"/>
      <c r="ILD170" s="125"/>
      <c r="ILE170" s="125"/>
      <c r="ILF170" s="125"/>
      <c r="ILG170" s="125"/>
      <c r="ILH170" s="125"/>
      <c r="ILI170" s="125"/>
      <c r="ILJ170" s="125"/>
      <c r="ILK170" s="125"/>
      <c r="ILL170" s="125"/>
      <c r="ILM170" s="125"/>
      <c r="ILN170" s="125"/>
      <c r="ILO170" s="125"/>
      <c r="ILP170" s="125"/>
      <c r="ILQ170" s="125"/>
      <c r="ILR170" s="125"/>
      <c r="ILS170" s="125"/>
      <c r="ILT170" s="125"/>
      <c r="ILU170" s="125"/>
      <c r="ILV170" s="125"/>
      <c r="ILW170" s="125"/>
      <c r="ILX170" s="125"/>
      <c r="ILY170" s="125"/>
      <c r="ILZ170" s="125"/>
      <c r="IMA170" s="125"/>
      <c r="IMB170" s="125"/>
      <c r="IMC170" s="125"/>
      <c r="IMD170" s="125"/>
      <c r="IME170" s="125"/>
      <c r="IMF170" s="125"/>
      <c r="IMG170" s="125"/>
      <c r="IMH170" s="125"/>
      <c r="IMI170" s="125"/>
      <c r="IMJ170" s="125"/>
      <c r="IMK170" s="125"/>
      <c r="IML170" s="125"/>
      <c r="IMM170" s="125"/>
      <c r="IMN170" s="125"/>
      <c r="IMO170" s="125"/>
      <c r="IMP170" s="125"/>
      <c r="IMQ170" s="125"/>
      <c r="IMR170" s="125"/>
      <c r="IMS170" s="125"/>
      <c r="IMT170" s="125"/>
      <c r="IMU170" s="125"/>
      <c r="IMV170" s="125"/>
      <c r="IMW170" s="125"/>
      <c r="IMX170" s="125"/>
      <c r="IMY170" s="125"/>
      <c r="IMZ170" s="125"/>
      <c r="INA170" s="125"/>
      <c r="INB170" s="125"/>
      <c r="INC170" s="125"/>
      <c r="IND170" s="125"/>
      <c r="INE170" s="125"/>
      <c r="INF170" s="125"/>
      <c r="ING170" s="125"/>
      <c r="INH170" s="125"/>
      <c r="INI170" s="125"/>
      <c r="INJ170" s="125"/>
      <c r="INK170" s="125"/>
      <c r="INL170" s="125"/>
      <c r="INM170" s="125"/>
      <c r="INN170" s="125"/>
      <c r="INO170" s="125"/>
      <c r="INP170" s="125"/>
      <c r="INQ170" s="125"/>
      <c r="INR170" s="125"/>
      <c r="INS170" s="125"/>
      <c r="INT170" s="125"/>
      <c r="INU170" s="125"/>
      <c r="INV170" s="125"/>
      <c r="INW170" s="125"/>
      <c r="INX170" s="125"/>
      <c r="INY170" s="125"/>
      <c r="INZ170" s="125"/>
      <c r="IOA170" s="125"/>
      <c r="IOB170" s="125"/>
      <c r="IOC170" s="125"/>
      <c r="IOD170" s="125"/>
      <c r="IOE170" s="125"/>
      <c r="IOF170" s="125"/>
      <c r="IOG170" s="125"/>
      <c r="IOH170" s="125"/>
      <c r="IOI170" s="125"/>
      <c r="IOJ170" s="125"/>
      <c r="IOK170" s="125"/>
      <c r="IOL170" s="125"/>
      <c r="IOM170" s="125"/>
      <c r="ION170" s="125"/>
      <c r="IOO170" s="125"/>
      <c r="IOP170" s="125"/>
      <c r="IOQ170" s="125"/>
      <c r="IOR170" s="125"/>
      <c r="IOS170" s="125"/>
      <c r="IOT170" s="125"/>
      <c r="IOU170" s="125"/>
      <c r="IOV170" s="125"/>
      <c r="IOW170" s="125"/>
      <c r="IOX170" s="125"/>
      <c r="IOY170" s="125"/>
      <c r="IOZ170" s="125"/>
      <c r="IPA170" s="125"/>
      <c r="IPB170" s="125"/>
      <c r="IPC170" s="125"/>
      <c r="IPD170" s="125"/>
      <c r="IPE170" s="125"/>
      <c r="IPF170" s="125"/>
      <c r="IPG170" s="125"/>
      <c r="IPH170" s="125"/>
      <c r="IPI170" s="125"/>
      <c r="IPJ170" s="125"/>
      <c r="IPK170" s="125"/>
      <c r="IPL170" s="125"/>
      <c r="IPM170" s="125"/>
      <c r="IPN170" s="125"/>
      <c r="IPO170" s="125"/>
      <c r="IPP170" s="125"/>
      <c r="IPQ170" s="125"/>
      <c r="IPR170" s="125"/>
      <c r="IPS170" s="125"/>
      <c r="IPT170" s="125"/>
      <c r="IPU170" s="125"/>
      <c r="IPV170" s="125"/>
      <c r="IPW170" s="125"/>
      <c r="IPX170" s="125"/>
      <c r="IPY170" s="125"/>
      <c r="IPZ170" s="125"/>
      <c r="IQA170" s="125"/>
      <c r="IQB170" s="125"/>
      <c r="IQC170" s="125"/>
      <c r="IQD170" s="125"/>
      <c r="IQE170" s="125"/>
      <c r="IQF170" s="125"/>
      <c r="IQG170" s="125"/>
      <c r="IQH170" s="125"/>
      <c r="IQI170" s="125"/>
      <c r="IQJ170" s="125"/>
      <c r="IQK170" s="125"/>
      <c r="IQL170" s="125"/>
      <c r="IQM170" s="125"/>
      <c r="IQN170" s="125"/>
      <c r="IQO170" s="125"/>
      <c r="IQP170" s="125"/>
      <c r="IQQ170" s="125"/>
      <c r="IQR170" s="125"/>
      <c r="IQS170" s="125"/>
      <c r="IQT170" s="125"/>
      <c r="IQU170" s="125"/>
      <c r="IQV170" s="125"/>
      <c r="IQW170" s="125"/>
      <c r="IQX170" s="125"/>
      <c r="IQY170" s="125"/>
      <c r="IQZ170" s="125"/>
      <c r="IRA170" s="125"/>
      <c r="IRB170" s="125"/>
      <c r="IRC170" s="125"/>
      <c r="IRD170" s="125"/>
      <c r="IRE170" s="125"/>
      <c r="IRF170" s="125"/>
      <c r="IRG170" s="125"/>
      <c r="IRH170" s="125"/>
      <c r="IRI170" s="125"/>
      <c r="IRJ170" s="125"/>
      <c r="IRK170" s="125"/>
      <c r="IRL170" s="125"/>
      <c r="IRM170" s="125"/>
      <c r="IRN170" s="125"/>
      <c r="IRO170" s="125"/>
      <c r="IRP170" s="125"/>
      <c r="IRQ170" s="125"/>
      <c r="IRR170" s="125"/>
      <c r="IRS170" s="125"/>
      <c r="IRT170" s="125"/>
      <c r="IRU170" s="125"/>
      <c r="IRV170" s="125"/>
      <c r="IRW170" s="125"/>
      <c r="IRX170" s="125"/>
      <c r="IRY170" s="125"/>
      <c r="IRZ170" s="125"/>
      <c r="ISA170" s="125"/>
      <c r="ISB170" s="125"/>
      <c r="ISC170" s="125"/>
      <c r="ISD170" s="125"/>
      <c r="ISE170" s="125"/>
      <c r="ISF170" s="125"/>
      <c r="ISG170" s="125"/>
      <c r="ISH170" s="125"/>
      <c r="ISI170" s="125"/>
      <c r="ISJ170" s="125"/>
      <c r="ISK170" s="125"/>
      <c r="ISL170" s="125"/>
      <c r="ISM170" s="125"/>
      <c r="ISN170" s="125"/>
      <c r="ISO170" s="125"/>
      <c r="ISP170" s="125"/>
      <c r="ISQ170" s="125"/>
      <c r="ISR170" s="125"/>
      <c r="ISS170" s="125"/>
      <c r="IST170" s="125"/>
      <c r="ISU170" s="125"/>
      <c r="ISV170" s="125"/>
      <c r="ISW170" s="125"/>
      <c r="ISX170" s="125"/>
      <c r="ISY170" s="125"/>
      <c r="ISZ170" s="125"/>
      <c r="ITA170" s="125"/>
      <c r="ITB170" s="125"/>
      <c r="ITC170" s="125"/>
      <c r="ITD170" s="125"/>
      <c r="ITE170" s="125"/>
      <c r="ITF170" s="125"/>
      <c r="ITG170" s="125"/>
      <c r="ITH170" s="125"/>
      <c r="ITI170" s="125"/>
      <c r="ITJ170" s="125"/>
      <c r="ITK170" s="125"/>
      <c r="ITL170" s="125"/>
      <c r="ITM170" s="125"/>
      <c r="ITN170" s="125"/>
      <c r="ITO170" s="125"/>
      <c r="ITP170" s="125"/>
      <c r="ITQ170" s="125"/>
      <c r="ITR170" s="125"/>
      <c r="ITS170" s="125"/>
      <c r="ITT170" s="125"/>
      <c r="ITU170" s="125"/>
      <c r="ITV170" s="125"/>
      <c r="ITW170" s="125"/>
      <c r="ITX170" s="125"/>
      <c r="ITY170" s="125"/>
      <c r="ITZ170" s="125"/>
      <c r="IUA170" s="125"/>
      <c r="IUB170" s="125"/>
      <c r="IUC170" s="125"/>
      <c r="IUD170" s="125"/>
      <c r="IUE170" s="125"/>
      <c r="IUF170" s="125"/>
      <c r="IUG170" s="125"/>
      <c r="IUH170" s="125"/>
      <c r="IUI170" s="125"/>
      <c r="IUJ170" s="125"/>
      <c r="IUK170" s="125"/>
      <c r="IUL170" s="125"/>
      <c r="IUM170" s="125"/>
      <c r="IUN170" s="125"/>
      <c r="IUO170" s="125"/>
      <c r="IUP170" s="125"/>
      <c r="IUQ170" s="125"/>
      <c r="IUR170" s="125"/>
      <c r="IUS170" s="125"/>
      <c r="IUT170" s="125"/>
      <c r="IUU170" s="125"/>
      <c r="IUV170" s="125"/>
      <c r="IUW170" s="125"/>
      <c r="IUX170" s="125"/>
      <c r="IUY170" s="125"/>
      <c r="IUZ170" s="125"/>
      <c r="IVA170" s="125"/>
      <c r="IVB170" s="125"/>
      <c r="IVC170" s="125"/>
      <c r="IVD170" s="125"/>
      <c r="IVE170" s="125"/>
      <c r="IVF170" s="125"/>
      <c r="IVG170" s="125"/>
      <c r="IVH170" s="125"/>
      <c r="IVI170" s="125"/>
      <c r="IVJ170" s="125"/>
      <c r="IVK170" s="125"/>
      <c r="IVL170" s="125"/>
      <c r="IVM170" s="125"/>
      <c r="IVN170" s="125"/>
      <c r="IVO170" s="125"/>
      <c r="IVP170" s="125"/>
      <c r="IVQ170" s="125"/>
      <c r="IVR170" s="125"/>
      <c r="IVS170" s="125"/>
      <c r="IVT170" s="125"/>
      <c r="IVU170" s="125"/>
      <c r="IVV170" s="125"/>
      <c r="IVW170" s="125"/>
      <c r="IVX170" s="125"/>
      <c r="IVY170" s="125"/>
      <c r="IVZ170" s="125"/>
      <c r="IWA170" s="125"/>
      <c r="IWB170" s="125"/>
      <c r="IWC170" s="125"/>
      <c r="IWD170" s="125"/>
      <c r="IWE170" s="125"/>
      <c r="IWF170" s="125"/>
      <c r="IWG170" s="125"/>
      <c r="IWH170" s="125"/>
      <c r="IWI170" s="125"/>
      <c r="IWJ170" s="125"/>
      <c r="IWK170" s="125"/>
      <c r="IWL170" s="125"/>
      <c r="IWM170" s="125"/>
      <c r="IWN170" s="125"/>
      <c r="IWO170" s="125"/>
      <c r="IWP170" s="125"/>
      <c r="IWQ170" s="125"/>
      <c r="IWR170" s="125"/>
      <c r="IWS170" s="125"/>
      <c r="IWT170" s="125"/>
      <c r="IWU170" s="125"/>
      <c r="IWV170" s="125"/>
      <c r="IWW170" s="125"/>
      <c r="IWX170" s="125"/>
      <c r="IWY170" s="125"/>
      <c r="IWZ170" s="125"/>
      <c r="IXA170" s="125"/>
      <c r="IXB170" s="125"/>
      <c r="IXC170" s="125"/>
      <c r="IXD170" s="125"/>
      <c r="IXE170" s="125"/>
      <c r="IXF170" s="125"/>
      <c r="IXG170" s="125"/>
      <c r="IXH170" s="125"/>
      <c r="IXI170" s="125"/>
      <c r="IXJ170" s="125"/>
      <c r="IXK170" s="125"/>
      <c r="IXL170" s="125"/>
      <c r="IXM170" s="125"/>
      <c r="IXN170" s="125"/>
      <c r="IXO170" s="125"/>
      <c r="IXP170" s="125"/>
      <c r="IXQ170" s="125"/>
      <c r="IXR170" s="125"/>
      <c r="IXS170" s="125"/>
      <c r="IXT170" s="125"/>
      <c r="IXU170" s="125"/>
      <c r="IXV170" s="125"/>
      <c r="IXW170" s="125"/>
      <c r="IXX170" s="125"/>
      <c r="IXY170" s="125"/>
      <c r="IXZ170" s="125"/>
      <c r="IYA170" s="125"/>
      <c r="IYB170" s="125"/>
      <c r="IYC170" s="125"/>
      <c r="IYD170" s="125"/>
      <c r="IYE170" s="125"/>
      <c r="IYF170" s="125"/>
      <c r="IYG170" s="125"/>
      <c r="IYH170" s="125"/>
      <c r="IYI170" s="125"/>
      <c r="IYJ170" s="125"/>
      <c r="IYK170" s="125"/>
      <c r="IYL170" s="125"/>
      <c r="IYM170" s="125"/>
      <c r="IYN170" s="125"/>
      <c r="IYO170" s="125"/>
      <c r="IYP170" s="125"/>
      <c r="IYQ170" s="125"/>
      <c r="IYR170" s="125"/>
      <c r="IYS170" s="125"/>
      <c r="IYT170" s="125"/>
      <c r="IYU170" s="125"/>
      <c r="IYV170" s="125"/>
      <c r="IYW170" s="125"/>
      <c r="IYX170" s="125"/>
      <c r="IYY170" s="125"/>
      <c r="IYZ170" s="125"/>
      <c r="IZA170" s="125"/>
      <c r="IZB170" s="125"/>
      <c r="IZC170" s="125"/>
      <c r="IZD170" s="125"/>
      <c r="IZE170" s="125"/>
      <c r="IZF170" s="125"/>
      <c r="IZG170" s="125"/>
      <c r="IZH170" s="125"/>
      <c r="IZI170" s="125"/>
      <c r="IZJ170" s="125"/>
      <c r="IZK170" s="125"/>
      <c r="IZL170" s="125"/>
      <c r="IZM170" s="125"/>
      <c r="IZN170" s="125"/>
      <c r="IZO170" s="125"/>
      <c r="IZP170" s="125"/>
      <c r="IZQ170" s="125"/>
      <c r="IZR170" s="125"/>
      <c r="IZS170" s="125"/>
      <c r="IZT170" s="125"/>
      <c r="IZU170" s="125"/>
      <c r="IZV170" s="125"/>
      <c r="IZW170" s="125"/>
      <c r="IZX170" s="125"/>
      <c r="IZY170" s="125"/>
      <c r="IZZ170" s="125"/>
      <c r="JAA170" s="125"/>
      <c r="JAB170" s="125"/>
      <c r="JAC170" s="125"/>
      <c r="JAD170" s="125"/>
      <c r="JAE170" s="125"/>
      <c r="JAF170" s="125"/>
      <c r="JAG170" s="125"/>
      <c r="JAH170" s="125"/>
      <c r="JAI170" s="125"/>
      <c r="JAJ170" s="125"/>
      <c r="JAK170" s="125"/>
      <c r="JAL170" s="125"/>
      <c r="JAM170" s="125"/>
      <c r="JAN170" s="125"/>
      <c r="JAO170" s="125"/>
      <c r="JAP170" s="125"/>
      <c r="JAQ170" s="125"/>
      <c r="JAR170" s="125"/>
      <c r="JAS170" s="125"/>
      <c r="JAT170" s="125"/>
      <c r="JAU170" s="125"/>
      <c r="JAV170" s="125"/>
      <c r="JAW170" s="125"/>
      <c r="JAX170" s="125"/>
      <c r="JAY170" s="125"/>
      <c r="JAZ170" s="125"/>
      <c r="JBA170" s="125"/>
      <c r="JBB170" s="125"/>
      <c r="JBC170" s="125"/>
      <c r="JBD170" s="125"/>
      <c r="JBE170" s="125"/>
      <c r="JBF170" s="125"/>
      <c r="JBG170" s="125"/>
      <c r="JBH170" s="125"/>
      <c r="JBI170" s="125"/>
      <c r="JBJ170" s="125"/>
      <c r="JBK170" s="125"/>
      <c r="JBL170" s="125"/>
      <c r="JBM170" s="125"/>
      <c r="JBN170" s="125"/>
      <c r="JBO170" s="125"/>
      <c r="JBP170" s="125"/>
      <c r="JBQ170" s="125"/>
      <c r="JBR170" s="125"/>
      <c r="JBS170" s="125"/>
      <c r="JBT170" s="125"/>
      <c r="JBU170" s="125"/>
      <c r="JBV170" s="125"/>
      <c r="JBW170" s="125"/>
      <c r="JBX170" s="125"/>
      <c r="JBY170" s="125"/>
      <c r="JBZ170" s="125"/>
      <c r="JCA170" s="125"/>
      <c r="JCB170" s="125"/>
      <c r="JCC170" s="125"/>
      <c r="JCD170" s="125"/>
      <c r="JCE170" s="125"/>
      <c r="JCF170" s="125"/>
      <c r="JCG170" s="125"/>
      <c r="JCH170" s="125"/>
      <c r="JCI170" s="125"/>
      <c r="JCJ170" s="125"/>
      <c r="JCK170" s="125"/>
      <c r="JCL170" s="125"/>
      <c r="JCM170" s="125"/>
      <c r="JCN170" s="125"/>
      <c r="JCO170" s="125"/>
      <c r="JCP170" s="125"/>
      <c r="JCQ170" s="125"/>
      <c r="JCR170" s="125"/>
      <c r="JCS170" s="125"/>
      <c r="JCT170" s="125"/>
      <c r="JCU170" s="125"/>
      <c r="JCV170" s="125"/>
      <c r="JCW170" s="125"/>
      <c r="JCX170" s="125"/>
      <c r="JCY170" s="125"/>
      <c r="JCZ170" s="125"/>
      <c r="JDA170" s="125"/>
      <c r="JDB170" s="125"/>
      <c r="JDC170" s="125"/>
      <c r="JDD170" s="125"/>
      <c r="JDE170" s="125"/>
      <c r="JDF170" s="125"/>
      <c r="JDG170" s="125"/>
      <c r="JDH170" s="125"/>
      <c r="JDI170" s="125"/>
      <c r="JDJ170" s="125"/>
      <c r="JDK170" s="125"/>
      <c r="JDL170" s="125"/>
      <c r="JDM170" s="125"/>
      <c r="JDN170" s="125"/>
      <c r="JDO170" s="125"/>
      <c r="JDP170" s="125"/>
      <c r="JDQ170" s="125"/>
      <c r="JDR170" s="125"/>
      <c r="JDS170" s="125"/>
      <c r="JDT170" s="125"/>
      <c r="JDU170" s="125"/>
      <c r="JDV170" s="125"/>
      <c r="JDW170" s="125"/>
      <c r="JDX170" s="125"/>
      <c r="JDY170" s="125"/>
      <c r="JDZ170" s="125"/>
      <c r="JEA170" s="125"/>
      <c r="JEB170" s="125"/>
      <c r="JEC170" s="125"/>
      <c r="JED170" s="125"/>
      <c r="JEE170" s="125"/>
      <c r="JEF170" s="125"/>
      <c r="JEG170" s="125"/>
      <c r="JEH170" s="125"/>
      <c r="JEI170" s="125"/>
      <c r="JEJ170" s="125"/>
      <c r="JEK170" s="125"/>
      <c r="JEL170" s="125"/>
      <c r="JEM170" s="125"/>
      <c r="JEN170" s="125"/>
      <c r="JEO170" s="125"/>
      <c r="JEP170" s="125"/>
      <c r="JEQ170" s="125"/>
      <c r="JER170" s="125"/>
      <c r="JES170" s="125"/>
      <c r="JET170" s="125"/>
      <c r="JEU170" s="125"/>
      <c r="JEV170" s="125"/>
      <c r="JEW170" s="125"/>
      <c r="JEX170" s="125"/>
      <c r="JEY170" s="125"/>
      <c r="JEZ170" s="125"/>
      <c r="JFA170" s="125"/>
      <c r="JFB170" s="125"/>
      <c r="JFC170" s="125"/>
      <c r="JFD170" s="125"/>
      <c r="JFE170" s="125"/>
      <c r="JFF170" s="125"/>
      <c r="JFG170" s="125"/>
      <c r="JFH170" s="125"/>
      <c r="JFI170" s="125"/>
      <c r="JFJ170" s="125"/>
      <c r="JFK170" s="125"/>
      <c r="JFL170" s="125"/>
      <c r="JFM170" s="125"/>
      <c r="JFN170" s="125"/>
      <c r="JFO170" s="125"/>
      <c r="JFP170" s="125"/>
      <c r="JFQ170" s="125"/>
      <c r="JFR170" s="125"/>
      <c r="JFS170" s="125"/>
      <c r="JFT170" s="125"/>
      <c r="JFU170" s="125"/>
      <c r="JFV170" s="125"/>
      <c r="JFW170" s="125"/>
      <c r="JFX170" s="125"/>
      <c r="JFY170" s="125"/>
      <c r="JFZ170" s="125"/>
      <c r="JGA170" s="125"/>
      <c r="JGB170" s="125"/>
      <c r="JGC170" s="125"/>
      <c r="JGD170" s="125"/>
      <c r="JGE170" s="125"/>
      <c r="JGF170" s="125"/>
      <c r="JGG170" s="125"/>
      <c r="JGH170" s="125"/>
      <c r="JGI170" s="125"/>
      <c r="JGJ170" s="125"/>
      <c r="JGK170" s="125"/>
      <c r="JGL170" s="125"/>
      <c r="JGM170" s="125"/>
      <c r="JGN170" s="125"/>
      <c r="JGO170" s="125"/>
      <c r="JGP170" s="125"/>
      <c r="JGQ170" s="125"/>
      <c r="JGR170" s="125"/>
      <c r="JGS170" s="125"/>
      <c r="JGT170" s="125"/>
      <c r="JGU170" s="125"/>
      <c r="JGV170" s="125"/>
      <c r="JGW170" s="125"/>
      <c r="JGX170" s="125"/>
      <c r="JGY170" s="125"/>
      <c r="JGZ170" s="125"/>
      <c r="JHA170" s="125"/>
      <c r="JHB170" s="125"/>
      <c r="JHC170" s="125"/>
      <c r="JHD170" s="125"/>
      <c r="JHE170" s="125"/>
      <c r="JHF170" s="125"/>
      <c r="JHG170" s="125"/>
      <c r="JHH170" s="125"/>
      <c r="JHI170" s="125"/>
      <c r="JHJ170" s="125"/>
      <c r="JHK170" s="125"/>
      <c r="JHL170" s="125"/>
      <c r="JHM170" s="125"/>
      <c r="JHN170" s="125"/>
      <c r="JHO170" s="125"/>
      <c r="JHP170" s="125"/>
      <c r="JHQ170" s="125"/>
      <c r="JHR170" s="125"/>
      <c r="JHS170" s="125"/>
      <c r="JHT170" s="125"/>
      <c r="JHU170" s="125"/>
      <c r="JHV170" s="125"/>
      <c r="JHW170" s="125"/>
      <c r="JHX170" s="125"/>
      <c r="JHY170" s="125"/>
      <c r="JHZ170" s="125"/>
      <c r="JIA170" s="125"/>
      <c r="JIB170" s="125"/>
      <c r="JIC170" s="125"/>
      <c r="JID170" s="125"/>
      <c r="JIE170" s="125"/>
      <c r="JIF170" s="125"/>
      <c r="JIG170" s="125"/>
      <c r="JIH170" s="125"/>
      <c r="JII170" s="125"/>
      <c r="JIJ170" s="125"/>
      <c r="JIK170" s="125"/>
      <c r="JIL170" s="125"/>
      <c r="JIM170" s="125"/>
      <c r="JIN170" s="125"/>
      <c r="JIO170" s="125"/>
      <c r="JIP170" s="125"/>
      <c r="JIQ170" s="125"/>
      <c r="JIR170" s="125"/>
      <c r="JIS170" s="125"/>
      <c r="JIT170" s="125"/>
      <c r="JIU170" s="125"/>
      <c r="JIV170" s="125"/>
      <c r="JIW170" s="125"/>
      <c r="JIX170" s="125"/>
      <c r="JIY170" s="125"/>
      <c r="JIZ170" s="125"/>
      <c r="JJA170" s="125"/>
      <c r="JJB170" s="125"/>
      <c r="JJC170" s="125"/>
      <c r="JJD170" s="125"/>
      <c r="JJE170" s="125"/>
      <c r="JJF170" s="125"/>
      <c r="JJG170" s="125"/>
      <c r="JJH170" s="125"/>
      <c r="JJI170" s="125"/>
      <c r="JJJ170" s="125"/>
      <c r="JJK170" s="125"/>
      <c r="JJL170" s="125"/>
      <c r="JJM170" s="125"/>
      <c r="JJN170" s="125"/>
      <c r="JJO170" s="125"/>
      <c r="JJP170" s="125"/>
      <c r="JJQ170" s="125"/>
      <c r="JJR170" s="125"/>
      <c r="JJS170" s="125"/>
      <c r="JJT170" s="125"/>
      <c r="JJU170" s="125"/>
      <c r="JJV170" s="125"/>
      <c r="JJW170" s="125"/>
      <c r="JJX170" s="125"/>
      <c r="JJY170" s="125"/>
      <c r="JJZ170" s="125"/>
      <c r="JKA170" s="125"/>
      <c r="JKB170" s="125"/>
      <c r="JKC170" s="125"/>
      <c r="JKD170" s="125"/>
      <c r="JKE170" s="125"/>
      <c r="JKF170" s="125"/>
      <c r="JKG170" s="125"/>
      <c r="JKH170" s="125"/>
      <c r="JKI170" s="125"/>
      <c r="JKJ170" s="125"/>
      <c r="JKK170" s="125"/>
      <c r="JKL170" s="125"/>
      <c r="JKM170" s="125"/>
      <c r="JKN170" s="125"/>
      <c r="JKO170" s="125"/>
      <c r="JKP170" s="125"/>
      <c r="JKQ170" s="125"/>
      <c r="JKR170" s="125"/>
      <c r="JKS170" s="125"/>
      <c r="JKT170" s="125"/>
      <c r="JKU170" s="125"/>
      <c r="JKV170" s="125"/>
      <c r="JKW170" s="125"/>
      <c r="JKX170" s="125"/>
      <c r="JKY170" s="125"/>
      <c r="JKZ170" s="125"/>
      <c r="JLA170" s="125"/>
      <c r="JLB170" s="125"/>
      <c r="JLC170" s="125"/>
      <c r="JLD170" s="125"/>
      <c r="JLE170" s="125"/>
      <c r="JLF170" s="125"/>
      <c r="JLG170" s="125"/>
      <c r="JLH170" s="125"/>
      <c r="JLI170" s="125"/>
      <c r="JLJ170" s="125"/>
      <c r="JLK170" s="125"/>
      <c r="JLL170" s="125"/>
      <c r="JLM170" s="125"/>
      <c r="JLN170" s="125"/>
      <c r="JLO170" s="125"/>
      <c r="JLP170" s="125"/>
      <c r="JLQ170" s="125"/>
      <c r="JLR170" s="125"/>
      <c r="JLS170" s="125"/>
      <c r="JLT170" s="125"/>
      <c r="JLU170" s="125"/>
      <c r="JLV170" s="125"/>
      <c r="JLW170" s="125"/>
      <c r="JLX170" s="125"/>
      <c r="JLY170" s="125"/>
      <c r="JLZ170" s="125"/>
      <c r="JMA170" s="125"/>
      <c r="JMB170" s="125"/>
      <c r="JMC170" s="125"/>
      <c r="JMD170" s="125"/>
      <c r="JME170" s="125"/>
      <c r="JMF170" s="125"/>
      <c r="JMG170" s="125"/>
      <c r="JMH170" s="125"/>
      <c r="JMI170" s="125"/>
      <c r="JMJ170" s="125"/>
      <c r="JMK170" s="125"/>
      <c r="JML170" s="125"/>
      <c r="JMM170" s="125"/>
      <c r="JMN170" s="125"/>
      <c r="JMO170" s="125"/>
      <c r="JMP170" s="125"/>
      <c r="JMQ170" s="125"/>
      <c r="JMR170" s="125"/>
      <c r="JMS170" s="125"/>
      <c r="JMT170" s="125"/>
      <c r="JMU170" s="125"/>
      <c r="JMV170" s="125"/>
      <c r="JMW170" s="125"/>
      <c r="JMX170" s="125"/>
      <c r="JMY170" s="125"/>
      <c r="JMZ170" s="125"/>
      <c r="JNA170" s="125"/>
      <c r="JNB170" s="125"/>
      <c r="JNC170" s="125"/>
      <c r="JND170" s="125"/>
      <c r="JNE170" s="125"/>
      <c r="JNF170" s="125"/>
      <c r="JNG170" s="125"/>
      <c r="JNH170" s="125"/>
      <c r="JNI170" s="125"/>
      <c r="JNJ170" s="125"/>
      <c r="JNK170" s="125"/>
      <c r="JNL170" s="125"/>
      <c r="JNM170" s="125"/>
      <c r="JNN170" s="125"/>
      <c r="JNO170" s="125"/>
      <c r="JNP170" s="125"/>
      <c r="JNQ170" s="125"/>
      <c r="JNR170" s="125"/>
      <c r="JNS170" s="125"/>
      <c r="JNT170" s="125"/>
      <c r="JNU170" s="125"/>
      <c r="JNV170" s="125"/>
      <c r="JNW170" s="125"/>
      <c r="JNX170" s="125"/>
      <c r="JNY170" s="125"/>
      <c r="JNZ170" s="125"/>
      <c r="JOA170" s="125"/>
      <c r="JOB170" s="125"/>
      <c r="JOC170" s="125"/>
      <c r="JOD170" s="125"/>
      <c r="JOE170" s="125"/>
      <c r="JOF170" s="125"/>
      <c r="JOG170" s="125"/>
      <c r="JOH170" s="125"/>
      <c r="JOI170" s="125"/>
      <c r="JOJ170" s="125"/>
      <c r="JOK170" s="125"/>
      <c r="JOL170" s="125"/>
      <c r="JOM170" s="125"/>
      <c r="JON170" s="125"/>
      <c r="JOO170" s="125"/>
      <c r="JOP170" s="125"/>
      <c r="JOQ170" s="125"/>
      <c r="JOR170" s="125"/>
      <c r="JOS170" s="125"/>
      <c r="JOT170" s="125"/>
      <c r="JOU170" s="125"/>
      <c r="JOV170" s="125"/>
      <c r="JOW170" s="125"/>
      <c r="JOX170" s="125"/>
      <c r="JOY170" s="125"/>
      <c r="JOZ170" s="125"/>
      <c r="JPA170" s="125"/>
      <c r="JPB170" s="125"/>
      <c r="JPC170" s="125"/>
      <c r="JPD170" s="125"/>
      <c r="JPE170" s="125"/>
      <c r="JPF170" s="125"/>
      <c r="JPG170" s="125"/>
      <c r="JPH170" s="125"/>
      <c r="JPI170" s="125"/>
      <c r="JPJ170" s="125"/>
      <c r="JPK170" s="125"/>
      <c r="JPL170" s="125"/>
      <c r="JPM170" s="125"/>
      <c r="JPN170" s="125"/>
      <c r="JPO170" s="125"/>
      <c r="JPP170" s="125"/>
      <c r="JPQ170" s="125"/>
      <c r="JPR170" s="125"/>
      <c r="JPS170" s="125"/>
      <c r="JPT170" s="125"/>
      <c r="JPU170" s="125"/>
      <c r="JPV170" s="125"/>
      <c r="JPW170" s="125"/>
      <c r="JPX170" s="125"/>
      <c r="JPY170" s="125"/>
      <c r="JPZ170" s="125"/>
      <c r="JQA170" s="125"/>
      <c r="JQB170" s="125"/>
      <c r="JQC170" s="125"/>
      <c r="JQD170" s="125"/>
      <c r="JQE170" s="125"/>
      <c r="JQF170" s="125"/>
      <c r="JQG170" s="125"/>
      <c r="JQH170" s="125"/>
      <c r="JQI170" s="125"/>
      <c r="JQJ170" s="125"/>
      <c r="JQK170" s="125"/>
      <c r="JQL170" s="125"/>
      <c r="JQM170" s="125"/>
      <c r="JQN170" s="125"/>
      <c r="JQO170" s="125"/>
      <c r="JQP170" s="125"/>
      <c r="JQQ170" s="125"/>
      <c r="JQR170" s="125"/>
      <c r="JQS170" s="125"/>
      <c r="JQT170" s="125"/>
      <c r="JQU170" s="125"/>
      <c r="JQV170" s="125"/>
      <c r="JQW170" s="125"/>
      <c r="JQX170" s="125"/>
      <c r="JQY170" s="125"/>
      <c r="JQZ170" s="125"/>
      <c r="JRA170" s="125"/>
      <c r="JRB170" s="125"/>
      <c r="JRC170" s="125"/>
      <c r="JRD170" s="125"/>
      <c r="JRE170" s="125"/>
      <c r="JRF170" s="125"/>
      <c r="JRG170" s="125"/>
      <c r="JRH170" s="125"/>
      <c r="JRI170" s="125"/>
      <c r="JRJ170" s="125"/>
      <c r="JRK170" s="125"/>
      <c r="JRL170" s="125"/>
      <c r="JRM170" s="125"/>
      <c r="JRN170" s="125"/>
      <c r="JRO170" s="125"/>
      <c r="JRP170" s="125"/>
      <c r="JRQ170" s="125"/>
      <c r="JRR170" s="125"/>
      <c r="JRS170" s="125"/>
      <c r="JRT170" s="125"/>
      <c r="JRU170" s="125"/>
      <c r="JRV170" s="125"/>
      <c r="JRW170" s="125"/>
      <c r="JRX170" s="125"/>
      <c r="JRY170" s="125"/>
      <c r="JRZ170" s="125"/>
      <c r="JSA170" s="125"/>
      <c r="JSB170" s="125"/>
      <c r="JSC170" s="125"/>
      <c r="JSD170" s="125"/>
      <c r="JSE170" s="125"/>
      <c r="JSF170" s="125"/>
      <c r="JSG170" s="125"/>
      <c r="JSH170" s="125"/>
      <c r="JSI170" s="125"/>
      <c r="JSJ170" s="125"/>
      <c r="JSK170" s="125"/>
      <c r="JSL170" s="125"/>
      <c r="JSM170" s="125"/>
      <c r="JSN170" s="125"/>
      <c r="JSO170" s="125"/>
      <c r="JSP170" s="125"/>
      <c r="JSQ170" s="125"/>
      <c r="JSR170" s="125"/>
      <c r="JSS170" s="125"/>
      <c r="JST170" s="125"/>
      <c r="JSU170" s="125"/>
      <c r="JSV170" s="125"/>
      <c r="JSW170" s="125"/>
      <c r="JSX170" s="125"/>
      <c r="JSY170" s="125"/>
      <c r="JSZ170" s="125"/>
      <c r="JTA170" s="125"/>
      <c r="JTB170" s="125"/>
      <c r="JTC170" s="125"/>
      <c r="JTD170" s="125"/>
      <c r="JTE170" s="125"/>
      <c r="JTF170" s="125"/>
      <c r="JTG170" s="125"/>
      <c r="JTH170" s="125"/>
      <c r="JTI170" s="125"/>
      <c r="JTJ170" s="125"/>
      <c r="JTK170" s="125"/>
      <c r="JTL170" s="125"/>
      <c r="JTM170" s="125"/>
      <c r="JTN170" s="125"/>
      <c r="JTO170" s="125"/>
      <c r="JTP170" s="125"/>
      <c r="JTQ170" s="125"/>
      <c r="JTR170" s="125"/>
      <c r="JTS170" s="125"/>
      <c r="JTT170" s="125"/>
      <c r="JTU170" s="125"/>
      <c r="JTV170" s="125"/>
      <c r="JTW170" s="125"/>
      <c r="JTX170" s="125"/>
      <c r="JTY170" s="125"/>
      <c r="JTZ170" s="125"/>
      <c r="JUA170" s="125"/>
      <c r="JUB170" s="125"/>
      <c r="JUC170" s="125"/>
      <c r="JUD170" s="125"/>
      <c r="JUE170" s="125"/>
      <c r="JUF170" s="125"/>
      <c r="JUG170" s="125"/>
      <c r="JUH170" s="125"/>
      <c r="JUI170" s="125"/>
      <c r="JUJ170" s="125"/>
      <c r="JUK170" s="125"/>
      <c r="JUL170" s="125"/>
      <c r="JUM170" s="125"/>
      <c r="JUN170" s="125"/>
      <c r="JUO170" s="125"/>
      <c r="JUP170" s="125"/>
      <c r="JUQ170" s="125"/>
      <c r="JUR170" s="125"/>
      <c r="JUS170" s="125"/>
      <c r="JUT170" s="125"/>
      <c r="JUU170" s="125"/>
      <c r="JUV170" s="125"/>
      <c r="JUW170" s="125"/>
      <c r="JUX170" s="125"/>
      <c r="JUY170" s="125"/>
      <c r="JUZ170" s="125"/>
      <c r="JVA170" s="125"/>
      <c r="JVB170" s="125"/>
      <c r="JVC170" s="125"/>
      <c r="JVD170" s="125"/>
      <c r="JVE170" s="125"/>
      <c r="JVF170" s="125"/>
      <c r="JVG170" s="125"/>
      <c r="JVH170" s="125"/>
      <c r="JVI170" s="125"/>
      <c r="JVJ170" s="125"/>
      <c r="JVK170" s="125"/>
      <c r="JVL170" s="125"/>
      <c r="JVM170" s="125"/>
      <c r="JVN170" s="125"/>
      <c r="JVO170" s="125"/>
      <c r="JVP170" s="125"/>
      <c r="JVQ170" s="125"/>
      <c r="JVR170" s="125"/>
      <c r="JVS170" s="125"/>
      <c r="JVT170" s="125"/>
      <c r="JVU170" s="125"/>
      <c r="JVV170" s="125"/>
      <c r="JVW170" s="125"/>
      <c r="JVX170" s="125"/>
      <c r="JVY170" s="125"/>
      <c r="JVZ170" s="125"/>
      <c r="JWA170" s="125"/>
      <c r="JWB170" s="125"/>
      <c r="JWC170" s="125"/>
      <c r="JWD170" s="125"/>
      <c r="JWE170" s="125"/>
      <c r="JWF170" s="125"/>
      <c r="JWG170" s="125"/>
      <c r="JWH170" s="125"/>
      <c r="JWI170" s="125"/>
      <c r="JWJ170" s="125"/>
      <c r="JWK170" s="125"/>
      <c r="JWL170" s="125"/>
      <c r="JWM170" s="125"/>
      <c r="JWN170" s="125"/>
      <c r="JWO170" s="125"/>
      <c r="JWP170" s="125"/>
      <c r="JWQ170" s="125"/>
      <c r="JWR170" s="125"/>
      <c r="JWS170" s="125"/>
      <c r="JWT170" s="125"/>
      <c r="JWU170" s="125"/>
      <c r="JWV170" s="125"/>
      <c r="JWW170" s="125"/>
      <c r="JWX170" s="125"/>
      <c r="JWY170" s="125"/>
      <c r="JWZ170" s="125"/>
      <c r="JXA170" s="125"/>
      <c r="JXB170" s="125"/>
      <c r="JXC170" s="125"/>
      <c r="JXD170" s="125"/>
      <c r="JXE170" s="125"/>
      <c r="JXF170" s="125"/>
      <c r="JXG170" s="125"/>
      <c r="JXH170" s="125"/>
      <c r="JXI170" s="125"/>
      <c r="JXJ170" s="125"/>
      <c r="JXK170" s="125"/>
      <c r="JXL170" s="125"/>
      <c r="JXM170" s="125"/>
      <c r="JXN170" s="125"/>
      <c r="JXO170" s="125"/>
      <c r="JXP170" s="125"/>
      <c r="JXQ170" s="125"/>
      <c r="JXR170" s="125"/>
      <c r="JXS170" s="125"/>
      <c r="JXT170" s="125"/>
      <c r="JXU170" s="125"/>
      <c r="JXV170" s="125"/>
      <c r="JXW170" s="125"/>
      <c r="JXX170" s="125"/>
      <c r="JXY170" s="125"/>
      <c r="JXZ170" s="125"/>
      <c r="JYA170" s="125"/>
      <c r="JYB170" s="125"/>
      <c r="JYC170" s="125"/>
      <c r="JYD170" s="125"/>
      <c r="JYE170" s="125"/>
      <c r="JYF170" s="125"/>
      <c r="JYG170" s="125"/>
      <c r="JYH170" s="125"/>
      <c r="JYI170" s="125"/>
      <c r="JYJ170" s="125"/>
      <c r="JYK170" s="125"/>
      <c r="JYL170" s="125"/>
      <c r="JYM170" s="125"/>
      <c r="JYN170" s="125"/>
      <c r="JYO170" s="125"/>
      <c r="JYP170" s="125"/>
      <c r="JYQ170" s="125"/>
      <c r="JYR170" s="125"/>
      <c r="JYS170" s="125"/>
      <c r="JYT170" s="125"/>
      <c r="JYU170" s="125"/>
      <c r="JYV170" s="125"/>
      <c r="JYW170" s="125"/>
      <c r="JYX170" s="125"/>
      <c r="JYY170" s="125"/>
      <c r="JYZ170" s="125"/>
      <c r="JZA170" s="125"/>
      <c r="JZB170" s="125"/>
      <c r="JZC170" s="125"/>
      <c r="JZD170" s="125"/>
      <c r="JZE170" s="125"/>
      <c r="JZF170" s="125"/>
      <c r="JZG170" s="125"/>
      <c r="JZH170" s="125"/>
      <c r="JZI170" s="125"/>
      <c r="JZJ170" s="125"/>
      <c r="JZK170" s="125"/>
      <c r="JZL170" s="125"/>
      <c r="JZM170" s="125"/>
      <c r="JZN170" s="125"/>
      <c r="JZO170" s="125"/>
      <c r="JZP170" s="125"/>
      <c r="JZQ170" s="125"/>
      <c r="JZR170" s="125"/>
      <c r="JZS170" s="125"/>
      <c r="JZT170" s="125"/>
      <c r="JZU170" s="125"/>
      <c r="JZV170" s="125"/>
      <c r="JZW170" s="125"/>
      <c r="JZX170" s="125"/>
      <c r="JZY170" s="125"/>
      <c r="JZZ170" s="125"/>
      <c r="KAA170" s="125"/>
      <c r="KAB170" s="125"/>
      <c r="KAC170" s="125"/>
      <c r="KAD170" s="125"/>
      <c r="KAE170" s="125"/>
      <c r="KAF170" s="125"/>
      <c r="KAG170" s="125"/>
      <c r="KAH170" s="125"/>
      <c r="KAI170" s="125"/>
      <c r="KAJ170" s="125"/>
      <c r="KAK170" s="125"/>
      <c r="KAL170" s="125"/>
      <c r="KAM170" s="125"/>
      <c r="KAN170" s="125"/>
      <c r="KAO170" s="125"/>
      <c r="KAP170" s="125"/>
      <c r="KAQ170" s="125"/>
      <c r="KAR170" s="125"/>
      <c r="KAS170" s="125"/>
      <c r="KAT170" s="125"/>
      <c r="KAU170" s="125"/>
      <c r="KAV170" s="125"/>
      <c r="KAW170" s="125"/>
      <c r="KAX170" s="125"/>
      <c r="KAY170" s="125"/>
      <c r="KAZ170" s="125"/>
      <c r="KBA170" s="125"/>
      <c r="KBB170" s="125"/>
      <c r="KBC170" s="125"/>
      <c r="KBD170" s="125"/>
      <c r="KBE170" s="125"/>
      <c r="KBF170" s="125"/>
      <c r="KBG170" s="125"/>
      <c r="KBH170" s="125"/>
      <c r="KBI170" s="125"/>
      <c r="KBJ170" s="125"/>
      <c r="KBK170" s="125"/>
      <c r="KBL170" s="125"/>
      <c r="KBM170" s="125"/>
      <c r="KBN170" s="125"/>
      <c r="KBO170" s="125"/>
      <c r="KBP170" s="125"/>
      <c r="KBQ170" s="125"/>
      <c r="KBR170" s="125"/>
      <c r="KBS170" s="125"/>
      <c r="KBT170" s="125"/>
      <c r="KBU170" s="125"/>
      <c r="KBV170" s="125"/>
      <c r="KBW170" s="125"/>
      <c r="KBX170" s="125"/>
      <c r="KBY170" s="125"/>
      <c r="KBZ170" s="125"/>
      <c r="KCA170" s="125"/>
      <c r="KCB170" s="125"/>
      <c r="KCC170" s="125"/>
      <c r="KCD170" s="125"/>
      <c r="KCE170" s="125"/>
      <c r="KCF170" s="125"/>
      <c r="KCG170" s="125"/>
      <c r="KCH170" s="125"/>
      <c r="KCI170" s="125"/>
      <c r="KCJ170" s="125"/>
      <c r="KCK170" s="125"/>
      <c r="KCL170" s="125"/>
      <c r="KCM170" s="125"/>
      <c r="KCN170" s="125"/>
      <c r="KCO170" s="125"/>
      <c r="KCP170" s="125"/>
      <c r="KCQ170" s="125"/>
      <c r="KCR170" s="125"/>
      <c r="KCS170" s="125"/>
      <c r="KCT170" s="125"/>
      <c r="KCU170" s="125"/>
      <c r="KCV170" s="125"/>
      <c r="KCW170" s="125"/>
      <c r="KCX170" s="125"/>
      <c r="KCY170" s="125"/>
      <c r="KCZ170" s="125"/>
      <c r="KDA170" s="125"/>
      <c r="KDB170" s="125"/>
      <c r="KDC170" s="125"/>
      <c r="KDD170" s="125"/>
      <c r="KDE170" s="125"/>
      <c r="KDF170" s="125"/>
      <c r="KDG170" s="125"/>
      <c r="KDH170" s="125"/>
      <c r="KDI170" s="125"/>
      <c r="KDJ170" s="125"/>
      <c r="KDK170" s="125"/>
      <c r="KDL170" s="125"/>
      <c r="KDM170" s="125"/>
      <c r="KDN170" s="125"/>
      <c r="KDO170" s="125"/>
      <c r="KDP170" s="125"/>
      <c r="KDQ170" s="125"/>
      <c r="KDR170" s="125"/>
      <c r="KDS170" s="125"/>
      <c r="KDT170" s="125"/>
      <c r="KDU170" s="125"/>
      <c r="KDV170" s="125"/>
      <c r="KDW170" s="125"/>
      <c r="KDX170" s="125"/>
      <c r="KDY170" s="125"/>
      <c r="KDZ170" s="125"/>
      <c r="KEA170" s="125"/>
      <c r="KEB170" s="125"/>
      <c r="KEC170" s="125"/>
      <c r="KED170" s="125"/>
      <c r="KEE170" s="125"/>
      <c r="KEF170" s="125"/>
      <c r="KEG170" s="125"/>
      <c r="KEH170" s="125"/>
      <c r="KEI170" s="125"/>
      <c r="KEJ170" s="125"/>
      <c r="KEK170" s="125"/>
      <c r="KEL170" s="125"/>
      <c r="KEM170" s="125"/>
      <c r="KEN170" s="125"/>
      <c r="KEO170" s="125"/>
      <c r="KEP170" s="125"/>
      <c r="KEQ170" s="125"/>
      <c r="KER170" s="125"/>
      <c r="KES170" s="125"/>
      <c r="KET170" s="125"/>
      <c r="KEU170" s="125"/>
      <c r="KEV170" s="125"/>
      <c r="KEW170" s="125"/>
      <c r="KEX170" s="125"/>
      <c r="KEY170" s="125"/>
      <c r="KEZ170" s="125"/>
      <c r="KFA170" s="125"/>
      <c r="KFB170" s="125"/>
      <c r="KFC170" s="125"/>
      <c r="KFD170" s="125"/>
      <c r="KFE170" s="125"/>
      <c r="KFF170" s="125"/>
      <c r="KFG170" s="125"/>
      <c r="KFH170" s="125"/>
      <c r="KFI170" s="125"/>
      <c r="KFJ170" s="125"/>
      <c r="KFK170" s="125"/>
      <c r="KFL170" s="125"/>
      <c r="KFM170" s="125"/>
      <c r="KFN170" s="125"/>
      <c r="KFO170" s="125"/>
      <c r="KFP170" s="125"/>
      <c r="KFQ170" s="125"/>
      <c r="KFR170" s="125"/>
      <c r="KFS170" s="125"/>
      <c r="KFT170" s="125"/>
      <c r="KFU170" s="125"/>
      <c r="KFV170" s="125"/>
      <c r="KFW170" s="125"/>
      <c r="KFX170" s="125"/>
      <c r="KFY170" s="125"/>
      <c r="KFZ170" s="125"/>
      <c r="KGA170" s="125"/>
      <c r="KGB170" s="125"/>
      <c r="KGC170" s="125"/>
      <c r="KGD170" s="125"/>
      <c r="KGE170" s="125"/>
      <c r="KGF170" s="125"/>
      <c r="KGG170" s="125"/>
      <c r="KGH170" s="125"/>
      <c r="KGI170" s="125"/>
      <c r="KGJ170" s="125"/>
      <c r="KGK170" s="125"/>
      <c r="KGL170" s="125"/>
      <c r="KGM170" s="125"/>
      <c r="KGN170" s="125"/>
      <c r="KGO170" s="125"/>
      <c r="KGP170" s="125"/>
      <c r="KGQ170" s="125"/>
      <c r="KGR170" s="125"/>
      <c r="KGS170" s="125"/>
      <c r="KGT170" s="125"/>
      <c r="KGU170" s="125"/>
      <c r="KGV170" s="125"/>
      <c r="KGW170" s="125"/>
      <c r="KGX170" s="125"/>
      <c r="KGY170" s="125"/>
      <c r="KGZ170" s="125"/>
      <c r="KHA170" s="125"/>
      <c r="KHB170" s="125"/>
      <c r="KHC170" s="125"/>
      <c r="KHD170" s="125"/>
      <c r="KHE170" s="125"/>
      <c r="KHF170" s="125"/>
      <c r="KHG170" s="125"/>
      <c r="KHH170" s="125"/>
      <c r="KHI170" s="125"/>
      <c r="KHJ170" s="125"/>
      <c r="KHK170" s="125"/>
      <c r="KHL170" s="125"/>
      <c r="KHM170" s="125"/>
      <c r="KHN170" s="125"/>
      <c r="KHO170" s="125"/>
      <c r="KHP170" s="125"/>
      <c r="KHQ170" s="125"/>
      <c r="KHR170" s="125"/>
      <c r="KHS170" s="125"/>
      <c r="KHT170" s="125"/>
      <c r="KHU170" s="125"/>
      <c r="KHV170" s="125"/>
      <c r="KHW170" s="125"/>
      <c r="KHX170" s="125"/>
      <c r="KHY170" s="125"/>
      <c r="KHZ170" s="125"/>
      <c r="KIA170" s="125"/>
      <c r="KIB170" s="125"/>
      <c r="KIC170" s="125"/>
      <c r="KID170" s="125"/>
      <c r="KIE170" s="125"/>
      <c r="KIF170" s="125"/>
      <c r="KIG170" s="125"/>
      <c r="KIH170" s="125"/>
      <c r="KII170" s="125"/>
      <c r="KIJ170" s="125"/>
      <c r="KIK170" s="125"/>
      <c r="KIL170" s="125"/>
      <c r="KIM170" s="125"/>
      <c r="KIN170" s="125"/>
      <c r="KIO170" s="125"/>
      <c r="KIP170" s="125"/>
      <c r="KIQ170" s="125"/>
      <c r="KIR170" s="125"/>
      <c r="KIS170" s="125"/>
      <c r="KIT170" s="125"/>
      <c r="KIU170" s="125"/>
      <c r="KIV170" s="125"/>
      <c r="KIW170" s="125"/>
      <c r="KIX170" s="125"/>
      <c r="KIY170" s="125"/>
      <c r="KIZ170" s="125"/>
      <c r="KJA170" s="125"/>
      <c r="KJB170" s="125"/>
      <c r="KJC170" s="125"/>
      <c r="KJD170" s="125"/>
      <c r="KJE170" s="125"/>
      <c r="KJF170" s="125"/>
      <c r="KJG170" s="125"/>
      <c r="KJH170" s="125"/>
      <c r="KJI170" s="125"/>
      <c r="KJJ170" s="125"/>
      <c r="KJK170" s="125"/>
      <c r="KJL170" s="125"/>
      <c r="KJM170" s="125"/>
      <c r="KJN170" s="125"/>
      <c r="KJO170" s="125"/>
      <c r="KJP170" s="125"/>
      <c r="KJQ170" s="125"/>
      <c r="KJR170" s="125"/>
      <c r="KJS170" s="125"/>
      <c r="KJT170" s="125"/>
      <c r="KJU170" s="125"/>
      <c r="KJV170" s="125"/>
      <c r="KJW170" s="125"/>
      <c r="KJX170" s="125"/>
      <c r="KJY170" s="125"/>
      <c r="KJZ170" s="125"/>
      <c r="KKA170" s="125"/>
      <c r="KKB170" s="125"/>
      <c r="KKC170" s="125"/>
      <c r="KKD170" s="125"/>
      <c r="KKE170" s="125"/>
      <c r="KKF170" s="125"/>
      <c r="KKG170" s="125"/>
      <c r="KKH170" s="125"/>
      <c r="KKI170" s="125"/>
      <c r="KKJ170" s="125"/>
      <c r="KKK170" s="125"/>
      <c r="KKL170" s="125"/>
      <c r="KKM170" s="125"/>
      <c r="KKN170" s="125"/>
      <c r="KKO170" s="125"/>
      <c r="KKP170" s="125"/>
      <c r="KKQ170" s="125"/>
      <c r="KKR170" s="125"/>
      <c r="KKS170" s="125"/>
      <c r="KKT170" s="125"/>
      <c r="KKU170" s="125"/>
      <c r="KKV170" s="125"/>
      <c r="KKW170" s="125"/>
      <c r="KKX170" s="125"/>
      <c r="KKY170" s="125"/>
      <c r="KKZ170" s="125"/>
      <c r="KLA170" s="125"/>
      <c r="KLB170" s="125"/>
      <c r="KLC170" s="125"/>
      <c r="KLD170" s="125"/>
      <c r="KLE170" s="125"/>
      <c r="KLF170" s="125"/>
      <c r="KLG170" s="125"/>
      <c r="KLH170" s="125"/>
      <c r="KLI170" s="125"/>
      <c r="KLJ170" s="125"/>
      <c r="KLK170" s="125"/>
      <c r="KLL170" s="125"/>
      <c r="KLM170" s="125"/>
      <c r="KLN170" s="125"/>
      <c r="KLO170" s="125"/>
      <c r="KLP170" s="125"/>
      <c r="KLQ170" s="125"/>
      <c r="KLR170" s="125"/>
      <c r="KLS170" s="125"/>
      <c r="KLT170" s="125"/>
      <c r="KLU170" s="125"/>
      <c r="KLV170" s="125"/>
      <c r="KLW170" s="125"/>
      <c r="KLX170" s="125"/>
      <c r="KLY170" s="125"/>
      <c r="KLZ170" s="125"/>
      <c r="KMA170" s="125"/>
      <c r="KMB170" s="125"/>
      <c r="KMC170" s="125"/>
      <c r="KMD170" s="125"/>
      <c r="KME170" s="125"/>
      <c r="KMF170" s="125"/>
      <c r="KMG170" s="125"/>
      <c r="KMH170" s="125"/>
      <c r="KMI170" s="125"/>
      <c r="KMJ170" s="125"/>
      <c r="KMK170" s="125"/>
      <c r="KML170" s="125"/>
      <c r="KMM170" s="125"/>
      <c r="KMN170" s="125"/>
      <c r="KMO170" s="125"/>
      <c r="KMP170" s="125"/>
      <c r="KMQ170" s="125"/>
      <c r="KMR170" s="125"/>
      <c r="KMS170" s="125"/>
      <c r="KMT170" s="125"/>
      <c r="KMU170" s="125"/>
      <c r="KMV170" s="125"/>
      <c r="KMW170" s="125"/>
      <c r="KMX170" s="125"/>
      <c r="KMY170" s="125"/>
      <c r="KMZ170" s="125"/>
      <c r="KNA170" s="125"/>
      <c r="KNB170" s="125"/>
      <c r="KNC170" s="125"/>
      <c r="KND170" s="125"/>
      <c r="KNE170" s="125"/>
      <c r="KNF170" s="125"/>
      <c r="KNG170" s="125"/>
      <c r="KNH170" s="125"/>
      <c r="KNI170" s="125"/>
      <c r="KNJ170" s="125"/>
      <c r="KNK170" s="125"/>
      <c r="KNL170" s="125"/>
      <c r="KNM170" s="125"/>
      <c r="KNN170" s="125"/>
      <c r="KNO170" s="125"/>
      <c r="KNP170" s="125"/>
      <c r="KNQ170" s="125"/>
      <c r="KNR170" s="125"/>
      <c r="KNS170" s="125"/>
      <c r="KNT170" s="125"/>
      <c r="KNU170" s="125"/>
      <c r="KNV170" s="125"/>
      <c r="KNW170" s="125"/>
      <c r="KNX170" s="125"/>
      <c r="KNY170" s="125"/>
      <c r="KNZ170" s="125"/>
      <c r="KOA170" s="125"/>
      <c r="KOB170" s="125"/>
      <c r="KOC170" s="125"/>
      <c r="KOD170" s="125"/>
      <c r="KOE170" s="125"/>
      <c r="KOF170" s="125"/>
      <c r="KOG170" s="125"/>
      <c r="KOH170" s="125"/>
      <c r="KOI170" s="125"/>
      <c r="KOJ170" s="125"/>
      <c r="KOK170" s="125"/>
      <c r="KOL170" s="125"/>
      <c r="KOM170" s="125"/>
      <c r="KON170" s="125"/>
      <c r="KOO170" s="125"/>
      <c r="KOP170" s="125"/>
      <c r="KOQ170" s="125"/>
      <c r="KOR170" s="125"/>
      <c r="KOS170" s="125"/>
      <c r="KOT170" s="125"/>
      <c r="KOU170" s="125"/>
      <c r="KOV170" s="125"/>
      <c r="KOW170" s="125"/>
      <c r="KOX170" s="125"/>
      <c r="KOY170" s="125"/>
      <c r="KOZ170" s="125"/>
      <c r="KPA170" s="125"/>
      <c r="KPB170" s="125"/>
      <c r="KPC170" s="125"/>
      <c r="KPD170" s="125"/>
      <c r="KPE170" s="125"/>
      <c r="KPF170" s="125"/>
      <c r="KPG170" s="125"/>
      <c r="KPH170" s="125"/>
      <c r="KPI170" s="125"/>
      <c r="KPJ170" s="125"/>
      <c r="KPK170" s="125"/>
      <c r="KPL170" s="125"/>
      <c r="KPM170" s="125"/>
      <c r="KPN170" s="125"/>
      <c r="KPO170" s="125"/>
      <c r="KPP170" s="125"/>
      <c r="KPQ170" s="125"/>
      <c r="KPR170" s="125"/>
      <c r="KPS170" s="125"/>
      <c r="KPT170" s="125"/>
      <c r="KPU170" s="125"/>
      <c r="KPV170" s="125"/>
      <c r="KPW170" s="125"/>
      <c r="KPX170" s="125"/>
      <c r="KPY170" s="125"/>
      <c r="KPZ170" s="125"/>
      <c r="KQA170" s="125"/>
      <c r="KQB170" s="125"/>
      <c r="KQC170" s="125"/>
      <c r="KQD170" s="125"/>
      <c r="KQE170" s="125"/>
      <c r="KQF170" s="125"/>
      <c r="KQG170" s="125"/>
      <c r="KQH170" s="125"/>
      <c r="KQI170" s="125"/>
      <c r="KQJ170" s="125"/>
      <c r="KQK170" s="125"/>
      <c r="KQL170" s="125"/>
      <c r="KQM170" s="125"/>
      <c r="KQN170" s="125"/>
      <c r="KQO170" s="125"/>
      <c r="KQP170" s="125"/>
      <c r="KQQ170" s="125"/>
      <c r="KQR170" s="125"/>
      <c r="KQS170" s="125"/>
      <c r="KQT170" s="125"/>
      <c r="KQU170" s="125"/>
      <c r="KQV170" s="125"/>
      <c r="KQW170" s="125"/>
      <c r="KQX170" s="125"/>
      <c r="KQY170" s="125"/>
      <c r="KQZ170" s="125"/>
      <c r="KRA170" s="125"/>
      <c r="KRB170" s="125"/>
      <c r="KRC170" s="125"/>
      <c r="KRD170" s="125"/>
      <c r="KRE170" s="125"/>
      <c r="KRF170" s="125"/>
      <c r="KRG170" s="125"/>
      <c r="KRH170" s="125"/>
      <c r="KRI170" s="125"/>
      <c r="KRJ170" s="125"/>
      <c r="KRK170" s="125"/>
      <c r="KRL170" s="125"/>
      <c r="KRM170" s="125"/>
      <c r="KRN170" s="125"/>
      <c r="KRO170" s="125"/>
      <c r="KRP170" s="125"/>
      <c r="KRQ170" s="125"/>
      <c r="KRR170" s="125"/>
      <c r="KRS170" s="125"/>
      <c r="KRT170" s="125"/>
      <c r="KRU170" s="125"/>
      <c r="KRV170" s="125"/>
      <c r="KRW170" s="125"/>
      <c r="KRX170" s="125"/>
      <c r="KRY170" s="125"/>
      <c r="KRZ170" s="125"/>
      <c r="KSA170" s="125"/>
      <c r="KSB170" s="125"/>
      <c r="KSC170" s="125"/>
      <c r="KSD170" s="125"/>
      <c r="KSE170" s="125"/>
      <c r="KSF170" s="125"/>
      <c r="KSG170" s="125"/>
      <c r="KSH170" s="125"/>
      <c r="KSI170" s="125"/>
      <c r="KSJ170" s="125"/>
      <c r="KSK170" s="125"/>
      <c r="KSL170" s="125"/>
      <c r="KSM170" s="125"/>
      <c r="KSN170" s="125"/>
      <c r="KSO170" s="125"/>
      <c r="KSP170" s="125"/>
      <c r="KSQ170" s="125"/>
      <c r="KSR170" s="125"/>
      <c r="KSS170" s="125"/>
      <c r="KST170" s="125"/>
      <c r="KSU170" s="125"/>
      <c r="KSV170" s="125"/>
      <c r="KSW170" s="125"/>
      <c r="KSX170" s="125"/>
      <c r="KSY170" s="125"/>
      <c r="KSZ170" s="125"/>
      <c r="KTA170" s="125"/>
      <c r="KTB170" s="125"/>
      <c r="KTC170" s="125"/>
      <c r="KTD170" s="125"/>
      <c r="KTE170" s="125"/>
      <c r="KTF170" s="125"/>
      <c r="KTG170" s="125"/>
      <c r="KTH170" s="125"/>
      <c r="KTI170" s="125"/>
      <c r="KTJ170" s="125"/>
      <c r="KTK170" s="125"/>
      <c r="KTL170" s="125"/>
      <c r="KTM170" s="125"/>
      <c r="KTN170" s="125"/>
      <c r="KTO170" s="125"/>
      <c r="KTP170" s="125"/>
      <c r="KTQ170" s="125"/>
      <c r="KTR170" s="125"/>
      <c r="KTS170" s="125"/>
      <c r="KTT170" s="125"/>
      <c r="KTU170" s="125"/>
      <c r="KTV170" s="125"/>
      <c r="KTW170" s="125"/>
      <c r="KTX170" s="125"/>
      <c r="KTY170" s="125"/>
      <c r="KTZ170" s="125"/>
      <c r="KUA170" s="125"/>
      <c r="KUB170" s="125"/>
      <c r="KUC170" s="125"/>
      <c r="KUD170" s="125"/>
      <c r="KUE170" s="125"/>
      <c r="KUF170" s="125"/>
      <c r="KUG170" s="125"/>
      <c r="KUH170" s="125"/>
      <c r="KUI170" s="125"/>
      <c r="KUJ170" s="125"/>
      <c r="KUK170" s="125"/>
      <c r="KUL170" s="125"/>
      <c r="KUM170" s="125"/>
      <c r="KUN170" s="125"/>
      <c r="KUO170" s="125"/>
      <c r="KUP170" s="125"/>
      <c r="KUQ170" s="125"/>
      <c r="KUR170" s="125"/>
      <c r="KUS170" s="125"/>
      <c r="KUT170" s="125"/>
      <c r="KUU170" s="125"/>
      <c r="KUV170" s="125"/>
      <c r="KUW170" s="125"/>
      <c r="KUX170" s="125"/>
      <c r="KUY170" s="125"/>
      <c r="KUZ170" s="125"/>
      <c r="KVA170" s="125"/>
      <c r="KVB170" s="125"/>
      <c r="KVC170" s="125"/>
      <c r="KVD170" s="125"/>
      <c r="KVE170" s="125"/>
      <c r="KVF170" s="125"/>
      <c r="KVG170" s="125"/>
      <c r="KVH170" s="125"/>
      <c r="KVI170" s="125"/>
      <c r="KVJ170" s="125"/>
      <c r="KVK170" s="125"/>
      <c r="KVL170" s="125"/>
      <c r="KVM170" s="125"/>
      <c r="KVN170" s="125"/>
      <c r="KVO170" s="125"/>
      <c r="KVP170" s="125"/>
      <c r="KVQ170" s="125"/>
      <c r="KVR170" s="125"/>
      <c r="KVS170" s="125"/>
      <c r="KVT170" s="125"/>
      <c r="KVU170" s="125"/>
      <c r="KVV170" s="125"/>
      <c r="KVW170" s="125"/>
      <c r="KVX170" s="125"/>
      <c r="KVY170" s="125"/>
      <c r="KVZ170" s="125"/>
      <c r="KWA170" s="125"/>
      <c r="KWB170" s="125"/>
      <c r="KWC170" s="125"/>
      <c r="KWD170" s="125"/>
      <c r="KWE170" s="125"/>
      <c r="KWF170" s="125"/>
      <c r="KWG170" s="125"/>
      <c r="KWH170" s="125"/>
      <c r="KWI170" s="125"/>
      <c r="KWJ170" s="125"/>
      <c r="KWK170" s="125"/>
      <c r="KWL170" s="125"/>
      <c r="KWM170" s="125"/>
      <c r="KWN170" s="125"/>
      <c r="KWO170" s="125"/>
      <c r="KWP170" s="125"/>
      <c r="KWQ170" s="125"/>
      <c r="KWR170" s="125"/>
      <c r="KWS170" s="125"/>
      <c r="KWT170" s="125"/>
      <c r="KWU170" s="125"/>
      <c r="KWV170" s="125"/>
      <c r="KWW170" s="125"/>
      <c r="KWX170" s="125"/>
      <c r="KWY170" s="125"/>
      <c r="KWZ170" s="125"/>
      <c r="KXA170" s="125"/>
      <c r="KXB170" s="125"/>
      <c r="KXC170" s="125"/>
      <c r="KXD170" s="125"/>
      <c r="KXE170" s="125"/>
      <c r="KXF170" s="125"/>
      <c r="KXG170" s="125"/>
      <c r="KXH170" s="125"/>
      <c r="KXI170" s="125"/>
      <c r="KXJ170" s="125"/>
      <c r="KXK170" s="125"/>
      <c r="KXL170" s="125"/>
      <c r="KXM170" s="125"/>
      <c r="KXN170" s="125"/>
      <c r="KXO170" s="125"/>
      <c r="KXP170" s="125"/>
      <c r="KXQ170" s="125"/>
      <c r="KXR170" s="125"/>
      <c r="KXS170" s="125"/>
      <c r="KXT170" s="125"/>
      <c r="KXU170" s="125"/>
      <c r="KXV170" s="125"/>
      <c r="KXW170" s="125"/>
      <c r="KXX170" s="125"/>
      <c r="KXY170" s="125"/>
      <c r="KXZ170" s="125"/>
      <c r="KYA170" s="125"/>
      <c r="KYB170" s="125"/>
      <c r="KYC170" s="125"/>
      <c r="KYD170" s="125"/>
      <c r="KYE170" s="125"/>
      <c r="KYF170" s="125"/>
      <c r="KYG170" s="125"/>
      <c r="KYH170" s="125"/>
      <c r="KYI170" s="125"/>
      <c r="KYJ170" s="125"/>
      <c r="KYK170" s="125"/>
      <c r="KYL170" s="125"/>
      <c r="KYM170" s="125"/>
      <c r="KYN170" s="125"/>
      <c r="KYO170" s="125"/>
      <c r="KYP170" s="125"/>
      <c r="KYQ170" s="125"/>
      <c r="KYR170" s="125"/>
      <c r="KYS170" s="125"/>
      <c r="KYT170" s="125"/>
      <c r="KYU170" s="125"/>
      <c r="KYV170" s="125"/>
      <c r="KYW170" s="125"/>
      <c r="KYX170" s="125"/>
      <c r="KYY170" s="125"/>
      <c r="KYZ170" s="125"/>
      <c r="KZA170" s="125"/>
      <c r="KZB170" s="125"/>
      <c r="KZC170" s="125"/>
      <c r="KZD170" s="125"/>
      <c r="KZE170" s="125"/>
      <c r="KZF170" s="125"/>
      <c r="KZG170" s="125"/>
      <c r="KZH170" s="125"/>
      <c r="KZI170" s="125"/>
      <c r="KZJ170" s="125"/>
      <c r="KZK170" s="125"/>
      <c r="KZL170" s="125"/>
      <c r="KZM170" s="125"/>
      <c r="KZN170" s="125"/>
      <c r="KZO170" s="125"/>
      <c r="KZP170" s="125"/>
      <c r="KZQ170" s="125"/>
      <c r="KZR170" s="125"/>
      <c r="KZS170" s="125"/>
      <c r="KZT170" s="125"/>
      <c r="KZU170" s="125"/>
      <c r="KZV170" s="125"/>
      <c r="KZW170" s="125"/>
      <c r="KZX170" s="125"/>
      <c r="KZY170" s="125"/>
      <c r="KZZ170" s="125"/>
      <c r="LAA170" s="125"/>
      <c r="LAB170" s="125"/>
      <c r="LAC170" s="125"/>
      <c r="LAD170" s="125"/>
      <c r="LAE170" s="125"/>
      <c r="LAF170" s="125"/>
      <c r="LAG170" s="125"/>
      <c r="LAH170" s="125"/>
      <c r="LAI170" s="125"/>
      <c r="LAJ170" s="125"/>
      <c r="LAK170" s="125"/>
      <c r="LAL170" s="125"/>
      <c r="LAM170" s="125"/>
      <c r="LAN170" s="125"/>
      <c r="LAO170" s="125"/>
      <c r="LAP170" s="125"/>
      <c r="LAQ170" s="125"/>
      <c r="LAR170" s="125"/>
      <c r="LAS170" s="125"/>
      <c r="LAT170" s="125"/>
      <c r="LAU170" s="125"/>
      <c r="LAV170" s="125"/>
      <c r="LAW170" s="125"/>
      <c r="LAX170" s="125"/>
      <c r="LAY170" s="125"/>
      <c r="LAZ170" s="125"/>
      <c r="LBA170" s="125"/>
      <c r="LBB170" s="125"/>
      <c r="LBC170" s="125"/>
      <c r="LBD170" s="125"/>
      <c r="LBE170" s="125"/>
      <c r="LBF170" s="125"/>
      <c r="LBG170" s="125"/>
      <c r="LBH170" s="125"/>
      <c r="LBI170" s="125"/>
      <c r="LBJ170" s="125"/>
      <c r="LBK170" s="125"/>
      <c r="LBL170" s="125"/>
      <c r="LBM170" s="125"/>
      <c r="LBN170" s="125"/>
      <c r="LBO170" s="125"/>
      <c r="LBP170" s="125"/>
      <c r="LBQ170" s="125"/>
      <c r="LBR170" s="125"/>
      <c r="LBS170" s="125"/>
      <c r="LBT170" s="125"/>
      <c r="LBU170" s="125"/>
      <c r="LBV170" s="125"/>
      <c r="LBW170" s="125"/>
      <c r="LBX170" s="125"/>
      <c r="LBY170" s="125"/>
      <c r="LBZ170" s="125"/>
      <c r="LCA170" s="125"/>
      <c r="LCB170" s="125"/>
      <c r="LCC170" s="125"/>
      <c r="LCD170" s="125"/>
      <c r="LCE170" s="125"/>
      <c r="LCF170" s="125"/>
      <c r="LCG170" s="125"/>
      <c r="LCH170" s="125"/>
      <c r="LCI170" s="125"/>
      <c r="LCJ170" s="125"/>
      <c r="LCK170" s="125"/>
      <c r="LCL170" s="125"/>
      <c r="LCM170" s="125"/>
      <c r="LCN170" s="125"/>
      <c r="LCO170" s="125"/>
      <c r="LCP170" s="125"/>
      <c r="LCQ170" s="125"/>
      <c r="LCR170" s="125"/>
      <c r="LCS170" s="125"/>
      <c r="LCT170" s="125"/>
      <c r="LCU170" s="125"/>
      <c r="LCV170" s="125"/>
      <c r="LCW170" s="125"/>
      <c r="LCX170" s="125"/>
      <c r="LCY170" s="125"/>
      <c r="LCZ170" s="125"/>
      <c r="LDA170" s="125"/>
      <c r="LDB170" s="125"/>
      <c r="LDC170" s="125"/>
      <c r="LDD170" s="125"/>
      <c r="LDE170" s="125"/>
      <c r="LDF170" s="125"/>
      <c r="LDG170" s="125"/>
      <c r="LDH170" s="125"/>
      <c r="LDI170" s="125"/>
      <c r="LDJ170" s="125"/>
      <c r="LDK170" s="125"/>
      <c r="LDL170" s="125"/>
      <c r="LDM170" s="125"/>
      <c r="LDN170" s="125"/>
      <c r="LDO170" s="125"/>
      <c r="LDP170" s="125"/>
      <c r="LDQ170" s="125"/>
      <c r="LDR170" s="125"/>
      <c r="LDS170" s="125"/>
      <c r="LDT170" s="125"/>
      <c r="LDU170" s="125"/>
      <c r="LDV170" s="125"/>
      <c r="LDW170" s="125"/>
      <c r="LDX170" s="125"/>
      <c r="LDY170" s="125"/>
      <c r="LDZ170" s="125"/>
      <c r="LEA170" s="125"/>
      <c r="LEB170" s="125"/>
      <c r="LEC170" s="125"/>
      <c r="LED170" s="125"/>
      <c r="LEE170" s="125"/>
      <c r="LEF170" s="125"/>
      <c r="LEG170" s="125"/>
      <c r="LEH170" s="125"/>
      <c r="LEI170" s="125"/>
      <c r="LEJ170" s="125"/>
      <c r="LEK170" s="125"/>
      <c r="LEL170" s="125"/>
      <c r="LEM170" s="125"/>
      <c r="LEN170" s="125"/>
      <c r="LEO170" s="125"/>
      <c r="LEP170" s="125"/>
      <c r="LEQ170" s="125"/>
      <c r="LER170" s="125"/>
      <c r="LES170" s="125"/>
      <c r="LET170" s="125"/>
      <c r="LEU170" s="125"/>
      <c r="LEV170" s="125"/>
      <c r="LEW170" s="125"/>
      <c r="LEX170" s="125"/>
      <c r="LEY170" s="125"/>
      <c r="LEZ170" s="125"/>
      <c r="LFA170" s="125"/>
      <c r="LFB170" s="125"/>
      <c r="LFC170" s="125"/>
      <c r="LFD170" s="125"/>
      <c r="LFE170" s="125"/>
      <c r="LFF170" s="125"/>
      <c r="LFG170" s="125"/>
      <c r="LFH170" s="125"/>
      <c r="LFI170" s="125"/>
      <c r="LFJ170" s="125"/>
      <c r="LFK170" s="125"/>
      <c r="LFL170" s="125"/>
      <c r="LFM170" s="125"/>
      <c r="LFN170" s="125"/>
      <c r="LFO170" s="125"/>
      <c r="LFP170" s="125"/>
      <c r="LFQ170" s="125"/>
      <c r="LFR170" s="125"/>
      <c r="LFS170" s="125"/>
      <c r="LFT170" s="125"/>
      <c r="LFU170" s="125"/>
      <c r="LFV170" s="125"/>
      <c r="LFW170" s="125"/>
      <c r="LFX170" s="125"/>
      <c r="LFY170" s="125"/>
      <c r="LFZ170" s="125"/>
      <c r="LGA170" s="125"/>
      <c r="LGB170" s="125"/>
      <c r="LGC170" s="125"/>
      <c r="LGD170" s="125"/>
      <c r="LGE170" s="125"/>
      <c r="LGF170" s="125"/>
      <c r="LGG170" s="125"/>
      <c r="LGH170" s="125"/>
      <c r="LGI170" s="125"/>
      <c r="LGJ170" s="125"/>
      <c r="LGK170" s="125"/>
      <c r="LGL170" s="125"/>
      <c r="LGM170" s="125"/>
      <c r="LGN170" s="125"/>
      <c r="LGO170" s="125"/>
      <c r="LGP170" s="125"/>
      <c r="LGQ170" s="125"/>
      <c r="LGR170" s="125"/>
      <c r="LGS170" s="125"/>
      <c r="LGT170" s="125"/>
      <c r="LGU170" s="125"/>
      <c r="LGV170" s="125"/>
      <c r="LGW170" s="125"/>
      <c r="LGX170" s="125"/>
      <c r="LGY170" s="125"/>
      <c r="LGZ170" s="125"/>
      <c r="LHA170" s="125"/>
      <c r="LHB170" s="125"/>
      <c r="LHC170" s="125"/>
      <c r="LHD170" s="125"/>
      <c r="LHE170" s="125"/>
      <c r="LHF170" s="125"/>
      <c r="LHG170" s="125"/>
      <c r="LHH170" s="125"/>
      <c r="LHI170" s="125"/>
      <c r="LHJ170" s="125"/>
      <c r="LHK170" s="125"/>
      <c r="LHL170" s="125"/>
      <c r="LHM170" s="125"/>
      <c r="LHN170" s="125"/>
      <c r="LHO170" s="125"/>
      <c r="LHP170" s="125"/>
      <c r="LHQ170" s="125"/>
      <c r="LHR170" s="125"/>
      <c r="LHS170" s="125"/>
      <c r="LHT170" s="125"/>
      <c r="LHU170" s="125"/>
      <c r="LHV170" s="125"/>
      <c r="LHW170" s="125"/>
      <c r="LHX170" s="125"/>
      <c r="LHY170" s="125"/>
      <c r="LHZ170" s="125"/>
      <c r="LIA170" s="125"/>
      <c r="LIB170" s="125"/>
      <c r="LIC170" s="125"/>
      <c r="LID170" s="125"/>
      <c r="LIE170" s="125"/>
      <c r="LIF170" s="125"/>
      <c r="LIG170" s="125"/>
      <c r="LIH170" s="125"/>
      <c r="LII170" s="125"/>
      <c r="LIJ170" s="125"/>
      <c r="LIK170" s="125"/>
      <c r="LIL170" s="125"/>
      <c r="LIM170" s="125"/>
      <c r="LIN170" s="125"/>
      <c r="LIO170" s="125"/>
      <c r="LIP170" s="125"/>
      <c r="LIQ170" s="125"/>
      <c r="LIR170" s="125"/>
      <c r="LIS170" s="125"/>
      <c r="LIT170" s="125"/>
      <c r="LIU170" s="125"/>
      <c r="LIV170" s="125"/>
      <c r="LIW170" s="125"/>
      <c r="LIX170" s="125"/>
      <c r="LIY170" s="125"/>
      <c r="LIZ170" s="125"/>
      <c r="LJA170" s="125"/>
      <c r="LJB170" s="125"/>
      <c r="LJC170" s="125"/>
      <c r="LJD170" s="125"/>
      <c r="LJE170" s="125"/>
      <c r="LJF170" s="125"/>
      <c r="LJG170" s="125"/>
      <c r="LJH170" s="125"/>
      <c r="LJI170" s="125"/>
      <c r="LJJ170" s="125"/>
      <c r="LJK170" s="125"/>
      <c r="LJL170" s="125"/>
      <c r="LJM170" s="125"/>
      <c r="LJN170" s="125"/>
      <c r="LJO170" s="125"/>
      <c r="LJP170" s="125"/>
      <c r="LJQ170" s="125"/>
      <c r="LJR170" s="125"/>
      <c r="LJS170" s="125"/>
      <c r="LJT170" s="125"/>
      <c r="LJU170" s="125"/>
      <c r="LJV170" s="125"/>
      <c r="LJW170" s="125"/>
      <c r="LJX170" s="125"/>
      <c r="LJY170" s="125"/>
      <c r="LJZ170" s="125"/>
      <c r="LKA170" s="125"/>
      <c r="LKB170" s="125"/>
      <c r="LKC170" s="125"/>
      <c r="LKD170" s="125"/>
      <c r="LKE170" s="125"/>
      <c r="LKF170" s="125"/>
      <c r="LKG170" s="125"/>
      <c r="LKH170" s="125"/>
      <c r="LKI170" s="125"/>
      <c r="LKJ170" s="125"/>
      <c r="LKK170" s="125"/>
      <c r="LKL170" s="125"/>
      <c r="LKM170" s="125"/>
      <c r="LKN170" s="125"/>
      <c r="LKO170" s="125"/>
      <c r="LKP170" s="125"/>
      <c r="LKQ170" s="125"/>
      <c r="LKR170" s="125"/>
      <c r="LKS170" s="125"/>
      <c r="LKT170" s="125"/>
      <c r="LKU170" s="125"/>
      <c r="LKV170" s="125"/>
      <c r="LKW170" s="125"/>
      <c r="LKX170" s="125"/>
      <c r="LKY170" s="125"/>
      <c r="LKZ170" s="125"/>
      <c r="LLA170" s="125"/>
      <c r="LLB170" s="125"/>
      <c r="LLC170" s="125"/>
      <c r="LLD170" s="125"/>
      <c r="LLE170" s="125"/>
      <c r="LLF170" s="125"/>
      <c r="LLG170" s="125"/>
      <c r="LLH170" s="125"/>
      <c r="LLI170" s="125"/>
      <c r="LLJ170" s="125"/>
      <c r="LLK170" s="125"/>
      <c r="LLL170" s="125"/>
      <c r="LLM170" s="125"/>
      <c r="LLN170" s="125"/>
      <c r="LLO170" s="125"/>
      <c r="LLP170" s="125"/>
      <c r="LLQ170" s="125"/>
      <c r="LLR170" s="125"/>
      <c r="LLS170" s="125"/>
      <c r="LLT170" s="125"/>
      <c r="LLU170" s="125"/>
      <c r="LLV170" s="125"/>
      <c r="LLW170" s="125"/>
      <c r="LLX170" s="125"/>
      <c r="LLY170" s="125"/>
      <c r="LLZ170" s="125"/>
      <c r="LMA170" s="125"/>
      <c r="LMB170" s="125"/>
      <c r="LMC170" s="125"/>
      <c r="LMD170" s="125"/>
      <c r="LME170" s="125"/>
      <c r="LMF170" s="125"/>
      <c r="LMG170" s="125"/>
      <c r="LMH170" s="125"/>
      <c r="LMI170" s="125"/>
      <c r="LMJ170" s="125"/>
      <c r="LMK170" s="125"/>
      <c r="LML170" s="125"/>
      <c r="LMM170" s="125"/>
      <c r="LMN170" s="125"/>
      <c r="LMO170" s="125"/>
      <c r="LMP170" s="125"/>
      <c r="LMQ170" s="125"/>
      <c r="LMR170" s="125"/>
      <c r="LMS170" s="125"/>
      <c r="LMT170" s="125"/>
      <c r="LMU170" s="125"/>
      <c r="LMV170" s="125"/>
      <c r="LMW170" s="125"/>
      <c r="LMX170" s="125"/>
      <c r="LMY170" s="125"/>
      <c r="LMZ170" s="125"/>
      <c r="LNA170" s="125"/>
      <c r="LNB170" s="125"/>
      <c r="LNC170" s="125"/>
      <c r="LND170" s="125"/>
      <c r="LNE170" s="125"/>
      <c r="LNF170" s="125"/>
      <c r="LNG170" s="125"/>
      <c r="LNH170" s="125"/>
      <c r="LNI170" s="125"/>
      <c r="LNJ170" s="125"/>
      <c r="LNK170" s="125"/>
      <c r="LNL170" s="125"/>
      <c r="LNM170" s="125"/>
      <c r="LNN170" s="125"/>
      <c r="LNO170" s="125"/>
      <c r="LNP170" s="125"/>
      <c r="LNQ170" s="125"/>
      <c r="LNR170" s="125"/>
      <c r="LNS170" s="125"/>
      <c r="LNT170" s="125"/>
      <c r="LNU170" s="125"/>
      <c r="LNV170" s="125"/>
      <c r="LNW170" s="125"/>
      <c r="LNX170" s="125"/>
      <c r="LNY170" s="125"/>
      <c r="LNZ170" s="125"/>
      <c r="LOA170" s="125"/>
      <c r="LOB170" s="125"/>
      <c r="LOC170" s="125"/>
      <c r="LOD170" s="125"/>
      <c r="LOE170" s="125"/>
      <c r="LOF170" s="125"/>
      <c r="LOG170" s="125"/>
      <c r="LOH170" s="125"/>
      <c r="LOI170" s="125"/>
      <c r="LOJ170" s="125"/>
      <c r="LOK170" s="125"/>
      <c r="LOL170" s="125"/>
      <c r="LOM170" s="125"/>
      <c r="LON170" s="125"/>
      <c r="LOO170" s="125"/>
      <c r="LOP170" s="125"/>
      <c r="LOQ170" s="125"/>
      <c r="LOR170" s="125"/>
      <c r="LOS170" s="125"/>
      <c r="LOT170" s="125"/>
      <c r="LOU170" s="125"/>
      <c r="LOV170" s="125"/>
      <c r="LOW170" s="125"/>
      <c r="LOX170" s="125"/>
      <c r="LOY170" s="125"/>
      <c r="LOZ170" s="125"/>
      <c r="LPA170" s="125"/>
      <c r="LPB170" s="125"/>
      <c r="LPC170" s="125"/>
      <c r="LPD170" s="125"/>
      <c r="LPE170" s="125"/>
      <c r="LPF170" s="125"/>
      <c r="LPG170" s="125"/>
      <c r="LPH170" s="125"/>
      <c r="LPI170" s="125"/>
      <c r="LPJ170" s="125"/>
      <c r="LPK170" s="125"/>
      <c r="LPL170" s="125"/>
      <c r="LPM170" s="125"/>
      <c r="LPN170" s="125"/>
      <c r="LPO170" s="125"/>
      <c r="LPP170" s="125"/>
      <c r="LPQ170" s="125"/>
      <c r="LPR170" s="125"/>
      <c r="LPS170" s="125"/>
      <c r="LPT170" s="125"/>
      <c r="LPU170" s="125"/>
      <c r="LPV170" s="125"/>
      <c r="LPW170" s="125"/>
      <c r="LPX170" s="125"/>
      <c r="LPY170" s="125"/>
      <c r="LPZ170" s="125"/>
      <c r="LQA170" s="125"/>
      <c r="LQB170" s="125"/>
      <c r="LQC170" s="125"/>
      <c r="LQD170" s="125"/>
      <c r="LQE170" s="125"/>
      <c r="LQF170" s="125"/>
      <c r="LQG170" s="125"/>
      <c r="LQH170" s="125"/>
      <c r="LQI170" s="125"/>
      <c r="LQJ170" s="125"/>
      <c r="LQK170" s="125"/>
      <c r="LQL170" s="125"/>
      <c r="LQM170" s="125"/>
      <c r="LQN170" s="125"/>
      <c r="LQO170" s="125"/>
      <c r="LQP170" s="125"/>
      <c r="LQQ170" s="125"/>
      <c r="LQR170" s="125"/>
      <c r="LQS170" s="125"/>
      <c r="LQT170" s="125"/>
      <c r="LQU170" s="125"/>
      <c r="LQV170" s="125"/>
      <c r="LQW170" s="125"/>
      <c r="LQX170" s="125"/>
      <c r="LQY170" s="125"/>
      <c r="LQZ170" s="125"/>
      <c r="LRA170" s="125"/>
      <c r="LRB170" s="125"/>
      <c r="LRC170" s="125"/>
      <c r="LRD170" s="125"/>
      <c r="LRE170" s="125"/>
      <c r="LRF170" s="125"/>
      <c r="LRG170" s="125"/>
      <c r="LRH170" s="125"/>
      <c r="LRI170" s="125"/>
      <c r="LRJ170" s="125"/>
      <c r="LRK170" s="125"/>
      <c r="LRL170" s="125"/>
      <c r="LRM170" s="125"/>
      <c r="LRN170" s="125"/>
      <c r="LRO170" s="125"/>
      <c r="LRP170" s="125"/>
      <c r="LRQ170" s="125"/>
      <c r="LRR170" s="125"/>
      <c r="LRS170" s="125"/>
      <c r="LRT170" s="125"/>
      <c r="LRU170" s="125"/>
      <c r="LRV170" s="125"/>
      <c r="LRW170" s="125"/>
      <c r="LRX170" s="125"/>
      <c r="LRY170" s="125"/>
      <c r="LRZ170" s="125"/>
      <c r="LSA170" s="125"/>
      <c r="LSB170" s="125"/>
      <c r="LSC170" s="125"/>
      <c r="LSD170" s="125"/>
      <c r="LSE170" s="125"/>
      <c r="LSF170" s="125"/>
      <c r="LSG170" s="125"/>
      <c r="LSH170" s="125"/>
      <c r="LSI170" s="125"/>
      <c r="LSJ170" s="125"/>
      <c r="LSK170" s="125"/>
      <c r="LSL170" s="125"/>
      <c r="LSM170" s="125"/>
      <c r="LSN170" s="125"/>
      <c r="LSO170" s="125"/>
      <c r="LSP170" s="125"/>
      <c r="LSQ170" s="125"/>
      <c r="LSR170" s="125"/>
      <c r="LSS170" s="125"/>
      <c r="LST170" s="125"/>
      <c r="LSU170" s="125"/>
      <c r="LSV170" s="125"/>
      <c r="LSW170" s="125"/>
      <c r="LSX170" s="125"/>
      <c r="LSY170" s="125"/>
      <c r="LSZ170" s="125"/>
      <c r="LTA170" s="125"/>
      <c r="LTB170" s="125"/>
      <c r="LTC170" s="125"/>
      <c r="LTD170" s="125"/>
      <c r="LTE170" s="125"/>
      <c r="LTF170" s="125"/>
      <c r="LTG170" s="125"/>
      <c r="LTH170" s="125"/>
      <c r="LTI170" s="125"/>
      <c r="LTJ170" s="125"/>
      <c r="LTK170" s="125"/>
      <c r="LTL170" s="125"/>
      <c r="LTM170" s="125"/>
      <c r="LTN170" s="125"/>
      <c r="LTO170" s="125"/>
      <c r="LTP170" s="125"/>
      <c r="LTQ170" s="125"/>
      <c r="LTR170" s="125"/>
      <c r="LTS170" s="125"/>
      <c r="LTT170" s="125"/>
      <c r="LTU170" s="125"/>
      <c r="LTV170" s="125"/>
      <c r="LTW170" s="125"/>
      <c r="LTX170" s="125"/>
      <c r="LTY170" s="125"/>
      <c r="LTZ170" s="125"/>
      <c r="LUA170" s="125"/>
      <c r="LUB170" s="125"/>
      <c r="LUC170" s="125"/>
      <c r="LUD170" s="125"/>
      <c r="LUE170" s="125"/>
      <c r="LUF170" s="125"/>
      <c r="LUG170" s="125"/>
      <c r="LUH170" s="125"/>
      <c r="LUI170" s="125"/>
      <c r="LUJ170" s="125"/>
      <c r="LUK170" s="125"/>
      <c r="LUL170" s="125"/>
      <c r="LUM170" s="125"/>
      <c r="LUN170" s="125"/>
      <c r="LUO170" s="125"/>
      <c r="LUP170" s="125"/>
      <c r="LUQ170" s="125"/>
      <c r="LUR170" s="125"/>
      <c r="LUS170" s="125"/>
      <c r="LUT170" s="125"/>
      <c r="LUU170" s="125"/>
      <c r="LUV170" s="125"/>
      <c r="LUW170" s="125"/>
      <c r="LUX170" s="125"/>
      <c r="LUY170" s="125"/>
      <c r="LUZ170" s="125"/>
      <c r="LVA170" s="125"/>
      <c r="LVB170" s="125"/>
      <c r="LVC170" s="125"/>
      <c r="LVD170" s="125"/>
      <c r="LVE170" s="125"/>
      <c r="LVF170" s="125"/>
      <c r="LVG170" s="125"/>
      <c r="LVH170" s="125"/>
      <c r="LVI170" s="125"/>
      <c r="LVJ170" s="125"/>
      <c r="LVK170" s="125"/>
      <c r="LVL170" s="125"/>
      <c r="LVM170" s="125"/>
      <c r="LVN170" s="125"/>
      <c r="LVO170" s="125"/>
      <c r="LVP170" s="125"/>
      <c r="LVQ170" s="125"/>
      <c r="LVR170" s="125"/>
      <c r="LVS170" s="125"/>
      <c r="LVT170" s="125"/>
      <c r="LVU170" s="125"/>
      <c r="LVV170" s="125"/>
      <c r="LVW170" s="125"/>
      <c r="LVX170" s="125"/>
      <c r="LVY170" s="125"/>
      <c r="LVZ170" s="125"/>
      <c r="LWA170" s="125"/>
      <c r="LWB170" s="125"/>
      <c r="LWC170" s="125"/>
      <c r="LWD170" s="125"/>
      <c r="LWE170" s="125"/>
      <c r="LWF170" s="125"/>
      <c r="LWG170" s="125"/>
      <c r="LWH170" s="125"/>
      <c r="LWI170" s="125"/>
      <c r="LWJ170" s="125"/>
      <c r="LWK170" s="125"/>
      <c r="LWL170" s="125"/>
      <c r="LWM170" s="125"/>
      <c r="LWN170" s="125"/>
      <c r="LWO170" s="125"/>
      <c r="LWP170" s="125"/>
      <c r="LWQ170" s="125"/>
      <c r="LWR170" s="125"/>
      <c r="LWS170" s="125"/>
      <c r="LWT170" s="125"/>
      <c r="LWU170" s="125"/>
      <c r="LWV170" s="125"/>
      <c r="LWW170" s="125"/>
      <c r="LWX170" s="125"/>
      <c r="LWY170" s="125"/>
      <c r="LWZ170" s="125"/>
      <c r="LXA170" s="125"/>
      <c r="LXB170" s="125"/>
      <c r="LXC170" s="125"/>
      <c r="LXD170" s="125"/>
      <c r="LXE170" s="125"/>
      <c r="LXF170" s="125"/>
      <c r="LXG170" s="125"/>
      <c r="LXH170" s="125"/>
      <c r="LXI170" s="125"/>
      <c r="LXJ170" s="125"/>
      <c r="LXK170" s="125"/>
      <c r="LXL170" s="125"/>
      <c r="LXM170" s="125"/>
      <c r="LXN170" s="125"/>
      <c r="LXO170" s="125"/>
      <c r="LXP170" s="125"/>
      <c r="LXQ170" s="125"/>
      <c r="LXR170" s="125"/>
      <c r="LXS170" s="125"/>
      <c r="LXT170" s="125"/>
      <c r="LXU170" s="125"/>
      <c r="LXV170" s="125"/>
      <c r="LXW170" s="125"/>
      <c r="LXX170" s="125"/>
      <c r="LXY170" s="125"/>
      <c r="LXZ170" s="125"/>
      <c r="LYA170" s="125"/>
      <c r="LYB170" s="125"/>
      <c r="LYC170" s="125"/>
      <c r="LYD170" s="125"/>
      <c r="LYE170" s="125"/>
      <c r="LYF170" s="125"/>
      <c r="LYG170" s="125"/>
      <c r="LYH170" s="125"/>
      <c r="LYI170" s="125"/>
      <c r="LYJ170" s="125"/>
      <c r="LYK170" s="125"/>
      <c r="LYL170" s="125"/>
      <c r="LYM170" s="125"/>
      <c r="LYN170" s="125"/>
      <c r="LYO170" s="125"/>
      <c r="LYP170" s="125"/>
      <c r="LYQ170" s="125"/>
      <c r="LYR170" s="125"/>
      <c r="LYS170" s="125"/>
      <c r="LYT170" s="125"/>
      <c r="LYU170" s="125"/>
      <c r="LYV170" s="125"/>
      <c r="LYW170" s="125"/>
      <c r="LYX170" s="125"/>
      <c r="LYY170" s="125"/>
      <c r="LYZ170" s="125"/>
      <c r="LZA170" s="125"/>
      <c r="LZB170" s="125"/>
      <c r="LZC170" s="125"/>
      <c r="LZD170" s="125"/>
      <c r="LZE170" s="125"/>
      <c r="LZF170" s="125"/>
      <c r="LZG170" s="125"/>
      <c r="LZH170" s="125"/>
      <c r="LZI170" s="125"/>
      <c r="LZJ170" s="125"/>
      <c r="LZK170" s="125"/>
      <c r="LZL170" s="125"/>
      <c r="LZM170" s="125"/>
      <c r="LZN170" s="125"/>
      <c r="LZO170" s="125"/>
      <c r="LZP170" s="125"/>
      <c r="LZQ170" s="125"/>
      <c r="LZR170" s="125"/>
      <c r="LZS170" s="125"/>
      <c r="LZT170" s="125"/>
      <c r="LZU170" s="125"/>
      <c r="LZV170" s="125"/>
      <c r="LZW170" s="125"/>
      <c r="LZX170" s="125"/>
      <c r="LZY170" s="125"/>
      <c r="LZZ170" s="125"/>
      <c r="MAA170" s="125"/>
      <c r="MAB170" s="125"/>
      <c r="MAC170" s="125"/>
      <c r="MAD170" s="125"/>
      <c r="MAE170" s="125"/>
      <c r="MAF170" s="125"/>
      <c r="MAG170" s="125"/>
      <c r="MAH170" s="125"/>
      <c r="MAI170" s="125"/>
      <c r="MAJ170" s="125"/>
      <c r="MAK170" s="125"/>
      <c r="MAL170" s="125"/>
      <c r="MAM170" s="125"/>
      <c r="MAN170" s="125"/>
      <c r="MAO170" s="125"/>
      <c r="MAP170" s="125"/>
      <c r="MAQ170" s="125"/>
      <c r="MAR170" s="125"/>
      <c r="MAS170" s="125"/>
      <c r="MAT170" s="125"/>
      <c r="MAU170" s="125"/>
      <c r="MAV170" s="125"/>
      <c r="MAW170" s="125"/>
      <c r="MAX170" s="125"/>
      <c r="MAY170" s="125"/>
      <c r="MAZ170" s="125"/>
      <c r="MBA170" s="125"/>
      <c r="MBB170" s="125"/>
      <c r="MBC170" s="125"/>
      <c r="MBD170" s="125"/>
      <c r="MBE170" s="125"/>
      <c r="MBF170" s="125"/>
      <c r="MBG170" s="125"/>
      <c r="MBH170" s="125"/>
      <c r="MBI170" s="125"/>
      <c r="MBJ170" s="125"/>
      <c r="MBK170" s="125"/>
      <c r="MBL170" s="125"/>
      <c r="MBM170" s="125"/>
      <c r="MBN170" s="125"/>
      <c r="MBO170" s="125"/>
      <c r="MBP170" s="125"/>
      <c r="MBQ170" s="125"/>
      <c r="MBR170" s="125"/>
      <c r="MBS170" s="125"/>
      <c r="MBT170" s="125"/>
      <c r="MBU170" s="125"/>
      <c r="MBV170" s="125"/>
      <c r="MBW170" s="125"/>
      <c r="MBX170" s="125"/>
      <c r="MBY170" s="125"/>
      <c r="MBZ170" s="125"/>
      <c r="MCA170" s="125"/>
      <c r="MCB170" s="125"/>
      <c r="MCC170" s="125"/>
      <c r="MCD170" s="125"/>
      <c r="MCE170" s="125"/>
      <c r="MCF170" s="125"/>
      <c r="MCG170" s="125"/>
      <c r="MCH170" s="125"/>
      <c r="MCI170" s="125"/>
      <c r="MCJ170" s="125"/>
      <c r="MCK170" s="125"/>
      <c r="MCL170" s="125"/>
      <c r="MCM170" s="125"/>
      <c r="MCN170" s="125"/>
      <c r="MCO170" s="125"/>
      <c r="MCP170" s="125"/>
      <c r="MCQ170" s="125"/>
      <c r="MCR170" s="125"/>
      <c r="MCS170" s="125"/>
      <c r="MCT170" s="125"/>
      <c r="MCU170" s="125"/>
      <c r="MCV170" s="125"/>
      <c r="MCW170" s="125"/>
      <c r="MCX170" s="125"/>
      <c r="MCY170" s="125"/>
      <c r="MCZ170" s="125"/>
      <c r="MDA170" s="125"/>
      <c r="MDB170" s="125"/>
      <c r="MDC170" s="125"/>
      <c r="MDD170" s="125"/>
      <c r="MDE170" s="125"/>
      <c r="MDF170" s="125"/>
      <c r="MDG170" s="125"/>
      <c r="MDH170" s="125"/>
      <c r="MDI170" s="125"/>
      <c r="MDJ170" s="125"/>
      <c r="MDK170" s="125"/>
      <c r="MDL170" s="125"/>
      <c r="MDM170" s="125"/>
      <c r="MDN170" s="125"/>
      <c r="MDO170" s="125"/>
      <c r="MDP170" s="125"/>
      <c r="MDQ170" s="125"/>
      <c r="MDR170" s="125"/>
      <c r="MDS170" s="125"/>
      <c r="MDT170" s="125"/>
      <c r="MDU170" s="125"/>
      <c r="MDV170" s="125"/>
      <c r="MDW170" s="125"/>
      <c r="MDX170" s="125"/>
      <c r="MDY170" s="125"/>
      <c r="MDZ170" s="125"/>
      <c r="MEA170" s="125"/>
      <c r="MEB170" s="125"/>
      <c r="MEC170" s="125"/>
      <c r="MED170" s="125"/>
      <c r="MEE170" s="125"/>
      <c r="MEF170" s="125"/>
      <c r="MEG170" s="125"/>
      <c r="MEH170" s="125"/>
      <c r="MEI170" s="125"/>
      <c r="MEJ170" s="125"/>
      <c r="MEK170" s="125"/>
      <c r="MEL170" s="125"/>
      <c r="MEM170" s="125"/>
      <c r="MEN170" s="125"/>
      <c r="MEO170" s="125"/>
      <c r="MEP170" s="125"/>
      <c r="MEQ170" s="125"/>
      <c r="MER170" s="125"/>
      <c r="MES170" s="125"/>
      <c r="MET170" s="125"/>
      <c r="MEU170" s="125"/>
      <c r="MEV170" s="125"/>
      <c r="MEW170" s="125"/>
      <c r="MEX170" s="125"/>
      <c r="MEY170" s="125"/>
      <c r="MEZ170" s="125"/>
      <c r="MFA170" s="125"/>
      <c r="MFB170" s="125"/>
      <c r="MFC170" s="125"/>
      <c r="MFD170" s="125"/>
      <c r="MFE170" s="125"/>
      <c r="MFF170" s="125"/>
      <c r="MFG170" s="125"/>
      <c r="MFH170" s="125"/>
      <c r="MFI170" s="125"/>
      <c r="MFJ170" s="125"/>
      <c r="MFK170" s="125"/>
      <c r="MFL170" s="125"/>
      <c r="MFM170" s="125"/>
      <c r="MFN170" s="125"/>
      <c r="MFO170" s="125"/>
      <c r="MFP170" s="125"/>
      <c r="MFQ170" s="125"/>
      <c r="MFR170" s="125"/>
      <c r="MFS170" s="125"/>
      <c r="MFT170" s="125"/>
      <c r="MFU170" s="125"/>
      <c r="MFV170" s="125"/>
      <c r="MFW170" s="125"/>
      <c r="MFX170" s="125"/>
      <c r="MFY170" s="125"/>
      <c r="MFZ170" s="125"/>
      <c r="MGA170" s="125"/>
      <c r="MGB170" s="125"/>
      <c r="MGC170" s="125"/>
      <c r="MGD170" s="125"/>
      <c r="MGE170" s="125"/>
      <c r="MGF170" s="125"/>
      <c r="MGG170" s="125"/>
      <c r="MGH170" s="125"/>
      <c r="MGI170" s="125"/>
      <c r="MGJ170" s="125"/>
      <c r="MGK170" s="125"/>
      <c r="MGL170" s="125"/>
      <c r="MGM170" s="125"/>
      <c r="MGN170" s="125"/>
      <c r="MGO170" s="125"/>
      <c r="MGP170" s="125"/>
      <c r="MGQ170" s="125"/>
      <c r="MGR170" s="125"/>
      <c r="MGS170" s="125"/>
      <c r="MGT170" s="125"/>
      <c r="MGU170" s="125"/>
      <c r="MGV170" s="125"/>
      <c r="MGW170" s="125"/>
      <c r="MGX170" s="125"/>
      <c r="MGY170" s="125"/>
      <c r="MGZ170" s="125"/>
      <c r="MHA170" s="125"/>
      <c r="MHB170" s="125"/>
      <c r="MHC170" s="125"/>
      <c r="MHD170" s="125"/>
      <c r="MHE170" s="125"/>
      <c r="MHF170" s="125"/>
      <c r="MHG170" s="125"/>
      <c r="MHH170" s="125"/>
      <c r="MHI170" s="125"/>
      <c r="MHJ170" s="125"/>
      <c r="MHK170" s="125"/>
      <c r="MHL170" s="125"/>
      <c r="MHM170" s="125"/>
      <c r="MHN170" s="125"/>
      <c r="MHO170" s="125"/>
      <c r="MHP170" s="125"/>
      <c r="MHQ170" s="125"/>
      <c r="MHR170" s="125"/>
      <c r="MHS170" s="125"/>
      <c r="MHT170" s="125"/>
      <c r="MHU170" s="125"/>
      <c r="MHV170" s="125"/>
      <c r="MHW170" s="125"/>
      <c r="MHX170" s="125"/>
      <c r="MHY170" s="125"/>
      <c r="MHZ170" s="125"/>
      <c r="MIA170" s="125"/>
      <c r="MIB170" s="125"/>
      <c r="MIC170" s="125"/>
      <c r="MID170" s="125"/>
      <c r="MIE170" s="125"/>
      <c r="MIF170" s="125"/>
      <c r="MIG170" s="125"/>
      <c r="MIH170" s="125"/>
      <c r="MII170" s="125"/>
      <c r="MIJ170" s="125"/>
      <c r="MIK170" s="125"/>
      <c r="MIL170" s="125"/>
      <c r="MIM170" s="125"/>
      <c r="MIN170" s="125"/>
      <c r="MIO170" s="125"/>
      <c r="MIP170" s="125"/>
      <c r="MIQ170" s="125"/>
      <c r="MIR170" s="125"/>
      <c r="MIS170" s="125"/>
      <c r="MIT170" s="125"/>
      <c r="MIU170" s="125"/>
      <c r="MIV170" s="125"/>
      <c r="MIW170" s="125"/>
      <c r="MIX170" s="125"/>
      <c r="MIY170" s="125"/>
      <c r="MIZ170" s="125"/>
      <c r="MJA170" s="125"/>
      <c r="MJB170" s="125"/>
      <c r="MJC170" s="125"/>
      <c r="MJD170" s="125"/>
      <c r="MJE170" s="125"/>
      <c r="MJF170" s="125"/>
      <c r="MJG170" s="125"/>
      <c r="MJH170" s="125"/>
      <c r="MJI170" s="125"/>
      <c r="MJJ170" s="125"/>
      <c r="MJK170" s="125"/>
      <c r="MJL170" s="125"/>
      <c r="MJM170" s="125"/>
      <c r="MJN170" s="125"/>
      <c r="MJO170" s="125"/>
      <c r="MJP170" s="125"/>
      <c r="MJQ170" s="125"/>
      <c r="MJR170" s="125"/>
      <c r="MJS170" s="125"/>
      <c r="MJT170" s="125"/>
      <c r="MJU170" s="125"/>
      <c r="MJV170" s="125"/>
      <c r="MJW170" s="125"/>
      <c r="MJX170" s="125"/>
      <c r="MJY170" s="125"/>
      <c r="MJZ170" s="125"/>
      <c r="MKA170" s="125"/>
      <c r="MKB170" s="125"/>
      <c r="MKC170" s="125"/>
      <c r="MKD170" s="125"/>
      <c r="MKE170" s="125"/>
      <c r="MKF170" s="125"/>
      <c r="MKG170" s="125"/>
      <c r="MKH170" s="125"/>
      <c r="MKI170" s="125"/>
      <c r="MKJ170" s="125"/>
      <c r="MKK170" s="125"/>
      <c r="MKL170" s="125"/>
      <c r="MKM170" s="125"/>
      <c r="MKN170" s="125"/>
      <c r="MKO170" s="125"/>
      <c r="MKP170" s="125"/>
      <c r="MKQ170" s="125"/>
      <c r="MKR170" s="125"/>
      <c r="MKS170" s="125"/>
      <c r="MKT170" s="125"/>
      <c r="MKU170" s="125"/>
      <c r="MKV170" s="125"/>
      <c r="MKW170" s="125"/>
      <c r="MKX170" s="125"/>
      <c r="MKY170" s="125"/>
      <c r="MKZ170" s="125"/>
      <c r="MLA170" s="125"/>
      <c r="MLB170" s="125"/>
      <c r="MLC170" s="125"/>
      <c r="MLD170" s="125"/>
      <c r="MLE170" s="125"/>
      <c r="MLF170" s="125"/>
      <c r="MLG170" s="125"/>
      <c r="MLH170" s="125"/>
      <c r="MLI170" s="125"/>
      <c r="MLJ170" s="125"/>
      <c r="MLK170" s="125"/>
      <c r="MLL170" s="125"/>
      <c r="MLM170" s="125"/>
      <c r="MLN170" s="125"/>
      <c r="MLO170" s="125"/>
      <c r="MLP170" s="125"/>
      <c r="MLQ170" s="125"/>
      <c r="MLR170" s="125"/>
      <c r="MLS170" s="125"/>
      <c r="MLT170" s="125"/>
      <c r="MLU170" s="125"/>
      <c r="MLV170" s="125"/>
      <c r="MLW170" s="125"/>
      <c r="MLX170" s="125"/>
      <c r="MLY170" s="125"/>
      <c r="MLZ170" s="125"/>
      <c r="MMA170" s="125"/>
      <c r="MMB170" s="125"/>
      <c r="MMC170" s="125"/>
      <c r="MMD170" s="125"/>
      <c r="MME170" s="125"/>
      <c r="MMF170" s="125"/>
      <c r="MMG170" s="125"/>
      <c r="MMH170" s="125"/>
      <c r="MMI170" s="125"/>
      <c r="MMJ170" s="125"/>
      <c r="MMK170" s="125"/>
      <c r="MML170" s="125"/>
      <c r="MMM170" s="125"/>
      <c r="MMN170" s="125"/>
      <c r="MMO170" s="125"/>
      <c r="MMP170" s="125"/>
      <c r="MMQ170" s="125"/>
      <c r="MMR170" s="125"/>
      <c r="MMS170" s="125"/>
      <c r="MMT170" s="125"/>
      <c r="MMU170" s="125"/>
      <c r="MMV170" s="125"/>
      <c r="MMW170" s="125"/>
      <c r="MMX170" s="125"/>
      <c r="MMY170" s="125"/>
      <c r="MMZ170" s="125"/>
      <c r="MNA170" s="125"/>
      <c r="MNB170" s="125"/>
      <c r="MNC170" s="125"/>
      <c r="MND170" s="125"/>
      <c r="MNE170" s="125"/>
      <c r="MNF170" s="125"/>
      <c r="MNG170" s="125"/>
      <c r="MNH170" s="125"/>
      <c r="MNI170" s="125"/>
      <c r="MNJ170" s="125"/>
      <c r="MNK170" s="125"/>
      <c r="MNL170" s="125"/>
      <c r="MNM170" s="125"/>
      <c r="MNN170" s="125"/>
      <c r="MNO170" s="125"/>
      <c r="MNP170" s="125"/>
      <c r="MNQ170" s="125"/>
      <c r="MNR170" s="125"/>
      <c r="MNS170" s="125"/>
      <c r="MNT170" s="125"/>
      <c r="MNU170" s="125"/>
      <c r="MNV170" s="125"/>
      <c r="MNW170" s="125"/>
      <c r="MNX170" s="125"/>
      <c r="MNY170" s="125"/>
      <c r="MNZ170" s="125"/>
      <c r="MOA170" s="125"/>
      <c r="MOB170" s="125"/>
      <c r="MOC170" s="125"/>
      <c r="MOD170" s="125"/>
      <c r="MOE170" s="125"/>
      <c r="MOF170" s="125"/>
      <c r="MOG170" s="125"/>
      <c r="MOH170" s="125"/>
      <c r="MOI170" s="125"/>
      <c r="MOJ170" s="125"/>
      <c r="MOK170" s="125"/>
      <c r="MOL170" s="125"/>
      <c r="MOM170" s="125"/>
      <c r="MON170" s="125"/>
      <c r="MOO170" s="125"/>
      <c r="MOP170" s="125"/>
      <c r="MOQ170" s="125"/>
      <c r="MOR170" s="125"/>
      <c r="MOS170" s="125"/>
      <c r="MOT170" s="125"/>
      <c r="MOU170" s="125"/>
      <c r="MOV170" s="125"/>
      <c r="MOW170" s="125"/>
      <c r="MOX170" s="125"/>
      <c r="MOY170" s="125"/>
      <c r="MOZ170" s="125"/>
      <c r="MPA170" s="125"/>
      <c r="MPB170" s="125"/>
      <c r="MPC170" s="125"/>
      <c r="MPD170" s="125"/>
      <c r="MPE170" s="125"/>
      <c r="MPF170" s="125"/>
      <c r="MPG170" s="125"/>
      <c r="MPH170" s="125"/>
      <c r="MPI170" s="125"/>
      <c r="MPJ170" s="125"/>
      <c r="MPK170" s="125"/>
      <c r="MPL170" s="125"/>
      <c r="MPM170" s="125"/>
      <c r="MPN170" s="125"/>
      <c r="MPO170" s="125"/>
      <c r="MPP170" s="125"/>
      <c r="MPQ170" s="125"/>
      <c r="MPR170" s="125"/>
      <c r="MPS170" s="125"/>
      <c r="MPT170" s="125"/>
      <c r="MPU170" s="125"/>
      <c r="MPV170" s="125"/>
      <c r="MPW170" s="125"/>
      <c r="MPX170" s="125"/>
      <c r="MPY170" s="125"/>
      <c r="MPZ170" s="125"/>
      <c r="MQA170" s="125"/>
      <c r="MQB170" s="125"/>
      <c r="MQC170" s="125"/>
      <c r="MQD170" s="125"/>
      <c r="MQE170" s="125"/>
      <c r="MQF170" s="125"/>
      <c r="MQG170" s="125"/>
      <c r="MQH170" s="125"/>
      <c r="MQI170" s="125"/>
      <c r="MQJ170" s="125"/>
      <c r="MQK170" s="125"/>
      <c r="MQL170" s="125"/>
      <c r="MQM170" s="125"/>
      <c r="MQN170" s="125"/>
      <c r="MQO170" s="125"/>
      <c r="MQP170" s="125"/>
      <c r="MQQ170" s="125"/>
      <c r="MQR170" s="125"/>
      <c r="MQS170" s="125"/>
      <c r="MQT170" s="125"/>
      <c r="MQU170" s="125"/>
      <c r="MQV170" s="125"/>
      <c r="MQW170" s="125"/>
      <c r="MQX170" s="125"/>
      <c r="MQY170" s="125"/>
      <c r="MQZ170" s="125"/>
      <c r="MRA170" s="125"/>
      <c r="MRB170" s="125"/>
      <c r="MRC170" s="125"/>
      <c r="MRD170" s="125"/>
      <c r="MRE170" s="125"/>
      <c r="MRF170" s="125"/>
      <c r="MRG170" s="125"/>
      <c r="MRH170" s="125"/>
      <c r="MRI170" s="125"/>
      <c r="MRJ170" s="125"/>
      <c r="MRK170" s="125"/>
      <c r="MRL170" s="125"/>
      <c r="MRM170" s="125"/>
      <c r="MRN170" s="125"/>
      <c r="MRO170" s="125"/>
      <c r="MRP170" s="125"/>
      <c r="MRQ170" s="125"/>
      <c r="MRR170" s="125"/>
      <c r="MRS170" s="125"/>
      <c r="MRT170" s="125"/>
      <c r="MRU170" s="125"/>
      <c r="MRV170" s="125"/>
      <c r="MRW170" s="125"/>
      <c r="MRX170" s="125"/>
      <c r="MRY170" s="125"/>
      <c r="MRZ170" s="125"/>
      <c r="MSA170" s="125"/>
      <c r="MSB170" s="125"/>
      <c r="MSC170" s="125"/>
      <c r="MSD170" s="125"/>
      <c r="MSE170" s="125"/>
      <c r="MSF170" s="125"/>
      <c r="MSG170" s="125"/>
      <c r="MSH170" s="125"/>
      <c r="MSI170" s="125"/>
      <c r="MSJ170" s="125"/>
      <c r="MSK170" s="125"/>
      <c r="MSL170" s="125"/>
      <c r="MSM170" s="125"/>
      <c r="MSN170" s="125"/>
      <c r="MSO170" s="125"/>
      <c r="MSP170" s="125"/>
      <c r="MSQ170" s="125"/>
      <c r="MSR170" s="125"/>
      <c r="MSS170" s="125"/>
      <c r="MST170" s="125"/>
      <c r="MSU170" s="125"/>
      <c r="MSV170" s="125"/>
      <c r="MSW170" s="125"/>
      <c r="MSX170" s="125"/>
      <c r="MSY170" s="125"/>
      <c r="MSZ170" s="125"/>
      <c r="MTA170" s="125"/>
      <c r="MTB170" s="125"/>
      <c r="MTC170" s="125"/>
      <c r="MTD170" s="125"/>
      <c r="MTE170" s="125"/>
      <c r="MTF170" s="125"/>
      <c r="MTG170" s="125"/>
      <c r="MTH170" s="125"/>
      <c r="MTI170" s="125"/>
      <c r="MTJ170" s="125"/>
      <c r="MTK170" s="125"/>
      <c r="MTL170" s="125"/>
      <c r="MTM170" s="125"/>
      <c r="MTN170" s="125"/>
      <c r="MTO170" s="125"/>
      <c r="MTP170" s="125"/>
      <c r="MTQ170" s="125"/>
      <c r="MTR170" s="125"/>
      <c r="MTS170" s="125"/>
      <c r="MTT170" s="125"/>
      <c r="MTU170" s="125"/>
      <c r="MTV170" s="125"/>
      <c r="MTW170" s="125"/>
      <c r="MTX170" s="125"/>
      <c r="MTY170" s="125"/>
      <c r="MTZ170" s="125"/>
      <c r="MUA170" s="125"/>
      <c r="MUB170" s="125"/>
      <c r="MUC170" s="125"/>
      <c r="MUD170" s="125"/>
      <c r="MUE170" s="125"/>
      <c r="MUF170" s="125"/>
      <c r="MUG170" s="125"/>
      <c r="MUH170" s="125"/>
      <c r="MUI170" s="125"/>
      <c r="MUJ170" s="125"/>
      <c r="MUK170" s="125"/>
      <c r="MUL170" s="125"/>
      <c r="MUM170" s="125"/>
      <c r="MUN170" s="125"/>
      <c r="MUO170" s="125"/>
      <c r="MUP170" s="125"/>
      <c r="MUQ170" s="125"/>
      <c r="MUR170" s="125"/>
      <c r="MUS170" s="125"/>
      <c r="MUT170" s="125"/>
      <c r="MUU170" s="125"/>
      <c r="MUV170" s="125"/>
      <c r="MUW170" s="125"/>
      <c r="MUX170" s="125"/>
      <c r="MUY170" s="125"/>
      <c r="MUZ170" s="125"/>
      <c r="MVA170" s="125"/>
      <c r="MVB170" s="125"/>
      <c r="MVC170" s="125"/>
      <c r="MVD170" s="125"/>
      <c r="MVE170" s="125"/>
      <c r="MVF170" s="125"/>
      <c r="MVG170" s="125"/>
      <c r="MVH170" s="125"/>
      <c r="MVI170" s="125"/>
      <c r="MVJ170" s="125"/>
      <c r="MVK170" s="125"/>
      <c r="MVL170" s="125"/>
      <c r="MVM170" s="125"/>
      <c r="MVN170" s="125"/>
      <c r="MVO170" s="125"/>
      <c r="MVP170" s="125"/>
      <c r="MVQ170" s="125"/>
      <c r="MVR170" s="125"/>
      <c r="MVS170" s="125"/>
      <c r="MVT170" s="125"/>
      <c r="MVU170" s="125"/>
      <c r="MVV170" s="125"/>
      <c r="MVW170" s="125"/>
      <c r="MVX170" s="125"/>
      <c r="MVY170" s="125"/>
      <c r="MVZ170" s="125"/>
      <c r="MWA170" s="125"/>
      <c r="MWB170" s="125"/>
      <c r="MWC170" s="125"/>
      <c r="MWD170" s="125"/>
      <c r="MWE170" s="125"/>
      <c r="MWF170" s="125"/>
      <c r="MWG170" s="125"/>
      <c r="MWH170" s="125"/>
      <c r="MWI170" s="125"/>
      <c r="MWJ170" s="125"/>
      <c r="MWK170" s="125"/>
      <c r="MWL170" s="125"/>
      <c r="MWM170" s="125"/>
      <c r="MWN170" s="125"/>
      <c r="MWO170" s="125"/>
      <c r="MWP170" s="125"/>
      <c r="MWQ170" s="125"/>
      <c r="MWR170" s="125"/>
      <c r="MWS170" s="125"/>
      <c r="MWT170" s="125"/>
      <c r="MWU170" s="125"/>
      <c r="MWV170" s="125"/>
      <c r="MWW170" s="125"/>
      <c r="MWX170" s="125"/>
      <c r="MWY170" s="125"/>
      <c r="MWZ170" s="125"/>
      <c r="MXA170" s="125"/>
      <c r="MXB170" s="125"/>
      <c r="MXC170" s="125"/>
      <c r="MXD170" s="125"/>
      <c r="MXE170" s="125"/>
      <c r="MXF170" s="125"/>
      <c r="MXG170" s="125"/>
      <c r="MXH170" s="125"/>
      <c r="MXI170" s="125"/>
      <c r="MXJ170" s="125"/>
      <c r="MXK170" s="125"/>
      <c r="MXL170" s="125"/>
      <c r="MXM170" s="125"/>
      <c r="MXN170" s="125"/>
      <c r="MXO170" s="125"/>
      <c r="MXP170" s="125"/>
      <c r="MXQ170" s="125"/>
      <c r="MXR170" s="125"/>
      <c r="MXS170" s="125"/>
      <c r="MXT170" s="125"/>
      <c r="MXU170" s="125"/>
      <c r="MXV170" s="125"/>
      <c r="MXW170" s="125"/>
      <c r="MXX170" s="125"/>
      <c r="MXY170" s="125"/>
      <c r="MXZ170" s="125"/>
      <c r="MYA170" s="125"/>
      <c r="MYB170" s="125"/>
      <c r="MYC170" s="125"/>
      <c r="MYD170" s="125"/>
      <c r="MYE170" s="125"/>
      <c r="MYF170" s="125"/>
      <c r="MYG170" s="125"/>
      <c r="MYH170" s="125"/>
      <c r="MYI170" s="125"/>
      <c r="MYJ170" s="125"/>
      <c r="MYK170" s="125"/>
      <c r="MYL170" s="125"/>
      <c r="MYM170" s="125"/>
      <c r="MYN170" s="125"/>
      <c r="MYO170" s="125"/>
      <c r="MYP170" s="125"/>
      <c r="MYQ170" s="125"/>
      <c r="MYR170" s="125"/>
      <c r="MYS170" s="125"/>
      <c r="MYT170" s="125"/>
      <c r="MYU170" s="125"/>
      <c r="MYV170" s="125"/>
      <c r="MYW170" s="125"/>
      <c r="MYX170" s="125"/>
      <c r="MYY170" s="125"/>
      <c r="MYZ170" s="125"/>
      <c r="MZA170" s="125"/>
      <c r="MZB170" s="125"/>
      <c r="MZC170" s="125"/>
      <c r="MZD170" s="125"/>
      <c r="MZE170" s="125"/>
      <c r="MZF170" s="125"/>
      <c r="MZG170" s="125"/>
      <c r="MZH170" s="125"/>
      <c r="MZI170" s="125"/>
      <c r="MZJ170" s="125"/>
      <c r="MZK170" s="125"/>
      <c r="MZL170" s="125"/>
      <c r="MZM170" s="125"/>
      <c r="MZN170" s="125"/>
      <c r="MZO170" s="125"/>
      <c r="MZP170" s="125"/>
      <c r="MZQ170" s="125"/>
      <c r="MZR170" s="125"/>
      <c r="MZS170" s="125"/>
      <c r="MZT170" s="125"/>
      <c r="MZU170" s="125"/>
      <c r="MZV170" s="125"/>
      <c r="MZW170" s="125"/>
      <c r="MZX170" s="125"/>
      <c r="MZY170" s="125"/>
      <c r="MZZ170" s="125"/>
      <c r="NAA170" s="125"/>
      <c r="NAB170" s="125"/>
      <c r="NAC170" s="125"/>
      <c r="NAD170" s="125"/>
      <c r="NAE170" s="125"/>
      <c r="NAF170" s="125"/>
      <c r="NAG170" s="125"/>
      <c r="NAH170" s="125"/>
      <c r="NAI170" s="125"/>
      <c r="NAJ170" s="125"/>
      <c r="NAK170" s="125"/>
      <c r="NAL170" s="125"/>
      <c r="NAM170" s="125"/>
      <c r="NAN170" s="125"/>
      <c r="NAO170" s="125"/>
      <c r="NAP170" s="125"/>
      <c r="NAQ170" s="125"/>
      <c r="NAR170" s="125"/>
      <c r="NAS170" s="125"/>
      <c r="NAT170" s="125"/>
      <c r="NAU170" s="125"/>
      <c r="NAV170" s="125"/>
      <c r="NAW170" s="125"/>
      <c r="NAX170" s="125"/>
      <c r="NAY170" s="125"/>
      <c r="NAZ170" s="125"/>
      <c r="NBA170" s="125"/>
      <c r="NBB170" s="125"/>
      <c r="NBC170" s="125"/>
      <c r="NBD170" s="125"/>
      <c r="NBE170" s="125"/>
      <c r="NBF170" s="125"/>
      <c r="NBG170" s="125"/>
      <c r="NBH170" s="125"/>
      <c r="NBI170" s="125"/>
      <c r="NBJ170" s="125"/>
      <c r="NBK170" s="125"/>
      <c r="NBL170" s="125"/>
      <c r="NBM170" s="125"/>
      <c r="NBN170" s="125"/>
      <c r="NBO170" s="125"/>
      <c r="NBP170" s="125"/>
      <c r="NBQ170" s="125"/>
      <c r="NBR170" s="125"/>
      <c r="NBS170" s="125"/>
      <c r="NBT170" s="125"/>
      <c r="NBU170" s="125"/>
      <c r="NBV170" s="125"/>
      <c r="NBW170" s="125"/>
      <c r="NBX170" s="125"/>
      <c r="NBY170" s="125"/>
      <c r="NBZ170" s="125"/>
      <c r="NCA170" s="125"/>
      <c r="NCB170" s="125"/>
      <c r="NCC170" s="125"/>
      <c r="NCD170" s="125"/>
      <c r="NCE170" s="125"/>
      <c r="NCF170" s="125"/>
      <c r="NCG170" s="125"/>
      <c r="NCH170" s="125"/>
      <c r="NCI170" s="125"/>
      <c r="NCJ170" s="125"/>
      <c r="NCK170" s="125"/>
      <c r="NCL170" s="125"/>
      <c r="NCM170" s="125"/>
      <c r="NCN170" s="125"/>
      <c r="NCO170" s="125"/>
      <c r="NCP170" s="125"/>
      <c r="NCQ170" s="125"/>
      <c r="NCR170" s="125"/>
      <c r="NCS170" s="125"/>
      <c r="NCT170" s="125"/>
      <c r="NCU170" s="125"/>
      <c r="NCV170" s="125"/>
      <c r="NCW170" s="125"/>
      <c r="NCX170" s="125"/>
      <c r="NCY170" s="125"/>
      <c r="NCZ170" s="125"/>
      <c r="NDA170" s="125"/>
      <c r="NDB170" s="125"/>
      <c r="NDC170" s="125"/>
      <c r="NDD170" s="125"/>
      <c r="NDE170" s="125"/>
      <c r="NDF170" s="125"/>
      <c r="NDG170" s="125"/>
      <c r="NDH170" s="125"/>
      <c r="NDI170" s="125"/>
      <c r="NDJ170" s="125"/>
      <c r="NDK170" s="125"/>
      <c r="NDL170" s="125"/>
      <c r="NDM170" s="125"/>
      <c r="NDN170" s="125"/>
      <c r="NDO170" s="125"/>
      <c r="NDP170" s="125"/>
      <c r="NDQ170" s="125"/>
      <c r="NDR170" s="125"/>
      <c r="NDS170" s="125"/>
      <c r="NDT170" s="125"/>
      <c r="NDU170" s="125"/>
      <c r="NDV170" s="125"/>
      <c r="NDW170" s="125"/>
      <c r="NDX170" s="125"/>
      <c r="NDY170" s="125"/>
      <c r="NDZ170" s="125"/>
      <c r="NEA170" s="125"/>
      <c r="NEB170" s="125"/>
      <c r="NEC170" s="125"/>
      <c r="NED170" s="125"/>
      <c r="NEE170" s="125"/>
      <c r="NEF170" s="125"/>
      <c r="NEG170" s="125"/>
      <c r="NEH170" s="125"/>
      <c r="NEI170" s="125"/>
      <c r="NEJ170" s="125"/>
      <c r="NEK170" s="125"/>
      <c r="NEL170" s="125"/>
      <c r="NEM170" s="125"/>
      <c r="NEN170" s="125"/>
      <c r="NEO170" s="125"/>
      <c r="NEP170" s="125"/>
      <c r="NEQ170" s="125"/>
      <c r="NER170" s="125"/>
      <c r="NES170" s="125"/>
      <c r="NET170" s="125"/>
      <c r="NEU170" s="125"/>
      <c r="NEV170" s="125"/>
      <c r="NEW170" s="125"/>
      <c r="NEX170" s="125"/>
      <c r="NEY170" s="125"/>
      <c r="NEZ170" s="125"/>
      <c r="NFA170" s="125"/>
      <c r="NFB170" s="125"/>
      <c r="NFC170" s="125"/>
      <c r="NFD170" s="125"/>
      <c r="NFE170" s="125"/>
      <c r="NFF170" s="125"/>
      <c r="NFG170" s="125"/>
      <c r="NFH170" s="125"/>
      <c r="NFI170" s="125"/>
      <c r="NFJ170" s="125"/>
      <c r="NFK170" s="125"/>
      <c r="NFL170" s="125"/>
      <c r="NFM170" s="125"/>
      <c r="NFN170" s="125"/>
      <c r="NFO170" s="125"/>
      <c r="NFP170" s="125"/>
      <c r="NFQ170" s="125"/>
      <c r="NFR170" s="125"/>
      <c r="NFS170" s="125"/>
      <c r="NFT170" s="125"/>
      <c r="NFU170" s="125"/>
      <c r="NFV170" s="125"/>
      <c r="NFW170" s="125"/>
      <c r="NFX170" s="125"/>
      <c r="NFY170" s="125"/>
      <c r="NFZ170" s="125"/>
      <c r="NGA170" s="125"/>
      <c r="NGB170" s="125"/>
      <c r="NGC170" s="125"/>
      <c r="NGD170" s="125"/>
      <c r="NGE170" s="125"/>
      <c r="NGF170" s="125"/>
      <c r="NGG170" s="125"/>
      <c r="NGH170" s="125"/>
      <c r="NGI170" s="125"/>
      <c r="NGJ170" s="125"/>
      <c r="NGK170" s="125"/>
      <c r="NGL170" s="125"/>
      <c r="NGM170" s="125"/>
      <c r="NGN170" s="125"/>
      <c r="NGO170" s="125"/>
      <c r="NGP170" s="125"/>
      <c r="NGQ170" s="125"/>
      <c r="NGR170" s="125"/>
      <c r="NGS170" s="125"/>
      <c r="NGT170" s="125"/>
      <c r="NGU170" s="125"/>
      <c r="NGV170" s="125"/>
      <c r="NGW170" s="125"/>
      <c r="NGX170" s="125"/>
      <c r="NGY170" s="125"/>
      <c r="NGZ170" s="125"/>
      <c r="NHA170" s="125"/>
      <c r="NHB170" s="125"/>
      <c r="NHC170" s="125"/>
      <c r="NHD170" s="125"/>
      <c r="NHE170" s="125"/>
      <c r="NHF170" s="125"/>
      <c r="NHG170" s="125"/>
      <c r="NHH170" s="125"/>
      <c r="NHI170" s="125"/>
      <c r="NHJ170" s="125"/>
      <c r="NHK170" s="125"/>
      <c r="NHL170" s="125"/>
      <c r="NHM170" s="125"/>
      <c r="NHN170" s="125"/>
      <c r="NHO170" s="125"/>
      <c r="NHP170" s="125"/>
      <c r="NHQ170" s="125"/>
      <c r="NHR170" s="125"/>
      <c r="NHS170" s="125"/>
      <c r="NHT170" s="125"/>
      <c r="NHU170" s="125"/>
      <c r="NHV170" s="125"/>
      <c r="NHW170" s="125"/>
      <c r="NHX170" s="125"/>
      <c r="NHY170" s="125"/>
      <c r="NHZ170" s="125"/>
      <c r="NIA170" s="125"/>
      <c r="NIB170" s="125"/>
      <c r="NIC170" s="125"/>
      <c r="NID170" s="125"/>
      <c r="NIE170" s="125"/>
      <c r="NIF170" s="125"/>
      <c r="NIG170" s="125"/>
      <c r="NIH170" s="125"/>
      <c r="NII170" s="125"/>
      <c r="NIJ170" s="125"/>
      <c r="NIK170" s="125"/>
      <c r="NIL170" s="125"/>
      <c r="NIM170" s="125"/>
      <c r="NIN170" s="125"/>
      <c r="NIO170" s="125"/>
      <c r="NIP170" s="125"/>
      <c r="NIQ170" s="125"/>
      <c r="NIR170" s="125"/>
      <c r="NIS170" s="125"/>
      <c r="NIT170" s="125"/>
      <c r="NIU170" s="125"/>
      <c r="NIV170" s="125"/>
      <c r="NIW170" s="125"/>
      <c r="NIX170" s="125"/>
      <c r="NIY170" s="125"/>
      <c r="NIZ170" s="125"/>
      <c r="NJA170" s="125"/>
      <c r="NJB170" s="125"/>
      <c r="NJC170" s="125"/>
      <c r="NJD170" s="125"/>
      <c r="NJE170" s="125"/>
      <c r="NJF170" s="125"/>
      <c r="NJG170" s="125"/>
      <c r="NJH170" s="125"/>
      <c r="NJI170" s="125"/>
      <c r="NJJ170" s="125"/>
      <c r="NJK170" s="125"/>
      <c r="NJL170" s="125"/>
      <c r="NJM170" s="125"/>
      <c r="NJN170" s="125"/>
      <c r="NJO170" s="125"/>
      <c r="NJP170" s="125"/>
      <c r="NJQ170" s="125"/>
      <c r="NJR170" s="125"/>
      <c r="NJS170" s="125"/>
      <c r="NJT170" s="125"/>
      <c r="NJU170" s="125"/>
      <c r="NJV170" s="125"/>
      <c r="NJW170" s="125"/>
      <c r="NJX170" s="125"/>
      <c r="NJY170" s="125"/>
      <c r="NJZ170" s="125"/>
      <c r="NKA170" s="125"/>
      <c r="NKB170" s="125"/>
      <c r="NKC170" s="125"/>
      <c r="NKD170" s="125"/>
      <c r="NKE170" s="125"/>
      <c r="NKF170" s="125"/>
      <c r="NKG170" s="125"/>
      <c r="NKH170" s="125"/>
      <c r="NKI170" s="125"/>
      <c r="NKJ170" s="125"/>
      <c r="NKK170" s="125"/>
      <c r="NKL170" s="125"/>
      <c r="NKM170" s="125"/>
      <c r="NKN170" s="125"/>
      <c r="NKO170" s="125"/>
      <c r="NKP170" s="125"/>
      <c r="NKQ170" s="125"/>
      <c r="NKR170" s="125"/>
      <c r="NKS170" s="125"/>
      <c r="NKT170" s="125"/>
      <c r="NKU170" s="125"/>
      <c r="NKV170" s="125"/>
      <c r="NKW170" s="125"/>
      <c r="NKX170" s="125"/>
      <c r="NKY170" s="125"/>
      <c r="NKZ170" s="125"/>
      <c r="NLA170" s="125"/>
      <c r="NLB170" s="125"/>
      <c r="NLC170" s="125"/>
      <c r="NLD170" s="125"/>
      <c r="NLE170" s="125"/>
      <c r="NLF170" s="125"/>
      <c r="NLG170" s="125"/>
      <c r="NLH170" s="125"/>
      <c r="NLI170" s="125"/>
      <c r="NLJ170" s="125"/>
      <c r="NLK170" s="125"/>
      <c r="NLL170" s="125"/>
      <c r="NLM170" s="125"/>
      <c r="NLN170" s="125"/>
      <c r="NLO170" s="125"/>
      <c r="NLP170" s="125"/>
      <c r="NLQ170" s="125"/>
      <c r="NLR170" s="125"/>
      <c r="NLS170" s="125"/>
      <c r="NLT170" s="125"/>
      <c r="NLU170" s="125"/>
      <c r="NLV170" s="125"/>
      <c r="NLW170" s="125"/>
      <c r="NLX170" s="125"/>
      <c r="NLY170" s="125"/>
      <c r="NLZ170" s="125"/>
      <c r="NMA170" s="125"/>
      <c r="NMB170" s="125"/>
      <c r="NMC170" s="125"/>
      <c r="NMD170" s="125"/>
      <c r="NME170" s="125"/>
      <c r="NMF170" s="125"/>
      <c r="NMG170" s="125"/>
      <c r="NMH170" s="125"/>
      <c r="NMI170" s="125"/>
      <c r="NMJ170" s="125"/>
      <c r="NMK170" s="125"/>
      <c r="NML170" s="125"/>
      <c r="NMM170" s="125"/>
      <c r="NMN170" s="125"/>
      <c r="NMO170" s="125"/>
      <c r="NMP170" s="125"/>
      <c r="NMQ170" s="125"/>
      <c r="NMR170" s="125"/>
      <c r="NMS170" s="125"/>
      <c r="NMT170" s="125"/>
      <c r="NMU170" s="125"/>
      <c r="NMV170" s="125"/>
      <c r="NMW170" s="125"/>
      <c r="NMX170" s="125"/>
      <c r="NMY170" s="125"/>
      <c r="NMZ170" s="125"/>
      <c r="NNA170" s="125"/>
      <c r="NNB170" s="125"/>
      <c r="NNC170" s="125"/>
      <c r="NND170" s="125"/>
      <c r="NNE170" s="125"/>
      <c r="NNF170" s="125"/>
      <c r="NNG170" s="125"/>
      <c r="NNH170" s="125"/>
      <c r="NNI170" s="125"/>
      <c r="NNJ170" s="125"/>
      <c r="NNK170" s="125"/>
      <c r="NNL170" s="125"/>
      <c r="NNM170" s="125"/>
      <c r="NNN170" s="125"/>
      <c r="NNO170" s="125"/>
      <c r="NNP170" s="125"/>
      <c r="NNQ170" s="125"/>
      <c r="NNR170" s="125"/>
      <c r="NNS170" s="125"/>
      <c r="NNT170" s="125"/>
      <c r="NNU170" s="125"/>
      <c r="NNV170" s="125"/>
      <c r="NNW170" s="125"/>
      <c r="NNX170" s="125"/>
      <c r="NNY170" s="125"/>
      <c r="NNZ170" s="125"/>
      <c r="NOA170" s="125"/>
      <c r="NOB170" s="125"/>
      <c r="NOC170" s="125"/>
      <c r="NOD170" s="125"/>
      <c r="NOE170" s="125"/>
      <c r="NOF170" s="125"/>
      <c r="NOG170" s="125"/>
      <c r="NOH170" s="125"/>
      <c r="NOI170" s="125"/>
      <c r="NOJ170" s="125"/>
      <c r="NOK170" s="125"/>
      <c r="NOL170" s="125"/>
      <c r="NOM170" s="125"/>
      <c r="NON170" s="125"/>
      <c r="NOO170" s="125"/>
      <c r="NOP170" s="125"/>
      <c r="NOQ170" s="125"/>
      <c r="NOR170" s="125"/>
      <c r="NOS170" s="125"/>
      <c r="NOT170" s="125"/>
      <c r="NOU170" s="125"/>
      <c r="NOV170" s="125"/>
      <c r="NOW170" s="125"/>
      <c r="NOX170" s="125"/>
      <c r="NOY170" s="125"/>
      <c r="NOZ170" s="125"/>
      <c r="NPA170" s="125"/>
      <c r="NPB170" s="125"/>
      <c r="NPC170" s="125"/>
      <c r="NPD170" s="125"/>
      <c r="NPE170" s="125"/>
      <c r="NPF170" s="125"/>
      <c r="NPG170" s="125"/>
      <c r="NPH170" s="125"/>
      <c r="NPI170" s="125"/>
      <c r="NPJ170" s="125"/>
      <c r="NPK170" s="125"/>
      <c r="NPL170" s="125"/>
      <c r="NPM170" s="125"/>
      <c r="NPN170" s="125"/>
      <c r="NPO170" s="125"/>
      <c r="NPP170" s="125"/>
      <c r="NPQ170" s="125"/>
      <c r="NPR170" s="125"/>
      <c r="NPS170" s="125"/>
      <c r="NPT170" s="125"/>
      <c r="NPU170" s="125"/>
      <c r="NPV170" s="125"/>
      <c r="NPW170" s="125"/>
      <c r="NPX170" s="125"/>
      <c r="NPY170" s="125"/>
      <c r="NPZ170" s="125"/>
      <c r="NQA170" s="125"/>
      <c r="NQB170" s="125"/>
      <c r="NQC170" s="125"/>
      <c r="NQD170" s="125"/>
      <c r="NQE170" s="125"/>
      <c r="NQF170" s="125"/>
      <c r="NQG170" s="125"/>
      <c r="NQH170" s="125"/>
      <c r="NQI170" s="125"/>
      <c r="NQJ170" s="125"/>
      <c r="NQK170" s="125"/>
      <c r="NQL170" s="125"/>
      <c r="NQM170" s="125"/>
      <c r="NQN170" s="125"/>
      <c r="NQO170" s="125"/>
      <c r="NQP170" s="125"/>
      <c r="NQQ170" s="125"/>
      <c r="NQR170" s="125"/>
      <c r="NQS170" s="125"/>
      <c r="NQT170" s="125"/>
      <c r="NQU170" s="125"/>
      <c r="NQV170" s="125"/>
      <c r="NQW170" s="125"/>
      <c r="NQX170" s="125"/>
      <c r="NQY170" s="125"/>
      <c r="NQZ170" s="125"/>
      <c r="NRA170" s="125"/>
      <c r="NRB170" s="125"/>
      <c r="NRC170" s="125"/>
      <c r="NRD170" s="125"/>
      <c r="NRE170" s="125"/>
      <c r="NRF170" s="125"/>
      <c r="NRG170" s="125"/>
      <c r="NRH170" s="125"/>
      <c r="NRI170" s="125"/>
      <c r="NRJ170" s="125"/>
      <c r="NRK170" s="125"/>
      <c r="NRL170" s="125"/>
      <c r="NRM170" s="125"/>
      <c r="NRN170" s="125"/>
      <c r="NRO170" s="125"/>
      <c r="NRP170" s="125"/>
      <c r="NRQ170" s="125"/>
      <c r="NRR170" s="125"/>
      <c r="NRS170" s="125"/>
      <c r="NRT170" s="125"/>
      <c r="NRU170" s="125"/>
      <c r="NRV170" s="125"/>
      <c r="NRW170" s="125"/>
      <c r="NRX170" s="125"/>
      <c r="NRY170" s="125"/>
      <c r="NRZ170" s="125"/>
      <c r="NSA170" s="125"/>
      <c r="NSB170" s="125"/>
      <c r="NSC170" s="125"/>
      <c r="NSD170" s="125"/>
      <c r="NSE170" s="125"/>
      <c r="NSF170" s="125"/>
      <c r="NSG170" s="125"/>
      <c r="NSH170" s="125"/>
      <c r="NSI170" s="125"/>
      <c r="NSJ170" s="125"/>
      <c r="NSK170" s="125"/>
      <c r="NSL170" s="125"/>
      <c r="NSM170" s="125"/>
      <c r="NSN170" s="125"/>
      <c r="NSO170" s="125"/>
      <c r="NSP170" s="125"/>
      <c r="NSQ170" s="125"/>
      <c r="NSR170" s="125"/>
      <c r="NSS170" s="125"/>
      <c r="NST170" s="125"/>
      <c r="NSU170" s="125"/>
      <c r="NSV170" s="125"/>
      <c r="NSW170" s="125"/>
      <c r="NSX170" s="125"/>
      <c r="NSY170" s="125"/>
      <c r="NSZ170" s="125"/>
      <c r="NTA170" s="125"/>
      <c r="NTB170" s="125"/>
      <c r="NTC170" s="125"/>
      <c r="NTD170" s="125"/>
      <c r="NTE170" s="125"/>
      <c r="NTF170" s="125"/>
      <c r="NTG170" s="125"/>
      <c r="NTH170" s="125"/>
      <c r="NTI170" s="125"/>
      <c r="NTJ170" s="125"/>
      <c r="NTK170" s="125"/>
      <c r="NTL170" s="125"/>
      <c r="NTM170" s="125"/>
      <c r="NTN170" s="125"/>
      <c r="NTO170" s="125"/>
      <c r="NTP170" s="125"/>
      <c r="NTQ170" s="125"/>
      <c r="NTR170" s="125"/>
      <c r="NTS170" s="125"/>
      <c r="NTT170" s="125"/>
      <c r="NTU170" s="125"/>
      <c r="NTV170" s="125"/>
      <c r="NTW170" s="125"/>
      <c r="NTX170" s="125"/>
      <c r="NTY170" s="125"/>
      <c r="NTZ170" s="125"/>
      <c r="NUA170" s="125"/>
      <c r="NUB170" s="125"/>
      <c r="NUC170" s="125"/>
      <c r="NUD170" s="125"/>
      <c r="NUE170" s="125"/>
      <c r="NUF170" s="125"/>
      <c r="NUG170" s="125"/>
      <c r="NUH170" s="125"/>
      <c r="NUI170" s="125"/>
      <c r="NUJ170" s="125"/>
      <c r="NUK170" s="125"/>
      <c r="NUL170" s="125"/>
      <c r="NUM170" s="125"/>
      <c r="NUN170" s="125"/>
      <c r="NUO170" s="125"/>
      <c r="NUP170" s="125"/>
      <c r="NUQ170" s="125"/>
      <c r="NUR170" s="125"/>
      <c r="NUS170" s="125"/>
      <c r="NUT170" s="125"/>
      <c r="NUU170" s="125"/>
      <c r="NUV170" s="125"/>
      <c r="NUW170" s="125"/>
      <c r="NUX170" s="125"/>
      <c r="NUY170" s="125"/>
      <c r="NUZ170" s="125"/>
      <c r="NVA170" s="125"/>
      <c r="NVB170" s="125"/>
      <c r="NVC170" s="125"/>
      <c r="NVD170" s="125"/>
      <c r="NVE170" s="125"/>
      <c r="NVF170" s="125"/>
      <c r="NVG170" s="125"/>
      <c r="NVH170" s="125"/>
      <c r="NVI170" s="125"/>
      <c r="NVJ170" s="125"/>
      <c r="NVK170" s="125"/>
      <c r="NVL170" s="125"/>
      <c r="NVM170" s="125"/>
      <c r="NVN170" s="125"/>
      <c r="NVO170" s="125"/>
      <c r="NVP170" s="125"/>
      <c r="NVQ170" s="125"/>
      <c r="NVR170" s="125"/>
      <c r="NVS170" s="125"/>
      <c r="NVT170" s="125"/>
      <c r="NVU170" s="125"/>
      <c r="NVV170" s="125"/>
      <c r="NVW170" s="125"/>
      <c r="NVX170" s="125"/>
      <c r="NVY170" s="125"/>
      <c r="NVZ170" s="125"/>
      <c r="NWA170" s="125"/>
      <c r="NWB170" s="125"/>
      <c r="NWC170" s="125"/>
      <c r="NWD170" s="125"/>
      <c r="NWE170" s="125"/>
      <c r="NWF170" s="125"/>
      <c r="NWG170" s="125"/>
      <c r="NWH170" s="125"/>
      <c r="NWI170" s="125"/>
      <c r="NWJ170" s="125"/>
      <c r="NWK170" s="125"/>
      <c r="NWL170" s="125"/>
      <c r="NWM170" s="125"/>
      <c r="NWN170" s="125"/>
      <c r="NWO170" s="125"/>
      <c r="NWP170" s="125"/>
      <c r="NWQ170" s="125"/>
      <c r="NWR170" s="125"/>
      <c r="NWS170" s="125"/>
      <c r="NWT170" s="125"/>
      <c r="NWU170" s="125"/>
      <c r="NWV170" s="125"/>
      <c r="NWW170" s="125"/>
      <c r="NWX170" s="125"/>
      <c r="NWY170" s="125"/>
      <c r="NWZ170" s="125"/>
      <c r="NXA170" s="125"/>
      <c r="NXB170" s="125"/>
      <c r="NXC170" s="125"/>
      <c r="NXD170" s="125"/>
      <c r="NXE170" s="125"/>
      <c r="NXF170" s="125"/>
      <c r="NXG170" s="125"/>
      <c r="NXH170" s="125"/>
      <c r="NXI170" s="125"/>
      <c r="NXJ170" s="125"/>
      <c r="NXK170" s="125"/>
      <c r="NXL170" s="125"/>
      <c r="NXM170" s="125"/>
      <c r="NXN170" s="125"/>
      <c r="NXO170" s="125"/>
      <c r="NXP170" s="125"/>
      <c r="NXQ170" s="125"/>
      <c r="NXR170" s="125"/>
      <c r="NXS170" s="125"/>
      <c r="NXT170" s="125"/>
      <c r="NXU170" s="125"/>
      <c r="NXV170" s="125"/>
      <c r="NXW170" s="125"/>
      <c r="NXX170" s="125"/>
      <c r="NXY170" s="125"/>
      <c r="NXZ170" s="125"/>
      <c r="NYA170" s="125"/>
      <c r="NYB170" s="125"/>
      <c r="NYC170" s="125"/>
      <c r="NYD170" s="125"/>
      <c r="NYE170" s="125"/>
      <c r="NYF170" s="125"/>
      <c r="NYG170" s="125"/>
      <c r="NYH170" s="125"/>
      <c r="NYI170" s="125"/>
      <c r="NYJ170" s="125"/>
      <c r="NYK170" s="125"/>
      <c r="NYL170" s="125"/>
      <c r="NYM170" s="125"/>
      <c r="NYN170" s="125"/>
      <c r="NYO170" s="125"/>
      <c r="NYP170" s="125"/>
      <c r="NYQ170" s="125"/>
      <c r="NYR170" s="125"/>
      <c r="NYS170" s="125"/>
      <c r="NYT170" s="125"/>
      <c r="NYU170" s="125"/>
      <c r="NYV170" s="125"/>
      <c r="NYW170" s="125"/>
      <c r="NYX170" s="125"/>
      <c r="NYY170" s="125"/>
      <c r="NYZ170" s="125"/>
      <c r="NZA170" s="125"/>
      <c r="NZB170" s="125"/>
      <c r="NZC170" s="125"/>
      <c r="NZD170" s="125"/>
      <c r="NZE170" s="125"/>
      <c r="NZF170" s="125"/>
      <c r="NZG170" s="125"/>
      <c r="NZH170" s="125"/>
      <c r="NZI170" s="125"/>
      <c r="NZJ170" s="125"/>
      <c r="NZK170" s="125"/>
      <c r="NZL170" s="125"/>
      <c r="NZM170" s="125"/>
      <c r="NZN170" s="125"/>
      <c r="NZO170" s="125"/>
      <c r="NZP170" s="125"/>
      <c r="NZQ170" s="125"/>
      <c r="NZR170" s="125"/>
      <c r="NZS170" s="125"/>
      <c r="NZT170" s="125"/>
      <c r="NZU170" s="125"/>
      <c r="NZV170" s="125"/>
      <c r="NZW170" s="125"/>
      <c r="NZX170" s="125"/>
      <c r="NZY170" s="125"/>
      <c r="NZZ170" s="125"/>
      <c r="OAA170" s="125"/>
      <c r="OAB170" s="125"/>
      <c r="OAC170" s="125"/>
      <c r="OAD170" s="125"/>
      <c r="OAE170" s="125"/>
      <c r="OAF170" s="125"/>
      <c r="OAG170" s="125"/>
      <c r="OAH170" s="125"/>
      <c r="OAI170" s="125"/>
      <c r="OAJ170" s="125"/>
      <c r="OAK170" s="125"/>
      <c r="OAL170" s="125"/>
      <c r="OAM170" s="125"/>
      <c r="OAN170" s="125"/>
      <c r="OAO170" s="125"/>
      <c r="OAP170" s="125"/>
      <c r="OAQ170" s="125"/>
      <c r="OAR170" s="125"/>
      <c r="OAS170" s="125"/>
      <c r="OAT170" s="125"/>
      <c r="OAU170" s="125"/>
      <c r="OAV170" s="125"/>
      <c r="OAW170" s="125"/>
      <c r="OAX170" s="125"/>
      <c r="OAY170" s="125"/>
      <c r="OAZ170" s="125"/>
      <c r="OBA170" s="125"/>
      <c r="OBB170" s="125"/>
      <c r="OBC170" s="125"/>
      <c r="OBD170" s="125"/>
      <c r="OBE170" s="125"/>
      <c r="OBF170" s="125"/>
      <c r="OBG170" s="125"/>
      <c r="OBH170" s="125"/>
      <c r="OBI170" s="125"/>
      <c r="OBJ170" s="125"/>
      <c r="OBK170" s="125"/>
      <c r="OBL170" s="125"/>
      <c r="OBM170" s="125"/>
      <c r="OBN170" s="125"/>
      <c r="OBO170" s="125"/>
      <c r="OBP170" s="125"/>
      <c r="OBQ170" s="125"/>
      <c r="OBR170" s="125"/>
      <c r="OBS170" s="125"/>
      <c r="OBT170" s="125"/>
      <c r="OBU170" s="125"/>
      <c r="OBV170" s="125"/>
      <c r="OBW170" s="125"/>
      <c r="OBX170" s="125"/>
      <c r="OBY170" s="125"/>
      <c r="OBZ170" s="125"/>
      <c r="OCA170" s="125"/>
      <c r="OCB170" s="125"/>
      <c r="OCC170" s="125"/>
      <c r="OCD170" s="125"/>
      <c r="OCE170" s="125"/>
      <c r="OCF170" s="125"/>
      <c r="OCG170" s="125"/>
      <c r="OCH170" s="125"/>
      <c r="OCI170" s="125"/>
      <c r="OCJ170" s="125"/>
      <c r="OCK170" s="125"/>
      <c r="OCL170" s="125"/>
      <c r="OCM170" s="125"/>
      <c r="OCN170" s="125"/>
      <c r="OCO170" s="125"/>
      <c r="OCP170" s="125"/>
      <c r="OCQ170" s="125"/>
      <c r="OCR170" s="125"/>
      <c r="OCS170" s="125"/>
      <c r="OCT170" s="125"/>
      <c r="OCU170" s="125"/>
      <c r="OCV170" s="125"/>
      <c r="OCW170" s="125"/>
      <c r="OCX170" s="125"/>
      <c r="OCY170" s="125"/>
      <c r="OCZ170" s="125"/>
      <c r="ODA170" s="125"/>
      <c r="ODB170" s="125"/>
      <c r="ODC170" s="125"/>
      <c r="ODD170" s="125"/>
      <c r="ODE170" s="125"/>
      <c r="ODF170" s="125"/>
      <c r="ODG170" s="125"/>
      <c r="ODH170" s="125"/>
      <c r="ODI170" s="125"/>
      <c r="ODJ170" s="125"/>
      <c r="ODK170" s="125"/>
      <c r="ODL170" s="125"/>
      <c r="ODM170" s="125"/>
      <c r="ODN170" s="125"/>
      <c r="ODO170" s="125"/>
      <c r="ODP170" s="125"/>
      <c r="ODQ170" s="125"/>
      <c r="ODR170" s="125"/>
      <c r="ODS170" s="125"/>
      <c r="ODT170" s="125"/>
      <c r="ODU170" s="125"/>
      <c r="ODV170" s="125"/>
      <c r="ODW170" s="125"/>
      <c r="ODX170" s="125"/>
      <c r="ODY170" s="125"/>
      <c r="ODZ170" s="125"/>
      <c r="OEA170" s="125"/>
      <c r="OEB170" s="125"/>
      <c r="OEC170" s="125"/>
      <c r="OED170" s="125"/>
      <c r="OEE170" s="125"/>
      <c r="OEF170" s="125"/>
      <c r="OEG170" s="125"/>
      <c r="OEH170" s="125"/>
      <c r="OEI170" s="125"/>
      <c r="OEJ170" s="125"/>
      <c r="OEK170" s="125"/>
      <c r="OEL170" s="125"/>
      <c r="OEM170" s="125"/>
      <c r="OEN170" s="125"/>
      <c r="OEO170" s="125"/>
      <c r="OEP170" s="125"/>
      <c r="OEQ170" s="125"/>
      <c r="OER170" s="125"/>
      <c r="OES170" s="125"/>
      <c r="OET170" s="125"/>
      <c r="OEU170" s="125"/>
      <c r="OEV170" s="125"/>
      <c r="OEW170" s="125"/>
      <c r="OEX170" s="125"/>
      <c r="OEY170" s="125"/>
      <c r="OEZ170" s="125"/>
      <c r="OFA170" s="125"/>
      <c r="OFB170" s="125"/>
      <c r="OFC170" s="125"/>
      <c r="OFD170" s="125"/>
      <c r="OFE170" s="125"/>
      <c r="OFF170" s="125"/>
      <c r="OFG170" s="125"/>
      <c r="OFH170" s="125"/>
      <c r="OFI170" s="125"/>
      <c r="OFJ170" s="125"/>
      <c r="OFK170" s="125"/>
      <c r="OFL170" s="125"/>
      <c r="OFM170" s="125"/>
      <c r="OFN170" s="125"/>
      <c r="OFO170" s="125"/>
      <c r="OFP170" s="125"/>
      <c r="OFQ170" s="125"/>
      <c r="OFR170" s="125"/>
      <c r="OFS170" s="125"/>
      <c r="OFT170" s="125"/>
      <c r="OFU170" s="125"/>
      <c r="OFV170" s="125"/>
      <c r="OFW170" s="125"/>
      <c r="OFX170" s="125"/>
      <c r="OFY170" s="125"/>
      <c r="OFZ170" s="125"/>
      <c r="OGA170" s="125"/>
      <c r="OGB170" s="125"/>
      <c r="OGC170" s="125"/>
      <c r="OGD170" s="125"/>
      <c r="OGE170" s="125"/>
      <c r="OGF170" s="125"/>
      <c r="OGG170" s="125"/>
      <c r="OGH170" s="125"/>
      <c r="OGI170" s="125"/>
      <c r="OGJ170" s="125"/>
      <c r="OGK170" s="125"/>
      <c r="OGL170" s="125"/>
      <c r="OGM170" s="125"/>
      <c r="OGN170" s="125"/>
      <c r="OGO170" s="125"/>
      <c r="OGP170" s="125"/>
      <c r="OGQ170" s="125"/>
      <c r="OGR170" s="125"/>
      <c r="OGS170" s="125"/>
      <c r="OGT170" s="125"/>
      <c r="OGU170" s="125"/>
      <c r="OGV170" s="125"/>
      <c r="OGW170" s="125"/>
      <c r="OGX170" s="125"/>
      <c r="OGY170" s="125"/>
      <c r="OGZ170" s="125"/>
      <c r="OHA170" s="125"/>
      <c r="OHB170" s="125"/>
      <c r="OHC170" s="125"/>
      <c r="OHD170" s="125"/>
      <c r="OHE170" s="125"/>
      <c r="OHF170" s="125"/>
      <c r="OHG170" s="125"/>
      <c r="OHH170" s="125"/>
      <c r="OHI170" s="125"/>
      <c r="OHJ170" s="125"/>
      <c r="OHK170" s="125"/>
      <c r="OHL170" s="125"/>
      <c r="OHM170" s="125"/>
      <c r="OHN170" s="125"/>
      <c r="OHO170" s="125"/>
      <c r="OHP170" s="125"/>
      <c r="OHQ170" s="125"/>
      <c r="OHR170" s="125"/>
      <c r="OHS170" s="125"/>
      <c r="OHT170" s="125"/>
      <c r="OHU170" s="125"/>
      <c r="OHV170" s="125"/>
      <c r="OHW170" s="125"/>
      <c r="OHX170" s="125"/>
      <c r="OHY170" s="125"/>
      <c r="OHZ170" s="125"/>
      <c r="OIA170" s="125"/>
      <c r="OIB170" s="125"/>
      <c r="OIC170" s="125"/>
      <c r="OID170" s="125"/>
      <c r="OIE170" s="125"/>
      <c r="OIF170" s="125"/>
      <c r="OIG170" s="125"/>
      <c r="OIH170" s="125"/>
      <c r="OII170" s="125"/>
      <c r="OIJ170" s="125"/>
      <c r="OIK170" s="125"/>
      <c r="OIL170" s="125"/>
      <c r="OIM170" s="125"/>
      <c r="OIN170" s="125"/>
      <c r="OIO170" s="125"/>
      <c r="OIP170" s="125"/>
      <c r="OIQ170" s="125"/>
      <c r="OIR170" s="125"/>
      <c r="OIS170" s="125"/>
      <c r="OIT170" s="125"/>
      <c r="OIU170" s="125"/>
      <c r="OIV170" s="125"/>
      <c r="OIW170" s="125"/>
      <c r="OIX170" s="125"/>
      <c r="OIY170" s="125"/>
      <c r="OIZ170" s="125"/>
      <c r="OJA170" s="125"/>
      <c r="OJB170" s="125"/>
      <c r="OJC170" s="125"/>
      <c r="OJD170" s="125"/>
      <c r="OJE170" s="125"/>
      <c r="OJF170" s="125"/>
      <c r="OJG170" s="125"/>
      <c r="OJH170" s="125"/>
      <c r="OJI170" s="125"/>
      <c r="OJJ170" s="125"/>
      <c r="OJK170" s="125"/>
      <c r="OJL170" s="125"/>
      <c r="OJM170" s="125"/>
      <c r="OJN170" s="125"/>
      <c r="OJO170" s="125"/>
      <c r="OJP170" s="125"/>
      <c r="OJQ170" s="125"/>
      <c r="OJR170" s="125"/>
      <c r="OJS170" s="125"/>
      <c r="OJT170" s="125"/>
      <c r="OJU170" s="125"/>
      <c r="OJV170" s="125"/>
      <c r="OJW170" s="125"/>
      <c r="OJX170" s="125"/>
      <c r="OJY170" s="125"/>
      <c r="OJZ170" s="125"/>
      <c r="OKA170" s="125"/>
      <c r="OKB170" s="125"/>
      <c r="OKC170" s="125"/>
      <c r="OKD170" s="125"/>
      <c r="OKE170" s="125"/>
      <c r="OKF170" s="125"/>
      <c r="OKG170" s="125"/>
      <c r="OKH170" s="125"/>
      <c r="OKI170" s="125"/>
      <c r="OKJ170" s="125"/>
      <c r="OKK170" s="125"/>
      <c r="OKL170" s="125"/>
      <c r="OKM170" s="125"/>
      <c r="OKN170" s="125"/>
      <c r="OKO170" s="125"/>
      <c r="OKP170" s="125"/>
      <c r="OKQ170" s="125"/>
      <c r="OKR170" s="125"/>
      <c r="OKS170" s="125"/>
      <c r="OKT170" s="125"/>
      <c r="OKU170" s="125"/>
      <c r="OKV170" s="125"/>
      <c r="OKW170" s="125"/>
      <c r="OKX170" s="125"/>
      <c r="OKY170" s="125"/>
      <c r="OKZ170" s="125"/>
      <c r="OLA170" s="125"/>
      <c r="OLB170" s="125"/>
      <c r="OLC170" s="125"/>
      <c r="OLD170" s="125"/>
      <c r="OLE170" s="125"/>
      <c r="OLF170" s="125"/>
      <c r="OLG170" s="125"/>
      <c r="OLH170" s="125"/>
      <c r="OLI170" s="125"/>
      <c r="OLJ170" s="125"/>
      <c r="OLK170" s="125"/>
      <c r="OLL170" s="125"/>
      <c r="OLM170" s="125"/>
      <c r="OLN170" s="125"/>
      <c r="OLO170" s="125"/>
      <c r="OLP170" s="125"/>
      <c r="OLQ170" s="125"/>
      <c r="OLR170" s="125"/>
      <c r="OLS170" s="125"/>
      <c r="OLT170" s="125"/>
      <c r="OLU170" s="125"/>
      <c r="OLV170" s="125"/>
      <c r="OLW170" s="125"/>
      <c r="OLX170" s="125"/>
      <c r="OLY170" s="125"/>
      <c r="OLZ170" s="125"/>
      <c r="OMA170" s="125"/>
      <c r="OMB170" s="125"/>
      <c r="OMC170" s="125"/>
      <c r="OMD170" s="125"/>
      <c r="OME170" s="125"/>
      <c r="OMF170" s="125"/>
      <c r="OMG170" s="125"/>
      <c r="OMH170" s="125"/>
      <c r="OMI170" s="125"/>
      <c r="OMJ170" s="125"/>
      <c r="OMK170" s="125"/>
      <c r="OML170" s="125"/>
      <c r="OMM170" s="125"/>
      <c r="OMN170" s="125"/>
      <c r="OMO170" s="125"/>
      <c r="OMP170" s="125"/>
      <c r="OMQ170" s="125"/>
      <c r="OMR170" s="125"/>
      <c r="OMS170" s="125"/>
      <c r="OMT170" s="125"/>
      <c r="OMU170" s="125"/>
      <c r="OMV170" s="125"/>
      <c r="OMW170" s="125"/>
      <c r="OMX170" s="125"/>
      <c r="OMY170" s="125"/>
      <c r="OMZ170" s="125"/>
      <c r="ONA170" s="125"/>
      <c r="ONB170" s="125"/>
      <c r="ONC170" s="125"/>
      <c r="OND170" s="125"/>
      <c r="ONE170" s="125"/>
      <c r="ONF170" s="125"/>
      <c r="ONG170" s="125"/>
      <c r="ONH170" s="125"/>
      <c r="ONI170" s="125"/>
      <c r="ONJ170" s="125"/>
      <c r="ONK170" s="125"/>
      <c r="ONL170" s="125"/>
      <c r="ONM170" s="125"/>
      <c r="ONN170" s="125"/>
      <c r="ONO170" s="125"/>
      <c r="ONP170" s="125"/>
      <c r="ONQ170" s="125"/>
      <c r="ONR170" s="125"/>
      <c r="ONS170" s="125"/>
      <c r="ONT170" s="125"/>
      <c r="ONU170" s="125"/>
      <c r="ONV170" s="125"/>
      <c r="ONW170" s="125"/>
      <c r="ONX170" s="125"/>
      <c r="ONY170" s="125"/>
      <c r="ONZ170" s="125"/>
      <c r="OOA170" s="125"/>
      <c r="OOB170" s="125"/>
      <c r="OOC170" s="125"/>
      <c r="OOD170" s="125"/>
      <c r="OOE170" s="125"/>
      <c r="OOF170" s="125"/>
      <c r="OOG170" s="125"/>
      <c r="OOH170" s="125"/>
      <c r="OOI170" s="125"/>
      <c r="OOJ170" s="125"/>
      <c r="OOK170" s="125"/>
      <c r="OOL170" s="125"/>
      <c r="OOM170" s="125"/>
      <c r="OON170" s="125"/>
      <c r="OOO170" s="125"/>
      <c r="OOP170" s="125"/>
      <c r="OOQ170" s="125"/>
      <c r="OOR170" s="125"/>
      <c r="OOS170" s="125"/>
      <c r="OOT170" s="125"/>
      <c r="OOU170" s="125"/>
      <c r="OOV170" s="125"/>
      <c r="OOW170" s="125"/>
      <c r="OOX170" s="125"/>
      <c r="OOY170" s="125"/>
      <c r="OOZ170" s="125"/>
      <c r="OPA170" s="125"/>
      <c r="OPB170" s="125"/>
      <c r="OPC170" s="125"/>
      <c r="OPD170" s="125"/>
      <c r="OPE170" s="125"/>
      <c r="OPF170" s="125"/>
      <c r="OPG170" s="125"/>
      <c r="OPH170" s="125"/>
      <c r="OPI170" s="125"/>
      <c r="OPJ170" s="125"/>
      <c r="OPK170" s="125"/>
      <c r="OPL170" s="125"/>
      <c r="OPM170" s="125"/>
      <c r="OPN170" s="125"/>
      <c r="OPO170" s="125"/>
      <c r="OPP170" s="125"/>
      <c r="OPQ170" s="125"/>
      <c r="OPR170" s="125"/>
      <c r="OPS170" s="125"/>
      <c r="OPT170" s="125"/>
      <c r="OPU170" s="125"/>
      <c r="OPV170" s="125"/>
      <c r="OPW170" s="125"/>
      <c r="OPX170" s="125"/>
      <c r="OPY170" s="125"/>
      <c r="OPZ170" s="125"/>
      <c r="OQA170" s="125"/>
      <c r="OQB170" s="125"/>
      <c r="OQC170" s="125"/>
      <c r="OQD170" s="125"/>
      <c r="OQE170" s="125"/>
      <c r="OQF170" s="125"/>
      <c r="OQG170" s="125"/>
      <c r="OQH170" s="125"/>
      <c r="OQI170" s="125"/>
      <c r="OQJ170" s="125"/>
      <c r="OQK170" s="125"/>
      <c r="OQL170" s="125"/>
      <c r="OQM170" s="125"/>
      <c r="OQN170" s="125"/>
      <c r="OQO170" s="125"/>
      <c r="OQP170" s="125"/>
      <c r="OQQ170" s="125"/>
      <c r="OQR170" s="125"/>
      <c r="OQS170" s="125"/>
      <c r="OQT170" s="125"/>
      <c r="OQU170" s="125"/>
      <c r="OQV170" s="125"/>
      <c r="OQW170" s="125"/>
      <c r="OQX170" s="125"/>
      <c r="OQY170" s="125"/>
      <c r="OQZ170" s="125"/>
      <c r="ORA170" s="125"/>
      <c r="ORB170" s="125"/>
      <c r="ORC170" s="125"/>
      <c r="ORD170" s="125"/>
      <c r="ORE170" s="125"/>
      <c r="ORF170" s="125"/>
      <c r="ORG170" s="125"/>
      <c r="ORH170" s="125"/>
      <c r="ORI170" s="125"/>
      <c r="ORJ170" s="125"/>
      <c r="ORK170" s="125"/>
      <c r="ORL170" s="125"/>
      <c r="ORM170" s="125"/>
      <c r="ORN170" s="125"/>
      <c r="ORO170" s="125"/>
      <c r="ORP170" s="125"/>
      <c r="ORQ170" s="125"/>
      <c r="ORR170" s="125"/>
      <c r="ORS170" s="125"/>
      <c r="ORT170" s="125"/>
      <c r="ORU170" s="125"/>
      <c r="ORV170" s="125"/>
      <c r="ORW170" s="125"/>
      <c r="ORX170" s="125"/>
      <c r="ORY170" s="125"/>
      <c r="ORZ170" s="125"/>
      <c r="OSA170" s="125"/>
      <c r="OSB170" s="125"/>
      <c r="OSC170" s="125"/>
      <c r="OSD170" s="125"/>
      <c r="OSE170" s="125"/>
      <c r="OSF170" s="125"/>
      <c r="OSG170" s="125"/>
      <c r="OSH170" s="125"/>
      <c r="OSI170" s="125"/>
      <c r="OSJ170" s="125"/>
      <c r="OSK170" s="125"/>
      <c r="OSL170" s="125"/>
      <c r="OSM170" s="125"/>
      <c r="OSN170" s="125"/>
      <c r="OSO170" s="125"/>
      <c r="OSP170" s="125"/>
      <c r="OSQ170" s="125"/>
      <c r="OSR170" s="125"/>
      <c r="OSS170" s="125"/>
      <c r="OST170" s="125"/>
      <c r="OSU170" s="125"/>
      <c r="OSV170" s="125"/>
      <c r="OSW170" s="125"/>
      <c r="OSX170" s="125"/>
      <c r="OSY170" s="125"/>
      <c r="OSZ170" s="125"/>
      <c r="OTA170" s="125"/>
      <c r="OTB170" s="125"/>
      <c r="OTC170" s="125"/>
      <c r="OTD170" s="125"/>
      <c r="OTE170" s="125"/>
      <c r="OTF170" s="125"/>
      <c r="OTG170" s="125"/>
      <c r="OTH170" s="125"/>
      <c r="OTI170" s="125"/>
      <c r="OTJ170" s="125"/>
      <c r="OTK170" s="125"/>
      <c r="OTL170" s="125"/>
      <c r="OTM170" s="125"/>
      <c r="OTN170" s="125"/>
      <c r="OTO170" s="125"/>
      <c r="OTP170" s="125"/>
      <c r="OTQ170" s="125"/>
      <c r="OTR170" s="125"/>
      <c r="OTS170" s="125"/>
      <c r="OTT170" s="125"/>
      <c r="OTU170" s="125"/>
      <c r="OTV170" s="125"/>
      <c r="OTW170" s="125"/>
      <c r="OTX170" s="125"/>
      <c r="OTY170" s="125"/>
      <c r="OTZ170" s="125"/>
      <c r="OUA170" s="125"/>
      <c r="OUB170" s="125"/>
      <c r="OUC170" s="125"/>
      <c r="OUD170" s="125"/>
      <c r="OUE170" s="125"/>
      <c r="OUF170" s="125"/>
      <c r="OUG170" s="125"/>
      <c r="OUH170" s="125"/>
      <c r="OUI170" s="125"/>
      <c r="OUJ170" s="125"/>
      <c r="OUK170" s="125"/>
      <c r="OUL170" s="125"/>
      <c r="OUM170" s="125"/>
      <c r="OUN170" s="125"/>
      <c r="OUO170" s="125"/>
      <c r="OUP170" s="125"/>
      <c r="OUQ170" s="125"/>
      <c r="OUR170" s="125"/>
      <c r="OUS170" s="125"/>
      <c r="OUT170" s="125"/>
      <c r="OUU170" s="125"/>
      <c r="OUV170" s="125"/>
      <c r="OUW170" s="125"/>
      <c r="OUX170" s="125"/>
      <c r="OUY170" s="125"/>
      <c r="OUZ170" s="125"/>
      <c r="OVA170" s="125"/>
      <c r="OVB170" s="125"/>
      <c r="OVC170" s="125"/>
      <c r="OVD170" s="125"/>
      <c r="OVE170" s="125"/>
      <c r="OVF170" s="125"/>
      <c r="OVG170" s="125"/>
      <c r="OVH170" s="125"/>
      <c r="OVI170" s="125"/>
      <c r="OVJ170" s="125"/>
      <c r="OVK170" s="125"/>
      <c r="OVL170" s="125"/>
      <c r="OVM170" s="125"/>
      <c r="OVN170" s="125"/>
      <c r="OVO170" s="125"/>
      <c r="OVP170" s="125"/>
      <c r="OVQ170" s="125"/>
      <c r="OVR170" s="125"/>
      <c r="OVS170" s="125"/>
      <c r="OVT170" s="125"/>
      <c r="OVU170" s="125"/>
      <c r="OVV170" s="125"/>
      <c r="OVW170" s="125"/>
      <c r="OVX170" s="125"/>
      <c r="OVY170" s="125"/>
      <c r="OVZ170" s="125"/>
      <c r="OWA170" s="125"/>
      <c r="OWB170" s="125"/>
      <c r="OWC170" s="125"/>
      <c r="OWD170" s="125"/>
      <c r="OWE170" s="125"/>
      <c r="OWF170" s="125"/>
      <c r="OWG170" s="125"/>
      <c r="OWH170" s="125"/>
      <c r="OWI170" s="125"/>
      <c r="OWJ170" s="125"/>
      <c r="OWK170" s="125"/>
      <c r="OWL170" s="125"/>
      <c r="OWM170" s="125"/>
      <c r="OWN170" s="125"/>
      <c r="OWO170" s="125"/>
      <c r="OWP170" s="125"/>
      <c r="OWQ170" s="125"/>
      <c r="OWR170" s="125"/>
      <c r="OWS170" s="125"/>
      <c r="OWT170" s="125"/>
      <c r="OWU170" s="125"/>
      <c r="OWV170" s="125"/>
      <c r="OWW170" s="125"/>
      <c r="OWX170" s="125"/>
      <c r="OWY170" s="125"/>
      <c r="OWZ170" s="125"/>
      <c r="OXA170" s="125"/>
      <c r="OXB170" s="125"/>
      <c r="OXC170" s="125"/>
      <c r="OXD170" s="125"/>
      <c r="OXE170" s="125"/>
      <c r="OXF170" s="125"/>
      <c r="OXG170" s="125"/>
      <c r="OXH170" s="125"/>
      <c r="OXI170" s="125"/>
      <c r="OXJ170" s="125"/>
      <c r="OXK170" s="125"/>
      <c r="OXL170" s="125"/>
      <c r="OXM170" s="125"/>
      <c r="OXN170" s="125"/>
      <c r="OXO170" s="125"/>
      <c r="OXP170" s="125"/>
      <c r="OXQ170" s="125"/>
      <c r="OXR170" s="125"/>
      <c r="OXS170" s="125"/>
      <c r="OXT170" s="125"/>
      <c r="OXU170" s="125"/>
      <c r="OXV170" s="125"/>
      <c r="OXW170" s="125"/>
      <c r="OXX170" s="125"/>
      <c r="OXY170" s="125"/>
      <c r="OXZ170" s="125"/>
      <c r="OYA170" s="125"/>
      <c r="OYB170" s="125"/>
      <c r="OYC170" s="125"/>
      <c r="OYD170" s="125"/>
      <c r="OYE170" s="125"/>
      <c r="OYF170" s="125"/>
      <c r="OYG170" s="125"/>
      <c r="OYH170" s="125"/>
      <c r="OYI170" s="125"/>
      <c r="OYJ170" s="125"/>
      <c r="OYK170" s="125"/>
      <c r="OYL170" s="125"/>
      <c r="OYM170" s="125"/>
      <c r="OYN170" s="125"/>
      <c r="OYO170" s="125"/>
      <c r="OYP170" s="125"/>
      <c r="OYQ170" s="125"/>
      <c r="OYR170" s="125"/>
      <c r="OYS170" s="125"/>
      <c r="OYT170" s="125"/>
      <c r="OYU170" s="125"/>
      <c r="OYV170" s="125"/>
      <c r="OYW170" s="125"/>
      <c r="OYX170" s="125"/>
      <c r="OYY170" s="125"/>
      <c r="OYZ170" s="125"/>
      <c r="OZA170" s="125"/>
      <c r="OZB170" s="125"/>
      <c r="OZC170" s="125"/>
      <c r="OZD170" s="125"/>
      <c r="OZE170" s="125"/>
      <c r="OZF170" s="125"/>
      <c r="OZG170" s="125"/>
      <c r="OZH170" s="125"/>
      <c r="OZI170" s="125"/>
      <c r="OZJ170" s="125"/>
      <c r="OZK170" s="125"/>
      <c r="OZL170" s="125"/>
      <c r="OZM170" s="125"/>
      <c r="OZN170" s="125"/>
      <c r="OZO170" s="125"/>
      <c r="OZP170" s="125"/>
      <c r="OZQ170" s="125"/>
      <c r="OZR170" s="125"/>
      <c r="OZS170" s="125"/>
      <c r="OZT170" s="125"/>
      <c r="OZU170" s="125"/>
      <c r="OZV170" s="125"/>
      <c r="OZW170" s="125"/>
      <c r="OZX170" s="125"/>
      <c r="OZY170" s="125"/>
      <c r="OZZ170" s="125"/>
      <c r="PAA170" s="125"/>
      <c r="PAB170" s="125"/>
      <c r="PAC170" s="125"/>
      <c r="PAD170" s="125"/>
      <c r="PAE170" s="125"/>
      <c r="PAF170" s="125"/>
      <c r="PAG170" s="125"/>
      <c r="PAH170" s="125"/>
      <c r="PAI170" s="125"/>
      <c r="PAJ170" s="125"/>
      <c r="PAK170" s="125"/>
      <c r="PAL170" s="125"/>
      <c r="PAM170" s="125"/>
      <c r="PAN170" s="125"/>
      <c r="PAO170" s="125"/>
      <c r="PAP170" s="125"/>
      <c r="PAQ170" s="125"/>
      <c r="PAR170" s="125"/>
      <c r="PAS170" s="125"/>
      <c r="PAT170" s="125"/>
      <c r="PAU170" s="125"/>
      <c r="PAV170" s="125"/>
      <c r="PAW170" s="125"/>
      <c r="PAX170" s="125"/>
      <c r="PAY170" s="125"/>
      <c r="PAZ170" s="125"/>
      <c r="PBA170" s="125"/>
      <c r="PBB170" s="125"/>
      <c r="PBC170" s="125"/>
      <c r="PBD170" s="125"/>
      <c r="PBE170" s="125"/>
      <c r="PBF170" s="125"/>
      <c r="PBG170" s="125"/>
      <c r="PBH170" s="125"/>
      <c r="PBI170" s="125"/>
      <c r="PBJ170" s="125"/>
      <c r="PBK170" s="125"/>
      <c r="PBL170" s="125"/>
      <c r="PBM170" s="125"/>
      <c r="PBN170" s="125"/>
      <c r="PBO170" s="125"/>
      <c r="PBP170" s="125"/>
      <c r="PBQ170" s="125"/>
      <c r="PBR170" s="125"/>
      <c r="PBS170" s="125"/>
      <c r="PBT170" s="125"/>
      <c r="PBU170" s="125"/>
      <c r="PBV170" s="125"/>
      <c r="PBW170" s="125"/>
      <c r="PBX170" s="125"/>
      <c r="PBY170" s="125"/>
      <c r="PBZ170" s="125"/>
      <c r="PCA170" s="125"/>
      <c r="PCB170" s="125"/>
      <c r="PCC170" s="125"/>
      <c r="PCD170" s="125"/>
      <c r="PCE170" s="125"/>
      <c r="PCF170" s="125"/>
      <c r="PCG170" s="125"/>
      <c r="PCH170" s="125"/>
      <c r="PCI170" s="125"/>
      <c r="PCJ170" s="125"/>
      <c r="PCK170" s="125"/>
      <c r="PCL170" s="125"/>
      <c r="PCM170" s="125"/>
      <c r="PCN170" s="125"/>
      <c r="PCO170" s="125"/>
      <c r="PCP170" s="125"/>
      <c r="PCQ170" s="125"/>
      <c r="PCR170" s="125"/>
      <c r="PCS170" s="125"/>
      <c r="PCT170" s="125"/>
      <c r="PCU170" s="125"/>
      <c r="PCV170" s="125"/>
      <c r="PCW170" s="125"/>
      <c r="PCX170" s="125"/>
      <c r="PCY170" s="125"/>
      <c r="PCZ170" s="125"/>
      <c r="PDA170" s="125"/>
      <c r="PDB170" s="125"/>
      <c r="PDC170" s="125"/>
      <c r="PDD170" s="125"/>
      <c r="PDE170" s="125"/>
      <c r="PDF170" s="125"/>
      <c r="PDG170" s="125"/>
      <c r="PDH170" s="125"/>
      <c r="PDI170" s="125"/>
      <c r="PDJ170" s="125"/>
      <c r="PDK170" s="125"/>
      <c r="PDL170" s="125"/>
      <c r="PDM170" s="125"/>
      <c r="PDN170" s="125"/>
      <c r="PDO170" s="125"/>
      <c r="PDP170" s="125"/>
      <c r="PDQ170" s="125"/>
      <c r="PDR170" s="125"/>
      <c r="PDS170" s="125"/>
      <c r="PDT170" s="125"/>
      <c r="PDU170" s="125"/>
      <c r="PDV170" s="125"/>
      <c r="PDW170" s="125"/>
      <c r="PDX170" s="125"/>
      <c r="PDY170" s="125"/>
      <c r="PDZ170" s="125"/>
      <c r="PEA170" s="125"/>
      <c r="PEB170" s="125"/>
      <c r="PEC170" s="125"/>
      <c r="PED170" s="125"/>
      <c r="PEE170" s="125"/>
      <c r="PEF170" s="125"/>
      <c r="PEG170" s="125"/>
      <c r="PEH170" s="125"/>
      <c r="PEI170" s="125"/>
      <c r="PEJ170" s="125"/>
      <c r="PEK170" s="125"/>
      <c r="PEL170" s="125"/>
      <c r="PEM170" s="125"/>
      <c r="PEN170" s="125"/>
      <c r="PEO170" s="125"/>
      <c r="PEP170" s="125"/>
      <c r="PEQ170" s="125"/>
      <c r="PER170" s="125"/>
      <c r="PES170" s="125"/>
      <c r="PET170" s="125"/>
      <c r="PEU170" s="125"/>
      <c r="PEV170" s="125"/>
      <c r="PEW170" s="125"/>
      <c r="PEX170" s="125"/>
      <c r="PEY170" s="125"/>
      <c r="PEZ170" s="125"/>
      <c r="PFA170" s="125"/>
      <c r="PFB170" s="125"/>
      <c r="PFC170" s="125"/>
      <c r="PFD170" s="125"/>
      <c r="PFE170" s="125"/>
      <c r="PFF170" s="125"/>
      <c r="PFG170" s="125"/>
      <c r="PFH170" s="125"/>
      <c r="PFI170" s="125"/>
      <c r="PFJ170" s="125"/>
      <c r="PFK170" s="125"/>
      <c r="PFL170" s="125"/>
      <c r="PFM170" s="125"/>
      <c r="PFN170" s="125"/>
      <c r="PFO170" s="125"/>
      <c r="PFP170" s="125"/>
      <c r="PFQ170" s="125"/>
      <c r="PFR170" s="125"/>
      <c r="PFS170" s="125"/>
      <c r="PFT170" s="125"/>
      <c r="PFU170" s="125"/>
      <c r="PFV170" s="125"/>
      <c r="PFW170" s="125"/>
      <c r="PFX170" s="125"/>
      <c r="PFY170" s="125"/>
      <c r="PFZ170" s="125"/>
      <c r="PGA170" s="125"/>
      <c r="PGB170" s="125"/>
      <c r="PGC170" s="125"/>
      <c r="PGD170" s="125"/>
      <c r="PGE170" s="125"/>
      <c r="PGF170" s="125"/>
      <c r="PGG170" s="125"/>
      <c r="PGH170" s="125"/>
      <c r="PGI170" s="125"/>
      <c r="PGJ170" s="125"/>
      <c r="PGK170" s="125"/>
      <c r="PGL170" s="125"/>
      <c r="PGM170" s="125"/>
      <c r="PGN170" s="125"/>
      <c r="PGO170" s="125"/>
      <c r="PGP170" s="125"/>
      <c r="PGQ170" s="125"/>
      <c r="PGR170" s="125"/>
      <c r="PGS170" s="125"/>
      <c r="PGT170" s="125"/>
      <c r="PGU170" s="125"/>
      <c r="PGV170" s="125"/>
      <c r="PGW170" s="125"/>
      <c r="PGX170" s="125"/>
      <c r="PGY170" s="125"/>
      <c r="PGZ170" s="125"/>
      <c r="PHA170" s="125"/>
      <c r="PHB170" s="125"/>
      <c r="PHC170" s="125"/>
      <c r="PHD170" s="125"/>
      <c r="PHE170" s="125"/>
      <c r="PHF170" s="125"/>
      <c r="PHG170" s="125"/>
      <c r="PHH170" s="125"/>
      <c r="PHI170" s="125"/>
      <c r="PHJ170" s="125"/>
      <c r="PHK170" s="125"/>
      <c r="PHL170" s="125"/>
      <c r="PHM170" s="125"/>
      <c r="PHN170" s="125"/>
      <c r="PHO170" s="125"/>
      <c r="PHP170" s="125"/>
      <c r="PHQ170" s="125"/>
      <c r="PHR170" s="125"/>
      <c r="PHS170" s="125"/>
      <c r="PHT170" s="125"/>
      <c r="PHU170" s="125"/>
      <c r="PHV170" s="125"/>
      <c r="PHW170" s="125"/>
      <c r="PHX170" s="125"/>
      <c r="PHY170" s="125"/>
      <c r="PHZ170" s="125"/>
      <c r="PIA170" s="125"/>
      <c r="PIB170" s="125"/>
      <c r="PIC170" s="125"/>
      <c r="PID170" s="125"/>
      <c r="PIE170" s="125"/>
      <c r="PIF170" s="125"/>
      <c r="PIG170" s="125"/>
      <c r="PIH170" s="125"/>
      <c r="PII170" s="125"/>
      <c r="PIJ170" s="125"/>
      <c r="PIK170" s="125"/>
      <c r="PIL170" s="125"/>
      <c r="PIM170" s="125"/>
      <c r="PIN170" s="125"/>
      <c r="PIO170" s="125"/>
      <c r="PIP170" s="125"/>
      <c r="PIQ170" s="125"/>
      <c r="PIR170" s="125"/>
      <c r="PIS170" s="125"/>
      <c r="PIT170" s="125"/>
      <c r="PIU170" s="125"/>
      <c r="PIV170" s="125"/>
      <c r="PIW170" s="125"/>
      <c r="PIX170" s="125"/>
      <c r="PIY170" s="125"/>
      <c r="PIZ170" s="125"/>
      <c r="PJA170" s="125"/>
      <c r="PJB170" s="125"/>
      <c r="PJC170" s="125"/>
      <c r="PJD170" s="125"/>
      <c r="PJE170" s="125"/>
      <c r="PJF170" s="125"/>
      <c r="PJG170" s="125"/>
      <c r="PJH170" s="125"/>
      <c r="PJI170" s="125"/>
      <c r="PJJ170" s="125"/>
      <c r="PJK170" s="125"/>
      <c r="PJL170" s="125"/>
      <c r="PJM170" s="125"/>
      <c r="PJN170" s="125"/>
      <c r="PJO170" s="125"/>
      <c r="PJP170" s="125"/>
      <c r="PJQ170" s="125"/>
      <c r="PJR170" s="125"/>
      <c r="PJS170" s="125"/>
      <c r="PJT170" s="125"/>
      <c r="PJU170" s="125"/>
      <c r="PJV170" s="125"/>
      <c r="PJW170" s="125"/>
      <c r="PJX170" s="125"/>
      <c r="PJY170" s="125"/>
      <c r="PJZ170" s="125"/>
      <c r="PKA170" s="125"/>
      <c r="PKB170" s="125"/>
      <c r="PKC170" s="125"/>
      <c r="PKD170" s="125"/>
      <c r="PKE170" s="125"/>
      <c r="PKF170" s="125"/>
      <c r="PKG170" s="125"/>
      <c r="PKH170" s="125"/>
      <c r="PKI170" s="125"/>
      <c r="PKJ170" s="125"/>
      <c r="PKK170" s="125"/>
      <c r="PKL170" s="125"/>
      <c r="PKM170" s="125"/>
      <c r="PKN170" s="125"/>
      <c r="PKO170" s="125"/>
      <c r="PKP170" s="125"/>
      <c r="PKQ170" s="125"/>
      <c r="PKR170" s="125"/>
      <c r="PKS170" s="125"/>
      <c r="PKT170" s="125"/>
      <c r="PKU170" s="125"/>
      <c r="PKV170" s="125"/>
      <c r="PKW170" s="125"/>
      <c r="PKX170" s="125"/>
      <c r="PKY170" s="125"/>
      <c r="PKZ170" s="125"/>
      <c r="PLA170" s="125"/>
      <c r="PLB170" s="125"/>
      <c r="PLC170" s="125"/>
      <c r="PLD170" s="125"/>
      <c r="PLE170" s="125"/>
      <c r="PLF170" s="125"/>
      <c r="PLG170" s="125"/>
      <c r="PLH170" s="125"/>
      <c r="PLI170" s="125"/>
      <c r="PLJ170" s="125"/>
      <c r="PLK170" s="125"/>
      <c r="PLL170" s="125"/>
      <c r="PLM170" s="125"/>
      <c r="PLN170" s="125"/>
      <c r="PLO170" s="125"/>
      <c r="PLP170" s="125"/>
      <c r="PLQ170" s="125"/>
      <c r="PLR170" s="125"/>
      <c r="PLS170" s="125"/>
      <c r="PLT170" s="125"/>
      <c r="PLU170" s="125"/>
      <c r="PLV170" s="125"/>
      <c r="PLW170" s="125"/>
      <c r="PLX170" s="125"/>
      <c r="PLY170" s="125"/>
      <c r="PLZ170" s="125"/>
      <c r="PMA170" s="125"/>
      <c r="PMB170" s="125"/>
      <c r="PMC170" s="125"/>
      <c r="PMD170" s="125"/>
      <c r="PME170" s="125"/>
      <c r="PMF170" s="125"/>
      <c r="PMG170" s="125"/>
      <c r="PMH170" s="125"/>
      <c r="PMI170" s="125"/>
      <c r="PMJ170" s="125"/>
      <c r="PMK170" s="125"/>
      <c r="PML170" s="125"/>
      <c r="PMM170" s="125"/>
      <c r="PMN170" s="125"/>
      <c r="PMO170" s="125"/>
      <c r="PMP170" s="125"/>
      <c r="PMQ170" s="125"/>
      <c r="PMR170" s="125"/>
      <c r="PMS170" s="125"/>
      <c r="PMT170" s="125"/>
      <c r="PMU170" s="125"/>
      <c r="PMV170" s="125"/>
      <c r="PMW170" s="125"/>
      <c r="PMX170" s="125"/>
      <c r="PMY170" s="125"/>
      <c r="PMZ170" s="125"/>
      <c r="PNA170" s="125"/>
      <c r="PNB170" s="125"/>
      <c r="PNC170" s="125"/>
      <c r="PND170" s="125"/>
      <c r="PNE170" s="125"/>
      <c r="PNF170" s="125"/>
      <c r="PNG170" s="125"/>
      <c r="PNH170" s="125"/>
      <c r="PNI170" s="125"/>
      <c r="PNJ170" s="125"/>
      <c r="PNK170" s="125"/>
      <c r="PNL170" s="125"/>
      <c r="PNM170" s="125"/>
      <c r="PNN170" s="125"/>
      <c r="PNO170" s="125"/>
      <c r="PNP170" s="125"/>
      <c r="PNQ170" s="125"/>
      <c r="PNR170" s="125"/>
      <c r="PNS170" s="125"/>
      <c r="PNT170" s="125"/>
      <c r="PNU170" s="125"/>
      <c r="PNV170" s="125"/>
      <c r="PNW170" s="125"/>
      <c r="PNX170" s="125"/>
      <c r="PNY170" s="125"/>
      <c r="PNZ170" s="125"/>
      <c r="POA170" s="125"/>
      <c r="POB170" s="125"/>
      <c r="POC170" s="125"/>
      <c r="POD170" s="125"/>
      <c r="POE170" s="125"/>
      <c r="POF170" s="125"/>
      <c r="POG170" s="125"/>
      <c r="POH170" s="125"/>
      <c r="POI170" s="125"/>
      <c r="POJ170" s="125"/>
      <c r="POK170" s="125"/>
      <c r="POL170" s="125"/>
      <c r="POM170" s="125"/>
      <c r="PON170" s="125"/>
      <c r="POO170" s="125"/>
      <c r="POP170" s="125"/>
      <c r="POQ170" s="125"/>
      <c r="POR170" s="125"/>
      <c r="POS170" s="125"/>
      <c r="POT170" s="125"/>
      <c r="POU170" s="125"/>
      <c r="POV170" s="125"/>
      <c r="POW170" s="125"/>
      <c r="POX170" s="125"/>
      <c r="POY170" s="125"/>
      <c r="POZ170" s="125"/>
      <c r="PPA170" s="125"/>
      <c r="PPB170" s="125"/>
      <c r="PPC170" s="125"/>
      <c r="PPD170" s="125"/>
      <c r="PPE170" s="125"/>
      <c r="PPF170" s="125"/>
      <c r="PPG170" s="125"/>
      <c r="PPH170" s="125"/>
      <c r="PPI170" s="125"/>
      <c r="PPJ170" s="125"/>
      <c r="PPK170" s="125"/>
      <c r="PPL170" s="125"/>
      <c r="PPM170" s="125"/>
      <c r="PPN170" s="125"/>
      <c r="PPO170" s="125"/>
      <c r="PPP170" s="125"/>
      <c r="PPQ170" s="125"/>
      <c r="PPR170" s="125"/>
      <c r="PPS170" s="125"/>
      <c r="PPT170" s="125"/>
      <c r="PPU170" s="125"/>
      <c r="PPV170" s="125"/>
      <c r="PPW170" s="125"/>
      <c r="PPX170" s="125"/>
      <c r="PPY170" s="125"/>
      <c r="PPZ170" s="125"/>
      <c r="PQA170" s="125"/>
      <c r="PQB170" s="125"/>
      <c r="PQC170" s="125"/>
      <c r="PQD170" s="125"/>
      <c r="PQE170" s="125"/>
      <c r="PQF170" s="125"/>
      <c r="PQG170" s="125"/>
      <c r="PQH170" s="125"/>
      <c r="PQI170" s="125"/>
      <c r="PQJ170" s="125"/>
      <c r="PQK170" s="125"/>
      <c r="PQL170" s="125"/>
      <c r="PQM170" s="125"/>
      <c r="PQN170" s="125"/>
      <c r="PQO170" s="125"/>
      <c r="PQP170" s="125"/>
      <c r="PQQ170" s="125"/>
      <c r="PQR170" s="125"/>
      <c r="PQS170" s="125"/>
      <c r="PQT170" s="125"/>
      <c r="PQU170" s="125"/>
      <c r="PQV170" s="125"/>
      <c r="PQW170" s="125"/>
      <c r="PQX170" s="125"/>
      <c r="PQY170" s="125"/>
      <c r="PQZ170" s="125"/>
      <c r="PRA170" s="125"/>
      <c r="PRB170" s="125"/>
      <c r="PRC170" s="125"/>
      <c r="PRD170" s="125"/>
      <c r="PRE170" s="125"/>
      <c r="PRF170" s="125"/>
      <c r="PRG170" s="125"/>
      <c r="PRH170" s="125"/>
      <c r="PRI170" s="125"/>
      <c r="PRJ170" s="125"/>
      <c r="PRK170" s="125"/>
      <c r="PRL170" s="125"/>
      <c r="PRM170" s="125"/>
      <c r="PRN170" s="125"/>
      <c r="PRO170" s="125"/>
      <c r="PRP170" s="125"/>
      <c r="PRQ170" s="125"/>
      <c r="PRR170" s="125"/>
      <c r="PRS170" s="125"/>
      <c r="PRT170" s="125"/>
      <c r="PRU170" s="125"/>
      <c r="PRV170" s="125"/>
      <c r="PRW170" s="125"/>
      <c r="PRX170" s="125"/>
      <c r="PRY170" s="125"/>
      <c r="PRZ170" s="125"/>
      <c r="PSA170" s="125"/>
      <c r="PSB170" s="125"/>
      <c r="PSC170" s="125"/>
      <c r="PSD170" s="125"/>
      <c r="PSE170" s="125"/>
      <c r="PSF170" s="125"/>
      <c r="PSG170" s="125"/>
      <c r="PSH170" s="125"/>
      <c r="PSI170" s="125"/>
      <c r="PSJ170" s="125"/>
      <c r="PSK170" s="125"/>
      <c r="PSL170" s="125"/>
      <c r="PSM170" s="125"/>
      <c r="PSN170" s="125"/>
      <c r="PSO170" s="125"/>
      <c r="PSP170" s="125"/>
      <c r="PSQ170" s="125"/>
      <c r="PSR170" s="125"/>
      <c r="PSS170" s="125"/>
      <c r="PST170" s="125"/>
      <c r="PSU170" s="125"/>
      <c r="PSV170" s="125"/>
      <c r="PSW170" s="125"/>
      <c r="PSX170" s="125"/>
      <c r="PSY170" s="125"/>
      <c r="PSZ170" s="125"/>
      <c r="PTA170" s="125"/>
      <c r="PTB170" s="125"/>
      <c r="PTC170" s="125"/>
      <c r="PTD170" s="125"/>
      <c r="PTE170" s="125"/>
      <c r="PTF170" s="125"/>
      <c r="PTG170" s="125"/>
      <c r="PTH170" s="125"/>
      <c r="PTI170" s="125"/>
      <c r="PTJ170" s="125"/>
      <c r="PTK170" s="125"/>
      <c r="PTL170" s="125"/>
      <c r="PTM170" s="125"/>
      <c r="PTN170" s="125"/>
      <c r="PTO170" s="125"/>
      <c r="PTP170" s="125"/>
      <c r="PTQ170" s="125"/>
      <c r="PTR170" s="125"/>
      <c r="PTS170" s="125"/>
      <c r="PTT170" s="125"/>
      <c r="PTU170" s="125"/>
      <c r="PTV170" s="125"/>
      <c r="PTW170" s="125"/>
      <c r="PTX170" s="125"/>
      <c r="PTY170" s="125"/>
      <c r="PTZ170" s="125"/>
      <c r="PUA170" s="125"/>
      <c r="PUB170" s="125"/>
      <c r="PUC170" s="125"/>
      <c r="PUD170" s="125"/>
      <c r="PUE170" s="125"/>
      <c r="PUF170" s="125"/>
      <c r="PUG170" s="125"/>
      <c r="PUH170" s="125"/>
      <c r="PUI170" s="125"/>
      <c r="PUJ170" s="125"/>
      <c r="PUK170" s="125"/>
      <c r="PUL170" s="125"/>
      <c r="PUM170" s="125"/>
      <c r="PUN170" s="125"/>
      <c r="PUO170" s="125"/>
      <c r="PUP170" s="125"/>
      <c r="PUQ170" s="125"/>
      <c r="PUR170" s="125"/>
      <c r="PUS170" s="125"/>
      <c r="PUT170" s="125"/>
      <c r="PUU170" s="125"/>
      <c r="PUV170" s="125"/>
      <c r="PUW170" s="125"/>
      <c r="PUX170" s="125"/>
      <c r="PUY170" s="125"/>
      <c r="PUZ170" s="125"/>
      <c r="PVA170" s="125"/>
      <c r="PVB170" s="125"/>
      <c r="PVC170" s="125"/>
      <c r="PVD170" s="125"/>
      <c r="PVE170" s="125"/>
      <c r="PVF170" s="125"/>
      <c r="PVG170" s="125"/>
      <c r="PVH170" s="125"/>
      <c r="PVI170" s="125"/>
      <c r="PVJ170" s="125"/>
      <c r="PVK170" s="125"/>
      <c r="PVL170" s="125"/>
      <c r="PVM170" s="125"/>
      <c r="PVN170" s="125"/>
      <c r="PVO170" s="125"/>
      <c r="PVP170" s="125"/>
      <c r="PVQ170" s="125"/>
      <c r="PVR170" s="125"/>
      <c r="PVS170" s="125"/>
      <c r="PVT170" s="125"/>
      <c r="PVU170" s="125"/>
      <c r="PVV170" s="125"/>
      <c r="PVW170" s="125"/>
      <c r="PVX170" s="125"/>
      <c r="PVY170" s="125"/>
      <c r="PVZ170" s="125"/>
      <c r="PWA170" s="125"/>
      <c r="PWB170" s="125"/>
      <c r="PWC170" s="125"/>
      <c r="PWD170" s="125"/>
      <c r="PWE170" s="125"/>
      <c r="PWF170" s="125"/>
      <c r="PWG170" s="125"/>
      <c r="PWH170" s="125"/>
      <c r="PWI170" s="125"/>
      <c r="PWJ170" s="125"/>
      <c r="PWK170" s="125"/>
      <c r="PWL170" s="125"/>
      <c r="PWM170" s="125"/>
      <c r="PWN170" s="125"/>
      <c r="PWO170" s="125"/>
      <c r="PWP170" s="125"/>
      <c r="PWQ170" s="125"/>
      <c r="PWR170" s="125"/>
      <c r="PWS170" s="125"/>
      <c r="PWT170" s="125"/>
      <c r="PWU170" s="125"/>
      <c r="PWV170" s="125"/>
      <c r="PWW170" s="125"/>
      <c r="PWX170" s="125"/>
      <c r="PWY170" s="125"/>
      <c r="PWZ170" s="125"/>
      <c r="PXA170" s="125"/>
      <c r="PXB170" s="125"/>
      <c r="PXC170" s="125"/>
      <c r="PXD170" s="125"/>
      <c r="PXE170" s="125"/>
      <c r="PXF170" s="125"/>
      <c r="PXG170" s="125"/>
      <c r="PXH170" s="125"/>
      <c r="PXI170" s="125"/>
      <c r="PXJ170" s="125"/>
      <c r="PXK170" s="125"/>
      <c r="PXL170" s="125"/>
      <c r="PXM170" s="125"/>
      <c r="PXN170" s="125"/>
      <c r="PXO170" s="125"/>
      <c r="PXP170" s="125"/>
      <c r="PXQ170" s="125"/>
      <c r="PXR170" s="125"/>
      <c r="PXS170" s="125"/>
      <c r="PXT170" s="125"/>
      <c r="PXU170" s="125"/>
      <c r="PXV170" s="125"/>
      <c r="PXW170" s="125"/>
      <c r="PXX170" s="125"/>
      <c r="PXY170" s="125"/>
      <c r="PXZ170" s="125"/>
      <c r="PYA170" s="125"/>
      <c r="PYB170" s="125"/>
      <c r="PYC170" s="125"/>
      <c r="PYD170" s="125"/>
      <c r="PYE170" s="125"/>
      <c r="PYF170" s="125"/>
      <c r="PYG170" s="125"/>
      <c r="PYH170" s="125"/>
      <c r="PYI170" s="125"/>
      <c r="PYJ170" s="125"/>
      <c r="PYK170" s="125"/>
      <c r="PYL170" s="125"/>
      <c r="PYM170" s="125"/>
      <c r="PYN170" s="125"/>
      <c r="PYO170" s="125"/>
      <c r="PYP170" s="125"/>
      <c r="PYQ170" s="125"/>
      <c r="PYR170" s="125"/>
      <c r="PYS170" s="125"/>
      <c r="PYT170" s="125"/>
      <c r="PYU170" s="125"/>
      <c r="PYV170" s="125"/>
      <c r="PYW170" s="125"/>
      <c r="PYX170" s="125"/>
      <c r="PYY170" s="125"/>
      <c r="PYZ170" s="125"/>
      <c r="PZA170" s="125"/>
      <c r="PZB170" s="125"/>
      <c r="PZC170" s="125"/>
      <c r="PZD170" s="125"/>
      <c r="PZE170" s="125"/>
      <c r="PZF170" s="125"/>
      <c r="PZG170" s="125"/>
      <c r="PZH170" s="125"/>
      <c r="PZI170" s="125"/>
      <c r="PZJ170" s="125"/>
      <c r="PZK170" s="125"/>
      <c r="PZL170" s="125"/>
      <c r="PZM170" s="125"/>
      <c r="PZN170" s="125"/>
      <c r="PZO170" s="125"/>
      <c r="PZP170" s="125"/>
      <c r="PZQ170" s="125"/>
      <c r="PZR170" s="125"/>
      <c r="PZS170" s="125"/>
      <c r="PZT170" s="125"/>
      <c r="PZU170" s="125"/>
      <c r="PZV170" s="125"/>
      <c r="PZW170" s="125"/>
      <c r="PZX170" s="125"/>
      <c r="PZY170" s="125"/>
      <c r="PZZ170" s="125"/>
      <c r="QAA170" s="125"/>
      <c r="QAB170" s="125"/>
      <c r="QAC170" s="125"/>
      <c r="QAD170" s="125"/>
      <c r="QAE170" s="125"/>
      <c r="QAF170" s="125"/>
      <c r="QAG170" s="125"/>
      <c r="QAH170" s="125"/>
      <c r="QAI170" s="125"/>
      <c r="QAJ170" s="125"/>
      <c r="QAK170" s="125"/>
      <c r="QAL170" s="125"/>
      <c r="QAM170" s="125"/>
      <c r="QAN170" s="125"/>
      <c r="QAO170" s="125"/>
      <c r="QAP170" s="125"/>
      <c r="QAQ170" s="125"/>
      <c r="QAR170" s="125"/>
      <c r="QAS170" s="125"/>
      <c r="QAT170" s="125"/>
      <c r="QAU170" s="125"/>
      <c r="QAV170" s="125"/>
      <c r="QAW170" s="125"/>
      <c r="QAX170" s="125"/>
      <c r="QAY170" s="125"/>
      <c r="QAZ170" s="125"/>
      <c r="QBA170" s="125"/>
      <c r="QBB170" s="125"/>
      <c r="QBC170" s="125"/>
      <c r="QBD170" s="125"/>
      <c r="QBE170" s="125"/>
      <c r="QBF170" s="125"/>
      <c r="QBG170" s="125"/>
      <c r="QBH170" s="125"/>
      <c r="QBI170" s="125"/>
      <c r="QBJ170" s="125"/>
      <c r="QBK170" s="125"/>
      <c r="QBL170" s="125"/>
      <c r="QBM170" s="125"/>
      <c r="QBN170" s="125"/>
      <c r="QBO170" s="125"/>
      <c r="QBP170" s="125"/>
      <c r="QBQ170" s="125"/>
      <c r="QBR170" s="125"/>
      <c r="QBS170" s="125"/>
      <c r="QBT170" s="125"/>
      <c r="QBU170" s="125"/>
      <c r="QBV170" s="125"/>
      <c r="QBW170" s="125"/>
      <c r="QBX170" s="125"/>
      <c r="QBY170" s="125"/>
      <c r="QBZ170" s="125"/>
      <c r="QCA170" s="125"/>
      <c r="QCB170" s="125"/>
      <c r="QCC170" s="125"/>
      <c r="QCD170" s="125"/>
      <c r="QCE170" s="125"/>
      <c r="QCF170" s="125"/>
      <c r="QCG170" s="125"/>
      <c r="QCH170" s="125"/>
      <c r="QCI170" s="125"/>
      <c r="QCJ170" s="125"/>
      <c r="QCK170" s="125"/>
      <c r="QCL170" s="125"/>
      <c r="QCM170" s="125"/>
      <c r="QCN170" s="125"/>
      <c r="QCO170" s="125"/>
      <c r="QCP170" s="125"/>
      <c r="QCQ170" s="125"/>
      <c r="QCR170" s="125"/>
      <c r="QCS170" s="125"/>
      <c r="QCT170" s="125"/>
      <c r="QCU170" s="125"/>
      <c r="QCV170" s="125"/>
      <c r="QCW170" s="125"/>
      <c r="QCX170" s="125"/>
      <c r="QCY170" s="125"/>
      <c r="QCZ170" s="125"/>
      <c r="QDA170" s="125"/>
      <c r="QDB170" s="125"/>
      <c r="QDC170" s="125"/>
      <c r="QDD170" s="125"/>
      <c r="QDE170" s="125"/>
      <c r="QDF170" s="125"/>
      <c r="QDG170" s="125"/>
      <c r="QDH170" s="125"/>
      <c r="QDI170" s="125"/>
      <c r="QDJ170" s="125"/>
      <c r="QDK170" s="125"/>
      <c r="QDL170" s="125"/>
      <c r="QDM170" s="125"/>
      <c r="QDN170" s="125"/>
      <c r="QDO170" s="125"/>
      <c r="QDP170" s="125"/>
      <c r="QDQ170" s="125"/>
      <c r="QDR170" s="125"/>
      <c r="QDS170" s="125"/>
      <c r="QDT170" s="125"/>
      <c r="QDU170" s="125"/>
      <c r="QDV170" s="125"/>
      <c r="QDW170" s="125"/>
      <c r="QDX170" s="125"/>
      <c r="QDY170" s="125"/>
      <c r="QDZ170" s="125"/>
      <c r="QEA170" s="125"/>
      <c r="QEB170" s="125"/>
      <c r="QEC170" s="125"/>
      <c r="QED170" s="125"/>
      <c r="QEE170" s="125"/>
      <c r="QEF170" s="125"/>
      <c r="QEG170" s="125"/>
      <c r="QEH170" s="125"/>
      <c r="QEI170" s="125"/>
      <c r="QEJ170" s="125"/>
      <c r="QEK170" s="125"/>
      <c r="QEL170" s="125"/>
      <c r="QEM170" s="125"/>
      <c r="QEN170" s="125"/>
      <c r="QEO170" s="125"/>
      <c r="QEP170" s="125"/>
      <c r="QEQ170" s="125"/>
      <c r="QER170" s="125"/>
      <c r="QES170" s="125"/>
      <c r="QET170" s="125"/>
      <c r="QEU170" s="125"/>
      <c r="QEV170" s="125"/>
      <c r="QEW170" s="125"/>
      <c r="QEX170" s="125"/>
      <c r="QEY170" s="125"/>
      <c r="QEZ170" s="125"/>
      <c r="QFA170" s="125"/>
      <c r="QFB170" s="125"/>
      <c r="QFC170" s="125"/>
      <c r="QFD170" s="125"/>
      <c r="QFE170" s="125"/>
      <c r="QFF170" s="125"/>
      <c r="QFG170" s="125"/>
      <c r="QFH170" s="125"/>
      <c r="QFI170" s="125"/>
      <c r="QFJ170" s="125"/>
      <c r="QFK170" s="125"/>
      <c r="QFL170" s="125"/>
      <c r="QFM170" s="125"/>
      <c r="QFN170" s="125"/>
      <c r="QFO170" s="125"/>
      <c r="QFP170" s="125"/>
      <c r="QFQ170" s="125"/>
      <c r="QFR170" s="125"/>
      <c r="QFS170" s="125"/>
      <c r="QFT170" s="125"/>
      <c r="QFU170" s="125"/>
      <c r="QFV170" s="125"/>
      <c r="QFW170" s="125"/>
      <c r="QFX170" s="125"/>
      <c r="QFY170" s="125"/>
      <c r="QFZ170" s="125"/>
      <c r="QGA170" s="125"/>
      <c r="QGB170" s="125"/>
      <c r="QGC170" s="125"/>
      <c r="QGD170" s="125"/>
      <c r="QGE170" s="125"/>
      <c r="QGF170" s="125"/>
      <c r="QGG170" s="125"/>
      <c r="QGH170" s="125"/>
      <c r="QGI170" s="125"/>
      <c r="QGJ170" s="125"/>
      <c r="QGK170" s="125"/>
      <c r="QGL170" s="125"/>
      <c r="QGM170" s="125"/>
      <c r="QGN170" s="125"/>
      <c r="QGO170" s="125"/>
      <c r="QGP170" s="125"/>
      <c r="QGQ170" s="125"/>
      <c r="QGR170" s="125"/>
      <c r="QGS170" s="125"/>
      <c r="QGT170" s="125"/>
      <c r="QGU170" s="125"/>
      <c r="QGV170" s="125"/>
      <c r="QGW170" s="125"/>
      <c r="QGX170" s="125"/>
      <c r="QGY170" s="125"/>
      <c r="QGZ170" s="125"/>
      <c r="QHA170" s="125"/>
      <c r="QHB170" s="125"/>
      <c r="QHC170" s="125"/>
      <c r="QHD170" s="125"/>
      <c r="QHE170" s="125"/>
      <c r="QHF170" s="125"/>
      <c r="QHG170" s="125"/>
      <c r="QHH170" s="125"/>
      <c r="QHI170" s="125"/>
      <c r="QHJ170" s="125"/>
      <c r="QHK170" s="125"/>
      <c r="QHL170" s="125"/>
      <c r="QHM170" s="125"/>
      <c r="QHN170" s="125"/>
      <c r="QHO170" s="125"/>
      <c r="QHP170" s="125"/>
      <c r="QHQ170" s="125"/>
      <c r="QHR170" s="125"/>
      <c r="QHS170" s="125"/>
      <c r="QHT170" s="125"/>
      <c r="QHU170" s="125"/>
      <c r="QHV170" s="125"/>
      <c r="QHW170" s="125"/>
      <c r="QHX170" s="125"/>
      <c r="QHY170" s="125"/>
      <c r="QHZ170" s="125"/>
      <c r="QIA170" s="125"/>
      <c r="QIB170" s="125"/>
      <c r="QIC170" s="125"/>
      <c r="QID170" s="125"/>
      <c r="QIE170" s="125"/>
      <c r="QIF170" s="125"/>
      <c r="QIG170" s="125"/>
      <c r="QIH170" s="125"/>
      <c r="QII170" s="125"/>
      <c r="QIJ170" s="125"/>
      <c r="QIK170" s="125"/>
      <c r="QIL170" s="125"/>
      <c r="QIM170" s="125"/>
      <c r="QIN170" s="125"/>
      <c r="QIO170" s="125"/>
      <c r="QIP170" s="125"/>
      <c r="QIQ170" s="125"/>
      <c r="QIR170" s="125"/>
      <c r="QIS170" s="125"/>
      <c r="QIT170" s="125"/>
      <c r="QIU170" s="125"/>
      <c r="QIV170" s="125"/>
      <c r="QIW170" s="125"/>
      <c r="QIX170" s="125"/>
      <c r="QIY170" s="125"/>
      <c r="QIZ170" s="125"/>
      <c r="QJA170" s="125"/>
      <c r="QJB170" s="125"/>
      <c r="QJC170" s="125"/>
      <c r="QJD170" s="125"/>
      <c r="QJE170" s="125"/>
      <c r="QJF170" s="125"/>
      <c r="QJG170" s="125"/>
      <c r="QJH170" s="125"/>
      <c r="QJI170" s="125"/>
      <c r="QJJ170" s="125"/>
      <c r="QJK170" s="125"/>
      <c r="QJL170" s="125"/>
      <c r="QJM170" s="125"/>
      <c r="QJN170" s="125"/>
      <c r="QJO170" s="125"/>
      <c r="QJP170" s="125"/>
      <c r="QJQ170" s="125"/>
      <c r="QJR170" s="125"/>
      <c r="QJS170" s="125"/>
      <c r="QJT170" s="125"/>
      <c r="QJU170" s="125"/>
      <c r="QJV170" s="125"/>
      <c r="QJW170" s="125"/>
      <c r="QJX170" s="125"/>
      <c r="QJY170" s="125"/>
      <c r="QJZ170" s="125"/>
      <c r="QKA170" s="125"/>
      <c r="QKB170" s="125"/>
      <c r="QKC170" s="125"/>
      <c r="QKD170" s="125"/>
      <c r="QKE170" s="125"/>
      <c r="QKF170" s="125"/>
      <c r="QKG170" s="125"/>
      <c r="QKH170" s="125"/>
      <c r="QKI170" s="125"/>
      <c r="QKJ170" s="125"/>
      <c r="QKK170" s="125"/>
      <c r="QKL170" s="125"/>
      <c r="QKM170" s="125"/>
      <c r="QKN170" s="125"/>
      <c r="QKO170" s="125"/>
      <c r="QKP170" s="125"/>
      <c r="QKQ170" s="125"/>
      <c r="QKR170" s="125"/>
      <c r="QKS170" s="125"/>
      <c r="QKT170" s="125"/>
      <c r="QKU170" s="125"/>
      <c r="QKV170" s="125"/>
      <c r="QKW170" s="125"/>
      <c r="QKX170" s="125"/>
      <c r="QKY170" s="125"/>
      <c r="QKZ170" s="125"/>
      <c r="QLA170" s="125"/>
      <c r="QLB170" s="125"/>
      <c r="QLC170" s="125"/>
      <c r="QLD170" s="125"/>
      <c r="QLE170" s="125"/>
      <c r="QLF170" s="125"/>
      <c r="QLG170" s="125"/>
      <c r="QLH170" s="125"/>
      <c r="QLI170" s="125"/>
      <c r="QLJ170" s="125"/>
      <c r="QLK170" s="125"/>
      <c r="QLL170" s="125"/>
      <c r="QLM170" s="125"/>
      <c r="QLN170" s="125"/>
      <c r="QLO170" s="125"/>
      <c r="QLP170" s="125"/>
      <c r="QLQ170" s="125"/>
      <c r="QLR170" s="125"/>
      <c r="QLS170" s="125"/>
      <c r="QLT170" s="125"/>
      <c r="QLU170" s="125"/>
      <c r="QLV170" s="125"/>
      <c r="QLW170" s="125"/>
      <c r="QLX170" s="125"/>
      <c r="QLY170" s="125"/>
      <c r="QLZ170" s="125"/>
      <c r="QMA170" s="125"/>
      <c r="QMB170" s="125"/>
      <c r="QMC170" s="125"/>
      <c r="QMD170" s="125"/>
      <c r="QME170" s="125"/>
      <c r="QMF170" s="125"/>
      <c r="QMG170" s="125"/>
      <c r="QMH170" s="125"/>
      <c r="QMI170" s="125"/>
      <c r="QMJ170" s="125"/>
      <c r="QMK170" s="125"/>
      <c r="QML170" s="125"/>
      <c r="QMM170" s="125"/>
      <c r="QMN170" s="125"/>
      <c r="QMO170" s="125"/>
      <c r="QMP170" s="125"/>
      <c r="QMQ170" s="125"/>
      <c r="QMR170" s="125"/>
      <c r="QMS170" s="125"/>
      <c r="QMT170" s="125"/>
      <c r="QMU170" s="125"/>
      <c r="QMV170" s="125"/>
      <c r="QMW170" s="125"/>
      <c r="QMX170" s="125"/>
      <c r="QMY170" s="125"/>
      <c r="QMZ170" s="125"/>
      <c r="QNA170" s="125"/>
      <c r="QNB170" s="125"/>
      <c r="QNC170" s="125"/>
      <c r="QND170" s="125"/>
      <c r="QNE170" s="125"/>
      <c r="QNF170" s="125"/>
      <c r="QNG170" s="125"/>
      <c r="QNH170" s="125"/>
      <c r="QNI170" s="125"/>
      <c r="QNJ170" s="125"/>
      <c r="QNK170" s="125"/>
      <c r="QNL170" s="125"/>
      <c r="QNM170" s="125"/>
      <c r="QNN170" s="125"/>
      <c r="QNO170" s="125"/>
      <c r="QNP170" s="125"/>
      <c r="QNQ170" s="125"/>
      <c r="QNR170" s="125"/>
      <c r="QNS170" s="125"/>
      <c r="QNT170" s="125"/>
      <c r="QNU170" s="125"/>
      <c r="QNV170" s="125"/>
      <c r="QNW170" s="125"/>
      <c r="QNX170" s="125"/>
      <c r="QNY170" s="125"/>
      <c r="QNZ170" s="125"/>
      <c r="QOA170" s="125"/>
      <c r="QOB170" s="125"/>
      <c r="QOC170" s="125"/>
      <c r="QOD170" s="125"/>
      <c r="QOE170" s="125"/>
      <c r="QOF170" s="125"/>
      <c r="QOG170" s="125"/>
      <c r="QOH170" s="125"/>
      <c r="QOI170" s="125"/>
      <c r="QOJ170" s="125"/>
      <c r="QOK170" s="125"/>
      <c r="QOL170" s="125"/>
      <c r="QOM170" s="125"/>
      <c r="QON170" s="125"/>
      <c r="QOO170" s="125"/>
      <c r="QOP170" s="125"/>
      <c r="QOQ170" s="125"/>
      <c r="QOR170" s="125"/>
      <c r="QOS170" s="125"/>
      <c r="QOT170" s="125"/>
      <c r="QOU170" s="125"/>
      <c r="QOV170" s="125"/>
      <c r="QOW170" s="125"/>
      <c r="QOX170" s="125"/>
      <c r="QOY170" s="125"/>
      <c r="QOZ170" s="125"/>
      <c r="QPA170" s="125"/>
      <c r="QPB170" s="125"/>
      <c r="QPC170" s="125"/>
      <c r="QPD170" s="125"/>
      <c r="QPE170" s="125"/>
      <c r="QPF170" s="125"/>
      <c r="QPG170" s="125"/>
      <c r="QPH170" s="125"/>
      <c r="QPI170" s="125"/>
      <c r="QPJ170" s="125"/>
      <c r="QPK170" s="125"/>
      <c r="QPL170" s="125"/>
      <c r="QPM170" s="125"/>
      <c r="QPN170" s="125"/>
      <c r="QPO170" s="125"/>
      <c r="QPP170" s="125"/>
      <c r="QPQ170" s="125"/>
      <c r="QPR170" s="125"/>
      <c r="QPS170" s="125"/>
      <c r="QPT170" s="125"/>
      <c r="QPU170" s="125"/>
      <c r="QPV170" s="125"/>
      <c r="QPW170" s="125"/>
      <c r="QPX170" s="125"/>
      <c r="QPY170" s="125"/>
      <c r="QPZ170" s="125"/>
      <c r="QQA170" s="125"/>
      <c r="QQB170" s="125"/>
      <c r="QQC170" s="125"/>
      <c r="QQD170" s="125"/>
      <c r="QQE170" s="125"/>
      <c r="QQF170" s="125"/>
      <c r="QQG170" s="125"/>
      <c r="QQH170" s="125"/>
      <c r="QQI170" s="125"/>
      <c r="QQJ170" s="125"/>
      <c r="QQK170" s="125"/>
      <c r="QQL170" s="125"/>
      <c r="QQM170" s="125"/>
      <c r="QQN170" s="125"/>
      <c r="QQO170" s="125"/>
      <c r="QQP170" s="125"/>
      <c r="QQQ170" s="125"/>
      <c r="QQR170" s="125"/>
      <c r="QQS170" s="125"/>
      <c r="QQT170" s="125"/>
      <c r="QQU170" s="125"/>
      <c r="QQV170" s="125"/>
      <c r="QQW170" s="125"/>
      <c r="QQX170" s="125"/>
      <c r="QQY170" s="125"/>
      <c r="QQZ170" s="125"/>
      <c r="QRA170" s="125"/>
      <c r="QRB170" s="125"/>
      <c r="QRC170" s="125"/>
      <c r="QRD170" s="125"/>
      <c r="QRE170" s="125"/>
      <c r="QRF170" s="125"/>
      <c r="QRG170" s="125"/>
      <c r="QRH170" s="125"/>
      <c r="QRI170" s="125"/>
      <c r="QRJ170" s="125"/>
      <c r="QRK170" s="125"/>
      <c r="QRL170" s="125"/>
      <c r="QRM170" s="125"/>
      <c r="QRN170" s="125"/>
      <c r="QRO170" s="125"/>
      <c r="QRP170" s="125"/>
      <c r="QRQ170" s="125"/>
      <c r="QRR170" s="125"/>
      <c r="QRS170" s="125"/>
      <c r="QRT170" s="125"/>
      <c r="QRU170" s="125"/>
      <c r="QRV170" s="125"/>
      <c r="QRW170" s="125"/>
      <c r="QRX170" s="125"/>
      <c r="QRY170" s="125"/>
      <c r="QRZ170" s="125"/>
      <c r="QSA170" s="125"/>
      <c r="QSB170" s="125"/>
      <c r="QSC170" s="125"/>
      <c r="QSD170" s="125"/>
      <c r="QSE170" s="125"/>
      <c r="QSF170" s="125"/>
      <c r="QSG170" s="125"/>
      <c r="QSH170" s="125"/>
      <c r="QSI170" s="125"/>
      <c r="QSJ170" s="125"/>
      <c r="QSK170" s="125"/>
      <c r="QSL170" s="125"/>
      <c r="QSM170" s="125"/>
      <c r="QSN170" s="125"/>
      <c r="QSO170" s="125"/>
      <c r="QSP170" s="125"/>
      <c r="QSQ170" s="125"/>
      <c r="QSR170" s="125"/>
      <c r="QSS170" s="125"/>
      <c r="QST170" s="125"/>
      <c r="QSU170" s="125"/>
      <c r="QSV170" s="125"/>
      <c r="QSW170" s="125"/>
      <c r="QSX170" s="125"/>
      <c r="QSY170" s="125"/>
      <c r="QSZ170" s="125"/>
      <c r="QTA170" s="125"/>
      <c r="QTB170" s="125"/>
      <c r="QTC170" s="125"/>
      <c r="QTD170" s="125"/>
      <c r="QTE170" s="125"/>
      <c r="QTF170" s="125"/>
      <c r="QTG170" s="125"/>
      <c r="QTH170" s="125"/>
      <c r="QTI170" s="125"/>
      <c r="QTJ170" s="125"/>
      <c r="QTK170" s="125"/>
      <c r="QTL170" s="125"/>
      <c r="QTM170" s="125"/>
      <c r="QTN170" s="125"/>
      <c r="QTO170" s="125"/>
      <c r="QTP170" s="125"/>
      <c r="QTQ170" s="125"/>
      <c r="QTR170" s="125"/>
      <c r="QTS170" s="125"/>
      <c r="QTT170" s="125"/>
      <c r="QTU170" s="125"/>
      <c r="QTV170" s="125"/>
      <c r="QTW170" s="125"/>
      <c r="QTX170" s="125"/>
      <c r="QTY170" s="125"/>
      <c r="QTZ170" s="125"/>
      <c r="QUA170" s="125"/>
      <c r="QUB170" s="125"/>
      <c r="QUC170" s="125"/>
      <c r="QUD170" s="125"/>
      <c r="QUE170" s="125"/>
      <c r="QUF170" s="125"/>
      <c r="QUG170" s="125"/>
      <c r="QUH170" s="125"/>
      <c r="QUI170" s="125"/>
      <c r="QUJ170" s="125"/>
      <c r="QUK170" s="125"/>
      <c r="QUL170" s="125"/>
      <c r="QUM170" s="125"/>
      <c r="QUN170" s="125"/>
      <c r="QUO170" s="125"/>
      <c r="QUP170" s="125"/>
      <c r="QUQ170" s="125"/>
      <c r="QUR170" s="125"/>
      <c r="QUS170" s="125"/>
      <c r="QUT170" s="125"/>
      <c r="QUU170" s="125"/>
      <c r="QUV170" s="125"/>
      <c r="QUW170" s="125"/>
      <c r="QUX170" s="125"/>
      <c r="QUY170" s="125"/>
      <c r="QUZ170" s="125"/>
      <c r="QVA170" s="125"/>
      <c r="QVB170" s="125"/>
      <c r="QVC170" s="125"/>
      <c r="QVD170" s="125"/>
      <c r="QVE170" s="125"/>
      <c r="QVF170" s="125"/>
      <c r="QVG170" s="125"/>
      <c r="QVH170" s="125"/>
      <c r="QVI170" s="125"/>
      <c r="QVJ170" s="125"/>
      <c r="QVK170" s="125"/>
      <c r="QVL170" s="125"/>
      <c r="QVM170" s="125"/>
      <c r="QVN170" s="125"/>
      <c r="QVO170" s="125"/>
      <c r="QVP170" s="125"/>
      <c r="QVQ170" s="125"/>
      <c r="QVR170" s="125"/>
      <c r="QVS170" s="125"/>
      <c r="QVT170" s="125"/>
      <c r="QVU170" s="125"/>
      <c r="QVV170" s="125"/>
      <c r="QVW170" s="125"/>
      <c r="QVX170" s="125"/>
      <c r="QVY170" s="125"/>
      <c r="QVZ170" s="125"/>
      <c r="QWA170" s="125"/>
      <c r="QWB170" s="125"/>
      <c r="QWC170" s="125"/>
      <c r="QWD170" s="125"/>
      <c r="QWE170" s="125"/>
      <c r="QWF170" s="125"/>
      <c r="QWG170" s="125"/>
      <c r="QWH170" s="125"/>
      <c r="QWI170" s="125"/>
      <c r="QWJ170" s="125"/>
      <c r="QWK170" s="125"/>
      <c r="QWL170" s="125"/>
      <c r="QWM170" s="125"/>
      <c r="QWN170" s="125"/>
      <c r="QWO170" s="125"/>
      <c r="QWP170" s="125"/>
      <c r="QWQ170" s="125"/>
      <c r="QWR170" s="125"/>
      <c r="QWS170" s="125"/>
      <c r="QWT170" s="125"/>
      <c r="QWU170" s="125"/>
      <c r="QWV170" s="125"/>
      <c r="QWW170" s="125"/>
      <c r="QWX170" s="125"/>
      <c r="QWY170" s="125"/>
      <c r="QWZ170" s="125"/>
      <c r="QXA170" s="125"/>
      <c r="QXB170" s="125"/>
      <c r="QXC170" s="125"/>
      <c r="QXD170" s="125"/>
      <c r="QXE170" s="125"/>
      <c r="QXF170" s="125"/>
      <c r="QXG170" s="125"/>
      <c r="QXH170" s="125"/>
      <c r="QXI170" s="125"/>
      <c r="QXJ170" s="125"/>
      <c r="QXK170" s="125"/>
      <c r="QXL170" s="125"/>
      <c r="QXM170" s="125"/>
      <c r="QXN170" s="125"/>
      <c r="QXO170" s="125"/>
      <c r="QXP170" s="125"/>
      <c r="QXQ170" s="125"/>
      <c r="QXR170" s="125"/>
      <c r="QXS170" s="125"/>
      <c r="QXT170" s="125"/>
      <c r="QXU170" s="125"/>
      <c r="QXV170" s="125"/>
      <c r="QXW170" s="125"/>
      <c r="QXX170" s="125"/>
      <c r="QXY170" s="125"/>
      <c r="QXZ170" s="125"/>
      <c r="QYA170" s="125"/>
      <c r="QYB170" s="125"/>
      <c r="QYC170" s="125"/>
      <c r="QYD170" s="125"/>
      <c r="QYE170" s="125"/>
      <c r="QYF170" s="125"/>
      <c r="QYG170" s="125"/>
      <c r="QYH170" s="125"/>
      <c r="QYI170" s="125"/>
      <c r="QYJ170" s="125"/>
      <c r="QYK170" s="125"/>
      <c r="QYL170" s="125"/>
      <c r="QYM170" s="125"/>
      <c r="QYN170" s="125"/>
      <c r="QYO170" s="125"/>
      <c r="QYP170" s="125"/>
      <c r="QYQ170" s="125"/>
      <c r="QYR170" s="125"/>
      <c r="QYS170" s="125"/>
      <c r="QYT170" s="125"/>
      <c r="QYU170" s="125"/>
      <c r="QYV170" s="125"/>
      <c r="QYW170" s="125"/>
      <c r="QYX170" s="125"/>
      <c r="QYY170" s="125"/>
      <c r="QYZ170" s="125"/>
      <c r="QZA170" s="125"/>
      <c r="QZB170" s="125"/>
      <c r="QZC170" s="125"/>
      <c r="QZD170" s="125"/>
      <c r="QZE170" s="125"/>
      <c r="QZF170" s="125"/>
      <c r="QZG170" s="125"/>
      <c r="QZH170" s="125"/>
      <c r="QZI170" s="125"/>
      <c r="QZJ170" s="125"/>
      <c r="QZK170" s="125"/>
      <c r="QZL170" s="125"/>
      <c r="QZM170" s="125"/>
      <c r="QZN170" s="125"/>
      <c r="QZO170" s="125"/>
      <c r="QZP170" s="125"/>
      <c r="QZQ170" s="125"/>
      <c r="QZR170" s="125"/>
      <c r="QZS170" s="125"/>
      <c r="QZT170" s="125"/>
      <c r="QZU170" s="125"/>
      <c r="QZV170" s="125"/>
      <c r="QZW170" s="125"/>
      <c r="QZX170" s="125"/>
      <c r="QZY170" s="125"/>
      <c r="QZZ170" s="125"/>
      <c r="RAA170" s="125"/>
      <c r="RAB170" s="125"/>
      <c r="RAC170" s="125"/>
      <c r="RAD170" s="125"/>
      <c r="RAE170" s="125"/>
      <c r="RAF170" s="125"/>
      <c r="RAG170" s="125"/>
      <c r="RAH170" s="125"/>
      <c r="RAI170" s="125"/>
      <c r="RAJ170" s="125"/>
      <c r="RAK170" s="125"/>
      <c r="RAL170" s="125"/>
      <c r="RAM170" s="125"/>
      <c r="RAN170" s="125"/>
      <c r="RAO170" s="125"/>
      <c r="RAP170" s="125"/>
      <c r="RAQ170" s="125"/>
      <c r="RAR170" s="125"/>
      <c r="RAS170" s="125"/>
      <c r="RAT170" s="125"/>
      <c r="RAU170" s="125"/>
      <c r="RAV170" s="125"/>
      <c r="RAW170" s="125"/>
      <c r="RAX170" s="125"/>
      <c r="RAY170" s="125"/>
      <c r="RAZ170" s="125"/>
      <c r="RBA170" s="125"/>
      <c r="RBB170" s="125"/>
      <c r="RBC170" s="125"/>
      <c r="RBD170" s="125"/>
      <c r="RBE170" s="125"/>
      <c r="RBF170" s="125"/>
      <c r="RBG170" s="125"/>
      <c r="RBH170" s="125"/>
      <c r="RBI170" s="125"/>
      <c r="RBJ170" s="125"/>
      <c r="RBK170" s="125"/>
      <c r="RBL170" s="125"/>
      <c r="RBM170" s="125"/>
      <c r="RBN170" s="125"/>
      <c r="RBO170" s="125"/>
      <c r="RBP170" s="125"/>
      <c r="RBQ170" s="125"/>
      <c r="RBR170" s="125"/>
      <c r="RBS170" s="125"/>
      <c r="RBT170" s="125"/>
      <c r="RBU170" s="125"/>
      <c r="RBV170" s="125"/>
      <c r="RBW170" s="125"/>
      <c r="RBX170" s="125"/>
      <c r="RBY170" s="125"/>
      <c r="RBZ170" s="125"/>
      <c r="RCA170" s="125"/>
      <c r="RCB170" s="125"/>
      <c r="RCC170" s="125"/>
      <c r="RCD170" s="125"/>
      <c r="RCE170" s="125"/>
      <c r="RCF170" s="125"/>
      <c r="RCG170" s="125"/>
      <c r="RCH170" s="125"/>
      <c r="RCI170" s="125"/>
      <c r="RCJ170" s="125"/>
      <c r="RCK170" s="125"/>
      <c r="RCL170" s="125"/>
      <c r="RCM170" s="125"/>
      <c r="RCN170" s="125"/>
      <c r="RCO170" s="125"/>
      <c r="RCP170" s="125"/>
      <c r="RCQ170" s="125"/>
      <c r="RCR170" s="125"/>
      <c r="RCS170" s="125"/>
      <c r="RCT170" s="125"/>
      <c r="RCU170" s="125"/>
      <c r="RCV170" s="125"/>
      <c r="RCW170" s="125"/>
      <c r="RCX170" s="125"/>
      <c r="RCY170" s="125"/>
      <c r="RCZ170" s="125"/>
      <c r="RDA170" s="125"/>
      <c r="RDB170" s="125"/>
      <c r="RDC170" s="125"/>
      <c r="RDD170" s="125"/>
      <c r="RDE170" s="125"/>
      <c r="RDF170" s="125"/>
      <c r="RDG170" s="125"/>
      <c r="RDH170" s="125"/>
      <c r="RDI170" s="125"/>
      <c r="RDJ170" s="125"/>
      <c r="RDK170" s="125"/>
      <c r="RDL170" s="125"/>
      <c r="RDM170" s="125"/>
      <c r="RDN170" s="125"/>
      <c r="RDO170" s="125"/>
      <c r="RDP170" s="125"/>
      <c r="RDQ170" s="125"/>
      <c r="RDR170" s="125"/>
      <c r="RDS170" s="125"/>
      <c r="RDT170" s="125"/>
      <c r="RDU170" s="125"/>
      <c r="RDV170" s="125"/>
      <c r="RDW170" s="125"/>
      <c r="RDX170" s="125"/>
      <c r="RDY170" s="125"/>
      <c r="RDZ170" s="125"/>
      <c r="REA170" s="125"/>
      <c r="REB170" s="125"/>
      <c r="REC170" s="125"/>
      <c r="RED170" s="125"/>
      <c r="REE170" s="125"/>
      <c r="REF170" s="125"/>
      <c r="REG170" s="125"/>
      <c r="REH170" s="125"/>
      <c r="REI170" s="125"/>
      <c r="REJ170" s="125"/>
      <c r="REK170" s="125"/>
      <c r="REL170" s="125"/>
      <c r="REM170" s="125"/>
      <c r="REN170" s="125"/>
      <c r="REO170" s="125"/>
      <c r="REP170" s="125"/>
      <c r="REQ170" s="125"/>
      <c r="RER170" s="125"/>
      <c r="RES170" s="125"/>
      <c r="RET170" s="125"/>
      <c r="REU170" s="125"/>
      <c r="REV170" s="125"/>
      <c r="REW170" s="125"/>
      <c r="REX170" s="125"/>
      <c r="REY170" s="125"/>
      <c r="REZ170" s="125"/>
      <c r="RFA170" s="125"/>
      <c r="RFB170" s="125"/>
      <c r="RFC170" s="125"/>
      <c r="RFD170" s="125"/>
      <c r="RFE170" s="125"/>
      <c r="RFF170" s="125"/>
      <c r="RFG170" s="125"/>
      <c r="RFH170" s="125"/>
      <c r="RFI170" s="125"/>
      <c r="RFJ170" s="125"/>
      <c r="RFK170" s="125"/>
      <c r="RFL170" s="125"/>
      <c r="RFM170" s="125"/>
      <c r="RFN170" s="125"/>
      <c r="RFO170" s="125"/>
      <c r="RFP170" s="125"/>
      <c r="RFQ170" s="125"/>
      <c r="RFR170" s="125"/>
      <c r="RFS170" s="125"/>
      <c r="RFT170" s="125"/>
      <c r="RFU170" s="125"/>
      <c r="RFV170" s="125"/>
      <c r="RFW170" s="125"/>
      <c r="RFX170" s="125"/>
      <c r="RFY170" s="125"/>
      <c r="RFZ170" s="125"/>
      <c r="RGA170" s="125"/>
      <c r="RGB170" s="125"/>
      <c r="RGC170" s="125"/>
      <c r="RGD170" s="125"/>
      <c r="RGE170" s="125"/>
      <c r="RGF170" s="125"/>
      <c r="RGG170" s="125"/>
      <c r="RGH170" s="125"/>
      <c r="RGI170" s="125"/>
      <c r="RGJ170" s="125"/>
      <c r="RGK170" s="125"/>
      <c r="RGL170" s="125"/>
      <c r="RGM170" s="125"/>
      <c r="RGN170" s="125"/>
      <c r="RGO170" s="125"/>
      <c r="RGP170" s="125"/>
      <c r="RGQ170" s="125"/>
      <c r="RGR170" s="125"/>
      <c r="RGS170" s="125"/>
      <c r="RGT170" s="125"/>
      <c r="RGU170" s="125"/>
      <c r="RGV170" s="125"/>
      <c r="RGW170" s="125"/>
      <c r="RGX170" s="125"/>
      <c r="RGY170" s="125"/>
      <c r="RGZ170" s="125"/>
      <c r="RHA170" s="125"/>
      <c r="RHB170" s="125"/>
      <c r="RHC170" s="125"/>
      <c r="RHD170" s="125"/>
      <c r="RHE170" s="125"/>
      <c r="RHF170" s="125"/>
      <c r="RHG170" s="125"/>
      <c r="RHH170" s="125"/>
      <c r="RHI170" s="125"/>
      <c r="RHJ170" s="125"/>
      <c r="RHK170" s="125"/>
      <c r="RHL170" s="125"/>
      <c r="RHM170" s="125"/>
      <c r="RHN170" s="125"/>
      <c r="RHO170" s="125"/>
      <c r="RHP170" s="125"/>
      <c r="RHQ170" s="125"/>
      <c r="RHR170" s="125"/>
      <c r="RHS170" s="125"/>
      <c r="RHT170" s="125"/>
      <c r="RHU170" s="125"/>
      <c r="RHV170" s="125"/>
      <c r="RHW170" s="125"/>
      <c r="RHX170" s="125"/>
      <c r="RHY170" s="125"/>
      <c r="RHZ170" s="125"/>
      <c r="RIA170" s="125"/>
      <c r="RIB170" s="125"/>
      <c r="RIC170" s="125"/>
      <c r="RID170" s="125"/>
      <c r="RIE170" s="125"/>
      <c r="RIF170" s="125"/>
      <c r="RIG170" s="125"/>
      <c r="RIH170" s="125"/>
      <c r="RII170" s="125"/>
      <c r="RIJ170" s="125"/>
      <c r="RIK170" s="125"/>
      <c r="RIL170" s="125"/>
      <c r="RIM170" s="125"/>
      <c r="RIN170" s="125"/>
      <c r="RIO170" s="125"/>
      <c r="RIP170" s="125"/>
      <c r="RIQ170" s="125"/>
      <c r="RIR170" s="125"/>
      <c r="RIS170" s="125"/>
      <c r="RIT170" s="125"/>
      <c r="RIU170" s="125"/>
      <c r="RIV170" s="125"/>
      <c r="RIW170" s="125"/>
      <c r="RIX170" s="125"/>
      <c r="RIY170" s="125"/>
      <c r="RIZ170" s="125"/>
      <c r="RJA170" s="125"/>
      <c r="RJB170" s="125"/>
      <c r="RJC170" s="125"/>
      <c r="RJD170" s="125"/>
      <c r="RJE170" s="125"/>
      <c r="RJF170" s="125"/>
      <c r="RJG170" s="125"/>
      <c r="RJH170" s="125"/>
      <c r="RJI170" s="125"/>
      <c r="RJJ170" s="125"/>
      <c r="RJK170" s="125"/>
      <c r="RJL170" s="125"/>
      <c r="RJM170" s="125"/>
      <c r="RJN170" s="125"/>
      <c r="RJO170" s="125"/>
      <c r="RJP170" s="125"/>
      <c r="RJQ170" s="125"/>
      <c r="RJR170" s="125"/>
      <c r="RJS170" s="125"/>
      <c r="RJT170" s="125"/>
      <c r="RJU170" s="125"/>
      <c r="RJV170" s="125"/>
      <c r="RJW170" s="125"/>
      <c r="RJX170" s="125"/>
      <c r="RJY170" s="125"/>
      <c r="RJZ170" s="125"/>
      <c r="RKA170" s="125"/>
      <c r="RKB170" s="125"/>
      <c r="RKC170" s="125"/>
      <c r="RKD170" s="125"/>
      <c r="RKE170" s="125"/>
      <c r="RKF170" s="125"/>
      <c r="RKG170" s="125"/>
      <c r="RKH170" s="125"/>
      <c r="RKI170" s="125"/>
      <c r="RKJ170" s="125"/>
      <c r="RKK170" s="125"/>
      <c r="RKL170" s="125"/>
      <c r="RKM170" s="125"/>
      <c r="RKN170" s="125"/>
      <c r="RKO170" s="125"/>
      <c r="RKP170" s="125"/>
      <c r="RKQ170" s="125"/>
      <c r="RKR170" s="125"/>
      <c r="RKS170" s="125"/>
      <c r="RKT170" s="125"/>
      <c r="RKU170" s="125"/>
      <c r="RKV170" s="125"/>
      <c r="RKW170" s="125"/>
      <c r="RKX170" s="125"/>
      <c r="RKY170" s="125"/>
      <c r="RKZ170" s="125"/>
      <c r="RLA170" s="125"/>
      <c r="RLB170" s="125"/>
      <c r="RLC170" s="125"/>
      <c r="RLD170" s="125"/>
      <c r="RLE170" s="125"/>
      <c r="RLF170" s="125"/>
      <c r="RLG170" s="125"/>
      <c r="RLH170" s="125"/>
      <c r="RLI170" s="125"/>
      <c r="RLJ170" s="125"/>
      <c r="RLK170" s="125"/>
      <c r="RLL170" s="125"/>
      <c r="RLM170" s="125"/>
      <c r="RLN170" s="125"/>
      <c r="RLO170" s="125"/>
      <c r="RLP170" s="125"/>
      <c r="RLQ170" s="125"/>
      <c r="RLR170" s="125"/>
      <c r="RLS170" s="125"/>
      <c r="RLT170" s="125"/>
      <c r="RLU170" s="125"/>
      <c r="RLV170" s="125"/>
      <c r="RLW170" s="125"/>
      <c r="RLX170" s="125"/>
      <c r="RLY170" s="125"/>
      <c r="RLZ170" s="125"/>
      <c r="RMA170" s="125"/>
      <c r="RMB170" s="125"/>
      <c r="RMC170" s="125"/>
      <c r="RMD170" s="125"/>
      <c r="RME170" s="125"/>
      <c r="RMF170" s="125"/>
      <c r="RMG170" s="125"/>
      <c r="RMH170" s="125"/>
      <c r="RMI170" s="125"/>
      <c r="RMJ170" s="125"/>
      <c r="RMK170" s="125"/>
      <c r="RML170" s="125"/>
      <c r="RMM170" s="125"/>
      <c r="RMN170" s="125"/>
      <c r="RMO170" s="125"/>
      <c r="RMP170" s="125"/>
      <c r="RMQ170" s="125"/>
      <c r="RMR170" s="125"/>
      <c r="RMS170" s="125"/>
      <c r="RMT170" s="125"/>
      <c r="RMU170" s="125"/>
      <c r="RMV170" s="125"/>
      <c r="RMW170" s="125"/>
      <c r="RMX170" s="125"/>
      <c r="RMY170" s="125"/>
      <c r="RMZ170" s="125"/>
      <c r="RNA170" s="125"/>
      <c r="RNB170" s="125"/>
      <c r="RNC170" s="125"/>
      <c r="RND170" s="125"/>
      <c r="RNE170" s="125"/>
      <c r="RNF170" s="125"/>
      <c r="RNG170" s="125"/>
      <c r="RNH170" s="125"/>
      <c r="RNI170" s="125"/>
      <c r="RNJ170" s="125"/>
      <c r="RNK170" s="125"/>
      <c r="RNL170" s="125"/>
      <c r="RNM170" s="125"/>
      <c r="RNN170" s="125"/>
      <c r="RNO170" s="125"/>
      <c r="RNP170" s="125"/>
      <c r="RNQ170" s="125"/>
      <c r="RNR170" s="125"/>
      <c r="RNS170" s="125"/>
      <c r="RNT170" s="125"/>
      <c r="RNU170" s="125"/>
      <c r="RNV170" s="125"/>
      <c r="RNW170" s="125"/>
      <c r="RNX170" s="125"/>
      <c r="RNY170" s="125"/>
      <c r="RNZ170" s="125"/>
      <c r="ROA170" s="125"/>
      <c r="ROB170" s="125"/>
      <c r="ROC170" s="125"/>
      <c r="ROD170" s="125"/>
      <c r="ROE170" s="125"/>
      <c r="ROF170" s="125"/>
      <c r="ROG170" s="125"/>
      <c r="ROH170" s="125"/>
      <c r="ROI170" s="125"/>
      <c r="ROJ170" s="125"/>
      <c r="ROK170" s="125"/>
      <c r="ROL170" s="125"/>
      <c r="ROM170" s="125"/>
      <c r="RON170" s="125"/>
      <c r="ROO170" s="125"/>
      <c r="ROP170" s="125"/>
      <c r="ROQ170" s="125"/>
      <c r="ROR170" s="125"/>
      <c r="ROS170" s="125"/>
      <c r="ROT170" s="125"/>
      <c r="ROU170" s="125"/>
      <c r="ROV170" s="125"/>
      <c r="ROW170" s="125"/>
      <c r="ROX170" s="125"/>
      <c r="ROY170" s="125"/>
      <c r="ROZ170" s="125"/>
      <c r="RPA170" s="125"/>
      <c r="RPB170" s="125"/>
      <c r="RPC170" s="125"/>
      <c r="RPD170" s="125"/>
      <c r="RPE170" s="125"/>
      <c r="RPF170" s="125"/>
      <c r="RPG170" s="125"/>
      <c r="RPH170" s="125"/>
      <c r="RPI170" s="125"/>
      <c r="RPJ170" s="125"/>
      <c r="RPK170" s="125"/>
      <c r="RPL170" s="125"/>
      <c r="RPM170" s="125"/>
      <c r="RPN170" s="125"/>
      <c r="RPO170" s="125"/>
      <c r="RPP170" s="125"/>
      <c r="RPQ170" s="125"/>
      <c r="RPR170" s="125"/>
      <c r="RPS170" s="125"/>
      <c r="RPT170" s="125"/>
      <c r="RPU170" s="125"/>
      <c r="RPV170" s="125"/>
      <c r="RPW170" s="125"/>
      <c r="RPX170" s="125"/>
      <c r="RPY170" s="125"/>
      <c r="RPZ170" s="125"/>
      <c r="RQA170" s="125"/>
      <c r="RQB170" s="125"/>
      <c r="RQC170" s="125"/>
      <c r="RQD170" s="125"/>
      <c r="RQE170" s="125"/>
      <c r="RQF170" s="125"/>
      <c r="RQG170" s="125"/>
      <c r="RQH170" s="125"/>
      <c r="RQI170" s="125"/>
      <c r="RQJ170" s="125"/>
      <c r="RQK170" s="125"/>
      <c r="RQL170" s="125"/>
      <c r="RQM170" s="125"/>
      <c r="RQN170" s="125"/>
      <c r="RQO170" s="125"/>
      <c r="RQP170" s="125"/>
      <c r="RQQ170" s="125"/>
      <c r="RQR170" s="125"/>
      <c r="RQS170" s="125"/>
      <c r="RQT170" s="125"/>
      <c r="RQU170" s="125"/>
      <c r="RQV170" s="125"/>
      <c r="RQW170" s="125"/>
      <c r="RQX170" s="125"/>
      <c r="RQY170" s="125"/>
      <c r="RQZ170" s="125"/>
      <c r="RRA170" s="125"/>
      <c r="RRB170" s="125"/>
      <c r="RRC170" s="125"/>
      <c r="RRD170" s="125"/>
      <c r="RRE170" s="125"/>
      <c r="RRF170" s="125"/>
      <c r="RRG170" s="125"/>
      <c r="RRH170" s="125"/>
      <c r="RRI170" s="125"/>
      <c r="RRJ170" s="125"/>
      <c r="RRK170" s="125"/>
      <c r="RRL170" s="125"/>
      <c r="RRM170" s="125"/>
      <c r="RRN170" s="125"/>
      <c r="RRO170" s="125"/>
      <c r="RRP170" s="125"/>
      <c r="RRQ170" s="125"/>
      <c r="RRR170" s="125"/>
      <c r="RRS170" s="125"/>
      <c r="RRT170" s="125"/>
      <c r="RRU170" s="125"/>
      <c r="RRV170" s="125"/>
      <c r="RRW170" s="125"/>
      <c r="RRX170" s="125"/>
      <c r="RRY170" s="125"/>
      <c r="RRZ170" s="125"/>
      <c r="RSA170" s="125"/>
      <c r="RSB170" s="125"/>
      <c r="RSC170" s="125"/>
      <c r="RSD170" s="125"/>
      <c r="RSE170" s="125"/>
      <c r="RSF170" s="125"/>
      <c r="RSG170" s="125"/>
      <c r="RSH170" s="125"/>
      <c r="RSI170" s="125"/>
      <c r="RSJ170" s="125"/>
      <c r="RSK170" s="125"/>
      <c r="RSL170" s="125"/>
      <c r="RSM170" s="125"/>
      <c r="RSN170" s="125"/>
      <c r="RSO170" s="125"/>
      <c r="RSP170" s="125"/>
      <c r="RSQ170" s="125"/>
      <c r="RSR170" s="125"/>
      <c r="RSS170" s="125"/>
      <c r="RST170" s="125"/>
      <c r="RSU170" s="125"/>
      <c r="RSV170" s="125"/>
      <c r="RSW170" s="125"/>
      <c r="RSX170" s="125"/>
      <c r="RSY170" s="125"/>
      <c r="RSZ170" s="125"/>
      <c r="RTA170" s="125"/>
      <c r="RTB170" s="125"/>
      <c r="RTC170" s="125"/>
      <c r="RTD170" s="125"/>
      <c r="RTE170" s="125"/>
      <c r="RTF170" s="125"/>
      <c r="RTG170" s="125"/>
      <c r="RTH170" s="125"/>
      <c r="RTI170" s="125"/>
      <c r="RTJ170" s="125"/>
      <c r="RTK170" s="125"/>
      <c r="RTL170" s="125"/>
      <c r="RTM170" s="125"/>
      <c r="RTN170" s="125"/>
      <c r="RTO170" s="125"/>
      <c r="RTP170" s="125"/>
      <c r="RTQ170" s="125"/>
      <c r="RTR170" s="125"/>
      <c r="RTS170" s="125"/>
      <c r="RTT170" s="125"/>
      <c r="RTU170" s="125"/>
      <c r="RTV170" s="125"/>
      <c r="RTW170" s="125"/>
      <c r="RTX170" s="125"/>
      <c r="RTY170" s="125"/>
      <c r="RTZ170" s="125"/>
      <c r="RUA170" s="125"/>
      <c r="RUB170" s="125"/>
      <c r="RUC170" s="125"/>
      <c r="RUD170" s="125"/>
      <c r="RUE170" s="125"/>
      <c r="RUF170" s="125"/>
      <c r="RUG170" s="125"/>
      <c r="RUH170" s="125"/>
      <c r="RUI170" s="125"/>
      <c r="RUJ170" s="125"/>
      <c r="RUK170" s="125"/>
      <c r="RUL170" s="125"/>
      <c r="RUM170" s="125"/>
      <c r="RUN170" s="125"/>
      <c r="RUO170" s="125"/>
      <c r="RUP170" s="125"/>
      <c r="RUQ170" s="125"/>
      <c r="RUR170" s="125"/>
      <c r="RUS170" s="125"/>
      <c r="RUT170" s="125"/>
      <c r="RUU170" s="125"/>
      <c r="RUV170" s="125"/>
      <c r="RUW170" s="125"/>
      <c r="RUX170" s="125"/>
      <c r="RUY170" s="125"/>
      <c r="RUZ170" s="125"/>
      <c r="RVA170" s="125"/>
      <c r="RVB170" s="125"/>
      <c r="RVC170" s="125"/>
      <c r="RVD170" s="125"/>
      <c r="RVE170" s="125"/>
      <c r="RVF170" s="125"/>
      <c r="RVG170" s="125"/>
      <c r="RVH170" s="125"/>
      <c r="RVI170" s="125"/>
      <c r="RVJ170" s="125"/>
      <c r="RVK170" s="125"/>
      <c r="RVL170" s="125"/>
      <c r="RVM170" s="125"/>
      <c r="RVN170" s="125"/>
      <c r="RVO170" s="125"/>
      <c r="RVP170" s="125"/>
      <c r="RVQ170" s="125"/>
      <c r="RVR170" s="125"/>
      <c r="RVS170" s="125"/>
      <c r="RVT170" s="125"/>
      <c r="RVU170" s="125"/>
      <c r="RVV170" s="125"/>
      <c r="RVW170" s="125"/>
      <c r="RVX170" s="125"/>
      <c r="RVY170" s="125"/>
      <c r="RVZ170" s="125"/>
      <c r="RWA170" s="125"/>
      <c r="RWB170" s="125"/>
      <c r="RWC170" s="125"/>
      <c r="RWD170" s="125"/>
      <c r="RWE170" s="125"/>
      <c r="RWF170" s="125"/>
      <c r="RWG170" s="125"/>
      <c r="RWH170" s="125"/>
      <c r="RWI170" s="125"/>
      <c r="RWJ170" s="125"/>
      <c r="RWK170" s="125"/>
      <c r="RWL170" s="125"/>
      <c r="RWM170" s="125"/>
      <c r="RWN170" s="125"/>
      <c r="RWO170" s="125"/>
      <c r="RWP170" s="125"/>
      <c r="RWQ170" s="125"/>
      <c r="RWR170" s="125"/>
      <c r="RWS170" s="125"/>
      <c r="RWT170" s="125"/>
      <c r="RWU170" s="125"/>
      <c r="RWV170" s="125"/>
      <c r="RWW170" s="125"/>
      <c r="RWX170" s="125"/>
      <c r="RWY170" s="125"/>
      <c r="RWZ170" s="125"/>
      <c r="RXA170" s="125"/>
      <c r="RXB170" s="125"/>
      <c r="RXC170" s="125"/>
      <c r="RXD170" s="125"/>
      <c r="RXE170" s="125"/>
      <c r="RXF170" s="125"/>
      <c r="RXG170" s="125"/>
      <c r="RXH170" s="125"/>
      <c r="RXI170" s="125"/>
      <c r="RXJ170" s="125"/>
      <c r="RXK170" s="125"/>
      <c r="RXL170" s="125"/>
      <c r="RXM170" s="125"/>
      <c r="RXN170" s="125"/>
      <c r="RXO170" s="125"/>
      <c r="RXP170" s="125"/>
      <c r="RXQ170" s="125"/>
      <c r="RXR170" s="125"/>
      <c r="RXS170" s="125"/>
      <c r="RXT170" s="125"/>
      <c r="RXU170" s="125"/>
      <c r="RXV170" s="125"/>
      <c r="RXW170" s="125"/>
      <c r="RXX170" s="125"/>
      <c r="RXY170" s="125"/>
      <c r="RXZ170" s="125"/>
      <c r="RYA170" s="125"/>
      <c r="RYB170" s="125"/>
      <c r="RYC170" s="125"/>
      <c r="RYD170" s="125"/>
      <c r="RYE170" s="125"/>
      <c r="RYF170" s="125"/>
      <c r="RYG170" s="125"/>
      <c r="RYH170" s="125"/>
      <c r="RYI170" s="125"/>
      <c r="RYJ170" s="125"/>
      <c r="RYK170" s="125"/>
      <c r="RYL170" s="125"/>
      <c r="RYM170" s="125"/>
      <c r="RYN170" s="125"/>
      <c r="RYO170" s="125"/>
      <c r="RYP170" s="125"/>
      <c r="RYQ170" s="125"/>
      <c r="RYR170" s="125"/>
      <c r="RYS170" s="125"/>
      <c r="RYT170" s="125"/>
      <c r="RYU170" s="125"/>
      <c r="RYV170" s="125"/>
      <c r="RYW170" s="125"/>
      <c r="RYX170" s="125"/>
      <c r="RYY170" s="125"/>
      <c r="RYZ170" s="125"/>
      <c r="RZA170" s="125"/>
      <c r="RZB170" s="125"/>
      <c r="RZC170" s="125"/>
      <c r="RZD170" s="125"/>
      <c r="RZE170" s="125"/>
      <c r="RZF170" s="125"/>
      <c r="RZG170" s="125"/>
      <c r="RZH170" s="125"/>
      <c r="RZI170" s="125"/>
      <c r="RZJ170" s="125"/>
      <c r="RZK170" s="125"/>
      <c r="RZL170" s="125"/>
      <c r="RZM170" s="125"/>
      <c r="RZN170" s="125"/>
      <c r="RZO170" s="125"/>
      <c r="RZP170" s="125"/>
      <c r="RZQ170" s="125"/>
      <c r="RZR170" s="125"/>
      <c r="RZS170" s="125"/>
      <c r="RZT170" s="125"/>
      <c r="RZU170" s="125"/>
      <c r="RZV170" s="125"/>
      <c r="RZW170" s="125"/>
      <c r="RZX170" s="125"/>
      <c r="RZY170" s="125"/>
      <c r="RZZ170" s="125"/>
      <c r="SAA170" s="125"/>
      <c r="SAB170" s="125"/>
      <c r="SAC170" s="125"/>
      <c r="SAD170" s="125"/>
      <c r="SAE170" s="125"/>
      <c r="SAF170" s="125"/>
      <c r="SAG170" s="125"/>
      <c r="SAH170" s="125"/>
      <c r="SAI170" s="125"/>
      <c r="SAJ170" s="125"/>
      <c r="SAK170" s="125"/>
      <c r="SAL170" s="125"/>
      <c r="SAM170" s="125"/>
      <c r="SAN170" s="125"/>
      <c r="SAO170" s="125"/>
      <c r="SAP170" s="125"/>
      <c r="SAQ170" s="125"/>
      <c r="SAR170" s="125"/>
      <c r="SAS170" s="125"/>
      <c r="SAT170" s="125"/>
      <c r="SAU170" s="125"/>
      <c r="SAV170" s="125"/>
      <c r="SAW170" s="125"/>
      <c r="SAX170" s="125"/>
      <c r="SAY170" s="125"/>
      <c r="SAZ170" s="125"/>
      <c r="SBA170" s="125"/>
      <c r="SBB170" s="125"/>
      <c r="SBC170" s="125"/>
      <c r="SBD170" s="125"/>
      <c r="SBE170" s="125"/>
      <c r="SBF170" s="125"/>
      <c r="SBG170" s="125"/>
      <c r="SBH170" s="125"/>
      <c r="SBI170" s="125"/>
      <c r="SBJ170" s="125"/>
      <c r="SBK170" s="125"/>
      <c r="SBL170" s="125"/>
      <c r="SBM170" s="125"/>
      <c r="SBN170" s="125"/>
      <c r="SBO170" s="125"/>
      <c r="SBP170" s="125"/>
      <c r="SBQ170" s="125"/>
      <c r="SBR170" s="125"/>
      <c r="SBS170" s="125"/>
      <c r="SBT170" s="125"/>
      <c r="SBU170" s="125"/>
      <c r="SBV170" s="125"/>
      <c r="SBW170" s="125"/>
      <c r="SBX170" s="125"/>
      <c r="SBY170" s="125"/>
      <c r="SBZ170" s="125"/>
      <c r="SCA170" s="125"/>
      <c r="SCB170" s="125"/>
      <c r="SCC170" s="125"/>
      <c r="SCD170" s="125"/>
      <c r="SCE170" s="125"/>
      <c r="SCF170" s="125"/>
      <c r="SCG170" s="125"/>
      <c r="SCH170" s="125"/>
      <c r="SCI170" s="125"/>
      <c r="SCJ170" s="125"/>
      <c r="SCK170" s="125"/>
      <c r="SCL170" s="125"/>
      <c r="SCM170" s="125"/>
      <c r="SCN170" s="125"/>
      <c r="SCO170" s="125"/>
      <c r="SCP170" s="125"/>
      <c r="SCQ170" s="125"/>
      <c r="SCR170" s="125"/>
      <c r="SCS170" s="125"/>
      <c r="SCT170" s="125"/>
      <c r="SCU170" s="125"/>
      <c r="SCV170" s="125"/>
      <c r="SCW170" s="125"/>
      <c r="SCX170" s="125"/>
      <c r="SCY170" s="125"/>
      <c r="SCZ170" s="125"/>
      <c r="SDA170" s="125"/>
      <c r="SDB170" s="125"/>
      <c r="SDC170" s="125"/>
      <c r="SDD170" s="125"/>
      <c r="SDE170" s="125"/>
      <c r="SDF170" s="125"/>
      <c r="SDG170" s="125"/>
      <c r="SDH170" s="125"/>
      <c r="SDI170" s="125"/>
      <c r="SDJ170" s="125"/>
      <c r="SDK170" s="125"/>
      <c r="SDL170" s="125"/>
      <c r="SDM170" s="125"/>
      <c r="SDN170" s="125"/>
      <c r="SDO170" s="125"/>
      <c r="SDP170" s="125"/>
      <c r="SDQ170" s="125"/>
      <c r="SDR170" s="125"/>
      <c r="SDS170" s="125"/>
      <c r="SDT170" s="125"/>
      <c r="SDU170" s="125"/>
      <c r="SDV170" s="125"/>
      <c r="SDW170" s="125"/>
      <c r="SDX170" s="125"/>
      <c r="SDY170" s="125"/>
      <c r="SDZ170" s="125"/>
      <c r="SEA170" s="125"/>
      <c r="SEB170" s="125"/>
      <c r="SEC170" s="125"/>
      <c r="SED170" s="125"/>
      <c r="SEE170" s="125"/>
      <c r="SEF170" s="125"/>
      <c r="SEG170" s="125"/>
      <c r="SEH170" s="125"/>
      <c r="SEI170" s="125"/>
      <c r="SEJ170" s="125"/>
      <c r="SEK170" s="125"/>
      <c r="SEL170" s="125"/>
      <c r="SEM170" s="125"/>
      <c r="SEN170" s="125"/>
      <c r="SEO170" s="125"/>
      <c r="SEP170" s="125"/>
      <c r="SEQ170" s="125"/>
      <c r="SER170" s="125"/>
      <c r="SES170" s="125"/>
      <c r="SET170" s="125"/>
      <c r="SEU170" s="125"/>
      <c r="SEV170" s="125"/>
      <c r="SEW170" s="125"/>
      <c r="SEX170" s="125"/>
      <c r="SEY170" s="125"/>
      <c r="SEZ170" s="125"/>
      <c r="SFA170" s="125"/>
      <c r="SFB170" s="125"/>
      <c r="SFC170" s="125"/>
      <c r="SFD170" s="125"/>
      <c r="SFE170" s="125"/>
      <c r="SFF170" s="125"/>
      <c r="SFG170" s="125"/>
      <c r="SFH170" s="125"/>
      <c r="SFI170" s="125"/>
      <c r="SFJ170" s="125"/>
      <c r="SFK170" s="125"/>
      <c r="SFL170" s="125"/>
      <c r="SFM170" s="125"/>
      <c r="SFN170" s="125"/>
      <c r="SFO170" s="125"/>
      <c r="SFP170" s="125"/>
      <c r="SFQ170" s="125"/>
      <c r="SFR170" s="125"/>
      <c r="SFS170" s="125"/>
      <c r="SFT170" s="125"/>
      <c r="SFU170" s="125"/>
      <c r="SFV170" s="125"/>
      <c r="SFW170" s="125"/>
      <c r="SFX170" s="125"/>
      <c r="SFY170" s="125"/>
      <c r="SFZ170" s="125"/>
      <c r="SGA170" s="125"/>
      <c r="SGB170" s="125"/>
      <c r="SGC170" s="125"/>
      <c r="SGD170" s="125"/>
      <c r="SGE170" s="125"/>
      <c r="SGF170" s="125"/>
      <c r="SGG170" s="125"/>
      <c r="SGH170" s="125"/>
      <c r="SGI170" s="125"/>
      <c r="SGJ170" s="125"/>
      <c r="SGK170" s="125"/>
      <c r="SGL170" s="125"/>
      <c r="SGM170" s="125"/>
      <c r="SGN170" s="125"/>
      <c r="SGO170" s="125"/>
      <c r="SGP170" s="125"/>
      <c r="SGQ170" s="125"/>
      <c r="SGR170" s="125"/>
      <c r="SGS170" s="125"/>
      <c r="SGT170" s="125"/>
      <c r="SGU170" s="125"/>
      <c r="SGV170" s="125"/>
      <c r="SGW170" s="125"/>
      <c r="SGX170" s="125"/>
      <c r="SGY170" s="125"/>
      <c r="SGZ170" s="125"/>
      <c r="SHA170" s="125"/>
      <c r="SHB170" s="125"/>
      <c r="SHC170" s="125"/>
      <c r="SHD170" s="125"/>
      <c r="SHE170" s="125"/>
      <c r="SHF170" s="125"/>
      <c r="SHG170" s="125"/>
      <c r="SHH170" s="125"/>
      <c r="SHI170" s="125"/>
      <c r="SHJ170" s="125"/>
      <c r="SHK170" s="125"/>
      <c r="SHL170" s="125"/>
      <c r="SHM170" s="125"/>
      <c r="SHN170" s="125"/>
      <c r="SHO170" s="125"/>
      <c r="SHP170" s="125"/>
      <c r="SHQ170" s="125"/>
      <c r="SHR170" s="125"/>
      <c r="SHS170" s="125"/>
      <c r="SHT170" s="125"/>
      <c r="SHU170" s="125"/>
      <c r="SHV170" s="125"/>
      <c r="SHW170" s="125"/>
      <c r="SHX170" s="125"/>
      <c r="SHY170" s="125"/>
      <c r="SHZ170" s="125"/>
      <c r="SIA170" s="125"/>
      <c r="SIB170" s="125"/>
      <c r="SIC170" s="125"/>
      <c r="SID170" s="125"/>
      <c r="SIE170" s="125"/>
      <c r="SIF170" s="125"/>
      <c r="SIG170" s="125"/>
      <c r="SIH170" s="125"/>
      <c r="SII170" s="125"/>
      <c r="SIJ170" s="125"/>
      <c r="SIK170" s="125"/>
      <c r="SIL170" s="125"/>
      <c r="SIM170" s="125"/>
      <c r="SIN170" s="125"/>
      <c r="SIO170" s="125"/>
      <c r="SIP170" s="125"/>
      <c r="SIQ170" s="125"/>
      <c r="SIR170" s="125"/>
      <c r="SIS170" s="125"/>
      <c r="SIT170" s="125"/>
      <c r="SIU170" s="125"/>
      <c r="SIV170" s="125"/>
      <c r="SIW170" s="125"/>
      <c r="SIX170" s="125"/>
      <c r="SIY170" s="125"/>
      <c r="SIZ170" s="125"/>
      <c r="SJA170" s="125"/>
      <c r="SJB170" s="125"/>
      <c r="SJC170" s="125"/>
      <c r="SJD170" s="125"/>
      <c r="SJE170" s="125"/>
      <c r="SJF170" s="125"/>
      <c r="SJG170" s="125"/>
      <c r="SJH170" s="125"/>
      <c r="SJI170" s="125"/>
      <c r="SJJ170" s="125"/>
      <c r="SJK170" s="125"/>
      <c r="SJL170" s="125"/>
      <c r="SJM170" s="125"/>
      <c r="SJN170" s="125"/>
      <c r="SJO170" s="125"/>
      <c r="SJP170" s="125"/>
      <c r="SJQ170" s="125"/>
      <c r="SJR170" s="125"/>
      <c r="SJS170" s="125"/>
      <c r="SJT170" s="125"/>
      <c r="SJU170" s="125"/>
      <c r="SJV170" s="125"/>
      <c r="SJW170" s="125"/>
      <c r="SJX170" s="125"/>
      <c r="SJY170" s="125"/>
      <c r="SJZ170" s="125"/>
      <c r="SKA170" s="125"/>
      <c r="SKB170" s="125"/>
      <c r="SKC170" s="125"/>
      <c r="SKD170" s="125"/>
      <c r="SKE170" s="125"/>
      <c r="SKF170" s="125"/>
      <c r="SKG170" s="125"/>
      <c r="SKH170" s="125"/>
      <c r="SKI170" s="125"/>
      <c r="SKJ170" s="125"/>
      <c r="SKK170" s="125"/>
      <c r="SKL170" s="125"/>
      <c r="SKM170" s="125"/>
      <c r="SKN170" s="125"/>
      <c r="SKO170" s="125"/>
      <c r="SKP170" s="125"/>
      <c r="SKQ170" s="125"/>
      <c r="SKR170" s="125"/>
      <c r="SKS170" s="125"/>
      <c r="SKT170" s="125"/>
      <c r="SKU170" s="125"/>
      <c r="SKV170" s="125"/>
      <c r="SKW170" s="125"/>
      <c r="SKX170" s="125"/>
      <c r="SKY170" s="125"/>
      <c r="SKZ170" s="125"/>
      <c r="SLA170" s="125"/>
      <c r="SLB170" s="125"/>
      <c r="SLC170" s="125"/>
      <c r="SLD170" s="125"/>
      <c r="SLE170" s="125"/>
      <c r="SLF170" s="125"/>
      <c r="SLG170" s="125"/>
      <c r="SLH170" s="125"/>
      <c r="SLI170" s="125"/>
      <c r="SLJ170" s="125"/>
      <c r="SLK170" s="125"/>
      <c r="SLL170" s="125"/>
      <c r="SLM170" s="125"/>
      <c r="SLN170" s="125"/>
      <c r="SLO170" s="125"/>
      <c r="SLP170" s="125"/>
      <c r="SLQ170" s="125"/>
      <c r="SLR170" s="125"/>
      <c r="SLS170" s="125"/>
      <c r="SLT170" s="125"/>
      <c r="SLU170" s="125"/>
      <c r="SLV170" s="125"/>
      <c r="SLW170" s="125"/>
      <c r="SLX170" s="125"/>
      <c r="SLY170" s="125"/>
      <c r="SLZ170" s="125"/>
      <c r="SMA170" s="125"/>
      <c r="SMB170" s="125"/>
      <c r="SMC170" s="125"/>
      <c r="SMD170" s="125"/>
      <c r="SME170" s="125"/>
      <c r="SMF170" s="125"/>
      <c r="SMG170" s="125"/>
      <c r="SMH170" s="125"/>
      <c r="SMI170" s="125"/>
      <c r="SMJ170" s="125"/>
      <c r="SMK170" s="125"/>
      <c r="SML170" s="125"/>
      <c r="SMM170" s="125"/>
      <c r="SMN170" s="125"/>
      <c r="SMO170" s="125"/>
      <c r="SMP170" s="125"/>
      <c r="SMQ170" s="125"/>
      <c r="SMR170" s="125"/>
      <c r="SMS170" s="125"/>
      <c r="SMT170" s="125"/>
      <c r="SMU170" s="125"/>
      <c r="SMV170" s="125"/>
      <c r="SMW170" s="125"/>
      <c r="SMX170" s="125"/>
      <c r="SMY170" s="125"/>
      <c r="SMZ170" s="125"/>
      <c r="SNA170" s="125"/>
      <c r="SNB170" s="125"/>
      <c r="SNC170" s="125"/>
      <c r="SND170" s="125"/>
      <c r="SNE170" s="125"/>
      <c r="SNF170" s="125"/>
      <c r="SNG170" s="125"/>
      <c r="SNH170" s="125"/>
      <c r="SNI170" s="125"/>
      <c r="SNJ170" s="125"/>
      <c r="SNK170" s="125"/>
      <c r="SNL170" s="125"/>
      <c r="SNM170" s="125"/>
      <c r="SNN170" s="125"/>
      <c r="SNO170" s="125"/>
      <c r="SNP170" s="125"/>
      <c r="SNQ170" s="125"/>
      <c r="SNR170" s="125"/>
      <c r="SNS170" s="125"/>
      <c r="SNT170" s="125"/>
      <c r="SNU170" s="125"/>
      <c r="SNV170" s="125"/>
      <c r="SNW170" s="125"/>
      <c r="SNX170" s="125"/>
      <c r="SNY170" s="125"/>
      <c r="SNZ170" s="125"/>
      <c r="SOA170" s="125"/>
      <c r="SOB170" s="125"/>
      <c r="SOC170" s="125"/>
      <c r="SOD170" s="125"/>
      <c r="SOE170" s="125"/>
      <c r="SOF170" s="125"/>
      <c r="SOG170" s="125"/>
      <c r="SOH170" s="125"/>
      <c r="SOI170" s="125"/>
      <c r="SOJ170" s="125"/>
      <c r="SOK170" s="125"/>
      <c r="SOL170" s="125"/>
      <c r="SOM170" s="125"/>
      <c r="SON170" s="125"/>
      <c r="SOO170" s="125"/>
      <c r="SOP170" s="125"/>
      <c r="SOQ170" s="125"/>
      <c r="SOR170" s="125"/>
      <c r="SOS170" s="125"/>
      <c r="SOT170" s="125"/>
      <c r="SOU170" s="125"/>
      <c r="SOV170" s="125"/>
      <c r="SOW170" s="125"/>
      <c r="SOX170" s="125"/>
      <c r="SOY170" s="125"/>
      <c r="SOZ170" s="125"/>
      <c r="SPA170" s="125"/>
      <c r="SPB170" s="125"/>
      <c r="SPC170" s="125"/>
      <c r="SPD170" s="125"/>
      <c r="SPE170" s="125"/>
      <c r="SPF170" s="125"/>
      <c r="SPG170" s="125"/>
      <c r="SPH170" s="125"/>
      <c r="SPI170" s="125"/>
      <c r="SPJ170" s="125"/>
      <c r="SPK170" s="125"/>
      <c r="SPL170" s="125"/>
      <c r="SPM170" s="125"/>
      <c r="SPN170" s="125"/>
      <c r="SPO170" s="125"/>
      <c r="SPP170" s="125"/>
      <c r="SPQ170" s="125"/>
      <c r="SPR170" s="125"/>
      <c r="SPS170" s="125"/>
      <c r="SPT170" s="125"/>
      <c r="SPU170" s="125"/>
      <c r="SPV170" s="125"/>
      <c r="SPW170" s="125"/>
      <c r="SPX170" s="125"/>
      <c r="SPY170" s="125"/>
      <c r="SPZ170" s="125"/>
      <c r="SQA170" s="125"/>
      <c r="SQB170" s="125"/>
      <c r="SQC170" s="125"/>
      <c r="SQD170" s="125"/>
      <c r="SQE170" s="125"/>
      <c r="SQF170" s="125"/>
      <c r="SQG170" s="125"/>
      <c r="SQH170" s="125"/>
      <c r="SQI170" s="125"/>
      <c r="SQJ170" s="125"/>
      <c r="SQK170" s="125"/>
      <c r="SQL170" s="125"/>
      <c r="SQM170" s="125"/>
      <c r="SQN170" s="125"/>
      <c r="SQO170" s="125"/>
      <c r="SQP170" s="125"/>
      <c r="SQQ170" s="125"/>
      <c r="SQR170" s="125"/>
      <c r="SQS170" s="125"/>
      <c r="SQT170" s="125"/>
      <c r="SQU170" s="125"/>
      <c r="SQV170" s="125"/>
      <c r="SQW170" s="125"/>
      <c r="SQX170" s="125"/>
      <c r="SQY170" s="125"/>
      <c r="SQZ170" s="125"/>
      <c r="SRA170" s="125"/>
      <c r="SRB170" s="125"/>
      <c r="SRC170" s="125"/>
      <c r="SRD170" s="125"/>
      <c r="SRE170" s="125"/>
      <c r="SRF170" s="125"/>
      <c r="SRG170" s="125"/>
      <c r="SRH170" s="125"/>
      <c r="SRI170" s="125"/>
      <c r="SRJ170" s="125"/>
      <c r="SRK170" s="125"/>
      <c r="SRL170" s="125"/>
      <c r="SRM170" s="125"/>
      <c r="SRN170" s="125"/>
      <c r="SRO170" s="125"/>
      <c r="SRP170" s="125"/>
      <c r="SRQ170" s="125"/>
      <c r="SRR170" s="125"/>
      <c r="SRS170" s="125"/>
      <c r="SRT170" s="125"/>
      <c r="SRU170" s="125"/>
      <c r="SRV170" s="125"/>
      <c r="SRW170" s="125"/>
      <c r="SRX170" s="125"/>
      <c r="SRY170" s="125"/>
      <c r="SRZ170" s="125"/>
      <c r="SSA170" s="125"/>
      <c r="SSB170" s="125"/>
      <c r="SSC170" s="125"/>
      <c r="SSD170" s="125"/>
      <c r="SSE170" s="125"/>
      <c r="SSF170" s="125"/>
      <c r="SSG170" s="125"/>
      <c r="SSH170" s="125"/>
      <c r="SSI170" s="125"/>
      <c r="SSJ170" s="125"/>
      <c r="SSK170" s="125"/>
      <c r="SSL170" s="125"/>
      <c r="SSM170" s="125"/>
      <c r="SSN170" s="125"/>
      <c r="SSO170" s="125"/>
      <c r="SSP170" s="125"/>
      <c r="SSQ170" s="125"/>
      <c r="SSR170" s="125"/>
      <c r="SSS170" s="125"/>
      <c r="SST170" s="125"/>
      <c r="SSU170" s="125"/>
      <c r="SSV170" s="125"/>
      <c r="SSW170" s="125"/>
      <c r="SSX170" s="125"/>
      <c r="SSY170" s="125"/>
      <c r="SSZ170" s="125"/>
      <c r="STA170" s="125"/>
      <c r="STB170" s="125"/>
      <c r="STC170" s="125"/>
      <c r="STD170" s="125"/>
      <c r="STE170" s="125"/>
      <c r="STF170" s="125"/>
      <c r="STG170" s="125"/>
      <c r="STH170" s="125"/>
      <c r="STI170" s="125"/>
      <c r="STJ170" s="125"/>
      <c r="STK170" s="125"/>
      <c r="STL170" s="125"/>
      <c r="STM170" s="125"/>
      <c r="STN170" s="125"/>
      <c r="STO170" s="125"/>
      <c r="STP170" s="125"/>
      <c r="STQ170" s="125"/>
      <c r="STR170" s="125"/>
      <c r="STS170" s="125"/>
      <c r="STT170" s="125"/>
      <c r="STU170" s="125"/>
      <c r="STV170" s="125"/>
      <c r="STW170" s="125"/>
      <c r="STX170" s="125"/>
      <c r="STY170" s="125"/>
      <c r="STZ170" s="125"/>
      <c r="SUA170" s="125"/>
      <c r="SUB170" s="125"/>
      <c r="SUC170" s="125"/>
      <c r="SUD170" s="125"/>
      <c r="SUE170" s="125"/>
      <c r="SUF170" s="125"/>
      <c r="SUG170" s="125"/>
      <c r="SUH170" s="125"/>
      <c r="SUI170" s="125"/>
      <c r="SUJ170" s="125"/>
      <c r="SUK170" s="125"/>
      <c r="SUL170" s="125"/>
      <c r="SUM170" s="125"/>
      <c r="SUN170" s="125"/>
      <c r="SUO170" s="125"/>
      <c r="SUP170" s="125"/>
      <c r="SUQ170" s="125"/>
      <c r="SUR170" s="125"/>
      <c r="SUS170" s="125"/>
      <c r="SUT170" s="125"/>
      <c r="SUU170" s="125"/>
      <c r="SUV170" s="125"/>
      <c r="SUW170" s="125"/>
      <c r="SUX170" s="125"/>
      <c r="SUY170" s="125"/>
      <c r="SUZ170" s="125"/>
      <c r="SVA170" s="125"/>
      <c r="SVB170" s="125"/>
      <c r="SVC170" s="125"/>
      <c r="SVD170" s="125"/>
      <c r="SVE170" s="125"/>
      <c r="SVF170" s="125"/>
      <c r="SVG170" s="125"/>
      <c r="SVH170" s="125"/>
      <c r="SVI170" s="125"/>
      <c r="SVJ170" s="125"/>
      <c r="SVK170" s="125"/>
      <c r="SVL170" s="125"/>
      <c r="SVM170" s="125"/>
      <c r="SVN170" s="125"/>
      <c r="SVO170" s="125"/>
      <c r="SVP170" s="125"/>
      <c r="SVQ170" s="125"/>
      <c r="SVR170" s="125"/>
      <c r="SVS170" s="125"/>
      <c r="SVT170" s="125"/>
      <c r="SVU170" s="125"/>
      <c r="SVV170" s="125"/>
      <c r="SVW170" s="125"/>
      <c r="SVX170" s="125"/>
      <c r="SVY170" s="125"/>
      <c r="SVZ170" s="125"/>
      <c r="SWA170" s="125"/>
      <c r="SWB170" s="125"/>
      <c r="SWC170" s="125"/>
      <c r="SWD170" s="125"/>
      <c r="SWE170" s="125"/>
      <c r="SWF170" s="125"/>
      <c r="SWG170" s="125"/>
      <c r="SWH170" s="125"/>
      <c r="SWI170" s="125"/>
      <c r="SWJ170" s="125"/>
      <c r="SWK170" s="125"/>
      <c r="SWL170" s="125"/>
      <c r="SWM170" s="125"/>
      <c r="SWN170" s="125"/>
      <c r="SWO170" s="125"/>
      <c r="SWP170" s="125"/>
      <c r="SWQ170" s="125"/>
      <c r="SWR170" s="125"/>
      <c r="SWS170" s="125"/>
      <c r="SWT170" s="125"/>
      <c r="SWU170" s="125"/>
      <c r="SWV170" s="125"/>
      <c r="SWW170" s="125"/>
      <c r="SWX170" s="125"/>
      <c r="SWY170" s="125"/>
      <c r="SWZ170" s="125"/>
      <c r="SXA170" s="125"/>
      <c r="SXB170" s="125"/>
      <c r="SXC170" s="125"/>
      <c r="SXD170" s="125"/>
      <c r="SXE170" s="125"/>
      <c r="SXF170" s="125"/>
      <c r="SXG170" s="125"/>
      <c r="SXH170" s="125"/>
      <c r="SXI170" s="125"/>
      <c r="SXJ170" s="125"/>
      <c r="SXK170" s="125"/>
      <c r="SXL170" s="125"/>
      <c r="SXM170" s="125"/>
      <c r="SXN170" s="125"/>
      <c r="SXO170" s="125"/>
      <c r="SXP170" s="125"/>
      <c r="SXQ170" s="125"/>
      <c r="SXR170" s="125"/>
      <c r="SXS170" s="125"/>
      <c r="SXT170" s="125"/>
      <c r="SXU170" s="125"/>
      <c r="SXV170" s="125"/>
      <c r="SXW170" s="125"/>
      <c r="SXX170" s="125"/>
      <c r="SXY170" s="125"/>
      <c r="SXZ170" s="125"/>
      <c r="SYA170" s="125"/>
      <c r="SYB170" s="125"/>
      <c r="SYC170" s="125"/>
      <c r="SYD170" s="125"/>
      <c r="SYE170" s="125"/>
      <c r="SYF170" s="125"/>
      <c r="SYG170" s="125"/>
      <c r="SYH170" s="125"/>
      <c r="SYI170" s="125"/>
      <c r="SYJ170" s="125"/>
      <c r="SYK170" s="125"/>
      <c r="SYL170" s="125"/>
      <c r="SYM170" s="125"/>
      <c r="SYN170" s="125"/>
      <c r="SYO170" s="125"/>
      <c r="SYP170" s="125"/>
      <c r="SYQ170" s="125"/>
      <c r="SYR170" s="125"/>
      <c r="SYS170" s="125"/>
      <c r="SYT170" s="125"/>
      <c r="SYU170" s="125"/>
      <c r="SYV170" s="125"/>
      <c r="SYW170" s="125"/>
      <c r="SYX170" s="125"/>
      <c r="SYY170" s="125"/>
      <c r="SYZ170" s="125"/>
      <c r="SZA170" s="125"/>
      <c r="SZB170" s="125"/>
      <c r="SZC170" s="125"/>
      <c r="SZD170" s="125"/>
      <c r="SZE170" s="125"/>
      <c r="SZF170" s="125"/>
      <c r="SZG170" s="125"/>
      <c r="SZH170" s="125"/>
      <c r="SZI170" s="125"/>
      <c r="SZJ170" s="125"/>
      <c r="SZK170" s="125"/>
      <c r="SZL170" s="125"/>
      <c r="SZM170" s="125"/>
      <c r="SZN170" s="125"/>
      <c r="SZO170" s="125"/>
      <c r="SZP170" s="125"/>
      <c r="SZQ170" s="125"/>
      <c r="SZR170" s="125"/>
      <c r="SZS170" s="125"/>
      <c r="SZT170" s="125"/>
      <c r="SZU170" s="125"/>
      <c r="SZV170" s="125"/>
      <c r="SZW170" s="125"/>
      <c r="SZX170" s="125"/>
      <c r="SZY170" s="125"/>
      <c r="SZZ170" s="125"/>
      <c r="TAA170" s="125"/>
      <c r="TAB170" s="125"/>
      <c r="TAC170" s="125"/>
      <c r="TAD170" s="125"/>
      <c r="TAE170" s="125"/>
      <c r="TAF170" s="125"/>
      <c r="TAG170" s="125"/>
      <c r="TAH170" s="125"/>
      <c r="TAI170" s="125"/>
      <c r="TAJ170" s="125"/>
      <c r="TAK170" s="125"/>
      <c r="TAL170" s="125"/>
      <c r="TAM170" s="125"/>
      <c r="TAN170" s="125"/>
      <c r="TAO170" s="125"/>
      <c r="TAP170" s="125"/>
      <c r="TAQ170" s="125"/>
      <c r="TAR170" s="125"/>
      <c r="TAS170" s="125"/>
      <c r="TAT170" s="125"/>
      <c r="TAU170" s="125"/>
      <c r="TAV170" s="125"/>
      <c r="TAW170" s="125"/>
      <c r="TAX170" s="125"/>
      <c r="TAY170" s="125"/>
      <c r="TAZ170" s="125"/>
      <c r="TBA170" s="125"/>
      <c r="TBB170" s="125"/>
      <c r="TBC170" s="125"/>
      <c r="TBD170" s="125"/>
      <c r="TBE170" s="125"/>
      <c r="TBF170" s="125"/>
      <c r="TBG170" s="125"/>
      <c r="TBH170" s="125"/>
      <c r="TBI170" s="125"/>
      <c r="TBJ170" s="125"/>
      <c r="TBK170" s="125"/>
      <c r="TBL170" s="125"/>
      <c r="TBM170" s="125"/>
      <c r="TBN170" s="125"/>
      <c r="TBO170" s="125"/>
      <c r="TBP170" s="125"/>
      <c r="TBQ170" s="125"/>
      <c r="TBR170" s="125"/>
      <c r="TBS170" s="125"/>
      <c r="TBT170" s="125"/>
      <c r="TBU170" s="125"/>
      <c r="TBV170" s="125"/>
      <c r="TBW170" s="125"/>
      <c r="TBX170" s="125"/>
      <c r="TBY170" s="125"/>
      <c r="TBZ170" s="125"/>
      <c r="TCA170" s="125"/>
      <c r="TCB170" s="125"/>
      <c r="TCC170" s="125"/>
      <c r="TCD170" s="125"/>
      <c r="TCE170" s="125"/>
      <c r="TCF170" s="125"/>
      <c r="TCG170" s="125"/>
      <c r="TCH170" s="125"/>
      <c r="TCI170" s="125"/>
      <c r="TCJ170" s="125"/>
      <c r="TCK170" s="125"/>
      <c r="TCL170" s="125"/>
      <c r="TCM170" s="125"/>
      <c r="TCN170" s="125"/>
      <c r="TCO170" s="125"/>
      <c r="TCP170" s="125"/>
      <c r="TCQ170" s="125"/>
      <c r="TCR170" s="125"/>
      <c r="TCS170" s="125"/>
      <c r="TCT170" s="125"/>
      <c r="TCU170" s="125"/>
      <c r="TCV170" s="125"/>
      <c r="TCW170" s="125"/>
      <c r="TCX170" s="125"/>
      <c r="TCY170" s="125"/>
      <c r="TCZ170" s="125"/>
      <c r="TDA170" s="125"/>
      <c r="TDB170" s="125"/>
      <c r="TDC170" s="125"/>
      <c r="TDD170" s="125"/>
      <c r="TDE170" s="125"/>
      <c r="TDF170" s="125"/>
      <c r="TDG170" s="125"/>
      <c r="TDH170" s="125"/>
      <c r="TDI170" s="125"/>
      <c r="TDJ170" s="125"/>
      <c r="TDK170" s="125"/>
      <c r="TDL170" s="125"/>
      <c r="TDM170" s="125"/>
      <c r="TDN170" s="125"/>
      <c r="TDO170" s="125"/>
      <c r="TDP170" s="125"/>
      <c r="TDQ170" s="125"/>
      <c r="TDR170" s="125"/>
      <c r="TDS170" s="125"/>
      <c r="TDT170" s="125"/>
      <c r="TDU170" s="125"/>
      <c r="TDV170" s="125"/>
      <c r="TDW170" s="125"/>
      <c r="TDX170" s="125"/>
      <c r="TDY170" s="125"/>
      <c r="TDZ170" s="125"/>
      <c r="TEA170" s="125"/>
      <c r="TEB170" s="125"/>
      <c r="TEC170" s="125"/>
      <c r="TED170" s="125"/>
      <c r="TEE170" s="125"/>
      <c r="TEF170" s="125"/>
      <c r="TEG170" s="125"/>
      <c r="TEH170" s="125"/>
      <c r="TEI170" s="125"/>
      <c r="TEJ170" s="125"/>
      <c r="TEK170" s="125"/>
      <c r="TEL170" s="125"/>
      <c r="TEM170" s="125"/>
      <c r="TEN170" s="125"/>
      <c r="TEO170" s="125"/>
      <c r="TEP170" s="125"/>
      <c r="TEQ170" s="125"/>
      <c r="TER170" s="125"/>
      <c r="TES170" s="125"/>
      <c r="TET170" s="125"/>
      <c r="TEU170" s="125"/>
      <c r="TEV170" s="125"/>
      <c r="TEW170" s="125"/>
      <c r="TEX170" s="125"/>
      <c r="TEY170" s="125"/>
      <c r="TEZ170" s="125"/>
      <c r="TFA170" s="125"/>
      <c r="TFB170" s="125"/>
      <c r="TFC170" s="125"/>
      <c r="TFD170" s="125"/>
      <c r="TFE170" s="125"/>
      <c r="TFF170" s="125"/>
      <c r="TFG170" s="125"/>
      <c r="TFH170" s="125"/>
      <c r="TFI170" s="125"/>
      <c r="TFJ170" s="125"/>
      <c r="TFK170" s="125"/>
      <c r="TFL170" s="125"/>
      <c r="TFM170" s="125"/>
      <c r="TFN170" s="125"/>
      <c r="TFO170" s="125"/>
      <c r="TFP170" s="125"/>
      <c r="TFQ170" s="125"/>
      <c r="TFR170" s="125"/>
      <c r="TFS170" s="125"/>
      <c r="TFT170" s="125"/>
      <c r="TFU170" s="125"/>
      <c r="TFV170" s="125"/>
      <c r="TFW170" s="125"/>
      <c r="TFX170" s="125"/>
      <c r="TFY170" s="125"/>
      <c r="TFZ170" s="125"/>
      <c r="TGA170" s="125"/>
      <c r="TGB170" s="125"/>
      <c r="TGC170" s="125"/>
      <c r="TGD170" s="125"/>
      <c r="TGE170" s="125"/>
      <c r="TGF170" s="125"/>
      <c r="TGG170" s="125"/>
      <c r="TGH170" s="125"/>
      <c r="TGI170" s="125"/>
      <c r="TGJ170" s="125"/>
      <c r="TGK170" s="125"/>
      <c r="TGL170" s="125"/>
      <c r="TGM170" s="125"/>
      <c r="TGN170" s="125"/>
      <c r="TGO170" s="125"/>
      <c r="TGP170" s="125"/>
      <c r="TGQ170" s="125"/>
      <c r="TGR170" s="125"/>
      <c r="TGS170" s="125"/>
      <c r="TGT170" s="125"/>
      <c r="TGU170" s="125"/>
      <c r="TGV170" s="125"/>
      <c r="TGW170" s="125"/>
      <c r="TGX170" s="125"/>
      <c r="TGY170" s="125"/>
      <c r="TGZ170" s="125"/>
      <c r="THA170" s="125"/>
      <c r="THB170" s="125"/>
      <c r="THC170" s="125"/>
      <c r="THD170" s="125"/>
      <c r="THE170" s="125"/>
      <c r="THF170" s="125"/>
      <c r="THG170" s="125"/>
      <c r="THH170" s="125"/>
      <c r="THI170" s="125"/>
      <c r="THJ170" s="125"/>
      <c r="THK170" s="125"/>
      <c r="THL170" s="125"/>
      <c r="THM170" s="125"/>
      <c r="THN170" s="125"/>
      <c r="THO170" s="125"/>
      <c r="THP170" s="125"/>
      <c r="THQ170" s="125"/>
      <c r="THR170" s="125"/>
      <c r="THS170" s="125"/>
      <c r="THT170" s="125"/>
      <c r="THU170" s="125"/>
      <c r="THV170" s="125"/>
      <c r="THW170" s="125"/>
      <c r="THX170" s="125"/>
      <c r="THY170" s="125"/>
      <c r="THZ170" s="125"/>
      <c r="TIA170" s="125"/>
      <c r="TIB170" s="125"/>
      <c r="TIC170" s="125"/>
      <c r="TID170" s="125"/>
      <c r="TIE170" s="125"/>
      <c r="TIF170" s="125"/>
      <c r="TIG170" s="125"/>
      <c r="TIH170" s="125"/>
      <c r="TII170" s="125"/>
      <c r="TIJ170" s="125"/>
      <c r="TIK170" s="125"/>
      <c r="TIL170" s="125"/>
      <c r="TIM170" s="125"/>
      <c r="TIN170" s="125"/>
      <c r="TIO170" s="125"/>
      <c r="TIP170" s="125"/>
      <c r="TIQ170" s="125"/>
      <c r="TIR170" s="125"/>
      <c r="TIS170" s="125"/>
      <c r="TIT170" s="125"/>
      <c r="TIU170" s="125"/>
      <c r="TIV170" s="125"/>
      <c r="TIW170" s="125"/>
      <c r="TIX170" s="125"/>
      <c r="TIY170" s="125"/>
      <c r="TIZ170" s="125"/>
      <c r="TJA170" s="125"/>
      <c r="TJB170" s="125"/>
      <c r="TJC170" s="125"/>
      <c r="TJD170" s="125"/>
      <c r="TJE170" s="125"/>
      <c r="TJF170" s="125"/>
      <c r="TJG170" s="125"/>
      <c r="TJH170" s="125"/>
      <c r="TJI170" s="125"/>
      <c r="TJJ170" s="125"/>
      <c r="TJK170" s="125"/>
      <c r="TJL170" s="125"/>
      <c r="TJM170" s="125"/>
      <c r="TJN170" s="125"/>
      <c r="TJO170" s="125"/>
      <c r="TJP170" s="125"/>
      <c r="TJQ170" s="125"/>
      <c r="TJR170" s="125"/>
      <c r="TJS170" s="125"/>
      <c r="TJT170" s="125"/>
      <c r="TJU170" s="125"/>
      <c r="TJV170" s="125"/>
      <c r="TJW170" s="125"/>
      <c r="TJX170" s="125"/>
      <c r="TJY170" s="125"/>
      <c r="TJZ170" s="125"/>
      <c r="TKA170" s="125"/>
      <c r="TKB170" s="125"/>
      <c r="TKC170" s="125"/>
      <c r="TKD170" s="125"/>
      <c r="TKE170" s="125"/>
      <c r="TKF170" s="125"/>
      <c r="TKG170" s="125"/>
      <c r="TKH170" s="125"/>
      <c r="TKI170" s="125"/>
      <c r="TKJ170" s="125"/>
      <c r="TKK170" s="125"/>
      <c r="TKL170" s="125"/>
      <c r="TKM170" s="125"/>
      <c r="TKN170" s="125"/>
      <c r="TKO170" s="125"/>
      <c r="TKP170" s="125"/>
      <c r="TKQ170" s="125"/>
      <c r="TKR170" s="125"/>
      <c r="TKS170" s="125"/>
      <c r="TKT170" s="125"/>
      <c r="TKU170" s="125"/>
      <c r="TKV170" s="125"/>
      <c r="TKW170" s="125"/>
      <c r="TKX170" s="125"/>
      <c r="TKY170" s="125"/>
      <c r="TKZ170" s="125"/>
      <c r="TLA170" s="125"/>
      <c r="TLB170" s="125"/>
      <c r="TLC170" s="125"/>
      <c r="TLD170" s="125"/>
      <c r="TLE170" s="125"/>
      <c r="TLF170" s="125"/>
      <c r="TLG170" s="125"/>
      <c r="TLH170" s="125"/>
      <c r="TLI170" s="125"/>
      <c r="TLJ170" s="125"/>
      <c r="TLK170" s="125"/>
      <c r="TLL170" s="125"/>
      <c r="TLM170" s="125"/>
      <c r="TLN170" s="125"/>
      <c r="TLO170" s="125"/>
      <c r="TLP170" s="125"/>
      <c r="TLQ170" s="125"/>
      <c r="TLR170" s="125"/>
      <c r="TLS170" s="125"/>
      <c r="TLT170" s="125"/>
      <c r="TLU170" s="125"/>
      <c r="TLV170" s="125"/>
      <c r="TLW170" s="125"/>
      <c r="TLX170" s="125"/>
      <c r="TLY170" s="125"/>
      <c r="TLZ170" s="125"/>
      <c r="TMA170" s="125"/>
      <c r="TMB170" s="125"/>
      <c r="TMC170" s="125"/>
      <c r="TMD170" s="125"/>
      <c r="TME170" s="125"/>
      <c r="TMF170" s="125"/>
      <c r="TMG170" s="125"/>
      <c r="TMH170" s="125"/>
      <c r="TMI170" s="125"/>
      <c r="TMJ170" s="125"/>
      <c r="TMK170" s="125"/>
      <c r="TML170" s="125"/>
      <c r="TMM170" s="125"/>
      <c r="TMN170" s="125"/>
      <c r="TMO170" s="125"/>
      <c r="TMP170" s="125"/>
      <c r="TMQ170" s="125"/>
      <c r="TMR170" s="125"/>
      <c r="TMS170" s="125"/>
      <c r="TMT170" s="125"/>
      <c r="TMU170" s="125"/>
      <c r="TMV170" s="125"/>
      <c r="TMW170" s="125"/>
      <c r="TMX170" s="125"/>
      <c r="TMY170" s="125"/>
      <c r="TMZ170" s="125"/>
      <c r="TNA170" s="125"/>
      <c r="TNB170" s="125"/>
      <c r="TNC170" s="125"/>
      <c r="TND170" s="125"/>
      <c r="TNE170" s="125"/>
      <c r="TNF170" s="125"/>
      <c r="TNG170" s="125"/>
      <c r="TNH170" s="125"/>
      <c r="TNI170" s="125"/>
      <c r="TNJ170" s="125"/>
      <c r="TNK170" s="125"/>
      <c r="TNL170" s="125"/>
      <c r="TNM170" s="125"/>
      <c r="TNN170" s="125"/>
      <c r="TNO170" s="125"/>
      <c r="TNP170" s="125"/>
      <c r="TNQ170" s="125"/>
      <c r="TNR170" s="125"/>
      <c r="TNS170" s="125"/>
      <c r="TNT170" s="125"/>
      <c r="TNU170" s="125"/>
      <c r="TNV170" s="125"/>
      <c r="TNW170" s="125"/>
      <c r="TNX170" s="125"/>
      <c r="TNY170" s="125"/>
      <c r="TNZ170" s="125"/>
      <c r="TOA170" s="125"/>
      <c r="TOB170" s="125"/>
      <c r="TOC170" s="125"/>
      <c r="TOD170" s="125"/>
      <c r="TOE170" s="125"/>
      <c r="TOF170" s="125"/>
      <c r="TOG170" s="125"/>
      <c r="TOH170" s="125"/>
      <c r="TOI170" s="125"/>
      <c r="TOJ170" s="125"/>
      <c r="TOK170" s="125"/>
      <c r="TOL170" s="125"/>
      <c r="TOM170" s="125"/>
      <c r="TON170" s="125"/>
      <c r="TOO170" s="125"/>
      <c r="TOP170" s="125"/>
      <c r="TOQ170" s="125"/>
      <c r="TOR170" s="125"/>
      <c r="TOS170" s="125"/>
      <c r="TOT170" s="125"/>
      <c r="TOU170" s="125"/>
      <c r="TOV170" s="125"/>
      <c r="TOW170" s="125"/>
      <c r="TOX170" s="125"/>
      <c r="TOY170" s="125"/>
      <c r="TOZ170" s="125"/>
      <c r="TPA170" s="125"/>
      <c r="TPB170" s="125"/>
      <c r="TPC170" s="125"/>
      <c r="TPD170" s="125"/>
      <c r="TPE170" s="125"/>
      <c r="TPF170" s="125"/>
      <c r="TPG170" s="125"/>
      <c r="TPH170" s="125"/>
      <c r="TPI170" s="125"/>
      <c r="TPJ170" s="125"/>
      <c r="TPK170" s="125"/>
      <c r="TPL170" s="125"/>
      <c r="TPM170" s="125"/>
      <c r="TPN170" s="125"/>
      <c r="TPO170" s="125"/>
      <c r="TPP170" s="125"/>
      <c r="TPQ170" s="125"/>
      <c r="TPR170" s="125"/>
      <c r="TPS170" s="125"/>
      <c r="TPT170" s="125"/>
      <c r="TPU170" s="125"/>
      <c r="TPV170" s="125"/>
      <c r="TPW170" s="125"/>
      <c r="TPX170" s="125"/>
      <c r="TPY170" s="125"/>
      <c r="TPZ170" s="125"/>
      <c r="TQA170" s="125"/>
      <c r="TQB170" s="125"/>
      <c r="TQC170" s="125"/>
      <c r="TQD170" s="125"/>
      <c r="TQE170" s="125"/>
      <c r="TQF170" s="125"/>
      <c r="TQG170" s="125"/>
      <c r="TQH170" s="125"/>
      <c r="TQI170" s="125"/>
      <c r="TQJ170" s="125"/>
      <c r="TQK170" s="125"/>
      <c r="TQL170" s="125"/>
      <c r="TQM170" s="125"/>
      <c r="TQN170" s="125"/>
      <c r="TQO170" s="125"/>
      <c r="TQP170" s="125"/>
      <c r="TQQ170" s="125"/>
      <c r="TQR170" s="125"/>
      <c r="TQS170" s="125"/>
      <c r="TQT170" s="125"/>
      <c r="TQU170" s="125"/>
      <c r="TQV170" s="125"/>
      <c r="TQW170" s="125"/>
      <c r="TQX170" s="125"/>
      <c r="TQY170" s="125"/>
      <c r="TQZ170" s="125"/>
      <c r="TRA170" s="125"/>
      <c r="TRB170" s="125"/>
      <c r="TRC170" s="125"/>
      <c r="TRD170" s="125"/>
      <c r="TRE170" s="125"/>
      <c r="TRF170" s="125"/>
      <c r="TRG170" s="125"/>
      <c r="TRH170" s="125"/>
      <c r="TRI170" s="125"/>
      <c r="TRJ170" s="125"/>
      <c r="TRK170" s="125"/>
      <c r="TRL170" s="125"/>
      <c r="TRM170" s="125"/>
      <c r="TRN170" s="125"/>
      <c r="TRO170" s="125"/>
      <c r="TRP170" s="125"/>
      <c r="TRQ170" s="125"/>
      <c r="TRR170" s="125"/>
      <c r="TRS170" s="125"/>
      <c r="TRT170" s="125"/>
      <c r="TRU170" s="125"/>
      <c r="TRV170" s="125"/>
      <c r="TRW170" s="125"/>
      <c r="TRX170" s="125"/>
      <c r="TRY170" s="125"/>
      <c r="TRZ170" s="125"/>
      <c r="TSA170" s="125"/>
      <c r="TSB170" s="125"/>
      <c r="TSC170" s="125"/>
      <c r="TSD170" s="125"/>
      <c r="TSE170" s="125"/>
      <c r="TSF170" s="125"/>
      <c r="TSG170" s="125"/>
      <c r="TSH170" s="125"/>
      <c r="TSI170" s="125"/>
      <c r="TSJ170" s="125"/>
      <c r="TSK170" s="125"/>
      <c r="TSL170" s="125"/>
      <c r="TSM170" s="125"/>
      <c r="TSN170" s="125"/>
      <c r="TSO170" s="125"/>
      <c r="TSP170" s="125"/>
      <c r="TSQ170" s="125"/>
      <c r="TSR170" s="125"/>
      <c r="TSS170" s="125"/>
      <c r="TST170" s="125"/>
      <c r="TSU170" s="125"/>
      <c r="TSV170" s="125"/>
      <c r="TSW170" s="125"/>
      <c r="TSX170" s="125"/>
      <c r="TSY170" s="125"/>
      <c r="TSZ170" s="125"/>
      <c r="TTA170" s="125"/>
      <c r="TTB170" s="125"/>
      <c r="TTC170" s="125"/>
      <c r="TTD170" s="125"/>
      <c r="TTE170" s="125"/>
      <c r="TTF170" s="125"/>
      <c r="TTG170" s="125"/>
      <c r="TTH170" s="125"/>
      <c r="TTI170" s="125"/>
      <c r="TTJ170" s="125"/>
      <c r="TTK170" s="125"/>
      <c r="TTL170" s="125"/>
      <c r="TTM170" s="125"/>
      <c r="TTN170" s="125"/>
      <c r="TTO170" s="125"/>
      <c r="TTP170" s="125"/>
      <c r="TTQ170" s="125"/>
      <c r="TTR170" s="125"/>
      <c r="TTS170" s="125"/>
      <c r="TTT170" s="125"/>
      <c r="TTU170" s="125"/>
      <c r="TTV170" s="125"/>
      <c r="TTW170" s="125"/>
      <c r="TTX170" s="125"/>
      <c r="TTY170" s="125"/>
      <c r="TTZ170" s="125"/>
      <c r="TUA170" s="125"/>
      <c r="TUB170" s="125"/>
      <c r="TUC170" s="125"/>
      <c r="TUD170" s="125"/>
      <c r="TUE170" s="125"/>
      <c r="TUF170" s="125"/>
      <c r="TUG170" s="125"/>
      <c r="TUH170" s="125"/>
      <c r="TUI170" s="125"/>
      <c r="TUJ170" s="125"/>
      <c r="TUK170" s="125"/>
      <c r="TUL170" s="125"/>
      <c r="TUM170" s="125"/>
      <c r="TUN170" s="125"/>
      <c r="TUO170" s="125"/>
      <c r="TUP170" s="125"/>
      <c r="TUQ170" s="125"/>
      <c r="TUR170" s="125"/>
      <c r="TUS170" s="125"/>
      <c r="TUT170" s="125"/>
      <c r="TUU170" s="125"/>
      <c r="TUV170" s="125"/>
      <c r="TUW170" s="125"/>
      <c r="TUX170" s="125"/>
      <c r="TUY170" s="125"/>
      <c r="TUZ170" s="125"/>
      <c r="TVA170" s="125"/>
      <c r="TVB170" s="125"/>
      <c r="TVC170" s="125"/>
      <c r="TVD170" s="125"/>
      <c r="TVE170" s="125"/>
      <c r="TVF170" s="125"/>
      <c r="TVG170" s="125"/>
      <c r="TVH170" s="125"/>
      <c r="TVI170" s="125"/>
      <c r="TVJ170" s="125"/>
      <c r="TVK170" s="125"/>
      <c r="TVL170" s="125"/>
      <c r="TVM170" s="125"/>
      <c r="TVN170" s="125"/>
      <c r="TVO170" s="125"/>
      <c r="TVP170" s="125"/>
      <c r="TVQ170" s="125"/>
      <c r="TVR170" s="125"/>
      <c r="TVS170" s="125"/>
      <c r="TVT170" s="125"/>
      <c r="TVU170" s="125"/>
      <c r="TVV170" s="125"/>
      <c r="TVW170" s="125"/>
      <c r="TVX170" s="125"/>
      <c r="TVY170" s="125"/>
      <c r="TVZ170" s="125"/>
      <c r="TWA170" s="125"/>
      <c r="TWB170" s="125"/>
      <c r="TWC170" s="125"/>
      <c r="TWD170" s="125"/>
      <c r="TWE170" s="125"/>
      <c r="TWF170" s="125"/>
      <c r="TWG170" s="125"/>
      <c r="TWH170" s="125"/>
      <c r="TWI170" s="125"/>
      <c r="TWJ170" s="125"/>
      <c r="TWK170" s="125"/>
      <c r="TWL170" s="125"/>
      <c r="TWM170" s="125"/>
      <c r="TWN170" s="125"/>
      <c r="TWO170" s="125"/>
      <c r="TWP170" s="125"/>
      <c r="TWQ170" s="125"/>
      <c r="TWR170" s="125"/>
      <c r="TWS170" s="125"/>
      <c r="TWT170" s="125"/>
      <c r="TWU170" s="125"/>
      <c r="TWV170" s="125"/>
      <c r="TWW170" s="125"/>
      <c r="TWX170" s="125"/>
      <c r="TWY170" s="125"/>
      <c r="TWZ170" s="125"/>
      <c r="TXA170" s="125"/>
      <c r="TXB170" s="125"/>
      <c r="TXC170" s="125"/>
      <c r="TXD170" s="125"/>
      <c r="TXE170" s="125"/>
      <c r="TXF170" s="125"/>
      <c r="TXG170" s="125"/>
      <c r="TXH170" s="125"/>
      <c r="TXI170" s="125"/>
      <c r="TXJ170" s="125"/>
      <c r="TXK170" s="125"/>
      <c r="TXL170" s="125"/>
      <c r="TXM170" s="125"/>
      <c r="TXN170" s="125"/>
      <c r="TXO170" s="125"/>
      <c r="TXP170" s="125"/>
      <c r="TXQ170" s="125"/>
      <c r="TXR170" s="125"/>
      <c r="TXS170" s="125"/>
      <c r="TXT170" s="125"/>
      <c r="TXU170" s="125"/>
      <c r="TXV170" s="125"/>
      <c r="TXW170" s="125"/>
      <c r="TXX170" s="125"/>
      <c r="TXY170" s="125"/>
      <c r="TXZ170" s="125"/>
      <c r="TYA170" s="125"/>
      <c r="TYB170" s="125"/>
      <c r="TYC170" s="125"/>
      <c r="TYD170" s="125"/>
      <c r="TYE170" s="125"/>
      <c r="TYF170" s="125"/>
      <c r="TYG170" s="125"/>
      <c r="TYH170" s="125"/>
      <c r="TYI170" s="125"/>
      <c r="TYJ170" s="125"/>
      <c r="TYK170" s="125"/>
      <c r="TYL170" s="125"/>
      <c r="TYM170" s="125"/>
      <c r="TYN170" s="125"/>
      <c r="TYO170" s="125"/>
      <c r="TYP170" s="125"/>
      <c r="TYQ170" s="125"/>
      <c r="TYR170" s="125"/>
      <c r="TYS170" s="125"/>
      <c r="TYT170" s="125"/>
      <c r="TYU170" s="125"/>
      <c r="TYV170" s="125"/>
      <c r="TYW170" s="125"/>
      <c r="TYX170" s="125"/>
      <c r="TYY170" s="125"/>
      <c r="TYZ170" s="125"/>
      <c r="TZA170" s="125"/>
      <c r="TZB170" s="125"/>
      <c r="TZC170" s="125"/>
      <c r="TZD170" s="125"/>
      <c r="TZE170" s="125"/>
      <c r="TZF170" s="125"/>
      <c r="TZG170" s="125"/>
      <c r="TZH170" s="125"/>
      <c r="TZI170" s="125"/>
      <c r="TZJ170" s="125"/>
      <c r="TZK170" s="125"/>
      <c r="TZL170" s="125"/>
      <c r="TZM170" s="125"/>
      <c r="TZN170" s="125"/>
      <c r="TZO170" s="125"/>
      <c r="TZP170" s="125"/>
      <c r="TZQ170" s="125"/>
      <c r="TZR170" s="125"/>
      <c r="TZS170" s="125"/>
      <c r="TZT170" s="125"/>
      <c r="TZU170" s="125"/>
      <c r="TZV170" s="125"/>
      <c r="TZW170" s="125"/>
      <c r="TZX170" s="125"/>
      <c r="TZY170" s="125"/>
      <c r="TZZ170" s="125"/>
      <c r="UAA170" s="125"/>
      <c r="UAB170" s="125"/>
      <c r="UAC170" s="125"/>
      <c r="UAD170" s="125"/>
      <c r="UAE170" s="125"/>
      <c r="UAF170" s="125"/>
      <c r="UAG170" s="125"/>
      <c r="UAH170" s="125"/>
      <c r="UAI170" s="125"/>
      <c r="UAJ170" s="125"/>
      <c r="UAK170" s="125"/>
      <c r="UAL170" s="125"/>
      <c r="UAM170" s="125"/>
      <c r="UAN170" s="125"/>
      <c r="UAO170" s="125"/>
      <c r="UAP170" s="125"/>
      <c r="UAQ170" s="125"/>
      <c r="UAR170" s="125"/>
      <c r="UAS170" s="125"/>
      <c r="UAT170" s="125"/>
      <c r="UAU170" s="125"/>
      <c r="UAV170" s="125"/>
      <c r="UAW170" s="125"/>
      <c r="UAX170" s="125"/>
      <c r="UAY170" s="125"/>
      <c r="UAZ170" s="125"/>
      <c r="UBA170" s="125"/>
      <c r="UBB170" s="125"/>
      <c r="UBC170" s="125"/>
      <c r="UBD170" s="125"/>
      <c r="UBE170" s="125"/>
      <c r="UBF170" s="125"/>
      <c r="UBG170" s="125"/>
      <c r="UBH170" s="125"/>
      <c r="UBI170" s="125"/>
      <c r="UBJ170" s="125"/>
      <c r="UBK170" s="125"/>
      <c r="UBL170" s="125"/>
      <c r="UBM170" s="125"/>
      <c r="UBN170" s="125"/>
      <c r="UBO170" s="125"/>
      <c r="UBP170" s="125"/>
      <c r="UBQ170" s="125"/>
      <c r="UBR170" s="125"/>
      <c r="UBS170" s="125"/>
      <c r="UBT170" s="125"/>
      <c r="UBU170" s="125"/>
      <c r="UBV170" s="125"/>
      <c r="UBW170" s="125"/>
      <c r="UBX170" s="125"/>
      <c r="UBY170" s="125"/>
      <c r="UBZ170" s="125"/>
      <c r="UCA170" s="125"/>
      <c r="UCB170" s="125"/>
      <c r="UCC170" s="125"/>
      <c r="UCD170" s="125"/>
      <c r="UCE170" s="125"/>
      <c r="UCF170" s="125"/>
      <c r="UCG170" s="125"/>
      <c r="UCH170" s="125"/>
      <c r="UCI170" s="125"/>
      <c r="UCJ170" s="125"/>
      <c r="UCK170" s="125"/>
      <c r="UCL170" s="125"/>
      <c r="UCM170" s="125"/>
      <c r="UCN170" s="125"/>
      <c r="UCO170" s="125"/>
      <c r="UCP170" s="125"/>
      <c r="UCQ170" s="125"/>
      <c r="UCR170" s="125"/>
      <c r="UCS170" s="125"/>
      <c r="UCT170" s="125"/>
      <c r="UCU170" s="125"/>
      <c r="UCV170" s="125"/>
      <c r="UCW170" s="125"/>
      <c r="UCX170" s="125"/>
      <c r="UCY170" s="125"/>
      <c r="UCZ170" s="125"/>
      <c r="UDA170" s="125"/>
      <c r="UDB170" s="125"/>
      <c r="UDC170" s="125"/>
      <c r="UDD170" s="125"/>
      <c r="UDE170" s="125"/>
      <c r="UDF170" s="125"/>
      <c r="UDG170" s="125"/>
      <c r="UDH170" s="125"/>
      <c r="UDI170" s="125"/>
      <c r="UDJ170" s="125"/>
      <c r="UDK170" s="125"/>
      <c r="UDL170" s="125"/>
      <c r="UDM170" s="125"/>
      <c r="UDN170" s="125"/>
      <c r="UDO170" s="125"/>
      <c r="UDP170" s="125"/>
      <c r="UDQ170" s="125"/>
      <c r="UDR170" s="125"/>
      <c r="UDS170" s="125"/>
      <c r="UDT170" s="125"/>
      <c r="UDU170" s="125"/>
      <c r="UDV170" s="125"/>
      <c r="UDW170" s="125"/>
      <c r="UDX170" s="125"/>
      <c r="UDY170" s="125"/>
      <c r="UDZ170" s="125"/>
      <c r="UEA170" s="125"/>
      <c r="UEB170" s="125"/>
      <c r="UEC170" s="125"/>
      <c r="UED170" s="125"/>
      <c r="UEE170" s="125"/>
      <c r="UEF170" s="125"/>
      <c r="UEG170" s="125"/>
      <c r="UEH170" s="125"/>
      <c r="UEI170" s="125"/>
      <c r="UEJ170" s="125"/>
      <c r="UEK170" s="125"/>
      <c r="UEL170" s="125"/>
      <c r="UEM170" s="125"/>
      <c r="UEN170" s="125"/>
      <c r="UEO170" s="125"/>
      <c r="UEP170" s="125"/>
      <c r="UEQ170" s="125"/>
      <c r="UER170" s="125"/>
      <c r="UES170" s="125"/>
      <c r="UET170" s="125"/>
      <c r="UEU170" s="125"/>
      <c r="UEV170" s="125"/>
      <c r="UEW170" s="125"/>
      <c r="UEX170" s="125"/>
      <c r="UEY170" s="125"/>
      <c r="UEZ170" s="125"/>
      <c r="UFA170" s="125"/>
      <c r="UFB170" s="125"/>
      <c r="UFC170" s="125"/>
      <c r="UFD170" s="125"/>
      <c r="UFE170" s="125"/>
      <c r="UFF170" s="125"/>
      <c r="UFG170" s="125"/>
      <c r="UFH170" s="125"/>
      <c r="UFI170" s="125"/>
      <c r="UFJ170" s="125"/>
      <c r="UFK170" s="125"/>
      <c r="UFL170" s="125"/>
      <c r="UFM170" s="125"/>
      <c r="UFN170" s="125"/>
      <c r="UFO170" s="125"/>
      <c r="UFP170" s="125"/>
      <c r="UFQ170" s="125"/>
      <c r="UFR170" s="125"/>
      <c r="UFS170" s="125"/>
      <c r="UFT170" s="125"/>
      <c r="UFU170" s="125"/>
      <c r="UFV170" s="125"/>
      <c r="UFW170" s="125"/>
      <c r="UFX170" s="125"/>
      <c r="UFY170" s="125"/>
      <c r="UFZ170" s="125"/>
      <c r="UGA170" s="125"/>
      <c r="UGB170" s="125"/>
      <c r="UGC170" s="125"/>
      <c r="UGD170" s="125"/>
      <c r="UGE170" s="125"/>
      <c r="UGF170" s="125"/>
      <c r="UGG170" s="125"/>
      <c r="UGH170" s="125"/>
      <c r="UGI170" s="125"/>
      <c r="UGJ170" s="125"/>
      <c r="UGK170" s="125"/>
      <c r="UGL170" s="125"/>
      <c r="UGM170" s="125"/>
      <c r="UGN170" s="125"/>
      <c r="UGO170" s="125"/>
      <c r="UGP170" s="125"/>
      <c r="UGQ170" s="125"/>
      <c r="UGR170" s="125"/>
      <c r="UGS170" s="125"/>
      <c r="UGT170" s="125"/>
      <c r="UGU170" s="125"/>
      <c r="UGV170" s="125"/>
      <c r="UGW170" s="125"/>
      <c r="UGX170" s="125"/>
      <c r="UGY170" s="125"/>
      <c r="UGZ170" s="125"/>
      <c r="UHA170" s="125"/>
      <c r="UHB170" s="125"/>
      <c r="UHC170" s="125"/>
      <c r="UHD170" s="125"/>
      <c r="UHE170" s="125"/>
      <c r="UHF170" s="125"/>
      <c r="UHG170" s="125"/>
      <c r="UHH170" s="125"/>
      <c r="UHI170" s="125"/>
      <c r="UHJ170" s="125"/>
      <c r="UHK170" s="125"/>
      <c r="UHL170" s="125"/>
      <c r="UHM170" s="125"/>
      <c r="UHN170" s="125"/>
      <c r="UHO170" s="125"/>
      <c r="UHP170" s="125"/>
      <c r="UHQ170" s="125"/>
      <c r="UHR170" s="125"/>
      <c r="UHS170" s="125"/>
      <c r="UHT170" s="125"/>
      <c r="UHU170" s="125"/>
      <c r="UHV170" s="125"/>
      <c r="UHW170" s="125"/>
      <c r="UHX170" s="125"/>
      <c r="UHY170" s="125"/>
      <c r="UHZ170" s="125"/>
      <c r="UIA170" s="125"/>
      <c r="UIB170" s="125"/>
      <c r="UIC170" s="125"/>
      <c r="UID170" s="125"/>
      <c r="UIE170" s="125"/>
      <c r="UIF170" s="125"/>
      <c r="UIG170" s="125"/>
      <c r="UIH170" s="125"/>
      <c r="UII170" s="125"/>
      <c r="UIJ170" s="125"/>
      <c r="UIK170" s="125"/>
      <c r="UIL170" s="125"/>
      <c r="UIM170" s="125"/>
      <c r="UIN170" s="125"/>
      <c r="UIO170" s="125"/>
      <c r="UIP170" s="125"/>
      <c r="UIQ170" s="125"/>
      <c r="UIR170" s="125"/>
      <c r="UIS170" s="125"/>
      <c r="UIT170" s="125"/>
      <c r="UIU170" s="125"/>
      <c r="UIV170" s="125"/>
      <c r="UIW170" s="125"/>
      <c r="UIX170" s="125"/>
      <c r="UIY170" s="125"/>
      <c r="UIZ170" s="125"/>
      <c r="UJA170" s="125"/>
      <c r="UJB170" s="125"/>
      <c r="UJC170" s="125"/>
      <c r="UJD170" s="125"/>
      <c r="UJE170" s="125"/>
      <c r="UJF170" s="125"/>
      <c r="UJG170" s="125"/>
      <c r="UJH170" s="125"/>
      <c r="UJI170" s="125"/>
      <c r="UJJ170" s="125"/>
      <c r="UJK170" s="125"/>
      <c r="UJL170" s="125"/>
      <c r="UJM170" s="125"/>
      <c r="UJN170" s="125"/>
      <c r="UJO170" s="125"/>
      <c r="UJP170" s="125"/>
      <c r="UJQ170" s="125"/>
      <c r="UJR170" s="125"/>
      <c r="UJS170" s="125"/>
      <c r="UJT170" s="125"/>
      <c r="UJU170" s="125"/>
      <c r="UJV170" s="125"/>
      <c r="UJW170" s="125"/>
      <c r="UJX170" s="125"/>
      <c r="UJY170" s="125"/>
      <c r="UJZ170" s="125"/>
      <c r="UKA170" s="125"/>
      <c r="UKB170" s="125"/>
      <c r="UKC170" s="125"/>
      <c r="UKD170" s="125"/>
      <c r="UKE170" s="125"/>
      <c r="UKF170" s="125"/>
      <c r="UKG170" s="125"/>
      <c r="UKH170" s="125"/>
      <c r="UKI170" s="125"/>
      <c r="UKJ170" s="125"/>
      <c r="UKK170" s="125"/>
      <c r="UKL170" s="125"/>
      <c r="UKM170" s="125"/>
      <c r="UKN170" s="125"/>
      <c r="UKO170" s="125"/>
      <c r="UKP170" s="125"/>
      <c r="UKQ170" s="125"/>
      <c r="UKR170" s="125"/>
      <c r="UKS170" s="125"/>
      <c r="UKT170" s="125"/>
      <c r="UKU170" s="125"/>
      <c r="UKV170" s="125"/>
      <c r="UKW170" s="125"/>
      <c r="UKX170" s="125"/>
      <c r="UKY170" s="125"/>
      <c r="UKZ170" s="125"/>
      <c r="ULA170" s="125"/>
      <c r="ULB170" s="125"/>
      <c r="ULC170" s="125"/>
      <c r="ULD170" s="125"/>
      <c r="ULE170" s="125"/>
      <c r="ULF170" s="125"/>
      <c r="ULG170" s="125"/>
      <c r="ULH170" s="125"/>
      <c r="ULI170" s="125"/>
      <c r="ULJ170" s="125"/>
      <c r="ULK170" s="125"/>
      <c r="ULL170" s="125"/>
      <c r="ULM170" s="125"/>
      <c r="ULN170" s="125"/>
      <c r="ULO170" s="125"/>
      <c r="ULP170" s="125"/>
      <c r="ULQ170" s="125"/>
      <c r="ULR170" s="125"/>
      <c r="ULS170" s="125"/>
      <c r="ULT170" s="125"/>
      <c r="ULU170" s="125"/>
      <c r="ULV170" s="125"/>
      <c r="ULW170" s="125"/>
      <c r="ULX170" s="125"/>
      <c r="ULY170" s="125"/>
      <c r="ULZ170" s="125"/>
      <c r="UMA170" s="125"/>
      <c r="UMB170" s="125"/>
      <c r="UMC170" s="125"/>
      <c r="UMD170" s="125"/>
      <c r="UME170" s="125"/>
      <c r="UMF170" s="125"/>
      <c r="UMG170" s="125"/>
      <c r="UMH170" s="125"/>
      <c r="UMI170" s="125"/>
      <c r="UMJ170" s="125"/>
      <c r="UMK170" s="125"/>
      <c r="UML170" s="125"/>
      <c r="UMM170" s="125"/>
      <c r="UMN170" s="125"/>
      <c r="UMO170" s="125"/>
      <c r="UMP170" s="125"/>
      <c r="UMQ170" s="125"/>
      <c r="UMR170" s="125"/>
      <c r="UMS170" s="125"/>
      <c r="UMT170" s="125"/>
      <c r="UMU170" s="125"/>
      <c r="UMV170" s="125"/>
      <c r="UMW170" s="125"/>
      <c r="UMX170" s="125"/>
      <c r="UMY170" s="125"/>
      <c r="UMZ170" s="125"/>
      <c r="UNA170" s="125"/>
      <c r="UNB170" s="125"/>
      <c r="UNC170" s="125"/>
      <c r="UND170" s="125"/>
      <c r="UNE170" s="125"/>
      <c r="UNF170" s="125"/>
      <c r="UNG170" s="125"/>
      <c r="UNH170" s="125"/>
      <c r="UNI170" s="125"/>
      <c r="UNJ170" s="125"/>
      <c r="UNK170" s="125"/>
      <c r="UNL170" s="125"/>
      <c r="UNM170" s="125"/>
      <c r="UNN170" s="125"/>
      <c r="UNO170" s="125"/>
      <c r="UNP170" s="125"/>
      <c r="UNQ170" s="125"/>
      <c r="UNR170" s="125"/>
      <c r="UNS170" s="125"/>
      <c r="UNT170" s="125"/>
      <c r="UNU170" s="125"/>
      <c r="UNV170" s="125"/>
      <c r="UNW170" s="125"/>
      <c r="UNX170" s="125"/>
      <c r="UNY170" s="125"/>
      <c r="UNZ170" s="125"/>
      <c r="UOA170" s="125"/>
      <c r="UOB170" s="125"/>
      <c r="UOC170" s="125"/>
      <c r="UOD170" s="125"/>
      <c r="UOE170" s="125"/>
      <c r="UOF170" s="125"/>
      <c r="UOG170" s="125"/>
      <c r="UOH170" s="125"/>
      <c r="UOI170" s="125"/>
      <c r="UOJ170" s="125"/>
      <c r="UOK170" s="125"/>
      <c r="UOL170" s="125"/>
      <c r="UOM170" s="125"/>
      <c r="UON170" s="125"/>
      <c r="UOO170" s="125"/>
      <c r="UOP170" s="125"/>
      <c r="UOQ170" s="125"/>
      <c r="UOR170" s="125"/>
      <c r="UOS170" s="125"/>
      <c r="UOT170" s="125"/>
      <c r="UOU170" s="125"/>
      <c r="UOV170" s="125"/>
      <c r="UOW170" s="125"/>
      <c r="UOX170" s="125"/>
      <c r="UOY170" s="125"/>
      <c r="UOZ170" s="125"/>
      <c r="UPA170" s="125"/>
      <c r="UPB170" s="125"/>
      <c r="UPC170" s="125"/>
      <c r="UPD170" s="125"/>
      <c r="UPE170" s="125"/>
      <c r="UPF170" s="125"/>
      <c r="UPG170" s="125"/>
      <c r="UPH170" s="125"/>
      <c r="UPI170" s="125"/>
      <c r="UPJ170" s="125"/>
      <c r="UPK170" s="125"/>
      <c r="UPL170" s="125"/>
      <c r="UPM170" s="125"/>
      <c r="UPN170" s="125"/>
      <c r="UPO170" s="125"/>
      <c r="UPP170" s="125"/>
      <c r="UPQ170" s="125"/>
      <c r="UPR170" s="125"/>
      <c r="UPS170" s="125"/>
      <c r="UPT170" s="125"/>
      <c r="UPU170" s="125"/>
      <c r="UPV170" s="125"/>
      <c r="UPW170" s="125"/>
      <c r="UPX170" s="125"/>
      <c r="UPY170" s="125"/>
      <c r="UPZ170" s="125"/>
      <c r="UQA170" s="125"/>
      <c r="UQB170" s="125"/>
      <c r="UQC170" s="125"/>
      <c r="UQD170" s="125"/>
      <c r="UQE170" s="125"/>
      <c r="UQF170" s="125"/>
      <c r="UQG170" s="125"/>
      <c r="UQH170" s="125"/>
      <c r="UQI170" s="125"/>
      <c r="UQJ170" s="125"/>
      <c r="UQK170" s="125"/>
      <c r="UQL170" s="125"/>
      <c r="UQM170" s="125"/>
      <c r="UQN170" s="125"/>
      <c r="UQO170" s="125"/>
      <c r="UQP170" s="125"/>
      <c r="UQQ170" s="125"/>
      <c r="UQR170" s="125"/>
      <c r="UQS170" s="125"/>
      <c r="UQT170" s="125"/>
      <c r="UQU170" s="125"/>
      <c r="UQV170" s="125"/>
      <c r="UQW170" s="125"/>
      <c r="UQX170" s="125"/>
      <c r="UQY170" s="125"/>
      <c r="UQZ170" s="125"/>
      <c r="URA170" s="125"/>
      <c r="URB170" s="125"/>
      <c r="URC170" s="125"/>
      <c r="URD170" s="125"/>
      <c r="URE170" s="125"/>
      <c r="URF170" s="125"/>
      <c r="URG170" s="125"/>
      <c r="URH170" s="125"/>
      <c r="URI170" s="125"/>
      <c r="URJ170" s="125"/>
      <c r="URK170" s="125"/>
      <c r="URL170" s="125"/>
      <c r="URM170" s="125"/>
      <c r="URN170" s="125"/>
      <c r="URO170" s="125"/>
      <c r="URP170" s="125"/>
      <c r="URQ170" s="125"/>
      <c r="URR170" s="125"/>
      <c r="URS170" s="125"/>
      <c r="URT170" s="125"/>
      <c r="URU170" s="125"/>
      <c r="URV170" s="125"/>
      <c r="URW170" s="125"/>
      <c r="URX170" s="125"/>
      <c r="URY170" s="125"/>
      <c r="URZ170" s="125"/>
      <c r="USA170" s="125"/>
      <c r="USB170" s="125"/>
      <c r="USC170" s="125"/>
      <c r="USD170" s="125"/>
      <c r="USE170" s="125"/>
      <c r="USF170" s="125"/>
      <c r="USG170" s="125"/>
      <c r="USH170" s="125"/>
      <c r="USI170" s="125"/>
      <c r="USJ170" s="125"/>
      <c r="USK170" s="125"/>
      <c r="USL170" s="125"/>
      <c r="USM170" s="125"/>
      <c r="USN170" s="125"/>
      <c r="USO170" s="125"/>
      <c r="USP170" s="125"/>
      <c r="USQ170" s="125"/>
      <c r="USR170" s="125"/>
      <c r="USS170" s="125"/>
      <c r="UST170" s="125"/>
      <c r="USU170" s="125"/>
      <c r="USV170" s="125"/>
      <c r="USW170" s="125"/>
      <c r="USX170" s="125"/>
      <c r="USY170" s="125"/>
      <c r="USZ170" s="125"/>
      <c r="UTA170" s="125"/>
      <c r="UTB170" s="125"/>
      <c r="UTC170" s="125"/>
      <c r="UTD170" s="125"/>
      <c r="UTE170" s="125"/>
      <c r="UTF170" s="125"/>
      <c r="UTG170" s="125"/>
      <c r="UTH170" s="125"/>
      <c r="UTI170" s="125"/>
      <c r="UTJ170" s="125"/>
      <c r="UTK170" s="125"/>
      <c r="UTL170" s="125"/>
      <c r="UTM170" s="125"/>
      <c r="UTN170" s="125"/>
      <c r="UTO170" s="125"/>
      <c r="UTP170" s="125"/>
      <c r="UTQ170" s="125"/>
      <c r="UTR170" s="125"/>
      <c r="UTS170" s="125"/>
      <c r="UTT170" s="125"/>
      <c r="UTU170" s="125"/>
      <c r="UTV170" s="125"/>
      <c r="UTW170" s="125"/>
      <c r="UTX170" s="125"/>
      <c r="UTY170" s="125"/>
      <c r="UTZ170" s="125"/>
      <c r="UUA170" s="125"/>
      <c r="UUB170" s="125"/>
      <c r="UUC170" s="125"/>
      <c r="UUD170" s="125"/>
      <c r="UUE170" s="125"/>
      <c r="UUF170" s="125"/>
      <c r="UUG170" s="125"/>
      <c r="UUH170" s="125"/>
      <c r="UUI170" s="125"/>
      <c r="UUJ170" s="125"/>
      <c r="UUK170" s="125"/>
      <c r="UUL170" s="125"/>
      <c r="UUM170" s="125"/>
      <c r="UUN170" s="125"/>
      <c r="UUO170" s="125"/>
      <c r="UUP170" s="125"/>
      <c r="UUQ170" s="125"/>
      <c r="UUR170" s="125"/>
      <c r="UUS170" s="125"/>
      <c r="UUT170" s="125"/>
      <c r="UUU170" s="125"/>
      <c r="UUV170" s="125"/>
      <c r="UUW170" s="125"/>
      <c r="UUX170" s="125"/>
      <c r="UUY170" s="125"/>
      <c r="UUZ170" s="125"/>
      <c r="UVA170" s="125"/>
      <c r="UVB170" s="125"/>
      <c r="UVC170" s="125"/>
      <c r="UVD170" s="125"/>
      <c r="UVE170" s="125"/>
      <c r="UVF170" s="125"/>
      <c r="UVG170" s="125"/>
      <c r="UVH170" s="125"/>
      <c r="UVI170" s="125"/>
      <c r="UVJ170" s="125"/>
      <c r="UVK170" s="125"/>
      <c r="UVL170" s="125"/>
      <c r="UVM170" s="125"/>
      <c r="UVN170" s="125"/>
      <c r="UVO170" s="125"/>
      <c r="UVP170" s="125"/>
      <c r="UVQ170" s="125"/>
      <c r="UVR170" s="125"/>
      <c r="UVS170" s="125"/>
      <c r="UVT170" s="125"/>
      <c r="UVU170" s="125"/>
      <c r="UVV170" s="125"/>
      <c r="UVW170" s="125"/>
      <c r="UVX170" s="125"/>
      <c r="UVY170" s="125"/>
      <c r="UVZ170" s="125"/>
      <c r="UWA170" s="125"/>
      <c r="UWB170" s="125"/>
      <c r="UWC170" s="125"/>
      <c r="UWD170" s="125"/>
      <c r="UWE170" s="125"/>
      <c r="UWF170" s="125"/>
      <c r="UWG170" s="125"/>
      <c r="UWH170" s="125"/>
      <c r="UWI170" s="125"/>
      <c r="UWJ170" s="125"/>
      <c r="UWK170" s="125"/>
      <c r="UWL170" s="125"/>
      <c r="UWM170" s="125"/>
      <c r="UWN170" s="125"/>
      <c r="UWO170" s="125"/>
      <c r="UWP170" s="125"/>
      <c r="UWQ170" s="125"/>
      <c r="UWR170" s="125"/>
      <c r="UWS170" s="125"/>
      <c r="UWT170" s="125"/>
      <c r="UWU170" s="125"/>
      <c r="UWV170" s="125"/>
      <c r="UWW170" s="125"/>
      <c r="UWX170" s="125"/>
      <c r="UWY170" s="125"/>
      <c r="UWZ170" s="125"/>
      <c r="UXA170" s="125"/>
      <c r="UXB170" s="125"/>
      <c r="UXC170" s="125"/>
      <c r="UXD170" s="125"/>
      <c r="UXE170" s="125"/>
      <c r="UXF170" s="125"/>
      <c r="UXG170" s="125"/>
      <c r="UXH170" s="125"/>
      <c r="UXI170" s="125"/>
      <c r="UXJ170" s="125"/>
      <c r="UXK170" s="125"/>
      <c r="UXL170" s="125"/>
      <c r="UXM170" s="125"/>
      <c r="UXN170" s="125"/>
      <c r="UXO170" s="125"/>
      <c r="UXP170" s="125"/>
      <c r="UXQ170" s="125"/>
      <c r="UXR170" s="125"/>
      <c r="UXS170" s="125"/>
      <c r="UXT170" s="125"/>
      <c r="UXU170" s="125"/>
      <c r="UXV170" s="125"/>
      <c r="UXW170" s="125"/>
      <c r="UXX170" s="125"/>
      <c r="UXY170" s="125"/>
      <c r="UXZ170" s="125"/>
      <c r="UYA170" s="125"/>
      <c r="UYB170" s="125"/>
      <c r="UYC170" s="125"/>
      <c r="UYD170" s="125"/>
      <c r="UYE170" s="125"/>
      <c r="UYF170" s="125"/>
      <c r="UYG170" s="125"/>
      <c r="UYH170" s="125"/>
      <c r="UYI170" s="125"/>
      <c r="UYJ170" s="125"/>
      <c r="UYK170" s="125"/>
      <c r="UYL170" s="125"/>
      <c r="UYM170" s="125"/>
      <c r="UYN170" s="125"/>
      <c r="UYO170" s="125"/>
      <c r="UYP170" s="125"/>
      <c r="UYQ170" s="125"/>
      <c r="UYR170" s="125"/>
      <c r="UYS170" s="125"/>
      <c r="UYT170" s="125"/>
      <c r="UYU170" s="125"/>
      <c r="UYV170" s="125"/>
      <c r="UYW170" s="125"/>
      <c r="UYX170" s="125"/>
      <c r="UYY170" s="125"/>
      <c r="UYZ170" s="125"/>
      <c r="UZA170" s="125"/>
      <c r="UZB170" s="125"/>
      <c r="UZC170" s="125"/>
      <c r="UZD170" s="125"/>
      <c r="UZE170" s="125"/>
      <c r="UZF170" s="125"/>
      <c r="UZG170" s="125"/>
      <c r="UZH170" s="125"/>
      <c r="UZI170" s="125"/>
      <c r="UZJ170" s="125"/>
      <c r="UZK170" s="125"/>
      <c r="UZL170" s="125"/>
      <c r="UZM170" s="125"/>
      <c r="UZN170" s="125"/>
      <c r="UZO170" s="125"/>
      <c r="UZP170" s="125"/>
      <c r="UZQ170" s="125"/>
      <c r="UZR170" s="125"/>
      <c r="UZS170" s="125"/>
      <c r="UZT170" s="125"/>
      <c r="UZU170" s="125"/>
      <c r="UZV170" s="125"/>
      <c r="UZW170" s="125"/>
      <c r="UZX170" s="125"/>
      <c r="UZY170" s="125"/>
      <c r="UZZ170" s="125"/>
      <c r="VAA170" s="125"/>
      <c r="VAB170" s="125"/>
      <c r="VAC170" s="125"/>
      <c r="VAD170" s="125"/>
      <c r="VAE170" s="125"/>
      <c r="VAF170" s="125"/>
      <c r="VAG170" s="125"/>
      <c r="VAH170" s="125"/>
      <c r="VAI170" s="125"/>
      <c r="VAJ170" s="125"/>
      <c r="VAK170" s="125"/>
      <c r="VAL170" s="125"/>
      <c r="VAM170" s="125"/>
      <c r="VAN170" s="125"/>
      <c r="VAO170" s="125"/>
      <c r="VAP170" s="125"/>
      <c r="VAQ170" s="125"/>
      <c r="VAR170" s="125"/>
      <c r="VAS170" s="125"/>
      <c r="VAT170" s="125"/>
      <c r="VAU170" s="125"/>
      <c r="VAV170" s="125"/>
      <c r="VAW170" s="125"/>
      <c r="VAX170" s="125"/>
      <c r="VAY170" s="125"/>
      <c r="VAZ170" s="125"/>
      <c r="VBA170" s="125"/>
      <c r="VBB170" s="125"/>
      <c r="VBC170" s="125"/>
      <c r="VBD170" s="125"/>
      <c r="VBE170" s="125"/>
      <c r="VBF170" s="125"/>
      <c r="VBG170" s="125"/>
      <c r="VBH170" s="125"/>
      <c r="VBI170" s="125"/>
      <c r="VBJ170" s="125"/>
      <c r="VBK170" s="125"/>
      <c r="VBL170" s="125"/>
      <c r="VBM170" s="125"/>
      <c r="VBN170" s="125"/>
      <c r="VBO170" s="125"/>
      <c r="VBP170" s="125"/>
      <c r="VBQ170" s="125"/>
      <c r="VBR170" s="125"/>
      <c r="VBS170" s="125"/>
      <c r="VBT170" s="125"/>
      <c r="VBU170" s="125"/>
      <c r="VBV170" s="125"/>
      <c r="VBW170" s="125"/>
      <c r="VBX170" s="125"/>
      <c r="VBY170" s="125"/>
      <c r="VBZ170" s="125"/>
      <c r="VCA170" s="125"/>
      <c r="VCB170" s="125"/>
      <c r="VCC170" s="125"/>
      <c r="VCD170" s="125"/>
      <c r="VCE170" s="125"/>
      <c r="VCF170" s="125"/>
      <c r="VCG170" s="125"/>
      <c r="VCH170" s="125"/>
      <c r="VCI170" s="125"/>
      <c r="VCJ170" s="125"/>
      <c r="VCK170" s="125"/>
      <c r="VCL170" s="125"/>
      <c r="VCM170" s="125"/>
      <c r="VCN170" s="125"/>
      <c r="VCO170" s="125"/>
      <c r="VCP170" s="125"/>
      <c r="VCQ170" s="125"/>
      <c r="VCR170" s="125"/>
      <c r="VCS170" s="125"/>
      <c r="VCT170" s="125"/>
      <c r="VCU170" s="125"/>
      <c r="VCV170" s="125"/>
      <c r="VCW170" s="125"/>
      <c r="VCX170" s="125"/>
      <c r="VCY170" s="125"/>
      <c r="VCZ170" s="125"/>
      <c r="VDA170" s="125"/>
      <c r="VDB170" s="125"/>
      <c r="VDC170" s="125"/>
      <c r="VDD170" s="125"/>
      <c r="VDE170" s="125"/>
      <c r="VDF170" s="125"/>
      <c r="VDG170" s="125"/>
      <c r="VDH170" s="125"/>
      <c r="VDI170" s="125"/>
      <c r="VDJ170" s="125"/>
      <c r="VDK170" s="125"/>
      <c r="VDL170" s="125"/>
      <c r="VDM170" s="125"/>
      <c r="VDN170" s="125"/>
      <c r="VDO170" s="125"/>
      <c r="VDP170" s="125"/>
      <c r="VDQ170" s="125"/>
      <c r="VDR170" s="125"/>
      <c r="VDS170" s="125"/>
      <c r="VDT170" s="125"/>
      <c r="VDU170" s="125"/>
      <c r="VDV170" s="125"/>
      <c r="VDW170" s="125"/>
      <c r="VDX170" s="125"/>
      <c r="VDY170" s="125"/>
      <c r="VDZ170" s="125"/>
      <c r="VEA170" s="125"/>
      <c r="VEB170" s="125"/>
      <c r="VEC170" s="125"/>
      <c r="VED170" s="125"/>
      <c r="VEE170" s="125"/>
      <c r="VEF170" s="125"/>
      <c r="VEG170" s="125"/>
      <c r="VEH170" s="125"/>
      <c r="VEI170" s="125"/>
      <c r="VEJ170" s="125"/>
      <c r="VEK170" s="125"/>
      <c r="VEL170" s="125"/>
      <c r="VEM170" s="125"/>
      <c r="VEN170" s="125"/>
      <c r="VEO170" s="125"/>
      <c r="VEP170" s="125"/>
      <c r="VEQ170" s="125"/>
      <c r="VER170" s="125"/>
      <c r="VES170" s="125"/>
      <c r="VET170" s="125"/>
      <c r="VEU170" s="125"/>
      <c r="VEV170" s="125"/>
      <c r="VEW170" s="125"/>
      <c r="VEX170" s="125"/>
      <c r="VEY170" s="125"/>
      <c r="VEZ170" s="125"/>
      <c r="VFA170" s="125"/>
      <c r="VFB170" s="125"/>
      <c r="VFC170" s="125"/>
      <c r="VFD170" s="125"/>
      <c r="VFE170" s="125"/>
      <c r="VFF170" s="125"/>
      <c r="VFG170" s="125"/>
      <c r="VFH170" s="125"/>
      <c r="VFI170" s="125"/>
      <c r="VFJ170" s="125"/>
      <c r="VFK170" s="125"/>
      <c r="VFL170" s="125"/>
      <c r="VFM170" s="125"/>
      <c r="VFN170" s="125"/>
      <c r="VFO170" s="125"/>
      <c r="VFP170" s="125"/>
      <c r="VFQ170" s="125"/>
      <c r="VFR170" s="125"/>
      <c r="VFS170" s="125"/>
      <c r="VFT170" s="125"/>
      <c r="VFU170" s="125"/>
      <c r="VFV170" s="125"/>
      <c r="VFW170" s="125"/>
      <c r="VFX170" s="125"/>
      <c r="VFY170" s="125"/>
      <c r="VFZ170" s="125"/>
      <c r="VGA170" s="125"/>
      <c r="VGB170" s="125"/>
      <c r="VGC170" s="125"/>
      <c r="VGD170" s="125"/>
      <c r="VGE170" s="125"/>
      <c r="VGF170" s="125"/>
      <c r="VGG170" s="125"/>
      <c r="VGH170" s="125"/>
      <c r="VGI170" s="125"/>
      <c r="VGJ170" s="125"/>
      <c r="VGK170" s="125"/>
      <c r="VGL170" s="125"/>
      <c r="VGM170" s="125"/>
      <c r="VGN170" s="125"/>
      <c r="VGO170" s="125"/>
      <c r="VGP170" s="125"/>
      <c r="VGQ170" s="125"/>
      <c r="VGR170" s="125"/>
      <c r="VGS170" s="125"/>
      <c r="VGT170" s="125"/>
      <c r="VGU170" s="125"/>
      <c r="VGV170" s="125"/>
      <c r="VGW170" s="125"/>
      <c r="VGX170" s="125"/>
      <c r="VGY170" s="125"/>
      <c r="VGZ170" s="125"/>
      <c r="VHA170" s="125"/>
      <c r="VHB170" s="125"/>
      <c r="VHC170" s="125"/>
      <c r="VHD170" s="125"/>
      <c r="VHE170" s="125"/>
      <c r="VHF170" s="125"/>
      <c r="VHG170" s="125"/>
      <c r="VHH170" s="125"/>
      <c r="VHI170" s="125"/>
      <c r="VHJ170" s="125"/>
      <c r="VHK170" s="125"/>
      <c r="VHL170" s="125"/>
      <c r="VHM170" s="125"/>
      <c r="VHN170" s="125"/>
      <c r="VHO170" s="125"/>
      <c r="VHP170" s="125"/>
      <c r="VHQ170" s="125"/>
      <c r="VHR170" s="125"/>
      <c r="VHS170" s="125"/>
      <c r="VHT170" s="125"/>
      <c r="VHU170" s="125"/>
      <c r="VHV170" s="125"/>
      <c r="VHW170" s="125"/>
      <c r="VHX170" s="125"/>
      <c r="VHY170" s="125"/>
      <c r="VHZ170" s="125"/>
      <c r="VIA170" s="125"/>
      <c r="VIB170" s="125"/>
      <c r="VIC170" s="125"/>
      <c r="VID170" s="125"/>
      <c r="VIE170" s="125"/>
      <c r="VIF170" s="125"/>
      <c r="VIG170" s="125"/>
      <c r="VIH170" s="125"/>
      <c r="VII170" s="125"/>
      <c r="VIJ170" s="125"/>
      <c r="VIK170" s="125"/>
      <c r="VIL170" s="125"/>
      <c r="VIM170" s="125"/>
      <c r="VIN170" s="125"/>
      <c r="VIO170" s="125"/>
      <c r="VIP170" s="125"/>
      <c r="VIQ170" s="125"/>
      <c r="VIR170" s="125"/>
      <c r="VIS170" s="125"/>
      <c r="VIT170" s="125"/>
      <c r="VIU170" s="125"/>
      <c r="VIV170" s="125"/>
      <c r="VIW170" s="125"/>
      <c r="VIX170" s="125"/>
      <c r="VIY170" s="125"/>
      <c r="VIZ170" s="125"/>
      <c r="VJA170" s="125"/>
      <c r="VJB170" s="125"/>
      <c r="VJC170" s="125"/>
      <c r="VJD170" s="125"/>
      <c r="VJE170" s="125"/>
      <c r="VJF170" s="125"/>
      <c r="VJG170" s="125"/>
      <c r="VJH170" s="125"/>
      <c r="VJI170" s="125"/>
      <c r="VJJ170" s="125"/>
      <c r="VJK170" s="125"/>
      <c r="VJL170" s="125"/>
      <c r="VJM170" s="125"/>
      <c r="VJN170" s="125"/>
      <c r="VJO170" s="125"/>
      <c r="VJP170" s="125"/>
      <c r="VJQ170" s="125"/>
      <c r="VJR170" s="125"/>
      <c r="VJS170" s="125"/>
      <c r="VJT170" s="125"/>
      <c r="VJU170" s="125"/>
      <c r="VJV170" s="125"/>
      <c r="VJW170" s="125"/>
      <c r="VJX170" s="125"/>
      <c r="VJY170" s="125"/>
      <c r="VJZ170" s="125"/>
      <c r="VKA170" s="125"/>
      <c r="VKB170" s="125"/>
      <c r="VKC170" s="125"/>
      <c r="VKD170" s="125"/>
      <c r="VKE170" s="125"/>
      <c r="VKF170" s="125"/>
      <c r="VKG170" s="125"/>
      <c r="VKH170" s="125"/>
      <c r="VKI170" s="125"/>
      <c r="VKJ170" s="125"/>
      <c r="VKK170" s="125"/>
      <c r="VKL170" s="125"/>
      <c r="VKM170" s="125"/>
      <c r="VKN170" s="125"/>
      <c r="VKO170" s="125"/>
      <c r="VKP170" s="125"/>
      <c r="VKQ170" s="125"/>
      <c r="VKR170" s="125"/>
      <c r="VKS170" s="125"/>
      <c r="VKT170" s="125"/>
      <c r="VKU170" s="125"/>
      <c r="VKV170" s="125"/>
      <c r="VKW170" s="125"/>
      <c r="VKX170" s="125"/>
      <c r="VKY170" s="125"/>
      <c r="VKZ170" s="125"/>
      <c r="VLA170" s="125"/>
      <c r="VLB170" s="125"/>
      <c r="VLC170" s="125"/>
      <c r="VLD170" s="125"/>
      <c r="VLE170" s="125"/>
      <c r="VLF170" s="125"/>
      <c r="VLG170" s="125"/>
      <c r="VLH170" s="125"/>
      <c r="VLI170" s="125"/>
      <c r="VLJ170" s="125"/>
      <c r="VLK170" s="125"/>
      <c r="VLL170" s="125"/>
      <c r="VLM170" s="125"/>
      <c r="VLN170" s="125"/>
      <c r="VLO170" s="125"/>
      <c r="VLP170" s="125"/>
      <c r="VLQ170" s="125"/>
      <c r="VLR170" s="125"/>
      <c r="VLS170" s="125"/>
      <c r="VLT170" s="125"/>
      <c r="VLU170" s="125"/>
      <c r="VLV170" s="125"/>
      <c r="VLW170" s="125"/>
      <c r="VLX170" s="125"/>
      <c r="VLY170" s="125"/>
      <c r="VLZ170" s="125"/>
      <c r="VMA170" s="125"/>
      <c r="VMB170" s="125"/>
      <c r="VMC170" s="125"/>
      <c r="VMD170" s="125"/>
      <c r="VME170" s="125"/>
      <c r="VMF170" s="125"/>
      <c r="VMG170" s="125"/>
      <c r="VMH170" s="125"/>
      <c r="VMI170" s="125"/>
      <c r="VMJ170" s="125"/>
      <c r="VMK170" s="125"/>
      <c r="VML170" s="125"/>
      <c r="VMM170" s="125"/>
      <c r="VMN170" s="125"/>
      <c r="VMO170" s="125"/>
      <c r="VMP170" s="125"/>
      <c r="VMQ170" s="125"/>
      <c r="VMR170" s="125"/>
      <c r="VMS170" s="125"/>
      <c r="VMT170" s="125"/>
      <c r="VMU170" s="125"/>
      <c r="VMV170" s="125"/>
      <c r="VMW170" s="125"/>
      <c r="VMX170" s="125"/>
      <c r="VMY170" s="125"/>
      <c r="VMZ170" s="125"/>
      <c r="VNA170" s="125"/>
      <c r="VNB170" s="125"/>
      <c r="VNC170" s="125"/>
      <c r="VND170" s="125"/>
      <c r="VNE170" s="125"/>
      <c r="VNF170" s="125"/>
      <c r="VNG170" s="125"/>
      <c r="VNH170" s="125"/>
      <c r="VNI170" s="125"/>
      <c r="VNJ170" s="125"/>
      <c r="VNK170" s="125"/>
      <c r="VNL170" s="125"/>
      <c r="VNM170" s="125"/>
      <c r="VNN170" s="125"/>
      <c r="VNO170" s="125"/>
      <c r="VNP170" s="125"/>
      <c r="VNQ170" s="125"/>
      <c r="VNR170" s="125"/>
      <c r="VNS170" s="125"/>
      <c r="VNT170" s="125"/>
      <c r="VNU170" s="125"/>
      <c r="VNV170" s="125"/>
      <c r="VNW170" s="125"/>
      <c r="VNX170" s="125"/>
      <c r="VNY170" s="125"/>
      <c r="VNZ170" s="125"/>
      <c r="VOA170" s="125"/>
      <c r="VOB170" s="125"/>
      <c r="VOC170" s="125"/>
      <c r="VOD170" s="125"/>
      <c r="VOE170" s="125"/>
      <c r="VOF170" s="125"/>
      <c r="VOG170" s="125"/>
      <c r="VOH170" s="125"/>
      <c r="VOI170" s="125"/>
      <c r="VOJ170" s="125"/>
      <c r="VOK170" s="125"/>
      <c r="VOL170" s="125"/>
      <c r="VOM170" s="125"/>
      <c r="VON170" s="125"/>
      <c r="VOO170" s="125"/>
      <c r="VOP170" s="125"/>
      <c r="VOQ170" s="125"/>
      <c r="VOR170" s="125"/>
      <c r="VOS170" s="125"/>
      <c r="VOT170" s="125"/>
      <c r="VOU170" s="125"/>
      <c r="VOV170" s="125"/>
      <c r="VOW170" s="125"/>
      <c r="VOX170" s="125"/>
      <c r="VOY170" s="125"/>
      <c r="VOZ170" s="125"/>
      <c r="VPA170" s="125"/>
      <c r="VPB170" s="125"/>
      <c r="VPC170" s="125"/>
      <c r="VPD170" s="125"/>
      <c r="VPE170" s="125"/>
      <c r="VPF170" s="125"/>
      <c r="VPG170" s="125"/>
      <c r="VPH170" s="125"/>
      <c r="VPI170" s="125"/>
      <c r="VPJ170" s="125"/>
      <c r="VPK170" s="125"/>
      <c r="VPL170" s="125"/>
      <c r="VPM170" s="125"/>
      <c r="VPN170" s="125"/>
      <c r="VPO170" s="125"/>
      <c r="VPP170" s="125"/>
      <c r="VPQ170" s="125"/>
      <c r="VPR170" s="125"/>
      <c r="VPS170" s="125"/>
      <c r="VPT170" s="125"/>
      <c r="VPU170" s="125"/>
      <c r="VPV170" s="125"/>
      <c r="VPW170" s="125"/>
      <c r="VPX170" s="125"/>
      <c r="VPY170" s="125"/>
      <c r="VPZ170" s="125"/>
      <c r="VQA170" s="125"/>
      <c r="VQB170" s="125"/>
      <c r="VQC170" s="125"/>
      <c r="VQD170" s="125"/>
      <c r="VQE170" s="125"/>
      <c r="VQF170" s="125"/>
      <c r="VQG170" s="125"/>
      <c r="VQH170" s="125"/>
      <c r="VQI170" s="125"/>
      <c r="VQJ170" s="125"/>
      <c r="VQK170" s="125"/>
      <c r="VQL170" s="125"/>
      <c r="VQM170" s="125"/>
      <c r="VQN170" s="125"/>
      <c r="VQO170" s="125"/>
      <c r="VQP170" s="125"/>
      <c r="VQQ170" s="125"/>
      <c r="VQR170" s="125"/>
      <c r="VQS170" s="125"/>
      <c r="VQT170" s="125"/>
      <c r="VQU170" s="125"/>
      <c r="VQV170" s="125"/>
      <c r="VQW170" s="125"/>
      <c r="VQX170" s="125"/>
      <c r="VQY170" s="125"/>
      <c r="VQZ170" s="125"/>
      <c r="VRA170" s="125"/>
      <c r="VRB170" s="125"/>
      <c r="VRC170" s="125"/>
      <c r="VRD170" s="125"/>
      <c r="VRE170" s="125"/>
      <c r="VRF170" s="125"/>
      <c r="VRG170" s="125"/>
      <c r="VRH170" s="125"/>
      <c r="VRI170" s="125"/>
      <c r="VRJ170" s="125"/>
      <c r="VRK170" s="125"/>
      <c r="VRL170" s="125"/>
      <c r="VRM170" s="125"/>
      <c r="VRN170" s="125"/>
      <c r="VRO170" s="125"/>
      <c r="VRP170" s="125"/>
      <c r="VRQ170" s="125"/>
      <c r="VRR170" s="125"/>
      <c r="VRS170" s="125"/>
      <c r="VRT170" s="125"/>
      <c r="VRU170" s="125"/>
      <c r="VRV170" s="125"/>
      <c r="VRW170" s="125"/>
      <c r="VRX170" s="125"/>
      <c r="VRY170" s="125"/>
      <c r="VRZ170" s="125"/>
      <c r="VSA170" s="125"/>
      <c r="VSB170" s="125"/>
      <c r="VSC170" s="125"/>
      <c r="VSD170" s="125"/>
      <c r="VSE170" s="125"/>
      <c r="VSF170" s="125"/>
      <c r="VSG170" s="125"/>
      <c r="VSH170" s="125"/>
      <c r="VSI170" s="125"/>
      <c r="VSJ170" s="125"/>
      <c r="VSK170" s="125"/>
      <c r="VSL170" s="125"/>
      <c r="VSM170" s="125"/>
      <c r="VSN170" s="125"/>
      <c r="VSO170" s="125"/>
      <c r="VSP170" s="125"/>
      <c r="VSQ170" s="125"/>
      <c r="VSR170" s="125"/>
      <c r="VSS170" s="125"/>
      <c r="VST170" s="125"/>
      <c r="VSU170" s="125"/>
      <c r="VSV170" s="125"/>
      <c r="VSW170" s="125"/>
      <c r="VSX170" s="125"/>
      <c r="VSY170" s="125"/>
      <c r="VSZ170" s="125"/>
      <c r="VTA170" s="125"/>
      <c r="VTB170" s="125"/>
      <c r="VTC170" s="125"/>
      <c r="VTD170" s="125"/>
      <c r="VTE170" s="125"/>
      <c r="VTF170" s="125"/>
      <c r="VTG170" s="125"/>
      <c r="VTH170" s="125"/>
      <c r="VTI170" s="125"/>
      <c r="VTJ170" s="125"/>
      <c r="VTK170" s="125"/>
      <c r="VTL170" s="125"/>
      <c r="VTM170" s="125"/>
      <c r="VTN170" s="125"/>
      <c r="VTO170" s="125"/>
      <c r="VTP170" s="125"/>
      <c r="VTQ170" s="125"/>
      <c r="VTR170" s="125"/>
      <c r="VTS170" s="125"/>
      <c r="VTT170" s="125"/>
      <c r="VTU170" s="125"/>
      <c r="VTV170" s="125"/>
      <c r="VTW170" s="125"/>
      <c r="VTX170" s="125"/>
      <c r="VTY170" s="125"/>
      <c r="VTZ170" s="125"/>
      <c r="VUA170" s="125"/>
      <c r="VUB170" s="125"/>
      <c r="VUC170" s="125"/>
      <c r="VUD170" s="125"/>
      <c r="VUE170" s="125"/>
      <c r="VUF170" s="125"/>
      <c r="VUG170" s="125"/>
      <c r="VUH170" s="125"/>
      <c r="VUI170" s="125"/>
      <c r="VUJ170" s="125"/>
      <c r="VUK170" s="125"/>
      <c r="VUL170" s="125"/>
      <c r="VUM170" s="125"/>
      <c r="VUN170" s="125"/>
      <c r="VUO170" s="125"/>
      <c r="VUP170" s="125"/>
      <c r="VUQ170" s="125"/>
      <c r="VUR170" s="125"/>
      <c r="VUS170" s="125"/>
      <c r="VUT170" s="125"/>
      <c r="VUU170" s="125"/>
      <c r="VUV170" s="125"/>
      <c r="VUW170" s="125"/>
      <c r="VUX170" s="125"/>
      <c r="VUY170" s="125"/>
      <c r="VUZ170" s="125"/>
      <c r="VVA170" s="125"/>
      <c r="VVB170" s="125"/>
      <c r="VVC170" s="125"/>
      <c r="VVD170" s="125"/>
      <c r="VVE170" s="125"/>
      <c r="VVF170" s="125"/>
      <c r="VVG170" s="125"/>
      <c r="VVH170" s="125"/>
      <c r="VVI170" s="125"/>
      <c r="VVJ170" s="125"/>
      <c r="VVK170" s="125"/>
      <c r="VVL170" s="125"/>
      <c r="VVM170" s="125"/>
      <c r="VVN170" s="125"/>
      <c r="VVO170" s="125"/>
      <c r="VVP170" s="125"/>
      <c r="VVQ170" s="125"/>
      <c r="VVR170" s="125"/>
      <c r="VVS170" s="125"/>
      <c r="VVT170" s="125"/>
      <c r="VVU170" s="125"/>
      <c r="VVV170" s="125"/>
      <c r="VVW170" s="125"/>
      <c r="VVX170" s="125"/>
      <c r="VVY170" s="125"/>
      <c r="VVZ170" s="125"/>
      <c r="VWA170" s="125"/>
      <c r="VWB170" s="125"/>
      <c r="VWC170" s="125"/>
      <c r="VWD170" s="125"/>
      <c r="VWE170" s="125"/>
      <c r="VWF170" s="125"/>
      <c r="VWG170" s="125"/>
      <c r="VWH170" s="125"/>
      <c r="VWI170" s="125"/>
      <c r="VWJ170" s="125"/>
      <c r="VWK170" s="125"/>
      <c r="VWL170" s="125"/>
      <c r="VWM170" s="125"/>
      <c r="VWN170" s="125"/>
      <c r="VWO170" s="125"/>
      <c r="VWP170" s="125"/>
      <c r="VWQ170" s="125"/>
      <c r="VWR170" s="125"/>
      <c r="VWS170" s="125"/>
      <c r="VWT170" s="125"/>
      <c r="VWU170" s="125"/>
      <c r="VWV170" s="125"/>
      <c r="VWW170" s="125"/>
      <c r="VWX170" s="125"/>
      <c r="VWY170" s="125"/>
      <c r="VWZ170" s="125"/>
      <c r="VXA170" s="125"/>
      <c r="VXB170" s="125"/>
      <c r="VXC170" s="125"/>
      <c r="VXD170" s="125"/>
      <c r="VXE170" s="125"/>
      <c r="VXF170" s="125"/>
      <c r="VXG170" s="125"/>
      <c r="VXH170" s="125"/>
      <c r="VXI170" s="125"/>
      <c r="VXJ170" s="125"/>
      <c r="VXK170" s="125"/>
      <c r="VXL170" s="125"/>
      <c r="VXM170" s="125"/>
      <c r="VXN170" s="125"/>
      <c r="VXO170" s="125"/>
      <c r="VXP170" s="125"/>
      <c r="VXQ170" s="125"/>
      <c r="VXR170" s="125"/>
      <c r="VXS170" s="125"/>
      <c r="VXT170" s="125"/>
      <c r="VXU170" s="125"/>
      <c r="VXV170" s="125"/>
      <c r="VXW170" s="125"/>
      <c r="VXX170" s="125"/>
      <c r="VXY170" s="125"/>
      <c r="VXZ170" s="125"/>
      <c r="VYA170" s="125"/>
      <c r="VYB170" s="125"/>
      <c r="VYC170" s="125"/>
      <c r="VYD170" s="125"/>
      <c r="VYE170" s="125"/>
      <c r="VYF170" s="125"/>
      <c r="VYG170" s="125"/>
      <c r="VYH170" s="125"/>
      <c r="VYI170" s="125"/>
      <c r="VYJ170" s="125"/>
      <c r="VYK170" s="125"/>
      <c r="VYL170" s="125"/>
      <c r="VYM170" s="125"/>
      <c r="VYN170" s="125"/>
      <c r="VYO170" s="125"/>
      <c r="VYP170" s="125"/>
      <c r="VYQ170" s="125"/>
      <c r="VYR170" s="125"/>
      <c r="VYS170" s="125"/>
      <c r="VYT170" s="125"/>
      <c r="VYU170" s="125"/>
      <c r="VYV170" s="125"/>
      <c r="VYW170" s="125"/>
      <c r="VYX170" s="125"/>
      <c r="VYY170" s="125"/>
      <c r="VYZ170" s="125"/>
      <c r="VZA170" s="125"/>
      <c r="VZB170" s="125"/>
      <c r="VZC170" s="125"/>
      <c r="VZD170" s="125"/>
      <c r="VZE170" s="125"/>
      <c r="VZF170" s="125"/>
      <c r="VZG170" s="125"/>
      <c r="VZH170" s="125"/>
      <c r="VZI170" s="125"/>
      <c r="VZJ170" s="125"/>
      <c r="VZK170" s="125"/>
      <c r="VZL170" s="125"/>
      <c r="VZM170" s="125"/>
      <c r="VZN170" s="125"/>
      <c r="VZO170" s="125"/>
      <c r="VZP170" s="125"/>
      <c r="VZQ170" s="125"/>
      <c r="VZR170" s="125"/>
      <c r="VZS170" s="125"/>
      <c r="VZT170" s="125"/>
      <c r="VZU170" s="125"/>
      <c r="VZV170" s="125"/>
      <c r="VZW170" s="125"/>
      <c r="VZX170" s="125"/>
      <c r="VZY170" s="125"/>
      <c r="VZZ170" s="125"/>
      <c r="WAA170" s="125"/>
      <c r="WAB170" s="125"/>
      <c r="WAC170" s="125"/>
      <c r="WAD170" s="125"/>
      <c r="WAE170" s="125"/>
      <c r="WAF170" s="125"/>
      <c r="WAG170" s="125"/>
      <c r="WAH170" s="125"/>
      <c r="WAI170" s="125"/>
      <c r="WAJ170" s="125"/>
      <c r="WAK170" s="125"/>
      <c r="WAL170" s="125"/>
      <c r="WAM170" s="125"/>
      <c r="WAN170" s="125"/>
      <c r="WAO170" s="125"/>
      <c r="WAP170" s="125"/>
      <c r="WAQ170" s="125"/>
      <c r="WAR170" s="125"/>
      <c r="WAS170" s="125"/>
      <c r="WAT170" s="125"/>
      <c r="WAU170" s="125"/>
      <c r="WAV170" s="125"/>
      <c r="WAW170" s="125"/>
      <c r="WAX170" s="125"/>
      <c r="WAY170" s="125"/>
      <c r="WAZ170" s="125"/>
      <c r="WBA170" s="125"/>
      <c r="WBB170" s="125"/>
      <c r="WBC170" s="125"/>
      <c r="WBD170" s="125"/>
      <c r="WBE170" s="125"/>
      <c r="WBF170" s="125"/>
      <c r="WBG170" s="125"/>
      <c r="WBH170" s="125"/>
      <c r="WBI170" s="125"/>
      <c r="WBJ170" s="125"/>
      <c r="WBK170" s="125"/>
      <c r="WBL170" s="125"/>
      <c r="WBM170" s="125"/>
      <c r="WBN170" s="125"/>
      <c r="WBO170" s="125"/>
      <c r="WBP170" s="125"/>
      <c r="WBQ170" s="125"/>
      <c r="WBR170" s="125"/>
      <c r="WBS170" s="125"/>
      <c r="WBT170" s="125"/>
      <c r="WBU170" s="125"/>
      <c r="WBV170" s="125"/>
      <c r="WBW170" s="125"/>
      <c r="WBX170" s="125"/>
      <c r="WBY170" s="125"/>
      <c r="WBZ170" s="125"/>
      <c r="WCA170" s="125"/>
      <c r="WCB170" s="125"/>
      <c r="WCC170" s="125"/>
      <c r="WCD170" s="125"/>
      <c r="WCE170" s="125"/>
      <c r="WCF170" s="125"/>
      <c r="WCG170" s="125"/>
      <c r="WCH170" s="125"/>
      <c r="WCI170" s="125"/>
      <c r="WCJ170" s="125"/>
      <c r="WCK170" s="125"/>
      <c r="WCL170" s="125"/>
      <c r="WCM170" s="125"/>
      <c r="WCN170" s="125"/>
      <c r="WCO170" s="125"/>
      <c r="WCP170" s="125"/>
      <c r="WCQ170" s="125"/>
      <c r="WCR170" s="125"/>
      <c r="WCS170" s="125"/>
      <c r="WCT170" s="125"/>
      <c r="WCU170" s="125"/>
      <c r="WCV170" s="125"/>
      <c r="WCW170" s="125"/>
      <c r="WCX170" s="125"/>
      <c r="WCY170" s="125"/>
      <c r="WCZ170" s="125"/>
      <c r="WDA170" s="125"/>
      <c r="WDB170" s="125"/>
      <c r="WDC170" s="125"/>
      <c r="WDD170" s="125"/>
      <c r="WDE170" s="125"/>
      <c r="WDF170" s="125"/>
      <c r="WDG170" s="125"/>
      <c r="WDH170" s="125"/>
      <c r="WDI170" s="125"/>
      <c r="WDJ170" s="125"/>
      <c r="WDK170" s="125"/>
      <c r="WDL170" s="125"/>
      <c r="WDM170" s="125"/>
      <c r="WDN170" s="125"/>
      <c r="WDO170" s="125"/>
      <c r="WDP170" s="125"/>
      <c r="WDQ170" s="125"/>
      <c r="WDR170" s="125"/>
      <c r="WDS170" s="125"/>
      <c r="WDT170" s="125"/>
      <c r="WDU170" s="125"/>
      <c r="WDV170" s="125"/>
      <c r="WDW170" s="125"/>
      <c r="WDX170" s="125"/>
      <c r="WDY170" s="125"/>
      <c r="WDZ170" s="125"/>
      <c r="WEA170" s="125"/>
      <c r="WEB170" s="125"/>
      <c r="WEC170" s="125"/>
      <c r="WED170" s="125"/>
      <c r="WEE170" s="125"/>
      <c r="WEF170" s="125"/>
      <c r="WEG170" s="125"/>
      <c r="WEH170" s="125"/>
      <c r="WEI170" s="125"/>
      <c r="WEJ170" s="125"/>
      <c r="WEK170" s="125"/>
      <c r="WEL170" s="125"/>
      <c r="WEM170" s="125"/>
      <c r="WEN170" s="125"/>
      <c r="WEO170" s="125"/>
      <c r="WEP170" s="125"/>
      <c r="WEQ170" s="125"/>
      <c r="WER170" s="125"/>
      <c r="WES170" s="125"/>
      <c r="WET170" s="125"/>
      <c r="WEU170" s="125"/>
      <c r="WEV170" s="125"/>
      <c r="WEW170" s="125"/>
      <c r="WEX170" s="125"/>
      <c r="WEY170" s="125"/>
      <c r="WEZ170" s="125"/>
      <c r="WFA170" s="125"/>
      <c r="WFB170" s="125"/>
      <c r="WFC170" s="125"/>
      <c r="WFD170" s="125"/>
      <c r="WFE170" s="125"/>
      <c r="WFF170" s="125"/>
      <c r="WFG170" s="125"/>
      <c r="WFH170" s="125"/>
      <c r="WFI170" s="125"/>
      <c r="WFJ170" s="125"/>
      <c r="WFK170" s="125"/>
      <c r="WFL170" s="125"/>
      <c r="WFM170" s="125"/>
      <c r="WFN170" s="125"/>
      <c r="WFO170" s="125"/>
      <c r="WFP170" s="125"/>
      <c r="WFQ170" s="125"/>
      <c r="WFR170" s="125"/>
      <c r="WFS170" s="125"/>
      <c r="WFT170" s="125"/>
      <c r="WFU170" s="125"/>
      <c r="WFV170" s="125"/>
      <c r="WFW170" s="125"/>
      <c r="WFX170" s="125"/>
      <c r="WFY170" s="125"/>
      <c r="WFZ170" s="125"/>
      <c r="WGA170" s="125"/>
      <c r="WGB170" s="125"/>
      <c r="WGC170" s="125"/>
      <c r="WGD170" s="125"/>
      <c r="WGE170" s="125"/>
      <c r="WGF170" s="125"/>
      <c r="WGG170" s="125"/>
      <c r="WGH170" s="125"/>
      <c r="WGI170" s="125"/>
      <c r="WGJ170" s="125"/>
      <c r="WGK170" s="125"/>
      <c r="WGL170" s="125"/>
      <c r="WGM170" s="125"/>
      <c r="WGN170" s="125"/>
      <c r="WGO170" s="125"/>
      <c r="WGP170" s="125"/>
      <c r="WGQ170" s="125"/>
      <c r="WGR170" s="125"/>
      <c r="WGS170" s="125"/>
      <c r="WGT170" s="125"/>
      <c r="WGU170" s="125"/>
      <c r="WGV170" s="125"/>
      <c r="WGW170" s="125"/>
      <c r="WGX170" s="125"/>
      <c r="WGY170" s="125"/>
      <c r="WGZ170" s="125"/>
      <c r="WHA170" s="125"/>
      <c r="WHB170" s="125"/>
      <c r="WHC170" s="125"/>
      <c r="WHD170" s="125"/>
      <c r="WHE170" s="125"/>
      <c r="WHF170" s="125"/>
      <c r="WHG170" s="125"/>
      <c r="WHH170" s="125"/>
      <c r="WHI170" s="125"/>
      <c r="WHJ170" s="125"/>
      <c r="WHK170" s="125"/>
      <c r="WHL170" s="125"/>
      <c r="WHM170" s="125"/>
      <c r="WHN170" s="125"/>
      <c r="WHO170" s="125"/>
      <c r="WHP170" s="125"/>
      <c r="WHQ170" s="125"/>
      <c r="WHR170" s="125"/>
      <c r="WHS170" s="125"/>
      <c r="WHT170" s="125"/>
      <c r="WHU170" s="125"/>
      <c r="WHV170" s="125"/>
      <c r="WHW170" s="125"/>
      <c r="WHX170" s="125"/>
      <c r="WHY170" s="125"/>
      <c r="WHZ170" s="125"/>
      <c r="WIA170" s="125"/>
      <c r="WIB170" s="125"/>
      <c r="WIC170" s="125"/>
      <c r="WID170" s="125"/>
      <c r="WIE170" s="125"/>
      <c r="WIF170" s="125"/>
      <c r="WIG170" s="125"/>
      <c r="WIH170" s="125"/>
      <c r="WII170" s="125"/>
      <c r="WIJ170" s="125"/>
      <c r="WIK170" s="125"/>
      <c r="WIL170" s="125"/>
      <c r="WIM170" s="125"/>
      <c r="WIN170" s="125"/>
      <c r="WIO170" s="125"/>
      <c r="WIP170" s="125"/>
      <c r="WIQ170" s="125"/>
      <c r="WIR170" s="125"/>
      <c r="WIS170" s="125"/>
      <c r="WIT170" s="125"/>
      <c r="WIU170" s="125"/>
      <c r="WIV170" s="125"/>
      <c r="WIW170" s="125"/>
      <c r="WIX170" s="125"/>
      <c r="WIY170" s="125"/>
      <c r="WIZ170" s="125"/>
      <c r="WJA170" s="125"/>
      <c r="WJB170" s="125"/>
      <c r="WJC170" s="125"/>
      <c r="WJD170" s="125"/>
      <c r="WJE170" s="125"/>
      <c r="WJF170" s="125"/>
      <c r="WJG170" s="125"/>
      <c r="WJH170" s="125"/>
      <c r="WJI170" s="125"/>
      <c r="WJJ170" s="125"/>
      <c r="WJK170" s="125"/>
      <c r="WJL170" s="125"/>
      <c r="WJM170" s="125"/>
      <c r="WJN170" s="125"/>
      <c r="WJO170" s="125"/>
      <c r="WJP170" s="125"/>
      <c r="WJQ170" s="125"/>
      <c r="WJR170" s="125"/>
      <c r="WJS170" s="125"/>
      <c r="WJT170" s="125"/>
      <c r="WJU170" s="125"/>
      <c r="WJV170" s="125"/>
      <c r="WJW170" s="125"/>
      <c r="WJX170" s="125"/>
      <c r="WJY170" s="125"/>
      <c r="WJZ170" s="125"/>
      <c r="WKA170" s="125"/>
      <c r="WKB170" s="125"/>
      <c r="WKC170" s="125"/>
      <c r="WKD170" s="125"/>
      <c r="WKE170" s="125"/>
      <c r="WKF170" s="125"/>
      <c r="WKG170" s="125"/>
      <c r="WKH170" s="125"/>
      <c r="WKI170" s="125"/>
      <c r="WKJ170" s="125"/>
      <c r="WKK170" s="125"/>
      <c r="WKL170" s="125"/>
      <c r="WKM170" s="125"/>
      <c r="WKN170" s="125"/>
      <c r="WKO170" s="125"/>
      <c r="WKP170" s="125"/>
      <c r="WKQ170" s="125"/>
      <c r="WKR170" s="125"/>
      <c r="WKS170" s="125"/>
      <c r="WKT170" s="125"/>
      <c r="WKU170" s="125"/>
      <c r="WKV170" s="125"/>
      <c r="WKW170" s="125"/>
      <c r="WKX170" s="125"/>
      <c r="WKY170" s="125"/>
      <c r="WKZ170" s="125"/>
      <c r="WLA170" s="125"/>
      <c r="WLB170" s="125"/>
      <c r="WLC170" s="125"/>
      <c r="WLD170" s="125"/>
      <c r="WLE170" s="125"/>
      <c r="WLF170" s="125"/>
      <c r="WLG170" s="125"/>
      <c r="WLH170" s="125"/>
      <c r="WLI170" s="125"/>
      <c r="WLJ170" s="125"/>
      <c r="WLK170" s="125"/>
      <c r="WLL170" s="125"/>
      <c r="WLM170" s="125"/>
      <c r="WLN170" s="125"/>
      <c r="WLO170" s="125"/>
      <c r="WLP170" s="125"/>
      <c r="WLQ170" s="125"/>
      <c r="WLR170" s="125"/>
      <c r="WLS170" s="125"/>
      <c r="WLT170" s="125"/>
      <c r="WLU170" s="125"/>
      <c r="WLV170" s="125"/>
      <c r="WLW170" s="125"/>
      <c r="WLX170" s="125"/>
      <c r="WLY170" s="125"/>
      <c r="WLZ170" s="125"/>
      <c r="WMA170" s="125"/>
      <c r="WMB170" s="125"/>
      <c r="WMC170" s="125"/>
      <c r="WMD170" s="125"/>
      <c r="WME170" s="125"/>
      <c r="WMF170" s="125"/>
      <c r="WMG170" s="125"/>
      <c r="WMH170" s="125"/>
      <c r="WMI170" s="125"/>
      <c r="WMJ170" s="125"/>
      <c r="WMK170" s="125"/>
      <c r="WML170" s="125"/>
      <c r="WMM170" s="125"/>
      <c r="WMN170" s="125"/>
      <c r="WMO170" s="125"/>
      <c r="WMP170" s="125"/>
      <c r="WMQ170" s="125"/>
      <c r="WMR170" s="125"/>
      <c r="WMS170" s="125"/>
      <c r="WMT170" s="125"/>
      <c r="WMU170" s="125"/>
      <c r="WMV170" s="125"/>
      <c r="WMW170" s="125"/>
      <c r="WMX170" s="125"/>
      <c r="WMY170" s="125"/>
      <c r="WMZ170" s="125"/>
      <c r="WNA170" s="125"/>
      <c r="WNB170" s="125"/>
      <c r="WNC170" s="125"/>
      <c r="WND170" s="125"/>
      <c r="WNE170" s="125"/>
      <c r="WNF170" s="125"/>
      <c r="WNG170" s="125"/>
      <c r="WNH170" s="125"/>
      <c r="WNI170" s="125"/>
      <c r="WNJ170" s="125"/>
      <c r="WNK170" s="125"/>
      <c r="WNL170" s="125"/>
      <c r="WNM170" s="125"/>
      <c r="WNN170" s="125"/>
      <c r="WNO170" s="125"/>
      <c r="WNP170" s="125"/>
      <c r="WNQ170" s="125"/>
      <c r="WNR170" s="125"/>
      <c r="WNS170" s="125"/>
      <c r="WNT170" s="125"/>
      <c r="WNU170" s="125"/>
      <c r="WNV170" s="125"/>
      <c r="WNW170" s="125"/>
      <c r="WNX170" s="125"/>
      <c r="WNY170" s="125"/>
      <c r="WNZ170" s="125"/>
      <c r="WOA170" s="125"/>
      <c r="WOB170" s="125"/>
      <c r="WOC170" s="125"/>
      <c r="WOD170" s="125"/>
      <c r="WOE170" s="125"/>
      <c r="WOF170" s="125"/>
      <c r="WOG170" s="125"/>
      <c r="WOH170" s="125"/>
      <c r="WOI170" s="125"/>
      <c r="WOJ170" s="125"/>
      <c r="WOK170" s="125"/>
      <c r="WOL170" s="125"/>
      <c r="WOM170" s="125"/>
      <c r="WON170" s="125"/>
      <c r="WOO170" s="125"/>
      <c r="WOP170" s="125"/>
      <c r="WOQ170" s="125"/>
      <c r="WOR170" s="125"/>
      <c r="WOS170" s="125"/>
      <c r="WOT170" s="125"/>
      <c r="WOU170" s="125"/>
      <c r="WOV170" s="125"/>
      <c r="WOW170" s="125"/>
      <c r="WOX170" s="125"/>
      <c r="WOY170" s="125"/>
      <c r="WOZ170" s="125"/>
      <c r="WPA170" s="125"/>
      <c r="WPB170" s="125"/>
      <c r="WPC170" s="125"/>
      <c r="WPD170" s="125"/>
      <c r="WPE170" s="125"/>
      <c r="WPF170" s="125"/>
      <c r="WPG170" s="125"/>
      <c r="WPH170" s="125"/>
      <c r="WPI170" s="125"/>
      <c r="WPJ170" s="125"/>
      <c r="WPK170" s="125"/>
      <c r="WPL170" s="125"/>
      <c r="WPM170" s="125"/>
      <c r="WPN170" s="125"/>
      <c r="WPO170" s="125"/>
      <c r="WPP170" s="125"/>
      <c r="WPQ170" s="125"/>
      <c r="WPR170" s="125"/>
      <c r="WPS170" s="125"/>
      <c r="WPT170" s="125"/>
      <c r="WPU170" s="125"/>
      <c r="WPV170" s="125"/>
      <c r="WPW170" s="125"/>
      <c r="WPX170" s="125"/>
      <c r="WPY170" s="125"/>
      <c r="WPZ170" s="125"/>
      <c r="WQA170" s="125"/>
      <c r="WQB170" s="125"/>
      <c r="WQC170" s="125"/>
      <c r="WQD170" s="125"/>
      <c r="WQE170" s="125"/>
      <c r="WQF170" s="125"/>
      <c r="WQG170" s="125"/>
      <c r="WQH170" s="125"/>
      <c r="WQI170" s="125"/>
      <c r="WQJ170" s="125"/>
      <c r="WQK170" s="125"/>
      <c r="WQL170" s="125"/>
      <c r="WQM170" s="125"/>
      <c r="WQN170" s="125"/>
      <c r="WQO170" s="125"/>
      <c r="WQP170" s="125"/>
      <c r="WQQ170" s="125"/>
      <c r="WQR170" s="125"/>
      <c r="WQS170" s="125"/>
      <c r="WQT170" s="125"/>
      <c r="WQU170" s="125"/>
      <c r="WQV170" s="125"/>
      <c r="WQW170" s="125"/>
      <c r="WQX170" s="125"/>
      <c r="WQY170" s="125"/>
      <c r="WQZ170" s="125"/>
      <c r="WRA170" s="125"/>
      <c r="WRB170" s="125"/>
      <c r="WRC170" s="125"/>
      <c r="WRD170" s="125"/>
      <c r="WRE170" s="125"/>
      <c r="WRF170" s="125"/>
      <c r="WRG170" s="125"/>
      <c r="WRH170" s="125"/>
      <c r="WRI170" s="125"/>
      <c r="WRJ170" s="125"/>
      <c r="WRK170" s="125"/>
      <c r="WRL170" s="125"/>
      <c r="WRM170" s="125"/>
      <c r="WRN170" s="125"/>
      <c r="WRO170" s="125"/>
      <c r="WRP170" s="125"/>
      <c r="WRQ170" s="125"/>
      <c r="WRR170" s="125"/>
      <c r="WRS170" s="125"/>
      <c r="WRT170" s="125"/>
      <c r="WRU170" s="125"/>
      <c r="WRV170" s="125"/>
      <c r="WRW170" s="125"/>
      <c r="WRX170" s="125"/>
      <c r="WRY170" s="125"/>
      <c r="WRZ170" s="125"/>
      <c r="WSA170" s="125"/>
      <c r="WSB170" s="125"/>
      <c r="WSC170" s="125"/>
      <c r="WSD170" s="125"/>
      <c r="WSE170" s="125"/>
      <c r="WSF170" s="125"/>
      <c r="WSG170" s="125"/>
      <c r="WSH170" s="125"/>
      <c r="WSI170" s="125"/>
      <c r="WSJ170" s="125"/>
      <c r="WSK170" s="125"/>
      <c r="WSL170" s="125"/>
      <c r="WSM170" s="125"/>
      <c r="WSN170" s="125"/>
      <c r="WSO170" s="125"/>
      <c r="WSP170" s="125"/>
      <c r="WSQ170" s="125"/>
      <c r="WSR170" s="125"/>
      <c r="WSS170" s="125"/>
      <c r="WST170" s="125"/>
      <c r="WSU170" s="125"/>
      <c r="WSV170" s="125"/>
      <c r="WSW170" s="125"/>
      <c r="WSX170" s="125"/>
      <c r="WSY170" s="125"/>
      <c r="WSZ170" s="125"/>
      <c r="WTA170" s="125"/>
      <c r="WTB170" s="125"/>
      <c r="WTC170" s="125"/>
      <c r="WTD170" s="125"/>
      <c r="WTE170" s="125"/>
      <c r="WTF170" s="125"/>
      <c r="WTG170" s="125"/>
      <c r="WTH170" s="125"/>
      <c r="WTI170" s="125"/>
      <c r="WTJ170" s="125"/>
      <c r="WTK170" s="125"/>
      <c r="WTL170" s="125"/>
      <c r="WTM170" s="125"/>
      <c r="WTN170" s="125"/>
      <c r="WTO170" s="125"/>
      <c r="WTP170" s="125"/>
      <c r="WTQ170" s="125"/>
      <c r="WTR170" s="125"/>
      <c r="WTS170" s="125"/>
      <c r="WTT170" s="125"/>
      <c r="WTU170" s="125"/>
      <c r="WTV170" s="125"/>
      <c r="WTW170" s="125"/>
      <c r="WTX170" s="125"/>
      <c r="WTY170" s="125"/>
      <c r="WTZ170" s="125"/>
      <c r="WUA170" s="125"/>
      <c r="WUB170" s="125"/>
      <c r="WUC170" s="125"/>
      <c r="WUD170" s="125"/>
      <c r="WUE170" s="125"/>
      <c r="WUF170" s="125"/>
      <c r="WUG170" s="125"/>
      <c r="WUH170" s="125"/>
      <c r="WUI170" s="125"/>
      <c r="WUJ170" s="125"/>
      <c r="WUK170" s="125"/>
      <c r="WUL170" s="125"/>
      <c r="WUM170" s="125"/>
      <c r="WUN170" s="125"/>
      <c r="WUO170" s="125"/>
      <c r="WUP170" s="125"/>
      <c r="WUQ170" s="125"/>
      <c r="WUR170" s="125"/>
      <c r="WUS170" s="125"/>
      <c r="WUT170" s="125"/>
      <c r="WUU170" s="125"/>
      <c r="WUV170" s="125"/>
      <c r="WUW170" s="125"/>
      <c r="WUX170" s="125"/>
      <c r="WUY170" s="125"/>
      <c r="WUZ170" s="125"/>
      <c r="WVA170" s="125"/>
      <c r="WVB170" s="125"/>
      <c r="WVC170" s="125"/>
      <c r="WVD170" s="125"/>
      <c r="WVE170" s="125"/>
      <c r="WVF170" s="125"/>
      <c r="WVG170" s="125"/>
      <c r="WVH170" s="125"/>
      <c r="WVI170" s="125"/>
      <c r="WVJ170" s="125"/>
      <c r="WVK170" s="125"/>
      <c r="WVL170" s="125"/>
      <c r="WVM170" s="125"/>
      <c r="WVN170" s="125"/>
      <c r="WVO170" s="125"/>
      <c r="WVP170" s="125"/>
      <c r="WVQ170" s="125"/>
      <c r="WVR170" s="125"/>
      <c r="WVS170" s="125"/>
      <c r="WVT170" s="125"/>
      <c r="WVU170" s="125"/>
      <c r="WVV170" s="125"/>
      <c r="WVW170" s="125"/>
      <c r="WVX170" s="125"/>
      <c r="WVY170" s="125"/>
      <c r="WVZ170" s="125"/>
      <c r="WWA170" s="125"/>
      <c r="WWB170" s="125"/>
      <c r="WWC170" s="125"/>
      <c r="WWD170" s="125"/>
      <c r="WWE170" s="125"/>
      <c r="WWF170" s="125"/>
      <c r="WWG170" s="125"/>
      <c r="WWH170" s="125"/>
      <c r="WWI170" s="125"/>
      <c r="WWJ170" s="125"/>
      <c r="WWK170" s="125"/>
      <c r="WWL170" s="125"/>
      <c r="WWM170" s="125"/>
      <c r="WWN170" s="125"/>
      <c r="WWO170" s="125"/>
      <c r="WWP170" s="125"/>
      <c r="WWQ170" s="125"/>
      <c r="WWR170" s="125"/>
      <c r="WWS170" s="125"/>
      <c r="WWT170" s="125"/>
      <c r="WWU170" s="125"/>
      <c r="WWV170" s="125"/>
      <c r="WWW170" s="125"/>
      <c r="WWX170" s="125"/>
      <c r="WWY170" s="125"/>
      <c r="WWZ170" s="125"/>
      <c r="WXA170" s="125"/>
      <c r="WXB170" s="125"/>
      <c r="WXC170" s="125"/>
      <c r="WXD170" s="125"/>
      <c r="WXE170" s="125"/>
      <c r="WXF170" s="125"/>
      <c r="WXG170" s="125"/>
      <c r="WXH170" s="125"/>
      <c r="WXI170" s="125"/>
      <c r="WXJ170" s="125"/>
      <c r="WXK170" s="125"/>
      <c r="WXL170" s="125"/>
      <c r="WXM170" s="125"/>
      <c r="WXN170" s="125"/>
      <c r="WXO170" s="125"/>
      <c r="WXP170" s="125"/>
      <c r="WXQ170" s="125"/>
      <c r="WXR170" s="125"/>
      <c r="WXS170" s="125"/>
      <c r="WXT170" s="125"/>
      <c r="WXU170" s="125"/>
      <c r="WXV170" s="125"/>
      <c r="WXW170" s="125"/>
      <c r="WXX170" s="125"/>
      <c r="WXY170" s="125"/>
      <c r="WXZ170" s="125"/>
      <c r="WYA170" s="125"/>
      <c r="WYB170" s="125"/>
      <c r="WYC170" s="125"/>
      <c r="WYD170" s="125"/>
      <c r="WYE170" s="125"/>
      <c r="WYF170" s="125"/>
      <c r="WYG170" s="125"/>
      <c r="WYH170" s="125"/>
      <c r="WYI170" s="125"/>
      <c r="WYJ170" s="125"/>
      <c r="WYK170" s="125"/>
      <c r="WYL170" s="125"/>
      <c r="WYM170" s="125"/>
      <c r="WYN170" s="125"/>
      <c r="WYO170" s="125"/>
      <c r="WYP170" s="125"/>
      <c r="WYQ170" s="125"/>
      <c r="WYR170" s="125"/>
      <c r="WYS170" s="125"/>
      <c r="WYT170" s="125"/>
      <c r="WYU170" s="125"/>
      <c r="WYV170" s="125"/>
      <c r="WYW170" s="125"/>
      <c r="WYX170" s="125"/>
      <c r="WYY170" s="125"/>
      <c r="WYZ170" s="125"/>
      <c r="WZA170" s="125"/>
      <c r="WZB170" s="125"/>
      <c r="WZC170" s="125"/>
      <c r="WZD170" s="125"/>
      <c r="WZE170" s="125"/>
      <c r="WZF170" s="125"/>
      <c r="WZG170" s="125"/>
      <c r="WZH170" s="125"/>
      <c r="WZI170" s="125"/>
      <c r="WZJ170" s="125"/>
      <c r="WZK170" s="125"/>
      <c r="WZL170" s="125"/>
      <c r="WZM170" s="125"/>
      <c r="WZN170" s="125"/>
      <c r="WZO170" s="125"/>
      <c r="WZP170" s="125"/>
      <c r="WZQ170" s="125"/>
      <c r="WZR170" s="125"/>
      <c r="WZS170" s="125"/>
      <c r="WZT170" s="125"/>
      <c r="WZU170" s="125"/>
      <c r="WZV170" s="125"/>
      <c r="WZW170" s="125"/>
      <c r="WZX170" s="125"/>
      <c r="WZY170" s="125"/>
      <c r="WZZ170" s="125"/>
      <c r="XAA170" s="125"/>
      <c r="XAB170" s="125"/>
      <c r="XAC170" s="125"/>
      <c r="XAD170" s="125"/>
      <c r="XAE170" s="125"/>
      <c r="XAF170" s="125"/>
      <c r="XAG170" s="125"/>
      <c r="XAH170" s="125"/>
      <c r="XAI170" s="125"/>
      <c r="XAJ170" s="125"/>
      <c r="XAK170" s="125"/>
      <c r="XAL170" s="125"/>
      <c r="XAM170" s="125"/>
      <c r="XAN170" s="125"/>
      <c r="XAO170" s="125"/>
      <c r="XAP170" s="125"/>
      <c r="XAQ170" s="125"/>
      <c r="XAR170" s="125"/>
      <c r="XAS170" s="125"/>
      <c r="XAT170" s="125"/>
      <c r="XAU170" s="125"/>
      <c r="XAV170" s="125"/>
      <c r="XAW170" s="125"/>
      <c r="XAX170" s="125"/>
      <c r="XAY170" s="125"/>
      <c r="XAZ170" s="125"/>
      <c r="XBA170" s="125"/>
      <c r="XBB170" s="125"/>
      <c r="XBC170" s="125"/>
      <c r="XBD170" s="125"/>
      <c r="XBE170" s="125"/>
      <c r="XBF170" s="125"/>
      <c r="XBG170" s="125"/>
      <c r="XBH170" s="125"/>
      <c r="XBI170" s="125"/>
      <c r="XBJ170" s="125"/>
      <c r="XBK170" s="125"/>
      <c r="XBL170" s="125"/>
      <c r="XBM170" s="125"/>
      <c r="XBN170" s="125"/>
      <c r="XBO170" s="125"/>
      <c r="XBP170" s="125"/>
      <c r="XBQ170" s="125"/>
      <c r="XBR170" s="125"/>
      <c r="XBS170" s="125"/>
      <c r="XBT170" s="125"/>
      <c r="XBU170" s="125"/>
      <c r="XBV170" s="125"/>
      <c r="XBW170" s="125"/>
      <c r="XBX170" s="125"/>
      <c r="XBY170" s="125"/>
      <c r="XBZ170" s="125"/>
      <c r="XCA170" s="125"/>
      <c r="XCB170" s="125"/>
      <c r="XCC170" s="125"/>
      <c r="XCD170" s="125"/>
      <c r="XCE170" s="125"/>
      <c r="XCF170" s="125"/>
      <c r="XCG170" s="125"/>
      <c r="XCH170" s="125"/>
      <c r="XCI170" s="125"/>
      <c r="XCJ170" s="125"/>
      <c r="XCK170" s="125"/>
      <c r="XCL170" s="125"/>
      <c r="XCM170" s="125"/>
      <c r="XCN170" s="125"/>
      <c r="XCO170" s="125"/>
      <c r="XCP170" s="125"/>
      <c r="XCQ170" s="125"/>
      <c r="XCR170" s="125"/>
      <c r="XCS170" s="125"/>
      <c r="XCT170" s="125"/>
      <c r="XCU170" s="125"/>
      <c r="XCV170" s="125"/>
      <c r="XCW170" s="125"/>
      <c r="XCX170" s="125"/>
      <c r="XCY170" s="125"/>
      <c r="XCZ170" s="125"/>
      <c r="XDA170" s="125"/>
      <c r="XDB170" s="125"/>
      <c r="XDC170" s="125"/>
      <c r="XDD170" s="125"/>
      <c r="XDE170" s="125"/>
      <c r="XDF170" s="125"/>
      <c r="XDG170" s="125"/>
      <c r="XDH170" s="125"/>
      <c r="XDI170" s="125"/>
      <c r="XDJ170" s="125"/>
      <c r="XDK170" s="125"/>
      <c r="XDL170" s="125"/>
      <c r="XDM170" s="125"/>
      <c r="XDN170" s="125"/>
      <c r="XDO170" s="125"/>
      <c r="XDP170" s="125"/>
      <c r="XDQ170" s="125"/>
      <c r="XDR170" s="125"/>
      <c r="XDS170" s="125"/>
      <c r="XDT170" s="125"/>
      <c r="XDU170" s="125"/>
      <c r="XDV170" s="125"/>
      <c r="XDW170" s="125"/>
      <c r="XDX170" s="125"/>
      <c r="XDY170" s="125"/>
      <c r="XDZ170" s="125"/>
      <c r="XEA170" s="125"/>
      <c r="XEB170" s="125"/>
      <c r="XEC170" s="125"/>
      <c r="XED170" s="125"/>
      <c r="XEE170" s="125"/>
      <c r="XEF170" s="125"/>
      <c r="XEG170" s="125"/>
      <c r="XEH170" s="125"/>
      <c r="XEI170" s="125"/>
      <c r="XEJ170" s="125"/>
      <c r="XEK170" s="125"/>
      <c r="XEL170" s="125"/>
      <c r="XEM170" s="125"/>
      <c r="XEN170" s="125"/>
      <c r="XEO170" s="125"/>
      <c r="XEP170" s="125"/>
      <c r="XEQ170" s="125"/>
      <c r="XER170" s="125"/>
      <c r="XES170" s="125"/>
      <c r="XET170" s="125"/>
      <c r="XEU170" s="125"/>
      <c r="XEV170" s="125"/>
      <c r="XEW170" s="125"/>
      <c r="XEX170" s="125"/>
      <c r="XEY170" s="125"/>
      <c r="XEZ170" s="125"/>
      <c r="XFA170" s="125"/>
      <c r="XFB170" s="125"/>
      <c r="XFC170" s="125"/>
    </row>
    <row r="171" spans="1:16383" x14ac:dyDescent="0.2">
      <c r="A171" s="73">
        <v>169</v>
      </c>
      <c r="B171" s="57" t="s">
        <v>1165</v>
      </c>
      <c r="C171" s="9" t="s">
        <v>188</v>
      </c>
      <c r="D171" s="16" t="s">
        <v>78</v>
      </c>
      <c r="E171" s="9" t="s">
        <v>44</v>
      </c>
      <c r="F171" s="155">
        <v>542236</v>
      </c>
      <c r="G171" s="74" t="s">
        <v>817</v>
      </c>
      <c r="H171" s="111">
        <v>2</v>
      </c>
      <c r="I171" s="111">
        <v>20</v>
      </c>
      <c r="J171" s="111">
        <v>60</v>
      </c>
      <c r="K171" s="111">
        <v>48</v>
      </c>
      <c r="L171" s="111">
        <v>612</v>
      </c>
      <c r="M171" s="111"/>
      <c r="N171" s="111"/>
      <c r="O171" s="111"/>
      <c r="P171" s="111"/>
      <c r="Q171" s="111"/>
      <c r="R171" s="74" t="s">
        <v>1497</v>
      </c>
      <c r="S171" s="74" t="s">
        <v>1509</v>
      </c>
      <c r="T171" s="81"/>
      <c r="U171" s="132" t="s">
        <v>1696</v>
      </c>
      <c r="V171" s="129"/>
      <c r="W171" s="125"/>
      <c r="X171" s="125"/>
      <c r="Y171" s="125"/>
      <c r="Z171" s="125"/>
      <c r="AA171" s="125"/>
      <c r="AB171" s="125"/>
      <c r="AC171" s="125"/>
      <c r="AD171" s="125"/>
      <c r="AE171" s="125"/>
      <c r="AF171" s="125"/>
      <c r="AG171" s="125"/>
      <c r="AH171" s="125"/>
      <c r="AI171" s="125"/>
      <c r="AJ171" s="125"/>
      <c r="AK171" s="125"/>
      <c r="AL171" s="125"/>
      <c r="AM171" s="125"/>
      <c r="AN171" s="125"/>
      <c r="AO171" s="125"/>
      <c r="AP171" s="125"/>
      <c r="AQ171" s="125"/>
      <c r="AR171" s="125"/>
      <c r="AS171" s="125"/>
      <c r="AT171" s="125"/>
      <c r="AU171" s="125"/>
      <c r="AV171" s="125"/>
      <c r="AW171" s="125"/>
      <c r="AX171" s="125"/>
      <c r="AY171" s="125"/>
      <c r="AZ171" s="125"/>
      <c r="BA171" s="125"/>
      <c r="BB171" s="125"/>
      <c r="BC171" s="125"/>
      <c r="BD171" s="125"/>
      <c r="BE171" s="125"/>
      <c r="BF171" s="125"/>
      <c r="BG171" s="125"/>
      <c r="BH171" s="125"/>
      <c r="BI171" s="125"/>
      <c r="BJ171" s="125"/>
      <c r="BK171" s="125"/>
      <c r="BL171" s="125"/>
      <c r="BM171" s="125"/>
      <c r="BN171" s="125"/>
      <c r="BO171" s="125"/>
      <c r="BP171" s="125"/>
      <c r="BQ171" s="125"/>
      <c r="BR171" s="125"/>
      <c r="BS171" s="125"/>
      <c r="BT171" s="125"/>
      <c r="BU171" s="125"/>
      <c r="BV171" s="125"/>
      <c r="BW171" s="125"/>
      <c r="BX171" s="125"/>
      <c r="BY171" s="125"/>
      <c r="BZ171" s="125"/>
      <c r="CA171" s="125"/>
      <c r="CB171" s="125"/>
      <c r="CC171" s="125"/>
      <c r="CD171" s="125"/>
      <c r="CE171" s="125"/>
      <c r="CF171" s="125"/>
      <c r="CG171" s="125"/>
      <c r="CH171" s="125"/>
      <c r="CI171" s="125"/>
      <c r="CJ171" s="125"/>
      <c r="CK171" s="125"/>
      <c r="CL171" s="125"/>
      <c r="CM171" s="125"/>
      <c r="CN171" s="125"/>
      <c r="CO171" s="125"/>
      <c r="CP171" s="125"/>
      <c r="CQ171" s="125"/>
      <c r="CR171" s="125"/>
      <c r="CS171" s="125"/>
      <c r="CT171" s="125"/>
      <c r="CU171" s="125"/>
      <c r="CV171" s="125"/>
      <c r="CW171" s="125"/>
      <c r="CX171" s="125"/>
      <c r="CY171" s="125"/>
      <c r="CZ171" s="125"/>
      <c r="DA171" s="125"/>
      <c r="DB171" s="125"/>
      <c r="DC171" s="125"/>
      <c r="DD171" s="125"/>
      <c r="DE171" s="125"/>
      <c r="DF171" s="125"/>
      <c r="DG171" s="125"/>
      <c r="DH171" s="125"/>
      <c r="DI171" s="125"/>
      <c r="DJ171" s="125"/>
      <c r="DK171" s="125"/>
      <c r="DL171" s="125"/>
      <c r="DM171" s="125"/>
      <c r="DN171" s="125"/>
      <c r="DO171" s="125"/>
      <c r="DP171" s="125"/>
      <c r="DQ171" s="125"/>
      <c r="DR171" s="125"/>
      <c r="DS171" s="125"/>
      <c r="DT171" s="125"/>
      <c r="DU171" s="125"/>
      <c r="DV171" s="125"/>
      <c r="DW171" s="125"/>
      <c r="DX171" s="125"/>
      <c r="DY171" s="125"/>
      <c r="DZ171" s="125"/>
      <c r="EA171" s="125"/>
      <c r="EB171" s="125"/>
      <c r="EC171" s="125"/>
      <c r="ED171" s="125"/>
      <c r="EE171" s="125"/>
      <c r="EF171" s="125"/>
      <c r="EG171" s="125"/>
      <c r="EH171" s="125"/>
      <c r="EI171" s="125"/>
      <c r="EJ171" s="125"/>
      <c r="EK171" s="125"/>
      <c r="EL171" s="125"/>
      <c r="EM171" s="125"/>
      <c r="EN171" s="125"/>
      <c r="EO171" s="125"/>
      <c r="EP171" s="125"/>
      <c r="EQ171" s="125"/>
      <c r="ER171" s="125"/>
      <c r="ES171" s="125"/>
      <c r="ET171" s="125"/>
      <c r="EU171" s="125"/>
      <c r="EV171" s="125"/>
      <c r="EW171" s="125"/>
      <c r="EX171" s="125"/>
      <c r="EY171" s="125"/>
      <c r="EZ171" s="125"/>
      <c r="FA171" s="125"/>
      <c r="FB171" s="125"/>
      <c r="FC171" s="125"/>
      <c r="FD171" s="125"/>
      <c r="FE171" s="125"/>
      <c r="FF171" s="125"/>
      <c r="FG171" s="125"/>
      <c r="FH171" s="125"/>
      <c r="FI171" s="125"/>
      <c r="FJ171" s="125"/>
      <c r="FK171" s="125"/>
      <c r="FL171" s="125"/>
      <c r="FM171" s="125"/>
      <c r="FN171" s="125"/>
      <c r="FO171" s="125"/>
      <c r="FP171" s="125"/>
      <c r="FQ171" s="125"/>
      <c r="FR171" s="125"/>
      <c r="FS171" s="125"/>
      <c r="FT171" s="125"/>
      <c r="FU171" s="125"/>
      <c r="FV171" s="125"/>
      <c r="FW171" s="125"/>
      <c r="FX171" s="125"/>
      <c r="FY171" s="125"/>
      <c r="FZ171" s="125"/>
      <c r="GA171" s="125"/>
      <c r="GB171" s="125"/>
      <c r="GC171" s="125"/>
      <c r="GD171" s="125"/>
      <c r="GE171" s="125"/>
      <c r="GF171" s="125"/>
      <c r="GG171" s="125"/>
      <c r="GH171" s="125"/>
      <c r="GI171" s="125"/>
      <c r="GJ171" s="125"/>
      <c r="GK171" s="125"/>
      <c r="GL171" s="125"/>
      <c r="GM171" s="125"/>
      <c r="GN171" s="125"/>
      <c r="GO171" s="125"/>
      <c r="GP171" s="125"/>
      <c r="GQ171" s="125"/>
      <c r="GR171" s="125"/>
      <c r="GS171" s="125"/>
      <c r="GT171" s="125"/>
      <c r="GU171" s="125"/>
      <c r="GV171" s="125"/>
      <c r="GW171" s="125"/>
      <c r="GX171" s="125"/>
      <c r="GY171" s="125"/>
      <c r="GZ171" s="125"/>
      <c r="HA171" s="125"/>
      <c r="HB171" s="125"/>
      <c r="HC171" s="125"/>
      <c r="HD171" s="125"/>
      <c r="HE171" s="125"/>
      <c r="HF171" s="125"/>
      <c r="HG171" s="125"/>
      <c r="HH171" s="125"/>
      <c r="HI171" s="125"/>
      <c r="HJ171" s="125"/>
      <c r="HK171" s="125"/>
      <c r="HL171" s="125"/>
      <c r="HM171" s="125"/>
      <c r="HN171" s="125"/>
      <c r="HO171" s="125"/>
      <c r="HP171" s="125"/>
      <c r="HQ171" s="125"/>
      <c r="HR171" s="125"/>
      <c r="HS171" s="125"/>
      <c r="HT171" s="125"/>
      <c r="HU171" s="125"/>
      <c r="HV171" s="125"/>
      <c r="HW171" s="125"/>
      <c r="HX171" s="125"/>
      <c r="HY171" s="125"/>
      <c r="HZ171" s="125"/>
      <c r="IA171" s="125"/>
      <c r="IB171" s="125"/>
      <c r="IC171" s="125"/>
      <c r="ID171" s="125"/>
      <c r="IE171" s="125"/>
      <c r="IF171" s="125"/>
      <c r="IG171" s="125"/>
      <c r="IH171" s="125"/>
      <c r="II171" s="125"/>
      <c r="IJ171" s="125"/>
      <c r="IK171" s="125"/>
      <c r="IL171" s="125"/>
      <c r="IM171" s="125"/>
      <c r="IN171" s="125"/>
      <c r="IO171" s="125"/>
      <c r="IP171" s="125"/>
      <c r="IQ171" s="125"/>
      <c r="IR171" s="125"/>
      <c r="IS171" s="125"/>
      <c r="IT171" s="125"/>
      <c r="IU171" s="125"/>
      <c r="IV171" s="125"/>
      <c r="IW171" s="125"/>
      <c r="IX171" s="125"/>
      <c r="IY171" s="125"/>
      <c r="IZ171" s="125"/>
      <c r="JA171" s="125"/>
      <c r="JB171" s="125"/>
      <c r="JC171" s="125"/>
      <c r="JD171" s="125"/>
      <c r="JE171" s="125"/>
      <c r="JF171" s="125"/>
      <c r="JG171" s="125"/>
      <c r="JH171" s="125"/>
      <c r="JI171" s="125"/>
      <c r="JJ171" s="125"/>
      <c r="JK171" s="125"/>
      <c r="JL171" s="125"/>
      <c r="JM171" s="125"/>
      <c r="JN171" s="125"/>
      <c r="JO171" s="125"/>
      <c r="JP171" s="125"/>
      <c r="JQ171" s="125"/>
      <c r="JR171" s="125"/>
      <c r="JS171" s="125"/>
      <c r="JT171" s="125"/>
      <c r="JU171" s="125"/>
      <c r="JV171" s="125"/>
      <c r="JW171" s="125"/>
      <c r="JX171" s="125"/>
      <c r="JY171" s="125"/>
      <c r="JZ171" s="125"/>
      <c r="KA171" s="125"/>
      <c r="KB171" s="125"/>
      <c r="KC171" s="125"/>
      <c r="KD171" s="125"/>
      <c r="KE171" s="125"/>
      <c r="KF171" s="125"/>
      <c r="KG171" s="125"/>
      <c r="KH171" s="125"/>
      <c r="KI171" s="125"/>
      <c r="KJ171" s="125"/>
      <c r="KK171" s="125"/>
      <c r="KL171" s="125"/>
      <c r="KM171" s="125"/>
      <c r="KN171" s="125"/>
      <c r="KO171" s="125"/>
      <c r="KP171" s="125"/>
      <c r="KQ171" s="125"/>
      <c r="KR171" s="125"/>
      <c r="KS171" s="125"/>
      <c r="KT171" s="125"/>
      <c r="KU171" s="125"/>
      <c r="KV171" s="125"/>
      <c r="KW171" s="125"/>
      <c r="KX171" s="125"/>
      <c r="KY171" s="125"/>
      <c r="KZ171" s="125"/>
      <c r="LA171" s="125"/>
      <c r="LB171" s="125"/>
      <c r="LC171" s="125"/>
      <c r="LD171" s="125"/>
      <c r="LE171" s="125"/>
      <c r="LF171" s="125"/>
      <c r="LG171" s="125"/>
      <c r="LH171" s="125"/>
      <c r="LI171" s="125"/>
      <c r="LJ171" s="125"/>
      <c r="LK171" s="125"/>
      <c r="LL171" s="125"/>
      <c r="LM171" s="125"/>
      <c r="LN171" s="125"/>
      <c r="LO171" s="125"/>
      <c r="LP171" s="125"/>
      <c r="LQ171" s="125"/>
      <c r="LR171" s="125"/>
      <c r="LS171" s="125"/>
      <c r="LT171" s="125"/>
      <c r="LU171" s="125"/>
      <c r="LV171" s="125"/>
      <c r="LW171" s="125"/>
      <c r="LX171" s="125"/>
      <c r="LY171" s="125"/>
      <c r="LZ171" s="125"/>
      <c r="MA171" s="125"/>
      <c r="MB171" s="125"/>
      <c r="MC171" s="125"/>
      <c r="MD171" s="125"/>
      <c r="ME171" s="125"/>
      <c r="MF171" s="125"/>
      <c r="MG171" s="125"/>
      <c r="MH171" s="125"/>
      <c r="MI171" s="125"/>
      <c r="MJ171" s="125"/>
      <c r="MK171" s="125"/>
      <c r="ML171" s="125"/>
      <c r="MM171" s="125"/>
      <c r="MN171" s="125"/>
      <c r="MO171" s="125"/>
      <c r="MP171" s="125"/>
      <c r="MQ171" s="125"/>
      <c r="MR171" s="125"/>
      <c r="MS171" s="125"/>
      <c r="MT171" s="125"/>
      <c r="MU171" s="125"/>
      <c r="MV171" s="125"/>
      <c r="MW171" s="125"/>
      <c r="MX171" s="125"/>
      <c r="MY171" s="125"/>
      <c r="MZ171" s="125"/>
      <c r="NA171" s="125"/>
      <c r="NB171" s="125"/>
      <c r="NC171" s="125"/>
      <c r="ND171" s="125"/>
      <c r="NE171" s="125"/>
      <c r="NF171" s="125"/>
      <c r="NG171" s="125"/>
      <c r="NH171" s="125"/>
      <c r="NI171" s="125"/>
      <c r="NJ171" s="125"/>
      <c r="NK171" s="125"/>
      <c r="NL171" s="125"/>
      <c r="NM171" s="125"/>
      <c r="NN171" s="125"/>
      <c r="NO171" s="125"/>
      <c r="NP171" s="125"/>
      <c r="NQ171" s="125"/>
      <c r="NR171" s="125"/>
      <c r="NS171" s="125"/>
      <c r="NT171" s="125"/>
      <c r="NU171" s="125"/>
      <c r="NV171" s="125"/>
      <c r="NW171" s="125"/>
      <c r="NX171" s="125"/>
      <c r="NY171" s="125"/>
      <c r="NZ171" s="125"/>
      <c r="OA171" s="125"/>
      <c r="OB171" s="125"/>
      <c r="OC171" s="125"/>
      <c r="OD171" s="125"/>
      <c r="OE171" s="125"/>
      <c r="OF171" s="125"/>
      <c r="OG171" s="125"/>
      <c r="OH171" s="125"/>
      <c r="OI171" s="125"/>
      <c r="OJ171" s="125"/>
      <c r="OK171" s="125"/>
      <c r="OL171" s="125"/>
      <c r="OM171" s="125"/>
      <c r="ON171" s="125"/>
      <c r="OO171" s="125"/>
      <c r="OP171" s="125"/>
      <c r="OQ171" s="125"/>
      <c r="OR171" s="125"/>
      <c r="OS171" s="125"/>
      <c r="OT171" s="125"/>
      <c r="OU171" s="125"/>
      <c r="OV171" s="125"/>
      <c r="OW171" s="125"/>
      <c r="OX171" s="125"/>
      <c r="OY171" s="125"/>
      <c r="OZ171" s="125"/>
      <c r="PA171" s="125"/>
      <c r="PB171" s="125"/>
      <c r="PC171" s="125"/>
      <c r="PD171" s="125"/>
      <c r="PE171" s="125"/>
      <c r="PF171" s="125"/>
      <c r="PG171" s="125"/>
      <c r="PH171" s="125"/>
      <c r="PI171" s="125"/>
      <c r="PJ171" s="125"/>
      <c r="PK171" s="125"/>
      <c r="PL171" s="125"/>
      <c r="PM171" s="125"/>
      <c r="PN171" s="125"/>
      <c r="PO171" s="125"/>
      <c r="PP171" s="125"/>
      <c r="PQ171" s="125"/>
      <c r="PR171" s="125"/>
      <c r="PS171" s="125"/>
      <c r="PT171" s="125"/>
      <c r="PU171" s="125"/>
      <c r="PV171" s="125"/>
      <c r="PW171" s="125"/>
      <c r="PX171" s="125"/>
      <c r="PY171" s="125"/>
      <c r="PZ171" s="125"/>
      <c r="QA171" s="125"/>
      <c r="QB171" s="125"/>
      <c r="QC171" s="125"/>
      <c r="QD171" s="125"/>
      <c r="QE171" s="125"/>
      <c r="QF171" s="125"/>
      <c r="QG171" s="125"/>
      <c r="QH171" s="125"/>
      <c r="QI171" s="125"/>
      <c r="QJ171" s="125"/>
      <c r="QK171" s="125"/>
      <c r="QL171" s="125"/>
      <c r="QM171" s="125"/>
      <c r="QN171" s="125"/>
      <c r="QO171" s="125"/>
      <c r="QP171" s="125"/>
      <c r="QQ171" s="125"/>
      <c r="QR171" s="125"/>
      <c r="QS171" s="125"/>
      <c r="QT171" s="125"/>
      <c r="QU171" s="125"/>
      <c r="QV171" s="125"/>
      <c r="QW171" s="125"/>
      <c r="QX171" s="125"/>
      <c r="QY171" s="125"/>
      <c r="QZ171" s="125"/>
      <c r="RA171" s="125"/>
      <c r="RB171" s="125"/>
      <c r="RC171" s="125"/>
      <c r="RD171" s="125"/>
      <c r="RE171" s="125"/>
      <c r="RF171" s="125"/>
      <c r="RG171" s="125"/>
      <c r="RH171" s="125"/>
      <c r="RI171" s="125"/>
      <c r="RJ171" s="125"/>
      <c r="RK171" s="125"/>
      <c r="RL171" s="125"/>
      <c r="RM171" s="125"/>
      <c r="RN171" s="125"/>
      <c r="RO171" s="125"/>
      <c r="RP171" s="125"/>
      <c r="RQ171" s="125"/>
      <c r="RR171" s="125"/>
      <c r="RS171" s="125"/>
      <c r="RT171" s="125"/>
      <c r="RU171" s="125"/>
      <c r="RV171" s="125"/>
      <c r="RW171" s="125"/>
      <c r="RX171" s="125"/>
      <c r="RY171" s="125"/>
      <c r="RZ171" s="125"/>
      <c r="SA171" s="125"/>
      <c r="SB171" s="125"/>
      <c r="SC171" s="125"/>
      <c r="SD171" s="125"/>
      <c r="SE171" s="125"/>
      <c r="SF171" s="125"/>
      <c r="SG171" s="125"/>
      <c r="SH171" s="125"/>
      <c r="SI171" s="125"/>
      <c r="SJ171" s="125"/>
      <c r="SK171" s="125"/>
      <c r="SL171" s="125"/>
      <c r="SM171" s="125"/>
      <c r="SN171" s="125"/>
      <c r="SO171" s="125"/>
      <c r="SP171" s="125"/>
      <c r="SQ171" s="125"/>
      <c r="SR171" s="125"/>
      <c r="SS171" s="125"/>
      <c r="ST171" s="125"/>
      <c r="SU171" s="125"/>
      <c r="SV171" s="125"/>
      <c r="SW171" s="125"/>
      <c r="SX171" s="125"/>
      <c r="SY171" s="125"/>
      <c r="SZ171" s="125"/>
      <c r="TA171" s="125"/>
      <c r="TB171" s="125"/>
      <c r="TC171" s="125"/>
      <c r="TD171" s="125"/>
      <c r="TE171" s="125"/>
      <c r="TF171" s="125"/>
      <c r="TG171" s="125"/>
      <c r="TH171" s="125"/>
      <c r="TI171" s="125"/>
      <c r="TJ171" s="125"/>
      <c r="TK171" s="125"/>
      <c r="TL171" s="125"/>
      <c r="TM171" s="125"/>
      <c r="TN171" s="125"/>
      <c r="TO171" s="125"/>
      <c r="TP171" s="125"/>
      <c r="TQ171" s="125"/>
      <c r="TR171" s="125"/>
      <c r="TS171" s="125"/>
      <c r="TT171" s="125"/>
      <c r="TU171" s="125"/>
      <c r="TV171" s="125"/>
      <c r="TW171" s="125"/>
      <c r="TX171" s="125"/>
      <c r="TY171" s="125"/>
      <c r="TZ171" s="125"/>
      <c r="UA171" s="125"/>
      <c r="UB171" s="125"/>
      <c r="UC171" s="125"/>
      <c r="UD171" s="125"/>
      <c r="UE171" s="125"/>
      <c r="UF171" s="125"/>
      <c r="UG171" s="125"/>
      <c r="UH171" s="125"/>
      <c r="UI171" s="125"/>
      <c r="UJ171" s="125"/>
      <c r="UK171" s="125"/>
      <c r="UL171" s="125"/>
      <c r="UM171" s="125"/>
      <c r="UN171" s="125"/>
      <c r="UO171" s="125"/>
      <c r="UP171" s="125"/>
      <c r="UQ171" s="125"/>
      <c r="UR171" s="125"/>
      <c r="US171" s="125"/>
      <c r="UT171" s="125"/>
      <c r="UU171" s="125"/>
      <c r="UV171" s="125"/>
      <c r="UW171" s="125"/>
      <c r="UX171" s="125"/>
      <c r="UY171" s="125"/>
      <c r="UZ171" s="125"/>
      <c r="VA171" s="125"/>
      <c r="VB171" s="125"/>
      <c r="VC171" s="125"/>
      <c r="VD171" s="125"/>
      <c r="VE171" s="125"/>
      <c r="VF171" s="125"/>
      <c r="VG171" s="125"/>
      <c r="VH171" s="125"/>
      <c r="VI171" s="125"/>
      <c r="VJ171" s="125"/>
      <c r="VK171" s="125"/>
      <c r="VL171" s="125"/>
      <c r="VM171" s="125"/>
      <c r="VN171" s="125"/>
      <c r="VO171" s="125"/>
      <c r="VP171" s="125"/>
      <c r="VQ171" s="125"/>
      <c r="VR171" s="125"/>
      <c r="VS171" s="125"/>
      <c r="VT171" s="125"/>
      <c r="VU171" s="125"/>
      <c r="VV171" s="125"/>
      <c r="VW171" s="125"/>
      <c r="VX171" s="125"/>
      <c r="VY171" s="125"/>
      <c r="VZ171" s="125"/>
      <c r="WA171" s="125"/>
      <c r="WB171" s="125"/>
      <c r="WC171" s="125"/>
      <c r="WD171" s="125"/>
      <c r="WE171" s="125"/>
      <c r="WF171" s="125"/>
      <c r="WG171" s="125"/>
      <c r="WH171" s="125"/>
      <c r="WI171" s="125"/>
      <c r="WJ171" s="125"/>
      <c r="WK171" s="125"/>
      <c r="WL171" s="125"/>
      <c r="WM171" s="125"/>
      <c r="WN171" s="125"/>
      <c r="WO171" s="125"/>
      <c r="WP171" s="125"/>
      <c r="WQ171" s="125"/>
      <c r="WR171" s="125"/>
      <c r="WS171" s="125"/>
      <c r="WT171" s="125"/>
      <c r="WU171" s="125"/>
      <c r="WV171" s="125"/>
      <c r="WW171" s="125"/>
      <c r="WX171" s="125"/>
      <c r="WY171" s="125"/>
      <c r="WZ171" s="125"/>
      <c r="XA171" s="125"/>
      <c r="XB171" s="125"/>
      <c r="XC171" s="125"/>
      <c r="XD171" s="125"/>
      <c r="XE171" s="125"/>
      <c r="XF171" s="125"/>
      <c r="XG171" s="125"/>
      <c r="XH171" s="125"/>
      <c r="XI171" s="125"/>
      <c r="XJ171" s="125"/>
      <c r="XK171" s="125"/>
      <c r="XL171" s="125"/>
      <c r="XM171" s="125"/>
      <c r="XN171" s="125"/>
      <c r="XO171" s="125"/>
      <c r="XP171" s="125"/>
      <c r="XQ171" s="125"/>
      <c r="XR171" s="125"/>
      <c r="XS171" s="125"/>
      <c r="XT171" s="125"/>
      <c r="XU171" s="125"/>
      <c r="XV171" s="125"/>
      <c r="XW171" s="125"/>
      <c r="XX171" s="125"/>
      <c r="XY171" s="125"/>
      <c r="XZ171" s="125"/>
      <c r="YA171" s="125"/>
      <c r="YB171" s="125"/>
      <c r="YC171" s="125"/>
      <c r="YD171" s="125"/>
      <c r="YE171" s="125"/>
      <c r="YF171" s="125"/>
      <c r="YG171" s="125"/>
      <c r="YH171" s="125"/>
      <c r="YI171" s="125"/>
      <c r="YJ171" s="125"/>
      <c r="YK171" s="125"/>
      <c r="YL171" s="125"/>
      <c r="YM171" s="125"/>
      <c r="YN171" s="125"/>
      <c r="YO171" s="125"/>
      <c r="YP171" s="125"/>
      <c r="YQ171" s="125"/>
      <c r="YR171" s="125"/>
      <c r="YS171" s="125"/>
      <c r="YT171" s="125"/>
      <c r="YU171" s="125"/>
      <c r="YV171" s="125"/>
      <c r="YW171" s="125"/>
      <c r="YX171" s="125"/>
      <c r="YY171" s="125"/>
      <c r="YZ171" s="125"/>
      <c r="ZA171" s="125"/>
      <c r="ZB171" s="125"/>
      <c r="ZC171" s="125"/>
      <c r="ZD171" s="125"/>
      <c r="ZE171" s="125"/>
      <c r="ZF171" s="125"/>
      <c r="ZG171" s="125"/>
      <c r="ZH171" s="125"/>
      <c r="ZI171" s="125"/>
      <c r="ZJ171" s="125"/>
      <c r="ZK171" s="125"/>
      <c r="ZL171" s="125"/>
      <c r="ZM171" s="125"/>
      <c r="ZN171" s="125"/>
      <c r="ZO171" s="125"/>
      <c r="ZP171" s="125"/>
      <c r="ZQ171" s="125"/>
      <c r="ZR171" s="125"/>
      <c r="ZS171" s="125"/>
      <c r="ZT171" s="125"/>
      <c r="ZU171" s="125"/>
      <c r="ZV171" s="125"/>
      <c r="ZW171" s="125"/>
      <c r="ZX171" s="125"/>
      <c r="ZY171" s="125"/>
      <c r="ZZ171" s="125"/>
      <c r="AAA171" s="125"/>
      <c r="AAB171" s="125"/>
      <c r="AAC171" s="125"/>
      <c r="AAD171" s="125"/>
      <c r="AAE171" s="125"/>
      <c r="AAF171" s="125"/>
      <c r="AAG171" s="125"/>
      <c r="AAH171" s="125"/>
      <c r="AAI171" s="125"/>
      <c r="AAJ171" s="125"/>
      <c r="AAK171" s="125"/>
      <c r="AAL171" s="125"/>
      <c r="AAM171" s="125"/>
      <c r="AAN171" s="125"/>
      <c r="AAO171" s="125"/>
      <c r="AAP171" s="125"/>
      <c r="AAQ171" s="125"/>
      <c r="AAR171" s="125"/>
      <c r="AAS171" s="125"/>
      <c r="AAT171" s="125"/>
      <c r="AAU171" s="125"/>
      <c r="AAV171" s="125"/>
      <c r="AAW171" s="125"/>
      <c r="AAX171" s="125"/>
      <c r="AAY171" s="125"/>
      <c r="AAZ171" s="125"/>
      <c r="ABA171" s="125"/>
      <c r="ABB171" s="125"/>
      <c r="ABC171" s="125"/>
      <c r="ABD171" s="125"/>
      <c r="ABE171" s="125"/>
      <c r="ABF171" s="125"/>
      <c r="ABG171" s="125"/>
      <c r="ABH171" s="125"/>
      <c r="ABI171" s="125"/>
      <c r="ABJ171" s="125"/>
      <c r="ABK171" s="125"/>
      <c r="ABL171" s="125"/>
      <c r="ABM171" s="125"/>
      <c r="ABN171" s="125"/>
      <c r="ABO171" s="125"/>
      <c r="ABP171" s="125"/>
      <c r="ABQ171" s="125"/>
      <c r="ABR171" s="125"/>
      <c r="ABS171" s="125"/>
      <c r="ABT171" s="125"/>
      <c r="ABU171" s="125"/>
      <c r="ABV171" s="125"/>
      <c r="ABW171" s="125"/>
      <c r="ABX171" s="125"/>
      <c r="ABY171" s="125"/>
      <c r="ABZ171" s="125"/>
      <c r="ACA171" s="125"/>
      <c r="ACB171" s="125"/>
      <c r="ACC171" s="125"/>
      <c r="ACD171" s="125"/>
      <c r="ACE171" s="125"/>
      <c r="ACF171" s="125"/>
      <c r="ACG171" s="125"/>
      <c r="ACH171" s="125"/>
      <c r="ACI171" s="125"/>
      <c r="ACJ171" s="125"/>
      <c r="ACK171" s="125"/>
      <c r="ACL171" s="125"/>
      <c r="ACM171" s="125"/>
      <c r="ACN171" s="125"/>
      <c r="ACO171" s="125"/>
      <c r="ACP171" s="125"/>
      <c r="ACQ171" s="125"/>
      <c r="ACR171" s="125"/>
      <c r="ACS171" s="125"/>
      <c r="ACT171" s="125"/>
      <c r="ACU171" s="125"/>
      <c r="ACV171" s="125"/>
      <c r="ACW171" s="125"/>
      <c r="ACX171" s="125"/>
      <c r="ACY171" s="125"/>
      <c r="ACZ171" s="125"/>
      <c r="ADA171" s="125"/>
      <c r="ADB171" s="125"/>
      <c r="ADC171" s="125"/>
      <c r="ADD171" s="125"/>
      <c r="ADE171" s="125"/>
      <c r="ADF171" s="125"/>
      <c r="ADG171" s="125"/>
      <c r="ADH171" s="125"/>
      <c r="ADI171" s="125"/>
      <c r="ADJ171" s="125"/>
      <c r="ADK171" s="125"/>
      <c r="ADL171" s="125"/>
      <c r="ADM171" s="125"/>
      <c r="ADN171" s="125"/>
      <c r="ADO171" s="125"/>
      <c r="ADP171" s="125"/>
      <c r="ADQ171" s="125"/>
      <c r="ADR171" s="125"/>
      <c r="ADS171" s="125"/>
      <c r="ADT171" s="125"/>
      <c r="ADU171" s="125"/>
      <c r="ADV171" s="125"/>
      <c r="ADW171" s="125"/>
      <c r="ADX171" s="125"/>
      <c r="ADY171" s="125"/>
      <c r="ADZ171" s="125"/>
      <c r="AEA171" s="125"/>
      <c r="AEB171" s="125"/>
      <c r="AEC171" s="125"/>
      <c r="AED171" s="125"/>
      <c r="AEE171" s="125"/>
      <c r="AEF171" s="125"/>
      <c r="AEG171" s="125"/>
      <c r="AEH171" s="125"/>
      <c r="AEI171" s="125"/>
      <c r="AEJ171" s="125"/>
      <c r="AEK171" s="125"/>
      <c r="AEL171" s="125"/>
      <c r="AEM171" s="125"/>
      <c r="AEN171" s="125"/>
      <c r="AEO171" s="125"/>
      <c r="AEP171" s="125"/>
      <c r="AEQ171" s="125"/>
      <c r="AER171" s="125"/>
      <c r="AES171" s="125"/>
      <c r="AET171" s="125"/>
      <c r="AEU171" s="125"/>
      <c r="AEV171" s="125"/>
      <c r="AEW171" s="125"/>
      <c r="AEX171" s="125"/>
      <c r="AEY171" s="125"/>
      <c r="AEZ171" s="125"/>
      <c r="AFA171" s="125"/>
      <c r="AFB171" s="125"/>
      <c r="AFC171" s="125"/>
      <c r="AFD171" s="125"/>
      <c r="AFE171" s="125"/>
      <c r="AFF171" s="125"/>
      <c r="AFG171" s="125"/>
      <c r="AFH171" s="125"/>
      <c r="AFI171" s="125"/>
      <c r="AFJ171" s="125"/>
      <c r="AFK171" s="125"/>
      <c r="AFL171" s="125"/>
      <c r="AFM171" s="125"/>
      <c r="AFN171" s="125"/>
      <c r="AFO171" s="125"/>
      <c r="AFP171" s="125"/>
      <c r="AFQ171" s="125"/>
      <c r="AFR171" s="125"/>
      <c r="AFS171" s="125"/>
      <c r="AFT171" s="125"/>
      <c r="AFU171" s="125"/>
      <c r="AFV171" s="125"/>
      <c r="AFW171" s="125"/>
      <c r="AFX171" s="125"/>
      <c r="AFY171" s="125"/>
      <c r="AFZ171" s="125"/>
      <c r="AGA171" s="125"/>
      <c r="AGB171" s="125"/>
      <c r="AGC171" s="125"/>
      <c r="AGD171" s="125"/>
      <c r="AGE171" s="125"/>
      <c r="AGF171" s="125"/>
      <c r="AGG171" s="125"/>
      <c r="AGH171" s="125"/>
      <c r="AGI171" s="125"/>
      <c r="AGJ171" s="125"/>
      <c r="AGK171" s="125"/>
      <c r="AGL171" s="125"/>
      <c r="AGM171" s="125"/>
      <c r="AGN171" s="125"/>
      <c r="AGO171" s="125"/>
      <c r="AGP171" s="125"/>
      <c r="AGQ171" s="125"/>
      <c r="AGR171" s="125"/>
      <c r="AGS171" s="125"/>
      <c r="AGT171" s="125"/>
      <c r="AGU171" s="125"/>
      <c r="AGV171" s="125"/>
      <c r="AGW171" s="125"/>
      <c r="AGX171" s="125"/>
      <c r="AGY171" s="125"/>
      <c r="AGZ171" s="125"/>
      <c r="AHA171" s="125"/>
      <c r="AHB171" s="125"/>
      <c r="AHC171" s="125"/>
      <c r="AHD171" s="125"/>
      <c r="AHE171" s="125"/>
      <c r="AHF171" s="125"/>
      <c r="AHG171" s="125"/>
      <c r="AHH171" s="125"/>
      <c r="AHI171" s="125"/>
      <c r="AHJ171" s="125"/>
      <c r="AHK171" s="125"/>
      <c r="AHL171" s="125"/>
      <c r="AHM171" s="125"/>
      <c r="AHN171" s="125"/>
      <c r="AHO171" s="125"/>
      <c r="AHP171" s="125"/>
      <c r="AHQ171" s="125"/>
      <c r="AHR171" s="125"/>
      <c r="AHS171" s="125"/>
      <c r="AHT171" s="125"/>
      <c r="AHU171" s="125"/>
      <c r="AHV171" s="125"/>
      <c r="AHW171" s="125"/>
      <c r="AHX171" s="125"/>
      <c r="AHY171" s="125"/>
      <c r="AHZ171" s="125"/>
      <c r="AIA171" s="125"/>
      <c r="AIB171" s="125"/>
      <c r="AIC171" s="125"/>
      <c r="AID171" s="125"/>
      <c r="AIE171" s="125"/>
      <c r="AIF171" s="125"/>
      <c r="AIG171" s="125"/>
      <c r="AIH171" s="125"/>
      <c r="AII171" s="125"/>
      <c r="AIJ171" s="125"/>
      <c r="AIK171" s="125"/>
      <c r="AIL171" s="125"/>
      <c r="AIM171" s="125"/>
      <c r="AIN171" s="125"/>
      <c r="AIO171" s="125"/>
      <c r="AIP171" s="125"/>
      <c r="AIQ171" s="125"/>
      <c r="AIR171" s="125"/>
      <c r="AIS171" s="125"/>
      <c r="AIT171" s="125"/>
      <c r="AIU171" s="125"/>
      <c r="AIV171" s="125"/>
      <c r="AIW171" s="125"/>
      <c r="AIX171" s="125"/>
      <c r="AIY171" s="125"/>
      <c r="AIZ171" s="125"/>
      <c r="AJA171" s="125"/>
      <c r="AJB171" s="125"/>
      <c r="AJC171" s="125"/>
      <c r="AJD171" s="125"/>
      <c r="AJE171" s="125"/>
      <c r="AJF171" s="125"/>
      <c r="AJG171" s="125"/>
      <c r="AJH171" s="125"/>
      <c r="AJI171" s="125"/>
      <c r="AJJ171" s="125"/>
      <c r="AJK171" s="125"/>
      <c r="AJL171" s="125"/>
      <c r="AJM171" s="125"/>
      <c r="AJN171" s="125"/>
      <c r="AJO171" s="125"/>
      <c r="AJP171" s="125"/>
      <c r="AJQ171" s="125"/>
      <c r="AJR171" s="125"/>
      <c r="AJS171" s="125"/>
      <c r="AJT171" s="125"/>
      <c r="AJU171" s="125"/>
      <c r="AJV171" s="125"/>
      <c r="AJW171" s="125"/>
      <c r="AJX171" s="125"/>
      <c r="AJY171" s="125"/>
      <c r="AJZ171" s="125"/>
      <c r="AKA171" s="125"/>
      <c r="AKB171" s="125"/>
      <c r="AKC171" s="125"/>
      <c r="AKD171" s="125"/>
      <c r="AKE171" s="125"/>
      <c r="AKF171" s="125"/>
      <c r="AKG171" s="125"/>
      <c r="AKH171" s="125"/>
      <c r="AKI171" s="125"/>
      <c r="AKJ171" s="125"/>
      <c r="AKK171" s="125"/>
      <c r="AKL171" s="125"/>
      <c r="AKM171" s="125"/>
      <c r="AKN171" s="125"/>
      <c r="AKO171" s="125"/>
      <c r="AKP171" s="125"/>
      <c r="AKQ171" s="125"/>
      <c r="AKR171" s="125"/>
      <c r="AKS171" s="125"/>
      <c r="AKT171" s="125"/>
      <c r="AKU171" s="125"/>
      <c r="AKV171" s="125"/>
      <c r="AKW171" s="125"/>
      <c r="AKX171" s="125"/>
      <c r="AKY171" s="125"/>
      <c r="AKZ171" s="125"/>
      <c r="ALA171" s="125"/>
      <c r="ALB171" s="125"/>
      <c r="ALC171" s="125"/>
      <c r="ALD171" s="125"/>
      <c r="ALE171" s="125"/>
      <c r="ALF171" s="125"/>
      <c r="ALG171" s="125"/>
      <c r="ALH171" s="125"/>
      <c r="ALI171" s="125"/>
      <c r="ALJ171" s="125"/>
      <c r="ALK171" s="125"/>
      <c r="ALL171" s="125"/>
      <c r="ALM171" s="125"/>
      <c r="ALN171" s="125"/>
      <c r="ALO171" s="125"/>
      <c r="ALP171" s="125"/>
      <c r="ALQ171" s="125"/>
      <c r="ALR171" s="125"/>
      <c r="ALS171" s="125"/>
      <c r="ALT171" s="125"/>
      <c r="ALU171" s="125"/>
      <c r="ALV171" s="125"/>
      <c r="ALW171" s="125"/>
      <c r="ALX171" s="125"/>
      <c r="ALY171" s="125"/>
      <c r="ALZ171" s="125"/>
      <c r="AMA171" s="125"/>
      <c r="AMB171" s="125"/>
      <c r="AMC171" s="125"/>
      <c r="AMD171" s="125"/>
      <c r="AME171" s="125"/>
      <c r="AMF171" s="125"/>
      <c r="AMG171" s="125"/>
      <c r="AMH171" s="125"/>
      <c r="AMI171" s="125"/>
      <c r="AMJ171" s="125"/>
      <c r="AMK171" s="125"/>
      <c r="AML171" s="125"/>
      <c r="AMM171" s="125"/>
      <c r="AMN171" s="125"/>
      <c r="AMO171" s="125"/>
      <c r="AMP171" s="125"/>
      <c r="AMQ171" s="125"/>
      <c r="AMR171" s="125"/>
      <c r="AMS171" s="125"/>
      <c r="AMT171" s="125"/>
      <c r="AMU171" s="125"/>
      <c r="AMV171" s="125"/>
      <c r="AMW171" s="125"/>
      <c r="AMX171" s="125"/>
      <c r="AMY171" s="125"/>
      <c r="AMZ171" s="125"/>
      <c r="ANA171" s="125"/>
      <c r="ANB171" s="125"/>
      <c r="ANC171" s="125"/>
      <c r="AND171" s="125"/>
      <c r="ANE171" s="125"/>
      <c r="ANF171" s="125"/>
      <c r="ANG171" s="125"/>
      <c r="ANH171" s="125"/>
      <c r="ANI171" s="125"/>
      <c r="ANJ171" s="125"/>
      <c r="ANK171" s="125"/>
      <c r="ANL171" s="125"/>
      <c r="ANM171" s="125"/>
      <c r="ANN171" s="125"/>
      <c r="ANO171" s="125"/>
      <c r="ANP171" s="125"/>
      <c r="ANQ171" s="125"/>
      <c r="ANR171" s="125"/>
      <c r="ANS171" s="125"/>
      <c r="ANT171" s="125"/>
      <c r="ANU171" s="125"/>
      <c r="ANV171" s="125"/>
      <c r="ANW171" s="125"/>
      <c r="ANX171" s="125"/>
      <c r="ANY171" s="125"/>
      <c r="ANZ171" s="125"/>
      <c r="AOA171" s="125"/>
      <c r="AOB171" s="125"/>
      <c r="AOC171" s="125"/>
      <c r="AOD171" s="125"/>
      <c r="AOE171" s="125"/>
      <c r="AOF171" s="125"/>
      <c r="AOG171" s="125"/>
      <c r="AOH171" s="125"/>
      <c r="AOI171" s="125"/>
      <c r="AOJ171" s="125"/>
      <c r="AOK171" s="125"/>
      <c r="AOL171" s="125"/>
      <c r="AOM171" s="125"/>
      <c r="AON171" s="125"/>
      <c r="AOO171" s="125"/>
      <c r="AOP171" s="125"/>
      <c r="AOQ171" s="125"/>
      <c r="AOR171" s="125"/>
      <c r="AOS171" s="125"/>
      <c r="AOT171" s="125"/>
      <c r="AOU171" s="125"/>
      <c r="AOV171" s="125"/>
      <c r="AOW171" s="125"/>
      <c r="AOX171" s="125"/>
      <c r="AOY171" s="125"/>
      <c r="AOZ171" s="125"/>
      <c r="APA171" s="125"/>
      <c r="APB171" s="125"/>
      <c r="APC171" s="125"/>
      <c r="APD171" s="125"/>
      <c r="APE171" s="125"/>
      <c r="APF171" s="125"/>
      <c r="APG171" s="125"/>
      <c r="APH171" s="125"/>
      <c r="API171" s="125"/>
      <c r="APJ171" s="125"/>
      <c r="APK171" s="125"/>
      <c r="APL171" s="125"/>
      <c r="APM171" s="125"/>
      <c r="APN171" s="125"/>
      <c r="APO171" s="125"/>
      <c r="APP171" s="125"/>
      <c r="APQ171" s="125"/>
      <c r="APR171" s="125"/>
      <c r="APS171" s="125"/>
      <c r="APT171" s="125"/>
      <c r="APU171" s="125"/>
      <c r="APV171" s="125"/>
      <c r="APW171" s="125"/>
      <c r="APX171" s="125"/>
      <c r="APY171" s="125"/>
      <c r="APZ171" s="125"/>
      <c r="AQA171" s="125"/>
      <c r="AQB171" s="125"/>
      <c r="AQC171" s="125"/>
      <c r="AQD171" s="125"/>
      <c r="AQE171" s="125"/>
      <c r="AQF171" s="125"/>
      <c r="AQG171" s="125"/>
      <c r="AQH171" s="125"/>
      <c r="AQI171" s="125"/>
      <c r="AQJ171" s="125"/>
      <c r="AQK171" s="125"/>
      <c r="AQL171" s="125"/>
      <c r="AQM171" s="125"/>
      <c r="AQN171" s="125"/>
      <c r="AQO171" s="125"/>
      <c r="AQP171" s="125"/>
      <c r="AQQ171" s="125"/>
      <c r="AQR171" s="125"/>
      <c r="AQS171" s="125"/>
      <c r="AQT171" s="125"/>
      <c r="AQU171" s="125"/>
      <c r="AQV171" s="125"/>
      <c r="AQW171" s="125"/>
      <c r="AQX171" s="125"/>
      <c r="AQY171" s="125"/>
      <c r="AQZ171" s="125"/>
      <c r="ARA171" s="125"/>
      <c r="ARB171" s="125"/>
      <c r="ARC171" s="125"/>
      <c r="ARD171" s="125"/>
      <c r="ARE171" s="125"/>
      <c r="ARF171" s="125"/>
      <c r="ARG171" s="125"/>
      <c r="ARH171" s="125"/>
      <c r="ARI171" s="125"/>
      <c r="ARJ171" s="125"/>
      <c r="ARK171" s="125"/>
      <c r="ARL171" s="125"/>
      <c r="ARM171" s="125"/>
      <c r="ARN171" s="125"/>
      <c r="ARO171" s="125"/>
      <c r="ARP171" s="125"/>
      <c r="ARQ171" s="125"/>
      <c r="ARR171" s="125"/>
      <c r="ARS171" s="125"/>
      <c r="ART171" s="125"/>
      <c r="ARU171" s="125"/>
      <c r="ARV171" s="125"/>
      <c r="ARW171" s="125"/>
      <c r="ARX171" s="125"/>
      <c r="ARY171" s="125"/>
      <c r="ARZ171" s="125"/>
      <c r="ASA171" s="125"/>
      <c r="ASB171" s="125"/>
      <c r="ASC171" s="125"/>
      <c r="ASD171" s="125"/>
      <c r="ASE171" s="125"/>
      <c r="ASF171" s="125"/>
      <c r="ASG171" s="125"/>
      <c r="ASH171" s="125"/>
      <c r="ASI171" s="125"/>
      <c r="ASJ171" s="125"/>
      <c r="ASK171" s="125"/>
      <c r="ASL171" s="125"/>
      <c r="ASM171" s="125"/>
      <c r="ASN171" s="125"/>
      <c r="ASO171" s="125"/>
      <c r="ASP171" s="125"/>
      <c r="ASQ171" s="125"/>
      <c r="ASR171" s="125"/>
      <c r="ASS171" s="125"/>
      <c r="AST171" s="125"/>
      <c r="ASU171" s="125"/>
      <c r="ASV171" s="125"/>
      <c r="ASW171" s="125"/>
      <c r="ASX171" s="125"/>
      <c r="ASY171" s="125"/>
      <c r="ASZ171" s="125"/>
      <c r="ATA171" s="125"/>
      <c r="ATB171" s="125"/>
      <c r="ATC171" s="125"/>
      <c r="ATD171" s="125"/>
      <c r="ATE171" s="125"/>
      <c r="ATF171" s="125"/>
      <c r="ATG171" s="125"/>
      <c r="ATH171" s="125"/>
      <c r="ATI171" s="125"/>
      <c r="ATJ171" s="125"/>
      <c r="ATK171" s="125"/>
      <c r="ATL171" s="125"/>
      <c r="ATM171" s="125"/>
      <c r="ATN171" s="125"/>
      <c r="ATO171" s="125"/>
      <c r="ATP171" s="125"/>
      <c r="ATQ171" s="125"/>
      <c r="ATR171" s="125"/>
      <c r="ATS171" s="125"/>
      <c r="ATT171" s="125"/>
      <c r="ATU171" s="125"/>
      <c r="ATV171" s="125"/>
      <c r="ATW171" s="125"/>
      <c r="ATX171" s="125"/>
      <c r="ATY171" s="125"/>
      <c r="ATZ171" s="125"/>
      <c r="AUA171" s="125"/>
      <c r="AUB171" s="125"/>
      <c r="AUC171" s="125"/>
      <c r="AUD171" s="125"/>
      <c r="AUE171" s="125"/>
      <c r="AUF171" s="125"/>
      <c r="AUG171" s="125"/>
      <c r="AUH171" s="125"/>
      <c r="AUI171" s="125"/>
      <c r="AUJ171" s="125"/>
      <c r="AUK171" s="125"/>
      <c r="AUL171" s="125"/>
      <c r="AUM171" s="125"/>
      <c r="AUN171" s="125"/>
      <c r="AUO171" s="125"/>
      <c r="AUP171" s="125"/>
      <c r="AUQ171" s="125"/>
      <c r="AUR171" s="125"/>
      <c r="AUS171" s="125"/>
      <c r="AUT171" s="125"/>
      <c r="AUU171" s="125"/>
      <c r="AUV171" s="125"/>
      <c r="AUW171" s="125"/>
      <c r="AUX171" s="125"/>
      <c r="AUY171" s="125"/>
      <c r="AUZ171" s="125"/>
      <c r="AVA171" s="125"/>
      <c r="AVB171" s="125"/>
      <c r="AVC171" s="125"/>
      <c r="AVD171" s="125"/>
      <c r="AVE171" s="125"/>
      <c r="AVF171" s="125"/>
      <c r="AVG171" s="125"/>
      <c r="AVH171" s="125"/>
      <c r="AVI171" s="125"/>
      <c r="AVJ171" s="125"/>
      <c r="AVK171" s="125"/>
      <c r="AVL171" s="125"/>
      <c r="AVM171" s="125"/>
      <c r="AVN171" s="125"/>
      <c r="AVO171" s="125"/>
      <c r="AVP171" s="125"/>
      <c r="AVQ171" s="125"/>
      <c r="AVR171" s="125"/>
      <c r="AVS171" s="125"/>
      <c r="AVT171" s="125"/>
      <c r="AVU171" s="125"/>
      <c r="AVV171" s="125"/>
      <c r="AVW171" s="125"/>
      <c r="AVX171" s="125"/>
      <c r="AVY171" s="125"/>
      <c r="AVZ171" s="125"/>
      <c r="AWA171" s="125"/>
      <c r="AWB171" s="125"/>
      <c r="AWC171" s="125"/>
      <c r="AWD171" s="125"/>
      <c r="AWE171" s="125"/>
      <c r="AWF171" s="125"/>
      <c r="AWG171" s="125"/>
      <c r="AWH171" s="125"/>
      <c r="AWI171" s="125"/>
      <c r="AWJ171" s="125"/>
      <c r="AWK171" s="125"/>
      <c r="AWL171" s="125"/>
      <c r="AWM171" s="125"/>
      <c r="AWN171" s="125"/>
      <c r="AWO171" s="125"/>
      <c r="AWP171" s="125"/>
      <c r="AWQ171" s="125"/>
      <c r="AWR171" s="125"/>
      <c r="AWS171" s="125"/>
      <c r="AWT171" s="125"/>
      <c r="AWU171" s="125"/>
      <c r="AWV171" s="125"/>
      <c r="AWW171" s="125"/>
      <c r="AWX171" s="125"/>
      <c r="AWY171" s="125"/>
      <c r="AWZ171" s="125"/>
      <c r="AXA171" s="125"/>
      <c r="AXB171" s="125"/>
      <c r="AXC171" s="125"/>
      <c r="AXD171" s="125"/>
      <c r="AXE171" s="125"/>
      <c r="AXF171" s="125"/>
      <c r="AXG171" s="125"/>
      <c r="AXH171" s="125"/>
      <c r="AXI171" s="125"/>
      <c r="AXJ171" s="125"/>
      <c r="AXK171" s="125"/>
      <c r="AXL171" s="125"/>
      <c r="AXM171" s="125"/>
      <c r="AXN171" s="125"/>
      <c r="AXO171" s="125"/>
      <c r="AXP171" s="125"/>
      <c r="AXQ171" s="125"/>
      <c r="AXR171" s="125"/>
      <c r="AXS171" s="125"/>
      <c r="AXT171" s="125"/>
      <c r="AXU171" s="125"/>
      <c r="AXV171" s="125"/>
      <c r="AXW171" s="125"/>
      <c r="AXX171" s="125"/>
      <c r="AXY171" s="125"/>
      <c r="AXZ171" s="125"/>
      <c r="AYA171" s="125"/>
      <c r="AYB171" s="125"/>
      <c r="AYC171" s="125"/>
      <c r="AYD171" s="125"/>
      <c r="AYE171" s="125"/>
      <c r="AYF171" s="125"/>
      <c r="AYG171" s="125"/>
      <c r="AYH171" s="125"/>
      <c r="AYI171" s="125"/>
      <c r="AYJ171" s="125"/>
      <c r="AYK171" s="125"/>
      <c r="AYL171" s="125"/>
      <c r="AYM171" s="125"/>
      <c r="AYN171" s="125"/>
      <c r="AYO171" s="125"/>
      <c r="AYP171" s="125"/>
      <c r="AYQ171" s="125"/>
      <c r="AYR171" s="125"/>
      <c r="AYS171" s="125"/>
      <c r="AYT171" s="125"/>
      <c r="AYU171" s="125"/>
      <c r="AYV171" s="125"/>
      <c r="AYW171" s="125"/>
      <c r="AYX171" s="125"/>
      <c r="AYY171" s="125"/>
      <c r="AYZ171" s="125"/>
      <c r="AZA171" s="125"/>
      <c r="AZB171" s="125"/>
      <c r="AZC171" s="125"/>
      <c r="AZD171" s="125"/>
      <c r="AZE171" s="125"/>
      <c r="AZF171" s="125"/>
      <c r="AZG171" s="125"/>
      <c r="AZH171" s="125"/>
      <c r="AZI171" s="125"/>
      <c r="AZJ171" s="125"/>
      <c r="AZK171" s="125"/>
      <c r="AZL171" s="125"/>
      <c r="AZM171" s="125"/>
      <c r="AZN171" s="125"/>
      <c r="AZO171" s="125"/>
      <c r="AZP171" s="125"/>
      <c r="AZQ171" s="125"/>
      <c r="AZR171" s="125"/>
      <c r="AZS171" s="125"/>
      <c r="AZT171" s="125"/>
      <c r="AZU171" s="125"/>
      <c r="AZV171" s="125"/>
      <c r="AZW171" s="125"/>
      <c r="AZX171" s="125"/>
      <c r="AZY171" s="125"/>
      <c r="AZZ171" s="125"/>
      <c r="BAA171" s="125"/>
      <c r="BAB171" s="125"/>
      <c r="BAC171" s="125"/>
      <c r="BAD171" s="125"/>
      <c r="BAE171" s="125"/>
      <c r="BAF171" s="125"/>
      <c r="BAG171" s="125"/>
      <c r="BAH171" s="125"/>
      <c r="BAI171" s="125"/>
      <c r="BAJ171" s="125"/>
      <c r="BAK171" s="125"/>
      <c r="BAL171" s="125"/>
      <c r="BAM171" s="125"/>
      <c r="BAN171" s="125"/>
      <c r="BAO171" s="125"/>
      <c r="BAP171" s="125"/>
      <c r="BAQ171" s="125"/>
      <c r="BAR171" s="125"/>
      <c r="BAS171" s="125"/>
      <c r="BAT171" s="125"/>
      <c r="BAU171" s="125"/>
      <c r="BAV171" s="125"/>
      <c r="BAW171" s="125"/>
      <c r="BAX171" s="125"/>
      <c r="BAY171" s="125"/>
      <c r="BAZ171" s="125"/>
      <c r="BBA171" s="125"/>
      <c r="BBB171" s="125"/>
      <c r="BBC171" s="125"/>
      <c r="BBD171" s="125"/>
      <c r="BBE171" s="125"/>
      <c r="BBF171" s="125"/>
      <c r="BBG171" s="125"/>
      <c r="BBH171" s="125"/>
      <c r="BBI171" s="125"/>
      <c r="BBJ171" s="125"/>
      <c r="BBK171" s="125"/>
      <c r="BBL171" s="125"/>
      <c r="BBM171" s="125"/>
      <c r="BBN171" s="125"/>
      <c r="BBO171" s="125"/>
      <c r="BBP171" s="125"/>
      <c r="BBQ171" s="125"/>
      <c r="BBR171" s="125"/>
      <c r="BBS171" s="125"/>
      <c r="BBT171" s="125"/>
      <c r="BBU171" s="125"/>
      <c r="BBV171" s="125"/>
      <c r="BBW171" s="125"/>
      <c r="BBX171" s="125"/>
      <c r="BBY171" s="125"/>
      <c r="BBZ171" s="125"/>
      <c r="BCA171" s="125"/>
      <c r="BCB171" s="125"/>
      <c r="BCC171" s="125"/>
      <c r="BCD171" s="125"/>
      <c r="BCE171" s="125"/>
      <c r="BCF171" s="125"/>
      <c r="BCG171" s="125"/>
      <c r="BCH171" s="125"/>
      <c r="BCI171" s="125"/>
      <c r="BCJ171" s="125"/>
      <c r="BCK171" s="125"/>
      <c r="BCL171" s="125"/>
      <c r="BCM171" s="125"/>
      <c r="BCN171" s="125"/>
      <c r="BCO171" s="125"/>
      <c r="BCP171" s="125"/>
      <c r="BCQ171" s="125"/>
      <c r="BCR171" s="125"/>
      <c r="BCS171" s="125"/>
      <c r="BCT171" s="125"/>
      <c r="BCU171" s="125"/>
      <c r="BCV171" s="125"/>
      <c r="BCW171" s="125"/>
      <c r="BCX171" s="125"/>
      <c r="BCY171" s="125"/>
      <c r="BCZ171" s="125"/>
      <c r="BDA171" s="125"/>
      <c r="BDB171" s="125"/>
      <c r="BDC171" s="125"/>
      <c r="BDD171" s="125"/>
      <c r="BDE171" s="125"/>
      <c r="BDF171" s="125"/>
      <c r="BDG171" s="125"/>
      <c r="BDH171" s="125"/>
      <c r="BDI171" s="125"/>
      <c r="BDJ171" s="125"/>
      <c r="BDK171" s="125"/>
      <c r="BDL171" s="125"/>
      <c r="BDM171" s="125"/>
      <c r="BDN171" s="125"/>
      <c r="BDO171" s="125"/>
      <c r="BDP171" s="125"/>
      <c r="BDQ171" s="125"/>
      <c r="BDR171" s="125"/>
      <c r="BDS171" s="125"/>
      <c r="BDT171" s="125"/>
      <c r="BDU171" s="125"/>
      <c r="BDV171" s="125"/>
      <c r="BDW171" s="125"/>
      <c r="BDX171" s="125"/>
      <c r="BDY171" s="125"/>
      <c r="BDZ171" s="125"/>
      <c r="BEA171" s="125"/>
      <c r="BEB171" s="125"/>
      <c r="BEC171" s="125"/>
      <c r="BED171" s="125"/>
      <c r="BEE171" s="125"/>
      <c r="BEF171" s="125"/>
      <c r="BEG171" s="125"/>
      <c r="BEH171" s="125"/>
      <c r="BEI171" s="125"/>
      <c r="BEJ171" s="125"/>
      <c r="BEK171" s="125"/>
      <c r="BEL171" s="125"/>
      <c r="BEM171" s="125"/>
      <c r="BEN171" s="125"/>
      <c r="BEO171" s="125"/>
      <c r="BEP171" s="125"/>
      <c r="BEQ171" s="125"/>
      <c r="BER171" s="125"/>
      <c r="BES171" s="125"/>
      <c r="BET171" s="125"/>
      <c r="BEU171" s="125"/>
      <c r="BEV171" s="125"/>
      <c r="BEW171" s="125"/>
      <c r="BEX171" s="125"/>
      <c r="BEY171" s="125"/>
      <c r="BEZ171" s="125"/>
      <c r="BFA171" s="125"/>
      <c r="BFB171" s="125"/>
      <c r="BFC171" s="125"/>
      <c r="BFD171" s="125"/>
      <c r="BFE171" s="125"/>
      <c r="BFF171" s="125"/>
      <c r="BFG171" s="125"/>
      <c r="BFH171" s="125"/>
      <c r="BFI171" s="125"/>
      <c r="BFJ171" s="125"/>
      <c r="BFK171" s="125"/>
      <c r="BFL171" s="125"/>
      <c r="BFM171" s="125"/>
      <c r="BFN171" s="125"/>
      <c r="BFO171" s="125"/>
      <c r="BFP171" s="125"/>
      <c r="BFQ171" s="125"/>
      <c r="BFR171" s="125"/>
      <c r="BFS171" s="125"/>
      <c r="BFT171" s="125"/>
      <c r="BFU171" s="125"/>
      <c r="BFV171" s="125"/>
      <c r="BFW171" s="125"/>
      <c r="BFX171" s="125"/>
      <c r="BFY171" s="125"/>
      <c r="BFZ171" s="125"/>
      <c r="BGA171" s="125"/>
      <c r="BGB171" s="125"/>
      <c r="BGC171" s="125"/>
      <c r="BGD171" s="125"/>
      <c r="BGE171" s="125"/>
      <c r="BGF171" s="125"/>
      <c r="BGG171" s="125"/>
      <c r="BGH171" s="125"/>
      <c r="BGI171" s="125"/>
      <c r="BGJ171" s="125"/>
      <c r="BGK171" s="125"/>
      <c r="BGL171" s="125"/>
      <c r="BGM171" s="125"/>
      <c r="BGN171" s="125"/>
      <c r="BGO171" s="125"/>
      <c r="BGP171" s="125"/>
      <c r="BGQ171" s="125"/>
      <c r="BGR171" s="125"/>
      <c r="BGS171" s="125"/>
      <c r="BGT171" s="125"/>
      <c r="BGU171" s="125"/>
      <c r="BGV171" s="125"/>
      <c r="BGW171" s="125"/>
      <c r="BGX171" s="125"/>
      <c r="BGY171" s="125"/>
      <c r="BGZ171" s="125"/>
      <c r="BHA171" s="125"/>
      <c r="BHB171" s="125"/>
      <c r="BHC171" s="125"/>
      <c r="BHD171" s="125"/>
      <c r="BHE171" s="125"/>
      <c r="BHF171" s="125"/>
      <c r="BHG171" s="125"/>
      <c r="BHH171" s="125"/>
      <c r="BHI171" s="125"/>
      <c r="BHJ171" s="125"/>
      <c r="BHK171" s="125"/>
      <c r="BHL171" s="125"/>
      <c r="BHM171" s="125"/>
      <c r="BHN171" s="125"/>
      <c r="BHO171" s="125"/>
      <c r="BHP171" s="125"/>
      <c r="BHQ171" s="125"/>
      <c r="BHR171" s="125"/>
      <c r="BHS171" s="125"/>
      <c r="BHT171" s="125"/>
      <c r="BHU171" s="125"/>
      <c r="BHV171" s="125"/>
      <c r="BHW171" s="125"/>
      <c r="BHX171" s="125"/>
      <c r="BHY171" s="125"/>
      <c r="BHZ171" s="125"/>
      <c r="BIA171" s="125"/>
      <c r="BIB171" s="125"/>
      <c r="BIC171" s="125"/>
      <c r="BID171" s="125"/>
      <c r="BIE171" s="125"/>
      <c r="BIF171" s="125"/>
      <c r="BIG171" s="125"/>
      <c r="BIH171" s="125"/>
      <c r="BII171" s="125"/>
      <c r="BIJ171" s="125"/>
      <c r="BIK171" s="125"/>
      <c r="BIL171" s="125"/>
      <c r="BIM171" s="125"/>
      <c r="BIN171" s="125"/>
      <c r="BIO171" s="125"/>
      <c r="BIP171" s="125"/>
      <c r="BIQ171" s="125"/>
      <c r="BIR171" s="125"/>
      <c r="BIS171" s="125"/>
      <c r="BIT171" s="125"/>
      <c r="BIU171" s="125"/>
      <c r="BIV171" s="125"/>
      <c r="BIW171" s="125"/>
      <c r="BIX171" s="125"/>
      <c r="BIY171" s="125"/>
      <c r="BIZ171" s="125"/>
      <c r="BJA171" s="125"/>
      <c r="BJB171" s="125"/>
      <c r="BJC171" s="125"/>
      <c r="BJD171" s="125"/>
      <c r="BJE171" s="125"/>
      <c r="BJF171" s="125"/>
      <c r="BJG171" s="125"/>
      <c r="BJH171" s="125"/>
      <c r="BJI171" s="125"/>
      <c r="BJJ171" s="125"/>
      <c r="BJK171" s="125"/>
      <c r="BJL171" s="125"/>
      <c r="BJM171" s="125"/>
      <c r="BJN171" s="125"/>
      <c r="BJO171" s="125"/>
      <c r="BJP171" s="125"/>
      <c r="BJQ171" s="125"/>
      <c r="BJR171" s="125"/>
      <c r="BJS171" s="125"/>
      <c r="BJT171" s="125"/>
      <c r="BJU171" s="125"/>
      <c r="BJV171" s="125"/>
      <c r="BJW171" s="125"/>
      <c r="BJX171" s="125"/>
      <c r="BJY171" s="125"/>
      <c r="BJZ171" s="125"/>
      <c r="BKA171" s="125"/>
      <c r="BKB171" s="125"/>
      <c r="BKC171" s="125"/>
      <c r="BKD171" s="125"/>
      <c r="BKE171" s="125"/>
      <c r="BKF171" s="125"/>
      <c r="BKG171" s="125"/>
      <c r="BKH171" s="125"/>
      <c r="BKI171" s="125"/>
      <c r="BKJ171" s="125"/>
      <c r="BKK171" s="125"/>
      <c r="BKL171" s="125"/>
      <c r="BKM171" s="125"/>
      <c r="BKN171" s="125"/>
      <c r="BKO171" s="125"/>
      <c r="BKP171" s="125"/>
      <c r="BKQ171" s="125"/>
      <c r="BKR171" s="125"/>
      <c r="BKS171" s="125"/>
      <c r="BKT171" s="125"/>
      <c r="BKU171" s="125"/>
      <c r="BKV171" s="125"/>
      <c r="BKW171" s="125"/>
      <c r="BKX171" s="125"/>
      <c r="BKY171" s="125"/>
      <c r="BKZ171" s="125"/>
      <c r="BLA171" s="125"/>
      <c r="BLB171" s="125"/>
      <c r="BLC171" s="125"/>
      <c r="BLD171" s="125"/>
      <c r="BLE171" s="125"/>
      <c r="BLF171" s="125"/>
      <c r="BLG171" s="125"/>
      <c r="BLH171" s="125"/>
      <c r="BLI171" s="125"/>
      <c r="BLJ171" s="125"/>
      <c r="BLK171" s="125"/>
      <c r="BLL171" s="125"/>
      <c r="BLM171" s="125"/>
      <c r="BLN171" s="125"/>
      <c r="BLO171" s="125"/>
      <c r="BLP171" s="125"/>
      <c r="BLQ171" s="125"/>
      <c r="BLR171" s="125"/>
      <c r="BLS171" s="125"/>
      <c r="BLT171" s="125"/>
      <c r="BLU171" s="125"/>
      <c r="BLV171" s="125"/>
      <c r="BLW171" s="125"/>
      <c r="BLX171" s="125"/>
      <c r="BLY171" s="125"/>
      <c r="BLZ171" s="125"/>
      <c r="BMA171" s="125"/>
      <c r="BMB171" s="125"/>
      <c r="BMC171" s="125"/>
      <c r="BMD171" s="125"/>
      <c r="BME171" s="125"/>
      <c r="BMF171" s="125"/>
      <c r="BMG171" s="125"/>
      <c r="BMH171" s="125"/>
      <c r="BMI171" s="125"/>
      <c r="BMJ171" s="125"/>
      <c r="BMK171" s="125"/>
      <c r="BML171" s="125"/>
      <c r="BMM171" s="125"/>
      <c r="BMN171" s="125"/>
      <c r="BMO171" s="125"/>
      <c r="BMP171" s="125"/>
      <c r="BMQ171" s="125"/>
      <c r="BMR171" s="125"/>
      <c r="BMS171" s="125"/>
      <c r="BMT171" s="125"/>
      <c r="BMU171" s="125"/>
      <c r="BMV171" s="125"/>
      <c r="BMW171" s="125"/>
      <c r="BMX171" s="125"/>
      <c r="BMY171" s="125"/>
      <c r="BMZ171" s="125"/>
      <c r="BNA171" s="125"/>
      <c r="BNB171" s="125"/>
      <c r="BNC171" s="125"/>
      <c r="BND171" s="125"/>
      <c r="BNE171" s="125"/>
      <c r="BNF171" s="125"/>
      <c r="BNG171" s="125"/>
      <c r="BNH171" s="125"/>
      <c r="BNI171" s="125"/>
      <c r="BNJ171" s="125"/>
      <c r="BNK171" s="125"/>
      <c r="BNL171" s="125"/>
      <c r="BNM171" s="125"/>
      <c r="BNN171" s="125"/>
      <c r="BNO171" s="125"/>
      <c r="BNP171" s="125"/>
      <c r="BNQ171" s="125"/>
      <c r="BNR171" s="125"/>
      <c r="BNS171" s="125"/>
      <c r="BNT171" s="125"/>
      <c r="BNU171" s="125"/>
      <c r="BNV171" s="125"/>
      <c r="BNW171" s="125"/>
      <c r="BNX171" s="125"/>
      <c r="BNY171" s="125"/>
      <c r="BNZ171" s="125"/>
      <c r="BOA171" s="125"/>
      <c r="BOB171" s="125"/>
      <c r="BOC171" s="125"/>
      <c r="BOD171" s="125"/>
      <c r="BOE171" s="125"/>
      <c r="BOF171" s="125"/>
      <c r="BOG171" s="125"/>
      <c r="BOH171" s="125"/>
      <c r="BOI171" s="125"/>
      <c r="BOJ171" s="125"/>
      <c r="BOK171" s="125"/>
      <c r="BOL171" s="125"/>
      <c r="BOM171" s="125"/>
      <c r="BON171" s="125"/>
      <c r="BOO171" s="125"/>
      <c r="BOP171" s="125"/>
      <c r="BOQ171" s="125"/>
      <c r="BOR171" s="125"/>
      <c r="BOS171" s="125"/>
      <c r="BOT171" s="125"/>
      <c r="BOU171" s="125"/>
      <c r="BOV171" s="125"/>
      <c r="BOW171" s="125"/>
      <c r="BOX171" s="125"/>
      <c r="BOY171" s="125"/>
      <c r="BOZ171" s="125"/>
      <c r="BPA171" s="125"/>
      <c r="BPB171" s="125"/>
      <c r="BPC171" s="125"/>
      <c r="BPD171" s="125"/>
      <c r="BPE171" s="125"/>
      <c r="BPF171" s="125"/>
      <c r="BPG171" s="125"/>
      <c r="BPH171" s="125"/>
      <c r="BPI171" s="125"/>
      <c r="BPJ171" s="125"/>
      <c r="BPK171" s="125"/>
      <c r="BPL171" s="125"/>
      <c r="BPM171" s="125"/>
      <c r="BPN171" s="125"/>
      <c r="BPO171" s="125"/>
      <c r="BPP171" s="125"/>
      <c r="BPQ171" s="125"/>
      <c r="BPR171" s="125"/>
      <c r="BPS171" s="125"/>
      <c r="BPT171" s="125"/>
      <c r="BPU171" s="125"/>
      <c r="BPV171" s="125"/>
      <c r="BPW171" s="125"/>
      <c r="BPX171" s="125"/>
      <c r="BPY171" s="125"/>
      <c r="BPZ171" s="125"/>
      <c r="BQA171" s="125"/>
      <c r="BQB171" s="125"/>
      <c r="BQC171" s="125"/>
      <c r="BQD171" s="125"/>
      <c r="BQE171" s="125"/>
      <c r="BQF171" s="125"/>
      <c r="BQG171" s="125"/>
      <c r="BQH171" s="125"/>
      <c r="BQI171" s="125"/>
      <c r="BQJ171" s="125"/>
      <c r="BQK171" s="125"/>
      <c r="BQL171" s="125"/>
      <c r="BQM171" s="125"/>
      <c r="BQN171" s="125"/>
      <c r="BQO171" s="125"/>
      <c r="BQP171" s="125"/>
      <c r="BQQ171" s="125"/>
      <c r="BQR171" s="125"/>
      <c r="BQS171" s="125"/>
      <c r="BQT171" s="125"/>
      <c r="BQU171" s="125"/>
      <c r="BQV171" s="125"/>
      <c r="BQW171" s="125"/>
      <c r="BQX171" s="125"/>
      <c r="BQY171" s="125"/>
      <c r="BQZ171" s="125"/>
      <c r="BRA171" s="125"/>
      <c r="BRB171" s="125"/>
      <c r="BRC171" s="125"/>
      <c r="BRD171" s="125"/>
      <c r="BRE171" s="125"/>
      <c r="BRF171" s="125"/>
      <c r="BRG171" s="125"/>
      <c r="BRH171" s="125"/>
      <c r="BRI171" s="125"/>
      <c r="BRJ171" s="125"/>
      <c r="BRK171" s="125"/>
      <c r="BRL171" s="125"/>
      <c r="BRM171" s="125"/>
      <c r="BRN171" s="125"/>
      <c r="BRO171" s="125"/>
      <c r="BRP171" s="125"/>
      <c r="BRQ171" s="125"/>
      <c r="BRR171" s="125"/>
      <c r="BRS171" s="125"/>
      <c r="BRT171" s="125"/>
      <c r="BRU171" s="125"/>
      <c r="BRV171" s="125"/>
      <c r="BRW171" s="125"/>
      <c r="BRX171" s="125"/>
      <c r="BRY171" s="125"/>
      <c r="BRZ171" s="125"/>
      <c r="BSA171" s="125"/>
      <c r="BSB171" s="125"/>
      <c r="BSC171" s="125"/>
      <c r="BSD171" s="125"/>
      <c r="BSE171" s="125"/>
      <c r="BSF171" s="125"/>
      <c r="BSG171" s="125"/>
      <c r="BSH171" s="125"/>
      <c r="BSI171" s="125"/>
      <c r="BSJ171" s="125"/>
      <c r="BSK171" s="125"/>
      <c r="BSL171" s="125"/>
      <c r="BSM171" s="125"/>
      <c r="BSN171" s="125"/>
      <c r="BSO171" s="125"/>
      <c r="BSP171" s="125"/>
      <c r="BSQ171" s="125"/>
      <c r="BSR171" s="125"/>
      <c r="BSS171" s="125"/>
      <c r="BST171" s="125"/>
      <c r="BSU171" s="125"/>
      <c r="BSV171" s="125"/>
      <c r="BSW171" s="125"/>
      <c r="BSX171" s="125"/>
      <c r="BSY171" s="125"/>
      <c r="BSZ171" s="125"/>
      <c r="BTA171" s="125"/>
      <c r="BTB171" s="125"/>
      <c r="BTC171" s="125"/>
      <c r="BTD171" s="125"/>
      <c r="BTE171" s="125"/>
      <c r="BTF171" s="125"/>
      <c r="BTG171" s="125"/>
      <c r="BTH171" s="125"/>
      <c r="BTI171" s="125"/>
      <c r="BTJ171" s="125"/>
      <c r="BTK171" s="125"/>
      <c r="BTL171" s="125"/>
      <c r="BTM171" s="125"/>
      <c r="BTN171" s="125"/>
      <c r="BTO171" s="125"/>
      <c r="BTP171" s="125"/>
      <c r="BTQ171" s="125"/>
      <c r="BTR171" s="125"/>
      <c r="BTS171" s="125"/>
      <c r="BTT171" s="125"/>
      <c r="BTU171" s="125"/>
      <c r="BTV171" s="125"/>
      <c r="BTW171" s="125"/>
      <c r="BTX171" s="125"/>
      <c r="BTY171" s="125"/>
      <c r="BTZ171" s="125"/>
      <c r="BUA171" s="125"/>
      <c r="BUB171" s="125"/>
      <c r="BUC171" s="125"/>
      <c r="BUD171" s="125"/>
      <c r="BUE171" s="125"/>
      <c r="BUF171" s="125"/>
      <c r="BUG171" s="125"/>
      <c r="BUH171" s="125"/>
      <c r="BUI171" s="125"/>
      <c r="BUJ171" s="125"/>
      <c r="BUK171" s="125"/>
      <c r="BUL171" s="125"/>
      <c r="BUM171" s="125"/>
      <c r="BUN171" s="125"/>
      <c r="BUO171" s="125"/>
      <c r="BUP171" s="125"/>
      <c r="BUQ171" s="125"/>
      <c r="BUR171" s="125"/>
      <c r="BUS171" s="125"/>
      <c r="BUT171" s="125"/>
      <c r="BUU171" s="125"/>
      <c r="BUV171" s="125"/>
      <c r="BUW171" s="125"/>
      <c r="BUX171" s="125"/>
      <c r="BUY171" s="125"/>
      <c r="BUZ171" s="125"/>
      <c r="BVA171" s="125"/>
      <c r="BVB171" s="125"/>
      <c r="BVC171" s="125"/>
      <c r="BVD171" s="125"/>
      <c r="BVE171" s="125"/>
      <c r="BVF171" s="125"/>
      <c r="BVG171" s="125"/>
      <c r="BVH171" s="125"/>
      <c r="BVI171" s="125"/>
      <c r="BVJ171" s="125"/>
      <c r="BVK171" s="125"/>
      <c r="BVL171" s="125"/>
      <c r="BVM171" s="125"/>
      <c r="BVN171" s="125"/>
      <c r="BVO171" s="125"/>
      <c r="BVP171" s="125"/>
      <c r="BVQ171" s="125"/>
      <c r="BVR171" s="125"/>
      <c r="BVS171" s="125"/>
      <c r="BVT171" s="125"/>
      <c r="BVU171" s="125"/>
      <c r="BVV171" s="125"/>
      <c r="BVW171" s="125"/>
      <c r="BVX171" s="125"/>
      <c r="BVY171" s="125"/>
      <c r="BVZ171" s="125"/>
      <c r="BWA171" s="125"/>
      <c r="BWB171" s="125"/>
      <c r="BWC171" s="125"/>
      <c r="BWD171" s="125"/>
      <c r="BWE171" s="125"/>
      <c r="BWF171" s="125"/>
      <c r="BWG171" s="125"/>
      <c r="BWH171" s="125"/>
      <c r="BWI171" s="125"/>
      <c r="BWJ171" s="125"/>
      <c r="BWK171" s="125"/>
      <c r="BWL171" s="125"/>
      <c r="BWM171" s="125"/>
      <c r="BWN171" s="125"/>
      <c r="BWO171" s="125"/>
      <c r="BWP171" s="125"/>
      <c r="BWQ171" s="125"/>
      <c r="BWR171" s="125"/>
      <c r="BWS171" s="125"/>
      <c r="BWT171" s="125"/>
      <c r="BWU171" s="125"/>
      <c r="BWV171" s="125"/>
      <c r="BWW171" s="125"/>
      <c r="BWX171" s="125"/>
      <c r="BWY171" s="125"/>
      <c r="BWZ171" s="125"/>
      <c r="BXA171" s="125"/>
      <c r="BXB171" s="125"/>
      <c r="BXC171" s="125"/>
      <c r="BXD171" s="125"/>
      <c r="BXE171" s="125"/>
      <c r="BXF171" s="125"/>
      <c r="BXG171" s="125"/>
      <c r="BXH171" s="125"/>
      <c r="BXI171" s="125"/>
      <c r="BXJ171" s="125"/>
      <c r="BXK171" s="125"/>
      <c r="BXL171" s="125"/>
      <c r="BXM171" s="125"/>
      <c r="BXN171" s="125"/>
      <c r="BXO171" s="125"/>
      <c r="BXP171" s="125"/>
      <c r="BXQ171" s="125"/>
      <c r="BXR171" s="125"/>
      <c r="BXS171" s="125"/>
      <c r="BXT171" s="125"/>
      <c r="BXU171" s="125"/>
      <c r="BXV171" s="125"/>
      <c r="BXW171" s="125"/>
      <c r="BXX171" s="125"/>
      <c r="BXY171" s="125"/>
      <c r="BXZ171" s="125"/>
      <c r="BYA171" s="125"/>
      <c r="BYB171" s="125"/>
      <c r="BYC171" s="125"/>
      <c r="BYD171" s="125"/>
      <c r="BYE171" s="125"/>
      <c r="BYF171" s="125"/>
      <c r="BYG171" s="125"/>
      <c r="BYH171" s="125"/>
      <c r="BYI171" s="125"/>
      <c r="BYJ171" s="125"/>
      <c r="BYK171" s="125"/>
      <c r="BYL171" s="125"/>
      <c r="BYM171" s="125"/>
      <c r="BYN171" s="125"/>
      <c r="BYO171" s="125"/>
      <c r="BYP171" s="125"/>
      <c r="BYQ171" s="125"/>
      <c r="BYR171" s="125"/>
      <c r="BYS171" s="125"/>
      <c r="BYT171" s="125"/>
      <c r="BYU171" s="125"/>
      <c r="BYV171" s="125"/>
      <c r="BYW171" s="125"/>
      <c r="BYX171" s="125"/>
      <c r="BYY171" s="125"/>
      <c r="BYZ171" s="125"/>
      <c r="BZA171" s="125"/>
      <c r="BZB171" s="125"/>
      <c r="BZC171" s="125"/>
      <c r="BZD171" s="125"/>
      <c r="BZE171" s="125"/>
      <c r="BZF171" s="125"/>
      <c r="BZG171" s="125"/>
      <c r="BZH171" s="125"/>
      <c r="BZI171" s="125"/>
      <c r="BZJ171" s="125"/>
      <c r="BZK171" s="125"/>
      <c r="BZL171" s="125"/>
      <c r="BZM171" s="125"/>
      <c r="BZN171" s="125"/>
      <c r="BZO171" s="125"/>
      <c r="BZP171" s="125"/>
      <c r="BZQ171" s="125"/>
      <c r="BZR171" s="125"/>
      <c r="BZS171" s="125"/>
      <c r="BZT171" s="125"/>
      <c r="BZU171" s="125"/>
      <c r="BZV171" s="125"/>
      <c r="BZW171" s="125"/>
      <c r="BZX171" s="125"/>
      <c r="BZY171" s="125"/>
      <c r="BZZ171" s="125"/>
      <c r="CAA171" s="125"/>
      <c r="CAB171" s="125"/>
      <c r="CAC171" s="125"/>
      <c r="CAD171" s="125"/>
      <c r="CAE171" s="125"/>
      <c r="CAF171" s="125"/>
      <c r="CAG171" s="125"/>
      <c r="CAH171" s="125"/>
      <c r="CAI171" s="125"/>
      <c r="CAJ171" s="125"/>
      <c r="CAK171" s="125"/>
      <c r="CAL171" s="125"/>
      <c r="CAM171" s="125"/>
      <c r="CAN171" s="125"/>
      <c r="CAO171" s="125"/>
      <c r="CAP171" s="125"/>
      <c r="CAQ171" s="125"/>
      <c r="CAR171" s="125"/>
      <c r="CAS171" s="125"/>
      <c r="CAT171" s="125"/>
      <c r="CAU171" s="125"/>
      <c r="CAV171" s="125"/>
      <c r="CAW171" s="125"/>
      <c r="CAX171" s="125"/>
      <c r="CAY171" s="125"/>
      <c r="CAZ171" s="125"/>
      <c r="CBA171" s="125"/>
      <c r="CBB171" s="125"/>
      <c r="CBC171" s="125"/>
      <c r="CBD171" s="125"/>
      <c r="CBE171" s="125"/>
      <c r="CBF171" s="125"/>
      <c r="CBG171" s="125"/>
      <c r="CBH171" s="125"/>
      <c r="CBI171" s="125"/>
      <c r="CBJ171" s="125"/>
      <c r="CBK171" s="125"/>
      <c r="CBL171" s="125"/>
      <c r="CBM171" s="125"/>
      <c r="CBN171" s="125"/>
      <c r="CBO171" s="125"/>
      <c r="CBP171" s="125"/>
      <c r="CBQ171" s="125"/>
      <c r="CBR171" s="125"/>
      <c r="CBS171" s="125"/>
      <c r="CBT171" s="125"/>
      <c r="CBU171" s="125"/>
      <c r="CBV171" s="125"/>
      <c r="CBW171" s="125"/>
      <c r="CBX171" s="125"/>
      <c r="CBY171" s="125"/>
      <c r="CBZ171" s="125"/>
      <c r="CCA171" s="125"/>
      <c r="CCB171" s="125"/>
      <c r="CCC171" s="125"/>
      <c r="CCD171" s="125"/>
      <c r="CCE171" s="125"/>
      <c r="CCF171" s="125"/>
      <c r="CCG171" s="125"/>
      <c r="CCH171" s="125"/>
      <c r="CCI171" s="125"/>
      <c r="CCJ171" s="125"/>
      <c r="CCK171" s="125"/>
      <c r="CCL171" s="125"/>
      <c r="CCM171" s="125"/>
      <c r="CCN171" s="125"/>
      <c r="CCO171" s="125"/>
      <c r="CCP171" s="125"/>
      <c r="CCQ171" s="125"/>
      <c r="CCR171" s="125"/>
      <c r="CCS171" s="125"/>
      <c r="CCT171" s="125"/>
      <c r="CCU171" s="125"/>
      <c r="CCV171" s="125"/>
      <c r="CCW171" s="125"/>
      <c r="CCX171" s="125"/>
      <c r="CCY171" s="125"/>
      <c r="CCZ171" s="125"/>
      <c r="CDA171" s="125"/>
      <c r="CDB171" s="125"/>
      <c r="CDC171" s="125"/>
      <c r="CDD171" s="125"/>
      <c r="CDE171" s="125"/>
      <c r="CDF171" s="125"/>
      <c r="CDG171" s="125"/>
      <c r="CDH171" s="125"/>
      <c r="CDI171" s="125"/>
      <c r="CDJ171" s="125"/>
      <c r="CDK171" s="125"/>
      <c r="CDL171" s="125"/>
      <c r="CDM171" s="125"/>
      <c r="CDN171" s="125"/>
      <c r="CDO171" s="125"/>
      <c r="CDP171" s="125"/>
      <c r="CDQ171" s="125"/>
      <c r="CDR171" s="125"/>
      <c r="CDS171" s="125"/>
      <c r="CDT171" s="125"/>
      <c r="CDU171" s="125"/>
      <c r="CDV171" s="125"/>
      <c r="CDW171" s="125"/>
      <c r="CDX171" s="125"/>
      <c r="CDY171" s="125"/>
      <c r="CDZ171" s="125"/>
      <c r="CEA171" s="125"/>
      <c r="CEB171" s="125"/>
      <c r="CEC171" s="125"/>
      <c r="CED171" s="125"/>
      <c r="CEE171" s="125"/>
      <c r="CEF171" s="125"/>
      <c r="CEG171" s="125"/>
      <c r="CEH171" s="125"/>
      <c r="CEI171" s="125"/>
      <c r="CEJ171" s="125"/>
      <c r="CEK171" s="125"/>
      <c r="CEL171" s="125"/>
      <c r="CEM171" s="125"/>
      <c r="CEN171" s="125"/>
      <c r="CEO171" s="125"/>
      <c r="CEP171" s="125"/>
      <c r="CEQ171" s="125"/>
      <c r="CER171" s="125"/>
      <c r="CES171" s="125"/>
      <c r="CET171" s="125"/>
      <c r="CEU171" s="125"/>
      <c r="CEV171" s="125"/>
      <c r="CEW171" s="125"/>
      <c r="CEX171" s="125"/>
      <c r="CEY171" s="125"/>
      <c r="CEZ171" s="125"/>
      <c r="CFA171" s="125"/>
      <c r="CFB171" s="125"/>
      <c r="CFC171" s="125"/>
      <c r="CFD171" s="125"/>
      <c r="CFE171" s="125"/>
      <c r="CFF171" s="125"/>
      <c r="CFG171" s="125"/>
      <c r="CFH171" s="125"/>
      <c r="CFI171" s="125"/>
      <c r="CFJ171" s="125"/>
      <c r="CFK171" s="125"/>
      <c r="CFL171" s="125"/>
      <c r="CFM171" s="125"/>
      <c r="CFN171" s="125"/>
      <c r="CFO171" s="125"/>
      <c r="CFP171" s="125"/>
      <c r="CFQ171" s="125"/>
      <c r="CFR171" s="125"/>
      <c r="CFS171" s="125"/>
      <c r="CFT171" s="125"/>
      <c r="CFU171" s="125"/>
      <c r="CFV171" s="125"/>
      <c r="CFW171" s="125"/>
      <c r="CFX171" s="125"/>
      <c r="CFY171" s="125"/>
      <c r="CFZ171" s="125"/>
      <c r="CGA171" s="125"/>
      <c r="CGB171" s="125"/>
      <c r="CGC171" s="125"/>
      <c r="CGD171" s="125"/>
      <c r="CGE171" s="125"/>
      <c r="CGF171" s="125"/>
      <c r="CGG171" s="125"/>
      <c r="CGH171" s="125"/>
      <c r="CGI171" s="125"/>
      <c r="CGJ171" s="125"/>
      <c r="CGK171" s="125"/>
      <c r="CGL171" s="125"/>
      <c r="CGM171" s="125"/>
      <c r="CGN171" s="125"/>
      <c r="CGO171" s="125"/>
      <c r="CGP171" s="125"/>
      <c r="CGQ171" s="125"/>
      <c r="CGR171" s="125"/>
      <c r="CGS171" s="125"/>
      <c r="CGT171" s="125"/>
      <c r="CGU171" s="125"/>
      <c r="CGV171" s="125"/>
      <c r="CGW171" s="125"/>
      <c r="CGX171" s="125"/>
      <c r="CGY171" s="125"/>
      <c r="CGZ171" s="125"/>
      <c r="CHA171" s="125"/>
      <c r="CHB171" s="125"/>
      <c r="CHC171" s="125"/>
      <c r="CHD171" s="125"/>
      <c r="CHE171" s="125"/>
      <c r="CHF171" s="125"/>
      <c r="CHG171" s="125"/>
      <c r="CHH171" s="125"/>
      <c r="CHI171" s="125"/>
      <c r="CHJ171" s="125"/>
      <c r="CHK171" s="125"/>
      <c r="CHL171" s="125"/>
      <c r="CHM171" s="125"/>
      <c r="CHN171" s="125"/>
      <c r="CHO171" s="125"/>
      <c r="CHP171" s="125"/>
      <c r="CHQ171" s="125"/>
      <c r="CHR171" s="125"/>
      <c r="CHS171" s="125"/>
      <c r="CHT171" s="125"/>
      <c r="CHU171" s="125"/>
      <c r="CHV171" s="125"/>
      <c r="CHW171" s="125"/>
      <c r="CHX171" s="125"/>
      <c r="CHY171" s="125"/>
      <c r="CHZ171" s="125"/>
      <c r="CIA171" s="125"/>
      <c r="CIB171" s="125"/>
      <c r="CIC171" s="125"/>
      <c r="CID171" s="125"/>
      <c r="CIE171" s="125"/>
      <c r="CIF171" s="125"/>
      <c r="CIG171" s="125"/>
      <c r="CIH171" s="125"/>
      <c r="CII171" s="125"/>
      <c r="CIJ171" s="125"/>
      <c r="CIK171" s="125"/>
      <c r="CIL171" s="125"/>
      <c r="CIM171" s="125"/>
      <c r="CIN171" s="125"/>
      <c r="CIO171" s="125"/>
      <c r="CIP171" s="125"/>
      <c r="CIQ171" s="125"/>
      <c r="CIR171" s="125"/>
      <c r="CIS171" s="125"/>
      <c r="CIT171" s="125"/>
      <c r="CIU171" s="125"/>
      <c r="CIV171" s="125"/>
      <c r="CIW171" s="125"/>
      <c r="CIX171" s="125"/>
      <c r="CIY171" s="125"/>
      <c r="CIZ171" s="125"/>
      <c r="CJA171" s="125"/>
      <c r="CJB171" s="125"/>
      <c r="CJC171" s="125"/>
      <c r="CJD171" s="125"/>
      <c r="CJE171" s="125"/>
      <c r="CJF171" s="125"/>
      <c r="CJG171" s="125"/>
      <c r="CJH171" s="125"/>
      <c r="CJI171" s="125"/>
      <c r="CJJ171" s="125"/>
      <c r="CJK171" s="125"/>
      <c r="CJL171" s="125"/>
      <c r="CJM171" s="125"/>
      <c r="CJN171" s="125"/>
      <c r="CJO171" s="125"/>
      <c r="CJP171" s="125"/>
      <c r="CJQ171" s="125"/>
      <c r="CJR171" s="125"/>
      <c r="CJS171" s="125"/>
      <c r="CJT171" s="125"/>
      <c r="CJU171" s="125"/>
      <c r="CJV171" s="125"/>
      <c r="CJW171" s="125"/>
      <c r="CJX171" s="125"/>
      <c r="CJY171" s="125"/>
      <c r="CJZ171" s="125"/>
      <c r="CKA171" s="125"/>
      <c r="CKB171" s="125"/>
      <c r="CKC171" s="125"/>
      <c r="CKD171" s="125"/>
      <c r="CKE171" s="125"/>
      <c r="CKF171" s="125"/>
      <c r="CKG171" s="125"/>
      <c r="CKH171" s="125"/>
      <c r="CKI171" s="125"/>
      <c r="CKJ171" s="125"/>
      <c r="CKK171" s="125"/>
      <c r="CKL171" s="125"/>
      <c r="CKM171" s="125"/>
      <c r="CKN171" s="125"/>
      <c r="CKO171" s="125"/>
      <c r="CKP171" s="125"/>
      <c r="CKQ171" s="125"/>
      <c r="CKR171" s="125"/>
      <c r="CKS171" s="125"/>
      <c r="CKT171" s="125"/>
      <c r="CKU171" s="125"/>
      <c r="CKV171" s="125"/>
      <c r="CKW171" s="125"/>
      <c r="CKX171" s="125"/>
      <c r="CKY171" s="125"/>
      <c r="CKZ171" s="125"/>
      <c r="CLA171" s="125"/>
      <c r="CLB171" s="125"/>
      <c r="CLC171" s="125"/>
      <c r="CLD171" s="125"/>
      <c r="CLE171" s="125"/>
      <c r="CLF171" s="125"/>
      <c r="CLG171" s="125"/>
      <c r="CLH171" s="125"/>
      <c r="CLI171" s="125"/>
      <c r="CLJ171" s="125"/>
      <c r="CLK171" s="125"/>
      <c r="CLL171" s="125"/>
      <c r="CLM171" s="125"/>
      <c r="CLN171" s="125"/>
      <c r="CLO171" s="125"/>
      <c r="CLP171" s="125"/>
      <c r="CLQ171" s="125"/>
      <c r="CLR171" s="125"/>
      <c r="CLS171" s="125"/>
      <c r="CLT171" s="125"/>
      <c r="CLU171" s="125"/>
      <c r="CLV171" s="125"/>
      <c r="CLW171" s="125"/>
      <c r="CLX171" s="125"/>
      <c r="CLY171" s="125"/>
      <c r="CLZ171" s="125"/>
      <c r="CMA171" s="125"/>
      <c r="CMB171" s="125"/>
      <c r="CMC171" s="125"/>
      <c r="CMD171" s="125"/>
      <c r="CME171" s="125"/>
      <c r="CMF171" s="125"/>
      <c r="CMG171" s="125"/>
      <c r="CMH171" s="125"/>
      <c r="CMI171" s="125"/>
      <c r="CMJ171" s="125"/>
      <c r="CMK171" s="125"/>
      <c r="CML171" s="125"/>
      <c r="CMM171" s="125"/>
      <c r="CMN171" s="125"/>
      <c r="CMO171" s="125"/>
      <c r="CMP171" s="125"/>
      <c r="CMQ171" s="125"/>
      <c r="CMR171" s="125"/>
      <c r="CMS171" s="125"/>
      <c r="CMT171" s="125"/>
      <c r="CMU171" s="125"/>
      <c r="CMV171" s="125"/>
      <c r="CMW171" s="125"/>
      <c r="CMX171" s="125"/>
      <c r="CMY171" s="125"/>
      <c r="CMZ171" s="125"/>
      <c r="CNA171" s="125"/>
      <c r="CNB171" s="125"/>
      <c r="CNC171" s="125"/>
      <c r="CND171" s="125"/>
      <c r="CNE171" s="125"/>
      <c r="CNF171" s="125"/>
      <c r="CNG171" s="125"/>
      <c r="CNH171" s="125"/>
      <c r="CNI171" s="125"/>
      <c r="CNJ171" s="125"/>
      <c r="CNK171" s="125"/>
      <c r="CNL171" s="125"/>
      <c r="CNM171" s="125"/>
      <c r="CNN171" s="125"/>
      <c r="CNO171" s="125"/>
      <c r="CNP171" s="125"/>
      <c r="CNQ171" s="125"/>
      <c r="CNR171" s="125"/>
      <c r="CNS171" s="125"/>
      <c r="CNT171" s="125"/>
      <c r="CNU171" s="125"/>
      <c r="CNV171" s="125"/>
      <c r="CNW171" s="125"/>
      <c r="CNX171" s="125"/>
      <c r="CNY171" s="125"/>
      <c r="CNZ171" s="125"/>
      <c r="COA171" s="125"/>
      <c r="COB171" s="125"/>
      <c r="COC171" s="125"/>
      <c r="COD171" s="125"/>
      <c r="COE171" s="125"/>
      <c r="COF171" s="125"/>
      <c r="COG171" s="125"/>
      <c r="COH171" s="125"/>
      <c r="COI171" s="125"/>
      <c r="COJ171" s="125"/>
      <c r="COK171" s="125"/>
      <c r="COL171" s="125"/>
      <c r="COM171" s="125"/>
      <c r="CON171" s="125"/>
      <c r="COO171" s="125"/>
      <c r="COP171" s="125"/>
      <c r="COQ171" s="125"/>
      <c r="COR171" s="125"/>
      <c r="COS171" s="125"/>
      <c r="COT171" s="125"/>
      <c r="COU171" s="125"/>
      <c r="COV171" s="125"/>
      <c r="COW171" s="125"/>
      <c r="COX171" s="125"/>
      <c r="COY171" s="125"/>
      <c r="COZ171" s="125"/>
      <c r="CPA171" s="125"/>
      <c r="CPB171" s="125"/>
      <c r="CPC171" s="125"/>
      <c r="CPD171" s="125"/>
      <c r="CPE171" s="125"/>
      <c r="CPF171" s="125"/>
      <c r="CPG171" s="125"/>
      <c r="CPH171" s="125"/>
      <c r="CPI171" s="125"/>
      <c r="CPJ171" s="125"/>
      <c r="CPK171" s="125"/>
      <c r="CPL171" s="125"/>
      <c r="CPM171" s="125"/>
      <c r="CPN171" s="125"/>
      <c r="CPO171" s="125"/>
      <c r="CPP171" s="125"/>
      <c r="CPQ171" s="125"/>
      <c r="CPR171" s="125"/>
      <c r="CPS171" s="125"/>
      <c r="CPT171" s="125"/>
      <c r="CPU171" s="125"/>
      <c r="CPV171" s="125"/>
      <c r="CPW171" s="125"/>
      <c r="CPX171" s="125"/>
      <c r="CPY171" s="125"/>
      <c r="CPZ171" s="125"/>
      <c r="CQA171" s="125"/>
      <c r="CQB171" s="125"/>
      <c r="CQC171" s="125"/>
      <c r="CQD171" s="125"/>
      <c r="CQE171" s="125"/>
      <c r="CQF171" s="125"/>
      <c r="CQG171" s="125"/>
      <c r="CQH171" s="125"/>
      <c r="CQI171" s="125"/>
      <c r="CQJ171" s="125"/>
      <c r="CQK171" s="125"/>
      <c r="CQL171" s="125"/>
      <c r="CQM171" s="125"/>
      <c r="CQN171" s="125"/>
      <c r="CQO171" s="125"/>
      <c r="CQP171" s="125"/>
      <c r="CQQ171" s="125"/>
      <c r="CQR171" s="125"/>
      <c r="CQS171" s="125"/>
      <c r="CQT171" s="125"/>
      <c r="CQU171" s="125"/>
      <c r="CQV171" s="125"/>
      <c r="CQW171" s="125"/>
      <c r="CQX171" s="125"/>
      <c r="CQY171" s="125"/>
      <c r="CQZ171" s="125"/>
      <c r="CRA171" s="125"/>
      <c r="CRB171" s="125"/>
      <c r="CRC171" s="125"/>
      <c r="CRD171" s="125"/>
      <c r="CRE171" s="125"/>
      <c r="CRF171" s="125"/>
      <c r="CRG171" s="125"/>
      <c r="CRH171" s="125"/>
      <c r="CRI171" s="125"/>
      <c r="CRJ171" s="125"/>
      <c r="CRK171" s="125"/>
      <c r="CRL171" s="125"/>
      <c r="CRM171" s="125"/>
      <c r="CRN171" s="125"/>
      <c r="CRO171" s="125"/>
      <c r="CRP171" s="125"/>
      <c r="CRQ171" s="125"/>
      <c r="CRR171" s="125"/>
      <c r="CRS171" s="125"/>
      <c r="CRT171" s="125"/>
      <c r="CRU171" s="125"/>
      <c r="CRV171" s="125"/>
      <c r="CRW171" s="125"/>
      <c r="CRX171" s="125"/>
      <c r="CRY171" s="125"/>
      <c r="CRZ171" s="125"/>
      <c r="CSA171" s="125"/>
      <c r="CSB171" s="125"/>
      <c r="CSC171" s="125"/>
      <c r="CSD171" s="125"/>
      <c r="CSE171" s="125"/>
      <c r="CSF171" s="125"/>
      <c r="CSG171" s="125"/>
      <c r="CSH171" s="125"/>
      <c r="CSI171" s="125"/>
      <c r="CSJ171" s="125"/>
      <c r="CSK171" s="125"/>
      <c r="CSL171" s="125"/>
      <c r="CSM171" s="125"/>
      <c r="CSN171" s="125"/>
      <c r="CSO171" s="125"/>
      <c r="CSP171" s="125"/>
      <c r="CSQ171" s="125"/>
      <c r="CSR171" s="125"/>
      <c r="CSS171" s="125"/>
      <c r="CST171" s="125"/>
      <c r="CSU171" s="125"/>
      <c r="CSV171" s="125"/>
      <c r="CSW171" s="125"/>
      <c r="CSX171" s="125"/>
      <c r="CSY171" s="125"/>
      <c r="CSZ171" s="125"/>
      <c r="CTA171" s="125"/>
      <c r="CTB171" s="125"/>
      <c r="CTC171" s="125"/>
      <c r="CTD171" s="125"/>
      <c r="CTE171" s="125"/>
      <c r="CTF171" s="125"/>
      <c r="CTG171" s="125"/>
      <c r="CTH171" s="125"/>
      <c r="CTI171" s="125"/>
      <c r="CTJ171" s="125"/>
      <c r="CTK171" s="125"/>
      <c r="CTL171" s="125"/>
      <c r="CTM171" s="125"/>
      <c r="CTN171" s="125"/>
      <c r="CTO171" s="125"/>
      <c r="CTP171" s="125"/>
      <c r="CTQ171" s="125"/>
      <c r="CTR171" s="125"/>
      <c r="CTS171" s="125"/>
      <c r="CTT171" s="125"/>
      <c r="CTU171" s="125"/>
      <c r="CTV171" s="125"/>
      <c r="CTW171" s="125"/>
      <c r="CTX171" s="125"/>
      <c r="CTY171" s="125"/>
      <c r="CTZ171" s="125"/>
      <c r="CUA171" s="125"/>
      <c r="CUB171" s="125"/>
      <c r="CUC171" s="125"/>
      <c r="CUD171" s="125"/>
      <c r="CUE171" s="125"/>
      <c r="CUF171" s="125"/>
      <c r="CUG171" s="125"/>
      <c r="CUH171" s="125"/>
      <c r="CUI171" s="125"/>
      <c r="CUJ171" s="125"/>
      <c r="CUK171" s="125"/>
      <c r="CUL171" s="125"/>
      <c r="CUM171" s="125"/>
      <c r="CUN171" s="125"/>
      <c r="CUO171" s="125"/>
      <c r="CUP171" s="125"/>
      <c r="CUQ171" s="125"/>
      <c r="CUR171" s="125"/>
      <c r="CUS171" s="125"/>
      <c r="CUT171" s="125"/>
      <c r="CUU171" s="125"/>
      <c r="CUV171" s="125"/>
      <c r="CUW171" s="125"/>
      <c r="CUX171" s="125"/>
      <c r="CUY171" s="125"/>
      <c r="CUZ171" s="125"/>
      <c r="CVA171" s="125"/>
      <c r="CVB171" s="125"/>
      <c r="CVC171" s="125"/>
      <c r="CVD171" s="125"/>
      <c r="CVE171" s="125"/>
      <c r="CVF171" s="125"/>
      <c r="CVG171" s="125"/>
      <c r="CVH171" s="125"/>
      <c r="CVI171" s="125"/>
      <c r="CVJ171" s="125"/>
      <c r="CVK171" s="125"/>
      <c r="CVL171" s="125"/>
      <c r="CVM171" s="125"/>
      <c r="CVN171" s="125"/>
      <c r="CVO171" s="125"/>
      <c r="CVP171" s="125"/>
      <c r="CVQ171" s="125"/>
      <c r="CVR171" s="125"/>
      <c r="CVS171" s="125"/>
      <c r="CVT171" s="125"/>
      <c r="CVU171" s="125"/>
      <c r="CVV171" s="125"/>
      <c r="CVW171" s="125"/>
      <c r="CVX171" s="125"/>
      <c r="CVY171" s="125"/>
      <c r="CVZ171" s="125"/>
      <c r="CWA171" s="125"/>
      <c r="CWB171" s="125"/>
      <c r="CWC171" s="125"/>
      <c r="CWD171" s="125"/>
      <c r="CWE171" s="125"/>
      <c r="CWF171" s="125"/>
      <c r="CWG171" s="125"/>
      <c r="CWH171" s="125"/>
      <c r="CWI171" s="125"/>
      <c r="CWJ171" s="125"/>
      <c r="CWK171" s="125"/>
      <c r="CWL171" s="125"/>
      <c r="CWM171" s="125"/>
      <c r="CWN171" s="125"/>
      <c r="CWO171" s="125"/>
      <c r="CWP171" s="125"/>
      <c r="CWQ171" s="125"/>
      <c r="CWR171" s="125"/>
      <c r="CWS171" s="125"/>
      <c r="CWT171" s="125"/>
      <c r="CWU171" s="125"/>
      <c r="CWV171" s="125"/>
      <c r="CWW171" s="125"/>
      <c r="CWX171" s="125"/>
      <c r="CWY171" s="125"/>
      <c r="CWZ171" s="125"/>
      <c r="CXA171" s="125"/>
      <c r="CXB171" s="125"/>
      <c r="CXC171" s="125"/>
      <c r="CXD171" s="125"/>
      <c r="CXE171" s="125"/>
      <c r="CXF171" s="125"/>
      <c r="CXG171" s="125"/>
      <c r="CXH171" s="125"/>
      <c r="CXI171" s="125"/>
      <c r="CXJ171" s="125"/>
      <c r="CXK171" s="125"/>
      <c r="CXL171" s="125"/>
      <c r="CXM171" s="125"/>
      <c r="CXN171" s="125"/>
      <c r="CXO171" s="125"/>
      <c r="CXP171" s="125"/>
      <c r="CXQ171" s="125"/>
      <c r="CXR171" s="125"/>
      <c r="CXS171" s="125"/>
      <c r="CXT171" s="125"/>
      <c r="CXU171" s="125"/>
      <c r="CXV171" s="125"/>
      <c r="CXW171" s="125"/>
      <c r="CXX171" s="125"/>
      <c r="CXY171" s="125"/>
      <c r="CXZ171" s="125"/>
      <c r="CYA171" s="125"/>
      <c r="CYB171" s="125"/>
      <c r="CYC171" s="125"/>
      <c r="CYD171" s="125"/>
      <c r="CYE171" s="125"/>
      <c r="CYF171" s="125"/>
      <c r="CYG171" s="125"/>
      <c r="CYH171" s="125"/>
      <c r="CYI171" s="125"/>
      <c r="CYJ171" s="125"/>
      <c r="CYK171" s="125"/>
      <c r="CYL171" s="125"/>
      <c r="CYM171" s="125"/>
      <c r="CYN171" s="125"/>
      <c r="CYO171" s="125"/>
      <c r="CYP171" s="125"/>
      <c r="CYQ171" s="125"/>
      <c r="CYR171" s="125"/>
      <c r="CYS171" s="125"/>
      <c r="CYT171" s="125"/>
      <c r="CYU171" s="125"/>
      <c r="CYV171" s="125"/>
      <c r="CYW171" s="125"/>
      <c r="CYX171" s="125"/>
      <c r="CYY171" s="125"/>
      <c r="CYZ171" s="125"/>
      <c r="CZA171" s="125"/>
      <c r="CZB171" s="125"/>
      <c r="CZC171" s="125"/>
      <c r="CZD171" s="125"/>
      <c r="CZE171" s="125"/>
      <c r="CZF171" s="125"/>
      <c r="CZG171" s="125"/>
      <c r="CZH171" s="125"/>
      <c r="CZI171" s="125"/>
      <c r="CZJ171" s="125"/>
      <c r="CZK171" s="125"/>
      <c r="CZL171" s="125"/>
      <c r="CZM171" s="125"/>
      <c r="CZN171" s="125"/>
      <c r="CZO171" s="125"/>
      <c r="CZP171" s="125"/>
      <c r="CZQ171" s="125"/>
      <c r="CZR171" s="125"/>
      <c r="CZS171" s="125"/>
      <c r="CZT171" s="125"/>
      <c r="CZU171" s="125"/>
      <c r="CZV171" s="125"/>
      <c r="CZW171" s="125"/>
      <c r="CZX171" s="125"/>
      <c r="CZY171" s="125"/>
      <c r="CZZ171" s="125"/>
      <c r="DAA171" s="125"/>
      <c r="DAB171" s="125"/>
      <c r="DAC171" s="125"/>
      <c r="DAD171" s="125"/>
      <c r="DAE171" s="125"/>
      <c r="DAF171" s="125"/>
      <c r="DAG171" s="125"/>
      <c r="DAH171" s="125"/>
      <c r="DAI171" s="125"/>
      <c r="DAJ171" s="125"/>
      <c r="DAK171" s="125"/>
      <c r="DAL171" s="125"/>
      <c r="DAM171" s="125"/>
      <c r="DAN171" s="125"/>
      <c r="DAO171" s="125"/>
      <c r="DAP171" s="125"/>
      <c r="DAQ171" s="125"/>
      <c r="DAR171" s="125"/>
      <c r="DAS171" s="125"/>
      <c r="DAT171" s="125"/>
      <c r="DAU171" s="125"/>
      <c r="DAV171" s="125"/>
      <c r="DAW171" s="125"/>
      <c r="DAX171" s="125"/>
      <c r="DAY171" s="125"/>
      <c r="DAZ171" s="125"/>
      <c r="DBA171" s="125"/>
      <c r="DBB171" s="125"/>
      <c r="DBC171" s="125"/>
      <c r="DBD171" s="125"/>
      <c r="DBE171" s="125"/>
      <c r="DBF171" s="125"/>
      <c r="DBG171" s="125"/>
      <c r="DBH171" s="125"/>
      <c r="DBI171" s="125"/>
      <c r="DBJ171" s="125"/>
      <c r="DBK171" s="125"/>
      <c r="DBL171" s="125"/>
      <c r="DBM171" s="125"/>
      <c r="DBN171" s="125"/>
      <c r="DBO171" s="125"/>
      <c r="DBP171" s="125"/>
      <c r="DBQ171" s="125"/>
      <c r="DBR171" s="125"/>
      <c r="DBS171" s="125"/>
      <c r="DBT171" s="125"/>
      <c r="DBU171" s="125"/>
      <c r="DBV171" s="125"/>
      <c r="DBW171" s="125"/>
      <c r="DBX171" s="125"/>
      <c r="DBY171" s="125"/>
      <c r="DBZ171" s="125"/>
      <c r="DCA171" s="125"/>
      <c r="DCB171" s="125"/>
      <c r="DCC171" s="125"/>
      <c r="DCD171" s="125"/>
      <c r="DCE171" s="125"/>
      <c r="DCF171" s="125"/>
      <c r="DCG171" s="125"/>
      <c r="DCH171" s="125"/>
      <c r="DCI171" s="125"/>
      <c r="DCJ171" s="125"/>
      <c r="DCK171" s="125"/>
      <c r="DCL171" s="125"/>
      <c r="DCM171" s="125"/>
      <c r="DCN171" s="125"/>
      <c r="DCO171" s="125"/>
      <c r="DCP171" s="125"/>
      <c r="DCQ171" s="125"/>
      <c r="DCR171" s="125"/>
      <c r="DCS171" s="125"/>
      <c r="DCT171" s="125"/>
      <c r="DCU171" s="125"/>
      <c r="DCV171" s="125"/>
      <c r="DCW171" s="125"/>
      <c r="DCX171" s="125"/>
      <c r="DCY171" s="125"/>
      <c r="DCZ171" s="125"/>
      <c r="DDA171" s="125"/>
      <c r="DDB171" s="125"/>
      <c r="DDC171" s="125"/>
      <c r="DDD171" s="125"/>
      <c r="DDE171" s="125"/>
      <c r="DDF171" s="125"/>
      <c r="DDG171" s="125"/>
      <c r="DDH171" s="125"/>
      <c r="DDI171" s="125"/>
      <c r="DDJ171" s="125"/>
      <c r="DDK171" s="125"/>
      <c r="DDL171" s="125"/>
      <c r="DDM171" s="125"/>
      <c r="DDN171" s="125"/>
      <c r="DDO171" s="125"/>
      <c r="DDP171" s="125"/>
      <c r="DDQ171" s="125"/>
      <c r="DDR171" s="125"/>
      <c r="DDS171" s="125"/>
      <c r="DDT171" s="125"/>
      <c r="DDU171" s="125"/>
      <c r="DDV171" s="125"/>
      <c r="DDW171" s="125"/>
      <c r="DDX171" s="125"/>
      <c r="DDY171" s="125"/>
      <c r="DDZ171" s="125"/>
      <c r="DEA171" s="125"/>
      <c r="DEB171" s="125"/>
      <c r="DEC171" s="125"/>
      <c r="DED171" s="125"/>
      <c r="DEE171" s="125"/>
      <c r="DEF171" s="125"/>
      <c r="DEG171" s="125"/>
      <c r="DEH171" s="125"/>
      <c r="DEI171" s="125"/>
      <c r="DEJ171" s="125"/>
      <c r="DEK171" s="125"/>
      <c r="DEL171" s="125"/>
      <c r="DEM171" s="125"/>
      <c r="DEN171" s="125"/>
      <c r="DEO171" s="125"/>
      <c r="DEP171" s="125"/>
      <c r="DEQ171" s="125"/>
      <c r="DER171" s="125"/>
      <c r="DES171" s="125"/>
      <c r="DET171" s="125"/>
      <c r="DEU171" s="125"/>
      <c r="DEV171" s="125"/>
      <c r="DEW171" s="125"/>
      <c r="DEX171" s="125"/>
      <c r="DEY171" s="125"/>
      <c r="DEZ171" s="125"/>
      <c r="DFA171" s="125"/>
      <c r="DFB171" s="125"/>
      <c r="DFC171" s="125"/>
      <c r="DFD171" s="125"/>
      <c r="DFE171" s="125"/>
      <c r="DFF171" s="125"/>
      <c r="DFG171" s="125"/>
      <c r="DFH171" s="125"/>
      <c r="DFI171" s="125"/>
      <c r="DFJ171" s="125"/>
      <c r="DFK171" s="125"/>
      <c r="DFL171" s="125"/>
      <c r="DFM171" s="125"/>
      <c r="DFN171" s="125"/>
      <c r="DFO171" s="125"/>
      <c r="DFP171" s="125"/>
      <c r="DFQ171" s="125"/>
      <c r="DFR171" s="125"/>
      <c r="DFS171" s="125"/>
      <c r="DFT171" s="125"/>
      <c r="DFU171" s="125"/>
      <c r="DFV171" s="125"/>
      <c r="DFW171" s="125"/>
      <c r="DFX171" s="125"/>
      <c r="DFY171" s="125"/>
      <c r="DFZ171" s="125"/>
      <c r="DGA171" s="125"/>
      <c r="DGB171" s="125"/>
      <c r="DGC171" s="125"/>
      <c r="DGD171" s="125"/>
      <c r="DGE171" s="125"/>
      <c r="DGF171" s="125"/>
      <c r="DGG171" s="125"/>
      <c r="DGH171" s="125"/>
      <c r="DGI171" s="125"/>
      <c r="DGJ171" s="125"/>
      <c r="DGK171" s="125"/>
      <c r="DGL171" s="125"/>
      <c r="DGM171" s="125"/>
      <c r="DGN171" s="125"/>
      <c r="DGO171" s="125"/>
      <c r="DGP171" s="125"/>
      <c r="DGQ171" s="125"/>
      <c r="DGR171" s="125"/>
      <c r="DGS171" s="125"/>
      <c r="DGT171" s="125"/>
      <c r="DGU171" s="125"/>
      <c r="DGV171" s="125"/>
      <c r="DGW171" s="125"/>
      <c r="DGX171" s="125"/>
      <c r="DGY171" s="125"/>
      <c r="DGZ171" s="125"/>
      <c r="DHA171" s="125"/>
      <c r="DHB171" s="125"/>
      <c r="DHC171" s="125"/>
      <c r="DHD171" s="125"/>
      <c r="DHE171" s="125"/>
      <c r="DHF171" s="125"/>
      <c r="DHG171" s="125"/>
      <c r="DHH171" s="125"/>
      <c r="DHI171" s="125"/>
      <c r="DHJ171" s="125"/>
      <c r="DHK171" s="125"/>
      <c r="DHL171" s="125"/>
      <c r="DHM171" s="125"/>
      <c r="DHN171" s="125"/>
      <c r="DHO171" s="125"/>
      <c r="DHP171" s="125"/>
      <c r="DHQ171" s="125"/>
      <c r="DHR171" s="125"/>
      <c r="DHS171" s="125"/>
      <c r="DHT171" s="125"/>
      <c r="DHU171" s="125"/>
      <c r="DHV171" s="125"/>
      <c r="DHW171" s="125"/>
      <c r="DHX171" s="125"/>
      <c r="DHY171" s="125"/>
      <c r="DHZ171" s="125"/>
      <c r="DIA171" s="125"/>
      <c r="DIB171" s="125"/>
      <c r="DIC171" s="125"/>
      <c r="DID171" s="125"/>
      <c r="DIE171" s="125"/>
      <c r="DIF171" s="125"/>
      <c r="DIG171" s="125"/>
      <c r="DIH171" s="125"/>
      <c r="DII171" s="125"/>
      <c r="DIJ171" s="125"/>
      <c r="DIK171" s="125"/>
      <c r="DIL171" s="125"/>
      <c r="DIM171" s="125"/>
      <c r="DIN171" s="125"/>
      <c r="DIO171" s="125"/>
      <c r="DIP171" s="125"/>
      <c r="DIQ171" s="125"/>
      <c r="DIR171" s="125"/>
      <c r="DIS171" s="125"/>
      <c r="DIT171" s="125"/>
      <c r="DIU171" s="125"/>
      <c r="DIV171" s="125"/>
      <c r="DIW171" s="125"/>
      <c r="DIX171" s="125"/>
      <c r="DIY171" s="125"/>
      <c r="DIZ171" s="125"/>
      <c r="DJA171" s="125"/>
      <c r="DJB171" s="125"/>
      <c r="DJC171" s="125"/>
      <c r="DJD171" s="125"/>
      <c r="DJE171" s="125"/>
      <c r="DJF171" s="125"/>
      <c r="DJG171" s="125"/>
      <c r="DJH171" s="125"/>
      <c r="DJI171" s="125"/>
      <c r="DJJ171" s="125"/>
      <c r="DJK171" s="125"/>
      <c r="DJL171" s="125"/>
      <c r="DJM171" s="125"/>
      <c r="DJN171" s="125"/>
      <c r="DJO171" s="125"/>
      <c r="DJP171" s="125"/>
      <c r="DJQ171" s="125"/>
      <c r="DJR171" s="125"/>
      <c r="DJS171" s="125"/>
      <c r="DJT171" s="125"/>
      <c r="DJU171" s="125"/>
      <c r="DJV171" s="125"/>
      <c r="DJW171" s="125"/>
      <c r="DJX171" s="125"/>
      <c r="DJY171" s="125"/>
      <c r="DJZ171" s="125"/>
      <c r="DKA171" s="125"/>
      <c r="DKB171" s="125"/>
      <c r="DKC171" s="125"/>
      <c r="DKD171" s="125"/>
      <c r="DKE171" s="125"/>
      <c r="DKF171" s="125"/>
      <c r="DKG171" s="125"/>
      <c r="DKH171" s="125"/>
      <c r="DKI171" s="125"/>
      <c r="DKJ171" s="125"/>
      <c r="DKK171" s="125"/>
      <c r="DKL171" s="125"/>
      <c r="DKM171" s="125"/>
      <c r="DKN171" s="125"/>
      <c r="DKO171" s="125"/>
      <c r="DKP171" s="125"/>
      <c r="DKQ171" s="125"/>
      <c r="DKR171" s="125"/>
      <c r="DKS171" s="125"/>
      <c r="DKT171" s="125"/>
      <c r="DKU171" s="125"/>
      <c r="DKV171" s="125"/>
      <c r="DKW171" s="125"/>
      <c r="DKX171" s="125"/>
      <c r="DKY171" s="125"/>
      <c r="DKZ171" s="125"/>
      <c r="DLA171" s="125"/>
      <c r="DLB171" s="125"/>
      <c r="DLC171" s="125"/>
      <c r="DLD171" s="125"/>
      <c r="DLE171" s="125"/>
      <c r="DLF171" s="125"/>
      <c r="DLG171" s="125"/>
      <c r="DLH171" s="125"/>
      <c r="DLI171" s="125"/>
      <c r="DLJ171" s="125"/>
      <c r="DLK171" s="125"/>
      <c r="DLL171" s="125"/>
      <c r="DLM171" s="125"/>
      <c r="DLN171" s="125"/>
      <c r="DLO171" s="125"/>
      <c r="DLP171" s="125"/>
      <c r="DLQ171" s="125"/>
      <c r="DLR171" s="125"/>
      <c r="DLS171" s="125"/>
      <c r="DLT171" s="125"/>
      <c r="DLU171" s="125"/>
      <c r="DLV171" s="125"/>
      <c r="DLW171" s="125"/>
      <c r="DLX171" s="125"/>
      <c r="DLY171" s="125"/>
      <c r="DLZ171" s="125"/>
      <c r="DMA171" s="125"/>
      <c r="DMB171" s="125"/>
      <c r="DMC171" s="125"/>
      <c r="DMD171" s="125"/>
      <c r="DME171" s="125"/>
      <c r="DMF171" s="125"/>
      <c r="DMG171" s="125"/>
      <c r="DMH171" s="125"/>
      <c r="DMI171" s="125"/>
      <c r="DMJ171" s="125"/>
      <c r="DMK171" s="125"/>
      <c r="DML171" s="125"/>
      <c r="DMM171" s="125"/>
      <c r="DMN171" s="125"/>
      <c r="DMO171" s="125"/>
      <c r="DMP171" s="125"/>
      <c r="DMQ171" s="125"/>
      <c r="DMR171" s="125"/>
      <c r="DMS171" s="125"/>
      <c r="DMT171" s="125"/>
      <c r="DMU171" s="125"/>
      <c r="DMV171" s="125"/>
      <c r="DMW171" s="125"/>
      <c r="DMX171" s="125"/>
      <c r="DMY171" s="125"/>
      <c r="DMZ171" s="125"/>
      <c r="DNA171" s="125"/>
      <c r="DNB171" s="125"/>
      <c r="DNC171" s="125"/>
      <c r="DND171" s="125"/>
      <c r="DNE171" s="125"/>
      <c r="DNF171" s="125"/>
      <c r="DNG171" s="125"/>
      <c r="DNH171" s="125"/>
      <c r="DNI171" s="125"/>
      <c r="DNJ171" s="125"/>
      <c r="DNK171" s="125"/>
      <c r="DNL171" s="125"/>
      <c r="DNM171" s="125"/>
      <c r="DNN171" s="125"/>
      <c r="DNO171" s="125"/>
      <c r="DNP171" s="125"/>
      <c r="DNQ171" s="125"/>
      <c r="DNR171" s="125"/>
      <c r="DNS171" s="125"/>
      <c r="DNT171" s="125"/>
      <c r="DNU171" s="125"/>
      <c r="DNV171" s="125"/>
      <c r="DNW171" s="125"/>
      <c r="DNX171" s="125"/>
      <c r="DNY171" s="125"/>
      <c r="DNZ171" s="125"/>
      <c r="DOA171" s="125"/>
      <c r="DOB171" s="125"/>
      <c r="DOC171" s="125"/>
      <c r="DOD171" s="125"/>
      <c r="DOE171" s="125"/>
      <c r="DOF171" s="125"/>
      <c r="DOG171" s="125"/>
      <c r="DOH171" s="125"/>
      <c r="DOI171" s="125"/>
      <c r="DOJ171" s="125"/>
      <c r="DOK171" s="125"/>
      <c r="DOL171" s="125"/>
      <c r="DOM171" s="125"/>
      <c r="DON171" s="125"/>
      <c r="DOO171" s="125"/>
      <c r="DOP171" s="125"/>
      <c r="DOQ171" s="125"/>
      <c r="DOR171" s="125"/>
      <c r="DOS171" s="125"/>
      <c r="DOT171" s="125"/>
      <c r="DOU171" s="125"/>
      <c r="DOV171" s="125"/>
      <c r="DOW171" s="125"/>
      <c r="DOX171" s="125"/>
      <c r="DOY171" s="125"/>
      <c r="DOZ171" s="125"/>
      <c r="DPA171" s="125"/>
      <c r="DPB171" s="125"/>
      <c r="DPC171" s="125"/>
      <c r="DPD171" s="125"/>
      <c r="DPE171" s="125"/>
      <c r="DPF171" s="125"/>
      <c r="DPG171" s="125"/>
      <c r="DPH171" s="125"/>
      <c r="DPI171" s="125"/>
      <c r="DPJ171" s="125"/>
      <c r="DPK171" s="125"/>
      <c r="DPL171" s="125"/>
      <c r="DPM171" s="125"/>
      <c r="DPN171" s="125"/>
      <c r="DPO171" s="125"/>
      <c r="DPP171" s="125"/>
      <c r="DPQ171" s="125"/>
      <c r="DPR171" s="125"/>
      <c r="DPS171" s="125"/>
      <c r="DPT171" s="125"/>
      <c r="DPU171" s="125"/>
      <c r="DPV171" s="125"/>
      <c r="DPW171" s="125"/>
      <c r="DPX171" s="125"/>
      <c r="DPY171" s="125"/>
      <c r="DPZ171" s="125"/>
      <c r="DQA171" s="125"/>
      <c r="DQB171" s="125"/>
      <c r="DQC171" s="125"/>
      <c r="DQD171" s="125"/>
      <c r="DQE171" s="125"/>
      <c r="DQF171" s="125"/>
      <c r="DQG171" s="125"/>
      <c r="DQH171" s="125"/>
      <c r="DQI171" s="125"/>
      <c r="DQJ171" s="125"/>
      <c r="DQK171" s="125"/>
      <c r="DQL171" s="125"/>
      <c r="DQM171" s="125"/>
      <c r="DQN171" s="125"/>
      <c r="DQO171" s="125"/>
      <c r="DQP171" s="125"/>
      <c r="DQQ171" s="125"/>
      <c r="DQR171" s="125"/>
      <c r="DQS171" s="125"/>
      <c r="DQT171" s="125"/>
      <c r="DQU171" s="125"/>
      <c r="DQV171" s="125"/>
      <c r="DQW171" s="125"/>
      <c r="DQX171" s="125"/>
      <c r="DQY171" s="125"/>
      <c r="DQZ171" s="125"/>
      <c r="DRA171" s="125"/>
      <c r="DRB171" s="125"/>
      <c r="DRC171" s="125"/>
      <c r="DRD171" s="125"/>
      <c r="DRE171" s="125"/>
      <c r="DRF171" s="125"/>
      <c r="DRG171" s="125"/>
      <c r="DRH171" s="125"/>
      <c r="DRI171" s="125"/>
      <c r="DRJ171" s="125"/>
      <c r="DRK171" s="125"/>
      <c r="DRL171" s="125"/>
      <c r="DRM171" s="125"/>
      <c r="DRN171" s="125"/>
      <c r="DRO171" s="125"/>
      <c r="DRP171" s="125"/>
      <c r="DRQ171" s="125"/>
      <c r="DRR171" s="125"/>
      <c r="DRS171" s="125"/>
      <c r="DRT171" s="125"/>
      <c r="DRU171" s="125"/>
      <c r="DRV171" s="125"/>
      <c r="DRW171" s="125"/>
      <c r="DRX171" s="125"/>
      <c r="DRY171" s="125"/>
      <c r="DRZ171" s="125"/>
      <c r="DSA171" s="125"/>
      <c r="DSB171" s="125"/>
      <c r="DSC171" s="125"/>
      <c r="DSD171" s="125"/>
      <c r="DSE171" s="125"/>
      <c r="DSF171" s="125"/>
      <c r="DSG171" s="125"/>
      <c r="DSH171" s="125"/>
      <c r="DSI171" s="125"/>
      <c r="DSJ171" s="125"/>
      <c r="DSK171" s="125"/>
      <c r="DSL171" s="125"/>
      <c r="DSM171" s="125"/>
      <c r="DSN171" s="125"/>
      <c r="DSO171" s="125"/>
      <c r="DSP171" s="125"/>
      <c r="DSQ171" s="125"/>
      <c r="DSR171" s="125"/>
      <c r="DSS171" s="125"/>
      <c r="DST171" s="125"/>
      <c r="DSU171" s="125"/>
      <c r="DSV171" s="125"/>
      <c r="DSW171" s="125"/>
      <c r="DSX171" s="125"/>
      <c r="DSY171" s="125"/>
      <c r="DSZ171" s="125"/>
      <c r="DTA171" s="125"/>
      <c r="DTB171" s="125"/>
      <c r="DTC171" s="125"/>
      <c r="DTD171" s="125"/>
      <c r="DTE171" s="125"/>
      <c r="DTF171" s="125"/>
      <c r="DTG171" s="125"/>
      <c r="DTH171" s="125"/>
      <c r="DTI171" s="125"/>
      <c r="DTJ171" s="125"/>
      <c r="DTK171" s="125"/>
      <c r="DTL171" s="125"/>
      <c r="DTM171" s="125"/>
      <c r="DTN171" s="125"/>
      <c r="DTO171" s="125"/>
      <c r="DTP171" s="125"/>
      <c r="DTQ171" s="125"/>
      <c r="DTR171" s="125"/>
      <c r="DTS171" s="125"/>
      <c r="DTT171" s="125"/>
      <c r="DTU171" s="125"/>
      <c r="DTV171" s="125"/>
      <c r="DTW171" s="125"/>
      <c r="DTX171" s="125"/>
      <c r="DTY171" s="125"/>
      <c r="DTZ171" s="125"/>
      <c r="DUA171" s="125"/>
      <c r="DUB171" s="125"/>
      <c r="DUC171" s="125"/>
      <c r="DUD171" s="125"/>
      <c r="DUE171" s="125"/>
      <c r="DUF171" s="125"/>
      <c r="DUG171" s="125"/>
      <c r="DUH171" s="125"/>
      <c r="DUI171" s="125"/>
      <c r="DUJ171" s="125"/>
      <c r="DUK171" s="125"/>
      <c r="DUL171" s="125"/>
      <c r="DUM171" s="125"/>
      <c r="DUN171" s="125"/>
      <c r="DUO171" s="125"/>
      <c r="DUP171" s="125"/>
      <c r="DUQ171" s="125"/>
      <c r="DUR171" s="125"/>
      <c r="DUS171" s="125"/>
      <c r="DUT171" s="125"/>
      <c r="DUU171" s="125"/>
      <c r="DUV171" s="125"/>
      <c r="DUW171" s="125"/>
      <c r="DUX171" s="125"/>
      <c r="DUY171" s="125"/>
      <c r="DUZ171" s="125"/>
      <c r="DVA171" s="125"/>
      <c r="DVB171" s="125"/>
      <c r="DVC171" s="125"/>
      <c r="DVD171" s="125"/>
      <c r="DVE171" s="125"/>
      <c r="DVF171" s="125"/>
      <c r="DVG171" s="125"/>
      <c r="DVH171" s="125"/>
      <c r="DVI171" s="125"/>
      <c r="DVJ171" s="125"/>
      <c r="DVK171" s="125"/>
      <c r="DVL171" s="125"/>
      <c r="DVM171" s="125"/>
      <c r="DVN171" s="125"/>
      <c r="DVO171" s="125"/>
      <c r="DVP171" s="125"/>
      <c r="DVQ171" s="125"/>
      <c r="DVR171" s="125"/>
      <c r="DVS171" s="125"/>
      <c r="DVT171" s="125"/>
      <c r="DVU171" s="125"/>
      <c r="DVV171" s="125"/>
      <c r="DVW171" s="125"/>
      <c r="DVX171" s="125"/>
      <c r="DVY171" s="125"/>
      <c r="DVZ171" s="125"/>
      <c r="DWA171" s="125"/>
      <c r="DWB171" s="125"/>
      <c r="DWC171" s="125"/>
      <c r="DWD171" s="125"/>
      <c r="DWE171" s="125"/>
      <c r="DWF171" s="125"/>
      <c r="DWG171" s="125"/>
      <c r="DWH171" s="125"/>
      <c r="DWI171" s="125"/>
      <c r="DWJ171" s="125"/>
      <c r="DWK171" s="125"/>
      <c r="DWL171" s="125"/>
      <c r="DWM171" s="125"/>
      <c r="DWN171" s="125"/>
      <c r="DWO171" s="125"/>
      <c r="DWP171" s="125"/>
      <c r="DWQ171" s="125"/>
      <c r="DWR171" s="125"/>
      <c r="DWS171" s="125"/>
      <c r="DWT171" s="125"/>
      <c r="DWU171" s="125"/>
      <c r="DWV171" s="125"/>
      <c r="DWW171" s="125"/>
      <c r="DWX171" s="125"/>
      <c r="DWY171" s="125"/>
      <c r="DWZ171" s="125"/>
      <c r="DXA171" s="125"/>
      <c r="DXB171" s="125"/>
      <c r="DXC171" s="125"/>
      <c r="DXD171" s="125"/>
      <c r="DXE171" s="125"/>
      <c r="DXF171" s="125"/>
      <c r="DXG171" s="125"/>
      <c r="DXH171" s="125"/>
      <c r="DXI171" s="125"/>
      <c r="DXJ171" s="125"/>
      <c r="DXK171" s="125"/>
      <c r="DXL171" s="125"/>
      <c r="DXM171" s="125"/>
      <c r="DXN171" s="125"/>
      <c r="DXO171" s="125"/>
      <c r="DXP171" s="125"/>
      <c r="DXQ171" s="125"/>
      <c r="DXR171" s="125"/>
      <c r="DXS171" s="125"/>
      <c r="DXT171" s="125"/>
      <c r="DXU171" s="125"/>
      <c r="DXV171" s="125"/>
      <c r="DXW171" s="125"/>
      <c r="DXX171" s="125"/>
      <c r="DXY171" s="125"/>
      <c r="DXZ171" s="125"/>
      <c r="DYA171" s="125"/>
      <c r="DYB171" s="125"/>
      <c r="DYC171" s="125"/>
      <c r="DYD171" s="125"/>
      <c r="DYE171" s="125"/>
      <c r="DYF171" s="125"/>
      <c r="DYG171" s="125"/>
      <c r="DYH171" s="125"/>
      <c r="DYI171" s="125"/>
      <c r="DYJ171" s="125"/>
      <c r="DYK171" s="125"/>
      <c r="DYL171" s="125"/>
      <c r="DYM171" s="125"/>
      <c r="DYN171" s="125"/>
      <c r="DYO171" s="125"/>
      <c r="DYP171" s="125"/>
      <c r="DYQ171" s="125"/>
      <c r="DYR171" s="125"/>
      <c r="DYS171" s="125"/>
      <c r="DYT171" s="125"/>
      <c r="DYU171" s="125"/>
      <c r="DYV171" s="125"/>
      <c r="DYW171" s="125"/>
      <c r="DYX171" s="125"/>
      <c r="DYY171" s="125"/>
      <c r="DYZ171" s="125"/>
      <c r="DZA171" s="125"/>
      <c r="DZB171" s="125"/>
      <c r="DZC171" s="125"/>
      <c r="DZD171" s="125"/>
      <c r="DZE171" s="125"/>
      <c r="DZF171" s="125"/>
      <c r="DZG171" s="125"/>
      <c r="DZH171" s="125"/>
      <c r="DZI171" s="125"/>
      <c r="DZJ171" s="125"/>
      <c r="DZK171" s="125"/>
      <c r="DZL171" s="125"/>
      <c r="DZM171" s="125"/>
      <c r="DZN171" s="125"/>
      <c r="DZO171" s="125"/>
      <c r="DZP171" s="125"/>
      <c r="DZQ171" s="125"/>
      <c r="DZR171" s="125"/>
      <c r="DZS171" s="125"/>
      <c r="DZT171" s="125"/>
      <c r="DZU171" s="125"/>
      <c r="DZV171" s="125"/>
      <c r="DZW171" s="125"/>
      <c r="DZX171" s="125"/>
      <c r="DZY171" s="125"/>
      <c r="DZZ171" s="125"/>
      <c r="EAA171" s="125"/>
      <c r="EAB171" s="125"/>
      <c r="EAC171" s="125"/>
      <c r="EAD171" s="125"/>
      <c r="EAE171" s="125"/>
      <c r="EAF171" s="125"/>
      <c r="EAG171" s="125"/>
      <c r="EAH171" s="125"/>
      <c r="EAI171" s="125"/>
      <c r="EAJ171" s="125"/>
      <c r="EAK171" s="125"/>
      <c r="EAL171" s="125"/>
      <c r="EAM171" s="125"/>
      <c r="EAN171" s="125"/>
      <c r="EAO171" s="125"/>
      <c r="EAP171" s="125"/>
      <c r="EAQ171" s="125"/>
      <c r="EAR171" s="125"/>
      <c r="EAS171" s="125"/>
      <c r="EAT171" s="125"/>
      <c r="EAU171" s="125"/>
      <c r="EAV171" s="125"/>
      <c r="EAW171" s="125"/>
      <c r="EAX171" s="125"/>
      <c r="EAY171" s="125"/>
      <c r="EAZ171" s="125"/>
      <c r="EBA171" s="125"/>
      <c r="EBB171" s="125"/>
      <c r="EBC171" s="125"/>
      <c r="EBD171" s="125"/>
      <c r="EBE171" s="125"/>
      <c r="EBF171" s="125"/>
      <c r="EBG171" s="125"/>
      <c r="EBH171" s="125"/>
      <c r="EBI171" s="125"/>
      <c r="EBJ171" s="125"/>
      <c r="EBK171" s="125"/>
      <c r="EBL171" s="125"/>
      <c r="EBM171" s="125"/>
      <c r="EBN171" s="125"/>
      <c r="EBO171" s="125"/>
      <c r="EBP171" s="125"/>
      <c r="EBQ171" s="125"/>
      <c r="EBR171" s="125"/>
      <c r="EBS171" s="125"/>
      <c r="EBT171" s="125"/>
      <c r="EBU171" s="125"/>
      <c r="EBV171" s="125"/>
      <c r="EBW171" s="125"/>
      <c r="EBX171" s="125"/>
      <c r="EBY171" s="125"/>
      <c r="EBZ171" s="125"/>
      <c r="ECA171" s="125"/>
      <c r="ECB171" s="125"/>
      <c r="ECC171" s="125"/>
      <c r="ECD171" s="125"/>
      <c r="ECE171" s="125"/>
      <c r="ECF171" s="125"/>
      <c r="ECG171" s="125"/>
      <c r="ECH171" s="125"/>
      <c r="ECI171" s="125"/>
      <c r="ECJ171" s="125"/>
      <c r="ECK171" s="125"/>
      <c r="ECL171" s="125"/>
      <c r="ECM171" s="125"/>
      <c r="ECN171" s="125"/>
      <c r="ECO171" s="125"/>
      <c r="ECP171" s="125"/>
      <c r="ECQ171" s="125"/>
      <c r="ECR171" s="125"/>
      <c r="ECS171" s="125"/>
      <c r="ECT171" s="125"/>
      <c r="ECU171" s="125"/>
      <c r="ECV171" s="125"/>
      <c r="ECW171" s="125"/>
      <c r="ECX171" s="125"/>
      <c r="ECY171" s="125"/>
      <c r="ECZ171" s="125"/>
      <c r="EDA171" s="125"/>
      <c r="EDB171" s="125"/>
      <c r="EDC171" s="125"/>
      <c r="EDD171" s="125"/>
      <c r="EDE171" s="125"/>
      <c r="EDF171" s="125"/>
      <c r="EDG171" s="125"/>
      <c r="EDH171" s="125"/>
      <c r="EDI171" s="125"/>
      <c r="EDJ171" s="125"/>
      <c r="EDK171" s="125"/>
      <c r="EDL171" s="125"/>
      <c r="EDM171" s="125"/>
      <c r="EDN171" s="125"/>
      <c r="EDO171" s="125"/>
      <c r="EDP171" s="125"/>
      <c r="EDQ171" s="125"/>
      <c r="EDR171" s="125"/>
      <c r="EDS171" s="125"/>
      <c r="EDT171" s="125"/>
      <c r="EDU171" s="125"/>
      <c r="EDV171" s="125"/>
      <c r="EDW171" s="125"/>
      <c r="EDX171" s="125"/>
      <c r="EDY171" s="125"/>
      <c r="EDZ171" s="125"/>
      <c r="EEA171" s="125"/>
      <c r="EEB171" s="125"/>
      <c r="EEC171" s="125"/>
      <c r="EED171" s="125"/>
      <c r="EEE171" s="125"/>
      <c r="EEF171" s="125"/>
      <c r="EEG171" s="125"/>
      <c r="EEH171" s="125"/>
      <c r="EEI171" s="125"/>
      <c r="EEJ171" s="125"/>
      <c r="EEK171" s="125"/>
      <c r="EEL171" s="125"/>
      <c r="EEM171" s="125"/>
      <c r="EEN171" s="125"/>
      <c r="EEO171" s="125"/>
      <c r="EEP171" s="125"/>
      <c r="EEQ171" s="125"/>
      <c r="EER171" s="125"/>
      <c r="EES171" s="125"/>
      <c r="EET171" s="125"/>
      <c r="EEU171" s="125"/>
      <c r="EEV171" s="125"/>
      <c r="EEW171" s="125"/>
      <c r="EEX171" s="125"/>
      <c r="EEY171" s="125"/>
      <c r="EEZ171" s="125"/>
      <c r="EFA171" s="125"/>
      <c r="EFB171" s="125"/>
      <c r="EFC171" s="125"/>
      <c r="EFD171" s="125"/>
      <c r="EFE171" s="125"/>
      <c r="EFF171" s="125"/>
      <c r="EFG171" s="125"/>
      <c r="EFH171" s="125"/>
      <c r="EFI171" s="125"/>
      <c r="EFJ171" s="125"/>
      <c r="EFK171" s="125"/>
      <c r="EFL171" s="125"/>
      <c r="EFM171" s="125"/>
      <c r="EFN171" s="125"/>
      <c r="EFO171" s="125"/>
      <c r="EFP171" s="125"/>
      <c r="EFQ171" s="125"/>
      <c r="EFR171" s="125"/>
      <c r="EFS171" s="125"/>
      <c r="EFT171" s="125"/>
      <c r="EFU171" s="125"/>
      <c r="EFV171" s="125"/>
      <c r="EFW171" s="125"/>
      <c r="EFX171" s="125"/>
      <c r="EFY171" s="125"/>
      <c r="EFZ171" s="125"/>
      <c r="EGA171" s="125"/>
      <c r="EGB171" s="125"/>
      <c r="EGC171" s="125"/>
      <c r="EGD171" s="125"/>
      <c r="EGE171" s="125"/>
      <c r="EGF171" s="125"/>
      <c r="EGG171" s="125"/>
      <c r="EGH171" s="125"/>
      <c r="EGI171" s="125"/>
      <c r="EGJ171" s="125"/>
      <c r="EGK171" s="125"/>
      <c r="EGL171" s="125"/>
      <c r="EGM171" s="125"/>
      <c r="EGN171" s="125"/>
      <c r="EGO171" s="125"/>
      <c r="EGP171" s="125"/>
      <c r="EGQ171" s="125"/>
      <c r="EGR171" s="125"/>
      <c r="EGS171" s="125"/>
      <c r="EGT171" s="125"/>
      <c r="EGU171" s="125"/>
      <c r="EGV171" s="125"/>
      <c r="EGW171" s="125"/>
      <c r="EGX171" s="125"/>
      <c r="EGY171" s="125"/>
      <c r="EGZ171" s="125"/>
      <c r="EHA171" s="125"/>
      <c r="EHB171" s="125"/>
      <c r="EHC171" s="125"/>
      <c r="EHD171" s="125"/>
      <c r="EHE171" s="125"/>
      <c r="EHF171" s="125"/>
      <c r="EHG171" s="125"/>
      <c r="EHH171" s="125"/>
      <c r="EHI171" s="125"/>
      <c r="EHJ171" s="125"/>
      <c r="EHK171" s="125"/>
      <c r="EHL171" s="125"/>
      <c r="EHM171" s="125"/>
      <c r="EHN171" s="125"/>
      <c r="EHO171" s="125"/>
      <c r="EHP171" s="125"/>
      <c r="EHQ171" s="125"/>
      <c r="EHR171" s="125"/>
      <c r="EHS171" s="125"/>
      <c r="EHT171" s="125"/>
      <c r="EHU171" s="125"/>
      <c r="EHV171" s="125"/>
      <c r="EHW171" s="125"/>
      <c r="EHX171" s="125"/>
      <c r="EHY171" s="125"/>
      <c r="EHZ171" s="125"/>
      <c r="EIA171" s="125"/>
      <c r="EIB171" s="125"/>
      <c r="EIC171" s="125"/>
      <c r="EID171" s="125"/>
      <c r="EIE171" s="125"/>
      <c r="EIF171" s="125"/>
      <c r="EIG171" s="125"/>
      <c r="EIH171" s="125"/>
      <c r="EII171" s="125"/>
      <c r="EIJ171" s="125"/>
      <c r="EIK171" s="125"/>
      <c r="EIL171" s="125"/>
      <c r="EIM171" s="125"/>
      <c r="EIN171" s="125"/>
      <c r="EIO171" s="125"/>
      <c r="EIP171" s="125"/>
      <c r="EIQ171" s="125"/>
      <c r="EIR171" s="125"/>
      <c r="EIS171" s="125"/>
      <c r="EIT171" s="125"/>
      <c r="EIU171" s="125"/>
      <c r="EIV171" s="125"/>
      <c r="EIW171" s="125"/>
      <c r="EIX171" s="125"/>
      <c r="EIY171" s="125"/>
      <c r="EIZ171" s="125"/>
      <c r="EJA171" s="125"/>
      <c r="EJB171" s="125"/>
      <c r="EJC171" s="125"/>
      <c r="EJD171" s="125"/>
      <c r="EJE171" s="125"/>
      <c r="EJF171" s="125"/>
      <c r="EJG171" s="125"/>
      <c r="EJH171" s="125"/>
      <c r="EJI171" s="125"/>
      <c r="EJJ171" s="125"/>
      <c r="EJK171" s="125"/>
      <c r="EJL171" s="125"/>
      <c r="EJM171" s="125"/>
      <c r="EJN171" s="125"/>
      <c r="EJO171" s="125"/>
      <c r="EJP171" s="125"/>
      <c r="EJQ171" s="125"/>
      <c r="EJR171" s="125"/>
      <c r="EJS171" s="125"/>
      <c r="EJT171" s="125"/>
      <c r="EJU171" s="125"/>
      <c r="EJV171" s="125"/>
      <c r="EJW171" s="125"/>
      <c r="EJX171" s="125"/>
      <c r="EJY171" s="125"/>
      <c r="EJZ171" s="125"/>
      <c r="EKA171" s="125"/>
      <c r="EKB171" s="125"/>
      <c r="EKC171" s="125"/>
      <c r="EKD171" s="125"/>
      <c r="EKE171" s="125"/>
      <c r="EKF171" s="125"/>
      <c r="EKG171" s="125"/>
      <c r="EKH171" s="125"/>
      <c r="EKI171" s="125"/>
      <c r="EKJ171" s="125"/>
      <c r="EKK171" s="125"/>
      <c r="EKL171" s="125"/>
      <c r="EKM171" s="125"/>
      <c r="EKN171" s="125"/>
      <c r="EKO171" s="125"/>
      <c r="EKP171" s="125"/>
      <c r="EKQ171" s="125"/>
      <c r="EKR171" s="125"/>
      <c r="EKS171" s="125"/>
      <c r="EKT171" s="125"/>
      <c r="EKU171" s="125"/>
      <c r="EKV171" s="125"/>
      <c r="EKW171" s="125"/>
      <c r="EKX171" s="125"/>
      <c r="EKY171" s="125"/>
      <c r="EKZ171" s="125"/>
      <c r="ELA171" s="125"/>
      <c r="ELB171" s="125"/>
      <c r="ELC171" s="125"/>
      <c r="ELD171" s="125"/>
      <c r="ELE171" s="125"/>
      <c r="ELF171" s="125"/>
      <c r="ELG171" s="125"/>
      <c r="ELH171" s="125"/>
      <c r="ELI171" s="125"/>
      <c r="ELJ171" s="125"/>
      <c r="ELK171" s="125"/>
      <c r="ELL171" s="125"/>
      <c r="ELM171" s="125"/>
      <c r="ELN171" s="125"/>
      <c r="ELO171" s="125"/>
      <c r="ELP171" s="125"/>
      <c r="ELQ171" s="125"/>
      <c r="ELR171" s="125"/>
      <c r="ELS171" s="125"/>
      <c r="ELT171" s="125"/>
      <c r="ELU171" s="125"/>
      <c r="ELV171" s="125"/>
      <c r="ELW171" s="125"/>
      <c r="ELX171" s="125"/>
      <c r="ELY171" s="125"/>
      <c r="ELZ171" s="125"/>
      <c r="EMA171" s="125"/>
      <c r="EMB171" s="125"/>
      <c r="EMC171" s="125"/>
      <c r="EMD171" s="125"/>
      <c r="EME171" s="125"/>
      <c r="EMF171" s="125"/>
      <c r="EMG171" s="125"/>
      <c r="EMH171" s="125"/>
      <c r="EMI171" s="125"/>
      <c r="EMJ171" s="125"/>
      <c r="EMK171" s="125"/>
      <c r="EML171" s="125"/>
      <c r="EMM171" s="125"/>
      <c r="EMN171" s="125"/>
      <c r="EMO171" s="125"/>
      <c r="EMP171" s="125"/>
      <c r="EMQ171" s="125"/>
      <c r="EMR171" s="125"/>
      <c r="EMS171" s="125"/>
      <c r="EMT171" s="125"/>
      <c r="EMU171" s="125"/>
      <c r="EMV171" s="125"/>
      <c r="EMW171" s="125"/>
      <c r="EMX171" s="125"/>
      <c r="EMY171" s="125"/>
      <c r="EMZ171" s="125"/>
      <c r="ENA171" s="125"/>
      <c r="ENB171" s="125"/>
      <c r="ENC171" s="125"/>
      <c r="END171" s="125"/>
      <c r="ENE171" s="125"/>
      <c r="ENF171" s="125"/>
      <c r="ENG171" s="125"/>
      <c r="ENH171" s="125"/>
      <c r="ENI171" s="125"/>
      <c r="ENJ171" s="125"/>
      <c r="ENK171" s="125"/>
      <c r="ENL171" s="125"/>
      <c r="ENM171" s="125"/>
      <c r="ENN171" s="125"/>
      <c r="ENO171" s="125"/>
      <c r="ENP171" s="125"/>
      <c r="ENQ171" s="125"/>
      <c r="ENR171" s="125"/>
      <c r="ENS171" s="125"/>
      <c r="ENT171" s="125"/>
      <c r="ENU171" s="125"/>
      <c r="ENV171" s="125"/>
      <c r="ENW171" s="125"/>
      <c r="ENX171" s="125"/>
      <c r="ENY171" s="125"/>
      <c r="ENZ171" s="125"/>
      <c r="EOA171" s="125"/>
      <c r="EOB171" s="125"/>
      <c r="EOC171" s="125"/>
      <c r="EOD171" s="125"/>
      <c r="EOE171" s="125"/>
      <c r="EOF171" s="125"/>
      <c r="EOG171" s="125"/>
      <c r="EOH171" s="125"/>
      <c r="EOI171" s="125"/>
      <c r="EOJ171" s="125"/>
      <c r="EOK171" s="125"/>
      <c r="EOL171" s="125"/>
      <c r="EOM171" s="125"/>
      <c r="EON171" s="125"/>
      <c r="EOO171" s="125"/>
      <c r="EOP171" s="125"/>
      <c r="EOQ171" s="125"/>
      <c r="EOR171" s="125"/>
      <c r="EOS171" s="125"/>
      <c r="EOT171" s="125"/>
      <c r="EOU171" s="125"/>
      <c r="EOV171" s="125"/>
      <c r="EOW171" s="125"/>
      <c r="EOX171" s="125"/>
      <c r="EOY171" s="125"/>
      <c r="EOZ171" s="125"/>
      <c r="EPA171" s="125"/>
      <c r="EPB171" s="125"/>
      <c r="EPC171" s="125"/>
      <c r="EPD171" s="125"/>
      <c r="EPE171" s="125"/>
      <c r="EPF171" s="125"/>
      <c r="EPG171" s="125"/>
      <c r="EPH171" s="125"/>
      <c r="EPI171" s="125"/>
      <c r="EPJ171" s="125"/>
      <c r="EPK171" s="125"/>
      <c r="EPL171" s="125"/>
      <c r="EPM171" s="125"/>
      <c r="EPN171" s="125"/>
      <c r="EPO171" s="125"/>
      <c r="EPP171" s="125"/>
      <c r="EPQ171" s="125"/>
      <c r="EPR171" s="125"/>
      <c r="EPS171" s="125"/>
      <c r="EPT171" s="125"/>
      <c r="EPU171" s="125"/>
      <c r="EPV171" s="125"/>
      <c r="EPW171" s="125"/>
      <c r="EPX171" s="125"/>
      <c r="EPY171" s="125"/>
      <c r="EPZ171" s="125"/>
      <c r="EQA171" s="125"/>
      <c r="EQB171" s="125"/>
      <c r="EQC171" s="125"/>
      <c r="EQD171" s="125"/>
      <c r="EQE171" s="125"/>
      <c r="EQF171" s="125"/>
      <c r="EQG171" s="125"/>
      <c r="EQH171" s="125"/>
      <c r="EQI171" s="125"/>
      <c r="EQJ171" s="125"/>
      <c r="EQK171" s="125"/>
      <c r="EQL171" s="125"/>
      <c r="EQM171" s="125"/>
      <c r="EQN171" s="125"/>
      <c r="EQO171" s="125"/>
      <c r="EQP171" s="125"/>
      <c r="EQQ171" s="125"/>
      <c r="EQR171" s="125"/>
      <c r="EQS171" s="125"/>
      <c r="EQT171" s="125"/>
      <c r="EQU171" s="125"/>
      <c r="EQV171" s="125"/>
      <c r="EQW171" s="125"/>
      <c r="EQX171" s="125"/>
      <c r="EQY171" s="125"/>
      <c r="EQZ171" s="125"/>
      <c r="ERA171" s="125"/>
      <c r="ERB171" s="125"/>
      <c r="ERC171" s="125"/>
      <c r="ERD171" s="125"/>
      <c r="ERE171" s="125"/>
      <c r="ERF171" s="125"/>
      <c r="ERG171" s="125"/>
      <c r="ERH171" s="125"/>
      <c r="ERI171" s="125"/>
      <c r="ERJ171" s="125"/>
      <c r="ERK171" s="125"/>
      <c r="ERL171" s="125"/>
      <c r="ERM171" s="125"/>
      <c r="ERN171" s="125"/>
      <c r="ERO171" s="125"/>
      <c r="ERP171" s="125"/>
      <c r="ERQ171" s="125"/>
      <c r="ERR171" s="125"/>
      <c r="ERS171" s="125"/>
      <c r="ERT171" s="125"/>
      <c r="ERU171" s="125"/>
      <c r="ERV171" s="125"/>
      <c r="ERW171" s="125"/>
      <c r="ERX171" s="125"/>
      <c r="ERY171" s="125"/>
      <c r="ERZ171" s="125"/>
      <c r="ESA171" s="125"/>
      <c r="ESB171" s="125"/>
      <c r="ESC171" s="125"/>
      <c r="ESD171" s="125"/>
      <c r="ESE171" s="125"/>
      <c r="ESF171" s="125"/>
      <c r="ESG171" s="125"/>
      <c r="ESH171" s="125"/>
      <c r="ESI171" s="125"/>
      <c r="ESJ171" s="125"/>
      <c r="ESK171" s="125"/>
      <c r="ESL171" s="125"/>
      <c r="ESM171" s="125"/>
      <c r="ESN171" s="125"/>
      <c r="ESO171" s="125"/>
      <c r="ESP171" s="125"/>
      <c r="ESQ171" s="125"/>
      <c r="ESR171" s="125"/>
      <c r="ESS171" s="125"/>
      <c r="EST171" s="125"/>
      <c r="ESU171" s="125"/>
      <c r="ESV171" s="125"/>
      <c r="ESW171" s="125"/>
      <c r="ESX171" s="125"/>
      <c r="ESY171" s="125"/>
      <c r="ESZ171" s="125"/>
      <c r="ETA171" s="125"/>
      <c r="ETB171" s="125"/>
      <c r="ETC171" s="125"/>
      <c r="ETD171" s="125"/>
      <c r="ETE171" s="125"/>
      <c r="ETF171" s="125"/>
      <c r="ETG171" s="125"/>
      <c r="ETH171" s="125"/>
      <c r="ETI171" s="125"/>
      <c r="ETJ171" s="125"/>
      <c r="ETK171" s="125"/>
      <c r="ETL171" s="125"/>
      <c r="ETM171" s="125"/>
      <c r="ETN171" s="125"/>
      <c r="ETO171" s="125"/>
      <c r="ETP171" s="125"/>
      <c r="ETQ171" s="125"/>
      <c r="ETR171" s="125"/>
      <c r="ETS171" s="125"/>
      <c r="ETT171" s="125"/>
      <c r="ETU171" s="125"/>
      <c r="ETV171" s="125"/>
      <c r="ETW171" s="125"/>
      <c r="ETX171" s="125"/>
      <c r="ETY171" s="125"/>
      <c r="ETZ171" s="125"/>
      <c r="EUA171" s="125"/>
      <c r="EUB171" s="125"/>
      <c r="EUC171" s="125"/>
      <c r="EUD171" s="125"/>
      <c r="EUE171" s="125"/>
      <c r="EUF171" s="125"/>
      <c r="EUG171" s="125"/>
      <c r="EUH171" s="125"/>
      <c r="EUI171" s="125"/>
      <c r="EUJ171" s="125"/>
      <c r="EUK171" s="125"/>
      <c r="EUL171" s="125"/>
      <c r="EUM171" s="125"/>
      <c r="EUN171" s="125"/>
      <c r="EUO171" s="125"/>
      <c r="EUP171" s="125"/>
      <c r="EUQ171" s="125"/>
      <c r="EUR171" s="125"/>
      <c r="EUS171" s="125"/>
      <c r="EUT171" s="125"/>
      <c r="EUU171" s="125"/>
      <c r="EUV171" s="125"/>
      <c r="EUW171" s="125"/>
      <c r="EUX171" s="125"/>
      <c r="EUY171" s="125"/>
      <c r="EUZ171" s="125"/>
      <c r="EVA171" s="125"/>
      <c r="EVB171" s="125"/>
      <c r="EVC171" s="125"/>
      <c r="EVD171" s="125"/>
      <c r="EVE171" s="125"/>
      <c r="EVF171" s="125"/>
      <c r="EVG171" s="125"/>
      <c r="EVH171" s="125"/>
      <c r="EVI171" s="125"/>
      <c r="EVJ171" s="125"/>
      <c r="EVK171" s="125"/>
      <c r="EVL171" s="125"/>
      <c r="EVM171" s="125"/>
      <c r="EVN171" s="125"/>
      <c r="EVO171" s="125"/>
      <c r="EVP171" s="125"/>
      <c r="EVQ171" s="125"/>
      <c r="EVR171" s="125"/>
      <c r="EVS171" s="125"/>
      <c r="EVT171" s="125"/>
      <c r="EVU171" s="125"/>
      <c r="EVV171" s="125"/>
      <c r="EVW171" s="125"/>
      <c r="EVX171" s="125"/>
      <c r="EVY171" s="125"/>
      <c r="EVZ171" s="125"/>
      <c r="EWA171" s="125"/>
      <c r="EWB171" s="125"/>
      <c r="EWC171" s="125"/>
      <c r="EWD171" s="125"/>
      <c r="EWE171" s="125"/>
      <c r="EWF171" s="125"/>
      <c r="EWG171" s="125"/>
      <c r="EWH171" s="125"/>
      <c r="EWI171" s="125"/>
      <c r="EWJ171" s="125"/>
      <c r="EWK171" s="125"/>
      <c r="EWL171" s="125"/>
      <c r="EWM171" s="125"/>
      <c r="EWN171" s="125"/>
      <c r="EWO171" s="125"/>
      <c r="EWP171" s="125"/>
      <c r="EWQ171" s="125"/>
      <c r="EWR171" s="125"/>
      <c r="EWS171" s="125"/>
      <c r="EWT171" s="125"/>
      <c r="EWU171" s="125"/>
      <c r="EWV171" s="125"/>
      <c r="EWW171" s="125"/>
      <c r="EWX171" s="125"/>
      <c r="EWY171" s="125"/>
      <c r="EWZ171" s="125"/>
      <c r="EXA171" s="125"/>
      <c r="EXB171" s="125"/>
      <c r="EXC171" s="125"/>
      <c r="EXD171" s="125"/>
      <c r="EXE171" s="125"/>
      <c r="EXF171" s="125"/>
      <c r="EXG171" s="125"/>
      <c r="EXH171" s="125"/>
      <c r="EXI171" s="125"/>
      <c r="EXJ171" s="125"/>
      <c r="EXK171" s="125"/>
      <c r="EXL171" s="125"/>
      <c r="EXM171" s="125"/>
      <c r="EXN171" s="125"/>
      <c r="EXO171" s="125"/>
      <c r="EXP171" s="125"/>
      <c r="EXQ171" s="125"/>
      <c r="EXR171" s="125"/>
      <c r="EXS171" s="125"/>
      <c r="EXT171" s="125"/>
      <c r="EXU171" s="125"/>
      <c r="EXV171" s="125"/>
      <c r="EXW171" s="125"/>
      <c r="EXX171" s="125"/>
      <c r="EXY171" s="125"/>
      <c r="EXZ171" s="125"/>
      <c r="EYA171" s="125"/>
      <c r="EYB171" s="125"/>
      <c r="EYC171" s="125"/>
      <c r="EYD171" s="125"/>
      <c r="EYE171" s="125"/>
      <c r="EYF171" s="125"/>
      <c r="EYG171" s="125"/>
      <c r="EYH171" s="125"/>
      <c r="EYI171" s="125"/>
      <c r="EYJ171" s="125"/>
      <c r="EYK171" s="125"/>
      <c r="EYL171" s="125"/>
      <c r="EYM171" s="125"/>
      <c r="EYN171" s="125"/>
      <c r="EYO171" s="125"/>
      <c r="EYP171" s="125"/>
      <c r="EYQ171" s="125"/>
      <c r="EYR171" s="125"/>
      <c r="EYS171" s="125"/>
      <c r="EYT171" s="125"/>
      <c r="EYU171" s="125"/>
      <c r="EYV171" s="125"/>
      <c r="EYW171" s="125"/>
      <c r="EYX171" s="125"/>
      <c r="EYY171" s="125"/>
      <c r="EYZ171" s="125"/>
      <c r="EZA171" s="125"/>
      <c r="EZB171" s="125"/>
      <c r="EZC171" s="125"/>
      <c r="EZD171" s="125"/>
      <c r="EZE171" s="125"/>
      <c r="EZF171" s="125"/>
      <c r="EZG171" s="125"/>
      <c r="EZH171" s="125"/>
      <c r="EZI171" s="125"/>
      <c r="EZJ171" s="125"/>
      <c r="EZK171" s="125"/>
      <c r="EZL171" s="125"/>
      <c r="EZM171" s="125"/>
      <c r="EZN171" s="125"/>
      <c r="EZO171" s="125"/>
      <c r="EZP171" s="125"/>
      <c r="EZQ171" s="125"/>
      <c r="EZR171" s="125"/>
      <c r="EZS171" s="125"/>
      <c r="EZT171" s="125"/>
      <c r="EZU171" s="125"/>
      <c r="EZV171" s="125"/>
      <c r="EZW171" s="125"/>
      <c r="EZX171" s="125"/>
      <c r="EZY171" s="125"/>
      <c r="EZZ171" s="125"/>
      <c r="FAA171" s="125"/>
      <c r="FAB171" s="125"/>
      <c r="FAC171" s="125"/>
      <c r="FAD171" s="125"/>
      <c r="FAE171" s="125"/>
      <c r="FAF171" s="125"/>
      <c r="FAG171" s="125"/>
      <c r="FAH171" s="125"/>
      <c r="FAI171" s="125"/>
      <c r="FAJ171" s="125"/>
      <c r="FAK171" s="125"/>
      <c r="FAL171" s="125"/>
      <c r="FAM171" s="125"/>
      <c r="FAN171" s="125"/>
      <c r="FAO171" s="125"/>
      <c r="FAP171" s="125"/>
      <c r="FAQ171" s="125"/>
      <c r="FAR171" s="125"/>
      <c r="FAS171" s="125"/>
      <c r="FAT171" s="125"/>
      <c r="FAU171" s="125"/>
      <c r="FAV171" s="125"/>
      <c r="FAW171" s="125"/>
      <c r="FAX171" s="125"/>
      <c r="FAY171" s="125"/>
      <c r="FAZ171" s="125"/>
      <c r="FBA171" s="125"/>
      <c r="FBB171" s="125"/>
      <c r="FBC171" s="125"/>
      <c r="FBD171" s="125"/>
      <c r="FBE171" s="125"/>
      <c r="FBF171" s="125"/>
      <c r="FBG171" s="125"/>
      <c r="FBH171" s="125"/>
      <c r="FBI171" s="125"/>
      <c r="FBJ171" s="125"/>
      <c r="FBK171" s="125"/>
      <c r="FBL171" s="125"/>
      <c r="FBM171" s="125"/>
      <c r="FBN171" s="125"/>
      <c r="FBO171" s="125"/>
      <c r="FBP171" s="125"/>
      <c r="FBQ171" s="125"/>
      <c r="FBR171" s="125"/>
      <c r="FBS171" s="125"/>
      <c r="FBT171" s="125"/>
      <c r="FBU171" s="125"/>
      <c r="FBV171" s="125"/>
      <c r="FBW171" s="125"/>
      <c r="FBX171" s="125"/>
      <c r="FBY171" s="125"/>
      <c r="FBZ171" s="125"/>
      <c r="FCA171" s="125"/>
      <c r="FCB171" s="125"/>
      <c r="FCC171" s="125"/>
      <c r="FCD171" s="125"/>
      <c r="FCE171" s="125"/>
      <c r="FCF171" s="125"/>
      <c r="FCG171" s="125"/>
      <c r="FCH171" s="125"/>
      <c r="FCI171" s="125"/>
      <c r="FCJ171" s="125"/>
      <c r="FCK171" s="125"/>
      <c r="FCL171" s="125"/>
      <c r="FCM171" s="125"/>
      <c r="FCN171" s="125"/>
      <c r="FCO171" s="125"/>
      <c r="FCP171" s="125"/>
      <c r="FCQ171" s="125"/>
      <c r="FCR171" s="125"/>
      <c r="FCS171" s="125"/>
      <c r="FCT171" s="125"/>
      <c r="FCU171" s="125"/>
      <c r="FCV171" s="125"/>
      <c r="FCW171" s="125"/>
      <c r="FCX171" s="125"/>
      <c r="FCY171" s="125"/>
      <c r="FCZ171" s="125"/>
      <c r="FDA171" s="125"/>
      <c r="FDB171" s="125"/>
      <c r="FDC171" s="125"/>
      <c r="FDD171" s="125"/>
      <c r="FDE171" s="125"/>
      <c r="FDF171" s="125"/>
      <c r="FDG171" s="125"/>
      <c r="FDH171" s="125"/>
      <c r="FDI171" s="125"/>
      <c r="FDJ171" s="125"/>
      <c r="FDK171" s="125"/>
      <c r="FDL171" s="125"/>
      <c r="FDM171" s="125"/>
      <c r="FDN171" s="125"/>
      <c r="FDO171" s="125"/>
      <c r="FDP171" s="125"/>
      <c r="FDQ171" s="125"/>
      <c r="FDR171" s="125"/>
      <c r="FDS171" s="125"/>
      <c r="FDT171" s="125"/>
      <c r="FDU171" s="125"/>
      <c r="FDV171" s="125"/>
      <c r="FDW171" s="125"/>
      <c r="FDX171" s="125"/>
      <c r="FDY171" s="125"/>
      <c r="FDZ171" s="125"/>
      <c r="FEA171" s="125"/>
      <c r="FEB171" s="125"/>
      <c r="FEC171" s="125"/>
      <c r="FED171" s="125"/>
      <c r="FEE171" s="125"/>
      <c r="FEF171" s="125"/>
      <c r="FEG171" s="125"/>
      <c r="FEH171" s="125"/>
      <c r="FEI171" s="125"/>
      <c r="FEJ171" s="125"/>
      <c r="FEK171" s="125"/>
      <c r="FEL171" s="125"/>
      <c r="FEM171" s="125"/>
      <c r="FEN171" s="125"/>
      <c r="FEO171" s="125"/>
      <c r="FEP171" s="125"/>
      <c r="FEQ171" s="125"/>
      <c r="FER171" s="125"/>
      <c r="FES171" s="125"/>
      <c r="FET171" s="125"/>
      <c r="FEU171" s="125"/>
      <c r="FEV171" s="125"/>
      <c r="FEW171" s="125"/>
      <c r="FEX171" s="125"/>
      <c r="FEY171" s="125"/>
      <c r="FEZ171" s="125"/>
      <c r="FFA171" s="125"/>
      <c r="FFB171" s="125"/>
      <c r="FFC171" s="125"/>
      <c r="FFD171" s="125"/>
      <c r="FFE171" s="125"/>
      <c r="FFF171" s="125"/>
      <c r="FFG171" s="125"/>
      <c r="FFH171" s="125"/>
      <c r="FFI171" s="125"/>
      <c r="FFJ171" s="125"/>
      <c r="FFK171" s="125"/>
      <c r="FFL171" s="125"/>
      <c r="FFM171" s="125"/>
      <c r="FFN171" s="125"/>
      <c r="FFO171" s="125"/>
      <c r="FFP171" s="125"/>
      <c r="FFQ171" s="125"/>
      <c r="FFR171" s="125"/>
      <c r="FFS171" s="125"/>
      <c r="FFT171" s="125"/>
      <c r="FFU171" s="125"/>
      <c r="FFV171" s="125"/>
      <c r="FFW171" s="125"/>
      <c r="FFX171" s="125"/>
      <c r="FFY171" s="125"/>
      <c r="FFZ171" s="125"/>
      <c r="FGA171" s="125"/>
      <c r="FGB171" s="125"/>
      <c r="FGC171" s="125"/>
      <c r="FGD171" s="125"/>
      <c r="FGE171" s="125"/>
      <c r="FGF171" s="125"/>
      <c r="FGG171" s="125"/>
      <c r="FGH171" s="125"/>
      <c r="FGI171" s="125"/>
      <c r="FGJ171" s="125"/>
      <c r="FGK171" s="125"/>
      <c r="FGL171" s="125"/>
      <c r="FGM171" s="125"/>
      <c r="FGN171" s="125"/>
      <c r="FGO171" s="125"/>
      <c r="FGP171" s="125"/>
      <c r="FGQ171" s="125"/>
      <c r="FGR171" s="125"/>
      <c r="FGS171" s="125"/>
      <c r="FGT171" s="125"/>
      <c r="FGU171" s="125"/>
      <c r="FGV171" s="125"/>
      <c r="FGW171" s="125"/>
      <c r="FGX171" s="125"/>
      <c r="FGY171" s="125"/>
      <c r="FGZ171" s="125"/>
      <c r="FHA171" s="125"/>
      <c r="FHB171" s="125"/>
      <c r="FHC171" s="125"/>
      <c r="FHD171" s="125"/>
      <c r="FHE171" s="125"/>
      <c r="FHF171" s="125"/>
      <c r="FHG171" s="125"/>
      <c r="FHH171" s="125"/>
      <c r="FHI171" s="125"/>
      <c r="FHJ171" s="125"/>
      <c r="FHK171" s="125"/>
      <c r="FHL171" s="125"/>
      <c r="FHM171" s="125"/>
      <c r="FHN171" s="125"/>
      <c r="FHO171" s="125"/>
      <c r="FHP171" s="125"/>
      <c r="FHQ171" s="125"/>
      <c r="FHR171" s="125"/>
      <c r="FHS171" s="125"/>
      <c r="FHT171" s="125"/>
      <c r="FHU171" s="125"/>
      <c r="FHV171" s="125"/>
      <c r="FHW171" s="125"/>
      <c r="FHX171" s="125"/>
      <c r="FHY171" s="125"/>
      <c r="FHZ171" s="125"/>
      <c r="FIA171" s="125"/>
      <c r="FIB171" s="125"/>
      <c r="FIC171" s="125"/>
      <c r="FID171" s="125"/>
      <c r="FIE171" s="125"/>
      <c r="FIF171" s="125"/>
      <c r="FIG171" s="125"/>
      <c r="FIH171" s="125"/>
      <c r="FII171" s="125"/>
      <c r="FIJ171" s="125"/>
      <c r="FIK171" s="125"/>
      <c r="FIL171" s="125"/>
      <c r="FIM171" s="125"/>
      <c r="FIN171" s="125"/>
      <c r="FIO171" s="125"/>
      <c r="FIP171" s="125"/>
      <c r="FIQ171" s="125"/>
      <c r="FIR171" s="125"/>
      <c r="FIS171" s="125"/>
      <c r="FIT171" s="125"/>
      <c r="FIU171" s="125"/>
      <c r="FIV171" s="125"/>
      <c r="FIW171" s="125"/>
      <c r="FIX171" s="125"/>
      <c r="FIY171" s="125"/>
      <c r="FIZ171" s="125"/>
      <c r="FJA171" s="125"/>
      <c r="FJB171" s="125"/>
      <c r="FJC171" s="125"/>
      <c r="FJD171" s="125"/>
      <c r="FJE171" s="125"/>
      <c r="FJF171" s="125"/>
      <c r="FJG171" s="125"/>
      <c r="FJH171" s="125"/>
      <c r="FJI171" s="125"/>
      <c r="FJJ171" s="125"/>
      <c r="FJK171" s="125"/>
      <c r="FJL171" s="125"/>
      <c r="FJM171" s="125"/>
      <c r="FJN171" s="125"/>
      <c r="FJO171" s="125"/>
      <c r="FJP171" s="125"/>
      <c r="FJQ171" s="125"/>
      <c r="FJR171" s="125"/>
      <c r="FJS171" s="125"/>
      <c r="FJT171" s="125"/>
      <c r="FJU171" s="125"/>
      <c r="FJV171" s="125"/>
      <c r="FJW171" s="125"/>
      <c r="FJX171" s="125"/>
      <c r="FJY171" s="125"/>
      <c r="FJZ171" s="125"/>
      <c r="FKA171" s="125"/>
      <c r="FKB171" s="125"/>
      <c r="FKC171" s="125"/>
      <c r="FKD171" s="125"/>
      <c r="FKE171" s="125"/>
      <c r="FKF171" s="125"/>
      <c r="FKG171" s="125"/>
      <c r="FKH171" s="125"/>
      <c r="FKI171" s="125"/>
      <c r="FKJ171" s="125"/>
      <c r="FKK171" s="125"/>
      <c r="FKL171" s="125"/>
      <c r="FKM171" s="125"/>
      <c r="FKN171" s="125"/>
      <c r="FKO171" s="125"/>
      <c r="FKP171" s="125"/>
      <c r="FKQ171" s="125"/>
      <c r="FKR171" s="125"/>
      <c r="FKS171" s="125"/>
      <c r="FKT171" s="125"/>
      <c r="FKU171" s="125"/>
      <c r="FKV171" s="125"/>
      <c r="FKW171" s="125"/>
      <c r="FKX171" s="125"/>
      <c r="FKY171" s="125"/>
      <c r="FKZ171" s="125"/>
      <c r="FLA171" s="125"/>
      <c r="FLB171" s="125"/>
      <c r="FLC171" s="125"/>
      <c r="FLD171" s="125"/>
      <c r="FLE171" s="125"/>
      <c r="FLF171" s="125"/>
      <c r="FLG171" s="125"/>
      <c r="FLH171" s="125"/>
      <c r="FLI171" s="125"/>
      <c r="FLJ171" s="125"/>
      <c r="FLK171" s="125"/>
      <c r="FLL171" s="125"/>
      <c r="FLM171" s="125"/>
      <c r="FLN171" s="125"/>
      <c r="FLO171" s="125"/>
      <c r="FLP171" s="125"/>
      <c r="FLQ171" s="125"/>
      <c r="FLR171" s="125"/>
      <c r="FLS171" s="125"/>
      <c r="FLT171" s="125"/>
      <c r="FLU171" s="125"/>
      <c r="FLV171" s="125"/>
      <c r="FLW171" s="125"/>
      <c r="FLX171" s="125"/>
      <c r="FLY171" s="125"/>
      <c r="FLZ171" s="125"/>
      <c r="FMA171" s="125"/>
      <c r="FMB171" s="125"/>
      <c r="FMC171" s="125"/>
      <c r="FMD171" s="125"/>
      <c r="FME171" s="125"/>
      <c r="FMF171" s="125"/>
      <c r="FMG171" s="125"/>
      <c r="FMH171" s="125"/>
      <c r="FMI171" s="125"/>
      <c r="FMJ171" s="125"/>
      <c r="FMK171" s="125"/>
      <c r="FML171" s="125"/>
      <c r="FMM171" s="125"/>
      <c r="FMN171" s="125"/>
      <c r="FMO171" s="125"/>
      <c r="FMP171" s="125"/>
      <c r="FMQ171" s="125"/>
      <c r="FMR171" s="125"/>
      <c r="FMS171" s="125"/>
      <c r="FMT171" s="125"/>
      <c r="FMU171" s="125"/>
      <c r="FMV171" s="125"/>
      <c r="FMW171" s="125"/>
      <c r="FMX171" s="125"/>
      <c r="FMY171" s="125"/>
      <c r="FMZ171" s="125"/>
      <c r="FNA171" s="125"/>
      <c r="FNB171" s="125"/>
      <c r="FNC171" s="125"/>
      <c r="FND171" s="125"/>
      <c r="FNE171" s="125"/>
      <c r="FNF171" s="125"/>
      <c r="FNG171" s="125"/>
      <c r="FNH171" s="125"/>
      <c r="FNI171" s="125"/>
      <c r="FNJ171" s="125"/>
      <c r="FNK171" s="125"/>
      <c r="FNL171" s="125"/>
      <c r="FNM171" s="125"/>
      <c r="FNN171" s="125"/>
      <c r="FNO171" s="125"/>
      <c r="FNP171" s="125"/>
      <c r="FNQ171" s="125"/>
      <c r="FNR171" s="125"/>
      <c r="FNS171" s="125"/>
      <c r="FNT171" s="125"/>
      <c r="FNU171" s="125"/>
      <c r="FNV171" s="125"/>
      <c r="FNW171" s="125"/>
      <c r="FNX171" s="125"/>
      <c r="FNY171" s="125"/>
      <c r="FNZ171" s="125"/>
      <c r="FOA171" s="125"/>
      <c r="FOB171" s="125"/>
      <c r="FOC171" s="125"/>
      <c r="FOD171" s="125"/>
      <c r="FOE171" s="125"/>
      <c r="FOF171" s="125"/>
      <c r="FOG171" s="125"/>
      <c r="FOH171" s="125"/>
      <c r="FOI171" s="125"/>
      <c r="FOJ171" s="125"/>
      <c r="FOK171" s="125"/>
      <c r="FOL171" s="125"/>
      <c r="FOM171" s="125"/>
      <c r="FON171" s="125"/>
      <c r="FOO171" s="125"/>
      <c r="FOP171" s="125"/>
      <c r="FOQ171" s="125"/>
      <c r="FOR171" s="125"/>
      <c r="FOS171" s="125"/>
      <c r="FOT171" s="125"/>
      <c r="FOU171" s="125"/>
      <c r="FOV171" s="125"/>
      <c r="FOW171" s="125"/>
      <c r="FOX171" s="125"/>
      <c r="FOY171" s="125"/>
      <c r="FOZ171" s="125"/>
      <c r="FPA171" s="125"/>
      <c r="FPB171" s="125"/>
      <c r="FPC171" s="125"/>
      <c r="FPD171" s="125"/>
      <c r="FPE171" s="125"/>
      <c r="FPF171" s="125"/>
      <c r="FPG171" s="125"/>
      <c r="FPH171" s="125"/>
      <c r="FPI171" s="125"/>
      <c r="FPJ171" s="125"/>
      <c r="FPK171" s="125"/>
      <c r="FPL171" s="125"/>
      <c r="FPM171" s="125"/>
      <c r="FPN171" s="125"/>
      <c r="FPO171" s="125"/>
      <c r="FPP171" s="125"/>
      <c r="FPQ171" s="125"/>
      <c r="FPR171" s="125"/>
      <c r="FPS171" s="125"/>
      <c r="FPT171" s="125"/>
      <c r="FPU171" s="125"/>
      <c r="FPV171" s="125"/>
      <c r="FPW171" s="125"/>
      <c r="FPX171" s="125"/>
      <c r="FPY171" s="125"/>
      <c r="FPZ171" s="125"/>
      <c r="FQA171" s="125"/>
      <c r="FQB171" s="125"/>
      <c r="FQC171" s="125"/>
      <c r="FQD171" s="125"/>
      <c r="FQE171" s="125"/>
      <c r="FQF171" s="125"/>
      <c r="FQG171" s="125"/>
      <c r="FQH171" s="125"/>
      <c r="FQI171" s="125"/>
      <c r="FQJ171" s="125"/>
      <c r="FQK171" s="125"/>
      <c r="FQL171" s="125"/>
      <c r="FQM171" s="125"/>
      <c r="FQN171" s="125"/>
      <c r="FQO171" s="125"/>
      <c r="FQP171" s="125"/>
      <c r="FQQ171" s="125"/>
      <c r="FQR171" s="125"/>
      <c r="FQS171" s="125"/>
      <c r="FQT171" s="125"/>
      <c r="FQU171" s="125"/>
      <c r="FQV171" s="125"/>
      <c r="FQW171" s="125"/>
      <c r="FQX171" s="125"/>
      <c r="FQY171" s="125"/>
      <c r="FQZ171" s="125"/>
      <c r="FRA171" s="125"/>
      <c r="FRB171" s="125"/>
      <c r="FRC171" s="125"/>
      <c r="FRD171" s="125"/>
      <c r="FRE171" s="125"/>
      <c r="FRF171" s="125"/>
      <c r="FRG171" s="125"/>
      <c r="FRH171" s="125"/>
      <c r="FRI171" s="125"/>
      <c r="FRJ171" s="125"/>
      <c r="FRK171" s="125"/>
      <c r="FRL171" s="125"/>
      <c r="FRM171" s="125"/>
      <c r="FRN171" s="125"/>
      <c r="FRO171" s="125"/>
      <c r="FRP171" s="125"/>
      <c r="FRQ171" s="125"/>
      <c r="FRR171" s="125"/>
      <c r="FRS171" s="125"/>
      <c r="FRT171" s="125"/>
      <c r="FRU171" s="125"/>
      <c r="FRV171" s="125"/>
      <c r="FRW171" s="125"/>
      <c r="FRX171" s="125"/>
      <c r="FRY171" s="125"/>
      <c r="FRZ171" s="125"/>
      <c r="FSA171" s="125"/>
      <c r="FSB171" s="125"/>
      <c r="FSC171" s="125"/>
      <c r="FSD171" s="125"/>
      <c r="FSE171" s="125"/>
      <c r="FSF171" s="125"/>
      <c r="FSG171" s="125"/>
      <c r="FSH171" s="125"/>
      <c r="FSI171" s="125"/>
      <c r="FSJ171" s="125"/>
      <c r="FSK171" s="125"/>
      <c r="FSL171" s="125"/>
      <c r="FSM171" s="125"/>
      <c r="FSN171" s="125"/>
      <c r="FSO171" s="125"/>
      <c r="FSP171" s="125"/>
      <c r="FSQ171" s="125"/>
      <c r="FSR171" s="125"/>
      <c r="FSS171" s="125"/>
      <c r="FST171" s="125"/>
      <c r="FSU171" s="125"/>
      <c r="FSV171" s="125"/>
      <c r="FSW171" s="125"/>
      <c r="FSX171" s="125"/>
      <c r="FSY171" s="125"/>
      <c r="FSZ171" s="125"/>
      <c r="FTA171" s="125"/>
      <c r="FTB171" s="125"/>
      <c r="FTC171" s="125"/>
      <c r="FTD171" s="125"/>
      <c r="FTE171" s="125"/>
      <c r="FTF171" s="125"/>
      <c r="FTG171" s="125"/>
      <c r="FTH171" s="125"/>
      <c r="FTI171" s="125"/>
      <c r="FTJ171" s="125"/>
      <c r="FTK171" s="125"/>
      <c r="FTL171" s="125"/>
      <c r="FTM171" s="125"/>
      <c r="FTN171" s="125"/>
      <c r="FTO171" s="125"/>
      <c r="FTP171" s="125"/>
      <c r="FTQ171" s="125"/>
      <c r="FTR171" s="125"/>
      <c r="FTS171" s="125"/>
      <c r="FTT171" s="125"/>
      <c r="FTU171" s="125"/>
      <c r="FTV171" s="125"/>
      <c r="FTW171" s="125"/>
      <c r="FTX171" s="125"/>
      <c r="FTY171" s="125"/>
      <c r="FTZ171" s="125"/>
      <c r="FUA171" s="125"/>
      <c r="FUB171" s="125"/>
      <c r="FUC171" s="125"/>
      <c r="FUD171" s="125"/>
      <c r="FUE171" s="125"/>
      <c r="FUF171" s="125"/>
      <c r="FUG171" s="125"/>
      <c r="FUH171" s="125"/>
      <c r="FUI171" s="125"/>
      <c r="FUJ171" s="125"/>
      <c r="FUK171" s="125"/>
      <c r="FUL171" s="125"/>
      <c r="FUM171" s="125"/>
      <c r="FUN171" s="125"/>
      <c r="FUO171" s="125"/>
      <c r="FUP171" s="125"/>
      <c r="FUQ171" s="125"/>
      <c r="FUR171" s="125"/>
      <c r="FUS171" s="125"/>
      <c r="FUT171" s="125"/>
      <c r="FUU171" s="125"/>
      <c r="FUV171" s="125"/>
      <c r="FUW171" s="125"/>
      <c r="FUX171" s="125"/>
      <c r="FUY171" s="125"/>
      <c r="FUZ171" s="125"/>
      <c r="FVA171" s="125"/>
      <c r="FVB171" s="125"/>
      <c r="FVC171" s="125"/>
      <c r="FVD171" s="125"/>
      <c r="FVE171" s="125"/>
      <c r="FVF171" s="125"/>
      <c r="FVG171" s="125"/>
      <c r="FVH171" s="125"/>
      <c r="FVI171" s="125"/>
      <c r="FVJ171" s="125"/>
      <c r="FVK171" s="125"/>
      <c r="FVL171" s="125"/>
      <c r="FVM171" s="125"/>
      <c r="FVN171" s="125"/>
      <c r="FVO171" s="125"/>
      <c r="FVP171" s="125"/>
      <c r="FVQ171" s="125"/>
      <c r="FVR171" s="125"/>
      <c r="FVS171" s="125"/>
      <c r="FVT171" s="125"/>
      <c r="FVU171" s="125"/>
      <c r="FVV171" s="125"/>
      <c r="FVW171" s="125"/>
      <c r="FVX171" s="125"/>
      <c r="FVY171" s="125"/>
      <c r="FVZ171" s="125"/>
      <c r="FWA171" s="125"/>
      <c r="FWB171" s="125"/>
      <c r="FWC171" s="125"/>
      <c r="FWD171" s="125"/>
      <c r="FWE171" s="125"/>
      <c r="FWF171" s="125"/>
      <c r="FWG171" s="125"/>
      <c r="FWH171" s="125"/>
      <c r="FWI171" s="125"/>
      <c r="FWJ171" s="125"/>
      <c r="FWK171" s="125"/>
      <c r="FWL171" s="125"/>
      <c r="FWM171" s="125"/>
      <c r="FWN171" s="125"/>
      <c r="FWO171" s="125"/>
      <c r="FWP171" s="125"/>
      <c r="FWQ171" s="125"/>
      <c r="FWR171" s="125"/>
      <c r="FWS171" s="125"/>
      <c r="FWT171" s="125"/>
      <c r="FWU171" s="125"/>
      <c r="FWV171" s="125"/>
      <c r="FWW171" s="125"/>
      <c r="FWX171" s="125"/>
      <c r="FWY171" s="125"/>
      <c r="FWZ171" s="125"/>
      <c r="FXA171" s="125"/>
      <c r="FXB171" s="125"/>
      <c r="FXC171" s="125"/>
      <c r="FXD171" s="125"/>
      <c r="FXE171" s="125"/>
      <c r="FXF171" s="125"/>
      <c r="FXG171" s="125"/>
      <c r="FXH171" s="125"/>
      <c r="FXI171" s="125"/>
      <c r="FXJ171" s="125"/>
      <c r="FXK171" s="125"/>
      <c r="FXL171" s="125"/>
      <c r="FXM171" s="125"/>
      <c r="FXN171" s="125"/>
      <c r="FXO171" s="125"/>
      <c r="FXP171" s="125"/>
      <c r="FXQ171" s="125"/>
      <c r="FXR171" s="125"/>
      <c r="FXS171" s="125"/>
      <c r="FXT171" s="125"/>
      <c r="FXU171" s="125"/>
      <c r="FXV171" s="125"/>
      <c r="FXW171" s="125"/>
      <c r="FXX171" s="125"/>
      <c r="FXY171" s="125"/>
      <c r="FXZ171" s="125"/>
      <c r="FYA171" s="125"/>
      <c r="FYB171" s="125"/>
      <c r="FYC171" s="125"/>
      <c r="FYD171" s="125"/>
      <c r="FYE171" s="125"/>
      <c r="FYF171" s="125"/>
      <c r="FYG171" s="125"/>
      <c r="FYH171" s="125"/>
      <c r="FYI171" s="125"/>
      <c r="FYJ171" s="125"/>
      <c r="FYK171" s="125"/>
      <c r="FYL171" s="125"/>
      <c r="FYM171" s="125"/>
      <c r="FYN171" s="125"/>
      <c r="FYO171" s="125"/>
      <c r="FYP171" s="125"/>
      <c r="FYQ171" s="125"/>
      <c r="FYR171" s="125"/>
      <c r="FYS171" s="125"/>
      <c r="FYT171" s="125"/>
      <c r="FYU171" s="125"/>
      <c r="FYV171" s="125"/>
      <c r="FYW171" s="125"/>
      <c r="FYX171" s="125"/>
      <c r="FYY171" s="125"/>
      <c r="FYZ171" s="125"/>
      <c r="FZA171" s="125"/>
      <c r="FZB171" s="125"/>
      <c r="FZC171" s="125"/>
      <c r="FZD171" s="125"/>
      <c r="FZE171" s="125"/>
      <c r="FZF171" s="125"/>
      <c r="FZG171" s="125"/>
      <c r="FZH171" s="125"/>
      <c r="FZI171" s="125"/>
      <c r="FZJ171" s="125"/>
      <c r="FZK171" s="125"/>
      <c r="FZL171" s="125"/>
      <c r="FZM171" s="125"/>
      <c r="FZN171" s="125"/>
      <c r="FZO171" s="125"/>
      <c r="FZP171" s="125"/>
      <c r="FZQ171" s="125"/>
      <c r="FZR171" s="125"/>
      <c r="FZS171" s="125"/>
      <c r="FZT171" s="125"/>
      <c r="FZU171" s="125"/>
      <c r="FZV171" s="125"/>
      <c r="FZW171" s="125"/>
      <c r="FZX171" s="125"/>
      <c r="FZY171" s="125"/>
      <c r="FZZ171" s="125"/>
      <c r="GAA171" s="125"/>
      <c r="GAB171" s="125"/>
      <c r="GAC171" s="125"/>
      <c r="GAD171" s="125"/>
      <c r="GAE171" s="125"/>
      <c r="GAF171" s="125"/>
      <c r="GAG171" s="125"/>
      <c r="GAH171" s="125"/>
      <c r="GAI171" s="125"/>
      <c r="GAJ171" s="125"/>
      <c r="GAK171" s="125"/>
      <c r="GAL171" s="125"/>
      <c r="GAM171" s="125"/>
      <c r="GAN171" s="125"/>
      <c r="GAO171" s="125"/>
      <c r="GAP171" s="125"/>
      <c r="GAQ171" s="125"/>
      <c r="GAR171" s="125"/>
      <c r="GAS171" s="125"/>
      <c r="GAT171" s="125"/>
      <c r="GAU171" s="125"/>
      <c r="GAV171" s="125"/>
      <c r="GAW171" s="125"/>
      <c r="GAX171" s="125"/>
      <c r="GAY171" s="125"/>
      <c r="GAZ171" s="125"/>
      <c r="GBA171" s="125"/>
      <c r="GBB171" s="125"/>
      <c r="GBC171" s="125"/>
      <c r="GBD171" s="125"/>
      <c r="GBE171" s="125"/>
      <c r="GBF171" s="125"/>
      <c r="GBG171" s="125"/>
      <c r="GBH171" s="125"/>
      <c r="GBI171" s="125"/>
      <c r="GBJ171" s="125"/>
      <c r="GBK171" s="125"/>
      <c r="GBL171" s="125"/>
      <c r="GBM171" s="125"/>
      <c r="GBN171" s="125"/>
      <c r="GBO171" s="125"/>
      <c r="GBP171" s="125"/>
      <c r="GBQ171" s="125"/>
      <c r="GBR171" s="125"/>
      <c r="GBS171" s="125"/>
      <c r="GBT171" s="125"/>
      <c r="GBU171" s="125"/>
      <c r="GBV171" s="125"/>
      <c r="GBW171" s="125"/>
      <c r="GBX171" s="125"/>
      <c r="GBY171" s="125"/>
      <c r="GBZ171" s="125"/>
      <c r="GCA171" s="125"/>
      <c r="GCB171" s="125"/>
      <c r="GCC171" s="125"/>
      <c r="GCD171" s="125"/>
      <c r="GCE171" s="125"/>
      <c r="GCF171" s="125"/>
      <c r="GCG171" s="125"/>
      <c r="GCH171" s="125"/>
      <c r="GCI171" s="125"/>
      <c r="GCJ171" s="125"/>
      <c r="GCK171" s="125"/>
      <c r="GCL171" s="125"/>
      <c r="GCM171" s="125"/>
      <c r="GCN171" s="125"/>
      <c r="GCO171" s="125"/>
      <c r="GCP171" s="125"/>
      <c r="GCQ171" s="125"/>
      <c r="GCR171" s="125"/>
      <c r="GCS171" s="125"/>
      <c r="GCT171" s="125"/>
      <c r="GCU171" s="125"/>
      <c r="GCV171" s="125"/>
      <c r="GCW171" s="125"/>
      <c r="GCX171" s="125"/>
      <c r="GCY171" s="125"/>
      <c r="GCZ171" s="125"/>
      <c r="GDA171" s="125"/>
      <c r="GDB171" s="125"/>
      <c r="GDC171" s="125"/>
      <c r="GDD171" s="125"/>
      <c r="GDE171" s="125"/>
      <c r="GDF171" s="125"/>
      <c r="GDG171" s="125"/>
      <c r="GDH171" s="125"/>
      <c r="GDI171" s="125"/>
      <c r="GDJ171" s="125"/>
      <c r="GDK171" s="125"/>
      <c r="GDL171" s="125"/>
      <c r="GDM171" s="125"/>
      <c r="GDN171" s="125"/>
      <c r="GDO171" s="125"/>
      <c r="GDP171" s="125"/>
      <c r="GDQ171" s="125"/>
      <c r="GDR171" s="125"/>
      <c r="GDS171" s="125"/>
      <c r="GDT171" s="125"/>
      <c r="GDU171" s="125"/>
      <c r="GDV171" s="125"/>
      <c r="GDW171" s="125"/>
      <c r="GDX171" s="125"/>
      <c r="GDY171" s="125"/>
      <c r="GDZ171" s="125"/>
      <c r="GEA171" s="125"/>
      <c r="GEB171" s="125"/>
      <c r="GEC171" s="125"/>
      <c r="GED171" s="125"/>
      <c r="GEE171" s="125"/>
      <c r="GEF171" s="125"/>
      <c r="GEG171" s="125"/>
      <c r="GEH171" s="125"/>
      <c r="GEI171" s="125"/>
      <c r="GEJ171" s="125"/>
      <c r="GEK171" s="125"/>
      <c r="GEL171" s="125"/>
      <c r="GEM171" s="125"/>
      <c r="GEN171" s="125"/>
      <c r="GEO171" s="125"/>
      <c r="GEP171" s="125"/>
      <c r="GEQ171" s="125"/>
      <c r="GER171" s="125"/>
      <c r="GES171" s="125"/>
      <c r="GET171" s="125"/>
      <c r="GEU171" s="125"/>
      <c r="GEV171" s="125"/>
      <c r="GEW171" s="125"/>
      <c r="GEX171" s="125"/>
      <c r="GEY171" s="125"/>
      <c r="GEZ171" s="125"/>
      <c r="GFA171" s="125"/>
      <c r="GFB171" s="125"/>
      <c r="GFC171" s="125"/>
      <c r="GFD171" s="125"/>
      <c r="GFE171" s="125"/>
      <c r="GFF171" s="125"/>
      <c r="GFG171" s="125"/>
      <c r="GFH171" s="125"/>
      <c r="GFI171" s="125"/>
      <c r="GFJ171" s="125"/>
      <c r="GFK171" s="125"/>
      <c r="GFL171" s="125"/>
      <c r="GFM171" s="125"/>
      <c r="GFN171" s="125"/>
      <c r="GFO171" s="125"/>
      <c r="GFP171" s="125"/>
      <c r="GFQ171" s="125"/>
      <c r="GFR171" s="125"/>
      <c r="GFS171" s="125"/>
      <c r="GFT171" s="125"/>
      <c r="GFU171" s="125"/>
      <c r="GFV171" s="125"/>
      <c r="GFW171" s="125"/>
      <c r="GFX171" s="125"/>
      <c r="GFY171" s="125"/>
      <c r="GFZ171" s="125"/>
      <c r="GGA171" s="125"/>
      <c r="GGB171" s="125"/>
      <c r="GGC171" s="125"/>
      <c r="GGD171" s="125"/>
      <c r="GGE171" s="125"/>
      <c r="GGF171" s="125"/>
      <c r="GGG171" s="125"/>
      <c r="GGH171" s="125"/>
      <c r="GGI171" s="125"/>
      <c r="GGJ171" s="125"/>
      <c r="GGK171" s="125"/>
      <c r="GGL171" s="125"/>
      <c r="GGM171" s="125"/>
      <c r="GGN171" s="125"/>
      <c r="GGO171" s="125"/>
      <c r="GGP171" s="125"/>
      <c r="GGQ171" s="125"/>
      <c r="GGR171" s="125"/>
      <c r="GGS171" s="125"/>
      <c r="GGT171" s="125"/>
      <c r="GGU171" s="125"/>
      <c r="GGV171" s="125"/>
      <c r="GGW171" s="125"/>
      <c r="GGX171" s="125"/>
      <c r="GGY171" s="125"/>
      <c r="GGZ171" s="125"/>
      <c r="GHA171" s="125"/>
      <c r="GHB171" s="125"/>
      <c r="GHC171" s="125"/>
      <c r="GHD171" s="125"/>
      <c r="GHE171" s="125"/>
      <c r="GHF171" s="125"/>
      <c r="GHG171" s="125"/>
      <c r="GHH171" s="125"/>
      <c r="GHI171" s="125"/>
      <c r="GHJ171" s="125"/>
      <c r="GHK171" s="125"/>
      <c r="GHL171" s="125"/>
      <c r="GHM171" s="125"/>
      <c r="GHN171" s="125"/>
      <c r="GHO171" s="125"/>
      <c r="GHP171" s="125"/>
      <c r="GHQ171" s="125"/>
      <c r="GHR171" s="125"/>
      <c r="GHS171" s="125"/>
      <c r="GHT171" s="125"/>
      <c r="GHU171" s="125"/>
      <c r="GHV171" s="125"/>
      <c r="GHW171" s="125"/>
      <c r="GHX171" s="125"/>
      <c r="GHY171" s="125"/>
      <c r="GHZ171" s="125"/>
      <c r="GIA171" s="125"/>
      <c r="GIB171" s="125"/>
      <c r="GIC171" s="125"/>
      <c r="GID171" s="125"/>
      <c r="GIE171" s="125"/>
      <c r="GIF171" s="125"/>
      <c r="GIG171" s="125"/>
      <c r="GIH171" s="125"/>
      <c r="GII171" s="125"/>
      <c r="GIJ171" s="125"/>
      <c r="GIK171" s="125"/>
      <c r="GIL171" s="125"/>
      <c r="GIM171" s="125"/>
      <c r="GIN171" s="125"/>
      <c r="GIO171" s="125"/>
      <c r="GIP171" s="125"/>
      <c r="GIQ171" s="125"/>
      <c r="GIR171" s="125"/>
      <c r="GIS171" s="125"/>
      <c r="GIT171" s="125"/>
      <c r="GIU171" s="125"/>
      <c r="GIV171" s="125"/>
      <c r="GIW171" s="125"/>
      <c r="GIX171" s="125"/>
      <c r="GIY171" s="125"/>
      <c r="GIZ171" s="125"/>
      <c r="GJA171" s="125"/>
      <c r="GJB171" s="125"/>
      <c r="GJC171" s="125"/>
      <c r="GJD171" s="125"/>
      <c r="GJE171" s="125"/>
      <c r="GJF171" s="125"/>
      <c r="GJG171" s="125"/>
      <c r="GJH171" s="125"/>
      <c r="GJI171" s="125"/>
      <c r="GJJ171" s="125"/>
      <c r="GJK171" s="125"/>
      <c r="GJL171" s="125"/>
      <c r="GJM171" s="125"/>
      <c r="GJN171" s="125"/>
      <c r="GJO171" s="125"/>
      <c r="GJP171" s="125"/>
      <c r="GJQ171" s="125"/>
      <c r="GJR171" s="125"/>
      <c r="GJS171" s="125"/>
      <c r="GJT171" s="125"/>
      <c r="GJU171" s="125"/>
      <c r="GJV171" s="125"/>
      <c r="GJW171" s="125"/>
      <c r="GJX171" s="125"/>
      <c r="GJY171" s="125"/>
      <c r="GJZ171" s="125"/>
      <c r="GKA171" s="125"/>
      <c r="GKB171" s="125"/>
      <c r="GKC171" s="125"/>
      <c r="GKD171" s="125"/>
      <c r="GKE171" s="125"/>
      <c r="GKF171" s="125"/>
      <c r="GKG171" s="125"/>
      <c r="GKH171" s="125"/>
      <c r="GKI171" s="125"/>
      <c r="GKJ171" s="125"/>
      <c r="GKK171" s="125"/>
      <c r="GKL171" s="125"/>
      <c r="GKM171" s="125"/>
      <c r="GKN171" s="125"/>
      <c r="GKO171" s="125"/>
      <c r="GKP171" s="125"/>
      <c r="GKQ171" s="125"/>
      <c r="GKR171" s="125"/>
      <c r="GKS171" s="125"/>
      <c r="GKT171" s="125"/>
      <c r="GKU171" s="125"/>
      <c r="GKV171" s="125"/>
      <c r="GKW171" s="125"/>
      <c r="GKX171" s="125"/>
      <c r="GKY171" s="125"/>
      <c r="GKZ171" s="125"/>
      <c r="GLA171" s="125"/>
      <c r="GLB171" s="125"/>
      <c r="GLC171" s="125"/>
      <c r="GLD171" s="125"/>
      <c r="GLE171" s="125"/>
      <c r="GLF171" s="125"/>
      <c r="GLG171" s="125"/>
      <c r="GLH171" s="125"/>
      <c r="GLI171" s="125"/>
      <c r="GLJ171" s="125"/>
      <c r="GLK171" s="125"/>
      <c r="GLL171" s="125"/>
      <c r="GLM171" s="125"/>
      <c r="GLN171" s="125"/>
      <c r="GLO171" s="125"/>
      <c r="GLP171" s="125"/>
      <c r="GLQ171" s="125"/>
      <c r="GLR171" s="125"/>
      <c r="GLS171" s="125"/>
      <c r="GLT171" s="125"/>
      <c r="GLU171" s="125"/>
      <c r="GLV171" s="125"/>
      <c r="GLW171" s="125"/>
      <c r="GLX171" s="125"/>
      <c r="GLY171" s="125"/>
      <c r="GLZ171" s="125"/>
      <c r="GMA171" s="125"/>
      <c r="GMB171" s="125"/>
      <c r="GMC171" s="125"/>
      <c r="GMD171" s="125"/>
      <c r="GME171" s="125"/>
      <c r="GMF171" s="125"/>
      <c r="GMG171" s="125"/>
      <c r="GMH171" s="125"/>
      <c r="GMI171" s="125"/>
      <c r="GMJ171" s="125"/>
      <c r="GMK171" s="125"/>
      <c r="GML171" s="125"/>
      <c r="GMM171" s="125"/>
      <c r="GMN171" s="125"/>
      <c r="GMO171" s="125"/>
      <c r="GMP171" s="125"/>
      <c r="GMQ171" s="125"/>
      <c r="GMR171" s="125"/>
      <c r="GMS171" s="125"/>
      <c r="GMT171" s="125"/>
      <c r="GMU171" s="125"/>
      <c r="GMV171" s="125"/>
      <c r="GMW171" s="125"/>
      <c r="GMX171" s="125"/>
      <c r="GMY171" s="125"/>
      <c r="GMZ171" s="125"/>
      <c r="GNA171" s="125"/>
      <c r="GNB171" s="125"/>
      <c r="GNC171" s="125"/>
      <c r="GND171" s="125"/>
      <c r="GNE171" s="125"/>
      <c r="GNF171" s="125"/>
      <c r="GNG171" s="125"/>
      <c r="GNH171" s="125"/>
      <c r="GNI171" s="125"/>
      <c r="GNJ171" s="125"/>
      <c r="GNK171" s="125"/>
      <c r="GNL171" s="125"/>
      <c r="GNM171" s="125"/>
      <c r="GNN171" s="125"/>
      <c r="GNO171" s="125"/>
      <c r="GNP171" s="125"/>
      <c r="GNQ171" s="125"/>
      <c r="GNR171" s="125"/>
      <c r="GNS171" s="125"/>
      <c r="GNT171" s="125"/>
      <c r="GNU171" s="125"/>
      <c r="GNV171" s="125"/>
      <c r="GNW171" s="125"/>
      <c r="GNX171" s="125"/>
      <c r="GNY171" s="125"/>
      <c r="GNZ171" s="125"/>
      <c r="GOA171" s="125"/>
      <c r="GOB171" s="125"/>
      <c r="GOC171" s="125"/>
      <c r="GOD171" s="125"/>
      <c r="GOE171" s="125"/>
      <c r="GOF171" s="125"/>
      <c r="GOG171" s="125"/>
      <c r="GOH171" s="125"/>
      <c r="GOI171" s="125"/>
      <c r="GOJ171" s="125"/>
      <c r="GOK171" s="125"/>
      <c r="GOL171" s="125"/>
      <c r="GOM171" s="125"/>
      <c r="GON171" s="125"/>
      <c r="GOO171" s="125"/>
      <c r="GOP171" s="125"/>
      <c r="GOQ171" s="125"/>
      <c r="GOR171" s="125"/>
      <c r="GOS171" s="125"/>
      <c r="GOT171" s="125"/>
      <c r="GOU171" s="125"/>
      <c r="GOV171" s="125"/>
      <c r="GOW171" s="125"/>
      <c r="GOX171" s="125"/>
      <c r="GOY171" s="125"/>
      <c r="GOZ171" s="125"/>
      <c r="GPA171" s="125"/>
      <c r="GPB171" s="125"/>
      <c r="GPC171" s="125"/>
      <c r="GPD171" s="125"/>
      <c r="GPE171" s="125"/>
      <c r="GPF171" s="125"/>
      <c r="GPG171" s="125"/>
      <c r="GPH171" s="125"/>
      <c r="GPI171" s="125"/>
      <c r="GPJ171" s="125"/>
      <c r="GPK171" s="125"/>
      <c r="GPL171" s="125"/>
      <c r="GPM171" s="125"/>
      <c r="GPN171" s="125"/>
      <c r="GPO171" s="125"/>
      <c r="GPP171" s="125"/>
      <c r="GPQ171" s="125"/>
      <c r="GPR171" s="125"/>
      <c r="GPS171" s="125"/>
      <c r="GPT171" s="125"/>
      <c r="GPU171" s="125"/>
      <c r="GPV171" s="125"/>
      <c r="GPW171" s="125"/>
      <c r="GPX171" s="125"/>
      <c r="GPY171" s="125"/>
      <c r="GPZ171" s="125"/>
      <c r="GQA171" s="125"/>
      <c r="GQB171" s="125"/>
      <c r="GQC171" s="125"/>
      <c r="GQD171" s="125"/>
      <c r="GQE171" s="125"/>
      <c r="GQF171" s="125"/>
      <c r="GQG171" s="125"/>
      <c r="GQH171" s="125"/>
      <c r="GQI171" s="125"/>
      <c r="GQJ171" s="125"/>
      <c r="GQK171" s="125"/>
      <c r="GQL171" s="125"/>
      <c r="GQM171" s="125"/>
      <c r="GQN171" s="125"/>
      <c r="GQO171" s="125"/>
      <c r="GQP171" s="125"/>
      <c r="GQQ171" s="125"/>
      <c r="GQR171" s="125"/>
      <c r="GQS171" s="125"/>
      <c r="GQT171" s="125"/>
      <c r="GQU171" s="125"/>
      <c r="GQV171" s="125"/>
      <c r="GQW171" s="125"/>
      <c r="GQX171" s="125"/>
      <c r="GQY171" s="125"/>
      <c r="GQZ171" s="125"/>
      <c r="GRA171" s="125"/>
      <c r="GRB171" s="125"/>
      <c r="GRC171" s="125"/>
      <c r="GRD171" s="125"/>
      <c r="GRE171" s="125"/>
      <c r="GRF171" s="125"/>
      <c r="GRG171" s="125"/>
      <c r="GRH171" s="125"/>
      <c r="GRI171" s="125"/>
      <c r="GRJ171" s="125"/>
      <c r="GRK171" s="125"/>
      <c r="GRL171" s="125"/>
      <c r="GRM171" s="125"/>
      <c r="GRN171" s="125"/>
      <c r="GRO171" s="125"/>
      <c r="GRP171" s="125"/>
      <c r="GRQ171" s="125"/>
      <c r="GRR171" s="125"/>
      <c r="GRS171" s="125"/>
      <c r="GRT171" s="125"/>
      <c r="GRU171" s="125"/>
      <c r="GRV171" s="125"/>
      <c r="GRW171" s="125"/>
      <c r="GRX171" s="125"/>
      <c r="GRY171" s="125"/>
      <c r="GRZ171" s="125"/>
      <c r="GSA171" s="125"/>
      <c r="GSB171" s="125"/>
      <c r="GSC171" s="125"/>
      <c r="GSD171" s="125"/>
      <c r="GSE171" s="125"/>
      <c r="GSF171" s="125"/>
      <c r="GSG171" s="125"/>
      <c r="GSH171" s="125"/>
      <c r="GSI171" s="125"/>
      <c r="GSJ171" s="125"/>
      <c r="GSK171" s="125"/>
      <c r="GSL171" s="125"/>
      <c r="GSM171" s="125"/>
      <c r="GSN171" s="125"/>
      <c r="GSO171" s="125"/>
      <c r="GSP171" s="125"/>
      <c r="GSQ171" s="125"/>
      <c r="GSR171" s="125"/>
      <c r="GSS171" s="125"/>
      <c r="GST171" s="125"/>
      <c r="GSU171" s="125"/>
      <c r="GSV171" s="125"/>
      <c r="GSW171" s="125"/>
      <c r="GSX171" s="125"/>
      <c r="GSY171" s="125"/>
      <c r="GSZ171" s="125"/>
      <c r="GTA171" s="125"/>
      <c r="GTB171" s="125"/>
      <c r="GTC171" s="125"/>
      <c r="GTD171" s="125"/>
      <c r="GTE171" s="125"/>
      <c r="GTF171" s="125"/>
      <c r="GTG171" s="125"/>
      <c r="GTH171" s="125"/>
      <c r="GTI171" s="125"/>
      <c r="GTJ171" s="125"/>
      <c r="GTK171" s="125"/>
      <c r="GTL171" s="125"/>
      <c r="GTM171" s="125"/>
      <c r="GTN171" s="125"/>
      <c r="GTO171" s="125"/>
      <c r="GTP171" s="125"/>
      <c r="GTQ171" s="125"/>
      <c r="GTR171" s="125"/>
      <c r="GTS171" s="125"/>
      <c r="GTT171" s="125"/>
      <c r="GTU171" s="125"/>
      <c r="GTV171" s="125"/>
      <c r="GTW171" s="125"/>
      <c r="GTX171" s="125"/>
      <c r="GTY171" s="125"/>
      <c r="GTZ171" s="125"/>
      <c r="GUA171" s="125"/>
      <c r="GUB171" s="125"/>
      <c r="GUC171" s="125"/>
      <c r="GUD171" s="125"/>
      <c r="GUE171" s="125"/>
      <c r="GUF171" s="125"/>
      <c r="GUG171" s="125"/>
      <c r="GUH171" s="125"/>
      <c r="GUI171" s="125"/>
      <c r="GUJ171" s="125"/>
      <c r="GUK171" s="125"/>
      <c r="GUL171" s="125"/>
      <c r="GUM171" s="125"/>
      <c r="GUN171" s="125"/>
      <c r="GUO171" s="125"/>
      <c r="GUP171" s="125"/>
      <c r="GUQ171" s="125"/>
      <c r="GUR171" s="125"/>
      <c r="GUS171" s="125"/>
      <c r="GUT171" s="125"/>
      <c r="GUU171" s="125"/>
      <c r="GUV171" s="125"/>
      <c r="GUW171" s="125"/>
      <c r="GUX171" s="125"/>
      <c r="GUY171" s="125"/>
      <c r="GUZ171" s="125"/>
      <c r="GVA171" s="125"/>
      <c r="GVB171" s="125"/>
      <c r="GVC171" s="125"/>
      <c r="GVD171" s="125"/>
      <c r="GVE171" s="125"/>
      <c r="GVF171" s="125"/>
      <c r="GVG171" s="125"/>
      <c r="GVH171" s="125"/>
      <c r="GVI171" s="125"/>
      <c r="GVJ171" s="125"/>
      <c r="GVK171" s="125"/>
      <c r="GVL171" s="125"/>
      <c r="GVM171" s="125"/>
      <c r="GVN171" s="125"/>
      <c r="GVO171" s="125"/>
      <c r="GVP171" s="125"/>
      <c r="GVQ171" s="125"/>
      <c r="GVR171" s="125"/>
      <c r="GVS171" s="125"/>
      <c r="GVT171" s="125"/>
      <c r="GVU171" s="125"/>
      <c r="GVV171" s="125"/>
      <c r="GVW171" s="125"/>
      <c r="GVX171" s="125"/>
      <c r="GVY171" s="125"/>
      <c r="GVZ171" s="125"/>
      <c r="GWA171" s="125"/>
      <c r="GWB171" s="125"/>
      <c r="GWC171" s="125"/>
      <c r="GWD171" s="125"/>
      <c r="GWE171" s="125"/>
      <c r="GWF171" s="125"/>
      <c r="GWG171" s="125"/>
      <c r="GWH171" s="125"/>
      <c r="GWI171" s="125"/>
      <c r="GWJ171" s="125"/>
      <c r="GWK171" s="125"/>
      <c r="GWL171" s="125"/>
      <c r="GWM171" s="125"/>
      <c r="GWN171" s="125"/>
      <c r="GWO171" s="125"/>
      <c r="GWP171" s="125"/>
      <c r="GWQ171" s="125"/>
      <c r="GWR171" s="125"/>
      <c r="GWS171" s="125"/>
      <c r="GWT171" s="125"/>
      <c r="GWU171" s="125"/>
      <c r="GWV171" s="125"/>
      <c r="GWW171" s="125"/>
      <c r="GWX171" s="125"/>
      <c r="GWY171" s="125"/>
      <c r="GWZ171" s="125"/>
      <c r="GXA171" s="125"/>
      <c r="GXB171" s="125"/>
      <c r="GXC171" s="125"/>
      <c r="GXD171" s="125"/>
      <c r="GXE171" s="125"/>
      <c r="GXF171" s="125"/>
      <c r="GXG171" s="125"/>
      <c r="GXH171" s="125"/>
      <c r="GXI171" s="125"/>
      <c r="GXJ171" s="125"/>
      <c r="GXK171" s="125"/>
      <c r="GXL171" s="125"/>
      <c r="GXM171" s="125"/>
      <c r="GXN171" s="125"/>
      <c r="GXO171" s="125"/>
      <c r="GXP171" s="125"/>
      <c r="GXQ171" s="125"/>
      <c r="GXR171" s="125"/>
      <c r="GXS171" s="125"/>
      <c r="GXT171" s="125"/>
      <c r="GXU171" s="125"/>
      <c r="GXV171" s="125"/>
      <c r="GXW171" s="125"/>
      <c r="GXX171" s="125"/>
      <c r="GXY171" s="125"/>
      <c r="GXZ171" s="125"/>
      <c r="GYA171" s="125"/>
      <c r="GYB171" s="125"/>
      <c r="GYC171" s="125"/>
      <c r="GYD171" s="125"/>
      <c r="GYE171" s="125"/>
      <c r="GYF171" s="125"/>
      <c r="GYG171" s="125"/>
      <c r="GYH171" s="125"/>
      <c r="GYI171" s="125"/>
      <c r="GYJ171" s="125"/>
      <c r="GYK171" s="125"/>
      <c r="GYL171" s="125"/>
      <c r="GYM171" s="125"/>
      <c r="GYN171" s="125"/>
      <c r="GYO171" s="125"/>
      <c r="GYP171" s="125"/>
      <c r="GYQ171" s="125"/>
      <c r="GYR171" s="125"/>
      <c r="GYS171" s="125"/>
      <c r="GYT171" s="125"/>
      <c r="GYU171" s="125"/>
      <c r="GYV171" s="125"/>
      <c r="GYW171" s="125"/>
      <c r="GYX171" s="125"/>
      <c r="GYY171" s="125"/>
      <c r="GYZ171" s="125"/>
      <c r="GZA171" s="125"/>
      <c r="GZB171" s="125"/>
      <c r="GZC171" s="125"/>
      <c r="GZD171" s="125"/>
      <c r="GZE171" s="125"/>
      <c r="GZF171" s="125"/>
      <c r="GZG171" s="125"/>
      <c r="GZH171" s="125"/>
      <c r="GZI171" s="125"/>
      <c r="GZJ171" s="125"/>
      <c r="GZK171" s="125"/>
      <c r="GZL171" s="125"/>
      <c r="GZM171" s="125"/>
      <c r="GZN171" s="125"/>
      <c r="GZO171" s="125"/>
      <c r="GZP171" s="125"/>
      <c r="GZQ171" s="125"/>
      <c r="GZR171" s="125"/>
      <c r="GZS171" s="125"/>
      <c r="GZT171" s="125"/>
      <c r="GZU171" s="125"/>
      <c r="GZV171" s="125"/>
      <c r="GZW171" s="125"/>
      <c r="GZX171" s="125"/>
      <c r="GZY171" s="125"/>
      <c r="GZZ171" s="125"/>
      <c r="HAA171" s="125"/>
      <c r="HAB171" s="125"/>
      <c r="HAC171" s="125"/>
      <c r="HAD171" s="125"/>
      <c r="HAE171" s="125"/>
      <c r="HAF171" s="125"/>
      <c r="HAG171" s="125"/>
      <c r="HAH171" s="125"/>
      <c r="HAI171" s="125"/>
      <c r="HAJ171" s="125"/>
      <c r="HAK171" s="125"/>
      <c r="HAL171" s="125"/>
      <c r="HAM171" s="125"/>
      <c r="HAN171" s="125"/>
      <c r="HAO171" s="125"/>
      <c r="HAP171" s="125"/>
      <c r="HAQ171" s="125"/>
      <c r="HAR171" s="125"/>
      <c r="HAS171" s="125"/>
      <c r="HAT171" s="125"/>
      <c r="HAU171" s="125"/>
      <c r="HAV171" s="125"/>
      <c r="HAW171" s="125"/>
      <c r="HAX171" s="125"/>
      <c r="HAY171" s="125"/>
      <c r="HAZ171" s="125"/>
      <c r="HBA171" s="125"/>
      <c r="HBB171" s="125"/>
      <c r="HBC171" s="125"/>
      <c r="HBD171" s="125"/>
      <c r="HBE171" s="125"/>
      <c r="HBF171" s="125"/>
      <c r="HBG171" s="125"/>
      <c r="HBH171" s="125"/>
      <c r="HBI171" s="125"/>
      <c r="HBJ171" s="125"/>
      <c r="HBK171" s="125"/>
      <c r="HBL171" s="125"/>
      <c r="HBM171" s="125"/>
      <c r="HBN171" s="125"/>
      <c r="HBO171" s="125"/>
      <c r="HBP171" s="125"/>
      <c r="HBQ171" s="125"/>
      <c r="HBR171" s="125"/>
      <c r="HBS171" s="125"/>
      <c r="HBT171" s="125"/>
      <c r="HBU171" s="125"/>
      <c r="HBV171" s="125"/>
      <c r="HBW171" s="125"/>
      <c r="HBX171" s="125"/>
      <c r="HBY171" s="125"/>
      <c r="HBZ171" s="125"/>
      <c r="HCA171" s="125"/>
      <c r="HCB171" s="125"/>
      <c r="HCC171" s="125"/>
      <c r="HCD171" s="125"/>
      <c r="HCE171" s="125"/>
      <c r="HCF171" s="125"/>
      <c r="HCG171" s="125"/>
      <c r="HCH171" s="125"/>
      <c r="HCI171" s="125"/>
      <c r="HCJ171" s="125"/>
      <c r="HCK171" s="125"/>
      <c r="HCL171" s="125"/>
      <c r="HCM171" s="125"/>
      <c r="HCN171" s="125"/>
      <c r="HCO171" s="125"/>
      <c r="HCP171" s="125"/>
      <c r="HCQ171" s="125"/>
      <c r="HCR171" s="125"/>
      <c r="HCS171" s="125"/>
      <c r="HCT171" s="125"/>
      <c r="HCU171" s="125"/>
      <c r="HCV171" s="125"/>
      <c r="HCW171" s="125"/>
      <c r="HCX171" s="125"/>
      <c r="HCY171" s="125"/>
      <c r="HCZ171" s="125"/>
      <c r="HDA171" s="125"/>
      <c r="HDB171" s="125"/>
      <c r="HDC171" s="125"/>
      <c r="HDD171" s="125"/>
      <c r="HDE171" s="125"/>
      <c r="HDF171" s="125"/>
      <c r="HDG171" s="125"/>
      <c r="HDH171" s="125"/>
      <c r="HDI171" s="125"/>
      <c r="HDJ171" s="125"/>
      <c r="HDK171" s="125"/>
      <c r="HDL171" s="125"/>
      <c r="HDM171" s="125"/>
      <c r="HDN171" s="125"/>
      <c r="HDO171" s="125"/>
      <c r="HDP171" s="125"/>
      <c r="HDQ171" s="125"/>
      <c r="HDR171" s="125"/>
      <c r="HDS171" s="125"/>
      <c r="HDT171" s="125"/>
      <c r="HDU171" s="125"/>
      <c r="HDV171" s="125"/>
      <c r="HDW171" s="125"/>
      <c r="HDX171" s="125"/>
      <c r="HDY171" s="125"/>
      <c r="HDZ171" s="125"/>
      <c r="HEA171" s="125"/>
      <c r="HEB171" s="125"/>
      <c r="HEC171" s="125"/>
      <c r="HED171" s="125"/>
      <c r="HEE171" s="125"/>
      <c r="HEF171" s="125"/>
      <c r="HEG171" s="125"/>
      <c r="HEH171" s="125"/>
      <c r="HEI171" s="125"/>
      <c r="HEJ171" s="125"/>
      <c r="HEK171" s="125"/>
      <c r="HEL171" s="125"/>
      <c r="HEM171" s="125"/>
      <c r="HEN171" s="125"/>
      <c r="HEO171" s="125"/>
      <c r="HEP171" s="125"/>
      <c r="HEQ171" s="125"/>
      <c r="HER171" s="125"/>
      <c r="HES171" s="125"/>
      <c r="HET171" s="125"/>
      <c r="HEU171" s="125"/>
      <c r="HEV171" s="125"/>
      <c r="HEW171" s="125"/>
      <c r="HEX171" s="125"/>
      <c r="HEY171" s="125"/>
      <c r="HEZ171" s="125"/>
      <c r="HFA171" s="125"/>
      <c r="HFB171" s="125"/>
      <c r="HFC171" s="125"/>
      <c r="HFD171" s="125"/>
      <c r="HFE171" s="125"/>
      <c r="HFF171" s="125"/>
      <c r="HFG171" s="125"/>
      <c r="HFH171" s="125"/>
      <c r="HFI171" s="125"/>
      <c r="HFJ171" s="125"/>
      <c r="HFK171" s="125"/>
      <c r="HFL171" s="125"/>
      <c r="HFM171" s="125"/>
      <c r="HFN171" s="125"/>
      <c r="HFO171" s="125"/>
      <c r="HFP171" s="125"/>
      <c r="HFQ171" s="125"/>
      <c r="HFR171" s="125"/>
      <c r="HFS171" s="125"/>
      <c r="HFT171" s="125"/>
      <c r="HFU171" s="125"/>
      <c r="HFV171" s="125"/>
      <c r="HFW171" s="125"/>
      <c r="HFX171" s="125"/>
      <c r="HFY171" s="125"/>
      <c r="HFZ171" s="125"/>
      <c r="HGA171" s="125"/>
      <c r="HGB171" s="125"/>
      <c r="HGC171" s="125"/>
      <c r="HGD171" s="125"/>
      <c r="HGE171" s="125"/>
      <c r="HGF171" s="125"/>
      <c r="HGG171" s="125"/>
      <c r="HGH171" s="125"/>
      <c r="HGI171" s="125"/>
      <c r="HGJ171" s="125"/>
      <c r="HGK171" s="125"/>
      <c r="HGL171" s="125"/>
      <c r="HGM171" s="125"/>
      <c r="HGN171" s="125"/>
      <c r="HGO171" s="125"/>
      <c r="HGP171" s="125"/>
      <c r="HGQ171" s="125"/>
      <c r="HGR171" s="125"/>
      <c r="HGS171" s="125"/>
      <c r="HGT171" s="125"/>
      <c r="HGU171" s="125"/>
      <c r="HGV171" s="125"/>
      <c r="HGW171" s="125"/>
      <c r="HGX171" s="125"/>
      <c r="HGY171" s="125"/>
      <c r="HGZ171" s="125"/>
      <c r="HHA171" s="125"/>
      <c r="HHB171" s="125"/>
      <c r="HHC171" s="125"/>
      <c r="HHD171" s="125"/>
      <c r="HHE171" s="125"/>
      <c r="HHF171" s="125"/>
      <c r="HHG171" s="125"/>
      <c r="HHH171" s="125"/>
      <c r="HHI171" s="125"/>
      <c r="HHJ171" s="125"/>
      <c r="HHK171" s="125"/>
      <c r="HHL171" s="125"/>
      <c r="HHM171" s="125"/>
      <c r="HHN171" s="125"/>
      <c r="HHO171" s="125"/>
      <c r="HHP171" s="125"/>
      <c r="HHQ171" s="125"/>
      <c r="HHR171" s="125"/>
      <c r="HHS171" s="125"/>
      <c r="HHT171" s="125"/>
      <c r="HHU171" s="125"/>
      <c r="HHV171" s="125"/>
      <c r="HHW171" s="125"/>
      <c r="HHX171" s="125"/>
      <c r="HHY171" s="125"/>
      <c r="HHZ171" s="125"/>
      <c r="HIA171" s="125"/>
      <c r="HIB171" s="125"/>
      <c r="HIC171" s="125"/>
      <c r="HID171" s="125"/>
      <c r="HIE171" s="125"/>
      <c r="HIF171" s="125"/>
      <c r="HIG171" s="125"/>
      <c r="HIH171" s="125"/>
      <c r="HII171" s="125"/>
      <c r="HIJ171" s="125"/>
      <c r="HIK171" s="125"/>
      <c r="HIL171" s="125"/>
      <c r="HIM171" s="125"/>
      <c r="HIN171" s="125"/>
      <c r="HIO171" s="125"/>
      <c r="HIP171" s="125"/>
      <c r="HIQ171" s="125"/>
      <c r="HIR171" s="125"/>
      <c r="HIS171" s="125"/>
      <c r="HIT171" s="125"/>
      <c r="HIU171" s="125"/>
      <c r="HIV171" s="125"/>
      <c r="HIW171" s="125"/>
      <c r="HIX171" s="125"/>
      <c r="HIY171" s="125"/>
      <c r="HIZ171" s="125"/>
      <c r="HJA171" s="125"/>
      <c r="HJB171" s="125"/>
      <c r="HJC171" s="125"/>
      <c r="HJD171" s="125"/>
      <c r="HJE171" s="125"/>
      <c r="HJF171" s="125"/>
      <c r="HJG171" s="125"/>
      <c r="HJH171" s="125"/>
      <c r="HJI171" s="125"/>
      <c r="HJJ171" s="125"/>
      <c r="HJK171" s="125"/>
      <c r="HJL171" s="125"/>
      <c r="HJM171" s="125"/>
      <c r="HJN171" s="125"/>
      <c r="HJO171" s="125"/>
      <c r="HJP171" s="125"/>
      <c r="HJQ171" s="125"/>
      <c r="HJR171" s="125"/>
      <c r="HJS171" s="125"/>
      <c r="HJT171" s="125"/>
      <c r="HJU171" s="125"/>
      <c r="HJV171" s="125"/>
      <c r="HJW171" s="125"/>
      <c r="HJX171" s="125"/>
      <c r="HJY171" s="125"/>
      <c r="HJZ171" s="125"/>
      <c r="HKA171" s="125"/>
      <c r="HKB171" s="125"/>
      <c r="HKC171" s="125"/>
      <c r="HKD171" s="125"/>
      <c r="HKE171" s="125"/>
      <c r="HKF171" s="125"/>
      <c r="HKG171" s="125"/>
      <c r="HKH171" s="125"/>
      <c r="HKI171" s="125"/>
      <c r="HKJ171" s="125"/>
      <c r="HKK171" s="125"/>
      <c r="HKL171" s="125"/>
      <c r="HKM171" s="125"/>
      <c r="HKN171" s="125"/>
      <c r="HKO171" s="125"/>
      <c r="HKP171" s="125"/>
      <c r="HKQ171" s="125"/>
      <c r="HKR171" s="125"/>
      <c r="HKS171" s="125"/>
      <c r="HKT171" s="125"/>
      <c r="HKU171" s="125"/>
      <c r="HKV171" s="125"/>
      <c r="HKW171" s="125"/>
      <c r="HKX171" s="125"/>
      <c r="HKY171" s="125"/>
      <c r="HKZ171" s="125"/>
      <c r="HLA171" s="125"/>
      <c r="HLB171" s="125"/>
      <c r="HLC171" s="125"/>
      <c r="HLD171" s="125"/>
      <c r="HLE171" s="125"/>
      <c r="HLF171" s="125"/>
      <c r="HLG171" s="125"/>
      <c r="HLH171" s="125"/>
      <c r="HLI171" s="125"/>
      <c r="HLJ171" s="125"/>
      <c r="HLK171" s="125"/>
      <c r="HLL171" s="125"/>
      <c r="HLM171" s="125"/>
      <c r="HLN171" s="125"/>
      <c r="HLO171" s="125"/>
      <c r="HLP171" s="125"/>
      <c r="HLQ171" s="125"/>
      <c r="HLR171" s="125"/>
      <c r="HLS171" s="125"/>
      <c r="HLT171" s="125"/>
      <c r="HLU171" s="125"/>
      <c r="HLV171" s="125"/>
      <c r="HLW171" s="125"/>
      <c r="HLX171" s="125"/>
      <c r="HLY171" s="125"/>
      <c r="HLZ171" s="125"/>
      <c r="HMA171" s="125"/>
      <c r="HMB171" s="125"/>
      <c r="HMC171" s="125"/>
      <c r="HMD171" s="125"/>
      <c r="HME171" s="125"/>
      <c r="HMF171" s="125"/>
      <c r="HMG171" s="125"/>
      <c r="HMH171" s="125"/>
      <c r="HMI171" s="125"/>
      <c r="HMJ171" s="125"/>
      <c r="HMK171" s="125"/>
      <c r="HML171" s="125"/>
      <c r="HMM171" s="125"/>
      <c r="HMN171" s="125"/>
      <c r="HMO171" s="125"/>
      <c r="HMP171" s="125"/>
      <c r="HMQ171" s="125"/>
      <c r="HMR171" s="125"/>
      <c r="HMS171" s="125"/>
      <c r="HMT171" s="125"/>
      <c r="HMU171" s="125"/>
      <c r="HMV171" s="125"/>
      <c r="HMW171" s="125"/>
      <c r="HMX171" s="125"/>
      <c r="HMY171" s="125"/>
      <c r="HMZ171" s="125"/>
      <c r="HNA171" s="125"/>
      <c r="HNB171" s="125"/>
      <c r="HNC171" s="125"/>
      <c r="HND171" s="125"/>
      <c r="HNE171" s="125"/>
      <c r="HNF171" s="125"/>
      <c r="HNG171" s="125"/>
      <c r="HNH171" s="125"/>
      <c r="HNI171" s="125"/>
      <c r="HNJ171" s="125"/>
      <c r="HNK171" s="125"/>
      <c r="HNL171" s="125"/>
      <c r="HNM171" s="125"/>
      <c r="HNN171" s="125"/>
      <c r="HNO171" s="125"/>
      <c r="HNP171" s="125"/>
      <c r="HNQ171" s="125"/>
      <c r="HNR171" s="125"/>
      <c r="HNS171" s="125"/>
      <c r="HNT171" s="125"/>
      <c r="HNU171" s="125"/>
      <c r="HNV171" s="125"/>
      <c r="HNW171" s="125"/>
      <c r="HNX171" s="125"/>
      <c r="HNY171" s="125"/>
      <c r="HNZ171" s="125"/>
      <c r="HOA171" s="125"/>
      <c r="HOB171" s="125"/>
      <c r="HOC171" s="125"/>
      <c r="HOD171" s="125"/>
      <c r="HOE171" s="125"/>
      <c r="HOF171" s="125"/>
      <c r="HOG171" s="125"/>
      <c r="HOH171" s="125"/>
      <c r="HOI171" s="125"/>
      <c r="HOJ171" s="125"/>
      <c r="HOK171" s="125"/>
      <c r="HOL171" s="125"/>
      <c r="HOM171" s="125"/>
      <c r="HON171" s="125"/>
      <c r="HOO171" s="125"/>
      <c r="HOP171" s="125"/>
      <c r="HOQ171" s="125"/>
      <c r="HOR171" s="125"/>
      <c r="HOS171" s="125"/>
      <c r="HOT171" s="125"/>
      <c r="HOU171" s="125"/>
      <c r="HOV171" s="125"/>
      <c r="HOW171" s="125"/>
      <c r="HOX171" s="125"/>
      <c r="HOY171" s="125"/>
      <c r="HOZ171" s="125"/>
      <c r="HPA171" s="125"/>
      <c r="HPB171" s="125"/>
      <c r="HPC171" s="125"/>
      <c r="HPD171" s="125"/>
      <c r="HPE171" s="125"/>
      <c r="HPF171" s="125"/>
      <c r="HPG171" s="125"/>
      <c r="HPH171" s="125"/>
      <c r="HPI171" s="125"/>
      <c r="HPJ171" s="125"/>
      <c r="HPK171" s="125"/>
      <c r="HPL171" s="125"/>
      <c r="HPM171" s="125"/>
      <c r="HPN171" s="125"/>
      <c r="HPO171" s="125"/>
      <c r="HPP171" s="125"/>
      <c r="HPQ171" s="125"/>
      <c r="HPR171" s="125"/>
      <c r="HPS171" s="125"/>
      <c r="HPT171" s="125"/>
      <c r="HPU171" s="125"/>
      <c r="HPV171" s="125"/>
      <c r="HPW171" s="125"/>
      <c r="HPX171" s="125"/>
      <c r="HPY171" s="125"/>
      <c r="HPZ171" s="125"/>
      <c r="HQA171" s="125"/>
      <c r="HQB171" s="125"/>
      <c r="HQC171" s="125"/>
      <c r="HQD171" s="125"/>
      <c r="HQE171" s="125"/>
      <c r="HQF171" s="125"/>
      <c r="HQG171" s="125"/>
      <c r="HQH171" s="125"/>
      <c r="HQI171" s="125"/>
      <c r="HQJ171" s="125"/>
      <c r="HQK171" s="125"/>
      <c r="HQL171" s="125"/>
      <c r="HQM171" s="125"/>
      <c r="HQN171" s="125"/>
      <c r="HQO171" s="125"/>
      <c r="HQP171" s="125"/>
      <c r="HQQ171" s="125"/>
      <c r="HQR171" s="125"/>
      <c r="HQS171" s="125"/>
      <c r="HQT171" s="125"/>
      <c r="HQU171" s="125"/>
      <c r="HQV171" s="125"/>
      <c r="HQW171" s="125"/>
      <c r="HQX171" s="125"/>
      <c r="HQY171" s="125"/>
      <c r="HQZ171" s="125"/>
      <c r="HRA171" s="125"/>
      <c r="HRB171" s="125"/>
      <c r="HRC171" s="125"/>
      <c r="HRD171" s="125"/>
      <c r="HRE171" s="125"/>
      <c r="HRF171" s="125"/>
      <c r="HRG171" s="125"/>
      <c r="HRH171" s="125"/>
      <c r="HRI171" s="125"/>
      <c r="HRJ171" s="125"/>
      <c r="HRK171" s="125"/>
      <c r="HRL171" s="125"/>
      <c r="HRM171" s="125"/>
      <c r="HRN171" s="125"/>
      <c r="HRO171" s="125"/>
      <c r="HRP171" s="125"/>
      <c r="HRQ171" s="125"/>
      <c r="HRR171" s="125"/>
      <c r="HRS171" s="125"/>
      <c r="HRT171" s="125"/>
      <c r="HRU171" s="125"/>
      <c r="HRV171" s="125"/>
      <c r="HRW171" s="125"/>
      <c r="HRX171" s="125"/>
      <c r="HRY171" s="125"/>
      <c r="HRZ171" s="125"/>
      <c r="HSA171" s="125"/>
      <c r="HSB171" s="125"/>
      <c r="HSC171" s="125"/>
      <c r="HSD171" s="125"/>
      <c r="HSE171" s="125"/>
      <c r="HSF171" s="125"/>
      <c r="HSG171" s="125"/>
      <c r="HSH171" s="125"/>
      <c r="HSI171" s="125"/>
      <c r="HSJ171" s="125"/>
      <c r="HSK171" s="125"/>
      <c r="HSL171" s="125"/>
      <c r="HSM171" s="125"/>
      <c r="HSN171" s="125"/>
      <c r="HSO171" s="125"/>
      <c r="HSP171" s="125"/>
      <c r="HSQ171" s="125"/>
      <c r="HSR171" s="125"/>
      <c r="HSS171" s="125"/>
      <c r="HST171" s="125"/>
      <c r="HSU171" s="125"/>
      <c r="HSV171" s="125"/>
      <c r="HSW171" s="125"/>
      <c r="HSX171" s="125"/>
      <c r="HSY171" s="125"/>
      <c r="HSZ171" s="125"/>
      <c r="HTA171" s="125"/>
      <c r="HTB171" s="125"/>
      <c r="HTC171" s="125"/>
      <c r="HTD171" s="125"/>
      <c r="HTE171" s="125"/>
      <c r="HTF171" s="125"/>
      <c r="HTG171" s="125"/>
      <c r="HTH171" s="125"/>
      <c r="HTI171" s="125"/>
      <c r="HTJ171" s="125"/>
      <c r="HTK171" s="125"/>
      <c r="HTL171" s="125"/>
      <c r="HTM171" s="125"/>
      <c r="HTN171" s="125"/>
      <c r="HTO171" s="125"/>
      <c r="HTP171" s="125"/>
      <c r="HTQ171" s="125"/>
      <c r="HTR171" s="125"/>
      <c r="HTS171" s="125"/>
      <c r="HTT171" s="125"/>
      <c r="HTU171" s="125"/>
      <c r="HTV171" s="125"/>
      <c r="HTW171" s="125"/>
      <c r="HTX171" s="125"/>
      <c r="HTY171" s="125"/>
      <c r="HTZ171" s="125"/>
      <c r="HUA171" s="125"/>
      <c r="HUB171" s="125"/>
      <c r="HUC171" s="125"/>
      <c r="HUD171" s="125"/>
      <c r="HUE171" s="125"/>
      <c r="HUF171" s="125"/>
      <c r="HUG171" s="125"/>
      <c r="HUH171" s="125"/>
      <c r="HUI171" s="125"/>
      <c r="HUJ171" s="125"/>
      <c r="HUK171" s="125"/>
      <c r="HUL171" s="125"/>
      <c r="HUM171" s="125"/>
      <c r="HUN171" s="125"/>
      <c r="HUO171" s="125"/>
      <c r="HUP171" s="125"/>
      <c r="HUQ171" s="125"/>
      <c r="HUR171" s="125"/>
      <c r="HUS171" s="125"/>
      <c r="HUT171" s="125"/>
      <c r="HUU171" s="125"/>
      <c r="HUV171" s="125"/>
      <c r="HUW171" s="125"/>
      <c r="HUX171" s="125"/>
      <c r="HUY171" s="125"/>
      <c r="HUZ171" s="125"/>
      <c r="HVA171" s="125"/>
      <c r="HVB171" s="125"/>
      <c r="HVC171" s="125"/>
      <c r="HVD171" s="125"/>
      <c r="HVE171" s="125"/>
      <c r="HVF171" s="125"/>
      <c r="HVG171" s="125"/>
      <c r="HVH171" s="125"/>
      <c r="HVI171" s="125"/>
      <c r="HVJ171" s="125"/>
      <c r="HVK171" s="125"/>
      <c r="HVL171" s="125"/>
      <c r="HVM171" s="125"/>
      <c r="HVN171" s="125"/>
      <c r="HVO171" s="125"/>
      <c r="HVP171" s="125"/>
      <c r="HVQ171" s="125"/>
      <c r="HVR171" s="125"/>
      <c r="HVS171" s="125"/>
      <c r="HVT171" s="125"/>
      <c r="HVU171" s="125"/>
      <c r="HVV171" s="125"/>
      <c r="HVW171" s="125"/>
      <c r="HVX171" s="125"/>
      <c r="HVY171" s="125"/>
      <c r="HVZ171" s="125"/>
      <c r="HWA171" s="125"/>
      <c r="HWB171" s="125"/>
      <c r="HWC171" s="125"/>
      <c r="HWD171" s="125"/>
      <c r="HWE171" s="125"/>
      <c r="HWF171" s="125"/>
      <c r="HWG171" s="125"/>
      <c r="HWH171" s="125"/>
      <c r="HWI171" s="125"/>
      <c r="HWJ171" s="125"/>
      <c r="HWK171" s="125"/>
      <c r="HWL171" s="125"/>
      <c r="HWM171" s="125"/>
      <c r="HWN171" s="125"/>
      <c r="HWO171" s="125"/>
      <c r="HWP171" s="125"/>
      <c r="HWQ171" s="125"/>
      <c r="HWR171" s="125"/>
      <c r="HWS171" s="125"/>
      <c r="HWT171" s="125"/>
      <c r="HWU171" s="125"/>
      <c r="HWV171" s="125"/>
      <c r="HWW171" s="125"/>
      <c r="HWX171" s="125"/>
      <c r="HWY171" s="125"/>
      <c r="HWZ171" s="125"/>
      <c r="HXA171" s="125"/>
      <c r="HXB171" s="125"/>
      <c r="HXC171" s="125"/>
      <c r="HXD171" s="125"/>
      <c r="HXE171" s="125"/>
      <c r="HXF171" s="125"/>
      <c r="HXG171" s="125"/>
      <c r="HXH171" s="125"/>
      <c r="HXI171" s="125"/>
      <c r="HXJ171" s="125"/>
      <c r="HXK171" s="125"/>
      <c r="HXL171" s="125"/>
      <c r="HXM171" s="125"/>
      <c r="HXN171" s="125"/>
      <c r="HXO171" s="125"/>
      <c r="HXP171" s="125"/>
      <c r="HXQ171" s="125"/>
      <c r="HXR171" s="125"/>
      <c r="HXS171" s="125"/>
      <c r="HXT171" s="125"/>
      <c r="HXU171" s="125"/>
      <c r="HXV171" s="125"/>
      <c r="HXW171" s="125"/>
      <c r="HXX171" s="125"/>
      <c r="HXY171" s="125"/>
      <c r="HXZ171" s="125"/>
      <c r="HYA171" s="125"/>
      <c r="HYB171" s="125"/>
      <c r="HYC171" s="125"/>
      <c r="HYD171" s="125"/>
      <c r="HYE171" s="125"/>
      <c r="HYF171" s="125"/>
      <c r="HYG171" s="125"/>
      <c r="HYH171" s="125"/>
      <c r="HYI171" s="125"/>
      <c r="HYJ171" s="125"/>
      <c r="HYK171" s="125"/>
      <c r="HYL171" s="125"/>
      <c r="HYM171" s="125"/>
      <c r="HYN171" s="125"/>
      <c r="HYO171" s="125"/>
      <c r="HYP171" s="125"/>
      <c r="HYQ171" s="125"/>
      <c r="HYR171" s="125"/>
      <c r="HYS171" s="125"/>
      <c r="HYT171" s="125"/>
      <c r="HYU171" s="125"/>
      <c r="HYV171" s="125"/>
      <c r="HYW171" s="125"/>
      <c r="HYX171" s="125"/>
      <c r="HYY171" s="125"/>
      <c r="HYZ171" s="125"/>
      <c r="HZA171" s="125"/>
      <c r="HZB171" s="125"/>
      <c r="HZC171" s="125"/>
      <c r="HZD171" s="125"/>
      <c r="HZE171" s="125"/>
      <c r="HZF171" s="125"/>
      <c r="HZG171" s="125"/>
      <c r="HZH171" s="125"/>
      <c r="HZI171" s="125"/>
      <c r="HZJ171" s="125"/>
      <c r="HZK171" s="125"/>
      <c r="HZL171" s="125"/>
      <c r="HZM171" s="125"/>
      <c r="HZN171" s="125"/>
      <c r="HZO171" s="125"/>
      <c r="HZP171" s="125"/>
      <c r="HZQ171" s="125"/>
      <c r="HZR171" s="125"/>
      <c r="HZS171" s="125"/>
      <c r="HZT171" s="125"/>
      <c r="HZU171" s="125"/>
      <c r="HZV171" s="125"/>
      <c r="HZW171" s="125"/>
      <c r="HZX171" s="125"/>
      <c r="HZY171" s="125"/>
      <c r="HZZ171" s="125"/>
      <c r="IAA171" s="125"/>
      <c r="IAB171" s="125"/>
      <c r="IAC171" s="125"/>
      <c r="IAD171" s="125"/>
      <c r="IAE171" s="125"/>
      <c r="IAF171" s="125"/>
      <c r="IAG171" s="125"/>
      <c r="IAH171" s="125"/>
      <c r="IAI171" s="125"/>
      <c r="IAJ171" s="125"/>
      <c r="IAK171" s="125"/>
      <c r="IAL171" s="125"/>
      <c r="IAM171" s="125"/>
      <c r="IAN171" s="125"/>
      <c r="IAO171" s="125"/>
      <c r="IAP171" s="125"/>
      <c r="IAQ171" s="125"/>
      <c r="IAR171" s="125"/>
      <c r="IAS171" s="125"/>
      <c r="IAT171" s="125"/>
      <c r="IAU171" s="125"/>
      <c r="IAV171" s="125"/>
      <c r="IAW171" s="125"/>
      <c r="IAX171" s="125"/>
      <c r="IAY171" s="125"/>
      <c r="IAZ171" s="125"/>
      <c r="IBA171" s="125"/>
      <c r="IBB171" s="125"/>
      <c r="IBC171" s="125"/>
      <c r="IBD171" s="125"/>
      <c r="IBE171" s="125"/>
      <c r="IBF171" s="125"/>
      <c r="IBG171" s="125"/>
      <c r="IBH171" s="125"/>
      <c r="IBI171" s="125"/>
      <c r="IBJ171" s="125"/>
      <c r="IBK171" s="125"/>
      <c r="IBL171" s="125"/>
      <c r="IBM171" s="125"/>
      <c r="IBN171" s="125"/>
      <c r="IBO171" s="125"/>
      <c r="IBP171" s="125"/>
      <c r="IBQ171" s="125"/>
      <c r="IBR171" s="125"/>
      <c r="IBS171" s="125"/>
      <c r="IBT171" s="125"/>
      <c r="IBU171" s="125"/>
      <c r="IBV171" s="125"/>
      <c r="IBW171" s="125"/>
      <c r="IBX171" s="125"/>
      <c r="IBY171" s="125"/>
      <c r="IBZ171" s="125"/>
      <c r="ICA171" s="125"/>
      <c r="ICB171" s="125"/>
      <c r="ICC171" s="125"/>
      <c r="ICD171" s="125"/>
      <c r="ICE171" s="125"/>
      <c r="ICF171" s="125"/>
      <c r="ICG171" s="125"/>
      <c r="ICH171" s="125"/>
      <c r="ICI171" s="125"/>
      <c r="ICJ171" s="125"/>
      <c r="ICK171" s="125"/>
      <c r="ICL171" s="125"/>
      <c r="ICM171" s="125"/>
      <c r="ICN171" s="125"/>
      <c r="ICO171" s="125"/>
      <c r="ICP171" s="125"/>
      <c r="ICQ171" s="125"/>
      <c r="ICR171" s="125"/>
      <c r="ICS171" s="125"/>
      <c r="ICT171" s="125"/>
      <c r="ICU171" s="125"/>
      <c r="ICV171" s="125"/>
      <c r="ICW171" s="125"/>
      <c r="ICX171" s="125"/>
      <c r="ICY171" s="125"/>
      <c r="ICZ171" s="125"/>
      <c r="IDA171" s="125"/>
      <c r="IDB171" s="125"/>
      <c r="IDC171" s="125"/>
      <c r="IDD171" s="125"/>
      <c r="IDE171" s="125"/>
      <c r="IDF171" s="125"/>
      <c r="IDG171" s="125"/>
      <c r="IDH171" s="125"/>
      <c r="IDI171" s="125"/>
      <c r="IDJ171" s="125"/>
      <c r="IDK171" s="125"/>
      <c r="IDL171" s="125"/>
      <c r="IDM171" s="125"/>
      <c r="IDN171" s="125"/>
      <c r="IDO171" s="125"/>
      <c r="IDP171" s="125"/>
      <c r="IDQ171" s="125"/>
      <c r="IDR171" s="125"/>
      <c r="IDS171" s="125"/>
      <c r="IDT171" s="125"/>
      <c r="IDU171" s="125"/>
      <c r="IDV171" s="125"/>
      <c r="IDW171" s="125"/>
      <c r="IDX171" s="125"/>
      <c r="IDY171" s="125"/>
      <c r="IDZ171" s="125"/>
      <c r="IEA171" s="125"/>
      <c r="IEB171" s="125"/>
      <c r="IEC171" s="125"/>
      <c r="IED171" s="125"/>
      <c r="IEE171" s="125"/>
      <c r="IEF171" s="125"/>
      <c r="IEG171" s="125"/>
      <c r="IEH171" s="125"/>
      <c r="IEI171" s="125"/>
      <c r="IEJ171" s="125"/>
      <c r="IEK171" s="125"/>
      <c r="IEL171" s="125"/>
      <c r="IEM171" s="125"/>
      <c r="IEN171" s="125"/>
      <c r="IEO171" s="125"/>
      <c r="IEP171" s="125"/>
      <c r="IEQ171" s="125"/>
      <c r="IER171" s="125"/>
      <c r="IES171" s="125"/>
      <c r="IET171" s="125"/>
      <c r="IEU171" s="125"/>
      <c r="IEV171" s="125"/>
      <c r="IEW171" s="125"/>
      <c r="IEX171" s="125"/>
      <c r="IEY171" s="125"/>
      <c r="IEZ171" s="125"/>
      <c r="IFA171" s="125"/>
      <c r="IFB171" s="125"/>
      <c r="IFC171" s="125"/>
      <c r="IFD171" s="125"/>
      <c r="IFE171" s="125"/>
      <c r="IFF171" s="125"/>
      <c r="IFG171" s="125"/>
      <c r="IFH171" s="125"/>
      <c r="IFI171" s="125"/>
      <c r="IFJ171" s="125"/>
      <c r="IFK171" s="125"/>
      <c r="IFL171" s="125"/>
      <c r="IFM171" s="125"/>
      <c r="IFN171" s="125"/>
      <c r="IFO171" s="125"/>
      <c r="IFP171" s="125"/>
      <c r="IFQ171" s="125"/>
      <c r="IFR171" s="125"/>
      <c r="IFS171" s="125"/>
      <c r="IFT171" s="125"/>
      <c r="IFU171" s="125"/>
      <c r="IFV171" s="125"/>
      <c r="IFW171" s="125"/>
      <c r="IFX171" s="125"/>
      <c r="IFY171" s="125"/>
      <c r="IFZ171" s="125"/>
      <c r="IGA171" s="125"/>
      <c r="IGB171" s="125"/>
      <c r="IGC171" s="125"/>
      <c r="IGD171" s="125"/>
      <c r="IGE171" s="125"/>
      <c r="IGF171" s="125"/>
      <c r="IGG171" s="125"/>
      <c r="IGH171" s="125"/>
      <c r="IGI171" s="125"/>
      <c r="IGJ171" s="125"/>
      <c r="IGK171" s="125"/>
      <c r="IGL171" s="125"/>
      <c r="IGM171" s="125"/>
      <c r="IGN171" s="125"/>
      <c r="IGO171" s="125"/>
      <c r="IGP171" s="125"/>
      <c r="IGQ171" s="125"/>
      <c r="IGR171" s="125"/>
      <c r="IGS171" s="125"/>
      <c r="IGT171" s="125"/>
      <c r="IGU171" s="125"/>
      <c r="IGV171" s="125"/>
      <c r="IGW171" s="125"/>
      <c r="IGX171" s="125"/>
      <c r="IGY171" s="125"/>
      <c r="IGZ171" s="125"/>
      <c r="IHA171" s="125"/>
      <c r="IHB171" s="125"/>
      <c r="IHC171" s="125"/>
      <c r="IHD171" s="125"/>
      <c r="IHE171" s="125"/>
      <c r="IHF171" s="125"/>
      <c r="IHG171" s="125"/>
      <c r="IHH171" s="125"/>
      <c r="IHI171" s="125"/>
      <c r="IHJ171" s="125"/>
      <c r="IHK171" s="125"/>
      <c r="IHL171" s="125"/>
      <c r="IHM171" s="125"/>
      <c r="IHN171" s="125"/>
      <c r="IHO171" s="125"/>
      <c r="IHP171" s="125"/>
      <c r="IHQ171" s="125"/>
      <c r="IHR171" s="125"/>
      <c r="IHS171" s="125"/>
      <c r="IHT171" s="125"/>
      <c r="IHU171" s="125"/>
      <c r="IHV171" s="125"/>
      <c r="IHW171" s="125"/>
      <c r="IHX171" s="125"/>
      <c r="IHY171" s="125"/>
      <c r="IHZ171" s="125"/>
      <c r="IIA171" s="125"/>
      <c r="IIB171" s="125"/>
      <c r="IIC171" s="125"/>
      <c r="IID171" s="125"/>
      <c r="IIE171" s="125"/>
      <c r="IIF171" s="125"/>
      <c r="IIG171" s="125"/>
      <c r="IIH171" s="125"/>
      <c r="III171" s="125"/>
      <c r="IIJ171" s="125"/>
      <c r="IIK171" s="125"/>
      <c r="IIL171" s="125"/>
      <c r="IIM171" s="125"/>
      <c r="IIN171" s="125"/>
      <c r="IIO171" s="125"/>
      <c r="IIP171" s="125"/>
      <c r="IIQ171" s="125"/>
      <c r="IIR171" s="125"/>
      <c r="IIS171" s="125"/>
      <c r="IIT171" s="125"/>
      <c r="IIU171" s="125"/>
      <c r="IIV171" s="125"/>
      <c r="IIW171" s="125"/>
      <c r="IIX171" s="125"/>
      <c r="IIY171" s="125"/>
      <c r="IIZ171" s="125"/>
      <c r="IJA171" s="125"/>
      <c r="IJB171" s="125"/>
      <c r="IJC171" s="125"/>
      <c r="IJD171" s="125"/>
      <c r="IJE171" s="125"/>
      <c r="IJF171" s="125"/>
      <c r="IJG171" s="125"/>
      <c r="IJH171" s="125"/>
      <c r="IJI171" s="125"/>
      <c r="IJJ171" s="125"/>
      <c r="IJK171" s="125"/>
      <c r="IJL171" s="125"/>
      <c r="IJM171" s="125"/>
      <c r="IJN171" s="125"/>
      <c r="IJO171" s="125"/>
      <c r="IJP171" s="125"/>
      <c r="IJQ171" s="125"/>
      <c r="IJR171" s="125"/>
      <c r="IJS171" s="125"/>
      <c r="IJT171" s="125"/>
      <c r="IJU171" s="125"/>
      <c r="IJV171" s="125"/>
      <c r="IJW171" s="125"/>
      <c r="IJX171" s="125"/>
      <c r="IJY171" s="125"/>
      <c r="IJZ171" s="125"/>
      <c r="IKA171" s="125"/>
      <c r="IKB171" s="125"/>
      <c r="IKC171" s="125"/>
      <c r="IKD171" s="125"/>
      <c r="IKE171" s="125"/>
      <c r="IKF171" s="125"/>
      <c r="IKG171" s="125"/>
      <c r="IKH171" s="125"/>
      <c r="IKI171" s="125"/>
      <c r="IKJ171" s="125"/>
      <c r="IKK171" s="125"/>
      <c r="IKL171" s="125"/>
      <c r="IKM171" s="125"/>
      <c r="IKN171" s="125"/>
      <c r="IKO171" s="125"/>
      <c r="IKP171" s="125"/>
      <c r="IKQ171" s="125"/>
      <c r="IKR171" s="125"/>
      <c r="IKS171" s="125"/>
      <c r="IKT171" s="125"/>
      <c r="IKU171" s="125"/>
      <c r="IKV171" s="125"/>
      <c r="IKW171" s="125"/>
      <c r="IKX171" s="125"/>
      <c r="IKY171" s="125"/>
      <c r="IKZ171" s="125"/>
      <c r="ILA171" s="125"/>
      <c r="ILB171" s="125"/>
      <c r="ILC171" s="125"/>
      <c r="ILD171" s="125"/>
      <c r="ILE171" s="125"/>
      <c r="ILF171" s="125"/>
      <c r="ILG171" s="125"/>
      <c r="ILH171" s="125"/>
      <c r="ILI171" s="125"/>
      <c r="ILJ171" s="125"/>
      <c r="ILK171" s="125"/>
      <c r="ILL171" s="125"/>
      <c r="ILM171" s="125"/>
      <c r="ILN171" s="125"/>
      <c r="ILO171" s="125"/>
      <c r="ILP171" s="125"/>
      <c r="ILQ171" s="125"/>
      <c r="ILR171" s="125"/>
      <c r="ILS171" s="125"/>
      <c r="ILT171" s="125"/>
      <c r="ILU171" s="125"/>
      <c r="ILV171" s="125"/>
      <c r="ILW171" s="125"/>
      <c r="ILX171" s="125"/>
      <c r="ILY171" s="125"/>
      <c r="ILZ171" s="125"/>
      <c r="IMA171" s="125"/>
      <c r="IMB171" s="125"/>
      <c r="IMC171" s="125"/>
      <c r="IMD171" s="125"/>
      <c r="IME171" s="125"/>
      <c r="IMF171" s="125"/>
      <c r="IMG171" s="125"/>
      <c r="IMH171" s="125"/>
      <c r="IMI171" s="125"/>
      <c r="IMJ171" s="125"/>
      <c r="IMK171" s="125"/>
      <c r="IML171" s="125"/>
      <c r="IMM171" s="125"/>
      <c r="IMN171" s="125"/>
      <c r="IMO171" s="125"/>
      <c r="IMP171" s="125"/>
      <c r="IMQ171" s="125"/>
      <c r="IMR171" s="125"/>
      <c r="IMS171" s="125"/>
      <c r="IMT171" s="125"/>
      <c r="IMU171" s="125"/>
      <c r="IMV171" s="125"/>
      <c r="IMW171" s="125"/>
      <c r="IMX171" s="125"/>
      <c r="IMY171" s="125"/>
      <c r="IMZ171" s="125"/>
      <c r="INA171" s="125"/>
      <c r="INB171" s="125"/>
      <c r="INC171" s="125"/>
      <c r="IND171" s="125"/>
      <c r="INE171" s="125"/>
      <c r="INF171" s="125"/>
      <c r="ING171" s="125"/>
      <c r="INH171" s="125"/>
      <c r="INI171" s="125"/>
      <c r="INJ171" s="125"/>
      <c r="INK171" s="125"/>
      <c r="INL171" s="125"/>
      <c r="INM171" s="125"/>
      <c r="INN171" s="125"/>
      <c r="INO171" s="125"/>
      <c r="INP171" s="125"/>
      <c r="INQ171" s="125"/>
      <c r="INR171" s="125"/>
      <c r="INS171" s="125"/>
      <c r="INT171" s="125"/>
      <c r="INU171" s="125"/>
      <c r="INV171" s="125"/>
      <c r="INW171" s="125"/>
      <c r="INX171" s="125"/>
      <c r="INY171" s="125"/>
      <c r="INZ171" s="125"/>
      <c r="IOA171" s="125"/>
      <c r="IOB171" s="125"/>
      <c r="IOC171" s="125"/>
      <c r="IOD171" s="125"/>
      <c r="IOE171" s="125"/>
      <c r="IOF171" s="125"/>
      <c r="IOG171" s="125"/>
      <c r="IOH171" s="125"/>
      <c r="IOI171" s="125"/>
      <c r="IOJ171" s="125"/>
      <c r="IOK171" s="125"/>
      <c r="IOL171" s="125"/>
      <c r="IOM171" s="125"/>
      <c r="ION171" s="125"/>
      <c r="IOO171" s="125"/>
      <c r="IOP171" s="125"/>
      <c r="IOQ171" s="125"/>
      <c r="IOR171" s="125"/>
      <c r="IOS171" s="125"/>
      <c r="IOT171" s="125"/>
      <c r="IOU171" s="125"/>
      <c r="IOV171" s="125"/>
      <c r="IOW171" s="125"/>
      <c r="IOX171" s="125"/>
      <c r="IOY171" s="125"/>
      <c r="IOZ171" s="125"/>
      <c r="IPA171" s="125"/>
      <c r="IPB171" s="125"/>
      <c r="IPC171" s="125"/>
      <c r="IPD171" s="125"/>
      <c r="IPE171" s="125"/>
      <c r="IPF171" s="125"/>
      <c r="IPG171" s="125"/>
      <c r="IPH171" s="125"/>
      <c r="IPI171" s="125"/>
      <c r="IPJ171" s="125"/>
      <c r="IPK171" s="125"/>
      <c r="IPL171" s="125"/>
      <c r="IPM171" s="125"/>
      <c r="IPN171" s="125"/>
      <c r="IPO171" s="125"/>
      <c r="IPP171" s="125"/>
      <c r="IPQ171" s="125"/>
      <c r="IPR171" s="125"/>
      <c r="IPS171" s="125"/>
      <c r="IPT171" s="125"/>
      <c r="IPU171" s="125"/>
      <c r="IPV171" s="125"/>
      <c r="IPW171" s="125"/>
      <c r="IPX171" s="125"/>
      <c r="IPY171" s="125"/>
      <c r="IPZ171" s="125"/>
      <c r="IQA171" s="125"/>
      <c r="IQB171" s="125"/>
      <c r="IQC171" s="125"/>
      <c r="IQD171" s="125"/>
      <c r="IQE171" s="125"/>
      <c r="IQF171" s="125"/>
      <c r="IQG171" s="125"/>
      <c r="IQH171" s="125"/>
      <c r="IQI171" s="125"/>
      <c r="IQJ171" s="125"/>
      <c r="IQK171" s="125"/>
      <c r="IQL171" s="125"/>
      <c r="IQM171" s="125"/>
      <c r="IQN171" s="125"/>
      <c r="IQO171" s="125"/>
      <c r="IQP171" s="125"/>
      <c r="IQQ171" s="125"/>
      <c r="IQR171" s="125"/>
      <c r="IQS171" s="125"/>
      <c r="IQT171" s="125"/>
      <c r="IQU171" s="125"/>
      <c r="IQV171" s="125"/>
      <c r="IQW171" s="125"/>
      <c r="IQX171" s="125"/>
      <c r="IQY171" s="125"/>
      <c r="IQZ171" s="125"/>
      <c r="IRA171" s="125"/>
      <c r="IRB171" s="125"/>
      <c r="IRC171" s="125"/>
      <c r="IRD171" s="125"/>
      <c r="IRE171" s="125"/>
      <c r="IRF171" s="125"/>
      <c r="IRG171" s="125"/>
      <c r="IRH171" s="125"/>
      <c r="IRI171" s="125"/>
      <c r="IRJ171" s="125"/>
      <c r="IRK171" s="125"/>
      <c r="IRL171" s="125"/>
      <c r="IRM171" s="125"/>
      <c r="IRN171" s="125"/>
      <c r="IRO171" s="125"/>
      <c r="IRP171" s="125"/>
      <c r="IRQ171" s="125"/>
      <c r="IRR171" s="125"/>
      <c r="IRS171" s="125"/>
      <c r="IRT171" s="125"/>
      <c r="IRU171" s="125"/>
      <c r="IRV171" s="125"/>
      <c r="IRW171" s="125"/>
      <c r="IRX171" s="125"/>
      <c r="IRY171" s="125"/>
      <c r="IRZ171" s="125"/>
      <c r="ISA171" s="125"/>
      <c r="ISB171" s="125"/>
      <c r="ISC171" s="125"/>
      <c r="ISD171" s="125"/>
      <c r="ISE171" s="125"/>
      <c r="ISF171" s="125"/>
      <c r="ISG171" s="125"/>
      <c r="ISH171" s="125"/>
      <c r="ISI171" s="125"/>
      <c r="ISJ171" s="125"/>
      <c r="ISK171" s="125"/>
      <c r="ISL171" s="125"/>
      <c r="ISM171" s="125"/>
      <c r="ISN171" s="125"/>
      <c r="ISO171" s="125"/>
      <c r="ISP171" s="125"/>
      <c r="ISQ171" s="125"/>
      <c r="ISR171" s="125"/>
      <c r="ISS171" s="125"/>
      <c r="IST171" s="125"/>
      <c r="ISU171" s="125"/>
      <c r="ISV171" s="125"/>
      <c r="ISW171" s="125"/>
      <c r="ISX171" s="125"/>
      <c r="ISY171" s="125"/>
      <c r="ISZ171" s="125"/>
      <c r="ITA171" s="125"/>
      <c r="ITB171" s="125"/>
      <c r="ITC171" s="125"/>
      <c r="ITD171" s="125"/>
      <c r="ITE171" s="125"/>
      <c r="ITF171" s="125"/>
      <c r="ITG171" s="125"/>
      <c r="ITH171" s="125"/>
      <c r="ITI171" s="125"/>
      <c r="ITJ171" s="125"/>
      <c r="ITK171" s="125"/>
      <c r="ITL171" s="125"/>
      <c r="ITM171" s="125"/>
      <c r="ITN171" s="125"/>
      <c r="ITO171" s="125"/>
      <c r="ITP171" s="125"/>
      <c r="ITQ171" s="125"/>
      <c r="ITR171" s="125"/>
      <c r="ITS171" s="125"/>
      <c r="ITT171" s="125"/>
      <c r="ITU171" s="125"/>
      <c r="ITV171" s="125"/>
      <c r="ITW171" s="125"/>
      <c r="ITX171" s="125"/>
      <c r="ITY171" s="125"/>
      <c r="ITZ171" s="125"/>
      <c r="IUA171" s="125"/>
      <c r="IUB171" s="125"/>
      <c r="IUC171" s="125"/>
      <c r="IUD171" s="125"/>
      <c r="IUE171" s="125"/>
      <c r="IUF171" s="125"/>
      <c r="IUG171" s="125"/>
      <c r="IUH171" s="125"/>
      <c r="IUI171" s="125"/>
      <c r="IUJ171" s="125"/>
      <c r="IUK171" s="125"/>
      <c r="IUL171" s="125"/>
      <c r="IUM171" s="125"/>
      <c r="IUN171" s="125"/>
      <c r="IUO171" s="125"/>
      <c r="IUP171" s="125"/>
      <c r="IUQ171" s="125"/>
      <c r="IUR171" s="125"/>
      <c r="IUS171" s="125"/>
      <c r="IUT171" s="125"/>
      <c r="IUU171" s="125"/>
      <c r="IUV171" s="125"/>
      <c r="IUW171" s="125"/>
      <c r="IUX171" s="125"/>
      <c r="IUY171" s="125"/>
      <c r="IUZ171" s="125"/>
      <c r="IVA171" s="125"/>
      <c r="IVB171" s="125"/>
      <c r="IVC171" s="125"/>
      <c r="IVD171" s="125"/>
      <c r="IVE171" s="125"/>
      <c r="IVF171" s="125"/>
      <c r="IVG171" s="125"/>
      <c r="IVH171" s="125"/>
      <c r="IVI171" s="125"/>
      <c r="IVJ171" s="125"/>
      <c r="IVK171" s="125"/>
      <c r="IVL171" s="125"/>
      <c r="IVM171" s="125"/>
      <c r="IVN171" s="125"/>
      <c r="IVO171" s="125"/>
      <c r="IVP171" s="125"/>
      <c r="IVQ171" s="125"/>
      <c r="IVR171" s="125"/>
      <c r="IVS171" s="125"/>
      <c r="IVT171" s="125"/>
      <c r="IVU171" s="125"/>
      <c r="IVV171" s="125"/>
      <c r="IVW171" s="125"/>
      <c r="IVX171" s="125"/>
      <c r="IVY171" s="125"/>
      <c r="IVZ171" s="125"/>
      <c r="IWA171" s="125"/>
      <c r="IWB171" s="125"/>
      <c r="IWC171" s="125"/>
      <c r="IWD171" s="125"/>
      <c r="IWE171" s="125"/>
      <c r="IWF171" s="125"/>
      <c r="IWG171" s="125"/>
      <c r="IWH171" s="125"/>
      <c r="IWI171" s="125"/>
      <c r="IWJ171" s="125"/>
      <c r="IWK171" s="125"/>
      <c r="IWL171" s="125"/>
      <c r="IWM171" s="125"/>
      <c r="IWN171" s="125"/>
      <c r="IWO171" s="125"/>
      <c r="IWP171" s="125"/>
      <c r="IWQ171" s="125"/>
      <c r="IWR171" s="125"/>
      <c r="IWS171" s="125"/>
      <c r="IWT171" s="125"/>
      <c r="IWU171" s="125"/>
      <c r="IWV171" s="125"/>
      <c r="IWW171" s="125"/>
      <c r="IWX171" s="125"/>
      <c r="IWY171" s="125"/>
      <c r="IWZ171" s="125"/>
      <c r="IXA171" s="125"/>
      <c r="IXB171" s="125"/>
      <c r="IXC171" s="125"/>
      <c r="IXD171" s="125"/>
      <c r="IXE171" s="125"/>
      <c r="IXF171" s="125"/>
      <c r="IXG171" s="125"/>
      <c r="IXH171" s="125"/>
      <c r="IXI171" s="125"/>
      <c r="IXJ171" s="125"/>
      <c r="IXK171" s="125"/>
      <c r="IXL171" s="125"/>
      <c r="IXM171" s="125"/>
      <c r="IXN171" s="125"/>
      <c r="IXO171" s="125"/>
      <c r="IXP171" s="125"/>
      <c r="IXQ171" s="125"/>
      <c r="IXR171" s="125"/>
      <c r="IXS171" s="125"/>
      <c r="IXT171" s="125"/>
      <c r="IXU171" s="125"/>
      <c r="IXV171" s="125"/>
      <c r="IXW171" s="125"/>
      <c r="IXX171" s="125"/>
      <c r="IXY171" s="125"/>
      <c r="IXZ171" s="125"/>
      <c r="IYA171" s="125"/>
      <c r="IYB171" s="125"/>
      <c r="IYC171" s="125"/>
      <c r="IYD171" s="125"/>
      <c r="IYE171" s="125"/>
      <c r="IYF171" s="125"/>
      <c r="IYG171" s="125"/>
      <c r="IYH171" s="125"/>
      <c r="IYI171" s="125"/>
      <c r="IYJ171" s="125"/>
      <c r="IYK171" s="125"/>
      <c r="IYL171" s="125"/>
      <c r="IYM171" s="125"/>
      <c r="IYN171" s="125"/>
      <c r="IYO171" s="125"/>
      <c r="IYP171" s="125"/>
      <c r="IYQ171" s="125"/>
      <c r="IYR171" s="125"/>
      <c r="IYS171" s="125"/>
      <c r="IYT171" s="125"/>
      <c r="IYU171" s="125"/>
      <c r="IYV171" s="125"/>
      <c r="IYW171" s="125"/>
      <c r="IYX171" s="125"/>
      <c r="IYY171" s="125"/>
      <c r="IYZ171" s="125"/>
      <c r="IZA171" s="125"/>
      <c r="IZB171" s="125"/>
      <c r="IZC171" s="125"/>
      <c r="IZD171" s="125"/>
      <c r="IZE171" s="125"/>
      <c r="IZF171" s="125"/>
      <c r="IZG171" s="125"/>
      <c r="IZH171" s="125"/>
      <c r="IZI171" s="125"/>
      <c r="IZJ171" s="125"/>
      <c r="IZK171" s="125"/>
      <c r="IZL171" s="125"/>
      <c r="IZM171" s="125"/>
      <c r="IZN171" s="125"/>
      <c r="IZO171" s="125"/>
      <c r="IZP171" s="125"/>
      <c r="IZQ171" s="125"/>
      <c r="IZR171" s="125"/>
      <c r="IZS171" s="125"/>
      <c r="IZT171" s="125"/>
      <c r="IZU171" s="125"/>
      <c r="IZV171" s="125"/>
      <c r="IZW171" s="125"/>
      <c r="IZX171" s="125"/>
      <c r="IZY171" s="125"/>
      <c r="IZZ171" s="125"/>
      <c r="JAA171" s="125"/>
      <c r="JAB171" s="125"/>
      <c r="JAC171" s="125"/>
      <c r="JAD171" s="125"/>
      <c r="JAE171" s="125"/>
      <c r="JAF171" s="125"/>
      <c r="JAG171" s="125"/>
      <c r="JAH171" s="125"/>
      <c r="JAI171" s="125"/>
      <c r="JAJ171" s="125"/>
      <c r="JAK171" s="125"/>
      <c r="JAL171" s="125"/>
      <c r="JAM171" s="125"/>
      <c r="JAN171" s="125"/>
      <c r="JAO171" s="125"/>
      <c r="JAP171" s="125"/>
      <c r="JAQ171" s="125"/>
      <c r="JAR171" s="125"/>
      <c r="JAS171" s="125"/>
      <c r="JAT171" s="125"/>
      <c r="JAU171" s="125"/>
      <c r="JAV171" s="125"/>
      <c r="JAW171" s="125"/>
      <c r="JAX171" s="125"/>
      <c r="JAY171" s="125"/>
      <c r="JAZ171" s="125"/>
      <c r="JBA171" s="125"/>
      <c r="JBB171" s="125"/>
      <c r="JBC171" s="125"/>
      <c r="JBD171" s="125"/>
      <c r="JBE171" s="125"/>
      <c r="JBF171" s="125"/>
      <c r="JBG171" s="125"/>
      <c r="JBH171" s="125"/>
      <c r="JBI171" s="125"/>
      <c r="JBJ171" s="125"/>
      <c r="JBK171" s="125"/>
      <c r="JBL171" s="125"/>
      <c r="JBM171" s="125"/>
      <c r="JBN171" s="125"/>
      <c r="JBO171" s="125"/>
      <c r="JBP171" s="125"/>
      <c r="JBQ171" s="125"/>
      <c r="JBR171" s="125"/>
      <c r="JBS171" s="125"/>
      <c r="JBT171" s="125"/>
      <c r="JBU171" s="125"/>
      <c r="JBV171" s="125"/>
      <c r="JBW171" s="125"/>
      <c r="JBX171" s="125"/>
      <c r="JBY171" s="125"/>
      <c r="JBZ171" s="125"/>
      <c r="JCA171" s="125"/>
      <c r="JCB171" s="125"/>
      <c r="JCC171" s="125"/>
      <c r="JCD171" s="125"/>
      <c r="JCE171" s="125"/>
      <c r="JCF171" s="125"/>
      <c r="JCG171" s="125"/>
      <c r="JCH171" s="125"/>
      <c r="JCI171" s="125"/>
      <c r="JCJ171" s="125"/>
      <c r="JCK171" s="125"/>
      <c r="JCL171" s="125"/>
      <c r="JCM171" s="125"/>
      <c r="JCN171" s="125"/>
      <c r="JCO171" s="125"/>
      <c r="JCP171" s="125"/>
      <c r="JCQ171" s="125"/>
      <c r="JCR171" s="125"/>
      <c r="JCS171" s="125"/>
      <c r="JCT171" s="125"/>
      <c r="JCU171" s="125"/>
      <c r="JCV171" s="125"/>
      <c r="JCW171" s="125"/>
      <c r="JCX171" s="125"/>
      <c r="JCY171" s="125"/>
      <c r="JCZ171" s="125"/>
      <c r="JDA171" s="125"/>
      <c r="JDB171" s="125"/>
      <c r="JDC171" s="125"/>
      <c r="JDD171" s="125"/>
      <c r="JDE171" s="125"/>
      <c r="JDF171" s="125"/>
      <c r="JDG171" s="125"/>
      <c r="JDH171" s="125"/>
      <c r="JDI171" s="125"/>
      <c r="JDJ171" s="125"/>
      <c r="JDK171" s="125"/>
      <c r="JDL171" s="125"/>
      <c r="JDM171" s="125"/>
      <c r="JDN171" s="125"/>
      <c r="JDO171" s="125"/>
      <c r="JDP171" s="125"/>
      <c r="JDQ171" s="125"/>
      <c r="JDR171" s="125"/>
      <c r="JDS171" s="125"/>
      <c r="JDT171" s="125"/>
      <c r="JDU171" s="125"/>
      <c r="JDV171" s="125"/>
      <c r="JDW171" s="125"/>
      <c r="JDX171" s="125"/>
      <c r="JDY171" s="125"/>
      <c r="JDZ171" s="125"/>
      <c r="JEA171" s="125"/>
      <c r="JEB171" s="125"/>
      <c r="JEC171" s="125"/>
      <c r="JED171" s="125"/>
      <c r="JEE171" s="125"/>
      <c r="JEF171" s="125"/>
      <c r="JEG171" s="125"/>
      <c r="JEH171" s="125"/>
      <c r="JEI171" s="125"/>
      <c r="JEJ171" s="125"/>
      <c r="JEK171" s="125"/>
      <c r="JEL171" s="125"/>
      <c r="JEM171" s="125"/>
      <c r="JEN171" s="125"/>
      <c r="JEO171" s="125"/>
      <c r="JEP171" s="125"/>
      <c r="JEQ171" s="125"/>
      <c r="JER171" s="125"/>
      <c r="JES171" s="125"/>
      <c r="JET171" s="125"/>
      <c r="JEU171" s="125"/>
      <c r="JEV171" s="125"/>
      <c r="JEW171" s="125"/>
      <c r="JEX171" s="125"/>
      <c r="JEY171" s="125"/>
      <c r="JEZ171" s="125"/>
      <c r="JFA171" s="125"/>
      <c r="JFB171" s="125"/>
      <c r="JFC171" s="125"/>
      <c r="JFD171" s="125"/>
      <c r="JFE171" s="125"/>
      <c r="JFF171" s="125"/>
      <c r="JFG171" s="125"/>
      <c r="JFH171" s="125"/>
      <c r="JFI171" s="125"/>
      <c r="JFJ171" s="125"/>
      <c r="JFK171" s="125"/>
      <c r="JFL171" s="125"/>
      <c r="JFM171" s="125"/>
      <c r="JFN171" s="125"/>
      <c r="JFO171" s="125"/>
      <c r="JFP171" s="125"/>
      <c r="JFQ171" s="125"/>
      <c r="JFR171" s="125"/>
      <c r="JFS171" s="125"/>
      <c r="JFT171" s="125"/>
      <c r="JFU171" s="125"/>
      <c r="JFV171" s="125"/>
      <c r="JFW171" s="125"/>
      <c r="JFX171" s="125"/>
      <c r="JFY171" s="125"/>
      <c r="JFZ171" s="125"/>
      <c r="JGA171" s="125"/>
      <c r="JGB171" s="125"/>
      <c r="JGC171" s="125"/>
      <c r="JGD171" s="125"/>
      <c r="JGE171" s="125"/>
      <c r="JGF171" s="125"/>
      <c r="JGG171" s="125"/>
      <c r="JGH171" s="125"/>
      <c r="JGI171" s="125"/>
      <c r="JGJ171" s="125"/>
      <c r="JGK171" s="125"/>
      <c r="JGL171" s="125"/>
      <c r="JGM171" s="125"/>
      <c r="JGN171" s="125"/>
      <c r="JGO171" s="125"/>
      <c r="JGP171" s="125"/>
      <c r="JGQ171" s="125"/>
      <c r="JGR171" s="125"/>
      <c r="JGS171" s="125"/>
      <c r="JGT171" s="125"/>
      <c r="JGU171" s="125"/>
      <c r="JGV171" s="125"/>
      <c r="JGW171" s="125"/>
      <c r="JGX171" s="125"/>
      <c r="JGY171" s="125"/>
      <c r="JGZ171" s="125"/>
      <c r="JHA171" s="125"/>
      <c r="JHB171" s="125"/>
      <c r="JHC171" s="125"/>
      <c r="JHD171" s="125"/>
      <c r="JHE171" s="125"/>
      <c r="JHF171" s="125"/>
      <c r="JHG171" s="125"/>
      <c r="JHH171" s="125"/>
      <c r="JHI171" s="125"/>
      <c r="JHJ171" s="125"/>
      <c r="JHK171" s="125"/>
      <c r="JHL171" s="125"/>
      <c r="JHM171" s="125"/>
      <c r="JHN171" s="125"/>
      <c r="JHO171" s="125"/>
      <c r="JHP171" s="125"/>
      <c r="JHQ171" s="125"/>
      <c r="JHR171" s="125"/>
      <c r="JHS171" s="125"/>
      <c r="JHT171" s="125"/>
      <c r="JHU171" s="125"/>
      <c r="JHV171" s="125"/>
      <c r="JHW171" s="125"/>
      <c r="JHX171" s="125"/>
      <c r="JHY171" s="125"/>
      <c r="JHZ171" s="125"/>
      <c r="JIA171" s="125"/>
      <c r="JIB171" s="125"/>
      <c r="JIC171" s="125"/>
      <c r="JID171" s="125"/>
      <c r="JIE171" s="125"/>
      <c r="JIF171" s="125"/>
      <c r="JIG171" s="125"/>
      <c r="JIH171" s="125"/>
      <c r="JII171" s="125"/>
      <c r="JIJ171" s="125"/>
      <c r="JIK171" s="125"/>
      <c r="JIL171" s="125"/>
      <c r="JIM171" s="125"/>
      <c r="JIN171" s="125"/>
      <c r="JIO171" s="125"/>
      <c r="JIP171" s="125"/>
      <c r="JIQ171" s="125"/>
      <c r="JIR171" s="125"/>
      <c r="JIS171" s="125"/>
      <c r="JIT171" s="125"/>
      <c r="JIU171" s="125"/>
      <c r="JIV171" s="125"/>
      <c r="JIW171" s="125"/>
      <c r="JIX171" s="125"/>
      <c r="JIY171" s="125"/>
      <c r="JIZ171" s="125"/>
      <c r="JJA171" s="125"/>
      <c r="JJB171" s="125"/>
      <c r="JJC171" s="125"/>
      <c r="JJD171" s="125"/>
      <c r="JJE171" s="125"/>
      <c r="JJF171" s="125"/>
      <c r="JJG171" s="125"/>
      <c r="JJH171" s="125"/>
      <c r="JJI171" s="125"/>
      <c r="JJJ171" s="125"/>
      <c r="JJK171" s="125"/>
      <c r="JJL171" s="125"/>
      <c r="JJM171" s="125"/>
      <c r="JJN171" s="125"/>
      <c r="JJO171" s="125"/>
      <c r="JJP171" s="125"/>
      <c r="JJQ171" s="125"/>
      <c r="JJR171" s="125"/>
      <c r="JJS171" s="125"/>
      <c r="JJT171" s="125"/>
      <c r="JJU171" s="125"/>
      <c r="JJV171" s="125"/>
      <c r="JJW171" s="125"/>
      <c r="JJX171" s="125"/>
      <c r="JJY171" s="125"/>
      <c r="JJZ171" s="125"/>
      <c r="JKA171" s="125"/>
      <c r="JKB171" s="125"/>
      <c r="JKC171" s="125"/>
      <c r="JKD171" s="125"/>
      <c r="JKE171" s="125"/>
      <c r="JKF171" s="125"/>
      <c r="JKG171" s="125"/>
      <c r="JKH171" s="125"/>
      <c r="JKI171" s="125"/>
      <c r="JKJ171" s="125"/>
      <c r="JKK171" s="125"/>
      <c r="JKL171" s="125"/>
      <c r="JKM171" s="125"/>
      <c r="JKN171" s="125"/>
      <c r="JKO171" s="125"/>
      <c r="JKP171" s="125"/>
      <c r="JKQ171" s="125"/>
      <c r="JKR171" s="125"/>
      <c r="JKS171" s="125"/>
      <c r="JKT171" s="125"/>
      <c r="JKU171" s="125"/>
      <c r="JKV171" s="125"/>
      <c r="JKW171" s="125"/>
      <c r="JKX171" s="125"/>
      <c r="JKY171" s="125"/>
      <c r="JKZ171" s="125"/>
      <c r="JLA171" s="125"/>
      <c r="JLB171" s="125"/>
      <c r="JLC171" s="125"/>
      <c r="JLD171" s="125"/>
      <c r="JLE171" s="125"/>
      <c r="JLF171" s="125"/>
      <c r="JLG171" s="125"/>
      <c r="JLH171" s="125"/>
      <c r="JLI171" s="125"/>
      <c r="JLJ171" s="125"/>
      <c r="JLK171" s="125"/>
      <c r="JLL171" s="125"/>
      <c r="JLM171" s="125"/>
      <c r="JLN171" s="125"/>
      <c r="JLO171" s="125"/>
      <c r="JLP171" s="125"/>
      <c r="JLQ171" s="125"/>
      <c r="JLR171" s="125"/>
      <c r="JLS171" s="125"/>
      <c r="JLT171" s="125"/>
      <c r="JLU171" s="125"/>
      <c r="JLV171" s="125"/>
      <c r="JLW171" s="125"/>
      <c r="JLX171" s="125"/>
      <c r="JLY171" s="125"/>
      <c r="JLZ171" s="125"/>
      <c r="JMA171" s="125"/>
      <c r="JMB171" s="125"/>
      <c r="JMC171" s="125"/>
      <c r="JMD171" s="125"/>
      <c r="JME171" s="125"/>
      <c r="JMF171" s="125"/>
      <c r="JMG171" s="125"/>
      <c r="JMH171" s="125"/>
      <c r="JMI171" s="125"/>
      <c r="JMJ171" s="125"/>
      <c r="JMK171" s="125"/>
      <c r="JML171" s="125"/>
      <c r="JMM171" s="125"/>
      <c r="JMN171" s="125"/>
      <c r="JMO171" s="125"/>
      <c r="JMP171" s="125"/>
      <c r="JMQ171" s="125"/>
      <c r="JMR171" s="125"/>
      <c r="JMS171" s="125"/>
      <c r="JMT171" s="125"/>
      <c r="JMU171" s="125"/>
      <c r="JMV171" s="125"/>
      <c r="JMW171" s="125"/>
      <c r="JMX171" s="125"/>
      <c r="JMY171" s="125"/>
      <c r="JMZ171" s="125"/>
      <c r="JNA171" s="125"/>
      <c r="JNB171" s="125"/>
      <c r="JNC171" s="125"/>
      <c r="JND171" s="125"/>
      <c r="JNE171" s="125"/>
      <c r="JNF171" s="125"/>
      <c r="JNG171" s="125"/>
      <c r="JNH171" s="125"/>
      <c r="JNI171" s="125"/>
      <c r="JNJ171" s="125"/>
      <c r="JNK171" s="125"/>
      <c r="JNL171" s="125"/>
      <c r="JNM171" s="125"/>
      <c r="JNN171" s="125"/>
      <c r="JNO171" s="125"/>
      <c r="JNP171" s="125"/>
      <c r="JNQ171" s="125"/>
      <c r="JNR171" s="125"/>
      <c r="JNS171" s="125"/>
      <c r="JNT171" s="125"/>
      <c r="JNU171" s="125"/>
      <c r="JNV171" s="125"/>
      <c r="JNW171" s="125"/>
      <c r="JNX171" s="125"/>
      <c r="JNY171" s="125"/>
      <c r="JNZ171" s="125"/>
      <c r="JOA171" s="125"/>
      <c r="JOB171" s="125"/>
      <c r="JOC171" s="125"/>
      <c r="JOD171" s="125"/>
      <c r="JOE171" s="125"/>
      <c r="JOF171" s="125"/>
      <c r="JOG171" s="125"/>
      <c r="JOH171" s="125"/>
      <c r="JOI171" s="125"/>
      <c r="JOJ171" s="125"/>
      <c r="JOK171" s="125"/>
      <c r="JOL171" s="125"/>
      <c r="JOM171" s="125"/>
      <c r="JON171" s="125"/>
      <c r="JOO171" s="125"/>
      <c r="JOP171" s="125"/>
      <c r="JOQ171" s="125"/>
      <c r="JOR171" s="125"/>
      <c r="JOS171" s="125"/>
      <c r="JOT171" s="125"/>
      <c r="JOU171" s="125"/>
      <c r="JOV171" s="125"/>
      <c r="JOW171" s="125"/>
      <c r="JOX171" s="125"/>
      <c r="JOY171" s="125"/>
      <c r="JOZ171" s="125"/>
      <c r="JPA171" s="125"/>
      <c r="JPB171" s="125"/>
      <c r="JPC171" s="125"/>
      <c r="JPD171" s="125"/>
      <c r="JPE171" s="125"/>
      <c r="JPF171" s="125"/>
      <c r="JPG171" s="125"/>
      <c r="JPH171" s="125"/>
      <c r="JPI171" s="125"/>
      <c r="JPJ171" s="125"/>
      <c r="JPK171" s="125"/>
      <c r="JPL171" s="125"/>
      <c r="JPM171" s="125"/>
      <c r="JPN171" s="125"/>
      <c r="JPO171" s="125"/>
      <c r="JPP171" s="125"/>
      <c r="JPQ171" s="125"/>
      <c r="JPR171" s="125"/>
      <c r="JPS171" s="125"/>
      <c r="JPT171" s="125"/>
      <c r="JPU171" s="125"/>
      <c r="JPV171" s="125"/>
      <c r="JPW171" s="125"/>
      <c r="JPX171" s="125"/>
      <c r="JPY171" s="125"/>
      <c r="JPZ171" s="125"/>
      <c r="JQA171" s="125"/>
      <c r="JQB171" s="125"/>
      <c r="JQC171" s="125"/>
      <c r="JQD171" s="125"/>
      <c r="JQE171" s="125"/>
      <c r="JQF171" s="125"/>
      <c r="JQG171" s="125"/>
      <c r="JQH171" s="125"/>
      <c r="JQI171" s="125"/>
      <c r="JQJ171" s="125"/>
      <c r="JQK171" s="125"/>
      <c r="JQL171" s="125"/>
      <c r="JQM171" s="125"/>
      <c r="JQN171" s="125"/>
      <c r="JQO171" s="125"/>
      <c r="JQP171" s="125"/>
      <c r="JQQ171" s="125"/>
      <c r="JQR171" s="125"/>
      <c r="JQS171" s="125"/>
      <c r="JQT171" s="125"/>
      <c r="JQU171" s="125"/>
      <c r="JQV171" s="125"/>
      <c r="JQW171" s="125"/>
      <c r="JQX171" s="125"/>
      <c r="JQY171" s="125"/>
      <c r="JQZ171" s="125"/>
      <c r="JRA171" s="125"/>
      <c r="JRB171" s="125"/>
      <c r="JRC171" s="125"/>
      <c r="JRD171" s="125"/>
      <c r="JRE171" s="125"/>
      <c r="JRF171" s="125"/>
      <c r="JRG171" s="125"/>
      <c r="JRH171" s="125"/>
      <c r="JRI171" s="125"/>
      <c r="JRJ171" s="125"/>
      <c r="JRK171" s="125"/>
      <c r="JRL171" s="125"/>
      <c r="JRM171" s="125"/>
      <c r="JRN171" s="125"/>
      <c r="JRO171" s="125"/>
      <c r="JRP171" s="125"/>
      <c r="JRQ171" s="125"/>
      <c r="JRR171" s="125"/>
      <c r="JRS171" s="125"/>
      <c r="JRT171" s="125"/>
      <c r="JRU171" s="125"/>
      <c r="JRV171" s="125"/>
      <c r="JRW171" s="125"/>
      <c r="JRX171" s="125"/>
      <c r="JRY171" s="125"/>
      <c r="JRZ171" s="125"/>
      <c r="JSA171" s="125"/>
      <c r="JSB171" s="125"/>
      <c r="JSC171" s="125"/>
      <c r="JSD171" s="125"/>
      <c r="JSE171" s="125"/>
      <c r="JSF171" s="125"/>
      <c r="JSG171" s="125"/>
      <c r="JSH171" s="125"/>
      <c r="JSI171" s="125"/>
      <c r="JSJ171" s="125"/>
      <c r="JSK171" s="125"/>
      <c r="JSL171" s="125"/>
      <c r="JSM171" s="125"/>
      <c r="JSN171" s="125"/>
      <c r="JSO171" s="125"/>
      <c r="JSP171" s="125"/>
      <c r="JSQ171" s="125"/>
      <c r="JSR171" s="125"/>
      <c r="JSS171" s="125"/>
      <c r="JST171" s="125"/>
      <c r="JSU171" s="125"/>
      <c r="JSV171" s="125"/>
      <c r="JSW171" s="125"/>
      <c r="JSX171" s="125"/>
      <c r="JSY171" s="125"/>
      <c r="JSZ171" s="125"/>
      <c r="JTA171" s="125"/>
      <c r="JTB171" s="125"/>
      <c r="JTC171" s="125"/>
      <c r="JTD171" s="125"/>
      <c r="JTE171" s="125"/>
      <c r="JTF171" s="125"/>
      <c r="JTG171" s="125"/>
      <c r="JTH171" s="125"/>
      <c r="JTI171" s="125"/>
      <c r="JTJ171" s="125"/>
      <c r="JTK171" s="125"/>
      <c r="JTL171" s="125"/>
      <c r="JTM171" s="125"/>
      <c r="JTN171" s="125"/>
      <c r="JTO171" s="125"/>
      <c r="JTP171" s="125"/>
      <c r="JTQ171" s="125"/>
      <c r="JTR171" s="125"/>
      <c r="JTS171" s="125"/>
      <c r="JTT171" s="125"/>
      <c r="JTU171" s="125"/>
      <c r="JTV171" s="125"/>
      <c r="JTW171" s="125"/>
      <c r="JTX171" s="125"/>
      <c r="JTY171" s="125"/>
      <c r="JTZ171" s="125"/>
      <c r="JUA171" s="125"/>
      <c r="JUB171" s="125"/>
      <c r="JUC171" s="125"/>
      <c r="JUD171" s="125"/>
      <c r="JUE171" s="125"/>
      <c r="JUF171" s="125"/>
      <c r="JUG171" s="125"/>
      <c r="JUH171" s="125"/>
      <c r="JUI171" s="125"/>
      <c r="JUJ171" s="125"/>
      <c r="JUK171" s="125"/>
      <c r="JUL171" s="125"/>
      <c r="JUM171" s="125"/>
      <c r="JUN171" s="125"/>
      <c r="JUO171" s="125"/>
      <c r="JUP171" s="125"/>
      <c r="JUQ171" s="125"/>
      <c r="JUR171" s="125"/>
      <c r="JUS171" s="125"/>
      <c r="JUT171" s="125"/>
      <c r="JUU171" s="125"/>
      <c r="JUV171" s="125"/>
      <c r="JUW171" s="125"/>
      <c r="JUX171" s="125"/>
      <c r="JUY171" s="125"/>
      <c r="JUZ171" s="125"/>
      <c r="JVA171" s="125"/>
      <c r="JVB171" s="125"/>
      <c r="JVC171" s="125"/>
      <c r="JVD171" s="125"/>
      <c r="JVE171" s="125"/>
      <c r="JVF171" s="125"/>
      <c r="JVG171" s="125"/>
      <c r="JVH171" s="125"/>
      <c r="JVI171" s="125"/>
      <c r="JVJ171" s="125"/>
      <c r="JVK171" s="125"/>
      <c r="JVL171" s="125"/>
      <c r="JVM171" s="125"/>
      <c r="JVN171" s="125"/>
      <c r="JVO171" s="125"/>
      <c r="JVP171" s="125"/>
      <c r="JVQ171" s="125"/>
      <c r="JVR171" s="125"/>
      <c r="JVS171" s="125"/>
      <c r="JVT171" s="125"/>
      <c r="JVU171" s="125"/>
      <c r="JVV171" s="125"/>
      <c r="JVW171" s="125"/>
      <c r="JVX171" s="125"/>
      <c r="JVY171" s="125"/>
      <c r="JVZ171" s="125"/>
      <c r="JWA171" s="125"/>
      <c r="JWB171" s="125"/>
      <c r="JWC171" s="125"/>
      <c r="JWD171" s="125"/>
      <c r="JWE171" s="125"/>
      <c r="JWF171" s="125"/>
      <c r="JWG171" s="125"/>
      <c r="JWH171" s="125"/>
      <c r="JWI171" s="125"/>
      <c r="JWJ171" s="125"/>
      <c r="JWK171" s="125"/>
      <c r="JWL171" s="125"/>
      <c r="JWM171" s="125"/>
      <c r="JWN171" s="125"/>
      <c r="JWO171" s="125"/>
      <c r="JWP171" s="125"/>
      <c r="JWQ171" s="125"/>
      <c r="JWR171" s="125"/>
      <c r="JWS171" s="125"/>
      <c r="JWT171" s="125"/>
      <c r="JWU171" s="125"/>
      <c r="JWV171" s="125"/>
      <c r="JWW171" s="125"/>
      <c r="JWX171" s="125"/>
      <c r="JWY171" s="125"/>
      <c r="JWZ171" s="125"/>
      <c r="JXA171" s="125"/>
      <c r="JXB171" s="125"/>
      <c r="JXC171" s="125"/>
      <c r="JXD171" s="125"/>
      <c r="JXE171" s="125"/>
      <c r="JXF171" s="125"/>
      <c r="JXG171" s="125"/>
      <c r="JXH171" s="125"/>
      <c r="JXI171" s="125"/>
      <c r="JXJ171" s="125"/>
      <c r="JXK171" s="125"/>
      <c r="JXL171" s="125"/>
      <c r="JXM171" s="125"/>
      <c r="JXN171" s="125"/>
      <c r="JXO171" s="125"/>
      <c r="JXP171" s="125"/>
      <c r="JXQ171" s="125"/>
      <c r="JXR171" s="125"/>
      <c r="JXS171" s="125"/>
      <c r="JXT171" s="125"/>
      <c r="JXU171" s="125"/>
      <c r="JXV171" s="125"/>
      <c r="JXW171" s="125"/>
      <c r="JXX171" s="125"/>
      <c r="JXY171" s="125"/>
      <c r="JXZ171" s="125"/>
      <c r="JYA171" s="125"/>
      <c r="JYB171" s="125"/>
      <c r="JYC171" s="125"/>
      <c r="JYD171" s="125"/>
      <c r="JYE171" s="125"/>
      <c r="JYF171" s="125"/>
      <c r="JYG171" s="125"/>
      <c r="JYH171" s="125"/>
      <c r="JYI171" s="125"/>
      <c r="JYJ171" s="125"/>
      <c r="JYK171" s="125"/>
      <c r="JYL171" s="125"/>
      <c r="JYM171" s="125"/>
      <c r="JYN171" s="125"/>
      <c r="JYO171" s="125"/>
      <c r="JYP171" s="125"/>
      <c r="JYQ171" s="125"/>
      <c r="JYR171" s="125"/>
      <c r="JYS171" s="125"/>
      <c r="JYT171" s="125"/>
      <c r="JYU171" s="125"/>
      <c r="JYV171" s="125"/>
      <c r="JYW171" s="125"/>
      <c r="JYX171" s="125"/>
      <c r="JYY171" s="125"/>
      <c r="JYZ171" s="125"/>
      <c r="JZA171" s="125"/>
      <c r="JZB171" s="125"/>
      <c r="JZC171" s="125"/>
      <c r="JZD171" s="125"/>
      <c r="JZE171" s="125"/>
      <c r="JZF171" s="125"/>
      <c r="JZG171" s="125"/>
      <c r="JZH171" s="125"/>
      <c r="JZI171" s="125"/>
      <c r="JZJ171" s="125"/>
      <c r="JZK171" s="125"/>
      <c r="JZL171" s="125"/>
      <c r="JZM171" s="125"/>
      <c r="JZN171" s="125"/>
      <c r="JZO171" s="125"/>
      <c r="JZP171" s="125"/>
      <c r="JZQ171" s="125"/>
      <c r="JZR171" s="125"/>
      <c r="JZS171" s="125"/>
      <c r="JZT171" s="125"/>
      <c r="JZU171" s="125"/>
      <c r="JZV171" s="125"/>
      <c r="JZW171" s="125"/>
      <c r="JZX171" s="125"/>
      <c r="JZY171" s="125"/>
      <c r="JZZ171" s="125"/>
      <c r="KAA171" s="125"/>
      <c r="KAB171" s="125"/>
      <c r="KAC171" s="125"/>
      <c r="KAD171" s="125"/>
      <c r="KAE171" s="125"/>
      <c r="KAF171" s="125"/>
      <c r="KAG171" s="125"/>
      <c r="KAH171" s="125"/>
      <c r="KAI171" s="125"/>
      <c r="KAJ171" s="125"/>
      <c r="KAK171" s="125"/>
      <c r="KAL171" s="125"/>
      <c r="KAM171" s="125"/>
      <c r="KAN171" s="125"/>
      <c r="KAO171" s="125"/>
      <c r="KAP171" s="125"/>
      <c r="KAQ171" s="125"/>
      <c r="KAR171" s="125"/>
      <c r="KAS171" s="125"/>
      <c r="KAT171" s="125"/>
      <c r="KAU171" s="125"/>
      <c r="KAV171" s="125"/>
      <c r="KAW171" s="125"/>
      <c r="KAX171" s="125"/>
      <c r="KAY171" s="125"/>
      <c r="KAZ171" s="125"/>
      <c r="KBA171" s="125"/>
      <c r="KBB171" s="125"/>
      <c r="KBC171" s="125"/>
      <c r="KBD171" s="125"/>
      <c r="KBE171" s="125"/>
      <c r="KBF171" s="125"/>
      <c r="KBG171" s="125"/>
      <c r="KBH171" s="125"/>
      <c r="KBI171" s="125"/>
      <c r="KBJ171" s="125"/>
      <c r="KBK171" s="125"/>
      <c r="KBL171" s="125"/>
      <c r="KBM171" s="125"/>
      <c r="KBN171" s="125"/>
      <c r="KBO171" s="125"/>
      <c r="KBP171" s="125"/>
      <c r="KBQ171" s="125"/>
      <c r="KBR171" s="125"/>
      <c r="KBS171" s="125"/>
      <c r="KBT171" s="125"/>
      <c r="KBU171" s="125"/>
      <c r="KBV171" s="125"/>
      <c r="KBW171" s="125"/>
      <c r="KBX171" s="125"/>
      <c r="KBY171" s="125"/>
      <c r="KBZ171" s="125"/>
      <c r="KCA171" s="125"/>
      <c r="KCB171" s="125"/>
      <c r="KCC171" s="125"/>
      <c r="KCD171" s="125"/>
      <c r="KCE171" s="125"/>
      <c r="KCF171" s="125"/>
      <c r="KCG171" s="125"/>
      <c r="KCH171" s="125"/>
      <c r="KCI171" s="125"/>
      <c r="KCJ171" s="125"/>
      <c r="KCK171" s="125"/>
      <c r="KCL171" s="125"/>
      <c r="KCM171" s="125"/>
      <c r="KCN171" s="125"/>
      <c r="KCO171" s="125"/>
      <c r="KCP171" s="125"/>
      <c r="KCQ171" s="125"/>
      <c r="KCR171" s="125"/>
      <c r="KCS171" s="125"/>
      <c r="KCT171" s="125"/>
      <c r="KCU171" s="125"/>
      <c r="KCV171" s="125"/>
      <c r="KCW171" s="125"/>
      <c r="KCX171" s="125"/>
      <c r="KCY171" s="125"/>
      <c r="KCZ171" s="125"/>
      <c r="KDA171" s="125"/>
      <c r="KDB171" s="125"/>
      <c r="KDC171" s="125"/>
      <c r="KDD171" s="125"/>
      <c r="KDE171" s="125"/>
      <c r="KDF171" s="125"/>
      <c r="KDG171" s="125"/>
      <c r="KDH171" s="125"/>
      <c r="KDI171" s="125"/>
      <c r="KDJ171" s="125"/>
      <c r="KDK171" s="125"/>
      <c r="KDL171" s="125"/>
      <c r="KDM171" s="125"/>
      <c r="KDN171" s="125"/>
      <c r="KDO171" s="125"/>
      <c r="KDP171" s="125"/>
      <c r="KDQ171" s="125"/>
      <c r="KDR171" s="125"/>
      <c r="KDS171" s="125"/>
      <c r="KDT171" s="125"/>
      <c r="KDU171" s="125"/>
      <c r="KDV171" s="125"/>
      <c r="KDW171" s="125"/>
      <c r="KDX171" s="125"/>
      <c r="KDY171" s="125"/>
      <c r="KDZ171" s="125"/>
      <c r="KEA171" s="125"/>
      <c r="KEB171" s="125"/>
      <c r="KEC171" s="125"/>
      <c r="KED171" s="125"/>
      <c r="KEE171" s="125"/>
      <c r="KEF171" s="125"/>
      <c r="KEG171" s="125"/>
      <c r="KEH171" s="125"/>
      <c r="KEI171" s="125"/>
      <c r="KEJ171" s="125"/>
      <c r="KEK171" s="125"/>
      <c r="KEL171" s="125"/>
      <c r="KEM171" s="125"/>
      <c r="KEN171" s="125"/>
      <c r="KEO171" s="125"/>
      <c r="KEP171" s="125"/>
      <c r="KEQ171" s="125"/>
      <c r="KER171" s="125"/>
      <c r="KES171" s="125"/>
      <c r="KET171" s="125"/>
      <c r="KEU171" s="125"/>
      <c r="KEV171" s="125"/>
      <c r="KEW171" s="125"/>
      <c r="KEX171" s="125"/>
      <c r="KEY171" s="125"/>
      <c r="KEZ171" s="125"/>
      <c r="KFA171" s="125"/>
      <c r="KFB171" s="125"/>
      <c r="KFC171" s="125"/>
      <c r="KFD171" s="125"/>
      <c r="KFE171" s="125"/>
      <c r="KFF171" s="125"/>
      <c r="KFG171" s="125"/>
      <c r="KFH171" s="125"/>
      <c r="KFI171" s="125"/>
      <c r="KFJ171" s="125"/>
      <c r="KFK171" s="125"/>
      <c r="KFL171" s="125"/>
      <c r="KFM171" s="125"/>
      <c r="KFN171" s="125"/>
      <c r="KFO171" s="125"/>
      <c r="KFP171" s="125"/>
      <c r="KFQ171" s="125"/>
      <c r="KFR171" s="125"/>
      <c r="KFS171" s="125"/>
      <c r="KFT171" s="125"/>
      <c r="KFU171" s="125"/>
      <c r="KFV171" s="125"/>
      <c r="KFW171" s="125"/>
      <c r="KFX171" s="125"/>
      <c r="KFY171" s="125"/>
      <c r="KFZ171" s="125"/>
      <c r="KGA171" s="125"/>
      <c r="KGB171" s="125"/>
      <c r="KGC171" s="125"/>
      <c r="KGD171" s="125"/>
      <c r="KGE171" s="125"/>
      <c r="KGF171" s="125"/>
      <c r="KGG171" s="125"/>
      <c r="KGH171" s="125"/>
      <c r="KGI171" s="125"/>
      <c r="KGJ171" s="125"/>
      <c r="KGK171" s="125"/>
      <c r="KGL171" s="125"/>
      <c r="KGM171" s="125"/>
      <c r="KGN171" s="125"/>
      <c r="KGO171" s="125"/>
      <c r="KGP171" s="125"/>
      <c r="KGQ171" s="125"/>
      <c r="KGR171" s="125"/>
      <c r="KGS171" s="125"/>
      <c r="KGT171" s="125"/>
      <c r="KGU171" s="125"/>
      <c r="KGV171" s="125"/>
      <c r="KGW171" s="125"/>
      <c r="KGX171" s="125"/>
      <c r="KGY171" s="125"/>
      <c r="KGZ171" s="125"/>
      <c r="KHA171" s="125"/>
      <c r="KHB171" s="125"/>
      <c r="KHC171" s="125"/>
      <c r="KHD171" s="125"/>
      <c r="KHE171" s="125"/>
      <c r="KHF171" s="125"/>
      <c r="KHG171" s="125"/>
      <c r="KHH171" s="125"/>
      <c r="KHI171" s="125"/>
      <c r="KHJ171" s="125"/>
      <c r="KHK171" s="125"/>
      <c r="KHL171" s="125"/>
      <c r="KHM171" s="125"/>
      <c r="KHN171" s="125"/>
      <c r="KHO171" s="125"/>
      <c r="KHP171" s="125"/>
      <c r="KHQ171" s="125"/>
      <c r="KHR171" s="125"/>
      <c r="KHS171" s="125"/>
      <c r="KHT171" s="125"/>
      <c r="KHU171" s="125"/>
      <c r="KHV171" s="125"/>
      <c r="KHW171" s="125"/>
      <c r="KHX171" s="125"/>
      <c r="KHY171" s="125"/>
      <c r="KHZ171" s="125"/>
      <c r="KIA171" s="125"/>
      <c r="KIB171" s="125"/>
      <c r="KIC171" s="125"/>
      <c r="KID171" s="125"/>
      <c r="KIE171" s="125"/>
      <c r="KIF171" s="125"/>
      <c r="KIG171" s="125"/>
      <c r="KIH171" s="125"/>
      <c r="KII171" s="125"/>
      <c r="KIJ171" s="125"/>
      <c r="KIK171" s="125"/>
      <c r="KIL171" s="125"/>
      <c r="KIM171" s="125"/>
      <c r="KIN171" s="125"/>
      <c r="KIO171" s="125"/>
      <c r="KIP171" s="125"/>
      <c r="KIQ171" s="125"/>
      <c r="KIR171" s="125"/>
      <c r="KIS171" s="125"/>
      <c r="KIT171" s="125"/>
      <c r="KIU171" s="125"/>
      <c r="KIV171" s="125"/>
      <c r="KIW171" s="125"/>
      <c r="KIX171" s="125"/>
      <c r="KIY171" s="125"/>
      <c r="KIZ171" s="125"/>
      <c r="KJA171" s="125"/>
      <c r="KJB171" s="125"/>
      <c r="KJC171" s="125"/>
      <c r="KJD171" s="125"/>
      <c r="KJE171" s="125"/>
      <c r="KJF171" s="125"/>
      <c r="KJG171" s="125"/>
      <c r="KJH171" s="125"/>
      <c r="KJI171" s="125"/>
      <c r="KJJ171" s="125"/>
      <c r="KJK171" s="125"/>
      <c r="KJL171" s="125"/>
      <c r="KJM171" s="125"/>
      <c r="KJN171" s="125"/>
      <c r="KJO171" s="125"/>
      <c r="KJP171" s="125"/>
      <c r="KJQ171" s="125"/>
      <c r="KJR171" s="125"/>
      <c r="KJS171" s="125"/>
      <c r="KJT171" s="125"/>
      <c r="KJU171" s="125"/>
      <c r="KJV171" s="125"/>
      <c r="KJW171" s="125"/>
      <c r="KJX171" s="125"/>
      <c r="KJY171" s="125"/>
      <c r="KJZ171" s="125"/>
      <c r="KKA171" s="125"/>
      <c r="KKB171" s="125"/>
      <c r="KKC171" s="125"/>
      <c r="KKD171" s="125"/>
      <c r="KKE171" s="125"/>
      <c r="KKF171" s="125"/>
      <c r="KKG171" s="125"/>
      <c r="KKH171" s="125"/>
      <c r="KKI171" s="125"/>
      <c r="KKJ171" s="125"/>
      <c r="KKK171" s="125"/>
      <c r="KKL171" s="125"/>
      <c r="KKM171" s="125"/>
      <c r="KKN171" s="125"/>
      <c r="KKO171" s="125"/>
      <c r="KKP171" s="125"/>
      <c r="KKQ171" s="125"/>
      <c r="KKR171" s="125"/>
      <c r="KKS171" s="125"/>
      <c r="KKT171" s="125"/>
      <c r="KKU171" s="125"/>
      <c r="KKV171" s="125"/>
      <c r="KKW171" s="125"/>
      <c r="KKX171" s="125"/>
      <c r="KKY171" s="125"/>
      <c r="KKZ171" s="125"/>
      <c r="KLA171" s="125"/>
      <c r="KLB171" s="125"/>
      <c r="KLC171" s="125"/>
      <c r="KLD171" s="125"/>
      <c r="KLE171" s="125"/>
      <c r="KLF171" s="125"/>
      <c r="KLG171" s="125"/>
      <c r="KLH171" s="125"/>
      <c r="KLI171" s="125"/>
      <c r="KLJ171" s="125"/>
      <c r="KLK171" s="125"/>
      <c r="KLL171" s="125"/>
      <c r="KLM171" s="125"/>
      <c r="KLN171" s="125"/>
      <c r="KLO171" s="125"/>
      <c r="KLP171" s="125"/>
      <c r="KLQ171" s="125"/>
      <c r="KLR171" s="125"/>
      <c r="KLS171" s="125"/>
      <c r="KLT171" s="125"/>
      <c r="KLU171" s="125"/>
      <c r="KLV171" s="125"/>
      <c r="KLW171" s="125"/>
      <c r="KLX171" s="125"/>
      <c r="KLY171" s="125"/>
      <c r="KLZ171" s="125"/>
      <c r="KMA171" s="125"/>
      <c r="KMB171" s="125"/>
      <c r="KMC171" s="125"/>
      <c r="KMD171" s="125"/>
      <c r="KME171" s="125"/>
      <c r="KMF171" s="125"/>
      <c r="KMG171" s="125"/>
      <c r="KMH171" s="125"/>
      <c r="KMI171" s="125"/>
      <c r="KMJ171" s="125"/>
      <c r="KMK171" s="125"/>
      <c r="KML171" s="125"/>
      <c r="KMM171" s="125"/>
      <c r="KMN171" s="125"/>
      <c r="KMO171" s="125"/>
      <c r="KMP171" s="125"/>
      <c r="KMQ171" s="125"/>
      <c r="KMR171" s="125"/>
      <c r="KMS171" s="125"/>
      <c r="KMT171" s="125"/>
      <c r="KMU171" s="125"/>
      <c r="KMV171" s="125"/>
      <c r="KMW171" s="125"/>
      <c r="KMX171" s="125"/>
      <c r="KMY171" s="125"/>
      <c r="KMZ171" s="125"/>
      <c r="KNA171" s="125"/>
      <c r="KNB171" s="125"/>
      <c r="KNC171" s="125"/>
      <c r="KND171" s="125"/>
      <c r="KNE171" s="125"/>
      <c r="KNF171" s="125"/>
      <c r="KNG171" s="125"/>
      <c r="KNH171" s="125"/>
      <c r="KNI171" s="125"/>
      <c r="KNJ171" s="125"/>
      <c r="KNK171" s="125"/>
      <c r="KNL171" s="125"/>
      <c r="KNM171" s="125"/>
      <c r="KNN171" s="125"/>
      <c r="KNO171" s="125"/>
      <c r="KNP171" s="125"/>
      <c r="KNQ171" s="125"/>
      <c r="KNR171" s="125"/>
      <c r="KNS171" s="125"/>
      <c r="KNT171" s="125"/>
      <c r="KNU171" s="125"/>
      <c r="KNV171" s="125"/>
      <c r="KNW171" s="125"/>
      <c r="KNX171" s="125"/>
      <c r="KNY171" s="125"/>
      <c r="KNZ171" s="125"/>
      <c r="KOA171" s="125"/>
      <c r="KOB171" s="125"/>
      <c r="KOC171" s="125"/>
      <c r="KOD171" s="125"/>
      <c r="KOE171" s="125"/>
      <c r="KOF171" s="125"/>
      <c r="KOG171" s="125"/>
      <c r="KOH171" s="125"/>
      <c r="KOI171" s="125"/>
      <c r="KOJ171" s="125"/>
      <c r="KOK171" s="125"/>
      <c r="KOL171" s="125"/>
      <c r="KOM171" s="125"/>
      <c r="KON171" s="125"/>
      <c r="KOO171" s="125"/>
      <c r="KOP171" s="125"/>
      <c r="KOQ171" s="125"/>
      <c r="KOR171" s="125"/>
      <c r="KOS171" s="125"/>
      <c r="KOT171" s="125"/>
      <c r="KOU171" s="125"/>
      <c r="KOV171" s="125"/>
      <c r="KOW171" s="125"/>
      <c r="KOX171" s="125"/>
      <c r="KOY171" s="125"/>
      <c r="KOZ171" s="125"/>
      <c r="KPA171" s="125"/>
      <c r="KPB171" s="125"/>
      <c r="KPC171" s="125"/>
      <c r="KPD171" s="125"/>
      <c r="KPE171" s="125"/>
      <c r="KPF171" s="125"/>
      <c r="KPG171" s="125"/>
      <c r="KPH171" s="125"/>
      <c r="KPI171" s="125"/>
      <c r="KPJ171" s="125"/>
      <c r="KPK171" s="125"/>
      <c r="KPL171" s="125"/>
      <c r="KPM171" s="125"/>
      <c r="KPN171" s="125"/>
      <c r="KPO171" s="125"/>
      <c r="KPP171" s="125"/>
      <c r="KPQ171" s="125"/>
      <c r="KPR171" s="125"/>
      <c r="KPS171" s="125"/>
      <c r="KPT171" s="125"/>
      <c r="KPU171" s="125"/>
      <c r="KPV171" s="125"/>
      <c r="KPW171" s="125"/>
      <c r="KPX171" s="125"/>
      <c r="KPY171" s="125"/>
      <c r="KPZ171" s="125"/>
      <c r="KQA171" s="125"/>
      <c r="KQB171" s="125"/>
      <c r="KQC171" s="125"/>
      <c r="KQD171" s="125"/>
      <c r="KQE171" s="125"/>
      <c r="KQF171" s="125"/>
      <c r="KQG171" s="125"/>
      <c r="KQH171" s="125"/>
      <c r="KQI171" s="125"/>
      <c r="KQJ171" s="125"/>
      <c r="KQK171" s="125"/>
      <c r="KQL171" s="125"/>
      <c r="KQM171" s="125"/>
      <c r="KQN171" s="125"/>
      <c r="KQO171" s="125"/>
      <c r="KQP171" s="125"/>
      <c r="KQQ171" s="125"/>
      <c r="KQR171" s="125"/>
      <c r="KQS171" s="125"/>
      <c r="KQT171" s="125"/>
      <c r="KQU171" s="125"/>
      <c r="KQV171" s="125"/>
      <c r="KQW171" s="125"/>
      <c r="KQX171" s="125"/>
      <c r="KQY171" s="125"/>
      <c r="KQZ171" s="125"/>
      <c r="KRA171" s="125"/>
      <c r="KRB171" s="125"/>
      <c r="KRC171" s="125"/>
      <c r="KRD171" s="125"/>
      <c r="KRE171" s="125"/>
      <c r="KRF171" s="125"/>
      <c r="KRG171" s="125"/>
      <c r="KRH171" s="125"/>
      <c r="KRI171" s="125"/>
      <c r="KRJ171" s="125"/>
      <c r="KRK171" s="125"/>
      <c r="KRL171" s="125"/>
      <c r="KRM171" s="125"/>
      <c r="KRN171" s="125"/>
      <c r="KRO171" s="125"/>
      <c r="KRP171" s="125"/>
      <c r="KRQ171" s="125"/>
      <c r="KRR171" s="125"/>
      <c r="KRS171" s="125"/>
      <c r="KRT171" s="125"/>
      <c r="KRU171" s="125"/>
      <c r="KRV171" s="125"/>
      <c r="KRW171" s="125"/>
      <c r="KRX171" s="125"/>
      <c r="KRY171" s="125"/>
      <c r="KRZ171" s="125"/>
      <c r="KSA171" s="125"/>
      <c r="KSB171" s="125"/>
      <c r="KSC171" s="125"/>
      <c r="KSD171" s="125"/>
      <c r="KSE171" s="125"/>
      <c r="KSF171" s="125"/>
      <c r="KSG171" s="125"/>
      <c r="KSH171" s="125"/>
      <c r="KSI171" s="125"/>
      <c r="KSJ171" s="125"/>
      <c r="KSK171" s="125"/>
      <c r="KSL171" s="125"/>
      <c r="KSM171" s="125"/>
      <c r="KSN171" s="125"/>
      <c r="KSO171" s="125"/>
      <c r="KSP171" s="125"/>
      <c r="KSQ171" s="125"/>
      <c r="KSR171" s="125"/>
      <c r="KSS171" s="125"/>
      <c r="KST171" s="125"/>
      <c r="KSU171" s="125"/>
      <c r="KSV171" s="125"/>
      <c r="KSW171" s="125"/>
      <c r="KSX171" s="125"/>
      <c r="KSY171" s="125"/>
      <c r="KSZ171" s="125"/>
      <c r="KTA171" s="125"/>
      <c r="KTB171" s="125"/>
      <c r="KTC171" s="125"/>
      <c r="KTD171" s="125"/>
      <c r="KTE171" s="125"/>
      <c r="KTF171" s="125"/>
      <c r="KTG171" s="125"/>
      <c r="KTH171" s="125"/>
      <c r="KTI171" s="125"/>
      <c r="KTJ171" s="125"/>
      <c r="KTK171" s="125"/>
      <c r="KTL171" s="125"/>
      <c r="KTM171" s="125"/>
      <c r="KTN171" s="125"/>
      <c r="KTO171" s="125"/>
      <c r="KTP171" s="125"/>
      <c r="KTQ171" s="125"/>
      <c r="KTR171" s="125"/>
      <c r="KTS171" s="125"/>
      <c r="KTT171" s="125"/>
      <c r="KTU171" s="125"/>
      <c r="KTV171" s="125"/>
      <c r="KTW171" s="125"/>
      <c r="KTX171" s="125"/>
      <c r="KTY171" s="125"/>
      <c r="KTZ171" s="125"/>
      <c r="KUA171" s="125"/>
      <c r="KUB171" s="125"/>
      <c r="KUC171" s="125"/>
      <c r="KUD171" s="125"/>
      <c r="KUE171" s="125"/>
      <c r="KUF171" s="125"/>
      <c r="KUG171" s="125"/>
      <c r="KUH171" s="125"/>
      <c r="KUI171" s="125"/>
      <c r="KUJ171" s="125"/>
      <c r="KUK171" s="125"/>
      <c r="KUL171" s="125"/>
      <c r="KUM171" s="125"/>
      <c r="KUN171" s="125"/>
      <c r="KUO171" s="125"/>
      <c r="KUP171" s="125"/>
      <c r="KUQ171" s="125"/>
      <c r="KUR171" s="125"/>
      <c r="KUS171" s="125"/>
      <c r="KUT171" s="125"/>
      <c r="KUU171" s="125"/>
      <c r="KUV171" s="125"/>
      <c r="KUW171" s="125"/>
      <c r="KUX171" s="125"/>
      <c r="KUY171" s="125"/>
      <c r="KUZ171" s="125"/>
      <c r="KVA171" s="125"/>
      <c r="KVB171" s="125"/>
      <c r="KVC171" s="125"/>
      <c r="KVD171" s="125"/>
      <c r="KVE171" s="125"/>
      <c r="KVF171" s="125"/>
      <c r="KVG171" s="125"/>
      <c r="KVH171" s="125"/>
      <c r="KVI171" s="125"/>
      <c r="KVJ171" s="125"/>
      <c r="KVK171" s="125"/>
      <c r="KVL171" s="125"/>
      <c r="KVM171" s="125"/>
      <c r="KVN171" s="125"/>
      <c r="KVO171" s="125"/>
      <c r="KVP171" s="125"/>
      <c r="KVQ171" s="125"/>
      <c r="KVR171" s="125"/>
      <c r="KVS171" s="125"/>
      <c r="KVT171" s="125"/>
      <c r="KVU171" s="125"/>
      <c r="KVV171" s="125"/>
      <c r="KVW171" s="125"/>
      <c r="KVX171" s="125"/>
      <c r="KVY171" s="125"/>
      <c r="KVZ171" s="125"/>
      <c r="KWA171" s="125"/>
      <c r="KWB171" s="125"/>
      <c r="KWC171" s="125"/>
      <c r="KWD171" s="125"/>
      <c r="KWE171" s="125"/>
      <c r="KWF171" s="125"/>
      <c r="KWG171" s="125"/>
      <c r="KWH171" s="125"/>
      <c r="KWI171" s="125"/>
      <c r="KWJ171" s="125"/>
      <c r="KWK171" s="125"/>
      <c r="KWL171" s="125"/>
      <c r="KWM171" s="125"/>
      <c r="KWN171" s="125"/>
      <c r="KWO171" s="125"/>
      <c r="KWP171" s="125"/>
      <c r="KWQ171" s="125"/>
      <c r="KWR171" s="125"/>
      <c r="KWS171" s="125"/>
      <c r="KWT171" s="125"/>
      <c r="KWU171" s="125"/>
      <c r="KWV171" s="125"/>
      <c r="KWW171" s="125"/>
      <c r="KWX171" s="125"/>
      <c r="KWY171" s="125"/>
      <c r="KWZ171" s="125"/>
      <c r="KXA171" s="125"/>
      <c r="KXB171" s="125"/>
      <c r="KXC171" s="125"/>
      <c r="KXD171" s="125"/>
      <c r="KXE171" s="125"/>
      <c r="KXF171" s="125"/>
      <c r="KXG171" s="125"/>
      <c r="KXH171" s="125"/>
      <c r="KXI171" s="125"/>
      <c r="KXJ171" s="125"/>
      <c r="KXK171" s="125"/>
      <c r="KXL171" s="125"/>
      <c r="KXM171" s="125"/>
      <c r="KXN171" s="125"/>
      <c r="KXO171" s="125"/>
      <c r="KXP171" s="125"/>
      <c r="KXQ171" s="125"/>
      <c r="KXR171" s="125"/>
      <c r="KXS171" s="125"/>
      <c r="KXT171" s="125"/>
      <c r="KXU171" s="125"/>
      <c r="KXV171" s="125"/>
      <c r="KXW171" s="125"/>
      <c r="KXX171" s="125"/>
      <c r="KXY171" s="125"/>
      <c r="KXZ171" s="125"/>
      <c r="KYA171" s="125"/>
      <c r="KYB171" s="125"/>
      <c r="KYC171" s="125"/>
      <c r="KYD171" s="125"/>
      <c r="KYE171" s="125"/>
      <c r="KYF171" s="125"/>
      <c r="KYG171" s="125"/>
      <c r="KYH171" s="125"/>
      <c r="KYI171" s="125"/>
      <c r="KYJ171" s="125"/>
      <c r="KYK171" s="125"/>
      <c r="KYL171" s="125"/>
      <c r="KYM171" s="125"/>
      <c r="KYN171" s="125"/>
      <c r="KYO171" s="125"/>
      <c r="KYP171" s="125"/>
      <c r="KYQ171" s="125"/>
      <c r="KYR171" s="125"/>
      <c r="KYS171" s="125"/>
      <c r="KYT171" s="125"/>
      <c r="KYU171" s="125"/>
      <c r="KYV171" s="125"/>
      <c r="KYW171" s="125"/>
      <c r="KYX171" s="125"/>
      <c r="KYY171" s="125"/>
      <c r="KYZ171" s="125"/>
      <c r="KZA171" s="125"/>
      <c r="KZB171" s="125"/>
      <c r="KZC171" s="125"/>
      <c r="KZD171" s="125"/>
      <c r="KZE171" s="125"/>
      <c r="KZF171" s="125"/>
      <c r="KZG171" s="125"/>
      <c r="KZH171" s="125"/>
      <c r="KZI171" s="125"/>
      <c r="KZJ171" s="125"/>
      <c r="KZK171" s="125"/>
      <c r="KZL171" s="125"/>
      <c r="KZM171" s="125"/>
      <c r="KZN171" s="125"/>
      <c r="KZO171" s="125"/>
      <c r="KZP171" s="125"/>
      <c r="KZQ171" s="125"/>
      <c r="KZR171" s="125"/>
      <c r="KZS171" s="125"/>
      <c r="KZT171" s="125"/>
      <c r="KZU171" s="125"/>
      <c r="KZV171" s="125"/>
      <c r="KZW171" s="125"/>
      <c r="KZX171" s="125"/>
      <c r="KZY171" s="125"/>
      <c r="KZZ171" s="125"/>
      <c r="LAA171" s="125"/>
      <c r="LAB171" s="125"/>
      <c r="LAC171" s="125"/>
      <c r="LAD171" s="125"/>
      <c r="LAE171" s="125"/>
      <c r="LAF171" s="125"/>
      <c r="LAG171" s="125"/>
      <c r="LAH171" s="125"/>
      <c r="LAI171" s="125"/>
      <c r="LAJ171" s="125"/>
      <c r="LAK171" s="125"/>
      <c r="LAL171" s="125"/>
      <c r="LAM171" s="125"/>
      <c r="LAN171" s="125"/>
      <c r="LAO171" s="125"/>
      <c r="LAP171" s="125"/>
      <c r="LAQ171" s="125"/>
      <c r="LAR171" s="125"/>
      <c r="LAS171" s="125"/>
      <c r="LAT171" s="125"/>
      <c r="LAU171" s="125"/>
      <c r="LAV171" s="125"/>
      <c r="LAW171" s="125"/>
      <c r="LAX171" s="125"/>
      <c r="LAY171" s="125"/>
      <c r="LAZ171" s="125"/>
      <c r="LBA171" s="125"/>
      <c r="LBB171" s="125"/>
      <c r="LBC171" s="125"/>
      <c r="LBD171" s="125"/>
      <c r="LBE171" s="125"/>
      <c r="LBF171" s="125"/>
      <c r="LBG171" s="125"/>
      <c r="LBH171" s="125"/>
      <c r="LBI171" s="125"/>
      <c r="LBJ171" s="125"/>
      <c r="LBK171" s="125"/>
      <c r="LBL171" s="125"/>
      <c r="LBM171" s="125"/>
      <c r="LBN171" s="125"/>
      <c r="LBO171" s="125"/>
      <c r="LBP171" s="125"/>
      <c r="LBQ171" s="125"/>
      <c r="LBR171" s="125"/>
      <c r="LBS171" s="125"/>
      <c r="LBT171" s="125"/>
      <c r="LBU171" s="125"/>
      <c r="LBV171" s="125"/>
      <c r="LBW171" s="125"/>
      <c r="LBX171" s="125"/>
      <c r="LBY171" s="125"/>
      <c r="LBZ171" s="125"/>
      <c r="LCA171" s="125"/>
      <c r="LCB171" s="125"/>
      <c r="LCC171" s="125"/>
      <c r="LCD171" s="125"/>
      <c r="LCE171" s="125"/>
      <c r="LCF171" s="125"/>
      <c r="LCG171" s="125"/>
      <c r="LCH171" s="125"/>
      <c r="LCI171" s="125"/>
      <c r="LCJ171" s="125"/>
      <c r="LCK171" s="125"/>
      <c r="LCL171" s="125"/>
      <c r="LCM171" s="125"/>
      <c r="LCN171" s="125"/>
      <c r="LCO171" s="125"/>
      <c r="LCP171" s="125"/>
      <c r="LCQ171" s="125"/>
      <c r="LCR171" s="125"/>
      <c r="LCS171" s="125"/>
      <c r="LCT171" s="125"/>
      <c r="LCU171" s="125"/>
      <c r="LCV171" s="125"/>
      <c r="LCW171" s="125"/>
      <c r="LCX171" s="125"/>
      <c r="LCY171" s="125"/>
      <c r="LCZ171" s="125"/>
      <c r="LDA171" s="125"/>
      <c r="LDB171" s="125"/>
      <c r="LDC171" s="125"/>
      <c r="LDD171" s="125"/>
      <c r="LDE171" s="125"/>
      <c r="LDF171" s="125"/>
      <c r="LDG171" s="125"/>
      <c r="LDH171" s="125"/>
      <c r="LDI171" s="125"/>
      <c r="LDJ171" s="125"/>
      <c r="LDK171" s="125"/>
      <c r="LDL171" s="125"/>
      <c r="LDM171" s="125"/>
      <c r="LDN171" s="125"/>
      <c r="LDO171" s="125"/>
      <c r="LDP171" s="125"/>
      <c r="LDQ171" s="125"/>
      <c r="LDR171" s="125"/>
      <c r="LDS171" s="125"/>
      <c r="LDT171" s="125"/>
      <c r="LDU171" s="125"/>
      <c r="LDV171" s="125"/>
      <c r="LDW171" s="125"/>
      <c r="LDX171" s="125"/>
      <c r="LDY171" s="125"/>
      <c r="LDZ171" s="125"/>
      <c r="LEA171" s="125"/>
      <c r="LEB171" s="125"/>
      <c r="LEC171" s="125"/>
      <c r="LED171" s="125"/>
      <c r="LEE171" s="125"/>
      <c r="LEF171" s="125"/>
      <c r="LEG171" s="125"/>
      <c r="LEH171" s="125"/>
      <c r="LEI171" s="125"/>
      <c r="LEJ171" s="125"/>
      <c r="LEK171" s="125"/>
      <c r="LEL171" s="125"/>
      <c r="LEM171" s="125"/>
      <c r="LEN171" s="125"/>
      <c r="LEO171" s="125"/>
      <c r="LEP171" s="125"/>
      <c r="LEQ171" s="125"/>
      <c r="LER171" s="125"/>
      <c r="LES171" s="125"/>
      <c r="LET171" s="125"/>
      <c r="LEU171" s="125"/>
      <c r="LEV171" s="125"/>
      <c r="LEW171" s="125"/>
      <c r="LEX171" s="125"/>
      <c r="LEY171" s="125"/>
      <c r="LEZ171" s="125"/>
      <c r="LFA171" s="125"/>
      <c r="LFB171" s="125"/>
      <c r="LFC171" s="125"/>
      <c r="LFD171" s="125"/>
      <c r="LFE171" s="125"/>
      <c r="LFF171" s="125"/>
      <c r="LFG171" s="125"/>
      <c r="LFH171" s="125"/>
      <c r="LFI171" s="125"/>
      <c r="LFJ171" s="125"/>
      <c r="LFK171" s="125"/>
      <c r="LFL171" s="125"/>
      <c r="LFM171" s="125"/>
      <c r="LFN171" s="125"/>
      <c r="LFO171" s="125"/>
      <c r="LFP171" s="125"/>
      <c r="LFQ171" s="125"/>
      <c r="LFR171" s="125"/>
      <c r="LFS171" s="125"/>
      <c r="LFT171" s="125"/>
      <c r="LFU171" s="125"/>
      <c r="LFV171" s="125"/>
      <c r="LFW171" s="125"/>
      <c r="LFX171" s="125"/>
      <c r="LFY171" s="125"/>
      <c r="LFZ171" s="125"/>
      <c r="LGA171" s="125"/>
      <c r="LGB171" s="125"/>
      <c r="LGC171" s="125"/>
      <c r="LGD171" s="125"/>
      <c r="LGE171" s="125"/>
      <c r="LGF171" s="125"/>
      <c r="LGG171" s="125"/>
      <c r="LGH171" s="125"/>
      <c r="LGI171" s="125"/>
      <c r="LGJ171" s="125"/>
      <c r="LGK171" s="125"/>
      <c r="LGL171" s="125"/>
      <c r="LGM171" s="125"/>
      <c r="LGN171" s="125"/>
      <c r="LGO171" s="125"/>
      <c r="LGP171" s="125"/>
      <c r="LGQ171" s="125"/>
      <c r="LGR171" s="125"/>
      <c r="LGS171" s="125"/>
      <c r="LGT171" s="125"/>
      <c r="LGU171" s="125"/>
      <c r="LGV171" s="125"/>
      <c r="LGW171" s="125"/>
      <c r="LGX171" s="125"/>
      <c r="LGY171" s="125"/>
      <c r="LGZ171" s="125"/>
      <c r="LHA171" s="125"/>
      <c r="LHB171" s="125"/>
      <c r="LHC171" s="125"/>
      <c r="LHD171" s="125"/>
      <c r="LHE171" s="125"/>
      <c r="LHF171" s="125"/>
      <c r="LHG171" s="125"/>
      <c r="LHH171" s="125"/>
      <c r="LHI171" s="125"/>
      <c r="LHJ171" s="125"/>
      <c r="LHK171" s="125"/>
      <c r="LHL171" s="125"/>
      <c r="LHM171" s="125"/>
      <c r="LHN171" s="125"/>
      <c r="LHO171" s="125"/>
      <c r="LHP171" s="125"/>
      <c r="LHQ171" s="125"/>
      <c r="LHR171" s="125"/>
      <c r="LHS171" s="125"/>
      <c r="LHT171" s="125"/>
      <c r="LHU171" s="125"/>
      <c r="LHV171" s="125"/>
      <c r="LHW171" s="125"/>
      <c r="LHX171" s="125"/>
      <c r="LHY171" s="125"/>
      <c r="LHZ171" s="125"/>
      <c r="LIA171" s="125"/>
      <c r="LIB171" s="125"/>
      <c r="LIC171" s="125"/>
      <c r="LID171" s="125"/>
      <c r="LIE171" s="125"/>
      <c r="LIF171" s="125"/>
      <c r="LIG171" s="125"/>
      <c r="LIH171" s="125"/>
      <c r="LII171" s="125"/>
      <c r="LIJ171" s="125"/>
      <c r="LIK171" s="125"/>
      <c r="LIL171" s="125"/>
      <c r="LIM171" s="125"/>
      <c r="LIN171" s="125"/>
      <c r="LIO171" s="125"/>
      <c r="LIP171" s="125"/>
      <c r="LIQ171" s="125"/>
      <c r="LIR171" s="125"/>
      <c r="LIS171" s="125"/>
      <c r="LIT171" s="125"/>
      <c r="LIU171" s="125"/>
      <c r="LIV171" s="125"/>
      <c r="LIW171" s="125"/>
      <c r="LIX171" s="125"/>
      <c r="LIY171" s="125"/>
      <c r="LIZ171" s="125"/>
      <c r="LJA171" s="125"/>
      <c r="LJB171" s="125"/>
      <c r="LJC171" s="125"/>
      <c r="LJD171" s="125"/>
      <c r="LJE171" s="125"/>
      <c r="LJF171" s="125"/>
      <c r="LJG171" s="125"/>
      <c r="LJH171" s="125"/>
      <c r="LJI171" s="125"/>
      <c r="LJJ171" s="125"/>
      <c r="LJK171" s="125"/>
      <c r="LJL171" s="125"/>
      <c r="LJM171" s="125"/>
      <c r="LJN171" s="125"/>
      <c r="LJO171" s="125"/>
      <c r="LJP171" s="125"/>
      <c r="LJQ171" s="125"/>
      <c r="LJR171" s="125"/>
      <c r="LJS171" s="125"/>
      <c r="LJT171" s="125"/>
      <c r="LJU171" s="125"/>
      <c r="LJV171" s="125"/>
      <c r="LJW171" s="125"/>
      <c r="LJX171" s="125"/>
      <c r="LJY171" s="125"/>
      <c r="LJZ171" s="125"/>
      <c r="LKA171" s="125"/>
      <c r="LKB171" s="125"/>
      <c r="LKC171" s="125"/>
      <c r="LKD171" s="125"/>
      <c r="LKE171" s="125"/>
      <c r="LKF171" s="125"/>
      <c r="LKG171" s="125"/>
      <c r="LKH171" s="125"/>
      <c r="LKI171" s="125"/>
      <c r="LKJ171" s="125"/>
      <c r="LKK171" s="125"/>
      <c r="LKL171" s="125"/>
      <c r="LKM171" s="125"/>
      <c r="LKN171" s="125"/>
      <c r="LKO171" s="125"/>
      <c r="LKP171" s="125"/>
      <c r="LKQ171" s="125"/>
      <c r="LKR171" s="125"/>
      <c r="LKS171" s="125"/>
      <c r="LKT171" s="125"/>
      <c r="LKU171" s="125"/>
      <c r="LKV171" s="125"/>
      <c r="LKW171" s="125"/>
      <c r="LKX171" s="125"/>
      <c r="LKY171" s="125"/>
      <c r="LKZ171" s="125"/>
      <c r="LLA171" s="125"/>
      <c r="LLB171" s="125"/>
      <c r="LLC171" s="125"/>
      <c r="LLD171" s="125"/>
      <c r="LLE171" s="125"/>
      <c r="LLF171" s="125"/>
      <c r="LLG171" s="125"/>
      <c r="LLH171" s="125"/>
      <c r="LLI171" s="125"/>
      <c r="LLJ171" s="125"/>
      <c r="LLK171" s="125"/>
      <c r="LLL171" s="125"/>
      <c r="LLM171" s="125"/>
      <c r="LLN171" s="125"/>
      <c r="LLO171" s="125"/>
      <c r="LLP171" s="125"/>
      <c r="LLQ171" s="125"/>
      <c r="LLR171" s="125"/>
      <c r="LLS171" s="125"/>
      <c r="LLT171" s="125"/>
      <c r="LLU171" s="125"/>
      <c r="LLV171" s="125"/>
      <c r="LLW171" s="125"/>
      <c r="LLX171" s="125"/>
      <c r="LLY171" s="125"/>
      <c r="LLZ171" s="125"/>
      <c r="LMA171" s="125"/>
      <c r="LMB171" s="125"/>
      <c r="LMC171" s="125"/>
      <c r="LMD171" s="125"/>
      <c r="LME171" s="125"/>
      <c r="LMF171" s="125"/>
      <c r="LMG171" s="125"/>
      <c r="LMH171" s="125"/>
      <c r="LMI171" s="125"/>
      <c r="LMJ171" s="125"/>
      <c r="LMK171" s="125"/>
      <c r="LML171" s="125"/>
      <c r="LMM171" s="125"/>
      <c r="LMN171" s="125"/>
      <c r="LMO171" s="125"/>
      <c r="LMP171" s="125"/>
      <c r="LMQ171" s="125"/>
      <c r="LMR171" s="125"/>
      <c r="LMS171" s="125"/>
      <c r="LMT171" s="125"/>
      <c r="LMU171" s="125"/>
      <c r="LMV171" s="125"/>
      <c r="LMW171" s="125"/>
      <c r="LMX171" s="125"/>
      <c r="LMY171" s="125"/>
      <c r="LMZ171" s="125"/>
      <c r="LNA171" s="125"/>
      <c r="LNB171" s="125"/>
      <c r="LNC171" s="125"/>
      <c r="LND171" s="125"/>
      <c r="LNE171" s="125"/>
      <c r="LNF171" s="125"/>
      <c r="LNG171" s="125"/>
      <c r="LNH171" s="125"/>
      <c r="LNI171" s="125"/>
      <c r="LNJ171" s="125"/>
      <c r="LNK171" s="125"/>
      <c r="LNL171" s="125"/>
      <c r="LNM171" s="125"/>
      <c r="LNN171" s="125"/>
      <c r="LNO171" s="125"/>
      <c r="LNP171" s="125"/>
      <c r="LNQ171" s="125"/>
      <c r="LNR171" s="125"/>
      <c r="LNS171" s="125"/>
      <c r="LNT171" s="125"/>
      <c r="LNU171" s="125"/>
      <c r="LNV171" s="125"/>
      <c r="LNW171" s="125"/>
      <c r="LNX171" s="125"/>
      <c r="LNY171" s="125"/>
      <c r="LNZ171" s="125"/>
      <c r="LOA171" s="125"/>
      <c r="LOB171" s="125"/>
      <c r="LOC171" s="125"/>
      <c r="LOD171" s="125"/>
      <c r="LOE171" s="125"/>
      <c r="LOF171" s="125"/>
      <c r="LOG171" s="125"/>
      <c r="LOH171" s="125"/>
      <c r="LOI171" s="125"/>
      <c r="LOJ171" s="125"/>
      <c r="LOK171" s="125"/>
      <c r="LOL171" s="125"/>
      <c r="LOM171" s="125"/>
      <c r="LON171" s="125"/>
      <c r="LOO171" s="125"/>
      <c r="LOP171" s="125"/>
      <c r="LOQ171" s="125"/>
      <c r="LOR171" s="125"/>
      <c r="LOS171" s="125"/>
      <c r="LOT171" s="125"/>
      <c r="LOU171" s="125"/>
      <c r="LOV171" s="125"/>
      <c r="LOW171" s="125"/>
      <c r="LOX171" s="125"/>
      <c r="LOY171" s="125"/>
      <c r="LOZ171" s="125"/>
      <c r="LPA171" s="125"/>
      <c r="LPB171" s="125"/>
      <c r="LPC171" s="125"/>
      <c r="LPD171" s="125"/>
      <c r="LPE171" s="125"/>
      <c r="LPF171" s="125"/>
      <c r="LPG171" s="125"/>
      <c r="LPH171" s="125"/>
      <c r="LPI171" s="125"/>
      <c r="LPJ171" s="125"/>
      <c r="LPK171" s="125"/>
      <c r="LPL171" s="125"/>
      <c r="LPM171" s="125"/>
      <c r="LPN171" s="125"/>
      <c r="LPO171" s="125"/>
      <c r="LPP171" s="125"/>
      <c r="LPQ171" s="125"/>
      <c r="LPR171" s="125"/>
      <c r="LPS171" s="125"/>
      <c r="LPT171" s="125"/>
      <c r="LPU171" s="125"/>
      <c r="LPV171" s="125"/>
      <c r="LPW171" s="125"/>
      <c r="LPX171" s="125"/>
      <c r="LPY171" s="125"/>
      <c r="LPZ171" s="125"/>
      <c r="LQA171" s="125"/>
      <c r="LQB171" s="125"/>
      <c r="LQC171" s="125"/>
      <c r="LQD171" s="125"/>
      <c r="LQE171" s="125"/>
      <c r="LQF171" s="125"/>
      <c r="LQG171" s="125"/>
      <c r="LQH171" s="125"/>
      <c r="LQI171" s="125"/>
      <c r="LQJ171" s="125"/>
      <c r="LQK171" s="125"/>
      <c r="LQL171" s="125"/>
      <c r="LQM171" s="125"/>
      <c r="LQN171" s="125"/>
      <c r="LQO171" s="125"/>
      <c r="LQP171" s="125"/>
      <c r="LQQ171" s="125"/>
      <c r="LQR171" s="125"/>
      <c r="LQS171" s="125"/>
      <c r="LQT171" s="125"/>
      <c r="LQU171" s="125"/>
      <c r="LQV171" s="125"/>
      <c r="LQW171" s="125"/>
      <c r="LQX171" s="125"/>
      <c r="LQY171" s="125"/>
      <c r="LQZ171" s="125"/>
      <c r="LRA171" s="125"/>
      <c r="LRB171" s="125"/>
      <c r="LRC171" s="125"/>
      <c r="LRD171" s="125"/>
      <c r="LRE171" s="125"/>
      <c r="LRF171" s="125"/>
      <c r="LRG171" s="125"/>
      <c r="LRH171" s="125"/>
      <c r="LRI171" s="125"/>
      <c r="LRJ171" s="125"/>
      <c r="LRK171" s="125"/>
      <c r="LRL171" s="125"/>
      <c r="LRM171" s="125"/>
      <c r="LRN171" s="125"/>
      <c r="LRO171" s="125"/>
      <c r="LRP171" s="125"/>
      <c r="LRQ171" s="125"/>
      <c r="LRR171" s="125"/>
      <c r="LRS171" s="125"/>
      <c r="LRT171" s="125"/>
      <c r="LRU171" s="125"/>
      <c r="LRV171" s="125"/>
      <c r="LRW171" s="125"/>
      <c r="LRX171" s="125"/>
      <c r="LRY171" s="125"/>
      <c r="LRZ171" s="125"/>
      <c r="LSA171" s="125"/>
      <c r="LSB171" s="125"/>
      <c r="LSC171" s="125"/>
      <c r="LSD171" s="125"/>
      <c r="LSE171" s="125"/>
      <c r="LSF171" s="125"/>
      <c r="LSG171" s="125"/>
      <c r="LSH171" s="125"/>
      <c r="LSI171" s="125"/>
      <c r="LSJ171" s="125"/>
      <c r="LSK171" s="125"/>
      <c r="LSL171" s="125"/>
      <c r="LSM171" s="125"/>
      <c r="LSN171" s="125"/>
      <c r="LSO171" s="125"/>
      <c r="LSP171" s="125"/>
      <c r="LSQ171" s="125"/>
      <c r="LSR171" s="125"/>
      <c r="LSS171" s="125"/>
      <c r="LST171" s="125"/>
      <c r="LSU171" s="125"/>
      <c r="LSV171" s="125"/>
      <c r="LSW171" s="125"/>
      <c r="LSX171" s="125"/>
      <c r="LSY171" s="125"/>
      <c r="LSZ171" s="125"/>
      <c r="LTA171" s="125"/>
      <c r="LTB171" s="125"/>
      <c r="LTC171" s="125"/>
      <c r="LTD171" s="125"/>
      <c r="LTE171" s="125"/>
      <c r="LTF171" s="125"/>
      <c r="LTG171" s="125"/>
      <c r="LTH171" s="125"/>
      <c r="LTI171" s="125"/>
      <c r="LTJ171" s="125"/>
      <c r="LTK171" s="125"/>
      <c r="LTL171" s="125"/>
      <c r="LTM171" s="125"/>
      <c r="LTN171" s="125"/>
      <c r="LTO171" s="125"/>
      <c r="LTP171" s="125"/>
      <c r="LTQ171" s="125"/>
      <c r="LTR171" s="125"/>
      <c r="LTS171" s="125"/>
      <c r="LTT171" s="125"/>
      <c r="LTU171" s="125"/>
      <c r="LTV171" s="125"/>
      <c r="LTW171" s="125"/>
      <c r="LTX171" s="125"/>
      <c r="LTY171" s="125"/>
      <c r="LTZ171" s="125"/>
      <c r="LUA171" s="125"/>
      <c r="LUB171" s="125"/>
      <c r="LUC171" s="125"/>
      <c r="LUD171" s="125"/>
      <c r="LUE171" s="125"/>
      <c r="LUF171" s="125"/>
      <c r="LUG171" s="125"/>
      <c r="LUH171" s="125"/>
      <c r="LUI171" s="125"/>
      <c r="LUJ171" s="125"/>
      <c r="LUK171" s="125"/>
      <c r="LUL171" s="125"/>
      <c r="LUM171" s="125"/>
      <c r="LUN171" s="125"/>
      <c r="LUO171" s="125"/>
      <c r="LUP171" s="125"/>
      <c r="LUQ171" s="125"/>
      <c r="LUR171" s="125"/>
      <c r="LUS171" s="125"/>
      <c r="LUT171" s="125"/>
      <c r="LUU171" s="125"/>
      <c r="LUV171" s="125"/>
      <c r="LUW171" s="125"/>
      <c r="LUX171" s="125"/>
      <c r="LUY171" s="125"/>
      <c r="LUZ171" s="125"/>
      <c r="LVA171" s="125"/>
      <c r="LVB171" s="125"/>
      <c r="LVC171" s="125"/>
      <c r="LVD171" s="125"/>
      <c r="LVE171" s="125"/>
      <c r="LVF171" s="125"/>
      <c r="LVG171" s="125"/>
      <c r="LVH171" s="125"/>
      <c r="LVI171" s="125"/>
      <c r="LVJ171" s="125"/>
      <c r="LVK171" s="125"/>
      <c r="LVL171" s="125"/>
      <c r="LVM171" s="125"/>
      <c r="LVN171" s="125"/>
      <c r="LVO171" s="125"/>
      <c r="LVP171" s="125"/>
      <c r="LVQ171" s="125"/>
      <c r="LVR171" s="125"/>
      <c r="LVS171" s="125"/>
      <c r="LVT171" s="125"/>
      <c r="LVU171" s="125"/>
      <c r="LVV171" s="125"/>
      <c r="LVW171" s="125"/>
      <c r="LVX171" s="125"/>
      <c r="LVY171" s="125"/>
      <c r="LVZ171" s="125"/>
      <c r="LWA171" s="125"/>
      <c r="LWB171" s="125"/>
      <c r="LWC171" s="125"/>
      <c r="LWD171" s="125"/>
      <c r="LWE171" s="125"/>
      <c r="LWF171" s="125"/>
      <c r="LWG171" s="125"/>
      <c r="LWH171" s="125"/>
      <c r="LWI171" s="125"/>
      <c r="LWJ171" s="125"/>
      <c r="LWK171" s="125"/>
      <c r="LWL171" s="125"/>
      <c r="LWM171" s="125"/>
      <c r="LWN171" s="125"/>
      <c r="LWO171" s="125"/>
      <c r="LWP171" s="125"/>
      <c r="LWQ171" s="125"/>
      <c r="LWR171" s="125"/>
      <c r="LWS171" s="125"/>
      <c r="LWT171" s="125"/>
      <c r="LWU171" s="125"/>
      <c r="LWV171" s="125"/>
      <c r="LWW171" s="125"/>
      <c r="LWX171" s="125"/>
      <c r="LWY171" s="125"/>
      <c r="LWZ171" s="125"/>
      <c r="LXA171" s="125"/>
      <c r="LXB171" s="125"/>
      <c r="LXC171" s="125"/>
      <c r="LXD171" s="125"/>
      <c r="LXE171" s="125"/>
      <c r="LXF171" s="125"/>
      <c r="LXG171" s="125"/>
      <c r="LXH171" s="125"/>
      <c r="LXI171" s="125"/>
      <c r="LXJ171" s="125"/>
      <c r="LXK171" s="125"/>
      <c r="LXL171" s="125"/>
      <c r="LXM171" s="125"/>
      <c r="LXN171" s="125"/>
      <c r="LXO171" s="125"/>
      <c r="LXP171" s="125"/>
      <c r="LXQ171" s="125"/>
      <c r="LXR171" s="125"/>
      <c r="LXS171" s="125"/>
      <c r="LXT171" s="125"/>
      <c r="LXU171" s="125"/>
      <c r="LXV171" s="125"/>
      <c r="LXW171" s="125"/>
      <c r="LXX171" s="125"/>
      <c r="LXY171" s="125"/>
      <c r="LXZ171" s="125"/>
      <c r="LYA171" s="125"/>
      <c r="LYB171" s="125"/>
      <c r="LYC171" s="125"/>
      <c r="LYD171" s="125"/>
      <c r="LYE171" s="125"/>
      <c r="LYF171" s="125"/>
      <c r="LYG171" s="125"/>
      <c r="LYH171" s="125"/>
      <c r="LYI171" s="125"/>
      <c r="LYJ171" s="125"/>
      <c r="LYK171" s="125"/>
      <c r="LYL171" s="125"/>
      <c r="LYM171" s="125"/>
      <c r="LYN171" s="125"/>
      <c r="LYO171" s="125"/>
      <c r="LYP171" s="125"/>
      <c r="LYQ171" s="125"/>
      <c r="LYR171" s="125"/>
      <c r="LYS171" s="125"/>
      <c r="LYT171" s="125"/>
      <c r="LYU171" s="125"/>
      <c r="LYV171" s="125"/>
      <c r="LYW171" s="125"/>
      <c r="LYX171" s="125"/>
      <c r="LYY171" s="125"/>
      <c r="LYZ171" s="125"/>
      <c r="LZA171" s="125"/>
      <c r="LZB171" s="125"/>
      <c r="LZC171" s="125"/>
      <c r="LZD171" s="125"/>
      <c r="LZE171" s="125"/>
      <c r="LZF171" s="125"/>
      <c r="LZG171" s="125"/>
      <c r="LZH171" s="125"/>
      <c r="LZI171" s="125"/>
      <c r="LZJ171" s="125"/>
      <c r="LZK171" s="125"/>
      <c r="LZL171" s="125"/>
      <c r="LZM171" s="125"/>
      <c r="LZN171" s="125"/>
      <c r="LZO171" s="125"/>
      <c r="LZP171" s="125"/>
      <c r="LZQ171" s="125"/>
      <c r="LZR171" s="125"/>
      <c r="LZS171" s="125"/>
      <c r="LZT171" s="125"/>
      <c r="LZU171" s="125"/>
      <c r="LZV171" s="125"/>
      <c r="LZW171" s="125"/>
      <c r="LZX171" s="125"/>
      <c r="LZY171" s="125"/>
      <c r="LZZ171" s="125"/>
      <c r="MAA171" s="125"/>
      <c r="MAB171" s="125"/>
      <c r="MAC171" s="125"/>
      <c r="MAD171" s="125"/>
      <c r="MAE171" s="125"/>
      <c r="MAF171" s="125"/>
      <c r="MAG171" s="125"/>
      <c r="MAH171" s="125"/>
      <c r="MAI171" s="125"/>
      <c r="MAJ171" s="125"/>
      <c r="MAK171" s="125"/>
      <c r="MAL171" s="125"/>
      <c r="MAM171" s="125"/>
      <c r="MAN171" s="125"/>
      <c r="MAO171" s="125"/>
      <c r="MAP171" s="125"/>
      <c r="MAQ171" s="125"/>
      <c r="MAR171" s="125"/>
      <c r="MAS171" s="125"/>
      <c r="MAT171" s="125"/>
      <c r="MAU171" s="125"/>
      <c r="MAV171" s="125"/>
      <c r="MAW171" s="125"/>
      <c r="MAX171" s="125"/>
      <c r="MAY171" s="125"/>
      <c r="MAZ171" s="125"/>
      <c r="MBA171" s="125"/>
      <c r="MBB171" s="125"/>
      <c r="MBC171" s="125"/>
      <c r="MBD171" s="125"/>
      <c r="MBE171" s="125"/>
      <c r="MBF171" s="125"/>
      <c r="MBG171" s="125"/>
      <c r="MBH171" s="125"/>
      <c r="MBI171" s="125"/>
      <c r="MBJ171" s="125"/>
      <c r="MBK171" s="125"/>
      <c r="MBL171" s="125"/>
      <c r="MBM171" s="125"/>
      <c r="MBN171" s="125"/>
      <c r="MBO171" s="125"/>
      <c r="MBP171" s="125"/>
      <c r="MBQ171" s="125"/>
      <c r="MBR171" s="125"/>
      <c r="MBS171" s="125"/>
      <c r="MBT171" s="125"/>
      <c r="MBU171" s="125"/>
      <c r="MBV171" s="125"/>
      <c r="MBW171" s="125"/>
      <c r="MBX171" s="125"/>
      <c r="MBY171" s="125"/>
      <c r="MBZ171" s="125"/>
      <c r="MCA171" s="125"/>
      <c r="MCB171" s="125"/>
      <c r="MCC171" s="125"/>
      <c r="MCD171" s="125"/>
      <c r="MCE171" s="125"/>
      <c r="MCF171" s="125"/>
      <c r="MCG171" s="125"/>
      <c r="MCH171" s="125"/>
      <c r="MCI171" s="125"/>
      <c r="MCJ171" s="125"/>
      <c r="MCK171" s="125"/>
      <c r="MCL171" s="125"/>
      <c r="MCM171" s="125"/>
      <c r="MCN171" s="125"/>
      <c r="MCO171" s="125"/>
      <c r="MCP171" s="125"/>
      <c r="MCQ171" s="125"/>
      <c r="MCR171" s="125"/>
      <c r="MCS171" s="125"/>
      <c r="MCT171" s="125"/>
      <c r="MCU171" s="125"/>
      <c r="MCV171" s="125"/>
      <c r="MCW171" s="125"/>
      <c r="MCX171" s="125"/>
      <c r="MCY171" s="125"/>
      <c r="MCZ171" s="125"/>
      <c r="MDA171" s="125"/>
      <c r="MDB171" s="125"/>
      <c r="MDC171" s="125"/>
      <c r="MDD171" s="125"/>
      <c r="MDE171" s="125"/>
      <c r="MDF171" s="125"/>
      <c r="MDG171" s="125"/>
      <c r="MDH171" s="125"/>
      <c r="MDI171" s="125"/>
      <c r="MDJ171" s="125"/>
      <c r="MDK171" s="125"/>
      <c r="MDL171" s="125"/>
      <c r="MDM171" s="125"/>
      <c r="MDN171" s="125"/>
      <c r="MDO171" s="125"/>
      <c r="MDP171" s="125"/>
      <c r="MDQ171" s="125"/>
      <c r="MDR171" s="125"/>
      <c r="MDS171" s="125"/>
      <c r="MDT171" s="125"/>
      <c r="MDU171" s="125"/>
      <c r="MDV171" s="125"/>
      <c r="MDW171" s="125"/>
      <c r="MDX171" s="125"/>
      <c r="MDY171" s="125"/>
      <c r="MDZ171" s="125"/>
      <c r="MEA171" s="125"/>
      <c r="MEB171" s="125"/>
      <c r="MEC171" s="125"/>
      <c r="MED171" s="125"/>
      <c r="MEE171" s="125"/>
      <c r="MEF171" s="125"/>
      <c r="MEG171" s="125"/>
      <c r="MEH171" s="125"/>
      <c r="MEI171" s="125"/>
      <c r="MEJ171" s="125"/>
      <c r="MEK171" s="125"/>
      <c r="MEL171" s="125"/>
      <c r="MEM171" s="125"/>
      <c r="MEN171" s="125"/>
      <c r="MEO171" s="125"/>
      <c r="MEP171" s="125"/>
      <c r="MEQ171" s="125"/>
      <c r="MER171" s="125"/>
      <c r="MES171" s="125"/>
      <c r="MET171" s="125"/>
      <c r="MEU171" s="125"/>
      <c r="MEV171" s="125"/>
      <c r="MEW171" s="125"/>
      <c r="MEX171" s="125"/>
      <c r="MEY171" s="125"/>
      <c r="MEZ171" s="125"/>
      <c r="MFA171" s="125"/>
      <c r="MFB171" s="125"/>
      <c r="MFC171" s="125"/>
      <c r="MFD171" s="125"/>
      <c r="MFE171" s="125"/>
      <c r="MFF171" s="125"/>
      <c r="MFG171" s="125"/>
      <c r="MFH171" s="125"/>
      <c r="MFI171" s="125"/>
      <c r="MFJ171" s="125"/>
      <c r="MFK171" s="125"/>
      <c r="MFL171" s="125"/>
      <c r="MFM171" s="125"/>
      <c r="MFN171" s="125"/>
      <c r="MFO171" s="125"/>
      <c r="MFP171" s="125"/>
      <c r="MFQ171" s="125"/>
      <c r="MFR171" s="125"/>
      <c r="MFS171" s="125"/>
      <c r="MFT171" s="125"/>
      <c r="MFU171" s="125"/>
      <c r="MFV171" s="125"/>
      <c r="MFW171" s="125"/>
      <c r="MFX171" s="125"/>
      <c r="MFY171" s="125"/>
      <c r="MFZ171" s="125"/>
      <c r="MGA171" s="125"/>
      <c r="MGB171" s="125"/>
      <c r="MGC171" s="125"/>
      <c r="MGD171" s="125"/>
      <c r="MGE171" s="125"/>
      <c r="MGF171" s="125"/>
      <c r="MGG171" s="125"/>
      <c r="MGH171" s="125"/>
      <c r="MGI171" s="125"/>
      <c r="MGJ171" s="125"/>
      <c r="MGK171" s="125"/>
      <c r="MGL171" s="125"/>
      <c r="MGM171" s="125"/>
      <c r="MGN171" s="125"/>
      <c r="MGO171" s="125"/>
      <c r="MGP171" s="125"/>
      <c r="MGQ171" s="125"/>
      <c r="MGR171" s="125"/>
      <c r="MGS171" s="125"/>
      <c r="MGT171" s="125"/>
      <c r="MGU171" s="125"/>
      <c r="MGV171" s="125"/>
      <c r="MGW171" s="125"/>
      <c r="MGX171" s="125"/>
      <c r="MGY171" s="125"/>
      <c r="MGZ171" s="125"/>
      <c r="MHA171" s="125"/>
      <c r="MHB171" s="125"/>
      <c r="MHC171" s="125"/>
      <c r="MHD171" s="125"/>
      <c r="MHE171" s="125"/>
      <c r="MHF171" s="125"/>
      <c r="MHG171" s="125"/>
      <c r="MHH171" s="125"/>
      <c r="MHI171" s="125"/>
      <c r="MHJ171" s="125"/>
      <c r="MHK171" s="125"/>
      <c r="MHL171" s="125"/>
      <c r="MHM171" s="125"/>
      <c r="MHN171" s="125"/>
      <c r="MHO171" s="125"/>
      <c r="MHP171" s="125"/>
      <c r="MHQ171" s="125"/>
      <c r="MHR171" s="125"/>
      <c r="MHS171" s="125"/>
      <c r="MHT171" s="125"/>
      <c r="MHU171" s="125"/>
      <c r="MHV171" s="125"/>
      <c r="MHW171" s="125"/>
      <c r="MHX171" s="125"/>
      <c r="MHY171" s="125"/>
      <c r="MHZ171" s="125"/>
      <c r="MIA171" s="125"/>
      <c r="MIB171" s="125"/>
      <c r="MIC171" s="125"/>
      <c r="MID171" s="125"/>
      <c r="MIE171" s="125"/>
      <c r="MIF171" s="125"/>
      <c r="MIG171" s="125"/>
      <c r="MIH171" s="125"/>
      <c r="MII171" s="125"/>
      <c r="MIJ171" s="125"/>
      <c r="MIK171" s="125"/>
      <c r="MIL171" s="125"/>
      <c r="MIM171" s="125"/>
      <c r="MIN171" s="125"/>
      <c r="MIO171" s="125"/>
      <c r="MIP171" s="125"/>
      <c r="MIQ171" s="125"/>
      <c r="MIR171" s="125"/>
      <c r="MIS171" s="125"/>
      <c r="MIT171" s="125"/>
      <c r="MIU171" s="125"/>
      <c r="MIV171" s="125"/>
      <c r="MIW171" s="125"/>
      <c r="MIX171" s="125"/>
      <c r="MIY171" s="125"/>
      <c r="MIZ171" s="125"/>
      <c r="MJA171" s="125"/>
      <c r="MJB171" s="125"/>
      <c r="MJC171" s="125"/>
      <c r="MJD171" s="125"/>
      <c r="MJE171" s="125"/>
      <c r="MJF171" s="125"/>
      <c r="MJG171" s="125"/>
      <c r="MJH171" s="125"/>
      <c r="MJI171" s="125"/>
      <c r="MJJ171" s="125"/>
      <c r="MJK171" s="125"/>
      <c r="MJL171" s="125"/>
      <c r="MJM171" s="125"/>
      <c r="MJN171" s="125"/>
      <c r="MJO171" s="125"/>
      <c r="MJP171" s="125"/>
      <c r="MJQ171" s="125"/>
      <c r="MJR171" s="125"/>
      <c r="MJS171" s="125"/>
      <c r="MJT171" s="125"/>
      <c r="MJU171" s="125"/>
      <c r="MJV171" s="125"/>
      <c r="MJW171" s="125"/>
      <c r="MJX171" s="125"/>
      <c r="MJY171" s="125"/>
      <c r="MJZ171" s="125"/>
      <c r="MKA171" s="125"/>
      <c r="MKB171" s="125"/>
      <c r="MKC171" s="125"/>
      <c r="MKD171" s="125"/>
      <c r="MKE171" s="125"/>
      <c r="MKF171" s="125"/>
      <c r="MKG171" s="125"/>
      <c r="MKH171" s="125"/>
      <c r="MKI171" s="125"/>
      <c r="MKJ171" s="125"/>
      <c r="MKK171" s="125"/>
      <c r="MKL171" s="125"/>
      <c r="MKM171" s="125"/>
      <c r="MKN171" s="125"/>
      <c r="MKO171" s="125"/>
      <c r="MKP171" s="125"/>
      <c r="MKQ171" s="125"/>
      <c r="MKR171" s="125"/>
      <c r="MKS171" s="125"/>
      <c r="MKT171" s="125"/>
      <c r="MKU171" s="125"/>
      <c r="MKV171" s="125"/>
      <c r="MKW171" s="125"/>
      <c r="MKX171" s="125"/>
      <c r="MKY171" s="125"/>
      <c r="MKZ171" s="125"/>
      <c r="MLA171" s="125"/>
      <c r="MLB171" s="125"/>
      <c r="MLC171" s="125"/>
      <c r="MLD171" s="125"/>
      <c r="MLE171" s="125"/>
      <c r="MLF171" s="125"/>
      <c r="MLG171" s="125"/>
      <c r="MLH171" s="125"/>
      <c r="MLI171" s="125"/>
      <c r="MLJ171" s="125"/>
      <c r="MLK171" s="125"/>
      <c r="MLL171" s="125"/>
      <c r="MLM171" s="125"/>
      <c r="MLN171" s="125"/>
      <c r="MLO171" s="125"/>
      <c r="MLP171" s="125"/>
      <c r="MLQ171" s="125"/>
      <c r="MLR171" s="125"/>
      <c r="MLS171" s="125"/>
      <c r="MLT171" s="125"/>
      <c r="MLU171" s="125"/>
      <c r="MLV171" s="125"/>
      <c r="MLW171" s="125"/>
      <c r="MLX171" s="125"/>
      <c r="MLY171" s="125"/>
      <c r="MLZ171" s="125"/>
      <c r="MMA171" s="125"/>
      <c r="MMB171" s="125"/>
      <c r="MMC171" s="125"/>
      <c r="MMD171" s="125"/>
      <c r="MME171" s="125"/>
      <c r="MMF171" s="125"/>
      <c r="MMG171" s="125"/>
      <c r="MMH171" s="125"/>
      <c r="MMI171" s="125"/>
      <c r="MMJ171" s="125"/>
      <c r="MMK171" s="125"/>
      <c r="MML171" s="125"/>
      <c r="MMM171" s="125"/>
      <c r="MMN171" s="125"/>
      <c r="MMO171" s="125"/>
      <c r="MMP171" s="125"/>
      <c r="MMQ171" s="125"/>
      <c r="MMR171" s="125"/>
      <c r="MMS171" s="125"/>
      <c r="MMT171" s="125"/>
      <c r="MMU171" s="125"/>
      <c r="MMV171" s="125"/>
      <c r="MMW171" s="125"/>
      <c r="MMX171" s="125"/>
      <c r="MMY171" s="125"/>
      <c r="MMZ171" s="125"/>
      <c r="MNA171" s="125"/>
      <c r="MNB171" s="125"/>
      <c r="MNC171" s="125"/>
      <c r="MND171" s="125"/>
      <c r="MNE171" s="125"/>
      <c r="MNF171" s="125"/>
      <c r="MNG171" s="125"/>
      <c r="MNH171" s="125"/>
      <c r="MNI171" s="125"/>
      <c r="MNJ171" s="125"/>
      <c r="MNK171" s="125"/>
      <c r="MNL171" s="125"/>
      <c r="MNM171" s="125"/>
      <c r="MNN171" s="125"/>
      <c r="MNO171" s="125"/>
      <c r="MNP171" s="125"/>
      <c r="MNQ171" s="125"/>
      <c r="MNR171" s="125"/>
      <c r="MNS171" s="125"/>
      <c r="MNT171" s="125"/>
      <c r="MNU171" s="125"/>
      <c r="MNV171" s="125"/>
      <c r="MNW171" s="125"/>
      <c r="MNX171" s="125"/>
      <c r="MNY171" s="125"/>
      <c r="MNZ171" s="125"/>
      <c r="MOA171" s="125"/>
      <c r="MOB171" s="125"/>
      <c r="MOC171" s="125"/>
      <c r="MOD171" s="125"/>
      <c r="MOE171" s="125"/>
      <c r="MOF171" s="125"/>
      <c r="MOG171" s="125"/>
      <c r="MOH171" s="125"/>
      <c r="MOI171" s="125"/>
      <c r="MOJ171" s="125"/>
      <c r="MOK171" s="125"/>
      <c r="MOL171" s="125"/>
      <c r="MOM171" s="125"/>
      <c r="MON171" s="125"/>
      <c r="MOO171" s="125"/>
      <c r="MOP171" s="125"/>
      <c r="MOQ171" s="125"/>
      <c r="MOR171" s="125"/>
      <c r="MOS171" s="125"/>
      <c r="MOT171" s="125"/>
      <c r="MOU171" s="125"/>
      <c r="MOV171" s="125"/>
      <c r="MOW171" s="125"/>
      <c r="MOX171" s="125"/>
      <c r="MOY171" s="125"/>
      <c r="MOZ171" s="125"/>
      <c r="MPA171" s="125"/>
      <c r="MPB171" s="125"/>
      <c r="MPC171" s="125"/>
      <c r="MPD171" s="125"/>
      <c r="MPE171" s="125"/>
      <c r="MPF171" s="125"/>
      <c r="MPG171" s="125"/>
      <c r="MPH171" s="125"/>
      <c r="MPI171" s="125"/>
      <c r="MPJ171" s="125"/>
      <c r="MPK171" s="125"/>
      <c r="MPL171" s="125"/>
      <c r="MPM171" s="125"/>
      <c r="MPN171" s="125"/>
      <c r="MPO171" s="125"/>
      <c r="MPP171" s="125"/>
      <c r="MPQ171" s="125"/>
      <c r="MPR171" s="125"/>
      <c r="MPS171" s="125"/>
      <c r="MPT171" s="125"/>
      <c r="MPU171" s="125"/>
      <c r="MPV171" s="125"/>
      <c r="MPW171" s="125"/>
      <c r="MPX171" s="125"/>
      <c r="MPY171" s="125"/>
      <c r="MPZ171" s="125"/>
      <c r="MQA171" s="125"/>
      <c r="MQB171" s="125"/>
      <c r="MQC171" s="125"/>
      <c r="MQD171" s="125"/>
      <c r="MQE171" s="125"/>
      <c r="MQF171" s="125"/>
      <c r="MQG171" s="125"/>
      <c r="MQH171" s="125"/>
      <c r="MQI171" s="125"/>
      <c r="MQJ171" s="125"/>
      <c r="MQK171" s="125"/>
      <c r="MQL171" s="125"/>
      <c r="MQM171" s="125"/>
      <c r="MQN171" s="125"/>
      <c r="MQO171" s="125"/>
      <c r="MQP171" s="125"/>
      <c r="MQQ171" s="125"/>
      <c r="MQR171" s="125"/>
      <c r="MQS171" s="125"/>
      <c r="MQT171" s="125"/>
      <c r="MQU171" s="125"/>
      <c r="MQV171" s="125"/>
      <c r="MQW171" s="125"/>
      <c r="MQX171" s="125"/>
      <c r="MQY171" s="125"/>
      <c r="MQZ171" s="125"/>
      <c r="MRA171" s="125"/>
      <c r="MRB171" s="125"/>
      <c r="MRC171" s="125"/>
      <c r="MRD171" s="125"/>
      <c r="MRE171" s="125"/>
      <c r="MRF171" s="125"/>
      <c r="MRG171" s="125"/>
      <c r="MRH171" s="125"/>
      <c r="MRI171" s="125"/>
      <c r="MRJ171" s="125"/>
      <c r="MRK171" s="125"/>
      <c r="MRL171" s="125"/>
      <c r="MRM171" s="125"/>
      <c r="MRN171" s="125"/>
      <c r="MRO171" s="125"/>
      <c r="MRP171" s="125"/>
      <c r="MRQ171" s="125"/>
      <c r="MRR171" s="125"/>
      <c r="MRS171" s="125"/>
      <c r="MRT171" s="125"/>
      <c r="MRU171" s="125"/>
      <c r="MRV171" s="125"/>
      <c r="MRW171" s="125"/>
      <c r="MRX171" s="125"/>
      <c r="MRY171" s="125"/>
      <c r="MRZ171" s="125"/>
      <c r="MSA171" s="125"/>
      <c r="MSB171" s="125"/>
      <c r="MSC171" s="125"/>
      <c r="MSD171" s="125"/>
      <c r="MSE171" s="125"/>
      <c r="MSF171" s="125"/>
      <c r="MSG171" s="125"/>
      <c r="MSH171" s="125"/>
      <c r="MSI171" s="125"/>
      <c r="MSJ171" s="125"/>
      <c r="MSK171" s="125"/>
      <c r="MSL171" s="125"/>
      <c r="MSM171" s="125"/>
      <c r="MSN171" s="125"/>
      <c r="MSO171" s="125"/>
      <c r="MSP171" s="125"/>
      <c r="MSQ171" s="125"/>
      <c r="MSR171" s="125"/>
      <c r="MSS171" s="125"/>
      <c r="MST171" s="125"/>
      <c r="MSU171" s="125"/>
      <c r="MSV171" s="125"/>
      <c r="MSW171" s="125"/>
      <c r="MSX171" s="125"/>
      <c r="MSY171" s="125"/>
      <c r="MSZ171" s="125"/>
      <c r="MTA171" s="125"/>
      <c r="MTB171" s="125"/>
      <c r="MTC171" s="125"/>
      <c r="MTD171" s="125"/>
      <c r="MTE171" s="125"/>
      <c r="MTF171" s="125"/>
      <c r="MTG171" s="125"/>
      <c r="MTH171" s="125"/>
      <c r="MTI171" s="125"/>
      <c r="MTJ171" s="125"/>
      <c r="MTK171" s="125"/>
      <c r="MTL171" s="125"/>
      <c r="MTM171" s="125"/>
      <c r="MTN171" s="125"/>
      <c r="MTO171" s="125"/>
      <c r="MTP171" s="125"/>
      <c r="MTQ171" s="125"/>
      <c r="MTR171" s="125"/>
      <c r="MTS171" s="125"/>
      <c r="MTT171" s="125"/>
      <c r="MTU171" s="125"/>
      <c r="MTV171" s="125"/>
      <c r="MTW171" s="125"/>
      <c r="MTX171" s="125"/>
      <c r="MTY171" s="125"/>
      <c r="MTZ171" s="125"/>
      <c r="MUA171" s="125"/>
      <c r="MUB171" s="125"/>
      <c r="MUC171" s="125"/>
      <c r="MUD171" s="125"/>
      <c r="MUE171" s="125"/>
      <c r="MUF171" s="125"/>
      <c r="MUG171" s="125"/>
      <c r="MUH171" s="125"/>
      <c r="MUI171" s="125"/>
      <c r="MUJ171" s="125"/>
      <c r="MUK171" s="125"/>
      <c r="MUL171" s="125"/>
      <c r="MUM171" s="125"/>
      <c r="MUN171" s="125"/>
      <c r="MUO171" s="125"/>
      <c r="MUP171" s="125"/>
      <c r="MUQ171" s="125"/>
      <c r="MUR171" s="125"/>
      <c r="MUS171" s="125"/>
      <c r="MUT171" s="125"/>
      <c r="MUU171" s="125"/>
      <c r="MUV171" s="125"/>
      <c r="MUW171" s="125"/>
      <c r="MUX171" s="125"/>
      <c r="MUY171" s="125"/>
      <c r="MUZ171" s="125"/>
      <c r="MVA171" s="125"/>
      <c r="MVB171" s="125"/>
      <c r="MVC171" s="125"/>
      <c r="MVD171" s="125"/>
      <c r="MVE171" s="125"/>
      <c r="MVF171" s="125"/>
      <c r="MVG171" s="125"/>
      <c r="MVH171" s="125"/>
      <c r="MVI171" s="125"/>
      <c r="MVJ171" s="125"/>
      <c r="MVK171" s="125"/>
      <c r="MVL171" s="125"/>
      <c r="MVM171" s="125"/>
      <c r="MVN171" s="125"/>
      <c r="MVO171" s="125"/>
      <c r="MVP171" s="125"/>
      <c r="MVQ171" s="125"/>
      <c r="MVR171" s="125"/>
      <c r="MVS171" s="125"/>
      <c r="MVT171" s="125"/>
      <c r="MVU171" s="125"/>
      <c r="MVV171" s="125"/>
      <c r="MVW171" s="125"/>
      <c r="MVX171" s="125"/>
      <c r="MVY171" s="125"/>
      <c r="MVZ171" s="125"/>
      <c r="MWA171" s="125"/>
      <c r="MWB171" s="125"/>
      <c r="MWC171" s="125"/>
      <c r="MWD171" s="125"/>
      <c r="MWE171" s="125"/>
      <c r="MWF171" s="125"/>
      <c r="MWG171" s="125"/>
      <c r="MWH171" s="125"/>
      <c r="MWI171" s="125"/>
      <c r="MWJ171" s="125"/>
      <c r="MWK171" s="125"/>
      <c r="MWL171" s="125"/>
      <c r="MWM171" s="125"/>
      <c r="MWN171" s="125"/>
      <c r="MWO171" s="125"/>
      <c r="MWP171" s="125"/>
      <c r="MWQ171" s="125"/>
      <c r="MWR171" s="125"/>
      <c r="MWS171" s="125"/>
      <c r="MWT171" s="125"/>
      <c r="MWU171" s="125"/>
      <c r="MWV171" s="125"/>
      <c r="MWW171" s="125"/>
      <c r="MWX171" s="125"/>
      <c r="MWY171" s="125"/>
      <c r="MWZ171" s="125"/>
      <c r="MXA171" s="125"/>
      <c r="MXB171" s="125"/>
      <c r="MXC171" s="125"/>
      <c r="MXD171" s="125"/>
      <c r="MXE171" s="125"/>
      <c r="MXF171" s="125"/>
      <c r="MXG171" s="125"/>
      <c r="MXH171" s="125"/>
      <c r="MXI171" s="125"/>
      <c r="MXJ171" s="125"/>
      <c r="MXK171" s="125"/>
      <c r="MXL171" s="125"/>
      <c r="MXM171" s="125"/>
      <c r="MXN171" s="125"/>
      <c r="MXO171" s="125"/>
      <c r="MXP171" s="125"/>
      <c r="MXQ171" s="125"/>
      <c r="MXR171" s="125"/>
      <c r="MXS171" s="125"/>
      <c r="MXT171" s="125"/>
      <c r="MXU171" s="125"/>
      <c r="MXV171" s="125"/>
      <c r="MXW171" s="125"/>
      <c r="MXX171" s="125"/>
      <c r="MXY171" s="125"/>
      <c r="MXZ171" s="125"/>
      <c r="MYA171" s="125"/>
      <c r="MYB171" s="125"/>
      <c r="MYC171" s="125"/>
      <c r="MYD171" s="125"/>
      <c r="MYE171" s="125"/>
      <c r="MYF171" s="125"/>
      <c r="MYG171" s="125"/>
      <c r="MYH171" s="125"/>
      <c r="MYI171" s="125"/>
      <c r="MYJ171" s="125"/>
      <c r="MYK171" s="125"/>
      <c r="MYL171" s="125"/>
      <c r="MYM171" s="125"/>
      <c r="MYN171" s="125"/>
      <c r="MYO171" s="125"/>
      <c r="MYP171" s="125"/>
      <c r="MYQ171" s="125"/>
      <c r="MYR171" s="125"/>
      <c r="MYS171" s="125"/>
      <c r="MYT171" s="125"/>
      <c r="MYU171" s="125"/>
      <c r="MYV171" s="125"/>
      <c r="MYW171" s="125"/>
      <c r="MYX171" s="125"/>
      <c r="MYY171" s="125"/>
      <c r="MYZ171" s="125"/>
      <c r="MZA171" s="125"/>
      <c r="MZB171" s="125"/>
      <c r="MZC171" s="125"/>
      <c r="MZD171" s="125"/>
      <c r="MZE171" s="125"/>
      <c r="MZF171" s="125"/>
      <c r="MZG171" s="125"/>
      <c r="MZH171" s="125"/>
      <c r="MZI171" s="125"/>
      <c r="MZJ171" s="125"/>
      <c r="MZK171" s="125"/>
      <c r="MZL171" s="125"/>
      <c r="MZM171" s="125"/>
      <c r="MZN171" s="125"/>
      <c r="MZO171" s="125"/>
      <c r="MZP171" s="125"/>
      <c r="MZQ171" s="125"/>
      <c r="MZR171" s="125"/>
      <c r="MZS171" s="125"/>
      <c r="MZT171" s="125"/>
      <c r="MZU171" s="125"/>
      <c r="MZV171" s="125"/>
      <c r="MZW171" s="125"/>
      <c r="MZX171" s="125"/>
      <c r="MZY171" s="125"/>
      <c r="MZZ171" s="125"/>
      <c r="NAA171" s="125"/>
      <c r="NAB171" s="125"/>
      <c r="NAC171" s="125"/>
      <c r="NAD171" s="125"/>
      <c r="NAE171" s="125"/>
      <c r="NAF171" s="125"/>
      <c r="NAG171" s="125"/>
      <c r="NAH171" s="125"/>
      <c r="NAI171" s="125"/>
      <c r="NAJ171" s="125"/>
      <c r="NAK171" s="125"/>
      <c r="NAL171" s="125"/>
      <c r="NAM171" s="125"/>
      <c r="NAN171" s="125"/>
      <c r="NAO171" s="125"/>
      <c r="NAP171" s="125"/>
      <c r="NAQ171" s="125"/>
      <c r="NAR171" s="125"/>
      <c r="NAS171" s="125"/>
      <c r="NAT171" s="125"/>
      <c r="NAU171" s="125"/>
      <c r="NAV171" s="125"/>
      <c r="NAW171" s="125"/>
      <c r="NAX171" s="125"/>
      <c r="NAY171" s="125"/>
      <c r="NAZ171" s="125"/>
      <c r="NBA171" s="125"/>
      <c r="NBB171" s="125"/>
      <c r="NBC171" s="125"/>
      <c r="NBD171" s="125"/>
      <c r="NBE171" s="125"/>
      <c r="NBF171" s="125"/>
      <c r="NBG171" s="125"/>
      <c r="NBH171" s="125"/>
      <c r="NBI171" s="125"/>
      <c r="NBJ171" s="125"/>
      <c r="NBK171" s="125"/>
      <c r="NBL171" s="125"/>
      <c r="NBM171" s="125"/>
      <c r="NBN171" s="125"/>
      <c r="NBO171" s="125"/>
      <c r="NBP171" s="125"/>
      <c r="NBQ171" s="125"/>
      <c r="NBR171" s="125"/>
      <c r="NBS171" s="125"/>
      <c r="NBT171" s="125"/>
      <c r="NBU171" s="125"/>
      <c r="NBV171" s="125"/>
      <c r="NBW171" s="125"/>
      <c r="NBX171" s="125"/>
      <c r="NBY171" s="125"/>
      <c r="NBZ171" s="125"/>
      <c r="NCA171" s="125"/>
      <c r="NCB171" s="125"/>
      <c r="NCC171" s="125"/>
      <c r="NCD171" s="125"/>
      <c r="NCE171" s="125"/>
      <c r="NCF171" s="125"/>
      <c r="NCG171" s="125"/>
      <c r="NCH171" s="125"/>
      <c r="NCI171" s="125"/>
      <c r="NCJ171" s="125"/>
      <c r="NCK171" s="125"/>
      <c r="NCL171" s="125"/>
      <c r="NCM171" s="125"/>
      <c r="NCN171" s="125"/>
      <c r="NCO171" s="125"/>
      <c r="NCP171" s="125"/>
      <c r="NCQ171" s="125"/>
      <c r="NCR171" s="125"/>
      <c r="NCS171" s="125"/>
      <c r="NCT171" s="125"/>
      <c r="NCU171" s="125"/>
      <c r="NCV171" s="125"/>
      <c r="NCW171" s="125"/>
      <c r="NCX171" s="125"/>
      <c r="NCY171" s="125"/>
      <c r="NCZ171" s="125"/>
      <c r="NDA171" s="125"/>
      <c r="NDB171" s="125"/>
      <c r="NDC171" s="125"/>
      <c r="NDD171" s="125"/>
      <c r="NDE171" s="125"/>
      <c r="NDF171" s="125"/>
      <c r="NDG171" s="125"/>
      <c r="NDH171" s="125"/>
      <c r="NDI171" s="125"/>
      <c r="NDJ171" s="125"/>
      <c r="NDK171" s="125"/>
      <c r="NDL171" s="125"/>
      <c r="NDM171" s="125"/>
      <c r="NDN171" s="125"/>
      <c r="NDO171" s="125"/>
      <c r="NDP171" s="125"/>
      <c r="NDQ171" s="125"/>
      <c r="NDR171" s="125"/>
      <c r="NDS171" s="125"/>
      <c r="NDT171" s="125"/>
      <c r="NDU171" s="125"/>
      <c r="NDV171" s="125"/>
      <c r="NDW171" s="125"/>
      <c r="NDX171" s="125"/>
      <c r="NDY171" s="125"/>
      <c r="NDZ171" s="125"/>
      <c r="NEA171" s="125"/>
      <c r="NEB171" s="125"/>
      <c r="NEC171" s="125"/>
      <c r="NED171" s="125"/>
      <c r="NEE171" s="125"/>
      <c r="NEF171" s="125"/>
      <c r="NEG171" s="125"/>
      <c r="NEH171" s="125"/>
      <c r="NEI171" s="125"/>
      <c r="NEJ171" s="125"/>
      <c r="NEK171" s="125"/>
      <c r="NEL171" s="125"/>
      <c r="NEM171" s="125"/>
      <c r="NEN171" s="125"/>
      <c r="NEO171" s="125"/>
      <c r="NEP171" s="125"/>
      <c r="NEQ171" s="125"/>
      <c r="NER171" s="125"/>
      <c r="NES171" s="125"/>
      <c r="NET171" s="125"/>
      <c r="NEU171" s="125"/>
      <c r="NEV171" s="125"/>
      <c r="NEW171" s="125"/>
      <c r="NEX171" s="125"/>
      <c r="NEY171" s="125"/>
      <c r="NEZ171" s="125"/>
      <c r="NFA171" s="125"/>
      <c r="NFB171" s="125"/>
      <c r="NFC171" s="125"/>
      <c r="NFD171" s="125"/>
      <c r="NFE171" s="125"/>
      <c r="NFF171" s="125"/>
      <c r="NFG171" s="125"/>
      <c r="NFH171" s="125"/>
      <c r="NFI171" s="125"/>
      <c r="NFJ171" s="125"/>
      <c r="NFK171" s="125"/>
      <c r="NFL171" s="125"/>
      <c r="NFM171" s="125"/>
      <c r="NFN171" s="125"/>
      <c r="NFO171" s="125"/>
      <c r="NFP171" s="125"/>
      <c r="NFQ171" s="125"/>
      <c r="NFR171" s="125"/>
      <c r="NFS171" s="125"/>
      <c r="NFT171" s="125"/>
      <c r="NFU171" s="125"/>
      <c r="NFV171" s="125"/>
      <c r="NFW171" s="125"/>
      <c r="NFX171" s="125"/>
      <c r="NFY171" s="125"/>
      <c r="NFZ171" s="125"/>
      <c r="NGA171" s="125"/>
      <c r="NGB171" s="125"/>
      <c r="NGC171" s="125"/>
      <c r="NGD171" s="125"/>
      <c r="NGE171" s="125"/>
      <c r="NGF171" s="125"/>
      <c r="NGG171" s="125"/>
      <c r="NGH171" s="125"/>
      <c r="NGI171" s="125"/>
      <c r="NGJ171" s="125"/>
      <c r="NGK171" s="125"/>
      <c r="NGL171" s="125"/>
      <c r="NGM171" s="125"/>
      <c r="NGN171" s="125"/>
      <c r="NGO171" s="125"/>
      <c r="NGP171" s="125"/>
      <c r="NGQ171" s="125"/>
      <c r="NGR171" s="125"/>
      <c r="NGS171" s="125"/>
      <c r="NGT171" s="125"/>
      <c r="NGU171" s="125"/>
      <c r="NGV171" s="125"/>
      <c r="NGW171" s="125"/>
      <c r="NGX171" s="125"/>
      <c r="NGY171" s="125"/>
      <c r="NGZ171" s="125"/>
      <c r="NHA171" s="125"/>
      <c r="NHB171" s="125"/>
      <c r="NHC171" s="125"/>
      <c r="NHD171" s="125"/>
      <c r="NHE171" s="125"/>
      <c r="NHF171" s="125"/>
      <c r="NHG171" s="125"/>
      <c r="NHH171" s="125"/>
      <c r="NHI171" s="125"/>
      <c r="NHJ171" s="125"/>
      <c r="NHK171" s="125"/>
      <c r="NHL171" s="125"/>
      <c r="NHM171" s="125"/>
      <c r="NHN171" s="125"/>
      <c r="NHO171" s="125"/>
      <c r="NHP171" s="125"/>
      <c r="NHQ171" s="125"/>
      <c r="NHR171" s="125"/>
      <c r="NHS171" s="125"/>
      <c r="NHT171" s="125"/>
      <c r="NHU171" s="125"/>
      <c r="NHV171" s="125"/>
      <c r="NHW171" s="125"/>
      <c r="NHX171" s="125"/>
      <c r="NHY171" s="125"/>
      <c r="NHZ171" s="125"/>
      <c r="NIA171" s="125"/>
      <c r="NIB171" s="125"/>
      <c r="NIC171" s="125"/>
      <c r="NID171" s="125"/>
      <c r="NIE171" s="125"/>
      <c r="NIF171" s="125"/>
      <c r="NIG171" s="125"/>
      <c r="NIH171" s="125"/>
      <c r="NII171" s="125"/>
      <c r="NIJ171" s="125"/>
      <c r="NIK171" s="125"/>
      <c r="NIL171" s="125"/>
      <c r="NIM171" s="125"/>
      <c r="NIN171" s="125"/>
      <c r="NIO171" s="125"/>
      <c r="NIP171" s="125"/>
      <c r="NIQ171" s="125"/>
      <c r="NIR171" s="125"/>
      <c r="NIS171" s="125"/>
      <c r="NIT171" s="125"/>
      <c r="NIU171" s="125"/>
      <c r="NIV171" s="125"/>
      <c r="NIW171" s="125"/>
      <c r="NIX171" s="125"/>
      <c r="NIY171" s="125"/>
      <c r="NIZ171" s="125"/>
      <c r="NJA171" s="125"/>
      <c r="NJB171" s="125"/>
      <c r="NJC171" s="125"/>
      <c r="NJD171" s="125"/>
      <c r="NJE171" s="125"/>
      <c r="NJF171" s="125"/>
      <c r="NJG171" s="125"/>
      <c r="NJH171" s="125"/>
      <c r="NJI171" s="125"/>
      <c r="NJJ171" s="125"/>
      <c r="NJK171" s="125"/>
      <c r="NJL171" s="125"/>
      <c r="NJM171" s="125"/>
      <c r="NJN171" s="125"/>
      <c r="NJO171" s="125"/>
      <c r="NJP171" s="125"/>
      <c r="NJQ171" s="125"/>
      <c r="NJR171" s="125"/>
      <c r="NJS171" s="125"/>
      <c r="NJT171" s="125"/>
      <c r="NJU171" s="125"/>
      <c r="NJV171" s="125"/>
      <c r="NJW171" s="125"/>
      <c r="NJX171" s="125"/>
      <c r="NJY171" s="125"/>
      <c r="NJZ171" s="125"/>
      <c r="NKA171" s="125"/>
      <c r="NKB171" s="125"/>
      <c r="NKC171" s="125"/>
      <c r="NKD171" s="125"/>
      <c r="NKE171" s="125"/>
      <c r="NKF171" s="125"/>
      <c r="NKG171" s="125"/>
      <c r="NKH171" s="125"/>
      <c r="NKI171" s="125"/>
      <c r="NKJ171" s="125"/>
      <c r="NKK171" s="125"/>
      <c r="NKL171" s="125"/>
      <c r="NKM171" s="125"/>
      <c r="NKN171" s="125"/>
      <c r="NKO171" s="125"/>
      <c r="NKP171" s="125"/>
      <c r="NKQ171" s="125"/>
      <c r="NKR171" s="125"/>
      <c r="NKS171" s="125"/>
      <c r="NKT171" s="125"/>
      <c r="NKU171" s="125"/>
      <c r="NKV171" s="125"/>
      <c r="NKW171" s="125"/>
      <c r="NKX171" s="125"/>
      <c r="NKY171" s="125"/>
      <c r="NKZ171" s="125"/>
      <c r="NLA171" s="125"/>
      <c r="NLB171" s="125"/>
      <c r="NLC171" s="125"/>
      <c r="NLD171" s="125"/>
      <c r="NLE171" s="125"/>
      <c r="NLF171" s="125"/>
      <c r="NLG171" s="125"/>
      <c r="NLH171" s="125"/>
      <c r="NLI171" s="125"/>
      <c r="NLJ171" s="125"/>
      <c r="NLK171" s="125"/>
      <c r="NLL171" s="125"/>
      <c r="NLM171" s="125"/>
      <c r="NLN171" s="125"/>
      <c r="NLO171" s="125"/>
      <c r="NLP171" s="125"/>
      <c r="NLQ171" s="125"/>
      <c r="NLR171" s="125"/>
      <c r="NLS171" s="125"/>
      <c r="NLT171" s="125"/>
      <c r="NLU171" s="125"/>
      <c r="NLV171" s="125"/>
      <c r="NLW171" s="125"/>
      <c r="NLX171" s="125"/>
      <c r="NLY171" s="125"/>
      <c r="NLZ171" s="125"/>
      <c r="NMA171" s="125"/>
      <c r="NMB171" s="125"/>
      <c r="NMC171" s="125"/>
      <c r="NMD171" s="125"/>
      <c r="NME171" s="125"/>
      <c r="NMF171" s="125"/>
      <c r="NMG171" s="125"/>
      <c r="NMH171" s="125"/>
      <c r="NMI171" s="125"/>
      <c r="NMJ171" s="125"/>
      <c r="NMK171" s="125"/>
      <c r="NML171" s="125"/>
      <c r="NMM171" s="125"/>
      <c r="NMN171" s="125"/>
      <c r="NMO171" s="125"/>
      <c r="NMP171" s="125"/>
      <c r="NMQ171" s="125"/>
      <c r="NMR171" s="125"/>
      <c r="NMS171" s="125"/>
      <c r="NMT171" s="125"/>
      <c r="NMU171" s="125"/>
      <c r="NMV171" s="125"/>
      <c r="NMW171" s="125"/>
      <c r="NMX171" s="125"/>
      <c r="NMY171" s="125"/>
      <c r="NMZ171" s="125"/>
      <c r="NNA171" s="125"/>
      <c r="NNB171" s="125"/>
      <c r="NNC171" s="125"/>
      <c r="NND171" s="125"/>
      <c r="NNE171" s="125"/>
      <c r="NNF171" s="125"/>
      <c r="NNG171" s="125"/>
      <c r="NNH171" s="125"/>
      <c r="NNI171" s="125"/>
      <c r="NNJ171" s="125"/>
      <c r="NNK171" s="125"/>
      <c r="NNL171" s="125"/>
      <c r="NNM171" s="125"/>
      <c r="NNN171" s="125"/>
      <c r="NNO171" s="125"/>
      <c r="NNP171" s="125"/>
      <c r="NNQ171" s="125"/>
      <c r="NNR171" s="125"/>
      <c r="NNS171" s="125"/>
      <c r="NNT171" s="125"/>
      <c r="NNU171" s="125"/>
      <c r="NNV171" s="125"/>
      <c r="NNW171" s="125"/>
      <c r="NNX171" s="125"/>
      <c r="NNY171" s="125"/>
      <c r="NNZ171" s="125"/>
      <c r="NOA171" s="125"/>
      <c r="NOB171" s="125"/>
      <c r="NOC171" s="125"/>
      <c r="NOD171" s="125"/>
      <c r="NOE171" s="125"/>
      <c r="NOF171" s="125"/>
      <c r="NOG171" s="125"/>
      <c r="NOH171" s="125"/>
      <c r="NOI171" s="125"/>
      <c r="NOJ171" s="125"/>
      <c r="NOK171" s="125"/>
      <c r="NOL171" s="125"/>
      <c r="NOM171" s="125"/>
      <c r="NON171" s="125"/>
      <c r="NOO171" s="125"/>
      <c r="NOP171" s="125"/>
      <c r="NOQ171" s="125"/>
      <c r="NOR171" s="125"/>
      <c r="NOS171" s="125"/>
      <c r="NOT171" s="125"/>
      <c r="NOU171" s="125"/>
      <c r="NOV171" s="125"/>
      <c r="NOW171" s="125"/>
      <c r="NOX171" s="125"/>
      <c r="NOY171" s="125"/>
      <c r="NOZ171" s="125"/>
      <c r="NPA171" s="125"/>
      <c r="NPB171" s="125"/>
      <c r="NPC171" s="125"/>
      <c r="NPD171" s="125"/>
      <c r="NPE171" s="125"/>
      <c r="NPF171" s="125"/>
      <c r="NPG171" s="125"/>
      <c r="NPH171" s="125"/>
      <c r="NPI171" s="125"/>
      <c r="NPJ171" s="125"/>
      <c r="NPK171" s="125"/>
      <c r="NPL171" s="125"/>
      <c r="NPM171" s="125"/>
      <c r="NPN171" s="125"/>
      <c r="NPO171" s="125"/>
      <c r="NPP171" s="125"/>
      <c r="NPQ171" s="125"/>
      <c r="NPR171" s="125"/>
      <c r="NPS171" s="125"/>
      <c r="NPT171" s="125"/>
      <c r="NPU171" s="125"/>
      <c r="NPV171" s="125"/>
      <c r="NPW171" s="125"/>
      <c r="NPX171" s="125"/>
      <c r="NPY171" s="125"/>
      <c r="NPZ171" s="125"/>
      <c r="NQA171" s="125"/>
      <c r="NQB171" s="125"/>
      <c r="NQC171" s="125"/>
      <c r="NQD171" s="125"/>
      <c r="NQE171" s="125"/>
      <c r="NQF171" s="125"/>
      <c r="NQG171" s="125"/>
      <c r="NQH171" s="125"/>
      <c r="NQI171" s="125"/>
      <c r="NQJ171" s="125"/>
      <c r="NQK171" s="125"/>
      <c r="NQL171" s="125"/>
      <c r="NQM171" s="125"/>
      <c r="NQN171" s="125"/>
      <c r="NQO171" s="125"/>
      <c r="NQP171" s="125"/>
      <c r="NQQ171" s="125"/>
      <c r="NQR171" s="125"/>
      <c r="NQS171" s="125"/>
      <c r="NQT171" s="125"/>
      <c r="NQU171" s="125"/>
      <c r="NQV171" s="125"/>
      <c r="NQW171" s="125"/>
      <c r="NQX171" s="125"/>
      <c r="NQY171" s="125"/>
      <c r="NQZ171" s="125"/>
      <c r="NRA171" s="125"/>
      <c r="NRB171" s="125"/>
      <c r="NRC171" s="125"/>
      <c r="NRD171" s="125"/>
      <c r="NRE171" s="125"/>
      <c r="NRF171" s="125"/>
      <c r="NRG171" s="125"/>
      <c r="NRH171" s="125"/>
      <c r="NRI171" s="125"/>
      <c r="NRJ171" s="125"/>
      <c r="NRK171" s="125"/>
      <c r="NRL171" s="125"/>
      <c r="NRM171" s="125"/>
      <c r="NRN171" s="125"/>
      <c r="NRO171" s="125"/>
      <c r="NRP171" s="125"/>
      <c r="NRQ171" s="125"/>
      <c r="NRR171" s="125"/>
      <c r="NRS171" s="125"/>
      <c r="NRT171" s="125"/>
      <c r="NRU171" s="125"/>
      <c r="NRV171" s="125"/>
      <c r="NRW171" s="125"/>
      <c r="NRX171" s="125"/>
      <c r="NRY171" s="125"/>
      <c r="NRZ171" s="125"/>
      <c r="NSA171" s="125"/>
      <c r="NSB171" s="125"/>
      <c r="NSC171" s="125"/>
      <c r="NSD171" s="125"/>
      <c r="NSE171" s="125"/>
      <c r="NSF171" s="125"/>
      <c r="NSG171" s="125"/>
      <c r="NSH171" s="125"/>
      <c r="NSI171" s="125"/>
      <c r="NSJ171" s="125"/>
      <c r="NSK171" s="125"/>
      <c r="NSL171" s="125"/>
      <c r="NSM171" s="125"/>
      <c r="NSN171" s="125"/>
      <c r="NSO171" s="125"/>
      <c r="NSP171" s="125"/>
      <c r="NSQ171" s="125"/>
      <c r="NSR171" s="125"/>
      <c r="NSS171" s="125"/>
      <c r="NST171" s="125"/>
      <c r="NSU171" s="125"/>
      <c r="NSV171" s="125"/>
      <c r="NSW171" s="125"/>
      <c r="NSX171" s="125"/>
      <c r="NSY171" s="125"/>
      <c r="NSZ171" s="125"/>
      <c r="NTA171" s="125"/>
      <c r="NTB171" s="125"/>
      <c r="NTC171" s="125"/>
      <c r="NTD171" s="125"/>
      <c r="NTE171" s="125"/>
      <c r="NTF171" s="125"/>
      <c r="NTG171" s="125"/>
      <c r="NTH171" s="125"/>
      <c r="NTI171" s="125"/>
      <c r="NTJ171" s="125"/>
      <c r="NTK171" s="125"/>
      <c r="NTL171" s="125"/>
      <c r="NTM171" s="125"/>
      <c r="NTN171" s="125"/>
      <c r="NTO171" s="125"/>
      <c r="NTP171" s="125"/>
      <c r="NTQ171" s="125"/>
      <c r="NTR171" s="125"/>
      <c r="NTS171" s="125"/>
      <c r="NTT171" s="125"/>
      <c r="NTU171" s="125"/>
      <c r="NTV171" s="125"/>
      <c r="NTW171" s="125"/>
      <c r="NTX171" s="125"/>
      <c r="NTY171" s="125"/>
      <c r="NTZ171" s="125"/>
      <c r="NUA171" s="125"/>
      <c r="NUB171" s="125"/>
      <c r="NUC171" s="125"/>
      <c r="NUD171" s="125"/>
      <c r="NUE171" s="125"/>
      <c r="NUF171" s="125"/>
      <c r="NUG171" s="125"/>
      <c r="NUH171" s="125"/>
      <c r="NUI171" s="125"/>
      <c r="NUJ171" s="125"/>
      <c r="NUK171" s="125"/>
      <c r="NUL171" s="125"/>
      <c r="NUM171" s="125"/>
      <c r="NUN171" s="125"/>
      <c r="NUO171" s="125"/>
      <c r="NUP171" s="125"/>
      <c r="NUQ171" s="125"/>
      <c r="NUR171" s="125"/>
      <c r="NUS171" s="125"/>
      <c r="NUT171" s="125"/>
      <c r="NUU171" s="125"/>
      <c r="NUV171" s="125"/>
      <c r="NUW171" s="125"/>
      <c r="NUX171" s="125"/>
      <c r="NUY171" s="125"/>
      <c r="NUZ171" s="125"/>
      <c r="NVA171" s="125"/>
      <c r="NVB171" s="125"/>
      <c r="NVC171" s="125"/>
      <c r="NVD171" s="125"/>
      <c r="NVE171" s="125"/>
      <c r="NVF171" s="125"/>
      <c r="NVG171" s="125"/>
      <c r="NVH171" s="125"/>
      <c r="NVI171" s="125"/>
      <c r="NVJ171" s="125"/>
      <c r="NVK171" s="125"/>
      <c r="NVL171" s="125"/>
      <c r="NVM171" s="125"/>
      <c r="NVN171" s="125"/>
      <c r="NVO171" s="125"/>
      <c r="NVP171" s="125"/>
      <c r="NVQ171" s="125"/>
      <c r="NVR171" s="125"/>
      <c r="NVS171" s="125"/>
      <c r="NVT171" s="125"/>
      <c r="NVU171" s="125"/>
      <c r="NVV171" s="125"/>
      <c r="NVW171" s="125"/>
      <c r="NVX171" s="125"/>
      <c r="NVY171" s="125"/>
      <c r="NVZ171" s="125"/>
      <c r="NWA171" s="125"/>
      <c r="NWB171" s="125"/>
      <c r="NWC171" s="125"/>
      <c r="NWD171" s="125"/>
      <c r="NWE171" s="125"/>
      <c r="NWF171" s="125"/>
      <c r="NWG171" s="125"/>
      <c r="NWH171" s="125"/>
      <c r="NWI171" s="125"/>
      <c r="NWJ171" s="125"/>
      <c r="NWK171" s="125"/>
      <c r="NWL171" s="125"/>
      <c r="NWM171" s="125"/>
      <c r="NWN171" s="125"/>
      <c r="NWO171" s="125"/>
      <c r="NWP171" s="125"/>
      <c r="NWQ171" s="125"/>
      <c r="NWR171" s="125"/>
      <c r="NWS171" s="125"/>
      <c r="NWT171" s="125"/>
      <c r="NWU171" s="125"/>
      <c r="NWV171" s="125"/>
      <c r="NWW171" s="125"/>
      <c r="NWX171" s="125"/>
      <c r="NWY171" s="125"/>
      <c r="NWZ171" s="125"/>
      <c r="NXA171" s="125"/>
      <c r="NXB171" s="125"/>
      <c r="NXC171" s="125"/>
      <c r="NXD171" s="125"/>
      <c r="NXE171" s="125"/>
      <c r="NXF171" s="125"/>
      <c r="NXG171" s="125"/>
      <c r="NXH171" s="125"/>
      <c r="NXI171" s="125"/>
      <c r="NXJ171" s="125"/>
      <c r="NXK171" s="125"/>
      <c r="NXL171" s="125"/>
      <c r="NXM171" s="125"/>
      <c r="NXN171" s="125"/>
      <c r="NXO171" s="125"/>
      <c r="NXP171" s="125"/>
      <c r="NXQ171" s="125"/>
      <c r="NXR171" s="125"/>
      <c r="NXS171" s="125"/>
      <c r="NXT171" s="125"/>
      <c r="NXU171" s="125"/>
      <c r="NXV171" s="125"/>
      <c r="NXW171" s="125"/>
      <c r="NXX171" s="125"/>
      <c r="NXY171" s="125"/>
      <c r="NXZ171" s="125"/>
      <c r="NYA171" s="125"/>
      <c r="NYB171" s="125"/>
      <c r="NYC171" s="125"/>
      <c r="NYD171" s="125"/>
      <c r="NYE171" s="125"/>
      <c r="NYF171" s="125"/>
      <c r="NYG171" s="125"/>
      <c r="NYH171" s="125"/>
      <c r="NYI171" s="125"/>
      <c r="NYJ171" s="125"/>
      <c r="NYK171" s="125"/>
      <c r="NYL171" s="125"/>
      <c r="NYM171" s="125"/>
      <c r="NYN171" s="125"/>
      <c r="NYO171" s="125"/>
      <c r="NYP171" s="125"/>
      <c r="NYQ171" s="125"/>
      <c r="NYR171" s="125"/>
      <c r="NYS171" s="125"/>
      <c r="NYT171" s="125"/>
      <c r="NYU171" s="125"/>
      <c r="NYV171" s="125"/>
      <c r="NYW171" s="125"/>
      <c r="NYX171" s="125"/>
      <c r="NYY171" s="125"/>
      <c r="NYZ171" s="125"/>
      <c r="NZA171" s="125"/>
      <c r="NZB171" s="125"/>
      <c r="NZC171" s="125"/>
      <c r="NZD171" s="125"/>
      <c r="NZE171" s="125"/>
      <c r="NZF171" s="125"/>
      <c r="NZG171" s="125"/>
      <c r="NZH171" s="125"/>
      <c r="NZI171" s="125"/>
      <c r="NZJ171" s="125"/>
      <c r="NZK171" s="125"/>
      <c r="NZL171" s="125"/>
      <c r="NZM171" s="125"/>
      <c r="NZN171" s="125"/>
      <c r="NZO171" s="125"/>
      <c r="NZP171" s="125"/>
      <c r="NZQ171" s="125"/>
      <c r="NZR171" s="125"/>
      <c r="NZS171" s="125"/>
      <c r="NZT171" s="125"/>
      <c r="NZU171" s="125"/>
      <c r="NZV171" s="125"/>
      <c r="NZW171" s="125"/>
      <c r="NZX171" s="125"/>
      <c r="NZY171" s="125"/>
      <c r="NZZ171" s="125"/>
      <c r="OAA171" s="125"/>
      <c r="OAB171" s="125"/>
      <c r="OAC171" s="125"/>
      <c r="OAD171" s="125"/>
      <c r="OAE171" s="125"/>
      <c r="OAF171" s="125"/>
      <c r="OAG171" s="125"/>
      <c r="OAH171" s="125"/>
      <c r="OAI171" s="125"/>
      <c r="OAJ171" s="125"/>
      <c r="OAK171" s="125"/>
      <c r="OAL171" s="125"/>
      <c r="OAM171" s="125"/>
      <c r="OAN171" s="125"/>
      <c r="OAO171" s="125"/>
      <c r="OAP171" s="125"/>
      <c r="OAQ171" s="125"/>
      <c r="OAR171" s="125"/>
      <c r="OAS171" s="125"/>
      <c r="OAT171" s="125"/>
      <c r="OAU171" s="125"/>
      <c r="OAV171" s="125"/>
      <c r="OAW171" s="125"/>
      <c r="OAX171" s="125"/>
      <c r="OAY171" s="125"/>
      <c r="OAZ171" s="125"/>
      <c r="OBA171" s="125"/>
      <c r="OBB171" s="125"/>
      <c r="OBC171" s="125"/>
      <c r="OBD171" s="125"/>
      <c r="OBE171" s="125"/>
      <c r="OBF171" s="125"/>
      <c r="OBG171" s="125"/>
      <c r="OBH171" s="125"/>
      <c r="OBI171" s="125"/>
      <c r="OBJ171" s="125"/>
      <c r="OBK171" s="125"/>
      <c r="OBL171" s="125"/>
      <c r="OBM171" s="125"/>
      <c r="OBN171" s="125"/>
      <c r="OBO171" s="125"/>
      <c r="OBP171" s="125"/>
      <c r="OBQ171" s="125"/>
      <c r="OBR171" s="125"/>
      <c r="OBS171" s="125"/>
      <c r="OBT171" s="125"/>
      <c r="OBU171" s="125"/>
      <c r="OBV171" s="125"/>
      <c r="OBW171" s="125"/>
      <c r="OBX171" s="125"/>
      <c r="OBY171" s="125"/>
      <c r="OBZ171" s="125"/>
      <c r="OCA171" s="125"/>
      <c r="OCB171" s="125"/>
      <c r="OCC171" s="125"/>
      <c r="OCD171" s="125"/>
      <c r="OCE171" s="125"/>
      <c r="OCF171" s="125"/>
      <c r="OCG171" s="125"/>
      <c r="OCH171" s="125"/>
      <c r="OCI171" s="125"/>
      <c r="OCJ171" s="125"/>
      <c r="OCK171" s="125"/>
      <c r="OCL171" s="125"/>
      <c r="OCM171" s="125"/>
      <c r="OCN171" s="125"/>
      <c r="OCO171" s="125"/>
      <c r="OCP171" s="125"/>
      <c r="OCQ171" s="125"/>
      <c r="OCR171" s="125"/>
      <c r="OCS171" s="125"/>
      <c r="OCT171" s="125"/>
      <c r="OCU171" s="125"/>
      <c r="OCV171" s="125"/>
      <c r="OCW171" s="125"/>
      <c r="OCX171" s="125"/>
      <c r="OCY171" s="125"/>
      <c r="OCZ171" s="125"/>
      <c r="ODA171" s="125"/>
      <c r="ODB171" s="125"/>
      <c r="ODC171" s="125"/>
      <c r="ODD171" s="125"/>
      <c r="ODE171" s="125"/>
      <c r="ODF171" s="125"/>
      <c r="ODG171" s="125"/>
      <c r="ODH171" s="125"/>
      <c r="ODI171" s="125"/>
      <c r="ODJ171" s="125"/>
      <c r="ODK171" s="125"/>
      <c r="ODL171" s="125"/>
      <c r="ODM171" s="125"/>
      <c r="ODN171" s="125"/>
      <c r="ODO171" s="125"/>
      <c r="ODP171" s="125"/>
      <c r="ODQ171" s="125"/>
      <c r="ODR171" s="125"/>
      <c r="ODS171" s="125"/>
      <c r="ODT171" s="125"/>
      <c r="ODU171" s="125"/>
      <c r="ODV171" s="125"/>
      <c r="ODW171" s="125"/>
      <c r="ODX171" s="125"/>
      <c r="ODY171" s="125"/>
      <c r="ODZ171" s="125"/>
      <c r="OEA171" s="125"/>
      <c r="OEB171" s="125"/>
      <c r="OEC171" s="125"/>
      <c r="OED171" s="125"/>
      <c r="OEE171" s="125"/>
      <c r="OEF171" s="125"/>
      <c r="OEG171" s="125"/>
      <c r="OEH171" s="125"/>
      <c r="OEI171" s="125"/>
      <c r="OEJ171" s="125"/>
      <c r="OEK171" s="125"/>
      <c r="OEL171" s="125"/>
      <c r="OEM171" s="125"/>
      <c r="OEN171" s="125"/>
      <c r="OEO171" s="125"/>
      <c r="OEP171" s="125"/>
      <c r="OEQ171" s="125"/>
      <c r="OER171" s="125"/>
      <c r="OES171" s="125"/>
      <c r="OET171" s="125"/>
      <c r="OEU171" s="125"/>
      <c r="OEV171" s="125"/>
      <c r="OEW171" s="125"/>
      <c r="OEX171" s="125"/>
      <c r="OEY171" s="125"/>
      <c r="OEZ171" s="125"/>
      <c r="OFA171" s="125"/>
      <c r="OFB171" s="125"/>
      <c r="OFC171" s="125"/>
      <c r="OFD171" s="125"/>
      <c r="OFE171" s="125"/>
      <c r="OFF171" s="125"/>
      <c r="OFG171" s="125"/>
      <c r="OFH171" s="125"/>
      <c r="OFI171" s="125"/>
      <c r="OFJ171" s="125"/>
      <c r="OFK171" s="125"/>
      <c r="OFL171" s="125"/>
      <c r="OFM171" s="125"/>
      <c r="OFN171" s="125"/>
      <c r="OFO171" s="125"/>
      <c r="OFP171" s="125"/>
      <c r="OFQ171" s="125"/>
      <c r="OFR171" s="125"/>
      <c r="OFS171" s="125"/>
      <c r="OFT171" s="125"/>
      <c r="OFU171" s="125"/>
      <c r="OFV171" s="125"/>
      <c r="OFW171" s="125"/>
      <c r="OFX171" s="125"/>
      <c r="OFY171" s="125"/>
      <c r="OFZ171" s="125"/>
      <c r="OGA171" s="125"/>
      <c r="OGB171" s="125"/>
      <c r="OGC171" s="125"/>
      <c r="OGD171" s="125"/>
      <c r="OGE171" s="125"/>
      <c r="OGF171" s="125"/>
      <c r="OGG171" s="125"/>
      <c r="OGH171" s="125"/>
      <c r="OGI171" s="125"/>
      <c r="OGJ171" s="125"/>
      <c r="OGK171" s="125"/>
      <c r="OGL171" s="125"/>
      <c r="OGM171" s="125"/>
      <c r="OGN171" s="125"/>
      <c r="OGO171" s="125"/>
      <c r="OGP171" s="125"/>
      <c r="OGQ171" s="125"/>
      <c r="OGR171" s="125"/>
      <c r="OGS171" s="125"/>
      <c r="OGT171" s="125"/>
      <c r="OGU171" s="125"/>
      <c r="OGV171" s="125"/>
      <c r="OGW171" s="125"/>
      <c r="OGX171" s="125"/>
      <c r="OGY171" s="125"/>
      <c r="OGZ171" s="125"/>
      <c r="OHA171" s="125"/>
      <c r="OHB171" s="125"/>
      <c r="OHC171" s="125"/>
      <c r="OHD171" s="125"/>
      <c r="OHE171" s="125"/>
      <c r="OHF171" s="125"/>
      <c r="OHG171" s="125"/>
      <c r="OHH171" s="125"/>
      <c r="OHI171" s="125"/>
      <c r="OHJ171" s="125"/>
      <c r="OHK171" s="125"/>
      <c r="OHL171" s="125"/>
      <c r="OHM171" s="125"/>
      <c r="OHN171" s="125"/>
      <c r="OHO171" s="125"/>
      <c r="OHP171" s="125"/>
      <c r="OHQ171" s="125"/>
      <c r="OHR171" s="125"/>
      <c r="OHS171" s="125"/>
      <c r="OHT171" s="125"/>
      <c r="OHU171" s="125"/>
      <c r="OHV171" s="125"/>
      <c r="OHW171" s="125"/>
      <c r="OHX171" s="125"/>
      <c r="OHY171" s="125"/>
      <c r="OHZ171" s="125"/>
      <c r="OIA171" s="125"/>
      <c r="OIB171" s="125"/>
      <c r="OIC171" s="125"/>
      <c r="OID171" s="125"/>
      <c r="OIE171" s="125"/>
      <c r="OIF171" s="125"/>
      <c r="OIG171" s="125"/>
      <c r="OIH171" s="125"/>
      <c r="OII171" s="125"/>
      <c r="OIJ171" s="125"/>
      <c r="OIK171" s="125"/>
      <c r="OIL171" s="125"/>
      <c r="OIM171" s="125"/>
      <c r="OIN171" s="125"/>
      <c r="OIO171" s="125"/>
      <c r="OIP171" s="125"/>
      <c r="OIQ171" s="125"/>
      <c r="OIR171" s="125"/>
      <c r="OIS171" s="125"/>
      <c r="OIT171" s="125"/>
      <c r="OIU171" s="125"/>
      <c r="OIV171" s="125"/>
      <c r="OIW171" s="125"/>
      <c r="OIX171" s="125"/>
      <c r="OIY171" s="125"/>
      <c r="OIZ171" s="125"/>
      <c r="OJA171" s="125"/>
      <c r="OJB171" s="125"/>
      <c r="OJC171" s="125"/>
      <c r="OJD171" s="125"/>
      <c r="OJE171" s="125"/>
      <c r="OJF171" s="125"/>
      <c r="OJG171" s="125"/>
      <c r="OJH171" s="125"/>
      <c r="OJI171" s="125"/>
      <c r="OJJ171" s="125"/>
      <c r="OJK171" s="125"/>
      <c r="OJL171" s="125"/>
      <c r="OJM171" s="125"/>
      <c r="OJN171" s="125"/>
      <c r="OJO171" s="125"/>
      <c r="OJP171" s="125"/>
      <c r="OJQ171" s="125"/>
      <c r="OJR171" s="125"/>
      <c r="OJS171" s="125"/>
      <c r="OJT171" s="125"/>
      <c r="OJU171" s="125"/>
      <c r="OJV171" s="125"/>
      <c r="OJW171" s="125"/>
      <c r="OJX171" s="125"/>
      <c r="OJY171" s="125"/>
      <c r="OJZ171" s="125"/>
      <c r="OKA171" s="125"/>
      <c r="OKB171" s="125"/>
      <c r="OKC171" s="125"/>
      <c r="OKD171" s="125"/>
      <c r="OKE171" s="125"/>
      <c r="OKF171" s="125"/>
      <c r="OKG171" s="125"/>
      <c r="OKH171" s="125"/>
      <c r="OKI171" s="125"/>
      <c r="OKJ171" s="125"/>
      <c r="OKK171" s="125"/>
      <c r="OKL171" s="125"/>
      <c r="OKM171" s="125"/>
      <c r="OKN171" s="125"/>
      <c r="OKO171" s="125"/>
      <c r="OKP171" s="125"/>
      <c r="OKQ171" s="125"/>
      <c r="OKR171" s="125"/>
      <c r="OKS171" s="125"/>
      <c r="OKT171" s="125"/>
      <c r="OKU171" s="125"/>
      <c r="OKV171" s="125"/>
      <c r="OKW171" s="125"/>
      <c r="OKX171" s="125"/>
      <c r="OKY171" s="125"/>
      <c r="OKZ171" s="125"/>
      <c r="OLA171" s="125"/>
      <c r="OLB171" s="125"/>
      <c r="OLC171" s="125"/>
      <c r="OLD171" s="125"/>
      <c r="OLE171" s="125"/>
      <c r="OLF171" s="125"/>
      <c r="OLG171" s="125"/>
      <c r="OLH171" s="125"/>
      <c r="OLI171" s="125"/>
      <c r="OLJ171" s="125"/>
      <c r="OLK171" s="125"/>
      <c r="OLL171" s="125"/>
      <c r="OLM171" s="125"/>
      <c r="OLN171" s="125"/>
      <c r="OLO171" s="125"/>
      <c r="OLP171" s="125"/>
      <c r="OLQ171" s="125"/>
      <c r="OLR171" s="125"/>
      <c r="OLS171" s="125"/>
      <c r="OLT171" s="125"/>
      <c r="OLU171" s="125"/>
      <c r="OLV171" s="125"/>
      <c r="OLW171" s="125"/>
      <c r="OLX171" s="125"/>
      <c r="OLY171" s="125"/>
      <c r="OLZ171" s="125"/>
      <c r="OMA171" s="125"/>
      <c r="OMB171" s="125"/>
      <c r="OMC171" s="125"/>
      <c r="OMD171" s="125"/>
      <c r="OME171" s="125"/>
      <c r="OMF171" s="125"/>
      <c r="OMG171" s="125"/>
      <c r="OMH171" s="125"/>
      <c r="OMI171" s="125"/>
      <c r="OMJ171" s="125"/>
      <c r="OMK171" s="125"/>
      <c r="OML171" s="125"/>
      <c r="OMM171" s="125"/>
      <c r="OMN171" s="125"/>
      <c r="OMO171" s="125"/>
      <c r="OMP171" s="125"/>
      <c r="OMQ171" s="125"/>
      <c r="OMR171" s="125"/>
      <c r="OMS171" s="125"/>
      <c r="OMT171" s="125"/>
      <c r="OMU171" s="125"/>
      <c r="OMV171" s="125"/>
      <c r="OMW171" s="125"/>
      <c r="OMX171" s="125"/>
      <c r="OMY171" s="125"/>
      <c r="OMZ171" s="125"/>
      <c r="ONA171" s="125"/>
      <c r="ONB171" s="125"/>
      <c r="ONC171" s="125"/>
      <c r="OND171" s="125"/>
      <c r="ONE171" s="125"/>
      <c r="ONF171" s="125"/>
      <c r="ONG171" s="125"/>
      <c r="ONH171" s="125"/>
      <c r="ONI171" s="125"/>
      <c r="ONJ171" s="125"/>
      <c r="ONK171" s="125"/>
      <c r="ONL171" s="125"/>
      <c r="ONM171" s="125"/>
      <c r="ONN171" s="125"/>
      <c r="ONO171" s="125"/>
      <c r="ONP171" s="125"/>
      <c r="ONQ171" s="125"/>
      <c r="ONR171" s="125"/>
      <c r="ONS171" s="125"/>
      <c r="ONT171" s="125"/>
      <c r="ONU171" s="125"/>
      <c r="ONV171" s="125"/>
      <c r="ONW171" s="125"/>
      <c r="ONX171" s="125"/>
      <c r="ONY171" s="125"/>
      <c r="ONZ171" s="125"/>
      <c r="OOA171" s="125"/>
      <c r="OOB171" s="125"/>
      <c r="OOC171" s="125"/>
      <c r="OOD171" s="125"/>
      <c r="OOE171" s="125"/>
      <c r="OOF171" s="125"/>
      <c r="OOG171" s="125"/>
      <c r="OOH171" s="125"/>
      <c r="OOI171" s="125"/>
      <c r="OOJ171" s="125"/>
      <c r="OOK171" s="125"/>
      <c r="OOL171" s="125"/>
      <c r="OOM171" s="125"/>
      <c r="OON171" s="125"/>
      <c r="OOO171" s="125"/>
      <c r="OOP171" s="125"/>
      <c r="OOQ171" s="125"/>
      <c r="OOR171" s="125"/>
      <c r="OOS171" s="125"/>
      <c r="OOT171" s="125"/>
      <c r="OOU171" s="125"/>
      <c r="OOV171" s="125"/>
      <c r="OOW171" s="125"/>
      <c r="OOX171" s="125"/>
      <c r="OOY171" s="125"/>
      <c r="OOZ171" s="125"/>
      <c r="OPA171" s="125"/>
      <c r="OPB171" s="125"/>
      <c r="OPC171" s="125"/>
      <c r="OPD171" s="125"/>
      <c r="OPE171" s="125"/>
      <c r="OPF171" s="125"/>
      <c r="OPG171" s="125"/>
      <c r="OPH171" s="125"/>
      <c r="OPI171" s="125"/>
      <c r="OPJ171" s="125"/>
      <c r="OPK171" s="125"/>
      <c r="OPL171" s="125"/>
      <c r="OPM171" s="125"/>
      <c r="OPN171" s="125"/>
      <c r="OPO171" s="125"/>
      <c r="OPP171" s="125"/>
      <c r="OPQ171" s="125"/>
      <c r="OPR171" s="125"/>
      <c r="OPS171" s="125"/>
      <c r="OPT171" s="125"/>
      <c r="OPU171" s="125"/>
      <c r="OPV171" s="125"/>
      <c r="OPW171" s="125"/>
      <c r="OPX171" s="125"/>
      <c r="OPY171" s="125"/>
      <c r="OPZ171" s="125"/>
      <c r="OQA171" s="125"/>
      <c r="OQB171" s="125"/>
      <c r="OQC171" s="125"/>
      <c r="OQD171" s="125"/>
      <c r="OQE171" s="125"/>
      <c r="OQF171" s="125"/>
      <c r="OQG171" s="125"/>
      <c r="OQH171" s="125"/>
      <c r="OQI171" s="125"/>
      <c r="OQJ171" s="125"/>
      <c r="OQK171" s="125"/>
      <c r="OQL171" s="125"/>
      <c r="OQM171" s="125"/>
      <c r="OQN171" s="125"/>
      <c r="OQO171" s="125"/>
      <c r="OQP171" s="125"/>
      <c r="OQQ171" s="125"/>
      <c r="OQR171" s="125"/>
      <c r="OQS171" s="125"/>
      <c r="OQT171" s="125"/>
      <c r="OQU171" s="125"/>
      <c r="OQV171" s="125"/>
      <c r="OQW171" s="125"/>
      <c r="OQX171" s="125"/>
      <c r="OQY171" s="125"/>
      <c r="OQZ171" s="125"/>
      <c r="ORA171" s="125"/>
      <c r="ORB171" s="125"/>
      <c r="ORC171" s="125"/>
      <c r="ORD171" s="125"/>
      <c r="ORE171" s="125"/>
      <c r="ORF171" s="125"/>
      <c r="ORG171" s="125"/>
      <c r="ORH171" s="125"/>
      <c r="ORI171" s="125"/>
      <c r="ORJ171" s="125"/>
      <c r="ORK171" s="125"/>
      <c r="ORL171" s="125"/>
      <c r="ORM171" s="125"/>
      <c r="ORN171" s="125"/>
      <c r="ORO171" s="125"/>
      <c r="ORP171" s="125"/>
      <c r="ORQ171" s="125"/>
      <c r="ORR171" s="125"/>
      <c r="ORS171" s="125"/>
      <c r="ORT171" s="125"/>
      <c r="ORU171" s="125"/>
      <c r="ORV171" s="125"/>
      <c r="ORW171" s="125"/>
      <c r="ORX171" s="125"/>
      <c r="ORY171" s="125"/>
      <c r="ORZ171" s="125"/>
      <c r="OSA171" s="125"/>
      <c r="OSB171" s="125"/>
      <c r="OSC171" s="125"/>
      <c r="OSD171" s="125"/>
      <c r="OSE171" s="125"/>
      <c r="OSF171" s="125"/>
      <c r="OSG171" s="125"/>
      <c r="OSH171" s="125"/>
      <c r="OSI171" s="125"/>
      <c r="OSJ171" s="125"/>
      <c r="OSK171" s="125"/>
      <c r="OSL171" s="125"/>
      <c r="OSM171" s="125"/>
      <c r="OSN171" s="125"/>
      <c r="OSO171" s="125"/>
      <c r="OSP171" s="125"/>
      <c r="OSQ171" s="125"/>
      <c r="OSR171" s="125"/>
      <c r="OSS171" s="125"/>
      <c r="OST171" s="125"/>
      <c r="OSU171" s="125"/>
      <c r="OSV171" s="125"/>
      <c r="OSW171" s="125"/>
      <c r="OSX171" s="125"/>
      <c r="OSY171" s="125"/>
      <c r="OSZ171" s="125"/>
      <c r="OTA171" s="125"/>
      <c r="OTB171" s="125"/>
      <c r="OTC171" s="125"/>
      <c r="OTD171" s="125"/>
      <c r="OTE171" s="125"/>
      <c r="OTF171" s="125"/>
      <c r="OTG171" s="125"/>
      <c r="OTH171" s="125"/>
      <c r="OTI171" s="125"/>
      <c r="OTJ171" s="125"/>
      <c r="OTK171" s="125"/>
      <c r="OTL171" s="125"/>
      <c r="OTM171" s="125"/>
      <c r="OTN171" s="125"/>
      <c r="OTO171" s="125"/>
      <c r="OTP171" s="125"/>
      <c r="OTQ171" s="125"/>
      <c r="OTR171" s="125"/>
      <c r="OTS171" s="125"/>
      <c r="OTT171" s="125"/>
      <c r="OTU171" s="125"/>
      <c r="OTV171" s="125"/>
      <c r="OTW171" s="125"/>
      <c r="OTX171" s="125"/>
      <c r="OTY171" s="125"/>
      <c r="OTZ171" s="125"/>
      <c r="OUA171" s="125"/>
      <c r="OUB171" s="125"/>
      <c r="OUC171" s="125"/>
      <c r="OUD171" s="125"/>
      <c r="OUE171" s="125"/>
      <c r="OUF171" s="125"/>
      <c r="OUG171" s="125"/>
      <c r="OUH171" s="125"/>
      <c r="OUI171" s="125"/>
      <c r="OUJ171" s="125"/>
      <c r="OUK171" s="125"/>
      <c r="OUL171" s="125"/>
      <c r="OUM171" s="125"/>
      <c r="OUN171" s="125"/>
      <c r="OUO171" s="125"/>
      <c r="OUP171" s="125"/>
      <c r="OUQ171" s="125"/>
      <c r="OUR171" s="125"/>
      <c r="OUS171" s="125"/>
      <c r="OUT171" s="125"/>
      <c r="OUU171" s="125"/>
      <c r="OUV171" s="125"/>
      <c r="OUW171" s="125"/>
      <c r="OUX171" s="125"/>
      <c r="OUY171" s="125"/>
      <c r="OUZ171" s="125"/>
      <c r="OVA171" s="125"/>
      <c r="OVB171" s="125"/>
      <c r="OVC171" s="125"/>
      <c r="OVD171" s="125"/>
      <c r="OVE171" s="125"/>
      <c r="OVF171" s="125"/>
      <c r="OVG171" s="125"/>
      <c r="OVH171" s="125"/>
      <c r="OVI171" s="125"/>
      <c r="OVJ171" s="125"/>
      <c r="OVK171" s="125"/>
      <c r="OVL171" s="125"/>
      <c r="OVM171" s="125"/>
      <c r="OVN171" s="125"/>
      <c r="OVO171" s="125"/>
      <c r="OVP171" s="125"/>
      <c r="OVQ171" s="125"/>
      <c r="OVR171" s="125"/>
      <c r="OVS171" s="125"/>
      <c r="OVT171" s="125"/>
      <c r="OVU171" s="125"/>
      <c r="OVV171" s="125"/>
      <c r="OVW171" s="125"/>
      <c r="OVX171" s="125"/>
      <c r="OVY171" s="125"/>
      <c r="OVZ171" s="125"/>
      <c r="OWA171" s="125"/>
      <c r="OWB171" s="125"/>
      <c r="OWC171" s="125"/>
      <c r="OWD171" s="125"/>
      <c r="OWE171" s="125"/>
      <c r="OWF171" s="125"/>
      <c r="OWG171" s="125"/>
      <c r="OWH171" s="125"/>
      <c r="OWI171" s="125"/>
      <c r="OWJ171" s="125"/>
      <c r="OWK171" s="125"/>
      <c r="OWL171" s="125"/>
      <c r="OWM171" s="125"/>
      <c r="OWN171" s="125"/>
      <c r="OWO171" s="125"/>
      <c r="OWP171" s="125"/>
      <c r="OWQ171" s="125"/>
      <c r="OWR171" s="125"/>
      <c r="OWS171" s="125"/>
      <c r="OWT171" s="125"/>
      <c r="OWU171" s="125"/>
      <c r="OWV171" s="125"/>
      <c r="OWW171" s="125"/>
      <c r="OWX171" s="125"/>
      <c r="OWY171" s="125"/>
      <c r="OWZ171" s="125"/>
      <c r="OXA171" s="125"/>
      <c r="OXB171" s="125"/>
      <c r="OXC171" s="125"/>
      <c r="OXD171" s="125"/>
      <c r="OXE171" s="125"/>
      <c r="OXF171" s="125"/>
      <c r="OXG171" s="125"/>
      <c r="OXH171" s="125"/>
      <c r="OXI171" s="125"/>
      <c r="OXJ171" s="125"/>
      <c r="OXK171" s="125"/>
      <c r="OXL171" s="125"/>
      <c r="OXM171" s="125"/>
      <c r="OXN171" s="125"/>
      <c r="OXO171" s="125"/>
      <c r="OXP171" s="125"/>
      <c r="OXQ171" s="125"/>
      <c r="OXR171" s="125"/>
      <c r="OXS171" s="125"/>
      <c r="OXT171" s="125"/>
      <c r="OXU171" s="125"/>
      <c r="OXV171" s="125"/>
      <c r="OXW171" s="125"/>
      <c r="OXX171" s="125"/>
      <c r="OXY171" s="125"/>
      <c r="OXZ171" s="125"/>
      <c r="OYA171" s="125"/>
      <c r="OYB171" s="125"/>
      <c r="OYC171" s="125"/>
      <c r="OYD171" s="125"/>
      <c r="OYE171" s="125"/>
      <c r="OYF171" s="125"/>
      <c r="OYG171" s="125"/>
      <c r="OYH171" s="125"/>
      <c r="OYI171" s="125"/>
      <c r="OYJ171" s="125"/>
      <c r="OYK171" s="125"/>
      <c r="OYL171" s="125"/>
      <c r="OYM171" s="125"/>
      <c r="OYN171" s="125"/>
      <c r="OYO171" s="125"/>
      <c r="OYP171" s="125"/>
      <c r="OYQ171" s="125"/>
      <c r="OYR171" s="125"/>
      <c r="OYS171" s="125"/>
      <c r="OYT171" s="125"/>
      <c r="OYU171" s="125"/>
      <c r="OYV171" s="125"/>
      <c r="OYW171" s="125"/>
      <c r="OYX171" s="125"/>
      <c r="OYY171" s="125"/>
      <c r="OYZ171" s="125"/>
      <c r="OZA171" s="125"/>
      <c r="OZB171" s="125"/>
      <c r="OZC171" s="125"/>
      <c r="OZD171" s="125"/>
      <c r="OZE171" s="125"/>
      <c r="OZF171" s="125"/>
      <c r="OZG171" s="125"/>
      <c r="OZH171" s="125"/>
      <c r="OZI171" s="125"/>
      <c r="OZJ171" s="125"/>
      <c r="OZK171" s="125"/>
      <c r="OZL171" s="125"/>
      <c r="OZM171" s="125"/>
      <c r="OZN171" s="125"/>
      <c r="OZO171" s="125"/>
      <c r="OZP171" s="125"/>
      <c r="OZQ171" s="125"/>
      <c r="OZR171" s="125"/>
      <c r="OZS171" s="125"/>
      <c r="OZT171" s="125"/>
      <c r="OZU171" s="125"/>
      <c r="OZV171" s="125"/>
      <c r="OZW171" s="125"/>
      <c r="OZX171" s="125"/>
      <c r="OZY171" s="125"/>
      <c r="OZZ171" s="125"/>
      <c r="PAA171" s="125"/>
      <c r="PAB171" s="125"/>
      <c r="PAC171" s="125"/>
      <c r="PAD171" s="125"/>
      <c r="PAE171" s="125"/>
      <c r="PAF171" s="125"/>
      <c r="PAG171" s="125"/>
      <c r="PAH171" s="125"/>
      <c r="PAI171" s="125"/>
      <c r="PAJ171" s="125"/>
      <c r="PAK171" s="125"/>
      <c r="PAL171" s="125"/>
      <c r="PAM171" s="125"/>
      <c r="PAN171" s="125"/>
      <c r="PAO171" s="125"/>
      <c r="PAP171" s="125"/>
      <c r="PAQ171" s="125"/>
      <c r="PAR171" s="125"/>
      <c r="PAS171" s="125"/>
      <c r="PAT171" s="125"/>
      <c r="PAU171" s="125"/>
      <c r="PAV171" s="125"/>
      <c r="PAW171" s="125"/>
      <c r="PAX171" s="125"/>
      <c r="PAY171" s="125"/>
      <c r="PAZ171" s="125"/>
      <c r="PBA171" s="125"/>
      <c r="PBB171" s="125"/>
      <c r="PBC171" s="125"/>
      <c r="PBD171" s="125"/>
      <c r="PBE171" s="125"/>
      <c r="PBF171" s="125"/>
      <c r="PBG171" s="125"/>
      <c r="PBH171" s="125"/>
      <c r="PBI171" s="125"/>
      <c r="PBJ171" s="125"/>
      <c r="PBK171" s="125"/>
      <c r="PBL171" s="125"/>
      <c r="PBM171" s="125"/>
      <c r="PBN171" s="125"/>
      <c r="PBO171" s="125"/>
      <c r="PBP171" s="125"/>
      <c r="PBQ171" s="125"/>
      <c r="PBR171" s="125"/>
      <c r="PBS171" s="125"/>
      <c r="PBT171" s="125"/>
      <c r="PBU171" s="125"/>
      <c r="PBV171" s="125"/>
      <c r="PBW171" s="125"/>
      <c r="PBX171" s="125"/>
      <c r="PBY171" s="125"/>
      <c r="PBZ171" s="125"/>
      <c r="PCA171" s="125"/>
      <c r="PCB171" s="125"/>
      <c r="PCC171" s="125"/>
      <c r="PCD171" s="125"/>
      <c r="PCE171" s="125"/>
      <c r="PCF171" s="125"/>
      <c r="PCG171" s="125"/>
      <c r="PCH171" s="125"/>
      <c r="PCI171" s="125"/>
      <c r="PCJ171" s="125"/>
      <c r="PCK171" s="125"/>
      <c r="PCL171" s="125"/>
      <c r="PCM171" s="125"/>
      <c r="PCN171" s="125"/>
      <c r="PCO171" s="125"/>
      <c r="PCP171" s="125"/>
      <c r="PCQ171" s="125"/>
      <c r="PCR171" s="125"/>
      <c r="PCS171" s="125"/>
      <c r="PCT171" s="125"/>
      <c r="PCU171" s="125"/>
      <c r="PCV171" s="125"/>
      <c r="PCW171" s="125"/>
      <c r="PCX171" s="125"/>
      <c r="PCY171" s="125"/>
      <c r="PCZ171" s="125"/>
      <c r="PDA171" s="125"/>
      <c r="PDB171" s="125"/>
      <c r="PDC171" s="125"/>
      <c r="PDD171" s="125"/>
      <c r="PDE171" s="125"/>
      <c r="PDF171" s="125"/>
      <c r="PDG171" s="125"/>
      <c r="PDH171" s="125"/>
      <c r="PDI171" s="125"/>
      <c r="PDJ171" s="125"/>
      <c r="PDK171" s="125"/>
      <c r="PDL171" s="125"/>
      <c r="PDM171" s="125"/>
      <c r="PDN171" s="125"/>
      <c r="PDO171" s="125"/>
      <c r="PDP171" s="125"/>
      <c r="PDQ171" s="125"/>
      <c r="PDR171" s="125"/>
      <c r="PDS171" s="125"/>
      <c r="PDT171" s="125"/>
      <c r="PDU171" s="125"/>
      <c r="PDV171" s="125"/>
      <c r="PDW171" s="125"/>
      <c r="PDX171" s="125"/>
      <c r="PDY171" s="125"/>
      <c r="PDZ171" s="125"/>
      <c r="PEA171" s="125"/>
      <c r="PEB171" s="125"/>
      <c r="PEC171" s="125"/>
      <c r="PED171" s="125"/>
      <c r="PEE171" s="125"/>
      <c r="PEF171" s="125"/>
      <c r="PEG171" s="125"/>
      <c r="PEH171" s="125"/>
      <c r="PEI171" s="125"/>
      <c r="PEJ171" s="125"/>
      <c r="PEK171" s="125"/>
      <c r="PEL171" s="125"/>
      <c r="PEM171" s="125"/>
      <c r="PEN171" s="125"/>
      <c r="PEO171" s="125"/>
      <c r="PEP171" s="125"/>
      <c r="PEQ171" s="125"/>
      <c r="PER171" s="125"/>
      <c r="PES171" s="125"/>
      <c r="PET171" s="125"/>
      <c r="PEU171" s="125"/>
      <c r="PEV171" s="125"/>
      <c r="PEW171" s="125"/>
      <c r="PEX171" s="125"/>
      <c r="PEY171" s="125"/>
      <c r="PEZ171" s="125"/>
      <c r="PFA171" s="125"/>
      <c r="PFB171" s="125"/>
      <c r="PFC171" s="125"/>
      <c r="PFD171" s="125"/>
      <c r="PFE171" s="125"/>
      <c r="PFF171" s="125"/>
      <c r="PFG171" s="125"/>
      <c r="PFH171" s="125"/>
      <c r="PFI171" s="125"/>
      <c r="PFJ171" s="125"/>
      <c r="PFK171" s="125"/>
      <c r="PFL171" s="125"/>
      <c r="PFM171" s="125"/>
      <c r="PFN171" s="125"/>
      <c r="PFO171" s="125"/>
      <c r="PFP171" s="125"/>
      <c r="PFQ171" s="125"/>
      <c r="PFR171" s="125"/>
      <c r="PFS171" s="125"/>
      <c r="PFT171" s="125"/>
      <c r="PFU171" s="125"/>
      <c r="PFV171" s="125"/>
      <c r="PFW171" s="125"/>
      <c r="PFX171" s="125"/>
      <c r="PFY171" s="125"/>
      <c r="PFZ171" s="125"/>
      <c r="PGA171" s="125"/>
      <c r="PGB171" s="125"/>
      <c r="PGC171" s="125"/>
      <c r="PGD171" s="125"/>
      <c r="PGE171" s="125"/>
      <c r="PGF171" s="125"/>
      <c r="PGG171" s="125"/>
      <c r="PGH171" s="125"/>
      <c r="PGI171" s="125"/>
      <c r="PGJ171" s="125"/>
      <c r="PGK171" s="125"/>
      <c r="PGL171" s="125"/>
      <c r="PGM171" s="125"/>
      <c r="PGN171" s="125"/>
      <c r="PGO171" s="125"/>
      <c r="PGP171" s="125"/>
      <c r="PGQ171" s="125"/>
      <c r="PGR171" s="125"/>
      <c r="PGS171" s="125"/>
      <c r="PGT171" s="125"/>
      <c r="PGU171" s="125"/>
      <c r="PGV171" s="125"/>
      <c r="PGW171" s="125"/>
      <c r="PGX171" s="125"/>
      <c r="PGY171" s="125"/>
      <c r="PGZ171" s="125"/>
      <c r="PHA171" s="125"/>
      <c r="PHB171" s="125"/>
      <c r="PHC171" s="125"/>
      <c r="PHD171" s="125"/>
      <c r="PHE171" s="125"/>
      <c r="PHF171" s="125"/>
      <c r="PHG171" s="125"/>
      <c r="PHH171" s="125"/>
      <c r="PHI171" s="125"/>
      <c r="PHJ171" s="125"/>
      <c r="PHK171" s="125"/>
      <c r="PHL171" s="125"/>
      <c r="PHM171" s="125"/>
      <c r="PHN171" s="125"/>
      <c r="PHO171" s="125"/>
      <c r="PHP171" s="125"/>
      <c r="PHQ171" s="125"/>
      <c r="PHR171" s="125"/>
      <c r="PHS171" s="125"/>
      <c r="PHT171" s="125"/>
      <c r="PHU171" s="125"/>
      <c r="PHV171" s="125"/>
      <c r="PHW171" s="125"/>
      <c r="PHX171" s="125"/>
      <c r="PHY171" s="125"/>
      <c r="PHZ171" s="125"/>
      <c r="PIA171" s="125"/>
      <c r="PIB171" s="125"/>
      <c r="PIC171" s="125"/>
      <c r="PID171" s="125"/>
      <c r="PIE171" s="125"/>
      <c r="PIF171" s="125"/>
      <c r="PIG171" s="125"/>
      <c r="PIH171" s="125"/>
      <c r="PII171" s="125"/>
      <c r="PIJ171" s="125"/>
      <c r="PIK171" s="125"/>
      <c r="PIL171" s="125"/>
      <c r="PIM171" s="125"/>
      <c r="PIN171" s="125"/>
      <c r="PIO171" s="125"/>
      <c r="PIP171" s="125"/>
      <c r="PIQ171" s="125"/>
      <c r="PIR171" s="125"/>
      <c r="PIS171" s="125"/>
      <c r="PIT171" s="125"/>
      <c r="PIU171" s="125"/>
      <c r="PIV171" s="125"/>
      <c r="PIW171" s="125"/>
      <c r="PIX171" s="125"/>
      <c r="PIY171" s="125"/>
      <c r="PIZ171" s="125"/>
      <c r="PJA171" s="125"/>
      <c r="PJB171" s="125"/>
      <c r="PJC171" s="125"/>
      <c r="PJD171" s="125"/>
      <c r="PJE171" s="125"/>
      <c r="PJF171" s="125"/>
      <c r="PJG171" s="125"/>
      <c r="PJH171" s="125"/>
      <c r="PJI171" s="125"/>
      <c r="PJJ171" s="125"/>
      <c r="PJK171" s="125"/>
      <c r="PJL171" s="125"/>
      <c r="PJM171" s="125"/>
      <c r="PJN171" s="125"/>
      <c r="PJO171" s="125"/>
      <c r="PJP171" s="125"/>
      <c r="PJQ171" s="125"/>
      <c r="PJR171" s="125"/>
      <c r="PJS171" s="125"/>
      <c r="PJT171" s="125"/>
      <c r="PJU171" s="125"/>
      <c r="PJV171" s="125"/>
      <c r="PJW171" s="125"/>
      <c r="PJX171" s="125"/>
      <c r="PJY171" s="125"/>
      <c r="PJZ171" s="125"/>
      <c r="PKA171" s="125"/>
      <c r="PKB171" s="125"/>
      <c r="PKC171" s="125"/>
      <c r="PKD171" s="125"/>
      <c r="PKE171" s="125"/>
      <c r="PKF171" s="125"/>
      <c r="PKG171" s="125"/>
      <c r="PKH171" s="125"/>
      <c r="PKI171" s="125"/>
      <c r="PKJ171" s="125"/>
      <c r="PKK171" s="125"/>
      <c r="PKL171" s="125"/>
      <c r="PKM171" s="125"/>
      <c r="PKN171" s="125"/>
      <c r="PKO171" s="125"/>
      <c r="PKP171" s="125"/>
      <c r="PKQ171" s="125"/>
      <c r="PKR171" s="125"/>
      <c r="PKS171" s="125"/>
      <c r="PKT171" s="125"/>
      <c r="PKU171" s="125"/>
      <c r="PKV171" s="125"/>
      <c r="PKW171" s="125"/>
      <c r="PKX171" s="125"/>
      <c r="PKY171" s="125"/>
      <c r="PKZ171" s="125"/>
      <c r="PLA171" s="125"/>
      <c r="PLB171" s="125"/>
      <c r="PLC171" s="125"/>
      <c r="PLD171" s="125"/>
      <c r="PLE171" s="125"/>
      <c r="PLF171" s="125"/>
      <c r="PLG171" s="125"/>
      <c r="PLH171" s="125"/>
      <c r="PLI171" s="125"/>
      <c r="PLJ171" s="125"/>
      <c r="PLK171" s="125"/>
      <c r="PLL171" s="125"/>
      <c r="PLM171" s="125"/>
      <c r="PLN171" s="125"/>
      <c r="PLO171" s="125"/>
      <c r="PLP171" s="125"/>
      <c r="PLQ171" s="125"/>
      <c r="PLR171" s="125"/>
      <c r="PLS171" s="125"/>
      <c r="PLT171" s="125"/>
      <c r="PLU171" s="125"/>
      <c r="PLV171" s="125"/>
      <c r="PLW171" s="125"/>
      <c r="PLX171" s="125"/>
      <c r="PLY171" s="125"/>
      <c r="PLZ171" s="125"/>
      <c r="PMA171" s="125"/>
      <c r="PMB171" s="125"/>
      <c r="PMC171" s="125"/>
      <c r="PMD171" s="125"/>
      <c r="PME171" s="125"/>
      <c r="PMF171" s="125"/>
      <c r="PMG171" s="125"/>
      <c r="PMH171" s="125"/>
      <c r="PMI171" s="125"/>
      <c r="PMJ171" s="125"/>
      <c r="PMK171" s="125"/>
      <c r="PML171" s="125"/>
      <c r="PMM171" s="125"/>
      <c r="PMN171" s="125"/>
      <c r="PMO171" s="125"/>
      <c r="PMP171" s="125"/>
      <c r="PMQ171" s="125"/>
      <c r="PMR171" s="125"/>
      <c r="PMS171" s="125"/>
      <c r="PMT171" s="125"/>
      <c r="PMU171" s="125"/>
      <c r="PMV171" s="125"/>
      <c r="PMW171" s="125"/>
      <c r="PMX171" s="125"/>
      <c r="PMY171" s="125"/>
      <c r="PMZ171" s="125"/>
      <c r="PNA171" s="125"/>
      <c r="PNB171" s="125"/>
      <c r="PNC171" s="125"/>
      <c r="PND171" s="125"/>
      <c r="PNE171" s="125"/>
      <c r="PNF171" s="125"/>
      <c r="PNG171" s="125"/>
      <c r="PNH171" s="125"/>
      <c r="PNI171" s="125"/>
      <c r="PNJ171" s="125"/>
      <c r="PNK171" s="125"/>
      <c r="PNL171" s="125"/>
      <c r="PNM171" s="125"/>
      <c r="PNN171" s="125"/>
      <c r="PNO171" s="125"/>
      <c r="PNP171" s="125"/>
      <c r="PNQ171" s="125"/>
      <c r="PNR171" s="125"/>
      <c r="PNS171" s="125"/>
      <c r="PNT171" s="125"/>
      <c r="PNU171" s="125"/>
      <c r="PNV171" s="125"/>
      <c r="PNW171" s="125"/>
      <c r="PNX171" s="125"/>
      <c r="PNY171" s="125"/>
      <c r="PNZ171" s="125"/>
      <c r="POA171" s="125"/>
      <c r="POB171" s="125"/>
      <c r="POC171" s="125"/>
      <c r="POD171" s="125"/>
      <c r="POE171" s="125"/>
      <c r="POF171" s="125"/>
      <c r="POG171" s="125"/>
      <c r="POH171" s="125"/>
      <c r="POI171" s="125"/>
      <c r="POJ171" s="125"/>
      <c r="POK171" s="125"/>
      <c r="POL171" s="125"/>
      <c r="POM171" s="125"/>
      <c r="PON171" s="125"/>
      <c r="POO171" s="125"/>
      <c r="POP171" s="125"/>
      <c r="POQ171" s="125"/>
      <c r="POR171" s="125"/>
      <c r="POS171" s="125"/>
      <c r="POT171" s="125"/>
      <c r="POU171" s="125"/>
      <c r="POV171" s="125"/>
      <c r="POW171" s="125"/>
      <c r="POX171" s="125"/>
      <c r="POY171" s="125"/>
      <c r="POZ171" s="125"/>
      <c r="PPA171" s="125"/>
      <c r="PPB171" s="125"/>
      <c r="PPC171" s="125"/>
      <c r="PPD171" s="125"/>
      <c r="PPE171" s="125"/>
      <c r="PPF171" s="125"/>
      <c r="PPG171" s="125"/>
      <c r="PPH171" s="125"/>
      <c r="PPI171" s="125"/>
      <c r="PPJ171" s="125"/>
      <c r="PPK171" s="125"/>
      <c r="PPL171" s="125"/>
      <c r="PPM171" s="125"/>
      <c r="PPN171" s="125"/>
      <c r="PPO171" s="125"/>
      <c r="PPP171" s="125"/>
      <c r="PPQ171" s="125"/>
      <c r="PPR171" s="125"/>
      <c r="PPS171" s="125"/>
      <c r="PPT171" s="125"/>
      <c r="PPU171" s="125"/>
      <c r="PPV171" s="125"/>
      <c r="PPW171" s="125"/>
      <c r="PPX171" s="125"/>
      <c r="PPY171" s="125"/>
      <c r="PPZ171" s="125"/>
      <c r="PQA171" s="125"/>
      <c r="PQB171" s="125"/>
      <c r="PQC171" s="125"/>
      <c r="PQD171" s="125"/>
      <c r="PQE171" s="125"/>
      <c r="PQF171" s="125"/>
      <c r="PQG171" s="125"/>
      <c r="PQH171" s="125"/>
      <c r="PQI171" s="125"/>
      <c r="PQJ171" s="125"/>
      <c r="PQK171" s="125"/>
      <c r="PQL171" s="125"/>
      <c r="PQM171" s="125"/>
      <c r="PQN171" s="125"/>
      <c r="PQO171" s="125"/>
      <c r="PQP171" s="125"/>
      <c r="PQQ171" s="125"/>
      <c r="PQR171" s="125"/>
      <c r="PQS171" s="125"/>
      <c r="PQT171" s="125"/>
      <c r="PQU171" s="125"/>
      <c r="PQV171" s="125"/>
      <c r="PQW171" s="125"/>
      <c r="PQX171" s="125"/>
      <c r="PQY171" s="125"/>
      <c r="PQZ171" s="125"/>
      <c r="PRA171" s="125"/>
      <c r="PRB171" s="125"/>
      <c r="PRC171" s="125"/>
      <c r="PRD171" s="125"/>
      <c r="PRE171" s="125"/>
      <c r="PRF171" s="125"/>
      <c r="PRG171" s="125"/>
      <c r="PRH171" s="125"/>
      <c r="PRI171" s="125"/>
      <c r="PRJ171" s="125"/>
      <c r="PRK171" s="125"/>
      <c r="PRL171" s="125"/>
      <c r="PRM171" s="125"/>
      <c r="PRN171" s="125"/>
      <c r="PRO171" s="125"/>
      <c r="PRP171" s="125"/>
      <c r="PRQ171" s="125"/>
      <c r="PRR171" s="125"/>
      <c r="PRS171" s="125"/>
      <c r="PRT171" s="125"/>
      <c r="PRU171" s="125"/>
      <c r="PRV171" s="125"/>
      <c r="PRW171" s="125"/>
      <c r="PRX171" s="125"/>
      <c r="PRY171" s="125"/>
      <c r="PRZ171" s="125"/>
      <c r="PSA171" s="125"/>
      <c r="PSB171" s="125"/>
      <c r="PSC171" s="125"/>
      <c r="PSD171" s="125"/>
      <c r="PSE171" s="125"/>
      <c r="PSF171" s="125"/>
      <c r="PSG171" s="125"/>
      <c r="PSH171" s="125"/>
      <c r="PSI171" s="125"/>
      <c r="PSJ171" s="125"/>
      <c r="PSK171" s="125"/>
      <c r="PSL171" s="125"/>
      <c r="PSM171" s="125"/>
      <c r="PSN171" s="125"/>
      <c r="PSO171" s="125"/>
      <c r="PSP171" s="125"/>
      <c r="PSQ171" s="125"/>
      <c r="PSR171" s="125"/>
      <c r="PSS171" s="125"/>
      <c r="PST171" s="125"/>
      <c r="PSU171" s="125"/>
      <c r="PSV171" s="125"/>
      <c r="PSW171" s="125"/>
      <c r="PSX171" s="125"/>
      <c r="PSY171" s="125"/>
      <c r="PSZ171" s="125"/>
      <c r="PTA171" s="125"/>
      <c r="PTB171" s="125"/>
      <c r="PTC171" s="125"/>
      <c r="PTD171" s="125"/>
      <c r="PTE171" s="125"/>
      <c r="PTF171" s="125"/>
      <c r="PTG171" s="125"/>
      <c r="PTH171" s="125"/>
      <c r="PTI171" s="125"/>
      <c r="PTJ171" s="125"/>
      <c r="PTK171" s="125"/>
      <c r="PTL171" s="125"/>
      <c r="PTM171" s="125"/>
      <c r="PTN171" s="125"/>
      <c r="PTO171" s="125"/>
      <c r="PTP171" s="125"/>
      <c r="PTQ171" s="125"/>
      <c r="PTR171" s="125"/>
      <c r="PTS171" s="125"/>
      <c r="PTT171" s="125"/>
      <c r="PTU171" s="125"/>
      <c r="PTV171" s="125"/>
      <c r="PTW171" s="125"/>
      <c r="PTX171" s="125"/>
      <c r="PTY171" s="125"/>
      <c r="PTZ171" s="125"/>
      <c r="PUA171" s="125"/>
      <c r="PUB171" s="125"/>
      <c r="PUC171" s="125"/>
      <c r="PUD171" s="125"/>
      <c r="PUE171" s="125"/>
      <c r="PUF171" s="125"/>
      <c r="PUG171" s="125"/>
      <c r="PUH171" s="125"/>
      <c r="PUI171" s="125"/>
      <c r="PUJ171" s="125"/>
      <c r="PUK171" s="125"/>
      <c r="PUL171" s="125"/>
      <c r="PUM171" s="125"/>
      <c r="PUN171" s="125"/>
      <c r="PUO171" s="125"/>
      <c r="PUP171" s="125"/>
      <c r="PUQ171" s="125"/>
      <c r="PUR171" s="125"/>
      <c r="PUS171" s="125"/>
      <c r="PUT171" s="125"/>
      <c r="PUU171" s="125"/>
      <c r="PUV171" s="125"/>
      <c r="PUW171" s="125"/>
      <c r="PUX171" s="125"/>
      <c r="PUY171" s="125"/>
      <c r="PUZ171" s="125"/>
      <c r="PVA171" s="125"/>
      <c r="PVB171" s="125"/>
      <c r="PVC171" s="125"/>
      <c r="PVD171" s="125"/>
      <c r="PVE171" s="125"/>
      <c r="PVF171" s="125"/>
      <c r="PVG171" s="125"/>
      <c r="PVH171" s="125"/>
      <c r="PVI171" s="125"/>
      <c r="PVJ171" s="125"/>
      <c r="PVK171" s="125"/>
      <c r="PVL171" s="125"/>
      <c r="PVM171" s="125"/>
      <c r="PVN171" s="125"/>
      <c r="PVO171" s="125"/>
      <c r="PVP171" s="125"/>
      <c r="PVQ171" s="125"/>
      <c r="PVR171" s="125"/>
      <c r="PVS171" s="125"/>
      <c r="PVT171" s="125"/>
      <c r="PVU171" s="125"/>
      <c r="PVV171" s="125"/>
      <c r="PVW171" s="125"/>
      <c r="PVX171" s="125"/>
      <c r="PVY171" s="125"/>
      <c r="PVZ171" s="125"/>
      <c r="PWA171" s="125"/>
      <c r="PWB171" s="125"/>
      <c r="PWC171" s="125"/>
      <c r="PWD171" s="125"/>
      <c r="PWE171" s="125"/>
      <c r="PWF171" s="125"/>
      <c r="PWG171" s="125"/>
      <c r="PWH171" s="125"/>
      <c r="PWI171" s="125"/>
      <c r="PWJ171" s="125"/>
      <c r="PWK171" s="125"/>
      <c r="PWL171" s="125"/>
      <c r="PWM171" s="125"/>
      <c r="PWN171" s="125"/>
      <c r="PWO171" s="125"/>
      <c r="PWP171" s="125"/>
      <c r="PWQ171" s="125"/>
      <c r="PWR171" s="125"/>
      <c r="PWS171" s="125"/>
      <c r="PWT171" s="125"/>
      <c r="PWU171" s="125"/>
      <c r="PWV171" s="125"/>
      <c r="PWW171" s="125"/>
      <c r="PWX171" s="125"/>
      <c r="PWY171" s="125"/>
      <c r="PWZ171" s="125"/>
      <c r="PXA171" s="125"/>
      <c r="PXB171" s="125"/>
      <c r="PXC171" s="125"/>
      <c r="PXD171" s="125"/>
      <c r="PXE171" s="125"/>
      <c r="PXF171" s="125"/>
      <c r="PXG171" s="125"/>
      <c r="PXH171" s="125"/>
      <c r="PXI171" s="125"/>
      <c r="PXJ171" s="125"/>
      <c r="PXK171" s="125"/>
      <c r="PXL171" s="125"/>
      <c r="PXM171" s="125"/>
      <c r="PXN171" s="125"/>
      <c r="PXO171" s="125"/>
      <c r="PXP171" s="125"/>
      <c r="PXQ171" s="125"/>
      <c r="PXR171" s="125"/>
      <c r="PXS171" s="125"/>
      <c r="PXT171" s="125"/>
      <c r="PXU171" s="125"/>
      <c r="PXV171" s="125"/>
      <c r="PXW171" s="125"/>
      <c r="PXX171" s="125"/>
      <c r="PXY171" s="125"/>
      <c r="PXZ171" s="125"/>
      <c r="PYA171" s="125"/>
      <c r="PYB171" s="125"/>
      <c r="PYC171" s="125"/>
      <c r="PYD171" s="125"/>
      <c r="PYE171" s="125"/>
      <c r="PYF171" s="125"/>
      <c r="PYG171" s="125"/>
      <c r="PYH171" s="125"/>
      <c r="PYI171" s="125"/>
      <c r="PYJ171" s="125"/>
      <c r="PYK171" s="125"/>
      <c r="PYL171" s="125"/>
      <c r="PYM171" s="125"/>
      <c r="PYN171" s="125"/>
      <c r="PYO171" s="125"/>
      <c r="PYP171" s="125"/>
      <c r="PYQ171" s="125"/>
      <c r="PYR171" s="125"/>
      <c r="PYS171" s="125"/>
      <c r="PYT171" s="125"/>
      <c r="PYU171" s="125"/>
      <c r="PYV171" s="125"/>
      <c r="PYW171" s="125"/>
      <c r="PYX171" s="125"/>
      <c r="PYY171" s="125"/>
      <c r="PYZ171" s="125"/>
      <c r="PZA171" s="125"/>
      <c r="PZB171" s="125"/>
      <c r="PZC171" s="125"/>
      <c r="PZD171" s="125"/>
      <c r="PZE171" s="125"/>
      <c r="PZF171" s="125"/>
      <c r="PZG171" s="125"/>
      <c r="PZH171" s="125"/>
      <c r="PZI171" s="125"/>
      <c r="PZJ171" s="125"/>
      <c r="PZK171" s="125"/>
      <c r="PZL171" s="125"/>
      <c r="PZM171" s="125"/>
      <c r="PZN171" s="125"/>
      <c r="PZO171" s="125"/>
      <c r="PZP171" s="125"/>
      <c r="PZQ171" s="125"/>
      <c r="PZR171" s="125"/>
      <c r="PZS171" s="125"/>
      <c r="PZT171" s="125"/>
      <c r="PZU171" s="125"/>
      <c r="PZV171" s="125"/>
      <c r="PZW171" s="125"/>
      <c r="PZX171" s="125"/>
      <c r="PZY171" s="125"/>
      <c r="PZZ171" s="125"/>
      <c r="QAA171" s="125"/>
      <c r="QAB171" s="125"/>
      <c r="QAC171" s="125"/>
      <c r="QAD171" s="125"/>
      <c r="QAE171" s="125"/>
      <c r="QAF171" s="125"/>
      <c r="QAG171" s="125"/>
      <c r="QAH171" s="125"/>
      <c r="QAI171" s="125"/>
      <c r="QAJ171" s="125"/>
      <c r="QAK171" s="125"/>
      <c r="QAL171" s="125"/>
      <c r="QAM171" s="125"/>
      <c r="QAN171" s="125"/>
      <c r="QAO171" s="125"/>
      <c r="QAP171" s="125"/>
      <c r="QAQ171" s="125"/>
      <c r="QAR171" s="125"/>
      <c r="QAS171" s="125"/>
      <c r="QAT171" s="125"/>
      <c r="QAU171" s="125"/>
      <c r="QAV171" s="125"/>
      <c r="QAW171" s="125"/>
      <c r="QAX171" s="125"/>
      <c r="QAY171" s="125"/>
      <c r="QAZ171" s="125"/>
      <c r="QBA171" s="125"/>
      <c r="QBB171" s="125"/>
      <c r="QBC171" s="125"/>
      <c r="QBD171" s="125"/>
      <c r="QBE171" s="125"/>
      <c r="QBF171" s="125"/>
      <c r="QBG171" s="125"/>
      <c r="QBH171" s="125"/>
      <c r="QBI171" s="125"/>
      <c r="QBJ171" s="125"/>
      <c r="QBK171" s="125"/>
      <c r="QBL171" s="125"/>
      <c r="QBM171" s="125"/>
      <c r="QBN171" s="125"/>
      <c r="QBO171" s="125"/>
      <c r="QBP171" s="125"/>
      <c r="QBQ171" s="125"/>
      <c r="QBR171" s="125"/>
      <c r="QBS171" s="125"/>
      <c r="QBT171" s="125"/>
      <c r="QBU171" s="125"/>
      <c r="QBV171" s="125"/>
      <c r="QBW171" s="125"/>
      <c r="QBX171" s="125"/>
      <c r="QBY171" s="125"/>
      <c r="QBZ171" s="125"/>
      <c r="QCA171" s="125"/>
      <c r="QCB171" s="125"/>
      <c r="QCC171" s="125"/>
      <c r="QCD171" s="125"/>
      <c r="QCE171" s="125"/>
      <c r="QCF171" s="125"/>
      <c r="QCG171" s="125"/>
      <c r="QCH171" s="125"/>
      <c r="QCI171" s="125"/>
      <c r="QCJ171" s="125"/>
      <c r="QCK171" s="125"/>
      <c r="QCL171" s="125"/>
      <c r="QCM171" s="125"/>
      <c r="QCN171" s="125"/>
      <c r="QCO171" s="125"/>
      <c r="QCP171" s="125"/>
      <c r="QCQ171" s="125"/>
      <c r="QCR171" s="125"/>
      <c r="QCS171" s="125"/>
      <c r="QCT171" s="125"/>
      <c r="QCU171" s="125"/>
      <c r="QCV171" s="125"/>
      <c r="QCW171" s="125"/>
      <c r="QCX171" s="125"/>
      <c r="QCY171" s="125"/>
      <c r="QCZ171" s="125"/>
      <c r="QDA171" s="125"/>
      <c r="QDB171" s="125"/>
      <c r="QDC171" s="125"/>
      <c r="QDD171" s="125"/>
      <c r="QDE171" s="125"/>
      <c r="QDF171" s="125"/>
      <c r="QDG171" s="125"/>
      <c r="QDH171" s="125"/>
      <c r="QDI171" s="125"/>
      <c r="QDJ171" s="125"/>
      <c r="QDK171" s="125"/>
      <c r="QDL171" s="125"/>
      <c r="QDM171" s="125"/>
      <c r="QDN171" s="125"/>
      <c r="QDO171" s="125"/>
      <c r="QDP171" s="125"/>
      <c r="QDQ171" s="125"/>
      <c r="QDR171" s="125"/>
      <c r="QDS171" s="125"/>
      <c r="QDT171" s="125"/>
      <c r="QDU171" s="125"/>
      <c r="QDV171" s="125"/>
      <c r="QDW171" s="125"/>
      <c r="QDX171" s="125"/>
      <c r="QDY171" s="125"/>
      <c r="QDZ171" s="125"/>
      <c r="QEA171" s="125"/>
      <c r="QEB171" s="125"/>
      <c r="QEC171" s="125"/>
      <c r="QED171" s="125"/>
      <c r="QEE171" s="125"/>
      <c r="QEF171" s="125"/>
      <c r="QEG171" s="125"/>
      <c r="QEH171" s="125"/>
      <c r="QEI171" s="125"/>
      <c r="QEJ171" s="125"/>
      <c r="QEK171" s="125"/>
      <c r="QEL171" s="125"/>
      <c r="QEM171" s="125"/>
      <c r="QEN171" s="125"/>
      <c r="QEO171" s="125"/>
      <c r="QEP171" s="125"/>
      <c r="QEQ171" s="125"/>
      <c r="QER171" s="125"/>
      <c r="QES171" s="125"/>
      <c r="QET171" s="125"/>
      <c r="QEU171" s="125"/>
      <c r="QEV171" s="125"/>
      <c r="QEW171" s="125"/>
      <c r="QEX171" s="125"/>
      <c r="QEY171" s="125"/>
      <c r="QEZ171" s="125"/>
      <c r="QFA171" s="125"/>
      <c r="QFB171" s="125"/>
      <c r="QFC171" s="125"/>
      <c r="QFD171" s="125"/>
      <c r="QFE171" s="125"/>
      <c r="QFF171" s="125"/>
      <c r="QFG171" s="125"/>
      <c r="QFH171" s="125"/>
      <c r="QFI171" s="125"/>
      <c r="QFJ171" s="125"/>
      <c r="QFK171" s="125"/>
      <c r="QFL171" s="125"/>
      <c r="QFM171" s="125"/>
      <c r="QFN171" s="125"/>
      <c r="QFO171" s="125"/>
      <c r="QFP171" s="125"/>
      <c r="QFQ171" s="125"/>
      <c r="QFR171" s="125"/>
      <c r="QFS171" s="125"/>
      <c r="QFT171" s="125"/>
      <c r="QFU171" s="125"/>
      <c r="QFV171" s="125"/>
      <c r="QFW171" s="125"/>
      <c r="QFX171" s="125"/>
      <c r="QFY171" s="125"/>
      <c r="QFZ171" s="125"/>
      <c r="QGA171" s="125"/>
      <c r="QGB171" s="125"/>
      <c r="QGC171" s="125"/>
      <c r="QGD171" s="125"/>
      <c r="QGE171" s="125"/>
      <c r="QGF171" s="125"/>
      <c r="QGG171" s="125"/>
      <c r="QGH171" s="125"/>
      <c r="QGI171" s="125"/>
      <c r="QGJ171" s="125"/>
      <c r="QGK171" s="125"/>
      <c r="QGL171" s="125"/>
      <c r="QGM171" s="125"/>
      <c r="QGN171" s="125"/>
      <c r="QGO171" s="125"/>
      <c r="QGP171" s="125"/>
      <c r="QGQ171" s="125"/>
      <c r="QGR171" s="125"/>
      <c r="QGS171" s="125"/>
      <c r="QGT171" s="125"/>
      <c r="QGU171" s="125"/>
      <c r="QGV171" s="125"/>
      <c r="QGW171" s="125"/>
      <c r="QGX171" s="125"/>
      <c r="QGY171" s="125"/>
      <c r="QGZ171" s="125"/>
      <c r="QHA171" s="125"/>
      <c r="QHB171" s="125"/>
      <c r="QHC171" s="125"/>
      <c r="QHD171" s="125"/>
      <c r="QHE171" s="125"/>
      <c r="QHF171" s="125"/>
      <c r="QHG171" s="125"/>
      <c r="QHH171" s="125"/>
      <c r="QHI171" s="125"/>
      <c r="QHJ171" s="125"/>
      <c r="QHK171" s="125"/>
      <c r="QHL171" s="125"/>
      <c r="QHM171" s="125"/>
      <c r="QHN171" s="125"/>
      <c r="QHO171" s="125"/>
      <c r="QHP171" s="125"/>
      <c r="QHQ171" s="125"/>
      <c r="QHR171" s="125"/>
      <c r="QHS171" s="125"/>
      <c r="QHT171" s="125"/>
      <c r="QHU171" s="125"/>
      <c r="QHV171" s="125"/>
      <c r="QHW171" s="125"/>
      <c r="QHX171" s="125"/>
      <c r="QHY171" s="125"/>
      <c r="QHZ171" s="125"/>
      <c r="QIA171" s="125"/>
      <c r="QIB171" s="125"/>
      <c r="QIC171" s="125"/>
      <c r="QID171" s="125"/>
      <c r="QIE171" s="125"/>
      <c r="QIF171" s="125"/>
      <c r="QIG171" s="125"/>
      <c r="QIH171" s="125"/>
      <c r="QII171" s="125"/>
      <c r="QIJ171" s="125"/>
      <c r="QIK171" s="125"/>
      <c r="QIL171" s="125"/>
      <c r="QIM171" s="125"/>
      <c r="QIN171" s="125"/>
      <c r="QIO171" s="125"/>
      <c r="QIP171" s="125"/>
      <c r="QIQ171" s="125"/>
      <c r="QIR171" s="125"/>
      <c r="QIS171" s="125"/>
      <c r="QIT171" s="125"/>
      <c r="QIU171" s="125"/>
      <c r="QIV171" s="125"/>
      <c r="QIW171" s="125"/>
      <c r="QIX171" s="125"/>
      <c r="QIY171" s="125"/>
      <c r="QIZ171" s="125"/>
      <c r="QJA171" s="125"/>
      <c r="QJB171" s="125"/>
      <c r="QJC171" s="125"/>
      <c r="QJD171" s="125"/>
      <c r="QJE171" s="125"/>
      <c r="QJF171" s="125"/>
      <c r="QJG171" s="125"/>
      <c r="QJH171" s="125"/>
      <c r="QJI171" s="125"/>
      <c r="QJJ171" s="125"/>
      <c r="QJK171" s="125"/>
      <c r="QJL171" s="125"/>
      <c r="QJM171" s="125"/>
      <c r="QJN171" s="125"/>
      <c r="QJO171" s="125"/>
      <c r="QJP171" s="125"/>
      <c r="QJQ171" s="125"/>
      <c r="QJR171" s="125"/>
      <c r="QJS171" s="125"/>
      <c r="QJT171" s="125"/>
      <c r="QJU171" s="125"/>
      <c r="QJV171" s="125"/>
      <c r="QJW171" s="125"/>
      <c r="QJX171" s="125"/>
      <c r="QJY171" s="125"/>
      <c r="QJZ171" s="125"/>
      <c r="QKA171" s="125"/>
      <c r="QKB171" s="125"/>
      <c r="QKC171" s="125"/>
      <c r="QKD171" s="125"/>
      <c r="QKE171" s="125"/>
      <c r="QKF171" s="125"/>
      <c r="QKG171" s="125"/>
      <c r="QKH171" s="125"/>
      <c r="QKI171" s="125"/>
      <c r="QKJ171" s="125"/>
      <c r="QKK171" s="125"/>
      <c r="QKL171" s="125"/>
      <c r="QKM171" s="125"/>
      <c r="QKN171" s="125"/>
      <c r="QKO171" s="125"/>
      <c r="QKP171" s="125"/>
      <c r="QKQ171" s="125"/>
      <c r="QKR171" s="125"/>
      <c r="QKS171" s="125"/>
      <c r="QKT171" s="125"/>
      <c r="QKU171" s="125"/>
      <c r="QKV171" s="125"/>
      <c r="QKW171" s="125"/>
      <c r="QKX171" s="125"/>
      <c r="QKY171" s="125"/>
      <c r="QKZ171" s="125"/>
      <c r="QLA171" s="125"/>
      <c r="QLB171" s="125"/>
      <c r="QLC171" s="125"/>
      <c r="QLD171" s="125"/>
      <c r="QLE171" s="125"/>
      <c r="QLF171" s="125"/>
      <c r="QLG171" s="125"/>
      <c r="QLH171" s="125"/>
      <c r="QLI171" s="125"/>
      <c r="QLJ171" s="125"/>
      <c r="QLK171" s="125"/>
      <c r="QLL171" s="125"/>
      <c r="QLM171" s="125"/>
      <c r="QLN171" s="125"/>
      <c r="QLO171" s="125"/>
      <c r="QLP171" s="125"/>
      <c r="QLQ171" s="125"/>
      <c r="QLR171" s="125"/>
      <c r="QLS171" s="125"/>
      <c r="QLT171" s="125"/>
      <c r="QLU171" s="125"/>
      <c r="QLV171" s="125"/>
      <c r="QLW171" s="125"/>
      <c r="QLX171" s="125"/>
      <c r="QLY171" s="125"/>
      <c r="QLZ171" s="125"/>
      <c r="QMA171" s="125"/>
      <c r="QMB171" s="125"/>
      <c r="QMC171" s="125"/>
      <c r="QMD171" s="125"/>
      <c r="QME171" s="125"/>
      <c r="QMF171" s="125"/>
      <c r="QMG171" s="125"/>
      <c r="QMH171" s="125"/>
      <c r="QMI171" s="125"/>
      <c r="QMJ171" s="125"/>
      <c r="QMK171" s="125"/>
      <c r="QML171" s="125"/>
      <c r="QMM171" s="125"/>
      <c r="QMN171" s="125"/>
      <c r="QMO171" s="125"/>
      <c r="QMP171" s="125"/>
      <c r="QMQ171" s="125"/>
      <c r="QMR171" s="125"/>
      <c r="QMS171" s="125"/>
      <c r="QMT171" s="125"/>
      <c r="QMU171" s="125"/>
      <c r="QMV171" s="125"/>
      <c r="QMW171" s="125"/>
      <c r="QMX171" s="125"/>
      <c r="QMY171" s="125"/>
      <c r="QMZ171" s="125"/>
      <c r="QNA171" s="125"/>
      <c r="QNB171" s="125"/>
      <c r="QNC171" s="125"/>
      <c r="QND171" s="125"/>
      <c r="QNE171" s="125"/>
      <c r="QNF171" s="125"/>
      <c r="QNG171" s="125"/>
      <c r="QNH171" s="125"/>
      <c r="QNI171" s="125"/>
      <c r="QNJ171" s="125"/>
      <c r="QNK171" s="125"/>
      <c r="QNL171" s="125"/>
      <c r="QNM171" s="125"/>
      <c r="QNN171" s="125"/>
      <c r="QNO171" s="125"/>
      <c r="QNP171" s="125"/>
      <c r="QNQ171" s="125"/>
      <c r="QNR171" s="125"/>
      <c r="QNS171" s="125"/>
      <c r="QNT171" s="125"/>
      <c r="QNU171" s="125"/>
      <c r="QNV171" s="125"/>
      <c r="QNW171" s="125"/>
      <c r="QNX171" s="125"/>
      <c r="QNY171" s="125"/>
      <c r="QNZ171" s="125"/>
      <c r="QOA171" s="125"/>
      <c r="QOB171" s="125"/>
      <c r="QOC171" s="125"/>
      <c r="QOD171" s="125"/>
      <c r="QOE171" s="125"/>
      <c r="QOF171" s="125"/>
      <c r="QOG171" s="125"/>
      <c r="QOH171" s="125"/>
      <c r="QOI171" s="125"/>
      <c r="QOJ171" s="125"/>
      <c r="QOK171" s="125"/>
      <c r="QOL171" s="125"/>
      <c r="QOM171" s="125"/>
      <c r="QON171" s="125"/>
      <c r="QOO171" s="125"/>
      <c r="QOP171" s="125"/>
      <c r="QOQ171" s="125"/>
      <c r="QOR171" s="125"/>
      <c r="QOS171" s="125"/>
      <c r="QOT171" s="125"/>
      <c r="QOU171" s="125"/>
      <c r="QOV171" s="125"/>
      <c r="QOW171" s="125"/>
      <c r="QOX171" s="125"/>
      <c r="QOY171" s="125"/>
      <c r="QOZ171" s="125"/>
      <c r="QPA171" s="125"/>
      <c r="QPB171" s="125"/>
      <c r="QPC171" s="125"/>
      <c r="QPD171" s="125"/>
      <c r="QPE171" s="125"/>
      <c r="QPF171" s="125"/>
      <c r="QPG171" s="125"/>
      <c r="QPH171" s="125"/>
      <c r="QPI171" s="125"/>
      <c r="QPJ171" s="125"/>
      <c r="QPK171" s="125"/>
      <c r="QPL171" s="125"/>
      <c r="QPM171" s="125"/>
      <c r="QPN171" s="125"/>
      <c r="QPO171" s="125"/>
      <c r="QPP171" s="125"/>
      <c r="QPQ171" s="125"/>
      <c r="QPR171" s="125"/>
      <c r="QPS171" s="125"/>
      <c r="QPT171" s="125"/>
      <c r="QPU171" s="125"/>
      <c r="QPV171" s="125"/>
      <c r="QPW171" s="125"/>
      <c r="QPX171" s="125"/>
      <c r="QPY171" s="125"/>
      <c r="QPZ171" s="125"/>
      <c r="QQA171" s="125"/>
      <c r="QQB171" s="125"/>
      <c r="QQC171" s="125"/>
      <c r="QQD171" s="125"/>
      <c r="QQE171" s="125"/>
      <c r="QQF171" s="125"/>
      <c r="QQG171" s="125"/>
      <c r="QQH171" s="125"/>
      <c r="QQI171" s="125"/>
      <c r="QQJ171" s="125"/>
      <c r="QQK171" s="125"/>
      <c r="QQL171" s="125"/>
      <c r="QQM171" s="125"/>
      <c r="QQN171" s="125"/>
      <c r="QQO171" s="125"/>
      <c r="QQP171" s="125"/>
      <c r="QQQ171" s="125"/>
      <c r="QQR171" s="125"/>
      <c r="QQS171" s="125"/>
      <c r="QQT171" s="125"/>
      <c r="QQU171" s="125"/>
      <c r="QQV171" s="125"/>
      <c r="QQW171" s="125"/>
      <c r="QQX171" s="125"/>
      <c r="QQY171" s="125"/>
      <c r="QQZ171" s="125"/>
      <c r="QRA171" s="125"/>
      <c r="QRB171" s="125"/>
      <c r="QRC171" s="125"/>
      <c r="QRD171" s="125"/>
      <c r="QRE171" s="125"/>
      <c r="QRF171" s="125"/>
      <c r="QRG171" s="125"/>
      <c r="QRH171" s="125"/>
      <c r="QRI171" s="125"/>
      <c r="QRJ171" s="125"/>
      <c r="QRK171" s="125"/>
      <c r="QRL171" s="125"/>
      <c r="QRM171" s="125"/>
      <c r="QRN171" s="125"/>
      <c r="QRO171" s="125"/>
      <c r="QRP171" s="125"/>
      <c r="QRQ171" s="125"/>
      <c r="QRR171" s="125"/>
      <c r="QRS171" s="125"/>
      <c r="QRT171" s="125"/>
      <c r="QRU171" s="125"/>
      <c r="QRV171" s="125"/>
      <c r="QRW171" s="125"/>
      <c r="QRX171" s="125"/>
      <c r="QRY171" s="125"/>
      <c r="QRZ171" s="125"/>
      <c r="QSA171" s="125"/>
      <c r="QSB171" s="125"/>
      <c r="QSC171" s="125"/>
      <c r="QSD171" s="125"/>
      <c r="QSE171" s="125"/>
      <c r="QSF171" s="125"/>
      <c r="QSG171" s="125"/>
      <c r="QSH171" s="125"/>
      <c r="QSI171" s="125"/>
      <c r="QSJ171" s="125"/>
      <c r="QSK171" s="125"/>
      <c r="QSL171" s="125"/>
      <c r="QSM171" s="125"/>
      <c r="QSN171" s="125"/>
      <c r="QSO171" s="125"/>
      <c r="QSP171" s="125"/>
      <c r="QSQ171" s="125"/>
      <c r="QSR171" s="125"/>
      <c r="QSS171" s="125"/>
      <c r="QST171" s="125"/>
      <c r="QSU171" s="125"/>
      <c r="QSV171" s="125"/>
      <c r="QSW171" s="125"/>
      <c r="QSX171" s="125"/>
      <c r="QSY171" s="125"/>
      <c r="QSZ171" s="125"/>
      <c r="QTA171" s="125"/>
      <c r="QTB171" s="125"/>
      <c r="QTC171" s="125"/>
      <c r="QTD171" s="125"/>
      <c r="QTE171" s="125"/>
      <c r="QTF171" s="125"/>
      <c r="QTG171" s="125"/>
      <c r="QTH171" s="125"/>
      <c r="QTI171" s="125"/>
      <c r="QTJ171" s="125"/>
      <c r="QTK171" s="125"/>
      <c r="QTL171" s="125"/>
      <c r="QTM171" s="125"/>
      <c r="QTN171" s="125"/>
      <c r="QTO171" s="125"/>
      <c r="QTP171" s="125"/>
      <c r="QTQ171" s="125"/>
      <c r="QTR171" s="125"/>
      <c r="QTS171" s="125"/>
      <c r="QTT171" s="125"/>
      <c r="QTU171" s="125"/>
      <c r="QTV171" s="125"/>
      <c r="QTW171" s="125"/>
      <c r="QTX171" s="125"/>
      <c r="QTY171" s="125"/>
      <c r="QTZ171" s="125"/>
      <c r="QUA171" s="125"/>
      <c r="QUB171" s="125"/>
      <c r="QUC171" s="125"/>
      <c r="QUD171" s="125"/>
      <c r="QUE171" s="125"/>
      <c r="QUF171" s="125"/>
      <c r="QUG171" s="125"/>
      <c r="QUH171" s="125"/>
      <c r="QUI171" s="125"/>
      <c r="QUJ171" s="125"/>
      <c r="QUK171" s="125"/>
      <c r="QUL171" s="125"/>
      <c r="QUM171" s="125"/>
      <c r="QUN171" s="125"/>
      <c r="QUO171" s="125"/>
      <c r="QUP171" s="125"/>
      <c r="QUQ171" s="125"/>
      <c r="QUR171" s="125"/>
      <c r="QUS171" s="125"/>
      <c r="QUT171" s="125"/>
      <c r="QUU171" s="125"/>
      <c r="QUV171" s="125"/>
      <c r="QUW171" s="125"/>
      <c r="QUX171" s="125"/>
      <c r="QUY171" s="125"/>
      <c r="QUZ171" s="125"/>
      <c r="QVA171" s="125"/>
      <c r="QVB171" s="125"/>
      <c r="QVC171" s="125"/>
      <c r="QVD171" s="125"/>
      <c r="QVE171" s="125"/>
      <c r="QVF171" s="125"/>
      <c r="QVG171" s="125"/>
      <c r="QVH171" s="125"/>
      <c r="QVI171" s="125"/>
      <c r="QVJ171" s="125"/>
      <c r="QVK171" s="125"/>
      <c r="QVL171" s="125"/>
      <c r="QVM171" s="125"/>
      <c r="QVN171" s="125"/>
      <c r="QVO171" s="125"/>
      <c r="QVP171" s="125"/>
      <c r="QVQ171" s="125"/>
      <c r="QVR171" s="125"/>
      <c r="QVS171" s="125"/>
      <c r="QVT171" s="125"/>
      <c r="QVU171" s="125"/>
      <c r="QVV171" s="125"/>
      <c r="QVW171" s="125"/>
      <c r="QVX171" s="125"/>
      <c r="QVY171" s="125"/>
      <c r="QVZ171" s="125"/>
      <c r="QWA171" s="125"/>
      <c r="QWB171" s="125"/>
      <c r="QWC171" s="125"/>
      <c r="QWD171" s="125"/>
      <c r="QWE171" s="125"/>
      <c r="QWF171" s="125"/>
      <c r="QWG171" s="125"/>
      <c r="QWH171" s="125"/>
      <c r="QWI171" s="125"/>
      <c r="QWJ171" s="125"/>
      <c r="QWK171" s="125"/>
      <c r="QWL171" s="125"/>
      <c r="QWM171" s="125"/>
      <c r="QWN171" s="125"/>
      <c r="QWO171" s="125"/>
      <c r="QWP171" s="125"/>
      <c r="QWQ171" s="125"/>
      <c r="QWR171" s="125"/>
      <c r="QWS171" s="125"/>
      <c r="QWT171" s="125"/>
      <c r="QWU171" s="125"/>
      <c r="QWV171" s="125"/>
      <c r="QWW171" s="125"/>
      <c r="QWX171" s="125"/>
      <c r="QWY171" s="125"/>
      <c r="QWZ171" s="125"/>
      <c r="QXA171" s="125"/>
      <c r="QXB171" s="125"/>
      <c r="QXC171" s="125"/>
      <c r="QXD171" s="125"/>
      <c r="QXE171" s="125"/>
      <c r="QXF171" s="125"/>
      <c r="QXG171" s="125"/>
      <c r="QXH171" s="125"/>
      <c r="QXI171" s="125"/>
      <c r="QXJ171" s="125"/>
      <c r="QXK171" s="125"/>
      <c r="QXL171" s="125"/>
      <c r="QXM171" s="125"/>
      <c r="QXN171" s="125"/>
      <c r="QXO171" s="125"/>
      <c r="QXP171" s="125"/>
      <c r="QXQ171" s="125"/>
      <c r="QXR171" s="125"/>
      <c r="QXS171" s="125"/>
      <c r="QXT171" s="125"/>
      <c r="QXU171" s="125"/>
      <c r="QXV171" s="125"/>
      <c r="QXW171" s="125"/>
      <c r="QXX171" s="125"/>
      <c r="QXY171" s="125"/>
      <c r="QXZ171" s="125"/>
      <c r="QYA171" s="125"/>
      <c r="QYB171" s="125"/>
      <c r="QYC171" s="125"/>
      <c r="QYD171" s="125"/>
      <c r="QYE171" s="125"/>
      <c r="QYF171" s="125"/>
      <c r="QYG171" s="125"/>
      <c r="QYH171" s="125"/>
      <c r="QYI171" s="125"/>
      <c r="QYJ171" s="125"/>
      <c r="QYK171" s="125"/>
      <c r="QYL171" s="125"/>
      <c r="QYM171" s="125"/>
      <c r="QYN171" s="125"/>
      <c r="QYO171" s="125"/>
      <c r="QYP171" s="125"/>
      <c r="QYQ171" s="125"/>
      <c r="QYR171" s="125"/>
      <c r="QYS171" s="125"/>
      <c r="QYT171" s="125"/>
      <c r="QYU171" s="125"/>
      <c r="QYV171" s="125"/>
      <c r="QYW171" s="125"/>
      <c r="QYX171" s="125"/>
      <c r="QYY171" s="125"/>
      <c r="QYZ171" s="125"/>
      <c r="QZA171" s="125"/>
      <c r="QZB171" s="125"/>
      <c r="QZC171" s="125"/>
      <c r="QZD171" s="125"/>
      <c r="QZE171" s="125"/>
      <c r="QZF171" s="125"/>
      <c r="QZG171" s="125"/>
      <c r="QZH171" s="125"/>
      <c r="QZI171" s="125"/>
      <c r="QZJ171" s="125"/>
      <c r="QZK171" s="125"/>
      <c r="QZL171" s="125"/>
      <c r="QZM171" s="125"/>
      <c r="QZN171" s="125"/>
      <c r="QZO171" s="125"/>
      <c r="QZP171" s="125"/>
      <c r="QZQ171" s="125"/>
      <c r="QZR171" s="125"/>
      <c r="QZS171" s="125"/>
      <c r="QZT171" s="125"/>
      <c r="QZU171" s="125"/>
      <c r="QZV171" s="125"/>
      <c r="QZW171" s="125"/>
      <c r="QZX171" s="125"/>
      <c r="QZY171" s="125"/>
      <c r="QZZ171" s="125"/>
      <c r="RAA171" s="125"/>
      <c r="RAB171" s="125"/>
      <c r="RAC171" s="125"/>
      <c r="RAD171" s="125"/>
      <c r="RAE171" s="125"/>
      <c r="RAF171" s="125"/>
      <c r="RAG171" s="125"/>
      <c r="RAH171" s="125"/>
      <c r="RAI171" s="125"/>
      <c r="RAJ171" s="125"/>
      <c r="RAK171" s="125"/>
      <c r="RAL171" s="125"/>
      <c r="RAM171" s="125"/>
      <c r="RAN171" s="125"/>
      <c r="RAO171" s="125"/>
      <c r="RAP171" s="125"/>
      <c r="RAQ171" s="125"/>
      <c r="RAR171" s="125"/>
      <c r="RAS171" s="125"/>
      <c r="RAT171" s="125"/>
      <c r="RAU171" s="125"/>
      <c r="RAV171" s="125"/>
      <c r="RAW171" s="125"/>
      <c r="RAX171" s="125"/>
      <c r="RAY171" s="125"/>
      <c r="RAZ171" s="125"/>
      <c r="RBA171" s="125"/>
      <c r="RBB171" s="125"/>
      <c r="RBC171" s="125"/>
      <c r="RBD171" s="125"/>
      <c r="RBE171" s="125"/>
      <c r="RBF171" s="125"/>
      <c r="RBG171" s="125"/>
      <c r="RBH171" s="125"/>
      <c r="RBI171" s="125"/>
      <c r="RBJ171" s="125"/>
      <c r="RBK171" s="125"/>
      <c r="RBL171" s="125"/>
      <c r="RBM171" s="125"/>
      <c r="RBN171" s="125"/>
      <c r="RBO171" s="125"/>
      <c r="RBP171" s="125"/>
      <c r="RBQ171" s="125"/>
      <c r="RBR171" s="125"/>
      <c r="RBS171" s="125"/>
      <c r="RBT171" s="125"/>
      <c r="RBU171" s="125"/>
      <c r="RBV171" s="125"/>
      <c r="RBW171" s="125"/>
      <c r="RBX171" s="125"/>
      <c r="RBY171" s="125"/>
      <c r="RBZ171" s="125"/>
      <c r="RCA171" s="125"/>
      <c r="RCB171" s="125"/>
      <c r="RCC171" s="125"/>
      <c r="RCD171" s="125"/>
      <c r="RCE171" s="125"/>
      <c r="RCF171" s="125"/>
      <c r="RCG171" s="125"/>
      <c r="RCH171" s="125"/>
      <c r="RCI171" s="125"/>
      <c r="RCJ171" s="125"/>
      <c r="RCK171" s="125"/>
      <c r="RCL171" s="125"/>
      <c r="RCM171" s="125"/>
      <c r="RCN171" s="125"/>
      <c r="RCO171" s="125"/>
      <c r="RCP171" s="125"/>
      <c r="RCQ171" s="125"/>
      <c r="RCR171" s="125"/>
      <c r="RCS171" s="125"/>
      <c r="RCT171" s="125"/>
      <c r="RCU171" s="125"/>
      <c r="RCV171" s="125"/>
      <c r="RCW171" s="125"/>
      <c r="RCX171" s="125"/>
      <c r="RCY171" s="125"/>
      <c r="RCZ171" s="125"/>
      <c r="RDA171" s="125"/>
      <c r="RDB171" s="125"/>
      <c r="RDC171" s="125"/>
      <c r="RDD171" s="125"/>
      <c r="RDE171" s="125"/>
      <c r="RDF171" s="125"/>
      <c r="RDG171" s="125"/>
      <c r="RDH171" s="125"/>
      <c r="RDI171" s="125"/>
      <c r="RDJ171" s="125"/>
      <c r="RDK171" s="125"/>
      <c r="RDL171" s="125"/>
      <c r="RDM171" s="125"/>
      <c r="RDN171" s="125"/>
      <c r="RDO171" s="125"/>
      <c r="RDP171" s="125"/>
      <c r="RDQ171" s="125"/>
      <c r="RDR171" s="125"/>
      <c r="RDS171" s="125"/>
      <c r="RDT171" s="125"/>
      <c r="RDU171" s="125"/>
      <c r="RDV171" s="125"/>
      <c r="RDW171" s="125"/>
      <c r="RDX171" s="125"/>
      <c r="RDY171" s="125"/>
      <c r="RDZ171" s="125"/>
      <c r="REA171" s="125"/>
      <c r="REB171" s="125"/>
      <c r="REC171" s="125"/>
      <c r="RED171" s="125"/>
      <c r="REE171" s="125"/>
      <c r="REF171" s="125"/>
      <c r="REG171" s="125"/>
      <c r="REH171" s="125"/>
      <c r="REI171" s="125"/>
      <c r="REJ171" s="125"/>
      <c r="REK171" s="125"/>
      <c r="REL171" s="125"/>
      <c r="REM171" s="125"/>
      <c r="REN171" s="125"/>
      <c r="REO171" s="125"/>
      <c r="REP171" s="125"/>
      <c r="REQ171" s="125"/>
      <c r="RER171" s="125"/>
      <c r="RES171" s="125"/>
      <c r="RET171" s="125"/>
      <c r="REU171" s="125"/>
      <c r="REV171" s="125"/>
      <c r="REW171" s="125"/>
      <c r="REX171" s="125"/>
      <c r="REY171" s="125"/>
      <c r="REZ171" s="125"/>
      <c r="RFA171" s="125"/>
      <c r="RFB171" s="125"/>
      <c r="RFC171" s="125"/>
      <c r="RFD171" s="125"/>
      <c r="RFE171" s="125"/>
      <c r="RFF171" s="125"/>
      <c r="RFG171" s="125"/>
      <c r="RFH171" s="125"/>
      <c r="RFI171" s="125"/>
      <c r="RFJ171" s="125"/>
      <c r="RFK171" s="125"/>
      <c r="RFL171" s="125"/>
      <c r="RFM171" s="125"/>
      <c r="RFN171" s="125"/>
      <c r="RFO171" s="125"/>
      <c r="RFP171" s="125"/>
      <c r="RFQ171" s="125"/>
      <c r="RFR171" s="125"/>
      <c r="RFS171" s="125"/>
      <c r="RFT171" s="125"/>
      <c r="RFU171" s="125"/>
      <c r="RFV171" s="125"/>
      <c r="RFW171" s="125"/>
      <c r="RFX171" s="125"/>
      <c r="RFY171" s="125"/>
      <c r="RFZ171" s="125"/>
      <c r="RGA171" s="125"/>
      <c r="RGB171" s="125"/>
      <c r="RGC171" s="125"/>
      <c r="RGD171" s="125"/>
      <c r="RGE171" s="125"/>
      <c r="RGF171" s="125"/>
      <c r="RGG171" s="125"/>
      <c r="RGH171" s="125"/>
      <c r="RGI171" s="125"/>
      <c r="RGJ171" s="125"/>
      <c r="RGK171" s="125"/>
      <c r="RGL171" s="125"/>
      <c r="RGM171" s="125"/>
      <c r="RGN171" s="125"/>
      <c r="RGO171" s="125"/>
      <c r="RGP171" s="125"/>
      <c r="RGQ171" s="125"/>
      <c r="RGR171" s="125"/>
      <c r="RGS171" s="125"/>
      <c r="RGT171" s="125"/>
      <c r="RGU171" s="125"/>
      <c r="RGV171" s="125"/>
      <c r="RGW171" s="125"/>
      <c r="RGX171" s="125"/>
      <c r="RGY171" s="125"/>
      <c r="RGZ171" s="125"/>
      <c r="RHA171" s="125"/>
      <c r="RHB171" s="125"/>
      <c r="RHC171" s="125"/>
      <c r="RHD171" s="125"/>
      <c r="RHE171" s="125"/>
      <c r="RHF171" s="125"/>
      <c r="RHG171" s="125"/>
      <c r="RHH171" s="125"/>
      <c r="RHI171" s="125"/>
      <c r="RHJ171" s="125"/>
      <c r="RHK171" s="125"/>
      <c r="RHL171" s="125"/>
      <c r="RHM171" s="125"/>
      <c r="RHN171" s="125"/>
      <c r="RHO171" s="125"/>
      <c r="RHP171" s="125"/>
      <c r="RHQ171" s="125"/>
      <c r="RHR171" s="125"/>
      <c r="RHS171" s="125"/>
      <c r="RHT171" s="125"/>
      <c r="RHU171" s="125"/>
      <c r="RHV171" s="125"/>
      <c r="RHW171" s="125"/>
      <c r="RHX171" s="125"/>
      <c r="RHY171" s="125"/>
      <c r="RHZ171" s="125"/>
      <c r="RIA171" s="125"/>
      <c r="RIB171" s="125"/>
      <c r="RIC171" s="125"/>
      <c r="RID171" s="125"/>
      <c r="RIE171" s="125"/>
      <c r="RIF171" s="125"/>
      <c r="RIG171" s="125"/>
      <c r="RIH171" s="125"/>
      <c r="RII171" s="125"/>
      <c r="RIJ171" s="125"/>
      <c r="RIK171" s="125"/>
      <c r="RIL171" s="125"/>
      <c r="RIM171" s="125"/>
      <c r="RIN171" s="125"/>
      <c r="RIO171" s="125"/>
      <c r="RIP171" s="125"/>
      <c r="RIQ171" s="125"/>
      <c r="RIR171" s="125"/>
      <c r="RIS171" s="125"/>
      <c r="RIT171" s="125"/>
      <c r="RIU171" s="125"/>
      <c r="RIV171" s="125"/>
      <c r="RIW171" s="125"/>
      <c r="RIX171" s="125"/>
      <c r="RIY171" s="125"/>
      <c r="RIZ171" s="125"/>
      <c r="RJA171" s="125"/>
      <c r="RJB171" s="125"/>
      <c r="RJC171" s="125"/>
      <c r="RJD171" s="125"/>
      <c r="RJE171" s="125"/>
      <c r="RJF171" s="125"/>
      <c r="RJG171" s="125"/>
      <c r="RJH171" s="125"/>
      <c r="RJI171" s="125"/>
      <c r="RJJ171" s="125"/>
      <c r="RJK171" s="125"/>
      <c r="RJL171" s="125"/>
      <c r="RJM171" s="125"/>
      <c r="RJN171" s="125"/>
      <c r="RJO171" s="125"/>
      <c r="RJP171" s="125"/>
      <c r="RJQ171" s="125"/>
      <c r="RJR171" s="125"/>
      <c r="RJS171" s="125"/>
      <c r="RJT171" s="125"/>
      <c r="RJU171" s="125"/>
      <c r="RJV171" s="125"/>
      <c r="RJW171" s="125"/>
      <c r="RJX171" s="125"/>
      <c r="RJY171" s="125"/>
      <c r="RJZ171" s="125"/>
      <c r="RKA171" s="125"/>
      <c r="RKB171" s="125"/>
      <c r="RKC171" s="125"/>
      <c r="RKD171" s="125"/>
      <c r="RKE171" s="125"/>
      <c r="RKF171" s="125"/>
      <c r="RKG171" s="125"/>
      <c r="RKH171" s="125"/>
      <c r="RKI171" s="125"/>
      <c r="RKJ171" s="125"/>
      <c r="RKK171" s="125"/>
      <c r="RKL171" s="125"/>
      <c r="RKM171" s="125"/>
      <c r="RKN171" s="125"/>
      <c r="RKO171" s="125"/>
      <c r="RKP171" s="125"/>
      <c r="RKQ171" s="125"/>
      <c r="RKR171" s="125"/>
      <c r="RKS171" s="125"/>
      <c r="RKT171" s="125"/>
      <c r="RKU171" s="125"/>
      <c r="RKV171" s="125"/>
      <c r="RKW171" s="125"/>
      <c r="RKX171" s="125"/>
      <c r="RKY171" s="125"/>
      <c r="RKZ171" s="125"/>
      <c r="RLA171" s="125"/>
      <c r="RLB171" s="125"/>
      <c r="RLC171" s="125"/>
      <c r="RLD171" s="125"/>
      <c r="RLE171" s="125"/>
      <c r="RLF171" s="125"/>
      <c r="RLG171" s="125"/>
      <c r="RLH171" s="125"/>
      <c r="RLI171" s="125"/>
      <c r="RLJ171" s="125"/>
      <c r="RLK171" s="125"/>
      <c r="RLL171" s="125"/>
      <c r="RLM171" s="125"/>
      <c r="RLN171" s="125"/>
      <c r="RLO171" s="125"/>
      <c r="RLP171" s="125"/>
      <c r="RLQ171" s="125"/>
      <c r="RLR171" s="125"/>
      <c r="RLS171" s="125"/>
      <c r="RLT171" s="125"/>
      <c r="RLU171" s="125"/>
      <c r="RLV171" s="125"/>
      <c r="RLW171" s="125"/>
      <c r="RLX171" s="125"/>
      <c r="RLY171" s="125"/>
      <c r="RLZ171" s="125"/>
      <c r="RMA171" s="125"/>
      <c r="RMB171" s="125"/>
      <c r="RMC171" s="125"/>
      <c r="RMD171" s="125"/>
      <c r="RME171" s="125"/>
      <c r="RMF171" s="125"/>
      <c r="RMG171" s="125"/>
      <c r="RMH171" s="125"/>
      <c r="RMI171" s="125"/>
      <c r="RMJ171" s="125"/>
      <c r="RMK171" s="125"/>
      <c r="RML171" s="125"/>
      <c r="RMM171" s="125"/>
      <c r="RMN171" s="125"/>
      <c r="RMO171" s="125"/>
      <c r="RMP171" s="125"/>
      <c r="RMQ171" s="125"/>
      <c r="RMR171" s="125"/>
      <c r="RMS171" s="125"/>
      <c r="RMT171" s="125"/>
      <c r="RMU171" s="125"/>
      <c r="RMV171" s="125"/>
      <c r="RMW171" s="125"/>
      <c r="RMX171" s="125"/>
      <c r="RMY171" s="125"/>
      <c r="RMZ171" s="125"/>
      <c r="RNA171" s="125"/>
      <c r="RNB171" s="125"/>
      <c r="RNC171" s="125"/>
      <c r="RND171" s="125"/>
      <c r="RNE171" s="125"/>
      <c r="RNF171" s="125"/>
      <c r="RNG171" s="125"/>
      <c r="RNH171" s="125"/>
      <c r="RNI171" s="125"/>
      <c r="RNJ171" s="125"/>
      <c r="RNK171" s="125"/>
      <c r="RNL171" s="125"/>
      <c r="RNM171" s="125"/>
      <c r="RNN171" s="125"/>
      <c r="RNO171" s="125"/>
      <c r="RNP171" s="125"/>
      <c r="RNQ171" s="125"/>
      <c r="RNR171" s="125"/>
      <c r="RNS171" s="125"/>
      <c r="RNT171" s="125"/>
      <c r="RNU171" s="125"/>
      <c r="RNV171" s="125"/>
      <c r="RNW171" s="125"/>
      <c r="RNX171" s="125"/>
      <c r="RNY171" s="125"/>
      <c r="RNZ171" s="125"/>
      <c r="ROA171" s="125"/>
      <c r="ROB171" s="125"/>
      <c r="ROC171" s="125"/>
      <c r="ROD171" s="125"/>
      <c r="ROE171" s="125"/>
      <c r="ROF171" s="125"/>
      <c r="ROG171" s="125"/>
      <c r="ROH171" s="125"/>
      <c r="ROI171" s="125"/>
      <c r="ROJ171" s="125"/>
      <c r="ROK171" s="125"/>
      <c r="ROL171" s="125"/>
      <c r="ROM171" s="125"/>
      <c r="RON171" s="125"/>
      <c r="ROO171" s="125"/>
      <c r="ROP171" s="125"/>
      <c r="ROQ171" s="125"/>
      <c r="ROR171" s="125"/>
      <c r="ROS171" s="125"/>
      <c r="ROT171" s="125"/>
      <c r="ROU171" s="125"/>
      <c r="ROV171" s="125"/>
      <c r="ROW171" s="125"/>
      <c r="ROX171" s="125"/>
      <c r="ROY171" s="125"/>
      <c r="ROZ171" s="125"/>
      <c r="RPA171" s="125"/>
      <c r="RPB171" s="125"/>
      <c r="RPC171" s="125"/>
      <c r="RPD171" s="125"/>
      <c r="RPE171" s="125"/>
      <c r="RPF171" s="125"/>
      <c r="RPG171" s="125"/>
      <c r="RPH171" s="125"/>
      <c r="RPI171" s="125"/>
      <c r="RPJ171" s="125"/>
      <c r="RPK171" s="125"/>
      <c r="RPL171" s="125"/>
      <c r="RPM171" s="125"/>
      <c r="RPN171" s="125"/>
      <c r="RPO171" s="125"/>
      <c r="RPP171" s="125"/>
      <c r="RPQ171" s="125"/>
      <c r="RPR171" s="125"/>
      <c r="RPS171" s="125"/>
      <c r="RPT171" s="125"/>
      <c r="RPU171" s="125"/>
      <c r="RPV171" s="125"/>
      <c r="RPW171" s="125"/>
      <c r="RPX171" s="125"/>
      <c r="RPY171" s="125"/>
      <c r="RPZ171" s="125"/>
      <c r="RQA171" s="125"/>
      <c r="RQB171" s="125"/>
      <c r="RQC171" s="125"/>
      <c r="RQD171" s="125"/>
      <c r="RQE171" s="125"/>
      <c r="RQF171" s="125"/>
      <c r="RQG171" s="125"/>
      <c r="RQH171" s="125"/>
      <c r="RQI171" s="125"/>
      <c r="RQJ171" s="125"/>
      <c r="RQK171" s="125"/>
      <c r="RQL171" s="125"/>
      <c r="RQM171" s="125"/>
      <c r="RQN171" s="125"/>
      <c r="RQO171" s="125"/>
      <c r="RQP171" s="125"/>
      <c r="RQQ171" s="125"/>
      <c r="RQR171" s="125"/>
      <c r="RQS171" s="125"/>
      <c r="RQT171" s="125"/>
      <c r="RQU171" s="125"/>
      <c r="RQV171" s="125"/>
      <c r="RQW171" s="125"/>
      <c r="RQX171" s="125"/>
      <c r="RQY171" s="125"/>
      <c r="RQZ171" s="125"/>
      <c r="RRA171" s="125"/>
      <c r="RRB171" s="125"/>
      <c r="RRC171" s="125"/>
      <c r="RRD171" s="125"/>
      <c r="RRE171" s="125"/>
      <c r="RRF171" s="125"/>
      <c r="RRG171" s="125"/>
      <c r="RRH171" s="125"/>
      <c r="RRI171" s="125"/>
      <c r="RRJ171" s="125"/>
      <c r="RRK171" s="125"/>
      <c r="RRL171" s="125"/>
      <c r="RRM171" s="125"/>
      <c r="RRN171" s="125"/>
      <c r="RRO171" s="125"/>
      <c r="RRP171" s="125"/>
      <c r="RRQ171" s="125"/>
      <c r="RRR171" s="125"/>
      <c r="RRS171" s="125"/>
      <c r="RRT171" s="125"/>
      <c r="RRU171" s="125"/>
      <c r="RRV171" s="125"/>
      <c r="RRW171" s="125"/>
      <c r="RRX171" s="125"/>
      <c r="RRY171" s="125"/>
      <c r="RRZ171" s="125"/>
      <c r="RSA171" s="125"/>
      <c r="RSB171" s="125"/>
      <c r="RSC171" s="125"/>
      <c r="RSD171" s="125"/>
      <c r="RSE171" s="125"/>
      <c r="RSF171" s="125"/>
      <c r="RSG171" s="125"/>
      <c r="RSH171" s="125"/>
      <c r="RSI171" s="125"/>
      <c r="RSJ171" s="125"/>
      <c r="RSK171" s="125"/>
      <c r="RSL171" s="125"/>
      <c r="RSM171" s="125"/>
      <c r="RSN171" s="125"/>
      <c r="RSO171" s="125"/>
      <c r="RSP171" s="125"/>
      <c r="RSQ171" s="125"/>
      <c r="RSR171" s="125"/>
      <c r="RSS171" s="125"/>
      <c r="RST171" s="125"/>
      <c r="RSU171" s="125"/>
      <c r="RSV171" s="125"/>
      <c r="RSW171" s="125"/>
      <c r="RSX171" s="125"/>
      <c r="RSY171" s="125"/>
      <c r="RSZ171" s="125"/>
      <c r="RTA171" s="125"/>
      <c r="RTB171" s="125"/>
      <c r="RTC171" s="125"/>
      <c r="RTD171" s="125"/>
      <c r="RTE171" s="125"/>
      <c r="RTF171" s="125"/>
      <c r="RTG171" s="125"/>
      <c r="RTH171" s="125"/>
      <c r="RTI171" s="125"/>
      <c r="RTJ171" s="125"/>
      <c r="RTK171" s="125"/>
      <c r="RTL171" s="125"/>
      <c r="RTM171" s="125"/>
      <c r="RTN171" s="125"/>
      <c r="RTO171" s="125"/>
      <c r="RTP171" s="125"/>
      <c r="RTQ171" s="125"/>
      <c r="RTR171" s="125"/>
      <c r="RTS171" s="125"/>
      <c r="RTT171" s="125"/>
      <c r="RTU171" s="125"/>
      <c r="RTV171" s="125"/>
      <c r="RTW171" s="125"/>
      <c r="RTX171" s="125"/>
      <c r="RTY171" s="125"/>
      <c r="RTZ171" s="125"/>
      <c r="RUA171" s="125"/>
      <c r="RUB171" s="125"/>
      <c r="RUC171" s="125"/>
      <c r="RUD171" s="125"/>
      <c r="RUE171" s="125"/>
      <c r="RUF171" s="125"/>
      <c r="RUG171" s="125"/>
      <c r="RUH171" s="125"/>
      <c r="RUI171" s="125"/>
      <c r="RUJ171" s="125"/>
      <c r="RUK171" s="125"/>
      <c r="RUL171" s="125"/>
      <c r="RUM171" s="125"/>
      <c r="RUN171" s="125"/>
      <c r="RUO171" s="125"/>
      <c r="RUP171" s="125"/>
      <c r="RUQ171" s="125"/>
      <c r="RUR171" s="125"/>
      <c r="RUS171" s="125"/>
      <c r="RUT171" s="125"/>
      <c r="RUU171" s="125"/>
      <c r="RUV171" s="125"/>
      <c r="RUW171" s="125"/>
      <c r="RUX171" s="125"/>
      <c r="RUY171" s="125"/>
      <c r="RUZ171" s="125"/>
      <c r="RVA171" s="125"/>
      <c r="RVB171" s="125"/>
      <c r="RVC171" s="125"/>
      <c r="RVD171" s="125"/>
      <c r="RVE171" s="125"/>
      <c r="RVF171" s="125"/>
      <c r="RVG171" s="125"/>
      <c r="RVH171" s="125"/>
      <c r="RVI171" s="125"/>
      <c r="RVJ171" s="125"/>
      <c r="RVK171" s="125"/>
      <c r="RVL171" s="125"/>
      <c r="RVM171" s="125"/>
      <c r="RVN171" s="125"/>
      <c r="RVO171" s="125"/>
      <c r="RVP171" s="125"/>
      <c r="RVQ171" s="125"/>
      <c r="RVR171" s="125"/>
      <c r="RVS171" s="125"/>
      <c r="RVT171" s="125"/>
      <c r="RVU171" s="125"/>
      <c r="RVV171" s="125"/>
      <c r="RVW171" s="125"/>
      <c r="RVX171" s="125"/>
      <c r="RVY171" s="125"/>
      <c r="RVZ171" s="125"/>
      <c r="RWA171" s="125"/>
      <c r="RWB171" s="125"/>
      <c r="RWC171" s="125"/>
      <c r="RWD171" s="125"/>
      <c r="RWE171" s="125"/>
      <c r="RWF171" s="125"/>
      <c r="RWG171" s="125"/>
      <c r="RWH171" s="125"/>
      <c r="RWI171" s="125"/>
      <c r="RWJ171" s="125"/>
      <c r="RWK171" s="125"/>
      <c r="RWL171" s="125"/>
      <c r="RWM171" s="125"/>
      <c r="RWN171" s="125"/>
      <c r="RWO171" s="125"/>
      <c r="RWP171" s="125"/>
      <c r="RWQ171" s="125"/>
      <c r="RWR171" s="125"/>
      <c r="RWS171" s="125"/>
      <c r="RWT171" s="125"/>
      <c r="RWU171" s="125"/>
      <c r="RWV171" s="125"/>
      <c r="RWW171" s="125"/>
      <c r="RWX171" s="125"/>
      <c r="RWY171" s="125"/>
      <c r="RWZ171" s="125"/>
      <c r="RXA171" s="125"/>
      <c r="RXB171" s="125"/>
      <c r="RXC171" s="125"/>
      <c r="RXD171" s="125"/>
      <c r="RXE171" s="125"/>
      <c r="RXF171" s="125"/>
      <c r="RXG171" s="125"/>
      <c r="RXH171" s="125"/>
      <c r="RXI171" s="125"/>
      <c r="RXJ171" s="125"/>
      <c r="RXK171" s="125"/>
      <c r="RXL171" s="125"/>
      <c r="RXM171" s="125"/>
      <c r="RXN171" s="125"/>
      <c r="RXO171" s="125"/>
      <c r="RXP171" s="125"/>
      <c r="RXQ171" s="125"/>
      <c r="RXR171" s="125"/>
      <c r="RXS171" s="125"/>
      <c r="RXT171" s="125"/>
      <c r="RXU171" s="125"/>
      <c r="RXV171" s="125"/>
      <c r="RXW171" s="125"/>
      <c r="RXX171" s="125"/>
      <c r="RXY171" s="125"/>
      <c r="RXZ171" s="125"/>
      <c r="RYA171" s="125"/>
      <c r="RYB171" s="125"/>
      <c r="RYC171" s="125"/>
      <c r="RYD171" s="125"/>
      <c r="RYE171" s="125"/>
      <c r="RYF171" s="125"/>
      <c r="RYG171" s="125"/>
      <c r="RYH171" s="125"/>
      <c r="RYI171" s="125"/>
      <c r="RYJ171" s="125"/>
      <c r="RYK171" s="125"/>
      <c r="RYL171" s="125"/>
      <c r="RYM171" s="125"/>
      <c r="RYN171" s="125"/>
      <c r="RYO171" s="125"/>
      <c r="RYP171" s="125"/>
      <c r="RYQ171" s="125"/>
      <c r="RYR171" s="125"/>
      <c r="RYS171" s="125"/>
      <c r="RYT171" s="125"/>
      <c r="RYU171" s="125"/>
      <c r="RYV171" s="125"/>
      <c r="RYW171" s="125"/>
      <c r="RYX171" s="125"/>
      <c r="RYY171" s="125"/>
      <c r="RYZ171" s="125"/>
      <c r="RZA171" s="125"/>
      <c r="RZB171" s="125"/>
      <c r="RZC171" s="125"/>
      <c r="RZD171" s="125"/>
      <c r="RZE171" s="125"/>
      <c r="RZF171" s="125"/>
      <c r="RZG171" s="125"/>
      <c r="RZH171" s="125"/>
      <c r="RZI171" s="125"/>
      <c r="RZJ171" s="125"/>
      <c r="RZK171" s="125"/>
      <c r="RZL171" s="125"/>
      <c r="RZM171" s="125"/>
      <c r="RZN171" s="125"/>
      <c r="RZO171" s="125"/>
      <c r="RZP171" s="125"/>
      <c r="RZQ171" s="125"/>
      <c r="RZR171" s="125"/>
      <c r="RZS171" s="125"/>
      <c r="RZT171" s="125"/>
      <c r="RZU171" s="125"/>
      <c r="RZV171" s="125"/>
      <c r="RZW171" s="125"/>
      <c r="RZX171" s="125"/>
      <c r="RZY171" s="125"/>
      <c r="RZZ171" s="125"/>
      <c r="SAA171" s="125"/>
      <c r="SAB171" s="125"/>
      <c r="SAC171" s="125"/>
      <c r="SAD171" s="125"/>
      <c r="SAE171" s="125"/>
      <c r="SAF171" s="125"/>
      <c r="SAG171" s="125"/>
      <c r="SAH171" s="125"/>
      <c r="SAI171" s="125"/>
      <c r="SAJ171" s="125"/>
      <c r="SAK171" s="125"/>
      <c r="SAL171" s="125"/>
      <c r="SAM171" s="125"/>
      <c r="SAN171" s="125"/>
      <c r="SAO171" s="125"/>
      <c r="SAP171" s="125"/>
      <c r="SAQ171" s="125"/>
      <c r="SAR171" s="125"/>
      <c r="SAS171" s="125"/>
      <c r="SAT171" s="125"/>
      <c r="SAU171" s="125"/>
      <c r="SAV171" s="125"/>
      <c r="SAW171" s="125"/>
      <c r="SAX171" s="125"/>
      <c r="SAY171" s="125"/>
      <c r="SAZ171" s="125"/>
      <c r="SBA171" s="125"/>
      <c r="SBB171" s="125"/>
      <c r="SBC171" s="125"/>
      <c r="SBD171" s="125"/>
      <c r="SBE171" s="125"/>
      <c r="SBF171" s="125"/>
      <c r="SBG171" s="125"/>
      <c r="SBH171" s="125"/>
      <c r="SBI171" s="125"/>
      <c r="SBJ171" s="125"/>
      <c r="SBK171" s="125"/>
      <c r="SBL171" s="125"/>
      <c r="SBM171" s="125"/>
      <c r="SBN171" s="125"/>
      <c r="SBO171" s="125"/>
      <c r="SBP171" s="125"/>
      <c r="SBQ171" s="125"/>
      <c r="SBR171" s="125"/>
      <c r="SBS171" s="125"/>
      <c r="SBT171" s="125"/>
      <c r="SBU171" s="125"/>
      <c r="SBV171" s="125"/>
      <c r="SBW171" s="125"/>
      <c r="SBX171" s="125"/>
      <c r="SBY171" s="125"/>
      <c r="SBZ171" s="125"/>
      <c r="SCA171" s="125"/>
      <c r="SCB171" s="125"/>
      <c r="SCC171" s="125"/>
      <c r="SCD171" s="125"/>
      <c r="SCE171" s="125"/>
      <c r="SCF171" s="125"/>
      <c r="SCG171" s="125"/>
      <c r="SCH171" s="125"/>
      <c r="SCI171" s="125"/>
      <c r="SCJ171" s="125"/>
      <c r="SCK171" s="125"/>
      <c r="SCL171" s="125"/>
      <c r="SCM171" s="125"/>
      <c r="SCN171" s="125"/>
      <c r="SCO171" s="125"/>
      <c r="SCP171" s="125"/>
      <c r="SCQ171" s="125"/>
      <c r="SCR171" s="125"/>
      <c r="SCS171" s="125"/>
      <c r="SCT171" s="125"/>
      <c r="SCU171" s="125"/>
      <c r="SCV171" s="125"/>
      <c r="SCW171" s="125"/>
      <c r="SCX171" s="125"/>
      <c r="SCY171" s="125"/>
      <c r="SCZ171" s="125"/>
      <c r="SDA171" s="125"/>
      <c r="SDB171" s="125"/>
      <c r="SDC171" s="125"/>
      <c r="SDD171" s="125"/>
      <c r="SDE171" s="125"/>
      <c r="SDF171" s="125"/>
      <c r="SDG171" s="125"/>
      <c r="SDH171" s="125"/>
      <c r="SDI171" s="125"/>
      <c r="SDJ171" s="125"/>
      <c r="SDK171" s="125"/>
      <c r="SDL171" s="125"/>
      <c r="SDM171" s="125"/>
      <c r="SDN171" s="125"/>
      <c r="SDO171" s="125"/>
      <c r="SDP171" s="125"/>
      <c r="SDQ171" s="125"/>
      <c r="SDR171" s="125"/>
      <c r="SDS171" s="125"/>
      <c r="SDT171" s="125"/>
      <c r="SDU171" s="125"/>
      <c r="SDV171" s="125"/>
      <c r="SDW171" s="125"/>
      <c r="SDX171" s="125"/>
      <c r="SDY171" s="125"/>
      <c r="SDZ171" s="125"/>
      <c r="SEA171" s="125"/>
      <c r="SEB171" s="125"/>
      <c r="SEC171" s="125"/>
      <c r="SED171" s="125"/>
      <c r="SEE171" s="125"/>
      <c r="SEF171" s="125"/>
      <c r="SEG171" s="125"/>
      <c r="SEH171" s="125"/>
      <c r="SEI171" s="125"/>
      <c r="SEJ171" s="125"/>
      <c r="SEK171" s="125"/>
      <c r="SEL171" s="125"/>
      <c r="SEM171" s="125"/>
      <c r="SEN171" s="125"/>
      <c r="SEO171" s="125"/>
      <c r="SEP171" s="125"/>
      <c r="SEQ171" s="125"/>
      <c r="SER171" s="125"/>
      <c r="SES171" s="125"/>
      <c r="SET171" s="125"/>
      <c r="SEU171" s="125"/>
      <c r="SEV171" s="125"/>
      <c r="SEW171" s="125"/>
      <c r="SEX171" s="125"/>
      <c r="SEY171" s="125"/>
      <c r="SEZ171" s="125"/>
      <c r="SFA171" s="125"/>
      <c r="SFB171" s="125"/>
      <c r="SFC171" s="125"/>
      <c r="SFD171" s="125"/>
      <c r="SFE171" s="125"/>
      <c r="SFF171" s="125"/>
      <c r="SFG171" s="125"/>
      <c r="SFH171" s="125"/>
      <c r="SFI171" s="125"/>
      <c r="SFJ171" s="125"/>
      <c r="SFK171" s="125"/>
      <c r="SFL171" s="125"/>
      <c r="SFM171" s="125"/>
      <c r="SFN171" s="125"/>
      <c r="SFO171" s="125"/>
      <c r="SFP171" s="125"/>
      <c r="SFQ171" s="125"/>
      <c r="SFR171" s="125"/>
      <c r="SFS171" s="125"/>
      <c r="SFT171" s="125"/>
      <c r="SFU171" s="125"/>
      <c r="SFV171" s="125"/>
      <c r="SFW171" s="125"/>
      <c r="SFX171" s="125"/>
      <c r="SFY171" s="125"/>
      <c r="SFZ171" s="125"/>
      <c r="SGA171" s="125"/>
      <c r="SGB171" s="125"/>
      <c r="SGC171" s="125"/>
      <c r="SGD171" s="125"/>
      <c r="SGE171" s="125"/>
      <c r="SGF171" s="125"/>
      <c r="SGG171" s="125"/>
      <c r="SGH171" s="125"/>
      <c r="SGI171" s="125"/>
      <c r="SGJ171" s="125"/>
      <c r="SGK171" s="125"/>
      <c r="SGL171" s="125"/>
      <c r="SGM171" s="125"/>
      <c r="SGN171" s="125"/>
      <c r="SGO171" s="125"/>
      <c r="SGP171" s="125"/>
      <c r="SGQ171" s="125"/>
      <c r="SGR171" s="125"/>
      <c r="SGS171" s="125"/>
      <c r="SGT171" s="125"/>
      <c r="SGU171" s="125"/>
      <c r="SGV171" s="125"/>
      <c r="SGW171" s="125"/>
      <c r="SGX171" s="125"/>
      <c r="SGY171" s="125"/>
      <c r="SGZ171" s="125"/>
      <c r="SHA171" s="125"/>
      <c r="SHB171" s="125"/>
      <c r="SHC171" s="125"/>
      <c r="SHD171" s="125"/>
      <c r="SHE171" s="125"/>
      <c r="SHF171" s="125"/>
      <c r="SHG171" s="125"/>
      <c r="SHH171" s="125"/>
      <c r="SHI171" s="125"/>
      <c r="SHJ171" s="125"/>
      <c r="SHK171" s="125"/>
      <c r="SHL171" s="125"/>
      <c r="SHM171" s="125"/>
      <c r="SHN171" s="125"/>
      <c r="SHO171" s="125"/>
      <c r="SHP171" s="125"/>
      <c r="SHQ171" s="125"/>
      <c r="SHR171" s="125"/>
      <c r="SHS171" s="125"/>
      <c r="SHT171" s="125"/>
      <c r="SHU171" s="125"/>
      <c r="SHV171" s="125"/>
      <c r="SHW171" s="125"/>
      <c r="SHX171" s="125"/>
      <c r="SHY171" s="125"/>
      <c r="SHZ171" s="125"/>
      <c r="SIA171" s="125"/>
      <c r="SIB171" s="125"/>
      <c r="SIC171" s="125"/>
      <c r="SID171" s="125"/>
      <c r="SIE171" s="125"/>
      <c r="SIF171" s="125"/>
      <c r="SIG171" s="125"/>
      <c r="SIH171" s="125"/>
      <c r="SII171" s="125"/>
      <c r="SIJ171" s="125"/>
      <c r="SIK171" s="125"/>
      <c r="SIL171" s="125"/>
      <c r="SIM171" s="125"/>
      <c r="SIN171" s="125"/>
      <c r="SIO171" s="125"/>
      <c r="SIP171" s="125"/>
      <c r="SIQ171" s="125"/>
      <c r="SIR171" s="125"/>
      <c r="SIS171" s="125"/>
      <c r="SIT171" s="125"/>
      <c r="SIU171" s="125"/>
      <c r="SIV171" s="125"/>
      <c r="SIW171" s="125"/>
      <c r="SIX171" s="125"/>
      <c r="SIY171" s="125"/>
      <c r="SIZ171" s="125"/>
      <c r="SJA171" s="125"/>
      <c r="SJB171" s="125"/>
      <c r="SJC171" s="125"/>
      <c r="SJD171" s="125"/>
      <c r="SJE171" s="125"/>
      <c r="SJF171" s="125"/>
      <c r="SJG171" s="125"/>
      <c r="SJH171" s="125"/>
      <c r="SJI171" s="125"/>
      <c r="SJJ171" s="125"/>
      <c r="SJK171" s="125"/>
      <c r="SJL171" s="125"/>
      <c r="SJM171" s="125"/>
      <c r="SJN171" s="125"/>
      <c r="SJO171" s="125"/>
      <c r="SJP171" s="125"/>
      <c r="SJQ171" s="125"/>
      <c r="SJR171" s="125"/>
      <c r="SJS171" s="125"/>
      <c r="SJT171" s="125"/>
      <c r="SJU171" s="125"/>
      <c r="SJV171" s="125"/>
      <c r="SJW171" s="125"/>
      <c r="SJX171" s="125"/>
      <c r="SJY171" s="125"/>
      <c r="SJZ171" s="125"/>
      <c r="SKA171" s="125"/>
      <c r="SKB171" s="125"/>
      <c r="SKC171" s="125"/>
      <c r="SKD171" s="125"/>
      <c r="SKE171" s="125"/>
      <c r="SKF171" s="125"/>
      <c r="SKG171" s="125"/>
      <c r="SKH171" s="125"/>
      <c r="SKI171" s="125"/>
      <c r="SKJ171" s="125"/>
      <c r="SKK171" s="125"/>
      <c r="SKL171" s="125"/>
      <c r="SKM171" s="125"/>
      <c r="SKN171" s="125"/>
      <c r="SKO171" s="125"/>
      <c r="SKP171" s="125"/>
      <c r="SKQ171" s="125"/>
      <c r="SKR171" s="125"/>
      <c r="SKS171" s="125"/>
      <c r="SKT171" s="125"/>
      <c r="SKU171" s="125"/>
      <c r="SKV171" s="125"/>
      <c r="SKW171" s="125"/>
      <c r="SKX171" s="125"/>
      <c r="SKY171" s="125"/>
      <c r="SKZ171" s="125"/>
      <c r="SLA171" s="125"/>
      <c r="SLB171" s="125"/>
      <c r="SLC171" s="125"/>
      <c r="SLD171" s="125"/>
      <c r="SLE171" s="125"/>
      <c r="SLF171" s="125"/>
      <c r="SLG171" s="125"/>
      <c r="SLH171" s="125"/>
      <c r="SLI171" s="125"/>
      <c r="SLJ171" s="125"/>
      <c r="SLK171" s="125"/>
      <c r="SLL171" s="125"/>
      <c r="SLM171" s="125"/>
      <c r="SLN171" s="125"/>
      <c r="SLO171" s="125"/>
      <c r="SLP171" s="125"/>
      <c r="SLQ171" s="125"/>
      <c r="SLR171" s="125"/>
      <c r="SLS171" s="125"/>
      <c r="SLT171" s="125"/>
      <c r="SLU171" s="125"/>
      <c r="SLV171" s="125"/>
      <c r="SLW171" s="125"/>
      <c r="SLX171" s="125"/>
      <c r="SLY171" s="125"/>
      <c r="SLZ171" s="125"/>
      <c r="SMA171" s="125"/>
      <c r="SMB171" s="125"/>
      <c r="SMC171" s="125"/>
      <c r="SMD171" s="125"/>
      <c r="SME171" s="125"/>
      <c r="SMF171" s="125"/>
      <c r="SMG171" s="125"/>
      <c r="SMH171" s="125"/>
      <c r="SMI171" s="125"/>
      <c r="SMJ171" s="125"/>
      <c r="SMK171" s="125"/>
      <c r="SML171" s="125"/>
      <c r="SMM171" s="125"/>
      <c r="SMN171" s="125"/>
      <c r="SMO171" s="125"/>
      <c r="SMP171" s="125"/>
      <c r="SMQ171" s="125"/>
      <c r="SMR171" s="125"/>
      <c r="SMS171" s="125"/>
      <c r="SMT171" s="125"/>
      <c r="SMU171" s="125"/>
      <c r="SMV171" s="125"/>
      <c r="SMW171" s="125"/>
      <c r="SMX171" s="125"/>
      <c r="SMY171" s="125"/>
      <c r="SMZ171" s="125"/>
      <c r="SNA171" s="125"/>
      <c r="SNB171" s="125"/>
      <c r="SNC171" s="125"/>
      <c r="SND171" s="125"/>
      <c r="SNE171" s="125"/>
      <c r="SNF171" s="125"/>
      <c r="SNG171" s="125"/>
      <c r="SNH171" s="125"/>
      <c r="SNI171" s="125"/>
      <c r="SNJ171" s="125"/>
      <c r="SNK171" s="125"/>
      <c r="SNL171" s="125"/>
      <c r="SNM171" s="125"/>
      <c r="SNN171" s="125"/>
      <c r="SNO171" s="125"/>
      <c r="SNP171" s="125"/>
      <c r="SNQ171" s="125"/>
      <c r="SNR171" s="125"/>
      <c r="SNS171" s="125"/>
      <c r="SNT171" s="125"/>
      <c r="SNU171" s="125"/>
      <c r="SNV171" s="125"/>
      <c r="SNW171" s="125"/>
      <c r="SNX171" s="125"/>
      <c r="SNY171" s="125"/>
      <c r="SNZ171" s="125"/>
      <c r="SOA171" s="125"/>
      <c r="SOB171" s="125"/>
      <c r="SOC171" s="125"/>
      <c r="SOD171" s="125"/>
      <c r="SOE171" s="125"/>
      <c r="SOF171" s="125"/>
      <c r="SOG171" s="125"/>
      <c r="SOH171" s="125"/>
      <c r="SOI171" s="125"/>
      <c r="SOJ171" s="125"/>
      <c r="SOK171" s="125"/>
      <c r="SOL171" s="125"/>
      <c r="SOM171" s="125"/>
      <c r="SON171" s="125"/>
      <c r="SOO171" s="125"/>
      <c r="SOP171" s="125"/>
      <c r="SOQ171" s="125"/>
      <c r="SOR171" s="125"/>
      <c r="SOS171" s="125"/>
      <c r="SOT171" s="125"/>
      <c r="SOU171" s="125"/>
      <c r="SOV171" s="125"/>
      <c r="SOW171" s="125"/>
      <c r="SOX171" s="125"/>
      <c r="SOY171" s="125"/>
      <c r="SOZ171" s="125"/>
      <c r="SPA171" s="125"/>
      <c r="SPB171" s="125"/>
      <c r="SPC171" s="125"/>
      <c r="SPD171" s="125"/>
      <c r="SPE171" s="125"/>
      <c r="SPF171" s="125"/>
      <c r="SPG171" s="125"/>
      <c r="SPH171" s="125"/>
      <c r="SPI171" s="125"/>
      <c r="SPJ171" s="125"/>
      <c r="SPK171" s="125"/>
      <c r="SPL171" s="125"/>
      <c r="SPM171" s="125"/>
      <c r="SPN171" s="125"/>
      <c r="SPO171" s="125"/>
      <c r="SPP171" s="125"/>
      <c r="SPQ171" s="125"/>
      <c r="SPR171" s="125"/>
      <c r="SPS171" s="125"/>
      <c r="SPT171" s="125"/>
      <c r="SPU171" s="125"/>
      <c r="SPV171" s="125"/>
      <c r="SPW171" s="125"/>
      <c r="SPX171" s="125"/>
      <c r="SPY171" s="125"/>
      <c r="SPZ171" s="125"/>
      <c r="SQA171" s="125"/>
      <c r="SQB171" s="125"/>
      <c r="SQC171" s="125"/>
      <c r="SQD171" s="125"/>
      <c r="SQE171" s="125"/>
      <c r="SQF171" s="125"/>
      <c r="SQG171" s="125"/>
      <c r="SQH171" s="125"/>
      <c r="SQI171" s="125"/>
      <c r="SQJ171" s="125"/>
      <c r="SQK171" s="125"/>
      <c r="SQL171" s="125"/>
      <c r="SQM171" s="125"/>
      <c r="SQN171" s="125"/>
      <c r="SQO171" s="125"/>
      <c r="SQP171" s="125"/>
      <c r="SQQ171" s="125"/>
      <c r="SQR171" s="125"/>
      <c r="SQS171" s="125"/>
      <c r="SQT171" s="125"/>
      <c r="SQU171" s="125"/>
      <c r="SQV171" s="125"/>
      <c r="SQW171" s="125"/>
      <c r="SQX171" s="125"/>
      <c r="SQY171" s="125"/>
      <c r="SQZ171" s="125"/>
      <c r="SRA171" s="125"/>
      <c r="SRB171" s="125"/>
      <c r="SRC171" s="125"/>
      <c r="SRD171" s="125"/>
      <c r="SRE171" s="125"/>
      <c r="SRF171" s="125"/>
      <c r="SRG171" s="125"/>
      <c r="SRH171" s="125"/>
      <c r="SRI171" s="125"/>
      <c r="SRJ171" s="125"/>
      <c r="SRK171" s="125"/>
      <c r="SRL171" s="125"/>
      <c r="SRM171" s="125"/>
      <c r="SRN171" s="125"/>
      <c r="SRO171" s="125"/>
      <c r="SRP171" s="125"/>
      <c r="SRQ171" s="125"/>
      <c r="SRR171" s="125"/>
      <c r="SRS171" s="125"/>
      <c r="SRT171" s="125"/>
      <c r="SRU171" s="125"/>
      <c r="SRV171" s="125"/>
      <c r="SRW171" s="125"/>
      <c r="SRX171" s="125"/>
      <c r="SRY171" s="125"/>
      <c r="SRZ171" s="125"/>
      <c r="SSA171" s="125"/>
      <c r="SSB171" s="125"/>
      <c r="SSC171" s="125"/>
      <c r="SSD171" s="125"/>
      <c r="SSE171" s="125"/>
      <c r="SSF171" s="125"/>
      <c r="SSG171" s="125"/>
      <c r="SSH171" s="125"/>
      <c r="SSI171" s="125"/>
      <c r="SSJ171" s="125"/>
      <c r="SSK171" s="125"/>
      <c r="SSL171" s="125"/>
      <c r="SSM171" s="125"/>
      <c r="SSN171" s="125"/>
      <c r="SSO171" s="125"/>
      <c r="SSP171" s="125"/>
      <c r="SSQ171" s="125"/>
      <c r="SSR171" s="125"/>
      <c r="SSS171" s="125"/>
      <c r="SST171" s="125"/>
      <c r="SSU171" s="125"/>
      <c r="SSV171" s="125"/>
      <c r="SSW171" s="125"/>
      <c r="SSX171" s="125"/>
      <c r="SSY171" s="125"/>
      <c r="SSZ171" s="125"/>
      <c r="STA171" s="125"/>
      <c r="STB171" s="125"/>
      <c r="STC171" s="125"/>
      <c r="STD171" s="125"/>
      <c r="STE171" s="125"/>
      <c r="STF171" s="125"/>
      <c r="STG171" s="125"/>
      <c r="STH171" s="125"/>
      <c r="STI171" s="125"/>
      <c r="STJ171" s="125"/>
      <c r="STK171" s="125"/>
      <c r="STL171" s="125"/>
      <c r="STM171" s="125"/>
      <c r="STN171" s="125"/>
      <c r="STO171" s="125"/>
      <c r="STP171" s="125"/>
      <c r="STQ171" s="125"/>
      <c r="STR171" s="125"/>
      <c r="STS171" s="125"/>
      <c r="STT171" s="125"/>
      <c r="STU171" s="125"/>
      <c r="STV171" s="125"/>
      <c r="STW171" s="125"/>
      <c r="STX171" s="125"/>
      <c r="STY171" s="125"/>
      <c r="STZ171" s="125"/>
      <c r="SUA171" s="125"/>
      <c r="SUB171" s="125"/>
      <c r="SUC171" s="125"/>
      <c r="SUD171" s="125"/>
      <c r="SUE171" s="125"/>
      <c r="SUF171" s="125"/>
      <c r="SUG171" s="125"/>
      <c r="SUH171" s="125"/>
      <c r="SUI171" s="125"/>
      <c r="SUJ171" s="125"/>
      <c r="SUK171" s="125"/>
      <c r="SUL171" s="125"/>
      <c r="SUM171" s="125"/>
      <c r="SUN171" s="125"/>
      <c r="SUO171" s="125"/>
      <c r="SUP171" s="125"/>
      <c r="SUQ171" s="125"/>
      <c r="SUR171" s="125"/>
      <c r="SUS171" s="125"/>
      <c r="SUT171" s="125"/>
      <c r="SUU171" s="125"/>
      <c r="SUV171" s="125"/>
      <c r="SUW171" s="125"/>
      <c r="SUX171" s="125"/>
      <c r="SUY171" s="125"/>
      <c r="SUZ171" s="125"/>
      <c r="SVA171" s="125"/>
      <c r="SVB171" s="125"/>
      <c r="SVC171" s="125"/>
      <c r="SVD171" s="125"/>
      <c r="SVE171" s="125"/>
      <c r="SVF171" s="125"/>
      <c r="SVG171" s="125"/>
      <c r="SVH171" s="125"/>
      <c r="SVI171" s="125"/>
      <c r="SVJ171" s="125"/>
      <c r="SVK171" s="125"/>
      <c r="SVL171" s="125"/>
      <c r="SVM171" s="125"/>
      <c r="SVN171" s="125"/>
      <c r="SVO171" s="125"/>
      <c r="SVP171" s="125"/>
      <c r="SVQ171" s="125"/>
      <c r="SVR171" s="125"/>
      <c r="SVS171" s="125"/>
      <c r="SVT171" s="125"/>
      <c r="SVU171" s="125"/>
      <c r="SVV171" s="125"/>
      <c r="SVW171" s="125"/>
      <c r="SVX171" s="125"/>
      <c r="SVY171" s="125"/>
      <c r="SVZ171" s="125"/>
      <c r="SWA171" s="125"/>
      <c r="SWB171" s="125"/>
      <c r="SWC171" s="125"/>
      <c r="SWD171" s="125"/>
      <c r="SWE171" s="125"/>
      <c r="SWF171" s="125"/>
      <c r="SWG171" s="125"/>
      <c r="SWH171" s="125"/>
      <c r="SWI171" s="125"/>
      <c r="SWJ171" s="125"/>
      <c r="SWK171" s="125"/>
      <c r="SWL171" s="125"/>
      <c r="SWM171" s="125"/>
      <c r="SWN171" s="125"/>
      <c r="SWO171" s="125"/>
      <c r="SWP171" s="125"/>
      <c r="SWQ171" s="125"/>
      <c r="SWR171" s="125"/>
      <c r="SWS171" s="125"/>
      <c r="SWT171" s="125"/>
      <c r="SWU171" s="125"/>
      <c r="SWV171" s="125"/>
      <c r="SWW171" s="125"/>
      <c r="SWX171" s="125"/>
      <c r="SWY171" s="125"/>
      <c r="SWZ171" s="125"/>
      <c r="SXA171" s="125"/>
      <c r="SXB171" s="125"/>
      <c r="SXC171" s="125"/>
      <c r="SXD171" s="125"/>
      <c r="SXE171" s="125"/>
      <c r="SXF171" s="125"/>
      <c r="SXG171" s="125"/>
      <c r="SXH171" s="125"/>
      <c r="SXI171" s="125"/>
      <c r="SXJ171" s="125"/>
      <c r="SXK171" s="125"/>
      <c r="SXL171" s="125"/>
      <c r="SXM171" s="125"/>
      <c r="SXN171" s="125"/>
      <c r="SXO171" s="125"/>
      <c r="SXP171" s="125"/>
      <c r="SXQ171" s="125"/>
      <c r="SXR171" s="125"/>
      <c r="SXS171" s="125"/>
      <c r="SXT171" s="125"/>
      <c r="SXU171" s="125"/>
      <c r="SXV171" s="125"/>
      <c r="SXW171" s="125"/>
      <c r="SXX171" s="125"/>
      <c r="SXY171" s="125"/>
      <c r="SXZ171" s="125"/>
      <c r="SYA171" s="125"/>
      <c r="SYB171" s="125"/>
      <c r="SYC171" s="125"/>
      <c r="SYD171" s="125"/>
      <c r="SYE171" s="125"/>
      <c r="SYF171" s="125"/>
      <c r="SYG171" s="125"/>
      <c r="SYH171" s="125"/>
      <c r="SYI171" s="125"/>
      <c r="SYJ171" s="125"/>
      <c r="SYK171" s="125"/>
      <c r="SYL171" s="125"/>
      <c r="SYM171" s="125"/>
      <c r="SYN171" s="125"/>
      <c r="SYO171" s="125"/>
      <c r="SYP171" s="125"/>
      <c r="SYQ171" s="125"/>
      <c r="SYR171" s="125"/>
      <c r="SYS171" s="125"/>
      <c r="SYT171" s="125"/>
      <c r="SYU171" s="125"/>
      <c r="SYV171" s="125"/>
      <c r="SYW171" s="125"/>
      <c r="SYX171" s="125"/>
      <c r="SYY171" s="125"/>
      <c r="SYZ171" s="125"/>
      <c r="SZA171" s="125"/>
      <c r="SZB171" s="125"/>
      <c r="SZC171" s="125"/>
      <c r="SZD171" s="125"/>
      <c r="SZE171" s="125"/>
      <c r="SZF171" s="125"/>
      <c r="SZG171" s="125"/>
      <c r="SZH171" s="125"/>
      <c r="SZI171" s="125"/>
      <c r="SZJ171" s="125"/>
      <c r="SZK171" s="125"/>
      <c r="SZL171" s="125"/>
      <c r="SZM171" s="125"/>
      <c r="SZN171" s="125"/>
      <c r="SZO171" s="125"/>
      <c r="SZP171" s="125"/>
      <c r="SZQ171" s="125"/>
      <c r="SZR171" s="125"/>
      <c r="SZS171" s="125"/>
      <c r="SZT171" s="125"/>
      <c r="SZU171" s="125"/>
      <c r="SZV171" s="125"/>
      <c r="SZW171" s="125"/>
      <c r="SZX171" s="125"/>
      <c r="SZY171" s="125"/>
      <c r="SZZ171" s="125"/>
      <c r="TAA171" s="125"/>
      <c r="TAB171" s="125"/>
      <c r="TAC171" s="125"/>
      <c r="TAD171" s="125"/>
      <c r="TAE171" s="125"/>
      <c r="TAF171" s="125"/>
      <c r="TAG171" s="125"/>
      <c r="TAH171" s="125"/>
      <c r="TAI171" s="125"/>
      <c r="TAJ171" s="125"/>
      <c r="TAK171" s="125"/>
      <c r="TAL171" s="125"/>
      <c r="TAM171" s="125"/>
      <c r="TAN171" s="125"/>
      <c r="TAO171" s="125"/>
      <c r="TAP171" s="125"/>
      <c r="TAQ171" s="125"/>
      <c r="TAR171" s="125"/>
      <c r="TAS171" s="125"/>
      <c r="TAT171" s="125"/>
      <c r="TAU171" s="125"/>
      <c r="TAV171" s="125"/>
      <c r="TAW171" s="125"/>
      <c r="TAX171" s="125"/>
      <c r="TAY171" s="125"/>
      <c r="TAZ171" s="125"/>
      <c r="TBA171" s="125"/>
      <c r="TBB171" s="125"/>
      <c r="TBC171" s="125"/>
      <c r="TBD171" s="125"/>
      <c r="TBE171" s="125"/>
      <c r="TBF171" s="125"/>
      <c r="TBG171" s="125"/>
      <c r="TBH171" s="125"/>
      <c r="TBI171" s="125"/>
      <c r="TBJ171" s="125"/>
      <c r="TBK171" s="125"/>
      <c r="TBL171" s="125"/>
      <c r="TBM171" s="125"/>
      <c r="TBN171" s="125"/>
      <c r="TBO171" s="125"/>
      <c r="TBP171" s="125"/>
      <c r="TBQ171" s="125"/>
      <c r="TBR171" s="125"/>
      <c r="TBS171" s="125"/>
      <c r="TBT171" s="125"/>
      <c r="TBU171" s="125"/>
      <c r="TBV171" s="125"/>
      <c r="TBW171" s="125"/>
      <c r="TBX171" s="125"/>
      <c r="TBY171" s="125"/>
      <c r="TBZ171" s="125"/>
      <c r="TCA171" s="125"/>
      <c r="TCB171" s="125"/>
      <c r="TCC171" s="125"/>
      <c r="TCD171" s="125"/>
      <c r="TCE171" s="125"/>
      <c r="TCF171" s="125"/>
      <c r="TCG171" s="125"/>
      <c r="TCH171" s="125"/>
      <c r="TCI171" s="125"/>
      <c r="TCJ171" s="125"/>
      <c r="TCK171" s="125"/>
      <c r="TCL171" s="125"/>
      <c r="TCM171" s="125"/>
      <c r="TCN171" s="125"/>
      <c r="TCO171" s="125"/>
      <c r="TCP171" s="125"/>
      <c r="TCQ171" s="125"/>
      <c r="TCR171" s="125"/>
      <c r="TCS171" s="125"/>
      <c r="TCT171" s="125"/>
      <c r="TCU171" s="125"/>
      <c r="TCV171" s="125"/>
      <c r="TCW171" s="125"/>
      <c r="TCX171" s="125"/>
      <c r="TCY171" s="125"/>
      <c r="TCZ171" s="125"/>
      <c r="TDA171" s="125"/>
      <c r="TDB171" s="125"/>
      <c r="TDC171" s="125"/>
      <c r="TDD171" s="125"/>
      <c r="TDE171" s="125"/>
      <c r="TDF171" s="125"/>
      <c r="TDG171" s="125"/>
      <c r="TDH171" s="125"/>
      <c r="TDI171" s="125"/>
      <c r="TDJ171" s="125"/>
      <c r="TDK171" s="125"/>
      <c r="TDL171" s="125"/>
      <c r="TDM171" s="125"/>
      <c r="TDN171" s="125"/>
      <c r="TDO171" s="125"/>
      <c r="TDP171" s="125"/>
      <c r="TDQ171" s="125"/>
      <c r="TDR171" s="125"/>
      <c r="TDS171" s="125"/>
      <c r="TDT171" s="125"/>
      <c r="TDU171" s="125"/>
      <c r="TDV171" s="125"/>
      <c r="TDW171" s="125"/>
      <c r="TDX171" s="125"/>
      <c r="TDY171" s="125"/>
      <c r="TDZ171" s="125"/>
      <c r="TEA171" s="125"/>
      <c r="TEB171" s="125"/>
      <c r="TEC171" s="125"/>
      <c r="TED171" s="125"/>
      <c r="TEE171" s="125"/>
      <c r="TEF171" s="125"/>
      <c r="TEG171" s="125"/>
      <c r="TEH171" s="125"/>
      <c r="TEI171" s="125"/>
      <c r="TEJ171" s="125"/>
      <c r="TEK171" s="125"/>
      <c r="TEL171" s="125"/>
      <c r="TEM171" s="125"/>
      <c r="TEN171" s="125"/>
      <c r="TEO171" s="125"/>
      <c r="TEP171" s="125"/>
      <c r="TEQ171" s="125"/>
      <c r="TER171" s="125"/>
      <c r="TES171" s="125"/>
      <c r="TET171" s="125"/>
      <c r="TEU171" s="125"/>
      <c r="TEV171" s="125"/>
      <c r="TEW171" s="125"/>
      <c r="TEX171" s="125"/>
      <c r="TEY171" s="125"/>
      <c r="TEZ171" s="125"/>
      <c r="TFA171" s="125"/>
      <c r="TFB171" s="125"/>
      <c r="TFC171" s="125"/>
      <c r="TFD171" s="125"/>
      <c r="TFE171" s="125"/>
      <c r="TFF171" s="125"/>
      <c r="TFG171" s="125"/>
      <c r="TFH171" s="125"/>
      <c r="TFI171" s="125"/>
      <c r="TFJ171" s="125"/>
      <c r="TFK171" s="125"/>
      <c r="TFL171" s="125"/>
      <c r="TFM171" s="125"/>
      <c r="TFN171" s="125"/>
      <c r="TFO171" s="125"/>
      <c r="TFP171" s="125"/>
      <c r="TFQ171" s="125"/>
      <c r="TFR171" s="125"/>
      <c r="TFS171" s="125"/>
      <c r="TFT171" s="125"/>
      <c r="TFU171" s="125"/>
      <c r="TFV171" s="125"/>
      <c r="TFW171" s="125"/>
      <c r="TFX171" s="125"/>
      <c r="TFY171" s="125"/>
      <c r="TFZ171" s="125"/>
      <c r="TGA171" s="125"/>
      <c r="TGB171" s="125"/>
      <c r="TGC171" s="125"/>
      <c r="TGD171" s="125"/>
      <c r="TGE171" s="125"/>
      <c r="TGF171" s="125"/>
      <c r="TGG171" s="125"/>
      <c r="TGH171" s="125"/>
      <c r="TGI171" s="125"/>
      <c r="TGJ171" s="125"/>
      <c r="TGK171" s="125"/>
      <c r="TGL171" s="125"/>
      <c r="TGM171" s="125"/>
      <c r="TGN171" s="125"/>
      <c r="TGO171" s="125"/>
      <c r="TGP171" s="125"/>
      <c r="TGQ171" s="125"/>
      <c r="TGR171" s="125"/>
      <c r="TGS171" s="125"/>
      <c r="TGT171" s="125"/>
      <c r="TGU171" s="125"/>
      <c r="TGV171" s="125"/>
      <c r="TGW171" s="125"/>
      <c r="TGX171" s="125"/>
      <c r="TGY171" s="125"/>
      <c r="TGZ171" s="125"/>
      <c r="THA171" s="125"/>
      <c r="THB171" s="125"/>
      <c r="THC171" s="125"/>
      <c r="THD171" s="125"/>
      <c r="THE171" s="125"/>
      <c r="THF171" s="125"/>
      <c r="THG171" s="125"/>
      <c r="THH171" s="125"/>
      <c r="THI171" s="125"/>
      <c r="THJ171" s="125"/>
      <c r="THK171" s="125"/>
      <c r="THL171" s="125"/>
      <c r="THM171" s="125"/>
      <c r="THN171" s="125"/>
      <c r="THO171" s="125"/>
      <c r="THP171" s="125"/>
      <c r="THQ171" s="125"/>
      <c r="THR171" s="125"/>
      <c r="THS171" s="125"/>
      <c r="THT171" s="125"/>
      <c r="THU171" s="125"/>
      <c r="THV171" s="125"/>
      <c r="THW171" s="125"/>
      <c r="THX171" s="125"/>
      <c r="THY171" s="125"/>
      <c r="THZ171" s="125"/>
      <c r="TIA171" s="125"/>
      <c r="TIB171" s="125"/>
      <c r="TIC171" s="125"/>
      <c r="TID171" s="125"/>
      <c r="TIE171" s="125"/>
      <c r="TIF171" s="125"/>
      <c r="TIG171" s="125"/>
      <c r="TIH171" s="125"/>
      <c r="TII171" s="125"/>
      <c r="TIJ171" s="125"/>
      <c r="TIK171" s="125"/>
      <c r="TIL171" s="125"/>
      <c r="TIM171" s="125"/>
      <c r="TIN171" s="125"/>
      <c r="TIO171" s="125"/>
      <c r="TIP171" s="125"/>
      <c r="TIQ171" s="125"/>
      <c r="TIR171" s="125"/>
      <c r="TIS171" s="125"/>
      <c r="TIT171" s="125"/>
      <c r="TIU171" s="125"/>
      <c r="TIV171" s="125"/>
      <c r="TIW171" s="125"/>
      <c r="TIX171" s="125"/>
      <c r="TIY171" s="125"/>
      <c r="TIZ171" s="125"/>
      <c r="TJA171" s="125"/>
      <c r="TJB171" s="125"/>
      <c r="TJC171" s="125"/>
      <c r="TJD171" s="125"/>
      <c r="TJE171" s="125"/>
      <c r="TJF171" s="125"/>
      <c r="TJG171" s="125"/>
      <c r="TJH171" s="125"/>
      <c r="TJI171" s="125"/>
      <c r="TJJ171" s="125"/>
      <c r="TJK171" s="125"/>
      <c r="TJL171" s="125"/>
      <c r="TJM171" s="125"/>
      <c r="TJN171" s="125"/>
      <c r="TJO171" s="125"/>
      <c r="TJP171" s="125"/>
      <c r="TJQ171" s="125"/>
      <c r="TJR171" s="125"/>
      <c r="TJS171" s="125"/>
      <c r="TJT171" s="125"/>
      <c r="TJU171" s="125"/>
      <c r="TJV171" s="125"/>
      <c r="TJW171" s="125"/>
      <c r="TJX171" s="125"/>
      <c r="TJY171" s="125"/>
      <c r="TJZ171" s="125"/>
      <c r="TKA171" s="125"/>
      <c r="TKB171" s="125"/>
      <c r="TKC171" s="125"/>
      <c r="TKD171" s="125"/>
      <c r="TKE171" s="125"/>
      <c r="TKF171" s="125"/>
      <c r="TKG171" s="125"/>
      <c r="TKH171" s="125"/>
      <c r="TKI171" s="125"/>
      <c r="TKJ171" s="125"/>
      <c r="TKK171" s="125"/>
      <c r="TKL171" s="125"/>
      <c r="TKM171" s="125"/>
      <c r="TKN171" s="125"/>
      <c r="TKO171" s="125"/>
      <c r="TKP171" s="125"/>
      <c r="TKQ171" s="125"/>
      <c r="TKR171" s="125"/>
      <c r="TKS171" s="125"/>
      <c r="TKT171" s="125"/>
      <c r="TKU171" s="125"/>
      <c r="TKV171" s="125"/>
      <c r="TKW171" s="125"/>
      <c r="TKX171" s="125"/>
      <c r="TKY171" s="125"/>
      <c r="TKZ171" s="125"/>
      <c r="TLA171" s="125"/>
      <c r="TLB171" s="125"/>
      <c r="TLC171" s="125"/>
      <c r="TLD171" s="125"/>
      <c r="TLE171" s="125"/>
      <c r="TLF171" s="125"/>
      <c r="TLG171" s="125"/>
      <c r="TLH171" s="125"/>
      <c r="TLI171" s="125"/>
      <c r="TLJ171" s="125"/>
      <c r="TLK171" s="125"/>
      <c r="TLL171" s="125"/>
      <c r="TLM171" s="125"/>
      <c r="TLN171" s="125"/>
      <c r="TLO171" s="125"/>
      <c r="TLP171" s="125"/>
      <c r="TLQ171" s="125"/>
      <c r="TLR171" s="125"/>
      <c r="TLS171" s="125"/>
      <c r="TLT171" s="125"/>
      <c r="TLU171" s="125"/>
      <c r="TLV171" s="125"/>
      <c r="TLW171" s="125"/>
      <c r="TLX171" s="125"/>
      <c r="TLY171" s="125"/>
      <c r="TLZ171" s="125"/>
      <c r="TMA171" s="125"/>
      <c r="TMB171" s="125"/>
      <c r="TMC171" s="125"/>
      <c r="TMD171" s="125"/>
      <c r="TME171" s="125"/>
      <c r="TMF171" s="125"/>
      <c r="TMG171" s="125"/>
      <c r="TMH171" s="125"/>
      <c r="TMI171" s="125"/>
      <c r="TMJ171" s="125"/>
      <c r="TMK171" s="125"/>
      <c r="TML171" s="125"/>
      <c r="TMM171" s="125"/>
      <c r="TMN171" s="125"/>
      <c r="TMO171" s="125"/>
      <c r="TMP171" s="125"/>
      <c r="TMQ171" s="125"/>
      <c r="TMR171" s="125"/>
      <c r="TMS171" s="125"/>
      <c r="TMT171" s="125"/>
      <c r="TMU171" s="125"/>
      <c r="TMV171" s="125"/>
      <c r="TMW171" s="125"/>
      <c r="TMX171" s="125"/>
      <c r="TMY171" s="125"/>
      <c r="TMZ171" s="125"/>
      <c r="TNA171" s="125"/>
      <c r="TNB171" s="125"/>
      <c r="TNC171" s="125"/>
      <c r="TND171" s="125"/>
      <c r="TNE171" s="125"/>
      <c r="TNF171" s="125"/>
      <c r="TNG171" s="125"/>
      <c r="TNH171" s="125"/>
      <c r="TNI171" s="125"/>
      <c r="TNJ171" s="125"/>
      <c r="TNK171" s="125"/>
      <c r="TNL171" s="125"/>
      <c r="TNM171" s="125"/>
      <c r="TNN171" s="125"/>
      <c r="TNO171" s="125"/>
      <c r="TNP171" s="125"/>
      <c r="TNQ171" s="125"/>
      <c r="TNR171" s="125"/>
      <c r="TNS171" s="125"/>
      <c r="TNT171" s="125"/>
      <c r="TNU171" s="125"/>
      <c r="TNV171" s="125"/>
      <c r="TNW171" s="125"/>
      <c r="TNX171" s="125"/>
      <c r="TNY171" s="125"/>
      <c r="TNZ171" s="125"/>
      <c r="TOA171" s="125"/>
      <c r="TOB171" s="125"/>
      <c r="TOC171" s="125"/>
      <c r="TOD171" s="125"/>
      <c r="TOE171" s="125"/>
      <c r="TOF171" s="125"/>
      <c r="TOG171" s="125"/>
      <c r="TOH171" s="125"/>
      <c r="TOI171" s="125"/>
      <c r="TOJ171" s="125"/>
      <c r="TOK171" s="125"/>
      <c r="TOL171" s="125"/>
      <c r="TOM171" s="125"/>
      <c r="TON171" s="125"/>
      <c r="TOO171" s="125"/>
      <c r="TOP171" s="125"/>
      <c r="TOQ171" s="125"/>
      <c r="TOR171" s="125"/>
      <c r="TOS171" s="125"/>
      <c r="TOT171" s="125"/>
      <c r="TOU171" s="125"/>
      <c r="TOV171" s="125"/>
      <c r="TOW171" s="125"/>
      <c r="TOX171" s="125"/>
      <c r="TOY171" s="125"/>
      <c r="TOZ171" s="125"/>
      <c r="TPA171" s="125"/>
      <c r="TPB171" s="125"/>
      <c r="TPC171" s="125"/>
      <c r="TPD171" s="125"/>
      <c r="TPE171" s="125"/>
      <c r="TPF171" s="125"/>
      <c r="TPG171" s="125"/>
      <c r="TPH171" s="125"/>
      <c r="TPI171" s="125"/>
      <c r="TPJ171" s="125"/>
      <c r="TPK171" s="125"/>
      <c r="TPL171" s="125"/>
      <c r="TPM171" s="125"/>
      <c r="TPN171" s="125"/>
      <c r="TPO171" s="125"/>
      <c r="TPP171" s="125"/>
      <c r="TPQ171" s="125"/>
      <c r="TPR171" s="125"/>
      <c r="TPS171" s="125"/>
      <c r="TPT171" s="125"/>
      <c r="TPU171" s="125"/>
      <c r="TPV171" s="125"/>
      <c r="TPW171" s="125"/>
      <c r="TPX171" s="125"/>
      <c r="TPY171" s="125"/>
      <c r="TPZ171" s="125"/>
      <c r="TQA171" s="125"/>
      <c r="TQB171" s="125"/>
      <c r="TQC171" s="125"/>
      <c r="TQD171" s="125"/>
      <c r="TQE171" s="125"/>
      <c r="TQF171" s="125"/>
      <c r="TQG171" s="125"/>
      <c r="TQH171" s="125"/>
      <c r="TQI171" s="125"/>
      <c r="TQJ171" s="125"/>
      <c r="TQK171" s="125"/>
      <c r="TQL171" s="125"/>
      <c r="TQM171" s="125"/>
      <c r="TQN171" s="125"/>
      <c r="TQO171" s="125"/>
      <c r="TQP171" s="125"/>
      <c r="TQQ171" s="125"/>
      <c r="TQR171" s="125"/>
      <c r="TQS171" s="125"/>
      <c r="TQT171" s="125"/>
      <c r="TQU171" s="125"/>
      <c r="TQV171" s="125"/>
      <c r="TQW171" s="125"/>
      <c r="TQX171" s="125"/>
      <c r="TQY171" s="125"/>
      <c r="TQZ171" s="125"/>
      <c r="TRA171" s="125"/>
      <c r="TRB171" s="125"/>
      <c r="TRC171" s="125"/>
      <c r="TRD171" s="125"/>
      <c r="TRE171" s="125"/>
      <c r="TRF171" s="125"/>
      <c r="TRG171" s="125"/>
      <c r="TRH171" s="125"/>
      <c r="TRI171" s="125"/>
      <c r="TRJ171" s="125"/>
      <c r="TRK171" s="125"/>
      <c r="TRL171" s="125"/>
      <c r="TRM171" s="125"/>
      <c r="TRN171" s="125"/>
      <c r="TRO171" s="125"/>
      <c r="TRP171" s="125"/>
      <c r="TRQ171" s="125"/>
      <c r="TRR171" s="125"/>
      <c r="TRS171" s="125"/>
      <c r="TRT171" s="125"/>
      <c r="TRU171" s="125"/>
      <c r="TRV171" s="125"/>
      <c r="TRW171" s="125"/>
      <c r="TRX171" s="125"/>
      <c r="TRY171" s="125"/>
      <c r="TRZ171" s="125"/>
      <c r="TSA171" s="125"/>
      <c r="TSB171" s="125"/>
      <c r="TSC171" s="125"/>
      <c r="TSD171" s="125"/>
      <c r="TSE171" s="125"/>
      <c r="TSF171" s="125"/>
      <c r="TSG171" s="125"/>
      <c r="TSH171" s="125"/>
      <c r="TSI171" s="125"/>
      <c r="TSJ171" s="125"/>
      <c r="TSK171" s="125"/>
      <c r="TSL171" s="125"/>
      <c r="TSM171" s="125"/>
      <c r="TSN171" s="125"/>
      <c r="TSO171" s="125"/>
      <c r="TSP171" s="125"/>
      <c r="TSQ171" s="125"/>
      <c r="TSR171" s="125"/>
      <c r="TSS171" s="125"/>
      <c r="TST171" s="125"/>
      <c r="TSU171" s="125"/>
      <c r="TSV171" s="125"/>
      <c r="TSW171" s="125"/>
      <c r="TSX171" s="125"/>
      <c r="TSY171" s="125"/>
      <c r="TSZ171" s="125"/>
      <c r="TTA171" s="125"/>
      <c r="TTB171" s="125"/>
      <c r="TTC171" s="125"/>
      <c r="TTD171" s="125"/>
      <c r="TTE171" s="125"/>
      <c r="TTF171" s="125"/>
      <c r="TTG171" s="125"/>
      <c r="TTH171" s="125"/>
      <c r="TTI171" s="125"/>
      <c r="TTJ171" s="125"/>
      <c r="TTK171" s="125"/>
      <c r="TTL171" s="125"/>
      <c r="TTM171" s="125"/>
      <c r="TTN171" s="125"/>
      <c r="TTO171" s="125"/>
      <c r="TTP171" s="125"/>
      <c r="TTQ171" s="125"/>
      <c r="TTR171" s="125"/>
      <c r="TTS171" s="125"/>
      <c r="TTT171" s="125"/>
      <c r="TTU171" s="125"/>
      <c r="TTV171" s="125"/>
      <c r="TTW171" s="125"/>
      <c r="TTX171" s="125"/>
      <c r="TTY171" s="125"/>
      <c r="TTZ171" s="125"/>
      <c r="TUA171" s="125"/>
      <c r="TUB171" s="125"/>
      <c r="TUC171" s="125"/>
      <c r="TUD171" s="125"/>
      <c r="TUE171" s="125"/>
      <c r="TUF171" s="125"/>
      <c r="TUG171" s="125"/>
      <c r="TUH171" s="125"/>
      <c r="TUI171" s="125"/>
      <c r="TUJ171" s="125"/>
      <c r="TUK171" s="125"/>
      <c r="TUL171" s="125"/>
      <c r="TUM171" s="125"/>
      <c r="TUN171" s="125"/>
      <c r="TUO171" s="125"/>
      <c r="TUP171" s="125"/>
      <c r="TUQ171" s="125"/>
      <c r="TUR171" s="125"/>
      <c r="TUS171" s="125"/>
      <c r="TUT171" s="125"/>
      <c r="TUU171" s="125"/>
      <c r="TUV171" s="125"/>
      <c r="TUW171" s="125"/>
      <c r="TUX171" s="125"/>
      <c r="TUY171" s="125"/>
      <c r="TUZ171" s="125"/>
      <c r="TVA171" s="125"/>
      <c r="TVB171" s="125"/>
      <c r="TVC171" s="125"/>
      <c r="TVD171" s="125"/>
      <c r="TVE171" s="125"/>
      <c r="TVF171" s="125"/>
      <c r="TVG171" s="125"/>
      <c r="TVH171" s="125"/>
      <c r="TVI171" s="125"/>
      <c r="TVJ171" s="125"/>
      <c r="TVK171" s="125"/>
      <c r="TVL171" s="125"/>
      <c r="TVM171" s="125"/>
      <c r="TVN171" s="125"/>
      <c r="TVO171" s="125"/>
      <c r="TVP171" s="125"/>
      <c r="TVQ171" s="125"/>
      <c r="TVR171" s="125"/>
      <c r="TVS171" s="125"/>
      <c r="TVT171" s="125"/>
      <c r="TVU171" s="125"/>
      <c r="TVV171" s="125"/>
      <c r="TVW171" s="125"/>
      <c r="TVX171" s="125"/>
      <c r="TVY171" s="125"/>
      <c r="TVZ171" s="125"/>
      <c r="TWA171" s="125"/>
      <c r="TWB171" s="125"/>
      <c r="TWC171" s="125"/>
      <c r="TWD171" s="125"/>
      <c r="TWE171" s="125"/>
      <c r="TWF171" s="125"/>
      <c r="TWG171" s="125"/>
      <c r="TWH171" s="125"/>
      <c r="TWI171" s="125"/>
      <c r="TWJ171" s="125"/>
      <c r="TWK171" s="125"/>
      <c r="TWL171" s="125"/>
      <c r="TWM171" s="125"/>
      <c r="TWN171" s="125"/>
      <c r="TWO171" s="125"/>
      <c r="TWP171" s="125"/>
      <c r="TWQ171" s="125"/>
      <c r="TWR171" s="125"/>
      <c r="TWS171" s="125"/>
      <c r="TWT171" s="125"/>
      <c r="TWU171" s="125"/>
      <c r="TWV171" s="125"/>
      <c r="TWW171" s="125"/>
      <c r="TWX171" s="125"/>
      <c r="TWY171" s="125"/>
      <c r="TWZ171" s="125"/>
      <c r="TXA171" s="125"/>
      <c r="TXB171" s="125"/>
      <c r="TXC171" s="125"/>
      <c r="TXD171" s="125"/>
      <c r="TXE171" s="125"/>
      <c r="TXF171" s="125"/>
      <c r="TXG171" s="125"/>
      <c r="TXH171" s="125"/>
      <c r="TXI171" s="125"/>
      <c r="TXJ171" s="125"/>
      <c r="TXK171" s="125"/>
      <c r="TXL171" s="125"/>
      <c r="TXM171" s="125"/>
      <c r="TXN171" s="125"/>
      <c r="TXO171" s="125"/>
      <c r="TXP171" s="125"/>
      <c r="TXQ171" s="125"/>
      <c r="TXR171" s="125"/>
      <c r="TXS171" s="125"/>
      <c r="TXT171" s="125"/>
      <c r="TXU171" s="125"/>
      <c r="TXV171" s="125"/>
      <c r="TXW171" s="125"/>
      <c r="TXX171" s="125"/>
      <c r="TXY171" s="125"/>
      <c r="TXZ171" s="125"/>
      <c r="TYA171" s="125"/>
      <c r="TYB171" s="125"/>
      <c r="TYC171" s="125"/>
      <c r="TYD171" s="125"/>
      <c r="TYE171" s="125"/>
      <c r="TYF171" s="125"/>
      <c r="TYG171" s="125"/>
      <c r="TYH171" s="125"/>
      <c r="TYI171" s="125"/>
      <c r="TYJ171" s="125"/>
      <c r="TYK171" s="125"/>
      <c r="TYL171" s="125"/>
      <c r="TYM171" s="125"/>
      <c r="TYN171" s="125"/>
      <c r="TYO171" s="125"/>
      <c r="TYP171" s="125"/>
      <c r="TYQ171" s="125"/>
      <c r="TYR171" s="125"/>
      <c r="TYS171" s="125"/>
      <c r="TYT171" s="125"/>
      <c r="TYU171" s="125"/>
      <c r="TYV171" s="125"/>
      <c r="TYW171" s="125"/>
      <c r="TYX171" s="125"/>
      <c r="TYY171" s="125"/>
      <c r="TYZ171" s="125"/>
      <c r="TZA171" s="125"/>
      <c r="TZB171" s="125"/>
      <c r="TZC171" s="125"/>
      <c r="TZD171" s="125"/>
      <c r="TZE171" s="125"/>
      <c r="TZF171" s="125"/>
      <c r="TZG171" s="125"/>
      <c r="TZH171" s="125"/>
      <c r="TZI171" s="125"/>
      <c r="TZJ171" s="125"/>
      <c r="TZK171" s="125"/>
      <c r="TZL171" s="125"/>
      <c r="TZM171" s="125"/>
      <c r="TZN171" s="125"/>
      <c r="TZO171" s="125"/>
      <c r="TZP171" s="125"/>
      <c r="TZQ171" s="125"/>
      <c r="TZR171" s="125"/>
      <c r="TZS171" s="125"/>
      <c r="TZT171" s="125"/>
      <c r="TZU171" s="125"/>
      <c r="TZV171" s="125"/>
      <c r="TZW171" s="125"/>
      <c r="TZX171" s="125"/>
      <c r="TZY171" s="125"/>
      <c r="TZZ171" s="125"/>
      <c r="UAA171" s="125"/>
      <c r="UAB171" s="125"/>
      <c r="UAC171" s="125"/>
      <c r="UAD171" s="125"/>
      <c r="UAE171" s="125"/>
      <c r="UAF171" s="125"/>
      <c r="UAG171" s="125"/>
      <c r="UAH171" s="125"/>
      <c r="UAI171" s="125"/>
      <c r="UAJ171" s="125"/>
      <c r="UAK171" s="125"/>
      <c r="UAL171" s="125"/>
      <c r="UAM171" s="125"/>
      <c r="UAN171" s="125"/>
      <c r="UAO171" s="125"/>
      <c r="UAP171" s="125"/>
      <c r="UAQ171" s="125"/>
      <c r="UAR171" s="125"/>
      <c r="UAS171" s="125"/>
      <c r="UAT171" s="125"/>
      <c r="UAU171" s="125"/>
      <c r="UAV171" s="125"/>
      <c r="UAW171" s="125"/>
      <c r="UAX171" s="125"/>
      <c r="UAY171" s="125"/>
      <c r="UAZ171" s="125"/>
      <c r="UBA171" s="125"/>
      <c r="UBB171" s="125"/>
      <c r="UBC171" s="125"/>
      <c r="UBD171" s="125"/>
      <c r="UBE171" s="125"/>
      <c r="UBF171" s="125"/>
      <c r="UBG171" s="125"/>
      <c r="UBH171" s="125"/>
      <c r="UBI171" s="125"/>
      <c r="UBJ171" s="125"/>
      <c r="UBK171" s="125"/>
      <c r="UBL171" s="125"/>
      <c r="UBM171" s="125"/>
      <c r="UBN171" s="125"/>
      <c r="UBO171" s="125"/>
      <c r="UBP171" s="125"/>
      <c r="UBQ171" s="125"/>
      <c r="UBR171" s="125"/>
      <c r="UBS171" s="125"/>
      <c r="UBT171" s="125"/>
      <c r="UBU171" s="125"/>
      <c r="UBV171" s="125"/>
      <c r="UBW171" s="125"/>
      <c r="UBX171" s="125"/>
      <c r="UBY171" s="125"/>
      <c r="UBZ171" s="125"/>
      <c r="UCA171" s="125"/>
      <c r="UCB171" s="125"/>
      <c r="UCC171" s="125"/>
      <c r="UCD171" s="125"/>
      <c r="UCE171" s="125"/>
      <c r="UCF171" s="125"/>
      <c r="UCG171" s="125"/>
      <c r="UCH171" s="125"/>
      <c r="UCI171" s="125"/>
      <c r="UCJ171" s="125"/>
      <c r="UCK171" s="125"/>
      <c r="UCL171" s="125"/>
      <c r="UCM171" s="125"/>
      <c r="UCN171" s="125"/>
      <c r="UCO171" s="125"/>
      <c r="UCP171" s="125"/>
      <c r="UCQ171" s="125"/>
      <c r="UCR171" s="125"/>
      <c r="UCS171" s="125"/>
      <c r="UCT171" s="125"/>
      <c r="UCU171" s="125"/>
      <c r="UCV171" s="125"/>
      <c r="UCW171" s="125"/>
      <c r="UCX171" s="125"/>
      <c r="UCY171" s="125"/>
      <c r="UCZ171" s="125"/>
      <c r="UDA171" s="125"/>
      <c r="UDB171" s="125"/>
      <c r="UDC171" s="125"/>
      <c r="UDD171" s="125"/>
      <c r="UDE171" s="125"/>
      <c r="UDF171" s="125"/>
      <c r="UDG171" s="125"/>
      <c r="UDH171" s="125"/>
      <c r="UDI171" s="125"/>
      <c r="UDJ171" s="125"/>
      <c r="UDK171" s="125"/>
      <c r="UDL171" s="125"/>
      <c r="UDM171" s="125"/>
      <c r="UDN171" s="125"/>
      <c r="UDO171" s="125"/>
      <c r="UDP171" s="125"/>
      <c r="UDQ171" s="125"/>
      <c r="UDR171" s="125"/>
      <c r="UDS171" s="125"/>
      <c r="UDT171" s="125"/>
      <c r="UDU171" s="125"/>
      <c r="UDV171" s="125"/>
      <c r="UDW171" s="125"/>
      <c r="UDX171" s="125"/>
      <c r="UDY171" s="125"/>
      <c r="UDZ171" s="125"/>
      <c r="UEA171" s="125"/>
      <c r="UEB171" s="125"/>
      <c r="UEC171" s="125"/>
      <c r="UED171" s="125"/>
      <c r="UEE171" s="125"/>
      <c r="UEF171" s="125"/>
      <c r="UEG171" s="125"/>
      <c r="UEH171" s="125"/>
      <c r="UEI171" s="125"/>
      <c r="UEJ171" s="125"/>
      <c r="UEK171" s="125"/>
      <c r="UEL171" s="125"/>
      <c r="UEM171" s="125"/>
      <c r="UEN171" s="125"/>
      <c r="UEO171" s="125"/>
      <c r="UEP171" s="125"/>
      <c r="UEQ171" s="125"/>
      <c r="UER171" s="125"/>
      <c r="UES171" s="125"/>
      <c r="UET171" s="125"/>
      <c r="UEU171" s="125"/>
      <c r="UEV171" s="125"/>
      <c r="UEW171" s="125"/>
      <c r="UEX171" s="125"/>
      <c r="UEY171" s="125"/>
      <c r="UEZ171" s="125"/>
      <c r="UFA171" s="125"/>
      <c r="UFB171" s="125"/>
      <c r="UFC171" s="125"/>
      <c r="UFD171" s="125"/>
      <c r="UFE171" s="125"/>
      <c r="UFF171" s="125"/>
      <c r="UFG171" s="125"/>
      <c r="UFH171" s="125"/>
      <c r="UFI171" s="125"/>
      <c r="UFJ171" s="125"/>
      <c r="UFK171" s="125"/>
      <c r="UFL171" s="125"/>
      <c r="UFM171" s="125"/>
      <c r="UFN171" s="125"/>
      <c r="UFO171" s="125"/>
      <c r="UFP171" s="125"/>
      <c r="UFQ171" s="125"/>
      <c r="UFR171" s="125"/>
      <c r="UFS171" s="125"/>
      <c r="UFT171" s="125"/>
      <c r="UFU171" s="125"/>
      <c r="UFV171" s="125"/>
      <c r="UFW171" s="125"/>
      <c r="UFX171" s="125"/>
      <c r="UFY171" s="125"/>
      <c r="UFZ171" s="125"/>
      <c r="UGA171" s="125"/>
      <c r="UGB171" s="125"/>
      <c r="UGC171" s="125"/>
      <c r="UGD171" s="125"/>
      <c r="UGE171" s="125"/>
      <c r="UGF171" s="125"/>
      <c r="UGG171" s="125"/>
      <c r="UGH171" s="125"/>
      <c r="UGI171" s="125"/>
      <c r="UGJ171" s="125"/>
      <c r="UGK171" s="125"/>
      <c r="UGL171" s="125"/>
      <c r="UGM171" s="125"/>
      <c r="UGN171" s="125"/>
      <c r="UGO171" s="125"/>
      <c r="UGP171" s="125"/>
      <c r="UGQ171" s="125"/>
      <c r="UGR171" s="125"/>
      <c r="UGS171" s="125"/>
      <c r="UGT171" s="125"/>
      <c r="UGU171" s="125"/>
      <c r="UGV171" s="125"/>
      <c r="UGW171" s="125"/>
      <c r="UGX171" s="125"/>
      <c r="UGY171" s="125"/>
      <c r="UGZ171" s="125"/>
      <c r="UHA171" s="125"/>
      <c r="UHB171" s="125"/>
      <c r="UHC171" s="125"/>
      <c r="UHD171" s="125"/>
      <c r="UHE171" s="125"/>
      <c r="UHF171" s="125"/>
      <c r="UHG171" s="125"/>
      <c r="UHH171" s="125"/>
      <c r="UHI171" s="125"/>
      <c r="UHJ171" s="125"/>
      <c r="UHK171" s="125"/>
      <c r="UHL171" s="125"/>
      <c r="UHM171" s="125"/>
      <c r="UHN171" s="125"/>
      <c r="UHO171" s="125"/>
      <c r="UHP171" s="125"/>
      <c r="UHQ171" s="125"/>
      <c r="UHR171" s="125"/>
      <c r="UHS171" s="125"/>
      <c r="UHT171" s="125"/>
      <c r="UHU171" s="125"/>
      <c r="UHV171" s="125"/>
      <c r="UHW171" s="125"/>
      <c r="UHX171" s="125"/>
      <c r="UHY171" s="125"/>
      <c r="UHZ171" s="125"/>
      <c r="UIA171" s="125"/>
      <c r="UIB171" s="125"/>
      <c r="UIC171" s="125"/>
      <c r="UID171" s="125"/>
      <c r="UIE171" s="125"/>
      <c r="UIF171" s="125"/>
      <c r="UIG171" s="125"/>
      <c r="UIH171" s="125"/>
      <c r="UII171" s="125"/>
      <c r="UIJ171" s="125"/>
      <c r="UIK171" s="125"/>
      <c r="UIL171" s="125"/>
      <c r="UIM171" s="125"/>
      <c r="UIN171" s="125"/>
      <c r="UIO171" s="125"/>
      <c r="UIP171" s="125"/>
      <c r="UIQ171" s="125"/>
      <c r="UIR171" s="125"/>
      <c r="UIS171" s="125"/>
      <c r="UIT171" s="125"/>
      <c r="UIU171" s="125"/>
      <c r="UIV171" s="125"/>
      <c r="UIW171" s="125"/>
      <c r="UIX171" s="125"/>
      <c r="UIY171" s="125"/>
      <c r="UIZ171" s="125"/>
      <c r="UJA171" s="125"/>
      <c r="UJB171" s="125"/>
      <c r="UJC171" s="125"/>
      <c r="UJD171" s="125"/>
      <c r="UJE171" s="125"/>
      <c r="UJF171" s="125"/>
      <c r="UJG171" s="125"/>
      <c r="UJH171" s="125"/>
      <c r="UJI171" s="125"/>
      <c r="UJJ171" s="125"/>
      <c r="UJK171" s="125"/>
      <c r="UJL171" s="125"/>
      <c r="UJM171" s="125"/>
      <c r="UJN171" s="125"/>
      <c r="UJO171" s="125"/>
      <c r="UJP171" s="125"/>
      <c r="UJQ171" s="125"/>
      <c r="UJR171" s="125"/>
      <c r="UJS171" s="125"/>
      <c r="UJT171" s="125"/>
      <c r="UJU171" s="125"/>
      <c r="UJV171" s="125"/>
      <c r="UJW171" s="125"/>
      <c r="UJX171" s="125"/>
      <c r="UJY171" s="125"/>
      <c r="UJZ171" s="125"/>
      <c r="UKA171" s="125"/>
      <c r="UKB171" s="125"/>
      <c r="UKC171" s="125"/>
      <c r="UKD171" s="125"/>
      <c r="UKE171" s="125"/>
      <c r="UKF171" s="125"/>
      <c r="UKG171" s="125"/>
      <c r="UKH171" s="125"/>
      <c r="UKI171" s="125"/>
      <c r="UKJ171" s="125"/>
      <c r="UKK171" s="125"/>
      <c r="UKL171" s="125"/>
      <c r="UKM171" s="125"/>
      <c r="UKN171" s="125"/>
      <c r="UKO171" s="125"/>
      <c r="UKP171" s="125"/>
      <c r="UKQ171" s="125"/>
      <c r="UKR171" s="125"/>
      <c r="UKS171" s="125"/>
      <c r="UKT171" s="125"/>
      <c r="UKU171" s="125"/>
      <c r="UKV171" s="125"/>
      <c r="UKW171" s="125"/>
      <c r="UKX171" s="125"/>
      <c r="UKY171" s="125"/>
      <c r="UKZ171" s="125"/>
      <c r="ULA171" s="125"/>
      <c r="ULB171" s="125"/>
      <c r="ULC171" s="125"/>
      <c r="ULD171" s="125"/>
      <c r="ULE171" s="125"/>
      <c r="ULF171" s="125"/>
      <c r="ULG171" s="125"/>
      <c r="ULH171" s="125"/>
      <c r="ULI171" s="125"/>
      <c r="ULJ171" s="125"/>
      <c r="ULK171" s="125"/>
      <c r="ULL171" s="125"/>
      <c r="ULM171" s="125"/>
      <c r="ULN171" s="125"/>
      <c r="ULO171" s="125"/>
      <c r="ULP171" s="125"/>
      <c r="ULQ171" s="125"/>
      <c r="ULR171" s="125"/>
      <c r="ULS171" s="125"/>
      <c r="ULT171" s="125"/>
      <c r="ULU171" s="125"/>
      <c r="ULV171" s="125"/>
      <c r="ULW171" s="125"/>
      <c r="ULX171" s="125"/>
      <c r="ULY171" s="125"/>
      <c r="ULZ171" s="125"/>
      <c r="UMA171" s="125"/>
      <c r="UMB171" s="125"/>
      <c r="UMC171" s="125"/>
      <c r="UMD171" s="125"/>
      <c r="UME171" s="125"/>
      <c r="UMF171" s="125"/>
      <c r="UMG171" s="125"/>
      <c r="UMH171" s="125"/>
      <c r="UMI171" s="125"/>
      <c r="UMJ171" s="125"/>
      <c r="UMK171" s="125"/>
      <c r="UML171" s="125"/>
      <c r="UMM171" s="125"/>
      <c r="UMN171" s="125"/>
      <c r="UMO171" s="125"/>
      <c r="UMP171" s="125"/>
      <c r="UMQ171" s="125"/>
      <c r="UMR171" s="125"/>
      <c r="UMS171" s="125"/>
      <c r="UMT171" s="125"/>
      <c r="UMU171" s="125"/>
      <c r="UMV171" s="125"/>
      <c r="UMW171" s="125"/>
      <c r="UMX171" s="125"/>
      <c r="UMY171" s="125"/>
      <c r="UMZ171" s="125"/>
      <c r="UNA171" s="125"/>
      <c r="UNB171" s="125"/>
      <c r="UNC171" s="125"/>
      <c r="UND171" s="125"/>
      <c r="UNE171" s="125"/>
      <c r="UNF171" s="125"/>
      <c r="UNG171" s="125"/>
      <c r="UNH171" s="125"/>
      <c r="UNI171" s="125"/>
      <c r="UNJ171" s="125"/>
      <c r="UNK171" s="125"/>
      <c r="UNL171" s="125"/>
      <c r="UNM171" s="125"/>
      <c r="UNN171" s="125"/>
      <c r="UNO171" s="125"/>
      <c r="UNP171" s="125"/>
      <c r="UNQ171" s="125"/>
      <c r="UNR171" s="125"/>
      <c r="UNS171" s="125"/>
      <c r="UNT171" s="125"/>
      <c r="UNU171" s="125"/>
      <c r="UNV171" s="125"/>
      <c r="UNW171" s="125"/>
      <c r="UNX171" s="125"/>
      <c r="UNY171" s="125"/>
      <c r="UNZ171" s="125"/>
      <c r="UOA171" s="125"/>
      <c r="UOB171" s="125"/>
      <c r="UOC171" s="125"/>
      <c r="UOD171" s="125"/>
      <c r="UOE171" s="125"/>
      <c r="UOF171" s="125"/>
      <c r="UOG171" s="125"/>
      <c r="UOH171" s="125"/>
      <c r="UOI171" s="125"/>
      <c r="UOJ171" s="125"/>
      <c r="UOK171" s="125"/>
      <c r="UOL171" s="125"/>
      <c r="UOM171" s="125"/>
      <c r="UON171" s="125"/>
      <c r="UOO171" s="125"/>
      <c r="UOP171" s="125"/>
      <c r="UOQ171" s="125"/>
      <c r="UOR171" s="125"/>
      <c r="UOS171" s="125"/>
      <c r="UOT171" s="125"/>
      <c r="UOU171" s="125"/>
      <c r="UOV171" s="125"/>
      <c r="UOW171" s="125"/>
      <c r="UOX171" s="125"/>
      <c r="UOY171" s="125"/>
      <c r="UOZ171" s="125"/>
      <c r="UPA171" s="125"/>
      <c r="UPB171" s="125"/>
      <c r="UPC171" s="125"/>
      <c r="UPD171" s="125"/>
      <c r="UPE171" s="125"/>
      <c r="UPF171" s="125"/>
      <c r="UPG171" s="125"/>
      <c r="UPH171" s="125"/>
      <c r="UPI171" s="125"/>
      <c r="UPJ171" s="125"/>
      <c r="UPK171" s="125"/>
      <c r="UPL171" s="125"/>
      <c r="UPM171" s="125"/>
      <c r="UPN171" s="125"/>
      <c r="UPO171" s="125"/>
      <c r="UPP171" s="125"/>
      <c r="UPQ171" s="125"/>
      <c r="UPR171" s="125"/>
      <c r="UPS171" s="125"/>
      <c r="UPT171" s="125"/>
      <c r="UPU171" s="125"/>
      <c r="UPV171" s="125"/>
      <c r="UPW171" s="125"/>
      <c r="UPX171" s="125"/>
      <c r="UPY171" s="125"/>
      <c r="UPZ171" s="125"/>
      <c r="UQA171" s="125"/>
      <c r="UQB171" s="125"/>
      <c r="UQC171" s="125"/>
      <c r="UQD171" s="125"/>
      <c r="UQE171" s="125"/>
      <c r="UQF171" s="125"/>
      <c r="UQG171" s="125"/>
      <c r="UQH171" s="125"/>
      <c r="UQI171" s="125"/>
      <c r="UQJ171" s="125"/>
      <c r="UQK171" s="125"/>
      <c r="UQL171" s="125"/>
      <c r="UQM171" s="125"/>
      <c r="UQN171" s="125"/>
      <c r="UQO171" s="125"/>
      <c r="UQP171" s="125"/>
      <c r="UQQ171" s="125"/>
      <c r="UQR171" s="125"/>
      <c r="UQS171" s="125"/>
      <c r="UQT171" s="125"/>
      <c r="UQU171" s="125"/>
      <c r="UQV171" s="125"/>
      <c r="UQW171" s="125"/>
      <c r="UQX171" s="125"/>
      <c r="UQY171" s="125"/>
      <c r="UQZ171" s="125"/>
      <c r="URA171" s="125"/>
      <c r="URB171" s="125"/>
      <c r="URC171" s="125"/>
      <c r="URD171" s="125"/>
      <c r="URE171" s="125"/>
      <c r="URF171" s="125"/>
      <c r="URG171" s="125"/>
      <c r="URH171" s="125"/>
      <c r="URI171" s="125"/>
      <c r="URJ171" s="125"/>
      <c r="URK171" s="125"/>
      <c r="URL171" s="125"/>
      <c r="URM171" s="125"/>
      <c r="URN171" s="125"/>
      <c r="URO171" s="125"/>
      <c r="URP171" s="125"/>
      <c r="URQ171" s="125"/>
      <c r="URR171" s="125"/>
      <c r="URS171" s="125"/>
      <c r="URT171" s="125"/>
      <c r="URU171" s="125"/>
      <c r="URV171" s="125"/>
      <c r="URW171" s="125"/>
      <c r="URX171" s="125"/>
      <c r="URY171" s="125"/>
      <c r="URZ171" s="125"/>
      <c r="USA171" s="125"/>
      <c r="USB171" s="125"/>
      <c r="USC171" s="125"/>
      <c r="USD171" s="125"/>
      <c r="USE171" s="125"/>
      <c r="USF171" s="125"/>
      <c r="USG171" s="125"/>
      <c r="USH171" s="125"/>
      <c r="USI171" s="125"/>
      <c r="USJ171" s="125"/>
      <c r="USK171" s="125"/>
      <c r="USL171" s="125"/>
      <c r="USM171" s="125"/>
      <c r="USN171" s="125"/>
      <c r="USO171" s="125"/>
      <c r="USP171" s="125"/>
      <c r="USQ171" s="125"/>
      <c r="USR171" s="125"/>
      <c r="USS171" s="125"/>
      <c r="UST171" s="125"/>
      <c r="USU171" s="125"/>
      <c r="USV171" s="125"/>
      <c r="USW171" s="125"/>
      <c r="USX171" s="125"/>
      <c r="USY171" s="125"/>
      <c r="USZ171" s="125"/>
      <c r="UTA171" s="125"/>
      <c r="UTB171" s="125"/>
      <c r="UTC171" s="125"/>
      <c r="UTD171" s="125"/>
      <c r="UTE171" s="125"/>
      <c r="UTF171" s="125"/>
      <c r="UTG171" s="125"/>
      <c r="UTH171" s="125"/>
      <c r="UTI171" s="125"/>
      <c r="UTJ171" s="125"/>
      <c r="UTK171" s="125"/>
      <c r="UTL171" s="125"/>
      <c r="UTM171" s="125"/>
      <c r="UTN171" s="125"/>
      <c r="UTO171" s="125"/>
      <c r="UTP171" s="125"/>
      <c r="UTQ171" s="125"/>
      <c r="UTR171" s="125"/>
      <c r="UTS171" s="125"/>
      <c r="UTT171" s="125"/>
      <c r="UTU171" s="125"/>
      <c r="UTV171" s="125"/>
      <c r="UTW171" s="125"/>
      <c r="UTX171" s="125"/>
      <c r="UTY171" s="125"/>
      <c r="UTZ171" s="125"/>
      <c r="UUA171" s="125"/>
      <c r="UUB171" s="125"/>
      <c r="UUC171" s="125"/>
      <c r="UUD171" s="125"/>
      <c r="UUE171" s="125"/>
      <c r="UUF171" s="125"/>
      <c r="UUG171" s="125"/>
      <c r="UUH171" s="125"/>
      <c r="UUI171" s="125"/>
      <c r="UUJ171" s="125"/>
      <c r="UUK171" s="125"/>
      <c r="UUL171" s="125"/>
      <c r="UUM171" s="125"/>
      <c r="UUN171" s="125"/>
      <c r="UUO171" s="125"/>
      <c r="UUP171" s="125"/>
      <c r="UUQ171" s="125"/>
      <c r="UUR171" s="125"/>
      <c r="UUS171" s="125"/>
      <c r="UUT171" s="125"/>
      <c r="UUU171" s="125"/>
      <c r="UUV171" s="125"/>
      <c r="UUW171" s="125"/>
      <c r="UUX171" s="125"/>
      <c r="UUY171" s="125"/>
      <c r="UUZ171" s="125"/>
      <c r="UVA171" s="125"/>
      <c r="UVB171" s="125"/>
      <c r="UVC171" s="125"/>
      <c r="UVD171" s="125"/>
      <c r="UVE171" s="125"/>
      <c r="UVF171" s="125"/>
      <c r="UVG171" s="125"/>
      <c r="UVH171" s="125"/>
      <c r="UVI171" s="125"/>
      <c r="UVJ171" s="125"/>
      <c r="UVK171" s="125"/>
      <c r="UVL171" s="125"/>
      <c r="UVM171" s="125"/>
      <c r="UVN171" s="125"/>
      <c r="UVO171" s="125"/>
      <c r="UVP171" s="125"/>
      <c r="UVQ171" s="125"/>
      <c r="UVR171" s="125"/>
      <c r="UVS171" s="125"/>
      <c r="UVT171" s="125"/>
      <c r="UVU171" s="125"/>
      <c r="UVV171" s="125"/>
      <c r="UVW171" s="125"/>
      <c r="UVX171" s="125"/>
      <c r="UVY171" s="125"/>
      <c r="UVZ171" s="125"/>
      <c r="UWA171" s="125"/>
      <c r="UWB171" s="125"/>
      <c r="UWC171" s="125"/>
      <c r="UWD171" s="125"/>
      <c r="UWE171" s="125"/>
      <c r="UWF171" s="125"/>
      <c r="UWG171" s="125"/>
      <c r="UWH171" s="125"/>
      <c r="UWI171" s="125"/>
      <c r="UWJ171" s="125"/>
      <c r="UWK171" s="125"/>
      <c r="UWL171" s="125"/>
      <c r="UWM171" s="125"/>
      <c r="UWN171" s="125"/>
      <c r="UWO171" s="125"/>
      <c r="UWP171" s="125"/>
      <c r="UWQ171" s="125"/>
      <c r="UWR171" s="125"/>
      <c r="UWS171" s="125"/>
      <c r="UWT171" s="125"/>
      <c r="UWU171" s="125"/>
      <c r="UWV171" s="125"/>
      <c r="UWW171" s="125"/>
      <c r="UWX171" s="125"/>
      <c r="UWY171" s="125"/>
      <c r="UWZ171" s="125"/>
      <c r="UXA171" s="125"/>
      <c r="UXB171" s="125"/>
      <c r="UXC171" s="125"/>
      <c r="UXD171" s="125"/>
      <c r="UXE171" s="125"/>
      <c r="UXF171" s="125"/>
      <c r="UXG171" s="125"/>
      <c r="UXH171" s="125"/>
      <c r="UXI171" s="125"/>
      <c r="UXJ171" s="125"/>
      <c r="UXK171" s="125"/>
      <c r="UXL171" s="125"/>
      <c r="UXM171" s="125"/>
      <c r="UXN171" s="125"/>
      <c r="UXO171" s="125"/>
      <c r="UXP171" s="125"/>
      <c r="UXQ171" s="125"/>
      <c r="UXR171" s="125"/>
      <c r="UXS171" s="125"/>
      <c r="UXT171" s="125"/>
      <c r="UXU171" s="125"/>
      <c r="UXV171" s="125"/>
      <c r="UXW171" s="125"/>
      <c r="UXX171" s="125"/>
      <c r="UXY171" s="125"/>
      <c r="UXZ171" s="125"/>
      <c r="UYA171" s="125"/>
      <c r="UYB171" s="125"/>
      <c r="UYC171" s="125"/>
      <c r="UYD171" s="125"/>
      <c r="UYE171" s="125"/>
      <c r="UYF171" s="125"/>
      <c r="UYG171" s="125"/>
      <c r="UYH171" s="125"/>
      <c r="UYI171" s="125"/>
      <c r="UYJ171" s="125"/>
      <c r="UYK171" s="125"/>
      <c r="UYL171" s="125"/>
      <c r="UYM171" s="125"/>
      <c r="UYN171" s="125"/>
      <c r="UYO171" s="125"/>
      <c r="UYP171" s="125"/>
      <c r="UYQ171" s="125"/>
      <c r="UYR171" s="125"/>
      <c r="UYS171" s="125"/>
      <c r="UYT171" s="125"/>
      <c r="UYU171" s="125"/>
      <c r="UYV171" s="125"/>
      <c r="UYW171" s="125"/>
      <c r="UYX171" s="125"/>
      <c r="UYY171" s="125"/>
      <c r="UYZ171" s="125"/>
      <c r="UZA171" s="125"/>
      <c r="UZB171" s="125"/>
      <c r="UZC171" s="125"/>
      <c r="UZD171" s="125"/>
      <c r="UZE171" s="125"/>
      <c r="UZF171" s="125"/>
      <c r="UZG171" s="125"/>
      <c r="UZH171" s="125"/>
      <c r="UZI171" s="125"/>
      <c r="UZJ171" s="125"/>
      <c r="UZK171" s="125"/>
      <c r="UZL171" s="125"/>
      <c r="UZM171" s="125"/>
      <c r="UZN171" s="125"/>
      <c r="UZO171" s="125"/>
      <c r="UZP171" s="125"/>
      <c r="UZQ171" s="125"/>
      <c r="UZR171" s="125"/>
      <c r="UZS171" s="125"/>
      <c r="UZT171" s="125"/>
      <c r="UZU171" s="125"/>
      <c r="UZV171" s="125"/>
      <c r="UZW171" s="125"/>
      <c r="UZX171" s="125"/>
      <c r="UZY171" s="125"/>
      <c r="UZZ171" s="125"/>
      <c r="VAA171" s="125"/>
      <c r="VAB171" s="125"/>
      <c r="VAC171" s="125"/>
      <c r="VAD171" s="125"/>
      <c r="VAE171" s="125"/>
      <c r="VAF171" s="125"/>
      <c r="VAG171" s="125"/>
      <c r="VAH171" s="125"/>
      <c r="VAI171" s="125"/>
      <c r="VAJ171" s="125"/>
      <c r="VAK171" s="125"/>
      <c r="VAL171" s="125"/>
      <c r="VAM171" s="125"/>
      <c r="VAN171" s="125"/>
      <c r="VAO171" s="125"/>
      <c r="VAP171" s="125"/>
      <c r="VAQ171" s="125"/>
      <c r="VAR171" s="125"/>
      <c r="VAS171" s="125"/>
      <c r="VAT171" s="125"/>
      <c r="VAU171" s="125"/>
      <c r="VAV171" s="125"/>
      <c r="VAW171" s="125"/>
      <c r="VAX171" s="125"/>
      <c r="VAY171" s="125"/>
      <c r="VAZ171" s="125"/>
      <c r="VBA171" s="125"/>
      <c r="VBB171" s="125"/>
      <c r="VBC171" s="125"/>
      <c r="VBD171" s="125"/>
      <c r="VBE171" s="125"/>
      <c r="VBF171" s="125"/>
      <c r="VBG171" s="125"/>
      <c r="VBH171" s="125"/>
      <c r="VBI171" s="125"/>
      <c r="VBJ171" s="125"/>
      <c r="VBK171" s="125"/>
      <c r="VBL171" s="125"/>
      <c r="VBM171" s="125"/>
      <c r="VBN171" s="125"/>
      <c r="VBO171" s="125"/>
      <c r="VBP171" s="125"/>
      <c r="VBQ171" s="125"/>
      <c r="VBR171" s="125"/>
      <c r="VBS171" s="125"/>
      <c r="VBT171" s="125"/>
      <c r="VBU171" s="125"/>
      <c r="VBV171" s="125"/>
      <c r="VBW171" s="125"/>
      <c r="VBX171" s="125"/>
      <c r="VBY171" s="125"/>
      <c r="VBZ171" s="125"/>
      <c r="VCA171" s="125"/>
      <c r="VCB171" s="125"/>
      <c r="VCC171" s="125"/>
      <c r="VCD171" s="125"/>
      <c r="VCE171" s="125"/>
      <c r="VCF171" s="125"/>
      <c r="VCG171" s="125"/>
      <c r="VCH171" s="125"/>
      <c r="VCI171" s="125"/>
      <c r="VCJ171" s="125"/>
      <c r="VCK171" s="125"/>
      <c r="VCL171" s="125"/>
      <c r="VCM171" s="125"/>
      <c r="VCN171" s="125"/>
      <c r="VCO171" s="125"/>
      <c r="VCP171" s="125"/>
      <c r="VCQ171" s="125"/>
      <c r="VCR171" s="125"/>
      <c r="VCS171" s="125"/>
      <c r="VCT171" s="125"/>
      <c r="VCU171" s="125"/>
      <c r="VCV171" s="125"/>
      <c r="VCW171" s="125"/>
      <c r="VCX171" s="125"/>
      <c r="VCY171" s="125"/>
      <c r="VCZ171" s="125"/>
      <c r="VDA171" s="125"/>
      <c r="VDB171" s="125"/>
      <c r="VDC171" s="125"/>
      <c r="VDD171" s="125"/>
      <c r="VDE171" s="125"/>
      <c r="VDF171" s="125"/>
      <c r="VDG171" s="125"/>
      <c r="VDH171" s="125"/>
      <c r="VDI171" s="125"/>
      <c r="VDJ171" s="125"/>
      <c r="VDK171" s="125"/>
      <c r="VDL171" s="125"/>
      <c r="VDM171" s="125"/>
      <c r="VDN171" s="125"/>
      <c r="VDO171" s="125"/>
      <c r="VDP171" s="125"/>
      <c r="VDQ171" s="125"/>
      <c r="VDR171" s="125"/>
      <c r="VDS171" s="125"/>
      <c r="VDT171" s="125"/>
      <c r="VDU171" s="125"/>
      <c r="VDV171" s="125"/>
      <c r="VDW171" s="125"/>
      <c r="VDX171" s="125"/>
      <c r="VDY171" s="125"/>
      <c r="VDZ171" s="125"/>
      <c r="VEA171" s="125"/>
      <c r="VEB171" s="125"/>
      <c r="VEC171" s="125"/>
      <c r="VED171" s="125"/>
      <c r="VEE171" s="125"/>
      <c r="VEF171" s="125"/>
      <c r="VEG171" s="125"/>
      <c r="VEH171" s="125"/>
      <c r="VEI171" s="125"/>
      <c r="VEJ171" s="125"/>
      <c r="VEK171" s="125"/>
      <c r="VEL171" s="125"/>
      <c r="VEM171" s="125"/>
      <c r="VEN171" s="125"/>
      <c r="VEO171" s="125"/>
      <c r="VEP171" s="125"/>
      <c r="VEQ171" s="125"/>
      <c r="VER171" s="125"/>
      <c r="VES171" s="125"/>
      <c r="VET171" s="125"/>
      <c r="VEU171" s="125"/>
      <c r="VEV171" s="125"/>
      <c r="VEW171" s="125"/>
      <c r="VEX171" s="125"/>
      <c r="VEY171" s="125"/>
      <c r="VEZ171" s="125"/>
      <c r="VFA171" s="125"/>
      <c r="VFB171" s="125"/>
      <c r="VFC171" s="125"/>
      <c r="VFD171" s="125"/>
      <c r="VFE171" s="125"/>
      <c r="VFF171" s="125"/>
      <c r="VFG171" s="125"/>
      <c r="VFH171" s="125"/>
      <c r="VFI171" s="125"/>
      <c r="VFJ171" s="125"/>
      <c r="VFK171" s="125"/>
      <c r="VFL171" s="125"/>
      <c r="VFM171" s="125"/>
      <c r="VFN171" s="125"/>
      <c r="VFO171" s="125"/>
      <c r="VFP171" s="125"/>
      <c r="VFQ171" s="125"/>
      <c r="VFR171" s="125"/>
      <c r="VFS171" s="125"/>
      <c r="VFT171" s="125"/>
      <c r="VFU171" s="125"/>
      <c r="VFV171" s="125"/>
      <c r="VFW171" s="125"/>
      <c r="VFX171" s="125"/>
      <c r="VFY171" s="125"/>
      <c r="VFZ171" s="125"/>
      <c r="VGA171" s="125"/>
      <c r="VGB171" s="125"/>
      <c r="VGC171" s="125"/>
      <c r="VGD171" s="125"/>
      <c r="VGE171" s="125"/>
      <c r="VGF171" s="125"/>
      <c r="VGG171" s="125"/>
      <c r="VGH171" s="125"/>
      <c r="VGI171" s="125"/>
      <c r="VGJ171" s="125"/>
      <c r="VGK171" s="125"/>
      <c r="VGL171" s="125"/>
      <c r="VGM171" s="125"/>
      <c r="VGN171" s="125"/>
      <c r="VGO171" s="125"/>
      <c r="VGP171" s="125"/>
      <c r="VGQ171" s="125"/>
      <c r="VGR171" s="125"/>
      <c r="VGS171" s="125"/>
      <c r="VGT171" s="125"/>
      <c r="VGU171" s="125"/>
      <c r="VGV171" s="125"/>
      <c r="VGW171" s="125"/>
      <c r="VGX171" s="125"/>
      <c r="VGY171" s="125"/>
      <c r="VGZ171" s="125"/>
      <c r="VHA171" s="125"/>
      <c r="VHB171" s="125"/>
      <c r="VHC171" s="125"/>
      <c r="VHD171" s="125"/>
      <c r="VHE171" s="125"/>
      <c r="VHF171" s="125"/>
      <c r="VHG171" s="125"/>
      <c r="VHH171" s="125"/>
      <c r="VHI171" s="125"/>
      <c r="VHJ171" s="125"/>
      <c r="VHK171" s="125"/>
      <c r="VHL171" s="125"/>
      <c r="VHM171" s="125"/>
      <c r="VHN171" s="125"/>
      <c r="VHO171" s="125"/>
      <c r="VHP171" s="125"/>
      <c r="VHQ171" s="125"/>
      <c r="VHR171" s="125"/>
      <c r="VHS171" s="125"/>
      <c r="VHT171" s="125"/>
      <c r="VHU171" s="125"/>
      <c r="VHV171" s="125"/>
      <c r="VHW171" s="125"/>
      <c r="VHX171" s="125"/>
      <c r="VHY171" s="125"/>
      <c r="VHZ171" s="125"/>
      <c r="VIA171" s="125"/>
      <c r="VIB171" s="125"/>
      <c r="VIC171" s="125"/>
      <c r="VID171" s="125"/>
      <c r="VIE171" s="125"/>
      <c r="VIF171" s="125"/>
      <c r="VIG171" s="125"/>
      <c r="VIH171" s="125"/>
      <c r="VII171" s="125"/>
      <c r="VIJ171" s="125"/>
      <c r="VIK171" s="125"/>
      <c r="VIL171" s="125"/>
      <c r="VIM171" s="125"/>
      <c r="VIN171" s="125"/>
      <c r="VIO171" s="125"/>
      <c r="VIP171" s="125"/>
      <c r="VIQ171" s="125"/>
      <c r="VIR171" s="125"/>
      <c r="VIS171" s="125"/>
      <c r="VIT171" s="125"/>
      <c r="VIU171" s="125"/>
      <c r="VIV171" s="125"/>
      <c r="VIW171" s="125"/>
      <c r="VIX171" s="125"/>
      <c r="VIY171" s="125"/>
      <c r="VIZ171" s="125"/>
      <c r="VJA171" s="125"/>
      <c r="VJB171" s="125"/>
      <c r="VJC171" s="125"/>
      <c r="VJD171" s="125"/>
      <c r="VJE171" s="125"/>
      <c r="VJF171" s="125"/>
      <c r="VJG171" s="125"/>
      <c r="VJH171" s="125"/>
      <c r="VJI171" s="125"/>
      <c r="VJJ171" s="125"/>
      <c r="VJK171" s="125"/>
      <c r="VJL171" s="125"/>
      <c r="VJM171" s="125"/>
      <c r="VJN171" s="125"/>
      <c r="VJO171" s="125"/>
      <c r="VJP171" s="125"/>
      <c r="VJQ171" s="125"/>
      <c r="VJR171" s="125"/>
      <c r="VJS171" s="125"/>
      <c r="VJT171" s="125"/>
      <c r="VJU171" s="125"/>
      <c r="VJV171" s="125"/>
      <c r="VJW171" s="125"/>
      <c r="VJX171" s="125"/>
      <c r="VJY171" s="125"/>
      <c r="VJZ171" s="125"/>
      <c r="VKA171" s="125"/>
      <c r="VKB171" s="125"/>
      <c r="VKC171" s="125"/>
      <c r="VKD171" s="125"/>
      <c r="VKE171" s="125"/>
      <c r="VKF171" s="125"/>
      <c r="VKG171" s="125"/>
      <c r="VKH171" s="125"/>
      <c r="VKI171" s="125"/>
      <c r="VKJ171" s="125"/>
      <c r="VKK171" s="125"/>
      <c r="VKL171" s="125"/>
      <c r="VKM171" s="125"/>
      <c r="VKN171" s="125"/>
      <c r="VKO171" s="125"/>
      <c r="VKP171" s="125"/>
      <c r="VKQ171" s="125"/>
      <c r="VKR171" s="125"/>
      <c r="VKS171" s="125"/>
      <c r="VKT171" s="125"/>
      <c r="VKU171" s="125"/>
      <c r="VKV171" s="125"/>
      <c r="VKW171" s="125"/>
      <c r="VKX171" s="125"/>
      <c r="VKY171" s="125"/>
      <c r="VKZ171" s="125"/>
      <c r="VLA171" s="125"/>
      <c r="VLB171" s="125"/>
      <c r="VLC171" s="125"/>
      <c r="VLD171" s="125"/>
      <c r="VLE171" s="125"/>
      <c r="VLF171" s="125"/>
      <c r="VLG171" s="125"/>
      <c r="VLH171" s="125"/>
      <c r="VLI171" s="125"/>
      <c r="VLJ171" s="125"/>
      <c r="VLK171" s="125"/>
      <c r="VLL171" s="125"/>
      <c r="VLM171" s="125"/>
      <c r="VLN171" s="125"/>
      <c r="VLO171" s="125"/>
      <c r="VLP171" s="125"/>
      <c r="VLQ171" s="125"/>
      <c r="VLR171" s="125"/>
      <c r="VLS171" s="125"/>
      <c r="VLT171" s="125"/>
      <c r="VLU171" s="125"/>
      <c r="VLV171" s="125"/>
      <c r="VLW171" s="125"/>
      <c r="VLX171" s="125"/>
      <c r="VLY171" s="125"/>
      <c r="VLZ171" s="125"/>
      <c r="VMA171" s="125"/>
      <c r="VMB171" s="125"/>
      <c r="VMC171" s="125"/>
      <c r="VMD171" s="125"/>
      <c r="VME171" s="125"/>
      <c r="VMF171" s="125"/>
      <c r="VMG171" s="125"/>
      <c r="VMH171" s="125"/>
      <c r="VMI171" s="125"/>
      <c r="VMJ171" s="125"/>
      <c r="VMK171" s="125"/>
      <c r="VML171" s="125"/>
      <c r="VMM171" s="125"/>
      <c r="VMN171" s="125"/>
      <c r="VMO171" s="125"/>
      <c r="VMP171" s="125"/>
      <c r="VMQ171" s="125"/>
      <c r="VMR171" s="125"/>
      <c r="VMS171" s="125"/>
      <c r="VMT171" s="125"/>
      <c r="VMU171" s="125"/>
      <c r="VMV171" s="125"/>
      <c r="VMW171" s="125"/>
      <c r="VMX171" s="125"/>
      <c r="VMY171" s="125"/>
      <c r="VMZ171" s="125"/>
      <c r="VNA171" s="125"/>
      <c r="VNB171" s="125"/>
      <c r="VNC171" s="125"/>
      <c r="VND171" s="125"/>
      <c r="VNE171" s="125"/>
      <c r="VNF171" s="125"/>
      <c r="VNG171" s="125"/>
      <c r="VNH171" s="125"/>
      <c r="VNI171" s="125"/>
      <c r="VNJ171" s="125"/>
      <c r="VNK171" s="125"/>
      <c r="VNL171" s="125"/>
      <c r="VNM171" s="125"/>
      <c r="VNN171" s="125"/>
      <c r="VNO171" s="125"/>
      <c r="VNP171" s="125"/>
      <c r="VNQ171" s="125"/>
      <c r="VNR171" s="125"/>
      <c r="VNS171" s="125"/>
      <c r="VNT171" s="125"/>
      <c r="VNU171" s="125"/>
      <c r="VNV171" s="125"/>
      <c r="VNW171" s="125"/>
      <c r="VNX171" s="125"/>
      <c r="VNY171" s="125"/>
      <c r="VNZ171" s="125"/>
      <c r="VOA171" s="125"/>
      <c r="VOB171" s="125"/>
      <c r="VOC171" s="125"/>
      <c r="VOD171" s="125"/>
      <c r="VOE171" s="125"/>
      <c r="VOF171" s="125"/>
      <c r="VOG171" s="125"/>
      <c r="VOH171" s="125"/>
      <c r="VOI171" s="125"/>
      <c r="VOJ171" s="125"/>
      <c r="VOK171" s="125"/>
      <c r="VOL171" s="125"/>
      <c r="VOM171" s="125"/>
      <c r="VON171" s="125"/>
      <c r="VOO171" s="125"/>
      <c r="VOP171" s="125"/>
      <c r="VOQ171" s="125"/>
      <c r="VOR171" s="125"/>
      <c r="VOS171" s="125"/>
      <c r="VOT171" s="125"/>
      <c r="VOU171" s="125"/>
      <c r="VOV171" s="125"/>
      <c r="VOW171" s="125"/>
      <c r="VOX171" s="125"/>
      <c r="VOY171" s="125"/>
      <c r="VOZ171" s="125"/>
      <c r="VPA171" s="125"/>
      <c r="VPB171" s="125"/>
      <c r="VPC171" s="125"/>
      <c r="VPD171" s="125"/>
      <c r="VPE171" s="125"/>
      <c r="VPF171" s="125"/>
      <c r="VPG171" s="125"/>
      <c r="VPH171" s="125"/>
      <c r="VPI171" s="125"/>
      <c r="VPJ171" s="125"/>
      <c r="VPK171" s="125"/>
      <c r="VPL171" s="125"/>
      <c r="VPM171" s="125"/>
      <c r="VPN171" s="125"/>
      <c r="VPO171" s="125"/>
      <c r="VPP171" s="125"/>
      <c r="VPQ171" s="125"/>
      <c r="VPR171" s="125"/>
      <c r="VPS171" s="125"/>
      <c r="VPT171" s="125"/>
      <c r="VPU171" s="125"/>
      <c r="VPV171" s="125"/>
      <c r="VPW171" s="125"/>
      <c r="VPX171" s="125"/>
      <c r="VPY171" s="125"/>
      <c r="VPZ171" s="125"/>
      <c r="VQA171" s="125"/>
      <c r="VQB171" s="125"/>
      <c r="VQC171" s="125"/>
      <c r="VQD171" s="125"/>
      <c r="VQE171" s="125"/>
      <c r="VQF171" s="125"/>
      <c r="VQG171" s="125"/>
      <c r="VQH171" s="125"/>
      <c r="VQI171" s="125"/>
      <c r="VQJ171" s="125"/>
      <c r="VQK171" s="125"/>
      <c r="VQL171" s="125"/>
      <c r="VQM171" s="125"/>
      <c r="VQN171" s="125"/>
      <c r="VQO171" s="125"/>
      <c r="VQP171" s="125"/>
      <c r="VQQ171" s="125"/>
      <c r="VQR171" s="125"/>
      <c r="VQS171" s="125"/>
      <c r="VQT171" s="125"/>
      <c r="VQU171" s="125"/>
      <c r="VQV171" s="125"/>
      <c r="VQW171" s="125"/>
      <c r="VQX171" s="125"/>
      <c r="VQY171" s="125"/>
      <c r="VQZ171" s="125"/>
      <c r="VRA171" s="125"/>
      <c r="VRB171" s="125"/>
      <c r="VRC171" s="125"/>
      <c r="VRD171" s="125"/>
      <c r="VRE171" s="125"/>
      <c r="VRF171" s="125"/>
      <c r="VRG171" s="125"/>
      <c r="VRH171" s="125"/>
      <c r="VRI171" s="125"/>
      <c r="VRJ171" s="125"/>
      <c r="VRK171" s="125"/>
      <c r="VRL171" s="125"/>
      <c r="VRM171" s="125"/>
      <c r="VRN171" s="125"/>
      <c r="VRO171" s="125"/>
      <c r="VRP171" s="125"/>
      <c r="VRQ171" s="125"/>
      <c r="VRR171" s="125"/>
      <c r="VRS171" s="125"/>
      <c r="VRT171" s="125"/>
      <c r="VRU171" s="125"/>
      <c r="VRV171" s="125"/>
      <c r="VRW171" s="125"/>
      <c r="VRX171" s="125"/>
      <c r="VRY171" s="125"/>
      <c r="VRZ171" s="125"/>
      <c r="VSA171" s="125"/>
      <c r="VSB171" s="125"/>
      <c r="VSC171" s="125"/>
      <c r="VSD171" s="125"/>
      <c r="VSE171" s="125"/>
      <c r="VSF171" s="125"/>
      <c r="VSG171" s="125"/>
      <c r="VSH171" s="125"/>
      <c r="VSI171" s="125"/>
      <c r="VSJ171" s="125"/>
      <c r="VSK171" s="125"/>
      <c r="VSL171" s="125"/>
      <c r="VSM171" s="125"/>
      <c r="VSN171" s="125"/>
      <c r="VSO171" s="125"/>
      <c r="VSP171" s="125"/>
      <c r="VSQ171" s="125"/>
      <c r="VSR171" s="125"/>
      <c r="VSS171" s="125"/>
      <c r="VST171" s="125"/>
      <c r="VSU171" s="125"/>
      <c r="VSV171" s="125"/>
      <c r="VSW171" s="125"/>
      <c r="VSX171" s="125"/>
      <c r="VSY171" s="125"/>
      <c r="VSZ171" s="125"/>
      <c r="VTA171" s="125"/>
      <c r="VTB171" s="125"/>
      <c r="VTC171" s="125"/>
      <c r="VTD171" s="125"/>
      <c r="VTE171" s="125"/>
      <c r="VTF171" s="125"/>
      <c r="VTG171" s="125"/>
      <c r="VTH171" s="125"/>
      <c r="VTI171" s="125"/>
      <c r="VTJ171" s="125"/>
      <c r="VTK171" s="125"/>
      <c r="VTL171" s="125"/>
      <c r="VTM171" s="125"/>
      <c r="VTN171" s="125"/>
      <c r="VTO171" s="125"/>
      <c r="VTP171" s="125"/>
      <c r="VTQ171" s="125"/>
      <c r="VTR171" s="125"/>
      <c r="VTS171" s="125"/>
      <c r="VTT171" s="125"/>
      <c r="VTU171" s="125"/>
      <c r="VTV171" s="125"/>
      <c r="VTW171" s="125"/>
      <c r="VTX171" s="125"/>
      <c r="VTY171" s="125"/>
      <c r="VTZ171" s="125"/>
      <c r="VUA171" s="125"/>
      <c r="VUB171" s="125"/>
      <c r="VUC171" s="125"/>
      <c r="VUD171" s="125"/>
      <c r="VUE171" s="125"/>
      <c r="VUF171" s="125"/>
      <c r="VUG171" s="125"/>
      <c r="VUH171" s="125"/>
      <c r="VUI171" s="125"/>
      <c r="VUJ171" s="125"/>
      <c r="VUK171" s="125"/>
      <c r="VUL171" s="125"/>
      <c r="VUM171" s="125"/>
      <c r="VUN171" s="125"/>
      <c r="VUO171" s="125"/>
      <c r="VUP171" s="125"/>
      <c r="VUQ171" s="125"/>
      <c r="VUR171" s="125"/>
      <c r="VUS171" s="125"/>
      <c r="VUT171" s="125"/>
      <c r="VUU171" s="125"/>
      <c r="VUV171" s="125"/>
      <c r="VUW171" s="125"/>
      <c r="VUX171" s="125"/>
      <c r="VUY171" s="125"/>
      <c r="VUZ171" s="125"/>
      <c r="VVA171" s="125"/>
      <c r="VVB171" s="125"/>
      <c r="VVC171" s="125"/>
      <c r="VVD171" s="125"/>
      <c r="VVE171" s="125"/>
      <c r="VVF171" s="125"/>
      <c r="VVG171" s="125"/>
      <c r="VVH171" s="125"/>
      <c r="VVI171" s="125"/>
      <c r="VVJ171" s="125"/>
      <c r="VVK171" s="125"/>
      <c r="VVL171" s="125"/>
      <c r="VVM171" s="125"/>
      <c r="VVN171" s="125"/>
      <c r="VVO171" s="125"/>
      <c r="VVP171" s="125"/>
      <c r="VVQ171" s="125"/>
      <c r="VVR171" s="125"/>
      <c r="VVS171" s="125"/>
      <c r="VVT171" s="125"/>
      <c r="VVU171" s="125"/>
      <c r="VVV171" s="125"/>
      <c r="VVW171" s="125"/>
      <c r="VVX171" s="125"/>
      <c r="VVY171" s="125"/>
      <c r="VVZ171" s="125"/>
      <c r="VWA171" s="125"/>
      <c r="VWB171" s="125"/>
      <c r="VWC171" s="125"/>
      <c r="VWD171" s="125"/>
      <c r="VWE171" s="125"/>
      <c r="VWF171" s="125"/>
      <c r="VWG171" s="125"/>
      <c r="VWH171" s="125"/>
      <c r="VWI171" s="125"/>
      <c r="VWJ171" s="125"/>
      <c r="VWK171" s="125"/>
      <c r="VWL171" s="125"/>
      <c r="VWM171" s="125"/>
      <c r="VWN171" s="125"/>
      <c r="VWO171" s="125"/>
      <c r="VWP171" s="125"/>
      <c r="VWQ171" s="125"/>
      <c r="VWR171" s="125"/>
      <c r="VWS171" s="125"/>
      <c r="VWT171" s="125"/>
      <c r="VWU171" s="125"/>
      <c r="VWV171" s="125"/>
      <c r="VWW171" s="125"/>
      <c r="VWX171" s="125"/>
      <c r="VWY171" s="125"/>
      <c r="VWZ171" s="125"/>
      <c r="VXA171" s="125"/>
      <c r="VXB171" s="125"/>
      <c r="VXC171" s="125"/>
      <c r="VXD171" s="125"/>
      <c r="VXE171" s="125"/>
      <c r="VXF171" s="125"/>
      <c r="VXG171" s="125"/>
      <c r="VXH171" s="125"/>
      <c r="VXI171" s="125"/>
      <c r="VXJ171" s="125"/>
      <c r="VXK171" s="125"/>
      <c r="VXL171" s="125"/>
      <c r="VXM171" s="125"/>
      <c r="VXN171" s="125"/>
      <c r="VXO171" s="125"/>
      <c r="VXP171" s="125"/>
      <c r="VXQ171" s="125"/>
      <c r="VXR171" s="125"/>
      <c r="VXS171" s="125"/>
      <c r="VXT171" s="125"/>
      <c r="VXU171" s="125"/>
      <c r="VXV171" s="125"/>
      <c r="VXW171" s="125"/>
      <c r="VXX171" s="125"/>
      <c r="VXY171" s="125"/>
      <c r="VXZ171" s="125"/>
      <c r="VYA171" s="125"/>
      <c r="VYB171" s="125"/>
      <c r="VYC171" s="125"/>
      <c r="VYD171" s="125"/>
      <c r="VYE171" s="125"/>
      <c r="VYF171" s="125"/>
      <c r="VYG171" s="125"/>
      <c r="VYH171" s="125"/>
      <c r="VYI171" s="125"/>
      <c r="VYJ171" s="125"/>
      <c r="VYK171" s="125"/>
      <c r="VYL171" s="125"/>
      <c r="VYM171" s="125"/>
      <c r="VYN171" s="125"/>
      <c r="VYO171" s="125"/>
      <c r="VYP171" s="125"/>
      <c r="VYQ171" s="125"/>
      <c r="VYR171" s="125"/>
      <c r="VYS171" s="125"/>
      <c r="VYT171" s="125"/>
      <c r="VYU171" s="125"/>
      <c r="VYV171" s="125"/>
      <c r="VYW171" s="125"/>
      <c r="VYX171" s="125"/>
      <c r="VYY171" s="125"/>
      <c r="VYZ171" s="125"/>
      <c r="VZA171" s="125"/>
      <c r="VZB171" s="125"/>
      <c r="VZC171" s="125"/>
      <c r="VZD171" s="125"/>
      <c r="VZE171" s="125"/>
      <c r="VZF171" s="125"/>
      <c r="VZG171" s="125"/>
      <c r="VZH171" s="125"/>
      <c r="VZI171" s="125"/>
      <c r="VZJ171" s="125"/>
      <c r="VZK171" s="125"/>
      <c r="VZL171" s="125"/>
      <c r="VZM171" s="125"/>
      <c r="VZN171" s="125"/>
      <c r="VZO171" s="125"/>
      <c r="VZP171" s="125"/>
      <c r="VZQ171" s="125"/>
      <c r="VZR171" s="125"/>
      <c r="VZS171" s="125"/>
      <c r="VZT171" s="125"/>
      <c r="VZU171" s="125"/>
      <c r="VZV171" s="125"/>
      <c r="VZW171" s="125"/>
      <c r="VZX171" s="125"/>
      <c r="VZY171" s="125"/>
      <c r="VZZ171" s="125"/>
      <c r="WAA171" s="125"/>
      <c r="WAB171" s="125"/>
      <c r="WAC171" s="125"/>
      <c r="WAD171" s="125"/>
      <c r="WAE171" s="125"/>
      <c r="WAF171" s="125"/>
      <c r="WAG171" s="125"/>
      <c r="WAH171" s="125"/>
      <c r="WAI171" s="125"/>
      <c r="WAJ171" s="125"/>
      <c r="WAK171" s="125"/>
      <c r="WAL171" s="125"/>
      <c r="WAM171" s="125"/>
      <c r="WAN171" s="125"/>
      <c r="WAO171" s="125"/>
      <c r="WAP171" s="125"/>
      <c r="WAQ171" s="125"/>
      <c r="WAR171" s="125"/>
      <c r="WAS171" s="125"/>
      <c r="WAT171" s="125"/>
      <c r="WAU171" s="125"/>
      <c r="WAV171" s="125"/>
      <c r="WAW171" s="125"/>
      <c r="WAX171" s="125"/>
      <c r="WAY171" s="125"/>
      <c r="WAZ171" s="125"/>
      <c r="WBA171" s="125"/>
      <c r="WBB171" s="125"/>
      <c r="WBC171" s="125"/>
      <c r="WBD171" s="125"/>
      <c r="WBE171" s="125"/>
      <c r="WBF171" s="125"/>
      <c r="WBG171" s="125"/>
      <c r="WBH171" s="125"/>
      <c r="WBI171" s="125"/>
      <c r="WBJ171" s="125"/>
      <c r="WBK171" s="125"/>
      <c r="WBL171" s="125"/>
      <c r="WBM171" s="125"/>
      <c r="WBN171" s="125"/>
      <c r="WBO171" s="125"/>
      <c r="WBP171" s="125"/>
      <c r="WBQ171" s="125"/>
      <c r="WBR171" s="125"/>
      <c r="WBS171" s="125"/>
      <c r="WBT171" s="125"/>
      <c r="WBU171" s="125"/>
      <c r="WBV171" s="125"/>
      <c r="WBW171" s="125"/>
      <c r="WBX171" s="125"/>
      <c r="WBY171" s="125"/>
      <c r="WBZ171" s="125"/>
      <c r="WCA171" s="125"/>
      <c r="WCB171" s="125"/>
      <c r="WCC171" s="125"/>
      <c r="WCD171" s="125"/>
      <c r="WCE171" s="125"/>
      <c r="WCF171" s="125"/>
      <c r="WCG171" s="125"/>
      <c r="WCH171" s="125"/>
      <c r="WCI171" s="125"/>
      <c r="WCJ171" s="125"/>
      <c r="WCK171" s="125"/>
      <c r="WCL171" s="125"/>
      <c r="WCM171" s="125"/>
      <c r="WCN171" s="125"/>
      <c r="WCO171" s="125"/>
      <c r="WCP171" s="125"/>
      <c r="WCQ171" s="125"/>
      <c r="WCR171" s="125"/>
      <c r="WCS171" s="125"/>
      <c r="WCT171" s="125"/>
      <c r="WCU171" s="125"/>
      <c r="WCV171" s="125"/>
      <c r="WCW171" s="125"/>
      <c r="WCX171" s="125"/>
      <c r="WCY171" s="125"/>
      <c r="WCZ171" s="125"/>
      <c r="WDA171" s="125"/>
      <c r="WDB171" s="125"/>
      <c r="WDC171" s="125"/>
      <c r="WDD171" s="125"/>
      <c r="WDE171" s="125"/>
      <c r="WDF171" s="125"/>
      <c r="WDG171" s="125"/>
      <c r="WDH171" s="125"/>
      <c r="WDI171" s="125"/>
      <c r="WDJ171" s="125"/>
      <c r="WDK171" s="125"/>
      <c r="WDL171" s="125"/>
      <c r="WDM171" s="125"/>
      <c r="WDN171" s="125"/>
      <c r="WDO171" s="125"/>
      <c r="WDP171" s="125"/>
      <c r="WDQ171" s="125"/>
      <c r="WDR171" s="125"/>
      <c r="WDS171" s="125"/>
      <c r="WDT171" s="125"/>
      <c r="WDU171" s="125"/>
      <c r="WDV171" s="125"/>
      <c r="WDW171" s="125"/>
      <c r="WDX171" s="125"/>
      <c r="WDY171" s="125"/>
      <c r="WDZ171" s="125"/>
      <c r="WEA171" s="125"/>
      <c r="WEB171" s="125"/>
      <c r="WEC171" s="125"/>
      <c r="WED171" s="125"/>
      <c r="WEE171" s="125"/>
      <c r="WEF171" s="125"/>
      <c r="WEG171" s="125"/>
      <c r="WEH171" s="125"/>
      <c r="WEI171" s="125"/>
      <c r="WEJ171" s="125"/>
      <c r="WEK171" s="125"/>
      <c r="WEL171" s="125"/>
      <c r="WEM171" s="125"/>
      <c r="WEN171" s="125"/>
      <c r="WEO171" s="125"/>
      <c r="WEP171" s="125"/>
      <c r="WEQ171" s="125"/>
      <c r="WER171" s="125"/>
      <c r="WES171" s="125"/>
      <c r="WET171" s="125"/>
      <c r="WEU171" s="125"/>
      <c r="WEV171" s="125"/>
      <c r="WEW171" s="125"/>
      <c r="WEX171" s="125"/>
      <c r="WEY171" s="125"/>
      <c r="WEZ171" s="125"/>
      <c r="WFA171" s="125"/>
      <c r="WFB171" s="125"/>
      <c r="WFC171" s="125"/>
      <c r="WFD171" s="125"/>
      <c r="WFE171" s="125"/>
      <c r="WFF171" s="125"/>
      <c r="WFG171" s="125"/>
      <c r="WFH171" s="125"/>
      <c r="WFI171" s="125"/>
      <c r="WFJ171" s="125"/>
      <c r="WFK171" s="125"/>
      <c r="WFL171" s="125"/>
      <c r="WFM171" s="125"/>
      <c r="WFN171" s="125"/>
      <c r="WFO171" s="125"/>
      <c r="WFP171" s="125"/>
      <c r="WFQ171" s="125"/>
      <c r="WFR171" s="125"/>
      <c r="WFS171" s="125"/>
      <c r="WFT171" s="125"/>
      <c r="WFU171" s="125"/>
      <c r="WFV171" s="125"/>
      <c r="WFW171" s="125"/>
      <c r="WFX171" s="125"/>
      <c r="WFY171" s="125"/>
      <c r="WFZ171" s="125"/>
      <c r="WGA171" s="125"/>
      <c r="WGB171" s="125"/>
      <c r="WGC171" s="125"/>
      <c r="WGD171" s="125"/>
      <c r="WGE171" s="125"/>
      <c r="WGF171" s="125"/>
      <c r="WGG171" s="125"/>
      <c r="WGH171" s="125"/>
      <c r="WGI171" s="125"/>
      <c r="WGJ171" s="125"/>
      <c r="WGK171" s="125"/>
      <c r="WGL171" s="125"/>
      <c r="WGM171" s="125"/>
      <c r="WGN171" s="125"/>
      <c r="WGO171" s="125"/>
      <c r="WGP171" s="125"/>
      <c r="WGQ171" s="125"/>
      <c r="WGR171" s="125"/>
      <c r="WGS171" s="125"/>
      <c r="WGT171" s="125"/>
      <c r="WGU171" s="125"/>
      <c r="WGV171" s="125"/>
      <c r="WGW171" s="125"/>
      <c r="WGX171" s="125"/>
      <c r="WGY171" s="125"/>
      <c r="WGZ171" s="125"/>
      <c r="WHA171" s="125"/>
      <c r="WHB171" s="125"/>
      <c r="WHC171" s="125"/>
      <c r="WHD171" s="125"/>
      <c r="WHE171" s="125"/>
      <c r="WHF171" s="125"/>
      <c r="WHG171" s="125"/>
      <c r="WHH171" s="125"/>
      <c r="WHI171" s="125"/>
      <c r="WHJ171" s="125"/>
      <c r="WHK171" s="125"/>
      <c r="WHL171" s="125"/>
      <c r="WHM171" s="125"/>
      <c r="WHN171" s="125"/>
      <c r="WHO171" s="125"/>
      <c r="WHP171" s="125"/>
      <c r="WHQ171" s="125"/>
      <c r="WHR171" s="125"/>
      <c r="WHS171" s="125"/>
      <c r="WHT171" s="125"/>
      <c r="WHU171" s="125"/>
      <c r="WHV171" s="125"/>
      <c r="WHW171" s="125"/>
      <c r="WHX171" s="125"/>
      <c r="WHY171" s="125"/>
      <c r="WHZ171" s="125"/>
      <c r="WIA171" s="125"/>
      <c r="WIB171" s="125"/>
      <c r="WIC171" s="125"/>
      <c r="WID171" s="125"/>
      <c r="WIE171" s="125"/>
      <c r="WIF171" s="125"/>
      <c r="WIG171" s="125"/>
      <c r="WIH171" s="125"/>
      <c r="WII171" s="125"/>
      <c r="WIJ171" s="125"/>
      <c r="WIK171" s="125"/>
      <c r="WIL171" s="125"/>
      <c r="WIM171" s="125"/>
      <c r="WIN171" s="125"/>
      <c r="WIO171" s="125"/>
      <c r="WIP171" s="125"/>
      <c r="WIQ171" s="125"/>
      <c r="WIR171" s="125"/>
      <c r="WIS171" s="125"/>
      <c r="WIT171" s="125"/>
      <c r="WIU171" s="125"/>
      <c r="WIV171" s="125"/>
      <c r="WIW171" s="125"/>
      <c r="WIX171" s="125"/>
      <c r="WIY171" s="125"/>
      <c r="WIZ171" s="125"/>
      <c r="WJA171" s="125"/>
      <c r="WJB171" s="125"/>
      <c r="WJC171" s="125"/>
      <c r="WJD171" s="125"/>
      <c r="WJE171" s="125"/>
      <c r="WJF171" s="125"/>
      <c r="WJG171" s="125"/>
      <c r="WJH171" s="125"/>
      <c r="WJI171" s="125"/>
      <c r="WJJ171" s="125"/>
      <c r="WJK171" s="125"/>
      <c r="WJL171" s="125"/>
      <c r="WJM171" s="125"/>
      <c r="WJN171" s="125"/>
      <c r="WJO171" s="125"/>
      <c r="WJP171" s="125"/>
      <c r="WJQ171" s="125"/>
      <c r="WJR171" s="125"/>
      <c r="WJS171" s="125"/>
      <c r="WJT171" s="125"/>
      <c r="WJU171" s="125"/>
      <c r="WJV171" s="125"/>
      <c r="WJW171" s="125"/>
      <c r="WJX171" s="125"/>
      <c r="WJY171" s="125"/>
      <c r="WJZ171" s="125"/>
      <c r="WKA171" s="125"/>
      <c r="WKB171" s="125"/>
      <c r="WKC171" s="125"/>
      <c r="WKD171" s="125"/>
      <c r="WKE171" s="125"/>
      <c r="WKF171" s="125"/>
      <c r="WKG171" s="125"/>
      <c r="WKH171" s="125"/>
      <c r="WKI171" s="125"/>
      <c r="WKJ171" s="125"/>
      <c r="WKK171" s="125"/>
      <c r="WKL171" s="125"/>
      <c r="WKM171" s="125"/>
      <c r="WKN171" s="125"/>
      <c r="WKO171" s="125"/>
      <c r="WKP171" s="125"/>
      <c r="WKQ171" s="125"/>
      <c r="WKR171" s="125"/>
      <c r="WKS171" s="125"/>
      <c r="WKT171" s="125"/>
      <c r="WKU171" s="125"/>
      <c r="WKV171" s="125"/>
      <c r="WKW171" s="125"/>
      <c r="WKX171" s="125"/>
      <c r="WKY171" s="125"/>
      <c r="WKZ171" s="125"/>
      <c r="WLA171" s="125"/>
      <c r="WLB171" s="125"/>
      <c r="WLC171" s="125"/>
      <c r="WLD171" s="125"/>
      <c r="WLE171" s="125"/>
      <c r="WLF171" s="125"/>
      <c r="WLG171" s="125"/>
      <c r="WLH171" s="125"/>
      <c r="WLI171" s="125"/>
      <c r="WLJ171" s="125"/>
      <c r="WLK171" s="125"/>
      <c r="WLL171" s="125"/>
      <c r="WLM171" s="125"/>
      <c r="WLN171" s="125"/>
      <c r="WLO171" s="125"/>
      <c r="WLP171" s="125"/>
      <c r="WLQ171" s="125"/>
      <c r="WLR171" s="125"/>
      <c r="WLS171" s="125"/>
      <c r="WLT171" s="125"/>
      <c r="WLU171" s="125"/>
      <c r="WLV171" s="125"/>
      <c r="WLW171" s="125"/>
      <c r="WLX171" s="125"/>
      <c r="WLY171" s="125"/>
      <c r="WLZ171" s="125"/>
      <c r="WMA171" s="125"/>
      <c r="WMB171" s="125"/>
      <c r="WMC171" s="125"/>
      <c r="WMD171" s="125"/>
      <c r="WME171" s="125"/>
      <c r="WMF171" s="125"/>
      <c r="WMG171" s="125"/>
      <c r="WMH171" s="125"/>
      <c r="WMI171" s="125"/>
      <c r="WMJ171" s="125"/>
      <c r="WMK171" s="125"/>
      <c r="WML171" s="125"/>
      <c r="WMM171" s="125"/>
      <c r="WMN171" s="125"/>
      <c r="WMO171" s="125"/>
      <c r="WMP171" s="125"/>
      <c r="WMQ171" s="125"/>
      <c r="WMR171" s="125"/>
      <c r="WMS171" s="125"/>
      <c r="WMT171" s="125"/>
      <c r="WMU171" s="125"/>
      <c r="WMV171" s="125"/>
      <c r="WMW171" s="125"/>
      <c r="WMX171" s="125"/>
      <c r="WMY171" s="125"/>
      <c r="WMZ171" s="125"/>
      <c r="WNA171" s="125"/>
      <c r="WNB171" s="125"/>
      <c r="WNC171" s="125"/>
      <c r="WND171" s="125"/>
      <c r="WNE171" s="125"/>
      <c r="WNF171" s="125"/>
      <c r="WNG171" s="125"/>
      <c r="WNH171" s="125"/>
      <c r="WNI171" s="125"/>
      <c r="WNJ171" s="125"/>
      <c r="WNK171" s="125"/>
      <c r="WNL171" s="125"/>
      <c r="WNM171" s="125"/>
      <c r="WNN171" s="125"/>
      <c r="WNO171" s="125"/>
      <c r="WNP171" s="125"/>
      <c r="WNQ171" s="125"/>
      <c r="WNR171" s="125"/>
      <c r="WNS171" s="125"/>
      <c r="WNT171" s="125"/>
      <c r="WNU171" s="125"/>
      <c r="WNV171" s="125"/>
      <c r="WNW171" s="125"/>
      <c r="WNX171" s="125"/>
      <c r="WNY171" s="125"/>
      <c r="WNZ171" s="125"/>
      <c r="WOA171" s="125"/>
      <c r="WOB171" s="125"/>
      <c r="WOC171" s="125"/>
      <c r="WOD171" s="125"/>
      <c r="WOE171" s="125"/>
      <c r="WOF171" s="125"/>
      <c r="WOG171" s="125"/>
      <c r="WOH171" s="125"/>
      <c r="WOI171" s="125"/>
      <c r="WOJ171" s="125"/>
      <c r="WOK171" s="125"/>
      <c r="WOL171" s="125"/>
      <c r="WOM171" s="125"/>
      <c r="WON171" s="125"/>
      <c r="WOO171" s="125"/>
      <c r="WOP171" s="125"/>
      <c r="WOQ171" s="125"/>
      <c r="WOR171" s="125"/>
      <c r="WOS171" s="125"/>
      <c r="WOT171" s="125"/>
      <c r="WOU171" s="125"/>
      <c r="WOV171" s="125"/>
      <c r="WOW171" s="125"/>
      <c r="WOX171" s="125"/>
      <c r="WOY171" s="125"/>
      <c r="WOZ171" s="125"/>
      <c r="WPA171" s="125"/>
      <c r="WPB171" s="125"/>
      <c r="WPC171" s="125"/>
      <c r="WPD171" s="125"/>
      <c r="WPE171" s="125"/>
      <c r="WPF171" s="125"/>
      <c r="WPG171" s="125"/>
      <c r="WPH171" s="125"/>
      <c r="WPI171" s="125"/>
      <c r="WPJ171" s="125"/>
      <c r="WPK171" s="125"/>
      <c r="WPL171" s="125"/>
      <c r="WPM171" s="125"/>
      <c r="WPN171" s="125"/>
      <c r="WPO171" s="125"/>
      <c r="WPP171" s="125"/>
      <c r="WPQ171" s="125"/>
      <c r="WPR171" s="125"/>
      <c r="WPS171" s="125"/>
      <c r="WPT171" s="125"/>
      <c r="WPU171" s="125"/>
      <c r="WPV171" s="125"/>
      <c r="WPW171" s="125"/>
      <c r="WPX171" s="125"/>
      <c r="WPY171" s="125"/>
      <c r="WPZ171" s="125"/>
      <c r="WQA171" s="125"/>
      <c r="WQB171" s="125"/>
      <c r="WQC171" s="125"/>
      <c r="WQD171" s="125"/>
      <c r="WQE171" s="125"/>
      <c r="WQF171" s="125"/>
      <c r="WQG171" s="125"/>
      <c r="WQH171" s="125"/>
      <c r="WQI171" s="125"/>
      <c r="WQJ171" s="125"/>
      <c r="WQK171" s="125"/>
      <c r="WQL171" s="125"/>
      <c r="WQM171" s="125"/>
      <c r="WQN171" s="125"/>
      <c r="WQO171" s="125"/>
      <c r="WQP171" s="125"/>
      <c r="WQQ171" s="125"/>
      <c r="WQR171" s="125"/>
      <c r="WQS171" s="125"/>
      <c r="WQT171" s="125"/>
      <c r="WQU171" s="125"/>
      <c r="WQV171" s="125"/>
      <c r="WQW171" s="125"/>
      <c r="WQX171" s="125"/>
      <c r="WQY171" s="125"/>
      <c r="WQZ171" s="125"/>
      <c r="WRA171" s="125"/>
      <c r="WRB171" s="125"/>
      <c r="WRC171" s="125"/>
      <c r="WRD171" s="125"/>
      <c r="WRE171" s="125"/>
      <c r="WRF171" s="125"/>
      <c r="WRG171" s="125"/>
      <c r="WRH171" s="125"/>
      <c r="WRI171" s="125"/>
      <c r="WRJ171" s="125"/>
      <c r="WRK171" s="125"/>
      <c r="WRL171" s="125"/>
      <c r="WRM171" s="125"/>
      <c r="WRN171" s="125"/>
      <c r="WRO171" s="125"/>
      <c r="WRP171" s="125"/>
      <c r="WRQ171" s="125"/>
      <c r="WRR171" s="125"/>
      <c r="WRS171" s="125"/>
      <c r="WRT171" s="125"/>
      <c r="WRU171" s="125"/>
      <c r="WRV171" s="125"/>
      <c r="WRW171" s="125"/>
      <c r="WRX171" s="125"/>
      <c r="WRY171" s="125"/>
      <c r="WRZ171" s="125"/>
      <c r="WSA171" s="125"/>
      <c r="WSB171" s="125"/>
      <c r="WSC171" s="125"/>
      <c r="WSD171" s="125"/>
      <c r="WSE171" s="125"/>
      <c r="WSF171" s="125"/>
      <c r="WSG171" s="125"/>
      <c r="WSH171" s="125"/>
      <c r="WSI171" s="125"/>
      <c r="WSJ171" s="125"/>
      <c r="WSK171" s="125"/>
      <c r="WSL171" s="125"/>
      <c r="WSM171" s="125"/>
      <c r="WSN171" s="125"/>
      <c r="WSO171" s="125"/>
      <c r="WSP171" s="125"/>
      <c r="WSQ171" s="125"/>
      <c r="WSR171" s="125"/>
      <c r="WSS171" s="125"/>
      <c r="WST171" s="125"/>
      <c r="WSU171" s="125"/>
      <c r="WSV171" s="125"/>
      <c r="WSW171" s="125"/>
      <c r="WSX171" s="125"/>
      <c r="WSY171" s="125"/>
      <c r="WSZ171" s="125"/>
      <c r="WTA171" s="125"/>
      <c r="WTB171" s="125"/>
      <c r="WTC171" s="125"/>
      <c r="WTD171" s="125"/>
      <c r="WTE171" s="125"/>
      <c r="WTF171" s="125"/>
      <c r="WTG171" s="125"/>
      <c r="WTH171" s="125"/>
      <c r="WTI171" s="125"/>
      <c r="WTJ171" s="125"/>
      <c r="WTK171" s="125"/>
      <c r="WTL171" s="125"/>
      <c r="WTM171" s="125"/>
      <c r="WTN171" s="125"/>
      <c r="WTO171" s="125"/>
      <c r="WTP171" s="125"/>
      <c r="WTQ171" s="125"/>
      <c r="WTR171" s="125"/>
      <c r="WTS171" s="125"/>
      <c r="WTT171" s="125"/>
      <c r="WTU171" s="125"/>
      <c r="WTV171" s="125"/>
      <c r="WTW171" s="125"/>
      <c r="WTX171" s="125"/>
      <c r="WTY171" s="125"/>
      <c r="WTZ171" s="125"/>
      <c r="WUA171" s="125"/>
      <c r="WUB171" s="125"/>
      <c r="WUC171" s="125"/>
      <c r="WUD171" s="125"/>
      <c r="WUE171" s="125"/>
      <c r="WUF171" s="125"/>
      <c r="WUG171" s="125"/>
      <c r="WUH171" s="125"/>
      <c r="WUI171" s="125"/>
      <c r="WUJ171" s="125"/>
      <c r="WUK171" s="125"/>
      <c r="WUL171" s="125"/>
      <c r="WUM171" s="125"/>
      <c r="WUN171" s="125"/>
      <c r="WUO171" s="125"/>
      <c r="WUP171" s="125"/>
      <c r="WUQ171" s="125"/>
      <c r="WUR171" s="125"/>
      <c r="WUS171" s="125"/>
      <c r="WUT171" s="125"/>
      <c r="WUU171" s="125"/>
      <c r="WUV171" s="125"/>
      <c r="WUW171" s="125"/>
      <c r="WUX171" s="125"/>
      <c r="WUY171" s="125"/>
      <c r="WUZ171" s="125"/>
      <c r="WVA171" s="125"/>
      <c r="WVB171" s="125"/>
      <c r="WVC171" s="125"/>
      <c r="WVD171" s="125"/>
      <c r="WVE171" s="125"/>
      <c r="WVF171" s="125"/>
      <c r="WVG171" s="125"/>
      <c r="WVH171" s="125"/>
      <c r="WVI171" s="125"/>
      <c r="WVJ171" s="125"/>
      <c r="WVK171" s="125"/>
      <c r="WVL171" s="125"/>
      <c r="WVM171" s="125"/>
      <c r="WVN171" s="125"/>
      <c r="WVO171" s="125"/>
      <c r="WVP171" s="125"/>
      <c r="WVQ171" s="125"/>
      <c r="WVR171" s="125"/>
      <c r="WVS171" s="125"/>
      <c r="WVT171" s="125"/>
      <c r="WVU171" s="125"/>
      <c r="WVV171" s="125"/>
      <c r="WVW171" s="125"/>
      <c r="WVX171" s="125"/>
      <c r="WVY171" s="125"/>
      <c r="WVZ171" s="125"/>
      <c r="WWA171" s="125"/>
      <c r="WWB171" s="125"/>
      <c r="WWC171" s="125"/>
      <c r="WWD171" s="125"/>
      <c r="WWE171" s="125"/>
      <c r="WWF171" s="125"/>
      <c r="WWG171" s="125"/>
      <c r="WWH171" s="125"/>
      <c r="WWI171" s="125"/>
      <c r="WWJ171" s="125"/>
      <c r="WWK171" s="125"/>
      <c r="WWL171" s="125"/>
      <c r="WWM171" s="125"/>
      <c r="WWN171" s="125"/>
      <c r="WWO171" s="125"/>
      <c r="WWP171" s="125"/>
      <c r="WWQ171" s="125"/>
      <c r="WWR171" s="125"/>
      <c r="WWS171" s="125"/>
      <c r="WWT171" s="125"/>
      <c r="WWU171" s="125"/>
      <c r="WWV171" s="125"/>
      <c r="WWW171" s="125"/>
      <c r="WWX171" s="125"/>
      <c r="WWY171" s="125"/>
      <c r="WWZ171" s="125"/>
      <c r="WXA171" s="125"/>
      <c r="WXB171" s="125"/>
      <c r="WXC171" s="125"/>
      <c r="WXD171" s="125"/>
      <c r="WXE171" s="125"/>
      <c r="WXF171" s="125"/>
      <c r="WXG171" s="125"/>
      <c r="WXH171" s="125"/>
      <c r="WXI171" s="125"/>
      <c r="WXJ171" s="125"/>
      <c r="WXK171" s="125"/>
      <c r="WXL171" s="125"/>
      <c r="WXM171" s="125"/>
      <c r="WXN171" s="125"/>
      <c r="WXO171" s="125"/>
      <c r="WXP171" s="125"/>
      <c r="WXQ171" s="125"/>
      <c r="WXR171" s="125"/>
      <c r="WXS171" s="125"/>
      <c r="WXT171" s="125"/>
      <c r="WXU171" s="125"/>
      <c r="WXV171" s="125"/>
      <c r="WXW171" s="125"/>
      <c r="WXX171" s="125"/>
      <c r="WXY171" s="125"/>
      <c r="WXZ171" s="125"/>
      <c r="WYA171" s="125"/>
      <c r="WYB171" s="125"/>
      <c r="WYC171" s="125"/>
      <c r="WYD171" s="125"/>
      <c r="WYE171" s="125"/>
      <c r="WYF171" s="125"/>
      <c r="WYG171" s="125"/>
      <c r="WYH171" s="125"/>
      <c r="WYI171" s="125"/>
      <c r="WYJ171" s="125"/>
      <c r="WYK171" s="125"/>
      <c r="WYL171" s="125"/>
      <c r="WYM171" s="125"/>
      <c r="WYN171" s="125"/>
      <c r="WYO171" s="125"/>
      <c r="WYP171" s="125"/>
      <c r="WYQ171" s="125"/>
      <c r="WYR171" s="125"/>
      <c r="WYS171" s="125"/>
      <c r="WYT171" s="125"/>
      <c r="WYU171" s="125"/>
      <c r="WYV171" s="125"/>
      <c r="WYW171" s="125"/>
      <c r="WYX171" s="125"/>
      <c r="WYY171" s="125"/>
      <c r="WYZ171" s="125"/>
      <c r="WZA171" s="125"/>
      <c r="WZB171" s="125"/>
      <c r="WZC171" s="125"/>
      <c r="WZD171" s="125"/>
      <c r="WZE171" s="125"/>
      <c r="WZF171" s="125"/>
      <c r="WZG171" s="125"/>
      <c r="WZH171" s="125"/>
      <c r="WZI171" s="125"/>
      <c r="WZJ171" s="125"/>
      <c r="WZK171" s="125"/>
      <c r="WZL171" s="125"/>
      <c r="WZM171" s="125"/>
      <c r="WZN171" s="125"/>
      <c r="WZO171" s="125"/>
      <c r="WZP171" s="125"/>
      <c r="WZQ171" s="125"/>
      <c r="WZR171" s="125"/>
      <c r="WZS171" s="125"/>
      <c r="WZT171" s="125"/>
      <c r="WZU171" s="125"/>
      <c r="WZV171" s="125"/>
      <c r="WZW171" s="125"/>
      <c r="WZX171" s="125"/>
      <c r="WZY171" s="125"/>
      <c r="WZZ171" s="125"/>
      <c r="XAA171" s="125"/>
      <c r="XAB171" s="125"/>
      <c r="XAC171" s="125"/>
      <c r="XAD171" s="125"/>
      <c r="XAE171" s="125"/>
      <c r="XAF171" s="125"/>
      <c r="XAG171" s="125"/>
      <c r="XAH171" s="125"/>
      <c r="XAI171" s="125"/>
      <c r="XAJ171" s="125"/>
      <c r="XAK171" s="125"/>
      <c r="XAL171" s="125"/>
      <c r="XAM171" s="125"/>
      <c r="XAN171" s="125"/>
      <c r="XAO171" s="125"/>
      <c r="XAP171" s="125"/>
      <c r="XAQ171" s="125"/>
      <c r="XAR171" s="125"/>
      <c r="XAS171" s="125"/>
      <c r="XAT171" s="125"/>
      <c r="XAU171" s="125"/>
      <c r="XAV171" s="125"/>
      <c r="XAW171" s="125"/>
      <c r="XAX171" s="125"/>
      <c r="XAY171" s="125"/>
      <c r="XAZ171" s="125"/>
      <c r="XBA171" s="125"/>
      <c r="XBB171" s="125"/>
      <c r="XBC171" s="125"/>
      <c r="XBD171" s="125"/>
      <c r="XBE171" s="125"/>
      <c r="XBF171" s="125"/>
      <c r="XBG171" s="125"/>
      <c r="XBH171" s="125"/>
      <c r="XBI171" s="125"/>
      <c r="XBJ171" s="125"/>
      <c r="XBK171" s="125"/>
      <c r="XBL171" s="125"/>
      <c r="XBM171" s="125"/>
      <c r="XBN171" s="125"/>
      <c r="XBO171" s="125"/>
      <c r="XBP171" s="125"/>
      <c r="XBQ171" s="125"/>
      <c r="XBR171" s="125"/>
      <c r="XBS171" s="125"/>
      <c r="XBT171" s="125"/>
      <c r="XBU171" s="125"/>
      <c r="XBV171" s="125"/>
      <c r="XBW171" s="125"/>
      <c r="XBX171" s="125"/>
      <c r="XBY171" s="125"/>
      <c r="XBZ171" s="125"/>
      <c r="XCA171" s="125"/>
      <c r="XCB171" s="125"/>
      <c r="XCC171" s="125"/>
      <c r="XCD171" s="125"/>
      <c r="XCE171" s="125"/>
      <c r="XCF171" s="125"/>
      <c r="XCG171" s="125"/>
      <c r="XCH171" s="125"/>
      <c r="XCI171" s="125"/>
      <c r="XCJ171" s="125"/>
      <c r="XCK171" s="125"/>
      <c r="XCL171" s="125"/>
      <c r="XCM171" s="125"/>
      <c r="XCN171" s="125"/>
      <c r="XCO171" s="125"/>
      <c r="XCP171" s="125"/>
      <c r="XCQ171" s="125"/>
      <c r="XCR171" s="125"/>
      <c r="XCS171" s="125"/>
      <c r="XCT171" s="125"/>
      <c r="XCU171" s="125"/>
      <c r="XCV171" s="125"/>
      <c r="XCW171" s="125"/>
      <c r="XCX171" s="125"/>
      <c r="XCY171" s="125"/>
      <c r="XCZ171" s="125"/>
      <c r="XDA171" s="125"/>
      <c r="XDB171" s="125"/>
      <c r="XDC171" s="125"/>
      <c r="XDD171" s="125"/>
      <c r="XDE171" s="125"/>
      <c r="XDF171" s="125"/>
      <c r="XDG171" s="125"/>
      <c r="XDH171" s="125"/>
      <c r="XDI171" s="125"/>
      <c r="XDJ171" s="125"/>
      <c r="XDK171" s="125"/>
      <c r="XDL171" s="125"/>
      <c r="XDM171" s="125"/>
      <c r="XDN171" s="125"/>
      <c r="XDO171" s="125"/>
      <c r="XDP171" s="125"/>
      <c r="XDQ171" s="125"/>
      <c r="XDR171" s="125"/>
      <c r="XDS171" s="125"/>
      <c r="XDT171" s="125"/>
      <c r="XDU171" s="125"/>
      <c r="XDV171" s="125"/>
      <c r="XDW171" s="125"/>
      <c r="XDX171" s="125"/>
      <c r="XDY171" s="125"/>
      <c r="XDZ171" s="125"/>
      <c r="XEA171" s="125"/>
      <c r="XEB171" s="125"/>
      <c r="XEC171" s="125"/>
      <c r="XED171" s="125"/>
      <c r="XEE171" s="125"/>
      <c r="XEF171" s="125"/>
      <c r="XEG171" s="125"/>
      <c r="XEH171" s="125"/>
      <c r="XEI171" s="125"/>
      <c r="XEJ171" s="125"/>
      <c r="XEK171" s="125"/>
      <c r="XEL171" s="125"/>
      <c r="XEM171" s="125"/>
      <c r="XEN171" s="125"/>
      <c r="XEO171" s="125"/>
      <c r="XEP171" s="125"/>
      <c r="XEQ171" s="125"/>
      <c r="XER171" s="125"/>
      <c r="XES171" s="125"/>
      <c r="XET171" s="125"/>
      <c r="XEU171" s="125"/>
      <c r="XEV171" s="125"/>
      <c r="XEW171" s="125"/>
      <c r="XEX171" s="125"/>
      <c r="XEY171" s="125"/>
      <c r="XEZ171" s="125"/>
      <c r="XFA171" s="125"/>
      <c r="XFB171" s="125"/>
      <c r="XFC171" s="125"/>
    </row>
    <row r="172" spans="1:16383" x14ac:dyDescent="0.2">
      <c r="A172" s="74">
        <v>170</v>
      </c>
      <c r="B172" s="20" t="s">
        <v>1168</v>
      </c>
      <c r="C172" s="9" t="str">
        <f>VLOOKUP(B172,'Cấp phát TN'!C2:G1048575,2,FALSE)</f>
        <v>DAC</v>
      </c>
      <c r="D172" s="16" t="str">
        <f>VLOOKUP(B172,'Cấp phát TN'!C1:G1048575,3,FALSE)</f>
        <v>dohv</v>
      </c>
      <c r="E172" s="63" t="str">
        <f>VLOOKUP(B172,'Cấp phát TN'!C2:G1048575,4,FALSE)</f>
        <v>thongnv31</v>
      </c>
      <c r="F172" s="77" t="str">
        <f>VLOOKUP(B172,'Cấp phát TN'!C1:G1048575,5,FALSE)</f>
        <v>SR_VN_20240821_1178928</v>
      </c>
      <c r="G172" s="74" t="s">
        <v>817</v>
      </c>
      <c r="H172" s="111">
        <v>27</v>
      </c>
      <c r="I172" s="111">
        <v>297</v>
      </c>
      <c r="J172" s="111">
        <v>891</v>
      </c>
      <c r="K172" s="111">
        <v>1437</v>
      </c>
      <c r="L172" s="111">
        <v>31656</v>
      </c>
      <c r="M172" s="111">
        <v>4000</v>
      </c>
      <c r="N172" s="111"/>
      <c r="O172" s="111"/>
      <c r="P172" s="111"/>
      <c r="Q172" s="111"/>
      <c r="R172" s="74" t="s">
        <v>1693</v>
      </c>
      <c r="S172" s="74" t="s">
        <v>1529</v>
      </c>
      <c r="T172" s="81"/>
      <c r="U172" s="132"/>
      <c r="V172" s="129"/>
      <c r="W172" s="125"/>
      <c r="X172" s="125"/>
      <c r="Y172" s="125"/>
      <c r="Z172" s="125"/>
      <c r="AA172" s="125"/>
      <c r="AB172" s="125"/>
      <c r="AC172" s="125"/>
      <c r="AD172" s="125"/>
      <c r="AE172" s="125"/>
      <c r="AF172" s="125"/>
      <c r="AG172" s="125"/>
      <c r="AH172" s="125"/>
      <c r="AI172" s="125"/>
      <c r="AJ172" s="125"/>
      <c r="AK172" s="125"/>
      <c r="AL172" s="125"/>
      <c r="AM172" s="125"/>
      <c r="AN172" s="125"/>
      <c r="AO172" s="125"/>
      <c r="AP172" s="125"/>
      <c r="AQ172" s="125"/>
      <c r="AR172" s="125"/>
      <c r="AS172" s="125"/>
      <c r="AT172" s="125"/>
      <c r="AU172" s="125"/>
      <c r="AV172" s="125"/>
      <c r="AW172" s="125"/>
      <c r="AX172" s="125"/>
      <c r="AY172" s="125"/>
      <c r="AZ172" s="125"/>
      <c r="BA172" s="125"/>
      <c r="BB172" s="125"/>
      <c r="BC172" s="125"/>
      <c r="BD172" s="125"/>
      <c r="BE172" s="125"/>
      <c r="BF172" s="125"/>
      <c r="BG172" s="125"/>
      <c r="BH172" s="125"/>
      <c r="BI172" s="125"/>
      <c r="BJ172" s="125"/>
      <c r="BK172" s="125"/>
      <c r="BL172" s="125"/>
      <c r="BM172" s="125"/>
      <c r="BN172" s="125"/>
      <c r="BO172" s="125"/>
      <c r="BP172" s="125"/>
      <c r="BQ172" s="125"/>
      <c r="BR172" s="125"/>
      <c r="BS172" s="125"/>
      <c r="BT172" s="125"/>
      <c r="BU172" s="125"/>
      <c r="BV172" s="125"/>
      <c r="BW172" s="125"/>
      <c r="BX172" s="125"/>
      <c r="BY172" s="125"/>
      <c r="BZ172" s="125"/>
      <c r="CA172" s="125"/>
      <c r="CB172" s="125"/>
      <c r="CC172" s="125"/>
      <c r="CD172" s="125"/>
      <c r="CE172" s="125"/>
      <c r="CF172" s="125"/>
      <c r="CG172" s="125"/>
      <c r="CH172" s="125"/>
      <c r="CI172" s="125"/>
      <c r="CJ172" s="125"/>
      <c r="CK172" s="125"/>
      <c r="CL172" s="125"/>
      <c r="CM172" s="125"/>
      <c r="CN172" s="125"/>
      <c r="CO172" s="125"/>
      <c r="CP172" s="125"/>
      <c r="CQ172" s="125"/>
      <c r="CR172" s="125"/>
      <c r="CS172" s="125"/>
      <c r="CT172" s="125"/>
      <c r="CU172" s="125"/>
      <c r="CV172" s="125"/>
      <c r="CW172" s="125"/>
      <c r="CX172" s="125"/>
      <c r="CY172" s="125"/>
      <c r="CZ172" s="125"/>
      <c r="DA172" s="125"/>
      <c r="DB172" s="125"/>
      <c r="DC172" s="125"/>
      <c r="DD172" s="125"/>
      <c r="DE172" s="125"/>
      <c r="DF172" s="125"/>
      <c r="DG172" s="125"/>
      <c r="DH172" s="125"/>
      <c r="DI172" s="125"/>
      <c r="DJ172" s="125"/>
      <c r="DK172" s="125"/>
      <c r="DL172" s="125"/>
      <c r="DM172" s="125"/>
      <c r="DN172" s="125"/>
      <c r="DO172" s="125"/>
      <c r="DP172" s="125"/>
      <c r="DQ172" s="125"/>
      <c r="DR172" s="125"/>
      <c r="DS172" s="125"/>
      <c r="DT172" s="125"/>
      <c r="DU172" s="125"/>
      <c r="DV172" s="125"/>
      <c r="DW172" s="125"/>
      <c r="DX172" s="125"/>
      <c r="DY172" s="125"/>
      <c r="DZ172" s="125"/>
      <c r="EA172" s="125"/>
      <c r="EB172" s="125"/>
      <c r="EC172" s="125"/>
      <c r="ED172" s="125"/>
      <c r="EE172" s="125"/>
      <c r="EF172" s="125"/>
      <c r="EG172" s="125"/>
      <c r="EH172" s="125"/>
      <c r="EI172" s="125"/>
      <c r="EJ172" s="125"/>
      <c r="EK172" s="125"/>
      <c r="EL172" s="125"/>
      <c r="EM172" s="125"/>
      <c r="EN172" s="125"/>
      <c r="EO172" s="125"/>
      <c r="EP172" s="125"/>
      <c r="EQ172" s="125"/>
      <c r="ER172" s="125"/>
      <c r="ES172" s="125"/>
      <c r="ET172" s="125"/>
      <c r="EU172" s="125"/>
      <c r="EV172" s="125"/>
      <c r="EW172" s="125"/>
      <c r="EX172" s="125"/>
      <c r="EY172" s="125"/>
      <c r="EZ172" s="125"/>
      <c r="FA172" s="125"/>
      <c r="FB172" s="125"/>
      <c r="FC172" s="125"/>
      <c r="FD172" s="125"/>
      <c r="FE172" s="125"/>
      <c r="FF172" s="125"/>
      <c r="FG172" s="125"/>
      <c r="FH172" s="125"/>
      <c r="FI172" s="125"/>
      <c r="FJ172" s="125"/>
      <c r="FK172" s="125"/>
      <c r="FL172" s="125"/>
      <c r="FM172" s="125"/>
      <c r="FN172" s="125"/>
      <c r="FO172" s="125"/>
      <c r="FP172" s="125"/>
      <c r="FQ172" s="125"/>
      <c r="FR172" s="125"/>
      <c r="FS172" s="125"/>
      <c r="FT172" s="125"/>
      <c r="FU172" s="125"/>
      <c r="FV172" s="125"/>
      <c r="FW172" s="125"/>
      <c r="FX172" s="125"/>
      <c r="FY172" s="125"/>
      <c r="FZ172" s="125"/>
      <c r="GA172" s="125"/>
      <c r="GB172" s="125"/>
      <c r="GC172" s="125"/>
      <c r="GD172" s="125"/>
      <c r="GE172" s="125"/>
      <c r="GF172" s="125"/>
      <c r="GG172" s="125"/>
      <c r="GH172" s="125"/>
      <c r="GI172" s="125"/>
      <c r="GJ172" s="125"/>
      <c r="GK172" s="125"/>
      <c r="GL172" s="125"/>
      <c r="GM172" s="125"/>
      <c r="GN172" s="125"/>
      <c r="GO172" s="125"/>
      <c r="GP172" s="125"/>
      <c r="GQ172" s="125"/>
      <c r="GR172" s="125"/>
      <c r="GS172" s="125"/>
      <c r="GT172" s="125"/>
      <c r="GU172" s="125"/>
      <c r="GV172" s="125"/>
      <c r="GW172" s="125"/>
      <c r="GX172" s="125"/>
      <c r="GY172" s="125"/>
      <c r="GZ172" s="125"/>
      <c r="HA172" s="125"/>
      <c r="HB172" s="125"/>
      <c r="HC172" s="125"/>
      <c r="HD172" s="125"/>
      <c r="HE172" s="125"/>
      <c r="HF172" s="125"/>
      <c r="HG172" s="125"/>
      <c r="HH172" s="125"/>
      <c r="HI172" s="125"/>
      <c r="HJ172" s="125"/>
      <c r="HK172" s="125"/>
      <c r="HL172" s="125"/>
      <c r="HM172" s="125"/>
      <c r="HN172" s="125"/>
      <c r="HO172" s="125"/>
      <c r="HP172" s="125"/>
      <c r="HQ172" s="125"/>
      <c r="HR172" s="125"/>
      <c r="HS172" s="125"/>
      <c r="HT172" s="125"/>
      <c r="HU172" s="125"/>
      <c r="HV172" s="125"/>
      <c r="HW172" s="125"/>
      <c r="HX172" s="125"/>
      <c r="HY172" s="125"/>
      <c r="HZ172" s="125"/>
      <c r="IA172" s="125"/>
      <c r="IB172" s="125"/>
      <c r="IC172" s="125"/>
      <c r="ID172" s="125"/>
      <c r="IE172" s="125"/>
      <c r="IF172" s="125"/>
      <c r="IG172" s="125"/>
      <c r="IH172" s="125"/>
      <c r="II172" s="125"/>
      <c r="IJ172" s="125"/>
      <c r="IK172" s="125"/>
      <c r="IL172" s="125"/>
      <c r="IM172" s="125"/>
      <c r="IN172" s="125"/>
      <c r="IO172" s="125"/>
      <c r="IP172" s="125"/>
      <c r="IQ172" s="125"/>
      <c r="IR172" s="125"/>
      <c r="IS172" s="125"/>
      <c r="IT172" s="125"/>
      <c r="IU172" s="125"/>
      <c r="IV172" s="125"/>
      <c r="IW172" s="125"/>
      <c r="IX172" s="125"/>
      <c r="IY172" s="125"/>
      <c r="IZ172" s="125"/>
      <c r="JA172" s="125"/>
      <c r="JB172" s="125"/>
      <c r="JC172" s="125"/>
      <c r="JD172" s="125"/>
      <c r="JE172" s="125"/>
      <c r="JF172" s="125"/>
      <c r="JG172" s="125"/>
      <c r="JH172" s="125"/>
      <c r="JI172" s="125"/>
      <c r="JJ172" s="125"/>
      <c r="JK172" s="125"/>
      <c r="JL172" s="125"/>
      <c r="JM172" s="125"/>
      <c r="JN172" s="125"/>
      <c r="JO172" s="125"/>
      <c r="JP172" s="125"/>
      <c r="JQ172" s="125"/>
      <c r="JR172" s="125"/>
      <c r="JS172" s="125"/>
      <c r="JT172" s="125"/>
      <c r="JU172" s="125"/>
      <c r="JV172" s="125"/>
      <c r="JW172" s="125"/>
      <c r="JX172" s="125"/>
      <c r="JY172" s="125"/>
      <c r="JZ172" s="125"/>
      <c r="KA172" s="125"/>
      <c r="KB172" s="125"/>
      <c r="KC172" s="125"/>
      <c r="KD172" s="125"/>
      <c r="KE172" s="125"/>
      <c r="KF172" s="125"/>
      <c r="KG172" s="125"/>
      <c r="KH172" s="125"/>
      <c r="KI172" s="125"/>
      <c r="KJ172" s="125"/>
      <c r="KK172" s="125"/>
      <c r="KL172" s="125"/>
      <c r="KM172" s="125"/>
      <c r="KN172" s="125"/>
      <c r="KO172" s="125"/>
      <c r="KP172" s="125"/>
      <c r="KQ172" s="125"/>
      <c r="KR172" s="125"/>
      <c r="KS172" s="125"/>
      <c r="KT172" s="125"/>
      <c r="KU172" s="125"/>
      <c r="KV172" s="125"/>
      <c r="KW172" s="125"/>
      <c r="KX172" s="125"/>
      <c r="KY172" s="125"/>
      <c r="KZ172" s="125"/>
      <c r="LA172" s="125"/>
      <c r="LB172" s="125"/>
      <c r="LC172" s="125"/>
      <c r="LD172" s="125"/>
      <c r="LE172" s="125"/>
      <c r="LF172" s="125"/>
      <c r="LG172" s="125"/>
      <c r="LH172" s="125"/>
      <c r="LI172" s="125"/>
      <c r="LJ172" s="125"/>
      <c r="LK172" s="125"/>
      <c r="LL172" s="125"/>
      <c r="LM172" s="125"/>
      <c r="LN172" s="125"/>
      <c r="LO172" s="125"/>
      <c r="LP172" s="125"/>
      <c r="LQ172" s="125"/>
      <c r="LR172" s="125"/>
      <c r="LS172" s="125"/>
      <c r="LT172" s="125"/>
      <c r="LU172" s="125"/>
      <c r="LV172" s="125"/>
      <c r="LW172" s="125"/>
      <c r="LX172" s="125"/>
      <c r="LY172" s="125"/>
      <c r="LZ172" s="125"/>
      <c r="MA172" s="125"/>
      <c r="MB172" s="125"/>
      <c r="MC172" s="125"/>
      <c r="MD172" s="125"/>
      <c r="ME172" s="125"/>
      <c r="MF172" s="125"/>
      <c r="MG172" s="125"/>
      <c r="MH172" s="125"/>
      <c r="MI172" s="125"/>
      <c r="MJ172" s="125"/>
      <c r="MK172" s="125"/>
      <c r="ML172" s="125"/>
      <c r="MM172" s="125"/>
      <c r="MN172" s="125"/>
      <c r="MO172" s="125"/>
      <c r="MP172" s="125"/>
      <c r="MQ172" s="125"/>
      <c r="MR172" s="125"/>
      <c r="MS172" s="125"/>
      <c r="MT172" s="125"/>
      <c r="MU172" s="125"/>
      <c r="MV172" s="125"/>
      <c r="MW172" s="125"/>
      <c r="MX172" s="125"/>
      <c r="MY172" s="125"/>
      <c r="MZ172" s="125"/>
      <c r="NA172" s="125"/>
      <c r="NB172" s="125"/>
      <c r="NC172" s="125"/>
      <c r="ND172" s="125"/>
      <c r="NE172" s="125"/>
      <c r="NF172" s="125"/>
      <c r="NG172" s="125"/>
      <c r="NH172" s="125"/>
      <c r="NI172" s="125"/>
      <c r="NJ172" s="125"/>
      <c r="NK172" s="125"/>
      <c r="NL172" s="125"/>
      <c r="NM172" s="125"/>
      <c r="NN172" s="125"/>
      <c r="NO172" s="125"/>
      <c r="NP172" s="125"/>
      <c r="NQ172" s="125"/>
      <c r="NR172" s="125"/>
      <c r="NS172" s="125"/>
      <c r="NT172" s="125"/>
      <c r="NU172" s="125"/>
      <c r="NV172" s="125"/>
      <c r="NW172" s="125"/>
      <c r="NX172" s="125"/>
      <c r="NY172" s="125"/>
      <c r="NZ172" s="125"/>
      <c r="OA172" s="125"/>
      <c r="OB172" s="125"/>
      <c r="OC172" s="125"/>
      <c r="OD172" s="125"/>
      <c r="OE172" s="125"/>
      <c r="OF172" s="125"/>
      <c r="OG172" s="125"/>
      <c r="OH172" s="125"/>
      <c r="OI172" s="125"/>
      <c r="OJ172" s="125"/>
      <c r="OK172" s="125"/>
      <c r="OL172" s="125"/>
      <c r="OM172" s="125"/>
      <c r="ON172" s="125"/>
      <c r="OO172" s="125"/>
      <c r="OP172" s="125"/>
      <c r="OQ172" s="125"/>
      <c r="OR172" s="125"/>
      <c r="OS172" s="125"/>
      <c r="OT172" s="125"/>
      <c r="OU172" s="125"/>
      <c r="OV172" s="125"/>
      <c r="OW172" s="125"/>
      <c r="OX172" s="125"/>
      <c r="OY172" s="125"/>
      <c r="OZ172" s="125"/>
      <c r="PA172" s="125"/>
      <c r="PB172" s="125"/>
      <c r="PC172" s="125"/>
      <c r="PD172" s="125"/>
      <c r="PE172" s="125"/>
      <c r="PF172" s="125"/>
      <c r="PG172" s="125"/>
      <c r="PH172" s="125"/>
      <c r="PI172" s="125"/>
      <c r="PJ172" s="125"/>
      <c r="PK172" s="125"/>
      <c r="PL172" s="125"/>
      <c r="PM172" s="125"/>
      <c r="PN172" s="125"/>
      <c r="PO172" s="125"/>
      <c r="PP172" s="125"/>
      <c r="PQ172" s="125"/>
      <c r="PR172" s="125"/>
      <c r="PS172" s="125"/>
      <c r="PT172" s="125"/>
      <c r="PU172" s="125"/>
      <c r="PV172" s="125"/>
      <c r="PW172" s="125"/>
      <c r="PX172" s="125"/>
      <c r="PY172" s="125"/>
      <c r="PZ172" s="125"/>
      <c r="QA172" s="125"/>
      <c r="QB172" s="125"/>
      <c r="QC172" s="125"/>
      <c r="QD172" s="125"/>
      <c r="QE172" s="125"/>
      <c r="QF172" s="125"/>
      <c r="QG172" s="125"/>
      <c r="QH172" s="125"/>
      <c r="QI172" s="125"/>
      <c r="QJ172" s="125"/>
      <c r="QK172" s="125"/>
      <c r="QL172" s="125"/>
      <c r="QM172" s="125"/>
      <c r="QN172" s="125"/>
      <c r="QO172" s="125"/>
      <c r="QP172" s="125"/>
      <c r="QQ172" s="125"/>
      <c r="QR172" s="125"/>
      <c r="QS172" s="125"/>
      <c r="QT172" s="125"/>
      <c r="QU172" s="125"/>
      <c r="QV172" s="125"/>
      <c r="QW172" s="125"/>
      <c r="QX172" s="125"/>
      <c r="QY172" s="125"/>
      <c r="QZ172" s="125"/>
      <c r="RA172" s="125"/>
      <c r="RB172" s="125"/>
      <c r="RC172" s="125"/>
      <c r="RD172" s="125"/>
      <c r="RE172" s="125"/>
      <c r="RF172" s="125"/>
      <c r="RG172" s="125"/>
      <c r="RH172" s="125"/>
      <c r="RI172" s="125"/>
      <c r="RJ172" s="125"/>
      <c r="RK172" s="125"/>
      <c r="RL172" s="125"/>
      <c r="RM172" s="125"/>
      <c r="RN172" s="125"/>
      <c r="RO172" s="125"/>
      <c r="RP172" s="125"/>
      <c r="RQ172" s="125"/>
      <c r="RR172" s="125"/>
      <c r="RS172" s="125"/>
      <c r="RT172" s="125"/>
      <c r="RU172" s="125"/>
      <c r="RV172" s="125"/>
      <c r="RW172" s="125"/>
      <c r="RX172" s="125"/>
      <c r="RY172" s="125"/>
      <c r="RZ172" s="125"/>
      <c r="SA172" s="125"/>
      <c r="SB172" s="125"/>
      <c r="SC172" s="125"/>
      <c r="SD172" s="125"/>
      <c r="SE172" s="125"/>
      <c r="SF172" s="125"/>
      <c r="SG172" s="125"/>
      <c r="SH172" s="125"/>
      <c r="SI172" s="125"/>
      <c r="SJ172" s="125"/>
      <c r="SK172" s="125"/>
      <c r="SL172" s="125"/>
      <c r="SM172" s="125"/>
      <c r="SN172" s="125"/>
      <c r="SO172" s="125"/>
      <c r="SP172" s="125"/>
      <c r="SQ172" s="125"/>
      <c r="SR172" s="125"/>
      <c r="SS172" s="125"/>
      <c r="ST172" s="125"/>
      <c r="SU172" s="125"/>
      <c r="SV172" s="125"/>
      <c r="SW172" s="125"/>
      <c r="SX172" s="125"/>
      <c r="SY172" s="125"/>
      <c r="SZ172" s="125"/>
      <c r="TA172" s="125"/>
      <c r="TB172" s="125"/>
      <c r="TC172" s="125"/>
      <c r="TD172" s="125"/>
      <c r="TE172" s="125"/>
      <c r="TF172" s="125"/>
      <c r="TG172" s="125"/>
      <c r="TH172" s="125"/>
      <c r="TI172" s="125"/>
      <c r="TJ172" s="125"/>
      <c r="TK172" s="125"/>
      <c r="TL172" s="125"/>
      <c r="TM172" s="125"/>
      <c r="TN172" s="125"/>
      <c r="TO172" s="125"/>
      <c r="TP172" s="125"/>
      <c r="TQ172" s="125"/>
      <c r="TR172" s="125"/>
      <c r="TS172" s="125"/>
      <c r="TT172" s="125"/>
      <c r="TU172" s="125"/>
      <c r="TV172" s="125"/>
      <c r="TW172" s="125"/>
      <c r="TX172" s="125"/>
      <c r="TY172" s="125"/>
      <c r="TZ172" s="125"/>
      <c r="UA172" s="125"/>
      <c r="UB172" s="125"/>
      <c r="UC172" s="125"/>
      <c r="UD172" s="125"/>
      <c r="UE172" s="125"/>
      <c r="UF172" s="125"/>
      <c r="UG172" s="125"/>
      <c r="UH172" s="125"/>
      <c r="UI172" s="125"/>
      <c r="UJ172" s="125"/>
      <c r="UK172" s="125"/>
      <c r="UL172" s="125"/>
      <c r="UM172" s="125"/>
      <c r="UN172" s="125"/>
      <c r="UO172" s="125"/>
      <c r="UP172" s="125"/>
      <c r="UQ172" s="125"/>
      <c r="UR172" s="125"/>
      <c r="US172" s="125"/>
      <c r="UT172" s="125"/>
      <c r="UU172" s="125"/>
      <c r="UV172" s="125"/>
      <c r="UW172" s="125"/>
      <c r="UX172" s="125"/>
      <c r="UY172" s="125"/>
      <c r="UZ172" s="125"/>
      <c r="VA172" s="125"/>
      <c r="VB172" s="125"/>
      <c r="VC172" s="125"/>
      <c r="VD172" s="125"/>
      <c r="VE172" s="125"/>
      <c r="VF172" s="125"/>
      <c r="VG172" s="125"/>
      <c r="VH172" s="125"/>
      <c r="VI172" s="125"/>
      <c r="VJ172" s="125"/>
      <c r="VK172" s="125"/>
      <c r="VL172" s="125"/>
      <c r="VM172" s="125"/>
      <c r="VN172" s="125"/>
      <c r="VO172" s="125"/>
      <c r="VP172" s="125"/>
      <c r="VQ172" s="125"/>
      <c r="VR172" s="125"/>
      <c r="VS172" s="125"/>
      <c r="VT172" s="125"/>
      <c r="VU172" s="125"/>
      <c r="VV172" s="125"/>
      <c r="VW172" s="125"/>
      <c r="VX172" s="125"/>
      <c r="VY172" s="125"/>
      <c r="VZ172" s="125"/>
      <c r="WA172" s="125"/>
      <c r="WB172" s="125"/>
      <c r="WC172" s="125"/>
      <c r="WD172" s="125"/>
      <c r="WE172" s="125"/>
      <c r="WF172" s="125"/>
      <c r="WG172" s="125"/>
      <c r="WH172" s="125"/>
      <c r="WI172" s="125"/>
      <c r="WJ172" s="125"/>
      <c r="WK172" s="125"/>
      <c r="WL172" s="125"/>
      <c r="WM172" s="125"/>
      <c r="WN172" s="125"/>
      <c r="WO172" s="125"/>
      <c r="WP172" s="125"/>
      <c r="WQ172" s="125"/>
      <c r="WR172" s="125"/>
      <c r="WS172" s="125"/>
      <c r="WT172" s="125"/>
      <c r="WU172" s="125"/>
      <c r="WV172" s="125"/>
      <c r="WW172" s="125"/>
      <c r="WX172" s="125"/>
      <c r="WY172" s="125"/>
      <c r="WZ172" s="125"/>
      <c r="XA172" s="125"/>
      <c r="XB172" s="125"/>
      <c r="XC172" s="125"/>
      <c r="XD172" s="125"/>
      <c r="XE172" s="125"/>
      <c r="XF172" s="125"/>
      <c r="XG172" s="125"/>
      <c r="XH172" s="125"/>
      <c r="XI172" s="125"/>
      <c r="XJ172" s="125"/>
      <c r="XK172" s="125"/>
      <c r="XL172" s="125"/>
      <c r="XM172" s="125"/>
      <c r="XN172" s="125"/>
      <c r="XO172" s="125"/>
      <c r="XP172" s="125"/>
      <c r="XQ172" s="125"/>
      <c r="XR172" s="125"/>
      <c r="XS172" s="125"/>
      <c r="XT172" s="125"/>
      <c r="XU172" s="125"/>
      <c r="XV172" s="125"/>
      <c r="XW172" s="125"/>
      <c r="XX172" s="125"/>
      <c r="XY172" s="125"/>
      <c r="XZ172" s="125"/>
      <c r="YA172" s="125"/>
      <c r="YB172" s="125"/>
      <c r="YC172" s="125"/>
      <c r="YD172" s="125"/>
      <c r="YE172" s="125"/>
      <c r="YF172" s="125"/>
      <c r="YG172" s="125"/>
      <c r="YH172" s="125"/>
      <c r="YI172" s="125"/>
      <c r="YJ172" s="125"/>
      <c r="YK172" s="125"/>
      <c r="YL172" s="125"/>
      <c r="YM172" s="125"/>
      <c r="YN172" s="125"/>
      <c r="YO172" s="125"/>
      <c r="YP172" s="125"/>
      <c r="YQ172" s="125"/>
      <c r="YR172" s="125"/>
      <c r="YS172" s="125"/>
      <c r="YT172" s="125"/>
      <c r="YU172" s="125"/>
      <c r="YV172" s="125"/>
      <c r="YW172" s="125"/>
      <c r="YX172" s="125"/>
      <c r="YY172" s="125"/>
      <c r="YZ172" s="125"/>
      <c r="ZA172" s="125"/>
      <c r="ZB172" s="125"/>
      <c r="ZC172" s="125"/>
      <c r="ZD172" s="125"/>
      <c r="ZE172" s="125"/>
      <c r="ZF172" s="125"/>
      <c r="ZG172" s="125"/>
      <c r="ZH172" s="125"/>
      <c r="ZI172" s="125"/>
      <c r="ZJ172" s="125"/>
      <c r="ZK172" s="125"/>
      <c r="ZL172" s="125"/>
      <c r="ZM172" s="125"/>
      <c r="ZN172" s="125"/>
      <c r="ZO172" s="125"/>
      <c r="ZP172" s="125"/>
      <c r="ZQ172" s="125"/>
      <c r="ZR172" s="125"/>
      <c r="ZS172" s="125"/>
      <c r="ZT172" s="125"/>
      <c r="ZU172" s="125"/>
      <c r="ZV172" s="125"/>
      <c r="ZW172" s="125"/>
      <c r="ZX172" s="125"/>
      <c r="ZY172" s="125"/>
      <c r="ZZ172" s="125"/>
      <c r="AAA172" s="125"/>
      <c r="AAB172" s="125"/>
      <c r="AAC172" s="125"/>
      <c r="AAD172" s="125"/>
      <c r="AAE172" s="125"/>
      <c r="AAF172" s="125"/>
      <c r="AAG172" s="125"/>
      <c r="AAH172" s="125"/>
      <c r="AAI172" s="125"/>
      <c r="AAJ172" s="125"/>
      <c r="AAK172" s="125"/>
      <c r="AAL172" s="125"/>
      <c r="AAM172" s="125"/>
      <c r="AAN172" s="125"/>
      <c r="AAO172" s="125"/>
      <c r="AAP172" s="125"/>
      <c r="AAQ172" s="125"/>
      <c r="AAR172" s="125"/>
      <c r="AAS172" s="125"/>
      <c r="AAT172" s="125"/>
      <c r="AAU172" s="125"/>
      <c r="AAV172" s="125"/>
      <c r="AAW172" s="125"/>
      <c r="AAX172" s="125"/>
      <c r="AAY172" s="125"/>
      <c r="AAZ172" s="125"/>
      <c r="ABA172" s="125"/>
      <c r="ABB172" s="125"/>
      <c r="ABC172" s="125"/>
      <c r="ABD172" s="125"/>
      <c r="ABE172" s="125"/>
      <c r="ABF172" s="125"/>
      <c r="ABG172" s="125"/>
      <c r="ABH172" s="125"/>
      <c r="ABI172" s="125"/>
      <c r="ABJ172" s="125"/>
      <c r="ABK172" s="125"/>
      <c r="ABL172" s="125"/>
      <c r="ABM172" s="125"/>
      <c r="ABN172" s="125"/>
      <c r="ABO172" s="125"/>
      <c r="ABP172" s="125"/>
      <c r="ABQ172" s="125"/>
      <c r="ABR172" s="125"/>
      <c r="ABS172" s="125"/>
      <c r="ABT172" s="125"/>
      <c r="ABU172" s="125"/>
      <c r="ABV172" s="125"/>
      <c r="ABW172" s="125"/>
      <c r="ABX172" s="125"/>
      <c r="ABY172" s="125"/>
      <c r="ABZ172" s="125"/>
      <c r="ACA172" s="125"/>
      <c r="ACB172" s="125"/>
      <c r="ACC172" s="125"/>
      <c r="ACD172" s="125"/>
      <c r="ACE172" s="125"/>
      <c r="ACF172" s="125"/>
      <c r="ACG172" s="125"/>
      <c r="ACH172" s="125"/>
      <c r="ACI172" s="125"/>
      <c r="ACJ172" s="125"/>
      <c r="ACK172" s="125"/>
      <c r="ACL172" s="125"/>
      <c r="ACM172" s="125"/>
      <c r="ACN172" s="125"/>
      <c r="ACO172" s="125"/>
      <c r="ACP172" s="125"/>
      <c r="ACQ172" s="125"/>
      <c r="ACR172" s="125"/>
      <c r="ACS172" s="125"/>
      <c r="ACT172" s="125"/>
      <c r="ACU172" s="125"/>
      <c r="ACV172" s="125"/>
      <c r="ACW172" s="125"/>
      <c r="ACX172" s="125"/>
      <c r="ACY172" s="125"/>
      <c r="ACZ172" s="125"/>
      <c r="ADA172" s="125"/>
      <c r="ADB172" s="125"/>
      <c r="ADC172" s="125"/>
      <c r="ADD172" s="125"/>
      <c r="ADE172" s="125"/>
      <c r="ADF172" s="125"/>
      <c r="ADG172" s="125"/>
      <c r="ADH172" s="125"/>
      <c r="ADI172" s="125"/>
      <c r="ADJ172" s="125"/>
      <c r="ADK172" s="125"/>
      <c r="ADL172" s="125"/>
      <c r="ADM172" s="125"/>
      <c r="ADN172" s="125"/>
      <c r="ADO172" s="125"/>
      <c r="ADP172" s="125"/>
      <c r="ADQ172" s="125"/>
      <c r="ADR172" s="125"/>
      <c r="ADS172" s="125"/>
      <c r="ADT172" s="125"/>
      <c r="ADU172" s="125"/>
      <c r="ADV172" s="125"/>
      <c r="ADW172" s="125"/>
      <c r="ADX172" s="125"/>
      <c r="ADY172" s="125"/>
      <c r="ADZ172" s="125"/>
      <c r="AEA172" s="125"/>
      <c r="AEB172" s="125"/>
      <c r="AEC172" s="125"/>
      <c r="AED172" s="125"/>
      <c r="AEE172" s="125"/>
      <c r="AEF172" s="125"/>
      <c r="AEG172" s="125"/>
      <c r="AEH172" s="125"/>
      <c r="AEI172" s="125"/>
      <c r="AEJ172" s="125"/>
      <c r="AEK172" s="125"/>
      <c r="AEL172" s="125"/>
      <c r="AEM172" s="125"/>
      <c r="AEN172" s="125"/>
      <c r="AEO172" s="125"/>
      <c r="AEP172" s="125"/>
      <c r="AEQ172" s="125"/>
      <c r="AER172" s="125"/>
      <c r="AES172" s="125"/>
      <c r="AET172" s="125"/>
      <c r="AEU172" s="125"/>
      <c r="AEV172" s="125"/>
      <c r="AEW172" s="125"/>
      <c r="AEX172" s="125"/>
      <c r="AEY172" s="125"/>
      <c r="AEZ172" s="125"/>
      <c r="AFA172" s="125"/>
      <c r="AFB172" s="125"/>
      <c r="AFC172" s="125"/>
      <c r="AFD172" s="125"/>
      <c r="AFE172" s="125"/>
      <c r="AFF172" s="125"/>
      <c r="AFG172" s="125"/>
      <c r="AFH172" s="125"/>
      <c r="AFI172" s="125"/>
      <c r="AFJ172" s="125"/>
      <c r="AFK172" s="125"/>
      <c r="AFL172" s="125"/>
      <c r="AFM172" s="125"/>
      <c r="AFN172" s="125"/>
      <c r="AFO172" s="125"/>
      <c r="AFP172" s="125"/>
      <c r="AFQ172" s="125"/>
      <c r="AFR172" s="125"/>
      <c r="AFS172" s="125"/>
      <c r="AFT172" s="125"/>
      <c r="AFU172" s="125"/>
      <c r="AFV172" s="125"/>
      <c r="AFW172" s="125"/>
      <c r="AFX172" s="125"/>
      <c r="AFY172" s="125"/>
      <c r="AFZ172" s="125"/>
      <c r="AGA172" s="125"/>
      <c r="AGB172" s="125"/>
      <c r="AGC172" s="125"/>
      <c r="AGD172" s="125"/>
      <c r="AGE172" s="125"/>
      <c r="AGF172" s="125"/>
      <c r="AGG172" s="125"/>
      <c r="AGH172" s="125"/>
      <c r="AGI172" s="125"/>
      <c r="AGJ172" s="125"/>
      <c r="AGK172" s="125"/>
      <c r="AGL172" s="125"/>
      <c r="AGM172" s="125"/>
      <c r="AGN172" s="125"/>
      <c r="AGO172" s="125"/>
      <c r="AGP172" s="125"/>
      <c r="AGQ172" s="125"/>
      <c r="AGR172" s="125"/>
      <c r="AGS172" s="125"/>
      <c r="AGT172" s="125"/>
      <c r="AGU172" s="125"/>
      <c r="AGV172" s="125"/>
      <c r="AGW172" s="125"/>
      <c r="AGX172" s="125"/>
      <c r="AGY172" s="125"/>
      <c r="AGZ172" s="125"/>
      <c r="AHA172" s="125"/>
      <c r="AHB172" s="125"/>
      <c r="AHC172" s="125"/>
      <c r="AHD172" s="125"/>
      <c r="AHE172" s="125"/>
      <c r="AHF172" s="125"/>
      <c r="AHG172" s="125"/>
      <c r="AHH172" s="125"/>
      <c r="AHI172" s="125"/>
      <c r="AHJ172" s="125"/>
      <c r="AHK172" s="125"/>
      <c r="AHL172" s="125"/>
      <c r="AHM172" s="125"/>
      <c r="AHN172" s="125"/>
      <c r="AHO172" s="125"/>
      <c r="AHP172" s="125"/>
      <c r="AHQ172" s="125"/>
      <c r="AHR172" s="125"/>
      <c r="AHS172" s="125"/>
      <c r="AHT172" s="125"/>
      <c r="AHU172" s="125"/>
      <c r="AHV172" s="125"/>
      <c r="AHW172" s="125"/>
      <c r="AHX172" s="125"/>
      <c r="AHY172" s="125"/>
      <c r="AHZ172" s="125"/>
      <c r="AIA172" s="125"/>
      <c r="AIB172" s="125"/>
      <c r="AIC172" s="125"/>
      <c r="AID172" s="125"/>
      <c r="AIE172" s="125"/>
      <c r="AIF172" s="125"/>
      <c r="AIG172" s="125"/>
      <c r="AIH172" s="125"/>
      <c r="AII172" s="125"/>
      <c r="AIJ172" s="125"/>
      <c r="AIK172" s="125"/>
      <c r="AIL172" s="125"/>
      <c r="AIM172" s="125"/>
      <c r="AIN172" s="125"/>
      <c r="AIO172" s="125"/>
      <c r="AIP172" s="125"/>
      <c r="AIQ172" s="125"/>
      <c r="AIR172" s="125"/>
      <c r="AIS172" s="125"/>
      <c r="AIT172" s="125"/>
      <c r="AIU172" s="125"/>
      <c r="AIV172" s="125"/>
      <c r="AIW172" s="125"/>
      <c r="AIX172" s="125"/>
      <c r="AIY172" s="125"/>
      <c r="AIZ172" s="125"/>
      <c r="AJA172" s="125"/>
      <c r="AJB172" s="125"/>
      <c r="AJC172" s="125"/>
      <c r="AJD172" s="125"/>
      <c r="AJE172" s="125"/>
      <c r="AJF172" s="125"/>
      <c r="AJG172" s="125"/>
      <c r="AJH172" s="125"/>
      <c r="AJI172" s="125"/>
      <c r="AJJ172" s="125"/>
      <c r="AJK172" s="125"/>
      <c r="AJL172" s="125"/>
      <c r="AJM172" s="125"/>
      <c r="AJN172" s="125"/>
      <c r="AJO172" s="125"/>
      <c r="AJP172" s="125"/>
      <c r="AJQ172" s="125"/>
      <c r="AJR172" s="125"/>
      <c r="AJS172" s="125"/>
      <c r="AJT172" s="125"/>
      <c r="AJU172" s="125"/>
      <c r="AJV172" s="125"/>
      <c r="AJW172" s="125"/>
      <c r="AJX172" s="125"/>
      <c r="AJY172" s="125"/>
      <c r="AJZ172" s="125"/>
      <c r="AKA172" s="125"/>
      <c r="AKB172" s="125"/>
      <c r="AKC172" s="125"/>
      <c r="AKD172" s="125"/>
      <c r="AKE172" s="125"/>
      <c r="AKF172" s="125"/>
      <c r="AKG172" s="125"/>
      <c r="AKH172" s="125"/>
      <c r="AKI172" s="125"/>
      <c r="AKJ172" s="125"/>
      <c r="AKK172" s="125"/>
      <c r="AKL172" s="125"/>
      <c r="AKM172" s="125"/>
      <c r="AKN172" s="125"/>
      <c r="AKO172" s="125"/>
      <c r="AKP172" s="125"/>
      <c r="AKQ172" s="125"/>
      <c r="AKR172" s="125"/>
      <c r="AKS172" s="125"/>
      <c r="AKT172" s="125"/>
      <c r="AKU172" s="125"/>
      <c r="AKV172" s="125"/>
      <c r="AKW172" s="125"/>
      <c r="AKX172" s="125"/>
      <c r="AKY172" s="125"/>
      <c r="AKZ172" s="125"/>
      <c r="ALA172" s="125"/>
      <c r="ALB172" s="125"/>
      <c r="ALC172" s="125"/>
      <c r="ALD172" s="125"/>
      <c r="ALE172" s="125"/>
      <c r="ALF172" s="125"/>
      <c r="ALG172" s="125"/>
      <c r="ALH172" s="125"/>
      <c r="ALI172" s="125"/>
      <c r="ALJ172" s="125"/>
      <c r="ALK172" s="125"/>
      <c r="ALL172" s="125"/>
      <c r="ALM172" s="125"/>
      <c r="ALN172" s="125"/>
      <c r="ALO172" s="125"/>
      <c r="ALP172" s="125"/>
      <c r="ALQ172" s="125"/>
      <c r="ALR172" s="125"/>
      <c r="ALS172" s="125"/>
      <c r="ALT172" s="125"/>
      <c r="ALU172" s="125"/>
      <c r="ALV172" s="125"/>
      <c r="ALW172" s="125"/>
      <c r="ALX172" s="125"/>
      <c r="ALY172" s="125"/>
      <c r="ALZ172" s="125"/>
      <c r="AMA172" s="125"/>
      <c r="AMB172" s="125"/>
      <c r="AMC172" s="125"/>
      <c r="AMD172" s="125"/>
      <c r="AME172" s="125"/>
      <c r="AMF172" s="125"/>
      <c r="AMG172" s="125"/>
      <c r="AMH172" s="125"/>
      <c r="AMI172" s="125"/>
      <c r="AMJ172" s="125"/>
      <c r="AMK172" s="125"/>
      <c r="AML172" s="125"/>
      <c r="AMM172" s="125"/>
      <c r="AMN172" s="125"/>
      <c r="AMO172" s="125"/>
      <c r="AMP172" s="125"/>
      <c r="AMQ172" s="125"/>
      <c r="AMR172" s="125"/>
      <c r="AMS172" s="125"/>
      <c r="AMT172" s="125"/>
      <c r="AMU172" s="125"/>
      <c r="AMV172" s="125"/>
      <c r="AMW172" s="125"/>
      <c r="AMX172" s="125"/>
      <c r="AMY172" s="125"/>
      <c r="AMZ172" s="125"/>
      <c r="ANA172" s="125"/>
      <c r="ANB172" s="125"/>
      <c r="ANC172" s="125"/>
      <c r="AND172" s="125"/>
      <c r="ANE172" s="125"/>
      <c r="ANF172" s="125"/>
      <c r="ANG172" s="125"/>
      <c r="ANH172" s="125"/>
      <c r="ANI172" s="125"/>
      <c r="ANJ172" s="125"/>
      <c r="ANK172" s="125"/>
      <c r="ANL172" s="125"/>
      <c r="ANM172" s="125"/>
      <c r="ANN172" s="125"/>
      <c r="ANO172" s="125"/>
      <c r="ANP172" s="125"/>
      <c r="ANQ172" s="125"/>
      <c r="ANR172" s="125"/>
      <c r="ANS172" s="125"/>
      <c r="ANT172" s="125"/>
      <c r="ANU172" s="125"/>
      <c r="ANV172" s="125"/>
      <c r="ANW172" s="125"/>
      <c r="ANX172" s="125"/>
      <c r="ANY172" s="125"/>
      <c r="ANZ172" s="125"/>
      <c r="AOA172" s="125"/>
      <c r="AOB172" s="125"/>
      <c r="AOC172" s="125"/>
      <c r="AOD172" s="125"/>
      <c r="AOE172" s="125"/>
      <c r="AOF172" s="125"/>
      <c r="AOG172" s="125"/>
      <c r="AOH172" s="125"/>
      <c r="AOI172" s="125"/>
      <c r="AOJ172" s="125"/>
      <c r="AOK172" s="125"/>
      <c r="AOL172" s="125"/>
      <c r="AOM172" s="125"/>
      <c r="AON172" s="125"/>
      <c r="AOO172" s="125"/>
      <c r="AOP172" s="125"/>
      <c r="AOQ172" s="125"/>
      <c r="AOR172" s="125"/>
      <c r="AOS172" s="125"/>
      <c r="AOT172" s="125"/>
      <c r="AOU172" s="125"/>
      <c r="AOV172" s="125"/>
      <c r="AOW172" s="125"/>
      <c r="AOX172" s="125"/>
      <c r="AOY172" s="125"/>
      <c r="AOZ172" s="125"/>
      <c r="APA172" s="125"/>
      <c r="APB172" s="125"/>
      <c r="APC172" s="125"/>
      <c r="APD172" s="125"/>
      <c r="APE172" s="125"/>
      <c r="APF172" s="125"/>
      <c r="APG172" s="125"/>
      <c r="APH172" s="125"/>
      <c r="API172" s="125"/>
      <c r="APJ172" s="125"/>
      <c r="APK172" s="125"/>
      <c r="APL172" s="125"/>
      <c r="APM172" s="125"/>
      <c r="APN172" s="125"/>
      <c r="APO172" s="125"/>
      <c r="APP172" s="125"/>
      <c r="APQ172" s="125"/>
      <c r="APR172" s="125"/>
      <c r="APS172" s="125"/>
      <c r="APT172" s="125"/>
      <c r="APU172" s="125"/>
      <c r="APV172" s="125"/>
      <c r="APW172" s="125"/>
      <c r="APX172" s="125"/>
      <c r="APY172" s="125"/>
      <c r="APZ172" s="125"/>
      <c r="AQA172" s="125"/>
      <c r="AQB172" s="125"/>
      <c r="AQC172" s="125"/>
      <c r="AQD172" s="125"/>
      <c r="AQE172" s="125"/>
      <c r="AQF172" s="125"/>
      <c r="AQG172" s="125"/>
      <c r="AQH172" s="125"/>
      <c r="AQI172" s="125"/>
      <c r="AQJ172" s="125"/>
      <c r="AQK172" s="125"/>
      <c r="AQL172" s="125"/>
      <c r="AQM172" s="125"/>
      <c r="AQN172" s="125"/>
      <c r="AQO172" s="125"/>
      <c r="AQP172" s="125"/>
      <c r="AQQ172" s="125"/>
      <c r="AQR172" s="125"/>
      <c r="AQS172" s="125"/>
      <c r="AQT172" s="125"/>
      <c r="AQU172" s="125"/>
      <c r="AQV172" s="125"/>
      <c r="AQW172" s="125"/>
      <c r="AQX172" s="125"/>
      <c r="AQY172" s="125"/>
      <c r="AQZ172" s="125"/>
      <c r="ARA172" s="125"/>
      <c r="ARB172" s="125"/>
      <c r="ARC172" s="125"/>
      <c r="ARD172" s="125"/>
      <c r="ARE172" s="125"/>
      <c r="ARF172" s="125"/>
      <c r="ARG172" s="125"/>
      <c r="ARH172" s="125"/>
      <c r="ARI172" s="125"/>
      <c r="ARJ172" s="125"/>
      <c r="ARK172" s="125"/>
      <c r="ARL172" s="125"/>
      <c r="ARM172" s="125"/>
      <c r="ARN172" s="125"/>
      <c r="ARO172" s="125"/>
      <c r="ARP172" s="125"/>
      <c r="ARQ172" s="125"/>
      <c r="ARR172" s="125"/>
      <c r="ARS172" s="125"/>
      <c r="ART172" s="125"/>
      <c r="ARU172" s="125"/>
      <c r="ARV172" s="125"/>
      <c r="ARW172" s="125"/>
      <c r="ARX172" s="125"/>
      <c r="ARY172" s="125"/>
      <c r="ARZ172" s="125"/>
      <c r="ASA172" s="125"/>
      <c r="ASB172" s="125"/>
      <c r="ASC172" s="125"/>
      <c r="ASD172" s="125"/>
      <c r="ASE172" s="125"/>
      <c r="ASF172" s="125"/>
      <c r="ASG172" s="125"/>
      <c r="ASH172" s="125"/>
      <c r="ASI172" s="125"/>
      <c r="ASJ172" s="125"/>
      <c r="ASK172" s="125"/>
      <c r="ASL172" s="125"/>
      <c r="ASM172" s="125"/>
      <c r="ASN172" s="125"/>
      <c r="ASO172" s="125"/>
      <c r="ASP172" s="125"/>
      <c r="ASQ172" s="125"/>
      <c r="ASR172" s="125"/>
      <c r="ASS172" s="125"/>
      <c r="AST172" s="125"/>
      <c r="ASU172" s="125"/>
      <c r="ASV172" s="125"/>
      <c r="ASW172" s="125"/>
      <c r="ASX172" s="125"/>
      <c r="ASY172" s="125"/>
      <c r="ASZ172" s="125"/>
      <c r="ATA172" s="125"/>
      <c r="ATB172" s="125"/>
      <c r="ATC172" s="125"/>
      <c r="ATD172" s="125"/>
      <c r="ATE172" s="125"/>
      <c r="ATF172" s="125"/>
      <c r="ATG172" s="125"/>
      <c r="ATH172" s="125"/>
      <c r="ATI172" s="125"/>
      <c r="ATJ172" s="125"/>
      <c r="ATK172" s="125"/>
      <c r="ATL172" s="125"/>
      <c r="ATM172" s="125"/>
      <c r="ATN172" s="125"/>
      <c r="ATO172" s="125"/>
      <c r="ATP172" s="125"/>
      <c r="ATQ172" s="125"/>
      <c r="ATR172" s="125"/>
      <c r="ATS172" s="125"/>
      <c r="ATT172" s="125"/>
      <c r="ATU172" s="125"/>
      <c r="ATV172" s="125"/>
      <c r="ATW172" s="125"/>
      <c r="ATX172" s="125"/>
      <c r="ATY172" s="125"/>
      <c r="ATZ172" s="125"/>
      <c r="AUA172" s="125"/>
      <c r="AUB172" s="125"/>
      <c r="AUC172" s="125"/>
      <c r="AUD172" s="125"/>
      <c r="AUE172" s="125"/>
      <c r="AUF172" s="125"/>
      <c r="AUG172" s="125"/>
      <c r="AUH172" s="125"/>
      <c r="AUI172" s="125"/>
      <c r="AUJ172" s="125"/>
      <c r="AUK172" s="125"/>
      <c r="AUL172" s="125"/>
      <c r="AUM172" s="125"/>
      <c r="AUN172" s="125"/>
      <c r="AUO172" s="125"/>
      <c r="AUP172" s="125"/>
      <c r="AUQ172" s="125"/>
      <c r="AUR172" s="125"/>
      <c r="AUS172" s="125"/>
      <c r="AUT172" s="125"/>
      <c r="AUU172" s="125"/>
      <c r="AUV172" s="125"/>
      <c r="AUW172" s="125"/>
      <c r="AUX172" s="125"/>
      <c r="AUY172" s="125"/>
      <c r="AUZ172" s="125"/>
      <c r="AVA172" s="125"/>
      <c r="AVB172" s="125"/>
      <c r="AVC172" s="125"/>
      <c r="AVD172" s="125"/>
      <c r="AVE172" s="125"/>
      <c r="AVF172" s="125"/>
      <c r="AVG172" s="125"/>
      <c r="AVH172" s="125"/>
      <c r="AVI172" s="125"/>
      <c r="AVJ172" s="125"/>
      <c r="AVK172" s="125"/>
      <c r="AVL172" s="125"/>
      <c r="AVM172" s="125"/>
      <c r="AVN172" s="125"/>
      <c r="AVO172" s="125"/>
      <c r="AVP172" s="125"/>
      <c r="AVQ172" s="125"/>
      <c r="AVR172" s="125"/>
      <c r="AVS172" s="125"/>
      <c r="AVT172" s="125"/>
      <c r="AVU172" s="125"/>
      <c r="AVV172" s="125"/>
      <c r="AVW172" s="125"/>
      <c r="AVX172" s="125"/>
      <c r="AVY172" s="125"/>
      <c r="AVZ172" s="125"/>
      <c r="AWA172" s="125"/>
      <c r="AWB172" s="125"/>
      <c r="AWC172" s="125"/>
      <c r="AWD172" s="125"/>
      <c r="AWE172" s="125"/>
      <c r="AWF172" s="125"/>
      <c r="AWG172" s="125"/>
      <c r="AWH172" s="125"/>
      <c r="AWI172" s="125"/>
      <c r="AWJ172" s="125"/>
      <c r="AWK172" s="125"/>
      <c r="AWL172" s="125"/>
      <c r="AWM172" s="125"/>
      <c r="AWN172" s="125"/>
      <c r="AWO172" s="125"/>
      <c r="AWP172" s="125"/>
      <c r="AWQ172" s="125"/>
      <c r="AWR172" s="125"/>
      <c r="AWS172" s="125"/>
      <c r="AWT172" s="125"/>
      <c r="AWU172" s="125"/>
      <c r="AWV172" s="125"/>
      <c r="AWW172" s="125"/>
      <c r="AWX172" s="125"/>
      <c r="AWY172" s="125"/>
      <c r="AWZ172" s="125"/>
      <c r="AXA172" s="125"/>
      <c r="AXB172" s="125"/>
      <c r="AXC172" s="125"/>
      <c r="AXD172" s="125"/>
      <c r="AXE172" s="125"/>
      <c r="AXF172" s="125"/>
      <c r="AXG172" s="125"/>
      <c r="AXH172" s="125"/>
      <c r="AXI172" s="125"/>
      <c r="AXJ172" s="125"/>
      <c r="AXK172" s="125"/>
      <c r="AXL172" s="125"/>
      <c r="AXM172" s="125"/>
      <c r="AXN172" s="125"/>
      <c r="AXO172" s="125"/>
      <c r="AXP172" s="125"/>
      <c r="AXQ172" s="125"/>
      <c r="AXR172" s="125"/>
      <c r="AXS172" s="125"/>
      <c r="AXT172" s="125"/>
      <c r="AXU172" s="125"/>
      <c r="AXV172" s="125"/>
      <c r="AXW172" s="125"/>
      <c r="AXX172" s="125"/>
      <c r="AXY172" s="125"/>
      <c r="AXZ172" s="125"/>
      <c r="AYA172" s="125"/>
      <c r="AYB172" s="125"/>
      <c r="AYC172" s="125"/>
      <c r="AYD172" s="125"/>
      <c r="AYE172" s="125"/>
      <c r="AYF172" s="125"/>
      <c r="AYG172" s="125"/>
      <c r="AYH172" s="125"/>
      <c r="AYI172" s="125"/>
      <c r="AYJ172" s="125"/>
      <c r="AYK172" s="125"/>
      <c r="AYL172" s="125"/>
      <c r="AYM172" s="125"/>
      <c r="AYN172" s="125"/>
      <c r="AYO172" s="125"/>
      <c r="AYP172" s="125"/>
      <c r="AYQ172" s="125"/>
      <c r="AYR172" s="125"/>
      <c r="AYS172" s="125"/>
      <c r="AYT172" s="125"/>
      <c r="AYU172" s="125"/>
      <c r="AYV172" s="125"/>
      <c r="AYW172" s="125"/>
      <c r="AYX172" s="125"/>
      <c r="AYY172" s="125"/>
      <c r="AYZ172" s="125"/>
      <c r="AZA172" s="125"/>
      <c r="AZB172" s="125"/>
      <c r="AZC172" s="125"/>
      <c r="AZD172" s="125"/>
      <c r="AZE172" s="125"/>
      <c r="AZF172" s="125"/>
      <c r="AZG172" s="125"/>
      <c r="AZH172" s="125"/>
      <c r="AZI172" s="125"/>
      <c r="AZJ172" s="125"/>
      <c r="AZK172" s="125"/>
      <c r="AZL172" s="125"/>
      <c r="AZM172" s="125"/>
      <c r="AZN172" s="125"/>
      <c r="AZO172" s="125"/>
      <c r="AZP172" s="125"/>
      <c r="AZQ172" s="125"/>
      <c r="AZR172" s="125"/>
      <c r="AZS172" s="125"/>
      <c r="AZT172" s="125"/>
      <c r="AZU172" s="125"/>
      <c r="AZV172" s="125"/>
      <c r="AZW172" s="125"/>
      <c r="AZX172" s="125"/>
      <c r="AZY172" s="125"/>
      <c r="AZZ172" s="125"/>
      <c r="BAA172" s="125"/>
      <c r="BAB172" s="125"/>
      <c r="BAC172" s="125"/>
      <c r="BAD172" s="125"/>
      <c r="BAE172" s="125"/>
      <c r="BAF172" s="125"/>
      <c r="BAG172" s="125"/>
      <c r="BAH172" s="125"/>
      <c r="BAI172" s="125"/>
      <c r="BAJ172" s="125"/>
      <c r="BAK172" s="125"/>
      <c r="BAL172" s="125"/>
      <c r="BAM172" s="125"/>
      <c r="BAN172" s="125"/>
      <c r="BAO172" s="125"/>
      <c r="BAP172" s="125"/>
      <c r="BAQ172" s="125"/>
      <c r="BAR172" s="125"/>
      <c r="BAS172" s="125"/>
      <c r="BAT172" s="125"/>
      <c r="BAU172" s="125"/>
      <c r="BAV172" s="125"/>
      <c r="BAW172" s="125"/>
      <c r="BAX172" s="125"/>
      <c r="BAY172" s="125"/>
      <c r="BAZ172" s="125"/>
      <c r="BBA172" s="125"/>
      <c r="BBB172" s="125"/>
      <c r="BBC172" s="125"/>
      <c r="BBD172" s="125"/>
      <c r="BBE172" s="125"/>
      <c r="BBF172" s="125"/>
      <c r="BBG172" s="125"/>
      <c r="BBH172" s="125"/>
      <c r="BBI172" s="125"/>
      <c r="BBJ172" s="125"/>
      <c r="BBK172" s="125"/>
      <c r="BBL172" s="125"/>
      <c r="BBM172" s="125"/>
      <c r="BBN172" s="125"/>
      <c r="BBO172" s="125"/>
      <c r="BBP172" s="125"/>
      <c r="BBQ172" s="125"/>
      <c r="BBR172" s="125"/>
      <c r="BBS172" s="125"/>
      <c r="BBT172" s="125"/>
      <c r="BBU172" s="125"/>
      <c r="BBV172" s="125"/>
      <c r="BBW172" s="125"/>
      <c r="BBX172" s="125"/>
      <c r="BBY172" s="125"/>
      <c r="BBZ172" s="125"/>
      <c r="BCA172" s="125"/>
      <c r="BCB172" s="125"/>
      <c r="BCC172" s="125"/>
      <c r="BCD172" s="125"/>
      <c r="BCE172" s="125"/>
      <c r="BCF172" s="125"/>
      <c r="BCG172" s="125"/>
      <c r="BCH172" s="125"/>
      <c r="BCI172" s="125"/>
      <c r="BCJ172" s="125"/>
      <c r="BCK172" s="125"/>
      <c r="BCL172" s="125"/>
      <c r="BCM172" s="125"/>
      <c r="BCN172" s="125"/>
      <c r="BCO172" s="125"/>
      <c r="BCP172" s="125"/>
      <c r="BCQ172" s="125"/>
      <c r="BCR172" s="125"/>
      <c r="BCS172" s="125"/>
      <c r="BCT172" s="125"/>
      <c r="BCU172" s="125"/>
      <c r="BCV172" s="125"/>
      <c r="BCW172" s="125"/>
      <c r="BCX172" s="125"/>
      <c r="BCY172" s="125"/>
      <c r="BCZ172" s="125"/>
      <c r="BDA172" s="125"/>
      <c r="BDB172" s="125"/>
      <c r="BDC172" s="125"/>
      <c r="BDD172" s="125"/>
      <c r="BDE172" s="125"/>
      <c r="BDF172" s="125"/>
      <c r="BDG172" s="125"/>
      <c r="BDH172" s="125"/>
      <c r="BDI172" s="125"/>
      <c r="BDJ172" s="125"/>
      <c r="BDK172" s="125"/>
      <c r="BDL172" s="125"/>
      <c r="BDM172" s="125"/>
      <c r="BDN172" s="125"/>
      <c r="BDO172" s="125"/>
      <c r="BDP172" s="125"/>
      <c r="BDQ172" s="125"/>
      <c r="BDR172" s="125"/>
      <c r="BDS172" s="125"/>
      <c r="BDT172" s="125"/>
      <c r="BDU172" s="125"/>
      <c r="BDV172" s="125"/>
      <c r="BDW172" s="125"/>
      <c r="BDX172" s="125"/>
      <c r="BDY172" s="125"/>
      <c r="BDZ172" s="125"/>
      <c r="BEA172" s="125"/>
      <c r="BEB172" s="125"/>
      <c r="BEC172" s="125"/>
      <c r="BED172" s="125"/>
      <c r="BEE172" s="125"/>
      <c r="BEF172" s="125"/>
      <c r="BEG172" s="125"/>
      <c r="BEH172" s="125"/>
      <c r="BEI172" s="125"/>
      <c r="BEJ172" s="125"/>
      <c r="BEK172" s="125"/>
      <c r="BEL172" s="125"/>
      <c r="BEM172" s="125"/>
      <c r="BEN172" s="125"/>
      <c r="BEO172" s="125"/>
      <c r="BEP172" s="125"/>
      <c r="BEQ172" s="125"/>
      <c r="BER172" s="125"/>
      <c r="BES172" s="125"/>
      <c r="BET172" s="125"/>
      <c r="BEU172" s="125"/>
      <c r="BEV172" s="125"/>
      <c r="BEW172" s="125"/>
      <c r="BEX172" s="125"/>
      <c r="BEY172" s="125"/>
      <c r="BEZ172" s="125"/>
      <c r="BFA172" s="125"/>
      <c r="BFB172" s="125"/>
      <c r="BFC172" s="125"/>
      <c r="BFD172" s="125"/>
      <c r="BFE172" s="125"/>
      <c r="BFF172" s="125"/>
      <c r="BFG172" s="125"/>
      <c r="BFH172" s="125"/>
      <c r="BFI172" s="125"/>
      <c r="BFJ172" s="125"/>
      <c r="BFK172" s="125"/>
      <c r="BFL172" s="125"/>
      <c r="BFM172" s="125"/>
      <c r="BFN172" s="125"/>
      <c r="BFO172" s="125"/>
      <c r="BFP172" s="125"/>
      <c r="BFQ172" s="125"/>
      <c r="BFR172" s="125"/>
      <c r="BFS172" s="125"/>
      <c r="BFT172" s="125"/>
      <c r="BFU172" s="125"/>
      <c r="BFV172" s="125"/>
      <c r="BFW172" s="125"/>
      <c r="BFX172" s="125"/>
      <c r="BFY172" s="125"/>
      <c r="BFZ172" s="125"/>
      <c r="BGA172" s="125"/>
      <c r="BGB172" s="125"/>
      <c r="BGC172" s="125"/>
      <c r="BGD172" s="125"/>
      <c r="BGE172" s="125"/>
      <c r="BGF172" s="125"/>
      <c r="BGG172" s="125"/>
      <c r="BGH172" s="125"/>
      <c r="BGI172" s="125"/>
      <c r="BGJ172" s="125"/>
      <c r="BGK172" s="125"/>
      <c r="BGL172" s="125"/>
      <c r="BGM172" s="125"/>
      <c r="BGN172" s="125"/>
      <c r="BGO172" s="125"/>
      <c r="BGP172" s="125"/>
      <c r="BGQ172" s="125"/>
      <c r="BGR172" s="125"/>
      <c r="BGS172" s="125"/>
      <c r="BGT172" s="125"/>
      <c r="BGU172" s="125"/>
      <c r="BGV172" s="125"/>
      <c r="BGW172" s="125"/>
      <c r="BGX172" s="125"/>
      <c r="BGY172" s="125"/>
      <c r="BGZ172" s="125"/>
      <c r="BHA172" s="125"/>
      <c r="BHB172" s="125"/>
      <c r="BHC172" s="125"/>
      <c r="BHD172" s="125"/>
      <c r="BHE172" s="125"/>
      <c r="BHF172" s="125"/>
      <c r="BHG172" s="125"/>
      <c r="BHH172" s="125"/>
      <c r="BHI172" s="125"/>
      <c r="BHJ172" s="125"/>
      <c r="BHK172" s="125"/>
      <c r="BHL172" s="125"/>
      <c r="BHM172" s="125"/>
      <c r="BHN172" s="125"/>
      <c r="BHO172" s="125"/>
      <c r="BHP172" s="125"/>
      <c r="BHQ172" s="125"/>
      <c r="BHR172" s="125"/>
      <c r="BHS172" s="125"/>
      <c r="BHT172" s="125"/>
      <c r="BHU172" s="125"/>
      <c r="BHV172" s="125"/>
      <c r="BHW172" s="125"/>
      <c r="BHX172" s="125"/>
      <c r="BHY172" s="125"/>
      <c r="BHZ172" s="125"/>
      <c r="BIA172" s="125"/>
      <c r="BIB172" s="125"/>
      <c r="BIC172" s="125"/>
      <c r="BID172" s="125"/>
      <c r="BIE172" s="125"/>
      <c r="BIF172" s="125"/>
      <c r="BIG172" s="125"/>
      <c r="BIH172" s="125"/>
      <c r="BII172" s="125"/>
      <c r="BIJ172" s="125"/>
      <c r="BIK172" s="125"/>
      <c r="BIL172" s="125"/>
      <c r="BIM172" s="125"/>
      <c r="BIN172" s="125"/>
      <c r="BIO172" s="125"/>
      <c r="BIP172" s="125"/>
      <c r="BIQ172" s="125"/>
      <c r="BIR172" s="125"/>
      <c r="BIS172" s="125"/>
      <c r="BIT172" s="125"/>
      <c r="BIU172" s="125"/>
      <c r="BIV172" s="125"/>
      <c r="BIW172" s="125"/>
      <c r="BIX172" s="125"/>
      <c r="BIY172" s="125"/>
      <c r="BIZ172" s="125"/>
      <c r="BJA172" s="125"/>
      <c r="BJB172" s="125"/>
      <c r="BJC172" s="125"/>
      <c r="BJD172" s="125"/>
      <c r="BJE172" s="125"/>
      <c r="BJF172" s="125"/>
      <c r="BJG172" s="125"/>
      <c r="BJH172" s="125"/>
      <c r="BJI172" s="125"/>
      <c r="BJJ172" s="125"/>
      <c r="BJK172" s="125"/>
      <c r="BJL172" s="125"/>
      <c r="BJM172" s="125"/>
      <c r="BJN172" s="125"/>
      <c r="BJO172" s="125"/>
      <c r="BJP172" s="125"/>
      <c r="BJQ172" s="125"/>
      <c r="BJR172" s="125"/>
      <c r="BJS172" s="125"/>
      <c r="BJT172" s="125"/>
      <c r="BJU172" s="125"/>
      <c r="BJV172" s="125"/>
      <c r="BJW172" s="125"/>
      <c r="BJX172" s="125"/>
      <c r="BJY172" s="125"/>
      <c r="BJZ172" s="125"/>
      <c r="BKA172" s="125"/>
      <c r="BKB172" s="125"/>
      <c r="BKC172" s="125"/>
      <c r="BKD172" s="125"/>
      <c r="BKE172" s="125"/>
      <c r="BKF172" s="125"/>
      <c r="BKG172" s="125"/>
      <c r="BKH172" s="125"/>
      <c r="BKI172" s="125"/>
      <c r="BKJ172" s="125"/>
      <c r="BKK172" s="125"/>
      <c r="BKL172" s="125"/>
      <c r="BKM172" s="125"/>
      <c r="BKN172" s="125"/>
      <c r="BKO172" s="125"/>
      <c r="BKP172" s="125"/>
      <c r="BKQ172" s="125"/>
      <c r="BKR172" s="125"/>
      <c r="BKS172" s="125"/>
      <c r="BKT172" s="125"/>
      <c r="BKU172" s="125"/>
      <c r="BKV172" s="125"/>
      <c r="BKW172" s="125"/>
      <c r="BKX172" s="125"/>
      <c r="BKY172" s="125"/>
      <c r="BKZ172" s="125"/>
      <c r="BLA172" s="125"/>
      <c r="BLB172" s="125"/>
      <c r="BLC172" s="125"/>
      <c r="BLD172" s="125"/>
      <c r="BLE172" s="125"/>
      <c r="BLF172" s="125"/>
      <c r="BLG172" s="125"/>
      <c r="BLH172" s="125"/>
      <c r="BLI172" s="125"/>
      <c r="BLJ172" s="125"/>
      <c r="BLK172" s="125"/>
      <c r="BLL172" s="125"/>
      <c r="BLM172" s="125"/>
      <c r="BLN172" s="125"/>
      <c r="BLO172" s="125"/>
      <c r="BLP172" s="125"/>
      <c r="BLQ172" s="125"/>
      <c r="BLR172" s="125"/>
      <c r="BLS172" s="125"/>
      <c r="BLT172" s="125"/>
      <c r="BLU172" s="125"/>
      <c r="BLV172" s="125"/>
      <c r="BLW172" s="125"/>
      <c r="BLX172" s="125"/>
      <c r="BLY172" s="125"/>
      <c r="BLZ172" s="125"/>
      <c r="BMA172" s="125"/>
      <c r="BMB172" s="125"/>
      <c r="BMC172" s="125"/>
      <c r="BMD172" s="125"/>
      <c r="BME172" s="125"/>
      <c r="BMF172" s="125"/>
      <c r="BMG172" s="125"/>
      <c r="BMH172" s="125"/>
      <c r="BMI172" s="125"/>
      <c r="BMJ172" s="125"/>
      <c r="BMK172" s="125"/>
      <c r="BML172" s="125"/>
      <c r="BMM172" s="125"/>
      <c r="BMN172" s="125"/>
      <c r="BMO172" s="125"/>
      <c r="BMP172" s="125"/>
      <c r="BMQ172" s="125"/>
      <c r="BMR172" s="125"/>
      <c r="BMS172" s="125"/>
      <c r="BMT172" s="125"/>
      <c r="BMU172" s="125"/>
      <c r="BMV172" s="125"/>
      <c r="BMW172" s="125"/>
      <c r="BMX172" s="125"/>
      <c r="BMY172" s="125"/>
      <c r="BMZ172" s="125"/>
      <c r="BNA172" s="125"/>
      <c r="BNB172" s="125"/>
      <c r="BNC172" s="125"/>
      <c r="BND172" s="125"/>
      <c r="BNE172" s="125"/>
      <c r="BNF172" s="125"/>
      <c r="BNG172" s="125"/>
      <c r="BNH172" s="125"/>
      <c r="BNI172" s="125"/>
      <c r="BNJ172" s="125"/>
      <c r="BNK172" s="125"/>
      <c r="BNL172" s="125"/>
      <c r="BNM172" s="125"/>
      <c r="BNN172" s="125"/>
      <c r="BNO172" s="125"/>
      <c r="BNP172" s="125"/>
      <c r="BNQ172" s="125"/>
      <c r="BNR172" s="125"/>
      <c r="BNS172" s="125"/>
      <c r="BNT172" s="125"/>
      <c r="BNU172" s="125"/>
      <c r="BNV172" s="125"/>
      <c r="BNW172" s="125"/>
      <c r="BNX172" s="125"/>
      <c r="BNY172" s="125"/>
      <c r="BNZ172" s="125"/>
      <c r="BOA172" s="125"/>
      <c r="BOB172" s="125"/>
      <c r="BOC172" s="125"/>
      <c r="BOD172" s="125"/>
      <c r="BOE172" s="125"/>
      <c r="BOF172" s="125"/>
      <c r="BOG172" s="125"/>
      <c r="BOH172" s="125"/>
      <c r="BOI172" s="125"/>
      <c r="BOJ172" s="125"/>
      <c r="BOK172" s="125"/>
      <c r="BOL172" s="125"/>
      <c r="BOM172" s="125"/>
      <c r="BON172" s="125"/>
      <c r="BOO172" s="125"/>
      <c r="BOP172" s="125"/>
      <c r="BOQ172" s="125"/>
      <c r="BOR172" s="125"/>
      <c r="BOS172" s="125"/>
      <c r="BOT172" s="125"/>
      <c r="BOU172" s="125"/>
      <c r="BOV172" s="125"/>
      <c r="BOW172" s="125"/>
      <c r="BOX172" s="125"/>
      <c r="BOY172" s="125"/>
      <c r="BOZ172" s="125"/>
      <c r="BPA172" s="125"/>
      <c r="BPB172" s="125"/>
      <c r="BPC172" s="125"/>
      <c r="BPD172" s="125"/>
      <c r="BPE172" s="125"/>
      <c r="BPF172" s="125"/>
      <c r="BPG172" s="125"/>
      <c r="BPH172" s="125"/>
      <c r="BPI172" s="125"/>
      <c r="BPJ172" s="125"/>
      <c r="BPK172" s="125"/>
      <c r="BPL172" s="125"/>
      <c r="BPM172" s="125"/>
      <c r="BPN172" s="125"/>
      <c r="BPO172" s="125"/>
      <c r="BPP172" s="125"/>
      <c r="BPQ172" s="125"/>
      <c r="BPR172" s="125"/>
      <c r="BPS172" s="125"/>
      <c r="BPT172" s="125"/>
      <c r="BPU172" s="125"/>
      <c r="BPV172" s="125"/>
      <c r="BPW172" s="125"/>
      <c r="BPX172" s="125"/>
      <c r="BPY172" s="125"/>
      <c r="BPZ172" s="125"/>
      <c r="BQA172" s="125"/>
      <c r="BQB172" s="125"/>
      <c r="BQC172" s="125"/>
      <c r="BQD172" s="125"/>
      <c r="BQE172" s="125"/>
      <c r="BQF172" s="125"/>
      <c r="BQG172" s="125"/>
      <c r="BQH172" s="125"/>
      <c r="BQI172" s="125"/>
      <c r="BQJ172" s="125"/>
      <c r="BQK172" s="125"/>
      <c r="BQL172" s="125"/>
      <c r="BQM172" s="125"/>
      <c r="BQN172" s="125"/>
      <c r="BQO172" s="125"/>
      <c r="BQP172" s="125"/>
      <c r="BQQ172" s="125"/>
      <c r="BQR172" s="125"/>
      <c r="BQS172" s="125"/>
      <c r="BQT172" s="125"/>
      <c r="BQU172" s="125"/>
      <c r="BQV172" s="125"/>
      <c r="BQW172" s="125"/>
      <c r="BQX172" s="125"/>
      <c r="BQY172" s="125"/>
      <c r="BQZ172" s="125"/>
      <c r="BRA172" s="125"/>
      <c r="BRB172" s="125"/>
      <c r="BRC172" s="125"/>
      <c r="BRD172" s="125"/>
      <c r="BRE172" s="125"/>
      <c r="BRF172" s="125"/>
      <c r="BRG172" s="125"/>
      <c r="BRH172" s="125"/>
      <c r="BRI172" s="125"/>
      <c r="BRJ172" s="125"/>
      <c r="BRK172" s="125"/>
      <c r="BRL172" s="125"/>
      <c r="BRM172" s="125"/>
      <c r="BRN172" s="125"/>
      <c r="BRO172" s="125"/>
      <c r="BRP172" s="125"/>
      <c r="BRQ172" s="125"/>
      <c r="BRR172" s="125"/>
      <c r="BRS172" s="125"/>
      <c r="BRT172" s="125"/>
      <c r="BRU172" s="125"/>
      <c r="BRV172" s="125"/>
      <c r="BRW172" s="125"/>
      <c r="BRX172" s="125"/>
      <c r="BRY172" s="125"/>
      <c r="BRZ172" s="125"/>
      <c r="BSA172" s="125"/>
      <c r="BSB172" s="125"/>
      <c r="BSC172" s="125"/>
      <c r="BSD172" s="125"/>
      <c r="BSE172" s="125"/>
      <c r="BSF172" s="125"/>
      <c r="BSG172" s="125"/>
      <c r="BSH172" s="125"/>
      <c r="BSI172" s="125"/>
      <c r="BSJ172" s="125"/>
      <c r="BSK172" s="125"/>
      <c r="BSL172" s="125"/>
      <c r="BSM172" s="125"/>
      <c r="BSN172" s="125"/>
      <c r="BSO172" s="125"/>
      <c r="BSP172" s="125"/>
      <c r="BSQ172" s="125"/>
      <c r="BSR172" s="125"/>
      <c r="BSS172" s="125"/>
      <c r="BST172" s="125"/>
      <c r="BSU172" s="125"/>
      <c r="BSV172" s="125"/>
      <c r="BSW172" s="125"/>
      <c r="BSX172" s="125"/>
      <c r="BSY172" s="125"/>
      <c r="BSZ172" s="125"/>
      <c r="BTA172" s="125"/>
      <c r="BTB172" s="125"/>
      <c r="BTC172" s="125"/>
      <c r="BTD172" s="125"/>
      <c r="BTE172" s="125"/>
      <c r="BTF172" s="125"/>
      <c r="BTG172" s="125"/>
      <c r="BTH172" s="125"/>
      <c r="BTI172" s="125"/>
      <c r="BTJ172" s="125"/>
      <c r="BTK172" s="125"/>
      <c r="BTL172" s="125"/>
      <c r="BTM172" s="125"/>
      <c r="BTN172" s="125"/>
      <c r="BTO172" s="125"/>
      <c r="BTP172" s="125"/>
      <c r="BTQ172" s="125"/>
      <c r="BTR172" s="125"/>
      <c r="BTS172" s="125"/>
      <c r="BTT172" s="125"/>
      <c r="BTU172" s="125"/>
      <c r="BTV172" s="125"/>
      <c r="BTW172" s="125"/>
      <c r="BTX172" s="125"/>
      <c r="BTY172" s="125"/>
      <c r="BTZ172" s="125"/>
      <c r="BUA172" s="125"/>
      <c r="BUB172" s="125"/>
      <c r="BUC172" s="125"/>
      <c r="BUD172" s="125"/>
      <c r="BUE172" s="125"/>
      <c r="BUF172" s="125"/>
      <c r="BUG172" s="125"/>
      <c r="BUH172" s="125"/>
      <c r="BUI172" s="125"/>
      <c r="BUJ172" s="125"/>
      <c r="BUK172" s="125"/>
      <c r="BUL172" s="125"/>
      <c r="BUM172" s="125"/>
      <c r="BUN172" s="125"/>
      <c r="BUO172" s="125"/>
      <c r="BUP172" s="125"/>
      <c r="BUQ172" s="125"/>
      <c r="BUR172" s="125"/>
      <c r="BUS172" s="125"/>
      <c r="BUT172" s="125"/>
      <c r="BUU172" s="125"/>
      <c r="BUV172" s="125"/>
      <c r="BUW172" s="125"/>
      <c r="BUX172" s="125"/>
      <c r="BUY172" s="125"/>
      <c r="BUZ172" s="125"/>
      <c r="BVA172" s="125"/>
      <c r="BVB172" s="125"/>
      <c r="BVC172" s="125"/>
      <c r="BVD172" s="125"/>
      <c r="BVE172" s="125"/>
      <c r="BVF172" s="125"/>
      <c r="BVG172" s="125"/>
      <c r="BVH172" s="125"/>
      <c r="BVI172" s="125"/>
      <c r="BVJ172" s="125"/>
      <c r="BVK172" s="125"/>
      <c r="BVL172" s="125"/>
      <c r="BVM172" s="125"/>
      <c r="BVN172" s="125"/>
      <c r="BVO172" s="125"/>
      <c r="BVP172" s="125"/>
      <c r="BVQ172" s="125"/>
      <c r="BVR172" s="125"/>
      <c r="BVS172" s="125"/>
      <c r="BVT172" s="125"/>
      <c r="BVU172" s="125"/>
      <c r="BVV172" s="125"/>
      <c r="BVW172" s="125"/>
      <c r="BVX172" s="125"/>
      <c r="BVY172" s="125"/>
      <c r="BVZ172" s="125"/>
      <c r="BWA172" s="125"/>
      <c r="BWB172" s="125"/>
      <c r="BWC172" s="125"/>
      <c r="BWD172" s="125"/>
      <c r="BWE172" s="125"/>
      <c r="BWF172" s="125"/>
      <c r="BWG172" s="125"/>
      <c r="BWH172" s="125"/>
      <c r="BWI172" s="125"/>
      <c r="BWJ172" s="125"/>
      <c r="BWK172" s="125"/>
      <c r="BWL172" s="125"/>
      <c r="BWM172" s="125"/>
      <c r="BWN172" s="125"/>
      <c r="BWO172" s="125"/>
      <c r="BWP172" s="125"/>
      <c r="BWQ172" s="125"/>
      <c r="BWR172" s="125"/>
      <c r="BWS172" s="125"/>
      <c r="BWT172" s="125"/>
      <c r="BWU172" s="125"/>
      <c r="BWV172" s="125"/>
      <c r="BWW172" s="125"/>
      <c r="BWX172" s="125"/>
      <c r="BWY172" s="125"/>
      <c r="BWZ172" s="125"/>
      <c r="BXA172" s="125"/>
      <c r="BXB172" s="125"/>
      <c r="BXC172" s="125"/>
      <c r="BXD172" s="125"/>
      <c r="BXE172" s="125"/>
      <c r="BXF172" s="125"/>
      <c r="BXG172" s="125"/>
      <c r="BXH172" s="125"/>
      <c r="BXI172" s="125"/>
      <c r="BXJ172" s="125"/>
      <c r="BXK172" s="125"/>
      <c r="BXL172" s="125"/>
      <c r="BXM172" s="125"/>
      <c r="BXN172" s="125"/>
      <c r="BXO172" s="125"/>
      <c r="BXP172" s="125"/>
      <c r="BXQ172" s="125"/>
      <c r="BXR172" s="125"/>
      <c r="BXS172" s="125"/>
      <c r="BXT172" s="125"/>
      <c r="BXU172" s="125"/>
      <c r="BXV172" s="125"/>
      <c r="BXW172" s="125"/>
      <c r="BXX172" s="125"/>
      <c r="BXY172" s="125"/>
      <c r="BXZ172" s="125"/>
      <c r="BYA172" s="125"/>
      <c r="BYB172" s="125"/>
      <c r="BYC172" s="125"/>
      <c r="BYD172" s="125"/>
      <c r="BYE172" s="125"/>
      <c r="BYF172" s="125"/>
      <c r="BYG172" s="125"/>
      <c r="BYH172" s="125"/>
      <c r="BYI172" s="125"/>
      <c r="BYJ172" s="125"/>
      <c r="BYK172" s="125"/>
      <c r="BYL172" s="125"/>
      <c r="BYM172" s="125"/>
      <c r="BYN172" s="125"/>
      <c r="BYO172" s="125"/>
      <c r="BYP172" s="125"/>
      <c r="BYQ172" s="125"/>
      <c r="BYR172" s="125"/>
      <c r="BYS172" s="125"/>
      <c r="BYT172" s="125"/>
      <c r="BYU172" s="125"/>
      <c r="BYV172" s="125"/>
      <c r="BYW172" s="125"/>
      <c r="BYX172" s="125"/>
      <c r="BYY172" s="125"/>
      <c r="BYZ172" s="125"/>
      <c r="BZA172" s="125"/>
      <c r="BZB172" s="125"/>
      <c r="BZC172" s="125"/>
      <c r="BZD172" s="125"/>
      <c r="BZE172" s="125"/>
      <c r="BZF172" s="125"/>
      <c r="BZG172" s="125"/>
      <c r="BZH172" s="125"/>
      <c r="BZI172" s="125"/>
      <c r="BZJ172" s="125"/>
      <c r="BZK172" s="125"/>
      <c r="BZL172" s="125"/>
      <c r="BZM172" s="125"/>
      <c r="BZN172" s="125"/>
      <c r="BZO172" s="125"/>
      <c r="BZP172" s="125"/>
      <c r="BZQ172" s="125"/>
      <c r="BZR172" s="125"/>
      <c r="BZS172" s="125"/>
      <c r="BZT172" s="125"/>
      <c r="BZU172" s="125"/>
      <c r="BZV172" s="125"/>
      <c r="BZW172" s="125"/>
      <c r="BZX172" s="125"/>
      <c r="BZY172" s="125"/>
      <c r="BZZ172" s="125"/>
      <c r="CAA172" s="125"/>
      <c r="CAB172" s="125"/>
      <c r="CAC172" s="125"/>
      <c r="CAD172" s="125"/>
      <c r="CAE172" s="125"/>
      <c r="CAF172" s="125"/>
      <c r="CAG172" s="125"/>
      <c r="CAH172" s="125"/>
      <c r="CAI172" s="125"/>
      <c r="CAJ172" s="125"/>
      <c r="CAK172" s="125"/>
      <c r="CAL172" s="125"/>
      <c r="CAM172" s="125"/>
      <c r="CAN172" s="125"/>
      <c r="CAO172" s="125"/>
      <c r="CAP172" s="125"/>
      <c r="CAQ172" s="125"/>
      <c r="CAR172" s="125"/>
      <c r="CAS172" s="125"/>
      <c r="CAT172" s="125"/>
      <c r="CAU172" s="125"/>
      <c r="CAV172" s="125"/>
      <c r="CAW172" s="125"/>
      <c r="CAX172" s="125"/>
      <c r="CAY172" s="125"/>
      <c r="CAZ172" s="125"/>
      <c r="CBA172" s="125"/>
      <c r="CBB172" s="125"/>
      <c r="CBC172" s="125"/>
      <c r="CBD172" s="125"/>
      <c r="CBE172" s="125"/>
      <c r="CBF172" s="125"/>
      <c r="CBG172" s="125"/>
      <c r="CBH172" s="125"/>
      <c r="CBI172" s="125"/>
      <c r="CBJ172" s="125"/>
      <c r="CBK172" s="125"/>
      <c r="CBL172" s="125"/>
      <c r="CBM172" s="125"/>
      <c r="CBN172" s="125"/>
      <c r="CBO172" s="125"/>
      <c r="CBP172" s="125"/>
      <c r="CBQ172" s="125"/>
      <c r="CBR172" s="125"/>
      <c r="CBS172" s="125"/>
      <c r="CBT172" s="125"/>
      <c r="CBU172" s="125"/>
      <c r="CBV172" s="125"/>
      <c r="CBW172" s="125"/>
      <c r="CBX172" s="125"/>
      <c r="CBY172" s="125"/>
      <c r="CBZ172" s="125"/>
      <c r="CCA172" s="125"/>
      <c r="CCB172" s="125"/>
      <c r="CCC172" s="125"/>
      <c r="CCD172" s="125"/>
      <c r="CCE172" s="125"/>
      <c r="CCF172" s="125"/>
      <c r="CCG172" s="125"/>
      <c r="CCH172" s="125"/>
      <c r="CCI172" s="125"/>
      <c r="CCJ172" s="125"/>
      <c r="CCK172" s="125"/>
      <c r="CCL172" s="125"/>
      <c r="CCM172" s="125"/>
      <c r="CCN172" s="125"/>
      <c r="CCO172" s="125"/>
      <c r="CCP172" s="125"/>
      <c r="CCQ172" s="125"/>
      <c r="CCR172" s="125"/>
      <c r="CCS172" s="125"/>
      <c r="CCT172" s="125"/>
      <c r="CCU172" s="125"/>
      <c r="CCV172" s="125"/>
      <c r="CCW172" s="125"/>
      <c r="CCX172" s="125"/>
      <c r="CCY172" s="125"/>
      <c r="CCZ172" s="125"/>
      <c r="CDA172" s="125"/>
      <c r="CDB172" s="125"/>
      <c r="CDC172" s="125"/>
      <c r="CDD172" s="125"/>
      <c r="CDE172" s="125"/>
      <c r="CDF172" s="125"/>
      <c r="CDG172" s="125"/>
      <c r="CDH172" s="125"/>
      <c r="CDI172" s="125"/>
      <c r="CDJ172" s="125"/>
      <c r="CDK172" s="125"/>
      <c r="CDL172" s="125"/>
      <c r="CDM172" s="125"/>
      <c r="CDN172" s="125"/>
      <c r="CDO172" s="125"/>
      <c r="CDP172" s="125"/>
      <c r="CDQ172" s="125"/>
      <c r="CDR172" s="125"/>
      <c r="CDS172" s="125"/>
      <c r="CDT172" s="125"/>
      <c r="CDU172" s="125"/>
      <c r="CDV172" s="125"/>
      <c r="CDW172" s="125"/>
      <c r="CDX172" s="125"/>
      <c r="CDY172" s="125"/>
      <c r="CDZ172" s="125"/>
      <c r="CEA172" s="125"/>
      <c r="CEB172" s="125"/>
      <c r="CEC172" s="125"/>
      <c r="CED172" s="125"/>
      <c r="CEE172" s="125"/>
      <c r="CEF172" s="125"/>
      <c r="CEG172" s="125"/>
      <c r="CEH172" s="125"/>
      <c r="CEI172" s="125"/>
      <c r="CEJ172" s="125"/>
      <c r="CEK172" s="125"/>
      <c r="CEL172" s="125"/>
      <c r="CEM172" s="125"/>
      <c r="CEN172" s="125"/>
      <c r="CEO172" s="125"/>
      <c r="CEP172" s="125"/>
      <c r="CEQ172" s="125"/>
      <c r="CER172" s="125"/>
      <c r="CES172" s="125"/>
      <c r="CET172" s="125"/>
      <c r="CEU172" s="125"/>
      <c r="CEV172" s="125"/>
      <c r="CEW172" s="125"/>
      <c r="CEX172" s="125"/>
      <c r="CEY172" s="125"/>
      <c r="CEZ172" s="125"/>
      <c r="CFA172" s="125"/>
      <c r="CFB172" s="125"/>
      <c r="CFC172" s="125"/>
      <c r="CFD172" s="125"/>
      <c r="CFE172" s="125"/>
      <c r="CFF172" s="125"/>
      <c r="CFG172" s="125"/>
      <c r="CFH172" s="125"/>
      <c r="CFI172" s="125"/>
      <c r="CFJ172" s="125"/>
      <c r="CFK172" s="125"/>
      <c r="CFL172" s="125"/>
      <c r="CFM172" s="125"/>
      <c r="CFN172" s="125"/>
      <c r="CFO172" s="125"/>
      <c r="CFP172" s="125"/>
      <c r="CFQ172" s="125"/>
      <c r="CFR172" s="125"/>
      <c r="CFS172" s="125"/>
      <c r="CFT172" s="125"/>
      <c r="CFU172" s="125"/>
      <c r="CFV172" s="125"/>
      <c r="CFW172" s="125"/>
      <c r="CFX172" s="125"/>
      <c r="CFY172" s="125"/>
      <c r="CFZ172" s="125"/>
      <c r="CGA172" s="125"/>
      <c r="CGB172" s="125"/>
      <c r="CGC172" s="125"/>
      <c r="CGD172" s="125"/>
      <c r="CGE172" s="125"/>
      <c r="CGF172" s="125"/>
      <c r="CGG172" s="125"/>
      <c r="CGH172" s="125"/>
      <c r="CGI172" s="125"/>
      <c r="CGJ172" s="125"/>
      <c r="CGK172" s="125"/>
      <c r="CGL172" s="125"/>
      <c r="CGM172" s="125"/>
      <c r="CGN172" s="125"/>
      <c r="CGO172" s="125"/>
      <c r="CGP172" s="125"/>
      <c r="CGQ172" s="125"/>
      <c r="CGR172" s="125"/>
      <c r="CGS172" s="125"/>
      <c r="CGT172" s="125"/>
      <c r="CGU172" s="125"/>
      <c r="CGV172" s="125"/>
      <c r="CGW172" s="125"/>
      <c r="CGX172" s="125"/>
      <c r="CGY172" s="125"/>
      <c r="CGZ172" s="125"/>
      <c r="CHA172" s="125"/>
      <c r="CHB172" s="125"/>
      <c r="CHC172" s="125"/>
      <c r="CHD172" s="125"/>
      <c r="CHE172" s="125"/>
      <c r="CHF172" s="125"/>
      <c r="CHG172" s="125"/>
      <c r="CHH172" s="125"/>
      <c r="CHI172" s="125"/>
      <c r="CHJ172" s="125"/>
      <c r="CHK172" s="125"/>
      <c r="CHL172" s="125"/>
      <c r="CHM172" s="125"/>
      <c r="CHN172" s="125"/>
      <c r="CHO172" s="125"/>
      <c r="CHP172" s="125"/>
      <c r="CHQ172" s="125"/>
      <c r="CHR172" s="125"/>
      <c r="CHS172" s="125"/>
      <c r="CHT172" s="125"/>
      <c r="CHU172" s="125"/>
      <c r="CHV172" s="125"/>
      <c r="CHW172" s="125"/>
      <c r="CHX172" s="125"/>
      <c r="CHY172" s="125"/>
      <c r="CHZ172" s="125"/>
      <c r="CIA172" s="125"/>
      <c r="CIB172" s="125"/>
      <c r="CIC172" s="125"/>
      <c r="CID172" s="125"/>
      <c r="CIE172" s="125"/>
      <c r="CIF172" s="125"/>
      <c r="CIG172" s="125"/>
      <c r="CIH172" s="125"/>
      <c r="CII172" s="125"/>
      <c r="CIJ172" s="125"/>
      <c r="CIK172" s="125"/>
      <c r="CIL172" s="125"/>
      <c r="CIM172" s="125"/>
      <c r="CIN172" s="125"/>
      <c r="CIO172" s="125"/>
      <c r="CIP172" s="125"/>
      <c r="CIQ172" s="125"/>
      <c r="CIR172" s="125"/>
      <c r="CIS172" s="125"/>
      <c r="CIT172" s="125"/>
      <c r="CIU172" s="125"/>
      <c r="CIV172" s="125"/>
      <c r="CIW172" s="125"/>
      <c r="CIX172" s="125"/>
      <c r="CIY172" s="125"/>
      <c r="CIZ172" s="125"/>
      <c r="CJA172" s="125"/>
      <c r="CJB172" s="125"/>
      <c r="CJC172" s="125"/>
      <c r="CJD172" s="125"/>
      <c r="CJE172" s="125"/>
      <c r="CJF172" s="125"/>
      <c r="CJG172" s="125"/>
      <c r="CJH172" s="125"/>
      <c r="CJI172" s="125"/>
      <c r="CJJ172" s="125"/>
      <c r="CJK172" s="125"/>
      <c r="CJL172" s="125"/>
      <c r="CJM172" s="125"/>
      <c r="CJN172" s="125"/>
      <c r="CJO172" s="125"/>
      <c r="CJP172" s="125"/>
      <c r="CJQ172" s="125"/>
      <c r="CJR172" s="125"/>
      <c r="CJS172" s="125"/>
      <c r="CJT172" s="125"/>
      <c r="CJU172" s="125"/>
      <c r="CJV172" s="125"/>
      <c r="CJW172" s="125"/>
      <c r="CJX172" s="125"/>
      <c r="CJY172" s="125"/>
      <c r="CJZ172" s="125"/>
      <c r="CKA172" s="125"/>
      <c r="CKB172" s="125"/>
      <c r="CKC172" s="125"/>
      <c r="CKD172" s="125"/>
      <c r="CKE172" s="125"/>
      <c r="CKF172" s="125"/>
      <c r="CKG172" s="125"/>
      <c r="CKH172" s="125"/>
      <c r="CKI172" s="125"/>
      <c r="CKJ172" s="125"/>
      <c r="CKK172" s="125"/>
      <c r="CKL172" s="125"/>
      <c r="CKM172" s="125"/>
      <c r="CKN172" s="125"/>
      <c r="CKO172" s="125"/>
      <c r="CKP172" s="125"/>
      <c r="CKQ172" s="125"/>
      <c r="CKR172" s="125"/>
      <c r="CKS172" s="125"/>
      <c r="CKT172" s="125"/>
      <c r="CKU172" s="125"/>
      <c r="CKV172" s="125"/>
      <c r="CKW172" s="125"/>
      <c r="CKX172" s="125"/>
      <c r="CKY172" s="125"/>
      <c r="CKZ172" s="125"/>
      <c r="CLA172" s="125"/>
      <c r="CLB172" s="125"/>
      <c r="CLC172" s="125"/>
      <c r="CLD172" s="125"/>
      <c r="CLE172" s="125"/>
      <c r="CLF172" s="125"/>
      <c r="CLG172" s="125"/>
      <c r="CLH172" s="125"/>
      <c r="CLI172" s="125"/>
      <c r="CLJ172" s="125"/>
      <c r="CLK172" s="125"/>
      <c r="CLL172" s="125"/>
      <c r="CLM172" s="125"/>
      <c r="CLN172" s="125"/>
      <c r="CLO172" s="125"/>
      <c r="CLP172" s="125"/>
      <c r="CLQ172" s="125"/>
      <c r="CLR172" s="125"/>
      <c r="CLS172" s="125"/>
      <c r="CLT172" s="125"/>
      <c r="CLU172" s="125"/>
      <c r="CLV172" s="125"/>
      <c r="CLW172" s="125"/>
      <c r="CLX172" s="125"/>
      <c r="CLY172" s="125"/>
      <c r="CLZ172" s="125"/>
      <c r="CMA172" s="125"/>
      <c r="CMB172" s="125"/>
      <c r="CMC172" s="125"/>
      <c r="CMD172" s="125"/>
      <c r="CME172" s="125"/>
      <c r="CMF172" s="125"/>
      <c r="CMG172" s="125"/>
      <c r="CMH172" s="125"/>
      <c r="CMI172" s="125"/>
      <c r="CMJ172" s="125"/>
      <c r="CMK172" s="125"/>
      <c r="CML172" s="125"/>
      <c r="CMM172" s="125"/>
      <c r="CMN172" s="125"/>
      <c r="CMO172" s="125"/>
      <c r="CMP172" s="125"/>
      <c r="CMQ172" s="125"/>
      <c r="CMR172" s="125"/>
      <c r="CMS172" s="125"/>
      <c r="CMT172" s="125"/>
      <c r="CMU172" s="125"/>
      <c r="CMV172" s="125"/>
      <c r="CMW172" s="125"/>
      <c r="CMX172" s="125"/>
      <c r="CMY172" s="125"/>
      <c r="CMZ172" s="125"/>
      <c r="CNA172" s="125"/>
      <c r="CNB172" s="125"/>
      <c r="CNC172" s="125"/>
      <c r="CND172" s="125"/>
      <c r="CNE172" s="125"/>
      <c r="CNF172" s="125"/>
      <c r="CNG172" s="125"/>
      <c r="CNH172" s="125"/>
      <c r="CNI172" s="125"/>
      <c r="CNJ172" s="125"/>
      <c r="CNK172" s="125"/>
      <c r="CNL172" s="125"/>
      <c r="CNM172" s="125"/>
      <c r="CNN172" s="125"/>
      <c r="CNO172" s="125"/>
      <c r="CNP172" s="125"/>
      <c r="CNQ172" s="125"/>
      <c r="CNR172" s="125"/>
      <c r="CNS172" s="125"/>
      <c r="CNT172" s="125"/>
      <c r="CNU172" s="125"/>
      <c r="CNV172" s="125"/>
      <c r="CNW172" s="125"/>
      <c r="CNX172" s="125"/>
      <c r="CNY172" s="125"/>
      <c r="CNZ172" s="125"/>
      <c r="COA172" s="125"/>
      <c r="COB172" s="125"/>
      <c r="COC172" s="125"/>
      <c r="COD172" s="125"/>
      <c r="COE172" s="125"/>
      <c r="COF172" s="125"/>
      <c r="COG172" s="125"/>
      <c r="COH172" s="125"/>
      <c r="COI172" s="125"/>
      <c r="COJ172" s="125"/>
      <c r="COK172" s="125"/>
      <c r="COL172" s="125"/>
      <c r="COM172" s="125"/>
      <c r="CON172" s="125"/>
      <c r="COO172" s="125"/>
      <c r="COP172" s="125"/>
      <c r="COQ172" s="125"/>
      <c r="COR172" s="125"/>
      <c r="COS172" s="125"/>
      <c r="COT172" s="125"/>
      <c r="COU172" s="125"/>
      <c r="COV172" s="125"/>
      <c r="COW172" s="125"/>
      <c r="COX172" s="125"/>
      <c r="COY172" s="125"/>
      <c r="COZ172" s="125"/>
      <c r="CPA172" s="125"/>
      <c r="CPB172" s="125"/>
      <c r="CPC172" s="125"/>
      <c r="CPD172" s="125"/>
      <c r="CPE172" s="125"/>
      <c r="CPF172" s="125"/>
      <c r="CPG172" s="125"/>
      <c r="CPH172" s="125"/>
      <c r="CPI172" s="125"/>
      <c r="CPJ172" s="125"/>
      <c r="CPK172" s="125"/>
      <c r="CPL172" s="125"/>
      <c r="CPM172" s="125"/>
      <c r="CPN172" s="125"/>
      <c r="CPO172" s="125"/>
      <c r="CPP172" s="125"/>
      <c r="CPQ172" s="125"/>
      <c r="CPR172" s="125"/>
      <c r="CPS172" s="125"/>
      <c r="CPT172" s="125"/>
      <c r="CPU172" s="125"/>
      <c r="CPV172" s="125"/>
      <c r="CPW172" s="125"/>
      <c r="CPX172" s="125"/>
      <c r="CPY172" s="125"/>
      <c r="CPZ172" s="125"/>
      <c r="CQA172" s="125"/>
      <c r="CQB172" s="125"/>
      <c r="CQC172" s="125"/>
      <c r="CQD172" s="125"/>
      <c r="CQE172" s="125"/>
      <c r="CQF172" s="125"/>
      <c r="CQG172" s="125"/>
      <c r="CQH172" s="125"/>
      <c r="CQI172" s="125"/>
      <c r="CQJ172" s="125"/>
      <c r="CQK172" s="125"/>
      <c r="CQL172" s="125"/>
      <c r="CQM172" s="125"/>
      <c r="CQN172" s="125"/>
      <c r="CQO172" s="125"/>
      <c r="CQP172" s="125"/>
      <c r="CQQ172" s="125"/>
      <c r="CQR172" s="125"/>
      <c r="CQS172" s="125"/>
      <c r="CQT172" s="125"/>
      <c r="CQU172" s="125"/>
      <c r="CQV172" s="125"/>
      <c r="CQW172" s="125"/>
      <c r="CQX172" s="125"/>
      <c r="CQY172" s="125"/>
      <c r="CQZ172" s="125"/>
      <c r="CRA172" s="125"/>
      <c r="CRB172" s="125"/>
      <c r="CRC172" s="125"/>
      <c r="CRD172" s="125"/>
      <c r="CRE172" s="125"/>
      <c r="CRF172" s="125"/>
      <c r="CRG172" s="125"/>
      <c r="CRH172" s="125"/>
      <c r="CRI172" s="125"/>
      <c r="CRJ172" s="125"/>
      <c r="CRK172" s="125"/>
      <c r="CRL172" s="125"/>
      <c r="CRM172" s="125"/>
      <c r="CRN172" s="125"/>
      <c r="CRO172" s="125"/>
      <c r="CRP172" s="125"/>
      <c r="CRQ172" s="125"/>
      <c r="CRR172" s="125"/>
      <c r="CRS172" s="125"/>
      <c r="CRT172" s="125"/>
      <c r="CRU172" s="125"/>
      <c r="CRV172" s="125"/>
      <c r="CRW172" s="125"/>
      <c r="CRX172" s="125"/>
      <c r="CRY172" s="125"/>
      <c r="CRZ172" s="125"/>
      <c r="CSA172" s="125"/>
      <c r="CSB172" s="125"/>
      <c r="CSC172" s="125"/>
      <c r="CSD172" s="125"/>
      <c r="CSE172" s="125"/>
      <c r="CSF172" s="125"/>
      <c r="CSG172" s="125"/>
      <c r="CSH172" s="125"/>
      <c r="CSI172" s="125"/>
      <c r="CSJ172" s="125"/>
      <c r="CSK172" s="125"/>
      <c r="CSL172" s="125"/>
      <c r="CSM172" s="125"/>
      <c r="CSN172" s="125"/>
      <c r="CSO172" s="125"/>
      <c r="CSP172" s="125"/>
      <c r="CSQ172" s="125"/>
      <c r="CSR172" s="125"/>
      <c r="CSS172" s="125"/>
      <c r="CST172" s="125"/>
      <c r="CSU172" s="125"/>
      <c r="CSV172" s="125"/>
      <c r="CSW172" s="125"/>
      <c r="CSX172" s="125"/>
      <c r="CSY172" s="125"/>
      <c r="CSZ172" s="125"/>
      <c r="CTA172" s="125"/>
      <c r="CTB172" s="125"/>
      <c r="CTC172" s="125"/>
      <c r="CTD172" s="125"/>
      <c r="CTE172" s="125"/>
      <c r="CTF172" s="125"/>
      <c r="CTG172" s="125"/>
      <c r="CTH172" s="125"/>
      <c r="CTI172" s="125"/>
      <c r="CTJ172" s="125"/>
      <c r="CTK172" s="125"/>
      <c r="CTL172" s="125"/>
      <c r="CTM172" s="125"/>
      <c r="CTN172" s="125"/>
      <c r="CTO172" s="125"/>
      <c r="CTP172" s="125"/>
      <c r="CTQ172" s="125"/>
      <c r="CTR172" s="125"/>
      <c r="CTS172" s="125"/>
      <c r="CTT172" s="125"/>
      <c r="CTU172" s="125"/>
      <c r="CTV172" s="125"/>
      <c r="CTW172" s="125"/>
      <c r="CTX172" s="125"/>
      <c r="CTY172" s="125"/>
      <c r="CTZ172" s="125"/>
      <c r="CUA172" s="125"/>
      <c r="CUB172" s="125"/>
      <c r="CUC172" s="125"/>
      <c r="CUD172" s="125"/>
      <c r="CUE172" s="125"/>
      <c r="CUF172" s="125"/>
      <c r="CUG172" s="125"/>
      <c r="CUH172" s="125"/>
      <c r="CUI172" s="125"/>
      <c r="CUJ172" s="125"/>
      <c r="CUK172" s="125"/>
      <c r="CUL172" s="125"/>
      <c r="CUM172" s="125"/>
      <c r="CUN172" s="125"/>
      <c r="CUO172" s="125"/>
      <c r="CUP172" s="125"/>
      <c r="CUQ172" s="125"/>
      <c r="CUR172" s="125"/>
      <c r="CUS172" s="125"/>
      <c r="CUT172" s="125"/>
      <c r="CUU172" s="125"/>
      <c r="CUV172" s="125"/>
      <c r="CUW172" s="125"/>
      <c r="CUX172" s="125"/>
      <c r="CUY172" s="125"/>
      <c r="CUZ172" s="125"/>
      <c r="CVA172" s="125"/>
      <c r="CVB172" s="125"/>
      <c r="CVC172" s="125"/>
      <c r="CVD172" s="125"/>
      <c r="CVE172" s="125"/>
      <c r="CVF172" s="125"/>
      <c r="CVG172" s="125"/>
      <c r="CVH172" s="125"/>
      <c r="CVI172" s="125"/>
      <c r="CVJ172" s="125"/>
      <c r="CVK172" s="125"/>
      <c r="CVL172" s="125"/>
      <c r="CVM172" s="125"/>
      <c r="CVN172" s="125"/>
      <c r="CVO172" s="125"/>
      <c r="CVP172" s="125"/>
      <c r="CVQ172" s="125"/>
      <c r="CVR172" s="125"/>
      <c r="CVS172" s="125"/>
      <c r="CVT172" s="125"/>
      <c r="CVU172" s="125"/>
      <c r="CVV172" s="125"/>
      <c r="CVW172" s="125"/>
      <c r="CVX172" s="125"/>
      <c r="CVY172" s="125"/>
      <c r="CVZ172" s="125"/>
      <c r="CWA172" s="125"/>
      <c r="CWB172" s="125"/>
      <c r="CWC172" s="125"/>
      <c r="CWD172" s="125"/>
      <c r="CWE172" s="125"/>
      <c r="CWF172" s="125"/>
      <c r="CWG172" s="125"/>
      <c r="CWH172" s="125"/>
      <c r="CWI172" s="125"/>
      <c r="CWJ172" s="125"/>
      <c r="CWK172" s="125"/>
      <c r="CWL172" s="125"/>
      <c r="CWM172" s="125"/>
      <c r="CWN172" s="125"/>
      <c r="CWO172" s="125"/>
      <c r="CWP172" s="125"/>
      <c r="CWQ172" s="125"/>
      <c r="CWR172" s="125"/>
      <c r="CWS172" s="125"/>
      <c r="CWT172" s="125"/>
      <c r="CWU172" s="125"/>
      <c r="CWV172" s="125"/>
      <c r="CWW172" s="125"/>
      <c r="CWX172" s="125"/>
      <c r="CWY172" s="125"/>
      <c r="CWZ172" s="125"/>
      <c r="CXA172" s="125"/>
      <c r="CXB172" s="125"/>
      <c r="CXC172" s="125"/>
      <c r="CXD172" s="125"/>
      <c r="CXE172" s="125"/>
      <c r="CXF172" s="125"/>
      <c r="CXG172" s="125"/>
      <c r="CXH172" s="125"/>
      <c r="CXI172" s="125"/>
      <c r="CXJ172" s="125"/>
      <c r="CXK172" s="125"/>
      <c r="CXL172" s="125"/>
      <c r="CXM172" s="125"/>
      <c r="CXN172" s="125"/>
      <c r="CXO172" s="125"/>
      <c r="CXP172" s="125"/>
      <c r="CXQ172" s="125"/>
      <c r="CXR172" s="125"/>
      <c r="CXS172" s="125"/>
      <c r="CXT172" s="125"/>
      <c r="CXU172" s="125"/>
      <c r="CXV172" s="125"/>
      <c r="CXW172" s="125"/>
      <c r="CXX172" s="125"/>
      <c r="CXY172" s="125"/>
      <c r="CXZ172" s="125"/>
      <c r="CYA172" s="125"/>
      <c r="CYB172" s="125"/>
      <c r="CYC172" s="125"/>
      <c r="CYD172" s="125"/>
      <c r="CYE172" s="125"/>
      <c r="CYF172" s="125"/>
      <c r="CYG172" s="125"/>
      <c r="CYH172" s="125"/>
      <c r="CYI172" s="125"/>
      <c r="CYJ172" s="125"/>
      <c r="CYK172" s="125"/>
      <c r="CYL172" s="125"/>
      <c r="CYM172" s="125"/>
      <c r="CYN172" s="125"/>
      <c r="CYO172" s="125"/>
      <c r="CYP172" s="125"/>
      <c r="CYQ172" s="125"/>
      <c r="CYR172" s="125"/>
      <c r="CYS172" s="125"/>
      <c r="CYT172" s="125"/>
      <c r="CYU172" s="125"/>
      <c r="CYV172" s="125"/>
      <c r="CYW172" s="125"/>
      <c r="CYX172" s="125"/>
      <c r="CYY172" s="125"/>
      <c r="CYZ172" s="125"/>
      <c r="CZA172" s="125"/>
      <c r="CZB172" s="125"/>
      <c r="CZC172" s="125"/>
      <c r="CZD172" s="125"/>
      <c r="CZE172" s="125"/>
      <c r="CZF172" s="125"/>
      <c r="CZG172" s="125"/>
      <c r="CZH172" s="125"/>
      <c r="CZI172" s="125"/>
      <c r="CZJ172" s="125"/>
      <c r="CZK172" s="125"/>
      <c r="CZL172" s="125"/>
      <c r="CZM172" s="125"/>
      <c r="CZN172" s="125"/>
      <c r="CZO172" s="125"/>
      <c r="CZP172" s="125"/>
      <c r="CZQ172" s="125"/>
      <c r="CZR172" s="125"/>
      <c r="CZS172" s="125"/>
      <c r="CZT172" s="125"/>
      <c r="CZU172" s="125"/>
      <c r="CZV172" s="125"/>
      <c r="CZW172" s="125"/>
      <c r="CZX172" s="125"/>
      <c r="CZY172" s="125"/>
      <c r="CZZ172" s="125"/>
      <c r="DAA172" s="125"/>
      <c r="DAB172" s="125"/>
      <c r="DAC172" s="125"/>
      <c r="DAD172" s="125"/>
      <c r="DAE172" s="125"/>
      <c r="DAF172" s="125"/>
      <c r="DAG172" s="125"/>
      <c r="DAH172" s="125"/>
      <c r="DAI172" s="125"/>
      <c r="DAJ172" s="125"/>
      <c r="DAK172" s="125"/>
      <c r="DAL172" s="125"/>
      <c r="DAM172" s="125"/>
      <c r="DAN172" s="125"/>
      <c r="DAO172" s="125"/>
      <c r="DAP172" s="125"/>
      <c r="DAQ172" s="125"/>
      <c r="DAR172" s="125"/>
      <c r="DAS172" s="125"/>
      <c r="DAT172" s="125"/>
      <c r="DAU172" s="125"/>
      <c r="DAV172" s="125"/>
      <c r="DAW172" s="125"/>
      <c r="DAX172" s="125"/>
      <c r="DAY172" s="125"/>
      <c r="DAZ172" s="125"/>
      <c r="DBA172" s="125"/>
      <c r="DBB172" s="125"/>
      <c r="DBC172" s="125"/>
      <c r="DBD172" s="125"/>
      <c r="DBE172" s="125"/>
      <c r="DBF172" s="125"/>
      <c r="DBG172" s="125"/>
      <c r="DBH172" s="125"/>
      <c r="DBI172" s="125"/>
      <c r="DBJ172" s="125"/>
      <c r="DBK172" s="125"/>
      <c r="DBL172" s="125"/>
      <c r="DBM172" s="125"/>
      <c r="DBN172" s="125"/>
      <c r="DBO172" s="125"/>
      <c r="DBP172" s="125"/>
      <c r="DBQ172" s="125"/>
      <c r="DBR172" s="125"/>
      <c r="DBS172" s="125"/>
      <c r="DBT172" s="125"/>
      <c r="DBU172" s="125"/>
      <c r="DBV172" s="125"/>
      <c r="DBW172" s="125"/>
      <c r="DBX172" s="125"/>
      <c r="DBY172" s="125"/>
      <c r="DBZ172" s="125"/>
      <c r="DCA172" s="125"/>
      <c r="DCB172" s="125"/>
      <c r="DCC172" s="125"/>
      <c r="DCD172" s="125"/>
      <c r="DCE172" s="125"/>
      <c r="DCF172" s="125"/>
      <c r="DCG172" s="125"/>
      <c r="DCH172" s="125"/>
      <c r="DCI172" s="125"/>
      <c r="DCJ172" s="125"/>
      <c r="DCK172" s="125"/>
      <c r="DCL172" s="125"/>
      <c r="DCM172" s="125"/>
      <c r="DCN172" s="125"/>
      <c r="DCO172" s="125"/>
      <c r="DCP172" s="125"/>
      <c r="DCQ172" s="125"/>
      <c r="DCR172" s="125"/>
      <c r="DCS172" s="125"/>
      <c r="DCT172" s="125"/>
      <c r="DCU172" s="125"/>
      <c r="DCV172" s="125"/>
      <c r="DCW172" s="125"/>
      <c r="DCX172" s="125"/>
      <c r="DCY172" s="125"/>
      <c r="DCZ172" s="125"/>
      <c r="DDA172" s="125"/>
      <c r="DDB172" s="125"/>
      <c r="DDC172" s="125"/>
      <c r="DDD172" s="125"/>
      <c r="DDE172" s="125"/>
      <c r="DDF172" s="125"/>
      <c r="DDG172" s="125"/>
      <c r="DDH172" s="125"/>
      <c r="DDI172" s="125"/>
      <c r="DDJ172" s="125"/>
      <c r="DDK172" s="125"/>
      <c r="DDL172" s="125"/>
      <c r="DDM172" s="125"/>
      <c r="DDN172" s="125"/>
      <c r="DDO172" s="125"/>
      <c r="DDP172" s="125"/>
      <c r="DDQ172" s="125"/>
      <c r="DDR172" s="125"/>
      <c r="DDS172" s="125"/>
      <c r="DDT172" s="125"/>
      <c r="DDU172" s="125"/>
      <c r="DDV172" s="125"/>
      <c r="DDW172" s="125"/>
      <c r="DDX172" s="125"/>
      <c r="DDY172" s="125"/>
      <c r="DDZ172" s="125"/>
      <c r="DEA172" s="125"/>
      <c r="DEB172" s="125"/>
      <c r="DEC172" s="125"/>
      <c r="DED172" s="125"/>
      <c r="DEE172" s="125"/>
      <c r="DEF172" s="125"/>
      <c r="DEG172" s="125"/>
      <c r="DEH172" s="125"/>
      <c r="DEI172" s="125"/>
      <c r="DEJ172" s="125"/>
      <c r="DEK172" s="125"/>
      <c r="DEL172" s="125"/>
      <c r="DEM172" s="125"/>
      <c r="DEN172" s="125"/>
      <c r="DEO172" s="125"/>
      <c r="DEP172" s="125"/>
      <c r="DEQ172" s="125"/>
      <c r="DER172" s="125"/>
      <c r="DES172" s="125"/>
      <c r="DET172" s="125"/>
      <c r="DEU172" s="125"/>
      <c r="DEV172" s="125"/>
      <c r="DEW172" s="125"/>
      <c r="DEX172" s="125"/>
      <c r="DEY172" s="125"/>
      <c r="DEZ172" s="125"/>
      <c r="DFA172" s="125"/>
      <c r="DFB172" s="125"/>
      <c r="DFC172" s="125"/>
      <c r="DFD172" s="125"/>
      <c r="DFE172" s="125"/>
      <c r="DFF172" s="125"/>
      <c r="DFG172" s="125"/>
      <c r="DFH172" s="125"/>
      <c r="DFI172" s="125"/>
      <c r="DFJ172" s="125"/>
      <c r="DFK172" s="125"/>
      <c r="DFL172" s="125"/>
      <c r="DFM172" s="125"/>
      <c r="DFN172" s="125"/>
      <c r="DFO172" s="125"/>
      <c r="DFP172" s="125"/>
      <c r="DFQ172" s="125"/>
      <c r="DFR172" s="125"/>
      <c r="DFS172" s="125"/>
      <c r="DFT172" s="125"/>
      <c r="DFU172" s="125"/>
      <c r="DFV172" s="125"/>
      <c r="DFW172" s="125"/>
      <c r="DFX172" s="125"/>
      <c r="DFY172" s="125"/>
      <c r="DFZ172" s="125"/>
      <c r="DGA172" s="125"/>
      <c r="DGB172" s="125"/>
      <c r="DGC172" s="125"/>
      <c r="DGD172" s="125"/>
      <c r="DGE172" s="125"/>
      <c r="DGF172" s="125"/>
      <c r="DGG172" s="125"/>
      <c r="DGH172" s="125"/>
      <c r="DGI172" s="125"/>
      <c r="DGJ172" s="125"/>
      <c r="DGK172" s="125"/>
      <c r="DGL172" s="125"/>
      <c r="DGM172" s="125"/>
      <c r="DGN172" s="125"/>
      <c r="DGO172" s="125"/>
      <c r="DGP172" s="125"/>
      <c r="DGQ172" s="125"/>
      <c r="DGR172" s="125"/>
      <c r="DGS172" s="125"/>
      <c r="DGT172" s="125"/>
      <c r="DGU172" s="125"/>
      <c r="DGV172" s="125"/>
      <c r="DGW172" s="125"/>
      <c r="DGX172" s="125"/>
      <c r="DGY172" s="125"/>
      <c r="DGZ172" s="125"/>
      <c r="DHA172" s="125"/>
      <c r="DHB172" s="125"/>
      <c r="DHC172" s="125"/>
      <c r="DHD172" s="125"/>
      <c r="DHE172" s="125"/>
      <c r="DHF172" s="125"/>
      <c r="DHG172" s="125"/>
      <c r="DHH172" s="125"/>
      <c r="DHI172" s="125"/>
      <c r="DHJ172" s="125"/>
      <c r="DHK172" s="125"/>
      <c r="DHL172" s="125"/>
      <c r="DHM172" s="125"/>
      <c r="DHN172" s="125"/>
      <c r="DHO172" s="125"/>
      <c r="DHP172" s="125"/>
      <c r="DHQ172" s="125"/>
      <c r="DHR172" s="125"/>
      <c r="DHS172" s="125"/>
      <c r="DHT172" s="125"/>
      <c r="DHU172" s="125"/>
      <c r="DHV172" s="125"/>
      <c r="DHW172" s="125"/>
      <c r="DHX172" s="125"/>
      <c r="DHY172" s="125"/>
      <c r="DHZ172" s="125"/>
      <c r="DIA172" s="125"/>
      <c r="DIB172" s="125"/>
      <c r="DIC172" s="125"/>
      <c r="DID172" s="125"/>
      <c r="DIE172" s="125"/>
      <c r="DIF172" s="125"/>
      <c r="DIG172" s="125"/>
      <c r="DIH172" s="125"/>
      <c r="DII172" s="125"/>
      <c r="DIJ172" s="125"/>
      <c r="DIK172" s="125"/>
      <c r="DIL172" s="125"/>
      <c r="DIM172" s="125"/>
      <c r="DIN172" s="125"/>
      <c r="DIO172" s="125"/>
      <c r="DIP172" s="125"/>
      <c r="DIQ172" s="125"/>
      <c r="DIR172" s="125"/>
      <c r="DIS172" s="125"/>
      <c r="DIT172" s="125"/>
      <c r="DIU172" s="125"/>
      <c r="DIV172" s="125"/>
      <c r="DIW172" s="125"/>
      <c r="DIX172" s="125"/>
      <c r="DIY172" s="125"/>
      <c r="DIZ172" s="125"/>
      <c r="DJA172" s="125"/>
      <c r="DJB172" s="125"/>
      <c r="DJC172" s="125"/>
      <c r="DJD172" s="125"/>
      <c r="DJE172" s="125"/>
      <c r="DJF172" s="125"/>
      <c r="DJG172" s="125"/>
      <c r="DJH172" s="125"/>
      <c r="DJI172" s="125"/>
      <c r="DJJ172" s="125"/>
      <c r="DJK172" s="125"/>
      <c r="DJL172" s="125"/>
      <c r="DJM172" s="125"/>
      <c r="DJN172" s="125"/>
      <c r="DJO172" s="125"/>
      <c r="DJP172" s="125"/>
      <c r="DJQ172" s="125"/>
      <c r="DJR172" s="125"/>
      <c r="DJS172" s="125"/>
      <c r="DJT172" s="125"/>
      <c r="DJU172" s="125"/>
      <c r="DJV172" s="125"/>
      <c r="DJW172" s="125"/>
      <c r="DJX172" s="125"/>
      <c r="DJY172" s="125"/>
      <c r="DJZ172" s="125"/>
      <c r="DKA172" s="125"/>
      <c r="DKB172" s="125"/>
      <c r="DKC172" s="125"/>
      <c r="DKD172" s="125"/>
      <c r="DKE172" s="125"/>
      <c r="DKF172" s="125"/>
      <c r="DKG172" s="125"/>
      <c r="DKH172" s="125"/>
      <c r="DKI172" s="125"/>
      <c r="DKJ172" s="125"/>
      <c r="DKK172" s="125"/>
      <c r="DKL172" s="125"/>
      <c r="DKM172" s="125"/>
      <c r="DKN172" s="125"/>
      <c r="DKO172" s="125"/>
      <c r="DKP172" s="125"/>
      <c r="DKQ172" s="125"/>
      <c r="DKR172" s="125"/>
      <c r="DKS172" s="125"/>
      <c r="DKT172" s="125"/>
      <c r="DKU172" s="125"/>
      <c r="DKV172" s="125"/>
      <c r="DKW172" s="125"/>
      <c r="DKX172" s="125"/>
      <c r="DKY172" s="125"/>
      <c r="DKZ172" s="125"/>
      <c r="DLA172" s="125"/>
      <c r="DLB172" s="125"/>
      <c r="DLC172" s="125"/>
      <c r="DLD172" s="125"/>
      <c r="DLE172" s="125"/>
      <c r="DLF172" s="125"/>
      <c r="DLG172" s="125"/>
      <c r="DLH172" s="125"/>
      <c r="DLI172" s="125"/>
      <c r="DLJ172" s="125"/>
      <c r="DLK172" s="125"/>
      <c r="DLL172" s="125"/>
      <c r="DLM172" s="125"/>
      <c r="DLN172" s="125"/>
      <c r="DLO172" s="125"/>
      <c r="DLP172" s="125"/>
      <c r="DLQ172" s="125"/>
      <c r="DLR172" s="125"/>
      <c r="DLS172" s="125"/>
      <c r="DLT172" s="125"/>
      <c r="DLU172" s="125"/>
      <c r="DLV172" s="125"/>
      <c r="DLW172" s="125"/>
      <c r="DLX172" s="125"/>
      <c r="DLY172" s="125"/>
      <c r="DLZ172" s="125"/>
      <c r="DMA172" s="125"/>
      <c r="DMB172" s="125"/>
      <c r="DMC172" s="125"/>
      <c r="DMD172" s="125"/>
      <c r="DME172" s="125"/>
      <c r="DMF172" s="125"/>
      <c r="DMG172" s="125"/>
      <c r="DMH172" s="125"/>
      <c r="DMI172" s="125"/>
      <c r="DMJ172" s="125"/>
      <c r="DMK172" s="125"/>
      <c r="DML172" s="125"/>
      <c r="DMM172" s="125"/>
      <c r="DMN172" s="125"/>
      <c r="DMO172" s="125"/>
      <c r="DMP172" s="125"/>
      <c r="DMQ172" s="125"/>
      <c r="DMR172" s="125"/>
      <c r="DMS172" s="125"/>
      <c r="DMT172" s="125"/>
      <c r="DMU172" s="125"/>
      <c r="DMV172" s="125"/>
      <c r="DMW172" s="125"/>
      <c r="DMX172" s="125"/>
      <c r="DMY172" s="125"/>
      <c r="DMZ172" s="125"/>
      <c r="DNA172" s="125"/>
      <c r="DNB172" s="125"/>
      <c r="DNC172" s="125"/>
      <c r="DND172" s="125"/>
      <c r="DNE172" s="125"/>
      <c r="DNF172" s="125"/>
      <c r="DNG172" s="125"/>
      <c r="DNH172" s="125"/>
      <c r="DNI172" s="125"/>
      <c r="DNJ172" s="125"/>
      <c r="DNK172" s="125"/>
      <c r="DNL172" s="125"/>
      <c r="DNM172" s="125"/>
      <c r="DNN172" s="125"/>
      <c r="DNO172" s="125"/>
      <c r="DNP172" s="125"/>
      <c r="DNQ172" s="125"/>
      <c r="DNR172" s="125"/>
      <c r="DNS172" s="125"/>
      <c r="DNT172" s="125"/>
      <c r="DNU172" s="125"/>
      <c r="DNV172" s="125"/>
      <c r="DNW172" s="125"/>
      <c r="DNX172" s="125"/>
      <c r="DNY172" s="125"/>
      <c r="DNZ172" s="125"/>
      <c r="DOA172" s="125"/>
      <c r="DOB172" s="125"/>
      <c r="DOC172" s="125"/>
      <c r="DOD172" s="125"/>
      <c r="DOE172" s="125"/>
      <c r="DOF172" s="125"/>
      <c r="DOG172" s="125"/>
      <c r="DOH172" s="125"/>
      <c r="DOI172" s="125"/>
      <c r="DOJ172" s="125"/>
      <c r="DOK172" s="125"/>
      <c r="DOL172" s="125"/>
      <c r="DOM172" s="125"/>
      <c r="DON172" s="125"/>
      <c r="DOO172" s="125"/>
      <c r="DOP172" s="125"/>
      <c r="DOQ172" s="125"/>
      <c r="DOR172" s="125"/>
      <c r="DOS172" s="125"/>
      <c r="DOT172" s="125"/>
      <c r="DOU172" s="125"/>
      <c r="DOV172" s="125"/>
      <c r="DOW172" s="125"/>
      <c r="DOX172" s="125"/>
      <c r="DOY172" s="125"/>
      <c r="DOZ172" s="125"/>
      <c r="DPA172" s="125"/>
      <c r="DPB172" s="125"/>
      <c r="DPC172" s="125"/>
      <c r="DPD172" s="125"/>
      <c r="DPE172" s="125"/>
      <c r="DPF172" s="125"/>
      <c r="DPG172" s="125"/>
      <c r="DPH172" s="125"/>
      <c r="DPI172" s="125"/>
      <c r="DPJ172" s="125"/>
      <c r="DPK172" s="125"/>
      <c r="DPL172" s="125"/>
      <c r="DPM172" s="125"/>
      <c r="DPN172" s="125"/>
      <c r="DPO172" s="125"/>
      <c r="DPP172" s="125"/>
      <c r="DPQ172" s="125"/>
      <c r="DPR172" s="125"/>
      <c r="DPS172" s="125"/>
      <c r="DPT172" s="125"/>
      <c r="DPU172" s="125"/>
      <c r="DPV172" s="125"/>
      <c r="DPW172" s="125"/>
      <c r="DPX172" s="125"/>
      <c r="DPY172" s="125"/>
      <c r="DPZ172" s="125"/>
      <c r="DQA172" s="125"/>
      <c r="DQB172" s="125"/>
      <c r="DQC172" s="125"/>
      <c r="DQD172" s="125"/>
      <c r="DQE172" s="125"/>
      <c r="DQF172" s="125"/>
      <c r="DQG172" s="125"/>
      <c r="DQH172" s="125"/>
      <c r="DQI172" s="125"/>
      <c r="DQJ172" s="125"/>
      <c r="DQK172" s="125"/>
      <c r="DQL172" s="125"/>
      <c r="DQM172" s="125"/>
      <c r="DQN172" s="125"/>
      <c r="DQO172" s="125"/>
      <c r="DQP172" s="125"/>
      <c r="DQQ172" s="125"/>
      <c r="DQR172" s="125"/>
      <c r="DQS172" s="125"/>
      <c r="DQT172" s="125"/>
      <c r="DQU172" s="125"/>
      <c r="DQV172" s="125"/>
      <c r="DQW172" s="125"/>
      <c r="DQX172" s="125"/>
      <c r="DQY172" s="125"/>
      <c r="DQZ172" s="125"/>
      <c r="DRA172" s="125"/>
      <c r="DRB172" s="125"/>
      <c r="DRC172" s="125"/>
      <c r="DRD172" s="125"/>
      <c r="DRE172" s="125"/>
      <c r="DRF172" s="125"/>
      <c r="DRG172" s="125"/>
      <c r="DRH172" s="125"/>
      <c r="DRI172" s="125"/>
      <c r="DRJ172" s="125"/>
      <c r="DRK172" s="125"/>
      <c r="DRL172" s="125"/>
      <c r="DRM172" s="125"/>
      <c r="DRN172" s="125"/>
      <c r="DRO172" s="125"/>
      <c r="DRP172" s="125"/>
      <c r="DRQ172" s="125"/>
      <c r="DRR172" s="125"/>
      <c r="DRS172" s="125"/>
      <c r="DRT172" s="125"/>
      <c r="DRU172" s="125"/>
      <c r="DRV172" s="125"/>
      <c r="DRW172" s="125"/>
      <c r="DRX172" s="125"/>
      <c r="DRY172" s="125"/>
      <c r="DRZ172" s="125"/>
      <c r="DSA172" s="125"/>
      <c r="DSB172" s="125"/>
      <c r="DSC172" s="125"/>
      <c r="DSD172" s="125"/>
      <c r="DSE172" s="125"/>
      <c r="DSF172" s="125"/>
      <c r="DSG172" s="125"/>
      <c r="DSH172" s="125"/>
      <c r="DSI172" s="125"/>
      <c r="DSJ172" s="125"/>
      <c r="DSK172" s="125"/>
      <c r="DSL172" s="125"/>
      <c r="DSM172" s="125"/>
      <c r="DSN172" s="125"/>
      <c r="DSO172" s="125"/>
      <c r="DSP172" s="125"/>
      <c r="DSQ172" s="125"/>
      <c r="DSR172" s="125"/>
      <c r="DSS172" s="125"/>
      <c r="DST172" s="125"/>
      <c r="DSU172" s="125"/>
      <c r="DSV172" s="125"/>
      <c r="DSW172" s="125"/>
      <c r="DSX172" s="125"/>
      <c r="DSY172" s="125"/>
      <c r="DSZ172" s="125"/>
      <c r="DTA172" s="125"/>
      <c r="DTB172" s="125"/>
      <c r="DTC172" s="125"/>
      <c r="DTD172" s="125"/>
      <c r="DTE172" s="125"/>
      <c r="DTF172" s="125"/>
      <c r="DTG172" s="125"/>
      <c r="DTH172" s="125"/>
      <c r="DTI172" s="125"/>
      <c r="DTJ172" s="125"/>
      <c r="DTK172" s="125"/>
      <c r="DTL172" s="125"/>
      <c r="DTM172" s="125"/>
      <c r="DTN172" s="125"/>
      <c r="DTO172" s="125"/>
      <c r="DTP172" s="125"/>
      <c r="DTQ172" s="125"/>
      <c r="DTR172" s="125"/>
      <c r="DTS172" s="125"/>
      <c r="DTT172" s="125"/>
      <c r="DTU172" s="125"/>
      <c r="DTV172" s="125"/>
      <c r="DTW172" s="125"/>
      <c r="DTX172" s="125"/>
      <c r="DTY172" s="125"/>
      <c r="DTZ172" s="125"/>
      <c r="DUA172" s="125"/>
      <c r="DUB172" s="125"/>
      <c r="DUC172" s="125"/>
      <c r="DUD172" s="125"/>
      <c r="DUE172" s="125"/>
      <c r="DUF172" s="125"/>
      <c r="DUG172" s="125"/>
      <c r="DUH172" s="125"/>
      <c r="DUI172" s="125"/>
      <c r="DUJ172" s="125"/>
      <c r="DUK172" s="125"/>
      <c r="DUL172" s="125"/>
      <c r="DUM172" s="125"/>
      <c r="DUN172" s="125"/>
      <c r="DUO172" s="125"/>
      <c r="DUP172" s="125"/>
      <c r="DUQ172" s="125"/>
      <c r="DUR172" s="125"/>
      <c r="DUS172" s="125"/>
      <c r="DUT172" s="125"/>
      <c r="DUU172" s="125"/>
      <c r="DUV172" s="125"/>
      <c r="DUW172" s="125"/>
      <c r="DUX172" s="125"/>
      <c r="DUY172" s="125"/>
      <c r="DUZ172" s="125"/>
      <c r="DVA172" s="125"/>
      <c r="DVB172" s="125"/>
      <c r="DVC172" s="125"/>
      <c r="DVD172" s="125"/>
      <c r="DVE172" s="125"/>
      <c r="DVF172" s="125"/>
      <c r="DVG172" s="125"/>
      <c r="DVH172" s="125"/>
      <c r="DVI172" s="125"/>
      <c r="DVJ172" s="125"/>
      <c r="DVK172" s="125"/>
      <c r="DVL172" s="125"/>
      <c r="DVM172" s="125"/>
      <c r="DVN172" s="125"/>
      <c r="DVO172" s="125"/>
      <c r="DVP172" s="125"/>
      <c r="DVQ172" s="125"/>
      <c r="DVR172" s="125"/>
      <c r="DVS172" s="125"/>
      <c r="DVT172" s="125"/>
      <c r="DVU172" s="125"/>
      <c r="DVV172" s="125"/>
      <c r="DVW172" s="125"/>
      <c r="DVX172" s="125"/>
      <c r="DVY172" s="125"/>
      <c r="DVZ172" s="125"/>
      <c r="DWA172" s="125"/>
      <c r="DWB172" s="125"/>
      <c r="DWC172" s="125"/>
      <c r="DWD172" s="125"/>
      <c r="DWE172" s="125"/>
      <c r="DWF172" s="125"/>
      <c r="DWG172" s="125"/>
      <c r="DWH172" s="125"/>
      <c r="DWI172" s="125"/>
      <c r="DWJ172" s="125"/>
      <c r="DWK172" s="125"/>
      <c r="DWL172" s="125"/>
      <c r="DWM172" s="125"/>
      <c r="DWN172" s="125"/>
      <c r="DWO172" s="125"/>
      <c r="DWP172" s="125"/>
      <c r="DWQ172" s="125"/>
      <c r="DWR172" s="125"/>
      <c r="DWS172" s="125"/>
      <c r="DWT172" s="125"/>
      <c r="DWU172" s="125"/>
      <c r="DWV172" s="125"/>
      <c r="DWW172" s="125"/>
      <c r="DWX172" s="125"/>
      <c r="DWY172" s="125"/>
      <c r="DWZ172" s="125"/>
      <c r="DXA172" s="125"/>
      <c r="DXB172" s="125"/>
      <c r="DXC172" s="125"/>
      <c r="DXD172" s="125"/>
      <c r="DXE172" s="125"/>
      <c r="DXF172" s="125"/>
      <c r="DXG172" s="125"/>
      <c r="DXH172" s="125"/>
      <c r="DXI172" s="125"/>
      <c r="DXJ172" s="125"/>
      <c r="DXK172" s="125"/>
      <c r="DXL172" s="125"/>
      <c r="DXM172" s="125"/>
      <c r="DXN172" s="125"/>
      <c r="DXO172" s="125"/>
      <c r="DXP172" s="125"/>
      <c r="DXQ172" s="125"/>
      <c r="DXR172" s="125"/>
      <c r="DXS172" s="125"/>
      <c r="DXT172" s="125"/>
      <c r="DXU172" s="125"/>
      <c r="DXV172" s="125"/>
      <c r="DXW172" s="125"/>
      <c r="DXX172" s="125"/>
      <c r="DXY172" s="125"/>
      <c r="DXZ172" s="125"/>
      <c r="DYA172" s="125"/>
      <c r="DYB172" s="125"/>
      <c r="DYC172" s="125"/>
      <c r="DYD172" s="125"/>
      <c r="DYE172" s="125"/>
      <c r="DYF172" s="125"/>
      <c r="DYG172" s="125"/>
      <c r="DYH172" s="125"/>
      <c r="DYI172" s="125"/>
      <c r="DYJ172" s="125"/>
      <c r="DYK172" s="125"/>
      <c r="DYL172" s="125"/>
      <c r="DYM172" s="125"/>
      <c r="DYN172" s="125"/>
      <c r="DYO172" s="125"/>
      <c r="DYP172" s="125"/>
      <c r="DYQ172" s="125"/>
      <c r="DYR172" s="125"/>
      <c r="DYS172" s="125"/>
      <c r="DYT172" s="125"/>
      <c r="DYU172" s="125"/>
      <c r="DYV172" s="125"/>
      <c r="DYW172" s="125"/>
      <c r="DYX172" s="125"/>
      <c r="DYY172" s="125"/>
      <c r="DYZ172" s="125"/>
      <c r="DZA172" s="125"/>
      <c r="DZB172" s="125"/>
      <c r="DZC172" s="125"/>
      <c r="DZD172" s="125"/>
      <c r="DZE172" s="125"/>
      <c r="DZF172" s="125"/>
      <c r="DZG172" s="125"/>
      <c r="DZH172" s="125"/>
      <c r="DZI172" s="125"/>
      <c r="DZJ172" s="125"/>
      <c r="DZK172" s="125"/>
      <c r="DZL172" s="125"/>
      <c r="DZM172" s="125"/>
      <c r="DZN172" s="125"/>
      <c r="DZO172" s="125"/>
      <c r="DZP172" s="125"/>
      <c r="DZQ172" s="125"/>
      <c r="DZR172" s="125"/>
      <c r="DZS172" s="125"/>
      <c r="DZT172" s="125"/>
      <c r="DZU172" s="125"/>
      <c r="DZV172" s="125"/>
      <c r="DZW172" s="125"/>
      <c r="DZX172" s="125"/>
      <c r="DZY172" s="125"/>
      <c r="DZZ172" s="125"/>
      <c r="EAA172" s="125"/>
      <c r="EAB172" s="125"/>
      <c r="EAC172" s="125"/>
      <c r="EAD172" s="125"/>
      <c r="EAE172" s="125"/>
      <c r="EAF172" s="125"/>
      <c r="EAG172" s="125"/>
      <c r="EAH172" s="125"/>
      <c r="EAI172" s="125"/>
      <c r="EAJ172" s="125"/>
      <c r="EAK172" s="125"/>
      <c r="EAL172" s="125"/>
      <c r="EAM172" s="125"/>
      <c r="EAN172" s="125"/>
      <c r="EAO172" s="125"/>
      <c r="EAP172" s="125"/>
      <c r="EAQ172" s="125"/>
      <c r="EAR172" s="125"/>
      <c r="EAS172" s="125"/>
      <c r="EAT172" s="125"/>
      <c r="EAU172" s="125"/>
      <c r="EAV172" s="125"/>
      <c r="EAW172" s="125"/>
      <c r="EAX172" s="125"/>
      <c r="EAY172" s="125"/>
      <c r="EAZ172" s="125"/>
      <c r="EBA172" s="125"/>
      <c r="EBB172" s="125"/>
      <c r="EBC172" s="125"/>
      <c r="EBD172" s="125"/>
      <c r="EBE172" s="125"/>
      <c r="EBF172" s="125"/>
      <c r="EBG172" s="125"/>
      <c r="EBH172" s="125"/>
      <c r="EBI172" s="125"/>
      <c r="EBJ172" s="125"/>
      <c r="EBK172" s="125"/>
      <c r="EBL172" s="125"/>
      <c r="EBM172" s="125"/>
      <c r="EBN172" s="125"/>
      <c r="EBO172" s="125"/>
      <c r="EBP172" s="125"/>
      <c r="EBQ172" s="125"/>
      <c r="EBR172" s="125"/>
      <c r="EBS172" s="125"/>
      <c r="EBT172" s="125"/>
      <c r="EBU172" s="125"/>
      <c r="EBV172" s="125"/>
      <c r="EBW172" s="125"/>
      <c r="EBX172" s="125"/>
      <c r="EBY172" s="125"/>
      <c r="EBZ172" s="125"/>
      <c r="ECA172" s="125"/>
      <c r="ECB172" s="125"/>
      <c r="ECC172" s="125"/>
      <c r="ECD172" s="125"/>
      <c r="ECE172" s="125"/>
      <c r="ECF172" s="125"/>
      <c r="ECG172" s="125"/>
      <c r="ECH172" s="125"/>
      <c r="ECI172" s="125"/>
      <c r="ECJ172" s="125"/>
      <c r="ECK172" s="125"/>
      <c r="ECL172" s="125"/>
      <c r="ECM172" s="125"/>
      <c r="ECN172" s="125"/>
      <c r="ECO172" s="125"/>
      <c r="ECP172" s="125"/>
      <c r="ECQ172" s="125"/>
      <c r="ECR172" s="125"/>
      <c r="ECS172" s="125"/>
      <c r="ECT172" s="125"/>
      <c r="ECU172" s="125"/>
      <c r="ECV172" s="125"/>
      <c r="ECW172" s="125"/>
      <c r="ECX172" s="125"/>
      <c r="ECY172" s="125"/>
      <c r="ECZ172" s="125"/>
      <c r="EDA172" s="125"/>
      <c r="EDB172" s="125"/>
      <c r="EDC172" s="125"/>
      <c r="EDD172" s="125"/>
      <c r="EDE172" s="125"/>
      <c r="EDF172" s="125"/>
      <c r="EDG172" s="125"/>
      <c r="EDH172" s="125"/>
      <c r="EDI172" s="125"/>
      <c r="EDJ172" s="125"/>
      <c r="EDK172" s="125"/>
      <c r="EDL172" s="125"/>
      <c r="EDM172" s="125"/>
      <c r="EDN172" s="125"/>
      <c r="EDO172" s="125"/>
      <c r="EDP172" s="125"/>
      <c r="EDQ172" s="125"/>
      <c r="EDR172" s="125"/>
      <c r="EDS172" s="125"/>
      <c r="EDT172" s="125"/>
      <c r="EDU172" s="125"/>
      <c r="EDV172" s="125"/>
      <c r="EDW172" s="125"/>
      <c r="EDX172" s="125"/>
      <c r="EDY172" s="125"/>
      <c r="EDZ172" s="125"/>
      <c r="EEA172" s="125"/>
      <c r="EEB172" s="125"/>
      <c r="EEC172" s="125"/>
      <c r="EED172" s="125"/>
      <c r="EEE172" s="125"/>
      <c r="EEF172" s="125"/>
      <c r="EEG172" s="125"/>
      <c r="EEH172" s="125"/>
      <c r="EEI172" s="125"/>
      <c r="EEJ172" s="125"/>
      <c r="EEK172" s="125"/>
      <c r="EEL172" s="125"/>
      <c r="EEM172" s="125"/>
      <c r="EEN172" s="125"/>
      <c r="EEO172" s="125"/>
      <c r="EEP172" s="125"/>
      <c r="EEQ172" s="125"/>
      <c r="EER172" s="125"/>
      <c r="EES172" s="125"/>
      <c r="EET172" s="125"/>
      <c r="EEU172" s="125"/>
      <c r="EEV172" s="125"/>
      <c r="EEW172" s="125"/>
      <c r="EEX172" s="125"/>
      <c r="EEY172" s="125"/>
      <c r="EEZ172" s="125"/>
      <c r="EFA172" s="125"/>
      <c r="EFB172" s="125"/>
      <c r="EFC172" s="125"/>
      <c r="EFD172" s="125"/>
      <c r="EFE172" s="125"/>
      <c r="EFF172" s="125"/>
      <c r="EFG172" s="125"/>
      <c r="EFH172" s="125"/>
      <c r="EFI172" s="125"/>
      <c r="EFJ172" s="125"/>
      <c r="EFK172" s="125"/>
      <c r="EFL172" s="125"/>
      <c r="EFM172" s="125"/>
      <c r="EFN172" s="125"/>
      <c r="EFO172" s="125"/>
      <c r="EFP172" s="125"/>
      <c r="EFQ172" s="125"/>
      <c r="EFR172" s="125"/>
      <c r="EFS172" s="125"/>
      <c r="EFT172" s="125"/>
      <c r="EFU172" s="125"/>
      <c r="EFV172" s="125"/>
      <c r="EFW172" s="125"/>
      <c r="EFX172" s="125"/>
      <c r="EFY172" s="125"/>
      <c r="EFZ172" s="125"/>
      <c r="EGA172" s="125"/>
      <c r="EGB172" s="125"/>
      <c r="EGC172" s="125"/>
      <c r="EGD172" s="125"/>
      <c r="EGE172" s="125"/>
      <c r="EGF172" s="125"/>
      <c r="EGG172" s="125"/>
      <c r="EGH172" s="125"/>
      <c r="EGI172" s="125"/>
      <c r="EGJ172" s="125"/>
      <c r="EGK172" s="125"/>
      <c r="EGL172" s="125"/>
      <c r="EGM172" s="125"/>
      <c r="EGN172" s="125"/>
      <c r="EGO172" s="125"/>
      <c r="EGP172" s="125"/>
      <c r="EGQ172" s="125"/>
      <c r="EGR172" s="125"/>
      <c r="EGS172" s="125"/>
      <c r="EGT172" s="125"/>
      <c r="EGU172" s="125"/>
      <c r="EGV172" s="125"/>
      <c r="EGW172" s="125"/>
      <c r="EGX172" s="125"/>
      <c r="EGY172" s="125"/>
      <c r="EGZ172" s="125"/>
      <c r="EHA172" s="125"/>
      <c r="EHB172" s="125"/>
      <c r="EHC172" s="125"/>
      <c r="EHD172" s="125"/>
      <c r="EHE172" s="125"/>
      <c r="EHF172" s="125"/>
      <c r="EHG172" s="125"/>
      <c r="EHH172" s="125"/>
      <c r="EHI172" s="125"/>
      <c r="EHJ172" s="125"/>
      <c r="EHK172" s="125"/>
      <c r="EHL172" s="125"/>
      <c r="EHM172" s="125"/>
      <c r="EHN172" s="125"/>
      <c r="EHO172" s="125"/>
      <c r="EHP172" s="125"/>
      <c r="EHQ172" s="125"/>
      <c r="EHR172" s="125"/>
      <c r="EHS172" s="125"/>
      <c r="EHT172" s="125"/>
      <c r="EHU172" s="125"/>
      <c r="EHV172" s="125"/>
      <c r="EHW172" s="125"/>
      <c r="EHX172" s="125"/>
      <c r="EHY172" s="125"/>
      <c r="EHZ172" s="125"/>
      <c r="EIA172" s="125"/>
      <c r="EIB172" s="125"/>
      <c r="EIC172" s="125"/>
      <c r="EID172" s="125"/>
      <c r="EIE172" s="125"/>
      <c r="EIF172" s="125"/>
      <c r="EIG172" s="125"/>
      <c r="EIH172" s="125"/>
      <c r="EII172" s="125"/>
      <c r="EIJ172" s="125"/>
      <c r="EIK172" s="125"/>
      <c r="EIL172" s="125"/>
      <c r="EIM172" s="125"/>
      <c r="EIN172" s="125"/>
      <c r="EIO172" s="125"/>
      <c r="EIP172" s="125"/>
      <c r="EIQ172" s="125"/>
      <c r="EIR172" s="125"/>
      <c r="EIS172" s="125"/>
      <c r="EIT172" s="125"/>
      <c r="EIU172" s="125"/>
      <c r="EIV172" s="125"/>
      <c r="EIW172" s="125"/>
      <c r="EIX172" s="125"/>
      <c r="EIY172" s="125"/>
      <c r="EIZ172" s="125"/>
      <c r="EJA172" s="125"/>
      <c r="EJB172" s="125"/>
      <c r="EJC172" s="125"/>
      <c r="EJD172" s="125"/>
      <c r="EJE172" s="125"/>
      <c r="EJF172" s="125"/>
      <c r="EJG172" s="125"/>
      <c r="EJH172" s="125"/>
      <c r="EJI172" s="125"/>
      <c r="EJJ172" s="125"/>
      <c r="EJK172" s="125"/>
      <c r="EJL172" s="125"/>
      <c r="EJM172" s="125"/>
      <c r="EJN172" s="125"/>
      <c r="EJO172" s="125"/>
      <c r="EJP172" s="125"/>
      <c r="EJQ172" s="125"/>
      <c r="EJR172" s="125"/>
      <c r="EJS172" s="125"/>
      <c r="EJT172" s="125"/>
      <c r="EJU172" s="125"/>
      <c r="EJV172" s="125"/>
      <c r="EJW172" s="125"/>
      <c r="EJX172" s="125"/>
      <c r="EJY172" s="125"/>
      <c r="EJZ172" s="125"/>
      <c r="EKA172" s="125"/>
      <c r="EKB172" s="125"/>
      <c r="EKC172" s="125"/>
      <c r="EKD172" s="125"/>
      <c r="EKE172" s="125"/>
      <c r="EKF172" s="125"/>
      <c r="EKG172" s="125"/>
      <c r="EKH172" s="125"/>
      <c r="EKI172" s="125"/>
      <c r="EKJ172" s="125"/>
      <c r="EKK172" s="125"/>
      <c r="EKL172" s="125"/>
      <c r="EKM172" s="125"/>
      <c r="EKN172" s="125"/>
      <c r="EKO172" s="125"/>
      <c r="EKP172" s="125"/>
      <c r="EKQ172" s="125"/>
      <c r="EKR172" s="125"/>
      <c r="EKS172" s="125"/>
      <c r="EKT172" s="125"/>
      <c r="EKU172" s="125"/>
      <c r="EKV172" s="125"/>
      <c r="EKW172" s="125"/>
      <c r="EKX172" s="125"/>
      <c r="EKY172" s="125"/>
      <c r="EKZ172" s="125"/>
      <c r="ELA172" s="125"/>
      <c r="ELB172" s="125"/>
      <c r="ELC172" s="125"/>
      <c r="ELD172" s="125"/>
      <c r="ELE172" s="125"/>
      <c r="ELF172" s="125"/>
      <c r="ELG172" s="125"/>
      <c r="ELH172" s="125"/>
      <c r="ELI172" s="125"/>
      <c r="ELJ172" s="125"/>
      <c r="ELK172" s="125"/>
      <c r="ELL172" s="125"/>
      <c r="ELM172" s="125"/>
      <c r="ELN172" s="125"/>
      <c r="ELO172" s="125"/>
      <c r="ELP172" s="125"/>
      <c r="ELQ172" s="125"/>
      <c r="ELR172" s="125"/>
      <c r="ELS172" s="125"/>
      <c r="ELT172" s="125"/>
      <c r="ELU172" s="125"/>
      <c r="ELV172" s="125"/>
      <c r="ELW172" s="125"/>
      <c r="ELX172" s="125"/>
      <c r="ELY172" s="125"/>
      <c r="ELZ172" s="125"/>
      <c r="EMA172" s="125"/>
      <c r="EMB172" s="125"/>
      <c r="EMC172" s="125"/>
      <c r="EMD172" s="125"/>
      <c r="EME172" s="125"/>
      <c r="EMF172" s="125"/>
      <c r="EMG172" s="125"/>
      <c r="EMH172" s="125"/>
      <c r="EMI172" s="125"/>
      <c r="EMJ172" s="125"/>
      <c r="EMK172" s="125"/>
      <c r="EML172" s="125"/>
      <c r="EMM172" s="125"/>
      <c r="EMN172" s="125"/>
      <c r="EMO172" s="125"/>
      <c r="EMP172" s="125"/>
      <c r="EMQ172" s="125"/>
      <c r="EMR172" s="125"/>
      <c r="EMS172" s="125"/>
      <c r="EMT172" s="125"/>
      <c r="EMU172" s="125"/>
      <c r="EMV172" s="125"/>
      <c r="EMW172" s="125"/>
      <c r="EMX172" s="125"/>
      <c r="EMY172" s="125"/>
      <c r="EMZ172" s="125"/>
      <c r="ENA172" s="125"/>
      <c r="ENB172" s="125"/>
      <c r="ENC172" s="125"/>
      <c r="END172" s="125"/>
      <c r="ENE172" s="125"/>
      <c r="ENF172" s="125"/>
      <c r="ENG172" s="125"/>
      <c r="ENH172" s="125"/>
      <c r="ENI172" s="125"/>
      <c r="ENJ172" s="125"/>
      <c r="ENK172" s="125"/>
      <c r="ENL172" s="125"/>
      <c r="ENM172" s="125"/>
      <c r="ENN172" s="125"/>
      <c r="ENO172" s="125"/>
      <c r="ENP172" s="125"/>
      <c r="ENQ172" s="125"/>
      <c r="ENR172" s="125"/>
      <c r="ENS172" s="125"/>
      <c r="ENT172" s="125"/>
      <c r="ENU172" s="125"/>
      <c r="ENV172" s="125"/>
      <c r="ENW172" s="125"/>
      <c r="ENX172" s="125"/>
      <c r="ENY172" s="125"/>
      <c r="ENZ172" s="125"/>
      <c r="EOA172" s="125"/>
      <c r="EOB172" s="125"/>
      <c r="EOC172" s="125"/>
      <c r="EOD172" s="125"/>
      <c r="EOE172" s="125"/>
      <c r="EOF172" s="125"/>
      <c r="EOG172" s="125"/>
      <c r="EOH172" s="125"/>
      <c r="EOI172" s="125"/>
      <c r="EOJ172" s="125"/>
      <c r="EOK172" s="125"/>
      <c r="EOL172" s="125"/>
      <c r="EOM172" s="125"/>
      <c r="EON172" s="125"/>
      <c r="EOO172" s="125"/>
      <c r="EOP172" s="125"/>
      <c r="EOQ172" s="125"/>
      <c r="EOR172" s="125"/>
      <c r="EOS172" s="125"/>
      <c r="EOT172" s="125"/>
      <c r="EOU172" s="125"/>
      <c r="EOV172" s="125"/>
      <c r="EOW172" s="125"/>
      <c r="EOX172" s="125"/>
      <c r="EOY172" s="125"/>
      <c r="EOZ172" s="125"/>
      <c r="EPA172" s="125"/>
      <c r="EPB172" s="125"/>
      <c r="EPC172" s="125"/>
      <c r="EPD172" s="125"/>
      <c r="EPE172" s="125"/>
      <c r="EPF172" s="125"/>
      <c r="EPG172" s="125"/>
      <c r="EPH172" s="125"/>
      <c r="EPI172" s="125"/>
      <c r="EPJ172" s="125"/>
      <c r="EPK172" s="125"/>
      <c r="EPL172" s="125"/>
      <c r="EPM172" s="125"/>
      <c r="EPN172" s="125"/>
      <c r="EPO172" s="125"/>
      <c r="EPP172" s="125"/>
      <c r="EPQ172" s="125"/>
      <c r="EPR172" s="125"/>
      <c r="EPS172" s="125"/>
      <c r="EPT172" s="125"/>
      <c r="EPU172" s="125"/>
      <c r="EPV172" s="125"/>
      <c r="EPW172" s="125"/>
      <c r="EPX172" s="125"/>
      <c r="EPY172" s="125"/>
      <c r="EPZ172" s="125"/>
      <c r="EQA172" s="125"/>
      <c r="EQB172" s="125"/>
      <c r="EQC172" s="125"/>
      <c r="EQD172" s="125"/>
      <c r="EQE172" s="125"/>
      <c r="EQF172" s="125"/>
      <c r="EQG172" s="125"/>
      <c r="EQH172" s="125"/>
      <c r="EQI172" s="125"/>
      <c r="EQJ172" s="125"/>
      <c r="EQK172" s="125"/>
      <c r="EQL172" s="125"/>
      <c r="EQM172" s="125"/>
      <c r="EQN172" s="125"/>
      <c r="EQO172" s="125"/>
      <c r="EQP172" s="125"/>
      <c r="EQQ172" s="125"/>
      <c r="EQR172" s="125"/>
      <c r="EQS172" s="125"/>
      <c r="EQT172" s="125"/>
      <c r="EQU172" s="125"/>
      <c r="EQV172" s="125"/>
      <c r="EQW172" s="125"/>
      <c r="EQX172" s="125"/>
      <c r="EQY172" s="125"/>
      <c r="EQZ172" s="125"/>
      <c r="ERA172" s="125"/>
      <c r="ERB172" s="125"/>
      <c r="ERC172" s="125"/>
      <c r="ERD172" s="125"/>
      <c r="ERE172" s="125"/>
      <c r="ERF172" s="125"/>
      <c r="ERG172" s="125"/>
      <c r="ERH172" s="125"/>
      <c r="ERI172" s="125"/>
      <c r="ERJ172" s="125"/>
      <c r="ERK172" s="125"/>
      <c r="ERL172" s="125"/>
      <c r="ERM172" s="125"/>
      <c r="ERN172" s="125"/>
      <c r="ERO172" s="125"/>
      <c r="ERP172" s="125"/>
      <c r="ERQ172" s="125"/>
      <c r="ERR172" s="125"/>
      <c r="ERS172" s="125"/>
      <c r="ERT172" s="125"/>
      <c r="ERU172" s="125"/>
      <c r="ERV172" s="125"/>
      <c r="ERW172" s="125"/>
      <c r="ERX172" s="125"/>
      <c r="ERY172" s="125"/>
      <c r="ERZ172" s="125"/>
      <c r="ESA172" s="125"/>
      <c r="ESB172" s="125"/>
      <c r="ESC172" s="125"/>
      <c r="ESD172" s="125"/>
      <c r="ESE172" s="125"/>
      <c r="ESF172" s="125"/>
      <c r="ESG172" s="125"/>
      <c r="ESH172" s="125"/>
      <c r="ESI172" s="125"/>
      <c r="ESJ172" s="125"/>
      <c r="ESK172" s="125"/>
      <c r="ESL172" s="125"/>
      <c r="ESM172" s="125"/>
      <c r="ESN172" s="125"/>
      <c r="ESO172" s="125"/>
      <c r="ESP172" s="125"/>
      <c r="ESQ172" s="125"/>
      <c r="ESR172" s="125"/>
      <c r="ESS172" s="125"/>
      <c r="EST172" s="125"/>
      <c r="ESU172" s="125"/>
      <c r="ESV172" s="125"/>
      <c r="ESW172" s="125"/>
      <c r="ESX172" s="125"/>
      <c r="ESY172" s="125"/>
      <c r="ESZ172" s="125"/>
      <c r="ETA172" s="125"/>
      <c r="ETB172" s="125"/>
      <c r="ETC172" s="125"/>
      <c r="ETD172" s="125"/>
      <c r="ETE172" s="125"/>
      <c r="ETF172" s="125"/>
      <c r="ETG172" s="125"/>
      <c r="ETH172" s="125"/>
      <c r="ETI172" s="125"/>
      <c r="ETJ172" s="125"/>
      <c r="ETK172" s="125"/>
      <c r="ETL172" s="125"/>
      <c r="ETM172" s="125"/>
      <c r="ETN172" s="125"/>
      <c r="ETO172" s="125"/>
      <c r="ETP172" s="125"/>
      <c r="ETQ172" s="125"/>
      <c r="ETR172" s="125"/>
      <c r="ETS172" s="125"/>
      <c r="ETT172" s="125"/>
      <c r="ETU172" s="125"/>
      <c r="ETV172" s="125"/>
      <c r="ETW172" s="125"/>
      <c r="ETX172" s="125"/>
      <c r="ETY172" s="125"/>
      <c r="ETZ172" s="125"/>
      <c r="EUA172" s="125"/>
      <c r="EUB172" s="125"/>
      <c r="EUC172" s="125"/>
      <c r="EUD172" s="125"/>
      <c r="EUE172" s="125"/>
      <c r="EUF172" s="125"/>
      <c r="EUG172" s="125"/>
      <c r="EUH172" s="125"/>
      <c r="EUI172" s="125"/>
      <c r="EUJ172" s="125"/>
      <c r="EUK172" s="125"/>
      <c r="EUL172" s="125"/>
      <c r="EUM172" s="125"/>
      <c r="EUN172" s="125"/>
      <c r="EUO172" s="125"/>
      <c r="EUP172" s="125"/>
      <c r="EUQ172" s="125"/>
      <c r="EUR172" s="125"/>
      <c r="EUS172" s="125"/>
      <c r="EUT172" s="125"/>
      <c r="EUU172" s="125"/>
      <c r="EUV172" s="125"/>
      <c r="EUW172" s="125"/>
      <c r="EUX172" s="125"/>
      <c r="EUY172" s="125"/>
      <c r="EUZ172" s="125"/>
      <c r="EVA172" s="125"/>
      <c r="EVB172" s="125"/>
      <c r="EVC172" s="125"/>
      <c r="EVD172" s="125"/>
      <c r="EVE172" s="125"/>
      <c r="EVF172" s="125"/>
      <c r="EVG172" s="125"/>
      <c r="EVH172" s="125"/>
      <c r="EVI172" s="125"/>
      <c r="EVJ172" s="125"/>
      <c r="EVK172" s="125"/>
      <c r="EVL172" s="125"/>
      <c r="EVM172" s="125"/>
      <c r="EVN172" s="125"/>
      <c r="EVO172" s="125"/>
      <c r="EVP172" s="125"/>
      <c r="EVQ172" s="125"/>
      <c r="EVR172" s="125"/>
      <c r="EVS172" s="125"/>
      <c r="EVT172" s="125"/>
      <c r="EVU172" s="125"/>
      <c r="EVV172" s="125"/>
      <c r="EVW172" s="125"/>
      <c r="EVX172" s="125"/>
      <c r="EVY172" s="125"/>
      <c r="EVZ172" s="125"/>
      <c r="EWA172" s="125"/>
      <c r="EWB172" s="125"/>
      <c r="EWC172" s="125"/>
      <c r="EWD172" s="125"/>
      <c r="EWE172" s="125"/>
      <c r="EWF172" s="125"/>
      <c r="EWG172" s="125"/>
      <c r="EWH172" s="125"/>
      <c r="EWI172" s="125"/>
      <c r="EWJ172" s="125"/>
      <c r="EWK172" s="125"/>
      <c r="EWL172" s="125"/>
      <c r="EWM172" s="125"/>
      <c r="EWN172" s="125"/>
      <c r="EWO172" s="125"/>
      <c r="EWP172" s="125"/>
      <c r="EWQ172" s="125"/>
      <c r="EWR172" s="125"/>
      <c r="EWS172" s="125"/>
      <c r="EWT172" s="125"/>
      <c r="EWU172" s="125"/>
      <c r="EWV172" s="125"/>
      <c r="EWW172" s="125"/>
      <c r="EWX172" s="125"/>
      <c r="EWY172" s="125"/>
      <c r="EWZ172" s="125"/>
      <c r="EXA172" s="125"/>
      <c r="EXB172" s="125"/>
      <c r="EXC172" s="125"/>
      <c r="EXD172" s="125"/>
      <c r="EXE172" s="125"/>
      <c r="EXF172" s="125"/>
      <c r="EXG172" s="125"/>
      <c r="EXH172" s="125"/>
      <c r="EXI172" s="125"/>
      <c r="EXJ172" s="125"/>
      <c r="EXK172" s="125"/>
      <c r="EXL172" s="125"/>
      <c r="EXM172" s="125"/>
      <c r="EXN172" s="125"/>
      <c r="EXO172" s="125"/>
      <c r="EXP172" s="125"/>
      <c r="EXQ172" s="125"/>
      <c r="EXR172" s="125"/>
      <c r="EXS172" s="125"/>
      <c r="EXT172" s="125"/>
      <c r="EXU172" s="125"/>
      <c r="EXV172" s="125"/>
      <c r="EXW172" s="125"/>
      <c r="EXX172" s="125"/>
      <c r="EXY172" s="125"/>
      <c r="EXZ172" s="125"/>
      <c r="EYA172" s="125"/>
      <c r="EYB172" s="125"/>
      <c r="EYC172" s="125"/>
      <c r="EYD172" s="125"/>
      <c r="EYE172" s="125"/>
      <c r="EYF172" s="125"/>
      <c r="EYG172" s="125"/>
      <c r="EYH172" s="125"/>
      <c r="EYI172" s="125"/>
      <c r="EYJ172" s="125"/>
      <c r="EYK172" s="125"/>
      <c r="EYL172" s="125"/>
      <c r="EYM172" s="125"/>
      <c r="EYN172" s="125"/>
      <c r="EYO172" s="125"/>
      <c r="EYP172" s="125"/>
      <c r="EYQ172" s="125"/>
      <c r="EYR172" s="125"/>
      <c r="EYS172" s="125"/>
      <c r="EYT172" s="125"/>
      <c r="EYU172" s="125"/>
      <c r="EYV172" s="125"/>
      <c r="EYW172" s="125"/>
      <c r="EYX172" s="125"/>
      <c r="EYY172" s="125"/>
      <c r="EYZ172" s="125"/>
      <c r="EZA172" s="125"/>
      <c r="EZB172" s="125"/>
      <c r="EZC172" s="125"/>
      <c r="EZD172" s="125"/>
      <c r="EZE172" s="125"/>
      <c r="EZF172" s="125"/>
      <c r="EZG172" s="125"/>
      <c r="EZH172" s="125"/>
      <c r="EZI172" s="125"/>
      <c r="EZJ172" s="125"/>
      <c r="EZK172" s="125"/>
      <c r="EZL172" s="125"/>
      <c r="EZM172" s="125"/>
      <c r="EZN172" s="125"/>
      <c r="EZO172" s="125"/>
      <c r="EZP172" s="125"/>
      <c r="EZQ172" s="125"/>
      <c r="EZR172" s="125"/>
      <c r="EZS172" s="125"/>
      <c r="EZT172" s="125"/>
      <c r="EZU172" s="125"/>
      <c r="EZV172" s="125"/>
      <c r="EZW172" s="125"/>
      <c r="EZX172" s="125"/>
      <c r="EZY172" s="125"/>
      <c r="EZZ172" s="125"/>
      <c r="FAA172" s="125"/>
      <c r="FAB172" s="125"/>
      <c r="FAC172" s="125"/>
      <c r="FAD172" s="125"/>
      <c r="FAE172" s="125"/>
      <c r="FAF172" s="125"/>
      <c r="FAG172" s="125"/>
      <c r="FAH172" s="125"/>
      <c r="FAI172" s="125"/>
      <c r="FAJ172" s="125"/>
      <c r="FAK172" s="125"/>
      <c r="FAL172" s="125"/>
      <c r="FAM172" s="125"/>
      <c r="FAN172" s="125"/>
      <c r="FAO172" s="125"/>
      <c r="FAP172" s="125"/>
      <c r="FAQ172" s="125"/>
      <c r="FAR172" s="125"/>
      <c r="FAS172" s="125"/>
      <c r="FAT172" s="125"/>
      <c r="FAU172" s="125"/>
      <c r="FAV172" s="125"/>
      <c r="FAW172" s="125"/>
      <c r="FAX172" s="125"/>
      <c r="FAY172" s="125"/>
      <c r="FAZ172" s="125"/>
      <c r="FBA172" s="125"/>
      <c r="FBB172" s="125"/>
      <c r="FBC172" s="125"/>
      <c r="FBD172" s="125"/>
      <c r="FBE172" s="125"/>
      <c r="FBF172" s="125"/>
      <c r="FBG172" s="125"/>
      <c r="FBH172" s="125"/>
      <c r="FBI172" s="125"/>
      <c r="FBJ172" s="125"/>
      <c r="FBK172" s="125"/>
      <c r="FBL172" s="125"/>
      <c r="FBM172" s="125"/>
      <c r="FBN172" s="125"/>
      <c r="FBO172" s="125"/>
      <c r="FBP172" s="125"/>
      <c r="FBQ172" s="125"/>
      <c r="FBR172" s="125"/>
      <c r="FBS172" s="125"/>
      <c r="FBT172" s="125"/>
      <c r="FBU172" s="125"/>
      <c r="FBV172" s="125"/>
      <c r="FBW172" s="125"/>
      <c r="FBX172" s="125"/>
      <c r="FBY172" s="125"/>
      <c r="FBZ172" s="125"/>
      <c r="FCA172" s="125"/>
      <c r="FCB172" s="125"/>
      <c r="FCC172" s="125"/>
      <c r="FCD172" s="125"/>
      <c r="FCE172" s="125"/>
      <c r="FCF172" s="125"/>
      <c r="FCG172" s="125"/>
      <c r="FCH172" s="125"/>
      <c r="FCI172" s="125"/>
      <c r="FCJ172" s="125"/>
      <c r="FCK172" s="125"/>
      <c r="FCL172" s="125"/>
      <c r="FCM172" s="125"/>
      <c r="FCN172" s="125"/>
      <c r="FCO172" s="125"/>
      <c r="FCP172" s="125"/>
      <c r="FCQ172" s="125"/>
      <c r="FCR172" s="125"/>
      <c r="FCS172" s="125"/>
      <c r="FCT172" s="125"/>
      <c r="FCU172" s="125"/>
      <c r="FCV172" s="125"/>
      <c r="FCW172" s="125"/>
      <c r="FCX172" s="125"/>
      <c r="FCY172" s="125"/>
      <c r="FCZ172" s="125"/>
      <c r="FDA172" s="125"/>
      <c r="FDB172" s="125"/>
      <c r="FDC172" s="125"/>
      <c r="FDD172" s="125"/>
      <c r="FDE172" s="125"/>
      <c r="FDF172" s="125"/>
      <c r="FDG172" s="125"/>
      <c r="FDH172" s="125"/>
      <c r="FDI172" s="125"/>
      <c r="FDJ172" s="125"/>
      <c r="FDK172" s="125"/>
      <c r="FDL172" s="125"/>
      <c r="FDM172" s="125"/>
      <c r="FDN172" s="125"/>
      <c r="FDO172" s="125"/>
      <c r="FDP172" s="125"/>
      <c r="FDQ172" s="125"/>
      <c r="FDR172" s="125"/>
      <c r="FDS172" s="125"/>
      <c r="FDT172" s="125"/>
      <c r="FDU172" s="125"/>
      <c r="FDV172" s="125"/>
      <c r="FDW172" s="125"/>
      <c r="FDX172" s="125"/>
      <c r="FDY172" s="125"/>
      <c r="FDZ172" s="125"/>
      <c r="FEA172" s="125"/>
      <c r="FEB172" s="125"/>
      <c r="FEC172" s="125"/>
      <c r="FED172" s="125"/>
      <c r="FEE172" s="125"/>
      <c r="FEF172" s="125"/>
      <c r="FEG172" s="125"/>
      <c r="FEH172" s="125"/>
      <c r="FEI172" s="125"/>
      <c r="FEJ172" s="125"/>
      <c r="FEK172" s="125"/>
      <c r="FEL172" s="125"/>
      <c r="FEM172" s="125"/>
      <c r="FEN172" s="125"/>
      <c r="FEO172" s="125"/>
      <c r="FEP172" s="125"/>
      <c r="FEQ172" s="125"/>
      <c r="FER172" s="125"/>
      <c r="FES172" s="125"/>
      <c r="FET172" s="125"/>
      <c r="FEU172" s="125"/>
      <c r="FEV172" s="125"/>
      <c r="FEW172" s="125"/>
      <c r="FEX172" s="125"/>
      <c r="FEY172" s="125"/>
      <c r="FEZ172" s="125"/>
      <c r="FFA172" s="125"/>
      <c r="FFB172" s="125"/>
      <c r="FFC172" s="125"/>
      <c r="FFD172" s="125"/>
      <c r="FFE172" s="125"/>
      <c r="FFF172" s="125"/>
      <c r="FFG172" s="125"/>
      <c r="FFH172" s="125"/>
      <c r="FFI172" s="125"/>
      <c r="FFJ172" s="125"/>
      <c r="FFK172" s="125"/>
      <c r="FFL172" s="125"/>
      <c r="FFM172" s="125"/>
      <c r="FFN172" s="125"/>
      <c r="FFO172" s="125"/>
      <c r="FFP172" s="125"/>
      <c r="FFQ172" s="125"/>
      <c r="FFR172" s="125"/>
      <c r="FFS172" s="125"/>
      <c r="FFT172" s="125"/>
      <c r="FFU172" s="125"/>
      <c r="FFV172" s="125"/>
      <c r="FFW172" s="125"/>
      <c r="FFX172" s="125"/>
      <c r="FFY172" s="125"/>
      <c r="FFZ172" s="125"/>
      <c r="FGA172" s="125"/>
      <c r="FGB172" s="125"/>
      <c r="FGC172" s="125"/>
      <c r="FGD172" s="125"/>
      <c r="FGE172" s="125"/>
      <c r="FGF172" s="125"/>
      <c r="FGG172" s="125"/>
      <c r="FGH172" s="125"/>
      <c r="FGI172" s="125"/>
      <c r="FGJ172" s="125"/>
      <c r="FGK172" s="125"/>
      <c r="FGL172" s="125"/>
      <c r="FGM172" s="125"/>
      <c r="FGN172" s="125"/>
      <c r="FGO172" s="125"/>
      <c r="FGP172" s="125"/>
      <c r="FGQ172" s="125"/>
      <c r="FGR172" s="125"/>
      <c r="FGS172" s="125"/>
      <c r="FGT172" s="125"/>
      <c r="FGU172" s="125"/>
      <c r="FGV172" s="125"/>
      <c r="FGW172" s="125"/>
      <c r="FGX172" s="125"/>
      <c r="FGY172" s="125"/>
      <c r="FGZ172" s="125"/>
      <c r="FHA172" s="125"/>
      <c r="FHB172" s="125"/>
      <c r="FHC172" s="125"/>
      <c r="FHD172" s="125"/>
      <c r="FHE172" s="125"/>
      <c r="FHF172" s="125"/>
      <c r="FHG172" s="125"/>
      <c r="FHH172" s="125"/>
      <c r="FHI172" s="125"/>
      <c r="FHJ172" s="125"/>
      <c r="FHK172" s="125"/>
      <c r="FHL172" s="125"/>
      <c r="FHM172" s="125"/>
      <c r="FHN172" s="125"/>
      <c r="FHO172" s="125"/>
      <c r="FHP172" s="125"/>
      <c r="FHQ172" s="125"/>
      <c r="FHR172" s="125"/>
      <c r="FHS172" s="125"/>
      <c r="FHT172" s="125"/>
      <c r="FHU172" s="125"/>
      <c r="FHV172" s="125"/>
      <c r="FHW172" s="125"/>
      <c r="FHX172" s="125"/>
      <c r="FHY172" s="125"/>
      <c r="FHZ172" s="125"/>
      <c r="FIA172" s="125"/>
      <c r="FIB172" s="125"/>
      <c r="FIC172" s="125"/>
      <c r="FID172" s="125"/>
      <c r="FIE172" s="125"/>
      <c r="FIF172" s="125"/>
      <c r="FIG172" s="125"/>
      <c r="FIH172" s="125"/>
      <c r="FII172" s="125"/>
      <c r="FIJ172" s="125"/>
      <c r="FIK172" s="125"/>
      <c r="FIL172" s="125"/>
      <c r="FIM172" s="125"/>
      <c r="FIN172" s="125"/>
      <c r="FIO172" s="125"/>
      <c r="FIP172" s="125"/>
      <c r="FIQ172" s="125"/>
      <c r="FIR172" s="125"/>
      <c r="FIS172" s="125"/>
      <c r="FIT172" s="125"/>
      <c r="FIU172" s="125"/>
      <c r="FIV172" s="125"/>
      <c r="FIW172" s="125"/>
      <c r="FIX172" s="125"/>
      <c r="FIY172" s="125"/>
      <c r="FIZ172" s="125"/>
      <c r="FJA172" s="125"/>
      <c r="FJB172" s="125"/>
      <c r="FJC172" s="125"/>
      <c r="FJD172" s="125"/>
      <c r="FJE172" s="125"/>
      <c r="FJF172" s="125"/>
      <c r="FJG172" s="125"/>
      <c r="FJH172" s="125"/>
      <c r="FJI172" s="125"/>
      <c r="FJJ172" s="125"/>
      <c r="FJK172" s="125"/>
      <c r="FJL172" s="125"/>
      <c r="FJM172" s="125"/>
      <c r="FJN172" s="125"/>
      <c r="FJO172" s="125"/>
      <c r="FJP172" s="125"/>
      <c r="FJQ172" s="125"/>
      <c r="FJR172" s="125"/>
      <c r="FJS172" s="125"/>
      <c r="FJT172" s="125"/>
      <c r="FJU172" s="125"/>
      <c r="FJV172" s="125"/>
      <c r="FJW172" s="125"/>
      <c r="FJX172" s="125"/>
      <c r="FJY172" s="125"/>
      <c r="FJZ172" s="125"/>
      <c r="FKA172" s="125"/>
      <c r="FKB172" s="125"/>
      <c r="FKC172" s="125"/>
      <c r="FKD172" s="125"/>
      <c r="FKE172" s="125"/>
      <c r="FKF172" s="125"/>
      <c r="FKG172" s="125"/>
      <c r="FKH172" s="125"/>
      <c r="FKI172" s="125"/>
      <c r="FKJ172" s="125"/>
      <c r="FKK172" s="125"/>
      <c r="FKL172" s="125"/>
      <c r="FKM172" s="125"/>
      <c r="FKN172" s="125"/>
      <c r="FKO172" s="125"/>
      <c r="FKP172" s="125"/>
      <c r="FKQ172" s="125"/>
      <c r="FKR172" s="125"/>
      <c r="FKS172" s="125"/>
      <c r="FKT172" s="125"/>
      <c r="FKU172" s="125"/>
      <c r="FKV172" s="125"/>
      <c r="FKW172" s="125"/>
      <c r="FKX172" s="125"/>
      <c r="FKY172" s="125"/>
      <c r="FKZ172" s="125"/>
      <c r="FLA172" s="125"/>
      <c r="FLB172" s="125"/>
      <c r="FLC172" s="125"/>
      <c r="FLD172" s="125"/>
      <c r="FLE172" s="125"/>
      <c r="FLF172" s="125"/>
      <c r="FLG172" s="125"/>
      <c r="FLH172" s="125"/>
      <c r="FLI172" s="125"/>
      <c r="FLJ172" s="125"/>
      <c r="FLK172" s="125"/>
      <c r="FLL172" s="125"/>
      <c r="FLM172" s="125"/>
      <c r="FLN172" s="125"/>
      <c r="FLO172" s="125"/>
      <c r="FLP172" s="125"/>
      <c r="FLQ172" s="125"/>
      <c r="FLR172" s="125"/>
      <c r="FLS172" s="125"/>
      <c r="FLT172" s="125"/>
      <c r="FLU172" s="125"/>
      <c r="FLV172" s="125"/>
      <c r="FLW172" s="125"/>
      <c r="FLX172" s="125"/>
      <c r="FLY172" s="125"/>
      <c r="FLZ172" s="125"/>
      <c r="FMA172" s="125"/>
      <c r="FMB172" s="125"/>
      <c r="FMC172" s="125"/>
      <c r="FMD172" s="125"/>
      <c r="FME172" s="125"/>
      <c r="FMF172" s="125"/>
      <c r="FMG172" s="125"/>
      <c r="FMH172" s="125"/>
      <c r="FMI172" s="125"/>
      <c r="FMJ172" s="125"/>
      <c r="FMK172" s="125"/>
      <c r="FML172" s="125"/>
      <c r="FMM172" s="125"/>
      <c r="FMN172" s="125"/>
      <c r="FMO172" s="125"/>
      <c r="FMP172" s="125"/>
      <c r="FMQ172" s="125"/>
      <c r="FMR172" s="125"/>
      <c r="FMS172" s="125"/>
      <c r="FMT172" s="125"/>
      <c r="FMU172" s="125"/>
      <c r="FMV172" s="125"/>
      <c r="FMW172" s="125"/>
      <c r="FMX172" s="125"/>
      <c r="FMY172" s="125"/>
      <c r="FMZ172" s="125"/>
      <c r="FNA172" s="125"/>
      <c r="FNB172" s="125"/>
      <c r="FNC172" s="125"/>
      <c r="FND172" s="125"/>
      <c r="FNE172" s="125"/>
      <c r="FNF172" s="125"/>
      <c r="FNG172" s="125"/>
      <c r="FNH172" s="125"/>
      <c r="FNI172" s="125"/>
      <c r="FNJ172" s="125"/>
      <c r="FNK172" s="125"/>
      <c r="FNL172" s="125"/>
      <c r="FNM172" s="125"/>
      <c r="FNN172" s="125"/>
      <c r="FNO172" s="125"/>
      <c r="FNP172" s="125"/>
      <c r="FNQ172" s="125"/>
      <c r="FNR172" s="125"/>
      <c r="FNS172" s="125"/>
      <c r="FNT172" s="125"/>
      <c r="FNU172" s="125"/>
      <c r="FNV172" s="125"/>
      <c r="FNW172" s="125"/>
      <c r="FNX172" s="125"/>
      <c r="FNY172" s="125"/>
      <c r="FNZ172" s="125"/>
      <c r="FOA172" s="125"/>
      <c r="FOB172" s="125"/>
      <c r="FOC172" s="125"/>
      <c r="FOD172" s="125"/>
      <c r="FOE172" s="125"/>
      <c r="FOF172" s="125"/>
      <c r="FOG172" s="125"/>
      <c r="FOH172" s="125"/>
      <c r="FOI172" s="125"/>
      <c r="FOJ172" s="125"/>
      <c r="FOK172" s="125"/>
      <c r="FOL172" s="125"/>
      <c r="FOM172" s="125"/>
      <c r="FON172" s="125"/>
      <c r="FOO172" s="125"/>
      <c r="FOP172" s="125"/>
      <c r="FOQ172" s="125"/>
      <c r="FOR172" s="125"/>
      <c r="FOS172" s="125"/>
      <c r="FOT172" s="125"/>
      <c r="FOU172" s="125"/>
      <c r="FOV172" s="125"/>
      <c r="FOW172" s="125"/>
      <c r="FOX172" s="125"/>
      <c r="FOY172" s="125"/>
      <c r="FOZ172" s="125"/>
      <c r="FPA172" s="125"/>
      <c r="FPB172" s="125"/>
      <c r="FPC172" s="125"/>
      <c r="FPD172" s="125"/>
      <c r="FPE172" s="125"/>
      <c r="FPF172" s="125"/>
      <c r="FPG172" s="125"/>
      <c r="FPH172" s="125"/>
      <c r="FPI172" s="125"/>
      <c r="FPJ172" s="125"/>
      <c r="FPK172" s="125"/>
      <c r="FPL172" s="125"/>
      <c r="FPM172" s="125"/>
      <c r="FPN172" s="125"/>
      <c r="FPO172" s="125"/>
      <c r="FPP172" s="125"/>
      <c r="FPQ172" s="125"/>
      <c r="FPR172" s="125"/>
      <c r="FPS172" s="125"/>
      <c r="FPT172" s="125"/>
      <c r="FPU172" s="125"/>
      <c r="FPV172" s="125"/>
      <c r="FPW172" s="125"/>
      <c r="FPX172" s="125"/>
      <c r="FPY172" s="125"/>
      <c r="FPZ172" s="125"/>
      <c r="FQA172" s="125"/>
      <c r="FQB172" s="125"/>
      <c r="FQC172" s="125"/>
      <c r="FQD172" s="125"/>
      <c r="FQE172" s="125"/>
      <c r="FQF172" s="125"/>
      <c r="FQG172" s="125"/>
      <c r="FQH172" s="125"/>
      <c r="FQI172" s="125"/>
      <c r="FQJ172" s="125"/>
      <c r="FQK172" s="125"/>
      <c r="FQL172" s="125"/>
      <c r="FQM172" s="125"/>
      <c r="FQN172" s="125"/>
      <c r="FQO172" s="125"/>
      <c r="FQP172" s="125"/>
      <c r="FQQ172" s="125"/>
      <c r="FQR172" s="125"/>
      <c r="FQS172" s="125"/>
      <c r="FQT172" s="125"/>
      <c r="FQU172" s="125"/>
      <c r="FQV172" s="125"/>
      <c r="FQW172" s="125"/>
      <c r="FQX172" s="125"/>
      <c r="FQY172" s="125"/>
      <c r="FQZ172" s="125"/>
      <c r="FRA172" s="125"/>
      <c r="FRB172" s="125"/>
      <c r="FRC172" s="125"/>
      <c r="FRD172" s="125"/>
      <c r="FRE172" s="125"/>
      <c r="FRF172" s="125"/>
      <c r="FRG172" s="125"/>
      <c r="FRH172" s="125"/>
      <c r="FRI172" s="125"/>
      <c r="FRJ172" s="125"/>
      <c r="FRK172" s="125"/>
      <c r="FRL172" s="125"/>
      <c r="FRM172" s="125"/>
      <c r="FRN172" s="125"/>
      <c r="FRO172" s="125"/>
      <c r="FRP172" s="125"/>
      <c r="FRQ172" s="125"/>
      <c r="FRR172" s="125"/>
      <c r="FRS172" s="125"/>
      <c r="FRT172" s="125"/>
      <c r="FRU172" s="125"/>
      <c r="FRV172" s="125"/>
      <c r="FRW172" s="125"/>
      <c r="FRX172" s="125"/>
      <c r="FRY172" s="125"/>
      <c r="FRZ172" s="125"/>
      <c r="FSA172" s="125"/>
      <c r="FSB172" s="125"/>
      <c r="FSC172" s="125"/>
      <c r="FSD172" s="125"/>
      <c r="FSE172" s="125"/>
      <c r="FSF172" s="125"/>
      <c r="FSG172" s="125"/>
      <c r="FSH172" s="125"/>
      <c r="FSI172" s="125"/>
      <c r="FSJ172" s="125"/>
      <c r="FSK172" s="125"/>
      <c r="FSL172" s="125"/>
      <c r="FSM172" s="125"/>
      <c r="FSN172" s="125"/>
      <c r="FSO172" s="125"/>
      <c r="FSP172" s="125"/>
      <c r="FSQ172" s="125"/>
      <c r="FSR172" s="125"/>
      <c r="FSS172" s="125"/>
      <c r="FST172" s="125"/>
      <c r="FSU172" s="125"/>
      <c r="FSV172" s="125"/>
      <c r="FSW172" s="125"/>
      <c r="FSX172" s="125"/>
      <c r="FSY172" s="125"/>
      <c r="FSZ172" s="125"/>
      <c r="FTA172" s="125"/>
      <c r="FTB172" s="125"/>
      <c r="FTC172" s="125"/>
      <c r="FTD172" s="125"/>
      <c r="FTE172" s="125"/>
      <c r="FTF172" s="125"/>
      <c r="FTG172" s="125"/>
      <c r="FTH172" s="125"/>
      <c r="FTI172" s="125"/>
      <c r="FTJ172" s="125"/>
      <c r="FTK172" s="125"/>
      <c r="FTL172" s="125"/>
      <c r="FTM172" s="125"/>
      <c r="FTN172" s="125"/>
      <c r="FTO172" s="125"/>
      <c r="FTP172" s="125"/>
      <c r="FTQ172" s="125"/>
      <c r="FTR172" s="125"/>
      <c r="FTS172" s="125"/>
      <c r="FTT172" s="125"/>
      <c r="FTU172" s="125"/>
      <c r="FTV172" s="125"/>
      <c r="FTW172" s="125"/>
      <c r="FTX172" s="125"/>
      <c r="FTY172" s="125"/>
      <c r="FTZ172" s="125"/>
      <c r="FUA172" s="125"/>
      <c r="FUB172" s="125"/>
      <c r="FUC172" s="125"/>
      <c r="FUD172" s="125"/>
      <c r="FUE172" s="125"/>
      <c r="FUF172" s="125"/>
      <c r="FUG172" s="125"/>
      <c r="FUH172" s="125"/>
      <c r="FUI172" s="125"/>
      <c r="FUJ172" s="125"/>
      <c r="FUK172" s="125"/>
      <c r="FUL172" s="125"/>
      <c r="FUM172" s="125"/>
      <c r="FUN172" s="125"/>
      <c r="FUO172" s="125"/>
      <c r="FUP172" s="125"/>
      <c r="FUQ172" s="125"/>
      <c r="FUR172" s="125"/>
      <c r="FUS172" s="125"/>
      <c r="FUT172" s="125"/>
      <c r="FUU172" s="125"/>
      <c r="FUV172" s="125"/>
      <c r="FUW172" s="125"/>
      <c r="FUX172" s="125"/>
      <c r="FUY172" s="125"/>
      <c r="FUZ172" s="125"/>
      <c r="FVA172" s="125"/>
      <c r="FVB172" s="125"/>
      <c r="FVC172" s="125"/>
      <c r="FVD172" s="125"/>
      <c r="FVE172" s="125"/>
      <c r="FVF172" s="125"/>
      <c r="FVG172" s="125"/>
      <c r="FVH172" s="125"/>
      <c r="FVI172" s="125"/>
      <c r="FVJ172" s="125"/>
      <c r="FVK172" s="125"/>
      <c r="FVL172" s="125"/>
      <c r="FVM172" s="125"/>
      <c r="FVN172" s="125"/>
      <c r="FVO172" s="125"/>
      <c r="FVP172" s="125"/>
      <c r="FVQ172" s="125"/>
      <c r="FVR172" s="125"/>
      <c r="FVS172" s="125"/>
      <c r="FVT172" s="125"/>
      <c r="FVU172" s="125"/>
      <c r="FVV172" s="125"/>
      <c r="FVW172" s="125"/>
      <c r="FVX172" s="125"/>
      <c r="FVY172" s="125"/>
      <c r="FVZ172" s="125"/>
      <c r="FWA172" s="125"/>
      <c r="FWB172" s="125"/>
      <c r="FWC172" s="125"/>
      <c r="FWD172" s="125"/>
      <c r="FWE172" s="125"/>
      <c r="FWF172" s="125"/>
      <c r="FWG172" s="125"/>
      <c r="FWH172" s="125"/>
      <c r="FWI172" s="125"/>
      <c r="FWJ172" s="125"/>
      <c r="FWK172" s="125"/>
      <c r="FWL172" s="125"/>
      <c r="FWM172" s="125"/>
      <c r="FWN172" s="125"/>
      <c r="FWO172" s="125"/>
      <c r="FWP172" s="125"/>
      <c r="FWQ172" s="125"/>
      <c r="FWR172" s="125"/>
      <c r="FWS172" s="125"/>
      <c r="FWT172" s="125"/>
      <c r="FWU172" s="125"/>
      <c r="FWV172" s="125"/>
      <c r="FWW172" s="125"/>
      <c r="FWX172" s="125"/>
      <c r="FWY172" s="125"/>
      <c r="FWZ172" s="125"/>
      <c r="FXA172" s="125"/>
      <c r="FXB172" s="125"/>
      <c r="FXC172" s="125"/>
      <c r="FXD172" s="125"/>
      <c r="FXE172" s="125"/>
      <c r="FXF172" s="125"/>
      <c r="FXG172" s="125"/>
      <c r="FXH172" s="125"/>
      <c r="FXI172" s="125"/>
      <c r="FXJ172" s="125"/>
      <c r="FXK172" s="125"/>
      <c r="FXL172" s="125"/>
      <c r="FXM172" s="125"/>
      <c r="FXN172" s="125"/>
      <c r="FXO172" s="125"/>
      <c r="FXP172" s="125"/>
      <c r="FXQ172" s="125"/>
      <c r="FXR172" s="125"/>
      <c r="FXS172" s="125"/>
      <c r="FXT172" s="125"/>
      <c r="FXU172" s="125"/>
      <c r="FXV172" s="125"/>
      <c r="FXW172" s="125"/>
      <c r="FXX172" s="125"/>
      <c r="FXY172" s="125"/>
      <c r="FXZ172" s="125"/>
      <c r="FYA172" s="125"/>
      <c r="FYB172" s="125"/>
      <c r="FYC172" s="125"/>
      <c r="FYD172" s="125"/>
      <c r="FYE172" s="125"/>
      <c r="FYF172" s="125"/>
      <c r="FYG172" s="125"/>
      <c r="FYH172" s="125"/>
      <c r="FYI172" s="125"/>
      <c r="FYJ172" s="125"/>
      <c r="FYK172" s="125"/>
      <c r="FYL172" s="125"/>
      <c r="FYM172" s="125"/>
      <c r="FYN172" s="125"/>
      <c r="FYO172" s="125"/>
      <c r="FYP172" s="125"/>
      <c r="FYQ172" s="125"/>
      <c r="FYR172" s="125"/>
      <c r="FYS172" s="125"/>
      <c r="FYT172" s="125"/>
      <c r="FYU172" s="125"/>
      <c r="FYV172" s="125"/>
      <c r="FYW172" s="125"/>
      <c r="FYX172" s="125"/>
      <c r="FYY172" s="125"/>
      <c r="FYZ172" s="125"/>
      <c r="FZA172" s="125"/>
      <c r="FZB172" s="125"/>
      <c r="FZC172" s="125"/>
      <c r="FZD172" s="125"/>
      <c r="FZE172" s="125"/>
      <c r="FZF172" s="125"/>
      <c r="FZG172" s="125"/>
      <c r="FZH172" s="125"/>
      <c r="FZI172" s="125"/>
      <c r="FZJ172" s="125"/>
      <c r="FZK172" s="125"/>
      <c r="FZL172" s="125"/>
      <c r="FZM172" s="125"/>
      <c r="FZN172" s="125"/>
      <c r="FZO172" s="125"/>
      <c r="FZP172" s="125"/>
      <c r="FZQ172" s="125"/>
      <c r="FZR172" s="125"/>
      <c r="FZS172" s="125"/>
      <c r="FZT172" s="125"/>
      <c r="FZU172" s="125"/>
      <c r="FZV172" s="125"/>
      <c r="FZW172" s="125"/>
      <c r="FZX172" s="125"/>
      <c r="FZY172" s="125"/>
      <c r="FZZ172" s="125"/>
      <c r="GAA172" s="125"/>
      <c r="GAB172" s="125"/>
      <c r="GAC172" s="125"/>
      <c r="GAD172" s="125"/>
      <c r="GAE172" s="125"/>
      <c r="GAF172" s="125"/>
      <c r="GAG172" s="125"/>
      <c r="GAH172" s="125"/>
      <c r="GAI172" s="125"/>
      <c r="GAJ172" s="125"/>
      <c r="GAK172" s="125"/>
      <c r="GAL172" s="125"/>
      <c r="GAM172" s="125"/>
      <c r="GAN172" s="125"/>
      <c r="GAO172" s="125"/>
      <c r="GAP172" s="125"/>
      <c r="GAQ172" s="125"/>
      <c r="GAR172" s="125"/>
      <c r="GAS172" s="125"/>
      <c r="GAT172" s="125"/>
      <c r="GAU172" s="125"/>
      <c r="GAV172" s="125"/>
      <c r="GAW172" s="125"/>
      <c r="GAX172" s="125"/>
      <c r="GAY172" s="125"/>
      <c r="GAZ172" s="125"/>
      <c r="GBA172" s="125"/>
      <c r="GBB172" s="125"/>
      <c r="GBC172" s="125"/>
      <c r="GBD172" s="125"/>
      <c r="GBE172" s="125"/>
      <c r="GBF172" s="125"/>
      <c r="GBG172" s="125"/>
      <c r="GBH172" s="125"/>
      <c r="GBI172" s="125"/>
      <c r="GBJ172" s="125"/>
      <c r="GBK172" s="125"/>
      <c r="GBL172" s="125"/>
      <c r="GBM172" s="125"/>
      <c r="GBN172" s="125"/>
      <c r="GBO172" s="125"/>
      <c r="GBP172" s="125"/>
      <c r="GBQ172" s="125"/>
      <c r="GBR172" s="125"/>
      <c r="GBS172" s="125"/>
      <c r="GBT172" s="125"/>
      <c r="GBU172" s="125"/>
      <c r="GBV172" s="125"/>
      <c r="GBW172" s="125"/>
      <c r="GBX172" s="125"/>
      <c r="GBY172" s="125"/>
      <c r="GBZ172" s="125"/>
      <c r="GCA172" s="125"/>
      <c r="GCB172" s="125"/>
      <c r="GCC172" s="125"/>
      <c r="GCD172" s="125"/>
      <c r="GCE172" s="125"/>
      <c r="GCF172" s="125"/>
      <c r="GCG172" s="125"/>
      <c r="GCH172" s="125"/>
      <c r="GCI172" s="125"/>
      <c r="GCJ172" s="125"/>
      <c r="GCK172" s="125"/>
      <c r="GCL172" s="125"/>
      <c r="GCM172" s="125"/>
      <c r="GCN172" s="125"/>
      <c r="GCO172" s="125"/>
      <c r="GCP172" s="125"/>
      <c r="GCQ172" s="125"/>
      <c r="GCR172" s="125"/>
      <c r="GCS172" s="125"/>
      <c r="GCT172" s="125"/>
      <c r="GCU172" s="125"/>
      <c r="GCV172" s="125"/>
      <c r="GCW172" s="125"/>
      <c r="GCX172" s="125"/>
      <c r="GCY172" s="125"/>
      <c r="GCZ172" s="125"/>
      <c r="GDA172" s="125"/>
      <c r="GDB172" s="125"/>
      <c r="GDC172" s="125"/>
      <c r="GDD172" s="125"/>
      <c r="GDE172" s="125"/>
      <c r="GDF172" s="125"/>
      <c r="GDG172" s="125"/>
      <c r="GDH172" s="125"/>
      <c r="GDI172" s="125"/>
      <c r="GDJ172" s="125"/>
      <c r="GDK172" s="125"/>
      <c r="GDL172" s="125"/>
      <c r="GDM172" s="125"/>
      <c r="GDN172" s="125"/>
      <c r="GDO172" s="125"/>
      <c r="GDP172" s="125"/>
      <c r="GDQ172" s="125"/>
      <c r="GDR172" s="125"/>
      <c r="GDS172" s="125"/>
      <c r="GDT172" s="125"/>
      <c r="GDU172" s="125"/>
      <c r="GDV172" s="125"/>
      <c r="GDW172" s="125"/>
      <c r="GDX172" s="125"/>
      <c r="GDY172" s="125"/>
      <c r="GDZ172" s="125"/>
      <c r="GEA172" s="125"/>
      <c r="GEB172" s="125"/>
      <c r="GEC172" s="125"/>
      <c r="GED172" s="125"/>
      <c r="GEE172" s="125"/>
      <c r="GEF172" s="125"/>
      <c r="GEG172" s="125"/>
      <c r="GEH172" s="125"/>
      <c r="GEI172" s="125"/>
      <c r="GEJ172" s="125"/>
      <c r="GEK172" s="125"/>
      <c r="GEL172" s="125"/>
      <c r="GEM172" s="125"/>
      <c r="GEN172" s="125"/>
      <c r="GEO172" s="125"/>
      <c r="GEP172" s="125"/>
      <c r="GEQ172" s="125"/>
      <c r="GER172" s="125"/>
      <c r="GES172" s="125"/>
      <c r="GET172" s="125"/>
      <c r="GEU172" s="125"/>
      <c r="GEV172" s="125"/>
      <c r="GEW172" s="125"/>
      <c r="GEX172" s="125"/>
      <c r="GEY172" s="125"/>
      <c r="GEZ172" s="125"/>
      <c r="GFA172" s="125"/>
      <c r="GFB172" s="125"/>
      <c r="GFC172" s="125"/>
      <c r="GFD172" s="125"/>
      <c r="GFE172" s="125"/>
      <c r="GFF172" s="125"/>
      <c r="GFG172" s="125"/>
      <c r="GFH172" s="125"/>
      <c r="GFI172" s="125"/>
      <c r="GFJ172" s="125"/>
      <c r="GFK172" s="125"/>
      <c r="GFL172" s="125"/>
      <c r="GFM172" s="125"/>
      <c r="GFN172" s="125"/>
      <c r="GFO172" s="125"/>
      <c r="GFP172" s="125"/>
      <c r="GFQ172" s="125"/>
      <c r="GFR172" s="125"/>
      <c r="GFS172" s="125"/>
      <c r="GFT172" s="125"/>
      <c r="GFU172" s="125"/>
      <c r="GFV172" s="125"/>
      <c r="GFW172" s="125"/>
      <c r="GFX172" s="125"/>
      <c r="GFY172" s="125"/>
      <c r="GFZ172" s="125"/>
      <c r="GGA172" s="125"/>
      <c r="GGB172" s="125"/>
      <c r="GGC172" s="125"/>
      <c r="GGD172" s="125"/>
      <c r="GGE172" s="125"/>
      <c r="GGF172" s="125"/>
      <c r="GGG172" s="125"/>
      <c r="GGH172" s="125"/>
      <c r="GGI172" s="125"/>
      <c r="GGJ172" s="125"/>
      <c r="GGK172" s="125"/>
      <c r="GGL172" s="125"/>
      <c r="GGM172" s="125"/>
      <c r="GGN172" s="125"/>
      <c r="GGO172" s="125"/>
      <c r="GGP172" s="125"/>
      <c r="GGQ172" s="125"/>
      <c r="GGR172" s="125"/>
      <c r="GGS172" s="125"/>
      <c r="GGT172" s="125"/>
      <c r="GGU172" s="125"/>
      <c r="GGV172" s="125"/>
      <c r="GGW172" s="125"/>
      <c r="GGX172" s="125"/>
      <c r="GGY172" s="125"/>
      <c r="GGZ172" s="125"/>
      <c r="GHA172" s="125"/>
      <c r="GHB172" s="125"/>
      <c r="GHC172" s="125"/>
      <c r="GHD172" s="125"/>
      <c r="GHE172" s="125"/>
      <c r="GHF172" s="125"/>
      <c r="GHG172" s="125"/>
      <c r="GHH172" s="125"/>
      <c r="GHI172" s="125"/>
      <c r="GHJ172" s="125"/>
      <c r="GHK172" s="125"/>
      <c r="GHL172" s="125"/>
      <c r="GHM172" s="125"/>
      <c r="GHN172" s="125"/>
      <c r="GHO172" s="125"/>
      <c r="GHP172" s="125"/>
      <c r="GHQ172" s="125"/>
      <c r="GHR172" s="125"/>
      <c r="GHS172" s="125"/>
      <c r="GHT172" s="125"/>
      <c r="GHU172" s="125"/>
      <c r="GHV172" s="125"/>
      <c r="GHW172" s="125"/>
      <c r="GHX172" s="125"/>
      <c r="GHY172" s="125"/>
      <c r="GHZ172" s="125"/>
      <c r="GIA172" s="125"/>
      <c r="GIB172" s="125"/>
      <c r="GIC172" s="125"/>
      <c r="GID172" s="125"/>
      <c r="GIE172" s="125"/>
      <c r="GIF172" s="125"/>
      <c r="GIG172" s="125"/>
      <c r="GIH172" s="125"/>
      <c r="GII172" s="125"/>
      <c r="GIJ172" s="125"/>
      <c r="GIK172" s="125"/>
      <c r="GIL172" s="125"/>
      <c r="GIM172" s="125"/>
      <c r="GIN172" s="125"/>
      <c r="GIO172" s="125"/>
      <c r="GIP172" s="125"/>
      <c r="GIQ172" s="125"/>
      <c r="GIR172" s="125"/>
      <c r="GIS172" s="125"/>
      <c r="GIT172" s="125"/>
      <c r="GIU172" s="125"/>
      <c r="GIV172" s="125"/>
      <c r="GIW172" s="125"/>
      <c r="GIX172" s="125"/>
      <c r="GIY172" s="125"/>
      <c r="GIZ172" s="125"/>
      <c r="GJA172" s="125"/>
      <c r="GJB172" s="125"/>
      <c r="GJC172" s="125"/>
      <c r="GJD172" s="125"/>
      <c r="GJE172" s="125"/>
      <c r="GJF172" s="125"/>
      <c r="GJG172" s="125"/>
      <c r="GJH172" s="125"/>
      <c r="GJI172" s="125"/>
      <c r="GJJ172" s="125"/>
      <c r="GJK172" s="125"/>
      <c r="GJL172" s="125"/>
      <c r="GJM172" s="125"/>
      <c r="GJN172" s="125"/>
      <c r="GJO172" s="125"/>
      <c r="GJP172" s="125"/>
      <c r="GJQ172" s="125"/>
      <c r="GJR172" s="125"/>
      <c r="GJS172" s="125"/>
      <c r="GJT172" s="125"/>
      <c r="GJU172" s="125"/>
      <c r="GJV172" s="125"/>
      <c r="GJW172" s="125"/>
      <c r="GJX172" s="125"/>
      <c r="GJY172" s="125"/>
      <c r="GJZ172" s="125"/>
      <c r="GKA172" s="125"/>
      <c r="GKB172" s="125"/>
      <c r="GKC172" s="125"/>
      <c r="GKD172" s="125"/>
      <c r="GKE172" s="125"/>
      <c r="GKF172" s="125"/>
      <c r="GKG172" s="125"/>
      <c r="GKH172" s="125"/>
      <c r="GKI172" s="125"/>
      <c r="GKJ172" s="125"/>
      <c r="GKK172" s="125"/>
      <c r="GKL172" s="125"/>
      <c r="GKM172" s="125"/>
      <c r="GKN172" s="125"/>
      <c r="GKO172" s="125"/>
      <c r="GKP172" s="125"/>
      <c r="GKQ172" s="125"/>
      <c r="GKR172" s="125"/>
      <c r="GKS172" s="125"/>
      <c r="GKT172" s="125"/>
      <c r="GKU172" s="125"/>
      <c r="GKV172" s="125"/>
      <c r="GKW172" s="125"/>
      <c r="GKX172" s="125"/>
      <c r="GKY172" s="125"/>
      <c r="GKZ172" s="125"/>
      <c r="GLA172" s="125"/>
      <c r="GLB172" s="125"/>
      <c r="GLC172" s="125"/>
      <c r="GLD172" s="125"/>
      <c r="GLE172" s="125"/>
      <c r="GLF172" s="125"/>
      <c r="GLG172" s="125"/>
      <c r="GLH172" s="125"/>
      <c r="GLI172" s="125"/>
      <c r="GLJ172" s="125"/>
      <c r="GLK172" s="125"/>
      <c r="GLL172" s="125"/>
      <c r="GLM172" s="125"/>
      <c r="GLN172" s="125"/>
      <c r="GLO172" s="125"/>
      <c r="GLP172" s="125"/>
      <c r="GLQ172" s="125"/>
      <c r="GLR172" s="125"/>
      <c r="GLS172" s="125"/>
      <c r="GLT172" s="125"/>
      <c r="GLU172" s="125"/>
      <c r="GLV172" s="125"/>
      <c r="GLW172" s="125"/>
      <c r="GLX172" s="125"/>
      <c r="GLY172" s="125"/>
      <c r="GLZ172" s="125"/>
      <c r="GMA172" s="125"/>
      <c r="GMB172" s="125"/>
      <c r="GMC172" s="125"/>
      <c r="GMD172" s="125"/>
      <c r="GME172" s="125"/>
      <c r="GMF172" s="125"/>
      <c r="GMG172" s="125"/>
      <c r="GMH172" s="125"/>
      <c r="GMI172" s="125"/>
      <c r="GMJ172" s="125"/>
      <c r="GMK172" s="125"/>
      <c r="GML172" s="125"/>
      <c r="GMM172" s="125"/>
      <c r="GMN172" s="125"/>
      <c r="GMO172" s="125"/>
      <c r="GMP172" s="125"/>
      <c r="GMQ172" s="125"/>
      <c r="GMR172" s="125"/>
      <c r="GMS172" s="125"/>
      <c r="GMT172" s="125"/>
      <c r="GMU172" s="125"/>
      <c r="GMV172" s="125"/>
      <c r="GMW172" s="125"/>
      <c r="GMX172" s="125"/>
      <c r="GMY172" s="125"/>
      <c r="GMZ172" s="125"/>
      <c r="GNA172" s="125"/>
      <c r="GNB172" s="125"/>
      <c r="GNC172" s="125"/>
      <c r="GND172" s="125"/>
      <c r="GNE172" s="125"/>
      <c r="GNF172" s="125"/>
      <c r="GNG172" s="125"/>
      <c r="GNH172" s="125"/>
      <c r="GNI172" s="125"/>
      <c r="GNJ172" s="125"/>
      <c r="GNK172" s="125"/>
      <c r="GNL172" s="125"/>
      <c r="GNM172" s="125"/>
      <c r="GNN172" s="125"/>
      <c r="GNO172" s="125"/>
      <c r="GNP172" s="125"/>
      <c r="GNQ172" s="125"/>
      <c r="GNR172" s="125"/>
      <c r="GNS172" s="125"/>
      <c r="GNT172" s="125"/>
      <c r="GNU172" s="125"/>
      <c r="GNV172" s="125"/>
      <c r="GNW172" s="125"/>
      <c r="GNX172" s="125"/>
      <c r="GNY172" s="125"/>
      <c r="GNZ172" s="125"/>
      <c r="GOA172" s="125"/>
      <c r="GOB172" s="125"/>
      <c r="GOC172" s="125"/>
      <c r="GOD172" s="125"/>
      <c r="GOE172" s="125"/>
      <c r="GOF172" s="125"/>
      <c r="GOG172" s="125"/>
      <c r="GOH172" s="125"/>
      <c r="GOI172" s="125"/>
      <c r="GOJ172" s="125"/>
      <c r="GOK172" s="125"/>
      <c r="GOL172" s="125"/>
      <c r="GOM172" s="125"/>
      <c r="GON172" s="125"/>
      <c r="GOO172" s="125"/>
      <c r="GOP172" s="125"/>
      <c r="GOQ172" s="125"/>
      <c r="GOR172" s="125"/>
      <c r="GOS172" s="125"/>
      <c r="GOT172" s="125"/>
      <c r="GOU172" s="125"/>
      <c r="GOV172" s="125"/>
      <c r="GOW172" s="125"/>
      <c r="GOX172" s="125"/>
      <c r="GOY172" s="125"/>
      <c r="GOZ172" s="125"/>
      <c r="GPA172" s="125"/>
      <c r="GPB172" s="125"/>
      <c r="GPC172" s="125"/>
      <c r="GPD172" s="125"/>
      <c r="GPE172" s="125"/>
      <c r="GPF172" s="125"/>
      <c r="GPG172" s="125"/>
      <c r="GPH172" s="125"/>
      <c r="GPI172" s="125"/>
      <c r="GPJ172" s="125"/>
      <c r="GPK172" s="125"/>
      <c r="GPL172" s="125"/>
      <c r="GPM172" s="125"/>
      <c r="GPN172" s="125"/>
      <c r="GPO172" s="125"/>
      <c r="GPP172" s="125"/>
      <c r="GPQ172" s="125"/>
      <c r="GPR172" s="125"/>
      <c r="GPS172" s="125"/>
      <c r="GPT172" s="125"/>
      <c r="GPU172" s="125"/>
      <c r="GPV172" s="125"/>
      <c r="GPW172" s="125"/>
      <c r="GPX172" s="125"/>
      <c r="GPY172" s="125"/>
      <c r="GPZ172" s="125"/>
      <c r="GQA172" s="125"/>
      <c r="GQB172" s="125"/>
      <c r="GQC172" s="125"/>
      <c r="GQD172" s="125"/>
      <c r="GQE172" s="125"/>
      <c r="GQF172" s="125"/>
      <c r="GQG172" s="125"/>
      <c r="GQH172" s="125"/>
      <c r="GQI172" s="125"/>
      <c r="GQJ172" s="125"/>
      <c r="GQK172" s="125"/>
      <c r="GQL172" s="125"/>
      <c r="GQM172" s="125"/>
      <c r="GQN172" s="125"/>
      <c r="GQO172" s="125"/>
      <c r="GQP172" s="125"/>
      <c r="GQQ172" s="125"/>
      <c r="GQR172" s="125"/>
      <c r="GQS172" s="125"/>
      <c r="GQT172" s="125"/>
      <c r="GQU172" s="125"/>
      <c r="GQV172" s="125"/>
      <c r="GQW172" s="125"/>
      <c r="GQX172" s="125"/>
      <c r="GQY172" s="125"/>
      <c r="GQZ172" s="125"/>
      <c r="GRA172" s="125"/>
      <c r="GRB172" s="125"/>
      <c r="GRC172" s="125"/>
      <c r="GRD172" s="125"/>
      <c r="GRE172" s="125"/>
      <c r="GRF172" s="125"/>
      <c r="GRG172" s="125"/>
      <c r="GRH172" s="125"/>
      <c r="GRI172" s="125"/>
      <c r="GRJ172" s="125"/>
      <c r="GRK172" s="125"/>
      <c r="GRL172" s="125"/>
      <c r="GRM172" s="125"/>
      <c r="GRN172" s="125"/>
      <c r="GRO172" s="125"/>
      <c r="GRP172" s="125"/>
      <c r="GRQ172" s="125"/>
      <c r="GRR172" s="125"/>
      <c r="GRS172" s="125"/>
      <c r="GRT172" s="125"/>
      <c r="GRU172" s="125"/>
      <c r="GRV172" s="125"/>
      <c r="GRW172" s="125"/>
      <c r="GRX172" s="125"/>
      <c r="GRY172" s="125"/>
      <c r="GRZ172" s="125"/>
      <c r="GSA172" s="125"/>
      <c r="GSB172" s="125"/>
      <c r="GSC172" s="125"/>
      <c r="GSD172" s="125"/>
      <c r="GSE172" s="125"/>
      <c r="GSF172" s="125"/>
      <c r="GSG172" s="125"/>
      <c r="GSH172" s="125"/>
      <c r="GSI172" s="125"/>
      <c r="GSJ172" s="125"/>
      <c r="GSK172" s="125"/>
      <c r="GSL172" s="125"/>
      <c r="GSM172" s="125"/>
      <c r="GSN172" s="125"/>
      <c r="GSO172" s="125"/>
      <c r="GSP172" s="125"/>
      <c r="GSQ172" s="125"/>
      <c r="GSR172" s="125"/>
      <c r="GSS172" s="125"/>
      <c r="GST172" s="125"/>
      <c r="GSU172" s="125"/>
      <c r="GSV172" s="125"/>
      <c r="GSW172" s="125"/>
      <c r="GSX172" s="125"/>
      <c r="GSY172" s="125"/>
      <c r="GSZ172" s="125"/>
      <c r="GTA172" s="125"/>
      <c r="GTB172" s="125"/>
      <c r="GTC172" s="125"/>
      <c r="GTD172" s="125"/>
      <c r="GTE172" s="125"/>
      <c r="GTF172" s="125"/>
      <c r="GTG172" s="125"/>
      <c r="GTH172" s="125"/>
      <c r="GTI172" s="125"/>
      <c r="GTJ172" s="125"/>
      <c r="GTK172" s="125"/>
      <c r="GTL172" s="125"/>
      <c r="GTM172" s="125"/>
      <c r="GTN172" s="125"/>
      <c r="GTO172" s="125"/>
      <c r="GTP172" s="125"/>
      <c r="GTQ172" s="125"/>
      <c r="GTR172" s="125"/>
      <c r="GTS172" s="125"/>
      <c r="GTT172" s="125"/>
      <c r="GTU172" s="125"/>
      <c r="GTV172" s="125"/>
      <c r="GTW172" s="125"/>
      <c r="GTX172" s="125"/>
      <c r="GTY172" s="125"/>
      <c r="GTZ172" s="125"/>
      <c r="GUA172" s="125"/>
      <c r="GUB172" s="125"/>
      <c r="GUC172" s="125"/>
      <c r="GUD172" s="125"/>
      <c r="GUE172" s="125"/>
      <c r="GUF172" s="125"/>
      <c r="GUG172" s="125"/>
      <c r="GUH172" s="125"/>
      <c r="GUI172" s="125"/>
      <c r="GUJ172" s="125"/>
      <c r="GUK172" s="125"/>
      <c r="GUL172" s="125"/>
      <c r="GUM172" s="125"/>
      <c r="GUN172" s="125"/>
      <c r="GUO172" s="125"/>
      <c r="GUP172" s="125"/>
      <c r="GUQ172" s="125"/>
      <c r="GUR172" s="125"/>
      <c r="GUS172" s="125"/>
      <c r="GUT172" s="125"/>
      <c r="GUU172" s="125"/>
      <c r="GUV172" s="125"/>
      <c r="GUW172" s="125"/>
      <c r="GUX172" s="125"/>
      <c r="GUY172" s="125"/>
      <c r="GUZ172" s="125"/>
      <c r="GVA172" s="125"/>
      <c r="GVB172" s="125"/>
      <c r="GVC172" s="125"/>
      <c r="GVD172" s="125"/>
      <c r="GVE172" s="125"/>
      <c r="GVF172" s="125"/>
      <c r="GVG172" s="125"/>
      <c r="GVH172" s="125"/>
      <c r="GVI172" s="125"/>
      <c r="GVJ172" s="125"/>
      <c r="GVK172" s="125"/>
      <c r="GVL172" s="125"/>
      <c r="GVM172" s="125"/>
      <c r="GVN172" s="125"/>
      <c r="GVO172" s="125"/>
      <c r="GVP172" s="125"/>
      <c r="GVQ172" s="125"/>
      <c r="GVR172" s="125"/>
      <c r="GVS172" s="125"/>
      <c r="GVT172" s="125"/>
      <c r="GVU172" s="125"/>
      <c r="GVV172" s="125"/>
      <c r="GVW172" s="125"/>
      <c r="GVX172" s="125"/>
      <c r="GVY172" s="125"/>
      <c r="GVZ172" s="125"/>
      <c r="GWA172" s="125"/>
      <c r="GWB172" s="125"/>
      <c r="GWC172" s="125"/>
      <c r="GWD172" s="125"/>
      <c r="GWE172" s="125"/>
      <c r="GWF172" s="125"/>
      <c r="GWG172" s="125"/>
      <c r="GWH172" s="125"/>
      <c r="GWI172" s="125"/>
      <c r="GWJ172" s="125"/>
      <c r="GWK172" s="125"/>
      <c r="GWL172" s="125"/>
      <c r="GWM172" s="125"/>
      <c r="GWN172" s="125"/>
      <c r="GWO172" s="125"/>
      <c r="GWP172" s="125"/>
      <c r="GWQ172" s="125"/>
      <c r="GWR172" s="125"/>
      <c r="GWS172" s="125"/>
      <c r="GWT172" s="125"/>
      <c r="GWU172" s="125"/>
      <c r="GWV172" s="125"/>
      <c r="GWW172" s="125"/>
      <c r="GWX172" s="125"/>
      <c r="GWY172" s="125"/>
      <c r="GWZ172" s="125"/>
      <c r="GXA172" s="125"/>
      <c r="GXB172" s="125"/>
      <c r="GXC172" s="125"/>
      <c r="GXD172" s="125"/>
      <c r="GXE172" s="125"/>
      <c r="GXF172" s="125"/>
      <c r="GXG172" s="125"/>
      <c r="GXH172" s="125"/>
      <c r="GXI172" s="125"/>
      <c r="GXJ172" s="125"/>
      <c r="GXK172" s="125"/>
      <c r="GXL172" s="125"/>
      <c r="GXM172" s="125"/>
      <c r="GXN172" s="125"/>
      <c r="GXO172" s="125"/>
      <c r="GXP172" s="125"/>
      <c r="GXQ172" s="125"/>
      <c r="GXR172" s="125"/>
      <c r="GXS172" s="125"/>
      <c r="GXT172" s="125"/>
      <c r="GXU172" s="125"/>
      <c r="GXV172" s="125"/>
      <c r="GXW172" s="125"/>
      <c r="GXX172" s="125"/>
      <c r="GXY172" s="125"/>
      <c r="GXZ172" s="125"/>
      <c r="GYA172" s="125"/>
      <c r="GYB172" s="125"/>
      <c r="GYC172" s="125"/>
      <c r="GYD172" s="125"/>
      <c r="GYE172" s="125"/>
      <c r="GYF172" s="125"/>
      <c r="GYG172" s="125"/>
      <c r="GYH172" s="125"/>
      <c r="GYI172" s="125"/>
      <c r="GYJ172" s="125"/>
      <c r="GYK172" s="125"/>
      <c r="GYL172" s="125"/>
      <c r="GYM172" s="125"/>
      <c r="GYN172" s="125"/>
      <c r="GYO172" s="125"/>
      <c r="GYP172" s="125"/>
      <c r="GYQ172" s="125"/>
      <c r="GYR172" s="125"/>
      <c r="GYS172" s="125"/>
      <c r="GYT172" s="125"/>
      <c r="GYU172" s="125"/>
      <c r="GYV172" s="125"/>
      <c r="GYW172" s="125"/>
      <c r="GYX172" s="125"/>
      <c r="GYY172" s="125"/>
      <c r="GYZ172" s="125"/>
      <c r="GZA172" s="125"/>
      <c r="GZB172" s="125"/>
      <c r="GZC172" s="125"/>
      <c r="GZD172" s="125"/>
      <c r="GZE172" s="125"/>
      <c r="GZF172" s="125"/>
      <c r="GZG172" s="125"/>
      <c r="GZH172" s="125"/>
      <c r="GZI172" s="125"/>
      <c r="GZJ172" s="125"/>
      <c r="GZK172" s="125"/>
      <c r="GZL172" s="125"/>
      <c r="GZM172" s="125"/>
      <c r="GZN172" s="125"/>
      <c r="GZO172" s="125"/>
      <c r="GZP172" s="125"/>
      <c r="GZQ172" s="125"/>
      <c r="GZR172" s="125"/>
      <c r="GZS172" s="125"/>
      <c r="GZT172" s="125"/>
      <c r="GZU172" s="125"/>
      <c r="GZV172" s="125"/>
      <c r="GZW172" s="125"/>
      <c r="GZX172" s="125"/>
      <c r="GZY172" s="125"/>
      <c r="GZZ172" s="125"/>
      <c r="HAA172" s="125"/>
      <c r="HAB172" s="125"/>
      <c r="HAC172" s="125"/>
      <c r="HAD172" s="125"/>
      <c r="HAE172" s="125"/>
      <c r="HAF172" s="125"/>
      <c r="HAG172" s="125"/>
      <c r="HAH172" s="125"/>
      <c r="HAI172" s="125"/>
      <c r="HAJ172" s="125"/>
      <c r="HAK172" s="125"/>
      <c r="HAL172" s="125"/>
      <c r="HAM172" s="125"/>
      <c r="HAN172" s="125"/>
      <c r="HAO172" s="125"/>
      <c r="HAP172" s="125"/>
      <c r="HAQ172" s="125"/>
      <c r="HAR172" s="125"/>
      <c r="HAS172" s="125"/>
      <c r="HAT172" s="125"/>
      <c r="HAU172" s="125"/>
      <c r="HAV172" s="125"/>
      <c r="HAW172" s="125"/>
      <c r="HAX172" s="125"/>
      <c r="HAY172" s="125"/>
      <c r="HAZ172" s="125"/>
      <c r="HBA172" s="125"/>
      <c r="HBB172" s="125"/>
      <c r="HBC172" s="125"/>
      <c r="HBD172" s="125"/>
      <c r="HBE172" s="125"/>
      <c r="HBF172" s="125"/>
      <c r="HBG172" s="125"/>
      <c r="HBH172" s="125"/>
      <c r="HBI172" s="125"/>
      <c r="HBJ172" s="125"/>
      <c r="HBK172" s="125"/>
      <c r="HBL172" s="125"/>
      <c r="HBM172" s="125"/>
      <c r="HBN172" s="125"/>
      <c r="HBO172" s="125"/>
      <c r="HBP172" s="125"/>
      <c r="HBQ172" s="125"/>
      <c r="HBR172" s="125"/>
      <c r="HBS172" s="125"/>
      <c r="HBT172" s="125"/>
      <c r="HBU172" s="125"/>
      <c r="HBV172" s="125"/>
      <c r="HBW172" s="125"/>
      <c r="HBX172" s="125"/>
      <c r="HBY172" s="125"/>
      <c r="HBZ172" s="125"/>
      <c r="HCA172" s="125"/>
      <c r="HCB172" s="125"/>
      <c r="HCC172" s="125"/>
      <c r="HCD172" s="125"/>
      <c r="HCE172" s="125"/>
      <c r="HCF172" s="125"/>
      <c r="HCG172" s="125"/>
      <c r="HCH172" s="125"/>
      <c r="HCI172" s="125"/>
      <c r="HCJ172" s="125"/>
      <c r="HCK172" s="125"/>
      <c r="HCL172" s="125"/>
      <c r="HCM172" s="125"/>
      <c r="HCN172" s="125"/>
      <c r="HCO172" s="125"/>
      <c r="HCP172" s="125"/>
      <c r="HCQ172" s="125"/>
      <c r="HCR172" s="125"/>
      <c r="HCS172" s="125"/>
      <c r="HCT172" s="125"/>
      <c r="HCU172" s="125"/>
      <c r="HCV172" s="125"/>
      <c r="HCW172" s="125"/>
      <c r="HCX172" s="125"/>
      <c r="HCY172" s="125"/>
      <c r="HCZ172" s="125"/>
      <c r="HDA172" s="125"/>
      <c r="HDB172" s="125"/>
      <c r="HDC172" s="125"/>
      <c r="HDD172" s="125"/>
      <c r="HDE172" s="125"/>
      <c r="HDF172" s="125"/>
      <c r="HDG172" s="125"/>
      <c r="HDH172" s="125"/>
      <c r="HDI172" s="125"/>
      <c r="HDJ172" s="125"/>
      <c r="HDK172" s="125"/>
      <c r="HDL172" s="125"/>
      <c r="HDM172" s="125"/>
      <c r="HDN172" s="125"/>
      <c r="HDO172" s="125"/>
      <c r="HDP172" s="125"/>
      <c r="HDQ172" s="125"/>
      <c r="HDR172" s="125"/>
      <c r="HDS172" s="125"/>
      <c r="HDT172" s="125"/>
      <c r="HDU172" s="125"/>
      <c r="HDV172" s="125"/>
      <c r="HDW172" s="125"/>
      <c r="HDX172" s="125"/>
      <c r="HDY172" s="125"/>
      <c r="HDZ172" s="125"/>
      <c r="HEA172" s="125"/>
      <c r="HEB172" s="125"/>
      <c r="HEC172" s="125"/>
      <c r="HED172" s="125"/>
      <c r="HEE172" s="125"/>
      <c r="HEF172" s="125"/>
      <c r="HEG172" s="125"/>
      <c r="HEH172" s="125"/>
      <c r="HEI172" s="125"/>
      <c r="HEJ172" s="125"/>
      <c r="HEK172" s="125"/>
      <c r="HEL172" s="125"/>
      <c r="HEM172" s="125"/>
      <c r="HEN172" s="125"/>
      <c r="HEO172" s="125"/>
      <c r="HEP172" s="125"/>
      <c r="HEQ172" s="125"/>
      <c r="HER172" s="125"/>
      <c r="HES172" s="125"/>
      <c r="HET172" s="125"/>
      <c r="HEU172" s="125"/>
      <c r="HEV172" s="125"/>
      <c r="HEW172" s="125"/>
      <c r="HEX172" s="125"/>
      <c r="HEY172" s="125"/>
      <c r="HEZ172" s="125"/>
      <c r="HFA172" s="125"/>
      <c r="HFB172" s="125"/>
      <c r="HFC172" s="125"/>
      <c r="HFD172" s="125"/>
      <c r="HFE172" s="125"/>
      <c r="HFF172" s="125"/>
      <c r="HFG172" s="125"/>
      <c r="HFH172" s="125"/>
      <c r="HFI172" s="125"/>
      <c r="HFJ172" s="125"/>
      <c r="HFK172" s="125"/>
      <c r="HFL172" s="125"/>
      <c r="HFM172" s="125"/>
      <c r="HFN172" s="125"/>
      <c r="HFO172" s="125"/>
      <c r="HFP172" s="125"/>
      <c r="HFQ172" s="125"/>
      <c r="HFR172" s="125"/>
      <c r="HFS172" s="125"/>
      <c r="HFT172" s="125"/>
      <c r="HFU172" s="125"/>
      <c r="HFV172" s="125"/>
      <c r="HFW172" s="125"/>
      <c r="HFX172" s="125"/>
      <c r="HFY172" s="125"/>
      <c r="HFZ172" s="125"/>
      <c r="HGA172" s="125"/>
      <c r="HGB172" s="125"/>
      <c r="HGC172" s="125"/>
      <c r="HGD172" s="125"/>
      <c r="HGE172" s="125"/>
      <c r="HGF172" s="125"/>
      <c r="HGG172" s="125"/>
      <c r="HGH172" s="125"/>
      <c r="HGI172" s="125"/>
      <c r="HGJ172" s="125"/>
      <c r="HGK172" s="125"/>
      <c r="HGL172" s="125"/>
      <c r="HGM172" s="125"/>
      <c r="HGN172" s="125"/>
      <c r="HGO172" s="125"/>
      <c r="HGP172" s="125"/>
      <c r="HGQ172" s="125"/>
      <c r="HGR172" s="125"/>
      <c r="HGS172" s="125"/>
      <c r="HGT172" s="125"/>
      <c r="HGU172" s="125"/>
      <c r="HGV172" s="125"/>
      <c r="HGW172" s="125"/>
      <c r="HGX172" s="125"/>
      <c r="HGY172" s="125"/>
      <c r="HGZ172" s="125"/>
      <c r="HHA172" s="125"/>
      <c r="HHB172" s="125"/>
      <c r="HHC172" s="125"/>
      <c r="HHD172" s="125"/>
      <c r="HHE172" s="125"/>
      <c r="HHF172" s="125"/>
      <c r="HHG172" s="125"/>
      <c r="HHH172" s="125"/>
      <c r="HHI172" s="125"/>
      <c r="HHJ172" s="125"/>
      <c r="HHK172" s="125"/>
      <c r="HHL172" s="125"/>
      <c r="HHM172" s="125"/>
      <c r="HHN172" s="125"/>
      <c r="HHO172" s="125"/>
      <c r="HHP172" s="125"/>
      <c r="HHQ172" s="125"/>
      <c r="HHR172" s="125"/>
      <c r="HHS172" s="125"/>
      <c r="HHT172" s="125"/>
      <c r="HHU172" s="125"/>
      <c r="HHV172" s="125"/>
      <c r="HHW172" s="125"/>
      <c r="HHX172" s="125"/>
      <c r="HHY172" s="125"/>
      <c r="HHZ172" s="125"/>
      <c r="HIA172" s="125"/>
      <c r="HIB172" s="125"/>
      <c r="HIC172" s="125"/>
      <c r="HID172" s="125"/>
      <c r="HIE172" s="125"/>
      <c r="HIF172" s="125"/>
      <c r="HIG172" s="125"/>
      <c r="HIH172" s="125"/>
      <c r="HII172" s="125"/>
      <c r="HIJ172" s="125"/>
      <c r="HIK172" s="125"/>
      <c r="HIL172" s="125"/>
      <c r="HIM172" s="125"/>
      <c r="HIN172" s="125"/>
      <c r="HIO172" s="125"/>
      <c r="HIP172" s="125"/>
      <c r="HIQ172" s="125"/>
      <c r="HIR172" s="125"/>
      <c r="HIS172" s="125"/>
      <c r="HIT172" s="125"/>
      <c r="HIU172" s="125"/>
      <c r="HIV172" s="125"/>
      <c r="HIW172" s="125"/>
      <c r="HIX172" s="125"/>
      <c r="HIY172" s="125"/>
      <c r="HIZ172" s="125"/>
      <c r="HJA172" s="125"/>
      <c r="HJB172" s="125"/>
      <c r="HJC172" s="125"/>
      <c r="HJD172" s="125"/>
      <c r="HJE172" s="125"/>
      <c r="HJF172" s="125"/>
      <c r="HJG172" s="125"/>
      <c r="HJH172" s="125"/>
      <c r="HJI172" s="125"/>
      <c r="HJJ172" s="125"/>
      <c r="HJK172" s="125"/>
      <c r="HJL172" s="125"/>
      <c r="HJM172" s="125"/>
      <c r="HJN172" s="125"/>
      <c r="HJO172" s="125"/>
      <c r="HJP172" s="125"/>
      <c r="HJQ172" s="125"/>
      <c r="HJR172" s="125"/>
      <c r="HJS172" s="125"/>
      <c r="HJT172" s="125"/>
      <c r="HJU172" s="125"/>
      <c r="HJV172" s="125"/>
      <c r="HJW172" s="125"/>
      <c r="HJX172" s="125"/>
      <c r="HJY172" s="125"/>
      <c r="HJZ172" s="125"/>
      <c r="HKA172" s="125"/>
      <c r="HKB172" s="125"/>
      <c r="HKC172" s="125"/>
      <c r="HKD172" s="125"/>
      <c r="HKE172" s="125"/>
      <c r="HKF172" s="125"/>
      <c r="HKG172" s="125"/>
      <c r="HKH172" s="125"/>
      <c r="HKI172" s="125"/>
      <c r="HKJ172" s="125"/>
      <c r="HKK172" s="125"/>
      <c r="HKL172" s="125"/>
      <c r="HKM172" s="125"/>
      <c r="HKN172" s="125"/>
      <c r="HKO172" s="125"/>
      <c r="HKP172" s="125"/>
      <c r="HKQ172" s="125"/>
      <c r="HKR172" s="125"/>
      <c r="HKS172" s="125"/>
      <c r="HKT172" s="125"/>
      <c r="HKU172" s="125"/>
      <c r="HKV172" s="125"/>
      <c r="HKW172" s="125"/>
      <c r="HKX172" s="125"/>
      <c r="HKY172" s="125"/>
      <c r="HKZ172" s="125"/>
      <c r="HLA172" s="125"/>
      <c r="HLB172" s="125"/>
      <c r="HLC172" s="125"/>
      <c r="HLD172" s="125"/>
      <c r="HLE172" s="125"/>
      <c r="HLF172" s="125"/>
      <c r="HLG172" s="125"/>
      <c r="HLH172" s="125"/>
      <c r="HLI172" s="125"/>
      <c r="HLJ172" s="125"/>
      <c r="HLK172" s="125"/>
      <c r="HLL172" s="125"/>
      <c r="HLM172" s="125"/>
      <c r="HLN172" s="125"/>
      <c r="HLO172" s="125"/>
      <c r="HLP172" s="125"/>
      <c r="HLQ172" s="125"/>
      <c r="HLR172" s="125"/>
      <c r="HLS172" s="125"/>
      <c r="HLT172" s="125"/>
      <c r="HLU172" s="125"/>
      <c r="HLV172" s="125"/>
      <c r="HLW172" s="125"/>
      <c r="HLX172" s="125"/>
      <c r="HLY172" s="125"/>
      <c r="HLZ172" s="125"/>
      <c r="HMA172" s="125"/>
      <c r="HMB172" s="125"/>
      <c r="HMC172" s="125"/>
      <c r="HMD172" s="125"/>
      <c r="HME172" s="125"/>
      <c r="HMF172" s="125"/>
      <c r="HMG172" s="125"/>
      <c r="HMH172" s="125"/>
      <c r="HMI172" s="125"/>
      <c r="HMJ172" s="125"/>
      <c r="HMK172" s="125"/>
      <c r="HML172" s="125"/>
      <c r="HMM172" s="125"/>
      <c r="HMN172" s="125"/>
      <c r="HMO172" s="125"/>
      <c r="HMP172" s="125"/>
      <c r="HMQ172" s="125"/>
      <c r="HMR172" s="125"/>
      <c r="HMS172" s="125"/>
      <c r="HMT172" s="125"/>
      <c r="HMU172" s="125"/>
      <c r="HMV172" s="125"/>
      <c r="HMW172" s="125"/>
      <c r="HMX172" s="125"/>
      <c r="HMY172" s="125"/>
      <c r="HMZ172" s="125"/>
      <c r="HNA172" s="125"/>
      <c r="HNB172" s="125"/>
      <c r="HNC172" s="125"/>
      <c r="HND172" s="125"/>
      <c r="HNE172" s="125"/>
      <c r="HNF172" s="125"/>
      <c r="HNG172" s="125"/>
      <c r="HNH172" s="125"/>
      <c r="HNI172" s="125"/>
      <c r="HNJ172" s="125"/>
      <c r="HNK172" s="125"/>
      <c r="HNL172" s="125"/>
      <c r="HNM172" s="125"/>
      <c r="HNN172" s="125"/>
      <c r="HNO172" s="125"/>
      <c r="HNP172" s="125"/>
      <c r="HNQ172" s="125"/>
      <c r="HNR172" s="125"/>
      <c r="HNS172" s="125"/>
      <c r="HNT172" s="125"/>
      <c r="HNU172" s="125"/>
      <c r="HNV172" s="125"/>
      <c r="HNW172" s="125"/>
      <c r="HNX172" s="125"/>
      <c r="HNY172" s="125"/>
      <c r="HNZ172" s="125"/>
      <c r="HOA172" s="125"/>
      <c r="HOB172" s="125"/>
      <c r="HOC172" s="125"/>
      <c r="HOD172" s="125"/>
      <c r="HOE172" s="125"/>
      <c r="HOF172" s="125"/>
      <c r="HOG172" s="125"/>
      <c r="HOH172" s="125"/>
      <c r="HOI172" s="125"/>
      <c r="HOJ172" s="125"/>
      <c r="HOK172" s="125"/>
      <c r="HOL172" s="125"/>
      <c r="HOM172" s="125"/>
      <c r="HON172" s="125"/>
      <c r="HOO172" s="125"/>
      <c r="HOP172" s="125"/>
      <c r="HOQ172" s="125"/>
      <c r="HOR172" s="125"/>
      <c r="HOS172" s="125"/>
      <c r="HOT172" s="125"/>
      <c r="HOU172" s="125"/>
      <c r="HOV172" s="125"/>
      <c r="HOW172" s="125"/>
      <c r="HOX172" s="125"/>
      <c r="HOY172" s="125"/>
      <c r="HOZ172" s="125"/>
      <c r="HPA172" s="125"/>
      <c r="HPB172" s="125"/>
      <c r="HPC172" s="125"/>
      <c r="HPD172" s="125"/>
      <c r="HPE172" s="125"/>
      <c r="HPF172" s="125"/>
      <c r="HPG172" s="125"/>
      <c r="HPH172" s="125"/>
      <c r="HPI172" s="125"/>
      <c r="HPJ172" s="125"/>
      <c r="HPK172" s="125"/>
      <c r="HPL172" s="125"/>
      <c r="HPM172" s="125"/>
      <c r="HPN172" s="125"/>
      <c r="HPO172" s="125"/>
      <c r="HPP172" s="125"/>
      <c r="HPQ172" s="125"/>
      <c r="HPR172" s="125"/>
      <c r="HPS172" s="125"/>
      <c r="HPT172" s="125"/>
      <c r="HPU172" s="125"/>
      <c r="HPV172" s="125"/>
      <c r="HPW172" s="125"/>
      <c r="HPX172" s="125"/>
      <c r="HPY172" s="125"/>
      <c r="HPZ172" s="125"/>
      <c r="HQA172" s="125"/>
      <c r="HQB172" s="125"/>
      <c r="HQC172" s="125"/>
      <c r="HQD172" s="125"/>
      <c r="HQE172" s="125"/>
      <c r="HQF172" s="125"/>
      <c r="HQG172" s="125"/>
      <c r="HQH172" s="125"/>
      <c r="HQI172" s="125"/>
      <c r="HQJ172" s="125"/>
      <c r="HQK172" s="125"/>
      <c r="HQL172" s="125"/>
      <c r="HQM172" s="125"/>
      <c r="HQN172" s="125"/>
      <c r="HQO172" s="125"/>
      <c r="HQP172" s="125"/>
      <c r="HQQ172" s="125"/>
      <c r="HQR172" s="125"/>
      <c r="HQS172" s="125"/>
      <c r="HQT172" s="125"/>
      <c r="HQU172" s="125"/>
      <c r="HQV172" s="125"/>
      <c r="HQW172" s="125"/>
      <c r="HQX172" s="125"/>
      <c r="HQY172" s="125"/>
      <c r="HQZ172" s="125"/>
      <c r="HRA172" s="125"/>
      <c r="HRB172" s="125"/>
      <c r="HRC172" s="125"/>
      <c r="HRD172" s="125"/>
      <c r="HRE172" s="125"/>
      <c r="HRF172" s="125"/>
      <c r="HRG172" s="125"/>
      <c r="HRH172" s="125"/>
      <c r="HRI172" s="125"/>
      <c r="HRJ172" s="125"/>
      <c r="HRK172" s="125"/>
      <c r="HRL172" s="125"/>
      <c r="HRM172" s="125"/>
      <c r="HRN172" s="125"/>
      <c r="HRO172" s="125"/>
      <c r="HRP172" s="125"/>
      <c r="HRQ172" s="125"/>
      <c r="HRR172" s="125"/>
      <c r="HRS172" s="125"/>
      <c r="HRT172" s="125"/>
      <c r="HRU172" s="125"/>
      <c r="HRV172" s="125"/>
      <c r="HRW172" s="125"/>
      <c r="HRX172" s="125"/>
      <c r="HRY172" s="125"/>
      <c r="HRZ172" s="125"/>
      <c r="HSA172" s="125"/>
      <c r="HSB172" s="125"/>
      <c r="HSC172" s="125"/>
      <c r="HSD172" s="125"/>
      <c r="HSE172" s="125"/>
      <c r="HSF172" s="125"/>
      <c r="HSG172" s="125"/>
      <c r="HSH172" s="125"/>
      <c r="HSI172" s="125"/>
      <c r="HSJ172" s="125"/>
      <c r="HSK172" s="125"/>
      <c r="HSL172" s="125"/>
      <c r="HSM172" s="125"/>
      <c r="HSN172" s="125"/>
      <c r="HSO172" s="125"/>
      <c r="HSP172" s="125"/>
      <c r="HSQ172" s="125"/>
      <c r="HSR172" s="125"/>
      <c r="HSS172" s="125"/>
      <c r="HST172" s="125"/>
      <c r="HSU172" s="125"/>
      <c r="HSV172" s="125"/>
      <c r="HSW172" s="125"/>
      <c r="HSX172" s="125"/>
      <c r="HSY172" s="125"/>
      <c r="HSZ172" s="125"/>
      <c r="HTA172" s="125"/>
      <c r="HTB172" s="125"/>
      <c r="HTC172" s="125"/>
      <c r="HTD172" s="125"/>
      <c r="HTE172" s="125"/>
      <c r="HTF172" s="125"/>
      <c r="HTG172" s="125"/>
      <c r="HTH172" s="125"/>
      <c r="HTI172" s="125"/>
      <c r="HTJ172" s="125"/>
      <c r="HTK172" s="125"/>
      <c r="HTL172" s="125"/>
      <c r="HTM172" s="125"/>
      <c r="HTN172" s="125"/>
      <c r="HTO172" s="125"/>
      <c r="HTP172" s="125"/>
      <c r="HTQ172" s="125"/>
      <c r="HTR172" s="125"/>
      <c r="HTS172" s="125"/>
      <c r="HTT172" s="125"/>
      <c r="HTU172" s="125"/>
      <c r="HTV172" s="125"/>
      <c r="HTW172" s="125"/>
      <c r="HTX172" s="125"/>
      <c r="HTY172" s="125"/>
      <c r="HTZ172" s="125"/>
      <c r="HUA172" s="125"/>
      <c r="HUB172" s="125"/>
      <c r="HUC172" s="125"/>
      <c r="HUD172" s="125"/>
      <c r="HUE172" s="125"/>
      <c r="HUF172" s="125"/>
      <c r="HUG172" s="125"/>
      <c r="HUH172" s="125"/>
      <c r="HUI172" s="125"/>
      <c r="HUJ172" s="125"/>
      <c r="HUK172" s="125"/>
      <c r="HUL172" s="125"/>
      <c r="HUM172" s="125"/>
      <c r="HUN172" s="125"/>
      <c r="HUO172" s="125"/>
      <c r="HUP172" s="125"/>
      <c r="HUQ172" s="125"/>
      <c r="HUR172" s="125"/>
      <c r="HUS172" s="125"/>
      <c r="HUT172" s="125"/>
      <c r="HUU172" s="125"/>
      <c r="HUV172" s="125"/>
      <c r="HUW172" s="125"/>
      <c r="HUX172" s="125"/>
      <c r="HUY172" s="125"/>
      <c r="HUZ172" s="125"/>
      <c r="HVA172" s="125"/>
      <c r="HVB172" s="125"/>
      <c r="HVC172" s="125"/>
      <c r="HVD172" s="125"/>
      <c r="HVE172" s="125"/>
      <c r="HVF172" s="125"/>
      <c r="HVG172" s="125"/>
      <c r="HVH172" s="125"/>
      <c r="HVI172" s="125"/>
      <c r="HVJ172" s="125"/>
      <c r="HVK172" s="125"/>
      <c r="HVL172" s="125"/>
      <c r="HVM172" s="125"/>
      <c r="HVN172" s="125"/>
      <c r="HVO172" s="125"/>
      <c r="HVP172" s="125"/>
      <c r="HVQ172" s="125"/>
      <c r="HVR172" s="125"/>
      <c r="HVS172" s="125"/>
      <c r="HVT172" s="125"/>
      <c r="HVU172" s="125"/>
      <c r="HVV172" s="125"/>
      <c r="HVW172" s="125"/>
      <c r="HVX172" s="125"/>
      <c r="HVY172" s="125"/>
      <c r="HVZ172" s="125"/>
      <c r="HWA172" s="125"/>
      <c r="HWB172" s="125"/>
      <c r="HWC172" s="125"/>
      <c r="HWD172" s="125"/>
      <c r="HWE172" s="125"/>
      <c r="HWF172" s="125"/>
      <c r="HWG172" s="125"/>
      <c r="HWH172" s="125"/>
      <c r="HWI172" s="125"/>
      <c r="HWJ172" s="125"/>
      <c r="HWK172" s="125"/>
      <c r="HWL172" s="125"/>
      <c r="HWM172" s="125"/>
      <c r="HWN172" s="125"/>
      <c r="HWO172" s="125"/>
      <c r="HWP172" s="125"/>
      <c r="HWQ172" s="125"/>
      <c r="HWR172" s="125"/>
      <c r="HWS172" s="125"/>
      <c r="HWT172" s="125"/>
      <c r="HWU172" s="125"/>
      <c r="HWV172" s="125"/>
      <c r="HWW172" s="125"/>
      <c r="HWX172" s="125"/>
      <c r="HWY172" s="125"/>
      <c r="HWZ172" s="125"/>
      <c r="HXA172" s="125"/>
      <c r="HXB172" s="125"/>
      <c r="HXC172" s="125"/>
      <c r="HXD172" s="125"/>
      <c r="HXE172" s="125"/>
      <c r="HXF172" s="125"/>
      <c r="HXG172" s="125"/>
      <c r="HXH172" s="125"/>
      <c r="HXI172" s="125"/>
      <c r="HXJ172" s="125"/>
      <c r="HXK172" s="125"/>
      <c r="HXL172" s="125"/>
      <c r="HXM172" s="125"/>
      <c r="HXN172" s="125"/>
      <c r="HXO172" s="125"/>
      <c r="HXP172" s="125"/>
      <c r="HXQ172" s="125"/>
      <c r="HXR172" s="125"/>
      <c r="HXS172" s="125"/>
      <c r="HXT172" s="125"/>
      <c r="HXU172" s="125"/>
      <c r="HXV172" s="125"/>
      <c r="HXW172" s="125"/>
      <c r="HXX172" s="125"/>
      <c r="HXY172" s="125"/>
      <c r="HXZ172" s="125"/>
      <c r="HYA172" s="125"/>
      <c r="HYB172" s="125"/>
      <c r="HYC172" s="125"/>
      <c r="HYD172" s="125"/>
      <c r="HYE172" s="125"/>
      <c r="HYF172" s="125"/>
      <c r="HYG172" s="125"/>
      <c r="HYH172" s="125"/>
      <c r="HYI172" s="125"/>
      <c r="HYJ172" s="125"/>
      <c r="HYK172" s="125"/>
      <c r="HYL172" s="125"/>
      <c r="HYM172" s="125"/>
      <c r="HYN172" s="125"/>
      <c r="HYO172" s="125"/>
      <c r="HYP172" s="125"/>
      <c r="HYQ172" s="125"/>
      <c r="HYR172" s="125"/>
      <c r="HYS172" s="125"/>
      <c r="HYT172" s="125"/>
      <c r="HYU172" s="125"/>
      <c r="HYV172" s="125"/>
      <c r="HYW172" s="125"/>
      <c r="HYX172" s="125"/>
      <c r="HYY172" s="125"/>
      <c r="HYZ172" s="125"/>
      <c r="HZA172" s="125"/>
      <c r="HZB172" s="125"/>
      <c r="HZC172" s="125"/>
      <c r="HZD172" s="125"/>
      <c r="HZE172" s="125"/>
      <c r="HZF172" s="125"/>
      <c r="HZG172" s="125"/>
      <c r="HZH172" s="125"/>
      <c r="HZI172" s="125"/>
      <c r="HZJ172" s="125"/>
      <c r="HZK172" s="125"/>
      <c r="HZL172" s="125"/>
      <c r="HZM172" s="125"/>
      <c r="HZN172" s="125"/>
      <c r="HZO172" s="125"/>
      <c r="HZP172" s="125"/>
      <c r="HZQ172" s="125"/>
      <c r="HZR172" s="125"/>
      <c r="HZS172" s="125"/>
      <c r="HZT172" s="125"/>
      <c r="HZU172" s="125"/>
      <c r="HZV172" s="125"/>
      <c r="HZW172" s="125"/>
      <c r="HZX172" s="125"/>
      <c r="HZY172" s="125"/>
      <c r="HZZ172" s="125"/>
      <c r="IAA172" s="125"/>
      <c r="IAB172" s="125"/>
      <c r="IAC172" s="125"/>
      <c r="IAD172" s="125"/>
      <c r="IAE172" s="125"/>
      <c r="IAF172" s="125"/>
      <c r="IAG172" s="125"/>
      <c r="IAH172" s="125"/>
      <c r="IAI172" s="125"/>
      <c r="IAJ172" s="125"/>
      <c r="IAK172" s="125"/>
      <c r="IAL172" s="125"/>
      <c r="IAM172" s="125"/>
      <c r="IAN172" s="125"/>
      <c r="IAO172" s="125"/>
      <c r="IAP172" s="125"/>
      <c r="IAQ172" s="125"/>
      <c r="IAR172" s="125"/>
      <c r="IAS172" s="125"/>
      <c r="IAT172" s="125"/>
      <c r="IAU172" s="125"/>
      <c r="IAV172" s="125"/>
      <c r="IAW172" s="125"/>
      <c r="IAX172" s="125"/>
      <c r="IAY172" s="125"/>
      <c r="IAZ172" s="125"/>
      <c r="IBA172" s="125"/>
      <c r="IBB172" s="125"/>
      <c r="IBC172" s="125"/>
      <c r="IBD172" s="125"/>
      <c r="IBE172" s="125"/>
      <c r="IBF172" s="125"/>
      <c r="IBG172" s="125"/>
      <c r="IBH172" s="125"/>
      <c r="IBI172" s="125"/>
      <c r="IBJ172" s="125"/>
      <c r="IBK172" s="125"/>
      <c r="IBL172" s="125"/>
      <c r="IBM172" s="125"/>
      <c r="IBN172" s="125"/>
      <c r="IBO172" s="125"/>
      <c r="IBP172" s="125"/>
      <c r="IBQ172" s="125"/>
      <c r="IBR172" s="125"/>
      <c r="IBS172" s="125"/>
      <c r="IBT172" s="125"/>
      <c r="IBU172" s="125"/>
      <c r="IBV172" s="125"/>
      <c r="IBW172" s="125"/>
      <c r="IBX172" s="125"/>
      <c r="IBY172" s="125"/>
      <c r="IBZ172" s="125"/>
      <c r="ICA172" s="125"/>
      <c r="ICB172" s="125"/>
      <c r="ICC172" s="125"/>
      <c r="ICD172" s="125"/>
      <c r="ICE172" s="125"/>
      <c r="ICF172" s="125"/>
      <c r="ICG172" s="125"/>
      <c r="ICH172" s="125"/>
      <c r="ICI172" s="125"/>
      <c r="ICJ172" s="125"/>
      <c r="ICK172" s="125"/>
      <c r="ICL172" s="125"/>
      <c r="ICM172" s="125"/>
      <c r="ICN172" s="125"/>
      <c r="ICO172" s="125"/>
      <c r="ICP172" s="125"/>
      <c r="ICQ172" s="125"/>
      <c r="ICR172" s="125"/>
      <c r="ICS172" s="125"/>
      <c r="ICT172" s="125"/>
      <c r="ICU172" s="125"/>
      <c r="ICV172" s="125"/>
      <c r="ICW172" s="125"/>
      <c r="ICX172" s="125"/>
      <c r="ICY172" s="125"/>
      <c r="ICZ172" s="125"/>
      <c r="IDA172" s="125"/>
      <c r="IDB172" s="125"/>
      <c r="IDC172" s="125"/>
      <c r="IDD172" s="125"/>
      <c r="IDE172" s="125"/>
      <c r="IDF172" s="125"/>
      <c r="IDG172" s="125"/>
      <c r="IDH172" s="125"/>
      <c r="IDI172" s="125"/>
      <c r="IDJ172" s="125"/>
      <c r="IDK172" s="125"/>
      <c r="IDL172" s="125"/>
      <c r="IDM172" s="125"/>
      <c r="IDN172" s="125"/>
      <c r="IDO172" s="125"/>
      <c r="IDP172" s="125"/>
      <c r="IDQ172" s="125"/>
      <c r="IDR172" s="125"/>
      <c r="IDS172" s="125"/>
      <c r="IDT172" s="125"/>
      <c r="IDU172" s="125"/>
      <c r="IDV172" s="125"/>
      <c r="IDW172" s="125"/>
      <c r="IDX172" s="125"/>
      <c r="IDY172" s="125"/>
      <c r="IDZ172" s="125"/>
      <c r="IEA172" s="125"/>
      <c r="IEB172" s="125"/>
      <c r="IEC172" s="125"/>
      <c r="IED172" s="125"/>
      <c r="IEE172" s="125"/>
      <c r="IEF172" s="125"/>
      <c r="IEG172" s="125"/>
      <c r="IEH172" s="125"/>
      <c r="IEI172" s="125"/>
      <c r="IEJ172" s="125"/>
      <c r="IEK172" s="125"/>
      <c r="IEL172" s="125"/>
      <c r="IEM172" s="125"/>
      <c r="IEN172" s="125"/>
      <c r="IEO172" s="125"/>
      <c r="IEP172" s="125"/>
      <c r="IEQ172" s="125"/>
      <c r="IER172" s="125"/>
      <c r="IES172" s="125"/>
      <c r="IET172" s="125"/>
      <c r="IEU172" s="125"/>
      <c r="IEV172" s="125"/>
      <c r="IEW172" s="125"/>
      <c r="IEX172" s="125"/>
      <c r="IEY172" s="125"/>
      <c r="IEZ172" s="125"/>
      <c r="IFA172" s="125"/>
      <c r="IFB172" s="125"/>
      <c r="IFC172" s="125"/>
      <c r="IFD172" s="125"/>
      <c r="IFE172" s="125"/>
      <c r="IFF172" s="125"/>
      <c r="IFG172" s="125"/>
      <c r="IFH172" s="125"/>
      <c r="IFI172" s="125"/>
      <c r="IFJ172" s="125"/>
      <c r="IFK172" s="125"/>
      <c r="IFL172" s="125"/>
      <c r="IFM172" s="125"/>
      <c r="IFN172" s="125"/>
      <c r="IFO172" s="125"/>
      <c r="IFP172" s="125"/>
      <c r="IFQ172" s="125"/>
      <c r="IFR172" s="125"/>
      <c r="IFS172" s="125"/>
      <c r="IFT172" s="125"/>
      <c r="IFU172" s="125"/>
      <c r="IFV172" s="125"/>
      <c r="IFW172" s="125"/>
      <c r="IFX172" s="125"/>
      <c r="IFY172" s="125"/>
      <c r="IFZ172" s="125"/>
      <c r="IGA172" s="125"/>
      <c r="IGB172" s="125"/>
      <c r="IGC172" s="125"/>
      <c r="IGD172" s="125"/>
      <c r="IGE172" s="125"/>
      <c r="IGF172" s="125"/>
      <c r="IGG172" s="125"/>
      <c r="IGH172" s="125"/>
      <c r="IGI172" s="125"/>
      <c r="IGJ172" s="125"/>
      <c r="IGK172" s="125"/>
      <c r="IGL172" s="125"/>
      <c r="IGM172" s="125"/>
      <c r="IGN172" s="125"/>
      <c r="IGO172" s="125"/>
      <c r="IGP172" s="125"/>
      <c r="IGQ172" s="125"/>
      <c r="IGR172" s="125"/>
      <c r="IGS172" s="125"/>
      <c r="IGT172" s="125"/>
      <c r="IGU172" s="125"/>
      <c r="IGV172" s="125"/>
      <c r="IGW172" s="125"/>
      <c r="IGX172" s="125"/>
      <c r="IGY172" s="125"/>
      <c r="IGZ172" s="125"/>
      <c r="IHA172" s="125"/>
      <c r="IHB172" s="125"/>
      <c r="IHC172" s="125"/>
      <c r="IHD172" s="125"/>
      <c r="IHE172" s="125"/>
      <c r="IHF172" s="125"/>
      <c r="IHG172" s="125"/>
      <c r="IHH172" s="125"/>
      <c r="IHI172" s="125"/>
      <c r="IHJ172" s="125"/>
      <c r="IHK172" s="125"/>
      <c r="IHL172" s="125"/>
      <c r="IHM172" s="125"/>
      <c r="IHN172" s="125"/>
      <c r="IHO172" s="125"/>
      <c r="IHP172" s="125"/>
      <c r="IHQ172" s="125"/>
      <c r="IHR172" s="125"/>
      <c r="IHS172" s="125"/>
      <c r="IHT172" s="125"/>
      <c r="IHU172" s="125"/>
      <c r="IHV172" s="125"/>
      <c r="IHW172" s="125"/>
      <c r="IHX172" s="125"/>
      <c r="IHY172" s="125"/>
      <c r="IHZ172" s="125"/>
      <c r="IIA172" s="125"/>
      <c r="IIB172" s="125"/>
      <c r="IIC172" s="125"/>
      <c r="IID172" s="125"/>
      <c r="IIE172" s="125"/>
      <c r="IIF172" s="125"/>
      <c r="IIG172" s="125"/>
      <c r="IIH172" s="125"/>
      <c r="III172" s="125"/>
      <c r="IIJ172" s="125"/>
      <c r="IIK172" s="125"/>
      <c r="IIL172" s="125"/>
      <c r="IIM172" s="125"/>
      <c r="IIN172" s="125"/>
      <c r="IIO172" s="125"/>
      <c r="IIP172" s="125"/>
      <c r="IIQ172" s="125"/>
      <c r="IIR172" s="125"/>
      <c r="IIS172" s="125"/>
      <c r="IIT172" s="125"/>
      <c r="IIU172" s="125"/>
      <c r="IIV172" s="125"/>
      <c r="IIW172" s="125"/>
      <c r="IIX172" s="125"/>
      <c r="IIY172" s="125"/>
      <c r="IIZ172" s="125"/>
      <c r="IJA172" s="125"/>
      <c r="IJB172" s="125"/>
      <c r="IJC172" s="125"/>
      <c r="IJD172" s="125"/>
      <c r="IJE172" s="125"/>
      <c r="IJF172" s="125"/>
      <c r="IJG172" s="125"/>
      <c r="IJH172" s="125"/>
      <c r="IJI172" s="125"/>
      <c r="IJJ172" s="125"/>
      <c r="IJK172" s="125"/>
      <c r="IJL172" s="125"/>
      <c r="IJM172" s="125"/>
      <c r="IJN172" s="125"/>
      <c r="IJO172" s="125"/>
      <c r="IJP172" s="125"/>
      <c r="IJQ172" s="125"/>
      <c r="IJR172" s="125"/>
      <c r="IJS172" s="125"/>
      <c r="IJT172" s="125"/>
      <c r="IJU172" s="125"/>
      <c r="IJV172" s="125"/>
      <c r="IJW172" s="125"/>
      <c r="IJX172" s="125"/>
      <c r="IJY172" s="125"/>
      <c r="IJZ172" s="125"/>
      <c r="IKA172" s="125"/>
      <c r="IKB172" s="125"/>
      <c r="IKC172" s="125"/>
      <c r="IKD172" s="125"/>
      <c r="IKE172" s="125"/>
      <c r="IKF172" s="125"/>
      <c r="IKG172" s="125"/>
      <c r="IKH172" s="125"/>
      <c r="IKI172" s="125"/>
      <c r="IKJ172" s="125"/>
      <c r="IKK172" s="125"/>
      <c r="IKL172" s="125"/>
      <c r="IKM172" s="125"/>
      <c r="IKN172" s="125"/>
      <c r="IKO172" s="125"/>
      <c r="IKP172" s="125"/>
      <c r="IKQ172" s="125"/>
      <c r="IKR172" s="125"/>
      <c r="IKS172" s="125"/>
      <c r="IKT172" s="125"/>
      <c r="IKU172" s="125"/>
      <c r="IKV172" s="125"/>
      <c r="IKW172" s="125"/>
      <c r="IKX172" s="125"/>
      <c r="IKY172" s="125"/>
      <c r="IKZ172" s="125"/>
      <c r="ILA172" s="125"/>
      <c r="ILB172" s="125"/>
      <c r="ILC172" s="125"/>
      <c r="ILD172" s="125"/>
      <c r="ILE172" s="125"/>
      <c r="ILF172" s="125"/>
      <c r="ILG172" s="125"/>
      <c r="ILH172" s="125"/>
      <c r="ILI172" s="125"/>
      <c r="ILJ172" s="125"/>
      <c r="ILK172" s="125"/>
      <c r="ILL172" s="125"/>
      <c r="ILM172" s="125"/>
      <c r="ILN172" s="125"/>
      <c r="ILO172" s="125"/>
      <c r="ILP172" s="125"/>
      <c r="ILQ172" s="125"/>
      <c r="ILR172" s="125"/>
      <c r="ILS172" s="125"/>
      <c r="ILT172" s="125"/>
      <c r="ILU172" s="125"/>
      <c r="ILV172" s="125"/>
      <c r="ILW172" s="125"/>
      <c r="ILX172" s="125"/>
      <c r="ILY172" s="125"/>
      <c r="ILZ172" s="125"/>
      <c r="IMA172" s="125"/>
      <c r="IMB172" s="125"/>
      <c r="IMC172" s="125"/>
      <c r="IMD172" s="125"/>
      <c r="IME172" s="125"/>
      <c r="IMF172" s="125"/>
      <c r="IMG172" s="125"/>
      <c r="IMH172" s="125"/>
      <c r="IMI172" s="125"/>
      <c r="IMJ172" s="125"/>
      <c r="IMK172" s="125"/>
      <c r="IML172" s="125"/>
      <c r="IMM172" s="125"/>
      <c r="IMN172" s="125"/>
      <c r="IMO172" s="125"/>
      <c r="IMP172" s="125"/>
      <c r="IMQ172" s="125"/>
      <c r="IMR172" s="125"/>
      <c r="IMS172" s="125"/>
      <c r="IMT172" s="125"/>
      <c r="IMU172" s="125"/>
      <c r="IMV172" s="125"/>
      <c r="IMW172" s="125"/>
      <c r="IMX172" s="125"/>
      <c r="IMY172" s="125"/>
      <c r="IMZ172" s="125"/>
      <c r="INA172" s="125"/>
      <c r="INB172" s="125"/>
      <c r="INC172" s="125"/>
      <c r="IND172" s="125"/>
      <c r="INE172" s="125"/>
      <c r="INF172" s="125"/>
      <c r="ING172" s="125"/>
      <c r="INH172" s="125"/>
      <c r="INI172" s="125"/>
      <c r="INJ172" s="125"/>
      <c r="INK172" s="125"/>
      <c r="INL172" s="125"/>
      <c r="INM172" s="125"/>
      <c r="INN172" s="125"/>
      <c r="INO172" s="125"/>
      <c r="INP172" s="125"/>
      <c r="INQ172" s="125"/>
      <c r="INR172" s="125"/>
      <c r="INS172" s="125"/>
      <c r="INT172" s="125"/>
      <c r="INU172" s="125"/>
      <c r="INV172" s="125"/>
      <c r="INW172" s="125"/>
      <c r="INX172" s="125"/>
      <c r="INY172" s="125"/>
      <c r="INZ172" s="125"/>
      <c r="IOA172" s="125"/>
      <c r="IOB172" s="125"/>
      <c r="IOC172" s="125"/>
      <c r="IOD172" s="125"/>
      <c r="IOE172" s="125"/>
      <c r="IOF172" s="125"/>
      <c r="IOG172" s="125"/>
      <c r="IOH172" s="125"/>
      <c r="IOI172" s="125"/>
      <c r="IOJ172" s="125"/>
      <c r="IOK172" s="125"/>
      <c r="IOL172" s="125"/>
      <c r="IOM172" s="125"/>
      <c r="ION172" s="125"/>
      <c r="IOO172" s="125"/>
      <c r="IOP172" s="125"/>
      <c r="IOQ172" s="125"/>
      <c r="IOR172" s="125"/>
      <c r="IOS172" s="125"/>
      <c r="IOT172" s="125"/>
      <c r="IOU172" s="125"/>
      <c r="IOV172" s="125"/>
      <c r="IOW172" s="125"/>
      <c r="IOX172" s="125"/>
      <c r="IOY172" s="125"/>
      <c r="IOZ172" s="125"/>
      <c r="IPA172" s="125"/>
      <c r="IPB172" s="125"/>
      <c r="IPC172" s="125"/>
      <c r="IPD172" s="125"/>
      <c r="IPE172" s="125"/>
      <c r="IPF172" s="125"/>
      <c r="IPG172" s="125"/>
      <c r="IPH172" s="125"/>
      <c r="IPI172" s="125"/>
      <c r="IPJ172" s="125"/>
      <c r="IPK172" s="125"/>
      <c r="IPL172" s="125"/>
      <c r="IPM172" s="125"/>
      <c r="IPN172" s="125"/>
      <c r="IPO172" s="125"/>
      <c r="IPP172" s="125"/>
      <c r="IPQ172" s="125"/>
      <c r="IPR172" s="125"/>
      <c r="IPS172" s="125"/>
      <c r="IPT172" s="125"/>
      <c r="IPU172" s="125"/>
      <c r="IPV172" s="125"/>
      <c r="IPW172" s="125"/>
      <c r="IPX172" s="125"/>
      <c r="IPY172" s="125"/>
      <c r="IPZ172" s="125"/>
      <c r="IQA172" s="125"/>
      <c r="IQB172" s="125"/>
      <c r="IQC172" s="125"/>
      <c r="IQD172" s="125"/>
      <c r="IQE172" s="125"/>
      <c r="IQF172" s="125"/>
      <c r="IQG172" s="125"/>
      <c r="IQH172" s="125"/>
      <c r="IQI172" s="125"/>
      <c r="IQJ172" s="125"/>
      <c r="IQK172" s="125"/>
      <c r="IQL172" s="125"/>
      <c r="IQM172" s="125"/>
      <c r="IQN172" s="125"/>
      <c r="IQO172" s="125"/>
      <c r="IQP172" s="125"/>
      <c r="IQQ172" s="125"/>
      <c r="IQR172" s="125"/>
      <c r="IQS172" s="125"/>
      <c r="IQT172" s="125"/>
      <c r="IQU172" s="125"/>
      <c r="IQV172" s="125"/>
      <c r="IQW172" s="125"/>
      <c r="IQX172" s="125"/>
      <c r="IQY172" s="125"/>
      <c r="IQZ172" s="125"/>
      <c r="IRA172" s="125"/>
      <c r="IRB172" s="125"/>
      <c r="IRC172" s="125"/>
      <c r="IRD172" s="125"/>
      <c r="IRE172" s="125"/>
      <c r="IRF172" s="125"/>
      <c r="IRG172" s="125"/>
      <c r="IRH172" s="125"/>
      <c r="IRI172" s="125"/>
      <c r="IRJ172" s="125"/>
      <c r="IRK172" s="125"/>
      <c r="IRL172" s="125"/>
      <c r="IRM172" s="125"/>
      <c r="IRN172" s="125"/>
      <c r="IRO172" s="125"/>
      <c r="IRP172" s="125"/>
      <c r="IRQ172" s="125"/>
      <c r="IRR172" s="125"/>
      <c r="IRS172" s="125"/>
      <c r="IRT172" s="125"/>
      <c r="IRU172" s="125"/>
      <c r="IRV172" s="125"/>
      <c r="IRW172" s="125"/>
      <c r="IRX172" s="125"/>
      <c r="IRY172" s="125"/>
      <c r="IRZ172" s="125"/>
      <c r="ISA172" s="125"/>
      <c r="ISB172" s="125"/>
      <c r="ISC172" s="125"/>
      <c r="ISD172" s="125"/>
      <c r="ISE172" s="125"/>
      <c r="ISF172" s="125"/>
      <c r="ISG172" s="125"/>
      <c r="ISH172" s="125"/>
      <c r="ISI172" s="125"/>
      <c r="ISJ172" s="125"/>
      <c r="ISK172" s="125"/>
      <c r="ISL172" s="125"/>
      <c r="ISM172" s="125"/>
      <c r="ISN172" s="125"/>
      <c r="ISO172" s="125"/>
      <c r="ISP172" s="125"/>
      <c r="ISQ172" s="125"/>
      <c r="ISR172" s="125"/>
      <c r="ISS172" s="125"/>
      <c r="IST172" s="125"/>
      <c r="ISU172" s="125"/>
      <c r="ISV172" s="125"/>
      <c r="ISW172" s="125"/>
      <c r="ISX172" s="125"/>
      <c r="ISY172" s="125"/>
      <c r="ISZ172" s="125"/>
      <c r="ITA172" s="125"/>
      <c r="ITB172" s="125"/>
      <c r="ITC172" s="125"/>
      <c r="ITD172" s="125"/>
      <c r="ITE172" s="125"/>
      <c r="ITF172" s="125"/>
      <c r="ITG172" s="125"/>
      <c r="ITH172" s="125"/>
      <c r="ITI172" s="125"/>
      <c r="ITJ172" s="125"/>
      <c r="ITK172" s="125"/>
      <c r="ITL172" s="125"/>
      <c r="ITM172" s="125"/>
      <c r="ITN172" s="125"/>
      <c r="ITO172" s="125"/>
      <c r="ITP172" s="125"/>
      <c r="ITQ172" s="125"/>
      <c r="ITR172" s="125"/>
      <c r="ITS172" s="125"/>
      <c r="ITT172" s="125"/>
      <c r="ITU172" s="125"/>
      <c r="ITV172" s="125"/>
      <c r="ITW172" s="125"/>
      <c r="ITX172" s="125"/>
      <c r="ITY172" s="125"/>
      <c r="ITZ172" s="125"/>
      <c r="IUA172" s="125"/>
      <c r="IUB172" s="125"/>
      <c r="IUC172" s="125"/>
      <c r="IUD172" s="125"/>
      <c r="IUE172" s="125"/>
      <c r="IUF172" s="125"/>
      <c r="IUG172" s="125"/>
      <c r="IUH172" s="125"/>
      <c r="IUI172" s="125"/>
      <c r="IUJ172" s="125"/>
      <c r="IUK172" s="125"/>
      <c r="IUL172" s="125"/>
      <c r="IUM172" s="125"/>
      <c r="IUN172" s="125"/>
      <c r="IUO172" s="125"/>
      <c r="IUP172" s="125"/>
      <c r="IUQ172" s="125"/>
      <c r="IUR172" s="125"/>
      <c r="IUS172" s="125"/>
      <c r="IUT172" s="125"/>
      <c r="IUU172" s="125"/>
      <c r="IUV172" s="125"/>
      <c r="IUW172" s="125"/>
      <c r="IUX172" s="125"/>
      <c r="IUY172" s="125"/>
      <c r="IUZ172" s="125"/>
      <c r="IVA172" s="125"/>
      <c r="IVB172" s="125"/>
      <c r="IVC172" s="125"/>
      <c r="IVD172" s="125"/>
      <c r="IVE172" s="125"/>
      <c r="IVF172" s="125"/>
      <c r="IVG172" s="125"/>
      <c r="IVH172" s="125"/>
      <c r="IVI172" s="125"/>
      <c r="IVJ172" s="125"/>
      <c r="IVK172" s="125"/>
      <c r="IVL172" s="125"/>
      <c r="IVM172" s="125"/>
      <c r="IVN172" s="125"/>
      <c r="IVO172" s="125"/>
      <c r="IVP172" s="125"/>
      <c r="IVQ172" s="125"/>
      <c r="IVR172" s="125"/>
      <c r="IVS172" s="125"/>
      <c r="IVT172" s="125"/>
      <c r="IVU172" s="125"/>
      <c r="IVV172" s="125"/>
      <c r="IVW172" s="125"/>
      <c r="IVX172" s="125"/>
      <c r="IVY172" s="125"/>
      <c r="IVZ172" s="125"/>
      <c r="IWA172" s="125"/>
      <c r="IWB172" s="125"/>
      <c r="IWC172" s="125"/>
      <c r="IWD172" s="125"/>
      <c r="IWE172" s="125"/>
      <c r="IWF172" s="125"/>
      <c r="IWG172" s="125"/>
      <c r="IWH172" s="125"/>
      <c r="IWI172" s="125"/>
      <c r="IWJ172" s="125"/>
      <c r="IWK172" s="125"/>
      <c r="IWL172" s="125"/>
      <c r="IWM172" s="125"/>
      <c r="IWN172" s="125"/>
      <c r="IWO172" s="125"/>
      <c r="IWP172" s="125"/>
      <c r="IWQ172" s="125"/>
      <c r="IWR172" s="125"/>
      <c r="IWS172" s="125"/>
      <c r="IWT172" s="125"/>
      <c r="IWU172" s="125"/>
      <c r="IWV172" s="125"/>
      <c r="IWW172" s="125"/>
      <c r="IWX172" s="125"/>
      <c r="IWY172" s="125"/>
      <c r="IWZ172" s="125"/>
      <c r="IXA172" s="125"/>
      <c r="IXB172" s="125"/>
      <c r="IXC172" s="125"/>
      <c r="IXD172" s="125"/>
      <c r="IXE172" s="125"/>
      <c r="IXF172" s="125"/>
      <c r="IXG172" s="125"/>
      <c r="IXH172" s="125"/>
      <c r="IXI172" s="125"/>
      <c r="IXJ172" s="125"/>
      <c r="IXK172" s="125"/>
      <c r="IXL172" s="125"/>
      <c r="IXM172" s="125"/>
      <c r="IXN172" s="125"/>
      <c r="IXO172" s="125"/>
      <c r="IXP172" s="125"/>
      <c r="IXQ172" s="125"/>
      <c r="IXR172" s="125"/>
      <c r="IXS172" s="125"/>
      <c r="IXT172" s="125"/>
      <c r="IXU172" s="125"/>
      <c r="IXV172" s="125"/>
      <c r="IXW172" s="125"/>
      <c r="IXX172" s="125"/>
      <c r="IXY172" s="125"/>
      <c r="IXZ172" s="125"/>
      <c r="IYA172" s="125"/>
      <c r="IYB172" s="125"/>
      <c r="IYC172" s="125"/>
      <c r="IYD172" s="125"/>
      <c r="IYE172" s="125"/>
      <c r="IYF172" s="125"/>
      <c r="IYG172" s="125"/>
      <c r="IYH172" s="125"/>
      <c r="IYI172" s="125"/>
      <c r="IYJ172" s="125"/>
      <c r="IYK172" s="125"/>
      <c r="IYL172" s="125"/>
      <c r="IYM172" s="125"/>
      <c r="IYN172" s="125"/>
      <c r="IYO172" s="125"/>
      <c r="IYP172" s="125"/>
      <c r="IYQ172" s="125"/>
      <c r="IYR172" s="125"/>
      <c r="IYS172" s="125"/>
      <c r="IYT172" s="125"/>
      <c r="IYU172" s="125"/>
      <c r="IYV172" s="125"/>
      <c r="IYW172" s="125"/>
      <c r="IYX172" s="125"/>
      <c r="IYY172" s="125"/>
      <c r="IYZ172" s="125"/>
      <c r="IZA172" s="125"/>
      <c r="IZB172" s="125"/>
      <c r="IZC172" s="125"/>
      <c r="IZD172" s="125"/>
      <c r="IZE172" s="125"/>
      <c r="IZF172" s="125"/>
      <c r="IZG172" s="125"/>
      <c r="IZH172" s="125"/>
      <c r="IZI172" s="125"/>
      <c r="IZJ172" s="125"/>
      <c r="IZK172" s="125"/>
      <c r="IZL172" s="125"/>
      <c r="IZM172" s="125"/>
      <c r="IZN172" s="125"/>
      <c r="IZO172" s="125"/>
      <c r="IZP172" s="125"/>
      <c r="IZQ172" s="125"/>
      <c r="IZR172" s="125"/>
      <c r="IZS172" s="125"/>
      <c r="IZT172" s="125"/>
      <c r="IZU172" s="125"/>
      <c r="IZV172" s="125"/>
      <c r="IZW172" s="125"/>
      <c r="IZX172" s="125"/>
      <c r="IZY172" s="125"/>
      <c r="IZZ172" s="125"/>
      <c r="JAA172" s="125"/>
      <c r="JAB172" s="125"/>
      <c r="JAC172" s="125"/>
      <c r="JAD172" s="125"/>
      <c r="JAE172" s="125"/>
      <c r="JAF172" s="125"/>
      <c r="JAG172" s="125"/>
      <c r="JAH172" s="125"/>
      <c r="JAI172" s="125"/>
      <c r="JAJ172" s="125"/>
      <c r="JAK172" s="125"/>
      <c r="JAL172" s="125"/>
      <c r="JAM172" s="125"/>
      <c r="JAN172" s="125"/>
      <c r="JAO172" s="125"/>
      <c r="JAP172" s="125"/>
      <c r="JAQ172" s="125"/>
      <c r="JAR172" s="125"/>
      <c r="JAS172" s="125"/>
      <c r="JAT172" s="125"/>
      <c r="JAU172" s="125"/>
      <c r="JAV172" s="125"/>
      <c r="JAW172" s="125"/>
      <c r="JAX172" s="125"/>
      <c r="JAY172" s="125"/>
      <c r="JAZ172" s="125"/>
      <c r="JBA172" s="125"/>
      <c r="JBB172" s="125"/>
      <c r="JBC172" s="125"/>
      <c r="JBD172" s="125"/>
      <c r="JBE172" s="125"/>
      <c r="JBF172" s="125"/>
      <c r="JBG172" s="125"/>
      <c r="JBH172" s="125"/>
      <c r="JBI172" s="125"/>
      <c r="JBJ172" s="125"/>
      <c r="JBK172" s="125"/>
      <c r="JBL172" s="125"/>
      <c r="JBM172" s="125"/>
      <c r="JBN172" s="125"/>
      <c r="JBO172" s="125"/>
      <c r="JBP172" s="125"/>
      <c r="JBQ172" s="125"/>
      <c r="JBR172" s="125"/>
      <c r="JBS172" s="125"/>
      <c r="JBT172" s="125"/>
      <c r="JBU172" s="125"/>
      <c r="JBV172" s="125"/>
      <c r="JBW172" s="125"/>
      <c r="JBX172" s="125"/>
      <c r="JBY172" s="125"/>
      <c r="JBZ172" s="125"/>
      <c r="JCA172" s="125"/>
      <c r="JCB172" s="125"/>
      <c r="JCC172" s="125"/>
      <c r="JCD172" s="125"/>
      <c r="JCE172" s="125"/>
      <c r="JCF172" s="125"/>
      <c r="JCG172" s="125"/>
      <c r="JCH172" s="125"/>
      <c r="JCI172" s="125"/>
      <c r="JCJ172" s="125"/>
      <c r="JCK172" s="125"/>
      <c r="JCL172" s="125"/>
      <c r="JCM172" s="125"/>
      <c r="JCN172" s="125"/>
      <c r="JCO172" s="125"/>
      <c r="JCP172" s="125"/>
      <c r="JCQ172" s="125"/>
      <c r="JCR172" s="125"/>
      <c r="JCS172" s="125"/>
      <c r="JCT172" s="125"/>
      <c r="JCU172" s="125"/>
      <c r="JCV172" s="125"/>
      <c r="JCW172" s="125"/>
      <c r="JCX172" s="125"/>
      <c r="JCY172" s="125"/>
      <c r="JCZ172" s="125"/>
      <c r="JDA172" s="125"/>
      <c r="JDB172" s="125"/>
      <c r="JDC172" s="125"/>
      <c r="JDD172" s="125"/>
      <c r="JDE172" s="125"/>
      <c r="JDF172" s="125"/>
      <c r="JDG172" s="125"/>
      <c r="JDH172" s="125"/>
      <c r="JDI172" s="125"/>
      <c r="JDJ172" s="125"/>
      <c r="JDK172" s="125"/>
      <c r="JDL172" s="125"/>
      <c r="JDM172" s="125"/>
      <c r="JDN172" s="125"/>
      <c r="JDO172" s="125"/>
      <c r="JDP172" s="125"/>
      <c r="JDQ172" s="125"/>
      <c r="JDR172" s="125"/>
      <c r="JDS172" s="125"/>
      <c r="JDT172" s="125"/>
      <c r="JDU172" s="125"/>
      <c r="JDV172" s="125"/>
      <c r="JDW172" s="125"/>
      <c r="JDX172" s="125"/>
      <c r="JDY172" s="125"/>
      <c r="JDZ172" s="125"/>
      <c r="JEA172" s="125"/>
      <c r="JEB172" s="125"/>
      <c r="JEC172" s="125"/>
      <c r="JED172" s="125"/>
      <c r="JEE172" s="125"/>
      <c r="JEF172" s="125"/>
      <c r="JEG172" s="125"/>
      <c r="JEH172" s="125"/>
      <c r="JEI172" s="125"/>
      <c r="JEJ172" s="125"/>
      <c r="JEK172" s="125"/>
      <c r="JEL172" s="125"/>
      <c r="JEM172" s="125"/>
      <c r="JEN172" s="125"/>
      <c r="JEO172" s="125"/>
      <c r="JEP172" s="125"/>
      <c r="JEQ172" s="125"/>
      <c r="JER172" s="125"/>
      <c r="JES172" s="125"/>
      <c r="JET172" s="125"/>
      <c r="JEU172" s="125"/>
      <c r="JEV172" s="125"/>
      <c r="JEW172" s="125"/>
      <c r="JEX172" s="125"/>
      <c r="JEY172" s="125"/>
      <c r="JEZ172" s="125"/>
      <c r="JFA172" s="125"/>
      <c r="JFB172" s="125"/>
      <c r="JFC172" s="125"/>
      <c r="JFD172" s="125"/>
      <c r="JFE172" s="125"/>
      <c r="JFF172" s="125"/>
      <c r="JFG172" s="125"/>
      <c r="JFH172" s="125"/>
      <c r="JFI172" s="125"/>
      <c r="JFJ172" s="125"/>
      <c r="JFK172" s="125"/>
      <c r="JFL172" s="125"/>
      <c r="JFM172" s="125"/>
      <c r="JFN172" s="125"/>
      <c r="JFO172" s="125"/>
      <c r="JFP172" s="125"/>
      <c r="JFQ172" s="125"/>
      <c r="JFR172" s="125"/>
      <c r="JFS172" s="125"/>
      <c r="JFT172" s="125"/>
      <c r="JFU172" s="125"/>
      <c r="JFV172" s="125"/>
      <c r="JFW172" s="125"/>
      <c r="JFX172" s="125"/>
      <c r="JFY172" s="125"/>
      <c r="JFZ172" s="125"/>
      <c r="JGA172" s="125"/>
      <c r="JGB172" s="125"/>
      <c r="JGC172" s="125"/>
      <c r="JGD172" s="125"/>
      <c r="JGE172" s="125"/>
      <c r="JGF172" s="125"/>
      <c r="JGG172" s="125"/>
      <c r="JGH172" s="125"/>
      <c r="JGI172" s="125"/>
      <c r="JGJ172" s="125"/>
      <c r="JGK172" s="125"/>
      <c r="JGL172" s="125"/>
      <c r="JGM172" s="125"/>
      <c r="JGN172" s="125"/>
      <c r="JGO172" s="125"/>
      <c r="JGP172" s="125"/>
      <c r="JGQ172" s="125"/>
      <c r="JGR172" s="125"/>
      <c r="JGS172" s="125"/>
      <c r="JGT172" s="125"/>
      <c r="JGU172" s="125"/>
      <c r="JGV172" s="125"/>
      <c r="JGW172" s="125"/>
      <c r="JGX172" s="125"/>
      <c r="JGY172" s="125"/>
      <c r="JGZ172" s="125"/>
      <c r="JHA172" s="125"/>
      <c r="JHB172" s="125"/>
      <c r="JHC172" s="125"/>
      <c r="JHD172" s="125"/>
      <c r="JHE172" s="125"/>
      <c r="JHF172" s="125"/>
      <c r="JHG172" s="125"/>
      <c r="JHH172" s="125"/>
      <c r="JHI172" s="125"/>
      <c r="JHJ172" s="125"/>
      <c r="JHK172" s="125"/>
      <c r="JHL172" s="125"/>
      <c r="JHM172" s="125"/>
      <c r="JHN172" s="125"/>
      <c r="JHO172" s="125"/>
      <c r="JHP172" s="125"/>
      <c r="JHQ172" s="125"/>
      <c r="JHR172" s="125"/>
      <c r="JHS172" s="125"/>
      <c r="JHT172" s="125"/>
      <c r="JHU172" s="125"/>
      <c r="JHV172" s="125"/>
      <c r="JHW172" s="125"/>
      <c r="JHX172" s="125"/>
      <c r="JHY172" s="125"/>
      <c r="JHZ172" s="125"/>
      <c r="JIA172" s="125"/>
      <c r="JIB172" s="125"/>
      <c r="JIC172" s="125"/>
      <c r="JID172" s="125"/>
      <c r="JIE172" s="125"/>
      <c r="JIF172" s="125"/>
      <c r="JIG172" s="125"/>
      <c r="JIH172" s="125"/>
      <c r="JII172" s="125"/>
      <c r="JIJ172" s="125"/>
      <c r="JIK172" s="125"/>
      <c r="JIL172" s="125"/>
      <c r="JIM172" s="125"/>
      <c r="JIN172" s="125"/>
      <c r="JIO172" s="125"/>
      <c r="JIP172" s="125"/>
      <c r="JIQ172" s="125"/>
      <c r="JIR172" s="125"/>
      <c r="JIS172" s="125"/>
      <c r="JIT172" s="125"/>
      <c r="JIU172" s="125"/>
      <c r="JIV172" s="125"/>
      <c r="JIW172" s="125"/>
      <c r="JIX172" s="125"/>
      <c r="JIY172" s="125"/>
      <c r="JIZ172" s="125"/>
      <c r="JJA172" s="125"/>
      <c r="JJB172" s="125"/>
      <c r="JJC172" s="125"/>
      <c r="JJD172" s="125"/>
      <c r="JJE172" s="125"/>
      <c r="JJF172" s="125"/>
      <c r="JJG172" s="125"/>
      <c r="JJH172" s="125"/>
      <c r="JJI172" s="125"/>
      <c r="JJJ172" s="125"/>
      <c r="JJK172" s="125"/>
      <c r="JJL172" s="125"/>
      <c r="JJM172" s="125"/>
      <c r="JJN172" s="125"/>
      <c r="JJO172" s="125"/>
      <c r="JJP172" s="125"/>
      <c r="JJQ172" s="125"/>
      <c r="JJR172" s="125"/>
      <c r="JJS172" s="125"/>
      <c r="JJT172" s="125"/>
      <c r="JJU172" s="125"/>
      <c r="JJV172" s="125"/>
      <c r="JJW172" s="125"/>
      <c r="JJX172" s="125"/>
      <c r="JJY172" s="125"/>
      <c r="JJZ172" s="125"/>
      <c r="JKA172" s="125"/>
      <c r="JKB172" s="125"/>
      <c r="JKC172" s="125"/>
      <c r="JKD172" s="125"/>
      <c r="JKE172" s="125"/>
      <c r="JKF172" s="125"/>
      <c r="JKG172" s="125"/>
      <c r="JKH172" s="125"/>
      <c r="JKI172" s="125"/>
      <c r="JKJ172" s="125"/>
      <c r="JKK172" s="125"/>
      <c r="JKL172" s="125"/>
      <c r="JKM172" s="125"/>
      <c r="JKN172" s="125"/>
      <c r="JKO172" s="125"/>
      <c r="JKP172" s="125"/>
      <c r="JKQ172" s="125"/>
      <c r="JKR172" s="125"/>
      <c r="JKS172" s="125"/>
      <c r="JKT172" s="125"/>
      <c r="JKU172" s="125"/>
      <c r="JKV172" s="125"/>
      <c r="JKW172" s="125"/>
      <c r="JKX172" s="125"/>
      <c r="JKY172" s="125"/>
      <c r="JKZ172" s="125"/>
      <c r="JLA172" s="125"/>
      <c r="JLB172" s="125"/>
      <c r="JLC172" s="125"/>
      <c r="JLD172" s="125"/>
      <c r="JLE172" s="125"/>
      <c r="JLF172" s="125"/>
      <c r="JLG172" s="125"/>
      <c r="JLH172" s="125"/>
      <c r="JLI172" s="125"/>
      <c r="JLJ172" s="125"/>
      <c r="JLK172" s="125"/>
      <c r="JLL172" s="125"/>
      <c r="JLM172" s="125"/>
      <c r="JLN172" s="125"/>
      <c r="JLO172" s="125"/>
      <c r="JLP172" s="125"/>
      <c r="JLQ172" s="125"/>
      <c r="JLR172" s="125"/>
      <c r="JLS172" s="125"/>
      <c r="JLT172" s="125"/>
      <c r="JLU172" s="125"/>
      <c r="JLV172" s="125"/>
      <c r="JLW172" s="125"/>
      <c r="JLX172" s="125"/>
      <c r="JLY172" s="125"/>
      <c r="JLZ172" s="125"/>
      <c r="JMA172" s="125"/>
      <c r="JMB172" s="125"/>
      <c r="JMC172" s="125"/>
      <c r="JMD172" s="125"/>
      <c r="JME172" s="125"/>
      <c r="JMF172" s="125"/>
      <c r="JMG172" s="125"/>
      <c r="JMH172" s="125"/>
      <c r="JMI172" s="125"/>
      <c r="JMJ172" s="125"/>
      <c r="JMK172" s="125"/>
      <c r="JML172" s="125"/>
      <c r="JMM172" s="125"/>
      <c r="JMN172" s="125"/>
      <c r="JMO172" s="125"/>
      <c r="JMP172" s="125"/>
      <c r="JMQ172" s="125"/>
      <c r="JMR172" s="125"/>
      <c r="JMS172" s="125"/>
      <c r="JMT172" s="125"/>
      <c r="JMU172" s="125"/>
      <c r="JMV172" s="125"/>
      <c r="JMW172" s="125"/>
      <c r="JMX172" s="125"/>
      <c r="JMY172" s="125"/>
      <c r="JMZ172" s="125"/>
      <c r="JNA172" s="125"/>
      <c r="JNB172" s="125"/>
      <c r="JNC172" s="125"/>
      <c r="JND172" s="125"/>
      <c r="JNE172" s="125"/>
      <c r="JNF172" s="125"/>
      <c r="JNG172" s="125"/>
      <c r="JNH172" s="125"/>
      <c r="JNI172" s="125"/>
      <c r="JNJ172" s="125"/>
      <c r="JNK172" s="125"/>
      <c r="JNL172" s="125"/>
      <c r="JNM172" s="125"/>
      <c r="JNN172" s="125"/>
      <c r="JNO172" s="125"/>
      <c r="JNP172" s="125"/>
      <c r="JNQ172" s="125"/>
      <c r="JNR172" s="125"/>
      <c r="JNS172" s="125"/>
      <c r="JNT172" s="125"/>
      <c r="JNU172" s="125"/>
      <c r="JNV172" s="125"/>
      <c r="JNW172" s="125"/>
      <c r="JNX172" s="125"/>
      <c r="JNY172" s="125"/>
      <c r="JNZ172" s="125"/>
      <c r="JOA172" s="125"/>
      <c r="JOB172" s="125"/>
      <c r="JOC172" s="125"/>
      <c r="JOD172" s="125"/>
      <c r="JOE172" s="125"/>
      <c r="JOF172" s="125"/>
      <c r="JOG172" s="125"/>
      <c r="JOH172" s="125"/>
      <c r="JOI172" s="125"/>
      <c r="JOJ172" s="125"/>
      <c r="JOK172" s="125"/>
      <c r="JOL172" s="125"/>
      <c r="JOM172" s="125"/>
      <c r="JON172" s="125"/>
      <c r="JOO172" s="125"/>
      <c r="JOP172" s="125"/>
      <c r="JOQ172" s="125"/>
      <c r="JOR172" s="125"/>
      <c r="JOS172" s="125"/>
      <c r="JOT172" s="125"/>
      <c r="JOU172" s="125"/>
      <c r="JOV172" s="125"/>
      <c r="JOW172" s="125"/>
      <c r="JOX172" s="125"/>
      <c r="JOY172" s="125"/>
      <c r="JOZ172" s="125"/>
      <c r="JPA172" s="125"/>
      <c r="JPB172" s="125"/>
      <c r="JPC172" s="125"/>
      <c r="JPD172" s="125"/>
      <c r="JPE172" s="125"/>
      <c r="JPF172" s="125"/>
      <c r="JPG172" s="125"/>
      <c r="JPH172" s="125"/>
      <c r="JPI172" s="125"/>
      <c r="JPJ172" s="125"/>
      <c r="JPK172" s="125"/>
      <c r="JPL172" s="125"/>
      <c r="JPM172" s="125"/>
      <c r="JPN172" s="125"/>
      <c r="JPO172" s="125"/>
      <c r="JPP172" s="125"/>
      <c r="JPQ172" s="125"/>
      <c r="JPR172" s="125"/>
      <c r="JPS172" s="125"/>
      <c r="JPT172" s="125"/>
      <c r="JPU172" s="125"/>
      <c r="JPV172" s="125"/>
      <c r="JPW172" s="125"/>
      <c r="JPX172" s="125"/>
      <c r="JPY172" s="125"/>
      <c r="JPZ172" s="125"/>
      <c r="JQA172" s="125"/>
      <c r="JQB172" s="125"/>
      <c r="JQC172" s="125"/>
      <c r="JQD172" s="125"/>
      <c r="JQE172" s="125"/>
      <c r="JQF172" s="125"/>
      <c r="JQG172" s="125"/>
      <c r="JQH172" s="125"/>
      <c r="JQI172" s="125"/>
      <c r="JQJ172" s="125"/>
      <c r="JQK172" s="125"/>
      <c r="JQL172" s="125"/>
      <c r="JQM172" s="125"/>
      <c r="JQN172" s="125"/>
      <c r="JQO172" s="125"/>
      <c r="JQP172" s="125"/>
      <c r="JQQ172" s="125"/>
      <c r="JQR172" s="125"/>
      <c r="JQS172" s="125"/>
      <c r="JQT172" s="125"/>
      <c r="JQU172" s="125"/>
      <c r="JQV172" s="125"/>
      <c r="JQW172" s="125"/>
      <c r="JQX172" s="125"/>
      <c r="JQY172" s="125"/>
      <c r="JQZ172" s="125"/>
      <c r="JRA172" s="125"/>
      <c r="JRB172" s="125"/>
      <c r="JRC172" s="125"/>
      <c r="JRD172" s="125"/>
      <c r="JRE172" s="125"/>
      <c r="JRF172" s="125"/>
      <c r="JRG172" s="125"/>
      <c r="JRH172" s="125"/>
      <c r="JRI172" s="125"/>
      <c r="JRJ172" s="125"/>
      <c r="JRK172" s="125"/>
      <c r="JRL172" s="125"/>
      <c r="JRM172" s="125"/>
      <c r="JRN172" s="125"/>
      <c r="JRO172" s="125"/>
      <c r="JRP172" s="125"/>
      <c r="JRQ172" s="125"/>
      <c r="JRR172" s="125"/>
      <c r="JRS172" s="125"/>
      <c r="JRT172" s="125"/>
      <c r="JRU172" s="125"/>
      <c r="JRV172" s="125"/>
      <c r="JRW172" s="125"/>
      <c r="JRX172" s="125"/>
      <c r="JRY172" s="125"/>
      <c r="JRZ172" s="125"/>
      <c r="JSA172" s="125"/>
      <c r="JSB172" s="125"/>
      <c r="JSC172" s="125"/>
      <c r="JSD172" s="125"/>
      <c r="JSE172" s="125"/>
      <c r="JSF172" s="125"/>
      <c r="JSG172" s="125"/>
      <c r="JSH172" s="125"/>
      <c r="JSI172" s="125"/>
      <c r="JSJ172" s="125"/>
      <c r="JSK172" s="125"/>
      <c r="JSL172" s="125"/>
      <c r="JSM172" s="125"/>
      <c r="JSN172" s="125"/>
      <c r="JSO172" s="125"/>
      <c r="JSP172" s="125"/>
      <c r="JSQ172" s="125"/>
      <c r="JSR172" s="125"/>
      <c r="JSS172" s="125"/>
      <c r="JST172" s="125"/>
      <c r="JSU172" s="125"/>
      <c r="JSV172" s="125"/>
      <c r="JSW172" s="125"/>
      <c r="JSX172" s="125"/>
      <c r="JSY172" s="125"/>
      <c r="JSZ172" s="125"/>
      <c r="JTA172" s="125"/>
      <c r="JTB172" s="125"/>
      <c r="JTC172" s="125"/>
      <c r="JTD172" s="125"/>
      <c r="JTE172" s="125"/>
      <c r="JTF172" s="125"/>
      <c r="JTG172" s="125"/>
      <c r="JTH172" s="125"/>
      <c r="JTI172" s="125"/>
      <c r="JTJ172" s="125"/>
      <c r="JTK172" s="125"/>
      <c r="JTL172" s="125"/>
      <c r="JTM172" s="125"/>
      <c r="JTN172" s="125"/>
      <c r="JTO172" s="125"/>
      <c r="JTP172" s="125"/>
      <c r="JTQ172" s="125"/>
      <c r="JTR172" s="125"/>
      <c r="JTS172" s="125"/>
      <c r="JTT172" s="125"/>
      <c r="JTU172" s="125"/>
      <c r="JTV172" s="125"/>
      <c r="JTW172" s="125"/>
      <c r="JTX172" s="125"/>
      <c r="JTY172" s="125"/>
      <c r="JTZ172" s="125"/>
      <c r="JUA172" s="125"/>
      <c r="JUB172" s="125"/>
      <c r="JUC172" s="125"/>
      <c r="JUD172" s="125"/>
      <c r="JUE172" s="125"/>
      <c r="JUF172" s="125"/>
      <c r="JUG172" s="125"/>
      <c r="JUH172" s="125"/>
      <c r="JUI172" s="125"/>
      <c r="JUJ172" s="125"/>
      <c r="JUK172" s="125"/>
      <c r="JUL172" s="125"/>
      <c r="JUM172" s="125"/>
      <c r="JUN172" s="125"/>
      <c r="JUO172" s="125"/>
      <c r="JUP172" s="125"/>
      <c r="JUQ172" s="125"/>
      <c r="JUR172" s="125"/>
      <c r="JUS172" s="125"/>
      <c r="JUT172" s="125"/>
      <c r="JUU172" s="125"/>
      <c r="JUV172" s="125"/>
      <c r="JUW172" s="125"/>
      <c r="JUX172" s="125"/>
      <c r="JUY172" s="125"/>
      <c r="JUZ172" s="125"/>
      <c r="JVA172" s="125"/>
      <c r="JVB172" s="125"/>
      <c r="JVC172" s="125"/>
      <c r="JVD172" s="125"/>
      <c r="JVE172" s="125"/>
      <c r="JVF172" s="125"/>
      <c r="JVG172" s="125"/>
      <c r="JVH172" s="125"/>
      <c r="JVI172" s="125"/>
      <c r="JVJ172" s="125"/>
      <c r="JVK172" s="125"/>
      <c r="JVL172" s="125"/>
      <c r="JVM172" s="125"/>
      <c r="JVN172" s="125"/>
      <c r="JVO172" s="125"/>
      <c r="JVP172" s="125"/>
      <c r="JVQ172" s="125"/>
      <c r="JVR172" s="125"/>
      <c r="JVS172" s="125"/>
      <c r="JVT172" s="125"/>
      <c r="JVU172" s="125"/>
      <c r="JVV172" s="125"/>
      <c r="JVW172" s="125"/>
      <c r="JVX172" s="125"/>
      <c r="JVY172" s="125"/>
      <c r="JVZ172" s="125"/>
      <c r="JWA172" s="125"/>
      <c r="JWB172" s="125"/>
      <c r="JWC172" s="125"/>
      <c r="JWD172" s="125"/>
      <c r="JWE172" s="125"/>
      <c r="JWF172" s="125"/>
      <c r="JWG172" s="125"/>
      <c r="JWH172" s="125"/>
      <c r="JWI172" s="125"/>
      <c r="JWJ172" s="125"/>
      <c r="JWK172" s="125"/>
      <c r="JWL172" s="125"/>
      <c r="JWM172" s="125"/>
      <c r="JWN172" s="125"/>
      <c r="JWO172" s="125"/>
      <c r="JWP172" s="125"/>
      <c r="JWQ172" s="125"/>
      <c r="JWR172" s="125"/>
      <c r="JWS172" s="125"/>
      <c r="JWT172" s="125"/>
      <c r="JWU172" s="125"/>
      <c r="JWV172" s="125"/>
      <c r="JWW172" s="125"/>
      <c r="JWX172" s="125"/>
      <c r="JWY172" s="125"/>
      <c r="JWZ172" s="125"/>
      <c r="JXA172" s="125"/>
      <c r="JXB172" s="125"/>
      <c r="JXC172" s="125"/>
      <c r="JXD172" s="125"/>
      <c r="JXE172" s="125"/>
      <c r="JXF172" s="125"/>
      <c r="JXG172" s="125"/>
      <c r="JXH172" s="125"/>
      <c r="JXI172" s="125"/>
      <c r="JXJ172" s="125"/>
      <c r="JXK172" s="125"/>
      <c r="JXL172" s="125"/>
      <c r="JXM172" s="125"/>
      <c r="JXN172" s="125"/>
      <c r="JXO172" s="125"/>
      <c r="JXP172" s="125"/>
      <c r="JXQ172" s="125"/>
      <c r="JXR172" s="125"/>
      <c r="JXS172" s="125"/>
      <c r="JXT172" s="125"/>
      <c r="JXU172" s="125"/>
      <c r="JXV172" s="125"/>
      <c r="JXW172" s="125"/>
      <c r="JXX172" s="125"/>
      <c r="JXY172" s="125"/>
      <c r="JXZ172" s="125"/>
      <c r="JYA172" s="125"/>
      <c r="JYB172" s="125"/>
      <c r="JYC172" s="125"/>
      <c r="JYD172" s="125"/>
      <c r="JYE172" s="125"/>
      <c r="JYF172" s="125"/>
      <c r="JYG172" s="125"/>
      <c r="JYH172" s="125"/>
      <c r="JYI172" s="125"/>
      <c r="JYJ172" s="125"/>
      <c r="JYK172" s="125"/>
      <c r="JYL172" s="125"/>
      <c r="JYM172" s="125"/>
      <c r="JYN172" s="125"/>
      <c r="JYO172" s="125"/>
      <c r="JYP172" s="125"/>
      <c r="JYQ172" s="125"/>
      <c r="JYR172" s="125"/>
      <c r="JYS172" s="125"/>
      <c r="JYT172" s="125"/>
      <c r="JYU172" s="125"/>
      <c r="JYV172" s="125"/>
      <c r="JYW172" s="125"/>
      <c r="JYX172" s="125"/>
      <c r="JYY172" s="125"/>
      <c r="JYZ172" s="125"/>
      <c r="JZA172" s="125"/>
      <c r="JZB172" s="125"/>
      <c r="JZC172" s="125"/>
      <c r="JZD172" s="125"/>
      <c r="JZE172" s="125"/>
      <c r="JZF172" s="125"/>
      <c r="JZG172" s="125"/>
      <c r="JZH172" s="125"/>
      <c r="JZI172" s="125"/>
      <c r="JZJ172" s="125"/>
      <c r="JZK172" s="125"/>
      <c r="JZL172" s="125"/>
      <c r="JZM172" s="125"/>
      <c r="JZN172" s="125"/>
      <c r="JZO172" s="125"/>
      <c r="JZP172" s="125"/>
      <c r="JZQ172" s="125"/>
      <c r="JZR172" s="125"/>
      <c r="JZS172" s="125"/>
      <c r="JZT172" s="125"/>
      <c r="JZU172" s="125"/>
      <c r="JZV172" s="125"/>
      <c r="JZW172" s="125"/>
      <c r="JZX172" s="125"/>
      <c r="JZY172" s="125"/>
      <c r="JZZ172" s="125"/>
      <c r="KAA172" s="125"/>
      <c r="KAB172" s="125"/>
      <c r="KAC172" s="125"/>
      <c r="KAD172" s="125"/>
      <c r="KAE172" s="125"/>
      <c r="KAF172" s="125"/>
      <c r="KAG172" s="125"/>
      <c r="KAH172" s="125"/>
      <c r="KAI172" s="125"/>
      <c r="KAJ172" s="125"/>
      <c r="KAK172" s="125"/>
      <c r="KAL172" s="125"/>
      <c r="KAM172" s="125"/>
      <c r="KAN172" s="125"/>
      <c r="KAO172" s="125"/>
      <c r="KAP172" s="125"/>
      <c r="KAQ172" s="125"/>
      <c r="KAR172" s="125"/>
      <c r="KAS172" s="125"/>
      <c r="KAT172" s="125"/>
      <c r="KAU172" s="125"/>
      <c r="KAV172" s="125"/>
      <c r="KAW172" s="125"/>
      <c r="KAX172" s="125"/>
      <c r="KAY172" s="125"/>
      <c r="KAZ172" s="125"/>
      <c r="KBA172" s="125"/>
      <c r="KBB172" s="125"/>
      <c r="KBC172" s="125"/>
      <c r="KBD172" s="125"/>
      <c r="KBE172" s="125"/>
      <c r="KBF172" s="125"/>
      <c r="KBG172" s="125"/>
      <c r="KBH172" s="125"/>
      <c r="KBI172" s="125"/>
      <c r="KBJ172" s="125"/>
      <c r="KBK172" s="125"/>
      <c r="KBL172" s="125"/>
      <c r="KBM172" s="125"/>
      <c r="KBN172" s="125"/>
      <c r="KBO172" s="125"/>
      <c r="KBP172" s="125"/>
      <c r="KBQ172" s="125"/>
      <c r="KBR172" s="125"/>
      <c r="KBS172" s="125"/>
      <c r="KBT172" s="125"/>
      <c r="KBU172" s="125"/>
      <c r="KBV172" s="125"/>
      <c r="KBW172" s="125"/>
      <c r="KBX172" s="125"/>
      <c r="KBY172" s="125"/>
      <c r="KBZ172" s="125"/>
      <c r="KCA172" s="125"/>
      <c r="KCB172" s="125"/>
      <c r="KCC172" s="125"/>
      <c r="KCD172" s="125"/>
      <c r="KCE172" s="125"/>
      <c r="KCF172" s="125"/>
      <c r="KCG172" s="125"/>
      <c r="KCH172" s="125"/>
      <c r="KCI172" s="125"/>
      <c r="KCJ172" s="125"/>
      <c r="KCK172" s="125"/>
      <c r="KCL172" s="125"/>
      <c r="KCM172" s="125"/>
      <c r="KCN172" s="125"/>
      <c r="KCO172" s="125"/>
      <c r="KCP172" s="125"/>
      <c r="KCQ172" s="125"/>
      <c r="KCR172" s="125"/>
      <c r="KCS172" s="125"/>
      <c r="KCT172" s="125"/>
      <c r="KCU172" s="125"/>
      <c r="KCV172" s="125"/>
      <c r="KCW172" s="125"/>
      <c r="KCX172" s="125"/>
      <c r="KCY172" s="125"/>
      <c r="KCZ172" s="125"/>
      <c r="KDA172" s="125"/>
      <c r="KDB172" s="125"/>
      <c r="KDC172" s="125"/>
      <c r="KDD172" s="125"/>
      <c r="KDE172" s="125"/>
      <c r="KDF172" s="125"/>
      <c r="KDG172" s="125"/>
      <c r="KDH172" s="125"/>
      <c r="KDI172" s="125"/>
      <c r="KDJ172" s="125"/>
      <c r="KDK172" s="125"/>
      <c r="KDL172" s="125"/>
      <c r="KDM172" s="125"/>
      <c r="KDN172" s="125"/>
      <c r="KDO172" s="125"/>
      <c r="KDP172" s="125"/>
      <c r="KDQ172" s="125"/>
      <c r="KDR172" s="125"/>
      <c r="KDS172" s="125"/>
      <c r="KDT172" s="125"/>
      <c r="KDU172" s="125"/>
      <c r="KDV172" s="125"/>
      <c r="KDW172" s="125"/>
      <c r="KDX172" s="125"/>
      <c r="KDY172" s="125"/>
      <c r="KDZ172" s="125"/>
      <c r="KEA172" s="125"/>
      <c r="KEB172" s="125"/>
      <c r="KEC172" s="125"/>
      <c r="KED172" s="125"/>
      <c r="KEE172" s="125"/>
      <c r="KEF172" s="125"/>
      <c r="KEG172" s="125"/>
      <c r="KEH172" s="125"/>
      <c r="KEI172" s="125"/>
      <c r="KEJ172" s="125"/>
      <c r="KEK172" s="125"/>
      <c r="KEL172" s="125"/>
      <c r="KEM172" s="125"/>
      <c r="KEN172" s="125"/>
      <c r="KEO172" s="125"/>
      <c r="KEP172" s="125"/>
      <c r="KEQ172" s="125"/>
      <c r="KER172" s="125"/>
      <c r="KES172" s="125"/>
      <c r="KET172" s="125"/>
      <c r="KEU172" s="125"/>
      <c r="KEV172" s="125"/>
      <c r="KEW172" s="125"/>
      <c r="KEX172" s="125"/>
      <c r="KEY172" s="125"/>
      <c r="KEZ172" s="125"/>
      <c r="KFA172" s="125"/>
      <c r="KFB172" s="125"/>
      <c r="KFC172" s="125"/>
      <c r="KFD172" s="125"/>
      <c r="KFE172" s="125"/>
      <c r="KFF172" s="125"/>
      <c r="KFG172" s="125"/>
      <c r="KFH172" s="125"/>
      <c r="KFI172" s="125"/>
      <c r="KFJ172" s="125"/>
      <c r="KFK172" s="125"/>
      <c r="KFL172" s="125"/>
      <c r="KFM172" s="125"/>
      <c r="KFN172" s="125"/>
      <c r="KFO172" s="125"/>
      <c r="KFP172" s="125"/>
      <c r="KFQ172" s="125"/>
      <c r="KFR172" s="125"/>
      <c r="KFS172" s="125"/>
      <c r="KFT172" s="125"/>
      <c r="KFU172" s="125"/>
      <c r="KFV172" s="125"/>
      <c r="KFW172" s="125"/>
      <c r="KFX172" s="125"/>
      <c r="KFY172" s="125"/>
      <c r="KFZ172" s="125"/>
      <c r="KGA172" s="125"/>
      <c r="KGB172" s="125"/>
      <c r="KGC172" s="125"/>
      <c r="KGD172" s="125"/>
      <c r="KGE172" s="125"/>
      <c r="KGF172" s="125"/>
      <c r="KGG172" s="125"/>
      <c r="KGH172" s="125"/>
      <c r="KGI172" s="125"/>
      <c r="KGJ172" s="125"/>
      <c r="KGK172" s="125"/>
      <c r="KGL172" s="125"/>
      <c r="KGM172" s="125"/>
      <c r="KGN172" s="125"/>
      <c r="KGO172" s="125"/>
      <c r="KGP172" s="125"/>
      <c r="KGQ172" s="125"/>
      <c r="KGR172" s="125"/>
      <c r="KGS172" s="125"/>
      <c r="KGT172" s="125"/>
      <c r="KGU172" s="125"/>
      <c r="KGV172" s="125"/>
      <c r="KGW172" s="125"/>
      <c r="KGX172" s="125"/>
      <c r="KGY172" s="125"/>
      <c r="KGZ172" s="125"/>
      <c r="KHA172" s="125"/>
      <c r="KHB172" s="125"/>
      <c r="KHC172" s="125"/>
      <c r="KHD172" s="125"/>
      <c r="KHE172" s="125"/>
      <c r="KHF172" s="125"/>
      <c r="KHG172" s="125"/>
      <c r="KHH172" s="125"/>
      <c r="KHI172" s="125"/>
      <c r="KHJ172" s="125"/>
      <c r="KHK172" s="125"/>
      <c r="KHL172" s="125"/>
      <c r="KHM172" s="125"/>
      <c r="KHN172" s="125"/>
      <c r="KHO172" s="125"/>
      <c r="KHP172" s="125"/>
      <c r="KHQ172" s="125"/>
      <c r="KHR172" s="125"/>
      <c r="KHS172" s="125"/>
      <c r="KHT172" s="125"/>
      <c r="KHU172" s="125"/>
      <c r="KHV172" s="125"/>
      <c r="KHW172" s="125"/>
      <c r="KHX172" s="125"/>
      <c r="KHY172" s="125"/>
      <c r="KHZ172" s="125"/>
      <c r="KIA172" s="125"/>
      <c r="KIB172" s="125"/>
      <c r="KIC172" s="125"/>
      <c r="KID172" s="125"/>
      <c r="KIE172" s="125"/>
      <c r="KIF172" s="125"/>
      <c r="KIG172" s="125"/>
      <c r="KIH172" s="125"/>
      <c r="KII172" s="125"/>
      <c r="KIJ172" s="125"/>
      <c r="KIK172" s="125"/>
      <c r="KIL172" s="125"/>
      <c r="KIM172" s="125"/>
      <c r="KIN172" s="125"/>
      <c r="KIO172" s="125"/>
      <c r="KIP172" s="125"/>
      <c r="KIQ172" s="125"/>
      <c r="KIR172" s="125"/>
      <c r="KIS172" s="125"/>
      <c r="KIT172" s="125"/>
      <c r="KIU172" s="125"/>
      <c r="KIV172" s="125"/>
      <c r="KIW172" s="125"/>
      <c r="KIX172" s="125"/>
      <c r="KIY172" s="125"/>
      <c r="KIZ172" s="125"/>
      <c r="KJA172" s="125"/>
      <c r="KJB172" s="125"/>
      <c r="KJC172" s="125"/>
      <c r="KJD172" s="125"/>
      <c r="KJE172" s="125"/>
      <c r="KJF172" s="125"/>
      <c r="KJG172" s="125"/>
      <c r="KJH172" s="125"/>
      <c r="KJI172" s="125"/>
      <c r="KJJ172" s="125"/>
      <c r="KJK172" s="125"/>
      <c r="KJL172" s="125"/>
      <c r="KJM172" s="125"/>
      <c r="KJN172" s="125"/>
      <c r="KJO172" s="125"/>
      <c r="KJP172" s="125"/>
      <c r="KJQ172" s="125"/>
      <c r="KJR172" s="125"/>
      <c r="KJS172" s="125"/>
      <c r="KJT172" s="125"/>
      <c r="KJU172" s="125"/>
      <c r="KJV172" s="125"/>
      <c r="KJW172" s="125"/>
      <c r="KJX172" s="125"/>
      <c r="KJY172" s="125"/>
      <c r="KJZ172" s="125"/>
      <c r="KKA172" s="125"/>
      <c r="KKB172" s="125"/>
      <c r="KKC172" s="125"/>
      <c r="KKD172" s="125"/>
      <c r="KKE172" s="125"/>
      <c r="KKF172" s="125"/>
      <c r="KKG172" s="125"/>
      <c r="KKH172" s="125"/>
      <c r="KKI172" s="125"/>
      <c r="KKJ172" s="125"/>
      <c r="KKK172" s="125"/>
      <c r="KKL172" s="125"/>
      <c r="KKM172" s="125"/>
      <c r="KKN172" s="125"/>
      <c r="KKO172" s="125"/>
      <c r="KKP172" s="125"/>
      <c r="KKQ172" s="125"/>
      <c r="KKR172" s="125"/>
      <c r="KKS172" s="125"/>
      <c r="KKT172" s="125"/>
      <c r="KKU172" s="125"/>
      <c r="KKV172" s="125"/>
      <c r="KKW172" s="125"/>
      <c r="KKX172" s="125"/>
      <c r="KKY172" s="125"/>
      <c r="KKZ172" s="125"/>
      <c r="KLA172" s="125"/>
      <c r="KLB172" s="125"/>
      <c r="KLC172" s="125"/>
      <c r="KLD172" s="125"/>
      <c r="KLE172" s="125"/>
      <c r="KLF172" s="125"/>
      <c r="KLG172" s="125"/>
      <c r="KLH172" s="125"/>
      <c r="KLI172" s="125"/>
      <c r="KLJ172" s="125"/>
      <c r="KLK172" s="125"/>
      <c r="KLL172" s="125"/>
      <c r="KLM172" s="125"/>
      <c r="KLN172" s="125"/>
      <c r="KLO172" s="125"/>
      <c r="KLP172" s="125"/>
      <c r="KLQ172" s="125"/>
      <c r="KLR172" s="125"/>
      <c r="KLS172" s="125"/>
      <c r="KLT172" s="125"/>
      <c r="KLU172" s="125"/>
      <c r="KLV172" s="125"/>
      <c r="KLW172" s="125"/>
      <c r="KLX172" s="125"/>
      <c r="KLY172" s="125"/>
      <c r="KLZ172" s="125"/>
      <c r="KMA172" s="125"/>
      <c r="KMB172" s="125"/>
      <c r="KMC172" s="125"/>
      <c r="KMD172" s="125"/>
      <c r="KME172" s="125"/>
      <c r="KMF172" s="125"/>
      <c r="KMG172" s="125"/>
      <c r="KMH172" s="125"/>
      <c r="KMI172" s="125"/>
      <c r="KMJ172" s="125"/>
      <c r="KMK172" s="125"/>
      <c r="KML172" s="125"/>
      <c r="KMM172" s="125"/>
      <c r="KMN172" s="125"/>
      <c r="KMO172" s="125"/>
      <c r="KMP172" s="125"/>
      <c r="KMQ172" s="125"/>
      <c r="KMR172" s="125"/>
      <c r="KMS172" s="125"/>
      <c r="KMT172" s="125"/>
      <c r="KMU172" s="125"/>
      <c r="KMV172" s="125"/>
      <c r="KMW172" s="125"/>
      <c r="KMX172" s="125"/>
      <c r="KMY172" s="125"/>
      <c r="KMZ172" s="125"/>
      <c r="KNA172" s="125"/>
      <c r="KNB172" s="125"/>
      <c r="KNC172" s="125"/>
      <c r="KND172" s="125"/>
      <c r="KNE172" s="125"/>
      <c r="KNF172" s="125"/>
      <c r="KNG172" s="125"/>
      <c r="KNH172" s="125"/>
      <c r="KNI172" s="125"/>
      <c r="KNJ172" s="125"/>
      <c r="KNK172" s="125"/>
      <c r="KNL172" s="125"/>
      <c r="KNM172" s="125"/>
      <c r="KNN172" s="125"/>
      <c r="KNO172" s="125"/>
      <c r="KNP172" s="125"/>
      <c r="KNQ172" s="125"/>
      <c r="KNR172" s="125"/>
      <c r="KNS172" s="125"/>
      <c r="KNT172" s="125"/>
      <c r="KNU172" s="125"/>
      <c r="KNV172" s="125"/>
      <c r="KNW172" s="125"/>
      <c r="KNX172" s="125"/>
      <c r="KNY172" s="125"/>
      <c r="KNZ172" s="125"/>
      <c r="KOA172" s="125"/>
      <c r="KOB172" s="125"/>
      <c r="KOC172" s="125"/>
      <c r="KOD172" s="125"/>
      <c r="KOE172" s="125"/>
      <c r="KOF172" s="125"/>
      <c r="KOG172" s="125"/>
      <c r="KOH172" s="125"/>
      <c r="KOI172" s="125"/>
      <c r="KOJ172" s="125"/>
      <c r="KOK172" s="125"/>
      <c r="KOL172" s="125"/>
      <c r="KOM172" s="125"/>
      <c r="KON172" s="125"/>
      <c r="KOO172" s="125"/>
      <c r="KOP172" s="125"/>
      <c r="KOQ172" s="125"/>
      <c r="KOR172" s="125"/>
      <c r="KOS172" s="125"/>
      <c r="KOT172" s="125"/>
      <c r="KOU172" s="125"/>
      <c r="KOV172" s="125"/>
      <c r="KOW172" s="125"/>
      <c r="KOX172" s="125"/>
      <c r="KOY172" s="125"/>
      <c r="KOZ172" s="125"/>
      <c r="KPA172" s="125"/>
      <c r="KPB172" s="125"/>
      <c r="KPC172" s="125"/>
      <c r="KPD172" s="125"/>
      <c r="KPE172" s="125"/>
      <c r="KPF172" s="125"/>
      <c r="KPG172" s="125"/>
      <c r="KPH172" s="125"/>
      <c r="KPI172" s="125"/>
      <c r="KPJ172" s="125"/>
      <c r="KPK172" s="125"/>
      <c r="KPL172" s="125"/>
      <c r="KPM172" s="125"/>
      <c r="KPN172" s="125"/>
      <c r="KPO172" s="125"/>
      <c r="KPP172" s="125"/>
      <c r="KPQ172" s="125"/>
      <c r="KPR172" s="125"/>
      <c r="KPS172" s="125"/>
      <c r="KPT172" s="125"/>
      <c r="KPU172" s="125"/>
      <c r="KPV172" s="125"/>
      <c r="KPW172" s="125"/>
      <c r="KPX172" s="125"/>
      <c r="KPY172" s="125"/>
      <c r="KPZ172" s="125"/>
      <c r="KQA172" s="125"/>
      <c r="KQB172" s="125"/>
      <c r="KQC172" s="125"/>
      <c r="KQD172" s="125"/>
      <c r="KQE172" s="125"/>
      <c r="KQF172" s="125"/>
      <c r="KQG172" s="125"/>
      <c r="KQH172" s="125"/>
      <c r="KQI172" s="125"/>
      <c r="KQJ172" s="125"/>
      <c r="KQK172" s="125"/>
      <c r="KQL172" s="125"/>
      <c r="KQM172" s="125"/>
      <c r="KQN172" s="125"/>
      <c r="KQO172" s="125"/>
      <c r="KQP172" s="125"/>
      <c r="KQQ172" s="125"/>
      <c r="KQR172" s="125"/>
      <c r="KQS172" s="125"/>
      <c r="KQT172" s="125"/>
      <c r="KQU172" s="125"/>
      <c r="KQV172" s="125"/>
      <c r="KQW172" s="125"/>
      <c r="KQX172" s="125"/>
      <c r="KQY172" s="125"/>
      <c r="KQZ172" s="125"/>
      <c r="KRA172" s="125"/>
      <c r="KRB172" s="125"/>
      <c r="KRC172" s="125"/>
      <c r="KRD172" s="125"/>
      <c r="KRE172" s="125"/>
      <c r="KRF172" s="125"/>
      <c r="KRG172" s="125"/>
      <c r="KRH172" s="125"/>
      <c r="KRI172" s="125"/>
      <c r="KRJ172" s="125"/>
      <c r="KRK172" s="125"/>
      <c r="KRL172" s="125"/>
      <c r="KRM172" s="125"/>
      <c r="KRN172" s="125"/>
      <c r="KRO172" s="125"/>
      <c r="KRP172" s="125"/>
      <c r="KRQ172" s="125"/>
      <c r="KRR172" s="125"/>
      <c r="KRS172" s="125"/>
      <c r="KRT172" s="125"/>
      <c r="KRU172" s="125"/>
      <c r="KRV172" s="125"/>
      <c r="KRW172" s="125"/>
      <c r="KRX172" s="125"/>
      <c r="KRY172" s="125"/>
      <c r="KRZ172" s="125"/>
      <c r="KSA172" s="125"/>
      <c r="KSB172" s="125"/>
      <c r="KSC172" s="125"/>
      <c r="KSD172" s="125"/>
      <c r="KSE172" s="125"/>
      <c r="KSF172" s="125"/>
      <c r="KSG172" s="125"/>
      <c r="KSH172" s="125"/>
      <c r="KSI172" s="125"/>
      <c r="KSJ172" s="125"/>
      <c r="KSK172" s="125"/>
      <c r="KSL172" s="125"/>
      <c r="KSM172" s="125"/>
      <c r="KSN172" s="125"/>
      <c r="KSO172" s="125"/>
      <c r="KSP172" s="125"/>
      <c r="KSQ172" s="125"/>
      <c r="KSR172" s="125"/>
      <c r="KSS172" s="125"/>
      <c r="KST172" s="125"/>
      <c r="KSU172" s="125"/>
      <c r="KSV172" s="125"/>
      <c r="KSW172" s="125"/>
      <c r="KSX172" s="125"/>
      <c r="KSY172" s="125"/>
      <c r="KSZ172" s="125"/>
      <c r="KTA172" s="125"/>
      <c r="KTB172" s="125"/>
      <c r="KTC172" s="125"/>
      <c r="KTD172" s="125"/>
      <c r="KTE172" s="125"/>
      <c r="KTF172" s="125"/>
      <c r="KTG172" s="125"/>
      <c r="KTH172" s="125"/>
      <c r="KTI172" s="125"/>
      <c r="KTJ172" s="125"/>
      <c r="KTK172" s="125"/>
      <c r="KTL172" s="125"/>
      <c r="KTM172" s="125"/>
      <c r="KTN172" s="125"/>
      <c r="KTO172" s="125"/>
      <c r="KTP172" s="125"/>
      <c r="KTQ172" s="125"/>
      <c r="KTR172" s="125"/>
      <c r="KTS172" s="125"/>
      <c r="KTT172" s="125"/>
      <c r="KTU172" s="125"/>
      <c r="KTV172" s="125"/>
      <c r="KTW172" s="125"/>
      <c r="KTX172" s="125"/>
      <c r="KTY172" s="125"/>
      <c r="KTZ172" s="125"/>
      <c r="KUA172" s="125"/>
      <c r="KUB172" s="125"/>
      <c r="KUC172" s="125"/>
      <c r="KUD172" s="125"/>
      <c r="KUE172" s="125"/>
      <c r="KUF172" s="125"/>
      <c r="KUG172" s="125"/>
      <c r="KUH172" s="125"/>
      <c r="KUI172" s="125"/>
      <c r="KUJ172" s="125"/>
      <c r="KUK172" s="125"/>
      <c r="KUL172" s="125"/>
      <c r="KUM172" s="125"/>
      <c r="KUN172" s="125"/>
      <c r="KUO172" s="125"/>
      <c r="KUP172" s="125"/>
      <c r="KUQ172" s="125"/>
      <c r="KUR172" s="125"/>
      <c r="KUS172" s="125"/>
      <c r="KUT172" s="125"/>
      <c r="KUU172" s="125"/>
      <c r="KUV172" s="125"/>
      <c r="KUW172" s="125"/>
      <c r="KUX172" s="125"/>
      <c r="KUY172" s="125"/>
      <c r="KUZ172" s="125"/>
      <c r="KVA172" s="125"/>
      <c r="KVB172" s="125"/>
      <c r="KVC172" s="125"/>
      <c r="KVD172" s="125"/>
      <c r="KVE172" s="125"/>
      <c r="KVF172" s="125"/>
      <c r="KVG172" s="125"/>
      <c r="KVH172" s="125"/>
      <c r="KVI172" s="125"/>
      <c r="KVJ172" s="125"/>
      <c r="KVK172" s="125"/>
      <c r="KVL172" s="125"/>
      <c r="KVM172" s="125"/>
      <c r="KVN172" s="125"/>
      <c r="KVO172" s="125"/>
      <c r="KVP172" s="125"/>
      <c r="KVQ172" s="125"/>
      <c r="KVR172" s="125"/>
      <c r="KVS172" s="125"/>
      <c r="KVT172" s="125"/>
      <c r="KVU172" s="125"/>
      <c r="KVV172" s="125"/>
      <c r="KVW172" s="125"/>
      <c r="KVX172" s="125"/>
      <c r="KVY172" s="125"/>
      <c r="KVZ172" s="125"/>
      <c r="KWA172" s="125"/>
      <c r="KWB172" s="125"/>
      <c r="KWC172" s="125"/>
      <c r="KWD172" s="125"/>
      <c r="KWE172" s="125"/>
      <c r="KWF172" s="125"/>
      <c r="KWG172" s="125"/>
      <c r="KWH172" s="125"/>
      <c r="KWI172" s="125"/>
      <c r="KWJ172" s="125"/>
      <c r="KWK172" s="125"/>
      <c r="KWL172" s="125"/>
      <c r="KWM172" s="125"/>
      <c r="KWN172" s="125"/>
      <c r="KWO172" s="125"/>
      <c r="KWP172" s="125"/>
      <c r="KWQ172" s="125"/>
      <c r="KWR172" s="125"/>
      <c r="KWS172" s="125"/>
      <c r="KWT172" s="125"/>
      <c r="KWU172" s="125"/>
      <c r="KWV172" s="125"/>
      <c r="KWW172" s="125"/>
      <c r="KWX172" s="125"/>
      <c r="KWY172" s="125"/>
      <c r="KWZ172" s="125"/>
      <c r="KXA172" s="125"/>
      <c r="KXB172" s="125"/>
      <c r="KXC172" s="125"/>
      <c r="KXD172" s="125"/>
      <c r="KXE172" s="125"/>
      <c r="KXF172" s="125"/>
      <c r="KXG172" s="125"/>
      <c r="KXH172" s="125"/>
      <c r="KXI172" s="125"/>
      <c r="KXJ172" s="125"/>
      <c r="KXK172" s="125"/>
      <c r="KXL172" s="125"/>
      <c r="KXM172" s="125"/>
      <c r="KXN172" s="125"/>
      <c r="KXO172" s="125"/>
      <c r="KXP172" s="125"/>
      <c r="KXQ172" s="125"/>
      <c r="KXR172" s="125"/>
      <c r="KXS172" s="125"/>
      <c r="KXT172" s="125"/>
      <c r="KXU172" s="125"/>
      <c r="KXV172" s="125"/>
      <c r="KXW172" s="125"/>
      <c r="KXX172" s="125"/>
      <c r="KXY172" s="125"/>
      <c r="KXZ172" s="125"/>
      <c r="KYA172" s="125"/>
      <c r="KYB172" s="125"/>
      <c r="KYC172" s="125"/>
      <c r="KYD172" s="125"/>
      <c r="KYE172" s="125"/>
      <c r="KYF172" s="125"/>
      <c r="KYG172" s="125"/>
      <c r="KYH172" s="125"/>
      <c r="KYI172" s="125"/>
      <c r="KYJ172" s="125"/>
      <c r="KYK172" s="125"/>
      <c r="KYL172" s="125"/>
      <c r="KYM172" s="125"/>
      <c r="KYN172" s="125"/>
      <c r="KYO172" s="125"/>
      <c r="KYP172" s="125"/>
      <c r="KYQ172" s="125"/>
      <c r="KYR172" s="125"/>
      <c r="KYS172" s="125"/>
      <c r="KYT172" s="125"/>
      <c r="KYU172" s="125"/>
      <c r="KYV172" s="125"/>
      <c r="KYW172" s="125"/>
      <c r="KYX172" s="125"/>
      <c r="KYY172" s="125"/>
      <c r="KYZ172" s="125"/>
      <c r="KZA172" s="125"/>
      <c r="KZB172" s="125"/>
      <c r="KZC172" s="125"/>
      <c r="KZD172" s="125"/>
      <c r="KZE172" s="125"/>
      <c r="KZF172" s="125"/>
      <c r="KZG172" s="125"/>
      <c r="KZH172" s="125"/>
      <c r="KZI172" s="125"/>
      <c r="KZJ172" s="125"/>
      <c r="KZK172" s="125"/>
      <c r="KZL172" s="125"/>
      <c r="KZM172" s="125"/>
      <c r="KZN172" s="125"/>
      <c r="KZO172" s="125"/>
      <c r="KZP172" s="125"/>
      <c r="KZQ172" s="125"/>
      <c r="KZR172" s="125"/>
      <c r="KZS172" s="125"/>
      <c r="KZT172" s="125"/>
      <c r="KZU172" s="125"/>
      <c r="KZV172" s="125"/>
      <c r="KZW172" s="125"/>
      <c r="KZX172" s="125"/>
      <c r="KZY172" s="125"/>
      <c r="KZZ172" s="125"/>
      <c r="LAA172" s="125"/>
      <c r="LAB172" s="125"/>
      <c r="LAC172" s="125"/>
      <c r="LAD172" s="125"/>
      <c r="LAE172" s="125"/>
      <c r="LAF172" s="125"/>
      <c r="LAG172" s="125"/>
      <c r="LAH172" s="125"/>
      <c r="LAI172" s="125"/>
      <c r="LAJ172" s="125"/>
      <c r="LAK172" s="125"/>
      <c r="LAL172" s="125"/>
      <c r="LAM172" s="125"/>
      <c r="LAN172" s="125"/>
      <c r="LAO172" s="125"/>
      <c r="LAP172" s="125"/>
      <c r="LAQ172" s="125"/>
      <c r="LAR172" s="125"/>
      <c r="LAS172" s="125"/>
      <c r="LAT172" s="125"/>
      <c r="LAU172" s="125"/>
      <c r="LAV172" s="125"/>
      <c r="LAW172" s="125"/>
      <c r="LAX172" s="125"/>
      <c r="LAY172" s="125"/>
      <c r="LAZ172" s="125"/>
      <c r="LBA172" s="125"/>
      <c r="LBB172" s="125"/>
      <c r="LBC172" s="125"/>
      <c r="LBD172" s="125"/>
      <c r="LBE172" s="125"/>
      <c r="LBF172" s="125"/>
      <c r="LBG172" s="125"/>
      <c r="LBH172" s="125"/>
      <c r="LBI172" s="125"/>
      <c r="LBJ172" s="125"/>
      <c r="LBK172" s="125"/>
      <c r="LBL172" s="125"/>
      <c r="LBM172" s="125"/>
      <c r="LBN172" s="125"/>
      <c r="LBO172" s="125"/>
      <c r="LBP172" s="125"/>
      <c r="LBQ172" s="125"/>
      <c r="LBR172" s="125"/>
      <c r="LBS172" s="125"/>
      <c r="LBT172" s="125"/>
      <c r="LBU172" s="125"/>
      <c r="LBV172" s="125"/>
      <c r="LBW172" s="125"/>
      <c r="LBX172" s="125"/>
      <c r="LBY172" s="125"/>
      <c r="LBZ172" s="125"/>
      <c r="LCA172" s="125"/>
      <c r="LCB172" s="125"/>
      <c r="LCC172" s="125"/>
      <c r="LCD172" s="125"/>
      <c r="LCE172" s="125"/>
      <c r="LCF172" s="125"/>
      <c r="LCG172" s="125"/>
      <c r="LCH172" s="125"/>
      <c r="LCI172" s="125"/>
      <c r="LCJ172" s="125"/>
      <c r="LCK172" s="125"/>
      <c r="LCL172" s="125"/>
      <c r="LCM172" s="125"/>
      <c r="LCN172" s="125"/>
      <c r="LCO172" s="125"/>
      <c r="LCP172" s="125"/>
      <c r="LCQ172" s="125"/>
      <c r="LCR172" s="125"/>
      <c r="LCS172" s="125"/>
      <c r="LCT172" s="125"/>
      <c r="LCU172" s="125"/>
      <c r="LCV172" s="125"/>
      <c r="LCW172" s="125"/>
      <c r="LCX172" s="125"/>
      <c r="LCY172" s="125"/>
      <c r="LCZ172" s="125"/>
      <c r="LDA172" s="125"/>
      <c r="LDB172" s="125"/>
      <c r="LDC172" s="125"/>
      <c r="LDD172" s="125"/>
      <c r="LDE172" s="125"/>
      <c r="LDF172" s="125"/>
      <c r="LDG172" s="125"/>
      <c r="LDH172" s="125"/>
      <c r="LDI172" s="125"/>
      <c r="LDJ172" s="125"/>
      <c r="LDK172" s="125"/>
      <c r="LDL172" s="125"/>
      <c r="LDM172" s="125"/>
      <c r="LDN172" s="125"/>
      <c r="LDO172" s="125"/>
      <c r="LDP172" s="125"/>
      <c r="LDQ172" s="125"/>
      <c r="LDR172" s="125"/>
      <c r="LDS172" s="125"/>
      <c r="LDT172" s="125"/>
      <c r="LDU172" s="125"/>
      <c r="LDV172" s="125"/>
      <c r="LDW172" s="125"/>
      <c r="LDX172" s="125"/>
      <c r="LDY172" s="125"/>
      <c r="LDZ172" s="125"/>
      <c r="LEA172" s="125"/>
      <c r="LEB172" s="125"/>
      <c r="LEC172" s="125"/>
      <c r="LED172" s="125"/>
      <c r="LEE172" s="125"/>
      <c r="LEF172" s="125"/>
      <c r="LEG172" s="125"/>
      <c r="LEH172" s="125"/>
      <c r="LEI172" s="125"/>
      <c r="LEJ172" s="125"/>
      <c r="LEK172" s="125"/>
      <c r="LEL172" s="125"/>
      <c r="LEM172" s="125"/>
      <c r="LEN172" s="125"/>
      <c r="LEO172" s="125"/>
      <c r="LEP172" s="125"/>
      <c r="LEQ172" s="125"/>
      <c r="LER172" s="125"/>
      <c r="LES172" s="125"/>
      <c r="LET172" s="125"/>
      <c r="LEU172" s="125"/>
      <c r="LEV172" s="125"/>
      <c r="LEW172" s="125"/>
      <c r="LEX172" s="125"/>
      <c r="LEY172" s="125"/>
      <c r="LEZ172" s="125"/>
      <c r="LFA172" s="125"/>
      <c r="LFB172" s="125"/>
      <c r="LFC172" s="125"/>
      <c r="LFD172" s="125"/>
      <c r="LFE172" s="125"/>
      <c r="LFF172" s="125"/>
      <c r="LFG172" s="125"/>
      <c r="LFH172" s="125"/>
      <c r="LFI172" s="125"/>
      <c r="LFJ172" s="125"/>
      <c r="LFK172" s="125"/>
      <c r="LFL172" s="125"/>
      <c r="LFM172" s="125"/>
      <c r="LFN172" s="125"/>
      <c r="LFO172" s="125"/>
      <c r="LFP172" s="125"/>
      <c r="LFQ172" s="125"/>
      <c r="LFR172" s="125"/>
      <c r="LFS172" s="125"/>
      <c r="LFT172" s="125"/>
      <c r="LFU172" s="125"/>
      <c r="LFV172" s="125"/>
      <c r="LFW172" s="125"/>
      <c r="LFX172" s="125"/>
      <c r="LFY172" s="125"/>
      <c r="LFZ172" s="125"/>
      <c r="LGA172" s="125"/>
      <c r="LGB172" s="125"/>
      <c r="LGC172" s="125"/>
      <c r="LGD172" s="125"/>
      <c r="LGE172" s="125"/>
      <c r="LGF172" s="125"/>
      <c r="LGG172" s="125"/>
      <c r="LGH172" s="125"/>
      <c r="LGI172" s="125"/>
      <c r="LGJ172" s="125"/>
      <c r="LGK172" s="125"/>
      <c r="LGL172" s="125"/>
      <c r="LGM172" s="125"/>
      <c r="LGN172" s="125"/>
      <c r="LGO172" s="125"/>
      <c r="LGP172" s="125"/>
      <c r="LGQ172" s="125"/>
      <c r="LGR172" s="125"/>
      <c r="LGS172" s="125"/>
      <c r="LGT172" s="125"/>
      <c r="LGU172" s="125"/>
      <c r="LGV172" s="125"/>
      <c r="LGW172" s="125"/>
      <c r="LGX172" s="125"/>
      <c r="LGY172" s="125"/>
      <c r="LGZ172" s="125"/>
      <c r="LHA172" s="125"/>
      <c r="LHB172" s="125"/>
      <c r="LHC172" s="125"/>
      <c r="LHD172" s="125"/>
      <c r="LHE172" s="125"/>
      <c r="LHF172" s="125"/>
      <c r="LHG172" s="125"/>
      <c r="LHH172" s="125"/>
      <c r="LHI172" s="125"/>
      <c r="LHJ172" s="125"/>
      <c r="LHK172" s="125"/>
      <c r="LHL172" s="125"/>
      <c r="LHM172" s="125"/>
      <c r="LHN172" s="125"/>
      <c r="LHO172" s="125"/>
      <c r="LHP172" s="125"/>
      <c r="LHQ172" s="125"/>
      <c r="LHR172" s="125"/>
      <c r="LHS172" s="125"/>
      <c r="LHT172" s="125"/>
      <c r="LHU172" s="125"/>
      <c r="LHV172" s="125"/>
      <c r="LHW172" s="125"/>
      <c r="LHX172" s="125"/>
      <c r="LHY172" s="125"/>
      <c r="LHZ172" s="125"/>
      <c r="LIA172" s="125"/>
      <c r="LIB172" s="125"/>
      <c r="LIC172" s="125"/>
      <c r="LID172" s="125"/>
      <c r="LIE172" s="125"/>
      <c r="LIF172" s="125"/>
      <c r="LIG172" s="125"/>
      <c r="LIH172" s="125"/>
      <c r="LII172" s="125"/>
      <c r="LIJ172" s="125"/>
      <c r="LIK172" s="125"/>
      <c r="LIL172" s="125"/>
      <c r="LIM172" s="125"/>
      <c r="LIN172" s="125"/>
      <c r="LIO172" s="125"/>
      <c r="LIP172" s="125"/>
      <c r="LIQ172" s="125"/>
      <c r="LIR172" s="125"/>
      <c r="LIS172" s="125"/>
      <c r="LIT172" s="125"/>
      <c r="LIU172" s="125"/>
      <c r="LIV172" s="125"/>
      <c r="LIW172" s="125"/>
      <c r="LIX172" s="125"/>
      <c r="LIY172" s="125"/>
      <c r="LIZ172" s="125"/>
      <c r="LJA172" s="125"/>
      <c r="LJB172" s="125"/>
      <c r="LJC172" s="125"/>
      <c r="LJD172" s="125"/>
      <c r="LJE172" s="125"/>
      <c r="LJF172" s="125"/>
      <c r="LJG172" s="125"/>
      <c r="LJH172" s="125"/>
      <c r="LJI172" s="125"/>
      <c r="LJJ172" s="125"/>
      <c r="LJK172" s="125"/>
      <c r="LJL172" s="125"/>
      <c r="LJM172" s="125"/>
      <c r="LJN172" s="125"/>
      <c r="LJO172" s="125"/>
      <c r="LJP172" s="125"/>
      <c r="LJQ172" s="125"/>
      <c r="LJR172" s="125"/>
      <c r="LJS172" s="125"/>
      <c r="LJT172" s="125"/>
      <c r="LJU172" s="125"/>
      <c r="LJV172" s="125"/>
      <c r="LJW172" s="125"/>
      <c r="LJX172" s="125"/>
      <c r="LJY172" s="125"/>
      <c r="LJZ172" s="125"/>
      <c r="LKA172" s="125"/>
      <c r="LKB172" s="125"/>
      <c r="LKC172" s="125"/>
      <c r="LKD172" s="125"/>
      <c r="LKE172" s="125"/>
      <c r="LKF172" s="125"/>
      <c r="LKG172" s="125"/>
      <c r="LKH172" s="125"/>
      <c r="LKI172" s="125"/>
      <c r="LKJ172" s="125"/>
      <c r="LKK172" s="125"/>
      <c r="LKL172" s="125"/>
      <c r="LKM172" s="125"/>
      <c r="LKN172" s="125"/>
      <c r="LKO172" s="125"/>
      <c r="LKP172" s="125"/>
      <c r="LKQ172" s="125"/>
      <c r="LKR172" s="125"/>
      <c r="LKS172" s="125"/>
      <c r="LKT172" s="125"/>
      <c r="LKU172" s="125"/>
      <c r="LKV172" s="125"/>
      <c r="LKW172" s="125"/>
      <c r="LKX172" s="125"/>
      <c r="LKY172" s="125"/>
      <c r="LKZ172" s="125"/>
      <c r="LLA172" s="125"/>
      <c r="LLB172" s="125"/>
      <c r="LLC172" s="125"/>
      <c r="LLD172" s="125"/>
      <c r="LLE172" s="125"/>
      <c r="LLF172" s="125"/>
      <c r="LLG172" s="125"/>
      <c r="LLH172" s="125"/>
      <c r="LLI172" s="125"/>
      <c r="LLJ172" s="125"/>
      <c r="LLK172" s="125"/>
      <c r="LLL172" s="125"/>
      <c r="LLM172" s="125"/>
      <c r="LLN172" s="125"/>
      <c r="LLO172" s="125"/>
      <c r="LLP172" s="125"/>
      <c r="LLQ172" s="125"/>
      <c r="LLR172" s="125"/>
      <c r="LLS172" s="125"/>
      <c r="LLT172" s="125"/>
      <c r="LLU172" s="125"/>
      <c r="LLV172" s="125"/>
      <c r="LLW172" s="125"/>
      <c r="LLX172" s="125"/>
      <c r="LLY172" s="125"/>
      <c r="LLZ172" s="125"/>
      <c r="LMA172" s="125"/>
      <c r="LMB172" s="125"/>
      <c r="LMC172" s="125"/>
      <c r="LMD172" s="125"/>
      <c r="LME172" s="125"/>
      <c r="LMF172" s="125"/>
      <c r="LMG172" s="125"/>
      <c r="LMH172" s="125"/>
      <c r="LMI172" s="125"/>
      <c r="LMJ172" s="125"/>
      <c r="LMK172" s="125"/>
      <c r="LML172" s="125"/>
      <c r="LMM172" s="125"/>
      <c r="LMN172" s="125"/>
      <c r="LMO172" s="125"/>
      <c r="LMP172" s="125"/>
      <c r="LMQ172" s="125"/>
      <c r="LMR172" s="125"/>
      <c r="LMS172" s="125"/>
      <c r="LMT172" s="125"/>
      <c r="LMU172" s="125"/>
      <c r="LMV172" s="125"/>
      <c r="LMW172" s="125"/>
      <c r="LMX172" s="125"/>
      <c r="LMY172" s="125"/>
      <c r="LMZ172" s="125"/>
      <c r="LNA172" s="125"/>
      <c r="LNB172" s="125"/>
      <c r="LNC172" s="125"/>
      <c r="LND172" s="125"/>
      <c r="LNE172" s="125"/>
      <c r="LNF172" s="125"/>
      <c r="LNG172" s="125"/>
      <c r="LNH172" s="125"/>
      <c r="LNI172" s="125"/>
      <c r="LNJ172" s="125"/>
      <c r="LNK172" s="125"/>
      <c r="LNL172" s="125"/>
      <c r="LNM172" s="125"/>
      <c r="LNN172" s="125"/>
      <c r="LNO172" s="125"/>
      <c r="LNP172" s="125"/>
      <c r="LNQ172" s="125"/>
      <c r="LNR172" s="125"/>
      <c r="LNS172" s="125"/>
      <c r="LNT172" s="125"/>
      <c r="LNU172" s="125"/>
      <c r="LNV172" s="125"/>
      <c r="LNW172" s="125"/>
      <c r="LNX172" s="125"/>
      <c r="LNY172" s="125"/>
      <c r="LNZ172" s="125"/>
      <c r="LOA172" s="125"/>
      <c r="LOB172" s="125"/>
      <c r="LOC172" s="125"/>
      <c r="LOD172" s="125"/>
      <c r="LOE172" s="125"/>
      <c r="LOF172" s="125"/>
      <c r="LOG172" s="125"/>
      <c r="LOH172" s="125"/>
      <c r="LOI172" s="125"/>
      <c r="LOJ172" s="125"/>
      <c r="LOK172" s="125"/>
      <c r="LOL172" s="125"/>
      <c r="LOM172" s="125"/>
      <c r="LON172" s="125"/>
      <c r="LOO172" s="125"/>
      <c r="LOP172" s="125"/>
      <c r="LOQ172" s="125"/>
      <c r="LOR172" s="125"/>
      <c r="LOS172" s="125"/>
      <c r="LOT172" s="125"/>
      <c r="LOU172" s="125"/>
      <c r="LOV172" s="125"/>
      <c r="LOW172" s="125"/>
      <c r="LOX172" s="125"/>
      <c r="LOY172" s="125"/>
      <c r="LOZ172" s="125"/>
      <c r="LPA172" s="125"/>
      <c r="LPB172" s="125"/>
      <c r="LPC172" s="125"/>
      <c r="LPD172" s="125"/>
      <c r="LPE172" s="125"/>
      <c r="LPF172" s="125"/>
      <c r="LPG172" s="125"/>
      <c r="LPH172" s="125"/>
      <c r="LPI172" s="125"/>
      <c r="LPJ172" s="125"/>
      <c r="LPK172" s="125"/>
      <c r="LPL172" s="125"/>
      <c r="LPM172" s="125"/>
      <c r="LPN172" s="125"/>
      <c r="LPO172" s="125"/>
      <c r="LPP172" s="125"/>
      <c r="LPQ172" s="125"/>
      <c r="LPR172" s="125"/>
      <c r="LPS172" s="125"/>
      <c r="LPT172" s="125"/>
      <c r="LPU172" s="125"/>
      <c r="LPV172" s="125"/>
      <c r="LPW172" s="125"/>
      <c r="LPX172" s="125"/>
      <c r="LPY172" s="125"/>
      <c r="LPZ172" s="125"/>
      <c r="LQA172" s="125"/>
      <c r="LQB172" s="125"/>
      <c r="LQC172" s="125"/>
      <c r="LQD172" s="125"/>
      <c r="LQE172" s="125"/>
      <c r="LQF172" s="125"/>
      <c r="LQG172" s="125"/>
      <c r="LQH172" s="125"/>
      <c r="LQI172" s="125"/>
      <c r="LQJ172" s="125"/>
      <c r="LQK172" s="125"/>
      <c r="LQL172" s="125"/>
      <c r="LQM172" s="125"/>
      <c r="LQN172" s="125"/>
      <c r="LQO172" s="125"/>
      <c r="LQP172" s="125"/>
      <c r="LQQ172" s="125"/>
      <c r="LQR172" s="125"/>
      <c r="LQS172" s="125"/>
      <c r="LQT172" s="125"/>
      <c r="LQU172" s="125"/>
      <c r="LQV172" s="125"/>
      <c r="LQW172" s="125"/>
      <c r="LQX172" s="125"/>
      <c r="LQY172" s="125"/>
      <c r="LQZ172" s="125"/>
      <c r="LRA172" s="125"/>
      <c r="LRB172" s="125"/>
      <c r="LRC172" s="125"/>
      <c r="LRD172" s="125"/>
      <c r="LRE172" s="125"/>
      <c r="LRF172" s="125"/>
      <c r="LRG172" s="125"/>
      <c r="LRH172" s="125"/>
      <c r="LRI172" s="125"/>
      <c r="LRJ172" s="125"/>
      <c r="LRK172" s="125"/>
      <c r="LRL172" s="125"/>
      <c r="LRM172" s="125"/>
      <c r="LRN172" s="125"/>
      <c r="LRO172" s="125"/>
      <c r="LRP172" s="125"/>
      <c r="LRQ172" s="125"/>
      <c r="LRR172" s="125"/>
      <c r="LRS172" s="125"/>
      <c r="LRT172" s="125"/>
      <c r="LRU172" s="125"/>
      <c r="LRV172" s="125"/>
      <c r="LRW172" s="125"/>
      <c r="LRX172" s="125"/>
      <c r="LRY172" s="125"/>
      <c r="LRZ172" s="125"/>
      <c r="LSA172" s="125"/>
      <c r="LSB172" s="125"/>
      <c r="LSC172" s="125"/>
      <c r="LSD172" s="125"/>
      <c r="LSE172" s="125"/>
      <c r="LSF172" s="125"/>
      <c r="LSG172" s="125"/>
      <c r="LSH172" s="125"/>
      <c r="LSI172" s="125"/>
      <c r="LSJ172" s="125"/>
      <c r="LSK172" s="125"/>
      <c r="LSL172" s="125"/>
      <c r="LSM172" s="125"/>
      <c r="LSN172" s="125"/>
      <c r="LSO172" s="125"/>
      <c r="LSP172" s="125"/>
      <c r="LSQ172" s="125"/>
      <c r="LSR172" s="125"/>
      <c r="LSS172" s="125"/>
      <c r="LST172" s="125"/>
      <c r="LSU172" s="125"/>
      <c r="LSV172" s="125"/>
      <c r="LSW172" s="125"/>
      <c r="LSX172" s="125"/>
      <c r="LSY172" s="125"/>
      <c r="LSZ172" s="125"/>
      <c r="LTA172" s="125"/>
      <c r="LTB172" s="125"/>
      <c r="LTC172" s="125"/>
      <c r="LTD172" s="125"/>
      <c r="LTE172" s="125"/>
      <c r="LTF172" s="125"/>
      <c r="LTG172" s="125"/>
      <c r="LTH172" s="125"/>
      <c r="LTI172" s="125"/>
      <c r="LTJ172" s="125"/>
      <c r="LTK172" s="125"/>
      <c r="LTL172" s="125"/>
      <c r="LTM172" s="125"/>
      <c r="LTN172" s="125"/>
      <c r="LTO172" s="125"/>
      <c r="LTP172" s="125"/>
      <c r="LTQ172" s="125"/>
      <c r="LTR172" s="125"/>
      <c r="LTS172" s="125"/>
      <c r="LTT172" s="125"/>
      <c r="LTU172" s="125"/>
      <c r="LTV172" s="125"/>
      <c r="LTW172" s="125"/>
      <c r="LTX172" s="125"/>
      <c r="LTY172" s="125"/>
      <c r="LTZ172" s="125"/>
      <c r="LUA172" s="125"/>
      <c r="LUB172" s="125"/>
      <c r="LUC172" s="125"/>
      <c r="LUD172" s="125"/>
      <c r="LUE172" s="125"/>
      <c r="LUF172" s="125"/>
      <c r="LUG172" s="125"/>
      <c r="LUH172" s="125"/>
      <c r="LUI172" s="125"/>
      <c r="LUJ172" s="125"/>
      <c r="LUK172" s="125"/>
      <c r="LUL172" s="125"/>
      <c r="LUM172" s="125"/>
      <c r="LUN172" s="125"/>
      <c r="LUO172" s="125"/>
      <c r="LUP172" s="125"/>
      <c r="LUQ172" s="125"/>
      <c r="LUR172" s="125"/>
      <c r="LUS172" s="125"/>
      <c r="LUT172" s="125"/>
      <c r="LUU172" s="125"/>
      <c r="LUV172" s="125"/>
      <c r="LUW172" s="125"/>
      <c r="LUX172" s="125"/>
      <c r="LUY172" s="125"/>
      <c r="LUZ172" s="125"/>
      <c r="LVA172" s="125"/>
      <c r="LVB172" s="125"/>
      <c r="LVC172" s="125"/>
      <c r="LVD172" s="125"/>
      <c r="LVE172" s="125"/>
      <c r="LVF172" s="125"/>
      <c r="LVG172" s="125"/>
      <c r="LVH172" s="125"/>
      <c r="LVI172" s="125"/>
      <c r="LVJ172" s="125"/>
      <c r="LVK172" s="125"/>
      <c r="LVL172" s="125"/>
      <c r="LVM172" s="125"/>
      <c r="LVN172" s="125"/>
      <c r="LVO172" s="125"/>
      <c r="LVP172" s="125"/>
      <c r="LVQ172" s="125"/>
      <c r="LVR172" s="125"/>
      <c r="LVS172" s="125"/>
      <c r="LVT172" s="125"/>
      <c r="LVU172" s="125"/>
      <c r="LVV172" s="125"/>
      <c r="LVW172" s="125"/>
      <c r="LVX172" s="125"/>
      <c r="LVY172" s="125"/>
      <c r="LVZ172" s="125"/>
      <c r="LWA172" s="125"/>
      <c r="LWB172" s="125"/>
      <c r="LWC172" s="125"/>
      <c r="LWD172" s="125"/>
      <c r="LWE172" s="125"/>
      <c r="LWF172" s="125"/>
      <c r="LWG172" s="125"/>
      <c r="LWH172" s="125"/>
      <c r="LWI172" s="125"/>
      <c r="LWJ172" s="125"/>
      <c r="LWK172" s="125"/>
      <c r="LWL172" s="125"/>
      <c r="LWM172" s="125"/>
      <c r="LWN172" s="125"/>
      <c r="LWO172" s="125"/>
      <c r="LWP172" s="125"/>
      <c r="LWQ172" s="125"/>
      <c r="LWR172" s="125"/>
      <c r="LWS172" s="125"/>
      <c r="LWT172" s="125"/>
      <c r="LWU172" s="125"/>
      <c r="LWV172" s="125"/>
      <c r="LWW172" s="125"/>
      <c r="LWX172" s="125"/>
      <c r="LWY172" s="125"/>
      <c r="LWZ172" s="125"/>
      <c r="LXA172" s="125"/>
      <c r="LXB172" s="125"/>
      <c r="LXC172" s="125"/>
      <c r="LXD172" s="125"/>
      <c r="LXE172" s="125"/>
      <c r="LXF172" s="125"/>
      <c r="LXG172" s="125"/>
      <c r="LXH172" s="125"/>
      <c r="LXI172" s="125"/>
      <c r="LXJ172" s="125"/>
      <c r="LXK172" s="125"/>
      <c r="LXL172" s="125"/>
      <c r="LXM172" s="125"/>
      <c r="LXN172" s="125"/>
      <c r="LXO172" s="125"/>
      <c r="LXP172" s="125"/>
      <c r="LXQ172" s="125"/>
      <c r="LXR172" s="125"/>
      <c r="LXS172" s="125"/>
      <c r="LXT172" s="125"/>
      <c r="LXU172" s="125"/>
      <c r="LXV172" s="125"/>
      <c r="LXW172" s="125"/>
      <c r="LXX172" s="125"/>
      <c r="LXY172" s="125"/>
      <c r="LXZ172" s="125"/>
      <c r="LYA172" s="125"/>
      <c r="LYB172" s="125"/>
      <c r="LYC172" s="125"/>
      <c r="LYD172" s="125"/>
      <c r="LYE172" s="125"/>
      <c r="LYF172" s="125"/>
      <c r="LYG172" s="125"/>
      <c r="LYH172" s="125"/>
      <c r="LYI172" s="125"/>
      <c r="LYJ172" s="125"/>
      <c r="LYK172" s="125"/>
      <c r="LYL172" s="125"/>
      <c r="LYM172" s="125"/>
      <c r="LYN172" s="125"/>
      <c r="LYO172" s="125"/>
      <c r="LYP172" s="125"/>
      <c r="LYQ172" s="125"/>
      <c r="LYR172" s="125"/>
      <c r="LYS172" s="125"/>
      <c r="LYT172" s="125"/>
      <c r="LYU172" s="125"/>
      <c r="LYV172" s="125"/>
      <c r="LYW172" s="125"/>
      <c r="LYX172" s="125"/>
      <c r="LYY172" s="125"/>
      <c r="LYZ172" s="125"/>
      <c r="LZA172" s="125"/>
      <c r="LZB172" s="125"/>
      <c r="LZC172" s="125"/>
      <c r="LZD172" s="125"/>
      <c r="LZE172" s="125"/>
      <c r="LZF172" s="125"/>
      <c r="LZG172" s="125"/>
      <c r="LZH172" s="125"/>
      <c r="LZI172" s="125"/>
      <c r="LZJ172" s="125"/>
      <c r="LZK172" s="125"/>
      <c r="LZL172" s="125"/>
      <c r="LZM172" s="125"/>
      <c r="LZN172" s="125"/>
      <c r="LZO172" s="125"/>
      <c r="LZP172" s="125"/>
      <c r="LZQ172" s="125"/>
      <c r="LZR172" s="125"/>
      <c r="LZS172" s="125"/>
      <c r="LZT172" s="125"/>
      <c r="LZU172" s="125"/>
      <c r="LZV172" s="125"/>
      <c r="LZW172" s="125"/>
      <c r="LZX172" s="125"/>
      <c r="LZY172" s="125"/>
      <c r="LZZ172" s="125"/>
      <c r="MAA172" s="125"/>
      <c r="MAB172" s="125"/>
      <c r="MAC172" s="125"/>
      <c r="MAD172" s="125"/>
      <c r="MAE172" s="125"/>
      <c r="MAF172" s="125"/>
      <c r="MAG172" s="125"/>
      <c r="MAH172" s="125"/>
      <c r="MAI172" s="125"/>
      <c r="MAJ172" s="125"/>
      <c r="MAK172" s="125"/>
      <c r="MAL172" s="125"/>
      <c r="MAM172" s="125"/>
      <c r="MAN172" s="125"/>
      <c r="MAO172" s="125"/>
      <c r="MAP172" s="125"/>
      <c r="MAQ172" s="125"/>
      <c r="MAR172" s="125"/>
      <c r="MAS172" s="125"/>
      <c r="MAT172" s="125"/>
      <c r="MAU172" s="125"/>
      <c r="MAV172" s="125"/>
      <c r="MAW172" s="125"/>
      <c r="MAX172" s="125"/>
      <c r="MAY172" s="125"/>
      <c r="MAZ172" s="125"/>
      <c r="MBA172" s="125"/>
      <c r="MBB172" s="125"/>
      <c r="MBC172" s="125"/>
      <c r="MBD172" s="125"/>
      <c r="MBE172" s="125"/>
      <c r="MBF172" s="125"/>
      <c r="MBG172" s="125"/>
      <c r="MBH172" s="125"/>
      <c r="MBI172" s="125"/>
      <c r="MBJ172" s="125"/>
      <c r="MBK172" s="125"/>
      <c r="MBL172" s="125"/>
      <c r="MBM172" s="125"/>
      <c r="MBN172" s="125"/>
      <c r="MBO172" s="125"/>
      <c r="MBP172" s="125"/>
      <c r="MBQ172" s="125"/>
      <c r="MBR172" s="125"/>
      <c r="MBS172" s="125"/>
      <c r="MBT172" s="125"/>
      <c r="MBU172" s="125"/>
      <c r="MBV172" s="125"/>
      <c r="MBW172" s="125"/>
      <c r="MBX172" s="125"/>
      <c r="MBY172" s="125"/>
      <c r="MBZ172" s="125"/>
      <c r="MCA172" s="125"/>
      <c r="MCB172" s="125"/>
      <c r="MCC172" s="125"/>
      <c r="MCD172" s="125"/>
      <c r="MCE172" s="125"/>
      <c r="MCF172" s="125"/>
      <c r="MCG172" s="125"/>
      <c r="MCH172" s="125"/>
      <c r="MCI172" s="125"/>
      <c r="MCJ172" s="125"/>
      <c r="MCK172" s="125"/>
      <c r="MCL172" s="125"/>
      <c r="MCM172" s="125"/>
      <c r="MCN172" s="125"/>
      <c r="MCO172" s="125"/>
      <c r="MCP172" s="125"/>
      <c r="MCQ172" s="125"/>
      <c r="MCR172" s="125"/>
      <c r="MCS172" s="125"/>
      <c r="MCT172" s="125"/>
      <c r="MCU172" s="125"/>
      <c r="MCV172" s="125"/>
      <c r="MCW172" s="125"/>
      <c r="MCX172" s="125"/>
      <c r="MCY172" s="125"/>
      <c r="MCZ172" s="125"/>
      <c r="MDA172" s="125"/>
      <c r="MDB172" s="125"/>
      <c r="MDC172" s="125"/>
      <c r="MDD172" s="125"/>
      <c r="MDE172" s="125"/>
      <c r="MDF172" s="125"/>
      <c r="MDG172" s="125"/>
      <c r="MDH172" s="125"/>
      <c r="MDI172" s="125"/>
      <c r="MDJ172" s="125"/>
      <c r="MDK172" s="125"/>
      <c r="MDL172" s="125"/>
      <c r="MDM172" s="125"/>
      <c r="MDN172" s="125"/>
      <c r="MDO172" s="125"/>
      <c r="MDP172" s="125"/>
      <c r="MDQ172" s="125"/>
      <c r="MDR172" s="125"/>
      <c r="MDS172" s="125"/>
      <c r="MDT172" s="125"/>
      <c r="MDU172" s="125"/>
      <c r="MDV172" s="125"/>
      <c r="MDW172" s="125"/>
      <c r="MDX172" s="125"/>
      <c r="MDY172" s="125"/>
      <c r="MDZ172" s="125"/>
      <c r="MEA172" s="125"/>
      <c r="MEB172" s="125"/>
      <c r="MEC172" s="125"/>
      <c r="MED172" s="125"/>
      <c r="MEE172" s="125"/>
      <c r="MEF172" s="125"/>
      <c r="MEG172" s="125"/>
      <c r="MEH172" s="125"/>
      <c r="MEI172" s="125"/>
      <c r="MEJ172" s="125"/>
      <c r="MEK172" s="125"/>
      <c r="MEL172" s="125"/>
      <c r="MEM172" s="125"/>
      <c r="MEN172" s="125"/>
      <c r="MEO172" s="125"/>
      <c r="MEP172" s="125"/>
      <c r="MEQ172" s="125"/>
      <c r="MER172" s="125"/>
      <c r="MES172" s="125"/>
      <c r="MET172" s="125"/>
      <c r="MEU172" s="125"/>
      <c r="MEV172" s="125"/>
      <c r="MEW172" s="125"/>
      <c r="MEX172" s="125"/>
      <c r="MEY172" s="125"/>
      <c r="MEZ172" s="125"/>
      <c r="MFA172" s="125"/>
      <c r="MFB172" s="125"/>
      <c r="MFC172" s="125"/>
      <c r="MFD172" s="125"/>
      <c r="MFE172" s="125"/>
      <c r="MFF172" s="125"/>
      <c r="MFG172" s="125"/>
      <c r="MFH172" s="125"/>
      <c r="MFI172" s="125"/>
      <c r="MFJ172" s="125"/>
      <c r="MFK172" s="125"/>
      <c r="MFL172" s="125"/>
      <c r="MFM172" s="125"/>
      <c r="MFN172" s="125"/>
      <c r="MFO172" s="125"/>
      <c r="MFP172" s="125"/>
      <c r="MFQ172" s="125"/>
      <c r="MFR172" s="125"/>
      <c r="MFS172" s="125"/>
      <c r="MFT172" s="125"/>
      <c r="MFU172" s="125"/>
      <c r="MFV172" s="125"/>
      <c r="MFW172" s="125"/>
      <c r="MFX172" s="125"/>
      <c r="MFY172" s="125"/>
      <c r="MFZ172" s="125"/>
      <c r="MGA172" s="125"/>
      <c r="MGB172" s="125"/>
      <c r="MGC172" s="125"/>
      <c r="MGD172" s="125"/>
      <c r="MGE172" s="125"/>
      <c r="MGF172" s="125"/>
      <c r="MGG172" s="125"/>
      <c r="MGH172" s="125"/>
      <c r="MGI172" s="125"/>
      <c r="MGJ172" s="125"/>
      <c r="MGK172" s="125"/>
      <c r="MGL172" s="125"/>
      <c r="MGM172" s="125"/>
      <c r="MGN172" s="125"/>
      <c r="MGO172" s="125"/>
      <c r="MGP172" s="125"/>
      <c r="MGQ172" s="125"/>
      <c r="MGR172" s="125"/>
      <c r="MGS172" s="125"/>
      <c r="MGT172" s="125"/>
      <c r="MGU172" s="125"/>
      <c r="MGV172" s="125"/>
      <c r="MGW172" s="125"/>
      <c r="MGX172" s="125"/>
      <c r="MGY172" s="125"/>
      <c r="MGZ172" s="125"/>
      <c r="MHA172" s="125"/>
      <c r="MHB172" s="125"/>
      <c r="MHC172" s="125"/>
      <c r="MHD172" s="125"/>
      <c r="MHE172" s="125"/>
      <c r="MHF172" s="125"/>
      <c r="MHG172" s="125"/>
      <c r="MHH172" s="125"/>
      <c r="MHI172" s="125"/>
      <c r="MHJ172" s="125"/>
      <c r="MHK172" s="125"/>
      <c r="MHL172" s="125"/>
      <c r="MHM172" s="125"/>
      <c r="MHN172" s="125"/>
      <c r="MHO172" s="125"/>
      <c r="MHP172" s="125"/>
      <c r="MHQ172" s="125"/>
      <c r="MHR172" s="125"/>
      <c r="MHS172" s="125"/>
      <c r="MHT172" s="125"/>
      <c r="MHU172" s="125"/>
      <c r="MHV172" s="125"/>
      <c r="MHW172" s="125"/>
      <c r="MHX172" s="125"/>
      <c r="MHY172" s="125"/>
      <c r="MHZ172" s="125"/>
      <c r="MIA172" s="125"/>
      <c r="MIB172" s="125"/>
      <c r="MIC172" s="125"/>
      <c r="MID172" s="125"/>
      <c r="MIE172" s="125"/>
      <c r="MIF172" s="125"/>
      <c r="MIG172" s="125"/>
      <c r="MIH172" s="125"/>
      <c r="MII172" s="125"/>
      <c r="MIJ172" s="125"/>
      <c r="MIK172" s="125"/>
      <c r="MIL172" s="125"/>
      <c r="MIM172" s="125"/>
      <c r="MIN172" s="125"/>
      <c r="MIO172" s="125"/>
      <c r="MIP172" s="125"/>
      <c r="MIQ172" s="125"/>
      <c r="MIR172" s="125"/>
      <c r="MIS172" s="125"/>
      <c r="MIT172" s="125"/>
      <c r="MIU172" s="125"/>
      <c r="MIV172" s="125"/>
      <c r="MIW172" s="125"/>
      <c r="MIX172" s="125"/>
      <c r="MIY172" s="125"/>
      <c r="MIZ172" s="125"/>
      <c r="MJA172" s="125"/>
      <c r="MJB172" s="125"/>
      <c r="MJC172" s="125"/>
      <c r="MJD172" s="125"/>
      <c r="MJE172" s="125"/>
      <c r="MJF172" s="125"/>
      <c r="MJG172" s="125"/>
      <c r="MJH172" s="125"/>
      <c r="MJI172" s="125"/>
      <c r="MJJ172" s="125"/>
      <c r="MJK172" s="125"/>
      <c r="MJL172" s="125"/>
      <c r="MJM172" s="125"/>
      <c r="MJN172" s="125"/>
      <c r="MJO172" s="125"/>
      <c r="MJP172" s="125"/>
      <c r="MJQ172" s="125"/>
      <c r="MJR172" s="125"/>
      <c r="MJS172" s="125"/>
      <c r="MJT172" s="125"/>
      <c r="MJU172" s="125"/>
      <c r="MJV172" s="125"/>
      <c r="MJW172" s="125"/>
      <c r="MJX172" s="125"/>
      <c r="MJY172" s="125"/>
      <c r="MJZ172" s="125"/>
      <c r="MKA172" s="125"/>
      <c r="MKB172" s="125"/>
      <c r="MKC172" s="125"/>
      <c r="MKD172" s="125"/>
      <c r="MKE172" s="125"/>
      <c r="MKF172" s="125"/>
      <c r="MKG172" s="125"/>
      <c r="MKH172" s="125"/>
      <c r="MKI172" s="125"/>
      <c r="MKJ172" s="125"/>
      <c r="MKK172" s="125"/>
      <c r="MKL172" s="125"/>
      <c r="MKM172" s="125"/>
      <c r="MKN172" s="125"/>
      <c r="MKO172" s="125"/>
      <c r="MKP172" s="125"/>
      <c r="MKQ172" s="125"/>
      <c r="MKR172" s="125"/>
      <c r="MKS172" s="125"/>
      <c r="MKT172" s="125"/>
      <c r="MKU172" s="125"/>
      <c r="MKV172" s="125"/>
      <c r="MKW172" s="125"/>
      <c r="MKX172" s="125"/>
      <c r="MKY172" s="125"/>
      <c r="MKZ172" s="125"/>
      <c r="MLA172" s="125"/>
      <c r="MLB172" s="125"/>
      <c r="MLC172" s="125"/>
      <c r="MLD172" s="125"/>
      <c r="MLE172" s="125"/>
      <c r="MLF172" s="125"/>
      <c r="MLG172" s="125"/>
      <c r="MLH172" s="125"/>
      <c r="MLI172" s="125"/>
      <c r="MLJ172" s="125"/>
      <c r="MLK172" s="125"/>
      <c r="MLL172" s="125"/>
      <c r="MLM172" s="125"/>
      <c r="MLN172" s="125"/>
      <c r="MLO172" s="125"/>
      <c r="MLP172" s="125"/>
      <c r="MLQ172" s="125"/>
      <c r="MLR172" s="125"/>
      <c r="MLS172" s="125"/>
      <c r="MLT172" s="125"/>
      <c r="MLU172" s="125"/>
      <c r="MLV172" s="125"/>
      <c r="MLW172" s="125"/>
      <c r="MLX172" s="125"/>
      <c r="MLY172" s="125"/>
      <c r="MLZ172" s="125"/>
      <c r="MMA172" s="125"/>
      <c r="MMB172" s="125"/>
      <c r="MMC172" s="125"/>
      <c r="MMD172" s="125"/>
      <c r="MME172" s="125"/>
      <c r="MMF172" s="125"/>
      <c r="MMG172" s="125"/>
      <c r="MMH172" s="125"/>
      <c r="MMI172" s="125"/>
      <c r="MMJ172" s="125"/>
      <c r="MMK172" s="125"/>
      <c r="MML172" s="125"/>
      <c r="MMM172" s="125"/>
      <c r="MMN172" s="125"/>
      <c r="MMO172" s="125"/>
      <c r="MMP172" s="125"/>
      <c r="MMQ172" s="125"/>
      <c r="MMR172" s="125"/>
      <c r="MMS172" s="125"/>
      <c r="MMT172" s="125"/>
      <c r="MMU172" s="125"/>
      <c r="MMV172" s="125"/>
      <c r="MMW172" s="125"/>
      <c r="MMX172" s="125"/>
      <c r="MMY172" s="125"/>
      <c r="MMZ172" s="125"/>
      <c r="MNA172" s="125"/>
      <c r="MNB172" s="125"/>
      <c r="MNC172" s="125"/>
      <c r="MND172" s="125"/>
      <c r="MNE172" s="125"/>
      <c r="MNF172" s="125"/>
      <c r="MNG172" s="125"/>
      <c r="MNH172" s="125"/>
      <c r="MNI172" s="125"/>
      <c r="MNJ172" s="125"/>
      <c r="MNK172" s="125"/>
      <c r="MNL172" s="125"/>
      <c r="MNM172" s="125"/>
      <c r="MNN172" s="125"/>
      <c r="MNO172" s="125"/>
      <c r="MNP172" s="125"/>
      <c r="MNQ172" s="125"/>
      <c r="MNR172" s="125"/>
      <c r="MNS172" s="125"/>
      <c r="MNT172" s="125"/>
      <c r="MNU172" s="125"/>
      <c r="MNV172" s="125"/>
      <c r="MNW172" s="125"/>
      <c r="MNX172" s="125"/>
      <c r="MNY172" s="125"/>
      <c r="MNZ172" s="125"/>
      <c r="MOA172" s="125"/>
      <c r="MOB172" s="125"/>
      <c r="MOC172" s="125"/>
      <c r="MOD172" s="125"/>
      <c r="MOE172" s="125"/>
      <c r="MOF172" s="125"/>
      <c r="MOG172" s="125"/>
      <c r="MOH172" s="125"/>
      <c r="MOI172" s="125"/>
      <c r="MOJ172" s="125"/>
      <c r="MOK172" s="125"/>
      <c r="MOL172" s="125"/>
      <c r="MOM172" s="125"/>
      <c r="MON172" s="125"/>
      <c r="MOO172" s="125"/>
      <c r="MOP172" s="125"/>
      <c r="MOQ172" s="125"/>
      <c r="MOR172" s="125"/>
      <c r="MOS172" s="125"/>
      <c r="MOT172" s="125"/>
      <c r="MOU172" s="125"/>
      <c r="MOV172" s="125"/>
      <c r="MOW172" s="125"/>
      <c r="MOX172" s="125"/>
      <c r="MOY172" s="125"/>
      <c r="MOZ172" s="125"/>
      <c r="MPA172" s="125"/>
      <c r="MPB172" s="125"/>
      <c r="MPC172" s="125"/>
      <c r="MPD172" s="125"/>
      <c r="MPE172" s="125"/>
      <c r="MPF172" s="125"/>
      <c r="MPG172" s="125"/>
      <c r="MPH172" s="125"/>
      <c r="MPI172" s="125"/>
      <c r="MPJ172" s="125"/>
      <c r="MPK172" s="125"/>
      <c r="MPL172" s="125"/>
      <c r="MPM172" s="125"/>
      <c r="MPN172" s="125"/>
      <c r="MPO172" s="125"/>
      <c r="MPP172" s="125"/>
      <c r="MPQ172" s="125"/>
      <c r="MPR172" s="125"/>
      <c r="MPS172" s="125"/>
      <c r="MPT172" s="125"/>
      <c r="MPU172" s="125"/>
      <c r="MPV172" s="125"/>
      <c r="MPW172" s="125"/>
      <c r="MPX172" s="125"/>
      <c r="MPY172" s="125"/>
      <c r="MPZ172" s="125"/>
      <c r="MQA172" s="125"/>
      <c r="MQB172" s="125"/>
      <c r="MQC172" s="125"/>
      <c r="MQD172" s="125"/>
      <c r="MQE172" s="125"/>
      <c r="MQF172" s="125"/>
      <c r="MQG172" s="125"/>
      <c r="MQH172" s="125"/>
      <c r="MQI172" s="125"/>
      <c r="MQJ172" s="125"/>
      <c r="MQK172" s="125"/>
      <c r="MQL172" s="125"/>
      <c r="MQM172" s="125"/>
      <c r="MQN172" s="125"/>
      <c r="MQO172" s="125"/>
      <c r="MQP172" s="125"/>
      <c r="MQQ172" s="125"/>
      <c r="MQR172" s="125"/>
      <c r="MQS172" s="125"/>
      <c r="MQT172" s="125"/>
      <c r="MQU172" s="125"/>
      <c r="MQV172" s="125"/>
      <c r="MQW172" s="125"/>
      <c r="MQX172" s="125"/>
      <c r="MQY172" s="125"/>
      <c r="MQZ172" s="125"/>
      <c r="MRA172" s="125"/>
      <c r="MRB172" s="125"/>
      <c r="MRC172" s="125"/>
      <c r="MRD172" s="125"/>
      <c r="MRE172" s="125"/>
      <c r="MRF172" s="125"/>
      <c r="MRG172" s="125"/>
      <c r="MRH172" s="125"/>
      <c r="MRI172" s="125"/>
      <c r="MRJ172" s="125"/>
      <c r="MRK172" s="125"/>
      <c r="MRL172" s="125"/>
      <c r="MRM172" s="125"/>
      <c r="MRN172" s="125"/>
      <c r="MRO172" s="125"/>
      <c r="MRP172" s="125"/>
      <c r="MRQ172" s="125"/>
      <c r="MRR172" s="125"/>
      <c r="MRS172" s="125"/>
      <c r="MRT172" s="125"/>
      <c r="MRU172" s="125"/>
      <c r="MRV172" s="125"/>
      <c r="MRW172" s="125"/>
      <c r="MRX172" s="125"/>
      <c r="MRY172" s="125"/>
      <c r="MRZ172" s="125"/>
      <c r="MSA172" s="125"/>
      <c r="MSB172" s="125"/>
      <c r="MSC172" s="125"/>
      <c r="MSD172" s="125"/>
      <c r="MSE172" s="125"/>
      <c r="MSF172" s="125"/>
      <c r="MSG172" s="125"/>
      <c r="MSH172" s="125"/>
      <c r="MSI172" s="125"/>
      <c r="MSJ172" s="125"/>
      <c r="MSK172" s="125"/>
      <c r="MSL172" s="125"/>
      <c r="MSM172" s="125"/>
      <c r="MSN172" s="125"/>
      <c r="MSO172" s="125"/>
      <c r="MSP172" s="125"/>
      <c r="MSQ172" s="125"/>
      <c r="MSR172" s="125"/>
      <c r="MSS172" s="125"/>
      <c r="MST172" s="125"/>
      <c r="MSU172" s="125"/>
      <c r="MSV172" s="125"/>
      <c r="MSW172" s="125"/>
      <c r="MSX172" s="125"/>
      <c r="MSY172" s="125"/>
      <c r="MSZ172" s="125"/>
      <c r="MTA172" s="125"/>
      <c r="MTB172" s="125"/>
      <c r="MTC172" s="125"/>
      <c r="MTD172" s="125"/>
      <c r="MTE172" s="125"/>
      <c r="MTF172" s="125"/>
      <c r="MTG172" s="125"/>
      <c r="MTH172" s="125"/>
      <c r="MTI172" s="125"/>
      <c r="MTJ172" s="125"/>
      <c r="MTK172" s="125"/>
      <c r="MTL172" s="125"/>
      <c r="MTM172" s="125"/>
      <c r="MTN172" s="125"/>
      <c r="MTO172" s="125"/>
      <c r="MTP172" s="125"/>
      <c r="MTQ172" s="125"/>
      <c r="MTR172" s="125"/>
      <c r="MTS172" s="125"/>
      <c r="MTT172" s="125"/>
      <c r="MTU172" s="125"/>
      <c r="MTV172" s="125"/>
      <c r="MTW172" s="125"/>
      <c r="MTX172" s="125"/>
      <c r="MTY172" s="125"/>
      <c r="MTZ172" s="125"/>
      <c r="MUA172" s="125"/>
      <c r="MUB172" s="125"/>
      <c r="MUC172" s="125"/>
      <c r="MUD172" s="125"/>
      <c r="MUE172" s="125"/>
      <c r="MUF172" s="125"/>
      <c r="MUG172" s="125"/>
      <c r="MUH172" s="125"/>
      <c r="MUI172" s="125"/>
      <c r="MUJ172" s="125"/>
      <c r="MUK172" s="125"/>
      <c r="MUL172" s="125"/>
      <c r="MUM172" s="125"/>
      <c r="MUN172" s="125"/>
      <c r="MUO172" s="125"/>
      <c r="MUP172" s="125"/>
      <c r="MUQ172" s="125"/>
      <c r="MUR172" s="125"/>
      <c r="MUS172" s="125"/>
      <c r="MUT172" s="125"/>
      <c r="MUU172" s="125"/>
      <c r="MUV172" s="125"/>
      <c r="MUW172" s="125"/>
      <c r="MUX172" s="125"/>
      <c r="MUY172" s="125"/>
      <c r="MUZ172" s="125"/>
      <c r="MVA172" s="125"/>
      <c r="MVB172" s="125"/>
      <c r="MVC172" s="125"/>
      <c r="MVD172" s="125"/>
      <c r="MVE172" s="125"/>
      <c r="MVF172" s="125"/>
      <c r="MVG172" s="125"/>
      <c r="MVH172" s="125"/>
      <c r="MVI172" s="125"/>
      <c r="MVJ172" s="125"/>
      <c r="MVK172" s="125"/>
      <c r="MVL172" s="125"/>
      <c r="MVM172" s="125"/>
      <c r="MVN172" s="125"/>
      <c r="MVO172" s="125"/>
      <c r="MVP172" s="125"/>
      <c r="MVQ172" s="125"/>
      <c r="MVR172" s="125"/>
      <c r="MVS172" s="125"/>
      <c r="MVT172" s="125"/>
      <c r="MVU172" s="125"/>
      <c r="MVV172" s="125"/>
      <c r="MVW172" s="125"/>
      <c r="MVX172" s="125"/>
      <c r="MVY172" s="125"/>
      <c r="MVZ172" s="125"/>
      <c r="MWA172" s="125"/>
      <c r="MWB172" s="125"/>
      <c r="MWC172" s="125"/>
      <c r="MWD172" s="125"/>
      <c r="MWE172" s="125"/>
      <c r="MWF172" s="125"/>
      <c r="MWG172" s="125"/>
      <c r="MWH172" s="125"/>
      <c r="MWI172" s="125"/>
      <c r="MWJ172" s="125"/>
      <c r="MWK172" s="125"/>
      <c r="MWL172" s="125"/>
      <c r="MWM172" s="125"/>
      <c r="MWN172" s="125"/>
      <c r="MWO172" s="125"/>
      <c r="MWP172" s="125"/>
      <c r="MWQ172" s="125"/>
      <c r="MWR172" s="125"/>
      <c r="MWS172" s="125"/>
      <c r="MWT172" s="125"/>
      <c r="MWU172" s="125"/>
      <c r="MWV172" s="125"/>
      <c r="MWW172" s="125"/>
      <c r="MWX172" s="125"/>
      <c r="MWY172" s="125"/>
      <c r="MWZ172" s="125"/>
      <c r="MXA172" s="125"/>
      <c r="MXB172" s="125"/>
      <c r="MXC172" s="125"/>
      <c r="MXD172" s="125"/>
      <c r="MXE172" s="125"/>
      <c r="MXF172" s="125"/>
      <c r="MXG172" s="125"/>
      <c r="MXH172" s="125"/>
      <c r="MXI172" s="125"/>
      <c r="MXJ172" s="125"/>
      <c r="MXK172" s="125"/>
      <c r="MXL172" s="125"/>
      <c r="MXM172" s="125"/>
      <c r="MXN172" s="125"/>
      <c r="MXO172" s="125"/>
      <c r="MXP172" s="125"/>
      <c r="MXQ172" s="125"/>
      <c r="MXR172" s="125"/>
      <c r="MXS172" s="125"/>
      <c r="MXT172" s="125"/>
      <c r="MXU172" s="125"/>
      <c r="MXV172" s="125"/>
      <c r="MXW172" s="125"/>
      <c r="MXX172" s="125"/>
      <c r="MXY172" s="125"/>
      <c r="MXZ172" s="125"/>
      <c r="MYA172" s="125"/>
      <c r="MYB172" s="125"/>
      <c r="MYC172" s="125"/>
      <c r="MYD172" s="125"/>
      <c r="MYE172" s="125"/>
      <c r="MYF172" s="125"/>
      <c r="MYG172" s="125"/>
      <c r="MYH172" s="125"/>
      <c r="MYI172" s="125"/>
      <c r="MYJ172" s="125"/>
      <c r="MYK172" s="125"/>
      <c r="MYL172" s="125"/>
      <c r="MYM172" s="125"/>
      <c r="MYN172" s="125"/>
      <c r="MYO172" s="125"/>
      <c r="MYP172" s="125"/>
      <c r="MYQ172" s="125"/>
      <c r="MYR172" s="125"/>
      <c r="MYS172" s="125"/>
      <c r="MYT172" s="125"/>
      <c r="MYU172" s="125"/>
      <c r="MYV172" s="125"/>
      <c r="MYW172" s="125"/>
      <c r="MYX172" s="125"/>
      <c r="MYY172" s="125"/>
      <c r="MYZ172" s="125"/>
      <c r="MZA172" s="125"/>
      <c r="MZB172" s="125"/>
      <c r="MZC172" s="125"/>
      <c r="MZD172" s="125"/>
      <c r="MZE172" s="125"/>
      <c r="MZF172" s="125"/>
      <c r="MZG172" s="125"/>
      <c r="MZH172" s="125"/>
      <c r="MZI172" s="125"/>
      <c r="MZJ172" s="125"/>
      <c r="MZK172" s="125"/>
      <c r="MZL172" s="125"/>
      <c r="MZM172" s="125"/>
      <c r="MZN172" s="125"/>
      <c r="MZO172" s="125"/>
      <c r="MZP172" s="125"/>
      <c r="MZQ172" s="125"/>
      <c r="MZR172" s="125"/>
      <c r="MZS172" s="125"/>
      <c r="MZT172" s="125"/>
      <c r="MZU172" s="125"/>
      <c r="MZV172" s="125"/>
      <c r="MZW172" s="125"/>
      <c r="MZX172" s="125"/>
      <c r="MZY172" s="125"/>
      <c r="MZZ172" s="125"/>
      <c r="NAA172" s="125"/>
      <c r="NAB172" s="125"/>
      <c r="NAC172" s="125"/>
      <c r="NAD172" s="125"/>
      <c r="NAE172" s="125"/>
      <c r="NAF172" s="125"/>
      <c r="NAG172" s="125"/>
      <c r="NAH172" s="125"/>
      <c r="NAI172" s="125"/>
      <c r="NAJ172" s="125"/>
      <c r="NAK172" s="125"/>
      <c r="NAL172" s="125"/>
      <c r="NAM172" s="125"/>
      <c r="NAN172" s="125"/>
      <c r="NAO172" s="125"/>
      <c r="NAP172" s="125"/>
      <c r="NAQ172" s="125"/>
      <c r="NAR172" s="125"/>
      <c r="NAS172" s="125"/>
      <c r="NAT172" s="125"/>
      <c r="NAU172" s="125"/>
      <c r="NAV172" s="125"/>
      <c r="NAW172" s="125"/>
      <c r="NAX172" s="125"/>
      <c r="NAY172" s="125"/>
      <c r="NAZ172" s="125"/>
      <c r="NBA172" s="125"/>
      <c r="NBB172" s="125"/>
      <c r="NBC172" s="125"/>
      <c r="NBD172" s="125"/>
      <c r="NBE172" s="125"/>
      <c r="NBF172" s="125"/>
      <c r="NBG172" s="125"/>
      <c r="NBH172" s="125"/>
      <c r="NBI172" s="125"/>
      <c r="NBJ172" s="125"/>
      <c r="NBK172" s="125"/>
      <c r="NBL172" s="125"/>
      <c r="NBM172" s="125"/>
      <c r="NBN172" s="125"/>
      <c r="NBO172" s="125"/>
      <c r="NBP172" s="125"/>
      <c r="NBQ172" s="125"/>
      <c r="NBR172" s="125"/>
      <c r="NBS172" s="125"/>
      <c r="NBT172" s="125"/>
      <c r="NBU172" s="125"/>
      <c r="NBV172" s="125"/>
      <c r="NBW172" s="125"/>
      <c r="NBX172" s="125"/>
      <c r="NBY172" s="125"/>
      <c r="NBZ172" s="125"/>
      <c r="NCA172" s="125"/>
      <c r="NCB172" s="125"/>
      <c r="NCC172" s="125"/>
      <c r="NCD172" s="125"/>
      <c r="NCE172" s="125"/>
      <c r="NCF172" s="125"/>
      <c r="NCG172" s="125"/>
      <c r="NCH172" s="125"/>
      <c r="NCI172" s="125"/>
      <c r="NCJ172" s="125"/>
      <c r="NCK172" s="125"/>
      <c r="NCL172" s="125"/>
      <c r="NCM172" s="125"/>
      <c r="NCN172" s="125"/>
      <c r="NCO172" s="125"/>
      <c r="NCP172" s="125"/>
      <c r="NCQ172" s="125"/>
      <c r="NCR172" s="125"/>
      <c r="NCS172" s="125"/>
      <c r="NCT172" s="125"/>
      <c r="NCU172" s="125"/>
      <c r="NCV172" s="125"/>
      <c r="NCW172" s="125"/>
      <c r="NCX172" s="125"/>
      <c r="NCY172" s="125"/>
      <c r="NCZ172" s="125"/>
      <c r="NDA172" s="125"/>
      <c r="NDB172" s="125"/>
      <c r="NDC172" s="125"/>
      <c r="NDD172" s="125"/>
      <c r="NDE172" s="125"/>
      <c r="NDF172" s="125"/>
      <c r="NDG172" s="125"/>
      <c r="NDH172" s="125"/>
      <c r="NDI172" s="125"/>
      <c r="NDJ172" s="125"/>
      <c r="NDK172" s="125"/>
      <c r="NDL172" s="125"/>
      <c r="NDM172" s="125"/>
      <c r="NDN172" s="125"/>
      <c r="NDO172" s="125"/>
      <c r="NDP172" s="125"/>
      <c r="NDQ172" s="125"/>
      <c r="NDR172" s="125"/>
      <c r="NDS172" s="125"/>
      <c r="NDT172" s="125"/>
      <c r="NDU172" s="125"/>
      <c r="NDV172" s="125"/>
      <c r="NDW172" s="125"/>
      <c r="NDX172" s="125"/>
      <c r="NDY172" s="125"/>
      <c r="NDZ172" s="125"/>
      <c r="NEA172" s="125"/>
      <c r="NEB172" s="125"/>
      <c r="NEC172" s="125"/>
      <c r="NED172" s="125"/>
      <c r="NEE172" s="125"/>
      <c r="NEF172" s="125"/>
      <c r="NEG172" s="125"/>
      <c r="NEH172" s="125"/>
      <c r="NEI172" s="125"/>
      <c r="NEJ172" s="125"/>
      <c r="NEK172" s="125"/>
      <c r="NEL172" s="125"/>
      <c r="NEM172" s="125"/>
      <c r="NEN172" s="125"/>
      <c r="NEO172" s="125"/>
      <c r="NEP172" s="125"/>
      <c r="NEQ172" s="125"/>
      <c r="NER172" s="125"/>
      <c r="NES172" s="125"/>
      <c r="NET172" s="125"/>
      <c r="NEU172" s="125"/>
      <c r="NEV172" s="125"/>
      <c r="NEW172" s="125"/>
      <c r="NEX172" s="125"/>
      <c r="NEY172" s="125"/>
      <c r="NEZ172" s="125"/>
      <c r="NFA172" s="125"/>
      <c r="NFB172" s="125"/>
      <c r="NFC172" s="125"/>
      <c r="NFD172" s="125"/>
      <c r="NFE172" s="125"/>
      <c r="NFF172" s="125"/>
      <c r="NFG172" s="125"/>
      <c r="NFH172" s="125"/>
      <c r="NFI172" s="125"/>
      <c r="NFJ172" s="125"/>
      <c r="NFK172" s="125"/>
      <c r="NFL172" s="125"/>
      <c r="NFM172" s="125"/>
      <c r="NFN172" s="125"/>
      <c r="NFO172" s="125"/>
      <c r="NFP172" s="125"/>
      <c r="NFQ172" s="125"/>
      <c r="NFR172" s="125"/>
      <c r="NFS172" s="125"/>
      <c r="NFT172" s="125"/>
      <c r="NFU172" s="125"/>
      <c r="NFV172" s="125"/>
      <c r="NFW172" s="125"/>
      <c r="NFX172" s="125"/>
      <c r="NFY172" s="125"/>
      <c r="NFZ172" s="125"/>
      <c r="NGA172" s="125"/>
      <c r="NGB172" s="125"/>
      <c r="NGC172" s="125"/>
      <c r="NGD172" s="125"/>
      <c r="NGE172" s="125"/>
      <c r="NGF172" s="125"/>
      <c r="NGG172" s="125"/>
      <c r="NGH172" s="125"/>
      <c r="NGI172" s="125"/>
      <c r="NGJ172" s="125"/>
      <c r="NGK172" s="125"/>
      <c r="NGL172" s="125"/>
      <c r="NGM172" s="125"/>
      <c r="NGN172" s="125"/>
      <c r="NGO172" s="125"/>
      <c r="NGP172" s="125"/>
      <c r="NGQ172" s="125"/>
      <c r="NGR172" s="125"/>
      <c r="NGS172" s="125"/>
      <c r="NGT172" s="125"/>
      <c r="NGU172" s="125"/>
      <c r="NGV172" s="125"/>
      <c r="NGW172" s="125"/>
      <c r="NGX172" s="125"/>
      <c r="NGY172" s="125"/>
      <c r="NGZ172" s="125"/>
      <c r="NHA172" s="125"/>
      <c r="NHB172" s="125"/>
      <c r="NHC172" s="125"/>
      <c r="NHD172" s="125"/>
      <c r="NHE172" s="125"/>
      <c r="NHF172" s="125"/>
      <c r="NHG172" s="125"/>
      <c r="NHH172" s="125"/>
      <c r="NHI172" s="125"/>
      <c r="NHJ172" s="125"/>
      <c r="NHK172" s="125"/>
      <c r="NHL172" s="125"/>
      <c r="NHM172" s="125"/>
      <c r="NHN172" s="125"/>
      <c r="NHO172" s="125"/>
      <c r="NHP172" s="125"/>
      <c r="NHQ172" s="125"/>
      <c r="NHR172" s="125"/>
      <c r="NHS172" s="125"/>
      <c r="NHT172" s="125"/>
      <c r="NHU172" s="125"/>
      <c r="NHV172" s="125"/>
      <c r="NHW172" s="125"/>
      <c r="NHX172" s="125"/>
      <c r="NHY172" s="125"/>
      <c r="NHZ172" s="125"/>
      <c r="NIA172" s="125"/>
      <c r="NIB172" s="125"/>
      <c r="NIC172" s="125"/>
      <c r="NID172" s="125"/>
      <c r="NIE172" s="125"/>
      <c r="NIF172" s="125"/>
      <c r="NIG172" s="125"/>
      <c r="NIH172" s="125"/>
      <c r="NII172" s="125"/>
      <c r="NIJ172" s="125"/>
      <c r="NIK172" s="125"/>
      <c r="NIL172" s="125"/>
      <c r="NIM172" s="125"/>
      <c r="NIN172" s="125"/>
      <c r="NIO172" s="125"/>
      <c r="NIP172" s="125"/>
      <c r="NIQ172" s="125"/>
      <c r="NIR172" s="125"/>
      <c r="NIS172" s="125"/>
      <c r="NIT172" s="125"/>
      <c r="NIU172" s="125"/>
      <c r="NIV172" s="125"/>
      <c r="NIW172" s="125"/>
      <c r="NIX172" s="125"/>
      <c r="NIY172" s="125"/>
      <c r="NIZ172" s="125"/>
      <c r="NJA172" s="125"/>
      <c r="NJB172" s="125"/>
      <c r="NJC172" s="125"/>
      <c r="NJD172" s="125"/>
      <c r="NJE172" s="125"/>
      <c r="NJF172" s="125"/>
      <c r="NJG172" s="125"/>
      <c r="NJH172" s="125"/>
      <c r="NJI172" s="125"/>
      <c r="NJJ172" s="125"/>
      <c r="NJK172" s="125"/>
      <c r="NJL172" s="125"/>
      <c r="NJM172" s="125"/>
      <c r="NJN172" s="125"/>
      <c r="NJO172" s="125"/>
      <c r="NJP172" s="125"/>
      <c r="NJQ172" s="125"/>
      <c r="NJR172" s="125"/>
      <c r="NJS172" s="125"/>
      <c r="NJT172" s="125"/>
      <c r="NJU172" s="125"/>
      <c r="NJV172" s="125"/>
      <c r="NJW172" s="125"/>
      <c r="NJX172" s="125"/>
      <c r="NJY172" s="125"/>
      <c r="NJZ172" s="125"/>
      <c r="NKA172" s="125"/>
      <c r="NKB172" s="125"/>
      <c r="NKC172" s="125"/>
      <c r="NKD172" s="125"/>
      <c r="NKE172" s="125"/>
      <c r="NKF172" s="125"/>
      <c r="NKG172" s="125"/>
      <c r="NKH172" s="125"/>
      <c r="NKI172" s="125"/>
      <c r="NKJ172" s="125"/>
      <c r="NKK172" s="125"/>
      <c r="NKL172" s="125"/>
      <c r="NKM172" s="125"/>
      <c r="NKN172" s="125"/>
      <c r="NKO172" s="125"/>
      <c r="NKP172" s="125"/>
      <c r="NKQ172" s="125"/>
      <c r="NKR172" s="125"/>
      <c r="NKS172" s="125"/>
      <c r="NKT172" s="125"/>
      <c r="NKU172" s="125"/>
      <c r="NKV172" s="125"/>
      <c r="NKW172" s="125"/>
      <c r="NKX172" s="125"/>
      <c r="NKY172" s="125"/>
      <c r="NKZ172" s="125"/>
      <c r="NLA172" s="125"/>
      <c r="NLB172" s="125"/>
      <c r="NLC172" s="125"/>
      <c r="NLD172" s="125"/>
      <c r="NLE172" s="125"/>
      <c r="NLF172" s="125"/>
      <c r="NLG172" s="125"/>
      <c r="NLH172" s="125"/>
      <c r="NLI172" s="125"/>
      <c r="NLJ172" s="125"/>
      <c r="NLK172" s="125"/>
      <c r="NLL172" s="125"/>
      <c r="NLM172" s="125"/>
      <c r="NLN172" s="125"/>
      <c r="NLO172" s="125"/>
      <c r="NLP172" s="125"/>
      <c r="NLQ172" s="125"/>
      <c r="NLR172" s="125"/>
      <c r="NLS172" s="125"/>
      <c r="NLT172" s="125"/>
      <c r="NLU172" s="125"/>
      <c r="NLV172" s="125"/>
      <c r="NLW172" s="125"/>
      <c r="NLX172" s="125"/>
      <c r="NLY172" s="125"/>
      <c r="NLZ172" s="125"/>
      <c r="NMA172" s="125"/>
      <c r="NMB172" s="125"/>
      <c r="NMC172" s="125"/>
      <c r="NMD172" s="125"/>
      <c r="NME172" s="125"/>
      <c r="NMF172" s="125"/>
      <c r="NMG172" s="125"/>
      <c r="NMH172" s="125"/>
      <c r="NMI172" s="125"/>
      <c r="NMJ172" s="125"/>
      <c r="NMK172" s="125"/>
      <c r="NML172" s="125"/>
      <c r="NMM172" s="125"/>
      <c r="NMN172" s="125"/>
      <c r="NMO172" s="125"/>
      <c r="NMP172" s="125"/>
      <c r="NMQ172" s="125"/>
      <c r="NMR172" s="125"/>
      <c r="NMS172" s="125"/>
      <c r="NMT172" s="125"/>
      <c r="NMU172" s="125"/>
      <c r="NMV172" s="125"/>
      <c r="NMW172" s="125"/>
      <c r="NMX172" s="125"/>
      <c r="NMY172" s="125"/>
      <c r="NMZ172" s="125"/>
      <c r="NNA172" s="125"/>
      <c r="NNB172" s="125"/>
      <c r="NNC172" s="125"/>
      <c r="NND172" s="125"/>
      <c r="NNE172" s="125"/>
      <c r="NNF172" s="125"/>
      <c r="NNG172" s="125"/>
      <c r="NNH172" s="125"/>
      <c r="NNI172" s="125"/>
      <c r="NNJ172" s="125"/>
      <c r="NNK172" s="125"/>
      <c r="NNL172" s="125"/>
      <c r="NNM172" s="125"/>
      <c r="NNN172" s="125"/>
      <c r="NNO172" s="125"/>
      <c r="NNP172" s="125"/>
      <c r="NNQ172" s="125"/>
      <c r="NNR172" s="125"/>
      <c r="NNS172" s="125"/>
      <c r="NNT172" s="125"/>
      <c r="NNU172" s="125"/>
      <c r="NNV172" s="125"/>
      <c r="NNW172" s="125"/>
      <c r="NNX172" s="125"/>
      <c r="NNY172" s="125"/>
      <c r="NNZ172" s="125"/>
      <c r="NOA172" s="125"/>
      <c r="NOB172" s="125"/>
      <c r="NOC172" s="125"/>
      <c r="NOD172" s="125"/>
      <c r="NOE172" s="125"/>
      <c r="NOF172" s="125"/>
      <c r="NOG172" s="125"/>
      <c r="NOH172" s="125"/>
      <c r="NOI172" s="125"/>
      <c r="NOJ172" s="125"/>
      <c r="NOK172" s="125"/>
      <c r="NOL172" s="125"/>
      <c r="NOM172" s="125"/>
      <c r="NON172" s="125"/>
      <c r="NOO172" s="125"/>
      <c r="NOP172" s="125"/>
      <c r="NOQ172" s="125"/>
      <c r="NOR172" s="125"/>
      <c r="NOS172" s="125"/>
      <c r="NOT172" s="125"/>
      <c r="NOU172" s="125"/>
      <c r="NOV172" s="125"/>
      <c r="NOW172" s="125"/>
      <c r="NOX172" s="125"/>
      <c r="NOY172" s="125"/>
      <c r="NOZ172" s="125"/>
      <c r="NPA172" s="125"/>
      <c r="NPB172" s="125"/>
      <c r="NPC172" s="125"/>
      <c r="NPD172" s="125"/>
      <c r="NPE172" s="125"/>
      <c r="NPF172" s="125"/>
      <c r="NPG172" s="125"/>
      <c r="NPH172" s="125"/>
      <c r="NPI172" s="125"/>
      <c r="NPJ172" s="125"/>
      <c r="NPK172" s="125"/>
      <c r="NPL172" s="125"/>
      <c r="NPM172" s="125"/>
      <c r="NPN172" s="125"/>
      <c r="NPO172" s="125"/>
      <c r="NPP172" s="125"/>
      <c r="NPQ172" s="125"/>
      <c r="NPR172" s="125"/>
      <c r="NPS172" s="125"/>
      <c r="NPT172" s="125"/>
      <c r="NPU172" s="125"/>
      <c r="NPV172" s="125"/>
      <c r="NPW172" s="125"/>
      <c r="NPX172" s="125"/>
      <c r="NPY172" s="125"/>
      <c r="NPZ172" s="125"/>
      <c r="NQA172" s="125"/>
      <c r="NQB172" s="125"/>
      <c r="NQC172" s="125"/>
      <c r="NQD172" s="125"/>
      <c r="NQE172" s="125"/>
      <c r="NQF172" s="125"/>
      <c r="NQG172" s="125"/>
      <c r="NQH172" s="125"/>
      <c r="NQI172" s="125"/>
      <c r="NQJ172" s="125"/>
      <c r="NQK172" s="125"/>
      <c r="NQL172" s="125"/>
      <c r="NQM172" s="125"/>
      <c r="NQN172" s="125"/>
      <c r="NQO172" s="125"/>
      <c r="NQP172" s="125"/>
      <c r="NQQ172" s="125"/>
      <c r="NQR172" s="125"/>
      <c r="NQS172" s="125"/>
      <c r="NQT172" s="125"/>
      <c r="NQU172" s="125"/>
      <c r="NQV172" s="125"/>
      <c r="NQW172" s="125"/>
      <c r="NQX172" s="125"/>
      <c r="NQY172" s="125"/>
      <c r="NQZ172" s="125"/>
      <c r="NRA172" s="125"/>
      <c r="NRB172" s="125"/>
      <c r="NRC172" s="125"/>
      <c r="NRD172" s="125"/>
      <c r="NRE172" s="125"/>
      <c r="NRF172" s="125"/>
      <c r="NRG172" s="125"/>
      <c r="NRH172" s="125"/>
      <c r="NRI172" s="125"/>
      <c r="NRJ172" s="125"/>
      <c r="NRK172" s="125"/>
      <c r="NRL172" s="125"/>
      <c r="NRM172" s="125"/>
      <c r="NRN172" s="125"/>
      <c r="NRO172" s="125"/>
      <c r="NRP172" s="125"/>
      <c r="NRQ172" s="125"/>
      <c r="NRR172" s="125"/>
      <c r="NRS172" s="125"/>
      <c r="NRT172" s="125"/>
      <c r="NRU172" s="125"/>
      <c r="NRV172" s="125"/>
      <c r="NRW172" s="125"/>
      <c r="NRX172" s="125"/>
      <c r="NRY172" s="125"/>
      <c r="NRZ172" s="125"/>
      <c r="NSA172" s="125"/>
      <c r="NSB172" s="125"/>
      <c r="NSC172" s="125"/>
      <c r="NSD172" s="125"/>
      <c r="NSE172" s="125"/>
      <c r="NSF172" s="125"/>
      <c r="NSG172" s="125"/>
      <c r="NSH172" s="125"/>
      <c r="NSI172" s="125"/>
      <c r="NSJ172" s="125"/>
      <c r="NSK172" s="125"/>
      <c r="NSL172" s="125"/>
      <c r="NSM172" s="125"/>
      <c r="NSN172" s="125"/>
      <c r="NSO172" s="125"/>
      <c r="NSP172" s="125"/>
      <c r="NSQ172" s="125"/>
      <c r="NSR172" s="125"/>
      <c r="NSS172" s="125"/>
      <c r="NST172" s="125"/>
      <c r="NSU172" s="125"/>
      <c r="NSV172" s="125"/>
      <c r="NSW172" s="125"/>
      <c r="NSX172" s="125"/>
      <c r="NSY172" s="125"/>
      <c r="NSZ172" s="125"/>
      <c r="NTA172" s="125"/>
      <c r="NTB172" s="125"/>
      <c r="NTC172" s="125"/>
      <c r="NTD172" s="125"/>
      <c r="NTE172" s="125"/>
      <c r="NTF172" s="125"/>
      <c r="NTG172" s="125"/>
      <c r="NTH172" s="125"/>
      <c r="NTI172" s="125"/>
      <c r="NTJ172" s="125"/>
      <c r="NTK172" s="125"/>
      <c r="NTL172" s="125"/>
      <c r="NTM172" s="125"/>
      <c r="NTN172" s="125"/>
      <c r="NTO172" s="125"/>
      <c r="NTP172" s="125"/>
      <c r="NTQ172" s="125"/>
      <c r="NTR172" s="125"/>
      <c r="NTS172" s="125"/>
      <c r="NTT172" s="125"/>
      <c r="NTU172" s="125"/>
      <c r="NTV172" s="125"/>
      <c r="NTW172" s="125"/>
      <c r="NTX172" s="125"/>
      <c r="NTY172" s="125"/>
      <c r="NTZ172" s="125"/>
      <c r="NUA172" s="125"/>
      <c r="NUB172" s="125"/>
      <c r="NUC172" s="125"/>
      <c r="NUD172" s="125"/>
      <c r="NUE172" s="125"/>
      <c r="NUF172" s="125"/>
      <c r="NUG172" s="125"/>
      <c r="NUH172" s="125"/>
      <c r="NUI172" s="125"/>
      <c r="NUJ172" s="125"/>
      <c r="NUK172" s="125"/>
      <c r="NUL172" s="125"/>
      <c r="NUM172" s="125"/>
      <c r="NUN172" s="125"/>
      <c r="NUO172" s="125"/>
      <c r="NUP172" s="125"/>
      <c r="NUQ172" s="125"/>
      <c r="NUR172" s="125"/>
      <c r="NUS172" s="125"/>
      <c r="NUT172" s="125"/>
      <c r="NUU172" s="125"/>
      <c r="NUV172" s="125"/>
      <c r="NUW172" s="125"/>
      <c r="NUX172" s="125"/>
      <c r="NUY172" s="125"/>
      <c r="NUZ172" s="125"/>
      <c r="NVA172" s="125"/>
      <c r="NVB172" s="125"/>
      <c r="NVC172" s="125"/>
      <c r="NVD172" s="125"/>
      <c r="NVE172" s="125"/>
      <c r="NVF172" s="125"/>
      <c r="NVG172" s="125"/>
      <c r="NVH172" s="125"/>
      <c r="NVI172" s="125"/>
      <c r="NVJ172" s="125"/>
      <c r="NVK172" s="125"/>
      <c r="NVL172" s="125"/>
      <c r="NVM172" s="125"/>
      <c r="NVN172" s="125"/>
      <c r="NVO172" s="125"/>
      <c r="NVP172" s="125"/>
      <c r="NVQ172" s="125"/>
      <c r="NVR172" s="125"/>
      <c r="NVS172" s="125"/>
      <c r="NVT172" s="125"/>
      <c r="NVU172" s="125"/>
      <c r="NVV172" s="125"/>
      <c r="NVW172" s="125"/>
      <c r="NVX172" s="125"/>
      <c r="NVY172" s="125"/>
      <c r="NVZ172" s="125"/>
      <c r="NWA172" s="125"/>
      <c r="NWB172" s="125"/>
      <c r="NWC172" s="125"/>
      <c r="NWD172" s="125"/>
      <c r="NWE172" s="125"/>
      <c r="NWF172" s="125"/>
      <c r="NWG172" s="125"/>
      <c r="NWH172" s="125"/>
      <c r="NWI172" s="125"/>
      <c r="NWJ172" s="125"/>
      <c r="NWK172" s="125"/>
      <c r="NWL172" s="125"/>
      <c r="NWM172" s="125"/>
      <c r="NWN172" s="125"/>
      <c r="NWO172" s="125"/>
      <c r="NWP172" s="125"/>
      <c r="NWQ172" s="125"/>
      <c r="NWR172" s="125"/>
      <c r="NWS172" s="125"/>
      <c r="NWT172" s="125"/>
      <c r="NWU172" s="125"/>
      <c r="NWV172" s="125"/>
      <c r="NWW172" s="125"/>
      <c r="NWX172" s="125"/>
      <c r="NWY172" s="125"/>
      <c r="NWZ172" s="125"/>
      <c r="NXA172" s="125"/>
      <c r="NXB172" s="125"/>
      <c r="NXC172" s="125"/>
      <c r="NXD172" s="125"/>
      <c r="NXE172" s="125"/>
      <c r="NXF172" s="125"/>
      <c r="NXG172" s="125"/>
      <c r="NXH172" s="125"/>
      <c r="NXI172" s="125"/>
      <c r="NXJ172" s="125"/>
      <c r="NXK172" s="125"/>
      <c r="NXL172" s="125"/>
      <c r="NXM172" s="125"/>
      <c r="NXN172" s="125"/>
      <c r="NXO172" s="125"/>
      <c r="NXP172" s="125"/>
      <c r="NXQ172" s="125"/>
      <c r="NXR172" s="125"/>
      <c r="NXS172" s="125"/>
      <c r="NXT172" s="125"/>
      <c r="NXU172" s="125"/>
      <c r="NXV172" s="125"/>
      <c r="NXW172" s="125"/>
      <c r="NXX172" s="125"/>
      <c r="NXY172" s="125"/>
      <c r="NXZ172" s="125"/>
      <c r="NYA172" s="125"/>
      <c r="NYB172" s="125"/>
      <c r="NYC172" s="125"/>
      <c r="NYD172" s="125"/>
      <c r="NYE172" s="125"/>
      <c r="NYF172" s="125"/>
      <c r="NYG172" s="125"/>
      <c r="NYH172" s="125"/>
      <c r="NYI172" s="125"/>
      <c r="NYJ172" s="125"/>
      <c r="NYK172" s="125"/>
      <c r="NYL172" s="125"/>
      <c r="NYM172" s="125"/>
      <c r="NYN172" s="125"/>
      <c r="NYO172" s="125"/>
      <c r="NYP172" s="125"/>
      <c r="NYQ172" s="125"/>
      <c r="NYR172" s="125"/>
      <c r="NYS172" s="125"/>
      <c r="NYT172" s="125"/>
      <c r="NYU172" s="125"/>
      <c r="NYV172" s="125"/>
      <c r="NYW172" s="125"/>
      <c r="NYX172" s="125"/>
      <c r="NYY172" s="125"/>
      <c r="NYZ172" s="125"/>
      <c r="NZA172" s="125"/>
      <c r="NZB172" s="125"/>
      <c r="NZC172" s="125"/>
      <c r="NZD172" s="125"/>
      <c r="NZE172" s="125"/>
      <c r="NZF172" s="125"/>
      <c r="NZG172" s="125"/>
      <c r="NZH172" s="125"/>
      <c r="NZI172" s="125"/>
      <c r="NZJ172" s="125"/>
      <c r="NZK172" s="125"/>
      <c r="NZL172" s="125"/>
      <c r="NZM172" s="125"/>
      <c r="NZN172" s="125"/>
      <c r="NZO172" s="125"/>
      <c r="NZP172" s="125"/>
      <c r="NZQ172" s="125"/>
      <c r="NZR172" s="125"/>
      <c r="NZS172" s="125"/>
      <c r="NZT172" s="125"/>
      <c r="NZU172" s="125"/>
      <c r="NZV172" s="125"/>
      <c r="NZW172" s="125"/>
      <c r="NZX172" s="125"/>
      <c r="NZY172" s="125"/>
      <c r="NZZ172" s="125"/>
      <c r="OAA172" s="125"/>
      <c r="OAB172" s="125"/>
      <c r="OAC172" s="125"/>
      <c r="OAD172" s="125"/>
      <c r="OAE172" s="125"/>
      <c r="OAF172" s="125"/>
      <c r="OAG172" s="125"/>
      <c r="OAH172" s="125"/>
      <c r="OAI172" s="125"/>
      <c r="OAJ172" s="125"/>
      <c r="OAK172" s="125"/>
      <c r="OAL172" s="125"/>
      <c r="OAM172" s="125"/>
      <c r="OAN172" s="125"/>
      <c r="OAO172" s="125"/>
      <c r="OAP172" s="125"/>
      <c r="OAQ172" s="125"/>
      <c r="OAR172" s="125"/>
      <c r="OAS172" s="125"/>
      <c r="OAT172" s="125"/>
      <c r="OAU172" s="125"/>
      <c r="OAV172" s="125"/>
      <c r="OAW172" s="125"/>
      <c r="OAX172" s="125"/>
      <c r="OAY172" s="125"/>
      <c r="OAZ172" s="125"/>
      <c r="OBA172" s="125"/>
      <c r="OBB172" s="125"/>
      <c r="OBC172" s="125"/>
      <c r="OBD172" s="125"/>
      <c r="OBE172" s="125"/>
      <c r="OBF172" s="125"/>
      <c r="OBG172" s="125"/>
      <c r="OBH172" s="125"/>
      <c r="OBI172" s="125"/>
      <c r="OBJ172" s="125"/>
      <c r="OBK172" s="125"/>
      <c r="OBL172" s="125"/>
      <c r="OBM172" s="125"/>
      <c r="OBN172" s="125"/>
      <c r="OBO172" s="125"/>
      <c r="OBP172" s="125"/>
      <c r="OBQ172" s="125"/>
      <c r="OBR172" s="125"/>
      <c r="OBS172" s="125"/>
      <c r="OBT172" s="125"/>
      <c r="OBU172" s="125"/>
      <c r="OBV172" s="125"/>
      <c r="OBW172" s="125"/>
      <c r="OBX172" s="125"/>
      <c r="OBY172" s="125"/>
      <c r="OBZ172" s="125"/>
      <c r="OCA172" s="125"/>
      <c r="OCB172" s="125"/>
      <c r="OCC172" s="125"/>
      <c r="OCD172" s="125"/>
      <c r="OCE172" s="125"/>
      <c r="OCF172" s="125"/>
      <c r="OCG172" s="125"/>
      <c r="OCH172" s="125"/>
      <c r="OCI172" s="125"/>
      <c r="OCJ172" s="125"/>
      <c r="OCK172" s="125"/>
      <c r="OCL172" s="125"/>
      <c r="OCM172" s="125"/>
      <c r="OCN172" s="125"/>
      <c r="OCO172" s="125"/>
      <c r="OCP172" s="125"/>
      <c r="OCQ172" s="125"/>
      <c r="OCR172" s="125"/>
      <c r="OCS172" s="125"/>
      <c r="OCT172" s="125"/>
      <c r="OCU172" s="125"/>
      <c r="OCV172" s="125"/>
      <c r="OCW172" s="125"/>
      <c r="OCX172" s="125"/>
      <c r="OCY172" s="125"/>
      <c r="OCZ172" s="125"/>
      <c r="ODA172" s="125"/>
      <c r="ODB172" s="125"/>
      <c r="ODC172" s="125"/>
      <c r="ODD172" s="125"/>
      <c r="ODE172" s="125"/>
      <c r="ODF172" s="125"/>
      <c r="ODG172" s="125"/>
      <c r="ODH172" s="125"/>
      <c r="ODI172" s="125"/>
      <c r="ODJ172" s="125"/>
      <c r="ODK172" s="125"/>
      <c r="ODL172" s="125"/>
      <c r="ODM172" s="125"/>
      <c r="ODN172" s="125"/>
      <c r="ODO172" s="125"/>
      <c r="ODP172" s="125"/>
      <c r="ODQ172" s="125"/>
      <c r="ODR172" s="125"/>
      <c r="ODS172" s="125"/>
      <c r="ODT172" s="125"/>
      <c r="ODU172" s="125"/>
      <c r="ODV172" s="125"/>
      <c r="ODW172" s="125"/>
      <c r="ODX172" s="125"/>
      <c r="ODY172" s="125"/>
      <c r="ODZ172" s="125"/>
      <c r="OEA172" s="125"/>
      <c r="OEB172" s="125"/>
      <c r="OEC172" s="125"/>
      <c r="OED172" s="125"/>
      <c r="OEE172" s="125"/>
      <c r="OEF172" s="125"/>
      <c r="OEG172" s="125"/>
      <c r="OEH172" s="125"/>
      <c r="OEI172" s="125"/>
      <c r="OEJ172" s="125"/>
      <c r="OEK172" s="125"/>
      <c r="OEL172" s="125"/>
      <c r="OEM172" s="125"/>
      <c r="OEN172" s="125"/>
      <c r="OEO172" s="125"/>
      <c r="OEP172" s="125"/>
      <c r="OEQ172" s="125"/>
      <c r="OER172" s="125"/>
      <c r="OES172" s="125"/>
      <c r="OET172" s="125"/>
      <c r="OEU172" s="125"/>
      <c r="OEV172" s="125"/>
      <c r="OEW172" s="125"/>
      <c r="OEX172" s="125"/>
      <c r="OEY172" s="125"/>
      <c r="OEZ172" s="125"/>
      <c r="OFA172" s="125"/>
      <c r="OFB172" s="125"/>
      <c r="OFC172" s="125"/>
      <c r="OFD172" s="125"/>
      <c r="OFE172" s="125"/>
      <c r="OFF172" s="125"/>
      <c r="OFG172" s="125"/>
      <c r="OFH172" s="125"/>
      <c r="OFI172" s="125"/>
      <c r="OFJ172" s="125"/>
      <c r="OFK172" s="125"/>
      <c r="OFL172" s="125"/>
      <c r="OFM172" s="125"/>
      <c r="OFN172" s="125"/>
      <c r="OFO172" s="125"/>
      <c r="OFP172" s="125"/>
      <c r="OFQ172" s="125"/>
      <c r="OFR172" s="125"/>
      <c r="OFS172" s="125"/>
      <c r="OFT172" s="125"/>
      <c r="OFU172" s="125"/>
      <c r="OFV172" s="125"/>
      <c r="OFW172" s="125"/>
      <c r="OFX172" s="125"/>
      <c r="OFY172" s="125"/>
      <c r="OFZ172" s="125"/>
      <c r="OGA172" s="125"/>
      <c r="OGB172" s="125"/>
      <c r="OGC172" s="125"/>
      <c r="OGD172" s="125"/>
      <c r="OGE172" s="125"/>
      <c r="OGF172" s="125"/>
      <c r="OGG172" s="125"/>
      <c r="OGH172" s="125"/>
      <c r="OGI172" s="125"/>
      <c r="OGJ172" s="125"/>
      <c r="OGK172" s="125"/>
      <c r="OGL172" s="125"/>
      <c r="OGM172" s="125"/>
      <c r="OGN172" s="125"/>
      <c r="OGO172" s="125"/>
      <c r="OGP172" s="125"/>
      <c r="OGQ172" s="125"/>
      <c r="OGR172" s="125"/>
      <c r="OGS172" s="125"/>
      <c r="OGT172" s="125"/>
      <c r="OGU172" s="125"/>
      <c r="OGV172" s="125"/>
      <c r="OGW172" s="125"/>
      <c r="OGX172" s="125"/>
      <c r="OGY172" s="125"/>
      <c r="OGZ172" s="125"/>
      <c r="OHA172" s="125"/>
      <c r="OHB172" s="125"/>
      <c r="OHC172" s="125"/>
      <c r="OHD172" s="125"/>
      <c r="OHE172" s="125"/>
      <c r="OHF172" s="125"/>
      <c r="OHG172" s="125"/>
      <c r="OHH172" s="125"/>
      <c r="OHI172" s="125"/>
      <c r="OHJ172" s="125"/>
      <c r="OHK172" s="125"/>
      <c r="OHL172" s="125"/>
      <c r="OHM172" s="125"/>
      <c r="OHN172" s="125"/>
      <c r="OHO172" s="125"/>
      <c r="OHP172" s="125"/>
      <c r="OHQ172" s="125"/>
      <c r="OHR172" s="125"/>
      <c r="OHS172" s="125"/>
      <c r="OHT172" s="125"/>
      <c r="OHU172" s="125"/>
      <c r="OHV172" s="125"/>
      <c r="OHW172" s="125"/>
      <c r="OHX172" s="125"/>
      <c r="OHY172" s="125"/>
      <c r="OHZ172" s="125"/>
      <c r="OIA172" s="125"/>
      <c r="OIB172" s="125"/>
      <c r="OIC172" s="125"/>
      <c r="OID172" s="125"/>
      <c r="OIE172" s="125"/>
      <c r="OIF172" s="125"/>
      <c r="OIG172" s="125"/>
      <c r="OIH172" s="125"/>
      <c r="OII172" s="125"/>
      <c r="OIJ172" s="125"/>
      <c r="OIK172" s="125"/>
      <c r="OIL172" s="125"/>
      <c r="OIM172" s="125"/>
      <c r="OIN172" s="125"/>
      <c r="OIO172" s="125"/>
      <c r="OIP172" s="125"/>
      <c r="OIQ172" s="125"/>
      <c r="OIR172" s="125"/>
      <c r="OIS172" s="125"/>
      <c r="OIT172" s="125"/>
      <c r="OIU172" s="125"/>
      <c r="OIV172" s="125"/>
      <c r="OIW172" s="125"/>
      <c r="OIX172" s="125"/>
      <c r="OIY172" s="125"/>
      <c r="OIZ172" s="125"/>
      <c r="OJA172" s="125"/>
      <c r="OJB172" s="125"/>
      <c r="OJC172" s="125"/>
      <c r="OJD172" s="125"/>
      <c r="OJE172" s="125"/>
      <c r="OJF172" s="125"/>
      <c r="OJG172" s="125"/>
      <c r="OJH172" s="125"/>
      <c r="OJI172" s="125"/>
      <c r="OJJ172" s="125"/>
      <c r="OJK172" s="125"/>
      <c r="OJL172" s="125"/>
      <c r="OJM172" s="125"/>
      <c r="OJN172" s="125"/>
      <c r="OJO172" s="125"/>
      <c r="OJP172" s="125"/>
      <c r="OJQ172" s="125"/>
      <c r="OJR172" s="125"/>
      <c r="OJS172" s="125"/>
      <c r="OJT172" s="125"/>
      <c r="OJU172" s="125"/>
      <c r="OJV172" s="125"/>
      <c r="OJW172" s="125"/>
      <c r="OJX172" s="125"/>
      <c r="OJY172" s="125"/>
      <c r="OJZ172" s="125"/>
      <c r="OKA172" s="125"/>
      <c r="OKB172" s="125"/>
      <c r="OKC172" s="125"/>
      <c r="OKD172" s="125"/>
      <c r="OKE172" s="125"/>
      <c r="OKF172" s="125"/>
      <c r="OKG172" s="125"/>
      <c r="OKH172" s="125"/>
      <c r="OKI172" s="125"/>
      <c r="OKJ172" s="125"/>
      <c r="OKK172" s="125"/>
      <c r="OKL172" s="125"/>
      <c r="OKM172" s="125"/>
      <c r="OKN172" s="125"/>
      <c r="OKO172" s="125"/>
      <c r="OKP172" s="125"/>
      <c r="OKQ172" s="125"/>
      <c r="OKR172" s="125"/>
      <c r="OKS172" s="125"/>
      <c r="OKT172" s="125"/>
      <c r="OKU172" s="125"/>
      <c r="OKV172" s="125"/>
      <c r="OKW172" s="125"/>
      <c r="OKX172" s="125"/>
      <c r="OKY172" s="125"/>
      <c r="OKZ172" s="125"/>
      <c r="OLA172" s="125"/>
      <c r="OLB172" s="125"/>
      <c r="OLC172" s="125"/>
      <c r="OLD172" s="125"/>
      <c r="OLE172" s="125"/>
      <c r="OLF172" s="125"/>
      <c r="OLG172" s="125"/>
      <c r="OLH172" s="125"/>
      <c r="OLI172" s="125"/>
      <c r="OLJ172" s="125"/>
      <c r="OLK172" s="125"/>
      <c r="OLL172" s="125"/>
      <c r="OLM172" s="125"/>
      <c r="OLN172" s="125"/>
      <c r="OLO172" s="125"/>
      <c r="OLP172" s="125"/>
      <c r="OLQ172" s="125"/>
      <c r="OLR172" s="125"/>
      <c r="OLS172" s="125"/>
      <c r="OLT172" s="125"/>
      <c r="OLU172" s="125"/>
      <c r="OLV172" s="125"/>
      <c r="OLW172" s="125"/>
      <c r="OLX172" s="125"/>
      <c r="OLY172" s="125"/>
      <c r="OLZ172" s="125"/>
      <c r="OMA172" s="125"/>
      <c r="OMB172" s="125"/>
      <c r="OMC172" s="125"/>
      <c r="OMD172" s="125"/>
      <c r="OME172" s="125"/>
      <c r="OMF172" s="125"/>
      <c r="OMG172" s="125"/>
      <c r="OMH172" s="125"/>
      <c r="OMI172" s="125"/>
      <c r="OMJ172" s="125"/>
      <c r="OMK172" s="125"/>
      <c r="OML172" s="125"/>
      <c r="OMM172" s="125"/>
      <c r="OMN172" s="125"/>
      <c r="OMO172" s="125"/>
      <c r="OMP172" s="125"/>
      <c r="OMQ172" s="125"/>
      <c r="OMR172" s="125"/>
      <c r="OMS172" s="125"/>
      <c r="OMT172" s="125"/>
      <c r="OMU172" s="125"/>
      <c r="OMV172" s="125"/>
      <c r="OMW172" s="125"/>
      <c r="OMX172" s="125"/>
      <c r="OMY172" s="125"/>
      <c r="OMZ172" s="125"/>
      <c r="ONA172" s="125"/>
      <c r="ONB172" s="125"/>
      <c r="ONC172" s="125"/>
      <c r="OND172" s="125"/>
      <c r="ONE172" s="125"/>
      <c r="ONF172" s="125"/>
      <c r="ONG172" s="125"/>
      <c r="ONH172" s="125"/>
      <c r="ONI172" s="125"/>
      <c r="ONJ172" s="125"/>
      <c r="ONK172" s="125"/>
      <c r="ONL172" s="125"/>
      <c r="ONM172" s="125"/>
      <c r="ONN172" s="125"/>
      <c r="ONO172" s="125"/>
      <c r="ONP172" s="125"/>
      <c r="ONQ172" s="125"/>
      <c r="ONR172" s="125"/>
      <c r="ONS172" s="125"/>
      <c r="ONT172" s="125"/>
      <c r="ONU172" s="125"/>
      <c r="ONV172" s="125"/>
      <c r="ONW172" s="125"/>
      <c r="ONX172" s="125"/>
      <c r="ONY172" s="125"/>
      <c r="ONZ172" s="125"/>
      <c r="OOA172" s="125"/>
      <c r="OOB172" s="125"/>
      <c r="OOC172" s="125"/>
      <c r="OOD172" s="125"/>
      <c r="OOE172" s="125"/>
      <c r="OOF172" s="125"/>
      <c r="OOG172" s="125"/>
      <c r="OOH172" s="125"/>
      <c r="OOI172" s="125"/>
      <c r="OOJ172" s="125"/>
      <c r="OOK172" s="125"/>
      <c r="OOL172" s="125"/>
      <c r="OOM172" s="125"/>
      <c r="OON172" s="125"/>
      <c r="OOO172" s="125"/>
      <c r="OOP172" s="125"/>
      <c r="OOQ172" s="125"/>
      <c r="OOR172" s="125"/>
      <c r="OOS172" s="125"/>
      <c r="OOT172" s="125"/>
      <c r="OOU172" s="125"/>
      <c r="OOV172" s="125"/>
      <c r="OOW172" s="125"/>
      <c r="OOX172" s="125"/>
      <c r="OOY172" s="125"/>
      <c r="OOZ172" s="125"/>
      <c r="OPA172" s="125"/>
      <c r="OPB172" s="125"/>
      <c r="OPC172" s="125"/>
      <c r="OPD172" s="125"/>
      <c r="OPE172" s="125"/>
      <c r="OPF172" s="125"/>
      <c r="OPG172" s="125"/>
      <c r="OPH172" s="125"/>
      <c r="OPI172" s="125"/>
      <c r="OPJ172" s="125"/>
      <c r="OPK172" s="125"/>
      <c r="OPL172" s="125"/>
      <c r="OPM172" s="125"/>
      <c r="OPN172" s="125"/>
      <c r="OPO172" s="125"/>
      <c r="OPP172" s="125"/>
      <c r="OPQ172" s="125"/>
      <c r="OPR172" s="125"/>
      <c r="OPS172" s="125"/>
      <c r="OPT172" s="125"/>
      <c r="OPU172" s="125"/>
      <c r="OPV172" s="125"/>
      <c r="OPW172" s="125"/>
      <c r="OPX172" s="125"/>
      <c r="OPY172" s="125"/>
      <c r="OPZ172" s="125"/>
      <c r="OQA172" s="125"/>
      <c r="OQB172" s="125"/>
      <c r="OQC172" s="125"/>
      <c r="OQD172" s="125"/>
      <c r="OQE172" s="125"/>
      <c r="OQF172" s="125"/>
      <c r="OQG172" s="125"/>
      <c r="OQH172" s="125"/>
      <c r="OQI172" s="125"/>
      <c r="OQJ172" s="125"/>
      <c r="OQK172" s="125"/>
      <c r="OQL172" s="125"/>
      <c r="OQM172" s="125"/>
      <c r="OQN172" s="125"/>
      <c r="OQO172" s="125"/>
      <c r="OQP172" s="125"/>
      <c r="OQQ172" s="125"/>
      <c r="OQR172" s="125"/>
      <c r="OQS172" s="125"/>
      <c r="OQT172" s="125"/>
      <c r="OQU172" s="125"/>
      <c r="OQV172" s="125"/>
      <c r="OQW172" s="125"/>
      <c r="OQX172" s="125"/>
      <c r="OQY172" s="125"/>
      <c r="OQZ172" s="125"/>
      <c r="ORA172" s="125"/>
      <c r="ORB172" s="125"/>
      <c r="ORC172" s="125"/>
      <c r="ORD172" s="125"/>
      <c r="ORE172" s="125"/>
      <c r="ORF172" s="125"/>
      <c r="ORG172" s="125"/>
      <c r="ORH172" s="125"/>
      <c r="ORI172" s="125"/>
      <c r="ORJ172" s="125"/>
      <c r="ORK172" s="125"/>
      <c r="ORL172" s="125"/>
      <c r="ORM172" s="125"/>
      <c r="ORN172" s="125"/>
      <c r="ORO172" s="125"/>
      <c r="ORP172" s="125"/>
      <c r="ORQ172" s="125"/>
      <c r="ORR172" s="125"/>
      <c r="ORS172" s="125"/>
      <c r="ORT172" s="125"/>
      <c r="ORU172" s="125"/>
      <c r="ORV172" s="125"/>
      <c r="ORW172" s="125"/>
      <c r="ORX172" s="125"/>
      <c r="ORY172" s="125"/>
      <c r="ORZ172" s="125"/>
      <c r="OSA172" s="125"/>
      <c r="OSB172" s="125"/>
      <c r="OSC172" s="125"/>
      <c r="OSD172" s="125"/>
      <c r="OSE172" s="125"/>
      <c r="OSF172" s="125"/>
      <c r="OSG172" s="125"/>
      <c r="OSH172" s="125"/>
      <c r="OSI172" s="125"/>
      <c r="OSJ172" s="125"/>
      <c r="OSK172" s="125"/>
      <c r="OSL172" s="125"/>
      <c r="OSM172" s="125"/>
      <c r="OSN172" s="125"/>
      <c r="OSO172" s="125"/>
      <c r="OSP172" s="125"/>
      <c r="OSQ172" s="125"/>
      <c r="OSR172" s="125"/>
      <c r="OSS172" s="125"/>
      <c r="OST172" s="125"/>
      <c r="OSU172" s="125"/>
      <c r="OSV172" s="125"/>
      <c r="OSW172" s="125"/>
      <c r="OSX172" s="125"/>
      <c r="OSY172" s="125"/>
      <c r="OSZ172" s="125"/>
      <c r="OTA172" s="125"/>
      <c r="OTB172" s="125"/>
      <c r="OTC172" s="125"/>
      <c r="OTD172" s="125"/>
      <c r="OTE172" s="125"/>
      <c r="OTF172" s="125"/>
      <c r="OTG172" s="125"/>
      <c r="OTH172" s="125"/>
      <c r="OTI172" s="125"/>
      <c r="OTJ172" s="125"/>
      <c r="OTK172" s="125"/>
      <c r="OTL172" s="125"/>
      <c r="OTM172" s="125"/>
      <c r="OTN172" s="125"/>
      <c r="OTO172" s="125"/>
      <c r="OTP172" s="125"/>
      <c r="OTQ172" s="125"/>
      <c r="OTR172" s="125"/>
      <c r="OTS172" s="125"/>
      <c r="OTT172" s="125"/>
      <c r="OTU172" s="125"/>
      <c r="OTV172" s="125"/>
      <c r="OTW172" s="125"/>
      <c r="OTX172" s="125"/>
      <c r="OTY172" s="125"/>
      <c r="OTZ172" s="125"/>
      <c r="OUA172" s="125"/>
      <c r="OUB172" s="125"/>
      <c r="OUC172" s="125"/>
      <c r="OUD172" s="125"/>
      <c r="OUE172" s="125"/>
      <c r="OUF172" s="125"/>
      <c r="OUG172" s="125"/>
      <c r="OUH172" s="125"/>
      <c r="OUI172" s="125"/>
      <c r="OUJ172" s="125"/>
      <c r="OUK172" s="125"/>
      <c r="OUL172" s="125"/>
      <c r="OUM172" s="125"/>
      <c r="OUN172" s="125"/>
      <c r="OUO172" s="125"/>
      <c r="OUP172" s="125"/>
      <c r="OUQ172" s="125"/>
      <c r="OUR172" s="125"/>
      <c r="OUS172" s="125"/>
      <c r="OUT172" s="125"/>
      <c r="OUU172" s="125"/>
      <c r="OUV172" s="125"/>
      <c r="OUW172" s="125"/>
      <c r="OUX172" s="125"/>
      <c r="OUY172" s="125"/>
      <c r="OUZ172" s="125"/>
      <c r="OVA172" s="125"/>
      <c r="OVB172" s="125"/>
      <c r="OVC172" s="125"/>
      <c r="OVD172" s="125"/>
      <c r="OVE172" s="125"/>
      <c r="OVF172" s="125"/>
      <c r="OVG172" s="125"/>
      <c r="OVH172" s="125"/>
      <c r="OVI172" s="125"/>
      <c r="OVJ172" s="125"/>
      <c r="OVK172" s="125"/>
      <c r="OVL172" s="125"/>
      <c r="OVM172" s="125"/>
      <c r="OVN172" s="125"/>
      <c r="OVO172" s="125"/>
      <c r="OVP172" s="125"/>
      <c r="OVQ172" s="125"/>
      <c r="OVR172" s="125"/>
      <c r="OVS172" s="125"/>
      <c r="OVT172" s="125"/>
      <c r="OVU172" s="125"/>
      <c r="OVV172" s="125"/>
      <c r="OVW172" s="125"/>
      <c r="OVX172" s="125"/>
      <c r="OVY172" s="125"/>
      <c r="OVZ172" s="125"/>
      <c r="OWA172" s="125"/>
      <c r="OWB172" s="125"/>
      <c r="OWC172" s="125"/>
      <c r="OWD172" s="125"/>
      <c r="OWE172" s="125"/>
      <c r="OWF172" s="125"/>
      <c r="OWG172" s="125"/>
      <c r="OWH172" s="125"/>
      <c r="OWI172" s="125"/>
      <c r="OWJ172" s="125"/>
      <c r="OWK172" s="125"/>
      <c r="OWL172" s="125"/>
      <c r="OWM172" s="125"/>
      <c r="OWN172" s="125"/>
      <c r="OWO172" s="125"/>
      <c r="OWP172" s="125"/>
      <c r="OWQ172" s="125"/>
      <c r="OWR172" s="125"/>
      <c r="OWS172" s="125"/>
      <c r="OWT172" s="125"/>
      <c r="OWU172" s="125"/>
      <c r="OWV172" s="125"/>
      <c r="OWW172" s="125"/>
      <c r="OWX172" s="125"/>
      <c r="OWY172" s="125"/>
      <c r="OWZ172" s="125"/>
      <c r="OXA172" s="125"/>
      <c r="OXB172" s="125"/>
      <c r="OXC172" s="125"/>
      <c r="OXD172" s="125"/>
      <c r="OXE172" s="125"/>
      <c r="OXF172" s="125"/>
      <c r="OXG172" s="125"/>
      <c r="OXH172" s="125"/>
      <c r="OXI172" s="125"/>
      <c r="OXJ172" s="125"/>
      <c r="OXK172" s="125"/>
      <c r="OXL172" s="125"/>
      <c r="OXM172" s="125"/>
      <c r="OXN172" s="125"/>
      <c r="OXO172" s="125"/>
      <c r="OXP172" s="125"/>
      <c r="OXQ172" s="125"/>
      <c r="OXR172" s="125"/>
      <c r="OXS172" s="125"/>
      <c r="OXT172" s="125"/>
      <c r="OXU172" s="125"/>
      <c r="OXV172" s="125"/>
      <c r="OXW172" s="125"/>
      <c r="OXX172" s="125"/>
      <c r="OXY172" s="125"/>
      <c r="OXZ172" s="125"/>
      <c r="OYA172" s="125"/>
      <c r="OYB172" s="125"/>
      <c r="OYC172" s="125"/>
      <c r="OYD172" s="125"/>
      <c r="OYE172" s="125"/>
      <c r="OYF172" s="125"/>
      <c r="OYG172" s="125"/>
      <c r="OYH172" s="125"/>
      <c r="OYI172" s="125"/>
      <c r="OYJ172" s="125"/>
      <c r="OYK172" s="125"/>
      <c r="OYL172" s="125"/>
      <c r="OYM172" s="125"/>
      <c r="OYN172" s="125"/>
      <c r="OYO172" s="125"/>
      <c r="OYP172" s="125"/>
      <c r="OYQ172" s="125"/>
      <c r="OYR172" s="125"/>
      <c r="OYS172" s="125"/>
      <c r="OYT172" s="125"/>
      <c r="OYU172" s="125"/>
      <c r="OYV172" s="125"/>
      <c r="OYW172" s="125"/>
      <c r="OYX172" s="125"/>
      <c r="OYY172" s="125"/>
      <c r="OYZ172" s="125"/>
      <c r="OZA172" s="125"/>
      <c r="OZB172" s="125"/>
      <c r="OZC172" s="125"/>
      <c r="OZD172" s="125"/>
      <c r="OZE172" s="125"/>
      <c r="OZF172" s="125"/>
      <c r="OZG172" s="125"/>
      <c r="OZH172" s="125"/>
      <c r="OZI172" s="125"/>
      <c r="OZJ172" s="125"/>
      <c r="OZK172" s="125"/>
      <c r="OZL172" s="125"/>
      <c r="OZM172" s="125"/>
      <c r="OZN172" s="125"/>
      <c r="OZO172" s="125"/>
      <c r="OZP172" s="125"/>
      <c r="OZQ172" s="125"/>
      <c r="OZR172" s="125"/>
      <c r="OZS172" s="125"/>
      <c r="OZT172" s="125"/>
      <c r="OZU172" s="125"/>
      <c r="OZV172" s="125"/>
      <c r="OZW172" s="125"/>
      <c r="OZX172" s="125"/>
      <c r="OZY172" s="125"/>
      <c r="OZZ172" s="125"/>
      <c r="PAA172" s="125"/>
      <c r="PAB172" s="125"/>
      <c r="PAC172" s="125"/>
      <c r="PAD172" s="125"/>
      <c r="PAE172" s="125"/>
      <c r="PAF172" s="125"/>
      <c r="PAG172" s="125"/>
      <c r="PAH172" s="125"/>
      <c r="PAI172" s="125"/>
      <c r="PAJ172" s="125"/>
      <c r="PAK172" s="125"/>
      <c r="PAL172" s="125"/>
      <c r="PAM172" s="125"/>
      <c r="PAN172" s="125"/>
      <c r="PAO172" s="125"/>
      <c r="PAP172" s="125"/>
      <c r="PAQ172" s="125"/>
      <c r="PAR172" s="125"/>
      <c r="PAS172" s="125"/>
      <c r="PAT172" s="125"/>
      <c r="PAU172" s="125"/>
      <c r="PAV172" s="125"/>
      <c r="PAW172" s="125"/>
      <c r="PAX172" s="125"/>
      <c r="PAY172" s="125"/>
      <c r="PAZ172" s="125"/>
      <c r="PBA172" s="125"/>
      <c r="PBB172" s="125"/>
      <c r="PBC172" s="125"/>
      <c r="PBD172" s="125"/>
      <c r="PBE172" s="125"/>
      <c r="PBF172" s="125"/>
      <c r="PBG172" s="125"/>
      <c r="PBH172" s="125"/>
      <c r="PBI172" s="125"/>
      <c r="PBJ172" s="125"/>
      <c r="PBK172" s="125"/>
      <c r="PBL172" s="125"/>
      <c r="PBM172" s="125"/>
      <c r="PBN172" s="125"/>
      <c r="PBO172" s="125"/>
      <c r="PBP172" s="125"/>
      <c r="PBQ172" s="125"/>
      <c r="PBR172" s="125"/>
      <c r="PBS172" s="125"/>
      <c r="PBT172" s="125"/>
      <c r="PBU172" s="125"/>
      <c r="PBV172" s="125"/>
      <c r="PBW172" s="125"/>
      <c r="PBX172" s="125"/>
      <c r="PBY172" s="125"/>
      <c r="PBZ172" s="125"/>
      <c r="PCA172" s="125"/>
      <c r="PCB172" s="125"/>
      <c r="PCC172" s="125"/>
      <c r="PCD172" s="125"/>
      <c r="PCE172" s="125"/>
      <c r="PCF172" s="125"/>
      <c r="PCG172" s="125"/>
      <c r="PCH172" s="125"/>
      <c r="PCI172" s="125"/>
      <c r="PCJ172" s="125"/>
      <c r="PCK172" s="125"/>
      <c r="PCL172" s="125"/>
      <c r="PCM172" s="125"/>
      <c r="PCN172" s="125"/>
      <c r="PCO172" s="125"/>
      <c r="PCP172" s="125"/>
      <c r="PCQ172" s="125"/>
      <c r="PCR172" s="125"/>
      <c r="PCS172" s="125"/>
      <c r="PCT172" s="125"/>
      <c r="PCU172" s="125"/>
      <c r="PCV172" s="125"/>
      <c r="PCW172" s="125"/>
      <c r="PCX172" s="125"/>
      <c r="PCY172" s="125"/>
      <c r="PCZ172" s="125"/>
      <c r="PDA172" s="125"/>
      <c r="PDB172" s="125"/>
      <c r="PDC172" s="125"/>
      <c r="PDD172" s="125"/>
      <c r="PDE172" s="125"/>
      <c r="PDF172" s="125"/>
      <c r="PDG172" s="125"/>
      <c r="PDH172" s="125"/>
      <c r="PDI172" s="125"/>
      <c r="PDJ172" s="125"/>
      <c r="PDK172" s="125"/>
      <c r="PDL172" s="125"/>
      <c r="PDM172" s="125"/>
      <c r="PDN172" s="125"/>
      <c r="PDO172" s="125"/>
      <c r="PDP172" s="125"/>
      <c r="PDQ172" s="125"/>
      <c r="PDR172" s="125"/>
      <c r="PDS172" s="125"/>
      <c r="PDT172" s="125"/>
      <c r="PDU172" s="125"/>
      <c r="PDV172" s="125"/>
      <c r="PDW172" s="125"/>
      <c r="PDX172" s="125"/>
      <c r="PDY172" s="125"/>
      <c r="PDZ172" s="125"/>
      <c r="PEA172" s="125"/>
      <c r="PEB172" s="125"/>
      <c r="PEC172" s="125"/>
      <c r="PED172" s="125"/>
      <c r="PEE172" s="125"/>
      <c r="PEF172" s="125"/>
      <c r="PEG172" s="125"/>
      <c r="PEH172" s="125"/>
      <c r="PEI172" s="125"/>
      <c r="PEJ172" s="125"/>
      <c r="PEK172" s="125"/>
      <c r="PEL172" s="125"/>
      <c r="PEM172" s="125"/>
      <c r="PEN172" s="125"/>
      <c r="PEO172" s="125"/>
      <c r="PEP172" s="125"/>
      <c r="PEQ172" s="125"/>
      <c r="PER172" s="125"/>
      <c r="PES172" s="125"/>
      <c r="PET172" s="125"/>
      <c r="PEU172" s="125"/>
      <c r="PEV172" s="125"/>
      <c r="PEW172" s="125"/>
      <c r="PEX172" s="125"/>
      <c r="PEY172" s="125"/>
      <c r="PEZ172" s="125"/>
      <c r="PFA172" s="125"/>
      <c r="PFB172" s="125"/>
      <c r="PFC172" s="125"/>
      <c r="PFD172" s="125"/>
      <c r="PFE172" s="125"/>
      <c r="PFF172" s="125"/>
      <c r="PFG172" s="125"/>
      <c r="PFH172" s="125"/>
      <c r="PFI172" s="125"/>
      <c r="PFJ172" s="125"/>
      <c r="PFK172" s="125"/>
      <c r="PFL172" s="125"/>
      <c r="PFM172" s="125"/>
      <c r="PFN172" s="125"/>
      <c r="PFO172" s="125"/>
      <c r="PFP172" s="125"/>
      <c r="PFQ172" s="125"/>
      <c r="PFR172" s="125"/>
      <c r="PFS172" s="125"/>
      <c r="PFT172" s="125"/>
      <c r="PFU172" s="125"/>
      <c r="PFV172" s="125"/>
      <c r="PFW172" s="125"/>
      <c r="PFX172" s="125"/>
      <c r="PFY172" s="125"/>
      <c r="PFZ172" s="125"/>
      <c r="PGA172" s="125"/>
      <c r="PGB172" s="125"/>
      <c r="PGC172" s="125"/>
      <c r="PGD172" s="125"/>
      <c r="PGE172" s="125"/>
      <c r="PGF172" s="125"/>
      <c r="PGG172" s="125"/>
      <c r="PGH172" s="125"/>
      <c r="PGI172" s="125"/>
      <c r="PGJ172" s="125"/>
      <c r="PGK172" s="125"/>
      <c r="PGL172" s="125"/>
      <c r="PGM172" s="125"/>
      <c r="PGN172" s="125"/>
      <c r="PGO172" s="125"/>
      <c r="PGP172" s="125"/>
      <c r="PGQ172" s="125"/>
      <c r="PGR172" s="125"/>
      <c r="PGS172" s="125"/>
      <c r="PGT172" s="125"/>
      <c r="PGU172" s="125"/>
      <c r="PGV172" s="125"/>
      <c r="PGW172" s="125"/>
      <c r="PGX172" s="125"/>
      <c r="PGY172" s="125"/>
      <c r="PGZ172" s="125"/>
      <c r="PHA172" s="125"/>
      <c r="PHB172" s="125"/>
      <c r="PHC172" s="125"/>
      <c r="PHD172" s="125"/>
      <c r="PHE172" s="125"/>
      <c r="PHF172" s="125"/>
      <c r="PHG172" s="125"/>
      <c r="PHH172" s="125"/>
      <c r="PHI172" s="125"/>
      <c r="PHJ172" s="125"/>
      <c r="PHK172" s="125"/>
      <c r="PHL172" s="125"/>
      <c r="PHM172" s="125"/>
      <c r="PHN172" s="125"/>
      <c r="PHO172" s="125"/>
      <c r="PHP172" s="125"/>
      <c r="PHQ172" s="125"/>
      <c r="PHR172" s="125"/>
      <c r="PHS172" s="125"/>
      <c r="PHT172" s="125"/>
      <c r="PHU172" s="125"/>
      <c r="PHV172" s="125"/>
      <c r="PHW172" s="125"/>
      <c r="PHX172" s="125"/>
      <c r="PHY172" s="125"/>
      <c r="PHZ172" s="125"/>
      <c r="PIA172" s="125"/>
      <c r="PIB172" s="125"/>
      <c r="PIC172" s="125"/>
      <c r="PID172" s="125"/>
      <c r="PIE172" s="125"/>
      <c r="PIF172" s="125"/>
      <c r="PIG172" s="125"/>
      <c r="PIH172" s="125"/>
      <c r="PII172" s="125"/>
      <c r="PIJ172" s="125"/>
      <c r="PIK172" s="125"/>
      <c r="PIL172" s="125"/>
      <c r="PIM172" s="125"/>
      <c r="PIN172" s="125"/>
      <c r="PIO172" s="125"/>
      <c r="PIP172" s="125"/>
      <c r="PIQ172" s="125"/>
      <c r="PIR172" s="125"/>
      <c r="PIS172" s="125"/>
      <c r="PIT172" s="125"/>
      <c r="PIU172" s="125"/>
      <c r="PIV172" s="125"/>
      <c r="PIW172" s="125"/>
      <c r="PIX172" s="125"/>
      <c r="PIY172" s="125"/>
      <c r="PIZ172" s="125"/>
      <c r="PJA172" s="125"/>
      <c r="PJB172" s="125"/>
      <c r="PJC172" s="125"/>
      <c r="PJD172" s="125"/>
      <c r="PJE172" s="125"/>
      <c r="PJF172" s="125"/>
      <c r="PJG172" s="125"/>
      <c r="PJH172" s="125"/>
      <c r="PJI172" s="125"/>
      <c r="PJJ172" s="125"/>
      <c r="PJK172" s="125"/>
      <c r="PJL172" s="125"/>
      <c r="PJM172" s="125"/>
      <c r="PJN172" s="125"/>
      <c r="PJO172" s="125"/>
      <c r="PJP172" s="125"/>
      <c r="PJQ172" s="125"/>
      <c r="PJR172" s="125"/>
      <c r="PJS172" s="125"/>
      <c r="PJT172" s="125"/>
      <c r="PJU172" s="125"/>
      <c r="PJV172" s="125"/>
      <c r="PJW172" s="125"/>
      <c r="PJX172" s="125"/>
      <c r="PJY172" s="125"/>
      <c r="PJZ172" s="125"/>
      <c r="PKA172" s="125"/>
      <c r="PKB172" s="125"/>
      <c r="PKC172" s="125"/>
      <c r="PKD172" s="125"/>
      <c r="PKE172" s="125"/>
      <c r="PKF172" s="125"/>
      <c r="PKG172" s="125"/>
      <c r="PKH172" s="125"/>
      <c r="PKI172" s="125"/>
      <c r="PKJ172" s="125"/>
      <c r="PKK172" s="125"/>
      <c r="PKL172" s="125"/>
      <c r="PKM172" s="125"/>
      <c r="PKN172" s="125"/>
      <c r="PKO172" s="125"/>
      <c r="PKP172" s="125"/>
      <c r="PKQ172" s="125"/>
      <c r="PKR172" s="125"/>
      <c r="PKS172" s="125"/>
      <c r="PKT172" s="125"/>
      <c r="PKU172" s="125"/>
      <c r="PKV172" s="125"/>
      <c r="PKW172" s="125"/>
      <c r="PKX172" s="125"/>
      <c r="PKY172" s="125"/>
      <c r="PKZ172" s="125"/>
      <c r="PLA172" s="125"/>
      <c r="PLB172" s="125"/>
      <c r="PLC172" s="125"/>
      <c r="PLD172" s="125"/>
      <c r="PLE172" s="125"/>
      <c r="PLF172" s="125"/>
      <c r="PLG172" s="125"/>
      <c r="PLH172" s="125"/>
      <c r="PLI172" s="125"/>
      <c r="PLJ172" s="125"/>
      <c r="PLK172" s="125"/>
      <c r="PLL172" s="125"/>
      <c r="PLM172" s="125"/>
      <c r="PLN172" s="125"/>
      <c r="PLO172" s="125"/>
      <c r="PLP172" s="125"/>
      <c r="PLQ172" s="125"/>
      <c r="PLR172" s="125"/>
      <c r="PLS172" s="125"/>
      <c r="PLT172" s="125"/>
      <c r="PLU172" s="125"/>
      <c r="PLV172" s="125"/>
      <c r="PLW172" s="125"/>
      <c r="PLX172" s="125"/>
      <c r="PLY172" s="125"/>
      <c r="PLZ172" s="125"/>
      <c r="PMA172" s="125"/>
      <c r="PMB172" s="125"/>
      <c r="PMC172" s="125"/>
      <c r="PMD172" s="125"/>
      <c r="PME172" s="125"/>
      <c r="PMF172" s="125"/>
      <c r="PMG172" s="125"/>
      <c r="PMH172" s="125"/>
      <c r="PMI172" s="125"/>
      <c r="PMJ172" s="125"/>
      <c r="PMK172" s="125"/>
      <c r="PML172" s="125"/>
      <c r="PMM172" s="125"/>
      <c r="PMN172" s="125"/>
      <c r="PMO172" s="125"/>
      <c r="PMP172" s="125"/>
      <c r="PMQ172" s="125"/>
      <c r="PMR172" s="125"/>
      <c r="PMS172" s="125"/>
      <c r="PMT172" s="125"/>
      <c r="PMU172" s="125"/>
      <c r="PMV172" s="125"/>
      <c r="PMW172" s="125"/>
      <c r="PMX172" s="125"/>
      <c r="PMY172" s="125"/>
      <c r="PMZ172" s="125"/>
      <c r="PNA172" s="125"/>
      <c r="PNB172" s="125"/>
      <c r="PNC172" s="125"/>
      <c r="PND172" s="125"/>
      <c r="PNE172" s="125"/>
      <c r="PNF172" s="125"/>
      <c r="PNG172" s="125"/>
      <c r="PNH172" s="125"/>
      <c r="PNI172" s="125"/>
      <c r="PNJ172" s="125"/>
      <c r="PNK172" s="125"/>
      <c r="PNL172" s="125"/>
      <c r="PNM172" s="125"/>
      <c r="PNN172" s="125"/>
      <c r="PNO172" s="125"/>
      <c r="PNP172" s="125"/>
      <c r="PNQ172" s="125"/>
      <c r="PNR172" s="125"/>
      <c r="PNS172" s="125"/>
      <c r="PNT172" s="125"/>
      <c r="PNU172" s="125"/>
      <c r="PNV172" s="125"/>
      <c r="PNW172" s="125"/>
      <c r="PNX172" s="125"/>
      <c r="PNY172" s="125"/>
      <c r="PNZ172" s="125"/>
      <c r="POA172" s="125"/>
      <c r="POB172" s="125"/>
      <c r="POC172" s="125"/>
      <c r="POD172" s="125"/>
      <c r="POE172" s="125"/>
      <c r="POF172" s="125"/>
      <c r="POG172" s="125"/>
      <c r="POH172" s="125"/>
      <c r="POI172" s="125"/>
      <c r="POJ172" s="125"/>
      <c r="POK172" s="125"/>
      <c r="POL172" s="125"/>
      <c r="POM172" s="125"/>
      <c r="PON172" s="125"/>
      <c r="POO172" s="125"/>
      <c r="POP172" s="125"/>
      <c r="POQ172" s="125"/>
      <c r="POR172" s="125"/>
      <c r="POS172" s="125"/>
      <c r="POT172" s="125"/>
      <c r="POU172" s="125"/>
      <c r="POV172" s="125"/>
      <c r="POW172" s="125"/>
      <c r="POX172" s="125"/>
      <c r="POY172" s="125"/>
      <c r="POZ172" s="125"/>
      <c r="PPA172" s="125"/>
      <c r="PPB172" s="125"/>
      <c r="PPC172" s="125"/>
      <c r="PPD172" s="125"/>
      <c r="PPE172" s="125"/>
      <c r="PPF172" s="125"/>
      <c r="PPG172" s="125"/>
      <c r="PPH172" s="125"/>
      <c r="PPI172" s="125"/>
      <c r="PPJ172" s="125"/>
      <c r="PPK172" s="125"/>
      <c r="PPL172" s="125"/>
      <c r="PPM172" s="125"/>
      <c r="PPN172" s="125"/>
      <c r="PPO172" s="125"/>
      <c r="PPP172" s="125"/>
      <c r="PPQ172" s="125"/>
      <c r="PPR172" s="125"/>
      <c r="PPS172" s="125"/>
      <c r="PPT172" s="125"/>
      <c r="PPU172" s="125"/>
      <c r="PPV172" s="125"/>
      <c r="PPW172" s="125"/>
      <c r="PPX172" s="125"/>
      <c r="PPY172" s="125"/>
      <c r="PPZ172" s="125"/>
      <c r="PQA172" s="125"/>
      <c r="PQB172" s="125"/>
      <c r="PQC172" s="125"/>
      <c r="PQD172" s="125"/>
      <c r="PQE172" s="125"/>
      <c r="PQF172" s="125"/>
      <c r="PQG172" s="125"/>
      <c r="PQH172" s="125"/>
      <c r="PQI172" s="125"/>
      <c r="PQJ172" s="125"/>
      <c r="PQK172" s="125"/>
      <c r="PQL172" s="125"/>
      <c r="PQM172" s="125"/>
      <c r="PQN172" s="125"/>
      <c r="PQO172" s="125"/>
      <c r="PQP172" s="125"/>
      <c r="PQQ172" s="125"/>
      <c r="PQR172" s="125"/>
      <c r="PQS172" s="125"/>
      <c r="PQT172" s="125"/>
      <c r="PQU172" s="125"/>
      <c r="PQV172" s="125"/>
      <c r="PQW172" s="125"/>
      <c r="PQX172" s="125"/>
      <c r="PQY172" s="125"/>
      <c r="PQZ172" s="125"/>
      <c r="PRA172" s="125"/>
      <c r="PRB172" s="125"/>
      <c r="PRC172" s="125"/>
      <c r="PRD172" s="125"/>
      <c r="PRE172" s="125"/>
      <c r="PRF172" s="125"/>
      <c r="PRG172" s="125"/>
      <c r="PRH172" s="125"/>
      <c r="PRI172" s="125"/>
      <c r="PRJ172" s="125"/>
      <c r="PRK172" s="125"/>
      <c r="PRL172" s="125"/>
      <c r="PRM172" s="125"/>
      <c r="PRN172" s="125"/>
      <c r="PRO172" s="125"/>
      <c r="PRP172" s="125"/>
      <c r="PRQ172" s="125"/>
      <c r="PRR172" s="125"/>
      <c r="PRS172" s="125"/>
      <c r="PRT172" s="125"/>
      <c r="PRU172" s="125"/>
      <c r="PRV172" s="125"/>
      <c r="PRW172" s="125"/>
      <c r="PRX172" s="125"/>
      <c r="PRY172" s="125"/>
      <c r="PRZ172" s="125"/>
      <c r="PSA172" s="125"/>
      <c r="PSB172" s="125"/>
      <c r="PSC172" s="125"/>
      <c r="PSD172" s="125"/>
      <c r="PSE172" s="125"/>
      <c r="PSF172" s="125"/>
      <c r="PSG172" s="125"/>
      <c r="PSH172" s="125"/>
      <c r="PSI172" s="125"/>
      <c r="PSJ172" s="125"/>
      <c r="PSK172" s="125"/>
      <c r="PSL172" s="125"/>
      <c r="PSM172" s="125"/>
      <c r="PSN172" s="125"/>
      <c r="PSO172" s="125"/>
      <c r="PSP172" s="125"/>
      <c r="PSQ172" s="125"/>
      <c r="PSR172" s="125"/>
      <c r="PSS172" s="125"/>
      <c r="PST172" s="125"/>
      <c r="PSU172" s="125"/>
      <c r="PSV172" s="125"/>
      <c r="PSW172" s="125"/>
      <c r="PSX172" s="125"/>
      <c r="PSY172" s="125"/>
      <c r="PSZ172" s="125"/>
      <c r="PTA172" s="125"/>
      <c r="PTB172" s="125"/>
      <c r="PTC172" s="125"/>
      <c r="PTD172" s="125"/>
      <c r="PTE172" s="125"/>
      <c r="PTF172" s="125"/>
      <c r="PTG172" s="125"/>
      <c r="PTH172" s="125"/>
      <c r="PTI172" s="125"/>
      <c r="PTJ172" s="125"/>
      <c r="PTK172" s="125"/>
      <c r="PTL172" s="125"/>
      <c r="PTM172" s="125"/>
      <c r="PTN172" s="125"/>
      <c r="PTO172" s="125"/>
      <c r="PTP172" s="125"/>
      <c r="PTQ172" s="125"/>
      <c r="PTR172" s="125"/>
      <c r="PTS172" s="125"/>
      <c r="PTT172" s="125"/>
      <c r="PTU172" s="125"/>
      <c r="PTV172" s="125"/>
      <c r="PTW172" s="125"/>
      <c r="PTX172" s="125"/>
      <c r="PTY172" s="125"/>
      <c r="PTZ172" s="125"/>
      <c r="PUA172" s="125"/>
      <c r="PUB172" s="125"/>
      <c r="PUC172" s="125"/>
      <c r="PUD172" s="125"/>
      <c r="PUE172" s="125"/>
      <c r="PUF172" s="125"/>
      <c r="PUG172" s="125"/>
      <c r="PUH172" s="125"/>
      <c r="PUI172" s="125"/>
      <c r="PUJ172" s="125"/>
      <c r="PUK172" s="125"/>
      <c r="PUL172" s="125"/>
      <c r="PUM172" s="125"/>
      <c r="PUN172" s="125"/>
      <c r="PUO172" s="125"/>
      <c r="PUP172" s="125"/>
      <c r="PUQ172" s="125"/>
      <c r="PUR172" s="125"/>
      <c r="PUS172" s="125"/>
      <c r="PUT172" s="125"/>
      <c r="PUU172" s="125"/>
      <c r="PUV172" s="125"/>
      <c r="PUW172" s="125"/>
      <c r="PUX172" s="125"/>
      <c r="PUY172" s="125"/>
      <c r="PUZ172" s="125"/>
      <c r="PVA172" s="125"/>
      <c r="PVB172" s="125"/>
      <c r="PVC172" s="125"/>
      <c r="PVD172" s="125"/>
      <c r="PVE172" s="125"/>
      <c r="PVF172" s="125"/>
      <c r="PVG172" s="125"/>
      <c r="PVH172" s="125"/>
      <c r="PVI172" s="125"/>
      <c r="PVJ172" s="125"/>
      <c r="PVK172" s="125"/>
      <c r="PVL172" s="125"/>
      <c r="PVM172" s="125"/>
      <c r="PVN172" s="125"/>
      <c r="PVO172" s="125"/>
      <c r="PVP172" s="125"/>
      <c r="PVQ172" s="125"/>
      <c r="PVR172" s="125"/>
      <c r="PVS172" s="125"/>
      <c r="PVT172" s="125"/>
      <c r="PVU172" s="125"/>
      <c r="PVV172" s="125"/>
      <c r="PVW172" s="125"/>
      <c r="PVX172" s="125"/>
      <c r="PVY172" s="125"/>
      <c r="PVZ172" s="125"/>
      <c r="PWA172" s="125"/>
      <c r="PWB172" s="125"/>
      <c r="PWC172" s="125"/>
      <c r="PWD172" s="125"/>
      <c r="PWE172" s="125"/>
      <c r="PWF172" s="125"/>
      <c r="PWG172" s="125"/>
      <c r="PWH172" s="125"/>
      <c r="PWI172" s="125"/>
      <c r="PWJ172" s="125"/>
      <c r="PWK172" s="125"/>
      <c r="PWL172" s="125"/>
      <c r="PWM172" s="125"/>
      <c r="PWN172" s="125"/>
      <c r="PWO172" s="125"/>
      <c r="PWP172" s="125"/>
      <c r="PWQ172" s="125"/>
      <c r="PWR172" s="125"/>
      <c r="PWS172" s="125"/>
      <c r="PWT172" s="125"/>
      <c r="PWU172" s="125"/>
      <c r="PWV172" s="125"/>
      <c r="PWW172" s="125"/>
      <c r="PWX172" s="125"/>
      <c r="PWY172" s="125"/>
      <c r="PWZ172" s="125"/>
      <c r="PXA172" s="125"/>
      <c r="PXB172" s="125"/>
      <c r="PXC172" s="125"/>
      <c r="PXD172" s="125"/>
      <c r="PXE172" s="125"/>
      <c r="PXF172" s="125"/>
      <c r="PXG172" s="125"/>
      <c r="PXH172" s="125"/>
      <c r="PXI172" s="125"/>
      <c r="PXJ172" s="125"/>
      <c r="PXK172" s="125"/>
      <c r="PXL172" s="125"/>
      <c r="PXM172" s="125"/>
      <c r="PXN172" s="125"/>
      <c r="PXO172" s="125"/>
      <c r="PXP172" s="125"/>
      <c r="PXQ172" s="125"/>
      <c r="PXR172" s="125"/>
      <c r="PXS172" s="125"/>
      <c r="PXT172" s="125"/>
      <c r="PXU172" s="125"/>
      <c r="PXV172" s="125"/>
      <c r="PXW172" s="125"/>
      <c r="PXX172" s="125"/>
      <c r="PXY172" s="125"/>
      <c r="PXZ172" s="125"/>
      <c r="PYA172" s="125"/>
      <c r="PYB172" s="125"/>
      <c r="PYC172" s="125"/>
      <c r="PYD172" s="125"/>
      <c r="PYE172" s="125"/>
      <c r="PYF172" s="125"/>
      <c r="PYG172" s="125"/>
      <c r="PYH172" s="125"/>
      <c r="PYI172" s="125"/>
      <c r="PYJ172" s="125"/>
      <c r="PYK172" s="125"/>
      <c r="PYL172" s="125"/>
      <c r="PYM172" s="125"/>
      <c r="PYN172" s="125"/>
      <c r="PYO172" s="125"/>
      <c r="PYP172" s="125"/>
      <c r="PYQ172" s="125"/>
      <c r="PYR172" s="125"/>
      <c r="PYS172" s="125"/>
      <c r="PYT172" s="125"/>
      <c r="PYU172" s="125"/>
      <c r="PYV172" s="125"/>
      <c r="PYW172" s="125"/>
      <c r="PYX172" s="125"/>
      <c r="PYY172" s="125"/>
      <c r="PYZ172" s="125"/>
      <c r="PZA172" s="125"/>
      <c r="PZB172" s="125"/>
      <c r="PZC172" s="125"/>
      <c r="PZD172" s="125"/>
      <c r="PZE172" s="125"/>
      <c r="PZF172" s="125"/>
      <c r="PZG172" s="125"/>
      <c r="PZH172" s="125"/>
      <c r="PZI172" s="125"/>
      <c r="PZJ172" s="125"/>
      <c r="PZK172" s="125"/>
      <c r="PZL172" s="125"/>
      <c r="PZM172" s="125"/>
      <c r="PZN172" s="125"/>
      <c r="PZO172" s="125"/>
      <c r="PZP172" s="125"/>
      <c r="PZQ172" s="125"/>
      <c r="PZR172" s="125"/>
      <c r="PZS172" s="125"/>
      <c r="PZT172" s="125"/>
      <c r="PZU172" s="125"/>
      <c r="PZV172" s="125"/>
      <c r="PZW172" s="125"/>
      <c r="PZX172" s="125"/>
      <c r="PZY172" s="125"/>
      <c r="PZZ172" s="125"/>
      <c r="QAA172" s="125"/>
      <c r="QAB172" s="125"/>
      <c r="QAC172" s="125"/>
      <c r="QAD172" s="125"/>
      <c r="QAE172" s="125"/>
      <c r="QAF172" s="125"/>
      <c r="QAG172" s="125"/>
      <c r="QAH172" s="125"/>
      <c r="QAI172" s="125"/>
      <c r="QAJ172" s="125"/>
      <c r="QAK172" s="125"/>
      <c r="QAL172" s="125"/>
      <c r="QAM172" s="125"/>
      <c r="QAN172" s="125"/>
      <c r="QAO172" s="125"/>
      <c r="QAP172" s="125"/>
      <c r="QAQ172" s="125"/>
      <c r="QAR172" s="125"/>
      <c r="QAS172" s="125"/>
      <c r="QAT172" s="125"/>
      <c r="QAU172" s="125"/>
      <c r="QAV172" s="125"/>
      <c r="QAW172" s="125"/>
      <c r="QAX172" s="125"/>
      <c r="QAY172" s="125"/>
      <c r="QAZ172" s="125"/>
      <c r="QBA172" s="125"/>
      <c r="QBB172" s="125"/>
      <c r="QBC172" s="125"/>
      <c r="QBD172" s="125"/>
      <c r="QBE172" s="125"/>
      <c r="QBF172" s="125"/>
      <c r="QBG172" s="125"/>
      <c r="QBH172" s="125"/>
      <c r="QBI172" s="125"/>
      <c r="QBJ172" s="125"/>
      <c r="QBK172" s="125"/>
      <c r="QBL172" s="125"/>
      <c r="QBM172" s="125"/>
      <c r="QBN172" s="125"/>
      <c r="QBO172" s="125"/>
      <c r="QBP172" s="125"/>
      <c r="QBQ172" s="125"/>
      <c r="QBR172" s="125"/>
      <c r="QBS172" s="125"/>
      <c r="QBT172" s="125"/>
      <c r="QBU172" s="125"/>
      <c r="QBV172" s="125"/>
      <c r="QBW172" s="125"/>
      <c r="QBX172" s="125"/>
      <c r="QBY172" s="125"/>
      <c r="QBZ172" s="125"/>
      <c r="QCA172" s="125"/>
      <c r="QCB172" s="125"/>
      <c r="QCC172" s="125"/>
      <c r="QCD172" s="125"/>
      <c r="QCE172" s="125"/>
      <c r="QCF172" s="125"/>
      <c r="QCG172" s="125"/>
      <c r="QCH172" s="125"/>
      <c r="QCI172" s="125"/>
      <c r="QCJ172" s="125"/>
      <c r="QCK172" s="125"/>
      <c r="QCL172" s="125"/>
      <c r="QCM172" s="125"/>
      <c r="QCN172" s="125"/>
      <c r="QCO172" s="125"/>
      <c r="QCP172" s="125"/>
      <c r="QCQ172" s="125"/>
      <c r="QCR172" s="125"/>
      <c r="QCS172" s="125"/>
      <c r="QCT172" s="125"/>
      <c r="QCU172" s="125"/>
      <c r="QCV172" s="125"/>
      <c r="QCW172" s="125"/>
      <c r="QCX172" s="125"/>
      <c r="QCY172" s="125"/>
      <c r="QCZ172" s="125"/>
      <c r="QDA172" s="125"/>
      <c r="QDB172" s="125"/>
      <c r="QDC172" s="125"/>
      <c r="QDD172" s="125"/>
      <c r="QDE172" s="125"/>
      <c r="QDF172" s="125"/>
      <c r="QDG172" s="125"/>
      <c r="QDH172" s="125"/>
      <c r="QDI172" s="125"/>
      <c r="QDJ172" s="125"/>
      <c r="QDK172" s="125"/>
      <c r="QDL172" s="125"/>
      <c r="QDM172" s="125"/>
      <c r="QDN172" s="125"/>
      <c r="QDO172" s="125"/>
      <c r="QDP172" s="125"/>
      <c r="QDQ172" s="125"/>
      <c r="QDR172" s="125"/>
      <c r="QDS172" s="125"/>
      <c r="QDT172" s="125"/>
      <c r="QDU172" s="125"/>
      <c r="QDV172" s="125"/>
      <c r="QDW172" s="125"/>
      <c r="QDX172" s="125"/>
      <c r="QDY172" s="125"/>
      <c r="QDZ172" s="125"/>
      <c r="QEA172" s="125"/>
      <c r="QEB172" s="125"/>
      <c r="QEC172" s="125"/>
      <c r="QED172" s="125"/>
      <c r="QEE172" s="125"/>
      <c r="QEF172" s="125"/>
      <c r="QEG172" s="125"/>
      <c r="QEH172" s="125"/>
      <c r="QEI172" s="125"/>
      <c r="QEJ172" s="125"/>
      <c r="QEK172" s="125"/>
      <c r="QEL172" s="125"/>
      <c r="QEM172" s="125"/>
      <c r="QEN172" s="125"/>
      <c r="QEO172" s="125"/>
      <c r="QEP172" s="125"/>
      <c r="QEQ172" s="125"/>
      <c r="QER172" s="125"/>
      <c r="QES172" s="125"/>
      <c r="QET172" s="125"/>
      <c r="QEU172" s="125"/>
      <c r="QEV172" s="125"/>
      <c r="QEW172" s="125"/>
      <c r="QEX172" s="125"/>
      <c r="QEY172" s="125"/>
      <c r="QEZ172" s="125"/>
      <c r="QFA172" s="125"/>
      <c r="QFB172" s="125"/>
      <c r="QFC172" s="125"/>
      <c r="QFD172" s="125"/>
      <c r="QFE172" s="125"/>
      <c r="QFF172" s="125"/>
      <c r="QFG172" s="125"/>
      <c r="QFH172" s="125"/>
      <c r="QFI172" s="125"/>
      <c r="QFJ172" s="125"/>
      <c r="QFK172" s="125"/>
      <c r="QFL172" s="125"/>
      <c r="QFM172" s="125"/>
      <c r="QFN172" s="125"/>
      <c r="QFO172" s="125"/>
      <c r="QFP172" s="125"/>
      <c r="QFQ172" s="125"/>
      <c r="QFR172" s="125"/>
      <c r="QFS172" s="125"/>
      <c r="QFT172" s="125"/>
      <c r="QFU172" s="125"/>
      <c r="QFV172" s="125"/>
      <c r="QFW172" s="125"/>
      <c r="QFX172" s="125"/>
      <c r="QFY172" s="125"/>
      <c r="QFZ172" s="125"/>
      <c r="QGA172" s="125"/>
      <c r="QGB172" s="125"/>
      <c r="QGC172" s="125"/>
      <c r="QGD172" s="125"/>
      <c r="QGE172" s="125"/>
      <c r="QGF172" s="125"/>
      <c r="QGG172" s="125"/>
      <c r="QGH172" s="125"/>
      <c r="QGI172" s="125"/>
      <c r="QGJ172" s="125"/>
      <c r="QGK172" s="125"/>
      <c r="QGL172" s="125"/>
      <c r="QGM172" s="125"/>
      <c r="QGN172" s="125"/>
      <c r="QGO172" s="125"/>
      <c r="QGP172" s="125"/>
      <c r="QGQ172" s="125"/>
      <c r="QGR172" s="125"/>
      <c r="QGS172" s="125"/>
      <c r="QGT172" s="125"/>
      <c r="QGU172" s="125"/>
      <c r="QGV172" s="125"/>
      <c r="QGW172" s="125"/>
      <c r="QGX172" s="125"/>
      <c r="QGY172" s="125"/>
      <c r="QGZ172" s="125"/>
      <c r="QHA172" s="125"/>
      <c r="QHB172" s="125"/>
      <c r="QHC172" s="125"/>
      <c r="QHD172" s="125"/>
      <c r="QHE172" s="125"/>
      <c r="QHF172" s="125"/>
      <c r="QHG172" s="125"/>
      <c r="QHH172" s="125"/>
      <c r="QHI172" s="125"/>
      <c r="QHJ172" s="125"/>
      <c r="QHK172" s="125"/>
      <c r="QHL172" s="125"/>
      <c r="QHM172" s="125"/>
      <c r="QHN172" s="125"/>
      <c r="QHO172" s="125"/>
      <c r="QHP172" s="125"/>
      <c r="QHQ172" s="125"/>
      <c r="QHR172" s="125"/>
      <c r="QHS172" s="125"/>
      <c r="QHT172" s="125"/>
      <c r="QHU172" s="125"/>
      <c r="QHV172" s="125"/>
      <c r="QHW172" s="125"/>
      <c r="QHX172" s="125"/>
      <c r="QHY172" s="125"/>
      <c r="QHZ172" s="125"/>
      <c r="QIA172" s="125"/>
      <c r="QIB172" s="125"/>
      <c r="QIC172" s="125"/>
      <c r="QID172" s="125"/>
      <c r="QIE172" s="125"/>
      <c r="QIF172" s="125"/>
      <c r="QIG172" s="125"/>
      <c r="QIH172" s="125"/>
      <c r="QII172" s="125"/>
      <c r="QIJ172" s="125"/>
      <c r="QIK172" s="125"/>
      <c r="QIL172" s="125"/>
      <c r="QIM172" s="125"/>
      <c r="QIN172" s="125"/>
      <c r="QIO172" s="125"/>
      <c r="QIP172" s="125"/>
      <c r="QIQ172" s="125"/>
      <c r="QIR172" s="125"/>
      <c r="QIS172" s="125"/>
      <c r="QIT172" s="125"/>
      <c r="QIU172" s="125"/>
      <c r="QIV172" s="125"/>
      <c r="QIW172" s="125"/>
      <c r="QIX172" s="125"/>
      <c r="QIY172" s="125"/>
      <c r="QIZ172" s="125"/>
      <c r="QJA172" s="125"/>
      <c r="QJB172" s="125"/>
      <c r="QJC172" s="125"/>
      <c r="QJD172" s="125"/>
      <c r="QJE172" s="125"/>
      <c r="QJF172" s="125"/>
      <c r="QJG172" s="125"/>
      <c r="QJH172" s="125"/>
      <c r="QJI172" s="125"/>
      <c r="QJJ172" s="125"/>
      <c r="QJK172" s="125"/>
      <c r="QJL172" s="125"/>
      <c r="QJM172" s="125"/>
      <c r="QJN172" s="125"/>
      <c r="QJO172" s="125"/>
      <c r="QJP172" s="125"/>
      <c r="QJQ172" s="125"/>
      <c r="QJR172" s="125"/>
      <c r="QJS172" s="125"/>
      <c r="QJT172" s="125"/>
      <c r="QJU172" s="125"/>
      <c r="QJV172" s="125"/>
      <c r="QJW172" s="125"/>
      <c r="QJX172" s="125"/>
      <c r="QJY172" s="125"/>
      <c r="QJZ172" s="125"/>
      <c r="QKA172" s="125"/>
      <c r="QKB172" s="125"/>
      <c r="QKC172" s="125"/>
      <c r="QKD172" s="125"/>
      <c r="QKE172" s="125"/>
      <c r="QKF172" s="125"/>
      <c r="QKG172" s="125"/>
      <c r="QKH172" s="125"/>
      <c r="QKI172" s="125"/>
      <c r="QKJ172" s="125"/>
      <c r="QKK172" s="125"/>
      <c r="QKL172" s="125"/>
      <c r="QKM172" s="125"/>
      <c r="QKN172" s="125"/>
      <c r="QKO172" s="125"/>
      <c r="QKP172" s="125"/>
      <c r="QKQ172" s="125"/>
      <c r="QKR172" s="125"/>
      <c r="QKS172" s="125"/>
      <c r="QKT172" s="125"/>
      <c r="QKU172" s="125"/>
      <c r="QKV172" s="125"/>
      <c r="QKW172" s="125"/>
      <c r="QKX172" s="125"/>
      <c r="QKY172" s="125"/>
      <c r="QKZ172" s="125"/>
      <c r="QLA172" s="125"/>
      <c r="QLB172" s="125"/>
      <c r="QLC172" s="125"/>
      <c r="QLD172" s="125"/>
      <c r="QLE172" s="125"/>
      <c r="QLF172" s="125"/>
      <c r="QLG172" s="125"/>
      <c r="QLH172" s="125"/>
      <c r="QLI172" s="125"/>
      <c r="QLJ172" s="125"/>
      <c r="QLK172" s="125"/>
      <c r="QLL172" s="125"/>
      <c r="QLM172" s="125"/>
      <c r="QLN172" s="125"/>
      <c r="QLO172" s="125"/>
      <c r="QLP172" s="125"/>
      <c r="QLQ172" s="125"/>
      <c r="QLR172" s="125"/>
      <c r="QLS172" s="125"/>
      <c r="QLT172" s="125"/>
      <c r="QLU172" s="125"/>
      <c r="QLV172" s="125"/>
      <c r="QLW172" s="125"/>
      <c r="QLX172" s="125"/>
      <c r="QLY172" s="125"/>
      <c r="QLZ172" s="125"/>
      <c r="QMA172" s="125"/>
      <c r="QMB172" s="125"/>
      <c r="QMC172" s="125"/>
      <c r="QMD172" s="125"/>
      <c r="QME172" s="125"/>
      <c r="QMF172" s="125"/>
      <c r="QMG172" s="125"/>
      <c r="QMH172" s="125"/>
      <c r="QMI172" s="125"/>
      <c r="QMJ172" s="125"/>
      <c r="QMK172" s="125"/>
      <c r="QML172" s="125"/>
      <c r="QMM172" s="125"/>
      <c r="QMN172" s="125"/>
      <c r="QMO172" s="125"/>
      <c r="QMP172" s="125"/>
      <c r="QMQ172" s="125"/>
      <c r="QMR172" s="125"/>
      <c r="QMS172" s="125"/>
      <c r="QMT172" s="125"/>
      <c r="QMU172" s="125"/>
      <c r="QMV172" s="125"/>
      <c r="QMW172" s="125"/>
      <c r="QMX172" s="125"/>
      <c r="QMY172" s="125"/>
      <c r="QMZ172" s="125"/>
      <c r="QNA172" s="125"/>
      <c r="QNB172" s="125"/>
      <c r="QNC172" s="125"/>
      <c r="QND172" s="125"/>
      <c r="QNE172" s="125"/>
      <c r="QNF172" s="125"/>
      <c r="QNG172" s="125"/>
      <c r="QNH172" s="125"/>
      <c r="QNI172" s="125"/>
      <c r="QNJ172" s="125"/>
      <c r="QNK172" s="125"/>
      <c r="QNL172" s="125"/>
      <c r="QNM172" s="125"/>
      <c r="QNN172" s="125"/>
      <c r="QNO172" s="125"/>
      <c r="QNP172" s="125"/>
      <c r="QNQ172" s="125"/>
      <c r="QNR172" s="125"/>
      <c r="QNS172" s="125"/>
      <c r="QNT172" s="125"/>
      <c r="QNU172" s="125"/>
      <c r="QNV172" s="125"/>
      <c r="QNW172" s="125"/>
      <c r="QNX172" s="125"/>
      <c r="QNY172" s="125"/>
      <c r="QNZ172" s="125"/>
      <c r="QOA172" s="125"/>
      <c r="QOB172" s="125"/>
      <c r="QOC172" s="125"/>
      <c r="QOD172" s="125"/>
      <c r="QOE172" s="125"/>
      <c r="QOF172" s="125"/>
      <c r="QOG172" s="125"/>
      <c r="QOH172" s="125"/>
      <c r="QOI172" s="125"/>
      <c r="QOJ172" s="125"/>
      <c r="QOK172" s="125"/>
      <c r="QOL172" s="125"/>
      <c r="QOM172" s="125"/>
      <c r="QON172" s="125"/>
      <c r="QOO172" s="125"/>
      <c r="QOP172" s="125"/>
      <c r="QOQ172" s="125"/>
      <c r="QOR172" s="125"/>
      <c r="QOS172" s="125"/>
      <c r="QOT172" s="125"/>
      <c r="QOU172" s="125"/>
      <c r="QOV172" s="125"/>
      <c r="QOW172" s="125"/>
      <c r="QOX172" s="125"/>
      <c r="QOY172" s="125"/>
      <c r="QOZ172" s="125"/>
      <c r="QPA172" s="125"/>
      <c r="QPB172" s="125"/>
      <c r="QPC172" s="125"/>
      <c r="QPD172" s="125"/>
      <c r="QPE172" s="125"/>
      <c r="QPF172" s="125"/>
      <c r="QPG172" s="125"/>
      <c r="QPH172" s="125"/>
      <c r="QPI172" s="125"/>
      <c r="QPJ172" s="125"/>
      <c r="QPK172" s="125"/>
      <c r="QPL172" s="125"/>
      <c r="QPM172" s="125"/>
      <c r="QPN172" s="125"/>
      <c r="QPO172" s="125"/>
      <c r="QPP172" s="125"/>
      <c r="QPQ172" s="125"/>
      <c r="QPR172" s="125"/>
      <c r="QPS172" s="125"/>
      <c r="QPT172" s="125"/>
      <c r="QPU172" s="125"/>
      <c r="QPV172" s="125"/>
      <c r="QPW172" s="125"/>
      <c r="QPX172" s="125"/>
      <c r="QPY172" s="125"/>
      <c r="QPZ172" s="125"/>
      <c r="QQA172" s="125"/>
      <c r="QQB172" s="125"/>
      <c r="QQC172" s="125"/>
      <c r="QQD172" s="125"/>
      <c r="QQE172" s="125"/>
      <c r="QQF172" s="125"/>
      <c r="QQG172" s="125"/>
      <c r="QQH172" s="125"/>
      <c r="QQI172" s="125"/>
      <c r="QQJ172" s="125"/>
      <c r="QQK172" s="125"/>
      <c r="QQL172" s="125"/>
      <c r="QQM172" s="125"/>
      <c r="QQN172" s="125"/>
      <c r="QQO172" s="125"/>
      <c r="QQP172" s="125"/>
      <c r="QQQ172" s="125"/>
      <c r="QQR172" s="125"/>
      <c r="QQS172" s="125"/>
      <c r="QQT172" s="125"/>
      <c r="QQU172" s="125"/>
      <c r="QQV172" s="125"/>
      <c r="QQW172" s="125"/>
      <c r="QQX172" s="125"/>
      <c r="QQY172" s="125"/>
      <c r="QQZ172" s="125"/>
      <c r="QRA172" s="125"/>
      <c r="QRB172" s="125"/>
      <c r="QRC172" s="125"/>
      <c r="QRD172" s="125"/>
      <c r="QRE172" s="125"/>
      <c r="QRF172" s="125"/>
      <c r="QRG172" s="125"/>
      <c r="QRH172" s="125"/>
      <c r="QRI172" s="125"/>
      <c r="QRJ172" s="125"/>
      <c r="QRK172" s="125"/>
      <c r="QRL172" s="125"/>
      <c r="QRM172" s="125"/>
      <c r="QRN172" s="125"/>
      <c r="QRO172" s="125"/>
      <c r="QRP172" s="125"/>
      <c r="QRQ172" s="125"/>
      <c r="QRR172" s="125"/>
      <c r="QRS172" s="125"/>
      <c r="QRT172" s="125"/>
      <c r="QRU172" s="125"/>
      <c r="QRV172" s="125"/>
      <c r="QRW172" s="125"/>
      <c r="QRX172" s="125"/>
      <c r="QRY172" s="125"/>
      <c r="QRZ172" s="125"/>
      <c r="QSA172" s="125"/>
      <c r="QSB172" s="125"/>
      <c r="QSC172" s="125"/>
      <c r="QSD172" s="125"/>
      <c r="QSE172" s="125"/>
      <c r="QSF172" s="125"/>
      <c r="QSG172" s="125"/>
      <c r="QSH172" s="125"/>
      <c r="QSI172" s="125"/>
      <c r="QSJ172" s="125"/>
      <c r="QSK172" s="125"/>
      <c r="QSL172" s="125"/>
      <c r="QSM172" s="125"/>
      <c r="QSN172" s="125"/>
      <c r="QSO172" s="125"/>
      <c r="QSP172" s="125"/>
      <c r="QSQ172" s="125"/>
      <c r="QSR172" s="125"/>
      <c r="QSS172" s="125"/>
      <c r="QST172" s="125"/>
      <c r="QSU172" s="125"/>
      <c r="QSV172" s="125"/>
      <c r="QSW172" s="125"/>
      <c r="QSX172" s="125"/>
      <c r="QSY172" s="125"/>
      <c r="QSZ172" s="125"/>
      <c r="QTA172" s="125"/>
      <c r="QTB172" s="125"/>
      <c r="QTC172" s="125"/>
      <c r="QTD172" s="125"/>
      <c r="QTE172" s="125"/>
      <c r="QTF172" s="125"/>
      <c r="QTG172" s="125"/>
      <c r="QTH172" s="125"/>
      <c r="QTI172" s="125"/>
      <c r="QTJ172" s="125"/>
      <c r="QTK172" s="125"/>
      <c r="QTL172" s="125"/>
      <c r="QTM172" s="125"/>
      <c r="QTN172" s="125"/>
      <c r="QTO172" s="125"/>
      <c r="QTP172" s="125"/>
      <c r="QTQ172" s="125"/>
      <c r="QTR172" s="125"/>
      <c r="QTS172" s="125"/>
      <c r="QTT172" s="125"/>
      <c r="QTU172" s="125"/>
      <c r="QTV172" s="125"/>
      <c r="QTW172" s="125"/>
      <c r="QTX172" s="125"/>
      <c r="QTY172" s="125"/>
      <c r="QTZ172" s="125"/>
      <c r="QUA172" s="125"/>
      <c r="QUB172" s="125"/>
      <c r="QUC172" s="125"/>
      <c r="QUD172" s="125"/>
      <c r="QUE172" s="125"/>
      <c r="QUF172" s="125"/>
      <c r="QUG172" s="125"/>
      <c r="QUH172" s="125"/>
      <c r="QUI172" s="125"/>
      <c r="QUJ172" s="125"/>
      <c r="QUK172" s="125"/>
      <c r="QUL172" s="125"/>
      <c r="QUM172" s="125"/>
      <c r="QUN172" s="125"/>
      <c r="QUO172" s="125"/>
      <c r="QUP172" s="125"/>
      <c r="QUQ172" s="125"/>
      <c r="QUR172" s="125"/>
      <c r="QUS172" s="125"/>
      <c r="QUT172" s="125"/>
      <c r="QUU172" s="125"/>
      <c r="QUV172" s="125"/>
      <c r="QUW172" s="125"/>
      <c r="QUX172" s="125"/>
      <c r="QUY172" s="125"/>
      <c r="QUZ172" s="125"/>
      <c r="QVA172" s="125"/>
      <c r="QVB172" s="125"/>
      <c r="QVC172" s="125"/>
      <c r="QVD172" s="125"/>
      <c r="QVE172" s="125"/>
      <c r="QVF172" s="125"/>
      <c r="QVG172" s="125"/>
      <c r="QVH172" s="125"/>
      <c r="QVI172" s="125"/>
      <c r="QVJ172" s="125"/>
      <c r="QVK172" s="125"/>
      <c r="QVL172" s="125"/>
      <c r="QVM172" s="125"/>
      <c r="QVN172" s="125"/>
      <c r="QVO172" s="125"/>
      <c r="QVP172" s="125"/>
      <c r="QVQ172" s="125"/>
      <c r="QVR172" s="125"/>
      <c r="QVS172" s="125"/>
      <c r="QVT172" s="125"/>
      <c r="QVU172" s="125"/>
      <c r="QVV172" s="125"/>
      <c r="QVW172" s="125"/>
      <c r="QVX172" s="125"/>
      <c r="QVY172" s="125"/>
      <c r="QVZ172" s="125"/>
      <c r="QWA172" s="125"/>
      <c r="QWB172" s="125"/>
      <c r="QWC172" s="125"/>
      <c r="QWD172" s="125"/>
      <c r="QWE172" s="125"/>
      <c r="QWF172" s="125"/>
      <c r="QWG172" s="125"/>
      <c r="QWH172" s="125"/>
      <c r="QWI172" s="125"/>
      <c r="QWJ172" s="125"/>
      <c r="QWK172" s="125"/>
      <c r="QWL172" s="125"/>
      <c r="QWM172" s="125"/>
      <c r="QWN172" s="125"/>
      <c r="QWO172" s="125"/>
      <c r="QWP172" s="125"/>
      <c r="QWQ172" s="125"/>
      <c r="QWR172" s="125"/>
      <c r="QWS172" s="125"/>
      <c r="QWT172" s="125"/>
      <c r="QWU172" s="125"/>
      <c r="QWV172" s="125"/>
      <c r="QWW172" s="125"/>
      <c r="QWX172" s="125"/>
      <c r="QWY172" s="125"/>
      <c r="QWZ172" s="125"/>
      <c r="QXA172" s="125"/>
      <c r="QXB172" s="125"/>
      <c r="QXC172" s="125"/>
      <c r="QXD172" s="125"/>
      <c r="QXE172" s="125"/>
      <c r="QXF172" s="125"/>
      <c r="QXG172" s="125"/>
      <c r="QXH172" s="125"/>
      <c r="QXI172" s="125"/>
      <c r="QXJ172" s="125"/>
      <c r="QXK172" s="125"/>
      <c r="QXL172" s="125"/>
      <c r="QXM172" s="125"/>
      <c r="QXN172" s="125"/>
      <c r="QXO172" s="125"/>
      <c r="QXP172" s="125"/>
      <c r="QXQ172" s="125"/>
      <c r="QXR172" s="125"/>
      <c r="QXS172" s="125"/>
      <c r="QXT172" s="125"/>
      <c r="QXU172" s="125"/>
      <c r="QXV172" s="125"/>
      <c r="QXW172" s="125"/>
      <c r="QXX172" s="125"/>
      <c r="QXY172" s="125"/>
      <c r="QXZ172" s="125"/>
      <c r="QYA172" s="125"/>
      <c r="QYB172" s="125"/>
      <c r="QYC172" s="125"/>
      <c r="QYD172" s="125"/>
      <c r="QYE172" s="125"/>
      <c r="QYF172" s="125"/>
      <c r="QYG172" s="125"/>
      <c r="QYH172" s="125"/>
      <c r="QYI172" s="125"/>
      <c r="QYJ172" s="125"/>
      <c r="QYK172" s="125"/>
      <c r="QYL172" s="125"/>
      <c r="QYM172" s="125"/>
      <c r="QYN172" s="125"/>
      <c r="QYO172" s="125"/>
      <c r="QYP172" s="125"/>
      <c r="QYQ172" s="125"/>
      <c r="QYR172" s="125"/>
      <c r="QYS172" s="125"/>
      <c r="QYT172" s="125"/>
      <c r="QYU172" s="125"/>
      <c r="QYV172" s="125"/>
      <c r="QYW172" s="125"/>
      <c r="QYX172" s="125"/>
      <c r="QYY172" s="125"/>
      <c r="QYZ172" s="125"/>
      <c r="QZA172" s="125"/>
      <c r="QZB172" s="125"/>
      <c r="QZC172" s="125"/>
      <c r="QZD172" s="125"/>
      <c r="QZE172" s="125"/>
      <c r="QZF172" s="125"/>
      <c r="QZG172" s="125"/>
      <c r="QZH172" s="125"/>
      <c r="QZI172" s="125"/>
      <c r="QZJ172" s="125"/>
      <c r="QZK172" s="125"/>
      <c r="QZL172" s="125"/>
      <c r="QZM172" s="125"/>
      <c r="QZN172" s="125"/>
      <c r="QZO172" s="125"/>
      <c r="QZP172" s="125"/>
      <c r="QZQ172" s="125"/>
      <c r="QZR172" s="125"/>
      <c r="QZS172" s="125"/>
      <c r="QZT172" s="125"/>
      <c r="QZU172" s="125"/>
      <c r="QZV172" s="125"/>
      <c r="QZW172" s="125"/>
      <c r="QZX172" s="125"/>
      <c r="QZY172" s="125"/>
      <c r="QZZ172" s="125"/>
      <c r="RAA172" s="125"/>
      <c r="RAB172" s="125"/>
      <c r="RAC172" s="125"/>
      <c r="RAD172" s="125"/>
      <c r="RAE172" s="125"/>
      <c r="RAF172" s="125"/>
      <c r="RAG172" s="125"/>
      <c r="RAH172" s="125"/>
      <c r="RAI172" s="125"/>
      <c r="RAJ172" s="125"/>
      <c r="RAK172" s="125"/>
      <c r="RAL172" s="125"/>
      <c r="RAM172" s="125"/>
      <c r="RAN172" s="125"/>
      <c r="RAO172" s="125"/>
      <c r="RAP172" s="125"/>
      <c r="RAQ172" s="125"/>
      <c r="RAR172" s="125"/>
      <c r="RAS172" s="125"/>
      <c r="RAT172" s="125"/>
      <c r="RAU172" s="125"/>
      <c r="RAV172" s="125"/>
      <c r="RAW172" s="125"/>
      <c r="RAX172" s="125"/>
      <c r="RAY172" s="125"/>
      <c r="RAZ172" s="125"/>
      <c r="RBA172" s="125"/>
      <c r="RBB172" s="125"/>
      <c r="RBC172" s="125"/>
      <c r="RBD172" s="125"/>
      <c r="RBE172" s="125"/>
      <c r="RBF172" s="125"/>
      <c r="RBG172" s="125"/>
      <c r="RBH172" s="125"/>
      <c r="RBI172" s="125"/>
      <c r="RBJ172" s="125"/>
      <c r="RBK172" s="125"/>
      <c r="RBL172" s="125"/>
      <c r="RBM172" s="125"/>
      <c r="RBN172" s="125"/>
      <c r="RBO172" s="125"/>
      <c r="RBP172" s="125"/>
      <c r="RBQ172" s="125"/>
      <c r="RBR172" s="125"/>
      <c r="RBS172" s="125"/>
      <c r="RBT172" s="125"/>
      <c r="RBU172" s="125"/>
      <c r="RBV172" s="125"/>
      <c r="RBW172" s="125"/>
      <c r="RBX172" s="125"/>
      <c r="RBY172" s="125"/>
      <c r="RBZ172" s="125"/>
      <c r="RCA172" s="125"/>
      <c r="RCB172" s="125"/>
      <c r="RCC172" s="125"/>
      <c r="RCD172" s="125"/>
      <c r="RCE172" s="125"/>
      <c r="RCF172" s="125"/>
      <c r="RCG172" s="125"/>
      <c r="RCH172" s="125"/>
      <c r="RCI172" s="125"/>
      <c r="RCJ172" s="125"/>
      <c r="RCK172" s="125"/>
      <c r="RCL172" s="125"/>
      <c r="RCM172" s="125"/>
      <c r="RCN172" s="125"/>
      <c r="RCO172" s="125"/>
      <c r="RCP172" s="125"/>
      <c r="RCQ172" s="125"/>
      <c r="RCR172" s="125"/>
      <c r="RCS172" s="125"/>
      <c r="RCT172" s="125"/>
      <c r="RCU172" s="125"/>
      <c r="RCV172" s="125"/>
      <c r="RCW172" s="125"/>
      <c r="RCX172" s="125"/>
      <c r="RCY172" s="125"/>
      <c r="RCZ172" s="125"/>
      <c r="RDA172" s="125"/>
      <c r="RDB172" s="125"/>
      <c r="RDC172" s="125"/>
      <c r="RDD172" s="125"/>
      <c r="RDE172" s="125"/>
      <c r="RDF172" s="125"/>
      <c r="RDG172" s="125"/>
      <c r="RDH172" s="125"/>
      <c r="RDI172" s="125"/>
      <c r="RDJ172" s="125"/>
      <c r="RDK172" s="125"/>
      <c r="RDL172" s="125"/>
      <c r="RDM172" s="125"/>
      <c r="RDN172" s="125"/>
      <c r="RDO172" s="125"/>
      <c r="RDP172" s="125"/>
      <c r="RDQ172" s="125"/>
      <c r="RDR172" s="125"/>
      <c r="RDS172" s="125"/>
      <c r="RDT172" s="125"/>
      <c r="RDU172" s="125"/>
      <c r="RDV172" s="125"/>
      <c r="RDW172" s="125"/>
      <c r="RDX172" s="125"/>
      <c r="RDY172" s="125"/>
      <c r="RDZ172" s="125"/>
      <c r="REA172" s="125"/>
      <c r="REB172" s="125"/>
      <c r="REC172" s="125"/>
      <c r="RED172" s="125"/>
      <c r="REE172" s="125"/>
      <c r="REF172" s="125"/>
      <c r="REG172" s="125"/>
      <c r="REH172" s="125"/>
      <c r="REI172" s="125"/>
      <c r="REJ172" s="125"/>
      <c r="REK172" s="125"/>
      <c r="REL172" s="125"/>
      <c r="REM172" s="125"/>
      <c r="REN172" s="125"/>
      <c r="REO172" s="125"/>
      <c r="REP172" s="125"/>
      <c r="REQ172" s="125"/>
      <c r="RER172" s="125"/>
      <c r="RES172" s="125"/>
      <c r="RET172" s="125"/>
      <c r="REU172" s="125"/>
      <c r="REV172" s="125"/>
      <c r="REW172" s="125"/>
      <c r="REX172" s="125"/>
      <c r="REY172" s="125"/>
      <c r="REZ172" s="125"/>
      <c r="RFA172" s="125"/>
      <c r="RFB172" s="125"/>
      <c r="RFC172" s="125"/>
      <c r="RFD172" s="125"/>
      <c r="RFE172" s="125"/>
      <c r="RFF172" s="125"/>
      <c r="RFG172" s="125"/>
      <c r="RFH172" s="125"/>
      <c r="RFI172" s="125"/>
      <c r="RFJ172" s="125"/>
      <c r="RFK172" s="125"/>
      <c r="RFL172" s="125"/>
      <c r="RFM172" s="125"/>
      <c r="RFN172" s="125"/>
      <c r="RFO172" s="125"/>
      <c r="RFP172" s="125"/>
      <c r="RFQ172" s="125"/>
      <c r="RFR172" s="125"/>
      <c r="RFS172" s="125"/>
      <c r="RFT172" s="125"/>
      <c r="RFU172" s="125"/>
      <c r="RFV172" s="125"/>
      <c r="RFW172" s="125"/>
      <c r="RFX172" s="125"/>
      <c r="RFY172" s="125"/>
      <c r="RFZ172" s="125"/>
      <c r="RGA172" s="125"/>
      <c r="RGB172" s="125"/>
      <c r="RGC172" s="125"/>
      <c r="RGD172" s="125"/>
      <c r="RGE172" s="125"/>
      <c r="RGF172" s="125"/>
      <c r="RGG172" s="125"/>
      <c r="RGH172" s="125"/>
      <c r="RGI172" s="125"/>
      <c r="RGJ172" s="125"/>
      <c r="RGK172" s="125"/>
      <c r="RGL172" s="125"/>
      <c r="RGM172" s="125"/>
      <c r="RGN172" s="125"/>
      <c r="RGO172" s="125"/>
      <c r="RGP172" s="125"/>
      <c r="RGQ172" s="125"/>
      <c r="RGR172" s="125"/>
      <c r="RGS172" s="125"/>
      <c r="RGT172" s="125"/>
      <c r="RGU172" s="125"/>
      <c r="RGV172" s="125"/>
      <c r="RGW172" s="125"/>
      <c r="RGX172" s="125"/>
      <c r="RGY172" s="125"/>
      <c r="RGZ172" s="125"/>
      <c r="RHA172" s="125"/>
      <c r="RHB172" s="125"/>
      <c r="RHC172" s="125"/>
      <c r="RHD172" s="125"/>
      <c r="RHE172" s="125"/>
      <c r="RHF172" s="125"/>
      <c r="RHG172" s="125"/>
      <c r="RHH172" s="125"/>
      <c r="RHI172" s="125"/>
      <c r="RHJ172" s="125"/>
      <c r="RHK172" s="125"/>
      <c r="RHL172" s="125"/>
      <c r="RHM172" s="125"/>
      <c r="RHN172" s="125"/>
      <c r="RHO172" s="125"/>
      <c r="RHP172" s="125"/>
      <c r="RHQ172" s="125"/>
      <c r="RHR172" s="125"/>
      <c r="RHS172" s="125"/>
      <c r="RHT172" s="125"/>
      <c r="RHU172" s="125"/>
      <c r="RHV172" s="125"/>
      <c r="RHW172" s="125"/>
      <c r="RHX172" s="125"/>
      <c r="RHY172" s="125"/>
      <c r="RHZ172" s="125"/>
      <c r="RIA172" s="125"/>
      <c r="RIB172" s="125"/>
      <c r="RIC172" s="125"/>
      <c r="RID172" s="125"/>
      <c r="RIE172" s="125"/>
      <c r="RIF172" s="125"/>
      <c r="RIG172" s="125"/>
      <c r="RIH172" s="125"/>
      <c r="RII172" s="125"/>
      <c r="RIJ172" s="125"/>
      <c r="RIK172" s="125"/>
      <c r="RIL172" s="125"/>
      <c r="RIM172" s="125"/>
      <c r="RIN172" s="125"/>
      <c r="RIO172" s="125"/>
      <c r="RIP172" s="125"/>
      <c r="RIQ172" s="125"/>
      <c r="RIR172" s="125"/>
      <c r="RIS172" s="125"/>
      <c r="RIT172" s="125"/>
      <c r="RIU172" s="125"/>
      <c r="RIV172" s="125"/>
      <c r="RIW172" s="125"/>
      <c r="RIX172" s="125"/>
      <c r="RIY172" s="125"/>
      <c r="RIZ172" s="125"/>
      <c r="RJA172" s="125"/>
      <c r="RJB172" s="125"/>
      <c r="RJC172" s="125"/>
      <c r="RJD172" s="125"/>
      <c r="RJE172" s="125"/>
      <c r="RJF172" s="125"/>
      <c r="RJG172" s="125"/>
      <c r="RJH172" s="125"/>
      <c r="RJI172" s="125"/>
      <c r="RJJ172" s="125"/>
      <c r="RJK172" s="125"/>
      <c r="RJL172" s="125"/>
      <c r="RJM172" s="125"/>
      <c r="RJN172" s="125"/>
      <c r="RJO172" s="125"/>
      <c r="RJP172" s="125"/>
      <c r="RJQ172" s="125"/>
      <c r="RJR172" s="125"/>
      <c r="RJS172" s="125"/>
      <c r="RJT172" s="125"/>
      <c r="RJU172" s="125"/>
      <c r="RJV172" s="125"/>
      <c r="RJW172" s="125"/>
      <c r="RJX172" s="125"/>
      <c r="RJY172" s="125"/>
      <c r="RJZ172" s="125"/>
      <c r="RKA172" s="125"/>
      <c r="RKB172" s="125"/>
      <c r="RKC172" s="125"/>
      <c r="RKD172" s="125"/>
      <c r="RKE172" s="125"/>
      <c r="RKF172" s="125"/>
      <c r="RKG172" s="125"/>
      <c r="RKH172" s="125"/>
      <c r="RKI172" s="125"/>
      <c r="RKJ172" s="125"/>
      <c r="RKK172" s="125"/>
      <c r="RKL172" s="125"/>
      <c r="RKM172" s="125"/>
      <c r="RKN172" s="125"/>
      <c r="RKO172" s="125"/>
      <c r="RKP172" s="125"/>
      <c r="RKQ172" s="125"/>
      <c r="RKR172" s="125"/>
      <c r="RKS172" s="125"/>
      <c r="RKT172" s="125"/>
      <c r="RKU172" s="125"/>
      <c r="RKV172" s="125"/>
      <c r="RKW172" s="125"/>
      <c r="RKX172" s="125"/>
      <c r="RKY172" s="125"/>
      <c r="RKZ172" s="125"/>
      <c r="RLA172" s="125"/>
      <c r="RLB172" s="125"/>
      <c r="RLC172" s="125"/>
      <c r="RLD172" s="125"/>
      <c r="RLE172" s="125"/>
      <c r="RLF172" s="125"/>
      <c r="RLG172" s="125"/>
      <c r="RLH172" s="125"/>
      <c r="RLI172" s="125"/>
      <c r="RLJ172" s="125"/>
      <c r="RLK172" s="125"/>
      <c r="RLL172" s="125"/>
      <c r="RLM172" s="125"/>
      <c r="RLN172" s="125"/>
      <c r="RLO172" s="125"/>
      <c r="RLP172" s="125"/>
      <c r="RLQ172" s="125"/>
      <c r="RLR172" s="125"/>
      <c r="RLS172" s="125"/>
      <c r="RLT172" s="125"/>
      <c r="RLU172" s="125"/>
      <c r="RLV172" s="125"/>
      <c r="RLW172" s="125"/>
      <c r="RLX172" s="125"/>
      <c r="RLY172" s="125"/>
      <c r="RLZ172" s="125"/>
      <c r="RMA172" s="125"/>
      <c r="RMB172" s="125"/>
      <c r="RMC172" s="125"/>
      <c r="RMD172" s="125"/>
      <c r="RME172" s="125"/>
      <c r="RMF172" s="125"/>
      <c r="RMG172" s="125"/>
      <c r="RMH172" s="125"/>
      <c r="RMI172" s="125"/>
      <c r="RMJ172" s="125"/>
      <c r="RMK172" s="125"/>
      <c r="RML172" s="125"/>
      <c r="RMM172" s="125"/>
      <c r="RMN172" s="125"/>
      <c r="RMO172" s="125"/>
      <c r="RMP172" s="125"/>
      <c r="RMQ172" s="125"/>
      <c r="RMR172" s="125"/>
      <c r="RMS172" s="125"/>
      <c r="RMT172" s="125"/>
      <c r="RMU172" s="125"/>
      <c r="RMV172" s="125"/>
      <c r="RMW172" s="125"/>
      <c r="RMX172" s="125"/>
      <c r="RMY172" s="125"/>
      <c r="RMZ172" s="125"/>
      <c r="RNA172" s="125"/>
      <c r="RNB172" s="125"/>
      <c r="RNC172" s="125"/>
      <c r="RND172" s="125"/>
      <c r="RNE172" s="125"/>
      <c r="RNF172" s="125"/>
      <c r="RNG172" s="125"/>
      <c r="RNH172" s="125"/>
      <c r="RNI172" s="125"/>
      <c r="RNJ172" s="125"/>
      <c r="RNK172" s="125"/>
      <c r="RNL172" s="125"/>
      <c r="RNM172" s="125"/>
      <c r="RNN172" s="125"/>
      <c r="RNO172" s="125"/>
      <c r="RNP172" s="125"/>
      <c r="RNQ172" s="125"/>
      <c r="RNR172" s="125"/>
      <c r="RNS172" s="125"/>
      <c r="RNT172" s="125"/>
      <c r="RNU172" s="125"/>
      <c r="RNV172" s="125"/>
      <c r="RNW172" s="125"/>
      <c r="RNX172" s="125"/>
      <c r="RNY172" s="125"/>
      <c r="RNZ172" s="125"/>
      <c r="ROA172" s="125"/>
      <c r="ROB172" s="125"/>
      <c r="ROC172" s="125"/>
      <c r="ROD172" s="125"/>
      <c r="ROE172" s="125"/>
      <c r="ROF172" s="125"/>
      <c r="ROG172" s="125"/>
      <c r="ROH172" s="125"/>
      <c r="ROI172" s="125"/>
      <c r="ROJ172" s="125"/>
      <c r="ROK172" s="125"/>
      <c r="ROL172" s="125"/>
      <c r="ROM172" s="125"/>
      <c r="RON172" s="125"/>
      <c r="ROO172" s="125"/>
      <c r="ROP172" s="125"/>
      <c r="ROQ172" s="125"/>
      <c r="ROR172" s="125"/>
      <c r="ROS172" s="125"/>
      <c r="ROT172" s="125"/>
      <c r="ROU172" s="125"/>
      <c r="ROV172" s="125"/>
      <c r="ROW172" s="125"/>
      <c r="ROX172" s="125"/>
      <c r="ROY172" s="125"/>
      <c r="ROZ172" s="125"/>
      <c r="RPA172" s="125"/>
      <c r="RPB172" s="125"/>
      <c r="RPC172" s="125"/>
      <c r="RPD172" s="125"/>
      <c r="RPE172" s="125"/>
      <c r="RPF172" s="125"/>
      <c r="RPG172" s="125"/>
      <c r="RPH172" s="125"/>
      <c r="RPI172" s="125"/>
      <c r="RPJ172" s="125"/>
      <c r="RPK172" s="125"/>
      <c r="RPL172" s="125"/>
      <c r="RPM172" s="125"/>
      <c r="RPN172" s="125"/>
      <c r="RPO172" s="125"/>
      <c r="RPP172" s="125"/>
      <c r="RPQ172" s="125"/>
      <c r="RPR172" s="125"/>
      <c r="RPS172" s="125"/>
      <c r="RPT172" s="125"/>
      <c r="RPU172" s="125"/>
      <c r="RPV172" s="125"/>
      <c r="RPW172" s="125"/>
      <c r="RPX172" s="125"/>
      <c r="RPY172" s="125"/>
      <c r="RPZ172" s="125"/>
      <c r="RQA172" s="125"/>
      <c r="RQB172" s="125"/>
      <c r="RQC172" s="125"/>
      <c r="RQD172" s="125"/>
      <c r="RQE172" s="125"/>
      <c r="RQF172" s="125"/>
      <c r="RQG172" s="125"/>
      <c r="RQH172" s="125"/>
      <c r="RQI172" s="125"/>
      <c r="RQJ172" s="125"/>
      <c r="RQK172" s="125"/>
      <c r="RQL172" s="125"/>
      <c r="RQM172" s="125"/>
      <c r="RQN172" s="125"/>
      <c r="RQO172" s="125"/>
      <c r="RQP172" s="125"/>
      <c r="RQQ172" s="125"/>
      <c r="RQR172" s="125"/>
      <c r="RQS172" s="125"/>
      <c r="RQT172" s="125"/>
      <c r="RQU172" s="125"/>
      <c r="RQV172" s="125"/>
      <c r="RQW172" s="125"/>
      <c r="RQX172" s="125"/>
      <c r="RQY172" s="125"/>
      <c r="RQZ172" s="125"/>
      <c r="RRA172" s="125"/>
      <c r="RRB172" s="125"/>
      <c r="RRC172" s="125"/>
      <c r="RRD172" s="125"/>
      <c r="RRE172" s="125"/>
      <c r="RRF172" s="125"/>
      <c r="RRG172" s="125"/>
      <c r="RRH172" s="125"/>
      <c r="RRI172" s="125"/>
      <c r="RRJ172" s="125"/>
      <c r="RRK172" s="125"/>
      <c r="RRL172" s="125"/>
      <c r="RRM172" s="125"/>
      <c r="RRN172" s="125"/>
      <c r="RRO172" s="125"/>
      <c r="RRP172" s="125"/>
      <c r="RRQ172" s="125"/>
      <c r="RRR172" s="125"/>
      <c r="RRS172" s="125"/>
      <c r="RRT172" s="125"/>
      <c r="RRU172" s="125"/>
      <c r="RRV172" s="125"/>
      <c r="RRW172" s="125"/>
      <c r="RRX172" s="125"/>
      <c r="RRY172" s="125"/>
      <c r="RRZ172" s="125"/>
      <c r="RSA172" s="125"/>
      <c r="RSB172" s="125"/>
      <c r="RSC172" s="125"/>
      <c r="RSD172" s="125"/>
      <c r="RSE172" s="125"/>
      <c r="RSF172" s="125"/>
      <c r="RSG172" s="125"/>
      <c r="RSH172" s="125"/>
      <c r="RSI172" s="125"/>
      <c r="RSJ172" s="125"/>
      <c r="RSK172" s="125"/>
      <c r="RSL172" s="125"/>
      <c r="RSM172" s="125"/>
      <c r="RSN172" s="125"/>
      <c r="RSO172" s="125"/>
      <c r="RSP172" s="125"/>
      <c r="RSQ172" s="125"/>
      <c r="RSR172" s="125"/>
      <c r="RSS172" s="125"/>
      <c r="RST172" s="125"/>
      <c r="RSU172" s="125"/>
      <c r="RSV172" s="125"/>
      <c r="RSW172" s="125"/>
      <c r="RSX172" s="125"/>
      <c r="RSY172" s="125"/>
      <c r="RSZ172" s="125"/>
      <c r="RTA172" s="125"/>
      <c r="RTB172" s="125"/>
      <c r="RTC172" s="125"/>
      <c r="RTD172" s="125"/>
      <c r="RTE172" s="125"/>
      <c r="RTF172" s="125"/>
      <c r="RTG172" s="125"/>
      <c r="RTH172" s="125"/>
      <c r="RTI172" s="125"/>
      <c r="RTJ172" s="125"/>
      <c r="RTK172" s="125"/>
      <c r="RTL172" s="125"/>
      <c r="RTM172" s="125"/>
      <c r="RTN172" s="125"/>
      <c r="RTO172" s="125"/>
      <c r="RTP172" s="125"/>
      <c r="RTQ172" s="125"/>
      <c r="RTR172" s="125"/>
      <c r="RTS172" s="125"/>
      <c r="RTT172" s="125"/>
      <c r="RTU172" s="125"/>
      <c r="RTV172" s="125"/>
      <c r="RTW172" s="125"/>
      <c r="RTX172" s="125"/>
      <c r="RTY172" s="125"/>
      <c r="RTZ172" s="125"/>
      <c r="RUA172" s="125"/>
      <c r="RUB172" s="125"/>
      <c r="RUC172" s="125"/>
      <c r="RUD172" s="125"/>
      <c r="RUE172" s="125"/>
      <c r="RUF172" s="125"/>
      <c r="RUG172" s="125"/>
      <c r="RUH172" s="125"/>
      <c r="RUI172" s="125"/>
      <c r="RUJ172" s="125"/>
      <c r="RUK172" s="125"/>
      <c r="RUL172" s="125"/>
      <c r="RUM172" s="125"/>
      <c r="RUN172" s="125"/>
      <c r="RUO172" s="125"/>
      <c r="RUP172" s="125"/>
      <c r="RUQ172" s="125"/>
      <c r="RUR172" s="125"/>
      <c r="RUS172" s="125"/>
      <c r="RUT172" s="125"/>
      <c r="RUU172" s="125"/>
      <c r="RUV172" s="125"/>
      <c r="RUW172" s="125"/>
      <c r="RUX172" s="125"/>
      <c r="RUY172" s="125"/>
      <c r="RUZ172" s="125"/>
      <c r="RVA172" s="125"/>
      <c r="RVB172" s="125"/>
      <c r="RVC172" s="125"/>
      <c r="RVD172" s="125"/>
      <c r="RVE172" s="125"/>
      <c r="RVF172" s="125"/>
      <c r="RVG172" s="125"/>
      <c r="RVH172" s="125"/>
      <c r="RVI172" s="125"/>
      <c r="RVJ172" s="125"/>
      <c r="RVK172" s="125"/>
      <c r="RVL172" s="125"/>
      <c r="RVM172" s="125"/>
      <c r="RVN172" s="125"/>
      <c r="RVO172" s="125"/>
      <c r="RVP172" s="125"/>
      <c r="RVQ172" s="125"/>
      <c r="RVR172" s="125"/>
      <c r="RVS172" s="125"/>
      <c r="RVT172" s="125"/>
      <c r="RVU172" s="125"/>
      <c r="RVV172" s="125"/>
      <c r="RVW172" s="125"/>
      <c r="RVX172" s="125"/>
      <c r="RVY172" s="125"/>
      <c r="RVZ172" s="125"/>
      <c r="RWA172" s="125"/>
      <c r="RWB172" s="125"/>
      <c r="RWC172" s="125"/>
      <c r="RWD172" s="125"/>
      <c r="RWE172" s="125"/>
      <c r="RWF172" s="125"/>
      <c r="RWG172" s="125"/>
      <c r="RWH172" s="125"/>
      <c r="RWI172" s="125"/>
      <c r="RWJ172" s="125"/>
      <c r="RWK172" s="125"/>
      <c r="RWL172" s="125"/>
      <c r="RWM172" s="125"/>
      <c r="RWN172" s="125"/>
      <c r="RWO172" s="125"/>
      <c r="RWP172" s="125"/>
      <c r="RWQ172" s="125"/>
      <c r="RWR172" s="125"/>
      <c r="RWS172" s="125"/>
      <c r="RWT172" s="125"/>
      <c r="RWU172" s="125"/>
      <c r="RWV172" s="125"/>
      <c r="RWW172" s="125"/>
      <c r="RWX172" s="125"/>
      <c r="RWY172" s="125"/>
      <c r="RWZ172" s="125"/>
      <c r="RXA172" s="125"/>
      <c r="RXB172" s="125"/>
      <c r="RXC172" s="125"/>
      <c r="RXD172" s="125"/>
      <c r="RXE172" s="125"/>
      <c r="RXF172" s="125"/>
      <c r="RXG172" s="125"/>
      <c r="RXH172" s="125"/>
      <c r="RXI172" s="125"/>
      <c r="RXJ172" s="125"/>
      <c r="RXK172" s="125"/>
      <c r="RXL172" s="125"/>
      <c r="RXM172" s="125"/>
      <c r="RXN172" s="125"/>
      <c r="RXO172" s="125"/>
      <c r="RXP172" s="125"/>
      <c r="RXQ172" s="125"/>
      <c r="RXR172" s="125"/>
      <c r="RXS172" s="125"/>
      <c r="RXT172" s="125"/>
      <c r="RXU172" s="125"/>
      <c r="RXV172" s="125"/>
      <c r="RXW172" s="125"/>
      <c r="RXX172" s="125"/>
      <c r="RXY172" s="125"/>
      <c r="RXZ172" s="125"/>
      <c r="RYA172" s="125"/>
      <c r="RYB172" s="125"/>
      <c r="RYC172" s="125"/>
      <c r="RYD172" s="125"/>
      <c r="RYE172" s="125"/>
      <c r="RYF172" s="125"/>
      <c r="RYG172" s="125"/>
      <c r="RYH172" s="125"/>
      <c r="RYI172" s="125"/>
      <c r="RYJ172" s="125"/>
      <c r="RYK172" s="125"/>
      <c r="RYL172" s="125"/>
      <c r="RYM172" s="125"/>
      <c r="RYN172" s="125"/>
      <c r="RYO172" s="125"/>
      <c r="RYP172" s="125"/>
      <c r="RYQ172" s="125"/>
      <c r="RYR172" s="125"/>
      <c r="RYS172" s="125"/>
      <c r="RYT172" s="125"/>
      <c r="RYU172" s="125"/>
      <c r="RYV172" s="125"/>
      <c r="RYW172" s="125"/>
      <c r="RYX172" s="125"/>
      <c r="RYY172" s="125"/>
      <c r="RYZ172" s="125"/>
      <c r="RZA172" s="125"/>
      <c r="RZB172" s="125"/>
      <c r="RZC172" s="125"/>
      <c r="RZD172" s="125"/>
      <c r="RZE172" s="125"/>
      <c r="RZF172" s="125"/>
      <c r="RZG172" s="125"/>
      <c r="RZH172" s="125"/>
      <c r="RZI172" s="125"/>
      <c r="RZJ172" s="125"/>
      <c r="RZK172" s="125"/>
      <c r="RZL172" s="125"/>
      <c r="RZM172" s="125"/>
      <c r="RZN172" s="125"/>
      <c r="RZO172" s="125"/>
      <c r="RZP172" s="125"/>
      <c r="RZQ172" s="125"/>
      <c r="RZR172" s="125"/>
      <c r="RZS172" s="125"/>
      <c r="RZT172" s="125"/>
      <c r="RZU172" s="125"/>
      <c r="RZV172" s="125"/>
      <c r="RZW172" s="125"/>
      <c r="RZX172" s="125"/>
      <c r="RZY172" s="125"/>
      <c r="RZZ172" s="125"/>
      <c r="SAA172" s="125"/>
      <c r="SAB172" s="125"/>
      <c r="SAC172" s="125"/>
      <c r="SAD172" s="125"/>
      <c r="SAE172" s="125"/>
      <c r="SAF172" s="125"/>
      <c r="SAG172" s="125"/>
      <c r="SAH172" s="125"/>
      <c r="SAI172" s="125"/>
      <c r="SAJ172" s="125"/>
      <c r="SAK172" s="125"/>
      <c r="SAL172" s="125"/>
      <c r="SAM172" s="125"/>
      <c r="SAN172" s="125"/>
      <c r="SAO172" s="125"/>
      <c r="SAP172" s="125"/>
      <c r="SAQ172" s="125"/>
      <c r="SAR172" s="125"/>
      <c r="SAS172" s="125"/>
      <c r="SAT172" s="125"/>
      <c r="SAU172" s="125"/>
      <c r="SAV172" s="125"/>
      <c r="SAW172" s="125"/>
      <c r="SAX172" s="125"/>
      <c r="SAY172" s="125"/>
      <c r="SAZ172" s="125"/>
      <c r="SBA172" s="125"/>
      <c r="SBB172" s="125"/>
      <c r="SBC172" s="125"/>
      <c r="SBD172" s="125"/>
      <c r="SBE172" s="125"/>
      <c r="SBF172" s="125"/>
      <c r="SBG172" s="125"/>
      <c r="SBH172" s="125"/>
      <c r="SBI172" s="125"/>
      <c r="SBJ172" s="125"/>
      <c r="SBK172" s="125"/>
      <c r="SBL172" s="125"/>
      <c r="SBM172" s="125"/>
      <c r="SBN172" s="125"/>
      <c r="SBO172" s="125"/>
      <c r="SBP172" s="125"/>
      <c r="SBQ172" s="125"/>
      <c r="SBR172" s="125"/>
      <c r="SBS172" s="125"/>
      <c r="SBT172" s="125"/>
      <c r="SBU172" s="125"/>
      <c r="SBV172" s="125"/>
      <c r="SBW172" s="125"/>
      <c r="SBX172" s="125"/>
      <c r="SBY172" s="125"/>
      <c r="SBZ172" s="125"/>
      <c r="SCA172" s="125"/>
      <c r="SCB172" s="125"/>
      <c r="SCC172" s="125"/>
      <c r="SCD172" s="125"/>
      <c r="SCE172" s="125"/>
      <c r="SCF172" s="125"/>
      <c r="SCG172" s="125"/>
      <c r="SCH172" s="125"/>
      <c r="SCI172" s="125"/>
      <c r="SCJ172" s="125"/>
      <c r="SCK172" s="125"/>
      <c r="SCL172" s="125"/>
      <c r="SCM172" s="125"/>
      <c r="SCN172" s="125"/>
      <c r="SCO172" s="125"/>
      <c r="SCP172" s="125"/>
      <c r="SCQ172" s="125"/>
      <c r="SCR172" s="125"/>
      <c r="SCS172" s="125"/>
      <c r="SCT172" s="125"/>
      <c r="SCU172" s="125"/>
      <c r="SCV172" s="125"/>
      <c r="SCW172" s="125"/>
      <c r="SCX172" s="125"/>
      <c r="SCY172" s="125"/>
      <c r="SCZ172" s="125"/>
      <c r="SDA172" s="125"/>
      <c r="SDB172" s="125"/>
      <c r="SDC172" s="125"/>
      <c r="SDD172" s="125"/>
      <c r="SDE172" s="125"/>
      <c r="SDF172" s="125"/>
      <c r="SDG172" s="125"/>
      <c r="SDH172" s="125"/>
      <c r="SDI172" s="125"/>
      <c r="SDJ172" s="125"/>
      <c r="SDK172" s="125"/>
      <c r="SDL172" s="125"/>
      <c r="SDM172" s="125"/>
      <c r="SDN172" s="125"/>
      <c r="SDO172" s="125"/>
      <c r="SDP172" s="125"/>
      <c r="SDQ172" s="125"/>
      <c r="SDR172" s="125"/>
      <c r="SDS172" s="125"/>
      <c r="SDT172" s="125"/>
      <c r="SDU172" s="125"/>
      <c r="SDV172" s="125"/>
      <c r="SDW172" s="125"/>
      <c r="SDX172" s="125"/>
      <c r="SDY172" s="125"/>
      <c r="SDZ172" s="125"/>
      <c r="SEA172" s="125"/>
      <c r="SEB172" s="125"/>
      <c r="SEC172" s="125"/>
      <c r="SED172" s="125"/>
      <c r="SEE172" s="125"/>
      <c r="SEF172" s="125"/>
      <c r="SEG172" s="125"/>
      <c r="SEH172" s="125"/>
      <c r="SEI172" s="125"/>
      <c r="SEJ172" s="125"/>
      <c r="SEK172" s="125"/>
      <c r="SEL172" s="125"/>
      <c r="SEM172" s="125"/>
      <c r="SEN172" s="125"/>
      <c r="SEO172" s="125"/>
      <c r="SEP172" s="125"/>
      <c r="SEQ172" s="125"/>
      <c r="SER172" s="125"/>
      <c r="SES172" s="125"/>
      <c r="SET172" s="125"/>
      <c r="SEU172" s="125"/>
      <c r="SEV172" s="125"/>
      <c r="SEW172" s="125"/>
      <c r="SEX172" s="125"/>
      <c r="SEY172" s="125"/>
      <c r="SEZ172" s="125"/>
      <c r="SFA172" s="125"/>
      <c r="SFB172" s="125"/>
      <c r="SFC172" s="125"/>
      <c r="SFD172" s="125"/>
      <c r="SFE172" s="125"/>
      <c r="SFF172" s="125"/>
      <c r="SFG172" s="125"/>
      <c r="SFH172" s="125"/>
      <c r="SFI172" s="125"/>
      <c r="SFJ172" s="125"/>
      <c r="SFK172" s="125"/>
      <c r="SFL172" s="125"/>
      <c r="SFM172" s="125"/>
      <c r="SFN172" s="125"/>
      <c r="SFO172" s="125"/>
      <c r="SFP172" s="125"/>
      <c r="SFQ172" s="125"/>
      <c r="SFR172" s="125"/>
      <c r="SFS172" s="125"/>
      <c r="SFT172" s="125"/>
      <c r="SFU172" s="125"/>
      <c r="SFV172" s="125"/>
      <c r="SFW172" s="125"/>
      <c r="SFX172" s="125"/>
      <c r="SFY172" s="125"/>
      <c r="SFZ172" s="125"/>
      <c r="SGA172" s="125"/>
      <c r="SGB172" s="125"/>
      <c r="SGC172" s="125"/>
      <c r="SGD172" s="125"/>
      <c r="SGE172" s="125"/>
      <c r="SGF172" s="125"/>
      <c r="SGG172" s="125"/>
      <c r="SGH172" s="125"/>
      <c r="SGI172" s="125"/>
      <c r="SGJ172" s="125"/>
      <c r="SGK172" s="125"/>
      <c r="SGL172" s="125"/>
      <c r="SGM172" s="125"/>
      <c r="SGN172" s="125"/>
      <c r="SGO172" s="125"/>
      <c r="SGP172" s="125"/>
      <c r="SGQ172" s="125"/>
      <c r="SGR172" s="125"/>
      <c r="SGS172" s="125"/>
      <c r="SGT172" s="125"/>
      <c r="SGU172" s="125"/>
      <c r="SGV172" s="125"/>
      <c r="SGW172" s="125"/>
      <c r="SGX172" s="125"/>
      <c r="SGY172" s="125"/>
      <c r="SGZ172" s="125"/>
      <c r="SHA172" s="125"/>
      <c r="SHB172" s="125"/>
      <c r="SHC172" s="125"/>
      <c r="SHD172" s="125"/>
      <c r="SHE172" s="125"/>
      <c r="SHF172" s="125"/>
      <c r="SHG172" s="125"/>
      <c r="SHH172" s="125"/>
      <c r="SHI172" s="125"/>
      <c r="SHJ172" s="125"/>
      <c r="SHK172" s="125"/>
      <c r="SHL172" s="125"/>
      <c r="SHM172" s="125"/>
      <c r="SHN172" s="125"/>
      <c r="SHO172" s="125"/>
      <c r="SHP172" s="125"/>
      <c r="SHQ172" s="125"/>
      <c r="SHR172" s="125"/>
      <c r="SHS172" s="125"/>
      <c r="SHT172" s="125"/>
      <c r="SHU172" s="125"/>
      <c r="SHV172" s="125"/>
      <c r="SHW172" s="125"/>
      <c r="SHX172" s="125"/>
      <c r="SHY172" s="125"/>
      <c r="SHZ172" s="125"/>
      <c r="SIA172" s="125"/>
      <c r="SIB172" s="125"/>
      <c r="SIC172" s="125"/>
      <c r="SID172" s="125"/>
      <c r="SIE172" s="125"/>
      <c r="SIF172" s="125"/>
      <c r="SIG172" s="125"/>
      <c r="SIH172" s="125"/>
      <c r="SII172" s="125"/>
      <c r="SIJ172" s="125"/>
      <c r="SIK172" s="125"/>
      <c r="SIL172" s="125"/>
      <c r="SIM172" s="125"/>
      <c r="SIN172" s="125"/>
      <c r="SIO172" s="125"/>
      <c r="SIP172" s="125"/>
      <c r="SIQ172" s="125"/>
      <c r="SIR172" s="125"/>
      <c r="SIS172" s="125"/>
      <c r="SIT172" s="125"/>
      <c r="SIU172" s="125"/>
      <c r="SIV172" s="125"/>
      <c r="SIW172" s="125"/>
      <c r="SIX172" s="125"/>
      <c r="SIY172" s="125"/>
      <c r="SIZ172" s="125"/>
      <c r="SJA172" s="125"/>
      <c r="SJB172" s="125"/>
      <c r="SJC172" s="125"/>
      <c r="SJD172" s="125"/>
      <c r="SJE172" s="125"/>
      <c r="SJF172" s="125"/>
      <c r="SJG172" s="125"/>
      <c r="SJH172" s="125"/>
      <c r="SJI172" s="125"/>
      <c r="SJJ172" s="125"/>
      <c r="SJK172" s="125"/>
      <c r="SJL172" s="125"/>
      <c r="SJM172" s="125"/>
      <c r="SJN172" s="125"/>
      <c r="SJO172" s="125"/>
      <c r="SJP172" s="125"/>
      <c r="SJQ172" s="125"/>
      <c r="SJR172" s="125"/>
      <c r="SJS172" s="125"/>
      <c r="SJT172" s="125"/>
      <c r="SJU172" s="125"/>
      <c r="SJV172" s="125"/>
      <c r="SJW172" s="125"/>
      <c r="SJX172" s="125"/>
      <c r="SJY172" s="125"/>
      <c r="SJZ172" s="125"/>
      <c r="SKA172" s="125"/>
      <c r="SKB172" s="125"/>
      <c r="SKC172" s="125"/>
      <c r="SKD172" s="125"/>
      <c r="SKE172" s="125"/>
      <c r="SKF172" s="125"/>
      <c r="SKG172" s="125"/>
      <c r="SKH172" s="125"/>
      <c r="SKI172" s="125"/>
      <c r="SKJ172" s="125"/>
      <c r="SKK172" s="125"/>
      <c r="SKL172" s="125"/>
      <c r="SKM172" s="125"/>
      <c r="SKN172" s="125"/>
      <c r="SKO172" s="125"/>
      <c r="SKP172" s="125"/>
      <c r="SKQ172" s="125"/>
      <c r="SKR172" s="125"/>
      <c r="SKS172" s="125"/>
      <c r="SKT172" s="125"/>
      <c r="SKU172" s="125"/>
      <c r="SKV172" s="125"/>
      <c r="SKW172" s="125"/>
      <c r="SKX172" s="125"/>
      <c r="SKY172" s="125"/>
      <c r="SKZ172" s="125"/>
      <c r="SLA172" s="125"/>
      <c r="SLB172" s="125"/>
      <c r="SLC172" s="125"/>
      <c r="SLD172" s="125"/>
      <c r="SLE172" s="125"/>
      <c r="SLF172" s="125"/>
      <c r="SLG172" s="125"/>
      <c r="SLH172" s="125"/>
      <c r="SLI172" s="125"/>
      <c r="SLJ172" s="125"/>
      <c r="SLK172" s="125"/>
      <c r="SLL172" s="125"/>
      <c r="SLM172" s="125"/>
      <c r="SLN172" s="125"/>
      <c r="SLO172" s="125"/>
      <c r="SLP172" s="125"/>
      <c r="SLQ172" s="125"/>
      <c r="SLR172" s="125"/>
      <c r="SLS172" s="125"/>
      <c r="SLT172" s="125"/>
      <c r="SLU172" s="125"/>
      <c r="SLV172" s="125"/>
      <c r="SLW172" s="125"/>
      <c r="SLX172" s="125"/>
      <c r="SLY172" s="125"/>
      <c r="SLZ172" s="125"/>
      <c r="SMA172" s="125"/>
      <c r="SMB172" s="125"/>
      <c r="SMC172" s="125"/>
      <c r="SMD172" s="125"/>
      <c r="SME172" s="125"/>
      <c r="SMF172" s="125"/>
      <c r="SMG172" s="125"/>
      <c r="SMH172" s="125"/>
      <c r="SMI172" s="125"/>
      <c r="SMJ172" s="125"/>
      <c r="SMK172" s="125"/>
      <c r="SML172" s="125"/>
      <c r="SMM172" s="125"/>
      <c r="SMN172" s="125"/>
      <c r="SMO172" s="125"/>
      <c r="SMP172" s="125"/>
      <c r="SMQ172" s="125"/>
      <c r="SMR172" s="125"/>
      <c r="SMS172" s="125"/>
      <c r="SMT172" s="125"/>
      <c r="SMU172" s="125"/>
      <c r="SMV172" s="125"/>
      <c r="SMW172" s="125"/>
      <c r="SMX172" s="125"/>
      <c r="SMY172" s="125"/>
      <c r="SMZ172" s="125"/>
      <c r="SNA172" s="125"/>
      <c r="SNB172" s="125"/>
      <c r="SNC172" s="125"/>
      <c r="SND172" s="125"/>
      <c r="SNE172" s="125"/>
      <c r="SNF172" s="125"/>
      <c r="SNG172" s="125"/>
      <c r="SNH172" s="125"/>
      <c r="SNI172" s="125"/>
      <c r="SNJ172" s="125"/>
      <c r="SNK172" s="125"/>
      <c r="SNL172" s="125"/>
      <c r="SNM172" s="125"/>
      <c r="SNN172" s="125"/>
      <c r="SNO172" s="125"/>
      <c r="SNP172" s="125"/>
      <c r="SNQ172" s="125"/>
      <c r="SNR172" s="125"/>
      <c r="SNS172" s="125"/>
      <c r="SNT172" s="125"/>
      <c r="SNU172" s="125"/>
      <c r="SNV172" s="125"/>
      <c r="SNW172" s="125"/>
      <c r="SNX172" s="125"/>
      <c r="SNY172" s="125"/>
      <c r="SNZ172" s="125"/>
      <c r="SOA172" s="125"/>
      <c r="SOB172" s="125"/>
      <c r="SOC172" s="125"/>
      <c r="SOD172" s="125"/>
      <c r="SOE172" s="125"/>
      <c r="SOF172" s="125"/>
      <c r="SOG172" s="125"/>
      <c r="SOH172" s="125"/>
      <c r="SOI172" s="125"/>
      <c r="SOJ172" s="125"/>
      <c r="SOK172" s="125"/>
      <c r="SOL172" s="125"/>
      <c r="SOM172" s="125"/>
      <c r="SON172" s="125"/>
      <c r="SOO172" s="125"/>
      <c r="SOP172" s="125"/>
      <c r="SOQ172" s="125"/>
      <c r="SOR172" s="125"/>
      <c r="SOS172" s="125"/>
      <c r="SOT172" s="125"/>
      <c r="SOU172" s="125"/>
      <c r="SOV172" s="125"/>
      <c r="SOW172" s="125"/>
      <c r="SOX172" s="125"/>
      <c r="SOY172" s="125"/>
      <c r="SOZ172" s="125"/>
      <c r="SPA172" s="125"/>
      <c r="SPB172" s="125"/>
      <c r="SPC172" s="125"/>
      <c r="SPD172" s="125"/>
      <c r="SPE172" s="125"/>
      <c r="SPF172" s="125"/>
      <c r="SPG172" s="125"/>
      <c r="SPH172" s="125"/>
      <c r="SPI172" s="125"/>
      <c r="SPJ172" s="125"/>
      <c r="SPK172" s="125"/>
      <c r="SPL172" s="125"/>
      <c r="SPM172" s="125"/>
      <c r="SPN172" s="125"/>
      <c r="SPO172" s="125"/>
      <c r="SPP172" s="125"/>
      <c r="SPQ172" s="125"/>
      <c r="SPR172" s="125"/>
      <c r="SPS172" s="125"/>
      <c r="SPT172" s="125"/>
      <c r="SPU172" s="125"/>
      <c r="SPV172" s="125"/>
      <c r="SPW172" s="125"/>
      <c r="SPX172" s="125"/>
      <c r="SPY172" s="125"/>
      <c r="SPZ172" s="125"/>
      <c r="SQA172" s="125"/>
      <c r="SQB172" s="125"/>
      <c r="SQC172" s="125"/>
      <c r="SQD172" s="125"/>
      <c r="SQE172" s="125"/>
      <c r="SQF172" s="125"/>
      <c r="SQG172" s="125"/>
      <c r="SQH172" s="125"/>
      <c r="SQI172" s="125"/>
      <c r="SQJ172" s="125"/>
      <c r="SQK172" s="125"/>
      <c r="SQL172" s="125"/>
      <c r="SQM172" s="125"/>
      <c r="SQN172" s="125"/>
      <c r="SQO172" s="125"/>
      <c r="SQP172" s="125"/>
      <c r="SQQ172" s="125"/>
      <c r="SQR172" s="125"/>
      <c r="SQS172" s="125"/>
      <c r="SQT172" s="125"/>
      <c r="SQU172" s="125"/>
      <c r="SQV172" s="125"/>
      <c r="SQW172" s="125"/>
      <c r="SQX172" s="125"/>
      <c r="SQY172" s="125"/>
      <c r="SQZ172" s="125"/>
      <c r="SRA172" s="125"/>
      <c r="SRB172" s="125"/>
      <c r="SRC172" s="125"/>
      <c r="SRD172" s="125"/>
      <c r="SRE172" s="125"/>
      <c r="SRF172" s="125"/>
      <c r="SRG172" s="125"/>
      <c r="SRH172" s="125"/>
      <c r="SRI172" s="125"/>
      <c r="SRJ172" s="125"/>
      <c r="SRK172" s="125"/>
      <c r="SRL172" s="125"/>
      <c r="SRM172" s="125"/>
      <c r="SRN172" s="125"/>
      <c r="SRO172" s="125"/>
      <c r="SRP172" s="125"/>
      <c r="SRQ172" s="125"/>
      <c r="SRR172" s="125"/>
      <c r="SRS172" s="125"/>
      <c r="SRT172" s="125"/>
      <c r="SRU172" s="125"/>
      <c r="SRV172" s="125"/>
      <c r="SRW172" s="125"/>
      <c r="SRX172" s="125"/>
      <c r="SRY172" s="125"/>
      <c r="SRZ172" s="125"/>
      <c r="SSA172" s="125"/>
      <c r="SSB172" s="125"/>
      <c r="SSC172" s="125"/>
      <c r="SSD172" s="125"/>
      <c r="SSE172" s="125"/>
      <c r="SSF172" s="125"/>
      <c r="SSG172" s="125"/>
      <c r="SSH172" s="125"/>
      <c r="SSI172" s="125"/>
      <c r="SSJ172" s="125"/>
      <c r="SSK172" s="125"/>
      <c r="SSL172" s="125"/>
      <c r="SSM172" s="125"/>
      <c r="SSN172" s="125"/>
      <c r="SSO172" s="125"/>
      <c r="SSP172" s="125"/>
      <c r="SSQ172" s="125"/>
      <c r="SSR172" s="125"/>
      <c r="SSS172" s="125"/>
      <c r="SST172" s="125"/>
      <c r="SSU172" s="125"/>
      <c r="SSV172" s="125"/>
      <c r="SSW172" s="125"/>
      <c r="SSX172" s="125"/>
      <c r="SSY172" s="125"/>
      <c r="SSZ172" s="125"/>
      <c r="STA172" s="125"/>
      <c r="STB172" s="125"/>
      <c r="STC172" s="125"/>
      <c r="STD172" s="125"/>
      <c r="STE172" s="125"/>
      <c r="STF172" s="125"/>
      <c r="STG172" s="125"/>
      <c r="STH172" s="125"/>
      <c r="STI172" s="125"/>
      <c r="STJ172" s="125"/>
      <c r="STK172" s="125"/>
      <c r="STL172" s="125"/>
      <c r="STM172" s="125"/>
      <c r="STN172" s="125"/>
      <c r="STO172" s="125"/>
      <c r="STP172" s="125"/>
      <c r="STQ172" s="125"/>
      <c r="STR172" s="125"/>
      <c r="STS172" s="125"/>
      <c r="STT172" s="125"/>
      <c r="STU172" s="125"/>
      <c r="STV172" s="125"/>
      <c r="STW172" s="125"/>
      <c r="STX172" s="125"/>
      <c r="STY172" s="125"/>
      <c r="STZ172" s="125"/>
      <c r="SUA172" s="125"/>
      <c r="SUB172" s="125"/>
      <c r="SUC172" s="125"/>
      <c r="SUD172" s="125"/>
      <c r="SUE172" s="125"/>
      <c r="SUF172" s="125"/>
      <c r="SUG172" s="125"/>
      <c r="SUH172" s="125"/>
      <c r="SUI172" s="125"/>
      <c r="SUJ172" s="125"/>
      <c r="SUK172" s="125"/>
      <c r="SUL172" s="125"/>
      <c r="SUM172" s="125"/>
      <c r="SUN172" s="125"/>
      <c r="SUO172" s="125"/>
      <c r="SUP172" s="125"/>
      <c r="SUQ172" s="125"/>
      <c r="SUR172" s="125"/>
      <c r="SUS172" s="125"/>
      <c r="SUT172" s="125"/>
      <c r="SUU172" s="125"/>
      <c r="SUV172" s="125"/>
      <c r="SUW172" s="125"/>
      <c r="SUX172" s="125"/>
      <c r="SUY172" s="125"/>
      <c r="SUZ172" s="125"/>
      <c r="SVA172" s="125"/>
      <c r="SVB172" s="125"/>
      <c r="SVC172" s="125"/>
      <c r="SVD172" s="125"/>
      <c r="SVE172" s="125"/>
      <c r="SVF172" s="125"/>
      <c r="SVG172" s="125"/>
      <c r="SVH172" s="125"/>
      <c r="SVI172" s="125"/>
      <c r="SVJ172" s="125"/>
      <c r="SVK172" s="125"/>
      <c r="SVL172" s="125"/>
      <c r="SVM172" s="125"/>
      <c r="SVN172" s="125"/>
      <c r="SVO172" s="125"/>
      <c r="SVP172" s="125"/>
      <c r="SVQ172" s="125"/>
      <c r="SVR172" s="125"/>
      <c r="SVS172" s="125"/>
      <c r="SVT172" s="125"/>
      <c r="SVU172" s="125"/>
      <c r="SVV172" s="125"/>
      <c r="SVW172" s="125"/>
      <c r="SVX172" s="125"/>
      <c r="SVY172" s="125"/>
      <c r="SVZ172" s="125"/>
      <c r="SWA172" s="125"/>
      <c r="SWB172" s="125"/>
      <c r="SWC172" s="125"/>
      <c r="SWD172" s="125"/>
      <c r="SWE172" s="125"/>
      <c r="SWF172" s="125"/>
      <c r="SWG172" s="125"/>
      <c r="SWH172" s="125"/>
      <c r="SWI172" s="125"/>
      <c r="SWJ172" s="125"/>
      <c r="SWK172" s="125"/>
      <c r="SWL172" s="125"/>
      <c r="SWM172" s="125"/>
      <c r="SWN172" s="125"/>
      <c r="SWO172" s="125"/>
      <c r="SWP172" s="125"/>
      <c r="SWQ172" s="125"/>
      <c r="SWR172" s="125"/>
      <c r="SWS172" s="125"/>
      <c r="SWT172" s="125"/>
      <c r="SWU172" s="125"/>
      <c r="SWV172" s="125"/>
      <c r="SWW172" s="125"/>
      <c r="SWX172" s="125"/>
      <c r="SWY172" s="125"/>
      <c r="SWZ172" s="125"/>
      <c r="SXA172" s="125"/>
      <c r="SXB172" s="125"/>
      <c r="SXC172" s="125"/>
      <c r="SXD172" s="125"/>
      <c r="SXE172" s="125"/>
      <c r="SXF172" s="125"/>
      <c r="SXG172" s="125"/>
      <c r="SXH172" s="125"/>
      <c r="SXI172" s="125"/>
      <c r="SXJ172" s="125"/>
      <c r="SXK172" s="125"/>
      <c r="SXL172" s="125"/>
      <c r="SXM172" s="125"/>
      <c r="SXN172" s="125"/>
      <c r="SXO172" s="125"/>
      <c r="SXP172" s="125"/>
      <c r="SXQ172" s="125"/>
      <c r="SXR172" s="125"/>
      <c r="SXS172" s="125"/>
      <c r="SXT172" s="125"/>
      <c r="SXU172" s="125"/>
      <c r="SXV172" s="125"/>
      <c r="SXW172" s="125"/>
      <c r="SXX172" s="125"/>
      <c r="SXY172" s="125"/>
      <c r="SXZ172" s="125"/>
      <c r="SYA172" s="125"/>
      <c r="SYB172" s="125"/>
      <c r="SYC172" s="125"/>
      <c r="SYD172" s="125"/>
      <c r="SYE172" s="125"/>
      <c r="SYF172" s="125"/>
      <c r="SYG172" s="125"/>
      <c r="SYH172" s="125"/>
      <c r="SYI172" s="125"/>
      <c r="SYJ172" s="125"/>
      <c r="SYK172" s="125"/>
      <c r="SYL172" s="125"/>
      <c r="SYM172" s="125"/>
      <c r="SYN172" s="125"/>
      <c r="SYO172" s="125"/>
      <c r="SYP172" s="125"/>
      <c r="SYQ172" s="125"/>
      <c r="SYR172" s="125"/>
      <c r="SYS172" s="125"/>
      <c r="SYT172" s="125"/>
      <c r="SYU172" s="125"/>
      <c r="SYV172" s="125"/>
      <c r="SYW172" s="125"/>
      <c r="SYX172" s="125"/>
      <c r="SYY172" s="125"/>
      <c r="SYZ172" s="125"/>
      <c r="SZA172" s="125"/>
      <c r="SZB172" s="125"/>
      <c r="SZC172" s="125"/>
      <c r="SZD172" s="125"/>
      <c r="SZE172" s="125"/>
      <c r="SZF172" s="125"/>
      <c r="SZG172" s="125"/>
      <c r="SZH172" s="125"/>
      <c r="SZI172" s="125"/>
      <c r="SZJ172" s="125"/>
      <c r="SZK172" s="125"/>
      <c r="SZL172" s="125"/>
      <c r="SZM172" s="125"/>
      <c r="SZN172" s="125"/>
      <c r="SZO172" s="125"/>
      <c r="SZP172" s="125"/>
      <c r="SZQ172" s="125"/>
      <c r="SZR172" s="125"/>
      <c r="SZS172" s="125"/>
      <c r="SZT172" s="125"/>
      <c r="SZU172" s="125"/>
      <c r="SZV172" s="125"/>
      <c r="SZW172" s="125"/>
      <c r="SZX172" s="125"/>
      <c r="SZY172" s="125"/>
      <c r="SZZ172" s="125"/>
      <c r="TAA172" s="125"/>
      <c r="TAB172" s="125"/>
      <c r="TAC172" s="125"/>
      <c r="TAD172" s="125"/>
      <c r="TAE172" s="125"/>
      <c r="TAF172" s="125"/>
      <c r="TAG172" s="125"/>
      <c r="TAH172" s="125"/>
      <c r="TAI172" s="125"/>
      <c r="TAJ172" s="125"/>
      <c r="TAK172" s="125"/>
      <c r="TAL172" s="125"/>
      <c r="TAM172" s="125"/>
      <c r="TAN172" s="125"/>
      <c r="TAO172" s="125"/>
      <c r="TAP172" s="125"/>
      <c r="TAQ172" s="125"/>
      <c r="TAR172" s="125"/>
      <c r="TAS172" s="125"/>
      <c r="TAT172" s="125"/>
      <c r="TAU172" s="125"/>
      <c r="TAV172" s="125"/>
      <c r="TAW172" s="125"/>
      <c r="TAX172" s="125"/>
      <c r="TAY172" s="125"/>
      <c r="TAZ172" s="125"/>
      <c r="TBA172" s="125"/>
      <c r="TBB172" s="125"/>
      <c r="TBC172" s="125"/>
      <c r="TBD172" s="125"/>
      <c r="TBE172" s="125"/>
      <c r="TBF172" s="125"/>
      <c r="TBG172" s="125"/>
      <c r="TBH172" s="125"/>
      <c r="TBI172" s="125"/>
      <c r="TBJ172" s="125"/>
      <c r="TBK172" s="125"/>
      <c r="TBL172" s="125"/>
      <c r="TBM172" s="125"/>
      <c r="TBN172" s="125"/>
      <c r="TBO172" s="125"/>
      <c r="TBP172" s="125"/>
      <c r="TBQ172" s="125"/>
      <c r="TBR172" s="125"/>
      <c r="TBS172" s="125"/>
      <c r="TBT172" s="125"/>
      <c r="TBU172" s="125"/>
      <c r="TBV172" s="125"/>
      <c r="TBW172" s="125"/>
      <c r="TBX172" s="125"/>
      <c r="TBY172" s="125"/>
      <c r="TBZ172" s="125"/>
      <c r="TCA172" s="125"/>
      <c r="TCB172" s="125"/>
      <c r="TCC172" s="125"/>
      <c r="TCD172" s="125"/>
      <c r="TCE172" s="125"/>
      <c r="TCF172" s="125"/>
      <c r="TCG172" s="125"/>
      <c r="TCH172" s="125"/>
      <c r="TCI172" s="125"/>
      <c r="TCJ172" s="125"/>
      <c r="TCK172" s="125"/>
      <c r="TCL172" s="125"/>
      <c r="TCM172" s="125"/>
      <c r="TCN172" s="125"/>
      <c r="TCO172" s="125"/>
      <c r="TCP172" s="125"/>
      <c r="TCQ172" s="125"/>
      <c r="TCR172" s="125"/>
      <c r="TCS172" s="125"/>
      <c r="TCT172" s="125"/>
      <c r="TCU172" s="125"/>
      <c r="TCV172" s="125"/>
      <c r="TCW172" s="125"/>
      <c r="TCX172" s="125"/>
      <c r="TCY172" s="125"/>
      <c r="TCZ172" s="125"/>
      <c r="TDA172" s="125"/>
      <c r="TDB172" s="125"/>
      <c r="TDC172" s="125"/>
      <c r="TDD172" s="125"/>
      <c r="TDE172" s="125"/>
      <c r="TDF172" s="125"/>
      <c r="TDG172" s="125"/>
      <c r="TDH172" s="125"/>
      <c r="TDI172" s="125"/>
      <c r="TDJ172" s="125"/>
      <c r="TDK172" s="125"/>
      <c r="TDL172" s="125"/>
      <c r="TDM172" s="125"/>
      <c r="TDN172" s="125"/>
      <c r="TDO172" s="125"/>
      <c r="TDP172" s="125"/>
      <c r="TDQ172" s="125"/>
      <c r="TDR172" s="125"/>
      <c r="TDS172" s="125"/>
      <c r="TDT172" s="125"/>
      <c r="TDU172" s="125"/>
      <c r="TDV172" s="125"/>
      <c r="TDW172" s="125"/>
      <c r="TDX172" s="125"/>
      <c r="TDY172" s="125"/>
      <c r="TDZ172" s="125"/>
      <c r="TEA172" s="125"/>
      <c r="TEB172" s="125"/>
      <c r="TEC172" s="125"/>
      <c r="TED172" s="125"/>
      <c r="TEE172" s="125"/>
      <c r="TEF172" s="125"/>
      <c r="TEG172" s="125"/>
      <c r="TEH172" s="125"/>
      <c r="TEI172" s="125"/>
      <c r="TEJ172" s="125"/>
      <c r="TEK172" s="125"/>
      <c r="TEL172" s="125"/>
      <c r="TEM172" s="125"/>
      <c r="TEN172" s="125"/>
      <c r="TEO172" s="125"/>
      <c r="TEP172" s="125"/>
      <c r="TEQ172" s="125"/>
      <c r="TER172" s="125"/>
      <c r="TES172" s="125"/>
      <c r="TET172" s="125"/>
      <c r="TEU172" s="125"/>
      <c r="TEV172" s="125"/>
      <c r="TEW172" s="125"/>
      <c r="TEX172" s="125"/>
      <c r="TEY172" s="125"/>
      <c r="TEZ172" s="125"/>
      <c r="TFA172" s="125"/>
      <c r="TFB172" s="125"/>
      <c r="TFC172" s="125"/>
      <c r="TFD172" s="125"/>
      <c r="TFE172" s="125"/>
      <c r="TFF172" s="125"/>
      <c r="TFG172" s="125"/>
      <c r="TFH172" s="125"/>
      <c r="TFI172" s="125"/>
      <c r="TFJ172" s="125"/>
      <c r="TFK172" s="125"/>
      <c r="TFL172" s="125"/>
      <c r="TFM172" s="125"/>
      <c r="TFN172" s="125"/>
      <c r="TFO172" s="125"/>
      <c r="TFP172" s="125"/>
      <c r="TFQ172" s="125"/>
      <c r="TFR172" s="125"/>
      <c r="TFS172" s="125"/>
      <c r="TFT172" s="125"/>
      <c r="TFU172" s="125"/>
      <c r="TFV172" s="125"/>
      <c r="TFW172" s="125"/>
      <c r="TFX172" s="125"/>
      <c r="TFY172" s="125"/>
      <c r="TFZ172" s="125"/>
      <c r="TGA172" s="125"/>
      <c r="TGB172" s="125"/>
      <c r="TGC172" s="125"/>
      <c r="TGD172" s="125"/>
      <c r="TGE172" s="125"/>
      <c r="TGF172" s="125"/>
      <c r="TGG172" s="125"/>
      <c r="TGH172" s="125"/>
      <c r="TGI172" s="125"/>
      <c r="TGJ172" s="125"/>
      <c r="TGK172" s="125"/>
      <c r="TGL172" s="125"/>
      <c r="TGM172" s="125"/>
      <c r="TGN172" s="125"/>
      <c r="TGO172" s="125"/>
      <c r="TGP172" s="125"/>
      <c r="TGQ172" s="125"/>
      <c r="TGR172" s="125"/>
      <c r="TGS172" s="125"/>
      <c r="TGT172" s="125"/>
      <c r="TGU172" s="125"/>
      <c r="TGV172" s="125"/>
      <c r="TGW172" s="125"/>
      <c r="TGX172" s="125"/>
      <c r="TGY172" s="125"/>
      <c r="TGZ172" s="125"/>
      <c r="THA172" s="125"/>
      <c r="THB172" s="125"/>
      <c r="THC172" s="125"/>
      <c r="THD172" s="125"/>
      <c r="THE172" s="125"/>
      <c r="THF172" s="125"/>
      <c r="THG172" s="125"/>
      <c r="THH172" s="125"/>
      <c r="THI172" s="125"/>
      <c r="THJ172" s="125"/>
      <c r="THK172" s="125"/>
      <c r="THL172" s="125"/>
      <c r="THM172" s="125"/>
      <c r="THN172" s="125"/>
      <c r="THO172" s="125"/>
      <c r="THP172" s="125"/>
      <c r="THQ172" s="125"/>
      <c r="THR172" s="125"/>
      <c r="THS172" s="125"/>
      <c r="THT172" s="125"/>
      <c r="THU172" s="125"/>
      <c r="THV172" s="125"/>
      <c r="THW172" s="125"/>
      <c r="THX172" s="125"/>
      <c r="THY172" s="125"/>
      <c r="THZ172" s="125"/>
      <c r="TIA172" s="125"/>
      <c r="TIB172" s="125"/>
      <c r="TIC172" s="125"/>
      <c r="TID172" s="125"/>
      <c r="TIE172" s="125"/>
      <c r="TIF172" s="125"/>
      <c r="TIG172" s="125"/>
      <c r="TIH172" s="125"/>
      <c r="TII172" s="125"/>
      <c r="TIJ172" s="125"/>
      <c r="TIK172" s="125"/>
      <c r="TIL172" s="125"/>
      <c r="TIM172" s="125"/>
      <c r="TIN172" s="125"/>
      <c r="TIO172" s="125"/>
      <c r="TIP172" s="125"/>
      <c r="TIQ172" s="125"/>
      <c r="TIR172" s="125"/>
      <c r="TIS172" s="125"/>
      <c r="TIT172" s="125"/>
      <c r="TIU172" s="125"/>
      <c r="TIV172" s="125"/>
      <c r="TIW172" s="125"/>
      <c r="TIX172" s="125"/>
      <c r="TIY172" s="125"/>
      <c r="TIZ172" s="125"/>
      <c r="TJA172" s="125"/>
      <c r="TJB172" s="125"/>
      <c r="TJC172" s="125"/>
      <c r="TJD172" s="125"/>
      <c r="TJE172" s="125"/>
      <c r="TJF172" s="125"/>
      <c r="TJG172" s="125"/>
      <c r="TJH172" s="125"/>
      <c r="TJI172" s="125"/>
      <c r="TJJ172" s="125"/>
      <c r="TJK172" s="125"/>
      <c r="TJL172" s="125"/>
      <c r="TJM172" s="125"/>
      <c r="TJN172" s="125"/>
      <c r="TJO172" s="125"/>
      <c r="TJP172" s="125"/>
      <c r="TJQ172" s="125"/>
      <c r="TJR172" s="125"/>
      <c r="TJS172" s="125"/>
      <c r="TJT172" s="125"/>
      <c r="TJU172" s="125"/>
      <c r="TJV172" s="125"/>
      <c r="TJW172" s="125"/>
      <c r="TJX172" s="125"/>
      <c r="TJY172" s="125"/>
      <c r="TJZ172" s="125"/>
      <c r="TKA172" s="125"/>
      <c r="TKB172" s="125"/>
      <c r="TKC172" s="125"/>
      <c r="TKD172" s="125"/>
      <c r="TKE172" s="125"/>
      <c r="TKF172" s="125"/>
      <c r="TKG172" s="125"/>
      <c r="TKH172" s="125"/>
      <c r="TKI172" s="125"/>
      <c r="TKJ172" s="125"/>
      <c r="TKK172" s="125"/>
      <c r="TKL172" s="125"/>
      <c r="TKM172" s="125"/>
      <c r="TKN172" s="125"/>
      <c r="TKO172" s="125"/>
      <c r="TKP172" s="125"/>
      <c r="TKQ172" s="125"/>
      <c r="TKR172" s="125"/>
      <c r="TKS172" s="125"/>
      <c r="TKT172" s="125"/>
      <c r="TKU172" s="125"/>
      <c r="TKV172" s="125"/>
      <c r="TKW172" s="125"/>
      <c r="TKX172" s="125"/>
      <c r="TKY172" s="125"/>
      <c r="TKZ172" s="125"/>
      <c r="TLA172" s="125"/>
      <c r="TLB172" s="125"/>
      <c r="TLC172" s="125"/>
      <c r="TLD172" s="125"/>
      <c r="TLE172" s="125"/>
      <c r="TLF172" s="125"/>
      <c r="TLG172" s="125"/>
      <c r="TLH172" s="125"/>
      <c r="TLI172" s="125"/>
      <c r="TLJ172" s="125"/>
      <c r="TLK172" s="125"/>
      <c r="TLL172" s="125"/>
      <c r="TLM172" s="125"/>
      <c r="TLN172" s="125"/>
      <c r="TLO172" s="125"/>
      <c r="TLP172" s="125"/>
      <c r="TLQ172" s="125"/>
      <c r="TLR172" s="125"/>
      <c r="TLS172" s="125"/>
      <c r="TLT172" s="125"/>
      <c r="TLU172" s="125"/>
      <c r="TLV172" s="125"/>
      <c r="TLW172" s="125"/>
      <c r="TLX172" s="125"/>
      <c r="TLY172" s="125"/>
      <c r="TLZ172" s="125"/>
      <c r="TMA172" s="125"/>
      <c r="TMB172" s="125"/>
      <c r="TMC172" s="125"/>
      <c r="TMD172" s="125"/>
      <c r="TME172" s="125"/>
      <c r="TMF172" s="125"/>
      <c r="TMG172" s="125"/>
      <c r="TMH172" s="125"/>
      <c r="TMI172" s="125"/>
      <c r="TMJ172" s="125"/>
      <c r="TMK172" s="125"/>
      <c r="TML172" s="125"/>
      <c r="TMM172" s="125"/>
      <c r="TMN172" s="125"/>
      <c r="TMO172" s="125"/>
      <c r="TMP172" s="125"/>
      <c r="TMQ172" s="125"/>
      <c r="TMR172" s="125"/>
      <c r="TMS172" s="125"/>
      <c r="TMT172" s="125"/>
      <c r="TMU172" s="125"/>
      <c r="TMV172" s="125"/>
      <c r="TMW172" s="125"/>
      <c r="TMX172" s="125"/>
      <c r="TMY172" s="125"/>
      <c r="TMZ172" s="125"/>
      <c r="TNA172" s="125"/>
      <c r="TNB172" s="125"/>
      <c r="TNC172" s="125"/>
      <c r="TND172" s="125"/>
      <c r="TNE172" s="125"/>
      <c r="TNF172" s="125"/>
      <c r="TNG172" s="125"/>
      <c r="TNH172" s="125"/>
      <c r="TNI172" s="125"/>
      <c r="TNJ172" s="125"/>
      <c r="TNK172" s="125"/>
      <c r="TNL172" s="125"/>
      <c r="TNM172" s="125"/>
      <c r="TNN172" s="125"/>
      <c r="TNO172" s="125"/>
      <c r="TNP172" s="125"/>
      <c r="TNQ172" s="125"/>
      <c r="TNR172" s="125"/>
      <c r="TNS172" s="125"/>
      <c r="TNT172" s="125"/>
      <c r="TNU172" s="125"/>
      <c r="TNV172" s="125"/>
      <c r="TNW172" s="125"/>
      <c r="TNX172" s="125"/>
      <c r="TNY172" s="125"/>
      <c r="TNZ172" s="125"/>
      <c r="TOA172" s="125"/>
      <c r="TOB172" s="125"/>
      <c r="TOC172" s="125"/>
      <c r="TOD172" s="125"/>
      <c r="TOE172" s="125"/>
      <c r="TOF172" s="125"/>
      <c r="TOG172" s="125"/>
      <c r="TOH172" s="125"/>
      <c r="TOI172" s="125"/>
      <c r="TOJ172" s="125"/>
      <c r="TOK172" s="125"/>
      <c r="TOL172" s="125"/>
      <c r="TOM172" s="125"/>
      <c r="TON172" s="125"/>
      <c r="TOO172" s="125"/>
      <c r="TOP172" s="125"/>
      <c r="TOQ172" s="125"/>
      <c r="TOR172" s="125"/>
      <c r="TOS172" s="125"/>
      <c r="TOT172" s="125"/>
      <c r="TOU172" s="125"/>
      <c r="TOV172" s="125"/>
      <c r="TOW172" s="125"/>
      <c r="TOX172" s="125"/>
      <c r="TOY172" s="125"/>
      <c r="TOZ172" s="125"/>
      <c r="TPA172" s="125"/>
      <c r="TPB172" s="125"/>
      <c r="TPC172" s="125"/>
      <c r="TPD172" s="125"/>
      <c r="TPE172" s="125"/>
      <c r="TPF172" s="125"/>
      <c r="TPG172" s="125"/>
      <c r="TPH172" s="125"/>
      <c r="TPI172" s="125"/>
      <c r="TPJ172" s="125"/>
      <c r="TPK172" s="125"/>
      <c r="TPL172" s="125"/>
      <c r="TPM172" s="125"/>
      <c r="TPN172" s="125"/>
      <c r="TPO172" s="125"/>
      <c r="TPP172" s="125"/>
      <c r="TPQ172" s="125"/>
      <c r="TPR172" s="125"/>
      <c r="TPS172" s="125"/>
      <c r="TPT172" s="125"/>
      <c r="TPU172" s="125"/>
      <c r="TPV172" s="125"/>
      <c r="TPW172" s="125"/>
      <c r="TPX172" s="125"/>
      <c r="TPY172" s="125"/>
      <c r="TPZ172" s="125"/>
      <c r="TQA172" s="125"/>
      <c r="TQB172" s="125"/>
      <c r="TQC172" s="125"/>
      <c r="TQD172" s="125"/>
      <c r="TQE172" s="125"/>
      <c r="TQF172" s="125"/>
      <c r="TQG172" s="125"/>
      <c r="TQH172" s="125"/>
      <c r="TQI172" s="125"/>
      <c r="TQJ172" s="125"/>
      <c r="TQK172" s="125"/>
      <c r="TQL172" s="125"/>
      <c r="TQM172" s="125"/>
      <c r="TQN172" s="125"/>
      <c r="TQO172" s="125"/>
      <c r="TQP172" s="125"/>
      <c r="TQQ172" s="125"/>
      <c r="TQR172" s="125"/>
      <c r="TQS172" s="125"/>
      <c r="TQT172" s="125"/>
      <c r="TQU172" s="125"/>
      <c r="TQV172" s="125"/>
      <c r="TQW172" s="125"/>
      <c r="TQX172" s="125"/>
      <c r="TQY172" s="125"/>
      <c r="TQZ172" s="125"/>
      <c r="TRA172" s="125"/>
      <c r="TRB172" s="125"/>
      <c r="TRC172" s="125"/>
      <c r="TRD172" s="125"/>
      <c r="TRE172" s="125"/>
      <c r="TRF172" s="125"/>
      <c r="TRG172" s="125"/>
      <c r="TRH172" s="125"/>
      <c r="TRI172" s="125"/>
      <c r="TRJ172" s="125"/>
      <c r="TRK172" s="125"/>
      <c r="TRL172" s="125"/>
      <c r="TRM172" s="125"/>
      <c r="TRN172" s="125"/>
      <c r="TRO172" s="125"/>
      <c r="TRP172" s="125"/>
      <c r="TRQ172" s="125"/>
      <c r="TRR172" s="125"/>
      <c r="TRS172" s="125"/>
      <c r="TRT172" s="125"/>
      <c r="TRU172" s="125"/>
      <c r="TRV172" s="125"/>
      <c r="TRW172" s="125"/>
      <c r="TRX172" s="125"/>
      <c r="TRY172" s="125"/>
      <c r="TRZ172" s="125"/>
      <c r="TSA172" s="125"/>
      <c r="TSB172" s="125"/>
      <c r="TSC172" s="125"/>
      <c r="TSD172" s="125"/>
      <c r="TSE172" s="125"/>
      <c r="TSF172" s="125"/>
      <c r="TSG172" s="125"/>
      <c r="TSH172" s="125"/>
      <c r="TSI172" s="125"/>
      <c r="TSJ172" s="125"/>
      <c r="TSK172" s="125"/>
      <c r="TSL172" s="125"/>
      <c r="TSM172" s="125"/>
      <c r="TSN172" s="125"/>
      <c r="TSO172" s="125"/>
      <c r="TSP172" s="125"/>
      <c r="TSQ172" s="125"/>
      <c r="TSR172" s="125"/>
      <c r="TSS172" s="125"/>
      <c r="TST172" s="125"/>
      <c r="TSU172" s="125"/>
      <c r="TSV172" s="125"/>
      <c r="TSW172" s="125"/>
      <c r="TSX172" s="125"/>
      <c r="TSY172" s="125"/>
      <c r="TSZ172" s="125"/>
      <c r="TTA172" s="125"/>
      <c r="TTB172" s="125"/>
      <c r="TTC172" s="125"/>
      <c r="TTD172" s="125"/>
      <c r="TTE172" s="125"/>
      <c r="TTF172" s="125"/>
      <c r="TTG172" s="125"/>
      <c r="TTH172" s="125"/>
      <c r="TTI172" s="125"/>
      <c r="TTJ172" s="125"/>
      <c r="TTK172" s="125"/>
      <c r="TTL172" s="125"/>
      <c r="TTM172" s="125"/>
      <c r="TTN172" s="125"/>
      <c r="TTO172" s="125"/>
      <c r="TTP172" s="125"/>
      <c r="TTQ172" s="125"/>
      <c r="TTR172" s="125"/>
      <c r="TTS172" s="125"/>
      <c r="TTT172" s="125"/>
      <c r="TTU172" s="125"/>
      <c r="TTV172" s="125"/>
      <c r="TTW172" s="125"/>
      <c r="TTX172" s="125"/>
      <c r="TTY172" s="125"/>
      <c r="TTZ172" s="125"/>
      <c r="TUA172" s="125"/>
      <c r="TUB172" s="125"/>
      <c r="TUC172" s="125"/>
      <c r="TUD172" s="125"/>
      <c r="TUE172" s="125"/>
      <c r="TUF172" s="125"/>
      <c r="TUG172" s="125"/>
      <c r="TUH172" s="125"/>
      <c r="TUI172" s="125"/>
      <c r="TUJ172" s="125"/>
      <c r="TUK172" s="125"/>
      <c r="TUL172" s="125"/>
      <c r="TUM172" s="125"/>
      <c r="TUN172" s="125"/>
      <c r="TUO172" s="125"/>
      <c r="TUP172" s="125"/>
      <c r="TUQ172" s="125"/>
      <c r="TUR172" s="125"/>
      <c r="TUS172" s="125"/>
      <c r="TUT172" s="125"/>
      <c r="TUU172" s="125"/>
      <c r="TUV172" s="125"/>
      <c r="TUW172" s="125"/>
      <c r="TUX172" s="125"/>
      <c r="TUY172" s="125"/>
      <c r="TUZ172" s="125"/>
      <c r="TVA172" s="125"/>
      <c r="TVB172" s="125"/>
      <c r="TVC172" s="125"/>
      <c r="TVD172" s="125"/>
      <c r="TVE172" s="125"/>
      <c r="TVF172" s="125"/>
      <c r="TVG172" s="125"/>
      <c r="TVH172" s="125"/>
      <c r="TVI172" s="125"/>
      <c r="TVJ172" s="125"/>
      <c r="TVK172" s="125"/>
      <c r="TVL172" s="125"/>
      <c r="TVM172" s="125"/>
      <c r="TVN172" s="125"/>
      <c r="TVO172" s="125"/>
      <c r="TVP172" s="125"/>
      <c r="TVQ172" s="125"/>
      <c r="TVR172" s="125"/>
      <c r="TVS172" s="125"/>
      <c r="TVT172" s="125"/>
      <c r="TVU172" s="125"/>
      <c r="TVV172" s="125"/>
      <c r="TVW172" s="125"/>
      <c r="TVX172" s="125"/>
      <c r="TVY172" s="125"/>
      <c r="TVZ172" s="125"/>
      <c r="TWA172" s="125"/>
      <c r="TWB172" s="125"/>
      <c r="TWC172" s="125"/>
      <c r="TWD172" s="125"/>
      <c r="TWE172" s="125"/>
      <c r="TWF172" s="125"/>
      <c r="TWG172" s="125"/>
      <c r="TWH172" s="125"/>
      <c r="TWI172" s="125"/>
      <c r="TWJ172" s="125"/>
      <c r="TWK172" s="125"/>
      <c r="TWL172" s="125"/>
      <c r="TWM172" s="125"/>
      <c r="TWN172" s="125"/>
      <c r="TWO172" s="125"/>
      <c r="TWP172" s="125"/>
      <c r="TWQ172" s="125"/>
      <c r="TWR172" s="125"/>
      <c r="TWS172" s="125"/>
      <c r="TWT172" s="125"/>
      <c r="TWU172" s="125"/>
      <c r="TWV172" s="125"/>
      <c r="TWW172" s="125"/>
      <c r="TWX172" s="125"/>
      <c r="TWY172" s="125"/>
      <c r="TWZ172" s="125"/>
      <c r="TXA172" s="125"/>
      <c r="TXB172" s="125"/>
      <c r="TXC172" s="125"/>
      <c r="TXD172" s="125"/>
      <c r="TXE172" s="125"/>
      <c r="TXF172" s="125"/>
      <c r="TXG172" s="125"/>
      <c r="TXH172" s="125"/>
      <c r="TXI172" s="125"/>
      <c r="TXJ172" s="125"/>
      <c r="TXK172" s="125"/>
      <c r="TXL172" s="125"/>
      <c r="TXM172" s="125"/>
      <c r="TXN172" s="125"/>
      <c r="TXO172" s="125"/>
      <c r="TXP172" s="125"/>
      <c r="TXQ172" s="125"/>
      <c r="TXR172" s="125"/>
      <c r="TXS172" s="125"/>
      <c r="TXT172" s="125"/>
      <c r="TXU172" s="125"/>
      <c r="TXV172" s="125"/>
      <c r="TXW172" s="125"/>
      <c r="TXX172" s="125"/>
      <c r="TXY172" s="125"/>
      <c r="TXZ172" s="125"/>
      <c r="TYA172" s="125"/>
      <c r="TYB172" s="125"/>
      <c r="TYC172" s="125"/>
      <c r="TYD172" s="125"/>
      <c r="TYE172" s="125"/>
      <c r="TYF172" s="125"/>
      <c r="TYG172" s="125"/>
      <c r="TYH172" s="125"/>
      <c r="TYI172" s="125"/>
      <c r="TYJ172" s="125"/>
      <c r="TYK172" s="125"/>
      <c r="TYL172" s="125"/>
      <c r="TYM172" s="125"/>
      <c r="TYN172" s="125"/>
      <c r="TYO172" s="125"/>
      <c r="TYP172" s="125"/>
      <c r="TYQ172" s="125"/>
      <c r="TYR172" s="125"/>
      <c r="TYS172" s="125"/>
      <c r="TYT172" s="125"/>
      <c r="TYU172" s="125"/>
      <c r="TYV172" s="125"/>
      <c r="TYW172" s="125"/>
      <c r="TYX172" s="125"/>
      <c r="TYY172" s="125"/>
      <c r="TYZ172" s="125"/>
      <c r="TZA172" s="125"/>
      <c r="TZB172" s="125"/>
      <c r="TZC172" s="125"/>
      <c r="TZD172" s="125"/>
      <c r="TZE172" s="125"/>
      <c r="TZF172" s="125"/>
      <c r="TZG172" s="125"/>
      <c r="TZH172" s="125"/>
      <c r="TZI172" s="125"/>
      <c r="TZJ172" s="125"/>
      <c r="TZK172" s="125"/>
      <c r="TZL172" s="125"/>
      <c r="TZM172" s="125"/>
      <c r="TZN172" s="125"/>
      <c r="TZO172" s="125"/>
      <c r="TZP172" s="125"/>
      <c r="TZQ172" s="125"/>
      <c r="TZR172" s="125"/>
      <c r="TZS172" s="125"/>
      <c r="TZT172" s="125"/>
      <c r="TZU172" s="125"/>
      <c r="TZV172" s="125"/>
      <c r="TZW172" s="125"/>
      <c r="TZX172" s="125"/>
      <c r="TZY172" s="125"/>
      <c r="TZZ172" s="125"/>
      <c r="UAA172" s="125"/>
      <c r="UAB172" s="125"/>
      <c r="UAC172" s="125"/>
      <c r="UAD172" s="125"/>
      <c r="UAE172" s="125"/>
      <c r="UAF172" s="125"/>
      <c r="UAG172" s="125"/>
      <c r="UAH172" s="125"/>
      <c r="UAI172" s="125"/>
      <c r="UAJ172" s="125"/>
      <c r="UAK172" s="125"/>
      <c r="UAL172" s="125"/>
      <c r="UAM172" s="125"/>
      <c r="UAN172" s="125"/>
      <c r="UAO172" s="125"/>
      <c r="UAP172" s="125"/>
      <c r="UAQ172" s="125"/>
      <c r="UAR172" s="125"/>
      <c r="UAS172" s="125"/>
      <c r="UAT172" s="125"/>
      <c r="UAU172" s="125"/>
      <c r="UAV172" s="125"/>
      <c r="UAW172" s="125"/>
      <c r="UAX172" s="125"/>
      <c r="UAY172" s="125"/>
      <c r="UAZ172" s="125"/>
      <c r="UBA172" s="125"/>
      <c r="UBB172" s="125"/>
      <c r="UBC172" s="125"/>
      <c r="UBD172" s="125"/>
      <c r="UBE172" s="125"/>
      <c r="UBF172" s="125"/>
      <c r="UBG172" s="125"/>
      <c r="UBH172" s="125"/>
      <c r="UBI172" s="125"/>
      <c r="UBJ172" s="125"/>
      <c r="UBK172" s="125"/>
      <c r="UBL172" s="125"/>
      <c r="UBM172" s="125"/>
      <c r="UBN172" s="125"/>
      <c r="UBO172" s="125"/>
      <c r="UBP172" s="125"/>
      <c r="UBQ172" s="125"/>
      <c r="UBR172" s="125"/>
      <c r="UBS172" s="125"/>
      <c r="UBT172" s="125"/>
      <c r="UBU172" s="125"/>
      <c r="UBV172" s="125"/>
      <c r="UBW172" s="125"/>
      <c r="UBX172" s="125"/>
      <c r="UBY172" s="125"/>
      <c r="UBZ172" s="125"/>
      <c r="UCA172" s="125"/>
      <c r="UCB172" s="125"/>
      <c r="UCC172" s="125"/>
      <c r="UCD172" s="125"/>
      <c r="UCE172" s="125"/>
      <c r="UCF172" s="125"/>
      <c r="UCG172" s="125"/>
      <c r="UCH172" s="125"/>
      <c r="UCI172" s="125"/>
      <c r="UCJ172" s="125"/>
      <c r="UCK172" s="125"/>
      <c r="UCL172" s="125"/>
      <c r="UCM172" s="125"/>
      <c r="UCN172" s="125"/>
      <c r="UCO172" s="125"/>
      <c r="UCP172" s="125"/>
      <c r="UCQ172" s="125"/>
      <c r="UCR172" s="125"/>
      <c r="UCS172" s="125"/>
      <c r="UCT172" s="125"/>
      <c r="UCU172" s="125"/>
      <c r="UCV172" s="125"/>
      <c r="UCW172" s="125"/>
      <c r="UCX172" s="125"/>
      <c r="UCY172" s="125"/>
      <c r="UCZ172" s="125"/>
      <c r="UDA172" s="125"/>
      <c r="UDB172" s="125"/>
      <c r="UDC172" s="125"/>
      <c r="UDD172" s="125"/>
      <c r="UDE172" s="125"/>
      <c r="UDF172" s="125"/>
      <c r="UDG172" s="125"/>
      <c r="UDH172" s="125"/>
      <c r="UDI172" s="125"/>
      <c r="UDJ172" s="125"/>
      <c r="UDK172" s="125"/>
      <c r="UDL172" s="125"/>
      <c r="UDM172" s="125"/>
      <c r="UDN172" s="125"/>
      <c r="UDO172" s="125"/>
      <c r="UDP172" s="125"/>
      <c r="UDQ172" s="125"/>
      <c r="UDR172" s="125"/>
      <c r="UDS172" s="125"/>
      <c r="UDT172" s="125"/>
      <c r="UDU172" s="125"/>
      <c r="UDV172" s="125"/>
      <c r="UDW172" s="125"/>
      <c r="UDX172" s="125"/>
      <c r="UDY172" s="125"/>
      <c r="UDZ172" s="125"/>
      <c r="UEA172" s="125"/>
      <c r="UEB172" s="125"/>
      <c r="UEC172" s="125"/>
      <c r="UED172" s="125"/>
      <c r="UEE172" s="125"/>
      <c r="UEF172" s="125"/>
      <c r="UEG172" s="125"/>
      <c r="UEH172" s="125"/>
      <c r="UEI172" s="125"/>
      <c r="UEJ172" s="125"/>
      <c r="UEK172" s="125"/>
      <c r="UEL172" s="125"/>
      <c r="UEM172" s="125"/>
      <c r="UEN172" s="125"/>
      <c r="UEO172" s="125"/>
      <c r="UEP172" s="125"/>
      <c r="UEQ172" s="125"/>
      <c r="UER172" s="125"/>
      <c r="UES172" s="125"/>
      <c r="UET172" s="125"/>
      <c r="UEU172" s="125"/>
      <c r="UEV172" s="125"/>
      <c r="UEW172" s="125"/>
      <c r="UEX172" s="125"/>
      <c r="UEY172" s="125"/>
      <c r="UEZ172" s="125"/>
      <c r="UFA172" s="125"/>
      <c r="UFB172" s="125"/>
      <c r="UFC172" s="125"/>
      <c r="UFD172" s="125"/>
      <c r="UFE172" s="125"/>
      <c r="UFF172" s="125"/>
      <c r="UFG172" s="125"/>
      <c r="UFH172" s="125"/>
      <c r="UFI172" s="125"/>
      <c r="UFJ172" s="125"/>
      <c r="UFK172" s="125"/>
      <c r="UFL172" s="125"/>
      <c r="UFM172" s="125"/>
      <c r="UFN172" s="125"/>
      <c r="UFO172" s="125"/>
      <c r="UFP172" s="125"/>
      <c r="UFQ172" s="125"/>
      <c r="UFR172" s="125"/>
      <c r="UFS172" s="125"/>
      <c r="UFT172" s="125"/>
      <c r="UFU172" s="125"/>
      <c r="UFV172" s="125"/>
      <c r="UFW172" s="125"/>
      <c r="UFX172" s="125"/>
      <c r="UFY172" s="125"/>
      <c r="UFZ172" s="125"/>
      <c r="UGA172" s="125"/>
      <c r="UGB172" s="125"/>
      <c r="UGC172" s="125"/>
      <c r="UGD172" s="125"/>
      <c r="UGE172" s="125"/>
      <c r="UGF172" s="125"/>
      <c r="UGG172" s="125"/>
      <c r="UGH172" s="125"/>
      <c r="UGI172" s="125"/>
      <c r="UGJ172" s="125"/>
      <c r="UGK172" s="125"/>
      <c r="UGL172" s="125"/>
      <c r="UGM172" s="125"/>
      <c r="UGN172" s="125"/>
      <c r="UGO172" s="125"/>
      <c r="UGP172" s="125"/>
      <c r="UGQ172" s="125"/>
      <c r="UGR172" s="125"/>
      <c r="UGS172" s="125"/>
      <c r="UGT172" s="125"/>
      <c r="UGU172" s="125"/>
      <c r="UGV172" s="125"/>
      <c r="UGW172" s="125"/>
      <c r="UGX172" s="125"/>
      <c r="UGY172" s="125"/>
      <c r="UGZ172" s="125"/>
      <c r="UHA172" s="125"/>
      <c r="UHB172" s="125"/>
      <c r="UHC172" s="125"/>
      <c r="UHD172" s="125"/>
      <c r="UHE172" s="125"/>
      <c r="UHF172" s="125"/>
      <c r="UHG172" s="125"/>
      <c r="UHH172" s="125"/>
      <c r="UHI172" s="125"/>
      <c r="UHJ172" s="125"/>
      <c r="UHK172" s="125"/>
      <c r="UHL172" s="125"/>
      <c r="UHM172" s="125"/>
      <c r="UHN172" s="125"/>
      <c r="UHO172" s="125"/>
      <c r="UHP172" s="125"/>
      <c r="UHQ172" s="125"/>
      <c r="UHR172" s="125"/>
      <c r="UHS172" s="125"/>
      <c r="UHT172" s="125"/>
      <c r="UHU172" s="125"/>
      <c r="UHV172" s="125"/>
      <c r="UHW172" s="125"/>
      <c r="UHX172" s="125"/>
      <c r="UHY172" s="125"/>
      <c r="UHZ172" s="125"/>
      <c r="UIA172" s="125"/>
      <c r="UIB172" s="125"/>
      <c r="UIC172" s="125"/>
      <c r="UID172" s="125"/>
      <c r="UIE172" s="125"/>
      <c r="UIF172" s="125"/>
      <c r="UIG172" s="125"/>
      <c r="UIH172" s="125"/>
      <c r="UII172" s="125"/>
      <c r="UIJ172" s="125"/>
      <c r="UIK172" s="125"/>
      <c r="UIL172" s="125"/>
      <c r="UIM172" s="125"/>
      <c r="UIN172" s="125"/>
      <c r="UIO172" s="125"/>
      <c r="UIP172" s="125"/>
      <c r="UIQ172" s="125"/>
      <c r="UIR172" s="125"/>
      <c r="UIS172" s="125"/>
      <c r="UIT172" s="125"/>
      <c r="UIU172" s="125"/>
      <c r="UIV172" s="125"/>
      <c r="UIW172" s="125"/>
      <c r="UIX172" s="125"/>
      <c r="UIY172" s="125"/>
      <c r="UIZ172" s="125"/>
      <c r="UJA172" s="125"/>
      <c r="UJB172" s="125"/>
      <c r="UJC172" s="125"/>
      <c r="UJD172" s="125"/>
      <c r="UJE172" s="125"/>
      <c r="UJF172" s="125"/>
      <c r="UJG172" s="125"/>
      <c r="UJH172" s="125"/>
      <c r="UJI172" s="125"/>
      <c r="UJJ172" s="125"/>
      <c r="UJK172" s="125"/>
      <c r="UJL172" s="125"/>
      <c r="UJM172" s="125"/>
      <c r="UJN172" s="125"/>
      <c r="UJO172" s="125"/>
      <c r="UJP172" s="125"/>
      <c r="UJQ172" s="125"/>
      <c r="UJR172" s="125"/>
      <c r="UJS172" s="125"/>
      <c r="UJT172" s="125"/>
      <c r="UJU172" s="125"/>
      <c r="UJV172" s="125"/>
      <c r="UJW172" s="125"/>
      <c r="UJX172" s="125"/>
      <c r="UJY172" s="125"/>
      <c r="UJZ172" s="125"/>
      <c r="UKA172" s="125"/>
      <c r="UKB172" s="125"/>
      <c r="UKC172" s="125"/>
      <c r="UKD172" s="125"/>
      <c r="UKE172" s="125"/>
      <c r="UKF172" s="125"/>
      <c r="UKG172" s="125"/>
      <c r="UKH172" s="125"/>
      <c r="UKI172" s="125"/>
      <c r="UKJ172" s="125"/>
      <c r="UKK172" s="125"/>
      <c r="UKL172" s="125"/>
      <c r="UKM172" s="125"/>
      <c r="UKN172" s="125"/>
      <c r="UKO172" s="125"/>
      <c r="UKP172" s="125"/>
      <c r="UKQ172" s="125"/>
      <c r="UKR172" s="125"/>
      <c r="UKS172" s="125"/>
      <c r="UKT172" s="125"/>
      <c r="UKU172" s="125"/>
      <c r="UKV172" s="125"/>
      <c r="UKW172" s="125"/>
      <c r="UKX172" s="125"/>
      <c r="UKY172" s="125"/>
      <c r="UKZ172" s="125"/>
      <c r="ULA172" s="125"/>
      <c r="ULB172" s="125"/>
      <c r="ULC172" s="125"/>
      <c r="ULD172" s="125"/>
      <c r="ULE172" s="125"/>
      <c r="ULF172" s="125"/>
      <c r="ULG172" s="125"/>
      <c r="ULH172" s="125"/>
      <c r="ULI172" s="125"/>
      <c r="ULJ172" s="125"/>
      <c r="ULK172" s="125"/>
      <c r="ULL172" s="125"/>
      <c r="ULM172" s="125"/>
      <c r="ULN172" s="125"/>
      <c r="ULO172" s="125"/>
      <c r="ULP172" s="125"/>
      <c r="ULQ172" s="125"/>
      <c r="ULR172" s="125"/>
      <c r="ULS172" s="125"/>
      <c r="ULT172" s="125"/>
      <c r="ULU172" s="125"/>
      <c r="ULV172" s="125"/>
      <c r="ULW172" s="125"/>
      <c r="ULX172" s="125"/>
      <c r="ULY172" s="125"/>
      <c r="ULZ172" s="125"/>
      <c r="UMA172" s="125"/>
      <c r="UMB172" s="125"/>
      <c r="UMC172" s="125"/>
      <c r="UMD172" s="125"/>
      <c r="UME172" s="125"/>
      <c r="UMF172" s="125"/>
      <c r="UMG172" s="125"/>
      <c r="UMH172" s="125"/>
      <c r="UMI172" s="125"/>
      <c r="UMJ172" s="125"/>
      <c r="UMK172" s="125"/>
      <c r="UML172" s="125"/>
      <c r="UMM172" s="125"/>
      <c r="UMN172" s="125"/>
      <c r="UMO172" s="125"/>
      <c r="UMP172" s="125"/>
      <c r="UMQ172" s="125"/>
      <c r="UMR172" s="125"/>
      <c r="UMS172" s="125"/>
      <c r="UMT172" s="125"/>
      <c r="UMU172" s="125"/>
      <c r="UMV172" s="125"/>
      <c r="UMW172" s="125"/>
      <c r="UMX172" s="125"/>
      <c r="UMY172" s="125"/>
      <c r="UMZ172" s="125"/>
      <c r="UNA172" s="125"/>
      <c r="UNB172" s="125"/>
      <c r="UNC172" s="125"/>
      <c r="UND172" s="125"/>
      <c r="UNE172" s="125"/>
      <c r="UNF172" s="125"/>
      <c r="UNG172" s="125"/>
      <c r="UNH172" s="125"/>
      <c r="UNI172" s="125"/>
      <c r="UNJ172" s="125"/>
      <c r="UNK172" s="125"/>
      <c r="UNL172" s="125"/>
      <c r="UNM172" s="125"/>
      <c r="UNN172" s="125"/>
      <c r="UNO172" s="125"/>
      <c r="UNP172" s="125"/>
      <c r="UNQ172" s="125"/>
      <c r="UNR172" s="125"/>
      <c r="UNS172" s="125"/>
      <c r="UNT172" s="125"/>
      <c r="UNU172" s="125"/>
      <c r="UNV172" s="125"/>
      <c r="UNW172" s="125"/>
      <c r="UNX172" s="125"/>
      <c r="UNY172" s="125"/>
      <c r="UNZ172" s="125"/>
      <c r="UOA172" s="125"/>
      <c r="UOB172" s="125"/>
      <c r="UOC172" s="125"/>
      <c r="UOD172" s="125"/>
      <c r="UOE172" s="125"/>
      <c r="UOF172" s="125"/>
      <c r="UOG172" s="125"/>
      <c r="UOH172" s="125"/>
      <c r="UOI172" s="125"/>
      <c r="UOJ172" s="125"/>
      <c r="UOK172" s="125"/>
      <c r="UOL172" s="125"/>
      <c r="UOM172" s="125"/>
      <c r="UON172" s="125"/>
      <c r="UOO172" s="125"/>
      <c r="UOP172" s="125"/>
      <c r="UOQ172" s="125"/>
      <c r="UOR172" s="125"/>
      <c r="UOS172" s="125"/>
      <c r="UOT172" s="125"/>
      <c r="UOU172" s="125"/>
      <c r="UOV172" s="125"/>
      <c r="UOW172" s="125"/>
      <c r="UOX172" s="125"/>
      <c r="UOY172" s="125"/>
      <c r="UOZ172" s="125"/>
      <c r="UPA172" s="125"/>
      <c r="UPB172" s="125"/>
      <c r="UPC172" s="125"/>
      <c r="UPD172" s="125"/>
      <c r="UPE172" s="125"/>
      <c r="UPF172" s="125"/>
      <c r="UPG172" s="125"/>
      <c r="UPH172" s="125"/>
      <c r="UPI172" s="125"/>
      <c r="UPJ172" s="125"/>
      <c r="UPK172" s="125"/>
      <c r="UPL172" s="125"/>
      <c r="UPM172" s="125"/>
      <c r="UPN172" s="125"/>
      <c r="UPO172" s="125"/>
      <c r="UPP172" s="125"/>
      <c r="UPQ172" s="125"/>
      <c r="UPR172" s="125"/>
      <c r="UPS172" s="125"/>
      <c r="UPT172" s="125"/>
      <c r="UPU172" s="125"/>
      <c r="UPV172" s="125"/>
      <c r="UPW172" s="125"/>
      <c r="UPX172" s="125"/>
      <c r="UPY172" s="125"/>
      <c r="UPZ172" s="125"/>
      <c r="UQA172" s="125"/>
      <c r="UQB172" s="125"/>
      <c r="UQC172" s="125"/>
      <c r="UQD172" s="125"/>
      <c r="UQE172" s="125"/>
      <c r="UQF172" s="125"/>
      <c r="UQG172" s="125"/>
      <c r="UQH172" s="125"/>
      <c r="UQI172" s="125"/>
      <c r="UQJ172" s="125"/>
      <c r="UQK172" s="125"/>
      <c r="UQL172" s="125"/>
      <c r="UQM172" s="125"/>
      <c r="UQN172" s="125"/>
      <c r="UQO172" s="125"/>
      <c r="UQP172" s="125"/>
      <c r="UQQ172" s="125"/>
      <c r="UQR172" s="125"/>
      <c r="UQS172" s="125"/>
      <c r="UQT172" s="125"/>
      <c r="UQU172" s="125"/>
      <c r="UQV172" s="125"/>
      <c r="UQW172" s="125"/>
      <c r="UQX172" s="125"/>
      <c r="UQY172" s="125"/>
      <c r="UQZ172" s="125"/>
      <c r="URA172" s="125"/>
      <c r="URB172" s="125"/>
      <c r="URC172" s="125"/>
      <c r="URD172" s="125"/>
      <c r="URE172" s="125"/>
      <c r="URF172" s="125"/>
      <c r="URG172" s="125"/>
      <c r="URH172" s="125"/>
      <c r="URI172" s="125"/>
      <c r="URJ172" s="125"/>
      <c r="URK172" s="125"/>
      <c r="URL172" s="125"/>
      <c r="URM172" s="125"/>
      <c r="URN172" s="125"/>
      <c r="URO172" s="125"/>
      <c r="URP172" s="125"/>
      <c r="URQ172" s="125"/>
      <c r="URR172" s="125"/>
      <c r="URS172" s="125"/>
      <c r="URT172" s="125"/>
      <c r="URU172" s="125"/>
      <c r="URV172" s="125"/>
      <c r="URW172" s="125"/>
      <c r="URX172" s="125"/>
      <c r="URY172" s="125"/>
      <c r="URZ172" s="125"/>
      <c r="USA172" s="125"/>
      <c r="USB172" s="125"/>
      <c r="USC172" s="125"/>
      <c r="USD172" s="125"/>
      <c r="USE172" s="125"/>
      <c r="USF172" s="125"/>
      <c r="USG172" s="125"/>
      <c r="USH172" s="125"/>
      <c r="USI172" s="125"/>
      <c r="USJ172" s="125"/>
      <c r="USK172" s="125"/>
      <c r="USL172" s="125"/>
      <c r="USM172" s="125"/>
      <c r="USN172" s="125"/>
      <c r="USO172" s="125"/>
      <c r="USP172" s="125"/>
      <c r="USQ172" s="125"/>
      <c r="USR172" s="125"/>
      <c r="USS172" s="125"/>
      <c r="UST172" s="125"/>
      <c r="USU172" s="125"/>
      <c r="USV172" s="125"/>
      <c r="USW172" s="125"/>
      <c r="USX172" s="125"/>
      <c r="USY172" s="125"/>
      <c r="USZ172" s="125"/>
      <c r="UTA172" s="125"/>
      <c r="UTB172" s="125"/>
      <c r="UTC172" s="125"/>
      <c r="UTD172" s="125"/>
      <c r="UTE172" s="125"/>
      <c r="UTF172" s="125"/>
      <c r="UTG172" s="125"/>
      <c r="UTH172" s="125"/>
      <c r="UTI172" s="125"/>
      <c r="UTJ172" s="125"/>
      <c r="UTK172" s="125"/>
      <c r="UTL172" s="125"/>
      <c r="UTM172" s="125"/>
      <c r="UTN172" s="125"/>
      <c r="UTO172" s="125"/>
      <c r="UTP172" s="125"/>
      <c r="UTQ172" s="125"/>
      <c r="UTR172" s="125"/>
      <c r="UTS172" s="125"/>
      <c r="UTT172" s="125"/>
      <c r="UTU172" s="125"/>
      <c r="UTV172" s="125"/>
      <c r="UTW172" s="125"/>
      <c r="UTX172" s="125"/>
      <c r="UTY172" s="125"/>
      <c r="UTZ172" s="125"/>
      <c r="UUA172" s="125"/>
      <c r="UUB172" s="125"/>
      <c r="UUC172" s="125"/>
      <c r="UUD172" s="125"/>
      <c r="UUE172" s="125"/>
      <c r="UUF172" s="125"/>
      <c r="UUG172" s="125"/>
      <c r="UUH172" s="125"/>
      <c r="UUI172" s="125"/>
      <c r="UUJ172" s="125"/>
      <c r="UUK172" s="125"/>
      <c r="UUL172" s="125"/>
      <c r="UUM172" s="125"/>
      <c r="UUN172" s="125"/>
      <c r="UUO172" s="125"/>
      <c r="UUP172" s="125"/>
      <c r="UUQ172" s="125"/>
      <c r="UUR172" s="125"/>
      <c r="UUS172" s="125"/>
      <c r="UUT172" s="125"/>
      <c r="UUU172" s="125"/>
      <c r="UUV172" s="125"/>
      <c r="UUW172" s="125"/>
      <c r="UUX172" s="125"/>
      <c r="UUY172" s="125"/>
      <c r="UUZ172" s="125"/>
      <c r="UVA172" s="125"/>
      <c r="UVB172" s="125"/>
      <c r="UVC172" s="125"/>
      <c r="UVD172" s="125"/>
      <c r="UVE172" s="125"/>
      <c r="UVF172" s="125"/>
      <c r="UVG172" s="125"/>
      <c r="UVH172" s="125"/>
      <c r="UVI172" s="125"/>
      <c r="UVJ172" s="125"/>
      <c r="UVK172" s="125"/>
      <c r="UVL172" s="125"/>
      <c r="UVM172" s="125"/>
      <c r="UVN172" s="125"/>
      <c r="UVO172" s="125"/>
      <c r="UVP172" s="125"/>
      <c r="UVQ172" s="125"/>
      <c r="UVR172" s="125"/>
      <c r="UVS172" s="125"/>
      <c r="UVT172" s="125"/>
      <c r="UVU172" s="125"/>
      <c r="UVV172" s="125"/>
      <c r="UVW172" s="125"/>
      <c r="UVX172" s="125"/>
      <c r="UVY172" s="125"/>
      <c r="UVZ172" s="125"/>
      <c r="UWA172" s="125"/>
      <c r="UWB172" s="125"/>
      <c r="UWC172" s="125"/>
      <c r="UWD172" s="125"/>
      <c r="UWE172" s="125"/>
      <c r="UWF172" s="125"/>
      <c r="UWG172" s="125"/>
      <c r="UWH172" s="125"/>
      <c r="UWI172" s="125"/>
      <c r="UWJ172" s="125"/>
      <c r="UWK172" s="125"/>
      <c r="UWL172" s="125"/>
      <c r="UWM172" s="125"/>
      <c r="UWN172" s="125"/>
      <c r="UWO172" s="125"/>
      <c r="UWP172" s="125"/>
      <c r="UWQ172" s="125"/>
      <c r="UWR172" s="125"/>
      <c r="UWS172" s="125"/>
      <c r="UWT172" s="125"/>
      <c r="UWU172" s="125"/>
      <c r="UWV172" s="125"/>
      <c r="UWW172" s="125"/>
      <c r="UWX172" s="125"/>
      <c r="UWY172" s="125"/>
      <c r="UWZ172" s="125"/>
      <c r="UXA172" s="125"/>
      <c r="UXB172" s="125"/>
      <c r="UXC172" s="125"/>
      <c r="UXD172" s="125"/>
      <c r="UXE172" s="125"/>
      <c r="UXF172" s="125"/>
      <c r="UXG172" s="125"/>
      <c r="UXH172" s="125"/>
      <c r="UXI172" s="125"/>
      <c r="UXJ172" s="125"/>
      <c r="UXK172" s="125"/>
      <c r="UXL172" s="125"/>
      <c r="UXM172" s="125"/>
      <c r="UXN172" s="125"/>
      <c r="UXO172" s="125"/>
      <c r="UXP172" s="125"/>
      <c r="UXQ172" s="125"/>
      <c r="UXR172" s="125"/>
      <c r="UXS172" s="125"/>
      <c r="UXT172" s="125"/>
      <c r="UXU172" s="125"/>
      <c r="UXV172" s="125"/>
      <c r="UXW172" s="125"/>
      <c r="UXX172" s="125"/>
      <c r="UXY172" s="125"/>
      <c r="UXZ172" s="125"/>
      <c r="UYA172" s="125"/>
      <c r="UYB172" s="125"/>
      <c r="UYC172" s="125"/>
      <c r="UYD172" s="125"/>
      <c r="UYE172" s="125"/>
      <c r="UYF172" s="125"/>
      <c r="UYG172" s="125"/>
      <c r="UYH172" s="125"/>
      <c r="UYI172" s="125"/>
      <c r="UYJ172" s="125"/>
      <c r="UYK172" s="125"/>
      <c r="UYL172" s="125"/>
      <c r="UYM172" s="125"/>
      <c r="UYN172" s="125"/>
      <c r="UYO172" s="125"/>
      <c r="UYP172" s="125"/>
      <c r="UYQ172" s="125"/>
      <c r="UYR172" s="125"/>
      <c r="UYS172" s="125"/>
      <c r="UYT172" s="125"/>
      <c r="UYU172" s="125"/>
      <c r="UYV172" s="125"/>
      <c r="UYW172" s="125"/>
      <c r="UYX172" s="125"/>
      <c r="UYY172" s="125"/>
      <c r="UYZ172" s="125"/>
      <c r="UZA172" s="125"/>
      <c r="UZB172" s="125"/>
      <c r="UZC172" s="125"/>
      <c r="UZD172" s="125"/>
      <c r="UZE172" s="125"/>
      <c r="UZF172" s="125"/>
      <c r="UZG172" s="125"/>
      <c r="UZH172" s="125"/>
      <c r="UZI172" s="125"/>
      <c r="UZJ172" s="125"/>
      <c r="UZK172" s="125"/>
      <c r="UZL172" s="125"/>
      <c r="UZM172" s="125"/>
      <c r="UZN172" s="125"/>
      <c r="UZO172" s="125"/>
      <c r="UZP172" s="125"/>
      <c r="UZQ172" s="125"/>
      <c r="UZR172" s="125"/>
      <c r="UZS172" s="125"/>
      <c r="UZT172" s="125"/>
      <c r="UZU172" s="125"/>
      <c r="UZV172" s="125"/>
      <c r="UZW172" s="125"/>
      <c r="UZX172" s="125"/>
      <c r="UZY172" s="125"/>
      <c r="UZZ172" s="125"/>
      <c r="VAA172" s="125"/>
      <c r="VAB172" s="125"/>
      <c r="VAC172" s="125"/>
      <c r="VAD172" s="125"/>
      <c r="VAE172" s="125"/>
      <c r="VAF172" s="125"/>
      <c r="VAG172" s="125"/>
      <c r="VAH172" s="125"/>
      <c r="VAI172" s="125"/>
      <c r="VAJ172" s="125"/>
      <c r="VAK172" s="125"/>
      <c r="VAL172" s="125"/>
      <c r="VAM172" s="125"/>
      <c r="VAN172" s="125"/>
      <c r="VAO172" s="125"/>
      <c r="VAP172" s="125"/>
      <c r="VAQ172" s="125"/>
      <c r="VAR172" s="125"/>
      <c r="VAS172" s="125"/>
      <c r="VAT172" s="125"/>
      <c r="VAU172" s="125"/>
      <c r="VAV172" s="125"/>
      <c r="VAW172" s="125"/>
      <c r="VAX172" s="125"/>
      <c r="VAY172" s="125"/>
      <c r="VAZ172" s="125"/>
      <c r="VBA172" s="125"/>
      <c r="VBB172" s="125"/>
      <c r="VBC172" s="125"/>
      <c r="VBD172" s="125"/>
      <c r="VBE172" s="125"/>
      <c r="VBF172" s="125"/>
      <c r="VBG172" s="125"/>
      <c r="VBH172" s="125"/>
      <c r="VBI172" s="125"/>
      <c r="VBJ172" s="125"/>
      <c r="VBK172" s="125"/>
      <c r="VBL172" s="125"/>
      <c r="VBM172" s="125"/>
      <c r="VBN172" s="125"/>
      <c r="VBO172" s="125"/>
      <c r="VBP172" s="125"/>
      <c r="VBQ172" s="125"/>
      <c r="VBR172" s="125"/>
      <c r="VBS172" s="125"/>
      <c r="VBT172" s="125"/>
      <c r="VBU172" s="125"/>
      <c r="VBV172" s="125"/>
      <c r="VBW172" s="125"/>
      <c r="VBX172" s="125"/>
      <c r="VBY172" s="125"/>
      <c r="VBZ172" s="125"/>
      <c r="VCA172" s="125"/>
      <c r="VCB172" s="125"/>
      <c r="VCC172" s="125"/>
      <c r="VCD172" s="125"/>
      <c r="VCE172" s="125"/>
      <c r="VCF172" s="125"/>
      <c r="VCG172" s="125"/>
      <c r="VCH172" s="125"/>
      <c r="VCI172" s="125"/>
      <c r="VCJ172" s="125"/>
      <c r="VCK172" s="125"/>
      <c r="VCL172" s="125"/>
      <c r="VCM172" s="125"/>
      <c r="VCN172" s="125"/>
      <c r="VCO172" s="125"/>
      <c r="VCP172" s="125"/>
      <c r="VCQ172" s="125"/>
      <c r="VCR172" s="125"/>
      <c r="VCS172" s="125"/>
      <c r="VCT172" s="125"/>
      <c r="VCU172" s="125"/>
      <c r="VCV172" s="125"/>
      <c r="VCW172" s="125"/>
      <c r="VCX172" s="125"/>
      <c r="VCY172" s="125"/>
      <c r="VCZ172" s="125"/>
      <c r="VDA172" s="125"/>
      <c r="VDB172" s="125"/>
      <c r="VDC172" s="125"/>
      <c r="VDD172" s="125"/>
      <c r="VDE172" s="125"/>
      <c r="VDF172" s="125"/>
      <c r="VDG172" s="125"/>
      <c r="VDH172" s="125"/>
      <c r="VDI172" s="125"/>
      <c r="VDJ172" s="125"/>
      <c r="VDK172" s="125"/>
      <c r="VDL172" s="125"/>
      <c r="VDM172" s="125"/>
      <c r="VDN172" s="125"/>
      <c r="VDO172" s="125"/>
      <c r="VDP172" s="125"/>
      <c r="VDQ172" s="125"/>
      <c r="VDR172" s="125"/>
      <c r="VDS172" s="125"/>
      <c r="VDT172" s="125"/>
      <c r="VDU172" s="125"/>
      <c r="VDV172" s="125"/>
      <c r="VDW172" s="125"/>
      <c r="VDX172" s="125"/>
      <c r="VDY172" s="125"/>
      <c r="VDZ172" s="125"/>
      <c r="VEA172" s="125"/>
      <c r="VEB172" s="125"/>
      <c r="VEC172" s="125"/>
      <c r="VED172" s="125"/>
      <c r="VEE172" s="125"/>
      <c r="VEF172" s="125"/>
      <c r="VEG172" s="125"/>
      <c r="VEH172" s="125"/>
      <c r="VEI172" s="125"/>
      <c r="VEJ172" s="125"/>
      <c r="VEK172" s="125"/>
      <c r="VEL172" s="125"/>
      <c r="VEM172" s="125"/>
      <c r="VEN172" s="125"/>
      <c r="VEO172" s="125"/>
      <c r="VEP172" s="125"/>
      <c r="VEQ172" s="125"/>
      <c r="VER172" s="125"/>
      <c r="VES172" s="125"/>
      <c r="VET172" s="125"/>
      <c r="VEU172" s="125"/>
      <c r="VEV172" s="125"/>
      <c r="VEW172" s="125"/>
      <c r="VEX172" s="125"/>
      <c r="VEY172" s="125"/>
      <c r="VEZ172" s="125"/>
      <c r="VFA172" s="125"/>
      <c r="VFB172" s="125"/>
      <c r="VFC172" s="125"/>
      <c r="VFD172" s="125"/>
      <c r="VFE172" s="125"/>
      <c r="VFF172" s="125"/>
      <c r="VFG172" s="125"/>
      <c r="VFH172" s="125"/>
      <c r="VFI172" s="125"/>
      <c r="VFJ172" s="125"/>
      <c r="VFK172" s="125"/>
      <c r="VFL172" s="125"/>
      <c r="VFM172" s="125"/>
      <c r="VFN172" s="125"/>
      <c r="VFO172" s="125"/>
      <c r="VFP172" s="125"/>
      <c r="VFQ172" s="125"/>
      <c r="VFR172" s="125"/>
      <c r="VFS172" s="125"/>
      <c r="VFT172" s="125"/>
      <c r="VFU172" s="125"/>
      <c r="VFV172" s="125"/>
      <c r="VFW172" s="125"/>
      <c r="VFX172" s="125"/>
      <c r="VFY172" s="125"/>
      <c r="VFZ172" s="125"/>
      <c r="VGA172" s="125"/>
      <c r="VGB172" s="125"/>
      <c r="VGC172" s="125"/>
      <c r="VGD172" s="125"/>
      <c r="VGE172" s="125"/>
      <c r="VGF172" s="125"/>
      <c r="VGG172" s="125"/>
      <c r="VGH172" s="125"/>
      <c r="VGI172" s="125"/>
      <c r="VGJ172" s="125"/>
      <c r="VGK172" s="125"/>
      <c r="VGL172" s="125"/>
      <c r="VGM172" s="125"/>
      <c r="VGN172" s="125"/>
      <c r="VGO172" s="125"/>
      <c r="VGP172" s="125"/>
      <c r="VGQ172" s="125"/>
      <c r="VGR172" s="125"/>
      <c r="VGS172" s="125"/>
      <c r="VGT172" s="125"/>
      <c r="VGU172" s="125"/>
      <c r="VGV172" s="125"/>
      <c r="VGW172" s="125"/>
      <c r="VGX172" s="125"/>
      <c r="VGY172" s="125"/>
      <c r="VGZ172" s="125"/>
      <c r="VHA172" s="125"/>
      <c r="VHB172" s="125"/>
      <c r="VHC172" s="125"/>
      <c r="VHD172" s="125"/>
      <c r="VHE172" s="125"/>
      <c r="VHF172" s="125"/>
      <c r="VHG172" s="125"/>
      <c r="VHH172" s="125"/>
      <c r="VHI172" s="125"/>
      <c r="VHJ172" s="125"/>
      <c r="VHK172" s="125"/>
      <c r="VHL172" s="125"/>
      <c r="VHM172" s="125"/>
      <c r="VHN172" s="125"/>
      <c r="VHO172" s="125"/>
      <c r="VHP172" s="125"/>
      <c r="VHQ172" s="125"/>
      <c r="VHR172" s="125"/>
      <c r="VHS172" s="125"/>
      <c r="VHT172" s="125"/>
      <c r="VHU172" s="125"/>
      <c r="VHV172" s="125"/>
      <c r="VHW172" s="125"/>
      <c r="VHX172" s="125"/>
      <c r="VHY172" s="125"/>
      <c r="VHZ172" s="125"/>
      <c r="VIA172" s="125"/>
      <c r="VIB172" s="125"/>
      <c r="VIC172" s="125"/>
      <c r="VID172" s="125"/>
      <c r="VIE172" s="125"/>
      <c r="VIF172" s="125"/>
      <c r="VIG172" s="125"/>
      <c r="VIH172" s="125"/>
      <c r="VII172" s="125"/>
      <c r="VIJ172" s="125"/>
      <c r="VIK172" s="125"/>
      <c r="VIL172" s="125"/>
      <c r="VIM172" s="125"/>
      <c r="VIN172" s="125"/>
      <c r="VIO172" s="125"/>
      <c r="VIP172" s="125"/>
      <c r="VIQ172" s="125"/>
      <c r="VIR172" s="125"/>
      <c r="VIS172" s="125"/>
      <c r="VIT172" s="125"/>
      <c r="VIU172" s="125"/>
      <c r="VIV172" s="125"/>
      <c r="VIW172" s="125"/>
      <c r="VIX172" s="125"/>
      <c r="VIY172" s="125"/>
      <c r="VIZ172" s="125"/>
      <c r="VJA172" s="125"/>
      <c r="VJB172" s="125"/>
      <c r="VJC172" s="125"/>
      <c r="VJD172" s="125"/>
      <c r="VJE172" s="125"/>
      <c r="VJF172" s="125"/>
      <c r="VJG172" s="125"/>
      <c r="VJH172" s="125"/>
      <c r="VJI172" s="125"/>
      <c r="VJJ172" s="125"/>
      <c r="VJK172" s="125"/>
      <c r="VJL172" s="125"/>
      <c r="VJM172" s="125"/>
      <c r="VJN172" s="125"/>
      <c r="VJO172" s="125"/>
      <c r="VJP172" s="125"/>
      <c r="VJQ172" s="125"/>
      <c r="VJR172" s="125"/>
      <c r="VJS172" s="125"/>
      <c r="VJT172" s="125"/>
      <c r="VJU172" s="125"/>
      <c r="VJV172" s="125"/>
      <c r="VJW172" s="125"/>
      <c r="VJX172" s="125"/>
      <c r="VJY172" s="125"/>
      <c r="VJZ172" s="125"/>
      <c r="VKA172" s="125"/>
      <c r="VKB172" s="125"/>
      <c r="VKC172" s="125"/>
      <c r="VKD172" s="125"/>
      <c r="VKE172" s="125"/>
      <c r="VKF172" s="125"/>
      <c r="VKG172" s="125"/>
      <c r="VKH172" s="125"/>
      <c r="VKI172" s="125"/>
      <c r="VKJ172" s="125"/>
      <c r="VKK172" s="125"/>
      <c r="VKL172" s="125"/>
      <c r="VKM172" s="125"/>
      <c r="VKN172" s="125"/>
      <c r="VKO172" s="125"/>
      <c r="VKP172" s="125"/>
      <c r="VKQ172" s="125"/>
      <c r="VKR172" s="125"/>
      <c r="VKS172" s="125"/>
      <c r="VKT172" s="125"/>
      <c r="VKU172" s="125"/>
      <c r="VKV172" s="125"/>
      <c r="VKW172" s="125"/>
      <c r="VKX172" s="125"/>
      <c r="VKY172" s="125"/>
      <c r="VKZ172" s="125"/>
      <c r="VLA172" s="125"/>
      <c r="VLB172" s="125"/>
      <c r="VLC172" s="125"/>
      <c r="VLD172" s="125"/>
      <c r="VLE172" s="125"/>
      <c r="VLF172" s="125"/>
      <c r="VLG172" s="125"/>
      <c r="VLH172" s="125"/>
      <c r="VLI172" s="125"/>
      <c r="VLJ172" s="125"/>
      <c r="VLK172" s="125"/>
      <c r="VLL172" s="125"/>
      <c r="VLM172" s="125"/>
      <c r="VLN172" s="125"/>
      <c r="VLO172" s="125"/>
      <c r="VLP172" s="125"/>
      <c r="VLQ172" s="125"/>
      <c r="VLR172" s="125"/>
      <c r="VLS172" s="125"/>
      <c r="VLT172" s="125"/>
      <c r="VLU172" s="125"/>
      <c r="VLV172" s="125"/>
      <c r="VLW172" s="125"/>
      <c r="VLX172" s="125"/>
      <c r="VLY172" s="125"/>
      <c r="VLZ172" s="125"/>
      <c r="VMA172" s="125"/>
      <c r="VMB172" s="125"/>
      <c r="VMC172" s="125"/>
      <c r="VMD172" s="125"/>
      <c r="VME172" s="125"/>
      <c r="VMF172" s="125"/>
      <c r="VMG172" s="125"/>
      <c r="VMH172" s="125"/>
      <c r="VMI172" s="125"/>
      <c r="VMJ172" s="125"/>
      <c r="VMK172" s="125"/>
      <c r="VML172" s="125"/>
      <c r="VMM172" s="125"/>
      <c r="VMN172" s="125"/>
      <c r="VMO172" s="125"/>
      <c r="VMP172" s="125"/>
      <c r="VMQ172" s="125"/>
      <c r="VMR172" s="125"/>
      <c r="VMS172" s="125"/>
      <c r="VMT172" s="125"/>
      <c r="VMU172" s="125"/>
      <c r="VMV172" s="125"/>
      <c r="VMW172" s="125"/>
      <c r="VMX172" s="125"/>
      <c r="VMY172" s="125"/>
      <c r="VMZ172" s="125"/>
      <c r="VNA172" s="125"/>
      <c r="VNB172" s="125"/>
      <c r="VNC172" s="125"/>
      <c r="VND172" s="125"/>
      <c r="VNE172" s="125"/>
      <c r="VNF172" s="125"/>
      <c r="VNG172" s="125"/>
      <c r="VNH172" s="125"/>
      <c r="VNI172" s="125"/>
      <c r="VNJ172" s="125"/>
      <c r="VNK172" s="125"/>
      <c r="VNL172" s="125"/>
      <c r="VNM172" s="125"/>
      <c r="VNN172" s="125"/>
      <c r="VNO172" s="125"/>
      <c r="VNP172" s="125"/>
      <c r="VNQ172" s="125"/>
      <c r="VNR172" s="125"/>
      <c r="VNS172" s="125"/>
      <c r="VNT172" s="125"/>
      <c r="VNU172" s="125"/>
      <c r="VNV172" s="125"/>
      <c r="VNW172" s="125"/>
      <c r="VNX172" s="125"/>
      <c r="VNY172" s="125"/>
      <c r="VNZ172" s="125"/>
      <c r="VOA172" s="125"/>
      <c r="VOB172" s="125"/>
      <c r="VOC172" s="125"/>
      <c r="VOD172" s="125"/>
      <c r="VOE172" s="125"/>
      <c r="VOF172" s="125"/>
      <c r="VOG172" s="125"/>
      <c r="VOH172" s="125"/>
      <c r="VOI172" s="125"/>
      <c r="VOJ172" s="125"/>
      <c r="VOK172" s="125"/>
      <c r="VOL172" s="125"/>
      <c r="VOM172" s="125"/>
      <c r="VON172" s="125"/>
      <c r="VOO172" s="125"/>
      <c r="VOP172" s="125"/>
      <c r="VOQ172" s="125"/>
      <c r="VOR172" s="125"/>
      <c r="VOS172" s="125"/>
      <c r="VOT172" s="125"/>
      <c r="VOU172" s="125"/>
      <c r="VOV172" s="125"/>
      <c r="VOW172" s="125"/>
      <c r="VOX172" s="125"/>
      <c r="VOY172" s="125"/>
      <c r="VOZ172" s="125"/>
      <c r="VPA172" s="125"/>
      <c r="VPB172" s="125"/>
      <c r="VPC172" s="125"/>
      <c r="VPD172" s="125"/>
      <c r="VPE172" s="125"/>
      <c r="VPF172" s="125"/>
      <c r="VPG172" s="125"/>
      <c r="VPH172" s="125"/>
      <c r="VPI172" s="125"/>
      <c r="VPJ172" s="125"/>
      <c r="VPK172" s="125"/>
      <c r="VPL172" s="125"/>
      <c r="VPM172" s="125"/>
      <c r="VPN172" s="125"/>
      <c r="VPO172" s="125"/>
      <c r="VPP172" s="125"/>
      <c r="VPQ172" s="125"/>
      <c r="VPR172" s="125"/>
      <c r="VPS172" s="125"/>
      <c r="VPT172" s="125"/>
      <c r="VPU172" s="125"/>
      <c r="VPV172" s="125"/>
      <c r="VPW172" s="125"/>
      <c r="VPX172" s="125"/>
      <c r="VPY172" s="125"/>
      <c r="VPZ172" s="125"/>
      <c r="VQA172" s="125"/>
      <c r="VQB172" s="125"/>
      <c r="VQC172" s="125"/>
      <c r="VQD172" s="125"/>
      <c r="VQE172" s="125"/>
      <c r="VQF172" s="125"/>
      <c r="VQG172" s="125"/>
      <c r="VQH172" s="125"/>
      <c r="VQI172" s="125"/>
      <c r="VQJ172" s="125"/>
      <c r="VQK172" s="125"/>
      <c r="VQL172" s="125"/>
      <c r="VQM172" s="125"/>
      <c r="VQN172" s="125"/>
      <c r="VQO172" s="125"/>
      <c r="VQP172" s="125"/>
      <c r="VQQ172" s="125"/>
      <c r="VQR172" s="125"/>
      <c r="VQS172" s="125"/>
      <c r="VQT172" s="125"/>
      <c r="VQU172" s="125"/>
      <c r="VQV172" s="125"/>
      <c r="VQW172" s="125"/>
      <c r="VQX172" s="125"/>
      <c r="VQY172" s="125"/>
      <c r="VQZ172" s="125"/>
      <c r="VRA172" s="125"/>
      <c r="VRB172" s="125"/>
      <c r="VRC172" s="125"/>
      <c r="VRD172" s="125"/>
      <c r="VRE172" s="125"/>
      <c r="VRF172" s="125"/>
      <c r="VRG172" s="125"/>
      <c r="VRH172" s="125"/>
      <c r="VRI172" s="125"/>
      <c r="VRJ172" s="125"/>
      <c r="VRK172" s="125"/>
      <c r="VRL172" s="125"/>
      <c r="VRM172" s="125"/>
      <c r="VRN172" s="125"/>
      <c r="VRO172" s="125"/>
      <c r="VRP172" s="125"/>
      <c r="VRQ172" s="125"/>
      <c r="VRR172" s="125"/>
      <c r="VRS172" s="125"/>
      <c r="VRT172" s="125"/>
      <c r="VRU172" s="125"/>
      <c r="VRV172" s="125"/>
      <c r="VRW172" s="125"/>
      <c r="VRX172" s="125"/>
      <c r="VRY172" s="125"/>
      <c r="VRZ172" s="125"/>
      <c r="VSA172" s="125"/>
      <c r="VSB172" s="125"/>
      <c r="VSC172" s="125"/>
      <c r="VSD172" s="125"/>
      <c r="VSE172" s="125"/>
      <c r="VSF172" s="125"/>
      <c r="VSG172" s="125"/>
      <c r="VSH172" s="125"/>
      <c r="VSI172" s="125"/>
      <c r="VSJ172" s="125"/>
      <c r="VSK172" s="125"/>
      <c r="VSL172" s="125"/>
      <c r="VSM172" s="125"/>
      <c r="VSN172" s="125"/>
      <c r="VSO172" s="125"/>
      <c r="VSP172" s="125"/>
      <c r="VSQ172" s="125"/>
      <c r="VSR172" s="125"/>
      <c r="VSS172" s="125"/>
      <c r="VST172" s="125"/>
      <c r="VSU172" s="125"/>
      <c r="VSV172" s="125"/>
      <c r="VSW172" s="125"/>
      <c r="VSX172" s="125"/>
      <c r="VSY172" s="125"/>
      <c r="VSZ172" s="125"/>
      <c r="VTA172" s="125"/>
      <c r="VTB172" s="125"/>
      <c r="VTC172" s="125"/>
      <c r="VTD172" s="125"/>
      <c r="VTE172" s="125"/>
      <c r="VTF172" s="125"/>
      <c r="VTG172" s="125"/>
      <c r="VTH172" s="125"/>
      <c r="VTI172" s="125"/>
      <c r="VTJ172" s="125"/>
      <c r="VTK172" s="125"/>
      <c r="VTL172" s="125"/>
      <c r="VTM172" s="125"/>
      <c r="VTN172" s="125"/>
      <c r="VTO172" s="125"/>
      <c r="VTP172" s="125"/>
      <c r="VTQ172" s="125"/>
      <c r="VTR172" s="125"/>
      <c r="VTS172" s="125"/>
      <c r="VTT172" s="125"/>
      <c r="VTU172" s="125"/>
      <c r="VTV172" s="125"/>
      <c r="VTW172" s="125"/>
      <c r="VTX172" s="125"/>
      <c r="VTY172" s="125"/>
      <c r="VTZ172" s="125"/>
      <c r="VUA172" s="125"/>
      <c r="VUB172" s="125"/>
      <c r="VUC172" s="125"/>
      <c r="VUD172" s="125"/>
      <c r="VUE172" s="125"/>
      <c r="VUF172" s="125"/>
      <c r="VUG172" s="125"/>
      <c r="VUH172" s="125"/>
      <c r="VUI172" s="125"/>
      <c r="VUJ172" s="125"/>
      <c r="VUK172" s="125"/>
      <c r="VUL172" s="125"/>
      <c r="VUM172" s="125"/>
      <c r="VUN172" s="125"/>
      <c r="VUO172" s="125"/>
      <c r="VUP172" s="125"/>
      <c r="VUQ172" s="125"/>
      <c r="VUR172" s="125"/>
      <c r="VUS172" s="125"/>
      <c r="VUT172" s="125"/>
      <c r="VUU172" s="125"/>
      <c r="VUV172" s="125"/>
      <c r="VUW172" s="125"/>
      <c r="VUX172" s="125"/>
      <c r="VUY172" s="125"/>
      <c r="VUZ172" s="125"/>
      <c r="VVA172" s="125"/>
      <c r="VVB172" s="125"/>
      <c r="VVC172" s="125"/>
      <c r="VVD172" s="125"/>
      <c r="VVE172" s="125"/>
      <c r="VVF172" s="125"/>
      <c r="VVG172" s="125"/>
      <c r="VVH172" s="125"/>
      <c r="VVI172" s="125"/>
      <c r="VVJ172" s="125"/>
      <c r="VVK172" s="125"/>
      <c r="VVL172" s="125"/>
      <c r="VVM172" s="125"/>
      <c r="VVN172" s="125"/>
      <c r="VVO172" s="125"/>
      <c r="VVP172" s="125"/>
      <c r="VVQ172" s="125"/>
      <c r="VVR172" s="125"/>
      <c r="VVS172" s="125"/>
      <c r="VVT172" s="125"/>
      <c r="VVU172" s="125"/>
      <c r="VVV172" s="125"/>
      <c r="VVW172" s="125"/>
      <c r="VVX172" s="125"/>
      <c r="VVY172" s="125"/>
      <c r="VVZ172" s="125"/>
      <c r="VWA172" s="125"/>
      <c r="VWB172" s="125"/>
      <c r="VWC172" s="125"/>
      <c r="VWD172" s="125"/>
      <c r="VWE172" s="125"/>
      <c r="VWF172" s="125"/>
      <c r="VWG172" s="125"/>
      <c r="VWH172" s="125"/>
      <c r="VWI172" s="125"/>
      <c r="VWJ172" s="125"/>
      <c r="VWK172" s="125"/>
      <c r="VWL172" s="125"/>
      <c r="VWM172" s="125"/>
      <c r="VWN172" s="125"/>
      <c r="VWO172" s="125"/>
      <c r="VWP172" s="125"/>
      <c r="VWQ172" s="125"/>
      <c r="VWR172" s="125"/>
      <c r="VWS172" s="125"/>
      <c r="VWT172" s="125"/>
      <c r="VWU172" s="125"/>
      <c r="VWV172" s="125"/>
      <c r="VWW172" s="125"/>
      <c r="VWX172" s="125"/>
      <c r="VWY172" s="125"/>
      <c r="VWZ172" s="125"/>
      <c r="VXA172" s="125"/>
      <c r="VXB172" s="125"/>
      <c r="VXC172" s="125"/>
      <c r="VXD172" s="125"/>
      <c r="VXE172" s="125"/>
      <c r="VXF172" s="125"/>
      <c r="VXG172" s="125"/>
      <c r="VXH172" s="125"/>
      <c r="VXI172" s="125"/>
      <c r="VXJ172" s="125"/>
      <c r="VXK172" s="125"/>
      <c r="VXL172" s="125"/>
      <c r="VXM172" s="125"/>
      <c r="VXN172" s="125"/>
      <c r="VXO172" s="125"/>
      <c r="VXP172" s="125"/>
      <c r="VXQ172" s="125"/>
      <c r="VXR172" s="125"/>
      <c r="VXS172" s="125"/>
      <c r="VXT172" s="125"/>
      <c r="VXU172" s="125"/>
      <c r="VXV172" s="125"/>
      <c r="VXW172" s="125"/>
      <c r="VXX172" s="125"/>
      <c r="VXY172" s="125"/>
      <c r="VXZ172" s="125"/>
      <c r="VYA172" s="125"/>
      <c r="VYB172" s="125"/>
      <c r="VYC172" s="125"/>
      <c r="VYD172" s="125"/>
      <c r="VYE172" s="125"/>
      <c r="VYF172" s="125"/>
      <c r="VYG172" s="125"/>
      <c r="VYH172" s="125"/>
      <c r="VYI172" s="125"/>
      <c r="VYJ172" s="125"/>
      <c r="VYK172" s="125"/>
      <c r="VYL172" s="125"/>
      <c r="VYM172" s="125"/>
      <c r="VYN172" s="125"/>
      <c r="VYO172" s="125"/>
      <c r="VYP172" s="125"/>
      <c r="VYQ172" s="125"/>
      <c r="VYR172" s="125"/>
      <c r="VYS172" s="125"/>
      <c r="VYT172" s="125"/>
      <c r="VYU172" s="125"/>
      <c r="VYV172" s="125"/>
      <c r="VYW172" s="125"/>
      <c r="VYX172" s="125"/>
      <c r="VYY172" s="125"/>
      <c r="VYZ172" s="125"/>
      <c r="VZA172" s="125"/>
      <c r="VZB172" s="125"/>
      <c r="VZC172" s="125"/>
      <c r="VZD172" s="125"/>
      <c r="VZE172" s="125"/>
      <c r="VZF172" s="125"/>
      <c r="VZG172" s="125"/>
      <c r="VZH172" s="125"/>
      <c r="VZI172" s="125"/>
      <c r="VZJ172" s="125"/>
      <c r="VZK172" s="125"/>
      <c r="VZL172" s="125"/>
      <c r="VZM172" s="125"/>
      <c r="VZN172" s="125"/>
      <c r="VZO172" s="125"/>
      <c r="VZP172" s="125"/>
      <c r="VZQ172" s="125"/>
      <c r="VZR172" s="125"/>
      <c r="VZS172" s="125"/>
      <c r="VZT172" s="125"/>
      <c r="VZU172" s="125"/>
      <c r="VZV172" s="125"/>
      <c r="VZW172" s="125"/>
      <c r="VZX172" s="125"/>
      <c r="VZY172" s="125"/>
      <c r="VZZ172" s="125"/>
      <c r="WAA172" s="125"/>
      <c r="WAB172" s="125"/>
      <c r="WAC172" s="125"/>
      <c r="WAD172" s="125"/>
      <c r="WAE172" s="125"/>
      <c r="WAF172" s="125"/>
      <c r="WAG172" s="125"/>
      <c r="WAH172" s="125"/>
      <c r="WAI172" s="125"/>
      <c r="WAJ172" s="125"/>
      <c r="WAK172" s="125"/>
      <c r="WAL172" s="125"/>
      <c r="WAM172" s="125"/>
      <c r="WAN172" s="125"/>
      <c r="WAO172" s="125"/>
      <c r="WAP172" s="125"/>
      <c r="WAQ172" s="125"/>
      <c r="WAR172" s="125"/>
      <c r="WAS172" s="125"/>
      <c r="WAT172" s="125"/>
      <c r="WAU172" s="125"/>
      <c r="WAV172" s="125"/>
      <c r="WAW172" s="125"/>
      <c r="WAX172" s="125"/>
      <c r="WAY172" s="125"/>
      <c r="WAZ172" s="125"/>
      <c r="WBA172" s="125"/>
      <c r="WBB172" s="125"/>
      <c r="WBC172" s="125"/>
      <c r="WBD172" s="125"/>
      <c r="WBE172" s="125"/>
      <c r="WBF172" s="125"/>
      <c r="WBG172" s="125"/>
      <c r="WBH172" s="125"/>
      <c r="WBI172" s="125"/>
      <c r="WBJ172" s="125"/>
      <c r="WBK172" s="125"/>
      <c r="WBL172" s="125"/>
      <c r="WBM172" s="125"/>
      <c r="WBN172" s="125"/>
      <c r="WBO172" s="125"/>
      <c r="WBP172" s="125"/>
      <c r="WBQ172" s="125"/>
      <c r="WBR172" s="125"/>
      <c r="WBS172" s="125"/>
      <c r="WBT172" s="125"/>
      <c r="WBU172" s="125"/>
      <c r="WBV172" s="125"/>
      <c r="WBW172" s="125"/>
      <c r="WBX172" s="125"/>
      <c r="WBY172" s="125"/>
      <c r="WBZ172" s="125"/>
      <c r="WCA172" s="125"/>
      <c r="WCB172" s="125"/>
      <c r="WCC172" s="125"/>
      <c r="WCD172" s="125"/>
      <c r="WCE172" s="125"/>
      <c r="WCF172" s="125"/>
      <c r="WCG172" s="125"/>
      <c r="WCH172" s="125"/>
      <c r="WCI172" s="125"/>
      <c r="WCJ172" s="125"/>
      <c r="WCK172" s="125"/>
      <c r="WCL172" s="125"/>
      <c r="WCM172" s="125"/>
      <c r="WCN172" s="125"/>
      <c r="WCO172" s="125"/>
      <c r="WCP172" s="125"/>
      <c r="WCQ172" s="125"/>
      <c r="WCR172" s="125"/>
      <c r="WCS172" s="125"/>
      <c r="WCT172" s="125"/>
      <c r="WCU172" s="125"/>
      <c r="WCV172" s="125"/>
      <c r="WCW172" s="125"/>
      <c r="WCX172" s="125"/>
      <c r="WCY172" s="125"/>
      <c r="WCZ172" s="125"/>
      <c r="WDA172" s="125"/>
      <c r="WDB172" s="125"/>
      <c r="WDC172" s="125"/>
      <c r="WDD172" s="125"/>
      <c r="WDE172" s="125"/>
      <c r="WDF172" s="125"/>
      <c r="WDG172" s="125"/>
      <c r="WDH172" s="125"/>
      <c r="WDI172" s="125"/>
      <c r="WDJ172" s="125"/>
      <c r="WDK172" s="125"/>
      <c r="WDL172" s="125"/>
      <c r="WDM172" s="125"/>
      <c r="WDN172" s="125"/>
      <c r="WDO172" s="125"/>
      <c r="WDP172" s="125"/>
      <c r="WDQ172" s="125"/>
      <c r="WDR172" s="125"/>
      <c r="WDS172" s="125"/>
      <c r="WDT172" s="125"/>
      <c r="WDU172" s="125"/>
      <c r="WDV172" s="125"/>
      <c r="WDW172" s="125"/>
      <c r="WDX172" s="125"/>
      <c r="WDY172" s="125"/>
      <c r="WDZ172" s="125"/>
      <c r="WEA172" s="125"/>
      <c r="WEB172" s="125"/>
      <c r="WEC172" s="125"/>
      <c r="WED172" s="125"/>
      <c r="WEE172" s="125"/>
      <c r="WEF172" s="125"/>
      <c r="WEG172" s="125"/>
      <c r="WEH172" s="125"/>
      <c r="WEI172" s="125"/>
      <c r="WEJ172" s="125"/>
      <c r="WEK172" s="125"/>
      <c r="WEL172" s="125"/>
      <c r="WEM172" s="125"/>
      <c r="WEN172" s="125"/>
      <c r="WEO172" s="125"/>
      <c r="WEP172" s="125"/>
      <c r="WEQ172" s="125"/>
      <c r="WER172" s="125"/>
      <c r="WES172" s="125"/>
      <c r="WET172" s="125"/>
      <c r="WEU172" s="125"/>
      <c r="WEV172" s="125"/>
      <c r="WEW172" s="125"/>
      <c r="WEX172" s="125"/>
      <c r="WEY172" s="125"/>
      <c r="WEZ172" s="125"/>
      <c r="WFA172" s="125"/>
      <c r="WFB172" s="125"/>
      <c r="WFC172" s="125"/>
      <c r="WFD172" s="125"/>
      <c r="WFE172" s="125"/>
      <c r="WFF172" s="125"/>
      <c r="WFG172" s="125"/>
      <c r="WFH172" s="125"/>
      <c r="WFI172" s="125"/>
      <c r="WFJ172" s="125"/>
      <c r="WFK172" s="125"/>
      <c r="WFL172" s="125"/>
      <c r="WFM172" s="125"/>
      <c r="WFN172" s="125"/>
      <c r="WFO172" s="125"/>
      <c r="WFP172" s="125"/>
      <c r="WFQ172" s="125"/>
      <c r="WFR172" s="125"/>
      <c r="WFS172" s="125"/>
      <c r="WFT172" s="125"/>
      <c r="WFU172" s="125"/>
      <c r="WFV172" s="125"/>
      <c r="WFW172" s="125"/>
      <c r="WFX172" s="125"/>
      <c r="WFY172" s="125"/>
      <c r="WFZ172" s="125"/>
      <c r="WGA172" s="125"/>
      <c r="WGB172" s="125"/>
      <c r="WGC172" s="125"/>
      <c r="WGD172" s="125"/>
      <c r="WGE172" s="125"/>
      <c r="WGF172" s="125"/>
      <c r="WGG172" s="125"/>
      <c r="WGH172" s="125"/>
      <c r="WGI172" s="125"/>
      <c r="WGJ172" s="125"/>
      <c r="WGK172" s="125"/>
      <c r="WGL172" s="125"/>
      <c r="WGM172" s="125"/>
      <c r="WGN172" s="125"/>
      <c r="WGO172" s="125"/>
      <c r="WGP172" s="125"/>
      <c r="WGQ172" s="125"/>
      <c r="WGR172" s="125"/>
      <c r="WGS172" s="125"/>
      <c r="WGT172" s="125"/>
      <c r="WGU172" s="125"/>
      <c r="WGV172" s="125"/>
      <c r="WGW172" s="125"/>
      <c r="WGX172" s="125"/>
      <c r="WGY172" s="125"/>
      <c r="WGZ172" s="125"/>
      <c r="WHA172" s="125"/>
      <c r="WHB172" s="125"/>
      <c r="WHC172" s="125"/>
      <c r="WHD172" s="125"/>
      <c r="WHE172" s="125"/>
      <c r="WHF172" s="125"/>
      <c r="WHG172" s="125"/>
      <c r="WHH172" s="125"/>
      <c r="WHI172" s="125"/>
      <c r="WHJ172" s="125"/>
      <c r="WHK172" s="125"/>
      <c r="WHL172" s="125"/>
      <c r="WHM172" s="125"/>
      <c r="WHN172" s="125"/>
      <c r="WHO172" s="125"/>
      <c r="WHP172" s="125"/>
      <c r="WHQ172" s="125"/>
      <c r="WHR172" s="125"/>
      <c r="WHS172" s="125"/>
      <c r="WHT172" s="125"/>
      <c r="WHU172" s="125"/>
      <c r="WHV172" s="125"/>
      <c r="WHW172" s="125"/>
      <c r="WHX172" s="125"/>
      <c r="WHY172" s="125"/>
      <c r="WHZ172" s="125"/>
      <c r="WIA172" s="125"/>
      <c r="WIB172" s="125"/>
      <c r="WIC172" s="125"/>
      <c r="WID172" s="125"/>
      <c r="WIE172" s="125"/>
      <c r="WIF172" s="125"/>
      <c r="WIG172" s="125"/>
      <c r="WIH172" s="125"/>
      <c r="WII172" s="125"/>
      <c r="WIJ172" s="125"/>
      <c r="WIK172" s="125"/>
      <c r="WIL172" s="125"/>
      <c r="WIM172" s="125"/>
      <c r="WIN172" s="125"/>
      <c r="WIO172" s="125"/>
      <c r="WIP172" s="125"/>
      <c r="WIQ172" s="125"/>
      <c r="WIR172" s="125"/>
      <c r="WIS172" s="125"/>
      <c r="WIT172" s="125"/>
      <c r="WIU172" s="125"/>
      <c r="WIV172" s="125"/>
      <c r="WIW172" s="125"/>
      <c r="WIX172" s="125"/>
      <c r="WIY172" s="125"/>
      <c r="WIZ172" s="125"/>
      <c r="WJA172" s="125"/>
      <c r="WJB172" s="125"/>
      <c r="WJC172" s="125"/>
      <c r="WJD172" s="125"/>
      <c r="WJE172" s="125"/>
      <c r="WJF172" s="125"/>
      <c r="WJG172" s="125"/>
      <c r="WJH172" s="125"/>
      <c r="WJI172" s="125"/>
      <c r="WJJ172" s="125"/>
      <c r="WJK172" s="125"/>
      <c r="WJL172" s="125"/>
      <c r="WJM172" s="125"/>
      <c r="WJN172" s="125"/>
      <c r="WJO172" s="125"/>
      <c r="WJP172" s="125"/>
      <c r="WJQ172" s="125"/>
      <c r="WJR172" s="125"/>
      <c r="WJS172" s="125"/>
      <c r="WJT172" s="125"/>
      <c r="WJU172" s="125"/>
      <c r="WJV172" s="125"/>
      <c r="WJW172" s="125"/>
      <c r="WJX172" s="125"/>
      <c r="WJY172" s="125"/>
      <c r="WJZ172" s="125"/>
      <c r="WKA172" s="125"/>
      <c r="WKB172" s="125"/>
      <c r="WKC172" s="125"/>
      <c r="WKD172" s="125"/>
      <c r="WKE172" s="125"/>
      <c r="WKF172" s="125"/>
      <c r="WKG172" s="125"/>
      <c r="WKH172" s="125"/>
      <c r="WKI172" s="125"/>
      <c r="WKJ172" s="125"/>
      <c r="WKK172" s="125"/>
      <c r="WKL172" s="125"/>
      <c r="WKM172" s="125"/>
      <c r="WKN172" s="125"/>
      <c r="WKO172" s="125"/>
      <c r="WKP172" s="125"/>
      <c r="WKQ172" s="125"/>
      <c r="WKR172" s="125"/>
      <c r="WKS172" s="125"/>
      <c r="WKT172" s="125"/>
      <c r="WKU172" s="125"/>
      <c r="WKV172" s="125"/>
      <c r="WKW172" s="125"/>
      <c r="WKX172" s="125"/>
      <c r="WKY172" s="125"/>
      <c r="WKZ172" s="125"/>
      <c r="WLA172" s="125"/>
      <c r="WLB172" s="125"/>
      <c r="WLC172" s="125"/>
      <c r="WLD172" s="125"/>
      <c r="WLE172" s="125"/>
      <c r="WLF172" s="125"/>
      <c r="WLG172" s="125"/>
      <c r="WLH172" s="125"/>
      <c r="WLI172" s="125"/>
      <c r="WLJ172" s="125"/>
      <c r="WLK172" s="125"/>
      <c r="WLL172" s="125"/>
      <c r="WLM172" s="125"/>
      <c r="WLN172" s="125"/>
      <c r="WLO172" s="125"/>
      <c r="WLP172" s="125"/>
      <c r="WLQ172" s="125"/>
      <c r="WLR172" s="125"/>
      <c r="WLS172" s="125"/>
      <c r="WLT172" s="125"/>
      <c r="WLU172" s="125"/>
      <c r="WLV172" s="125"/>
      <c r="WLW172" s="125"/>
      <c r="WLX172" s="125"/>
      <c r="WLY172" s="125"/>
      <c r="WLZ172" s="125"/>
      <c r="WMA172" s="125"/>
      <c r="WMB172" s="125"/>
      <c r="WMC172" s="125"/>
      <c r="WMD172" s="125"/>
      <c r="WME172" s="125"/>
      <c r="WMF172" s="125"/>
      <c r="WMG172" s="125"/>
      <c r="WMH172" s="125"/>
      <c r="WMI172" s="125"/>
      <c r="WMJ172" s="125"/>
      <c r="WMK172" s="125"/>
      <c r="WML172" s="125"/>
      <c r="WMM172" s="125"/>
      <c r="WMN172" s="125"/>
      <c r="WMO172" s="125"/>
      <c r="WMP172" s="125"/>
      <c r="WMQ172" s="125"/>
      <c r="WMR172" s="125"/>
      <c r="WMS172" s="125"/>
      <c r="WMT172" s="125"/>
      <c r="WMU172" s="125"/>
      <c r="WMV172" s="125"/>
      <c r="WMW172" s="125"/>
      <c r="WMX172" s="125"/>
      <c r="WMY172" s="125"/>
      <c r="WMZ172" s="125"/>
      <c r="WNA172" s="125"/>
      <c r="WNB172" s="125"/>
      <c r="WNC172" s="125"/>
      <c r="WND172" s="125"/>
      <c r="WNE172" s="125"/>
      <c r="WNF172" s="125"/>
      <c r="WNG172" s="125"/>
      <c r="WNH172" s="125"/>
      <c r="WNI172" s="125"/>
      <c r="WNJ172" s="125"/>
      <c r="WNK172" s="125"/>
      <c r="WNL172" s="125"/>
      <c r="WNM172" s="125"/>
      <c r="WNN172" s="125"/>
      <c r="WNO172" s="125"/>
      <c r="WNP172" s="125"/>
      <c r="WNQ172" s="125"/>
      <c r="WNR172" s="125"/>
      <c r="WNS172" s="125"/>
      <c r="WNT172" s="125"/>
      <c r="WNU172" s="125"/>
      <c r="WNV172" s="125"/>
      <c r="WNW172" s="125"/>
      <c r="WNX172" s="125"/>
      <c r="WNY172" s="125"/>
      <c r="WNZ172" s="125"/>
      <c r="WOA172" s="125"/>
      <c r="WOB172" s="125"/>
      <c r="WOC172" s="125"/>
      <c r="WOD172" s="125"/>
      <c r="WOE172" s="125"/>
      <c r="WOF172" s="125"/>
      <c r="WOG172" s="125"/>
      <c r="WOH172" s="125"/>
      <c r="WOI172" s="125"/>
      <c r="WOJ172" s="125"/>
      <c r="WOK172" s="125"/>
      <c r="WOL172" s="125"/>
      <c r="WOM172" s="125"/>
      <c r="WON172" s="125"/>
      <c r="WOO172" s="125"/>
      <c r="WOP172" s="125"/>
      <c r="WOQ172" s="125"/>
      <c r="WOR172" s="125"/>
      <c r="WOS172" s="125"/>
      <c r="WOT172" s="125"/>
      <c r="WOU172" s="125"/>
      <c r="WOV172" s="125"/>
      <c r="WOW172" s="125"/>
      <c r="WOX172" s="125"/>
      <c r="WOY172" s="125"/>
      <c r="WOZ172" s="125"/>
      <c r="WPA172" s="125"/>
      <c r="WPB172" s="125"/>
      <c r="WPC172" s="125"/>
      <c r="WPD172" s="125"/>
      <c r="WPE172" s="125"/>
      <c r="WPF172" s="125"/>
      <c r="WPG172" s="125"/>
      <c r="WPH172" s="125"/>
      <c r="WPI172" s="125"/>
      <c r="WPJ172" s="125"/>
      <c r="WPK172" s="125"/>
      <c r="WPL172" s="125"/>
      <c r="WPM172" s="125"/>
      <c r="WPN172" s="125"/>
      <c r="WPO172" s="125"/>
      <c r="WPP172" s="125"/>
      <c r="WPQ172" s="125"/>
      <c r="WPR172" s="125"/>
      <c r="WPS172" s="125"/>
      <c r="WPT172" s="125"/>
      <c r="WPU172" s="125"/>
      <c r="WPV172" s="125"/>
      <c r="WPW172" s="125"/>
      <c r="WPX172" s="125"/>
      <c r="WPY172" s="125"/>
      <c r="WPZ172" s="125"/>
      <c r="WQA172" s="125"/>
      <c r="WQB172" s="125"/>
      <c r="WQC172" s="125"/>
      <c r="WQD172" s="125"/>
      <c r="WQE172" s="125"/>
      <c r="WQF172" s="125"/>
      <c r="WQG172" s="125"/>
      <c r="WQH172" s="125"/>
      <c r="WQI172" s="125"/>
      <c r="WQJ172" s="125"/>
      <c r="WQK172" s="125"/>
      <c r="WQL172" s="125"/>
      <c r="WQM172" s="125"/>
      <c r="WQN172" s="125"/>
      <c r="WQO172" s="125"/>
      <c r="WQP172" s="125"/>
      <c r="WQQ172" s="125"/>
      <c r="WQR172" s="125"/>
      <c r="WQS172" s="125"/>
      <c r="WQT172" s="125"/>
      <c r="WQU172" s="125"/>
      <c r="WQV172" s="125"/>
      <c r="WQW172" s="125"/>
      <c r="WQX172" s="125"/>
      <c r="WQY172" s="125"/>
      <c r="WQZ172" s="125"/>
      <c r="WRA172" s="125"/>
      <c r="WRB172" s="125"/>
      <c r="WRC172" s="125"/>
      <c r="WRD172" s="125"/>
      <c r="WRE172" s="125"/>
      <c r="WRF172" s="125"/>
      <c r="WRG172" s="125"/>
      <c r="WRH172" s="125"/>
      <c r="WRI172" s="125"/>
      <c r="WRJ172" s="125"/>
      <c r="WRK172" s="125"/>
      <c r="WRL172" s="125"/>
      <c r="WRM172" s="125"/>
      <c r="WRN172" s="125"/>
      <c r="WRO172" s="125"/>
      <c r="WRP172" s="125"/>
      <c r="WRQ172" s="125"/>
      <c r="WRR172" s="125"/>
      <c r="WRS172" s="125"/>
      <c r="WRT172" s="125"/>
      <c r="WRU172" s="125"/>
      <c r="WRV172" s="125"/>
      <c r="WRW172" s="125"/>
      <c r="WRX172" s="125"/>
      <c r="WRY172" s="125"/>
      <c r="WRZ172" s="125"/>
      <c r="WSA172" s="125"/>
      <c r="WSB172" s="125"/>
      <c r="WSC172" s="125"/>
      <c r="WSD172" s="125"/>
      <c r="WSE172" s="125"/>
      <c r="WSF172" s="125"/>
      <c r="WSG172" s="125"/>
      <c r="WSH172" s="125"/>
      <c r="WSI172" s="125"/>
      <c r="WSJ172" s="125"/>
      <c r="WSK172" s="125"/>
      <c r="WSL172" s="125"/>
      <c r="WSM172" s="125"/>
      <c r="WSN172" s="125"/>
      <c r="WSO172" s="125"/>
      <c r="WSP172" s="125"/>
      <c r="WSQ172" s="125"/>
      <c r="WSR172" s="125"/>
      <c r="WSS172" s="125"/>
      <c r="WST172" s="125"/>
      <c r="WSU172" s="125"/>
      <c r="WSV172" s="125"/>
      <c r="WSW172" s="125"/>
      <c r="WSX172" s="125"/>
      <c r="WSY172" s="125"/>
      <c r="WSZ172" s="125"/>
      <c r="WTA172" s="125"/>
      <c r="WTB172" s="125"/>
      <c r="WTC172" s="125"/>
      <c r="WTD172" s="125"/>
      <c r="WTE172" s="125"/>
      <c r="WTF172" s="125"/>
      <c r="WTG172" s="125"/>
      <c r="WTH172" s="125"/>
      <c r="WTI172" s="125"/>
      <c r="WTJ172" s="125"/>
      <c r="WTK172" s="125"/>
      <c r="WTL172" s="125"/>
      <c r="WTM172" s="125"/>
      <c r="WTN172" s="125"/>
      <c r="WTO172" s="125"/>
      <c r="WTP172" s="125"/>
      <c r="WTQ172" s="125"/>
      <c r="WTR172" s="125"/>
      <c r="WTS172" s="125"/>
      <c r="WTT172" s="125"/>
      <c r="WTU172" s="125"/>
      <c r="WTV172" s="125"/>
      <c r="WTW172" s="125"/>
      <c r="WTX172" s="125"/>
      <c r="WTY172" s="125"/>
      <c r="WTZ172" s="125"/>
      <c r="WUA172" s="125"/>
      <c r="WUB172" s="125"/>
      <c r="WUC172" s="125"/>
      <c r="WUD172" s="125"/>
      <c r="WUE172" s="125"/>
      <c r="WUF172" s="125"/>
      <c r="WUG172" s="125"/>
      <c r="WUH172" s="125"/>
      <c r="WUI172" s="125"/>
      <c r="WUJ172" s="125"/>
      <c r="WUK172" s="125"/>
      <c r="WUL172" s="125"/>
      <c r="WUM172" s="125"/>
      <c r="WUN172" s="125"/>
      <c r="WUO172" s="125"/>
      <c r="WUP172" s="125"/>
      <c r="WUQ172" s="125"/>
      <c r="WUR172" s="125"/>
      <c r="WUS172" s="125"/>
      <c r="WUT172" s="125"/>
      <c r="WUU172" s="125"/>
      <c r="WUV172" s="125"/>
      <c r="WUW172" s="125"/>
      <c r="WUX172" s="125"/>
      <c r="WUY172" s="125"/>
      <c r="WUZ172" s="125"/>
      <c r="WVA172" s="125"/>
      <c r="WVB172" s="125"/>
      <c r="WVC172" s="125"/>
      <c r="WVD172" s="125"/>
      <c r="WVE172" s="125"/>
      <c r="WVF172" s="125"/>
      <c r="WVG172" s="125"/>
      <c r="WVH172" s="125"/>
      <c r="WVI172" s="125"/>
      <c r="WVJ172" s="125"/>
      <c r="WVK172" s="125"/>
      <c r="WVL172" s="125"/>
      <c r="WVM172" s="125"/>
      <c r="WVN172" s="125"/>
      <c r="WVO172" s="125"/>
      <c r="WVP172" s="125"/>
      <c r="WVQ172" s="125"/>
      <c r="WVR172" s="125"/>
      <c r="WVS172" s="125"/>
      <c r="WVT172" s="125"/>
      <c r="WVU172" s="125"/>
      <c r="WVV172" s="125"/>
      <c r="WVW172" s="125"/>
      <c r="WVX172" s="125"/>
      <c r="WVY172" s="125"/>
      <c r="WVZ172" s="125"/>
      <c r="WWA172" s="125"/>
      <c r="WWB172" s="125"/>
      <c r="WWC172" s="125"/>
      <c r="WWD172" s="125"/>
      <c r="WWE172" s="125"/>
      <c r="WWF172" s="125"/>
      <c r="WWG172" s="125"/>
      <c r="WWH172" s="125"/>
      <c r="WWI172" s="125"/>
      <c r="WWJ172" s="125"/>
      <c r="WWK172" s="125"/>
      <c r="WWL172" s="125"/>
      <c r="WWM172" s="125"/>
      <c r="WWN172" s="125"/>
      <c r="WWO172" s="125"/>
      <c r="WWP172" s="125"/>
      <c r="WWQ172" s="125"/>
      <c r="WWR172" s="125"/>
      <c r="WWS172" s="125"/>
      <c r="WWT172" s="125"/>
      <c r="WWU172" s="125"/>
      <c r="WWV172" s="125"/>
      <c r="WWW172" s="125"/>
      <c r="WWX172" s="125"/>
      <c r="WWY172" s="125"/>
      <c r="WWZ172" s="125"/>
      <c r="WXA172" s="125"/>
      <c r="WXB172" s="125"/>
      <c r="WXC172" s="125"/>
      <c r="WXD172" s="125"/>
      <c r="WXE172" s="125"/>
      <c r="WXF172" s="125"/>
      <c r="WXG172" s="125"/>
      <c r="WXH172" s="125"/>
      <c r="WXI172" s="125"/>
      <c r="WXJ172" s="125"/>
      <c r="WXK172" s="125"/>
      <c r="WXL172" s="125"/>
      <c r="WXM172" s="125"/>
      <c r="WXN172" s="125"/>
      <c r="WXO172" s="125"/>
      <c r="WXP172" s="125"/>
      <c r="WXQ172" s="125"/>
      <c r="WXR172" s="125"/>
      <c r="WXS172" s="125"/>
      <c r="WXT172" s="125"/>
      <c r="WXU172" s="125"/>
      <c r="WXV172" s="125"/>
      <c r="WXW172" s="125"/>
      <c r="WXX172" s="125"/>
      <c r="WXY172" s="125"/>
      <c r="WXZ172" s="125"/>
      <c r="WYA172" s="125"/>
      <c r="WYB172" s="125"/>
      <c r="WYC172" s="125"/>
      <c r="WYD172" s="125"/>
      <c r="WYE172" s="125"/>
      <c r="WYF172" s="125"/>
      <c r="WYG172" s="125"/>
      <c r="WYH172" s="125"/>
      <c r="WYI172" s="125"/>
      <c r="WYJ172" s="125"/>
      <c r="WYK172" s="125"/>
      <c r="WYL172" s="125"/>
      <c r="WYM172" s="125"/>
      <c r="WYN172" s="125"/>
      <c r="WYO172" s="125"/>
      <c r="WYP172" s="125"/>
      <c r="WYQ172" s="125"/>
      <c r="WYR172" s="125"/>
      <c r="WYS172" s="125"/>
      <c r="WYT172" s="125"/>
      <c r="WYU172" s="125"/>
      <c r="WYV172" s="125"/>
      <c r="WYW172" s="125"/>
      <c r="WYX172" s="125"/>
      <c r="WYY172" s="125"/>
      <c r="WYZ172" s="125"/>
      <c r="WZA172" s="125"/>
      <c r="WZB172" s="125"/>
      <c r="WZC172" s="125"/>
      <c r="WZD172" s="125"/>
      <c r="WZE172" s="125"/>
      <c r="WZF172" s="125"/>
      <c r="WZG172" s="125"/>
      <c r="WZH172" s="125"/>
      <c r="WZI172" s="125"/>
      <c r="WZJ172" s="125"/>
      <c r="WZK172" s="125"/>
      <c r="WZL172" s="125"/>
      <c r="WZM172" s="125"/>
      <c r="WZN172" s="125"/>
      <c r="WZO172" s="125"/>
      <c r="WZP172" s="125"/>
      <c r="WZQ172" s="125"/>
      <c r="WZR172" s="125"/>
      <c r="WZS172" s="125"/>
      <c r="WZT172" s="125"/>
      <c r="WZU172" s="125"/>
      <c r="WZV172" s="125"/>
      <c r="WZW172" s="125"/>
      <c r="WZX172" s="125"/>
      <c r="WZY172" s="125"/>
      <c r="WZZ172" s="125"/>
      <c r="XAA172" s="125"/>
      <c r="XAB172" s="125"/>
      <c r="XAC172" s="125"/>
      <c r="XAD172" s="125"/>
      <c r="XAE172" s="125"/>
      <c r="XAF172" s="125"/>
      <c r="XAG172" s="125"/>
      <c r="XAH172" s="125"/>
      <c r="XAI172" s="125"/>
      <c r="XAJ172" s="125"/>
      <c r="XAK172" s="125"/>
      <c r="XAL172" s="125"/>
      <c r="XAM172" s="125"/>
      <c r="XAN172" s="125"/>
      <c r="XAO172" s="125"/>
      <c r="XAP172" s="125"/>
      <c r="XAQ172" s="125"/>
      <c r="XAR172" s="125"/>
      <c r="XAS172" s="125"/>
      <c r="XAT172" s="125"/>
      <c r="XAU172" s="125"/>
      <c r="XAV172" s="125"/>
      <c r="XAW172" s="125"/>
      <c r="XAX172" s="125"/>
      <c r="XAY172" s="125"/>
      <c r="XAZ172" s="125"/>
      <c r="XBA172" s="125"/>
      <c r="XBB172" s="125"/>
      <c r="XBC172" s="125"/>
      <c r="XBD172" s="125"/>
      <c r="XBE172" s="125"/>
      <c r="XBF172" s="125"/>
      <c r="XBG172" s="125"/>
      <c r="XBH172" s="125"/>
      <c r="XBI172" s="125"/>
      <c r="XBJ172" s="125"/>
      <c r="XBK172" s="125"/>
      <c r="XBL172" s="125"/>
      <c r="XBM172" s="125"/>
      <c r="XBN172" s="125"/>
      <c r="XBO172" s="125"/>
      <c r="XBP172" s="125"/>
      <c r="XBQ172" s="125"/>
      <c r="XBR172" s="125"/>
      <c r="XBS172" s="125"/>
      <c r="XBT172" s="125"/>
      <c r="XBU172" s="125"/>
      <c r="XBV172" s="125"/>
      <c r="XBW172" s="125"/>
      <c r="XBX172" s="125"/>
      <c r="XBY172" s="125"/>
      <c r="XBZ172" s="125"/>
      <c r="XCA172" s="125"/>
      <c r="XCB172" s="125"/>
      <c r="XCC172" s="125"/>
      <c r="XCD172" s="125"/>
      <c r="XCE172" s="125"/>
      <c r="XCF172" s="125"/>
      <c r="XCG172" s="125"/>
      <c r="XCH172" s="125"/>
      <c r="XCI172" s="125"/>
      <c r="XCJ172" s="125"/>
      <c r="XCK172" s="125"/>
      <c r="XCL172" s="125"/>
      <c r="XCM172" s="125"/>
      <c r="XCN172" s="125"/>
      <c r="XCO172" s="125"/>
      <c r="XCP172" s="125"/>
      <c r="XCQ172" s="125"/>
      <c r="XCR172" s="125"/>
      <c r="XCS172" s="125"/>
      <c r="XCT172" s="125"/>
      <c r="XCU172" s="125"/>
      <c r="XCV172" s="125"/>
      <c r="XCW172" s="125"/>
      <c r="XCX172" s="125"/>
      <c r="XCY172" s="125"/>
      <c r="XCZ172" s="125"/>
      <c r="XDA172" s="125"/>
      <c r="XDB172" s="125"/>
      <c r="XDC172" s="125"/>
      <c r="XDD172" s="125"/>
      <c r="XDE172" s="125"/>
      <c r="XDF172" s="125"/>
      <c r="XDG172" s="125"/>
      <c r="XDH172" s="125"/>
      <c r="XDI172" s="125"/>
      <c r="XDJ172" s="125"/>
      <c r="XDK172" s="125"/>
      <c r="XDL172" s="125"/>
      <c r="XDM172" s="125"/>
      <c r="XDN172" s="125"/>
      <c r="XDO172" s="125"/>
      <c r="XDP172" s="125"/>
      <c r="XDQ172" s="125"/>
      <c r="XDR172" s="125"/>
      <c r="XDS172" s="125"/>
      <c r="XDT172" s="125"/>
      <c r="XDU172" s="125"/>
      <c r="XDV172" s="125"/>
      <c r="XDW172" s="125"/>
      <c r="XDX172" s="125"/>
      <c r="XDY172" s="125"/>
      <c r="XDZ172" s="125"/>
      <c r="XEA172" s="125"/>
      <c r="XEB172" s="125"/>
      <c r="XEC172" s="125"/>
      <c r="XED172" s="125"/>
      <c r="XEE172" s="125"/>
      <c r="XEF172" s="125"/>
      <c r="XEG172" s="125"/>
      <c r="XEH172" s="125"/>
      <c r="XEI172" s="125"/>
      <c r="XEJ172" s="125"/>
      <c r="XEK172" s="125"/>
      <c r="XEL172" s="125"/>
      <c r="XEM172" s="125"/>
      <c r="XEN172" s="125"/>
      <c r="XEO172" s="125"/>
      <c r="XEP172" s="125"/>
      <c r="XEQ172" s="125"/>
      <c r="XER172" s="125"/>
      <c r="XES172" s="125"/>
      <c r="XET172" s="125"/>
      <c r="XEU172" s="125"/>
      <c r="XEV172" s="125"/>
      <c r="XEW172" s="125"/>
      <c r="XEX172" s="125"/>
      <c r="XEY172" s="125"/>
      <c r="XEZ172" s="125"/>
      <c r="XFA172" s="125"/>
      <c r="XFB172" s="125"/>
      <c r="XFC172" s="125"/>
    </row>
    <row r="173" spans="1:16383" x14ac:dyDescent="0.2">
      <c r="A173" s="73">
        <v>171</v>
      </c>
      <c r="B173" s="143" t="s">
        <v>1172</v>
      </c>
      <c r="C173" s="9" t="s">
        <v>188</v>
      </c>
      <c r="D173" s="16" t="str">
        <f>VLOOKUP(B173,'Cấp phát TN'!C2:G1048575,3,FALSE)</f>
        <v>phucth20</v>
      </c>
      <c r="E173" s="63" t="str">
        <f>VLOOKUP(B173,'Cấp phát TN'!C3:G1048575,4,FALSE)</f>
        <v>vinhtq18</v>
      </c>
      <c r="F173" s="16">
        <v>542224</v>
      </c>
      <c r="G173" s="74" t="s">
        <v>817</v>
      </c>
      <c r="H173" s="74">
        <v>6</v>
      </c>
      <c r="I173" s="74">
        <v>90</v>
      </c>
      <c r="J173" s="74">
        <f>I173*3</f>
        <v>270</v>
      </c>
      <c r="K173" s="74">
        <f>2*60+2*22+2*40</f>
        <v>244</v>
      </c>
      <c r="L173" s="74">
        <v>2360</v>
      </c>
      <c r="M173" s="74"/>
      <c r="N173" s="74"/>
      <c r="O173" s="74"/>
      <c r="P173" s="74"/>
      <c r="Q173" s="74"/>
      <c r="R173" s="74" t="s">
        <v>1497</v>
      </c>
      <c r="S173" s="74" t="s">
        <v>1509</v>
      </c>
      <c r="T173" s="73"/>
      <c r="U173" s="132" t="s">
        <v>1696</v>
      </c>
      <c r="V173" s="129"/>
      <c r="W173" s="125"/>
      <c r="X173" s="125"/>
      <c r="Y173" s="125"/>
      <c r="Z173" s="125"/>
      <c r="AA173" s="125"/>
      <c r="AB173" s="125"/>
      <c r="AC173" s="125"/>
      <c r="AD173" s="125"/>
      <c r="AE173" s="125"/>
      <c r="AF173" s="125"/>
      <c r="AG173" s="125"/>
      <c r="AH173" s="125"/>
      <c r="AI173" s="125"/>
      <c r="AJ173" s="125"/>
      <c r="AK173" s="125"/>
      <c r="AL173" s="125"/>
      <c r="AM173" s="125"/>
      <c r="AN173" s="125"/>
      <c r="AO173" s="125"/>
      <c r="AP173" s="125"/>
      <c r="AQ173" s="125"/>
      <c r="AR173" s="125"/>
      <c r="AS173" s="125"/>
      <c r="AT173" s="125"/>
      <c r="AU173" s="125"/>
      <c r="AV173" s="125"/>
      <c r="AW173" s="125"/>
      <c r="AX173" s="125"/>
      <c r="AY173" s="125"/>
      <c r="AZ173" s="125"/>
      <c r="BA173" s="125"/>
      <c r="BB173" s="125"/>
      <c r="BC173" s="125"/>
      <c r="BD173" s="125"/>
      <c r="BE173" s="125"/>
      <c r="BF173" s="125"/>
      <c r="BG173" s="125"/>
      <c r="BH173" s="125"/>
      <c r="BI173" s="125"/>
      <c r="BJ173" s="125"/>
      <c r="BK173" s="125"/>
      <c r="BL173" s="125"/>
      <c r="BM173" s="125"/>
      <c r="BN173" s="125"/>
      <c r="BO173" s="125"/>
      <c r="BP173" s="125"/>
      <c r="BQ173" s="125"/>
      <c r="BR173" s="125"/>
      <c r="BS173" s="125"/>
      <c r="BT173" s="125"/>
      <c r="BU173" s="125"/>
      <c r="BV173" s="125"/>
      <c r="BW173" s="125"/>
      <c r="BX173" s="125"/>
      <c r="BY173" s="125"/>
      <c r="BZ173" s="125"/>
      <c r="CA173" s="125"/>
      <c r="CB173" s="125"/>
      <c r="CC173" s="125"/>
      <c r="CD173" s="125"/>
      <c r="CE173" s="125"/>
      <c r="CF173" s="125"/>
      <c r="CG173" s="125"/>
      <c r="CH173" s="125"/>
      <c r="CI173" s="125"/>
      <c r="CJ173" s="125"/>
      <c r="CK173" s="125"/>
      <c r="CL173" s="125"/>
      <c r="CM173" s="125"/>
      <c r="CN173" s="125"/>
      <c r="CO173" s="125"/>
      <c r="CP173" s="125"/>
      <c r="CQ173" s="125"/>
      <c r="CR173" s="125"/>
      <c r="CS173" s="125"/>
      <c r="CT173" s="125"/>
      <c r="CU173" s="125"/>
      <c r="CV173" s="125"/>
      <c r="CW173" s="125"/>
      <c r="CX173" s="125"/>
      <c r="CY173" s="125"/>
      <c r="CZ173" s="125"/>
      <c r="DA173" s="125"/>
      <c r="DB173" s="125"/>
      <c r="DC173" s="125"/>
      <c r="DD173" s="125"/>
      <c r="DE173" s="125"/>
      <c r="DF173" s="125"/>
      <c r="DG173" s="125"/>
      <c r="DH173" s="125"/>
      <c r="DI173" s="125"/>
      <c r="DJ173" s="125"/>
      <c r="DK173" s="125"/>
      <c r="DL173" s="125"/>
      <c r="DM173" s="125"/>
      <c r="DN173" s="125"/>
      <c r="DO173" s="125"/>
      <c r="DP173" s="125"/>
      <c r="DQ173" s="125"/>
      <c r="DR173" s="125"/>
      <c r="DS173" s="125"/>
      <c r="DT173" s="125"/>
      <c r="DU173" s="125"/>
      <c r="DV173" s="125"/>
      <c r="DW173" s="125"/>
      <c r="DX173" s="125"/>
      <c r="DY173" s="125"/>
      <c r="DZ173" s="125"/>
      <c r="EA173" s="125"/>
      <c r="EB173" s="125"/>
      <c r="EC173" s="125"/>
      <c r="ED173" s="125"/>
      <c r="EE173" s="125"/>
      <c r="EF173" s="125"/>
      <c r="EG173" s="125"/>
      <c r="EH173" s="125"/>
      <c r="EI173" s="125"/>
      <c r="EJ173" s="125"/>
      <c r="EK173" s="125"/>
      <c r="EL173" s="125"/>
      <c r="EM173" s="125"/>
      <c r="EN173" s="125"/>
      <c r="EO173" s="125"/>
      <c r="EP173" s="125"/>
      <c r="EQ173" s="125"/>
      <c r="ER173" s="125"/>
      <c r="ES173" s="125"/>
      <c r="ET173" s="125"/>
      <c r="EU173" s="125"/>
      <c r="EV173" s="125"/>
      <c r="EW173" s="125"/>
      <c r="EX173" s="125"/>
      <c r="EY173" s="125"/>
      <c r="EZ173" s="125"/>
      <c r="FA173" s="125"/>
      <c r="FB173" s="125"/>
      <c r="FC173" s="125"/>
      <c r="FD173" s="125"/>
      <c r="FE173" s="125"/>
      <c r="FF173" s="125"/>
      <c r="FG173" s="125"/>
      <c r="FH173" s="125"/>
      <c r="FI173" s="125"/>
      <c r="FJ173" s="125"/>
      <c r="FK173" s="125"/>
      <c r="FL173" s="125"/>
      <c r="FM173" s="125"/>
      <c r="FN173" s="125"/>
      <c r="FO173" s="125"/>
      <c r="FP173" s="125"/>
      <c r="FQ173" s="125"/>
      <c r="FR173" s="125"/>
      <c r="FS173" s="125"/>
      <c r="FT173" s="125"/>
      <c r="FU173" s="125"/>
      <c r="FV173" s="125"/>
      <c r="FW173" s="125"/>
      <c r="FX173" s="125"/>
      <c r="FY173" s="125"/>
      <c r="FZ173" s="125"/>
      <c r="GA173" s="125"/>
      <c r="GB173" s="125"/>
      <c r="GC173" s="125"/>
      <c r="GD173" s="125"/>
      <c r="GE173" s="125"/>
      <c r="GF173" s="125"/>
      <c r="GG173" s="125"/>
      <c r="GH173" s="125"/>
      <c r="GI173" s="125"/>
      <c r="GJ173" s="125"/>
      <c r="GK173" s="125"/>
      <c r="GL173" s="125"/>
      <c r="GM173" s="125"/>
      <c r="GN173" s="125"/>
      <c r="GO173" s="125"/>
      <c r="GP173" s="125"/>
      <c r="GQ173" s="125"/>
      <c r="GR173" s="125"/>
      <c r="GS173" s="125"/>
      <c r="GT173" s="125"/>
      <c r="GU173" s="125"/>
      <c r="GV173" s="125"/>
      <c r="GW173" s="125"/>
      <c r="GX173" s="125"/>
      <c r="GY173" s="125"/>
      <c r="GZ173" s="125"/>
      <c r="HA173" s="125"/>
      <c r="HB173" s="125"/>
      <c r="HC173" s="125"/>
      <c r="HD173" s="125"/>
      <c r="HE173" s="125"/>
      <c r="HF173" s="125"/>
      <c r="HG173" s="125"/>
      <c r="HH173" s="125"/>
      <c r="HI173" s="125"/>
      <c r="HJ173" s="125"/>
      <c r="HK173" s="125"/>
      <c r="HL173" s="125"/>
      <c r="HM173" s="125"/>
      <c r="HN173" s="125"/>
      <c r="HO173" s="125"/>
      <c r="HP173" s="125"/>
      <c r="HQ173" s="125"/>
      <c r="HR173" s="125"/>
      <c r="HS173" s="125"/>
      <c r="HT173" s="125"/>
      <c r="HU173" s="125"/>
      <c r="HV173" s="125"/>
      <c r="HW173" s="125"/>
      <c r="HX173" s="125"/>
      <c r="HY173" s="125"/>
      <c r="HZ173" s="125"/>
      <c r="IA173" s="125"/>
      <c r="IB173" s="125"/>
      <c r="IC173" s="125"/>
      <c r="ID173" s="125"/>
      <c r="IE173" s="125"/>
      <c r="IF173" s="125"/>
      <c r="IG173" s="125"/>
      <c r="IH173" s="125"/>
      <c r="II173" s="125"/>
      <c r="IJ173" s="125"/>
      <c r="IK173" s="125"/>
      <c r="IL173" s="125"/>
      <c r="IM173" s="125"/>
      <c r="IN173" s="125"/>
      <c r="IO173" s="125"/>
      <c r="IP173" s="125"/>
      <c r="IQ173" s="125"/>
      <c r="IR173" s="125"/>
      <c r="IS173" s="125"/>
      <c r="IT173" s="125"/>
      <c r="IU173" s="125"/>
      <c r="IV173" s="125"/>
      <c r="IW173" s="125"/>
      <c r="IX173" s="125"/>
      <c r="IY173" s="125"/>
      <c r="IZ173" s="125"/>
      <c r="JA173" s="125"/>
      <c r="JB173" s="125"/>
      <c r="JC173" s="125"/>
      <c r="JD173" s="125"/>
      <c r="JE173" s="125"/>
      <c r="JF173" s="125"/>
      <c r="JG173" s="125"/>
      <c r="JH173" s="125"/>
      <c r="JI173" s="125"/>
      <c r="JJ173" s="125"/>
      <c r="JK173" s="125"/>
      <c r="JL173" s="125"/>
      <c r="JM173" s="125"/>
      <c r="JN173" s="125"/>
      <c r="JO173" s="125"/>
      <c r="JP173" s="125"/>
      <c r="JQ173" s="125"/>
      <c r="JR173" s="125"/>
      <c r="JS173" s="125"/>
      <c r="JT173" s="125"/>
      <c r="JU173" s="125"/>
      <c r="JV173" s="125"/>
      <c r="JW173" s="125"/>
      <c r="JX173" s="125"/>
      <c r="JY173" s="125"/>
      <c r="JZ173" s="125"/>
      <c r="KA173" s="125"/>
      <c r="KB173" s="125"/>
      <c r="KC173" s="125"/>
      <c r="KD173" s="125"/>
      <c r="KE173" s="125"/>
      <c r="KF173" s="125"/>
      <c r="KG173" s="125"/>
      <c r="KH173" s="125"/>
      <c r="KI173" s="125"/>
      <c r="KJ173" s="125"/>
      <c r="KK173" s="125"/>
      <c r="KL173" s="125"/>
      <c r="KM173" s="125"/>
      <c r="KN173" s="125"/>
      <c r="KO173" s="125"/>
      <c r="KP173" s="125"/>
      <c r="KQ173" s="125"/>
      <c r="KR173" s="125"/>
      <c r="KS173" s="125"/>
      <c r="KT173" s="125"/>
      <c r="KU173" s="125"/>
      <c r="KV173" s="125"/>
      <c r="KW173" s="125"/>
      <c r="KX173" s="125"/>
      <c r="KY173" s="125"/>
      <c r="KZ173" s="125"/>
      <c r="LA173" s="125"/>
      <c r="LB173" s="125"/>
      <c r="LC173" s="125"/>
      <c r="LD173" s="125"/>
      <c r="LE173" s="125"/>
      <c r="LF173" s="125"/>
      <c r="LG173" s="125"/>
      <c r="LH173" s="125"/>
      <c r="LI173" s="125"/>
      <c r="LJ173" s="125"/>
      <c r="LK173" s="125"/>
      <c r="LL173" s="125"/>
      <c r="LM173" s="125"/>
      <c r="LN173" s="125"/>
      <c r="LO173" s="125"/>
      <c r="LP173" s="125"/>
      <c r="LQ173" s="125"/>
      <c r="LR173" s="125"/>
      <c r="LS173" s="125"/>
      <c r="LT173" s="125"/>
      <c r="LU173" s="125"/>
      <c r="LV173" s="125"/>
      <c r="LW173" s="125"/>
      <c r="LX173" s="125"/>
      <c r="LY173" s="125"/>
      <c r="LZ173" s="125"/>
      <c r="MA173" s="125"/>
      <c r="MB173" s="125"/>
      <c r="MC173" s="125"/>
      <c r="MD173" s="125"/>
      <c r="ME173" s="125"/>
      <c r="MF173" s="125"/>
      <c r="MG173" s="125"/>
      <c r="MH173" s="125"/>
      <c r="MI173" s="125"/>
      <c r="MJ173" s="125"/>
      <c r="MK173" s="125"/>
      <c r="ML173" s="125"/>
      <c r="MM173" s="125"/>
      <c r="MN173" s="125"/>
      <c r="MO173" s="125"/>
      <c r="MP173" s="125"/>
      <c r="MQ173" s="125"/>
      <c r="MR173" s="125"/>
      <c r="MS173" s="125"/>
      <c r="MT173" s="125"/>
      <c r="MU173" s="125"/>
      <c r="MV173" s="125"/>
      <c r="MW173" s="125"/>
      <c r="MX173" s="125"/>
      <c r="MY173" s="125"/>
      <c r="MZ173" s="125"/>
      <c r="NA173" s="125"/>
      <c r="NB173" s="125"/>
      <c r="NC173" s="125"/>
      <c r="ND173" s="125"/>
      <c r="NE173" s="125"/>
      <c r="NF173" s="125"/>
      <c r="NG173" s="125"/>
      <c r="NH173" s="125"/>
      <c r="NI173" s="125"/>
      <c r="NJ173" s="125"/>
      <c r="NK173" s="125"/>
      <c r="NL173" s="125"/>
      <c r="NM173" s="125"/>
      <c r="NN173" s="125"/>
      <c r="NO173" s="125"/>
      <c r="NP173" s="125"/>
      <c r="NQ173" s="125"/>
      <c r="NR173" s="125"/>
      <c r="NS173" s="125"/>
      <c r="NT173" s="125"/>
      <c r="NU173" s="125"/>
      <c r="NV173" s="125"/>
      <c r="NW173" s="125"/>
      <c r="NX173" s="125"/>
      <c r="NY173" s="125"/>
      <c r="NZ173" s="125"/>
      <c r="OA173" s="125"/>
      <c r="OB173" s="125"/>
      <c r="OC173" s="125"/>
      <c r="OD173" s="125"/>
      <c r="OE173" s="125"/>
      <c r="OF173" s="125"/>
      <c r="OG173" s="125"/>
      <c r="OH173" s="125"/>
      <c r="OI173" s="125"/>
      <c r="OJ173" s="125"/>
      <c r="OK173" s="125"/>
      <c r="OL173" s="125"/>
      <c r="OM173" s="125"/>
      <c r="ON173" s="125"/>
      <c r="OO173" s="125"/>
      <c r="OP173" s="125"/>
      <c r="OQ173" s="125"/>
      <c r="OR173" s="125"/>
      <c r="OS173" s="125"/>
      <c r="OT173" s="125"/>
      <c r="OU173" s="125"/>
      <c r="OV173" s="125"/>
      <c r="OW173" s="125"/>
      <c r="OX173" s="125"/>
      <c r="OY173" s="125"/>
      <c r="OZ173" s="125"/>
      <c r="PA173" s="125"/>
      <c r="PB173" s="125"/>
      <c r="PC173" s="125"/>
      <c r="PD173" s="125"/>
      <c r="PE173" s="125"/>
      <c r="PF173" s="125"/>
      <c r="PG173" s="125"/>
      <c r="PH173" s="125"/>
      <c r="PI173" s="125"/>
      <c r="PJ173" s="125"/>
      <c r="PK173" s="125"/>
      <c r="PL173" s="125"/>
      <c r="PM173" s="125"/>
      <c r="PN173" s="125"/>
      <c r="PO173" s="125"/>
      <c r="PP173" s="125"/>
      <c r="PQ173" s="125"/>
      <c r="PR173" s="125"/>
      <c r="PS173" s="125"/>
      <c r="PT173" s="125"/>
      <c r="PU173" s="125"/>
      <c r="PV173" s="125"/>
      <c r="PW173" s="125"/>
      <c r="PX173" s="125"/>
      <c r="PY173" s="125"/>
      <c r="PZ173" s="125"/>
      <c r="QA173" s="125"/>
      <c r="QB173" s="125"/>
      <c r="QC173" s="125"/>
      <c r="QD173" s="125"/>
      <c r="QE173" s="125"/>
      <c r="QF173" s="125"/>
      <c r="QG173" s="125"/>
      <c r="QH173" s="125"/>
      <c r="QI173" s="125"/>
      <c r="QJ173" s="125"/>
      <c r="QK173" s="125"/>
      <c r="QL173" s="125"/>
      <c r="QM173" s="125"/>
      <c r="QN173" s="125"/>
      <c r="QO173" s="125"/>
      <c r="QP173" s="125"/>
      <c r="QQ173" s="125"/>
      <c r="QR173" s="125"/>
      <c r="QS173" s="125"/>
      <c r="QT173" s="125"/>
      <c r="QU173" s="125"/>
      <c r="QV173" s="125"/>
      <c r="QW173" s="125"/>
      <c r="QX173" s="125"/>
      <c r="QY173" s="125"/>
      <c r="QZ173" s="125"/>
      <c r="RA173" s="125"/>
      <c r="RB173" s="125"/>
      <c r="RC173" s="125"/>
      <c r="RD173" s="125"/>
      <c r="RE173" s="125"/>
      <c r="RF173" s="125"/>
      <c r="RG173" s="125"/>
      <c r="RH173" s="125"/>
      <c r="RI173" s="125"/>
      <c r="RJ173" s="125"/>
      <c r="RK173" s="125"/>
      <c r="RL173" s="125"/>
      <c r="RM173" s="125"/>
      <c r="RN173" s="125"/>
      <c r="RO173" s="125"/>
      <c r="RP173" s="125"/>
      <c r="RQ173" s="125"/>
      <c r="RR173" s="125"/>
      <c r="RS173" s="125"/>
      <c r="RT173" s="125"/>
      <c r="RU173" s="125"/>
      <c r="RV173" s="125"/>
      <c r="RW173" s="125"/>
      <c r="RX173" s="125"/>
      <c r="RY173" s="125"/>
      <c r="RZ173" s="125"/>
      <c r="SA173" s="125"/>
      <c r="SB173" s="125"/>
      <c r="SC173" s="125"/>
      <c r="SD173" s="125"/>
      <c r="SE173" s="125"/>
      <c r="SF173" s="125"/>
      <c r="SG173" s="125"/>
      <c r="SH173" s="125"/>
      <c r="SI173" s="125"/>
      <c r="SJ173" s="125"/>
      <c r="SK173" s="125"/>
      <c r="SL173" s="125"/>
      <c r="SM173" s="125"/>
      <c r="SN173" s="125"/>
      <c r="SO173" s="125"/>
      <c r="SP173" s="125"/>
      <c r="SQ173" s="125"/>
      <c r="SR173" s="125"/>
      <c r="SS173" s="125"/>
      <c r="ST173" s="125"/>
      <c r="SU173" s="125"/>
      <c r="SV173" s="125"/>
      <c r="SW173" s="125"/>
      <c r="SX173" s="125"/>
      <c r="SY173" s="125"/>
      <c r="SZ173" s="125"/>
      <c r="TA173" s="125"/>
      <c r="TB173" s="125"/>
      <c r="TC173" s="125"/>
      <c r="TD173" s="125"/>
      <c r="TE173" s="125"/>
      <c r="TF173" s="125"/>
      <c r="TG173" s="125"/>
      <c r="TH173" s="125"/>
      <c r="TI173" s="125"/>
      <c r="TJ173" s="125"/>
      <c r="TK173" s="125"/>
      <c r="TL173" s="125"/>
      <c r="TM173" s="125"/>
      <c r="TN173" s="125"/>
      <c r="TO173" s="125"/>
      <c r="TP173" s="125"/>
      <c r="TQ173" s="125"/>
      <c r="TR173" s="125"/>
      <c r="TS173" s="125"/>
      <c r="TT173" s="125"/>
      <c r="TU173" s="125"/>
      <c r="TV173" s="125"/>
      <c r="TW173" s="125"/>
      <c r="TX173" s="125"/>
      <c r="TY173" s="125"/>
      <c r="TZ173" s="125"/>
      <c r="UA173" s="125"/>
      <c r="UB173" s="125"/>
      <c r="UC173" s="125"/>
      <c r="UD173" s="125"/>
      <c r="UE173" s="125"/>
      <c r="UF173" s="125"/>
      <c r="UG173" s="125"/>
      <c r="UH173" s="125"/>
      <c r="UI173" s="125"/>
      <c r="UJ173" s="125"/>
      <c r="UK173" s="125"/>
      <c r="UL173" s="125"/>
      <c r="UM173" s="125"/>
      <c r="UN173" s="125"/>
      <c r="UO173" s="125"/>
      <c r="UP173" s="125"/>
      <c r="UQ173" s="125"/>
      <c r="UR173" s="125"/>
      <c r="US173" s="125"/>
      <c r="UT173" s="125"/>
      <c r="UU173" s="125"/>
      <c r="UV173" s="125"/>
      <c r="UW173" s="125"/>
      <c r="UX173" s="125"/>
      <c r="UY173" s="125"/>
      <c r="UZ173" s="125"/>
      <c r="VA173" s="125"/>
      <c r="VB173" s="125"/>
      <c r="VC173" s="125"/>
      <c r="VD173" s="125"/>
      <c r="VE173" s="125"/>
      <c r="VF173" s="125"/>
      <c r="VG173" s="125"/>
      <c r="VH173" s="125"/>
      <c r="VI173" s="125"/>
      <c r="VJ173" s="125"/>
      <c r="VK173" s="125"/>
      <c r="VL173" s="125"/>
      <c r="VM173" s="125"/>
      <c r="VN173" s="125"/>
      <c r="VO173" s="125"/>
      <c r="VP173" s="125"/>
      <c r="VQ173" s="125"/>
      <c r="VR173" s="125"/>
      <c r="VS173" s="125"/>
      <c r="VT173" s="125"/>
      <c r="VU173" s="125"/>
      <c r="VV173" s="125"/>
      <c r="VW173" s="125"/>
      <c r="VX173" s="125"/>
      <c r="VY173" s="125"/>
      <c r="VZ173" s="125"/>
      <c r="WA173" s="125"/>
      <c r="WB173" s="125"/>
      <c r="WC173" s="125"/>
      <c r="WD173" s="125"/>
      <c r="WE173" s="125"/>
      <c r="WF173" s="125"/>
      <c r="WG173" s="125"/>
      <c r="WH173" s="125"/>
      <c r="WI173" s="125"/>
      <c r="WJ173" s="125"/>
      <c r="WK173" s="125"/>
      <c r="WL173" s="125"/>
      <c r="WM173" s="125"/>
      <c r="WN173" s="125"/>
      <c r="WO173" s="125"/>
      <c r="WP173" s="125"/>
      <c r="WQ173" s="125"/>
      <c r="WR173" s="125"/>
      <c r="WS173" s="125"/>
      <c r="WT173" s="125"/>
      <c r="WU173" s="125"/>
      <c r="WV173" s="125"/>
      <c r="WW173" s="125"/>
      <c r="WX173" s="125"/>
      <c r="WY173" s="125"/>
      <c r="WZ173" s="125"/>
      <c r="XA173" s="125"/>
      <c r="XB173" s="125"/>
      <c r="XC173" s="125"/>
      <c r="XD173" s="125"/>
      <c r="XE173" s="125"/>
      <c r="XF173" s="125"/>
      <c r="XG173" s="125"/>
      <c r="XH173" s="125"/>
      <c r="XI173" s="125"/>
      <c r="XJ173" s="125"/>
      <c r="XK173" s="125"/>
      <c r="XL173" s="125"/>
      <c r="XM173" s="125"/>
      <c r="XN173" s="125"/>
      <c r="XO173" s="125"/>
      <c r="XP173" s="125"/>
      <c r="XQ173" s="125"/>
      <c r="XR173" s="125"/>
      <c r="XS173" s="125"/>
      <c r="XT173" s="125"/>
      <c r="XU173" s="125"/>
      <c r="XV173" s="125"/>
      <c r="XW173" s="125"/>
      <c r="XX173" s="125"/>
      <c r="XY173" s="125"/>
      <c r="XZ173" s="125"/>
      <c r="YA173" s="125"/>
      <c r="YB173" s="125"/>
      <c r="YC173" s="125"/>
      <c r="YD173" s="125"/>
      <c r="YE173" s="125"/>
      <c r="YF173" s="125"/>
      <c r="YG173" s="125"/>
      <c r="YH173" s="125"/>
      <c r="YI173" s="125"/>
      <c r="YJ173" s="125"/>
      <c r="YK173" s="125"/>
      <c r="YL173" s="125"/>
      <c r="YM173" s="125"/>
      <c r="YN173" s="125"/>
      <c r="YO173" s="125"/>
      <c r="YP173" s="125"/>
      <c r="YQ173" s="125"/>
      <c r="YR173" s="125"/>
      <c r="YS173" s="125"/>
      <c r="YT173" s="125"/>
      <c r="YU173" s="125"/>
      <c r="YV173" s="125"/>
      <c r="YW173" s="125"/>
      <c r="YX173" s="125"/>
      <c r="YY173" s="125"/>
      <c r="YZ173" s="125"/>
      <c r="ZA173" s="125"/>
      <c r="ZB173" s="125"/>
      <c r="ZC173" s="125"/>
      <c r="ZD173" s="125"/>
      <c r="ZE173" s="125"/>
      <c r="ZF173" s="125"/>
      <c r="ZG173" s="125"/>
      <c r="ZH173" s="125"/>
      <c r="ZI173" s="125"/>
      <c r="ZJ173" s="125"/>
      <c r="ZK173" s="125"/>
      <c r="ZL173" s="125"/>
      <c r="ZM173" s="125"/>
      <c r="ZN173" s="125"/>
      <c r="ZO173" s="125"/>
      <c r="ZP173" s="125"/>
      <c r="ZQ173" s="125"/>
      <c r="ZR173" s="125"/>
      <c r="ZS173" s="125"/>
      <c r="ZT173" s="125"/>
      <c r="ZU173" s="125"/>
      <c r="ZV173" s="125"/>
      <c r="ZW173" s="125"/>
      <c r="ZX173" s="125"/>
      <c r="ZY173" s="125"/>
      <c r="ZZ173" s="125"/>
      <c r="AAA173" s="125"/>
      <c r="AAB173" s="125"/>
      <c r="AAC173" s="125"/>
      <c r="AAD173" s="125"/>
      <c r="AAE173" s="125"/>
      <c r="AAF173" s="125"/>
      <c r="AAG173" s="125"/>
      <c r="AAH173" s="125"/>
      <c r="AAI173" s="125"/>
      <c r="AAJ173" s="125"/>
      <c r="AAK173" s="125"/>
      <c r="AAL173" s="125"/>
      <c r="AAM173" s="125"/>
      <c r="AAN173" s="125"/>
      <c r="AAO173" s="125"/>
      <c r="AAP173" s="125"/>
      <c r="AAQ173" s="125"/>
      <c r="AAR173" s="125"/>
      <c r="AAS173" s="125"/>
      <c r="AAT173" s="125"/>
      <c r="AAU173" s="125"/>
      <c r="AAV173" s="125"/>
      <c r="AAW173" s="125"/>
      <c r="AAX173" s="125"/>
      <c r="AAY173" s="125"/>
      <c r="AAZ173" s="125"/>
      <c r="ABA173" s="125"/>
      <c r="ABB173" s="125"/>
      <c r="ABC173" s="125"/>
      <c r="ABD173" s="125"/>
      <c r="ABE173" s="125"/>
      <c r="ABF173" s="125"/>
      <c r="ABG173" s="125"/>
      <c r="ABH173" s="125"/>
      <c r="ABI173" s="125"/>
      <c r="ABJ173" s="125"/>
      <c r="ABK173" s="125"/>
      <c r="ABL173" s="125"/>
      <c r="ABM173" s="125"/>
      <c r="ABN173" s="125"/>
      <c r="ABO173" s="125"/>
      <c r="ABP173" s="125"/>
      <c r="ABQ173" s="125"/>
      <c r="ABR173" s="125"/>
      <c r="ABS173" s="125"/>
      <c r="ABT173" s="125"/>
      <c r="ABU173" s="125"/>
      <c r="ABV173" s="125"/>
      <c r="ABW173" s="125"/>
      <c r="ABX173" s="125"/>
      <c r="ABY173" s="125"/>
      <c r="ABZ173" s="125"/>
      <c r="ACA173" s="125"/>
      <c r="ACB173" s="125"/>
      <c r="ACC173" s="125"/>
      <c r="ACD173" s="125"/>
      <c r="ACE173" s="125"/>
      <c r="ACF173" s="125"/>
      <c r="ACG173" s="125"/>
      <c r="ACH173" s="125"/>
      <c r="ACI173" s="125"/>
      <c r="ACJ173" s="125"/>
      <c r="ACK173" s="125"/>
      <c r="ACL173" s="125"/>
      <c r="ACM173" s="125"/>
      <c r="ACN173" s="125"/>
      <c r="ACO173" s="125"/>
      <c r="ACP173" s="125"/>
      <c r="ACQ173" s="125"/>
      <c r="ACR173" s="125"/>
      <c r="ACS173" s="125"/>
      <c r="ACT173" s="125"/>
      <c r="ACU173" s="125"/>
      <c r="ACV173" s="125"/>
      <c r="ACW173" s="125"/>
      <c r="ACX173" s="125"/>
      <c r="ACY173" s="125"/>
      <c r="ACZ173" s="125"/>
      <c r="ADA173" s="125"/>
      <c r="ADB173" s="125"/>
      <c r="ADC173" s="125"/>
      <c r="ADD173" s="125"/>
      <c r="ADE173" s="125"/>
      <c r="ADF173" s="125"/>
      <c r="ADG173" s="125"/>
      <c r="ADH173" s="125"/>
      <c r="ADI173" s="125"/>
      <c r="ADJ173" s="125"/>
      <c r="ADK173" s="125"/>
      <c r="ADL173" s="125"/>
      <c r="ADM173" s="125"/>
      <c r="ADN173" s="125"/>
      <c r="ADO173" s="125"/>
      <c r="ADP173" s="125"/>
      <c r="ADQ173" s="125"/>
      <c r="ADR173" s="125"/>
      <c r="ADS173" s="125"/>
      <c r="ADT173" s="125"/>
      <c r="ADU173" s="125"/>
      <c r="ADV173" s="125"/>
      <c r="ADW173" s="125"/>
      <c r="ADX173" s="125"/>
      <c r="ADY173" s="125"/>
      <c r="ADZ173" s="125"/>
      <c r="AEA173" s="125"/>
      <c r="AEB173" s="125"/>
      <c r="AEC173" s="125"/>
      <c r="AED173" s="125"/>
      <c r="AEE173" s="125"/>
      <c r="AEF173" s="125"/>
      <c r="AEG173" s="125"/>
      <c r="AEH173" s="125"/>
      <c r="AEI173" s="125"/>
      <c r="AEJ173" s="125"/>
      <c r="AEK173" s="125"/>
      <c r="AEL173" s="125"/>
      <c r="AEM173" s="125"/>
      <c r="AEN173" s="125"/>
      <c r="AEO173" s="125"/>
      <c r="AEP173" s="125"/>
      <c r="AEQ173" s="125"/>
      <c r="AER173" s="125"/>
      <c r="AES173" s="125"/>
      <c r="AET173" s="125"/>
      <c r="AEU173" s="125"/>
      <c r="AEV173" s="125"/>
      <c r="AEW173" s="125"/>
      <c r="AEX173" s="125"/>
      <c r="AEY173" s="125"/>
      <c r="AEZ173" s="125"/>
      <c r="AFA173" s="125"/>
      <c r="AFB173" s="125"/>
      <c r="AFC173" s="125"/>
      <c r="AFD173" s="125"/>
      <c r="AFE173" s="125"/>
      <c r="AFF173" s="125"/>
      <c r="AFG173" s="125"/>
      <c r="AFH173" s="125"/>
      <c r="AFI173" s="125"/>
      <c r="AFJ173" s="125"/>
      <c r="AFK173" s="125"/>
      <c r="AFL173" s="125"/>
      <c r="AFM173" s="125"/>
      <c r="AFN173" s="125"/>
      <c r="AFO173" s="125"/>
      <c r="AFP173" s="125"/>
      <c r="AFQ173" s="125"/>
      <c r="AFR173" s="125"/>
      <c r="AFS173" s="125"/>
      <c r="AFT173" s="125"/>
      <c r="AFU173" s="125"/>
      <c r="AFV173" s="125"/>
      <c r="AFW173" s="125"/>
      <c r="AFX173" s="125"/>
      <c r="AFY173" s="125"/>
      <c r="AFZ173" s="125"/>
      <c r="AGA173" s="125"/>
      <c r="AGB173" s="125"/>
      <c r="AGC173" s="125"/>
      <c r="AGD173" s="125"/>
      <c r="AGE173" s="125"/>
      <c r="AGF173" s="125"/>
      <c r="AGG173" s="125"/>
      <c r="AGH173" s="125"/>
      <c r="AGI173" s="125"/>
      <c r="AGJ173" s="125"/>
      <c r="AGK173" s="125"/>
      <c r="AGL173" s="125"/>
      <c r="AGM173" s="125"/>
      <c r="AGN173" s="125"/>
      <c r="AGO173" s="125"/>
      <c r="AGP173" s="125"/>
      <c r="AGQ173" s="125"/>
      <c r="AGR173" s="125"/>
      <c r="AGS173" s="125"/>
      <c r="AGT173" s="125"/>
      <c r="AGU173" s="125"/>
      <c r="AGV173" s="125"/>
      <c r="AGW173" s="125"/>
      <c r="AGX173" s="125"/>
      <c r="AGY173" s="125"/>
      <c r="AGZ173" s="125"/>
      <c r="AHA173" s="125"/>
      <c r="AHB173" s="125"/>
      <c r="AHC173" s="125"/>
      <c r="AHD173" s="125"/>
      <c r="AHE173" s="125"/>
      <c r="AHF173" s="125"/>
      <c r="AHG173" s="125"/>
      <c r="AHH173" s="125"/>
      <c r="AHI173" s="125"/>
      <c r="AHJ173" s="125"/>
      <c r="AHK173" s="125"/>
      <c r="AHL173" s="125"/>
      <c r="AHM173" s="125"/>
      <c r="AHN173" s="125"/>
      <c r="AHO173" s="125"/>
      <c r="AHP173" s="125"/>
      <c r="AHQ173" s="125"/>
      <c r="AHR173" s="125"/>
      <c r="AHS173" s="125"/>
      <c r="AHT173" s="125"/>
      <c r="AHU173" s="125"/>
      <c r="AHV173" s="125"/>
      <c r="AHW173" s="125"/>
      <c r="AHX173" s="125"/>
      <c r="AHY173" s="125"/>
      <c r="AHZ173" s="125"/>
      <c r="AIA173" s="125"/>
      <c r="AIB173" s="125"/>
      <c r="AIC173" s="125"/>
      <c r="AID173" s="125"/>
      <c r="AIE173" s="125"/>
      <c r="AIF173" s="125"/>
      <c r="AIG173" s="125"/>
      <c r="AIH173" s="125"/>
      <c r="AII173" s="125"/>
      <c r="AIJ173" s="125"/>
      <c r="AIK173" s="125"/>
      <c r="AIL173" s="125"/>
      <c r="AIM173" s="125"/>
      <c r="AIN173" s="125"/>
      <c r="AIO173" s="125"/>
      <c r="AIP173" s="125"/>
      <c r="AIQ173" s="125"/>
      <c r="AIR173" s="125"/>
      <c r="AIS173" s="125"/>
      <c r="AIT173" s="125"/>
      <c r="AIU173" s="125"/>
      <c r="AIV173" s="125"/>
      <c r="AIW173" s="125"/>
      <c r="AIX173" s="125"/>
      <c r="AIY173" s="125"/>
      <c r="AIZ173" s="125"/>
      <c r="AJA173" s="125"/>
      <c r="AJB173" s="125"/>
      <c r="AJC173" s="125"/>
      <c r="AJD173" s="125"/>
      <c r="AJE173" s="125"/>
      <c r="AJF173" s="125"/>
      <c r="AJG173" s="125"/>
      <c r="AJH173" s="125"/>
      <c r="AJI173" s="125"/>
      <c r="AJJ173" s="125"/>
      <c r="AJK173" s="125"/>
      <c r="AJL173" s="125"/>
      <c r="AJM173" s="125"/>
      <c r="AJN173" s="125"/>
      <c r="AJO173" s="125"/>
      <c r="AJP173" s="125"/>
      <c r="AJQ173" s="125"/>
      <c r="AJR173" s="125"/>
      <c r="AJS173" s="125"/>
      <c r="AJT173" s="125"/>
      <c r="AJU173" s="125"/>
      <c r="AJV173" s="125"/>
      <c r="AJW173" s="125"/>
      <c r="AJX173" s="125"/>
      <c r="AJY173" s="125"/>
      <c r="AJZ173" s="125"/>
      <c r="AKA173" s="125"/>
      <c r="AKB173" s="125"/>
      <c r="AKC173" s="125"/>
      <c r="AKD173" s="125"/>
      <c r="AKE173" s="125"/>
      <c r="AKF173" s="125"/>
      <c r="AKG173" s="125"/>
      <c r="AKH173" s="125"/>
      <c r="AKI173" s="125"/>
      <c r="AKJ173" s="125"/>
      <c r="AKK173" s="125"/>
      <c r="AKL173" s="125"/>
      <c r="AKM173" s="125"/>
      <c r="AKN173" s="125"/>
      <c r="AKO173" s="125"/>
      <c r="AKP173" s="125"/>
      <c r="AKQ173" s="125"/>
      <c r="AKR173" s="125"/>
      <c r="AKS173" s="125"/>
      <c r="AKT173" s="125"/>
      <c r="AKU173" s="125"/>
      <c r="AKV173" s="125"/>
      <c r="AKW173" s="125"/>
      <c r="AKX173" s="125"/>
      <c r="AKY173" s="125"/>
      <c r="AKZ173" s="125"/>
      <c r="ALA173" s="125"/>
      <c r="ALB173" s="125"/>
      <c r="ALC173" s="125"/>
      <c r="ALD173" s="125"/>
      <c r="ALE173" s="125"/>
      <c r="ALF173" s="125"/>
      <c r="ALG173" s="125"/>
      <c r="ALH173" s="125"/>
      <c r="ALI173" s="125"/>
      <c r="ALJ173" s="125"/>
      <c r="ALK173" s="125"/>
      <c r="ALL173" s="125"/>
      <c r="ALM173" s="125"/>
      <c r="ALN173" s="125"/>
      <c r="ALO173" s="125"/>
      <c r="ALP173" s="125"/>
      <c r="ALQ173" s="125"/>
      <c r="ALR173" s="125"/>
      <c r="ALS173" s="125"/>
      <c r="ALT173" s="125"/>
      <c r="ALU173" s="125"/>
      <c r="ALV173" s="125"/>
      <c r="ALW173" s="125"/>
      <c r="ALX173" s="125"/>
      <c r="ALY173" s="125"/>
      <c r="ALZ173" s="125"/>
      <c r="AMA173" s="125"/>
      <c r="AMB173" s="125"/>
      <c r="AMC173" s="125"/>
      <c r="AMD173" s="125"/>
      <c r="AME173" s="125"/>
      <c r="AMF173" s="125"/>
      <c r="AMG173" s="125"/>
      <c r="AMH173" s="125"/>
      <c r="AMI173" s="125"/>
      <c r="AMJ173" s="125"/>
      <c r="AMK173" s="125"/>
      <c r="AML173" s="125"/>
      <c r="AMM173" s="125"/>
      <c r="AMN173" s="125"/>
      <c r="AMO173" s="125"/>
      <c r="AMP173" s="125"/>
      <c r="AMQ173" s="125"/>
      <c r="AMR173" s="125"/>
      <c r="AMS173" s="125"/>
      <c r="AMT173" s="125"/>
      <c r="AMU173" s="125"/>
      <c r="AMV173" s="125"/>
      <c r="AMW173" s="125"/>
      <c r="AMX173" s="125"/>
      <c r="AMY173" s="125"/>
      <c r="AMZ173" s="125"/>
      <c r="ANA173" s="125"/>
      <c r="ANB173" s="125"/>
      <c r="ANC173" s="125"/>
      <c r="AND173" s="125"/>
      <c r="ANE173" s="125"/>
      <c r="ANF173" s="125"/>
      <c r="ANG173" s="125"/>
      <c r="ANH173" s="125"/>
      <c r="ANI173" s="125"/>
      <c r="ANJ173" s="125"/>
      <c r="ANK173" s="125"/>
      <c r="ANL173" s="125"/>
      <c r="ANM173" s="125"/>
      <c r="ANN173" s="125"/>
      <c r="ANO173" s="125"/>
      <c r="ANP173" s="125"/>
      <c r="ANQ173" s="125"/>
      <c r="ANR173" s="125"/>
      <c r="ANS173" s="125"/>
      <c r="ANT173" s="125"/>
      <c r="ANU173" s="125"/>
      <c r="ANV173" s="125"/>
      <c r="ANW173" s="125"/>
      <c r="ANX173" s="125"/>
      <c r="ANY173" s="125"/>
      <c r="ANZ173" s="125"/>
      <c r="AOA173" s="125"/>
      <c r="AOB173" s="125"/>
      <c r="AOC173" s="125"/>
      <c r="AOD173" s="125"/>
      <c r="AOE173" s="125"/>
      <c r="AOF173" s="125"/>
      <c r="AOG173" s="125"/>
      <c r="AOH173" s="125"/>
      <c r="AOI173" s="125"/>
      <c r="AOJ173" s="125"/>
      <c r="AOK173" s="125"/>
      <c r="AOL173" s="125"/>
      <c r="AOM173" s="125"/>
      <c r="AON173" s="125"/>
      <c r="AOO173" s="125"/>
      <c r="AOP173" s="125"/>
      <c r="AOQ173" s="125"/>
      <c r="AOR173" s="125"/>
      <c r="AOS173" s="125"/>
      <c r="AOT173" s="125"/>
      <c r="AOU173" s="125"/>
      <c r="AOV173" s="125"/>
      <c r="AOW173" s="125"/>
      <c r="AOX173" s="125"/>
      <c r="AOY173" s="125"/>
      <c r="AOZ173" s="125"/>
      <c r="APA173" s="125"/>
      <c r="APB173" s="125"/>
      <c r="APC173" s="125"/>
      <c r="APD173" s="125"/>
      <c r="APE173" s="125"/>
      <c r="APF173" s="125"/>
      <c r="APG173" s="125"/>
      <c r="APH173" s="125"/>
      <c r="API173" s="125"/>
      <c r="APJ173" s="125"/>
      <c r="APK173" s="125"/>
      <c r="APL173" s="125"/>
      <c r="APM173" s="125"/>
      <c r="APN173" s="125"/>
      <c r="APO173" s="125"/>
      <c r="APP173" s="125"/>
      <c r="APQ173" s="125"/>
      <c r="APR173" s="125"/>
      <c r="APS173" s="125"/>
      <c r="APT173" s="125"/>
      <c r="APU173" s="125"/>
      <c r="APV173" s="125"/>
      <c r="APW173" s="125"/>
      <c r="APX173" s="125"/>
      <c r="APY173" s="125"/>
      <c r="APZ173" s="125"/>
      <c r="AQA173" s="125"/>
      <c r="AQB173" s="125"/>
      <c r="AQC173" s="125"/>
      <c r="AQD173" s="125"/>
      <c r="AQE173" s="125"/>
      <c r="AQF173" s="125"/>
      <c r="AQG173" s="125"/>
      <c r="AQH173" s="125"/>
      <c r="AQI173" s="125"/>
      <c r="AQJ173" s="125"/>
      <c r="AQK173" s="125"/>
      <c r="AQL173" s="125"/>
      <c r="AQM173" s="125"/>
      <c r="AQN173" s="125"/>
      <c r="AQO173" s="125"/>
      <c r="AQP173" s="125"/>
      <c r="AQQ173" s="125"/>
      <c r="AQR173" s="125"/>
      <c r="AQS173" s="125"/>
      <c r="AQT173" s="125"/>
      <c r="AQU173" s="125"/>
      <c r="AQV173" s="125"/>
      <c r="AQW173" s="125"/>
      <c r="AQX173" s="125"/>
      <c r="AQY173" s="125"/>
      <c r="AQZ173" s="125"/>
      <c r="ARA173" s="125"/>
      <c r="ARB173" s="125"/>
      <c r="ARC173" s="125"/>
      <c r="ARD173" s="125"/>
      <c r="ARE173" s="125"/>
      <c r="ARF173" s="125"/>
      <c r="ARG173" s="125"/>
      <c r="ARH173" s="125"/>
      <c r="ARI173" s="125"/>
      <c r="ARJ173" s="125"/>
      <c r="ARK173" s="125"/>
      <c r="ARL173" s="125"/>
      <c r="ARM173" s="125"/>
      <c r="ARN173" s="125"/>
      <c r="ARO173" s="125"/>
      <c r="ARP173" s="125"/>
      <c r="ARQ173" s="125"/>
      <c r="ARR173" s="125"/>
      <c r="ARS173" s="125"/>
      <c r="ART173" s="125"/>
      <c r="ARU173" s="125"/>
      <c r="ARV173" s="125"/>
      <c r="ARW173" s="125"/>
      <c r="ARX173" s="125"/>
      <c r="ARY173" s="125"/>
      <c r="ARZ173" s="125"/>
      <c r="ASA173" s="125"/>
      <c r="ASB173" s="125"/>
      <c r="ASC173" s="125"/>
      <c r="ASD173" s="125"/>
      <c r="ASE173" s="125"/>
      <c r="ASF173" s="125"/>
      <c r="ASG173" s="125"/>
      <c r="ASH173" s="125"/>
      <c r="ASI173" s="125"/>
      <c r="ASJ173" s="125"/>
      <c r="ASK173" s="125"/>
      <c r="ASL173" s="125"/>
      <c r="ASM173" s="125"/>
      <c r="ASN173" s="125"/>
      <c r="ASO173" s="125"/>
      <c r="ASP173" s="125"/>
      <c r="ASQ173" s="125"/>
      <c r="ASR173" s="125"/>
      <c r="ASS173" s="125"/>
      <c r="AST173" s="125"/>
      <c r="ASU173" s="125"/>
      <c r="ASV173" s="125"/>
      <c r="ASW173" s="125"/>
      <c r="ASX173" s="125"/>
      <c r="ASY173" s="125"/>
      <c r="ASZ173" s="125"/>
      <c r="ATA173" s="125"/>
      <c r="ATB173" s="125"/>
      <c r="ATC173" s="125"/>
      <c r="ATD173" s="125"/>
      <c r="ATE173" s="125"/>
      <c r="ATF173" s="125"/>
      <c r="ATG173" s="125"/>
      <c r="ATH173" s="125"/>
      <c r="ATI173" s="125"/>
      <c r="ATJ173" s="125"/>
      <c r="ATK173" s="125"/>
      <c r="ATL173" s="125"/>
      <c r="ATM173" s="125"/>
      <c r="ATN173" s="125"/>
      <c r="ATO173" s="125"/>
      <c r="ATP173" s="125"/>
      <c r="ATQ173" s="125"/>
      <c r="ATR173" s="125"/>
      <c r="ATS173" s="125"/>
      <c r="ATT173" s="125"/>
      <c r="ATU173" s="125"/>
      <c r="ATV173" s="125"/>
      <c r="ATW173" s="125"/>
      <c r="ATX173" s="125"/>
      <c r="ATY173" s="125"/>
      <c r="ATZ173" s="125"/>
      <c r="AUA173" s="125"/>
      <c r="AUB173" s="125"/>
      <c r="AUC173" s="125"/>
      <c r="AUD173" s="125"/>
      <c r="AUE173" s="125"/>
      <c r="AUF173" s="125"/>
      <c r="AUG173" s="125"/>
      <c r="AUH173" s="125"/>
      <c r="AUI173" s="125"/>
      <c r="AUJ173" s="125"/>
      <c r="AUK173" s="125"/>
      <c r="AUL173" s="125"/>
      <c r="AUM173" s="125"/>
      <c r="AUN173" s="125"/>
      <c r="AUO173" s="125"/>
      <c r="AUP173" s="125"/>
      <c r="AUQ173" s="125"/>
      <c r="AUR173" s="125"/>
      <c r="AUS173" s="125"/>
      <c r="AUT173" s="125"/>
      <c r="AUU173" s="125"/>
      <c r="AUV173" s="125"/>
      <c r="AUW173" s="125"/>
      <c r="AUX173" s="125"/>
      <c r="AUY173" s="125"/>
      <c r="AUZ173" s="125"/>
      <c r="AVA173" s="125"/>
      <c r="AVB173" s="125"/>
      <c r="AVC173" s="125"/>
      <c r="AVD173" s="125"/>
      <c r="AVE173" s="125"/>
      <c r="AVF173" s="125"/>
      <c r="AVG173" s="125"/>
      <c r="AVH173" s="125"/>
      <c r="AVI173" s="125"/>
      <c r="AVJ173" s="125"/>
      <c r="AVK173" s="125"/>
      <c r="AVL173" s="125"/>
      <c r="AVM173" s="125"/>
      <c r="AVN173" s="125"/>
      <c r="AVO173" s="125"/>
      <c r="AVP173" s="125"/>
      <c r="AVQ173" s="125"/>
      <c r="AVR173" s="125"/>
      <c r="AVS173" s="125"/>
      <c r="AVT173" s="125"/>
      <c r="AVU173" s="125"/>
      <c r="AVV173" s="125"/>
      <c r="AVW173" s="125"/>
      <c r="AVX173" s="125"/>
      <c r="AVY173" s="125"/>
      <c r="AVZ173" s="125"/>
      <c r="AWA173" s="125"/>
      <c r="AWB173" s="125"/>
      <c r="AWC173" s="125"/>
      <c r="AWD173" s="125"/>
      <c r="AWE173" s="125"/>
      <c r="AWF173" s="125"/>
      <c r="AWG173" s="125"/>
      <c r="AWH173" s="125"/>
      <c r="AWI173" s="125"/>
      <c r="AWJ173" s="125"/>
      <c r="AWK173" s="125"/>
      <c r="AWL173" s="125"/>
      <c r="AWM173" s="125"/>
      <c r="AWN173" s="125"/>
      <c r="AWO173" s="125"/>
      <c r="AWP173" s="125"/>
      <c r="AWQ173" s="125"/>
      <c r="AWR173" s="125"/>
      <c r="AWS173" s="125"/>
      <c r="AWT173" s="125"/>
      <c r="AWU173" s="125"/>
      <c r="AWV173" s="125"/>
      <c r="AWW173" s="125"/>
      <c r="AWX173" s="125"/>
      <c r="AWY173" s="125"/>
      <c r="AWZ173" s="125"/>
      <c r="AXA173" s="125"/>
      <c r="AXB173" s="125"/>
      <c r="AXC173" s="125"/>
      <c r="AXD173" s="125"/>
      <c r="AXE173" s="125"/>
      <c r="AXF173" s="125"/>
      <c r="AXG173" s="125"/>
      <c r="AXH173" s="125"/>
      <c r="AXI173" s="125"/>
      <c r="AXJ173" s="125"/>
      <c r="AXK173" s="125"/>
      <c r="AXL173" s="125"/>
      <c r="AXM173" s="125"/>
      <c r="AXN173" s="125"/>
      <c r="AXO173" s="125"/>
      <c r="AXP173" s="125"/>
      <c r="AXQ173" s="125"/>
      <c r="AXR173" s="125"/>
      <c r="AXS173" s="125"/>
      <c r="AXT173" s="125"/>
      <c r="AXU173" s="125"/>
      <c r="AXV173" s="125"/>
      <c r="AXW173" s="125"/>
      <c r="AXX173" s="125"/>
      <c r="AXY173" s="125"/>
      <c r="AXZ173" s="125"/>
      <c r="AYA173" s="125"/>
      <c r="AYB173" s="125"/>
      <c r="AYC173" s="125"/>
      <c r="AYD173" s="125"/>
      <c r="AYE173" s="125"/>
      <c r="AYF173" s="125"/>
      <c r="AYG173" s="125"/>
      <c r="AYH173" s="125"/>
      <c r="AYI173" s="125"/>
      <c r="AYJ173" s="125"/>
      <c r="AYK173" s="125"/>
      <c r="AYL173" s="125"/>
      <c r="AYM173" s="125"/>
      <c r="AYN173" s="125"/>
      <c r="AYO173" s="125"/>
      <c r="AYP173" s="125"/>
      <c r="AYQ173" s="125"/>
      <c r="AYR173" s="125"/>
      <c r="AYS173" s="125"/>
      <c r="AYT173" s="125"/>
      <c r="AYU173" s="125"/>
      <c r="AYV173" s="125"/>
      <c r="AYW173" s="125"/>
      <c r="AYX173" s="125"/>
      <c r="AYY173" s="125"/>
      <c r="AYZ173" s="125"/>
      <c r="AZA173" s="125"/>
      <c r="AZB173" s="125"/>
      <c r="AZC173" s="125"/>
      <c r="AZD173" s="125"/>
      <c r="AZE173" s="125"/>
      <c r="AZF173" s="125"/>
      <c r="AZG173" s="125"/>
      <c r="AZH173" s="125"/>
      <c r="AZI173" s="125"/>
      <c r="AZJ173" s="125"/>
      <c r="AZK173" s="125"/>
      <c r="AZL173" s="125"/>
      <c r="AZM173" s="125"/>
      <c r="AZN173" s="125"/>
      <c r="AZO173" s="125"/>
      <c r="AZP173" s="125"/>
      <c r="AZQ173" s="125"/>
      <c r="AZR173" s="125"/>
      <c r="AZS173" s="125"/>
      <c r="AZT173" s="125"/>
      <c r="AZU173" s="125"/>
      <c r="AZV173" s="125"/>
      <c r="AZW173" s="125"/>
      <c r="AZX173" s="125"/>
      <c r="AZY173" s="125"/>
      <c r="AZZ173" s="125"/>
      <c r="BAA173" s="125"/>
      <c r="BAB173" s="125"/>
      <c r="BAC173" s="125"/>
      <c r="BAD173" s="125"/>
      <c r="BAE173" s="125"/>
      <c r="BAF173" s="125"/>
      <c r="BAG173" s="125"/>
      <c r="BAH173" s="125"/>
      <c r="BAI173" s="125"/>
      <c r="BAJ173" s="125"/>
      <c r="BAK173" s="125"/>
      <c r="BAL173" s="125"/>
      <c r="BAM173" s="125"/>
      <c r="BAN173" s="125"/>
      <c r="BAO173" s="125"/>
      <c r="BAP173" s="125"/>
      <c r="BAQ173" s="125"/>
      <c r="BAR173" s="125"/>
      <c r="BAS173" s="125"/>
      <c r="BAT173" s="125"/>
      <c r="BAU173" s="125"/>
      <c r="BAV173" s="125"/>
      <c r="BAW173" s="125"/>
      <c r="BAX173" s="125"/>
      <c r="BAY173" s="125"/>
      <c r="BAZ173" s="125"/>
      <c r="BBA173" s="125"/>
      <c r="BBB173" s="125"/>
      <c r="BBC173" s="125"/>
      <c r="BBD173" s="125"/>
      <c r="BBE173" s="125"/>
      <c r="BBF173" s="125"/>
      <c r="BBG173" s="125"/>
      <c r="BBH173" s="125"/>
      <c r="BBI173" s="125"/>
      <c r="BBJ173" s="125"/>
      <c r="BBK173" s="125"/>
      <c r="BBL173" s="125"/>
      <c r="BBM173" s="125"/>
      <c r="BBN173" s="125"/>
      <c r="BBO173" s="125"/>
      <c r="BBP173" s="125"/>
      <c r="BBQ173" s="125"/>
      <c r="BBR173" s="125"/>
      <c r="BBS173" s="125"/>
      <c r="BBT173" s="125"/>
      <c r="BBU173" s="125"/>
      <c r="BBV173" s="125"/>
      <c r="BBW173" s="125"/>
      <c r="BBX173" s="125"/>
      <c r="BBY173" s="125"/>
      <c r="BBZ173" s="125"/>
      <c r="BCA173" s="125"/>
      <c r="BCB173" s="125"/>
      <c r="BCC173" s="125"/>
      <c r="BCD173" s="125"/>
      <c r="BCE173" s="125"/>
      <c r="BCF173" s="125"/>
      <c r="BCG173" s="125"/>
      <c r="BCH173" s="125"/>
      <c r="BCI173" s="125"/>
      <c r="BCJ173" s="125"/>
      <c r="BCK173" s="125"/>
      <c r="BCL173" s="125"/>
      <c r="BCM173" s="125"/>
      <c r="BCN173" s="125"/>
      <c r="BCO173" s="125"/>
      <c r="BCP173" s="125"/>
      <c r="BCQ173" s="125"/>
      <c r="BCR173" s="125"/>
      <c r="BCS173" s="125"/>
      <c r="BCT173" s="125"/>
      <c r="BCU173" s="125"/>
      <c r="BCV173" s="125"/>
      <c r="BCW173" s="125"/>
      <c r="BCX173" s="125"/>
      <c r="BCY173" s="125"/>
      <c r="BCZ173" s="125"/>
      <c r="BDA173" s="125"/>
      <c r="BDB173" s="125"/>
      <c r="BDC173" s="125"/>
      <c r="BDD173" s="125"/>
      <c r="BDE173" s="125"/>
      <c r="BDF173" s="125"/>
      <c r="BDG173" s="125"/>
      <c r="BDH173" s="125"/>
      <c r="BDI173" s="125"/>
      <c r="BDJ173" s="125"/>
      <c r="BDK173" s="125"/>
      <c r="BDL173" s="125"/>
      <c r="BDM173" s="125"/>
      <c r="BDN173" s="125"/>
      <c r="BDO173" s="125"/>
      <c r="BDP173" s="125"/>
      <c r="BDQ173" s="125"/>
      <c r="BDR173" s="125"/>
      <c r="BDS173" s="125"/>
      <c r="BDT173" s="125"/>
      <c r="BDU173" s="125"/>
      <c r="BDV173" s="125"/>
      <c r="BDW173" s="125"/>
      <c r="BDX173" s="125"/>
      <c r="BDY173" s="125"/>
      <c r="BDZ173" s="125"/>
      <c r="BEA173" s="125"/>
      <c r="BEB173" s="125"/>
      <c r="BEC173" s="125"/>
      <c r="BED173" s="125"/>
      <c r="BEE173" s="125"/>
      <c r="BEF173" s="125"/>
      <c r="BEG173" s="125"/>
      <c r="BEH173" s="125"/>
      <c r="BEI173" s="125"/>
      <c r="BEJ173" s="125"/>
      <c r="BEK173" s="125"/>
      <c r="BEL173" s="125"/>
      <c r="BEM173" s="125"/>
      <c r="BEN173" s="125"/>
      <c r="BEO173" s="125"/>
      <c r="BEP173" s="125"/>
      <c r="BEQ173" s="125"/>
      <c r="BER173" s="125"/>
      <c r="BES173" s="125"/>
      <c r="BET173" s="125"/>
      <c r="BEU173" s="125"/>
      <c r="BEV173" s="125"/>
      <c r="BEW173" s="125"/>
      <c r="BEX173" s="125"/>
      <c r="BEY173" s="125"/>
      <c r="BEZ173" s="125"/>
      <c r="BFA173" s="125"/>
      <c r="BFB173" s="125"/>
      <c r="BFC173" s="125"/>
      <c r="BFD173" s="125"/>
      <c r="BFE173" s="125"/>
      <c r="BFF173" s="125"/>
      <c r="BFG173" s="125"/>
      <c r="BFH173" s="125"/>
      <c r="BFI173" s="125"/>
      <c r="BFJ173" s="125"/>
      <c r="BFK173" s="125"/>
      <c r="BFL173" s="125"/>
      <c r="BFM173" s="125"/>
      <c r="BFN173" s="125"/>
      <c r="BFO173" s="125"/>
      <c r="BFP173" s="125"/>
      <c r="BFQ173" s="125"/>
      <c r="BFR173" s="125"/>
      <c r="BFS173" s="125"/>
      <c r="BFT173" s="125"/>
      <c r="BFU173" s="125"/>
      <c r="BFV173" s="125"/>
      <c r="BFW173" s="125"/>
      <c r="BFX173" s="125"/>
      <c r="BFY173" s="125"/>
      <c r="BFZ173" s="125"/>
      <c r="BGA173" s="125"/>
      <c r="BGB173" s="125"/>
      <c r="BGC173" s="125"/>
      <c r="BGD173" s="125"/>
      <c r="BGE173" s="125"/>
      <c r="BGF173" s="125"/>
      <c r="BGG173" s="125"/>
      <c r="BGH173" s="125"/>
      <c r="BGI173" s="125"/>
      <c r="BGJ173" s="125"/>
      <c r="BGK173" s="125"/>
      <c r="BGL173" s="125"/>
      <c r="BGM173" s="125"/>
      <c r="BGN173" s="125"/>
      <c r="BGO173" s="125"/>
      <c r="BGP173" s="125"/>
      <c r="BGQ173" s="125"/>
      <c r="BGR173" s="125"/>
      <c r="BGS173" s="125"/>
      <c r="BGT173" s="125"/>
      <c r="BGU173" s="125"/>
      <c r="BGV173" s="125"/>
      <c r="BGW173" s="125"/>
      <c r="BGX173" s="125"/>
      <c r="BGY173" s="125"/>
      <c r="BGZ173" s="125"/>
      <c r="BHA173" s="125"/>
      <c r="BHB173" s="125"/>
      <c r="BHC173" s="125"/>
      <c r="BHD173" s="125"/>
      <c r="BHE173" s="125"/>
      <c r="BHF173" s="125"/>
      <c r="BHG173" s="125"/>
      <c r="BHH173" s="125"/>
      <c r="BHI173" s="125"/>
      <c r="BHJ173" s="125"/>
      <c r="BHK173" s="125"/>
      <c r="BHL173" s="125"/>
      <c r="BHM173" s="125"/>
      <c r="BHN173" s="125"/>
      <c r="BHO173" s="125"/>
      <c r="BHP173" s="125"/>
      <c r="BHQ173" s="125"/>
      <c r="BHR173" s="125"/>
      <c r="BHS173" s="125"/>
      <c r="BHT173" s="125"/>
      <c r="BHU173" s="125"/>
      <c r="BHV173" s="125"/>
      <c r="BHW173" s="125"/>
      <c r="BHX173" s="125"/>
      <c r="BHY173" s="125"/>
      <c r="BHZ173" s="125"/>
      <c r="BIA173" s="125"/>
      <c r="BIB173" s="125"/>
      <c r="BIC173" s="125"/>
      <c r="BID173" s="125"/>
      <c r="BIE173" s="125"/>
      <c r="BIF173" s="125"/>
      <c r="BIG173" s="125"/>
      <c r="BIH173" s="125"/>
      <c r="BII173" s="125"/>
      <c r="BIJ173" s="125"/>
      <c r="BIK173" s="125"/>
      <c r="BIL173" s="125"/>
      <c r="BIM173" s="125"/>
      <c r="BIN173" s="125"/>
      <c r="BIO173" s="125"/>
      <c r="BIP173" s="125"/>
      <c r="BIQ173" s="125"/>
      <c r="BIR173" s="125"/>
      <c r="BIS173" s="125"/>
      <c r="BIT173" s="125"/>
      <c r="BIU173" s="125"/>
      <c r="BIV173" s="125"/>
      <c r="BIW173" s="125"/>
      <c r="BIX173" s="125"/>
      <c r="BIY173" s="125"/>
      <c r="BIZ173" s="125"/>
      <c r="BJA173" s="125"/>
      <c r="BJB173" s="125"/>
      <c r="BJC173" s="125"/>
      <c r="BJD173" s="125"/>
      <c r="BJE173" s="125"/>
      <c r="BJF173" s="125"/>
      <c r="BJG173" s="125"/>
      <c r="BJH173" s="125"/>
      <c r="BJI173" s="125"/>
      <c r="BJJ173" s="125"/>
      <c r="BJK173" s="125"/>
      <c r="BJL173" s="125"/>
      <c r="BJM173" s="125"/>
      <c r="BJN173" s="125"/>
      <c r="BJO173" s="125"/>
      <c r="BJP173" s="125"/>
      <c r="BJQ173" s="125"/>
      <c r="BJR173" s="125"/>
      <c r="BJS173" s="125"/>
      <c r="BJT173" s="125"/>
      <c r="BJU173" s="125"/>
      <c r="BJV173" s="125"/>
      <c r="BJW173" s="125"/>
      <c r="BJX173" s="125"/>
      <c r="BJY173" s="125"/>
      <c r="BJZ173" s="125"/>
      <c r="BKA173" s="125"/>
      <c r="BKB173" s="125"/>
      <c r="BKC173" s="125"/>
      <c r="BKD173" s="125"/>
      <c r="BKE173" s="125"/>
      <c r="BKF173" s="125"/>
      <c r="BKG173" s="125"/>
      <c r="BKH173" s="125"/>
      <c r="BKI173" s="125"/>
      <c r="BKJ173" s="125"/>
      <c r="BKK173" s="125"/>
      <c r="BKL173" s="125"/>
      <c r="BKM173" s="125"/>
      <c r="BKN173" s="125"/>
      <c r="BKO173" s="125"/>
      <c r="BKP173" s="125"/>
      <c r="BKQ173" s="125"/>
      <c r="BKR173" s="125"/>
      <c r="BKS173" s="125"/>
      <c r="BKT173" s="125"/>
      <c r="BKU173" s="125"/>
      <c r="BKV173" s="125"/>
      <c r="BKW173" s="125"/>
      <c r="BKX173" s="125"/>
      <c r="BKY173" s="125"/>
      <c r="BKZ173" s="125"/>
      <c r="BLA173" s="125"/>
      <c r="BLB173" s="125"/>
      <c r="BLC173" s="125"/>
      <c r="BLD173" s="125"/>
      <c r="BLE173" s="125"/>
      <c r="BLF173" s="125"/>
      <c r="BLG173" s="125"/>
      <c r="BLH173" s="125"/>
      <c r="BLI173" s="125"/>
      <c r="BLJ173" s="125"/>
      <c r="BLK173" s="125"/>
      <c r="BLL173" s="125"/>
      <c r="BLM173" s="125"/>
      <c r="BLN173" s="125"/>
      <c r="BLO173" s="125"/>
      <c r="BLP173" s="125"/>
      <c r="BLQ173" s="125"/>
      <c r="BLR173" s="125"/>
      <c r="BLS173" s="125"/>
      <c r="BLT173" s="125"/>
      <c r="BLU173" s="125"/>
      <c r="BLV173" s="125"/>
      <c r="BLW173" s="125"/>
      <c r="BLX173" s="125"/>
      <c r="BLY173" s="125"/>
      <c r="BLZ173" s="125"/>
      <c r="BMA173" s="125"/>
      <c r="BMB173" s="125"/>
      <c r="BMC173" s="125"/>
      <c r="BMD173" s="125"/>
      <c r="BME173" s="125"/>
      <c r="BMF173" s="125"/>
      <c r="BMG173" s="125"/>
      <c r="BMH173" s="125"/>
      <c r="BMI173" s="125"/>
      <c r="BMJ173" s="125"/>
      <c r="BMK173" s="125"/>
      <c r="BML173" s="125"/>
      <c r="BMM173" s="125"/>
      <c r="BMN173" s="125"/>
      <c r="BMO173" s="125"/>
      <c r="BMP173" s="125"/>
      <c r="BMQ173" s="125"/>
      <c r="BMR173" s="125"/>
      <c r="BMS173" s="125"/>
      <c r="BMT173" s="125"/>
      <c r="BMU173" s="125"/>
      <c r="BMV173" s="125"/>
      <c r="BMW173" s="125"/>
      <c r="BMX173" s="125"/>
      <c r="BMY173" s="125"/>
      <c r="BMZ173" s="125"/>
      <c r="BNA173" s="125"/>
      <c r="BNB173" s="125"/>
      <c r="BNC173" s="125"/>
      <c r="BND173" s="125"/>
      <c r="BNE173" s="125"/>
      <c r="BNF173" s="125"/>
      <c r="BNG173" s="125"/>
      <c r="BNH173" s="125"/>
      <c r="BNI173" s="125"/>
      <c r="BNJ173" s="125"/>
      <c r="BNK173" s="125"/>
      <c r="BNL173" s="125"/>
      <c r="BNM173" s="125"/>
      <c r="BNN173" s="125"/>
      <c r="BNO173" s="125"/>
      <c r="BNP173" s="125"/>
      <c r="BNQ173" s="125"/>
      <c r="BNR173" s="125"/>
      <c r="BNS173" s="125"/>
      <c r="BNT173" s="125"/>
      <c r="BNU173" s="125"/>
      <c r="BNV173" s="125"/>
      <c r="BNW173" s="125"/>
      <c r="BNX173" s="125"/>
      <c r="BNY173" s="125"/>
      <c r="BNZ173" s="125"/>
      <c r="BOA173" s="125"/>
      <c r="BOB173" s="125"/>
      <c r="BOC173" s="125"/>
      <c r="BOD173" s="125"/>
      <c r="BOE173" s="125"/>
      <c r="BOF173" s="125"/>
      <c r="BOG173" s="125"/>
      <c r="BOH173" s="125"/>
      <c r="BOI173" s="125"/>
      <c r="BOJ173" s="125"/>
      <c r="BOK173" s="125"/>
      <c r="BOL173" s="125"/>
      <c r="BOM173" s="125"/>
      <c r="BON173" s="125"/>
      <c r="BOO173" s="125"/>
      <c r="BOP173" s="125"/>
      <c r="BOQ173" s="125"/>
      <c r="BOR173" s="125"/>
      <c r="BOS173" s="125"/>
      <c r="BOT173" s="125"/>
      <c r="BOU173" s="125"/>
      <c r="BOV173" s="125"/>
      <c r="BOW173" s="125"/>
      <c r="BOX173" s="125"/>
      <c r="BOY173" s="125"/>
      <c r="BOZ173" s="125"/>
      <c r="BPA173" s="125"/>
      <c r="BPB173" s="125"/>
      <c r="BPC173" s="125"/>
      <c r="BPD173" s="125"/>
      <c r="BPE173" s="125"/>
      <c r="BPF173" s="125"/>
      <c r="BPG173" s="125"/>
      <c r="BPH173" s="125"/>
      <c r="BPI173" s="125"/>
      <c r="BPJ173" s="125"/>
      <c r="BPK173" s="125"/>
      <c r="BPL173" s="125"/>
      <c r="BPM173" s="125"/>
      <c r="BPN173" s="125"/>
      <c r="BPO173" s="125"/>
      <c r="BPP173" s="125"/>
      <c r="BPQ173" s="125"/>
      <c r="BPR173" s="125"/>
      <c r="BPS173" s="125"/>
      <c r="BPT173" s="125"/>
      <c r="BPU173" s="125"/>
      <c r="BPV173" s="125"/>
      <c r="BPW173" s="125"/>
      <c r="BPX173" s="125"/>
      <c r="BPY173" s="125"/>
      <c r="BPZ173" s="125"/>
      <c r="BQA173" s="125"/>
      <c r="BQB173" s="125"/>
      <c r="BQC173" s="125"/>
      <c r="BQD173" s="125"/>
      <c r="BQE173" s="125"/>
      <c r="BQF173" s="125"/>
      <c r="BQG173" s="125"/>
      <c r="BQH173" s="125"/>
      <c r="BQI173" s="125"/>
      <c r="BQJ173" s="125"/>
      <c r="BQK173" s="125"/>
      <c r="BQL173" s="125"/>
      <c r="BQM173" s="125"/>
      <c r="BQN173" s="125"/>
      <c r="BQO173" s="125"/>
      <c r="BQP173" s="125"/>
      <c r="BQQ173" s="125"/>
      <c r="BQR173" s="125"/>
      <c r="BQS173" s="125"/>
      <c r="BQT173" s="125"/>
      <c r="BQU173" s="125"/>
      <c r="BQV173" s="125"/>
      <c r="BQW173" s="125"/>
      <c r="BQX173" s="125"/>
      <c r="BQY173" s="125"/>
      <c r="BQZ173" s="125"/>
      <c r="BRA173" s="125"/>
      <c r="BRB173" s="125"/>
      <c r="BRC173" s="125"/>
      <c r="BRD173" s="125"/>
      <c r="BRE173" s="125"/>
      <c r="BRF173" s="125"/>
      <c r="BRG173" s="125"/>
      <c r="BRH173" s="125"/>
      <c r="BRI173" s="125"/>
      <c r="BRJ173" s="125"/>
      <c r="BRK173" s="125"/>
      <c r="BRL173" s="125"/>
      <c r="BRM173" s="125"/>
      <c r="BRN173" s="125"/>
      <c r="BRO173" s="125"/>
      <c r="BRP173" s="125"/>
      <c r="BRQ173" s="125"/>
      <c r="BRR173" s="125"/>
      <c r="BRS173" s="125"/>
      <c r="BRT173" s="125"/>
      <c r="BRU173" s="125"/>
      <c r="BRV173" s="125"/>
      <c r="BRW173" s="125"/>
      <c r="BRX173" s="125"/>
      <c r="BRY173" s="125"/>
      <c r="BRZ173" s="125"/>
      <c r="BSA173" s="125"/>
      <c r="BSB173" s="125"/>
      <c r="BSC173" s="125"/>
      <c r="BSD173" s="125"/>
      <c r="BSE173" s="125"/>
      <c r="BSF173" s="125"/>
      <c r="BSG173" s="125"/>
      <c r="BSH173" s="125"/>
      <c r="BSI173" s="125"/>
      <c r="BSJ173" s="125"/>
      <c r="BSK173" s="125"/>
      <c r="BSL173" s="125"/>
      <c r="BSM173" s="125"/>
      <c r="BSN173" s="125"/>
      <c r="BSO173" s="125"/>
      <c r="BSP173" s="125"/>
      <c r="BSQ173" s="125"/>
      <c r="BSR173" s="125"/>
      <c r="BSS173" s="125"/>
      <c r="BST173" s="125"/>
      <c r="BSU173" s="125"/>
      <c r="BSV173" s="125"/>
      <c r="BSW173" s="125"/>
      <c r="BSX173" s="125"/>
      <c r="BSY173" s="125"/>
      <c r="BSZ173" s="125"/>
      <c r="BTA173" s="125"/>
      <c r="BTB173" s="125"/>
      <c r="BTC173" s="125"/>
      <c r="BTD173" s="125"/>
      <c r="BTE173" s="125"/>
      <c r="BTF173" s="125"/>
      <c r="BTG173" s="125"/>
      <c r="BTH173" s="125"/>
      <c r="BTI173" s="125"/>
      <c r="BTJ173" s="125"/>
      <c r="BTK173" s="125"/>
      <c r="BTL173" s="125"/>
      <c r="BTM173" s="125"/>
      <c r="BTN173" s="125"/>
      <c r="BTO173" s="125"/>
      <c r="BTP173" s="125"/>
      <c r="BTQ173" s="125"/>
      <c r="BTR173" s="125"/>
      <c r="BTS173" s="125"/>
      <c r="BTT173" s="125"/>
      <c r="BTU173" s="125"/>
      <c r="BTV173" s="125"/>
      <c r="BTW173" s="125"/>
      <c r="BTX173" s="125"/>
      <c r="BTY173" s="125"/>
      <c r="BTZ173" s="125"/>
      <c r="BUA173" s="125"/>
      <c r="BUB173" s="125"/>
      <c r="BUC173" s="125"/>
      <c r="BUD173" s="125"/>
      <c r="BUE173" s="125"/>
      <c r="BUF173" s="125"/>
      <c r="BUG173" s="125"/>
      <c r="BUH173" s="125"/>
      <c r="BUI173" s="125"/>
      <c r="BUJ173" s="125"/>
      <c r="BUK173" s="125"/>
      <c r="BUL173" s="125"/>
      <c r="BUM173" s="125"/>
      <c r="BUN173" s="125"/>
      <c r="BUO173" s="125"/>
      <c r="BUP173" s="125"/>
      <c r="BUQ173" s="125"/>
      <c r="BUR173" s="125"/>
      <c r="BUS173" s="125"/>
      <c r="BUT173" s="125"/>
      <c r="BUU173" s="125"/>
      <c r="BUV173" s="125"/>
      <c r="BUW173" s="125"/>
      <c r="BUX173" s="125"/>
      <c r="BUY173" s="125"/>
      <c r="BUZ173" s="125"/>
      <c r="BVA173" s="125"/>
      <c r="BVB173" s="125"/>
      <c r="BVC173" s="125"/>
      <c r="BVD173" s="125"/>
      <c r="BVE173" s="125"/>
      <c r="BVF173" s="125"/>
      <c r="BVG173" s="125"/>
      <c r="BVH173" s="125"/>
      <c r="BVI173" s="125"/>
      <c r="BVJ173" s="125"/>
      <c r="BVK173" s="125"/>
      <c r="BVL173" s="125"/>
      <c r="BVM173" s="125"/>
      <c r="BVN173" s="125"/>
      <c r="BVO173" s="125"/>
      <c r="BVP173" s="125"/>
      <c r="BVQ173" s="125"/>
      <c r="BVR173" s="125"/>
      <c r="BVS173" s="125"/>
      <c r="BVT173" s="125"/>
      <c r="BVU173" s="125"/>
      <c r="BVV173" s="125"/>
      <c r="BVW173" s="125"/>
      <c r="BVX173" s="125"/>
      <c r="BVY173" s="125"/>
      <c r="BVZ173" s="125"/>
      <c r="BWA173" s="125"/>
      <c r="BWB173" s="125"/>
      <c r="BWC173" s="125"/>
      <c r="BWD173" s="125"/>
      <c r="BWE173" s="125"/>
      <c r="BWF173" s="125"/>
      <c r="BWG173" s="125"/>
      <c r="BWH173" s="125"/>
      <c r="BWI173" s="125"/>
      <c r="BWJ173" s="125"/>
      <c r="BWK173" s="125"/>
      <c r="BWL173" s="125"/>
      <c r="BWM173" s="125"/>
      <c r="BWN173" s="125"/>
      <c r="BWO173" s="125"/>
      <c r="BWP173" s="125"/>
      <c r="BWQ173" s="125"/>
      <c r="BWR173" s="125"/>
      <c r="BWS173" s="125"/>
      <c r="BWT173" s="125"/>
      <c r="BWU173" s="125"/>
      <c r="BWV173" s="125"/>
      <c r="BWW173" s="125"/>
      <c r="BWX173" s="125"/>
      <c r="BWY173" s="125"/>
      <c r="BWZ173" s="125"/>
      <c r="BXA173" s="125"/>
      <c r="BXB173" s="125"/>
      <c r="BXC173" s="125"/>
      <c r="BXD173" s="125"/>
      <c r="BXE173" s="125"/>
      <c r="BXF173" s="125"/>
      <c r="BXG173" s="125"/>
      <c r="BXH173" s="125"/>
      <c r="BXI173" s="125"/>
      <c r="BXJ173" s="125"/>
      <c r="BXK173" s="125"/>
      <c r="BXL173" s="125"/>
      <c r="BXM173" s="125"/>
      <c r="BXN173" s="125"/>
      <c r="BXO173" s="125"/>
      <c r="BXP173" s="125"/>
      <c r="BXQ173" s="125"/>
      <c r="BXR173" s="125"/>
      <c r="BXS173" s="125"/>
      <c r="BXT173" s="125"/>
      <c r="BXU173" s="125"/>
      <c r="BXV173" s="125"/>
      <c r="BXW173" s="125"/>
      <c r="BXX173" s="125"/>
      <c r="BXY173" s="125"/>
      <c r="BXZ173" s="125"/>
      <c r="BYA173" s="125"/>
      <c r="BYB173" s="125"/>
      <c r="BYC173" s="125"/>
      <c r="BYD173" s="125"/>
      <c r="BYE173" s="125"/>
      <c r="BYF173" s="125"/>
      <c r="BYG173" s="125"/>
      <c r="BYH173" s="125"/>
      <c r="BYI173" s="125"/>
      <c r="BYJ173" s="125"/>
      <c r="BYK173" s="125"/>
      <c r="BYL173" s="125"/>
      <c r="BYM173" s="125"/>
      <c r="BYN173" s="125"/>
      <c r="BYO173" s="125"/>
      <c r="BYP173" s="125"/>
      <c r="BYQ173" s="125"/>
      <c r="BYR173" s="125"/>
      <c r="BYS173" s="125"/>
      <c r="BYT173" s="125"/>
      <c r="BYU173" s="125"/>
      <c r="BYV173" s="125"/>
      <c r="BYW173" s="125"/>
      <c r="BYX173" s="125"/>
      <c r="BYY173" s="125"/>
      <c r="BYZ173" s="125"/>
      <c r="BZA173" s="125"/>
      <c r="BZB173" s="125"/>
      <c r="BZC173" s="125"/>
      <c r="BZD173" s="125"/>
      <c r="BZE173" s="125"/>
      <c r="BZF173" s="125"/>
      <c r="BZG173" s="125"/>
      <c r="BZH173" s="125"/>
      <c r="BZI173" s="125"/>
      <c r="BZJ173" s="125"/>
      <c r="BZK173" s="125"/>
      <c r="BZL173" s="125"/>
      <c r="BZM173" s="125"/>
      <c r="BZN173" s="125"/>
      <c r="BZO173" s="125"/>
      <c r="BZP173" s="125"/>
      <c r="BZQ173" s="125"/>
      <c r="BZR173" s="125"/>
      <c r="BZS173" s="125"/>
      <c r="BZT173" s="125"/>
      <c r="BZU173" s="125"/>
      <c r="BZV173" s="125"/>
      <c r="BZW173" s="125"/>
      <c r="BZX173" s="125"/>
      <c r="BZY173" s="125"/>
      <c r="BZZ173" s="125"/>
      <c r="CAA173" s="125"/>
      <c r="CAB173" s="125"/>
      <c r="CAC173" s="125"/>
      <c r="CAD173" s="125"/>
      <c r="CAE173" s="125"/>
      <c r="CAF173" s="125"/>
      <c r="CAG173" s="125"/>
      <c r="CAH173" s="125"/>
      <c r="CAI173" s="125"/>
      <c r="CAJ173" s="125"/>
      <c r="CAK173" s="125"/>
      <c r="CAL173" s="125"/>
      <c r="CAM173" s="125"/>
      <c r="CAN173" s="125"/>
      <c r="CAO173" s="125"/>
      <c r="CAP173" s="125"/>
      <c r="CAQ173" s="125"/>
      <c r="CAR173" s="125"/>
      <c r="CAS173" s="125"/>
      <c r="CAT173" s="125"/>
      <c r="CAU173" s="125"/>
      <c r="CAV173" s="125"/>
      <c r="CAW173" s="125"/>
      <c r="CAX173" s="125"/>
      <c r="CAY173" s="125"/>
      <c r="CAZ173" s="125"/>
      <c r="CBA173" s="125"/>
      <c r="CBB173" s="125"/>
      <c r="CBC173" s="125"/>
      <c r="CBD173" s="125"/>
      <c r="CBE173" s="125"/>
      <c r="CBF173" s="125"/>
      <c r="CBG173" s="125"/>
      <c r="CBH173" s="125"/>
      <c r="CBI173" s="125"/>
      <c r="CBJ173" s="125"/>
      <c r="CBK173" s="125"/>
      <c r="CBL173" s="125"/>
      <c r="CBM173" s="125"/>
      <c r="CBN173" s="125"/>
      <c r="CBO173" s="125"/>
      <c r="CBP173" s="125"/>
      <c r="CBQ173" s="125"/>
      <c r="CBR173" s="125"/>
      <c r="CBS173" s="125"/>
      <c r="CBT173" s="125"/>
      <c r="CBU173" s="125"/>
      <c r="CBV173" s="125"/>
      <c r="CBW173" s="125"/>
      <c r="CBX173" s="125"/>
      <c r="CBY173" s="125"/>
      <c r="CBZ173" s="125"/>
      <c r="CCA173" s="125"/>
      <c r="CCB173" s="125"/>
      <c r="CCC173" s="125"/>
      <c r="CCD173" s="125"/>
      <c r="CCE173" s="125"/>
      <c r="CCF173" s="125"/>
      <c r="CCG173" s="125"/>
      <c r="CCH173" s="125"/>
      <c r="CCI173" s="125"/>
      <c r="CCJ173" s="125"/>
      <c r="CCK173" s="125"/>
      <c r="CCL173" s="125"/>
      <c r="CCM173" s="125"/>
      <c r="CCN173" s="125"/>
      <c r="CCO173" s="125"/>
      <c r="CCP173" s="125"/>
      <c r="CCQ173" s="125"/>
      <c r="CCR173" s="125"/>
      <c r="CCS173" s="125"/>
      <c r="CCT173" s="125"/>
      <c r="CCU173" s="125"/>
      <c r="CCV173" s="125"/>
      <c r="CCW173" s="125"/>
      <c r="CCX173" s="125"/>
      <c r="CCY173" s="125"/>
      <c r="CCZ173" s="125"/>
      <c r="CDA173" s="125"/>
      <c r="CDB173" s="125"/>
      <c r="CDC173" s="125"/>
      <c r="CDD173" s="125"/>
      <c r="CDE173" s="125"/>
      <c r="CDF173" s="125"/>
      <c r="CDG173" s="125"/>
      <c r="CDH173" s="125"/>
      <c r="CDI173" s="125"/>
      <c r="CDJ173" s="125"/>
      <c r="CDK173" s="125"/>
      <c r="CDL173" s="125"/>
      <c r="CDM173" s="125"/>
      <c r="CDN173" s="125"/>
      <c r="CDO173" s="125"/>
      <c r="CDP173" s="125"/>
      <c r="CDQ173" s="125"/>
      <c r="CDR173" s="125"/>
      <c r="CDS173" s="125"/>
      <c r="CDT173" s="125"/>
      <c r="CDU173" s="125"/>
      <c r="CDV173" s="125"/>
      <c r="CDW173" s="125"/>
      <c r="CDX173" s="125"/>
      <c r="CDY173" s="125"/>
      <c r="CDZ173" s="125"/>
      <c r="CEA173" s="125"/>
      <c r="CEB173" s="125"/>
      <c r="CEC173" s="125"/>
      <c r="CED173" s="125"/>
      <c r="CEE173" s="125"/>
      <c r="CEF173" s="125"/>
      <c r="CEG173" s="125"/>
      <c r="CEH173" s="125"/>
      <c r="CEI173" s="125"/>
      <c r="CEJ173" s="125"/>
      <c r="CEK173" s="125"/>
      <c r="CEL173" s="125"/>
      <c r="CEM173" s="125"/>
      <c r="CEN173" s="125"/>
      <c r="CEO173" s="125"/>
      <c r="CEP173" s="125"/>
      <c r="CEQ173" s="125"/>
      <c r="CER173" s="125"/>
      <c r="CES173" s="125"/>
      <c r="CET173" s="125"/>
      <c r="CEU173" s="125"/>
      <c r="CEV173" s="125"/>
      <c r="CEW173" s="125"/>
      <c r="CEX173" s="125"/>
      <c r="CEY173" s="125"/>
      <c r="CEZ173" s="125"/>
      <c r="CFA173" s="125"/>
      <c r="CFB173" s="125"/>
      <c r="CFC173" s="125"/>
      <c r="CFD173" s="125"/>
      <c r="CFE173" s="125"/>
      <c r="CFF173" s="125"/>
      <c r="CFG173" s="125"/>
      <c r="CFH173" s="125"/>
      <c r="CFI173" s="125"/>
      <c r="CFJ173" s="125"/>
      <c r="CFK173" s="125"/>
      <c r="CFL173" s="125"/>
      <c r="CFM173" s="125"/>
      <c r="CFN173" s="125"/>
      <c r="CFO173" s="125"/>
      <c r="CFP173" s="125"/>
      <c r="CFQ173" s="125"/>
      <c r="CFR173" s="125"/>
      <c r="CFS173" s="125"/>
      <c r="CFT173" s="125"/>
      <c r="CFU173" s="125"/>
      <c r="CFV173" s="125"/>
      <c r="CFW173" s="125"/>
      <c r="CFX173" s="125"/>
      <c r="CFY173" s="125"/>
      <c r="CFZ173" s="125"/>
      <c r="CGA173" s="125"/>
      <c r="CGB173" s="125"/>
      <c r="CGC173" s="125"/>
      <c r="CGD173" s="125"/>
      <c r="CGE173" s="125"/>
      <c r="CGF173" s="125"/>
      <c r="CGG173" s="125"/>
      <c r="CGH173" s="125"/>
      <c r="CGI173" s="125"/>
      <c r="CGJ173" s="125"/>
      <c r="CGK173" s="125"/>
      <c r="CGL173" s="125"/>
      <c r="CGM173" s="125"/>
      <c r="CGN173" s="125"/>
      <c r="CGO173" s="125"/>
      <c r="CGP173" s="125"/>
      <c r="CGQ173" s="125"/>
      <c r="CGR173" s="125"/>
      <c r="CGS173" s="125"/>
      <c r="CGT173" s="125"/>
      <c r="CGU173" s="125"/>
      <c r="CGV173" s="125"/>
      <c r="CGW173" s="125"/>
      <c r="CGX173" s="125"/>
      <c r="CGY173" s="125"/>
      <c r="CGZ173" s="125"/>
      <c r="CHA173" s="125"/>
      <c r="CHB173" s="125"/>
      <c r="CHC173" s="125"/>
      <c r="CHD173" s="125"/>
      <c r="CHE173" s="125"/>
      <c r="CHF173" s="125"/>
      <c r="CHG173" s="125"/>
      <c r="CHH173" s="125"/>
      <c r="CHI173" s="125"/>
      <c r="CHJ173" s="125"/>
      <c r="CHK173" s="125"/>
      <c r="CHL173" s="125"/>
      <c r="CHM173" s="125"/>
      <c r="CHN173" s="125"/>
      <c r="CHO173" s="125"/>
      <c r="CHP173" s="125"/>
      <c r="CHQ173" s="125"/>
      <c r="CHR173" s="125"/>
      <c r="CHS173" s="125"/>
      <c r="CHT173" s="125"/>
      <c r="CHU173" s="125"/>
      <c r="CHV173" s="125"/>
      <c r="CHW173" s="125"/>
      <c r="CHX173" s="125"/>
      <c r="CHY173" s="125"/>
      <c r="CHZ173" s="125"/>
      <c r="CIA173" s="125"/>
      <c r="CIB173" s="125"/>
      <c r="CIC173" s="125"/>
      <c r="CID173" s="125"/>
      <c r="CIE173" s="125"/>
      <c r="CIF173" s="125"/>
      <c r="CIG173" s="125"/>
      <c r="CIH173" s="125"/>
      <c r="CII173" s="125"/>
      <c r="CIJ173" s="125"/>
      <c r="CIK173" s="125"/>
      <c r="CIL173" s="125"/>
      <c r="CIM173" s="125"/>
      <c r="CIN173" s="125"/>
      <c r="CIO173" s="125"/>
      <c r="CIP173" s="125"/>
      <c r="CIQ173" s="125"/>
      <c r="CIR173" s="125"/>
      <c r="CIS173" s="125"/>
      <c r="CIT173" s="125"/>
      <c r="CIU173" s="125"/>
      <c r="CIV173" s="125"/>
      <c r="CIW173" s="125"/>
      <c r="CIX173" s="125"/>
      <c r="CIY173" s="125"/>
      <c r="CIZ173" s="125"/>
      <c r="CJA173" s="125"/>
      <c r="CJB173" s="125"/>
      <c r="CJC173" s="125"/>
      <c r="CJD173" s="125"/>
      <c r="CJE173" s="125"/>
      <c r="CJF173" s="125"/>
      <c r="CJG173" s="125"/>
      <c r="CJH173" s="125"/>
      <c r="CJI173" s="125"/>
      <c r="CJJ173" s="125"/>
      <c r="CJK173" s="125"/>
      <c r="CJL173" s="125"/>
      <c r="CJM173" s="125"/>
      <c r="CJN173" s="125"/>
      <c r="CJO173" s="125"/>
      <c r="CJP173" s="125"/>
      <c r="CJQ173" s="125"/>
      <c r="CJR173" s="125"/>
      <c r="CJS173" s="125"/>
      <c r="CJT173" s="125"/>
      <c r="CJU173" s="125"/>
      <c r="CJV173" s="125"/>
      <c r="CJW173" s="125"/>
      <c r="CJX173" s="125"/>
      <c r="CJY173" s="125"/>
      <c r="CJZ173" s="125"/>
      <c r="CKA173" s="125"/>
      <c r="CKB173" s="125"/>
      <c r="CKC173" s="125"/>
      <c r="CKD173" s="125"/>
      <c r="CKE173" s="125"/>
      <c r="CKF173" s="125"/>
      <c r="CKG173" s="125"/>
      <c r="CKH173" s="125"/>
      <c r="CKI173" s="125"/>
      <c r="CKJ173" s="125"/>
      <c r="CKK173" s="125"/>
      <c r="CKL173" s="125"/>
      <c r="CKM173" s="125"/>
      <c r="CKN173" s="125"/>
      <c r="CKO173" s="125"/>
      <c r="CKP173" s="125"/>
      <c r="CKQ173" s="125"/>
      <c r="CKR173" s="125"/>
      <c r="CKS173" s="125"/>
      <c r="CKT173" s="125"/>
      <c r="CKU173" s="125"/>
      <c r="CKV173" s="125"/>
      <c r="CKW173" s="125"/>
      <c r="CKX173" s="125"/>
      <c r="CKY173" s="125"/>
      <c r="CKZ173" s="125"/>
      <c r="CLA173" s="125"/>
      <c r="CLB173" s="125"/>
      <c r="CLC173" s="125"/>
      <c r="CLD173" s="125"/>
      <c r="CLE173" s="125"/>
      <c r="CLF173" s="125"/>
      <c r="CLG173" s="125"/>
      <c r="CLH173" s="125"/>
      <c r="CLI173" s="125"/>
      <c r="CLJ173" s="125"/>
      <c r="CLK173" s="125"/>
      <c r="CLL173" s="125"/>
      <c r="CLM173" s="125"/>
      <c r="CLN173" s="125"/>
      <c r="CLO173" s="125"/>
      <c r="CLP173" s="125"/>
      <c r="CLQ173" s="125"/>
      <c r="CLR173" s="125"/>
      <c r="CLS173" s="125"/>
      <c r="CLT173" s="125"/>
      <c r="CLU173" s="125"/>
      <c r="CLV173" s="125"/>
      <c r="CLW173" s="125"/>
      <c r="CLX173" s="125"/>
      <c r="CLY173" s="125"/>
      <c r="CLZ173" s="125"/>
      <c r="CMA173" s="125"/>
      <c r="CMB173" s="125"/>
      <c r="CMC173" s="125"/>
      <c r="CMD173" s="125"/>
      <c r="CME173" s="125"/>
      <c r="CMF173" s="125"/>
      <c r="CMG173" s="125"/>
      <c r="CMH173" s="125"/>
      <c r="CMI173" s="125"/>
      <c r="CMJ173" s="125"/>
      <c r="CMK173" s="125"/>
      <c r="CML173" s="125"/>
      <c r="CMM173" s="125"/>
      <c r="CMN173" s="125"/>
      <c r="CMO173" s="125"/>
      <c r="CMP173" s="125"/>
      <c r="CMQ173" s="125"/>
      <c r="CMR173" s="125"/>
      <c r="CMS173" s="125"/>
      <c r="CMT173" s="125"/>
      <c r="CMU173" s="125"/>
      <c r="CMV173" s="125"/>
      <c r="CMW173" s="125"/>
      <c r="CMX173" s="125"/>
      <c r="CMY173" s="125"/>
      <c r="CMZ173" s="125"/>
      <c r="CNA173" s="125"/>
      <c r="CNB173" s="125"/>
      <c r="CNC173" s="125"/>
      <c r="CND173" s="125"/>
      <c r="CNE173" s="125"/>
      <c r="CNF173" s="125"/>
      <c r="CNG173" s="125"/>
      <c r="CNH173" s="125"/>
      <c r="CNI173" s="125"/>
      <c r="CNJ173" s="125"/>
      <c r="CNK173" s="125"/>
      <c r="CNL173" s="125"/>
      <c r="CNM173" s="125"/>
      <c r="CNN173" s="125"/>
      <c r="CNO173" s="125"/>
      <c r="CNP173" s="125"/>
      <c r="CNQ173" s="125"/>
      <c r="CNR173" s="125"/>
      <c r="CNS173" s="125"/>
      <c r="CNT173" s="125"/>
      <c r="CNU173" s="125"/>
      <c r="CNV173" s="125"/>
      <c r="CNW173" s="125"/>
      <c r="CNX173" s="125"/>
      <c r="CNY173" s="125"/>
      <c r="CNZ173" s="125"/>
      <c r="COA173" s="125"/>
      <c r="COB173" s="125"/>
      <c r="COC173" s="125"/>
      <c r="COD173" s="125"/>
      <c r="COE173" s="125"/>
      <c r="COF173" s="125"/>
      <c r="COG173" s="125"/>
      <c r="COH173" s="125"/>
      <c r="COI173" s="125"/>
      <c r="COJ173" s="125"/>
      <c r="COK173" s="125"/>
      <c r="COL173" s="125"/>
      <c r="COM173" s="125"/>
      <c r="CON173" s="125"/>
      <c r="COO173" s="125"/>
      <c r="COP173" s="125"/>
      <c r="COQ173" s="125"/>
      <c r="COR173" s="125"/>
      <c r="COS173" s="125"/>
      <c r="COT173" s="125"/>
      <c r="COU173" s="125"/>
      <c r="COV173" s="125"/>
      <c r="COW173" s="125"/>
      <c r="COX173" s="125"/>
      <c r="COY173" s="125"/>
      <c r="COZ173" s="125"/>
      <c r="CPA173" s="125"/>
      <c r="CPB173" s="125"/>
      <c r="CPC173" s="125"/>
      <c r="CPD173" s="125"/>
      <c r="CPE173" s="125"/>
      <c r="CPF173" s="125"/>
      <c r="CPG173" s="125"/>
      <c r="CPH173" s="125"/>
      <c r="CPI173" s="125"/>
      <c r="CPJ173" s="125"/>
      <c r="CPK173" s="125"/>
      <c r="CPL173" s="125"/>
      <c r="CPM173" s="125"/>
      <c r="CPN173" s="125"/>
      <c r="CPO173" s="125"/>
      <c r="CPP173" s="125"/>
      <c r="CPQ173" s="125"/>
      <c r="CPR173" s="125"/>
      <c r="CPS173" s="125"/>
      <c r="CPT173" s="125"/>
      <c r="CPU173" s="125"/>
      <c r="CPV173" s="125"/>
      <c r="CPW173" s="125"/>
      <c r="CPX173" s="125"/>
      <c r="CPY173" s="125"/>
      <c r="CPZ173" s="125"/>
      <c r="CQA173" s="125"/>
      <c r="CQB173" s="125"/>
      <c r="CQC173" s="125"/>
      <c r="CQD173" s="125"/>
      <c r="CQE173" s="125"/>
      <c r="CQF173" s="125"/>
      <c r="CQG173" s="125"/>
      <c r="CQH173" s="125"/>
      <c r="CQI173" s="125"/>
      <c r="CQJ173" s="125"/>
      <c r="CQK173" s="125"/>
      <c r="CQL173" s="125"/>
      <c r="CQM173" s="125"/>
      <c r="CQN173" s="125"/>
      <c r="CQO173" s="125"/>
      <c r="CQP173" s="125"/>
      <c r="CQQ173" s="125"/>
      <c r="CQR173" s="125"/>
      <c r="CQS173" s="125"/>
      <c r="CQT173" s="125"/>
      <c r="CQU173" s="125"/>
      <c r="CQV173" s="125"/>
      <c r="CQW173" s="125"/>
      <c r="CQX173" s="125"/>
      <c r="CQY173" s="125"/>
      <c r="CQZ173" s="125"/>
      <c r="CRA173" s="125"/>
      <c r="CRB173" s="125"/>
      <c r="CRC173" s="125"/>
      <c r="CRD173" s="125"/>
      <c r="CRE173" s="125"/>
      <c r="CRF173" s="125"/>
      <c r="CRG173" s="125"/>
      <c r="CRH173" s="125"/>
      <c r="CRI173" s="125"/>
      <c r="CRJ173" s="125"/>
      <c r="CRK173" s="125"/>
      <c r="CRL173" s="125"/>
      <c r="CRM173" s="125"/>
      <c r="CRN173" s="125"/>
      <c r="CRO173" s="125"/>
      <c r="CRP173" s="125"/>
      <c r="CRQ173" s="125"/>
      <c r="CRR173" s="125"/>
      <c r="CRS173" s="125"/>
      <c r="CRT173" s="125"/>
      <c r="CRU173" s="125"/>
      <c r="CRV173" s="125"/>
      <c r="CRW173" s="125"/>
      <c r="CRX173" s="125"/>
      <c r="CRY173" s="125"/>
      <c r="CRZ173" s="125"/>
      <c r="CSA173" s="125"/>
      <c r="CSB173" s="125"/>
      <c r="CSC173" s="125"/>
      <c r="CSD173" s="125"/>
      <c r="CSE173" s="125"/>
      <c r="CSF173" s="125"/>
      <c r="CSG173" s="125"/>
      <c r="CSH173" s="125"/>
      <c r="CSI173" s="125"/>
      <c r="CSJ173" s="125"/>
      <c r="CSK173" s="125"/>
      <c r="CSL173" s="125"/>
      <c r="CSM173" s="125"/>
      <c r="CSN173" s="125"/>
      <c r="CSO173" s="125"/>
      <c r="CSP173" s="125"/>
      <c r="CSQ173" s="125"/>
      <c r="CSR173" s="125"/>
      <c r="CSS173" s="125"/>
      <c r="CST173" s="125"/>
      <c r="CSU173" s="125"/>
      <c r="CSV173" s="125"/>
      <c r="CSW173" s="125"/>
      <c r="CSX173" s="125"/>
      <c r="CSY173" s="125"/>
      <c r="CSZ173" s="125"/>
      <c r="CTA173" s="125"/>
      <c r="CTB173" s="125"/>
      <c r="CTC173" s="125"/>
      <c r="CTD173" s="125"/>
      <c r="CTE173" s="125"/>
      <c r="CTF173" s="125"/>
      <c r="CTG173" s="125"/>
      <c r="CTH173" s="125"/>
      <c r="CTI173" s="125"/>
      <c r="CTJ173" s="125"/>
      <c r="CTK173" s="125"/>
      <c r="CTL173" s="125"/>
      <c r="CTM173" s="125"/>
      <c r="CTN173" s="125"/>
      <c r="CTO173" s="125"/>
      <c r="CTP173" s="125"/>
      <c r="CTQ173" s="125"/>
      <c r="CTR173" s="125"/>
      <c r="CTS173" s="125"/>
      <c r="CTT173" s="125"/>
      <c r="CTU173" s="125"/>
      <c r="CTV173" s="125"/>
      <c r="CTW173" s="125"/>
      <c r="CTX173" s="125"/>
      <c r="CTY173" s="125"/>
      <c r="CTZ173" s="125"/>
      <c r="CUA173" s="125"/>
      <c r="CUB173" s="125"/>
      <c r="CUC173" s="125"/>
      <c r="CUD173" s="125"/>
      <c r="CUE173" s="125"/>
      <c r="CUF173" s="125"/>
      <c r="CUG173" s="125"/>
      <c r="CUH173" s="125"/>
      <c r="CUI173" s="125"/>
      <c r="CUJ173" s="125"/>
      <c r="CUK173" s="125"/>
      <c r="CUL173" s="125"/>
      <c r="CUM173" s="125"/>
      <c r="CUN173" s="125"/>
      <c r="CUO173" s="125"/>
      <c r="CUP173" s="125"/>
      <c r="CUQ173" s="125"/>
      <c r="CUR173" s="125"/>
      <c r="CUS173" s="125"/>
      <c r="CUT173" s="125"/>
      <c r="CUU173" s="125"/>
      <c r="CUV173" s="125"/>
      <c r="CUW173" s="125"/>
      <c r="CUX173" s="125"/>
      <c r="CUY173" s="125"/>
      <c r="CUZ173" s="125"/>
      <c r="CVA173" s="125"/>
      <c r="CVB173" s="125"/>
      <c r="CVC173" s="125"/>
      <c r="CVD173" s="125"/>
      <c r="CVE173" s="125"/>
      <c r="CVF173" s="125"/>
      <c r="CVG173" s="125"/>
      <c r="CVH173" s="125"/>
      <c r="CVI173" s="125"/>
      <c r="CVJ173" s="125"/>
      <c r="CVK173" s="125"/>
      <c r="CVL173" s="125"/>
      <c r="CVM173" s="125"/>
      <c r="CVN173" s="125"/>
      <c r="CVO173" s="125"/>
      <c r="CVP173" s="125"/>
      <c r="CVQ173" s="125"/>
      <c r="CVR173" s="125"/>
      <c r="CVS173" s="125"/>
      <c r="CVT173" s="125"/>
      <c r="CVU173" s="125"/>
      <c r="CVV173" s="125"/>
      <c r="CVW173" s="125"/>
      <c r="CVX173" s="125"/>
      <c r="CVY173" s="125"/>
      <c r="CVZ173" s="125"/>
      <c r="CWA173" s="125"/>
      <c r="CWB173" s="125"/>
      <c r="CWC173" s="125"/>
      <c r="CWD173" s="125"/>
      <c r="CWE173" s="125"/>
      <c r="CWF173" s="125"/>
      <c r="CWG173" s="125"/>
      <c r="CWH173" s="125"/>
      <c r="CWI173" s="125"/>
      <c r="CWJ173" s="125"/>
      <c r="CWK173" s="125"/>
      <c r="CWL173" s="125"/>
      <c r="CWM173" s="125"/>
      <c r="CWN173" s="125"/>
      <c r="CWO173" s="125"/>
      <c r="CWP173" s="125"/>
      <c r="CWQ173" s="125"/>
      <c r="CWR173" s="125"/>
      <c r="CWS173" s="125"/>
      <c r="CWT173" s="125"/>
      <c r="CWU173" s="125"/>
      <c r="CWV173" s="125"/>
      <c r="CWW173" s="125"/>
      <c r="CWX173" s="125"/>
      <c r="CWY173" s="125"/>
      <c r="CWZ173" s="125"/>
      <c r="CXA173" s="125"/>
      <c r="CXB173" s="125"/>
      <c r="CXC173" s="125"/>
      <c r="CXD173" s="125"/>
      <c r="CXE173" s="125"/>
      <c r="CXF173" s="125"/>
      <c r="CXG173" s="125"/>
      <c r="CXH173" s="125"/>
      <c r="CXI173" s="125"/>
      <c r="CXJ173" s="125"/>
      <c r="CXK173" s="125"/>
      <c r="CXL173" s="125"/>
      <c r="CXM173" s="125"/>
      <c r="CXN173" s="125"/>
      <c r="CXO173" s="125"/>
      <c r="CXP173" s="125"/>
      <c r="CXQ173" s="125"/>
      <c r="CXR173" s="125"/>
      <c r="CXS173" s="125"/>
      <c r="CXT173" s="125"/>
      <c r="CXU173" s="125"/>
      <c r="CXV173" s="125"/>
      <c r="CXW173" s="125"/>
      <c r="CXX173" s="125"/>
      <c r="CXY173" s="125"/>
      <c r="CXZ173" s="125"/>
      <c r="CYA173" s="125"/>
      <c r="CYB173" s="125"/>
      <c r="CYC173" s="125"/>
      <c r="CYD173" s="125"/>
      <c r="CYE173" s="125"/>
      <c r="CYF173" s="125"/>
      <c r="CYG173" s="125"/>
      <c r="CYH173" s="125"/>
      <c r="CYI173" s="125"/>
      <c r="CYJ173" s="125"/>
      <c r="CYK173" s="125"/>
      <c r="CYL173" s="125"/>
      <c r="CYM173" s="125"/>
      <c r="CYN173" s="125"/>
      <c r="CYO173" s="125"/>
      <c r="CYP173" s="125"/>
      <c r="CYQ173" s="125"/>
      <c r="CYR173" s="125"/>
      <c r="CYS173" s="125"/>
      <c r="CYT173" s="125"/>
      <c r="CYU173" s="125"/>
      <c r="CYV173" s="125"/>
      <c r="CYW173" s="125"/>
      <c r="CYX173" s="125"/>
      <c r="CYY173" s="125"/>
      <c r="CYZ173" s="125"/>
      <c r="CZA173" s="125"/>
      <c r="CZB173" s="125"/>
      <c r="CZC173" s="125"/>
      <c r="CZD173" s="125"/>
      <c r="CZE173" s="125"/>
      <c r="CZF173" s="125"/>
      <c r="CZG173" s="125"/>
      <c r="CZH173" s="125"/>
      <c r="CZI173" s="125"/>
      <c r="CZJ173" s="125"/>
      <c r="CZK173" s="125"/>
      <c r="CZL173" s="125"/>
      <c r="CZM173" s="125"/>
      <c r="CZN173" s="125"/>
      <c r="CZO173" s="125"/>
      <c r="CZP173" s="125"/>
      <c r="CZQ173" s="125"/>
      <c r="CZR173" s="125"/>
      <c r="CZS173" s="125"/>
      <c r="CZT173" s="125"/>
      <c r="CZU173" s="125"/>
      <c r="CZV173" s="125"/>
      <c r="CZW173" s="125"/>
      <c r="CZX173" s="125"/>
      <c r="CZY173" s="125"/>
      <c r="CZZ173" s="125"/>
      <c r="DAA173" s="125"/>
      <c r="DAB173" s="125"/>
      <c r="DAC173" s="125"/>
      <c r="DAD173" s="125"/>
      <c r="DAE173" s="125"/>
      <c r="DAF173" s="125"/>
      <c r="DAG173" s="125"/>
      <c r="DAH173" s="125"/>
      <c r="DAI173" s="125"/>
      <c r="DAJ173" s="125"/>
      <c r="DAK173" s="125"/>
      <c r="DAL173" s="125"/>
      <c r="DAM173" s="125"/>
      <c r="DAN173" s="125"/>
      <c r="DAO173" s="125"/>
      <c r="DAP173" s="125"/>
      <c r="DAQ173" s="125"/>
      <c r="DAR173" s="125"/>
      <c r="DAS173" s="125"/>
      <c r="DAT173" s="125"/>
      <c r="DAU173" s="125"/>
      <c r="DAV173" s="125"/>
      <c r="DAW173" s="125"/>
      <c r="DAX173" s="125"/>
      <c r="DAY173" s="125"/>
      <c r="DAZ173" s="125"/>
      <c r="DBA173" s="125"/>
      <c r="DBB173" s="125"/>
      <c r="DBC173" s="125"/>
      <c r="DBD173" s="125"/>
      <c r="DBE173" s="125"/>
      <c r="DBF173" s="125"/>
      <c r="DBG173" s="125"/>
      <c r="DBH173" s="125"/>
      <c r="DBI173" s="125"/>
      <c r="DBJ173" s="125"/>
      <c r="DBK173" s="125"/>
      <c r="DBL173" s="125"/>
      <c r="DBM173" s="125"/>
      <c r="DBN173" s="125"/>
      <c r="DBO173" s="125"/>
      <c r="DBP173" s="125"/>
      <c r="DBQ173" s="125"/>
      <c r="DBR173" s="125"/>
      <c r="DBS173" s="125"/>
      <c r="DBT173" s="125"/>
      <c r="DBU173" s="125"/>
      <c r="DBV173" s="125"/>
      <c r="DBW173" s="125"/>
      <c r="DBX173" s="125"/>
      <c r="DBY173" s="125"/>
      <c r="DBZ173" s="125"/>
      <c r="DCA173" s="125"/>
      <c r="DCB173" s="125"/>
      <c r="DCC173" s="125"/>
      <c r="DCD173" s="125"/>
      <c r="DCE173" s="125"/>
      <c r="DCF173" s="125"/>
      <c r="DCG173" s="125"/>
      <c r="DCH173" s="125"/>
      <c r="DCI173" s="125"/>
      <c r="DCJ173" s="125"/>
      <c r="DCK173" s="125"/>
      <c r="DCL173" s="125"/>
      <c r="DCM173" s="125"/>
      <c r="DCN173" s="125"/>
      <c r="DCO173" s="125"/>
      <c r="DCP173" s="125"/>
      <c r="DCQ173" s="125"/>
      <c r="DCR173" s="125"/>
      <c r="DCS173" s="125"/>
      <c r="DCT173" s="125"/>
      <c r="DCU173" s="125"/>
      <c r="DCV173" s="125"/>
      <c r="DCW173" s="125"/>
      <c r="DCX173" s="125"/>
      <c r="DCY173" s="125"/>
      <c r="DCZ173" s="125"/>
      <c r="DDA173" s="125"/>
      <c r="DDB173" s="125"/>
      <c r="DDC173" s="125"/>
      <c r="DDD173" s="125"/>
      <c r="DDE173" s="125"/>
      <c r="DDF173" s="125"/>
      <c r="DDG173" s="125"/>
      <c r="DDH173" s="125"/>
      <c r="DDI173" s="125"/>
      <c r="DDJ173" s="125"/>
      <c r="DDK173" s="125"/>
      <c r="DDL173" s="125"/>
      <c r="DDM173" s="125"/>
      <c r="DDN173" s="125"/>
      <c r="DDO173" s="125"/>
      <c r="DDP173" s="125"/>
      <c r="DDQ173" s="125"/>
      <c r="DDR173" s="125"/>
      <c r="DDS173" s="125"/>
      <c r="DDT173" s="125"/>
      <c r="DDU173" s="125"/>
      <c r="DDV173" s="125"/>
      <c r="DDW173" s="125"/>
      <c r="DDX173" s="125"/>
      <c r="DDY173" s="125"/>
      <c r="DDZ173" s="125"/>
      <c r="DEA173" s="125"/>
      <c r="DEB173" s="125"/>
      <c r="DEC173" s="125"/>
      <c r="DED173" s="125"/>
      <c r="DEE173" s="125"/>
      <c r="DEF173" s="125"/>
      <c r="DEG173" s="125"/>
      <c r="DEH173" s="125"/>
      <c r="DEI173" s="125"/>
      <c r="DEJ173" s="125"/>
      <c r="DEK173" s="125"/>
      <c r="DEL173" s="125"/>
      <c r="DEM173" s="125"/>
      <c r="DEN173" s="125"/>
      <c r="DEO173" s="125"/>
      <c r="DEP173" s="125"/>
      <c r="DEQ173" s="125"/>
      <c r="DER173" s="125"/>
      <c r="DES173" s="125"/>
      <c r="DET173" s="125"/>
      <c r="DEU173" s="125"/>
      <c r="DEV173" s="125"/>
      <c r="DEW173" s="125"/>
      <c r="DEX173" s="125"/>
      <c r="DEY173" s="125"/>
      <c r="DEZ173" s="125"/>
      <c r="DFA173" s="125"/>
      <c r="DFB173" s="125"/>
      <c r="DFC173" s="125"/>
      <c r="DFD173" s="125"/>
      <c r="DFE173" s="125"/>
      <c r="DFF173" s="125"/>
      <c r="DFG173" s="125"/>
      <c r="DFH173" s="125"/>
      <c r="DFI173" s="125"/>
      <c r="DFJ173" s="125"/>
      <c r="DFK173" s="125"/>
      <c r="DFL173" s="125"/>
      <c r="DFM173" s="125"/>
      <c r="DFN173" s="125"/>
      <c r="DFO173" s="125"/>
      <c r="DFP173" s="125"/>
      <c r="DFQ173" s="125"/>
      <c r="DFR173" s="125"/>
      <c r="DFS173" s="125"/>
      <c r="DFT173" s="125"/>
      <c r="DFU173" s="125"/>
      <c r="DFV173" s="125"/>
      <c r="DFW173" s="125"/>
      <c r="DFX173" s="125"/>
      <c r="DFY173" s="125"/>
      <c r="DFZ173" s="125"/>
      <c r="DGA173" s="125"/>
      <c r="DGB173" s="125"/>
      <c r="DGC173" s="125"/>
      <c r="DGD173" s="125"/>
      <c r="DGE173" s="125"/>
      <c r="DGF173" s="125"/>
      <c r="DGG173" s="125"/>
      <c r="DGH173" s="125"/>
      <c r="DGI173" s="125"/>
      <c r="DGJ173" s="125"/>
      <c r="DGK173" s="125"/>
      <c r="DGL173" s="125"/>
      <c r="DGM173" s="125"/>
      <c r="DGN173" s="125"/>
      <c r="DGO173" s="125"/>
      <c r="DGP173" s="125"/>
      <c r="DGQ173" s="125"/>
      <c r="DGR173" s="125"/>
      <c r="DGS173" s="125"/>
      <c r="DGT173" s="125"/>
      <c r="DGU173" s="125"/>
      <c r="DGV173" s="125"/>
      <c r="DGW173" s="125"/>
      <c r="DGX173" s="125"/>
      <c r="DGY173" s="125"/>
      <c r="DGZ173" s="125"/>
      <c r="DHA173" s="125"/>
      <c r="DHB173" s="125"/>
      <c r="DHC173" s="125"/>
      <c r="DHD173" s="125"/>
      <c r="DHE173" s="125"/>
      <c r="DHF173" s="125"/>
      <c r="DHG173" s="125"/>
      <c r="DHH173" s="125"/>
      <c r="DHI173" s="125"/>
      <c r="DHJ173" s="125"/>
      <c r="DHK173" s="125"/>
      <c r="DHL173" s="125"/>
      <c r="DHM173" s="125"/>
      <c r="DHN173" s="125"/>
      <c r="DHO173" s="125"/>
      <c r="DHP173" s="125"/>
      <c r="DHQ173" s="125"/>
      <c r="DHR173" s="125"/>
      <c r="DHS173" s="125"/>
      <c r="DHT173" s="125"/>
      <c r="DHU173" s="125"/>
      <c r="DHV173" s="125"/>
      <c r="DHW173" s="125"/>
      <c r="DHX173" s="125"/>
      <c r="DHY173" s="125"/>
      <c r="DHZ173" s="125"/>
      <c r="DIA173" s="125"/>
      <c r="DIB173" s="125"/>
      <c r="DIC173" s="125"/>
      <c r="DID173" s="125"/>
      <c r="DIE173" s="125"/>
      <c r="DIF173" s="125"/>
      <c r="DIG173" s="125"/>
      <c r="DIH173" s="125"/>
      <c r="DII173" s="125"/>
      <c r="DIJ173" s="125"/>
      <c r="DIK173" s="125"/>
      <c r="DIL173" s="125"/>
      <c r="DIM173" s="125"/>
      <c r="DIN173" s="125"/>
      <c r="DIO173" s="125"/>
      <c r="DIP173" s="125"/>
      <c r="DIQ173" s="125"/>
      <c r="DIR173" s="125"/>
      <c r="DIS173" s="125"/>
      <c r="DIT173" s="125"/>
      <c r="DIU173" s="125"/>
      <c r="DIV173" s="125"/>
      <c r="DIW173" s="125"/>
      <c r="DIX173" s="125"/>
      <c r="DIY173" s="125"/>
      <c r="DIZ173" s="125"/>
      <c r="DJA173" s="125"/>
      <c r="DJB173" s="125"/>
      <c r="DJC173" s="125"/>
      <c r="DJD173" s="125"/>
      <c r="DJE173" s="125"/>
      <c r="DJF173" s="125"/>
      <c r="DJG173" s="125"/>
      <c r="DJH173" s="125"/>
      <c r="DJI173" s="125"/>
      <c r="DJJ173" s="125"/>
      <c r="DJK173" s="125"/>
      <c r="DJL173" s="125"/>
      <c r="DJM173" s="125"/>
      <c r="DJN173" s="125"/>
      <c r="DJO173" s="125"/>
      <c r="DJP173" s="125"/>
      <c r="DJQ173" s="125"/>
      <c r="DJR173" s="125"/>
      <c r="DJS173" s="125"/>
      <c r="DJT173" s="125"/>
      <c r="DJU173" s="125"/>
      <c r="DJV173" s="125"/>
      <c r="DJW173" s="125"/>
      <c r="DJX173" s="125"/>
      <c r="DJY173" s="125"/>
      <c r="DJZ173" s="125"/>
      <c r="DKA173" s="125"/>
      <c r="DKB173" s="125"/>
      <c r="DKC173" s="125"/>
      <c r="DKD173" s="125"/>
      <c r="DKE173" s="125"/>
      <c r="DKF173" s="125"/>
      <c r="DKG173" s="125"/>
      <c r="DKH173" s="125"/>
      <c r="DKI173" s="125"/>
      <c r="DKJ173" s="125"/>
      <c r="DKK173" s="125"/>
      <c r="DKL173" s="125"/>
      <c r="DKM173" s="125"/>
      <c r="DKN173" s="125"/>
      <c r="DKO173" s="125"/>
      <c r="DKP173" s="125"/>
      <c r="DKQ173" s="125"/>
      <c r="DKR173" s="125"/>
      <c r="DKS173" s="125"/>
      <c r="DKT173" s="125"/>
      <c r="DKU173" s="125"/>
      <c r="DKV173" s="125"/>
      <c r="DKW173" s="125"/>
      <c r="DKX173" s="125"/>
      <c r="DKY173" s="125"/>
      <c r="DKZ173" s="125"/>
      <c r="DLA173" s="125"/>
      <c r="DLB173" s="125"/>
      <c r="DLC173" s="125"/>
      <c r="DLD173" s="125"/>
      <c r="DLE173" s="125"/>
      <c r="DLF173" s="125"/>
      <c r="DLG173" s="125"/>
      <c r="DLH173" s="125"/>
      <c r="DLI173" s="125"/>
      <c r="DLJ173" s="125"/>
      <c r="DLK173" s="125"/>
      <c r="DLL173" s="125"/>
      <c r="DLM173" s="125"/>
      <c r="DLN173" s="125"/>
      <c r="DLO173" s="125"/>
      <c r="DLP173" s="125"/>
      <c r="DLQ173" s="125"/>
      <c r="DLR173" s="125"/>
      <c r="DLS173" s="125"/>
      <c r="DLT173" s="125"/>
      <c r="DLU173" s="125"/>
      <c r="DLV173" s="125"/>
      <c r="DLW173" s="125"/>
      <c r="DLX173" s="125"/>
      <c r="DLY173" s="125"/>
      <c r="DLZ173" s="125"/>
      <c r="DMA173" s="125"/>
      <c r="DMB173" s="125"/>
      <c r="DMC173" s="125"/>
      <c r="DMD173" s="125"/>
      <c r="DME173" s="125"/>
      <c r="DMF173" s="125"/>
      <c r="DMG173" s="125"/>
      <c r="DMH173" s="125"/>
      <c r="DMI173" s="125"/>
      <c r="DMJ173" s="125"/>
      <c r="DMK173" s="125"/>
      <c r="DML173" s="125"/>
      <c r="DMM173" s="125"/>
      <c r="DMN173" s="125"/>
      <c r="DMO173" s="125"/>
      <c r="DMP173" s="125"/>
      <c r="DMQ173" s="125"/>
      <c r="DMR173" s="125"/>
      <c r="DMS173" s="125"/>
      <c r="DMT173" s="125"/>
      <c r="DMU173" s="125"/>
      <c r="DMV173" s="125"/>
      <c r="DMW173" s="125"/>
      <c r="DMX173" s="125"/>
      <c r="DMY173" s="125"/>
      <c r="DMZ173" s="125"/>
      <c r="DNA173" s="125"/>
      <c r="DNB173" s="125"/>
      <c r="DNC173" s="125"/>
      <c r="DND173" s="125"/>
      <c r="DNE173" s="125"/>
      <c r="DNF173" s="125"/>
      <c r="DNG173" s="125"/>
      <c r="DNH173" s="125"/>
      <c r="DNI173" s="125"/>
      <c r="DNJ173" s="125"/>
      <c r="DNK173" s="125"/>
      <c r="DNL173" s="125"/>
      <c r="DNM173" s="125"/>
      <c r="DNN173" s="125"/>
      <c r="DNO173" s="125"/>
      <c r="DNP173" s="125"/>
      <c r="DNQ173" s="125"/>
      <c r="DNR173" s="125"/>
      <c r="DNS173" s="125"/>
      <c r="DNT173" s="125"/>
      <c r="DNU173" s="125"/>
      <c r="DNV173" s="125"/>
      <c r="DNW173" s="125"/>
      <c r="DNX173" s="125"/>
      <c r="DNY173" s="125"/>
      <c r="DNZ173" s="125"/>
      <c r="DOA173" s="125"/>
      <c r="DOB173" s="125"/>
      <c r="DOC173" s="125"/>
      <c r="DOD173" s="125"/>
      <c r="DOE173" s="125"/>
      <c r="DOF173" s="125"/>
      <c r="DOG173" s="125"/>
      <c r="DOH173" s="125"/>
      <c r="DOI173" s="125"/>
      <c r="DOJ173" s="125"/>
      <c r="DOK173" s="125"/>
      <c r="DOL173" s="125"/>
      <c r="DOM173" s="125"/>
      <c r="DON173" s="125"/>
      <c r="DOO173" s="125"/>
      <c r="DOP173" s="125"/>
      <c r="DOQ173" s="125"/>
      <c r="DOR173" s="125"/>
      <c r="DOS173" s="125"/>
      <c r="DOT173" s="125"/>
      <c r="DOU173" s="125"/>
      <c r="DOV173" s="125"/>
      <c r="DOW173" s="125"/>
      <c r="DOX173" s="125"/>
      <c r="DOY173" s="125"/>
      <c r="DOZ173" s="125"/>
      <c r="DPA173" s="125"/>
      <c r="DPB173" s="125"/>
      <c r="DPC173" s="125"/>
      <c r="DPD173" s="125"/>
      <c r="DPE173" s="125"/>
      <c r="DPF173" s="125"/>
      <c r="DPG173" s="125"/>
      <c r="DPH173" s="125"/>
      <c r="DPI173" s="125"/>
      <c r="DPJ173" s="125"/>
      <c r="DPK173" s="125"/>
      <c r="DPL173" s="125"/>
      <c r="DPM173" s="125"/>
      <c r="DPN173" s="125"/>
      <c r="DPO173" s="125"/>
      <c r="DPP173" s="125"/>
      <c r="DPQ173" s="125"/>
      <c r="DPR173" s="125"/>
      <c r="DPS173" s="125"/>
      <c r="DPT173" s="125"/>
      <c r="DPU173" s="125"/>
      <c r="DPV173" s="125"/>
      <c r="DPW173" s="125"/>
      <c r="DPX173" s="125"/>
      <c r="DPY173" s="125"/>
      <c r="DPZ173" s="125"/>
      <c r="DQA173" s="125"/>
      <c r="DQB173" s="125"/>
      <c r="DQC173" s="125"/>
      <c r="DQD173" s="125"/>
      <c r="DQE173" s="125"/>
      <c r="DQF173" s="125"/>
      <c r="DQG173" s="125"/>
      <c r="DQH173" s="125"/>
      <c r="DQI173" s="125"/>
      <c r="DQJ173" s="125"/>
      <c r="DQK173" s="125"/>
      <c r="DQL173" s="125"/>
      <c r="DQM173" s="125"/>
      <c r="DQN173" s="125"/>
      <c r="DQO173" s="125"/>
      <c r="DQP173" s="125"/>
      <c r="DQQ173" s="125"/>
      <c r="DQR173" s="125"/>
      <c r="DQS173" s="125"/>
      <c r="DQT173" s="125"/>
      <c r="DQU173" s="125"/>
      <c r="DQV173" s="125"/>
      <c r="DQW173" s="125"/>
      <c r="DQX173" s="125"/>
      <c r="DQY173" s="125"/>
      <c r="DQZ173" s="125"/>
      <c r="DRA173" s="125"/>
      <c r="DRB173" s="125"/>
      <c r="DRC173" s="125"/>
      <c r="DRD173" s="125"/>
      <c r="DRE173" s="125"/>
      <c r="DRF173" s="125"/>
      <c r="DRG173" s="125"/>
      <c r="DRH173" s="125"/>
      <c r="DRI173" s="125"/>
      <c r="DRJ173" s="125"/>
      <c r="DRK173" s="125"/>
      <c r="DRL173" s="125"/>
      <c r="DRM173" s="125"/>
      <c r="DRN173" s="125"/>
      <c r="DRO173" s="125"/>
      <c r="DRP173" s="125"/>
      <c r="DRQ173" s="125"/>
      <c r="DRR173" s="125"/>
      <c r="DRS173" s="125"/>
      <c r="DRT173" s="125"/>
      <c r="DRU173" s="125"/>
      <c r="DRV173" s="125"/>
      <c r="DRW173" s="125"/>
      <c r="DRX173" s="125"/>
      <c r="DRY173" s="125"/>
      <c r="DRZ173" s="125"/>
      <c r="DSA173" s="125"/>
      <c r="DSB173" s="125"/>
      <c r="DSC173" s="125"/>
      <c r="DSD173" s="125"/>
      <c r="DSE173" s="125"/>
      <c r="DSF173" s="125"/>
      <c r="DSG173" s="125"/>
      <c r="DSH173" s="125"/>
      <c r="DSI173" s="125"/>
      <c r="DSJ173" s="125"/>
      <c r="DSK173" s="125"/>
      <c r="DSL173" s="125"/>
      <c r="DSM173" s="125"/>
      <c r="DSN173" s="125"/>
      <c r="DSO173" s="125"/>
      <c r="DSP173" s="125"/>
      <c r="DSQ173" s="125"/>
      <c r="DSR173" s="125"/>
      <c r="DSS173" s="125"/>
      <c r="DST173" s="125"/>
      <c r="DSU173" s="125"/>
      <c r="DSV173" s="125"/>
      <c r="DSW173" s="125"/>
      <c r="DSX173" s="125"/>
      <c r="DSY173" s="125"/>
      <c r="DSZ173" s="125"/>
      <c r="DTA173" s="125"/>
      <c r="DTB173" s="125"/>
      <c r="DTC173" s="125"/>
      <c r="DTD173" s="125"/>
      <c r="DTE173" s="125"/>
      <c r="DTF173" s="125"/>
      <c r="DTG173" s="125"/>
      <c r="DTH173" s="125"/>
      <c r="DTI173" s="125"/>
      <c r="DTJ173" s="125"/>
      <c r="DTK173" s="125"/>
      <c r="DTL173" s="125"/>
      <c r="DTM173" s="125"/>
      <c r="DTN173" s="125"/>
      <c r="DTO173" s="125"/>
      <c r="DTP173" s="125"/>
      <c r="DTQ173" s="125"/>
      <c r="DTR173" s="125"/>
      <c r="DTS173" s="125"/>
      <c r="DTT173" s="125"/>
      <c r="DTU173" s="125"/>
      <c r="DTV173" s="125"/>
      <c r="DTW173" s="125"/>
      <c r="DTX173" s="125"/>
      <c r="DTY173" s="125"/>
      <c r="DTZ173" s="125"/>
      <c r="DUA173" s="125"/>
      <c r="DUB173" s="125"/>
      <c r="DUC173" s="125"/>
      <c r="DUD173" s="125"/>
      <c r="DUE173" s="125"/>
      <c r="DUF173" s="125"/>
      <c r="DUG173" s="125"/>
      <c r="DUH173" s="125"/>
      <c r="DUI173" s="125"/>
      <c r="DUJ173" s="125"/>
      <c r="DUK173" s="125"/>
      <c r="DUL173" s="125"/>
      <c r="DUM173" s="125"/>
      <c r="DUN173" s="125"/>
      <c r="DUO173" s="125"/>
      <c r="DUP173" s="125"/>
      <c r="DUQ173" s="125"/>
      <c r="DUR173" s="125"/>
      <c r="DUS173" s="125"/>
      <c r="DUT173" s="125"/>
      <c r="DUU173" s="125"/>
      <c r="DUV173" s="125"/>
      <c r="DUW173" s="125"/>
      <c r="DUX173" s="125"/>
      <c r="DUY173" s="125"/>
      <c r="DUZ173" s="125"/>
      <c r="DVA173" s="125"/>
      <c r="DVB173" s="125"/>
      <c r="DVC173" s="125"/>
      <c r="DVD173" s="125"/>
      <c r="DVE173" s="125"/>
      <c r="DVF173" s="125"/>
      <c r="DVG173" s="125"/>
      <c r="DVH173" s="125"/>
      <c r="DVI173" s="125"/>
      <c r="DVJ173" s="125"/>
      <c r="DVK173" s="125"/>
      <c r="DVL173" s="125"/>
      <c r="DVM173" s="125"/>
      <c r="DVN173" s="125"/>
      <c r="DVO173" s="125"/>
      <c r="DVP173" s="125"/>
      <c r="DVQ173" s="125"/>
      <c r="DVR173" s="125"/>
      <c r="DVS173" s="125"/>
      <c r="DVT173" s="125"/>
      <c r="DVU173" s="125"/>
      <c r="DVV173" s="125"/>
      <c r="DVW173" s="125"/>
      <c r="DVX173" s="125"/>
      <c r="DVY173" s="125"/>
      <c r="DVZ173" s="125"/>
      <c r="DWA173" s="125"/>
      <c r="DWB173" s="125"/>
      <c r="DWC173" s="125"/>
      <c r="DWD173" s="125"/>
      <c r="DWE173" s="125"/>
      <c r="DWF173" s="125"/>
      <c r="DWG173" s="125"/>
      <c r="DWH173" s="125"/>
      <c r="DWI173" s="125"/>
      <c r="DWJ173" s="125"/>
      <c r="DWK173" s="125"/>
      <c r="DWL173" s="125"/>
      <c r="DWM173" s="125"/>
      <c r="DWN173" s="125"/>
      <c r="DWO173" s="125"/>
      <c r="DWP173" s="125"/>
      <c r="DWQ173" s="125"/>
      <c r="DWR173" s="125"/>
      <c r="DWS173" s="125"/>
      <c r="DWT173" s="125"/>
      <c r="DWU173" s="125"/>
      <c r="DWV173" s="125"/>
      <c r="DWW173" s="125"/>
      <c r="DWX173" s="125"/>
      <c r="DWY173" s="125"/>
      <c r="DWZ173" s="125"/>
      <c r="DXA173" s="125"/>
      <c r="DXB173" s="125"/>
      <c r="DXC173" s="125"/>
      <c r="DXD173" s="125"/>
      <c r="DXE173" s="125"/>
      <c r="DXF173" s="125"/>
      <c r="DXG173" s="125"/>
      <c r="DXH173" s="125"/>
      <c r="DXI173" s="125"/>
      <c r="DXJ173" s="125"/>
      <c r="DXK173" s="125"/>
      <c r="DXL173" s="125"/>
      <c r="DXM173" s="125"/>
      <c r="DXN173" s="125"/>
      <c r="DXO173" s="125"/>
      <c r="DXP173" s="125"/>
      <c r="DXQ173" s="125"/>
      <c r="DXR173" s="125"/>
      <c r="DXS173" s="125"/>
      <c r="DXT173" s="125"/>
      <c r="DXU173" s="125"/>
      <c r="DXV173" s="125"/>
      <c r="DXW173" s="125"/>
      <c r="DXX173" s="125"/>
      <c r="DXY173" s="125"/>
      <c r="DXZ173" s="125"/>
      <c r="DYA173" s="125"/>
      <c r="DYB173" s="125"/>
      <c r="DYC173" s="125"/>
      <c r="DYD173" s="125"/>
      <c r="DYE173" s="125"/>
      <c r="DYF173" s="125"/>
      <c r="DYG173" s="125"/>
      <c r="DYH173" s="125"/>
      <c r="DYI173" s="125"/>
      <c r="DYJ173" s="125"/>
      <c r="DYK173" s="125"/>
      <c r="DYL173" s="125"/>
      <c r="DYM173" s="125"/>
      <c r="DYN173" s="125"/>
      <c r="DYO173" s="125"/>
      <c r="DYP173" s="125"/>
      <c r="DYQ173" s="125"/>
      <c r="DYR173" s="125"/>
      <c r="DYS173" s="125"/>
      <c r="DYT173" s="125"/>
      <c r="DYU173" s="125"/>
      <c r="DYV173" s="125"/>
      <c r="DYW173" s="125"/>
      <c r="DYX173" s="125"/>
      <c r="DYY173" s="125"/>
      <c r="DYZ173" s="125"/>
      <c r="DZA173" s="125"/>
      <c r="DZB173" s="125"/>
      <c r="DZC173" s="125"/>
      <c r="DZD173" s="125"/>
      <c r="DZE173" s="125"/>
      <c r="DZF173" s="125"/>
      <c r="DZG173" s="125"/>
      <c r="DZH173" s="125"/>
      <c r="DZI173" s="125"/>
      <c r="DZJ173" s="125"/>
      <c r="DZK173" s="125"/>
      <c r="DZL173" s="125"/>
      <c r="DZM173" s="125"/>
      <c r="DZN173" s="125"/>
      <c r="DZO173" s="125"/>
      <c r="DZP173" s="125"/>
      <c r="DZQ173" s="125"/>
      <c r="DZR173" s="125"/>
      <c r="DZS173" s="125"/>
      <c r="DZT173" s="125"/>
      <c r="DZU173" s="125"/>
      <c r="DZV173" s="125"/>
      <c r="DZW173" s="125"/>
      <c r="DZX173" s="125"/>
      <c r="DZY173" s="125"/>
      <c r="DZZ173" s="125"/>
      <c r="EAA173" s="125"/>
      <c r="EAB173" s="125"/>
      <c r="EAC173" s="125"/>
      <c r="EAD173" s="125"/>
      <c r="EAE173" s="125"/>
      <c r="EAF173" s="125"/>
      <c r="EAG173" s="125"/>
      <c r="EAH173" s="125"/>
      <c r="EAI173" s="125"/>
      <c r="EAJ173" s="125"/>
      <c r="EAK173" s="125"/>
      <c r="EAL173" s="125"/>
      <c r="EAM173" s="125"/>
      <c r="EAN173" s="125"/>
      <c r="EAO173" s="125"/>
      <c r="EAP173" s="125"/>
      <c r="EAQ173" s="125"/>
      <c r="EAR173" s="125"/>
      <c r="EAS173" s="125"/>
      <c r="EAT173" s="125"/>
      <c r="EAU173" s="125"/>
      <c r="EAV173" s="125"/>
      <c r="EAW173" s="125"/>
      <c r="EAX173" s="125"/>
      <c r="EAY173" s="125"/>
      <c r="EAZ173" s="125"/>
      <c r="EBA173" s="125"/>
      <c r="EBB173" s="125"/>
      <c r="EBC173" s="125"/>
      <c r="EBD173" s="125"/>
      <c r="EBE173" s="125"/>
      <c r="EBF173" s="125"/>
      <c r="EBG173" s="125"/>
      <c r="EBH173" s="125"/>
      <c r="EBI173" s="125"/>
      <c r="EBJ173" s="125"/>
      <c r="EBK173" s="125"/>
      <c r="EBL173" s="125"/>
      <c r="EBM173" s="125"/>
      <c r="EBN173" s="125"/>
      <c r="EBO173" s="125"/>
      <c r="EBP173" s="125"/>
      <c r="EBQ173" s="125"/>
      <c r="EBR173" s="125"/>
      <c r="EBS173" s="125"/>
      <c r="EBT173" s="125"/>
      <c r="EBU173" s="125"/>
      <c r="EBV173" s="125"/>
      <c r="EBW173" s="125"/>
      <c r="EBX173" s="125"/>
      <c r="EBY173" s="125"/>
      <c r="EBZ173" s="125"/>
      <c r="ECA173" s="125"/>
      <c r="ECB173" s="125"/>
      <c r="ECC173" s="125"/>
      <c r="ECD173" s="125"/>
      <c r="ECE173" s="125"/>
      <c r="ECF173" s="125"/>
      <c r="ECG173" s="125"/>
      <c r="ECH173" s="125"/>
      <c r="ECI173" s="125"/>
      <c r="ECJ173" s="125"/>
      <c r="ECK173" s="125"/>
      <c r="ECL173" s="125"/>
      <c r="ECM173" s="125"/>
      <c r="ECN173" s="125"/>
      <c r="ECO173" s="125"/>
      <c r="ECP173" s="125"/>
      <c r="ECQ173" s="125"/>
      <c r="ECR173" s="125"/>
      <c r="ECS173" s="125"/>
      <c r="ECT173" s="125"/>
      <c r="ECU173" s="125"/>
      <c r="ECV173" s="125"/>
      <c r="ECW173" s="125"/>
      <c r="ECX173" s="125"/>
      <c r="ECY173" s="125"/>
      <c r="ECZ173" s="125"/>
      <c r="EDA173" s="125"/>
      <c r="EDB173" s="125"/>
      <c r="EDC173" s="125"/>
      <c r="EDD173" s="125"/>
      <c r="EDE173" s="125"/>
      <c r="EDF173" s="125"/>
      <c r="EDG173" s="125"/>
      <c r="EDH173" s="125"/>
      <c r="EDI173" s="125"/>
      <c r="EDJ173" s="125"/>
      <c r="EDK173" s="125"/>
      <c r="EDL173" s="125"/>
      <c r="EDM173" s="125"/>
      <c r="EDN173" s="125"/>
      <c r="EDO173" s="125"/>
      <c r="EDP173" s="125"/>
      <c r="EDQ173" s="125"/>
      <c r="EDR173" s="125"/>
      <c r="EDS173" s="125"/>
      <c r="EDT173" s="125"/>
      <c r="EDU173" s="125"/>
      <c r="EDV173" s="125"/>
      <c r="EDW173" s="125"/>
      <c r="EDX173" s="125"/>
      <c r="EDY173" s="125"/>
      <c r="EDZ173" s="125"/>
      <c r="EEA173" s="125"/>
      <c r="EEB173" s="125"/>
      <c r="EEC173" s="125"/>
      <c r="EED173" s="125"/>
      <c r="EEE173" s="125"/>
      <c r="EEF173" s="125"/>
      <c r="EEG173" s="125"/>
      <c r="EEH173" s="125"/>
      <c r="EEI173" s="125"/>
      <c r="EEJ173" s="125"/>
      <c r="EEK173" s="125"/>
      <c r="EEL173" s="125"/>
      <c r="EEM173" s="125"/>
      <c r="EEN173" s="125"/>
      <c r="EEO173" s="125"/>
      <c r="EEP173" s="125"/>
      <c r="EEQ173" s="125"/>
      <c r="EER173" s="125"/>
      <c r="EES173" s="125"/>
      <c r="EET173" s="125"/>
      <c r="EEU173" s="125"/>
      <c r="EEV173" s="125"/>
      <c r="EEW173" s="125"/>
      <c r="EEX173" s="125"/>
      <c r="EEY173" s="125"/>
      <c r="EEZ173" s="125"/>
      <c r="EFA173" s="125"/>
      <c r="EFB173" s="125"/>
      <c r="EFC173" s="125"/>
      <c r="EFD173" s="125"/>
      <c r="EFE173" s="125"/>
      <c r="EFF173" s="125"/>
      <c r="EFG173" s="125"/>
      <c r="EFH173" s="125"/>
      <c r="EFI173" s="125"/>
      <c r="EFJ173" s="125"/>
      <c r="EFK173" s="125"/>
      <c r="EFL173" s="125"/>
      <c r="EFM173" s="125"/>
      <c r="EFN173" s="125"/>
      <c r="EFO173" s="125"/>
      <c r="EFP173" s="125"/>
      <c r="EFQ173" s="125"/>
      <c r="EFR173" s="125"/>
      <c r="EFS173" s="125"/>
      <c r="EFT173" s="125"/>
      <c r="EFU173" s="125"/>
      <c r="EFV173" s="125"/>
      <c r="EFW173" s="125"/>
      <c r="EFX173" s="125"/>
      <c r="EFY173" s="125"/>
      <c r="EFZ173" s="125"/>
      <c r="EGA173" s="125"/>
      <c r="EGB173" s="125"/>
      <c r="EGC173" s="125"/>
      <c r="EGD173" s="125"/>
      <c r="EGE173" s="125"/>
      <c r="EGF173" s="125"/>
      <c r="EGG173" s="125"/>
      <c r="EGH173" s="125"/>
      <c r="EGI173" s="125"/>
      <c r="EGJ173" s="125"/>
      <c r="EGK173" s="125"/>
      <c r="EGL173" s="125"/>
      <c r="EGM173" s="125"/>
      <c r="EGN173" s="125"/>
      <c r="EGO173" s="125"/>
      <c r="EGP173" s="125"/>
      <c r="EGQ173" s="125"/>
      <c r="EGR173" s="125"/>
      <c r="EGS173" s="125"/>
      <c r="EGT173" s="125"/>
      <c r="EGU173" s="125"/>
      <c r="EGV173" s="125"/>
      <c r="EGW173" s="125"/>
      <c r="EGX173" s="125"/>
      <c r="EGY173" s="125"/>
      <c r="EGZ173" s="125"/>
      <c r="EHA173" s="125"/>
      <c r="EHB173" s="125"/>
      <c r="EHC173" s="125"/>
      <c r="EHD173" s="125"/>
      <c r="EHE173" s="125"/>
      <c r="EHF173" s="125"/>
      <c r="EHG173" s="125"/>
      <c r="EHH173" s="125"/>
      <c r="EHI173" s="125"/>
      <c r="EHJ173" s="125"/>
      <c r="EHK173" s="125"/>
      <c r="EHL173" s="125"/>
      <c r="EHM173" s="125"/>
      <c r="EHN173" s="125"/>
      <c r="EHO173" s="125"/>
      <c r="EHP173" s="125"/>
      <c r="EHQ173" s="125"/>
      <c r="EHR173" s="125"/>
      <c r="EHS173" s="125"/>
      <c r="EHT173" s="125"/>
      <c r="EHU173" s="125"/>
      <c r="EHV173" s="125"/>
      <c r="EHW173" s="125"/>
      <c r="EHX173" s="125"/>
      <c r="EHY173" s="125"/>
      <c r="EHZ173" s="125"/>
      <c r="EIA173" s="125"/>
      <c r="EIB173" s="125"/>
      <c r="EIC173" s="125"/>
      <c r="EID173" s="125"/>
      <c r="EIE173" s="125"/>
      <c r="EIF173" s="125"/>
      <c r="EIG173" s="125"/>
      <c r="EIH173" s="125"/>
      <c r="EII173" s="125"/>
      <c r="EIJ173" s="125"/>
      <c r="EIK173" s="125"/>
      <c r="EIL173" s="125"/>
      <c r="EIM173" s="125"/>
      <c r="EIN173" s="125"/>
      <c r="EIO173" s="125"/>
      <c r="EIP173" s="125"/>
      <c r="EIQ173" s="125"/>
      <c r="EIR173" s="125"/>
      <c r="EIS173" s="125"/>
      <c r="EIT173" s="125"/>
      <c r="EIU173" s="125"/>
      <c r="EIV173" s="125"/>
      <c r="EIW173" s="125"/>
      <c r="EIX173" s="125"/>
      <c r="EIY173" s="125"/>
      <c r="EIZ173" s="125"/>
      <c r="EJA173" s="125"/>
      <c r="EJB173" s="125"/>
      <c r="EJC173" s="125"/>
      <c r="EJD173" s="125"/>
      <c r="EJE173" s="125"/>
      <c r="EJF173" s="125"/>
      <c r="EJG173" s="125"/>
      <c r="EJH173" s="125"/>
      <c r="EJI173" s="125"/>
      <c r="EJJ173" s="125"/>
      <c r="EJK173" s="125"/>
      <c r="EJL173" s="125"/>
      <c r="EJM173" s="125"/>
      <c r="EJN173" s="125"/>
      <c r="EJO173" s="125"/>
      <c r="EJP173" s="125"/>
      <c r="EJQ173" s="125"/>
      <c r="EJR173" s="125"/>
      <c r="EJS173" s="125"/>
      <c r="EJT173" s="125"/>
      <c r="EJU173" s="125"/>
      <c r="EJV173" s="125"/>
      <c r="EJW173" s="125"/>
      <c r="EJX173" s="125"/>
      <c r="EJY173" s="125"/>
      <c r="EJZ173" s="125"/>
      <c r="EKA173" s="125"/>
      <c r="EKB173" s="125"/>
      <c r="EKC173" s="125"/>
      <c r="EKD173" s="125"/>
      <c r="EKE173" s="125"/>
      <c r="EKF173" s="125"/>
      <c r="EKG173" s="125"/>
      <c r="EKH173" s="125"/>
      <c r="EKI173" s="125"/>
      <c r="EKJ173" s="125"/>
      <c r="EKK173" s="125"/>
      <c r="EKL173" s="125"/>
      <c r="EKM173" s="125"/>
      <c r="EKN173" s="125"/>
      <c r="EKO173" s="125"/>
      <c r="EKP173" s="125"/>
      <c r="EKQ173" s="125"/>
      <c r="EKR173" s="125"/>
      <c r="EKS173" s="125"/>
      <c r="EKT173" s="125"/>
      <c r="EKU173" s="125"/>
      <c r="EKV173" s="125"/>
      <c r="EKW173" s="125"/>
      <c r="EKX173" s="125"/>
      <c r="EKY173" s="125"/>
      <c r="EKZ173" s="125"/>
      <c r="ELA173" s="125"/>
      <c r="ELB173" s="125"/>
      <c r="ELC173" s="125"/>
      <c r="ELD173" s="125"/>
      <c r="ELE173" s="125"/>
      <c r="ELF173" s="125"/>
      <c r="ELG173" s="125"/>
      <c r="ELH173" s="125"/>
      <c r="ELI173" s="125"/>
      <c r="ELJ173" s="125"/>
      <c r="ELK173" s="125"/>
      <c r="ELL173" s="125"/>
      <c r="ELM173" s="125"/>
      <c r="ELN173" s="125"/>
      <c r="ELO173" s="125"/>
      <c r="ELP173" s="125"/>
      <c r="ELQ173" s="125"/>
      <c r="ELR173" s="125"/>
      <c r="ELS173" s="125"/>
      <c r="ELT173" s="125"/>
      <c r="ELU173" s="125"/>
      <c r="ELV173" s="125"/>
      <c r="ELW173" s="125"/>
      <c r="ELX173" s="125"/>
      <c r="ELY173" s="125"/>
      <c r="ELZ173" s="125"/>
      <c r="EMA173" s="125"/>
      <c r="EMB173" s="125"/>
      <c r="EMC173" s="125"/>
      <c r="EMD173" s="125"/>
      <c r="EME173" s="125"/>
      <c r="EMF173" s="125"/>
      <c r="EMG173" s="125"/>
      <c r="EMH173" s="125"/>
      <c r="EMI173" s="125"/>
      <c r="EMJ173" s="125"/>
      <c r="EMK173" s="125"/>
      <c r="EML173" s="125"/>
      <c r="EMM173" s="125"/>
      <c r="EMN173" s="125"/>
      <c r="EMO173" s="125"/>
      <c r="EMP173" s="125"/>
      <c r="EMQ173" s="125"/>
      <c r="EMR173" s="125"/>
      <c r="EMS173" s="125"/>
      <c r="EMT173" s="125"/>
      <c r="EMU173" s="125"/>
      <c r="EMV173" s="125"/>
      <c r="EMW173" s="125"/>
      <c r="EMX173" s="125"/>
      <c r="EMY173" s="125"/>
      <c r="EMZ173" s="125"/>
      <c r="ENA173" s="125"/>
      <c r="ENB173" s="125"/>
      <c r="ENC173" s="125"/>
      <c r="END173" s="125"/>
      <c r="ENE173" s="125"/>
      <c r="ENF173" s="125"/>
      <c r="ENG173" s="125"/>
      <c r="ENH173" s="125"/>
      <c r="ENI173" s="125"/>
      <c r="ENJ173" s="125"/>
      <c r="ENK173" s="125"/>
      <c r="ENL173" s="125"/>
      <c r="ENM173" s="125"/>
      <c r="ENN173" s="125"/>
      <c r="ENO173" s="125"/>
      <c r="ENP173" s="125"/>
      <c r="ENQ173" s="125"/>
      <c r="ENR173" s="125"/>
      <c r="ENS173" s="125"/>
      <c r="ENT173" s="125"/>
      <c r="ENU173" s="125"/>
      <c r="ENV173" s="125"/>
      <c r="ENW173" s="125"/>
      <c r="ENX173" s="125"/>
      <c r="ENY173" s="125"/>
      <c r="ENZ173" s="125"/>
      <c r="EOA173" s="125"/>
      <c r="EOB173" s="125"/>
      <c r="EOC173" s="125"/>
      <c r="EOD173" s="125"/>
      <c r="EOE173" s="125"/>
      <c r="EOF173" s="125"/>
      <c r="EOG173" s="125"/>
      <c r="EOH173" s="125"/>
      <c r="EOI173" s="125"/>
      <c r="EOJ173" s="125"/>
      <c r="EOK173" s="125"/>
      <c r="EOL173" s="125"/>
      <c r="EOM173" s="125"/>
      <c r="EON173" s="125"/>
      <c r="EOO173" s="125"/>
      <c r="EOP173" s="125"/>
      <c r="EOQ173" s="125"/>
      <c r="EOR173" s="125"/>
      <c r="EOS173" s="125"/>
      <c r="EOT173" s="125"/>
      <c r="EOU173" s="125"/>
      <c r="EOV173" s="125"/>
      <c r="EOW173" s="125"/>
      <c r="EOX173" s="125"/>
      <c r="EOY173" s="125"/>
      <c r="EOZ173" s="125"/>
      <c r="EPA173" s="125"/>
      <c r="EPB173" s="125"/>
      <c r="EPC173" s="125"/>
      <c r="EPD173" s="125"/>
      <c r="EPE173" s="125"/>
      <c r="EPF173" s="125"/>
      <c r="EPG173" s="125"/>
      <c r="EPH173" s="125"/>
      <c r="EPI173" s="125"/>
      <c r="EPJ173" s="125"/>
      <c r="EPK173" s="125"/>
      <c r="EPL173" s="125"/>
      <c r="EPM173" s="125"/>
      <c r="EPN173" s="125"/>
      <c r="EPO173" s="125"/>
      <c r="EPP173" s="125"/>
      <c r="EPQ173" s="125"/>
      <c r="EPR173" s="125"/>
      <c r="EPS173" s="125"/>
      <c r="EPT173" s="125"/>
      <c r="EPU173" s="125"/>
      <c r="EPV173" s="125"/>
      <c r="EPW173" s="125"/>
      <c r="EPX173" s="125"/>
      <c r="EPY173" s="125"/>
      <c r="EPZ173" s="125"/>
      <c r="EQA173" s="125"/>
      <c r="EQB173" s="125"/>
      <c r="EQC173" s="125"/>
      <c r="EQD173" s="125"/>
      <c r="EQE173" s="125"/>
      <c r="EQF173" s="125"/>
      <c r="EQG173" s="125"/>
      <c r="EQH173" s="125"/>
      <c r="EQI173" s="125"/>
      <c r="EQJ173" s="125"/>
      <c r="EQK173" s="125"/>
      <c r="EQL173" s="125"/>
      <c r="EQM173" s="125"/>
      <c r="EQN173" s="125"/>
      <c r="EQO173" s="125"/>
      <c r="EQP173" s="125"/>
      <c r="EQQ173" s="125"/>
      <c r="EQR173" s="125"/>
      <c r="EQS173" s="125"/>
      <c r="EQT173" s="125"/>
      <c r="EQU173" s="125"/>
      <c r="EQV173" s="125"/>
      <c r="EQW173" s="125"/>
      <c r="EQX173" s="125"/>
      <c r="EQY173" s="125"/>
      <c r="EQZ173" s="125"/>
      <c r="ERA173" s="125"/>
      <c r="ERB173" s="125"/>
      <c r="ERC173" s="125"/>
      <c r="ERD173" s="125"/>
      <c r="ERE173" s="125"/>
      <c r="ERF173" s="125"/>
      <c r="ERG173" s="125"/>
      <c r="ERH173" s="125"/>
      <c r="ERI173" s="125"/>
      <c r="ERJ173" s="125"/>
      <c r="ERK173" s="125"/>
      <c r="ERL173" s="125"/>
      <c r="ERM173" s="125"/>
      <c r="ERN173" s="125"/>
      <c r="ERO173" s="125"/>
      <c r="ERP173" s="125"/>
      <c r="ERQ173" s="125"/>
      <c r="ERR173" s="125"/>
      <c r="ERS173" s="125"/>
      <c r="ERT173" s="125"/>
      <c r="ERU173" s="125"/>
      <c r="ERV173" s="125"/>
      <c r="ERW173" s="125"/>
      <c r="ERX173" s="125"/>
      <c r="ERY173" s="125"/>
      <c r="ERZ173" s="125"/>
      <c r="ESA173" s="125"/>
      <c r="ESB173" s="125"/>
      <c r="ESC173" s="125"/>
      <c r="ESD173" s="125"/>
      <c r="ESE173" s="125"/>
      <c r="ESF173" s="125"/>
      <c r="ESG173" s="125"/>
      <c r="ESH173" s="125"/>
      <c r="ESI173" s="125"/>
      <c r="ESJ173" s="125"/>
      <c r="ESK173" s="125"/>
      <c r="ESL173" s="125"/>
      <c r="ESM173" s="125"/>
      <c r="ESN173" s="125"/>
      <c r="ESO173" s="125"/>
      <c r="ESP173" s="125"/>
      <c r="ESQ173" s="125"/>
      <c r="ESR173" s="125"/>
      <c r="ESS173" s="125"/>
      <c r="EST173" s="125"/>
      <c r="ESU173" s="125"/>
      <c r="ESV173" s="125"/>
      <c r="ESW173" s="125"/>
      <c r="ESX173" s="125"/>
      <c r="ESY173" s="125"/>
      <c r="ESZ173" s="125"/>
      <c r="ETA173" s="125"/>
      <c r="ETB173" s="125"/>
      <c r="ETC173" s="125"/>
      <c r="ETD173" s="125"/>
      <c r="ETE173" s="125"/>
      <c r="ETF173" s="125"/>
      <c r="ETG173" s="125"/>
      <c r="ETH173" s="125"/>
      <c r="ETI173" s="125"/>
      <c r="ETJ173" s="125"/>
      <c r="ETK173" s="125"/>
      <c r="ETL173" s="125"/>
      <c r="ETM173" s="125"/>
      <c r="ETN173" s="125"/>
      <c r="ETO173" s="125"/>
      <c r="ETP173" s="125"/>
      <c r="ETQ173" s="125"/>
      <c r="ETR173" s="125"/>
      <c r="ETS173" s="125"/>
      <c r="ETT173" s="125"/>
      <c r="ETU173" s="125"/>
      <c r="ETV173" s="125"/>
      <c r="ETW173" s="125"/>
      <c r="ETX173" s="125"/>
      <c r="ETY173" s="125"/>
      <c r="ETZ173" s="125"/>
      <c r="EUA173" s="125"/>
      <c r="EUB173" s="125"/>
      <c r="EUC173" s="125"/>
      <c r="EUD173" s="125"/>
      <c r="EUE173" s="125"/>
      <c r="EUF173" s="125"/>
      <c r="EUG173" s="125"/>
      <c r="EUH173" s="125"/>
      <c r="EUI173" s="125"/>
      <c r="EUJ173" s="125"/>
      <c r="EUK173" s="125"/>
      <c r="EUL173" s="125"/>
      <c r="EUM173" s="125"/>
      <c r="EUN173" s="125"/>
      <c r="EUO173" s="125"/>
      <c r="EUP173" s="125"/>
      <c r="EUQ173" s="125"/>
      <c r="EUR173" s="125"/>
      <c r="EUS173" s="125"/>
      <c r="EUT173" s="125"/>
      <c r="EUU173" s="125"/>
      <c r="EUV173" s="125"/>
      <c r="EUW173" s="125"/>
      <c r="EUX173" s="125"/>
      <c r="EUY173" s="125"/>
      <c r="EUZ173" s="125"/>
      <c r="EVA173" s="125"/>
      <c r="EVB173" s="125"/>
      <c r="EVC173" s="125"/>
      <c r="EVD173" s="125"/>
      <c r="EVE173" s="125"/>
      <c r="EVF173" s="125"/>
      <c r="EVG173" s="125"/>
      <c r="EVH173" s="125"/>
      <c r="EVI173" s="125"/>
      <c r="EVJ173" s="125"/>
      <c r="EVK173" s="125"/>
      <c r="EVL173" s="125"/>
      <c r="EVM173" s="125"/>
      <c r="EVN173" s="125"/>
      <c r="EVO173" s="125"/>
      <c r="EVP173" s="125"/>
      <c r="EVQ173" s="125"/>
      <c r="EVR173" s="125"/>
      <c r="EVS173" s="125"/>
      <c r="EVT173" s="125"/>
      <c r="EVU173" s="125"/>
      <c r="EVV173" s="125"/>
      <c r="EVW173" s="125"/>
      <c r="EVX173" s="125"/>
      <c r="EVY173" s="125"/>
      <c r="EVZ173" s="125"/>
      <c r="EWA173" s="125"/>
      <c r="EWB173" s="125"/>
      <c r="EWC173" s="125"/>
      <c r="EWD173" s="125"/>
      <c r="EWE173" s="125"/>
      <c r="EWF173" s="125"/>
      <c r="EWG173" s="125"/>
      <c r="EWH173" s="125"/>
      <c r="EWI173" s="125"/>
      <c r="EWJ173" s="125"/>
      <c r="EWK173" s="125"/>
      <c r="EWL173" s="125"/>
      <c r="EWM173" s="125"/>
      <c r="EWN173" s="125"/>
      <c r="EWO173" s="125"/>
      <c r="EWP173" s="125"/>
      <c r="EWQ173" s="125"/>
      <c r="EWR173" s="125"/>
      <c r="EWS173" s="125"/>
      <c r="EWT173" s="125"/>
      <c r="EWU173" s="125"/>
      <c r="EWV173" s="125"/>
      <c r="EWW173" s="125"/>
      <c r="EWX173" s="125"/>
      <c r="EWY173" s="125"/>
      <c r="EWZ173" s="125"/>
      <c r="EXA173" s="125"/>
      <c r="EXB173" s="125"/>
      <c r="EXC173" s="125"/>
      <c r="EXD173" s="125"/>
      <c r="EXE173" s="125"/>
      <c r="EXF173" s="125"/>
      <c r="EXG173" s="125"/>
      <c r="EXH173" s="125"/>
      <c r="EXI173" s="125"/>
      <c r="EXJ173" s="125"/>
      <c r="EXK173" s="125"/>
      <c r="EXL173" s="125"/>
      <c r="EXM173" s="125"/>
      <c r="EXN173" s="125"/>
      <c r="EXO173" s="125"/>
      <c r="EXP173" s="125"/>
      <c r="EXQ173" s="125"/>
      <c r="EXR173" s="125"/>
      <c r="EXS173" s="125"/>
      <c r="EXT173" s="125"/>
      <c r="EXU173" s="125"/>
      <c r="EXV173" s="125"/>
      <c r="EXW173" s="125"/>
      <c r="EXX173" s="125"/>
      <c r="EXY173" s="125"/>
      <c r="EXZ173" s="125"/>
      <c r="EYA173" s="125"/>
      <c r="EYB173" s="125"/>
      <c r="EYC173" s="125"/>
      <c r="EYD173" s="125"/>
      <c r="EYE173" s="125"/>
      <c r="EYF173" s="125"/>
      <c r="EYG173" s="125"/>
      <c r="EYH173" s="125"/>
      <c r="EYI173" s="125"/>
      <c r="EYJ173" s="125"/>
      <c r="EYK173" s="125"/>
      <c r="EYL173" s="125"/>
      <c r="EYM173" s="125"/>
      <c r="EYN173" s="125"/>
      <c r="EYO173" s="125"/>
      <c r="EYP173" s="125"/>
      <c r="EYQ173" s="125"/>
      <c r="EYR173" s="125"/>
      <c r="EYS173" s="125"/>
      <c r="EYT173" s="125"/>
      <c r="EYU173" s="125"/>
      <c r="EYV173" s="125"/>
      <c r="EYW173" s="125"/>
      <c r="EYX173" s="125"/>
      <c r="EYY173" s="125"/>
      <c r="EYZ173" s="125"/>
      <c r="EZA173" s="125"/>
      <c r="EZB173" s="125"/>
      <c r="EZC173" s="125"/>
      <c r="EZD173" s="125"/>
      <c r="EZE173" s="125"/>
      <c r="EZF173" s="125"/>
      <c r="EZG173" s="125"/>
      <c r="EZH173" s="125"/>
      <c r="EZI173" s="125"/>
      <c r="EZJ173" s="125"/>
      <c r="EZK173" s="125"/>
      <c r="EZL173" s="125"/>
      <c r="EZM173" s="125"/>
      <c r="EZN173" s="125"/>
      <c r="EZO173" s="125"/>
      <c r="EZP173" s="125"/>
      <c r="EZQ173" s="125"/>
      <c r="EZR173" s="125"/>
      <c r="EZS173" s="125"/>
      <c r="EZT173" s="125"/>
      <c r="EZU173" s="125"/>
      <c r="EZV173" s="125"/>
      <c r="EZW173" s="125"/>
      <c r="EZX173" s="125"/>
      <c r="EZY173" s="125"/>
      <c r="EZZ173" s="125"/>
      <c r="FAA173" s="125"/>
      <c r="FAB173" s="125"/>
      <c r="FAC173" s="125"/>
      <c r="FAD173" s="125"/>
      <c r="FAE173" s="125"/>
      <c r="FAF173" s="125"/>
      <c r="FAG173" s="125"/>
      <c r="FAH173" s="125"/>
      <c r="FAI173" s="125"/>
      <c r="FAJ173" s="125"/>
      <c r="FAK173" s="125"/>
      <c r="FAL173" s="125"/>
      <c r="FAM173" s="125"/>
      <c r="FAN173" s="125"/>
      <c r="FAO173" s="125"/>
      <c r="FAP173" s="125"/>
      <c r="FAQ173" s="125"/>
      <c r="FAR173" s="125"/>
      <c r="FAS173" s="125"/>
      <c r="FAT173" s="125"/>
      <c r="FAU173" s="125"/>
      <c r="FAV173" s="125"/>
      <c r="FAW173" s="125"/>
      <c r="FAX173" s="125"/>
      <c r="FAY173" s="125"/>
      <c r="FAZ173" s="125"/>
      <c r="FBA173" s="125"/>
      <c r="FBB173" s="125"/>
      <c r="FBC173" s="125"/>
      <c r="FBD173" s="125"/>
      <c r="FBE173" s="125"/>
      <c r="FBF173" s="125"/>
      <c r="FBG173" s="125"/>
      <c r="FBH173" s="125"/>
      <c r="FBI173" s="125"/>
      <c r="FBJ173" s="125"/>
      <c r="FBK173" s="125"/>
      <c r="FBL173" s="125"/>
      <c r="FBM173" s="125"/>
      <c r="FBN173" s="125"/>
      <c r="FBO173" s="125"/>
      <c r="FBP173" s="125"/>
      <c r="FBQ173" s="125"/>
      <c r="FBR173" s="125"/>
      <c r="FBS173" s="125"/>
      <c r="FBT173" s="125"/>
      <c r="FBU173" s="125"/>
      <c r="FBV173" s="125"/>
      <c r="FBW173" s="125"/>
      <c r="FBX173" s="125"/>
      <c r="FBY173" s="125"/>
      <c r="FBZ173" s="125"/>
      <c r="FCA173" s="125"/>
      <c r="FCB173" s="125"/>
      <c r="FCC173" s="125"/>
      <c r="FCD173" s="125"/>
      <c r="FCE173" s="125"/>
      <c r="FCF173" s="125"/>
      <c r="FCG173" s="125"/>
      <c r="FCH173" s="125"/>
      <c r="FCI173" s="125"/>
      <c r="FCJ173" s="125"/>
      <c r="FCK173" s="125"/>
      <c r="FCL173" s="125"/>
      <c r="FCM173" s="125"/>
      <c r="FCN173" s="125"/>
      <c r="FCO173" s="125"/>
      <c r="FCP173" s="125"/>
      <c r="FCQ173" s="125"/>
      <c r="FCR173" s="125"/>
      <c r="FCS173" s="125"/>
      <c r="FCT173" s="125"/>
      <c r="FCU173" s="125"/>
      <c r="FCV173" s="125"/>
      <c r="FCW173" s="125"/>
      <c r="FCX173" s="125"/>
      <c r="FCY173" s="125"/>
      <c r="FCZ173" s="125"/>
      <c r="FDA173" s="125"/>
      <c r="FDB173" s="125"/>
      <c r="FDC173" s="125"/>
      <c r="FDD173" s="125"/>
      <c r="FDE173" s="125"/>
      <c r="FDF173" s="125"/>
      <c r="FDG173" s="125"/>
      <c r="FDH173" s="125"/>
      <c r="FDI173" s="125"/>
      <c r="FDJ173" s="125"/>
      <c r="FDK173" s="125"/>
      <c r="FDL173" s="125"/>
      <c r="FDM173" s="125"/>
      <c r="FDN173" s="125"/>
      <c r="FDO173" s="125"/>
      <c r="FDP173" s="125"/>
      <c r="FDQ173" s="125"/>
      <c r="FDR173" s="125"/>
      <c r="FDS173" s="125"/>
      <c r="FDT173" s="125"/>
      <c r="FDU173" s="125"/>
      <c r="FDV173" s="125"/>
      <c r="FDW173" s="125"/>
      <c r="FDX173" s="125"/>
      <c r="FDY173" s="125"/>
      <c r="FDZ173" s="125"/>
      <c r="FEA173" s="125"/>
      <c r="FEB173" s="125"/>
      <c r="FEC173" s="125"/>
      <c r="FED173" s="125"/>
      <c r="FEE173" s="125"/>
      <c r="FEF173" s="125"/>
      <c r="FEG173" s="125"/>
      <c r="FEH173" s="125"/>
      <c r="FEI173" s="125"/>
      <c r="FEJ173" s="125"/>
      <c r="FEK173" s="125"/>
      <c r="FEL173" s="125"/>
      <c r="FEM173" s="125"/>
      <c r="FEN173" s="125"/>
      <c r="FEO173" s="125"/>
      <c r="FEP173" s="125"/>
      <c r="FEQ173" s="125"/>
      <c r="FER173" s="125"/>
      <c r="FES173" s="125"/>
      <c r="FET173" s="125"/>
      <c r="FEU173" s="125"/>
      <c r="FEV173" s="125"/>
      <c r="FEW173" s="125"/>
      <c r="FEX173" s="125"/>
      <c r="FEY173" s="125"/>
      <c r="FEZ173" s="125"/>
      <c r="FFA173" s="125"/>
      <c r="FFB173" s="125"/>
      <c r="FFC173" s="125"/>
      <c r="FFD173" s="125"/>
      <c r="FFE173" s="125"/>
      <c r="FFF173" s="125"/>
      <c r="FFG173" s="125"/>
      <c r="FFH173" s="125"/>
      <c r="FFI173" s="125"/>
      <c r="FFJ173" s="125"/>
      <c r="FFK173" s="125"/>
      <c r="FFL173" s="125"/>
      <c r="FFM173" s="125"/>
      <c r="FFN173" s="125"/>
      <c r="FFO173" s="125"/>
      <c r="FFP173" s="125"/>
      <c r="FFQ173" s="125"/>
      <c r="FFR173" s="125"/>
      <c r="FFS173" s="125"/>
      <c r="FFT173" s="125"/>
      <c r="FFU173" s="125"/>
      <c r="FFV173" s="125"/>
      <c r="FFW173" s="125"/>
      <c r="FFX173" s="125"/>
      <c r="FFY173" s="125"/>
      <c r="FFZ173" s="125"/>
      <c r="FGA173" s="125"/>
      <c r="FGB173" s="125"/>
      <c r="FGC173" s="125"/>
      <c r="FGD173" s="125"/>
      <c r="FGE173" s="125"/>
      <c r="FGF173" s="125"/>
      <c r="FGG173" s="125"/>
      <c r="FGH173" s="125"/>
      <c r="FGI173" s="125"/>
      <c r="FGJ173" s="125"/>
      <c r="FGK173" s="125"/>
      <c r="FGL173" s="125"/>
      <c r="FGM173" s="125"/>
      <c r="FGN173" s="125"/>
      <c r="FGO173" s="125"/>
      <c r="FGP173" s="125"/>
      <c r="FGQ173" s="125"/>
      <c r="FGR173" s="125"/>
      <c r="FGS173" s="125"/>
      <c r="FGT173" s="125"/>
      <c r="FGU173" s="125"/>
      <c r="FGV173" s="125"/>
      <c r="FGW173" s="125"/>
      <c r="FGX173" s="125"/>
      <c r="FGY173" s="125"/>
      <c r="FGZ173" s="125"/>
      <c r="FHA173" s="125"/>
      <c r="FHB173" s="125"/>
      <c r="FHC173" s="125"/>
      <c r="FHD173" s="125"/>
      <c r="FHE173" s="125"/>
      <c r="FHF173" s="125"/>
      <c r="FHG173" s="125"/>
      <c r="FHH173" s="125"/>
      <c r="FHI173" s="125"/>
      <c r="FHJ173" s="125"/>
      <c r="FHK173" s="125"/>
      <c r="FHL173" s="125"/>
      <c r="FHM173" s="125"/>
      <c r="FHN173" s="125"/>
      <c r="FHO173" s="125"/>
      <c r="FHP173" s="125"/>
      <c r="FHQ173" s="125"/>
      <c r="FHR173" s="125"/>
      <c r="FHS173" s="125"/>
      <c r="FHT173" s="125"/>
      <c r="FHU173" s="125"/>
      <c r="FHV173" s="125"/>
      <c r="FHW173" s="125"/>
      <c r="FHX173" s="125"/>
      <c r="FHY173" s="125"/>
      <c r="FHZ173" s="125"/>
      <c r="FIA173" s="125"/>
      <c r="FIB173" s="125"/>
      <c r="FIC173" s="125"/>
      <c r="FID173" s="125"/>
      <c r="FIE173" s="125"/>
      <c r="FIF173" s="125"/>
      <c r="FIG173" s="125"/>
      <c r="FIH173" s="125"/>
      <c r="FII173" s="125"/>
      <c r="FIJ173" s="125"/>
      <c r="FIK173" s="125"/>
      <c r="FIL173" s="125"/>
      <c r="FIM173" s="125"/>
      <c r="FIN173" s="125"/>
      <c r="FIO173" s="125"/>
      <c r="FIP173" s="125"/>
      <c r="FIQ173" s="125"/>
      <c r="FIR173" s="125"/>
      <c r="FIS173" s="125"/>
      <c r="FIT173" s="125"/>
      <c r="FIU173" s="125"/>
      <c r="FIV173" s="125"/>
      <c r="FIW173" s="125"/>
      <c r="FIX173" s="125"/>
      <c r="FIY173" s="125"/>
      <c r="FIZ173" s="125"/>
      <c r="FJA173" s="125"/>
      <c r="FJB173" s="125"/>
      <c r="FJC173" s="125"/>
      <c r="FJD173" s="125"/>
      <c r="FJE173" s="125"/>
      <c r="FJF173" s="125"/>
      <c r="FJG173" s="125"/>
      <c r="FJH173" s="125"/>
      <c r="FJI173" s="125"/>
      <c r="FJJ173" s="125"/>
      <c r="FJK173" s="125"/>
      <c r="FJL173" s="125"/>
      <c r="FJM173" s="125"/>
      <c r="FJN173" s="125"/>
      <c r="FJO173" s="125"/>
      <c r="FJP173" s="125"/>
      <c r="FJQ173" s="125"/>
      <c r="FJR173" s="125"/>
      <c r="FJS173" s="125"/>
      <c r="FJT173" s="125"/>
      <c r="FJU173" s="125"/>
      <c r="FJV173" s="125"/>
      <c r="FJW173" s="125"/>
      <c r="FJX173" s="125"/>
      <c r="FJY173" s="125"/>
      <c r="FJZ173" s="125"/>
      <c r="FKA173" s="125"/>
      <c r="FKB173" s="125"/>
      <c r="FKC173" s="125"/>
      <c r="FKD173" s="125"/>
      <c r="FKE173" s="125"/>
      <c r="FKF173" s="125"/>
      <c r="FKG173" s="125"/>
      <c r="FKH173" s="125"/>
      <c r="FKI173" s="125"/>
      <c r="FKJ173" s="125"/>
      <c r="FKK173" s="125"/>
      <c r="FKL173" s="125"/>
      <c r="FKM173" s="125"/>
      <c r="FKN173" s="125"/>
      <c r="FKO173" s="125"/>
      <c r="FKP173" s="125"/>
      <c r="FKQ173" s="125"/>
      <c r="FKR173" s="125"/>
      <c r="FKS173" s="125"/>
      <c r="FKT173" s="125"/>
      <c r="FKU173" s="125"/>
      <c r="FKV173" s="125"/>
      <c r="FKW173" s="125"/>
      <c r="FKX173" s="125"/>
      <c r="FKY173" s="125"/>
      <c r="FKZ173" s="125"/>
      <c r="FLA173" s="125"/>
      <c r="FLB173" s="125"/>
      <c r="FLC173" s="125"/>
      <c r="FLD173" s="125"/>
      <c r="FLE173" s="125"/>
      <c r="FLF173" s="125"/>
      <c r="FLG173" s="125"/>
      <c r="FLH173" s="125"/>
      <c r="FLI173" s="125"/>
      <c r="FLJ173" s="125"/>
      <c r="FLK173" s="125"/>
      <c r="FLL173" s="125"/>
      <c r="FLM173" s="125"/>
      <c r="FLN173" s="125"/>
      <c r="FLO173" s="125"/>
      <c r="FLP173" s="125"/>
      <c r="FLQ173" s="125"/>
      <c r="FLR173" s="125"/>
      <c r="FLS173" s="125"/>
      <c r="FLT173" s="125"/>
      <c r="FLU173" s="125"/>
      <c r="FLV173" s="125"/>
      <c r="FLW173" s="125"/>
      <c r="FLX173" s="125"/>
      <c r="FLY173" s="125"/>
      <c r="FLZ173" s="125"/>
      <c r="FMA173" s="125"/>
      <c r="FMB173" s="125"/>
      <c r="FMC173" s="125"/>
      <c r="FMD173" s="125"/>
      <c r="FME173" s="125"/>
      <c r="FMF173" s="125"/>
      <c r="FMG173" s="125"/>
      <c r="FMH173" s="125"/>
      <c r="FMI173" s="125"/>
      <c r="FMJ173" s="125"/>
      <c r="FMK173" s="125"/>
      <c r="FML173" s="125"/>
      <c r="FMM173" s="125"/>
      <c r="FMN173" s="125"/>
      <c r="FMO173" s="125"/>
      <c r="FMP173" s="125"/>
      <c r="FMQ173" s="125"/>
      <c r="FMR173" s="125"/>
      <c r="FMS173" s="125"/>
      <c r="FMT173" s="125"/>
      <c r="FMU173" s="125"/>
      <c r="FMV173" s="125"/>
      <c r="FMW173" s="125"/>
      <c r="FMX173" s="125"/>
      <c r="FMY173" s="125"/>
      <c r="FMZ173" s="125"/>
      <c r="FNA173" s="125"/>
      <c r="FNB173" s="125"/>
      <c r="FNC173" s="125"/>
      <c r="FND173" s="125"/>
      <c r="FNE173" s="125"/>
      <c r="FNF173" s="125"/>
      <c r="FNG173" s="125"/>
      <c r="FNH173" s="125"/>
      <c r="FNI173" s="125"/>
      <c r="FNJ173" s="125"/>
      <c r="FNK173" s="125"/>
      <c r="FNL173" s="125"/>
      <c r="FNM173" s="125"/>
      <c r="FNN173" s="125"/>
      <c r="FNO173" s="125"/>
      <c r="FNP173" s="125"/>
      <c r="FNQ173" s="125"/>
      <c r="FNR173" s="125"/>
      <c r="FNS173" s="125"/>
      <c r="FNT173" s="125"/>
      <c r="FNU173" s="125"/>
      <c r="FNV173" s="125"/>
      <c r="FNW173" s="125"/>
      <c r="FNX173" s="125"/>
      <c r="FNY173" s="125"/>
      <c r="FNZ173" s="125"/>
      <c r="FOA173" s="125"/>
      <c r="FOB173" s="125"/>
      <c r="FOC173" s="125"/>
      <c r="FOD173" s="125"/>
      <c r="FOE173" s="125"/>
      <c r="FOF173" s="125"/>
      <c r="FOG173" s="125"/>
      <c r="FOH173" s="125"/>
      <c r="FOI173" s="125"/>
      <c r="FOJ173" s="125"/>
      <c r="FOK173" s="125"/>
      <c r="FOL173" s="125"/>
      <c r="FOM173" s="125"/>
      <c r="FON173" s="125"/>
      <c r="FOO173" s="125"/>
      <c r="FOP173" s="125"/>
      <c r="FOQ173" s="125"/>
      <c r="FOR173" s="125"/>
      <c r="FOS173" s="125"/>
      <c r="FOT173" s="125"/>
      <c r="FOU173" s="125"/>
      <c r="FOV173" s="125"/>
      <c r="FOW173" s="125"/>
      <c r="FOX173" s="125"/>
      <c r="FOY173" s="125"/>
      <c r="FOZ173" s="125"/>
      <c r="FPA173" s="125"/>
      <c r="FPB173" s="125"/>
      <c r="FPC173" s="125"/>
      <c r="FPD173" s="125"/>
      <c r="FPE173" s="125"/>
      <c r="FPF173" s="125"/>
      <c r="FPG173" s="125"/>
      <c r="FPH173" s="125"/>
      <c r="FPI173" s="125"/>
      <c r="FPJ173" s="125"/>
      <c r="FPK173" s="125"/>
      <c r="FPL173" s="125"/>
      <c r="FPM173" s="125"/>
      <c r="FPN173" s="125"/>
      <c r="FPO173" s="125"/>
      <c r="FPP173" s="125"/>
      <c r="FPQ173" s="125"/>
      <c r="FPR173" s="125"/>
      <c r="FPS173" s="125"/>
      <c r="FPT173" s="125"/>
      <c r="FPU173" s="125"/>
      <c r="FPV173" s="125"/>
      <c r="FPW173" s="125"/>
      <c r="FPX173" s="125"/>
      <c r="FPY173" s="125"/>
      <c r="FPZ173" s="125"/>
      <c r="FQA173" s="125"/>
      <c r="FQB173" s="125"/>
      <c r="FQC173" s="125"/>
      <c r="FQD173" s="125"/>
      <c r="FQE173" s="125"/>
      <c r="FQF173" s="125"/>
      <c r="FQG173" s="125"/>
      <c r="FQH173" s="125"/>
      <c r="FQI173" s="125"/>
      <c r="FQJ173" s="125"/>
      <c r="FQK173" s="125"/>
      <c r="FQL173" s="125"/>
      <c r="FQM173" s="125"/>
      <c r="FQN173" s="125"/>
      <c r="FQO173" s="125"/>
      <c r="FQP173" s="125"/>
      <c r="FQQ173" s="125"/>
      <c r="FQR173" s="125"/>
      <c r="FQS173" s="125"/>
      <c r="FQT173" s="125"/>
      <c r="FQU173" s="125"/>
      <c r="FQV173" s="125"/>
      <c r="FQW173" s="125"/>
      <c r="FQX173" s="125"/>
      <c r="FQY173" s="125"/>
      <c r="FQZ173" s="125"/>
      <c r="FRA173" s="125"/>
      <c r="FRB173" s="125"/>
      <c r="FRC173" s="125"/>
      <c r="FRD173" s="125"/>
      <c r="FRE173" s="125"/>
      <c r="FRF173" s="125"/>
      <c r="FRG173" s="125"/>
      <c r="FRH173" s="125"/>
      <c r="FRI173" s="125"/>
      <c r="FRJ173" s="125"/>
      <c r="FRK173" s="125"/>
      <c r="FRL173" s="125"/>
      <c r="FRM173" s="125"/>
      <c r="FRN173" s="125"/>
      <c r="FRO173" s="125"/>
      <c r="FRP173" s="125"/>
      <c r="FRQ173" s="125"/>
      <c r="FRR173" s="125"/>
      <c r="FRS173" s="125"/>
      <c r="FRT173" s="125"/>
      <c r="FRU173" s="125"/>
      <c r="FRV173" s="125"/>
      <c r="FRW173" s="125"/>
      <c r="FRX173" s="125"/>
      <c r="FRY173" s="125"/>
      <c r="FRZ173" s="125"/>
      <c r="FSA173" s="125"/>
      <c r="FSB173" s="125"/>
      <c r="FSC173" s="125"/>
      <c r="FSD173" s="125"/>
      <c r="FSE173" s="125"/>
      <c r="FSF173" s="125"/>
      <c r="FSG173" s="125"/>
      <c r="FSH173" s="125"/>
      <c r="FSI173" s="125"/>
      <c r="FSJ173" s="125"/>
      <c r="FSK173" s="125"/>
      <c r="FSL173" s="125"/>
      <c r="FSM173" s="125"/>
      <c r="FSN173" s="125"/>
      <c r="FSO173" s="125"/>
      <c r="FSP173" s="125"/>
      <c r="FSQ173" s="125"/>
      <c r="FSR173" s="125"/>
      <c r="FSS173" s="125"/>
      <c r="FST173" s="125"/>
      <c r="FSU173" s="125"/>
      <c r="FSV173" s="125"/>
      <c r="FSW173" s="125"/>
      <c r="FSX173" s="125"/>
      <c r="FSY173" s="125"/>
      <c r="FSZ173" s="125"/>
      <c r="FTA173" s="125"/>
      <c r="FTB173" s="125"/>
      <c r="FTC173" s="125"/>
      <c r="FTD173" s="125"/>
      <c r="FTE173" s="125"/>
      <c r="FTF173" s="125"/>
      <c r="FTG173" s="125"/>
      <c r="FTH173" s="125"/>
      <c r="FTI173" s="125"/>
      <c r="FTJ173" s="125"/>
      <c r="FTK173" s="125"/>
      <c r="FTL173" s="125"/>
      <c r="FTM173" s="125"/>
      <c r="FTN173" s="125"/>
      <c r="FTO173" s="125"/>
      <c r="FTP173" s="125"/>
      <c r="FTQ173" s="125"/>
      <c r="FTR173" s="125"/>
      <c r="FTS173" s="125"/>
      <c r="FTT173" s="125"/>
      <c r="FTU173" s="125"/>
      <c r="FTV173" s="125"/>
      <c r="FTW173" s="125"/>
      <c r="FTX173" s="125"/>
      <c r="FTY173" s="125"/>
      <c r="FTZ173" s="125"/>
      <c r="FUA173" s="125"/>
      <c r="FUB173" s="125"/>
      <c r="FUC173" s="125"/>
      <c r="FUD173" s="125"/>
      <c r="FUE173" s="125"/>
      <c r="FUF173" s="125"/>
      <c r="FUG173" s="125"/>
      <c r="FUH173" s="125"/>
      <c r="FUI173" s="125"/>
      <c r="FUJ173" s="125"/>
      <c r="FUK173" s="125"/>
      <c r="FUL173" s="125"/>
      <c r="FUM173" s="125"/>
      <c r="FUN173" s="125"/>
      <c r="FUO173" s="125"/>
      <c r="FUP173" s="125"/>
      <c r="FUQ173" s="125"/>
      <c r="FUR173" s="125"/>
      <c r="FUS173" s="125"/>
      <c r="FUT173" s="125"/>
      <c r="FUU173" s="125"/>
      <c r="FUV173" s="125"/>
      <c r="FUW173" s="125"/>
      <c r="FUX173" s="125"/>
      <c r="FUY173" s="125"/>
      <c r="FUZ173" s="125"/>
      <c r="FVA173" s="125"/>
      <c r="FVB173" s="125"/>
      <c r="FVC173" s="125"/>
      <c r="FVD173" s="125"/>
      <c r="FVE173" s="125"/>
      <c r="FVF173" s="125"/>
      <c r="FVG173" s="125"/>
      <c r="FVH173" s="125"/>
      <c r="FVI173" s="125"/>
      <c r="FVJ173" s="125"/>
      <c r="FVK173" s="125"/>
      <c r="FVL173" s="125"/>
      <c r="FVM173" s="125"/>
      <c r="FVN173" s="125"/>
      <c r="FVO173" s="125"/>
      <c r="FVP173" s="125"/>
      <c r="FVQ173" s="125"/>
      <c r="FVR173" s="125"/>
      <c r="FVS173" s="125"/>
      <c r="FVT173" s="125"/>
      <c r="FVU173" s="125"/>
      <c r="FVV173" s="125"/>
      <c r="FVW173" s="125"/>
      <c r="FVX173" s="125"/>
      <c r="FVY173" s="125"/>
      <c r="FVZ173" s="125"/>
      <c r="FWA173" s="125"/>
      <c r="FWB173" s="125"/>
      <c r="FWC173" s="125"/>
      <c r="FWD173" s="125"/>
      <c r="FWE173" s="125"/>
      <c r="FWF173" s="125"/>
      <c r="FWG173" s="125"/>
      <c r="FWH173" s="125"/>
      <c r="FWI173" s="125"/>
      <c r="FWJ173" s="125"/>
      <c r="FWK173" s="125"/>
      <c r="FWL173" s="125"/>
      <c r="FWM173" s="125"/>
      <c r="FWN173" s="125"/>
      <c r="FWO173" s="125"/>
      <c r="FWP173" s="125"/>
      <c r="FWQ173" s="125"/>
      <c r="FWR173" s="125"/>
      <c r="FWS173" s="125"/>
      <c r="FWT173" s="125"/>
      <c r="FWU173" s="125"/>
      <c r="FWV173" s="125"/>
      <c r="FWW173" s="125"/>
      <c r="FWX173" s="125"/>
      <c r="FWY173" s="125"/>
      <c r="FWZ173" s="125"/>
      <c r="FXA173" s="125"/>
      <c r="FXB173" s="125"/>
      <c r="FXC173" s="125"/>
      <c r="FXD173" s="125"/>
      <c r="FXE173" s="125"/>
      <c r="FXF173" s="125"/>
      <c r="FXG173" s="125"/>
      <c r="FXH173" s="125"/>
      <c r="FXI173" s="125"/>
      <c r="FXJ173" s="125"/>
      <c r="FXK173" s="125"/>
      <c r="FXL173" s="125"/>
      <c r="FXM173" s="125"/>
      <c r="FXN173" s="125"/>
      <c r="FXO173" s="125"/>
      <c r="FXP173" s="125"/>
      <c r="FXQ173" s="125"/>
      <c r="FXR173" s="125"/>
      <c r="FXS173" s="125"/>
      <c r="FXT173" s="125"/>
      <c r="FXU173" s="125"/>
      <c r="FXV173" s="125"/>
      <c r="FXW173" s="125"/>
      <c r="FXX173" s="125"/>
      <c r="FXY173" s="125"/>
      <c r="FXZ173" s="125"/>
      <c r="FYA173" s="125"/>
      <c r="FYB173" s="125"/>
      <c r="FYC173" s="125"/>
      <c r="FYD173" s="125"/>
      <c r="FYE173" s="125"/>
      <c r="FYF173" s="125"/>
      <c r="FYG173" s="125"/>
      <c r="FYH173" s="125"/>
      <c r="FYI173" s="125"/>
      <c r="FYJ173" s="125"/>
      <c r="FYK173" s="125"/>
      <c r="FYL173" s="125"/>
      <c r="FYM173" s="125"/>
      <c r="FYN173" s="125"/>
      <c r="FYO173" s="125"/>
      <c r="FYP173" s="125"/>
      <c r="FYQ173" s="125"/>
      <c r="FYR173" s="125"/>
      <c r="FYS173" s="125"/>
      <c r="FYT173" s="125"/>
      <c r="FYU173" s="125"/>
      <c r="FYV173" s="125"/>
      <c r="FYW173" s="125"/>
      <c r="FYX173" s="125"/>
      <c r="FYY173" s="125"/>
      <c r="FYZ173" s="125"/>
      <c r="FZA173" s="125"/>
      <c r="FZB173" s="125"/>
      <c r="FZC173" s="125"/>
      <c r="FZD173" s="125"/>
      <c r="FZE173" s="125"/>
      <c r="FZF173" s="125"/>
      <c r="FZG173" s="125"/>
      <c r="FZH173" s="125"/>
      <c r="FZI173" s="125"/>
      <c r="FZJ173" s="125"/>
      <c r="FZK173" s="125"/>
      <c r="FZL173" s="125"/>
      <c r="FZM173" s="125"/>
      <c r="FZN173" s="125"/>
      <c r="FZO173" s="125"/>
      <c r="FZP173" s="125"/>
      <c r="FZQ173" s="125"/>
      <c r="FZR173" s="125"/>
      <c r="FZS173" s="125"/>
      <c r="FZT173" s="125"/>
      <c r="FZU173" s="125"/>
      <c r="FZV173" s="125"/>
      <c r="FZW173" s="125"/>
      <c r="FZX173" s="125"/>
      <c r="FZY173" s="125"/>
      <c r="FZZ173" s="125"/>
      <c r="GAA173" s="125"/>
      <c r="GAB173" s="125"/>
      <c r="GAC173" s="125"/>
      <c r="GAD173" s="125"/>
      <c r="GAE173" s="125"/>
      <c r="GAF173" s="125"/>
      <c r="GAG173" s="125"/>
      <c r="GAH173" s="125"/>
      <c r="GAI173" s="125"/>
      <c r="GAJ173" s="125"/>
      <c r="GAK173" s="125"/>
      <c r="GAL173" s="125"/>
      <c r="GAM173" s="125"/>
      <c r="GAN173" s="125"/>
      <c r="GAO173" s="125"/>
      <c r="GAP173" s="125"/>
      <c r="GAQ173" s="125"/>
      <c r="GAR173" s="125"/>
      <c r="GAS173" s="125"/>
      <c r="GAT173" s="125"/>
      <c r="GAU173" s="125"/>
      <c r="GAV173" s="125"/>
      <c r="GAW173" s="125"/>
      <c r="GAX173" s="125"/>
      <c r="GAY173" s="125"/>
      <c r="GAZ173" s="125"/>
      <c r="GBA173" s="125"/>
      <c r="GBB173" s="125"/>
      <c r="GBC173" s="125"/>
      <c r="GBD173" s="125"/>
      <c r="GBE173" s="125"/>
      <c r="GBF173" s="125"/>
      <c r="GBG173" s="125"/>
      <c r="GBH173" s="125"/>
      <c r="GBI173" s="125"/>
      <c r="GBJ173" s="125"/>
      <c r="GBK173" s="125"/>
      <c r="GBL173" s="125"/>
      <c r="GBM173" s="125"/>
      <c r="GBN173" s="125"/>
      <c r="GBO173" s="125"/>
      <c r="GBP173" s="125"/>
      <c r="GBQ173" s="125"/>
      <c r="GBR173" s="125"/>
      <c r="GBS173" s="125"/>
      <c r="GBT173" s="125"/>
      <c r="GBU173" s="125"/>
      <c r="GBV173" s="125"/>
      <c r="GBW173" s="125"/>
      <c r="GBX173" s="125"/>
      <c r="GBY173" s="125"/>
      <c r="GBZ173" s="125"/>
      <c r="GCA173" s="125"/>
      <c r="GCB173" s="125"/>
      <c r="GCC173" s="125"/>
      <c r="GCD173" s="125"/>
      <c r="GCE173" s="125"/>
      <c r="GCF173" s="125"/>
      <c r="GCG173" s="125"/>
      <c r="GCH173" s="125"/>
      <c r="GCI173" s="125"/>
      <c r="GCJ173" s="125"/>
      <c r="GCK173" s="125"/>
      <c r="GCL173" s="125"/>
      <c r="GCM173" s="125"/>
      <c r="GCN173" s="125"/>
      <c r="GCO173" s="125"/>
      <c r="GCP173" s="125"/>
      <c r="GCQ173" s="125"/>
      <c r="GCR173" s="125"/>
      <c r="GCS173" s="125"/>
      <c r="GCT173" s="125"/>
      <c r="GCU173" s="125"/>
      <c r="GCV173" s="125"/>
      <c r="GCW173" s="125"/>
      <c r="GCX173" s="125"/>
      <c r="GCY173" s="125"/>
      <c r="GCZ173" s="125"/>
      <c r="GDA173" s="125"/>
      <c r="GDB173" s="125"/>
      <c r="GDC173" s="125"/>
      <c r="GDD173" s="125"/>
      <c r="GDE173" s="125"/>
      <c r="GDF173" s="125"/>
      <c r="GDG173" s="125"/>
      <c r="GDH173" s="125"/>
      <c r="GDI173" s="125"/>
      <c r="GDJ173" s="125"/>
      <c r="GDK173" s="125"/>
      <c r="GDL173" s="125"/>
      <c r="GDM173" s="125"/>
      <c r="GDN173" s="125"/>
      <c r="GDO173" s="125"/>
      <c r="GDP173" s="125"/>
      <c r="GDQ173" s="125"/>
      <c r="GDR173" s="125"/>
      <c r="GDS173" s="125"/>
      <c r="GDT173" s="125"/>
      <c r="GDU173" s="125"/>
      <c r="GDV173" s="125"/>
      <c r="GDW173" s="125"/>
      <c r="GDX173" s="125"/>
      <c r="GDY173" s="125"/>
      <c r="GDZ173" s="125"/>
      <c r="GEA173" s="125"/>
      <c r="GEB173" s="125"/>
      <c r="GEC173" s="125"/>
      <c r="GED173" s="125"/>
      <c r="GEE173" s="125"/>
      <c r="GEF173" s="125"/>
      <c r="GEG173" s="125"/>
      <c r="GEH173" s="125"/>
      <c r="GEI173" s="125"/>
      <c r="GEJ173" s="125"/>
      <c r="GEK173" s="125"/>
      <c r="GEL173" s="125"/>
      <c r="GEM173" s="125"/>
      <c r="GEN173" s="125"/>
      <c r="GEO173" s="125"/>
      <c r="GEP173" s="125"/>
      <c r="GEQ173" s="125"/>
      <c r="GER173" s="125"/>
      <c r="GES173" s="125"/>
      <c r="GET173" s="125"/>
      <c r="GEU173" s="125"/>
      <c r="GEV173" s="125"/>
      <c r="GEW173" s="125"/>
      <c r="GEX173" s="125"/>
      <c r="GEY173" s="125"/>
      <c r="GEZ173" s="125"/>
      <c r="GFA173" s="125"/>
      <c r="GFB173" s="125"/>
      <c r="GFC173" s="125"/>
      <c r="GFD173" s="125"/>
      <c r="GFE173" s="125"/>
      <c r="GFF173" s="125"/>
      <c r="GFG173" s="125"/>
      <c r="GFH173" s="125"/>
      <c r="GFI173" s="125"/>
      <c r="GFJ173" s="125"/>
      <c r="GFK173" s="125"/>
      <c r="GFL173" s="125"/>
      <c r="GFM173" s="125"/>
      <c r="GFN173" s="125"/>
      <c r="GFO173" s="125"/>
      <c r="GFP173" s="125"/>
      <c r="GFQ173" s="125"/>
      <c r="GFR173" s="125"/>
      <c r="GFS173" s="125"/>
      <c r="GFT173" s="125"/>
      <c r="GFU173" s="125"/>
      <c r="GFV173" s="125"/>
      <c r="GFW173" s="125"/>
      <c r="GFX173" s="125"/>
      <c r="GFY173" s="125"/>
      <c r="GFZ173" s="125"/>
      <c r="GGA173" s="125"/>
      <c r="GGB173" s="125"/>
      <c r="GGC173" s="125"/>
      <c r="GGD173" s="125"/>
      <c r="GGE173" s="125"/>
      <c r="GGF173" s="125"/>
      <c r="GGG173" s="125"/>
      <c r="GGH173" s="125"/>
      <c r="GGI173" s="125"/>
      <c r="GGJ173" s="125"/>
      <c r="GGK173" s="125"/>
      <c r="GGL173" s="125"/>
      <c r="GGM173" s="125"/>
      <c r="GGN173" s="125"/>
      <c r="GGO173" s="125"/>
      <c r="GGP173" s="125"/>
      <c r="GGQ173" s="125"/>
      <c r="GGR173" s="125"/>
      <c r="GGS173" s="125"/>
      <c r="GGT173" s="125"/>
      <c r="GGU173" s="125"/>
      <c r="GGV173" s="125"/>
      <c r="GGW173" s="125"/>
      <c r="GGX173" s="125"/>
      <c r="GGY173" s="125"/>
      <c r="GGZ173" s="125"/>
      <c r="GHA173" s="125"/>
      <c r="GHB173" s="125"/>
      <c r="GHC173" s="125"/>
      <c r="GHD173" s="125"/>
      <c r="GHE173" s="125"/>
      <c r="GHF173" s="125"/>
      <c r="GHG173" s="125"/>
      <c r="GHH173" s="125"/>
      <c r="GHI173" s="125"/>
      <c r="GHJ173" s="125"/>
      <c r="GHK173" s="125"/>
      <c r="GHL173" s="125"/>
      <c r="GHM173" s="125"/>
      <c r="GHN173" s="125"/>
      <c r="GHO173" s="125"/>
      <c r="GHP173" s="125"/>
      <c r="GHQ173" s="125"/>
      <c r="GHR173" s="125"/>
      <c r="GHS173" s="125"/>
      <c r="GHT173" s="125"/>
      <c r="GHU173" s="125"/>
      <c r="GHV173" s="125"/>
      <c r="GHW173" s="125"/>
      <c r="GHX173" s="125"/>
      <c r="GHY173" s="125"/>
      <c r="GHZ173" s="125"/>
      <c r="GIA173" s="125"/>
      <c r="GIB173" s="125"/>
      <c r="GIC173" s="125"/>
      <c r="GID173" s="125"/>
      <c r="GIE173" s="125"/>
      <c r="GIF173" s="125"/>
      <c r="GIG173" s="125"/>
      <c r="GIH173" s="125"/>
      <c r="GII173" s="125"/>
      <c r="GIJ173" s="125"/>
      <c r="GIK173" s="125"/>
      <c r="GIL173" s="125"/>
      <c r="GIM173" s="125"/>
      <c r="GIN173" s="125"/>
      <c r="GIO173" s="125"/>
      <c r="GIP173" s="125"/>
      <c r="GIQ173" s="125"/>
      <c r="GIR173" s="125"/>
      <c r="GIS173" s="125"/>
      <c r="GIT173" s="125"/>
      <c r="GIU173" s="125"/>
      <c r="GIV173" s="125"/>
      <c r="GIW173" s="125"/>
      <c r="GIX173" s="125"/>
      <c r="GIY173" s="125"/>
      <c r="GIZ173" s="125"/>
      <c r="GJA173" s="125"/>
      <c r="GJB173" s="125"/>
      <c r="GJC173" s="125"/>
      <c r="GJD173" s="125"/>
      <c r="GJE173" s="125"/>
      <c r="GJF173" s="125"/>
      <c r="GJG173" s="125"/>
      <c r="GJH173" s="125"/>
      <c r="GJI173" s="125"/>
      <c r="GJJ173" s="125"/>
      <c r="GJK173" s="125"/>
      <c r="GJL173" s="125"/>
      <c r="GJM173" s="125"/>
      <c r="GJN173" s="125"/>
      <c r="GJO173" s="125"/>
      <c r="GJP173" s="125"/>
      <c r="GJQ173" s="125"/>
      <c r="GJR173" s="125"/>
      <c r="GJS173" s="125"/>
      <c r="GJT173" s="125"/>
      <c r="GJU173" s="125"/>
      <c r="GJV173" s="125"/>
      <c r="GJW173" s="125"/>
      <c r="GJX173" s="125"/>
      <c r="GJY173" s="125"/>
      <c r="GJZ173" s="125"/>
      <c r="GKA173" s="125"/>
      <c r="GKB173" s="125"/>
      <c r="GKC173" s="125"/>
      <c r="GKD173" s="125"/>
      <c r="GKE173" s="125"/>
      <c r="GKF173" s="125"/>
      <c r="GKG173" s="125"/>
      <c r="GKH173" s="125"/>
      <c r="GKI173" s="125"/>
      <c r="GKJ173" s="125"/>
      <c r="GKK173" s="125"/>
      <c r="GKL173" s="125"/>
      <c r="GKM173" s="125"/>
      <c r="GKN173" s="125"/>
      <c r="GKO173" s="125"/>
      <c r="GKP173" s="125"/>
      <c r="GKQ173" s="125"/>
      <c r="GKR173" s="125"/>
      <c r="GKS173" s="125"/>
      <c r="GKT173" s="125"/>
      <c r="GKU173" s="125"/>
      <c r="GKV173" s="125"/>
      <c r="GKW173" s="125"/>
      <c r="GKX173" s="125"/>
      <c r="GKY173" s="125"/>
      <c r="GKZ173" s="125"/>
      <c r="GLA173" s="125"/>
      <c r="GLB173" s="125"/>
      <c r="GLC173" s="125"/>
      <c r="GLD173" s="125"/>
      <c r="GLE173" s="125"/>
      <c r="GLF173" s="125"/>
      <c r="GLG173" s="125"/>
      <c r="GLH173" s="125"/>
      <c r="GLI173" s="125"/>
      <c r="GLJ173" s="125"/>
      <c r="GLK173" s="125"/>
      <c r="GLL173" s="125"/>
      <c r="GLM173" s="125"/>
      <c r="GLN173" s="125"/>
      <c r="GLO173" s="125"/>
      <c r="GLP173" s="125"/>
      <c r="GLQ173" s="125"/>
      <c r="GLR173" s="125"/>
      <c r="GLS173" s="125"/>
      <c r="GLT173" s="125"/>
      <c r="GLU173" s="125"/>
      <c r="GLV173" s="125"/>
      <c r="GLW173" s="125"/>
      <c r="GLX173" s="125"/>
      <c r="GLY173" s="125"/>
      <c r="GLZ173" s="125"/>
      <c r="GMA173" s="125"/>
      <c r="GMB173" s="125"/>
      <c r="GMC173" s="125"/>
      <c r="GMD173" s="125"/>
      <c r="GME173" s="125"/>
      <c r="GMF173" s="125"/>
      <c r="GMG173" s="125"/>
      <c r="GMH173" s="125"/>
      <c r="GMI173" s="125"/>
      <c r="GMJ173" s="125"/>
      <c r="GMK173" s="125"/>
      <c r="GML173" s="125"/>
      <c r="GMM173" s="125"/>
      <c r="GMN173" s="125"/>
      <c r="GMO173" s="125"/>
      <c r="GMP173" s="125"/>
      <c r="GMQ173" s="125"/>
      <c r="GMR173" s="125"/>
      <c r="GMS173" s="125"/>
      <c r="GMT173" s="125"/>
      <c r="GMU173" s="125"/>
      <c r="GMV173" s="125"/>
      <c r="GMW173" s="125"/>
      <c r="GMX173" s="125"/>
      <c r="GMY173" s="125"/>
      <c r="GMZ173" s="125"/>
      <c r="GNA173" s="125"/>
      <c r="GNB173" s="125"/>
      <c r="GNC173" s="125"/>
      <c r="GND173" s="125"/>
      <c r="GNE173" s="125"/>
      <c r="GNF173" s="125"/>
      <c r="GNG173" s="125"/>
      <c r="GNH173" s="125"/>
      <c r="GNI173" s="125"/>
      <c r="GNJ173" s="125"/>
      <c r="GNK173" s="125"/>
      <c r="GNL173" s="125"/>
      <c r="GNM173" s="125"/>
      <c r="GNN173" s="125"/>
      <c r="GNO173" s="125"/>
      <c r="GNP173" s="125"/>
      <c r="GNQ173" s="125"/>
      <c r="GNR173" s="125"/>
      <c r="GNS173" s="125"/>
      <c r="GNT173" s="125"/>
      <c r="GNU173" s="125"/>
      <c r="GNV173" s="125"/>
      <c r="GNW173" s="125"/>
      <c r="GNX173" s="125"/>
      <c r="GNY173" s="125"/>
      <c r="GNZ173" s="125"/>
      <c r="GOA173" s="125"/>
      <c r="GOB173" s="125"/>
      <c r="GOC173" s="125"/>
      <c r="GOD173" s="125"/>
      <c r="GOE173" s="125"/>
      <c r="GOF173" s="125"/>
      <c r="GOG173" s="125"/>
      <c r="GOH173" s="125"/>
      <c r="GOI173" s="125"/>
      <c r="GOJ173" s="125"/>
      <c r="GOK173" s="125"/>
      <c r="GOL173" s="125"/>
      <c r="GOM173" s="125"/>
      <c r="GON173" s="125"/>
      <c r="GOO173" s="125"/>
      <c r="GOP173" s="125"/>
      <c r="GOQ173" s="125"/>
      <c r="GOR173" s="125"/>
      <c r="GOS173" s="125"/>
      <c r="GOT173" s="125"/>
      <c r="GOU173" s="125"/>
      <c r="GOV173" s="125"/>
      <c r="GOW173" s="125"/>
      <c r="GOX173" s="125"/>
      <c r="GOY173" s="125"/>
      <c r="GOZ173" s="125"/>
      <c r="GPA173" s="125"/>
      <c r="GPB173" s="125"/>
      <c r="GPC173" s="125"/>
      <c r="GPD173" s="125"/>
      <c r="GPE173" s="125"/>
      <c r="GPF173" s="125"/>
      <c r="GPG173" s="125"/>
      <c r="GPH173" s="125"/>
      <c r="GPI173" s="125"/>
      <c r="GPJ173" s="125"/>
      <c r="GPK173" s="125"/>
      <c r="GPL173" s="125"/>
      <c r="GPM173" s="125"/>
      <c r="GPN173" s="125"/>
      <c r="GPO173" s="125"/>
      <c r="GPP173" s="125"/>
      <c r="GPQ173" s="125"/>
      <c r="GPR173" s="125"/>
      <c r="GPS173" s="125"/>
      <c r="GPT173" s="125"/>
      <c r="GPU173" s="125"/>
      <c r="GPV173" s="125"/>
      <c r="GPW173" s="125"/>
      <c r="GPX173" s="125"/>
      <c r="GPY173" s="125"/>
      <c r="GPZ173" s="125"/>
      <c r="GQA173" s="125"/>
      <c r="GQB173" s="125"/>
      <c r="GQC173" s="125"/>
      <c r="GQD173" s="125"/>
      <c r="GQE173" s="125"/>
      <c r="GQF173" s="125"/>
      <c r="GQG173" s="125"/>
      <c r="GQH173" s="125"/>
      <c r="GQI173" s="125"/>
      <c r="GQJ173" s="125"/>
      <c r="GQK173" s="125"/>
      <c r="GQL173" s="125"/>
      <c r="GQM173" s="125"/>
      <c r="GQN173" s="125"/>
      <c r="GQO173" s="125"/>
      <c r="GQP173" s="125"/>
      <c r="GQQ173" s="125"/>
      <c r="GQR173" s="125"/>
      <c r="GQS173" s="125"/>
      <c r="GQT173" s="125"/>
      <c r="GQU173" s="125"/>
      <c r="GQV173" s="125"/>
      <c r="GQW173" s="125"/>
      <c r="GQX173" s="125"/>
      <c r="GQY173" s="125"/>
      <c r="GQZ173" s="125"/>
      <c r="GRA173" s="125"/>
      <c r="GRB173" s="125"/>
      <c r="GRC173" s="125"/>
      <c r="GRD173" s="125"/>
      <c r="GRE173" s="125"/>
      <c r="GRF173" s="125"/>
      <c r="GRG173" s="125"/>
      <c r="GRH173" s="125"/>
      <c r="GRI173" s="125"/>
      <c r="GRJ173" s="125"/>
      <c r="GRK173" s="125"/>
      <c r="GRL173" s="125"/>
      <c r="GRM173" s="125"/>
      <c r="GRN173" s="125"/>
      <c r="GRO173" s="125"/>
      <c r="GRP173" s="125"/>
      <c r="GRQ173" s="125"/>
      <c r="GRR173" s="125"/>
      <c r="GRS173" s="125"/>
      <c r="GRT173" s="125"/>
      <c r="GRU173" s="125"/>
      <c r="GRV173" s="125"/>
      <c r="GRW173" s="125"/>
      <c r="GRX173" s="125"/>
      <c r="GRY173" s="125"/>
      <c r="GRZ173" s="125"/>
      <c r="GSA173" s="125"/>
      <c r="GSB173" s="125"/>
      <c r="GSC173" s="125"/>
      <c r="GSD173" s="125"/>
      <c r="GSE173" s="125"/>
      <c r="GSF173" s="125"/>
      <c r="GSG173" s="125"/>
      <c r="GSH173" s="125"/>
      <c r="GSI173" s="125"/>
      <c r="GSJ173" s="125"/>
      <c r="GSK173" s="125"/>
      <c r="GSL173" s="125"/>
      <c r="GSM173" s="125"/>
      <c r="GSN173" s="125"/>
      <c r="GSO173" s="125"/>
      <c r="GSP173" s="125"/>
      <c r="GSQ173" s="125"/>
      <c r="GSR173" s="125"/>
      <c r="GSS173" s="125"/>
      <c r="GST173" s="125"/>
      <c r="GSU173" s="125"/>
      <c r="GSV173" s="125"/>
      <c r="GSW173" s="125"/>
      <c r="GSX173" s="125"/>
      <c r="GSY173" s="125"/>
      <c r="GSZ173" s="125"/>
      <c r="GTA173" s="125"/>
      <c r="GTB173" s="125"/>
      <c r="GTC173" s="125"/>
      <c r="GTD173" s="125"/>
      <c r="GTE173" s="125"/>
      <c r="GTF173" s="125"/>
      <c r="GTG173" s="125"/>
      <c r="GTH173" s="125"/>
      <c r="GTI173" s="125"/>
      <c r="GTJ173" s="125"/>
      <c r="GTK173" s="125"/>
      <c r="GTL173" s="125"/>
      <c r="GTM173" s="125"/>
      <c r="GTN173" s="125"/>
      <c r="GTO173" s="125"/>
      <c r="GTP173" s="125"/>
      <c r="GTQ173" s="125"/>
      <c r="GTR173" s="125"/>
      <c r="GTS173" s="125"/>
      <c r="GTT173" s="125"/>
      <c r="GTU173" s="125"/>
      <c r="GTV173" s="125"/>
      <c r="GTW173" s="125"/>
      <c r="GTX173" s="125"/>
      <c r="GTY173" s="125"/>
      <c r="GTZ173" s="125"/>
      <c r="GUA173" s="125"/>
      <c r="GUB173" s="125"/>
      <c r="GUC173" s="125"/>
      <c r="GUD173" s="125"/>
      <c r="GUE173" s="125"/>
      <c r="GUF173" s="125"/>
      <c r="GUG173" s="125"/>
      <c r="GUH173" s="125"/>
      <c r="GUI173" s="125"/>
      <c r="GUJ173" s="125"/>
      <c r="GUK173" s="125"/>
      <c r="GUL173" s="125"/>
      <c r="GUM173" s="125"/>
      <c r="GUN173" s="125"/>
      <c r="GUO173" s="125"/>
      <c r="GUP173" s="125"/>
      <c r="GUQ173" s="125"/>
      <c r="GUR173" s="125"/>
      <c r="GUS173" s="125"/>
      <c r="GUT173" s="125"/>
      <c r="GUU173" s="125"/>
      <c r="GUV173" s="125"/>
      <c r="GUW173" s="125"/>
      <c r="GUX173" s="125"/>
      <c r="GUY173" s="125"/>
      <c r="GUZ173" s="125"/>
      <c r="GVA173" s="125"/>
      <c r="GVB173" s="125"/>
      <c r="GVC173" s="125"/>
      <c r="GVD173" s="125"/>
      <c r="GVE173" s="125"/>
      <c r="GVF173" s="125"/>
      <c r="GVG173" s="125"/>
      <c r="GVH173" s="125"/>
      <c r="GVI173" s="125"/>
      <c r="GVJ173" s="125"/>
      <c r="GVK173" s="125"/>
      <c r="GVL173" s="125"/>
      <c r="GVM173" s="125"/>
      <c r="GVN173" s="125"/>
      <c r="GVO173" s="125"/>
      <c r="GVP173" s="125"/>
      <c r="GVQ173" s="125"/>
      <c r="GVR173" s="125"/>
      <c r="GVS173" s="125"/>
      <c r="GVT173" s="125"/>
      <c r="GVU173" s="125"/>
      <c r="GVV173" s="125"/>
      <c r="GVW173" s="125"/>
      <c r="GVX173" s="125"/>
      <c r="GVY173" s="125"/>
      <c r="GVZ173" s="125"/>
      <c r="GWA173" s="125"/>
      <c r="GWB173" s="125"/>
      <c r="GWC173" s="125"/>
      <c r="GWD173" s="125"/>
      <c r="GWE173" s="125"/>
      <c r="GWF173" s="125"/>
      <c r="GWG173" s="125"/>
      <c r="GWH173" s="125"/>
      <c r="GWI173" s="125"/>
      <c r="GWJ173" s="125"/>
      <c r="GWK173" s="125"/>
      <c r="GWL173" s="125"/>
      <c r="GWM173" s="125"/>
      <c r="GWN173" s="125"/>
      <c r="GWO173" s="125"/>
      <c r="GWP173" s="125"/>
      <c r="GWQ173" s="125"/>
      <c r="GWR173" s="125"/>
      <c r="GWS173" s="125"/>
      <c r="GWT173" s="125"/>
      <c r="GWU173" s="125"/>
      <c r="GWV173" s="125"/>
      <c r="GWW173" s="125"/>
      <c r="GWX173" s="125"/>
      <c r="GWY173" s="125"/>
      <c r="GWZ173" s="125"/>
      <c r="GXA173" s="125"/>
      <c r="GXB173" s="125"/>
      <c r="GXC173" s="125"/>
      <c r="GXD173" s="125"/>
      <c r="GXE173" s="125"/>
      <c r="GXF173" s="125"/>
      <c r="GXG173" s="125"/>
      <c r="GXH173" s="125"/>
      <c r="GXI173" s="125"/>
      <c r="GXJ173" s="125"/>
      <c r="GXK173" s="125"/>
      <c r="GXL173" s="125"/>
      <c r="GXM173" s="125"/>
      <c r="GXN173" s="125"/>
      <c r="GXO173" s="125"/>
      <c r="GXP173" s="125"/>
      <c r="GXQ173" s="125"/>
      <c r="GXR173" s="125"/>
      <c r="GXS173" s="125"/>
      <c r="GXT173" s="125"/>
      <c r="GXU173" s="125"/>
      <c r="GXV173" s="125"/>
      <c r="GXW173" s="125"/>
      <c r="GXX173" s="125"/>
      <c r="GXY173" s="125"/>
      <c r="GXZ173" s="125"/>
      <c r="GYA173" s="125"/>
      <c r="GYB173" s="125"/>
      <c r="GYC173" s="125"/>
      <c r="GYD173" s="125"/>
      <c r="GYE173" s="125"/>
      <c r="GYF173" s="125"/>
      <c r="GYG173" s="125"/>
      <c r="GYH173" s="125"/>
      <c r="GYI173" s="125"/>
      <c r="GYJ173" s="125"/>
      <c r="GYK173" s="125"/>
      <c r="GYL173" s="125"/>
      <c r="GYM173" s="125"/>
      <c r="GYN173" s="125"/>
      <c r="GYO173" s="125"/>
      <c r="GYP173" s="125"/>
      <c r="GYQ173" s="125"/>
      <c r="GYR173" s="125"/>
      <c r="GYS173" s="125"/>
      <c r="GYT173" s="125"/>
      <c r="GYU173" s="125"/>
      <c r="GYV173" s="125"/>
      <c r="GYW173" s="125"/>
      <c r="GYX173" s="125"/>
      <c r="GYY173" s="125"/>
      <c r="GYZ173" s="125"/>
      <c r="GZA173" s="125"/>
      <c r="GZB173" s="125"/>
      <c r="GZC173" s="125"/>
      <c r="GZD173" s="125"/>
      <c r="GZE173" s="125"/>
      <c r="GZF173" s="125"/>
      <c r="GZG173" s="125"/>
      <c r="GZH173" s="125"/>
      <c r="GZI173" s="125"/>
      <c r="GZJ173" s="125"/>
      <c r="GZK173" s="125"/>
      <c r="GZL173" s="125"/>
      <c r="GZM173" s="125"/>
      <c r="GZN173" s="125"/>
      <c r="GZO173" s="125"/>
      <c r="GZP173" s="125"/>
      <c r="GZQ173" s="125"/>
      <c r="GZR173" s="125"/>
      <c r="GZS173" s="125"/>
      <c r="GZT173" s="125"/>
      <c r="GZU173" s="125"/>
      <c r="GZV173" s="125"/>
      <c r="GZW173" s="125"/>
      <c r="GZX173" s="125"/>
      <c r="GZY173" s="125"/>
      <c r="GZZ173" s="125"/>
      <c r="HAA173" s="125"/>
      <c r="HAB173" s="125"/>
      <c r="HAC173" s="125"/>
      <c r="HAD173" s="125"/>
      <c r="HAE173" s="125"/>
      <c r="HAF173" s="125"/>
      <c r="HAG173" s="125"/>
      <c r="HAH173" s="125"/>
      <c r="HAI173" s="125"/>
      <c r="HAJ173" s="125"/>
      <c r="HAK173" s="125"/>
      <c r="HAL173" s="125"/>
      <c r="HAM173" s="125"/>
      <c r="HAN173" s="125"/>
      <c r="HAO173" s="125"/>
      <c r="HAP173" s="125"/>
      <c r="HAQ173" s="125"/>
      <c r="HAR173" s="125"/>
      <c r="HAS173" s="125"/>
      <c r="HAT173" s="125"/>
      <c r="HAU173" s="125"/>
      <c r="HAV173" s="125"/>
      <c r="HAW173" s="125"/>
      <c r="HAX173" s="125"/>
      <c r="HAY173" s="125"/>
      <c r="HAZ173" s="125"/>
      <c r="HBA173" s="125"/>
      <c r="HBB173" s="125"/>
      <c r="HBC173" s="125"/>
      <c r="HBD173" s="125"/>
      <c r="HBE173" s="125"/>
      <c r="HBF173" s="125"/>
      <c r="HBG173" s="125"/>
      <c r="HBH173" s="125"/>
      <c r="HBI173" s="125"/>
      <c r="HBJ173" s="125"/>
      <c r="HBK173" s="125"/>
      <c r="HBL173" s="125"/>
      <c r="HBM173" s="125"/>
      <c r="HBN173" s="125"/>
      <c r="HBO173" s="125"/>
      <c r="HBP173" s="125"/>
      <c r="HBQ173" s="125"/>
      <c r="HBR173" s="125"/>
      <c r="HBS173" s="125"/>
      <c r="HBT173" s="125"/>
      <c r="HBU173" s="125"/>
      <c r="HBV173" s="125"/>
      <c r="HBW173" s="125"/>
      <c r="HBX173" s="125"/>
      <c r="HBY173" s="125"/>
      <c r="HBZ173" s="125"/>
      <c r="HCA173" s="125"/>
      <c r="HCB173" s="125"/>
      <c r="HCC173" s="125"/>
      <c r="HCD173" s="125"/>
      <c r="HCE173" s="125"/>
      <c r="HCF173" s="125"/>
      <c r="HCG173" s="125"/>
      <c r="HCH173" s="125"/>
      <c r="HCI173" s="125"/>
      <c r="HCJ173" s="125"/>
      <c r="HCK173" s="125"/>
      <c r="HCL173" s="125"/>
      <c r="HCM173" s="125"/>
      <c r="HCN173" s="125"/>
      <c r="HCO173" s="125"/>
      <c r="HCP173" s="125"/>
      <c r="HCQ173" s="125"/>
      <c r="HCR173" s="125"/>
      <c r="HCS173" s="125"/>
      <c r="HCT173" s="125"/>
      <c r="HCU173" s="125"/>
      <c r="HCV173" s="125"/>
      <c r="HCW173" s="125"/>
      <c r="HCX173" s="125"/>
      <c r="HCY173" s="125"/>
      <c r="HCZ173" s="125"/>
      <c r="HDA173" s="125"/>
      <c r="HDB173" s="125"/>
      <c r="HDC173" s="125"/>
      <c r="HDD173" s="125"/>
      <c r="HDE173" s="125"/>
      <c r="HDF173" s="125"/>
      <c r="HDG173" s="125"/>
      <c r="HDH173" s="125"/>
      <c r="HDI173" s="125"/>
      <c r="HDJ173" s="125"/>
      <c r="HDK173" s="125"/>
      <c r="HDL173" s="125"/>
      <c r="HDM173" s="125"/>
      <c r="HDN173" s="125"/>
      <c r="HDO173" s="125"/>
      <c r="HDP173" s="125"/>
      <c r="HDQ173" s="125"/>
      <c r="HDR173" s="125"/>
      <c r="HDS173" s="125"/>
      <c r="HDT173" s="125"/>
      <c r="HDU173" s="125"/>
      <c r="HDV173" s="125"/>
      <c r="HDW173" s="125"/>
      <c r="HDX173" s="125"/>
      <c r="HDY173" s="125"/>
      <c r="HDZ173" s="125"/>
      <c r="HEA173" s="125"/>
      <c r="HEB173" s="125"/>
      <c r="HEC173" s="125"/>
      <c r="HED173" s="125"/>
      <c r="HEE173" s="125"/>
      <c r="HEF173" s="125"/>
      <c r="HEG173" s="125"/>
      <c r="HEH173" s="125"/>
      <c r="HEI173" s="125"/>
      <c r="HEJ173" s="125"/>
      <c r="HEK173" s="125"/>
      <c r="HEL173" s="125"/>
      <c r="HEM173" s="125"/>
      <c r="HEN173" s="125"/>
      <c r="HEO173" s="125"/>
      <c r="HEP173" s="125"/>
      <c r="HEQ173" s="125"/>
      <c r="HER173" s="125"/>
      <c r="HES173" s="125"/>
      <c r="HET173" s="125"/>
      <c r="HEU173" s="125"/>
      <c r="HEV173" s="125"/>
      <c r="HEW173" s="125"/>
      <c r="HEX173" s="125"/>
      <c r="HEY173" s="125"/>
      <c r="HEZ173" s="125"/>
      <c r="HFA173" s="125"/>
      <c r="HFB173" s="125"/>
      <c r="HFC173" s="125"/>
      <c r="HFD173" s="125"/>
      <c r="HFE173" s="125"/>
      <c r="HFF173" s="125"/>
      <c r="HFG173" s="125"/>
      <c r="HFH173" s="125"/>
      <c r="HFI173" s="125"/>
      <c r="HFJ173" s="125"/>
      <c r="HFK173" s="125"/>
      <c r="HFL173" s="125"/>
      <c r="HFM173" s="125"/>
      <c r="HFN173" s="125"/>
      <c r="HFO173" s="125"/>
      <c r="HFP173" s="125"/>
      <c r="HFQ173" s="125"/>
      <c r="HFR173" s="125"/>
      <c r="HFS173" s="125"/>
      <c r="HFT173" s="125"/>
      <c r="HFU173" s="125"/>
      <c r="HFV173" s="125"/>
      <c r="HFW173" s="125"/>
      <c r="HFX173" s="125"/>
      <c r="HFY173" s="125"/>
      <c r="HFZ173" s="125"/>
      <c r="HGA173" s="125"/>
      <c r="HGB173" s="125"/>
      <c r="HGC173" s="125"/>
      <c r="HGD173" s="125"/>
      <c r="HGE173" s="125"/>
      <c r="HGF173" s="125"/>
      <c r="HGG173" s="125"/>
      <c r="HGH173" s="125"/>
      <c r="HGI173" s="125"/>
      <c r="HGJ173" s="125"/>
      <c r="HGK173" s="125"/>
      <c r="HGL173" s="125"/>
      <c r="HGM173" s="125"/>
      <c r="HGN173" s="125"/>
      <c r="HGO173" s="125"/>
      <c r="HGP173" s="125"/>
      <c r="HGQ173" s="125"/>
      <c r="HGR173" s="125"/>
      <c r="HGS173" s="125"/>
      <c r="HGT173" s="125"/>
      <c r="HGU173" s="125"/>
      <c r="HGV173" s="125"/>
      <c r="HGW173" s="125"/>
      <c r="HGX173" s="125"/>
      <c r="HGY173" s="125"/>
      <c r="HGZ173" s="125"/>
      <c r="HHA173" s="125"/>
      <c r="HHB173" s="125"/>
      <c r="HHC173" s="125"/>
      <c r="HHD173" s="125"/>
      <c r="HHE173" s="125"/>
      <c r="HHF173" s="125"/>
      <c r="HHG173" s="125"/>
      <c r="HHH173" s="125"/>
      <c r="HHI173" s="125"/>
      <c r="HHJ173" s="125"/>
      <c r="HHK173" s="125"/>
      <c r="HHL173" s="125"/>
      <c r="HHM173" s="125"/>
      <c r="HHN173" s="125"/>
      <c r="HHO173" s="125"/>
      <c r="HHP173" s="125"/>
      <c r="HHQ173" s="125"/>
      <c r="HHR173" s="125"/>
      <c r="HHS173" s="125"/>
      <c r="HHT173" s="125"/>
      <c r="HHU173" s="125"/>
      <c r="HHV173" s="125"/>
      <c r="HHW173" s="125"/>
      <c r="HHX173" s="125"/>
      <c r="HHY173" s="125"/>
      <c r="HHZ173" s="125"/>
      <c r="HIA173" s="125"/>
      <c r="HIB173" s="125"/>
      <c r="HIC173" s="125"/>
      <c r="HID173" s="125"/>
      <c r="HIE173" s="125"/>
      <c r="HIF173" s="125"/>
      <c r="HIG173" s="125"/>
      <c r="HIH173" s="125"/>
      <c r="HII173" s="125"/>
      <c r="HIJ173" s="125"/>
      <c r="HIK173" s="125"/>
      <c r="HIL173" s="125"/>
      <c r="HIM173" s="125"/>
      <c r="HIN173" s="125"/>
      <c r="HIO173" s="125"/>
      <c r="HIP173" s="125"/>
      <c r="HIQ173" s="125"/>
      <c r="HIR173" s="125"/>
      <c r="HIS173" s="125"/>
      <c r="HIT173" s="125"/>
      <c r="HIU173" s="125"/>
      <c r="HIV173" s="125"/>
      <c r="HIW173" s="125"/>
      <c r="HIX173" s="125"/>
      <c r="HIY173" s="125"/>
      <c r="HIZ173" s="125"/>
      <c r="HJA173" s="125"/>
      <c r="HJB173" s="125"/>
      <c r="HJC173" s="125"/>
      <c r="HJD173" s="125"/>
      <c r="HJE173" s="125"/>
      <c r="HJF173" s="125"/>
      <c r="HJG173" s="125"/>
      <c r="HJH173" s="125"/>
      <c r="HJI173" s="125"/>
      <c r="HJJ173" s="125"/>
      <c r="HJK173" s="125"/>
      <c r="HJL173" s="125"/>
      <c r="HJM173" s="125"/>
      <c r="HJN173" s="125"/>
      <c r="HJO173" s="125"/>
      <c r="HJP173" s="125"/>
      <c r="HJQ173" s="125"/>
      <c r="HJR173" s="125"/>
      <c r="HJS173" s="125"/>
      <c r="HJT173" s="125"/>
      <c r="HJU173" s="125"/>
      <c r="HJV173" s="125"/>
      <c r="HJW173" s="125"/>
      <c r="HJX173" s="125"/>
      <c r="HJY173" s="125"/>
      <c r="HJZ173" s="125"/>
      <c r="HKA173" s="125"/>
      <c r="HKB173" s="125"/>
      <c r="HKC173" s="125"/>
      <c r="HKD173" s="125"/>
      <c r="HKE173" s="125"/>
      <c r="HKF173" s="125"/>
      <c r="HKG173" s="125"/>
      <c r="HKH173" s="125"/>
      <c r="HKI173" s="125"/>
      <c r="HKJ173" s="125"/>
      <c r="HKK173" s="125"/>
      <c r="HKL173" s="125"/>
      <c r="HKM173" s="125"/>
      <c r="HKN173" s="125"/>
      <c r="HKO173" s="125"/>
      <c r="HKP173" s="125"/>
      <c r="HKQ173" s="125"/>
      <c r="HKR173" s="125"/>
      <c r="HKS173" s="125"/>
      <c r="HKT173" s="125"/>
      <c r="HKU173" s="125"/>
      <c r="HKV173" s="125"/>
      <c r="HKW173" s="125"/>
      <c r="HKX173" s="125"/>
      <c r="HKY173" s="125"/>
      <c r="HKZ173" s="125"/>
      <c r="HLA173" s="125"/>
      <c r="HLB173" s="125"/>
      <c r="HLC173" s="125"/>
      <c r="HLD173" s="125"/>
      <c r="HLE173" s="125"/>
      <c r="HLF173" s="125"/>
      <c r="HLG173" s="125"/>
      <c r="HLH173" s="125"/>
      <c r="HLI173" s="125"/>
      <c r="HLJ173" s="125"/>
      <c r="HLK173" s="125"/>
      <c r="HLL173" s="125"/>
      <c r="HLM173" s="125"/>
      <c r="HLN173" s="125"/>
      <c r="HLO173" s="125"/>
      <c r="HLP173" s="125"/>
      <c r="HLQ173" s="125"/>
      <c r="HLR173" s="125"/>
      <c r="HLS173" s="125"/>
      <c r="HLT173" s="125"/>
      <c r="HLU173" s="125"/>
      <c r="HLV173" s="125"/>
      <c r="HLW173" s="125"/>
      <c r="HLX173" s="125"/>
      <c r="HLY173" s="125"/>
      <c r="HLZ173" s="125"/>
      <c r="HMA173" s="125"/>
      <c r="HMB173" s="125"/>
      <c r="HMC173" s="125"/>
      <c r="HMD173" s="125"/>
      <c r="HME173" s="125"/>
      <c r="HMF173" s="125"/>
      <c r="HMG173" s="125"/>
      <c r="HMH173" s="125"/>
      <c r="HMI173" s="125"/>
      <c r="HMJ173" s="125"/>
      <c r="HMK173" s="125"/>
      <c r="HML173" s="125"/>
      <c r="HMM173" s="125"/>
      <c r="HMN173" s="125"/>
      <c r="HMO173" s="125"/>
      <c r="HMP173" s="125"/>
      <c r="HMQ173" s="125"/>
      <c r="HMR173" s="125"/>
      <c r="HMS173" s="125"/>
      <c r="HMT173" s="125"/>
      <c r="HMU173" s="125"/>
      <c r="HMV173" s="125"/>
      <c r="HMW173" s="125"/>
      <c r="HMX173" s="125"/>
      <c r="HMY173" s="125"/>
      <c r="HMZ173" s="125"/>
      <c r="HNA173" s="125"/>
      <c r="HNB173" s="125"/>
      <c r="HNC173" s="125"/>
      <c r="HND173" s="125"/>
      <c r="HNE173" s="125"/>
      <c r="HNF173" s="125"/>
      <c r="HNG173" s="125"/>
      <c r="HNH173" s="125"/>
      <c r="HNI173" s="125"/>
      <c r="HNJ173" s="125"/>
      <c r="HNK173" s="125"/>
      <c r="HNL173" s="125"/>
      <c r="HNM173" s="125"/>
      <c r="HNN173" s="125"/>
      <c r="HNO173" s="125"/>
      <c r="HNP173" s="125"/>
      <c r="HNQ173" s="125"/>
      <c r="HNR173" s="125"/>
      <c r="HNS173" s="125"/>
      <c r="HNT173" s="125"/>
      <c r="HNU173" s="125"/>
      <c r="HNV173" s="125"/>
      <c r="HNW173" s="125"/>
      <c r="HNX173" s="125"/>
      <c r="HNY173" s="125"/>
      <c r="HNZ173" s="125"/>
      <c r="HOA173" s="125"/>
      <c r="HOB173" s="125"/>
      <c r="HOC173" s="125"/>
      <c r="HOD173" s="125"/>
      <c r="HOE173" s="125"/>
      <c r="HOF173" s="125"/>
      <c r="HOG173" s="125"/>
      <c r="HOH173" s="125"/>
      <c r="HOI173" s="125"/>
      <c r="HOJ173" s="125"/>
      <c r="HOK173" s="125"/>
      <c r="HOL173" s="125"/>
      <c r="HOM173" s="125"/>
      <c r="HON173" s="125"/>
      <c r="HOO173" s="125"/>
      <c r="HOP173" s="125"/>
      <c r="HOQ173" s="125"/>
      <c r="HOR173" s="125"/>
      <c r="HOS173" s="125"/>
      <c r="HOT173" s="125"/>
      <c r="HOU173" s="125"/>
      <c r="HOV173" s="125"/>
      <c r="HOW173" s="125"/>
      <c r="HOX173" s="125"/>
      <c r="HOY173" s="125"/>
      <c r="HOZ173" s="125"/>
      <c r="HPA173" s="125"/>
      <c r="HPB173" s="125"/>
      <c r="HPC173" s="125"/>
      <c r="HPD173" s="125"/>
      <c r="HPE173" s="125"/>
      <c r="HPF173" s="125"/>
      <c r="HPG173" s="125"/>
      <c r="HPH173" s="125"/>
      <c r="HPI173" s="125"/>
      <c r="HPJ173" s="125"/>
      <c r="HPK173" s="125"/>
      <c r="HPL173" s="125"/>
      <c r="HPM173" s="125"/>
      <c r="HPN173" s="125"/>
      <c r="HPO173" s="125"/>
      <c r="HPP173" s="125"/>
      <c r="HPQ173" s="125"/>
      <c r="HPR173" s="125"/>
      <c r="HPS173" s="125"/>
      <c r="HPT173" s="125"/>
      <c r="HPU173" s="125"/>
      <c r="HPV173" s="125"/>
      <c r="HPW173" s="125"/>
      <c r="HPX173" s="125"/>
      <c r="HPY173" s="125"/>
      <c r="HPZ173" s="125"/>
      <c r="HQA173" s="125"/>
      <c r="HQB173" s="125"/>
      <c r="HQC173" s="125"/>
      <c r="HQD173" s="125"/>
      <c r="HQE173" s="125"/>
      <c r="HQF173" s="125"/>
      <c r="HQG173" s="125"/>
      <c r="HQH173" s="125"/>
      <c r="HQI173" s="125"/>
      <c r="HQJ173" s="125"/>
      <c r="HQK173" s="125"/>
      <c r="HQL173" s="125"/>
      <c r="HQM173" s="125"/>
      <c r="HQN173" s="125"/>
      <c r="HQO173" s="125"/>
      <c r="HQP173" s="125"/>
      <c r="HQQ173" s="125"/>
      <c r="HQR173" s="125"/>
      <c r="HQS173" s="125"/>
      <c r="HQT173" s="125"/>
      <c r="HQU173" s="125"/>
      <c r="HQV173" s="125"/>
      <c r="HQW173" s="125"/>
      <c r="HQX173" s="125"/>
      <c r="HQY173" s="125"/>
      <c r="HQZ173" s="125"/>
      <c r="HRA173" s="125"/>
      <c r="HRB173" s="125"/>
      <c r="HRC173" s="125"/>
      <c r="HRD173" s="125"/>
      <c r="HRE173" s="125"/>
      <c r="HRF173" s="125"/>
      <c r="HRG173" s="125"/>
      <c r="HRH173" s="125"/>
      <c r="HRI173" s="125"/>
      <c r="HRJ173" s="125"/>
      <c r="HRK173" s="125"/>
      <c r="HRL173" s="125"/>
      <c r="HRM173" s="125"/>
      <c r="HRN173" s="125"/>
      <c r="HRO173" s="125"/>
      <c r="HRP173" s="125"/>
      <c r="HRQ173" s="125"/>
      <c r="HRR173" s="125"/>
      <c r="HRS173" s="125"/>
      <c r="HRT173" s="125"/>
      <c r="HRU173" s="125"/>
      <c r="HRV173" s="125"/>
      <c r="HRW173" s="125"/>
      <c r="HRX173" s="125"/>
      <c r="HRY173" s="125"/>
      <c r="HRZ173" s="125"/>
      <c r="HSA173" s="125"/>
      <c r="HSB173" s="125"/>
      <c r="HSC173" s="125"/>
      <c r="HSD173" s="125"/>
      <c r="HSE173" s="125"/>
      <c r="HSF173" s="125"/>
      <c r="HSG173" s="125"/>
      <c r="HSH173" s="125"/>
      <c r="HSI173" s="125"/>
      <c r="HSJ173" s="125"/>
      <c r="HSK173" s="125"/>
      <c r="HSL173" s="125"/>
      <c r="HSM173" s="125"/>
      <c r="HSN173" s="125"/>
      <c r="HSO173" s="125"/>
      <c r="HSP173" s="125"/>
      <c r="HSQ173" s="125"/>
      <c r="HSR173" s="125"/>
      <c r="HSS173" s="125"/>
      <c r="HST173" s="125"/>
      <c r="HSU173" s="125"/>
      <c r="HSV173" s="125"/>
      <c r="HSW173" s="125"/>
      <c r="HSX173" s="125"/>
      <c r="HSY173" s="125"/>
      <c r="HSZ173" s="125"/>
      <c r="HTA173" s="125"/>
      <c r="HTB173" s="125"/>
      <c r="HTC173" s="125"/>
      <c r="HTD173" s="125"/>
      <c r="HTE173" s="125"/>
      <c r="HTF173" s="125"/>
      <c r="HTG173" s="125"/>
      <c r="HTH173" s="125"/>
      <c r="HTI173" s="125"/>
      <c r="HTJ173" s="125"/>
      <c r="HTK173" s="125"/>
      <c r="HTL173" s="125"/>
      <c r="HTM173" s="125"/>
      <c r="HTN173" s="125"/>
      <c r="HTO173" s="125"/>
      <c r="HTP173" s="125"/>
      <c r="HTQ173" s="125"/>
      <c r="HTR173" s="125"/>
      <c r="HTS173" s="125"/>
      <c r="HTT173" s="125"/>
      <c r="HTU173" s="125"/>
      <c r="HTV173" s="125"/>
      <c r="HTW173" s="125"/>
      <c r="HTX173" s="125"/>
      <c r="HTY173" s="125"/>
      <c r="HTZ173" s="125"/>
      <c r="HUA173" s="125"/>
      <c r="HUB173" s="125"/>
      <c r="HUC173" s="125"/>
      <c r="HUD173" s="125"/>
      <c r="HUE173" s="125"/>
      <c r="HUF173" s="125"/>
      <c r="HUG173" s="125"/>
      <c r="HUH173" s="125"/>
      <c r="HUI173" s="125"/>
      <c r="HUJ173" s="125"/>
      <c r="HUK173" s="125"/>
      <c r="HUL173" s="125"/>
      <c r="HUM173" s="125"/>
      <c r="HUN173" s="125"/>
      <c r="HUO173" s="125"/>
      <c r="HUP173" s="125"/>
      <c r="HUQ173" s="125"/>
      <c r="HUR173" s="125"/>
      <c r="HUS173" s="125"/>
      <c r="HUT173" s="125"/>
      <c r="HUU173" s="125"/>
      <c r="HUV173" s="125"/>
      <c r="HUW173" s="125"/>
      <c r="HUX173" s="125"/>
      <c r="HUY173" s="125"/>
      <c r="HUZ173" s="125"/>
      <c r="HVA173" s="125"/>
      <c r="HVB173" s="125"/>
      <c r="HVC173" s="125"/>
      <c r="HVD173" s="125"/>
      <c r="HVE173" s="125"/>
      <c r="HVF173" s="125"/>
      <c r="HVG173" s="125"/>
      <c r="HVH173" s="125"/>
      <c r="HVI173" s="125"/>
      <c r="HVJ173" s="125"/>
      <c r="HVK173" s="125"/>
      <c r="HVL173" s="125"/>
      <c r="HVM173" s="125"/>
      <c r="HVN173" s="125"/>
      <c r="HVO173" s="125"/>
      <c r="HVP173" s="125"/>
      <c r="HVQ173" s="125"/>
      <c r="HVR173" s="125"/>
      <c r="HVS173" s="125"/>
      <c r="HVT173" s="125"/>
      <c r="HVU173" s="125"/>
      <c r="HVV173" s="125"/>
      <c r="HVW173" s="125"/>
      <c r="HVX173" s="125"/>
      <c r="HVY173" s="125"/>
      <c r="HVZ173" s="125"/>
      <c r="HWA173" s="125"/>
      <c r="HWB173" s="125"/>
      <c r="HWC173" s="125"/>
      <c r="HWD173" s="125"/>
      <c r="HWE173" s="125"/>
      <c r="HWF173" s="125"/>
      <c r="HWG173" s="125"/>
      <c r="HWH173" s="125"/>
      <c r="HWI173" s="125"/>
      <c r="HWJ173" s="125"/>
      <c r="HWK173" s="125"/>
      <c r="HWL173" s="125"/>
      <c r="HWM173" s="125"/>
      <c r="HWN173" s="125"/>
      <c r="HWO173" s="125"/>
      <c r="HWP173" s="125"/>
      <c r="HWQ173" s="125"/>
      <c r="HWR173" s="125"/>
      <c r="HWS173" s="125"/>
      <c r="HWT173" s="125"/>
      <c r="HWU173" s="125"/>
      <c r="HWV173" s="125"/>
      <c r="HWW173" s="125"/>
      <c r="HWX173" s="125"/>
      <c r="HWY173" s="125"/>
      <c r="HWZ173" s="125"/>
      <c r="HXA173" s="125"/>
      <c r="HXB173" s="125"/>
      <c r="HXC173" s="125"/>
      <c r="HXD173" s="125"/>
      <c r="HXE173" s="125"/>
      <c r="HXF173" s="125"/>
      <c r="HXG173" s="125"/>
      <c r="HXH173" s="125"/>
      <c r="HXI173" s="125"/>
      <c r="HXJ173" s="125"/>
      <c r="HXK173" s="125"/>
      <c r="HXL173" s="125"/>
      <c r="HXM173" s="125"/>
      <c r="HXN173" s="125"/>
      <c r="HXO173" s="125"/>
      <c r="HXP173" s="125"/>
      <c r="HXQ173" s="125"/>
      <c r="HXR173" s="125"/>
      <c r="HXS173" s="125"/>
      <c r="HXT173" s="125"/>
      <c r="HXU173" s="125"/>
      <c r="HXV173" s="125"/>
      <c r="HXW173" s="125"/>
      <c r="HXX173" s="125"/>
      <c r="HXY173" s="125"/>
      <c r="HXZ173" s="125"/>
      <c r="HYA173" s="125"/>
      <c r="HYB173" s="125"/>
      <c r="HYC173" s="125"/>
      <c r="HYD173" s="125"/>
      <c r="HYE173" s="125"/>
      <c r="HYF173" s="125"/>
      <c r="HYG173" s="125"/>
      <c r="HYH173" s="125"/>
      <c r="HYI173" s="125"/>
      <c r="HYJ173" s="125"/>
      <c r="HYK173" s="125"/>
      <c r="HYL173" s="125"/>
      <c r="HYM173" s="125"/>
      <c r="HYN173" s="125"/>
      <c r="HYO173" s="125"/>
      <c r="HYP173" s="125"/>
      <c r="HYQ173" s="125"/>
      <c r="HYR173" s="125"/>
      <c r="HYS173" s="125"/>
      <c r="HYT173" s="125"/>
      <c r="HYU173" s="125"/>
      <c r="HYV173" s="125"/>
      <c r="HYW173" s="125"/>
      <c r="HYX173" s="125"/>
      <c r="HYY173" s="125"/>
      <c r="HYZ173" s="125"/>
      <c r="HZA173" s="125"/>
      <c r="HZB173" s="125"/>
      <c r="HZC173" s="125"/>
      <c r="HZD173" s="125"/>
      <c r="HZE173" s="125"/>
      <c r="HZF173" s="125"/>
      <c r="HZG173" s="125"/>
      <c r="HZH173" s="125"/>
      <c r="HZI173" s="125"/>
      <c r="HZJ173" s="125"/>
      <c r="HZK173" s="125"/>
      <c r="HZL173" s="125"/>
      <c r="HZM173" s="125"/>
      <c r="HZN173" s="125"/>
      <c r="HZO173" s="125"/>
      <c r="HZP173" s="125"/>
      <c r="HZQ173" s="125"/>
      <c r="HZR173" s="125"/>
      <c r="HZS173" s="125"/>
      <c r="HZT173" s="125"/>
      <c r="HZU173" s="125"/>
      <c r="HZV173" s="125"/>
      <c r="HZW173" s="125"/>
      <c r="HZX173" s="125"/>
      <c r="HZY173" s="125"/>
      <c r="HZZ173" s="125"/>
      <c r="IAA173" s="125"/>
      <c r="IAB173" s="125"/>
      <c r="IAC173" s="125"/>
      <c r="IAD173" s="125"/>
      <c r="IAE173" s="125"/>
      <c r="IAF173" s="125"/>
      <c r="IAG173" s="125"/>
      <c r="IAH173" s="125"/>
      <c r="IAI173" s="125"/>
      <c r="IAJ173" s="125"/>
      <c r="IAK173" s="125"/>
      <c r="IAL173" s="125"/>
      <c r="IAM173" s="125"/>
      <c r="IAN173" s="125"/>
      <c r="IAO173" s="125"/>
      <c r="IAP173" s="125"/>
      <c r="IAQ173" s="125"/>
      <c r="IAR173" s="125"/>
      <c r="IAS173" s="125"/>
      <c r="IAT173" s="125"/>
      <c r="IAU173" s="125"/>
      <c r="IAV173" s="125"/>
      <c r="IAW173" s="125"/>
      <c r="IAX173" s="125"/>
      <c r="IAY173" s="125"/>
      <c r="IAZ173" s="125"/>
      <c r="IBA173" s="125"/>
      <c r="IBB173" s="125"/>
      <c r="IBC173" s="125"/>
      <c r="IBD173" s="125"/>
      <c r="IBE173" s="125"/>
      <c r="IBF173" s="125"/>
      <c r="IBG173" s="125"/>
      <c r="IBH173" s="125"/>
      <c r="IBI173" s="125"/>
      <c r="IBJ173" s="125"/>
      <c r="IBK173" s="125"/>
      <c r="IBL173" s="125"/>
      <c r="IBM173" s="125"/>
      <c r="IBN173" s="125"/>
      <c r="IBO173" s="125"/>
      <c r="IBP173" s="125"/>
      <c r="IBQ173" s="125"/>
      <c r="IBR173" s="125"/>
      <c r="IBS173" s="125"/>
      <c r="IBT173" s="125"/>
      <c r="IBU173" s="125"/>
      <c r="IBV173" s="125"/>
      <c r="IBW173" s="125"/>
      <c r="IBX173" s="125"/>
      <c r="IBY173" s="125"/>
      <c r="IBZ173" s="125"/>
      <c r="ICA173" s="125"/>
      <c r="ICB173" s="125"/>
      <c r="ICC173" s="125"/>
      <c r="ICD173" s="125"/>
      <c r="ICE173" s="125"/>
      <c r="ICF173" s="125"/>
      <c r="ICG173" s="125"/>
      <c r="ICH173" s="125"/>
      <c r="ICI173" s="125"/>
      <c r="ICJ173" s="125"/>
      <c r="ICK173" s="125"/>
      <c r="ICL173" s="125"/>
      <c r="ICM173" s="125"/>
      <c r="ICN173" s="125"/>
      <c r="ICO173" s="125"/>
      <c r="ICP173" s="125"/>
      <c r="ICQ173" s="125"/>
      <c r="ICR173" s="125"/>
      <c r="ICS173" s="125"/>
      <c r="ICT173" s="125"/>
      <c r="ICU173" s="125"/>
      <c r="ICV173" s="125"/>
      <c r="ICW173" s="125"/>
      <c r="ICX173" s="125"/>
      <c r="ICY173" s="125"/>
      <c r="ICZ173" s="125"/>
      <c r="IDA173" s="125"/>
      <c r="IDB173" s="125"/>
      <c r="IDC173" s="125"/>
      <c r="IDD173" s="125"/>
      <c r="IDE173" s="125"/>
      <c r="IDF173" s="125"/>
      <c r="IDG173" s="125"/>
      <c r="IDH173" s="125"/>
      <c r="IDI173" s="125"/>
      <c r="IDJ173" s="125"/>
      <c r="IDK173" s="125"/>
      <c r="IDL173" s="125"/>
      <c r="IDM173" s="125"/>
      <c r="IDN173" s="125"/>
      <c r="IDO173" s="125"/>
      <c r="IDP173" s="125"/>
      <c r="IDQ173" s="125"/>
      <c r="IDR173" s="125"/>
      <c r="IDS173" s="125"/>
      <c r="IDT173" s="125"/>
      <c r="IDU173" s="125"/>
      <c r="IDV173" s="125"/>
      <c r="IDW173" s="125"/>
      <c r="IDX173" s="125"/>
      <c r="IDY173" s="125"/>
      <c r="IDZ173" s="125"/>
      <c r="IEA173" s="125"/>
      <c r="IEB173" s="125"/>
      <c r="IEC173" s="125"/>
      <c r="IED173" s="125"/>
      <c r="IEE173" s="125"/>
      <c r="IEF173" s="125"/>
      <c r="IEG173" s="125"/>
      <c r="IEH173" s="125"/>
      <c r="IEI173" s="125"/>
      <c r="IEJ173" s="125"/>
      <c r="IEK173" s="125"/>
      <c r="IEL173" s="125"/>
      <c r="IEM173" s="125"/>
      <c r="IEN173" s="125"/>
      <c r="IEO173" s="125"/>
      <c r="IEP173" s="125"/>
      <c r="IEQ173" s="125"/>
      <c r="IER173" s="125"/>
      <c r="IES173" s="125"/>
      <c r="IET173" s="125"/>
      <c r="IEU173" s="125"/>
      <c r="IEV173" s="125"/>
      <c r="IEW173" s="125"/>
      <c r="IEX173" s="125"/>
      <c r="IEY173" s="125"/>
      <c r="IEZ173" s="125"/>
      <c r="IFA173" s="125"/>
      <c r="IFB173" s="125"/>
      <c r="IFC173" s="125"/>
      <c r="IFD173" s="125"/>
      <c r="IFE173" s="125"/>
      <c r="IFF173" s="125"/>
      <c r="IFG173" s="125"/>
      <c r="IFH173" s="125"/>
      <c r="IFI173" s="125"/>
      <c r="IFJ173" s="125"/>
      <c r="IFK173" s="125"/>
      <c r="IFL173" s="125"/>
      <c r="IFM173" s="125"/>
      <c r="IFN173" s="125"/>
      <c r="IFO173" s="125"/>
      <c r="IFP173" s="125"/>
      <c r="IFQ173" s="125"/>
      <c r="IFR173" s="125"/>
      <c r="IFS173" s="125"/>
      <c r="IFT173" s="125"/>
      <c r="IFU173" s="125"/>
      <c r="IFV173" s="125"/>
      <c r="IFW173" s="125"/>
      <c r="IFX173" s="125"/>
      <c r="IFY173" s="125"/>
      <c r="IFZ173" s="125"/>
      <c r="IGA173" s="125"/>
      <c r="IGB173" s="125"/>
      <c r="IGC173" s="125"/>
      <c r="IGD173" s="125"/>
      <c r="IGE173" s="125"/>
      <c r="IGF173" s="125"/>
      <c r="IGG173" s="125"/>
      <c r="IGH173" s="125"/>
      <c r="IGI173" s="125"/>
      <c r="IGJ173" s="125"/>
      <c r="IGK173" s="125"/>
      <c r="IGL173" s="125"/>
      <c r="IGM173" s="125"/>
      <c r="IGN173" s="125"/>
      <c r="IGO173" s="125"/>
      <c r="IGP173" s="125"/>
      <c r="IGQ173" s="125"/>
      <c r="IGR173" s="125"/>
      <c r="IGS173" s="125"/>
      <c r="IGT173" s="125"/>
      <c r="IGU173" s="125"/>
      <c r="IGV173" s="125"/>
      <c r="IGW173" s="125"/>
      <c r="IGX173" s="125"/>
      <c r="IGY173" s="125"/>
      <c r="IGZ173" s="125"/>
      <c r="IHA173" s="125"/>
      <c r="IHB173" s="125"/>
      <c r="IHC173" s="125"/>
      <c r="IHD173" s="125"/>
      <c r="IHE173" s="125"/>
      <c r="IHF173" s="125"/>
      <c r="IHG173" s="125"/>
      <c r="IHH173" s="125"/>
      <c r="IHI173" s="125"/>
      <c r="IHJ173" s="125"/>
      <c r="IHK173" s="125"/>
      <c r="IHL173" s="125"/>
      <c r="IHM173" s="125"/>
      <c r="IHN173" s="125"/>
      <c r="IHO173" s="125"/>
      <c r="IHP173" s="125"/>
      <c r="IHQ173" s="125"/>
      <c r="IHR173" s="125"/>
      <c r="IHS173" s="125"/>
      <c r="IHT173" s="125"/>
      <c r="IHU173" s="125"/>
      <c r="IHV173" s="125"/>
      <c r="IHW173" s="125"/>
      <c r="IHX173" s="125"/>
      <c r="IHY173" s="125"/>
      <c r="IHZ173" s="125"/>
      <c r="IIA173" s="125"/>
      <c r="IIB173" s="125"/>
      <c r="IIC173" s="125"/>
      <c r="IID173" s="125"/>
      <c r="IIE173" s="125"/>
      <c r="IIF173" s="125"/>
      <c r="IIG173" s="125"/>
      <c r="IIH173" s="125"/>
      <c r="III173" s="125"/>
      <c r="IIJ173" s="125"/>
      <c r="IIK173" s="125"/>
      <c r="IIL173" s="125"/>
      <c r="IIM173" s="125"/>
      <c r="IIN173" s="125"/>
      <c r="IIO173" s="125"/>
      <c r="IIP173" s="125"/>
      <c r="IIQ173" s="125"/>
      <c r="IIR173" s="125"/>
      <c r="IIS173" s="125"/>
      <c r="IIT173" s="125"/>
      <c r="IIU173" s="125"/>
      <c r="IIV173" s="125"/>
      <c r="IIW173" s="125"/>
      <c r="IIX173" s="125"/>
      <c r="IIY173" s="125"/>
      <c r="IIZ173" s="125"/>
      <c r="IJA173" s="125"/>
      <c r="IJB173" s="125"/>
      <c r="IJC173" s="125"/>
      <c r="IJD173" s="125"/>
      <c r="IJE173" s="125"/>
      <c r="IJF173" s="125"/>
      <c r="IJG173" s="125"/>
      <c r="IJH173" s="125"/>
      <c r="IJI173" s="125"/>
      <c r="IJJ173" s="125"/>
      <c r="IJK173" s="125"/>
      <c r="IJL173" s="125"/>
      <c r="IJM173" s="125"/>
      <c r="IJN173" s="125"/>
      <c r="IJO173" s="125"/>
      <c r="IJP173" s="125"/>
      <c r="IJQ173" s="125"/>
      <c r="IJR173" s="125"/>
      <c r="IJS173" s="125"/>
      <c r="IJT173" s="125"/>
      <c r="IJU173" s="125"/>
      <c r="IJV173" s="125"/>
      <c r="IJW173" s="125"/>
      <c r="IJX173" s="125"/>
      <c r="IJY173" s="125"/>
      <c r="IJZ173" s="125"/>
      <c r="IKA173" s="125"/>
      <c r="IKB173" s="125"/>
      <c r="IKC173" s="125"/>
      <c r="IKD173" s="125"/>
      <c r="IKE173" s="125"/>
      <c r="IKF173" s="125"/>
      <c r="IKG173" s="125"/>
      <c r="IKH173" s="125"/>
      <c r="IKI173" s="125"/>
      <c r="IKJ173" s="125"/>
      <c r="IKK173" s="125"/>
      <c r="IKL173" s="125"/>
      <c r="IKM173" s="125"/>
      <c r="IKN173" s="125"/>
      <c r="IKO173" s="125"/>
      <c r="IKP173" s="125"/>
      <c r="IKQ173" s="125"/>
      <c r="IKR173" s="125"/>
      <c r="IKS173" s="125"/>
      <c r="IKT173" s="125"/>
      <c r="IKU173" s="125"/>
      <c r="IKV173" s="125"/>
      <c r="IKW173" s="125"/>
      <c r="IKX173" s="125"/>
      <c r="IKY173" s="125"/>
      <c r="IKZ173" s="125"/>
      <c r="ILA173" s="125"/>
      <c r="ILB173" s="125"/>
      <c r="ILC173" s="125"/>
      <c r="ILD173" s="125"/>
      <c r="ILE173" s="125"/>
      <c r="ILF173" s="125"/>
      <c r="ILG173" s="125"/>
      <c r="ILH173" s="125"/>
      <c r="ILI173" s="125"/>
      <c r="ILJ173" s="125"/>
      <c r="ILK173" s="125"/>
      <c r="ILL173" s="125"/>
      <c r="ILM173" s="125"/>
      <c r="ILN173" s="125"/>
      <c r="ILO173" s="125"/>
      <c r="ILP173" s="125"/>
      <c r="ILQ173" s="125"/>
      <c r="ILR173" s="125"/>
      <c r="ILS173" s="125"/>
      <c r="ILT173" s="125"/>
      <c r="ILU173" s="125"/>
      <c r="ILV173" s="125"/>
      <c r="ILW173" s="125"/>
      <c r="ILX173" s="125"/>
      <c r="ILY173" s="125"/>
      <c r="ILZ173" s="125"/>
      <c r="IMA173" s="125"/>
      <c r="IMB173" s="125"/>
      <c r="IMC173" s="125"/>
      <c r="IMD173" s="125"/>
      <c r="IME173" s="125"/>
      <c r="IMF173" s="125"/>
      <c r="IMG173" s="125"/>
      <c r="IMH173" s="125"/>
      <c r="IMI173" s="125"/>
      <c r="IMJ173" s="125"/>
      <c r="IMK173" s="125"/>
      <c r="IML173" s="125"/>
      <c r="IMM173" s="125"/>
      <c r="IMN173" s="125"/>
      <c r="IMO173" s="125"/>
      <c r="IMP173" s="125"/>
      <c r="IMQ173" s="125"/>
      <c r="IMR173" s="125"/>
      <c r="IMS173" s="125"/>
      <c r="IMT173" s="125"/>
      <c r="IMU173" s="125"/>
      <c r="IMV173" s="125"/>
      <c r="IMW173" s="125"/>
      <c r="IMX173" s="125"/>
      <c r="IMY173" s="125"/>
      <c r="IMZ173" s="125"/>
      <c r="INA173" s="125"/>
      <c r="INB173" s="125"/>
      <c r="INC173" s="125"/>
      <c r="IND173" s="125"/>
      <c r="INE173" s="125"/>
      <c r="INF173" s="125"/>
      <c r="ING173" s="125"/>
      <c r="INH173" s="125"/>
      <c r="INI173" s="125"/>
      <c r="INJ173" s="125"/>
      <c r="INK173" s="125"/>
      <c r="INL173" s="125"/>
      <c r="INM173" s="125"/>
      <c r="INN173" s="125"/>
      <c r="INO173" s="125"/>
      <c r="INP173" s="125"/>
      <c r="INQ173" s="125"/>
      <c r="INR173" s="125"/>
      <c r="INS173" s="125"/>
      <c r="INT173" s="125"/>
      <c r="INU173" s="125"/>
      <c r="INV173" s="125"/>
      <c r="INW173" s="125"/>
      <c r="INX173" s="125"/>
      <c r="INY173" s="125"/>
      <c r="INZ173" s="125"/>
      <c r="IOA173" s="125"/>
      <c r="IOB173" s="125"/>
      <c r="IOC173" s="125"/>
      <c r="IOD173" s="125"/>
      <c r="IOE173" s="125"/>
      <c r="IOF173" s="125"/>
      <c r="IOG173" s="125"/>
      <c r="IOH173" s="125"/>
      <c r="IOI173" s="125"/>
      <c r="IOJ173" s="125"/>
      <c r="IOK173" s="125"/>
      <c r="IOL173" s="125"/>
      <c r="IOM173" s="125"/>
      <c r="ION173" s="125"/>
      <c r="IOO173" s="125"/>
      <c r="IOP173" s="125"/>
      <c r="IOQ173" s="125"/>
      <c r="IOR173" s="125"/>
      <c r="IOS173" s="125"/>
      <c r="IOT173" s="125"/>
      <c r="IOU173" s="125"/>
      <c r="IOV173" s="125"/>
      <c r="IOW173" s="125"/>
      <c r="IOX173" s="125"/>
      <c r="IOY173" s="125"/>
      <c r="IOZ173" s="125"/>
      <c r="IPA173" s="125"/>
      <c r="IPB173" s="125"/>
      <c r="IPC173" s="125"/>
      <c r="IPD173" s="125"/>
      <c r="IPE173" s="125"/>
      <c r="IPF173" s="125"/>
      <c r="IPG173" s="125"/>
      <c r="IPH173" s="125"/>
      <c r="IPI173" s="125"/>
      <c r="IPJ173" s="125"/>
      <c r="IPK173" s="125"/>
      <c r="IPL173" s="125"/>
      <c r="IPM173" s="125"/>
      <c r="IPN173" s="125"/>
      <c r="IPO173" s="125"/>
      <c r="IPP173" s="125"/>
      <c r="IPQ173" s="125"/>
      <c r="IPR173" s="125"/>
      <c r="IPS173" s="125"/>
      <c r="IPT173" s="125"/>
      <c r="IPU173" s="125"/>
      <c r="IPV173" s="125"/>
      <c r="IPW173" s="125"/>
      <c r="IPX173" s="125"/>
      <c r="IPY173" s="125"/>
      <c r="IPZ173" s="125"/>
      <c r="IQA173" s="125"/>
      <c r="IQB173" s="125"/>
      <c r="IQC173" s="125"/>
      <c r="IQD173" s="125"/>
      <c r="IQE173" s="125"/>
      <c r="IQF173" s="125"/>
      <c r="IQG173" s="125"/>
      <c r="IQH173" s="125"/>
      <c r="IQI173" s="125"/>
      <c r="IQJ173" s="125"/>
      <c r="IQK173" s="125"/>
      <c r="IQL173" s="125"/>
      <c r="IQM173" s="125"/>
      <c r="IQN173" s="125"/>
      <c r="IQO173" s="125"/>
      <c r="IQP173" s="125"/>
      <c r="IQQ173" s="125"/>
      <c r="IQR173" s="125"/>
      <c r="IQS173" s="125"/>
      <c r="IQT173" s="125"/>
      <c r="IQU173" s="125"/>
      <c r="IQV173" s="125"/>
      <c r="IQW173" s="125"/>
      <c r="IQX173" s="125"/>
      <c r="IQY173" s="125"/>
      <c r="IQZ173" s="125"/>
      <c r="IRA173" s="125"/>
      <c r="IRB173" s="125"/>
      <c r="IRC173" s="125"/>
      <c r="IRD173" s="125"/>
      <c r="IRE173" s="125"/>
      <c r="IRF173" s="125"/>
      <c r="IRG173" s="125"/>
      <c r="IRH173" s="125"/>
      <c r="IRI173" s="125"/>
      <c r="IRJ173" s="125"/>
      <c r="IRK173" s="125"/>
      <c r="IRL173" s="125"/>
      <c r="IRM173" s="125"/>
      <c r="IRN173" s="125"/>
      <c r="IRO173" s="125"/>
      <c r="IRP173" s="125"/>
      <c r="IRQ173" s="125"/>
      <c r="IRR173" s="125"/>
      <c r="IRS173" s="125"/>
      <c r="IRT173" s="125"/>
      <c r="IRU173" s="125"/>
      <c r="IRV173" s="125"/>
      <c r="IRW173" s="125"/>
      <c r="IRX173" s="125"/>
      <c r="IRY173" s="125"/>
      <c r="IRZ173" s="125"/>
      <c r="ISA173" s="125"/>
      <c r="ISB173" s="125"/>
      <c r="ISC173" s="125"/>
      <c r="ISD173" s="125"/>
      <c r="ISE173" s="125"/>
      <c r="ISF173" s="125"/>
      <c r="ISG173" s="125"/>
      <c r="ISH173" s="125"/>
      <c r="ISI173" s="125"/>
      <c r="ISJ173" s="125"/>
      <c r="ISK173" s="125"/>
      <c r="ISL173" s="125"/>
      <c r="ISM173" s="125"/>
      <c r="ISN173" s="125"/>
      <c r="ISO173" s="125"/>
      <c r="ISP173" s="125"/>
      <c r="ISQ173" s="125"/>
      <c r="ISR173" s="125"/>
      <c r="ISS173" s="125"/>
      <c r="IST173" s="125"/>
      <c r="ISU173" s="125"/>
      <c r="ISV173" s="125"/>
      <c r="ISW173" s="125"/>
      <c r="ISX173" s="125"/>
      <c r="ISY173" s="125"/>
      <c r="ISZ173" s="125"/>
      <c r="ITA173" s="125"/>
      <c r="ITB173" s="125"/>
      <c r="ITC173" s="125"/>
      <c r="ITD173" s="125"/>
      <c r="ITE173" s="125"/>
      <c r="ITF173" s="125"/>
      <c r="ITG173" s="125"/>
      <c r="ITH173" s="125"/>
      <c r="ITI173" s="125"/>
      <c r="ITJ173" s="125"/>
      <c r="ITK173" s="125"/>
      <c r="ITL173" s="125"/>
      <c r="ITM173" s="125"/>
      <c r="ITN173" s="125"/>
      <c r="ITO173" s="125"/>
      <c r="ITP173" s="125"/>
      <c r="ITQ173" s="125"/>
      <c r="ITR173" s="125"/>
      <c r="ITS173" s="125"/>
      <c r="ITT173" s="125"/>
      <c r="ITU173" s="125"/>
      <c r="ITV173" s="125"/>
      <c r="ITW173" s="125"/>
      <c r="ITX173" s="125"/>
      <c r="ITY173" s="125"/>
      <c r="ITZ173" s="125"/>
      <c r="IUA173" s="125"/>
      <c r="IUB173" s="125"/>
      <c r="IUC173" s="125"/>
      <c r="IUD173" s="125"/>
      <c r="IUE173" s="125"/>
      <c r="IUF173" s="125"/>
      <c r="IUG173" s="125"/>
      <c r="IUH173" s="125"/>
      <c r="IUI173" s="125"/>
      <c r="IUJ173" s="125"/>
      <c r="IUK173" s="125"/>
      <c r="IUL173" s="125"/>
      <c r="IUM173" s="125"/>
      <c r="IUN173" s="125"/>
      <c r="IUO173" s="125"/>
      <c r="IUP173" s="125"/>
      <c r="IUQ173" s="125"/>
      <c r="IUR173" s="125"/>
      <c r="IUS173" s="125"/>
      <c r="IUT173" s="125"/>
      <c r="IUU173" s="125"/>
      <c r="IUV173" s="125"/>
      <c r="IUW173" s="125"/>
      <c r="IUX173" s="125"/>
      <c r="IUY173" s="125"/>
      <c r="IUZ173" s="125"/>
      <c r="IVA173" s="125"/>
      <c r="IVB173" s="125"/>
      <c r="IVC173" s="125"/>
      <c r="IVD173" s="125"/>
      <c r="IVE173" s="125"/>
      <c r="IVF173" s="125"/>
      <c r="IVG173" s="125"/>
      <c r="IVH173" s="125"/>
      <c r="IVI173" s="125"/>
      <c r="IVJ173" s="125"/>
      <c r="IVK173" s="125"/>
      <c r="IVL173" s="125"/>
      <c r="IVM173" s="125"/>
      <c r="IVN173" s="125"/>
      <c r="IVO173" s="125"/>
      <c r="IVP173" s="125"/>
      <c r="IVQ173" s="125"/>
      <c r="IVR173" s="125"/>
      <c r="IVS173" s="125"/>
      <c r="IVT173" s="125"/>
      <c r="IVU173" s="125"/>
      <c r="IVV173" s="125"/>
      <c r="IVW173" s="125"/>
      <c r="IVX173" s="125"/>
      <c r="IVY173" s="125"/>
      <c r="IVZ173" s="125"/>
      <c r="IWA173" s="125"/>
      <c r="IWB173" s="125"/>
      <c r="IWC173" s="125"/>
      <c r="IWD173" s="125"/>
      <c r="IWE173" s="125"/>
      <c r="IWF173" s="125"/>
      <c r="IWG173" s="125"/>
      <c r="IWH173" s="125"/>
      <c r="IWI173" s="125"/>
      <c r="IWJ173" s="125"/>
      <c r="IWK173" s="125"/>
      <c r="IWL173" s="125"/>
      <c r="IWM173" s="125"/>
      <c r="IWN173" s="125"/>
      <c r="IWO173" s="125"/>
      <c r="IWP173" s="125"/>
      <c r="IWQ173" s="125"/>
      <c r="IWR173" s="125"/>
      <c r="IWS173" s="125"/>
      <c r="IWT173" s="125"/>
      <c r="IWU173" s="125"/>
      <c r="IWV173" s="125"/>
      <c r="IWW173" s="125"/>
      <c r="IWX173" s="125"/>
      <c r="IWY173" s="125"/>
      <c r="IWZ173" s="125"/>
      <c r="IXA173" s="125"/>
      <c r="IXB173" s="125"/>
      <c r="IXC173" s="125"/>
      <c r="IXD173" s="125"/>
      <c r="IXE173" s="125"/>
      <c r="IXF173" s="125"/>
      <c r="IXG173" s="125"/>
      <c r="IXH173" s="125"/>
      <c r="IXI173" s="125"/>
      <c r="IXJ173" s="125"/>
      <c r="IXK173" s="125"/>
      <c r="IXL173" s="125"/>
      <c r="IXM173" s="125"/>
      <c r="IXN173" s="125"/>
      <c r="IXO173" s="125"/>
      <c r="IXP173" s="125"/>
      <c r="IXQ173" s="125"/>
      <c r="IXR173" s="125"/>
      <c r="IXS173" s="125"/>
      <c r="IXT173" s="125"/>
      <c r="IXU173" s="125"/>
      <c r="IXV173" s="125"/>
      <c r="IXW173" s="125"/>
      <c r="IXX173" s="125"/>
      <c r="IXY173" s="125"/>
      <c r="IXZ173" s="125"/>
      <c r="IYA173" s="125"/>
      <c r="IYB173" s="125"/>
      <c r="IYC173" s="125"/>
      <c r="IYD173" s="125"/>
      <c r="IYE173" s="125"/>
      <c r="IYF173" s="125"/>
      <c r="IYG173" s="125"/>
      <c r="IYH173" s="125"/>
      <c r="IYI173" s="125"/>
      <c r="IYJ173" s="125"/>
      <c r="IYK173" s="125"/>
      <c r="IYL173" s="125"/>
      <c r="IYM173" s="125"/>
      <c r="IYN173" s="125"/>
      <c r="IYO173" s="125"/>
      <c r="IYP173" s="125"/>
      <c r="IYQ173" s="125"/>
      <c r="IYR173" s="125"/>
      <c r="IYS173" s="125"/>
      <c r="IYT173" s="125"/>
      <c r="IYU173" s="125"/>
      <c r="IYV173" s="125"/>
      <c r="IYW173" s="125"/>
      <c r="IYX173" s="125"/>
      <c r="IYY173" s="125"/>
      <c r="IYZ173" s="125"/>
      <c r="IZA173" s="125"/>
      <c r="IZB173" s="125"/>
      <c r="IZC173" s="125"/>
      <c r="IZD173" s="125"/>
      <c r="IZE173" s="125"/>
      <c r="IZF173" s="125"/>
      <c r="IZG173" s="125"/>
      <c r="IZH173" s="125"/>
      <c r="IZI173" s="125"/>
      <c r="IZJ173" s="125"/>
      <c r="IZK173" s="125"/>
      <c r="IZL173" s="125"/>
      <c r="IZM173" s="125"/>
      <c r="IZN173" s="125"/>
      <c r="IZO173" s="125"/>
      <c r="IZP173" s="125"/>
      <c r="IZQ173" s="125"/>
      <c r="IZR173" s="125"/>
      <c r="IZS173" s="125"/>
      <c r="IZT173" s="125"/>
      <c r="IZU173" s="125"/>
      <c r="IZV173" s="125"/>
      <c r="IZW173" s="125"/>
      <c r="IZX173" s="125"/>
      <c r="IZY173" s="125"/>
      <c r="IZZ173" s="125"/>
      <c r="JAA173" s="125"/>
      <c r="JAB173" s="125"/>
      <c r="JAC173" s="125"/>
      <c r="JAD173" s="125"/>
      <c r="JAE173" s="125"/>
      <c r="JAF173" s="125"/>
      <c r="JAG173" s="125"/>
      <c r="JAH173" s="125"/>
      <c r="JAI173" s="125"/>
      <c r="JAJ173" s="125"/>
      <c r="JAK173" s="125"/>
      <c r="JAL173" s="125"/>
      <c r="JAM173" s="125"/>
      <c r="JAN173" s="125"/>
      <c r="JAO173" s="125"/>
      <c r="JAP173" s="125"/>
      <c r="JAQ173" s="125"/>
      <c r="JAR173" s="125"/>
      <c r="JAS173" s="125"/>
      <c r="JAT173" s="125"/>
      <c r="JAU173" s="125"/>
      <c r="JAV173" s="125"/>
      <c r="JAW173" s="125"/>
      <c r="JAX173" s="125"/>
      <c r="JAY173" s="125"/>
      <c r="JAZ173" s="125"/>
      <c r="JBA173" s="125"/>
      <c r="JBB173" s="125"/>
      <c r="JBC173" s="125"/>
      <c r="JBD173" s="125"/>
      <c r="JBE173" s="125"/>
      <c r="JBF173" s="125"/>
      <c r="JBG173" s="125"/>
      <c r="JBH173" s="125"/>
      <c r="JBI173" s="125"/>
      <c r="JBJ173" s="125"/>
      <c r="JBK173" s="125"/>
      <c r="JBL173" s="125"/>
      <c r="JBM173" s="125"/>
      <c r="JBN173" s="125"/>
      <c r="JBO173" s="125"/>
      <c r="JBP173" s="125"/>
      <c r="JBQ173" s="125"/>
      <c r="JBR173" s="125"/>
      <c r="JBS173" s="125"/>
      <c r="JBT173" s="125"/>
      <c r="JBU173" s="125"/>
      <c r="JBV173" s="125"/>
      <c r="JBW173" s="125"/>
      <c r="JBX173" s="125"/>
      <c r="JBY173" s="125"/>
      <c r="JBZ173" s="125"/>
      <c r="JCA173" s="125"/>
      <c r="JCB173" s="125"/>
      <c r="JCC173" s="125"/>
      <c r="JCD173" s="125"/>
      <c r="JCE173" s="125"/>
      <c r="JCF173" s="125"/>
      <c r="JCG173" s="125"/>
      <c r="JCH173" s="125"/>
      <c r="JCI173" s="125"/>
      <c r="JCJ173" s="125"/>
      <c r="JCK173" s="125"/>
      <c r="JCL173" s="125"/>
      <c r="JCM173" s="125"/>
      <c r="JCN173" s="125"/>
      <c r="JCO173" s="125"/>
      <c r="JCP173" s="125"/>
      <c r="JCQ173" s="125"/>
      <c r="JCR173" s="125"/>
      <c r="JCS173" s="125"/>
      <c r="JCT173" s="125"/>
      <c r="JCU173" s="125"/>
      <c r="JCV173" s="125"/>
      <c r="JCW173" s="125"/>
      <c r="JCX173" s="125"/>
      <c r="JCY173" s="125"/>
      <c r="JCZ173" s="125"/>
      <c r="JDA173" s="125"/>
      <c r="JDB173" s="125"/>
      <c r="JDC173" s="125"/>
      <c r="JDD173" s="125"/>
      <c r="JDE173" s="125"/>
      <c r="JDF173" s="125"/>
      <c r="JDG173" s="125"/>
      <c r="JDH173" s="125"/>
      <c r="JDI173" s="125"/>
      <c r="JDJ173" s="125"/>
      <c r="JDK173" s="125"/>
      <c r="JDL173" s="125"/>
      <c r="JDM173" s="125"/>
      <c r="JDN173" s="125"/>
      <c r="JDO173" s="125"/>
      <c r="JDP173" s="125"/>
      <c r="JDQ173" s="125"/>
      <c r="JDR173" s="125"/>
      <c r="JDS173" s="125"/>
      <c r="JDT173" s="125"/>
      <c r="JDU173" s="125"/>
      <c r="JDV173" s="125"/>
      <c r="JDW173" s="125"/>
      <c r="JDX173" s="125"/>
      <c r="JDY173" s="125"/>
      <c r="JDZ173" s="125"/>
      <c r="JEA173" s="125"/>
      <c r="JEB173" s="125"/>
      <c r="JEC173" s="125"/>
      <c r="JED173" s="125"/>
      <c r="JEE173" s="125"/>
      <c r="JEF173" s="125"/>
      <c r="JEG173" s="125"/>
      <c r="JEH173" s="125"/>
      <c r="JEI173" s="125"/>
      <c r="JEJ173" s="125"/>
      <c r="JEK173" s="125"/>
      <c r="JEL173" s="125"/>
      <c r="JEM173" s="125"/>
      <c r="JEN173" s="125"/>
      <c r="JEO173" s="125"/>
      <c r="JEP173" s="125"/>
      <c r="JEQ173" s="125"/>
      <c r="JER173" s="125"/>
      <c r="JES173" s="125"/>
      <c r="JET173" s="125"/>
      <c r="JEU173" s="125"/>
      <c r="JEV173" s="125"/>
      <c r="JEW173" s="125"/>
      <c r="JEX173" s="125"/>
      <c r="JEY173" s="125"/>
      <c r="JEZ173" s="125"/>
      <c r="JFA173" s="125"/>
      <c r="JFB173" s="125"/>
      <c r="JFC173" s="125"/>
      <c r="JFD173" s="125"/>
      <c r="JFE173" s="125"/>
      <c r="JFF173" s="125"/>
      <c r="JFG173" s="125"/>
      <c r="JFH173" s="125"/>
      <c r="JFI173" s="125"/>
      <c r="JFJ173" s="125"/>
      <c r="JFK173" s="125"/>
      <c r="JFL173" s="125"/>
      <c r="JFM173" s="125"/>
      <c r="JFN173" s="125"/>
      <c r="JFO173" s="125"/>
      <c r="JFP173" s="125"/>
      <c r="JFQ173" s="125"/>
      <c r="JFR173" s="125"/>
      <c r="JFS173" s="125"/>
      <c r="JFT173" s="125"/>
      <c r="JFU173" s="125"/>
      <c r="JFV173" s="125"/>
      <c r="JFW173" s="125"/>
      <c r="JFX173" s="125"/>
      <c r="JFY173" s="125"/>
      <c r="JFZ173" s="125"/>
      <c r="JGA173" s="125"/>
      <c r="JGB173" s="125"/>
      <c r="JGC173" s="125"/>
      <c r="JGD173" s="125"/>
      <c r="JGE173" s="125"/>
      <c r="JGF173" s="125"/>
      <c r="JGG173" s="125"/>
      <c r="JGH173" s="125"/>
      <c r="JGI173" s="125"/>
      <c r="JGJ173" s="125"/>
      <c r="JGK173" s="125"/>
      <c r="JGL173" s="125"/>
      <c r="JGM173" s="125"/>
      <c r="JGN173" s="125"/>
      <c r="JGO173" s="125"/>
      <c r="JGP173" s="125"/>
      <c r="JGQ173" s="125"/>
      <c r="JGR173" s="125"/>
      <c r="JGS173" s="125"/>
      <c r="JGT173" s="125"/>
      <c r="JGU173" s="125"/>
      <c r="JGV173" s="125"/>
      <c r="JGW173" s="125"/>
      <c r="JGX173" s="125"/>
      <c r="JGY173" s="125"/>
      <c r="JGZ173" s="125"/>
      <c r="JHA173" s="125"/>
      <c r="JHB173" s="125"/>
      <c r="JHC173" s="125"/>
      <c r="JHD173" s="125"/>
      <c r="JHE173" s="125"/>
      <c r="JHF173" s="125"/>
      <c r="JHG173" s="125"/>
      <c r="JHH173" s="125"/>
      <c r="JHI173" s="125"/>
      <c r="JHJ173" s="125"/>
      <c r="JHK173" s="125"/>
      <c r="JHL173" s="125"/>
      <c r="JHM173" s="125"/>
      <c r="JHN173" s="125"/>
      <c r="JHO173" s="125"/>
      <c r="JHP173" s="125"/>
      <c r="JHQ173" s="125"/>
      <c r="JHR173" s="125"/>
      <c r="JHS173" s="125"/>
      <c r="JHT173" s="125"/>
      <c r="JHU173" s="125"/>
      <c r="JHV173" s="125"/>
      <c r="JHW173" s="125"/>
      <c r="JHX173" s="125"/>
      <c r="JHY173" s="125"/>
      <c r="JHZ173" s="125"/>
      <c r="JIA173" s="125"/>
      <c r="JIB173" s="125"/>
      <c r="JIC173" s="125"/>
      <c r="JID173" s="125"/>
      <c r="JIE173" s="125"/>
      <c r="JIF173" s="125"/>
      <c r="JIG173" s="125"/>
      <c r="JIH173" s="125"/>
      <c r="JII173" s="125"/>
      <c r="JIJ173" s="125"/>
      <c r="JIK173" s="125"/>
      <c r="JIL173" s="125"/>
      <c r="JIM173" s="125"/>
      <c r="JIN173" s="125"/>
      <c r="JIO173" s="125"/>
      <c r="JIP173" s="125"/>
      <c r="JIQ173" s="125"/>
      <c r="JIR173" s="125"/>
      <c r="JIS173" s="125"/>
      <c r="JIT173" s="125"/>
      <c r="JIU173" s="125"/>
      <c r="JIV173" s="125"/>
      <c r="JIW173" s="125"/>
      <c r="JIX173" s="125"/>
      <c r="JIY173" s="125"/>
      <c r="JIZ173" s="125"/>
      <c r="JJA173" s="125"/>
      <c r="JJB173" s="125"/>
      <c r="JJC173" s="125"/>
      <c r="JJD173" s="125"/>
      <c r="JJE173" s="125"/>
      <c r="JJF173" s="125"/>
      <c r="JJG173" s="125"/>
      <c r="JJH173" s="125"/>
      <c r="JJI173" s="125"/>
      <c r="JJJ173" s="125"/>
      <c r="JJK173" s="125"/>
      <c r="JJL173" s="125"/>
      <c r="JJM173" s="125"/>
      <c r="JJN173" s="125"/>
      <c r="JJO173" s="125"/>
      <c r="JJP173" s="125"/>
      <c r="JJQ173" s="125"/>
      <c r="JJR173" s="125"/>
      <c r="JJS173" s="125"/>
      <c r="JJT173" s="125"/>
      <c r="JJU173" s="125"/>
      <c r="JJV173" s="125"/>
      <c r="JJW173" s="125"/>
      <c r="JJX173" s="125"/>
      <c r="JJY173" s="125"/>
      <c r="JJZ173" s="125"/>
      <c r="JKA173" s="125"/>
      <c r="JKB173" s="125"/>
      <c r="JKC173" s="125"/>
      <c r="JKD173" s="125"/>
      <c r="JKE173" s="125"/>
      <c r="JKF173" s="125"/>
      <c r="JKG173" s="125"/>
      <c r="JKH173" s="125"/>
      <c r="JKI173" s="125"/>
      <c r="JKJ173" s="125"/>
      <c r="JKK173" s="125"/>
      <c r="JKL173" s="125"/>
      <c r="JKM173" s="125"/>
      <c r="JKN173" s="125"/>
      <c r="JKO173" s="125"/>
      <c r="JKP173" s="125"/>
      <c r="JKQ173" s="125"/>
      <c r="JKR173" s="125"/>
      <c r="JKS173" s="125"/>
      <c r="JKT173" s="125"/>
      <c r="JKU173" s="125"/>
      <c r="JKV173" s="125"/>
      <c r="JKW173" s="125"/>
      <c r="JKX173" s="125"/>
      <c r="JKY173" s="125"/>
      <c r="JKZ173" s="125"/>
      <c r="JLA173" s="125"/>
      <c r="JLB173" s="125"/>
      <c r="JLC173" s="125"/>
      <c r="JLD173" s="125"/>
      <c r="JLE173" s="125"/>
      <c r="JLF173" s="125"/>
      <c r="JLG173" s="125"/>
      <c r="JLH173" s="125"/>
      <c r="JLI173" s="125"/>
      <c r="JLJ173" s="125"/>
      <c r="JLK173" s="125"/>
      <c r="JLL173" s="125"/>
      <c r="JLM173" s="125"/>
      <c r="JLN173" s="125"/>
      <c r="JLO173" s="125"/>
      <c r="JLP173" s="125"/>
      <c r="JLQ173" s="125"/>
      <c r="JLR173" s="125"/>
      <c r="JLS173" s="125"/>
      <c r="JLT173" s="125"/>
      <c r="JLU173" s="125"/>
      <c r="JLV173" s="125"/>
      <c r="JLW173" s="125"/>
      <c r="JLX173" s="125"/>
      <c r="JLY173" s="125"/>
      <c r="JLZ173" s="125"/>
      <c r="JMA173" s="125"/>
      <c r="JMB173" s="125"/>
      <c r="JMC173" s="125"/>
      <c r="JMD173" s="125"/>
      <c r="JME173" s="125"/>
      <c r="JMF173" s="125"/>
      <c r="JMG173" s="125"/>
      <c r="JMH173" s="125"/>
      <c r="JMI173" s="125"/>
      <c r="JMJ173" s="125"/>
      <c r="JMK173" s="125"/>
      <c r="JML173" s="125"/>
      <c r="JMM173" s="125"/>
      <c r="JMN173" s="125"/>
      <c r="JMO173" s="125"/>
      <c r="JMP173" s="125"/>
      <c r="JMQ173" s="125"/>
      <c r="JMR173" s="125"/>
      <c r="JMS173" s="125"/>
      <c r="JMT173" s="125"/>
      <c r="JMU173" s="125"/>
      <c r="JMV173" s="125"/>
      <c r="JMW173" s="125"/>
      <c r="JMX173" s="125"/>
      <c r="JMY173" s="125"/>
      <c r="JMZ173" s="125"/>
      <c r="JNA173" s="125"/>
      <c r="JNB173" s="125"/>
      <c r="JNC173" s="125"/>
      <c r="JND173" s="125"/>
      <c r="JNE173" s="125"/>
      <c r="JNF173" s="125"/>
      <c r="JNG173" s="125"/>
      <c r="JNH173" s="125"/>
      <c r="JNI173" s="125"/>
      <c r="JNJ173" s="125"/>
      <c r="JNK173" s="125"/>
      <c r="JNL173" s="125"/>
      <c r="JNM173" s="125"/>
      <c r="JNN173" s="125"/>
      <c r="JNO173" s="125"/>
      <c r="JNP173" s="125"/>
      <c r="JNQ173" s="125"/>
      <c r="JNR173" s="125"/>
      <c r="JNS173" s="125"/>
      <c r="JNT173" s="125"/>
      <c r="JNU173" s="125"/>
      <c r="JNV173" s="125"/>
      <c r="JNW173" s="125"/>
      <c r="JNX173" s="125"/>
      <c r="JNY173" s="125"/>
      <c r="JNZ173" s="125"/>
      <c r="JOA173" s="125"/>
      <c r="JOB173" s="125"/>
      <c r="JOC173" s="125"/>
      <c r="JOD173" s="125"/>
      <c r="JOE173" s="125"/>
      <c r="JOF173" s="125"/>
      <c r="JOG173" s="125"/>
      <c r="JOH173" s="125"/>
      <c r="JOI173" s="125"/>
      <c r="JOJ173" s="125"/>
      <c r="JOK173" s="125"/>
      <c r="JOL173" s="125"/>
      <c r="JOM173" s="125"/>
      <c r="JON173" s="125"/>
      <c r="JOO173" s="125"/>
      <c r="JOP173" s="125"/>
      <c r="JOQ173" s="125"/>
      <c r="JOR173" s="125"/>
      <c r="JOS173" s="125"/>
      <c r="JOT173" s="125"/>
      <c r="JOU173" s="125"/>
      <c r="JOV173" s="125"/>
      <c r="JOW173" s="125"/>
      <c r="JOX173" s="125"/>
      <c r="JOY173" s="125"/>
      <c r="JOZ173" s="125"/>
      <c r="JPA173" s="125"/>
      <c r="JPB173" s="125"/>
      <c r="JPC173" s="125"/>
      <c r="JPD173" s="125"/>
      <c r="JPE173" s="125"/>
      <c r="JPF173" s="125"/>
      <c r="JPG173" s="125"/>
      <c r="JPH173" s="125"/>
      <c r="JPI173" s="125"/>
      <c r="JPJ173" s="125"/>
      <c r="JPK173" s="125"/>
      <c r="JPL173" s="125"/>
      <c r="JPM173" s="125"/>
      <c r="JPN173" s="125"/>
      <c r="JPO173" s="125"/>
      <c r="JPP173" s="125"/>
      <c r="JPQ173" s="125"/>
      <c r="JPR173" s="125"/>
      <c r="JPS173" s="125"/>
      <c r="JPT173" s="125"/>
      <c r="JPU173" s="125"/>
      <c r="JPV173" s="125"/>
      <c r="JPW173" s="125"/>
      <c r="JPX173" s="125"/>
      <c r="JPY173" s="125"/>
      <c r="JPZ173" s="125"/>
      <c r="JQA173" s="125"/>
      <c r="JQB173" s="125"/>
      <c r="JQC173" s="125"/>
      <c r="JQD173" s="125"/>
      <c r="JQE173" s="125"/>
      <c r="JQF173" s="125"/>
      <c r="JQG173" s="125"/>
      <c r="JQH173" s="125"/>
      <c r="JQI173" s="125"/>
      <c r="JQJ173" s="125"/>
      <c r="JQK173" s="125"/>
      <c r="JQL173" s="125"/>
      <c r="JQM173" s="125"/>
      <c r="JQN173" s="125"/>
      <c r="JQO173" s="125"/>
      <c r="JQP173" s="125"/>
      <c r="JQQ173" s="125"/>
      <c r="JQR173" s="125"/>
      <c r="JQS173" s="125"/>
      <c r="JQT173" s="125"/>
      <c r="JQU173" s="125"/>
      <c r="JQV173" s="125"/>
      <c r="JQW173" s="125"/>
      <c r="JQX173" s="125"/>
      <c r="JQY173" s="125"/>
      <c r="JQZ173" s="125"/>
      <c r="JRA173" s="125"/>
      <c r="JRB173" s="125"/>
      <c r="JRC173" s="125"/>
      <c r="JRD173" s="125"/>
      <c r="JRE173" s="125"/>
      <c r="JRF173" s="125"/>
      <c r="JRG173" s="125"/>
      <c r="JRH173" s="125"/>
      <c r="JRI173" s="125"/>
      <c r="JRJ173" s="125"/>
      <c r="JRK173" s="125"/>
      <c r="JRL173" s="125"/>
      <c r="JRM173" s="125"/>
      <c r="JRN173" s="125"/>
      <c r="JRO173" s="125"/>
      <c r="JRP173" s="125"/>
      <c r="JRQ173" s="125"/>
      <c r="JRR173" s="125"/>
      <c r="JRS173" s="125"/>
      <c r="JRT173" s="125"/>
      <c r="JRU173" s="125"/>
      <c r="JRV173" s="125"/>
      <c r="JRW173" s="125"/>
      <c r="JRX173" s="125"/>
      <c r="JRY173" s="125"/>
      <c r="JRZ173" s="125"/>
      <c r="JSA173" s="125"/>
      <c r="JSB173" s="125"/>
      <c r="JSC173" s="125"/>
      <c r="JSD173" s="125"/>
      <c r="JSE173" s="125"/>
      <c r="JSF173" s="125"/>
      <c r="JSG173" s="125"/>
      <c r="JSH173" s="125"/>
      <c r="JSI173" s="125"/>
      <c r="JSJ173" s="125"/>
      <c r="JSK173" s="125"/>
      <c r="JSL173" s="125"/>
      <c r="JSM173" s="125"/>
      <c r="JSN173" s="125"/>
      <c r="JSO173" s="125"/>
      <c r="JSP173" s="125"/>
      <c r="JSQ173" s="125"/>
      <c r="JSR173" s="125"/>
      <c r="JSS173" s="125"/>
      <c r="JST173" s="125"/>
      <c r="JSU173" s="125"/>
      <c r="JSV173" s="125"/>
      <c r="JSW173" s="125"/>
      <c r="JSX173" s="125"/>
      <c r="JSY173" s="125"/>
      <c r="JSZ173" s="125"/>
      <c r="JTA173" s="125"/>
      <c r="JTB173" s="125"/>
      <c r="JTC173" s="125"/>
      <c r="JTD173" s="125"/>
      <c r="JTE173" s="125"/>
      <c r="JTF173" s="125"/>
      <c r="JTG173" s="125"/>
      <c r="JTH173" s="125"/>
      <c r="JTI173" s="125"/>
      <c r="JTJ173" s="125"/>
      <c r="JTK173" s="125"/>
      <c r="JTL173" s="125"/>
      <c r="JTM173" s="125"/>
      <c r="JTN173" s="125"/>
      <c r="JTO173" s="125"/>
      <c r="JTP173" s="125"/>
      <c r="JTQ173" s="125"/>
      <c r="JTR173" s="125"/>
      <c r="JTS173" s="125"/>
      <c r="JTT173" s="125"/>
      <c r="JTU173" s="125"/>
      <c r="JTV173" s="125"/>
      <c r="JTW173" s="125"/>
      <c r="JTX173" s="125"/>
      <c r="JTY173" s="125"/>
      <c r="JTZ173" s="125"/>
      <c r="JUA173" s="125"/>
      <c r="JUB173" s="125"/>
      <c r="JUC173" s="125"/>
      <c r="JUD173" s="125"/>
      <c r="JUE173" s="125"/>
      <c r="JUF173" s="125"/>
      <c r="JUG173" s="125"/>
      <c r="JUH173" s="125"/>
      <c r="JUI173" s="125"/>
      <c r="JUJ173" s="125"/>
      <c r="JUK173" s="125"/>
      <c r="JUL173" s="125"/>
      <c r="JUM173" s="125"/>
      <c r="JUN173" s="125"/>
      <c r="JUO173" s="125"/>
      <c r="JUP173" s="125"/>
      <c r="JUQ173" s="125"/>
      <c r="JUR173" s="125"/>
      <c r="JUS173" s="125"/>
      <c r="JUT173" s="125"/>
      <c r="JUU173" s="125"/>
      <c r="JUV173" s="125"/>
      <c r="JUW173" s="125"/>
      <c r="JUX173" s="125"/>
      <c r="JUY173" s="125"/>
      <c r="JUZ173" s="125"/>
      <c r="JVA173" s="125"/>
      <c r="JVB173" s="125"/>
      <c r="JVC173" s="125"/>
      <c r="JVD173" s="125"/>
      <c r="JVE173" s="125"/>
      <c r="JVF173" s="125"/>
      <c r="JVG173" s="125"/>
      <c r="JVH173" s="125"/>
      <c r="JVI173" s="125"/>
      <c r="JVJ173" s="125"/>
      <c r="JVK173" s="125"/>
      <c r="JVL173" s="125"/>
      <c r="JVM173" s="125"/>
      <c r="JVN173" s="125"/>
      <c r="JVO173" s="125"/>
      <c r="JVP173" s="125"/>
      <c r="JVQ173" s="125"/>
      <c r="JVR173" s="125"/>
      <c r="JVS173" s="125"/>
      <c r="JVT173" s="125"/>
      <c r="JVU173" s="125"/>
      <c r="JVV173" s="125"/>
      <c r="JVW173" s="125"/>
      <c r="JVX173" s="125"/>
      <c r="JVY173" s="125"/>
      <c r="JVZ173" s="125"/>
      <c r="JWA173" s="125"/>
      <c r="JWB173" s="125"/>
      <c r="JWC173" s="125"/>
      <c r="JWD173" s="125"/>
      <c r="JWE173" s="125"/>
      <c r="JWF173" s="125"/>
      <c r="JWG173" s="125"/>
      <c r="JWH173" s="125"/>
      <c r="JWI173" s="125"/>
      <c r="JWJ173" s="125"/>
      <c r="JWK173" s="125"/>
      <c r="JWL173" s="125"/>
      <c r="JWM173" s="125"/>
      <c r="JWN173" s="125"/>
      <c r="JWO173" s="125"/>
      <c r="JWP173" s="125"/>
      <c r="JWQ173" s="125"/>
      <c r="JWR173" s="125"/>
      <c r="JWS173" s="125"/>
      <c r="JWT173" s="125"/>
      <c r="JWU173" s="125"/>
      <c r="JWV173" s="125"/>
      <c r="JWW173" s="125"/>
      <c r="JWX173" s="125"/>
      <c r="JWY173" s="125"/>
      <c r="JWZ173" s="125"/>
      <c r="JXA173" s="125"/>
      <c r="JXB173" s="125"/>
      <c r="JXC173" s="125"/>
      <c r="JXD173" s="125"/>
      <c r="JXE173" s="125"/>
      <c r="JXF173" s="125"/>
      <c r="JXG173" s="125"/>
      <c r="JXH173" s="125"/>
      <c r="JXI173" s="125"/>
      <c r="JXJ173" s="125"/>
      <c r="JXK173" s="125"/>
      <c r="JXL173" s="125"/>
      <c r="JXM173" s="125"/>
      <c r="JXN173" s="125"/>
      <c r="JXO173" s="125"/>
      <c r="JXP173" s="125"/>
      <c r="JXQ173" s="125"/>
      <c r="JXR173" s="125"/>
      <c r="JXS173" s="125"/>
      <c r="JXT173" s="125"/>
      <c r="JXU173" s="125"/>
      <c r="JXV173" s="125"/>
      <c r="JXW173" s="125"/>
      <c r="JXX173" s="125"/>
      <c r="JXY173" s="125"/>
      <c r="JXZ173" s="125"/>
      <c r="JYA173" s="125"/>
      <c r="JYB173" s="125"/>
      <c r="JYC173" s="125"/>
      <c r="JYD173" s="125"/>
      <c r="JYE173" s="125"/>
      <c r="JYF173" s="125"/>
      <c r="JYG173" s="125"/>
      <c r="JYH173" s="125"/>
      <c r="JYI173" s="125"/>
      <c r="JYJ173" s="125"/>
      <c r="JYK173" s="125"/>
      <c r="JYL173" s="125"/>
      <c r="JYM173" s="125"/>
      <c r="JYN173" s="125"/>
      <c r="JYO173" s="125"/>
      <c r="JYP173" s="125"/>
      <c r="JYQ173" s="125"/>
      <c r="JYR173" s="125"/>
      <c r="JYS173" s="125"/>
      <c r="JYT173" s="125"/>
      <c r="JYU173" s="125"/>
      <c r="JYV173" s="125"/>
      <c r="JYW173" s="125"/>
      <c r="JYX173" s="125"/>
      <c r="JYY173" s="125"/>
      <c r="JYZ173" s="125"/>
      <c r="JZA173" s="125"/>
      <c r="JZB173" s="125"/>
      <c r="JZC173" s="125"/>
      <c r="JZD173" s="125"/>
      <c r="JZE173" s="125"/>
      <c r="JZF173" s="125"/>
      <c r="JZG173" s="125"/>
      <c r="JZH173" s="125"/>
      <c r="JZI173" s="125"/>
      <c r="JZJ173" s="125"/>
      <c r="JZK173" s="125"/>
      <c r="JZL173" s="125"/>
      <c r="JZM173" s="125"/>
      <c r="JZN173" s="125"/>
      <c r="JZO173" s="125"/>
      <c r="JZP173" s="125"/>
      <c r="JZQ173" s="125"/>
      <c r="JZR173" s="125"/>
      <c r="JZS173" s="125"/>
      <c r="JZT173" s="125"/>
      <c r="JZU173" s="125"/>
      <c r="JZV173" s="125"/>
      <c r="JZW173" s="125"/>
      <c r="JZX173" s="125"/>
      <c r="JZY173" s="125"/>
      <c r="JZZ173" s="125"/>
      <c r="KAA173" s="125"/>
      <c r="KAB173" s="125"/>
      <c r="KAC173" s="125"/>
      <c r="KAD173" s="125"/>
      <c r="KAE173" s="125"/>
      <c r="KAF173" s="125"/>
      <c r="KAG173" s="125"/>
      <c r="KAH173" s="125"/>
      <c r="KAI173" s="125"/>
      <c r="KAJ173" s="125"/>
      <c r="KAK173" s="125"/>
      <c r="KAL173" s="125"/>
      <c r="KAM173" s="125"/>
      <c r="KAN173" s="125"/>
      <c r="KAO173" s="125"/>
      <c r="KAP173" s="125"/>
      <c r="KAQ173" s="125"/>
      <c r="KAR173" s="125"/>
      <c r="KAS173" s="125"/>
      <c r="KAT173" s="125"/>
      <c r="KAU173" s="125"/>
      <c r="KAV173" s="125"/>
      <c r="KAW173" s="125"/>
      <c r="KAX173" s="125"/>
      <c r="KAY173" s="125"/>
      <c r="KAZ173" s="125"/>
      <c r="KBA173" s="125"/>
      <c r="KBB173" s="125"/>
      <c r="KBC173" s="125"/>
      <c r="KBD173" s="125"/>
      <c r="KBE173" s="125"/>
      <c r="KBF173" s="125"/>
      <c r="KBG173" s="125"/>
      <c r="KBH173" s="125"/>
      <c r="KBI173" s="125"/>
      <c r="KBJ173" s="125"/>
      <c r="KBK173" s="125"/>
      <c r="KBL173" s="125"/>
      <c r="KBM173" s="125"/>
      <c r="KBN173" s="125"/>
      <c r="KBO173" s="125"/>
      <c r="KBP173" s="125"/>
      <c r="KBQ173" s="125"/>
      <c r="KBR173" s="125"/>
      <c r="KBS173" s="125"/>
      <c r="KBT173" s="125"/>
      <c r="KBU173" s="125"/>
      <c r="KBV173" s="125"/>
      <c r="KBW173" s="125"/>
      <c r="KBX173" s="125"/>
      <c r="KBY173" s="125"/>
      <c r="KBZ173" s="125"/>
      <c r="KCA173" s="125"/>
      <c r="KCB173" s="125"/>
      <c r="KCC173" s="125"/>
      <c r="KCD173" s="125"/>
      <c r="KCE173" s="125"/>
      <c r="KCF173" s="125"/>
      <c r="KCG173" s="125"/>
      <c r="KCH173" s="125"/>
      <c r="KCI173" s="125"/>
      <c r="KCJ173" s="125"/>
      <c r="KCK173" s="125"/>
      <c r="KCL173" s="125"/>
      <c r="KCM173" s="125"/>
      <c r="KCN173" s="125"/>
      <c r="KCO173" s="125"/>
      <c r="KCP173" s="125"/>
      <c r="KCQ173" s="125"/>
      <c r="KCR173" s="125"/>
      <c r="KCS173" s="125"/>
      <c r="KCT173" s="125"/>
      <c r="KCU173" s="125"/>
      <c r="KCV173" s="125"/>
      <c r="KCW173" s="125"/>
      <c r="KCX173" s="125"/>
      <c r="KCY173" s="125"/>
      <c r="KCZ173" s="125"/>
      <c r="KDA173" s="125"/>
      <c r="KDB173" s="125"/>
      <c r="KDC173" s="125"/>
      <c r="KDD173" s="125"/>
      <c r="KDE173" s="125"/>
      <c r="KDF173" s="125"/>
      <c r="KDG173" s="125"/>
      <c r="KDH173" s="125"/>
      <c r="KDI173" s="125"/>
      <c r="KDJ173" s="125"/>
      <c r="KDK173" s="125"/>
      <c r="KDL173" s="125"/>
      <c r="KDM173" s="125"/>
      <c r="KDN173" s="125"/>
      <c r="KDO173" s="125"/>
      <c r="KDP173" s="125"/>
      <c r="KDQ173" s="125"/>
      <c r="KDR173" s="125"/>
      <c r="KDS173" s="125"/>
      <c r="KDT173" s="125"/>
      <c r="KDU173" s="125"/>
      <c r="KDV173" s="125"/>
      <c r="KDW173" s="125"/>
      <c r="KDX173" s="125"/>
      <c r="KDY173" s="125"/>
      <c r="KDZ173" s="125"/>
      <c r="KEA173" s="125"/>
      <c r="KEB173" s="125"/>
      <c r="KEC173" s="125"/>
      <c r="KED173" s="125"/>
      <c r="KEE173" s="125"/>
      <c r="KEF173" s="125"/>
      <c r="KEG173" s="125"/>
      <c r="KEH173" s="125"/>
      <c r="KEI173" s="125"/>
      <c r="KEJ173" s="125"/>
      <c r="KEK173" s="125"/>
      <c r="KEL173" s="125"/>
      <c r="KEM173" s="125"/>
      <c r="KEN173" s="125"/>
      <c r="KEO173" s="125"/>
      <c r="KEP173" s="125"/>
      <c r="KEQ173" s="125"/>
      <c r="KER173" s="125"/>
      <c r="KES173" s="125"/>
      <c r="KET173" s="125"/>
      <c r="KEU173" s="125"/>
      <c r="KEV173" s="125"/>
      <c r="KEW173" s="125"/>
      <c r="KEX173" s="125"/>
      <c r="KEY173" s="125"/>
      <c r="KEZ173" s="125"/>
      <c r="KFA173" s="125"/>
      <c r="KFB173" s="125"/>
      <c r="KFC173" s="125"/>
      <c r="KFD173" s="125"/>
      <c r="KFE173" s="125"/>
      <c r="KFF173" s="125"/>
      <c r="KFG173" s="125"/>
      <c r="KFH173" s="125"/>
      <c r="KFI173" s="125"/>
      <c r="KFJ173" s="125"/>
      <c r="KFK173" s="125"/>
      <c r="KFL173" s="125"/>
      <c r="KFM173" s="125"/>
      <c r="KFN173" s="125"/>
      <c r="KFO173" s="125"/>
      <c r="KFP173" s="125"/>
      <c r="KFQ173" s="125"/>
      <c r="KFR173" s="125"/>
      <c r="KFS173" s="125"/>
      <c r="KFT173" s="125"/>
      <c r="KFU173" s="125"/>
      <c r="KFV173" s="125"/>
      <c r="KFW173" s="125"/>
      <c r="KFX173" s="125"/>
      <c r="KFY173" s="125"/>
      <c r="KFZ173" s="125"/>
      <c r="KGA173" s="125"/>
      <c r="KGB173" s="125"/>
      <c r="KGC173" s="125"/>
      <c r="KGD173" s="125"/>
      <c r="KGE173" s="125"/>
      <c r="KGF173" s="125"/>
      <c r="KGG173" s="125"/>
      <c r="KGH173" s="125"/>
      <c r="KGI173" s="125"/>
      <c r="KGJ173" s="125"/>
      <c r="KGK173" s="125"/>
      <c r="KGL173" s="125"/>
      <c r="KGM173" s="125"/>
      <c r="KGN173" s="125"/>
      <c r="KGO173" s="125"/>
      <c r="KGP173" s="125"/>
      <c r="KGQ173" s="125"/>
      <c r="KGR173" s="125"/>
      <c r="KGS173" s="125"/>
      <c r="KGT173" s="125"/>
      <c r="KGU173" s="125"/>
      <c r="KGV173" s="125"/>
      <c r="KGW173" s="125"/>
      <c r="KGX173" s="125"/>
      <c r="KGY173" s="125"/>
      <c r="KGZ173" s="125"/>
      <c r="KHA173" s="125"/>
      <c r="KHB173" s="125"/>
      <c r="KHC173" s="125"/>
      <c r="KHD173" s="125"/>
      <c r="KHE173" s="125"/>
      <c r="KHF173" s="125"/>
      <c r="KHG173" s="125"/>
      <c r="KHH173" s="125"/>
      <c r="KHI173" s="125"/>
      <c r="KHJ173" s="125"/>
      <c r="KHK173" s="125"/>
      <c r="KHL173" s="125"/>
      <c r="KHM173" s="125"/>
      <c r="KHN173" s="125"/>
      <c r="KHO173" s="125"/>
      <c r="KHP173" s="125"/>
      <c r="KHQ173" s="125"/>
      <c r="KHR173" s="125"/>
      <c r="KHS173" s="125"/>
      <c r="KHT173" s="125"/>
      <c r="KHU173" s="125"/>
      <c r="KHV173" s="125"/>
      <c r="KHW173" s="125"/>
      <c r="KHX173" s="125"/>
      <c r="KHY173" s="125"/>
      <c r="KHZ173" s="125"/>
      <c r="KIA173" s="125"/>
      <c r="KIB173" s="125"/>
      <c r="KIC173" s="125"/>
      <c r="KID173" s="125"/>
      <c r="KIE173" s="125"/>
      <c r="KIF173" s="125"/>
      <c r="KIG173" s="125"/>
      <c r="KIH173" s="125"/>
      <c r="KII173" s="125"/>
      <c r="KIJ173" s="125"/>
      <c r="KIK173" s="125"/>
      <c r="KIL173" s="125"/>
      <c r="KIM173" s="125"/>
      <c r="KIN173" s="125"/>
      <c r="KIO173" s="125"/>
      <c r="KIP173" s="125"/>
      <c r="KIQ173" s="125"/>
      <c r="KIR173" s="125"/>
      <c r="KIS173" s="125"/>
      <c r="KIT173" s="125"/>
      <c r="KIU173" s="125"/>
      <c r="KIV173" s="125"/>
      <c r="KIW173" s="125"/>
      <c r="KIX173" s="125"/>
      <c r="KIY173" s="125"/>
      <c r="KIZ173" s="125"/>
      <c r="KJA173" s="125"/>
      <c r="KJB173" s="125"/>
      <c r="KJC173" s="125"/>
      <c r="KJD173" s="125"/>
      <c r="KJE173" s="125"/>
      <c r="KJF173" s="125"/>
      <c r="KJG173" s="125"/>
      <c r="KJH173" s="125"/>
      <c r="KJI173" s="125"/>
      <c r="KJJ173" s="125"/>
      <c r="KJK173" s="125"/>
      <c r="KJL173" s="125"/>
      <c r="KJM173" s="125"/>
      <c r="KJN173" s="125"/>
      <c r="KJO173" s="125"/>
      <c r="KJP173" s="125"/>
      <c r="KJQ173" s="125"/>
      <c r="KJR173" s="125"/>
      <c r="KJS173" s="125"/>
      <c r="KJT173" s="125"/>
      <c r="KJU173" s="125"/>
      <c r="KJV173" s="125"/>
      <c r="KJW173" s="125"/>
      <c r="KJX173" s="125"/>
      <c r="KJY173" s="125"/>
      <c r="KJZ173" s="125"/>
      <c r="KKA173" s="125"/>
      <c r="KKB173" s="125"/>
      <c r="KKC173" s="125"/>
      <c r="KKD173" s="125"/>
      <c r="KKE173" s="125"/>
      <c r="KKF173" s="125"/>
      <c r="KKG173" s="125"/>
      <c r="KKH173" s="125"/>
      <c r="KKI173" s="125"/>
      <c r="KKJ173" s="125"/>
      <c r="KKK173" s="125"/>
      <c r="KKL173" s="125"/>
      <c r="KKM173" s="125"/>
      <c r="KKN173" s="125"/>
      <c r="KKO173" s="125"/>
      <c r="KKP173" s="125"/>
      <c r="KKQ173" s="125"/>
      <c r="KKR173" s="125"/>
      <c r="KKS173" s="125"/>
      <c r="KKT173" s="125"/>
      <c r="KKU173" s="125"/>
      <c r="KKV173" s="125"/>
      <c r="KKW173" s="125"/>
      <c r="KKX173" s="125"/>
      <c r="KKY173" s="125"/>
      <c r="KKZ173" s="125"/>
      <c r="KLA173" s="125"/>
      <c r="KLB173" s="125"/>
      <c r="KLC173" s="125"/>
      <c r="KLD173" s="125"/>
      <c r="KLE173" s="125"/>
      <c r="KLF173" s="125"/>
      <c r="KLG173" s="125"/>
      <c r="KLH173" s="125"/>
      <c r="KLI173" s="125"/>
      <c r="KLJ173" s="125"/>
      <c r="KLK173" s="125"/>
      <c r="KLL173" s="125"/>
      <c r="KLM173" s="125"/>
      <c r="KLN173" s="125"/>
      <c r="KLO173" s="125"/>
      <c r="KLP173" s="125"/>
      <c r="KLQ173" s="125"/>
      <c r="KLR173" s="125"/>
      <c r="KLS173" s="125"/>
      <c r="KLT173" s="125"/>
      <c r="KLU173" s="125"/>
      <c r="KLV173" s="125"/>
      <c r="KLW173" s="125"/>
      <c r="KLX173" s="125"/>
      <c r="KLY173" s="125"/>
      <c r="KLZ173" s="125"/>
      <c r="KMA173" s="125"/>
      <c r="KMB173" s="125"/>
      <c r="KMC173" s="125"/>
      <c r="KMD173" s="125"/>
      <c r="KME173" s="125"/>
      <c r="KMF173" s="125"/>
      <c r="KMG173" s="125"/>
      <c r="KMH173" s="125"/>
      <c r="KMI173" s="125"/>
      <c r="KMJ173" s="125"/>
      <c r="KMK173" s="125"/>
      <c r="KML173" s="125"/>
      <c r="KMM173" s="125"/>
      <c r="KMN173" s="125"/>
      <c r="KMO173" s="125"/>
      <c r="KMP173" s="125"/>
      <c r="KMQ173" s="125"/>
      <c r="KMR173" s="125"/>
      <c r="KMS173" s="125"/>
      <c r="KMT173" s="125"/>
      <c r="KMU173" s="125"/>
      <c r="KMV173" s="125"/>
      <c r="KMW173" s="125"/>
      <c r="KMX173" s="125"/>
      <c r="KMY173" s="125"/>
      <c r="KMZ173" s="125"/>
      <c r="KNA173" s="125"/>
      <c r="KNB173" s="125"/>
      <c r="KNC173" s="125"/>
      <c r="KND173" s="125"/>
      <c r="KNE173" s="125"/>
      <c r="KNF173" s="125"/>
      <c r="KNG173" s="125"/>
      <c r="KNH173" s="125"/>
      <c r="KNI173" s="125"/>
      <c r="KNJ173" s="125"/>
      <c r="KNK173" s="125"/>
      <c r="KNL173" s="125"/>
      <c r="KNM173" s="125"/>
      <c r="KNN173" s="125"/>
      <c r="KNO173" s="125"/>
      <c r="KNP173" s="125"/>
      <c r="KNQ173" s="125"/>
      <c r="KNR173" s="125"/>
      <c r="KNS173" s="125"/>
      <c r="KNT173" s="125"/>
      <c r="KNU173" s="125"/>
      <c r="KNV173" s="125"/>
      <c r="KNW173" s="125"/>
      <c r="KNX173" s="125"/>
      <c r="KNY173" s="125"/>
      <c r="KNZ173" s="125"/>
      <c r="KOA173" s="125"/>
      <c r="KOB173" s="125"/>
      <c r="KOC173" s="125"/>
      <c r="KOD173" s="125"/>
      <c r="KOE173" s="125"/>
      <c r="KOF173" s="125"/>
      <c r="KOG173" s="125"/>
      <c r="KOH173" s="125"/>
      <c r="KOI173" s="125"/>
      <c r="KOJ173" s="125"/>
      <c r="KOK173" s="125"/>
      <c r="KOL173" s="125"/>
      <c r="KOM173" s="125"/>
      <c r="KON173" s="125"/>
      <c r="KOO173" s="125"/>
      <c r="KOP173" s="125"/>
      <c r="KOQ173" s="125"/>
      <c r="KOR173" s="125"/>
      <c r="KOS173" s="125"/>
      <c r="KOT173" s="125"/>
      <c r="KOU173" s="125"/>
      <c r="KOV173" s="125"/>
      <c r="KOW173" s="125"/>
      <c r="KOX173" s="125"/>
      <c r="KOY173" s="125"/>
      <c r="KOZ173" s="125"/>
      <c r="KPA173" s="125"/>
      <c r="KPB173" s="125"/>
      <c r="KPC173" s="125"/>
      <c r="KPD173" s="125"/>
      <c r="KPE173" s="125"/>
      <c r="KPF173" s="125"/>
      <c r="KPG173" s="125"/>
      <c r="KPH173" s="125"/>
      <c r="KPI173" s="125"/>
      <c r="KPJ173" s="125"/>
      <c r="KPK173" s="125"/>
      <c r="KPL173" s="125"/>
      <c r="KPM173" s="125"/>
      <c r="KPN173" s="125"/>
      <c r="KPO173" s="125"/>
      <c r="KPP173" s="125"/>
      <c r="KPQ173" s="125"/>
      <c r="KPR173" s="125"/>
      <c r="KPS173" s="125"/>
      <c r="KPT173" s="125"/>
      <c r="KPU173" s="125"/>
      <c r="KPV173" s="125"/>
      <c r="KPW173" s="125"/>
      <c r="KPX173" s="125"/>
      <c r="KPY173" s="125"/>
      <c r="KPZ173" s="125"/>
      <c r="KQA173" s="125"/>
      <c r="KQB173" s="125"/>
      <c r="KQC173" s="125"/>
      <c r="KQD173" s="125"/>
      <c r="KQE173" s="125"/>
      <c r="KQF173" s="125"/>
      <c r="KQG173" s="125"/>
      <c r="KQH173" s="125"/>
      <c r="KQI173" s="125"/>
      <c r="KQJ173" s="125"/>
      <c r="KQK173" s="125"/>
      <c r="KQL173" s="125"/>
      <c r="KQM173" s="125"/>
      <c r="KQN173" s="125"/>
      <c r="KQO173" s="125"/>
      <c r="KQP173" s="125"/>
      <c r="KQQ173" s="125"/>
      <c r="KQR173" s="125"/>
      <c r="KQS173" s="125"/>
      <c r="KQT173" s="125"/>
      <c r="KQU173" s="125"/>
      <c r="KQV173" s="125"/>
      <c r="KQW173" s="125"/>
      <c r="KQX173" s="125"/>
      <c r="KQY173" s="125"/>
      <c r="KQZ173" s="125"/>
      <c r="KRA173" s="125"/>
      <c r="KRB173" s="125"/>
      <c r="KRC173" s="125"/>
      <c r="KRD173" s="125"/>
      <c r="KRE173" s="125"/>
      <c r="KRF173" s="125"/>
      <c r="KRG173" s="125"/>
      <c r="KRH173" s="125"/>
      <c r="KRI173" s="125"/>
      <c r="KRJ173" s="125"/>
      <c r="KRK173" s="125"/>
      <c r="KRL173" s="125"/>
      <c r="KRM173" s="125"/>
      <c r="KRN173" s="125"/>
      <c r="KRO173" s="125"/>
      <c r="KRP173" s="125"/>
      <c r="KRQ173" s="125"/>
      <c r="KRR173" s="125"/>
      <c r="KRS173" s="125"/>
      <c r="KRT173" s="125"/>
      <c r="KRU173" s="125"/>
      <c r="KRV173" s="125"/>
      <c r="KRW173" s="125"/>
      <c r="KRX173" s="125"/>
      <c r="KRY173" s="125"/>
      <c r="KRZ173" s="125"/>
      <c r="KSA173" s="125"/>
      <c r="KSB173" s="125"/>
      <c r="KSC173" s="125"/>
      <c r="KSD173" s="125"/>
      <c r="KSE173" s="125"/>
      <c r="KSF173" s="125"/>
      <c r="KSG173" s="125"/>
      <c r="KSH173" s="125"/>
      <c r="KSI173" s="125"/>
      <c r="KSJ173" s="125"/>
      <c r="KSK173" s="125"/>
      <c r="KSL173" s="125"/>
      <c r="KSM173" s="125"/>
      <c r="KSN173" s="125"/>
      <c r="KSO173" s="125"/>
      <c r="KSP173" s="125"/>
      <c r="KSQ173" s="125"/>
      <c r="KSR173" s="125"/>
      <c r="KSS173" s="125"/>
      <c r="KST173" s="125"/>
      <c r="KSU173" s="125"/>
      <c r="KSV173" s="125"/>
      <c r="KSW173" s="125"/>
      <c r="KSX173" s="125"/>
      <c r="KSY173" s="125"/>
      <c r="KSZ173" s="125"/>
      <c r="KTA173" s="125"/>
      <c r="KTB173" s="125"/>
      <c r="KTC173" s="125"/>
      <c r="KTD173" s="125"/>
      <c r="KTE173" s="125"/>
      <c r="KTF173" s="125"/>
      <c r="KTG173" s="125"/>
      <c r="KTH173" s="125"/>
      <c r="KTI173" s="125"/>
      <c r="KTJ173" s="125"/>
      <c r="KTK173" s="125"/>
      <c r="KTL173" s="125"/>
      <c r="KTM173" s="125"/>
      <c r="KTN173" s="125"/>
      <c r="KTO173" s="125"/>
      <c r="KTP173" s="125"/>
      <c r="KTQ173" s="125"/>
      <c r="KTR173" s="125"/>
      <c r="KTS173" s="125"/>
      <c r="KTT173" s="125"/>
      <c r="KTU173" s="125"/>
      <c r="KTV173" s="125"/>
      <c r="KTW173" s="125"/>
      <c r="KTX173" s="125"/>
      <c r="KTY173" s="125"/>
      <c r="KTZ173" s="125"/>
      <c r="KUA173" s="125"/>
      <c r="KUB173" s="125"/>
      <c r="KUC173" s="125"/>
      <c r="KUD173" s="125"/>
      <c r="KUE173" s="125"/>
      <c r="KUF173" s="125"/>
      <c r="KUG173" s="125"/>
      <c r="KUH173" s="125"/>
      <c r="KUI173" s="125"/>
      <c r="KUJ173" s="125"/>
      <c r="KUK173" s="125"/>
      <c r="KUL173" s="125"/>
      <c r="KUM173" s="125"/>
      <c r="KUN173" s="125"/>
      <c r="KUO173" s="125"/>
      <c r="KUP173" s="125"/>
      <c r="KUQ173" s="125"/>
      <c r="KUR173" s="125"/>
      <c r="KUS173" s="125"/>
      <c r="KUT173" s="125"/>
      <c r="KUU173" s="125"/>
      <c r="KUV173" s="125"/>
      <c r="KUW173" s="125"/>
      <c r="KUX173" s="125"/>
      <c r="KUY173" s="125"/>
      <c r="KUZ173" s="125"/>
      <c r="KVA173" s="125"/>
      <c r="KVB173" s="125"/>
      <c r="KVC173" s="125"/>
      <c r="KVD173" s="125"/>
      <c r="KVE173" s="125"/>
      <c r="KVF173" s="125"/>
      <c r="KVG173" s="125"/>
      <c r="KVH173" s="125"/>
      <c r="KVI173" s="125"/>
      <c r="KVJ173" s="125"/>
      <c r="KVK173" s="125"/>
      <c r="KVL173" s="125"/>
      <c r="KVM173" s="125"/>
      <c r="KVN173" s="125"/>
      <c r="KVO173" s="125"/>
      <c r="KVP173" s="125"/>
      <c r="KVQ173" s="125"/>
      <c r="KVR173" s="125"/>
      <c r="KVS173" s="125"/>
      <c r="KVT173" s="125"/>
      <c r="KVU173" s="125"/>
      <c r="KVV173" s="125"/>
      <c r="KVW173" s="125"/>
      <c r="KVX173" s="125"/>
      <c r="KVY173" s="125"/>
      <c r="KVZ173" s="125"/>
      <c r="KWA173" s="125"/>
      <c r="KWB173" s="125"/>
      <c r="KWC173" s="125"/>
      <c r="KWD173" s="125"/>
      <c r="KWE173" s="125"/>
      <c r="KWF173" s="125"/>
      <c r="KWG173" s="125"/>
      <c r="KWH173" s="125"/>
      <c r="KWI173" s="125"/>
      <c r="KWJ173" s="125"/>
      <c r="KWK173" s="125"/>
      <c r="KWL173" s="125"/>
      <c r="KWM173" s="125"/>
      <c r="KWN173" s="125"/>
      <c r="KWO173" s="125"/>
      <c r="KWP173" s="125"/>
      <c r="KWQ173" s="125"/>
      <c r="KWR173" s="125"/>
      <c r="KWS173" s="125"/>
      <c r="KWT173" s="125"/>
      <c r="KWU173" s="125"/>
      <c r="KWV173" s="125"/>
      <c r="KWW173" s="125"/>
      <c r="KWX173" s="125"/>
      <c r="KWY173" s="125"/>
      <c r="KWZ173" s="125"/>
      <c r="KXA173" s="125"/>
      <c r="KXB173" s="125"/>
      <c r="KXC173" s="125"/>
      <c r="KXD173" s="125"/>
      <c r="KXE173" s="125"/>
      <c r="KXF173" s="125"/>
      <c r="KXG173" s="125"/>
      <c r="KXH173" s="125"/>
      <c r="KXI173" s="125"/>
      <c r="KXJ173" s="125"/>
      <c r="KXK173" s="125"/>
      <c r="KXL173" s="125"/>
      <c r="KXM173" s="125"/>
      <c r="KXN173" s="125"/>
      <c r="KXO173" s="125"/>
      <c r="KXP173" s="125"/>
      <c r="KXQ173" s="125"/>
      <c r="KXR173" s="125"/>
      <c r="KXS173" s="125"/>
      <c r="KXT173" s="125"/>
      <c r="KXU173" s="125"/>
      <c r="KXV173" s="125"/>
      <c r="KXW173" s="125"/>
      <c r="KXX173" s="125"/>
      <c r="KXY173" s="125"/>
      <c r="KXZ173" s="125"/>
      <c r="KYA173" s="125"/>
      <c r="KYB173" s="125"/>
      <c r="KYC173" s="125"/>
      <c r="KYD173" s="125"/>
      <c r="KYE173" s="125"/>
      <c r="KYF173" s="125"/>
      <c r="KYG173" s="125"/>
      <c r="KYH173" s="125"/>
      <c r="KYI173" s="125"/>
      <c r="KYJ173" s="125"/>
      <c r="KYK173" s="125"/>
      <c r="KYL173" s="125"/>
      <c r="KYM173" s="125"/>
      <c r="KYN173" s="125"/>
      <c r="KYO173" s="125"/>
      <c r="KYP173" s="125"/>
      <c r="KYQ173" s="125"/>
      <c r="KYR173" s="125"/>
      <c r="KYS173" s="125"/>
      <c r="KYT173" s="125"/>
      <c r="KYU173" s="125"/>
      <c r="KYV173" s="125"/>
      <c r="KYW173" s="125"/>
      <c r="KYX173" s="125"/>
      <c r="KYY173" s="125"/>
      <c r="KYZ173" s="125"/>
      <c r="KZA173" s="125"/>
      <c r="KZB173" s="125"/>
      <c r="KZC173" s="125"/>
      <c r="KZD173" s="125"/>
      <c r="KZE173" s="125"/>
      <c r="KZF173" s="125"/>
      <c r="KZG173" s="125"/>
      <c r="KZH173" s="125"/>
      <c r="KZI173" s="125"/>
      <c r="KZJ173" s="125"/>
      <c r="KZK173" s="125"/>
      <c r="KZL173" s="125"/>
      <c r="KZM173" s="125"/>
      <c r="KZN173" s="125"/>
      <c r="KZO173" s="125"/>
      <c r="KZP173" s="125"/>
      <c r="KZQ173" s="125"/>
      <c r="KZR173" s="125"/>
      <c r="KZS173" s="125"/>
      <c r="KZT173" s="125"/>
      <c r="KZU173" s="125"/>
      <c r="KZV173" s="125"/>
      <c r="KZW173" s="125"/>
      <c r="KZX173" s="125"/>
      <c r="KZY173" s="125"/>
      <c r="KZZ173" s="125"/>
      <c r="LAA173" s="125"/>
      <c r="LAB173" s="125"/>
      <c r="LAC173" s="125"/>
      <c r="LAD173" s="125"/>
      <c r="LAE173" s="125"/>
      <c r="LAF173" s="125"/>
      <c r="LAG173" s="125"/>
      <c r="LAH173" s="125"/>
      <c r="LAI173" s="125"/>
      <c r="LAJ173" s="125"/>
      <c r="LAK173" s="125"/>
      <c r="LAL173" s="125"/>
      <c r="LAM173" s="125"/>
      <c r="LAN173" s="125"/>
      <c r="LAO173" s="125"/>
      <c r="LAP173" s="125"/>
      <c r="LAQ173" s="125"/>
      <c r="LAR173" s="125"/>
      <c r="LAS173" s="125"/>
      <c r="LAT173" s="125"/>
      <c r="LAU173" s="125"/>
      <c r="LAV173" s="125"/>
      <c r="LAW173" s="125"/>
      <c r="LAX173" s="125"/>
      <c r="LAY173" s="125"/>
      <c r="LAZ173" s="125"/>
      <c r="LBA173" s="125"/>
      <c r="LBB173" s="125"/>
      <c r="LBC173" s="125"/>
      <c r="LBD173" s="125"/>
      <c r="LBE173" s="125"/>
      <c r="LBF173" s="125"/>
      <c r="LBG173" s="125"/>
      <c r="LBH173" s="125"/>
      <c r="LBI173" s="125"/>
      <c r="LBJ173" s="125"/>
      <c r="LBK173" s="125"/>
      <c r="LBL173" s="125"/>
      <c r="LBM173" s="125"/>
      <c r="LBN173" s="125"/>
      <c r="LBO173" s="125"/>
      <c r="LBP173" s="125"/>
      <c r="LBQ173" s="125"/>
      <c r="LBR173" s="125"/>
      <c r="LBS173" s="125"/>
      <c r="LBT173" s="125"/>
      <c r="LBU173" s="125"/>
      <c r="LBV173" s="125"/>
      <c r="LBW173" s="125"/>
      <c r="LBX173" s="125"/>
      <c r="LBY173" s="125"/>
      <c r="LBZ173" s="125"/>
      <c r="LCA173" s="125"/>
      <c r="LCB173" s="125"/>
      <c r="LCC173" s="125"/>
      <c r="LCD173" s="125"/>
      <c r="LCE173" s="125"/>
      <c r="LCF173" s="125"/>
      <c r="LCG173" s="125"/>
      <c r="LCH173" s="125"/>
      <c r="LCI173" s="125"/>
      <c r="LCJ173" s="125"/>
      <c r="LCK173" s="125"/>
      <c r="LCL173" s="125"/>
      <c r="LCM173" s="125"/>
      <c r="LCN173" s="125"/>
      <c r="LCO173" s="125"/>
      <c r="LCP173" s="125"/>
      <c r="LCQ173" s="125"/>
      <c r="LCR173" s="125"/>
      <c r="LCS173" s="125"/>
      <c r="LCT173" s="125"/>
      <c r="LCU173" s="125"/>
      <c r="LCV173" s="125"/>
      <c r="LCW173" s="125"/>
      <c r="LCX173" s="125"/>
      <c r="LCY173" s="125"/>
      <c r="LCZ173" s="125"/>
      <c r="LDA173" s="125"/>
      <c r="LDB173" s="125"/>
      <c r="LDC173" s="125"/>
      <c r="LDD173" s="125"/>
      <c r="LDE173" s="125"/>
      <c r="LDF173" s="125"/>
      <c r="LDG173" s="125"/>
      <c r="LDH173" s="125"/>
      <c r="LDI173" s="125"/>
      <c r="LDJ173" s="125"/>
      <c r="LDK173" s="125"/>
      <c r="LDL173" s="125"/>
      <c r="LDM173" s="125"/>
      <c r="LDN173" s="125"/>
      <c r="LDO173" s="125"/>
      <c r="LDP173" s="125"/>
      <c r="LDQ173" s="125"/>
      <c r="LDR173" s="125"/>
      <c r="LDS173" s="125"/>
      <c r="LDT173" s="125"/>
      <c r="LDU173" s="125"/>
      <c r="LDV173" s="125"/>
      <c r="LDW173" s="125"/>
      <c r="LDX173" s="125"/>
      <c r="LDY173" s="125"/>
      <c r="LDZ173" s="125"/>
      <c r="LEA173" s="125"/>
      <c r="LEB173" s="125"/>
      <c r="LEC173" s="125"/>
      <c r="LED173" s="125"/>
      <c r="LEE173" s="125"/>
      <c r="LEF173" s="125"/>
      <c r="LEG173" s="125"/>
      <c r="LEH173" s="125"/>
      <c r="LEI173" s="125"/>
      <c r="LEJ173" s="125"/>
      <c r="LEK173" s="125"/>
      <c r="LEL173" s="125"/>
      <c r="LEM173" s="125"/>
      <c r="LEN173" s="125"/>
      <c r="LEO173" s="125"/>
      <c r="LEP173" s="125"/>
      <c r="LEQ173" s="125"/>
      <c r="LER173" s="125"/>
      <c r="LES173" s="125"/>
      <c r="LET173" s="125"/>
      <c r="LEU173" s="125"/>
      <c r="LEV173" s="125"/>
      <c r="LEW173" s="125"/>
      <c r="LEX173" s="125"/>
      <c r="LEY173" s="125"/>
      <c r="LEZ173" s="125"/>
      <c r="LFA173" s="125"/>
      <c r="LFB173" s="125"/>
      <c r="LFC173" s="125"/>
      <c r="LFD173" s="125"/>
      <c r="LFE173" s="125"/>
      <c r="LFF173" s="125"/>
      <c r="LFG173" s="125"/>
      <c r="LFH173" s="125"/>
      <c r="LFI173" s="125"/>
      <c r="LFJ173" s="125"/>
      <c r="LFK173" s="125"/>
      <c r="LFL173" s="125"/>
      <c r="LFM173" s="125"/>
      <c r="LFN173" s="125"/>
      <c r="LFO173" s="125"/>
      <c r="LFP173" s="125"/>
      <c r="LFQ173" s="125"/>
      <c r="LFR173" s="125"/>
      <c r="LFS173" s="125"/>
      <c r="LFT173" s="125"/>
      <c r="LFU173" s="125"/>
      <c r="LFV173" s="125"/>
      <c r="LFW173" s="125"/>
      <c r="LFX173" s="125"/>
      <c r="LFY173" s="125"/>
      <c r="LFZ173" s="125"/>
      <c r="LGA173" s="125"/>
      <c r="LGB173" s="125"/>
      <c r="LGC173" s="125"/>
      <c r="LGD173" s="125"/>
      <c r="LGE173" s="125"/>
      <c r="LGF173" s="125"/>
      <c r="LGG173" s="125"/>
      <c r="LGH173" s="125"/>
      <c r="LGI173" s="125"/>
      <c r="LGJ173" s="125"/>
      <c r="LGK173" s="125"/>
      <c r="LGL173" s="125"/>
      <c r="LGM173" s="125"/>
      <c r="LGN173" s="125"/>
      <c r="LGO173" s="125"/>
      <c r="LGP173" s="125"/>
      <c r="LGQ173" s="125"/>
      <c r="LGR173" s="125"/>
      <c r="LGS173" s="125"/>
      <c r="LGT173" s="125"/>
      <c r="LGU173" s="125"/>
      <c r="LGV173" s="125"/>
      <c r="LGW173" s="125"/>
      <c r="LGX173" s="125"/>
      <c r="LGY173" s="125"/>
      <c r="LGZ173" s="125"/>
      <c r="LHA173" s="125"/>
      <c r="LHB173" s="125"/>
      <c r="LHC173" s="125"/>
      <c r="LHD173" s="125"/>
      <c r="LHE173" s="125"/>
      <c r="LHF173" s="125"/>
      <c r="LHG173" s="125"/>
      <c r="LHH173" s="125"/>
      <c r="LHI173" s="125"/>
      <c r="LHJ173" s="125"/>
      <c r="LHK173" s="125"/>
      <c r="LHL173" s="125"/>
      <c r="LHM173" s="125"/>
      <c r="LHN173" s="125"/>
      <c r="LHO173" s="125"/>
      <c r="LHP173" s="125"/>
      <c r="LHQ173" s="125"/>
      <c r="LHR173" s="125"/>
      <c r="LHS173" s="125"/>
      <c r="LHT173" s="125"/>
      <c r="LHU173" s="125"/>
      <c r="LHV173" s="125"/>
      <c r="LHW173" s="125"/>
      <c r="LHX173" s="125"/>
      <c r="LHY173" s="125"/>
      <c r="LHZ173" s="125"/>
      <c r="LIA173" s="125"/>
      <c r="LIB173" s="125"/>
      <c r="LIC173" s="125"/>
      <c r="LID173" s="125"/>
      <c r="LIE173" s="125"/>
      <c r="LIF173" s="125"/>
      <c r="LIG173" s="125"/>
      <c r="LIH173" s="125"/>
      <c r="LII173" s="125"/>
      <c r="LIJ173" s="125"/>
      <c r="LIK173" s="125"/>
      <c r="LIL173" s="125"/>
      <c r="LIM173" s="125"/>
      <c r="LIN173" s="125"/>
      <c r="LIO173" s="125"/>
      <c r="LIP173" s="125"/>
      <c r="LIQ173" s="125"/>
      <c r="LIR173" s="125"/>
      <c r="LIS173" s="125"/>
      <c r="LIT173" s="125"/>
      <c r="LIU173" s="125"/>
      <c r="LIV173" s="125"/>
      <c r="LIW173" s="125"/>
      <c r="LIX173" s="125"/>
      <c r="LIY173" s="125"/>
      <c r="LIZ173" s="125"/>
      <c r="LJA173" s="125"/>
      <c r="LJB173" s="125"/>
      <c r="LJC173" s="125"/>
      <c r="LJD173" s="125"/>
      <c r="LJE173" s="125"/>
      <c r="LJF173" s="125"/>
      <c r="LJG173" s="125"/>
      <c r="LJH173" s="125"/>
      <c r="LJI173" s="125"/>
      <c r="LJJ173" s="125"/>
      <c r="LJK173" s="125"/>
      <c r="LJL173" s="125"/>
      <c r="LJM173" s="125"/>
      <c r="LJN173" s="125"/>
      <c r="LJO173" s="125"/>
      <c r="LJP173" s="125"/>
      <c r="LJQ173" s="125"/>
      <c r="LJR173" s="125"/>
      <c r="LJS173" s="125"/>
      <c r="LJT173" s="125"/>
      <c r="LJU173" s="125"/>
      <c r="LJV173" s="125"/>
      <c r="LJW173" s="125"/>
      <c r="LJX173" s="125"/>
      <c r="LJY173" s="125"/>
      <c r="LJZ173" s="125"/>
      <c r="LKA173" s="125"/>
      <c r="LKB173" s="125"/>
      <c r="LKC173" s="125"/>
      <c r="LKD173" s="125"/>
      <c r="LKE173" s="125"/>
      <c r="LKF173" s="125"/>
      <c r="LKG173" s="125"/>
      <c r="LKH173" s="125"/>
      <c r="LKI173" s="125"/>
      <c r="LKJ173" s="125"/>
      <c r="LKK173" s="125"/>
      <c r="LKL173" s="125"/>
      <c r="LKM173" s="125"/>
      <c r="LKN173" s="125"/>
      <c r="LKO173" s="125"/>
      <c r="LKP173" s="125"/>
      <c r="LKQ173" s="125"/>
      <c r="LKR173" s="125"/>
      <c r="LKS173" s="125"/>
      <c r="LKT173" s="125"/>
      <c r="LKU173" s="125"/>
      <c r="LKV173" s="125"/>
      <c r="LKW173" s="125"/>
      <c r="LKX173" s="125"/>
      <c r="LKY173" s="125"/>
      <c r="LKZ173" s="125"/>
      <c r="LLA173" s="125"/>
      <c r="LLB173" s="125"/>
      <c r="LLC173" s="125"/>
      <c r="LLD173" s="125"/>
      <c r="LLE173" s="125"/>
      <c r="LLF173" s="125"/>
      <c r="LLG173" s="125"/>
      <c r="LLH173" s="125"/>
      <c r="LLI173" s="125"/>
      <c r="LLJ173" s="125"/>
      <c r="LLK173" s="125"/>
      <c r="LLL173" s="125"/>
      <c r="LLM173" s="125"/>
      <c r="LLN173" s="125"/>
      <c r="LLO173" s="125"/>
      <c r="LLP173" s="125"/>
      <c r="LLQ173" s="125"/>
      <c r="LLR173" s="125"/>
      <c r="LLS173" s="125"/>
      <c r="LLT173" s="125"/>
      <c r="LLU173" s="125"/>
      <c r="LLV173" s="125"/>
      <c r="LLW173" s="125"/>
      <c r="LLX173" s="125"/>
      <c r="LLY173" s="125"/>
      <c r="LLZ173" s="125"/>
      <c r="LMA173" s="125"/>
      <c r="LMB173" s="125"/>
      <c r="LMC173" s="125"/>
      <c r="LMD173" s="125"/>
      <c r="LME173" s="125"/>
      <c r="LMF173" s="125"/>
      <c r="LMG173" s="125"/>
      <c r="LMH173" s="125"/>
      <c r="LMI173" s="125"/>
      <c r="LMJ173" s="125"/>
      <c r="LMK173" s="125"/>
      <c r="LML173" s="125"/>
      <c r="LMM173" s="125"/>
      <c r="LMN173" s="125"/>
      <c r="LMO173" s="125"/>
      <c r="LMP173" s="125"/>
      <c r="LMQ173" s="125"/>
      <c r="LMR173" s="125"/>
      <c r="LMS173" s="125"/>
      <c r="LMT173" s="125"/>
      <c r="LMU173" s="125"/>
      <c r="LMV173" s="125"/>
      <c r="LMW173" s="125"/>
      <c r="LMX173" s="125"/>
      <c r="LMY173" s="125"/>
      <c r="LMZ173" s="125"/>
      <c r="LNA173" s="125"/>
      <c r="LNB173" s="125"/>
      <c r="LNC173" s="125"/>
      <c r="LND173" s="125"/>
      <c r="LNE173" s="125"/>
      <c r="LNF173" s="125"/>
      <c r="LNG173" s="125"/>
      <c r="LNH173" s="125"/>
      <c r="LNI173" s="125"/>
      <c r="LNJ173" s="125"/>
      <c r="LNK173" s="125"/>
      <c r="LNL173" s="125"/>
      <c r="LNM173" s="125"/>
      <c r="LNN173" s="125"/>
      <c r="LNO173" s="125"/>
      <c r="LNP173" s="125"/>
      <c r="LNQ173" s="125"/>
      <c r="LNR173" s="125"/>
      <c r="LNS173" s="125"/>
      <c r="LNT173" s="125"/>
      <c r="LNU173" s="125"/>
      <c r="LNV173" s="125"/>
      <c r="LNW173" s="125"/>
      <c r="LNX173" s="125"/>
      <c r="LNY173" s="125"/>
      <c r="LNZ173" s="125"/>
      <c r="LOA173" s="125"/>
      <c r="LOB173" s="125"/>
      <c r="LOC173" s="125"/>
      <c r="LOD173" s="125"/>
      <c r="LOE173" s="125"/>
      <c r="LOF173" s="125"/>
      <c r="LOG173" s="125"/>
      <c r="LOH173" s="125"/>
      <c r="LOI173" s="125"/>
      <c r="LOJ173" s="125"/>
      <c r="LOK173" s="125"/>
      <c r="LOL173" s="125"/>
      <c r="LOM173" s="125"/>
      <c r="LON173" s="125"/>
      <c r="LOO173" s="125"/>
      <c r="LOP173" s="125"/>
      <c r="LOQ173" s="125"/>
      <c r="LOR173" s="125"/>
      <c r="LOS173" s="125"/>
      <c r="LOT173" s="125"/>
      <c r="LOU173" s="125"/>
      <c r="LOV173" s="125"/>
      <c r="LOW173" s="125"/>
      <c r="LOX173" s="125"/>
      <c r="LOY173" s="125"/>
      <c r="LOZ173" s="125"/>
      <c r="LPA173" s="125"/>
      <c r="LPB173" s="125"/>
      <c r="LPC173" s="125"/>
      <c r="LPD173" s="125"/>
      <c r="LPE173" s="125"/>
      <c r="LPF173" s="125"/>
      <c r="LPG173" s="125"/>
      <c r="LPH173" s="125"/>
      <c r="LPI173" s="125"/>
      <c r="LPJ173" s="125"/>
      <c r="LPK173" s="125"/>
      <c r="LPL173" s="125"/>
      <c r="LPM173" s="125"/>
      <c r="LPN173" s="125"/>
      <c r="LPO173" s="125"/>
      <c r="LPP173" s="125"/>
      <c r="LPQ173" s="125"/>
      <c r="LPR173" s="125"/>
      <c r="LPS173" s="125"/>
      <c r="LPT173" s="125"/>
      <c r="LPU173" s="125"/>
      <c r="LPV173" s="125"/>
      <c r="LPW173" s="125"/>
      <c r="LPX173" s="125"/>
      <c r="LPY173" s="125"/>
      <c r="LPZ173" s="125"/>
      <c r="LQA173" s="125"/>
      <c r="LQB173" s="125"/>
      <c r="LQC173" s="125"/>
      <c r="LQD173" s="125"/>
      <c r="LQE173" s="125"/>
      <c r="LQF173" s="125"/>
      <c r="LQG173" s="125"/>
      <c r="LQH173" s="125"/>
      <c r="LQI173" s="125"/>
      <c r="LQJ173" s="125"/>
      <c r="LQK173" s="125"/>
      <c r="LQL173" s="125"/>
      <c r="LQM173" s="125"/>
      <c r="LQN173" s="125"/>
      <c r="LQO173" s="125"/>
      <c r="LQP173" s="125"/>
      <c r="LQQ173" s="125"/>
      <c r="LQR173" s="125"/>
      <c r="LQS173" s="125"/>
      <c r="LQT173" s="125"/>
      <c r="LQU173" s="125"/>
      <c r="LQV173" s="125"/>
      <c r="LQW173" s="125"/>
      <c r="LQX173" s="125"/>
      <c r="LQY173" s="125"/>
      <c r="LQZ173" s="125"/>
      <c r="LRA173" s="125"/>
      <c r="LRB173" s="125"/>
      <c r="LRC173" s="125"/>
      <c r="LRD173" s="125"/>
      <c r="LRE173" s="125"/>
      <c r="LRF173" s="125"/>
      <c r="LRG173" s="125"/>
      <c r="LRH173" s="125"/>
      <c r="LRI173" s="125"/>
      <c r="LRJ173" s="125"/>
      <c r="LRK173" s="125"/>
      <c r="LRL173" s="125"/>
      <c r="LRM173" s="125"/>
      <c r="LRN173" s="125"/>
      <c r="LRO173" s="125"/>
      <c r="LRP173" s="125"/>
      <c r="LRQ173" s="125"/>
      <c r="LRR173" s="125"/>
      <c r="LRS173" s="125"/>
      <c r="LRT173" s="125"/>
      <c r="LRU173" s="125"/>
      <c r="LRV173" s="125"/>
      <c r="LRW173" s="125"/>
      <c r="LRX173" s="125"/>
      <c r="LRY173" s="125"/>
      <c r="LRZ173" s="125"/>
      <c r="LSA173" s="125"/>
      <c r="LSB173" s="125"/>
      <c r="LSC173" s="125"/>
      <c r="LSD173" s="125"/>
      <c r="LSE173" s="125"/>
      <c r="LSF173" s="125"/>
      <c r="LSG173" s="125"/>
      <c r="LSH173" s="125"/>
      <c r="LSI173" s="125"/>
      <c r="LSJ173" s="125"/>
      <c r="LSK173" s="125"/>
      <c r="LSL173" s="125"/>
      <c r="LSM173" s="125"/>
      <c r="LSN173" s="125"/>
      <c r="LSO173" s="125"/>
      <c r="LSP173" s="125"/>
      <c r="LSQ173" s="125"/>
      <c r="LSR173" s="125"/>
      <c r="LSS173" s="125"/>
      <c r="LST173" s="125"/>
      <c r="LSU173" s="125"/>
      <c r="LSV173" s="125"/>
      <c r="LSW173" s="125"/>
      <c r="LSX173" s="125"/>
      <c r="LSY173" s="125"/>
      <c r="LSZ173" s="125"/>
      <c r="LTA173" s="125"/>
      <c r="LTB173" s="125"/>
      <c r="LTC173" s="125"/>
      <c r="LTD173" s="125"/>
      <c r="LTE173" s="125"/>
      <c r="LTF173" s="125"/>
      <c r="LTG173" s="125"/>
      <c r="LTH173" s="125"/>
      <c r="LTI173" s="125"/>
      <c r="LTJ173" s="125"/>
      <c r="LTK173" s="125"/>
      <c r="LTL173" s="125"/>
      <c r="LTM173" s="125"/>
      <c r="LTN173" s="125"/>
      <c r="LTO173" s="125"/>
      <c r="LTP173" s="125"/>
      <c r="LTQ173" s="125"/>
      <c r="LTR173" s="125"/>
      <c r="LTS173" s="125"/>
      <c r="LTT173" s="125"/>
      <c r="LTU173" s="125"/>
      <c r="LTV173" s="125"/>
      <c r="LTW173" s="125"/>
      <c r="LTX173" s="125"/>
      <c r="LTY173" s="125"/>
      <c r="LTZ173" s="125"/>
      <c r="LUA173" s="125"/>
      <c r="LUB173" s="125"/>
      <c r="LUC173" s="125"/>
      <c r="LUD173" s="125"/>
      <c r="LUE173" s="125"/>
      <c r="LUF173" s="125"/>
      <c r="LUG173" s="125"/>
      <c r="LUH173" s="125"/>
      <c r="LUI173" s="125"/>
      <c r="LUJ173" s="125"/>
      <c r="LUK173" s="125"/>
      <c r="LUL173" s="125"/>
      <c r="LUM173" s="125"/>
      <c r="LUN173" s="125"/>
      <c r="LUO173" s="125"/>
      <c r="LUP173" s="125"/>
      <c r="LUQ173" s="125"/>
      <c r="LUR173" s="125"/>
      <c r="LUS173" s="125"/>
      <c r="LUT173" s="125"/>
      <c r="LUU173" s="125"/>
      <c r="LUV173" s="125"/>
      <c r="LUW173" s="125"/>
      <c r="LUX173" s="125"/>
      <c r="LUY173" s="125"/>
      <c r="LUZ173" s="125"/>
      <c r="LVA173" s="125"/>
      <c r="LVB173" s="125"/>
      <c r="LVC173" s="125"/>
      <c r="LVD173" s="125"/>
      <c r="LVE173" s="125"/>
      <c r="LVF173" s="125"/>
      <c r="LVG173" s="125"/>
      <c r="LVH173" s="125"/>
      <c r="LVI173" s="125"/>
      <c r="LVJ173" s="125"/>
      <c r="LVK173" s="125"/>
      <c r="LVL173" s="125"/>
      <c r="LVM173" s="125"/>
      <c r="LVN173" s="125"/>
      <c r="LVO173" s="125"/>
      <c r="LVP173" s="125"/>
      <c r="LVQ173" s="125"/>
      <c r="LVR173" s="125"/>
      <c r="LVS173" s="125"/>
      <c r="LVT173" s="125"/>
      <c r="LVU173" s="125"/>
      <c r="LVV173" s="125"/>
      <c r="LVW173" s="125"/>
      <c r="LVX173" s="125"/>
      <c r="LVY173" s="125"/>
      <c r="LVZ173" s="125"/>
      <c r="LWA173" s="125"/>
      <c r="LWB173" s="125"/>
      <c r="LWC173" s="125"/>
      <c r="LWD173" s="125"/>
      <c r="LWE173" s="125"/>
      <c r="LWF173" s="125"/>
      <c r="LWG173" s="125"/>
      <c r="LWH173" s="125"/>
      <c r="LWI173" s="125"/>
      <c r="LWJ173" s="125"/>
      <c r="LWK173" s="125"/>
      <c r="LWL173" s="125"/>
      <c r="LWM173" s="125"/>
      <c r="LWN173" s="125"/>
      <c r="LWO173" s="125"/>
      <c r="LWP173" s="125"/>
      <c r="LWQ173" s="125"/>
      <c r="LWR173" s="125"/>
      <c r="LWS173" s="125"/>
      <c r="LWT173" s="125"/>
      <c r="LWU173" s="125"/>
      <c r="LWV173" s="125"/>
      <c r="LWW173" s="125"/>
      <c r="LWX173" s="125"/>
      <c r="LWY173" s="125"/>
      <c r="LWZ173" s="125"/>
      <c r="LXA173" s="125"/>
      <c r="LXB173" s="125"/>
      <c r="LXC173" s="125"/>
      <c r="LXD173" s="125"/>
      <c r="LXE173" s="125"/>
      <c r="LXF173" s="125"/>
      <c r="LXG173" s="125"/>
      <c r="LXH173" s="125"/>
      <c r="LXI173" s="125"/>
      <c r="LXJ173" s="125"/>
      <c r="LXK173" s="125"/>
      <c r="LXL173" s="125"/>
      <c r="LXM173" s="125"/>
      <c r="LXN173" s="125"/>
      <c r="LXO173" s="125"/>
      <c r="LXP173" s="125"/>
      <c r="LXQ173" s="125"/>
      <c r="LXR173" s="125"/>
      <c r="LXS173" s="125"/>
      <c r="LXT173" s="125"/>
      <c r="LXU173" s="125"/>
      <c r="LXV173" s="125"/>
      <c r="LXW173" s="125"/>
      <c r="LXX173" s="125"/>
      <c r="LXY173" s="125"/>
      <c r="LXZ173" s="125"/>
      <c r="LYA173" s="125"/>
      <c r="LYB173" s="125"/>
      <c r="LYC173" s="125"/>
      <c r="LYD173" s="125"/>
      <c r="LYE173" s="125"/>
      <c r="LYF173" s="125"/>
      <c r="LYG173" s="125"/>
      <c r="LYH173" s="125"/>
      <c r="LYI173" s="125"/>
      <c r="LYJ173" s="125"/>
      <c r="LYK173" s="125"/>
      <c r="LYL173" s="125"/>
      <c r="LYM173" s="125"/>
      <c r="LYN173" s="125"/>
      <c r="LYO173" s="125"/>
      <c r="LYP173" s="125"/>
      <c r="LYQ173" s="125"/>
      <c r="LYR173" s="125"/>
      <c r="LYS173" s="125"/>
      <c r="LYT173" s="125"/>
      <c r="LYU173" s="125"/>
      <c r="LYV173" s="125"/>
      <c r="LYW173" s="125"/>
      <c r="LYX173" s="125"/>
      <c r="LYY173" s="125"/>
      <c r="LYZ173" s="125"/>
      <c r="LZA173" s="125"/>
      <c r="LZB173" s="125"/>
      <c r="LZC173" s="125"/>
      <c r="LZD173" s="125"/>
      <c r="LZE173" s="125"/>
      <c r="LZF173" s="125"/>
      <c r="LZG173" s="125"/>
      <c r="LZH173" s="125"/>
      <c r="LZI173" s="125"/>
      <c r="LZJ173" s="125"/>
      <c r="LZK173" s="125"/>
      <c r="LZL173" s="125"/>
      <c r="LZM173" s="125"/>
      <c r="LZN173" s="125"/>
      <c r="LZO173" s="125"/>
      <c r="LZP173" s="125"/>
      <c r="LZQ173" s="125"/>
      <c r="LZR173" s="125"/>
      <c r="LZS173" s="125"/>
      <c r="LZT173" s="125"/>
      <c r="LZU173" s="125"/>
      <c r="LZV173" s="125"/>
      <c r="LZW173" s="125"/>
      <c r="LZX173" s="125"/>
      <c r="LZY173" s="125"/>
      <c r="LZZ173" s="125"/>
      <c r="MAA173" s="125"/>
      <c r="MAB173" s="125"/>
      <c r="MAC173" s="125"/>
      <c r="MAD173" s="125"/>
      <c r="MAE173" s="125"/>
      <c r="MAF173" s="125"/>
      <c r="MAG173" s="125"/>
      <c r="MAH173" s="125"/>
      <c r="MAI173" s="125"/>
      <c r="MAJ173" s="125"/>
      <c r="MAK173" s="125"/>
      <c r="MAL173" s="125"/>
      <c r="MAM173" s="125"/>
      <c r="MAN173" s="125"/>
      <c r="MAO173" s="125"/>
      <c r="MAP173" s="125"/>
      <c r="MAQ173" s="125"/>
      <c r="MAR173" s="125"/>
      <c r="MAS173" s="125"/>
      <c r="MAT173" s="125"/>
      <c r="MAU173" s="125"/>
      <c r="MAV173" s="125"/>
      <c r="MAW173" s="125"/>
      <c r="MAX173" s="125"/>
      <c r="MAY173" s="125"/>
      <c r="MAZ173" s="125"/>
      <c r="MBA173" s="125"/>
      <c r="MBB173" s="125"/>
      <c r="MBC173" s="125"/>
      <c r="MBD173" s="125"/>
      <c r="MBE173" s="125"/>
      <c r="MBF173" s="125"/>
      <c r="MBG173" s="125"/>
      <c r="MBH173" s="125"/>
      <c r="MBI173" s="125"/>
      <c r="MBJ173" s="125"/>
      <c r="MBK173" s="125"/>
      <c r="MBL173" s="125"/>
      <c r="MBM173" s="125"/>
      <c r="MBN173" s="125"/>
      <c r="MBO173" s="125"/>
      <c r="MBP173" s="125"/>
      <c r="MBQ173" s="125"/>
      <c r="MBR173" s="125"/>
      <c r="MBS173" s="125"/>
      <c r="MBT173" s="125"/>
      <c r="MBU173" s="125"/>
      <c r="MBV173" s="125"/>
      <c r="MBW173" s="125"/>
      <c r="MBX173" s="125"/>
      <c r="MBY173" s="125"/>
      <c r="MBZ173" s="125"/>
      <c r="MCA173" s="125"/>
      <c r="MCB173" s="125"/>
      <c r="MCC173" s="125"/>
      <c r="MCD173" s="125"/>
      <c r="MCE173" s="125"/>
      <c r="MCF173" s="125"/>
      <c r="MCG173" s="125"/>
      <c r="MCH173" s="125"/>
      <c r="MCI173" s="125"/>
      <c r="MCJ173" s="125"/>
      <c r="MCK173" s="125"/>
      <c r="MCL173" s="125"/>
      <c r="MCM173" s="125"/>
      <c r="MCN173" s="125"/>
      <c r="MCO173" s="125"/>
      <c r="MCP173" s="125"/>
      <c r="MCQ173" s="125"/>
      <c r="MCR173" s="125"/>
      <c r="MCS173" s="125"/>
      <c r="MCT173" s="125"/>
      <c r="MCU173" s="125"/>
      <c r="MCV173" s="125"/>
      <c r="MCW173" s="125"/>
      <c r="MCX173" s="125"/>
      <c r="MCY173" s="125"/>
      <c r="MCZ173" s="125"/>
      <c r="MDA173" s="125"/>
      <c r="MDB173" s="125"/>
      <c r="MDC173" s="125"/>
      <c r="MDD173" s="125"/>
      <c r="MDE173" s="125"/>
      <c r="MDF173" s="125"/>
      <c r="MDG173" s="125"/>
      <c r="MDH173" s="125"/>
      <c r="MDI173" s="125"/>
      <c r="MDJ173" s="125"/>
      <c r="MDK173" s="125"/>
      <c r="MDL173" s="125"/>
      <c r="MDM173" s="125"/>
      <c r="MDN173" s="125"/>
      <c r="MDO173" s="125"/>
      <c r="MDP173" s="125"/>
      <c r="MDQ173" s="125"/>
      <c r="MDR173" s="125"/>
      <c r="MDS173" s="125"/>
      <c r="MDT173" s="125"/>
      <c r="MDU173" s="125"/>
      <c r="MDV173" s="125"/>
      <c r="MDW173" s="125"/>
      <c r="MDX173" s="125"/>
      <c r="MDY173" s="125"/>
      <c r="MDZ173" s="125"/>
      <c r="MEA173" s="125"/>
      <c r="MEB173" s="125"/>
      <c r="MEC173" s="125"/>
      <c r="MED173" s="125"/>
      <c r="MEE173" s="125"/>
      <c r="MEF173" s="125"/>
      <c r="MEG173" s="125"/>
      <c r="MEH173" s="125"/>
      <c r="MEI173" s="125"/>
      <c r="MEJ173" s="125"/>
      <c r="MEK173" s="125"/>
      <c r="MEL173" s="125"/>
      <c r="MEM173" s="125"/>
      <c r="MEN173" s="125"/>
      <c r="MEO173" s="125"/>
      <c r="MEP173" s="125"/>
      <c r="MEQ173" s="125"/>
      <c r="MER173" s="125"/>
      <c r="MES173" s="125"/>
      <c r="MET173" s="125"/>
      <c r="MEU173" s="125"/>
      <c r="MEV173" s="125"/>
      <c r="MEW173" s="125"/>
      <c r="MEX173" s="125"/>
      <c r="MEY173" s="125"/>
      <c r="MEZ173" s="125"/>
      <c r="MFA173" s="125"/>
      <c r="MFB173" s="125"/>
      <c r="MFC173" s="125"/>
      <c r="MFD173" s="125"/>
      <c r="MFE173" s="125"/>
      <c r="MFF173" s="125"/>
      <c r="MFG173" s="125"/>
      <c r="MFH173" s="125"/>
      <c r="MFI173" s="125"/>
      <c r="MFJ173" s="125"/>
      <c r="MFK173" s="125"/>
      <c r="MFL173" s="125"/>
      <c r="MFM173" s="125"/>
      <c r="MFN173" s="125"/>
      <c r="MFO173" s="125"/>
      <c r="MFP173" s="125"/>
      <c r="MFQ173" s="125"/>
      <c r="MFR173" s="125"/>
      <c r="MFS173" s="125"/>
      <c r="MFT173" s="125"/>
      <c r="MFU173" s="125"/>
      <c r="MFV173" s="125"/>
      <c r="MFW173" s="125"/>
      <c r="MFX173" s="125"/>
      <c r="MFY173" s="125"/>
      <c r="MFZ173" s="125"/>
      <c r="MGA173" s="125"/>
      <c r="MGB173" s="125"/>
      <c r="MGC173" s="125"/>
      <c r="MGD173" s="125"/>
      <c r="MGE173" s="125"/>
      <c r="MGF173" s="125"/>
      <c r="MGG173" s="125"/>
      <c r="MGH173" s="125"/>
      <c r="MGI173" s="125"/>
      <c r="MGJ173" s="125"/>
      <c r="MGK173" s="125"/>
      <c r="MGL173" s="125"/>
      <c r="MGM173" s="125"/>
      <c r="MGN173" s="125"/>
      <c r="MGO173" s="125"/>
      <c r="MGP173" s="125"/>
      <c r="MGQ173" s="125"/>
      <c r="MGR173" s="125"/>
      <c r="MGS173" s="125"/>
      <c r="MGT173" s="125"/>
      <c r="MGU173" s="125"/>
      <c r="MGV173" s="125"/>
      <c r="MGW173" s="125"/>
      <c r="MGX173" s="125"/>
      <c r="MGY173" s="125"/>
      <c r="MGZ173" s="125"/>
      <c r="MHA173" s="125"/>
      <c r="MHB173" s="125"/>
      <c r="MHC173" s="125"/>
      <c r="MHD173" s="125"/>
      <c r="MHE173" s="125"/>
      <c r="MHF173" s="125"/>
      <c r="MHG173" s="125"/>
      <c r="MHH173" s="125"/>
      <c r="MHI173" s="125"/>
      <c r="MHJ173" s="125"/>
      <c r="MHK173" s="125"/>
      <c r="MHL173" s="125"/>
      <c r="MHM173" s="125"/>
      <c r="MHN173" s="125"/>
      <c r="MHO173" s="125"/>
      <c r="MHP173" s="125"/>
      <c r="MHQ173" s="125"/>
      <c r="MHR173" s="125"/>
      <c r="MHS173" s="125"/>
      <c r="MHT173" s="125"/>
      <c r="MHU173" s="125"/>
      <c r="MHV173" s="125"/>
      <c r="MHW173" s="125"/>
      <c r="MHX173" s="125"/>
      <c r="MHY173" s="125"/>
      <c r="MHZ173" s="125"/>
      <c r="MIA173" s="125"/>
      <c r="MIB173" s="125"/>
      <c r="MIC173" s="125"/>
      <c r="MID173" s="125"/>
      <c r="MIE173" s="125"/>
      <c r="MIF173" s="125"/>
      <c r="MIG173" s="125"/>
      <c r="MIH173" s="125"/>
      <c r="MII173" s="125"/>
      <c r="MIJ173" s="125"/>
      <c r="MIK173" s="125"/>
      <c r="MIL173" s="125"/>
      <c r="MIM173" s="125"/>
      <c r="MIN173" s="125"/>
      <c r="MIO173" s="125"/>
      <c r="MIP173" s="125"/>
      <c r="MIQ173" s="125"/>
      <c r="MIR173" s="125"/>
      <c r="MIS173" s="125"/>
      <c r="MIT173" s="125"/>
      <c r="MIU173" s="125"/>
      <c r="MIV173" s="125"/>
      <c r="MIW173" s="125"/>
      <c r="MIX173" s="125"/>
      <c r="MIY173" s="125"/>
      <c r="MIZ173" s="125"/>
      <c r="MJA173" s="125"/>
      <c r="MJB173" s="125"/>
      <c r="MJC173" s="125"/>
      <c r="MJD173" s="125"/>
      <c r="MJE173" s="125"/>
      <c r="MJF173" s="125"/>
      <c r="MJG173" s="125"/>
      <c r="MJH173" s="125"/>
      <c r="MJI173" s="125"/>
      <c r="MJJ173" s="125"/>
      <c r="MJK173" s="125"/>
      <c r="MJL173" s="125"/>
      <c r="MJM173" s="125"/>
      <c r="MJN173" s="125"/>
      <c r="MJO173" s="125"/>
      <c r="MJP173" s="125"/>
      <c r="MJQ173" s="125"/>
      <c r="MJR173" s="125"/>
      <c r="MJS173" s="125"/>
      <c r="MJT173" s="125"/>
      <c r="MJU173" s="125"/>
      <c r="MJV173" s="125"/>
      <c r="MJW173" s="125"/>
      <c r="MJX173" s="125"/>
      <c r="MJY173" s="125"/>
      <c r="MJZ173" s="125"/>
      <c r="MKA173" s="125"/>
      <c r="MKB173" s="125"/>
      <c r="MKC173" s="125"/>
      <c r="MKD173" s="125"/>
      <c r="MKE173" s="125"/>
      <c r="MKF173" s="125"/>
      <c r="MKG173" s="125"/>
      <c r="MKH173" s="125"/>
      <c r="MKI173" s="125"/>
      <c r="MKJ173" s="125"/>
      <c r="MKK173" s="125"/>
      <c r="MKL173" s="125"/>
      <c r="MKM173" s="125"/>
      <c r="MKN173" s="125"/>
      <c r="MKO173" s="125"/>
      <c r="MKP173" s="125"/>
      <c r="MKQ173" s="125"/>
      <c r="MKR173" s="125"/>
      <c r="MKS173" s="125"/>
      <c r="MKT173" s="125"/>
      <c r="MKU173" s="125"/>
      <c r="MKV173" s="125"/>
      <c r="MKW173" s="125"/>
      <c r="MKX173" s="125"/>
      <c r="MKY173" s="125"/>
      <c r="MKZ173" s="125"/>
      <c r="MLA173" s="125"/>
      <c r="MLB173" s="125"/>
      <c r="MLC173" s="125"/>
      <c r="MLD173" s="125"/>
      <c r="MLE173" s="125"/>
      <c r="MLF173" s="125"/>
      <c r="MLG173" s="125"/>
      <c r="MLH173" s="125"/>
      <c r="MLI173" s="125"/>
      <c r="MLJ173" s="125"/>
      <c r="MLK173" s="125"/>
      <c r="MLL173" s="125"/>
      <c r="MLM173" s="125"/>
      <c r="MLN173" s="125"/>
      <c r="MLO173" s="125"/>
      <c r="MLP173" s="125"/>
      <c r="MLQ173" s="125"/>
      <c r="MLR173" s="125"/>
      <c r="MLS173" s="125"/>
      <c r="MLT173" s="125"/>
      <c r="MLU173" s="125"/>
      <c r="MLV173" s="125"/>
      <c r="MLW173" s="125"/>
      <c r="MLX173" s="125"/>
      <c r="MLY173" s="125"/>
      <c r="MLZ173" s="125"/>
      <c r="MMA173" s="125"/>
      <c r="MMB173" s="125"/>
      <c r="MMC173" s="125"/>
      <c r="MMD173" s="125"/>
      <c r="MME173" s="125"/>
      <c r="MMF173" s="125"/>
      <c r="MMG173" s="125"/>
      <c r="MMH173" s="125"/>
      <c r="MMI173" s="125"/>
      <c r="MMJ173" s="125"/>
      <c r="MMK173" s="125"/>
      <c r="MML173" s="125"/>
      <c r="MMM173" s="125"/>
      <c r="MMN173" s="125"/>
      <c r="MMO173" s="125"/>
      <c r="MMP173" s="125"/>
      <c r="MMQ173" s="125"/>
      <c r="MMR173" s="125"/>
      <c r="MMS173" s="125"/>
      <c r="MMT173" s="125"/>
      <c r="MMU173" s="125"/>
      <c r="MMV173" s="125"/>
      <c r="MMW173" s="125"/>
      <c r="MMX173" s="125"/>
      <c r="MMY173" s="125"/>
      <c r="MMZ173" s="125"/>
      <c r="MNA173" s="125"/>
      <c r="MNB173" s="125"/>
      <c r="MNC173" s="125"/>
      <c r="MND173" s="125"/>
      <c r="MNE173" s="125"/>
      <c r="MNF173" s="125"/>
      <c r="MNG173" s="125"/>
      <c r="MNH173" s="125"/>
      <c r="MNI173" s="125"/>
      <c r="MNJ173" s="125"/>
      <c r="MNK173" s="125"/>
      <c r="MNL173" s="125"/>
      <c r="MNM173" s="125"/>
      <c r="MNN173" s="125"/>
      <c r="MNO173" s="125"/>
      <c r="MNP173" s="125"/>
      <c r="MNQ173" s="125"/>
      <c r="MNR173" s="125"/>
      <c r="MNS173" s="125"/>
      <c r="MNT173" s="125"/>
      <c r="MNU173" s="125"/>
      <c r="MNV173" s="125"/>
      <c r="MNW173" s="125"/>
      <c r="MNX173" s="125"/>
      <c r="MNY173" s="125"/>
      <c r="MNZ173" s="125"/>
      <c r="MOA173" s="125"/>
      <c r="MOB173" s="125"/>
      <c r="MOC173" s="125"/>
      <c r="MOD173" s="125"/>
      <c r="MOE173" s="125"/>
      <c r="MOF173" s="125"/>
      <c r="MOG173" s="125"/>
      <c r="MOH173" s="125"/>
      <c r="MOI173" s="125"/>
      <c r="MOJ173" s="125"/>
      <c r="MOK173" s="125"/>
      <c r="MOL173" s="125"/>
      <c r="MOM173" s="125"/>
      <c r="MON173" s="125"/>
      <c r="MOO173" s="125"/>
      <c r="MOP173" s="125"/>
      <c r="MOQ173" s="125"/>
      <c r="MOR173" s="125"/>
      <c r="MOS173" s="125"/>
      <c r="MOT173" s="125"/>
      <c r="MOU173" s="125"/>
      <c r="MOV173" s="125"/>
      <c r="MOW173" s="125"/>
      <c r="MOX173" s="125"/>
      <c r="MOY173" s="125"/>
      <c r="MOZ173" s="125"/>
      <c r="MPA173" s="125"/>
      <c r="MPB173" s="125"/>
      <c r="MPC173" s="125"/>
      <c r="MPD173" s="125"/>
      <c r="MPE173" s="125"/>
      <c r="MPF173" s="125"/>
      <c r="MPG173" s="125"/>
      <c r="MPH173" s="125"/>
      <c r="MPI173" s="125"/>
      <c r="MPJ173" s="125"/>
      <c r="MPK173" s="125"/>
      <c r="MPL173" s="125"/>
      <c r="MPM173" s="125"/>
      <c r="MPN173" s="125"/>
      <c r="MPO173" s="125"/>
      <c r="MPP173" s="125"/>
      <c r="MPQ173" s="125"/>
      <c r="MPR173" s="125"/>
      <c r="MPS173" s="125"/>
      <c r="MPT173" s="125"/>
      <c r="MPU173" s="125"/>
      <c r="MPV173" s="125"/>
      <c r="MPW173" s="125"/>
      <c r="MPX173" s="125"/>
      <c r="MPY173" s="125"/>
      <c r="MPZ173" s="125"/>
      <c r="MQA173" s="125"/>
      <c r="MQB173" s="125"/>
      <c r="MQC173" s="125"/>
      <c r="MQD173" s="125"/>
      <c r="MQE173" s="125"/>
      <c r="MQF173" s="125"/>
      <c r="MQG173" s="125"/>
      <c r="MQH173" s="125"/>
      <c r="MQI173" s="125"/>
      <c r="MQJ173" s="125"/>
      <c r="MQK173" s="125"/>
      <c r="MQL173" s="125"/>
      <c r="MQM173" s="125"/>
      <c r="MQN173" s="125"/>
      <c r="MQO173" s="125"/>
      <c r="MQP173" s="125"/>
      <c r="MQQ173" s="125"/>
      <c r="MQR173" s="125"/>
      <c r="MQS173" s="125"/>
      <c r="MQT173" s="125"/>
      <c r="MQU173" s="125"/>
      <c r="MQV173" s="125"/>
      <c r="MQW173" s="125"/>
      <c r="MQX173" s="125"/>
      <c r="MQY173" s="125"/>
      <c r="MQZ173" s="125"/>
      <c r="MRA173" s="125"/>
      <c r="MRB173" s="125"/>
      <c r="MRC173" s="125"/>
      <c r="MRD173" s="125"/>
      <c r="MRE173" s="125"/>
      <c r="MRF173" s="125"/>
      <c r="MRG173" s="125"/>
      <c r="MRH173" s="125"/>
      <c r="MRI173" s="125"/>
      <c r="MRJ173" s="125"/>
      <c r="MRK173" s="125"/>
      <c r="MRL173" s="125"/>
      <c r="MRM173" s="125"/>
      <c r="MRN173" s="125"/>
      <c r="MRO173" s="125"/>
      <c r="MRP173" s="125"/>
      <c r="MRQ173" s="125"/>
      <c r="MRR173" s="125"/>
      <c r="MRS173" s="125"/>
      <c r="MRT173" s="125"/>
      <c r="MRU173" s="125"/>
      <c r="MRV173" s="125"/>
      <c r="MRW173" s="125"/>
      <c r="MRX173" s="125"/>
      <c r="MRY173" s="125"/>
      <c r="MRZ173" s="125"/>
      <c r="MSA173" s="125"/>
      <c r="MSB173" s="125"/>
      <c r="MSC173" s="125"/>
      <c r="MSD173" s="125"/>
      <c r="MSE173" s="125"/>
      <c r="MSF173" s="125"/>
      <c r="MSG173" s="125"/>
      <c r="MSH173" s="125"/>
      <c r="MSI173" s="125"/>
      <c r="MSJ173" s="125"/>
      <c r="MSK173" s="125"/>
      <c r="MSL173" s="125"/>
      <c r="MSM173" s="125"/>
      <c r="MSN173" s="125"/>
      <c r="MSO173" s="125"/>
      <c r="MSP173" s="125"/>
      <c r="MSQ173" s="125"/>
      <c r="MSR173" s="125"/>
      <c r="MSS173" s="125"/>
      <c r="MST173" s="125"/>
      <c r="MSU173" s="125"/>
      <c r="MSV173" s="125"/>
      <c r="MSW173" s="125"/>
      <c r="MSX173" s="125"/>
      <c r="MSY173" s="125"/>
      <c r="MSZ173" s="125"/>
      <c r="MTA173" s="125"/>
      <c r="MTB173" s="125"/>
      <c r="MTC173" s="125"/>
      <c r="MTD173" s="125"/>
      <c r="MTE173" s="125"/>
      <c r="MTF173" s="125"/>
      <c r="MTG173" s="125"/>
      <c r="MTH173" s="125"/>
      <c r="MTI173" s="125"/>
      <c r="MTJ173" s="125"/>
      <c r="MTK173" s="125"/>
      <c r="MTL173" s="125"/>
      <c r="MTM173" s="125"/>
      <c r="MTN173" s="125"/>
      <c r="MTO173" s="125"/>
      <c r="MTP173" s="125"/>
      <c r="MTQ173" s="125"/>
      <c r="MTR173" s="125"/>
      <c r="MTS173" s="125"/>
      <c r="MTT173" s="125"/>
      <c r="MTU173" s="125"/>
      <c r="MTV173" s="125"/>
      <c r="MTW173" s="125"/>
      <c r="MTX173" s="125"/>
      <c r="MTY173" s="125"/>
      <c r="MTZ173" s="125"/>
      <c r="MUA173" s="125"/>
      <c r="MUB173" s="125"/>
      <c r="MUC173" s="125"/>
      <c r="MUD173" s="125"/>
      <c r="MUE173" s="125"/>
      <c r="MUF173" s="125"/>
      <c r="MUG173" s="125"/>
      <c r="MUH173" s="125"/>
      <c r="MUI173" s="125"/>
      <c r="MUJ173" s="125"/>
      <c r="MUK173" s="125"/>
      <c r="MUL173" s="125"/>
      <c r="MUM173" s="125"/>
      <c r="MUN173" s="125"/>
      <c r="MUO173" s="125"/>
      <c r="MUP173" s="125"/>
      <c r="MUQ173" s="125"/>
      <c r="MUR173" s="125"/>
      <c r="MUS173" s="125"/>
      <c r="MUT173" s="125"/>
      <c r="MUU173" s="125"/>
      <c r="MUV173" s="125"/>
      <c r="MUW173" s="125"/>
      <c r="MUX173" s="125"/>
      <c r="MUY173" s="125"/>
      <c r="MUZ173" s="125"/>
      <c r="MVA173" s="125"/>
      <c r="MVB173" s="125"/>
      <c r="MVC173" s="125"/>
      <c r="MVD173" s="125"/>
      <c r="MVE173" s="125"/>
      <c r="MVF173" s="125"/>
      <c r="MVG173" s="125"/>
      <c r="MVH173" s="125"/>
      <c r="MVI173" s="125"/>
      <c r="MVJ173" s="125"/>
      <c r="MVK173" s="125"/>
      <c r="MVL173" s="125"/>
      <c r="MVM173" s="125"/>
      <c r="MVN173" s="125"/>
      <c r="MVO173" s="125"/>
      <c r="MVP173" s="125"/>
      <c r="MVQ173" s="125"/>
      <c r="MVR173" s="125"/>
      <c r="MVS173" s="125"/>
      <c r="MVT173" s="125"/>
      <c r="MVU173" s="125"/>
      <c r="MVV173" s="125"/>
      <c r="MVW173" s="125"/>
      <c r="MVX173" s="125"/>
      <c r="MVY173" s="125"/>
      <c r="MVZ173" s="125"/>
      <c r="MWA173" s="125"/>
      <c r="MWB173" s="125"/>
      <c r="MWC173" s="125"/>
      <c r="MWD173" s="125"/>
      <c r="MWE173" s="125"/>
      <c r="MWF173" s="125"/>
      <c r="MWG173" s="125"/>
      <c r="MWH173" s="125"/>
      <c r="MWI173" s="125"/>
      <c r="MWJ173" s="125"/>
      <c r="MWK173" s="125"/>
      <c r="MWL173" s="125"/>
      <c r="MWM173" s="125"/>
      <c r="MWN173" s="125"/>
      <c r="MWO173" s="125"/>
      <c r="MWP173" s="125"/>
      <c r="MWQ173" s="125"/>
      <c r="MWR173" s="125"/>
      <c r="MWS173" s="125"/>
      <c r="MWT173" s="125"/>
      <c r="MWU173" s="125"/>
      <c r="MWV173" s="125"/>
      <c r="MWW173" s="125"/>
      <c r="MWX173" s="125"/>
      <c r="MWY173" s="125"/>
      <c r="MWZ173" s="125"/>
      <c r="MXA173" s="125"/>
      <c r="MXB173" s="125"/>
      <c r="MXC173" s="125"/>
      <c r="MXD173" s="125"/>
      <c r="MXE173" s="125"/>
      <c r="MXF173" s="125"/>
      <c r="MXG173" s="125"/>
      <c r="MXH173" s="125"/>
      <c r="MXI173" s="125"/>
      <c r="MXJ173" s="125"/>
      <c r="MXK173" s="125"/>
      <c r="MXL173" s="125"/>
      <c r="MXM173" s="125"/>
      <c r="MXN173" s="125"/>
      <c r="MXO173" s="125"/>
      <c r="MXP173" s="125"/>
      <c r="MXQ173" s="125"/>
      <c r="MXR173" s="125"/>
      <c r="MXS173" s="125"/>
      <c r="MXT173" s="125"/>
      <c r="MXU173" s="125"/>
      <c r="MXV173" s="125"/>
      <c r="MXW173" s="125"/>
      <c r="MXX173" s="125"/>
      <c r="MXY173" s="125"/>
      <c r="MXZ173" s="125"/>
      <c r="MYA173" s="125"/>
      <c r="MYB173" s="125"/>
      <c r="MYC173" s="125"/>
      <c r="MYD173" s="125"/>
      <c r="MYE173" s="125"/>
      <c r="MYF173" s="125"/>
      <c r="MYG173" s="125"/>
      <c r="MYH173" s="125"/>
      <c r="MYI173" s="125"/>
      <c r="MYJ173" s="125"/>
      <c r="MYK173" s="125"/>
      <c r="MYL173" s="125"/>
      <c r="MYM173" s="125"/>
      <c r="MYN173" s="125"/>
      <c r="MYO173" s="125"/>
      <c r="MYP173" s="125"/>
      <c r="MYQ173" s="125"/>
      <c r="MYR173" s="125"/>
      <c r="MYS173" s="125"/>
      <c r="MYT173" s="125"/>
      <c r="MYU173" s="125"/>
      <c r="MYV173" s="125"/>
      <c r="MYW173" s="125"/>
      <c r="MYX173" s="125"/>
      <c r="MYY173" s="125"/>
      <c r="MYZ173" s="125"/>
      <c r="MZA173" s="125"/>
      <c r="MZB173" s="125"/>
      <c r="MZC173" s="125"/>
      <c r="MZD173" s="125"/>
      <c r="MZE173" s="125"/>
      <c r="MZF173" s="125"/>
      <c r="MZG173" s="125"/>
      <c r="MZH173" s="125"/>
      <c r="MZI173" s="125"/>
      <c r="MZJ173" s="125"/>
      <c r="MZK173" s="125"/>
      <c r="MZL173" s="125"/>
      <c r="MZM173" s="125"/>
      <c r="MZN173" s="125"/>
      <c r="MZO173" s="125"/>
      <c r="MZP173" s="125"/>
      <c r="MZQ173" s="125"/>
      <c r="MZR173" s="125"/>
      <c r="MZS173" s="125"/>
      <c r="MZT173" s="125"/>
      <c r="MZU173" s="125"/>
      <c r="MZV173" s="125"/>
      <c r="MZW173" s="125"/>
      <c r="MZX173" s="125"/>
      <c r="MZY173" s="125"/>
      <c r="MZZ173" s="125"/>
      <c r="NAA173" s="125"/>
      <c r="NAB173" s="125"/>
      <c r="NAC173" s="125"/>
      <c r="NAD173" s="125"/>
      <c r="NAE173" s="125"/>
      <c r="NAF173" s="125"/>
      <c r="NAG173" s="125"/>
      <c r="NAH173" s="125"/>
      <c r="NAI173" s="125"/>
      <c r="NAJ173" s="125"/>
      <c r="NAK173" s="125"/>
      <c r="NAL173" s="125"/>
      <c r="NAM173" s="125"/>
      <c r="NAN173" s="125"/>
      <c r="NAO173" s="125"/>
      <c r="NAP173" s="125"/>
      <c r="NAQ173" s="125"/>
      <c r="NAR173" s="125"/>
      <c r="NAS173" s="125"/>
      <c r="NAT173" s="125"/>
      <c r="NAU173" s="125"/>
      <c r="NAV173" s="125"/>
      <c r="NAW173" s="125"/>
      <c r="NAX173" s="125"/>
      <c r="NAY173" s="125"/>
      <c r="NAZ173" s="125"/>
      <c r="NBA173" s="125"/>
      <c r="NBB173" s="125"/>
      <c r="NBC173" s="125"/>
      <c r="NBD173" s="125"/>
      <c r="NBE173" s="125"/>
      <c r="NBF173" s="125"/>
      <c r="NBG173" s="125"/>
      <c r="NBH173" s="125"/>
      <c r="NBI173" s="125"/>
      <c r="NBJ173" s="125"/>
      <c r="NBK173" s="125"/>
      <c r="NBL173" s="125"/>
      <c r="NBM173" s="125"/>
      <c r="NBN173" s="125"/>
      <c r="NBO173" s="125"/>
      <c r="NBP173" s="125"/>
      <c r="NBQ173" s="125"/>
      <c r="NBR173" s="125"/>
      <c r="NBS173" s="125"/>
      <c r="NBT173" s="125"/>
      <c r="NBU173" s="125"/>
      <c r="NBV173" s="125"/>
      <c r="NBW173" s="125"/>
      <c r="NBX173" s="125"/>
      <c r="NBY173" s="125"/>
      <c r="NBZ173" s="125"/>
      <c r="NCA173" s="125"/>
      <c r="NCB173" s="125"/>
      <c r="NCC173" s="125"/>
      <c r="NCD173" s="125"/>
      <c r="NCE173" s="125"/>
      <c r="NCF173" s="125"/>
      <c r="NCG173" s="125"/>
      <c r="NCH173" s="125"/>
      <c r="NCI173" s="125"/>
      <c r="NCJ173" s="125"/>
      <c r="NCK173" s="125"/>
      <c r="NCL173" s="125"/>
      <c r="NCM173" s="125"/>
      <c r="NCN173" s="125"/>
      <c r="NCO173" s="125"/>
      <c r="NCP173" s="125"/>
      <c r="NCQ173" s="125"/>
      <c r="NCR173" s="125"/>
      <c r="NCS173" s="125"/>
      <c r="NCT173" s="125"/>
      <c r="NCU173" s="125"/>
      <c r="NCV173" s="125"/>
      <c r="NCW173" s="125"/>
      <c r="NCX173" s="125"/>
      <c r="NCY173" s="125"/>
      <c r="NCZ173" s="125"/>
      <c r="NDA173" s="125"/>
      <c r="NDB173" s="125"/>
      <c r="NDC173" s="125"/>
      <c r="NDD173" s="125"/>
      <c r="NDE173" s="125"/>
      <c r="NDF173" s="125"/>
      <c r="NDG173" s="125"/>
      <c r="NDH173" s="125"/>
      <c r="NDI173" s="125"/>
      <c r="NDJ173" s="125"/>
      <c r="NDK173" s="125"/>
      <c r="NDL173" s="125"/>
      <c r="NDM173" s="125"/>
      <c r="NDN173" s="125"/>
      <c r="NDO173" s="125"/>
      <c r="NDP173" s="125"/>
      <c r="NDQ173" s="125"/>
      <c r="NDR173" s="125"/>
      <c r="NDS173" s="125"/>
      <c r="NDT173" s="125"/>
      <c r="NDU173" s="125"/>
      <c r="NDV173" s="125"/>
      <c r="NDW173" s="125"/>
      <c r="NDX173" s="125"/>
      <c r="NDY173" s="125"/>
      <c r="NDZ173" s="125"/>
      <c r="NEA173" s="125"/>
      <c r="NEB173" s="125"/>
      <c r="NEC173" s="125"/>
      <c r="NED173" s="125"/>
      <c r="NEE173" s="125"/>
      <c r="NEF173" s="125"/>
      <c r="NEG173" s="125"/>
      <c r="NEH173" s="125"/>
      <c r="NEI173" s="125"/>
      <c r="NEJ173" s="125"/>
      <c r="NEK173" s="125"/>
      <c r="NEL173" s="125"/>
      <c r="NEM173" s="125"/>
      <c r="NEN173" s="125"/>
      <c r="NEO173" s="125"/>
      <c r="NEP173" s="125"/>
      <c r="NEQ173" s="125"/>
      <c r="NER173" s="125"/>
      <c r="NES173" s="125"/>
      <c r="NET173" s="125"/>
      <c r="NEU173" s="125"/>
      <c r="NEV173" s="125"/>
      <c r="NEW173" s="125"/>
      <c r="NEX173" s="125"/>
      <c r="NEY173" s="125"/>
      <c r="NEZ173" s="125"/>
      <c r="NFA173" s="125"/>
      <c r="NFB173" s="125"/>
      <c r="NFC173" s="125"/>
      <c r="NFD173" s="125"/>
      <c r="NFE173" s="125"/>
      <c r="NFF173" s="125"/>
      <c r="NFG173" s="125"/>
      <c r="NFH173" s="125"/>
      <c r="NFI173" s="125"/>
      <c r="NFJ173" s="125"/>
      <c r="NFK173" s="125"/>
      <c r="NFL173" s="125"/>
      <c r="NFM173" s="125"/>
      <c r="NFN173" s="125"/>
      <c r="NFO173" s="125"/>
      <c r="NFP173" s="125"/>
      <c r="NFQ173" s="125"/>
      <c r="NFR173" s="125"/>
      <c r="NFS173" s="125"/>
      <c r="NFT173" s="125"/>
      <c r="NFU173" s="125"/>
      <c r="NFV173" s="125"/>
      <c r="NFW173" s="125"/>
      <c r="NFX173" s="125"/>
      <c r="NFY173" s="125"/>
      <c r="NFZ173" s="125"/>
      <c r="NGA173" s="125"/>
      <c r="NGB173" s="125"/>
      <c r="NGC173" s="125"/>
      <c r="NGD173" s="125"/>
      <c r="NGE173" s="125"/>
      <c r="NGF173" s="125"/>
      <c r="NGG173" s="125"/>
      <c r="NGH173" s="125"/>
      <c r="NGI173" s="125"/>
      <c r="NGJ173" s="125"/>
      <c r="NGK173" s="125"/>
      <c r="NGL173" s="125"/>
      <c r="NGM173" s="125"/>
      <c r="NGN173" s="125"/>
      <c r="NGO173" s="125"/>
      <c r="NGP173" s="125"/>
      <c r="NGQ173" s="125"/>
      <c r="NGR173" s="125"/>
      <c r="NGS173" s="125"/>
      <c r="NGT173" s="125"/>
      <c r="NGU173" s="125"/>
      <c r="NGV173" s="125"/>
      <c r="NGW173" s="125"/>
      <c r="NGX173" s="125"/>
      <c r="NGY173" s="125"/>
      <c r="NGZ173" s="125"/>
      <c r="NHA173" s="125"/>
      <c r="NHB173" s="125"/>
      <c r="NHC173" s="125"/>
      <c r="NHD173" s="125"/>
      <c r="NHE173" s="125"/>
      <c r="NHF173" s="125"/>
      <c r="NHG173" s="125"/>
      <c r="NHH173" s="125"/>
      <c r="NHI173" s="125"/>
      <c r="NHJ173" s="125"/>
      <c r="NHK173" s="125"/>
      <c r="NHL173" s="125"/>
      <c r="NHM173" s="125"/>
      <c r="NHN173" s="125"/>
      <c r="NHO173" s="125"/>
      <c r="NHP173" s="125"/>
      <c r="NHQ173" s="125"/>
      <c r="NHR173" s="125"/>
      <c r="NHS173" s="125"/>
      <c r="NHT173" s="125"/>
      <c r="NHU173" s="125"/>
      <c r="NHV173" s="125"/>
      <c r="NHW173" s="125"/>
      <c r="NHX173" s="125"/>
      <c r="NHY173" s="125"/>
      <c r="NHZ173" s="125"/>
      <c r="NIA173" s="125"/>
      <c r="NIB173" s="125"/>
      <c r="NIC173" s="125"/>
      <c r="NID173" s="125"/>
      <c r="NIE173" s="125"/>
      <c r="NIF173" s="125"/>
      <c r="NIG173" s="125"/>
      <c r="NIH173" s="125"/>
      <c r="NII173" s="125"/>
      <c r="NIJ173" s="125"/>
      <c r="NIK173" s="125"/>
      <c r="NIL173" s="125"/>
      <c r="NIM173" s="125"/>
      <c r="NIN173" s="125"/>
      <c r="NIO173" s="125"/>
      <c r="NIP173" s="125"/>
      <c r="NIQ173" s="125"/>
      <c r="NIR173" s="125"/>
      <c r="NIS173" s="125"/>
      <c r="NIT173" s="125"/>
      <c r="NIU173" s="125"/>
      <c r="NIV173" s="125"/>
      <c r="NIW173" s="125"/>
      <c r="NIX173" s="125"/>
      <c r="NIY173" s="125"/>
      <c r="NIZ173" s="125"/>
      <c r="NJA173" s="125"/>
      <c r="NJB173" s="125"/>
      <c r="NJC173" s="125"/>
      <c r="NJD173" s="125"/>
      <c r="NJE173" s="125"/>
      <c r="NJF173" s="125"/>
      <c r="NJG173" s="125"/>
      <c r="NJH173" s="125"/>
      <c r="NJI173" s="125"/>
      <c r="NJJ173" s="125"/>
      <c r="NJK173" s="125"/>
      <c r="NJL173" s="125"/>
      <c r="NJM173" s="125"/>
      <c r="NJN173" s="125"/>
      <c r="NJO173" s="125"/>
      <c r="NJP173" s="125"/>
      <c r="NJQ173" s="125"/>
      <c r="NJR173" s="125"/>
      <c r="NJS173" s="125"/>
      <c r="NJT173" s="125"/>
      <c r="NJU173" s="125"/>
      <c r="NJV173" s="125"/>
      <c r="NJW173" s="125"/>
      <c r="NJX173" s="125"/>
      <c r="NJY173" s="125"/>
      <c r="NJZ173" s="125"/>
      <c r="NKA173" s="125"/>
      <c r="NKB173" s="125"/>
      <c r="NKC173" s="125"/>
      <c r="NKD173" s="125"/>
      <c r="NKE173" s="125"/>
      <c r="NKF173" s="125"/>
      <c r="NKG173" s="125"/>
      <c r="NKH173" s="125"/>
      <c r="NKI173" s="125"/>
      <c r="NKJ173" s="125"/>
      <c r="NKK173" s="125"/>
      <c r="NKL173" s="125"/>
      <c r="NKM173" s="125"/>
      <c r="NKN173" s="125"/>
      <c r="NKO173" s="125"/>
      <c r="NKP173" s="125"/>
      <c r="NKQ173" s="125"/>
      <c r="NKR173" s="125"/>
      <c r="NKS173" s="125"/>
      <c r="NKT173" s="125"/>
      <c r="NKU173" s="125"/>
      <c r="NKV173" s="125"/>
      <c r="NKW173" s="125"/>
      <c r="NKX173" s="125"/>
      <c r="NKY173" s="125"/>
      <c r="NKZ173" s="125"/>
      <c r="NLA173" s="125"/>
      <c r="NLB173" s="125"/>
      <c r="NLC173" s="125"/>
      <c r="NLD173" s="125"/>
      <c r="NLE173" s="125"/>
      <c r="NLF173" s="125"/>
      <c r="NLG173" s="125"/>
      <c r="NLH173" s="125"/>
      <c r="NLI173" s="125"/>
      <c r="NLJ173" s="125"/>
      <c r="NLK173" s="125"/>
      <c r="NLL173" s="125"/>
      <c r="NLM173" s="125"/>
      <c r="NLN173" s="125"/>
      <c r="NLO173" s="125"/>
      <c r="NLP173" s="125"/>
      <c r="NLQ173" s="125"/>
      <c r="NLR173" s="125"/>
      <c r="NLS173" s="125"/>
      <c r="NLT173" s="125"/>
      <c r="NLU173" s="125"/>
      <c r="NLV173" s="125"/>
      <c r="NLW173" s="125"/>
      <c r="NLX173" s="125"/>
      <c r="NLY173" s="125"/>
      <c r="NLZ173" s="125"/>
      <c r="NMA173" s="125"/>
      <c r="NMB173" s="125"/>
      <c r="NMC173" s="125"/>
      <c r="NMD173" s="125"/>
      <c r="NME173" s="125"/>
      <c r="NMF173" s="125"/>
      <c r="NMG173" s="125"/>
      <c r="NMH173" s="125"/>
      <c r="NMI173" s="125"/>
      <c r="NMJ173" s="125"/>
      <c r="NMK173" s="125"/>
      <c r="NML173" s="125"/>
      <c r="NMM173" s="125"/>
      <c r="NMN173" s="125"/>
      <c r="NMO173" s="125"/>
      <c r="NMP173" s="125"/>
      <c r="NMQ173" s="125"/>
      <c r="NMR173" s="125"/>
      <c r="NMS173" s="125"/>
      <c r="NMT173" s="125"/>
      <c r="NMU173" s="125"/>
      <c r="NMV173" s="125"/>
      <c r="NMW173" s="125"/>
      <c r="NMX173" s="125"/>
      <c r="NMY173" s="125"/>
      <c r="NMZ173" s="125"/>
      <c r="NNA173" s="125"/>
      <c r="NNB173" s="125"/>
      <c r="NNC173" s="125"/>
      <c r="NND173" s="125"/>
      <c r="NNE173" s="125"/>
      <c r="NNF173" s="125"/>
      <c r="NNG173" s="125"/>
      <c r="NNH173" s="125"/>
      <c r="NNI173" s="125"/>
      <c r="NNJ173" s="125"/>
      <c r="NNK173" s="125"/>
      <c r="NNL173" s="125"/>
      <c r="NNM173" s="125"/>
      <c r="NNN173" s="125"/>
      <c r="NNO173" s="125"/>
      <c r="NNP173" s="125"/>
      <c r="NNQ173" s="125"/>
      <c r="NNR173" s="125"/>
      <c r="NNS173" s="125"/>
      <c r="NNT173" s="125"/>
      <c r="NNU173" s="125"/>
      <c r="NNV173" s="125"/>
      <c r="NNW173" s="125"/>
      <c r="NNX173" s="125"/>
      <c r="NNY173" s="125"/>
      <c r="NNZ173" s="125"/>
      <c r="NOA173" s="125"/>
      <c r="NOB173" s="125"/>
      <c r="NOC173" s="125"/>
      <c r="NOD173" s="125"/>
      <c r="NOE173" s="125"/>
      <c r="NOF173" s="125"/>
      <c r="NOG173" s="125"/>
      <c r="NOH173" s="125"/>
      <c r="NOI173" s="125"/>
      <c r="NOJ173" s="125"/>
      <c r="NOK173" s="125"/>
      <c r="NOL173" s="125"/>
      <c r="NOM173" s="125"/>
      <c r="NON173" s="125"/>
      <c r="NOO173" s="125"/>
      <c r="NOP173" s="125"/>
      <c r="NOQ173" s="125"/>
      <c r="NOR173" s="125"/>
      <c r="NOS173" s="125"/>
      <c r="NOT173" s="125"/>
      <c r="NOU173" s="125"/>
      <c r="NOV173" s="125"/>
      <c r="NOW173" s="125"/>
      <c r="NOX173" s="125"/>
      <c r="NOY173" s="125"/>
      <c r="NOZ173" s="125"/>
      <c r="NPA173" s="125"/>
      <c r="NPB173" s="125"/>
      <c r="NPC173" s="125"/>
      <c r="NPD173" s="125"/>
      <c r="NPE173" s="125"/>
      <c r="NPF173" s="125"/>
      <c r="NPG173" s="125"/>
      <c r="NPH173" s="125"/>
      <c r="NPI173" s="125"/>
      <c r="NPJ173" s="125"/>
      <c r="NPK173" s="125"/>
      <c r="NPL173" s="125"/>
      <c r="NPM173" s="125"/>
      <c r="NPN173" s="125"/>
      <c r="NPO173" s="125"/>
      <c r="NPP173" s="125"/>
      <c r="NPQ173" s="125"/>
      <c r="NPR173" s="125"/>
      <c r="NPS173" s="125"/>
      <c r="NPT173" s="125"/>
      <c r="NPU173" s="125"/>
      <c r="NPV173" s="125"/>
      <c r="NPW173" s="125"/>
      <c r="NPX173" s="125"/>
      <c r="NPY173" s="125"/>
      <c r="NPZ173" s="125"/>
      <c r="NQA173" s="125"/>
      <c r="NQB173" s="125"/>
      <c r="NQC173" s="125"/>
      <c r="NQD173" s="125"/>
      <c r="NQE173" s="125"/>
      <c r="NQF173" s="125"/>
      <c r="NQG173" s="125"/>
      <c r="NQH173" s="125"/>
      <c r="NQI173" s="125"/>
      <c r="NQJ173" s="125"/>
      <c r="NQK173" s="125"/>
      <c r="NQL173" s="125"/>
      <c r="NQM173" s="125"/>
      <c r="NQN173" s="125"/>
      <c r="NQO173" s="125"/>
      <c r="NQP173" s="125"/>
      <c r="NQQ173" s="125"/>
      <c r="NQR173" s="125"/>
      <c r="NQS173" s="125"/>
      <c r="NQT173" s="125"/>
      <c r="NQU173" s="125"/>
      <c r="NQV173" s="125"/>
      <c r="NQW173" s="125"/>
      <c r="NQX173" s="125"/>
      <c r="NQY173" s="125"/>
      <c r="NQZ173" s="125"/>
      <c r="NRA173" s="125"/>
      <c r="NRB173" s="125"/>
      <c r="NRC173" s="125"/>
      <c r="NRD173" s="125"/>
      <c r="NRE173" s="125"/>
      <c r="NRF173" s="125"/>
      <c r="NRG173" s="125"/>
      <c r="NRH173" s="125"/>
      <c r="NRI173" s="125"/>
      <c r="NRJ173" s="125"/>
      <c r="NRK173" s="125"/>
      <c r="NRL173" s="125"/>
      <c r="NRM173" s="125"/>
      <c r="NRN173" s="125"/>
      <c r="NRO173" s="125"/>
      <c r="NRP173" s="125"/>
      <c r="NRQ173" s="125"/>
      <c r="NRR173" s="125"/>
      <c r="NRS173" s="125"/>
      <c r="NRT173" s="125"/>
      <c r="NRU173" s="125"/>
      <c r="NRV173" s="125"/>
      <c r="NRW173" s="125"/>
      <c r="NRX173" s="125"/>
      <c r="NRY173" s="125"/>
      <c r="NRZ173" s="125"/>
      <c r="NSA173" s="125"/>
      <c r="NSB173" s="125"/>
      <c r="NSC173" s="125"/>
      <c r="NSD173" s="125"/>
      <c r="NSE173" s="125"/>
      <c r="NSF173" s="125"/>
      <c r="NSG173" s="125"/>
      <c r="NSH173" s="125"/>
      <c r="NSI173" s="125"/>
      <c r="NSJ173" s="125"/>
      <c r="NSK173" s="125"/>
      <c r="NSL173" s="125"/>
      <c r="NSM173" s="125"/>
      <c r="NSN173" s="125"/>
      <c r="NSO173" s="125"/>
      <c r="NSP173" s="125"/>
      <c r="NSQ173" s="125"/>
      <c r="NSR173" s="125"/>
      <c r="NSS173" s="125"/>
      <c r="NST173" s="125"/>
      <c r="NSU173" s="125"/>
      <c r="NSV173" s="125"/>
      <c r="NSW173" s="125"/>
      <c r="NSX173" s="125"/>
      <c r="NSY173" s="125"/>
      <c r="NSZ173" s="125"/>
      <c r="NTA173" s="125"/>
      <c r="NTB173" s="125"/>
      <c r="NTC173" s="125"/>
      <c r="NTD173" s="125"/>
      <c r="NTE173" s="125"/>
      <c r="NTF173" s="125"/>
      <c r="NTG173" s="125"/>
      <c r="NTH173" s="125"/>
      <c r="NTI173" s="125"/>
      <c r="NTJ173" s="125"/>
      <c r="NTK173" s="125"/>
      <c r="NTL173" s="125"/>
      <c r="NTM173" s="125"/>
      <c r="NTN173" s="125"/>
      <c r="NTO173" s="125"/>
      <c r="NTP173" s="125"/>
      <c r="NTQ173" s="125"/>
      <c r="NTR173" s="125"/>
      <c r="NTS173" s="125"/>
      <c r="NTT173" s="125"/>
      <c r="NTU173" s="125"/>
      <c r="NTV173" s="125"/>
      <c r="NTW173" s="125"/>
      <c r="NTX173" s="125"/>
      <c r="NTY173" s="125"/>
      <c r="NTZ173" s="125"/>
      <c r="NUA173" s="125"/>
      <c r="NUB173" s="125"/>
      <c r="NUC173" s="125"/>
      <c r="NUD173" s="125"/>
      <c r="NUE173" s="125"/>
      <c r="NUF173" s="125"/>
      <c r="NUG173" s="125"/>
      <c r="NUH173" s="125"/>
      <c r="NUI173" s="125"/>
      <c r="NUJ173" s="125"/>
      <c r="NUK173" s="125"/>
      <c r="NUL173" s="125"/>
      <c r="NUM173" s="125"/>
      <c r="NUN173" s="125"/>
      <c r="NUO173" s="125"/>
      <c r="NUP173" s="125"/>
      <c r="NUQ173" s="125"/>
      <c r="NUR173" s="125"/>
      <c r="NUS173" s="125"/>
      <c r="NUT173" s="125"/>
      <c r="NUU173" s="125"/>
      <c r="NUV173" s="125"/>
      <c r="NUW173" s="125"/>
      <c r="NUX173" s="125"/>
      <c r="NUY173" s="125"/>
      <c r="NUZ173" s="125"/>
      <c r="NVA173" s="125"/>
      <c r="NVB173" s="125"/>
      <c r="NVC173" s="125"/>
      <c r="NVD173" s="125"/>
      <c r="NVE173" s="125"/>
      <c r="NVF173" s="125"/>
      <c r="NVG173" s="125"/>
      <c r="NVH173" s="125"/>
      <c r="NVI173" s="125"/>
      <c r="NVJ173" s="125"/>
      <c r="NVK173" s="125"/>
      <c r="NVL173" s="125"/>
      <c r="NVM173" s="125"/>
      <c r="NVN173" s="125"/>
      <c r="NVO173" s="125"/>
      <c r="NVP173" s="125"/>
      <c r="NVQ173" s="125"/>
      <c r="NVR173" s="125"/>
      <c r="NVS173" s="125"/>
      <c r="NVT173" s="125"/>
      <c r="NVU173" s="125"/>
      <c r="NVV173" s="125"/>
      <c r="NVW173" s="125"/>
      <c r="NVX173" s="125"/>
      <c r="NVY173" s="125"/>
      <c r="NVZ173" s="125"/>
      <c r="NWA173" s="125"/>
      <c r="NWB173" s="125"/>
      <c r="NWC173" s="125"/>
      <c r="NWD173" s="125"/>
      <c r="NWE173" s="125"/>
      <c r="NWF173" s="125"/>
      <c r="NWG173" s="125"/>
      <c r="NWH173" s="125"/>
      <c r="NWI173" s="125"/>
      <c r="NWJ173" s="125"/>
      <c r="NWK173" s="125"/>
      <c r="NWL173" s="125"/>
      <c r="NWM173" s="125"/>
      <c r="NWN173" s="125"/>
      <c r="NWO173" s="125"/>
      <c r="NWP173" s="125"/>
      <c r="NWQ173" s="125"/>
      <c r="NWR173" s="125"/>
      <c r="NWS173" s="125"/>
      <c r="NWT173" s="125"/>
      <c r="NWU173" s="125"/>
      <c r="NWV173" s="125"/>
      <c r="NWW173" s="125"/>
      <c r="NWX173" s="125"/>
      <c r="NWY173" s="125"/>
      <c r="NWZ173" s="125"/>
      <c r="NXA173" s="125"/>
      <c r="NXB173" s="125"/>
      <c r="NXC173" s="125"/>
      <c r="NXD173" s="125"/>
      <c r="NXE173" s="125"/>
      <c r="NXF173" s="125"/>
      <c r="NXG173" s="125"/>
      <c r="NXH173" s="125"/>
      <c r="NXI173" s="125"/>
      <c r="NXJ173" s="125"/>
      <c r="NXK173" s="125"/>
      <c r="NXL173" s="125"/>
      <c r="NXM173" s="125"/>
      <c r="NXN173" s="125"/>
      <c r="NXO173" s="125"/>
      <c r="NXP173" s="125"/>
      <c r="NXQ173" s="125"/>
      <c r="NXR173" s="125"/>
      <c r="NXS173" s="125"/>
      <c r="NXT173" s="125"/>
      <c r="NXU173" s="125"/>
      <c r="NXV173" s="125"/>
      <c r="NXW173" s="125"/>
      <c r="NXX173" s="125"/>
      <c r="NXY173" s="125"/>
      <c r="NXZ173" s="125"/>
      <c r="NYA173" s="125"/>
      <c r="NYB173" s="125"/>
      <c r="NYC173" s="125"/>
      <c r="NYD173" s="125"/>
      <c r="NYE173" s="125"/>
      <c r="NYF173" s="125"/>
      <c r="NYG173" s="125"/>
      <c r="NYH173" s="125"/>
      <c r="NYI173" s="125"/>
      <c r="NYJ173" s="125"/>
      <c r="NYK173" s="125"/>
      <c r="NYL173" s="125"/>
      <c r="NYM173" s="125"/>
      <c r="NYN173" s="125"/>
      <c r="NYO173" s="125"/>
      <c r="NYP173" s="125"/>
      <c r="NYQ173" s="125"/>
      <c r="NYR173" s="125"/>
      <c r="NYS173" s="125"/>
      <c r="NYT173" s="125"/>
      <c r="NYU173" s="125"/>
      <c r="NYV173" s="125"/>
      <c r="NYW173" s="125"/>
      <c r="NYX173" s="125"/>
      <c r="NYY173" s="125"/>
      <c r="NYZ173" s="125"/>
      <c r="NZA173" s="125"/>
      <c r="NZB173" s="125"/>
      <c r="NZC173" s="125"/>
      <c r="NZD173" s="125"/>
      <c r="NZE173" s="125"/>
      <c r="NZF173" s="125"/>
      <c r="NZG173" s="125"/>
      <c r="NZH173" s="125"/>
      <c r="NZI173" s="125"/>
      <c r="NZJ173" s="125"/>
      <c r="NZK173" s="125"/>
      <c r="NZL173" s="125"/>
      <c r="NZM173" s="125"/>
      <c r="NZN173" s="125"/>
      <c r="NZO173" s="125"/>
      <c r="NZP173" s="125"/>
      <c r="NZQ173" s="125"/>
      <c r="NZR173" s="125"/>
      <c r="NZS173" s="125"/>
      <c r="NZT173" s="125"/>
      <c r="NZU173" s="125"/>
      <c r="NZV173" s="125"/>
      <c r="NZW173" s="125"/>
      <c r="NZX173" s="125"/>
      <c r="NZY173" s="125"/>
      <c r="NZZ173" s="125"/>
      <c r="OAA173" s="125"/>
      <c r="OAB173" s="125"/>
      <c r="OAC173" s="125"/>
      <c r="OAD173" s="125"/>
      <c r="OAE173" s="125"/>
      <c r="OAF173" s="125"/>
      <c r="OAG173" s="125"/>
      <c r="OAH173" s="125"/>
      <c r="OAI173" s="125"/>
      <c r="OAJ173" s="125"/>
      <c r="OAK173" s="125"/>
      <c r="OAL173" s="125"/>
      <c r="OAM173" s="125"/>
      <c r="OAN173" s="125"/>
      <c r="OAO173" s="125"/>
      <c r="OAP173" s="125"/>
      <c r="OAQ173" s="125"/>
      <c r="OAR173" s="125"/>
      <c r="OAS173" s="125"/>
      <c r="OAT173" s="125"/>
      <c r="OAU173" s="125"/>
      <c r="OAV173" s="125"/>
      <c r="OAW173" s="125"/>
      <c r="OAX173" s="125"/>
      <c r="OAY173" s="125"/>
      <c r="OAZ173" s="125"/>
      <c r="OBA173" s="125"/>
      <c r="OBB173" s="125"/>
      <c r="OBC173" s="125"/>
      <c r="OBD173" s="125"/>
      <c r="OBE173" s="125"/>
      <c r="OBF173" s="125"/>
      <c r="OBG173" s="125"/>
      <c r="OBH173" s="125"/>
      <c r="OBI173" s="125"/>
      <c r="OBJ173" s="125"/>
      <c r="OBK173" s="125"/>
      <c r="OBL173" s="125"/>
      <c r="OBM173" s="125"/>
      <c r="OBN173" s="125"/>
      <c r="OBO173" s="125"/>
      <c r="OBP173" s="125"/>
      <c r="OBQ173" s="125"/>
      <c r="OBR173" s="125"/>
      <c r="OBS173" s="125"/>
      <c r="OBT173" s="125"/>
      <c r="OBU173" s="125"/>
      <c r="OBV173" s="125"/>
      <c r="OBW173" s="125"/>
      <c r="OBX173" s="125"/>
      <c r="OBY173" s="125"/>
      <c r="OBZ173" s="125"/>
      <c r="OCA173" s="125"/>
      <c r="OCB173" s="125"/>
      <c r="OCC173" s="125"/>
      <c r="OCD173" s="125"/>
      <c r="OCE173" s="125"/>
      <c r="OCF173" s="125"/>
      <c r="OCG173" s="125"/>
      <c r="OCH173" s="125"/>
      <c r="OCI173" s="125"/>
      <c r="OCJ173" s="125"/>
      <c r="OCK173" s="125"/>
      <c r="OCL173" s="125"/>
      <c r="OCM173" s="125"/>
      <c r="OCN173" s="125"/>
      <c r="OCO173" s="125"/>
      <c r="OCP173" s="125"/>
      <c r="OCQ173" s="125"/>
      <c r="OCR173" s="125"/>
      <c r="OCS173" s="125"/>
      <c r="OCT173" s="125"/>
      <c r="OCU173" s="125"/>
      <c r="OCV173" s="125"/>
      <c r="OCW173" s="125"/>
      <c r="OCX173" s="125"/>
      <c r="OCY173" s="125"/>
      <c r="OCZ173" s="125"/>
      <c r="ODA173" s="125"/>
      <c r="ODB173" s="125"/>
      <c r="ODC173" s="125"/>
      <c r="ODD173" s="125"/>
      <c r="ODE173" s="125"/>
      <c r="ODF173" s="125"/>
      <c r="ODG173" s="125"/>
      <c r="ODH173" s="125"/>
      <c r="ODI173" s="125"/>
      <c r="ODJ173" s="125"/>
      <c r="ODK173" s="125"/>
      <c r="ODL173" s="125"/>
      <c r="ODM173" s="125"/>
      <c r="ODN173" s="125"/>
      <c r="ODO173" s="125"/>
      <c r="ODP173" s="125"/>
      <c r="ODQ173" s="125"/>
      <c r="ODR173" s="125"/>
      <c r="ODS173" s="125"/>
      <c r="ODT173" s="125"/>
      <c r="ODU173" s="125"/>
      <c r="ODV173" s="125"/>
      <c r="ODW173" s="125"/>
      <c r="ODX173" s="125"/>
      <c r="ODY173" s="125"/>
      <c r="ODZ173" s="125"/>
      <c r="OEA173" s="125"/>
      <c r="OEB173" s="125"/>
      <c r="OEC173" s="125"/>
      <c r="OED173" s="125"/>
      <c r="OEE173" s="125"/>
      <c r="OEF173" s="125"/>
      <c r="OEG173" s="125"/>
      <c r="OEH173" s="125"/>
      <c r="OEI173" s="125"/>
      <c r="OEJ173" s="125"/>
      <c r="OEK173" s="125"/>
      <c r="OEL173" s="125"/>
      <c r="OEM173" s="125"/>
      <c r="OEN173" s="125"/>
      <c r="OEO173" s="125"/>
      <c r="OEP173" s="125"/>
      <c r="OEQ173" s="125"/>
      <c r="OER173" s="125"/>
      <c r="OES173" s="125"/>
      <c r="OET173" s="125"/>
      <c r="OEU173" s="125"/>
      <c r="OEV173" s="125"/>
      <c r="OEW173" s="125"/>
      <c r="OEX173" s="125"/>
      <c r="OEY173" s="125"/>
      <c r="OEZ173" s="125"/>
      <c r="OFA173" s="125"/>
      <c r="OFB173" s="125"/>
      <c r="OFC173" s="125"/>
      <c r="OFD173" s="125"/>
      <c r="OFE173" s="125"/>
      <c r="OFF173" s="125"/>
      <c r="OFG173" s="125"/>
      <c r="OFH173" s="125"/>
      <c r="OFI173" s="125"/>
      <c r="OFJ173" s="125"/>
      <c r="OFK173" s="125"/>
      <c r="OFL173" s="125"/>
      <c r="OFM173" s="125"/>
      <c r="OFN173" s="125"/>
      <c r="OFO173" s="125"/>
      <c r="OFP173" s="125"/>
      <c r="OFQ173" s="125"/>
      <c r="OFR173" s="125"/>
      <c r="OFS173" s="125"/>
      <c r="OFT173" s="125"/>
      <c r="OFU173" s="125"/>
      <c r="OFV173" s="125"/>
      <c r="OFW173" s="125"/>
      <c r="OFX173" s="125"/>
      <c r="OFY173" s="125"/>
      <c r="OFZ173" s="125"/>
      <c r="OGA173" s="125"/>
      <c r="OGB173" s="125"/>
      <c r="OGC173" s="125"/>
      <c r="OGD173" s="125"/>
      <c r="OGE173" s="125"/>
      <c r="OGF173" s="125"/>
      <c r="OGG173" s="125"/>
      <c r="OGH173" s="125"/>
      <c r="OGI173" s="125"/>
      <c r="OGJ173" s="125"/>
      <c r="OGK173" s="125"/>
      <c r="OGL173" s="125"/>
      <c r="OGM173" s="125"/>
      <c r="OGN173" s="125"/>
      <c r="OGO173" s="125"/>
      <c r="OGP173" s="125"/>
      <c r="OGQ173" s="125"/>
      <c r="OGR173" s="125"/>
      <c r="OGS173" s="125"/>
      <c r="OGT173" s="125"/>
      <c r="OGU173" s="125"/>
      <c r="OGV173" s="125"/>
      <c r="OGW173" s="125"/>
      <c r="OGX173" s="125"/>
      <c r="OGY173" s="125"/>
      <c r="OGZ173" s="125"/>
      <c r="OHA173" s="125"/>
      <c r="OHB173" s="125"/>
      <c r="OHC173" s="125"/>
      <c r="OHD173" s="125"/>
      <c r="OHE173" s="125"/>
      <c r="OHF173" s="125"/>
      <c r="OHG173" s="125"/>
      <c r="OHH173" s="125"/>
      <c r="OHI173" s="125"/>
      <c r="OHJ173" s="125"/>
      <c r="OHK173" s="125"/>
      <c r="OHL173" s="125"/>
      <c r="OHM173" s="125"/>
      <c r="OHN173" s="125"/>
      <c r="OHO173" s="125"/>
      <c r="OHP173" s="125"/>
      <c r="OHQ173" s="125"/>
      <c r="OHR173" s="125"/>
      <c r="OHS173" s="125"/>
      <c r="OHT173" s="125"/>
      <c r="OHU173" s="125"/>
      <c r="OHV173" s="125"/>
      <c r="OHW173" s="125"/>
      <c r="OHX173" s="125"/>
      <c r="OHY173" s="125"/>
      <c r="OHZ173" s="125"/>
      <c r="OIA173" s="125"/>
      <c r="OIB173" s="125"/>
      <c r="OIC173" s="125"/>
      <c r="OID173" s="125"/>
      <c r="OIE173" s="125"/>
      <c r="OIF173" s="125"/>
      <c r="OIG173" s="125"/>
      <c r="OIH173" s="125"/>
      <c r="OII173" s="125"/>
      <c r="OIJ173" s="125"/>
      <c r="OIK173" s="125"/>
      <c r="OIL173" s="125"/>
      <c r="OIM173" s="125"/>
      <c r="OIN173" s="125"/>
      <c r="OIO173" s="125"/>
      <c r="OIP173" s="125"/>
      <c r="OIQ173" s="125"/>
      <c r="OIR173" s="125"/>
      <c r="OIS173" s="125"/>
      <c r="OIT173" s="125"/>
      <c r="OIU173" s="125"/>
      <c r="OIV173" s="125"/>
      <c r="OIW173" s="125"/>
      <c r="OIX173" s="125"/>
      <c r="OIY173" s="125"/>
      <c r="OIZ173" s="125"/>
      <c r="OJA173" s="125"/>
      <c r="OJB173" s="125"/>
      <c r="OJC173" s="125"/>
      <c r="OJD173" s="125"/>
      <c r="OJE173" s="125"/>
      <c r="OJF173" s="125"/>
      <c r="OJG173" s="125"/>
      <c r="OJH173" s="125"/>
      <c r="OJI173" s="125"/>
      <c r="OJJ173" s="125"/>
      <c r="OJK173" s="125"/>
      <c r="OJL173" s="125"/>
      <c r="OJM173" s="125"/>
      <c r="OJN173" s="125"/>
      <c r="OJO173" s="125"/>
      <c r="OJP173" s="125"/>
      <c r="OJQ173" s="125"/>
      <c r="OJR173" s="125"/>
      <c r="OJS173" s="125"/>
      <c r="OJT173" s="125"/>
      <c r="OJU173" s="125"/>
      <c r="OJV173" s="125"/>
      <c r="OJW173" s="125"/>
      <c r="OJX173" s="125"/>
      <c r="OJY173" s="125"/>
      <c r="OJZ173" s="125"/>
      <c r="OKA173" s="125"/>
      <c r="OKB173" s="125"/>
      <c r="OKC173" s="125"/>
      <c r="OKD173" s="125"/>
      <c r="OKE173" s="125"/>
      <c r="OKF173" s="125"/>
      <c r="OKG173" s="125"/>
      <c r="OKH173" s="125"/>
      <c r="OKI173" s="125"/>
      <c r="OKJ173" s="125"/>
      <c r="OKK173" s="125"/>
      <c r="OKL173" s="125"/>
      <c r="OKM173" s="125"/>
      <c r="OKN173" s="125"/>
      <c r="OKO173" s="125"/>
      <c r="OKP173" s="125"/>
      <c r="OKQ173" s="125"/>
      <c r="OKR173" s="125"/>
      <c r="OKS173" s="125"/>
      <c r="OKT173" s="125"/>
      <c r="OKU173" s="125"/>
      <c r="OKV173" s="125"/>
      <c r="OKW173" s="125"/>
      <c r="OKX173" s="125"/>
      <c r="OKY173" s="125"/>
      <c r="OKZ173" s="125"/>
      <c r="OLA173" s="125"/>
      <c r="OLB173" s="125"/>
      <c r="OLC173" s="125"/>
      <c r="OLD173" s="125"/>
      <c r="OLE173" s="125"/>
      <c r="OLF173" s="125"/>
      <c r="OLG173" s="125"/>
      <c r="OLH173" s="125"/>
      <c r="OLI173" s="125"/>
      <c r="OLJ173" s="125"/>
      <c r="OLK173" s="125"/>
      <c r="OLL173" s="125"/>
      <c r="OLM173" s="125"/>
      <c r="OLN173" s="125"/>
      <c r="OLO173" s="125"/>
      <c r="OLP173" s="125"/>
      <c r="OLQ173" s="125"/>
      <c r="OLR173" s="125"/>
      <c r="OLS173" s="125"/>
      <c r="OLT173" s="125"/>
      <c r="OLU173" s="125"/>
      <c r="OLV173" s="125"/>
      <c r="OLW173" s="125"/>
      <c r="OLX173" s="125"/>
      <c r="OLY173" s="125"/>
      <c r="OLZ173" s="125"/>
      <c r="OMA173" s="125"/>
      <c r="OMB173" s="125"/>
      <c r="OMC173" s="125"/>
      <c r="OMD173" s="125"/>
      <c r="OME173" s="125"/>
      <c r="OMF173" s="125"/>
      <c r="OMG173" s="125"/>
      <c r="OMH173" s="125"/>
      <c r="OMI173" s="125"/>
      <c r="OMJ173" s="125"/>
      <c r="OMK173" s="125"/>
      <c r="OML173" s="125"/>
      <c r="OMM173" s="125"/>
      <c r="OMN173" s="125"/>
      <c r="OMO173" s="125"/>
      <c r="OMP173" s="125"/>
      <c r="OMQ173" s="125"/>
      <c r="OMR173" s="125"/>
      <c r="OMS173" s="125"/>
      <c r="OMT173" s="125"/>
      <c r="OMU173" s="125"/>
      <c r="OMV173" s="125"/>
      <c r="OMW173" s="125"/>
      <c r="OMX173" s="125"/>
      <c r="OMY173" s="125"/>
      <c r="OMZ173" s="125"/>
      <c r="ONA173" s="125"/>
      <c r="ONB173" s="125"/>
      <c r="ONC173" s="125"/>
      <c r="OND173" s="125"/>
      <c r="ONE173" s="125"/>
      <c r="ONF173" s="125"/>
      <c r="ONG173" s="125"/>
      <c r="ONH173" s="125"/>
      <c r="ONI173" s="125"/>
      <c r="ONJ173" s="125"/>
      <c r="ONK173" s="125"/>
      <c r="ONL173" s="125"/>
      <c r="ONM173" s="125"/>
      <c r="ONN173" s="125"/>
      <c r="ONO173" s="125"/>
      <c r="ONP173" s="125"/>
      <c r="ONQ173" s="125"/>
      <c r="ONR173" s="125"/>
      <c r="ONS173" s="125"/>
      <c r="ONT173" s="125"/>
      <c r="ONU173" s="125"/>
      <c r="ONV173" s="125"/>
      <c r="ONW173" s="125"/>
      <c r="ONX173" s="125"/>
      <c r="ONY173" s="125"/>
      <c r="ONZ173" s="125"/>
      <c r="OOA173" s="125"/>
      <c r="OOB173" s="125"/>
      <c r="OOC173" s="125"/>
      <c r="OOD173" s="125"/>
      <c r="OOE173" s="125"/>
      <c r="OOF173" s="125"/>
      <c r="OOG173" s="125"/>
      <c r="OOH173" s="125"/>
      <c r="OOI173" s="125"/>
      <c r="OOJ173" s="125"/>
      <c r="OOK173" s="125"/>
      <c r="OOL173" s="125"/>
      <c r="OOM173" s="125"/>
      <c r="OON173" s="125"/>
      <c r="OOO173" s="125"/>
      <c r="OOP173" s="125"/>
      <c r="OOQ173" s="125"/>
      <c r="OOR173" s="125"/>
      <c r="OOS173" s="125"/>
      <c r="OOT173" s="125"/>
      <c r="OOU173" s="125"/>
      <c r="OOV173" s="125"/>
      <c r="OOW173" s="125"/>
      <c r="OOX173" s="125"/>
      <c r="OOY173" s="125"/>
      <c r="OOZ173" s="125"/>
      <c r="OPA173" s="125"/>
      <c r="OPB173" s="125"/>
      <c r="OPC173" s="125"/>
      <c r="OPD173" s="125"/>
      <c r="OPE173" s="125"/>
      <c r="OPF173" s="125"/>
      <c r="OPG173" s="125"/>
      <c r="OPH173" s="125"/>
      <c r="OPI173" s="125"/>
      <c r="OPJ173" s="125"/>
      <c r="OPK173" s="125"/>
      <c r="OPL173" s="125"/>
      <c r="OPM173" s="125"/>
      <c r="OPN173" s="125"/>
      <c r="OPO173" s="125"/>
      <c r="OPP173" s="125"/>
      <c r="OPQ173" s="125"/>
      <c r="OPR173" s="125"/>
      <c r="OPS173" s="125"/>
      <c r="OPT173" s="125"/>
      <c r="OPU173" s="125"/>
      <c r="OPV173" s="125"/>
      <c r="OPW173" s="125"/>
      <c r="OPX173" s="125"/>
      <c r="OPY173" s="125"/>
      <c r="OPZ173" s="125"/>
      <c r="OQA173" s="125"/>
      <c r="OQB173" s="125"/>
      <c r="OQC173" s="125"/>
      <c r="OQD173" s="125"/>
      <c r="OQE173" s="125"/>
      <c r="OQF173" s="125"/>
      <c r="OQG173" s="125"/>
      <c r="OQH173" s="125"/>
      <c r="OQI173" s="125"/>
      <c r="OQJ173" s="125"/>
      <c r="OQK173" s="125"/>
      <c r="OQL173" s="125"/>
      <c r="OQM173" s="125"/>
      <c r="OQN173" s="125"/>
      <c r="OQO173" s="125"/>
      <c r="OQP173" s="125"/>
      <c r="OQQ173" s="125"/>
      <c r="OQR173" s="125"/>
      <c r="OQS173" s="125"/>
      <c r="OQT173" s="125"/>
      <c r="OQU173" s="125"/>
      <c r="OQV173" s="125"/>
      <c r="OQW173" s="125"/>
      <c r="OQX173" s="125"/>
      <c r="OQY173" s="125"/>
      <c r="OQZ173" s="125"/>
      <c r="ORA173" s="125"/>
      <c r="ORB173" s="125"/>
      <c r="ORC173" s="125"/>
      <c r="ORD173" s="125"/>
      <c r="ORE173" s="125"/>
      <c r="ORF173" s="125"/>
      <c r="ORG173" s="125"/>
      <c r="ORH173" s="125"/>
      <c r="ORI173" s="125"/>
      <c r="ORJ173" s="125"/>
      <c r="ORK173" s="125"/>
      <c r="ORL173" s="125"/>
      <c r="ORM173" s="125"/>
      <c r="ORN173" s="125"/>
      <c r="ORO173" s="125"/>
      <c r="ORP173" s="125"/>
      <c r="ORQ173" s="125"/>
      <c r="ORR173" s="125"/>
      <c r="ORS173" s="125"/>
      <c r="ORT173" s="125"/>
      <c r="ORU173" s="125"/>
      <c r="ORV173" s="125"/>
      <c r="ORW173" s="125"/>
      <c r="ORX173" s="125"/>
      <c r="ORY173" s="125"/>
      <c r="ORZ173" s="125"/>
      <c r="OSA173" s="125"/>
      <c r="OSB173" s="125"/>
      <c r="OSC173" s="125"/>
      <c r="OSD173" s="125"/>
      <c r="OSE173" s="125"/>
      <c r="OSF173" s="125"/>
      <c r="OSG173" s="125"/>
      <c r="OSH173" s="125"/>
      <c r="OSI173" s="125"/>
      <c r="OSJ173" s="125"/>
      <c r="OSK173" s="125"/>
      <c r="OSL173" s="125"/>
      <c r="OSM173" s="125"/>
      <c r="OSN173" s="125"/>
      <c r="OSO173" s="125"/>
      <c r="OSP173" s="125"/>
      <c r="OSQ173" s="125"/>
      <c r="OSR173" s="125"/>
      <c r="OSS173" s="125"/>
      <c r="OST173" s="125"/>
      <c r="OSU173" s="125"/>
      <c r="OSV173" s="125"/>
      <c r="OSW173" s="125"/>
      <c r="OSX173" s="125"/>
      <c r="OSY173" s="125"/>
      <c r="OSZ173" s="125"/>
      <c r="OTA173" s="125"/>
      <c r="OTB173" s="125"/>
      <c r="OTC173" s="125"/>
      <c r="OTD173" s="125"/>
      <c r="OTE173" s="125"/>
      <c r="OTF173" s="125"/>
      <c r="OTG173" s="125"/>
      <c r="OTH173" s="125"/>
      <c r="OTI173" s="125"/>
      <c r="OTJ173" s="125"/>
      <c r="OTK173" s="125"/>
      <c r="OTL173" s="125"/>
      <c r="OTM173" s="125"/>
      <c r="OTN173" s="125"/>
      <c r="OTO173" s="125"/>
      <c r="OTP173" s="125"/>
      <c r="OTQ173" s="125"/>
      <c r="OTR173" s="125"/>
      <c r="OTS173" s="125"/>
      <c r="OTT173" s="125"/>
      <c r="OTU173" s="125"/>
      <c r="OTV173" s="125"/>
      <c r="OTW173" s="125"/>
      <c r="OTX173" s="125"/>
      <c r="OTY173" s="125"/>
      <c r="OTZ173" s="125"/>
      <c r="OUA173" s="125"/>
      <c r="OUB173" s="125"/>
      <c r="OUC173" s="125"/>
      <c r="OUD173" s="125"/>
      <c r="OUE173" s="125"/>
      <c r="OUF173" s="125"/>
      <c r="OUG173" s="125"/>
      <c r="OUH173" s="125"/>
      <c r="OUI173" s="125"/>
      <c r="OUJ173" s="125"/>
      <c r="OUK173" s="125"/>
      <c r="OUL173" s="125"/>
      <c r="OUM173" s="125"/>
      <c r="OUN173" s="125"/>
      <c r="OUO173" s="125"/>
      <c r="OUP173" s="125"/>
      <c r="OUQ173" s="125"/>
      <c r="OUR173" s="125"/>
      <c r="OUS173" s="125"/>
      <c r="OUT173" s="125"/>
      <c r="OUU173" s="125"/>
      <c r="OUV173" s="125"/>
      <c r="OUW173" s="125"/>
      <c r="OUX173" s="125"/>
      <c r="OUY173" s="125"/>
      <c r="OUZ173" s="125"/>
      <c r="OVA173" s="125"/>
      <c r="OVB173" s="125"/>
      <c r="OVC173" s="125"/>
      <c r="OVD173" s="125"/>
      <c r="OVE173" s="125"/>
      <c r="OVF173" s="125"/>
      <c r="OVG173" s="125"/>
      <c r="OVH173" s="125"/>
      <c r="OVI173" s="125"/>
      <c r="OVJ173" s="125"/>
      <c r="OVK173" s="125"/>
      <c r="OVL173" s="125"/>
      <c r="OVM173" s="125"/>
      <c r="OVN173" s="125"/>
      <c r="OVO173" s="125"/>
      <c r="OVP173" s="125"/>
      <c r="OVQ173" s="125"/>
      <c r="OVR173" s="125"/>
      <c r="OVS173" s="125"/>
      <c r="OVT173" s="125"/>
      <c r="OVU173" s="125"/>
      <c r="OVV173" s="125"/>
      <c r="OVW173" s="125"/>
      <c r="OVX173" s="125"/>
      <c r="OVY173" s="125"/>
      <c r="OVZ173" s="125"/>
      <c r="OWA173" s="125"/>
      <c r="OWB173" s="125"/>
      <c r="OWC173" s="125"/>
      <c r="OWD173" s="125"/>
      <c r="OWE173" s="125"/>
      <c r="OWF173" s="125"/>
      <c r="OWG173" s="125"/>
      <c r="OWH173" s="125"/>
      <c r="OWI173" s="125"/>
      <c r="OWJ173" s="125"/>
      <c r="OWK173" s="125"/>
      <c r="OWL173" s="125"/>
      <c r="OWM173" s="125"/>
      <c r="OWN173" s="125"/>
      <c r="OWO173" s="125"/>
      <c r="OWP173" s="125"/>
      <c r="OWQ173" s="125"/>
      <c r="OWR173" s="125"/>
      <c r="OWS173" s="125"/>
      <c r="OWT173" s="125"/>
      <c r="OWU173" s="125"/>
      <c r="OWV173" s="125"/>
      <c r="OWW173" s="125"/>
      <c r="OWX173" s="125"/>
      <c r="OWY173" s="125"/>
      <c r="OWZ173" s="125"/>
      <c r="OXA173" s="125"/>
      <c r="OXB173" s="125"/>
      <c r="OXC173" s="125"/>
      <c r="OXD173" s="125"/>
      <c r="OXE173" s="125"/>
      <c r="OXF173" s="125"/>
      <c r="OXG173" s="125"/>
      <c r="OXH173" s="125"/>
      <c r="OXI173" s="125"/>
      <c r="OXJ173" s="125"/>
      <c r="OXK173" s="125"/>
      <c r="OXL173" s="125"/>
      <c r="OXM173" s="125"/>
      <c r="OXN173" s="125"/>
      <c r="OXO173" s="125"/>
      <c r="OXP173" s="125"/>
      <c r="OXQ173" s="125"/>
      <c r="OXR173" s="125"/>
      <c r="OXS173" s="125"/>
      <c r="OXT173" s="125"/>
      <c r="OXU173" s="125"/>
      <c r="OXV173" s="125"/>
      <c r="OXW173" s="125"/>
      <c r="OXX173" s="125"/>
      <c r="OXY173" s="125"/>
      <c r="OXZ173" s="125"/>
      <c r="OYA173" s="125"/>
      <c r="OYB173" s="125"/>
      <c r="OYC173" s="125"/>
      <c r="OYD173" s="125"/>
      <c r="OYE173" s="125"/>
      <c r="OYF173" s="125"/>
      <c r="OYG173" s="125"/>
      <c r="OYH173" s="125"/>
      <c r="OYI173" s="125"/>
      <c r="OYJ173" s="125"/>
      <c r="OYK173" s="125"/>
      <c r="OYL173" s="125"/>
      <c r="OYM173" s="125"/>
      <c r="OYN173" s="125"/>
      <c r="OYO173" s="125"/>
      <c r="OYP173" s="125"/>
      <c r="OYQ173" s="125"/>
      <c r="OYR173" s="125"/>
      <c r="OYS173" s="125"/>
      <c r="OYT173" s="125"/>
      <c r="OYU173" s="125"/>
      <c r="OYV173" s="125"/>
      <c r="OYW173" s="125"/>
      <c r="OYX173" s="125"/>
      <c r="OYY173" s="125"/>
      <c r="OYZ173" s="125"/>
      <c r="OZA173" s="125"/>
      <c r="OZB173" s="125"/>
      <c r="OZC173" s="125"/>
      <c r="OZD173" s="125"/>
      <c r="OZE173" s="125"/>
      <c r="OZF173" s="125"/>
      <c r="OZG173" s="125"/>
      <c r="OZH173" s="125"/>
      <c r="OZI173" s="125"/>
      <c r="OZJ173" s="125"/>
      <c r="OZK173" s="125"/>
      <c r="OZL173" s="125"/>
      <c r="OZM173" s="125"/>
      <c r="OZN173" s="125"/>
      <c r="OZO173" s="125"/>
      <c r="OZP173" s="125"/>
      <c r="OZQ173" s="125"/>
      <c r="OZR173" s="125"/>
      <c r="OZS173" s="125"/>
      <c r="OZT173" s="125"/>
      <c r="OZU173" s="125"/>
      <c r="OZV173" s="125"/>
      <c r="OZW173" s="125"/>
      <c r="OZX173" s="125"/>
      <c r="OZY173" s="125"/>
      <c r="OZZ173" s="125"/>
      <c r="PAA173" s="125"/>
      <c r="PAB173" s="125"/>
      <c r="PAC173" s="125"/>
      <c r="PAD173" s="125"/>
      <c r="PAE173" s="125"/>
      <c r="PAF173" s="125"/>
      <c r="PAG173" s="125"/>
      <c r="PAH173" s="125"/>
      <c r="PAI173" s="125"/>
      <c r="PAJ173" s="125"/>
      <c r="PAK173" s="125"/>
      <c r="PAL173" s="125"/>
      <c r="PAM173" s="125"/>
      <c r="PAN173" s="125"/>
      <c r="PAO173" s="125"/>
      <c r="PAP173" s="125"/>
      <c r="PAQ173" s="125"/>
      <c r="PAR173" s="125"/>
      <c r="PAS173" s="125"/>
      <c r="PAT173" s="125"/>
      <c r="PAU173" s="125"/>
      <c r="PAV173" s="125"/>
      <c r="PAW173" s="125"/>
      <c r="PAX173" s="125"/>
      <c r="PAY173" s="125"/>
      <c r="PAZ173" s="125"/>
      <c r="PBA173" s="125"/>
      <c r="PBB173" s="125"/>
      <c r="PBC173" s="125"/>
      <c r="PBD173" s="125"/>
      <c r="PBE173" s="125"/>
      <c r="PBF173" s="125"/>
      <c r="PBG173" s="125"/>
      <c r="PBH173" s="125"/>
      <c r="PBI173" s="125"/>
      <c r="PBJ173" s="125"/>
      <c r="PBK173" s="125"/>
      <c r="PBL173" s="125"/>
      <c r="PBM173" s="125"/>
      <c r="PBN173" s="125"/>
      <c r="PBO173" s="125"/>
      <c r="PBP173" s="125"/>
      <c r="PBQ173" s="125"/>
      <c r="PBR173" s="125"/>
      <c r="PBS173" s="125"/>
      <c r="PBT173" s="125"/>
      <c r="PBU173" s="125"/>
      <c r="PBV173" s="125"/>
      <c r="PBW173" s="125"/>
      <c r="PBX173" s="125"/>
      <c r="PBY173" s="125"/>
      <c r="PBZ173" s="125"/>
      <c r="PCA173" s="125"/>
      <c r="PCB173" s="125"/>
      <c r="PCC173" s="125"/>
      <c r="PCD173" s="125"/>
      <c r="PCE173" s="125"/>
      <c r="PCF173" s="125"/>
      <c r="PCG173" s="125"/>
      <c r="PCH173" s="125"/>
      <c r="PCI173" s="125"/>
      <c r="PCJ173" s="125"/>
      <c r="PCK173" s="125"/>
      <c r="PCL173" s="125"/>
      <c r="PCM173" s="125"/>
      <c r="PCN173" s="125"/>
      <c r="PCO173" s="125"/>
      <c r="PCP173" s="125"/>
      <c r="PCQ173" s="125"/>
      <c r="PCR173" s="125"/>
      <c r="PCS173" s="125"/>
      <c r="PCT173" s="125"/>
      <c r="PCU173" s="125"/>
      <c r="PCV173" s="125"/>
      <c r="PCW173" s="125"/>
      <c r="PCX173" s="125"/>
      <c r="PCY173" s="125"/>
      <c r="PCZ173" s="125"/>
      <c r="PDA173" s="125"/>
      <c r="PDB173" s="125"/>
      <c r="PDC173" s="125"/>
      <c r="PDD173" s="125"/>
      <c r="PDE173" s="125"/>
      <c r="PDF173" s="125"/>
      <c r="PDG173" s="125"/>
      <c r="PDH173" s="125"/>
      <c r="PDI173" s="125"/>
      <c r="PDJ173" s="125"/>
      <c r="PDK173" s="125"/>
      <c r="PDL173" s="125"/>
      <c r="PDM173" s="125"/>
      <c r="PDN173" s="125"/>
      <c r="PDO173" s="125"/>
      <c r="PDP173" s="125"/>
      <c r="PDQ173" s="125"/>
      <c r="PDR173" s="125"/>
      <c r="PDS173" s="125"/>
      <c r="PDT173" s="125"/>
      <c r="PDU173" s="125"/>
      <c r="PDV173" s="125"/>
      <c r="PDW173" s="125"/>
      <c r="PDX173" s="125"/>
      <c r="PDY173" s="125"/>
      <c r="PDZ173" s="125"/>
      <c r="PEA173" s="125"/>
      <c r="PEB173" s="125"/>
      <c r="PEC173" s="125"/>
      <c r="PED173" s="125"/>
      <c r="PEE173" s="125"/>
      <c r="PEF173" s="125"/>
      <c r="PEG173" s="125"/>
      <c r="PEH173" s="125"/>
      <c r="PEI173" s="125"/>
      <c r="PEJ173" s="125"/>
      <c r="PEK173" s="125"/>
      <c r="PEL173" s="125"/>
      <c r="PEM173" s="125"/>
      <c r="PEN173" s="125"/>
      <c r="PEO173" s="125"/>
      <c r="PEP173" s="125"/>
      <c r="PEQ173" s="125"/>
      <c r="PER173" s="125"/>
      <c r="PES173" s="125"/>
      <c r="PET173" s="125"/>
      <c r="PEU173" s="125"/>
      <c r="PEV173" s="125"/>
      <c r="PEW173" s="125"/>
      <c r="PEX173" s="125"/>
      <c r="PEY173" s="125"/>
      <c r="PEZ173" s="125"/>
      <c r="PFA173" s="125"/>
      <c r="PFB173" s="125"/>
      <c r="PFC173" s="125"/>
      <c r="PFD173" s="125"/>
      <c r="PFE173" s="125"/>
      <c r="PFF173" s="125"/>
      <c r="PFG173" s="125"/>
      <c r="PFH173" s="125"/>
      <c r="PFI173" s="125"/>
      <c r="PFJ173" s="125"/>
      <c r="PFK173" s="125"/>
      <c r="PFL173" s="125"/>
      <c r="PFM173" s="125"/>
      <c r="PFN173" s="125"/>
      <c r="PFO173" s="125"/>
      <c r="PFP173" s="125"/>
      <c r="PFQ173" s="125"/>
      <c r="PFR173" s="125"/>
      <c r="PFS173" s="125"/>
      <c r="PFT173" s="125"/>
      <c r="PFU173" s="125"/>
      <c r="PFV173" s="125"/>
      <c r="PFW173" s="125"/>
      <c r="PFX173" s="125"/>
      <c r="PFY173" s="125"/>
      <c r="PFZ173" s="125"/>
      <c r="PGA173" s="125"/>
      <c r="PGB173" s="125"/>
      <c r="PGC173" s="125"/>
      <c r="PGD173" s="125"/>
      <c r="PGE173" s="125"/>
      <c r="PGF173" s="125"/>
      <c r="PGG173" s="125"/>
      <c r="PGH173" s="125"/>
      <c r="PGI173" s="125"/>
      <c r="PGJ173" s="125"/>
      <c r="PGK173" s="125"/>
      <c r="PGL173" s="125"/>
      <c r="PGM173" s="125"/>
      <c r="PGN173" s="125"/>
      <c r="PGO173" s="125"/>
      <c r="PGP173" s="125"/>
      <c r="PGQ173" s="125"/>
      <c r="PGR173" s="125"/>
      <c r="PGS173" s="125"/>
      <c r="PGT173" s="125"/>
      <c r="PGU173" s="125"/>
      <c r="PGV173" s="125"/>
      <c r="PGW173" s="125"/>
      <c r="PGX173" s="125"/>
      <c r="PGY173" s="125"/>
      <c r="PGZ173" s="125"/>
      <c r="PHA173" s="125"/>
      <c r="PHB173" s="125"/>
      <c r="PHC173" s="125"/>
      <c r="PHD173" s="125"/>
      <c r="PHE173" s="125"/>
      <c r="PHF173" s="125"/>
      <c r="PHG173" s="125"/>
      <c r="PHH173" s="125"/>
      <c r="PHI173" s="125"/>
      <c r="PHJ173" s="125"/>
      <c r="PHK173" s="125"/>
      <c r="PHL173" s="125"/>
      <c r="PHM173" s="125"/>
      <c r="PHN173" s="125"/>
      <c r="PHO173" s="125"/>
      <c r="PHP173" s="125"/>
      <c r="PHQ173" s="125"/>
      <c r="PHR173" s="125"/>
      <c r="PHS173" s="125"/>
      <c r="PHT173" s="125"/>
      <c r="PHU173" s="125"/>
      <c r="PHV173" s="125"/>
      <c r="PHW173" s="125"/>
      <c r="PHX173" s="125"/>
      <c r="PHY173" s="125"/>
      <c r="PHZ173" s="125"/>
      <c r="PIA173" s="125"/>
      <c r="PIB173" s="125"/>
      <c r="PIC173" s="125"/>
      <c r="PID173" s="125"/>
      <c r="PIE173" s="125"/>
      <c r="PIF173" s="125"/>
      <c r="PIG173" s="125"/>
      <c r="PIH173" s="125"/>
      <c r="PII173" s="125"/>
      <c r="PIJ173" s="125"/>
      <c r="PIK173" s="125"/>
      <c r="PIL173" s="125"/>
      <c r="PIM173" s="125"/>
      <c r="PIN173" s="125"/>
      <c r="PIO173" s="125"/>
      <c r="PIP173" s="125"/>
      <c r="PIQ173" s="125"/>
      <c r="PIR173" s="125"/>
      <c r="PIS173" s="125"/>
      <c r="PIT173" s="125"/>
      <c r="PIU173" s="125"/>
      <c r="PIV173" s="125"/>
      <c r="PIW173" s="125"/>
      <c r="PIX173" s="125"/>
      <c r="PIY173" s="125"/>
      <c r="PIZ173" s="125"/>
      <c r="PJA173" s="125"/>
      <c r="PJB173" s="125"/>
      <c r="PJC173" s="125"/>
      <c r="PJD173" s="125"/>
      <c r="PJE173" s="125"/>
      <c r="PJF173" s="125"/>
      <c r="PJG173" s="125"/>
      <c r="PJH173" s="125"/>
      <c r="PJI173" s="125"/>
      <c r="PJJ173" s="125"/>
      <c r="PJK173" s="125"/>
      <c r="PJL173" s="125"/>
      <c r="PJM173" s="125"/>
      <c r="PJN173" s="125"/>
      <c r="PJO173" s="125"/>
      <c r="PJP173" s="125"/>
      <c r="PJQ173" s="125"/>
      <c r="PJR173" s="125"/>
      <c r="PJS173" s="125"/>
      <c r="PJT173" s="125"/>
      <c r="PJU173" s="125"/>
      <c r="PJV173" s="125"/>
      <c r="PJW173" s="125"/>
      <c r="PJX173" s="125"/>
      <c r="PJY173" s="125"/>
      <c r="PJZ173" s="125"/>
      <c r="PKA173" s="125"/>
      <c r="PKB173" s="125"/>
      <c r="PKC173" s="125"/>
      <c r="PKD173" s="125"/>
      <c r="PKE173" s="125"/>
      <c r="PKF173" s="125"/>
      <c r="PKG173" s="125"/>
      <c r="PKH173" s="125"/>
      <c r="PKI173" s="125"/>
      <c r="PKJ173" s="125"/>
      <c r="PKK173" s="125"/>
      <c r="PKL173" s="125"/>
      <c r="PKM173" s="125"/>
      <c r="PKN173" s="125"/>
      <c r="PKO173" s="125"/>
      <c r="PKP173" s="125"/>
      <c r="PKQ173" s="125"/>
      <c r="PKR173" s="125"/>
      <c r="PKS173" s="125"/>
      <c r="PKT173" s="125"/>
      <c r="PKU173" s="125"/>
      <c r="PKV173" s="125"/>
      <c r="PKW173" s="125"/>
      <c r="PKX173" s="125"/>
      <c r="PKY173" s="125"/>
      <c r="PKZ173" s="125"/>
      <c r="PLA173" s="125"/>
      <c r="PLB173" s="125"/>
      <c r="PLC173" s="125"/>
      <c r="PLD173" s="125"/>
      <c r="PLE173" s="125"/>
      <c r="PLF173" s="125"/>
      <c r="PLG173" s="125"/>
      <c r="PLH173" s="125"/>
      <c r="PLI173" s="125"/>
      <c r="PLJ173" s="125"/>
      <c r="PLK173" s="125"/>
      <c r="PLL173" s="125"/>
      <c r="PLM173" s="125"/>
      <c r="PLN173" s="125"/>
      <c r="PLO173" s="125"/>
      <c r="PLP173" s="125"/>
      <c r="PLQ173" s="125"/>
      <c r="PLR173" s="125"/>
      <c r="PLS173" s="125"/>
      <c r="PLT173" s="125"/>
      <c r="PLU173" s="125"/>
      <c r="PLV173" s="125"/>
      <c r="PLW173" s="125"/>
      <c r="PLX173" s="125"/>
      <c r="PLY173" s="125"/>
      <c r="PLZ173" s="125"/>
      <c r="PMA173" s="125"/>
      <c r="PMB173" s="125"/>
      <c r="PMC173" s="125"/>
      <c r="PMD173" s="125"/>
      <c r="PME173" s="125"/>
      <c r="PMF173" s="125"/>
      <c r="PMG173" s="125"/>
      <c r="PMH173" s="125"/>
      <c r="PMI173" s="125"/>
      <c r="PMJ173" s="125"/>
      <c r="PMK173" s="125"/>
      <c r="PML173" s="125"/>
      <c r="PMM173" s="125"/>
      <c r="PMN173" s="125"/>
      <c r="PMO173" s="125"/>
      <c r="PMP173" s="125"/>
      <c r="PMQ173" s="125"/>
      <c r="PMR173" s="125"/>
      <c r="PMS173" s="125"/>
      <c r="PMT173" s="125"/>
      <c r="PMU173" s="125"/>
      <c r="PMV173" s="125"/>
      <c r="PMW173" s="125"/>
      <c r="PMX173" s="125"/>
      <c r="PMY173" s="125"/>
      <c r="PMZ173" s="125"/>
      <c r="PNA173" s="125"/>
      <c r="PNB173" s="125"/>
      <c r="PNC173" s="125"/>
      <c r="PND173" s="125"/>
      <c r="PNE173" s="125"/>
      <c r="PNF173" s="125"/>
      <c r="PNG173" s="125"/>
      <c r="PNH173" s="125"/>
      <c r="PNI173" s="125"/>
      <c r="PNJ173" s="125"/>
      <c r="PNK173" s="125"/>
      <c r="PNL173" s="125"/>
      <c r="PNM173" s="125"/>
      <c r="PNN173" s="125"/>
      <c r="PNO173" s="125"/>
      <c r="PNP173" s="125"/>
      <c r="PNQ173" s="125"/>
      <c r="PNR173" s="125"/>
      <c r="PNS173" s="125"/>
      <c r="PNT173" s="125"/>
      <c r="PNU173" s="125"/>
      <c r="PNV173" s="125"/>
      <c r="PNW173" s="125"/>
      <c r="PNX173" s="125"/>
      <c r="PNY173" s="125"/>
      <c r="PNZ173" s="125"/>
      <c r="POA173" s="125"/>
      <c r="POB173" s="125"/>
      <c r="POC173" s="125"/>
      <c r="POD173" s="125"/>
      <c r="POE173" s="125"/>
      <c r="POF173" s="125"/>
      <c r="POG173" s="125"/>
      <c r="POH173" s="125"/>
      <c r="POI173" s="125"/>
      <c r="POJ173" s="125"/>
      <c r="POK173" s="125"/>
      <c r="POL173" s="125"/>
      <c r="POM173" s="125"/>
      <c r="PON173" s="125"/>
      <c r="POO173" s="125"/>
      <c r="POP173" s="125"/>
      <c r="POQ173" s="125"/>
      <c r="POR173" s="125"/>
      <c r="POS173" s="125"/>
      <c r="POT173" s="125"/>
      <c r="POU173" s="125"/>
      <c r="POV173" s="125"/>
      <c r="POW173" s="125"/>
      <c r="POX173" s="125"/>
      <c r="POY173" s="125"/>
      <c r="POZ173" s="125"/>
      <c r="PPA173" s="125"/>
      <c r="PPB173" s="125"/>
      <c r="PPC173" s="125"/>
      <c r="PPD173" s="125"/>
      <c r="PPE173" s="125"/>
      <c r="PPF173" s="125"/>
      <c r="PPG173" s="125"/>
      <c r="PPH173" s="125"/>
      <c r="PPI173" s="125"/>
      <c r="PPJ173" s="125"/>
      <c r="PPK173" s="125"/>
      <c r="PPL173" s="125"/>
      <c r="PPM173" s="125"/>
      <c r="PPN173" s="125"/>
      <c r="PPO173" s="125"/>
      <c r="PPP173" s="125"/>
      <c r="PPQ173" s="125"/>
      <c r="PPR173" s="125"/>
      <c r="PPS173" s="125"/>
      <c r="PPT173" s="125"/>
      <c r="PPU173" s="125"/>
      <c r="PPV173" s="125"/>
      <c r="PPW173" s="125"/>
      <c r="PPX173" s="125"/>
      <c r="PPY173" s="125"/>
      <c r="PPZ173" s="125"/>
      <c r="PQA173" s="125"/>
      <c r="PQB173" s="125"/>
      <c r="PQC173" s="125"/>
      <c r="PQD173" s="125"/>
      <c r="PQE173" s="125"/>
      <c r="PQF173" s="125"/>
      <c r="PQG173" s="125"/>
      <c r="PQH173" s="125"/>
      <c r="PQI173" s="125"/>
      <c r="PQJ173" s="125"/>
      <c r="PQK173" s="125"/>
      <c r="PQL173" s="125"/>
      <c r="PQM173" s="125"/>
      <c r="PQN173" s="125"/>
      <c r="PQO173" s="125"/>
      <c r="PQP173" s="125"/>
      <c r="PQQ173" s="125"/>
      <c r="PQR173" s="125"/>
      <c r="PQS173" s="125"/>
      <c r="PQT173" s="125"/>
      <c r="PQU173" s="125"/>
      <c r="PQV173" s="125"/>
      <c r="PQW173" s="125"/>
      <c r="PQX173" s="125"/>
      <c r="PQY173" s="125"/>
      <c r="PQZ173" s="125"/>
      <c r="PRA173" s="125"/>
      <c r="PRB173" s="125"/>
      <c r="PRC173" s="125"/>
      <c r="PRD173" s="125"/>
      <c r="PRE173" s="125"/>
      <c r="PRF173" s="125"/>
      <c r="PRG173" s="125"/>
      <c r="PRH173" s="125"/>
      <c r="PRI173" s="125"/>
      <c r="PRJ173" s="125"/>
      <c r="PRK173" s="125"/>
      <c r="PRL173" s="125"/>
      <c r="PRM173" s="125"/>
      <c r="PRN173" s="125"/>
      <c r="PRO173" s="125"/>
      <c r="PRP173" s="125"/>
      <c r="PRQ173" s="125"/>
      <c r="PRR173" s="125"/>
      <c r="PRS173" s="125"/>
      <c r="PRT173" s="125"/>
      <c r="PRU173" s="125"/>
      <c r="PRV173" s="125"/>
      <c r="PRW173" s="125"/>
      <c r="PRX173" s="125"/>
      <c r="PRY173" s="125"/>
      <c r="PRZ173" s="125"/>
      <c r="PSA173" s="125"/>
      <c r="PSB173" s="125"/>
      <c r="PSC173" s="125"/>
      <c r="PSD173" s="125"/>
      <c r="PSE173" s="125"/>
      <c r="PSF173" s="125"/>
      <c r="PSG173" s="125"/>
      <c r="PSH173" s="125"/>
      <c r="PSI173" s="125"/>
      <c r="PSJ173" s="125"/>
      <c r="PSK173" s="125"/>
      <c r="PSL173" s="125"/>
      <c r="PSM173" s="125"/>
      <c r="PSN173" s="125"/>
      <c r="PSO173" s="125"/>
      <c r="PSP173" s="125"/>
      <c r="PSQ173" s="125"/>
      <c r="PSR173" s="125"/>
      <c r="PSS173" s="125"/>
      <c r="PST173" s="125"/>
      <c r="PSU173" s="125"/>
      <c r="PSV173" s="125"/>
      <c r="PSW173" s="125"/>
      <c r="PSX173" s="125"/>
      <c r="PSY173" s="125"/>
      <c r="PSZ173" s="125"/>
      <c r="PTA173" s="125"/>
      <c r="PTB173" s="125"/>
      <c r="PTC173" s="125"/>
      <c r="PTD173" s="125"/>
      <c r="PTE173" s="125"/>
      <c r="PTF173" s="125"/>
      <c r="PTG173" s="125"/>
      <c r="PTH173" s="125"/>
      <c r="PTI173" s="125"/>
      <c r="PTJ173" s="125"/>
      <c r="PTK173" s="125"/>
      <c r="PTL173" s="125"/>
      <c r="PTM173" s="125"/>
      <c r="PTN173" s="125"/>
      <c r="PTO173" s="125"/>
      <c r="PTP173" s="125"/>
      <c r="PTQ173" s="125"/>
      <c r="PTR173" s="125"/>
      <c r="PTS173" s="125"/>
      <c r="PTT173" s="125"/>
      <c r="PTU173" s="125"/>
      <c r="PTV173" s="125"/>
      <c r="PTW173" s="125"/>
      <c r="PTX173" s="125"/>
      <c r="PTY173" s="125"/>
      <c r="PTZ173" s="125"/>
      <c r="PUA173" s="125"/>
      <c r="PUB173" s="125"/>
      <c r="PUC173" s="125"/>
      <c r="PUD173" s="125"/>
      <c r="PUE173" s="125"/>
      <c r="PUF173" s="125"/>
      <c r="PUG173" s="125"/>
      <c r="PUH173" s="125"/>
      <c r="PUI173" s="125"/>
      <c r="PUJ173" s="125"/>
      <c r="PUK173" s="125"/>
      <c r="PUL173" s="125"/>
      <c r="PUM173" s="125"/>
      <c r="PUN173" s="125"/>
      <c r="PUO173" s="125"/>
      <c r="PUP173" s="125"/>
      <c r="PUQ173" s="125"/>
      <c r="PUR173" s="125"/>
      <c r="PUS173" s="125"/>
      <c r="PUT173" s="125"/>
      <c r="PUU173" s="125"/>
      <c r="PUV173" s="125"/>
      <c r="PUW173" s="125"/>
      <c r="PUX173" s="125"/>
      <c r="PUY173" s="125"/>
      <c r="PUZ173" s="125"/>
      <c r="PVA173" s="125"/>
      <c r="PVB173" s="125"/>
      <c r="PVC173" s="125"/>
      <c r="PVD173" s="125"/>
      <c r="PVE173" s="125"/>
      <c r="PVF173" s="125"/>
      <c r="PVG173" s="125"/>
      <c r="PVH173" s="125"/>
      <c r="PVI173" s="125"/>
      <c r="PVJ173" s="125"/>
      <c r="PVK173" s="125"/>
      <c r="PVL173" s="125"/>
      <c r="PVM173" s="125"/>
      <c r="PVN173" s="125"/>
      <c r="PVO173" s="125"/>
      <c r="PVP173" s="125"/>
      <c r="PVQ173" s="125"/>
      <c r="PVR173" s="125"/>
      <c r="PVS173" s="125"/>
      <c r="PVT173" s="125"/>
      <c r="PVU173" s="125"/>
      <c r="PVV173" s="125"/>
      <c r="PVW173" s="125"/>
      <c r="PVX173" s="125"/>
      <c r="PVY173" s="125"/>
      <c r="PVZ173" s="125"/>
      <c r="PWA173" s="125"/>
      <c r="PWB173" s="125"/>
      <c r="PWC173" s="125"/>
      <c r="PWD173" s="125"/>
      <c r="PWE173" s="125"/>
      <c r="PWF173" s="125"/>
      <c r="PWG173" s="125"/>
      <c r="PWH173" s="125"/>
      <c r="PWI173" s="125"/>
      <c r="PWJ173" s="125"/>
      <c r="PWK173" s="125"/>
      <c r="PWL173" s="125"/>
      <c r="PWM173" s="125"/>
      <c r="PWN173" s="125"/>
      <c r="PWO173" s="125"/>
      <c r="PWP173" s="125"/>
      <c r="PWQ173" s="125"/>
      <c r="PWR173" s="125"/>
      <c r="PWS173" s="125"/>
      <c r="PWT173" s="125"/>
      <c r="PWU173" s="125"/>
      <c r="PWV173" s="125"/>
      <c r="PWW173" s="125"/>
      <c r="PWX173" s="125"/>
      <c r="PWY173" s="125"/>
      <c r="PWZ173" s="125"/>
      <c r="PXA173" s="125"/>
      <c r="PXB173" s="125"/>
      <c r="PXC173" s="125"/>
      <c r="PXD173" s="125"/>
      <c r="PXE173" s="125"/>
      <c r="PXF173" s="125"/>
      <c r="PXG173" s="125"/>
      <c r="PXH173" s="125"/>
      <c r="PXI173" s="125"/>
      <c r="PXJ173" s="125"/>
      <c r="PXK173" s="125"/>
      <c r="PXL173" s="125"/>
      <c r="PXM173" s="125"/>
      <c r="PXN173" s="125"/>
      <c r="PXO173" s="125"/>
      <c r="PXP173" s="125"/>
      <c r="PXQ173" s="125"/>
      <c r="PXR173" s="125"/>
      <c r="PXS173" s="125"/>
      <c r="PXT173" s="125"/>
      <c r="PXU173" s="125"/>
      <c r="PXV173" s="125"/>
      <c r="PXW173" s="125"/>
      <c r="PXX173" s="125"/>
      <c r="PXY173" s="125"/>
      <c r="PXZ173" s="125"/>
      <c r="PYA173" s="125"/>
      <c r="PYB173" s="125"/>
      <c r="PYC173" s="125"/>
      <c r="PYD173" s="125"/>
      <c r="PYE173" s="125"/>
      <c r="PYF173" s="125"/>
      <c r="PYG173" s="125"/>
      <c r="PYH173" s="125"/>
      <c r="PYI173" s="125"/>
      <c r="PYJ173" s="125"/>
      <c r="PYK173" s="125"/>
      <c r="PYL173" s="125"/>
      <c r="PYM173" s="125"/>
      <c r="PYN173" s="125"/>
      <c r="PYO173" s="125"/>
      <c r="PYP173" s="125"/>
      <c r="PYQ173" s="125"/>
      <c r="PYR173" s="125"/>
      <c r="PYS173" s="125"/>
      <c r="PYT173" s="125"/>
      <c r="PYU173" s="125"/>
      <c r="PYV173" s="125"/>
      <c r="PYW173" s="125"/>
      <c r="PYX173" s="125"/>
      <c r="PYY173" s="125"/>
      <c r="PYZ173" s="125"/>
      <c r="PZA173" s="125"/>
      <c r="PZB173" s="125"/>
      <c r="PZC173" s="125"/>
      <c r="PZD173" s="125"/>
      <c r="PZE173" s="125"/>
      <c r="PZF173" s="125"/>
      <c r="PZG173" s="125"/>
      <c r="PZH173" s="125"/>
      <c r="PZI173" s="125"/>
      <c r="PZJ173" s="125"/>
      <c r="PZK173" s="125"/>
      <c r="PZL173" s="125"/>
      <c r="PZM173" s="125"/>
      <c r="PZN173" s="125"/>
      <c r="PZO173" s="125"/>
      <c r="PZP173" s="125"/>
      <c r="PZQ173" s="125"/>
      <c r="PZR173" s="125"/>
      <c r="PZS173" s="125"/>
      <c r="PZT173" s="125"/>
      <c r="PZU173" s="125"/>
      <c r="PZV173" s="125"/>
      <c r="PZW173" s="125"/>
      <c r="PZX173" s="125"/>
      <c r="PZY173" s="125"/>
      <c r="PZZ173" s="125"/>
      <c r="QAA173" s="125"/>
      <c r="QAB173" s="125"/>
      <c r="QAC173" s="125"/>
      <c r="QAD173" s="125"/>
      <c r="QAE173" s="125"/>
      <c r="QAF173" s="125"/>
      <c r="QAG173" s="125"/>
      <c r="QAH173" s="125"/>
      <c r="QAI173" s="125"/>
      <c r="QAJ173" s="125"/>
      <c r="QAK173" s="125"/>
      <c r="QAL173" s="125"/>
      <c r="QAM173" s="125"/>
      <c r="QAN173" s="125"/>
      <c r="QAO173" s="125"/>
      <c r="QAP173" s="125"/>
      <c r="QAQ173" s="125"/>
      <c r="QAR173" s="125"/>
      <c r="QAS173" s="125"/>
      <c r="QAT173" s="125"/>
      <c r="QAU173" s="125"/>
      <c r="QAV173" s="125"/>
      <c r="QAW173" s="125"/>
      <c r="QAX173" s="125"/>
      <c r="QAY173" s="125"/>
      <c r="QAZ173" s="125"/>
      <c r="QBA173" s="125"/>
      <c r="QBB173" s="125"/>
      <c r="QBC173" s="125"/>
      <c r="QBD173" s="125"/>
      <c r="QBE173" s="125"/>
      <c r="QBF173" s="125"/>
      <c r="QBG173" s="125"/>
      <c r="QBH173" s="125"/>
      <c r="QBI173" s="125"/>
      <c r="QBJ173" s="125"/>
      <c r="QBK173" s="125"/>
      <c r="QBL173" s="125"/>
      <c r="QBM173" s="125"/>
      <c r="QBN173" s="125"/>
      <c r="QBO173" s="125"/>
      <c r="QBP173" s="125"/>
      <c r="QBQ173" s="125"/>
      <c r="QBR173" s="125"/>
      <c r="QBS173" s="125"/>
      <c r="QBT173" s="125"/>
      <c r="QBU173" s="125"/>
      <c r="QBV173" s="125"/>
      <c r="QBW173" s="125"/>
      <c r="QBX173" s="125"/>
      <c r="QBY173" s="125"/>
      <c r="QBZ173" s="125"/>
      <c r="QCA173" s="125"/>
      <c r="QCB173" s="125"/>
      <c r="QCC173" s="125"/>
      <c r="QCD173" s="125"/>
      <c r="QCE173" s="125"/>
      <c r="QCF173" s="125"/>
      <c r="QCG173" s="125"/>
      <c r="QCH173" s="125"/>
      <c r="QCI173" s="125"/>
      <c r="QCJ173" s="125"/>
      <c r="QCK173" s="125"/>
      <c r="QCL173" s="125"/>
      <c r="QCM173" s="125"/>
      <c r="QCN173" s="125"/>
      <c r="QCO173" s="125"/>
      <c r="QCP173" s="125"/>
      <c r="QCQ173" s="125"/>
      <c r="QCR173" s="125"/>
      <c r="QCS173" s="125"/>
      <c r="QCT173" s="125"/>
      <c r="QCU173" s="125"/>
      <c r="QCV173" s="125"/>
      <c r="QCW173" s="125"/>
      <c r="QCX173" s="125"/>
      <c r="QCY173" s="125"/>
      <c r="QCZ173" s="125"/>
      <c r="QDA173" s="125"/>
      <c r="QDB173" s="125"/>
      <c r="QDC173" s="125"/>
      <c r="QDD173" s="125"/>
      <c r="QDE173" s="125"/>
      <c r="QDF173" s="125"/>
      <c r="QDG173" s="125"/>
      <c r="QDH173" s="125"/>
      <c r="QDI173" s="125"/>
      <c r="QDJ173" s="125"/>
      <c r="QDK173" s="125"/>
      <c r="QDL173" s="125"/>
      <c r="QDM173" s="125"/>
      <c r="QDN173" s="125"/>
      <c r="QDO173" s="125"/>
      <c r="QDP173" s="125"/>
      <c r="QDQ173" s="125"/>
      <c r="QDR173" s="125"/>
      <c r="QDS173" s="125"/>
      <c r="QDT173" s="125"/>
      <c r="QDU173" s="125"/>
      <c r="QDV173" s="125"/>
      <c r="QDW173" s="125"/>
      <c r="QDX173" s="125"/>
      <c r="QDY173" s="125"/>
      <c r="QDZ173" s="125"/>
      <c r="QEA173" s="125"/>
      <c r="QEB173" s="125"/>
      <c r="QEC173" s="125"/>
      <c r="QED173" s="125"/>
      <c r="QEE173" s="125"/>
      <c r="QEF173" s="125"/>
      <c r="QEG173" s="125"/>
      <c r="QEH173" s="125"/>
      <c r="QEI173" s="125"/>
      <c r="QEJ173" s="125"/>
      <c r="QEK173" s="125"/>
      <c r="QEL173" s="125"/>
      <c r="QEM173" s="125"/>
      <c r="QEN173" s="125"/>
      <c r="QEO173" s="125"/>
      <c r="QEP173" s="125"/>
      <c r="QEQ173" s="125"/>
      <c r="QER173" s="125"/>
      <c r="QES173" s="125"/>
      <c r="QET173" s="125"/>
      <c r="QEU173" s="125"/>
      <c r="QEV173" s="125"/>
      <c r="QEW173" s="125"/>
      <c r="QEX173" s="125"/>
      <c r="QEY173" s="125"/>
      <c r="QEZ173" s="125"/>
      <c r="QFA173" s="125"/>
      <c r="QFB173" s="125"/>
      <c r="QFC173" s="125"/>
      <c r="QFD173" s="125"/>
      <c r="QFE173" s="125"/>
      <c r="QFF173" s="125"/>
      <c r="QFG173" s="125"/>
      <c r="QFH173" s="125"/>
      <c r="QFI173" s="125"/>
      <c r="QFJ173" s="125"/>
      <c r="QFK173" s="125"/>
      <c r="QFL173" s="125"/>
      <c r="QFM173" s="125"/>
      <c r="QFN173" s="125"/>
      <c r="QFO173" s="125"/>
      <c r="QFP173" s="125"/>
      <c r="QFQ173" s="125"/>
      <c r="QFR173" s="125"/>
      <c r="QFS173" s="125"/>
      <c r="QFT173" s="125"/>
      <c r="QFU173" s="125"/>
      <c r="QFV173" s="125"/>
      <c r="QFW173" s="125"/>
      <c r="QFX173" s="125"/>
      <c r="QFY173" s="125"/>
      <c r="QFZ173" s="125"/>
      <c r="QGA173" s="125"/>
      <c r="QGB173" s="125"/>
      <c r="QGC173" s="125"/>
      <c r="QGD173" s="125"/>
      <c r="QGE173" s="125"/>
      <c r="QGF173" s="125"/>
      <c r="QGG173" s="125"/>
      <c r="QGH173" s="125"/>
      <c r="QGI173" s="125"/>
      <c r="QGJ173" s="125"/>
      <c r="QGK173" s="125"/>
      <c r="QGL173" s="125"/>
      <c r="QGM173" s="125"/>
      <c r="QGN173" s="125"/>
      <c r="QGO173" s="125"/>
      <c r="QGP173" s="125"/>
      <c r="QGQ173" s="125"/>
      <c r="QGR173" s="125"/>
      <c r="QGS173" s="125"/>
      <c r="QGT173" s="125"/>
      <c r="QGU173" s="125"/>
      <c r="QGV173" s="125"/>
      <c r="QGW173" s="125"/>
      <c r="QGX173" s="125"/>
      <c r="QGY173" s="125"/>
      <c r="QGZ173" s="125"/>
      <c r="QHA173" s="125"/>
      <c r="QHB173" s="125"/>
      <c r="QHC173" s="125"/>
      <c r="QHD173" s="125"/>
      <c r="QHE173" s="125"/>
      <c r="QHF173" s="125"/>
      <c r="QHG173" s="125"/>
      <c r="QHH173" s="125"/>
      <c r="QHI173" s="125"/>
      <c r="QHJ173" s="125"/>
      <c r="QHK173" s="125"/>
      <c r="QHL173" s="125"/>
      <c r="QHM173" s="125"/>
      <c r="QHN173" s="125"/>
      <c r="QHO173" s="125"/>
      <c r="QHP173" s="125"/>
      <c r="QHQ173" s="125"/>
      <c r="QHR173" s="125"/>
      <c r="QHS173" s="125"/>
      <c r="QHT173" s="125"/>
      <c r="QHU173" s="125"/>
      <c r="QHV173" s="125"/>
      <c r="QHW173" s="125"/>
      <c r="QHX173" s="125"/>
      <c r="QHY173" s="125"/>
      <c r="QHZ173" s="125"/>
      <c r="QIA173" s="125"/>
      <c r="QIB173" s="125"/>
      <c r="QIC173" s="125"/>
      <c r="QID173" s="125"/>
      <c r="QIE173" s="125"/>
      <c r="QIF173" s="125"/>
      <c r="QIG173" s="125"/>
      <c r="QIH173" s="125"/>
      <c r="QII173" s="125"/>
      <c r="QIJ173" s="125"/>
      <c r="QIK173" s="125"/>
      <c r="QIL173" s="125"/>
      <c r="QIM173" s="125"/>
      <c r="QIN173" s="125"/>
      <c r="QIO173" s="125"/>
      <c r="QIP173" s="125"/>
      <c r="QIQ173" s="125"/>
      <c r="QIR173" s="125"/>
      <c r="QIS173" s="125"/>
      <c r="QIT173" s="125"/>
      <c r="QIU173" s="125"/>
      <c r="QIV173" s="125"/>
      <c r="QIW173" s="125"/>
      <c r="QIX173" s="125"/>
      <c r="QIY173" s="125"/>
      <c r="QIZ173" s="125"/>
      <c r="QJA173" s="125"/>
      <c r="QJB173" s="125"/>
      <c r="QJC173" s="125"/>
      <c r="QJD173" s="125"/>
      <c r="QJE173" s="125"/>
      <c r="QJF173" s="125"/>
      <c r="QJG173" s="125"/>
      <c r="QJH173" s="125"/>
      <c r="QJI173" s="125"/>
      <c r="QJJ173" s="125"/>
      <c r="QJK173" s="125"/>
      <c r="QJL173" s="125"/>
      <c r="QJM173" s="125"/>
      <c r="QJN173" s="125"/>
      <c r="QJO173" s="125"/>
      <c r="QJP173" s="125"/>
      <c r="QJQ173" s="125"/>
      <c r="QJR173" s="125"/>
      <c r="QJS173" s="125"/>
      <c r="QJT173" s="125"/>
      <c r="QJU173" s="125"/>
      <c r="QJV173" s="125"/>
      <c r="QJW173" s="125"/>
      <c r="QJX173" s="125"/>
      <c r="QJY173" s="125"/>
      <c r="QJZ173" s="125"/>
      <c r="QKA173" s="125"/>
      <c r="QKB173" s="125"/>
      <c r="QKC173" s="125"/>
      <c r="QKD173" s="125"/>
      <c r="QKE173" s="125"/>
      <c r="QKF173" s="125"/>
      <c r="QKG173" s="125"/>
      <c r="QKH173" s="125"/>
      <c r="QKI173" s="125"/>
      <c r="QKJ173" s="125"/>
      <c r="QKK173" s="125"/>
      <c r="QKL173" s="125"/>
      <c r="QKM173" s="125"/>
      <c r="QKN173" s="125"/>
      <c r="QKO173" s="125"/>
      <c r="QKP173" s="125"/>
      <c r="QKQ173" s="125"/>
      <c r="QKR173" s="125"/>
      <c r="QKS173" s="125"/>
      <c r="QKT173" s="125"/>
      <c r="QKU173" s="125"/>
      <c r="QKV173" s="125"/>
      <c r="QKW173" s="125"/>
      <c r="QKX173" s="125"/>
      <c r="QKY173" s="125"/>
      <c r="QKZ173" s="125"/>
      <c r="QLA173" s="125"/>
      <c r="QLB173" s="125"/>
      <c r="QLC173" s="125"/>
      <c r="QLD173" s="125"/>
      <c r="QLE173" s="125"/>
      <c r="QLF173" s="125"/>
      <c r="QLG173" s="125"/>
      <c r="QLH173" s="125"/>
      <c r="QLI173" s="125"/>
      <c r="QLJ173" s="125"/>
      <c r="QLK173" s="125"/>
      <c r="QLL173" s="125"/>
      <c r="QLM173" s="125"/>
      <c r="QLN173" s="125"/>
      <c r="QLO173" s="125"/>
      <c r="QLP173" s="125"/>
      <c r="QLQ173" s="125"/>
      <c r="QLR173" s="125"/>
      <c r="QLS173" s="125"/>
      <c r="QLT173" s="125"/>
      <c r="QLU173" s="125"/>
      <c r="QLV173" s="125"/>
      <c r="QLW173" s="125"/>
      <c r="QLX173" s="125"/>
      <c r="QLY173" s="125"/>
      <c r="QLZ173" s="125"/>
      <c r="QMA173" s="125"/>
      <c r="QMB173" s="125"/>
      <c r="QMC173" s="125"/>
      <c r="QMD173" s="125"/>
      <c r="QME173" s="125"/>
      <c r="QMF173" s="125"/>
      <c r="QMG173" s="125"/>
      <c r="QMH173" s="125"/>
      <c r="QMI173" s="125"/>
      <c r="QMJ173" s="125"/>
      <c r="QMK173" s="125"/>
      <c r="QML173" s="125"/>
      <c r="QMM173" s="125"/>
      <c r="QMN173" s="125"/>
      <c r="QMO173" s="125"/>
      <c r="QMP173" s="125"/>
      <c r="QMQ173" s="125"/>
      <c r="QMR173" s="125"/>
      <c r="QMS173" s="125"/>
      <c r="QMT173" s="125"/>
      <c r="QMU173" s="125"/>
      <c r="QMV173" s="125"/>
      <c r="QMW173" s="125"/>
      <c r="QMX173" s="125"/>
      <c r="QMY173" s="125"/>
      <c r="QMZ173" s="125"/>
      <c r="QNA173" s="125"/>
      <c r="QNB173" s="125"/>
      <c r="QNC173" s="125"/>
      <c r="QND173" s="125"/>
      <c r="QNE173" s="125"/>
      <c r="QNF173" s="125"/>
      <c r="QNG173" s="125"/>
      <c r="QNH173" s="125"/>
      <c r="QNI173" s="125"/>
      <c r="QNJ173" s="125"/>
      <c r="QNK173" s="125"/>
      <c r="QNL173" s="125"/>
      <c r="QNM173" s="125"/>
      <c r="QNN173" s="125"/>
      <c r="QNO173" s="125"/>
      <c r="QNP173" s="125"/>
      <c r="QNQ173" s="125"/>
      <c r="QNR173" s="125"/>
      <c r="QNS173" s="125"/>
      <c r="QNT173" s="125"/>
      <c r="QNU173" s="125"/>
      <c r="QNV173" s="125"/>
      <c r="QNW173" s="125"/>
      <c r="QNX173" s="125"/>
      <c r="QNY173" s="125"/>
      <c r="QNZ173" s="125"/>
      <c r="QOA173" s="125"/>
      <c r="QOB173" s="125"/>
      <c r="QOC173" s="125"/>
      <c r="QOD173" s="125"/>
      <c r="QOE173" s="125"/>
      <c r="QOF173" s="125"/>
      <c r="QOG173" s="125"/>
      <c r="QOH173" s="125"/>
      <c r="QOI173" s="125"/>
      <c r="QOJ173" s="125"/>
      <c r="QOK173" s="125"/>
      <c r="QOL173" s="125"/>
      <c r="QOM173" s="125"/>
      <c r="QON173" s="125"/>
      <c r="QOO173" s="125"/>
      <c r="QOP173" s="125"/>
      <c r="QOQ173" s="125"/>
      <c r="QOR173" s="125"/>
      <c r="QOS173" s="125"/>
      <c r="QOT173" s="125"/>
      <c r="QOU173" s="125"/>
      <c r="QOV173" s="125"/>
      <c r="QOW173" s="125"/>
      <c r="QOX173" s="125"/>
      <c r="QOY173" s="125"/>
      <c r="QOZ173" s="125"/>
      <c r="QPA173" s="125"/>
      <c r="QPB173" s="125"/>
      <c r="QPC173" s="125"/>
      <c r="QPD173" s="125"/>
      <c r="QPE173" s="125"/>
      <c r="QPF173" s="125"/>
      <c r="QPG173" s="125"/>
      <c r="QPH173" s="125"/>
      <c r="QPI173" s="125"/>
      <c r="QPJ173" s="125"/>
      <c r="QPK173" s="125"/>
      <c r="QPL173" s="125"/>
      <c r="QPM173" s="125"/>
      <c r="QPN173" s="125"/>
      <c r="QPO173" s="125"/>
      <c r="QPP173" s="125"/>
      <c r="QPQ173" s="125"/>
      <c r="QPR173" s="125"/>
      <c r="QPS173" s="125"/>
      <c r="QPT173" s="125"/>
      <c r="QPU173" s="125"/>
      <c r="QPV173" s="125"/>
      <c r="QPW173" s="125"/>
      <c r="QPX173" s="125"/>
      <c r="QPY173" s="125"/>
      <c r="QPZ173" s="125"/>
      <c r="QQA173" s="125"/>
      <c r="QQB173" s="125"/>
      <c r="QQC173" s="125"/>
      <c r="QQD173" s="125"/>
      <c r="QQE173" s="125"/>
      <c r="QQF173" s="125"/>
      <c r="QQG173" s="125"/>
      <c r="QQH173" s="125"/>
      <c r="QQI173" s="125"/>
      <c r="QQJ173" s="125"/>
      <c r="QQK173" s="125"/>
      <c r="QQL173" s="125"/>
      <c r="QQM173" s="125"/>
      <c r="QQN173" s="125"/>
      <c r="QQO173" s="125"/>
      <c r="QQP173" s="125"/>
      <c r="QQQ173" s="125"/>
      <c r="QQR173" s="125"/>
      <c r="QQS173" s="125"/>
      <c r="QQT173" s="125"/>
      <c r="QQU173" s="125"/>
      <c r="QQV173" s="125"/>
      <c r="QQW173" s="125"/>
      <c r="QQX173" s="125"/>
      <c r="QQY173" s="125"/>
      <c r="QQZ173" s="125"/>
      <c r="QRA173" s="125"/>
      <c r="QRB173" s="125"/>
      <c r="QRC173" s="125"/>
      <c r="QRD173" s="125"/>
      <c r="QRE173" s="125"/>
      <c r="QRF173" s="125"/>
      <c r="QRG173" s="125"/>
      <c r="QRH173" s="125"/>
      <c r="QRI173" s="125"/>
      <c r="QRJ173" s="125"/>
      <c r="QRK173" s="125"/>
      <c r="QRL173" s="125"/>
      <c r="QRM173" s="125"/>
      <c r="QRN173" s="125"/>
      <c r="QRO173" s="125"/>
      <c r="QRP173" s="125"/>
      <c r="QRQ173" s="125"/>
      <c r="QRR173" s="125"/>
      <c r="QRS173" s="125"/>
      <c r="QRT173" s="125"/>
      <c r="QRU173" s="125"/>
      <c r="QRV173" s="125"/>
      <c r="QRW173" s="125"/>
      <c r="QRX173" s="125"/>
      <c r="QRY173" s="125"/>
      <c r="QRZ173" s="125"/>
      <c r="QSA173" s="125"/>
      <c r="QSB173" s="125"/>
      <c r="QSC173" s="125"/>
      <c r="QSD173" s="125"/>
      <c r="QSE173" s="125"/>
      <c r="QSF173" s="125"/>
      <c r="QSG173" s="125"/>
      <c r="QSH173" s="125"/>
      <c r="QSI173" s="125"/>
      <c r="QSJ173" s="125"/>
      <c r="QSK173" s="125"/>
      <c r="QSL173" s="125"/>
      <c r="QSM173" s="125"/>
      <c r="QSN173" s="125"/>
      <c r="QSO173" s="125"/>
      <c r="QSP173" s="125"/>
      <c r="QSQ173" s="125"/>
      <c r="QSR173" s="125"/>
      <c r="QSS173" s="125"/>
      <c r="QST173" s="125"/>
      <c r="QSU173" s="125"/>
      <c r="QSV173" s="125"/>
      <c r="QSW173" s="125"/>
      <c r="QSX173" s="125"/>
      <c r="QSY173" s="125"/>
      <c r="QSZ173" s="125"/>
      <c r="QTA173" s="125"/>
      <c r="QTB173" s="125"/>
      <c r="QTC173" s="125"/>
      <c r="QTD173" s="125"/>
      <c r="QTE173" s="125"/>
      <c r="QTF173" s="125"/>
      <c r="QTG173" s="125"/>
      <c r="QTH173" s="125"/>
      <c r="QTI173" s="125"/>
      <c r="QTJ173" s="125"/>
      <c r="QTK173" s="125"/>
      <c r="QTL173" s="125"/>
      <c r="QTM173" s="125"/>
      <c r="QTN173" s="125"/>
      <c r="QTO173" s="125"/>
      <c r="QTP173" s="125"/>
      <c r="QTQ173" s="125"/>
      <c r="QTR173" s="125"/>
      <c r="QTS173" s="125"/>
      <c r="QTT173" s="125"/>
      <c r="QTU173" s="125"/>
      <c r="QTV173" s="125"/>
      <c r="QTW173" s="125"/>
      <c r="QTX173" s="125"/>
      <c r="QTY173" s="125"/>
      <c r="QTZ173" s="125"/>
      <c r="QUA173" s="125"/>
      <c r="QUB173" s="125"/>
      <c r="QUC173" s="125"/>
      <c r="QUD173" s="125"/>
      <c r="QUE173" s="125"/>
      <c r="QUF173" s="125"/>
      <c r="QUG173" s="125"/>
      <c r="QUH173" s="125"/>
      <c r="QUI173" s="125"/>
      <c r="QUJ173" s="125"/>
      <c r="QUK173" s="125"/>
      <c r="QUL173" s="125"/>
      <c r="QUM173" s="125"/>
      <c r="QUN173" s="125"/>
      <c r="QUO173" s="125"/>
      <c r="QUP173" s="125"/>
      <c r="QUQ173" s="125"/>
      <c r="QUR173" s="125"/>
      <c r="QUS173" s="125"/>
      <c r="QUT173" s="125"/>
      <c r="QUU173" s="125"/>
      <c r="QUV173" s="125"/>
      <c r="QUW173" s="125"/>
      <c r="QUX173" s="125"/>
      <c r="QUY173" s="125"/>
      <c r="QUZ173" s="125"/>
      <c r="QVA173" s="125"/>
      <c r="QVB173" s="125"/>
      <c r="QVC173" s="125"/>
      <c r="QVD173" s="125"/>
      <c r="QVE173" s="125"/>
      <c r="QVF173" s="125"/>
      <c r="QVG173" s="125"/>
      <c r="QVH173" s="125"/>
      <c r="QVI173" s="125"/>
      <c r="QVJ173" s="125"/>
      <c r="QVK173" s="125"/>
      <c r="QVL173" s="125"/>
      <c r="QVM173" s="125"/>
      <c r="QVN173" s="125"/>
      <c r="QVO173" s="125"/>
      <c r="QVP173" s="125"/>
      <c r="QVQ173" s="125"/>
      <c r="QVR173" s="125"/>
      <c r="QVS173" s="125"/>
      <c r="QVT173" s="125"/>
      <c r="QVU173" s="125"/>
      <c r="QVV173" s="125"/>
      <c r="QVW173" s="125"/>
      <c r="QVX173" s="125"/>
      <c r="QVY173" s="125"/>
      <c r="QVZ173" s="125"/>
      <c r="QWA173" s="125"/>
      <c r="QWB173" s="125"/>
      <c r="QWC173" s="125"/>
      <c r="QWD173" s="125"/>
      <c r="QWE173" s="125"/>
      <c r="QWF173" s="125"/>
      <c r="QWG173" s="125"/>
      <c r="QWH173" s="125"/>
      <c r="QWI173" s="125"/>
      <c r="QWJ173" s="125"/>
      <c r="QWK173" s="125"/>
      <c r="QWL173" s="125"/>
      <c r="QWM173" s="125"/>
      <c r="QWN173" s="125"/>
      <c r="QWO173" s="125"/>
      <c r="QWP173" s="125"/>
      <c r="QWQ173" s="125"/>
      <c r="QWR173" s="125"/>
      <c r="QWS173" s="125"/>
      <c r="QWT173" s="125"/>
      <c r="QWU173" s="125"/>
      <c r="QWV173" s="125"/>
      <c r="QWW173" s="125"/>
      <c r="QWX173" s="125"/>
      <c r="QWY173" s="125"/>
      <c r="QWZ173" s="125"/>
      <c r="QXA173" s="125"/>
      <c r="QXB173" s="125"/>
      <c r="QXC173" s="125"/>
      <c r="QXD173" s="125"/>
      <c r="QXE173" s="125"/>
      <c r="QXF173" s="125"/>
      <c r="QXG173" s="125"/>
      <c r="QXH173" s="125"/>
      <c r="QXI173" s="125"/>
      <c r="QXJ173" s="125"/>
      <c r="QXK173" s="125"/>
      <c r="QXL173" s="125"/>
      <c r="QXM173" s="125"/>
      <c r="QXN173" s="125"/>
      <c r="QXO173" s="125"/>
      <c r="QXP173" s="125"/>
      <c r="QXQ173" s="125"/>
      <c r="QXR173" s="125"/>
      <c r="QXS173" s="125"/>
      <c r="QXT173" s="125"/>
      <c r="QXU173" s="125"/>
      <c r="QXV173" s="125"/>
      <c r="QXW173" s="125"/>
      <c r="QXX173" s="125"/>
      <c r="QXY173" s="125"/>
      <c r="QXZ173" s="125"/>
      <c r="QYA173" s="125"/>
      <c r="QYB173" s="125"/>
      <c r="QYC173" s="125"/>
      <c r="QYD173" s="125"/>
      <c r="QYE173" s="125"/>
      <c r="QYF173" s="125"/>
      <c r="QYG173" s="125"/>
      <c r="QYH173" s="125"/>
      <c r="QYI173" s="125"/>
      <c r="QYJ173" s="125"/>
      <c r="QYK173" s="125"/>
      <c r="QYL173" s="125"/>
      <c r="QYM173" s="125"/>
      <c r="QYN173" s="125"/>
      <c r="QYO173" s="125"/>
      <c r="QYP173" s="125"/>
      <c r="QYQ173" s="125"/>
      <c r="QYR173" s="125"/>
      <c r="QYS173" s="125"/>
      <c r="QYT173" s="125"/>
      <c r="QYU173" s="125"/>
      <c r="QYV173" s="125"/>
      <c r="QYW173" s="125"/>
      <c r="QYX173" s="125"/>
      <c r="QYY173" s="125"/>
      <c r="QYZ173" s="125"/>
      <c r="QZA173" s="125"/>
      <c r="QZB173" s="125"/>
      <c r="QZC173" s="125"/>
      <c r="QZD173" s="125"/>
      <c r="QZE173" s="125"/>
      <c r="QZF173" s="125"/>
      <c r="QZG173" s="125"/>
      <c r="QZH173" s="125"/>
      <c r="QZI173" s="125"/>
      <c r="QZJ173" s="125"/>
      <c r="QZK173" s="125"/>
      <c r="QZL173" s="125"/>
      <c r="QZM173" s="125"/>
      <c r="QZN173" s="125"/>
      <c r="QZO173" s="125"/>
      <c r="QZP173" s="125"/>
      <c r="QZQ173" s="125"/>
      <c r="QZR173" s="125"/>
      <c r="QZS173" s="125"/>
      <c r="QZT173" s="125"/>
      <c r="QZU173" s="125"/>
      <c r="QZV173" s="125"/>
      <c r="QZW173" s="125"/>
      <c r="QZX173" s="125"/>
      <c r="QZY173" s="125"/>
      <c r="QZZ173" s="125"/>
      <c r="RAA173" s="125"/>
      <c r="RAB173" s="125"/>
      <c r="RAC173" s="125"/>
      <c r="RAD173" s="125"/>
      <c r="RAE173" s="125"/>
      <c r="RAF173" s="125"/>
      <c r="RAG173" s="125"/>
      <c r="RAH173" s="125"/>
      <c r="RAI173" s="125"/>
      <c r="RAJ173" s="125"/>
      <c r="RAK173" s="125"/>
      <c r="RAL173" s="125"/>
      <c r="RAM173" s="125"/>
      <c r="RAN173" s="125"/>
      <c r="RAO173" s="125"/>
      <c r="RAP173" s="125"/>
      <c r="RAQ173" s="125"/>
      <c r="RAR173" s="125"/>
      <c r="RAS173" s="125"/>
      <c r="RAT173" s="125"/>
      <c r="RAU173" s="125"/>
      <c r="RAV173" s="125"/>
      <c r="RAW173" s="125"/>
      <c r="RAX173" s="125"/>
      <c r="RAY173" s="125"/>
      <c r="RAZ173" s="125"/>
      <c r="RBA173" s="125"/>
      <c r="RBB173" s="125"/>
      <c r="RBC173" s="125"/>
      <c r="RBD173" s="125"/>
      <c r="RBE173" s="125"/>
      <c r="RBF173" s="125"/>
      <c r="RBG173" s="125"/>
      <c r="RBH173" s="125"/>
      <c r="RBI173" s="125"/>
      <c r="RBJ173" s="125"/>
      <c r="RBK173" s="125"/>
      <c r="RBL173" s="125"/>
      <c r="RBM173" s="125"/>
      <c r="RBN173" s="125"/>
      <c r="RBO173" s="125"/>
      <c r="RBP173" s="125"/>
      <c r="RBQ173" s="125"/>
      <c r="RBR173" s="125"/>
      <c r="RBS173" s="125"/>
      <c r="RBT173" s="125"/>
      <c r="RBU173" s="125"/>
      <c r="RBV173" s="125"/>
      <c r="RBW173" s="125"/>
      <c r="RBX173" s="125"/>
      <c r="RBY173" s="125"/>
      <c r="RBZ173" s="125"/>
      <c r="RCA173" s="125"/>
      <c r="RCB173" s="125"/>
      <c r="RCC173" s="125"/>
      <c r="RCD173" s="125"/>
      <c r="RCE173" s="125"/>
      <c r="RCF173" s="125"/>
      <c r="RCG173" s="125"/>
      <c r="RCH173" s="125"/>
      <c r="RCI173" s="125"/>
      <c r="RCJ173" s="125"/>
      <c r="RCK173" s="125"/>
      <c r="RCL173" s="125"/>
      <c r="RCM173" s="125"/>
      <c r="RCN173" s="125"/>
      <c r="RCO173" s="125"/>
      <c r="RCP173" s="125"/>
      <c r="RCQ173" s="125"/>
      <c r="RCR173" s="125"/>
      <c r="RCS173" s="125"/>
      <c r="RCT173" s="125"/>
      <c r="RCU173" s="125"/>
      <c r="RCV173" s="125"/>
      <c r="RCW173" s="125"/>
      <c r="RCX173" s="125"/>
      <c r="RCY173" s="125"/>
      <c r="RCZ173" s="125"/>
      <c r="RDA173" s="125"/>
      <c r="RDB173" s="125"/>
      <c r="RDC173" s="125"/>
      <c r="RDD173" s="125"/>
      <c r="RDE173" s="125"/>
      <c r="RDF173" s="125"/>
      <c r="RDG173" s="125"/>
      <c r="RDH173" s="125"/>
      <c r="RDI173" s="125"/>
      <c r="RDJ173" s="125"/>
      <c r="RDK173" s="125"/>
      <c r="RDL173" s="125"/>
      <c r="RDM173" s="125"/>
      <c r="RDN173" s="125"/>
      <c r="RDO173" s="125"/>
      <c r="RDP173" s="125"/>
      <c r="RDQ173" s="125"/>
      <c r="RDR173" s="125"/>
      <c r="RDS173" s="125"/>
      <c r="RDT173" s="125"/>
      <c r="RDU173" s="125"/>
      <c r="RDV173" s="125"/>
      <c r="RDW173" s="125"/>
      <c r="RDX173" s="125"/>
      <c r="RDY173" s="125"/>
      <c r="RDZ173" s="125"/>
      <c r="REA173" s="125"/>
      <c r="REB173" s="125"/>
      <c r="REC173" s="125"/>
      <c r="RED173" s="125"/>
      <c r="REE173" s="125"/>
      <c r="REF173" s="125"/>
      <c r="REG173" s="125"/>
      <c r="REH173" s="125"/>
      <c r="REI173" s="125"/>
      <c r="REJ173" s="125"/>
      <c r="REK173" s="125"/>
      <c r="REL173" s="125"/>
      <c r="REM173" s="125"/>
      <c r="REN173" s="125"/>
      <c r="REO173" s="125"/>
      <c r="REP173" s="125"/>
      <c r="REQ173" s="125"/>
      <c r="RER173" s="125"/>
      <c r="RES173" s="125"/>
      <c r="RET173" s="125"/>
      <c r="REU173" s="125"/>
      <c r="REV173" s="125"/>
      <c r="REW173" s="125"/>
      <c r="REX173" s="125"/>
      <c r="REY173" s="125"/>
      <c r="REZ173" s="125"/>
      <c r="RFA173" s="125"/>
      <c r="RFB173" s="125"/>
      <c r="RFC173" s="125"/>
      <c r="RFD173" s="125"/>
      <c r="RFE173" s="125"/>
      <c r="RFF173" s="125"/>
      <c r="RFG173" s="125"/>
      <c r="RFH173" s="125"/>
      <c r="RFI173" s="125"/>
      <c r="RFJ173" s="125"/>
      <c r="RFK173" s="125"/>
      <c r="RFL173" s="125"/>
      <c r="RFM173" s="125"/>
      <c r="RFN173" s="125"/>
      <c r="RFO173" s="125"/>
      <c r="RFP173" s="125"/>
      <c r="RFQ173" s="125"/>
      <c r="RFR173" s="125"/>
      <c r="RFS173" s="125"/>
      <c r="RFT173" s="125"/>
      <c r="RFU173" s="125"/>
      <c r="RFV173" s="125"/>
      <c r="RFW173" s="125"/>
      <c r="RFX173" s="125"/>
      <c r="RFY173" s="125"/>
      <c r="RFZ173" s="125"/>
      <c r="RGA173" s="125"/>
      <c r="RGB173" s="125"/>
      <c r="RGC173" s="125"/>
      <c r="RGD173" s="125"/>
      <c r="RGE173" s="125"/>
      <c r="RGF173" s="125"/>
      <c r="RGG173" s="125"/>
      <c r="RGH173" s="125"/>
      <c r="RGI173" s="125"/>
      <c r="RGJ173" s="125"/>
      <c r="RGK173" s="125"/>
      <c r="RGL173" s="125"/>
      <c r="RGM173" s="125"/>
      <c r="RGN173" s="125"/>
      <c r="RGO173" s="125"/>
      <c r="RGP173" s="125"/>
      <c r="RGQ173" s="125"/>
      <c r="RGR173" s="125"/>
      <c r="RGS173" s="125"/>
      <c r="RGT173" s="125"/>
      <c r="RGU173" s="125"/>
      <c r="RGV173" s="125"/>
      <c r="RGW173" s="125"/>
      <c r="RGX173" s="125"/>
      <c r="RGY173" s="125"/>
      <c r="RGZ173" s="125"/>
      <c r="RHA173" s="125"/>
      <c r="RHB173" s="125"/>
      <c r="RHC173" s="125"/>
      <c r="RHD173" s="125"/>
      <c r="RHE173" s="125"/>
      <c r="RHF173" s="125"/>
      <c r="RHG173" s="125"/>
      <c r="RHH173" s="125"/>
      <c r="RHI173" s="125"/>
      <c r="RHJ173" s="125"/>
      <c r="RHK173" s="125"/>
      <c r="RHL173" s="125"/>
      <c r="RHM173" s="125"/>
      <c r="RHN173" s="125"/>
      <c r="RHO173" s="125"/>
      <c r="RHP173" s="125"/>
      <c r="RHQ173" s="125"/>
      <c r="RHR173" s="125"/>
      <c r="RHS173" s="125"/>
      <c r="RHT173" s="125"/>
      <c r="RHU173" s="125"/>
      <c r="RHV173" s="125"/>
      <c r="RHW173" s="125"/>
      <c r="RHX173" s="125"/>
      <c r="RHY173" s="125"/>
      <c r="RHZ173" s="125"/>
      <c r="RIA173" s="125"/>
      <c r="RIB173" s="125"/>
      <c r="RIC173" s="125"/>
      <c r="RID173" s="125"/>
      <c r="RIE173" s="125"/>
      <c r="RIF173" s="125"/>
      <c r="RIG173" s="125"/>
      <c r="RIH173" s="125"/>
      <c r="RII173" s="125"/>
      <c r="RIJ173" s="125"/>
      <c r="RIK173" s="125"/>
      <c r="RIL173" s="125"/>
      <c r="RIM173" s="125"/>
      <c r="RIN173" s="125"/>
      <c r="RIO173" s="125"/>
      <c r="RIP173" s="125"/>
      <c r="RIQ173" s="125"/>
      <c r="RIR173" s="125"/>
      <c r="RIS173" s="125"/>
      <c r="RIT173" s="125"/>
      <c r="RIU173" s="125"/>
      <c r="RIV173" s="125"/>
      <c r="RIW173" s="125"/>
      <c r="RIX173" s="125"/>
      <c r="RIY173" s="125"/>
      <c r="RIZ173" s="125"/>
      <c r="RJA173" s="125"/>
      <c r="RJB173" s="125"/>
      <c r="RJC173" s="125"/>
      <c r="RJD173" s="125"/>
      <c r="RJE173" s="125"/>
      <c r="RJF173" s="125"/>
      <c r="RJG173" s="125"/>
      <c r="RJH173" s="125"/>
      <c r="RJI173" s="125"/>
      <c r="RJJ173" s="125"/>
      <c r="RJK173" s="125"/>
      <c r="RJL173" s="125"/>
      <c r="RJM173" s="125"/>
      <c r="RJN173" s="125"/>
      <c r="RJO173" s="125"/>
      <c r="RJP173" s="125"/>
      <c r="RJQ173" s="125"/>
      <c r="RJR173" s="125"/>
      <c r="RJS173" s="125"/>
      <c r="RJT173" s="125"/>
      <c r="RJU173" s="125"/>
      <c r="RJV173" s="125"/>
      <c r="RJW173" s="125"/>
      <c r="RJX173" s="125"/>
      <c r="RJY173" s="125"/>
      <c r="RJZ173" s="125"/>
      <c r="RKA173" s="125"/>
      <c r="RKB173" s="125"/>
      <c r="RKC173" s="125"/>
      <c r="RKD173" s="125"/>
      <c r="RKE173" s="125"/>
      <c r="RKF173" s="125"/>
      <c r="RKG173" s="125"/>
      <c r="RKH173" s="125"/>
      <c r="RKI173" s="125"/>
      <c r="RKJ173" s="125"/>
      <c r="RKK173" s="125"/>
      <c r="RKL173" s="125"/>
      <c r="RKM173" s="125"/>
      <c r="RKN173" s="125"/>
      <c r="RKO173" s="125"/>
      <c r="RKP173" s="125"/>
      <c r="RKQ173" s="125"/>
      <c r="RKR173" s="125"/>
      <c r="RKS173" s="125"/>
      <c r="RKT173" s="125"/>
      <c r="RKU173" s="125"/>
      <c r="RKV173" s="125"/>
      <c r="RKW173" s="125"/>
      <c r="RKX173" s="125"/>
      <c r="RKY173" s="125"/>
      <c r="RKZ173" s="125"/>
      <c r="RLA173" s="125"/>
      <c r="RLB173" s="125"/>
      <c r="RLC173" s="125"/>
      <c r="RLD173" s="125"/>
      <c r="RLE173" s="125"/>
      <c r="RLF173" s="125"/>
      <c r="RLG173" s="125"/>
      <c r="RLH173" s="125"/>
      <c r="RLI173" s="125"/>
      <c r="RLJ173" s="125"/>
      <c r="RLK173" s="125"/>
      <c r="RLL173" s="125"/>
      <c r="RLM173" s="125"/>
      <c r="RLN173" s="125"/>
      <c r="RLO173" s="125"/>
      <c r="RLP173" s="125"/>
      <c r="RLQ173" s="125"/>
      <c r="RLR173" s="125"/>
      <c r="RLS173" s="125"/>
      <c r="RLT173" s="125"/>
      <c r="RLU173" s="125"/>
      <c r="RLV173" s="125"/>
      <c r="RLW173" s="125"/>
      <c r="RLX173" s="125"/>
      <c r="RLY173" s="125"/>
      <c r="RLZ173" s="125"/>
      <c r="RMA173" s="125"/>
      <c r="RMB173" s="125"/>
      <c r="RMC173" s="125"/>
      <c r="RMD173" s="125"/>
      <c r="RME173" s="125"/>
      <c r="RMF173" s="125"/>
      <c r="RMG173" s="125"/>
      <c r="RMH173" s="125"/>
      <c r="RMI173" s="125"/>
      <c r="RMJ173" s="125"/>
      <c r="RMK173" s="125"/>
      <c r="RML173" s="125"/>
      <c r="RMM173" s="125"/>
      <c r="RMN173" s="125"/>
      <c r="RMO173" s="125"/>
      <c r="RMP173" s="125"/>
      <c r="RMQ173" s="125"/>
      <c r="RMR173" s="125"/>
      <c r="RMS173" s="125"/>
      <c r="RMT173" s="125"/>
      <c r="RMU173" s="125"/>
      <c r="RMV173" s="125"/>
      <c r="RMW173" s="125"/>
      <c r="RMX173" s="125"/>
      <c r="RMY173" s="125"/>
      <c r="RMZ173" s="125"/>
      <c r="RNA173" s="125"/>
      <c r="RNB173" s="125"/>
      <c r="RNC173" s="125"/>
      <c r="RND173" s="125"/>
      <c r="RNE173" s="125"/>
      <c r="RNF173" s="125"/>
      <c r="RNG173" s="125"/>
      <c r="RNH173" s="125"/>
      <c r="RNI173" s="125"/>
      <c r="RNJ173" s="125"/>
      <c r="RNK173" s="125"/>
      <c r="RNL173" s="125"/>
      <c r="RNM173" s="125"/>
      <c r="RNN173" s="125"/>
      <c r="RNO173" s="125"/>
      <c r="RNP173" s="125"/>
      <c r="RNQ173" s="125"/>
      <c r="RNR173" s="125"/>
      <c r="RNS173" s="125"/>
      <c r="RNT173" s="125"/>
      <c r="RNU173" s="125"/>
      <c r="RNV173" s="125"/>
      <c r="RNW173" s="125"/>
      <c r="RNX173" s="125"/>
      <c r="RNY173" s="125"/>
      <c r="RNZ173" s="125"/>
      <c r="ROA173" s="125"/>
      <c r="ROB173" s="125"/>
      <c r="ROC173" s="125"/>
      <c r="ROD173" s="125"/>
      <c r="ROE173" s="125"/>
      <c r="ROF173" s="125"/>
      <c r="ROG173" s="125"/>
      <c r="ROH173" s="125"/>
      <c r="ROI173" s="125"/>
      <c r="ROJ173" s="125"/>
      <c r="ROK173" s="125"/>
      <c r="ROL173" s="125"/>
      <c r="ROM173" s="125"/>
      <c r="RON173" s="125"/>
      <c r="ROO173" s="125"/>
      <c r="ROP173" s="125"/>
      <c r="ROQ173" s="125"/>
      <c r="ROR173" s="125"/>
      <c r="ROS173" s="125"/>
      <c r="ROT173" s="125"/>
      <c r="ROU173" s="125"/>
      <c r="ROV173" s="125"/>
      <c r="ROW173" s="125"/>
      <c r="ROX173" s="125"/>
      <c r="ROY173" s="125"/>
      <c r="ROZ173" s="125"/>
      <c r="RPA173" s="125"/>
      <c r="RPB173" s="125"/>
      <c r="RPC173" s="125"/>
      <c r="RPD173" s="125"/>
      <c r="RPE173" s="125"/>
      <c r="RPF173" s="125"/>
      <c r="RPG173" s="125"/>
      <c r="RPH173" s="125"/>
      <c r="RPI173" s="125"/>
      <c r="RPJ173" s="125"/>
      <c r="RPK173" s="125"/>
      <c r="RPL173" s="125"/>
      <c r="RPM173" s="125"/>
      <c r="RPN173" s="125"/>
      <c r="RPO173" s="125"/>
      <c r="RPP173" s="125"/>
      <c r="RPQ173" s="125"/>
      <c r="RPR173" s="125"/>
      <c r="RPS173" s="125"/>
      <c r="RPT173" s="125"/>
      <c r="RPU173" s="125"/>
      <c r="RPV173" s="125"/>
      <c r="RPW173" s="125"/>
      <c r="RPX173" s="125"/>
      <c r="RPY173" s="125"/>
      <c r="RPZ173" s="125"/>
      <c r="RQA173" s="125"/>
      <c r="RQB173" s="125"/>
      <c r="RQC173" s="125"/>
      <c r="RQD173" s="125"/>
      <c r="RQE173" s="125"/>
      <c r="RQF173" s="125"/>
      <c r="RQG173" s="125"/>
      <c r="RQH173" s="125"/>
      <c r="RQI173" s="125"/>
      <c r="RQJ173" s="125"/>
      <c r="RQK173" s="125"/>
      <c r="RQL173" s="125"/>
      <c r="RQM173" s="125"/>
      <c r="RQN173" s="125"/>
      <c r="RQO173" s="125"/>
      <c r="RQP173" s="125"/>
      <c r="RQQ173" s="125"/>
      <c r="RQR173" s="125"/>
      <c r="RQS173" s="125"/>
      <c r="RQT173" s="125"/>
      <c r="RQU173" s="125"/>
      <c r="RQV173" s="125"/>
      <c r="RQW173" s="125"/>
      <c r="RQX173" s="125"/>
      <c r="RQY173" s="125"/>
      <c r="RQZ173" s="125"/>
      <c r="RRA173" s="125"/>
      <c r="RRB173" s="125"/>
      <c r="RRC173" s="125"/>
      <c r="RRD173" s="125"/>
      <c r="RRE173" s="125"/>
      <c r="RRF173" s="125"/>
      <c r="RRG173" s="125"/>
      <c r="RRH173" s="125"/>
      <c r="RRI173" s="125"/>
      <c r="RRJ173" s="125"/>
      <c r="RRK173" s="125"/>
      <c r="RRL173" s="125"/>
      <c r="RRM173" s="125"/>
      <c r="RRN173" s="125"/>
      <c r="RRO173" s="125"/>
      <c r="RRP173" s="125"/>
      <c r="RRQ173" s="125"/>
      <c r="RRR173" s="125"/>
      <c r="RRS173" s="125"/>
      <c r="RRT173" s="125"/>
      <c r="RRU173" s="125"/>
      <c r="RRV173" s="125"/>
      <c r="RRW173" s="125"/>
      <c r="RRX173" s="125"/>
      <c r="RRY173" s="125"/>
      <c r="RRZ173" s="125"/>
      <c r="RSA173" s="125"/>
      <c r="RSB173" s="125"/>
      <c r="RSC173" s="125"/>
      <c r="RSD173" s="125"/>
      <c r="RSE173" s="125"/>
      <c r="RSF173" s="125"/>
      <c r="RSG173" s="125"/>
      <c r="RSH173" s="125"/>
      <c r="RSI173" s="125"/>
      <c r="RSJ173" s="125"/>
      <c r="RSK173" s="125"/>
      <c r="RSL173" s="125"/>
      <c r="RSM173" s="125"/>
      <c r="RSN173" s="125"/>
      <c r="RSO173" s="125"/>
      <c r="RSP173" s="125"/>
      <c r="RSQ173" s="125"/>
      <c r="RSR173" s="125"/>
      <c r="RSS173" s="125"/>
      <c r="RST173" s="125"/>
      <c r="RSU173" s="125"/>
      <c r="RSV173" s="125"/>
      <c r="RSW173" s="125"/>
      <c r="RSX173" s="125"/>
      <c r="RSY173" s="125"/>
      <c r="RSZ173" s="125"/>
      <c r="RTA173" s="125"/>
      <c r="RTB173" s="125"/>
      <c r="RTC173" s="125"/>
      <c r="RTD173" s="125"/>
      <c r="RTE173" s="125"/>
      <c r="RTF173" s="125"/>
      <c r="RTG173" s="125"/>
      <c r="RTH173" s="125"/>
      <c r="RTI173" s="125"/>
      <c r="RTJ173" s="125"/>
      <c r="RTK173" s="125"/>
      <c r="RTL173" s="125"/>
      <c r="RTM173" s="125"/>
      <c r="RTN173" s="125"/>
      <c r="RTO173" s="125"/>
      <c r="RTP173" s="125"/>
      <c r="RTQ173" s="125"/>
      <c r="RTR173" s="125"/>
      <c r="RTS173" s="125"/>
      <c r="RTT173" s="125"/>
      <c r="RTU173" s="125"/>
      <c r="RTV173" s="125"/>
      <c r="RTW173" s="125"/>
      <c r="RTX173" s="125"/>
      <c r="RTY173" s="125"/>
      <c r="RTZ173" s="125"/>
      <c r="RUA173" s="125"/>
      <c r="RUB173" s="125"/>
      <c r="RUC173" s="125"/>
      <c r="RUD173" s="125"/>
      <c r="RUE173" s="125"/>
      <c r="RUF173" s="125"/>
      <c r="RUG173" s="125"/>
      <c r="RUH173" s="125"/>
      <c r="RUI173" s="125"/>
      <c r="RUJ173" s="125"/>
      <c r="RUK173" s="125"/>
      <c r="RUL173" s="125"/>
      <c r="RUM173" s="125"/>
      <c r="RUN173" s="125"/>
      <c r="RUO173" s="125"/>
      <c r="RUP173" s="125"/>
      <c r="RUQ173" s="125"/>
      <c r="RUR173" s="125"/>
      <c r="RUS173" s="125"/>
      <c r="RUT173" s="125"/>
      <c r="RUU173" s="125"/>
      <c r="RUV173" s="125"/>
      <c r="RUW173" s="125"/>
      <c r="RUX173" s="125"/>
      <c r="RUY173" s="125"/>
      <c r="RUZ173" s="125"/>
      <c r="RVA173" s="125"/>
      <c r="RVB173" s="125"/>
      <c r="RVC173" s="125"/>
      <c r="RVD173" s="125"/>
      <c r="RVE173" s="125"/>
      <c r="RVF173" s="125"/>
      <c r="RVG173" s="125"/>
      <c r="RVH173" s="125"/>
      <c r="RVI173" s="125"/>
      <c r="RVJ173" s="125"/>
      <c r="RVK173" s="125"/>
      <c r="RVL173" s="125"/>
      <c r="RVM173" s="125"/>
      <c r="RVN173" s="125"/>
      <c r="RVO173" s="125"/>
      <c r="RVP173" s="125"/>
      <c r="RVQ173" s="125"/>
      <c r="RVR173" s="125"/>
      <c r="RVS173" s="125"/>
      <c r="RVT173" s="125"/>
      <c r="RVU173" s="125"/>
      <c r="RVV173" s="125"/>
      <c r="RVW173" s="125"/>
      <c r="RVX173" s="125"/>
      <c r="RVY173" s="125"/>
      <c r="RVZ173" s="125"/>
      <c r="RWA173" s="125"/>
      <c r="RWB173" s="125"/>
      <c r="RWC173" s="125"/>
      <c r="RWD173" s="125"/>
      <c r="RWE173" s="125"/>
      <c r="RWF173" s="125"/>
      <c r="RWG173" s="125"/>
      <c r="RWH173" s="125"/>
      <c r="RWI173" s="125"/>
      <c r="RWJ173" s="125"/>
      <c r="RWK173" s="125"/>
      <c r="RWL173" s="125"/>
      <c r="RWM173" s="125"/>
      <c r="RWN173" s="125"/>
      <c r="RWO173" s="125"/>
      <c r="RWP173" s="125"/>
      <c r="RWQ173" s="125"/>
      <c r="RWR173" s="125"/>
      <c r="RWS173" s="125"/>
      <c r="RWT173" s="125"/>
      <c r="RWU173" s="125"/>
      <c r="RWV173" s="125"/>
      <c r="RWW173" s="125"/>
      <c r="RWX173" s="125"/>
      <c r="RWY173" s="125"/>
      <c r="RWZ173" s="125"/>
      <c r="RXA173" s="125"/>
      <c r="RXB173" s="125"/>
      <c r="RXC173" s="125"/>
      <c r="RXD173" s="125"/>
      <c r="RXE173" s="125"/>
      <c r="RXF173" s="125"/>
      <c r="RXG173" s="125"/>
      <c r="RXH173" s="125"/>
      <c r="RXI173" s="125"/>
      <c r="RXJ173" s="125"/>
      <c r="RXK173" s="125"/>
      <c r="RXL173" s="125"/>
      <c r="RXM173" s="125"/>
      <c r="RXN173" s="125"/>
      <c r="RXO173" s="125"/>
      <c r="RXP173" s="125"/>
      <c r="RXQ173" s="125"/>
      <c r="RXR173" s="125"/>
      <c r="RXS173" s="125"/>
      <c r="RXT173" s="125"/>
      <c r="RXU173" s="125"/>
      <c r="RXV173" s="125"/>
      <c r="RXW173" s="125"/>
      <c r="RXX173" s="125"/>
      <c r="RXY173" s="125"/>
      <c r="RXZ173" s="125"/>
      <c r="RYA173" s="125"/>
      <c r="RYB173" s="125"/>
      <c r="RYC173" s="125"/>
      <c r="RYD173" s="125"/>
      <c r="RYE173" s="125"/>
      <c r="RYF173" s="125"/>
      <c r="RYG173" s="125"/>
      <c r="RYH173" s="125"/>
      <c r="RYI173" s="125"/>
      <c r="RYJ173" s="125"/>
      <c r="RYK173" s="125"/>
      <c r="RYL173" s="125"/>
      <c r="RYM173" s="125"/>
      <c r="RYN173" s="125"/>
      <c r="RYO173" s="125"/>
      <c r="RYP173" s="125"/>
      <c r="RYQ173" s="125"/>
      <c r="RYR173" s="125"/>
      <c r="RYS173" s="125"/>
      <c r="RYT173" s="125"/>
      <c r="RYU173" s="125"/>
      <c r="RYV173" s="125"/>
      <c r="RYW173" s="125"/>
      <c r="RYX173" s="125"/>
      <c r="RYY173" s="125"/>
      <c r="RYZ173" s="125"/>
      <c r="RZA173" s="125"/>
      <c r="RZB173" s="125"/>
      <c r="RZC173" s="125"/>
      <c r="RZD173" s="125"/>
      <c r="RZE173" s="125"/>
      <c r="RZF173" s="125"/>
      <c r="RZG173" s="125"/>
      <c r="RZH173" s="125"/>
      <c r="RZI173" s="125"/>
      <c r="RZJ173" s="125"/>
      <c r="RZK173" s="125"/>
      <c r="RZL173" s="125"/>
      <c r="RZM173" s="125"/>
      <c r="RZN173" s="125"/>
      <c r="RZO173" s="125"/>
      <c r="RZP173" s="125"/>
      <c r="RZQ173" s="125"/>
      <c r="RZR173" s="125"/>
      <c r="RZS173" s="125"/>
      <c r="RZT173" s="125"/>
      <c r="RZU173" s="125"/>
      <c r="RZV173" s="125"/>
      <c r="RZW173" s="125"/>
      <c r="RZX173" s="125"/>
      <c r="RZY173" s="125"/>
      <c r="RZZ173" s="125"/>
      <c r="SAA173" s="125"/>
      <c r="SAB173" s="125"/>
      <c r="SAC173" s="125"/>
      <c r="SAD173" s="125"/>
      <c r="SAE173" s="125"/>
      <c r="SAF173" s="125"/>
      <c r="SAG173" s="125"/>
      <c r="SAH173" s="125"/>
      <c r="SAI173" s="125"/>
      <c r="SAJ173" s="125"/>
      <c r="SAK173" s="125"/>
      <c r="SAL173" s="125"/>
      <c r="SAM173" s="125"/>
      <c r="SAN173" s="125"/>
      <c r="SAO173" s="125"/>
      <c r="SAP173" s="125"/>
      <c r="SAQ173" s="125"/>
      <c r="SAR173" s="125"/>
      <c r="SAS173" s="125"/>
      <c r="SAT173" s="125"/>
      <c r="SAU173" s="125"/>
      <c r="SAV173" s="125"/>
      <c r="SAW173" s="125"/>
      <c r="SAX173" s="125"/>
      <c r="SAY173" s="125"/>
      <c r="SAZ173" s="125"/>
      <c r="SBA173" s="125"/>
      <c r="SBB173" s="125"/>
      <c r="SBC173" s="125"/>
      <c r="SBD173" s="125"/>
      <c r="SBE173" s="125"/>
      <c r="SBF173" s="125"/>
      <c r="SBG173" s="125"/>
      <c r="SBH173" s="125"/>
      <c r="SBI173" s="125"/>
      <c r="SBJ173" s="125"/>
      <c r="SBK173" s="125"/>
      <c r="SBL173" s="125"/>
      <c r="SBM173" s="125"/>
      <c r="SBN173" s="125"/>
      <c r="SBO173" s="125"/>
      <c r="SBP173" s="125"/>
      <c r="SBQ173" s="125"/>
      <c r="SBR173" s="125"/>
      <c r="SBS173" s="125"/>
      <c r="SBT173" s="125"/>
      <c r="SBU173" s="125"/>
      <c r="SBV173" s="125"/>
      <c r="SBW173" s="125"/>
      <c r="SBX173" s="125"/>
      <c r="SBY173" s="125"/>
      <c r="SBZ173" s="125"/>
      <c r="SCA173" s="125"/>
      <c r="SCB173" s="125"/>
      <c r="SCC173" s="125"/>
      <c r="SCD173" s="125"/>
      <c r="SCE173" s="125"/>
      <c r="SCF173" s="125"/>
      <c r="SCG173" s="125"/>
      <c r="SCH173" s="125"/>
      <c r="SCI173" s="125"/>
      <c r="SCJ173" s="125"/>
      <c r="SCK173" s="125"/>
      <c r="SCL173" s="125"/>
      <c r="SCM173" s="125"/>
      <c r="SCN173" s="125"/>
      <c r="SCO173" s="125"/>
      <c r="SCP173" s="125"/>
      <c r="SCQ173" s="125"/>
      <c r="SCR173" s="125"/>
      <c r="SCS173" s="125"/>
      <c r="SCT173" s="125"/>
      <c r="SCU173" s="125"/>
      <c r="SCV173" s="125"/>
      <c r="SCW173" s="125"/>
      <c r="SCX173" s="125"/>
      <c r="SCY173" s="125"/>
      <c r="SCZ173" s="125"/>
      <c r="SDA173" s="125"/>
      <c r="SDB173" s="125"/>
      <c r="SDC173" s="125"/>
      <c r="SDD173" s="125"/>
      <c r="SDE173" s="125"/>
      <c r="SDF173" s="125"/>
      <c r="SDG173" s="125"/>
      <c r="SDH173" s="125"/>
      <c r="SDI173" s="125"/>
      <c r="SDJ173" s="125"/>
      <c r="SDK173" s="125"/>
      <c r="SDL173" s="125"/>
      <c r="SDM173" s="125"/>
      <c r="SDN173" s="125"/>
      <c r="SDO173" s="125"/>
      <c r="SDP173" s="125"/>
      <c r="SDQ173" s="125"/>
      <c r="SDR173" s="125"/>
      <c r="SDS173" s="125"/>
      <c r="SDT173" s="125"/>
      <c r="SDU173" s="125"/>
      <c r="SDV173" s="125"/>
      <c r="SDW173" s="125"/>
      <c r="SDX173" s="125"/>
      <c r="SDY173" s="125"/>
      <c r="SDZ173" s="125"/>
      <c r="SEA173" s="125"/>
      <c r="SEB173" s="125"/>
      <c r="SEC173" s="125"/>
      <c r="SED173" s="125"/>
      <c r="SEE173" s="125"/>
      <c r="SEF173" s="125"/>
      <c r="SEG173" s="125"/>
      <c r="SEH173" s="125"/>
      <c r="SEI173" s="125"/>
      <c r="SEJ173" s="125"/>
      <c r="SEK173" s="125"/>
      <c r="SEL173" s="125"/>
      <c r="SEM173" s="125"/>
      <c r="SEN173" s="125"/>
      <c r="SEO173" s="125"/>
      <c r="SEP173" s="125"/>
      <c r="SEQ173" s="125"/>
      <c r="SER173" s="125"/>
      <c r="SES173" s="125"/>
      <c r="SET173" s="125"/>
      <c r="SEU173" s="125"/>
      <c r="SEV173" s="125"/>
      <c r="SEW173" s="125"/>
      <c r="SEX173" s="125"/>
      <c r="SEY173" s="125"/>
      <c r="SEZ173" s="125"/>
      <c r="SFA173" s="125"/>
      <c r="SFB173" s="125"/>
      <c r="SFC173" s="125"/>
      <c r="SFD173" s="125"/>
      <c r="SFE173" s="125"/>
      <c r="SFF173" s="125"/>
      <c r="SFG173" s="125"/>
      <c r="SFH173" s="125"/>
      <c r="SFI173" s="125"/>
      <c r="SFJ173" s="125"/>
      <c r="SFK173" s="125"/>
      <c r="SFL173" s="125"/>
      <c r="SFM173" s="125"/>
      <c r="SFN173" s="125"/>
      <c r="SFO173" s="125"/>
      <c r="SFP173" s="125"/>
      <c r="SFQ173" s="125"/>
      <c r="SFR173" s="125"/>
      <c r="SFS173" s="125"/>
      <c r="SFT173" s="125"/>
      <c r="SFU173" s="125"/>
      <c r="SFV173" s="125"/>
      <c r="SFW173" s="125"/>
      <c r="SFX173" s="125"/>
      <c r="SFY173" s="125"/>
      <c r="SFZ173" s="125"/>
      <c r="SGA173" s="125"/>
      <c r="SGB173" s="125"/>
      <c r="SGC173" s="125"/>
      <c r="SGD173" s="125"/>
      <c r="SGE173" s="125"/>
      <c r="SGF173" s="125"/>
      <c r="SGG173" s="125"/>
      <c r="SGH173" s="125"/>
      <c r="SGI173" s="125"/>
      <c r="SGJ173" s="125"/>
      <c r="SGK173" s="125"/>
      <c r="SGL173" s="125"/>
      <c r="SGM173" s="125"/>
      <c r="SGN173" s="125"/>
      <c r="SGO173" s="125"/>
      <c r="SGP173" s="125"/>
      <c r="SGQ173" s="125"/>
      <c r="SGR173" s="125"/>
      <c r="SGS173" s="125"/>
      <c r="SGT173" s="125"/>
      <c r="SGU173" s="125"/>
      <c r="SGV173" s="125"/>
      <c r="SGW173" s="125"/>
      <c r="SGX173" s="125"/>
      <c r="SGY173" s="125"/>
      <c r="SGZ173" s="125"/>
      <c r="SHA173" s="125"/>
      <c r="SHB173" s="125"/>
      <c r="SHC173" s="125"/>
      <c r="SHD173" s="125"/>
      <c r="SHE173" s="125"/>
      <c r="SHF173" s="125"/>
      <c r="SHG173" s="125"/>
      <c r="SHH173" s="125"/>
      <c r="SHI173" s="125"/>
      <c r="SHJ173" s="125"/>
      <c r="SHK173" s="125"/>
      <c r="SHL173" s="125"/>
      <c r="SHM173" s="125"/>
      <c r="SHN173" s="125"/>
      <c r="SHO173" s="125"/>
      <c r="SHP173" s="125"/>
      <c r="SHQ173" s="125"/>
      <c r="SHR173" s="125"/>
      <c r="SHS173" s="125"/>
      <c r="SHT173" s="125"/>
      <c r="SHU173" s="125"/>
      <c r="SHV173" s="125"/>
      <c r="SHW173" s="125"/>
      <c r="SHX173" s="125"/>
      <c r="SHY173" s="125"/>
      <c r="SHZ173" s="125"/>
      <c r="SIA173" s="125"/>
      <c r="SIB173" s="125"/>
      <c r="SIC173" s="125"/>
      <c r="SID173" s="125"/>
      <c r="SIE173" s="125"/>
      <c r="SIF173" s="125"/>
      <c r="SIG173" s="125"/>
      <c r="SIH173" s="125"/>
      <c r="SII173" s="125"/>
      <c r="SIJ173" s="125"/>
      <c r="SIK173" s="125"/>
      <c r="SIL173" s="125"/>
      <c r="SIM173" s="125"/>
      <c r="SIN173" s="125"/>
      <c r="SIO173" s="125"/>
      <c r="SIP173" s="125"/>
      <c r="SIQ173" s="125"/>
      <c r="SIR173" s="125"/>
      <c r="SIS173" s="125"/>
      <c r="SIT173" s="125"/>
      <c r="SIU173" s="125"/>
      <c r="SIV173" s="125"/>
      <c r="SIW173" s="125"/>
      <c r="SIX173" s="125"/>
      <c r="SIY173" s="125"/>
      <c r="SIZ173" s="125"/>
      <c r="SJA173" s="125"/>
      <c r="SJB173" s="125"/>
      <c r="SJC173" s="125"/>
      <c r="SJD173" s="125"/>
      <c r="SJE173" s="125"/>
      <c r="SJF173" s="125"/>
      <c r="SJG173" s="125"/>
      <c r="SJH173" s="125"/>
      <c r="SJI173" s="125"/>
      <c r="SJJ173" s="125"/>
      <c r="SJK173" s="125"/>
      <c r="SJL173" s="125"/>
      <c r="SJM173" s="125"/>
      <c r="SJN173" s="125"/>
      <c r="SJO173" s="125"/>
      <c r="SJP173" s="125"/>
      <c r="SJQ173" s="125"/>
      <c r="SJR173" s="125"/>
      <c r="SJS173" s="125"/>
      <c r="SJT173" s="125"/>
      <c r="SJU173" s="125"/>
      <c r="SJV173" s="125"/>
      <c r="SJW173" s="125"/>
      <c r="SJX173" s="125"/>
      <c r="SJY173" s="125"/>
      <c r="SJZ173" s="125"/>
      <c r="SKA173" s="125"/>
      <c r="SKB173" s="125"/>
      <c r="SKC173" s="125"/>
      <c r="SKD173" s="125"/>
      <c r="SKE173" s="125"/>
      <c r="SKF173" s="125"/>
      <c r="SKG173" s="125"/>
      <c r="SKH173" s="125"/>
      <c r="SKI173" s="125"/>
      <c r="SKJ173" s="125"/>
      <c r="SKK173" s="125"/>
      <c r="SKL173" s="125"/>
      <c r="SKM173" s="125"/>
      <c r="SKN173" s="125"/>
      <c r="SKO173" s="125"/>
      <c r="SKP173" s="125"/>
      <c r="SKQ173" s="125"/>
      <c r="SKR173" s="125"/>
      <c r="SKS173" s="125"/>
      <c r="SKT173" s="125"/>
      <c r="SKU173" s="125"/>
      <c r="SKV173" s="125"/>
      <c r="SKW173" s="125"/>
      <c r="SKX173" s="125"/>
      <c r="SKY173" s="125"/>
      <c r="SKZ173" s="125"/>
      <c r="SLA173" s="125"/>
      <c r="SLB173" s="125"/>
      <c r="SLC173" s="125"/>
      <c r="SLD173" s="125"/>
      <c r="SLE173" s="125"/>
      <c r="SLF173" s="125"/>
      <c r="SLG173" s="125"/>
      <c r="SLH173" s="125"/>
      <c r="SLI173" s="125"/>
      <c r="SLJ173" s="125"/>
      <c r="SLK173" s="125"/>
      <c r="SLL173" s="125"/>
      <c r="SLM173" s="125"/>
      <c r="SLN173" s="125"/>
      <c r="SLO173" s="125"/>
      <c r="SLP173" s="125"/>
      <c r="SLQ173" s="125"/>
      <c r="SLR173" s="125"/>
      <c r="SLS173" s="125"/>
      <c r="SLT173" s="125"/>
      <c r="SLU173" s="125"/>
      <c r="SLV173" s="125"/>
      <c r="SLW173" s="125"/>
      <c r="SLX173" s="125"/>
      <c r="SLY173" s="125"/>
      <c r="SLZ173" s="125"/>
      <c r="SMA173" s="125"/>
      <c r="SMB173" s="125"/>
      <c r="SMC173" s="125"/>
      <c r="SMD173" s="125"/>
      <c r="SME173" s="125"/>
      <c r="SMF173" s="125"/>
      <c r="SMG173" s="125"/>
      <c r="SMH173" s="125"/>
      <c r="SMI173" s="125"/>
      <c r="SMJ173" s="125"/>
      <c r="SMK173" s="125"/>
      <c r="SML173" s="125"/>
      <c r="SMM173" s="125"/>
      <c r="SMN173" s="125"/>
      <c r="SMO173" s="125"/>
      <c r="SMP173" s="125"/>
      <c r="SMQ173" s="125"/>
      <c r="SMR173" s="125"/>
      <c r="SMS173" s="125"/>
      <c r="SMT173" s="125"/>
      <c r="SMU173" s="125"/>
      <c r="SMV173" s="125"/>
      <c r="SMW173" s="125"/>
      <c r="SMX173" s="125"/>
      <c r="SMY173" s="125"/>
      <c r="SMZ173" s="125"/>
      <c r="SNA173" s="125"/>
      <c r="SNB173" s="125"/>
      <c r="SNC173" s="125"/>
      <c r="SND173" s="125"/>
      <c r="SNE173" s="125"/>
      <c r="SNF173" s="125"/>
      <c r="SNG173" s="125"/>
      <c r="SNH173" s="125"/>
      <c r="SNI173" s="125"/>
      <c r="SNJ173" s="125"/>
      <c r="SNK173" s="125"/>
      <c r="SNL173" s="125"/>
      <c r="SNM173" s="125"/>
      <c r="SNN173" s="125"/>
      <c r="SNO173" s="125"/>
      <c r="SNP173" s="125"/>
      <c r="SNQ173" s="125"/>
      <c r="SNR173" s="125"/>
      <c r="SNS173" s="125"/>
      <c r="SNT173" s="125"/>
      <c r="SNU173" s="125"/>
      <c r="SNV173" s="125"/>
      <c r="SNW173" s="125"/>
      <c r="SNX173" s="125"/>
      <c r="SNY173" s="125"/>
      <c r="SNZ173" s="125"/>
      <c r="SOA173" s="125"/>
      <c r="SOB173" s="125"/>
      <c r="SOC173" s="125"/>
      <c r="SOD173" s="125"/>
      <c r="SOE173" s="125"/>
      <c r="SOF173" s="125"/>
      <c r="SOG173" s="125"/>
      <c r="SOH173" s="125"/>
      <c r="SOI173" s="125"/>
      <c r="SOJ173" s="125"/>
      <c r="SOK173" s="125"/>
      <c r="SOL173" s="125"/>
      <c r="SOM173" s="125"/>
      <c r="SON173" s="125"/>
      <c r="SOO173" s="125"/>
      <c r="SOP173" s="125"/>
      <c r="SOQ173" s="125"/>
      <c r="SOR173" s="125"/>
      <c r="SOS173" s="125"/>
      <c r="SOT173" s="125"/>
      <c r="SOU173" s="125"/>
      <c r="SOV173" s="125"/>
      <c r="SOW173" s="125"/>
      <c r="SOX173" s="125"/>
      <c r="SOY173" s="125"/>
      <c r="SOZ173" s="125"/>
      <c r="SPA173" s="125"/>
      <c r="SPB173" s="125"/>
      <c r="SPC173" s="125"/>
      <c r="SPD173" s="125"/>
      <c r="SPE173" s="125"/>
      <c r="SPF173" s="125"/>
      <c r="SPG173" s="125"/>
      <c r="SPH173" s="125"/>
      <c r="SPI173" s="125"/>
      <c r="SPJ173" s="125"/>
      <c r="SPK173" s="125"/>
      <c r="SPL173" s="125"/>
      <c r="SPM173" s="125"/>
      <c r="SPN173" s="125"/>
      <c r="SPO173" s="125"/>
      <c r="SPP173" s="125"/>
      <c r="SPQ173" s="125"/>
      <c r="SPR173" s="125"/>
      <c r="SPS173" s="125"/>
      <c r="SPT173" s="125"/>
      <c r="SPU173" s="125"/>
      <c r="SPV173" s="125"/>
      <c r="SPW173" s="125"/>
      <c r="SPX173" s="125"/>
      <c r="SPY173" s="125"/>
      <c r="SPZ173" s="125"/>
      <c r="SQA173" s="125"/>
      <c r="SQB173" s="125"/>
      <c r="SQC173" s="125"/>
      <c r="SQD173" s="125"/>
      <c r="SQE173" s="125"/>
      <c r="SQF173" s="125"/>
      <c r="SQG173" s="125"/>
      <c r="SQH173" s="125"/>
      <c r="SQI173" s="125"/>
      <c r="SQJ173" s="125"/>
      <c r="SQK173" s="125"/>
      <c r="SQL173" s="125"/>
      <c r="SQM173" s="125"/>
      <c r="SQN173" s="125"/>
      <c r="SQO173" s="125"/>
      <c r="SQP173" s="125"/>
      <c r="SQQ173" s="125"/>
      <c r="SQR173" s="125"/>
      <c r="SQS173" s="125"/>
      <c r="SQT173" s="125"/>
      <c r="SQU173" s="125"/>
      <c r="SQV173" s="125"/>
      <c r="SQW173" s="125"/>
      <c r="SQX173" s="125"/>
      <c r="SQY173" s="125"/>
      <c r="SQZ173" s="125"/>
      <c r="SRA173" s="125"/>
      <c r="SRB173" s="125"/>
      <c r="SRC173" s="125"/>
      <c r="SRD173" s="125"/>
      <c r="SRE173" s="125"/>
      <c r="SRF173" s="125"/>
      <c r="SRG173" s="125"/>
      <c r="SRH173" s="125"/>
      <c r="SRI173" s="125"/>
      <c r="SRJ173" s="125"/>
      <c r="SRK173" s="125"/>
      <c r="SRL173" s="125"/>
      <c r="SRM173" s="125"/>
      <c r="SRN173" s="125"/>
      <c r="SRO173" s="125"/>
      <c r="SRP173" s="125"/>
      <c r="SRQ173" s="125"/>
      <c r="SRR173" s="125"/>
      <c r="SRS173" s="125"/>
      <c r="SRT173" s="125"/>
      <c r="SRU173" s="125"/>
      <c r="SRV173" s="125"/>
      <c r="SRW173" s="125"/>
      <c r="SRX173" s="125"/>
      <c r="SRY173" s="125"/>
      <c r="SRZ173" s="125"/>
      <c r="SSA173" s="125"/>
      <c r="SSB173" s="125"/>
      <c r="SSC173" s="125"/>
      <c r="SSD173" s="125"/>
      <c r="SSE173" s="125"/>
      <c r="SSF173" s="125"/>
      <c r="SSG173" s="125"/>
      <c r="SSH173" s="125"/>
      <c r="SSI173" s="125"/>
      <c r="SSJ173" s="125"/>
      <c r="SSK173" s="125"/>
      <c r="SSL173" s="125"/>
      <c r="SSM173" s="125"/>
      <c r="SSN173" s="125"/>
      <c r="SSO173" s="125"/>
      <c r="SSP173" s="125"/>
      <c r="SSQ173" s="125"/>
      <c r="SSR173" s="125"/>
      <c r="SSS173" s="125"/>
      <c r="SST173" s="125"/>
      <c r="SSU173" s="125"/>
      <c r="SSV173" s="125"/>
      <c r="SSW173" s="125"/>
      <c r="SSX173" s="125"/>
      <c r="SSY173" s="125"/>
      <c r="SSZ173" s="125"/>
      <c r="STA173" s="125"/>
      <c r="STB173" s="125"/>
      <c r="STC173" s="125"/>
      <c r="STD173" s="125"/>
      <c r="STE173" s="125"/>
      <c r="STF173" s="125"/>
      <c r="STG173" s="125"/>
      <c r="STH173" s="125"/>
      <c r="STI173" s="125"/>
      <c r="STJ173" s="125"/>
      <c r="STK173" s="125"/>
      <c r="STL173" s="125"/>
      <c r="STM173" s="125"/>
      <c r="STN173" s="125"/>
      <c r="STO173" s="125"/>
      <c r="STP173" s="125"/>
      <c r="STQ173" s="125"/>
      <c r="STR173" s="125"/>
      <c r="STS173" s="125"/>
      <c r="STT173" s="125"/>
      <c r="STU173" s="125"/>
      <c r="STV173" s="125"/>
      <c r="STW173" s="125"/>
      <c r="STX173" s="125"/>
      <c r="STY173" s="125"/>
      <c r="STZ173" s="125"/>
      <c r="SUA173" s="125"/>
      <c r="SUB173" s="125"/>
      <c r="SUC173" s="125"/>
      <c r="SUD173" s="125"/>
      <c r="SUE173" s="125"/>
      <c r="SUF173" s="125"/>
      <c r="SUG173" s="125"/>
      <c r="SUH173" s="125"/>
      <c r="SUI173" s="125"/>
      <c r="SUJ173" s="125"/>
      <c r="SUK173" s="125"/>
      <c r="SUL173" s="125"/>
      <c r="SUM173" s="125"/>
      <c r="SUN173" s="125"/>
      <c r="SUO173" s="125"/>
      <c r="SUP173" s="125"/>
      <c r="SUQ173" s="125"/>
      <c r="SUR173" s="125"/>
      <c r="SUS173" s="125"/>
      <c r="SUT173" s="125"/>
      <c r="SUU173" s="125"/>
      <c r="SUV173" s="125"/>
      <c r="SUW173" s="125"/>
      <c r="SUX173" s="125"/>
      <c r="SUY173" s="125"/>
      <c r="SUZ173" s="125"/>
      <c r="SVA173" s="125"/>
      <c r="SVB173" s="125"/>
      <c r="SVC173" s="125"/>
      <c r="SVD173" s="125"/>
      <c r="SVE173" s="125"/>
      <c r="SVF173" s="125"/>
      <c r="SVG173" s="125"/>
      <c r="SVH173" s="125"/>
      <c r="SVI173" s="125"/>
      <c r="SVJ173" s="125"/>
      <c r="SVK173" s="125"/>
      <c r="SVL173" s="125"/>
      <c r="SVM173" s="125"/>
      <c r="SVN173" s="125"/>
      <c r="SVO173" s="125"/>
      <c r="SVP173" s="125"/>
      <c r="SVQ173" s="125"/>
      <c r="SVR173" s="125"/>
      <c r="SVS173" s="125"/>
      <c r="SVT173" s="125"/>
      <c r="SVU173" s="125"/>
      <c r="SVV173" s="125"/>
      <c r="SVW173" s="125"/>
      <c r="SVX173" s="125"/>
      <c r="SVY173" s="125"/>
      <c r="SVZ173" s="125"/>
      <c r="SWA173" s="125"/>
      <c r="SWB173" s="125"/>
      <c r="SWC173" s="125"/>
      <c r="SWD173" s="125"/>
      <c r="SWE173" s="125"/>
      <c r="SWF173" s="125"/>
      <c r="SWG173" s="125"/>
      <c r="SWH173" s="125"/>
      <c r="SWI173" s="125"/>
      <c r="SWJ173" s="125"/>
      <c r="SWK173" s="125"/>
      <c r="SWL173" s="125"/>
      <c r="SWM173" s="125"/>
      <c r="SWN173" s="125"/>
      <c r="SWO173" s="125"/>
      <c r="SWP173" s="125"/>
      <c r="SWQ173" s="125"/>
      <c r="SWR173" s="125"/>
      <c r="SWS173" s="125"/>
      <c r="SWT173" s="125"/>
      <c r="SWU173" s="125"/>
      <c r="SWV173" s="125"/>
      <c r="SWW173" s="125"/>
      <c r="SWX173" s="125"/>
      <c r="SWY173" s="125"/>
      <c r="SWZ173" s="125"/>
      <c r="SXA173" s="125"/>
      <c r="SXB173" s="125"/>
      <c r="SXC173" s="125"/>
      <c r="SXD173" s="125"/>
      <c r="SXE173" s="125"/>
      <c r="SXF173" s="125"/>
      <c r="SXG173" s="125"/>
      <c r="SXH173" s="125"/>
      <c r="SXI173" s="125"/>
      <c r="SXJ173" s="125"/>
      <c r="SXK173" s="125"/>
      <c r="SXL173" s="125"/>
      <c r="SXM173" s="125"/>
      <c r="SXN173" s="125"/>
      <c r="SXO173" s="125"/>
      <c r="SXP173" s="125"/>
      <c r="SXQ173" s="125"/>
      <c r="SXR173" s="125"/>
      <c r="SXS173" s="125"/>
      <c r="SXT173" s="125"/>
      <c r="SXU173" s="125"/>
      <c r="SXV173" s="125"/>
      <c r="SXW173" s="125"/>
      <c r="SXX173" s="125"/>
      <c r="SXY173" s="125"/>
      <c r="SXZ173" s="125"/>
      <c r="SYA173" s="125"/>
      <c r="SYB173" s="125"/>
      <c r="SYC173" s="125"/>
      <c r="SYD173" s="125"/>
      <c r="SYE173" s="125"/>
      <c r="SYF173" s="125"/>
      <c r="SYG173" s="125"/>
      <c r="SYH173" s="125"/>
      <c r="SYI173" s="125"/>
      <c r="SYJ173" s="125"/>
      <c r="SYK173" s="125"/>
      <c r="SYL173" s="125"/>
      <c r="SYM173" s="125"/>
      <c r="SYN173" s="125"/>
      <c r="SYO173" s="125"/>
      <c r="SYP173" s="125"/>
      <c r="SYQ173" s="125"/>
      <c r="SYR173" s="125"/>
      <c r="SYS173" s="125"/>
      <c r="SYT173" s="125"/>
      <c r="SYU173" s="125"/>
      <c r="SYV173" s="125"/>
      <c r="SYW173" s="125"/>
      <c r="SYX173" s="125"/>
      <c r="SYY173" s="125"/>
      <c r="SYZ173" s="125"/>
      <c r="SZA173" s="125"/>
      <c r="SZB173" s="125"/>
      <c r="SZC173" s="125"/>
      <c r="SZD173" s="125"/>
      <c r="SZE173" s="125"/>
      <c r="SZF173" s="125"/>
      <c r="SZG173" s="125"/>
      <c r="SZH173" s="125"/>
      <c r="SZI173" s="125"/>
      <c r="SZJ173" s="125"/>
      <c r="SZK173" s="125"/>
      <c r="SZL173" s="125"/>
      <c r="SZM173" s="125"/>
      <c r="SZN173" s="125"/>
      <c r="SZO173" s="125"/>
      <c r="SZP173" s="125"/>
      <c r="SZQ173" s="125"/>
      <c r="SZR173" s="125"/>
      <c r="SZS173" s="125"/>
      <c r="SZT173" s="125"/>
      <c r="SZU173" s="125"/>
      <c r="SZV173" s="125"/>
      <c r="SZW173" s="125"/>
      <c r="SZX173" s="125"/>
      <c r="SZY173" s="125"/>
      <c r="SZZ173" s="125"/>
      <c r="TAA173" s="125"/>
      <c r="TAB173" s="125"/>
      <c r="TAC173" s="125"/>
      <c r="TAD173" s="125"/>
      <c r="TAE173" s="125"/>
      <c r="TAF173" s="125"/>
      <c r="TAG173" s="125"/>
      <c r="TAH173" s="125"/>
      <c r="TAI173" s="125"/>
      <c r="TAJ173" s="125"/>
      <c r="TAK173" s="125"/>
      <c r="TAL173" s="125"/>
      <c r="TAM173" s="125"/>
      <c r="TAN173" s="125"/>
      <c r="TAO173" s="125"/>
      <c r="TAP173" s="125"/>
      <c r="TAQ173" s="125"/>
      <c r="TAR173" s="125"/>
      <c r="TAS173" s="125"/>
      <c r="TAT173" s="125"/>
      <c r="TAU173" s="125"/>
      <c r="TAV173" s="125"/>
      <c r="TAW173" s="125"/>
      <c r="TAX173" s="125"/>
      <c r="TAY173" s="125"/>
      <c r="TAZ173" s="125"/>
      <c r="TBA173" s="125"/>
      <c r="TBB173" s="125"/>
      <c r="TBC173" s="125"/>
      <c r="TBD173" s="125"/>
      <c r="TBE173" s="125"/>
      <c r="TBF173" s="125"/>
      <c r="TBG173" s="125"/>
      <c r="TBH173" s="125"/>
      <c r="TBI173" s="125"/>
      <c r="TBJ173" s="125"/>
      <c r="TBK173" s="125"/>
      <c r="TBL173" s="125"/>
      <c r="TBM173" s="125"/>
      <c r="TBN173" s="125"/>
      <c r="TBO173" s="125"/>
      <c r="TBP173" s="125"/>
      <c r="TBQ173" s="125"/>
      <c r="TBR173" s="125"/>
      <c r="TBS173" s="125"/>
      <c r="TBT173" s="125"/>
      <c r="TBU173" s="125"/>
      <c r="TBV173" s="125"/>
      <c r="TBW173" s="125"/>
      <c r="TBX173" s="125"/>
      <c r="TBY173" s="125"/>
      <c r="TBZ173" s="125"/>
      <c r="TCA173" s="125"/>
      <c r="TCB173" s="125"/>
      <c r="TCC173" s="125"/>
      <c r="TCD173" s="125"/>
      <c r="TCE173" s="125"/>
      <c r="TCF173" s="125"/>
      <c r="TCG173" s="125"/>
      <c r="TCH173" s="125"/>
      <c r="TCI173" s="125"/>
      <c r="TCJ173" s="125"/>
      <c r="TCK173" s="125"/>
      <c r="TCL173" s="125"/>
      <c r="TCM173" s="125"/>
      <c r="TCN173" s="125"/>
      <c r="TCO173" s="125"/>
      <c r="TCP173" s="125"/>
      <c r="TCQ173" s="125"/>
      <c r="TCR173" s="125"/>
      <c r="TCS173" s="125"/>
      <c r="TCT173" s="125"/>
      <c r="TCU173" s="125"/>
      <c r="TCV173" s="125"/>
      <c r="TCW173" s="125"/>
      <c r="TCX173" s="125"/>
      <c r="TCY173" s="125"/>
      <c r="TCZ173" s="125"/>
      <c r="TDA173" s="125"/>
      <c r="TDB173" s="125"/>
      <c r="TDC173" s="125"/>
      <c r="TDD173" s="125"/>
      <c r="TDE173" s="125"/>
      <c r="TDF173" s="125"/>
      <c r="TDG173" s="125"/>
      <c r="TDH173" s="125"/>
      <c r="TDI173" s="125"/>
      <c r="TDJ173" s="125"/>
      <c r="TDK173" s="125"/>
      <c r="TDL173" s="125"/>
      <c r="TDM173" s="125"/>
      <c r="TDN173" s="125"/>
      <c r="TDO173" s="125"/>
      <c r="TDP173" s="125"/>
      <c r="TDQ173" s="125"/>
      <c r="TDR173" s="125"/>
      <c r="TDS173" s="125"/>
      <c r="TDT173" s="125"/>
      <c r="TDU173" s="125"/>
      <c r="TDV173" s="125"/>
      <c r="TDW173" s="125"/>
      <c r="TDX173" s="125"/>
      <c r="TDY173" s="125"/>
      <c r="TDZ173" s="125"/>
      <c r="TEA173" s="125"/>
      <c r="TEB173" s="125"/>
      <c r="TEC173" s="125"/>
      <c r="TED173" s="125"/>
      <c r="TEE173" s="125"/>
      <c r="TEF173" s="125"/>
      <c r="TEG173" s="125"/>
      <c r="TEH173" s="125"/>
      <c r="TEI173" s="125"/>
      <c r="TEJ173" s="125"/>
      <c r="TEK173" s="125"/>
      <c r="TEL173" s="125"/>
      <c r="TEM173" s="125"/>
      <c r="TEN173" s="125"/>
      <c r="TEO173" s="125"/>
      <c r="TEP173" s="125"/>
      <c r="TEQ173" s="125"/>
      <c r="TER173" s="125"/>
      <c r="TES173" s="125"/>
      <c r="TET173" s="125"/>
      <c r="TEU173" s="125"/>
      <c r="TEV173" s="125"/>
      <c r="TEW173" s="125"/>
      <c r="TEX173" s="125"/>
      <c r="TEY173" s="125"/>
      <c r="TEZ173" s="125"/>
      <c r="TFA173" s="125"/>
      <c r="TFB173" s="125"/>
      <c r="TFC173" s="125"/>
      <c r="TFD173" s="125"/>
      <c r="TFE173" s="125"/>
      <c r="TFF173" s="125"/>
      <c r="TFG173" s="125"/>
      <c r="TFH173" s="125"/>
      <c r="TFI173" s="125"/>
      <c r="TFJ173" s="125"/>
      <c r="TFK173" s="125"/>
      <c r="TFL173" s="125"/>
      <c r="TFM173" s="125"/>
      <c r="TFN173" s="125"/>
      <c r="TFO173" s="125"/>
      <c r="TFP173" s="125"/>
      <c r="TFQ173" s="125"/>
      <c r="TFR173" s="125"/>
      <c r="TFS173" s="125"/>
      <c r="TFT173" s="125"/>
      <c r="TFU173" s="125"/>
      <c r="TFV173" s="125"/>
      <c r="TFW173" s="125"/>
      <c r="TFX173" s="125"/>
      <c r="TFY173" s="125"/>
      <c r="TFZ173" s="125"/>
      <c r="TGA173" s="125"/>
      <c r="TGB173" s="125"/>
      <c r="TGC173" s="125"/>
      <c r="TGD173" s="125"/>
      <c r="TGE173" s="125"/>
      <c r="TGF173" s="125"/>
      <c r="TGG173" s="125"/>
      <c r="TGH173" s="125"/>
      <c r="TGI173" s="125"/>
      <c r="TGJ173" s="125"/>
      <c r="TGK173" s="125"/>
      <c r="TGL173" s="125"/>
      <c r="TGM173" s="125"/>
      <c r="TGN173" s="125"/>
      <c r="TGO173" s="125"/>
      <c r="TGP173" s="125"/>
      <c r="TGQ173" s="125"/>
      <c r="TGR173" s="125"/>
      <c r="TGS173" s="125"/>
      <c r="TGT173" s="125"/>
      <c r="TGU173" s="125"/>
      <c r="TGV173" s="125"/>
      <c r="TGW173" s="125"/>
      <c r="TGX173" s="125"/>
      <c r="TGY173" s="125"/>
      <c r="TGZ173" s="125"/>
      <c r="THA173" s="125"/>
      <c r="THB173" s="125"/>
      <c r="THC173" s="125"/>
      <c r="THD173" s="125"/>
      <c r="THE173" s="125"/>
      <c r="THF173" s="125"/>
      <c r="THG173" s="125"/>
      <c r="THH173" s="125"/>
      <c r="THI173" s="125"/>
      <c r="THJ173" s="125"/>
      <c r="THK173" s="125"/>
      <c r="THL173" s="125"/>
      <c r="THM173" s="125"/>
      <c r="THN173" s="125"/>
      <c r="THO173" s="125"/>
      <c r="THP173" s="125"/>
      <c r="THQ173" s="125"/>
      <c r="THR173" s="125"/>
      <c r="THS173" s="125"/>
      <c r="THT173" s="125"/>
      <c r="THU173" s="125"/>
      <c r="THV173" s="125"/>
      <c r="THW173" s="125"/>
      <c r="THX173" s="125"/>
      <c r="THY173" s="125"/>
      <c r="THZ173" s="125"/>
      <c r="TIA173" s="125"/>
      <c r="TIB173" s="125"/>
      <c r="TIC173" s="125"/>
      <c r="TID173" s="125"/>
      <c r="TIE173" s="125"/>
      <c r="TIF173" s="125"/>
      <c r="TIG173" s="125"/>
      <c r="TIH173" s="125"/>
      <c r="TII173" s="125"/>
      <c r="TIJ173" s="125"/>
      <c r="TIK173" s="125"/>
      <c r="TIL173" s="125"/>
      <c r="TIM173" s="125"/>
      <c r="TIN173" s="125"/>
      <c r="TIO173" s="125"/>
      <c r="TIP173" s="125"/>
      <c r="TIQ173" s="125"/>
      <c r="TIR173" s="125"/>
      <c r="TIS173" s="125"/>
      <c r="TIT173" s="125"/>
      <c r="TIU173" s="125"/>
      <c r="TIV173" s="125"/>
      <c r="TIW173" s="125"/>
      <c r="TIX173" s="125"/>
      <c r="TIY173" s="125"/>
      <c r="TIZ173" s="125"/>
      <c r="TJA173" s="125"/>
      <c r="TJB173" s="125"/>
      <c r="TJC173" s="125"/>
      <c r="TJD173" s="125"/>
      <c r="TJE173" s="125"/>
      <c r="TJF173" s="125"/>
      <c r="TJG173" s="125"/>
      <c r="TJH173" s="125"/>
      <c r="TJI173" s="125"/>
      <c r="TJJ173" s="125"/>
      <c r="TJK173" s="125"/>
      <c r="TJL173" s="125"/>
      <c r="TJM173" s="125"/>
      <c r="TJN173" s="125"/>
      <c r="TJO173" s="125"/>
      <c r="TJP173" s="125"/>
      <c r="TJQ173" s="125"/>
      <c r="TJR173" s="125"/>
      <c r="TJS173" s="125"/>
      <c r="TJT173" s="125"/>
      <c r="TJU173" s="125"/>
      <c r="TJV173" s="125"/>
      <c r="TJW173" s="125"/>
      <c r="TJX173" s="125"/>
      <c r="TJY173" s="125"/>
      <c r="TJZ173" s="125"/>
      <c r="TKA173" s="125"/>
      <c r="TKB173" s="125"/>
      <c r="TKC173" s="125"/>
      <c r="TKD173" s="125"/>
      <c r="TKE173" s="125"/>
      <c r="TKF173" s="125"/>
      <c r="TKG173" s="125"/>
      <c r="TKH173" s="125"/>
      <c r="TKI173" s="125"/>
      <c r="TKJ173" s="125"/>
      <c r="TKK173" s="125"/>
      <c r="TKL173" s="125"/>
      <c r="TKM173" s="125"/>
      <c r="TKN173" s="125"/>
      <c r="TKO173" s="125"/>
      <c r="TKP173" s="125"/>
      <c r="TKQ173" s="125"/>
      <c r="TKR173" s="125"/>
      <c r="TKS173" s="125"/>
      <c r="TKT173" s="125"/>
      <c r="TKU173" s="125"/>
      <c r="TKV173" s="125"/>
      <c r="TKW173" s="125"/>
      <c r="TKX173" s="125"/>
      <c r="TKY173" s="125"/>
      <c r="TKZ173" s="125"/>
      <c r="TLA173" s="125"/>
      <c r="TLB173" s="125"/>
      <c r="TLC173" s="125"/>
      <c r="TLD173" s="125"/>
      <c r="TLE173" s="125"/>
      <c r="TLF173" s="125"/>
      <c r="TLG173" s="125"/>
      <c r="TLH173" s="125"/>
      <c r="TLI173" s="125"/>
      <c r="TLJ173" s="125"/>
      <c r="TLK173" s="125"/>
      <c r="TLL173" s="125"/>
      <c r="TLM173" s="125"/>
      <c r="TLN173" s="125"/>
      <c r="TLO173" s="125"/>
      <c r="TLP173" s="125"/>
      <c r="TLQ173" s="125"/>
      <c r="TLR173" s="125"/>
      <c r="TLS173" s="125"/>
      <c r="TLT173" s="125"/>
      <c r="TLU173" s="125"/>
      <c r="TLV173" s="125"/>
      <c r="TLW173" s="125"/>
      <c r="TLX173" s="125"/>
      <c r="TLY173" s="125"/>
      <c r="TLZ173" s="125"/>
      <c r="TMA173" s="125"/>
      <c r="TMB173" s="125"/>
      <c r="TMC173" s="125"/>
      <c r="TMD173" s="125"/>
      <c r="TME173" s="125"/>
      <c r="TMF173" s="125"/>
      <c r="TMG173" s="125"/>
      <c r="TMH173" s="125"/>
      <c r="TMI173" s="125"/>
      <c r="TMJ173" s="125"/>
      <c r="TMK173" s="125"/>
      <c r="TML173" s="125"/>
      <c r="TMM173" s="125"/>
      <c r="TMN173" s="125"/>
      <c r="TMO173" s="125"/>
      <c r="TMP173" s="125"/>
      <c r="TMQ173" s="125"/>
      <c r="TMR173" s="125"/>
      <c r="TMS173" s="125"/>
      <c r="TMT173" s="125"/>
      <c r="TMU173" s="125"/>
      <c r="TMV173" s="125"/>
      <c r="TMW173" s="125"/>
      <c r="TMX173" s="125"/>
      <c r="TMY173" s="125"/>
      <c r="TMZ173" s="125"/>
      <c r="TNA173" s="125"/>
      <c r="TNB173" s="125"/>
      <c r="TNC173" s="125"/>
      <c r="TND173" s="125"/>
      <c r="TNE173" s="125"/>
      <c r="TNF173" s="125"/>
      <c r="TNG173" s="125"/>
      <c r="TNH173" s="125"/>
      <c r="TNI173" s="125"/>
      <c r="TNJ173" s="125"/>
      <c r="TNK173" s="125"/>
      <c r="TNL173" s="125"/>
      <c r="TNM173" s="125"/>
      <c r="TNN173" s="125"/>
      <c r="TNO173" s="125"/>
      <c r="TNP173" s="125"/>
      <c r="TNQ173" s="125"/>
      <c r="TNR173" s="125"/>
      <c r="TNS173" s="125"/>
      <c r="TNT173" s="125"/>
      <c r="TNU173" s="125"/>
      <c r="TNV173" s="125"/>
      <c r="TNW173" s="125"/>
      <c r="TNX173" s="125"/>
      <c r="TNY173" s="125"/>
      <c r="TNZ173" s="125"/>
      <c r="TOA173" s="125"/>
      <c r="TOB173" s="125"/>
      <c r="TOC173" s="125"/>
      <c r="TOD173" s="125"/>
      <c r="TOE173" s="125"/>
      <c r="TOF173" s="125"/>
      <c r="TOG173" s="125"/>
      <c r="TOH173" s="125"/>
      <c r="TOI173" s="125"/>
      <c r="TOJ173" s="125"/>
      <c r="TOK173" s="125"/>
      <c r="TOL173" s="125"/>
      <c r="TOM173" s="125"/>
      <c r="TON173" s="125"/>
      <c r="TOO173" s="125"/>
      <c r="TOP173" s="125"/>
      <c r="TOQ173" s="125"/>
      <c r="TOR173" s="125"/>
      <c r="TOS173" s="125"/>
      <c r="TOT173" s="125"/>
      <c r="TOU173" s="125"/>
      <c r="TOV173" s="125"/>
      <c r="TOW173" s="125"/>
      <c r="TOX173" s="125"/>
      <c r="TOY173" s="125"/>
      <c r="TOZ173" s="125"/>
      <c r="TPA173" s="125"/>
      <c r="TPB173" s="125"/>
      <c r="TPC173" s="125"/>
      <c r="TPD173" s="125"/>
      <c r="TPE173" s="125"/>
      <c r="TPF173" s="125"/>
      <c r="TPG173" s="125"/>
      <c r="TPH173" s="125"/>
      <c r="TPI173" s="125"/>
      <c r="TPJ173" s="125"/>
      <c r="TPK173" s="125"/>
      <c r="TPL173" s="125"/>
      <c r="TPM173" s="125"/>
      <c r="TPN173" s="125"/>
      <c r="TPO173" s="125"/>
      <c r="TPP173" s="125"/>
      <c r="TPQ173" s="125"/>
      <c r="TPR173" s="125"/>
      <c r="TPS173" s="125"/>
      <c r="TPT173" s="125"/>
      <c r="TPU173" s="125"/>
      <c r="TPV173" s="125"/>
      <c r="TPW173" s="125"/>
      <c r="TPX173" s="125"/>
      <c r="TPY173" s="125"/>
      <c r="TPZ173" s="125"/>
      <c r="TQA173" s="125"/>
      <c r="TQB173" s="125"/>
      <c r="TQC173" s="125"/>
      <c r="TQD173" s="125"/>
      <c r="TQE173" s="125"/>
      <c r="TQF173" s="125"/>
      <c r="TQG173" s="125"/>
      <c r="TQH173" s="125"/>
      <c r="TQI173" s="125"/>
      <c r="TQJ173" s="125"/>
      <c r="TQK173" s="125"/>
      <c r="TQL173" s="125"/>
      <c r="TQM173" s="125"/>
      <c r="TQN173" s="125"/>
      <c r="TQO173" s="125"/>
      <c r="TQP173" s="125"/>
      <c r="TQQ173" s="125"/>
      <c r="TQR173" s="125"/>
      <c r="TQS173" s="125"/>
      <c r="TQT173" s="125"/>
      <c r="TQU173" s="125"/>
      <c r="TQV173" s="125"/>
      <c r="TQW173" s="125"/>
      <c r="TQX173" s="125"/>
      <c r="TQY173" s="125"/>
      <c r="TQZ173" s="125"/>
      <c r="TRA173" s="125"/>
      <c r="TRB173" s="125"/>
      <c r="TRC173" s="125"/>
      <c r="TRD173" s="125"/>
      <c r="TRE173" s="125"/>
      <c r="TRF173" s="125"/>
      <c r="TRG173" s="125"/>
      <c r="TRH173" s="125"/>
      <c r="TRI173" s="125"/>
      <c r="TRJ173" s="125"/>
      <c r="TRK173" s="125"/>
      <c r="TRL173" s="125"/>
      <c r="TRM173" s="125"/>
      <c r="TRN173" s="125"/>
      <c r="TRO173" s="125"/>
      <c r="TRP173" s="125"/>
      <c r="TRQ173" s="125"/>
      <c r="TRR173" s="125"/>
      <c r="TRS173" s="125"/>
      <c r="TRT173" s="125"/>
      <c r="TRU173" s="125"/>
      <c r="TRV173" s="125"/>
      <c r="TRW173" s="125"/>
      <c r="TRX173" s="125"/>
      <c r="TRY173" s="125"/>
      <c r="TRZ173" s="125"/>
      <c r="TSA173" s="125"/>
      <c r="TSB173" s="125"/>
      <c r="TSC173" s="125"/>
      <c r="TSD173" s="125"/>
      <c r="TSE173" s="125"/>
      <c r="TSF173" s="125"/>
      <c r="TSG173" s="125"/>
      <c r="TSH173" s="125"/>
      <c r="TSI173" s="125"/>
      <c r="TSJ173" s="125"/>
      <c r="TSK173" s="125"/>
      <c r="TSL173" s="125"/>
      <c r="TSM173" s="125"/>
      <c r="TSN173" s="125"/>
      <c r="TSO173" s="125"/>
      <c r="TSP173" s="125"/>
      <c r="TSQ173" s="125"/>
      <c r="TSR173" s="125"/>
      <c r="TSS173" s="125"/>
      <c r="TST173" s="125"/>
      <c r="TSU173" s="125"/>
      <c r="TSV173" s="125"/>
      <c r="TSW173" s="125"/>
      <c r="TSX173" s="125"/>
      <c r="TSY173" s="125"/>
      <c r="TSZ173" s="125"/>
      <c r="TTA173" s="125"/>
      <c r="TTB173" s="125"/>
      <c r="TTC173" s="125"/>
      <c r="TTD173" s="125"/>
      <c r="TTE173" s="125"/>
      <c r="TTF173" s="125"/>
      <c r="TTG173" s="125"/>
      <c r="TTH173" s="125"/>
      <c r="TTI173" s="125"/>
      <c r="TTJ173" s="125"/>
      <c r="TTK173" s="125"/>
      <c r="TTL173" s="125"/>
      <c r="TTM173" s="125"/>
      <c r="TTN173" s="125"/>
      <c r="TTO173" s="125"/>
      <c r="TTP173" s="125"/>
      <c r="TTQ173" s="125"/>
      <c r="TTR173" s="125"/>
      <c r="TTS173" s="125"/>
      <c r="TTT173" s="125"/>
      <c r="TTU173" s="125"/>
      <c r="TTV173" s="125"/>
      <c r="TTW173" s="125"/>
      <c r="TTX173" s="125"/>
      <c r="TTY173" s="125"/>
      <c r="TTZ173" s="125"/>
      <c r="TUA173" s="125"/>
      <c r="TUB173" s="125"/>
      <c r="TUC173" s="125"/>
      <c r="TUD173" s="125"/>
      <c r="TUE173" s="125"/>
      <c r="TUF173" s="125"/>
      <c r="TUG173" s="125"/>
      <c r="TUH173" s="125"/>
      <c r="TUI173" s="125"/>
      <c r="TUJ173" s="125"/>
      <c r="TUK173" s="125"/>
      <c r="TUL173" s="125"/>
      <c r="TUM173" s="125"/>
      <c r="TUN173" s="125"/>
      <c r="TUO173" s="125"/>
      <c r="TUP173" s="125"/>
      <c r="TUQ173" s="125"/>
      <c r="TUR173" s="125"/>
      <c r="TUS173" s="125"/>
      <c r="TUT173" s="125"/>
      <c r="TUU173" s="125"/>
      <c r="TUV173" s="125"/>
      <c r="TUW173" s="125"/>
      <c r="TUX173" s="125"/>
      <c r="TUY173" s="125"/>
      <c r="TUZ173" s="125"/>
      <c r="TVA173" s="125"/>
      <c r="TVB173" s="125"/>
      <c r="TVC173" s="125"/>
      <c r="TVD173" s="125"/>
      <c r="TVE173" s="125"/>
      <c r="TVF173" s="125"/>
      <c r="TVG173" s="125"/>
      <c r="TVH173" s="125"/>
      <c r="TVI173" s="125"/>
      <c r="TVJ173" s="125"/>
      <c r="TVK173" s="125"/>
      <c r="TVL173" s="125"/>
      <c r="TVM173" s="125"/>
      <c r="TVN173" s="125"/>
      <c r="TVO173" s="125"/>
      <c r="TVP173" s="125"/>
      <c r="TVQ173" s="125"/>
      <c r="TVR173" s="125"/>
      <c r="TVS173" s="125"/>
      <c r="TVT173" s="125"/>
      <c r="TVU173" s="125"/>
      <c r="TVV173" s="125"/>
      <c r="TVW173" s="125"/>
      <c r="TVX173" s="125"/>
      <c r="TVY173" s="125"/>
      <c r="TVZ173" s="125"/>
      <c r="TWA173" s="125"/>
      <c r="TWB173" s="125"/>
      <c r="TWC173" s="125"/>
      <c r="TWD173" s="125"/>
      <c r="TWE173" s="125"/>
      <c r="TWF173" s="125"/>
      <c r="TWG173" s="125"/>
      <c r="TWH173" s="125"/>
      <c r="TWI173" s="125"/>
      <c r="TWJ173" s="125"/>
      <c r="TWK173" s="125"/>
      <c r="TWL173" s="125"/>
      <c r="TWM173" s="125"/>
      <c r="TWN173" s="125"/>
      <c r="TWO173" s="125"/>
      <c r="TWP173" s="125"/>
      <c r="TWQ173" s="125"/>
      <c r="TWR173" s="125"/>
      <c r="TWS173" s="125"/>
      <c r="TWT173" s="125"/>
      <c r="TWU173" s="125"/>
      <c r="TWV173" s="125"/>
      <c r="TWW173" s="125"/>
      <c r="TWX173" s="125"/>
      <c r="TWY173" s="125"/>
      <c r="TWZ173" s="125"/>
      <c r="TXA173" s="125"/>
      <c r="TXB173" s="125"/>
      <c r="TXC173" s="125"/>
      <c r="TXD173" s="125"/>
      <c r="TXE173" s="125"/>
      <c r="TXF173" s="125"/>
      <c r="TXG173" s="125"/>
      <c r="TXH173" s="125"/>
      <c r="TXI173" s="125"/>
      <c r="TXJ173" s="125"/>
      <c r="TXK173" s="125"/>
      <c r="TXL173" s="125"/>
      <c r="TXM173" s="125"/>
      <c r="TXN173" s="125"/>
      <c r="TXO173" s="125"/>
      <c r="TXP173" s="125"/>
      <c r="TXQ173" s="125"/>
      <c r="TXR173" s="125"/>
      <c r="TXS173" s="125"/>
      <c r="TXT173" s="125"/>
      <c r="TXU173" s="125"/>
      <c r="TXV173" s="125"/>
      <c r="TXW173" s="125"/>
      <c r="TXX173" s="125"/>
      <c r="TXY173" s="125"/>
      <c r="TXZ173" s="125"/>
      <c r="TYA173" s="125"/>
      <c r="TYB173" s="125"/>
      <c r="TYC173" s="125"/>
      <c r="TYD173" s="125"/>
      <c r="TYE173" s="125"/>
      <c r="TYF173" s="125"/>
      <c r="TYG173" s="125"/>
      <c r="TYH173" s="125"/>
      <c r="TYI173" s="125"/>
      <c r="TYJ173" s="125"/>
      <c r="TYK173" s="125"/>
      <c r="TYL173" s="125"/>
      <c r="TYM173" s="125"/>
      <c r="TYN173" s="125"/>
      <c r="TYO173" s="125"/>
      <c r="TYP173" s="125"/>
      <c r="TYQ173" s="125"/>
      <c r="TYR173" s="125"/>
      <c r="TYS173" s="125"/>
      <c r="TYT173" s="125"/>
      <c r="TYU173" s="125"/>
      <c r="TYV173" s="125"/>
      <c r="TYW173" s="125"/>
      <c r="TYX173" s="125"/>
      <c r="TYY173" s="125"/>
      <c r="TYZ173" s="125"/>
      <c r="TZA173" s="125"/>
      <c r="TZB173" s="125"/>
      <c r="TZC173" s="125"/>
      <c r="TZD173" s="125"/>
      <c r="TZE173" s="125"/>
      <c r="TZF173" s="125"/>
      <c r="TZG173" s="125"/>
      <c r="TZH173" s="125"/>
      <c r="TZI173" s="125"/>
      <c r="TZJ173" s="125"/>
      <c r="TZK173" s="125"/>
      <c r="TZL173" s="125"/>
      <c r="TZM173" s="125"/>
      <c r="TZN173" s="125"/>
      <c r="TZO173" s="125"/>
      <c r="TZP173" s="125"/>
      <c r="TZQ173" s="125"/>
      <c r="TZR173" s="125"/>
      <c r="TZS173" s="125"/>
      <c r="TZT173" s="125"/>
      <c r="TZU173" s="125"/>
      <c r="TZV173" s="125"/>
      <c r="TZW173" s="125"/>
      <c r="TZX173" s="125"/>
      <c r="TZY173" s="125"/>
      <c r="TZZ173" s="125"/>
      <c r="UAA173" s="125"/>
      <c r="UAB173" s="125"/>
      <c r="UAC173" s="125"/>
      <c r="UAD173" s="125"/>
      <c r="UAE173" s="125"/>
      <c r="UAF173" s="125"/>
      <c r="UAG173" s="125"/>
      <c r="UAH173" s="125"/>
      <c r="UAI173" s="125"/>
      <c r="UAJ173" s="125"/>
      <c r="UAK173" s="125"/>
      <c r="UAL173" s="125"/>
      <c r="UAM173" s="125"/>
      <c r="UAN173" s="125"/>
      <c r="UAO173" s="125"/>
      <c r="UAP173" s="125"/>
      <c r="UAQ173" s="125"/>
      <c r="UAR173" s="125"/>
      <c r="UAS173" s="125"/>
      <c r="UAT173" s="125"/>
      <c r="UAU173" s="125"/>
      <c r="UAV173" s="125"/>
      <c r="UAW173" s="125"/>
      <c r="UAX173" s="125"/>
      <c r="UAY173" s="125"/>
      <c r="UAZ173" s="125"/>
      <c r="UBA173" s="125"/>
      <c r="UBB173" s="125"/>
      <c r="UBC173" s="125"/>
      <c r="UBD173" s="125"/>
      <c r="UBE173" s="125"/>
      <c r="UBF173" s="125"/>
      <c r="UBG173" s="125"/>
      <c r="UBH173" s="125"/>
      <c r="UBI173" s="125"/>
      <c r="UBJ173" s="125"/>
      <c r="UBK173" s="125"/>
      <c r="UBL173" s="125"/>
      <c r="UBM173" s="125"/>
      <c r="UBN173" s="125"/>
      <c r="UBO173" s="125"/>
      <c r="UBP173" s="125"/>
      <c r="UBQ173" s="125"/>
      <c r="UBR173" s="125"/>
      <c r="UBS173" s="125"/>
      <c r="UBT173" s="125"/>
      <c r="UBU173" s="125"/>
      <c r="UBV173" s="125"/>
      <c r="UBW173" s="125"/>
      <c r="UBX173" s="125"/>
      <c r="UBY173" s="125"/>
      <c r="UBZ173" s="125"/>
      <c r="UCA173" s="125"/>
      <c r="UCB173" s="125"/>
      <c r="UCC173" s="125"/>
      <c r="UCD173" s="125"/>
      <c r="UCE173" s="125"/>
      <c r="UCF173" s="125"/>
      <c r="UCG173" s="125"/>
      <c r="UCH173" s="125"/>
      <c r="UCI173" s="125"/>
      <c r="UCJ173" s="125"/>
      <c r="UCK173" s="125"/>
      <c r="UCL173" s="125"/>
      <c r="UCM173" s="125"/>
      <c r="UCN173" s="125"/>
      <c r="UCO173" s="125"/>
      <c r="UCP173" s="125"/>
      <c r="UCQ173" s="125"/>
      <c r="UCR173" s="125"/>
      <c r="UCS173" s="125"/>
      <c r="UCT173" s="125"/>
      <c r="UCU173" s="125"/>
      <c r="UCV173" s="125"/>
      <c r="UCW173" s="125"/>
      <c r="UCX173" s="125"/>
      <c r="UCY173" s="125"/>
      <c r="UCZ173" s="125"/>
      <c r="UDA173" s="125"/>
      <c r="UDB173" s="125"/>
      <c r="UDC173" s="125"/>
      <c r="UDD173" s="125"/>
      <c r="UDE173" s="125"/>
      <c r="UDF173" s="125"/>
      <c r="UDG173" s="125"/>
      <c r="UDH173" s="125"/>
      <c r="UDI173" s="125"/>
      <c r="UDJ173" s="125"/>
      <c r="UDK173" s="125"/>
      <c r="UDL173" s="125"/>
      <c r="UDM173" s="125"/>
      <c r="UDN173" s="125"/>
      <c r="UDO173" s="125"/>
      <c r="UDP173" s="125"/>
      <c r="UDQ173" s="125"/>
      <c r="UDR173" s="125"/>
      <c r="UDS173" s="125"/>
      <c r="UDT173" s="125"/>
      <c r="UDU173" s="125"/>
      <c r="UDV173" s="125"/>
      <c r="UDW173" s="125"/>
      <c r="UDX173" s="125"/>
      <c r="UDY173" s="125"/>
      <c r="UDZ173" s="125"/>
      <c r="UEA173" s="125"/>
      <c r="UEB173" s="125"/>
      <c r="UEC173" s="125"/>
      <c r="UED173" s="125"/>
      <c r="UEE173" s="125"/>
      <c r="UEF173" s="125"/>
      <c r="UEG173" s="125"/>
      <c r="UEH173" s="125"/>
      <c r="UEI173" s="125"/>
      <c r="UEJ173" s="125"/>
      <c r="UEK173" s="125"/>
      <c r="UEL173" s="125"/>
      <c r="UEM173" s="125"/>
      <c r="UEN173" s="125"/>
      <c r="UEO173" s="125"/>
      <c r="UEP173" s="125"/>
      <c r="UEQ173" s="125"/>
      <c r="UER173" s="125"/>
      <c r="UES173" s="125"/>
      <c r="UET173" s="125"/>
      <c r="UEU173" s="125"/>
      <c r="UEV173" s="125"/>
      <c r="UEW173" s="125"/>
      <c r="UEX173" s="125"/>
      <c r="UEY173" s="125"/>
      <c r="UEZ173" s="125"/>
      <c r="UFA173" s="125"/>
      <c r="UFB173" s="125"/>
      <c r="UFC173" s="125"/>
      <c r="UFD173" s="125"/>
      <c r="UFE173" s="125"/>
      <c r="UFF173" s="125"/>
      <c r="UFG173" s="125"/>
      <c r="UFH173" s="125"/>
      <c r="UFI173" s="125"/>
      <c r="UFJ173" s="125"/>
      <c r="UFK173" s="125"/>
      <c r="UFL173" s="125"/>
      <c r="UFM173" s="125"/>
      <c r="UFN173" s="125"/>
      <c r="UFO173" s="125"/>
      <c r="UFP173" s="125"/>
      <c r="UFQ173" s="125"/>
      <c r="UFR173" s="125"/>
      <c r="UFS173" s="125"/>
      <c r="UFT173" s="125"/>
      <c r="UFU173" s="125"/>
      <c r="UFV173" s="125"/>
      <c r="UFW173" s="125"/>
      <c r="UFX173" s="125"/>
      <c r="UFY173" s="125"/>
      <c r="UFZ173" s="125"/>
      <c r="UGA173" s="125"/>
      <c r="UGB173" s="125"/>
      <c r="UGC173" s="125"/>
      <c r="UGD173" s="125"/>
      <c r="UGE173" s="125"/>
      <c r="UGF173" s="125"/>
      <c r="UGG173" s="125"/>
      <c r="UGH173" s="125"/>
      <c r="UGI173" s="125"/>
      <c r="UGJ173" s="125"/>
      <c r="UGK173" s="125"/>
      <c r="UGL173" s="125"/>
      <c r="UGM173" s="125"/>
      <c r="UGN173" s="125"/>
      <c r="UGO173" s="125"/>
      <c r="UGP173" s="125"/>
      <c r="UGQ173" s="125"/>
      <c r="UGR173" s="125"/>
      <c r="UGS173" s="125"/>
      <c r="UGT173" s="125"/>
      <c r="UGU173" s="125"/>
      <c r="UGV173" s="125"/>
      <c r="UGW173" s="125"/>
      <c r="UGX173" s="125"/>
      <c r="UGY173" s="125"/>
      <c r="UGZ173" s="125"/>
      <c r="UHA173" s="125"/>
      <c r="UHB173" s="125"/>
      <c r="UHC173" s="125"/>
      <c r="UHD173" s="125"/>
      <c r="UHE173" s="125"/>
      <c r="UHF173" s="125"/>
      <c r="UHG173" s="125"/>
      <c r="UHH173" s="125"/>
      <c r="UHI173" s="125"/>
      <c r="UHJ173" s="125"/>
      <c r="UHK173" s="125"/>
      <c r="UHL173" s="125"/>
      <c r="UHM173" s="125"/>
      <c r="UHN173" s="125"/>
      <c r="UHO173" s="125"/>
      <c r="UHP173" s="125"/>
      <c r="UHQ173" s="125"/>
      <c r="UHR173" s="125"/>
      <c r="UHS173" s="125"/>
      <c r="UHT173" s="125"/>
      <c r="UHU173" s="125"/>
      <c r="UHV173" s="125"/>
      <c r="UHW173" s="125"/>
      <c r="UHX173" s="125"/>
      <c r="UHY173" s="125"/>
      <c r="UHZ173" s="125"/>
      <c r="UIA173" s="125"/>
      <c r="UIB173" s="125"/>
      <c r="UIC173" s="125"/>
      <c r="UID173" s="125"/>
      <c r="UIE173" s="125"/>
      <c r="UIF173" s="125"/>
      <c r="UIG173" s="125"/>
      <c r="UIH173" s="125"/>
      <c r="UII173" s="125"/>
      <c r="UIJ173" s="125"/>
      <c r="UIK173" s="125"/>
      <c r="UIL173" s="125"/>
      <c r="UIM173" s="125"/>
      <c r="UIN173" s="125"/>
      <c r="UIO173" s="125"/>
      <c r="UIP173" s="125"/>
      <c r="UIQ173" s="125"/>
      <c r="UIR173" s="125"/>
      <c r="UIS173" s="125"/>
      <c r="UIT173" s="125"/>
      <c r="UIU173" s="125"/>
      <c r="UIV173" s="125"/>
      <c r="UIW173" s="125"/>
      <c r="UIX173" s="125"/>
      <c r="UIY173" s="125"/>
      <c r="UIZ173" s="125"/>
      <c r="UJA173" s="125"/>
      <c r="UJB173" s="125"/>
      <c r="UJC173" s="125"/>
      <c r="UJD173" s="125"/>
      <c r="UJE173" s="125"/>
      <c r="UJF173" s="125"/>
      <c r="UJG173" s="125"/>
      <c r="UJH173" s="125"/>
      <c r="UJI173" s="125"/>
      <c r="UJJ173" s="125"/>
      <c r="UJK173" s="125"/>
      <c r="UJL173" s="125"/>
      <c r="UJM173" s="125"/>
      <c r="UJN173" s="125"/>
      <c r="UJO173" s="125"/>
      <c r="UJP173" s="125"/>
      <c r="UJQ173" s="125"/>
      <c r="UJR173" s="125"/>
      <c r="UJS173" s="125"/>
      <c r="UJT173" s="125"/>
      <c r="UJU173" s="125"/>
      <c r="UJV173" s="125"/>
      <c r="UJW173" s="125"/>
      <c r="UJX173" s="125"/>
      <c r="UJY173" s="125"/>
      <c r="UJZ173" s="125"/>
      <c r="UKA173" s="125"/>
      <c r="UKB173" s="125"/>
      <c r="UKC173" s="125"/>
      <c r="UKD173" s="125"/>
      <c r="UKE173" s="125"/>
      <c r="UKF173" s="125"/>
      <c r="UKG173" s="125"/>
      <c r="UKH173" s="125"/>
      <c r="UKI173" s="125"/>
      <c r="UKJ173" s="125"/>
      <c r="UKK173" s="125"/>
      <c r="UKL173" s="125"/>
      <c r="UKM173" s="125"/>
      <c r="UKN173" s="125"/>
      <c r="UKO173" s="125"/>
      <c r="UKP173" s="125"/>
      <c r="UKQ173" s="125"/>
      <c r="UKR173" s="125"/>
      <c r="UKS173" s="125"/>
      <c r="UKT173" s="125"/>
      <c r="UKU173" s="125"/>
      <c r="UKV173" s="125"/>
      <c r="UKW173" s="125"/>
      <c r="UKX173" s="125"/>
      <c r="UKY173" s="125"/>
      <c r="UKZ173" s="125"/>
      <c r="ULA173" s="125"/>
      <c r="ULB173" s="125"/>
      <c r="ULC173" s="125"/>
      <c r="ULD173" s="125"/>
      <c r="ULE173" s="125"/>
      <c r="ULF173" s="125"/>
      <c r="ULG173" s="125"/>
      <c r="ULH173" s="125"/>
      <c r="ULI173" s="125"/>
      <c r="ULJ173" s="125"/>
      <c r="ULK173" s="125"/>
      <c r="ULL173" s="125"/>
      <c r="ULM173" s="125"/>
      <c r="ULN173" s="125"/>
      <c r="ULO173" s="125"/>
      <c r="ULP173" s="125"/>
      <c r="ULQ173" s="125"/>
      <c r="ULR173" s="125"/>
      <c r="ULS173" s="125"/>
      <c r="ULT173" s="125"/>
      <c r="ULU173" s="125"/>
      <c r="ULV173" s="125"/>
      <c r="ULW173" s="125"/>
      <c r="ULX173" s="125"/>
      <c r="ULY173" s="125"/>
      <c r="ULZ173" s="125"/>
      <c r="UMA173" s="125"/>
      <c r="UMB173" s="125"/>
      <c r="UMC173" s="125"/>
      <c r="UMD173" s="125"/>
      <c r="UME173" s="125"/>
      <c r="UMF173" s="125"/>
      <c r="UMG173" s="125"/>
      <c r="UMH173" s="125"/>
      <c r="UMI173" s="125"/>
      <c r="UMJ173" s="125"/>
      <c r="UMK173" s="125"/>
      <c r="UML173" s="125"/>
      <c r="UMM173" s="125"/>
      <c r="UMN173" s="125"/>
      <c r="UMO173" s="125"/>
      <c r="UMP173" s="125"/>
      <c r="UMQ173" s="125"/>
      <c r="UMR173" s="125"/>
      <c r="UMS173" s="125"/>
      <c r="UMT173" s="125"/>
      <c r="UMU173" s="125"/>
      <c r="UMV173" s="125"/>
      <c r="UMW173" s="125"/>
      <c r="UMX173" s="125"/>
      <c r="UMY173" s="125"/>
      <c r="UMZ173" s="125"/>
      <c r="UNA173" s="125"/>
      <c r="UNB173" s="125"/>
      <c r="UNC173" s="125"/>
      <c r="UND173" s="125"/>
      <c r="UNE173" s="125"/>
      <c r="UNF173" s="125"/>
      <c r="UNG173" s="125"/>
      <c r="UNH173" s="125"/>
      <c r="UNI173" s="125"/>
      <c r="UNJ173" s="125"/>
      <c r="UNK173" s="125"/>
      <c r="UNL173" s="125"/>
      <c r="UNM173" s="125"/>
      <c r="UNN173" s="125"/>
      <c r="UNO173" s="125"/>
      <c r="UNP173" s="125"/>
      <c r="UNQ173" s="125"/>
      <c r="UNR173" s="125"/>
      <c r="UNS173" s="125"/>
      <c r="UNT173" s="125"/>
      <c r="UNU173" s="125"/>
      <c r="UNV173" s="125"/>
      <c r="UNW173" s="125"/>
      <c r="UNX173" s="125"/>
      <c r="UNY173" s="125"/>
      <c r="UNZ173" s="125"/>
      <c r="UOA173" s="125"/>
      <c r="UOB173" s="125"/>
      <c r="UOC173" s="125"/>
      <c r="UOD173" s="125"/>
      <c r="UOE173" s="125"/>
      <c r="UOF173" s="125"/>
      <c r="UOG173" s="125"/>
      <c r="UOH173" s="125"/>
      <c r="UOI173" s="125"/>
      <c r="UOJ173" s="125"/>
      <c r="UOK173" s="125"/>
      <c r="UOL173" s="125"/>
      <c r="UOM173" s="125"/>
      <c r="UON173" s="125"/>
      <c r="UOO173" s="125"/>
      <c r="UOP173" s="125"/>
      <c r="UOQ173" s="125"/>
      <c r="UOR173" s="125"/>
      <c r="UOS173" s="125"/>
      <c r="UOT173" s="125"/>
      <c r="UOU173" s="125"/>
      <c r="UOV173" s="125"/>
      <c r="UOW173" s="125"/>
      <c r="UOX173" s="125"/>
      <c r="UOY173" s="125"/>
      <c r="UOZ173" s="125"/>
      <c r="UPA173" s="125"/>
      <c r="UPB173" s="125"/>
      <c r="UPC173" s="125"/>
      <c r="UPD173" s="125"/>
      <c r="UPE173" s="125"/>
      <c r="UPF173" s="125"/>
      <c r="UPG173" s="125"/>
      <c r="UPH173" s="125"/>
      <c r="UPI173" s="125"/>
      <c r="UPJ173" s="125"/>
      <c r="UPK173" s="125"/>
      <c r="UPL173" s="125"/>
      <c r="UPM173" s="125"/>
      <c r="UPN173" s="125"/>
      <c r="UPO173" s="125"/>
      <c r="UPP173" s="125"/>
      <c r="UPQ173" s="125"/>
      <c r="UPR173" s="125"/>
      <c r="UPS173" s="125"/>
      <c r="UPT173" s="125"/>
      <c r="UPU173" s="125"/>
      <c r="UPV173" s="125"/>
      <c r="UPW173" s="125"/>
      <c r="UPX173" s="125"/>
      <c r="UPY173" s="125"/>
      <c r="UPZ173" s="125"/>
      <c r="UQA173" s="125"/>
      <c r="UQB173" s="125"/>
      <c r="UQC173" s="125"/>
      <c r="UQD173" s="125"/>
      <c r="UQE173" s="125"/>
      <c r="UQF173" s="125"/>
      <c r="UQG173" s="125"/>
      <c r="UQH173" s="125"/>
      <c r="UQI173" s="125"/>
      <c r="UQJ173" s="125"/>
      <c r="UQK173" s="125"/>
      <c r="UQL173" s="125"/>
      <c r="UQM173" s="125"/>
      <c r="UQN173" s="125"/>
      <c r="UQO173" s="125"/>
      <c r="UQP173" s="125"/>
      <c r="UQQ173" s="125"/>
      <c r="UQR173" s="125"/>
      <c r="UQS173" s="125"/>
      <c r="UQT173" s="125"/>
      <c r="UQU173" s="125"/>
      <c r="UQV173" s="125"/>
      <c r="UQW173" s="125"/>
      <c r="UQX173" s="125"/>
      <c r="UQY173" s="125"/>
      <c r="UQZ173" s="125"/>
      <c r="URA173" s="125"/>
      <c r="URB173" s="125"/>
      <c r="URC173" s="125"/>
      <c r="URD173" s="125"/>
      <c r="URE173" s="125"/>
      <c r="URF173" s="125"/>
      <c r="URG173" s="125"/>
      <c r="URH173" s="125"/>
      <c r="URI173" s="125"/>
      <c r="URJ173" s="125"/>
      <c r="URK173" s="125"/>
      <c r="URL173" s="125"/>
      <c r="URM173" s="125"/>
      <c r="URN173" s="125"/>
      <c r="URO173" s="125"/>
      <c r="URP173" s="125"/>
      <c r="URQ173" s="125"/>
      <c r="URR173" s="125"/>
      <c r="URS173" s="125"/>
      <c r="URT173" s="125"/>
      <c r="URU173" s="125"/>
      <c r="URV173" s="125"/>
      <c r="URW173" s="125"/>
      <c r="URX173" s="125"/>
      <c r="URY173" s="125"/>
      <c r="URZ173" s="125"/>
      <c r="USA173" s="125"/>
      <c r="USB173" s="125"/>
      <c r="USC173" s="125"/>
      <c r="USD173" s="125"/>
      <c r="USE173" s="125"/>
      <c r="USF173" s="125"/>
      <c r="USG173" s="125"/>
      <c r="USH173" s="125"/>
      <c r="USI173" s="125"/>
      <c r="USJ173" s="125"/>
      <c r="USK173" s="125"/>
      <c r="USL173" s="125"/>
      <c r="USM173" s="125"/>
      <c r="USN173" s="125"/>
      <c r="USO173" s="125"/>
      <c r="USP173" s="125"/>
      <c r="USQ173" s="125"/>
      <c r="USR173" s="125"/>
      <c r="USS173" s="125"/>
      <c r="UST173" s="125"/>
      <c r="USU173" s="125"/>
      <c r="USV173" s="125"/>
      <c r="USW173" s="125"/>
      <c r="USX173" s="125"/>
      <c r="USY173" s="125"/>
      <c r="USZ173" s="125"/>
      <c r="UTA173" s="125"/>
      <c r="UTB173" s="125"/>
      <c r="UTC173" s="125"/>
      <c r="UTD173" s="125"/>
      <c r="UTE173" s="125"/>
      <c r="UTF173" s="125"/>
      <c r="UTG173" s="125"/>
      <c r="UTH173" s="125"/>
      <c r="UTI173" s="125"/>
      <c r="UTJ173" s="125"/>
      <c r="UTK173" s="125"/>
      <c r="UTL173" s="125"/>
      <c r="UTM173" s="125"/>
      <c r="UTN173" s="125"/>
      <c r="UTO173" s="125"/>
      <c r="UTP173" s="125"/>
      <c r="UTQ173" s="125"/>
      <c r="UTR173" s="125"/>
      <c r="UTS173" s="125"/>
      <c r="UTT173" s="125"/>
      <c r="UTU173" s="125"/>
      <c r="UTV173" s="125"/>
      <c r="UTW173" s="125"/>
      <c r="UTX173" s="125"/>
      <c r="UTY173" s="125"/>
      <c r="UTZ173" s="125"/>
      <c r="UUA173" s="125"/>
      <c r="UUB173" s="125"/>
      <c r="UUC173" s="125"/>
      <c r="UUD173" s="125"/>
      <c r="UUE173" s="125"/>
      <c r="UUF173" s="125"/>
      <c r="UUG173" s="125"/>
      <c r="UUH173" s="125"/>
      <c r="UUI173" s="125"/>
      <c r="UUJ173" s="125"/>
      <c r="UUK173" s="125"/>
      <c r="UUL173" s="125"/>
      <c r="UUM173" s="125"/>
      <c r="UUN173" s="125"/>
      <c r="UUO173" s="125"/>
      <c r="UUP173" s="125"/>
      <c r="UUQ173" s="125"/>
      <c r="UUR173" s="125"/>
      <c r="UUS173" s="125"/>
      <c r="UUT173" s="125"/>
      <c r="UUU173" s="125"/>
      <c r="UUV173" s="125"/>
      <c r="UUW173" s="125"/>
      <c r="UUX173" s="125"/>
      <c r="UUY173" s="125"/>
      <c r="UUZ173" s="125"/>
      <c r="UVA173" s="125"/>
      <c r="UVB173" s="125"/>
      <c r="UVC173" s="125"/>
      <c r="UVD173" s="125"/>
      <c r="UVE173" s="125"/>
      <c r="UVF173" s="125"/>
      <c r="UVG173" s="125"/>
      <c r="UVH173" s="125"/>
      <c r="UVI173" s="125"/>
      <c r="UVJ173" s="125"/>
      <c r="UVK173" s="125"/>
      <c r="UVL173" s="125"/>
      <c r="UVM173" s="125"/>
      <c r="UVN173" s="125"/>
      <c r="UVO173" s="125"/>
      <c r="UVP173" s="125"/>
      <c r="UVQ173" s="125"/>
      <c r="UVR173" s="125"/>
      <c r="UVS173" s="125"/>
      <c r="UVT173" s="125"/>
      <c r="UVU173" s="125"/>
      <c r="UVV173" s="125"/>
      <c r="UVW173" s="125"/>
      <c r="UVX173" s="125"/>
      <c r="UVY173" s="125"/>
      <c r="UVZ173" s="125"/>
      <c r="UWA173" s="125"/>
      <c r="UWB173" s="125"/>
      <c r="UWC173" s="125"/>
      <c r="UWD173" s="125"/>
      <c r="UWE173" s="125"/>
      <c r="UWF173" s="125"/>
      <c r="UWG173" s="125"/>
      <c r="UWH173" s="125"/>
      <c r="UWI173" s="125"/>
      <c r="UWJ173" s="125"/>
      <c r="UWK173" s="125"/>
      <c r="UWL173" s="125"/>
      <c r="UWM173" s="125"/>
      <c r="UWN173" s="125"/>
      <c r="UWO173" s="125"/>
      <c r="UWP173" s="125"/>
      <c r="UWQ173" s="125"/>
      <c r="UWR173" s="125"/>
      <c r="UWS173" s="125"/>
      <c r="UWT173" s="125"/>
      <c r="UWU173" s="125"/>
      <c r="UWV173" s="125"/>
      <c r="UWW173" s="125"/>
      <c r="UWX173" s="125"/>
      <c r="UWY173" s="125"/>
      <c r="UWZ173" s="125"/>
      <c r="UXA173" s="125"/>
      <c r="UXB173" s="125"/>
      <c r="UXC173" s="125"/>
      <c r="UXD173" s="125"/>
      <c r="UXE173" s="125"/>
      <c r="UXF173" s="125"/>
      <c r="UXG173" s="125"/>
      <c r="UXH173" s="125"/>
      <c r="UXI173" s="125"/>
      <c r="UXJ173" s="125"/>
      <c r="UXK173" s="125"/>
      <c r="UXL173" s="125"/>
      <c r="UXM173" s="125"/>
      <c r="UXN173" s="125"/>
      <c r="UXO173" s="125"/>
      <c r="UXP173" s="125"/>
      <c r="UXQ173" s="125"/>
      <c r="UXR173" s="125"/>
      <c r="UXS173" s="125"/>
      <c r="UXT173" s="125"/>
      <c r="UXU173" s="125"/>
      <c r="UXV173" s="125"/>
      <c r="UXW173" s="125"/>
      <c r="UXX173" s="125"/>
      <c r="UXY173" s="125"/>
      <c r="UXZ173" s="125"/>
      <c r="UYA173" s="125"/>
      <c r="UYB173" s="125"/>
      <c r="UYC173" s="125"/>
      <c r="UYD173" s="125"/>
      <c r="UYE173" s="125"/>
      <c r="UYF173" s="125"/>
      <c r="UYG173" s="125"/>
      <c r="UYH173" s="125"/>
      <c r="UYI173" s="125"/>
      <c r="UYJ173" s="125"/>
      <c r="UYK173" s="125"/>
      <c r="UYL173" s="125"/>
      <c r="UYM173" s="125"/>
      <c r="UYN173" s="125"/>
      <c r="UYO173" s="125"/>
      <c r="UYP173" s="125"/>
      <c r="UYQ173" s="125"/>
      <c r="UYR173" s="125"/>
      <c r="UYS173" s="125"/>
      <c r="UYT173" s="125"/>
      <c r="UYU173" s="125"/>
      <c r="UYV173" s="125"/>
      <c r="UYW173" s="125"/>
      <c r="UYX173" s="125"/>
      <c r="UYY173" s="125"/>
      <c r="UYZ173" s="125"/>
      <c r="UZA173" s="125"/>
      <c r="UZB173" s="125"/>
      <c r="UZC173" s="125"/>
      <c r="UZD173" s="125"/>
      <c r="UZE173" s="125"/>
      <c r="UZF173" s="125"/>
      <c r="UZG173" s="125"/>
      <c r="UZH173" s="125"/>
      <c r="UZI173" s="125"/>
      <c r="UZJ173" s="125"/>
      <c r="UZK173" s="125"/>
      <c r="UZL173" s="125"/>
      <c r="UZM173" s="125"/>
      <c r="UZN173" s="125"/>
      <c r="UZO173" s="125"/>
      <c r="UZP173" s="125"/>
      <c r="UZQ173" s="125"/>
      <c r="UZR173" s="125"/>
      <c r="UZS173" s="125"/>
      <c r="UZT173" s="125"/>
      <c r="UZU173" s="125"/>
      <c r="UZV173" s="125"/>
      <c r="UZW173" s="125"/>
      <c r="UZX173" s="125"/>
      <c r="UZY173" s="125"/>
      <c r="UZZ173" s="125"/>
      <c r="VAA173" s="125"/>
      <c r="VAB173" s="125"/>
      <c r="VAC173" s="125"/>
      <c r="VAD173" s="125"/>
      <c r="VAE173" s="125"/>
      <c r="VAF173" s="125"/>
      <c r="VAG173" s="125"/>
      <c r="VAH173" s="125"/>
      <c r="VAI173" s="125"/>
      <c r="VAJ173" s="125"/>
      <c r="VAK173" s="125"/>
      <c r="VAL173" s="125"/>
      <c r="VAM173" s="125"/>
      <c r="VAN173" s="125"/>
      <c r="VAO173" s="125"/>
      <c r="VAP173" s="125"/>
      <c r="VAQ173" s="125"/>
      <c r="VAR173" s="125"/>
      <c r="VAS173" s="125"/>
      <c r="VAT173" s="125"/>
      <c r="VAU173" s="125"/>
      <c r="VAV173" s="125"/>
      <c r="VAW173" s="125"/>
      <c r="VAX173" s="125"/>
      <c r="VAY173" s="125"/>
      <c r="VAZ173" s="125"/>
      <c r="VBA173" s="125"/>
      <c r="VBB173" s="125"/>
      <c r="VBC173" s="125"/>
      <c r="VBD173" s="125"/>
      <c r="VBE173" s="125"/>
      <c r="VBF173" s="125"/>
      <c r="VBG173" s="125"/>
      <c r="VBH173" s="125"/>
      <c r="VBI173" s="125"/>
      <c r="VBJ173" s="125"/>
      <c r="VBK173" s="125"/>
      <c r="VBL173" s="125"/>
      <c r="VBM173" s="125"/>
      <c r="VBN173" s="125"/>
      <c r="VBO173" s="125"/>
      <c r="VBP173" s="125"/>
      <c r="VBQ173" s="125"/>
      <c r="VBR173" s="125"/>
      <c r="VBS173" s="125"/>
      <c r="VBT173" s="125"/>
      <c r="VBU173" s="125"/>
      <c r="VBV173" s="125"/>
      <c r="VBW173" s="125"/>
      <c r="VBX173" s="125"/>
      <c r="VBY173" s="125"/>
      <c r="VBZ173" s="125"/>
      <c r="VCA173" s="125"/>
      <c r="VCB173" s="125"/>
      <c r="VCC173" s="125"/>
      <c r="VCD173" s="125"/>
      <c r="VCE173" s="125"/>
      <c r="VCF173" s="125"/>
      <c r="VCG173" s="125"/>
      <c r="VCH173" s="125"/>
      <c r="VCI173" s="125"/>
      <c r="VCJ173" s="125"/>
      <c r="VCK173" s="125"/>
      <c r="VCL173" s="125"/>
      <c r="VCM173" s="125"/>
      <c r="VCN173" s="125"/>
      <c r="VCO173" s="125"/>
      <c r="VCP173" s="125"/>
      <c r="VCQ173" s="125"/>
      <c r="VCR173" s="125"/>
      <c r="VCS173" s="125"/>
      <c r="VCT173" s="125"/>
      <c r="VCU173" s="125"/>
      <c r="VCV173" s="125"/>
      <c r="VCW173" s="125"/>
      <c r="VCX173" s="125"/>
      <c r="VCY173" s="125"/>
      <c r="VCZ173" s="125"/>
      <c r="VDA173" s="125"/>
      <c r="VDB173" s="125"/>
      <c r="VDC173" s="125"/>
      <c r="VDD173" s="125"/>
      <c r="VDE173" s="125"/>
      <c r="VDF173" s="125"/>
      <c r="VDG173" s="125"/>
      <c r="VDH173" s="125"/>
      <c r="VDI173" s="125"/>
      <c r="VDJ173" s="125"/>
      <c r="VDK173" s="125"/>
      <c r="VDL173" s="125"/>
      <c r="VDM173" s="125"/>
      <c r="VDN173" s="125"/>
      <c r="VDO173" s="125"/>
      <c r="VDP173" s="125"/>
      <c r="VDQ173" s="125"/>
      <c r="VDR173" s="125"/>
      <c r="VDS173" s="125"/>
      <c r="VDT173" s="125"/>
      <c r="VDU173" s="125"/>
      <c r="VDV173" s="125"/>
      <c r="VDW173" s="125"/>
      <c r="VDX173" s="125"/>
      <c r="VDY173" s="125"/>
      <c r="VDZ173" s="125"/>
      <c r="VEA173" s="125"/>
      <c r="VEB173" s="125"/>
      <c r="VEC173" s="125"/>
      <c r="VED173" s="125"/>
      <c r="VEE173" s="125"/>
      <c r="VEF173" s="125"/>
      <c r="VEG173" s="125"/>
      <c r="VEH173" s="125"/>
      <c r="VEI173" s="125"/>
      <c r="VEJ173" s="125"/>
      <c r="VEK173" s="125"/>
      <c r="VEL173" s="125"/>
      <c r="VEM173" s="125"/>
      <c r="VEN173" s="125"/>
      <c r="VEO173" s="125"/>
      <c r="VEP173" s="125"/>
      <c r="VEQ173" s="125"/>
      <c r="VER173" s="125"/>
      <c r="VES173" s="125"/>
      <c r="VET173" s="125"/>
      <c r="VEU173" s="125"/>
      <c r="VEV173" s="125"/>
      <c r="VEW173" s="125"/>
      <c r="VEX173" s="125"/>
      <c r="VEY173" s="125"/>
      <c r="VEZ173" s="125"/>
      <c r="VFA173" s="125"/>
      <c r="VFB173" s="125"/>
      <c r="VFC173" s="125"/>
      <c r="VFD173" s="125"/>
      <c r="VFE173" s="125"/>
      <c r="VFF173" s="125"/>
      <c r="VFG173" s="125"/>
      <c r="VFH173" s="125"/>
      <c r="VFI173" s="125"/>
      <c r="VFJ173" s="125"/>
      <c r="VFK173" s="125"/>
      <c r="VFL173" s="125"/>
      <c r="VFM173" s="125"/>
      <c r="VFN173" s="125"/>
      <c r="VFO173" s="125"/>
      <c r="VFP173" s="125"/>
      <c r="VFQ173" s="125"/>
      <c r="VFR173" s="125"/>
      <c r="VFS173" s="125"/>
      <c r="VFT173" s="125"/>
      <c r="VFU173" s="125"/>
      <c r="VFV173" s="125"/>
      <c r="VFW173" s="125"/>
      <c r="VFX173" s="125"/>
      <c r="VFY173" s="125"/>
      <c r="VFZ173" s="125"/>
      <c r="VGA173" s="125"/>
      <c r="VGB173" s="125"/>
      <c r="VGC173" s="125"/>
      <c r="VGD173" s="125"/>
      <c r="VGE173" s="125"/>
      <c r="VGF173" s="125"/>
      <c r="VGG173" s="125"/>
      <c r="VGH173" s="125"/>
      <c r="VGI173" s="125"/>
      <c r="VGJ173" s="125"/>
      <c r="VGK173" s="125"/>
      <c r="VGL173" s="125"/>
      <c r="VGM173" s="125"/>
      <c r="VGN173" s="125"/>
      <c r="VGO173" s="125"/>
      <c r="VGP173" s="125"/>
      <c r="VGQ173" s="125"/>
      <c r="VGR173" s="125"/>
      <c r="VGS173" s="125"/>
      <c r="VGT173" s="125"/>
      <c r="VGU173" s="125"/>
      <c r="VGV173" s="125"/>
      <c r="VGW173" s="125"/>
      <c r="VGX173" s="125"/>
      <c r="VGY173" s="125"/>
      <c r="VGZ173" s="125"/>
      <c r="VHA173" s="125"/>
      <c r="VHB173" s="125"/>
      <c r="VHC173" s="125"/>
      <c r="VHD173" s="125"/>
      <c r="VHE173" s="125"/>
      <c r="VHF173" s="125"/>
      <c r="VHG173" s="125"/>
      <c r="VHH173" s="125"/>
      <c r="VHI173" s="125"/>
      <c r="VHJ173" s="125"/>
      <c r="VHK173" s="125"/>
      <c r="VHL173" s="125"/>
      <c r="VHM173" s="125"/>
      <c r="VHN173" s="125"/>
      <c r="VHO173" s="125"/>
      <c r="VHP173" s="125"/>
      <c r="VHQ173" s="125"/>
      <c r="VHR173" s="125"/>
      <c r="VHS173" s="125"/>
      <c r="VHT173" s="125"/>
      <c r="VHU173" s="125"/>
      <c r="VHV173" s="125"/>
      <c r="VHW173" s="125"/>
      <c r="VHX173" s="125"/>
      <c r="VHY173" s="125"/>
      <c r="VHZ173" s="125"/>
      <c r="VIA173" s="125"/>
      <c r="VIB173" s="125"/>
      <c r="VIC173" s="125"/>
      <c r="VID173" s="125"/>
      <c r="VIE173" s="125"/>
      <c r="VIF173" s="125"/>
      <c r="VIG173" s="125"/>
      <c r="VIH173" s="125"/>
      <c r="VII173" s="125"/>
      <c r="VIJ173" s="125"/>
      <c r="VIK173" s="125"/>
      <c r="VIL173" s="125"/>
      <c r="VIM173" s="125"/>
      <c r="VIN173" s="125"/>
      <c r="VIO173" s="125"/>
      <c r="VIP173" s="125"/>
      <c r="VIQ173" s="125"/>
      <c r="VIR173" s="125"/>
      <c r="VIS173" s="125"/>
      <c r="VIT173" s="125"/>
      <c r="VIU173" s="125"/>
      <c r="VIV173" s="125"/>
      <c r="VIW173" s="125"/>
      <c r="VIX173" s="125"/>
      <c r="VIY173" s="125"/>
      <c r="VIZ173" s="125"/>
      <c r="VJA173" s="125"/>
      <c r="VJB173" s="125"/>
      <c r="VJC173" s="125"/>
      <c r="VJD173" s="125"/>
      <c r="VJE173" s="125"/>
      <c r="VJF173" s="125"/>
      <c r="VJG173" s="125"/>
      <c r="VJH173" s="125"/>
      <c r="VJI173" s="125"/>
      <c r="VJJ173" s="125"/>
      <c r="VJK173" s="125"/>
      <c r="VJL173" s="125"/>
      <c r="VJM173" s="125"/>
      <c r="VJN173" s="125"/>
      <c r="VJO173" s="125"/>
      <c r="VJP173" s="125"/>
      <c r="VJQ173" s="125"/>
      <c r="VJR173" s="125"/>
      <c r="VJS173" s="125"/>
      <c r="VJT173" s="125"/>
      <c r="VJU173" s="125"/>
      <c r="VJV173" s="125"/>
      <c r="VJW173" s="125"/>
      <c r="VJX173" s="125"/>
      <c r="VJY173" s="125"/>
      <c r="VJZ173" s="125"/>
      <c r="VKA173" s="125"/>
      <c r="VKB173" s="125"/>
      <c r="VKC173" s="125"/>
      <c r="VKD173" s="125"/>
      <c r="VKE173" s="125"/>
      <c r="VKF173" s="125"/>
      <c r="VKG173" s="125"/>
      <c r="VKH173" s="125"/>
      <c r="VKI173" s="125"/>
      <c r="VKJ173" s="125"/>
      <c r="VKK173" s="125"/>
      <c r="VKL173" s="125"/>
      <c r="VKM173" s="125"/>
      <c r="VKN173" s="125"/>
      <c r="VKO173" s="125"/>
      <c r="VKP173" s="125"/>
      <c r="VKQ173" s="125"/>
      <c r="VKR173" s="125"/>
      <c r="VKS173" s="125"/>
      <c r="VKT173" s="125"/>
      <c r="VKU173" s="125"/>
      <c r="VKV173" s="125"/>
      <c r="VKW173" s="125"/>
      <c r="VKX173" s="125"/>
      <c r="VKY173" s="125"/>
      <c r="VKZ173" s="125"/>
      <c r="VLA173" s="125"/>
      <c r="VLB173" s="125"/>
      <c r="VLC173" s="125"/>
      <c r="VLD173" s="125"/>
      <c r="VLE173" s="125"/>
      <c r="VLF173" s="125"/>
      <c r="VLG173" s="125"/>
      <c r="VLH173" s="125"/>
      <c r="VLI173" s="125"/>
      <c r="VLJ173" s="125"/>
      <c r="VLK173" s="125"/>
      <c r="VLL173" s="125"/>
      <c r="VLM173" s="125"/>
      <c r="VLN173" s="125"/>
      <c r="VLO173" s="125"/>
      <c r="VLP173" s="125"/>
      <c r="VLQ173" s="125"/>
      <c r="VLR173" s="125"/>
      <c r="VLS173" s="125"/>
      <c r="VLT173" s="125"/>
      <c r="VLU173" s="125"/>
      <c r="VLV173" s="125"/>
      <c r="VLW173" s="125"/>
      <c r="VLX173" s="125"/>
      <c r="VLY173" s="125"/>
      <c r="VLZ173" s="125"/>
      <c r="VMA173" s="125"/>
      <c r="VMB173" s="125"/>
      <c r="VMC173" s="125"/>
      <c r="VMD173" s="125"/>
      <c r="VME173" s="125"/>
      <c r="VMF173" s="125"/>
      <c r="VMG173" s="125"/>
      <c r="VMH173" s="125"/>
      <c r="VMI173" s="125"/>
      <c r="VMJ173" s="125"/>
      <c r="VMK173" s="125"/>
      <c r="VML173" s="125"/>
      <c r="VMM173" s="125"/>
      <c r="VMN173" s="125"/>
      <c r="VMO173" s="125"/>
      <c r="VMP173" s="125"/>
      <c r="VMQ173" s="125"/>
      <c r="VMR173" s="125"/>
      <c r="VMS173" s="125"/>
      <c r="VMT173" s="125"/>
      <c r="VMU173" s="125"/>
      <c r="VMV173" s="125"/>
      <c r="VMW173" s="125"/>
      <c r="VMX173" s="125"/>
      <c r="VMY173" s="125"/>
      <c r="VMZ173" s="125"/>
      <c r="VNA173" s="125"/>
      <c r="VNB173" s="125"/>
      <c r="VNC173" s="125"/>
      <c r="VND173" s="125"/>
      <c r="VNE173" s="125"/>
      <c r="VNF173" s="125"/>
      <c r="VNG173" s="125"/>
      <c r="VNH173" s="125"/>
      <c r="VNI173" s="125"/>
      <c r="VNJ173" s="125"/>
      <c r="VNK173" s="125"/>
      <c r="VNL173" s="125"/>
      <c r="VNM173" s="125"/>
      <c r="VNN173" s="125"/>
      <c r="VNO173" s="125"/>
      <c r="VNP173" s="125"/>
      <c r="VNQ173" s="125"/>
      <c r="VNR173" s="125"/>
      <c r="VNS173" s="125"/>
      <c r="VNT173" s="125"/>
      <c r="VNU173" s="125"/>
      <c r="VNV173" s="125"/>
      <c r="VNW173" s="125"/>
      <c r="VNX173" s="125"/>
      <c r="VNY173" s="125"/>
      <c r="VNZ173" s="125"/>
      <c r="VOA173" s="125"/>
      <c r="VOB173" s="125"/>
      <c r="VOC173" s="125"/>
      <c r="VOD173" s="125"/>
      <c r="VOE173" s="125"/>
      <c r="VOF173" s="125"/>
      <c r="VOG173" s="125"/>
      <c r="VOH173" s="125"/>
      <c r="VOI173" s="125"/>
      <c r="VOJ173" s="125"/>
      <c r="VOK173" s="125"/>
      <c r="VOL173" s="125"/>
      <c r="VOM173" s="125"/>
      <c r="VON173" s="125"/>
      <c r="VOO173" s="125"/>
      <c r="VOP173" s="125"/>
      <c r="VOQ173" s="125"/>
      <c r="VOR173" s="125"/>
      <c r="VOS173" s="125"/>
      <c r="VOT173" s="125"/>
      <c r="VOU173" s="125"/>
      <c r="VOV173" s="125"/>
      <c r="VOW173" s="125"/>
      <c r="VOX173" s="125"/>
      <c r="VOY173" s="125"/>
      <c r="VOZ173" s="125"/>
      <c r="VPA173" s="125"/>
      <c r="VPB173" s="125"/>
      <c r="VPC173" s="125"/>
      <c r="VPD173" s="125"/>
      <c r="VPE173" s="125"/>
      <c r="VPF173" s="125"/>
      <c r="VPG173" s="125"/>
      <c r="VPH173" s="125"/>
      <c r="VPI173" s="125"/>
      <c r="VPJ173" s="125"/>
      <c r="VPK173" s="125"/>
      <c r="VPL173" s="125"/>
      <c r="VPM173" s="125"/>
      <c r="VPN173" s="125"/>
      <c r="VPO173" s="125"/>
      <c r="VPP173" s="125"/>
      <c r="VPQ173" s="125"/>
      <c r="VPR173" s="125"/>
      <c r="VPS173" s="125"/>
      <c r="VPT173" s="125"/>
      <c r="VPU173" s="125"/>
      <c r="VPV173" s="125"/>
      <c r="VPW173" s="125"/>
      <c r="VPX173" s="125"/>
      <c r="VPY173" s="125"/>
      <c r="VPZ173" s="125"/>
      <c r="VQA173" s="125"/>
      <c r="VQB173" s="125"/>
      <c r="VQC173" s="125"/>
      <c r="VQD173" s="125"/>
      <c r="VQE173" s="125"/>
      <c r="VQF173" s="125"/>
      <c r="VQG173" s="125"/>
      <c r="VQH173" s="125"/>
      <c r="VQI173" s="125"/>
      <c r="VQJ173" s="125"/>
      <c r="VQK173" s="125"/>
      <c r="VQL173" s="125"/>
      <c r="VQM173" s="125"/>
      <c r="VQN173" s="125"/>
      <c r="VQO173" s="125"/>
      <c r="VQP173" s="125"/>
      <c r="VQQ173" s="125"/>
      <c r="VQR173" s="125"/>
      <c r="VQS173" s="125"/>
      <c r="VQT173" s="125"/>
      <c r="VQU173" s="125"/>
      <c r="VQV173" s="125"/>
      <c r="VQW173" s="125"/>
      <c r="VQX173" s="125"/>
      <c r="VQY173" s="125"/>
      <c r="VQZ173" s="125"/>
      <c r="VRA173" s="125"/>
      <c r="VRB173" s="125"/>
      <c r="VRC173" s="125"/>
      <c r="VRD173" s="125"/>
      <c r="VRE173" s="125"/>
      <c r="VRF173" s="125"/>
      <c r="VRG173" s="125"/>
      <c r="VRH173" s="125"/>
      <c r="VRI173" s="125"/>
      <c r="VRJ173" s="125"/>
      <c r="VRK173" s="125"/>
      <c r="VRL173" s="125"/>
      <c r="VRM173" s="125"/>
      <c r="VRN173" s="125"/>
      <c r="VRO173" s="125"/>
      <c r="VRP173" s="125"/>
      <c r="VRQ173" s="125"/>
      <c r="VRR173" s="125"/>
      <c r="VRS173" s="125"/>
      <c r="VRT173" s="125"/>
      <c r="VRU173" s="125"/>
      <c r="VRV173" s="125"/>
      <c r="VRW173" s="125"/>
      <c r="VRX173" s="125"/>
      <c r="VRY173" s="125"/>
      <c r="VRZ173" s="125"/>
      <c r="VSA173" s="125"/>
      <c r="VSB173" s="125"/>
      <c r="VSC173" s="125"/>
      <c r="VSD173" s="125"/>
      <c r="VSE173" s="125"/>
      <c r="VSF173" s="125"/>
      <c r="VSG173" s="125"/>
      <c r="VSH173" s="125"/>
      <c r="VSI173" s="125"/>
      <c r="VSJ173" s="125"/>
      <c r="VSK173" s="125"/>
      <c r="VSL173" s="125"/>
      <c r="VSM173" s="125"/>
      <c r="VSN173" s="125"/>
      <c r="VSO173" s="125"/>
      <c r="VSP173" s="125"/>
      <c r="VSQ173" s="125"/>
      <c r="VSR173" s="125"/>
      <c r="VSS173" s="125"/>
      <c r="VST173" s="125"/>
      <c r="VSU173" s="125"/>
      <c r="VSV173" s="125"/>
      <c r="VSW173" s="125"/>
      <c r="VSX173" s="125"/>
      <c r="VSY173" s="125"/>
      <c r="VSZ173" s="125"/>
      <c r="VTA173" s="125"/>
      <c r="VTB173" s="125"/>
      <c r="VTC173" s="125"/>
      <c r="VTD173" s="125"/>
      <c r="VTE173" s="125"/>
      <c r="VTF173" s="125"/>
      <c r="VTG173" s="125"/>
      <c r="VTH173" s="125"/>
      <c r="VTI173" s="125"/>
      <c r="VTJ173" s="125"/>
      <c r="VTK173" s="125"/>
      <c r="VTL173" s="125"/>
      <c r="VTM173" s="125"/>
      <c r="VTN173" s="125"/>
      <c r="VTO173" s="125"/>
      <c r="VTP173" s="125"/>
      <c r="VTQ173" s="125"/>
      <c r="VTR173" s="125"/>
      <c r="VTS173" s="125"/>
      <c r="VTT173" s="125"/>
      <c r="VTU173" s="125"/>
      <c r="VTV173" s="125"/>
      <c r="VTW173" s="125"/>
      <c r="VTX173" s="125"/>
      <c r="VTY173" s="125"/>
      <c r="VTZ173" s="125"/>
      <c r="VUA173" s="125"/>
      <c r="VUB173" s="125"/>
      <c r="VUC173" s="125"/>
      <c r="VUD173" s="125"/>
      <c r="VUE173" s="125"/>
      <c r="VUF173" s="125"/>
      <c r="VUG173" s="125"/>
      <c r="VUH173" s="125"/>
      <c r="VUI173" s="125"/>
      <c r="VUJ173" s="125"/>
      <c r="VUK173" s="125"/>
      <c r="VUL173" s="125"/>
      <c r="VUM173" s="125"/>
      <c r="VUN173" s="125"/>
      <c r="VUO173" s="125"/>
      <c r="VUP173" s="125"/>
      <c r="VUQ173" s="125"/>
      <c r="VUR173" s="125"/>
      <c r="VUS173" s="125"/>
      <c r="VUT173" s="125"/>
      <c r="VUU173" s="125"/>
      <c r="VUV173" s="125"/>
      <c r="VUW173" s="125"/>
      <c r="VUX173" s="125"/>
      <c r="VUY173" s="125"/>
      <c r="VUZ173" s="125"/>
      <c r="VVA173" s="125"/>
      <c r="VVB173" s="125"/>
      <c r="VVC173" s="125"/>
      <c r="VVD173" s="125"/>
      <c r="VVE173" s="125"/>
      <c r="VVF173" s="125"/>
      <c r="VVG173" s="125"/>
      <c r="VVH173" s="125"/>
      <c r="VVI173" s="125"/>
      <c r="VVJ173" s="125"/>
      <c r="VVK173" s="125"/>
      <c r="VVL173" s="125"/>
      <c r="VVM173" s="125"/>
      <c r="VVN173" s="125"/>
      <c r="VVO173" s="125"/>
      <c r="VVP173" s="125"/>
      <c r="VVQ173" s="125"/>
      <c r="VVR173" s="125"/>
      <c r="VVS173" s="125"/>
      <c r="VVT173" s="125"/>
      <c r="VVU173" s="125"/>
      <c r="VVV173" s="125"/>
      <c r="VVW173" s="125"/>
      <c r="VVX173" s="125"/>
      <c r="VVY173" s="125"/>
      <c r="VVZ173" s="125"/>
      <c r="VWA173" s="125"/>
      <c r="VWB173" s="125"/>
      <c r="VWC173" s="125"/>
      <c r="VWD173" s="125"/>
      <c r="VWE173" s="125"/>
      <c r="VWF173" s="125"/>
      <c r="VWG173" s="125"/>
      <c r="VWH173" s="125"/>
      <c r="VWI173" s="125"/>
      <c r="VWJ173" s="125"/>
      <c r="VWK173" s="125"/>
      <c r="VWL173" s="125"/>
      <c r="VWM173" s="125"/>
      <c r="VWN173" s="125"/>
      <c r="VWO173" s="125"/>
      <c r="VWP173" s="125"/>
      <c r="VWQ173" s="125"/>
      <c r="VWR173" s="125"/>
      <c r="VWS173" s="125"/>
      <c r="VWT173" s="125"/>
      <c r="VWU173" s="125"/>
      <c r="VWV173" s="125"/>
      <c r="VWW173" s="125"/>
      <c r="VWX173" s="125"/>
      <c r="VWY173" s="125"/>
      <c r="VWZ173" s="125"/>
      <c r="VXA173" s="125"/>
      <c r="VXB173" s="125"/>
      <c r="VXC173" s="125"/>
      <c r="VXD173" s="125"/>
      <c r="VXE173" s="125"/>
      <c r="VXF173" s="125"/>
      <c r="VXG173" s="125"/>
      <c r="VXH173" s="125"/>
      <c r="VXI173" s="125"/>
      <c r="VXJ173" s="125"/>
      <c r="VXK173" s="125"/>
      <c r="VXL173" s="125"/>
      <c r="VXM173" s="125"/>
      <c r="VXN173" s="125"/>
      <c r="VXO173" s="125"/>
      <c r="VXP173" s="125"/>
      <c r="VXQ173" s="125"/>
      <c r="VXR173" s="125"/>
      <c r="VXS173" s="125"/>
      <c r="VXT173" s="125"/>
      <c r="VXU173" s="125"/>
      <c r="VXV173" s="125"/>
      <c r="VXW173" s="125"/>
      <c r="VXX173" s="125"/>
      <c r="VXY173" s="125"/>
      <c r="VXZ173" s="125"/>
      <c r="VYA173" s="125"/>
      <c r="VYB173" s="125"/>
      <c r="VYC173" s="125"/>
      <c r="VYD173" s="125"/>
      <c r="VYE173" s="125"/>
      <c r="VYF173" s="125"/>
      <c r="VYG173" s="125"/>
      <c r="VYH173" s="125"/>
      <c r="VYI173" s="125"/>
      <c r="VYJ173" s="125"/>
      <c r="VYK173" s="125"/>
      <c r="VYL173" s="125"/>
      <c r="VYM173" s="125"/>
      <c r="VYN173" s="125"/>
      <c r="VYO173" s="125"/>
      <c r="VYP173" s="125"/>
      <c r="VYQ173" s="125"/>
      <c r="VYR173" s="125"/>
      <c r="VYS173" s="125"/>
      <c r="VYT173" s="125"/>
      <c r="VYU173" s="125"/>
      <c r="VYV173" s="125"/>
      <c r="VYW173" s="125"/>
      <c r="VYX173" s="125"/>
      <c r="VYY173" s="125"/>
      <c r="VYZ173" s="125"/>
      <c r="VZA173" s="125"/>
      <c r="VZB173" s="125"/>
      <c r="VZC173" s="125"/>
      <c r="VZD173" s="125"/>
      <c r="VZE173" s="125"/>
      <c r="VZF173" s="125"/>
      <c r="VZG173" s="125"/>
      <c r="VZH173" s="125"/>
      <c r="VZI173" s="125"/>
      <c r="VZJ173" s="125"/>
      <c r="VZK173" s="125"/>
      <c r="VZL173" s="125"/>
      <c r="VZM173" s="125"/>
      <c r="VZN173" s="125"/>
      <c r="VZO173" s="125"/>
      <c r="VZP173" s="125"/>
      <c r="VZQ173" s="125"/>
      <c r="VZR173" s="125"/>
      <c r="VZS173" s="125"/>
      <c r="VZT173" s="125"/>
      <c r="VZU173" s="125"/>
      <c r="VZV173" s="125"/>
      <c r="VZW173" s="125"/>
      <c r="VZX173" s="125"/>
      <c r="VZY173" s="125"/>
      <c r="VZZ173" s="125"/>
      <c r="WAA173" s="125"/>
      <c r="WAB173" s="125"/>
      <c r="WAC173" s="125"/>
      <c r="WAD173" s="125"/>
      <c r="WAE173" s="125"/>
      <c r="WAF173" s="125"/>
      <c r="WAG173" s="125"/>
      <c r="WAH173" s="125"/>
      <c r="WAI173" s="125"/>
      <c r="WAJ173" s="125"/>
      <c r="WAK173" s="125"/>
      <c r="WAL173" s="125"/>
      <c r="WAM173" s="125"/>
      <c r="WAN173" s="125"/>
      <c r="WAO173" s="125"/>
      <c r="WAP173" s="125"/>
      <c r="WAQ173" s="125"/>
      <c r="WAR173" s="125"/>
      <c r="WAS173" s="125"/>
      <c r="WAT173" s="125"/>
      <c r="WAU173" s="125"/>
      <c r="WAV173" s="125"/>
      <c r="WAW173" s="125"/>
      <c r="WAX173" s="125"/>
      <c r="WAY173" s="125"/>
      <c r="WAZ173" s="125"/>
      <c r="WBA173" s="125"/>
      <c r="WBB173" s="125"/>
      <c r="WBC173" s="125"/>
      <c r="WBD173" s="125"/>
      <c r="WBE173" s="125"/>
      <c r="WBF173" s="125"/>
      <c r="WBG173" s="125"/>
      <c r="WBH173" s="125"/>
      <c r="WBI173" s="125"/>
      <c r="WBJ173" s="125"/>
      <c r="WBK173" s="125"/>
      <c r="WBL173" s="125"/>
      <c r="WBM173" s="125"/>
      <c r="WBN173" s="125"/>
      <c r="WBO173" s="125"/>
      <c r="WBP173" s="125"/>
      <c r="WBQ173" s="125"/>
      <c r="WBR173" s="125"/>
      <c r="WBS173" s="125"/>
      <c r="WBT173" s="125"/>
      <c r="WBU173" s="125"/>
      <c r="WBV173" s="125"/>
      <c r="WBW173" s="125"/>
      <c r="WBX173" s="125"/>
      <c r="WBY173" s="125"/>
      <c r="WBZ173" s="125"/>
      <c r="WCA173" s="125"/>
      <c r="WCB173" s="125"/>
      <c r="WCC173" s="125"/>
      <c r="WCD173" s="125"/>
      <c r="WCE173" s="125"/>
      <c r="WCF173" s="125"/>
      <c r="WCG173" s="125"/>
      <c r="WCH173" s="125"/>
      <c r="WCI173" s="125"/>
      <c r="WCJ173" s="125"/>
      <c r="WCK173" s="125"/>
      <c r="WCL173" s="125"/>
      <c r="WCM173" s="125"/>
      <c r="WCN173" s="125"/>
      <c r="WCO173" s="125"/>
      <c r="WCP173" s="125"/>
      <c r="WCQ173" s="125"/>
      <c r="WCR173" s="125"/>
      <c r="WCS173" s="125"/>
      <c r="WCT173" s="125"/>
      <c r="WCU173" s="125"/>
      <c r="WCV173" s="125"/>
      <c r="WCW173" s="125"/>
      <c r="WCX173" s="125"/>
      <c r="WCY173" s="125"/>
      <c r="WCZ173" s="125"/>
      <c r="WDA173" s="125"/>
      <c r="WDB173" s="125"/>
      <c r="WDC173" s="125"/>
      <c r="WDD173" s="125"/>
      <c r="WDE173" s="125"/>
      <c r="WDF173" s="125"/>
      <c r="WDG173" s="125"/>
      <c r="WDH173" s="125"/>
      <c r="WDI173" s="125"/>
      <c r="WDJ173" s="125"/>
      <c r="WDK173" s="125"/>
      <c r="WDL173" s="125"/>
      <c r="WDM173" s="125"/>
      <c r="WDN173" s="125"/>
      <c r="WDO173" s="125"/>
      <c r="WDP173" s="125"/>
      <c r="WDQ173" s="125"/>
      <c r="WDR173" s="125"/>
      <c r="WDS173" s="125"/>
      <c r="WDT173" s="125"/>
      <c r="WDU173" s="125"/>
      <c r="WDV173" s="125"/>
      <c r="WDW173" s="125"/>
      <c r="WDX173" s="125"/>
      <c r="WDY173" s="125"/>
      <c r="WDZ173" s="125"/>
      <c r="WEA173" s="125"/>
      <c r="WEB173" s="125"/>
      <c r="WEC173" s="125"/>
      <c r="WED173" s="125"/>
      <c r="WEE173" s="125"/>
      <c r="WEF173" s="125"/>
      <c r="WEG173" s="125"/>
      <c r="WEH173" s="125"/>
      <c r="WEI173" s="125"/>
      <c r="WEJ173" s="125"/>
      <c r="WEK173" s="125"/>
      <c r="WEL173" s="125"/>
      <c r="WEM173" s="125"/>
      <c r="WEN173" s="125"/>
      <c r="WEO173" s="125"/>
      <c r="WEP173" s="125"/>
      <c r="WEQ173" s="125"/>
      <c r="WER173" s="125"/>
      <c r="WES173" s="125"/>
      <c r="WET173" s="125"/>
      <c r="WEU173" s="125"/>
      <c r="WEV173" s="125"/>
      <c r="WEW173" s="125"/>
      <c r="WEX173" s="125"/>
      <c r="WEY173" s="125"/>
      <c r="WEZ173" s="125"/>
      <c r="WFA173" s="125"/>
      <c r="WFB173" s="125"/>
      <c r="WFC173" s="125"/>
      <c r="WFD173" s="125"/>
      <c r="WFE173" s="125"/>
      <c r="WFF173" s="125"/>
      <c r="WFG173" s="125"/>
      <c r="WFH173" s="125"/>
      <c r="WFI173" s="125"/>
      <c r="WFJ173" s="125"/>
      <c r="WFK173" s="125"/>
      <c r="WFL173" s="125"/>
      <c r="WFM173" s="125"/>
      <c r="WFN173" s="125"/>
      <c r="WFO173" s="125"/>
      <c r="WFP173" s="125"/>
      <c r="WFQ173" s="125"/>
      <c r="WFR173" s="125"/>
      <c r="WFS173" s="125"/>
      <c r="WFT173" s="125"/>
      <c r="WFU173" s="125"/>
      <c r="WFV173" s="125"/>
      <c r="WFW173" s="125"/>
      <c r="WFX173" s="125"/>
      <c r="WFY173" s="125"/>
      <c r="WFZ173" s="125"/>
      <c r="WGA173" s="125"/>
      <c r="WGB173" s="125"/>
      <c r="WGC173" s="125"/>
      <c r="WGD173" s="125"/>
      <c r="WGE173" s="125"/>
      <c r="WGF173" s="125"/>
      <c r="WGG173" s="125"/>
      <c r="WGH173" s="125"/>
      <c r="WGI173" s="125"/>
      <c r="WGJ173" s="125"/>
      <c r="WGK173" s="125"/>
      <c r="WGL173" s="125"/>
      <c r="WGM173" s="125"/>
      <c r="WGN173" s="125"/>
      <c r="WGO173" s="125"/>
      <c r="WGP173" s="125"/>
      <c r="WGQ173" s="125"/>
      <c r="WGR173" s="125"/>
      <c r="WGS173" s="125"/>
      <c r="WGT173" s="125"/>
      <c r="WGU173" s="125"/>
      <c r="WGV173" s="125"/>
      <c r="WGW173" s="125"/>
      <c r="WGX173" s="125"/>
      <c r="WGY173" s="125"/>
      <c r="WGZ173" s="125"/>
      <c r="WHA173" s="125"/>
      <c r="WHB173" s="125"/>
      <c r="WHC173" s="125"/>
      <c r="WHD173" s="125"/>
      <c r="WHE173" s="125"/>
      <c r="WHF173" s="125"/>
      <c r="WHG173" s="125"/>
      <c r="WHH173" s="125"/>
      <c r="WHI173" s="125"/>
      <c r="WHJ173" s="125"/>
      <c r="WHK173" s="125"/>
      <c r="WHL173" s="125"/>
      <c r="WHM173" s="125"/>
      <c r="WHN173" s="125"/>
      <c r="WHO173" s="125"/>
      <c r="WHP173" s="125"/>
      <c r="WHQ173" s="125"/>
      <c r="WHR173" s="125"/>
      <c r="WHS173" s="125"/>
      <c r="WHT173" s="125"/>
      <c r="WHU173" s="125"/>
      <c r="WHV173" s="125"/>
      <c r="WHW173" s="125"/>
      <c r="WHX173" s="125"/>
      <c r="WHY173" s="125"/>
      <c r="WHZ173" s="125"/>
      <c r="WIA173" s="125"/>
      <c r="WIB173" s="125"/>
      <c r="WIC173" s="125"/>
      <c r="WID173" s="125"/>
      <c r="WIE173" s="125"/>
      <c r="WIF173" s="125"/>
      <c r="WIG173" s="125"/>
      <c r="WIH173" s="125"/>
      <c r="WII173" s="125"/>
      <c r="WIJ173" s="125"/>
      <c r="WIK173" s="125"/>
      <c r="WIL173" s="125"/>
      <c r="WIM173" s="125"/>
      <c r="WIN173" s="125"/>
      <c r="WIO173" s="125"/>
      <c r="WIP173" s="125"/>
      <c r="WIQ173" s="125"/>
      <c r="WIR173" s="125"/>
      <c r="WIS173" s="125"/>
      <c r="WIT173" s="125"/>
      <c r="WIU173" s="125"/>
      <c r="WIV173" s="125"/>
      <c r="WIW173" s="125"/>
      <c r="WIX173" s="125"/>
      <c r="WIY173" s="125"/>
      <c r="WIZ173" s="125"/>
      <c r="WJA173" s="125"/>
      <c r="WJB173" s="125"/>
      <c r="WJC173" s="125"/>
      <c r="WJD173" s="125"/>
      <c r="WJE173" s="125"/>
      <c r="WJF173" s="125"/>
      <c r="WJG173" s="125"/>
      <c r="WJH173" s="125"/>
      <c r="WJI173" s="125"/>
      <c r="WJJ173" s="125"/>
      <c r="WJK173" s="125"/>
      <c r="WJL173" s="125"/>
      <c r="WJM173" s="125"/>
      <c r="WJN173" s="125"/>
      <c r="WJO173" s="125"/>
      <c r="WJP173" s="125"/>
      <c r="WJQ173" s="125"/>
      <c r="WJR173" s="125"/>
      <c r="WJS173" s="125"/>
      <c r="WJT173" s="125"/>
      <c r="WJU173" s="125"/>
      <c r="WJV173" s="125"/>
      <c r="WJW173" s="125"/>
      <c r="WJX173" s="125"/>
      <c r="WJY173" s="125"/>
      <c r="WJZ173" s="125"/>
      <c r="WKA173" s="125"/>
      <c r="WKB173" s="125"/>
      <c r="WKC173" s="125"/>
      <c r="WKD173" s="125"/>
      <c r="WKE173" s="125"/>
      <c r="WKF173" s="125"/>
      <c r="WKG173" s="125"/>
      <c r="WKH173" s="125"/>
      <c r="WKI173" s="125"/>
      <c r="WKJ173" s="125"/>
      <c r="WKK173" s="125"/>
      <c r="WKL173" s="125"/>
      <c r="WKM173" s="125"/>
      <c r="WKN173" s="125"/>
      <c r="WKO173" s="125"/>
      <c r="WKP173" s="125"/>
      <c r="WKQ173" s="125"/>
      <c r="WKR173" s="125"/>
      <c r="WKS173" s="125"/>
      <c r="WKT173" s="125"/>
      <c r="WKU173" s="125"/>
      <c r="WKV173" s="125"/>
      <c r="WKW173" s="125"/>
      <c r="WKX173" s="125"/>
      <c r="WKY173" s="125"/>
      <c r="WKZ173" s="125"/>
      <c r="WLA173" s="125"/>
      <c r="WLB173" s="125"/>
      <c r="WLC173" s="125"/>
      <c r="WLD173" s="125"/>
      <c r="WLE173" s="125"/>
      <c r="WLF173" s="125"/>
      <c r="WLG173" s="125"/>
      <c r="WLH173" s="125"/>
      <c r="WLI173" s="125"/>
      <c r="WLJ173" s="125"/>
      <c r="WLK173" s="125"/>
      <c r="WLL173" s="125"/>
      <c r="WLM173" s="125"/>
      <c r="WLN173" s="125"/>
      <c r="WLO173" s="125"/>
      <c r="WLP173" s="125"/>
      <c r="WLQ173" s="125"/>
      <c r="WLR173" s="125"/>
      <c r="WLS173" s="125"/>
      <c r="WLT173" s="125"/>
      <c r="WLU173" s="125"/>
      <c r="WLV173" s="125"/>
      <c r="WLW173" s="125"/>
      <c r="WLX173" s="125"/>
      <c r="WLY173" s="125"/>
      <c r="WLZ173" s="125"/>
      <c r="WMA173" s="125"/>
      <c r="WMB173" s="125"/>
      <c r="WMC173" s="125"/>
      <c r="WMD173" s="125"/>
      <c r="WME173" s="125"/>
      <c r="WMF173" s="125"/>
      <c r="WMG173" s="125"/>
      <c r="WMH173" s="125"/>
      <c r="WMI173" s="125"/>
      <c r="WMJ173" s="125"/>
      <c r="WMK173" s="125"/>
      <c r="WML173" s="125"/>
      <c r="WMM173" s="125"/>
      <c r="WMN173" s="125"/>
      <c r="WMO173" s="125"/>
      <c r="WMP173" s="125"/>
      <c r="WMQ173" s="125"/>
      <c r="WMR173" s="125"/>
      <c r="WMS173" s="125"/>
      <c r="WMT173" s="125"/>
      <c r="WMU173" s="125"/>
      <c r="WMV173" s="125"/>
      <c r="WMW173" s="125"/>
      <c r="WMX173" s="125"/>
      <c r="WMY173" s="125"/>
      <c r="WMZ173" s="125"/>
      <c r="WNA173" s="125"/>
      <c r="WNB173" s="125"/>
      <c r="WNC173" s="125"/>
      <c r="WND173" s="125"/>
      <c r="WNE173" s="125"/>
      <c r="WNF173" s="125"/>
      <c r="WNG173" s="125"/>
      <c r="WNH173" s="125"/>
      <c r="WNI173" s="125"/>
      <c r="WNJ173" s="125"/>
      <c r="WNK173" s="125"/>
      <c r="WNL173" s="125"/>
      <c r="WNM173" s="125"/>
      <c r="WNN173" s="125"/>
      <c r="WNO173" s="125"/>
      <c r="WNP173" s="125"/>
      <c r="WNQ173" s="125"/>
      <c r="WNR173" s="125"/>
      <c r="WNS173" s="125"/>
      <c r="WNT173" s="125"/>
      <c r="WNU173" s="125"/>
      <c r="WNV173" s="125"/>
      <c r="WNW173" s="125"/>
      <c r="WNX173" s="125"/>
      <c r="WNY173" s="125"/>
      <c r="WNZ173" s="125"/>
      <c r="WOA173" s="125"/>
      <c r="WOB173" s="125"/>
      <c r="WOC173" s="125"/>
      <c r="WOD173" s="125"/>
      <c r="WOE173" s="125"/>
      <c r="WOF173" s="125"/>
      <c r="WOG173" s="125"/>
      <c r="WOH173" s="125"/>
      <c r="WOI173" s="125"/>
      <c r="WOJ173" s="125"/>
      <c r="WOK173" s="125"/>
      <c r="WOL173" s="125"/>
      <c r="WOM173" s="125"/>
      <c r="WON173" s="125"/>
      <c r="WOO173" s="125"/>
      <c r="WOP173" s="125"/>
      <c r="WOQ173" s="125"/>
      <c r="WOR173" s="125"/>
      <c r="WOS173" s="125"/>
      <c r="WOT173" s="125"/>
      <c r="WOU173" s="125"/>
      <c r="WOV173" s="125"/>
      <c r="WOW173" s="125"/>
      <c r="WOX173" s="125"/>
      <c r="WOY173" s="125"/>
      <c r="WOZ173" s="125"/>
      <c r="WPA173" s="125"/>
      <c r="WPB173" s="125"/>
      <c r="WPC173" s="125"/>
      <c r="WPD173" s="125"/>
      <c r="WPE173" s="125"/>
      <c r="WPF173" s="125"/>
      <c r="WPG173" s="125"/>
      <c r="WPH173" s="125"/>
      <c r="WPI173" s="125"/>
      <c r="WPJ173" s="125"/>
      <c r="WPK173" s="125"/>
      <c r="WPL173" s="125"/>
      <c r="WPM173" s="125"/>
      <c r="WPN173" s="125"/>
      <c r="WPO173" s="125"/>
      <c r="WPP173" s="125"/>
      <c r="WPQ173" s="125"/>
      <c r="WPR173" s="125"/>
      <c r="WPS173" s="125"/>
      <c r="WPT173" s="125"/>
      <c r="WPU173" s="125"/>
      <c r="WPV173" s="125"/>
      <c r="WPW173" s="125"/>
      <c r="WPX173" s="125"/>
      <c r="WPY173" s="125"/>
      <c r="WPZ173" s="125"/>
      <c r="WQA173" s="125"/>
      <c r="WQB173" s="125"/>
      <c r="WQC173" s="125"/>
      <c r="WQD173" s="125"/>
      <c r="WQE173" s="125"/>
      <c r="WQF173" s="125"/>
      <c r="WQG173" s="125"/>
      <c r="WQH173" s="125"/>
      <c r="WQI173" s="125"/>
      <c r="WQJ173" s="125"/>
      <c r="WQK173" s="125"/>
      <c r="WQL173" s="125"/>
      <c r="WQM173" s="125"/>
      <c r="WQN173" s="125"/>
      <c r="WQO173" s="125"/>
      <c r="WQP173" s="125"/>
      <c r="WQQ173" s="125"/>
      <c r="WQR173" s="125"/>
      <c r="WQS173" s="125"/>
      <c r="WQT173" s="125"/>
      <c r="WQU173" s="125"/>
      <c r="WQV173" s="125"/>
      <c r="WQW173" s="125"/>
      <c r="WQX173" s="125"/>
      <c r="WQY173" s="125"/>
      <c r="WQZ173" s="125"/>
      <c r="WRA173" s="125"/>
      <c r="WRB173" s="125"/>
      <c r="WRC173" s="125"/>
      <c r="WRD173" s="125"/>
      <c r="WRE173" s="125"/>
      <c r="WRF173" s="125"/>
      <c r="WRG173" s="125"/>
      <c r="WRH173" s="125"/>
      <c r="WRI173" s="125"/>
      <c r="WRJ173" s="125"/>
      <c r="WRK173" s="125"/>
      <c r="WRL173" s="125"/>
      <c r="WRM173" s="125"/>
      <c r="WRN173" s="125"/>
      <c r="WRO173" s="125"/>
      <c r="WRP173" s="125"/>
      <c r="WRQ173" s="125"/>
      <c r="WRR173" s="125"/>
      <c r="WRS173" s="125"/>
      <c r="WRT173" s="125"/>
      <c r="WRU173" s="125"/>
      <c r="WRV173" s="125"/>
      <c r="WRW173" s="125"/>
      <c r="WRX173" s="125"/>
      <c r="WRY173" s="125"/>
      <c r="WRZ173" s="125"/>
      <c r="WSA173" s="125"/>
      <c r="WSB173" s="125"/>
      <c r="WSC173" s="125"/>
      <c r="WSD173" s="125"/>
      <c r="WSE173" s="125"/>
      <c r="WSF173" s="125"/>
      <c r="WSG173" s="125"/>
      <c r="WSH173" s="125"/>
      <c r="WSI173" s="125"/>
      <c r="WSJ173" s="125"/>
      <c r="WSK173" s="125"/>
      <c r="WSL173" s="125"/>
      <c r="WSM173" s="125"/>
      <c r="WSN173" s="125"/>
      <c r="WSO173" s="125"/>
      <c r="WSP173" s="125"/>
      <c r="WSQ173" s="125"/>
      <c r="WSR173" s="125"/>
      <c r="WSS173" s="125"/>
      <c r="WST173" s="125"/>
      <c r="WSU173" s="125"/>
      <c r="WSV173" s="125"/>
      <c r="WSW173" s="125"/>
      <c r="WSX173" s="125"/>
      <c r="WSY173" s="125"/>
      <c r="WSZ173" s="125"/>
      <c r="WTA173" s="125"/>
      <c r="WTB173" s="125"/>
      <c r="WTC173" s="125"/>
      <c r="WTD173" s="125"/>
      <c r="WTE173" s="125"/>
      <c r="WTF173" s="125"/>
      <c r="WTG173" s="125"/>
      <c r="WTH173" s="125"/>
      <c r="WTI173" s="125"/>
      <c r="WTJ173" s="125"/>
      <c r="WTK173" s="125"/>
      <c r="WTL173" s="125"/>
      <c r="WTM173" s="125"/>
      <c r="WTN173" s="125"/>
      <c r="WTO173" s="125"/>
      <c r="WTP173" s="125"/>
      <c r="WTQ173" s="125"/>
      <c r="WTR173" s="125"/>
      <c r="WTS173" s="125"/>
      <c r="WTT173" s="125"/>
      <c r="WTU173" s="125"/>
      <c r="WTV173" s="125"/>
      <c r="WTW173" s="125"/>
      <c r="WTX173" s="125"/>
      <c r="WTY173" s="125"/>
      <c r="WTZ173" s="125"/>
      <c r="WUA173" s="125"/>
      <c r="WUB173" s="125"/>
      <c r="WUC173" s="125"/>
      <c r="WUD173" s="125"/>
      <c r="WUE173" s="125"/>
      <c r="WUF173" s="125"/>
      <c r="WUG173" s="125"/>
      <c r="WUH173" s="125"/>
      <c r="WUI173" s="125"/>
      <c r="WUJ173" s="125"/>
      <c r="WUK173" s="125"/>
      <c r="WUL173" s="125"/>
      <c r="WUM173" s="125"/>
      <c r="WUN173" s="125"/>
      <c r="WUO173" s="125"/>
      <c r="WUP173" s="125"/>
      <c r="WUQ173" s="125"/>
      <c r="WUR173" s="125"/>
      <c r="WUS173" s="125"/>
      <c r="WUT173" s="125"/>
      <c r="WUU173" s="125"/>
      <c r="WUV173" s="125"/>
      <c r="WUW173" s="125"/>
      <c r="WUX173" s="125"/>
      <c r="WUY173" s="125"/>
      <c r="WUZ173" s="125"/>
      <c r="WVA173" s="125"/>
      <c r="WVB173" s="125"/>
      <c r="WVC173" s="125"/>
      <c r="WVD173" s="125"/>
      <c r="WVE173" s="125"/>
      <c r="WVF173" s="125"/>
      <c r="WVG173" s="125"/>
      <c r="WVH173" s="125"/>
      <c r="WVI173" s="125"/>
      <c r="WVJ173" s="125"/>
      <c r="WVK173" s="125"/>
      <c r="WVL173" s="125"/>
      <c r="WVM173" s="125"/>
      <c r="WVN173" s="125"/>
      <c r="WVO173" s="125"/>
      <c r="WVP173" s="125"/>
      <c r="WVQ173" s="125"/>
      <c r="WVR173" s="125"/>
      <c r="WVS173" s="125"/>
      <c r="WVT173" s="125"/>
      <c r="WVU173" s="125"/>
      <c r="WVV173" s="125"/>
      <c r="WVW173" s="125"/>
      <c r="WVX173" s="125"/>
      <c r="WVY173" s="125"/>
      <c r="WVZ173" s="125"/>
      <c r="WWA173" s="125"/>
      <c r="WWB173" s="125"/>
      <c r="WWC173" s="125"/>
      <c r="WWD173" s="125"/>
      <c r="WWE173" s="125"/>
      <c r="WWF173" s="125"/>
      <c r="WWG173" s="125"/>
      <c r="WWH173" s="125"/>
      <c r="WWI173" s="125"/>
      <c r="WWJ173" s="125"/>
      <c r="WWK173" s="125"/>
      <c r="WWL173" s="125"/>
      <c r="WWM173" s="125"/>
      <c r="WWN173" s="125"/>
      <c r="WWO173" s="125"/>
      <c r="WWP173" s="125"/>
      <c r="WWQ173" s="125"/>
      <c r="WWR173" s="125"/>
      <c r="WWS173" s="125"/>
      <c r="WWT173" s="125"/>
      <c r="WWU173" s="125"/>
      <c r="WWV173" s="125"/>
      <c r="WWW173" s="125"/>
      <c r="WWX173" s="125"/>
      <c r="WWY173" s="125"/>
      <c r="WWZ173" s="125"/>
      <c r="WXA173" s="125"/>
      <c r="WXB173" s="125"/>
      <c r="WXC173" s="125"/>
      <c r="WXD173" s="125"/>
      <c r="WXE173" s="125"/>
      <c r="WXF173" s="125"/>
      <c r="WXG173" s="125"/>
      <c r="WXH173" s="125"/>
      <c r="WXI173" s="125"/>
      <c r="WXJ173" s="125"/>
      <c r="WXK173" s="125"/>
      <c r="WXL173" s="125"/>
      <c r="WXM173" s="125"/>
      <c r="WXN173" s="125"/>
      <c r="WXO173" s="125"/>
      <c r="WXP173" s="125"/>
      <c r="WXQ173" s="125"/>
      <c r="WXR173" s="125"/>
      <c r="WXS173" s="125"/>
      <c r="WXT173" s="125"/>
      <c r="WXU173" s="125"/>
      <c r="WXV173" s="125"/>
      <c r="WXW173" s="125"/>
      <c r="WXX173" s="125"/>
      <c r="WXY173" s="125"/>
      <c r="WXZ173" s="125"/>
      <c r="WYA173" s="125"/>
      <c r="WYB173" s="125"/>
      <c r="WYC173" s="125"/>
      <c r="WYD173" s="125"/>
      <c r="WYE173" s="125"/>
      <c r="WYF173" s="125"/>
      <c r="WYG173" s="125"/>
      <c r="WYH173" s="125"/>
      <c r="WYI173" s="125"/>
      <c r="WYJ173" s="125"/>
      <c r="WYK173" s="125"/>
      <c r="WYL173" s="125"/>
      <c r="WYM173" s="125"/>
      <c r="WYN173" s="125"/>
      <c r="WYO173" s="125"/>
      <c r="WYP173" s="125"/>
      <c r="WYQ173" s="125"/>
      <c r="WYR173" s="125"/>
      <c r="WYS173" s="125"/>
      <c r="WYT173" s="125"/>
      <c r="WYU173" s="125"/>
      <c r="WYV173" s="125"/>
      <c r="WYW173" s="125"/>
      <c r="WYX173" s="125"/>
      <c r="WYY173" s="125"/>
      <c r="WYZ173" s="125"/>
      <c r="WZA173" s="125"/>
      <c r="WZB173" s="125"/>
      <c r="WZC173" s="125"/>
      <c r="WZD173" s="125"/>
      <c r="WZE173" s="125"/>
      <c r="WZF173" s="125"/>
      <c r="WZG173" s="125"/>
      <c r="WZH173" s="125"/>
      <c r="WZI173" s="125"/>
      <c r="WZJ173" s="125"/>
      <c r="WZK173" s="125"/>
      <c r="WZL173" s="125"/>
      <c r="WZM173" s="125"/>
      <c r="WZN173" s="125"/>
      <c r="WZO173" s="125"/>
      <c r="WZP173" s="125"/>
      <c r="WZQ173" s="125"/>
      <c r="WZR173" s="125"/>
      <c r="WZS173" s="125"/>
      <c r="WZT173" s="125"/>
      <c r="WZU173" s="125"/>
      <c r="WZV173" s="125"/>
      <c r="WZW173" s="125"/>
      <c r="WZX173" s="125"/>
      <c r="WZY173" s="125"/>
      <c r="WZZ173" s="125"/>
      <c r="XAA173" s="125"/>
      <c r="XAB173" s="125"/>
      <c r="XAC173" s="125"/>
      <c r="XAD173" s="125"/>
      <c r="XAE173" s="125"/>
      <c r="XAF173" s="125"/>
      <c r="XAG173" s="125"/>
      <c r="XAH173" s="125"/>
      <c r="XAI173" s="125"/>
      <c r="XAJ173" s="125"/>
      <c r="XAK173" s="125"/>
      <c r="XAL173" s="125"/>
      <c r="XAM173" s="125"/>
      <c r="XAN173" s="125"/>
      <c r="XAO173" s="125"/>
      <c r="XAP173" s="125"/>
      <c r="XAQ173" s="125"/>
      <c r="XAR173" s="125"/>
      <c r="XAS173" s="125"/>
      <c r="XAT173" s="125"/>
      <c r="XAU173" s="125"/>
      <c r="XAV173" s="125"/>
      <c r="XAW173" s="125"/>
      <c r="XAX173" s="125"/>
      <c r="XAY173" s="125"/>
      <c r="XAZ173" s="125"/>
      <c r="XBA173" s="125"/>
      <c r="XBB173" s="125"/>
      <c r="XBC173" s="125"/>
      <c r="XBD173" s="125"/>
      <c r="XBE173" s="125"/>
      <c r="XBF173" s="125"/>
      <c r="XBG173" s="125"/>
      <c r="XBH173" s="125"/>
      <c r="XBI173" s="125"/>
      <c r="XBJ173" s="125"/>
      <c r="XBK173" s="125"/>
      <c r="XBL173" s="125"/>
      <c r="XBM173" s="125"/>
      <c r="XBN173" s="125"/>
      <c r="XBO173" s="125"/>
      <c r="XBP173" s="125"/>
      <c r="XBQ173" s="125"/>
      <c r="XBR173" s="125"/>
      <c r="XBS173" s="125"/>
      <c r="XBT173" s="125"/>
      <c r="XBU173" s="125"/>
      <c r="XBV173" s="125"/>
      <c r="XBW173" s="125"/>
      <c r="XBX173" s="125"/>
      <c r="XBY173" s="125"/>
      <c r="XBZ173" s="125"/>
      <c r="XCA173" s="125"/>
      <c r="XCB173" s="125"/>
      <c r="XCC173" s="125"/>
      <c r="XCD173" s="125"/>
      <c r="XCE173" s="125"/>
      <c r="XCF173" s="125"/>
      <c r="XCG173" s="125"/>
      <c r="XCH173" s="125"/>
      <c r="XCI173" s="125"/>
      <c r="XCJ173" s="125"/>
      <c r="XCK173" s="125"/>
      <c r="XCL173" s="125"/>
      <c r="XCM173" s="125"/>
      <c r="XCN173" s="125"/>
      <c r="XCO173" s="125"/>
      <c r="XCP173" s="125"/>
      <c r="XCQ173" s="125"/>
      <c r="XCR173" s="125"/>
      <c r="XCS173" s="125"/>
      <c r="XCT173" s="125"/>
      <c r="XCU173" s="125"/>
      <c r="XCV173" s="125"/>
      <c r="XCW173" s="125"/>
      <c r="XCX173" s="125"/>
      <c r="XCY173" s="125"/>
      <c r="XCZ173" s="125"/>
      <c r="XDA173" s="125"/>
      <c r="XDB173" s="125"/>
      <c r="XDC173" s="125"/>
      <c r="XDD173" s="125"/>
      <c r="XDE173" s="125"/>
      <c r="XDF173" s="125"/>
      <c r="XDG173" s="125"/>
      <c r="XDH173" s="125"/>
      <c r="XDI173" s="125"/>
      <c r="XDJ173" s="125"/>
      <c r="XDK173" s="125"/>
      <c r="XDL173" s="125"/>
      <c r="XDM173" s="125"/>
      <c r="XDN173" s="125"/>
      <c r="XDO173" s="125"/>
      <c r="XDP173" s="125"/>
      <c r="XDQ173" s="125"/>
      <c r="XDR173" s="125"/>
      <c r="XDS173" s="125"/>
      <c r="XDT173" s="125"/>
      <c r="XDU173" s="125"/>
      <c r="XDV173" s="125"/>
      <c r="XDW173" s="125"/>
      <c r="XDX173" s="125"/>
      <c r="XDY173" s="125"/>
      <c r="XDZ173" s="125"/>
      <c r="XEA173" s="125"/>
      <c r="XEB173" s="125"/>
      <c r="XEC173" s="125"/>
      <c r="XED173" s="125"/>
      <c r="XEE173" s="125"/>
      <c r="XEF173" s="125"/>
      <c r="XEG173" s="125"/>
      <c r="XEH173" s="125"/>
      <c r="XEI173" s="125"/>
      <c r="XEJ173" s="125"/>
      <c r="XEK173" s="125"/>
      <c r="XEL173" s="125"/>
      <c r="XEM173" s="125"/>
      <c r="XEN173" s="125"/>
      <c r="XEO173" s="125"/>
      <c r="XEP173" s="125"/>
      <c r="XEQ173" s="125"/>
      <c r="XER173" s="125"/>
      <c r="XES173" s="125"/>
      <c r="XET173" s="125"/>
      <c r="XEU173" s="125"/>
      <c r="XEV173" s="125"/>
      <c r="XEW173" s="125"/>
      <c r="XEX173" s="125"/>
      <c r="XEY173" s="125"/>
      <c r="XEZ173" s="125"/>
      <c r="XFA173" s="125"/>
      <c r="XFB173" s="125"/>
      <c r="XFC173" s="125"/>
    </row>
    <row r="174" spans="1:16383" ht="30.75" customHeight="1" x14ac:dyDescent="0.2">
      <c r="A174" s="74">
        <v>172</v>
      </c>
      <c r="B174" s="126" t="s">
        <v>1174</v>
      </c>
      <c r="C174" s="74" t="str">
        <f>VLOOKUP(B174,'Cấp phát TN'!C2:G1048575,2,FALSE)</f>
        <v>VAS</v>
      </c>
      <c r="D174" s="16" t="str">
        <f>VLOOKUP(B174,'Cấp phát TN'!C3:G1048575,3,FALSE)</f>
        <v>hanq1</v>
      </c>
      <c r="E174" s="63" t="str">
        <f>VLOOKUP(B174,'Cấp phát TN'!C3:G1048575,4,FALSE)</f>
        <v>ductn</v>
      </c>
      <c r="F174" s="77" t="str">
        <f>VLOOKUP(B174,'Cấp phát TN'!C1:G1048575,5,FALSE)</f>
        <v>SR_VN_20240814_1172375
SR_VN_20240814_1172546</v>
      </c>
      <c r="G174" s="77" t="s">
        <v>817</v>
      </c>
      <c r="H174" s="77">
        <v>-10</v>
      </c>
      <c r="I174" s="142">
        <v>-120</v>
      </c>
      <c r="J174" s="77">
        <f>-120*3</f>
        <v>-360</v>
      </c>
      <c r="K174" s="77">
        <v>-160</v>
      </c>
      <c r="L174" s="77">
        <v>-1600</v>
      </c>
      <c r="M174" s="77"/>
      <c r="N174" s="77"/>
      <c r="O174" s="77"/>
      <c r="P174" s="77"/>
      <c r="Q174" s="111"/>
      <c r="R174" s="134" t="s">
        <v>1497</v>
      </c>
      <c r="S174" s="74" t="s">
        <v>1509</v>
      </c>
      <c r="T174" s="67" t="s">
        <v>1738</v>
      </c>
      <c r="U174" s="132"/>
      <c r="V174" s="129"/>
      <c r="W174" s="125"/>
      <c r="X174" s="125"/>
      <c r="Y174" s="125"/>
      <c r="Z174" s="125"/>
      <c r="AA174" s="125"/>
      <c r="AB174" s="125"/>
      <c r="AC174" s="125"/>
      <c r="AD174" s="125"/>
      <c r="AE174" s="125"/>
      <c r="AF174" s="125"/>
      <c r="AG174" s="125"/>
      <c r="AH174" s="125"/>
      <c r="AI174" s="125"/>
      <c r="AJ174" s="125"/>
      <c r="AK174" s="125"/>
      <c r="AL174" s="125"/>
      <c r="AM174" s="125"/>
      <c r="AN174" s="125"/>
      <c r="AO174" s="125"/>
      <c r="AP174" s="125"/>
      <c r="AQ174" s="125"/>
      <c r="AR174" s="125"/>
      <c r="AS174" s="125"/>
      <c r="AT174" s="125"/>
      <c r="AU174" s="125"/>
      <c r="AV174" s="125"/>
      <c r="AW174" s="125"/>
      <c r="AX174" s="125"/>
      <c r="AY174" s="125"/>
      <c r="AZ174" s="125"/>
      <c r="BA174" s="125"/>
      <c r="BB174" s="125"/>
      <c r="BC174" s="125"/>
      <c r="BD174" s="125"/>
      <c r="BE174" s="125"/>
      <c r="BF174" s="125"/>
      <c r="BG174" s="125"/>
      <c r="BH174" s="125"/>
      <c r="BI174" s="125"/>
      <c r="BJ174" s="125"/>
      <c r="BK174" s="125"/>
      <c r="BL174" s="125"/>
      <c r="BM174" s="125"/>
      <c r="BN174" s="125"/>
      <c r="BO174" s="125"/>
      <c r="BP174" s="125"/>
      <c r="BQ174" s="125"/>
      <c r="BR174" s="125"/>
      <c r="BS174" s="125"/>
      <c r="BT174" s="125"/>
      <c r="BU174" s="125"/>
      <c r="BV174" s="125"/>
      <c r="BW174" s="125"/>
      <c r="BX174" s="125"/>
      <c r="BY174" s="125"/>
      <c r="BZ174" s="125"/>
      <c r="CA174" s="125"/>
      <c r="CB174" s="125"/>
      <c r="CC174" s="125"/>
      <c r="CD174" s="125"/>
      <c r="CE174" s="125"/>
      <c r="CF174" s="125"/>
      <c r="CG174" s="125"/>
      <c r="CH174" s="125"/>
      <c r="CI174" s="125"/>
      <c r="CJ174" s="125"/>
      <c r="CK174" s="125"/>
      <c r="CL174" s="125"/>
      <c r="CM174" s="125"/>
      <c r="CN174" s="125"/>
      <c r="CO174" s="125"/>
      <c r="CP174" s="125"/>
      <c r="CQ174" s="125"/>
      <c r="CR174" s="125"/>
      <c r="CS174" s="125"/>
      <c r="CT174" s="125"/>
      <c r="CU174" s="125"/>
      <c r="CV174" s="125"/>
      <c r="CW174" s="125"/>
      <c r="CX174" s="125"/>
      <c r="CY174" s="125"/>
      <c r="CZ174" s="125"/>
      <c r="DA174" s="125"/>
      <c r="DB174" s="125"/>
      <c r="DC174" s="125"/>
      <c r="DD174" s="125"/>
      <c r="DE174" s="125"/>
      <c r="DF174" s="125"/>
      <c r="DG174" s="125"/>
      <c r="DH174" s="125"/>
      <c r="DI174" s="125"/>
      <c r="DJ174" s="125"/>
      <c r="DK174" s="125"/>
      <c r="DL174" s="125"/>
      <c r="DM174" s="125"/>
      <c r="DN174" s="125"/>
      <c r="DO174" s="125"/>
      <c r="DP174" s="125"/>
      <c r="DQ174" s="125"/>
      <c r="DR174" s="125"/>
      <c r="DS174" s="125"/>
      <c r="DT174" s="125"/>
      <c r="DU174" s="125"/>
      <c r="DV174" s="125"/>
      <c r="DW174" s="125"/>
      <c r="DX174" s="125"/>
      <c r="DY174" s="125"/>
      <c r="DZ174" s="125"/>
      <c r="EA174" s="125"/>
      <c r="EB174" s="125"/>
      <c r="EC174" s="125"/>
      <c r="ED174" s="125"/>
      <c r="EE174" s="125"/>
      <c r="EF174" s="125"/>
      <c r="EG174" s="125"/>
      <c r="EH174" s="125"/>
      <c r="EI174" s="125"/>
      <c r="EJ174" s="125"/>
      <c r="EK174" s="125"/>
      <c r="EL174" s="125"/>
      <c r="EM174" s="125"/>
      <c r="EN174" s="125"/>
      <c r="EO174" s="125"/>
      <c r="EP174" s="125"/>
      <c r="EQ174" s="125"/>
      <c r="ER174" s="125"/>
      <c r="ES174" s="125"/>
      <c r="ET174" s="125"/>
      <c r="EU174" s="125"/>
      <c r="EV174" s="125"/>
      <c r="EW174" s="125"/>
      <c r="EX174" s="125"/>
      <c r="EY174" s="125"/>
      <c r="EZ174" s="125"/>
      <c r="FA174" s="125"/>
      <c r="FB174" s="125"/>
      <c r="FC174" s="125"/>
      <c r="FD174" s="125"/>
      <c r="FE174" s="125"/>
      <c r="FF174" s="125"/>
      <c r="FG174" s="125"/>
      <c r="FH174" s="125"/>
      <c r="FI174" s="125"/>
      <c r="FJ174" s="125"/>
      <c r="FK174" s="125"/>
      <c r="FL174" s="125"/>
      <c r="FM174" s="125"/>
      <c r="FN174" s="125"/>
      <c r="FO174" s="125"/>
      <c r="FP174" s="125"/>
      <c r="FQ174" s="125"/>
      <c r="FR174" s="125"/>
      <c r="FS174" s="125"/>
      <c r="FT174" s="125"/>
      <c r="FU174" s="125"/>
      <c r="FV174" s="125"/>
      <c r="FW174" s="125"/>
      <c r="FX174" s="125"/>
      <c r="FY174" s="125"/>
      <c r="FZ174" s="125"/>
      <c r="GA174" s="125"/>
      <c r="GB174" s="125"/>
      <c r="GC174" s="125"/>
      <c r="GD174" s="125"/>
      <c r="GE174" s="125"/>
      <c r="GF174" s="125"/>
      <c r="GG174" s="125"/>
      <c r="GH174" s="125"/>
      <c r="GI174" s="125"/>
      <c r="GJ174" s="125"/>
      <c r="GK174" s="125"/>
      <c r="GL174" s="125"/>
      <c r="GM174" s="125"/>
      <c r="GN174" s="125"/>
      <c r="GO174" s="125"/>
      <c r="GP174" s="125"/>
      <c r="GQ174" s="125"/>
      <c r="GR174" s="125"/>
      <c r="GS174" s="125"/>
      <c r="GT174" s="125"/>
      <c r="GU174" s="125"/>
      <c r="GV174" s="125"/>
      <c r="GW174" s="125"/>
      <c r="GX174" s="125"/>
      <c r="GY174" s="125"/>
      <c r="GZ174" s="125"/>
      <c r="HA174" s="125"/>
      <c r="HB174" s="125"/>
      <c r="HC174" s="125"/>
      <c r="HD174" s="125"/>
      <c r="HE174" s="125"/>
      <c r="HF174" s="125"/>
      <c r="HG174" s="125"/>
      <c r="HH174" s="125"/>
      <c r="HI174" s="125"/>
      <c r="HJ174" s="125"/>
      <c r="HK174" s="125"/>
      <c r="HL174" s="125"/>
      <c r="HM174" s="125"/>
      <c r="HN174" s="125"/>
      <c r="HO174" s="125"/>
      <c r="HP174" s="125"/>
      <c r="HQ174" s="125"/>
      <c r="HR174" s="125"/>
      <c r="HS174" s="125"/>
      <c r="HT174" s="125"/>
      <c r="HU174" s="125"/>
      <c r="HV174" s="125"/>
      <c r="HW174" s="125"/>
      <c r="HX174" s="125"/>
      <c r="HY174" s="125"/>
      <c r="HZ174" s="125"/>
      <c r="IA174" s="125"/>
      <c r="IB174" s="125"/>
      <c r="IC174" s="125"/>
      <c r="ID174" s="125"/>
      <c r="IE174" s="125"/>
      <c r="IF174" s="125"/>
      <c r="IG174" s="125"/>
      <c r="IH174" s="125"/>
      <c r="II174" s="125"/>
      <c r="IJ174" s="125"/>
      <c r="IK174" s="125"/>
      <c r="IL174" s="125"/>
      <c r="IM174" s="125"/>
      <c r="IN174" s="125"/>
      <c r="IO174" s="125"/>
      <c r="IP174" s="125"/>
      <c r="IQ174" s="125"/>
      <c r="IR174" s="125"/>
      <c r="IS174" s="125"/>
      <c r="IT174" s="125"/>
      <c r="IU174" s="125"/>
      <c r="IV174" s="125"/>
      <c r="IW174" s="125"/>
      <c r="IX174" s="125"/>
      <c r="IY174" s="125"/>
      <c r="IZ174" s="125"/>
      <c r="JA174" s="125"/>
      <c r="JB174" s="125"/>
      <c r="JC174" s="125"/>
      <c r="JD174" s="125"/>
      <c r="JE174" s="125"/>
      <c r="JF174" s="125"/>
      <c r="JG174" s="125"/>
      <c r="JH174" s="125"/>
      <c r="JI174" s="125"/>
      <c r="JJ174" s="125"/>
      <c r="JK174" s="125"/>
      <c r="JL174" s="125"/>
      <c r="JM174" s="125"/>
      <c r="JN174" s="125"/>
      <c r="JO174" s="125"/>
      <c r="JP174" s="125"/>
      <c r="JQ174" s="125"/>
      <c r="JR174" s="125"/>
      <c r="JS174" s="125"/>
      <c r="JT174" s="125"/>
      <c r="JU174" s="125"/>
      <c r="JV174" s="125"/>
      <c r="JW174" s="125"/>
      <c r="JX174" s="125"/>
      <c r="JY174" s="125"/>
      <c r="JZ174" s="125"/>
      <c r="KA174" s="125"/>
      <c r="KB174" s="125"/>
      <c r="KC174" s="125"/>
      <c r="KD174" s="125"/>
      <c r="KE174" s="125"/>
      <c r="KF174" s="125"/>
      <c r="KG174" s="125"/>
      <c r="KH174" s="125"/>
      <c r="KI174" s="125"/>
      <c r="KJ174" s="125"/>
      <c r="KK174" s="125"/>
      <c r="KL174" s="125"/>
      <c r="KM174" s="125"/>
      <c r="KN174" s="125"/>
      <c r="KO174" s="125"/>
      <c r="KP174" s="125"/>
      <c r="KQ174" s="125"/>
      <c r="KR174" s="125"/>
      <c r="KS174" s="125"/>
      <c r="KT174" s="125"/>
      <c r="KU174" s="125"/>
      <c r="KV174" s="125"/>
      <c r="KW174" s="125"/>
      <c r="KX174" s="125"/>
      <c r="KY174" s="125"/>
      <c r="KZ174" s="125"/>
      <c r="LA174" s="125"/>
      <c r="LB174" s="125"/>
      <c r="LC174" s="125"/>
      <c r="LD174" s="125"/>
      <c r="LE174" s="125"/>
      <c r="LF174" s="125"/>
      <c r="LG174" s="125"/>
      <c r="LH174" s="125"/>
      <c r="LI174" s="125"/>
      <c r="LJ174" s="125"/>
      <c r="LK174" s="125"/>
      <c r="LL174" s="125"/>
      <c r="LM174" s="125"/>
      <c r="LN174" s="125"/>
      <c r="LO174" s="125"/>
      <c r="LP174" s="125"/>
      <c r="LQ174" s="125"/>
      <c r="LR174" s="125"/>
      <c r="LS174" s="125"/>
      <c r="LT174" s="125"/>
      <c r="LU174" s="125"/>
      <c r="LV174" s="125"/>
      <c r="LW174" s="125"/>
      <c r="LX174" s="125"/>
      <c r="LY174" s="125"/>
      <c r="LZ174" s="125"/>
      <c r="MA174" s="125"/>
      <c r="MB174" s="125"/>
      <c r="MC174" s="125"/>
      <c r="MD174" s="125"/>
      <c r="ME174" s="125"/>
      <c r="MF174" s="125"/>
      <c r="MG174" s="125"/>
      <c r="MH174" s="125"/>
      <c r="MI174" s="125"/>
      <c r="MJ174" s="125"/>
      <c r="MK174" s="125"/>
      <c r="ML174" s="125"/>
      <c r="MM174" s="125"/>
      <c r="MN174" s="125"/>
      <c r="MO174" s="125"/>
      <c r="MP174" s="125"/>
      <c r="MQ174" s="125"/>
      <c r="MR174" s="125"/>
      <c r="MS174" s="125"/>
      <c r="MT174" s="125"/>
      <c r="MU174" s="125"/>
      <c r="MV174" s="125"/>
      <c r="MW174" s="125"/>
      <c r="MX174" s="125"/>
      <c r="MY174" s="125"/>
      <c r="MZ174" s="125"/>
      <c r="NA174" s="125"/>
      <c r="NB174" s="125"/>
      <c r="NC174" s="125"/>
      <c r="ND174" s="125"/>
      <c r="NE174" s="125"/>
      <c r="NF174" s="125"/>
      <c r="NG174" s="125"/>
      <c r="NH174" s="125"/>
      <c r="NI174" s="125"/>
      <c r="NJ174" s="125"/>
      <c r="NK174" s="125"/>
      <c r="NL174" s="125"/>
      <c r="NM174" s="125"/>
      <c r="NN174" s="125"/>
      <c r="NO174" s="125"/>
      <c r="NP174" s="125"/>
      <c r="NQ174" s="125"/>
      <c r="NR174" s="125"/>
      <c r="NS174" s="125"/>
      <c r="NT174" s="125"/>
      <c r="NU174" s="125"/>
      <c r="NV174" s="125"/>
      <c r="NW174" s="125"/>
      <c r="NX174" s="125"/>
      <c r="NY174" s="125"/>
      <c r="NZ174" s="125"/>
      <c r="OA174" s="125"/>
      <c r="OB174" s="125"/>
      <c r="OC174" s="125"/>
      <c r="OD174" s="125"/>
      <c r="OE174" s="125"/>
      <c r="OF174" s="125"/>
      <c r="OG174" s="125"/>
      <c r="OH174" s="125"/>
      <c r="OI174" s="125"/>
      <c r="OJ174" s="125"/>
      <c r="OK174" s="125"/>
      <c r="OL174" s="125"/>
      <c r="OM174" s="125"/>
      <c r="ON174" s="125"/>
      <c r="OO174" s="125"/>
      <c r="OP174" s="125"/>
      <c r="OQ174" s="125"/>
      <c r="OR174" s="125"/>
      <c r="OS174" s="125"/>
      <c r="OT174" s="125"/>
      <c r="OU174" s="125"/>
      <c r="OV174" s="125"/>
      <c r="OW174" s="125"/>
      <c r="OX174" s="125"/>
      <c r="OY174" s="125"/>
      <c r="OZ174" s="125"/>
      <c r="PA174" s="125"/>
      <c r="PB174" s="125"/>
      <c r="PC174" s="125"/>
      <c r="PD174" s="125"/>
      <c r="PE174" s="125"/>
      <c r="PF174" s="125"/>
      <c r="PG174" s="125"/>
      <c r="PH174" s="125"/>
      <c r="PI174" s="125"/>
      <c r="PJ174" s="125"/>
      <c r="PK174" s="125"/>
      <c r="PL174" s="125"/>
      <c r="PM174" s="125"/>
      <c r="PN174" s="125"/>
      <c r="PO174" s="125"/>
      <c r="PP174" s="125"/>
      <c r="PQ174" s="125"/>
      <c r="PR174" s="125"/>
      <c r="PS174" s="125"/>
      <c r="PT174" s="125"/>
      <c r="PU174" s="125"/>
      <c r="PV174" s="125"/>
      <c r="PW174" s="125"/>
      <c r="PX174" s="125"/>
      <c r="PY174" s="125"/>
      <c r="PZ174" s="125"/>
      <c r="QA174" s="125"/>
      <c r="QB174" s="125"/>
      <c r="QC174" s="125"/>
      <c r="QD174" s="125"/>
      <c r="QE174" s="125"/>
      <c r="QF174" s="125"/>
      <c r="QG174" s="125"/>
      <c r="QH174" s="125"/>
      <c r="QI174" s="125"/>
      <c r="QJ174" s="125"/>
      <c r="QK174" s="125"/>
      <c r="QL174" s="125"/>
      <c r="QM174" s="125"/>
      <c r="QN174" s="125"/>
      <c r="QO174" s="125"/>
      <c r="QP174" s="125"/>
      <c r="QQ174" s="125"/>
      <c r="QR174" s="125"/>
      <c r="QS174" s="125"/>
      <c r="QT174" s="125"/>
      <c r="QU174" s="125"/>
      <c r="QV174" s="125"/>
      <c r="QW174" s="125"/>
      <c r="QX174" s="125"/>
      <c r="QY174" s="125"/>
      <c r="QZ174" s="125"/>
      <c r="RA174" s="125"/>
      <c r="RB174" s="125"/>
      <c r="RC174" s="125"/>
      <c r="RD174" s="125"/>
      <c r="RE174" s="125"/>
      <c r="RF174" s="125"/>
      <c r="RG174" s="125"/>
      <c r="RH174" s="125"/>
      <c r="RI174" s="125"/>
      <c r="RJ174" s="125"/>
      <c r="RK174" s="125"/>
      <c r="RL174" s="125"/>
      <c r="RM174" s="125"/>
      <c r="RN174" s="125"/>
      <c r="RO174" s="125"/>
      <c r="RP174" s="125"/>
      <c r="RQ174" s="125"/>
      <c r="RR174" s="125"/>
      <c r="RS174" s="125"/>
      <c r="RT174" s="125"/>
      <c r="RU174" s="125"/>
      <c r="RV174" s="125"/>
      <c r="RW174" s="125"/>
      <c r="RX174" s="125"/>
      <c r="RY174" s="125"/>
      <c r="RZ174" s="125"/>
      <c r="SA174" s="125"/>
      <c r="SB174" s="125"/>
      <c r="SC174" s="125"/>
      <c r="SD174" s="125"/>
      <c r="SE174" s="125"/>
      <c r="SF174" s="125"/>
      <c r="SG174" s="125"/>
      <c r="SH174" s="125"/>
      <c r="SI174" s="125"/>
      <c r="SJ174" s="125"/>
      <c r="SK174" s="125"/>
      <c r="SL174" s="125"/>
      <c r="SM174" s="125"/>
      <c r="SN174" s="125"/>
      <c r="SO174" s="125"/>
      <c r="SP174" s="125"/>
      <c r="SQ174" s="125"/>
      <c r="SR174" s="125"/>
      <c r="SS174" s="125"/>
      <c r="ST174" s="125"/>
      <c r="SU174" s="125"/>
      <c r="SV174" s="125"/>
      <c r="SW174" s="125"/>
      <c r="SX174" s="125"/>
      <c r="SY174" s="125"/>
      <c r="SZ174" s="125"/>
      <c r="TA174" s="125"/>
      <c r="TB174" s="125"/>
      <c r="TC174" s="125"/>
      <c r="TD174" s="125"/>
      <c r="TE174" s="125"/>
      <c r="TF174" s="125"/>
      <c r="TG174" s="125"/>
      <c r="TH174" s="125"/>
      <c r="TI174" s="125"/>
      <c r="TJ174" s="125"/>
      <c r="TK174" s="125"/>
      <c r="TL174" s="125"/>
      <c r="TM174" s="125"/>
      <c r="TN174" s="125"/>
      <c r="TO174" s="125"/>
      <c r="TP174" s="125"/>
      <c r="TQ174" s="125"/>
      <c r="TR174" s="125"/>
      <c r="TS174" s="125"/>
      <c r="TT174" s="125"/>
      <c r="TU174" s="125"/>
      <c r="TV174" s="125"/>
      <c r="TW174" s="125"/>
      <c r="TX174" s="125"/>
      <c r="TY174" s="125"/>
      <c r="TZ174" s="125"/>
      <c r="UA174" s="125"/>
      <c r="UB174" s="125"/>
      <c r="UC174" s="125"/>
      <c r="UD174" s="125"/>
      <c r="UE174" s="125"/>
      <c r="UF174" s="125"/>
      <c r="UG174" s="125"/>
      <c r="UH174" s="125"/>
      <c r="UI174" s="125"/>
      <c r="UJ174" s="125"/>
      <c r="UK174" s="125"/>
      <c r="UL174" s="125"/>
      <c r="UM174" s="125"/>
      <c r="UN174" s="125"/>
      <c r="UO174" s="125"/>
      <c r="UP174" s="125"/>
      <c r="UQ174" s="125"/>
      <c r="UR174" s="125"/>
      <c r="US174" s="125"/>
      <c r="UT174" s="125"/>
      <c r="UU174" s="125"/>
      <c r="UV174" s="125"/>
      <c r="UW174" s="125"/>
      <c r="UX174" s="125"/>
      <c r="UY174" s="125"/>
      <c r="UZ174" s="125"/>
      <c r="VA174" s="125"/>
      <c r="VB174" s="125"/>
      <c r="VC174" s="125"/>
      <c r="VD174" s="125"/>
      <c r="VE174" s="125"/>
      <c r="VF174" s="125"/>
      <c r="VG174" s="125"/>
      <c r="VH174" s="125"/>
      <c r="VI174" s="125"/>
      <c r="VJ174" s="125"/>
      <c r="VK174" s="125"/>
      <c r="VL174" s="125"/>
      <c r="VM174" s="125"/>
      <c r="VN174" s="125"/>
      <c r="VO174" s="125"/>
      <c r="VP174" s="125"/>
      <c r="VQ174" s="125"/>
      <c r="VR174" s="125"/>
      <c r="VS174" s="125"/>
      <c r="VT174" s="125"/>
      <c r="VU174" s="125"/>
      <c r="VV174" s="125"/>
      <c r="VW174" s="125"/>
      <c r="VX174" s="125"/>
      <c r="VY174" s="125"/>
      <c r="VZ174" s="125"/>
      <c r="WA174" s="125"/>
      <c r="WB174" s="125"/>
      <c r="WC174" s="125"/>
      <c r="WD174" s="125"/>
      <c r="WE174" s="125"/>
      <c r="WF174" s="125"/>
      <c r="WG174" s="125"/>
      <c r="WH174" s="125"/>
      <c r="WI174" s="125"/>
      <c r="WJ174" s="125"/>
      <c r="WK174" s="125"/>
      <c r="WL174" s="125"/>
      <c r="WM174" s="125"/>
      <c r="WN174" s="125"/>
      <c r="WO174" s="125"/>
      <c r="WP174" s="125"/>
      <c r="WQ174" s="125"/>
      <c r="WR174" s="125"/>
      <c r="WS174" s="125"/>
      <c r="WT174" s="125"/>
      <c r="WU174" s="125"/>
      <c r="WV174" s="125"/>
      <c r="WW174" s="125"/>
      <c r="WX174" s="125"/>
      <c r="WY174" s="125"/>
      <c r="WZ174" s="125"/>
      <c r="XA174" s="125"/>
      <c r="XB174" s="125"/>
      <c r="XC174" s="125"/>
      <c r="XD174" s="125"/>
      <c r="XE174" s="125"/>
      <c r="XF174" s="125"/>
      <c r="XG174" s="125"/>
      <c r="XH174" s="125"/>
      <c r="XI174" s="125"/>
      <c r="XJ174" s="125"/>
      <c r="XK174" s="125"/>
      <c r="XL174" s="125"/>
      <c r="XM174" s="125"/>
      <c r="XN174" s="125"/>
      <c r="XO174" s="125"/>
      <c r="XP174" s="125"/>
      <c r="XQ174" s="125"/>
      <c r="XR174" s="125"/>
      <c r="XS174" s="125"/>
      <c r="XT174" s="125"/>
      <c r="XU174" s="125"/>
      <c r="XV174" s="125"/>
      <c r="XW174" s="125"/>
      <c r="XX174" s="125"/>
      <c r="XY174" s="125"/>
      <c r="XZ174" s="125"/>
      <c r="YA174" s="125"/>
      <c r="YB174" s="125"/>
      <c r="YC174" s="125"/>
      <c r="YD174" s="125"/>
      <c r="YE174" s="125"/>
      <c r="YF174" s="125"/>
      <c r="YG174" s="125"/>
      <c r="YH174" s="125"/>
      <c r="YI174" s="125"/>
      <c r="YJ174" s="125"/>
      <c r="YK174" s="125"/>
      <c r="YL174" s="125"/>
      <c r="YM174" s="125"/>
      <c r="YN174" s="125"/>
      <c r="YO174" s="125"/>
      <c r="YP174" s="125"/>
      <c r="YQ174" s="125"/>
      <c r="YR174" s="125"/>
      <c r="YS174" s="125"/>
      <c r="YT174" s="125"/>
      <c r="YU174" s="125"/>
      <c r="YV174" s="125"/>
      <c r="YW174" s="125"/>
      <c r="YX174" s="125"/>
      <c r="YY174" s="125"/>
      <c r="YZ174" s="125"/>
      <c r="ZA174" s="125"/>
      <c r="ZB174" s="125"/>
      <c r="ZC174" s="125"/>
      <c r="ZD174" s="125"/>
      <c r="ZE174" s="125"/>
      <c r="ZF174" s="125"/>
      <c r="ZG174" s="125"/>
      <c r="ZH174" s="125"/>
      <c r="ZI174" s="125"/>
      <c r="ZJ174" s="125"/>
      <c r="ZK174" s="125"/>
      <c r="ZL174" s="125"/>
      <c r="ZM174" s="125"/>
      <c r="ZN174" s="125"/>
      <c r="ZO174" s="125"/>
      <c r="ZP174" s="125"/>
      <c r="ZQ174" s="125"/>
      <c r="ZR174" s="125"/>
      <c r="ZS174" s="125"/>
      <c r="ZT174" s="125"/>
      <c r="ZU174" s="125"/>
      <c r="ZV174" s="125"/>
      <c r="ZW174" s="125"/>
      <c r="ZX174" s="125"/>
      <c r="ZY174" s="125"/>
      <c r="ZZ174" s="125"/>
      <c r="AAA174" s="125"/>
      <c r="AAB174" s="125"/>
      <c r="AAC174" s="125"/>
      <c r="AAD174" s="125"/>
      <c r="AAE174" s="125"/>
      <c r="AAF174" s="125"/>
      <c r="AAG174" s="125"/>
      <c r="AAH174" s="125"/>
      <c r="AAI174" s="125"/>
      <c r="AAJ174" s="125"/>
      <c r="AAK174" s="125"/>
      <c r="AAL174" s="125"/>
      <c r="AAM174" s="125"/>
      <c r="AAN174" s="125"/>
      <c r="AAO174" s="125"/>
      <c r="AAP174" s="125"/>
      <c r="AAQ174" s="125"/>
      <c r="AAR174" s="125"/>
      <c r="AAS174" s="125"/>
      <c r="AAT174" s="125"/>
      <c r="AAU174" s="125"/>
      <c r="AAV174" s="125"/>
      <c r="AAW174" s="125"/>
      <c r="AAX174" s="125"/>
      <c r="AAY174" s="125"/>
      <c r="AAZ174" s="125"/>
      <c r="ABA174" s="125"/>
      <c r="ABB174" s="125"/>
      <c r="ABC174" s="125"/>
      <c r="ABD174" s="125"/>
      <c r="ABE174" s="125"/>
      <c r="ABF174" s="125"/>
      <c r="ABG174" s="125"/>
      <c r="ABH174" s="125"/>
      <c r="ABI174" s="125"/>
      <c r="ABJ174" s="125"/>
      <c r="ABK174" s="125"/>
      <c r="ABL174" s="125"/>
      <c r="ABM174" s="125"/>
      <c r="ABN174" s="125"/>
      <c r="ABO174" s="125"/>
      <c r="ABP174" s="125"/>
      <c r="ABQ174" s="125"/>
      <c r="ABR174" s="125"/>
      <c r="ABS174" s="125"/>
      <c r="ABT174" s="125"/>
      <c r="ABU174" s="125"/>
      <c r="ABV174" s="125"/>
      <c r="ABW174" s="125"/>
      <c r="ABX174" s="125"/>
      <c r="ABY174" s="125"/>
      <c r="ABZ174" s="125"/>
      <c r="ACA174" s="125"/>
      <c r="ACB174" s="125"/>
      <c r="ACC174" s="125"/>
      <c r="ACD174" s="125"/>
      <c r="ACE174" s="125"/>
      <c r="ACF174" s="125"/>
      <c r="ACG174" s="125"/>
      <c r="ACH174" s="125"/>
      <c r="ACI174" s="125"/>
      <c r="ACJ174" s="125"/>
      <c r="ACK174" s="125"/>
      <c r="ACL174" s="125"/>
      <c r="ACM174" s="125"/>
      <c r="ACN174" s="125"/>
      <c r="ACO174" s="125"/>
      <c r="ACP174" s="125"/>
      <c r="ACQ174" s="125"/>
      <c r="ACR174" s="125"/>
      <c r="ACS174" s="125"/>
      <c r="ACT174" s="125"/>
      <c r="ACU174" s="125"/>
      <c r="ACV174" s="125"/>
      <c r="ACW174" s="125"/>
      <c r="ACX174" s="125"/>
      <c r="ACY174" s="125"/>
      <c r="ACZ174" s="125"/>
      <c r="ADA174" s="125"/>
      <c r="ADB174" s="125"/>
      <c r="ADC174" s="125"/>
      <c r="ADD174" s="125"/>
      <c r="ADE174" s="125"/>
      <c r="ADF174" s="125"/>
      <c r="ADG174" s="125"/>
      <c r="ADH174" s="125"/>
      <c r="ADI174" s="125"/>
      <c r="ADJ174" s="125"/>
      <c r="ADK174" s="125"/>
      <c r="ADL174" s="125"/>
      <c r="ADM174" s="125"/>
      <c r="ADN174" s="125"/>
      <c r="ADO174" s="125"/>
      <c r="ADP174" s="125"/>
      <c r="ADQ174" s="125"/>
      <c r="ADR174" s="125"/>
      <c r="ADS174" s="125"/>
      <c r="ADT174" s="125"/>
      <c r="ADU174" s="125"/>
      <c r="ADV174" s="125"/>
      <c r="ADW174" s="125"/>
      <c r="ADX174" s="125"/>
      <c r="ADY174" s="125"/>
      <c r="ADZ174" s="125"/>
      <c r="AEA174" s="125"/>
      <c r="AEB174" s="125"/>
      <c r="AEC174" s="125"/>
      <c r="AED174" s="125"/>
      <c r="AEE174" s="125"/>
      <c r="AEF174" s="125"/>
      <c r="AEG174" s="125"/>
      <c r="AEH174" s="125"/>
      <c r="AEI174" s="125"/>
      <c r="AEJ174" s="125"/>
      <c r="AEK174" s="125"/>
      <c r="AEL174" s="125"/>
      <c r="AEM174" s="125"/>
      <c r="AEN174" s="125"/>
      <c r="AEO174" s="125"/>
      <c r="AEP174" s="125"/>
      <c r="AEQ174" s="125"/>
      <c r="AER174" s="125"/>
      <c r="AES174" s="125"/>
      <c r="AET174" s="125"/>
      <c r="AEU174" s="125"/>
      <c r="AEV174" s="125"/>
      <c r="AEW174" s="125"/>
      <c r="AEX174" s="125"/>
      <c r="AEY174" s="125"/>
      <c r="AEZ174" s="125"/>
      <c r="AFA174" s="125"/>
      <c r="AFB174" s="125"/>
      <c r="AFC174" s="125"/>
      <c r="AFD174" s="125"/>
      <c r="AFE174" s="125"/>
      <c r="AFF174" s="125"/>
      <c r="AFG174" s="125"/>
      <c r="AFH174" s="125"/>
      <c r="AFI174" s="125"/>
      <c r="AFJ174" s="125"/>
      <c r="AFK174" s="125"/>
      <c r="AFL174" s="125"/>
      <c r="AFM174" s="125"/>
      <c r="AFN174" s="125"/>
      <c r="AFO174" s="125"/>
      <c r="AFP174" s="125"/>
      <c r="AFQ174" s="125"/>
      <c r="AFR174" s="125"/>
      <c r="AFS174" s="125"/>
      <c r="AFT174" s="125"/>
      <c r="AFU174" s="125"/>
      <c r="AFV174" s="125"/>
      <c r="AFW174" s="125"/>
      <c r="AFX174" s="125"/>
      <c r="AFY174" s="125"/>
      <c r="AFZ174" s="125"/>
      <c r="AGA174" s="125"/>
      <c r="AGB174" s="125"/>
      <c r="AGC174" s="125"/>
      <c r="AGD174" s="125"/>
      <c r="AGE174" s="125"/>
      <c r="AGF174" s="125"/>
      <c r="AGG174" s="125"/>
      <c r="AGH174" s="125"/>
      <c r="AGI174" s="125"/>
      <c r="AGJ174" s="125"/>
      <c r="AGK174" s="125"/>
      <c r="AGL174" s="125"/>
      <c r="AGM174" s="125"/>
      <c r="AGN174" s="125"/>
      <c r="AGO174" s="125"/>
      <c r="AGP174" s="125"/>
      <c r="AGQ174" s="125"/>
      <c r="AGR174" s="125"/>
      <c r="AGS174" s="125"/>
      <c r="AGT174" s="125"/>
      <c r="AGU174" s="125"/>
      <c r="AGV174" s="125"/>
      <c r="AGW174" s="125"/>
      <c r="AGX174" s="125"/>
      <c r="AGY174" s="125"/>
      <c r="AGZ174" s="125"/>
      <c r="AHA174" s="125"/>
      <c r="AHB174" s="125"/>
      <c r="AHC174" s="125"/>
      <c r="AHD174" s="125"/>
      <c r="AHE174" s="125"/>
      <c r="AHF174" s="125"/>
      <c r="AHG174" s="125"/>
      <c r="AHH174" s="125"/>
      <c r="AHI174" s="125"/>
      <c r="AHJ174" s="125"/>
      <c r="AHK174" s="125"/>
      <c r="AHL174" s="125"/>
      <c r="AHM174" s="125"/>
      <c r="AHN174" s="125"/>
      <c r="AHO174" s="125"/>
      <c r="AHP174" s="125"/>
      <c r="AHQ174" s="125"/>
      <c r="AHR174" s="125"/>
      <c r="AHS174" s="125"/>
      <c r="AHT174" s="125"/>
      <c r="AHU174" s="125"/>
      <c r="AHV174" s="125"/>
      <c r="AHW174" s="125"/>
      <c r="AHX174" s="125"/>
      <c r="AHY174" s="125"/>
      <c r="AHZ174" s="125"/>
      <c r="AIA174" s="125"/>
      <c r="AIB174" s="125"/>
      <c r="AIC174" s="125"/>
      <c r="AID174" s="125"/>
      <c r="AIE174" s="125"/>
      <c r="AIF174" s="125"/>
      <c r="AIG174" s="125"/>
      <c r="AIH174" s="125"/>
      <c r="AII174" s="125"/>
      <c r="AIJ174" s="125"/>
      <c r="AIK174" s="125"/>
      <c r="AIL174" s="125"/>
      <c r="AIM174" s="125"/>
      <c r="AIN174" s="125"/>
      <c r="AIO174" s="125"/>
      <c r="AIP174" s="125"/>
      <c r="AIQ174" s="125"/>
      <c r="AIR174" s="125"/>
      <c r="AIS174" s="125"/>
      <c r="AIT174" s="125"/>
      <c r="AIU174" s="125"/>
      <c r="AIV174" s="125"/>
      <c r="AIW174" s="125"/>
      <c r="AIX174" s="125"/>
      <c r="AIY174" s="125"/>
      <c r="AIZ174" s="125"/>
      <c r="AJA174" s="125"/>
      <c r="AJB174" s="125"/>
      <c r="AJC174" s="125"/>
      <c r="AJD174" s="125"/>
      <c r="AJE174" s="125"/>
      <c r="AJF174" s="125"/>
      <c r="AJG174" s="125"/>
      <c r="AJH174" s="125"/>
      <c r="AJI174" s="125"/>
      <c r="AJJ174" s="125"/>
      <c r="AJK174" s="125"/>
      <c r="AJL174" s="125"/>
      <c r="AJM174" s="125"/>
      <c r="AJN174" s="125"/>
      <c r="AJO174" s="125"/>
      <c r="AJP174" s="125"/>
      <c r="AJQ174" s="125"/>
      <c r="AJR174" s="125"/>
      <c r="AJS174" s="125"/>
      <c r="AJT174" s="125"/>
      <c r="AJU174" s="125"/>
      <c r="AJV174" s="125"/>
      <c r="AJW174" s="125"/>
      <c r="AJX174" s="125"/>
      <c r="AJY174" s="125"/>
      <c r="AJZ174" s="125"/>
      <c r="AKA174" s="125"/>
      <c r="AKB174" s="125"/>
      <c r="AKC174" s="125"/>
      <c r="AKD174" s="125"/>
      <c r="AKE174" s="125"/>
      <c r="AKF174" s="125"/>
      <c r="AKG174" s="125"/>
      <c r="AKH174" s="125"/>
      <c r="AKI174" s="125"/>
      <c r="AKJ174" s="125"/>
      <c r="AKK174" s="125"/>
      <c r="AKL174" s="125"/>
      <c r="AKM174" s="125"/>
      <c r="AKN174" s="125"/>
      <c r="AKO174" s="125"/>
      <c r="AKP174" s="125"/>
      <c r="AKQ174" s="125"/>
      <c r="AKR174" s="125"/>
      <c r="AKS174" s="125"/>
      <c r="AKT174" s="125"/>
      <c r="AKU174" s="125"/>
      <c r="AKV174" s="125"/>
      <c r="AKW174" s="125"/>
      <c r="AKX174" s="125"/>
      <c r="AKY174" s="125"/>
      <c r="AKZ174" s="125"/>
      <c r="ALA174" s="125"/>
      <c r="ALB174" s="125"/>
      <c r="ALC174" s="125"/>
      <c r="ALD174" s="125"/>
      <c r="ALE174" s="125"/>
      <c r="ALF174" s="125"/>
      <c r="ALG174" s="125"/>
      <c r="ALH174" s="125"/>
      <c r="ALI174" s="125"/>
      <c r="ALJ174" s="125"/>
      <c r="ALK174" s="125"/>
      <c r="ALL174" s="125"/>
      <c r="ALM174" s="125"/>
      <c r="ALN174" s="125"/>
      <c r="ALO174" s="125"/>
      <c r="ALP174" s="125"/>
      <c r="ALQ174" s="125"/>
      <c r="ALR174" s="125"/>
      <c r="ALS174" s="125"/>
      <c r="ALT174" s="125"/>
      <c r="ALU174" s="125"/>
      <c r="ALV174" s="125"/>
      <c r="ALW174" s="125"/>
      <c r="ALX174" s="125"/>
      <c r="ALY174" s="125"/>
      <c r="ALZ174" s="125"/>
      <c r="AMA174" s="125"/>
      <c r="AMB174" s="125"/>
      <c r="AMC174" s="125"/>
      <c r="AMD174" s="125"/>
      <c r="AME174" s="125"/>
      <c r="AMF174" s="125"/>
      <c r="AMG174" s="125"/>
      <c r="AMH174" s="125"/>
      <c r="AMI174" s="125"/>
      <c r="AMJ174" s="125"/>
      <c r="AMK174" s="125"/>
      <c r="AML174" s="125"/>
      <c r="AMM174" s="125"/>
      <c r="AMN174" s="125"/>
      <c r="AMO174" s="125"/>
      <c r="AMP174" s="125"/>
      <c r="AMQ174" s="125"/>
      <c r="AMR174" s="125"/>
      <c r="AMS174" s="125"/>
      <c r="AMT174" s="125"/>
      <c r="AMU174" s="125"/>
      <c r="AMV174" s="125"/>
      <c r="AMW174" s="125"/>
      <c r="AMX174" s="125"/>
      <c r="AMY174" s="125"/>
      <c r="AMZ174" s="125"/>
      <c r="ANA174" s="125"/>
      <c r="ANB174" s="125"/>
      <c r="ANC174" s="125"/>
      <c r="AND174" s="125"/>
      <c r="ANE174" s="125"/>
      <c r="ANF174" s="125"/>
      <c r="ANG174" s="125"/>
      <c r="ANH174" s="125"/>
      <c r="ANI174" s="125"/>
      <c r="ANJ174" s="125"/>
      <c r="ANK174" s="125"/>
      <c r="ANL174" s="125"/>
      <c r="ANM174" s="125"/>
      <c r="ANN174" s="125"/>
      <c r="ANO174" s="125"/>
      <c r="ANP174" s="125"/>
      <c r="ANQ174" s="125"/>
      <c r="ANR174" s="125"/>
      <c r="ANS174" s="125"/>
      <c r="ANT174" s="125"/>
      <c r="ANU174" s="125"/>
      <c r="ANV174" s="125"/>
      <c r="ANW174" s="125"/>
      <c r="ANX174" s="125"/>
      <c r="ANY174" s="125"/>
      <c r="ANZ174" s="125"/>
      <c r="AOA174" s="125"/>
      <c r="AOB174" s="125"/>
      <c r="AOC174" s="125"/>
      <c r="AOD174" s="125"/>
      <c r="AOE174" s="125"/>
      <c r="AOF174" s="125"/>
      <c r="AOG174" s="125"/>
      <c r="AOH174" s="125"/>
      <c r="AOI174" s="125"/>
      <c r="AOJ174" s="125"/>
      <c r="AOK174" s="125"/>
      <c r="AOL174" s="125"/>
      <c r="AOM174" s="125"/>
      <c r="AON174" s="125"/>
      <c r="AOO174" s="125"/>
      <c r="AOP174" s="125"/>
      <c r="AOQ174" s="125"/>
      <c r="AOR174" s="125"/>
      <c r="AOS174" s="125"/>
      <c r="AOT174" s="125"/>
      <c r="AOU174" s="125"/>
      <c r="AOV174" s="125"/>
      <c r="AOW174" s="125"/>
      <c r="AOX174" s="125"/>
      <c r="AOY174" s="125"/>
      <c r="AOZ174" s="125"/>
      <c r="APA174" s="125"/>
      <c r="APB174" s="125"/>
      <c r="APC174" s="125"/>
      <c r="APD174" s="125"/>
      <c r="APE174" s="125"/>
      <c r="APF174" s="125"/>
      <c r="APG174" s="125"/>
      <c r="APH174" s="125"/>
      <c r="API174" s="125"/>
      <c r="APJ174" s="125"/>
      <c r="APK174" s="125"/>
      <c r="APL174" s="125"/>
      <c r="APM174" s="125"/>
      <c r="APN174" s="125"/>
      <c r="APO174" s="125"/>
      <c r="APP174" s="125"/>
      <c r="APQ174" s="125"/>
      <c r="APR174" s="125"/>
      <c r="APS174" s="125"/>
      <c r="APT174" s="125"/>
      <c r="APU174" s="125"/>
      <c r="APV174" s="125"/>
      <c r="APW174" s="125"/>
      <c r="APX174" s="125"/>
      <c r="APY174" s="125"/>
      <c r="APZ174" s="125"/>
      <c r="AQA174" s="125"/>
      <c r="AQB174" s="125"/>
      <c r="AQC174" s="125"/>
      <c r="AQD174" s="125"/>
      <c r="AQE174" s="125"/>
      <c r="AQF174" s="125"/>
      <c r="AQG174" s="125"/>
      <c r="AQH174" s="125"/>
      <c r="AQI174" s="125"/>
      <c r="AQJ174" s="125"/>
      <c r="AQK174" s="125"/>
      <c r="AQL174" s="125"/>
      <c r="AQM174" s="125"/>
      <c r="AQN174" s="125"/>
      <c r="AQO174" s="125"/>
      <c r="AQP174" s="125"/>
      <c r="AQQ174" s="125"/>
      <c r="AQR174" s="125"/>
      <c r="AQS174" s="125"/>
      <c r="AQT174" s="125"/>
      <c r="AQU174" s="125"/>
      <c r="AQV174" s="125"/>
      <c r="AQW174" s="125"/>
      <c r="AQX174" s="125"/>
      <c r="AQY174" s="125"/>
      <c r="AQZ174" s="125"/>
      <c r="ARA174" s="125"/>
      <c r="ARB174" s="125"/>
      <c r="ARC174" s="125"/>
      <c r="ARD174" s="125"/>
      <c r="ARE174" s="125"/>
      <c r="ARF174" s="125"/>
      <c r="ARG174" s="125"/>
      <c r="ARH174" s="125"/>
      <c r="ARI174" s="125"/>
      <c r="ARJ174" s="125"/>
      <c r="ARK174" s="125"/>
      <c r="ARL174" s="125"/>
      <c r="ARM174" s="125"/>
      <c r="ARN174" s="125"/>
      <c r="ARO174" s="125"/>
      <c r="ARP174" s="125"/>
      <c r="ARQ174" s="125"/>
      <c r="ARR174" s="125"/>
      <c r="ARS174" s="125"/>
      <c r="ART174" s="125"/>
      <c r="ARU174" s="125"/>
      <c r="ARV174" s="125"/>
      <c r="ARW174" s="125"/>
      <c r="ARX174" s="125"/>
      <c r="ARY174" s="125"/>
      <c r="ARZ174" s="125"/>
      <c r="ASA174" s="125"/>
      <c r="ASB174" s="125"/>
      <c r="ASC174" s="125"/>
      <c r="ASD174" s="125"/>
      <c r="ASE174" s="125"/>
      <c r="ASF174" s="125"/>
      <c r="ASG174" s="125"/>
      <c r="ASH174" s="125"/>
      <c r="ASI174" s="125"/>
      <c r="ASJ174" s="125"/>
      <c r="ASK174" s="125"/>
      <c r="ASL174" s="125"/>
      <c r="ASM174" s="125"/>
      <c r="ASN174" s="125"/>
      <c r="ASO174" s="125"/>
      <c r="ASP174" s="125"/>
      <c r="ASQ174" s="125"/>
      <c r="ASR174" s="125"/>
      <c r="ASS174" s="125"/>
      <c r="AST174" s="125"/>
      <c r="ASU174" s="125"/>
      <c r="ASV174" s="125"/>
      <c r="ASW174" s="125"/>
      <c r="ASX174" s="125"/>
      <c r="ASY174" s="125"/>
      <c r="ASZ174" s="125"/>
      <c r="ATA174" s="125"/>
      <c r="ATB174" s="125"/>
      <c r="ATC174" s="125"/>
      <c r="ATD174" s="125"/>
      <c r="ATE174" s="125"/>
      <c r="ATF174" s="125"/>
      <c r="ATG174" s="125"/>
      <c r="ATH174" s="125"/>
      <c r="ATI174" s="125"/>
      <c r="ATJ174" s="125"/>
      <c r="ATK174" s="125"/>
      <c r="ATL174" s="125"/>
      <c r="ATM174" s="125"/>
      <c r="ATN174" s="125"/>
      <c r="ATO174" s="125"/>
      <c r="ATP174" s="125"/>
      <c r="ATQ174" s="125"/>
      <c r="ATR174" s="125"/>
      <c r="ATS174" s="125"/>
      <c r="ATT174" s="125"/>
      <c r="ATU174" s="125"/>
      <c r="ATV174" s="125"/>
      <c r="ATW174" s="125"/>
      <c r="ATX174" s="125"/>
      <c r="ATY174" s="125"/>
      <c r="ATZ174" s="125"/>
      <c r="AUA174" s="125"/>
      <c r="AUB174" s="125"/>
      <c r="AUC174" s="125"/>
      <c r="AUD174" s="125"/>
      <c r="AUE174" s="125"/>
      <c r="AUF174" s="125"/>
      <c r="AUG174" s="125"/>
      <c r="AUH174" s="125"/>
      <c r="AUI174" s="125"/>
      <c r="AUJ174" s="125"/>
      <c r="AUK174" s="125"/>
      <c r="AUL174" s="125"/>
      <c r="AUM174" s="125"/>
      <c r="AUN174" s="125"/>
      <c r="AUO174" s="125"/>
      <c r="AUP174" s="125"/>
      <c r="AUQ174" s="125"/>
      <c r="AUR174" s="125"/>
      <c r="AUS174" s="125"/>
      <c r="AUT174" s="125"/>
      <c r="AUU174" s="125"/>
      <c r="AUV174" s="125"/>
      <c r="AUW174" s="125"/>
      <c r="AUX174" s="125"/>
      <c r="AUY174" s="125"/>
      <c r="AUZ174" s="125"/>
      <c r="AVA174" s="125"/>
      <c r="AVB174" s="125"/>
      <c r="AVC174" s="125"/>
      <c r="AVD174" s="125"/>
      <c r="AVE174" s="125"/>
      <c r="AVF174" s="125"/>
      <c r="AVG174" s="125"/>
      <c r="AVH174" s="125"/>
      <c r="AVI174" s="125"/>
      <c r="AVJ174" s="125"/>
      <c r="AVK174" s="125"/>
      <c r="AVL174" s="125"/>
      <c r="AVM174" s="125"/>
      <c r="AVN174" s="125"/>
      <c r="AVO174" s="125"/>
      <c r="AVP174" s="125"/>
      <c r="AVQ174" s="125"/>
      <c r="AVR174" s="125"/>
      <c r="AVS174" s="125"/>
      <c r="AVT174" s="125"/>
      <c r="AVU174" s="125"/>
      <c r="AVV174" s="125"/>
      <c r="AVW174" s="125"/>
      <c r="AVX174" s="125"/>
      <c r="AVY174" s="125"/>
      <c r="AVZ174" s="125"/>
      <c r="AWA174" s="125"/>
      <c r="AWB174" s="125"/>
      <c r="AWC174" s="125"/>
      <c r="AWD174" s="125"/>
      <c r="AWE174" s="125"/>
      <c r="AWF174" s="125"/>
      <c r="AWG174" s="125"/>
      <c r="AWH174" s="125"/>
      <c r="AWI174" s="125"/>
      <c r="AWJ174" s="125"/>
      <c r="AWK174" s="125"/>
      <c r="AWL174" s="125"/>
      <c r="AWM174" s="125"/>
      <c r="AWN174" s="125"/>
      <c r="AWO174" s="125"/>
      <c r="AWP174" s="125"/>
      <c r="AWQ174" s="125"/>
      <c r="AWR174" s="125"/>
      <c r="AWS174" s="125"/>
      <c r="AWT174" s="125"/>
      <c r="AWU174" s="125"/>
      <c r="AWV174" s="125"/>
      <c r="AWW174" s="125"/>
      <c r="AWX174" s="125"/>
      <c r="AWY174" s="125"/>
      <c r="AWZ174" s="125"/>
      <c r="AXA174" s="125"/>
      <c r="AXB174" s="125"/>
      <c r="AXC174" s="125"/>
      <c r="AXD174" s="125"/>
      <c r="AXE174" s="125"/>
      <c r="AXF174" s="125"/>
      <c r="AXG174" s="125"/>
      <c r="AXH174" s="125"/>
      <c r="AXI174" s="125"/>
      <c r="AXJ174" s="125"/>
      <c r="AXK174" s="125"/>
      <c r="AXL174" s="125"/>
      <c r="AXM174" s="125"/>
      <c r="AXN174" s="125"/>
      <c r="AXO174" s="125"/>
      <c r="AXP174" s="125"/>
      <c r="AXQ174" s="125"/>
      <c r="AXR174" s="125"/>
      <c r="AXS174" s="125"/>
      <c r="AXT174" s="125"/>
      <c r="AXU174" s="125"/>
      <c r="AXV174" s="125"/>
      <c r="AXW174" s="125"/>
      <c r="AXX174" s="125"/>
      <c r="AXY174" s="125"/>
      <c r="AXZ174" s="125"/>
      <c r="AYA174" s="125"/>
      <c r="AYB174" s="125"/>
      <c r="AYC174" s="125"/>
      <c r="AYD174" s="125"/>
      <c r="AYE174" s="125"/>
      <c r="AYF174" s="125"/>
      <c r="AYG174" s="125"/>
      <c r="AYH174" s="125"/>
      <c r="AYI174" s="125"/>
      <c r="AYJ174" s="125"/>
      <c r="AYK174" s="125"/>
      <c r="AYL174" s="125"/>
      <c r="AYM174" s="125"/>
      <c r="AYN174" s="125"/>
      <c r="AYO174" s="125"/>
      <c r="AYP174" s="125"/>
      <c r="AYQ174" s="125"/>
      <c r="AYR174" s="125"/>
      <c r="AYS174" s="125"/>
      <c r="AYT174" s="125"/>
      <c r="AYU174" s="125"/>
      <c r="AYV174" s="125"/>
      <c r="AYW174" s="125"/>
      <c r="AYX174" s="125"/>
      <c r="AYY174" s="125"/>
      <c r="AYZ174" s="125"/>
      <c r="AZA174" s="125"/>
      <c r="AZB174" s="125"/>
      <c r="AZC174" s="125"/>
      <c r="AZD174" s="125"/>
      <c r="AZE174" s="125"/>
      <c r="AZF174" s="125"/>
      <c r="AZG174" s="125"/>
      <c r="AZH174" s="125"/>
      <c r="AZI174" s="125"/>
      <c r="AZJ174" s="125"/>
      <c r="AZK174" s="125"/>
      <c r="AZL174" s="125"/>
      <c r="AZM174" s="125"/>
      <c r="AZN174" s="125"/>
      <c r="AZO174" s="125"/>
      <c r="AZP174" s="125"/>
      <c r="AZQ174" s="125"/>
      <c r="AZR174" s="125"/>
      <c r="AZS174" s="125"/>
      <c r="AZT174" s="125"/>
      <c r="AZU174" s="125"/>
      <c r="AZV174" s="125"/>
      <c r="AZW174" s="125"/>
      <c r="AZX174" s="125"/>
      <c r="AZY174" s="125"/>
      <c r="AZZ174" s="125"/>
      <c r="BAA174" s="125"/>
      <c r="BAB174" s="125"/>
      <c r="BAC174" s="125"/>
      <c r="BAD174" s="125"/>
      <c r="BAE174" s="125"/>
      <c r="BAF174" s="125"/>
      <c r="BAG174" s="125"/>
      <c r="BAH174" s="125"/>
      <c r="BAI174" s="125"/>
      <c r="BAJ174" s="125"/>
      <c r="BAK174" s="125"/>
      <c r="BAL174" s="125"/>
      <c r="BAM174" s="125"/>
      <c r="BAN174" s="125"/>
      <c r="BAO174" s="125"/>
      <c r="BAP174" s="125"/>
      <c r="BAQ174" s="125"/>
      <c r="BAR174" s="125"/>
      <c r="BAS174" s="125"/>
      <c r="BAT174" s="125"/>
      <c r="BAU174" s="125"/>
      <c r="BAV174" s="125"/>
      <c r="BAW174" s="125"/>
      <c r="BAX174" s="125"/>
      <c r="BAY174" s="125"/>
      <c r="BAZ174" s="125"/>
      <c r="BBA174" s="125"/>
      <c r="BBB174" s="125"/>
      <c r="BBC174" s="125"/>
      <c r="BBD174" s="125"/>
      <c r="BBE174" s="125"/>
      <c r="BBF174" s="125"/>
      <c r="BBG174" s="125"/>
      <c r="BBH174" s="125"/>
      <c r="BBI174" s="125"/>
      <c r="BBJ174" s="125"/>
      <c r="BBK174" s="125"/>
      <c r="BBL174" s="125"/>
      <c r="BBM174" s="125"/>
      <c r="BBN174" s="125"/>
      <c r="BBO174" s="125"/>
      <c r="BBP174" s="125"/>
      <c r="BBQ174" s="125"/>
      <c r="BBR174" s="125"/>
      <c r="BBS174" s="125"/>
      <c r="BBT174" s="125"/>
      <c r="BBU174" s="125"/>
      <c r="BBV174" s="125"/>
      <c r="BBW174" s="125"/>
      <c r="BBX174" s="125"/>
      <c r="BBY174" s="125"/>
      <c r="BBZ174" s="125"/>
      <c r="BCA174" s="125"/>
      <c r="BCB174" s="125"/>
      <c r="BCC174" s="125"/>
      <c r="BCD174" s="125"/>
      <c r="BCE174" s="125"/>
      <c r="BCF174" s="125"/>
      <c r="BCG174" s="125"/>
      <c r="BCH174" s="125"/>
      <c r="BCI174" s="125"/>
      <c r="BCJ174" s="125"/>
      <c r="BCK174" s="125"/>
      <c r="BCL174" s="125"/>
      <c r="BCM174" s="125"/>
      <c r="BCN174" s="125"/>
      <c r="BCO174" s="125"/>
      <c r="BCP174" s="125"/>
      <c r="BCQ174" s="125"/>
      <c r="BCR174" s="125"/>
      <c r="BCS174" s="125"/>
      <c r="BCT174" s="125"/>
      <c r="BCU174" s="125"/>
      <c r="BCV174" s="125"/>
      <c r="BCW174" s="125"/>
      <c r="BCX174" s="125"/>
      <c r="BCY174" s="125"/>
      <c r="BCZ174" s="125"/>
      <c r="BDA174" s="125"/>
      <c r="BDB174" s="125"/>
      <c r="BDC174" s="125"/>
      <c r="BDD174" s="125"/>
      <c r="BDE174" s="125"/>
      <c r="BDF174" s="125"/>
      <c r="BDG174" s="125"/>
      <c r="BDH174" s="125"/>
      <c r="BDI174" s="125"/>
      <c r="BDJ174" s="125"/>
      <c r="BDK174" s="125"/>
      <c r="BDL174" s="125"/>
      <c r="BDM174" s="125"/>
      <c r="BDN174" s="125"/>
      <c r="BDO174" s="125"/>
      <c r="BDP174" s="125"/>
      <c r="BDQ174" s="125"/>
      <c r="BDR174" s="125"/>
      <c r="BDS174" s="125"/>
      <c r="BDT174" s="125"/>
      <c r="BDU174" s="125"/>
      <c r="BDV174" s="125"/>
      <c r="BDW174" s="125"/>
      <c r="BDX174" s="125"/>
      <c r="BDY174" s="125"/>
      <c r="BDZ174" s="125"/>
      <c r="BEA174" s="125"/>
      <c r="BEB174" s="125"/>
      <c r="BEC174" s="125"/>
      <c r="BED174" s="125"/>
      <c r="BEE174" s="125"/>
      <c r="BEF174" s="125"/>
      <c r="BEG174" s="125"/>
      <c r="BEH174" s="125"/>
      <c r="BEI174" s="125"/>
      <c r="BEJ174" s="125"/>
      <c r="BEK174" s="125"/>
      <c r="BEL174" s="125"/>
      <c r="BEM174" s="125"/>
      <c r="BEN174" s="125"/>
      <c r="BEO174" s="125"/>
      <c r="BEP174" s="125"/>
      <c r="BEQ174" s="125"/>
      <c r="BER174" s="125"/>
      <c r="BES174" s="125"/>
      <c r="BET174" s="125"/>
      <c r="BEU174" s="125"/>
      <c r="BEV174" s="125"/>
      <c r="BEW174" s="125"/>
      <c r="BEX174" s="125"/>
      <c r="BEY174" s="125"/>
      <c r="BEZ174" s="125"/>
      <c r="BFA174" s="125"/>
      <c r="BFB174" s="125"/>
      <c r="BFC174" s="125"/>
      <c r="BFD174" s="125"/>
      <c r="BFE174" s="125"/>
      <c r="BFF174" s="125"/>
      <c r="BFG174" s="125"/>
      <c r="BFH174" s="125"/>
      <c r="BFI174" s="125"/>
      <c r="BFJ174" s="125"/>
      <c r="BFK174" s="125"/>
      <c r="BFL174" s="125"/>
      <c r="BFM174" s="125"/>
      <c r="BFN174" s="125"/>
      <c r="BFO174" s="125"/>
      <c r="BFP174" s="125"/>
      <c r="BFQ174" s="125"/>
      <c r="BFR174" s="125"/>
      <c r="BFS174" s="125"/>
      <c r="BFT174" s="125"/>
      <c r="BFU174" s="125"/>
      <c r="BFV174" s="125"/>
      <c r="BFW174" s="125"/>
      <c r="BFX174" s="125"/>
      <c r="BFY174" s="125"/>
      <c r="BFZ174" s="125"/>
      <c r="BGA174" s="125"/>
      <c r="BGB174" s="125"/>
      <c r="BGC174" s="125"/>
      <c r="BGD174" s="125"/>
      <c r="BGE174" s="125"/>
      <c r="BGF174" s="125"/>
      <c r="BGG174" s="125"/>
      <c r="BGH174" s="125"/>
      <c r="BGI174" s="125"/>
      <c r="BGJ174" s="125"/>
      <c r="BGK174" s="125"/>
      <c r="BGL174" s="125"/>
      <c r="BGM174" s="125"/>
      <c r="BGN174" s="125"/>
      <c r="BGO174" s="125"/>
      <c r="BGP174" s="125"/>
      <c r="BGQ174" s="125"/>
      <c r="BGR174" s="125"/>
      <c r="BGS174" s="125"/>
      <c r="BGT174" s="125"/>
      <c r="BGU174" s="125"/>
      <c r="BGV174" s="125"/>
      <c r="BGW174" s="125"/>
      <c r="BGX174" s="125"/>
      <c r="BGY174" s="125"/>
      <c r="BGZ174" s="125"/>
      <c r="BHA174" s="125"/>
      <c r="BHB174" s="125"/>
      <c r="BHC174" s="125"/>
      <c r="BHD174" s="125"/>
      <c r="BHE174" s="125"/>
      <c r="BHF174" s="125"/>
      <c r="BHG174" s="125"/>
      <c r="BHH174" s="125"/>
      <c r="BHI174" s="125"/>
      <c r="BHJ174" s="125"/>
      <c r="BHK174" s="125"/>
      <c r="BHL174" s="125"/>
      <c r="BHM174" s="125"/>
      <c r="BHN174" s="125"/>
      <c r="BHO174" s="125"/>
      <c r="BHP174" s="125"/>
      <c r="BHQ174" s="125"/>
      <c r="BHR174" s="125"/>
      <c r="BHS174" s="125"/>
      <c r="BHT174" s="125"/>
      <c r="BHU174" s="125"/>
      <c r="BHV174" s="125"/>
      <c r="BHW174" s="125"/>
      <c r="BHX174" s="125"/>
      <c r="BHY174" s="125"/>
      <c r="BHZ174" s="125"/>
      <c r="BIA174" s="125"/>
      <c r="BIB174" s="125"/>
      <c r="BIC174" s="125"/>
      <c r="BID174" s="125"/>
      <c r="BIE174" s="125"/>
      <c r="BIF174" s="125"/>
      <c r="BIG174" s="125"/>
      <c r="BIH174" s="125"/>
      <c r="BII174" s="125"/>
      <c r="BIJ174" s="125"/>
      <c r="BIK174" s="125"/>
      <c r="BIL174" s="125"/>
      <c r="BIM174" s="125"/>
      <c r="BIN174" s="125"/>
      <c r="BIO174" s="125"/>
      <c r="BIP174" s="125"/>
      <c r="BIQ174" s="125"/>
      <c r="BIR174" s="125"/>
      <c r="BIS174" s="125"/>
      <c r="BIT174" s="125"/>
      <c r="BIU174" s="125"/>
      <c r="BIV174" s="125"/>
      <c r="BIW174" s="125"/>
      <c r="BIX174" s="125"/>
      <c r="BIY174" s="125"/>
      <c r="BIZ174" s="125"/>
      <c r="BJA174" s="125"/>
      <c r="BJB174" s="125"/>
      <c r="BJC174" s="125"/>
      <c r="BJD174" s="125"/>
      <c r="BJE174" s="125"/>
      <c r="BJF174" s="125"/>
      <c r="BJG174" s="125"/>
      <c r="BJH174" s="125"/>
      <c r="BJI174" s="125"/>
      <c r="BJJ174" s="125"/>
      <c r="BJK174" s="125"/>
      <c r="BJL174" s="125"/>
      <c r="BJM174" s="125"/>
      <c r="BJN174" s="125"/>
      <c r="BJO174" s="125"/>
      <c r="BJP174" s="125"/>
      <c r="BJQ174" s="125"/>
      <c r="BJR174" s="125"/>
      <c r="BJS174" s="125"/>
      <c r="BJT174" s="125"/>
      <c r="BJU174" s="125"/>
      <c r="BJV174" s="125"/>
      <c r="BJW174" s="125"/>
      <c r="BJX174" s="125"/>
      <c r="BJY174" s="125"/>
      <c r="BJZ174" s="125"/>
      <c r="BKA174" s="125"/>
      <c r="BKB174" s="125"/>
      <c r="BKC174" s="125"/>
      <c r="BKD174" s="125"/>
      <c r="BKE174" s="125"/>
      <c r="BKF174" s="125"/>
      <c r="BKG174" s="125"/>
      <c r="BKH174" s="125"/>
      <c r="BKI174" s="125"/>
      <c r="BKJ174" s="125"/>
      <c r="BKK174" s="125"/>
      <c r="BKL174" s="125"/>
      <c r="BKM174" s="125"/>
      <c r="BKN174" s="125"/>
      <c r="BKO174" s="125"/>
      <c r="BKP174" s="125"/>
      <c r="BKQ174" s="125"/>
      <c r="BKR174" s="125"/>
      <c r="BKS174" s="125"/>
      <c r="BKT174" s="125"/>
      <c r="BKU174" s="125"/>
      <c r="BKV174" s="125"/>
      <c r="BKW174" s="125"/>
      <c r="BKX174" s="125"/>
      <c r="BKY174" s="125"/>
      <c r="BKZ174" s="125"/>
      <c r="BLA174" s="125"/>
      <c r="BLB174" s="125"/>
      <c r="BLC174" s="125"/>
      <c r="BLD174" s="125"/>
      <c r="BLE174" s="125"/>
      <c r="BLF174" s="125"/>
      <c r="BLG174" s="125"/>
      <c r="BLH174" s="125"/>
      <c r="BLI174" s="125"/>
      <c r="BLJ174" s="125"/>
      <c r="BLK174" s="125"/>
      <c r="BLL174" s="125"/>
      <c r="BLM174" s="125"/>
      <c r="BLN174" s="125"/>
      <c r="BLO174" s="125"/>
      <c r="BLP174" s="125"/>
      <c r="BLQ174" s="125"/>
      <c r="BLR174" s="125"/>
      <c r="BLS174" s="125"/>
      <c r="BLT174" s="125"/>
      <c r="BLU174" s="125"/>
      <c r="BLV174" s="125"/>
      <c r="BLW174" s="125"/>
      <c r="BLX174" s="125"/>
      <c r="BLY174" s="125"/>
      <c r="BLZ174" s="125"/>
      <c r="BMA174" s="125"/>
      <c r="BMB174" s="125"/>
      <c r="BMC174" s="125"/>
      <c r="BMD174" s="125"/>
      <c r="BME174" s="125"/>
      <c r="BMF174" s="125"/>
      <c r="BMG174" s="125"/>
      <c r="BMH174" s="125"/>
      <c r="BMI174" s="125"/>
      <c r="BMJ174" s="125"/>
      <c r="BMK174" s="125"/>
      <c r="BML174" s="125"/>
      <c r="BMM174" s="125"/>
      <c r="BMN174" s="125"/>
      <c r="BMO174" s="125"/>
      <c r="BMP174" s="125"/>
      <c r="BMQ174" s="125"/>
      <c r="BMR174" s="125"/>
      <c r="BMS174" s="125"/>
      <c r="BMT174" s="125"/>
      <c r="BMU174" s="125"/>
      <c r="BMV174" s="125"/>
      <c r="BMW174" s="125"/>
      <c r="BMX174" s="125"/>
      <c r="BMY174" s="125"/>
      <c r="BMZ174" s="125"/>
      <c r="BNA174" s="125"/>
      <c r="BNB174" s="125"/>
      <c r="BNC174" s="125"/>
      <c r="BND174" s="125"/>
      <c r="BNE174" s="125"/>
      <c r="BNF174" s="125"/>
      <c r="BNG174" s="125"/>
      <c r="BNH174" s="125"/>
      <c r="BNI174" s="125"/>
      <c r="BNJ174" s="125"/>
      <c r="BNK174" s="125"/>
      <c r="BNL174" s="125"/>
      <c r="BNM174" s="125"/>
      <c r="BNN174" s="125"/>
      <c r="BNO174" s="125"/>
      <c r="BNP174" s="125"/>
      <c r="BNQ174" s="125"/>
      <c r="BNR174" s="125"/>
      <c r="BNS174" s="125"/>
      <c r="BNT174" s="125"/>
      <c r="BNU174" s="125"/>
      <c r="BNV174" s="125"/>
      <c r="BNW174" s="125"/>
      <c r="BNX174" s="125"/>
      <c r="BNY174" s="125"/>
      <c r="BNZ174" s="125"/>
      <c r="BOA174" s="125"/>
      <c r="BOB174" s="125"/>
      <c r="BOC174" s="125"/>
      <c r="BOD174" s="125"/>
      <c r="BOE174" s="125"/>
      <c r="BOF174" s="125"/>
      <c r="BOG174" s="125"/>
      <c r="BOH174" s="125"/>
      <c r="BOI174" s="125"/>
      <c r="BOJ174" s="125"/>
      <c r="BOK174" s="125"/>
      <c r="BOL174" s="125"/>
      <c r="BOM174" s="125"/>
      <c r="BON174" s="125"/>
      <c r="BOO174" s="125"/>
      <c r="BOP174" s="125"/>
      <c r="BOQ174" s="125"/>
      <c r="BOR174" s="125"/>
      <c r="BOS174" s="125"/>
      <c r="BOT174" s="125"/>
      <c r="BOU174" s="125"/>
      <c r="BOV174" s="125"/>
      <c r="BOW174" s="125"/>
      <c r="BOX174" s="125"/>
      <c r="BOY174" s="125"/>
      <c r="BOZ174" s="125"/>
      <c r="BPA174" s="125"/>
      <c r="BPB174" s="125"/>
      <c r="BPC174" s="125"/>
      <c r="BPD174" s="125"/>
      <c r="BPE174" s="125"/>
      <c r="BPF174" s="125"/>
      <c r="BPG174" s="125"/>
      <c r="BPH174" s="125"/>
      <c r="BPI174" s="125"/>
      <c r="BPJ174" s="125"/>
      <c r="BPK174" s="125"/>
      <c r="BPL174" s="125"/>
      <c r="BPM174" s="125"/>
      <c r="BPN174" s="125"/>
      <c r="BPO174" s="125"/>
      <c r="BPP174" s="125"/>
      <c r="BPQ174" s="125"/>
      <c r="BPR174" s="125"/>
      <c r="BPS174" s="125"/>
      <c r="BPT174" s="125"/>
      <c r="BPU174" s="125"/>
      <c r="BPV174" s="125"/>
      <c r="BPW174" s="125"/>
      <c r="BPX174" s="125"/>
      <c r="BPY174" s="125"/>
      <c r="BPZ174" s="125"/>
      <c r="BQA174" s="125"/>
      <c r="BQB174" s="125"/>
      <c r="BQC174" s="125"/>
      <c r="BQD174" s="125"/>
      <c r="BQE174" s="125"/>
      <c r="BQF174" s="125"/>
      <c r="BQG174" s="125"/>
      <c r="BQH174" s="125"/>
      <c r="BQI174" s="125"/>
      <c r="BQJ174" s="125"/>
      <c r="BQK174" s="125"/>
      <c r="BQL174" s="125"/>
      <c r="BQM174" s="125"/>
      <c r="BQN174" s="125"/>
      <c r="BQO174" s="125"/>
      <c r="BQP174" s="125"/>
      <c r="BQQ174" s="125"/>
      <c r="BQR174" s="125"/>
      <c r="BQS174" s="125"/>
      <c r="BQT174" s="125"/>
      <c r="BQU174" s="125"/>
      <c r="BQV174" s="125"/>
      <c r="BQW174" s="125"/>
      <c r="BQX174" s="125"/>
      <c r="BQY174" s="125"/>
      <c r="BQZ174" s="125"/>
      <c r="BRA174" s="125"/>
      <c r="BRB174" s="125"/>
      <c r="BRC174" s="125"/>
      <c r="BRD174" s="125"/>
      <c r="BRE174" s="125"/>
      <c r="BRF174" s="125"/>
      <c r="BRG174" s="125"/>
      <c r="BRH174" s="125"/>
      <c r="BRI174" s="125"/>
      <c r="BRJ174" s="125"/>
      <c r="BRK174" s="125"/>
      <c r="BRL174" s="125"/>
      <c r="BRM174" s="125"/>
      <c r="BRN174" s="125"/>
      <c r="BRO174" s="125"/>
      <c r="BRP174" s="125"/>
      <c r="BRQ174" s="125"/>
      <c r="BRR174" s="125"/>
      <c r="BRS174" s="125"/>
      <c r="BRT174" s="125"/>
      <c r="BRU174" s="125"/>
      <c r="BRV174" s="125"/>
      <c r="BRW174" s="125"/>
      <c r="BRX174" s="125"/>
      <c r="BRY174" s="125"/>
      <c r="BRZ174" s="125"/>
      <c r="BSA174" s="125"/>
      <c r="BSB174" s="125"/>
      <c r="BSC174" s="125"/>
      <c r="BSD174" s="125"/>
      <c r="BSE174" s="125"/>
      <c r="BSF174" s="125"/>
      <c r="BSG174" s="125"/>
      <c r="BSH174" s="125"/>
      <c r="BSI174" s="125"/>
      <c r="BSJ174" s="125"/>
      <c r="BSK174" s="125"/>
      <c r="BSL174" s="125"/>
      <c r="BSM174" s="125"/>
      <c r="BSN174" s="125"/>
      <c r="BSO174" s="125"/>
      <c r="BSP174" s="125"/>
      <c r="BSQ174" s="125"/>
      <c r="BSR174" s="125"/>
      <c r="BSS174" s="125"/>
      <c r="BST174" s="125"/>
      <c r="BSU174" s="125"/>
      <c r="BSV174" s="125"/>
      <c r="BSW174" s="125"/>
      <c r="BSX174" s="125"/>
      <c r="BSY174" s="125"/>
      <c r="BSZ174" s="125"/>
      <c r="BTA174" s="125"/>
      <c r="BTB174" s="125"/>
      <c r="BTC174" s="125"/>
      <c r="BTD174" s="125"/>
      <c r="BTE174" s="125"/>
      <c r="BTF174" s="125"/>
      <c r="BTG174" s="125"/>
      <c r="BTH174" s="125"/>
      <c r="BTI174" s="125"/>
      <c r="BTJ174" s="125"/>
      <c r="BTK174" s="125"/>
      <c r="BTL174" s="125"/>
      <c r="BTM174" s="125"/>
      <c r="BTN174" s="125"/>
      <c r="BTO174" s="125"/>
      <c r="BTP174" s="125"/>
      <c r="BTQ174" s="125"/>
      <c r="BTR174" s="125"/>
      <c r="BTS174" s="125"/>
      <c r="BTT174" s="125"/>
      <c r="BTU174" s="125"/>
      <c r="BTV174" s="125"/>
      <c r="BTW174" s="125"/>
      <c r="BTX174" s="125"/>
      <c r="BTY174" s="125"/>
      <c r="BTZ174" s="125"/>
      <c r="BUA174" s="125"/>
      <c r="BUB174" s="125"/>
      <c r="BUC174" s="125"/>
      <c r="BUD174" s="125"/>
      <c r="BUE174" s="125"/>
      <c r="BUF174" s="125"/>
      <c r="BUG174" s="125"/>
      <c r="BUH174" s="125"/>
      <c r="BUI174" s="125"/>
      <c r="BUJ174" s="125"/>
      <c r="BUK174" s="125"/>
      <c r="BUL174" s="125"/>
      <c r="BUM174" s="125"/>
      <c r="BUN174" s="125"/>
      <c r="BUO174" s="125"/>
      <c r="BUP174" s="125"/>
      <c r="BUQ174" s="125"/>
      <c r="BUR174" s="125"/>
      <c r="BUS174" s="125"/>
      <c r="BUT174" s="125"/>
      <c r="BUU174" s="125"/>
      <c r="BUV174" s="125"/>
      <c r="BUW174" s="125"/>
      <c r="BUX174" s="125"/>
      <c r="BUY174" s="125"/>
      <c r="BUZ174" s="125"/>
      <c r="BVA174" s="125"/>
      <c r="BVB174" s="125"/>
      <c r="BVC174" s="125"/>
      <c r="BVD174" s="125"/>
      <c r="BVE174" s="125"/>
      <c r="BVF174" s="125"/>
      <c r="BVG174" s="125"/>
      <c r="BVH174" s="125"/>
      <c r="BVI174" s="125"/>
      <c r="BVJ174" s="125"/>
      <c r="BVK174" s="125"/>
      <c r="BVL174" s="125"/>
      <c r="BVM174" s="125"/>
      <c r="BVN174" s="125"/>
      <c r="BVO174" s="125"/>
      <c r="BVP174" s="125"/>
      <c r="BVQ174" s="125"/>
      <c r="BVR174" s="125"/>
      <c r="BVS174" s="125"/>
      <c r="BVT174" s="125"/>
      <c r="BVU174" s="125"/>
      <c r="BVV174" s="125"/>
      <c r="BVW174" s="125"/>
      <c r="BVX174" s="125"/>
      <c r="BVY174" s="125"/>
      <c r="BVZ174" s="125"/>
      <c r="BWA174" s="125"/>
      <c r="BWB174" s="125"/>
      <c r="BWC174" s="125"/>
      <c r="BWD174" s="125"/>
      <c r="BWE174" s="125"/>
      <c r="BWF174" s="125"/>
      <c r="BWG174" s="125"/>
      <c r="BWH174" s="125"/>
      <c r="BWI174" s="125"/>
      <c r="BWJ174" s="125"/>
      <c r="BWK174" s="125"/>
      <c r="BWL174" s="125"/>
      <c r="BWM174" s="125"/>
      <c r="BWN174" s="125"/>
      <c r="BWO174" s="125"/>
      <c r="BWP174" s="125"/>
      <c r="BWQ174" s="125"/>
      <c r="BWR174" s="125"/>
      <c r="BWS174" s="125"/>
      <c r="BWT174" s="125"/>
      <c r="BWU174" s="125"/>
      <c r="BWV174" s="125"/>
      <c r="BWW174" s="125"/>
      <c r="BWX174" s="125"/>
      <c r="BWY174" s="125"/>
      <c r="BWZ174" s="125"/>
      <c r="BXA174" s="125"/>
      <c r="BXB174" s="125"/>
      <c r="BXC174" s="125"/>
      <c r="BXD174" s="125"/>
      <c r="BXE174" s="125"/>
      <c r="BXF174" s="125"/>
      <c r="BXG174" s="125"/>
      <c r="BXH174" s="125"/>
      <c r="BXI174" s="125"/>
      <c r="BXJ174" s="125"/>
      <c r="BXK174" s="125"/>
      <c r="BXL174" s="125"/>
      <c r="BXM174" s="125"/>
      <c r="BXN174" s="125"/>
      <c r="BXO174" s="125"/>
      <c r="BXP174" s="125"/>
      <c r="BXQ174" s="125"/>
      <c r="BXR174" s="125"/>
      <c r="BXS174" s="125"/>
      <c r="BXT174" s="125"/>
      <c r="BXU174" s="125"/>
      <c r="BXV174" s="125"/>
      <c r="BXW174" s="125"/>
      <c r="BXX174" s="125"/>
      <c r="BXY174" s="125"/>
      <c r="BXZ174" s="125"/>
      <c r="BYA174" s="125"/>
      <c r="BYB174" s="125"/>
      <c r="BYC174" s="125"/>
      <c r="BYD174" s="125"/>
      <c r="BYE174" s="125"/>
      <c r="BYF174" s="125"/>
      <c r="BYG174" s="125"/>
      <c r="BYH174" s="125"/>
      <c r="BYI174" s="125"/>
      <c r="BYJ174" s="125"/>
      <c r="BYK174" s="125"/>
      <c r="BYL174" s="125"/>
      <c r="BYM174" s="125"/>
      <c r="BYN174" s="125"/>
      <c r="BYO174" s="125"/>
      <c r="BYP174" s="125"/>
      <c r="BYQ174" s="125"/>
      <c r="BYR174" s="125"/>
      <c r="BYS174" s="125"/>
      <c r="BYT174" s="125"/>
      <c r="BYU174" s="125"/>
      <c r="BYV174" s="125"/>
      <c r="BYW174" s="125"/>
      <c r="BYX174" s="125"/>
      <c r="BYY174" s="125"/>
      <c r="BYZ174" s="125"/>
      <c r="BZA174" s="125"/>
      <c r="BZB174" s="125"/>
      <c r="BZC174" s="125"/>
      <c r="BZD174" s="125"/>
      <c r="BZE174" s="125"/>
      <c r="BZF174" s="125"/>
      <c r="BZG174" s="125"/>
      <c r="BZH174" s="125"/>
      <c r="BZI174" s="125"/>
      <c r="BZJ174" s="125"/>
      <c r="BZK174" s="125"/>
      <c r="BZL174" s="125"/>
      <c r="BZM174" s="125"/>
      <c r="BZN174" s="125"/>
      <c r="BZO174" s="125"/>
      <c r="BZP174" s="125"/>
      <c r="BZQ174" s="125"/>
      <c r="BZR174" s="125"/>
      <c r="BZS174" s="125"/>
      <c r="BZT174" s="125"/>
      <c r="BZU174" s="125"/>
      <c r="BZV174" s="125"/>
      <c r="BZW174" s="125"/>
      <c r="BZX174" s="125"/>
      <c r="BZY174" s="125"/>
      <c r="BZZ174" s="125"/>
      <c r="CAA174" s="125"/>
      <c r="CAB174" s="125"/>
      <c r="CAC174" s="125"/>
      <c r="CAD174" s="125"/>
      <c r="CAE174" s="125"/>
      <c r="CAF174" s="125"/>
      <c r="CAG174" s="125"/>
      <c r="CAH174" s="125"/>
      <c r="CAI174" s="125"/>
      <c r="CAJ174" s="125"/>
      <c r="CAK174" s="125"/>
      <c r="CAL174" s="125"/>
      <c r="CAM174" s="125"/>
      <c r="CAN174" s="125"/>
      <c r="CAO174" s="125"/>
      <c r="CAP174" s="125"/>
      <c r="CAQ174" s="125"/>
      <c r="CAR174" s="125"/>
      <c r="CAS174" s="125"/>
      <c r="CAT174" s="125"/>
      <c r="CAU174" s="125"/>
      <c r="CAV174" s="125"/>
      <c r="CAW174" s="125"/>
      <c r="CAX174" s="125"/>
      <c r="CAY174" s="125"/>
      <c r="CAZ174" s="125"/>
      <c r="CBA174" s="125"/>
      <c r="CBB174" s="125"/>
      <c r="CBC174" s="125"/>
      <c r="CBD174" s="125"/>
      <c r="CBE174" s="125"/>
      <c r="CBF174" s="125"/>
      <c r="CBG174" s="125"/>
      <c r="CBH174" s="125"/>
      <c r="CBI174" s="125"/>
      <c r="CBJ174" s="125"/>
      <c r="CBK174" s="125"/>
      <c r="CBL174" s="125"/>
      <c r="CBM174" s="125"/>
      <c r="CBN174" s="125"/>
      <c r="CBO174" s="125"/>
      <c r="CBP174" s="125"/>
      <c r="CBQ174" s="125"/>
      <c r="CBR174" s="125"/>
      <c r="CBS174" s="125"/>
      <c r="CBT174" s="125"/>
      <c r="CBU174" s="125"/>
      <c r="CBV174" s="125"/>
      <c r="CBW174" s="125"/>
      <c r="CBX174" s="125"/>
      <c r="CBY174" s="125"/>
      <c r="CBZ174" s="125"/>
      <c r="CCA174" s="125"/>
      <c r="CCB174" s="125"/>
      <c r="CCC174" s="125"/>
      <c r="CCD174" s="125"/>
      <c r="CCE174" s="125"/>
      <c r="CCF174" s="125"/>
      <c r="CCG174" s="125"/>
      <c r="CCH174" s="125"/>
      <c r="CCI174" s="125"/>
      <c r="CCJ174" s="125"/>
      <c r="CCK174" s="125"/>
      <c r="CCL174" s="125"/>
      <c r="CCM174" s="125"/>
      <c r="CCN174" s="125"/>
      <c r="CCO174" s="125"/>
      <c r="CCP174" s="125"/>
      <c r="CCQ174" s="125"/>
      <c r="CCR174" s="125"/>
      <c r="CCS174" s="125"/>
      <c r="CCT174" s="125"/>
      <c r="CCU174" s="125"/>
      <c r="CCV174" s="125"/>
      <c r="CCW174" s="125"/>
      <c r="CCX174" s="125"/>
      <c r="CCY174" s="125"/>
      <c r="CCZ174" s="125"/>
      <c r="CDA174" s="125"/>
      <c r="CDB174" s="125"/>
      <c r="CDC174" s="125"/>
      <c r="CDD174" s="125"/>
      <c r="CDE174" s="125"/>
      <c r="CDF174" s="125"/>
      <c r="CDG174" s="125"/>
      <c r="CDH174" s="125"/>
      <c r="CDI174" s="125"/>
      <c r="CDJ174" s="125"/>
      <c r="CDK174" s="125"/>
      <c r="CDL174" s="125"/>
      <c r="CDM174" s="125"/>
      <c r="CDN174" s="125"/>
      <c r="CDO174" s="125"/>
      <c r="CDP174" s="125"/>
      <c r="CDQ174" s="125"/>
      <c r="CDR174" s="125"/>
      <c r="CDS174" s="125"/>
      <c r="CDT174" s="125"/>
      <c r="CDU174" s="125"/>
      <c r="CDV174" s="125"/>
      <c r="CDW174" s="125"/>
      <c r="CDX174" s="125"/>
      <c r="CDY174" s="125"/>
      <c r="CDZ174" s="125"/>
      <c r="CEA174" s="125"/>
      <c r="CEB174" s="125"/>
      <c r="CEC174" s="125"/>
      <c r="CED174" s="125"/>
      <c r="CEE174" s="125"/>
      <c r="CEF174" s="125"/>
      <c r="CEG174" s="125"/>
      <c r="CEH174" s="125"/>
      <c r="CEI174" s="125"/>
      <c r="CEJ174" s="125"/>
      <c r="CEK174" s="125"/>
      <c r="CEL174" s="125"/>
      <c r="CEM174" s="125"/>
      <c r="CEN174" s="125"/>
      <c r="CEO174" s="125"/>
      <c r="CEP174" s="125"/>
      <c r="CEQ174" s="125"/>
      <c r="CER174" s="125"/>
      <c r="CES174" s="125"/>
      <c r="CET174" s="125"/>
      <c r="CEU174" s="125"/>
      <c r="CEV174" s="125"/>
      <c r="CEW174" s="125"/>
      <c r="CEX174" s="125"/>
      <c r="CEY174" s="125"/>
      <c r="CEZ174" s="125"/>
      <c r="CFA174" s="125"/>
      <c r="CFB174" s="125"/>
      <c r="CFC174" s="125"/>
      <c r="CFD174" s="125"/>
      <c r="CFE174" s="125"/>
      <c r="CFF174" s="125"/>
      <c r="CFG174" s="125"/>
      <c r="CFH174" s="125"/>
      <c r="CFI174" s="125"/>
      <c r="CFJ174" s="125"/>
      <c r="CFK174" s="125"/>
      <c r="CFL174" s="125"/>
      <c r="CFM174" s="125"/>
      <c r="CFN174" s="125"/>
      <c r="CFO174" s="125"/>
      <c r="CFP174" s="125"/>
      <c r="CFQ174" s="125"/>
      <c r="CFR174" s="125"/>
      <c r="CFS174" s="125"/>
      <c r="CFT174" s="125"/>
      <c r="CFU174" s="125"/>
      <c r="CFV174" s="125"/>
      <c r="CFW174" s="125"/>
      <c r="CFX174" s="125"/>
      <c r="CFY174" s="125"/>
      <c r="CFZ174" s="125"/>
      <c r="CGA174" s="125"/>
      <c r="CGB174" s="125"/>
      <c r="CGC174" s="125"/>
      <c r="CGD174" s="125"/>
      <c r="CGE174" s="125"/>
      <c r="CGF174" s="125"/>
      <c r="CGG174" s="125"/>
      <c r="CGH174" s="125"/>
      <c r="CGI174" s="125"/>
      <c r="CGJ174" s="125"/>
      <c r="CGK174" s="125"/>
      <c r="CGL174" s="125"/>
      <c r="CGM174" s="125"/>
      <c r="CGN174" s="125"/>
      <c r="CGO174" s="125"/>
      <c r="CGP174" s="125"/>
      <c r="CGQ174" s="125"/>
      <c r="CGR174" s="125"/>
      <c r="CGS174" s="125"/>
      <c r="CGT174" s="125"/>
      <c r="CGU174" s="125"/>
      <c r="CGV174" s="125"/>
      <c r="CGW174" s="125"/>
      <c r="CGX174" s="125"/>
      <c r="CGY174" s="125"/>
      <c r="CGZ174" s="125"/>
      <c r="CHA174" s="125"/>
      <c r="CHB174" s="125"/>
      <c r="CHC174" s="125"/>
      <c r="CHD174" s="125"/>
      <c r="CHE174" s="125"/>
      <c r="CHF174" s="125"/>
      <c r="CHG174" s="125"/>
      <c r="CHH174" s="125"/>
      <c r="CHI174" s="125"/>
      <c r="CHJ174" s="125"/>
      <c r="CHK174" s="125"/>
      <c r="CHL174" s="125"/>
      <c r="CHM174" s="125"/>
      <c r="CHN174" s="125"/>
      <c r="CHO174" s="125"/>
      <c r="CHP174" s="125"/>
      <c r="CHQ174" s="125"/>
      <c r="CHR174" s="125"/>
      <c r="CHS174" s="125"/>
      <c r="CHT174" s="125"/>
      <c r="CHU174" s="125"/>
      <c r="CHV174" s="125"/>
      <c r="CHW174" s="125"/>
      <c r="CHX174" s="125"/>
      <c r="CHY174" s="125"/>
      <c r="CHZ174" s="125"/>
      <c r="CIA174" s="125"/>
      <c r="CIB174" s="125"/>
      <c r="CIC174" s="125"/>
      <c r="CID174" s="125"/>
      <c r="CIE174" s="125"/>
      <c r="CIF174" s="125"/>
      <c r="CIG174" s="125"/>
      <c r="CIH174" s="125"/>
      <c r="CII174" s="125"/>
      <c r="CIJ174" s="125"/>
      <c r="CIK174" s="125"/>
      <c r="CIL174" s="125"/>
      <c r="CIM174" s="125"/>
      <c r="CIN174" s="125"/>
      <c r="CIO174" s="125"/>
      <c r="CIP174" s="125"/>
      <c r="CIQ174" s="125"/>
      <c r="CIR174" s="125"/>
      <c r="CIS174" s="125"/>
      <c r="CIT174" s="125"/>
      <c r="CIU174" s="125"/>
      <c r="CIV174" s="125"/>
      <c r="CIW174" s="125"/>
      <c r="CIX174" s="125"/>
      <c r="CIY174" s="125"/>
      <c r="CIZ174" s="125"/>
      <c r="CJA174" s="125"/>
      <c r="CJB174" s="125"/>
      <c r="CJC174" s="125"/>
      <c r="CJD174" s="125"/>
      <c r="CJE174" s="125"/>
      <c r="CJF174" s="125"/>
      <c r="CJG174" s="125"/>
      <c r="CJH174" s="125"/>
      <c r="CJI174" s="125"/>
      <c r="CJJ174" s="125"/>
      <c r="CJK174" s="125"/>
      <c r="CJL174" s="125"/>
      <c r="CJM174" s="125"/>
      <c r="CJN174" s="125"/>
      <c r="CJO174" s="125"/>
      <c r="CJP174" s="125"/>
      <c r="CJQ174" s="125"/>
      <c r="CJR174" s="125"/>
      <c r="CJS174" s="125"/>
      <c r="CJT174" s="125"/>
      <c r="CJU174" s="125"/>
      <c r="CJV174" s="125"/>
      <c r="CJW174" s="125"/>
      <c r="CJX174" s="125"/>
      <c r="CJY174" s="125"/>
      <c r="CJZ174" s="125"/>
      <c r="CKA174" s="125"/>
      <c r="CKB174" s="125"/>
      <c r="CKC174" s="125"/>
      <c r="CKD174" s="125"/>
      <c r="CKE174" s="125"/>
      <c r="CKF174" s="125"/>
      <c r="CKG174" s="125"/>
      <c r="CKH174" s="125"/>
      <c r="CKI174" s="125"/>
      <c r="CKJ174" s="125"/>
      <c r="CKK174" s="125"/>
      <c r="CKL174" s="125"/>
      <c r="CKM174" s="125"/>
      <c r="CKN174" s="125"/>
      <c r="CKO174" s="125"/>
      <c r="CKP174" s="125"/>
      <c r="CKQ174" s="125"/>
      <c r="CKR174" s="125"/>
      <c r="CKS174" s="125"/>
      <c r="CKT174" s="125"/>
      <c r="CKU174" s="125"/>
      <c r="CKV174" s="125"/>
      <c r="CKW174" s="125"/>
      <c r="CKX174" s="125"/>
      <c r="CKY174" s="125"/>
      <c r="CKZ174" s="125"/>
      <c r="CLA174" s="125"/>
      <c r="CLB174" s="125"/>
      <c r="CLC174" s="125"/>
      <c r="CLD174" s="125"/>
      <c r="CLE174" s="125"/>
      <c r="CLF174" s="125"/>
      <c r="CLG174" s="125"/>
      <c r="CLH174" s="125"/>
      <c r="CLI174" s="125"/>
      <c r="CLJ174" s="125"/>
      <c r="CLK174" s="125"/>
      <c r="CLL174" s="125"/>
      <c r="CLM174" s="125"/>
      <c r="CLN174" s="125"/>
      <c r="CLO174" s="125"/>
      <c r="CLP174" s="125"/>
      <c r="CLQ174" s="125"/>
      <c r="CLR174" s="125"/>
      <c r="CLS174" s="125"/>
      <c r="CLT174" s="125"/>
      <c r="CLU174" s="125"/>
      <c r="CLV174" s="125"/>
      <c r="CLW174" s="125"/>
      <c r="CLX174" s="125"/>
      <c r="CLY174" s="125"/>
      <c r="CLZ174" s="125"/>
      <c r="CMA174" s="125"/>
      <c r="CMB174" s="125"/>
      <c r="CMC174" s="125"/>
      <c r="CMD174" s="125"/>
      <c r="CME174" s="125"/>
      <c r="CMF174" s="125"/>
      <c r="CMG174" s="125"/>
      <c r="CMH174" s="125"/>
      <c r="CMI174" s="125"/>
      <c r="CMJ174" s="125"/>
      <c r="CMK174" s="125"/>
      <c r="CML174" s="125"/>
      <c r="CMM174" s="125"/>
      <c r="CMN174" s="125"/>
      <c r="CMO174" s="125"/>
      <c r="CMP174" s="125"/>
      <c r="CMQ174" s="125"/>
      <c r="CMR174" s="125"/>
      <c r="CMS174" s="125"/>
      <c r="CMT174" s="125"/>
      <c r="CMU174" s="125"/>
      <c r="CMV174" s="125"/>
      <c r="CMW174" s="125"/>
      <c r="CMX174" s="125"/>
      <c r="CMY174" s="125"/>
      <c r="CMZ174" s="125"/>
      <c r="CNA174" s="125"/>
      <c r="CNB174" s="125"/>
      <c r="CNC174" s="125"/>
      <c r="CND174" s="125"/>
      <c r="CNE174" s="125"/>
      <c r="CNF174" s="125"/>
      <c r="CNG174" s="125"/>
      <c r="CNH174" s="125"/>
      <c r="CNI174" s="125"/>
      <c r="CNJ174" s="125"/>
      <c r="CNK174" s="125"/>
      <c r="CNL174" s="125"/>
      <c r="CNM174" s="125"/>
      <c r="CNN174" s="125"/>
      <c r="CNO174" s="125"/>
      <c r="CNP174" s="125"/>
      <c r="CNQ174" s="125"/>
      <c r="CNR174" s="125"/>
      <c r="CNS174" s="125"/>
      <c r="CNT174" s="125"/>
      <c r="CNU174" s="125"/>
      <c r="CNV174" s="125"/>
      <c r="CNW174" s="125"/>
      <c r="CNX174" s="125"/>
      <c r="CNY174" s="125"/>
      <c r="CNZ174" s="125"/>
      <c r="COA174" s="125"/>
      <c r="COB174" s="125"/>
      <c r="COC174" s="125"/>
      <c r="COD174" s="125"/>
      <c r="COE174" s="125"/>
      <c r="COF174" s="125"/>
      <c r="COG174" s="125"/>
      <c r="COH174" s="125"/>
      <c r="COI174" s="125"/>
      <c r="COJ174" s="125"/>
      <c r="COK174" s="125"/>
      <c r="COL174" s="125"/>
      <c r="COM174" s="125"/>
      <c r="CON174" s="125"/>
      <c r="COO174" s="125"/>
      <c r="COP174" s="125"/>
      <c r="COQ174" s="125"/>
      <c r="COR174" s="125"/>
      <c r="COS174" s="125"/>
      <c r="COT174" s="125"/>
      <c r="COU174" s="125"/>
      <c r="COV174" s="125"/>
      <c r="COW174" s="125"/>
      <c r="COX174" s="125"/>
      <c r="COY174" s="125"/>
      <c r="COZ174" s="125"/>
      <c r="CPA174" s="125"/>
      <c r="CPB174" s="125"/>
      <c r="CPC174" s="125"/>
      <c r="CPD174" s="125"/>
      <c r="CPE174" s="125"/>
      <c r="CPF174" s="125"/>
      <c r="CPG174" s="125"/>
      <c r="CPH174" s="125"/>
      <c r="CPI174" s="125"/>
      <c r="CPJ174" s="125"/>
      <c r="CPK174" s="125"/>
      <c r="CPL174" s="125"/>
      <c r="CPM174" s="125"/>
      <c r="CPN174" s="125"/>
      <c r="CPO174" s="125"/>
      <c r="CPP174" s="125"/>
      <c r="CPQ174" s="125"/>
      <c r="CPR174" s="125"/>
      <c r="CPS174" s="125"/>
      <c r="CPT174" s="125"/>
      <c r="CPU174" s="125"/>
      <c r="CPV174" s="125"/>
      <c r="CPW174" s="125"/>
      <c r="CPX174" s="125"/>
      <c r="CPY174" s="125"/>
      <c r="CPZ174" s="125"/>
      <c r="CQA174" s="125"/>
      <c r="CQB174" s="125"/>
      <c r="CQC174" s="125"/>
      <c r="CQD174" s="125"/>
      <c r="CQE174" s="125"/>
      <c r="CQF174" s="125"/>
      <c r="CQG174" s="125"/>
      <c r="CQH174" s="125"/>
      <c r="CQI174" s="125"/>
      <c r="CQJ174" s="125"/>
      <c r="CQK174" s="125"/>
      <c r="CQL174" s="125"/>
      <c r="CQM174" s="125"/>
      <c r="CQN174" s="125"/>
      <c r="CQO174" s="125"/>
      <c r="CQP174" s="125"/>
      <c r="CQQ174" s="125"/>
      <c r="CQR174" s="125"/>
      <c r="CQS174" s="125"/>
      <c r="CQT174" s="125"/>
      <c r="CQU174" s="125"/>
      <c r="CQV174" s="125"/>
      <c r="CQW174" s="125"/>
      <c r="CQX174" s="125"/>
      <c r="CQY174" s="125"/>
      <c r="CQZ174" s="125"/>
      <c r="CRA174" s="125"/>
      <c r="CRB174" s="125"/>
      <c r="CRC174" s="125"/>
      <c r="CRD174" s="125"/>
      <c r="CRE174" s="125"/>
      <c r="CRF174" s="125"/>
      <c r="CRG174" s="125"/>
      <c r="CRH174" s="125"/>
      <c r="CRI174" s="125"/>
      <c r="CRJ174" s="125"/>
      <c r="CRK174" s="125"/>
      <c r="CRL174" s="125"/>
      <c r="CRM174" s="125"/>
      <c r="CRN174" s="125"/>
      <c r="CRO174" s="125"/>
      <c r="CRP174" s="125"/>
      <c r="CRQ174" s="125"/>
      <c r="CRR174" s="125"/>
      <c r="CRS174" s="125"/>
      <c r="CRT174" s="125"/>
      <c r="CRU174" s="125"/>
      <c r="CRV174" s="125"/>
      <c r="CRW174" s="125"/>
      <c r="CRX174" s="125"/>
      <c r="CRY174" s="125"/>
      <c r="CRZ174" s="125"/>
      <c r="CSA174" s="125"/>
      <c r="CSB174" s="125"/>
      <c r="CSC174" s="125"/>
      <c r="CSD174" s="125"/>
      <c r="CSE174" s="125"/>
      <c r="CSF174" s="125"/>
      <c r="CSG174" s="125"/>
      <c r="CSH174" s="125"/>
      <c r="CSI174" s="125"/>
      <c r="CSJ174" s="125"/>
      <c r="CSK174" s="125"/>
      <c r="CSL174" s="125"/>
      <c r="CSM174" s="125"/>
      <c r="CSN174" s="125"/>
      <c r="CSO174" s="125"/>
      <c r="CSP174" s="125"/>
      <c r="CSQ174" s="125"/>
      <c r="CSR174" s="125"/>
      <c r="CSS174" s="125"/>
      <c r="CST174" s="125"/>
      <c r="CSU174" s="125"/>
      <c r="CSV174" s="125"/>
      <c r="CSW174" s="125"/>
      <c r="CSX174" s="125"/>
      <c r="CSY174" s="125"/>
      <c r="CSZ174" s="125"/>
      <c r="CTA174" s="125"/>
      <c r="CTB174" s="125"/>
      <c r="CTC174" s="125"/>
      <c r="CTD174" s="125"/>
      <c r="CTE174" s="125"/>
      <c r="CTF174" s="125"/>
      <c r="CTG174" s="125"/>
      <c r="CTH174" s="125"/>
      <c r="CTI174" s="125"/>
      <c r="CTJ174" s="125"/>
      <c r="CTK174" s="125"/>
      <c r="CTL174" s="125"/>
      <c r="CTM174" s="125"/>
      <c r="CTN174" s="125"/>
      <c r="CTO174" s="125"/>
      <c r="CTP174" s="125"/>
      <c r="CTQ174" s="125"/>
      <c r="CTR174" s="125"/>
      <c r="CTS174" s="125"/>
      <c r="CTT174" s="125"/>
      <c r="CTU174" s="125"/>
      <c r="CTV174" s="125"/>
      <c r="CTW174" s="125"/>
      <c r="CTX174" s="125"/>
      <c r="CTY174" s="125"/>
      <c r="CTZ174" s="125"/>
      <c r="CUA174" s="125"/>
      <c r="CUB174" s="125"/>
      <c r="CUC174" s="125"/>
      <c r="CUD174" s="125"/>
      <c r="CUE174" s="125"/>
      <c r="CUF174" s="125"/>
      <c r="CUG174" s="125"/>
      <c r="CUH174" s="125"/>
      <c r="CUI174" s="125"/>
      <c r="CUJ174" s="125"/>
      <c r="CUK174" s="125"/>
      <c r="CUL174" s="125"/>
      <c r="CUM174" s="125"/>
      <c r="CUN174" s="125"/>
      <c r="CUO174" s="125"/>
      <c r="CUP174" s="125"/>
      <c r="CUQ174" s="125"/>
      <c r="CUR174" s="125"/>
      <c r="CUS174" s="125"/>
      <c r="CUT174" s="125"/>
      <c r="CUU174" s="125"/>
      <c r="CUV174" s="125"/>
      <c r="CUW174" s="125"/>
      <c r="CUX174" s="125"/>
      <c r="CUY174" s="125"/>
      <c r="CUZ174" s="125"/>
      <c r="CVA174" s="125"/>
      <c r="CVB174" s="125"/>
      <c r="CVC174" s="125"/>
      <c r="CVD174" s="125"/>
      <c r="CVE174" s="125"/>
      <c r="CVF174" s="125"/>
      <c r="CVG174" s="125"/>
      <c r="CVH174" s="125"/>
      <c r="CVI174" s="125"/>
      <c r="CVJ174" s="125"/>
      <c r="CVK174" s="125"/>
      <c r="CVL174" s="125"/>
      <c r="CVM174" s="125"/>
      <c r="CVN174" s="125"/>
      <c r="CVO174" s="125"/>
      <c r="CVP174" s="125"/>
      <c r="CVQ174" s="125"/>
      <c r="CVR174" s="125"/>
      <c r="CVS174" s="125"/>
      <c r="CVT174" s="125"/>
      <c r="CVU174" s="125"/>
      <c r="CVV174" s="125"/>
      <c r="CVW174" s="125"/>
      <c r="CVX174" s="125"/>
      <c r="CVY174" s="125"/>
      <c r="CVZ174" s="125"/>
      <c r="CWA174" s="125"/>
      <c r="CWB174" s="125"/>
      <c r="CWC174" s="125"/>
      <c r="CWD174" s="125"/>
      <c r="CWE174" s="125"/>
      <c r="CWF174" s="125"/>
      <c r="CWG174" s="125"/>
      <c r="CWH174" s="125"/>
      <c r="CWI174" s="125"/>
      <c r="CWJ174" s="125"/>
      <c r="CWK174" s="125"/>
      <c r="CWL174" s="125"/>
      <c r="CWM174" s="125"/>
      <c r="CWN174" s="125"/>
      <c r="CWO174" s="125"/>
      <c r="CWP174" s="125"/>
      <c r="CWQ174" s="125"/>
      <c r="CWR174" s="125"/>
      <c r="CWS174" s="125"/>
      <c r="CWT174" s="125"/>
      <c r="CWU174" s="125"/>
      <c r="CWV174" s="125"/>
      <c r="CWW174" s="125"/>
      <c r="CWX174" s="125"/>
      <c r="CWY174" s="125"/>
      <c r="CWZ174" s="125"/>
      <c r="CXA174" s="125"/>
      <c r="CXB174" s="125"/>
      <c r="CXC174" s="125"/>
      <c r="CXD174" s="125"/>
      <c r="CXE174" s="125"/>
      <c r="CXF174" s="125"/>
      <c r="CXG174" s="125"/>
      <c r="CXH174" s="125"/>
      <c r="CXI174" s="125"/>
      <c r="CXJ174" s="125"/>
      <c r="CXK174" s="125"/>
      <c r="CXL174" s="125"/>
      <c r="CXM174" s="125"/>
      <c r="CXN174" s="125"/>
      <c r="CXO174" s="125"/>
      <c r="CXP174" s="125"/>
      <c r="CXQ174" s="125"/>
      <c r="CXR174" s="125"/>
      <c r="CXS174" s="125"/>
      <c r="CXT174" s="125"/>
      <c r="CXU174" s="125"/>
      <c r="CXV174" s="125"/>
      <c r="CXW174" s="125"/>
      <c r="CXX174" s="125"/>
      <c r="CXY174" s="125"/>
      <c r="CXZ174" s="125"/>
      <c r="CYA174" s="125"/>
      <c r="CYB174" s="125"/>
      <c r="CYC174" s="125"/>
      <c r="CYD174" s="125"/>
      <c r="CYE174" s="125"/>
      <c r="CYF174" s="125"/>
      <c r="CYG174" s="125"/>
      <c r="CYH174" s="125"/>
      <c r="CYI174" s="125"/>
      <c r="CYJ174" s="125"/>
      <c r="CYK174" s="125"/>
      <c r="CYL174" s="125"/>
      <c r="CYM174" s="125"/>
      <c r="CYN174" s="125"/>
      <c r="CYO174" s="125"/>
      <c r="CYP174" s="125"/>
      <c r="CYQ174" s="125"/>
      <c r="CYR174" s="125"/>
      <c r="CYS174" s="125"/>
      <c r="CYT174" s="125"/>
      <c r="CYU174" s="125"/>
      <c r="CYV174" s="125"/>
      <c r="CYW174" s="125"/>
      <c r="CYX174" s="125"/>
      <c r="CYY174" s="125"/>
      <c r="CYZ174" s="125"/>
      <c r="CZA174" s="125"/>
      <c r="CZB174" s="125"/>
      <c r="CZC174" s="125"/>
      <c r="CZD174" s="125"/>
      <c r="CZE174" s="125"/>
      <c r="CZF174" s="125"/>
      <c r="CZG174" s="125"/>
      <c r="CZH174" s="125"/>
      <c r="CZI174" s="125"/>
      <c r="CZJ174" s="125"/>
      <c r="CZK174" s="125"/>
      <c r="CZL174" s="125"/>
      <c r="CZM174" s="125"/>
      <c r="CZN174" s="125"/>
      <c r="CZO174" s="125"/>
      <c r="CZP174" s="125"/>
      <c r="CZQ174" s="125"/>
      <c r="CZR174" s="125"/>
      <c r="CZS174" s="125"/>
      <c r="CZT174" s="125"/>
      <c r="CZU174" s="125"/>
      <c r="CZV174" s="125"/>
      <c r="CZW174" s="125"/>
      <c r="CZX174" s="125"/>
      <c r="CZY174" s="125"/>
      <c r="CZZ174" s="125"/>
      <c r="DAA174" s="125"/>
      <c r="DAB174" s="125"/>
      <c r="DAC174" s="125"/>
      <c r="DAD174" s="125"/>
      <c r="DAE174" s="125"/>
      <c r="DAF174" s="125"/>
      <c r="DAG174" s="125"/>
      <c r="DAH174" s="125"/>
      <c r="DAI174" s="125"/>
      <c r="DAJ174" s="125"/>
      <c r="DAK174" s="125"/>
      <c r="DAL174" s="125"/>
      <c r="DAM174" s="125"/>
      <c r="DAN174" s="125"/>
      <c r="DAO174" s="125"/>
      <c r="DAP174" s="125"/>
      <c r="DAQ174" s="125"/>
      <c r="DAR174" s="125"/>
      <c r="DAS174" s="125"/>
      <c r="DAT174" s="125"/>
      <c r="DAU174" s="125"/>
      <c r="DAV174" s="125"/>
      <c r="DAW174" s="125"/>
      <c r="DAX174" s="125"/>
      <c r="DAY174" s="125"/>
      <c r="DAZ174" s="125"/>
      <c r="DBA174" s="125"/>
      <c r="DBB174" s="125"/>
      <c r="DBC174" s="125"/>
      <c r="DBD174" s="125"/>
      <c r="DBE174" s="125"/>
      <c r="DBF174" s="125"/>
      <c r="DBG174" s="125"/>
      <c r="DBH174" s="125"/>
      <c r="DBI174" s="125"/>
      <c r="DBJ174" s="125"/>
      <c r="DBK174" s="125"/>
      <c r="DBL174" s="125"/>
      <c r="DBM174" s="125"/>
      <c r="DBN174" s="125"/>
      <c r="DBO174" s="125"/>
      <c r="DBP174" s="125"/>
      <c r="DBQ174" s="125"/>
      <c r="DBR174" s="125"/>
      <c r="DBS174" s="125"/>
      <c r="DBT174" s="125"/>
      <c r="DBU174" s="125"/>
      <c r="DBV174" s="125"/>
      <c r="DBW174" s="125"/>
      <c r="DBX174" s="125"/>
      <c r="DBY174" s="125"/>
      <c r="DBZ174" s="125"/>
      <c r="DCA174" s="125"/>
      <c r="DCB174" s="125"/>
      <c r="DCC174" s="125"/>
      <c r="DCD174" s="125"/>
      <c r="DCE174" s="125"/>
      <c r="DCF174" s="125"/>
      <c r="DCG174" s="125"/>
      <c r="DCH174" s="125"/>
      <c r="DCI174" s="125"/>
      <c r="DCJ174" s="125"/>
      <c r="DCK174" s="125"/>
      <c r="DCL174" s="125"/>
      <c r="DCM174" s="125"/>
      <c r="DCN174" s="125"/>
      <c r="DCO174" s="125"/>
      <c r="DCP174" s="125"/>
      <c r="DCQ174" s="125"/>
      <c r="DCR174" s="125"/>
      <c r="DCS174" s="125"/>
      <c r="DCT174" s="125"/>
      <c r="DCU174" s="125"/>
      <c r="DCV174" s="125"/>
      <c r="DCW174" s="125"/>
      <c r="DCX174" s="125"/>
      <c r="DCY174" s="125"/>
      <c r="DCZ174" s="125"/>
      <c r="DDA174" s="125"/>
      <c r="DDB174" s="125"/>
      <c r="DDC174" s="125"/>
      <c r="DDD174" s="125"/>
      <c r="DDE174" s="125"/>
      <c r="DDF174" s="125"/>
      <c r="DDG174" s="125"/>
      <c r="DDH174" s="125"/>
      <c r="DDI174" s="125"/>
      <c r="DDJ174" s="125"/>
      <c r="DDK174" s="125"/>
      <c r="DDL174" s="125"/>
      <c r="DDM174" s="125"/>
      <c r="DDN174" s="125"/>
      <c r="DDO174" s="125"/>
      <c r="DDP174" s="125"/>
      <c r="DDQ174" s="125"/>
      <c r="DDR174" s="125"/>
      <c r="DDS174" s="125"/>
      <c r="DDT174" s="125"/>
      <c r="DDU174" s="125"/>
      <c r="DDV174" s="125"/>
      <c r="DDW174" s="125"/>
      <c r="DDX174" s="125"/>
      <c r="DDY174" s="125"/>
      <c r="DDZ174" s="125"/>
      <c r="DEA174" s="125"/>
      <c r="DEB174" s="125"/>
      <c r="DEC174" s="125"/>
      <c r="DED174" s="125"/>
      <c r="DEE174" s="125"/>
      <c r="DEF174" s="125"/>
      <c r="DEG174" s="125"/>
      <c r="DEH174" s="125"/>
      <c r="DEI174" s="125"/>
      <c r="DEJ174" s="125"/>
      <c r="DEK174" s="125"/>
      <c r="DEL174" s="125"/>
      <c r="DEM174" s="125"/>
      <c r="DEN174" s="125"/>
      <c r="DEO174" s="125"/>
      <c r="DEP174" s="125"/>
      <c r="DEQ174" s="125"/>
      <c r="DER174" s="125"/>
      <c r="DES174" s="125"/>
      <c r="DET174" s="125"/>
      <c r="DEU174" s="125"/>
      <c r="DEV174" s="125"/>
      <c r="DEW174" s="125"/>
      <c r="DEX174" s="125"/>
      <c r="DEY174" s="125"/>
      <c r="DEZ174" s="125"/>
      <c r="DFA174" s="125"/>
      <c r="DFB174" s="125"/>
      <c r="DFC174" s="125"/>
      <c r="DFD174" s="125"/>
      <c r="DFE174" s="125"/>
      <c r="DFF174" s="125"/>
      <c r="DFG174" s="125"/>
      <c r="DFH174" s="125"/>
      <c r="DFI174" s="125"/>
      <c r="DFJ174" s="125"/>
      <c r="DFK174" s="125"/>
      <c r="DFL174" s="125"/>
      <c r="DFM174" s="125"/>
      <c r="DFN174" s="125"/>
      <c r="DFO174" s="125"/>
      <c r="DFP174" s="125"/>
      <c r="DFQ174" s="125"/>
      <c r="DFR174" s="125"/>
      <c r="DFS174" s="125"/>
      <c r="DFT174" s="125"/>
      <c r="DFU174" s="125"/>
      <c r="DFV174" s="125"/>
      <c r="DFW174" s="125"/>
      <c r="DFX174" s="125"/>
      <c r="DFY174" s="125"/>
      <c r="DFZ174" s="125"/>
      <c r="DGA174" s="125"/>
      <c r="DGB174" s="125"/>
      <c r="DGC174" s="125"/>
      <c r="DGD174" s="125"/>
      <c r="DGE174" s="125"/>
      <c r="DGF174" s="125"/>
      <c r="DGG174" s="125"/>
      <c r="DGH174" s="125"/>
      <c r="DGI174" s="125"/>
      <c r="DGJ174" s="125"/>
      <c r="DGK174" s="125"/>
      <c r="DGL174" s="125"/>
      <c r="DGM174" s="125"/>
      <c r="DGN174" s="125"/>
      <c r="DGO174" s="125"/>
      <c r="DGP174" s="125"/>
      <c r="DGQ174" s="125"/>
      <c r="DGR174" s="125"/>
      <c r="DGS174" s="125"/>
      <c r="DGT174" s="125"/>
      <c r="DGU174" s="125"/>
      <c r="DGV174" s="125"/>
      <c r="DGW174" s="125"/>
      <c r="DGX174" s="125"/>
      <c r="DGY174" s="125"/>
      <c r="DGZ174" s="125"/>
      <c r="DHA174" s="125"/>
      <c r="DHB174" s="125"/>
      <c r="DHC174" s="125"/>
      <c r="DHD174" s="125"/>
      <c r="DHE174" s="125"/>
      <c r="DHF174" s="125"/>
      <c r="DHG174" s="125"/>
      <c r="DHH174" s="125"/>
      <c r="DHI174" s="125"/>
      <c r="DHJ174" s="125"/>
      <c r="DHK174" s="125"/>
      <c r="DHL174" s="125"/>
      <c r="DHM174" s="125"/>
      <c r="DHN174" s="125"/>
      <c r="DHO174" s="125"/>
      <c r="DHP174" s="125"/>
      <c r="DHQ174" s="125"/>
      <c r="DHR174" s="125"/>
      <c r="DHS174" s="125"/>
      <c r="DHT174" s="125"/>
      <c r="DHU174" s="125"/>
      <c r="DHV174" s="125"/>
      <c r="DHW174" s="125"/>
      <c r="DHX174" s="125"/>
      <c r="DHY174" s="125"/>
      <c r="DHZ174" s="125"/>
      <c r="DIA174" s="125"/>
      <c r="DIB174" s="125"/>
      <c r="DIC174" s="125"/>
      <c r="DID174" s="125"/>
      <c r="DIE174" s="125"/>
      <c r="DIF174" s="125"/>
      <c r="DIG174" s="125"/>
      <c r="DIH174" s="125"/>
      <c r="DII174" s="125"/>
      <c r="DIJ174" s="125"/>
      <c r="DIK174" s="125"/>
      <c r="DIL174" s="125"/>
      <c r="DIM174" s="125"/>
      <c r="DIN174" s="125"/>
      <c r="DIO174" s="125"/>
      <c r="DIP174" s="125"/>
      <c r="DIQ174" s="125"/>
      <c r="DIR174" s="125"/>
      <c r="DIS174" s="125"/>
      <c r="DIT174" s="125"/>
      <c r="DIU174" s="125"/>
      <c r="DIV174" s="125"/>
      <c r="DIW174" s="125"/>
      <c r="DIX174" s="125"/>
      <c r="DIY174" s="125"/>
      <c r="DIZ174" s="125"/>
      <c r="DJA174" s="125"/>
      <c r="DJB174" s="125"/>
      <c r="DJC174" s="125"/>
      <c r="DJD174" s="125"/>
      <c r="DJE174" s="125"/>
      <c r="DJF174" s="125"/>
      <c r="DJG174" s="125"/>
      <c r="DJH174" s="125"/>
      <c r="DJI174" s="125"/>
      <c r="DJJ174" s="125"/>
      <c r="DJK174" s="125"/>
      <c r="DJL174" s="125"/>
      <c r="DJM174" s="125"/>
      <c r="DJN174" s="125"/>
      <c r="DJO174" s="125"/>
      <c r="DJP174" s="125"/>
      <c r="DJQ174" s="125"/>
      <c r="DJR174" s="125"/>
      <c r="DJS174" s="125"/>
      <c r="DJT174" s="125"/>
      <c r="DJU174" s="125"/>
      <c r="DJV174" s="125"/>
      <c r="DJW174" s="125"/>
      <c r="DJX174" s="125"/>
      <c r="DJY174" s="125"/>
      <c r="DJZ174" s="125"/>
      <c r="DKA174" s="125"/>
      <c r="DKB174" s="125"/>
      <c r="DKC174" s="125"/>
      <c r="DKD174" s="125"/>
      <c r="DKE174" s="125"/>
      <c r="DKF174" s="125"/>
      <c r="DKG174" s="125"/>
      <c r="DKH174" s="125"/>
      <c r="DKI174" s="125"/>
      <c r="DKJ174" s="125"/>
      <c r="DKK174" s="125"/>
      <c r="DKL174" s="125"/>
      <c r="DKM174" s="125"/>
      <c r="DKN174" s="125"/>
      <c r="DKO174" s="125"/>
      <c r="DKP174" s="125"/>
      <c r="DKQ174" s="125"/>
      <c r="DKR174" s="125"/>
      <c r="DKS174" s="125"/>
      <c r="DKT174" s="125"/>
      <c r="DKU174" s="125"/>
      <c r="DKV174" s="125"/>
      <c r="DKW174" s="125"/>
      <c r="DKX174" s="125"/>
      <c r="DKY174" s="125"/>
      <c r="DKZ174" s="125"/>
      <c r="DLA174" s="125"/>
      <c r="DLB174" s="125"/>
      <c r="DLC174" s="125"/>
      <c r="DLD174" s="125"/>
      <c r="DLE174" s="125"/>
      <c r="DLF174" s="125"/>
      <c r="DLG174" s="125"/>
      <c r="DLH174" s="125"/>
      <c r="DLI174" s="125"/>
      <c r="DLJ174" s="125"/>
      <c r="DLK174" s="125"/>
      <c r="DLL174" s="125"/>
      <c r="DLM174" s="125"/>
      <c r="DLN174" s="125"/>
      <c r="DLO174" s="125"/>
      <c r="DLP174" s="125"/>
      <c r="DLQ174" s="125"/>
      <c r="DLR174" s="125"/>
      <c r="DLS174" s="125"/>
      <c r="DLT174" s="125"/>
      <c r="DLU174" s="125"/>
      <c r="DLV174" s="125"/>
      <c r="DLW174" s="125"/>
      <c r="DLX174" s="125"/>
      <c r="DLY174" s="125"/>
      <c r="DLZ174" s="125"/>
      <c r="DMA174" s="125"/>
      <c r="DMB174" s="125"/>
      <c r="DMC174" s="125"/>
      <c r="DMD174" s="125"/>
      <c r="DME174" s="125"/>
      <c r="DMF174" s="125"/>
      <c r="DMG174" s="125"/>
      <c r="DMH174" s="125"/>
      <c r="DMI174" s="125"/>
      <c r="DMJ174" s="125"/>
      <c r="DMK174" s="125"/>
      <c r="DML174" s="125"/>
      <c r="DMM174" s="125"/>
      <c r="DMN174" s="125"/>
      <c r="DMO174" s="125"/>
      <c r="DMP174" s="125"/>
      <c r="DMQ174" s="125"/>
      <c r="DMR174" s="125"/>
      <c r="DMS174" s="125"/>
      <c r="DMT174" s="125"/>
      <c r="DMU174" s="125"/>
      <c r="DMV174" s="125"/>
      <c r="DMW174" s="125"/>
      <c r="DMX174" s="125"/>
      <c r="DMY174" s="125"/>
      <c r="DMZ174" s="125"/>
      <c r="DNA174" s="125"/>
      <c r="DNB174" s="125"/>
      <c r="DNC174" s="125"/>
      <c r="DND174" s="125"/>
      <c r="DNE174" s="125"/>
      <c r="DNF174" s="125"/>
      <c r="DNG174" s="125"/>
      <c r="DNH174" s="125"/>
      <c r="DNI174" s="125"/>
      <c r="DNJ174" s="125"/>
      <c r="DNK174" s="125"/>
      <c r="DNL174" s="125"/>
      <c r="DNM174" s="125"/>
      <c r="DNN174" s="125"/>
      <c r="DNO174" s="125"/>
      <c r="DNP174" s="125"/>
      <c r="DNQ174" s="125"/>
      <c r="DNR174" s="125"/>
      <c r="DNS174" s="125"/>
      <c r="DNT174" s="125"/>
      <c r="DNU174" s="125"/>
      <c r="DNV174" s="125"/>
      <c r="DNW174" s="125"/>
      <c r="DNX174" s="125"/>
      <c r="DNY174" s="125"/>
      <c r="DNZ174" s="125"/>
      <c r="DOA174" s="125"/>
      <c r="DOB174" s="125"/>
      <c r="DOC174" s="125"/>
      <c r="DOD174" s="125"/>
      <c r="DOE174" s="125"/>
      <c r="DOF174" s="125"/>
      <c r="DOG174" s="125"/>
      <c r="DOH174" s="125"/>
      <c r="DOI174" s="125"/>
      <c r="DOJ174" s="125"/>
      <c r="DOK174" s="125"/>
      <c r="DOL174" s="125"/>
      <c r="DOM174" s="125"/>
      <c r="DON174" s="125"/>
      <c r="DOO174" s="125"/>
      <c r="DOP174" s="125"/>
      <c r="DOQ174" s="125"/>
      <c r="DOR174" s="125"/>
      <c r="DOS174" s="125"/>
      <c r="DOT174" s="125"/>
      <c r="DOU174" s="125"/>
      <c r="DOV174" s="125"/>
      <c r="DOW174" s="125"/>
      <c r="DOX174" s="125"/>
      <c r="DOY174" s="125"/>
      <c r="DOZ174" s="125"/>
      <c r="DPA174" s="125"/>
      <c r="DPB174" s="125"/>
      <c r="DPC174" s="125"/>
      <c r="DPD174" s="125"/>
      <c r="DPE174" s="125"/>
      <c r="DPF174" s="125"/>
      <c r="DPG174" s="125"/>
      <c r="DPH174" s="125"/>
      <c r="DPI174" s="125"/>
      <c r="DPJ174" s="125"/>
      <c r="DPK174" s="125"/>
      <c r="DPL174" s="125"/>
      <c r="DPM174" s="125"/>
      <c r="DPN174" s="125"/>
      <c r="DPO174" s="125"/>
      <c r="DPP174" s="125"/>
      <c r="DPQ174" s="125"/>
      <c r="DPR174" s="125"/>
      <c r="DPS174" s="125"/>
      <c r="DPT174" s="125"/>
      <c r="DPU174" s="125"/>
      <c r="DPV174" s="125"/>
      <c r="DPW174" s="125"/>
      <c r="DPX174" s="125"/>
      <c r="DPY174" s="125"/>
      <c r="DPZ174" s="125"/>
      <c r="DQA174" s="125"/>
      <c r="DQB174" s="125"/>
      <c r="DQC174" s="125"/>
      <c r="DQD174" s="125"/>
      <c r="DQE174" s="125"/>
      <c r="DQF174" s="125"/>
      <c r="DQG174" s="125"/>
      <c r="DQH174" s="125"/>
      <c r="DQI174" s="125"/>
      <c r="DQJ174" s="125"/>
      <c r="DQK174" s="125"/>
      <c r="DQL174" s="125"/>
      <c r="DQM174" s="125"/>
      <c r="DQN174" s="125"/>
      <c r="DQO174" s="125"/>
      <c r="DQP174" s="125"/>
      <c r="DQQ174" s="125"/>
      <c r="DQR174" s="125"/>
      <c r="DQS174" s="125"/>
      <c r="DQT174" s="125"/>
      <c r="DQU174" s="125"/>
      <c r="DQV174" s="125"/>
      <c r="DQW174" s="125"/>
      <c r="DQX174" s="125"/>
      <c r="DQY174" s="125"/>
      <c r="DQZ174" s="125"/>
      <c r="DRA174" s="125"/>
      <c r="DRB174" s="125"/>
      <c r="DRC174" s="125"/>
      <c r="DRD174" s="125"/>
      <c r="DRE174" s="125"/>
      <c r="DRF174" s="125"/>
      <c r="DRG174" s="125"/>
      <c r="DRH174" s="125"/>
      <c r="DRI174" s="125"/>
      <c r="DRJ174" s="125"/>
      <c r="DRK174" s="125"/>
      <c r="DRL174" s="125"/>
      <c r="DRM174" s="125"/>
      <c r="DRN174" s="125"/>
      <c r="DRO174" s="125"/>
      <c r="DRP174" s="125"/>
      <c r="DRQ174" s="125"/>
      <c r="DRR174" s="125"/>
      <c r="DRS174" s="125"/>
      <c r="DRT174" s="125"/>
      <c r="DRU174" s="125"/>
      <c r="DRV174" s="125"/>
      <c r="DRW174" s="125"/>
      <c r="DRX174" s="125"/>
      <c r="DRY174" s="125"/>
      <c r="DRZ174" s="125"/>
      <c r="DSA174" s="125"/>
      <c r="DSB174" s="125"/>
      <c r="DSC174" s="125"/>
      <c r="DSD174" s="125"/>
      <c r="DSE174" s="125"/>
      <c r="DSF174" s="125"/>
      <c r="DSG174" s="125"/>
      <c r="DSH174" s="125"/>
      <c r="DSI174" s="125"/>
      <c r="DSJ174" s="125"/>
      <c r="DSK174" s="125"/>
      <c r="DSL174" s="125"/>
      <c r="DSM174" s="125"/>
      <c r="DSN174" s="125"/>
      <c r="DSO174" s="125"/>
      <c r="DSP174" s="125"/>
      <c r="DSQ174" s="125"/>
      <c r="DSR174" s="125"/>
      <c r="DSS174" s="125"/>
      <c r="DST174" s="125"/>
      <c r="DSU174" s="125"/>
      <c r="DSV174" s="125"/>
      <c r="DSW174" s="125"/>
      <c r="DSX174" s="125"/>
      <c r="DSY174" s="125"/>
      <c r="DSZ174" s="125"/>
      <c r="DTA174" s="125"/>
      <c r="DTB174" s="125"/>
      <c r="DTC174" s="125"/>
      <c r="DTD174" s="125"/>
      <c r="DTE174" s="125"/>
      <c r="DTF174" s="125"/>
      <c r="DTG174" s="125"/>
      <c r="DTH174" s="125"/>
      <c r="DTI174" s="125"/>
      <c r="DTJ174" s="125"/>
      <c r="DTK174" s="125"/>
      <c r="DTL174" s="125"/>
      <c r="DTM174" s="125"/>
      <c r="DTN174" s="125"/>
      <c r="DTO174" s="125"/>
      <c r="DTP174" s="125"/>
      <c r="DTQ174" s="125"/>
      <c r="DTR174" s="125"/>
      <c r="DTS174" s="125"/>
      <c r="DTT174" s="125"/>
      <c r="DTU174" s="125"/>
      <c r="DTV174" s="125"/>
      <c r="DTW174" s="125"/>
      <c r="DTX174" s="125"/>
      <c r="DTY174" s="125"/>
      <c r="DTZ174" s="125"/>
      <c r="DUA174" s="125"/>
      <c r="DUB174" s="125"/>
      <c r="DUC174" s="125"/>
      <c r="DUD174" s="125"/>
      <c r="DUE174" s="125"/>
      <c r="DUF174" s="125"/>
      <c r="DUG174" s="125"/>
      <c r="DUH174" s="125"/>
      <c r="DUI174" s="125"/>
      <c r="DUJ174" s="125"/>
      <c r="DUK174" s="125"/>
      <c r="DUL174" s="125"/>
      <c r="DUM174" s="125"/>
      <c r="DUN174" s="125"/>
      <c r="DUO174" s="125"/>
      <c r="DUP174" s="125"/>
      <c r="DUQ174" s="125"/>
      <c r="DUR174" s="125"/>
      <c r="DUS174" s="125"/>
      <c r="DUT174" s="125"/>
      <c r="DUU174" s="125"/>
      <c r="DUV174" s="125"/>
      <c r="DUW174" s="125"/>
      <c r="DUX174" s="125"/>
      <c r="DUY174" s="125"/>
      <c r="DUZ174" s="125"/>
      <c r="DVA174" s="125"/>
      <c r="DVB174" s="125"/>
      <c r="DVC174" s="125"/>
      <c r="DVD174" s="125"/>
      <c r="DVE174" s="125"/>
      <c r="DVF174" s="125"/>
      <c r="DVG174" s="125"/>
      <c r="DVH174" s="125"/>
      <c r="DVI174" s="125"/>
      <c r="DVJ174" s="125"/>
      <c r="DVK174" s="125"/>
      <c r="DVL174" s="125"/>
      <c r="DVM174" s="125"/>
      <c r="DVN174" s="125"/>
      <c r="DVO174" s="125"/>
      <c r="DVP174" s="125"/>
      <c r="DVQ174" s="125"/>
      <c r="DVR174" s="125"/>
      <c r="DVS174" s="125"/>
      <c r="DVT174" s="125"/>
      <c r="DVU174" s="125"/>
      <c r="DVV174" s="125"/>
      <c r="DVW174" s="125"/>
      <c r="DVX174" s="125"/>
      <c r="DVY174" s="125"/>
      <c r="DVZ174" s="125"/>
      <c r="DWA174" s="125"/>
      <c r="DWB174" s="125"/>
      <c r="DWC174" s="125"/>
      <c r="DWD174" s="125"/>
      <c r="DWE174" s="125"/>
      <c r="DWF174" s="125"/>
      <c r="DWG174" s="125"/>
      <c r="DWH174" s="125"/>
      <c r="DWI174" s="125"/>
      <c r="DWJ174" s="125"/>
      <c r="DWK174" s="125"/>
      <c r="DWL174" s="125"/>
      <c r="DWM174" s="125"/>
      <c r="DWN174" s="125"/>
      <c r="DWO174" s="125"/>
      <c r="DWP174" s="125"/>
      <c r="DWQ174" s="125"/>
      <c r="DWR174" s="125"/>
      <c r="DWS174" s="125"/>
      <c r="DWT174" s="125"/>
      <c r="DWU174" s="125"/>
      <c r="DWV174" s="125"/>
      <c r="DWW174" s="125"/>
      <c r="DWX174" s="125"/>
      <c r="DWY174" s="125"/>
      <c r="DWZ174" s="125"/>
      <c r="DXA174" s="125"/>
      <c r="DXB174" s="125"/>
      <c r="DXC174" s="125"/>
      <c r="DXD174" s="125"/>
      <c r="DXE174" s="125"/>
      <c r="DXF174" s="125"/>
      <c r="DXG174" s="125"/>
      <c r="DXH174" s="125"/>
      <c r="DXI174" s="125"/>
      <c r="DXJ174" s="125"/>
      <c r="DXK174" s="125"/>
      <c r="DXL174" s="125"/>
      <c r="DXM174" s="125"/>
      <c r="DXN174" s="125"/>
      <c r="DXO174" s="125"/>
      <c r="DXP174" s="125"/>
      <c r="DXQ174" s="125"/>
      <c r="DXR174" s="125"/>
      <c r="DXS174" s="125"/>
      <c r="DXT174" s="125"/>
      <c r="DXU174" s="125"/>
      <c r="DXV174" s="125"/>
      <c r="DXW174" s="125"/>
      <c r="DXX174" s="125"/>
      <c r="DXY174" s="125"/>
      <c r="DXZ174" s="125"/>
      <c r="DYA174" s="125"/>
      <c r="DYB174" s="125"/>
      <c r="DYC174" s="125"/>
      <c r="DYD174" s="125"/>
      <c r="DYE174" s="125"/>
      <c r="DYF174" s="125"/>
      <c r="DYG174" s="125"/>
      <c r="DYH174" s="125"/>
      <c r="DYI174" s="125"/>
      <c r="DYJ174" s="125"/>
      <c r="DYK174" s="125"/>
      <c r="DYL174" s="125"/>
      <c r="DYM174" s="125"/>
      <c r="DYN174" s="125"/>
      <c r="DYO174" s="125"/>
      <c r="DYP174" s="125"/>
      <c r="DYQ174" s="125"/>
      <c r="DYR174" s="125"/>
      <c r="DYS174" s="125"/>
      <c r="DYT174" s="125"/>
      <c r="DYU174" s="125"/>
      <c r="DYV174" s="125"/>
      <c r="DYW174" s="125"/>
      <c r="DYX174" s="125"/>
      <c r="DYY174" s="125"/>
      <c r="DYZ174" s="125"/>
      <c r="DZA174" s="125"/>
      <c r="DZB174" s="125"/>
      <c r="DZC174" s="125"/>
      <c r="DZD174" s="125"/>
      <c r="DZE174" s="125"/>
      <c r="DZF174" s="125"/>
      <c r="DZG174" s="125"/>
      <c r="DZH174" s="125"/>
      <c r="DZI174" s="125"/>
      <c r="DZJ174" s="125"/>
      <c r="DZK174" s="125"/>
      <c r="DZL174" s="125"/>
      <c r="DZM174" s="125"/>
      <c r="DZN174" s="125"/>
      <c r="DZO174" s="125"/>
      <c r="DZP174" s="125"/>
      <c r="DZQ174" s="125"/>
      <c r="DZR174" s="125"/>
      <c r="DZS174" s="125"/>
      <c r="DZT174" s="125"/>
      <c r="DZU174" s="125"/>
      <c r="DZV174" s="125"/>
      <c r="DZW174" s="125"/>
      <c r="DZX174" s="125"/>
      <c r="DZY174" s="125"/>
      <c r="DZZ174" s="125"/>
      <c r="EAA174" s="125"/>
      <c r="EAB174" s="125"/>
      <c r="EAC174" s="125"/>
      <c r="EAD174" s="125"/>
      <c r="EAE174" s="125"/>
      <c r="EAF174" s="125"/>
      <c r="EAG174" s="125"/>
      <c r="EAH174" s="125"/>
      <c r="EAI174" s="125"/>
      <c r="EAJ174" s="125"/>
      <c r="EAK174" s="125"/>
      <c r="EAL174" s="125"/>
      <c r="EAM174" s="125"/>
      <c r="EAN174" s="125"/>
      <c r="EAO174" s="125"/>
      <c r="EAP174" s="125"/>
      <c r="EAQ174" s="125"/>
      <c r="EAR174" s="125"/>
      <c r="EAS174" s="125"/>
      <c r="EAT174" s="125"/>
      <c r="EAU174" s="125"/>
      <c r="EAV174" s="125"/>
      <c r="EAW174" s="125"/>
      <c r="EAX174" s="125"/>
      <c r="EAY174" s="125"/>
      <c r="EAZ174" s="125"/>
      <c r="EBA174" s="125"/>
      <c r="EBB174" s="125"/>
      <c r="EBC174" s="125"/>
      <c r="EBD174" s="125"/>
      <c r="EBE174" s="125"/>
      <c r="EBF174" s="125"/>
      <c r="EBG174" s="125"/>
      <c r="EBH174" s="125"/>
      <c r="EBI174" s="125"/>
      <c r="EBJ174" s="125"/>
      <c r="EBK174" s="125"/>
      <c r="EBL174" s="125"/>
      <c r="EBM174" s="125"/>
      <c r="EBN174" s="125"/>
      <c r="EBO174" s="125"/>
      <c r="EBP174" s="125"/>
      <c r="EBQ174" s="125"/>
      <c r="EBR174" s="125"/>
      <c r="EBS174" s="125"/>
      <c r="EBT174" s="125"/>
      <c r="EBU174" s="125"/>
      <c r="EBV174" s="125"/>
      <c r="EBW174" s="125"/>
      <c r="EBX174" s="125"/>
      <c r="EBY174" s="125"/>
      <c r="EBZ174" s="125"/>
      <c r="ECA174" s="125"/>
      <c r="ECB174" s="125"/>
      <c r="ECC174" s="125"/>
      <c r="ECD174" s="125"/>
      <c r="ECE174" s="125"/>
      <c r="ECF174" s="125"/>
      <c r="ECG174" s="125"/>
      <c r="ECH174" s="125"/>
      <c r="ECI174" s="125"/>
      <c r="ECJ174" s="125"/>
      <c r="ECK174" s="125"/>
      <c r="ECL174" s="125"/>
      <c r="ECM174" s="125"/>
      <c r="ECN174" s="125"/>
      <c r="ECO174" s="125"/>
      <c r="ECP174" s="125"/>
      <c r="ECQ174" s="125"/>
      <c r="ECR174" s="125"/>
      <c r="ECS174" s="125"/>
      <c r="ECT174" s="125"/>
      <c r="ECU174" s="125"/>
      <c r="ECV174" s="125"/>
      <c r="ECW174" s="125"/>
      <c r="ECX174" s="125"/>
      <c r="ECY174" s="125"/>
      <c r="ECZ174" s="125"/>
      <c r="EDA174" s="125"/>
      <c r="EDB174" s="125"/>
      <c r="EDC174" s="125"/>
      <c r="EDD174" s="125"/>
      <c r="EDE174" s="125"/>
      <c r="EDF174" s="125"/>
      <c r="EDG174" s="125"/>
      <c r="EDH174" s="125"/>
      <c r="EDI174" s="125"/>
      <c r="EDJ174" s="125"/>
      <c r="EDK174" s="125"/>
      <c r="EDL174" s="125"/>
      <c r="EDM174" s="125"/>
      <c r="EDN174" s="125"/>
      <c r="EDO174" s="125"/>
      <c r="EDP174" s="125"/>
      <c r="EDQ174" s="125"/>
      <c r="EDR174" s="125"/>
      <c r="EDS174" s="125"/>
      <c r="EDT174" s="125"/>
      <c r="EDU174" s="125"/>
      <c r="EDV174" s="125"/>
      <c r="EDW174" s="125"/>
      <c r="EDX174" s="125"/>
      <c r="EDY174" s="125"/>
      <c r="EDZ174" s="125"/>
      <c r="EEA174" s="125"/>
      <c r="EEB174" s="125"/>
      <c r="EEC174" s="125"/>
      <c r="EED174" s="125"/>
      <c r="EEE174" s="125"/>
      <c r="EEF174" s="125"/>
      <c r="EEG174" s="125"/>
      <c r="EEH174" s="125"/>
      <c r="EEI174" s="125"/>
      <c r="EEJ174" s="125"/>
      <c r="EEK174" s="125"/>
      <c r="EEL174" s="125"/>
      <c r="EEM174" s="125"/>
      <c r="EEN174" s="125"/>
      <c r="EEO174" s="125"/>
      <c r="EEP174" s="125"/>
      <c r="EEQ174" s="125"/>
      <c r="EER174" s="125"/>
      <c r="EES174" s="125"/>
      <c r="EET174" s="125"/>
      <c r="EEU174" s="125"/>
      <c r="EEV174" s="125"/>
      <c r="EEW174" s="125"/>
      <c r="EEX174" s="125"/>
      <c r="EEY174" s="125"/>
      <c r="EEZ174" s="125"/>
      <c r="EFA174" s="125"/>
      <c r="EFB174" s="125"/>
      <c r="EFC174" s="125"/>
      <c r="EFD174" s="125"/>
      <c r="EFE174" s="125"/>
      <c r="EFF174" s="125"/>
      <c r="EFG174" s="125"/>
      <c r="EFH174" s="125"/>
      <c r="EFI174" s="125"/>
      <c r="EFJ174" s="125"/>
      <c r="EFK174" s="125"/>
      <c r="EFL174" s="125"/>
      <c r="EFM174" s="125"/>
      <c r="EFN174" s="125"/>
      <c r="EFO174" s="125"/>
      <c r="EFP174" s="125"/>
      <c r="EFQ174" s="125"/>
      <c r="EFR174" s="125"/>
      <c r="EFS174" s="125"/>
      <c r="EFT174" s="125"/>
      <c r="EFU174" s="125"/>
      <c r="EFV174" s="125"/>
      <c r="EFW174" s="125"/>
      <c r="EFX174" s="125"/>
      <c r="EFY174" s="125"/>
      <c r="EFZ174" s="125"/>
      <c r="EGA174" s="125"/>
      <c r="EGB174" s="125"/>
      <c r="EGC174" s="125"/>
      <c r="EGD174" s="125"/>
      <c r="EGE174" s="125"/>
      <c r="EGF174" s="125"/>
      <c r="EGG174" s="125"/>
      <c r="EGH174" s="125"/>
      <c r="EGI174" s="125"/>
      <c r="EGJ174" s="125"/>
      <c r="EGK174" s="125"/>
      <c r="EGL174" s="125"/>
      <c r="EGM174" s="125"/>
      <c r="EGN174" s="125"/>
      <c r="EGO174" s="125"/>
      <c r="EGP174" s="125"/>
      <c r="EGQ174" s="125"/>
      <c r="EGR174" s="125"/>
      <c r="EGS174" s="125"/>
      <c r="EGT174" s="125"/>
      <c r="EGU174" s="125"/>
      <c r="EGV174" s="125"/>
      <c r="EGW174" s="125"/>
      <c r="EGX174" s="125"/>
      <c r="EGY174" s="125"/>
      <c r="EGZ174" s="125"/>
      <c r="EHA174" s="125"/>
      <c r="EHB174" s="125"/>
      <c r="EHC174" s="125"/>
      <c r="EHD174" s="125"/>
      <c r="EHE174" s="125"/>
      <c r="EHF174" s="125"/>
      <c r="EHG174" s="125"/>
      <c r="EHH174" s="125"/>
      <c r="EHI174" s="125"/>
      <c r="EHJ174" s="125"/>
      <c r="EHK174" s="125"/>
      <c r="EHL174" s="125"/>
      <c r="EHM174" s="125"/>
      <c r="EHN174" s="125"/>
      <c r="EHO174" s="125"/>
      <c r="EHP174" s="125"/>
      <c r="EHQ174" s="125"/>
      <c r="EHR174" s="125"/>
      <c r="EHS174" s="125"/>
      <c r="EHT174" s="125"/>
      <c r="EHU174" s="125"/>
      <c r="EHV174" s="125"/>
      <c r="EHW174" s="125"/>
      <c r="EHX174" s="125"/>
      <c r="EHY174" s="125"/>
      <c r="EHZ174" s="125"/>
      <c r="EIA174" s="125"/>
      <c r="EIB174" s="125"/>
      <c r="EIC174" s="125"/>
      <c r="EID174" s="125"/>
      <c r="EIE174" s="125"/>
      <c r="EIF174" s="125"/>
      <c r="EIG174" s="125"/>
      <c r="EIH174" s="125"/>
      <c r="EII174" s="125"/>
      <c r="EIJ174" s="125"/>
      <c r="EIK174" s="125"/>
      <c r="EIL174" s="125"/>
      <c r="EIM174" s="125"/>
      <c r="EIN174" s="125"/>
      <c r="EIO174" s="125"/>
      <c r="EIP174" s="125"/>
      <c r="EIQ174" s="125"/>
      <c r="EIR174" s="125"/>
      <c r="EIS174" s="125"/>
      <c r="EIT174" s="125"/>
      <c r="EIU174" s="125"/>
      <c r="EIV174" s="125"/>
      <c r="EIW174" s="125"/>
      <c r="EIX174" s="125"/>
      <c r="EIY174" s="125"/>
      <c r="EIZ174" s="125"/>
      <c r="EJA174" s="125"/>
      <c r="EJB174" s="125"/>
      <c r="EJC174" s="125"/>
      <c r="EJD174" s="125"/>
      <c r="EJE174" s="125"/>
      <c r="EJF174" s="125"/>
      <c r="EJG174" s="125"/>
      <c r="EJH174" s="125"/>
      <c r="EJI174" s="125"/>
      <c r="EJJ174" s="125"/>
      <c r="EJK174" s="125"/>
      <c r="EJL174" s="125"/>
      <c r="EJM174" s="125"/>
      <c r="EJN174" s="125"/>
      <c r="EJO174" s="125"/>
      <c r="EJP174" s="125"/>
      <c r="EJQ174" s="125"/>
      <c r="EJR174" s="125"/>
      <c r="EJS174" s="125"/>
      <c r="EJT174" s="125"/>
      <c r="EJU174" s="125"/>
      <c r="EJV174" s="125"/>
      <c r="EJW174" s="125"/>
      <c r="EJX174" s="125"/>
      <c r="EJY174" s="125"/>
      <c r="EJZ174" s="125"/>
      <c r="EKA174" s="125"/>
      <c r="EKB174" s="125"/>
      <c r="EKC174" s="125"/>
      <c r="EKD174" s="125"/>
      <c r="EKE174" s="125"/>
      <c r="EKF174" s="125"/>
      <c r="EKG174" s="125"/>
      <c r="EKH174" s="125"/>
      <c r="EKI174" s="125"/>
      <c r="EKJ174" s="125"/>
      <c r="EKK174" s="125"/>
      <c r="EKL174" s="125"/>
      <c r="EKM174" s="125"/>
      <c r="EKN174" s="125"/>
      <c r="EKO174" s="125"/>
      <c r="EKP174" s="125"/>
      <c r="EKQ174" s="125"/>
      <c r="EKR174" s="125"/>
      <c r="EKS174" s="125"/>
      <c r="EKT174" s="125"/>
      <c r="EKU174" s="125"/>
      <c r="EKV174" s="125"/>
      <c r="EKW174" s="125"/>
      <c r="EKX174" s="125"/>
      <c r="EKY174" s="125"/>
      <c r="EKZ174" s="125"/>
      <c r="ELA174" s="125"/>
      <c r="ELB174" s="125"/>
      <c r="ELC174" s="125"/>
      <c r="ELD174" s="125"/>
      <c r="ELE174" s="125"/>
      <c r="ELF174" s="125"/>
      <c r="ELG174" s="125"/>
      <c r="ELH174" s="125"/>
      <c r="ELI174" s="125"/>
      <c r="ELJ174" s="125"/>
      <c r="ELK174" s="125"/>
      <c r="ELL174" s="125"/>
      <c r="ELM174" s="125"/>
      <c r="ELN174" s="125"/>
      <c r="ELO174" s="125"/>
      <c r="ELP174" s="125"/>
      <c r="ELQ174" s="125"/>
      <c r="ELR174" s="125"/>
      <c r="ELS174" s="125"/>
      <c r="ELT174" s="125"/>
      <c r="ELU174" s="125"/>
      <c r="ELV174" s="125"/>
      <c r="ELW174" s="125"/>
      <c r="ELX174" s="125"/>
      <c r="ELY174" s="125"/>
      <c r="ELZ174" s="125"/>
      <c r="EMA174" s="125"/>
      <c r="EMB174" s="125"/>
      <c r="EMC174" s="125"/>
      <c r="EMD174" s="125"/>
      <c r="EME174" s="125"/>
      <c r="EMF174" s="125"/>
      <c r="EMG174" s="125"/>
      <c r="EMH174" s="125"/>
      <c r="EMI174" s="125"/>
      <c r="EMJ174" s="125"/>
      <c r="EMK174" s="125"/>
      <c r="EML174" s="125"/>
      <c r="EMM174" s="125"/>
      <c r="EMN174" s="125"/>
      <c r="EMO174" s="125"/>
      <c r="EMP174" s="125"/>
      <c r="EMQ174" s="125"/>
      <c r="EMR174" s="125"/>
      <c r="EMS174" s="125"/>
      <c r="EMT174" s="125"/>
      <c r="EMU174" s="125"/>
      <c r="EMV174" s="125"/>
      <c r="EMW174" s="125"/>
      <c r="EMX174" s="125"/>
      <c r="EMY174" s="125"/>
      <c r="EMZ174" s="125"/>
      <c r="ENA174" s="125"/>
      <c r="ENB174" s="125"/>
      <c r="ENC174" s="125"/>
      <c r="END174" s="125"/>
      <c r="ENE174" s="125"/>
      <c r="ENF174" s="125"/>
      <c r="ENG174" s="125"/>
      <c r="ENH174" s="125"/>
      <c r="ENI174" s="125"/>
      <c r="ENJ174" s="125"/>
      <c r="ENK174" s="125"/>
      <c r="ENL174" s="125"/>
      <c r="ENM174" s="125"/>
      <c r="ENN174" s="125"/>
      <c r="ENO174" s="125"/>
      <c r="ENP174" s="125"/>
      <c r="ENQ174" s="125"/>
      <c r="ENR174" s="125"/>
      <c r="ENS174" s="125"/>
      <c r="ENT174" s="125"/>
      <c r="ENU174" s="125"/>
      <c r="ENV174" s="125"/>
      <c r="ENW174" s="125"/>
      <c r="ENX174" s="125"/>
      <c r="ENY174" s="125"/>
      <c r="ENZ174" s="125"/>
      <c r="EOA174" s="125"/>
      <c r="EOB174" s="125"/>
      <c r="EOC174" s="125"/>
      <c r="EOD174" s="125"/>
      <c r="EOE174" s="125"/>
      <c r="EOF174" s="125"/>
      <c r="EOG174" s="125"/>
      <c r="EOH174" s="125"/>
      <c r="EOI174" s="125"/>
      <c r="EOJ174" s="125"/>
      <c r="EOK174" s="125"/>
      <c r="EOL174" s="125"/>
      <c r="EOM174" s="125"/>
      <c r="EON174" s="125"/>
      <c r="EOO174" s="125"/>
      <c r="EOP174" s="125"/>
      <c r="EOQ174" s="125"/>
      <c r="EOR174" s="125"/>
      <c r="EOS174" s="125"/>
      <c r="EOT174" s="125"/>
      <c r="EOU174" s="125"/>
      <c r="EOV174" s="125"/>
      <c r="EOW174" s="125"/>
      <c r="EOX174" s="125"/>
      <c r="EOY174" s="125"/>
      <c r="EOZ174" s="125"/>
      <c r="EPA174" s="125"/>
      <c r="EPB174" s="125"/>
      <c r="EPC174" s="125"/>
      <c r="EPD174" s="125"/>
      <c r="EPE174" s="125"/>
      <c r="EPF174" s="125"/>
      <c r="EPG174" s="125"/>
      <c r="EPH174" s="125"/>
      <c r="EPI174" s="125"/>
      <c r="EPJ174" s="125"/>
      <c r="EPK174" s="125"/>
      <c r="EPL174" s="125"/>
      <c r="EPM174" s="125"/>
      <c r="EPN174" s="125"/>
      <c r="EPO174" s="125"/>
      <c r="EPP174" s="125"/>
      <c r="EPQ174" s="125"/>
      <c r="EPR174" s="125"/>
      <c r="EPS174" s="125"/>
      <c r="EPT174" s="125"/>
      <c r="EPU174" s="125"/>
      <c r="EPV174" s="125"/>
      <c r="EPW174" s="125"/>
      <c r="EPX174" s="125"/>
      <c r="EPY174" s="125"/>
      <c r="EPZ174" s="125"/>
      <c r="EQA174" s="125"/>
      <c r="EQB174" s="125"/>
      <c r="EQC174" s="125"/>
      <c r="EQD174" s="125"/>
      <c r="EQE174" s="125"/>
      <c r="EQF174" s="125"/>
      <c r="EQG174" s="125"/>
      <c r="EQH174" s="125"/>
      <c r="EQI174" s="125"/>
      <c r="EQJ174" s="125"/>
      <c r="EQK174" s="125"/>
      <c r="EQL174" s="125"/>
      <c r="EQM174" s="125"/>
      <c r="EQN174" s="125"/>
      <c r="EQO174" s="125"/>
      <c r="EQP174" s="125"/>
      <c r="EQQ174" s="125"/>
      <c r="EQR174" s="125"/>
      <c r="EQS174" s="125"/>
      <c r="EQT174" s="125"/>
      <c r="EQU174" s="125"/>
      <c r="EQV174" s="125"/>
      <c r="EQW174" s="125"/>
      <c r="EQX174" s="125"/>
      <c r="EQY174" s="125"/>
      <c r="EQZ174" s="125"/>
      <c r="ERA174" s="125"/>
      <c r="ERB174" s="125"/>
      <c r="ERC174" s="125"/>
      <c r="ERD174" s="125"/>
      <c r="ERE174" s="125"/>
      <c r="ERF174" s="125"/>
      <c r="ERG174" s="125"/>
      <c r="ERH174" s="125"/>
      <c r="ERI174" s="125"/>
      <c r="ERJ174" s="125"/>
      <c r="ERK174" s="125"/>
      <c r="ERL174" s="125"/>
      <c r="ERM174" s="125"/>
      <c r="ERN174" s="125"/>
      <c r="ERO174" s="125"/>
      <c r="ERP174" s="125"/>
      <c r="ERQ174" s="125"/>
      <c r="ERR174" s="125"/>
      <c r="ERS174" s="125"/>
      <c r="ERT174" s="125"/>
      <c r="ERU174" s="125"/>
      <c r="ERV174" s="125"/>
      <c r="ERW174" s="125"/>
      <c r="ERX174" s="125"/>
      <c r="ERY174" s="125"/>
      <c r="ERZ174" s="125"/>
      <c r="ESA174" s="125"/>
      <c r="ESB174" s="125"/>
      <c r="ESC174" s="125"/>
      <c r="ESD174" s="125"/>
      <c r="ESE174" s="125"/>
      <c r="ESF174" s="125"/>
      <c r="ESG174" s="125"/>
      <c r="ESH174" s="125"/>
      <c r="ESI174" s="125"/>
      <c r="ESJ174" s="125"/>
      <c r="ESK174" s="125"/>
      <c r="ESL174" s="125"/>
      <c r="ESM174" s="125"/>
      <c r="ESN174" s="125"/>
      <c r="ESO174" s="125"/>
      <c r="ESP174" s="125"/>
      <c r="ESQ174" s="125"/>
      <c r="ESR174" s="125"/>
      <c r="ESS174" s="125"/>
      <c r="EST174" s="125"/>
      <c r="ESU174" s="125"/>
      <c r="ESV174" s="125"/>
      <c r="ESW174" s="125"/>
      <c r="ESX174" s="125"/>
      <c r="ESY174" s="125"/>
      <c r="ESZ174" s="125"/>
      <c r="ETA174" s="125"/>
      <c r="ETB174" s="125"/>
      <c r="ETC174" s="125"/>
      <c r="ETD174" s="125"/>
      <c r="ETE174" s="125"/>
      <c r="ETF174" s="125"/>
      <c r="ETG174" s="125"/>
      <c r="ETH174" s="125"/>
      <c r="ETI174" s="125"/>
      <c r="ETJ174" s="125"/>
      <c r="ETK174" s="125"/>
      <c r="ETL174" s="125"/>
      <c r="ETM174" s="125"/>
      <c r="ETN174" s="125"/>
      <c r="ETO174" s="125"/>
      <c r="ETP174" s="125"/>
      <c r="ETQ174" s="125"/>
      <c r="ETR174" s="125"/>
      <c r="ETS174" s="125"/>
      <c r="ETT174" s="125"/>
      <c r="ETU174" s="125"/>
      <c r="ETV174" s="125"/>
      <c r="ETW174" s="125"/>
      <c r="ETX174" s="125"/>
      <c r="ETY174" s="125"/>
      <c r="ETZ174" s="125"/>
      <c r="EUA174" s="125"/>
      <c r="EUB174" s="125"/>
      <c r="EUC174" s="125"/>
      <c r="EUD174" s="125"/>
      <c r="EUE174" s="125"/>
      <c r="EUF174" s="125"/>
      <c r="EUG174" s="125"/>
      <c r="EUH174" s="125"/>
      <c r="EUI174" s="125"/>
      <c r="EUJ174" s="125"/>
      <c r="EUK174" s="125"/>
      <c r="EUL174" s="125"/>
      <c r="EUM174" s="125"/>
      <c r="EUN174" s="125"/>
      <c r="EUO174" s="125"/>
      <c r="EUP174" s="125"/>
      <c r="EUQ174" s="125"/>
      <c r="EUR174" s="125"/>
      <c r="EUS174" s="125"/>
      <c r="EUT174" s="125"/>
      <c r="EUU174" s="125"/>
      <c r="EUV174" s="125"/>
      <c r="EUW174" s="125"/>
      <c r="EUX174" s="125"/>
      <c r="EUY174" s="125"/>
      <c r="EUZ174" s="125"/>
      <c r="EVA174" s="125"/>
      <c r="EVB174" s="125"/>
      <c r="EVC174" s="125"/>
      <c r="EVD174" s="125"/>
      <c r="EVE174" s="125"/>
      <c r="EVF174" s="125"/>
      <c r="EVG174" s="125"/>
      <c r="EVH174" s="125"/>
      <c r="EVI174" s="125"/>
      <c r="EVJ174" s="125"/>
      <c r="EVK174" s="125"/>
      <c r="EVL174" s="125"/>
      <c r="EVM174" s="125"/>
      <c r="EVN174" s="125"/>
      <c r="EVO174" s="125"/>
      <c r="EVP174" s="125"/>
      <c r="EVQ174" s="125"/>
      <c r="EVR174" s="125"/>
      <c r="EVS174" s="125"/>
      <c r="EVT174" s="125"/>
      <c r="EVU174" s="125"/>
      <c r="EVV174" s="125"/>
      <c r="EVW174" s="125"/>
      <c r="EVX174" s="125"/>
      <c r="EVY174" s="125"/>
      <c r="EVZ174" s="125"/>
      <c r="EWA174" s="125"/>
      <c r="EWB174" s="125"/>
      <c r="EWC174" s="125"/>
      <c r="EWD174" s="125"/>
      <c r="EWE174" s="125"/>
      <c r="EWF174" s="125"/>
      <c r="EWG174" s="125"/>
      <c r="EWH174" s="125"/>
      <c r="EWI174" s="125"/>
      <c r="EWJ174" s="125"/>
      <c r="EWK174" s="125"/>
      <c r="EWL174" s="125"/>
      <c r="EWM174" s="125"/>
      <c r="EWN174" s="125"/>
      <c r="EWO174" s="125"/>
      <c r="EWP174" s="125"/>
      <c r="EWQ174" s="125"/>
      <c r="EWR174" s="125"/>
      <c r="EWS174" s="125"/>
      <c r="EWT174" s="125"/>
      <c r="EWU174" s="125"/>
      <c r="EWV174" s="125"/>
      <c r="EWW174" s="125"/>
      <c r="EWX174" s="125"/>
      <c r="EWY174" s="125"/>
      <c r="EWZ174" s="125"/>
      <c r="EXA174" s="125"/>
      <c r="EXB174" s="125"/>
      <c r="EXC174" s="125"/>
      <c r="EXD174" s="125"/>
      <c r="EXE174" s="125"/>
      <c r="EXF174" s="125"/>
      <c r="EXG174" s="125"/>
      <c r="EXH174" s="125"/>
      <c r="EXI174" s="125"/>
      <c r="EXJ174" s="125"/>
      <c r="EXK174" s="125"/>
      <c r="EXL174" s="125"/>
      <c r="EXM174" s="125"/>
      <c r="EXN174" s="125"/>
      <c r="EXO174" s="125"/>
      <c r="EXP174" s="125"/>
      <c r="EXQ174" s="125"/>
      <c r="EXR174" s="125"/>
      <c r="EXS174" s="125"/>
      <c r="EXT174" s="125"/>
      <c r="EXU174" s="125"/>
      <c r="EXV174" s="125"/>
      <c r="EXW174" s="125"/>
      <c r="EXX174" s="125"/>
      <c r="EXY174" s="125"/>
      <c r="EXZ174" s="125"/>
      <c r="EYA174" s="125"/>
      <c r="EYB174" s="125"/>
      <c r="EYC174" s="125"/>
      <c r="EYD174" s="125"/>
      <c r="EYE174" s="125"/>
      <c r="EYF174" s="125"/>
      <c r="EYG174" s="125"/>
      <c r="EYH174" s="125"/>
      <c r="EYI174" s="125"/>
      <c r="EYJ174" s="125"/>
      <c r="EYK174" s="125"/>
      <c r="EYL174" s="125"/>
      <c r="EYM174" s="125"/>
      <c r="EYN174" s="125"/>
      <c r="EYO174" s="125"/>
      <c r="EYP174" s="125"/>
      <c r="EYQ174" s="125"/>
      <c r="EYR174" s="125"/>
      <c r="EYS174" s="125"/>
      <c r="EYT174" s="125"/>
      <c r="EYU174" s="125"/>
      <c r="EYV174" s="125"/>
      <c r="EYW174" s="125"/>
      <c r="EYX174" s="125"/>
      <c r="EYY174" s="125"/>
      <c r="EYZ174" s="125"/>
      <c r="EZA174" s="125"/>
      <c r="EZB174" s="125"/>
      <c r="EZC174" s="125"/>
      <c r="EZD174" s="125"/>
      <c r="EZE174" s="125"/>
      <c r="EZF174" s="125"/>
      <c r="EZG174" s="125"/>
      <c r="EZH174" s="125"/>
      <c r="EZI174" s="125"/>
      <c r="EZJ174" s="125"/>
      <c r="EZK174" s="125"/>
      <c r="EZL174" s="125"/>
      <c r="EZM174" s="125"/>
      <c r="EZN174" s="125"/>
      <c r="EZO174" s="125"/>
      <c r="EZP174" s="125"/>
      <c r="EZQ174" s="125"/>
      <c r="EZR174" s="125"/>
      <c r="EZS174" s="125"/>
      <c r="EZT174" s="125"/>
      <c r="EZU174" s="125"/>
      <c r="EZV174" s="125"/>
      <c r="EZW174" s="125"/>
      <c r="EZX174" s="125"/>
      <c r="EZY174" s="125"/>
      <c r="EZZ174" s="125"/>
      <c r="FAA174" s="125"/>
      <c r="FAB174" s="125"/>
      <c r="FAC174" s="125"/>
      <c r="FAD174" s="125"/>
      <c r="FAE174" s="125"/>
      <c r="FAF174" s="125"/>
      <c r="FAG174" s="125"/>
      <c r="FAH174" s="125"/>
      <c r="FAI174" s="125"/>
      <c r="FAJ174" s="125"/>
      <c r="FAK174" s="125"/>
      <c r="FAL174" s="125"/>
      <c r="FAM174" s="125"/>
      <c r="FAN174" s="125"/>
      <c r="FAO174" s="125"/>
      <c r="FAP174" s="125"/>
      <c r="FAQ174" s="125"/>
      <c r="FAR174" s="125"/>
      <c r="FAS174" s="125"/>
      <c r="FAT174" s="125"/>
      <c r="FAU174" s="125"/>
      <c r="FAV174" s="125"/>
      <c r="FAW174" s="125"/>
      <c r="FAX174" s="125"/>
      <c r="FAY174" s="125"/>
      <c r="FAZ174" s="125"/>
      <c r="FBA174" s="125"/>
      <c r="FBB174" s="125"/>
      <c r="FBC174" s="125"/>
      <c r="FBD174" s="125"/>
      <c r="FBE174" s="125"/>
      <c r="FBF174" s="125"/>
      <c r="FBG174" s="125"/>
      <c r="FBH174" s="125"/>
      <c r="FBI174" s="125"/>
      <c r="FBJ174" s="125"/>
      <c r="FBK174" s="125"/>
      <c r="FBL174" s="125"/>
      <c r="FBM174" s="125"/>
      <c r="FBN174" s="125"/>
      <c r="FBO174" s="125"/>
      <c r="FBP174" s="125"/>
      <c r="FBQ174" s="125"/>
      <c r="FBR174" s="125"/>
      <c r="FBS174" s="125"/>
      <c r="FBT174" s="125"/>
      <c r="FBU174" s="125"/>
      <c r="FBV174" s="125"/>
      <c r="FBW174" s="125"/>
      <c r="FBX174" s="125"/>
      <c r="FBY174" s="125"/>
      <c r="FBZ174" s="125"/>
      <c r="FCA174" s="125"/>
      <c r="FCB174" s="125"/>
      <c r="FCC174" s="125"/>
      <c r="FCD174" s="125"/>
      <c r="FCE174" s="125"/>
      <c r="FCF174" s="125"/>
      <c r="FCG174" s="125"/>
      <c r="FCH174" s="125"/>
      <c r="FCI174" s="125"/>
      <c r="FCJ174" s="125"/>
      <c r="FCK174" s="125"/>
      <c r="FCL174" s="125"/>
      <c r="FCM174" s="125"/>
      <c r="FCN174" s="125"/>
      <c r="FCO174" s="125"/>
      <c r="FCP174" s="125"/>
      <c r="FCQ174" s="125"/>
      <c r="FCR174" s="125"/>
      <c r="FCS174" s="125"/>
      <c r="FCT174" s="125"/>
      <c r="FCU174" s="125"/>
      <c r="FCV174" s="125"/>
      <c r="FCW174" s="125"/>
      <c r="FCX174" s="125"/>
      <c r="FCY174" s="125"/>
      <c r="FCZ174" s="125"/>
      <c r="FDA174" s="125"/>
      <c r="FDB174" s="125"/>
      <c r="FDC174" s="125"/>
      <c r="FDD174" s="125"/>
      <c r="FDE174" s="125"/>
      <c r="FDF174" s="125"/>
      <c r="FDG174" s="125"/>
      <c r="FDH174" s="125"/>
      <c r="FDI174" s="125"/>
      <c r="FDJ174" s="125"/>
      <c r="FDK174" s="125"/>
      <c r="FDL174" s="125"/>
      <c r="FDM174" s="125"/>
      <c r="FDN174" s="125"/>
      <c r="FDO174" s="125"/>
      <c r="FDP174" s="125"/>
      <c r="FDQ174" s="125"/>
      <c r="FDR174" s="125"/>
      <c r="FDS174" s="125"/>
      <c r="FDT174" s="125"/>
      <c r="FDU174" s="125"/>
      <c r="FDV174" s="125"/>
      <c r="FDW174" s="125"/>
      <c r="FDX174" s="125"/>
      <c r="FDY174" s="125"/>
      <c r="FDZ174" s="125"/>
      <c r="FEA174" s="125"/>
      <c r="FEB174" s="125"/>
      <c r="FEC174" s="125"/>
      <c r="FED174" s="125"/>
      <c r="FEE174" s="125"/>
      <c r="FEF174" s="125"/>
      <c r="FEG174" s="125"/>
      <c r="FEH174" s="125"/>
      <c r="FEI174" s="125"/>
      <c r="FEJ174" s="125"/>
      <c r="FEK174" s="125"/>
      <c r="FEL174" s="125"/>
      <c r="FEM174" s="125"/>
      <c r="FEN174" s="125"/>
      <c r="FEO174" s="125"/>
      <c r="FEP174" s="125"/>
      <c r="FEQ174" s="125"/>
      <c r="FER174" s="125"/>
      <c r="FES174" s="125"/>
      <c r="FET174" s="125"/>
      <c r="FEU174" s="125"/>
      <c r="FEV174" s="125"/>
      <c r="FEW174" s="125"/>
      <c r="FEX174" s="125"/>
      <c r="FEY174" s="125"/>
      <c r="FEZ174" s="125"/>
      <c r="FFA174" s="125"/>
      <c r="FFB174" s="125"/>
      <c r="FFC174" s="125"/>
      <c r="FFD174" s="125"/>
      <c r="FFE174" s="125"/>
      <c r="FFF174" s="125"/>
      <c r="FFG174" s="125"/>
      <c r="FFH174" s="125"/>
      <c r="FFI174" s="125"/>
      <c r="FFJ174" s="125"/>
      <c r="FFK174" s="125"/>
      <c r="FFL174" s="125"/>
      <c r="FFM174" s="125"/>
      <c r="FFN174" s="125"/>
      <c r="FFO174" s="125"/>
      <c r="FFP174" s="125"/>
      <c r="FFQ174" s="125"/>
      <c r="FFR174" s="125"/>
      <c r="FFS174" s="125"/>
      <c r="FFT174" s="125"/>
      <c r="FFU174" s="125"/>
      <c r="FFV174" s="125"/>
      <c r="FFW174" s="125"/>
      <c r="FFX174" s="125"/>
      <c r="FFY174" s="125"/>
      <c r="FFZ174" s="125"/>
      <c r="FGA174" s="125"/>
      <c r="FGB174" s="125"/>
      <c r="FGC174" s="125"/>
      <c r="FGD174" s="125"/>
      <c r="FGE174" s="125"/>
      <c r="FGF174" s="125"/>
      <c r="FGG174" s="125"/>
      <c r="FGH174" s="125"/>
      <c r="FGI174" s="125"/>
      <c r="FGJ174" s="125"/>
      <c r="FGK174" s="125"/>
      <c r="FGL174" s="125"/>
      <c r="FGM174" s="125"/>
      <c r="FGN174" s="125"/>
      <c r="FGO174" s="125"/>
      <c r="FGP174" s="125"/>
      <c r="FGQ174" s="125"/>
      <c r="FGR174" s="125"/>
      <c r="FGS174" s="125"/>
      <c r="FGT174" s="125"/>
      <c r="FGU174" s="125"/>
      <c r="FGV174" s="125"/>
      <c r="FGW174" s="125"/>
      <c r="FGX174" s="125"/>
      <c r="FGY174" s="125"/>
      <c r="FGZ174" s="125"/>
      <c r="FHA174" s="125"/>
      <c r="FHB174" s="125"/>
      <c r="FHC174" s="125"/>
      <c r="FHD174" s="125"/>
      <c r="FHE174" s="125"/>
      <c r="FHF174" s="125"/>
      <c r="FHG174" s="125"/>
      <c r="FHH174" s="125"/>
      <c r="FHI174" s="125"/>
      <c r="FHJ174" s="125"/>
      <c r="FHK174" s="125"/>
      <c r="FHL174" s="125"/>
      <c r="FHM174" s="125"/>
      <c r="FHN174" s="125"/>
      <c r="FHO174" s="125"/>
      <c r="FHP174" s="125"/>
      <c r="FHQ174" s="125"/>
      <c r="FHR174" s="125"/>
      <c r="FHS174" s="125"/>
      <c r="FHT174" s="125"/>
      <c r="FHU174" s="125"/>
      <c r="FHV174" s="125"/>
      <c r="FHW174" s="125"/>
      <c r="FHX174" s="125"/>
      <c r="FHY174" s="125"/>
      <c r="FHZ174" s="125"/>
      <c r="FIA174" s="125"/>
      <c r="FIB174" s="125"/>
      <c r="FIC174" s="125"/>
      <c r="FID174" s="125"/>
      <c r="FIE174" s="125"/>
      <c r="FIF174" s="125"/>
      <c r="FIG174" s="125"/>
      <c r="FIH174" s="125"/>
      <c r="FII174" s="125"/>
      <c r="FIJ174" s="125"/>
      <c r="FIK174" s="125"/>
      <c r="FIL174" s="125"/>
      <c r="FIM174" s="125"/>
      <c r="FIN174" s="125"/>
      <c r="FIO174" s="125"/>
      <c r="FIP174" s="125"/>
      <c r="FIQ174" s="125"/>
      <c r="FIR174" s="125"/>
      <c r="FIS174" s="125"/>
      <c r="FIT174" s="125"/>
      <c r="FIU174" s="125"/>
      <c r="FIV174" s="125"/>
      <c r="FIW174" s="125"/>
      <c r="FIX174" s="125"/>
      <c r="FIY174" s="125"/>
      <c r="FIZ174" s="125"/>
      <c r="FJA174" s="125"/>
      <c r="FJB174" s="125"/>
      <c r="FJC174" s="125"/>
      <c r="FJD174" s="125"/>
      <c r="FJE174" s="125"/>
      <c r="FJF174" s="125"/>
      <c r="FJG174" s="125"/>
      <c r="FJH174" s="125"/>
      <c r="FJI174" s="125"/>
      <c r="FJJ174" s="125"/>
      <c r="FJK174" s="125"/>
      <c r="FJL174" s="125"/>
      <c r="FJM174" s="125"/>
      <c r="FJN174" s="125"/>
      <c r="FJO174" s="125"/>
      <c r="FJP174" s="125"/>
      <c r="FJQ174" s="125"/>
      <c r="FJR174" s="125"/>
      <c r="FJS174" s="125"/>
      <c r="FJT174" s="125"/>
      <c r="FJU174" s="125"/>
      <c r="FJV174" s="125"/>
      <c r="FJW174" s="125"/>
      <c r="FJX174" s="125"/>
      <c r="FJY174" s="125"/>
      <c r="FJZ174" s="125"/>
      <c r="FKA174" s="125"/>
      <c r="FKB174" s="125"/>
      <c r="FKC174" s="125"/>
      <c r="FKD174" s="125"/>
      <c r="FKE174" s="125"/>
      <c r="FKF174" s="125"/>
      <c r="FKG174" s="125"/>
      <c r="FKH174" s="125"/>
      <c r="FKI174" s="125"/>
      <c r="FKJ174" s="125"/>
      <c r="FKK174" s="125"/>
      <c r="FKL174" s="125"/>
      <c r="FKM174" s="125"/>
      <c r="FKN174" s="125"/>
      <c r="FKO174" s="125"/>
      <c r="FKP174" s="125"/>
      <c r="FKQ174" s="125"/>
      <c r="FKR174" s="125"/>
      <c r="FKS174" s="125"/>
      <c r="FKT174" s="125"/>
      <c r="FKU174" s="125"/>
      <c r="FKV174" s="125"/>
      <c r="FKW174" s="125"/>
      <c r="FKX174" s="125"/>
      <c r="FKY174" s="125"/>
      <c r="FKZ174" s="125"/>
      <c r="FLA174" s="125"/>
      <c r="FLB174" s="125"/>
      <c r="FLC174" s="125"/>
      <c r="FLD174" s="125"/>
      <c r="FLE174" s="125"/>
      <c r="FLF174" s="125"/>
      <c r="FLG174" s="125"/>
      <c r="FLH174" s="125"/>
      <c r="FLI174" s="125"/>
      <c r="FLJ174" s="125"/>
      <c r="FLK174" s="125"/>
      <c r="FLL174" s="125"/>
      <c r="FLM174" s="125"/>
      <c r="FLN174" s="125"/>
      <c r="FLO174" s="125"/>
      <c r="FLP174" s="125"/>
      <c r="FLQ174" s="125"/>
      <c r="FLR174" s="125"/>
      <c r="FLS174" s="125"/>
      <c r="FLT174" s="125"/>
      <c r="FLU174" s="125"/>
      <c r="FLV174" s="125"/>
      <c r="FLW174" s="125"/>
      <c r="FLX174" s="125"/>
      <c r="FLY174" s="125"/>
      <c r="FLZ174" s="125"/>
      <c r="FMA174" s="125"/>
      <c r="FMB174" s="125"/>
      <c r="FMC174" s="125"/>
      <c r="FMD174" s="125"/>
      <c r="FME174" s="125"/>
      <c r="FMF174" s="125"/>
      <c r="FMG174" s="125"/>
      <c r="FMH174" s="125"/>
      <c r="FMI174" s="125"/>
      <c r="FMJ174" s="125"/>
      <c r="FMK174" s="125"/>
      <c r="FML174" s="125"/>
      <c r="FMM174" s="125"/>
      <c r="FMN174" s="125"/>
      <c r="FMO174" s="125"/>
      <c r="FMP174" s="125"/>
      <c r="FMQ174" s="125"/>
      <c r="FMR174" s="125"/>
      <c r="FMS174" s="125"/>
      <c r="FMT174" s="125"/>
      <c r="FMU174" s="125"/>
      <c r="FMV174" s="125"/>
      <c r="FMW174" s="125"/>
      <c r="FMX174" s="125"/>
      <c r="FMY174" s="125"/>
      <c r="FMZ174" s="125"/>
      <c r="FNA174" s="125"/>
      <c r="FNB174" s="125"/>
      <c r="FNC174" s="125"/>
      <c r="FND174" s="125"/>
      <c r="FNE174" s="125"/>
      <c r="FNF174" s="125"/>
      <c r="FNG174" s="125"/>
      <c r="FNH174" s="125"/>
      <c r="FNI174" s="125"/>
      <c r="FNJ174" s="125"/>
      <c r="FNK174" s="125"/>
      <c r="FNL174" s="125"/>
      <c r="FNM174" s="125"/>
      <c r="FNN174" s="125"/>
      <c r="FNO174" s="125"/>
      <c r="FNP174" s="125"/>
      <c r="FNQ174" s="125"/>
      <c r="FNR174" s="125"/>
      <c r="FNS174" s="125"/>
      <c r="FNT174" s="125"/>
      <c r="FNU174" s="125"/>
      <c r="FNV174" s="125"/>
      <c r="FNW174" s="125"/>
      <c r="FNX174" s="125"/>
      <c r="FNY174" s="125"/>
      <c r="FNZ174" s="125"/>
      <c r="FOA174" s="125"/>
      <c r="FOB174" s="125"/>
      <c r="FOC174" s="125"/>
      <c r="FOD174" s="125"/>
      <c r="FOE174" s="125"/>
      <c r="FOF174" s="125"/>
      <c r="FOG174" s="125"/>
      <c r="FOH174" s="125"/>
      <c r="FOI174" s="125"/>
      <c r="FOJ174" s="125"/>
      <c r="FOK174" s="125"/>
      <c r="FOL174" s="125"/>
      <c r="FOM174" s="125"/>
      <c r="FON174" s="125"/>
      <c r="FOO174" s="125"/>
      <c r="FOP174" s="125"/>
      <c r="FOQ174" s="125"/>
      <c r="FOR174" s="125"/>
      <c r="FOS174" s="125"/>
      <c r="FOT174" s="125"/>
      <c r="FOU174" s="125"/>
      <c r="FOV174" s="125"/>
      <c r="FOW174" s="125"/>
      <c r="FOX174" s="125"/>
      <c r="FOY174" s="125"/>
      <c r="FOZ174" s="125"/>
      <c r="FPA174" s="125"/>
      <c r="FPB174" s="125"/>
      <c r="FPC174" s="125"/>
      <c r="FPD174" s="125"/>
      <c r="FPE174" s="125"/>
      <c r="FPF174" s="125"/>
      <c r="FPG174" s="125"/>
      <c r="FPH174" s="125"/>
      <c r="FPI174" s="125"/>
      <c r="FPJ174" s="125"/>
      <c r="FPK174" s="125"/>
      <c r="FPL174" s="125"/>
      <c r="FPM174" s="125"/>
      <c r="FPN174" s="125"/>
      <c r="FPO174" s="125"/>
      <c r="FPP174" s="125"/>
      <c r="FPQ174" s="125"/>
      <c r="FPR174" s="125"/>
      <c r="FPS174" s="125"/>
      <c r="FPT174" s="125"/>
      <c r="FPU174" s="125"/>
      <c r="FPV174" s="125"/>
      <c r="FPW174" s="125"/>
      <c r="FPX174" s="125"/>
      <c r="FPY174" s="125"/>
      <c r="FPZ174" s="125"/>
      <c r="FQA174" s="125"/>
      <c r="FQB174" s="125"/>
      <c r="FQC174" s="125"/>
      <c r="FQD174" s="125"/>
      <c r="FQE174" s="125"/>
      <c r="FQF174" s="125"/>
      <c r="FQG174" s="125"/>
      <c r="FQH174" s="125"/>
      <c r="FQI174" s="125"/>
      <c r="FQJ174" s="125"/>
      <c r="FQK174" s="125"/>
      <c r="FQL174" s="125"/>
      <c r="FQM174" s="125"/>
      <c r="FQN174" s="125"/>
      <c r="FQO174" s="125"/>
      <c r="FQP174" s="125"/>
      <c r="FQQ174" s="125"/>
      <c r="FQR174" s="125"/>
      <c r="FQS174" s="125"/>
      <c r="FQT174" s="125"/>
      <c r="FQU174" s="125"/>
      <c r="FQV174" s="125"/>
      <c r="FQW174" s="125"/>
      <c r="FQX174" s="125"/>
      <c r="FQY174" s="125"/>
      <c r="FQZ174" s="125"/>
      <c r="FRA174" s="125"/>
      <c r="FRB174" s="125"/>
      <c r="FRC174" s="125"/>
      <c r="FRD174" s="125"/>
      <c r="FRE174" s="125"/>
      <c r="FRF174" s="125"/>
      <c r="FRG174" s="125"/>
      <c r="FRH174" s="125"/>
      <c r="FRI174" s="125"/>
      <c r="FRJ174" s="125"/>
      <c r="FRK174" s="125"/>
      <c r="FRL174" s="125"/>
      <c r="FRM174" s="125"/>
      <c r="FRN174" s="125"/>
      <c r="FRO174" s="125"/>
      <c r="FRP174" s="125"/>
      <c r="FRQ174" s="125"/>
      <c r="FRR174" s="125"/>
      <c r="FRS174" s="125"/>
      <c r="FRT174" s="125"/>
      <c r="FRU174" s="125"/>
      <c r="FRV174" s="125"/>
      <c r="FRW174" s="125"/>
      <c r="FRX174" s="125"/>
      <c r="FRY174" s="125"/>
      <c r="FRZ174" s="125"/>
      <c r="FSA174" s="125"/>
      <c r="FSB174" s="125"/>
      <c r="FSC174" s="125"/>
      <c r="FSD174" s="125"/>
      <c r="FSE174" s="125"/>
      <c r="FSF174" s="125"/>
      <c r="FSG174" s="125"/>
      <c r="FSH174" s="125"/>
      <c r="FSI174" s="125"/>
      <c r="FSJ174" s="125"/>
      <c r="FSK174" s="125"/>
      <c r="FSL174" s="125"/>
      <c r="FSM174" s="125"/>
      <c r="FSN174" s="125"/>
      <c r="FSO174" s="125"/>
      <c r="FSP174" s="125"/>
      <c r="FSQ174" s="125"/>
      <c r="FSR174" s="125"/>
      <c r="FSS174" s="125"/>
      <c r="FST174" s="125"/>
      <c r="FSU174" s="125"/>
      <c r="FSV174" s="125"/>
      <c r="FSW174" s="125"/>
      <c r="FSX174" s="125"/>
      <c r="FSY174" s="125"/>
      <c r="FSZ174" s="125"/>
      <c r="FTA174" s="125"/>
      <c r="FTB174" s="125"/>
      <c r="FTC174" s="125"/>
      <c r="FTD174" s="125"/>
      <c r="FTE174" s="125"/>
      <c r="FTF174" s="125"/>
      <c r="FTG174" s="125"/>
      <c r="FTH174" s="125"/>
      <c r="FTI174" s="125"/>
      <c r="FTJ174" s="125"/>
      <c r="FTK174" s="125"/>
      <c r="FTL174" s="125"/>
      <c r="FTM174" s="125"/>
      <c r="FTN174" s="125"/>
      <c r="FTO174" s="125"/>
      <c r="FTP174" s="125"/>
      <c r="FTQ174" s="125"/>
      <c r="FTR174" s="125"/>
      <c r="FTS174" s="125"/>
      <c r="FTT174" s="125"/>
      <c r="FTU174" s="125"/>
      <c r="FTV174" s="125"/>
      <c r="FTW174" s="125"/>
      <c r="FTX174" s="125"/>
      <c r="FTY174" s="125"/>
      <c r="FTZ174" s="125"/>
      <c r="FUA174" s="125"/>
      <c r="FUB174" s="125"/>
      <c r="FUC174" s="125"/>
      <c r="FUD174" s="125"/>
      <c r="FUE174" s="125"/>
      <c r="FUF174" s="125"/>
      <c r="FUG174" s="125"/>
      <c r="FUH174" s="125"/>
      <c r="FUI174" s="125"/>
      <c r="FUJ174" s="125"/>
      <c r="FUK174" s="125"/>
      <c r="FUL174" s="125"/>
      <c r="FUM174" s="125"/>
      <c r="FUN174" s="125"/>
      <c r="FUO174" s="125"/>
      <c r="FUP174" s="125"/>
      <c r="FUQ174" s="125"/>
      <c r="FUR174" s="125"/>
      <c r="FUS174" s="125"/>
      <c r="FUT174" s="125"/>
      <c r="FUU174" s="125"/>
      <c r="FUV174" s="125"/>
      <c r="FUW174" s="125"/>
      <c r="FUX174" s="125"/>
      <c r="FUY174" s="125"/>
      <c r="FUZ174" s="125"/>
      <c r="FVA174" s="125"/>
      <c r="FVB174" s="125"/>
      <c r="FVC174" s="125"/>
      <c r="FVD174" s="125"/>
      <c r="FVE174" s="125"/>
      <c r="FVF174" s="125"/>
      <c r="FVG174" s="125"/>
      <c r="FVH174" s="125"/>
      <c r="FVI174" s="125"/>
      <c r="FVJ174" s="125"/>
      <c r="FVK174" s="125"/>
      <c r="FVL174" s="125"/>
      <c r="FVM174" s="125"/>
      <c r="FVN174" s="125"/>
      <c r="FVO174" s="125"/>
      <c r="FVP174" s="125"/>
      <c r="FVQ174" s="125"/>
      <c r="FVR174" s="125"/>
      <c r="FVS174" s="125"/>
      <c r="FVT174" s="125"/>
      <c r="FVU174" s="125"/>
      <c r="FVV174" s="125"/>
      <c r="FVW174" s="125"/>
      <c r="FVX174" s="125"/>
      <c r="FVY174" s="125"/>
      <c r="FVZ174" s="125"/>
      <c r="FWA174" s="125"/>
      <c r="FWB174" s="125"/>
      <c r="FWC174" s="125"/>
      <c r="FWD174" s="125"/>
      <c r="FWE174" s="125"/>
      <c r="FWF174" s="125"/>
      <c r="FWG174" s="125"/>
      <c r="FWH174" s="125"/>
      <c r="FWI174" s="125"/>
      <c r="FWJ174" s="125"/>
      <c r="FWK174" s="125"/>
      <c r="FWL174" s="125"/>
      <c r="FWM174" s="125"/>
      <c r="FWN174" s="125"/>
      <c r="FWO174" s="125"/>
      <c r="FWP174" s="125"/>
      <c r="FWQ174" s="125"/>
      <c r="FWR174" s="125"/>
      <c r="FWS174" s="125"/>
      <c r="FWT174" s="125"/>
      <c r="FWU174" s="125"/>
      <c r="FWV174" s="125"/>
      <c r="FWW174" s="125"/>
      <c r="FWX174" s="125"/>
      <c r="FWY174" s="125"/>
      <c r="FWZ174" s="125"/>
      <c r="FXA174" s="125"/>
      <c r="FXB174" s="125"/>
      <c r="FXC174" s="125"/>
      <c r="FXD174" s="125"/>
      <c r="FXE174" s="125"/>
      <c r="FXF174" s="125"/>
      <c r="FXG174" s="125"/>
      <c r="FXH174" s="125"/>
      <c r="FXI174" s="125"/>
      <c r="FXJ174" s="125"/>
      <c r="FXK174" s="125"/>
      <c r="FXL174" s="125"/>
      <c r="FXM174" s="125"/>
      <c r="FXN174" s="125"/>
      <c r="FXO174" s="125"/>
      <c r="FXP174" s="125"/>
      <c r="FXQ174" s="125"/>
      <c r="FXR174" s="125"/>
      <c r="FXS174" s="125"/>
      <c r="FXT174" s="125"/>
      <c r="FXU174" s="125"/>
      <c r="FXV174" s="125"/>
      <c r="FXW174" s="125"/>
      <c r="FXX174" s="125"/>
      <c r="FXY174" s="125"/>
      <c r="FXZ174" s="125"/>
      <c r="FYA174" s="125"/>
      <c r="FYB174" s="125"/>
      <c r="FYC174" s="125"/>
      <c r="FYD174" s="125"/>
      <c r="FYE174" s="125"/>
      <c r="FYF174" s="125"/>
      <c r="FYG174" s="125"/>
      <c r="FYH174" s="125"/>
      <c r="FYI174" s="125"/>
      <c r="FYJ174" s="125"/>
      <c r="FYK174" s="125"/>
      <c r="FYL174" s="125"/>
      <c r="FYM174" s="125"/>
      <c r="FYN174" s="125"/>
      <c r="FYO174" s="125"/>
      <c r="FYP174" s="125"/>
      <c r="FYQ174" s="125"/>
      <c r="FYR174" s="125"/>
      <c r="FYS174" s="125"/>
      <c r="FYT174" s="125"/>
      <c r="FYU174" s="125"/>
      <c r="FYV174" s="125"/>
      <c r="FYW174" s="125"/>
      <c r="FYX174" s="125"/>
      <c r="FYY174" s="125"/>
      <c r="FYZ174" s="125"/>
      <c r="FZA174" s="125"/>
      <c r="FZB174" s="125"/>
      <c r="FZC174" s="125"/>
      <c r="FZD174" s="125"/>
      <c r="FZE174" s="125"/>
      <c r="FZF174" s="125"/>
      <c r="FZG174" s="125"/>
      <c r="FZH174" s="125"/>
      <c r="FZI174" s="125"/>
      <c r="FZJ174" s="125"/>
      <c r="FZK174" s="125"/>
      <c r="FZL174" s="125"/>
      <c r="FZM174" s="125"/>
      <c r="FZN174" s="125"/>
      <c r="FZO174" s="125"/>
      <c r="FZP174" s="125"/>
      <c r="FZQ174" s="125"/>
      <c r="FZR174" s="125"/>
      <c r="FZS174" s="125"/>
      <c r="FZT174" s="125"/>
      <c r="FZU174" s="125"/>
      <c r="FZV174" s="125"/>
      <c r="FZW174" s="125"/>
      <c r="FZX174" s="125"/>
      <c r="FZY174" s="125"/>
      <c r="FZZ174" s="125"/>
      <c r="GAA174" s="125"/>
      <c r="GAB174" s="125"/>
      <c r="GAC174" s="125"/>
      <c r="GAD174" s="125"/>
      <c r="GAE174" s="125"/>
      <c r="GAF174" s="125"/>
      <c r="GAG174" s="125"/>
      <c r="GAH174" s="125"/>
      <c r="GAI174" s="125"/>
      <c r="GAJ174" s="125"/>
      <c r="GAK174" s="125"/>
      <c r="GAL174" s="125"/>
      <c r="GAM174" s="125"/>
      <c r="GAN174" s="125"/>
      <c r="GAO174" s="125"/>
      <c r="GAP174" s="125"/>
      <c r="GAQ174" s="125"/>
      <c r="GAR174" s="125"/>
      <c r="GAS174" s="125"/>
      <c r="GAT174" s="125"/>
      <c r="GAU174" s="125"/>
      <c r="GAV174" s="125"/>
      <c r="GAW174" s="125"/>
      <c r="GAX174" s="125"/>
      <c r="GAY174" s="125"/>
      <c r="GAZ174" s="125"/>
      <c r="GBA174" s="125"/>
      <c r="GBB174" s="125"/>
      <c r="GBC174" s="125"/>
      <c r="GBD174" s="125"/>
      <c r="GBE174" s="125"/>
      <c r="GBF174" s="125"/>
      <c r="GBG174" s="125"/>
      <c r="GBH174" s="125"/>
      <c r="GBI174" s="125"/>
      <c r="GBJ174" s="125"/>
      <c r="GBK174" s="125"/>
      <c r="GBL174" s="125"/>
      <c r="GBM174" s="125"/>
      <c r="GBN174" s="125"/>
      <c r="GBO174" s="125"/>
      <c r="GBP174" s="125"/>
      <c r="GBQ174" s="125"/>
      <c r="GBR174" s="125"/>
      <c r="GBS174" s="125"/>
      <c r="GBT174" s="125"/>
      <c r="GBU174" s="125"/>
      <c r="GBV174" s="125"/>
      <c r="GBW174" s="125"/>
      <c r="GBX174" s="125"/>
      <c r="GBY174" s="125"/>
      <c r="GBZ174" s="125"/>
      <c r="GCA174" s="125"/>
      <c r="GCB174" s="125"/>
      <c r="GCC174" s="125"/>
      <c r="GCD174" s="125"/>
      <c r="GCE174" s="125"/>
      <c r="GCF174" s="125"/>
      <c r="GCG174" s="125"/>
      <c r="GCH174" s="125"/>
      <c r="GCI174" s="125"/>
      <c r="GCJ174" s="125"/>
      <c r="GCK174" s="125"/>
      <c r="GCL174" s="125"/>
      <c r="GCM174" s="125"/>
      <c r="GCN174" s="125"/>
      <c r="GCO174" s="125"/>
      <c r="GCP174" s="125"/>
      <c r="GCQ174" s="125"/>
      <c r="GCR174" s="125"/>
      <c r="GCS174" s="125"/>
      <c r="GCT174" s="125"/>
      <c r="GCU174" s="125"/>
      <c r="GCV174" s="125"/>
      <c r="GCW174" s="125"/>
      <c r="GCX174" s="125"/>
      <c r="GCY174" s="125"/>
      <c r="GCZ174" s="125"/>
      <c r="GDA174" s="125"/>
      <c r="GDB174" s="125"/>
      <c r="GDC174" s="125"/>
      <c r="GDD174" s="125"/>
      <c r="GDE174" s="125"/>
      <c r="GDF174" s="125"/>
      <c r="GDG174" s="125"/>
      <c r="GDH174" s="125"/>
      <c r="GDI174" s="125"/>
      <c r="GDJ174" s="125"/>
      <c r="GDK174" s="125"/>
      <c r="GDL174" s="125"/>
      <c r="GDM174" s="125"/>
      <c r="GDN174" s="125"/>
      <c r="GDO174" s="125"/>
      <c r="GDP174" s="125"/>
      <c r="GDQ174" s="125"/>
      <c r="GDR174" s="125"/>
      <c r="GDS174" s="125"/>
      <c r="GDT174" s="125"/>
      <c r="GDU174" s="125"/>
      <c r="GDV174" s="125"/>
      <c r="GDW174" s="125"/>
      <c r="GDX174" s="125"/>
      <c r="GDY174" s="125"/>
      <c r="GDZ174" s="125"/>
      <c r="GEA174" s="125"/>
      <c r="GEB174" s="125"/>
      <c r="GEC174" s="125"/>
      <c r="GED174" s="125"/>
      <c r="GEE174" s="125"/>
      <c r="GEF174" s="125"/>
      <c r="GEG174" s="125"/>
      <c r="GEH174" s="125"/>
      <c r="GEI174" s="125"/>
      <c r="GEJ174" s="125"/>
      <c r="GEK174" s="125"/>
      <c r="GEL174" s="125"/>
      <c r="GEM174" s="125"/>
      <c r="GEN174" s="125"/>
      <c r="GEO174" s="125"/>
      <c r="GEP174" s="125"/>
      <c r="GEQ174" s="125"/>
      <c r="GER174" s="125"/>
      <c r="GES174" s="125"/>
      <c r="GET174" s="125"/>
      <c r="GEU174" s="125"/>
      <c r="GEV174" s="125"/>
      <c r="GEW174" s="125"/>
      <c r="GEX174" s="125"/>
      <c r="GEY174" s="125"/>
      <c r="GEZ174" s="125"/>
      <c r="GFA174" s="125"/>
      <c r="GFB174" s="125"/>
      <c r="GFC174" s="125"/>
      <c r="GFD174" s="125"/>
      <c r="GFE174" s="125"/>
      <c r="GFF174" s="125"/>
      <c r="GFG174" s="125"/>
      <c r="GFH174" s="125"/>
      <c r="GFI174" s="125"/>
      <c r="GFJ174" s="125"/>
      <c r="GFK174" s="125"/>
      <c r="GFL174" s="125"/>
      <c r="GFM174" s="125"/>
      <c r="GFN174" s="125"/>
      <c r="GFO174" s="125"/>
      <c r="GFP174" s="125"/>
      <c r="GFQ174" s="125"/>
      <c r="GFR174" s="125"/>
      <c r="GFS174" s="125"/>
      <c r="GFT174" s="125"/>
      <c r="GFU174" s="125"/>
      <c r="GFV174" s="125"/>
      <c r="GFW174" s="125"/>
      <c r="GFX174" s="125"/>
      <c r="GFY174" s="125"/>
      <c r="GFZ174" s="125"/>
      <c r="GGA174" s="125"/>
      <c r="GGB174" s="125"/>
      <c r="GGC174" s="125"/>
      <c r="GGD174" s="125"/>
      <c r="GGE174" s="125"/>
      <c r="GGF174" s="125"/>
      <c r="GGG174" s="125"/>
      <c r="GGH174" s="125"/>
      <c r="GGI174" s="125"/>
      <c r="GGJ174" s="125"/>
      <c r="GGK174" s="125"/>
      <c r="GGL174" s="125"/>
      <c r="GGM174" s="125"/>
      <c r="GGN174" s="125"/>
      <c r="GGO174" s="125"/>
      <c r="GGP174" s="125"/>
      <c r="GGQ174" s="125"/>
      <c r="GGR174" s="125"/>
      <c r="GGS174" s="125"/>
      <c r="GGT174" s="125"/>
      <c r="GGU174" s="125"/>
      <c r="GGV174" s="125"/>
      <c r="GGW174" s="125"/>
      <c r="GGX174" s="125"/>
      <c r="GGY174" s="125"/>
      <c r="GGZ174" s="125"/>
      <c r="GHA174" s="125"/>
      <c r="GHB174" s="125"/>
      <c r="GHC174" s="125"/>
      <c r="GHD174" s="125"/>
      <c r="GHE174" s="125"/>
      <c r="GHF174" s="125"/>
      <c r="GHG174" s="125"/>
      <c r="GHH174" s="125"/>
      <c r="GHI174" s="125"/>
      <c r="GHJ174" s="125"/>
      <c r="GHK174" s="125"/>
      <c r="GHL174" s="125"/>
      <c r="GHM174" s="125"/>
      <c r="GHN174" s="125"/>
      <c r="GHO174" s="125"/>
      <c r="GHP174" s="125"/>
      <c r="GHQ174" s="125"/>
      <c r="GHR174" s="125"/>
      <c r="GHS174" s="125"/>
      <c r="GHT174" s="125"/>
      <c r="GHU174" s="125"/>
      <c r="GHV174" s="125"/>
      <c r="GHW174" s="125"/>
      <c r="GHX174" s="125"/>
      <c r="GHY174" s="125"/>
      <c r="GHZ174" s="125"/>
      <c r="GIA174" s="125"/>
      <c r="GIB174" s="125"/>
      <c r="GIC174" s="125"/>
      <c r="GID174" s="125"/>
      <c r="GIE174" s="125"/>
      <c r="GIF174" s="125"/>
      <c r="GIG174" s="125"/>
      <c r="GIH174" s="125"/>
      <c r="GII174" s="125"/>
      <c r="GIJ174" s="125"/>
      <c r="GIK174" s="125"/>
      <c r="GIL174" s="125"/>
      <c r="GIM174" s="125"/>
      <c r="GIN174" s="125"/>
      <c r="GIO174" s="125"/>
      <c r="GIP174" s="125"/>
      <c r="GIQ174" s="125"/>
      <c r="GIR174" s="125"/>
      <c r="GIS174" s="125"/>
      <c r="GIT174" s="125"/>
      <c r="GIU174" s="125"/>
      <c r="GIV174" s="125"/>
      <c r="GIW174" s="125"/>
      <c r="GIX174" s="125"/>
      <c r="GIY174" s="125"/>
      <c r="GIZ174" s="125"/>
      <c r="GJA174" s="125"/>
      <c r="GJB174" s="125"/>
      <c r="GJC174" s="125"/>
      <c r="GJD174" s="125"/>
      <c r="GJE174" s="125"/>
      <c r="GJF174" s="125"/>
      <c r="GJG174" s="125"/>
      <c r="GJH174" s="125"/>
      <c r="GJI174" s="125"/>
      <c r="GJJ174" s="125"/>
      <c r="GJK174" s="125"/>
      <c r="GJL174" s="125"/>
      <c r="GJM174" s="125"/>
      <c r="GJN174" s="125"/>
      <c r="GJO174" s="125"/>
      <c r="GJP174" s="125"/>
      <c r="GJQ174" s="125"/>
      <c r="GJR174" s="125"/>
      <c r="GJS174" s="125"/>
      <c r="GJT174" s="125"/>
      <c r="GJU174" s="125"/>
      <c r="GJV174" s="125"/>
      <c r="GJW174" s="125"/>
      <c r="GJX174" s="125"/>
      <c r="GJY174" s="125"/>
      <c r="GJZ174" s="125"/>
      <c r="GKA174" s="125"/>
      <c r="GKB174" s="125"/>
      <c r="GKC174" s="125"/>
      <c r="GKD174" s="125"/>
      <c r="GKE174" s="125"/>
      <c r="GKF174" s="125"/>
      <c r="GKG174" s="125"/>
      <c r="GKH174" s="125"/>
      <c r="GKI174" s="125"/>
      <c r="GKJ174" s="125"/>
      <c r="GKK174" s="125"/>
      <c r="GKL174" s="125"/>
      <c r="GKM174" s="125"/>
      <c r="GKN174" s="125"/>
      <c r="GKO174" s="125"/>
      <c r="GKP174" s="125"/>
      <c r="GKQ174" s="125"/>
      <c r="GKR174" s="125"/>
      <c r="GKS174" s="125"/>
      <c r="GKT174" s="125"/>
      <c r="GKU174" s="125"/>
      <c r="GKV174" s="125"/>
      <c r="GKW174" s="125"/>
      <c r="GKX174" s="125"/>
      <c r="GKY174" s="125"/>
      <c r="GKZ174" s="125"/>
      <c r="GLA174" s="125"/>
      <c r="GLB174" s="125"/>
      <c r="GLC174" s="125"/>
      <c r="GLD174" s="125"/>
      <c r="GLE174" s="125"/>
      <c r="GLF174" s="125"/>
      <c r="GLG174" s="125"/>
      <c r="GLH174" s="125"/>
      <c r="GLI174" s="125"/>
      <c r="GLJ174" s="125"/>
      <c r="GLK174" s="125"/>
      <c r="GLL174" s="125"/>
      <c r="GLM174" s="125"/>
      <c r="GLN174" s="125"/>
      <c r="GLO174" s="125"/>
      <c r="GLP174" s="125"/>
      <c r="GLQ174" s="125"/>
      <c r="GLR174" s="125"/>
      <c r="GLS174" s="125"/>
      <c r="GLT174" s="125"/>
      <c r="GLU174" s="125"/>
      <c r="GLV174" s="125"/>
      <c r="GLW174" s="125"/>
      <c r="GLX174" s="125"/>
      <c r="GLY174" s="125"/>
      <c r="GLZ174" s="125"/>
      <c r="GMA174" s="125"/>
      <c r="GMB174" s="125"/>
      <c r="GMC174" s="125"/>
      <c r="GMD174" s="125"/>
      <c r="GME174" s="125"/>
      <c r="GMF174" s="125"/>
      <c r="GMG174" s="125"/>
      <c r="GMH174" s="125"/>
      <c r="GMI174" s="125"/>
      <c r="GMJ174" s="125"/>
      <c r="GMK174" s="125"/>
      <c r="GML174" s="125"/>
      <c r="GMM174" s="125"/>
      <c r="GMN174" s="125"/>
      <c r="GMO174" s="125"/>
      <c r="GMP174" s="125"/>
      <c r="GMQ174" s="125"/>
      <c r="GMR174" s="125"/>
      <c r="GMS174" s="125"/>
      <c r="GMT174" s="125"/>
      <c r="GMU174" s="125"/>
      <c r="GMV174" s="125"/>
      <c r="GMW174" s="125"/>
      <c r="GMX174" s="125"/>
      <c r="GMY174" s="125"/>
      <c r="GMZ174" s="125"/>
      <c r="GNA174" s="125"/>
      <c r="GNB174" s="125"/>
      <c r="GNC174" s="125"/>
      <c r="GND174" s="125"/>
      <c r="GNE174" s="125"/>
      <c r="GNF174" s="125"/>
      <c r="GNG174" s="125"/>
      <c r="GNH174" s="125"/>
      <c r="GNI174" s="125"/>
      <c r="GNJ174" s="125"/>
      <c r="GNK174" s="125"/>
      <c r="GNL174" s="125"/>
      <c r="GNM174" s="125"/>
      <c r="GNN174" s="125"/>
      <c r="GNO174" s="125"/>
      <c r="GNP174" s="125"/>
      <c r="GNQ174" s="125"/>
      <c r="GNR174" s="125"/>
      <c r="GNS174" s="125"/>
      <c r="GNT174" s="125"/>
      <c r="GNU174" s="125"/>
      <c r="GNV174" s="125"/>
      <c r="GNW174" s="125"/>
      <c r="GNX174" s="125"/>
      <c r="GNY174" s="125"/>
      <c r="GNZ174" s="125"/>
      <c r="GOA174" s="125"/>
      <c r="GOB174" s="125"/>
      <c r="GOC174" s="125"/>
      <c r="GOD174" s="125"/>
      <c r="GOE174" s="125"/>
      <c r="GOF174" s="125"/>
      <c r="GOG174" s="125"/>
      <c r="GOH174" s="125"/>
      <c r="GOI174" s="125"/>
      <c r="GOJ174" s="125"/>
      <c r="GOK174" s="125"/>
      <c r="GOL174" s="125"/>
      <c r="GOM174" s="125"/>
      <c r="GON174" s="125"/>
      <c r="GOO174" s="125"/>
      <c r="GOP174" s="125"/>
      <c r="GOQ174" s="125"/>
      <c r="GOR174" s="125"/>
      <c r="GOS174" s="125"/>
      <c r="GOT174" s="125"/>
      <c r="GOU174" s="125"/>
      <c r="GOV174" s="125"/>
      <c r="GOW174" s="125"/>
      <c r="GOX174" s="125"/>
      <c r="GOY174" s="125"/>
      <c r="GOZ174" s="125"/>
      <c r="GPA174" s="125"/>
      <c r="GPB174" s="125"/>
      <c r="GPC174" s="125"/>
      <c r="GPD174" s="125"/>
      <c r="GPE174" s="125"/>
      <c r="GPF174" s="125"/>
      <c r="GPG174" s="125"/>
      <c r="GPH174" s="125"/>
      <c r="GPI174" s="125"/>
      <c r="GPJ174" s="125"/>
      <c r="GPK174" s="125"/>
      <c r="GPL174" s="125"/>
      <c r="GPM174" s="125"/>
      <c r="GPN174" s="125"/>
      <c r="GPO174" s="125"/>
      <c r="GPP174" s="125"/>
      <c r="GPQ174" s="125"/>
      <c r="GPR174" s="125"/>
      <c r="GPS174" s="125"/>
      <c r="GPT174" s="125"/>
      <c r="GPU174" s="125"/>
      <c r="GPV174" s="125"/>
      <c r="GPW174" s="125"/>
      <c r="GPX174" s="125"/>
      <c r="GPY174" s="125"/>
      <c r="GPZ174" s="125"/>
      <c r="GQA174" s="125"/>
      <c r="GQB174" s="125"/>
      <c r="GQC174" s="125"/>
      <c r="GQD174" s="125"/>
      <c r="GQE174" s="125"/>
      <c r="GQF174" s="125"/>
      <c r="GQG174" s="125"/>
      <c r="GQH174" s="125"/>
      <c r="GQI174" s="125"/>
      <c r="GQJ174" s="125"/>
      <c r="GQK174" s="125"/>
      <c r="GQL174" s="125"/>
      <c r="GQM174" s="125"/>
      <c r="GQN174" s="125"/>
      <c r="GQO174" s="125"/>
      <c r="GQP174" s="125"/>
      <c r="GQQ174" s="125"/>
      <c r="GQR174" s="125"/>
      <c r="GQS174" s="125"/>
      <c r="GQT174" s="125"/>
      <c r="GQU174" s="125"/>
      <c r="GQV174" s="125"/>
      <c r="GQW174" s="125"/>
      <c r="GQX174" s="125"/>
      <c r="GQY174" s="125"/>
      <c r="GQZ174" s="125"/>
      <c r="GRA174" s="125"/>
      <c r="GRB174" s="125"/>
      <c r="GRC174" s="125"/>
      <c r="GRD174" s="125"/>
      <c r="GRE174" s="125"/>
      <c r="GRF174" s="125"/>
      <c r="GRG174" s="125"/>
      <c r="GRH174" s="125"/>
      <c r="GRI174" s="125"/>
      <c r="GRJ174" s="125"/>
      <c r="GRK174" s="125"/>
      <c r="GRL174" s="125"/>
      <c r="GRM174" s="125"/>
      <c r="GRN174" s="125"/>
      <c r="GRO174" s="125"/>
      <c r="GRP174" s="125"/>
      <c r="GRQ174" s="125"/>
      <c r="GRR174" s="125"/>
      <c r="GRS174" s="125"/>
      <c r="GRT174" s="125"/>
      <c r="GRU174" s="125"/>
      <c r="GRV174" s="125"/>
      <c r="GRW174" s="125"/>
      <c r="GRX174" s="125"/>
      <c r="GRY174" s="125"/>
      <c r="GRZ174" s="125"/>
      <c r="GSA174" s="125"/>
      <c r="GSB174" s="125"/>
      <c r="GSC174" s="125"/>
      <c r="GSD174" s="125"/>
      <c r="GSE174" s="125"/>
      <c r="GSF174" s="125"/>
      <c r="GSG174" s="125"/>
      <c r="GSH174" s="125"/>
      <c r="GSI174" s="125"/>
      <c r="GSJ174" s="125"/>
      <c r="GSK174" s="125"/>
      <c r="GSL174" s="125"/>
      <c r="GSM174" s="125"/>
      <c r="GSN174" s="125"/>
      <c r="GSO174" s="125"/>
      <c r="GSP174" s="125"/>
      <c r="GSQ174" s="125"/>
      <c r="GSR174" s="125"/>
      <c r="GSS174" s="125"/>
      <c r="GST174" s="125"/>
      <c r="GSU174" s="125"/>
      <c r="GSV174" s="125"/>
      <c r="GSW174" s="125"/>
      <c r="GSX174" s="125"/>
      <c r="GSY174" s="125"/>
      <c r="GSZ174" s="125"/>
      <c r="GTA174" s="125"/>
      <c r="GTB174" s="125"/>
      <c r="GTC174" s="125"/>
      <c r="GTD174" s="125"/>
      <c r="GTE174" s="125"/>
      <c r="GTF174" s="125"/>
      <c r="GTG174" s="125"/>
      <c r="GTH174" s="125"/>
      <c r="GTI174" s="125"/>
      <c r="GTJ174" s="125"/>
      <c r="GTK174" s="125"/>
      <c r="GTL174" s="125"/>
      <c r="GTM174" s="125"/>
      <c r="GTN174" s="125"/>
      <c r="GTO174" s="125"/>
      <c r="GTP174" s="125"/>
      <c r="GTQ174" s="125"/>
      <c r="GTR174" s="125"/>
      <c r="GTS174" s="125"/>
      <c r="GTT174" s="125"/>
      <c r="GTU174" s="125"/>
      <c r="GTV174" s="125"/>
      <c r="GTW174" s="125"/>
      <c r="GTX174" s="125"/>
      <c r="GTY174" s="125"/>
      <c r="GTZ174" s="125"/>
      <c r="GUA174" s="125"/>
      <c r="GUB174" s="125"/>
      <c r="GUC174" s="125"/>
      <c r="GUD174" s="125"/>
      <c r="GUE174" s="125"/>
      <c r="GUF174" s="125"/>
      <c r="GUG174" s="125"/>
      <c r="GUH174" s="125"/>
      <c r="GUI174" s="125"/>
      <c r="GUJ174" s="125"/>
      <c r="GUK174" s="125"/>
      <c r="GUL174" s="125"/>
      <c r="GUM174" s="125"/>
      <c r="GUN174" s="125"/>
      <c r="GUO174" s="125"/>
      <c r="GUP174" s="125"/>
      <c r="GUQ174" s="125"/>
      <c r="GUR174" s="125"/>
      <c r="GUS174" s="125"/>
      <c r="GUT174" s="125"/>
      <c r="GUU174" s="125"/>
      <c r="GUV174" s="125"/>
      <c r="GUW174" s="125"/>
      <c r="GUX174" s="125"/>
      <c r="GUY174" s="125"/>
      <c r="GUZ174" s="125"/>
      <c r="GVA174" s="125"/>
      <c r="GVB174" s="125"/>
      <c r="GVC174" s="125"/>
      <c r="GVD174" s="125"/>
      <c r="GVE174" s="125"/>
      <c r="GVF174" s="125"/>
      <c r="GVG174" s="125"/>
      <c r="GVH174" s="125"/>
      <c r="GVI174" s="125"/>
      <c r="GVJ174" s="125"/>
      <c r="GVK174" s="125"/>
      <c r="GVL174" s="125"/>
      <c r="GVM174" s="125"/>
      <c r="GVN174" s="125"/>
      <c r="GVO174" s="125"/>
      <c r="GVP174" s="125"/>
      <c r="GVQ174" s="125"/>
      <c r="GVR174" s="125"/>
      <c r="GVS174" s="125"/>
      <c r="GVT174" s="125"/>
      <c r="GVU174" s="125"/>
      <c r="GVV174" s="125"/>
      <c r="GVW174" s="125"/>
      <c r="GVX174" s="125"/>
      <c r="GVY174" s="125"/>
      <c r="GVZ174" s="125"/>
      <c r="GWA174" s="125"/>
      <c r="GWB174" s="125"/>
      <c r="GWC174" s="125"/>
      <c r="GWD174" s="125"/>
      <c r="GWE174" s="125"/>
      <c r="GWF174" s="125"/>
      <c r="GWG174" s="125"/>
      <c r="GWH174" s="125"/>
      <c r="GWI174" s="125"/>
      <c r="GWJ174" s="125"/>
      <c r="GWK174" s="125"/>
      <c r="GWL174" s="125"/>
      <c r="GWM174" s="125"/>
      <c r="GWN174" s="125"/>
      <c r="GWO174" s="125"/>
      <c r="GWP174" s="125"/>
      <c r="GWQ174" s="125"/>
      <c r="GWR174" s="125"/>
      <c r="GWS174" s="125"/>
      <c r="GWT174" s="125"/>
      <c r="GWU174" s="125"/>
      <c r="GWV174" s="125"/>
      <c r="GWW174" s="125"/>
      <c r="GWX174" s="125"/>
      <c r="GWY174" s="125"/>
      <c r="GWZ174" s="125"/>
      <c r="GXA174" s="125"/>
      <c r="GXB174" s="125"/>
      <c r="GXC174" s="125"/>
      <c r="GXD174" s="125"/>
      <c r="GXE174" s="125"/>
      <c r="GXF174" s="125"/>
      <c r="GXG174" s="125"/>
      <c r="GXH174" s="125"/>
      <c r="GXI174" s="125"/>
      <c r="GXJ174" s="125"/>
      <c r="GXK174" s="125"/>
      <c r="GXL174" s="125"/>
      <c r="GXM174" s="125"/>
      <c r="GXN174" s="125"/>
      <c r="GXO174" s="125"/>
      <c r="GXP174" s="125"/>
      <c r="GXQ174" s="125"/>
      <c r="GXR174" s="125"/>
      <c r="GXS174" s="125"/>
      <c r="GXT174" s="125"/>
      <c r="GXU174" s="125"/>
      <c r="GXV174" s="125"/>
      <c r="GXW174" s="125"/>
      <c r="GXX174" s="125"/>
      <c r="GXY174" s="125"/>
      <c r="GXZ174" s="125"/>
      <c r="GYA174" s="125"/>
      <c r="GYB174" s="125"/>
      <c r="GYC174" s="125"/>
      <c r="GYD174" s="125"/>
      <c r="GYE174" s="125"/>
      <c r="GYF174" s="125"/>
      <c r="GYG174" s="125"/>
      <c r="GYH174" s="125"/>
      <c r="GYI174" s="125"/>
      <c r="GYJ174" s="125"/>
      <c r="GYK174" s="125"/>
      <c r="GYL174" s="125"/>
      <c r="GYM174" s="125"/>
      <c r="GYN174" s="125"/>
      <c r="GYO174" s="125"/>
      <c r="GYP174" s="125"/>
      <c r="GYQ174" s="125"/>
      <c r="GYR174" s="125"/>
      <c r="GYS174" s="125"/>
      <c r="GYT174" s="125"/>
      <c r="GYU174" s="125"/>
      <c r="GYV174" s="125"/>
      <c r="GYW174" s="125"/>
      <c r="GYX174" s="125"/>
      <c r="GYY174" s="125"/>
      <c r="GYZ174" s="125"/>
      <c r="GZA174" s="125"/>
      <c r="GZB174" s="125"/>
      <c r="GZC174" s="125"/>
      <c r="GZD174" s="125"/>
      <c r="GZE174" s="125"/>
      <c r="GZF174" s="125"/>
      <c r="GZG174" s="125"/>
      <c r="GZH174" s="125"/>
      <c r="GZI174" s="125"/>
      <c r="GZJ174" s="125"/>
      <c r="GZK174" s="125"/>
      <c r="GZL174" s="125"/>
      <c r="GZM174" s="125"/>
      <c r="GZN174" s="125"/>
      <c r="GZO174" s="125"/>
      <c r="GZP174" s="125"/>
      <c r="GZQ174" s="125"/>
      <c r="GZR174" s="125"/>
      <c r="GZS174" s="125"/>
      <c r="GZT174" s="125"/>
      <c r="GZU174" s="125"/>
      <c r="GZV174" s="125"/>
      <c r="GZW174" s="125"/>
      <c r="GZX174" s="125"/>
      <c r="GZY174" s="125"/>
      <c r="GZZ174" s="125"/>
      <c r="HAA174" s="125"/>
      <c r="HAB174" s="125"/>
      <c r="HAC174" s="125"/>
      <c r="HAD174" s="125"/>
      <c r="HAE174" s="125"/>
      <c r="HAF174" s="125"/>
      <c r="HAG174" s="125"/>
      <c r="HAH174" s="125"/>
      <c r="HAI174" s="125"/>
      <c r="HAJ174" s="125"/>
      <c r="HAK174" s="125"/>
      <c r="HAL174" s="125"/>
      <c r="HAM174" s="125"/>
      <c r="HAN174" s="125"/>
      <c r="HAO174" s="125"/>
      <c r="HAP174" s="125"/>
      <c r="HAQ174" s="125"/>
      <c r="HAR174" s="125"/>
      <c r="HAS174" s="125"/>
      <c r="HAT174" s="125"/>
      <c r="HAU174" s="125"/>
      <c r="HAV174" s="125"/>
      <c r="HAW174" s="125"/>
      <c r="HAX174" s="125"/>
      <c r="HAY174" s="125"/>
      <c r="HAZ174" s="125"/>
      <c r="HBA174" s="125"/>
      <c r="HBB174" s="125"/>
      <c r="HBC174" s="125"/>
      <c r="HBD174" s="125"/>
      <c r="HBE174" s="125"/>
      <c r="HBF174" s="125"/>
      <c r="HBG174" s="125"/>
      <c r="HBH174" s="125"/>
      <c r="HBI174" s="125"/>
      <c r="HBJ174" s="125"/>
      <c r="HBK174" s="125"/>
      <c r="HBL174" s="125"/>
      <c r="HBM174" s="125"/>
      <c r="HBN174" s="125"/>
      <c r="HBO174" s="125"/>
      <c r="HBP174" s="125"/>
      <c r="HBQ174" s="125"/>
      <c r="HBR174" s="125"/>
      <c r="HBS174" s="125"/>
      <c r="HBT174" s="125"/>
      <c r="HBU174" s="125"/>
      <c r="HBV174" s="125"/>
      <c r="HBW174" s="125"/>
      <c r="HBX174" s="125"/>
      <c r="HBY174" s="125"/>
      <c r="HBZ174" s="125"/>
      <c r="HCA174" s="125"/>
      <c r="HCB174" s="125"/>
      <c r="HCC174" s="125"/>
      <c r="HCD174" s="125"/>
      <c r="HCE174" s="125"/>
      <c r="HCF174" s="125"/>
      <c r="HCG174" s="125"/>
      <c r="HCH174" s="125"/>
      <c r="HCI174" s="125"/>
      <c r="HCJ174" s="125"/>
      <c r="HCK174" s="125"/>
      <c r="HCL174" s="125"/>
      <c r="HCM174" s="125"/>
      <c r="HCN174" s="125"/>
      <c r="HCO174" s="125"/>
      <c r="HCP174" s="125"/>
      <c r="HCQ174" s="125"/>
      <c r="HCR174" s="125"/>
      <c r="HCS174" s="125"/>
      <c r="HCT174" s="125"/>
      <c r="HCU174" s="125"/>
      <c r="HCV174" s="125"/>
      <c r="HCW174" s="125"/>
      <c r="HCX174" s="125"/>
      <c r="HCY174" s="125"/>
      <c r="HCZ174" s="125"/>
      <c r="HDA174" s="125"/>
      <c r="HDB174" s="125"/>
      <c r="HDC174" s="125"/>
      <c r="HDD174" s="125"/>
      <c r="HDE174" s="125"/>
      <c r="HDF174" s="125"/>
      <c r="HDG174" s="125"/>
      <c r="HDH174" s="125"/>
      <c r="HDI174" s="125"/>
      <c r="HDJ174" s="125"/>
      <c r="HDK174" s="125"/>
      <c r="HDL174" s="125"/>
      <c r="HDM174" s="125"/>
      <c r="HDN174" s="125"/>
      <c r="HDO174" s="125"/>
      <c r="HDP174" s="125"/>
      <c r="HDQ174" s="125"/>
      <c r="HDR174" s="125"/>
      <c r="HDS174" s="125"/>
      <c r="HDT174" s="125"/>
      <c r="HDU174" s="125"/>
      <c r="HDV174" s="125"/>
      <c r="HDW174" s="125"/>
      <c r="HDX174" s="125"/>
      <c r="HDY174" s="125"/>
      <c r="HDZ174" s="125"/>
      <c r="HEA174" s="125"/>
      <c r="HEB174" s="125"/>
      <c r="HEC174" s="125"/>
      <c r="HED174" s="125"/>
      <c r="HEE174" s="125"/>
      <c r="HEF174" s="125"/>
      <c r="HEG174" s="125"/>
      <c r="HEH174" s="125"/>
      <c r="HEI174" s="125"/>
      <c r="HEJ174" s="125"/>
      <c r="HEK174" s="125"/>
      <c r="HEL174" s="125"/>
      <c r="HEM174" s="125"/>
      <c r="HEN174" s="125"/>
      <c r="HEO174" s="125"/>
      <c r="HEP174" s="125"/>
      <c r="HEQ174" s="125"/>
      <c r="HER174" s="125"/>
      <c r="HES174" s="125"/>
      <c r="HET174" s="125"/>
      <c r="HEU174" s="125"/>
      <c r="HEV174" s="125"/>
      <c r="HEW174" s="125"/>
      <c r="HEX174" s="125"/>
      <c r="HEY174" s="125"/>
      <c r="HEZ174" s="125"/>
      <c r="HFA174" s="125"/>
      <c r="HFB174" s="125"/>
      <c r="HFC174" s="125"/>
      <c r="HFD174" s="125"/>
      <c r="HFE174" s="125"/>
      <c r="HFF174" s="125"/>
      <c r="HFG174" s="125"/>
      <c r="HFH174" s="125"/>
      <c r="HFI174" s="125"/>
      <c r="HFJ174" s="125"/>
      <c r="HFK174" s="125"/>
      <c r="HFL174" s="125"/>
      <c r="HFM174" s="125"/>
      <c r="HFN174" s="125"/>
      <c r="HFO174" s="125"/>
      <c r="HFP174" s="125"/>
      <c r="HFQ174" s="125"/>
      <c r="HFR174" s="125"/>
      <c r="HFS174" s="125"/>
      <c r="HFT174" s="125"/>
      <c r="HFU174" s="125"/>
      <c r="HFV174" s="125"/>
      <c r="HFW174" s="125"/>
      <c r="HFX174" s="125"/>
      <c r="HFY174" s="125"/>
      <c r="HFZ174" s="125"/>
      <c r="HGA174" s="125"/>
      <c r="HGB174" s="125"/>
      <c r="HGC174" s="125"/>
      <c r="HGD174" s="125"/>
      <c r="HGE174" s="125"/>
      <c r="HGF174" s="125"/>
      <c r="HGG174" s="125"/>
      <c r="HGH174" s="125"/>
      <c r="HGI174" s="125"/>
      <c r="HGJ174" s="125"/>
      <c r="HGK174" s="125"/>
      <c r="HGL174" s="125"/>
      <c r="HGM174" s="125"/>
      <c r="HGN174" s="125"/>
      <c r="HGO174" s="125"/>
      <c r="HGP174" s="125"/>
      <c r="HGQ174" s="125"/>
      <c r="HGR174" s="125"/>
      <c r="HGS174" s="125"/>
      <c r="HGT174" s="125"/>
      <c r="HGU174" s="125"/>
      <c r="HGV174" s="125"/>
      <c r="HGW174" s="125"/>
      <c r="HGX174" s="125"/>
      <c r="HGY174" s="125"/>
      <c r="HGZ174" s="125"/>
      <c r="HHA174" s="125"/>
      <c r="HHB174" s="125"/>
      <c r="HHC174" s="125"/>
      <c r="HHD174" s="125"/>
      <c r="HHE174" s="125"/>
      <c r="HHF174" s="125"/>
      <c r="HHG174" s="125"/>
      <c r="HHH174" s="125"/>
      <c r="HHI174" s="125"/>
      <c r="HHJ174" s="125"/>
      <c r="HHK174" s="125"/>
      <c r="HHL174" s="125"/>
      <c r="HHM174" s="125"/>
      <c r="HHN174" s="125"/>
      <c r="HHO174" s="125"/>
      <c r="HHP174" s="125"/>
      <c r="HHQ174" s="125"/>
      <c r="HHR174" s="125"/>
      <c r="HHS174" s="125"/>
      <c r="HHT174" s="125"/>
      <c r="HHU174" s="125"/>
      <c r="HHV174" s="125"/>
      <c r="HHW174" s="125"/>
      <c r="HHX174" s="125"/>
      <c r="HHY174" s="125"/>
      <c r="HHZ174" s="125"/>
      <c r="HIA174" s="125"/>
      <c r="HIB174" s="125"/>
      <c r="HIC174" s="125"/>
      <c r="HID174" s="125"/>
      <c r="HIE174" s="125"/>
      <c r="HIF174" s="125"/>
      <c r="HIG174" s="125"/>
      <c r="HIH174" s="125"/>
      <c r="HII174" s="125"/>
      <c r="HIJ174" s="125"/>
      <c r="HIK174" s="125"/>
      <c r="HIL174" s="125"/>
      <c r="HIM174" s="125"/>
      <c r="HIN174" s="125"/>
      <c r="HIO174" s="125"/>
      <c r="HIP174" s="125"/>
      <c r="HIQ174" s="125"/>
      <c r="HIR174" s="125"/>
      <c r="HIS174" s="125"/>
      <c r="HIT174" s="125"/>
      <c r="HIU174" s="125"/>
      <c r="HIV174" s="125"/>
      <c r="HIW174" s="125"/>
      <c r="HIX174" s="125"/>
      <c r="HIY174" s="125"/>
      <c r="HIZ174" s="125"/>
      <c r="HJA174" s="125"/>
      <c r="HJB174" s="125"/>
      <c r="HJC174" s="125"/>
      <c r="HJD174" s="125"/>
      <c r="HJE174" s="125"/>
      <c r="HJF174" s="125"/>
      <c r="HJG174" s="125"/>
      <c r="HJH174" s="125"/>
      <c r="HJI174" s="125"/>
      <c r="HJJ174" s="125"/>
      <c r="HJK174" s="125"/>
      <c r="HJL174" s="125"/>
      <c r="HJM174" s="125"/>
      <c r="HJN174" s="125"/>
      <c r="HJO174" s="125"/>
      <c r="HJP174" s="125"/>
      <c r="HJQ174" s="125"/>
      <c r="HJR174" s="125"/>
      <c r="HJS174" s="125"/>
      <c r="HJT174" s="125"/>
      <c r="HJU174" s="125"/>
      <c r="HJV174" s="125"/>
      <c r="HJW174" s="125"/>
      <c r="HJX174" s="125"/>
      <c r="HJY174" s="125"/>
      <c r="HJZ174" s="125"/>
      <c r="HKA174" s="125"/>
      <c r="HKB174" s="125"/>
      <c r="HKC174" s="125"/>
      <c r="HKD174" s="125"/>
      <c r="HKE174" s="125"/>
      <c r="HKF174" s="125"/>
      <c r="HKG174" s="125"/>
      <c r="HKH174" s="125"/>
      <c r="HKI174" s="125"/>
      <c r="HKJ174" s="125"/>
      <c r="HKK174" s="125"/>
      <c r="HKL174" s="125"/>
      <c r="HKM174" s="125"/>
      <c r="HKN174" s="125"/>
      <c r="HKO174" s="125"/>
      <c r="HKP174" s="125"/>
      <c r="HKQ174" s="125"/>
      <c r="HKR174" s="125"/>
      <c r="HKS174" s="125"/>
      <c r="HKT174" s="125"/>
      <c r="HKU174" s="125"/>
      <c r="HKV174" s="125"/>
      <c r="HKW174" s="125"/>
      <c r="HKX174" s="125"/>
      <c r="HKY174" s="125"/>
      <c r="HKZ174" s="125"/>
      <c r="HLA174" s="125"/>
      <c r="HLB174" s="125"/>
      <c r="HLC174" s="125"/>
      <c r="HLD174" s="125"/>
      <c r="HLE174" s="125"/>
      <c r="HLF174" s="125"/>
      <c r="HLG174" s="125"/>
      <c r="HLH174" s="125"/>
      <c r="HLI174" s="125"/>
      <c r="HLJ174" s="125"/>
      <c r="HLK174" s="125"/>
      <c r="HLL174" s="125"/>
      <c r="HLM174" s="125"/>
      <c r="HLN174" s="125"/>
      <c r="HLO174" s="125"/>
      <c r="HLP174" s="125"/>
      <c r="HLQ174" s="125"/>
      <c r="HLR174" s="125"/>
      <c r="HLS174" s="125"/>
      <c r="HLT174" s="125"/>
      <c r="HLU174" s="125"/>
      <c r="HLV174" s="125"/>
      <c r="HLW174" s="125"/>
      <c r="HLX174" s="125"/>
      <c r="HLY174" s="125"/>
      <c r="HLZ174" s="125"/>
      <c r="HMA174" s="125"/>
      <c r="HMB174" s="125"/>
      <c r="HMC174" s="125"/>
      <c r="HMD174" s="125"/>
      <c r="HME174" s="125"/>
      <c r="HMF174" s="125"/>
      <c r="HMG174" s="125"/>
      <c r="HMH174" s="125"/>
      <c r="HMI174" s="125"/>
      <c r="HMJ174" s="125"/>
      <c r="HMK174" s="125"/>
      <c r="HML174" s="125"/>
      <c r="HMM174" s="125"/>
      <c r="HMN174" s="125"/>
      <c r="HMO174" s="125"/>
      <c r="HMP174" s="125"/>
      <c r="HMQ174" s="125"/>
      <c r="HMR174" s="125"/>
      <c r="HMS174" s="125"/>
      <c r="HMT174" s="125"/>
      <c r="HMU174" s="125"/>
      <c r="HMV174" s="125"/>
      <c r="HMW174" s="125"/>
      <c r="HMX174" s="125"/>
      <c r="HMY174" s="125"/>
      <c r="HMZ174" s="125"/>
      <c r="HNA174" s="125"/>
      <c r="HNB174" s="125"/>
      <c r="HNC174" s="125"/>
      <c r="HND174" s="125"/>
      <c r="HNE174" s="125"/>
      <c r="HNF174" s="125"/>
      <c r="HNG174" s="125"/>
      <c r="HNH174" s="125"/>
      <c r="HNI174" s="125"/>
      <c r="HNJ174" s="125"/>
      <c r="HNK174" s="125"/>
      <c r="HNL174" s="125"/>
      <c r="HNM174" s="125"/>
      <c r="HNN174" s="125"/>
      <c r="HNO174" s="125"/>
      <c r="HNP174" s="125"/>
      <c r="HNQ174" s="125"/>
      <c r="HNR174" s="125"/>
      <c r="HNS174" s="125"/>
      <c r="HNT174" s="125"/>
      <c r="HNU174" s="125"/>
      <c r="HNV174" s="125"/>
      <c r="HNW174" s="125"/>
      <c r="HNX174" s="125"/>
      <c r="HNY174" s="125"/>
      <c r="HNZ174" s="125"/>
      <c r="HOA174" s="125"/>
      <c r="HOB174" s="125"/>
      <c r="HOC174" s="125"/>
      <c r="HOD174" s="125"/>
      <c r="HOE174" s="125"/>
      <c r="HOF174" s="125"/>
      <c r="HOG174" s="125"/>
      <c r="HOH174" s="125"/>
      <c r="HOI174" s="125"/>
      <c r="HOJ174" s="125"/>
      <c r="HOK174" s="125"/>
      <c r="HOL174" s="125"/>
      <c r="HOM174" s="125"/>
      <c r="HON174" s="125"/>
      <c r="HOO174" s="125"/>
      <c r="HOP174" s="125"/>
      <c r="HOQ174" s="125"/>
      <c r="HOR174" s="125"/>
      <c r="HOS174" s="125"/>
      <c r="HOT174" s="125"/>
      <c r="HOU174" s="125"/>
      <c r="HOV174" s="125"/>
      <c r="HOW174" s="125"/>
      <c r="HOX174" s="125"/>
      <c r="HOY174" s="125"/>
      <c r="HOZ174" s="125"/>
      <c r="HPA174" s="125"/>
      <c r="HPB174" s="125"/>
      <c r="HPC174" s="125"/>
      <c r="HPD174" s="125"/>
      <c r="HPE174" s="125"/>
      <c r="HPF174" s="125"/>
      <c r="HPG174" s="125"/>
      <c r="HPH174" s="125"/>
      <c r="HPI174" s="125"/>
      <c r="HPJ174" s="125"/>
      <c r="HPK174" s="125"/>
      <c r="HPL174" s="125"/>
      <c r="HPM174" s="125"/>
      <c r="HPN174" s="125"/>
      <c r="HPO174" s="125"/>
      <c r="HPP174" s="125"/>
      <c r="HPQ174" s="125"/>
      <c r="HPR174" s="125"/>
      <c r="HPS174" s="125"/>
      <c r="HPT174" s="125"/>
      <c r="HPU174" s="125"/>
      <c r="HPV174" s="125"/>
      <c r="HPW174" s="125"/>
      <c r="HPX174" s="125"/>
      <c r="HPY174" s="125"/>
      <c r="HPZ174" s="125"/>
      <c r="HQA174" s="125"/>
      <c r="HQB174" s="125"/>
      <c r="HQC174" s="125"/>
      <c r="HQD174" s="125"/>
      <c r="HQE174" s="125"/>
      <c r="HQF174" s="125"/>
      <c r="HQG174" s="125"/>
      <c r="HQH174" s="125"/>
      <c r="HQI174" s="125"/>
      <c r="HQJ174" s="125"/>
      <c r="HQK174" s="125"/>
      <c r="HQL174" s="125"/>
      <c r="HQM174" s="125"/>
      <c r="HQN174" s="125"/>
      <c r="HQO174" s="125"/>
      <c r="HQP174" s="125"/>
      <c r="HQQ174" s="125"/>
      <c r="HQR174" s="125"/>
      <c r="HQS174" s="125"/>
      <c r="HQT174" s="125"/>
      <c r="HQU174" s="125"/>
      <c r="HQV174" s="125"/>
      <c r="HQW174" s="125"/>
      <c r="HQX174" s="125"/>
      <c r="HQY174" s="125"/>
      <c r="HQZ174" s="125"/>
      <c r="HRA174" s="125"/>
      <c r="HRB174" s="125"/>
      <c r="HRC174" s="125"/>
      <c r="HRD174" s="125"/>
      <c r="HRE174" s="125"/>
      <c r="HRF174" s="125"/>
      <c r="HRG174" s="125"/>
      <c r="HRH174" s="125"/>
      <c r="HRI174" s="125"/>
      <c r="HRJ174" s="125"/>
      <c r="HRK174" s="125"/>
      <c r="HRL174" s="125"/>
      <c r="HRM174" s="125"/>
      <c r="HRN174" s="125"/>
      <c r="HRO174" s="125"/>
      <c r="HRP174" s="125"/>
      <c r="HRQ174" s="125"/>
      <c r="HRR174" s="125"/>
      <c r="HRS174" s="125"/>
      <c r="HRT174" s="125"/>
      <c r="HRU174" s="125"/>
      <c r="HRV174" s="125"/>
      <c r="HRW174" s="125"/>
      <c r="HRX174" s="125"/>
      <c r="HRY174" s="125"/>
      <c r="HRZ174" s="125"/>
      <c r="HSA174" s="125"/>
      <c r="HSB174" s="125"/>
      <c r="HSC174" s="125"/>
      <c r="HSD174" s="125"/>
      <c r="HSE174" s="125"/>
      <c r="HSF174" s="125"/>
      <c r="HSG174" s="125"/>
      <c r="HSH174" s="125"/>
      <c r="HSI174" s="125"/>
      <c r="HSJ174" s="125"/>
      <c r="HSK174" s="125"/>
      <c r="HSL174" s="125"/>
      <c r="HSM174" s="125"/>
      <c r="HSN174" s="125"/>
      <c r="HSO174" s="125"/>
      <c r="HSP174" s="125"/>
      <c r="HSQ174" s="125"/>
      <c r="HSR174" s="125"/>
      <c r="HSS174" s="125"/>
      <c r="HST174" s="125"/>
      <c r="HSU174" s="125"/>
      <c r="HSV174" s="125"/>
      <c r="HSW174" s="125"/>
      <c r="HSX174" s="125"/>
      <c r="HSY174" s="125"/>
      <c r="HSZ174" s="125"/>
      <c r="HTA174" s="125"/>
      <c r="HTB174" s="125"/>
      <c r="HTC174" s="125"/>
      <c r="HTD174" s="125"/>
      <c r="HTE174" s="125"/>
      <c r="HTF174" s="125"/>
      <c r="HTG174" s="125"/>
      <c r="HTH174" s="125"/>
      <c r="HTI174" s="125"/>
      <c r="HTJ174" s="125"/>
      <c r="HTK174" s="125"/>
      <c r="HTL174" s="125"/>
      <c r="HTM174" s="125"/>
      <c r="HTN174" s="125"/>
      <c r="HTO174" s="125"/>
      <c r="HTP174" s="125"/>
      <c r="HTQ174" s="125"/>
      <c r="HTR174" s="125"/>
      <c r="HTS174" s="125"/>
      <c r="HTT174" s="125"/>
      <c r="HTU174" s="125"/>
      <c r="HTV174" s="125"/>
      <c r="HTW174" s="125"/>
      <c r="HTX174" s="125"/>
      <c r="HTY174" s="125"/>
      <c r="HTZ174" s="125"/>
      <c r="HUA174" s="125"/>
      <c r="HUB174" s="125"/>
      <c r="HUC174" s="125"/>
      <c r="HUD174" s="125"/>
      <c r="HUE174" s="125"/>
      <c r="HUF174" s="125"/>
      <c r="HUG174" s="125"/>
      <c r="HUH174" s="125"/>
      <c r="HUI174" s="125"/>
      <c r="HUJ174" s="125"/>
      <c r="HUK174" s="125"/>
      <c r="HUL174" s="125"/>
      <c r="HUM174" s="125"/>
      <c r="HUN174" s="125"/>
      <c r="HUO174" s="125"/>
      <c r="HUP174" s="125"/>
      <c r="HUQ174" s="125"/>
      <c r="HUR174" s="125"/>
      <c r="HUS174" s="125"/>
      <c r="HUT174" s="125"/>
      <c r="HUU174" s="125"/>
      <c r="HUV174" s="125"/>
      <c r="HUW174" s="125"/>
      <c r="HUX174" s="125"/>
      <c r="HUY174" s="125"/>
      <c r="HUZ174" s="125"/>
      <c r="HVA174" s="125"/>
      <c r="HVB174" s="125"/>
      <c r="HVC174" s="125"/>
      <c r="HVD174" s="125"/>
      <c r="HVE174" s="125"/>
      <c r="HVF174" s="125"/>
      <c r="HVG174" s="125"/>
      <c r="HVH174" s="125"/>
      <c r="HVI174" s="125"/>
      <c r="HVJ174" s="125"/>
      <c r="HVK174" s="125"/>
      <c r="HVL174" s="125"/>
      <c r="HVM174" s="125"/>
      <c r="HVN174" s="125"/>
      <c r="HVO174" s="125"/>
      <c r="HVP174" s="125"/>
      <c r="HVQ174" s="125"/>
      <c r="HVR174" s="125"/>
      <c r="HVS174" s="125"/>
      <c r="HVT174" s="125"/>
      <c r="HVU174" s="125"/>
      <c r="HVV174" s="125"/>
      <c r="HVW174" s="125"/>
      <c r="HVX174" s="125"/>
      <c r="HVY174" s="125"/>
      <c r="HVZ174" s="125"/>
      <c r="HWA174" s="125"/>
      <c r="HWB174" s="125"/>
      <c r="HWC174" s="125"/>
      <c r="HWD174" s="125"/>
      <c r="HWE174" s="125"/>
      <c r="HWF174" s="125"/>
      <c r="HWG174" s="125"/>
      <c r="HWH174" s="125"/>
      <c r="HWI174" s="125"/>
      <c r="HWJ174" s="125"/>
      <c r="HWK174" s="125"/>
      <c r="HWL174" s="125"/>
      <c r="HWM174" s="125"/>
      <c r="HWN174" s="125"/>
      <c r="HWO174" s="125"/>
      <c r="HWP174" s="125"/>
      <c r="HWQ174" s="125"/>
      <c r="HWR174" s="125"/>
      <c r="HWS174" s="125"/>
      <c r="HWT174" s="125"/>
      <c r="HWU174" s="125"/>
      <c r="HWV174" s="125"/>
      <c r="HWW174" s="125"/>
      <c r="HWX174" s="125"/>
      <c r="HWY174" s="125"/>
      <c r="HWZ174" s="125"/>
      <c r="HXA174" s="125"/>
      <c r="HXB174" s="125"/>
      <c r="HXC174" s="125"/>
      <c r="HXD174" s="125"/>
      <c r="HXE174" s="125"/>
      <c r="HXF174" s="125"/>
      <c r="HXG174" s="125"/>
      <c r="HXH174" s="125"/>
      <c r="HXI174" s="125"/>
      <c r="HXJ174" s="125"/>
      <c r="HXK174" s="125"/>
      <c r="HXL174" s="125"/>
      <c r="HXM174" s="125"/>
      <c r="HXN174" s="125"/>
      <c r="HXO174" s="125"/>
      <c r="HXP174" s="125"/>
      <c r="HXQ174" s="125"/>
      <c r="HXR174" s="125"/>
      <c r="HXS174" s="125"/>
      <c r="HXT174" s="125"/>
      <c r="HXU174" s="125"/>
      <c r="HXV174" s="125"/>
      <c r="HXW174" s="125"/>
      <c r="HXX174" s="125"/>
      <c r="HXY174" s="125"/>
      <c r="HXZ174" s="125"/>
      <c r="HYA174" s="125"/>
      <c r="HYB174" s="125"/>
      <c r="HYC174" s="125"/>
      <c r="HYD174" s="125"/>
      <c r="HYE174" s="125"/>
      <c r="HYF174" s="125"/>
      <c r="HYG174" s="125"/>
      <c r="HYH174" s="125"/>
      <c r="HYI174" s="125"/>
      <c r="HYJ174" s="125"/>
      <c r="HYK174" s="125"/>
      <c r="HYL174" s="125"/>
      <c r="HYM174" s="125"/>
      <c r="HYN174" s="125"/>
      <c r="HYO174" s="125"/>
      <c r="HYP174" s="125"/>
      <c r="HYQ174" s="125"/>
      <c r="HYR174" s="125"/>
      <c r="HYS174" s="125"/>
      <c r="HYT174" s="125"/>
      <c r="HYU174" s="125"/>
      <c r="HYV174" s="125"/>
      <c r="HYW174" s="125"/>
      <c r="HYX174" s="125"/>
      <c r="HYY174" s="125"/>
      <c r="HYZ174" s="125"/>
      <c r="HZA174" s="125"/>
      <c r="HZB174" s="125"/>
      <c r="HZC174" s="125"/>
      <c r="HZD174" s="125"/>
      <c r="HZE174" s="125"/>
      <c r="HZF174" s="125"/>
      <c r="HZG174" s="125"/>
      <c r="HZH174" s="125"/>
      <c r="HZI174" s="125"/>
      <c r="HZJ174" s="125"/>
      <c r="HZK174" s="125"/>
      <c r="HZL174" s="125"/>
      <c r="HZM174" s="125"/>
      <c r="HZN174" s="125"/>
      <c r="HZO174" s="125"/>
      <c r="HZP174" s="125"/>
      <c r="HZQ174" s="125"/>
      <c r="HZR174" s="125"/>
      <c r="HZS174" s="125"/>
      <c r="HZT174" s="125"/>
      <c r="HZU174" s="125"/>
      <c r="HZV174" s="125"/>
      <c r="HZW174" s="125"/>
      <c r="HZX174" s="125"/>
      <c r="HZY174" s="125"/>
      <c r="HZZ174" s="125"/>
      <c r="IAA174" s="125"/>
      <c r="IAB174" s="125"/>
      <c r="IAC174" s="125"/>
      <c r="IAD174" s="125"/>
      <c r="IAE174" s="125"/>
      <c r="IAF174" s="125"/>
      <c r="IAG174" s="125"/>
      <c r="IAH174" s="125"/>
      <c r="IAI174" s="125"/>
      <c r="IAJ174" s="125"/>
      <c r="IAK174" s="125"/>
      <c r="IAL174" s="125"/>
      <c r="IAM174" s="125"/>
      <c r="IAN174" s="125"/>
      <c r="IAO174" s="125"/>
      <c r="IAP174" s="125"/>
      <c r="IAQ174" s="125"/>
      <c r="IAR174" s="125"/>
      <c r="IAS174" s="125"/>
      <c r="IAT174" s="125"/>
      <c r="IAU174" s="125"/>
      <c r="IAV174" s="125"/>
      <c r="IAW174" s="125"/>
      <c r="IAX174" s="125"/>
      <c r="IAY174" s="125"/>
      <c r="IAZ174" s="125"/>
      <c r="IBA174" s="125"/>
      <c r="IBB174" s="125"/>
      <c r="IBC174" s="125"/>
      <c r="IBD174" s="125"/>
      <c r="IBE174" s="125"/>
      <c r="IBF174" s="125"/>
      <c r="IBG174" s="125"/>
      <c r="IBH174" s="125"/>
      <c r="IBI174" s="125"/>
      <c r="IBJ174" s="125"/>
      <c r="IBK174" s="125"/>
      <c r="IBL174" s="125"/>
      <c r="IBM174" s="125"/>
      <c r="IBN174" s="125"/>
      <c r="IBO174" s="125"/>
      <c r="IBP174" s="125"/>
      <c r="IBQ174" s="125"/>
      <c r="IBR174" s="125"/>
      <c r="IBS174" s="125"/>
      <c r="IBT174" s="125"/>
      <c r="IBU174" s="125"/>
      <c r="IBV174" s="125"/>
      <c r="IBW174" s="125"/>
      <c r="IBX174" s="125"/>
      <c r="IBY174" s="125"/>
      <c r="IBZ174" s="125"/>
      <c r="ICA174" s="125"/>
      <c r="ICB174" s="125"/>
      <c r="ICC174" s="125"/>
      <c r="ICD174" s="125"/>
      <c r="ICE174" s="125"/>
      <c r="ICF174" s="125"/>
      <c r="ICG174" s="125"/>
      <c r="ICH174" s="125"/>
      <c r="ICI174" s="125"/>
      <c r="ICJ174" s="125"/>
      <c r="ICK174" s="125"/>
      <c r="ICL174" s="125"/>
      <c r="ICM174" s="125"/>
      <c r="ICN174" s="125"/>
      <c r="ICO174" s="125"/>
      <c r="ICP174" s="125"/>
      <c r="ICQ174" s="125"/>
      <c r="ICR174" s="125"/>
      <c r="ICS174" s="125"/>
      <c r="ICT174" s="125"/>
      <c r="ICU174" s="125"/>
      <c r="ICV174" s="125"/>
      <c r="ICW174" s="125"/>
      <c r="ICX174" s="125"/>
      <c r="ICY174" s="125"/>
      <c r="ICZ174" s="125"/>
      <c r="IDA174" s="125"/>
      <c r="IDB174" s="125"/>
      <c r="IDC174" s="125"/>
      <c r="IDD174" s="125"/>
      <c r="IDE174" s="125"/>
      <c r="IDF174" s="125"/>
      <c r="IDG174" s="125"/>
      <c r="IDH174" s="125"/>
      <c r="IDI174" s="125"/>
      <c r="IDJ174" s="125"/>
      <c r="IDK174" s="125"/>
      <c r="IDL174" s="125"/>
      <c r="IDM174" s="125"/>
      <c r="IDN174" s="125"/>
      <c r="IDO174" s="125"/>
      <c r="IDP174" s="125"/>
      <c r="IDQ174" s="125"/>
      <c r="IDR174" s="125"/>
      <c r="IDS174" s="125"/>
      <c r="IDT174" s="125"/>
      <c r="IDU174" s="125"/>
      <c r="IDV174" s="125"/>
      <c r="IDW174" s="125"/>
      <c r="IDX174" s="125"/>
      <c r="IDY174" s="125"/>
      <c r="IDZ174" s="125"/>
      <c r="IEA174" s="125"/>
      <c r="IEB174" s="125"/>
      <c r="IEC174" s="125"/>
      <c r="IED174" s="125"/>
      <c r="IEE174" s="125"/>
      <c r="IEF174" s="125"/>
      <c r="IEG174" s="125"/>
      <c r="IEH174" s="125"/>
      <c r="IEI174" s="125"/>
      <c r="IEJ174" s="125"/>
      <c r="IEK174" s="125"/>
      <c r="IEL174" s="125"/>
      <c r="IEM174" s="125"/>
      <c r="IEN174" s="125"/>
      <c r="IEO174" s="125"/>
      <c r="IEP174" s="125"/>
      <c r="IEQ174" s="125"/>
      <c r="IER174" s="125"/>
      <c r="IES174" s="125"/>
      <c r="IET174" s="125"/>
      <c r="IEU174" s="125"/>
      <c r="IEV174" s="125"/>
      <c r="IEW174" s="125"/>
      <c r="IEX174" s="125"/>
      <c r="IEY174" s="125"/>
      <c r="IEZ174" s="125"/>
      <c r="IFA174" s="125"/>
      <c r="IFB174" s="125"/>
      <c r="IFC174" s="125"/>
      <c r="IFD174" s="125"/>
      <c r="IFE174" s="125"/>
      <c r="IFF174" s="125"/>
      <c r="IFG174" s="125"/>
      <c r="IFH174" s="125"/>
      <c r="IFI174" s="125"/>
      <c r="IFJ174" s="125"/>
      <c r="IFK174" s="125"/>
      <c r="IFL174" s="125"/>
      <c r="IFM174" s="125"/>
      <c r="IFN174" s="125"/>
      <c r="IFO174" s="125"/>
      <c r="IFP174" s="125"/>
      <c r="IFQ174" s="125"/>
      <c r="IFR174" s="125"/>
      <c r="IFS174" s="125"/>
      <c r="IFT174" s="125"/>
      <c r="IFU174" s="125"/>
      <c r="IFV174" s="125"/>
      <c r="IFW174" s="125"/>
      <c r="IFX174" s="125"/>
      <c r="IFY174" s="125"/>
      <c r="IFZ174" s="125"/>
      <c r="IGA174" s="125"/>
      <c r="IGB174" s="125"/>
      <c r="IGC174" s="125"/>
      <c r="IGD174" s="125"/>
      <c r="IGE174" s="125"/>
      <c r="IGF174" s="125"/>
      <c r="IGG174" s="125"/>
      <c r="IGH174" s="125"/>
      <c r="IGI174" s="125"/>
      <c r="IGJ174" s="125"/>
      <c r="IGK174" s="125"/>
      <c r="IGL174" s="125"/>
      <c r="IGM174" s="125"/>
      <c r="IGN174" s="125"/>
      <c r="IGO174" s="125"/>
      <c r="IGP174" s="125"/>
      <c r="IGQ174" s="125"/>
      <c r="IGR174" s="125"/>
      <c r="IGS174" s="125"/>
      <c r="IGT174" s="125"/>
      <c r="IGU174" s="125"/>
      <c r="IGV174" s="125"/>
      <c r="IGW174" s="125"/>
      <c r="IGX174" s="125"/>
      <c r="IGY174" s="125"/>
      <c r="IGZ174" s="125"/>
      <c r="IHA174" s="125"/>
      <c r="IHB174" s="125"/>
      <c r="IHC174" s="125"/>
      <c r="IHD174" s="125"/>
      <c r="IHE174" s="125"/>
      <c r="IHF174" s="125"/>
      <c r="IHG174" s="125"/>
      <c r="IHH174" s="125"/>
      <c r="IHI174" s="125"/>
      <c r="IHJ174" s="125"/>
      <c r="IHK174" s="125"/>
      <c r="IHL174" s="125"/>
      <c r="IHM174" s="125"/>
      <c r="IHN174" s="125"/>
      <c r="IHO174" s="125"/>
      <c r="IHP174" s="125"/>
      <c r="IHQ174" s="125"/>
      <c r="IHR174" s="125"/>
      <c r="IHS174" s="125"/>
      <c r="IHT174" s="125"/>
      <c r="IHU174" s="125"/>
      <c r="IHV174" s="125"/>
      <c r="IHW174" s="125"/>
      <c r="IHX174" s="125"/>
      <c r="IHY174" s="125"/>
      <c r="IHZ174" s="125"/>
      <c r="IIA174" s="125"/>
      <c r="IIB174" s="125"/>
      <c r="IIC174" s="125"/>
      <c r="IID174" s="125"/>
      <c r="IIE174" s="125"/>
      <c r="IIF174" s="125"/>
      <c r="IIG174" s="125"/>
      <c r="IIH174" s="125"/>
      <c r="III174" s="125"/>
      <c r="IIJ174" s="125"/>
      <c r="IIK174" s="125"/>
      <c r="IIL174" s="125"/>
      <c r="IIM174" s="125"/>
      <c r="IIN174" s="125"/>
      <c r="IIO174" s="125"/>
      <c r="IIP174" s="125"/>
      <c r="IIQ174" s="125"/>
      <c r="IIR174" s="125"/>
      <c r="IIS174" s="125"/>
      <c r="IIT174" s="125"/>
      <c r="IIU174" s="125"/>
      <c r="IIV174" s="125"/>
      <c r="IIW174" s="125"/>
      <c r="IIX174" s="125"/>
      <c r="IIY174" s="125"/>
      <c r="IIZ174" s="125"/>
      <c r="IJA174" s="125"/>
      <c r="IJB174" s="125"/>
      <c r="IJC174" s="125"/>
      <c r="IJD174" s="125"/>
      <c r="IJE174" s="125"/>
      <c r="IJF174" s="125"/>
      <c r="IJG174" s="125"/>
      <c r="IJH174" s="125"/>
      <c r="IJI174" s="125"/>
      <c r="IJJ174" s="125"/>
      <c r="IJK174" s="125"/>
      <c r="IJL174" s="125"/>
      <c r="IJM174" s="125"/>
      <c r="IJN174" s="125"/>
      <c r="IJO174" s="125"/>
      <c r="IJP174" s="125"/>
      <c r="IJQ174" s="125"/>
      <c r="IJR174" s="125"/>
      <c r="IJS174" s="125"/>
      <c r="IJT174" s="125"/>
      <c r="IJU174" s="125"/>
      <c r="IJV174" s="125"/>
      <c r="IJW174" s="125"/>
      <c r="IJX174" s="125"/>
      <c r="IJY174" s="125"/>
      <c r="IJZ174" s="125"/>
      <c r="IKA174" s="125"/>
      <c r="IKB174" s="125"/>
      <c r="IKC174" s="125"/>
      <c r="IKD174" s="125"/>
      <c r="IKE174" s="125"/>
      <c r="IKF174" s="125"/>
      <c r="IKG174" s="125"/>
      <c r="IKH174" s="125"/>
      <c r="IKI174" s="125"/>
      <c r="IKJ174" s="125"/>
      <c r="IKK174" s="125"/>
      <c r="IKL174" s="125"/>
      <c r="IKM174" s="125"/>
      <c r="IKN174" s="125"/>
      <c r="IKO174" s="125"/>
      <c r="IKP174" s="125"/>
      <c r="IKQ174" s="125"/>
      <c r="IKR174" s="125"/>
      <c r="IKS174" s="125"/>
      <c r="IKT174" s="125"/>
      <c r="IKU174" s="125"/>
      <c r="IKV174" s="125"/>
      <c r="IKW174" s="125"/>
      <c r="IKX174" s="125"/>
      <c r="IKY174" s="125"/>
      <c r="IKZ174" s="125"/>
      <c r="ILA174" s="125"/>
      <c r="ILB174" s="125"/>
      <c r="ILC174" s="125"/>
      <c r="ILD174" s="125"/>
      <c r="ILE174" s="125"/>
      <c r="ILF174" s="125"/>
      <c r="ILG174" s="125"/>
      <c r="ILH174" s="125"/>
      <c r="ILI174" s="125"/>
      <c r="ILJ174" s="125"/>
      <c r="ILK174" s="125"/>
      <c r="ILL174" s="125"/>
      <c r="ILM174" s="125"/>
      <c r="ILN174" s="125"/>
      <c r="ILO174" s="125"/>
      <c r="ILP174" s="125"/>
      <c r="ILQ174" s="125"/>
      <c r="ILR174" s="125"/>
      <c r="ILS174" s="125"/>
      <c r="ILT174" s="125"/>
      <c r="ILU174" s="125"/>
      <c r="ILV174" s="125"/>
      <c r="ILW174" s="125"/>
      <c r="ILX174" s="125"/>
      <c r="ILY174" s="125"/>
      <c r="ILZ174" s="125"/>
      <c r="IMA174" s="125"/>
      <c r="IMB174" s="125"/>
      <c r="IMC174" s="125"/>
      <c r="IMD174" s="125"/>
      <c r="IME174" s="125"/>
      <c r="IMF174" s="125"/>
      <c r="IMG174" s="125"/>
      <c r="IMH174" s="125"/>
      <c r="IMI174" s="125"/>
      <c r="IMJ174" s="125"/>
      <c r="IMK174" s="125"/>
      <c r="IML174" s="125"/>
      <c r="IMM174" s="125"/>
      <c r="IMN174" s="125"/>
      <c r="IMO174" s="125"/>
      <c r="IMP174" s="125"/>
      <c r="IMQ174" s="125"/>
      <c r="IMR174" s="125"/>
      <c r="IMS174" s="125"/>
      <c r="IMT174" s="125"/>
      <c r="IMU174" s="125"/>
      <c r="IMV174" s="125"/>
      <c r="IMW174" s="125"/>
      <c r="IMX174" s="125"/>
      <c r="IMY174" s="125"/>
      <c r="IMZ174" s="125"/>
      <c r="INA174" s="125"/>
      <c r="INB174" s="125"/>
      <c r="INC174" s="125"/>
      <c r="IND174" s="125"/>
      <c r="INE174" s="125"/>
      <c r="INF174" s="125"/>
      <c r="ING174" s="125"/>
      <c r="INH174" s="125"/>
      <c r="INI174" s="125"/>
      <c r="INJ174" s="125"/>
      <c r="INK174" s="125"/>
      <c r="INL174" s="125"/>
      <c r="INM174" s="125"/>
      <c r="INN174" s="125"/>
      <c r="INO174" s="125"/>
      <c r="INP174" s="125"/>
      <c r="INQ174" s="125"/>
      <c r="INR174" s="125"/>
      <c r="INS174" s="125"/>
      <c r="INT174" s="125"/>
      <c r="INU174" s="125"/>
      <c r="INV174" s="125"/>
      <c r="INW174" s="125"/>
      <c r="INX174" s="125"/>
      <c r="INY174" s="125"/>
      <c r="INZ174" s="125"/>
      <c r="IOA174" s="125"/>
      <c r="IOB174" s="125"/>
      <c r="IOC174" s="125"/>
      <c r="IOD174" s="125"/>
      <c r="IOE174" s="125"/>
      <c r="IOF174" s="125"/>
      <c r="IOG174" s="125"/>
      <c r="IOH174" s="125"/>
      <c r="IOI174" s="125"/>
      <c r="IOJ174" s="125"/>
      <c r="IOK174" s="125"/>
      <c r="IOL174" s="125"/>
      <c r="IOM174" s="125"/>
      <c r="ION174" s="125"/>
      <c r="IOO174" s="125"/>
      <c r="IOP174" s="125"/>
      <c r="IOQ174" s="125"/>
      <c r="IOR174" s="125"/>
      <c r="IOS174" s="125"/>
      <c r="IOT174" s="125"/>
      <c r="IOU174" s="125"/>
      <c r="IOV174" s="125"/>
      <c r="IOW174" s="125"/>
      <c r="IOX174" s="125"/>
      <c r="IOY174" s="125"/>
      <c r="IOZ174" s="125"/>
      <c r="IPA174" s="125"/>
      <c r="IPB174" s="125"/>
      <c r="IPC174" s="125"/>
      <c r="IPD174" s="125"/>
      <c r="IPE174" s="125"/>
      <c r="IPF174" s="125"/>
      <c r="IPG174" s="125"/>
      <c r="IPH174" s="125"/>
      <c r="IPI174" s="125"/>
      <c r="IPJ174" s="125"/>
      <c r="IPK174" s="125"/>
      <c r="IPL174" s="125"/>
      <c r="IPM174" s="125"/>
      <c r="IPN174" s="125"/>
      <c r="IPO174" s="125"/>
      <c r="IPP174" s="125"/>
      <c r="IPQ174" s="125"/>
      <c r="IPR174" s="125"/>
      <c r="IPS174" s="125"/>
      <c r="IPT174" s="125"/>
      <c r="IPU174" s="125"/>
      <c r="IPV174" s="125"/>
      <c r="IPW174" s="125"/>
      <c r="IPX174" s="125"/>
      <c r="IPY174" s="125"/>
      <c r="IPZ174" s="125"/>
      <c r="IQA174" s="125"/>
      <c r="IQB174" s="125"/>
      <c r="IQC174" s="125"/>
      <c r="IQD174" s="125"/>
      <c r="IQE174" s="125"/>
      <c r="IQF174" s="125"/>
      <c r="IQG174" s="125"/>
      <c r="IQH174" s="125"/>
      <c r="IQI174" s="125"/>
      <c r="IQJ174" s="125"/>
      <c r="IQK174" s="125"/>
      <c r="IQL174" s="125"/>
      <c r="IQM174" s="125"/>
      <c r="IQN174" s="125"/>
      <c r="IQO174" s="125"/>
      <c r="IQP174" s="125"/>
      <c r="IQQ174" s="125"/>
      <c r="IQR174" s="125"/>
      <c r="IQS174" s="125"/>
      <c r="IQT174" s="125"/>
      <c r="IQU174" s="125"/>
      <c r="IQV174" s="125"/>
      <c r="IQW174" s="125"/>
      <c r="IQX174" s="125"/>
      <c r="IQY174" s="125"/>
      <c r="IQZ174" s="125"/>
      <c r="IRA174" s="125"/>
      <c r="IRB174" s="125"/>
      <c r="IRC174" s="125"/>
      <c r="IRD174" s="125"/>
      <c r="IRE174" s="125"/>
      <c r="IRF174" s="125"/>
      <c r="IRG174" s="125"/>
      <c r="IRH174" s="125"/>
      <c r="IRI174" s="125"/>
      <c r="IRJ174" s="125"/>
      <c r="IRK174" s="125"/>
      <c r="IRL174" s="125"/>
      <c r="IRM174" s="125"/>
      <c r="IRN174" s="125"/>
      <c r="IRO174" s="125"/>
      <c r="IRP174" s="125"/>
      <c r="IRQ174" s="125"/>
      <c r="IRR174" s="125"/>
      <c r="IRS174" s="125"/>
      <c r="IRT174" s="125"/>
      <c r="IRU174" s="125"/>
      <c r="IRV174" s="125"/>
      <c r="IRW174" s="125"/>
      <c r="IRX174" s="125"/>
      <c r="IRY174" s="125"/>
      <c r="IRZ174" s="125"/>
      <c r="ISA174" s="125"/>
      <c r="ISB174" s="125"/>
      <c r="ISC174" s="125"/>
      <c r="ISD174" s="125"/>
      <c r="ISE174" s="125"/>
      <c r="ISF174" s="125"/>
      <c r="ISG174" s="125"/>
      <c r="ISH174" s="125"/>
      <c r="ISI174" s="125"/>
      <c r="ISJ174" s="125"/>
      <c r="ISK174" s="125"/>
      <c r="ISL174" s="125"/>
      <c r="ISM174" s="125"/>
      <c r="ISN174" s="125"/>
      <c r="ISO174" s="125"/>
      <c r="ISP174" s="125"/>
      <c r="ISQ174" s="125"/>
      <c r="ISR174" s="125"/>
      <c r="ISS174" s="125"/>
      <c r="IST174" s="125"/>
      <c r="ISU174" s="125"/>
      <c r="ISV174" s="125"/>
      <c r="ISW174" s="125"/>
      <c r="ISX174" s="125"/>
      <c r="ISY174" s="125"/>
      <c r="ISZ174" s="125"/>
      <c r="ITA174" s="125"/>
      <c r="ITB174" s="125"/>
      <c r="ITC174" s="125"/>
      <c r="ITD174" s="125"/>
      <c r="ITE174" s="125"/>
      <c r="ITF174" s="125"/>
      <c r="ITG174" s="125"/>
      <c r="ITH174" s="125"/>
      <c r="ITI174" s="125"/>
      <c r="ITJ174" s="125"/>
      <c r="ITK174" s="125"/>
      <c r="ITL174" s="125"/>
      <c r="ITM174" s="125"/>
      <c r="ITN174" s="125"/>
      <c r="ITO174" s="125"/>
      <c r="ITP174" s="125"/>
      <c r="ITQ174" s="125"/>
      <c r="ITR174" s="125"/>
      <c r="ITS174" s="125"/>
      <c r="ITT174" s="125"/>
      <c r="ITU174" s="125"/>
      <c r="ITV174" s="125"/>
      <c r="ITW174" s="125"/>
      <c r="ITX174" s="125"/>
      <c r="ITY174" s="125"/>
      <c r="ITZ174" s="125"/>
      <c r="IUA174" s="125"/>
      <c r="IUB174" s="125"/>
      <c r="IUC174" s="125"/>
      <c r="IUD174" s="125"/>
      <c r="IUE174" s="125"/>
      <c r="IUF174" s="125"/>
      <c r="IUG174" s="125"/>
      <c r="IUH174" s="125"/>
      <c r="IUI174" s="125"/>
      <c r="IUJ174" s="125"/>
      <c r="IUK174" s="125"/>
      <c r="IUL174" s="125"/>
      <c r="IUM174" s="125"/>
      <c r="IUN174" s="125"/>
      <c r="IUO174" s="125"/>
      <c r="IUP174" s="125"/>
      <c r="IUQ174" s="125"/>
      <c r="IUR174" s="125"/>
      <c r="IUS174" s="125"/>
      <c r="IUT174" s="125"/>
      <c r="IUU174" s="125"/>
      <c r="IUV174" s="125"/>
      <c r="IUW174" s="125"/>
      <c r="IUX174" s="125"/>
      <c r="IUY174" s="125"/>
      <c r="IUZ174" s="125"/>
      <c r="IVA174" s="125"/>
      <c r="IVB174" s="125"/>
      <c r="IVC174" s="125"/>
      <c r="IVD174" s="125"/>
      <c r="IVE174" s="125"/>
      <c r="IVF174" s="125"/>
      <c r="IVG174" s="125"/>
      <c r="IVH174" s="125"/>
      <c r="IVI174" s="125"/>
      <c r="IVJ174" s="125"/>
      <c r="IVK174" s="125"/>
      <c r="IVL174" s="125"/>
      <c r="IVM174" s="125"/>
      <c r="IVN174" s="125"/>
      <c r="IVO174" s="125"/>
      <c r="IVP174" s="125"/>
      <c r="IVQ174" s="125"/>
      <c r="IVR174" s="125"/>
      <c r="IVS174" s="125"/>
      <c r="IVT174" s="125"/>
      <c r="IVU174" s="125"/>
      <c r="IVV174" s="125"/>
      <c r="IVW174" s="125"/>
      <c r="IVX174" s="125"/>
      <c r="IVY174" s="125"/>
      <c r="IVZ174" s="125"/>
      <c r="IWA174" s="125"/>
      <c r="IWB174" s="125"/>
      <c r="IWC174" s="125"/>
      <c r="IWD174" s="125"/>
      <c r="IWE174" s="125"/>
      <c r="IWF174" s="125"/>
      <c r="IWG174" s="125"/>
      <c r="IWH174" s="125"/>
      <c r="IWI174" s="125"/>
      <c r="IWJ174" s="125"/>
      <c r="IWK174" s="125"/>
      <c r="IWL174" s="125"/>
      <c r="IWM174" s="125"/>
      <c r="IWN174" s="125"/>
      <c r="IWO174" s="125"/>
      <c r="IWP174" s="125"/>
      <c r="IWQ174" s="125"/>
      <c r="IWR174" s="125"/>
      <c r="IWS174" s="125"/>
      <c r="IWT174" s="125"/>
      <c r="IWU174" s="125"/>
      <c r="IWV174" s="125"/>
      <c r="IWW174" s="125"/>
      <c r="IWX174" s="125"/>
      <c r="IWY174" s="125"/>
      <c r="IWZ174" s="125"/>
      <c r="IXA174" s="125"/>
      <c r="IXB174" s="125"/>
      <c r="IXC174" s="125"/>
      <c r="IXD174" s="125"/>
      <c r="IXE174" s="125"/>
      <c r="IXF174" s="125"/>
      <c r="IXG174" s="125"/>
      <c r="IXH174" s="125"/>
      <c r="IXI174" s="125"/>
      <c r="IXJ174" s="125"/>
      <c r="IXK174" s="125"/>
      <c r="IXL174" s="125"/>
      <c r="IXM174" s="125"/>
      <c r="IXN174" s="125"/>
      <c r="IXO174" s="125"/>
      <c r="IXP174" s="125"/>
      <c r="IXQ174" s="125"/>
      <c r="IXR174" s="125"/>
      <c r="IXS174" s="125"/>
      <c r="IXT174" s="125"/>
      <c r="IXU174" s="125"/>
      <c r="IXV174" s="125"/>
      <c r="IXW174" s="125"/>
      <c r="IXX174" s="125"/>
      <c r="IXY174" s="125"/>
      <c r="IXZ174" s="125"/>
      <c r="IYA174" s="125"/>
      <c r="IYB174" s="125"/>
      <c r="IYC174" s="125"/>
      <c r="IYD174" s="125"/>
      <c r="IYE174" s="125"/>
      <c r="IYF174" s="125"/>
      <c r="IYG174" s="125"/>
      <c r="IYH174" s="125"/>
      <c r="IYI174" s="125"/>
      <c r="IYJ174" s="125"/>
      <c r="IYK174" s="125"/>
      <c r="IYL174" s="125"/>
      <c r="IYM174" s="125"/>
      <c r="IYN174" s="125"/>
      <c r="IYO174" s="125"/>
      <c r="IYP174" s="125"/>
      <c r="IYQ174" s="125"/>
      <c r="IYR174" s="125"/>
      <c r="IYS174" s="125"/>
      <c r="IYT174" s="125"/>
      <c r="IYU174" s="125"/>
      <c r="IYV174" s="125"/>
      <c r="IYW174" s="125"/>
      <c r="IYX174" s="125"/>
      <c r="IYY174" s="125"/>
      <c r="IYZ174" s="125"/>
      <c r="IZA174" s="125"/>
      <c r="IZB174" s="125"/>
      <c r="IZC174" s="125"/>
      <c r="IZD174" s="125"/>
      <c r="IZE174" s="125"/>
      <c r="IZF174" s="125"/>
      <c r="IZG174" s="125"/>
      <c r="IZH174" s="125"/>
      <c r="IZI174" s="125"/>
      <c r="IZJ174" s="125"/>
      <c r="IZK174" s="125"/>
      <c r="IZL174" s="125"/>
      <c r="IZM174" s="125"/>
      <c r="IZN174" s="125"/>
      <c r="IZO174" s="125"/>
      <c r="IZP174" s="125"/>
      <c r="IZQ174" s="125"/>
      <c r="IZR174" s="125"/>
      <c r="IZS174" s="125"/>
      <c r="IZT174" s="125"/>
      <c r="IZU174" s="125"/>
      <c r="IZV174" s="125"/>
      <c r="IZW174" s="125"/>
      <c r="IZX174" s="125"/>
      <c r="IZY174" s="125"/>
      <c r="IZZ174" s="125"/>
      <c r="JAA174" s="125"/>
      <c r="JAB174" s="125"/>
      <c r="JAC174" s="125"/>
      <c r="JAD174" s="125"/>
      <c r="JAE174" s="125"/>
      <c r="JAF174" s="125"/>
      <c r="JAG174" s="125"/>
      <c r="JAH174" s="125"/>
      <c r="JAI174" s="125"/>
      <c r="JAJ174" s="125"/>
      <c r="JAK174" s="125"/>
      <c r="JAL174" s="125"/>
      <c r="JAM174" s="125"/>
      <c r="JAN174" s="125"/>
      <c r="JAO174" s="125"/>
      <c r="JAP174" s="125"/>
      <c r="JAQ174" s="125"/>
      <c r="JAR174" s="125"/>
      <c r="JAS174" s="125"/>
      <c r="JAT174" s="125"/>
      <c r="JAU174" s="125"/>
      <c r="JAV174" s="125"/>
      <c r="JAW174" s="125"/>
      <c r="JAX174" s="125"/>
      <c r="JAY174" s="125"/>
      <c r="JAZ174" s="125"/>
      <c r="JBA174" s="125"/>
      <c r="JBB174" s="125"/>
      <c r="JBC174" s="125"/>
      <c r="JBD174" s="125"/>
      <c r="JBE174" s="125"/>
      <c r="JBF174" s="125"/>
      <c r="JBG174" s="125"/>
      <c r="JBH174" s="125"/>
      <c r="JBI174" s="125"/>
      <c r="JBJ174" s="125"/>
      <c r="JBK174" s="125"/>
      <c r="JBL174" s="125"/>
      <c r="JBM174" s="125"/>
      <c r="JBN174" s="125"/>
      <c r="JBO174" s="125"/>
      <c r="JBP174" s="125"/>
      <c r="JBQ174" s="125"/>
      <c r="JBR174" s="125"/>
      <c r="JBS174" s="125"/>
      <c r="JBT174" s="125"/>
      <c r="JBU174" s="125"/>
      <c r="JBV174" s="125"/>
      <c r="JBW174" s="125"/>
      <c r="JBX174" s="125"/>
      <c r="JBY174" s="125"/>
      <c r="JBZ174" s="125"/>
      <c r="JCA174" s="125"/>
      <c r="JCB174" s="125"/>
      <c r="JCC174" s="125"/>
      <c r="JCD174" s="125"/>
      <c r="JCE174" s="125"/>
      <c r="JCF174" s="125"/>
      <c r="JCG174" s="125"/>
      <c r="JCH174" s="125"/>
      <c r="JCI174" s="125"/>
      <c r="JCJ174" s="125"/>
      <c r="JCK174" s="125"/>
      <c r="JCL174" s="125"/>
      <c r="JCM174" s="125"/>
      <c r="JCN174" s="125"/>
      <c r="JCO174" s="125"/>
      <c r="JCP174" s="125"/>
      <c r="JCQ174" s="125"/>
      <c r="JCR174" s="125"/>
      <c r="JCS174" s="125"/>
      <c r="JCT174" s="125"/>
      <c r="JCU174" s="125"/>
      <c r="JCV174" s="125"/>
      <c r="JCW174" s="125"/>
      <c r="JCX174" s="125"/>
      <c r="JCY174" s="125"/>
      <c r="JCZ174" s="125"/>
      <c r="JDA174" s="125"/>
      <c r="JDB174" s="125"/>
      <c r="JDC174" s="125"/>
      <c r="JDD174" s="125"/>
      <c r="JDE174" s="125"/>
      <c r="JDF174" s="125"/>
      <c r="JDG174" s="125"/>
      <c r="JDH174" s="125"/>
      <c r="JDI174" s="125"/>
      <c r="JDJ174" s="125"/>
      <c r="JDK174" s="125"/>
      <c r="JDL174" s="125"/>
      <c r="JDM174" s="125"/>
      <c r="JDN174" s="125"/>
      <c r="JDO174" s="125"/>
      <c r="JDP174" s="125"/>
      <c r="JDQ174" s="125"/>
      <c r="JDR174" s="125"/>
      <c r="JDS174" s="125"/>
      <c r="JDT174" s="125"/>
      <c r="JDU174" s="125"/>
      <c r="JDV174" s="125"/>
      <c r="JDW174" s="125"/>
      <c r="JDX174" s="125"/>
      <c r="JDY174" s="125"/>
      <c r="JDZ174" s="125"/>
      <c r="JEA174" s="125"/>
      <c r="JEB174" s="125"/>
      <c r="JEC174" s="125"/>
      <c r="JED174" s="125"/>
      <c r="JEE174" s="125"/>
      <c r="JEF174" s="125"/>
      <c r="JEG174" s="125"/>
      <c r="JEH174" s="125"/>
      <c r="JEI174" s="125"/>
      <c r="JEJ174" s="125"/>
      <c r="JEK174" s="125"/>
      <c r="JEL174" s="125"/>
      <c r="JEM174" s="125"/>
      <c r="JEN174" s="125"/>
      <c r="JEO174" s="125"/>
      <c r="JEP174" s="125"/>
      <c r="JEQ174" s="125"/>
      <c r="JER174" s="125"/>
      <c r="JES174" s="125"/>
      <c r="JET174" s="125"/>
      <c r="JEU174" s="125"/>
      <c r="JEV174" s="125"/>
      <c r="JEW174" s="125"/>
      <c r="JEX174" s="125"/>
      <c r="JEY174" s="125"/>
      <c r="JEZ174" s="125"/>
      <c r="JFA174" s="125"/>
      <c r="JFB174" s="125"/>
      <c r="JFC174" s="125"/>
      <c r="JFD174" s="125"/>
      <c r="JFE174" s="125"/>
      <c r="JFF174" s="125"/>
      <c r="JFG174" s="125"/>
      <c r="JFH174" s="125"/>
      <c r="JFI174" s="125"/>
      <c r="JFJ174" s="125"/>
      <c r="JFK174" s="125"/>
      <c r="JFL174" s="125"/>
      <c r="JFM174" s="125"/>
      <c r="JFN174" s="125"/>
      <c r="JFO174" s="125"/>
      <c r="JFP174" s="125"/>
      <c r="JFQ174" s="125"/>
      <c r="JFR174" s="125"/>
      <c r="JFS174" s="125"/>
      <c r="JFT174" s="125"/>
      <c r="JFU174" s="125"/>
      <c r="JFV174" s="125"/>
      <c r="JFW174" s="125"/>
      <c r="JFX174" s="125"/>
      <c r="JFY174" s="125"/>
      <c r="JFZ174" s="125"/>
      <c r="JGA174" s="125"/>
      <c r="JGB174" s="125"/>
      <c r="JGC174" s="125"/>
      <c r="JGD174" s="125"/>
      <c r="JGE174" s="125"/>
      <c r="JGF174" s="125"/>
      <c r="JGG174" s="125"/>
      <c r="JGH174" s="125"/>
      <c r="JGI174" s="125"/>
      <c r="JGJ174" s="125"/>
      <c r="JGK174" s="125"/>
      <c r="JGL174" s="125"/>
      <c r="JGM174" s="125"/>
      <c r="JGN174" s="125"/>
      <c r="JGO174" s="125"/>
      <c r="JGP174" s="125"/>
      <c r="JGQ174" s="125"/>
      <c r="JGR174" s="125"/>
      <c r="JGS174" s="125"/>
      <c r="JGT174" s="125"/>
      <c r="JGU174" s="125"/>
      <c r="JGV174" s="125"/>
      <c r="JGW174" s="125"/>
      <c r="JGX174" s="125"/>
      <c r="JGY174" s="125"/>
      <c r="JGZ174" s="125"/>
      <c r="JHA174" s="125"/>
      <c r="JHB174" s="125"/>
      <c r="JHC174" s="125"/>
      <c r="JHD174" s="125"/>
      <c r="JHE174" s="125"/>
      <c r="JHF174" s="125"/>
      <c r="JHG174" s="125"/>
      <c r="JHH174" s="125"/>
      <c r="JHI174" s="125"/>
      <c r="JHJ174" s="125"/>
      <c r="JHK174" s="125"/>
      <c r="JHL174" s="125"/>
      <c r="JHM174" s="125"/>
      <c r="JHN174" s="125"/>
      <c r="JHO174" s="125"/>
      <c r="JHP174" s="125"/>
      <c r="JHQ174" s="125"/>
      <c r="JHR174" s="125"/>
      <c r="JHS174" s="125"/>
      <c r="JHT174" s="125"/>
      <c r="JHU174" s="125"/>
      <c r="JHV174" s="125"/>
      <c r="JHW174" s="125"/>
      <c r="JHX174" s="125"/>
      <c r="JHY174" s="125"/>
      <c r="JHZ174" s="125"/>
      <c r="JIA174" s="125"/>
      <c r="JIB174" s="125"/>
      <c r="JIC174" s="125"/>
      <c r="JID174" s="125"/>
      <c r="JIE174" s="125"/>
      <c r="JIF174" s="125"/>
      <c r="JIG174" s="125"/>
      <c r="JIH174" s="125"/>
      <c r="JII174" s="125"/>
      <c r="JIJ174" s="125"/>
      <c r="JIK174" s="125"/>
      <c r="JIL174" s="125"/>
      <c r="JIM174" s="125"/>
      <c r="JIN174" s="125"/>
      <c r="JIO174" s="125"/>
      <c r="JIP174" s="125"/>
      <c r="JIQ174" s="125"/>
      <c r="JIR174" s="125"/>
      <c r="JIS174" s="125"/>
      <c r="JIT174" s="125"/>
      <c r="JIU174" s="125"/>
      <c r="JIV174" s="125"/>
      <c r="JIW174" s="125"/>
      <c r="JIX174" s="125"/>
      <c r="JIY174" s="125"/>
      <c r="JIZ174" s="125"/>
      <c r="JJA174" s="125"/>
      <c r="JJB174" s="125"/>
      <c r="JJC174" s="125"/>
      <c r="JJD174" s="125"/>
      <c r="JJE174" s="125"/>
      <c r="JJF174" s="125"/>
      <c r="JJG174" s="125"/>
      <c r="JJH174" s="125"/>
      <c r="JJI174" s="125"/>
      <c r="JJJ174" s="125"/>
      <c r="JJK174" s="125"/>
      <c r="JJL174" s="125"/>
      <c r="JJM174" s="125"/>
      <c r="JJN174" s="125"/>
      <c r="JJO174" s="125"/>
      <c r="JJP174" s="125"/>
      <c r="JJQ174" s="125"/>
      <c r="JJR174" s="125"/>
      <c r="JJS174" s="125"/>
      <c r="JJT174" s="125"/>
      <c r="JJU174" s="125"/>
      <c r="JJV174" s="125"/>
      <c r="JJW174" s="125"/>
      <c r="JJX174" s="125"/>
      <c r="JJY174" s="125"/>
      <c r="JJZ174" s="125"/>
      <c r="JKA174" s="125"/>
      <c r="JKB174" s="125"/>
      <c r="JKC174" s="125"/>
      <c r="JKD174" s="125"/>
      <c r="JKE174" s="125"/>
      <c r="JKF174" s="125"/>
      <c r="JKG174" s="125"/>
      <c r="JKH174" s="125"/>
      <c r="JKI174" s="125"/>
      <c r="JKJ174" s="125"/>
      <c r="JKK174" s="125"/>
      <c r="JKL174" s="125"/>
      <c r="JKM174" s="125"/>
      <c r="JKN174" s="125"/>
      <c r="JKO174" s="125"/>
      <c r="JKP174" s="125"/>
      <c r="JKQ174" s="125"/>
      <c r="JKR174" s="125"/>
      <c r="JKS174" s="125"/>
      <c r="JKT174" s="125"/>
      <c r="JKU174" s="125"/>
      <c r="JKV174" s="125"/>
      <c r="JKW174" s="125"/>
      <c r="JKX174" s="125"/>
      <c r="JKY174" s="125"/>
      <c r="JKZ174" s="125"/>
      <c r="JLA174" s="125"/>
      <c r="JLB174" s="125"/>
      <c r="JLC174" s="125"/>
      <c r="JLD174" s="125"/>
      <c r="JLE174" s="125"/>
      <c r="JLF174" s="125"/>
      <c r="JLG174" s="125"/>
      <c r="JLH174" s="125"/>
      <c r="JLI174" s="125"/>
      <c r="JLJ174" s="125"/>
      <c r="JLK174" s="125"/>
      <c r="JLL174" s="125"/>
      <c r="JLM174" s="125"/>
      <c r="JLN174" s="125"/>
      <c r="JLO174" s="125"/>
      <c r="JLP174" s="125"/>
      <c r="JLQ174" s="125"/>
      <c r="JLR174" s="125"/>
      <c r="JLS174" s="125"/>
      <c r="JLT174" s="125"/>
      <c r="JLU174" s="125"/>
      <c r="JLV174" s="125"/>
      <c r="JLW174" s="125"/>
      <c r="JLX174" s="125"/>
      <c r="JLY174" s="125"/>
      <c r="JLZ174" s="125"/>
      <c r="JMA174" s="125"/>
      <c r="JMB174" s="125"/>
      <c r="JMC174" s="125"/>
      <c r="JMD174" s="125"/>
      <c r="JME174" s="125"/>
      <c r="JMF174" s="125"/>
      <c r="JMG174" s="125"/>
      <c r="JMH174" s="125"/>
      <c r="JMI174" s="125"/>
      <c r="JMJ174" s="125"/>
      <c r="JMK174" s="125"/>
      <c r="JML174" s="125"/>
      <c r="JMM174" s="125"/>
      <c r="JMN174" s="125"/>
      <c r="JMO174" s="125"/>
      <c r="JMP174" s="125"/>
      <c r="JMQ174" s="125"/>
      <c r="JMR174" s="125"/>
      <c r="JMS174" s="125"/>
      <c r="JMT174" s="125"/>
      <c r="JMU174" s="125"/>
      <c r="JMV174" s="125"/>
      <c r="JMW174" s="125"/>
      <c r="JMX174" s="125"/>
      <c r="JMY174" s="125"/>
      <c r="JMZ174" s="125"/>
      <c r="JNA174" s="125"/>
      <c r="JNB174" s="125"/>
      <c r="JNC174" s="125"/>
      <c r="JND174" s="125"/>
      <c r="JNE174" s="125"/>
      <c r="JNF174" s="125"/>
      <c r="JNG174" s="125"/>
      <c r="JNH174" s="125"/>
      <c r="JNI174" s="125"/>
      <c r="JNJ174" s="125"/>
      <c r="JNK174" s="125"/>
      <c r="JNL174" s="125"/>
      <c r="JNM174" s="125"/>
      <c r="JNN174" s="125"/>
      <c r="JNO174" s="125"/>
      <c r="JNP174" s="125"/>
      <c r="JNQ174" s="125"/>
      <c r="JNR174" s="125"/>
      <c r="JNS174" s="125"/>
      <c r="JNT174" s="125"/>
      <c r="JNU174" s="125"/>
      <c r="JNV174" s="125"/>
      <c r="JNW174" s="125"/>
      <c r="JNX174" s="125"/>
      <c r="JNY174" s="125"/>
      <c r="JNZ174" s="125"/>
      <c r="JOA174" s="125"/>
      <c r="JOB174" s="125"/>
      <c r="JOC174" s="125"/>
      <c r="JOD174" s="125"/>
      <c r="JOE174" s="125"/>
      <c r="JOF174" s="125"/>
      <c r="JOG174" s="125"/>
      <c r="JOH174" s="125"/>
      <c r="JOI174" s="125"/>
      <c r="JOJ174" s="125"/>
      <c r="JOK174" s="125"/>
      <c r="JOL174" s="125"/>
      <c r="JOM174" s="125"/>
      <c r="JON174" s="125"/>
      <c r="JOO174" s="125"/>
      <c r="JOP174" s="125"/>
      <c r="JOQ174" s="125"/>
      <c r="JOR174" s="125"/>
      <c r="JOS174" s="125"/>
      <c r="JOT174" s="125"/>
      <c r="JOU174" s="125"/>
      <c r="JOV174" s="125"/>
      <c r="JOW174" s="125"/>
      <c r="JOX174" s="125"/>
      <c r="JOY174" s="125"/>
      <c r="JOZ174" s="125"/>
      <c r="JPA174" s="125"/>
      <c r="JPB174" s="125"/>
      <c r="JPC174" s="125"/>
      <c r="JPD174" s="125"/>
      <c r="JPE174" s="125"/>
      <c r="JPF174" s="125"/>
      <c r="JPG174" s="125"/>
      <c r="JPH174" s="125"/>
      <c r="JPI174" s="125"/>
      <c r="JPJ174" s="125"/>
      <c r="JPK174" s="125"/>
      <c r="JPL174" s="125"/>
      <c r="JPM174" s="125"/>
      <c r="JPN174" s="125"/>
      <c r="JPO174" s="125"/>
      <c r="JPP174" s="125"/>
      <c r="JPQ174" s="125"/>
      <c r="JPR174" s="125"/>
      <c r="JPS174" s="125"/>
      <c r="JPT174" s="125"/>
      <c r="JPU174" s="125"/>
      <c r="JPV174" s="125"/>
      <c r="JPW174" s="125"/>
      <c r="JPX174" s="125"/>
      <c r="JPY174" s="125"/>
      <c r="JPZ174" s="125"/>
      <c r="JQA174" s="125"/>
      <c r="JQB174" s="125"/>
      <c r="JQC174" s="125"/>
      <c r="JQD174" s="125"/>
      <c r="JQE174" s="125"/>
      <c r="JQF174" s="125"/>
      <c r="JQG174" s="125"/>
      <c r="JQH174" s="125"/>
      <c r="JQI174" s="125"/>
      <c r="JQJ174" s="125"/>
      <c r="JQK174" s="125"/>
      <c r="JQL174" s="125"/>
      <c r="JQM174" s="125"/>
      <c r="JQN174" s="125"/>
      <c r="JQO174" s="125"/>
      <c r="JQP174" s="125"/>
      <c r="JQQ174" s="125"/>
      <c r="JQR174" s="125"/>
      <c r="JQS174" s="125"/>
      <c r="JQT174" s="125"/>
      <c r="JQU174" s="125"/>
      <c r="JQV174" s="125"/>
      <c r="JQW174" s="125"/>
      <c r="JQX174" s="125"/>
      <c r="JQY174" s="125"/>
      <c r="JQZ174" s="125"/>
      <c r="JRA174" s="125"/>
      <c r="JRB174" s="125"/>
      <c r="JRC174" s="125"/>
      <c r="JRD174" s="125"/>
      <c r="JRE174" s="125"/>
      <c r="JRF174" s="125"/>
      <c r="JRG174" s="125"/>
      <c r="JRH174" s="125"/>
      <c r="JRI174" s="125"/>
      <c r="JRJ174" s="125"/>
      <c r="JRK174" s="125"/>
      <c r="JRL174" s="125"/>
      <c r="JRM174" s="125"/>
      <c r="JRN174" s="125"/>
      <c r="JRO174" s="125"/>
      <c r="JRP174" s="125"/>
      <c r="JRQ174" s="125"/>
      <c r="JRR174" s="125"/>
      <c r="JRS174" s="125"/>
      <c r="JRT174" s="125"/>
      <c r="JRU174" s="125"/>
      <c r="JRV174" s="125"/>
      <c r="JRW174" s="125"/>
      <c r="JRX174" s="125"/>
      <c r="JRY174" s="125"/>
      <c r="JRZ174" s="125"/>
      <c r="JSA174" s="125"/>
      <c r="JSB174" s="125"/>
      <c r="JSC174" s="125"/>
      <c r="JSD174" s="125"/>
      <c r="JSE174" s="125"/>
      <c r="JSF174" s="125"/>
      <c r="JSG174" s="125"/>
      <c r="JSH174" s="125"/>
      <c r="JSI174" s="125"/>
      <c r="JSJ174" s="125"/>
      <c r="JSK174" s="125"/>
      <c r="JSL174" s="125"/>
      <c r="JSM174" s="125"/>
      <c r="JSN174" s="125"/>
      <c r="JSO174" s="125"/>
      <c r="JSP174" s="125"/>
      <c r="JSQ174" s="125"/>
      <c r="JSR174" s="125"/>
      <c r="JSS174" s="125"/>
      <c r="JST174" s="125"/>
      <c r="JSU174" s="125"/>
      <c r="JSV174" s="125"/>
      <c r="JSW174" s="125"/>
      <c r="JSX174" s="125"/>
      <c r="JSY174" s="125"/>
      <c r="JSZ174" s="125"/>
      <c r="JTA174" s="125"/>
      <c r="JTB174" s="125"/>
      <c r="JTC174" s="125"/>
      <c r="JTD174" s="125"/>
      <c r="JTE174" s="125"/>
      <c r="JTF174" s="125"/>
      <c r="JTG174" s="125"/>
      <c r="JTH174" s="125"/>
      <c r="JTI174" s="125"/>
      <c r="JTJ174" s="125"/>
      <c r="JTK174" s="125"/>
      <c r="JTL174" s="125"/>
      <c r="JTM174" s="125"/>
      <c r="JTN174" s="125"/>
      <c r="JTO174" s="125"/>
      <c r="JTP174" s="125"/>
      <c r="JTQ174" s="125"/>
      <c r="JTR174" s="125"/>
      <c r="JTS174" s="125"/>
      <c r="JTT174" s="125"/>
      <c r="JTU174" s="125"/>
      <c r="JTV174" s="125"/>
      <c r="JTW174" s="125"/>
      <c r="JTX174" s="125"/>
      <c r="JTY174" s="125"/>
      <c r="JTZ174" s="125"/>
      <c r="JUA174" s="125"/>
      <c r="JUB174" s="125"/>
      <c r="JUC174" s="125"/>
      <c r="JUD174" s="125"/>
      <c r="JUE174" s="125"/>
      <c r="JUF174" s="125"/>
      <c r="JUG174" s="125"/>
      <c r="JUH174" s="125"/>
      <c r="JUI174" s="125"/>
      <c r="JUJ174" s="125"/>
      <c r="JUK174" s="125"/>
      <c r="JUL174" s="125"/>
      <c r="JUM174" s="125"/>
      <c r="JUN174" s="125"/>
      <c r="JUO174" s="125"/>
      <c r="JUP174" s="125"/>
      <c r="JUQ174" s="125"/>
      <c r="JUR174" s="125"/>
      <c r="JUS174" s="125"/>
      <c r="JUT174" s="125"/>
      <c r="JUU174" s="125"/>
      <c r="JUV174" s="125"/>
      <c r="JUW174" s="125"/>
      <c r="JUX174" s="125"/>
      <c r="JUY174" s="125"/>
      <c r="JUZ174" s="125"/>
      <c r="JVA174" s="125"/>
      <c r="JVB174" s="125"/>
      <c r="JVC174" s="125"/>
      <c r="JVD174" s="125"/>
      <c r="JVE174" s="125"/>
      <c r="JVF174" s="125"/>
      <c r="JVG174" s="125"/>
      <c r="JVH174" s="125"/>
      <c r="JVI174" s="125"/>
      <c r="JVJ174" s="125"/>
      <c r="JVK174" s="125"/>
      <c r="JVL174" s="125"/>
      <c r="JVM174" s="125"/>
      <c r="JVN174" s="125"/>
      <c r="JVO174" s="125"/>
      <c r="JVP174" s="125"/>
      <c r="JVQ174" s="125"/>
      <c r="JVR174" s="125"/>
      <c r="JVS174" s="125"/>
      <c r="JVT174" s="125"/>
      <c r="JVU174" s="125"/>
      <c r="JVV174" s="125"/>
      <c r="JVW174" s="125"/>
      <c r="JVX174" s="125"/>
      <c r="JVY174" s="125"/>
      <c r="JVZ174" s="125"/>
      <c r="JWA174" s="125"/>
      <c r="JWB174" s="125"/>
      <c r="JWC174" s="125"/>
      <c r="JWD174" s="125"/>
      <c r="JWE174" s="125"/>
      <c r="JWF174" s="125"/>
      <c r="JWG174" s="125"/>
      <c r="JWH174" s="125"/>
      <c r="JWI174" s="125"/>
      <c r="JWJ174" s="125"/>
      <c r="JWK174" s="125"/>
      <c r="JWL174" s="125"/>
      <c r="JWM174" s="125"/>
      <c r="JWN174" s="125"/>
      <c r="JWO174" s="125"/>
      <c r="JWP174" s="125"/>
      <c r="JWQ174" s="125"/>
      <c r="JWR174" s="125"/>
      <c r="JWS174" s="125"/>
      <c r="JWT174" s="125"/>
      <c r="JWU174" s="125"/>
      <c r="JWV174" s="125"/>
      <c r="JWW174" s="125"/>
      <c r="JWX174" s="125"/>
      <c r="JWY174" s="125"/>
      <c r="JWZ174" s="125"/>
      <c r="JXA174" s="125"/>
      <c r="JXB174" s="125"/>
      <c r="JXC174" s="125"/>
      <c r="JXD174" s="125"/>
      <c r="JXE174" s="125"/>
      <c r="JXF174" s="125"/>
      <c r="JXG174" s="125"/>
      <c r="JXH174" s="125"/>
      <c r="JXI174" s="125"/>
      <c r="JXJ174" s="125"/>
      <c r="JXK174" s="125"/>
      <c r="JXL174" s="125"/>
      <c r="JXM174" s="125"/>
      <c r="JXN174" s="125"/>
      <c r="JXO174" s="125"/>
      <c r="JXP174" s="125"/>
      <c r="JXQ174" s="125"/>
      <c r="JXR174" s="125"/>
      <c r="JXS174" s="125"/>
      <c r="JXT174" s="125"/>
      <c r="JXU174" s="125"/>
      <c r="JXV174" s="125"/>
      <c r="JXW174" s="125"/>
      <c r="JXX174" s="125"/>
      <c r="JXY174" s="125"/>
      <c r="JXZ174" s="125"/>
      <c r="JYA174" s="125"/>
      <c r="JYB174" s="125"/>
      <c r="JYC174" s="125"/>
      <c r="JYD174" s="125"/>
      <c r="JYE174" s="125"/>
      <c r="JYF174" s="125"/>
      <c r="JYG174" s="125"/>
      <c r="JYH174" s="125"/>
      <c r="JYI174" s="125"/>
      <c r="JYJ174" s="125"/>
      <c r="JYK174" s="125"/>
      <c r="JYL174" s="125"/>
      <c r="JYM174" s="125"/>
      <c r="JYN174" s="125"/>
      <c r="JYO174" s="125"/>
      <c r="JYP174" s="125"/>
      <c r="JYQ174" s="125"/>
      <c r="JYR174" s="125"/>
      <c r="JYS174" s="125"/>
      <c r="JYT174" s="125"/>
      <c r="JYU174" s="125"/>
      <c r="JYV174" s="125"/>
      <c r="JYW174" s="125"/>
      <c r="JYX174" s="125"/>
      <c r="JYY174" s="125"/>
      <c r="JYZ174" s="125"/>
      <c r="JZA174" s="125"/>
      <c r="JZB174" s="125"/>
      <c r="JZC174" s="125"/>
      <c r="JZD174" s="125"/>
      <c r="JZE174" s="125"/>
      <c r="JZF174" s="125"/>
      <c r="JZG174" s="125"/>
      <c r="JZH174" s="125"/>
      <c r="JZI174" s="125"/>
      <c r="JZJ174" s="125"/>
      <c r="JZK174" s="125"/>
      <c r="JZL174" s="125"/>
      <c r="JZM174" s="125"/>
      <c r="JZN174" s="125"/>
      <c r="JZO174" s="125"/>
      <c r="JZP174" s="125"/>
      <c r="JZQ174" s="125"/>
      <c r="JZR174" s="125"/>
      <c r="JZS174" s="125"/>
      <c r="JZT174" s="125"/>
      <c r="JZU174" s="125"/>
      <c r="JZV174" s="125"/>
      <c r="JZW174" s="125"/>
      <c r="JZX174" s="125"/>
      <c r="JZY174" s="125"/>
      <c r="JZZ174" s="125"/>
      <c r="KAA174" s="125"/>
      <c r="KAB174" s="125"/>
      <c r="KAC174" s="125"/>
      <c r="KAD174" s="125"/>
      <c r="KAE174" s="125"/>
      <c r="KAF174" s="125"/>
      <c r="KAG174" s="125"/>
      <c r="KAH174" s="125"/>
      <c r="KAI174" s="125"/>
      <c r="KAJ174" s="125"/>
      <c r="KAK174" s="125"/>
      <c r="KAL174" s="125"/>
      <c r="KAM174" s="125"/>
      <c r="KAN174" s="125"/>
      <c r="KAO174" s="125"/>
      <c r="KAP174" s="125"/>
      <c r="KAQ174" s="125"/>
      <c r="KAR174" s="125"/>
      <c r="KAS174" s="125"/>
      <c r="KAT174" s="125"/>
      <c r="KAU174" s="125"/>
      <c r="KAV174" s="125"/>
      <c r="KAW174" s="125"/>
      <c r="KAX174" s="125"/>
      <c r="KAY174" s="125"/>
      <c r="KAZ174" s="125"/>
      <c r="KBA174" s="125"/>
      <c r="KBB174" s="125"/>
      <c r="KBC174" s="125"/>
      <c r="KBD174" s="125"/>
      <c r="KBE174" s="125"/>
      <c r="KBF174" s="125"/>
      <c r="KBG174" s="125"/>
      <c r="KBH174" s="125"/>
      <c r="KBI174" s="125"/>
      <c r="KBJ174" s="125"/>
      <c r="KBK174" s="125"/>
      <c r="KBL174" s="125"/>
      <c r="KBM174" s="125"/>
      <c r="KBN174" s="125"/>
      <c r="KBO174" s="125"/>
      <c r="KBP174" s="125"/>
      <c r="KBQ174" s="125"/>
      <c r="KBR174" s="125"/>
      <c r="KBS174" s="125"/>
      <c r="KBT174" s="125"/>
      <c r="KBU174" s="125"/>
      <c r="KBV174" s="125"/>
      <c r="KBW174" s="125"/>
      <c r="KBX174" s="125"/>
      <c r="KBY174" s="125"/>
      <c r="KBZ174" s="125"/>
      <c r="KCA174" s="125"/>
      <c r="KCB174" s="125"/>
      <c r="KCC174" s="125"/>
      <c r="KCD174" s="125"/>
      <c r="KCE174" s="125"/>
      <c r="KCF174" s="125"/>
      <c r="KCG174" s="125"/>
      <c r="KCH174" s="125"/>
      <c r="KCI174" s="125"/>
      <c r="KCJ174" s="125"/>
      <c r="KCK174" s="125"/>
      <c r="KCL174" s="125"/>
      <c r="KCM174" s="125"/>
      <c r="KCN174" s="125"/>
      <c r="KCO174" s="125"/>
      <c r="KCP174" s="125"/>
      <c r="KCQ174" s="125"/>
      <c r="KCR174" s="125"/>
      <c r="KCS174" s="125"/>
      <c r="KCT174" s="125"/>
      <c r="KCU174" s="125"/>
      <c r="KCV174" s="125"/>
      <c r="KCW174" s="125"/>
      <c r="KCX174" s="125"/>
      <c r="KCY174" s="125"/>
      <c r="KCZ174" s="125"/>
      <c r="KDA174" s="125"/>
      <c r="KDB174" s="125"/>
      <c r="KDC174" s="125"/>
      <c r="KDD174" s="125"/>
      <c r="KDE174" s="125"/>
      <c r="KDF174" s="125"/>
      <c r="KDG174" s="125"/>
      <c r="KDH174" s="125"/>
      <c r="KDI174" s="125"/>
      <c r="KDJ174" s="125"/>
      <c r="KDK174" s="125"/>
      <c r="KDL174" s="125"/>
      <c r="KDM174" s="125"/>
      <c r="KDN174" s="125"/>
      <c r="KDO174" s="125"/>
      <c r="KDP174" s="125"/>
      <c r="KDQ174" s="125"/>
      <c r="KDR174" s="125"/>
      <c r="KDS174" s="125"/>
      <c r="KDT174" s="125"/>
      <c r="KDU174" s="125"/>
      <c r="KDV174" s="125"/>
      <c r="KDW174" s="125"/>
      <c r="KDX174" s="125"/>
      <c r="KDY174" s="125"/>
      <c r="KDZ174" s="125"/>
      <c r="KEA174" s="125"/>
      <c r="KEB174" s="125"/>
      <c r="KEC174" s="125"/>
      <c r="KED174" s="125"/>
      <c r="KEE174" s="125"/>
      <c r="KEF174" s="125"/>
      <c r="KEG174" s="125"/>
      <c r="KEH174" s="125"/>
      <c r="KEI174" s="125"/>
      <c r="KEJ174" s="125"/>
      <c r="KEK174" s="125"/>
      <c r="KEL174" s="125"/>
      <c r="KEM174" s="125"/>
      <c r="KEN174" s="125"/>
      <c r="KEO174" s="125"/>
      <c r="KEP174" s="125"/>
      <c r="KEQ174" s="125"/>
      <c r="KER174" s="125"/>
      <c r="KES174" s="125"/>
      <c r="KET174" s="125"/>
      <c r="KEU174" s="125"/>
      <c r="KEV174" s="125"/>
      <c r="KEW174" s="125"/>
      <c r="KEX174" s="125"/>
      <c r="KEY174" s="125"/>
      <c r="KEZ174" s="125"/>
      <c r="KFA174" s="125"/>
      <c r="KFB174" s="125"/>
      <c r="KFC174" s="125"/>
      <c r="KFD174" s="125"/>
      <c r="KFE174" s="125"/>
      <c r="KFF174" s="125"/>
      <c r="KFG174" s="125"/>
      <c r="KFH174" s="125"/>
      <c r="KFI174" s="125"/>
      <c r="KFJ174" s="125"/>
      <c r="KFK174" s="125"/>
      <c r="KFL174" s="125"/>
      <c r="KFM174" s="125"/>
      <c r="KFN174" s="125"/>
      <c r="KFO174" s="125"/>
      <c r="KFP174" s="125"/>
      <c r="KFQ174" s="125"/>
      <c r="KFR174" s="125"/>
      <c r="KFS174" s="125"/>
      <c r="KFT174" s="125"/>
      <c r="KFU174" s="125"/>
      <c r="KFV174" s="125"/>
      <c r="KFW174" s="125"/>
      <c r="KFX174" s="125"/>
      <c r="KFY174" s="125"/>
      <c r="KFZ174" s="125"/>
      <c r="KGA174" s="125"/>
      <c r="KGB174" s="125"/>
      <c r="KGC174" s="125"/>
      <c r="KGD174" s="125"/>
      <c r="KGE174" s="125"/>
      <c r="KGF174" s="125"/>
      <c r="KGG174" s="125"/>
      <c r="KGH174" s="125"/>
      <c r="KGI174" s="125"/>
      <c r="KGJ174" s="125"/>
      <c r="KGK174" s="125"/>
      <c r="KGL174" s="125"/>
      <c r="KGM174" s="125"/>
      <c r="KGN174" s="125"/>
      <c r="KGO174" s="125"/>
      <c r="KGP174" s="125"/>
      <c r="KGQ174" s="125"/>
      <c r="KGR174" s="125"/>
      <c r="KGS174" s="125"/>
      <c r="KGT174" s="125"/>
      <c r="KGU174" s="125"/>
      <c r="KGV174" s="125"/>
      <c r="KGW174" s="125"/>
      <c r="KGX174" s="125"/>
      <c r="KGY174" s="125"/>
      <c r="KGZ174" s="125"/>
      <c r="KHA174" s="125"/>
      <c r="KHB174" s="125"/>
      <c r="KHC174" s="125"/>
      <c r="KHD174" s="125"/>
      <c r="KHE174" s="125"/>
      <c r="KHF174" s="125"/>
      <c r="KHG174" s="125"/>
      <c r="KHH174" s="125"/>
      <c r="KHI174" s="125"/>
      <c r="KHJ174" s="125"/>
      <c r="KHK174" s="125"/>
      <c r="KHL174" s="125"/>
      <c r="KHM174" s="125"/>
      <c r="KHN174" s="125"/>
      <c r="KHO174" s="125"/>
      <c r="KHP174" s="125"/>
      <c r="KHQ174" s="125"/>
      <c r="KHR174" s="125"/>
      <c r="KHS174" s="125"/>
      <c r="KHT174" s="125"/>
      <c r="KHU174" s="125"/>
      <c r="KHV174" s="125"/>
      <c r="KHW174" s="125"/>
      <c r="KHX174" s="125"/>
      <c r="KHY174" s="125"/>
      <c r="KHZ174" s="125"/>
      <c r="KIA174" s="125"/>
      <c r="KIB174" s="125"/>
      <c r="KIC174" s="125"/>
      <c r="KID174" s="125"/>
      <c r="KIE174" s="125"/>
      <c r="KIF174" s="125"/>
      <c r="KIG174" s="125"/>
      <c r="KIH174" s="125"/>
      <c r="KII174" s="125"/>
      <c r="KIJ174" s="125"/>
      <c r="KIK174" s="125"/>
      <c r="KIL174" s="125"/>
      <c r="KIM174" s="125"/>
      <c r="KIN174" s="125"/>
      <c r="KIO174" s="125"/>
      <c r="KIP174" s="125"/>
      <c r="KIQ174" s="125"/>
      <c r="KIR174" s="125"/>
      <c r="KIS174" s="125"/>
      <c r="KIT174" s="125"/>
      <c r="KIU174" s="125"/>
      <c r="KIV174" s="125"/>
      <c r="KIW174" s="125"/>
      <c r="KIX174" s="125"/>
      <c r="KIY174" s="125"/>
      <c r="KIZ174" s="125"/>
      <c r="KJA174" s="125"/>
      <c r="KJB174" s="125"/>
      <c r="KJC174" s="125"/>
      <c r="KJD174" s="125"/>
      <c r="KJE174" s="125"/>
      <c r="KJF174" s="125"/>
      <c r="KJG174" s="125"/>
      <c r="KJH174" s="125"/>
      <c r="KJI174" s="125"/>
      <c r="KJJ174" s="125"/>
      <c r="KJK174" s="125"/>
      <c r="KJL174" s="125"/>
      <c r="KJM174" s="125"/>
      <c r="KJN174" s="125"/>
      <c r="KJO174" s="125"/>
      <c r="KJP174" s="125"/>
      <c r="KJQ174" s="125"/>
      <c r="KJR174" s="125"/>
      <c r="KJS174" s="125"/>
      <c r="KJT174" s="125"/>
      <c r="KJU174" s="125"/>
      <c r="KJV174" s="125"/>
      <c r="KJW174" s="125"/>
      <c r="KJX174" s="125"/>
      <c r="KJY174" s="125"/>
      <c r="KJZ174" s="125"/>
      <c r="KKA174" s="125"/>
      <c r="KKB174" s="125"/>
      <c r="KKC174" s="125"/>
      <c r="KKD174" s="125"/>
      <c r="KKE174" s="125"/>
      <c r="KKF174" s="125"/>
      <c r="KKG174" s="125"/>
      <c r="KKH174" s="125"/>
      <c r="KKI174" s="125"/>
      <c r="KKJ174" s="125"/>
      <c r="KKK174" s="125"/>
      <c r="KKL174" s="125"/>
      <c r="KKM174" s="125"/>
      <c r="KKN174" s="125"/>
      <c r="KKO174" s="125"/>
      <c r="KKP174" s="125"/>
      <c r="KKQ174" s="125"/>
      <c r="KKR174" s="125"/>
      <c r="KKS174" s="125"/>
      <c r="KKT174" s="125"/>
      <c r="KKU174" s="125"/>
      <c r="KKV174" s="125"/>
      <c r="KKW174" s="125"/>
      <c r="KKX174" s="125"/>
      <c r="KKY174" s="125"/>
      <c r="KKZ174" s="125"/>
      <c r="KLA174" s="125"/>
      <c r="KLB174" s="125"/>
      <c r="KLC174" s="125"/>
      <c r="KLD174" s="125"/>
      <c r="KLE174" s="125"/>
      <c r="KLF174" s="125"/>
      <c r="KLG174" s="125"/>
      <c r="KLH174" s="125"/>
      <c r="KLI174" s="125"/>
      <c r="KLJ174" s="125"/>
      <c r="KLK174" s="125"/>
      <c r="KLL174" s="125"/>
      <c r="KLM174" s="125"/>
      <c r="KLN174" s="125"/>
      <c r="KLO174" s="125"/>
      <c r="KLP174" s="125"/>
      <c r="KLQ174" s="125"/>
      <c r="KLR174" s="125"/>
      <c r="KLS174" s="125"/>
      <c r="KLT174" s="125"/>
      <c r="KLU174" s="125"/>
      <c r="KLV174" s="125"/>
      <c r="KLW174" s="125"/>
      <c r="KLX174" s="125"/>
      <c r="KLY174" s="125"/>
      <c r="KLZ174" s="125"/>
      <c r="KMA174" s="125"/>
      <c r="KMB174" s="125"/>
      <c r="KMC174" s="125"/>
      <c r="KMD174" s="125"/>
      <c r="KME174" s="125"/>
      <c r="KMF174" s="125"/>
      <c r="KMG174" s="125"/>
      <c r="KMH174" s="125"/>
      <c r="KMI174" s="125"/>
      <c r="KMJ174" s="125"/>
      <c r="KMK174" s="125"/>
      <c r="KML174" s="125"/>
      <c r="KMM174" s="125"/>
      <c r="KMN174" s="125"/>
      <c r="KMO174" s="125"/>
      <c r="KMP174" s="125"/>
      <c r="KMQ174" s="125"/>
      <c r="KMR174" s="125"/>
      <c r="KMS174" s="125"/>
      <c r="KMT174" s="125"/>
      <c r="KMU174" s="125"/>
      <c r="KMV174" s="125"/>
      <c r="KMW174" s="125"/>
      <c r="KMX174" s="125"/>
      <c r="KMY174" s="125"/>
      <c r="KMZ174" s="125"/>
      <c r="KNA174" s="125"/>
      <c r="KNB174" s="125"/>
      <c r="KNC174" s="125"/>
      <c r="KND174" s="125"/>
      <c r="KNE174" s="125"/>
      <c r="KNF174" s="125"/>
      <c r="KNG174" s="125"/>
      <c r="KNH174" s="125"/>
      <c r="KNI174" s="125"/>
      <c r="KNJ174" s="125"/>
      <c r="KNK174" s="125"/>
      <c r="KNL174" s="125"/>
      <c r="KNM174" s="125"/>
      <c r="KNN174" s="125"/>
      <c r="KNO174" s="125"/>
      <c r="KNP174" s="125"/>
      <c r="KNQ174" s="125"/>
      <c r="KNR174" s="125"/>
      <c r="KNS174" s="125"/>
      <c r="KNT174" s="125"/>
      <c r="KNU174" s="125"/>
      <c r="KNV174" s="125"/>
      <c r="KNW174" s="125"/>
      <c r="KNX174" s="125"/>
      <c r="KNY174" s="125"/>
      <c r="KNZ174" s="125"/>
      <c r="KOA174" s="125"/>
      <c r="KOB174" s="125"/>
      <c r="KOC174" s="125"/>
      <c r="KOD174" s="125"/>
      <c r="KOE174" s="125"/>
      <c r="KOF174" s="125"/>
      <c r="KOG174" s="125"/>
      <c r="KOH174" s="125"/>
      <c r="KOI174" s="125"/>
      <c r="KOJ174" s="125"/>
      <c r="KOK174" s="125"/>
      <c r="KOL174" s="125"/>
      <c r="KOM174" s="125"/>
      <c r="KON174" s="125"/>
      <c r="KOO174" s="125"/>
      <c r="KOP174" s="125"/>
      <c r="KOQ174" s="125"/>
      <c r="KOR174" s="125"/>
      <c r="KOS174" s="125"/>
      <c r="KOT174" s="125"/>
      <c r="KOU174" s="125"/>
      <c r="KOV174" s="125"/>
      <c r="KOW174" s="125"/>
      <c r="KOX174" s="125"/>
      <c r="KOY174" s="125"/>
      <c r="KOZ174" s="125"/>
      <c r="KPA174" s="125"/>
      <c r="KPB174" s="125"/>
      <c r="KPC174" s="125"/>
      <c r="KPD174" s="125"/>
      <c r="KPE174" s="125"/>
      <c r="KPF174" s="125"/>
      <c r="KPG174" s="125"/>
      <c r="KPH174" s="125"/>
      <c r="KPI174" s="125"/>
      <c r="KPJ174" s="125"/>
      <c r="KPK174" s="125"/>
      <c r="KPL174" s="125"/>
      <c r="KPM174" s="125"/>
      <c r="KPN174" s="125"/>
      <c r="KPO174" s="125"/>
      <c r="KPP174" s="125"/>
      <c r="KPQ174" s="125"/>
      <c r="KPR174" s="125"/>
      <c r="KPS174" s="125"/>
      <c r="KPT174" s="125"/>
      <c r="KPU174" s="125"/>
      <c r="KPV174" s="125"/>
      <c r="KPW174" s="125"/>
      <c r="KPX174" s="125"/>
      <c r="KPY174" s="125"/>
      <c r="KPZ174" s="125"/>
      <c r="KQA174" s="125"/>
      <c r="KQB174" s="125"/>
      <c r="KQC174" s="125"/>
      <c r="KQD174" s="125"/>
      <c r="KQE174" s="125"/>
      <c r="KQF174" s="125"/>
      <c r="KQG174" s="125"/>
      <c r="KQH174" s="125"/>
      <c r="KQI174" s="125"/>
      <c r="KQJ174" s="125"/>
      <c r="KQK174" s="125"/>
      <c r="KQL174" s="125"/>
      <c r="KQM174" s="125"/>
      <c r="KQN174" s="125"/>
      <c r="KQO174" s="125"/>
      <c r="KQP174" s="125"/>
      <c r="KQQ174" s="125"/>
      <c r="KQR174" s="125"/>
      <c r="KQS174" s="125"/>
      <c r="KQT174" s="125"/>
      <c r="KQU174" s="125"/>
      <c r="KQV174" s="125"/>
      <c r="KQW174" s="125"/>
      <c r="KQX174" s="125"/>
      <c r="KQY174" s="125"/>
      <c r="KQZ174" s="125"/>
      <c r="KRA174" s="125"/>
      <c r="KRB174" s="125"/>
      <c r="KRC174" s="125"/>
      <c r="KRD174" s="125"/>
      <c r="KRE174" s="125"/>
      <c r="KRF174" s="125"/>
      <c r="KRG174" s="125"/>
      <c r="KRH174" s="125"/>
      <c r="KRI174" s="125"/>
      <c r="KRJ174" s="125"/>
      <c r="KRK174" s="125"/>
      <c r="KRL174" s="125"/>
      <c r="KRM174" s="125"/>
      <c r="KRN174" s="125"/>
      <c r="KRO174" s="125"/>
      <c r="KRP174" s="125"/>
      <c r="KRQ174" s="125"/>
      <c r="KRR174" s="125"/>
      <c r="KRS174" s="125"/>
      <c r="KRT174" s="125"/>
      <c r="KRU174" s="125"/>
      <c r="KRV174" s="125"/>
      <c r="KRW174" s="125"/>
      <c r="KRX174" s="125"/>
      <c r="KRY174" s="125"/>
      <c r="KRZ174" s="125"/>
      <c r="KSA174" s="125"/>
      <c r="KSB174" s="125"/>
      <c r="KSC174" s="125"/>
      <c r="KSD174" s="125"/>
      <c r="KSE174" s="125"/>
      <c r="KSF174" s="125"/>
      <c r="KSG174" s="125"/>
      <c r="KSH174" s="125"/>
      <c r="KSI174" s="125"/>
      <c r="KSJ174" s="125"/>
      <c r="KSK174" s="125"/>
      <c r="KSL174" s="125"/>
      <c r="KSM174" s="125"/>
      <c r="KSN174" s="125"/>
      <c r="KSO174" s="125"/>
      <c r="KSP174" s="125"/>
      <c r="KSQ174" s="125"/>
      <c r="KSR174" s="125"/>
      <c r="KSS174" s="125"/>
      <c r="KST174" s="125"/>
      <c r="KSU174" s="125"/>
      <c r="KSV174" s="125"/>
      <c r="KSW174" s="125"/>
      <c r="KSX174" s="125"/>
      <c r="KSY174" s="125"/>
      <c r="KSZ174" s="125"/>
      <c r="KTA174" s="125"/>
      <c r="KTB174" s="125"/>
      <c r="KTC174" s="125"/>
      <c r="KTD174" s="125"/>
      <c r="KTE174" s="125"/>
      <c r="KTF174" s="125"/>
      <c r="KTG174" s="125"/>
      <c r="KTH174" s="125"/>
      <c r="KTI174" s="125"/>
      <c r="KTJ174" s="125"/>
      <c r="KTK174" s="125"/>
      <c r="KTL174" s="125"/>
      <c r="KTM174" s="125"/>
      <c r="KTN174" s="125"/>
      <c r="KTO174" s="125"/>
      <c r="KTP174" s="125"/>
      <c r="KTQ174" s="125"/>
      <c r="KTR174" s="125"/>
      <c r="KTS174" s="125"/>
      <c r="KTT174" s="125"/>
      <c r="KTU174" s="125"/>
      <c r="KTV174" s="125"/>
      <c r="KTW174" s="125"/>
      <c r="KTX174" s="125"/>
      <c r="KTY174" s="125"/>
      <c r="KTZ174" s="125"/>
      <c r="KUA174" s="125"/>
      <c r="KUB174" s="125"/>
      <c r="KUC174" s="125"/>
      <c r="KUD174" s="125"/>
      <c r="KUE174" s="125"/>
      <c r="KUF174" s="125"/>
      <c r="KUG174" s="125"/>
      <c r="KUH174" s="125"/>
      <c r="KUI174" s="125"/>
      <c r="KUJ174" s="125"/>
      <c r="KUK174" s="125"/>
      <c r="KUL174" s="125"/>
      <c r="KUM174" s="125"/>
      <c r="KUN174" s="125"/>
      <c r="KUO174" s="125"/>
      <c r="KUP174" s="125"/>
      <c r="KUQ174" s="125"/>
      <c r="KUR174" s="125"/>
      <c r="KUS174" s="125"/>
      <c r="KUT174" s="125"/>
      <c r="KUU174" s="125"/>
      <c r="KUV174" s="125"/>
      <c r="KUW174" s="125"/>
      <c r="KUX174" s="125"/>
      <c r="KUY174" s="125"/>
      <c r="KUZ174" s="125"/>
      <c r="KVA174" s="125"/>
      <c r="KVB174" s="125"/>
      <c r="KVC174" s="125"/>
      <c r="KVD174" s="125"/>
      <c r="KVE174" s="125"/>
      <c r="KVF174" s="125"/>
      <c r="KVG174" s="125"/>
      <c r="KVH174" s="125"/>
      <c r="KVI174" s="125"/>
      <c r="KVJ174" s="125"/>
      <c r="KVK174" s="125"/>
      <c r="KVL174" s="125"/>
      <c r="KVM174" s="125"/>
      <c r="KVN174" s="125"/>
      <c r="KVO174" s="125"/>
      <c r="KVP174" s="125"/>
      <c r="KVQ174" s="125"/>
      <c r="KVR174" s="125"/>
      <c r="KVS174" s="125"/>
      <c r="KVT174" s="125"/>
      <c r="KVU174" s="125"/>
      <c r="KVV174" s="125"/>
      <c r="KVW174" s="125"/>
      <c r="KVX174" s="125"/>
      <c r="KVY174" s="125"/>
      <c r="KVZ174" s="125"/>
      <c r="KWA174" s="125"/>
      <c r="KWB174" s="125"/>
      <c r="KWC174" s="125"/>
      <c r="KWD174" s="125"/>
      <c r="KWE174" s="125"/>
      <c r="KWF174" s="125"/>
      <c r="KWG174" s="125"/>
      <c r="KWH174" s="125"/>
      <c r="KWI174" s="125"/>
      <c r="KWJ174" s="125"/>
      <c r="KWK174" s="125"/>
      <c r="KWL174" s="125"/>
      <c r="KWM174" s="125"/>
      <c r="KWN174" s="125"/>
      <c r="KWO174" s="125"/>
      <c r="KWP174" s="125"/>
      <c r="KWQ174" s="125"/>
      <c r="KWR174" s="125"/>
      <c r="KWS174" s="125"/>
      <c r="KWT174" s="125"/>
      <c r="KWU174" s="125"/>
      <c r="KWV174" s="125"/>
      <c r="KWW174" s="125"/>
      <c r="KWX174" s="125"/>
      <c r="KWY174" s="125"/>
      <c r="KWZ174" s="125"/>
      <c r="KXA174" s="125"/>
      <c r="KXB174" s="125"/>
      <c r="KXC174" s="125"/>
      <c r="KXD174" s="125"/>
      <c r="KXE174" s="125"/>
      <c r="KXF174" s="125"/>
      <c r="KXG174" s="125"/>
      <c r="KXH174" s="125"/>
      <c r="KXI174" s="125"/>
      <c r="KXJ174" s="125"/>
      <c r="KXK174" s="125"/>
      <c r="KXL174" s="125"/>
      <c r="KXM174" s="125"/>
      <c r="KXN174" s="125"/>
      <c r="KXO174" s="125"/>
      <c r="KXP174" s="125"/>
      <c r="KXQ174" s="125"/>
      <c r="KXR174" s="125"/>
      <c r="KXS174" s="125"/>
      <c r="KXT174" s="125"/>
      <c r="KXU174" s="125"/>
      <c r="KXV174" s="125"/>
      <c r="KXW174" s="125"/>
      <c r="KXX174" s="125"/>
      <c r="KXY174" s="125"/>
      <c r="KXZ174" s="125"/>
      <c r="KYA174" s="125"/>
      <c r="KYB174" s="125"/>
      <c r="KYC174" s="125"/>
      <c r="KYD174" s="125"/>
      <c r="KYE174" s="125"/>
      <c r="KYF174" s="125"/>
      <c r="KYG174" s="125"/>
      <c r="KYH174" s="125"/>
      <c r="KYI174" s="125"/>
      <c r="KYJ174" s="125"/>
      <c r="KYK174" s="125"/>
      <c r="KYL174" s="125"/>
      <c r="KYM174" s="125"/>
      <c r="KYN174" s="125"/>
      <c r="KYO174" s="125"/>
      <c r="KYP174" s="125"/>
      <c r="KYQ174" s="125"/>
      <c r="KYR174" s="125"/>
      <c r="KYS174" s="125"/>
      <c r="KYT174" s="125"/>
      <c r="KYU174" s="125"/>
      <c r="KYV174" s="125"/>
      <c r="KYW174" s="125"/>
      <c r="KYX174" s="125"/>
      <c r="KYY174" s="125"/>
      <c r="KYZ174" s="125"/>
      <c r="KZA174" s="125"/>
      <c r="KZB174" s="125"/>
      <c r="KZC174" s="125"/>
      <c r="KZD174" s="125"/>
      <c r="KZE174" s="125"/>
      <c r="KZF174" s="125"/>
      <c r="KZG174" s="125"/>
      <c r="KZH174" s="125"/>
      <c r="KZI174" s="125"/>
      <c r="KZJ174" s="125"/>
      <c r="KZK174" s="125"/>
      <c r="KZL174" s="125"/>
      <c r="KZM174" s="125"/>
      <c r="KZN174" s="125"/>
      <c r="KZO174" s="125"/>
      <c r="KZP174" s="125"/>
      <c r="KZQ174" s="125"/>
      <c r="KZR174" s="125"/>
      <c r="KZS174" s="125"/>
      <c r="KZT174" s="125"/>
      <c r="KZU174" s="125"/>
      <c r="KZV174" s="125"/>
      <c r="KZW174" s="125"/>
      <c r="KZX174" s="125"/>
      <c r="KZY174" s="125"/>
      <c r="KZZ174" s="125"/>
      <c r="LAA174" s="125"/>
      <c r="LAB174" s="125"/>
      <c r="LAC174" s="125"/>
      <c r="LAD174" s="125"/>
      <c r="LAE174" s="125"/>
      <c r="LAF174" s="125"/>
      <c r="LAG174" s="125"/>
      <c r="LAH174" s="125"/>
      <c r="LAI174" s="125"/>
      <c r="LAJ174" s="125"/>
      <c r="LAK174" s="125"/>
      <c r="LAL174" s="125"/>
      <c r="LAM174" s="125"/>
      <c r="LAN174" s="125"/>
      <c r="LAO174" s="125"/>
      <c r="LAP174" s="125"/>
      <c r="LAQ174" s="125"/>
      <c r="LAR174" s="125"/>
      <c r="LAS174" s="125"/>
      <c r="LAT174" s="125"/>
      <c r="LAU174" s="125"/>
      <c r="LAV174" s="125"/>
      <c r="LAW174" s="125"/>
      <c r="LAX174" s="125"/>
      <c r="LAY174" s="125"/>
      <c r="LAZ174" s="125"/>
      <c r="LBA174" s="125"/>
      <c r="LBB174" s="125"/>
      <c r="LBC174" s="125"/>
      <c r="LBD174" s="125"/>
      <c r="LBE174" s="125"/>
      <c r="LBF174" s="125"/>
      <c r="LBG174" s="125"/>
      <c r="LBH174" s="125"/>
      <c r="LBI174" s="125"/>
      <c r="LBJ174" s="125"/>
      <c r="LBK174" s="125"/>
      <c r="LBL174" s="125"/>
      <c r="LBM174" s="125"/>
      <c r="LBN174" s="125"/>
      <c r="LBO174" s="125"/>
      <c r="LBP174" s="125"/>
      <c r="LBQ174" s="125"/>
      <c r="LBR174" s="125"/>
      <c r="LBS174" s="125"/>
      <c r="LBT174" s="125"/>
      <c r="LBU174" s="125"/>
      <c r="LBV174" s="125"/>
      <c r="LBW174" s="125"/>
      <c r="LBX174" s="125"/>
      <c r="LBY174" s="125"/>
      <c r="LBZ174" s="125"/>
      <c r="LCA174" s="125"/>
      <c r="LCB174" s="125"/>
      <c r="LCC174" s="125"/>
      <c r="LCD174" s="125"/>
      <c r="LCE174" s="125"/>
      <c r="LCF174" s="125"/>
      <c r="LCG174" s="125"/>
      <c r="LCH174" s="125"/>
      <c r="LCI174" s="125"/>
      <c r="LCJ174" s="125"/>
      <c r="LCK174" s="125"/>
      <c r="LCL174" s="125"/>
      <c r="LCM174" s="125"/>
      <c r="LCN174" s="125"/>
      <c r="LCO174" s="125"/>
      <c r="LCP174" s="125"/>
      <c r="LCQ174" s="125"/>
      <c r="LCR174" s="125"/>
      <c r="LCS174" s="125"/>
      <c r="LCT174" s="125"/>
      <c r="LCU174" s="125"/>
      <c r="LCV174" s="125"/>
      <c r="LCW174" s="125"/>
      <c r="LCX174" s="125"/>
      <c r="LCY174" s="125"/>
      <c r="LCZ174" s="125"/>
      <c r="LDA174" s="125"/>
      <c r="LDB174" s="125"/>
      <c r="LDC174" s="125"/>
      <c r="LDD174" s="125"/>
      <c r="LDE174" s="125"/>
      <c r="LDF174" s="125"/>
      <c r="LDG174" s="125"/>
      <c r="LDH174" s="125"/>
      <c r="LDI174" s="125"/>
      <c r="LDJ174" s="125"/>
      <c r="LDK174" s="125"/>
      <c r="LDL174" s="125"/>
      <c r="LDM174" s="125"/>
      <c r="LDN174" s="125"/>
      <c r="LDO174" s="125"/>
      <c r="LDP174" s="125"/>
      <c r="LDQ174" s="125"/>
      <c r="LDR174" s="125"/>
      <c r="LDS174" s="125"/>
      <c r="LDT174" s="125"/>
      <c r="LDU174" s="125"/>
      <c r="LDV174" s="125"/>
      <c r="LDW174" s="125"/>
      <c r="LDX174" s="125"/>
      <c r="LDY174" s="125"/>
      <c r="LDZ174" s="125"/>
      <c r="LEA174" s="125"/>
      <c r="LEB174" s="125"/>
      <c r="LEC174" s="125"/>
      <c r="LED174" s="125"/>
      <c r="LEE174" s="125"/>
      <c r="LEF174" s="125"/>
      <c r="LEG174" s="125"/>
      <c r="LEH174" s="125"/>
      <c r="LEI174" s="125"/>
      <c r="LEJ174" s="125"/>
      <c r="LEK174" s="125"/>
      <c r="LEL174" s="125"/>
      <c r="LEM174" s="125"/>
      <c r="LEN174" s="125"/>
      <c r="LEO174" s="125"/>
      <c r="LEP174" s="125"/>
      <c r="LEQ174" s="125"/>
      <c r="LER174" s="125"/>
      <c r="LES174" s="125"/>
      <c r="LET174" s="125"/>
      <c r="LEU174" s="125"/>
      <c r="LEV174" s="125"/>
      <c r="LEW174" s="125"/>
      <c r="LEX174" s="125"/>
      <c r="LEY174" s="125"/>
      <c r="LEZ174" s="125"/>
      <c r="LFA174" s="125"/>
      <c r="LFB174" s="125"/>
      <c r="LFC174" s="125"/>
      <c r="LFD174" s="125"/>
      <c r="LFE174" s="125"/>
      <c r="LFF174" s="125"/>
      <c r="LFG174" s="125"/>
      <c r="LFH174" s="125"/>
      <c r="LFI174" s="125"/>
      <c r="LFJ174" s="125"/>
      <c r="LFK174" s="125"/>
      <c r="LFL174" s="125"/>
      <c r="LFM174" s="125"/>
      <c r="LFN174" s="125"/>
      <c r="LFO174" s="125"/>
      <c r="LFP174" s="125"/>
      <c r="LFQ174" s="125"/>
      <c r="LFR174" s="125"/>
      <c r="LFS174" s="125"/>
      <c r="LFT174" s="125"/>
      <c r="LFU174" s="125"/>
      <c r="LFV174" s="125"/>
      <c r="LFW174" s="125"/>
      <c r="LFX174" s="125"/>
      <c r="LFY174" s="125"/>
      <c r="LFZ174" s="125"/>
      <c r="LGA174" s="125"/>
      <c r="LGB174" s="125"/>
      <c r="LGC174" s="125"/>
      <c r="LGD174" s="125"/>
      <c r="LGE174" s="125"/>
      <c r="LGF174" s="125"/>
      <c r="LGG174" s="125"/>
      <c r="LGH174" s="125"/>
      <c r="LGI174" s="125"/>
      <c r="LGJ174" s="125"/>
      <c r="LGK174" s="125"/>
      <c r="LGL174" s="125"/>
      <c r="LGM174" s="125"/>
      <c r="LGN174" s="125"/>
      <c r="LGO174" s="125"/>
      <c r="LGP174" s="125"/>
      <c r="LGQ174" s="125"/>
      <c r="LGR174" s="125"/>
      <c r="LGS174" s="125"/>
      <c r="LGT174" s="125"/>
      <c r="LGU174" s="125"/>
      <c r="LGV174" s="125"/>
      <c r="LGW174" s="125"/>
      <c r="LGX174" s="125"/>
      <c r="LGY174" s="125"/>
      <c r="LGZ174" s="125"/>
      <c r="LHA174" s="125"/>
      <c r="LHB174" s="125"/>
      <c r="LHC174" s="125"/>
      <c r="LHD174" s="125"/>
      <c r="LHE174" s="125"/>
      <c r="LHF174" s="125"/>
      <c r="LHG174" s="125"/>
      <c r="LHH174" s="125"/>
      <c r="LHI174" s="125"/>
      <c r="LHJ174" s="125"/>
      <c r="LHK174" s="125"/>
      <c r="LHL174" s="125"/>
      <c r="LHM174" s="125"/>
      <c r="LHN174" s="125"/>
      <c r="LHO174" s="125"/>
      <c r="LHP174" s="125"/>
      <c r="LHQ174" s="125"/>
      <c r="LHR174" s="125"/>
      <c r="LHS174" s="125"/>
      <c r="LHT174" s="125"/>
      <c r="LHU174" s="125"/>
      <c r="LHV174" s="125"/>
      <c r="LHW174" s="125"/>
      <c r="LHX174" s="125"/>
      <c r="LHY174" s="125"/>
      <c r="LHZ174" s="125"/>
      <c r="LIA174" s="125"/>
      <c r="LIB174" s="125"/>
      <c r="LIC174" s="125"/>
      <c r="LID174" s="125"/>
      <c r="LIE174" s="125"/>
      <c r="LIF174" s="125"/>
      <c r="LIG174" s="125"/>
      <c r="LIH174" s="125"/>
      <c r="LII174" s="125"/>
      <c r="LIJ174" s="125"/>
      <c r="LIK174" s="125"/>
      <c r="LIL174" s="125"/>
      <c r="LIM174" s="125"/>
      <c r="LIN174" s="125"/>
      <c r="LIO174" s="125"/>
      <c r="LIP174" s="125"/>
      <c r="LIQ174" s="125"/>
      <c r="LIR174" s="125"/>
      <c r="LIS174" s="125"/>
      <c r="LIT174" s="125"/>
      <c r="LIU174" s="125"/>
      <c r="LIV174" s="125"/>
      <c r="LIW174" s="125"/>
      <c r="LIX174" s="125"/>
      <c r="LIY174" s="125"/>
      <c r="LIZ174" s="125"/>
      <c r="LJA174" s="125"/>
      <c r="LJB174" s="125"/>
      <c r="LJC174" s="125"/>
      <c r="LJD174" s="125"/>
      <c r="LJE174" s="125"/>
      <c r="LJF174" s="125"/>
      <c r="LJG174" s="125"/>
      <c r="LJH174" s="125"/>
      <c r="LJI174" s="125"/>
      <c r="LJJ174" s="125"/>
      <c r="LJK174" s="125"/>
      <c r="LJL174" s="125"/>
      <c r="LJM174" s="125"/>
      <c r="LJN174" s="125"/>
      <c r="LJO174" s="125"/>
      <c r="LJP174" s="125"/>
      <c r="LJQ174" s="125"/>
      <c r="LJR174" s="125"/>
      <c r="LJS174" s="125"/>
      <c r="LJT174" s="125"/>
      <c r="LJU174" s="125"/>
      <c r="LJV174" s="125"/>
      <c r="LJW174" s="125"/>
      <c r="LJX174" s="125"/>
      <c r="LJY174" s="125"/>
      <c r="LJZ174" s="125"/>
      <c r="LKA174" s="125"/>
      <c r="LKB174" s="125"/>
      <c r="LKC174" s="125"/>
      <c r="LKD174" s="125"/>
      <c r="LKE174" s="125"/>
      <c r="LKF174" s="125"/>
      <c r="LKG174" s="125"/>
      <c r="LKH174" s="125"/>
      <c r="LKI174" s="125"/>
      <c r="LKJ174" s="125"/>
      <c r="LKK174" s="125"/>
      <c r="LKL174" s="125"/>
      <c r="LKM174" s="125"/>
      <c r="LKN174" s="125"/>
      <c r="LKO174" s="125"/>
      <c r="LKP174" s="125"/>
      <c r="LKQ174" s="125"/>
      <c r="LKR174" s="125"/>
      <c r="LKS174" s="125"/>
      <c r="LKT174" s="125"/>
      <c r="LKU174" s="125"/>
      <c r="LKV174" s="125"/>
      <c r="LKW174" s="125"/>
      <c r="LKX174" s="125"/>
      <c r="LKY174" s="125"/>
      <c r="LKZ174" s="125"/>
      <c r="LLA174" s="125"/>
      <c r="LLB174" s="125"/>
      <c r="LLC174" s="125"/>
      <c r="LLD174" s="125"/>
      <c r="LLE174" s="125"/>
      <c r="LLF174" s="125"/>
      <c r="LLG174" s="125"/>
      <c r="LLH174" s="125"/>
      <c r="LLI174" s="125"/>
      <c r="LLJ174" s="125"/>
      <c r="LLK174" s="125"/>
      <c r="LLL174" s="125"/>
      <c r="LLM174" s="125"/>
      <c r="LLN174" s="125"/>
      <c r="LLO174" s="125"/>
      <c r="LLP174" s="125"/>
      <c r="LLQ174" s="125"/>
      <c r="LLR174" s="125"/>
      <c r="LLS174" s="125"/>
      <c r="LLT174" s="125"/>
      <c r="LLU174" s="125"/>
      <c r="LLV174" s="125"/>
      <c r="LLW174" s="125"/>
      <c r="LLX174" s="125"/>
      <c r="LLY174" s="125"/>
      <c r="LLZ174" s="125"/>
      <c r="LMA174" s="125"/>
      <c r="LMB174" s="125"/>
      <c r="LMC174" s="125"/>
      <c r="LMD174" s="125"/>
      <c r="LME174" s="125"/>
      <c r="LMF174" s="125"/>
      <c r="LMG174" s="125"/>
      <c r="LMH174" s="125"/>
      <c r="LMI174" s="125"/>
      <c r="LMJ174" s="125"/>
      <c r="LMK174" s="125"/>
      <c r="LML174" s="125"/>
      <c r="LMM174" s="125"/>
      <c r="LMN174" s="125"/>
      <c r="LMO174" s="125"/>
      <c r="LMP174" s="125"/>
      <c r="LMQ174" s="125"/>
      <c r="LMR174" s="125"/>
      <c r="LMS174" s="125"/>
      <c r="LMT174" s="125"/>
      <c r="LMU174" s="125"/>
      <c r="LMV174" s="125"/>
      <c r="LMW174" s="125"/>
      <c r="LMX174" s="125"/>
      <c r="LMY174" s="125"/>
      <c r="LMZ174" s="125"/>
      <c r="LNA174" s="125"/>
      <c r="LNB174" s="125"/>
      <c r="LNC174" s="125"/>
      <c r="LND174" s="125"/>
      <c r="LNE174" s="125"/>
      <c r="LNF174" s="125"/>
      <c r="LNG174" s="125"/>
      <c r="LNH174" s="125"/>
      <c r="LNI174" s="125"/>
      <c r="LNJ174" s="125"/>
      <c r="LNK174" s="125"/>
      <c r="LNL174" s="125"/>
      <c r="LNM174" s="125"/>
      <c r="LNN174" s="125"/>
      <c r="LNO174" s="125"/>
      <c r="LNP174" s="125"/>
      <c r="LNQ174" s="125"/>
      <c r="LNR174" s="125"/>
      <c r="LNS174" s="125"/>
      <c r="LNT174" s="125"/>
      <c r="LNU174" s="125"/>
      <c r="LNV174" s="125"/>
      <c r="LNW174" s="125"/>
      <c r="LNX174" s="125"/>
      <c r="LNY174" s="125"/>
      <c r="LNZ174" s="125"/>
      <c r="LOA174" s="125"/>
      <c r="LOB174" s="125"/>
      <c r="LOC174" s="125"/>
      <c r="LOD174" s="125"/>
      <c r="LOE174" s="125"/>
      <c r="LOF174" s="125"/>
      <c r="LOG174" s="125"/>
      <c r="LOH174" s="125"/>
      <c r="LOI174" s="125"/>
      <c r="LOJ174" s="125"/>
      <c r="LOK174" s="125"/>
      <c r="LOL174" s="125"/>
      <c r="LOM174" s="125"/>
      <c r="LON174" s="125"/>
      <c r="LOO174" s="125"/>
      <c r="LOP174" s="125"/>
      <c r="LOQ174" s="125"/>
      <c r="LOR174" s="125"/>
      <c r="LOS174" s="125"/>
      <c r="LOT174" s="125"/>
      <c r="LOU174" s="125"/>
      <c r="LOV174" s="125"/>
      <c r="LOW174" s="125"/>
      <c r="LOX174" s="125"/>
      <c r="LOY174" s="125"/>
      <c r="LOZ174" s="125"/>
      <c r="LPA174" s="125"/>
      <c r="LPB174" s="125"/>
      <c r="LPC174" s="125"/>
      <c r="LPD174" s="125"/>
      <c r="LPE174" s="125"/>
      <c r="LPF174" s="125"/>
      <c r="LPG174" s="125"/>
      <c r="LPH174" s="125"/>
      <c r="LPI174" s="125"/>
      <c r="LPJ174" s="125"/>
      <c r="LPK174" s="125"/>
      <c r="LPL174" s="125"/>
      <c r="LPM174" s="125"/>
      <c r="LPN174" s="125"/>
      <c r="LPO174" s="125"/>
      <c r="LPP174" s="125"/>
      <c r="LPQ174" s="125"/>
      <c r="LPR174" s="125"/>
      <c r="LPS174" s="125"/>
      <c r="LPT174" s="125"/>
      <c r="LPU174" s="125"/>
      <c r="LPV174" s="125"/>
      <c r="LPW174" s="125"/>
      <c r="LPX174" s="125"/>
      <c r="LPY174" s="125"/>
      <c r="LPZ174" s="125"/>
      <c r="LQA174" s="125"/>
      <c r="LQB174" s="125"/>
      <c r="LQC174" s="125"/>
      <c r="LQD174" s="125"/>
      <c r="LQE174" s="125"/>
      <c r="LQF174" s="125"/>
      <c r="LQG174" s="125"/>
      <c r="LQH174" s="125"/>
      <c r="LQI174" s="125"/>
      <c r="LQJ174" s="125"/>
      <c r="LQK174" s="125"/>
      <c r="LQL174" s="125"/>
      <c r="LQM174" s="125"/>
      <c r="LQN174" s="125"/>
      <c r="LQO174" s="125"/>
      <c r="LQP174" s="125"/>
      <c r="LQQ174" s="125"/>
      <c r="LQR174" s="125"/>
      <c r="LQS174" s="125"/>
      <c r="LQT174" s="125"/>
      <c r="LQU174" s="125"/>
      <c r="LQV174" s="125"/>
      <c r="LQW174" s="125"/>
      <c r="LQX174" s="125"/>
      <c r="LQY174" s="125"/>
      <c r="LQZ174" s="125"/>
      <c r="LRA174" s="125"/>
      <c r="LRB174" s="125"/>
      <c r="LRC174" s="125"/>
      <c r="LRD174" s="125"/>
      <c r="LRE174" s="125"/>
      <c r="LRF174" s="125"/>
      <c r="LRG174" s="125"/>
      <c r="LRH174" s="125"/>
      <c r="LRI174" s="125"/>
      <c r="LRJ174" s="125"/>
      <c r="LRK174" s="125"/>
      <c r="LRL174" s="125"/>
      <c r="LRM174" s="125"/>
      <c r="LRN174" s="125"/>
      <c r="LRO174" s="125"/>
      <c r="LRP174" s="125"/>
      <c r="LRQ174" s="125"/>
      <c r="LRR174" s="125"/>
      <c r="LRS174" s="125"/>
      <c r="LRT174" s="125"/>
      <c r="LRU174" s="125"/>
      <c r="LRV174" s="125"/>
      <c r="LRW174" s="125"/>
      <c r="LRX174" s="125"/>
      <c r="LRY174" s="125"/>
      <c r="LRZ174" s="125"/>
      <c r="LSA174" s="125"/>
      <c r="LSB174" s="125"/>
      <c r="LSC174" s="125"/>
      <c r="LSD174" s="125"/>
      <c r="LSE174" s="125"/>
      <c r="LSF174" s="125"/>
      <c r="LSG174" s="125"/>
      <c r="LSH174" s="125"/>
      <c r="LSI174" s="125"/>
      <c r="LSJ174" s="125"/>
      <c r="LSK174" s="125"/>
      <c r="LSL174" s="125"/>
      <c r="LSM174" s="125"/>
      <c r="LSN174" s="125"/>
      <c r="LSO174" s="125"/>
      <c r="LSP174" s="125"/>
      <c r="LSQ174" s="125"/>
      <c r="LSR174" s="125"/>
      <c r="LSS174" s="125"/>
      <c r="LST174" s="125"/>
      <c r="LSU174" s="125"/>
      <c r="LSV174" s="125"/>
      <c r="LSW174" s="125"/>
      <c r="LSX174" s="125"/>
      <c r="LSY174" s="125"/>
      <c r="LSZ174" s="125"/>
      <c r="LTA174" s="125"/>
      <c r="LTB174" s="125"/>
      <c r="LTC174" s="125"/>
      <c r="LTD174" s="125"/>
      <c r="LTE174" s="125"/>
      <c r="LTF174" s="125"/>
      <c r="LTG174" s="125"/>
      <c r="LTH174" s="125"/>
      <c r="LTI174" s="125"/>
      <c r="LTJ174" s="125"/>
      <c r="LTK174" s="125"/>
      <c r="LTL174" s="125"/>
      <c r="LTM174" s="125"/>
      <c r="LTN174" s="125"/>
      <c r="LTO174" s="125"/>
      <c r="LTP174" s="125"/>
      <c r="LTQ174" s="125"/>
      <c r="LTR174" s="125"/>
      <c r="LTS174" s="125"/>
      <c r="LTT174" s="125"/>
      <c r="LTU174" s="125"/>
      <c r="LTV174" s="125"/>
      <c r="LTW174" s="125"/>
      <c r="LTX174" s="125"/>
      <c r="LTY174" s="125"/>
      <c r="LTZ174" s="125"/>
      <c r="LUA174" s="125"/>
      <c r="LUB174" s="125"/>
      <c r="LUC174" s="125"/>
      <c r="LUD174" s="125"/>
      <c r="LUE174" s="125"/>
      <c r="LUF174" s="125"/>
      <c r="LUG174" s="125"/>
      <c r="LUH174" s="125"/>
      <c r="LUI174" s="125"/>
      <c r="LUJ174" s="125"/>
      <c r="LUK174" s="125"/>
      <c r="LUL174" s="125"/>
      <c r="LUM174" s="125"/>
      <c r="LUN174" s="125"/>
      <c r="LUO174" s="125"/>
      <c r="LUP174" s="125"/>
      <c r="LUQ174" s="125"/>
      <c r="LUR174" s="125"/>
      <c r="LUS174" s="125"/>
      <c r="LUT174" s="125"/>
      <c r="LUU174" s="125"/>
      <c r="LUV174" s="125"/>
      <c r="LUW174" s="125"/>
      <c r="LUX174" s="125"/>
      <c r="LUY174" s="125"/>
      <c r="LUZ174" s="125"/>
      <c r="LVA174" s="125"/>
      <c r="LVB174" s="125"/>
      <c r="LVC174" s="125"/>
      <c r="LVD174" s="125"/>
      <c r="LVE174" s="125"/>
      <c r="LVF174" s="125"/>
      <c r="LVG174" s="125"/>
      <c r="LVH174" s="125"/>
      <c r="LVI174" s="125"/>
      <c r="LVJ174" s="125"/>
      <c r="LVK174" s="125"/>
      <c r="LVL174" s="125"/>
      <c r="LVM174" s="125"/>
      <c r="LVN174" s="125"/>
      <c r="LVO174" s="125"/>
      <c r="LVP174" s="125"/>
      <c r="LVQ174" s="125"/>
      <c r="LVR174" s="125"/>
      <c r="LVS174" s="125"/>
      <c r="LVT174" s="125"/>
      <c r="LVU174" s="125"/>
      <c r="LVV174" s="125"/>
      <c r="LVW174" s="125"/>
      <c r="LVX174" s="125"/>
      <c r="LVY174" s="125"/>
      <c r="LVZ174" s="125"/>
      <c r="LWA174" s="125"/>
      <c r="LWB174" s="125"/>
      <c r="LWC174" s="125"/>
      <c r="LWD174" s="125"/>
      <c r="LWE174" s="125"/>
      <c r="LWF174" s="125"/>
      <c r="LWG174" s="125"/>
      <c r="LWH174" s="125"/>
      <c r="LWI174" s="125"/>
      <c r="LWJ174" s="125"/>
      <c r="LWK174" s="125"/>
      <c r="LWL174" s="125"/>
      <c r="LWM174" s="125"/>
      <c r="LWN174" s="125"/>
      <c r="LWO174" s="125"/>
      <c r="LWP174" s="125"/>
      <c r="LWQ174" s="125"/>
      <c r="LWR174" s="125"/>
      <c r="LWS174" s="125"/>
      <c r="LWT174" s="125"/>
      <c r="LWU174" s="125"/>
      <c r="LWV174" s="125"/>
      <c r="LWW174" s="125"/>
      <c r="LWX174" s="125"/>
      <c r="LWY174" s="125"/>
      <c r="LWZ174" s="125"/>
      <c r="LXA174" s="125"/>
      <c r="LXB174" s="125"/>
      <c r="LXC174" s="125"/>
      <c r="LXD174" s="125"/>
      <c r="LXE174" s="125"/>
      <c r="LXF174" s="125"/>
      <c r="LXG174" s="125"/>
      <c r="LXH174" s="125"/>
      <c r="LXI174" s="125"/>
      <c r="LXJ174" s="125"/>
      <c r="LXK174" s="125"/>
      <c r="LXL174" s="125"/>
      <c r="LXM174" s="125"/>
      <c r="LXN174" s="125"/>
      <c r="LXO174" s="125"/>
      <c r="LXP174" s="125"/>
      <c r="LXQ174" s="125"/>
      <c r="LXR174" s="125"/>
      <c r="LXS174" s="125"/>
      <c r="LXT174" s="125"/>
      <c r="LXU174" s="125"/>
      <c r="LXV174" s="125"/>
      <c r="LXW174" s="125"/>
      <c r="LXX174" s="125"/>
      <c r="LXY174" s="125"/>
      <c r="LXZ174" s="125"/>
      <c r="LYA174" s="125"/>
      <c r="LYB174" s="125"/>
      <c r="LYC174" s="125"/>
      <c r="LYD174" s="125"/>
      <c r="LYE174" s="125"/>
      <c r="LYF174" s="125"/>
      <c r="LYG174" s="125"/>
      <c r="LYH174" s="125"/>
      <c r="LYI174" s="125"/>
      <c r="LYJ174" s="125"/>
      <c r="LYK174" s="125"/>
      <c r="LYL174" s="125"/>
      <c r="LYM174" s="125"/>
      <c r="LYN174" s="125"/>
      <c r="LYO174" s="125"/>
      <c r="LYP174" s="125"/>
      <c r="LYQ174" s="125"/>
      <c r="LYR174" s="125"/>
      <c r="LYS174" s="125"/>
      <c r="LYT174" s="125"/>
      <c r="LYU174" s="125"/>
      <c r="LYV174" s="125"/>
      <c r="LYW174" s="125"/>
      <c r="LYX174" s="125"/>
      <c r="LYY174" s="125"/>
      <c r="LYZ174" s="125"/>
      <c r="LZA174" s="125"/>
      <c r="LZB174" s="125"/>
      <c r="LZC174" s="125"/>
      <c r="LZD174" s="125"/>
      <c r="LZE174" s="125"/>
      <c r="LZF174" s="125"/>
      <c r="LZG174" s="125"/>
      <c r="LZH174" s="125"/>
      <c r="LZI174" s="125"/>
      <c r="LZJ174" s="125"/>
      <c r="LZK174" s="125"/>
      <c r="LZL174" s="125"/>
      <c r="LZM174" s="125"/>
      <c r="LZN174" s="125"/>
      <c r="LZO174" s="125"/>
      <c r="LZP174" s="125"/>
      <c r="LZQ174" s="125"/>
      <c r="LZR174" s="125"/>
      <c r="LZS174" s="125"/>
      <c r="LZT174" s="125"/>
      <c r="LZU174" s="125"/>
      <c r="LZV174" s="125"/>
      <c r="LZW174" s="125"/>
      <c r="LZX174" s="125"/>
      <c r="LZY174" s="125"/>
      <c r="LZZ174" s="125"/>
      <c r="MAA174" s="125"/>
      <c r="MAB174" s="125"/>
      <c r="MAC174" s="125"/>
      <c r="MAD174" s="125"/>
      <c r="MAE174" s="125"/>
      <c r="MAF174" s="125"/>
      <c r="MAG174" s="125"/>
      <c r="MAH174" s="125"/>
      <c r="MAI174" s="125"/>
      <c r="MAJ174" s="125"/>
      <c r="MAK174" s="125"/>
      <c r="MAL174" s="125"/>
      <c r="MAM174" s="125"/>
      <c r="MAN174" s="125"/>
      <c r="MAO174" s="125"/>
      <c r="MAP174" s="125"/>
      <c r="MAQ174" s="125"/>
      <c r="MAR174" s="125"/>
      <c r="MAS174" s="125"/>
      <c r="MAT174" s="125"/>
      <c r="MAU174" s="125"/>
      <c r="MAV174" s="125"/>
      <c r="MAW174" s="125"/>
      <c r="MAX174" s="125"/>
      <c r="MAY174" s="125"/>
      <c r="MAZ174" s="125"/>
      <c r="MBA174" s="125"/>
      <c r="MBB174" s="125"/>
      <c r="MBC174" s="125"/>
      <c r="MBD174" s="125"/>
      <c r="MBE174" s="125"/>
      <c r="MBF174" s="125"/>
      <c r="MBG174" s="125"/>
      <c r="MBH174" s="125"/>
      <c r="MBI174" s="125"/>
      <c r="MBJ174" s="125"/>
      <c r="MBK174" s="125"/>
      <c r="MBL174" s="125"/>
      <c r="MBM174" s="125"/>
      <c r="MBN174" s="125"/>
      <c r="MBO174" s="125"/>
      <c r="MBP174" s="125"/>
      <c r="MBQ174" s="125"/>
      <c r="MBR174" s="125"/>
      <c r="MBS174" s="125"/>
      <c r="MBT174" s="125"/>
      <c r="MBU174" s="125"/>
      <c r="MBV174" s="125"/>
      <c r="MBW174" s="125"/>
      <c r="MBX174" s="125"/>
      <c r="MBY174" s="125"/>
      <c r="MBZ174" s="125"/>
      <c r="MCA174" s="125"/>
      <c r="MCB174" s="125"/>
      <c r="MCC174" s="125"/>
      <c r="MCD174" s="125"/>
      <c r="MCE174" s="125"/>
      <c r="MCF174" s="125"/>
      <c r="MCG174" s="125"/>
      <c r="MCH174" s="125"/>
      <c r="MCI174" s="125"/>
      <c r="MCJ174" s="125"/>
      <c r="MCK174" s="125"/>
      <c r="MCL174" s="125"/>
      <c r="MCM174" s="125"/>
      <c r="MCN174" s="125"/>
      <c r="MCO174" s="125"/>
      <c r="MCP174" s="125"/>
      <c r="MCQ174" s="125"/>
      <c r="MCR174" s="125"/>
      <c r="MCS174" s="125"/>
      <c r="MCT174" s="125"/>
      <c r="MCU174" s="125"/>
      <c r="MCV174" s="125"/>
      <c r="MCW174" s="125"/>
      <c r="MCX174" s="125"/>
      <c r="MCY174" s="125"/>
      <c r="MCZ174" s="125"/>
      <c r="MDA174" s="125"/>
      <c r="MDB174" s="125"/>
      <c r="MDC174" s="125"/>
      <c r="MDD174" s="125"/>
      <c r="MDE174" s="125"/>
      <c r="MDF174" s="125"/>
      <c r="MDG174" s="125"/>
      <c r="MDH174" s="125"/>
      <c r="MDI174" s="125"/>
      <c r="MDJ174" s="125"/>
      <c r="MDK174" s="125"/>
      <c r="MDL174" s="125"/>
      <c r="MDM174" s="125"/>
      <c r="MDN174" s="125"/>
      <c r="MDO174" s="125"/>
      <c r="MDP174" s="125"/>
      <c r="MDQ174" s="125"/>
      <c r="MDR174" s="125"/>
      <c r="MDS174" s="125"/>
      <c r="MDT174" s="125"/>
      <c r="MDU174" s="125"/>
      <c r="MDV174" s="125"/>
      <c r="MDW174" s="125"/>
      <c r="MDX174" s="125"/>
      <c r="MDY174" s="125"/>
      <c r="MDZ174" s="125"/>
      <c r="MEA174" s="125"/>
      <c r="MEB174" s="125"/>
      <c r="MEC174" s="125"/>
      <c r="MED174" s="125"/>
      <c r="MEE174" s="125"/>
      <c r="MEF174" s="125"/>
      <c r="MEG174" s="125"/>
      <c r="MEH174" s="125"/>
      <c r="MEI174" s="125"/>
      <c r="MEJ174" s="125"/>
      <c r="MEK174" s="125"/>
      <c r="MEL174" s="125"/>
      <c r="MEM174" s="125"/>
      <c r="MEN174" s="125"/>
      <c r="MEO174" s="125"/>
      <c r="MEP174" s="125"/>
      <c r="MEQ174" s="125"/>
      <c r="MER174" s="125"/>
      <c r="MES174" s="125"/>
      <c r="MET174" s="125"/>
      <c r="MEU174" s="125"/>
      <c r="MEV174" s="125"/>
      <c r="MEW174" s="125"/>
      <c r="MEX174" s="125"/>
      <c r="MEY174" s="125"/>
      <c r="MEZ174" s="125"/>
      <c r="MFA174" s="125"/>
      <c r="MFB174" s="125"/>
      <c r="MFC174" s="125"/>
      <c r="MFD174" s="125"/>
      <c r="MFE174" s="125"/>
      <c r="MFF174" s="125"/>
      <c r="MFG174" s="125"/>
      <c r="MFH174" s="125"/>
      <c r="MFI174" s="125"/>
      <c r="MFJ174" s="125"/>
      <c r="MFK174" s="125"/>
      <c r="MFL174" s="125"/>
      <c r="MFM174" s="125"/>
      <c r="MFN174" s="125"/>
      <c r="MFO174" s="125"/>
      <c r="MFP174" s="125"/>
      <c r="MFQ174" s="125"/>
      <c r="MFR174" s="125"/>
      <c r="MFS174" s="125"/>
      <c r="MFT174" s="125"/>
      <c r="MFU174" s="125"/>
      <c r="MFV174" s="125"/>
      <c r="MFW174" s="125"/>
      <c r="MFX174" s="125"/>
      <c r="MFY174" s="125"/>
      <c r="MFZ174" s="125"/>
      <c r="MGA174" s="125"/>
      <c r="MGB174" s="125"/>
      <c r="MGC174" s="125"/>
      <c r="MGD174" s="125"/>
      <c r="MGE174" s="125"/>
      <c r="MGF174" s="125"/>
      <c r="MGG174" s="125"/>
      <c r="MGH174" s="125"/>
      <c r="MGI174" s="125"/>
      <c r="MGJ174" s="125"/>
      <c r="MGK174" s="125"/>
      <c r="MGL174" s="125"/>
      <c r="MGM174" s="125"/>
      <c r="MGN174" s="125"/>
      <c r="MGO174" s="125"/>
      <c r="MGP174" s="125"/>
      <c r="MGQ174" s="125"/>
      <c r="MGR174" s="125"/>
      <c r="MGS174" s="125"/>
      <c r="MGT174" s="125"/>
      <c r="MGU174" s="125"/>
      <c r="MGV174" s="125"/>
      <c r="MGW174" s="125"/>
      <c r="MGX174" s="125"/>
      <c r="MGY174" s="125"/>
      <c r="MGZ174" s="125"/>
      <c r="MHA174" s="125"/>
      <c r="MHB174" s="125"/>
      <c r="MHC174" s="125"/>
      <c r="MHD174" s="125"/>
      <c r="MHE174" s="125"/>
      <c r="MHF174" s="125"/>
      <c r="MHG174" s="125"/>
      <c r="MHH174" s="125"/>
      <c r="MHI174" s="125"/>
      <c r="MHJ174" s="125"/>
      <c r="MHK174" s="125"/>
      <c r="MHL174" s="125"/>
      <c r="MHM174" s="125"/>
      <c r="MHN174" s="125"/>
      <c r="MHO174" s="125"/>
      <c r="MHP174" s="125"/>
      <c r="MHQ174" s="125"/>
      <c r="MHR174" s="125"/>
      <c r="MHS174" s="125"/>
      <c r="MHT174" s="125"/>
      <c r="MHU174" s="125"/>
      <c r="MHV174" s="125"/>
      <c r="MHW174" s="125"/>
      <c r="MHX174" s="125"/>
      <c r="MHY174" s="125"/>
      <c r="MHZ174" s="125"/>
      <c r="MIA174" s="125"/>
      <c r="MIB174" s="125"/>
      <c r="MIC174" s="125"/>
      <c r="MID174" s="125"/>
      <c r="MIE174" s="125"/>
      <c r="MIF174" s="125"/>
      <c r="MIG174" s="125"/>
      <c r="MIH174" s="125"/>
      <c r="MII174" s="125"/>
      <c r="MIJ174" s="125"/>
      <c r="MIK174" s="125"/>
      <c r="MIL174" s="125"/>
      <c r="MIM174" s="125"/>
      <c r="MIN174" s="125"/>
      <c r="MIO174" s="125"/>
      <c r="MIP174" s="125"/>
      <c r="MIQ174" s="125"/>
      <c r="MIR174" s="125"/>
      <c r="MIS174" s="125"/>
      <c r="MIT174" s="125"/>
      <c r="MIU174" s="125"/>
      <c r="MIV174" s="125"/>
      <c r="MIW174" s="125"/>
      <c r="MIX174" s="125"/>
      <c r="MIY174" s="125"/>
      <c r="MIZ174" s="125"/>
      <c r="MJA174" s="125"/>
      <c r="MJB174" s="125"/>
      <c r="MJC174" s="125"/>
      <c r="MJD174" s="125"/>
      <c r="MJE174" s="125"/>
      <c r="MJF174" s="125"/>
      <c r="MJG174" s="125"/>
      <c r="MJH174" s="125"/>
      <c r="MJI174" s="125"/>
      <c r="MJJ174" s="125"/>
      <c r="MJK174" s="125"/>
      <c r="MJL174" s="125"/>
      <c r="MJM174" s="125"/>
      <c r="MJN174" s="125"/>
      <c r="MJO174" s="125"/>
      <c r="MJP174" s="125"/>
      <c r="MJQ174" s="125"/>
      <c r="MJR174" s="125"/>
      <c r="MJS174" s="125"/>
      <c r="MJT174" s="125"/>
      <c r="MJU174" s="125"/>
      <c r="MJV174" s="125"/>
      <c r="MJW174" s="125"/>
      <c r="MJX174" s="125"/>
      <c r="MJY174" s="125"/>
      <c r="MJZ174" s="125"/>
      <c r="MKA174" s="125"/>
      <c r="MKB174" s="125"/>
      <c r="MKC174" s="125"/>
      <c r="MKD174" s="125"/>
      <c r="MKE174" s="125"/>
      <c r="MKF174" s="125"/>
      <c r="MKG174" s="125"/>
      <c r="MKH174" s="125"/>
      <c r="MKI174" s="125"/>
      <c r="MKJ174" s="125"/>
      <c r="MKK174" s="125"/>
      <c r="MKL174" s="125"/>
      <c r="MKM174" s="125"/>
      <c r="MKN174" s="125"/>
      <c r="MKO174" s="125"/>
      <c r="MKP174" s="125"/>
      <c r="MKQ174" s="125"/>
      <c r="MKR174" s="125"/>
      <c r="MKS174" s="125"/>
      <c r="MKT174" s="125"/>
      <c r="MKU174" s="125"/>
      <c r="MKV174" s="125"/>
      <c r="MKW174" s="125"/>
      <c r="MKX174" s="125"/>
      <c r="MKY174" s="125"/>
      <c r="MKZ174" s="125"/>
      <c r="MLA174" s="125"/>
      <c r="MLB174" s="125"/>
      <c r="MLC174" s="125"/>
      <c r="MLD174" s="125"/>
      <c r="MLE174" s="125"/>
      <c r="MLF174" s="125"/>
      <c r="MLG174" s="125"/>
      <c r="MLH174" s="125"/>
      <c r="MLI174" s="125"/>
      <c r="MLJ174" s="125"/>
      <c r="MLK174" s="125"/>
      <c r="MLL174" s="125"/>
      <c r="MLM174" s="125"/>
      <c r="MLN174" s="125"/>
      <c r="MLO174" s="125"/>
      <c r="MLP174" s="125"/>
      <c r="MLQ174" s="125"/>
      <c r="MLR174" s="125"/>
      <c r="MLS174" s="125"/>
      <c r="MLT174" s="125"/>
      <c r="MLU174" s="125"/>
      <c r="MLV174" s="125"/>
      <c r="MLW174" s="125"/>
      <c r="MLX174" s="125"/>
      <c r="MLY174" s="125"/>
      <c r="MLZ174" s="125"/>
      <c r="MMA174" s="125"/>
      <c r="MMB174" s="125"/>
      <c r="MMC174" s="125"/>
      <c r="MMD174" s="125"/>
      <c r="MME174" s="125"/>
      <c r="MMF174" s="125"/>
      <c r="MMG174" s="125"/>
      <c r="MMH174" s="125"/>
      <c r="MMI174" s="125"/>
      <c r="MMJ174" s="125"/>
      <c r="MMK174" s="125"/>
      <c r="MML174" s="125"/>
      <c r="MMM174" s="125"/>
      <c r="MMN174" s="125"/>
      <c r="MMO174" s="125"/>
      <c r="MMP174" s="125"/>
      <c r="MMQ174" s="125"/>
      <c r="MMR174" s="125"/>
      <c r="MMS174" s="125"/>
      <c r="MMT174" s="125"/>
      <c r="MMU174" s="125"/>
      <c r="MMV174" s="125"/>
      <c r="MMW174" s="125"/>
      <c r="MMX174" s="125"/>
      <c r="MMY174" s="125"/>
      <c r="MMZ174" s="125"/>
      <c r="MNA174" s="125"/>
      <c r="MNB174" s="125"/>
      <c r="MNC174" s="125"/>
      <c r="MND174" s="125"/>
      <c r="MNE174" s="125"/>
      <c r="MNF174" s="125"/>
      <c r="MNG174" s="125"/>
      <c r="MNH174" s="125"/>
      <c r="MNI174" s="125"/>
      <c r="MNJ174" s="125"/>
      <c r="MNK174" s="125"/>
      <c r="MNL174" s="125"/>
      <c r="MNM174" s="125"/>
      <c r="MNN174" s="125"/>
      <c r="MNO174" s="125"/>
      <c r="MNP174" s="125"/>
      <c r="MNQ174" s="125"/>
      <c r="MNR174" s="125"/>
      <c r="MNS174" s="125"/>
      <c r="MNT174" s="125"/>
      <c r="MNU174" s="125"/>
      <c r="MNV174" s="125"/>
      <c r="MNW174" s="125"/>
      <c r="MNX174" s="125"/>
      <c r="MNY174" s="125"/>
      <c r="MNZ174" s="125"/>
      <c r="MOA174" s="125"/>
      <c r="MOB174" s="125"/>
      <c r="MOC174" s="125"/>
      <c r="MOD174" s="125"/>
      <c r="MOE174" s="125"/>
      <c r="MOF174" s="125"/>
      <c r="MOG174" s="125"/>
      <c r="MOH174" s="125"/>
      <c r="MOI174" s="125"/>
      <c r="MOJ174" s="125"/>
      <c r="MOK174" s="125"/>
      <c r="MOL174" s="125"/>
      <c r="MOM174" s="125"/>
      <c r="MON174" s="125"/>
      <c r="MOO174" s="125"/>
      <c r="MOP174" s="125"/>
      <c r="MOQ174" s="125"/>
      <c r="MOR174" s="125"/>
      <c r="MOS174" s="125"/>
      <c r="MOT174" s="125"/>
      <c r="MOU174" s="125"/>
      <c r="MOV174" s="125"/>
      <c r="MOW174" s="125"/>
      <c r="MOX174" s="125"/>
      <c r="MOY174" s="125"/>
      <c r="MOZ174" s="125"/>
      <c r="MPA174" s="125"/>
      <c r="MPB174" s="125"/>
      <c r="MPC174" s="125"/>
      <c r="MPD174" s="125"/>
      <c r="MPE174" s="125"/>
      <c r="MPF174" s="125"/>
      <c r="MPG174" s="125"/>
      <c r="MPH174" s="125"/>
      <c r="MPI174" s="125"/>
      <c r="MPJ174" s="125"/>
      <c r="MPK174" s="125"/>
      <c r="MPL174" s="125"/>
      <c r="MPM174" s="125"/>
      <c r="MPN174" s="125"/>
      <c r="MPO174" s="125"/>
      <c r="MPP174" s="125"/>
      <c r="MPQ174" s="125"/>
      <c r="MPR174" s="125"/>
      <c r="MPS174" s="125"/>
      <c r="MPT174" s="125"/>
      <c r="MPU174" s="125"/>
      <c r="MPV174" s="125"/>
      <c r="MPW174" s="125"/>
      <c r="MPX174" s="125"/>
      <c r="MPY174" s="125"/>
      <c r="MPZ174" s="125"/>
      <c r="MQA174" s="125"/>
      <c r="MQB174" s="125"/>
      <c r="MQC174" s="125"/>
      <c r="MQD174" s="125"/>
      <c r="MQE174" s="125"/>
      <c r="MQF174" s="125"/>
      <c r="MQG174" s="125"/>
      <c r="MQH174" s="125"/>
      <c r="MQI174" s="125"/>
      <c r="MQJ174" s="125"/>
      <c r="MQK174" s="125"/>
      <c r="MQL174" s="125"/>
      <c r="MQM174" s="125"/>
      <c r="MQN174" s="125"/>
      <c r="MQO174" s="125"/>
      <c r="MQP174" s="125"/>
      <c r="MQQ174" s="125"/>
      <c r="MQR174" s="125"/>
      <c r="MQS174" s="125"/>
      <c r="MQT174" s="125"/>
      <c r="MQU174" s="125"/>
      <c r="MQV174" s="125"/>
      <c r="MQW174" s="125"/>
      <c r="MQX174" s="125"/>
      <c r="MQY174" s="125"/>
      <c r="MQZ174" s="125"/>
      <c r="MRA174" s="125"/>
      <c r="MRB174" s="125"/>
      <c r="MRC174" s="125"/>
      <c r="MRD174" s="125"/>
      <c r="MRE174" s="125"/>
      <c r="MRF174" s="125"/>
      <c r="MRG174" s="125"/>
      <c r="MRH174" s="125"/>
      <c r="MRI174" s="125"/>
      <c r="MRJ174" s="125"/>
      <c r="MRK174" s="125"/>
      <c r="MRL174" s="125"/>
      <c r="MRM174" s="125"/>
      <c r="MRN174" s="125"/>
      <c r="MRO174" s="125"/>
      <c r="MRP174" s="125"/>
      <c r="MRQ174" s="125"/>
      <c r="MRR174" s="125"/>
      <c r="MRS174" s="125"/>
      <c r="MRT174" s="125"/>
      <c r="MRU174" s="125"/>
      <c r="MRV174" s="125"/>
      <c r="MRW174" s="125"/>
      <c r="MRX174" s="125"/>
      <c r="MRY174" s="125"/>
      <c r="MRZ174" s="125"/>
      <c r="MSA174" s="125"/>
      <c r="MSB174" s="125"/>
      <c r="MSC174" s="125"/>
      <c r="MSD174" s="125"/>
      <c r="MSE174" s="125"/>
      <c r="MSF174" s="125"/>
      <c r="MSG174" s="125"/>
      <c r="MSH174" s="125"/>
      <c r="MSI174" s="125"/>
      <c r="MSJ174" s="125"/>
      <c r="MSK174" s="125"/>
      <c r="MSL174" s="125"/>
      <c r="MSM174" s="125"/>
      <c r="MSN174" s="125"/>
      <c r="MSO174" s="125"/>
      <c r="MSP174" s="125"/>
      <c r="MSQ174" s="125"/>
      <c r="MSR174" s="125"/>
      <c r="MSS174" s="125"/>
      <c r="MST174" s="125"/>
      <c r="MSU174" s="125"/>
      <c r="MSV174" s="125"/>
      <c r="MSW174" s="125"/>
      <c r="MSX174" s="125"/>
      <c r="MSY174" s="125"/>
      <c r="MSZ174" s="125"/>
      <c r="MTA174" s="125"/>
      <c r="MTB174" s="125"/>
      <c r="MTC174" s="125"/>
      <c r="MTD174" s="125"/>
      <c r="MTE174" s="125"/>
      <c r="MTF174" s="125"/>
      <c r="MTG174" s="125"/>
      <c r="MTH174" s="125"/>
      <c r="MTI174" s="125"/>
      <c r="MTJ174" s="125"/>
      <c r="MTK174" s="125"/>
      <c r="MTL174" s="125"/>
      <c r="MTM174" s="125"/>
      <c r="MTN174" s="125"/>
      <c r="MTO174" s="125"/>
      <c r="MTP174" s="125"/>
      <c r="MTQ174" s="125"/>
      <c r="MTR174" s="125"/>
      <c r="MTS174" s="125"/>
      <c r="MTT174" s="125"/>
      <c r="MTU174" s="125"/>
      <c r="MTV174" s="125"/>
      <c r="MTW174" s="125"/>
      <c r="MTX174" s="125"/>
      <c r="MTY174" s="125"/>
      <c r="MTZ174" s="125"/>
      <c r="MUA174" s="125"/>
      <c r="MUB174" s="125"/>
      <c r="MUC174" s="125"/>
      <c r="MUD174" s="125"/>
      <c r="MUE174" s="125"/>
      <c r="MUF174" s="125"/>
      <c r="MUG174" s="125"/>
      <c r="MUH174" s="125"/>
      <c r="MUI174" s="125"/>
      <c r="MUJ174" s="125"/>
      <c r="MUK174" s="125"/>
      <c r="MUL174" s="125"/>
      <c r="MUM174" s="125"/>
      <c r="MUN174" s="125"/>
      <c r="MUO174" s="125"/>
      <c r="MUP174" s="125"/>
      <c r="MUQ174" s="125"/>
      <c r="MUR174" s="125"/>
      <c r="MUS174" s="125"/>
      <c r="MUT174" s="125"/>
      <c r="MUU174" s="125"/>
      <c r="MUV174" s="125"/>
      <c r="MUW174" s="125"/>
      <c r="MUX174" s="125"/>
      <c r="MUY174" s="125"/>
      <c r="MUZ174" s="125"/>
      <c r="MVA174" s="125"/>
      <c r="MVB174" s="125"/>
      <c r="MVC174" s="125"/>
      <c r="MVD174" s="125"/>
      <c r="MVE174" s="125"/>
      <c r="MVF174" s="125"/>
      <c r="MVG174" s="125"/>
      <c r="MVH174" s="125"/>
      <c r="MVI174" s="125"/>
      <c r="MVJ174" s="125"/>
      <c r="MVK174" s="125"/>
      <c r="MVL174" s="125"/>
      <c r="MVM174" s="125"/>
      <c r="MVN174" s="125"/>
      <c r="MVO174" s="125"/>
      <c r="MVP174" s="125"/>
      <c r="MVQ174" s="125"/>
      <c r="MVR174" s="125"/>
      <c r="MVS174" s="125"/>
      <c r="MVT174" s="125"/>
      <c r="MVU174" s="125"/>
      <c r="MVV174" s="125"/>
      <c r="MVW174" s="125"/>
      <c r="MVX174" s="125"/>
      <c r="MVY174" s="125"/>
      <c r="MVZ174" s="125"/>
      <c r="MWA174" s="125"/>
      <c r="MWB174" s="125"/>
      <c r="MWC174" s="125"/>
      <c r="MWD174" s="125"/>
      <c r="MWE174" s="125"/>
      <c r="MWF174" s="125"/>
      <c r="MWG174" s="125"/>
      <c r="MWH174" s="125"/>
      <c r="MWI174" s="125"/>
      <c r="MWJ174" s="125"/>
      <c r="MWK174" s="125"/>
      <c r="MWL174" s="125"/>
      <c r="MWM174" s="125"/>
      <c r="MWN174" s="125"/>
      <c r="MWO174" s="125"/>
      <c r="MWP174" s="125"/>
      <c r="MWQ174" s="125"/>
      <c r="MWR174" s="125"/>
      <c r="MWS174" s="125"/>
      <c r="MWT174" s="125"/>
      <c r="MWU174" s="125"/>
      <c r="MWV174" s="125"/>
      <c r="MWW174" s="125"/>
      <c r="MWX174" s="125"/>
      <c r="MWY174" s="125"/>
      <c r="MWZ174" s="125"/>
      <c r="MXA174" s="125"/>
      <c r="MXB174" s="125"/>
      <c r="MXC174" s="125"/>
      <c r="MXD174" s="125"/>
      <c r="MXE174" s="125"/>
      <c r="MXF174" s="125"/>
      <c r="MXG174" s="125"/>
      <c r="MXH174" s="125"/>
      <c r="MXI174" s="125"/>
      <c r="MXJ174" s="125"/>
      <c r="MXK174" s="125"/>
      <c r="MXL174" s="125"/>
      <c r="MXM174" s="125"/>
      <c r="MXN174" s="125"/>
      <c r="MXO174" s="125"/>
      <c r="MXP174" s="125"/>
      <c r="MXQ174" s="125"/>
      <c r="MXR174" s="125"/>
      <c r="MXS174" s="125"/>
      <c r="MXT174" s="125"/>
      <c r="MXU174" s="125"/>
      <c r="MXV174" s="125"/>
      <c r="MXW174" s="125"/>
      <c r="MXX174" s="125"/>
      <c r="MXY174" s="125"/>
      <c r="MXZ174" s="125"/>
      <c r="MYA174" s="125"/>
      <c r="MYB174" s="125"/>
      <c r="MYC174" s="125"/>
      <c r="MYD174" s="125"/>
      <c r="MYE174" s="125"/>
      <c r="MYF174" s="125"/>
      <c r="MYG174" s="125"/>
      <c r="MYH174" s="125"/>
      <c r="MYI174" s="125"/>
      <c r="MYJ174" s="125"/>
      <c r="MYK174" s="125"/>
      <c r="MYL174" s="125"/>
      <c r="MYM174" s="125"/>
      <c r="MYN174" s="125"/>
      <c r="MYO174" s="125"/>
      <c r="MYP174" s="125"/>
      <c r="MYQ174" s="125"/>
      <c r="MYR174" s="125"/>
      <c r="MYS174" s="125"/>
      <c r="MYT174" s="125"/>
      <c r="MYU174" s="125"/>
      <c r="MYV174" s="125"/>
      <c r="MYW174" s="125"/>
      <c r="MYX174" s="125"/>
      <c r="MYY174" s="125"/>
      <c r="MYZ174" s="125"/>
      <c r="MZA174" s="125"/>
      <c r="MZB174" s="125"/>
      <c r="MZC174" s="125"/>
      <c r="MZD174" s="125"/>
      <c r="MZE174" s="125"/>
      <c r="MZF174" s="125"/>
      <c r="MZG174" s="125"/>
      <c r="MZH174" s="125"/>
      <c r="MZI174" s="125"/>
      <c r="MZJ174" s="125"/>
      <c r="MZK174" s="125"/>
      <c r="MZL174" s="125"/>
      <c r="MZM174" s="125"/>
      <c r="MZN174" s="125"/>
      <c r="MZO174" s="125"/>
      <c r="MZP174" s="125"/>
      <c r="MZQ174" s="125"/>
      <c r="MZR174" s="125"/>
      <c r="MZS174" s="125"/>
      <c r="MZT174" s="125"/>
      <c r="MZU174" s="125"/>
      <c r="MZV174" s="125"/>
      <c r="MZW174" s="125"/>
      <c r="MZX174" s="125"/>
      <c r="MZY174" s="125"/>
      <c r="MZZ174" s="125"/>
      <c r="NAA174" s="125"/>
      <c r="NAB174" s="125"/>
      <c r="NAC174" s="125"/>
      <c r="NAD174" s="125"/>
      <c r="NAE174" s="125"/>
      <c r="NAF174" s="125"/>
      <c r="NAG174" s="125"/>
      <c r="NAH174" s="125"/>
      <c r="NAI174" s="125"/>
      <c r="NAJ174" s="125"/>
      <c r="NAK174" s="125"/>
      <c r="NAL174" s="125"/>
      <c r="NAM174" s="125"/>
      <c r="NAN174" s="125"/>
      <c r="NAO174" s="125"/>
      <c r="NAP174" s="125"/>
      <c r="NAQ174" s="125"/>
      <c r="NAR174" s="125"/>
      <c r="NAS174" s="125"/>
      <c r="NAT174" s="125"/>
      <c r="NAU174" s="125"/>
      <c r="NAV174" s="125"/>
      <c r="NAW174" s="125"/>
      <c r="NAX174" s="125"/>
      <c r="NAY174" s="125"/>
      <c r="NAZ174" s="125"/>
      <c r="NBA174" s="125"/>
      <c r="NBB174" s="125"/>
      <c r="NBC174" s="125"/>
      <c r="NBD174" s="125"/>
      <c r="NBE174" s="125"/>
      <c r="NBF174" s="125"/>
      <c r="NBG174" s="125"/>
      <c r="NBH174" s="125"/>
      <c r="NBI174" s="125"/>
      <c r="NBJ174" s="125"/>
      <c r="NBK174" s="125"/>
      <c r="NBL174" s="125"/>
      <c r="NBM174" s="125"/>
      <c r="NBN174" s="125"/>
      <c r="NBO174" s="125"/>
      <c r="NBP174" s="125"/>
      <c r="NBQ174" s="125"/>
      <c r="NBR174" s="125"/>
      <c r="NBS174" s="125"/>
      <c r="NBT174" s="125"/>
      <c r="NBU174" s="125"/>
      <c r="NBV174" s="125"/>
      <c r="NBW174" s="125"/>
      <c r="NBX174" s="125"/>
      <c r="NBY174" s="125"/>
      <c r="NBZ174" s="125"/>
      <c r="NCA174" s="125"/>
      <c r="NCB174" s="125"/>
      <c r="NCC174" s="125"/>
      <c r="NCD174" s="125"/>
      <c r="NCE174" s="125"/>
      <c r="NCF174" s="125"/>
      <c r="NCG174" s="125"/>
      <c r="NCH174" s="125"/>
      <c r="NCI174" s="125"/>
      <c r="NCJ174" s="125"/>
      <c r="NCK174" s="125"/>
      <c r="NCL174" s="125"/>
      <c r="NCM174" s="125"/>
      <c r="NCN174" s="125"/>
      <c r="NCO174" s="125"/>
      <c r="NCP174" s="125"/>
      <c r="NCQ174" s="125"/>
      <c r="NCR174" s="125"/>
      <c r="NCS174" s="125"/>
      <c r="NCT174" s="125"/>
      <c r="NCU174" s="125"/>
      <c r="NCV174" s="125"/>
      <c r="NCW174" s="125"/>
      <c r="NCX174" s="125"/>
      <c r="NCY174" s="125"/>
      <c r="NCZ174" s="125"/>
      <c r="NDA174" s="125"/>
      <c r="NDB174" s="125"/>
      <c r="NDC174" s="125"/>
      <c r="NDD174" s="125"/>
      <c r="NDE174" s="125"/>
      <c r="NDF174" s="125"/>
      <c r="NDG174" s="125"/>
      <c r="NDH174" s="125"/>
      <c r="NDI174" s="125"/>
      <c r="NDJ174" s="125"/>
      <c r="NDK174" s="125"/>
      <c r="NDL174" s="125"/>
      <c r="NDM174" s="125"/>
      <c r="NDN174" s="125"/>
      <c r="NDO174" s="125"/>
      <c r="NDP174" s="125"/>
      <c r="NDQ174" s="125"/>
      <c r="NDR174" s="125"/>
      <c r="NDS174" s="125"/>
      <c r="NDT174" s="125"/>
      <c r="NDU174" s="125"/>
      <c r="NDV174" s="125"/>
      <c r="NDW174" s="125"/>
      <c r="NDX174" s="125"/>
      <c r="NDY174" s="125"/>
      <c r="NDZ174" s="125"/>
      <c r="NEA174" s="125"/>
      <c r="NEB174" s="125"/>
      <c r="NEC174" s="125"/>
      <c r="NED174" s="125"/>
      <c r="NEE174" s="125"/>
      <c r="NEF174" s="125"/>
      <c r="NEG174" s="125"/>
      <c r="NEH174" s="125"/>
      <c r="NEI174" s="125"/>
      <c r="NEJ174" s="125"/>
      <c r="NEK174" s="125"/>
      <c r="NEL174" s="125"/>
      <c r="NEM174" s="125"/>
      <c r="NEN174" s="125"/>
      <c r="NEO174" s="125"/>
      <c r="NEP174" s="125"/>
      <c r="NEQ174" s="125"/>
      <c r="NER174" s="125"/>
      <c r="NES174" s="125"/>
      <c r="NET174" s="125"/>
      <c r="NEU174" s="125"/>
      <c r="NEV174" s="125"/>
      <c r="NEW174" s="125"/>
      <c r="NEX174" s="125"/>
      <c r="NEY174" s="125"/>
      <c r="NEZ174" s="125"/>
      <c r="NFA174" s="125"/>
      <c r="NFB174" s="125"/>
      <c r="NFC174" s="125"/>
      <c r="NFD174" s="125"/>
      <c r="NFE174" s="125"/>
      <c r="NFF174" s="125"/>
      <c r="NFG174" s="125"/>
      <c r="NFH174" s="125"/>
      <c r="NFI174" s="125"/>
      <c r="NFJ174" s="125"/>
      <c r="NFK174" s="125"/>
      <c r="NFL174" s="125"/>
      <c r="NFM174" s="125"/>
      <c r="NFN174" s="125"/>
      <c r="NFO174" s="125"/>
      <c r="NFP174" s="125"/>
      <c r="NFQ174" s="125"/>
      <c r="NFR174" s="125"/>
      <c r="NFS174" s="125"/>
      <c r="NFT174" s="125"/>
      <c r="NFU174" s="125"/>
      <c r="NFV174" s="125"/>
      <c r="NFW174" s="125"/>
      <c r="NFX174" s="125"/>
      <c r="NFY174" s="125"/>
      <c r="NFZ174" s="125"/>
      <c r="NGA174" s="125"/>
      <c r="NGB174" s="125"/>
      <c r="NGC174" s="125"/>
      <c r="NGD174" s="125"/>
      <c r="NGE174" s="125"/>
      <c r="NGF174" s="125"/>
      <c r="NGG174" s="125"/>
      <c r="NGH174" s="125"/>
      <c r="NGI174" s="125"/>
      <c r="NGJ174" s="125"/>
      <c r="NGK174" s="125"/>
      <c r="NGL174" s="125"/>
      <c r="NGM174" s="125"/>
      <c r="NGN174" s="125"/>
      <c r="NGO174" s="125"/>
      <c r="NGP174" s="125"/>
      <c r="NGQ174" s="125"/>
      <c r="NGR174" s="125"/>
      <c r="NGS174" s="125"/>
      <c r="NGT174" s="125"/>
      <c r="NGU174" s="125"/>
      <c r="NGV174" s="125"/>
      <c r="NGW174" s="125"/>
      <c r="NGX174" s="125"/>
      <c r="NGY174" s="125"/>
      <c r="NGZ174" s="125"/>
      <c r="NHA174" s="125"/>
      <c r="NHB174" s="125"/>
      <c r="NHC174" s="125"/>
      <c r="NHD174" s="125"/>
      <c r="NHE174" s="125"/>
      <c r="NHF174" s="125"/>
      <c r="NHG174" s="125"/>
      <c r="NHH174" s="125"/>
      <c r="NHI174" s="125"/>
      <c r="NHJ174" s="125"/>
      <c r="NHK174" s="125"/>
      <c r="NHL174" s="125"/>
      <c r="NHM174" s="125"/>
      <c r="NHN174" s="125"/>
      <c r="NHO174" s="125"/>
      <c r="NHP174" s="125"/>
      <c r="NHQ174" s="125"/>
      <c r="NHR174" s="125"/>
      <c r="NHS174" s="125"/>
      <c r="NHT174" s="125"/>
      <c r="NHU174" s="125"/>
      <c r="NHV174" s="125"/>
      <c r="NHW174" s="125"/>
      <c r="NHX174" s="125"/>
      <c r="NHY174" s="125"/>
      <c r="NHZ174" s="125"/>
      <c r="NIA174" s="125"/>
      <c r="NIB174" s="125"/>
      <c r="NIC174" s="125"/>
      <c r="NID174" s="125"/>
      <c r="NIE174" s="125"/>
      <c r="NIF174" s="125"/>
      <c r="NIG174" s="125"/>
      <c r="NIH174" s="125"/>
      <c r="NII174" s="125"/>
      <c r="NIJ174" s="125"/>
      <c r="NIK174" s="125"/>
      <c r="NIL174" s="125"/>
      <c r="NIM174" s="125"/>
      <c r="NIN174" s="125"/>
      <c r="NIO174" s="125"/>
      <c r="NIP174" s="125"/>
      <c r="NIQ174" s="125"/>
      <c r="NIR174" s="125"/>
      <c r="NIS174" s="125"/>
      <c r="NIT174" s="125"/>
      <c r="NIU174" s="125"/>
      <c r="NIV174" s="125"/>
      <c r="NIW174" s="125"/>
      <c r="NIX174" s="125"/>
      <c r="NIY174" s="125"/>
      <c r="NIZ174" s="125"/>
      <c r="NJA174" s="125"/>
      <c r="NJB174" s="125"/>
      <c r="NJC174" s="125"/>
      <c r="NJD174" s="125"/>
      <c r="NJE174" s="125"/>
      <c r="NJF174" s="125"/>
      <c r="NJG174" s="125"/>
      <c r="NJH174" s="125"/>
      <c r="NJI174" s="125"/>
      <c r="NJJ174" s="125"/>
      <c r="NJK174" s="125"/>
      <c r="NJL174" s="125"/>
      <c r="NJM174" s="125"/>
      <c r="NJN174" s="125"/>
      <c r="NJO174" s="125"/>
      <c r="NJP174" s="125"/>
      <c r="NJQ174" s="125"/>
      <c r="NJR174" s="125"/>
      <c r="NJS174" s="125"/>
      <c r="NJT174" s="125"/>
      <c r="NJU174" s="125"/>
      <c r="NJV174" s="125"/>
      <c r="NJW174" s="125"/>
      <c r="NJX174" s="125"/>
      <c r="NJY174" s="125"/>
      <c r="NJZ174" s="125"/>
      <c r="NKA174" s="125"/>
      <c r="NKB174" s="125"/>
      <c r="NKC174" s="125"/>
      <c r="NKD174" s="125"/>
      <c r="NKE174" s="125"/>
      <c r="NKF174" s="125"/>
      <c r="NKG174" s="125"/>
      <c r="NKH174" s="125"/>
      <c r="NKI174" s="125"/>
      <c r="NKJ174" s="125"/>
      <c r="NKK174" s="125"/>
      <c r="NKL174" s="125"/>
      <c r="NKM174" s="125"/>
      <c r="NKN174" s="125"/>
      <c r="NKO174" s="125"/>
      <c r="NKP174" s="125"/>
      <c r="NKQ174" s="125"/>
      <c r="NKR174" s="125"/>
      <c r="NKS174" s="125"/>
      <c r="NKT174" s="125"/>
      <c r="NKU174" s="125"/>
      <c r="NKV174" s="125"/>
      <c r="NKW174" s="125"/>
      <c r="NKX174" s="125"/>
      <c r="NKY174" s="125"/>
      <c r="NKZ174" s="125"/>
      <c r="NLA174" s="125"/>
      <c r="NLB174" s="125"/>
      <c r="NLC174" s="125"/>
      <c r="NLD174" s="125"/>
      <c r="NLE174" s="125"/>
      <c r="NLF174" s="125"/>
      <c r="NLG174" s="125"/>
      <c r="NLH174" s="125"/>
      <c r="NLI174" s="125"/>
      <c r="NLJ174" s="125"/>
      <c r="NLK174" s="125"/>
      <c r="NLL174" s="125"/>
      <c r="NLM174" s="125"/>
      <c r="NLN174" s="125"/>
      <c r="NLO174" s="125"/>
      <c r="NLP174" s="125"/>
      <c r="NLQ174" s="125"/>
      <c r="NLR174" s="125"/>
      <c r="NLS174" s="125"/>
      <c r="NLT174" s="125"/>
      <c r="NLU174" s="125"/>
      <c r="NLV174" s="125"/>
      <c r="NLW174" s="125"/>
      <c r="NLX174" s="125"/>
      <c r="NLY174" s="125"/>
      <c r="NLZ174" s="125"/>
      <c r="NMA174" s="125"/>
      <c r="NMB174" s="125"/>
      <c r="NMC174" s="125"/>
      <c r="NMD174" s="125"/>
      <c r="NME174" s="125"/>
      <c r="NMF174" s="125"/>
      <c r="NMG174" s="125"/>
      <c r="NMH174" s="125"/>
      <c r="NMI174" s="125"/>
      <c r="NMJ174" s="125"/>
      <c r="NMK174" s="125"/>
      <c r="NML174" s="125"/>
      <c r="NMM174" s="125"/>
      <c r="NMN174" s="125"/>
      <c r="NMO174" s="125"/>
      <c r="NMP174" s="125"/>
      <c r="NMQ174" s="125"/>
      <c r="NMR174" s="125"/>
      <c r="NMS174" s="125"/>
      <c r="NMT174" s="125"/>
      <c r="NMU174" s="125"/>
      <c r="NMV174" s="125"/>
      <c r="NMW174" s="125"/>
      <c r="NMX174" s="125"/>
      <c r="NMY174" s="125"/>
      <c r="NMZ174" s="125"/>
      <c r="NNA174" s="125"/>
      <c r="NNB174" s="125"/>
      <c r="NNC174" s="125"/>
      <c r="NND174" s="125"/>
      <c r="NNE174" s="125"/>
      <c r="NNF174" s="125"/>
      <c r="NNG174" s="125"/>
      <c r="NNH174" s="125"/>
      <c r="NNI174" s="125"/>
      <c r="NNJ174" s="125"/>
      <c r="NNK174" s="125"/>
      <c r="NNL174" s="125"/>
      <c r="NNM174" s="125"/>
      <c r="NNN174" s="125"/>
      <c r="NNO174" s="125"/>
      <c r="NNP174" s="125"/>
      <c r="NNQ174" s="125"/>
      <c r="NNR174" s="125"/>
      <c r="NNS174" s="125"/>
      <c r="NNT174" s="125"/>
      <c r="NNU174" s="125"/>
      <c r="NNV174" s="125"/>
      <c r="NNW174" s="125"/>
      <c r="NNX174" s="125"/>
      <c r="NNY174" s="125"/>
      <c r="NNZ174" s="125"/>
      <c r="NOA174" s="125"/>
      <c r="NOB174" s="125"/>
      <c r="NOC174" s="125"/>
      <c r="NOD174" s="125"/>
      <c r="NOE174" s="125"/>
      <c r="NOF174" s="125"/>
      <c r="NOG174" s="125"/>
      <c r="NOH174" s="125"/>
      <c r="NOI174" s="125"/>
      <c r="NOJ174" s="125"/>
      <c r="NOK174" s="125"/>
      <c r="NOL174" s="125"/>
      <c r="NOM174" s="125"/>
      <c r="NON174" s="125"/>
      <c r="NOO174" s="125"/>
      <c r="NOP174" s="125"/>
      <c r="NOQ174" s="125"/>
      <c r="NOR174" s="125"/>
      <c r="NOS174" s="125"/>
      <c r="NOT174" s="125"/>
      <c r="NOU174" s="125"/>
      <c r="NOV174" s="125"/>
      <c r="NOW174" s="125"/>
      <c r="NOX174" s="125"/>
      <c r="NOY174" s="125"/>
      <c r="NOZ174" s="125"/>
      <c r="NPA174" s="125"/>
      <c r="NPB174" s="125"/>
      <c r="NPC174" s="125"/>
      <c r="NPD174" s="125"/>
      <c r="NPE174" s="125"/>
      <c r="NPF174" s="125"/>
      <c r="NPG174" s="125"/>
      <c r="NPH174" s="125"/>
      <c r="NPI174" s="125"/>
      <c r="NPJ174" s="125"/>
      <c r="NPK174" s="125"/>
      <c r="NPL174" s="125"/>
      <c r="NPM174" s="125"/>
      <c r="NPN174" s="125"/>
      <c r="NPO174" s="125"/>
      <c r="NPP174" s="125"/>
      <c r="NPQ174" s="125"/>
      <c r="NPR174" s="125"/>
      <c r="NPS174" s="125"/>
      <c r="NPT174" s="125"/>
      <c r="NPU174" s="125"/>
      <c r="NPV174" s="125"/>
      <c r="NPW174" s="125"/>
      <c r="NPX174" s="125"/>
      <c r="NPY174" s="125"/>
      <c r="NPZ174" s="125"/>
      <c r="NQA174" s="125"/>
      <c r="NQB174" s="125"/>
      <c r="NQC174" s="125"/>
      <c r="NQD174" s="125"/>
      <c r="NQE174" s="125"/>
      <c r="NQF174" s="125"/>
      <c r="NQG174" s="125"/>
      <c r="NQH174" s="125"/>
      <c r="NQI174" s="125"/>
      <c r="NQJ174" s="125"/>
      <c r="NQK174" s="125"/>
      <c r="NQL174" s="125"/>
      <c r="NQM174" s="125"/>
      <c r="NQN174" s="125"/>
      <c r="NQO174" s="125"/>
      <c r="NQP174" s="125"/>
      <c r="NQQ174" s="125"/>
      <c r="NQR174" s="125"/>
      <c r="NQS174" s="125"/>
      <c r="NQT174" s="125"/>
      <c r="NQU174" s="125"/>
      <c r="NQV174" s="125"/>
      <c r="NQW174" s="125"/>
      <c r="NQX174" s="125"/>
      <c r="NQY174" s="125"/>
      <c r="NQZ174" s="125"/>
      <c r="NRA174" s="125"/>
      <c r="NRB174" s="125"/>
      <c r="NRC174" s="125"/>
      <c r="NRD174" s="125"/>
      <c r="NRE174" s="125"/>
      <c r="NRF174" s="125"/>
      <c r="NRG174" s="125"/>
      <c r="NRH174" s="125"/>
      <c r="NRI174" s="125"/>
      <c r="NRJ174" s="125"/>
      <c r="NRK174" s="125"/>
      <c r="NRL174" s="125"/>
      <c r="NRM174" s="125"/>
      <c r="NRN174" s="125"/>
      <c r="NRO174" s="125"/>
      <c r="NRP174" s="125"/>
      <c r="NRQ174" s="125"/>
      <c r="NRR174" s="125"/>
      <c r="NRS174" s="125"/>
      <c r="NRT174" s="125"/>
      <c r="NRU174" s="125"/>
      <c r="NRV174" s="125"/>
      <c r="NRW174" s="125"/>
      <c r="NRX174" s="125"/>
      <c r="NRY174" s="125"/>
      <c r="NRZ174" s="125"/>
      <c r="NSA174" s="125"/>
      <c r="NSB174" s="125"/>
      <c r="NSC174" s="125"/>
      <c r="NSD174" s="125"/>
      <c r="NSE174" s="125"/>
      <c r="NSF174" s="125"/>
      <c r="NSG174" s="125"/>
      <c r="NSH174" s="125"/>
      <c r="NSI174" s="125"/>
      <c r="NSJ174" s="125"/>
      <c r="NSK174" s="125"/>
      <c r="NSL174" s="125"/>
      <c r="NSM174" s="125"/>
      <c r="NSN174" s="125"/>
      <c r="NSO174" s="125"/>
      <c r="NSP174" s="125"/>
      <c r="NSQ174" s="125"/>
      <c r="NSR174" s="125"/>
      <c r="NSS174" s="125"/>
      <c r="NST174" s="125"/>
      <c r="NSU174" s="125"/>
      <c r="NSV174" s="125"/>
      <c r="NSW174" s="125"/>
      <c r="NSX174" s="125"/>
      <c r="NSY174" s="125"/>
      <c r="NSZ174" s="125"/>
      <c r="NTA174" s="125"/>
      <c r="NTB174" s="125"/>
      <c r="NTC174" s="125"/>
      <c r="NTD174" s="125"/>
      <c r="NTE174" s="125"/>
      <c r="NTF174" s="125"/>
      <c r="NTG174" s="125"/>
      <c r="NTH174" s="125"/>
      <c r="NTI174" s="125"/>
      <c r="NTJ174" s="125"/>
      <c r="NTK174" s="125"/>
      <c r="NTL174" s="125"/>
      <c r="NTM174" s="125"/>
      <c r="NTN174" s="125"/>
      <c r="NTO174" s="125"/>
      <c r="NTP174" s="125"/>
      <c r="NTQ174" s="125"/>
      <c r="NTR174" s="125"/>
      <c r="NTS174" s="125"/>
      <c r="NTT174" s="125"/>
      <c r="NTU174" s="125"/>
      <c r="NTV174" s="125"/>
      <c r="NTW174" s="125"/>
      <c r="NTX174" s="125"/>
      <c r="NTY174" s="125"/>
      <c r="NTZ174" s="125"/>
      <c r="NUA174" s="125"/>
      <c r="NUB174" s="125"/>
      <c r="NUC174" s="125"/>
      <c r="NUD174" s="125"/>
      <c r="NUE174" s="125"/>
      <c r="NUF174" s="125"/>
      <c r="NUG174" s="125"/>
      <c r="NUH174" s="125"/>
      <c r="NUI174" s="125"/>
      <c r="NUJ174" s="125"/>
      <c r="NUK174" s="125"/>
      <c r="NUL174" s="125"/>
      <c r="NUM174" s="125"/>
      <c r="NUN174" s="125"/>
      <c r="NUO174" s="125"/>
      <c r="NUP174" s="125"/>
      <c r="NUQ174" s="125"/>
      <c r="NUR174" s="125"/>
      <c r="NUS174" s="125"/>
      <c r="NUT174" s="125"/>
      <c r="NUU174" s="125"/>
      <c r="NUV174" s="125"/>
      <c r="NUW174" s="125"/>
      <c r="NUX174" s="125"/>
      <c r="NUY174" s="125"/>
      <c r="NUZ174" s="125"/>
      <c r="NVA174" s="125"/>
      <c r="NVB174" s="125"/>
      <c r="NVC174" s="125"/>
      <c r="NVD174" s="125"/>
      <c r="NVE174" s="125"/>
      <c r="NVF174" s="125"/>
      <c r="NVG174" s="125"/>
      <c r="NVH174" s="125"/>
      <c r="NVI174" s="125"/>
      <c r="NVJ174" s="125"/>
      <c r="NVK174" s="125"/>
      <c r="NVL174" s="125"/>
      <c r="NVM174" s="125"/>
      <c r="NVN174" s="125"/>
      <c r="NVO174" s="125"/>
      <c r="NVP174" s="125"/>
      <c r="NVQ174" s="125"/>
      <c r="NVR174" s="125"/>
      <c r="NVS174" s="125"/>
      <c r="NVT174" s="125"/>
      <c r="NVU174" s="125"/>
      <c r="NVV174" s="125"/>
      <c r="NVW174" s="125"/>
      <c r="NVX174" s="125"/>
      <c r="NVY174" s="125"/>
      <c r="NVZ174" s="125"/>
      <c r="NWA174" s="125"/>
      <c r="NWB174" s="125"/>
      <c r="NWC174" s="125"/>
      <c r="NWD174" s="125"/>
      <c r="NWE174" s="125"/>
      <c r="NWF174" s="125"/>
      <c r="NWG174" s="125"/>
      <c r="NWH174" s="125"/>
      <c r="NWI174" s="125"/>
      <c r="NWJ174" s="125"/>
      <c r="NWK174" s="125"/>
      <c r="NWL174" s="125"/>
      <c r="NWM174" s="125"/>
      <c r="NWN174" s="125"/>
      <c r="NWO174" s="125"/>
      <c r="NWP174" s="125"/>
      <c r="NWQ174" s="125"/>
      <c r="NWR174" s="125"/>
      <c r="NWS174" s="125"/>
      <c r="NWT174" s="125"/>
      <c r="NWU174" s="125"/>
      <c r="NWV174" s="125"/>
      <c r="NWW174" s="125"/>
      <c r="NWX174" s="125"/>
      <c r="NWY174" s="125"/>
      <c r="NWZ174" s="125"/>
      <c r="NXA174" s="125"/>
      <c r="NXB174" s="125"/>
      <c r="NXC174" s="125"/>
      <c r="NXD174" s="125"/>
      <c r="NXE174" s="125"/>
      <c r="NXF174" s="125"/>
      <c r="NXG174" s="125"/>
      <c r="NXH174" s="125"/>
      <c r="NXI174" s="125"/>
      <c r="NXJ174" s="125"/>
      <c r="NXK174" s="125"/>
      <c r="NXL174" s="125"/>
      <c r="NXM174" s="125"/>
      <c r="NXN174" s="125"/>
      <c r="NXO174" s="125"/>
      <c r="NXP174" s="125"/>
      <c r="NXQ174" s="125"/>
      <c r="NXR174" s="125"/>
      <c r="NXS174" s="125"/>
      <c r="NXT174" s="125"/>
      <c r="NXU174" s="125"/>
      <c r="NXV174" s="125"/>
      <c r="NXW174" s="125"/>
      <c r="NXX174" s="125"/>
      <c r="NXY174" s="125"/>
      <c r="NXZ174" s="125"/>
      <c r="NYA174" s="125"/>
      <c r="NYB174" s="125"/>
      <c r="NYC174" s="125"/>
      <c r="NYD174" s="125"/>
      <c r="NYE174" s="125"/>
      <c r="NYF174" s="125"/>
      <c r="NYG174" s="125"/>
      <c r="NYH174" s="125"/>
      <c r="NYI174" s="125"/>
      <c r="NYJ174" s="125"/>
      <c r="NYK174" s="125"/>
      <c r="NYL174" s="125"/>
      <c r="NYM174" s="125"/>
      <c r="NYN174" s="125"/>
      <c r="NYO174" s="125"/>
      <c r="NYP174" s="125"/>
      <c r="NYQ174" s="125"/>
      <c r="NYR174" s="125"/>
      <c r="NYS174" s="125"/>
      <c r="NYT174" s="125"/>
      <c r="NYU174" s="125"/>
      <c r="NYV174" s="125"/>
      <c r="NYW174" s="125"/>
      <c r="NYX174" s="125"/>
      <c r="NYY174" s="125"/>
      <c r="NYZ174" s="125"/>
      <c r="NZA174" s="125"/>
      <c r="NZB174" s="125"/>
      <c r="NZC174" s="125"/>
      <c r="NZD174" s="125"/>
      <c r="NZE174" s="125"/>
      <c r="NZF174" s="125"/>
      <c r="NZG174" s="125"/>
      <c r="NZH174" s="125"/>
      <c r="NZI174" s="125"/>
      <c r="NZJ174" s="125"/>
      <c r="NZK174" s="125"/>
      <c r="NZL174" s="125"/>
      <c r="NZM174" s="125"/>
      <c r="NZN174" s="125"/>
      <c r="NZO174" s="125"/>
      <c r="NZP174" s="125"/>
      <c r="NZQ174" s="125"/>
      <c r="NZR174" s="125"/>
      <c r="NZS174" s="125"/>
      <c r="NZT174" s="125"/>
      <c r="NZU174" s="125"/>
      <c r="NZV174" s="125"/>
      <c r="NZW174" s="125"/>
      <c r="NZX174" s="125"/>
      <c r="NZY174" s="125"/>
      <c r="NZZ174" s="125"/>
      <c r="OAA174" s="125"/>
      <c r="OAB174" s="125"/>
      <c r="OAC174" s="125"/>
      <c r="OAD174" s="125"/>
      <c r="OAE174" s="125"/>
      <c r="OAF174" s="125"/>
      <c r="OAG174" s="125"/>
      <c r="OAH174" s="125"/>
      <c r="OAI174" s="125"/>
      <c r="OAJ174" s="125"/>
      <c r="OAK174" s="125"/>
      <c r="OAL174" s="125"/>
      <c r="OAM174" s="125"/>
      <c r="OAN174" s="125"/>
      <c r="OAO174" s="125"/>
      <c r="OAP174" s="125"/>
      <c r="OAQ174" s="125"/>
      <c r="OAR174" s="125"/>
      <c r="OAS174" s="125"/>
      <c r="OAT174" s="125"/>
      <c r="OAU174" s="125"/>
      <c r="OAV174" s="125"/>
      <c r="OAW174" s="125"/>
      <c r="OAX174" s="125"/>
      <c r="OAY174" s="125"/>
      <c r="OAZ174" s="125"/>
      <c r="OBA174" s="125"/>
      <c r="OBB174" s="125"/>
      <c r="OBC174" s="125"/>
      <c r="OBD174" s="125"/>
      <c r="OBE174" s="125"/>
      <c r="OBF174" s="125"/>
      <c r="OBG174" s="125"/>
      <c r="OBH174" s="125"/>
      <c r="OBI174" s="125"/>
      <c r="OBJ174" s="125"/>
      <c r="OBK174" s="125"/>
      <c r="OBL174" s="125"/>
      <c r="OBM174" s="125"/>
      <c r="OBN174" s="125"/>
      <c r="OBO174" s="125"/>
      <c r="OBP174" s="125"/>
      <c r="OBQ174" s="125"/>
      <c r="OBR174" s="125"/>
      <c r="OBS174" s="125"/>
      <c r="OBT174" s="125"/>
      <c r="OBU174" s="125"/>
      <c r="OBV174" s="125"/>
      <c r="OBW174" s="125"/>
      <c r="OBX174" s="125"/>
      <c r="OBY174" s="125"/>
      <c r="OBZ174" s="125"/>
      <c r="OCA174" s="125"/>
      <c r="OCB174" s="125"/>
      <c r="OCC174" s="125"/>
      <c r="OCD174" s="125"/>
      <c r="OCE174" s="125"/>
      <c r="OCF174" s="125"/>
      <c r="OCG174" s="125"/>
      <c r="OCH174" s="125"/>
      <c r="OCI174" s="125"/>
      <c r="OCJ174" s="125"/>
      <c r="OCK174" s="125"/>
      <c r="OCL174" s="125"/>
      <c r="OCM174" s="125"/>
      <c r="OCN174" s="125"/>
      <c r="OCO174" s="125"/>
      <c r="OCP174" s="125"/>
      <c r="OCQ174" s="125"/>
      <c r="OCR174" s="125"/>
      <c r="OCS174" s="125"/>
      <c r="OCT174" s="125"/>
      <c r="OCU174" s="125"/>
      <c r="OCV174" s="125"/>
      <c r="OCW174" s="125"/>
      <c r="OCX174" s="125"/>
      <c r="OCY174" s="125"/>
      <c r="OCZ174" s="125"/>
      <c r="ODA174" s="125"/>
      <c r="ODB174" s="125"/>
      <c r="ODC174" s="125"/>
      <c r="ODD174" s="125"/>
      <c r="ODE174" s="125"/>
      <c r="ODF174" s="125"/>
      <c r="ODG174" s="125"/>
      <c r="ODH174" s="125"/>
      <c r="ODI174" s="125"/>
      <c r="ODJ174" s="125"/>
      <c r="ODK174" s="125"/>
      <c r="ODL174" s="125"/>
      <c r="ODM174" s="125"/>
      <c r="ODN174" s="125"/>
      <c r="ODO174" s="125"/>
      <c r="ODP174" s="125"/>
      <c r="ODQ174" s="125"/>
      <c r="ODR174" s="125"/>
      <c r="ODS174" s="125"/>
      <c r="ODT174" s="125"/>
      <c r="ODU174" s="125"/>
      <c r="ODV174" s="125"/>
      <c r="ODW174" s="125"/>
      <c r="ODX174" s="125"/>
      <c r="ODY174" s="125"/>
      <c r="ODZ174" s="125"/>
      <c r="OEA174" s="125"/>
      <c r="OEB174" s="125"/>
      <c r="OEC174" s="125"/>
      <c r="OED174" s="125"/>
      <c r="OEE174" s="125"/>
      <c r="OEF174" s="125"/>
      <c r="OEG174" s="125"/>
      <c r="OEH174" s="125"/>
      <c r="OEI174" s="125"/>
      <c r="OEJ174" s="125"/>
      <c r="OEK174" s="125"/>
      <c r="OEL174" s="125"/>
      <c r="OEM174" s="125"/>
      <c r="OEN174" s="125"/>
      <c r="OEO174" s="125"/>
      <c r="OEP174" s="125"/>
      <c r="OEQ174" s="125"/>
      <c r="OER174" s="125"/>
      <c r="OES174" s="125"/>
      <c r="OET174" s="125"/>
      <c r="OEU174" s="125"/>
      <c r="OEV174" s="125"/>
      <c r="OEW174" s="125"/>
      <c r="OEX174" s="125"/>
      <c r="OEY174" s="125"/>
      <c r="OEZ174" s="125"/>
      <c r="OFA174" s="125"/>
      <c r="OFB174" s="125"/>
      <c r="OFC174" s="125"/>
      <c r="OFD174" s="125"/>
      <c r="OFE174" s="125"/>
      <c r="OFF174" s="125"/>
      <c r="OFG174" s="125"/>
      <c r="OFH174" s="125"/>
      <c r="OFI174" s="125"/>
      <c r="OFJ174" s="125"/>
      <c r="OFK174" s="125"/>
      <c r="OFL174" s="125"/>
      <c r="OFM174" s="125"/>
      <c r="OFN174" s="125"/>
      <c r="OFO174" s="125"/>
      <c r="OFP174" s="125"/>
      <c r="OFQ174" s="125"/>
      <c r="OFR174" s="125"/>
      <c r="OFS174" s="125"/>
      <c r="OFT174" s="125"/>
      <c r="OFU174" s="125"/>
      <c r="OFV174" s="125"/>
      <c r="OFW174" s="125"/>
      <c r="OFX174" s="125"/>
      <c r="OFY174" s="125"/>
      <c r="OFZ174" s="125"/>
      <c r="OGA174" s="125"/>
      <c r="OGB174" s="125"/>
      <c r="OGC174" s="125"/>
      <c r="OGD174" s="125"/>
      <c r="OGE174" s="125"/>
      <c r="OGF174" s="125"/>
      <c r="OGG174" s="125"/>
      <c r="OGH174" s="125"/>
      <c r="OGI174" s="125"/>
      <c r="OGJ174" s="125"/>
      <c r="OGK174" s="125"/>
      <c r="OGL174" s="125"/>
      <c r="OGM174" s="125"/>
      <c r="OGN174" s="125"/>
      <c r="OGO174" s="125"/>
      <c r="OGP174" s="125"/>
      <c r="OGQ174" s="125"/>
      <c r="OGR174" s="125"/>
      <c r="OGS174" s="125"/>
      <c r="OGT174" s="125"/>
      <c r="OGU174" s="125"/>
      <c r="OGV174" s="125"/>
      <c r="OGW174" s="125"/>
      <c r="OGX174" s="125"/>
      <c r="OGY174" s="125"/>
      <c r="OGZ174" s="125"/>
      <c r="OHA174" s="125"/>
      <c r="OHB174" s="125"/>
      <c r="OHC174" s="125"/>
      <c r="OHD174" s="125"/>
      <c r="OHE174" s="125"/>
      <c r="OHF174" s="125"/>
      <c r="OHG174" s="125"/>
      <c r="OHH174" s="125"/>
      <c r="OHI174" s="125"/>
      <c r="OHJ174" s="125"/>
      <c r="OHK174" s="125"/>
      <c r="OHL174" s="125"/>
      <c r="OHM174" s="125"/>
      <c r="OHN174" s="125"/>
      <c r="OHO174" s="125"/>
      <c r="OHP174" s="125"/>
      <c r="OHQ174" s="125"/>
      <c r="OHR174" s="125"/>
      <c r="OHS174" s="125"/>
      <c r="OHT174" s="125"/>
      <c r="OHU174" s="125"/>
      <c r="OHV174" s="125"/>
      <c r="OHW174" s="125"/>
      <c r="OHX174" s="125"/>
      <c r="OHY174" s="125"/>
      <c r="OHZ174" s="125"/>
      <c r="OIA174" s="125"/>
      <c r="OIB174" s="125"/>
      <c r="OIC174" s="125"/>
      <c r="OID174" s="125"/>
      <c r="OIE174" s="125"/>
      <c r="OIF174" s="125"/>
      <c r="OIG174" s="125"/>
      <c r="OIH174" s="125"/>
      <c r="OII174" s="125"/>
      <c r="OIJ174" s="125"/>
      <c r="OIK174" s="125"/>
      <c r="OIL174" s="125"/>
      <c r="OIM174" s="125"/>
      <c r="OIN174" s="125"/>
      <c r="OIO174" s="125"/>
      <c r="OIP174" s="125"/>
      <c r="OIQ174" s="125"/>
      <c r="OIR174" s="125"/>
      <c r="OIS174" s="125"/>
      <c r="OIT174" s="125"/>
      <c r="OIU174" s="125"/>
      <c r="OIV174" s="125"/>
      <c r="OIW174" s="125"/>
      <c r="OIX174" s="125"/>
      <c r="OIY174" s="125"/>
      <c r="OIZ174" s="125"/>
      <c r="OJA174" s="125"/>
      <c r="OJB174" s="125"/>
      <c r="OJC174" s="125"/>
      <c r="OJD174" s="125"/>
      <c r="OJE174" s="125"/>
      <c r="OJF174" s="125"/>
      <c r="OJG174" s="125"/>
      <c r="OJH174" s="125"/>
      <c r="OJI174" s="125"/>
      <c r="OJJ174" s="125"/>
      <c r="OJK174" s="125"/>
      <c r="OJL174" s="125"/>
      <c r="OJM174" s="125"/>
      <c r="OJN174" s="125"/>
      <c r="OJO174" s="125"/>
      <c r="OJP174" s="125"/>
      <c r="OJQ174" s="125"/>
      <c r="OJR174" s="125"/>
      <c r="OJS174" s="125"/>
      <c r="OJT174" s="125"/>
      <c r="OJU174" s="125"/>
      <c r="OJV174" s="125"/>
      <c r="OJW174" s="125"/>
      <c r="OJX174" s="125"/>
      <c r="OJY174" s="125"/>
      <c r="OJZ174" s="125"/>
      <c r="OKA174" s="125"/>
      <c r="OKB174" s="125"/>
      <c r="OKC174" s="125"/>
      <c r="OKD174" s="125"/>
      <c r="OKE174" s="125"/>
      <c r="OKF174" s="125"/>
      <c r="OKG174" s="125"/>
      <c r="OKH174" s="125"/>
      <c r="OKI174" s="125"/>
      <c r="OKJ174" s="125"/>
      <c r="OKK174" s="125"/>
      <c r="OKL174" s="125"/>
      <c r="OKM174" s="125"/>
      <c r="OKN174" s="125"/>
      <c r="OKO174" s="125"/>
      <c r="OKP174" s="125"/>
      <c r="OKQ174" s="125"/>
      <c r="OKR174" s="125"/>
      <c r="OKS174" s="125"/>
      <c r="OKT174" s="125"/>
      <c r="OKU174" s="125"/>
      <c r="OKV174" s="125"/>
      <c r="OKW174" s="125"/>
      <c r="OKX174" s="125"/>
      <c r="OKY174" s="125"/>
      <c r="OKZ174" s="125"/>
      <c r="OLA174" s="125"/>
      <c r="OLB174" s="125"/>
      <c r="OLC174" s="125"/>
      <c r="OLD174" s="125"/>
      <c r="OLE174" s="125"/>
      <c r="OLF174" s="125"/>
      <c r="OLG174" s="125"/>
      <c r="OLH174" s="125"/>
      <c r="OLI174" s="125"/>
      <c r="OLJ174" s="125"/>
      <c r="OLK174" s="125"/>
      <c r="OLL174" s="125"/>
      <c r="OLM174" s="125"/>
      <c r="OLN174" s="125"/>
      <c r="OLO174" s="125"/>
      <c r="OLP174" s="125"/>
      <c r="OLQ174" s="125"/>
      <c r="OLR174" s="125"/>
      <c r="OLS174" s="125"/>
      <c r="OLT174" s="125"/>
      <c r="OLU174" s="125"/>
      <c r="OLV174" s="125"/>
      <c r="OLW174" s="125"/>
      <c r="OLX174" s="125"/>
      <c r="OLY174" s="125"/>
      <c r="OLZ174" s="125"/>
      <c r="OMA174" s="125"/>
      <c r="OMB174" s="125"/>
      <c r="OMC174" s="125"/>
      <c r="OMD174" s="125"/>
      <c r="OME174" s="125"/>
      <c r="OMF174" s="125"/>
      <c r="OMG174" s="125"/>
      <c r="OMH174" s="125"/>
      <c r="OMI174" s="125"/>
      <c r="OMJ174" s="125"/>
      <c r="OMK174" s="125"/>
      <c r="OML174" s="125"/>
      <c r="OMM174" s="125"/>
      <c r="OMN174" s="125"/>
      <c r="OMO174" s="125"/>
      <c r="OMP174" s="125"/>
      <c r="OMQ174" s="125"/>
      <c r="OMR174" s="125"/>
      <c r="OMS174" s="125"/>
      <c r="OMT174" s="125"/>
      <c r="OMU174" s="125"/>
      <c r="OMV174" s="125"/>
      <c r="OMW174" s="125"/>
      <c r="OMX174" s="125"/>
      <c r="OMY174" s="125"/>
      <c r="OMZ174" s="125"/>
      <c r="ONA174" s="125"/>
      <c r="ONB174" s="125"/>
      <c r="ONC174" s="125"/>
      <c r="OND174" s="125"/>
      <c r="ONE174" s="125"/>
      <c r="ONF174" s="125"/>
      <c r="ONG174" s="125"/>
      <c r="ONH174" s="125"/>
      <c r="ONI174" s="125"/>
      <c r="ONJ174" s="125"/>
      <c r="ONK174" s="125"/>
      <c r="ONL174" s="125"/>
      <c r="ONM174" s="125"/>
      <c r="ONN174" s="125"/>
      <c r="ONO174" s="125"/>
      <c r="ONP174" s="125"/>
      <c r="ONQ174" s="125"/>
      <c r="ONR174" s="125"/>
      <c r="ONS174" s="125"/>
      <c r="ONT174" s="125"/>
      <c r="ONU174" s="125"/>
      <c r="ONV174" s="125"/>
      <c r="ONW174" s="125"/>
      <c r="ONX174" s="125"/>
      <c r="ONY174" s="125"/>
      <c r="ONZ174" s="125"/>
      <c r="OOA174" s="125"/>
      <c r="OOB174" s="125"/>
      <c r="OOC174" s="125"/>
      <c r="OOD174" s="125"/>
      <c r="OOE174" s="125"/>
      <c r="OOF174" s="125"/>
      <c r="OOG174" s="125"/>
      <c r="OOH174" s="125"/>
      <c r="OOI174" s="125"/>
      <c r="OOJ174" s="125"/>
      <c r="OOK174" s="125"/>
      <c r="OOL174" s="125"/>
      <c r="OOM174" s="125"/>
      <c r="OON174" s="125"/>
      <c r="OOO174" s="125"/>
      <c r="OOP174" s="125"/>
      <c r="OOQ174" s="125"/>
      <c r="OOR174" s="125"/>
      <c r="OOS174" s="125"/>
      <c r="OOT174" s="125"/>
      <c r="OOU174" s="125"/>
      <c r="OOV174" s="125"/>
      <c r="OOW174" s="125"/>
      <c r="OOX174" s="125"/>
      <c r="OOY174" s="125"/>
      <c r="OOZ174" s="125"/>
      <c r="OPA174" s="125"/>
      <c r="OPB174" s="125"/>
      <c r="OPC174" s="125"/>
      <c r="OPD174" s="125"/>
      <c r="OPE174" s="125"/>
      <c r="OPF174" s="125"/>
      <c r="OPG174" s="125"/>
      <c r="OPH174" s="125"/>
      <c r="OPI174" s="125"/>
      <c r="OPJ174" s="125"/>
      <c r="OPK174" s="125"/>
      <c r="OPL174" s="125"/>
      <c r="OPM174" s="125"/>
      <c r="OPN174" s="125"/>
      <c r="OPO174" s="125"/>
      <c r="OPP174" s="125"/>
      <c r="OPQ174" s="125"/>
      <c r="OPR174" s="125"/>
      <c r="OPS174" s="125"/>
      <c r="OPT174" s="125"/>
      <c r="OPU174" s="125"/>
      <c r="OPV174" s="125"/>
      <c r="OPW174" s="125"/>
      <c r="OPX174" s="125"/>
      <c r="OPY174" s="125"/>
      <c r="OPZ174" s="125"/>
      <c r="OQA174" s="125"/>
      <c r="OQB174" s="125"/>
      <c r="OQC174" s="125"/>
      <c r="OQD174" s="125"/>
      <c r="OQE174" s="125"/>
      <c r="OQF174" s="125"/>
      <c r="OQG174" s="125"/>
      <c r="OQH174" s="125"/>
      <c r="OQI174" s="125"/>
      <c r="OQJ174" s="125"/>
      <c r="OQK174" s="125"/>
      <c r="OQL174" s="125"/>
      <c r="OQM174" s="125"/>
      <c r="OQN174" s="125"/>
      <c r="OQO174" s="125"/>
      <c r="OQP174" s="125"/>
      <c r="OQQ174" s="125"/>
      <c r="OQR174" s="125"/>
      <c r="OQS174" s="125"/>
      <c r="OQT174" s="125"/>
      <c r="OQU174" s="125"/>
      <c r="OQV174" s="125"/>
      <c r="OQW174" s="125"/>
      <c r="OQX174" s="125"/>
      <c r="OQY174" s="125"/>
      <c r="OQZ174" s="125"/>
      <c r="ORA174" s="125"/>
      <c r="ORB174" s="125"/>
      <c r="ORC174" s="125"/>
      <c r="ORD174" s="125"/>
      <c r="ORE174" s="125"/>
      <c r="ORF174" s="125"/>
      <c r="ORG174" s="125"/>
      <c r="ORH174" s="125"/>
      <c r="ORI174" s="125"/>
      <c r="ORJ174" s="125"/>
      <c r="ORK174" s="125"/>
      <c r="ORL174" s="125"/>
      <c r="ORM174" s="125"/>
      <c r="ORN174" s="125"/>
      <c r="ORO174" s="125"/>
      <c r="ORP174" s="125"/>
      <c r="ORQ174" s="125"/>
      <c r="ORR174" s="125"/>
      <c r="ORS174" s="125"/>
      <c r="ORT174" s="125"/>
      <c r="ORU174" s="125"/>
      <c r="ORV174" s="125"/>
      <c r="ORW174" s="125"/>
      <c r="ORX174" s="125"/>
      <c r="ORY174" s="125"/>
      <c r="ORZ174" s="125"/>
      <c r="OSA174" s="125"/>
      <c r="OSB174" s="125"/>
      <c r="OSC174" s="125"/>
      <c r="OSD174" s="125"/>
      <c r="OSE174" s="125"/>
      <c r="OSF174" s="125"/>
      <c r="OSG174" s="125"/>
      <c r="OSH174" s="125"/>
      <c r="OSI174" s="125"/>
      <c r="OSJ174" s="125"/>
      <c r="OSK174" s="125"/>
      <c r="OSL174" s="125"/>
      <c r="OSM174" s="125"/>
      <c r="OSN174" s="125"/>
      <c r="OSO174" s="125"/>
      <c r="OSP174" s="125"/>
      <c r="OSQ174" s="125"/>
      <c r="OSR174" s="125"/>
      <c r="OSS174" s="125"/>
      <c r="OST174" s="125"/>
      <c r="OSU174" s="125"/>
      <c r="OSV174" s="125"/>
      <c r="OSW174" s="125"/>
      <c r="OSX174" s="125"/>
      <c r="OSY174" s="125"/>
      <c r="OSZ174" s="125"/>
      <c r="OTA174" s="125"/>
      <c r="OTB174" s="125"/>
      <c r="OTC174" s="125"/>
      <c r="OTD174" s="125"/>
      <c r="OTE174" s="125"/>
      <c r="OTF174" s="125"/>
      <c r="OTG174" s="125"/>
      <c r="OTH174" s="125"/>
      <c r="OTI174" s="125"/>
      <c r="OTJ174" s="125"/>
      <c r="OTK174" s="125"/>
      <c r="OTL174" s="125"/>
      <c r="OTM174" s="125"/>
      <c r="OTN174" s="125"/>
      <c r="OTO174" s="125"/>
      <c r="OTP174" s="125"/>
      <c r="OTQ174" s="125"/>
      <c r="OTR174" s="125"/>
      <c r="OTS174" s="125"/>
      <c r="OTT174" s="125"/>
      <c r="OTU174" s="125"/>
      <c r="OTV174" s="125"/>
      <c r="OTW174" s="125"/>
      <c r="OTX174" s="125"/>
      <c r="OTY174" s="125"/>
      <c r="OTZ174" s="125"/>
      <c r="OUA174" s="125"/>
      <c r="OUB174" s="125"/>
      <c r="OUC174" s="125"/>
      <c r="OUD174" s="125"/>
      <c r="OUE174" s="125"/>
      <c r="OUF174" s="125"/>
      <c r="OUG174" s="125"/>
      <c r="OUH174" s="125"/>
      <c r="OUI174" s="125"/>
      <c r="OUJ174" s="125"/>
      <c r="OUK174" s="125"/>
      <c r="OUL174" s="125"/>
      <c r="OUM174" s="125"/>
      <c r="OUN174" s="125"/>
      <c r="OUO174" s="125"/>
      <c r="OUP174" s="125"/>
      <c r="OUQ174" s="125"/>
      <c r="OUR174" s="125"/>
      <c r="OUS174" s="125"/>
      <c r="OUT174" s="125"/>
      <c r="OUU174" s="125"/>
      <c r="OUV174" s="125"/>
      <c r="OUW174" s="125"/>
      <c r="OUX174" s="125"/>
      <c r="OUY174" s="125"/>
      <c r="OUZ174" s="125"/>
      <c r="OVA174" s="125"/>
      <c r="OVB174" s="125"/>
      <c r="OVC174" s="125"/>
      <c r="OVD174" s="125"/>
      <c r="OVE174" s="125"/>
      <c r="OVF174" s="125"/>
      <c r="OVG174" s="125"/>
      <c r="OVH174" s="125"/>
      <c r="OVI174" s="125"/>
      <c r="OVJ174" s="125"/>
      <c r="OVK174" s="125"/>
      <c r="OVL174" s="125"/>
      <c r="OVM174" s="125"/>
      <c r="OVN174" s="125"/>
      <c r="OVO174" s="125"/>
      <c r="OVP174" s="125"/>
      <c r="OVQ174" s="125"/>
      <c r="OVR174" s="125"/>
      <c r="OVS174" s="125"/>
      <c r="OVT174" s="125"/>
      <c r="OVU174" s="125"/>
      <c r="OVV174" s="125"/>
      <c r="OVW174" s="125"/>
      <c r="OVX174" s="125"/>
      <c r="OVY174" s="125"/>
      <c r="OVZ174" s="125"/>
      <c r="OWA174" s="125"/>
      <c r="OWB174" s="125"/>
      <c r="OWC174" s="125"/>
      <c r="OWD174" s="125"/>
      <c r="OWE174" s="125"/>
      <c r="OWF174" s="125"/>
      <c r="OWG174" s="125"/>
      <c r="OWH174" s="125"/>
      <c r="OWI174" s="125"/>
      <c r="OWJ174" s="125"/>
      <c r="OWK174" s="125"/>
      <c r="OWL174" s="125"/>
      <c r="OWM174" s="125"/>
      <c r="OWN174" s="125"/>
      <c r="OWO174" s="125"/>
      <c r="OWP174" s="125"/>
      <c r="OWQ174" s="125"/>
      <c r="OWR174" s="125"/>
      <c r="OWS174" s="125"/>
      <c r="OWT174" s="125"/>
      <c r="OWU174" s="125"/>
      <c r="OWV174" s="125"/>
      <c r="OWW174" s="125"/>
      <c r="OWX174" s="125"/>
      <c r="OWY174" s="125"/>
      <c r="OWZ174" s="125"/>
      <c r="OXA174" s="125"/>
      <c r="OXB174" s="125"/>
      <c r="OXC174" s="125"/>
      <c r="OXD174" s="125"/>
      <c r="OXE174" s="125"/>
      <c r="OXF174" s="125"/>
      <c r="OXG174" s="125"/>
      <c r="OXH174" s="125"/>
      <c r="OXI174" s="125"/>
      <c r="OXJ174" s="125"/>
      <c r="OXK174" s="125"/>
      <c r="OXL174" s="125"/>
      <c r="OXM174" s="125"/>
      <c r="OXN174" s="125"/>
      <c r="OXO174" s="125"/>
      <c r="OXP174" s="125"/>
      <c r="OXQ174" s="125"/>
      <c r="OXR174" s="125"/>
      <c r="OXS174" s="125"/>
      <c r="OXT174" s="125"/>
      <c r="OXU174" s="125"/>
      <c r="OXV174" s="125"/>
      <c r="OXW174" s="125"/>
      <c r="OXX174" s="125"/>
      <c r="OXY174" s="125"/>
      <c r="OXZ174" s="125"/>
      <c r="OYA174" s="125"/>
      <c r="OYB174" s="125"/>
      <c r="OYC174" s="125"/>
      <c r="OYD174" s="125"/>
      <c r="OYE174" s="125"/>
      <c r="OYF174" s="125"/>
      <c r="OYG174" s="125"/>
      <c r="OYH174" s="125"/>
      <c r="OYI174" s="125"/>
      <c r="OYJ174" s="125"/>
      <c r="OYK174" s="125"/>
      <c r="OYL174" s="125"/>
      <c r="OYM174" s="125"/>
      <c r="OYN174" s="125"/>
      <c r="OYO174" s="125"/>
      <c r="OYP174" s="125"/>
      <c r="OYQ174" s="125"/>
      <c r="OYR174" s="125"/>
      <c r="OYS174" s="125"/>
      <c r="OYT174" s="125"/>
      <c r="OYU174" s="125"/>
      <c r="OYV174" s="125"/>
      <c r="OYW174" s="125"/>
      <c r="OYX174" s="125"/>
      <c r="OYY174" s="125"/>
      <c r="OYZ174" s="125"/>
      <c r="OZA174" s="125"/>
      <c r="OZB174" s="125"/>
      <c r="OZC174" s="125"/>
      <c r="OZD174" s="125"/>
      <c r="OZE174" s="125"/>
      <c r="OZF174" s="125"/>
      <c r="OZG174" s="125"/>
      <c r="OZH174" s="125"/>
      <c r="OZI174" s="125"/>
      <c r="OZJ174" s="125"/>
      <c r="OZK174" s="125"/>
      <c r="OZL174" s="125"/>
      <c r="OZM174" s="125"/>
      <c r="OZN174" s="125"/>
      <c r="OZO174" s="125"/>
      <c r="OZP174" s="125"/>
      <c r="OZQ174" s="125"/>
      <c r="OZR174" s="125"/>
      <c r="OZS174" s="125"/>
      <c r="OZT174" s="125"/>
      <c r="OZU174" s="125"/>
      <c r="OZV174" s="125"/>
      <c r="OZW174" s="125"/>
      <c r="OZX174" s="125"/>
      <c r="OZY174" s="125"/>
      <c r="OZZ174" s="125"/>
      <c r="PAA174" s="125"/>
      <c r="PAB174" s="125"/>
      <c r="PAC174" s="125"/>
      <c r="PAD174" s="125"/>
      <c r="PAE174" s="125"/>
      <c r="PAF174" s="125"/>
      <c r="PAG174" s="125"/>
      <c r="PAH174" s="125"/>
      <c r="PAI174" s="125"/>
      <c r="PAJ174" s="125"/>
      <c r="PAK174" s="125"/>
      <c r="PAL174" s="125"/>
      <c r="PAM174" s="125"/>
      <c r="PAN174" s="125"/>
      <c r="PAO174" s="125"/>
      <c r="PAP174" s="125"/>
      <c r="PAQ174" s="125"/>
      <c r="PAR174" s="125"/>
      <c r="PAS174" s="125"/>
      <c r="PAT174" s="125"/>
      <c r="PAU174" s="125"/>
      <c r="PAV174" s="125"/>
      <c r="PAW174" s="125"/>
      <c r="PAX174" s="125"/>
      <c r="PAY174" s="125"/>
      <c r="PAZ174" s="125"/>
      <c r="PBA174" s="125"/>
      <c r="PBB174" s="125"/>
      <c r="PBC174" s="125"/>
      <c r="PBD174" s="125"/>
      <c r="PBE174" s="125"/>
      <c r="PBF174" s="125"/>
      <c r="PBG174" s="125"/>
      <c r="PBH174" s="125"/>
      <c r="PBI174" s="125"/>
      <c r="PBJ174" s="125"/>
      <c r="PBK174" s="125"/>
      <c r="PBL174" s="125"/>
      <c r="PBM174" s="125"/>
      <c r="PBN174" s="125"/>
      <c r="PBO174" s="125"/>
      <c r="PBP174" s="125"/>
      <c r="PBQ174" s="125"/>
      <c r="PBR174" s="125"/>
      <c r="PBS174" s="125"/>
      <c r="PBT174" s="125"/>
      <c r="PBU174" s="125"/>
      <c r="PBV174" s="125"/>
      <c r="PBW174" s="125"/>
      <c r="PBX174" s="125"/>
      <c r="PBY174" s="125"/>
      <c r="PBZ174" s="125"/>
      <c r="PCA174" s="125"/>
      <c r="PCB174" s="125"/>
      <c r="PCC174" s="125"/>
      <c r="PCD174" s="125"/>
      <c r="PCE174" s="125"/>
      <c r="PCF174" s="125"/>
      <c r="PCG174" s="125"/>
      <c r="PCH174" s="125"/>
      <c r="PCI174" s="125"/>
      <c r="PCJ174" s="125"/>
      <c r="PCK174" s="125"/>
      <c r="PCL174" s="125"/>
      <c r="PCM174" s="125"/>
      <c r="PCN174" s="125"/>
      <c r="PCO174" s="125"/>
      <c r="PCP174" s="125"/>
      <c r="PCQ174" s="125"/>
      <c r="PCR174" s="125"/>
      <c r="PCS174" s="125"/>
      <c r="PCT174" s="125"/>
      <c r="PCU174" s="125"/>
      <c r="PCV174" s="125"/>
      <c r="PCW174" s="125"/>
      <c r="PCX174" s="125"/>
      <c r="PCY174" s="125"/>
      <c r="PCZ174" s="125"/>
      <c r="PDA174" s="125"/>
      <c r="PDB174" s="125"/>
      <c r="PDC174" s="125"/>
      <c r="PDD174" s="125"/>
      <c r="PDE174" s="125"/>
      <c r="PDF174" s="125"/>
      <c r="PDG174" s="125"/>
      <c r="PDH174" s="125"/>
      <c r="PDI174" s="125"/>
      <c r="PDJ174" s="125"/>
      <c r="PDK174" s="125"/>
      <c r="PDL174" s="125"/>
      <c r="PDM174" s="125"/>
      <c r="PDN174" s="125"/>
      <c r="PDO174" s="125"/>
      <c r="PDP174" s="125"/>
      <c r="PDQ174" s="125"/>
      <c r="PDR174" s="125"/>
      <c r="PDS174" s="125"/>
      <c r="PDT174" s="125"/>
      <c r="PDU174" s="125"/>
      <c r="PDV174" s="125"/>
      <c r="PDW174" s="125"/>
      <c r="PDX174" s="125"/>
      <c r="PDY174" s="125"/>
      <c r="PDZ174" s="125"/>
      <c r="PEA174" s="125"/>
      <c r="PEB174" s="125"/>
      <c r="PEC174" s="125"/>
      <c r="PED174" s="125"/>
      <c r="PEE174" s="125"/>
      <c r="PEF174" s="125"/>
      <c r="PEG174" s="125"/>
      <c r="PEH174" s="125"/>
      <c r="PEI174" s="125"/>
      <c r="PEJ174" s="125"/>
      <c r="PEK174" s="125"/>
      <c r="PEL174" s="125"/>
      <c r="PEM174" s="125"/>
      <c r="PEN174" s="125"/>
      <c r="PEO174" s="125"/>
      <c r="PEP174" s="125"/>
      <c r="PEQ174" s="125"/>
      <c r="PER174" s="125"/>
      <c r="PES174" s="125"/>
      <c r="PET174" s="125"/>
      <c r="PEU174" s="125"/>
      <c r="PEV174" s="125"/>
      <c r="PEW174" s="125"/>
      <c r="PEX174" s="125"/>
      <c r="PEY174" s="125"/>
      <c r="PEZ174" s="125"/>
      <c r="PFA174" s="125"/>
      <c r="PFB174" s="125"/>
      <c r="PFC174" s="125"/>
      <c r="PFD174" s="125"/>
      <c r="PFE174" s="125"/>
      <c r="PFF174" s="125"/>
      <c r="PFG174" s="125"/>
      <c r="PFH174" s="125"/>
      <c r="PFI174" s="125"/>
      <c r="PFJ174" s="125"/>
      <c r="PFK174" s="125"/>
      <c r="PFL174" s="125"/>
      <c r="PFM174" s="125"/>
      <c r="PFN174" s="125"/>
      <c r="PFO174" s="125"/>
      <c r="PFP174" s="125"/>
      <c r="PFQ174" s="125"/>
      <c r="PFR174" s="125"/>
      <c r="PFS174" s="125"/>
      <c r="PFT174" s="125"/>
      <c r="PFU174" s="125"/>
      <c r="PFV174" s="125"/>
      <c r="PFW174" s="125"/>
      <c r="PFX174" s="125"/>
      <c r="PFY174" s="125"/>
      <c r="PFZ174" s="125"/>
      <c r="PGA174" s="125"/>
      <c r="PGB174" s="125"/>
      <c r="PGC174" s="125"/>
      <c r="PGD174" s="125"/>
      <c r="PGE174" s="125"/>
      <c r="PGF174" s="125"/>
      <c r="PGG174" s="125"/>
      <c r="PGH174" s="125"/>
      <c r="PGI174" s="125"/>
      <c r="PGJ174" s="125"/>
      <c r="PGK174" s="125"/>
      <c r="PGL174" s="125"/>
      <c r="PGM174" s="125"/>
      <c r="PGN174" s="125"/>
      <c r="PGO174" s="125"/>
      <c r="PGP174" s="125"/>
      <c r="PGQ174" s="125"/>
      <c r="PGR174" s="125"/>
      <c r="PGS174" s="125"/>
      <c r="PGT174" s="125"/>
      <c r="PGU174" s="125"/>
      <c r="PGV174" s="125"/>
      <c r="PGW174" s="125"/>
      <c r="PGX174" s="125"/>
      <c r="PGY174" s="125"/>
      <c r="PGZ174" s="125"/>
      <c r="PHA174" s="125"/>
      <c r="PHB174" s="125"/>
      <c r="PHC174" s="125"/>
      <c r="PHD174" s="125"/>
      <c r="PHE174" s="125"/>
      <c r="PHF174" s="125"/>
      <c r="PHG174" s="125"/>
      <c r="PHH174" s="125"/>
      <c r="PHI174" s="125"/>
      <c r="PHJ174" s="125"/>
      <c r="PHK174" s="125"/>
      <c r="PHL174" s="125"/>
      <c r="PHM174" s="125"/>
      <c r="PHN174" s="125"/>
      <c r="PHO174" s="125"/>
      <c r="PHP174" s="125"/>
      <c r="PHQ174" s="125"/>
      <c r="PHR174" s="125"/>
      <c r="PHS174" s="125"/>
      <c r="PHT174" s="125"/>
      <c r="PHU174" s="125"/>
      <c r="PHV174" s="125"/>
      <c r="PHW174" s="125"/>
      <c r="PHX174" s="125"/>
      <c r="PHY174" s="125"/>
      <c r="PHZ174" s="125"/>
      <c r="PIA174" s="125"/>
      <c r="PIB174" s="125"/>
      <c r="PIC174" s="125"/>
      <c r="PID174" s="125"/>
      <c r="PIE174" s="125"/>
      <c r="PIF174" s="125"/>
      <c r="PIG174" s="125"/>
      <c r="PIH174" s="125"/>
      <c r="PII174" s="125"/>
      <c r="PIJ174" s="125"/>
      <c r="PIK174" s="125"/>
      <c r="PIL174" s="125"/>
      <c r="PIM174" s="125"/>
      <c r="PIN174" s="125"/>
      <c r="PIO174" s="125"/>
      <c r="PIP174" s="125"/>
      <c r="PIQ174" s="125"/>
      <c r="PIR174" s="125"/>
      <c r="PIS174" s="125"/>
      <c r="PIT174" s="125"/>
      <c r="PIU174" s="125"/>
      <c r="PIV174" s="125"/>
      <c r="PIW174" s="125"/>
      <c r="PIX174" s="125"/>
      <c r="PIY174" s="125"/>
      <c r="PIZ174" s="125"/>
      <c r="PJA174" s="125"/>
      <c r="PJB174" s="125"/>
      <c r="PJC174" s="125"/>
      <c r="PJD174" s="125"/>
      <c r="PJE174" s="125"/>
      <c r="PJF174" s="125"/>
      <c r="PJG174" s="125"/>
      <c r="PJH174" s="125"/>
      <c r="PJI174" s="125"/>
      <c r="PJJ174" s="125"/>
      <c r="PJK174" s="125"/>
      <c r="PJL174" s="125"/>
      <c r="PJM174" s="125"/>
      <c r="PJN174" s="125"/>
      <c r="PJO174" s="125"/>
      <c r="PJP174" s="125"/>
      <c r="PJQ174" s="125"/>
      <c r="PJR174" s="125"/>
      <c r="PJS174" s="125"/>
      <c r="PJT174" s="125"/>
      <c r="PJU174" s="125"/>
      <c r="PJV174" s="125"/>
      <c r="PJW174" s="125"/>
      <c r="PJX174" s="125"/>
      <c r="PJY174" s="125"/>
      <c r="PJZ174" s="125"/>
      <c r="PKA174" s="125"/>
      <c r="PKB174" s="125"/>
      <c r="PKC174" s="125"/>
      <c r="PKD174" s="125"/>
      <c r="PKE174" s="125"/>
      <c r="PKF174" s="125"/>
      <c r="PKG174" s="125"/>
      <c r="PKH174" s="125"/>
      <c r="PKI174" s="125"/>
      <c r="PKJ174" s="125"/>
      <c r="PKK174" s="125"/>
      <c r="PKL174" s="125"/>
      <c r="PKM174" s="125"/>
      <c r="PKN174" s="125"/>
      <c r="PKO174" s="125"/>
      <c r="PKP174" s="125"/>
      <c r="PKQ174" s="125"/>
      <c r="PKR174" s="125"/>
      <c r="PKS174" s="125"/>
      <c r="PKT174" s="125"/>
      <c r="PKU174" s="125"/>
      <c r="PKV174" s="125"/>
      <c r="PKW174" s="125"/>
      <c r="PKX174" s="125"/>
      <c r="PKY174" s="125"/>
      <c r="PKZ174" s="125"/>
      <c r="PLA174" s="125"/>
      <c r="PLB174" s="125"/>
      <c r="PLC174" s="125"/>
      <c r="PLD174" s="125"/>
      <c r="PLE174" s="125"/>
      <c r="PLF174" s="125"/>
      <c r="PLG174" s="125"/>
      <c r="PLH174" s="125"/>
      <c r="PLI174" s="125"/>
      <c r="PLJ174" s="125"/>
      <c r="PLK174" s="125"/>
      <c r="PLL174" s="125"/>
      <c r="PLM174" s="125"/>
      <c r="PLN174" s="125"/>
      <c r="PLO174" s="125"/>
      <c r="PLP174" s="125"/>
      <c r="PLQ174" s="125"/>
      <c r="PLR174" s="125"/>
      <c r="PLS174" s="125"/>
      <c r="PLT174" s="125"/>
      <c r="PLU174" s="125"/>
      <c r="PLV174" s="125"/>
      <c r="PLW174" s="125"/>
      <c r="PLX174" s="125"/>
      <c r="PLY174" s="125"/>
      <c r="PLZ174" s="125"/>
      <c r="PMA174" s="125"/>
      <c r="PMB174" s="125"/>
      <c r="PMC174" s="125"/>
      <c r="PMD174" s="125"/>
      <c r="PME174" s="125"/>
      <c r="PMF174" s="125"/>
      <c r="PMG174" s="125"/>
      <c r="PMH174" s="125"/>
      <c r="PMI174" s="125"/>
      <c r="PMJ174" s="125"/>
      <c r="PMK174" s="125"/>
      <c r="PML174" s="125"/>
      <c r="PMM174" s="125"/>
      <c r="PMN174" s="125"/>
      <c r="PMO174" s="125"/>
      <c r="PMP174" s="125"/>
      <c r="PMQ174" s="125"/>
      <c r="PMR174" s="125"/>
      <c r="PMS174" s="125"/>
      <c r="PMT174" s="125"/>
      <c r="PMU174" s="125"/>
      <c r="PMV174" s="125"/>
      <c r="PMW174" s="125"/>
      <c r="PMX174" s="125"/>
      <c r="PMY174" s="125"/>
      <c r="PMZ174" s="125"/>
      <c r="PNA174" s="125"/>
      <c r="PNB174" s="125"/>
      <c r="PNC174" s="125"/>
      <c r="PND174" s="125"/>
      <c r="PNE174" s="125"/>
      <c r="PNF174" s="125"/>
      <c r="PNG174" s="125"/>
      <c r="PNH174" s="125"/>
      <c r="PNI174" s="125"/>
      <c r="PNJ174" s="125"/>
      <c r="PNK174" s="125"/>
      <c r="PNL174" s="125"/>
      <c r="PNM174" s="125"/>
      <c r="PNN174" s="125"/>
      <c r="PNO174" s="125"/>
      <c r="PNP174" s="125"/>
      <c r="PNQ174" s="125"/>
      <c r="PNR174" s="125"/>
      <c r="PNS174" s="125"/>
      <c r="PNT174" s="125"/>
      <c r="PNU174" s="125"/>
      <c r="PNV174" s="125"/>
      <c r="PNW174" s="125"/>
      <c r="PNX174" s="125"/>
      <c r="PNY174" s="125"/>
      <c r="PNZ174" s="125"/>
      <c r="POA174" s="125"/>
      <c r="POB174" s="125"/>
      <c r="POC174" s="125"/>
      <c r="POD174" s="125"/>
      <c r="POE174" s="125"/>
      <c r="POF174" s="125"/>
      <c r="POG174" s="125"/>
      <c r="POH174" s="125"/>
      <c r="POI174" s="125"/>
      <c r="POJ174" s="125"/>
      <c r="POK174" s="125"/>
      <c r="POL174" s="125"/>
      <c r="POM174" s="125"/>
      <c r="PON174" s="125"/>
      <c r="POO174" s="125"/>
      <c r="POP174" s="125"/>
      <c r="POQ174" s="125"/>
      <c r="POR174" s="125"/>
      <c r="POS174" s="125"/>
      <c r="POT174" s="125"/>
      <c r="POU174" s="125"/>
      <c r="POV174" s="125"/>
      <c r="POW174" s="125"/>
      <c r="POX174" s="125"/>
      <c r="POY174" s="125"/>
      <c r="POZ174" s="125"/>
      <c r="PPA174" s="125"/>
      <c r="PPB174" s="125"/>
      <c r="PPC174" s="125"/>
      <c r="PPD174" s="125"/>
      <c r="PPE174" s="125"/>
      <c r="PPF174" s="125"/>
      <c r="PPG174" s="125"/>
      <c r="PPH174" s="125"/>
      <c r="PPI174" s="125"/>
      <c r="PPJ174" s="125"/>
      <c r="PPK174" s="125"/>
      <c r="PPL174" s="125"/>
      <c r="PPM174" s="125"/>
      <c r="PPN174" s="125"/>
      <c r="PPO174" s="125"/>
      <c r="PPP174" s="125"/>
      <c r="PPQ174" s="125"/>
      <c r="PPR174" s="125"/>
      <c r="PPS174" s="125"/>
      <c r="PPT174" s="125"/>
      <c r="PPU174" s="125"/>
      <c r="PPV174" s="125"/>
      <c r="PPW174" s="125"/>
      <c r="PPX174" s="125"/>
      <c r="PPY174" s="125"/>
      <c r="PPZ174" s="125"/>
      <c r="PQA174" s="125"/>
      <c r="PQB174" s="125"/>
      <c r="PQC174" s="125"/>
      <c r="PQD174" s="125"/>
      <c r="PQE174" s="125"/>
      <c r="PQF174" s="125"/>
      <c r="PQG174" s="125"/>
      <c r="PQH174" s="125"/>
      <c r="PQI174" s="125"/>
      <c r="PQJ174" s="125"/>
      <c r="PQK174" s="125"/>
      <c r="PQL174" s="125"/>
      <c r="PQM174" s="125"/>
      <c r="PQN174" s="125"/>
      <c r="PQO174" s="125"/>
      <c r="PQP174" s="125"/>
      <c r="PQQ174" s="125"/>
      <c r="PQR174" s="125"/>
      <c r="PQS174" s="125"/>
      <c r="PQT174" s="125"/>
      <c r="PQU174" s="125"/>
      <c r="PQV174" s="125"/>
      <c r="PQW174" s="125"/>
      <c r="PQX174" s="125"/>
      <c r="PQY174" s="125"/>
      <c r="PQZ174" s="125"/>
      <c r="PRA174" s="125"/>
      <c r="PRB174" s="125"/>
      <c r="PRC174" s="125"/>
      <c r="PRD174" s="125"/>
      <c r="PRE174" s="125"/>
      <c r="PRF174" s="125"/>
      <c r="PRG174" s="125"/>
      <c r="PRH174" s="125"/>
      <c r="PRI174" s="125"/>
      <c r="PRJ174" s="125"/>
      <c r="PRK174" s="125"/>
      <c r="PRL174" s="125"/>
      <c r="PRM174" s="125"/>
      <c r="PRN174" s="125"/>
      <c r="PRO174" s="125"/>
      <c r="PRP174" s="125"/>
      <c r="PRQ174" s="125"/>
      <c r="PRR174" s="125"/>
      <c r="PRS174" s="125"/>
      <c r="PRT174" s="125"/>
      <c r="PRU174" s="125"/>
      <c r="PRV174" s="125"/>
      <c r="PRW174" s="125"/>
      <c r="PRX174" s="125"/>
      <c r="PRY174" s="125"/>
      <c r="PRZ174" s="125"/>
      <c r="PSA174" s="125"/>
      <c r="PSB174" s="125"/>
      <c r="PSC174" s="125"/>
      <c r="PSD174" s="125"/>
      <c r="PSE174" s="125"/>
      <c r="PSF174" s="125"/>
      <c r="PSG174" s="125"/>
      <c r="PSH174" s="125"/>
      <c r="PSI174" s="125"/>
      <c r="PSJ174" s="125"/>
      <c r="PSK174" s="125"/>
      <c r="PSL174" s="125"/>
      <c r="PSM174" s="125"/>
      <c r="PSN174" s="125"/>
      <c r="PSO174" s="125"/>
      <c r="PSP174" s="125"/>
      <c r="PSQ174" s="125"/>
      <c r="PSR174" s="125"/>
      <c r="PSS174" s="125"/>
      <c r="PST174" s="125"/>
      <c r="PSU174" s="125"/>
      <c r="PSV174" s="125"/>
      <c r="PSW174" s="125"/>
      <c r="PSX174" s="125"/>
      <c r="PSY174" s="125"/>
      <c r="PSZ174" s="125"/>
      <c r="PTA174" s="125"/>
      <c r="PTB174" s="125"/>
      <c r="PTC174" s="125"/>
      <c r="PTD174" s="125"/>
      <c r="PTE174" s="125"/>
      <c r="PTF174" s="125"/>
      <c r="PTG174" s="125"/>
      <c r="PTH174" s="125"/>
      <c r="PTI174" s="125"/>
      <c r="PTJ174" s="125"/>
      <c r="PTK174" s="125"/>
      <c r="PTL174" s="125"/>
      <c r="PTM174" s="125"/>
      <c r="PTN174" s="125"/>
      <c r="PTO174" s="125"/>
      <c r="PTP174" s="125"/>
      <c r="PTQ174" s="125"/>
      <c r="PTR174" s="125"/>
      <c r="PTS174" s="125"/>
      <c r="PTT174" s="125"/>
      <c r="PTU174" s="125"/>
      <c r="PTV174" s="125"/>
      <c r="PTW174" s="125"/>
      <c r="PTX174" s="125"/>
      <c r="PTY174" s="125"/>
      <c r="PTZ174" s="125"/>
      <c r="PUA174" s="125"/>
      <c r="PUB174" s="125"/>
      <c r="PUC174" s="125"/>
      <c r="PUD174" s="125"/>
      <c r="PUE174" s="125"/>
      <c r="PUF174" s="125"/>
      <c r="PUG174" s="125"/>
      <c r="PUH174" s="125"/>
      <c r="PUI174" s="125"/>
      <c r="PUJ174" s="125"/>
      <c r="PUK174" s="125"/>
      <c r="PUL174" s="125"/>
      <c r="PUM174" s="125"/>
      <c r="PUN174" s="125"/>
      <c r="PUO174" s="125"/>
      <c r="PUP174" s="125"/>
      <c r="PUQ174" s="125"/>
      <c r="PUR174" s="125"/>
      <c r="PUS174" s="125"/>
      <c r="PUT174" s="125"/>
      <c r="PUU174" s="125"/>
      <c r="PUV174" s="125"/>
      <c r="PUW174" s="125"/>
      <c r="PUX174" s="125"/>
      <c r="PUY174" s="125"/>
      <c r="PUZ174" s="125"/>
      <c r="PVA174" s="125"/>
      <c r="PVB174" s="125"/>
      <c r="PVC174" s="125"/>
      <c r="PVD174" s="125"/>
      <c r="PVE174" s="125"/>
      <c r="PVF174" s="125"/>
      <c r="PVG174" s="125"/>
      <c r="PVH174" s="125"/>
      <c r="PVI174" s="125"/>
      <c r="PVJ174" s="125"/>
      <c r="PVK174" s="125"/>
      <c r="PVL174" s="125"/>
      <c r="PVM174" s="125"/>
      <c r="PVN174" s="125"/>
      <c r="PVO174" s="125"/>
      <c r="PVP174" s="125"/>
      <c r="PVQ174" s="125"/>
      <c r="PVR174" s="125"/>
      <c r="PVS174" s="125"/>
      <c r="PVT174" s="125"/>
      <c r="PVU174" s="125"/>
      <c r="PVV174" s="125"/>
      <c r="PVW174" s="125"/>
      <c r="PVX174" s="125"/>
      <c r="PVY174" s="125"/>
      <c r="PVZ174" s="125"/>
      <c r="PWA174" s="125"/>
      <c r="PWB174" s="125"/>
      <c r="PWC174" s="125"/>
      <c r="PWD174" s="125"/>
      <c r="PWE174" s="125"/>
      <c r="PWF174" s="125"/>
      <c r="PWG174" s="125"/>
      <c r="PWH174" s="125"/>
      <c r="PWI174" s="125"/>
      <c r="PWJ174" s="125"/>
      <c r="PWK174" s="125"/>
      <c r="PWL174" s="125"/>
      <c r="PWM174" s="125"/>
      <c r="PWN174" s="125"/>
      <c r="PWO174" s="125"/>
      <c r="PWP174" s="125"/>
      <c r="PWQ174" s="125"/>
      <c r="PWR174" s="125"/>
      <c r="PWS174" s="125"/>
      <c r="PWT174" s="125"/>
      <c r="PWU174" s="125"/>
      <c r="PWV174" s="125"/>
      <c r="PWW174" s="125"/>
      <c r="PWX174" s="125"/>
      <c r="PWY174" s="125"/>
      <c r="PWZ174" s="125"/>
      <c r="PXA174" s="125"/>
      <c r="PXB174" s="125"/>
      <c r="PXC174" s="125"/>
      <c r="PXD174" s="125"/>
      <c r="PXE174" s="125"/>
      <c r="PXF174" s="125"/>
      <c r="PXG174" s="125"/>
      <c r="PXH174" s="125"/>
      <c r="PXI174" s="125"/>
      <c r="PXJ174" s="125"/>
      <c r="PXK174" s="125"/>
      <c r="PXL174" s="125"/>
      <c r="PXM174" s="125"/>
      <c r="PXN174" s="125"/>
      <c r="PXO174" s="125"/>
      <c r="PXP174" s="125"/>
      <c r="PXQ174" s="125"/>
      <c r="PXR174" s="125"/>
      <c r="PXS174" s="125"/>
      <c r="PXT174" s="125"/>
      <c r="PXU174" s="125"/>
      <c r="PXV174" s="125"/>
      <c r="PXW174" s="125"/>
      <c r="PXX174" s="125"/>
      <c r="PXY174" s="125"/>
      <c r="PXZ174" s="125"/>
      <c r="PYA174" s="125"/>
      <c r="PYB174" s="125"/>
      <c r="PYC174" s="125"/>
      <c r="PYD174" s="125"/>
      <c r="PYE174" s="125"/>
      <c r="PYF174" s="125"/>
      <c r="PYG174" s="125"/>
      <c r="PYH174" s="125"/>
      <c r="PYI174" s="125"/>
      <c r="PYJ174" s="125"/>
      <c r="PYK174" s="125"/>
      <c r="PYL174" s="125"/>
      <c r="PYM174" s="125"/>
      <c r="PYN174" s="125"/>
      <c r="PYO174" s="125"/>
      <c r="PYP174" s="125"/>
      <c r="PYQ174" s="125"/>
      <c r="PYR174" s="125"/>
      <c r="PYS174" s="125"/>
      <c r="PYT174" s="125"/>
      <c r="PYU174" s="125"/>
      <c r="PYV174" s="125"/>
      <c r="PYW174" s="125"/>
      <c r="PYX174" s="125"/>
      <c r="PYY174" s="125"/>
      <c r="PYZ174" s="125"/>
      <c r="PZA174" s="125"/>
      <c r="PZB174" s="125"/>
      <c r="PZC174" s="125"/>
      <c r="PZD174" s="125"/>
      <c r="PZE174" s="125"/>
      <c r="PZF174" s="125"/>
      <c r="PZG174" s="125"/>
      <c r="PZH174" s="125"/>
      <c r="PZI174" s="125"/>
      <c r="PZJ174" s="125"/>
      <c r="PZK174" s="125"/>
      <c r="PZL174" s="125"/>
      <c r="PZM174" s="125"/>
      <c r="PZN174" s="125"/>
      <c r="PZO174" s="125"/>
      <c r="PZP174" s="125"/>
      <c r="PZQ174" s="125"/>
      <c r="PZR174" s="125"/>
      <c r="PZS174" s="125"/>
      <c r="PZT174" s="125"/>
      <c r="PZU174" s="125"/>
      <c r="PZV174" s="125"/>
      <c r="PZW174" s="125"/>
      <c r="PZX174" s="125"/>
      <c r="PZY174" s="125"/>
      <c r="PZZ174" s="125"/>
      <c r="QAA174" s="125"/>
      <c r="QAB174" s="125"/>
      <c r="QAC174" s="125"/>
      <c r="QAD174" s="125"/>
      <c r="QAE174" s="125"/>
      <c r="QAF174" s="125"/>
      <c r="QAG174" s="125"/>
      <c r="QAH174" s="125"/>
      <c r="QAI174" s="125"/>
      <c r="QAJ174" s="125"/>
      <c r="QAK174" s="125"/>
      <c r="QAL174" s="125"/>
      <c r="QAM174" s="125"/>
      <c r="QAN174" s="125"/>
      <c r="QAO174" s="125"/>
      <c r="QAP174" s="125"/>
      <c r="QAQ174" s="125"/>
      <c r="QAR174" s="125"/>
      <c r="QAS174" s="125"/>
      <c r="QAT174" s="125"/>
      <c r="QAU174" s="125"/>
      <c r="QAV174" s="125"/>
      <c r="QAW174" s="125"/>
      <c r="QAX174" s="125"/>
      <c r="QAY174" s="125"/>
      <c r="QAZ174" s="125"/>
      <c r="QBA174" s="125"/>
      <c r="QBB174" s="125"/>
      <c r="QBC174" s="125"/>
      <c r="QBD174" s="125"/>
      <c r="QBE174" s="125"/>
      <c r="QBF174" s="125"/>
      <c r="QBG174" s="125"/>
      <c r="QBH174" s="125"/>
      <c r="QBI174" s="125"/>
      <c r="QBJ174" s="125"/>
      <c r="QBK174" s="125"/>
      <c r="QBL174" s="125"/>
      <c r="QBM174" s="125"/>
      <c r="QBN174" s="125"/>
      <c r="QBO174" s="125"/>
      <c r="QBP174" s="125"/>
      <c r="QBQ174" s="125"/>
      <c r="QBR174" s="125"/>
      <c r="QBS174" s="125"/>
      <c r="QBT174" s="125"/>
      <c r="QBU174" s="125"/>
      <c r="QBV174" s="125"/>
      <c r="QBW174" s="125"/>
      <c r="QBX174" s="125"/>
      <c r="QBY174" s="125"/>
      <c r="QBZ174" s="125"/>
      <c r="QCA174" s="125"/>
      <c r="QCB174" s="125"/>
      <c r="QCC174" s="125"/>
      <c r="QCD174" s="125"/>
      <c r="QCE174" s="125"/>
      <c r="QCF174" s="125"/>
      <c r="QCG174" s="125"/>
      <c r="QCH174" s="125"/>
      <c r="QCI174" s="125"/>
      <c r="QCJ174" s="125"/>
      <c r="QCK174" s="125"/>
      <c r="QCL174" s="125"/>
      <c r="QCM174" s="125"/>
      <c r="QCN174" s="125"/>
      <c r="QCO174" s="125"/>
      <c r="QCP174" s="125"/>
      <c r="QCQ174" s="125"/>
      <c r="QCR174" s="125"/>
      <c r="QCS174" s="125"/>
      <c r="QCT174" s="125"/>
      <c r="QCU174" s="125"/>
      <c r="QCV174" s="125"/>
      <c r="QCW174" s="125"/>
      <c r="QCX174" s="125"/>
      <c r="QCY174" s="125"/>
      <c r="QCZ174" s="125"/>
      <c r="QDA174" s="125"/>
      <c r="QDB174" s="125"/>
      <c r="QDC174" s="125"/>
      <c r="QDD174" s="125"/>
      <c r="QDE174" s="125"/>
      <c r="QDF174" s="125"/>
      <c r="QDG174" s="125"/>
      <c r="QDH174" s="125"/>
      <c r="QDI174" s="125"/>
      <c r="QDJ174" s="125"/>
      <c r="QDK174" s="125"/>
      <c r="QDL174" s="125"/>
      <c r="QDM174" s="125"/>
      <c r="QDN174" s="125"/>
      <c r="QDO174" s="125"/>
      <c r="QDP174" s="125"/>
      <c r="QDQ174" s="125"/>
      <c r="QDR174" s="125"/>
      <c r="QDS174" s="125"/>
      <c r="QDT174" s="125"/>
      <c r="QDU174" s="125"/>
      <c r="QDV174" s="125"/>
      <c r="QDW174" s="125"/>
      <c r="QDX174" s="125"/>
      <c r="QDY174" s="125"/>
      <c r="QDZ174" s="125"/>
      <c r="QEA174" s="125"/>
      <c r="QEB174" s="125"/>
      <c r="QEC174" s="125"/>
      <c r="QED174" s="125"/>
      <c r="QEE174" s="125"/>
      <c r="QEF174" s="125"/>
      <c r="QEG174" s="125"/>
      <c r="QEH174" s="125"/>
      <c r="QEI174" s="125"/>
      <c r="QEJ174" s="125"/>
      <c r="QEK174" s="125"/>
      <c r="QEL174" s="125"/>
      <c r="QEM174" s="125"/>
      <c r="QEN174" s="125"/>
      <c r="QEO174" s="125"/>
      <c r="QEP174" s="125"/>
      <c r="QEQ174" s="125"/>
      <c r="QER174" s="125"/>
      <c r="QES174" s="125"/>
      <c r="QET174" s="125"/>
      <c r="QEU174" s="125"/>
      <c r="QEV174" s="125"/>
      <c r="QEW174" s="125"/>
      <c r="QEX174" s="125"/>
      <c r="QEY174" s="125"/>
      <c r="QEZ174" s="125"/>
      <c r="QFA174" s="125"/>
      <c r="QFB174" s="125"/>
      <c r="QFC174" s="125"/>
      <c r="QFD174" s="125"/>
      <c r="QFE174" s="125"/>
      <c r="QFF174" s="125"/>
      <c r="QFG174" s="125"/>
      <c r="QFH174" s="125"/>
      <c r="QFI174" s="125"/>
      <c r="QFJ174" s="125"/>
      <c r="QFK174" s="125"/>
      <c r="QFL174" s="125"/>
      <c r="QFM174" s="125"/>
      <c r="QFN174" s="125"/>
      <c r="QFO174" s="125"/>
      <c r="QFP174" s="125"/>
      <c r="QFQ174" s="125"/>
      <c r="QFR174" s="125"/>
      <c r="QFS174" s="125"/>
      <c r="QFT174" s="125"/>
      <c r="QFU174" s="125"/>
      <c r="QFV174" s="125"/>
      <c r="QFW174" s="125"/>
      <c r="QFX174" s="125"/>
      <c r="QFY174" s="125"/>
      <c r="QFZ174" s="125"/>
      <c r="QGA174" s="125"/>
      <c r="QGB174" s="125"/>
      <c r="QGC174" s="125"/>
      <c r="QGD174" s="125"/>
      <c r="QGE174" s="125"/>
      <c r="QGF174" s="125"/>
      <c r="QGG174" s="125"/>
      <c r="QGH174" s="125"/>
      <c r="QGI174" s="125"/>
      <c r="QGJ174" s="125"/>
      <c r="QGK174" s="125"/>
      <c r="QGL174" s="125"/>
      <c r="QGM174" s="125"/>
      <c r="QGN174" s="125"/>
      <c r="QGO174" s="125"/>
      <c r="QGP174" s="125"/>
      <c r="QGQ174" s="125"/>
      <c r="QGR174" s="125"/>
      <c r="QGS174" s="125"/>
      <c r="QGT174" s="125"/>
      <c r="QGU174" s="125"/>
      <c r="QGV174" s="125"/>
      <c r="QGW174" s="125"/>
      <c r="QGX174" s="125"/>
      <c r="QGY174" s="125"/>
      <c r="QGZ174" s="125"/>
      <c r="QHA174" s="125"/>
      <c r="QHB174" s="125"/>
      <c r="QHC174" s="125"/>
      <c r="QHD174" s="125"/>
      <c r="QHE174" s="125"/>
      <c r="QHF174" s="125"/>
      <c r="QHG174" s="125"/>
      <c r="QHH174" s="125"/>
      <c r="QHI174" s="125"/>
      <c r="QHJ174" s="125"/>
      <c r="QHK174" s="125"/>
      <c r="QHL174" s="125"/>
      <c r="QHM174" s="125"/>
      <c r="QHN174" s="125"/>
      <c r="QHO174" s="125"/>
      <c r="QHP174" s="125"/>
      <c r="QHQ174" s="125"/>
      <c r="QHR174" s="125"/>
      <c r="QHS174" s="125"/>
      <c r="QHT174" s="125"/>
      <c r="QHU174" s="125"/>
      <c r="QHV174" s="125"/>
      <c r="QHW174" s="125"/>
      <c r="QHX174" s="125"/>
      <c r="QHY174" s="125"/>
      <c r="QHZ174" s="125"/>
      <c r="QIA174" s="125"/>
      <c r="QIB174" s="125"/>
      <c r="QIC174" s="125"/>
      <c r="QID174" s="125"/>
      <c r="QIE174" s="125"/>
      <c r="QIF174" s="125"/>
      <c r="QIG174" s="125"/>
      <c r="QIH174" s="125"/>
      <c r="QII174" s="125"/>
      <c r="QIJ174" s="125"/>
      <c r="QIK174" s="125"/>
      <c r="QIL174" s="125"/>
      <c r="QIM174" s="125"/>
      <c r="QIN174" s="125"/>
      <c r="QIO174" s="125"/>
      <c r="QIP174" s="125"/>
      <c r="QIQ174" s="125"/>
      <c r="QIR174" s="125"/>
      <c r="QIS174" s="125"/>
      <c r="QIT174" s="125"/>
      <c r="QIU174" s="125"/>
      <c r="QIV174" s="125"/>
      <c r="QIW174" s="125"/>
      <c r="QIX174" s="125"/>
      <c r="QIY174" s="125"/>
      <c r="QIZ174" s="125"/>
      <c r="QJA174" s="125"/>
      <c r="QJB174" s="125"/>
      <c r="QJC174" s="125"/>
      <c r="QJD174" s="125"/>
      <c r="QJE174" s="125"/>
      <c r="QJF174" s="125"/>
      <c r="QJG174" s="125"/>
      <c r="QJH174" s="125"/>
      <c r="QJI174" s="125"/>
      <c r="QJJ174" s="125"/>
      <c r="QJK174" s="125"/>
      <c r="QJL174" s="125"/>
      <c r="QJM174" s="125"/>
      <c r="QJN174" s="125"/>
      <c r="QJO174" s="125"/>
      <c r="QJP174" s="125"/>
      <c r="QJQ174" s="125"/>
      <c r="QJR174" s="125"/>
      <c r="QJS174" s="125"/>
      <c r="QJT174" s="125"/>
      <c r="QJU174" s="125"/>
      <c r="QJV174" s="125"/>
      <c r="QJW174" s="125"/>
      <c r="QJX174" s="125"/>
      <c r="QJY174" s="125"/>
      <c r="QJZ174" s="125"/>
      <c r="QKA174" s="125"/>
      <c r="QKB174" s="125"/>
      <c r="QKC174" s="125"/>
      <c r="QKD174" s="125"/>
      <c r="QKE174" s="125"/>
      <c r="QKF174" s="125"/>
      <c r="QKG174" s="125"/>
      <c r="QKH174" s="125"/>
      <c r="QKI174" s="125"/>
      <c r="QKJ174" s="125"/>
      <c r="QKK174" s="125"/>
      <c r="QKL174" s="125"/>
      <c r="QKM174" s="125"/>
      <c r="QKN174" s="125"/>
      <c r="QKO174" s="125"/>
      <c r="QKP174" s="125"/>
      <c r="QKQ174" s="125"/>
      <c r="QKR174" s="125"/>
      <c r="QKS174" s="125"/>
      <c r="QKT174" s="125"/>
      <c r="QKU174" s="125"/>
      <c r="QKV174" s="125"/>
      <c r="QKW174" s="125"/>
      <c r="QKX174" s="125"/>
      <c r="QKY174" s="125"/>
      <c r="QKZ174" s="125"/>
      <c r="QLA174" s="125"/>
      <c r="QLB174" s="125"/>
      <c r="QLC174" s="125"/>
      <c r="QLD174" s="125"/>
      <c r="QLE174" s="125"/>
      <c r="QLF174" s="125"/>
      <c r="QLG174" s="125"/>
      <c r="QLH174" s="125"/>
      <c r="QLI174" s="125"/>
      <c r="QLJ174" s="125"/>
      <c r="QLK174" s="125"/>
      <c r="QLL174" s="125"/>
      <c r="QLM174" s="125"/>
      <c r="QLN174" s="125"/>
      <c r="QLO174" s="125"/>
      <c r="QLP174" s="125"/>
      <c r="QLQ174" s="125"/>
      <c r="QLR174" s="125"/>
      <c r="QLS174" s="125"/>
      <c r="QLT174" s="125"/>
      <c r="QLU174" s="125"/>
      <c r="QLV174" s="125"/>
      <c r="QLW174" s="125"/>
      <c r="QLX174" s="125"/>
      <c r="QLY174" s="125"/>
      <c r="QLZ174" s="125"/>
      <c r="QMA174" s="125"/>
      <c r="QMB174" s="125"/>
      <c r="QMC174" s="125"/>
      <c r="QMD174" s="125"/>
      <c r="QME174" s="125"/>
      <c r="QMF174" s="125"/>
      <c r="QMG174" s="125"/>
      <c r="QMH174" s="125"/>
      <c r="QMI174" s="125"/>
      <c r="QMJ174" s="125"/>
      <c r="QMK174" s="125"/>
      <c r="QML174" s="125"/>
      <c r="QMM174" s="125"/>
      <c r="QMN174" s="125"/>
      <c r="QMO174" s="125"/>
      <c r="QMP174" s="125"/>
      <c r="QMQ174" s="125"/>
      <c r="QMR174" s="125"/>
      <c r="QMS174" s="125"/>
      <c r="QMT174" s="125"/>
      <c r="QMU174" s="125"/>
      <c r="QMV174" s="125"/>
      <c r="QMW174" s="125"/>
      <c r="QMX174" s="125"/>
      <c r="QMY174" s="125"/>
      <c r="QMZ174" s="125"/>
      <c r="QNA174" s="125"/>
      <c r="QNB174" s="125"/>
      <c r="QNC174" s="125"/>
      <c r="QND174" s="125"/>
      <c r="QNE174" s="125"/>
      <c r="QNF174" s="125"/>
      <c r="QNG174" s="125"/>
      <c r="QNH174" s="125"/>
      <c r="QNI174" s="125"/>
      <c r="QNJ174" s="125"/>
      <c r="QNK174" s="125"/>
      <c r="QNL174" s="125"/>
      <c r="QNM174" s="125"/>
      <c r="QNN174" s="125"/>
      <c r="QNO174" s="125"/>
      <c r="QNP174" s="125"/>
      <c r="QNQ174" s="125"/>
      <c r="QNR174" s="125"/>
      <c r="QNS174" s="125"/>
      <c r="QNT174" s="125"/>
      <c r="QNU174" s="125"/>
      <c r="QNV174" s="125"/>
      <c r="QNW174" s="125"/>
      <c r="QNX174" s="125"/>
      <c r="QNY174" s="125"/>
      <c r="QNZ174" s="125"/>
      <c r="QOA174" s="125"/>
      <c r="QOB174" s="125"/>
      <c r="QOC174" s="125"/>
      <c r="QOD174" s="125"/>
      <c r="QOE174" s="125"/>
      <c r="QOF174" s="125"/>
      <c r="QOG174" s="125"/>
      <c r="QOH174" s="125"/>
      <c r="QOI174" s="125"/>
      <c r="QOJ174" s="125"/>
      <c r="QOK174" s="125"/>
      <c r="QOL174" s="125"/>
      <c r="QOM174" s="125"/>
      <c r="QON174" s="125"/>
      <c r="QOO174" s="125"/>
      <c r="QOP174" s="125"/>
      <c r="QOQ174" s="125"/>
      <c r="QOR174" s="125"/>
      <c r="QOS174" s="125"/>
      <c r="QOT174" s="125"/>
      <c r="QOU174" s="125"/>
      <c r="QOV174" s="125"/>
      <c r="QOW174" s="125"/>
      <c r="QOX174" s="125"/>
      <c r="QOY174" s="125"/>
      <c r="QOZ174" s="125"/>
      <c r="QPA174" s="125"/>
      <c r="QPB174" s="125"/>
      <c r="QPC174" s="125"/>
      <c r="QPD174" s="125"/>
      <c r="QPE174" s="125"/>
      <c r="QPF174" s="125"/>
      <c r="QPG174" s="125"/>
      <c r="QPH174" s="125"/>
      <c r="QPI174" s="125"/>
      <c r="QPJ174" s="125"/>
      <c r="QPK174" s="125"/>
      <c r="QPL174" s="125"/>
      <c r="QPM174" s="125"/>
      <c r="QPN174" s="125"/>
      <c r="QPO174" s="125"/>
      <c r="QPP174" s="125"/>
      <c r="QPQ174" s="125"/>
      <c r="QPR174" s="125"/>
      <c r="QPS174" s="125"/>
      <c r="QPT174" s="125"/>
      <c r="QPU174" s="125"/>
      <c r="QPV174" s="125"/>
      <c r="QPW174" s="125"/>
      <c r="QPX174" s="125"/>
      <c r="QPY174" s="125"/>
      <c r="QPZ174" s="125"/>
      <c r="QQA174" s="125"/>
      <c r="QQB174" s="125"/>
      <c r="QQC174" s="125"/>
      <c r="QQD174" s="125"/>
      <c r="QQE174" s="125"/>
      <c r="QQF174" s="125"/>
      <c r="QQG174" s="125"/>
      <c r="QQH174" s="125"/>
      <c r="QQI174" s="125"/>
      <c r="QQJ174" s="125"/>
      <c r="QQK174" s="125"/>
      <c r="QQL174" s="125"/>
      <c r="QQM174" s="125"/>
      <c r="QQN174" s="125"/>
      <c r="QQO174" s="125"/>
      <c r="QQP174" s="125"/>
      <c r="QQQ174" s="125"/>
      <c r="QQR174" s="125"/>
      <c r="QQS174" s="125"/>
      <c r="QQT174" s="125"/>
      <c r="QQU174" s="125"/>
      <c r="QQV174" s="125"/>
      <c r="QQW174" s="125"/>
      <c r="QQX174" s="125"/>
      <c r="QQY174" s="125"/>
      <c r="QQZ174" s="125"/>
      <c r="QRA174" s="125"/>
      <c r="QRB174" s="125"/>
      <c r="QRC174" s="125"/>
      <c r="QRD174" s="125"/>
      <c r="QRE174" s="125"/>
      <c r="QRF174" s="125"/>
      <c r="QRG174" s="125"/>
      <c r="QRH174" s="125"/>
      <c r="QRI174" s="125"/>
      <c r="QRJ174" s="125"/>
      <c r="QRK174" s="125"/>
      <c r="QRL174" s="125"/>
      <c r="QRM174" s="125"/>
      <c r="QRN174" s="125"/>
      <c r="QRO174" s="125"/>
      <c r="QRP174" s="125"/>
      <c r="QRQ174" s="125"/>
      <c r="QRR174" s="125"/>
      <c r="QRS174" s="125"/>
      <c r="QRT174" s="125"/>
      <c r="QRU174" s="125"/>
      <c r="QRV174" s="125"/>
      <c r="QRW174" s="125"/>
      <c r="QRX174" s="125"/>
      <c r="QRY174" s="125"/>
      <c r="QRZ174" s="125"/>
      <c r="QSA174" s="125"/>
      <c r="QSB174" s="125"/>
      <c r="QSC174" s="125"/>
      <c r="QSD174" s="125"/>
      <c r="QSE174" s="125"/>
      <c r="QSF174" s="125"/>
      <c r="QSG174" s="125"/>
      <c r="QSH174" s="125"/>
      <c r="QSI174" s="125"/>
      <c r="QSJ174" s="125"/>
      <c r="QSK174" s="125"/>
      <c r="QSL174" s="125"/>
      <c r="QSM174" s="125"/>
      <c r="QSN174" s="125"/>
      <c r="QSO174" s="125"/>
      <c r="QSP174" s="125"/>
      <c r="QSQ174" s="125"/>
      <c r="QSR174" s="125"/>
      <c r="QSS174" s="125"/>
      <c r="QST174" s="125"/>
      <c r="QSU174" s="125"/>
      <c r="QSV174" s="125"/>
      <c r="QSW174" s="125"/>
      <c r="QSX174" s="125"/>
      <c r="QSY174" s="125"/>
      <c r="QSZ174" s="125"/>
      <c r="QTA174" s="125"/>
      <c r="QTB174" s="125"/>
      <c r="QTC174" s="125"/>
      <c r="QTD174" s="125"/>
      <c r="QTE174" s="125"/>
      <c r="QTF174" s="125"/>
      <c r="QTG174" s="125"/>
      <c r="QTH174" s="125"/>
      <c r="QTI174" s="125"/>
      <c r="QTJ174" s="125"/>
      <c r="QTK174" s="125"/>
      <c r="QTL174" s="125"/>
      <c r="QTM174" s="125"/>
      <c r="QTN174" s="125"/>
      <c r="QTO174" s="125"/>
      <c r="QTP174" s="125"/>
      <c r="QTQ174" s="125"/>
      <c r="QTR174" s="125"/>
      <c r="QTS174" s="125"/>
      <c r="QTT174" s="125"/>
      <c r="QTU174" s="125"/>
      <c r="QTV174" s="125"/>
      <c r="QTW174" s="125"/>
      <c r="QTX174" s="125"/>
      <c r="QTY174" s="125"/>
      <c r="QTZ174" s="125"/>
      <c r="QUA174" s="125"/>
      <c r="QUB174" s="125"/>
      <c r="QUC174" s="125"/>
      <c r="QUD174" s="125"/>
      <c r="QUE174" s="125"/>
      <c r="QUF174" s="125"/>
      <c r="QUG174" s="125"/>
      <c r="QUH174" s="125"/>
      <c r="QUI174" s="125"/>
      <c r="QUJ174" s="125"/>
      <c r="QUK174" s="125"/>
      <c r="QUL174" s="125"/>
      <c r="QUM174" s="125"/>
      <c r="QUN174" s="125"/>
      <c r="QUO174" s="125"/>
      <c r="QUP174" s="125"/>
      <c r="QUQ174" s="125"/>
      <c r="QUR174" s="125"/>
      <c r="QUS174" s="125"/>
      <c r="QUT174" s="125"/>
      <c r="QUU174" s="125"/>
      <c r="QUV174" s="125"/>
      <c r="QUW174" s="125"/>
      <c r="QUX174" s="125"/>
      <c r="QUY174" s="125"/>
      <c r="QUZ174" s="125"/>
      <c r="QVA174" s="125"/>
      <c r="QVB174" s="125"/>
      <c r="QVC174" s="125"/>
      <c r="QVD174" s="125"/>
      <c r="QVE174" s="125"/>
      <c r="QVF174" s="125"/>
      <c r="QVG174" s="125"/>
      <c r="QVH174" s="125"/>
      <c r="QVI174" s="125"/>
      <c r="QVJ174" s="125"/>
      <c r="QVK174" s="125"/>
      <c r="QVL174" s="125"/>
      <c r="QVM174" s="125"/>
      <c r="QVN174" s="125"/>
      <c r="QVO174" s="125"/>
      <c r="QVP174" s="125"/>
      <c r="QVQ174" s="125"/>
      <c r="QVR174" s="125"/>
      <c r="QVS174" s="125"/>
      <c r="QVT174" s="125"/>
      <c r="QVU174" s="125"/>
      <c r="QVV174" s="125"/>
      <c r="QVW174" s="125"/>
      <c r="QVX174" s="125"/>
      <c r="QVY174" s="125"/>
      <c r="QVZ174" s="125"/>
      <c r="QWA174" s="125"/>
      <c r="QWB174" s="125"/>
      <c r="QWC174" s="125"/>
      <c r="QWD174" s="125"/>
      <c r="QWE174" s="125"/>
      <c r="QWF174" s="125"/>
      <c r="QWG174" s="125"/>
      <c r="QWH174" s="125"/>
      <c r="QWI174" s="125"/>
      <c r="QWJ174" s="125"/>
      <c r="QWK174" s="125"/>
      <c r="QWL174" s="125"/>
      <c r="QWM174" s="125"/>
      <c r="QWN174" s="125"/>
      <c r="QWO174" s="125"/>
      <c r="QWP174" s="125"/>
      <c r="QWQ174" s="125"/>
      <c r="QWR174" s="125"/>
      <c r="QWS174" s="125"/>
      <c r="QWT174" s="125"/>
      <c r="QWU174" s="125"/>
      <c r="QWV174" s="125"/>
      <c r="QWW174" s="125"/>
      <c r="QWX174" s="125"/>
      <c r="QWY174" s="125"/>
      <c r="QWZ174" s="125"/>
      <c r="QXA174" s="125"/>
      <c r="QXB174" s="125"/>
      <c r="QXC174" s="125"/>
      <c r="QXD174" s="125"/>
      <c r="QXE174" s="125"/>
      <c r="QXF174" s="125"/>
      <c r="QXG174" s="125"/>
      <c r="QXH174" s="125"/>
      <c r="QXI174" s="125"/>
      <c r="QXJ174" s="125"/>
      <c r="QXK174" s="125"/>
      <c r="QXL174" s="125"/>
      <c r="QXM174" s="125"/>
      <c r="QXN174" s="125"/>
      <c r="QXO174" s="125"/>
      <c r="QXP174" s="125"/>
      <c r="QXQ174" s="125"/>
      <c r="QXR174" s="125"/>
      <c r="QXS174" s="125"/>
      <c r="QXT174" s="125"/>
      <c r="QXU174" s="125"/>
      <c r="QXV174" s="125"/>
      <c r="QXW174" s="125"/>
      <c r="QXX174" s="125"/>
      <c r="QXY174" s="125"/>
      <c r="QXZ174" s="125"/>
      <c r="QYA174" s="125"/>
      <c r="QYB174" s="125"/>
      <c r="QYC174" s="125"/>
      <c r="QYD174" s="125"/>
      <c r="QYE174" s="125"/>
      <c r="QYF174" s="125"/>
      <c r="QYG174" s="125"/>
      <c r="QYH174" s="125"/>
      <c r="QYI174" s="125"/>
      <c r="QYJ174" s="125"/>
      <c r="QYK174" s="125"/>
      <c r="QYL174" s="125"/>
      <c r="QYM174" s="125"/>
      <c r="QYN174" s="125"/>
      <c r="QYO174" s="125"/>
      <c r="QYP174" s="125"/>
      <c r="QYQ174" s="125"/>
      <c r="QYR174" s="125"/>
      <c r="QYS174" s="125"/>
      <c r="QYT174" s="125"/>
      <c r="QYU174" s="125"/>
      <c r="QYV174" s="125"/>
      <c r="QYW174" s="125"/>
      <c r="QYX174" s="125"/>
      <c r="QYY174" s="125"/>
      <c r="QYZ174" s="125"/>
      <c r="QZA174" s="125"/>
      <c r="QZB174" s="125"/>
      <c r="QZC174" s="125"/>
      <c r="QZD174" s="125"/>
      <c r="QZE174" s="125"/>
      <c r="QZF174" s="125"/>
      <c r="QZG174" s="125"/>
      <c r="QZH174" s="125"/>
      <c r="QZI174" s="125"/>
      <c r="QZJ174" s="125"/>
      <c r="QZK174" s="125"/>
      <c r="QZL174" s="125"/>
      <c r="QZM174" s="125"/>
      <c r="QZN174" s="125"/>
      <c r="QZO174" s="125"/>
      <c r="QZP174" s="125"/>
      <c r="QZQ174" s="125"/>
      <c r="QZR174" s="125"/>
      <c r="QZS174" s="125"/>
      <c r="QZT174" s="125"/>
      <c r="QZU174" s="125"/>
      <c r="QZV174" s="125"/>
      <c r="QZW174" s="125"/>
      <c r="QZX174" s="125"/>
      <c r="QZY174" s="125"/>
      <c r="QZZ174" s="125"/>
      <c r="RAA174" s="125"/>
      <c r="RAB174" s="125"/>
      <c r="RAC174" s="125"/>
      <c r="RAD174" s="125"/>
      <c r="RAE174" s="125"/>
      <c r="RAF174" s="125"/>
      <c r="RAG174" s="125"/>
      <c r="RAH174" s="125"/>
      <c r="RAI174" s="125"/>
      <c r="RAJ174" s="125"/>
      <c r="RAK174" s="125"/>
      <c r="RAL174" s="125"/>
      <c r="RAM174" s="125"/>
      <c r="RAN174" s="125"/>
      <c r="RAO174" s="125"/>
      <c r="RAP174" s="125"/>
      <c r="RAQ174" s="125"/>
      <c r="RAR174" s="125"/>
      <c r="RAS174" s="125"/>
      <c r="RAT174" s="125"/>
      <c r="RAU174" s="125"/>
      <c r="RAV174" s="125"/>
      <c r="RAW174" s="125"/>
      <c r="RAX174" s="125"/>
      <c r="RAY174" s="125"/>
      <c r="RAZ174" s="125"/>
      <c r="RBA174" s="125"/>
      <c r="RBB174" s="125"/>
      <c r="RBC174" s="125"/>
      <c r="RBD174" s="125"/>
      <c r="RBE174" s="125"/>
      <c r="RBF174" s="125"/>
      <c r="RBG174" s="125"/>
      <c r="RBH174" s="125"/>
      <c r="RBI174" s="125"/>
      <c r="RBJ174" s="125"/>
      <c r="RBK174" s="125"/>
      <c r="RBL174" s="125"/>
      <c r="RBM174" s="125"/>
      <c r="RBN174" s="125"/>
      <c r="RBO174" s="125"/>
      <c r="RBP174" s="125"/>
      <c r="RBQ174" s="125"/>
      <c r="RBR174" s="125"/>
      <c r="RBS174" s="125"/>
      <c r="RBT174" s="125"/>
      <c r="RBU174" s="125"/>
      <c r="RBV174" s="125"/>
      <c r="RBW174" s="125"/>
      <c r="RBX174" s="125"/>
      <c r="RBY174" s="125"/>
      <c r="RBZ174" s="125"/>
      <c r="RCA174" s="125"/>
      <c r="RCB174" s="125"/>
      <c r="RCC174" s="125"/>
      <c r="RCD174" s="125"/>
      <c r="RCE174" s="125"/>
      <c r="RCF174" s="125"/>
      <c r="RCG174" s="125"/>
      <c r="RCH174" s="125"/>
      <c r="RCI174" s="125"/>
      <c r="RCJ174" s="125"/>
      <c r="RCK174" s="125"/>
      <c r="RCL174" s="125"/>
      <c r="RCM174" s="125"/>
      <c r="RCN174" s="125"/>
      <c r="RCO174" s="125"/>
      <c r="RCP174" s="125"/>
      <c r="RCQ174" s="125"/>
      <c r="RCR174" s="125"/>
      <c r="RCS174" s="125"/>
      <c r="RCT174" s="125"/>
      <c r="RCU174" s="125"/>
      <c r="RCV174" s="125"/>
      <c r="RCW174" s="125"/>
      <c r="RCX174" s="125"/>
      <c r="RCY174" s="125"/>
      <c r="RCZ174" s="125"/>
      <c r="RDA174" s="125"/>
      <c r="RDB174" s="125"/>
      <c r="RDC174" s="125"/>
      <c r="RDD174" s="125"/>
      <c r="RDE174" s="125"/>
      <c r="RDF174" s="125"/>
      <c r="RDG174" s="125"/>
      <c r="RDH174" s="125"/>
      <c r="RDI174" s="125"/>
      <c r="RDJ174" s="125"/>
      <c r="RDK174" s="125"/>
      <c r="RDL174" s="125"/>
      <c r="RDM174" s="125"/>
      <c r="RDN174" s="125"/>
      <c r="RDO174" s="125"/>
      <c r="RDP174" s="125"/>
      <c r="RDQ174" s="125"/>
      <c r="RDR174" s="125"/>
      <c r="RDS174" s="125"/>
      <c r="RDT174" s="125"/>
      <c r="RDU174" s="125"/>
      <c r="RDV174" s="125"/>
      <c r="RDW174" s="125"/>
      <c r="RDX174" s="125"/>
      <c r="RDY174" s="125"/>
      <c r="RDZ174" s="125"/>
      <c r="REA174" s="125"/>
      <c r="REB174" s="125"/>
      <c r="REC174" s="125"/>
      <c r="RED174" s="125"/>
      <c r="REE174" s="125"/>
      <c r="REF174" s="125"/>
      <c r="REG174" s="125"/>
      <c r="REH174" s="125"/>
      <c r="REI174" s="125"/>
      <c r="REJ174" s="125"/>
      <c r="REK174" s="125"/>
      <c r="REL174" s="125"/>
      <c r="REM174" s="125"/>
      <c r="REN174" s="125"/>
      <c r="REO174" s="125"/>
      <c r="REP174" s="125"/>
      <c r="REQ174" s="125"/>
      <c r="RER174" s="125"/>
      <c r="RES174" s="125"/>
      <c r="RET174" s="125"/>
      <c r="REU174" s="125"/>
      <c r="REV174" s="125"/>
      <c r="REW174" s="125"/>
      <c r="REX174" s="125"/>
      <c r="REY174" s="125"/>
      <c r="REZ174" s="125"/>
      <c r="RFA174" s="125"/>
      <c r="RFB174" s="125"/>
      <c r="RFC174" s="125"/>
      <c r="RFD174" s="125"/>
      <c r="RFE174" s="125"/>
      <c r="RFF174" s="125"/>
      <c r="RFG174" s="125"/>
      <c r="RFH174" s="125"/>
      <c r="RFI174" s="125"/>
      <c r="RFJ174" s="125"/>
      <c r="RFK174" s="125"/>
      <c r="RFL174" s="125"/>
      <c r="RFM174" s="125"/>
      <c r="RFN174" s="125"/>
      <c r="RFO174" s="125"/>
      <c r="RFP174" s="125"/>
      <c r="RFQ174" s="125"/>
      <c r="RFR174" s="125"/>
      <c r="RFS174" s="125"/>
      <c r="RFT174" s="125"/>
      <c r="RFU174" s="125"/>
      <c r="RFV174" s="125"/>
      <c r="RFW174" s="125"/>
      <c r="RFX174" s="125"/>
      <c r="RFY174" s="125"/>
      <c r="RFZ174" s="125"/>
      <c r="RGA174" s="125"/>
      <c r="RGB174" s="125"/>
      <c r="RGC174" s="125"/>
      <c r="RGD174" s="125"/>
      <c r="RGE174" s="125"/>
      <c r="RGF174" s="125"/>
      <c r="RGG174" s="125"/>
      <c r="RGH174" s="125"/>
      <c r="RGI174" s="125"/>
      <c r="RGJ174" s="125"/>
      <c r="RGK174" s="125"/>
      <c r="RGL174" s="125"/>
      <c r="RGM174" s="125"/>
      <c r="RGN174" s="125"/>
      <c r="RGO174" s="125"/>
      <c r="RGP174" s="125"/>
      <c r="RGQ174" s="125"/>
      <c r="RGR174" s="125"/>
      <c r="RGS174" s="125"/>
      <c r="RGT174" s="125"/>
      <c r="RGU174" s="125"/>
      <c r="RGV174" s="125"/>
      <c r="RGW174" s="125"/>
      <c r="RGX174" s="125"/>
      <c r="RGY174" s="125"/>
      <c r="RGZ174" s="125"/>
      <c r="RHA174" s="125"/>
      <c r="RHB174" s="125"/>
      <c r="RHC174" s="125"/>
      <c r="RHD174" s="125"/>
      <c r="RHE174" s="125"/>
      <c r="RHF174" s="125"/>
      <c r="RHG174" s="125"/>
      <c r="RHH174" s="125"/>
      <c r="RHI174" s="125"/>
      <c r="RHJ174" s="125"/>
      <c r="RHK174" s="125"/>
      <c r="RHL174" s="125"/>
      <c r="RHM174" s="125"/>
      <c r="RHN174" s="125"/>
      <c r="RHO174" s="125"/>
      <c r="RHP174" s="125"/>
      <c r="RHQ174" s="125"/>
      <c r="RHR174" s="125"/>
      <c r="RHS174" s="125"/>
      <c r="RHT174" s="125"/>
      <c r="RHU174" s="125"/>
      <c r="RHV174" s="125"/>
      <c r="RHW174" s="125"/>
      <c r="RHX174" s="125"/>
      <c r="RHY174" s="125"/>
      <c r="RHZ174" s="125"/>
      <c r="RIA174" s="125"/>
      <c r="RIB174" s="125"/>
      <c r="RIC174" s="125"/>
      <c r="RID174" s="125"/>
      <c r="RIE174" s="125"/>
      <c r="RIF174" s="125"/>
      <c r="RIG174" s="125"/>
      <c r="RIH174" s="125"/>
      <c r="RII174" s="125"/>
      <c r="RIJ174" s="125"/>
      <c r="RIK174" s="125"/>
      <c r="RIL174" s="125"/>
      <c r="RIM174" s="125"/>
      <c r="RIN174" s="125"/>
      <c r="RIO174" s="125"/>
      <c r="RIP174" s="125"/>
      <c r="RIQ174" s="125"/>
      <c r="RIR174" s="125"/>
      <c r="RIS174" s="125"/>
      <c r="RIT174" s="125"/>
      <c r="RIU174" s="125"/>
      <c r="RIV174" s="125"/>
      <c r="RIW174" s="125"/>
      <c r="RIX174" s="125"/>
      <c r="RIY174" s="125"/>
      <c r="RIZ174" s="125"/>
      <c r="RJA174" s="125"/>
      <c r="RJB174" s="125"/>
      <c r="RJC174" s="125"/>
      <c r="RJD174" s="125"/>
      <c r="RJE174" s="125"/>
      <c r="RJF174" s="125"/>
      <c r="RJG174" s="125"/>
      <c r="RJH174" s="125"/>
      <c r="RJI174" s="125"/>
      <c r="RJJ174" s="125"/>
      <c r="RJK174" s="125"/>
      <c r="RJL174" s="125"/>
      <c r="RJM174" s="125"/>
      <c r="RJN174" s="125"/>
      <c r="RJO174" s="125"/>
      <c r="RJP174" s="125"/>
      <c r="RJQ174" s="125"/>
      <c r="RJR174" s="125"/>
      <c r="RJS174" s="125"/>
      <c r="RJT174" s="125"/>
      <c r="RJU174" s="125"/>
      <c r="RJV174" s="125"/>
      <c r="RJW174" s="125"/>
      <c r="RJX174" s="125"/>
      <c r="RJY174" s="125"/>
      <c r="RJZ174" s="125"/>
      <c r="RKA174" s="125"/>
      <c r="RKB174" s="125"/>
      <c r="RKC174" s="125"/>
      <c r="RKD174" s="125"/>
      <c r="RKE174" s="125"/>
      <c r="RKF174" s="125"/>
      <c r="RKG174" s="125"/>
      <c r="RKH174" s="125"/>
      <c r="RKI174" s="125"/>
      <c r="RKJ174" s="125"/>
      <c r="RKK174" s="125"/>
      <c r="RKL174" s="125"/>
      <c r="RKM174" s="125"/>
      <c r="RKN174" s="125"/>
      <c r="RKO174" s="125"/>
      <c r="RKP174" s="125"/>
      <c r="RKQ174" s="125"/>
      <c r="RKR174" s="125"/>
      <c r="RKS174" s="125"/>
      <c r="RKT174" s="125"/>
      <c r="RKU174" s="125"/>
      <c r="RKV174" s="125"/>
      <c r="RKW174" s="125"/>
      <c r="RKX174" s="125"/>
      <c r="RKY174" s="125"/>
      <c r="RKZ174" s="125"/>
      <c r="RLA174" s="125"/>
      <c r="RLB174" s="125"/>
      <c r="RLC174" s="125"/>
      <c r="RLD174" s="125"/>
      <c r="RLE174" s="125"/>
      <c r="RLF174" s="125"/>
      <c r="RLG174" s="125"/>
      <c r="RLH174" s="125"/>
      <c r="RLI174" s="125"/>
      <c r="RLJ174" s="125"/>
      <c r="RLK174" s="125"/>
      <c r="RLL174" s="125"/>
      <c r="RLM174" s="125"/>
      <c r="RLN174" s="125"/>
      <c r="RLO174" s="125"/>
      <c r="RLP174" s="125"/>
      <c r="RLQ174" s="125"/>
      <c r="RLR174" s="125"/>
      <c r="RLS174" s="125"/>
      <c r="RLT174" s="125"/>
      <c r="RLU174" s="125"/>
      <c r="RLV174" s="125"/>
      <c r="RLW174" s="125"/>
      <c r="RLX174" s="125"/>
      <c r="RLY174" s="125"/>
      <c r="RLZ174" s="125"/>
      <c r="RMA174" s="125"/>
      <c r="RMB174" s="125"/>
      <c r="RMC174" s="125"/>
      <c r="RMD174" s="125"/>
      <c r="RME174" s="125"/>
      <c r="RMF174" s="125"/>
      <c r="RMG174" s="125"/>
      <c r="RMH174" s="125"/>
      <c r="RMI174" s="125"/>
      <c r="RMJ174" s="125"/>
      <c r="RMK174" s="125"/>
      <c r="RML174" s="125"/>
      <c r="RMM174" s="125"/>
      <c r="RMN174" s="125"/>
      <c r="RMO174" s="125"/>
      <c r="RMP174" s="125"/>
      <c r="RMQ174" s="125"/>
      <c r="RMR174" s="125"/>
      <c r="RMS174" s="125"/>
      <c r="RMT174" s="125"/>
      <c r="RMU174" s="125"/>
      <c r="RMV174" s="125"/>
      <c r="RMW174" s="125"/>
      <c r="RMX174" s="125"/>
      <c r="RMY174" s="125"/>
      <c r="RMZ174" s="125"/>
      <c r="RNA174" s="125"/>
      <c r="RNB174" s="125"/>
      <c r="RNC174" s="125"/>
      <c r="RND174" s="125"/>
      <c r="RNE174" s="125"/>
      <c r="RNF174" s="125"/>
      <c r="RNG174" s="125"/>
      <c r="RNH174" s="125"/>
      <c r="RNI174" s="125"/>
      <c r="RNJ174" s="125"/>
      <c r="RNK174" s="125"/>
      <c r="RNL174" s="125"/>
      <c r="RNM174" s="125"/>
      <c r="RNN174" s="125"/>
      <c r="RNO174" s="125"/>
      <c r="RNP174" s="125"/>
      <c r="RNQ174" s="125"/>
      <c r="RNR174" s="125"/>
      <c r="RNS174" s="125"/>
      <c r="RNT174" s="125"/>
      <c r="RNU174" s="125"/>
      <c r="RNV174" s="125"/>
      <c r="RNW174" s="125"/>
      <c r="RNX174" s="125"/>
      <c r="RNY174" s="125"/>
      <c r="RNZ174" s="125"/>
      <c r="ROA174" s="125"/>
      <c r="ROB174" s="125"/>
      <c r="ROC174" s="125"/>
      <c r="ROD174" s="125"/>
      <c r="ROE174" s="125"/>
      <c r="ROF174" s="125"/>
      <c r="ROG174" s="125"/>
      <c r="ROH174" s="125"/>
      <c r="ROI174" s="125"/>
      <c r="ROJ174" s="125"/>
      <c r="ROK174" s="125"/>
      <c r="ROL174" s="125"/>
      <c r="ROM174" s="125"/>
      <c r="RON174" s="125"/>
      <c r="ROO174" s="125"/>
      <c r="ROP174" s="125"/>
      <c r="ROQ174" s="125"/>
      <c r="ROR174" s="125"/>
      <c r="ROS174" s="125"/>
      <c r="ROT174" s="125"/>
      <c r="ROU174" s="125"/>
      <c r="ROV174" s="125"/>
      <c r="ROW174" s="125"/>
      <c r="ROX174" s="125"/>
      <c r="ROY174" s="125"/>
      <c r="ROZ174" s="125"/>
      <c r="RPA174" s="125"/>
      <c r="RPB174" s="125"/>
      <c r="RPC174" s="125"/>
      <c r="RPD174" s="125"/>
      <c r="RPE174" s="125"/>
      <c r="RPF174" s="125"/>
      <c r="RPG174" s="125"/>
      <c r="RPH174" s="125"/>
      <c r="RPI174" s="125"/>
      <c r="RPJ174" s="125"/>
      <c r="RPK174" s="125"/>
      <c r="RPL174" s="125"/>
      <c r="RPM174" s="125"/>
      <c r="RPN174" s="125"/>
      <c r="RPO174" s="125"/>
      <c r="RPP174" s="125"/>
      <c r="RPQ174" s="125"/>
      <c r="RPR174" s="125"/>
      <c r="RPS174" s="125"/>
      <c r="RPT174" s="125"/>
      <c r="RPU174" s="125"/>
      <c r="RPV174" s="125"/>
      <c r="RPW174" s="125"/>
      <c r="RPX174" s="125"/>
      <c r="RPY174" s="125"/>
      <c r="RPZ174" s="125"/>
      <c r="RQA174" s="125"/>
      <c r="RQB174" s="125"/>
      <c r="RQC174" s="125"/>
      <c r="RQD174" s="125"/>
      <c r="RQE174" s="125"/>
      <c r="RQF174" s="125"/>
      <c r="RQG174" s="125"/>
      <c r="RQH174" s="125"/>
      <c r="RQI174" s="125"/>
      <c r="RQJ174" s="125"/>
      <c r="RQK174" s="125"/>
      <c r="RQL174" s="125"/>
      <c r="RQM174" s="125"/>
      <c r="RQN174" s="125"/>
      <c r="RQO174" s="125"/>
      <c r="RQP174" s="125"/>
      <c r="RQQ174" s="125"/>
      <c r="RQR174" s="125"/>
      <c r="RQS174" s="125"/>
      <c r="RQT174" s="125"/>
      <c r="RQU174" s="125"/>
      <c r="RQV174" s="125"/>
      <c r="RQW174" s="125"/>
      <c r="RQX174" s="125"/>
      <c r="RQY174" s="125"/>
      <c r="RQZ174" s="125"/>
      <c r="RRA174" s="125"/>
      <c r="RRB174" s="125"/>
      <c r="RRC174" s="125"/>
      <c r="RRD174" s="125"/>
      <c r="RRE174" s="125"/>
      <c r="RRF174" s="125"/>
      <c r="RRG174" s="125"/>
      <c r="RRH174" s="125"/>
      <c r="RRI174" s="125"/>
      <c r="RRJ174" s="125"/>
      <c r="RRK174" s="125"/>
      <c r="RRL174" s="125"/>
      <c r="RRM174" s="125"/>
      <c r="RRN174" s="125"/>
      <c r="RRO174" s="125"/>
      <c r="RRP174" s="125"/>
      <c r="RRQ174" s="125"/>
      <c r="RRR174" s="125"/>
      <c r="RRS174" s="125"/>
      <c r="RRT174" s="125"/>
      <c r="RRU174" s="125"/>
      <c r="RRV174" s="125"/>
      <c r="RRW174" s="125"/>
      <c r="RRX174" s="125"/>
      <c r="RRY174" s="125"/>
      <c r="RRZ174" s="125"/>
      <c r="RSA174" s="125"/>
      <c r="RSB174" s="125"/>
      <c r="RSC174" s="125"/>
      <c r="RSD174" s="125"/>
      <c r="RSE174" s="125"/>
      <c r="RSF174" s="125"/>
      <c r="RSG174" s="125"/>
      <c r="RSH174" s="125"/>
      <c r="RSI174" s="125"/>
      <c r="RSJ174" s="125"/>
      <c r="RSK174" s="125"/>
      <c r="RSL174" s="125"/>
      <c r="RSM174" s="125"/>
      <c r="RSN174" s="125"/>
      <c r="RSO174" s="125"/>
      <c r="RSP174" s="125"/>
      <c r="RSQ174" s="125"/>
      <c r="RSR174" s="125"/>
      <c r="RSS174" s="125"/>
      <c r="RST174" s="125"/>
      <c r="RSU174" s="125"/>
      <c r="RSV174" s="125"/>
      <c r="RSW174" s="125"/>
      <c r="RSX174" s="125"/>
      <c r="RSY174" s="125"/>
      <c r="RSZ174" s="125"/>
      <c r="RTA174" s="125"/>
      <c r="RTB174" s="125"/>
      <c r="RTC174" s="125"/>
      <c r="RTD174" s="125"/>
      <c r="RTE174" s="125"/>
      <c r="RTF174" s="125"/>
      <c r="RTG174" s="125"/>
      <c r="RTH174" s="125"/>
      <c r="RTI174" s="125"/>
      <c r="RTJ174" s="125"/>
      <c r="RTK174" s="125"/>
      <c r="RTL174" s="125"/>
      <c r="RTM174" s="125"/>
      <c r="RTN174" s="125"/>
      <c r="RTO174" s="125"/>
      <c r="RTP174" s="125"/>
      <c r="RTQ174" s="125"/>
      <c r="RTR174" s="125"/>
      <c r="RTS174" s="125"/>
      <c r="RTT174" s="125"/>
      <c r="RTU174" s="125"/>
      <c r="RTV174" s="125"/>
      <c r="RTW174" s="125"/>
      <c r="RTX174" s="125"/>
      <c r="RTY174" s="125"/>
      <c r="RTZ174" s="125"/>
      <c r="RUA174" s="125"/>
      <c r="RUB174" s="125"/>
      <c r="RUC174" s="125"/>
      <c r="RUD174" s="125"/>
      <c r="RUE174" s="125"/>
      <c r="RUF174" s="125"/>
      <c r="RUG174" s="125"/>
      <c r="RUH174" s="125"/>
      <c r="RUI174" s="125"/>
      <c r="RUJ174" s="125"/>
      <c r="RUK174" s="125"/>
      <c r="RUL174" s="125"/>
      <c r="RUM174" s="125"/>
      <c r="RUN174" s="125"/>
      <c r="RUO174" s="125"/>
      <c r="RUP174" s="125"/>
      <c r="RUQ174" s="125"/>
      <c r="RUR174" s="125"/>
      <c r="RUS174" s="125"/>
      <c r="RUT174" s="125"/>
      <c r="RUU174" s="125"/>
      <c r="RUV174" s="125"/>
      <c r="RUW174" s="125"/>
      <c r="RUX174" s="125"/>
      <c r="RUY174" s="125"/>
      <c r="RUZ174" s="125"/>
      <c r="RVA174" s="125"/>
      <c r="RVB174" s="125"/>
      <c r="RVC174" s="125"/>
      <c r="RVD174" s="125"/>
      <c r="RVE174" s="125"/>
      <c r="RVF174" s="125"/>
      <c r="RVG174" s="125"/>
      <c r="RVH174" s="125"/>
      <c r="RVI174" s="125"/>
      <c r="RVJ174" s="125"/>
      <c r="RVK174" s="125"/>
      <c r="RVL174" s="125"/>
      <c r="RVM174" s="125"/>
      <c r="RVN174" s="125"/>
      <c r="RVO174" s="125"/>
      <c r="RVP174" s="125"/>
      <c r="RVQ174" s="125"/>
      <c r="RVR174" s="125"/>
      <c r="RVS174" s="125"/>
      <c r="RVT174" s="125"/>
      <c r="RVU174" s="125"/>
      <c r="RVV174" s="125"/>
      <c r="RVW174" s="125"/>
      <c r="RVX174" s="125"/>
      <c r="RVY174" s="125"/>
      <c r="RVZ174" s="125"/>
      <c r="RWA174" s="125"/>
      <c r="RWB174" s="125"/>
      <c r="RWC174" s="125"/>
      <c r="RWD174" s="125"/>
      <c r="RWE174" s="125"/>
      <c r="RWF174" s="125"/>
      <c r="RWG174" s="125"/>
      <c r="RWH174" s="125"/>
      <c r="RWI174" s="125"/>
      <c r="RWJ174" s="125"/>
      <c r="RWK174" s="125"/>
      <c r="RWL174" s="125"/>
      <c r="RWM174" s="125"/>
      <c r="RWN174" s="125"/>
      <c r="RWO174" s="125"/>
      <c r="RWP174" s="125"/>
      <c r="RWQ174" s="125"/>
      <c r="RWR174" s="125"/>
      <c r="RWS174" s="125"/>
      <c r="RWT174" s="125"/>
      <c r="RWU174" s="125"/>
      <c r="RWV174" s="125"/>
      <c r="RWW174" s="125"/>
      <c r="RWX174" s="125"/>
      <c r="RWY174" s="125"/>
      <c r="RWZ174" s="125"/>
      <c r="RXA174" s="125"/>
      <c r="RXB174" s="125"/>
      <c r="RXC174" s="125"/>
      <c r="RXD174" s="125"/>
      <c r="RXE174" s="125"/>
      <c r="RXF174" s="125"/>
      <c r="RXG174" s="125"/>
      <c r="RXH174" s="125"/>
      <c r="RXI174" s="125"/>
      <c r="RXJ174" s="125"/>
      <c r="RXK174" s="125"/>
      <c r="RXL174" s="125"/>
      <c r="RXM174" s="125"/>
      <c r="RXN174" s="125"/>
      <c r="RXO174" s="125"/>
      <c r="RXP174" s="125"/>
      <c r="RXQ174" s="125"/>
      <c r="RXR174" s="125"/>
      <c r="RXS174" s="125"/>
      <c r="RXT174" s="125"/>
      <c r="RXU174" s="125"/>
      <c r="RXV174" s="125"/>
      <c r="RXW174" s="125"/>
      <c r="RXX174" s="125"/>
      <c r="RXY174" s="125"/>
      <c r="RXZ174" s="125"/>
      <c r="RYA174" s="125"/>
      <c r="RYB174" s="125"/>
      <c r="RYC174" s="125"/>
      <c r="RYD174" s="125"/>
      <c r="RYE174" s="125"/>
      <c r="RYF174" s="125"/>
      <c r="RYG174" s="125"/>
      <c r="RYH174" s="125"/>
      <c r="RYI174" s="125"/>
      <c r="RYJ174" s="125"/>
      <c r="RYK174" s="125"/>
      <c r="RYL174" s="125"/>
      <c r="RYM174" s="125"/>
      <c r="RYN174" s="125"/>
      <c r="RYO174" s="125"/>
      <c r="RYP174" s="125"/>
      <c r="RYQ174" s="125"/>
      <c r="RYR174" s="125"/>
      <c r="RYS174" s="125"/>
      <c r="RYT174" s="125"/>
      <c r="RYU174" s="125"/>
      <c r="RYV174" s="125"/>
      <c r="RYW174" s="125"/>
      <c r="RYX174" s="125"/>
      <c r="RYY174" s="125"/>
      <c r="RYZ174" s="125"/>
      <c r="RZA174" s="125"/>
      <c r="RZB174" s="125"/>
      <c r="RZC174" s="125"/>
      <c r="RZD174" s="125"/>
      <c r="RZE174" s="125"/>
      <c r="RZF174" s="125"/>
      <c r="RZG174" s="125"/>
      <c r="RZH174" s="125"/>
      <c r="RZI174" s="125"/>
      <c r="RZJ174" s="125"/>
      <c r="RZK174" s="125"/>
      <c r="RZL174" s="125"/>
      <c r="RZM174" s="125"/>
      <c r="RZN174" s="125"/>
      <c r="RZO174" s="125"/>
      <c r="RZP174" s="125"/>
      <c r="RZQ174" s="125"/>
      <c r="RZR174" s="125"/>
      <c r="RZS174" s="125"/>
      <c r="RZT174" s="125"/>
      <c r="RZU174" s="125"/>
      <c r="RZV174" s="125"/>
      <c r="RZW174" s="125"/>
      <c r="RZX174" s="125"/>
      <c r="RZY174" s="125"/>
      <c r="RZZ174" s="125"/>
      <c r="SAA174" s="125"/>
      <c r="SAB174" s="125"/>
      <c r="SAC174" s="125"/>
      <c r="SAD174" s="125"/>
      <c r="SAE174" s="125"/>
      <c r="SAF174" s="125"/>
      <c r="SAG174" s="125"/>
      <c r="SAH174" s="125"/>
      <c r="SAI174" s="125"/>
      <c r="SAJ174" s="125"/>
      <c r="SAK174" s="125"/>
      <c r="SAL174" s="125"/>
      <c r="SAM174" s="125"/>
      <c r="SAN174" s="125"/>
      <c r="SAO174" s="125"/>
      <c r="SAP174" s="125"/>
      <c r="SAQ174" s="125"/>
      <c r="SAR174" s="125"/>
      <c r="SAS174" s="125"/>
      <c r="SAT174" s="125"/>
      <c r="SAU174" s="125"/>
      <c r="SAV174" s="125"/>
      <c r="SAW174" s="125"/>
      <c r="SAX174" s="125"/>
      <c r="SAY174" s="125"/>
      <c r="SAZ174" s="125"/>
      <c r="SBA174" s="125"/>
      <c r="SBB174" s="125"/>
      <c r="SBC174" s="125"/>
      <c r="SBD174" s="125"/>
      <c r="SBE174" s="125"/>
      <c r="SBF174" s="125"/>
      <c r="SBG174" s="125"/>
      <c r="SBH174" s="125"/>
      <c r="SBI174" s="125"/>
      <c r="SBJ174" s="125"/>
      <c r="SBK174" s="125"/>
      <c r="SBL174" s="125"/>
      <c r="SBM174" s="125"/>
      <c r="SBN174" s="125"/>
      <c r="SBO174" s="125"/>
      <c r="SBP174" s="125"/>
      <c r="SBQ174" s="125"/>
      <c r="SBR174" s="125"/>
      <c r="SBS174" s="125"/>
      <c r="SBT174" s="125"/>
      <c r="SBU174" s="125"/>
      <c r="SBV174" s="125"/>
      <c r="SBW174" s="125"/>
      <c r="SBX174" s="125"/>
      <c r="SBY174" s="125"/>
      <c r="SBZ174" s="125"/>
      <c r="SCA174" s="125"/>
      <c r="SCB174" s="125"/>
      <c r="SCC174" s="125"/>
      <c r="SCD174" s="125"/>
      <c r="SCE174" s="125"/>
      <c r="SCF174" s="125"/>
      <c r="SCG174" s="125"/>
      <c r="SCH174" s="125"/>
      <c r="SCI174" s="125"/>
      <c r="SCJ174" s="125"/>
      <c r="SCK174" s="125"/>
      <c r="SCL174" s="125"/>
      <c r="SCM174" s="125"/>
      <c r="SCN174" s="125"/>
      <c r="SCO174" s="125"/>
      <c r="SCP174" s="125"/>
      <c r="SCQ174" s="125"/>
      <c r="SCR174" s="125"/>
      <c r="SCS174" s="125"/>
      <c r="SCT174" s="125"/>
      <c r="SCU174" s="125"/>
      <c r="SCV174" s="125"/>
      <c r="SCW174" s="125"/>
      <c r="SCX174" s="125"/>
      <c r="SCY174" s="125"/>
      <c r="SCZ174" s="125"/>
      <c r="SDA174" s="125"/>
      <c r="SDB174" s="125"/>
      <c r="SDC174" s="125"/>
      <c r="SDD174" s="125"/>
      <c r="SDE174" s="125"/>
      <c r="SDF174" s="125"/>
      <c r="SDG174" s="125"/>
      <c r="SDH174" s="125"/>
      <c r="SDI174" s="125"/>
      <c r="SDJ174" s="125"/>
      <c r="SDK174" s="125"/>
      <c r="SDL174" s="125"/>
      <c r="SDM174" s="125"/>
      <c r="SDN174" s="125"/>
      <c r="SDO174" s="125"/>
      <c r="SDP174" s="125"/>
      <c r="SDQ174" s="125"/>
      <c r="SDR174" s="125"/>
      <c r="SDS174" s="125"/>
      <c r="SDT174" s="125"/>
      <c r="SDU174" s="125"/>
      <c r="SDV174" s="125"/>
      <c r="SDW174" s="125"/>
      <c r="SDX174" s="125"/>
      <c r="SDY174" s="125"/>
      <c r="SDZ174" s="125"/>
      <c r="SEA174" s="125"/>
      <c r="SEB174" s="125"/>
      <c r="SEC174" s="125"/>
      <c r="SED174" s="125"/>
      <c r="SEE174" s="125"/>
      <c r="SEF174" s="125"/>
      <c r="SEG174" s="125"/>
      <c r="SEH174" s="125"/>
      <c r="SEI174" s="125"/>
      <c r="SEJ174" s="125"/>
      <c r="SEK174" s="125"/>
      <c r="SEL174" s="125"/>
      <c r="SEM174" s="125"/>
      <c r="SEN174" s="125"/>
      <c r="SEO174" s="125"/>
      <c r="SEP174" s="125"/>
      <c r="SEQ174" s="125"/>
      <c r="SER174" s="125"/>
      <c r="SES174" s="125"/>
      <c r="SET174" s="125"/>
      <c r="SEU174" s="125"/>
      <c r="SEV174" s="125"/>
      <c r="SEW174" s="125"/>
      <c r="SEX174" s="125"/>
      <c r="SEY174" s="125"/>
      <c r="SEZ174" s="125"/>
      <c r="SFA174" s="125"/>
      <c r="SFB174" s="125"/>
      <c r="SFC174" s="125"/>
      <c r="SFD174" s="125"/>
      <c r="SFE174" s="125"/>
      <c r="SFF174" s="125"/>
      <c r="SFG174" s="125"/>
      <c r="SFH174" s="125"/>
      <c r="SFI174" s="125"/>
      <c r="SFJ174" s="125"/>
      <c r="SFK174" s="125"/>
      <c r="SFL174" s="125"/>
      <c r="SFM174" s="125"/>
      <c r="SFN174" s="125"/>
      <c r="SFO174" s="125"/>
      <c r="SFP174" s="125"/>
      <c r="SFQ174" s="125"/>
      <c r="SFR174" s="125"/>
      <c r="SFS174" s="125"/>
      <c r="SFT174" s="125"/>
      <c r="SFU174" s="125"/>
      <c r="SFV174" s="125"/>
      <c r="SFW174" s="125"/>
      <c r="SFX174" s="125"/>
      <c r="SFY174" s="125"/>
      <c r="SFZ174" s="125"/>
      <c r="SGA174" s="125"/>
      <c r="SGB174" s="125"/>
      <c r="SGC174" s="125"/>
      <c r="SGD174" s="125"/>
      <c r="SGE174" s="125"/>
      <c r="SGF174" s="125"/>
      <c r="SGG174" s="125"/>
      <c r="SGH174" s="125"/>
      <c r="SGI174" s="125"/>
      <c r="SGJ174" s="125"/>
      <c r="SGK174" s="125"/>
      <c r="SGL174" s="125"/>
      <c r="SGM174" s="125"/>
      <c r="SGN174" s="125"/>
      <c r="SGO174" s="125"/>
      <c r="SGP174" s="125"/>
      <c r="SGQ174" s="125"/>
      <c r="SGR174" s="125"/>
      <c r="SGS174" s="125"/>
      <c r="SGT174" s="125"/>
      <c r="SGU174" s="125"/>
      <c r="SGV174" s="125"/>
      <c r="SGW174" s="125"/>
      <c r="SGX174" s="125"/>
      <c r="SGY174" s="125"/>
      <c r="SGZ174" s="125"/>
      <c r="SHA174" s="125"/>
      <c r="SHB174" s="125"/>
      <c r="SHC174" s="125"/>
      <c r="SHD174" s="125"/>
      <c r="SHE174" s="125"/>
      <c r="SHF174" s="125"/>
      <c r="SHG174" s="125"/>
      <c r="SHH174" s="125"/>
      <c r="SHI174" s="125"/>
      <c r="SHJ174" s="125"/>
      <c r="SHK174" s="125"/>
      <c r="SHL174" s="125"/>
      <c r="SHM174" s="125"/>
      <c r="SHN174" s="125"/>
      <c r="SHO174" s="125"/>
      <c r="SHP174" s="125"/>
      <c r="SHQ174" s="125"/>
      <c r="SHR174" s="125"/>
      <c r="SHS174" s="125"/>
      <c r="SHT174" s="125"/>
      <c r="SHU174" s="125"/>
      <c r="SHV174" s="125"/>
      <c r="SHW174" s="125"/>
      <c r="SHX174" s="125"/>
      <c r="SHY174" s="125"/>
      <c r="SHZ174" s="125"/>
      <c r="SIA174" s="125"/>
      <c r="SIB174" s="125"/>
      <c r="SIC174" s="125"/>
      <c r="SID174" s="125"/>
      <c r="SIE174" s="125"/>
      <c r="SIF174" s="125"/>
      <c r="SIG174" s="125"/>
      <c r="SIH174" s="125"/>
      <c r="SII174" s="125"/>
      <c r="SIJ174" s="125"/>
      <c r="SIK174" s="125"/>
      <c r="SIL174" s="125"/>
      <c r="SIM174" s="125"/>
      <c r="SIN174" s="125"/>
      <c r="SIO174" s="125"/>
      <c r="SIP174" s="125"/>
      <c r="SIQ174" s="125"/>
      <c r="SIR174" s="125"/>
      <c r="SIS174" s="125"/>
      <c r="SIT174" s="125"/>
      <c r="SIU174" s="125"/>
      <c r="SIV174" s="125"/>
      <c r="SIW174" s="125"/>
      <c r="SIX174" s="125"/>
      <c r="SIY174" s="125"/>
      <c r="SIZ174" s="125"/>
      <c r="SJA174" s="125"/>
      <c r="SJB174" s="125"/>
      <c r="SJC174" s="125"/>
      <c r="SJD174" s="125"/>
      <c r="SJE174" s="125"/>
      <c r="SJF174" s="125"/>
      <c r="SJG174" s="125"/>
      <c r="SJH174" s="125"/>
      <c r="SJI174" s="125"/>
      <c r="SJJ174" s="125"/>
      <c r="SJK174" s="125"/>
      <c r="SJL174" s="125"/>
      <c r="SJM174" s="125"/>
      <c r="SJN174" s="125"/>
      <c r="SJO174" s="125"/>
      <c r="SJP174" s="125"/>
      <c r="SJQ174" s="125"/>
      <c r="SJR174" s="125"/>
      <c r="SJS174" s="125"/>
      <c r="SJT174" s="125"/>
      <c r="SJU174" s="125"/>
      <c r="SJV174" s="125"/>
      <c r="SJW174" s="125"/>
      <c r="SJX174" s="125"/>
      <c r="SJY174" s="125"/>
      <c r="SJZ174" s="125"/>
      <c r="SKA174" s="125"/>
      <c r="SKB174" s="125"/>
      <c r="SKC174" s="125"/>
      <c r="SKD174" s="125"/>
      <c r="SKE174" s="125"/>
      <c r="SKF174" s="125"/>
      <c r="SKG174" s="125"/>
      <c r="SKH174" s="125"/>
      <c r="SKI174" s="125"/>
      <c r="SKJ174" s="125"/>
      <c r="SKK174" s="125"/>
      <c r="SKL174" s="125"/>
      <c r="SKM174" s="125"/>
      <c r="SKN174" s="125"/>
      <c r="SKO174" s="125"/>
      <c r="SKP174" s="125"/>
      <c r="SKQ174" s="125"/>
      <c r="SKR174" s="125"/>
      <c r="SKS174" s="125"/>
      <c r="SKT174" s="125"/>
      <c r="SKU174" s="125"/>
      <c r="SKV174" s="125"/>
      <c r="SKW174" s="125"/>
      <c r="SKX174" s="125"/>
      <c r="SKY174" s="125"/>
      <c r="SKZ174" s="125"/>
      <c r="SLA174" s="125"/>
      <c r="SLB174" s="125"/>
      <c r="SLC174" s="125"/>
      <c r="SLD174" s="125"/>
      <c r="SLE174" s="125"/>
      <c r="SLF174" s="125"/>
      <c r="SLG174" s="125"/>
      <c r="SLH174" s="125"/>
      <c r="SLI174" s="125"/>
      <c r="SLJ174" s="125"/>
      <c r="SLK174" s="125"/>
      <c r="SLL174" s="125"/>
      <c r="SLM174" s="125"/>
      <c r="SLN174" s="125"/>
      <c r="SLO174" s="125"/>
      <c r="SLP174" s="125"/>
      <c r="SLQ174" s="125"/>
      <c r="SLR174" s="125"/>
      <c r="SLS174" s="125"/>
      <c r="SLT174" s="125"/>
      <c r="SLU174" s="125"/>
      <c r="SLV174" s="125"/>
      <c r="SLW174" s="125"/>
      <c r="SLX174" s="125"/>
      <c r="SLY174" s="125"/>
      <c r="SLZ174" s="125"/>
      <c r="SMA174" s="125"/>
      <c r="SMB174" s="125"/>
      <c r="SMC174" s="125"/>
      <c r="SMD174" s="125"/>
      <c r="SME174" s="125"/>
      <c r="SMF174" s="125"/>
      <c r="SMG174" s="125"/>
      <c r="SMH174" s="125"/>
      <c r="SMI174" s="125"/>
      <c r="SMJ174" s="125"/>
      <c r="SMK174" s="125"/>
      <c r="SML174" s="125"/>
      <c r="SMM174" s="125"/>
      <c r="SMN174" s="125"/>
      <c r="SMO174" s="125"/>
      <c r="SMP174" s="125"/>
      <c r="SMQ174" s="125"/>
      <c r="SMR174" s="125"/>
      <c r="SMS174" s="125"/>
      <c r="SMT174" s="125"/>
      <c r="SMU174" s="125"/>
      <c r="SMV174" s="125"/>
      <c r="SMW174" s="125"/>
      <c r="SMX174" s="125"/>
      <c r="SMY174" s="125"/>
      <c r="SMZ174" s="125"/>
      <c r="SNA174" s="125"/>
      <c r="SNB174" s="125"/>
      <c r="SNC174" s="125"/>
      <c r="SND174" s="125"/>
      <c r="SNE174" s="125"/>
      <c r="SNF174" s="125"/>
      <c r="SNG174" s="125"/>
      <c r="SNH174" s="125"/>
      <c r="SNI174" s="125"/>
      <c r="SNJ174" s="125"/>
      <c r="SNK174" s="125"/>
      <c r="SNL174" s="125"/>
      <c r="SNM174" s="125"/>
      <c r="SNN174" s="125"/>
      <c r="SNO174" s="125"/>
      <c r="SNP174" s="125"/>
      <c r="SNQ174" s="125"/>
      <c r="SNR174" s="125"/>
      <c r="SNS174" s="125"/>
      <c r="SNT174" s="125"/>
      <c r="SNU174" s="125"/>
      <c r="SNV174" s="125"/>
      <c r="SNW174" s="125"/>
      <c r="SNX174" s="125"/>
      <c r="SNY174" s="125"/>
      <c r="SNZ174" s="125"/>
      <c r="SOA174" s="125"/>
      <c r="SOB174" s="125"/>
      <c r="SOC174" s="125"/>
      <c r="SOD174" s="125"/>
      <c r="SOE174" s="125"/>
      <c r="SOF174" s="125"/>
      <c r="SOG174" s="125"/>
      <c r="SOH174" s="125"/>
      <c r="SOI174" s="125"/>
      <c r="SOJ174" s="125"/>
      <c r="SOK174" s="125"/>
      <c r="SOL174" s="125"/>
      <c r="SOM174" s="125"/>
      <c r="SON174" s="125"/>
      <c r="SOO174" s="125"/>
      <c r="SOP174" s="125"/>
      <c r="SOQ174" s="125"/>
      <c r="SOR174" s="125"/>
      <c r="SOS174" s="125"/>
      <c r="SOT174" s="125"/>
      <c r="SOU174" s="125"/>
      <c r="SOV174" s="125"/>
      <c r="SOW174" s="125"/>
      <c r="SOX174" s="125"/>
      <c r="SOY174" s="125"/>
      <c r="SOZ174" s="125"/>
      <c r="SPA174" s="125"/>
      <c r="SPB174" s="125"/>
      <c r="SPC174" s="125"/>
      <c r="SPD174" s="125"/>
      <c r="SPE174" s="125"/>
      <c r="SPF174" s="125"/>
      <c r="SPG174" s="125"/>
      <c r="SPH174" s="125"/>
      <c r="SPI174" s="125"/>
      <c r="SPJ174" s="125"/>
      <c r="SPK174" s="125"/>
      <c r="SPL174" s="125"/>
      <c r="SPM174" s="125"/>
      <c r="SPN174" s="125"/>
      <c r="SPO174" s="125"/>
      <c r="SPP174" s="125"/>
      <c r="SPQ174" s="125"/>
      <c r="SPR174" s="125"/>
      <c r="SPS174" s="125"/>
      <c r="SPT174" s="125"/>
      <c r="SPU174" s="125"/>
      <c r="SPV174" s="125"/>
      <c r="SPW174" s="125"/>
      <c r="SPX174" s="125"/>
      <c r="SPY174" s="125"/>
      <c r="SPZ174" s="125"/>
      <c r="SQA174" s="125"/>
      <c r="SQB174" s="125"/>
      <c r="SQC174" s="125"/>
      <c r="SQD174" s="125"/>
      <c r="SQE174" s="125"/>
      <c r="SQF174" s="125"/>
      <c r="SQG174" s="125"/>
      <c r="SQH174" s="125"/>
      <c r="SQI174" s="125"/>
      <c r="SQJ174" s="125"/>
      <c r="SQK174" s="125"/>
      <c r="SQL174" s="125"/>
      <c r="SQM174" s="125"/>
      <c r="SQN174" s="125"/>
      <c r="SQO174" s="125"/>
      <c r="SQP174" s="125"/>
      <c r="SQQ174" s="125"/>
      <c r="SQR174" s="125"/>
      <c r="SQS174" s="125"/>
      <c r="SQT174" s="125"/>
      <c r="SQU174" s="125"/>
      <c r="SQV174" s="125"/>
      <c r="SQW174" s="125"/>
      <c r="SQX174" s="125"/>
      <c r="SQY174" s="125"/>
      <c r="SQZ174" s="125"/>
      <c r="SRA174" s="125"/>
      <c r="SRB174" s="125"/>
      <c r="SRC174" s="125"/>
      <c r="SRD174" s="125"/>
      <c r="SRE174" s="125"/>
      <c r="SRF174" s="125"/>
      <c r="SRG174" s="125"/>
      <c r="SRH174" s="125"/>
      <c r="SRI174" s="125"/>
      <c r="SRJ174" s="125"/>
      <c r="SRK174" s="125"/>
      <c r="SRL174" s="125"/>
      <c r="SRM174" s="125"/>
      <c r="SRN174" s="125"/>
      <c r="SRO174" s="125"/>
      <c r="SRP174" s="125"/>
      <c r="SRQ174" s="125"/>
      <c r="SRR174" s="125"/>
      <c r="SRS174" s="125"/>
      <c r="SRT174" s="125"/>
      <c r="SRU174" s="125"/>
      <c r="SRV174" s="125"/>
      <c r="SRW174" s="125"/>
      <c r="SRX174" s="125"/>
      <c r="SRY174" s="125"/>
      <c r="SRZ174" s="125"/>
      <c r="SSA174" s="125"/>
      <c r="SSB174" s="125"/>
      <c r="SSC174" s="125"/>
      <c r="SSD174" s="125"/>
      <c r="SSE174" s="125"/>
      <c r="SSF174" s="125"/>
      <c r="SSG174" s="125"/>
      <c r="SSH174" s="125"/>
      <c r="SSI174" s="125"/>
      <c r="SSJ174" s="125"/>
      <c r="SSK174" s="125"/>
      <c r="SSL174" s="125"/>
      <c r="SSM174" s="125"/>
      <c r="SSN174" s="125"/>
      <c r="SSO174" s="125"/>
      <c r="SSP174" s="125"/>
      <c r="SSQ174" s="125"/>
      <c r="SSR174" s="125"/>
      <c r="SSS174" s="125"/>
      <c r="SST174" s="125"/>
      <c r="SSU174" s="125"/>
      <c r="SSV174" s="125"/>
      <c r="SSW174" s="125"/>
      <c r="SSX174" s="125"/>
      <c r="SSY174" s="125"/>
      <c r="SSZ174" s="125"/>
      <c r="STA174" s="125"/>
      <c r="STB174" s="125"/>
      <c r="STC174" s="125"/>
      <c r="STD174" s="125"/>
      <c r="STE174" s="125"/>
      <c r="STF174" s="125"/>
      <c r="STG174" s="125"/>
      <c r="STH174" s="125"/>
      <c r="STI174" s="125"/>
      <c r="STJ174" s="125"/>
      <c r="STK174" s="125"/>
      <c r="STL174" s="125"/>
      <c r="STM174" s="125"/>
      <c r="STN174" s="125"/>
      <c r="STO174" s="125"/>
      <c r="STP174" s="125"/>
      <c r="STQ174" s="125"/>
      <c r="STR174" s="125"/>
      <c r="STS174" s="125"/>
      <c r="STT174" s="125"/>
      <c r="STU174" s="125"/>
      <c r="STV174" s="125"/>
      <c r="STW174" s="125"/>
      <c r="STX174" s="125"/>
      <c r="STY174" s="125"/>
      <c r="STZ174" s="125"/>
      <c r="SUA174" s="125"/>
      <c r="SUB174" s="125"/>
      <c r="SUC174" s="125"/>
      <c r="SUD174" s="125"/>
      <c r="SUE174" s="125"/>
      <c r="SUF174" s="125"/>
      <c r="SUG174" s="125"/>
      <c r="SUH174" s="125"/>
      <c r="SUI174" s="125"/>
      <c r="SUJ174" s="125"/>
      <c r="SUK174" s="125"/>
      <c r="SUL174" s="125"/>
      <c r="SUM174" s="125"/>
      <c r="SUN174" s="125"/>
      <c r="SUO174" s="125"/>
      <c r="SUP174" s="125"/>
      <c r="SUQ174" s="125"/>
      <c r="SUR174" s="125"/>
      <c r="SUS174" s="125"/>
      <c r="SUT174" s="125"/>
      <c r="SUU174" s="125"/>
      <c r="SUV174" s="125"/>
      <c r="SUW174" s="125"/>
      <c r="SUX174" s="125"/>
      <c r="SUY174" s="125"/>
      <c r="SUZ174" s="125"/>
      <c r="SVA174" s="125"/>
      <c r="SVB174" s="125"/>
      <c r="SVC174" s="125"/>
      <c r="SVD174" s="125"/>
      <c r="SVE174" s="125"/>
      <c r="SVF174" s="125"/>
      <c r="SVG174" s="125"/>
      <c r="SVH174" s="125"/>
      <c r="SVI174" s="125"/>
      <c r="SVJ174" s="125"/>
      <c r="SVK174" s="125"/>
      <c r="SVL174" s="125"/>
      <c r="SVM174" s="125"/>
      <c r="SVN174" s="125"/>
      <c r="SVO174" s="125"/>
      <c r="SVP174" s="125"/>
      <c r="SVQ174" s="125"/>
      <c r="SVR174" s="125"/>
      <c r="SVS174" s="125"/>
      <c r="SVT174" s="125"/>
      <c r="SVU174" s="125"/>
      <c r="SVV174" s="125"/>
      <c r="SVW174" s="125"/>
      <c r="SVX174" s="125"/>
      <c r="SVY174" s="125"/>
      <c r="SVZ174" s="125"/>
      <c r="SWA174" s="125"/>
      <c r="SWB174" s="125"/>
      <c r="SWC174" s="125"/>
      <c r="SWD174" s="125"/>
      <c r="SWE174" s="125"/>
      <c r="SWF174" s="125"/>
      <c r="SWG174" s="125"/>
      <c r="SWH174" s="125"/>
      <c r="SWI174" s="125"/>
      <c r="SWJ174" s="125"/>
      <c r="SWK174" s="125"/>
      <c r="SWL174" s="125"/>
      <c r="SWM174" s="125"/>
      <c r="SWN174" s="125"/>
      <c r="SWO174" s="125"/>
      <c r="SWP174" s="125"/>
      <c r="SWQ174" s="125"/>
      <c r="SWR174" s="125"/>
      <c r="SWS174" s="125"/>
      <c r="SWT174" s="125"/>
      <c r="SWU174" s="125"/>
      <c r="SWV174" s="125"/>
      <c r="SWW174" s="125"/>
      <c r="SWX174" s="125"/>
      <c r="SWY174" s="125"/>
      <c r="SWZ174" s="125"/>
      <c r="SXA174" s="125"/>
      <c r="SXB174" s="125"/>
      <c r="SXC174" s="125"/>
      <c r="SXD174" s="125"/>
      <c r="SXE174" s="125"/>
      <c r="SXF174" s="125"/>
      <c r="SXG174" s="125"/>
      <c r="SXH174" s="125"/>
      <c r="SXI174" s="125"/>
      <c r="SXJ174" s="125"/>
      <c r="SXK174" s="125"/>
      <c r="SXL174" s="125"/>
      <c r="SXM174" s="125"/>
      <c r="SXN174" s="125"/>
      <c r="SXO174" s="125"/>
      <c r="SXP174" s="125"/>
      <c r="SXQ174" s="125"/>
      <c r="SXR174" s="125"/>
      <c r="SXS174" s="125"/>
      <c r="SXT174" s="125"/>
      <c r="SXU174" s="125"/>
      <c r="SXV174" s="125"/>
      <c r="SXW174" s="125"/>
      <c r="SXX174" s="125"/>
      <c r="SXY174" s="125"/>
      <c r="SXZ174" s="125"/>
      <c r="SYA174" s="125"/>
      <c r="SYB174" s="125"/>
      <c r="SYC174" s="125"/>
      <c r="SYD174" s="125"/>
      <c r="SYE174" s="125"/>
      <c r="SYF174" s="125"/>
      <c r="SYG174" s="125"/>
      <c r="SYH174" s="125"/>
      <c r="SYI174" s="125"/>
      <c r="SYJ174" s="125"/>
      <c r="SYK174" s="125"/>
      <c r="SYL174" s="125"/>
      <c r="SYM174" s="125"/>
      <c r="SYN174" s="125"/>
      <c r="SYO174" s="125"/>
      <c r="SYP174" s="125"/>
      <c r="SYQ174" s="125"/>
      <c r="SYR174" s="125"/>
      <c r="SYS174" s="125"/>
      <c r="SYT174" s="125"/>
      <c r="SYU174" s="125"/>
      <c r="SYV174" s="125"/>
      <c r="SYW174" s="125"/>
      <c r="SYX174" s="125"/>
      <c r="SYY174" s="125"/>
      <c r="SYZ174" s="125"/>
      <c r="SZA174" s="125"/>
      <c r="SZB174" s="125"/>
      <c r="SZC174" s="125"/>
      <c r="SZD174" s="125"/>
      <c r="SZE174" s="125"/>
      <c r="SZF174" s="125"/>
      <c r="SZG174" s="125"/>
      <c r="SZH174" s="125"/>
      <c r="SZI174" s="125"/>
      <c r="SZJ174" s="125"/>
      <c r="SZK174" s="125"/>
      <c r="SZL174" s="125"/>
      <c r="SZM174" s="125"/>
      <c r="SZN174" s="125"/>
      <c r="SZO174" s="125"/>
      <c r="SZP174" s="125"/>
      <c r="SZQ174" s="125"/>
      <c r="SZR174" s="125"/>
      <c r="SZS174" s="125"/>
      <c r="SZT174" s="125"/>
      <c r="SZU174" s="125"/>
      <c r="SZV174" s="125"/>
      <c r="SZW174" s="125"/>
      <c r="SZX174" s="125"/>
      <c r="SZY174" s="125"/>
      <c r="SZZ174" s="125"/>
      <c r="TAA174" s="125"/>
      <c r="TAB174" s="125"/>
      <c r="TAC174" s="125"/>
      <c r="TAD174" s="125"/>
      <c r="TAE174" s="125"/>
      <c r="TAF174" s="125"/>
      <c r="TAG174" s="125"/>
      <c r="TAH174" s="125"/>
      <c r="TAI174" s="125"/>
      <c r="TAJ174" s="125"/>
      <c r="TAK174" s="125"/>
      <c r="TAL174" s="125"/>
      <c r="TAM174" s="125"/>
      <c r="TAN174" s="125"/>
      <c r="TAO174" s="125"/>
      <c r="TAP174" s="125"/>
      <c r="TAQ174" s="125"/>
      <c r="TAR174" s="125"/>
      <c r="TAS174" s="125"/>
      <c r="TAT174" s="125"/>
      <c r="TAU174" s="125"/>
      <c r="TAV174" s="125"/>
      <c r="TAW174" s="125"/>
      <c r="TAX174" s="125"/>
      <c r="TAY174" s="125"/>
      <c r="TAZ174" s="125"/>
      <c r="TBA174" s="125"/>
      <c r="TBB174" s="125"/>
      <c r="TBC174" s="125"/>
      <c r="TBD174" s="125"/>
      <c r="TBE174" s="125"/>
      <c r="TBF174" s="125"/>
      <c r="TBG174" s="125"/>
      <c r="TBH174" s="125"/>
      <c r="TBI174" s="125"/>
      <c r="TBJ174" s="125"/>
      <c r="TBK174" s="125"/>
      <c r="TBL174" s="125"/>
      <c r="TBM174" s="125"/>
      <c r="TBN174" s="125"/>
      <c r="TBO174" s="125"/>
      <c r="TBP174" s="125"/>
      <c r="TBQ174" s="125"/>
      <c r="TBR174" s="125"/>
      <c r="TBS174" s="125"/>
      <c r="TBT174" s="125"/>
      <c r="TBU174" s="125"/>
      <c r="TBV174" s="125"/>
      <c r="TBW174" s="125"/>
      <c r="TBX174" s="125"/>
      <c r="TBY174" s="125"/>
      <c r="TBZ174" s="125"/>
      <c r="TCA174" s="125"/>
      <c r="TCB174" s="125"/>
      <c r="TCC174" s="125"/>
      <c r="TCD174" s="125"/>
      <c r="TCE174" s="125"/>
      <c r="TCF174" s="125"/>
      <c r="TCG174" s="125"/>
      <c r="TCH174" s="125"/>
      <c r="TCI174" s="125"/>
      <c r="TCJ174" s="125"/>
      <c r="TCK174" s="125"/>
      <c r="TCL174" s="125"/>
      <c r="TCM174" s="125"/>
      <c r="TCN174" s="125"/>
      <c r="TCO174" s="125"/>
      <c r="TCP174" s="125"/>
      <c r="TCQ174" s="125"/>
      <c r="TCR174" s="125"/>
      <c r="TCS174" s="125"/>
      <c r="TCT174" s="125"/>
      <c r="TCU174" s="125"/>
      <c r="TCV174" s="125"/>
      <c r="TCW174" s="125"/>
      <c r="TCX174" s="125"/>
      <c r="TCY174" s="125"/>
      <c r="TCZ174" s="125"/>
      <c r="TDA174" s="125"/>
      <c r="TDB174" s="125"/>
      <c r="TDC174" s="125"/>
      <c r="TDD174" s="125"/>
      <c r="TDE174" s="125"/>
      <c r="TDF174" s="125"/>
      <c r="TDG174" s="125"/>
      <c r="TDH174" s="125"/>
      <c r="TDI174" s="125"/>
      <c r="TDJ174" s="125"/>
      <c r="TDK174" s="125"/>
      <c r="TDL174" s="125"/>
      <c r="TDM174" s="125"/>
      <c r="TDN174" s="125"/>
      <c r="TDO174" s="125"/>
      <c r="TDP174" s="125"/>
      <c r="TDQ174" s="125"/>
      <c r="TDR174" s="125"/>
      <c r="TDS174" s="125"/>
      <c r="TDT174" s="125"/>
      <c r="TDU174" s="125"/>
      <c r="TDV174" s="125"/>
      <c r="TDW174" s="125"/>
      <c r="TDX174" s="125"/>
      <c r="TDY174" s="125"/>
      <c r="TDZ174" s="125"/>
      <c r="TEA174" s="125"/>
      <c r="TEB174" s="125"/>
      <c r="TEC174" s="125"/>
      <c r="TED174" s="125"/>
      <c r="TEE174" s="125"/>
      <c r="TEF174" s="125"/>
      <c r="TEG174" s="125"/>
      <c r="TEH174" s="125"/>
      <c r="TEI174" s="125"/>
      <c r="TEJ174" s="125"/>
      <c r="TEK174" s="125"/>
      <c r="TEL174" s="125"/>
      <c r="TEM174" s="125"/>
      <c r="TEN174" s="125"/>
      <c r="TEO174" s="125"/>
      <c r="TEP174" s="125"/>
      <c r="TEQ174" s="125"/>
      <c r="TER174" s="125"/>
      <c r="TES174" s="125"/>
      <c r="TET174" s="125"/>
      <c r="TEU174" s="125"/>
      <c r="TEV174" s="125"/>
      <c r="TEW174" s="125"/>
      <c r="TEX174" s="125"/>
      <c r="TEY174" s="125"/>
      <c r="TEZ174" s="125"/>
      <c r="TFA174" s="125"/>
      <c r="TFB174" s="125"/>
      <c r="TFC174" s="125"/>
      <c r="TFD174" s="125"/>
      <c r="TFE174" s="125"/>
      <c r="TFF174" s="125"/>
      <c r="TFG174" s="125"/>
      <c r="TFH174" s="125"/>
      <c r="TFI174" s="125"/>
      <c r="TFJ174" s="125"/>
      <c r="TFK174" s="125"/>
      <c r="TFL174" s="125"/>
      <c r="TFM174" s="125"/>
      <c r="TFN174" s="125"/>
      <c r="TFO174" s="125"/>
      <c r="TFP174" s="125"/>
      <c r="TFQ174" s="125"/>
      <c r="TFR174" s="125"/>
      <c r="TFS174" s="125"/>
      <c r="TFT174" s="125"/>
      <c r="TFU174" s="125"/>
      <c r="TFV174" s="125"/>
      <c r="TFW174" s="125"/>
      <c r="TFX174" s="125"/>
      <c r="TFY174" s="125"/>
      <c r="TFZ174" s="125"/>
      <c r="TGA174" s="125"/>
      <c r="TGB174" s="125"/>
      <c r="TGC174" s="125"/>
      <c r="TGD174" s="125"/>
      <c r="TGE174" s="125"/>
      <c r="TGF174" s="125"/>
      <c r="TGG174" s="125"/>
      <c r="TGH174" s="125"/>
      <c r="TGI174" s="125"/>
      <c r="TGJ174" s="125"/>
      <c r="TGK174" s="125"/>
      <c r="TGL174" s="125"/>
      <c r="TGM174" s="125"/>
      <c r="TGN174" s="125"/>
      <c r="TGO174" s="125"/>
      <c r="TGP174" s="125"/>
      <c r="TGQ174" s="125"/>
      <c r="TGR174" s="125"/>
      <c r="TGS174" s="125"/>
      <c r="TGT174" s="125"/>
      <c r="TGU174" s="125"/>
      <c r="TGV174" s="125"/>
      <c r="TGW174" s="125"/>
      <c r="TGX174" s="125"/>
      <c r="TGY174" s="125"/>
      <c r="TGZ174" s="125"/>
      <c r="THA174" s="125"/>
      <c r="THB174" s="125"/>
      <c r="THC174" s="125"/>
      <c r="THD174" s="125"/>
      <c r="THE174" s="125"/>
      <c r="THF174" s="125"/>
      <c r="THG174" s="125"/>
      <c r="THH174" s="125"/>
      <c r="THI174" s="125"/>
      <c r="THJ174" s="125"/>
      <c r="THK174" s="125"/>
      <c r="THL174" s="125"/>
      <c r="THM174" s="125"/>
      <c r="THN174" s="125"/>
      <c r="THO174" s="125"/>
      <c r="THP174" s="125"/>
      <c r="THQ174" s="125"/>
      <c r="THR174" s="125"/>
      <c r="THS174" s="125"/>
      <c r="THT174" s="125"/>
      <c r="THU174" s="125"/>
      <c r="THV174" s="125"/>
      <c r="THW174" s="125"/>
      <c r="THX174" s="125"/>
      <c r="THY174" s="125"/>
      <c r="THZ174" s="125"/>
      <c r="TIA174" s="125"/>
      <c r="TIB174" s="125"/>
      <c r="TIC174" s="125"/>
      <c r="TID174" s="125"/>
      <c r="TIE174" s="125"/>
      <c r="TIF174" s="125"/>
      <c r="TIG174" s="125"/>
      <c r="TIH174" s="125"/>
      <c r="TII174" s="125"/>
      <c r="TIJ174" s="125"/>
      <c r="TIK174" s="125"/>
      <c r="TIL174" s="125"/>
      <c r="TIM174" s="125"/>
      <c r="TIN174" s="125"/>
      <c r="TIO174" s="125"/>
      <c r="TIP174" s="125"/>
      <c r="TIQ174" s="125"/>
      <c r="TIR174" s="125"/>
      <c r="TIS174" s="125"/>
      <c r="TIT174" s="125"/>
      <c r="TIU174" s="125"/>
      <c r="TIV174" s="125"/>
      <c r="TIW174" s="125"/>
      <c r="TIX174" s="125"/>
      <c r="TIY174" s="125"/>
      <c r="TIZ174" s="125"/>
      <c r="TJA174" s="125"/>
      <c r="TJB174" s="125"/>
      <c r="TJC174" s="125"/>
      <c r="TJD174" s="125"/>
      <c r="TJE174" s="125"/>
      <c r="TJF174" s="125"/>
      <c r="TJG174" s="125"/>
      <c r="TJH174" s="125"/>
      <c r="TJI174" s="125"/>
      <c r="TJJ174" s="125"/>
      <c r="TJK174" s="125"/>
      <c r="TJL174" s="125"/>
      <c r="TJM174" s="125"/>
      <c r="TJN174" s="125"/>
      <c r="TJO174" s="125"/>
      <c r="TJP174" s="125"/>
      <c r="TJQ174" s="125"/>
      <c r="TJR174" s="125"/>
      <c r="TJS174" s="125"/>
      <c r="TJT174" s="125"/>
      <c r="TJU174" s="125"/>
      <c r="TJV174" s="125"/>
      <c r="TJW174" s="125"/>
      <c r="TJX174" s="125"/>
      <c r="TJY174" s="125"/>
      <c r="TJZ174" s="125"/>
      <c r="TKA174" s="125"/>
      <c r="TKB174" s="125"/>
      <c r="TKC174" s="125"/>
      <c r="TKD174" s="125"/>
      <c r="TKE174" s="125"/>
      <c r="TKF174" s="125"/>
      <c r="TKG174" s="125"/>
      <c r="TKH174" s="125"/>
      <c r="TKI174" s="125"/>
      <c r="TKJ174" s="125"/>
      <c r="TKK174" s="125"/>
      <c r="TKL174" s="125"/>
      <c r="TKM174" s="125"/>
      <c r="TKN174" s="125"/>
      <c r="TKO174" s="125"/>
      <c r="TKP174" s="125"/>
      <c r="TKQ174" s="125"/>
      <c r="TKR174" s="125"/>
      <c r="TKS174" s="125"/>
      <c r="TKT174" s="125"/>
      <c r="TKU174" s="125"/>
      <c r="TKV174" s="125"/>
      <c r="TKW174" s="125"/>
      <c r="TKX174" s="125"/>
      <c r="TKY174" s="125"/>
      <c r="TKZ174" s="125"/>
      <c r="TLA174" s="125"/>
      <c r="TLB174" s="125"/>
      <c r="TLC174" s="125"/>
      <c r="TLD174" s="125"/>
      <c r="TLE174" s="125"/>
      <c r="TLF174" s="125"/>
      <c r="TLG174" s="125"/>
      <c r="TLH174" s="125"/>
      <c r="TLI174" s="125"/>
      <c r="TLJ174" s="125"/>
      <c r="TLK174" s="125"/>
      <c r="TLL174" s="125"/>
      <c r="TLM174" s="125"/>
      <c r="TLN174" s="125"/>
      <c r="TLO174" s="125"/>
      <c r="TLP174" s="125"/>
      <c r="TLQ174" s="125"/>
      <c r="TLR174" s="125"/>
      <c r="TLS174" s="125"/>
      <c r="TLT174" s="125"/>
      <c r="TLU174" s="125"/>
      <c r="TLV174" s="125"/>
      <c r="TLW174" s="125"/>
      <c r="TLX174" s="125"/>
      <c r="TLY174" s="125"/>
      <c r="TLZ174" s="125"/>
      <c r="TMA174" s="125"/>
      <c r="TMB174" s="125"/>
      <c r="TMC174" s="125"/>
      <c r="TMD174" s="125"/>
      <c r="TME174" s="125"/>
      <c r="TMF174" s="125"/>
      <c r="TMG174" s="125"/>
      <c r="TMH174" s="125"/>
      <c r="TMI174" s="125"/>
      <c r="TMJ174" s="125"/>
      <c r="TMK174" s="125"/>
      <c r="TML174" s="125"/>
      <c r="TMM174" s="125"/>
      <c r="TMN174" s="125"/>
      <c r="TMO174" s="125"/>
      <c r="TMP174" s="125"/>
      <c r="TMQ174" s="125"/>
      <c r="TMR174" s="125"/>
      <c r="TMS174" s="125"/>
      <c r="TMT174" s="125"/>
      <c r="TMU174" s="125"/>
      <c r="TMV174" s="125"/>
      <c r="TMW174" s="125"/>
      <c r="TMX174" s="125"/>
      <c r="TMY174" s="125"/>
      <c r="TMZ174" s="125"/>
      <c r="TNA174" s="125"/>
      <c r="TNB174" s="125"/>
      <c r="TNC174" s="125"/>
      <c r="TND174" s="125"/>
      <c r="TNE174" s="125"/>
      <c r="TNF174" s="125"/>
      <c r="TNG174" s="125"/>
      <c r="TNH174" s="125"/>
      <c r="TNI174" s="125"/>
      <c r="TNJ174" s="125"/>
      <c r="TNK174" s="125"/>
      <c r="TNL174" s="125"/>
      <c r="TNM174" s="125"/>
      <c r="TNN174" s="125"/>
      <c r="TNO174" s="125"/>
      <c r="TNP174" s="125"/>
      <c r="TNQ174" s="125"/>
      <c r="TNR174" s="125"/>
      <c r="TNS174" s="125"/>
      <c r="TNT174" s="125"/>
      <c r="TNU174" s="125"/>
      <c r="TNV174" s="125"/>
      <c r="TNW174" s="125"/>
      <c r="TNX174" s="125"/>
      <c r="TNY174" s="125"/>
      <c r="TNZ174" s="125"/>
      <c r="TOA174" s="125"/>
      <c r="TOB174" s="125"/>
      <c r="TOC174" s="125"/>
      <c r="TOD174" s="125"/>
      <c r="TOE174" s="125"/>
      <c r="TOF174" s="125"/>
      <c r="TOG174" s="125"/>
      <c r="TOH174" s="125"/>
      <c r="TOI174" s="125"/>
      <c r="TOJ174" s="125"/>
      <c r="TOK174" s="125"/>
      <c r="TOL174" s="125"/>
      <c r="TOM174" s="125"/>
      <c r="TON174" s="125"/>
      <c r="TOO174" s="125"/>
      <c r="TOP174" s="125"/>
      <c r="TOQ174" s="125"/>
      <c r="TOR174" s="125"/>
      <c r="TOS174" s="125"/>
      <c r="TOT174" s="125"/>
      <c r="TOU174" s="125"/>
      <c r="TOV174" s="125"/>
      <c r="TOW174" s="125"/>
      <c r="TOX174" s="125"/>
      <c r="TOY174" s="125"/>
      <c r="TOZ174" s="125"/>
      <c r="TPA174" s="125"/>
      <c r="TPB174" s="125"/>
      <c r="TPC174" s="125"/>
      <c r="TPD174" s="125"/>
      <c r="TPE174" s="125"/>
      <c r="TPF174" s="125"/>
      <c r="TPG174" s="125"/>
      <c r="TPH174" s="125"/>
      <c r="TPI174" s="125"/>
      <c r="TPJ174" s="125"/>
      <c r="TPK174" s="125"/>
      <c r="TPL174" s="125"/>
      <c r="TPM174" s="125"/>
      <c r="TPN174" s="125"/>
      <c r="TPO174" s="125"/>
      <c r="TPP174" s="125"/>
      <c r="TPQ174" s="125"/>
      <c r="TPR174" s="125"/>
      <c r="TPS174" s="125"/>
      <c r="TPT174" s="125"/>
      <c r="TPU174" s="125"/>
      <c r="TPV174" s="125"/>
      <c r="TPW174" s="125"/>
      <c r="TPX174" s="125"/>
      <c r="TPY174" s="125"/>
      <c r="TPZ174" s="125"/>
      <c r="TQA174" s="125"/>
      <c r="TQB174" s="125"/>
      <c r="TQC174" s="125"/>
      <c r="TQD174" s="125"/>
      <c r="TQE174" s="125"/>
      <c r="TQF174" s="125"/>
      <c r="TQG174" s="125"/>
      <c r="TQH174" s="125"/>
      <c r="TQI174" s="125"/>
      <c r="TQJ174" s="125"/>
      <c r="TQK174" s="125"/>
      <c r="TQL174" s="125"/>
      <c r="TQM174" s="125"/>
      <c r="TQN174" s="125"/>
      <c r="TQO174" s="125"/>
      <c r="TQP174" s="125"/>
      <c r="TQQ174" s="125"/>
      <c r="TQR174" s="125"/>
      <c r="TQS174" s="125"/>
      <c r="TQT174" s="125"/>
      <c r="TQU174" s="125"/>
      <c r="TQV174" s="125"/>
      <c r="TQW174" s="125"/>
      <c r="TQX174" s="125"/>
      <c r="TQY174" s="125"/>
      <c r="TQZ174" s="125"/>
      <c r="TRA174" s="125"/>
      <c r="TRB174" s="125"/>
      <c r="TRC174" s="125"/>
      <c r="TRD174" s="125"/>
      <c r="TRE174" s="125"/>
      <c r="TRF174" s="125"/>
      <c r="TRG174" s="125"/>
      <c r="TRH174" s="125"/>
      <c r="TRI174" s="125"/>
      <c r="TRJ174" s="125"/>
      <c r="TRK174" s="125"/>
      <c r="TRL174" s="125"/>
      <c r="TRM174" s="125"/>
      <c r="TRN174" s="125"/>
      <c r="TRO174" s="125"/>
      <c r="TRP174" s="125"/>
      <c r="TRQ174" s="125"/>
      <c r="TRR174" s="125"/>
      <c r="TRS174" s="125"/>
      <c r="TRT174" s="125"/>
      <c r="TRU174" s="125"/>
      <c r="TRV174" s="125"/>
      <c r="TRW174" s="125"/>
      <c r="TRX174" s="125"/>
      <c r="TRY174" s="125"/>
      <c r="TRZ174" s="125"/>
      <c r="TSA174" s="125"/>
      <c r="TSB174" s="125"/>
      <c r="TSC174" s="125"/>
      <c r="TSD174" s="125"/>
      <c r="TSE174" s="125"/>
      <c r="TSF174" s="125"/>
      <c r="TSG174" s="125"/>
      <c r="TSH174" s="125"/>
      <c r="TSI174" s="125"/>
      <c r="TSJ174" s="125"/>
      <c r="TSK174" s="125"/>
      <c r="TSL174" s="125"/>
      <c r="TSM174" s="125"/>
      <c r="TSN174" s="125"/>
      <c r="TSO174" s="125"/>
      <c r="TSP174" s="125"/>
      <c r="TSQ174" s="125"/>
      <c r="TSR174" s="125"/>
      <c r="TSS174" s="125"/>
      <c r="TST174" s="125"/>
      <c r="TSU174" s="125"/>
      <c r="TSV174" s="125"/>
      <c r="TSW174" s="125"/>
      <c r="TSX174" s="125"/>
      <c r="TSY174" s="125"/>
      <c r="TSZ174" s="125"/>
      <c r="TTA174" s="125"/>
      <c r="TTB174" s="125"/>
      <c r="TTC174" s="125"/>
      <c r="TTD174" s="125"/>
      <c r="TTE174" s="125"/>
      <c r="TTF174" s="125"/>
      <c r="TTG174" s="125"/>
      <c r="TTH174" s="125"/>
      <c r="TTI174" s="125"/>
      <c r="TTJ174" s="125"/>
      <c r="TTK174" s="125"/>
      <c r="TTL174" s="125"/>
      <c r="TTM174" s="125"/>
      <c r="TTN174" s="125"/>
      <c r="TTO174" s="125"/>
      <c r="TTP174" s="125"/>
      <c r="TTQ174" s="125"/>
      <c r="TTR174" s="125"/>
      <c r="TTS174" s="125"/>
      <c r="TTT174" s="125"/>
      <c r="TTU174" s="125"/>
      <c r="TTV174" s="125"/>
      <c r="TTW174" s="125"/>
      <c r="TTX174" s="125"/>
      <c r="TTY174" s="125"/>
      <c r="TTZ174" s="125"/>
      <c r="TUA174" s="125"/>
      <c r="TUB174" s="125"/>
      <c r="TUC174" s="125"/>
      <c r="TUD174" s="125"/>
      <c r="TUE174" s="125"/>
      <c r="TUF174" s="125"/>
      <c r="TUG174" s="125"/>
      <c r="TUH174" s="125"/>
      <c r="TUI174" s="125"/>
      <c r="TUJ174" s="125"/>
      <c r="TUK174" s="125"/>
      <c r="TUL174" s="125"/>
      <c r="TUM174" s="125"/>
      <c r="TUN174" s="125"/>
      <c r="TUO174" s="125"/>
      <c r="TUP174" s="125"/>
      <c r="TUQ174" s="125"/>
      <c r="TUR174" s="125"/>
      <c r="TUS174" s="125"/>
      <c r="TUT174" s="125"/>
      <c r="TUU174" s="125"/>
      <c r="TUV174" s="125"/>
      <c r="TUW174" s="125"/>
      <c r="TUX174" s="125"/>
      <c r="TUY174" s="125"/>
      <c r="TUZ174" s="125"/>
      <c r="TVA174" s="125"/>
      <c r="TVB174" s="125"/>
      <c r="TVC174" s="125"/>
      <c r="TVD174" s="125"/>
      <c r="TVE174" s="125"/>
      <c r="TVF174" s="125"/>
      <c r="TVG174" s="125"/>
      <c r="TVH174" s="125"/>
      <c r="TVI174" s="125"/>
      <c r="TVJ174" s="125"/>
      <c r="TVK174" s="125"/>
      <c r="TVL174" s="125"/>
      <c r="TVM174" s="125"/>
      <c r="TVN174" s="125"/>
      <c r="TVO174" s="125"/>
      <c r="TVP174" s="125"/>
      <c r="TVQ174" s="125"/>
      <c r="TVR174" s="125"/>
      <c r="TVS174" s="125"/>
      <c r="TVT174" s="125"/>
      <c r="TVU174" s="125"/>
      <c r="TVV174" s="125"/>
      <c r="TVW174" s="125"/>
      <c r="TVX174" s="125"/>
      <c r="TVY174" s="125"/>
      <c r="TVZ174" s="125"/>
      <c r="TWA174" s="125"/>
      <c r="TWB174" s="125"/>
      <c r="TWC174" s="125"/>
      <c r="TWD174" s="125"/>
      <c r="TWE174" s="125"/>
      <c r="TWF174" s="125"/>
      <c r="TWG174" s="125"/>
      <c r="TWH174" s="125"/>
      <c r="TWI174" s="125"/>
      <c r="TWJ174" s="125"/>
      <c r="TWK174" s="125"/>
      <c r="TWL174" s="125"/>
      <c r="TWM174" s="125"/>
      <c r="TWN174" s="125"/>
      <c r="TWO174" s="125"/>
      <c r="TWP174" s="125"/>
      <c r="TWQ174" s="125"/>
      <c r="TWR174" s="125"/>
      <c r="TWS174" s="125"/>
      <c r="TWT174" s="125"/>
      <c r="TWU174" s="125"/>
      <c r="TWV174" s="125"/>
      <c r="TWW174" s="125"/>
      <c r="TWX174" s="125"/>
      <c r="TWY174" s="125"/>
      <c r="TWZ174" s="125"/>
      <c r="TXA174" s="125"/>
      <c r="TXB174" s="125"/>
      <c r="TXC174" s="125"/>
      <c r="TXD174" s="125"/>
      <c r="TXE174" s="125"/>
      <c r="TXF174" s="125"/>
      <c r="TXG174" s="125"/>
      <c r="TXH174" s="125"/>
      <c r="TXI174" s="125"/>
      <c r="TXJ174" s="125"/>
      <c r="TXK174" s="125"/>
      <c r="TXL174" s="125"/>
      <c r="TXM174" s="125"/>
      <c r="TXN174" s="125"/>
      <c r="TXO174" s="125"/>
      <c r="TXP174" s="125"/>
      <c r="TXQ174" s="125"/>
      <c r="TXR174" s="125"/>
      <c r="TXS174" s="125"/>
      <c r="TXT174" s="125"/>
      <c r="TXU174" s="125"/>
      <c r="TXV174" s="125"/>
      <c r="TXW174" s="125"/>
      <c r="TXX174" s="125"/>
      <c r="TXY174" s="125"/>
      <c r="TXZ174" s="125"/>
      <c r="TYA174" s="125"/>
      <c r="TYB174" s="125"/>
      <c r="TYC174" s="125"/>
      <c r="TYD174" s="125"/>
      <c r="TYE174" s="125"/>
      <c r="TYF174" s="125"/>
      <c r="TYG174" s="125"/>
      <c r="TYH174" s="125"/>
      <c r="TYI174" s="125"/>
      <c r="TYJ174" s="125"/>
      <c r="TYK174" s="125"/>
      <c r="TYL174" s="125"/>
      <c r="TYM174" s="125"/>
      <c r="TYN174" s="125"/>
      <c r="TYO174" s="125"/>
      <c r="TYP174" s="125"/>
      <c r="TYQ174" s="125"/>
      <c r="TYR174" s="125"/>
      <c r="TYS174" s="125"/>
      <c r="TYT174" s="125"/>
      <c r="TYU174" s="125"/>
      <c r="TYV174" s="125"/>
      <c r="TYW174" s="125"/>
      <c r="TYX174" s="125"/>
      <c r="TYY174" s="125"/>
      <c r="TYZ174" s="125"/>
      <c r="TZA174" s="125"/>
      <c r="TZB174" s="125"/>
      <c r="TZC174" s="125"/>
      <c r="TZD174" s="125"/>
      <c r="TZE174" s="125"/>
      <c r="TZF174" s="125"/>
      <c r="TZG174" s="125"/>
      <c r="TZH174" s="125"/>
      <c r="TZI174" s="125"/>
      <c r="TZJ174" s="125"/>
      <c r="TZK174" s="125"/>
      <c r="TZL174" s="125"/>
      <c r="TZM174" s="125"/>
      <c r="TZN174" s="125"/>
      <c r="TZO174" s="125"/>
      <c r="TZP174" s="125"/>
      <c r="TZQ174" s="125"/>
      <c r="TZR174" s="125"/>
      <c r="TZS174" s="125"/>
      <c r="TZT174" s="125"/>
      <c r="TZU174" s="125"/>
      <c r="TZV174" s="125"/>
      <c r="TZW174" s="125"/>
      <c r="TZX174" s="125"/>
      <c r="TZY174" s="125"/>
      <c r="TZZ174" s="125"/>
      <c r="UAA174" s="125"/>
      <c r="UAB174" s="125"/>
      <c r="UAC174" s="125"/>
      <c r="UAD174" s="125"/>
      <c r="UAE174" s="125"/>
      <c r="UAF174" s="125"/>
      <c r="UAG174" s="125"/>
      <c r="UAH174" s="125"/>
      <c r="UAI174" s="125"/>
      <c r="UAJ174" s="125"/>
      <c r="UAK174" s="125"/>
      <c r="UAL174" s="125"/>
      <c r="UAM174" s="125"/>
      <c r="UAN174" s="125"/>
      <c r="UAO174" s="125"/>
      <c r="UAP174" s="125"/>
      <c r="UAQ174" s="125"/>
      <c r="UAR174" s="125"/>
      <c r="UAS174" s="125"/>
      <c r="UAT174" s="125"/>
      <c r="UAU174" s="125"/>
      <c r="UAV174" s="125"/>
      <c r="UAW174" s="125"/>
      <c r="UAX174" s="125"/>
      <c r="UAY174" s="125"/>
      <c r="UAZ174" s="125"/>
      <c r="UBA174" s="125"/>
      <c r="UBB174" s="125"/>
      <c r="UBC174" s="125"/>
      <c r="UBD174" s="125"/>
      <c r="UBE174" s="125"/>
      <c r="UBF174" s="125"/>
      <c r="UBG174" s="125"/>
      <c r="UBH174" s="125"/>
      <c r="UBI174" s="125"/>
      <c r="UBJ174" s="125"/>
      <c r="UBK174" s="125"/>
      <c r="UBL174" s="125"/>
      <c r="UBM174" s="125"/>
      <c r="UBN174" s="125"/>
      <c r="UBO174" s="125"/>
      <c r="UBP174" s="125"/>
      <c r="UBQ174" s="125"/>
      <c r="UBR174" s="125"/>
      <c r="UBS174" s="125"/>
      <c r="UBT174" s="125"/>
      <c r="UBU174" s="125"/>
      <c r="UBV174" s="125"/>
      <c r="UBW174" s="125"/>
      <c r="UBX174" s="125"/>
      <c r="UBY174" s="125"/>
      <c r="UBZ174" s="125"/>
      <c r="UCA174" s="125"/>
      <c r="UCB174" s="125"/>
      <c r="UCC174" s="125"/>
      <c r="UCD174" s="125"/>
      <c r="UCE174" s="125"/>
      <c r="UCF174" s="125"/>
      <c r="UCG174" s="125"/>
      <c r="UCH174" s="125"/>
      <c r="UCI174" s="125"/>
      <c r="UCJ174" s="125"/>
      <c r="UCK174" s="125"/>
      <c r="UCL174" s="125"/>
      <c r="UCM174" s="125"/>
      <c r="UCN174" s="125"/>
      <c r="UCO174" s="125"/>
      <c r="UCP174" s="125"/>
      <c r="UCQ174" s="125"/>
      <c r="UCR174" s="125"/>
      <c r="UCS174" s="125"/>
      <c r="UCT174" s="125"/>
      <c r="UCU174" s="125"/>
      <c r="UCV174" s="125"/>
      <c r="UCW174" s="125"/>
      <c r="UCX174" s="125"/>
      <c r="UCY174" s="125"/>
      <c r="UCZ174" s="125"/>
      <c r="UDA174" s="125"/>
      <c r="UDB174" s="125"/>
      <c r="UDC174" s="125"/>
      <c r="UDD174" s="125"/>
      <c r="UDE174" s="125"/>
      <c r="UDF174" s="125"/>
      <c r="UDG174" s="125"/>
      <c r="UDH174" s="125"/>
      <c r="UDI174" s="125"/>
      <c r="UDJ174" s="125"/>
      <c r="UDK174" s="125"/>
      <c r="UDL174" s="125"/>
      <c r="UDM174" s="125"/>
      <c r="UDN174" s="125"/>
      <c r="UDO174" s="125"/>
      <c r="UDP174" s="125"/>
      <c r="UDQ174" s="125"/>
      <c r="UDR174" s="125"/>
      <c r="UDS174" s="125"/>
      <c r="UDT174" s="125"/>
      <c r="UDU174" s="125"/>
      <c r="UDV174" s="125"/>
      <c r="UDW174" s="125"/>
      <c r="UDX174" s="125"/>
      <c r="UDY174" s="125"/>
      <c r="UDZ174" s="125"/>
      <c r="UEA174" s="125"/>
      <c r="UEB174" s="125"/>
      <c r="UEC174" s="125"/>
      <c r="UED174" s="125"/>
      <c r="UEE174" s="125"/>
      <c r="UEF174" s="125"/>
      <c r="UEG174" s="125"/>
      <c r="UEH174" s="125"/>
      <c r="UEI174" s="125"/>
      <c r="UEJ174" s="125"/>
      <c r="UEK174" s="125"/>
      <c r="UEL174" s="125"/>
      <c r="UEM174" s="125"/>
      <c r="UEN174" s="125"/>
      <c r="UEO174" s="125"/>
      <c r="UEP174" s="125"/>
      <c r="UEQ174" s="125"/>
      <c r="UER174" s="125"/>
      <c r="UES174" s="125"/>
      <c r="UET174" s="125"/>
      <c r="UEU174" s="125"/>
      <c r="UEV174" s="125"/>
      <c r="UEW174" s="125"/>
      <c r="UEX174" s="125"/>
      <c r="UEY174" s="125"/>
      <c r="UEZ174" s="125"/>
      <c r="UFA174" s="125"/>
      <c r="UFB174" s="125"/>
      <c r="UFC174" s="125"/>
      <c r="UFD174" s="125"/>
      <c r="UFE174" s="125"/>
      <c r="UFF174" s="125"/>
      <c r="UFG174" s="125"/>
      <c r="UFH174" s="125"/>
      <c r="UFI174" s="125"/>
      <c r="UFJ174" s="125"/>
      <c r="UFK174" s="125"/>
      <c r="UFL174" s="125"/>
      <c r="UFM174" s="125"/>
      <c r="UFN174" s="125"/>
      <c r="UFO174" s="125"/>
      <c r="UFP174" s="125"/>
      <c r="UFQ174" s="125"/>
      <c r="UFR174" s="125"/>
      <c r="UFS174" s="125"/>
      <c r="UFT174" s="125"/>
      <c r="UFU174" s="125"/>
      <c r="UFV174" s="125"/>
      <c r="UFW174" s="125"/>
      <c r="UFX174" s="125"/>
      <c r="UFY174" s="125"/>
      <c r="UFZ174" s="125"/>
      <c r="UGA174" s="125"/>
      <c r="UGB174" s="125"/>
      <c r="UGC174" s="125"/>
      <c r="UGD174" s="125"/>
      <c r="UGE174" s="125"/>
      <c r="UGF174" s="125"/>
      <c r="UGG174" s="125"/>
      <c r="UGH174" s="125"/>
      <c r="UGI174" s="125"/>
      <c r="UGJ174" s="125"/>
      <c r="UGK174" s="125"/>
      <c r="UGL174" s="125"/>
      <c r="UGM174" s="125"/>
      <c r="UGN174" s="125"/>
      <c r="UGO174" s="125"/>
      <c r="UGP174" s="125"/>
      <c r="UGQ174" s="125"/>
      <c r="UGR174" s="125"/>
      <c r="UGS174" s="125"/>
      <c r="UGT174" s="125"/>
      <c r="UGU174" s="125"/>
      <c r="UGV174" s="125"/>
      <c r="UGW174" s="125"/>
      <c r="UGX174" s="125"/>
      <c r="UGY174" s="125"/>
      <c r="UGZ174" s="125"/>
      <c r="UHA174" s="125"/>
      <c r="UHB174" s="125"/>
      <c r="UHC174" s="125"/>
      <c r="UHD174" s="125"/>
      <c r="UHE174" s="125"/>
      <c r="UHF174" s="125"/>
      <c r="UHG174" s="125"/>
      <c r="UHH174" s="125"/>
      <c r="UHI174" s="125"/>
      <c r="UHJ174" s="125"/>
      <c r="UHK174" s="125"/>
      <c r="UHL174" s="125"/>
      <c r="UHM174" s="125"/>
      <c r="UHN174" s="125"/>
      <c r="UHO174" s="125"/>
      <c r="UHP174" s="125"/>
      <c r="UHQ174" s="125"/>
      <c r="UHR174" s="125"/>
      <c r="UHS174" s="125"/>
      <c r="UHT174" s="125"/>
      <c r="UHU174" s="125"/>
      <c r="UHV174" s="125"/>
      <c r="UHW174" s="125"/>
      <c r="UHX174" s="125"/>
      <c r="UHY174" s="125"/>
      <c r="UHZ174" s="125"/>
      <c r="UIA174" s="125"/>
      <c r="UIB174" s="125"/>
      <c r="UIC174" s="125"/>
      <c r="UID174" s="125"/>
      <c r="UIE174" s="125"/>
      <c r="UIF174" s="125"/>
      <c r="UIG174" s="125"/>
      <c r="UIH174" s="125"/>
      <c r="UII174" s="125"/>
      <c r="UIJ174" s="125"/>
      <c r="UIK174" s="125"/>
      <c r="UIL174" s="125"/>
      <c r="UIM174" s="125"/>
      <c r="UIN174" s="125"/>
      <c r="UIO174" s="125"/>
      <c r="UIP174" s="125"/>
      <c r="UIQ174" s="125"/>
      <c r="UIR174" s="125"/>
      <c r="UIS174" s="125"/>
      <c r="UIT174" s="125"/>
      <c r="UIU174" s="125"/>
      <c r="UIV174" s="125"/>
      <c r="UIW174" s="125"/>
      <c r="UIX174" s="125"/>
      <c r="UIY174" s="125"/>
      <c r="UIZ174" s="125"/>
      <c r="UJA174" s="125"/>
      <c r="UJB174" s="125"/>
      <c r="UJC174" s="125"/>
      <c r="UJD174" s="125"/>
      <c r="UJE174" s="125"/>
      <c r="UJF174" s="125"/>
      <c r="UJG174" s="125"/>
      <c r="UJH174" s="125"/>
      <c r="UJI174" s="125"/>
      <c r="UJJ174" s="125"/>
      <c r="UJK174" s="125"/>
      <c r="UJL174" s="125"/>
      <c r="UJM174" s="125"/>
      <c r="UJN174" s="125"/>
      <c r="UJO174" s="125"/>
      <c r="UJP174" s="125"/>
      <c r="UJQ174" s="125"/>
      <c r="UJR174" s="125"/>
      <c r="UJS174" s="125"/>
      <c r="UJT174" s="125"/>
      <c r="UJU174" s="125"/>
      <c r="UJV174" s="125"/>
      <c r="UJW174" s="125"/>
      <c r="UJX174" s="125"/>
      <c r="UJY174" s="125"/>
      <c r="UJZ174" s="125"/>
      <c r="UKA174" s="125"/>
      <c r="UKB174" s="125"/>
      <c r="UKC174" s="125"/>
      <c r="UKD174" s="125"/>
      <c r="UKE174" s="125"/>
      <c r="UKF174" s="125"/>
      <c r="UKG174" s="125"/>
      <c r="UKH174" s="125"/>
      <c r="UKI174" s="125"/>
      <c r="UKJ174" s="125"/>
      <c r="UKK174" s="125"/>
      <c r="UKL174" s="125"/>
      <c r="UKM174" s="125"/>
      <c r="UKN174" s="125"/>
      <c r="UKO174" s="125"/>
      <c r="UKP174" s="125"/>
      <c r="UKQ174" s="125"/>
      <c r="UKR174" s="125"/>
      <c r="UKS174" s="125"/>
      <c r="UKT174" s="125"/>
      <c r="UKU174" s="125"/>
      <c r="UKV174" s="125"/>
      <c r="UKW174" s="125"/>
      <c r="UKX174" s="125"/>
      <c r="UKY174" s="125"/>
      <c r="UKZ174" s="125"/>
      <c r="ULA174" s="125"/>
      <c r="ULB174" s="125"/>
      <c r="ULC174" s="125"/>
      <c r="ULD174" s="125"/>
      <c r="ULE174" s="125"/>
      <c r="ULF174" s="125"/>
      <c r="ULG174" s="125"/>
      <c r="ULH174" s="125"/>
      <c r="ULI174" s="125"/>
      <c r="ULJ174" s="125"/>
      <c r="ULK174" s="125"/>
      <c r="ULL174" s="125"/>
      <c r="ULM174" s="125"/>
      <c r="ULN174" s="125"/>
      <c r="ULO174" s="125"/>
      <c r="ULP174" s="125"/>
      <c r="ULQ174" s="125"/>
      <c r="ULR174" s="125"/>
      <c r="ULS174" s="125"/>
      <c r="ULT174" s="125"/>
      <c r="ULU174" s="125"/>
      <c r="ULV174" s="125"/>
      <c r="ULW174" s="125"/>
      <c r="ULX174" s="125"/>
      <c r="ULY174" s="125"/>
      <c r="ULZ174" s="125"/>
      <c r="UMA174" s="125"/>
      <c r="UMB174" s="125"/>
      <c r="UMC174" s="125"/>
      <c r="UMD174" s="125"/>
      <c r="UME174" s="125"/>
      <c r="UMF174" s="125"/>
      <c r="UMG174" s="125"/>
      <c r="UMH174" s="125"/>
      <c r="UMI174" s="125"/>
      <c r="UMJ174" s="125"/>
      <c r="UMK174" s="125"/>
      <c r="UML174" s="125"/>
      <c r="UMM174" s="125"/>
      <c r="UMN174" s="125"/>
      <c r="UMO174" s="125"/>
      <c r="UMP174" s="125"/>
      <c r="UMQ174" s="125"/>
      <c r="UMR174" s="125"/>
      <c r="UMS174" s="125"/>
      <c r="UMT174" s="125"/>
      <c r="UMU174" s="125"/>
      <c r="UMV174" s="125"/>
      <c r="UMW174" s="125"/>
      <c r="UMX174" s="125"/>
      <c r="UMY174" s="125"/>
      <c r="UMZ174" s="125"/>
      <c r="UNA174" s="125"/>
      <c r="UNB174" s="125"/>
      <c r="UNC174" s="125"/>
      <c r="UND174" s="125"/>
      <c r="UNE174" s="125"/>
      <c r="UNF174" s="125"/>
      <c r="UNG174" s="125"/>
      <c r="UNH174" s="125"/>
      <c r="UNI174" s="125"/>
      <c r="UNJ174" s="125"/>
      <c r="UNK174" s="125"/>
      <c r="UNL174" s="125"/>
      <c r="UNM174" s="125"/>
      <c r="UNN174" s="125"/>
      <c r="UNO174" s="125"/>
      <c r="UNP174" s="125"/>
      <c r="UNQ174" s="125"/>
      <c r="UNR174" s="125"/>
      <c r="UNS174" s="125"/>
      <c r="UNT174" s="125"/>
      <c r="UNU174" s="125"/>
      <c r="UNV174" s="125"/>
      <c r="UNW174" s="125"/>
      <c r="UNX174" s="125"/>
      <c r="UNY174" s="125"/>
      <c r="UNZ174" s="125"/>
      <c r="UOA174" s="125"/>
      <c r="UOB174" s="125"/>
      <c r="UOC174" s="125"/>
      <c r="UOD174" s="125"/>
      <c r="UOE174" s="125"/>
      <c r="UOF174" s="125"/>
      <c r="UOG174" s="125"/>
      <c r="UOH174" s="125"/>
      <c r="UOI174" s="125"/>
      <c r="UOJ174" s="125"/>
      <c r="UOK174" s="125"/>
      <c r="UOL174" s="125"/>
      <c r="UOM174" s="125"/>
      <c r="UON174" s="125"/>
      <c r="UOO174" s="125"/>
      <c r="UOP174" s="125"/>
      <c r="UOQ174" s="125"/>
      <c r="UOR174" s="125"/>
      <c r="UOS174" s="125"/>
      <c r="UOT174" s="125"/>
      <c r="UOU174" s="125"/>
      <c r="UOV174" s="125"/>
      <c r="UOW174" s="125"/>
      <c r="UOX174" s="125"/>
      <c r="UOY174" s="125"/>
      <c r="UOZ174" s="125"/>
      <c r="UPA174" s="125"/>
      <c r="UPB174" s="125"/>
      <c r="UPC174" s="125"/>
      <c r="UPD174" s="125"/>
      <c r="UPE174" s="125"/>
      <c r="UPF174" s="125"/>
      <c r="UPG174" s="125"/>
      <c r="UPH174" s="125"/>
      <c r="UPI174" s="125"/>
      <c r="UPJ174" s="125"/>
      <c r="UPK174" s="125"/>
      <c r="UPL174" s="125"/>
      <c r="UPM174" s="125"/>
      <c r="UPN174" s="125"/>
      <c r="UPO174" s="125"/>
      <c r="UPP174" s="125"/>
      <c r="UPQ174" s="125"/>
      <c r="UPR174" s="125"/>
      <c r="UPS174" s="125"/>
      <c r="UPT174" s="125"/>
      <c r="UPU174" s="125"/>
      <c r="UPV174" s="125"/>
      <c r="UPW174" s="125"/>
      <c r="UPX174" s="125"/>
      <c r="UPY174" s="125"/>
      <c r="UPZ174" s="125"/>
      <c r="UQA174" s="125"/>
      <c r="UQB174" s="125"/>
      <c r="UQC174" s="125"/>
      <c r="UQD174" s="125"/>
      <c r="UQE174" s="125"/>
      <c r="UQF174" s="125"/>
      <c r="UQG174" s="125"/>
      <c r="UQH174" s="125"/>
      <c r="UQI174" s="125"/>
      <c r="UQJ174" s="125"/>
      <c r="UQK174" s="125"/>
      <c r="UQL174" s="125"/>
      <c r="UQM174" s="125"/>
      <c r="UQN174" s="125"/>
      <c r="UQO174" s="125"/>
      <c r="UQP174" s="125"/>
      <c r="UQQ174" s="125"/>
      <c r="UQR174" s="125"/>
      <c r="UQS174" s="125"/>
      <c r="UQT174" s="125"/>
      <c r="UQU174" s="125"/>
      <c r="UQV174" s="125"/>
      <c r="UQW174" s="125"/>
      <c r="UQX174" s="125"/>
      <c r="UQY174" s="125"/>
      <c r="UQZ174" s="125"/>
      <c r="URA174" s="125"/>
      <c r="URB174" s="125"/>
      <c r="URC174" s="125"/>
      <c r="URD174" s="125"/>
      <c r="URE174" s="125"/>
      <c r="URF174" s="125"/>
      <c r="URG174" s="125"/>
      <c r="URH174" s="125"/>
      <c r="URI174" s="125"/>
      <c r="URJ174" s="125"/>
      <c r="URK174" s="125"/>
      <c r="URL174" s="125"/>
      <c r="URM174" s="125"/>
      <c r="URN174" s="125"/>
      <c r="URO174" s="125"/>
      <c r="URP174" s="125"/>
      <c r="URQ174" s="125"/>
      <c r="URR174" s="125"/>
      <c r="URS174" s="125"/>
      <c r="URT174" s="125"/>
      <c r="URU174" s="125"/>
      <c r="URV174" s="125"/>
      <c r="URW174" s="125"/>
      <c r="URX174" s="125"/>
      <c r="URY174" s="125"/>
      <c r="URZ174" s="125"/>
      <c r="USA174" s="125"/>
      <c r="USB174" s="125"/>
      <c r="USC174" s="125"/>
      <c r="USD174" s="125"/>
      <c r="USE174" s="125"/>
      <c r="USF174" s="125"/>
      <c r="USG174" s="125"/>
      <c r="USH174" s="125"/>
      <c r="USI174" s="125"/>
      <c r="USJ174" s="125"/>
      <c r="USK174" s="125"/>
      <c r="USL174" s="125"/>
      <c r="USM174" s="125"/>
      <c r="USN174" s="125"/>
      <c r="USO174" s="125"/>
      <c r="USP174" s="125"/>
      <c r="USQ174" s="125"/>
      <c r="USR174" s="125"/>
      <c r="USS174" s="125"/>
      <c r="UST174" s="125"/>
      <c r="USU174" s="125"/>
      <c r="USV174" s="125"/>
      <c r="USW174" s="125"/>
      <c r="USX174" s="125"/>
      <c r="USY174" s="125"/>
      <c r="USZ174" s="125"/>
      <c r="UTA174" s="125"/>
      <c r="UTB174" s="125"/>
      <c r="UTC174" s="125"/>
      <c r="UTD174" s="125"/>
      <c r="UTE174" s="125"/>
      <c r="UTF174" s="125"/>
      <c r="UTG174" s="125"/>
      <c r="UTH174" s="125"/>
      <c r="UTI174" s="125"/>
      <c r="UTJ174" s="125"/>
      <c r="UTK174" s="125"/>
      <c r="UTL174" s="125"/>
      <c r="UTM174" s="125"/>
      <c r="UTN174" s="125"/>
      <c r="UTO174" s="125"/>
      <c r="UTP174" s="125"/>
      <c r="UTQ174" s="125"/>
      <c r="UTR174" s="125"/>
      <c r="UTS174" s="125"/>
      <c r="UTT174" s="125"/>
      <c r="UTU174" s="125"/>
      <c r="UTV174" s="125"/>
      <c r="UTW174" s="125"/>
      <c r="UTX174" s="125"/>
      <c r="UTY174" s="125"/>
      <c r="UTZ174" s="125"/>
      <c r="UUA174" s="125"/>
      <c r="UUB174" s="125"/>
      <c r="UUC174" s="125"/>
      <c r="UUD174" s="125"/>
      <c r="UUE174" s="125"/>
      <c r="UUF174" s="125"/>
      <c r="UUG174" s="125"/>
      <c r="UUH174" s="125"/>
      <c r="UUI174" s="125"/>
      <c r="UUJ174" s="125"/>
      <c r="UUK174" s="125"/>
      <c r="UUL174" s="125"/>
      <c r="UUM174" s="125"/>
      <c r="UUN174" s="125"/>
      <c r="UUO174" s="125"/>
      <c r="UUP174" s="125"/>
      <c r="UUQ174" s="125"/>
      <c r="UUR174" s="125"/>
      <c r="UUS174" s="125"/>
      <c r="UUT174" s="125"/>
      <c r="UUU174" s="125"/>
      <c r="UUV174" s="125"/>
      <c r="UUW174" s="125"/>
      <c r="UUX174" s="125"/>
      <c r="UUY174" s="125"/>
      <c r="UUZ174" s="125"/>
      <c r="UVA174" s="125"/>
      <c r="UVB174" s="125"/>
      <c r="UVC174" s="125"/>
      <c r="UVD174" s="125"/>
      <c r="UVE174" s="125"/>
      <c r="UVF174" s="125"/>
      <c r="UVG174" s="125"/>
      <c r="UVH174" s="125"/>
      <c r="UVI174" s="125"/>
      <c r="UVJ174" s="125"/>
      <c r="UVK174" s="125"/>
      <c r="UVL174" s="125"/>
      <c r="UVM174" s="125"/>
      <c r="UVN174" s="125"/>
      <c r="UVO174" s="125"/>
      <c r="UVP174" s="125"/>
      <c r="UVQ174" s="125"/>
      <c r="UVR174" s="125"/>
      <c r="UVS174" s="125"/>
      <c r="UVT174" s="125"/>
      <c r="UVU174" s="125"/>
      <c r="UVV174" s="125"/>
      <c r="UVW174" s="125"/>
      <c r="UVX174" s="125"/>
      <c r="UVY174" s="125"/>
      <c r="UVZ174" s="125"/>
      <c r="UWA174" s="125"/>
      <c r="UWB174" s="125"/>
      <c r="UWC174" s="125"/>
      <c r="UWD174" s="125"/>
      <c r="UWE174" s="125"/>
      <c r="UWF174" s="125"/>
      <c r="UWG174" s="125"/>
      <c r="UWH174" s="125"/>
      <c r="UWI174" s="125"/>
      <c r="UWJ174" s="125"/>
      <c r="UWK174" s="125"/>
      <c r="UWL174" s="125"/>
      <c r="UWM174" s="125"/>
      <c r="UWN174" s="125"/>
      <c r="UWO174" s="125"/>
      <c r="UWP174" s="125"/>
      <c r="UWQ174" s="125"/>
      <c r="UWR174" s="125"/>
      <c r="UWS174" s="125"/>
      <c r="UWT174" s="125"/>
      <c r="UWU174" s="125"/>
      <c r="UWV174" s="125"/>
      <c r="UWW174" s="125"/>
      <c r="UWX174" s="125"/>
      <c r="UWY174" s="125"/>
      <c r="UWZ174" s="125"/>
      <c r="UXA174" s="125"/>
      <c r="UXB174" s="125"/>
      <c r="UXC174" s="125"/>
      <c r="UXD174" s="125"/>
      <c r="UXE174" s="125"/>
      <c r="UXF174" s="125"/>
      <c r="UXG174" s="125"/>
      <c r="UXH174" s="125"/>
      <c r="UXI174" s="125"/>
      <c r="UXJ174" s="125"/>
      <c r="UXK174" s="125"/>
      <c r="UXL174" s="125"/>
      <c r="UXM174" s="125"/>
      <c r="UXN174" s="125"/>
      <c r="UXO174" s="125"/>
      <c r="UXP174" s="125"/>
      <c r="UXQ174" s="125"/>
      <c r="UXR174" s="125"/>
      <c r="UXS174" s="125"/>
      <c r="UXT174" s="125"/>
      <c r="UXU174" s="125"/>
      <c r="UXV174" s="125"/>
      <c r="UXW174" s="125"/>
      <c r="UXX174" s="125"/>
      <c r="UXY174" s="125"/>
      <c r="UXZ174" s="125"/>
      <c r="UYA174" s="125"/>
      <c r="UYB174" s="125"/>
      <c r="UYC174" s="125"/>
      <c r="UYD174" s="125"/>
      <c r="UYE174" s="125"/>
      <c r="UYF174" s="125"/>
      <c r="UYG174" s="125"/>
      <c r="UYH174" s="125"/>
      <c r="UYI174" s="125"/>
      <c r="UYJ174" s="125"/>
      <c r="UYK174" s="125"/>
      <c r="UYL174" s="125"/>
      <c r="UYM174" s="125"/>
      <c r="UYN174" s="125"/>
      <c r="UYO174" s="125"/>
      <c r="UYP174" s="125"/>
      <c r="UYQ174" s="125"/>
      <c r="UYR174" s="125"/>
      <c r="UYS174" s="125"/>
      <c r="UYT174" s="125"/>
      <c r="UYU174" s="125"/>
      <c r="UYV174" s="125"/>
      <c r="UYW174" s="125"/>
      <c r="UYX174" s="125"/>
      <c r="UYY174" s="125"/>
      <c r="UYZ174" s="125"/>
      <c r="UZA174" s="125"/>
      <c r="UZB174" s="125"/>
      <c r="UZC174" s="125"/>
      <c r="UZD174" s="125"/>
      <c r="UZE174" s="125"/>
      <c r="UZF174" s="125"/>
      <c r="UZG174" s="125"/>
      <c r="UZH174" s="125"/>
      <c r="UZI174" s="125"/>
      <c r="UZJ174" s="125"/>
      <c r="UZK174" s="125"/>
      <c r="UZL174" s="125"/>
      <c r="UZM174" s="125"/>
      <c r="UZN174" s="125"/>
      <c r="UZO174" s="125"/>
      <c r="UZP174" s="125"/>
      <c r="UZQ174" s="125"/>
      <c r="UZR174" s="125"/>
      <c r="UZS174" s="125"/>
      <c r="UZT174" s="125"/>
      <c r="UZU174" s="125"/>
      <c r="UZV174" s="125"/>
      <c r="UZW174" s="125"/>
      <c r="UZX174" s="125"/>
      <c r="UZY174" s="125"/>
      <c r="UZZ174" s="125"/>
      <c r="VAA174" s="125"/>
      <c r="VAB174" s="125"/>
      <c r="VAC174" s="125"/>
      <c r="VAD174" s="125"/>
      <c r="VAE174" s="125"/>
      <c r="VAF174" s="125"/>
      <c r="VAG174" s="125"/>
      <c r="VAH174" s="125"/>
      <c r="VAI174" s="125"/>
      <c r="VAJ174" s="125"/>
      <c r="VAK174" s="125"/>
      <c r="VAL174" s="125"/>
      <c r="VAM174" s="125"/>
      <c r="VAN174" s="125"/>
      <c r="VAO174" s="125"/>
      <c r="VAP174" s="125"/>
      <c r="VAQ174" s="125"/>
      <c r="VAR174" s="125"/>
      <c r="VAS174" s="125"/>
      <c r="VAT174" s="125"/>
      <c r="VAU174" s="125"/>
      <c r="VAV174" s="125"/>
      <c r="VAW174" s="125"/>
      <c r="VAX174" s="125"/>
      <c r="VAY174" s="125"/>
      <c r="VAZ174" s="125"/>
      <c r="VBA174" s="125"/>
      <c r="VBB174" s="125"/>
      <c r="VBC174" s="125"/>
      <c r="VBD174" s="125"/>
      <c r="VBE174" s="125"/>
      <c r="VBF174" s="125"/>
      <c r="VBG174" s="125"/>
      <c r="VBH174" s="125"/>
      <c r="VBI174" s="125"/>
      <c r="VBJ174" s="125"/>
      <c r="VBK174" s="125"/>
      <c r="VBL174" s="125"/>
      <c r="VBM174" s="125"/>
      <c r="VBN174" s="125"/>
      <c r="VBO174" s="125"/>
      <c r="VBP174" s="125"/>
      <c r="VBQ174" s="125"/>
      <c r="VBR174" s="125"/>
      <c r="VBS174" s="125"/>
      <c r="VBT174" s="125"/>
      <c r="VBU174" s="125"/>
      <c r="VBV174" s="125"/>
      <c r="VBW174" s="125"/>
      <c r="VBX174" s="125"/>
      <c r="VBY174" s="125"/>
      <c r="VBZ174" s="125"/>
      <c r="VCA174" s="125"/>
      <c r="VCB174" s="125"/>
      <c r="VCC174" s="125"/>
      <c r="VCD174" s="125"/>
      <c r="VCE174" s="125"/>
      <c r="VCF174" s="125"/>
      <c r="VCG174" s="125"/>
      <c r="VCH174" s="125"/>
      <c r="VCI174" s="125"/>
      <c r="VCJ174" s="125"/>
      <c r="VCK174" s="125"/>
      <c r="VCL174" s="125"/>
      <c r="VCM174" s="125"/>
      <c r="VCN174" s="125"/>
      <c r="VCO174" s="125"/>
      <c r="VCP174" s="125"/>
      <c r="VCQ174" s="125"/>
      <c r="VCR174" s="125"/>
      <c r="VCS174" s="125"/>
      <c r="VCT174" s="125"/>
      <c r="VCU174" s="125"/>
      <c r="VCV174" s="125"/>
      <c r="VCW174" s="125"/>
      <c r="VCX174" s="125"/>
      <c r="VCY174" s="125"/>
      <c r="VCZ174" s="125"/>
      <c r="VDA174" s="125"/>
      <c r="VDB174" s="125"/>
      <c r="VDC174" s="125"/>
      <c r="VDD174" s="125"/>
      <c r="VDE174" s="125"/>
      <c r="VDF174" s="125"/>
      <c r="VDG174" s="125"/>
      <c r="VDH174" s="125"/>
      <c r="VDI174" s="125"/>
      <c r="VDJ174" s="125"/>
      <c r="VDK174" s="125"/>
      <c r="VDL174" s="125"/>
      <c r="VDM174" s="125"/>
      <c r="VDN174" s="125"/>
      <c r="VDO174" s="125"/>
      <c r="VDP174" s="125"/>
      <c r="VDQ174" s="125"/>
      <c r="VDR174" s="125"/>
      <c r="VDS174" s="125"/>
      <c r="VDT174" s="125"/>
      <c r="VDU174" s="125"/>
      <c r="VDV174" s="125"/>
      <c r="VDW174" s="125"/>
      <c r="VDX174" s="125"/>
      <c r="VDY174" s="125"/>
      <c r="VDZ174" s="125"/>
      <c r="VEA174" s="125"/>
      <c r="VEB174" s="125"/>
      <c r="VEC174" s="125"/>
      <c r="VED174" s="125"/>
      <c r="VEE174" s="125"/>
      <c r="VEF174" s="125"/>
      <c r="VEG174" s="125"/>
      <c r="VEH174" s="125"/>
      <c r="VEI174" s="125"/>
      <c r="VEJ174" s="125"/>
      <c r="VEK174" s="125"/>
      <c r="VEL174" s="125"/>
      <c r="VEM174" s="125"/>
      <c r="VEN174" s="125"/>
      <c r="VEO174" s="125"/>
      <c r="VEP174" s="125"/>
      <c r="VEQ174" s="125"/>
      <c r="VER174" s="125"/>
      <c r="VES174" s="125"/>
      <c r="VET174" s="125"/>
      <c r="VEU174" s="125"/>
      <c r="VEV174" s="125"/>
      <c r="VEW174" s="125"/>
      <c r="VEX174" s="125"/>
      <c r="VEY174" s="125"/>
      <c r="VEZ174" s="125"/>
      <c r="VFA174" s="125"/>
      <c r="VFB174" s="125"/>
      <c r="VFC174" s="125"/>
      <c r="VFD174" s="125"/>
      <c r="VFE174" s="125"/>
      <c r="VFF174" s="125"/>
      <c r="VFG174" s="125"/>
      <c r="VFH174" s="125"/>
      <c r="VFI174" s="125"/>
      <c r="VFJ174" s="125"/>
      <c r="VFK174" s="125"/>
      <c r="VFL174" s="125"/>
      <c r="VFM174" s="125"/>
      <c r="VFN174" s="125"/>
      <c r="VFO174" s="125"/>
      <c r="VFP174" s="125"/>
      <c r="VFQ174" s="125"/>
      <c r="VFR174" s="125"/>
      <c r="VFS174" s="125"/>
      <c r="VFT174" s="125"/>
      <c r="VFU174" s="125"/>
      <c r="VFV174" s="125"/>
      <c r="VFW174" s="125"/>
      <c r="VFX174" s="125"/>
      <c r="VFY174" s="125"/>
      <c r="VFZ174" s="125"/>
      <c r="VGA174" s="125"/>
      <c r="VGB174" s="125"/>
      <c r="VGC174" s="125"/>
      <c r="VGD174" s="125"/>
      <c r="VGE174" s="125"/>
      <c r="VGF174" s="125"/>
      <c r="VGG174" s="125"/>
      <c r="VGH174" s="125"/>
      <c r="VGI174" s="125"/>
      <c r="VGJ174" s="125"/>
      <c r="VGK174" s="125"/>
      <c r="VGL174" s="125"/>
      <c r="VGM174" s="125"/>
      <c r="VGN174" s="125"/>
      <c r="VGO174" s="125"/>
      <c r="VGP174" s="125"/>
      <c r="VGQ174" s="125"/>
      <c r="VGR174" s="125"/>
      <c r="VGS174" s="125"/>
      <c r="VGT174" s="125"/>
      <c r="VGU174" s="125"/>
      <c r="VGV174" s="125"/>
      <c r="VGW174" s="125"/>
      <c r="VGX174" s="125"/>
      <c r="VGY174" s="125"/>
      <c r="VGZ174" s="125"/>
      <c r="VHA174" s="125"/>
      <c r="VHB174" s="125"/>
      <c r="VHC174" s="125"/>
      <c r="VHD174" s="125"/>
      <c r="VHE174" s="125"/>
      <c r="VHF174" s="125"/>
      <c r="VHG174" s="125"/>
      <c r="VHH174" s="125"/>
      <c r="VHI174" s="125"/>
      <c r="VHJ174" s="125"/>
      <c r="VHK174" s="125"/>
      <c r="VHL174" s="125"/>
      <c r="VHM174" s="125"/>
      <c r="VHN174" s="125"/>
      <c r="VHO174" s="125"/>
      <c r="VHP174" s="125"/>
      <c r="VHQ174" s="125"/>
      <c r="VHR174" s="125"/>
      <c r="VHS174" s="125"/>
      <c r="VHT174" s="125"/>
      <c r="VHU174" s="125"/>
      <c r="VHV174" s="125"/>
      <c r="VHW174" s="125"/>
      <c r="VHX174" s="125"/>
      <c r="VHY174" s="125"/>
      <c r="VHZ174" s="125"/>
      <c r="VIA174" s="125"/>
      <c r="VIB174" s="125"/>
      <c r="VIC174" s="125"/>
      <c r="VID174" s="125"/>
      <c r="VIE174" s="125"/>
      <c r="VIF174" s="125"/>
      <c r="VIG174" s="125"/>
      <c r="VIH174" s="125"/>
      <c r="VII174" s="125"/>
      <c r="VIJ174" s="125"/>
      <c r="VIK174" s="125"/>
      <c r="VIL174" s="125"/>
      <c r="VIM174" s="125"/>
      <c r="VIN174" s="125"/>
      <c r="VIO174" s="125"/>
      <c r="VIP174" s="125"/>
      <c r="VIQ174" s="125"/>
      <c r="VIR174" s="125"/>
      <c r="VIS174" s="125"/>
      <c r="VIT174" s="125"/>
      <c r="VIU174" s="125"/>
      <c r="VIV174" s="125"/>
      <c r="VIW174" s="125"/>
      <c r="VIX174" s="125"/>
      <c r="VIY174" s="125"/>
      <c r="VIZ174" s="125"/>
      <c r="VJA174" s="125"/>
      <c r="VJB174" s="125"/>
      <c r="VJC174" s="125"/>
      <c r="VJD174" s="125"/>
      <c r="VJE174" s="125"/>
      <c r="VJF174" s="125"/>
      <c r="VJG174" s="125"/>
      <c r="VJH174" s="125"/>
      <c r="VJI174" s="125"/>
      <c r="VJJ174" s="125"/>
      <c r="VJK174" s="125"/>
      <c r="VJL174" s="125"/>
      <c r="VJM174" s="125"/>
      <c r="VJN174" s="125"/>
      <c r="VJO174" s="125"/>
      <c r="VJP174" s="125"/>
      <c r="VJQ174" s="125"/>
      <c r="VJR174" s="125"/>
      <c r="VJS174" s="125"/>
      <c r="VJT174" s="125"/>
      <c r="VJU174" s="125"/>
      <c r="VJV174" s="125"/>
      <c r="VJW174" s="125"/>
      <c r="VJX174" s="125"/>
      <c r="VJY174" s="125"/>
      <c r="VJZ174" s="125"/>
      <c r="VKA174" s="125"/>
      <c r="VKB174" s="125"/>
      <c r="VKC174" s="125"/>
      <c r="VKD174" s="125"/>
      <c r="VKE174" s="125"/>
      <c r="VKF174" s="125"/>
      <c r="VKG174" s="125"/>
      <c r="VKH174" s="125"/>
      <c r="VKI174" s="125"/>
      <c r="VKJ174" s="125"/>
      <c r="VKK174" s="125"/>
      <c r="VKL174" s="125"/>
      <c r="VKM174" s="125"/>
      <c r="VKN174" s="125"/>
      <c r="VKO174" s="125"/>
      <c r="VKP174" s="125"/>
      <c r="VKQ174" s="125"/>
      <c r="VKR174" s="125"/>
      <c r="VKS174" s="125"/>
      <c r="VKT174" s="125"/>
      <c r="VKU174" s="125"/>
      <c r="VKV174" s="125"/>
      <c r="VKW174" s="125"/>
      <c r="VKX174" s="125"/>
      <c r="VKY174" s="125"/>
      <c r="VKZ174" s="125"/>
      <c r="VLA174" s="125"/>
      <c r="VLB174" s="125"/>
      <c r="VLC174" s="125"/>
      <c r="VLD174" s="125"/>
      <c r="VLE174" s="125"/>
      <c r="VLF174" s="125"/>
      <c r="VLG174" s="125"/>
      <c r="VLH174" s="125"/>
      <c r="VLI174" s="125"/>
      <c r="VLJ174" s="125"/>
      <c r="VLK174" s="125"/>
      <c r="VLL174" s="125"/>
      <c r="VLM174" s="125"/>
      <c r="VLN174" s="125"/>
      <c r="VLO174" s="125"/>
      <c r="VLP174" s="125"/>
      <c r="VLQ174" s="125"/>
      <c r="VLR174" s="125"/>
      <c r="VLS174" s="125"/>
      <c r="VLT174" s="125"/>
      <c r="VLU174" s="125"/>
      <c r="VLV174" s="125"/>
      <c r="VLW174" s="125"/>
      <c r="VLX174" s="125"/>
      <c r="VLY174" s="125"/>
      <c r="VLZ174" s="125"/>
      <c r="VMA174" s="125"/>
      <c r="VMB174" s="125"/>
      <c r="VMC174" s="125"/>
      <c r="VMD174" s="125"/>
      <c r="VME174" s="125"/>
      <c r="VMF174" s="125"/>
      <c r="VMG174" s="125"/>
      <c r="VMH174" s="125"/>
      <c r="VMI174" s="125"/>
      <c r="VMJ174" s="125"/>
      <c r="VMK174" s="125"/>
      <c r="VML174" s="125"/>
      <c r="VMM174" s="125"/>
      <c r="VMN174" s="125"/>
      <c r="VMO174" s="125"/>
      <c r="VMP174" s="125"/>
      <c r="VMQ174" s="125"/>
      <c r="VMR174" s="125"/>
      <c r="VMS174" s="125"/>
      <c r="VMT174" s="125"/>
      <c r="VMU174" s="125"/>
      <c r="VMV174" s="125"/>
      <c r="VMW174" s="125"/>
      <c r="VMX174" s="125"/>
      <c r="VMY174" s="125"/>
      <c r="VMZ174" s="125"/>
      <c r="VNA174" s="125"/>
      <c r="VNB174" s="125"/>
      <c r="VNC174" s="125"/>
      <c r="VND174" s="125"/>
      <c r="VNE174" s="125"/>
      <c r="VNF174" s="125"/>
      <c r="VNG174" s="125"/>
      <c r="VNH174" s="125"/>
      <c r="VNI174" s="125"/>
      <c r="VNJ174" s="125"/>
      <c r="VNK174" s="125"/>
      <c r="VNL174" s="125"/>
      <c r="VNM174" s="125"/>
      <c r="VNN174" s="125"/>
      <c r="VNO174" s="125"/>
      <c r="VNP174" s="125"/>
      <c r="VNQ174" s="125"/>
      <c r="VNR174" s="125"/>
      <c r="VNS174" s="125"/>
      <c r="VNT174" s="125"/>
      <c r="VNU174" s="125"/>
      <c r="VNV174" s="125"/>
      <c r="VNW174" s="125"/>
      <c r="VNX174" s="125"/>
      <c r="VNY174" s="125"/>
      <c r="VNZ174" s="125"/>
      <c r="VOA174" s="125"/>
      <c r="VOB174" s="125"/>
      <c r="VOC174" s="125"/>
      <c r="VOD174" s="125"/>
      <c r="VOE174" s="125"/>
      <c r="VOF174" s="125"/>
      <c r="VOG174" s="125"/>
      <c r="VOH174" s="125"/>
      <c r="VOI174" s="125"/>
      <c r="VOJ174" s="125"/>
      <c r="VOK174" s="125"/>
      <c r="VOL174" s="125"/>
      <c r="VOM174" s="125"/>
      <c r="VON174" s="125"/>
      <c r="VOO174" s="125"/>
      <c r="VOP174" s="125"/>
      <c r="VOQ174" s="125"/>
      <c r="VOR174" s="125"/>
      <c r="VOS174" s="125"/>
      <c r="VOT174" s="125"/>
      <c r="VOU174" s="125"/>
      <c r="VOV174" s="125"/>
      <c r="VOW174" s="125"/>
      <c r="VOX174" s="125"/>
      <c r="VOY174" s="125"/>
      <c r="VOZ174" s="125"/>
      <c r="VPA174" s="125"/>
      <c r="VPB174" s="125"/>
      <c r="VPC174" s="125"/>
      <c r="VPD174" s="125"/>
      <c r="VPE174" s="125"/>
      <c r="VPF174" s="125"/>
      <c r="VPG174" s="125"/>
      <c r="VPH174" s="125"/>
      <c r="VPI174" s="125"/>
      <c r="VPJ174" s="125"/>
      <c r="VPK174" s="125"/>
      <c r="VPL174" s="125"/>
      <c r="VPM174" s="125"/>
      <c r="VPN174" s="125"/>
      <c r="VPO174" s="125"/>
      <c r="VPP174" s="125"/>
      <c r="VPQ174" s="125"/>
      <c r="VPR174" s="125"/>
      <c r="VPS174" s="125"/>
      <c r="VPT174" s="125"/>
      <c r="VPU174" s="125"/>
      <c r="VPV174" s="125"/>
      <c r="VPW174" s="125"/>
      <c r="VPX174" s="125"/>
      <c r="VPY174" s="125"/>
      <c r="VPZ174" s="125"/>
      <c r="VQA174" s="125"/>
      <c r="VQB174" s="125"/>
      <c r="VQC174" s="125"/>
      <c r="VQD174" s="125"/>
      <c r="VQE174" s="125"/>
      <c r="VQF174" s="125"/>
      <c r="VQG174" s="125"/>
      <c r="VQH174" s="125"/>
      <c r="VQI174" s="125"/>
      <c r="VQJ174" s="125"/>
      <c r="VQK174" s="125"/>
      <c r="VQL174" s="125"/>
      <c r="VQM174" s="125"/>
      <c r="VQN174" s="125"/>
      <c r="VQO174" s="125"/>
      <c r="VQP174" s="125"/>
      <c r="VQQ174" s="125"/>
      <c r="VQR174" s="125"/>
      <c r="VQS174" s="125"/>
      <c r="VQT174" s="125"/>
      <c r="VQU174" s="125"/>
      <c r="VQV174" s="125"/>
      <c r="VQW174" s="125"/>
      <c r="VQX174" s="125"/>
      <c r="VQY174" s="125"/>
      <c r="VQZ174" s="125"/>
      <c r="VRA174" s="125"/>
      <c r="VRB174" s="125"/>
      <c r="VRC174" s="125"/>
      <c r="VRD174" s="125"/>
      <c r="VRE174" s="125"/>
      <c r="VRF174" s="125"/>
      <c r="VRG174" s="125"/>
      <c r="VRH174" s="125"/>
      <c r="VRI174" s="125"/>
      <c r="VRJ174" s="125"/>
      <c r="VRK174" s="125"/>
      <c r="VRL174" s="125"/>
      <c r="VRM174" s="125"/>
      <c r="VRN174" s="125"/>
      <c r="VRO174" s="125"/>
      <c r="VRP174" s="125"/>
      <c r="VRQ174" s="125"/>
      <c r="VRR174" s="125"/>
      <c r="VRS174" s="125"/>
      <c r="VRT174" s="125"/>
      <c r="VRU174" s="125"/>
      <c r="VRV174" s="125"/>
      <c r="VRW174" s="125"/>
      <c r="VRX174" s="125"/>
      <c r="VRY174" s="125"/>
      <c r="VRZ174" s="125"/>
      <c r="VSA174" s="125"/>
      <c r="VSB174" s="125"/>
      <c r="VSC174" s="125"/>
      <c r="VSD174" s="125"/>
      <c r="VSE174" s="125"/>
      <c r="VSF174" s="125"/>
      <c r="VSG174" s="125"/>
      <c r="VSH174" s="125"/>
      <c r="VSI174" s="125"/>
      <c r="VSJ174" s="125"/>
      <c r="VSK174" s="125"/>
      <c r="VSL174" s="125"/>
      <c r="VSM174" s="125"/>
      <c r="VSN174" s="125"/>
      <c r="VSO174" s="125"/>
      <c r="VSP174" s="125"/>
      <c r="VSQ174" s="125"/>
      <c r="VSR174" s="125"/>
      <c r="VSS174" s="125"/>
      <c r="VST174" s="125"/>
      <c r="VSU174" s="125"/>
      <c r="VSV174" s="125"/>
      <c r="VSW174" s="125"/>
      <c r="VSX174" s="125"/>
      <c r="VSY174" s="125"/>
      <c r="VSZ174" s="125"/>
      <c r="VTA174" s="125"/>
      <c r="VTB174" s="125"/>
      <c r="VTC174" s="125"/>
      <c r="VTD174" s="125"/>
      <c r="VTE174" s="125"/>
      <c r="VTF174" s="125"/>
      <c r="VTG174" s="125"/>
      <c r="VTH174" s="125"/>
      <c r="VTI174" s="125"/>
      <c r="VTJ174" s="125"/>
      <c r="VTK174" s="125"/>
      <c r="VTL174" s="125"/>
      <c r="VTM174" s="125"/>
      <c r="VTN174" s="125"/>
      <c r="VTO174" s="125"/>
      <c r="VTP174" s="125"/>
      <c r="VTQ174" s="125"/>
      <c r="VTR174" s="125"/>
      <c r="VTS174" s="125"/>
      <c r="VTT174" s="125"/>
      <c r="VTU174" s="125"/>
      <c r="VTV174" s="125"/>
      <c r="VTW174" s="125"/>
      <c r="VTX174" s="125"/>
      <c r="VTY174" s="125"/>
      <c r="VTZ174" s="125"/>
      <c r="VUA174" s="125"/>
      <c r="VUB174" s="125"/>
      <c r="VUC174" s="125"/>
      <c r="VUD174" s="125"/>
      <c r="VUE174" s="125"/>
      <c r="VUF174" s="125"/>
      <c r="VUG174" s="125"/>
      <c r="VUH174" s="125"/>
      <c r="VUI174" s="125"/>
      <c r="VUJ174" s="125"/>
      <c r="VUK174" s="125"/>
      <c r="VUL174" s="125"/>
      <c r="VUM174" s="125"/>
      <c r="VUN174" s="125"/>
      <c r="VUO174" s="125"/>
      <c r="VUP174" s="125"/>
      <c r="VUQ174" s="125"/>
      <c r="VUR174" s="125"/>
      <c r="VUS174" s="125"/>
      <c r="VUT174" s="125"/>
      <c r="VUU174" s="125"/>
      <c r="VUV174" s="125"/>
      <c r="VUW174" s="125"/>
      <c r="VUX174" s="125"/>
      <c r="VUY174" s="125"/>
      <c r="VUZ174" s="125"/>
      <c r="VVA174" s="125"/>
      <c r="VVB174" s="125"/>
      <c r="VVC174" s="125"/>
      <c r="VVD174" s="125"/>
      <c r="VVE174" s="125"/>
      <c r="VVF174" s="125"/>
      <c r="VVG174" s="125"/>
      <c r="VVH174" s="125"/>
      <c r="VVI174" s="125"/>
      <c r="VVJ174" s="125"/>
      <c r="VVK174" s="125"/>
      <c r="VVL174" s="125"/>
      <c r="VVM174" s="125"/>
      <c r="VVN174" s="125"/>
      <c r="VVO174" s="125"/>
      <c r="VVP174" s="125"/>
      <c r="VVQ174" s="125"/>
      <c r="VVR174" s="125"/>
      <c r="VVS174" s="125"/>
      <c r="VVT174" s="125"/>
      <c r="VVU174" s="125"/>
      <c r="VVV174" s="125"/>
      <c r="VVW174" s="125"/>
      <c r="VVX174" s="125"/>
      <c r="VVY174" s="125"/>
      <c r="VVZ174" s="125"/>
      <c r="VWA174" s="125"/>
      <c r="VWB174" s="125"/>
      <c r="VWC174" s="125"/>
      <c r="VWD174" s="125"/>
      <c r="VWE174" s="125"/>
      <c r="VWF174" s="125"/>
      <c r="VWG174" s="125"/>
      <c r="VWH174" s="125"/>
      <c r="VWI174" s="125"/>
      <c r="VWJ174" s="125"/>
      <c r="VWK174" s="125"/>
      <c r="VWL174" s="125"/>
      <c r="VWM174" s="125"/>
      <c r="VWN174" s="125"/>
      <c r="VWO174" s="125"/>
      <c r="VWP174" s="125"/>
      <c r="VWQ174" s="125"/>
      <c r="VWR174" s="125"/>
      <c r="VWS174" s="125"/>
      <c r="VWT174" s="125"/>
      <c r="VWU174" s="125"/>
      <c r="VWV174" s="125"/>
      <c r="VWW174" s="125"/>
      <c r="VWX174" s="125"/>
      <c r="VWY174" s="125"/>
      <c r="VWZ174" s="125"/>
      <c r="VXA174" s="125"/>
      <c r="VXB174" s="125"/>
      <c r="VXC174" s="125"/>
      <c r="VXD174" s="125"/>
      <c r="VXE174" s="125"/>
      <c r="VXF174" s="125"/>
      <c r="VXG174" s="125"/>
      <c r="VXH174" s="125"/>
      <c r="VXI174" s="125"/>
      <c r="VXJ174" s="125"/>
      <c r="VXK174" s="125"/>
      <c r="VXL174" s="125"/>
      <c r="VXM174" s="125"/>
      <c r="VXN174" s="125"/>
      <c r="VXO174" s="125"/>
      <c r="VXP174" s="125"/>
      <c r="VXQ174" s="125"/>
      <c r="VXR174" s="125"/>
      <c r="VXS174" s="125"/>
      <c r="VXT174" s="125"/>
      <c r="VXU174" s="125"/>
      <c r="VXV174" s="125"/>
      <c r="VXW174" s="125"/>
      <c r="VXX174" s="125"/>
      <c r="VXY174" s="125"/>
      <c r="VXZ174" s="125"/>
      <c r="VYA174" s="125"/>
      <c r="VYB174" s="125"/>
      <c r="VYC174" s="125"/>
      <c r="VYD174" s="125"/>
      <c r="VYE174" s="125"/>
      <c r="VYF174" s="125"/>
      <c r="VYG174" s="125"/>
      <c r="VYH174" s="125"/>
      <c r="VYI174" s="125"/>
      <c r="VYJ174" s="125"/>
      <c r="VYK174" s="125"/>
      <c r="VYL174" s="125"/>
      <c r="VYM174" s="125"/>
      <c r="VYN174" s="125"/>
      <c r="VYO174" s="125"/>
      <c r="VYP174" s="125"/>
      <c r="VYQ174" s="125"/>
      <c r="VYR174" s="125"/>
      <c r="VYS174" s="125"/>
      <c r="VYT174" s="125"/>
      <c r="VYU174" s="125"/>
      <c r="VYV174" s="125"/>
      <c r="VYW174" s="125"/>
      <c r="VYX174" s="125"/>
      <c r="VYY174" s="125"/>
      <c r="VYZ174" s="125"/>
      <c r="VZA174" s="125"/>
      <c r="VZB174" s="125"/>
      <c r="VZC174" s="125"/>
      <c r="VZD174" s="125"/>
      <c r="VZE174" s="125"/>
      <c r="VZF174" s="125"/>
      <c r="VZG174" s="125"/>
      <c r="VZH174" s="125"/>
      <c r="VZI174" s="125"/>
      <c r="VZJ174" s="125"/>
      <c r="VZK174" s="125"/>
      <c r="VZL174" s="125"/>
      <c r="VZM174" s="125"/>
      <c r="VZN174" s="125"/>
      <c r="VZO174" s="125"/>
      <c r="VZP174" s="125"/>
      <c r="VZQ174" s="125"/>
      <c r="VZR174" s="125"/>
      <c r="VZS174" s="125"/>
      <c r="VZT174" s="125"/>
      <c r="VZU174" s="125"/>
      <c r="VZV174" s="125"/>
      <c r="VZW174" s="125"/>
      <c r="VZX174" s="125"/>
      <c r="VZY174" s="125"/>
      <c r="VZZ174" s="125"/>
      <c r="WAA174" s="125"/>
      <c r="WAB174" s="125"/>
      <c r="WAC174" s="125"/>
      <c r="WAD174" s="125"/>
      <c r="WAE174" s="125"/>
      <c r="WAF174" s="125"/>
      <c r="WAG174" s="125"/>
      <c r="WAH174" s="125"/>
      <c r="WAI174" s="125"/>
      <c r="WAJ174" s="125"/>
      <c r="WAK174" s="125"/>
      <c r="WAL174" s="125"/>
      <c r="WAM174" s="125"/>
      <c r="WAN174" s="125"/>
      <c r="WAO174" s="125"/>
      <c r="WAP174" s="125"/>
      <c r="WAQ174" s="125"/>
      <c r="WAR174" s="125"/>
      <c r="WAS174" s="125"/>
      <c r="WAT174" s="125"/>
      <c r="WAU174" s="125"/>
      <c r="WAV174" s="125"/>
      <c r="WAW174" s="125"/>
      <c r="WAX174" s="125"/>
      <c r="WAY174" s="125"/>
      <c r="WAZ174" s="125"/>
      <c r="WBA174" s="125"/>
      <c r="WBB174" s="125"/>
      <c r="WBC174" s="125"/>
      <c r="WBD174" s="125"/>
      <c r="WBE174" s="125"/>
      <c r="WBF174" s="125"/>
      <c r="WBG174" s="125"/>
      <c r="WBH174" s="125"/>
      <c r="WBI174" s="125"/>
      <c r="WBJ174" s="125"/>
      <c r="WBK174" s="125"/>
      <c r="WBL174" s="125"/>
      <c r="WBM174" s="125"/>
      <c r="WBN174" s="125"/>
      <c r="WBO174" s="125"/>
      <c r="WBP174" s="125"/>
      <c r="WBQ174" s="125"/>
      <c r="WBR174" s="125"/>
      <c r="WBS174" s="125"/>
      <c r="WBT174" s="125"/>
      <c r="WBU174" s="125"/>
      <c r="WBV174" s="125"/>
      <c r="WBW174" s="125"/>
      <c r="WBX174" s="125"/>
      <c r="WBY174" s="125"/>
      <c r="WBZ174" s="125"/>
      <c r="WCA174" s="125"/>
      <c r="WCB174" s="125"/>
      <c r="WCC174" s="125"/>
      <c r="WCD174" s="125"/>
      <c r="WCE174" s="125"/>
      <c r="WCF174" s="125"/>
      <c r="WCG174" s="125"/>
      <c r="WCH174" s="125"/>
      <c r="WCI174" s="125"/>
      <c r="WCJ174" s="125"/>
      <c r="WCK174" s="125"/>
      <c r="WCL174" s="125"/>
      <c r="WCM174" s="125"/>
      <c r="WCN174" s="125"/>
      <c r="WCO174" s="125"/>
      <c r="WCP174" s="125"/>
      <c r="WCQ174" s="125"/>
      <c r="WCR174" s="125"/>
      <c r="WCS174" s="125"/>
      <c r="WCT174" s="125"/>
      <c r="WCU174" s="125"/>
      <c r="WCV174" s="125"/>
      <c r="WCW174" s="125"/>
      <c r="WCX174" s="125"/>
      <c r="WCY174" s="125"/>
      <c r="WCZ174" s="125"/>
      <c r="WDA174" s="125"/>
      <c r="WDB174" s="125"/>
      <c r="WDC174" s="125"/>
      <c r="WDD174" s="125"/>
      <c r="WDE174" s="125"/>
      <c r="WDF174" s="125"/>
      <c r="WDG174" s="125"/>
      <c r="WDH174" s="125"/>
      <c r="WDI174" s="125"/>
      <c r="WDJ174" s="125"/>
      <c r="WDK174" s="125"/>
      <c r="WDL174" s="125"/>
      <c r="WDM174" s="125"/>
      <c r="WDN174" s="125"/>
      <c r="WDO174" s="125"/>
      <c r="WDP174" s="125"/>
      <c r="WDQ174" s="125"/>
      <c r="WDR174" s="125"/>
      <c r="WDS174" s="125"/>
      <c r="WDT174" s="125"/>
      <c r="WDU174" s="125"/>
      <c r="WDV174" s="125"/>
      <c r="WDW174" s="125"/>
      <c r="WDX174" s="125"/>
      <c r="WDY174" s="125"/>
      <c r="WDZ174" s="125"/>
      <c r="WEA174" s="125"/>
      <c r="WEB174" s="125"/>
      <c r="WEC174" s="125"/>
      <c r="WED174" s="125"/>
      <c r="WEE174" s="125"/>
      <c r="WEF174" s="125"/>
      <c r="WEG174" s="125"/>
      <c r="WEH174" s="125"/>
      <c r="WEI174" s="125"/>
      <c r="WEJ174" s="125"/>
      <c r="WEK174" s="125"/>
      <c r="WEL174" s="125"/>
      <c r="WEM174" s="125"/>
      <c r="WEN174" s="125"/>
      <c r="WEO174" s="125"/>
      <c r="WEP174" s="125"/>
      <c r="WEQ174" s="125"/>
      <c r="WER174" s="125"/>
      <c r="WES174" s="125"/>
      <c r="WET174" s="125"/>
      <c r="WEU174" s="125"/>
      <c r="WEV174" s="125"/>
      <c r="WEW174" s="125"/>
      <c r="WEX174" s="125"/>
      <c r="WEY174" s="125"/>
      <c r="WEZ174" s="125"/>
      <c r="WFA174" s="125"/>
      <c r="WFB174" s="125"/>
      <c r="WFC174" s="125"/>
      <c r="WFD174" s="125"/>
      <c r="WFE174" s="125"/>
      <c r="WFF174" s="125"/>
      <c r="WFG174" s="125"/>
      <c r="WFH174" s="125"/>
      <c r="WFI174" s="125"/>
      <c r="WFJ174" s="125"/>
      <c r="WFK174" s="125"/>
      <c r="WFL174" s="125"/>
      <c r="WFM174" s="125"/>
      <c r="WFN174" s="125"/>
      <c r="WFO174" s="125"/>
      <c r="WFP174" s="125"/>
      <c r="WFQ174" s="125"/>
      <c r="WFR174" s="125"/>
      <c r="WFS174" s="125"/>
      <c r="WFT174" s="125"/>
      <c r="WFU174" s="125"/>
      <c r="WFV174" s="125"/>
      <c r="WFW174" s="125"/>
      <c r="WFX174" s="125"/>
      <c r="WFY174" s="125"/>
      <c r="WFZ174" s="125"/>
      <c r="WGA174" s="125"/>
      <c r="WGB174" s="125"/>
      <c r="WGC174" s="125"/>
      <c r="WGD174" s="125"/>
      <c r="WGE174" s="125"/>
      <c r="WGF174" s="125"/>
      <c r="WGG174" s="125"/>
      <c r="WGH174" s="125"/>
      <c r="WGI174" s="125"/>
      <c r="WGJ174" s="125"/>
      <c r="WGK174" s="125"/>
      <c r="WGL174" s="125"/>
      <c r="WGM174" s="125"/>
      <c r="WGN174" s="125"/>
      <c r="WGO174" s="125"/>
      <c r="WGP174" s="125"/>
      <c r="WGQ174" s="125"/>
      <c r="WGR174" s="125"/>
      <c r="WGS174" s="125"/>
      <c r="WGT174" s="125"/>
      <c r="WGU174" s="125"/>
      <c r="WGV174" s="125"/>
      <c r="WGW174" s="125"/>
      <c r="WGX174" s="125"/>
      <c r="WGY174" s="125"/>
      <c r="WGZ174" s="125"/>
      <c r="WHA174" s="125"/>
      <c r="WHB174" s="125"/>
      <c r="WHC174" s="125"/>
      <c r="WHD174" s="125"/>
      <c r="WHE174" s="125"/>
      <c r="WHF174" s="125"/>
      <c r="WHG174" s="125"/>
      <c r="WHH174" s="125"/>
      <c r="WHI174" s="125"/>
      <c r="WHJ174" s="125"/>
      <c r="WHK174" s="125"/>
      <c r="WHL174" s="125"/>
      <c r="WHM174" s="125"/>
      <c r="WHN174" s="125"/>
      <c r="WHO174" s="125"/>
      <c r="WHP174" s="125"/>
      <c r="WHQ174" s="125"/>
      <c r="WHR174" s="125"/>
      <c r="WHS174" s="125"/>
      <c r="WHT174" s="125"/>
      <c r="WHU174" s="125"/>
      <c r="WHV174" s="125"/>
      <c r="WHW174" s="125"/>
      <c r="WHX174" s="125"/>
      <c r="WHY174" s="125"/>
      <c r="WHZ174" s="125"/>
      <c r="WIA174" s="125"/>
      <c r="WIB174" s="125"/>
      <c r="WIC174" s="125"/>
      <c r="WID174" s="125"/>
      <c r="WIE174" s="125"/>
      <c r="WIF174" s="125"/>
      <c r="WIG174" s="125"/>
      <c r="WIH174" s="125"/>
      <c r="WII174" s="125"/>
      <c r="WIJ174" s="125"/>
      <c r="WIK174" s="125"/>
      <c r="WIL174" s="125"/>
      <c r="WIM174" s="125"/>
      <c r="WIN174" s="125"/>
      <c r="WIO174" s="125"/>
      <c r="WIP174" s="125"/>
      <c r="WIQ174" s="125"/>
      <c r="WIR174" s="125"/>
      <c r="WIS174" s="125"/>
      <c r="WIT174" s="125"/>
      <c r="WIU174" s="125"/>
      <c r="WIV174" s="125"/>
      <c r="WIW174" s="125"/>
      <c r="WIX174" s="125"/>
      <c r="WIY174" s="125"/>
      <c r="WIZ174" s="125"/>
      <c r="WJA174" s="125"/>
      <c r="WJB174" s="125"/>
      <c r="WJC174" s="125"/>
      <c r="WJD174" s="125"/>
      <c r="WJE174" s="125"/>
      <c r="WJF174" s="125"/>
      <c r="WJG174" s="125"/>
      <c r="WJH174" s="125"/>
      <c r="WJI174" s="125"/>
      <c r="WJJ174" s="125"/>
      <c r="WJK174" s="125"/>
      <c r="WJL174" s="125"/>
      <c r="WJM174" s="125"/>
      <c r="WJN174" s="125"/>
      <c r="WJO174" s="125"/>
      <c r="WJP174" s="125"/>
      <c r="WJQ174" s="125"/>
      <c r="WJR174" s="125"/>
      <c r="WJS174" s="125"/>
      <c r="WJT174" s="125"/>
      <c r="WJU174" s="125"/>
      <c r="WJV174" s="125"/>
      <c r="WJW174" s="125"/>
      <c r="WJX174" s="125"/>
      <c r="WJY174" s="125"/>
      <c r="WJZ174" s="125"/>
      <c r="WKA174" s="125"/>
      <c r="WKB174" s="125"/>
      <c r="WKC174" s="125"/>
      <c r="WKD174" s="125"/>
      <c r="WKE174" s="125"/>
      <c r="WKF174" s="125"/>
      <c r="WKG174" s="125"/>
      <c r="WKH174" s="125"/>
      <c r="WKI174" s="125"/>
      <c r="WKJ174" s="125"/>
      <c r="WKK174" s="125"/>
      <c r="WKL174" s="125"/>
      <c r="WKM174" s="125"/>
      <c r="WKN174" s="125"/>
      <c r="WKO174" s="125"/>
      <c r="WKP174" s="125"/>
      <c r="WKQ174" s="125"/>
      <c r="WKR174" s="125"/>
      <c r="WKS174" s="125"/>
      <c r="WKT174" s="125"/>
      <c r="WKU174" s="125"/>
      <c r="WKV174" s="125"/>
      <c r="WKW174" s="125"/>
      <c r="WKX174" s="125"/>
      <c r="WKY174" s="125"/>
      <c r="WKZ174" s="125"/>
      <c r="WLA174" s="125"/>
      <c r="WLB174" s="125"/>
      <c r="WLC174" s="125"/>
      <c r="WLD174" s="125"/>
      <c r="WLE174" s="125"/>
      <c r="WLF174" s="125"/>
      <c r="WLG174" s="125"/>
      <c r="WLH174" s="125"/>
      <c r="WLI174" s="125"/>
      <c r="WLJ174" s="125"/>
      <c r="WLK174" s="125"/>
      <c r="WLL174" s="125"/>
      <c r="WLM174" s="125"/>
      <c r="WLN174" s="125"/>
      <c r="WLO174" s="125"/>
      <c r="WLP174" s="125"/>
      <c r="WLQ174" s="125"/>
      <c r="WLR174" s="125"/>
      <c r="WLS174" s="125"/>
      <c r="WLT174" s="125"/>
      <c r="WLU174" s="125"/>
      <c r="WLV174" s="125"/>
      <c r="WLW174" s="125"/>
      <c r="WLX174" s="125"/>
      <c r="WLY174" s="125"/>
      <c r="WLZ174" s="125"/>
      <c r="WMA174" s="125"/>
      <c r="WMB174" s="125"/>
      <c r="WMC174" s="125"/>
      <c r="WMD174" s="125"/>
      <c r="WME174" s="125"/>
      <c r="WMF174" s="125"/>
      <c r="WMG174" s="125"/>
      <c r="WMH174" s="125"/>
      <c r="WMI174" s="125"/>
      <c r="WMJ174" s="125"/>
      <c r="WMK174" s="125"/>
      <c r="WML174" s="125"/>
      <c r="WMM174" s="125"/>
      <c r="WMN174" s="125"/>
      <c r="WMO174" s="125"/>
      <c r="WMP174" s="125"/>
      <c r="WMQ174" s="125"/>
      <c r="WMR174" s="125"/>
      <c r="WMS174" s="125"/>
      <c r="WMT174" s="125"/>
      <c r="WMU174" s="125"/>
      <c r="WMV174" s="125"/>
      <c r="WMW174" s="125"/>
      <c r="WMX174" s="125"/>
      <c r="WMY174" s="125"/>
      <c r="WMZ174" s="125"/>
      <c r="WNA174" s="125"/>
      <c r="WNB174" s="125"/>
      <c r="WNC174" s="125"/>
      <c r="WND174" s="125"/>
      <c r="WNE174" s="125"/>
      <c r="WNF174" s="125"/>
      <c r="WNG174" s="125"/>
      <c r="WNH174" s="125"/>
      <c r="WNI174" s="125"/>
      <c r="WNJ174" s="125"/>
      <c r="WNK174" s="125"/>
      <c r="WNL174" s="125"/>
      <c r="WNM174" s="125"/>
      <c r="WNN174" s="125"/>
      <c r="WNO174" s="125"/>
      <c r="WNP174" s="125"/>
      <c r="WNQ174" s="125"/>
      <c r="WNR174" s="125"/>
      <c r="WNS174" s="125"/>
      <c r="WNT174" s="125"/>
      <c r="WNU174" s="125"/>
      <c r="WNV174" s="125"/>
      <c r="WNW174" s="125"/>
      <c r="WNX174" s="125"/>
      <c r="WNY174" s="125"/>
      <c r="WNZ174" s="125"/>
      <c r="WOA174" s="125"/>
      <c r="WOB174" s="125"/>
      <c r="WOC174" s="125"/>
      <c r="WOD174" s="125"/>
      <c r="WOE174" s="125"/>
      <c r="WOF174" s="125"/>
      <c r="WOG174" s="125"/>
      <c r="WOH174" s="125"/>
      <c r="WOI174" s="125"/>
      <c r="WOJ174" s="125"/>
      <c r="WOK174" s="125"/>
      <c r="WOL174" s="125"/>
      <c r="WOM174" s="125"/>
      <c r="WON174" s="125"/>
      <c r="WOO174" s="125"/>
      <c r="WOP174" s="125"/>
      <c r="WOQ174" s="125"/>
      <c r="WOR174" s="125"/>
      <c r="WOS174" s="125"/>
      <c r="WOT174" s="125"/>
      <c r="WOU174" s="125"/>
      <c r="WOV174" s="125"/>
      <c r="WOW174" s="125"/>
      <c r="WOX174" s="125"/>
      <c r="WOY174" s="125"/>
      <c r="WOZ174" s="125"/>
      <c r="WPA174" s="125"/>
      <c r="WPB174" s="125"/>
      <c r="WPC174" s="125"/>
      <c r="WPD174" s="125"/>
      <c r="WPE174" s="125"/>
      <c r="WPF174" s="125"/>
      <c r="WPG174" s="125"/>
      <c r="WPH174" s="125"/>
      <c r="WPI174" s="125"/>
      <c r="WPJ174" s="125"/>
      <c r="WPK174" s="125"/>
      <c r="WPL174" s="125"/>
      <c r="WPM174" s="125"/>
      <c r="WPN174" s="125"/>
      <c r="WPO174" s="125"/>
      <c r="WPP174" s="125"/>
      <c r="WPQ174" s="125"/>
      <c r="WPR174" s="125"/>
      <c r="WPS174" s="125"/>
      <c r="WPT174" s="125"/>
      <c r="WPU174" s="125"/>
      <c r="WPV174" s="125"/>
      <c r="WPW174" s="125"/>
      <c r="WPX174" s="125"/>
      <c r="WPY174" s="125"/>
      <c r="WPZ174" s="125"/>
      <c r="WQA174" s="125"/>
      <c r="WQB174" s="125"/>
      <c r="WQC174" s="125"/>
      <c r="WQD174" s="125"/>
      <c r="WQE174" s="125"/>
      <c r="WQF174" s="125"/>
      <c r="WQG174" s="125"/>
      <c r="WQH174" s="125"/>
      <c r="WQI174" s="125"/>
      <c r="WQJ174" s="125"/>
      <c r="WQK174" s="125"/>
      <c r="WQL174" s="125"/>
      <c r="WQM174" s="125"/>
      <c r="WQN174" s="125"/>
      <c r="WQO174" s="125"/>
      <c r="WQP174" s="125"/>
      <c r="WQQ174" s="125"/>
      <c r="WQR174" s="125"/>
      <c r="WQS174" s="125"/>
      <c r="WQT174" s="125"/>
      <c r="WQU174" s="125"/>
      <c r="WQV174" s="125"/>
      <c r="WQW174" s="125"/>
      <c r="WQX174" s="125"/>
      <c r="WQY174" s="125"/>
      <c r="WQZ174" s="125"/>
      <c r="WRA174" s="125"/>
      <c r="WRB174" s="125"/>
      <c r="WRC174" s="125"/>
      <c r="WRD174" s="125"/>
      <c r="WRE174" s="125"/>
      <c r="WRF174" s="125"/>
      <c r="WRG174" s="125"/>
      <c r="WRH174" s="125"/>
      <c r="WRI174" s="125"/>
      <c r="WRJ174" s="125"/>
      <c r="WRK174" s="125"/>
      <c r="WRL174" s="125"/>
      <c r="WRM174" s="125"/>
      <c r="WRN174" s="125"/>
      <c r="WRO174" s="125"/>
      <c r="WRP174" s="125"/>
      <c r="WRQ174" s="125"/>
      <c r="WRR174" s="125"/>
      <c r="WRS174" s="125"/>
      <c r="WRT174" s="125"/>
      <c r="WRU174" s="125"/>
      <c r="WRV174" s="125"/>
      <c r="WRW174" s="125"/>
      <c r="WRX174" s="125"/>
      <c r="WRY174" s="125"/>
      <c r="WRZ174" s="125"/>
      <c r="WSA174" s="125"/>
      <c r="WSB174" s="125"/>
      <c r="WSC174" s="125"/>
      <c r="WSD174" s="125"/>
      <c r="WSE174" s="125"/>
      <c r="WSF174" s="125"/>
      <c r="WSG174" s="125"/>
      <c r="WSH174" s="125"/>
      <c r="WSI174" s="125"/>
      <c r="WSJ174" s="125"/>
      <c r="WSK174" s="125"/>
      <c r="WSL174" s="125"/>
      <c r="WSM174" s="125"/>
      <c r="WSN174" s="125"/>
      <c r="WSO174" s="125"/>
      <c r="WSP174" s="125"/>
      <c r="WSQ174" s="125"/>
      <c r="WSR174" s="125"/>
      <c r="WSS174" s="125"/>
      <c r="WST174" s="125"/>
      <c r="WSU174" s="125"/>
      <c r="WSV174" s="125"/>
      <c r="WSW174" s="125"/>
      <c r="WSX174" s="125"/>
      <c r="WSY174" s="125"/>
      <c r="WSZ174" s="125"/>
      <c r="WTA174" s="125"/>
      <c r="WTB174" s="125"/>
      <c r="WTC174" s="125"/>
      <c r="WTD174" s="125"/>
      <c r="WTE174" s="125"/>
      <c r="WTF174" s="125"/>
      <c r="WTG174" s="125"/>
      <c r="WTH174" s="125"/>
      <c r="WTI174" s="125"/>
      <c r="WTJ174" s="125"/>
      <c r="WTK174" s="125"/>
      <c r="WTL174" s="125"/>
      <c r="WTM174" s="125"/>
      <c r="WTN174" s="125"/>
      <c r="WTO174" s="125"/>
      <c r="WTP174" s="125"/>
      <c r="WTQ174" s="125"/>
      <c r="WTR174" s="125"/>
      <c r="WTS174" s="125"/>
      <c r="WTT174" s="125"/>
      <c r="WTU174" s="125"/>
      <c r="WTV174" s="125"/>
      <c r="WTW174" s="125"/>
      <c r="WTX174" s="125"/>
      <c r="WTY174" s="125"/>
      <c r="WTZ174" s="125"/>
      <c r="WUA174" s="125"/>
      <c r="WUB174" s="125"/>
      <c r="WUC174" s="125"/>
      <c r="WUD174" s="125"/>
      <c r="WUE174" s="125"/>
      <c r="WUF174" s="125"/>
      <c r="WUG174" s="125"/>
      <c r="WUH174" s="125"/>
      <c r="WUI174" s="125"/>
      <c r="WUJ174" s="125"/>
      <c r="WUK174" s="125"/>
      <c r="WUL174" s="125"/>
      <c r="WUM174" s="125"/>
      <c r="WUN174" s="125"/>
      <c r="WUO174" s="125"/>
      <c r="WUP174" s="125"/>
      <c r="WUQ174" s="125"/>
      <c r="WUR174" s="125"/>
      <c r="WUS174" s="125"/>
      <c r="WUT174" s="125"/>
      <c r="WUU174" s="125"/>
      <c r="WUV174" s="125"/>
      <c r="WUW174" s="125"/>
      <c r="WUX174" s="125"/>
      <c r="WUY174" s="125"/>
      <c r="WUZ174" s="125"/>
      <c r="WVA174" s="125"/>
      <c r="WVB174" s="125"/>
      <c r="WVC174" s="125"/>
      <c r="WVD174" s="125"/>
      <c r="WVE174" s="125"/>
      <c r="WVF174" s="125"/>
      <c r="WVG174" s="125"/>
      <c r="WVH174" s="125"/>
      <c r="WVI174" s="125"/>
      <c r="WVJ174" s="125"/>
      <c r="WVK174" s="125"/>
      <c r="WVL174" s="125"/>
      <c r="WVM174" s="125"/>
      <c r="WVN174" s="125"/>
      <c r="WVO174" s="125"/>
      <c r="WVP174" s="125"/>
      <c r="WVQ174" s="125"/>
      <c r="WVR174" s="125"/>
      <c r="WVS174" s="125"/>
      <c r="WVT174" s="125"/>
      <c r="WVU174" s="125"/>
      <c r="WVV174" s="125"/>
      <c r="WVW174" s="125"/>
      <c r="WVX174" s="125"/>
      <c r="WVY174" s="125"/>
      <c r="WVZ174" s="125"/>
      <c r="WWA174" s="125"/>
      <c r="WWB174" s="125"/>
      <c r="WWC174" s="125"/>
      <c r="WWD174" s="125"/>
      <c r="WWE174" s="125"/>
      <c r="WWF174" s="125"/>
      <c r="WWG174" s="125"/>
      <c r="WWH174" s="125"/>
      <c r="WWI174" s="125"/>
      <c r="WWJ174" s="125"/>
      <c r="WWK174" s="125"/>
      <c r="WWL174" s="125"/>
      <c r="WWM174" s="125"/>
      <c r="WWN174" s="125"/>
      <c r="WWO174" s="125"/>
      <c r="WWP174" s="125"/>
      <c r="WWQ174" s="125"/>
      <c r="WWR174" s="125"/>
      <c r="WWS174" s="125"/>
      <c r="WWT174" s="125"/>
      <c r="WWU174" s="125"/>
      <c r="WWV174" s="125"/>
      <c r="WWW174" s="125"/>
      <c r="WWX174" s="125"/>
      <c r="WWY174" s="125"/>
      <c r="WWZ174" s="125"/>
      <c r="WXA174" s="125"/>
      <c r="WXB174" s="125"/>
      <c r="WXC174" s="125"/>
      <c r="WXD174" s="125"/>
      <c r="WXE174" s="125"/>
      <c r="WXF174" s="125"/>
      <c r="WXG174" s="125"/>
      <c r="WXH174" s="125"/>
      <c r="WXI174" s="125"/>
      <c r="WXJ174" s="125"/>
      <c r="WXK174" s="125"/>
      <c r="WXL174" s="125"/>
      <c r="WXM174" s="125"/>
      <c r="WXN174" s="125"/>
      <c r="WXO174" s="125"/>
      <c r="WXP174" s="125"/>
      <c r="WXQ174" s="125"/>
      <c r="WXR174" s="125"/>
      <c r="WXS174" s="125"/>
      <c r="WXT174" s="125"/>
      <c r="WXU174" s="125"/>
      <c r="WXV174" s="125"/>
      <c r="WXW174" s="125"/>
      <c r="WXX174" s="125"/>
      <c r="WXY174" s="125"/>
      <c r="WXZ174" s="125"/>
      <c r="WYA174" s="125"/>
      <c r="WYB174" s="125"/>
      <c r="WYC174" s="125"/>
      <c r="WYD174" s="125"/>
      <c r="WYE174" s="125"/>
      <c r="WYF174" s="125"/>
      <c r="WYG174" s="125"/>
      <c r="WYH174" s="125"/>
      <c r="WYI174" s="125"/>
      <c r="WYJ174" s="125"/>
      <c r="WYK174" s="125"/>
      <c r="WYL174" s="125"/>
      <c r="WYM174" s="125"/>
      <c r="WYN174" s="125"/>
      <c r="WYO174" s="125"/>
      <c r="WYP174" s="125"/>
      <c r="WYQ174" s="125"/>
      <c r="WYR174" s="125"/>
      <c r="WYS174" s="125"/>
      <c r="WYT174" s="125"/>
      <c r="WYU174" s="125"/>
      <c r="WYV174" s="125"/>
      <c r="WYW174" s="125"/>
      <c r="WYX174" s="125"/>
      <c r="WYY174" s="125"/>
      <c r="WYZ174" s="125"/>
      <c r="WZA174" s="125"/>
      <c r="WZB174" s="125"/>
      <c r="WZC174" s="125"/>
      <c r="WZD174" s="125"/>
      <c r="WZE174" s="125"/>
      <c r="WZF174" s="125"/>
      <c r="WZG174" s="125"/>
      <c r="WZH174" s="125"/>
      <c r="WZI174" s="125"/>
      <c r="WZJ174" s="125"/>
      <c r="WZK174" s="125"/>
      <c r="WZL174" s="125"/>
      <c r="WZM174" s="125"/>
      <c r="WZN174" s="125"/>
      <c r="WZO174" s="125"/>
      <c r="WZP174" s="125"/>
      <c r="WZQ174" s="125"/>
      <c r="WZR174" s="125"/>
      <c r="WZS174" s="125"/>
      <c r="WZT174" s="125"/>
      <c r="WZU174" s="125"/>
      <c r="WZV174" s="125"/>
      <c r="WZW174" s="125"/>
      <c r="WZX174" s="125"/>
      <c r="WZY174" s="125"/>
      <c r="WZZ174" s="125"/>
      <c r="XAA174" s="125"/>
      <c r="XAB174" s="125"/>
      <c r="XAC174" s="125"/>
      <c r="XAD174" s="125"/>
      <c r="XAE174" s="125"/>
      <c r="XAF174" s="125"/>
      <c r="XAG174" s="125"/>
      <c r="XAH174" s="125"/>
      <c r="XAI174" s="125"/>
      <c r="XAJ174" s="125"/>
      <c r="XAK174" s="125"/>
      <c r="XAL174" s="125"/>
      <c r="XAM174" s="125"/>
      <c r="XAN174" s="125"/>
      <c r="XAO174" s="125"/>
      <c r="XAP174" s="125"/>
      <c r="XAQ174" s="125"/>
      <c r="XAR174" s="125"/>
      <c r="XAS174" s="125"/>
      <c r="XAT174" s="125"/>
      <c r="XAU174" s="125"/>
      <c r="XAV174" s="125"/>
      <c r="XAW174" s="125"/>
      <c r="XAX174" s="125"/>
      <c r="XAY174" s="125"/>
      <c r="XAZ174" s="125"/>
      <c r="XBA174" s="125"/>
      <c r="XBB174" s="125"/>
      <c r="XBC174" s="125"/>
      <c r="XBD174" s="125"/>
      <c r="XBE174" s="125"/>
      <c r="XBF174" s="125"/>
      <c r="XBG174" s="125"/>
      <c r="XBH174" s="125"/>
      <c r="XBI174" s="125"/>
      <c r="XBJ174" s="125"/>
      <c r="XBK174" s="125"/>
      <c r="XBL174" s="125"/>
      <c r="XBM174" s="125"/>
      <c r="XBN174" s="125"/>
      <c r="XBO174" s="125"/>
      <c r="XBP174" s="125"/>
      <c r="XBQ174" s="125"/>
      <c r="XBR174" s="125"/>
      <c r="XBS174" s="125"/>
      <c r="XBT174" s="125"/>
      <c r="XBU174" s="125"/>
      <c r="XBV174" s="125"/>
      <c r="XBW174" s="125"/>
      <c r="XBX174" s="125"/>
      <c r="XBY174" s="125"/>
      <c r="XBZ174" s="125"/>
      <c r="XCA174" s="125"/>
      <c r="XCB174" s="125"/>
      <c r="XCC174" s="125"/>
      <c r="XCD174" s="125"/>
      <c r="XCE174" s="125"/>
      <c r="XCF174" s="125"/>
      <c r="XCG174" s="125"/>
      <c r="XCH174" s="125"/>
      <c r="XCI174" s="125"/>
      <c r="XCJ174" s="125"/>
      <c r="XCK174" s="125"/>
      <c r="XCL174" s="125"/>
      <c r="XCM174" s="125"/>
      <c r="XCN174" s="125"/>
      <c r="XCO174" s="125"/>
      <c r="XCP174" s="125"/>
      <c r="XCQ174" s="125"/>
      <c r="XCR174" s="125"/>
      <c r="XCS174" s="125"/>
      <c r="XCT174" s="125"/>
      <c r="XCU174" s="125"/>
      <c r="XCV174" s="125"/>
      <c r="XCW174" s="125"/>
      <c r="XCX174" s="125"/>
      <c r="XCY174" s="125"/>
      <c r="XCZ174" s="125"/>
      <c r="XDA174" s="125"/>
      <c r="XDB174" s="125"/>
      <c r="XDC174" s="125"/>
      <c r="XDD174" s="125"/>
      <c r="XDE174" s="125"/>
      <c r="XDF174" s="125"/>
      <c r="XDG174" s="125"/>
      <c r="XDH174" s="125"/>
      <c r="XDI174" s="125"/>
      <c r="XDJ174" s="125"/>
      <c r="XDK174" s="125"/>
      <c r="XDL174" s="125"/>
      <c r="XDM174" s="125"/>
      <c r="XDN174" s="125"/>
      <c r="XDO174" s="125"/>
      <c r="XDP174" s="125"/>
      <c r="XDQ174" s="125"/>
      <c r="XDR174" s="125"/>
      <c r="XDS174" s="125"/>
      <c r="XDT174" s="125"/>
      <c r="XDU174" s="125"/>
      <c r="XDV174" s="125"/>
      <c r="XDW174" s="125"/>
      <c r="XDX174" s="125"/>
      <c r="XDY174" s="125"/>
      <c r="XDZ174" s="125"/>
      <c r="XEA174" s="125"/>
      <c r="XEB174" s="125"/>
      <c r="XEC174" s="125"/>
      <c r="XED174" s="125"/>
      <c r="XEE174" s="125"/>
      <c r="XEF174" s="125"/>
      <c r="XEG174" s="125"/>
      <c r="XEH174" s="125"/>
      <c r="XEI174" s="125"/>
      <c r="XEJ174" s="125"/>
      <c r="XEK174" s="125"/>
      <c r="XEL174" s="125"/>
      <c r="XEM174" s="125"/>
      <c r="XEN174" s="125"/>
      <c r="XEO174" s="125"/>
      <c r="XEP174" s="125"/>
      <c r="XEQ174" s="125"/>
      <c r="XER174" s="125"/>
      <c r="XES174" s="125"/>
      <c r="XET174" s="125"/>
      <c r="XEU174" s="125"/>
      <c r="XEV174" s="125"/>
      <c r="XEW174" s="125"/>
      <c r="XEX174" s="125"/>
      <c r="XEY174" s="125"/>
      <c r="XEZ174" s="125"/>
      <c r="XFA174" s="125"/>
      <c r="XFB174" s="125"/>
      <c r="XFC174" s="125"/>
    </row>
    <row r="175" spans="1:16383" ht="25.5" x14ac:dyDescent="0.2">
      <c r="A175" s="73">
        <v>173</v>
      </c>
      <c r="B175" s="20" t="s">
        <v>1176</v>
      </c>
      <c r="C175" s="9" t="s">
        <v>1007</v>
      </c>
      <c r="D175" s="16" t="s">
        <v>480</v>
      </c>
      <c r="E175" s="9" t="s">
        <v>437</v>
      </c>
      <c r="F175" s="77" t="s">
        <v>1177</v>
      </c>
      <c r="G175" s="77" t="s">
        <v>817</v>
      </c>
      <c r="H175" s="111">
        <v>2</v>
      </c>
      <c r="I175" s="111"/>
      <c r="J175" s="111"/>
      <c r="K175" s="111">
        <v>32</v>
      </c>
      <c r="L175" s="111">
        <v>280</v>
      </c>
      <c r="M175" s="111"/>
      <c r="N175" s="111"/>
      <c r="O175" s="111"/>
      <c r="P175" s="111"/>
      <c r="Q175" s="111"/>
      <c r="R175" s="132" t="s">
        <v>1693</v>
      </c>
      <c r="S175" s="74" t="s">
        <v>1529</v>
      </c>
      <c r="T175" s="81" t="s">
        <v>1739</v>
      </c>
      <c r="U175" s="132"/>
      <c r="V175" s="129"/>
      <c r="W175" s="125"/>
      <c r="X175" s="125"/>
      <c r="Y175" s="125"/>
      <c r="Z175" s="125"/>
      <c r="AA175" s="125"/>
      <c r="AB175" s="125"/>
      <c r="AC175" s="125"/>
      <c r="AD175" s="125"/>
      <c r="AE175" s="125"/>
      <c r="AF175" s="125"/>
      <c r="AG175" s="125"/>
      <c r="AH175" s="125"/>
      <c r="AI175" s="125"/>
      <c r="AJ175" s="125"/>
      <c r="AK175" s="125"/>
      <c r="AL175" s="125"/>
      <c r="AM175" s="125"/>
      <c r="AN175" s="125"/>
      <c r="AO175" s="125"/>
      <c r="AP175" s="125"/>
      <c r="AQ175" s="125"/>
      <c r="AR175" s="125"/>
      <c r="AS175" s="125"/>
      <c r="AT175" s="125"/>
      <c r="AU175" s="125"/>
      <c r="AV175" s="125"/>
      <c r="AW175" s="125"/>
      <c r="AX175" s="125"/>
      <c r="AY175" s="125"/>
      <c r="AZ175" s="125"/>
      <c r="BA175" s="125"/>
      <c r="BB175" s="125"/>
      <c r="BC175" s="125"/>
      <c r="BD175" s="125"/>
      <c r="BE175" s="125"/>
      <c r="BF175" s="125"/>
      <c r="BG175" s="125"/>
      <c r="BH175" s="125"/>
      <c r="BI175" s="125"/>
      <c r="BJ175" s="125"/>
      <c r="BK175" s="125"/>
      <c r="BL175" s="125"/>
      <c r="BM175" s="125"/>
      <c r="BN175" s="125"/>
      <c r="BO175" s="125"/>
      <c r="BP175" s="125"/>
      <c r="BQ175" s="125"/>
      <c r="BR175" s="125"/>
      <c r="BS175" s="125"/>
      <c r="BT175" s="125"/>
      <c r="BU175" s="125"/>
      <c r="BV175" s="125"/>
      <c r="BW175" s="125"/>
      <c r="BX175" s="125"/>
      <c r="BY175" s="125"/>
      <c r="BZ175" s="125"/>
      <c r="CA175" s="125"/>
      <c r="CB175" s="125"/>
      <c r="CC175" s="125"/>
      <c r="CD175" s="125"/>
      <c r="CE175" s="125"/>
      <c r="CF175" s="125"/>
      <c r="CG175" s="125"/>
      <c r="CH175" s="125"/>
      <c r="CI175" s="125"/>
      <c r="CJ175" s="125"/>
      <c r="CK175" s="125"/>
      <c r="CL175" s="125"/>
      <c r="CM175" s="125"/>
      <c r="CN175" s="125"/>
      <c r="CO175" s="125"/>
      <c r="CP175" s="125"/>
      <c r="CQ175" s="125"/>
      <c r="CR175" s="125"/>
      <c r="CS175" s="125"/>
      <c r="CT175" s="125"/>
      <c r="CU175" s="125"/>
      <c r="CV175" s="125"/>
      <c r="CW175" s="125"/>
      <c r="CX175" s="125"/>
      <c r="CY175" s="125"/>
      <c r="CZ175" s="125"/>
      <c r="DA175" s="125"/>
      <c r="DB175" s="125"/>
      <c r="DC175" s="125"/>
      <c r="DD175" s="125"/>
      <c r="DE175" s="125"/>
      <c r="DF175" s="125"/>
      <c r="DG175" s="125"/>
      <c r="DH175" s="125"/>
      <c r="DI175" s="125"/>
      <c r="DJ175" s="125"/>
      <c r="DK175" s="125"/>
      <c r="DL175" s="125"/>
      <c r="DM175" s="125"/>
      <c r="DN175" s="125"/>
      <c r="DO175" s="125"/>
      <c r="DP175" s="125"/>
      <c r="DQ175" s="125"/>
      <c r="DR175" s="125"/>
      <c r="DS175" s="125"/>
      <c r="DT175" s="125"/>
      <c r="DU175" s="125"/>
      <c r="DV175" s="125"/>
      <c r="DW175" s="125"/>
      <c r="DX175" s="125"/>
      <c r="DY175" s="125"/>
      <c r="DZ175" s="125"/>
      <c r="EA175" s="125"/>
      <c r="EB175" s="125"/>
      <c r="EC175" s="125"/>
      <c r="ED175" s="125"/>
      <c r="EE175" s="125"/>
      <c r="EF175" s="125"/>
      <c r="EG175" s="125"/>
      <c r="EH175" s="125"/>
      <c r="EI175" s="125"/>
      <c r="EJ175" s="125"/>
      <c r="EK175" s="125"/>
      <c r="EL175" s="125"/>
      <c r="EM175" s="125"/>
      <c r="EN175" s="125"/>
      <c r="EO175" s="125"/>
      <c r="EP175" s="125"/>
      <c r="EQ175" s="125"/>
      <c r="ER175" s="125"/>
      <c r="ES175" s="125"/>
      <c r="ET175" s="125"/>
      <c r="EU175" s="125"/>
      <c r="EV175" s="125"/>
      <c r="EW175" s="125"/>
      <c r="EX175" s="125"/>
      <c r="EY175" s="125"/>
      <c r="EZ175" s="125"/>
      <c r="FA175" s="125"/>
      <c r="FB175" s="125"/>
      <c r="FC175" s="125"/>
      <c r="FD175" s="125"/>
      <c r="FE175" s="125"/>
      <c r="FF175" s="125"/>
      <c r="FG175" s="125"/>
      <c r="FH175" s="125"/>
      <c r="FI175" s="125"/>
      <c r="FJ175" s="125"/>
      <c r="FK175" s="125"/>
      <c r="FL175" s="125"/>
      <c r="FM175" s="125"/>
      <c r="FN175" s="125"/>
      <c r="FO175" s="125"/>
      <c r="FP175" s="125"/>
      <c r="FQ175" s="125"/>
      <c r="FR175" s="125"/>
      <c r="FS175" s="125"/>
      <c r="FT175" s="125"/>
      <c r="FU175" s="125"/>
      <c r="FV175" s="125"/>
      <c r="FW175" s="125"/>
      <c r="FX175" s="125"/>
      <c r="FY175" s="125"/>
      <c r="FZ175" s="125"/>
      <c r="GA175" s="125"/>
      <c r="GB175" s="125"/>
      <c r="GC175" s="125"/>
      <c r="GD175" s="125"/>
      <c r="GE175" s="125"/>
      <c r="GF175" s="125"/>
      <c r="GG175" s="125"/>
      <c r="GH175" s="125"/>
      <c r="GI175" s="125"/>
      <c r="GJ175" s="125"/>
      <c r="GK175" s="125"/>
      <c r="GL175" s="125"/>
      <c r="GM175" s="125"/>
      <c r="GN175" s="125"/>
      <c r="GO175" s="125"/>
      <c r="GP175" s="125"/>
      <c r="GQ175" s="125"/>
      <c r="GR175" s="125"/>
      <c r="GS175" s="125"/>
      <c r="GT175" s="125"/>
      <c r="GU175" s="125"/>
      <c r="GV175" s="125"/>
      <c r="GW175" s="125"/>
      <c r="GX175" s="125"/>
      <c r="GY175" s="125"/>
      <c r="GZ175" s="125"/>
      <c r="HA175" s="125"/>
      <c r="HB175" s="125"/>
      <c r="HC175" s="125"/>
      <c r="HD175" s="125"/>
      <c r="HE175" s="125"/>
      <c r="HF175" s="125"/>
      <c r="HG175" s="125"/>
      <c r="HH175" s="125"/>
      <c r="HI175" s="125"/>
      <c r="HJ175" s="125"/>
      <c r="HK175" s="125"/>
      <c r="HL175" s="125"/>
      <c r="HM175" s="125"/>
      <c r="HN175" s="125"/>
      <c r="HO175" s="125"/>
      <c r="HP175" s="125"/>
      <c r="HQ175" s="125"/>
      <c r="HR175" s="125"/>
      <c r="HS175" s="125"/>
      <c r="HT175" s="125"/>
      <c r="HU175" s="125"/>
      <c r="HV175" s="125"/>
      <c r="HW175" s="125"/>
      <c r="HX175" s="125"/>
      <c r="HY175" s="125"/>
      <c r="HZ175" s="125"/>
      <c r="IA175" s="125"/>
      <c r="IB175" s="125"/>
      <c r="IC175" s="125"/>
      <c r="ID175" s="125"/>
      <c r="IE175" s="125"/>
      <c r="IF175" s="125"/>
      <c r="IG175" s="125"/>
      <c r="IH175" s="125"/>
      <c r="II175" s="125"/>
      <c r="IJ175" s="125"/>
      <c r="IK175" s="125"/>
      <c r="IL175" s="125"/>
      <c r="IM175" s="125"/>
      <c r="IN175" s="125"/>
      <c r="IO175" s="125"/>
      <c r="IP175" s="125"/>
      <c r="IQ175" s="125"/>
      <c r="IR175" s="125"/>
      <c r="IS175" s="125"/>
      <c r="IT175" s="125"/>
      <c r="IU175" s="125"/>
      <c r="IV175" s="125"/>
      <c r="IW175" s="125"/>
      <c r="IX175" s="125"/>
      <c r="IY175" s="125"/>
      <c r="IZ175" s="125"/>
      <c r="JA175" s="125"/>
      <c r="JB175" s="125"/>
      <c r="JC175" s="125"/>
      <c r="JD175" s="125"/>
      <c r="JE175" s="125"/>
      <c r="JF175" s="125"/>
      <c r="JG175" s="125"/>
      <c r="JH175" s="125"/>
      <c r="JI175" s="125"/>
      <c r="JJ175" s="125"/>
      <c r="JK175" s="125"/>
      <c r="JL175" s="125"/>
      <c r="JM175" s="125"/>
      <c r="JN175" s="125"/>
      <c r="JO175" s="125"/>
      <c r="JP175" s="125"/>
      <c r="JQ175" s="125"/>
      <c r="JR175" s="125"/>
      <c r="JS175" s="125"/>
      <c r="JT175" s="125"/>
      <c r="JU175" s="125"/>
      <c r="JV175" s="125"/>
      <c r="JW175" s="125"/>
      <c r="JX175" s="125"/>
      <c r="JY175" s="125"/>
      <c r="JZ175" s="125"/>
      <c r="KA175" s="125"/>
      <c r="KB175" s="125"/>
      <c r="KC175" s="125"/>
      <c r="KD175" s="125"/>
      <c r="KE175" s="125"/>
      <c r="KF175" s="125"/>
      <c r="KG175" s="125"/>
      <c r="KH175" s="125"/>
      <c r="KI175" s="125"/>
      <c r="KJ175" s="125"/>
      <c r="KK175" s="125"/>
      <c r="KL175" s="125"/>
      <c r="KM175" s="125"/>
      <c r="KN175" s="125"/>
      <c r="KO175" s="125"/>
      <c r="KP175" s="125"/>
      <c r="KQ175" s="125"/>
      <c r="KR175" s="125"/>
      <c r="KS175" s="125"/>
      <c r="KT175" s="125"/>
      <c r="KU175" s="125"/>
      <c r="KV175" s="125"/>
      <c r="KW175" s="125"/>
      <c r="KX175" s="125"/>
      <c r="KY175" s="125"/>
      <c r="KZ175" s="125"/>
      <c r="LA175" s="125"/>
      <c r="LB175" s="125"/>
      <c r="LC175" s="125"/>
      <c r="LD175" s="125"/>
      <c r="LE175" s="125"/>
      <c r="LF175" s="125"/>
      <c r="LG175" s="125"/>
      <c r="LH175" s="125"/>
      <c r="LI175" s="125"/>
      <c r="LJ175" s="125"/>
      <c r="LK175" s="125"/>
      <c r="LL175" s="125"/>
      <c r="LM175" s="125"/>
      <c r="LN175" s="125"/>
      <c r="LO175" s="125"/>
      <c r="LP175" s="125"/>
      <c r="LQ175" s="125"/>
      <c r="LR175" s="125"/>
      <c r="LS175" s="125"/>
      <c r="LT175" s="125"/>
      <c r="LU175" s="125"/>
      <c r="LV175" s="125"/>
      <c r="LW175" s="125"/>
      <c r="LX175" s="125"/>
      <c r="LY175" s="125"/>
      <c r="LZ175" s="125"/>
      <c r="MA175" s="125"/>
      <c r="MB175" s="125"/>
      <c r="MC175" s="125"/>
      <c r="MD175" s="125"/>
      <c r="ME175" s="125"/>
      <c r="MF175" s="125"/>
      <c r="MG175" s="125"/>
      <c r="MH175" s="125"/>
      <c r="MI175" s="125"/>
      <c r="MJ175" s="125"/>
      <c r="MK175" s="125"/>
      <c r="ML175" s="125"/>
      <c r="MM175" s="125"/>
      <c r="MN175" s="125"/>
      <c r="MO175" s="125"/>
      <c r="MP175" s="125"/>
      <c r="MQ175" s="125"/>
      <c r="MR175" s="125"/>
      <c r="MS175" s="125"/>
      <c r="MT175" s="125"/>
      <c r="MU175" s="125"/>
      <c r="MV175" s="125"/>
      <c r="MW175" s="125"/>
      <c r="MX175" s="125"/>
      <c r="MY175" s="125"/>
      <c r="MZ175" s="125"/>
      <c r="NA175" s="125"/>
      <c r="NB175" s="125"/>
      <c r="NC175" s="125"/>
      <c r="ND175" s="125"/>
      <c r="NE175" s="125"/>
      <c r="NF175" s="125"/>
      <c r="NG175" s="125"/>
      <c r="NH175" s="125"/>
      <c r="NI175" s="125"/>
      <c r="NJ175" s="125"/>
      <c r="NK175" s="125"/>
      <c r="NL175" s="125"/>
      <c r="NM175" s="125"/>
      <c r="NN175" s="125"/>
      <c r="NO175" s="125"/>
      <c r="NP175" s="125"/>
      <c r="NQ175" s="125"/>
      <c r="NR175" s="125"/>
      <c r="NS175" s="125"/>
      <c r="NT175" s="125"/>
      <c r="NU175" s="125"/>
      <c r="NV175" s="125"/>
      <c r="NW175" s="125"/>
      <c r="NX175" s="125"/>
      <c r="NY175" s="125"/>
      <c r="NZ175" s="125"/>
      <c r="OA175" s="125"/>
      <c r="OB175" s="125"/>
      <c r="OC175" s="125"/>
      <c r="OD175" s="125"/>
      <c r="OE175" s="125"/>
      <c r="OF175" s="125"/>
      <c r="OG175" s="125"/>
      <c r="OH175" s="125"/>
      <c r="OI175" s="125"/>
      <c r="OJ175" s="125"/>
      <c r="OK175" s="125"/>
      <c r="OL175" s="125"/>
      <c r="OM175" s="125"/>
      <c r="ON175" s="125"/>
      <c r="OO175" s="125"/>
      <c r="OP175" s="125"/>
      <c r="OQ175" s="125"/>
      <c r="OR175" s="125"/>
      <c r="OS175" s="125"/>
      <c r="OT175" s="125"/>
      <c r="OU175" s="125"/>
      <c r="OV175" s="125"/>
      <c r="OW175" s="125"/>
      <c r="OX175" s="125"/>
      <c r="OY175" s="125"/>
      <c r="OZ175" s="125"/>
      <c r="PA175" s="125"/>
      <c r="PB175" s="125"/>
      <c r="PC175" s="125"/>
      <c r="PD175" s="125"/>
      <c r="PE175" s="125"/>
      <c r="PF175" s="125"/>
      <c r="PG175" s="125"/>
      <c r="PH175" s="125"/>
      <c r="PI175" s="125"/>
      <c r="PJ175" s="125"/>
      <c r="PK175" s="125"/>
      <c r="PL175" s="125"/>
      <c r="PM175" s="125"/>
      <c r="PN175" s="125"/>
      <c r="PO175" s="125"/>
      <c r="PP175" s="125"/>
      <c r="PQ175" s="125"/>
      <c r="PR175" s="125"/>
      <c r="PS175" s="125"/>
      <c r="PT175" s="125"/>
      <c r="PU175" s="125"/>
      <c r="PV175" s="125"/>
      <c r="PW175" s="125"/>
      <c r="PX175" s="125"/>
      <c r="PY175" s="125"/>
      <c r="PZ175" s="125"/>
      <c r="QA175" s="125"/>
      <c r="QB175" s="125"/>
      <c r="QC175" s="125"/>
      <c r="QD175" s="125"/>
      <c r="QE175" s="125"/>
      <c r="QF175" s="125"/>
      <c r="QG175" s="125"/>
      <c r="QH175" s="125"/>
      <c r="QI175" s="125"/>
      <c r="QJ175" s="125"/>
      <c r="QK175" s="125"/>
      <c r="QL175" s="125"/>
      <c r="QM175" s="125"/>
      <c r="QN175" s="125"/>
      <c r="QO175" s="125"/>
      <c r="QP175" s="125"/>
      <c r="QQ175" s="125"/>
      <c r="QR175" s="125"/>
      <c r="QS175" s="125"/>
      <c r="QT175" s="125"/>
      <c r="QU175" s="125"/>
      <c r="QV175" s="125"/>
      <c r="QW175" s="125"/>
      <c r="QX175" s="125"/>
      <c r="QY175" s="125"/>
      <c r="QZ175" s="125"/>
      <c r="RA175" s="125"/>
      <c r="RB175" s="125"/>
      <c r="RC175" s="125"/>
      <c r="RD175" s="125"/>
      <c r="RE175" s="125"/>
      <c r="RF175" s="125"/>
      <c r="RG175" s="125"/>
      <c r="RH175" s="125"/>
      <c r="RI175" s="125"/>
      <c r="RJ175" s="125"/>
      <c r="RK175" s="125"/>
      <c r="RL175" s="125"/>
      <c r="RM175" s="125"/>
      <c r="RN175" s="125"/>
      <c r="RO175" s="125"/>
      <c r="RP175" s="125"/>
      <c r="RQ175" s="125"/>
      <c r="RR175" s="125"/>
      <c r="RS175" s="125"/>
      <c r="RT175" s="125"/>
      <c r="RU175" s="125"/>
      <c r="RV175" s="125"/>
      <c r="RW175" s="125"/>
      <c r="RX175" s="125"/>
      <c r="RY175" s="125"/>
      <c r="RZ175" s="125"/>
      <c r="SA175" s="125"/>
      <c r="SB175" s="125"/>
      <c r="SC175" s="125"/>
      <c r="SD175" s="125"/>
      <c r="SE175" s="125"/>
      <c r="SF175" s="125"/>
      <c r="SG175" s="125"/>
      <c r="SH175" s="125"/>
      <c r="SI175" s="125"/>
      <c r="SJ175" s="125"/>
      <c r="SK175" s="125"/>
      <c r="SL175" s="125"/>
      <c r="SM175" s="125"/>
      <c r="SN175" s="125"/>
      <c r="SO175" s="125"/>
      <c r="SP175" s="125"/>
      <c r="SQ175" s="125"/>
      <c r="SR175" s="125"/>
      <c r="SS175" s="125"/>
      <c r="ST175" s="125"/>
      <c r="SU175" s="125"/>
      <c r="SV175" s="125"/>
      <c r="SW175" s="125"/>
      <c r="SX175" s="125"/>
      <c r="SY175" s="125"/>
      <c r="SZ175" s="125"/>
      <c r="TA175" s="125"/>
      <c r="TB175" s="125"/>
      <c r="TC175" s="125"/>
      <c r="TD175" s="125"/>
      <c r="TE175" s="125"/>
      <c r="TF175" s="125"/>
      <c r="TG175" s="125"/>
      <c r="TH175" s="125"/>
      <c r="TI175" s="125"/>
      <c r="TJ175" s="125"/>
      <c r="TK175" s="125"/>
      <c r="TL175" s="125"/>
      <c r="TM175" s="125"/>
      <c r="TN175" s="125"/>
      <c r="TO175" s="125"/>
      <c r="TP175" s="125"/>
      <c r="TQ175" s="125"/>
      <c r="TR175" s="125"/>
      <c r="TS175" s="125"/>
      <c r="TT175" s="125"/>
      <c r="TU175" s="125"/>
      <c r="TV175" s="125"/>
      <c r="TW175" s="125"/>
      <c r="TX175" s="125"/>
      <c r="TY175" s="125"/>
      <c r="TZ175" s="125"/>
      <c r="UA175" s="125"/>
      <c r="UB175" s="125"/>
      <c r="UC175" s="125"/>
      <c r="UD175" s="125"/>
      <c r="UE175" s="125"/>
      <c r="UF175" s="125"/>
      <c r="UG175" s="125"/>
      <c r="UH175" s="125"/>
      <c r="UI175" s="125"/>
      <c r="UJ175" s="125"/>
      <c r="UK175" s="125"/>
      <c r="UL175" s="125"/>
      <c r="UM175" s="125"/>
      <c r="UN175" s="125"/>
      <c r="UO175" s="125"/>
      <c r="UP175" s="125"/>
      <c r="UQ175" s="125"/>
      <c r="UR175" s="125"/>
      <c r="US175" s="125"/>
      <c r="UT175" s="125"/>
      <c r="UU175" s="125"/>
      <c r="UV175" s="125"/>
      <c r="UW175" s="125"/>
      <c r="UX175" s="125"/>
      <c r="UY175" s="125"/>
      <c r="UZ175" s="125"/>
      <c r="VA175" s="125"/>
      <c r="VB175" s="125"/>
      <c r="VC175" s="125"/>
      <c r="VD175" s="125"/>
      <c r="VE175" s="125"/>
      <c r="VF175" s="125"/>
      <c r="VG175" s="125"/>
      <c r="VH175" s="125"/>
      <c r="VI175" s="125"/>
      <c r="VJ175" s="125"/>
      <c r="VK175" s="125"/>
      <c r="VL175" s="125"/>
      <c r="VM175" s="125"/>
      <c r="VN175" s="125"/>
      <c r="VO175" s="125"/>
      <c r="VP175" s="125"/>
      <c r="VQ175" s="125"/>
      <c r="VR175" s="125"/>
      <c r="VS175" s="125"/>
      <c r="VT175" s="125"/>
      <c r="VU175" s="125"/>
      <c r="VV175" s="125"/>
      <c r="VW175" s="125"/>
      <c r="VX175" s="125"/>
      <c r="VY175" s="125"/>
      <c r="VZ175" s="125"/>
      <c r="WA175" s="125"/>
      <c r="WB175" s="125"/>
      <c r="WC175" s="125"/>
      <c r="WD175" s="125"/>
      <c r="WE175" s="125"/>
      <c r="WF175" s="125"/>
      <c r="WG175" s="125"/>
      <c r="WH175" s="125"/>
      <c r="WI175" s="125"/>
      <c r="WJ175" s="125"/>
      <c r="WK175" s="125"/>
      <c r="WL175" s="125"/>
      <c r="WM175" s="125"/>
      <c r="WN175" s="125"/>
      <c r="WO175" s="125"/>
      <c r="WP175" s="125"/>
      <c r="WQ175" s="125"/>
      <c r="WR175" s="125"/>
      <c r="WS175" s="125"/>
      <c r="WT175" s="125"/>
      <c r="WU175" s="125"/>
      <c r="WV175" s="125"/>
      <c r="WW175" s="125"/>
      <c r="WX175" s="125"/>
      <c r="WY175" s="125"/>
      <c r="WZ175" s="125"/>
      <c r="XA175" s="125"/>
      <c r="XB175" s="125"/>
      <c r="XC175" s="125"/>
      <c r="XD175" s="125"/>
      <c r="XE175" s="125"/>
      <c r="XF175" s="125"/>
      <c r="XG175" s="125"/>
      <c r="XH175" s="125"/>
      <c r="XI175" s="125"/>
      <c r="XJ175" s="125"/>
      <c r="XK175" s="125"/>
      <c r="XL175" s="125"/>
      <c r="XM175" s="125"/>
      <c r="XN175" s="125"/>
      <c r="XO175" s="125"/>
      <c r="XP175" s="125"/>
      <c r="XQ175" s="125"/>
      <c r="XR175" s="125"/>
      <c r="XS175" s="125"/>
      <c r="XT175" s="125"/>
      <c r="XU175" s="125"/>
      <c r="XV175" s="125"/>
      <c r="XW175" s="125"/>
      <c r="XX175" s="125"/>
      <c r="XY175" s="125"/>
      <c r="XZ175" s="125"/>
      <c r="YA175" s="125"/>
      <c r="YB175" s="125"/>
      <c r="YC175" s="125"/>
      <c r="YD175" s="125"/>
      <c r="YE175" s="125"/>
      <c r="YF175" s="125"/>
      <c r="YG175" s="125"/>
      <c r="YH175" s="125"/>
      <c r="YI175" s="125"/>
      <c r="YJ175" s="125"/>
      <c r="YK175" s="125"/>
      <c r="YL175" s="125"/>
      <c r="YM175" s="125"/>
      <c r="YN175" s="125"/>
      <c r="YO175" s="125"/>
      <c r="YP175" s="125"/>
      <c r="YQ175" s="125"/>
      <c r="YR175" s="125"/>
      <c r="YS175" s="125"/>
      <c r="YT175" s="125"/>
      <c r="YU175" s="125"/>
      <c r="YV175" s="125"/>
      <c r="YW175" s="125"/>
      <c r="YX175" s="125"/>
      <c r="YY175" s="125"/>
      <c r="YZ175" s="125"/>
      <c r="ZA175" s="125"/>
      <c r="ZB175" s="125"/>
      <c r="ZC175" s="125"/>
      <c r="ZD175" s="125"/>
      <c r="ZE175" s="125"/>
      <c r="ZF175" s="125"/>
      <c r="ZG175" s="125"/>
      <c r="ZH175" s="125"/>
      <c r="ZI175" s="125"/>
      <c r="ZJ175" s="125"/>
      <c r="ZK175" s="125"/>
      <c r="ZL175" s="125"/>
      <c r="ZM175" s="125"/>
      <c r="ZN175" s="125"/>
      <c r="ZO175" s="125"/>
      <c r="ZP175" s="125"/>
      <c r="ZQ175" s="125"/>
      <c r="ZR175" s="125"/>
      <c r="ZS175" s="125"/>
      <c r="ZT175" s="125"/>
      <c r="ZU175" s="125"/>
      <c r="ZV175" s="125"/>
      <c r="ZW175" s="125"/>
      <c r="ZX175" s="125"/>
      <c r="ZY175" s="125"/>
      <c r="ZZ175" s="125"/>
      <c r="AAA175" s="125"/>
      <c r="AAB175" s="125"/>
      <c r="AAC175" s="125"/>
      <c r="AAD175" s="125"/>
      <c r="AAE175" s="125"/>
      <c r="AAF175" s="125"/>
      <c r="AAG175" s="125"/>
      <c r="AAH175" s="125"/>
      <c r="AAI175" s="125"/>
      <c r="AAJ175" s="125"/>
      <c r="AAK175" s="125"/>
      <c r="AAL175" s="125"/>
      <c r="AAM175" s="125"/>
      <c r="AAN175" s="125"/>
      <c r="AAO175" s="125"/>
      <c r="AAP175" s="125"/>
      <c r="AAQ175" s="125"/>
      <c r="AAR175" s="125"/>
      <c r="AAS175" s="125"/>
      <c r="AAT175" s="125"/>
      <c r="AAU175" s="125"/>
      <c r="AAV175" s="125"/>
      <c r="AAW175" s="125"/>
      <c r="AAX175" s="125"/>
      <c r="AAY175" s="125"/>
      <c r="AAZ175" s="125"/>
      <c r="ABA175" s="125"/>
      <c r="ABB175" s="125"/>
      <c r="ABC175" s="125"/>
      <c r="ABD175" s="125"/>
      <c r="ABE175" s="125"/>
      <c r="ABF175" s="125"/>
      <c r="ABG175" s="125"/>
      <c r="ABH175" s="125"/>
      <c r="ABI175" s="125"/>
      <c r="ABJ175" s="125"/>
      <c r="ABK175" s="125"/>
      <c r="ABL175" s="125"/>
      <c r="ABM175" s="125"/>
      <c r="ABN175" s="125"/>
      <c r="ABO175" s="125"/>
      <c r="ABP175" s="125"/>
      <c r="ABQ175" s="125"/>
      <c r="ABR175" s="125"/>
      <c r="ABS175" s="125"/>
      <c r="ABT175" s="125"/>
      <c r="ABU175" s="125"/>
      <c r="ABV175" s="125"/>
      <c r="ABW175" s="125"/>
      <c r="ABX175" s="125"/>
      <c r="ABY175" s="125"/>
      <c r="ABZ175" s="125"/>
      <c r="ACA175" s="125"/>
      <c r="ACB175" s="125"/>
      <c r="ACC175" s="125"/>
      <c r="ACD175" s="125"/>
      <c r="ACE175" s="125"/>
      <c r="ACF175" s="125"/>
      <c r="ACG175" s="125"/>
      <c r="ACH175" s="125"/>
      <c r="ACI175" s="125"/>
      <c r="ACJ175" s="125"/>
      <c r="ACK175" s="125"/>
      <c r="ACL175" s="125"/>
      <c r="ACM175" s="125"/>
      <c r="ACN175" s="125"/>
      <c r="ACO175" s="125"/>
      <c r="ACP175" s="125"/>
      <c r="ACQ175" s="125"/>
      <c r="ACR175" s="125"/>
      <c r="ACS175" s="125"/>
      <c r="ACT175" s="125"/>
      <c r="ACU175" s="125"/>
      <c r="ACV175" s="125"/>
      <c r="ACW175" s="125"/>
      <c r="ACX175" s="125"/>
      <c r="ACY175" s="125"/>
      <c r="ACZ175" s="125"/>
      <c r="ADA175" s="125"/>
      <c r="ADB175" s="125"/>
      <c r="ADC175" s="125"/>
      <c r="ADD175" s="125"/>
      <c r="ADE175" s="125"/>
      <c r="ADF175" s="125"/>
      <c r="ADG175" s="125"/>
      <c r="ADH175" s="125"/>
      <c r="ADI175" s="125"/>
      <c r="ADJ175" s="125"/>
      <c r="ADK175" s="125"/>
      <c r="ADL175" s="125"/>
      <c r="ADM175" s="125"/>
      <c r="ADN175" s="125"/>
      <c r="ADO175" s="125"/>
      <c r="ADP175" s="125"/>
      <c r="ADQ175" s="125"/>
      <c r="ADR175" s="125"/>
      <c r="ADS175" s="125"/>
      <c r="ADT175" s="125"/>
      <c r="ADU175" s="125"/>
      <c r="ADV175" s="125"/>
      <c r="ADW175" s="125"/>
      <c r="ADX175" s="125"/>
      <c r="ADY175" s="125"/>
      <c r="ADZ175" s="125"/>
      <c r="AEA175" s="125"/>
      <c r="AEB175" s="125"/>
      <c r="AEC175" s="125"/>
      <c r="AED175" s="125"/>
      <c r="AEE175" s="125"/>
      <c r="AEF175" s="125"/>
      <c r="AEG175" s="125"/>
      <c r="AEH175" s="125"/>
      <c r="AEI175" s="125"/>
      <c r="AEJ175" s="125"/>
      <c r="AEK175" s="125"/>
      <c r="AEL175" s="125"/>
      <c r="AEM175" s="125"/>
      <c r="AEN175" s="125"/>
      <c r="AEO175" s="125"/>
      <c r="AEP175" s="125"/>
      <c r="AEQ175" s="125"/>
      <c r="AER175" s="125"/>
      <c r="AES175" s="125"/>
      <c r="AET175" s="125"/>
      <c r="AEU175" s="125"/>
      <c r="AEV175" s="125"/>
      <c r="AEW175" s="125"/>
      <c r="AEX175" s="125"/>
      <c r="AEY175" s="125"/>
      <c r="AEZ175" s="125"/>
      <c r="AFA175" s="125"/>
      <c r="AFB175" s="125"/>
      <c r="AFC175" s="125"/>
      <c r="AFD175" s="125"/>
      <c r="AFE175" s="125"/>
      <c r="AFF175" s="125"/>
      <c r="AFG175" s="125"/>
      <c r="AFH175" s="125"/>
      <c r="AFI175" s="125"/>
      <c r="AFJ175" s="125"/>
      <c r="AFK175" s="125"/>
      <c r="AFL175" s="125"/>
      <c r="AFM175" s="125"/>
      <c r="AFN175" s="125"/>
      <c r="AFO175" s="125"/>
      <c r="AFP175" s="125"/>
      <c r="AFQ175" s="125"/>
      <c r="AFR175" s="125"/>
      <c r="AFS175" s="125"/>
      <c r="AFT175" s="125"/>
      <c r="AFU175" s="125"/>
      <c r="AFV175" s="125"/>
      <c r="AFW175" s="125"/>
      <c r="AFX175" s="125"/>
      <c r="AFY175" s="125"/>
      <c r="AFZ175" s="125"/>
      <c r="AGA175" s="125"/>
      <c r="AGB175" s="125"/>
      <c r="AGC175" s="125"/>
      <c r="AGD175" s="125"/>
      <c r="AGE175" s="125"/>
      <c r="AGF175" s="125"/>
      <c r="AGG175" s="125"/>
      <c r="AGH175" s="125"/>
      <c r="AGI175" s="125"/>
      <c r="AGJ175" s="125"/>
      <c r="AGK175" s="125"/>
      <c r="AGL175" s="125"/>
      <c r="AGM175" s="125"/>
      <c r="AGN175" s="125"/>
      <c r="AGO175" s="125"/>
      <c r="AGP175" s="125"/>
      <c r="AGQ175" s="125"/>
      <c r="AGR175" s="125"/>
      <c r="AGS175" s="125"/>
      <c r="AGT175" s="125"/>
      <c r="AGU175" s="125"/>
      <c r="AGV175" s="125"/>
      <c r="AGW175" s="125"/>
      <c r="AGX175" s="125"/>
      <c r="AGY175" s="125"/>
      <c r="AGZ175" s="125"/>
      <c r="AHA175" s="125"/>
      <c r="AHB175" s="125"/>
      <c r="AHC175" s="125"/>
      <c r="AHD175" s="125"/>
      <c r="AHE175" s="125"/>
      <c r="AHF175" s="125"/>
      <c r="AHG175" s="125"/>
      <c r="AHH175" s="125"/>
      <c r="AHI175" s="125"/>
      <c r="AHJ175" s="125"/>
      <c r="AHK175" s="125"/>
      <c r="AHL175" s="125"/>
      <c r="AHM175" s="125"/>
      <c r="AHN175" s="125"/>
      <c r="AHO175" s="125"/>
      <c r="AHP175" s="125"/>
      <c r="AHQ175" s="125"/>
      <c r="AHR175" s="125"/>
      <c r="AHS175" s="125"/>
      <c r="AHT175" s="125"/>
      <c r="AHU175" s="125"/>
      <c r="AHV175" s="125"/>
      <c r="AHW175" s="125"/>
      <c r="AHX175" s="125"/>
      <c r="AHY175" s="125"/>
      <c r="AHZ175" s="125"/>
      <c r="AIA175" s="125"/>
      <c r="AIB175" s="125"/>
      <c r="AIC175" s="125"/>
      <c r="AID175" s="125"/>
      <c r="AIE175" s="125"/>
      <c r="AIF175" s="125"/>
      <c r="AIG175" s="125"/>
      <c r="AIH175" s="125"/>
      <c r="AII175" s="125"/>
      <c r="AIJ175" s="125"/>
      <c r="AIK175" s="125"/>
      <c r="AIL175" s="125"/>
      <c r="AIM175" s="125"/>
      <c r="AIN175" s="125"/>
      <c r="AIO175" s="125"/>
      <c r="AIP175" s="125"/>
      <c r="AIQ175" s="125"/>
      <c r="AIR175" s="125"/>
      <c r="AIS175" s="125"/>
      <c r="AIT175" s="125"/>
      <c r="AIU175" s="125"/>
      <c r="AIV175" s="125"/>
      <c r="AIW175" s="125"/>
      <c r="AIX175" s="125"/>
      <c r="AIY175" s="125"/>
      <c r="AIZ175" s="125"/>
      <c r="AJA175" s="125"/>
      <c r="AJB175" s="125"/>
      <c r="AJC175" s="125"/>
      <c r="AJD175" s="125"/>
      <c r="AJE175" s="125"/>
      <c r="AJF175" s="125"/>
      <c r="AJG175" s="125"/>
      <c r="AJH175" s="125"/>
      <c r="AJI175" s="125"/>
      <c r="AJJ175" s="125"/>
      <c r="AJK175" s="125"/>
      <c r="AJL175" s="125"/>
      <c r="AJM175" s="125"/>
      <c r="AJN175" s="125"/>
      <c r="AJO175" s="125"/>
      <c r="AJP175" s="125"/>
      <c r="AJQ175" s="125"/>
      <c r="AJR175" s="125"/>
      <c r="AJS175" s="125"/>
      <c r="AJT175" s="125"/>
      <c r="AJU175" s="125"/>
      <c r="AJV175" s="125"/>
      <c r="AJW175" s="125"/>
      <c r="AJX175" s="125"/>
      <c r="AJY175" s="125"/>
      <c r="AJZ175" s="125"/>
      <c r="AKA175" s="125"/>
      <c r="AKB175" s="125"/>
      <c r="AKC175" s="125"/>
      <c r="AKD175" s="125"/>
      <c r="AKE175" s="125"/>
      <c r="AKF175" s="125"/>
      <c r="AKG175" s="125"/>
      <c r="AKH175" s="125"/>
      <c r="AKI175" s="125"/>
      <c r="AKJ175" s="125"/>
      <c r="AKK175" s="125"/>
      <c r="AKL175" s="125"/>
      <c r="AKM175" s="125"/>
      <c r="AKN175" s="125"/>
      <c r="AKO175" s="125"/>
      <c r="AKP175" s="125"/>
      <c r="AKQ175" s="125"/>
      <c r="AKR175" s="125"/>
      <c r="AKS175" s="125"/>
      <c r="AKT175" s="125"/>
      <c r="AKU175" s="125"/>
      <c r="AKV175" s="125"/>
      <c r="AKW175" s="125"/>
      <c r="AKX175" s="125"/>
      <c r="AKY175" s="125"/>
      <c r="AKZ175" s="125"/>
      <c r="ALA175" s="125"/>
      <c r="ALB175" s="125"/>
      <c r="ALC175" s="125"/>
      <c r="ALD175" s="125"/>
      <c r="ALE175" s="125"/>
      <c r="ALF175" s="125"/>
      <c r="ALG175" s="125"/>
      <c r="ALH175" s="125"/>
      <c r="ALI175" s="125"/>
      <c r="ALJ175" s="125"/>
      <c r="ALK175" s="125"/>
      <c r="ALL175" s="125"/>
      <c r="ALM175" s="125"/>
      <c r="ALN175" s="125"/>
      <c r="ALO175" s="125"/>
      <c r="ALP175" s="125"/>
      <c r="ALQ175" s="125"/>
      <c r="ALR175" s="125"/>
      <c r="ALS175" s="125"/>
      <c r="ALT175" s="125"/>
      <c r="ALU175" s="125"/>
      <c r="ALV175" s="125"/>
      <c r="ALW175" s="125"/>
      <c r="ALX175" s="125"/>
      <c r="ALY175" s="125"/>
      <c r="ALZ175" s="125"/>
      <c r="AMA175" s="125"/>
      <c r="AMB175" s="125"/>
      <c r="AMC175" s="125"/>
      <c r="AMD175" s="125"/>
      <c r="AME175" s="125"/>
      <c r="AMF175" s="125"/>
      <c r="AMG175" s="125"/>
      <c r="AMH175" s="125"/>
      <c r="AMI175" s="125"/>
      <c r="AMJ175" s="125"/>
      <c r="AMK175" s="125"/>
      <c r="AML175" s="125"/>
      <c r="AMM175" s="125"/>
      <c r="AMN175" s="125"/>
      <c r="AMO175" s="125"/>
      <c r="AMP175" s="125"/>
      <c r="AMQ175" s="125"/>
      <c r="AMR175" s="125"/>
      <c r="AMS175" s="125"/>
      <c r="AMT175" s="125"/>
      <c r="AMU175" s="125"/>
      <c r="AMV175" s="125"/>
      <c r="AMW175" s="125"/>
      <c r="AMX175" s="125"/>
      <c r="AMY175" s="125"/>
      <c r="AMZ175" s="125"/>
      <c r="ANA175" s="125"/>
      <c r="ANB175" s="125"/>
      <c r="ANC175" s="125"/>
      <c r="AND175" s="125"/>
      <c r="ANE175" s="125"/>
      <c r="ANF175" s="125"/>
      <c r="ANG175" s="125"/>
      <c r="ANH175" s="125"/>
      <c r="ANI175" s="125"/>
      <c r="ANJ175" s="125"/>
      <c r="ANK175" s="125"/>
      <c r="ANL175" s="125"/>
      <c r="ANM175" s="125"/>
      <c r="ANN175" s="125"/>
      <c r="ANO175" s="125"/>
      <c r="ANP175" s="125"/>
      <c r="ANQ175" s="125"/>
      <c r="ANR175" s="125"/>
      <c r="ANS175" s="125"/>
      <c r="ANT175" s="125"/>
      <c r="ANU175" s="125"/>
      <c r="ANV175" s="125"/>
      <c r="ANW175" s="125"/>
      <c r="ANX175" s="125"/>
      <c r="ANY175" s="125"/>
      <c r="ANZ175" s="125"/>
      <c r="AOA175" s="125"/>
      <c r="AOB175" s="125"/>
      <c r="AOC175" s="125"/>
      <c r="AOD175" s="125"/>
      <c r="AOE175" s="125"/>
      <c r="AOF175" s="125"/>
      <c r="AOG175" s="125"/>
      <c r="AOH175" s="125"/>
      <c r="AOI175" s="125"/>
      <c r="AOJ175" s="125"/>
      <c r="AOK175" s="125"/>
      <c r="AOL175" s="125"/>
      <c r="AOM175" s="125"/>
      <c r="AON175" s="125"/>
      <c r="AOO175" s="125"/>
      <c r="AOP175" s="125"/>
      <c r="AOQ175" s="125"/>
      <c r="AOR175" s="125"/>
      <c r="AOS175" s="125"/>
      <c r="AOT175" s="125"/>
      <c r="AOU175" s="125"/>
      <c r="AOV175" s="125"/>
      <c r="AOW175" s="125"/>
      <c r="AOX175" s="125"/>
      <c r="AOY175" s="125"/>
      <c r="AOZ175" s="125"/>
      <c r="APA175" s="125"/>
      <c r="APB175" s="125"/>
      <c r="APC175" s="125"/>
      <c r="APD175" s="125"/>
      <c r="APE175" s="125"/>
      <c r="APF175" s="125"/>
      <c r="APG175" s="125"/>
      <c r="APH175" s="125"/>
      <c r="API175" s="125"/>
      <c r="APJ175" s="125"/>
      <c r="APK175" s="125"/>
      <c r="APL175" s="125"/>
      <c r="APM175" s="125"/>
      <c r="APN175" s="125"/>
      <c r="APO175" s="125"/>
      <c r="APP175" s="125"/>
      <c r="APQ175" s="125"/>
      <c r="APR175" s="125"/>
      <c r="APS175" s="125"/>
      <c r="APT175" s="125"/>
      <c r="APU175" s="125"/>
      <c r="APV175" s="125"/>
      <c r="APW175" s="125"/>
      <c r="APX175" s="125"/>
      <c r="APY175" s="125"/>
      <c r="APZ175" s="125"/>
      <c r="AQA175" s="125"/>
      <c r="AQB175" s="125"/>
      <c r="AQC175" s="125"/>
      <c r="AQD175" s="125"/>
      <c r="AQE175" s="125"/>
      <c r="AQF175" s="125"/>
      <c r="AQG175" s="125"/>
      <c r="AQH175" s="125"/>
      <c r="AQI175" s="125"/>
      <c r="AQJ175" s="125"/>
      <c r="AQK175" s="125"/>
      <c r="AQL175" s="125"/>
      <c r="AQM175" s="125"/>
      <c r="AQN175" s="125"/>
      <c r="AQO175" s="125"/>
      <c r="AQP175" s="125"/>
      <c r="AQQ175" s="125"/>
      <c r="AQR175" s="125"/>
      <c r="AQS175" s="125"/>
      <c r="AQT175" s="125"/>
      <c r="AQU175" s="125"/>
      <c r="AQV175" s="125"/>
      <c r="AQW175" s="125"/>
      <c r="AQX175" s="125"/>
      <c r="AQY175" s="125"/>
      <c r="AQZ175" s="125"/>
      <c r="ARA175" s="125"/>
      <c r="ARB175" s="125"/>
      <c r="ARC175" s="125"/>
      <c r="ARD175" s="125"/>
      <c r="ARE175" s="125"/>
      <c r="ARF175" s="125"/>
      <c r="ARG175" s="125"/>
      <c r="ARH175" s="125"/>
      <c r="ARI175" s="125"/>
      <c r="ARJ175" s="125"/>
      <c r="ARK175" s="125"/>
      <c r="ARL175" s="125"/>
      <c r="ARM175" s="125"/>
      <c r="ARN175" s="125"/>
      <c r="ARO175" s="125"/>
      <c r="ARP175" s="125"/>
      <c r="ARQ175" s="125"/>
      <c r="ARR175" s="125"/>
      <c r="ARS175" s="125"/>
      <c r="ART175" s="125"/>
      <c r="ARU175" s="125"/>
      <c r="ARV175" s="125"/>
      <c r="ARW175" s="125"/>
      <c r="ARX175" s="125"/>
      <c r="ARY175" s="125"/>
      <c r="ARZ175" s="125"/>
      <c r="ASA175" s="125"/>
      <c r="ASB175" s="125"/>
      <c r="ASC175" s="125"/>
      <c r="ASD175" s="125"/>
      <c r="ASE175" s="125"/>
      <c r="ASF175" s="125"/>
      <c r="ASG175" s="125"/>
      <c r="ASH175" s="125"/>
      <c r="ASI175" s="125"/>
      <c r="ASJ175" s="125"/>
      <c r="ASK175" s="125"/>
      <c r="ASL175" s="125"/>
      <c r="ASM175" s="125"/>
      <c r="ASN175" s="125"/>
      <c r="ASO175" s="125"/>
      <c r="ASP175" s="125"/>
      <c r="ASQ175" s="125"/>
      <c r="ASR175" s="125"/>
      <c r="ASS175" s="125"/>
      <c r="AST175" s="125"/>
      <c r="ASU175" s="125"/>
      <c r="ASV175" s="125"/>
      <c r="ASW175" s="125"/>
      <c r="ASX175" s="125"/>
      <c r="ASY175" s="125"/>
      <c r="ASZ175" s="125"/>
      <c r="ATA175" s="125"/>
      <c r="ATB175" s="125"/>
      <c r="ATC175" s="125"/>
      <c r="ATD175" s="125"/>
      <c r="ATE175" s="125"/>
      <c r="ATF175" s="125"/>
      <c r="ATG175" s="125"/>
      <c r="ATH175" s="125"/>
      <c r="ATI175" s="125"/>
      <c r="ATJ175" s="125"/>
      <c r="ATK175" s="125"/>
      <c r="ATL175" s="125"/>
      <c r="ATM175" s="125"/>
      <c r="ATN175" s="125"/>
      <c r="ATO175" s="125"/>
      <c r="ATP175" s="125"/>
      <c r="ATQ175" s="125"/>
      <c r="ATR175" s="125"/>
      <c r="ATS175" s="125"/>
      <c r="ATT175" s="125"/>
      <c r="ATU175" s="125"/>
      <c r="ATV175" s="125"/>
      <c r="ATW175" s="125"/>
      <c r="ATX175" s="125"/>
      <c r="ATY175" s="125"/>
      <c r="ATZ175" s="125"/>
      <c r="AUA175" s="125"/>
      <c r="AUB175" s="125"/>
      <c r="AUC175" s="125"/>
      <c r="AUD175" s="125"/>
      <c r="AUE175" s="125"/>
      <c r="AUF175" s="125"/>
      <c r="AUG175" s="125"/>
      <c r="AUH175" s="125"/>
      <c r="AUI175" s="125"/>
      <c r="AUJ175" s="125"/>
      <c r="AUK175" s="125"/>
      <c r="AUL175" s="125"/>
      <c r="AUM175" s="125"/>
      <c r="AUN175" s="125"/>
      <c r="AUO175" s="125"/>
      <c r="AUP175" s="125"/>
      <c r="AUQ175" s="125"/>
      <c r="AUR175" s="125"/>
      <c r="AUS175" s="125"/>
      <c r="AUT175" s="125"/>
      <c r="AUU175" s="125"/>
      <c r="AUV175" s="125"/>
      <c r="AUW175" s="125"/>
      <c r="AUX175" s="125"/>
      <c r="AUY175" s="125"/>
      <c r="AUZ175" s="125"/>
      <c r="AVA175" s="125"/>
      <c r="AVB175" s="125"/>
      <c r="AVC175" s="125"/>
      <c r="AVD175" s="125"/>
      <c r="AVE175" s="125"/>
      <c r="AVF175" s="125"/>
      <c r="AVG175" s="125"/>
      <c r="AVH175" s="125"/>
      <c r="AVI175" s="125"/>
      <c r="AVJ175" s="125"/>
      <c r="AVK175" s="125"/>
      <c r="AVL175" s="125"/>
      <c r="AVM175" s="125"/>
      <c r="AVN175" s="125"/>
      <c r="AVO175" s="125"/>
      <c r="AVP175" s="125"/>
      <c r="AVQ175" s="125"/>
      <c r="AVR175" s="125"/>
      <c r="AVS175" s="125"/>
      <c r="AVT175" s="125"/>
      <c r="AVU175" s="125"/>
      <c r="AVV175" s="125"/>
      <c r="AVW175" s="125"/>
      <c r="AVX175" s="125"/>
      <c r="AVY175" s="125"/>
      <c r="AVZ175" s="125"/>
      <c r="AWA175" s="125"/>
      <c r="AWB175" s="125"/>
      <c r="AWC175" s="125"/>
      <c r="AWD175" s="125"/>
      <c r="AWE175" s="125"/>
      <c r="AWF175" s="125"/>
      <c r="AWG175" s="125"/>
      <c r="AWH175" s="125"/>
      <c r="AWI175" s="125"/>
      <c r="AWJ175" s="125"/>
      <c r="AWK175" s="125"/>
      <c r="AWL175" s="125"/>
      <c r="AWM175" s="125"/>
      <c r="AWN175" s="125"/>
      <c r="AWO175" s="125"/>
      <c r="AWP175" s="125"/>
      <c r="AWQ175" s="125"/>
      <c r="AWR175" s="125"/>
      <c r="AWS175" s="125"/>
      <c r="AWT175" s="125"/>
      <c r="AWU175" s="125"/>
      <c r="AWV175" s="125"/>
      <c r="AWW175" s="125"/>
      <c r="AWX175" s="125"/>
      <c r="AWY175" s="125"/>
      <c r="AWZ175" s="125"/>
      <c r="AXA175" s="125"/>
      <c r="AXB175" s="125"/>
      <c r="AXC175" s="125"/>
      <c r="AXD175" s="125"/>
      <c r="AXE175" s="125"/>
      <c r="AXF175" s="125"/>
      <c r="AXG175" s="125"/>
      <c r="AXH175" s="125"/>
      <c r="AXI175" s="125"/>
      <c r="AXJ175" s="125"/>
      <c r="AXK175" s="125"/>
      <c r="AXL175" s="125"/>
      <c r="AXM175" s="125"/>
      <c r="AXN175" s="125"/>
      <c r="AXO175" s="125"/>
      <c r="AXP175" s="125"/>
      <c r="AXQ175" s="125"/>
      <c r="AXR175" s="125"/>
      <c r="AXS175" s="125"/>
      <c r="AXT175" s="125"/>
      <c r="AXU175" s="125"/>
      <c r="AXV175" s="125"/>
      <c r="AXW175" s="125"/>
      <c r="AXX175" s="125"/>
      <c r="AXY175" s="125"/>
      <c r="AXZ175" s="125"/>
      <c r="AYA175" s="125"/>
      <c r="AYB175" s="125"/>
      <c r="AYC175" s="125"/>
      <c r="AYD175" s="125"/>
      <c r="AYE175" s="125"/>
      <c r="AYF175" s="125"/>
      <c r="AYG175" s="125"/>
      <c r="AYH175" s="125"/>
      <c r="AYI175" s="125"/>
      <c r="AYJ175" s="125"/>
      <c r="AYK175" s="125"/>
      <c r="AYL175" s="125"/>
      <c r="AYM175" s="125"/>
      <c r="AYN175" s="125"/>
      <c r="AYO175" s="125"/>
      <c r="AYP175" s="125"/>
      <c r="AYQ175" s="125"/>
      <c r="AYR175" s="125"/>
      <c r="AYS175" s="125"/>
      <c r="AYT175" s="125"/>
      <c r="AYU175" s="125"/>
      <c r="AYV175" s="125"/>
      <c r="AYW175" s="125"/>
      <c r="AYX175" s="125"/>
      <c r="AYY175" s="125"/>
      <c r="AYZ175" s="125"/>
      <c r="AZA175" s="125"/>
      <c r="AZB175" s="125"/>
      <c r="AZC175" s="125"/>
      <c r="AZD175" s="125"/>
      <c r="AZE175" s="125"/>
      <c r="AZF175" s="125"/>
      <c r="AZG175" s="125"/>
      <c r="AZH175" s="125"/>
      <c r="AZI175" s="125"/>
      <c r="AZJ175" s="125"/>
      <c r="AZK175" s="125"/>
      <c r="AZL175" s="125"/>
      <c r="AZM175" s="125"/>
      <c r="AZN175" s="125"/>
      <c r="AZO175" s="125"/>
      <c r="AZP175" s="125"/>
      <c r="AZQ175" s="125"/>
      <c r="AZR175" s="125"/>
      <c r="AZS175" s="125"/>
      <c r="AZT175" s="125"/>
      <c r="AZU175" s="125"/>
      <c r="AZV175" s="125"/>
      <c r="AZW175" s="125"/>
      <c r="AZX175" s="125"/>
      <c r="AZY175" s="125"/>
      <c r="AZZ175" s="125"/>
      <c r="BAA175" s="125"/>
      <c r="BAB175" s="125"/>
      <c r="BAC175" s="125"/>
      <c r="BAD175" s="125"/>
      <c r="BAE175" s="125"/>
      <c r="BAF175" s="125"/>
      <c r="BAG175" s="125"/>
      <c r="BAH175" s="125"/>
      <c r="BAI175" s="125"/>
      <c r="BAJ175" s="125"/>
      <c r="BAK175" s="125"/>
      <c r="BAL175" s="125"/>
      <c r="BAM175" s="125"/>
      <c r="BAN175" s="125"/>
      <c r="BAO175" s="125"/>
      <c r="BAP175" s="125"/>
      <c r="BAQ175" s="125"/>
      <c r="BAR175" s="125"/>
      <c r="BAS175" s="125"/>
      <c r="BAT175" s="125"/>
      <c r="BAU175" s="125"/>
      <c r="BAV175" s="125"/>
      <c r="BAW175" s="125"/>
      <c r="BAX175" s="125"/>
      <c r="BAY175" s="125"/>
      <c r="BAZ175" s="125"/>
      <c r="BBA175" s="125"/>
      <c r="BBB175" s="125"/>
      <c r="BBC175" s="125"/>
      <c r="BBD175" s="125"/>
      <c r="BBE175" s="125"/>
      <c r="BBF175" s="125"/>
      <c r="BBG175" s="125"/>
      <c r="BBH175" s="125"/>
      <c r="BBI175" s="125"/>
      <c r="BBJ175" s="125"/>
      <c r="BBK175" s="125"/>
      <c r="BBL175" s="125"/>
      <c r="BBM175" s="125"/>
      <c r="BBN175" s="125"/>
      <c r="BBO175" s="125"/>
      <c r="BBP175" s="125"/>
      <c r="BBQ175" s="125"/>
      <c r="BBR175" s="125"/>
      <c r="BBS175" s="125"/>
      <c r="BBT175" s="125"/>
      <c r="BBU175" s="125"/>
      <c r="BBV175" s="125"/>
      <c r="BBW175" s="125"/>
      <c r="BBX175" s="125"/>
      <c r="BBY175" s="125"/>
      <c r="BBZ175" s="125"/>
      <c r="BCA175" s="125"/>
      <c r="BCB175" s="125"/>
      <c r="BCC175" s="125"/>
      <c r="BCD175" s="125"/>
      <c r="BCE175" s="125"/>
      <c r="BCF175" s="125"/>
      <c r="BCG175" s="125"/>
      <c r="BCH175" s="125"/>
      <c r="BCI175" s="125"/>
      <c r="BCJ175" s="125"/>
      <c r="BCK175" s="125"/>
      <c r="BCL175" s="125"/>
      <c r="BCM175" s="125"/>
      <c r="BCN175" s="125"/>
      <c r="BCO175" s="125"/>
      <c r="BCP175" s="125"/>
      <c r="BCQ175" s="125"/>
      <c r="BCR175" s="125"/>
      <c r="BCS175" s="125"/>
      <c r="BCT175" s="125"/>
      <c r="BCU175" s="125"/>
      <c r="BCV175" s="125"/>
      <c r="BCW175" s="125"/>
      <c r="BCX175" s="125"/>
      <c r="BCY175" s="125"/>
      <c r="BCZ175" s="125"/>
      <c r="BDA175" s="125"/>
      <c r="BDB175" s="125"/>
      <c r="BDC175" s="125"/>
      <c r="BDD175" s="125"/>
      <c r="BDE175" s="125"/>
      <c r="BDF175" s="125"/>
      <c r="BDG175" s="125"/>
      <c r="BDH175" s="125"/>
      <c r="BDI175" s="125"/>
      <c r="BDJ175" s="125"/>
      <c r="BDK175" s="125"/>
      <c r="BDL175" s="125"/>
      <c r="BDM175" s="125"/>
      <c r="BDN175" s="125"/>
      <c r="BDO175" s="125"/>
      <c r="BDP175" s="125"/>
      <c r="BDQ175" s="125"/>
      <c r="BDR175" s="125"/>
      <c r="BDS175" s="125"/>
      <c r="BDT175" s="125"/>
      <c r="BDU175" s="125"/>
      <c r="BDV175" s="125"/>
      <c r="BDW175" s="125"/>
      <c r="BDX175" s="125"/>
      <c r="BDY175" s="125"/>
      <c r="BDZ175" s="125"/>
      <c r="BEA175" s="125"/>
      <c r="BEB175" s="125"/>
      <c r="BEC175" s="125"/>
      <c r="BED175" s="125"/>
      <c r="BEE175" s="125"/>
      <c r="BEF175" s="125"/>
      <c r="BEG175" s="125"/>
      <c r="BEH175" s="125"/>
      <c r="BEI175" s="125"/>
      <c r="BEJ175" s="125"/>
      <c r="BEK175" s="125"/>
      <c r="BEL175" s="125"/>
      <c r="BEM175" s="125"/>
      <c r="BEN175" s="125"/>
      <c r="BEO175" s="125"/>
      <c r="BEP175" s="125"/>
      <c r="BEQ175" s="125"/>
      <c r="BER175" s="125"/>
      <c r="BES175" s="125"/>
      <c r="BET175" s="125"/>
      <c r="BEU175" s="125"/>
      <c r="BEV175" s="125"/>
      <c r="BEW175" s="125"/>
      <c r="BEX175" s="125"/>
      <c r="BEY175" s="125"/>
      <c r="BEZ175" s="125"/>
      <c r="BFA175" s="125"/>
      <c r="BFB175" s="125"/>
      <c r="BFC175" s="125"/>
      <c r="BFD175" s="125"/>
      <c r="BFE175" s="125"/>
      <c r="BFF175" s="125"/>
      <c r="BFG175" s="125"/>
      <c r="BFH175" s="125"/>
      <c r="BFI175" s="125"/>
      <c r="BFJ175" s="125"/>
      <c r="BFK175" s="125"/>
      <c r="BFL175" s="125"/>
      <c r="BFM175" s="125"/>
      <c r="BFN175" s="125"/>
      <c r="BFO175" s="125"/>
      <c r="BFP175" s="125"/>
      <c r="BFQ175" s="125"/>
      <c r="BFR175" s="125"/>
      <c r="BFS175" s="125"/>
      <c r="BFT175" s="125"/>
      <c r="BFU175" s="125"/>
      <c r="BFV175" s="125"/>
      <c r="BFW175" s="125"/>
      <c r="BFX175" s="125"/>
      <c r="BFY175" s="125"/>
      <c r="BFZ175" s="125"/>
      <c r="BGA175" s="125"/>
      <c r="BGB175" s="125"/>
      <c r="BGC175" s="125"/>
      <c r="BGD175" s="125"/>
      <c r="BGE175" s="125"/>
      <c r="BGF175" s="125"/>
      <c r="BGG175" s="125"/>
      <c r="BGH175" s="125"/>
      <c r="BGI175" s="125"/>
      <c r="BGJ175" s="125"/>
      <c r="BGK175" s="125"/>
      <c r="BGL175" s="125"/>
      <c r="BGM175" s="125"/>
      <c r="BGN175" s="125"/>
      <c r="BGO175" s="125"/>
      <c r="BGP175" s="125"/>
      <c r="BGQ175" s="125"/>
      <c r="BGR175" s="125"/>
      <c r="BGS175" s="125"/>
      <c r="BGT175" s="125"/>
      <c r="BGU175" s="125"/>
      <c r="BGV175" s="125"/>
      <c r="BGW175" s="125"/>
      <c r="BGX175" s="125"/>
      <c r="BGY175" s="125"/>
      <c r="BGZ175" s="125"/>
      <c r="BHA175" s="125"/>
      <c r="BHB175" s="125"/>
      <c r="BHC175" s="125"/>
      <c r="BHD175" s="125"/>
      <c r="BHE175" s="125"/>
      <c r="BHF175" s="125"/>
      <c r="BHG175" s="125"/>
      <c r="BHH175" s="125"/>
      <c r="BHI175" s="125"/>
      <c r="BHJ175" s="125"/>
      <c r="BHK175" s="125"/>
      <c r="BHL175" s="125"/>
      <c r="BHM175" s="125"/>
      <c r="BHN175" s="125"/>
      <c r="BHO175" s="125"/>
      <c r="BHP175" s="125"/>
      <c r="BHQ175" s="125"/>
      <c r="BHR175" s="125"/>
      <c r="BHS175" s="125"/>
      <c r="BHT175" s="125"/>
      <c r="BHU175" s="125"/>
      <c r="BHV175" s="125"/>
      <c r="BHW175" s="125"/>
      <c r="BHX175" s="125"/>
      <c r="BHY175" s="125"/>
      <c r="BHZ175" s="125"/>
      <c r="BIA175" s="125"/>
      <c r="BIB175" s="125"/>
      <c r="BIC175" s="125"/>
      <c r="BID175" s="125"/>
      <c r="BIE175" s="125"/>
      <c r="BIF175" s="125"/>
      <c r="BIG175" s="125"/>
      <c r="BIH175" s="125"/>
      <c r="BII175" s="125"/>
      <c r="BIJ175" s="125"/>
      <c r="BIK175" s="125"/>
      <c r="BIL175" s="125"/>
      <c r="BIM175" s="125"/>
      <c r="BIN175" s="125"/>
      <c r="BIO175" s="125"/>
      <c r="BIP175" s="125"/>
      <c r="BIQ175" s="125"/>
      <c r="BIR175" s="125"/>
      <c r="BIS175" s="125"/>
      <c r="BIT175" s="125"/>
      <c r="BIU175" s="125"/>
      <c r="BIV175" s="125"/>
      <c r="BIW175" s="125"/>
      <c r="BIX175" s="125"/>
      <c r="BIY175" s="125"/>
      <c r="BIZ175" s="125"/>
      <c r="BJA175" s="125"/>
      <c r="BJB175" s="125"/>
      <c r="BJC175" s="125"/>
      <c r="BJD175" s="125"/>
      <c r="BJE175" s="125"/>
      <c r="BJF175" s="125"/>
      <c r="BJG175" s="125"/>
      <c r="BJH175" s="125"/>
      <c r="BJI175" s="125"/>
      <c r="BJJ175" s="125"/>
      <c r="BJK175" s="125"/>
      <c r="BJL175" s="125"/>
      <c r="BJM175" s="125"/>
      <c r="BJN175" s="125"/>
      <c r="BJO175" s="125"/>
      <c r="BJP175" s="125"/>
      <c r="BJQ175" s="125"/>
      <c r="BJR175" s="125"/>
      <c r="BJS175" s="125"/>
      <c r="BJT175" s="125"/>
      <c r="BJU175" s="125"/>
      <c r="BJV175" s="125"/>
      <c r="BJW175" s="125"/>
      <c r="BJX175" s="125"/>
      <c r="BJY175" s="125"/>
      <c r="BJZ175" s="125"/>
      <c r="BKA175" s="125"/>
      <c r="BKB175" s="125"/>
      <c r="BKC175" s="125"/>
      <c r="BKD175" s="125"/>
      <c r="BKE175" s="125"/>
      <c r="BKF175" s="125"/>
      <c r="BKG175" s="125"/>
      <c r="BKH175" s="125"/>
      <c r="BKI175" s="125"/>
      <c r="BKJ175" s="125"/>
      <c r="BKK175" s="125"/>
      <c r="BKL175" s="125"/>
      <c r="BKM175" s="125"/>
      <c r="BKN175" s="125"/>
      <c r="BKO175" s="125"/>
      <c r="BKP175" s="125"/>
      <c r="BKQ175" s="125"/>
      <c r="BKR175" s="125"/>
      <c r="BKS175" s="125"/>
      <c r="BKT175" s="125"/>
      <c r="BKU175" s="125"/>
      <c r="BKV175" s="125"/>
      <c r="BKW175" s="125"/>
      <c r="BKX175" s="125"/>
      <c r="BKY175" s="125"/>
      <c r="BKZ175" s="125"/>
      <c r="BLA175" s="125"/>
      <c r="BLB175" s="125"/>
      <c r="BLC175" s="125"/>
      <c r="BLD175" s="125"/>
      <c r="BLE175" s="125"/>
      <c r="BLF175" s="125"/>
      <c r="BLG175" s="125"/>
      <c r="BLH175" s="125"/>
      <c r="BLI175" s="125"/>
      <c r="BLJ175" s="125"/>
      <c r="BLK175" s="125"/>
      <c r="BLL175" s="125"/>
      <c r="BLM175" s="125"/>
      <c r="BLN175" s="125"/>
      <c r="BLO175" s="125"/>
      <c r="BLP175" s="125"/>
      <c r="BLQ175" s="125"/>
      <c r="BLR175" s="125"/>
      <c r="BLS175" s="125"/>
      <c r="BLT175" s="125"/>
      <c r="BLU175" s="125"/>
      <c r="BLV175" s="125"/>
      <c r="BLW175" s="125"/>
      <c r="BLX175" s="125"/>
      <c r="BLY175" s="125"/>
      <c r="BLZ175" s="125"/>
      <c r="BMA175" s="125"/>
      <c r="BMB175" s="125"/>
      <c r="BMC175" s="125"/>
      <c r="BMD175" s="125"/>
      <c r="BME175" s="125"/>
      <c r="BMF175" s="125"/>
      <c r="BMG175" s="125"/>
      <c r="BMH175" s="125"/>
      <c r="BMI175" s="125"/>
      <c r="BMJ175" s="125"/>
      <c r="BMK175" s="125"/>
      <c r="BML175" s="125"/>
      <c r="BMM175" s="125"/>
      <c r="BMN175" s="125"/>
      <c r="BMO175" s="125"/>
      <c r="BMP175" s="125"/>
      <c r="BMQ175" s="125"/>
      <c r="BMR175" s="125"/>
      <c r="BMS175" s="125"/>
      <c r="BMT175" s="125"/>
      <c r="BMU175" s="125"/>
      <c r="BMV175" s="125"/>
      <c r="BMW175" s="125"/>
      <c r="BMX175" s="125"/>
      <c r="BMY175" s="125"/>
      <c r="BMZ175" s="125"/>
      <c r="BNA175" s="125"/>
      <c r="BNB175" s="125"/>
      <c r="BNC175" s="125"/>
      <c r="BND175" s="125"/>
      <c r="BNE175" s="125"/>
      <c r="BNF175" s="125"/>
      <c r="BNG175" s="125"/>
      <c r="BNH175" s="125"/>
      <c r="BNI175" s="125"/>
      <c r="BNJ175" s="125"/>
      <c r="BNK175" s="125"/>
      <c r="BNL175" s="125"/>
      <c r="BNM175" s="125"/>
      <c r="BNN175" s="125"/>
      <c r="BNO175" s="125"/>
      <c r="BNP175" s="125"/>
      <c r="BNQ175" s="125"/>
      <c r="BNR175" s="125"/>
      <c r="BNS175" s="125"/>
      <c r="BNT175" s="125"/>
      <c r="BNU175" s="125"/>
      <c r="BNV175" s="125"/>
      <c r="BNW175" s="125"/>
      <c r="BNX175" s="125"/>
      <c r="BNY175" s="125"/>
      <c r="BNZ175" s="125"/>
      <c r="BOA175" s="125"/>
      <c r="BOB175" s="125"/>
      <c r="BOC175" s="125"/>
      <c r="BOD175" s="125"/>
      <c r="BOE175" s="125"/>
      <c r="BOF175" s="125"/>
      <c r="BOG175" s="125"/>
      <c r="BOH175" s="125"/>
      <c r="BOI175" s="125"/>
      <c r="BOJ175" s="125"/>
      <c r="BOK175" s="125"/>
      <c r="BOL175" s="125"/>
      <c r="BOM175" s="125"/>
      <c r="BON175" s="125"/>
      <c r="BOO175" s="125"/>
      <c r="BOP175" s="125"/>
      <c r="BOQ175" s="125"/>
      <c r="BOR175" s="125"/>
      <c r="BOS175" s="125"/>
      <c r="BOT175" s="125"/>
      <c r="BOU175" s="125"/>
      <c r="BOV175" s="125"/>
      <c r="BOW175" s="125"/>
      <c r="BOX175" s="125"/>
      <c r="BOY175" s="125"/>
      <c r="BOZ175" s="125"/>
      <c r="BPA175" s="125"/>
      <c r="BPB175" s="125"/>
      <c r="BPC175" s="125"/>
      <c r="BPD175" s="125"/>
      <c r="BPE175" s="125"/>
      <c r="BPF175" s="125"/>
      <c r="BPG175" s="125"/>
      <c r="BPH175" s="125"/>
      <c r="BPI175" s="125"/>
      <c r="BPJ175" s="125"/>
      <c r="BPK175" s="125"/>
      <c r="BPL175" s="125"/>
      <c r="BPM175" s="125"/>
      <c r="BPN175" s="125"/>
      <c r="BPO175" s="125"/>
      <c r="BPP175" s="125"/>
      <c r="BPQ175" s="125"/>
      <c r="BPR175" s="125"/>
      <c r="BPS175" s="125"/>
      <c r="BPT175" s="125"/>
      <c r="BPU175" s="125"/>
      <c r="BPV175" s="125"/>
      <c r="BPW175" s="125"/>
      <c r="BPX175" s="125"/>
      <c r="BPY175" s="125"/>
      <c r="BPZ175" s="125"/>
      <c r="BQA175" s="125"/>
      <c r="BQB175" s="125"/>
      <c r="BQC175" s="125"/>
      <c r="BQD175" s="125"/>
      <c r="BQE175" s="125"/>
      <c r="BQF175" s="125"/>
      <c r="BQG175" s="125"/>
      <c r="BQH175" s="125"/>
      <c r="BQI175" s="125"/>
      <c r="BQJ175" s="125"/>
      <c r="BQK175" s="125"/>
      <c r="BQL175" s="125"/>
      <c r="BQM175" s="125"/>
      <c r="BQN175" s="125"/>
      <c r="BQO175" s="125"/>
      <c r="BQP175" s="125"/>
      <c r="BQQ175" s="125"/>
      <c r="BQR175" s="125"/>
      <c r="BQS175" s="125"/>
      <c r="BQT175" s="125"/>
      <c r="BQU175" s="125"/>
      <c r="BQV175" s="125"/>
      <c r="BQW175" s="125"/>
      <c r="BQX175" s="125"/>
      <c r="BQY175" s="125"/>
      <c r="BQZ175" s="125"/>
      <c r="BRA175" s="125"/>
      <c r="BRB175" s="125"/>
      <c r="BRC175" s="125"/>
      <c r="BRD175" s="125"/>
      <c r="BRE175" s="125"/>
      <c r="BRF175" s="125"/>
      <c r="BRG175" s="125"/>
      <c r="BRH175" s="125"/>
      <c r="BRI175" s="125"/>
      <c r="BRJ175" s="125"/>
      <c r="BRK175" s="125"/>
      <c r="BRL175" s="125"/>
      <c r="BRM175" s="125"/>
      <c r="BRN175" s="125"/>
      <c r="BRO175" s="125"/>
      <c r="BRP175" s="125"/>
      <c r="BRQ175" s="125"/>
      <c r="BRR175" s="125"/>
      <c r="BRS175" s="125"/>
      <c r="BRT175" s="125"/>
      <c r="BRU175" s="125"/>
      <c r="BRV175" s="125"/>
      <c r="BRW175" s="125"/>
      <c r="BRX175" s="125"/>
      <c r="BRY175" s="125"/>
      <c r="BRZ175" s="125"/>
      <c r="BSA175" s="125"/>
      <c r="BSB175" s="125"/>
      <c r="BSC175" s="125"/>
      <c r="BSD175" s="125"/>
      <c r="BSE175" s="125"/>
      <c r="BSF175" s="125"/>
      <c r="BSG175" s="125"/>
      <c r="BSH175" s="125"/>
      <c r="BSI175" s="125"/>
      <c r="BSJ175" s="125"/>
      <c r="BSK175" s="125"/>
      <c r="BSL175" s="125"/>
      <c r="BSM175" s="125"/>
      <c r="BSN175" s="125"/>
      <c r="BSO175" s="125"/>
      <c r="BSP175" s="125"/>
      <c r="BSQ175" s="125"/>
      <c r="BSR175" s="125"/>
      <c r="BSS175" s="125"/>
      <c r="BST175" s="125"/>
      <c r="BSU175" s="125"/>
      <c r="BSV175" s="125"/>
      <c r="BSW175" s="125"/>
      <c r="BSX175" s="125"/>
      <c r="BSY175" s="125"/>
      <c r="BSZ175" s="125"/>
      <c r="BTA175" s="125"/>
      <c r="BTB175" s="125"/>
      <c r="BTC175" s="125"/>
      <c r="BTD175" s="125"/>
      <c r="BTE175" s="125"/>
      <c r="BTF175" s="125"/>
      <c r="BTG175" s="125"/>
      <c r="BTH175" s="125"/>
      <c r="BTI175" s="125"/>
      <c r="BTJ175" s="125"/>
      <c r="BTK175" s="125"/>
      <c r="BTL175" s="125"/>
      <c r="BTM175" s="125"/>
      <c r="BTN175" s="125"/>
      <c r="BTO175" s="125"/>
      <c r="BTP175" s="125"/>
      <c r="BTQ175" s="125"/>
      <c r="BTR175" s="125"/>
      <c r="BTS175" s="125"/>
      <c r="BTT175" s="125"/>
      <c r="BTU175" s="125"/>
      <c r="BTV175" s="125"/>
      <c r="BTW175" s="125"/>
      <c r="BTX175" s="125"/>
      <c r="BTY175" s="125"/>
      <c r="BTZ175" s="125"/>
      <c r="BUA175" s="125"/>
      <c r="BUB175" s="125"/>
      <c r="BUC175" s="125"/>
      <c r="BUD175" s="125"/>
      <c r="BUE175" s="125"/>
      <c r="BUF175" s="125"/>
      <c r="BUG175" s="125"/>
      <c r="BUH175" s="125"/>
      <c r="BUI175" s="125"/>
      <c r="BUJ175" s="125"/>
      <c r="BUK175" s="125"/>
      <c r="BUL175" s="125"/>
      <c r="BUM175" s="125"/>
      <c r="BUN175" s="125"/>
      <c r="BUO175" s="125"/>
      <c r="BUP175" s="125"/>
      <c r="BUQ175" s="125"/>
      <c r="BUR175" s="125"/>
      <c r="BUS175" s="125"/>
      <c r="BUT175" s="125"/>
      <c r="BUU175" s="125"/>
      <c r="BUV175" s="125"/>
      <c r="BUW175" s="125"/>
      <c r="BUX175" s="125"/>
      <c r="BUY175" s="125"/>
      <c r="BUZ175" s="125"/>
      <c r="BVA175" s="125"/>
      <c r="BVB175" s="125"/>
      <c r="BVC175" s="125"/>
      <c r="BVD175" s="125"/>
      <c r="BVE175" s="125"/>
      <c r="BVF175" s="125"/>
      <c r="BVG175" s="125"/>
      <c r="BVH175" s="125"/>
      <c r="BVI175" s="125"/>
      <c r="BVJ175" s="125"/>
      <c r="BVK175" s="125"/>
      <c r="BVL175" s="125"/>
      <c r="BVM175" s="125"/>
      <c r="BVN175" s="125"/>
      <c r="BVO175" s="125"/>
      <c r="BVP175" s="125"/>
      <c r="BVQ175" s="125"/>
      <c r="BVR175" s="125"/>
      <c r="BVS175" s="125"/>
      <c r="BVT175" s="125"/>
      <c r="BVU175" s="125"/>
      <c r="BVV175" s="125"/>
      <c r="BVW175" s="125"/>
      <c r="BVX175" s="125"/>
      <c r="BVY175" s="125"/>
      <c r="BVZ175" s="125"/>
      <c r="BWA175" s="125"/>
      <c r="BWB175" s="125"/>
      <c r="BWC175" s="125"/>
      <c r="BWD175" s="125"/>
      <c r="BWE175" s="125"/>
      <c r="BWF175" s="125"/>
      <c r="BWG175" s="125"/>
      <c r="BWH175" s="125"/>
      <c r="BWI175" s="125"/>
      <c r="BWJ175" s="125"/>
      <c r="BWK175" s="125"/>
      <c r="BWL175" s="125"/>
      <c r="BWM175" s="125"/>
      <c r="BWN175" s="125"/>
      <c r="BWO175" s="125"/>
      <c r="BWP175" s="125"/>
      <c r="BWQ175" s="125"/>
      <c r="BWR175" s="125"/>
      <c r="BWS175" s="125"/>
      <c r="BWT175" s="125"/>
      <c r="BWU175" s="125"/>
      <c r="BWV175" s="125"/>
      <c r="BWW175" s="125"/>
      <c r="BWX175" s="125"/>
      <c r="BWY175" s="125"/>
      <c r="BWZ175" s="125"/>
      <c r="BXA175" s="125"/>
      <c r="BXB175" s="125"/>
      <c r="BXC175" s="125"/>
      <c r="BXD175" s="125"/>
      <c r="BXE175" s="125"/>
      <c r="BXF175" s="125"/>
      <c r="BXG175" s="125"/>
      <c r="BXH175" s="125"/>
      <c r="BXI175" s="125"/>
      <c r="BXJ175" s="125"/>
      <c r="BXK175" s="125"/>
      <c r="BXL175" s="125"/>
      <c r="BXM175" s="125"/>
      <c r="BXN175" s="125"/>
      <c r="BXO175" s="125"/>
      <c r="BXP175" s="125"/>
      <c r="BXQ175" s="125"/>
      <c r="BXR175" s="125"/>
      <c r="BXS175" s="125"/>
      <c r="BXT175" s="125"/>
      <c r="BXU175" s="125"/>
      <c r="BXV175" s="125"/>
      <c r="BXW175" s="125"/>
      <c r="BXX175" s="125"/>
      <c r="BXY175" s="125"/>
      <c r="BXZ175" s="125"/>
      <c r="BYA175" s="125"/>
      <c r="BYB175" s="125"/>
      <c r="BYC175" s="125"/>
      <c r="BYD175" s="125"/>
      <c r="BYE175" s="125"/>
      <c r="BYF175" s="125"/>
      <c r="BYG175" s="125"/>
      <c r="BYH175" s="125"/>
      <c r="BYI175" s="125"/>
      <c r="BYJ175" s="125"/>
      <c r="BYK175" s="125"/>
      <c r="BYL175" s="125"/>
      <c r="BYM175" s="125"/>
      <c r="BYN175" s="125"/>
      <c r="BYO175" s="125"/>
      <c r="BYP175" s="125"/>
      <c r="BYQ175" s="125"/>
      <c r="BYR175" s="125"/>
      <c r="BYS175" s="125"/>
      <c r="BYT175" s="125"/>
      <c r="BYU175" s="125"/>
      <c r="BYV175" s="125"/>
      <c r="BYW175" s="125"/>
      <c r="BYX175" s="125"/>
      <c r="BYY175" s="125"/>
      <c r="BYZ175" s="125"/>
      <c r="BZA175" s="125"/>
      <c r="BZB175" s="125"/>
      <c r="BZC175" s="125"/>
      <c r="BZD175" s="125"/>
      <c r="BZE175" s="125"/>
      <c r="BZF175" s="125"/>
      <c r="BZG175" s="125"/>
      <c r="BZH175" s="125"/>
      <c r="BZI175" s="125"/>
      <c r="BZJ175" s="125"/>
      <c r="BZK175" s="125"/>
      <c r="BZL175" s="125"/>
      <c r="BZM175" s="125"/>
      <c r="BZN175" s="125"/>
      <c r="BZO175" s="125"/>
      <c r="BZP175" s="125"/>
      <c r="BZQ175" s="125"/>
      <c r="BZR175" s="125"/>
      <c r="BZS175" s="125"/>
      <c r="BZT175" s="125"/>
      <c r="BZU175" s="125"/>
      <c r="BZV175" s="125"/>
      <c r="BZW175" s="125"/>
      <c r="BZX175" s="125"/>
      <c r="BZY175" s="125"/>
      <c r="BZZ175" s="125"/>
      <c r="CAA175" s="125"/>
      <c r="CAB175" s="125"/>
      <c r="CAC175" s="125"/>
      <c r="CAD175" s="125"/>
      <c r="CAE175" s="125"/>
      <c r="CAF175" s="125"/>
      <c r="CAG175" s="125"/>
      <c r="CAH175" s="125"/>
      <c r="CAI175" s="125"/>
      <c r="CAJ175" s="125"/>
      <c r="CAK175" s="125"/>
      <c r="CAL175" s="125"/>
      <c r="CAM175" s="125"/>
      <c r="CAN175" s="125"/>
      <c r="CAO175" s="125"/>
      <c r="CAP175" s="125"/>
      <c r="CAQ175" s="125"/>
      <c r="CAR175" s="125"/>
      <c r="CAS175" s="125"/>
      <c r="CAT175" s="125"/>
      <c r="CAU175" s="125"/>
      <c r="CAV175" s="125"/>
      <c r="CAW175" s="125"/>
      <c r="CAX175" s="125"/>
      <c r="CAY175" s="125"/>
      <c r="CAZ175" s="125"/>
      <c r="CBA175" s="125"/>
      <c r="CBB175" s="125"/>
      <c r="CBC175" s="125"/>
      <c r="CBD175" s="125"/>
      <c r="CBE175" s="125"/>
      <c r="CBF175" s="125"/>
      <c r="CBG175" s="125"/>
      <c r="CBH175" s="125"/>
      <c r="CBI175" s="125"/>
      <c r="CBJ175" s="125"/>
      <c r="CBK175" s="125"/>
      <c r="CBL175" s="125"/>
      <c r="CBM175" s="125"/>
      <c r="CBN175" s="125"/>
      <c r="CBO175" s="125"/>
      <c r="CBP175" s="125"/>
      <c r="CBQ175" s="125"/>
      <c r="CBR175" s="125"/>
      <c r="CBS175" s="125"/>
      <c r="CBT175" s="125"/>
      <c r="CBU175" s="125"/>
      <c r="CBV175" s="125"/>
      <c r="CBW175" s="125"/>
      <c r="CBX175" s="125"/>
      <c r="CBY175" s="125"/>
      <c r="CBZ175" s="125"/>
      <c r="CCA175" s="125"/>
      <c r="CCB175" s="125"/>
      <c r="CCC175" s="125"/>
      <c r="CCD175" s="125"/>
      <c r="CCE175" s="125"/>
      <c r="CCF175" s="125"/>
      <c r="CCG175" s="125"/>
      <c r="CCH175" s="125"/>
      <c r="CCI175" s="125"/>
      <c r="CCJ175" s="125"/>
      <c r="CCK175" s="125"/>
      <c r="CCL175" s="125"/>
      <c r="CCM175" s="125"/>
      <c r="CCN175" s="125"/>
      <c r="CCO175" s="125"/>
      <c r="CCP175" s="125"/>
      <c r="CCQ175" s="125"/>
      <c r="CCR175" s="125"/>
      <c r="CCS175" s="125"/>
      <c r="CCT175" s="125"/>
      <c r="CCU175" s="125"/>
      <c r="CCV175" s="125"/>
      <c r="CCW175" s="125"/>
      <c r="CCX175" s="125"/>
      <c r="CCY175" s="125"/>
      <c r="CCZ175" s="125"/>
      <c r="CDA175" s="125"/>
      <c r="CDB175" s="125"/>
      <c r="CDC175" s="125"/>
      <c r="CDD175" s="125"/>
      <c r="CDE175" s="125"/>
      <c r="CDF175" s="125"/>
      <c r="CDG175" s="125"/>
      <c r="CDH175" s="125"/>
      <c r="CDI175" s="125"/>
      <c r="CDJ175" s="125"/>
      <c r="CDK175" s="125"/>
      <c r="CDL175" s="125"/>
      <c r="CDM175" s="125"/>
      <c r="CDN175" s="125"/>
      <c r="CDO175" s="125"/>
      <c r="CDP175" s="125"/>
      <c r="CDQ175" s="125"/>
      <c r="CDR175" s="125"/>
      <c r="CDS175" s="125"/>
      <c r="CDT175" s="125"/>
      <c r="CDU175" s="125"/>
      <c r="CDV175" s="125"/>
      <c r="CDW175" s="125"/>
      <c r="CDX175" s="125"/>
      <c r="CDY175" s="125"/>
      <c r="CDZ175" s="125"/>
      <c r="CEA175" s="125"/>
      <c r="CEB175" s="125"/>
      <c r="CEC175" s="125"/>
      <c r="CED175" s="125"/>
      <c r="CEE175" s="125"/>
      <c r="CEF175" s="125"/>
      <c r="CEG175" s="125"/>
      <c r="CEH175" s="125"/>
      <c r="CEI175" s="125"/>
      <c r="CEJ175" s="125"/>
      <c r="CEK175" s="125"/>
      <c r="CEL175" s="125"/>
      <c r="CEM175" s="125"/>
      <c r="CEN175" s="125"/>
      <c r="CEO175" s="125"/>
      <c r="CEP175" s="125"/>
      <c r="CEQ175" s="125"/>
      <c r="CER175" s="125"/>
      <c r="CES175" s="125"/>
      <c r="CET175" s="125"/>
      <c r="CEU175" s="125"/>
      <c r="CEV175" s="125"/>
      <c r="CEW175" s="125"/>
      <c r="CEX175" s="125"/>
      <c r="CEY175" s="125"/>
      <c r="CEZ175" s="125"/>
      <c r="CFA175" s="125"/>
      <c r="CFB175" s="125"/>
      <c r="CFC175" s="125"/>
      <c r="CFD175" s="125"/>
      <c r="CFE175" s="125"/>
      <c r="CFF175" s="125"/>
      <c r="CFG175" s="125"/>
      <c r="CFH175" s="125"/>
      <c r="CFI175" s="125"/>
      <c r="CFJ175" s="125"/>
      <c r="CFK175" s="125"/>
      <c r="CFL175" s="125"/>
      <c r="CFM175" s="125"/>
      <c r="CFN175" s="125"/>
      <c r="CFO175" s="125"/>
      <c r="CFP175" s="125"/>
      <c r="CFQ175" s="125"/>
      <c r="CFR175" s="125"/>
      <c r="CFS175" s="125"/>
      <c r="CFT175" s="125"/>
      <c r="CFU175" s="125"/>
      <c r="CFV175" s="125"/>
      <c r="CFW175" s="125"/>
      <c r="CFX175" s="125"/>
      <c r="CFY175" s="125"/>
      <c r="CFZ175" s="125"/>
      <c r="CGA175" s="125"/>
      <c r="CGB175" s="125"/>
      <c r="CGC175" s="125"/>
      <c r="CGD175" s="125"/>
      <c r="CGE175" s="125"/>
      <c r="CGF175" s="125"/>
      <c r="CGG175" s="125"/>
      <c r="CGH175" s="125"/>
      <c r="CGI175" s="125"/>
      <c r="CGJ175" s="125"/>
      <c r="CGK175" s="125"/>
      <c r="CGL175" s="125"/>
      <c r="CGM175" s="125"/>
      <c r="CGN175" s="125"/>
      <c r="CGO175" s="125"/>
      <c r="CGP175" s="125"/>
      <c r="CGQ175" s="125"/>
      <c r="CGR175" s="125"/>
      <c r="CGS175" s="125"/>
      <c r="CGT175" s="125"/>
      <c r="CGU175" s="125"/>
      <c r="CGV175" s="125"/>
      <c r="CGW175" s="125"/>
      <c r="CGX175" s="125"/>
      <c r="CGY175" s="125"/>
      <c r="CGZ175" s="125"/>
      <c r="CHA175" s="125"/>
      <c r="CHB175" s="125"/>
      <c r="CHC175" s="125"/>
      <c r="CHD175" s="125"/>
      <c r="CHE175" s="125"/>
      <c r="CHF175" s="125"/>
      <c r="CHG175" s="125"/>
      <c r="CHH175" s="125"/>
      <c r="CHI175" s="125"/>
      <c r="CHJ175" s="125"/>
      <c r="CHK175" s="125"/>
      <c r="CHL175" s="125"/>
      <c r="CHM175" s="125"/>
      <c r="CHN175" s="125"/>
      <c r="CHO175" s="125"/>
      <c r="CHP175" s="125"/>
      <c r="CHQ175" s="125"/>
      <c r="CHR175" s="125"/>
      <c r="CHS175" s="125"/>
      <c r="CHT175" s="125"/>
      <c r="CHU175" s="125"/>
      <c r="CHV175" s="125"/>
      <c r="CHW175" s="125"/>
      <c r="CHX175" s="125"/>
      <c r="CHY175" s="125"/>
      <c r="CHZ175" s="125"/>
      <c r="CIA175" s="125"/>
      <c r="CIB175" s="125"/>
      <c r="CIC175" s="125"/>
      <c r="CID175" s="125"/>
      <c r="CIE175" s="125"/>
      <c r="CIF175" s="125"/>
      <c r="CIG175" s="125"/>
      <c r="CIH175" s="125"/>
      <c r="CII175" s="125"/>
      <c r="CIJ175" s="125"/>
      <c r="CIK175" s="125"/>
      <c r="CIL175" s="125"/>
      <c r="CIM175" s="125"/>
      <c r="CIN175" s="125"/>
      <c r="CIO175" s="125"/>
      <c r="CIP175" s="125"/>
      <c r="CIQ175" s="125"/>
      <c r="CIR175" s="125"/>
      <c r="CIS175" s="125"/>
      <c r="CIT175" s="125"/>
      <c r="CIU175" s="125"/>
      <c r="CIV175" s="125"/>
      <c r="CIW175" s="125"/>
      <c r="CIX175" s="125"/>
      <c r="CIY175" s="125"/>
      <c r="CIZ175" s="125"/>
      <c r="CJA175" s="125"/>
      <c r="CJB175" s="125"/>
      <c r="CJC175" s="125"/>
      <c r="CJD175" s="125"/>
      <c r="CJE175" s="125"/>
      <c r="CJF175" s="125"/>
      <c r="CJG175" s="125"/>
      <c r="CJH175" s="125"/>
      <c r="CJI175" s="125"/>
      <c r="CJJ175" s="125"/>
      <c r="CJK175" s="125"/>
      <c r="CJL175" s="125"/>
      <c r="CJM175" s="125"/>
      <c r="CJN175" s="125"/>
      <c r="CJO175" s="125"/>
      <c r="CJP175" s="125"/>
      <c r="CJQ175" s="125"/>
      <c r="CJR175" s="125"/>
      <c r="CJS175" s="125"/>
      <c r="CJT175" s="125"/>
      <c r="CJU175" s="125"/>
      <c r="CJV175" s="125"/>
      <c r="CJW175" s="125"/>
      <c r="CJX175" s="125"/>
      <c r="CJY175" s="125"/>
      <c r="CJZ175" s="125"/>
      <c r="CKA175" s="125"/>
      <c r="CKB175" s="125"/>
      <c r="CKC175" s="125"/>
      <c r="CKD175" s="125"/>
      <c r="CKE175" s="125"/>
      <c r="CKF175" s="125"/>
      <c r="CKG175" s="125"/>
      <c r="CKH175" s="125"/>
      <c r="CKI175" s="125"/>
      <c r="CKJ175" s="125"/>
      <c r="CKK175" s="125"/>
      <c r="CKL175" s="125"/>
      <c r="CKM175" s="125"/>
      <c r="CKN175" s="125"/>
      <c r="CKO175" s="125"/>
      <c r="CKP175" s="125"/>
      <c r="CKQ175" s="125"/>
      <c r="CKR175" s="125"/>
      <c r="CKS175" s="125"/>
      <c r="CKT175" s="125"/>
      <c r="CKU175" s="125"/>
      <c r="CKV175" s="125"/>
      <c r="CKW175" s="125"/>
      <c r="CKX175" s="125"/>
      <c r="CKY175" s="125"/>
      <c r="CKZ175" s="125"/>
      <c r="CLA175" s="125"/>
      <c r="CLB175" s="125"/>
      <c r="CLC175" s="125"/>
      <c r="CLD175" s="125"/>
      <c r="CLE175" s="125"/>
      <c r="CLF175" s="125"/>
      <c r="CLG175" s="125"/>
      <c r="CLH175" s="125"/>
      <c r="CLI175" s="125"/>
      <c r="CLJ175" s="125"/>
      <c r="CLK175" s="125"/>
      <c r="CLL175" s="125"/>
      <c r="CLM175" s="125"/>
      <c r="CLN175" s="125"/>
      <c r="CLO175" s="125"/>
      <c r="CLP175" s="125"/>
      <c r="CLQ175" s="125"/>
      <c r="CLR175" s="125"/>
      <c r="CLS175" s="125"/>
      <c r="CLT175" s="125"/>
      <c r="CLU175" s="125"/>
      <c r="CLV175" s="125"/>
      <c r="CLW175" s="125"/>
      <c r="CLX175" s="125"/>
      <c r="CLY175" s="125"/>
      <c r="CLZ175" s="125"/>
      <c r="CMA175" s="125"/>
      <c r="CMB175" s="125"/>
      <c r="CMC175" s="125"/>
      <c r="CMD175" s="125"/>
      <c r="CME175" s="125"/>
      <c r="CMF175" s="125"/>
      <c r="CMG175" s="125"/>
      <c r="CMH175" s="125"/>
      <c r="CMI175" s="125"/>
      <c r="CMJ175" s="125"/>
      <c r="CMK175" s="125"/>
      <c r="CML175" s="125"/>
      <c r="CMM175" s="125"/>
      <c r="CMN175" s="125"/>
      <c r="CMO175" s="125"/>
      <c r="CMP175" s="125"/>
      <c r="CMQ175" s="125"/>
      <c r="CMR175" s="125"/>
      <c r="CMS175" s="125"/>
      <c r="CMT175" s="125"/>
      <c r="CMU175" s="125"/>
      <c r="CMV175" s="125"/>
      <c r="CMW175" s="125"/>
      <c r="CMX175" s="125"/>
      <c r="CMY175" s="125"/>
      <c r="CMZ175" s="125"/>
      <c r="CNA175" s="125"/>
      <c r="CNB175" s="125"/>
      <c r="CNC175" s="125"/>
      <c r="CND175" s="125"/>
      <c r="CNE175" s="125"/>
      <c r="CNF175" s="125"/>
      <c r="CNG175" s="125"/>
      <c r="CNH175" s="125"/>
      <c r="CNI175" s="125"/>
      <c r="CNJ175" s="125"/>
      <c r="CNK175" s="125"/>
      <c r="CNL175" s="125"/>
      <c r="CNM175" s="125"/>
      <c r="CNN175" s="125"/>
      <c r="CNO175" s="125"/>
      <c r="CNP175" s="125"/>
      <c r="CNQ175" s="125"/>
      <c r="CNR175" s="125"/>
      <c r="CNS175" s="125"/>
      <c r="CNT175" s="125"/>
      <c r="CNU175" s="125"/>
      <c r="CNV175" s="125"/>
      <c r="CNW175" s="125"/>
      <c r="CNX175" s="125"/>
      <c r="CNY175" s="125"/>
      <c r="CNZ175" s="125"/>
      <c r="COA175" s="125"/>
      <c r="COB175" s="125"/>
      <c r="COC175" s="125"/>
      <c r="COD175" s="125"/>
      <c r="COE175" s="125"/>
      <c r="COF175" s="125"/>
      <c r="COG175" s="125"/>
      <c r="COH175" s="125"/>
      <c r="COI175" s="125"/>
      <c r="COJ175" s="125"/>
      <c r="COK175" s="125"/>
      <c r="COL175" s="125"/>
      <c r="COM175" s="125"/>
      <c r="CON175" s="125"/>
      <c r="COO175" s="125"/>
      <c r="COP175" s="125"/>
      <c r="COQ175" s="125"/>
      <c r="COR175" s="125"/>
      <c r="COS175" s="125"/>
      <c r="COT175" s="125"/>
      <c r="COU175" s="125"/>
      <c r="COV175" s="125"/>
      <c r="COW175" s="125"/>
      <c r="COX175" s="125"/>
      <c r="COY175" s="125"/>
      <c r="COZ175" s="125"/>
      <c r="CPA175" s="125"/>
      <c r="CPB175" s="125"/>
      <c r="CPC175" s="125"/>
      <c r="CPD175" s="125"/>
      <c r="CPE175" s="125"/>
      <c r="CPF175" s="125"/>
      <c r="CPG175" s="125"/>
      <c r="CPH175" s="125"/>
      <c r="CPI175" s="125"/>
      <c r="CPJ175" s="125"/>
      <c r="CPK175" s="125"/>
      <c r="CPL175" s="125"/>
      <c r="CPM175" s="125"/>
      <c r="CPN175" s="125"/>
      <c r="CPO175" s="125"/>
      <c r="CPP175" s="125"/>
      <c r="CPQ175" s="125"/>
      <c r="CPR175" s="125"/>
      <c r="CPS175" s="125"/>
      <c r="CPT175" s="125"/>
      <c r="CPU175" s="125"/>
      <c r="CPV175" s="125"/>
      <c r="CPW175" s="125"/>
      <c r="CPX175" s="125"/>
      <c r="CPY175" s="125"/>
      <c r="CPZ175" s="125"/>
      <c r="CQA175" s="125"/>
      <c r="CQB175" s="125"/>
      <c r="CQC175" s="125"/>
      <c r="CQD175" s="125"/>
      <c r="CQE175" s="125"/>
      <c r="CQF175" s="125"/>
      <c r="CQG175" s="125"/>
      <c r="CQH175" s="125"/>
      <c r="CQI175" s="125"/>
      <c r="CQJ175" s="125"/>
      <c r="CQK175" s="125"/>
      <c r="CQL175" s="125"/>
      <c r="CQM175" s="125"/>
      <c r="CQN175" s="125"/>
      <c r="CQO175" s="125"/>
      <c r="CQP175" s="125"/>
      <c r="CQQ175" s="125"/>
      <c r="CQR175" s="125"/>
      <c r="CQS175" s="125"/>
      <c r="CQT175" s="125"/>
      <c r="CQU175" s="125"/>
      <c r="CQV175" s="125"/>
      <c r="CQW175" s="125"/>
      <c r="CQX175" s="125"/>
      <c r="CQY175" s="125"/>
      <c r="CQZ175" s="125"/>
      <c r="CRA175" s="125"/>
      <c r="CRB175" s="125"/>
      <c r="CRC175" s="125"/>
      <c r="CRD175" s="125"/>
      <c r="CRE175" s="125"/>
      <c r="CRF175" s="125"/>
      <c r="CRG175" s="125"/>
      <c r="CRH175" s="125"/>
      <c r="CRI175" s="125"/>
      <c r="CRJ175" s="125"/>
      <c r="CRK175" s="125"/>
      <c r="CRL175" s="125"/>
      <c r="CRM175" s="125"/>
      <c r="CRN175" s="125"/>
      <c r="CRO175" s="125"/>
      <c r="CRP175" s="125"/>
      <c r="CRQ175" s="125"/>
      <c r="CRR175" s="125"/>
      <c r="CRS175" s="125"/>
      <c r="CRT175" s="125"/>
      <c r="CRU175" s="125"/>
      <c r="CRV175" s="125"/>
      <c r="CRW175" s="125"/>
      <c r="CRX175" s="125"/>
      <c r="CRY175" s="125"/>
      <c r="CRZ175" s="125"/>
      <c r="CSA175" s="125"/>
      <c r="CSB175" s="125"/>
      <c r="CSC175" s="125"/>
      <c r="CSD175" s="125"/>
      <c r="CSE175" s="125"/>
      <c r="CSF175" s="125"/>
      <c r="CSG175" s="125"/>
      <c r="CSH175" s="125"/>
      <c r="CSI175" s="125"/>
      <c r="CSJ175" s="125"/>
      <c r="CSK175" s="125"/>
      <c r="CSL175" s="125"/>
      <c r="CSM175" s="125"/>
      <c r="CSN175" s="125"/>
      <c r="CSO175" s="125"/>
      <c r="CSP175" s="125"/>
      <c r="CSQ175" s="125"/>
      <c r="CSR175" s="125"/>
      <c r="CSS175" s="125"/>
      <c r="CST175" s="125"/>
      <c r="CSU175" s="125"/>
      <c r="CSV175" s="125"/>
      <c r="CSW175" s="125"/>
      <c r="CSX175" s="125"/>
      <c r="CSY175" s="125"/>
      <c r="CSZ175" s="125"/>
      <c r="CTA175" s="125"/>
      <c r="CTB175" s="125"/>
      <c r="CTC175" s="125"/>
      <c r="CTD175" s="125"/>
      <c r="CTE175" s="125"/>
      <c r="CTF175" s="125"/>
      <c r="CTG175" s="125"/>
      <c r="CTH175" s="125"/>
      <c r="CTI175" s="125"/>
      <c r="CTJ175" s="125"/>
      <c r="CTK175" s="125"/>
      <c r="CTL175" s="125"/>
      <c r="CTM175" s="125"/>
      <c r="CTN175" s="125"/>
      <c r="CTO175" s="125"/>
      <c r="CTP175" s="125"/>
      <c r="CTQ175" s="125"/>
      <c r="CTR175" s="125"/>
      <c r="CTS175" s="125"/>
      <c r="CTT175" s="125"/>
      <c r="CTU175" s="125"/>
      <c r="CTV175" s="125"/>
      <c r="CTW175" s="125"/>
      <c r="CTX175" s="125"/>
      <c r="CTY175" s="125"/>
      <c r="CTZ175" s="125"/>
      <c r="CUA175" s="125"/>
      <c r="CUB175" s="125"/>
      <c r="CUC175" s="125"/>
      <c r="CUD175" s="125"/>
      <c r="CUE175" s="125"/>
      <c r="CUF175" s="125"/>
      <c r="CUG175" s="125"/>
      <c r="CUH175" s="125"/>
      <c r="CUI175" s="125"/>
      <c r="CUJ175" s="125"/>
      <c r="CUK175" s="125"/>
      <c r="CUL175" s="125"/>
      <c r="CUM175" s="125"/>
      <c r="CUN175" s="125"/>
      <c r="CUO175" s="125"/>
      <c r="CUP175" s="125"/>
      <c r="CUQ175" s="125"/>
      <c r="CUR175" s="125"/>
      <c r="CUS175" s="125"/>
      <c r="CUT175" s="125"/>
      <c r="CUU175" s="125"/>
      <c r="CUV175" s="125"/>
      <c r="CUW175" s="125"/>
      <c r="CUX175" s="125"/>
      <c r="CUY175" s="125"/>
      <c r="CUZ175" s="125"/>
      <c r="CVA175" s="125"/>
      <c r="CVB175" s="125"/>
      <c r="CVC175" s="125"/>
      <c r="CVD175" s="125"/>
      <c r="CVE175" s="125"/>
      <c r="CVF175" s="125"/>
      <c r="CVG175" s="125"/>
      <c r="CVH175" s="125"/>
      <c r="CVI175" s="125"/>
      <c r="CVJ175" s="125"/>
      <c r="CVK175" s="125"/>
      <c r="CVL175" s="125"/>
      <c r="CVM175" s="125"/>
      <c r="CVN175" s="125"/>
      <c r="CVO175" s="125"/>
      <c r="CVP175" s="125"/>
      <c r="CVQ175" s="125"/>
      <c r="CVR175" s="125"/>
      <c r="CVS175" s="125"/>
      <c r="CVT175" s="125"/>
      <c r="CVU175" s="125"/>
      <c r="CVV175" s="125"/>
      <c r="CVW175" s="125"/>
      <c r="CVX175" s="125"/>
      <c r="CVY175" s="125"/>
      <c r="CVZ175" s="125"/>
      <c r="CWA175" s="125"/>
      <c r="CWB175" s="125"/>
      <c r="CWC175" s="125"/>
      <c r="CWD175" s="125"/>
      <c r="CWE175" s="125"/>
      <c r="CWF175" s="125"/>
      <c r="CWG175" s="125"/>
      <c r="CWH175" s="125"/>
      <c r="CWI175" s="125"/>
      <c r="CWJ175" s="125"/>
      <c r="CWK175" s="125"/>
      <c r="CWL175" s="125"/>
      <c r="CWM175" s="125"/>
      <c r="CWN175" s="125"/>
      <c r="CWO175" s="125"/>
      <c r="CWP175" s="125"/>
      <c r="CWQ175" s="125"/>
      <c r="CWR175" s="125"/>
      <c r="CWS175" s="125"/>
      <c r="CWT175" s="125"/>
      <c r="CWU175" s="125"/>
      <c r="CWV175" s="125"/>
      <c r="CWW175" s="125"/>
      <c r="CWX175" s="125"/>
      <c r="CWY175" s="125"/>
      <c r="CWZ175" s="125"/>
      <c r="CXA175" s="125"/>
      <c r="CXB175" s="125"/>
      <c r="CXC175" s="125"/>
      <c r="CXD175" s="125"/>
      <c r="CXE175" s="125"/>
      <c r="CXF175" s="125"/>
      <c r="CXG175" s="125"/>
      <c r="CXH175" s="125"/>
      <c r="CXI175" s="125"/>
      <c r="CXJ175" s="125"/>
      <c r="CXK175" s="125"/>
      <c r="CXL175" s="125"/>
      <c r="CXM175" s="125"/>
      <c r="CXN175" s="125"/>
      <c r="CXO175" s="125"/>
      <c r="CXP175" s="125"/>
      <c r="CXQ175" s="125"/>
      <c r="CXR175" s="125"/>
      <c r="CXS175" s="125"/>
      <c r="CXT175" s="125"/>
      <c r="CXU175" s="125"/>
      <c r="CXV175" s="125"/>
      <c r="CXW175" s="125"/>
      <c r="CXX175" s="125"/>
      <c r="CXY175" s="125"/>
      <c r="CXZ175" s="125"/>
      <c r="CYA175" s="125"/>
      <c r="CYB175" s="125"/>
      <c r="CYC175" s="125"/>
      <c r="CYD175" s="125"/>
      <c r="CYE175" s="125"/>
      <c r="CYF175" s="125"/>
      <c r="CYG175" s="125"/>
      <c r="CYH175" s="125"/>
      <c r="CYI175" s="125"/>
      <c r="CYJ175" s="125"/>
      <c r="CYK175" s="125"/>
      <c r="CYL175" s="125"/>
      <c r="CYM175" s="125"/>
      <c r="CYN175" s="125"/>
      <c r="CYO175" s="125"/>
      <c r="CYP175" s="125"/>
      <c r="CYQ175" s="125"/>
      <c r="CYR175" s="125"/>
      <c r="CYS175" s="125"/>
      <c r="CYT175" s="125"/>
      <c r="CYU175" s="125"/>
      <c r="CYV175" s="125"/>
      <c r="CYW175" s="125"/>
      <c r="CYX175" s="125"/>
      <c r="CYY175" s="125"/>
      <c r="CYZ175" s="125"/>
      <c r="CZA175" s="125"/>
      <c r="CZB175" s="125"/>
      <c r="CZC175" s="125"/>
      <c r="CZD175" s="125"/>
      <c r="CZE175" s="125"/>
      <c r="CZF175" s="125"/>
      <c r="CZG175" s="125"/>
      <c r="CZH175" s="125"/>
      <c r="CZI175" s="125"/>
      <c r="CZJ175" s="125"/>
      <c r="CZK175" s="125"/>
      <c r="CZL175" s="125"/>
      <c r="CZM175" s="125"/>
      <c r="CZN175" s="125"/>
      <c r="CZO175" s="125"/>
      <c r="CZP175" s="125"/>
      <c r="CZQ175" s="125"/>
      <c r="CZR175" s="125"/>
      <c r="CZS175" s="125"/>
      <c r="CZT175" s="125"/>
      <c r="CZU175" s="125"/>
      <c r="CZV175" s="125"/>
      <c r="CZW175" s="125"/>
      <c r="CZX175" s="125"/>
      <c r="CZY175" s="125"/>
      <c r="CZZ175" s="125"/>
      <c r="DAA175" s="125"/>
      <c r="DAB175" s="125"/>
      <c r="DAC175" s="125"/>
      <c r="DAD175" s="125"/>
      <c r="DAE175" s="125"/>
      <c r="DAF175" s="125"/>
      <c r="DAG175" s="125"/>
      <c r="DAH175" s="125"/>
      <c r="DAI175" s="125"/>
      <c r="DAJ175" s="125"/>
      <c r="DAK175" s="125"/>
      <c r="DAL175" s="125"/>
      <c r="DAM175" s="125"/>
      <c r="DAN175" s="125"/>
      <c r="DAO175" s="125"/>
      <c r="DAP175" s="125"/>
      <c r="DAQ175" s="125"/>
      <c r="DAR175" s="125"/>
      <c r="DAS175" s="125"/>
      <c r="DAT175" s="125"/>
      <c r="DAU175" s="125"/>
      <c r="DAV175" s="125"/>
      <c r="DAW175" s="125"/>
      <c r="DAX175" s="125"/>
      <c r="DAY175" s="125"/>
      <c r="DAZ175" s="125"/>
      <c r="DBA175" s="125"/>
      <c r="DBB175" s="125"/>
      <c r="DBC175" s="125"/>
      <c r="DBD175" s="125"/>
      <c r="DBE175" s="125"/>
      <c r="DBF175" s="125"/>
      <c r="DBG175" s="125"/>
      <c r="DBH175" s="125"/>
      <c r="DBI175" s="125"/>
      <c r="DBJ175" s="125"/>
      <c r="DBK175" s="125"/>
      <c r="DBL175" s="125"/>
      <c r="DBM175" s="125"/>
      <c r="DBN175" s="125"/>
      <c r="DBO175" s="125"/>
      <c r="DBP175" s="125"/>
      <c r="DBQ175" s="125"/>
      <c r="DBR175" s="125"/>
      <c r="DBS175" s="125"/>
      <c r="DBT175" s="125"/>
      <c r="DBU175" s="125"/>
      <c r="DBV175" s="125"/>
      <c r="DBW175" s="125"/>
      <c r="DBX175" s="125"/>
      <c r="DBY175" s="125"/>
      <c r="DBZ175" s="125"/>
      <c r="DCA175" s="125"/>
      <c r="DCB175" s="125"/>
      <c r="DCC175" s="125"/>
      <c r="DCD175" s="125"/>
      <c r="DCE175" s="125"/>
      <c r="DCF175" s="125"/>
      <c r="DCG175" s="125"/>
      <c r="DCH175" s="125"/>
      <c r="DCI175" s="125"/>
      <c r="DCJ175" s="125"/>
      <c r="DCK175" s="125"/>
      <c r="DCL175" s="125"/>
      <c r="DCM175" s="125"/>
      <c r="DCN175" s="125"/>
      <c r="DCO175" s="125"/>
      <c r="DCP175" s="125"/>
      <c r="DCQ175" s="125"/>
      <c r="DCR175" s="125"/>
      <c r="DCS175" s="125"/>
      <c r="DCT175" s="125"/>
      <c r="DCU175" s="125"/>
      <c r="DCV175" s="125"/>
      <c r="DCW175" s="125"/>
      <c r="DCX175" s="125"/>
      <c r="DCY175" s="125"/>
      <c r="DCZ175" s="125"/>
      <c r="DDA175" s="125"/>
      <c r="DDB175" s="125"/>
      <c r="DDC175" s="125"/>
      <c r="DDD175" s="125"/>
      <c r="DDE175" s="125"/>
      <c r="DDF175" s="125"/>
      <c r="DDG175" s="125"/>
      <c r="DDH175" s="125"/>
      <c r="DDI175" s="125"/>
      <c r="DDJ175" s="125"/>
      <c r="DDK175" s="125"/>
      <c r="DDL175" s="125"/>
      <c r="DDM175" s="125"/>
      <c r="DDN175" s="125"/>
      <c r="DDO175" s="125"/>
      <c r="DDP175" s="125"/>
      <c r="DDQ175" s="125"/>
      <c r="DDR175" s="125"/>
      <c r="DDS175" s="125"/>
      <c r="DDT175" s="125"/>
      <c r="DDU175" s="125"/>
      <c r="DDV175" s="125"/>
      <c r="DDW175" s="125"/>
      <c r="DDX175" s="125"/>
      <c r="DDY175" s="125"/>
      <c r="DDZ175" s="125"/>
      <c r="DEA175" s="125"/>
      <c r="DEB175" s="125"/>
      <c r="DEC175" s="125"/>
      <c r="DED175" s="125"/>
      <c r="DEE175" s="125"/>
      <c r="DEF175" s="125"/>
      <c r="DEG175" s="125"/>
      <c r="DEH175" s="125"/>
      <c r="DEI175" s="125"/>
      <c r="DEJ175" s="125"/>
      <c r="DEK175" s="125"/>
      <c r="DEL175" s="125"/>
      <c r="DEM175" s="125"/>
      <c r="DEN175" s="125"/>
      <c r="DEO175" s="125"/>
      <c r="DEP175" s="125"/>
      <c r="DEQ175" s="125"/>
      <c r="DER175" s="125"/>
      <c r="DES175" s="125"/>
      <c r="DET175" s="125"/>
      <c r="DEU175" s="125"/>
      <c r="DEV175" s="125"/>
      <c r="DEW175" s="125"/>
      <c r="DEX175" s="125"/>
      <c r="DEY175" s="125"/>
      <c r="DEZ175" s="125"/>
      <c r="DFA175" s="125"/>
      <c r="DFB175" s="125"/>
      <c r="DFC175" s="125"/>
      <c r="DFD175" s="125"/>
      <c r="DFE175" s="125"/>
      <c r="DFF175" s="125"/>
      <c r="DFG175" s="125"/>
      <c r="DFH175" s="125"/>
      <c r="DFI175" s="125"/>
      <c r="DFJ175" s="125"/>
      <c r="DFK175" s="125"/>
      <c r="DFL175" s="125"/>
      <c r="DFM175" s="125"/>
      <c r="DFN175" s="125"/>
      <c r="DFO175" s="125"/>
      <c r="DFP175" s="125"/>
      <c r="DFQ175" s="125"/>
      <c r="DFR175" s="125"/>
      <c r="DFS175" s="125"/>
      <c r="DFT175" s="125"/>
      <c r="DFU175" s="125"/>
      <c r="DFV175" s="125"/>
      <c r="DFW175" s="125"/>
      <c r="DFX175" s="125"/>
      <c r="DFY175" s="125"/>
      <c r="DFZ175" s="125"/>
      <c r="DGA175" s="125"/>
      <c r="DGB175" s="125"/>
      <c r="DGC175" s="125"/>
      <c r="DGD175" s="125"/>
      <c r="DGE175" s="125"/>
      <c r="DGF175" s="125"/>
      <c r="DGG175" s="125"/>
      <c r="DGH175" s="125"/>
      <c r="DGI175" s="125"/>
      <c r="DGJ175" s="125"/>
      <c r="DGK175" s="125"/>
      <c r="DGL175" s="125"/>
      <c r="DGM175" s="125"/>
      <c r="DGN175" s="125"/>
      <c r="DGO175" s="125"/>
      <c r="DGP175" s="125"/>
      <c r="DGQ175" s="125"/>
      <c r="DGR175" s="125"/>
      <c r="DGS175" s="125"/>
      <c r="DGT175" s="125"/>
      <c r="DGU175" s="125"/>
      <c r="DGV175" s="125"/>
      <c r="DGW175" s="125"/>
      <c r="DGX175" s="125"/>
      <c r="DGY175" s="125"/>
      <c r="DGZ175" s="125"/>
      <c r="DHA175" s="125"/>
      <c r="DHB175" s="125"/>
      <c r="DHC175" s="125"/>
      <c r="DHD175" s="125"/>
      <c r="DHE175" s="125"/>
      <c r="DHF175" s="125"/>
      <c r="DHG175" s="125"/>
      <c r="DHH175" s="125"/>
      <c r="DHI175" s="125"/>
      <c r="DHJ175" s="125"/>
      <c r="DHK175" s="125"/>
      <c r="DHL175" s="125"/>
      <c r="DHM175" s="125"/>
      <c r="DHN175" s="125"/>
      <c r="DHO175" s="125"/>
      <c r="DHP175" s="125"/>
      <c r="DHQ175" s="125"/>
      <c r="DHR175" s="125"/>
      <c r="DHS175" s="125"/>
      <c r="DHT175" s="125"/>
      <c r="DHU175" s="125"/>
      <c r="DHV175" s="125"/>
      <c r="DHW175" s="125"/>
      <c r="DHX175" s="125"/>
      <c r="DHY175" s="125"/>
      <c r="DHZ175" s="125"/>
      <c r="DIA175" s="125"/>
      <c r="DIB175" s="125"/>
      <c r="DIC175" s="125"/>
      <c r="DID175" s="125"/>
      <c r="DIE175" s="125"/>
      <c r="DIF175" s="125"/>
      <c r="DIG175" s="125"/>
      <c r="DIH175" s="125"/>
      <c r="DII175" s="125"/>
      <c r="DIJ175" s="125"/>
      <c r="DIK175" s="125"/>
      <c r="DIL175" s="125"/>
      <c r="DIM175" s="125"/>
      <c r="DIN175" s="125"/>
      <c r="DIO175" s="125"/>
      <c r="DIP175" s="125"/>
      <c r="DIQ175" s="125"/>
      <c r="DIR175" s="125"/>
      <c r="DIS175" s="125"/>
      <c r="DIT175" s="125"/>
      <c r="DIU175" s="125"/>
      <c r="DIV175" s="125"/>
      <c r="DIW175" s="125"/>
      <c r="DIX175" s="125"/>
      <c r="DIY175" s="125"/>
      <c r="DIZ175" s="125"/>
      <c r="DJA175" s="125"/>
      <c r="DJB175" s="125"/>
      <c r="DJC175" s="125"/>
      <c r="DJD175" s="125"/>
      <c r="DJE175" s="125"/>
      <c r="DJF175" s="125"/>
      <c r="DJG175" s="125"/>
      <c r="DJH175" s="125"/>
      <c r="DJI175" s="125"/>
      <c r="DJJ175" s="125"/>
      <c r="DJK175" s="125"/>
      <c r="DJL175" s="125"/>
      <c r="DJM175" s="125"/>
      <c r="DJN175" s="125"/>
      <c r="DJO175" s="125"/>
      <c r="DJP175" s="125"/>
      <c r="DJQ175" s="125"/>
      <c r="DJR175" s="125"/>
      <c r="DJS175" s="125"/>
      <c r="DJT175" s="125"/>
      <c r="DJU175" s="125"/>
      <c r="DJV175" s="125"/>
      <c r="DJW175" s="125"/>
      <c r="DJX175" s="125"/>
      <c r="DJY175" s="125"/>
      <c r="DJZ175" s="125"/>
      <c r="DKA175" s="125"/>
      <c r="DKB175" s="125"/>
      <c r="DKC175" s="125"/>
      <c r="DKD175" s="125"/>
      <c r="DKE175" s="125"/>
      <c r="DKF175" s="125"/>
      <c r="DKG175" s="125"/>
      <c r="DKH175" s="125"/>
      <c r="DKI175" s="125"/>
      <c r="DKJ175" s="125"/>
      <c r="DKK175" s="125"/>
      <c r="DKL175" s="125"/>
      <c r="DKM175" s="125"/>
      <c r="DKN175" s="125"/>
      <c r="DKO175" s="125"/>
      <c r="DKP175" s="125"/>
      <c r="DKQ175" s="125"/>
      <c r="DKR175" s="125"/>
      <c r="DKS175" s="125"/>
      <c r="DKT175" s="125"/>
      <c r="DKU175" s="125"/>
      <c r="DKV175" s="125"/>
      <c r="DKW175" s="125"/>
      <c r="DKX175" s="125"/>
      <c r="DKY175" s="125"/>
      <c r="DKZ175" s="125"/>
      <c r="DLA175" s="125"/>
      <c r="DLB175" s="125"/>
      <c r="DLC175" s="125"/>
      <c r="DLD175" s="125"/>
      <c r="DLE175" s="125"/>
      <c r="DLF175" s="125"/>
      <c r="DLG175" s="125"/>
      <c r="DLH175" s="125"/>
      <c r="DLI175" s="125"/>
      <c r="DLJ175" s="125"/>
      <c r="DLK175" s="125"/>
      <c r="DLL175" s="125"/>
      <c r="DLM175" s="125"/>
      <c r="DLN175" s="125"/>
      <c r="DLO175" s="125"/>
      <c r="DLP175" s="125"/>
      <c r="DLQ175" s="125"/>
      <c r="DLR175" s="125"/>
      <c r="DLS175" s="125"/>
      <c r="DLT175" s="125"/>
      <c r="DLU175" s="125"/>
      <c r="DLV175" s="125"/>
      <c r="DLW175" s="125"/>
      <c r="DLX175" s="125"/>
      <c r="DLY175" s="125"/>
      <c r="DLZ175" s="125"/>
      <c r="DMA175" s="125"/>
      <c r="DMB175" s="125"/>
      <c r="DMC175" s="125"/>
      <c r="DMD175" s="125"/>
      <c r="DME175" s="125"/>
      <c r="DMF175" s="125"/>
      <c r="DMG175" s="125"/>
      <c r="DMH175" s="125"/>
      <c r="DMI175" s="125"/>
      <c r="DMJ175" s="125"/>
      <c r="DMK175" s="125"/>
      <c r="DML175" s="125"/>
      <c r="DMM175" s="125"/>
      <c r="DMN175" s="125"/>
      <c r="DMO175" s="125"/>
      <c r="DMP175" s="125"/>
      <c r="DMQ175" s="125"/>
      <c r="DMR175" s="125"/>
      <c r="DMS175" s="125"/>
      <c r="DMT175" s="125"/>
      <c r="DMU175" s="125"/>
      <c r="DMV175" s="125"/>
      <c r="DMW175" s="125"/>
      <c r="DMX175" s="125"/>
      <c r="DMY175" s="125"/>
      <c r="DMZ175" s="125"/>
      <c r="DNA175" s="125"/>
      <c r="DNB175" s="125"/>
      <c r="DNC175" s="125"/>
      <c r="DND175" s="125"/>
      <c r="DNE175" s="125"/>
      <c r="DNF175" s="125"/>
      <c r="DNG175" s="125"/>
      <c r="DNH175" s="125"/>
      <c r="DNI175" s="125"/>
      <c r="DNJ175" s="125"/>
      <c r="DNK175" s="125"/>
      <c r="DNL175" s="125"/>
      <c r="DNM175" s="125"/>
      <c r="DNN175" s="125"/>
      <c r="DNO175" s="125"/>
      <c r="DNP175" s="125"/>
      <c r="DNQ175" s="125"/>
      <c r="DNR175" s="125"/>
      <c r="DNS175" s="125"/>
      <c r="DNT175" s="125"/>
      <c r="DNU175" s="125"/>
      <c r="DNV175" s="125"/>
      <c r="DNW175" s="125"/>
      <c r="DNX175" s="125"/>
      <c r="DNY175" s="125"/>
      <c r="DNZ175" s="125"/>
      <c r="DOA175" s="125"/>
      <c r="DOB175" s="125"/>
      <c r="DOC175" s="125"/>
      <c r="DOD175" s="125"/>
      <c r="DOE175" s="125"/>
      <c r="DOF175" s="125"/>
      <c r="DOG175" s="125"/>
      <c r="DOH175" s="125"/>
      <c r="DOI175" s="125"/>
      <c r="DOJ175" s="125"/>
      <c r="DOK175" s="125"/>
      <c r="DOL175" s="125"/>
      <c r="DOM175" s="125"/>
      <c r="DON175" s="125"/>
      <c r="DOO175" s="125"/>
      <c r="DOP175" s="125"/>
      <c r="DOQ175" s="125"/>
      <c r="DOR175" s="125"/>
      <c r="DOS175" s="125"/>
      <c r="DOT175" s="125"/>
      <c r="DOU175" s="125"/>
      <c r="DOV175" s="125"/>
      <c r="DOW175" s="125"/>
      <c r="DOX175" s="125"/>
      <c r="DOY175" s="125"/>
      <c r="DOZ175" s="125"/>
      <c r="DPA175" s="125"/>
      <c r="DPB175" s="125"/>
      <c r="DPC175" s="125"/>
      <c r="DPD175" s="125"/>
      <c r="DPE175" s="125"/>
      <c r="DPF175" s="125"/>
      <c r="DPG175" s="125"/>
      <c r="DPH175" s="125"/>
      <c r="DPI175" s="125"/>
      <c r="DPJ175" s="125"/>
      <c r="DPK175" s="125"/>
      <c r="DPL175" s="125"/>
      <c r="DPM175" s="125"/>
      <c r="DPN175" s="125"/>
      <c r="DPO175" s="125"/>
      <c r="DPP175" s="125"/>
      <c r="DPQ175" s="125"/>
      <c r="DPR175" s="125"/>
      <c r="DPS175" s="125"/>
      <c r="DPT175" s="125"/>
      <c r="DPU175" s="125"/>
      <c r="DPV175" s="125"/>
      <c r="DPW175" s="125"/>
      <c r="DPX175" s="125"/>
      <c r="DPY175" s="125"/>
      <c r="DPZ175" s="125"/>
      <c r="DQA175" s="125"/>
      <c r="DQB175" s="125"/>
      <c r="DQC175" s="125"/>
      <c r="DQD175" s="125"/>
      <c r="DQE175" s="125"/>
      <c r="DQF175" s="125"/>
      <c r="DQG175" s="125"/>
      <c r="DQH175" s="125"/>
      <c r="DQI175" s="125"/>
      <c r="DQJ175" s="125"/>
      <c r="DQK175" s="125"/>
      <c r="DQL175" s="125"/>
      <c r="DQM175" s="125"/>
      <c r="DQN175" s="125"/>
      <c r="DQO175" s="125"/>
      <c r="DQP175" s="125"/>
      <c r="DQQ175" s="125"/>
      <c r="DQR175" s="125"/>
      <c r="DQS175" s="125"/>
      <c r="DQT175" s="125"/>
      <c r="DQU175" s="125"/>
      <c r="DQV175" s="125"/>
      <c r="DQW175" s="125"/>
      <c r="DQX175" s="125"/>
      <c r="DQY175" s="125"/>
      <c r="DQZ175" s="125"/>
      <c r="DRA175" s="125"/>
      <c r="DRB175" s="125"/>
      <c r="DRC175" s="125"/>
      <c r="DRD175" s="125"/>
      <c r="DRE175" s="125"/>
      <c r="DRF175" s="125"/>
      <c r="DRG175" s="125"/>
      <c r="DRH175" s="125"/>
      <c r="DRI175" s="125"/>
      <c r="DRJ175" s="125"/>
      <c r="DRK175" s="125"/>
      <c r="DRL175" s="125"/>
      <c r="DRM175" s="125"/>
      <c r="DRN175" s="125"/>
      <c r="DRO175" s="125"/>
      <c r="DRP175" s="125"/>
      <c r="DRQ175" s="125"/>
      <c r="DRR175" s="125"/>
      <c r="DRS175" s="125"/>
      <c r="DRT175" s="125"/>
      <c r="DRU175" s="125"/>
      <c r="DRV175" s="125"/>
      <c r="DRW175" s="125"/>
      <c r="DRX175" s="125"/>
      <c r="DRY175" s="125"/>
      <c r="DRZ175" s="125"/>
      <c r="DSA175" s="125"/>
      <c r="DSB175" s="125"/>
      <c r="DSC175" s="125"/>
      <c r="DSD175" s="125"/>
      <c r="DSE175" s="125"/>
      <c r="DSF175" s="125"/>
      <c r="DSG175" s="125"/>
      <c r="DSH175" s="125"/>
      <c r="DSI175" s="125"/>
      <c r="DSJ175" s="125"/>
      <c r="DSK175" s="125"/>
      <c r="DSL175" s="125"/>
      <c r="DSM175" s="125"/>
      <c r="DSN175" s="125"/>
      <c r="DSO175" s="125"/>
      <c r="DSP175" s="125"/>
      <c r="DSQ175" s="125"/>
      <c r="DSR175" s="125"/>
      <c r="DSS175" s="125"/>
      <c r="DST175" s="125"/>
      <c r="DSU175" s="125"/>
      <c r="DSV175" s="125"/>
      <c r="DSW175" s="125"/>
      <c r="DSX175" s="125"/>
      <c r="DSY175" s="125"/>
      <c r="DSZ175" s="125"/>
      <c r="DTA175" s="125"/>
      <c r="DTB175" s="125"/>
      <c r="DTC175" s="125"/>
      <c r="DTD175" s="125"/>
      <c r="DTE175" s="125"/>
      <c r="DTF175" s="125"/>
      <c r="DTG175" s="125"/>
      <c r="DTH175" s="125"/>
      <c r="DTI175" s="125"/>
      <c r="DTJ175" s="125"/>
      <c r="DTK175" s="125"/>
      <c r="DTL175" s="125"/>
      <c r="DTM175" s="125"/>
      <c r="DTN175" s="125"/>
      <c r="DTO175" s="125"/>
      <c r="DTP175" s="125"/>
      <c r="DTQ175" s="125"/>
      <c r="DTR175" s="125"/>
      <c r="DTS175" s="125"/>
      <c r="DTT175" s="125"/>
      <c r="DTU175" s="125"/>
      <c r="DTV175" s="125"/>
      <c r="DTW175" s="125"/>
      <c r="DTX175" s="125"/>
      <c r="DTY175" s="125"/>
      <c r="DTZ175" s="125"/>
      <c r="DUA175" s="125"/>
      <c r="DUB175" s="125"/>
      <c r="DUC175" s="125"/>
      <c r="DUD175" s="125"/>
      <c r="DUE175" s="125"/>
      <c r="DUF175" s="125"/>
      <c r="DUG175" s="125"/>
      <c r="DUH175" s="125"/>
      <c r="DUI175" s="125"/>
      <c r="DUJ175" s="125"/>
      <c r="DUK175" s="125"/>
      <c r="DUL175" s="125"/>
      <c r="DUM175" s="125"/>
      <c r="DUN175" s="125"/>
      <c r="DUO175" s="125"/>
      <c r="DUP175" s="125"/>
      <c r="DUQ175" s="125"/>
      <c r="DUR175" s="125"/>
      <c r="DUS175" s="125"/>
      <c r="DUT175" s="125"/>
      <c r="DUU175" s="125"/>
      <c r="DUV175" s="125"/>
      <c r="DUW175" s="125"/>
      <c r="DUX175" s="125"/>
      <c r="DUY175" s="125"/>
      <c r="DUZ175" s="125"/>
      <c r="DVA175" s="125"/>
      <c r="DVB175" s="125"/>
      <c r="DVC175" s="125"/>
      <c r="DVD175" s="125"/>
      <c r="DVE175" s="125"/>
      <c r="DVF175" s="125"/>
      <c r="DVG175" s="125"/>
      <c r="DVH175" s="125"/>
      <c r="DVI175" s="125"/>
      <c r="DVJ175" s="125"/>
      <c r="DVK175" s="125"/>
      <c r="DVL175" s="125"/>
      <c r="DVM175" s="125"/>
      <c r="DVN175" s="125"/>
      <c r="DVO175" s="125"/>
      <c r="DVP175" s="125"/>
      <c r="DVQ175" s="125"/>
      <c r="DVR175" s="125"/>
      <c r="DVS175" s="125"/>
      <c r="DVT175" s="125"/>
      <c r="DVU175" s="125"/>
      <c r="DVV175" s="125"/>
      <c r="DVW175" s="125"/>
      <c r="DVX175" s="125"/>
      <c r="DVY175" s="125"/>
      <c r="DVZ175" s="125"/>
      <c r="DWA175" s="125"/>
      <c r="DWB175" s="125"/>
      <c r="DWC175" s="125"/>
      <c r="DWD175" s="125"/>
      <c r="DWE175" s="125"/>
      <c r="DWF175" s="125"/>
      <c r="DWG175" s="125"/>
      <c r="DWH175" s="125"/>
      <c r="DWI175" s="125"/>
      <c r="DWJ175" s="125"/>
      <c r="DWK175" s="125"/>
      <c r="DWL175" s="125"/>
      <c r="DWM175" s="125"/>
      <c r="DWN175" s="125"/>
      <c r="DWO175" s="125"/>
      <c r="DWP175" s="125"/>
      <c r="DWQ175" s="125"/>
      <c r="DWR175" s="125"/>
      <c r="DWS175" s="125"/>
      <c r="DWT175" s="125"/>
      <c r="DWU175" s="125"/>
      <c r="DWV175" s="125"/>
      <c r="DWW175" s="125"/>
      <c r="DWX175" s="125"/>
      <c r="DWY175" s="125"/>
      <c r="DWZ175" s="125"/>
      <c r="DXA175" s="125"/>
      <c r="DXB175" s="125"/>
      <c r="DXC175" s="125"/>
      <c r="DXD175" s="125"/>
      <c r="DXE175" s="125"/>
      <c r="DXF175" s="125"/>
      <c r="DXG175" s="125"/>
      <c r="DXH175" s="125"/>
      <c r="DXI175" s="125"/>
      <c r="DXJ175" s="125"/>
      <c r="DXK175" s="125"/>
      <c r="DXL175" s="125"/>
      <c r="DXM175" s="125"/>
      <c r="DXN175" s="125"/>
      <c r="DXO175" s="125"/>
      <c r="DXP175" s="125"/>
      <c r="DXQ175" s="125"/>
      <c r="DXR175" s="125"/>
      <c r="DXS175" s="125"/>
      <c r="DXT175" s="125"/>
      <c r="DXU175" s="125"/>
      <c r="DXV175" s="125"/>
      <c r="DXW175" s="125"/>
      <c r="DXX175" s="125"/>
      <c r="DXY175" s="125"/>
      <c r="DXZ175" s="125"/>
      <c r="DYA175" s="125"/>
      <c r="DYB175" s="125"/>
      <c r="DYC175" s="125"/>
      <c r="DYD175" s="125"/>
      <c r="DYE175" s="125"/>
      <c r="DYF175" s="125"/>
      <c r="DYG175" s="125"/>
      <c r="DYH175" s="125"/>
      <c r="DYI175" s="125"/>
      <c r="DYJ175" s="125"/>
      <c r="DYK175" s="125"/>
      <c r="DYL175" s="125"/>
      <c r="DYM175" s="125"/>
      <c r="DYN175" s="125"/>
      <c r="DYO175" s="125"/>
      <c r="DYP175" s="125"/>
      <c r="DYQ175" s="125"/>
      <c r="DYR175" s="125"/>
      <c r="DYS175" s="125"/>
      <c r="DYT175" s="125"/>
      <c r="DYU175" s="125"/>
      <c r="DYV175" s="125"/>
      <c r="DYW175" s="125"/>
      <c r="DYX175" s="125"/>
      <c r="DYY175" s="125"/>
      <c r="DYZ175" s="125"/>
      <c r="DZA175" s="125"/>
      <c r="DZB175" s="125"/>
      <c r="DZC175" s="125"/>
      <c r="DZD175" s="125"/>
      <c r="DZE175" s="125"/>
      <c r="DZF175" s="125"/>
      <c r="DZG175" s="125"/>
      <c r="DZH175" s="125"/>
      <c r="DZI175" s="125"/>
      <c r="DZJ175" s="125"/>
      <c r="DZK175" s="125"/>
      <c r="DZL175" s="125"/>
      <c r="DZM175" s="125"/>
      <c r="DZN175" s="125"/>
      <c r="DZO175" s="125"/>
      <c r="DZP175" s="125"/>
      <c r="DZQ175" s="125"/>
      <c r="DZR175" s="125"/>
      <c r="DZS175" s="125"/>
      <c r="DZT175" s="125"/>
      <c r="DZU175" s="125"/>
      <c r="DZV175" s="125"/>
      <c r="DZW175" s="125"/>
      <c r="DZX175" s="125"/>
      <c r="DZY175" s="125"/>
      <c r="DZZ175" s="125"/>
      <c r="EAA175" s="125"/>
      <c r="EAB175" s="125"/>
      <c r="EAC175" s="125"/>
      <c r="EAD175" s="125"/>
      <c r="EAE175" s="125"/>
      <c r="EAF175" s="125"/>
      <c r="EAG175" s="125"/>
      <c r="EAH175" s="125"/>
      <c r="EAI175" s="125"/>
      <c r="EAJ175" s="125"/>
      <c r="EAK175" s="125"/>
      <c r="EAL175" s="125"/>
      <c r="EAM175" s="125"/>
      <c r="EAN175" s="125"/>
      <c r="EAO175" s="125"/>
      <c r="EAP175" s="125"/>
      <c r="EAQ175" s="125"/>
      <c r="EAR175" s="125"/>
      <c r="EAS175" s="125"/>
      <c r="EAT175" s="125"/>
      <c r="EAU175" s="125"/>
      <c r="EAV175" s="125"/>
      <c r="EAW175" s="125"/>
      <c r="EAX175" s="125"/>
      <c r="EAY175" s="125"/>
      <c r="EAZ175" s="125"/>
      <c r="EBA175" s="125"/>
      <c r="EBB175" s="125"/>
      <c r="EBC175" s="125"/>
      <c r="EBD175" s="125"/>
      <c r="EBE175" s="125"/>
      <c r="EBF175" s="125"/>
      <c r="EBG175" s="125"/>
      <c r="EBH175" s="125"/>
      <c r="EBI175" s="125"/>
      <c r="EBJ175" s="125"/>
      <c r="EBK175" s="125"/>
      <c r="EBL175" s="125"/>
      <c r="EBM175" s="125"/>
      <c r="EBN175" s="125"/>
      <c r="EBO175" s="125"/>
      <c r="EBP175" s="125"/>
      <c r="EBQ175" s="125"/>
      <c r="EBR175" s="125"/>
      <c r="EBS175" s="125"/>
      <c r="EBT175" s="125"/>
      <c r="EBU175" s="125"/>
      <c r="EBV175" s="125"/>
      <c r="EBW175" s="125"/>
      <c r="EBX175" s="125"/>
      <c r="EBY175" s="125"/>
      <c r="EBZ175" s="125"/>
      <c r="ECA175" s="125"/>
      <c r="ECB175" s="125"/>
      <c r="ECC175" s="125"/>
      <c r="ECD175" s="125"/>
      <c r="ECE175" s="125"/>
      <c r="ECF175" s="125"/>
      <c r="ECG175" s="125"/>
      <c r="ECH175" s="125"/>
      <c r="ECI175" s="125"/>
      <c r="ECJ175" s="125"/>
      <c r="ECK175" s="125"/>
      <c r="ECL175" s="125"/>
      <c r="ECM175" s="125"/>
      <c r="ECN175" s="125"/>
      <c r="ECO175" s="125"/>
      <c r="ECP175" s="125"/>
      <c r="ECQ175" s="125"/>
      <c r="ECR175" s="125"/>
      <c r="ECS175" s="125"/>
      <c r="ECT175" s="125"/>
      <c r="ECU175" s="125"/>
      <c r="ECV175" s="125"/>
      <c r="ECW175" s="125"/>
      <c r="ECX175" s="125"/>
      <c r="ECY175" s="125"/>
      <c r="ECZ175" s="125"/>
      <c r="EDA175" s="125"/>
      <c r="EDB175" s="125"/>
      <c r="EDC175" s="125"/>
      <c r="EDD175" s="125"/>
      <c r="EDE175" s="125"/>
      <c r="EDF175" s="125"/>
      <c r="EDG175" s="125"/>
      <c r="EDH175" s="125"/>
      <c r="EDI175" s="125"/>
      <c r="EDJ175" s="125"/>
      <c r="EDK175" s="125"/>
      <c r="EDL175" s="125"/>
      <c r="EDM175" s="125"/>
      <c r="EDN175" s="125"/>
      <c r="EDO175" s="125"/>
      <c r="EDP175" s="125"/>
      <c r="EDQ175" s="125"/>
      <c r="EDR175" s="125"/>
      <c r="EDS175" s="125"/>
      <c r="EDT175" s="125"/>
      <c r="EDU175" s="125"/>
      <c r="EDV175" s="125"/>
      <c r="EDW175" s="125"/>
      <c r="EDX175" s="125"/>
      <c r="EDY175" s="125"/>
      <c r="EDZ175" s="125"/>
      <c r="EEA175" s="125"/>
      <c r="EEB175" s="125"/>
      <c r="EEC175" s="125"/>
      <c r="EED175" s="125"/>
      <c r="EEE175" s="125"/>
      <c r="EEF175" s="125"/>
      <c r="EEG175" s="125"/>
      <c r="EEH175" s="125"/>
      <c r="EEI175" s="125"/>
      <c r="EEJ175" s="125"/>
      <c r="EEK175" s="125"/>
      <c r="EEL175" s="125"/>
      <c r="EEM175" s="125"/>
      <c r="EEN175" s="125"/>
      <c r="EEO175" s="125"/>
      <c r="EEP175" s="125"/>
      <c r="EEQ175" s="125"/>
      <c r="EER175" s="125"/>
      <c r="EES175" s="125"/>
      <c r="EET175" s="125"/>
      <c r="EEU175" s="125"/>
      <c r="EEV175" s="125"/>
      <c r="EEW175" s="125"/>
      <c r="EEX175" s="125"/>
      <c r="EEY175" s="125"/>
      <c r="EEZ175" s="125"/>
      <c r="EFA175" s="125"/>
      <c r="EFB175" s="125"/>
      <c r="EFC175" s="125"/>
      <c r="EFD175" s="125"/>
      <c r="EFE175" s="125"/>
      <c r="EFF175" s="125"/>
      <c r="EFG175" s="125"/>
      <c r="EFH175" s="125"/>
      <c r="EFI175" s="125"/>
      <c r="EFJ175" s="125"/>
      <c r="EFK175" s="125"/>
      <c r="EFL175" s="125"/>
      <c r="EFM175" s="125"/>
      <c r="EFN175" s="125"/>
      <c r="EFO175" s="125"/>
      <c r="EFP175" s="125"/>
      <c r="EFQ175" s="125"/>
      <c r="EFR175" s="125"/>
      <c r="EFS175" s="125"/>
      <c r="EFT175" s="125"/>
      <c r="EFU175" s="125"/>
      <c r="EFV175" s="125"/>
      <c r="EFW175" s="125"/>
      <c r="EFX175" s="125"/>
      <c r="EFY175" s="125"/>
      <c r="EFZ175" s="125"/>
      <c r="EGA175" s="125"/>
      <c r="EGB175" s="125"/>
      <c r="EGC175" s="125"/>
      <c r="EGD175" s="125"/>
      <c r="EGE175" s="125"/>
      <c r="EGF175" s="125"/>
      <c r="EGG175" s="125"/>
      <c r="EGH175" s="125"/>
      <c r="EGI175" s="125"/>
      <c r="EGJ175" s="125"/>
      <c r="EGK175" s="125"/>
      <c r="EGL175" s="125"/>
      <c r="EGM175" s="125"/>
      <c r="EGN175" s="125"/>
      <c r="EGO175" s="125"/>
      <c r="EGP175" s="125"/>
      <c r="EGQ175" s="125"/>
      <c r="EGR175" s="125"/>
      <c r="EGS175" s="125"/>
      <c r="EGT175" s="125"/>
      <c r="EGU175" s="125"/>
      <c r="EGV175" s="125"/>
      <c r="EGW175" s="125"/>
      <c r="EGX175" s="125"/>
      <c r="EGY175" s="125"/>
      <c r="EGZ175" s="125"/>
      <c r="EHA175" s="125"/>
      <c r="EHB175" s="125"/>
      <c r="EHC175" s="125"/>
      <c r="EHD175" s="125"/>
      <c r="EHE175" s="125"/>
      <c r="EHF175" s="125"/>
      <c r="EHG175" s="125"/>
      <c r="EHH175" s="125"/>
      <c r="EHI175" s="125"/>
      <c r="EHJ175" s="125"/>
      <c r="EHK175" s="125"/>
      <c r="EHL175" s="125"/>
      <c r="EHM175" s="125"/>
      <c r="EHN175" s="125"/>
      <c r="EHO175" s="125"/>
      <c r="EHP175" s="125"/>
      <c r="EHQ175" s="125"/>
      <c r="EHR175" s="125"/>
      <c r="EHS175" s="125"/>
      <c r="EHT175" s="125"/>
      <c r="EHU175" s="125"/>
      <c r="EHV175" s="125"/>
      <c r="EHW175" s="125"/>
      <c r="EHX175" s="125"/>
      <c r="EHY175" s="125"/>
      <c r="EHZ175" s="125"/>
      <c r="EIA175" s="125"/>
      <c r="EIB175" s="125"/>
      <c r="EIC175" s="125"/>
      <c r="EID175" s="125"/>
      <c r="EIE175" s="125"/>
      <c r="EIF175" s="125"/>
      <c r="EIG175" s="125"/>
      <c r="EIH175" s="125"/>
      <c r="EII175" s="125"/>
      <c r="EIJ175" s="125"/>
      <c r="EIK175" s="125"/>
      <c r="EIL175" s="125"/>
      <c r="EIM175" s="125"/>
      <c r="EIN175" s="125"/>
      <c r="EIO175" s="125"/>
      <c r="EIP175" s="125"/>
      <c r="EIQ175" s="125"/>
      <c r="EIR175" s="125"/>
      <c r="EIS175" s="125"/>
      <c r="EIT175" s="125"/>
      <c r="EIU175" s="125"/>
      <c r="EIV175" s="125"/>
      <c r="EIW175" s="125"/>
      <c r="EIX175" s="125"/>
      <c r="EIY175" s="125"/>
      <c r="EIZ175" s="125"/>
      <c r="EJA175" s="125"/>
      <c r="EJB175" s="125"/>
      <c r="EJC175" s="125"/>
      <c r="EJD175" s="125"/>
      <c r="EJE175" s="125"/>
      <c r="EJF175" s="125"/>
      <c r="EJG175" s="125"/>
      <c r="EJH175" s="125"/>
      <c r="EJI175" s="125"/>
      <c r="EJJ175" s="125"/>
      <c r="EJK175" s="125"/>
      <c r="EJL175" s="125"/>
      <c r="EJM175" s="125"/>
      <c r="EJN175" s="125"/>
      <c r="EJO175" s="125"/>
      <c r="EJP175" s="125"/>
      <c r="EJQ175" s="125"/>
      <c r="EJR175" s="125"/>
      <c r="EJS175" s="125"/>
      <c r="EJT175" s="125"/>
      <c r="EJU175" s="125"/>
      <c r="EJV175" s="125"/>
      <c r="EJW175" s="125"/>
      <c r="EJX175" s="125"/>
      <c r="EJY175" s="125"/>
      <c r="EJZ175" s="125"/>
      <c r="EKA175" s="125"/>
      <c r="EKB175" s="125"/>
      <c r="EKC175" s="125"/>
      <c r="EKD175" s="125"/>
      <c r="EKE175" s="125"/>
      <c r="EKF175" s="125"/>
      <c r="EKG175" s="125"/>
      <c r="EKH175" s="125"/>
      <c r="EKI175" s="125"/>
      <c r="EKJ175" s="125"/>
      <c r="EKK175" s="125"/>
      <c r="EKL175" s="125"/>
      <c r="EKM175" s="125"/>
      <c r="EKN175" s="125"/>
      <c r="EKO175" s="125"/>
      <c r="EKP175" s="125"/>
      <c r="EKQ175" s="125"/>
      <c r="EKR175" s="125"/>
      <c r="EKS175" s="125"/>
      <c r="EKT175" s="125"/>
      <c r="EKU175" s="125"/>
      <c r="EKV175" s="125"/>
      <c r="EKW175" s="125"/>
      <c r="EKX175" s="125"/>
      <c r="EKY175" s="125"/>
      <c r="EKZ175" s="125"/>
      <c r="ELA175" s="125"/>
      <c r="ELB175" s="125"/>
      <c r="ELC175" s="125"/>
      <c r="ELD175" s="125"/>
      <c r="ELE175" s="125"/>
      <c r="ELF175" s="125"/>
      <c r="ELG175" s="125"/>
      <c r="ELH175" s="125"/>
      <c r="ELI175" s="125"/>
      <c r="ELJ175" s="125"/>
      <c r="ELK175" s="125"/>
      <c r="ELL175" s="125"/>
      <c r="ELM175" s="125"/>
      <c r="ELN175" s="125"/>
      <c r="ELO175" s="125"/>
      <c r="ELP175" s="125"/>
      <c r="ELQ175" s="125"/>
      <c r="ELR175" s="125"/>
      <c r="ELS175" s="125"/>
      <c r="ELT175" s="125"/>
      <c r="ELU175" s="125"/>
      <c r="ELV175" s="125"/>
      <c r="ELW175" s="125"/>
      <c r="ELX175" s="125"/>
      <c r="ELY175" s="125"/>
      <c r="ELZ175" s="125"/>
      <c r="EMA175" s="125"/>
      <c r="EMB175" s="125"/>
      <c r="EMC175" s="125"/>
      <c r="EMD175" s="125"/>
      <c r="EME175" s="125"/>
      <c r="EMF175" s="125"/>
      <c r="EMG175" s="125"/>
      <c r="EMH175" s="125"/>
      <c r="EMI175" s="125"/>
      <c r="EMJ175" s="125"/>
      <c r="EMK175" s="125"/>
      <c r="EML175" s="125"/>
      <c r="EMM175" s="125"/>
      <c r="EMN175" s="125"/>
      <c r="EMO175" s="125"/>
      <c r="EMP175" s="125"/>
      <c r="EMQ175" s="125"/>
      <c r="EMR175" s="125"/>
      <c r="EMS175" s="125"/>
      <c r="EMT175" s="125"/>
      <c r="EMU175" s="125"/>
      <c r="EMV175" s="125"/>
      <c r="EMW175" s="125"/>
      <c r="EMX175" s="125"/>
      <c r="EMY175" s="125"/>
      <c r="EMZ175" s="125"/>
      <c r="ENA175" s="125"/>
      <c r="ENB175" s="125"/>
      <c r="ENC175" s="125"/>
      <c r="END175" s="125"/>
      <c r="ENE175" s="125"/>
      <c r="ENF175" s="125"/>
      <c r="ENG175" s="125"/>
      <c r="ENH175" s="125"/>
      <c r="ENI175" s="125"/>
      <c r="ENJ175" s="125"/>
      <c r="ENK175" s="125"/>
      <c r="ENL175" s="125"/>
      <c r="ENM175" s="125"/>
      <c r="ENN175" s="125"/>
      <c r="ENO175" s="125"/>
      <c r="ENP175" s="125"/>
      <c r="ENQ175" s="125"/>
      <c r="ENR175" s="125"/>
      <c r="ENS175" s="125"/>
      <c r="ENT175" s="125"/>
      <c r="ENU175" s="125"/>
      <c r="ENV175" s="125"/>
      <c r="ENW175" s="125"/>
      <c r="ENX175" s="125"/>
      <c r="ENY175" s="125"/>
      <c r="ENZ175" s="125"/>
      <c r="EOA175" s="125"/>
      <c r="EOB175" s="125"/>
      <c r="EOC175" s="125"/>
      <c r="EOD175" s="125"/>
      <c r="EOE175" s="125"/>
      <c r="EOF175" s="125"/>
      <c r="EOG175" s="125"/>
      <c r="EOH175" s="125"/>
      <c r="EOI175" s="125"/>
      <c r="EOJ175" s="125"/>
      <c r="EOK175" s="125"/>
      <c r="EOL175" s="125"/>
      <c r="EOM175" s="125"/>
      <c r="EON175" s="125"/>
      <c r="EOO175" s="125"/>
      <c r="EOP175" s="125"/>
      <c r="EOQ175" s="125"/>
      <c r="EOR175" s="125"/>
      <c r="EOS175" s="125"/>
      <c r="EOT175" s="125"/>
      <c r="EOU175" s="125"/>
      <c r="EOV175" s="125"/>
      <c r="EOW175" s="125"/>
      <c r="EOX175" s="125"/>
      <c r="EOY175" s="125"/>
      <c r="EOZ175" s="125"/>
      <c r="EPA175" s="125"/>
      <c r="EPB175" s="125"/>
      <c r="EPC175" s="125"/>
      <c r="EPD175" s="125"/>
      <c r="EPE175" s="125"/>
      <c r="EPF175" s="125"/>
      <c r="EPG175" s="125"/>
      <c r="EPH175" s="125"/>
      <c r="EPI175" s="125"/>
      <c r="EPJ175" s="125"/>
      <c r="EPK175" s="125"/>
      <c r="EPL175" s="125"/>
      <c r="EPM175" s="125"/>
      <c r="EPN175" s="125"/>
      <c r="EPO175" s="125"/>
      <c r="EPP175" s="125"/>
      <c r="EPQ175" s="125"/>
      <c r="EPR175" s="125"/>
      <c r="EPS175" s="125"/>
      <c r="EPT175" s="125"/>
      <c r="EPU175" s="125"/>
      <c r="EPV175" s="125"/>
      <c r="EPW175" s="125"/>
      <c r="EPX175" s="125"/>
      <c r="EPY175" s="125"/>
      <c r="EPZ175" s="125"/>
      <c r="EQA175" s="125"/>
      <c r="EQB175" s="125"/>
      <c r="EQC175" s="125"/>
      <c r="EQD175" s="125"/>
      <c r="EQE175" s="125"/>
      <c r="EQF175" s="125"/>
      <c r="EQG175" s="125"/>
      <c r="EQH175" s="125"/>
      <c r="EQI175" s="125"/>
      <c r="EQJ175" s="125"/>
      <c r="EQK175" s="125"/>
      <c r="EQL175" s="125"/>
      <c r="EQM175" s="125"/>
      <c r="EQN175" s="125"/>
      <c r="EQO175" s="125"/>
      <c r="EQP175" s="125"/>
      <c r="EQQ175" s="125"/>
      <c r="EQR175" s="125"/>
      <c r="EQS175" s="125"/>
      <c r="EQT175" s="125"/>
      <c r="EQU175" s="125"/>
      <c r="EQV175" s="125"/>
      <c r="EQW175" s="125"/>
      <c r="EQX175" s="125"/>
      <c r="EQY175" s="125"/>
      <c r="EQZ175" s="125"/>
      <c r="ERA175" s="125"/>
      <c r="ERB175" s="125"/>
      <c r="ERC175" s="125"/>
      <c r="ERD175" s="125"/>
      <c r="ERE175" s="125"/>
      <c r="ERF175" s="125"/>
      <c r="ERG175" s="125"/>
      <c r="ERH175" s="125"/>
      <c r="ERI175" s="125"/>
      <c r="ERJ175" s="125"/>
      <c r="ERK175" s="125"/>
      <c r="ERL175" s="125"/>
      <c r="ERM175" s="125"/>
      <c r="ERN175" s="125"/>
      <c r="ERO175" s="125"/>
      <c r="ERP175" s="125"/>
      <c r="ERQ175" s="125"/>
      <c r="ERR175" s="125"/>
      <c r="ERS175" s="125"/>
      <c r="ERT175" s="125"/>
      <c r="ERU175" s="125"/>
      <c r="ERV175" s="125"/>
      <c r="ERW175" s="125"/>
      <c r="ERX175" s="125"/>
      <c r="ERY175" s="125"/>
      <c r="ERZ175" s="125"/>
      <c r="ESA175" s="125"/>
      <c r="ESB175" s="125"/>
      <c r="ESC175" s="125"/>
      <c r="ESD175" s="125"/>
      <c r="ESE175" s="125"/>
      <c r="ESF175" s="125"/>
      <c r="ESG175" s="125"/>
      <c r="ESH175" s="125"/>
      <c r="ESI175" s="125"/>
      <c r="ESJ175" s="125"/>
      <c r="ESK175" s="125"/>
      <c r="ESL175" s="125"/>
      <c r="ESM175" s="125"/>
      <c r="ESN175" s="125"/>
      <c r="ESO175" s="125"/>
      <c r="ESP175" s="125"/>
      <c r="ESQ175" s="125"/>
      <c r="ESR175" s="125"/>
      <c r="ESS175" s="125"/>
      <c r="EST175" s="125"/>
      <c r="ESU175" s="125"/>
      <c r="ESV175" s="125"/>
      <c r="ESW175" s="125"/>
      <c r="ESX175" s="125"/>
      <c r="ESY175" s="125"/>
      <c r="ESZ175" s="125"/>
      <c r="ETA175" s="125"/>
      <c r="ETB175" s="125"/>
      <c r="ETC175" s="125"/>
      <c r="ETD175" s="125"/>
      <c r="ETE175" s="125"/>
      <c r="ETF175" s="125"/>
      <c r="ETG175" s="125"/>
      <c r="ETH175" s="125"/>
      <c r="ETI175" s="125"/>
      <c r="ETJ175" s="125"/>
      <c r="ETK175" s="125"/>
      <c r="ETL175" s="125"/>
      <c r="ETM175" s="125"/>
      <c r="ETN175" s="125"/>
      <c r="ETO175" s="125"/>
      <c r="ETP175" s="125"/>
      <c r="ETQ175" s="125"/>
      <c r="ETR175" s="125"/>
      <c r="ETS175" s="125"/>
      <c r="ETT175" s="125"/>
      <c r="ETU175" s="125"/>
      <c r="ETV175" s="125"/>
      <c r="ETW175" s="125"/>
      <c r="ETX175" s="125"/>
      <c r="ETY175" s="125"/>
      <c r="ETZ175" s="125"/>
      <c r="EUA175" s="125"/>
      <c r="EUB175" s="125"/>
      <c r="EUC175" s="125"/>
      <c r="EUD175" s="125"/>
      <c r="EUE175" s="125"/>
      <c r="EUF175" s="125"/>
      <c r="EUG175" s="125"/>
      <c r="EUH175" s="125"/>
      <c r="EUI175" s="125"/>
      <c r="EUJ175" s="125"/>
      <c r="EUK175" s="125"/>
      <c r="EUL175" s="125"/>
      <c r="EUM175" s="125"/>
      <c r="EUN175" s="125"/>
      <c r="EUO175" s="125"/>
      <c r="EUP175" s="125"/>
      <c r="EUQ175" s="125"/>
      <c r="EUR175" s="125"/>
      <c r="EUS175" s="125"/>
      <c r="EUT175" s="125"/>
      <c r="EUU175" s="125"/>
      <c r="EUV175" s="125"/>
      <c r="EUW175" s="125"/>
      <c r="EUX175" s="125"/>
      <c r="EUY175" s="125"/>
      <c r="EUZ175" s="125"/>
      <c r="EVA175" s="125"/>
      <c r="EVB175" s="125"/>
      <c r="EVC175" s="125"/>
      <c r="EVD175" s="125"/>
      <c r="EVE175" s="125"/>
      <c r="EVF175" s="125"/>
      <c r="EVG175" s="125"/>
      <c r="EVH175" s="125"/>
      <c r="EVI175" s="125"/>
      <c r="EVJ175" s="125"/>
      <c r="EVK175" s="125"/>
      <c r="EVL175" s="125"/>
      <c r="EVM175" s="125"/>
      <c r="EVN175" s="125"/>
      <c r="EVO175" s="125"/>
      <c r="EVP175" s="125"/>
      <c r="EVQ175" s="125"/>
      <c r="EVR175" s="125"/>
      <c r="EVS175" s="125"/>
      <c r="EVT175" s="125"/>
      <c r="EVU175" s="125"/>
      <c r="EVV175" s="125"/>
      <c r="EVW175" s="125"/>
      <c r="EVX175" s="125"/>
      <c r="EVY175" s="125"/>
      <c r="EVZ175" s="125"/>
      <c r="EWA175" s="125"/>
      <c r="EWB175" s="125"/>
      <c r="EWC175" s="125"/>
      <c r="EWD175" s="125"/>
      <c r="EWE175" s="125"/>
      <c r="EWF175" s="125"/>
      <c r="EWG175" s="125"/>
      <c r="EWH175" s="125"/>
      <c r="EWI175" s="125"/>
      <c r="EWJ175" s="125"/>
      <c r="EWK175" s="125"/>
      <c r="EWL175" s="125"/>
      <c r="EWM175" s="125"/>
      <c r="EWN175" s="125"/>
      <c r="EWO175" s="125"/>
      <c r="EWP175" s="125"/>
      <c r="EWQ175" s="125"/>
      <c r="EWR175" s="125"/>
      <c r="EWS175" s="125"/>
      <c r="EWT175" s="125"/>
      <c r="EWU175" s="125"/>
      <c r="EWV175" s="125"/>
      <c r="EWW175" s="125"/>
      <c r="EWX175" s="125"/>
      <c r="EWY175" s="125"/>
      <c r="EWZ175" s="125"/>
      <c r="EXA175" s="125"/>
      <c r="EXB175" s="125"/>
      <c r="EXC175" s="125"/>
      <c r="EXD175" s="125"/>
      <c r="EXE175" s="125"/>
      <c r="EXF175" s="125"/>
      <c r="EXG175" s="125"/>
      <c r="EXH175" s="125"/>
      <c r="EXI175" s="125"/>
      <c r="EXJ175" s="125"/>
      <c r="EXK175" s="125"/>
      <c r="EXL175" s="125"/>
      <c r="EXM175" s="125"/>
      <c r="EXN175" s="125"/>
      <c r="EXO175" s="125"/>
      <c r="EXP175" s="125"/>
      <c r="EXQ175" s="125"/>
      <c r="EXR175" s="125"/>
      <c r="EXS175" s="125"/>
      <c r="EXT175" s="125"/>
      <c r="EXU175" s="125"/>
      <c r="EXV175" s="125"/>
      <c r="EXW175" s="125"/>
      <c r="EXX175" s="125"/>
      <c r="EXY175" s="125"/>
      <c r="EXZ175" s="125"/>
      <c r="EYA175" s="125"/>
      <c r="EYB175" s="125"/>
      <c r="EYC175" s="125"/>
      <c r="EYD175" s="125"/>
      <c r="EYE175" s="125"/>
      <c r="EYF175" s="125"/>
      <c r="EYG175" s="125"/>
      <c r="EYH175" s="125"/>
      <c r="EYI175" s="125"/>
      <c r="EYJ175" s="125"/>
      <c r="EYK175" s="125"/>
      <c r="EYL175" s="125"/>
      <c r="EYM175" s="125"/>
      <c r="EYN175" s="125"/>
      <c r="EYO175" s="125"/>
      <c r="EYP175" s="125"/>
      <c r="EYQ175" s="125"/>
      <c r="EYR175" s="125"/>
      <c r="EYS175" s="125"/>
      <c r="EYT175" s="125"/>
      <c r="EYU175" s="125"/>
      <c r="EYV175" s="125"/>
      <c r="EYW175" s="125"/>
      <c r="EYX175" s="125"/>
      <c r="EYY175" s="125"/>
      <c r="EYZ175" s="125"/>
      <c r="EZA175" s="125"/>
      <c r="EZB175" s="125"/>
      <c r="EZC175" s="125"/>
      <c r="EZD175" s="125"/>
      <c r="EZE175" s="125"/>
      <c r="EZF175" s="125"/>
      <c r="EZG175" s="125"/>
      <c r="EZH175" s="125"/>
      <c r="EZI175" s="125"/>
      <c r="EZJ175" s="125"/>
      <c r="EZK175" s="125"/>
      <c r="EZL175" s="125"/>
      <c r="EZM175" s="125"/>
      <c r="EZN175" s="125"/>
      <c r="EZO175" s="125"/>
      <c r="EZP175" s="125"/>
      <c r="EZQ175" s="125"/>
      <c r="EZR175" s="125"/>
      <c r="EZS175" s="125"/>
      <c r="EZT175" s="125"/>
      <c r="EZU175" s="125"/>
      <c r="EZV175" s="125"/>
      <c r="EZW175" s="125"/>
      <c r="EZX175" s="125"/>
      <c r="EZY175" s="125"/>
      <c r="EZZ175" s="125"/>
      <c r="FAA175" s="125"/>
      <c r="FAB175" s="125"/>
      <c r="FAC175" s="125"/>
      <c r="FAD175" s="125"/>
      <c r="FAE175" s="125"/>
      <c r="FAF175" s="125"/>
      <c r="FAG175" s="125"/>
      <c r="FAH175" s="125"/>
      <c r="FAI175" s="125"/>
      <c r="FAJ175" s="125"/>
      <c r="FAK175" s="125"/>
      <c r="FAL175" s="125"/>
      <c r="FAM175" s="125"/>
      <c r="FAN175" s="125"/>
      <c r="FAO175" s="125"/>
      <c r="FAP175" s="125"/>
      <c r="FAQ175" s="125"/>
      <c r="FAR175" s="125"/>
      <c r="FAS175" s="125"/>
      <c r="FAT175" s="125"/>
      <c r="FAU175" s="125"/>
      <c r="FAV175" s="125"/>
      <c r="FAW175" s="125"/>
      <c r="FAX175" s="125"/>
      <c r="FAY175" s="125"/>
      <c r="FAZ175" s="125"/>
      <c r="FBA175" s="125"/>
      <c r="FBB175" s="125"/>
      <c r="FBC175" s="125"/>
      <c r="FBD175" s="125"/>
      <c r="FBE175" s="125"/>
      <c r="FBF175" s="125"/>
      <c r="FBG175" s="125"/>
      <c r="FBH175" s="125"/>
      <c r="FBI175" s="125"/>
      <c r="FBJ175" s="125"/>
      <c r="FBK175" s="125"/>
      <c r="FBL175" s="125"/>
      <c r="FBM175" s="125"/>
      <c r="FBN175" s="125"/>
      <c r="FBO175" s="125"/>
      <c r="FBP175" s="125"/>
      <c r="FBQ175" s="125"/>
      <c r="FBR175" s="125"/>
      <c r="FBS175" s="125"/>
      <c r="FBT175" s="125"/>
      <c r="FBU175" s="125"/>
      <c r="FBV175" s="125"/>
      <c r="FBW175" s="125"/>
      <c r="FBX175" s="125"/>
      <c r="FBY175" s="125"/>
      <c r="FBZ175" s="125"/>
      <c r="FCA175" s="125"/>
      <c r="FCB175" s="125"/>
      <c r="FCC175" s="125"/>
      <c r="FCD175" s="125"/>
      <c r="FCE175" s="125"/>
      <c r="FCF175" s="125"/>
      <c r="FCG175" s="125"/>
      <c r="FCH175" s="125"/>
      <c r="FCI175" s="125"/>
      <c r="FCJ175" s="125"/>
      <c r="FCK175" s="125"/>
      <c r="FCL175" s="125"/>
      <c r="FCM175" s="125"/>
      <c r="FCN175" s="125"/>
      <c r="FCO175" s="125"/>
      <c r="FCP175" s="125"/>
      <c r="FCQ175" s="125"/>
      <c r="FCR175" s="125"/>
      <c r="FCS175" s="125"/>
      <c r="FCT175" s="125"/>
      <c r="FCU175" s="125"/>
      <c r="FCV175" s="125"/>
      <c r="FCW175" s="125"/>
      <c r="FCX175" s="125"/>
      <c r="FCY175" s="125"/>
      <c r="FCZ175" s="125"/>
      <c r="FDA175" s="125"/>
      <c r="FDB175" s="125"/>
      <c r="FDC175" s="125"/>
      <c r="FDD175" s="125"/>
      <c r="FDE175" s="125"/>
      <c r="FDF175" s="125"/>
      <c r="FDG175" s="125"/>
      <c r="FDH175" s="125"/>
      <c r="FDI175" s="125"/>
      <c r="FDJ175" s="125"/>
      <c r="FDK175" s="125"/>
      <c r="FDL175" s="125"/>
      <c r="FDM175" s="125"/>
      <c r="FDN175" s="125"/>
      <c r="FDO175" s="125"/>
      <c r="FDP175" s="125"/>
      <c r="FDQ175" s="125"/>
      <c r="FDR175" s="125"/>
      <c r="FDS175" s="125"/>
      <c r="FDT175" s="125"/>
      <c r="FDU175" s="125"/>
      <c r="FDV175" s="125"/>
      <c r="FDW175" s="125"/>
      <c r="FDX175" s="125"/>
      <c r="FDY175" s="125"/>
      <c r="FDZ175" s="125"/>
      <c r="FEA175" s="125"/>
      <c r="FEB175" s="125"/>
      <c r="FEC175" s="125"/>
      <c r="FED175" s="125"/>
      <c r="FEE175" s="125"/>
      <c r="FEF175" s="125"/>
      <c r="FEG175" s="125"/>
      <c r="FEH175" s="125"/>
      <c r="FEI175" s="125"/>
      <c r="FEJ175" s="125"/>
      <c r="FEK175" s="125"/>
      <c r="FEL175" s="125"/>
      <c r="FEM175" s="125"/>
      <c r="FEN175" s="125"/>
      <c r="FEO175" s="125"/>
      <c r="FEP175" s="125"/>
      <c r="FEQ175" s="125"/>
      <c r="FER175" s="125"/>
      <c r="FES175" s="125"/>
      <c r="FET175" s="125"/>
      <c r="FEU175" s="125"/>
      <c r="FEV175" s="125"/>
      <c r="FEW175" s="125"/>
      <c r="FEX175" s="125"/>
      <c r="FEY175" s="125"/>
      <c r="FEZ175" s="125"/>
      <c r="FFA175" s="125"/>
      <c r="FFB175" s="125"/>
      <c r="FFC175" s="125"/>
      <c r="FFD175" s="125"/>
      <c r="FFE175" s="125"/>
      <c r="FFF175" s="125"/>
      <c r="FFG175" s="125"/>
      <c r="FFH175" s="125"/>
      <c r="FFI175" s="125"/>
      <c r="FFJ175" s="125"/>
      <c r="FFK175" s="125"/>
      <c r="FFL175" s="125"/>
      <c r="FFM175" s="125"/>
      <c r="FFN175" s="125"/>
      <c r="FFO175" s="125"/>
      <c r="FFP175" s="125"/>
      <c r="FFQ175" s="125"/>
      <c r="FFR175" s="125"/>
      <c r="FFS175" s="125"/>
      <c r="FFT175" s="125"/>
      <c r="FFU175" s="125"/>
      <c r="FFV175" s="125"/>
      <c r="FFW175" s="125"/>
      <c r="FFX175" s="125"/>
      <c r="FFY175" s="125"/>
      <c r="FFZ175" s="125"/>
      <c r="FGA175" s="125"/>
      <c r="FGB175" s="125"/>
      <c r="FGC175" s="125"/>
      <c r="FGD175" s="125"/>
      <c r="FGE175" s="125"/>
      <c r="FGF175" s="125"/>
      <c r="FGG175" s="125"/>
      <c r="FGH175" s="125"/>
      <c r="FGI175" s="125"/>
      <c r="FGJ175" s="125"/>
      <c r="FGK175" s="125"/>
      <c r="FGL175" s="125"/>
      <c r="FGM175" s="125"/>
      <c r="FGN175" s="125"/>
      <c r="FGO175" s="125"/>
      <c r="FGP175" s="125"/>
      <c r="FGQ175" s="125"/>
      <c r="FGR175" s="125"/>
      <c r="FGS175" s="125"/>
      <c r="FGT175" s="125"/>
      <c r="FGU175" s="125"/>
      <c r="FGV175" s="125"/>
      <c r="FGW175" s="125"/>
      <c r="FGX175" s="125"/>
      <c r="FGY175" s="125"/>
      <c r="FGZ175" s="125"/>
      <c r="FHA175" s="125"/>
      <c r="FHB175" s="125"/>
      <c r="FHC175" s="125"/>
      <c r="FHD175" s="125"/>
      <c r="FHE175" s="125"/>
      <c r="FHF175" s="125"/>
      <c r="FHG175" s="125"/>
      <c r="FHH175" s="125"/>
      <c r="FHI175" s="125"/>
      <c r="FHJ175" s="125"/>
      <c r="FHK175" s="125"/>
      <c r="FHL175" s="125"/>
      <c r="FHM175" s="125"/>
      <c r="FHN175" s="125"/>
      <c r="FHO175" s="125"/>
      <c r="FHP175" s="125"/>
      <c r="FHQ175" s="125"/>
      <c r="FHR175" s="125"/>
      <c r="FHS175" s="125"/>
      <c r="FHT175" s="125"/>
      <c r="FHU175" s="125"/>
      <c r="FHV175" s="125"/>
      <c r="FHW175" s="125"/>
      <c r="FHX175" s="125"/>
      <c r="FHY175" s="125"/>
      <c r="FHZ175" s="125"/>
      <c r="FIA175" s="125"/>
      <c r="FIB175" s="125"/>
      <c r="FIC175" s="125"/>
      <c r="FID175" s="125"/>
      <c r="FIE175" s="125"/>
      <c r="FIF175" s="125"/>
      <c r="FIG175" s="125"/>
      <c r="FIH175" s="125"/>
      <c r="FII175" s="125"/>
      <c r="FIJ175" s="125"/>
      <c r="FIK175" s="125"/>
      <c r="FIL175" s="125"/>
      <c r="FIM175" s="125"/>
      <c r="FIN175" s="125"/>
      <c r="FIO175" s="125"/>
      <c r="FIP175" s="125"/>
      <c r="FIQ175" s="125"/>
      <c r="FIR175" s="125"/>
      <c r="FIS175" s="125"/>
      <c r="FIT175" s="125"/>
      <c r="FIU175" s="125"/>
      <c r="FIV175" s="125"/>
      <c r="FIW175" s="125"/>
      <c r="FIX175" s="125"/>
      <c r="FIY175" s="125"/>
      <c r="FIZ175" s="125"/>
      <c r="FJA175" s="125"/>
      <c r="FJB175" s="125"/>
      <c r="FJC175" s="125"/>
      <c r="FJD175" s="125"/>
      <c r="FJE175" s="125"/>
      <c r="FJF175" s="125"/>
      <c r="FJG175" s="125"/>
      <c r="FJH175" s="125"/>
      <c r="FJI175" s="125"/>
      <c r="FJJ175" s="125"/>
      <c r="FJK175" s="125"/>
      <c r="FJL175" s="125"/>
      <c r="FJM175" s="125"/>
      <c r="FJN175" s="125"/>
      <c r="FJO175" s="125"/>
      <c r="FJP175" s="125"/>
      <c r="FJQ175" s="125"/>
      <c r="FJR175" s="125"/>
      <c r="FJS175" s="125"/>
      <c r="FJT175" s="125"/>
      <c r="FJU175" s="125"/>
      <c r="FJV175" s="125"/>
      <c r="FJW175" s="125"/>
      <c r="FJX175" s="125"/>
      <c r="FJY175" s="125"/>
      <c r="FJZ175" s="125"/>
      <c r="FKA175" s="125"/>
      <c r="FKB175" s="125"/>
      <c r="FKC175" s="125"/>
      <c r="FKD175" s="125"/>
      <c r="FKE175" s="125"/>
      <c r="FKF175" s="125"/>
      <c r="FKG175" s="125"/>
      <c r="FKH175" s="125"/>
      <c r="FKI175" s="125"/>
      <c r="FKJ175" s="125"/>
      <c r="FKK175" s="125"/>
      <c r="FKL175" s="125"/>
      <c r="FKM175" s="125"/>
      <c r="FKN175" s="125"/>
      <c r="FKO175" s="125"/>
      <c r="FKP175" s="125"/>
      <c r="FKQ175" s="125"/>
      <c r="FKR175" s="125"/>
      <c r="FKS175" s="125"/>
      <c r="FKT175" s="125"/>
      <c r="FKU175" s="125"/>
      <c r="FKV175" s="125"/>
      <c r="FKW175" s="125"/>
      <c r="FKX175" s="125"/>
      <c r="FKY175" s="125"/>
      <c r="FKZ175" s="125"/>
      <c r="FLA175" s="125"/>
      <c r="FLB175" s="125"/>
      <c r="FLC175" s="125"/>
      <c r="FLD175" s="125"/>
      <c r="FLE175" s="125"/>
      <c r="FLF175" s="125"/>
      <c r="FLG175" s="125"/>
      <c r="FLH175" s="125"/>
      <c r="FLI175" s="125"/>
      <c r="FLJ175" s="125"/>
      <c r="FLK175" s="125"/>
      <c r="FLL175" s="125"/>
      <c r="FLM175" s="125"/>
      <c r="FLN175" s="125"/>
      <c r="FLO175" s="125"/>
      <c r="FLP175" s="125"/>
      <c r="FLQ175" s="125"/>
      <c r="FLR175" s="125"/>
      <c r="FLS175" s="125"/>
      <c r="FLT175" s="125"/>
      <c r="FLU175" s="125"/>
      <c r="FLV175" s="125"/>
      <c r="FLW175" s="125"/>
      <c r="FLX175" s="125"/>
      <c r="FLY175" s="125"/>
      <c r="FLZ175" s="125"/>
      <c r="FMA175" s="125"/>
      <c r="FMB175" s="125"/>
      <c r="FMC175" s="125"/>
      <c r="FMD175" s="125"/>
      <c r="FME175" s="125"/>
      <c r="FMF175" s="125"/>
      <c r="FMG175" s="125"/>
      <c r="FMH175" s="125"/>
      <c r="FMI175" s="125"/>
      <c r="FMJ175" s="125"/>
      <c r="FMK175" s="125"/>
      <c r="FML175" s="125"/>
      <c r="FMM175" s="125"/>
      <c r="FMN175" s="125"/>
      <c r="FMO175" s="125"/>
      <c r="FMP175" s="125"/>
      <c r="FMQ175" s="125"/>
      <c r="FMR175" s="125"/>
      <c r="FMS175" s="125"/>
      <c r="FMT175" s="125"/>
      <c r="FMU175" s="125"/>
      <c r="FMV175" s="125"/>
      <c r="FMW175" s="125"/>
      <c r="FMX175" s="125"/>
      <c r="FMY175" s="125"/>
      <c r="FMZ175" s="125"/>
      <c r="FNA175" s="125"/>
      <c r="FNB175" s="125"/>
      <c r="FNC175" s="125"/>
      <c r="FND175" s="125"/>
      <c r="FNE175" s="125"/>
      <c r="FNF175" s="125"/>
      <c r="FNG175" s="125"/>
      <c r="FNH175" s="125"/>
      <c r="FNI175" s="125"/>
      <c r="FNJ175" s="125"/>
      <c r="FNK175" s="125"/>
      <c r="FNL175" s="125"/>
      <c r="FNM175" s="125"/>
      <c r="FNN175" s="125"/>
      <c r="FNO175" s="125"/>
      <c r="FNP175" s="125"/>
      <c r="FNQ175" s="125"/>
      <c r="FNR175" s="125"/>
      <c r="FNS175" s="125"/>
      <c r="FNT175" s="125"/>
      <c r="FNU175" s="125"/>
      <c r="FNV175" s="125"/>
      <c r="FNW175" s="125"/>
      <c r="FNX175" s="125"/>
      <c r="FNY175" s="125"/>
      <c r="FNZ175" s="125"/>
      <c r="FOA175" s="125"/>
      <c r="FOB175" s="125"/>
      <c r="FOC175" s="125"/>
      <c r="FOD175" s="125"/>
      <c r="FOE175" s="125"/>
      <c r="FOF175" s="125"/>
      <c r="FOG175" s="125"/>
      <c r="FOH175" s="125"/>
      <c r="FOI175" s="125"/>
      <c r="FOJ175" s="125"/>
      <c r="FOK175" s="125"/>
      <c r="FOL175" s="125"/>
      <c r="FOM175" s="125"/>
      <c r="FON175" s="125"/>
      <c r="FOO175" s="125"/>
      <c r="FOP175" s="125"/>
      <c r="FOQ175" s="125"/>
      <c r="FOR175" s="125"/>
      <c r="FOS175" s="125"/>
      <c r="FOT175" s="125"/>
      <c r="FOU175" s="125"/>
      <c r="FOV175" s="125"/>
      <c r="FOW175" s="125"/>
      <c r="FOX175" s="125"/>
      <c r="FOY175" s="125"/>
      <c r="FOZ175" s="125"/>
      <c r="FPA175" s="125"/>
      <c r="FPB175" s="125"/>
      <c r="FPC175" s="125"/>
      <c r="FPD175" s="125"/>
      <c r="FPE175" s="125"/>
      <c r="FPF175" s="125"/>
      <c r="FPG175" s="125"/>
      <c r="FPH175" s="125"/>
      <c r="FPI175" s="125"/>
      <c r="FPJ175" s="125"/>
      <c r="FPK175" s="125"/>
      <c r="FPL175" s="125"/>
      <c r="FPM175" s="125"/>
      <c r="FPN175" s="125"/>
      <c r="FPO175" s="125"/>
      <c r="FPP175" s="125"/>
      <c r="FPQ175" s="125"/>
      <c r="FPR175" s="125"/>
      <c r="FPS175" s="125"/>
      <c r="FPT175" s="125"/>
      <c r="FPU175" s="125"/>
      <c r="FPV175" s="125"/>
      <c r="FPW175" s="125"/>
      <c r="FPX175" s="125"/>
      <c r="FPY175" s="125"/>
      <c r="FPZ175" s="125"/>
      <c r="FQA175" s="125"/>
      <c r="FQB175" s="125"/>
      <c r="FQC175" s="125"/>
      <c r="FQD175" s="125"/>
      <c r="FQE175" s="125"/>
      <c r="FQF175" s="125"/>
      <c r="FQG175" s="125"/>
      <c r="FQH175" s="125"/>
      <c r="FQI175" s="125"/>
      <c r="FQJ175" s="125"/>
      <c r="FQK175" s="125"/>
      <c r="FQL175" s="125"/>
      <c r="FQM175" s="125"/>
      <c r="FQN175" s="125"/>
      <c r="FQO175" s="125"/>
      <c r="FQP175" s="125"/>
      <c r="FQQ175" s="125"/>
      <c r="FQR175" s="125"/>
      <c r="FQS175" s="125"/>
      <c r="FQT175" s="125"/>
      <c r="FQU175" s="125"/>
      <c r="FQV175" s="125"/>
      <c r="FQW175" s="125"/>
      <c r="FQX175" s="125"/>
      <c r="FQY175" s="125"/>
      <c r="FQZ175" s="125"/>
      <c r="FRA175" s="125"/>
      <c r="FRB175" s="125"/>
      <c r="FRC175" s="125"/>
      <c r="FRD175" s="125"/>
      <c r="FRE175" s="125"/>
      <c r="FRF175" s="125"/>
      <c r="FRG175" s="125"/>
      <c r="FRH175" s="125"/>
      <c r="FRI175" s="125"/>
      <c r="FRJ175" s="125"/>
      <c r="FRK175" s="125"/>
      <c r="FRL175" s="125"/>
      <c r="FRM175" s="125"/>
      <c r="FRN175" s="125"/>
      <c r="FRO175" s="125"/>
      <c r="FRP175" s="125"/>
      <c r="FRQ175" s="125"/>
      <c r="FRR175" s="125"/>
      <c r="FRS175" s="125"/>
      <c r="FRT175" s="125"/>
      <c r="FRU175" s="125"/>
      <c r="FRV175" s="125"/>
      <c r="FRW175" s="125"/>
      <c r="FRX175" s="125"/>
      <c r="FRY175" s="125"/>
      <c r="FRZ175" s="125"/>
      <c r="FSA175" s="125"/>
      <c r="FSB175" s="125"/>
      <c r="FSC175" s="125"/>
      <c r="FSD175" s="125"/>
      <c r="FSE175" s="125"/>
      <c r="FSF175" s="125"/>
      <c r="FSG175" s="125"/>
      <c r="FSH175" s="125"/>
      <c r="FSI175" s="125"/>
      <c r="FSJ175" s="125"/>
      <c r="FSK175" s="125"/>
      <c r="FSL175" s="125"/>
      <c r="FSM175" s="125"/>
      <c r="FSN175" s="125"/>
      <c r="FSO175" s="125"/>
      <c r="FSP175" s="125"/>
      <c r="FSQ175" s="125"/>
      <c r="FSR175" s="125"/>
      <c r="FSS175" s="125"/>
      <c r="FST175" s="125"/>
      <c r="FSU175" s="125"/>
      <c r="FSV175" s="125"/>
      <c r="FSW175" s="125"/>
      <c r="FSX175" s="125"/>
      <c r="FSY175" s="125"/>
      <c r="FSZ175" s="125"/>
      <c r="FTA175" s="125"/>
      <c r="FTB175" s="125"/>
      <c r="FTC175" s="125"/>
      <c r="FTD175" s="125"/>
      <c r="FTE175" s="125"/>
      <c r="FTF175" s="125"/>
      <c r="FTG175" s="125"/>
      <c r="FTH175" s="125"/>
      <c r="FTI175" s="125"/>
      <c r="FTJ175" s="125"/>
      <c r="FTK175" s="125"/>
      <c r="FTL175" s="125"/>
      <c r="FTM175" s="125"/>
      <c r="FTN175" s="125"/>
      <c r="FTO175" s="125"/>
      <c r="FTP175" s="125"/>
      <c r="FTQ175" s="125"/>
      <c r="FTR175" s="125"/>
      <c r="FTS175" s="125"/>
      <c r="FTT175" s="125"/>
      <c r="FTU175" s="125"/>
      <c r="FTV175" s="125"/>
      <c r="FTW175" s="125"/>
      <c r="FTX175" s="125"/>
      <c r="FTY175" s="125"/>
      <c r="FTZ175" s="125"/>
      <c r="FUA175" s="125"/>
      <c r="FUB175" s="125"/>
      <c r="FUC175" s="125"/>
      <c r="FUD175" s="125"/>
      <c r="FUE175" s="125"/>
      <c r="FUF175" s="125"/>
      <c r="FUG175" s="125"/>
      <c r="FUH175" s="125"/>
      <c r="FUI175" s="125"/>
      <c r="FUJ175" s="125"/>
      <c r="FUK175" s="125"/>
      <c r="FUL175" s="125"/>
      <c r="FUM175" s="125"/>
      <c r="FUN175" s="125"/>
      <c r="FUO175" s="125"/>
      <c r="FUP175" s="125"/>
      <c r="FUQ175" s="125"/>
      <c r="FUR175" s="125"/>
      <c r="FUS175" s="125"/>
      <c r="FUT175" s="125"/>
      <c r="FUU175" s="125"/>
      <c r="FUV175" s="125"/>
      <c r="FUW175" s="125"/>
      <c r="FUX175" s="125"/>
      <c r="FUY175" s="125"/>
      <c r="FUZ175" s="125"/>
      <c r="FVA175" s="125"/>
      <c r="FVB175" s="125"/>
      <c r="FVC175" s="125"/>
      <c r="FVD175" s="125"/>
      <c r="FVE175" s="125"/>
      <c r="FVF175" s="125"/>
      <c r="FVG175" s="125"/>
      <c r="FVH175" s="125"/>
      <c r="FVI175" s="125"/>
      <c r="FVJ175" s="125"/>
      <c r="FVK175" s="125"/>
      <c r="FVL175" s="125"/>
      <c r="FVM175" s="125"/>
      <c r="FVN175" s="125"/>
      <c r="FVO175" s="125"/>
      <c r="FVP175" s="125"/>
      <c r="FVQ175" s="125"/>
      <c r="FVR175" s="125"/>
      <c r="FVS175" s="125"/>
      <c r="FVT175" s="125"/>
      <c r="FVU175" s="125"/>
      <c r="FVV175" s="125"/>
      <c r="FVW175" s="125"/>
      <c r="FVX175" s="125"/>
      <c r="FVY175" s="125"/>
      <c r="FVZ175" s="125"/>
      <c r="FWA175" s="125"/>
      <c r="FWB175" s="125"/>
      <c r="FWC175" s="125"/>
      <c r="FWD175" s="125"/>
      <c r="FWE175" s="125"/>
      <c r="FWF175" s="125"/>
      <c r="FWG175" s="125"/>
      <c r="FWH175" s="125"/>
      <c r="FWI175" s="125"/>
      <c r="FWJ175" s="125"/>
      <c r="FWK175" s="125"/>
      <c r="FWL175" s="125"/>
      <c r="FWM175" s="125"/>
      <c r="FWN175" s="125"/>
      <c r="FWO175" s="125"/>
      <c r="FWP175" s="125"/>
      <c r="FWQ175" s="125"/>
      <c r="FWR175" s="125"/>
      <c r="FWS175" s="125"/>
      <c r="FWT175" s="125"/>
      <c r="FWU175" s="125"/>
      <c r="FWV175" s="125"/>
      <c r="FWW175" s="125"/>
      <c r="FWX175" s="125"/>
      <c r="FWY175" s="125"/>
      <c r="FWZ175" s="125"/>
      <c r="FXA175" s="125"/>
      <c r="FXB175" s="125"/>
      <c r="FXC175" s="125"/>
      <c r="FXD175" s="125"/>
      <c r="FXE175" s="125"/>
      <c r="FXF175" s="125"/>
      <c r="FXG175" s="125"/>
      <c r="FXH175" s="125"/>
      <c r="FXI175" s="125"/>
      <c r="FXJ175" s="125"/>
      <c r="FXK175" s="125"/>
      <c r="FXL175" s="125"/>
      <c r="FXM175" s="125"/>
      <c r="FXN175" s="125"/>
      <c r="FXO175" s="125"/>
      <c r="FXP175" s="125"/>
      <c r="FXQ175" s="125"/>
      <c r="FXR175" s="125"/>
      <c r="FXS175" s="125"/>
      <c r="FXT175" s="125"/>
      <c r="FXU175" s="125"/>
      <c r="FXV175" s="125"/>
      <c r="FXW175" s="125"/>
      <c r="FXX175" s="125"/>
      <c r="FXY175" s="125"/>
      <c r="FXZ175" s="125"/>
      <c r="FYA175" s="125"/>
      <c r="FYB175" s="125"/>
      <c r="FYC175" s="125"/>
      <c r="FYD175" s="125"/>
      <c r="FYE175" s="125"/>
      <c r="FYF175" s="125"/>
      <c r="FYG175" s="125"/>
      <c r="FYH175" s="125"/>
      <c r="FYI175" s="125"/>
      <c r="FYJ175" s="125"/>
      <c r="FYK175" s="125"/>
      <c r="FYL175" s="125"/>
      <c r="FYM175" s="125"/>
      <c r="FYN175" s="125"/>
      <c r="FYO175" s="125"/>
      <c r="FYP175" s="125"/>
      <c r="FYQ175" s="125"/>
      <c r="FYR175" s="125"/>
      <c r="FYS175" s="125"/>
      <c r="FYT175" s="125"/>
      <c r="FYU175" s="125"/>
      <c r="FYV175" s="125"/>
      <c r="FYW175" s="125"/>
      <c r="FYX175" s="125"/>
      <c r="FYY175" s="125"/>
      <c r="FYZ175" s="125"/>
      <c r="FZA175" s="125"/>
      <c r="FZB175" s="125"/>
      <c r="FZC175" s="125"/>
      <c r="FZD175" s="125"/>
      <c r="FZE175" s="125"/>
      <c r="FZF175" s="125"/>
      <c r="FZG175" s="125"/>
      <c r="FZH175" s="125"/>
      <c r="FZI175" s="125"/>
      <c r="FZJ175" s="125"/>
      <c r="FZK175" s="125"/>
      <c r="FZL175" s="125"/>
      <c r="FZM175" s="125"/>
      <c r="FZN175" s="125"/>
      <c r="FZO175" s="125"/>
      <c r="FZP175" s="125"/>
      <c r="FZQ175" s="125"/>
      <c r="FZR175" s="125"/>
      <c r="FZS175" s="125"/>
      <c r="FZT175" s="125"/>
      <c r="FZU175" s="125"/>
      <c r="FZV175" s="125"/>
      <c r="FZW175" s="125"/>
      <c r="FZX175" s="125"/>
      <c r="FZY175" s="125"/>
      <c r="FZZ175" s="125"/>
      <c r="GAA175" s="125"/>
      <c r="GAB175" s="125"/>
      <c r="GAC175" s="125"/>
      <c r="GAD175" s="125"/>
      <c r="GAE175" s="125"/>
      <c r="GAF175" s="125"/>
      <c r="GAG175" s="125"/>
      <c r="GAH175" s="125"/>
      <c r="GAI175" s="125"/>
      <c r="GAJ175" s="125"/>
      <c r="GAK175" s="125"/>
      <c r="GAL175" s="125"/>
      <c r="GAM175" s="125"/>
      <c r="GAN175" s="125"/>
      <c r="GAO175" s="125"/>
      <c r="GAP175" s="125"/>
      <c r="GAQ175" s="125"/>
      <c r="GAR175" s="125"/>
      <c r="GAS175" s="125"/>
      <c r="GAT175" s="125"/>
      <c r="GAU175" s="125"/>
      <c r="GAV175" s="125"/>
      <c r="GAW175" s="125"/>
      <c r="GAX175" s="125"/>
      <c r="GAY175" s="125"/>
      <c r="GAZ175" s="125"/>
      <c r="GBA175" s="125"/>
      <c r="GBB175" s="125"/>
      <c r="GBC175" s="125"/>
      <c r="GBD175" s="125"/>
      <c r="GBE175" s="125"/>
      <c r="GBF175" s="125"/>
      <c r="GBG175" s="125"/>
      <c r="GBH175" s="125"/>
      <c r="GBI175" s="125"/>
      <c r="GBJ175" s="125"/>
      <c r="GBK175" s="125"/>
      <c r="GBL175" s="125"/>
      <c r="GBM175" s="125"/>
      <c r="GBN175" s="125"/>
      <c r="GBO175" s="125"/>
      <c r="GBP175" s="125"/>
      <c r="GBQ175" s="125"/>
      <c r="GBR175" s="125"/>
      <c r="GBS175" s="125"/>
      <c r="GBT175" s="125"/>
      <c r="GBU175" s="125"/>
      <c r="GBV175" s="125"/>
      <c r="GBW175" s="125"/>
      <c r="GBX175" s="125"/>
      <c r="GBY175" s="125"/>
      <c r="GBZ175" s="125"/>
      <c r="GCA175" s="125"/>
      <c r="GCB175" s="125"/>
      <c r="GCC175" s="125"/>
      <c r="GCD175" s="125"/>
      <c r="GCE175" s="125"/>
      <c r="GCF175" s="125"/>
      <c r="GCG175" s="125"/>
      <c r="GCH175" s="125"/>
      <c r="GCI175" s="125"/>
      <c r="GCJ175" s="125"/>
      <c r="GCK175" s="125"/>
      <c r="GCL175" s="125"/>
      <c r="GCM175" s="125"/>
      <c r="GCN175" s="125"/>
      <c r="GCO175" s="125"/>
      <c r="GCP175" s="125"/>
      <c r="GCQ175" s="125"/>
      <c r="GCR175" s="125"/>
      <c r="GCS175" s="125"/>
      <c r="GCT175" s="125"/>
      <c r="GCU175" s="125"/>
      <c r="GCV175" s="125"/>
      <c r="GCW175" s="125"/>
      <c r="GCX175" s="125"/>
      <c r="GCY175" s="125"/>
      <c r="GCZ175" s="125"/>
      <c r="GDA175" s="125"/>
      <c r="GDB175" s="125"/>
      <c r="GDC175" s="125"/>
      <c r="GDD175" s="125"/>
      <c r="GDE175" s="125"/>
      <c r="GDF175" s="125"/>
      <c r="GDG175" s="125"/>
      <c r="GDH175" s="125"/>
      <c r="GDI175" s="125"/>
      <c r="GDJ175" s="125"/>
      <c r="GDK175" s="125"/>
      <c r="GDL175" s="125"/>
      <c r="GDM175" s="125"/>
      <c r="GDN175" s="125"/>
      <c r="GDO175" s="125"/>
      <c r="GDP175" s="125"/>
      <c r="GDQ175" s="125"/>
      <c r="GDR175" s="125"/>
      <c r="GDS175" s="125"/>
      <c r="GDT175" s="125"/>
      <c r="GDU175" s="125"/>
      <c r="GDV175" s="125"/>
      <c r="GDW175" s="125"/>
      <c r="GDX175" s="125"/>
      <c r="GDY175" s="125"/>
      <c r="GDZ175" s="125"/>
      <c r="GEA175" s="125"/>
      <c r="GEB175" s="125"/>
      <c r="GEC175" s="125"/>
      <c r="GED175" s="125"/>
      <c r="GEE175" s="125"/>
      <c r="GEF175" s="125"/>
      <c r="GEG175" s="125"/>
      <c r="GEH175" s="125"/>
      <c r="GEI175" s="125"/>
      <c r="GEJ175" s="125"/>
      <c r="GEK175" s="125"/>
      <c r="GEL175" s="125"/>
      <c r="GEM175" s="125"/>
      <c r="GEN175" s="125"/>
      <c r="GEO175" s="125"/>
      <c r="GEP175" s="125"/>
      <c r="GEQ175" s="125"/>
      <c r="GER175" s="125"/>
      <c r="GES175" s="125"/>
      <c r="GET175" s="125"/>
      <c r="GEU175" s="125"/>
      <c r="GEV175" s="125"/>
      <c r="GEW175" s="125"/>
      <c r="GEX175" s="125"/>
      <c r="GEY175" s="125"/>
      <c r="GEZ175" s="125"/>
      <c r="GFA175" s="125"/>
      <c r="GFB175" s="125"/>
      <c r="GFC175" s="125"/>
      <c r="GFD175" s="125"/>
      <c r="GFE175" s="125"/>
      <c r="GFF175" s="125"/>
      <c r="GFG175" s="125"/>
      <c r="GFH175" s="125"/>
      <c r="GFI175" s="125"/>
      <c r="GFJ175" s="125"/>
      <c r="GFK175" s="125"/>
      <c r="GFL175" s="125"/>
      <c r="GFM175" s="125"/>
      <c r="GFN175" s="125"/>
      <c r="GFO175" s="125"/>
      <c r="GFP175" s="125"/>
      <c r="GFQ175" s="125"/>
      <c r="GFR175" s="125"/>
      <c r="GFS175" s="125"/>
      <c r="GFT175" s="125"/>
      <c r="GFU175" s="125"/>
      <c r="GFV175" s="125"/>
      <c r="GFW175" s="125"/>
      <c r="GFX175" s="125"/>
      <c r="GFY175" s="125"/>
      <c r="GFZ175" s="125"/>
      <c r="GGA175" s="125"/>
      <c r="GGB175" s="125"/>
      <c r="GGC175" s="125"/>
      <c r="GGD175" s="125"/>
      <c r="GGE175" s="125"/>
      <c r="GGF175" s="125"/>
      <c r="GGG175" s="125"/>
      <c r="GGH175" s="125"/>
      <c r="GGI175" s="125"/>
      <c r="GGJ175" s="125"/>
      <c r="GGK175" s="125"/>
      <c r="GGL175" s="125"/>
      <c r="GGM175" s="125"/>
      <c r="GGN175" s="125"/>
      <c r="GGO175" s="125"/>
      <c r="GGP175" s="125"/>
      <c r="GGQ175" s="125"/>
      <c r="GGR175" s="125"/>
      <c r="GGS175" s="125"/>
      <c r="GGT175" s="125"/>
      <c r="GGU175" s="125"/>
      <c r="GGV175" s="125"/>
      <c r="GGW175" s="125"/>
      <c r="GGX175" s="125"/>
      <c r="GGY175" s="125"/>
      <c r="GGZ175" s="125"/>
      <c r="GHA175" s="125"/>
      <c r="GHB175" s="125"/>
      <c r="GHC175" s="125"/>
      <c r="GHD175" s="125"/>
      <c r="GHE175" s="125"/>
      <c r="GHF175" s="125"/>
      <c r="GHG175" s="125"/>
      <c r="GHH175" s="125"/>
      <c r="GHI175" s="125"/>
      <c r="GHJ175" s="125"/>
      <c r="GHK175" s="125"/>
      <c r="GHL175" s="125"/>
      <c r="GHM175" s="125"/>
      <c r="GHN175" s="125"/>
      <c r="GHO175" s="125"/>
      <c r="GHP175" s="125"/>
      <c r="GHQ175" s="125"/>
      <c r="GHR175" s="125"/>
      <c r="GHS175" s="125"/>
      <c r="GHT175" s="125"/>
      <c r="GHU175" s="125"/>
      <c r="GHV175" s="125"/>
      <c r="GHW175" s="125"/>
      <c r="GHX175" s="125"/>
      <c r="GHY175" s="125"/>
      <c r="GHZ175" s="125"/>
      <c r="GIA175" s="125"/>
      <c r="GIB175" s="125"/>
      <c r="GIC175" s="125"/>
      <c r="GID175" s="125"/>
      <c r="GIE175" s="125"/>
      <c r="GIF175" s="125"/>
      <c r="GIG175" s="125"/>
      <c r="GIH175" s="125"/>
      <c r="GII175" s="125"/>
      <c r="GIJ175" s="125"/>
      <c r="GIK175" s="125"/>
      <c r="GIL175" s="125"/>
      <c r="GIM175" s="125"/>
      <c r="GIN175" s="125"/>
      <c r="GIO175" s="125"/>
      <c r="GIP175" s="125"/>
      <c r="GIQ175" s="125"/>
      <c r="GIR175" s="125"/>
      <c r="GIS175" s="125"/>
      <c r="GIT175" s="125"/>
      <c r="GIU175" s="125"/>
      <c r="GIV175" s="125"/>
      <c r="GIW175" s="125"/>
      <c r="GIX175" s="125"/>
      <c r="GIY175" s="125"/>
      <c r="GIZ175" s="125"/>
      <c r="GJA175" s="125"/>
      <c r="GJB175" s="125"/>
      <c r="GJC175" s="125"/>
      <c r="GJD175" s="125"/>
      <c r="GJE175" s="125"/>
      <c r="GJF175" s="125"/>
      <c r="GJG175" s="125"/>
      <c r="GJH175" s="125"/>
      <c r="GJI175" s="125"/>
      <c r="GJJ175" s="125"/>
      <c r="GJK175" s="125"/>
      <c r="GJL175" s="125"/>
      <c r="GJM175" s="125"/>
      <c r="GJN175" s="125"/>
      <c r="GJO175" s="125"/>
      <c r="GJP175" s="125"/>
      <c r="GJQ175" s="125"/>
      <c r="GJR175" s="125"/>
      <c r="GJS175" s="125"/>
      <c r="GJT175" s="125"/>
      <c r="GJU175" s="125"/>
      <c r="GJV175" s="125"/>
      <c r="GJW175" s="125"/>
      <c r="GJX175" s="125"/>
      <c r="GJY175" s="125"/>
      <c r="GJZ175" s="125"/>
      <c r="GKA175" s="125"/>
      <c r="GKB175" s="125"/>
      <c r="GKC175" s="125"/>
      <c r="GKD175" s="125"/>
      <c r="GKE175" s="125"/>
      <c r="GKF175" s="125"/>
      <c r="GKG175" s="125"/>
      <c r="GKH175" s="125"/>
      <c r="GKI175" s="125"/>
      <c r="GKJ175" s="125"/>
      <c r="GKK175" s="125"/>
      <c r="GKL175" s="125"/>
      <c r="GKM175" s="125"/>
      <c r="GKN175" s="125"/>
      <c r="GKO175" s="125"/>
      <c r="GKP175" s="125"/>
      <c r="GKQ175" s="125"/>
      <c r="GKR175" s="125"/>
      <c r="GKS175" s="125"/>
      <c r="GKT175" s="125"/>
      <c r="GKU175" s="125"/>
      <c r="GKV175" s="125"/>
      <c r="GKW175" s="125"/>
      <c r="GKX175" s="125"/>
      <c r="GKY175" s="125"/>
      <c r="GKZ175" s="125"/>
      <c r="GLA175" s="125"/>
      <c r="GLB175" s="125"/>
      <c r="GLC175" s="125"/>
      <c r="GLD175" s="125"/>
      <c r="GLE175" s="125"/>
      <c r="GLF175" s="125"/>
      <c r="GLG175" s="125"/>
      <c r="GLH175" s="125"/>
      <c r="GLI175" s="125"/>
      <c r="GLJ175" s="125"/>
      <c r="GLK175" s="125"/>
      <c r="GLL175" s="125"/>
      <c r="GLM175" s="125"/>
      <c r="GLN175" s="125"/>
      <c r="GLO175" s="125"/>
      <c r="GLP175" s="125"/>
      <c r="GLQ175" s="125"/>
      <c r="GLR175" s="125"/>
      <c r="GLS175" s="125"/>
      <c r="GLT175" s="125"/>
      <c r="GLU175" s="125"/>
      <c r="GLV175" s="125"/>
      <c r="GLW175" s="125"/>
      <c r="GLX175" s="125"/>
      <c r="GLY175" s="125"/>
      <c r="GLZ175" s="125"/>
      <c r="GMA175" s="125"/>
      <c r="GMB175" s="125"/>
      <c r="GMC175" s="125"/>
      <c r="GMD175" s="125"/>
      <c r="GME175" s="125"/>
      <c r="GMF175" s="125"/>
      <c r="GMG175" s="125"/>
      <c r="GMH175" s="125"/>
      <c r="GMI175" s="125"/>
      <c r="GMJ175" s="125"/>
      <c r="GMK175" s="125"/>
      <c r="GML175" s="125"/>
      <c r="GMM175" s="125"/>
      <c r="GMN175" s="125"/>
      <c r="GMO175" s="125"/>
      <c r="GMP175" s="125"/>
      <c r="GMQ175" s="125"/>
      <c r="GMR175" s="125"/>
      <c r="GMS175" s="125"/>
      <c r="GMT175" s="125"/>
      <c r="GMU175" s="125"/>
      <c r="GMV175" s="125"/>
      <c r="GMW175" s="125"/>
      <c r="GMX175" s="125"/>
      <c r="GMY175" s="125"/>
      <c r="GMZ175" s="125"/>
      <c r="GNA175" s="125"/>
      <c r="GNB175" s="125"/>
      <c r="GNC175" s="125"/>
      <c r="GND175" s="125"/>
      <c r="GNE175" s="125"/>
      <c r="GNF175" s="125"/>
      <c r="GNG175" s="125"/>
      <c r="GNH175" s="125"/>
      <c r="GNI175" s="125"/>
      <c r="GNJ175" s="125"/>
      <c r="GNK175" s="125"/>
      <c r="GNL175" s="125"/>
      <c r="GNM175" s="125"/>
      <c r="GNN175" s="125"/>
      <c r="GNO175" s="125"/>
      <c r="GNP175" s="125"/>
      <c r="GNQ175" s="125"/>
      <c r="GNR175" s="125"/>
      <c r="GNS175" s="125"/>
      <c r="GNT175" s="125"/>
      <c r="GNU175" s="125"/>
      <c r="GNV175" s="125"/>
      <c r="GNW175" s="125"/>
      <c r="GNX175" s="125"/>
      <c r="GNY175" s="125"/>
      <c r="GNZ175" s="125"/>
      <c r="GOA175" s="125"/>
      <c r="GOB175" s="125"/>
      <c r="GOC175" s="125"/>
      <c r="GOD175" s="125"/>
      <c r="GOE175" s="125"/>
      <c r="GOF175" s="125"/>
      <c r="GOG175" s="125"/>
      <c r="GOH175" s="125"/>
      <c r="GOI175" s="125"/>
      <c r="GOJ175" s="125"/>
      <c r="GOK175" s="125"/>
      <c r="GOL175" s="125"/>
      <c r="GOM175" s="125"/>
      <c r="GON175" s="125"/>
      <c r="GOO175" s="125"/>
      <c r="GOP175" s="125"/>
      <c r="GOQ175" s="125"/>
      <c r="GOR175" s="125"/>
      <c r="GOS175" s="125"/>
      <c r="GOT175" s="125"/>
      <c r="GOU175" s="125"/>
      <c r="GOV175" s="125"/>
      <c r="GOW175" s="125"/>
      <c r="GOX175" s="125"/>
      <c r="GOY175" s="125"/>
      <c r="GOZ175" s="125"/>
      <c r="GPA175" s="125"/>
      <c r="GPB175" s="125"/>
      <c r="GPC175" s="125"/>
      <c r="GPD175" s="125"/>
      <c r="GPE175" s="125"/>
      <c r="GPF175" s="125"/>
      <c r="GPG175" s="125"/>
      <c r="GPH175" s="125"/>
      <c r="GPI175" s="125"/>
      <c r="GPJ175" s="125"/>
      <c r="GPK175" s="125"/>
      <c r="GPL175" s="125"/>
      <c r="GPM175" s="125"/>
      <c r="GPN175" s="125"/>
      <c r="GPO175" s="125"/>
      <c r="GPP175" s="125"/>
      <c r="GPQ175" s="125"/>
      <c r="GPR175" s="125"/>
      <c r="GPS175" s="125"/>
      <c r="GPT175" s="125"/>
      <c r="GPU175" s="125"/>
      <c r="GPV175" s="125"/>
      <c r="GPW175" s="125"/>
      <c r="GPX175" s="125"/>
      <c r="GPY175" s="125"/>
      <c r="GPZ175" s="125"/>
      <c r="GQA175" s="125"/>
      <c r="GQB175" s="125"/>
      <c r="GQC175" s="125"/>
      <c r="GQD175" s="125"/>
      <c r="GQE175" s="125"/>
      <c r="GQF175" s="125"/>
      <c r="GQG175" s="125"/>
      <c r="GQH175" s="125"/>
      <c r="GQI175" s="125"/>
      <c r="GQJ175" s="125"/>
      <c r="GQK175" s="125"/>
      <c r="GQL175" s="125"/>
      <c r="GQM175" s="125"/>
      <c r="GQN175" s="125"/>
      <c r="GQO175" s="125"/>
      <c r="GQP175" s="125"/>
      <c r="GQQ175" s="125"/>
      <c r="GQR175" s="125"/>
      <c r="GQS175" s="125"/>
      <c r="GQT175" s="125"/>
      <c r="GQU175" s="125"/>
      <c r="GQV175" s="125"/>
      <c r="GQW175" s="125"/>
      <c r="GQX175" s="125"/>
      <c r="GQY175" s="125"/>
      <c r="GQZ175" s="125"/>
      <c r="GRA175" s="125"/>
      <c r="GRB175" s="125"/>
      <c r="GRC175" s="125"/>
      <c r="GRD175" s="125"/>
      <c r="GRE175" s="125"/>
      <c r="GRF175" s="125"/>
      <c r="GRG175" s="125"/>
      <c r="GRH175" s="125"/>
      <c r="GRI175" s="125"/>
      <c r="GRJ175" s="125"/>
      <c r="GRK175" s="125"/>
      <c r="GRL175" s="125"/>
      <c r="GRM175" s="125"/>
      <c r="GRN175" s="125"/>
      <c r="GRO175" s="125"/>
      <c r="GRP175" s="125"/>
      <c r="GRQ175" s="125"/>
      <c r="GRR175" s="125"/>
      <c r="GRS175" s="125"/>
      <c r="GRT175" s="125"/>
      <c r="GRU175" s="125"/>
      <c r="GRV175" s="125"/>
      <c r="GRW175" s="125"/>
      <c r="GRX175" s="125"/>
      <c r="GRY175" s="125"/>
      <c r="GRZ175" s="125"/>
      <c r="GSA175" s="125"/>
      <c r="GSB175" s="125"/>
      <c r="GSC175" s="125"/>
      <c r="GSD175" s="125"/>
      <c r="GSE175" s="125"/>
      <c r="GSF175" s="125"/>
      <c r="GSG175" s="125"/>
      <c r="GSH175" s="125"/>
      <c r="GSI175" s="125"/>
      <c r="GSJ175" s="125"/>
      <c r="GSK175" s="125"/>
      <c r="GSL175" s="125"/>
      <c r="GSM175" s="125"/>
      <c r="GSN175" s="125"/>
      <c r="GSO175" s="125"/>
      <c r="GSP175" s="125"/>
      <c r="GSQ175" s="125"/>
      <c r="GSR175" s="125"/>
      <c r="GSS175" s="125"/>
      <c r="GST175" s="125"/>
      <c r="GSU175" s="125"/>
      <c r="GSV175" s="125"/>
      <c r="GSW175" s="125"/>
      <c r="GSX175" s="125"/>
      <c r="GSY175" s="125"/>
      <c r="GSZ175" s="125"/>
      <c r="GTA175" s="125"/>
      <c r="GTB175" s="125"/>
      <c r="GTC175" s="125"/>
      <c r="GTD175" s="125"/>
      <c r="GTE175" s="125"/>
      <c r="GTF175" s="125"/>
      <c r="GTG175" s="125"/>
      <c r="GTH175" s="125"/>
      <c r="GTI175" s="125"/>
      <c r="GTJ175" s="125"/>
      <c r="GTK175" s="125"/>
      <c r="GTL175" s="125"/>
      <c r="GTM175" s="125"/>
      <c r="GTN175" s="125"/>
      <c r="GTO175" s="125"/>
      <c r="GTP175" s="125"/>
      <c r="GTQ175" s="125"/>
      <c r="GTR175" s="125"/>
      <c r="GTS175" s="125"/>
      <c r="GTT175" s="125"/>
      <c r="GTU175" s="125"/>
      <c r="GTV175" s="125"/>
      <c r="GTW175" s="125"/>
      <c r="GTX175" s="125"/>
      <c r="GTY175" s="125"/>
      <c r="GTZ175" s="125"/>
      <c r="GUA175" s="125"/>
      <c r="GUB175" s="125"/>
      <c r="GUC175" s="125"/>
      <c r="GUD175" s="125"/>
      <c r="GUE175" s="125"/>
      <c r="GUF175" s="125"/>
      <c r="GUG175" s="125"/>
      <c r="GUH175" s="125"/>
      <c r="GUI175" s="125"/>
      <c r="GUJ175" s="125"/>
      <c r="GUK175" s="125"/>
      <c r="GUL175" s="125"/>
      <c r="GUM175" s="125"/>
      <c r="GUN175" s="125"/>
      <c r="GUO175" s="125"/>
      <c r="GUP175" s="125"/>
      <c r="GUQ175" s="125"/>
      <c r="GUR175" s="125"/>
      <c r="GUS175" s="125"/>
      <c r="GUT175" s="125"/>
      <c r="GUU175" s="125"/>
      <c r="GUV175" s="125"/>
      <c r="GUW175" s="125"/>
      <c r="GUX175" s="125"/>
      <c r="GUY175" s="125"/>
      <c r="GUZ175" s="125"/>
      <c r="GVA175" s="125"/>
      <c r="GVB175" s="125"/>
      <c r="GVC175" s="125"/>
      <c r="GVD175" s="125"/>
      <c r="GVE175" s="125"/>
      <c r="GVF175" s="125"/>
      <c r="GVG175" s="125"/>
      <c r="GVH175" s="125"/>
      <c r="GVI175" s="125"/>
      <c r="GVJ175" s="125"/>
      <c r="GVK175" s="125"/>
      <c r="GVL175" s="125"/>
      <c r="GVM175" s="125"/>
      <c r="GVN175" s="125"/>
      <c r="GVO175" s="125"/>
      <c r="GVP175" s="125"/>
      <c r="GVQ175" s="125"/>
      <c r="GVR175" s="125"/>
      <c r="GVS175" s="125"/>
      <c r="GVT175" s="125"/>
      <c r="GVU175" s="125"/>
      <c r="GVV175" s="125"/>
      <c r="GVW175" s="125"/>
      <c r="GVX175" s="125"/>
      <c r="GVY175" s="125"/>
      <c r="GVZ175" s="125"/>
      <c r="GWA175" s="125"/>
      <c r="GWB175" s="125"/>
      <c r="GWC175" s="125"/>
      <c r="GWD175" s="125"/>
      <c r="GWE175" s="125"/>
      <c r="GWF175" s="125"/>
      <c r="GWG175" s="125"/>
      <c r="GWH175" s="125"/>
      <c r="GWI175" s="125"/>
      <c r="GWJ175" s="125"/>
      <c r="GWK175" s="125"/>
      <c r="GWL175" s="125"/>
      <c r="GWM175" s="125"/>
      <c r="GWN175" s="125"/>
      <c r="GWO175" s="125"/>
      <c r="GWP175" s="125"/>
      <c r="GWQ175" s="125"/>
      <c r="GWR175" s="125"/>
      <c r="GWS175" s="125"/>
      <c r="GWT175" s="125"/>
      <c r="GWU175" s="125"/>
      <c r="GWV175" s="125"/>
      <c r="GWW175" s="125"/>
      <c r="GWX175" s="125"/>
      <c r="GWY175" s="125"/>
      <c r="GWZ175" s="125"/>
      <c r="GXA175" s="125"/>
      <c r="GXB175" s="125"/>
      <c r="GXC175" s="125"/>
      <c r="GXD175" s="125"/>
      <c r="GXE175" s="125"/>
      <c r="GXF175" s="125"/>
      <c r="GXG175" s="125"/>
      <c r="GXH175" s="125"/>
      <c r="GXI175" s="125"/>
      <c r="GXJ175" s="125"/>
      <c r="GXK175" s="125"/>
      <c r="GXL175" s="125"/>
      <c r="GXM175" s="125"/>
      <c r="GXN175" s="125"/>
      <c r="GXO175" s="125"/>
      <c r="GXP175" s="125"/>
      <c r="GXQ175" s="125"/>
      <c r="GXR175" s="125"/>
      <c r="GXS175" s="125"/>
      <c r="GXT175" s="125"/>
      <c r="GXU175" s="125"/>
      <c r="GXV175" s="125"/>
      <c r="GXW175" s="125"/>
      <c r="GXX175" s="125"/>
      <c r="GXY175" s="125"/>
      <c r="GXZ175" s="125"/>
      <c r="GYA175" s="125"/>
      <c r="GYB175" s="125"/>
      <c r="GYC175" s="125"/>
      <c r="GYD175" s="125"/>
      <c r="GYE175" s="125"/>
      <c r="GYF175" s="125"/>
      <c r="GYG175" s="125"/>
      <c r="GYH175" s="125"/>
      <c r="GYI175" s="125"/>
      <c r="GYJ175" s="125"/>
      <c r="GYK175" s="125"/>
      <c r="GYL175" s="125"/>
      <c r="GYM175" s="125"/>
      <c r="GYN175" s="125"/>
      <c r="GYO175" s="125"/>
      <c r="GYP175" s="125"/>
      <c r="GYQ175" s="125"/>
      <c r="GYR175" s="125"/>
      <c r="GYS175" s="125"/>
      <c r="GYT175" s="125"/>
      <c r="GYU175" s="125"/>
      <c r="GYV175" s="125"/>
      <c r="GYW175" s="125"/>
      <c r="GYX175" s="125"/>
      <c r="GYY175" s="125"/>
      <c r="GYZ175" s="125"/>
      <c r="GZA175" s="125"/>
      <c r="GZB175" s="125"/>
      <c r="GZC175" s="125"/>
      <c r="GZD175" s="125"/>
      <c r="GZE175" s="125"/>
      <c r="GZF175" s="125"/>
      <c r="GZG175" s="125"/>
      <c r="GZH175" s="125"/>
      <c r="GZI175" s="125"/>
      <c r="GZJ175" s="125"/>
      <c r="GZK175" s="125"/>
      <c r="GZL175" s="125"/>
      <c r="GZM175" s="125"/>
      <c r="GZN175" s="125"/>
      <c r="GZO175" s="125"/>
      <c r="GZP175" s="125"/>
      <c r="GZQ175" s="125"/>
      <c r="GZR175" s="125"/>
      <c r="GZS175" s="125"/>
      <c r="GZT175" s="125"/>
      <c r="GZU175" s="125"/>
      <c r="GZV175" s="125"/>
      <c r="GZW175" s="125"/>
      <c r="GZX175" s="125"/>
      <c r="GZY175" s="125"/>
      <c r="GZZ175" s="125"/>
      <c r="HAA175" s="125"/>
      <c r="HAB175" s="125"/>
      <c r="HAC175" s="125"/>
      <c r="HAD175" s="125"/>
      <c r="HAE175" s="125"/>
      <c r="HAF175" s="125"/>
      <c r="HAG175" s="125"/>
      <c r="HAH175" s="125"/>
      <c r="HAI175" s="125"/>
      <c r="HAJ175" s="125"/>
      <c r="HAK175" s="125"/>
      <c r="HAL175" s="125"/>
      <c r="HAM175" s="125"/>
      <c r="HAN175" s="125"/>
      <c r="HAO175" s="125"/>
      <c r="HAP175" s="125"/>
      <c r="HAQ175" s="125"/>
      <c r="HAR175" s="125"/>
      <c r="HAS175" s="125"/>
      <c r="HAT175" s="125"/>
      <c r="HAU175" s="125"/>
      <c r="HAV175" s="125"/>
      <c r="HAW175" s="125"/>
      <c r="HAX175" s="125"/>
      <c r="HAY175" s="125"/>
      <c r="HAZ175" s="125"/>
      <c r="HBA175" s="125"/>
      <c r="HBB175" s="125"/>
      <c r="HBC175" s="125"/>
      <c r="HBD175" s="125"/>
      <c r="HBE175" s="125"/>
      <c r="HBF175" s="125"/>
      <c r="HBG175" s="125"/>
      <c r="HBH175" s="125"/>
      <c r="HBI175" s="125"/>
      <c r="HBJ175" s="125"/>
      <c r="HBK175" s="125"/>
      <c r="HBL175" s="125"/>
      <c r="HBM175" s="125"/>
      <c r="HBN175" s="125"/>
      <c r="HBO175" s="125"/>
      <c r="HBP175" s="125"/>
      <c r="HBQ175" s="125"/>
      <c r="HBR175" s="125"/>
      <c r="HBS175" s="125"/>
      <c r="HBT175" s="125"/>
      <c r="HBU175" s="125"/>
      <c r="HBV175" s="125"/>
      <c r="HBW175" s="125"/>
      <c r="HBX175" s="125"/>
      <c r="HBY175" s="125"/>
      <c r="HBZ175" s="125"/>
      <c r="HCA175" s="125"/>
      <c r="HCB175" s="125"/>
      <c r="HCC175" s="125"/>
      <c r="HCD175" s="125"/>
      <c r="HCE175" s="125"/>
      <c r="HCF175" s="125"/>
      <c r="HCG175" s="125"/>
      <c r="HCH175" s="125"/>
      <c r="HCI175" s="125"/>
      <c r="HCJ175" s="125"/>
      <c r="HCK175" s="125"/>
      <c r="HCL175" s="125"/>
      <c r="HCM175" s="125"/>
      <c r="HCN175" s="125"/>
      <c r="HCO175" s="125"/>
      <c r="HCP175" s="125"/>
      <c r="HCQ175" s="125"/>
      <c r="HCR175" s="125"/>
      <c r="HCS175" s="125"/>
      <c r="HCT175" s="125"/>
      <c r="HCU175" s="125"/>
      <c r="HCV175" s="125"/>
      <c r="HCW175" s="125"/>
      <c r="HCX175" s="125"/>
      <c r="HCY175" s="125"/>
      <c r="HCZ175" s="125"/>
      <c r="HDA175" s="125"/>
      <c r="HDB175" s="125"/>
      <c r="HDC175" s="125"/>
      <c r="HDD175" s="125"/>
      <c r="HDE175" s="125"/>
      <c r="HDF175" s="125"/>
      <c r="HDG175" s="125"/>
      <c r="HDH175" s="125"/>
      <c r="HDI175" s="125"/>
      <c r="HDJ175" s="125"/>
      <c r="HDK175" s="125"/>
      <c r="HDL175" s="125"/>
      <c r="HDM175" s="125"/>
      <c r="HDN175" s="125"/>
      <c r="HDO175" s="125"/>
      <c r="HDP175" s="125"/>
      <c r="HDQ175" s="125"/>
      <c r="HDR175" s="125"/>
      <c r="HDS175" s="125"/>
      <c r="HDT175" s="125"/>
      <c r="HDU175" s="125"/>
      <c r="HDV175" s="125"/>
      <c r="HDW175" s="125"/>
      <c r="HDX175" s="125"/>
      <c r="HDY175" s="125"/>
      <c r="HDZ175" s="125"/>
      <c r="HEA175" s="125"/>
      <c r="HEB175" s="125"/>
      <c r="HEC175" s="125"/>
      <c r="HED175" s="125"/>
      <c r="HEE175" s="125"/>
      <c r="HEF175" s="125"/>
      <c r="HEG175" s="125"/>
      <c r="HEH175" s="125"/>
      <c r="HEI175" s="125"/>
      <c r="HEJ175" s="125"/>
      <c r="HEK175" s="125"/>
      <c r="HEL175" s="125"/>
      <c r="HEM175" s="125"/>
      <c r="HEN175" s="125"/>
      <c r="HEO175" s="125"/>
      <c r="HEP175" s="125"/>
      <c r="HEQ175" s="125"/>
      <c r="HER175" s="125"/>
      <c r="HES175" s="125"/>
      <c r="HET175" s="125"/>
      <c r="HEU175" s="125"/>
      <c r="HEV175" s="125"/>
      <c r="HEW175" s="125"/>
      <c r="HEX175" s="125"/>
      <c r="HEY175" s="125"/>
      <c r="HEZ175" s="125"/>
      <c r="HFA175" s="125"/>
      <c r="HFB175" s="125"/>
      <c r="HFC175" s="125"/>
      <c r="HFD175" s="125"/>
      <c r="HFE175" s="125"/>
      <c r="HFF175" s="125"/>
      <c r="HFG175" s="125"/>
      <c r="HFH175" s="125"/>
      <c r="HFI175" s="125"/>
      <c r="HFJ175" s="125"/>
      <c r="HFK175" s="125"/>
      <c r="HFL175" s="125"/>
      <c r="HFM175" s="125"/>
      <c r="HFN175" s="125"/>
      <c r="HFO175" s="125"/>
      <c r="HFP175" s="125"/>
      <c r="HFQ175" s="125"/>
      <c r="HFR175" s="125"/>
      <c r="HFS175" s="125"/>
      <c r="HFT175" s="125"/>
      <c r="HFU175" s="125"/>
      <c r="HFV175" s="125"/>
      <c r="HFW175" s="125"/>
      <c r="HFX175" s="125"/>
      <c r="HFY175" s="125"/>
      <c r="HFZ175" s="125"/>
      <c r="HGA175" s="125"/>
      <c r="HGB175" s="125"/>
      <c r="HGC175" s="125"/>
      <c r="HGD175" s="125"/>
      <c r="HGE175" s="125"/>
      <c r="HGF175" s="125"/>
      <c r="HGG175" s="125"/>
      <c r="HGH175" s="125"/>
      <c r="HGI175" s="125"/>
      <c r="HGJ175" s="125"/>
      <c r="HGK175" s="125"/>
      <c r="HGL175" s="125"/>
      <c r="HGM175" s="125"/>
      <c r="HGN175" s="125"/>
      <c r="HGO175" s="125"/>
      <c r="HGP175" s="125"/>
      <c r="HGQ175" s="125"/>
      <c r="HGR175" s="125"/>
      <c r="HGS175" s="125"/>
      <c r="HGT175" s="125"/>
      <c r="HGU175" s="125"/>
      <c r="HGV175" s="125"/>
      <c r="HGW175" s="125"/>
      <c r="HGX175" s="125"/>
      <c r="HGY175" s="125"/>
      <c r="HGZ175" s="125"/>
      <c r="HHA175" s="125"/>
      <c r="HHB175" s="125"/>
      <c r="HHC175" s="125"/>
      <c r="HHD175" s="125"/>
      <c r="HHE175" s="125"/>
      <c r="HHF175" s="125"/>
      <c r="HHG175" s="125"/>
      <c r="HHH175" s="125"/>
      <c r="HHI175" s="125"/>
      <c r="HHJ175" s="125"/>
      <c r="HHK175" s="125"/>
      <c r="HHL175" s="125"/>
      <c r="HHM175" s="125"/>
      <c r="HHN175" s="125"/>
      <c r="HHO175" s="125"/>
      <c r="HHP175" s="125"/>
      <c r="HHQ175" s="125"/>
      <c r="HHR175" s="125"/>
      <c r="HHS175" s="125"/>
      <c r="HHT175" s="125"/>
      <c r="HHU175" s="125"/>
      <c r="HHV175" s="125"/>
      <c r="HHW175" s="125"/>
      <c r="HHX175" s="125"/>
      <c r="HHY175" s="125"/>
      <c r="HHZ175" s="125"/>
      <c r="HIA175" s="125"/>
      <c r="HIB175" s="125"/>
      <c r="HIC175" s="125"/>
      <c r="HID175" s="125"/>
      <c r="HIE175" s="125"/>
      <c r="HIF175" s="125"/>
      <c r="HIG175" s="125"/>
      <c r="HIH175" s="125"/>
      <c r="HII175" s="125"/>
      <c r="HIJ175" s="125"/>
      <c r="HIK175" s="125"/>
      <c r="HIL175" s="125"/>
      <c r="HIM175" s="125"/>
      <c r="HIN175" s="125"/>
      <c r="HIO175" s="125"/>
      <c r="HIP175" s="125"/>
      <c r="HIQ175" s="125"/>
      <c r="HIR175" s="125"/>
      <c r="HIS175" s="125"/>
      <c r="HIT175" s="125"/>
      <c r="HIU175" s="125"/>
      <c r="HIV175" s="125"/>
      <c r="HIW175" s="125"/>
      <c r="HIX175" s="125"/>
      <c r="HIY175" s="125"/>
      <c r="HIZ175" s="125"/>
      <c r="HJA175" s="125"/>
      <c r="HJB175" s="125"/>
      <c r="HJC175" s="125"/>
      <c r="HJD175" s="125"/>
      <c r="HJE175" s="125"/>
      <c r="HJF175" s="125"/>
      <c r="HJG175" s="125"/>
      <c r="HJH175" s="125"/>
      <c r="HJI175" s="125"/>
      <c r="HJJ175" s="125"/>
      <c r="HJK175" s="125"/>
      <c r="HJL175" s="125"/>
      <c r="HJM175" s="125"/>
      <c r="HJN175" s="125"/>
      <c r="HJO175" s="125"/>
      <c r="HJP175" s="125"/>
      <c r="HJQ175" s="125"/>
      <c r="HJR175" s="125"/>
      <c r="HJS175" s="125"/>
      <c r="HJT175" s="125"/>
      <c r="HJU175" s="125"/>
      <c r="HJV175" s="125"/>
      <c r="HJW175" s="125"/>
      <c r="HJX175" s="125"/>
      <c r="HJY175" s="125"/>
      <c r="HJZ175" s="125"/>
      <c r="HKA175" s="125"/>
      <c r="HKB175" s="125"/>
      <c r="HKC175" s="125"/>
      <c r="HKD175" s="125"/>
      <c r="HKE175" s="125"/>
      <c r="HKF175" s="125"/>
      <c r="HKG175" s="125"/>
      <c r="HKH175" s="125"/>
      <c r="HKI175" s="125"/>
      <c r="HKJ175" s="125"/>
      <c r="HKK175" s="125"/>
      <c r="HKL175" s="125"/>
      <c r="HKM175" s="125"/>
      <c r="HKN175" s="125"/>
      <c r="HKO175" s="125"/>
      <c r="HKP175" s="125"/>
      <c r="HKQ175" s="125"/>
      <c r="HKR175" s="125"/>
      <c r="HKS175" s="125"/>
      <c r="HKT175" s="125"/>
      <c r="HKU175" s="125"/>
      <c r="HKV175" s="125"/>
      <c r="HKW175" s="125"/>
      <c r="HKX175" s="125"/>
      <c r="HKY175" s="125"/>
      <c r="HKZ175" s="125"/>
      <c r="HLA175" s="125"/>
      <c r="HLB175" s="125"/>
      <c r="HLC175" s="125"/>
      <c r="HLD175" s="125"/>
      <c r="HLE175" s="125"/>
      <c r="HLF175" s="125"/>
      <c r="HLG175" s="125"/>
      <c r="HLH175" s="125"/>
      <c r="HLI175" s="125"/>
      <c r="HLJ175" s="125"/>
      <c r="HLK175" s="125"/>
      <c r="HLL175" s="125"/>
      <c r="HLM175" s="125"/>
      <c r="HLN175" s="125"/>
      <c r="HLO175" s="125"/>
      <c r="HLP175" s="125"/>
      <c r="HLQ175" s="125"/>
      <c r="HLR175" s="125"/>
      <c r="HLS175" s="125"/>
      <c r="HLT175" s="125"/>
      <c r="HLU175" s="125"/>
      <c r="HLV175" s="125"/>
      <c r="HLW175" s="125"/>
      <c r="HLX175" s="125"/>
      <c r="HLY175" s="125"/>
      <c r="HLZ175" s="125"/>
      <c r="HMA175" s="125"/>
      <c r="HMB175" s="125"/>
      <c r="HMC175" s="125"/>
      <c r="HMD175" s="125"/>
      <c r="HME175" s="125"/>
      <c r="HMF175" s="125"/>
      <c r="HMG175" s="125"/>
      <c r="HMH175" s="125"/>
      <c r="HMI175" s="125"/>
      <c r="HMJ175" s="125"/>
      <c r="HMK175" s="125"/>
      <c r="HML175" s="125"/>
      <c r="HMM175" s="125"/>
      <c r="HMN175" s="125"/>
      <c r="HMO175" s="125"/>
      <c r="HMP175" s="125"/>
      <c r="HMQ175" s="125"/>
      <c r="HMR175" s="125"/>
      <c r="HMS175" s="125"/>
      <c r="HMT175" s="125"/>
      <c r="HMU175" s="125"/>
      <c r="HMV175" s="125"/>
      <c r="HMW175" s="125"/>
      <c r="HMX175" s="125"/>
      <c r="HMY175" s="125"/>
      <c r="HMZ175" s="125"/>
      <c r="HNA175" s="125"/>
      <c r="HNB175" s="125"/>
      <c r="HNC175" s="125"/>
      <c r="HND175" s="125"/>
      <c r="HNE175" s="125"/>
      <c r="HNF175" s="125"/>
      <c r="HNG175" s="125"/>
      <c r="HNH175" s="125"/>
      <c r="HNI175" s="125"/>
      <c r="HNJ175" s="125"/>
      <c r="HNK175" s="125"/>
      <c r="HNL175" s="125"/>
      <c r="HNM175" s="125"/>
      <c r="HNN175" s="125"/>
      <c r="HNO175" s="125"/>
      <c r="HNP175" s="125"/>
      <c r="HNQ175" s="125"/>
      <c r="HNR175" s="125"/>
      <c r="HNS175" s="125"/>
      <c r="HNT175" s="125"/>
      <c r="HNU175" s="125"/>
      <c r="HNV175" s="125"/>
      <c r="HNW175" s="125"/>
      <c r="HNX175" s="125"/>
      <c r="HNY175" s="125"/>
      <c r="HNZ175" s="125"/>
      <c r="HOA175" s="125"/>
      <c r="HOB175" s="125"/>
      <c r="HOC175" s="125"/>
      <c r="HOD175" s="125"/>
      <c r="HOE175" s="125"/>
      <c r="HOF175" s="125"/>
      <c r="HOG175" s="125"/>
      <c r="HOH175" s="125"/>
      <c r="HOI175" s="125"/>
      <c r="HOJ175" s="125"/>
      <c r="HOK175" s="125"/>
      <c r="HOL175" s="125"/>
      <c r="HOM175" s="125"/>
      <c r="HON175" s="125"/>
      <c r="HOO175" s="125"/>
      <c r="HOP175" s="125"/>
      <c r="HOQ175" s="125"/>
      <c r="HOR175" s="125"/>
      <c r="HOS175" s="125"/>
      <c r="HOT175" s="125"/>
      <c r="HOU175" s="125"/>
      <c r="HOV175" s="125"/>
      <c r="HOW175" s="125"/>
      <c r="HOX175" s="125"/>
      <c r="HOY175" s="125"/>
      <c r="HOZ175" s="125"/>
      <c r="HPA175" s="125"/>
      <c r="HPB175" s="125"/>
      <c r="HPC175" s="125"/>
      <c r="HPD175" s="125"/>
      <c r="HPE175" s="125"/>
      <c r="HPF175" s="125"/>
      <c r="HPG175" s="125"/>
      <c r="HPH175" s="125"/>
      <c r="HPI175" s="125"/>
      <c r="HPJ175" s="125"/>
      <c r="HPK175" s="125"/>
      <c r="HPL175" s="125"/>
      <c r="HPM175" s="125"/>
      <c r="HPN175" s="125"/>
      <c r="HPO175" s="125"/>
      <c r="HPP175" s="125"/>
      <c r="HPQ175" s="125"/>
      <c r="HPR175" s="125"/>
      <c r="HPS175" s="125"/>
      <c r="HPT175" s="125"/>
      <c r="HPU175" s="125"/>
      <c r="HPV175" s="125"/>
      <c r="HPW175" s="125"/>
      <c r="HPX175" s="125"/>
      <c r="HPY175" s="125"/>
      <c r="HPZ175" s="125"/>
      <c r="HQA175" s="125"/>
      <c r="HQB175" s="125"/>
      <c r="HQC175" s="125"/>
      <c r="HQD175" s="125"/>
      <c r="HQE175" s="125"/>
      <c r="HQF175" s="125"/>
      <c r="HQG175" s="125"/>
      <c r="HQH175" s="125"/>
      <c r="HQI175" s="125"/>
      <c r="HQJ175" s="125"/>
      <c r="HQK175" s="125"/>
      <c r="HQL175" s="125"/>
      <c r="HQM175" s="125"/>
      <c r="HQN175" s="125"/>
      <c r="HQO175" s="125"/>
      <c r="HQP175" s="125"/>
      <c r="HQQ175" s="125"/>
      <c r="HQR175" s="125"/>
      <c r="HQS175" s="125"/>
      <c r="HQT175" s="125"/>
      <c r="HQU175" s="125"/>
      <c r="HQV175" s="125"/>
      <c r="HQW175" s="125"/>
      <c r="HQX175" s="125"/>
      <c r="HQY175" s="125"/>
      <c r="HQZ175" s="125"/>
      <c r="HRA175" s="125"/>
      <c r="HRB175" s="125"/>
      <c r="HRC175" s="125"/>
      <c r="HRD175" s="125"/>
      <c r="HRE175" s="125"/>
      <c r="HRF175" s="125"/>
      <c r="HRG175" s="125"/>
      <c r="HRH175" s="125"/>
      <c r="HRI175" s="125"/>
      <c r="HRJ175" s="125"/>
      <c r="HRK175" s="125"/>
      <c r="HRL175" s="125"/>
      <c r="HRM175" s="125"/>
      <c r="HRN175" s="125"/>
      <c r="HRO175" s="125"/>
      <c r="HRP175" s="125"/>
      <c r="HRQ175" s="125"/>
      <c r="HRR175" s="125"/>
      <c r="HRS175" s="125"/>
      <c r="HRT175" s="125"/>
      <c r="HRU175" s="125"/>
      <c r="HRV175" s="125"/>
      <c r="HRW175" s="125"/>
      <c r="HRX175" s="125"/>
      <c r="HRY175" s="125"/>
      <c r="HRZ175" s="125"/>
      <c r="HSA175" s="125"/>
      <c r="HSB175" s="125"/>
      <c r="HSC175" s="125"/>
      <c r="HSD175" s="125"/>
      <c r="HSE175" s="125"/>
      <c r="HSF175" s="125"/>
      <c r="HSG175" s="125"/>
      <c r="HSH175" s="125"/>
      <c r="HSI175" s="125"/>
      <c r="HSJ175" s="125"/>
      <c r="HSK175" s="125"/>
      <c r="HSL175" s="125"/>
      <c r="HSM175" s="125"/>
      <c r="HSN175" s="125"/>
      <c r="HSO175" s="125"/>
      <c r="HSP175" s="125"/>
      <c r="HSQ175" s="125"/>
      <c r="HSR175" s="125"/>
      <c r="HSS175" s="125"/>
      <c r="HST175" s="125"/>
      <c r="HSU175" s="125"/>
      <c r="HSV175" s="125"/>
      <c r="HSW175" s="125"/>
      <c r="HSX175" s="125"/>
      <c r="HSY175" s="125"/>
      <c r="HSZ175" s="125"/>
      <c r="HTA175" s="125"/>
      <c r="HTB175" s="125"/>
      <c r="HTC175" s="125"/>
      <c r="HTD175" s="125"/>
      <c r="HTE175" s="125"/>
      <c r="HTF175" s="125"/>
      <c r="HTG175" s="125"/>
      <c r="HTH175" s="125"/>
      <c r="HTI175" s="125"/>
      <c r="HTJ175" s="125"/>
      <c r="HTK175" s="125"/>
      <c r="HTL175" s="125"/>
      <c r="HTM175" s="125"/>
      <c r="HTN175" s="125"/>
      <c r="HTO175" s="125"/>
      <c r="HTP175" s="125"/>
      <c r="HTQ175" s="125"/>
      <c r="HTR175" s="125"/>
      <c r="HTS175" s="125"/>
      <c r="HTT175" s="125"/>
      <c r="HTU175" s="125"/>
      <c r="HTV175" s="125"/>
      <c r="HTW175" s="125"/>
      <c r="HTX175" s="125"/>
      <c r="HTY175" s="125"/>
      <c r="HTZ175" s="125"/>
      <c r="HUA175" s="125"/>
      <c r="HUB175" s="125"/>
      <c r="HUC175" s="125"/>
      <c r="HUD175" s="125"/>
      <c r="HUE175" s="125"/>
      <c r="HUF175" s="125"/>
      <c r="HUG175" s="125"/>
      <c r="HUH175" s="125"/>
      <c r="HUI175" s="125"/>
      <c r="HUJ175" s="125"/>
      <c r="HUK175" s="125"/>
      <c r="HUL175" s="125"/>
      <c r="HUM175" s="125"/>
      <c r="HUN175" s="125"/>
      <c r="HUO175" s="125"/>
      <c r="HUP175" s="125"/>
      <c r="HUQ175" s="125"/>
      <c r="HUR175" s="125"/>
      <c r="HUS175" s="125"/>
      <c r="HUT175" s="125"/>
      <c r="HUU175" s="125"/>
      <c r="HUV175" s="125"/>
      <c r="HUW175" s="125"/>
      <c r="HUX175" s="125"/>
      <c r="HUY175" s="125"/>
      <c r="HUZ175" s="125"/>
      <c r="HVA175" s="125"/>
      <c r="HVB175" s="125"/>
      <c r="HVC175" s="125"/>
      <c r="HVD175" s="125"/>
      <c r="HVE175" s="125"/>
      <c r="HVF175" s="125"/>
      <c r="HVG175" s="125"/>
      <c r="HVH175" s="125"/>
      <c r="HVI175" s="125"/>
      <c r="HVJ175" s="125"/>
      <c r="HVK175" s="125"/>
      <c r="HVL175" s="125"/>
      <c r="HVM175" s="125"/>
      <c r="HVN175" s="125"/>
      <c r="HVO175" s="125"/>
      <c r="HVP175" s="125"/>
      <c r="HVQ175" s="125"/>
      <c r="HVR175" s="125"/>
      <c r="HVS175" s="125"/>
      <c r="HVT175" s="125"/>
      <c r="HVU175" s="125"/>
      <c r="HVV175" s="125"/>
      <c r="HVW175" s="125"/>
      <c r="HVX175" s="125"/>
      <c r="HVY175" s="125"/>
      <c r="HVZ175" s="125"/>
      <c r="HWA175" s="125"/>
      <c r="HWB175" s="125"/>
      <c r="HWC175" s="125"/>
      <c r="HWD175" s="125"/>
      <c r="HWE175" s="125"/>
      <c r="HWF175" s="125"/>
      <c r="HWG175" s="125"/>
      <c r="HWH175" s="125"/>
      <c r="HWI175" s="125"/>
      <c r="HWJ175" s="125"/>
      <c r="HWK175" s="125"/>
      <c r="HWL175" s="125"/>
      <c r="HWM175" s="125"/>
      <c r="HWN175" s="125"/>
      <c r="HWO175" s="125"/>
      <c r="HWP175" s="125"/>
      <c r="HWQ175" s="125"/>
      <c r="HWR175" s="125"/>
      <c r="HWS175" s="125"/>
      <c r="HWT175" s="125"/>
      <c r="HWU175" s="125"/>
      <c r="HWV175" s="125"/>
      <c r="HWW175" s="125"/>
      <c r="HWX175" s="125"/>
      <c r="HWY175" s="125"/>
      <c r="HWZ175" s="125"/>
      <c r="HXA175" s="125"/>
      <c r="HXB175" s="125"/>
      <c r="HXC175" s="125"/>
      <c r="HXD175" s="125"/>
      <c r="HXE175" s="125"/>
      <c r="HXF175" s="125"/>
      <c r="HXG175" s="125"/>
      <c r="HXH175" s="125"/>
      <c r="HXI175" s="125"/>
      <c r="HXJ175" s="125"/>
      <c r="HXK175" s="125"/>
      <c r="HXL175" s="125"/>
      <c r="HXM175" s="125"/>
      <c r="HXN175" s="125"/>
      <c r="HXO175" s="125"/>
      <c r="HXP175" s="125"/>
      <c r="HXQ175" s="125"/>
      <c r="HXR175" s="125"/>
      <c r="HXS175" s="125"/>
      <c r="HXT175" s="125"/>
      <c r="HXU175" s="125"/>
      <c r="HXV175" s="125"/>
      <c r="HXW175" s="125"/>
      <c r="HXX175" s="125"/>
      <c r="HXY175" s="125"/>
      <c r="HXZ175" s="125"/>
      <c r="HYA175" s="125"/>
      <c r="HYB175" s="125"/>
      <c r="HYC175" s="125"/>
      <c r="HYD175" s="125"/>
      <c r="HYE175" s="125"/>
      <c r="HYF175" s="125"/>
      <c r="HYG175" s="125"/>
      <c r="HYH175" s="125"/>
      <c r="HYI175" s="125"/>
      <c r="HYJ175" s="125"/>
      <c r="HYK175" s="125"/>
      <c r="HYL175" s="125"/>
      <c r="HYM175" s="125"/>
      <c r="HYN175" s="125"/>
      <c r="HYO175" s="125"/>
      <c r="HYP175" s="125"/>
      <c r="HYQ175" s="125"/>
      <c r="HYR175" s="125"/>
      <c r="HYS175" s="125"/>
      <c r="HYT175" s="125"/>
      <c r="HYU175" s="125"/>
      <c r="HYV175" s="125"/>
      <c r="HYW175" s="125"/>
      <c r="HYX175" s="125"/>
      <c r="HYY175" s="125"/>
      <c r="HYZ175" s="125"/>
      <c r="HZA175" s="125"/>
      <c r="HZB175" s="125"/>
      <c r="HZC175" s="125"/>
      <c r="HZD175" s="125"/>
      <c r="HZE175" s="125"/>
      <c r="HZF175" s="125"/>
      <c r="HZG175" s="125"/>
      <c r="HZH175" s="125"/>
      <c r="HZI175" s="125"/>
      <c r="HZJ175" s="125"/>
      <c r="HZK175" s="125"/>
      <c r="HZL175" s="125"/>
      <c r="HZM175" s="125"/>
      <c r="HZN175" s="125"/>
      <c r="HZO175" s="125"/>
      <c r="HZP175" s="125"/>
      <c r="HZQ175" s="125"/>
      <c r="HZR175" s="125"/>
      <c r="HZS175" s="125"/>
      <c r="HZT175" s="125"/>
      <c r="HZU175" s="125"/>
      <c r="HZV175" s="125"/>
      <c r="HZW175" s="125"/>
      <c r="HZX175" s="125"/>
      <c r="HZY175" s="125"/>
      <c r="HZZ175" s="125"/>
      <c r="IAA175" s="125"/>
      <c r="IAB175" s="125"/>
      <c r="IAC175" s="125"/>
      <c r="IAD175" s="125"/>
      <c r="IAE175" s="125"/>
      <c r="IAF175" s="125"/>
      <c r="IAG175" s="125"/>
      <c r="IAH175" s="125"/>
      <c r="IAI175" s="125"/>
      <c r="IAJ175" s="125"/>
      <c r="IAK175" s="125"/>
      <c r="IAL175" s="125"/>
      <c r="IAM175" s="125"/>
      <c r="IAN175" s="125"/>
      <c r="IAO175" s="125"/>
      <c r="IAP175" s="125"/>
      <c r="IAQ175" s="125"/>
      <c r="IAR175" s="125"/>
      <c r="IAS175" s="125"/>
      <c r="IAT175" s="125"/>
      <c r="IAU175" s="125"/>
      <c r="IAV175" s="125"/>
      <c r="IAW175" s="125"/>
      <c r="IAX175" s="125"/>
      <c r="IAY175" s="125"/>
      <c r="IAZ175" s="125"/>
      <c r="IBA175" s="125"/>
      <c r="IBB175" s="125"/>
      <c r="IBC175" s="125"/>
      <c r="IBD175" s="125"/>
      <c r="IBE175" s="125"/>
      <c r="IBF175" s="125"/>
      <c r="IBG175" s="125"/>
      <c r="IBH175" s="125"/>
      <c r="IBI175" s="125"/>
      <c r="IBJ175" s="125"/>
      <c r="IBK175" s="125"/>
      <c r="IBL175" s="125"/>
      <c r="IBM175" s="125"/>
      <c r="IBN175" s="125"/>
      <c r="IBO175" s="125"/>
      <c r="IBP175" s="125"/>
      <c r="IBQ175" s="125"/>
      <c r="IBR175" s="125"/>
      <c r="IBS175" s="125"/>
      <c r="IBT175" s="125"/>
      <c r="IBU175" s="125"/>
      <c r="IBV175" s="125"/>
      <c r="IBW175" s="125"/>
      <c r="IBX175" s="125"/>
      <c r="IBY175" s="125"/>
      <c r="IBZ175" s="125"/>
      <c r="ICA175" s="125"/>
      <c r="ICB175" s="125"/>
      <c r="ICC175" s="125"/>
      <c r="ICD175" s="125"/>
      <c r="ICE175" s="125"/>
      <c r="ICF175" s="125"/>
      <c r="ICG175" s="125"/>
      <c r="ICH175" s="125"/>
      <c r="ICI175" s="125"/>
      <c r="ICJ175" s="125"/>
      <c r="ICK175" s="125"/>
      <c r="ICL175" s="125"/>
      <c r="ICM175" s="125"/>
      <c r="ICN175" s="125"/>
      <c r="ICO175" s="125"/>
      <c r="ICP175" s="125"/>
      <c r="ICQ175" s="125"/>
      <c r="ICR175" s="125"/>
      <c r="ICS175" s="125"/>
      <c r="ICT175" s="125"/>
      <c r="ICU175" s="125"/>
      <c r="ICV175" s="125"/>
      <c r="ICW175" s="125"/>
      <c r="ICX175" s="125"/>
      <c r="ICY175" s="125"/>
      <c r="ICZ175" s="125"/>
      <c r="IDA175" s="125"/>
      <c r="IDB175" s="125"/>
      <c r="IDC175" s="125"/>
      <c r="IDD175" s="125"/>
      <c r="IDE175" s="125"/>
      <c r="IDF175" s="125"/>
      <c r="IDG175" s="125"/>
      <c r="IDH175" s="125"/>
      <c r="IDI175" s="125"/>
      <c r="IDJ175" s="125"/>
      <c r="IDK175" s="125"/>
      <c r="IDL175" s="125"/>
      <c r="IDM175" s="125"/>
      <c r="IDN175" s="125"/>
      <c r="IDO175" s="125"/>
      <c r="IDP175" s="125"/>
      <c r="IDQ175" s="125"/>
      <c r="IDR175" s="125"/>
      <c r="IDS175" s="125"/>
      <c r="IDT175" s="125"/>
      <c r="IDU175" s="125"/>
      <c r="IDV175" s="125"/>
      <c r="IDW175" s="125"/>
      <c r="IDX175" s="125"/>
      <c r="IDY175" s="125"/>
      <c r="IDZ175" s="125"/>
      <c r="IEA175" s="125"/>
      <c r="IEB175" s="125"/>
      <c r="IEC175" s="125"/>
      <c r="IED175" s="125"/>
      <c r="IEE175" s="125"/>
      <c r="IEF175" s="125"/>
      <c r="IEG175" s="125"/>
      <c r="IEH175" s="125"/>
      <c r="IEI175" s="125"/>
      <c r="IEJ175" s="125"/>
      <c r="IEK175" s="125"/>
      <c r="IEL175" s="125"/>
      <c r="IEM175" s="125"/>
      <c r="IEN175" s="125"/>
      <c r="IEO175" s="125"/>
      <c r="IEP175" s="125"/>
      <c r="IEQ175" s="125"/>
      <c r="IER175" s="125"/>
      <c r="IES175" s="125"/>
      <c r="IET175" s="125"/>
      <c r="IEU175" s="125"/>
      <c r="IEV175" s="125"/>
      <c r="IEW175" s="125"/>
      <c r="IEX175" s="125"/>
      <c r="IEY175" s="125"/>
      <c r="IEZ175" s="125"/>
      <c r="IFA175" s="125"/>
      <c r="IFB175" s="125"/>
      <c r="IFC175" s="125"/>
      <c r="IFD175" s="125"/>
      <c r="IFE175" s="125"/>
      <c r="IFF175" s="125"/>
      <c r="IFG175" s="125"/>
      <c r="IFH175" s="125"/>
      <c r="IFI175" s="125"/>
      <c r="IFJ175" s="125"/>
      <c r="IFK175" s="125"/>
      <c r="IFL175" s="125"/>
      <c r="IFM175" s="125"/>
      <c r="IFN175" s="125"/>
      <c r="IFO175" s="125"/>
      <c r="IFP175" s="125"/>
      <c r="IFQ175" s="125"/>
      <c r="IFR175" s="125"/>
      <c r="IFS175" s="125"/>
      <c r="IFT175" s="125"/>
      <c r="IFU175" s="125"/>
      <c r="IFV175" s="125"/>
      <c r="IFW175" s="125"/>
      <c r="IFX175" s="125"/>
      <c r="IFY175" s="125"/>
      <c r="IFZ175" s="125"/>
      <c r="IGA175" s="125"/>
      <c r="IGB175" s="125"/>
      <c r="IGC175" s="125"/>
      <c r="IGD175" s="125"/>
      <c r="IGE175" s="125"/>
      <c r="IGF175" s="125"/>
      <c r="IGG175" s="125"/>
      <c r="IGH175" s="125"/>
      <c r="IGI175" s="125"/>
      <c r="IGJ175" s="125"/>
      <c r="IGK175" s="125"/>
      <c r="IGL175" s="125"/>
      <c r="IGM175" s="125"/>
      <c r="IGN175" s="125"/>
      <c r="IGO175" s="125"/>
      <c r="IGP175" s="125"/>
      <c r="IGQ175" s="125"/>
      <c r="IGR175" s="125"/>
      <c r="IGS175" s="125"/>
      <c r="IGT175" s="125"/>
      <c r="IGU175" s="125"/>
      <c r="IGV175" s="125"/>
      <c r="IGW175" s="125"/>
      <c r="IGX175" s="125"/>
      <c r="IGY175" s="125"/>
      <c r="IGZ175" s="125"/>
      <c r="IHA175" s="125"/>
      <c r="IHB175" s="125"/>
      <c r="IHC175" s="125"/>
      <c r="IHD175" s="125"/>
      <c r="IHE175" s="125"/>
      <c r="IHF175" s="125"/>
      <c r="IHG175" s="125"/>
      <c r="IHH175" s="125"/>
      <c r="IHI175" s="125"/>
      <c r="IHJ175" s="125"/>
      <c r="IHK175" s="125"/>
      <c r="IHL175" s="125"/>
      <c r="IHM175" s="125"/>
      <c r="IHN175" s="125"/>
      <c r="IHO175" s="125"/>
      <c r="IHP175" s="125"/>
      <c r="IHQ175" s="125"/>
      <c r="IHR175" s="125"/>
      <c r="IHS175" s="125"/>
      <c r="IHT175" s="125"/>
      <c r="IHU175" s="125"/>
      <c r="IHV175" s="125"/>
      <c r="IHW175" s="125"/>
      <c r="IHX175" s="125"/>
      <c r="IHY175" s="125"/>
      <c r="IHZ175" s="125"/>
      <c r="IIA175" s="125"/>
      <c r="IIB175" s="125"/>
      <c r="IIC175" s="125"/>
      <c r="IID175" s="125"/>
      <c r="IIE175" s="125"/>
      <c r="IIF175" s="125"/>
      <c r="IIG175" s="125"/>
      <c r="IIH175" s="125"/>
      <c r="III175" s="125"/>
      <c r="IIJ175" s="125"/>
      <c r="IIK175" s="125"/>
      <c r="IIL175" s="125"/>
      <c r="IIM175" s="125"/>
      <c r="IIN175" s="125"/>
      <c r="IIO175" s="125"/>
      <c r="IIP175" s="125"/>
      <c r="IIQ175" s="125"/>
      <c r="IIR175" s="125"/>
      <c r="IIS175" s="125"/>
      <c r="IIT175" s="125"/>
      <c r="IIU175" s="125"/>
      <c r="IIV175" s="125"/>
      <c r="IIW175" s="125"/>
      <c r="IIX175" s="125"/>
      <c r="IIY175" s="125"/>
      <c r="IIZ175" s="125"/>
      <c r="IJA175" s="125"/>
      <c r="IJB175" s="125"/>
      <c r="IJC175" s="125"/>
      <c r="IJD175" s="125"/>
      <c r="IJE175" s="125"/>
      <c r="IJF175" s="125"/>
      <c r="IJG175" s="125"/>
      <c r="IJH175" s="125"/>
      <c r="IJI175" s="125"/>
      <c r="IJJ175" s="125"/>
      <c r="IJK175" s="125"/>
      <c r="IJL175" s="125"/>
      <c r="IJM175" s="125"/>
      <c r="IJN175" s="125"/>
      <c r="IJO175" s="125"/>
      <c r="IJP175" s="125"/>
      <c r="IJQ175" s="125"/>
      <c r="IJR175" s="125"/>
      <c r="IJS175" s="125"/>
      <c r="IJT175" s="125"/>
      <c r="IJU175" s="125"/>
      <c r="IJV175" s="125"/>
      <c r="IJW175" s="125"/>
      <c r="IJX175" s="125"/>
      <c r="IJY175" s="125"/>
      <c r="IJZ175" s="125"/>
      <c r="IKA175" s="125"/>
      <c r="IKB175" s="125"/>
      <c r="IKC175" s="125"/>
      <c r="IKD175" s="125"/>
      <c r="IKE175" s="125"/>
      <c r="IKF175" s="125"/>
      <c r="IKG175" s="125"/>
      <c r="IKH175" s="125"/>
      <c r="IKI175" s="125"/>
      <c r="IKJ175" s="125"/>
      <c r="IKK175" s="125"/>
      <c r="IKL175" s="125"/>
      <c r="IKM175" s="125"/>
      <c r="IKN175" s="125"/>
      <c r="IKO175" s="125"/>
      <c r="IKP175" s="125"/>
      <c r="IKQ175" s="125"/>
      <c r="IKR175" s="125"/>
      <c r="IKS175" s="125"/>
      <c r="IKT175" s="125"/>
      <c r="IKU175" s="125"/>
      <c r="IKV175" s="125"/>
      <c r="IKW175" s="125"/>
      <c r="IKX175" s="125"/>
      <c r="IKY175" s="125"/>
      <c r="IKZ175" s="125"/>
      <c r="ILA175" s="125"/>
      <c r="ILB175" s="125"/>
      <c r="ILC175" s="125"/>
      <c r="ILD175" s="125"/>
      <c r="ILE175" s="125"/>
      <c r="ILF175" s="125"/>
      <c r="ILG175" s="125"/>
      <c r="ILH175" s="125"/>
      <c r="ILI175" s="125"/>
      <c r="ILJ175" s="125"/>
      <c r="ILK175" s="125"/>
      <c r="ILL175" s="125"/>
      <c r="ILM175" s="125"/>
      <c r="ILN175" s="125"/>
      <c r="ILO175" s="125"/>
      <c r="ILP175" s="125"/>
      <c r="ILQ175" s="125"/>
      <c r="ILR175" s="125"/>
      <c r="ILS175" s="125"/>
      <c r="ILT175" s="125"/>
      <c r="ILU175" s="125"/>
      <c r="ILV175" s="125"/>
      <c r="ILW175" s="125"/>
      <c r="ILX175" s="125"/>
      <c r="ILY175" s="125"/>
      <c r="ILZ175" s="125"/>
      <c r="IMA175" s="125"/>
      <c r="IMB175" s="125"/>
      <c r="IMC175" s="125"/>
      <c r="IMD175" s="125"/>
      <c r="IME175" s="125"/>
      <c r="IMF175" s="125"/>
      <c r="IMG175" s="125"/>
      <c r="IMH175" s="125"/>
      <c r="IMI175" s="125"/>
      <c r="IMJ175" s="125"/>
      <c r="IMK175" s="125"/>
      <c r="IML175" s="125"/>
      <c r="IMM175" s="125"/>
      <c r="IMN175" s="125"/>
      <c r="IMO175" s="125"/>
      <c r="IMP175" s="125"/>
      <c r="IMQ175" s="125"/>
      <c r="IMR175" s="125"/>
      <c r="IMS175" s="125"/>
      <c r="IMT175" s="125"/>
      <c r="IMU175" s="125"/>
      <c r="IMV175" s="125"/>
      <c r="IMW175" s="125"/>
      <c r="IMX175" s="125"/>
      <c r="IMY175" s="125"/>
      <c r="IMZ175" s="125"/>
      <c r="INA175" s="125"/>
      <c r="INB175" s="125"/>
      <c r="INC175" s="125"/>
      <c r="IND175" s="125"/>
      <c r="INE175" s="125"/>
      <c r="INF175" s="125"/>
      <c r="ING175" s="125"/>
      <c r="INH175" s="125"/>
      <c r="INI175" s="125"/>
      <c r="INJ175" s="125"/>
      <c r="INK175" s="125"/>
      <c r="INL175" s="125"/>
      <c r="INM175" s="125"/>
      <c r="INN175" s="125"/>
      <c r="INO175" s="125"/>
      <c r="INP175" s="125"/>
      <c r="INQ175" s="125"/>
      <c r="INR175" s="125"/>
      <c r="INS175" s="125"/>
      <c r="INT175" s="125"/>
      <c r="INU175" s="125"/>
      <c r="INV175" s="125"/>
      <c r="INW175" s="125"/>
      <c r="INX175" s="125"/>
      <c r="INY175" s="125"/>
      <c r="INZ175" s="125"/>
      <c r="IOA175" s="125"/>
      <c r="IOB175" s="125"/>
      <c r="IOC175" s="125"/>
      <c r="IOD175" s="125"/>
      <c r="IOE175" s="125"/>
      <c r="IOF175" s="125"/>
      <c r="IOG175" s="125"/>
      <c r="IOH175" s="125"/>
      <c r="IOI175" s="125"/>
      <c r="IOJ175" s="125"/>
      <c r="IOK175" s="125"/>
      <c r="IOL175" s="125"/>
      <c r="IOM175" s="125"/>
      <c r="ION175" s="125"/>
      <c r="IOO175" s="125"/>
      <c r="IOP175" s="125"/>
      <c r="IOQ175" s="125"/>
      <c r="IOR175" s="125"/>
      <c r="IOS175" s="125"/>
      <c r="IOT175" s="125"/>
      <c r="IOU175" s="125"/>
      <c r="IOV175" s="125"/>
      <c r="IOW175" s="125"/>
      <c r="IOX175" s="125"/>
      <c r="IOY175" s="125"/>
      <c r="IOZ175" s="125"/>
      <c r="IPA175" s="125"/>
      <c r="IPB175" s="125"/>
      <c r="IPC175" s="125"/>
      <c r="IPD175" s="125"/>
      <c r="IPE175" s="125"/>
      <c r="IPF175" s="125"/>
      <c r="IPG175" s="125"/>
      <c r="IPH175" s="125"/>
      <c r="IPI175" s="125"/>
      <c r="IPJ175" s="125"/>
      <c r="IPK175" s="125"/>
      <c r="IPL175" s="125"/>
      <c r="IPM175" s="125"/>
      <c r="IPN175" s="125"/>
      <c r="IPO175" s="125"/>
      <c r="IPP175" s="125"/>
      <c r="IPQ175" s="125"/>
      <c r="IPR175" s="125"/>
      <c r="IPS175" s="125"/>
      <c r="IPT175" s="125"/>
      <c r="IPU175" s="125"/>
      <c r="IPV175" s="125"/>
      <c r="IPW175" s="125"/>
      <c r="IPX175" s="125"/>
      <c r="IPY175" s="125"/>
      <c r="IPZ175" s="125"/>
      <c r="IQA175" s="125"/>
      <c r="IQB175" s="125"/>
      <c r="IQC175" s="125"/>
      <c r="IQD175" s="125"/>
      <c r="IQE175" s="125"/>
      <c r="IQF175" s="125"/>
      <c r="IQG175" s="125"/>
      <c r="IQH175" s="125"/>
      <c r="IQI175" s="125"/>
      <c r="IQJ175" s="125"/>
      <c r="IQK175" s="125"/>
      <c r="IQL175" s="125"/>
      <c r="IQM175" s="125"/>
      <c r="IQN175" s="125"/>
      <c r="IQO175" s="125"/>
      <c r="IQP175" s="125"/>
      <c r="IQQ175" s="125"/>
      <c r="IQR175" s="125"/>
      <c r="IQS175" s="125"/>
      <c r="IQT175" s="125"/>
      <c r="IQU175" s="125"/>
      <c r="IQV175" s="125"/>
      <c r="IQW175" s="125"/>
      <c r="IQX175" s="125"/>
      <c r="IQY175" s="125"/>
      <c r="IQZ175" s="125"/>
      <c r="IRA175" s="125"/>
      <c r="IRB175" s="125"/>
      <c r="IRC175" s="125"/>
      <c r="IRD175" s="125"/>
      <c r="IRE175" s="125"/>
      <c r="IRF175" s="125"/>
      <c r="IRG175" s="125"/>
      <c r="IRH175" s="125"/>
      <c r="IRI175" s="125"/>
      <c r="IRJ175" s="125"/>
      <c r="IRK175" s="125"/>
      <c r="IRL175" s="125"/>
      <c r="IRM175" s="125"/>
      <c r="IRN175" s="125"/>
      <c r="IRO175" s="125"/>
      <c r="IRP175" s="125"/>
      <c r="IRQ175" s="125"/>
      <c r="IRR175" s="125"/>
      <c r="IRS175" s="125"/>
      <c r="IRT175" s="125"/>
      <c r="IRU175" s="125"/>
      <c r="IRV175" s="125"/>
      <c r="IRW175" s="125"/>
      <c r="IRX175" s="125"/>
      <c r="IRY175" s="125"/>
      <c r="IRZ175" s="125"/>
      <c r="ISA175" s="125"/>
      <c r="ISB175" s="125"/>
      <c r="ISC175" s="125"/>
      <c r="ISD175" s="125"/>
      <c r="ISE175" s="125"/>
      <c r="ISF175" s="125"/>
      <c r="ISG175" s="125"/>
      <c r="ISH175" s="125"/>
      <c r="ISI175" s="125"/>
      <c r="ISJ175" s="125"/>
      <c r="ISK175" s="125"/>
      <c r="ISL175" s="125"/>
      <c r="ISM175" s="125"/>
      <c r="ISN175" s="125"/>
      <c r="ISO175" s="125"/>
      <c r="ISP175" s="125"/>
      <c r="ISQ175" s="125"/>
      <c r="ISR175" s="125"/>
      <c r="ISS175" s="125"/>
      <c r="IST175" s="125"/>
      <c r="ISU175" s="125"/>
      <c r="ISV175" s="125"/>
      <c r="ISW175" s="125"/>
      <c r="ISX175" s="125"/>
      <c r="ISY175" s="125"/>
      <c r="ISZ175" s="125"/>
      <c r="ITA175" s="125"/>
      <c r="ITB175" s="125"/>
      <c r="ITC175" s="125"/>
      <c r="ITD175" s="125"/>
      <c r="ITE175" s="125"/>
      <c r="ITF175" s="125"/>
      <c r="ITG175" s="125"/>
      <c r="ITH175" s="125"/>
      <c r="ITI175" s="125"/>
      <c r="ITJ175" s="125"/>
      <c r="ITK175" s="125"/>
      <c r="ITL175" s="125"/>
      <c r="ITM175" s="125"/>
      <c r="ITN175" s="125"/>
      <c r="ITO175" s="125"/>
      <c r="ITP175" s="125"/>
      <c r="ITQ175" s="125"/>
      <c r="ITR175" s="125"/>
      <c r="ITS175" s="125"/>
      <c r="ITT175" s="125"/>
      <c r="ITU175" s="125"/>
      <c r="ITV175" s="125"/>
      <c r="ITW175" s="125"/>
      <c r="ITX175" s="125"/>
      <c r="ITY175" s="125"/>
      <c r="ITZ175" s="125"/>
      <c r="IUA175" s="125"/>
      <c r="IUB175" s="125"/>
      <c r="IUC175" s="125"/>
      <c r="IUD175" s="125"/>
      <c r="IUE175" s="125"/>
      <c r="IUF175" s="125"/>
      <c r="IUG175" s="125"/>
      <c r="IUH175" s="125"/>
      <c r="IUI175" s="125"/>
      <c r="IUJ175" s="125"/>
      <c r="IUK175" s="125"/>
      <c r="IUL175" s="125"/>
      <c r="IUM175" s="125"/>
      <c r="IUN175" s="125"/>
      <c r="IUO175" s="125"/>
      <c r="IUP175" s="125"/>
      <c r="IUQ175" s="125"/>
      <c r="IUR175" s="125"/>
      <c r="IUS175" s="125"/>
      <c r="IUT175" s="125"/>
      <c r="IUU175" s="125"/>
      <c r="IUV175" s="125"/>
      <c r="IUW175" s="125"/>
      <c r="IUX175" s="125"/>
      <c r="IUY175" s="125"/>
      <c r="IUZ175" s="125"/>
      <c r="IVA175" s="125"/>
      <c r="IVB175" s="125"/>
      <c r="IVC175" s="125"/>
      <c r="IVD175" s="125"/>
      <c r="IVE175" s="125"/>
      <c r="IVF175" s="125"/>
      <c r="IVG175" s="125"/>
      <c r="IVH175" s="125"/>
      <c r="IVI175" s="125"/>
      <c r="IVJ175" s="125"/>
      <c r="IVK175" s="125"/>
      <c r="IVL175" s="125"/>
      <c r="IVM175" s="125"/>
      <c r="IVN175" s="125"/>
      <c r="IVO175" s="125"/>
      <c r="IVP175" s="125"/>
      <c r="IVQ175" s="125"/>
      <c r="IVR175" s="125"/>
      <c r="IVS175" s="125"/>
      <c r="IVT175" s="125"/>
      <c r="IVU175" s="125"/>
      <c r="IVV175" s="125"/>
      <c r="IVW175" s="125"/>
      <c r="IVX175" s="125"/>
      <c r="IVY175" s="125"/>
      <c r="IVZ175" s="125"/>
      <c r="IWA175" s="125"/>
      <c r="IWB175" s="125"/>
      <c r="IWC175" s="125"/>
      <c r="IWD175" s="125"/>
      <c r="IWE175" s="125"/>
      <c r="IWF175" s="125"/>
      <c r="IWG175" s="125"/>
      <c r="IWH175" s="125"/>
      <c r="IWI175" s="125"/>
      <c r="IWJ175" s="125"/>
      <c r="IWK175" s="125"/>
      <c r="IWL175" s="125"/>
      <c r="IWM175" s="125"/>
      <c r="IWN175" s="125"/>
      <c r="IWO175" s="125"/>
      <c r="IWP175" s="125"/>
      <c r="IWQ175" s="125"/>
      <c r="IWR175" s="125"/>
      <c r="IWS175" s="125"/>
      <c r="IWT175" s="125"/>
      <c r="IWU175" s="125"/>
      <c r="IWV175" s="125"/>
      <c r="IWW175" s="125"/>
      <c r="IWX175" s="125"/>
      <c r="IWY175" s="125"/>
      <c r="IWZ175" s="125"/>
      <c r="IXA175" s="125"/>
      <c r="IXB175" s="125"/>
      <c r="IXC175" s="125"/>
      <c r="IXD175" s="125"/>
      <c r="IXE175" s="125"/>
      <c r="IXF175" s="125"/>
      <c r="IXG175" s="125"/>
      <c r="IXH175" s="125"/>
      <c r="IXI175" s="125"/>
      <c r="IXJ175" s="125"/>
      <c r="IXK175" s="125"/>
      <c r="IXL175" s="125"/>
      <c r="IXM175" s="125"/>
      <c r="IXN175" s="125"/>
      <c r="IXO175" s="125"/>
      <c r="IXP175" s="125"/>
      <c r="IXQ175" s="125"/>
      <c r="IXR175" s="125"/>
      <c r="IXS175" s="125"/>
      <c r="IXT175" s="125"/>
      <c r="IXU175" s="125"/>
      <c r="IXV175" s="125"/>
      <c r="IXW175" s="125"/>
      <c r="IXX175" s="125"/>
      <c r="IXY175" s="125"/>
      <c r="IXZ175" s="125"/>
      <c r="IYA175" s="125"/>
      <c r="IYB175" s="125"/>
      <c r="IYC175" s="125"/>
      <c r="IYD175" s="125"/>
      <c r="IYE175" s="125"/>
      <c r="IYF175" s="125"/>
      <c r="IYG175" s="125"/>
      <c r="IYH175" s="125"/>
      <c r="IYI175" s="125"/>
      <c r="IYJ175" s="125"/>
      <c r="IYK175" s="125"/>
      <c r="IYL175" s="125"/>
      <c r="IYM175" s="125"/>
      <c r="IYN175" s="125"/>
      <c r="IYO175" s="125"/>
      <c r="IYP175" s="125"/>
      <c r="IYQ175" s="125"/>
      <c r="IYR175" s="125"/>
      <c r="IYS175" s="125"/>
      <c r="IYT175" s="125"/>
      <c r="IYU175" s="125"/>
      <c r="IYV175" s="125"/>
      <c r="IYW175" s="125"/>
      <c r="IYX175" s="125"/>
      <c r="IYY175" s="125"/>
      <c r="IYZ175" s="125"/>
      <c r="IZA175" s="125"/>
      <c r="IZB175" s="125"/>
      <c r="IZC175" s="125"/>
      <c r="IZD175" s="125"/>
      <c r="IZE175" s="125"/>
      <c r="IZF175" s="125"/>
      <c r="IZG175" s="125"/>
      <c r="IZH175" s="125"/>
      <c r="IZI175" s="125"/>
      <c r="IZJ175" s="125"/>
      <c r="IZK175" s="125"/>
      <c r="IZL175" s="125"/>
      <c r="IZM175" s="125"/>
      <c r="IZN175" s="125"/>
      <c r="IZO175" s="125"/>
      <c r="IZP175" s="125"/>
      <c r="IZQ175" s="125"/>
      <c r="IZR175" s="125"/>
      <c r="IZS175" s="125"/>
      <c r="IZT175" s="125"/>
      <c r="IZU175" s="125"/>
      <c r="IZV175" s="125"/>
      <c r="IZW175" s="125"/>
      <c r="IZX175" s="125"/>
      <c r="IZY175" s="125"/>
      <c r="IZZ175" s="125"/>
      <c r="JAA175" s="125"/>
      <c r="JAB175" s="125"/>
      <c r="JAC175" s="125"/>
      <c r="JAD175" s="125"/>
      <c r="JAE175" s="125"/>
      <c r="JAF175" s="125"/>
      <c r="JAG175" s="125"/>
      <c r="JAH175" s="125"/>
      <c r="JAI175" s="125"/>
      <c r="JAJ175" s="125"/>
      <c r="JAK175" s="125"/>
      <c r="JAL175" s="125"/>
      <c r="JAM175" s="125"/>
      <c r="JAN175" s="125"/>
      <c r="JAO175" s="125"/>
      <c r="JAP175" s="125"/>
      <c r="JAQ175" s="125"/>
      <c r="JAR175" s="125"/>
      <c r="JAS175" s="125"/>
      <c r="JAT175" s="125"/>
      <c r="JAU175" s="125"/>
      <c r="JAV175" s="125"/>
      <c r="JAW175" s="125"/>
      <c r="JAX175" s="125"/>
      <c r="JAY175" s="125"/>
      <c r="JAZ175" s="125"/>
      <c r="JBA175" s="125"/>
      <c r="JBB175" s="125"/>
      <c r="JBC175" s="125"/>
      <c r="JBD175" s="125"/>
      <c r="JBE175" s="125"/>
      <c r="JBF175" s="125"/>
      <c r="JBG175" s="125"/>
      <c r="JBH175" s="125"/>
      <c r="JBI175" s="125"/>
      <c r="JBJ175" s="125"/>
      <c r="JBK175" s="125"/>
      <c r="JBL175" s="125"/>
      <c r="JBM175" s="125"/>
      <c r="JBN175" s="125"/>
      <c r="JBO175" s="125"/>
      <c r="JBP175" s="125"/>
      <c r="JBQ175" s="125"/>
      <c r="JBR175" s="125"/>
      <c r="JBS175" s="125"/>
      <c r="JBT175" s="125"/>
      <c r="JBU175" s="125"/>
      <c r="JBV175" s="125"/>
      <c r="JBW175" s="125"/>
      <c r="JBX175" s="125"/>
      <c r="JBY175" s="125"/>
      <c r="JBZ175" s="125"/>
      <c r="JCA175" s="125"/>
      <c r="JCB175" s="125"/>
      <c r="JCC175" s="125"/>
      <c r="JCD175" s="125"/>
      <c r="JCE175" s="125"/>
      <c r="JCF175" s="125"/>
      <c r="JCG175" s="125"/>
      <c r="JCH175" s="125"/>
      <c r="JCI175" s="125"/>
      <c r="JCJ175" s="125"/>
      <c r="JCK175" s="125"/>
      <c r="JCL175" s="125"/>
      <c r="JCM175" s="125"/>
      <c r="JCN175" s="125"/>
      <c r="JCO175" s="125"/>
      <c r="JCP175" s="125"/>
      <c r="JCQ175" s="125"/>
      <c r="JCR175" s="125"/>
      <c r="JCS175" s="125"/>
      <c r="JCT175" s="125"/>
      <c r="JCU175" s="125"/>
      <c r="JCV175" s="125"/>
      <c r="JCW175" s="125"/>
      <c r="JCX175" s="125"/>
      <c r="JCY175" s="125"/>
      <c r="JCZ175" s="125"/>
      <c r="JDA175" s="125"/>
      <c r="JDB175" s="125"/>
      <c r="JDC175" s="125"/>
      <c r="JDD175" s="125"/>
      <c r="JDE175" s="125"/>
      <c r="JDF175" s="125"/>
      <c r="JDG175" s="125"/>
      <c r="JDH175" s="125"/>
      <c r="JDI175" s="125"/>
      <c r="JDJ175" s="125"/>
      <c r="JDK175" s="125"/>
      <c r="JDL175" s="125"/>
      <c r="JDM175" s="125"/>
      <c r="JDN175" s="125"/>
      <c r="JDO175" s="125"/>
      <c r="JDP175" s="125"/>
      <c r="JDQ175" s="125"/>
      <c r="JDR175" s="125"/>
      <c r="JDS175" s="125"/>
      <c r="JDT175" s="125"/>
      <c r="JDU175" s="125"/>
      <c r="JDV175" s="125"/>
      <c r="JDW175" s="125"/>
      <c r="JDX175" s="125"/>
      <c r="JDY175" s="125"/>
      <c r="JDZ175" s="125"/>
      <c r="JEA175" s="125"/>
      <c r="JEB175" s="125"/>
      <c r="JEC175" s="125"/>
      <c r="JED175" s="125"/>
      <c r="JEE175" s="125"/>
      <c r="JEF175" s="125"/>
      <c r="JEG175" s="125"/>
      <c r="JEH175" s="125"/>
      <c r="JEI175" s="125"/>
      <c r="JEJ175" s="125"/>
      <c r="JEK175" s="125"/>
      <c r="JEL175" s="125"/>
      <c r="JEM175" s="125"/>
      <c r="JEN175" s="125"/>
      <c r="JEO175" s="125"/>
      <c r="JEP175" s="125"/>
      <c r="JEQ175" s="125"/>
      <c r="JER175" s="125"/>
      <c r="JES175" s="125"/>
      <c r="JET175" s="125"/>
      <c r="JEU175" s="125"/>
      <c r="JEV175" s="125"/>
      <c r="JEW175" s="125"/>
      <c r="JEX175" s="125"/>
      <c r="JEY175" s="125"/>
      <c r="JEZ175" s="125"/>
      <c r="JFA175" s="125"/>
      <c r="JFB175" s="125"/>
      <c r="JFC175" s="125"/>
      <c r="JFD175" s="125"/>
      <c r="JFE175" s="125"/>
      <c r="JFF175" s="125"/>
      <c r="JFG175" s="125"/>
      <c r="JFH175" s="125"/>
      <c r="JFI175" s="125"/>
      <c r="JFJ175" s="125"/>
      <c r="JFK175" s="125"/>
      <c r="JFL175" s="125"/>
      <c r="JFM175" s="125"/>
      <c r="JFN175" s="125"/>
      <c r="JFO175" s="125"/>
      <c r="JFP175" s="125"/>
      <c r="JFQ175" s="125"/>
      <c r="JFR175" s="125"/>
      <c r="JFS175" s="125"/>
      <c r="JFT175" s="125"/>
      <c r="JFU175" s="125"/>
      <c r="JFV175" s="125"/>
      <c r="JFW175" s="125"/>
      <c r="JFX175" s="125"/>
      <c r="JFY175" s="125"/>
      <c r="JFZ175" s="125"/>
      <c r="JGA175" s="125"/>
      <c r="JGB175" s="125"/>
      <c r="JGC175" s="125"/>
      <c r="JGD175" s="125"/>
      <c r="JGE175" s="125"/>
      <c r="JGF175" s="125"/>
      <c r="JGG175" s="125"/>
      <c r="JGH175" s="125"/>
      <c r="JGI175" s="125"/>
      <c r="JGJ175" s="125"/>
      <c r="JGK175" s="125"/>
      <c r="JGL175" s="125"/>
      <c r="JGM175" s="125"/>
      <c r="JGN175" s="125"/>
      <c r="JGO175" s="125"/>
      <c r="JGP175" s="125"/>
      <c r="JGQ175" s="125"/>
      <c r="JGR175" s="125"/>
      <c r="JGS175" s="125"/>
      <c r="JGT175" s="125"/>
      <c r="JGU175" s="125"/>
      <c r="JGV175" s="125"/>
      <c r="JGW175" s="125"/>
      <c r="JGX175" s="125"/>
      <c r="JGY175" s="125"/>
      <c r="JGZ175" s="125"/>
      <c r="JHA175" s="125"/>
      <c r="JHB175" s="125"/>
      <c r="JHC175" s="125"/>
      <c r="JHD175" s="125"/>
      <c r="JHE175" s="125"/>
      <c r="JHF175" s="125"/>
      <c r="JHG175" s="125"/>
      <c r="JHH175" s="125"/>
      <c r="JHI175" s="125"/>
      <c r="JHJ175" s="125"/>
      <c r="JHK175" s="125"/>
      <c r="JHL175" s="125"/>
      <c r="JHM175" s="125"/>
      <c r="JHN175" s="125"/>
      <c r="JHO175" s="125"/>
      <c r="JHP175" s="125"/>
      <c r="JHQ175" s="125"/>
      <c r="JHR175" s="125"/>
      <c r="JHS175" s="125"/>
      <c r="JHT175" s="125"/>
      <c r="JHU175" s="125"/>
      <c r="JHV175" s="125"/>
      <c r="JHW175" s="125"/>
      <c r="JHX175" s="125"/>
      <c r="JHY175" s="125"/>
      <c r="JHZ175" s="125"/>
      <c r="JIA175" s="125"/>
      <c r="JIB175" s="125"/>
      <c r="JIC175" s="125"/>
      <c r="JID175" s="125"/>
      <c r="JIE175" s="125"/>
      <c r="JIF175" s="125"/>
      <c r="JIG175" s="125"/>
      <c r="JIH175" s="125"/>
      <c r="JII175" s="125"/>
      <c r="JIJ175" s="125"/>
      <c r="JIK175" s="125"/>
      <c r="JIL175" s="125"/>
      <c r="JIM175" s="125"/>
      <c r="JIN175" s="125"/>
      <c r="JIO175" s="125"/>
      <c r="JIP175" s="125"/>
      <c r="JIQ175" s="125"/>
      <c r="JIR175" s="125"/>
      <c r="JIS175" s="125"/>
      <c r="JIT175" s="125"/>
      <c r="JIU175" s="125"/>
      <c r="JIV175" s="125"/>
      <c r="JIW175" s="125"/>
      <c r="JIX175" s="125"/>
      <c r="JIY175" s="125"/>
      <c r="JIZ175" s="125"/>
      <c r="JJA175" s="125"/>
      <c r="JJB175" s="125"/>
      <c r="JJC175" s="125"/>
      <c r="JJD175" s="125"/>
      <c r="JJE175" s="125"/>
      <c r="JJF175" s="125"/>
      <c r="JJG175" s="125"/>
      <c r="JJH175" s="125"/>
      <c r="JJI175" s="125"/>
      <c r="JJJ175" s="125"/>
      <c r="JJK175" s="125"/>
      <c r="JJL175" s="125"/>
      <c r="JJM175" s="125"/>
      <c r="JJN175" s="125"/>
      <c r="JJO175" s="125"/>
      <c r="JJP175" s="125"/>
      <c r="JJQ175" s="125"/>
      <c r="JJR175" s="125"/>
      <c r="JJS175" s="125"/>
      <c r="JJT175" s="125"/>
      <c r="JJU175" s="125"/>
      <c r="JJV175" s="125"/>
      <c r="JJW175" s="125"/>
      <c r="JJX175" s="125"/>
      <c r="JJY175" s="125"/>
      <c r="JJZ175" s="125"/>
      <c r="JKA175" s="125"/>
      <c r="JKB175" s="125"/>
      <c r="JKC175" s="125"/>
      <c r="JKD175" s="125"/>
      <c r="JKE175" s="125"/>
      <c r="JKF175" s="125"/>
      <c r="JKG175" s="125"/>
      <c r="JKH175" s="125"/>
      <c r="JKI175" s="125"/>
      <c r="JKJ175" s="125"/>
      <c r="JKK175" s="125"/>
      <c r="JKL175" s="125"/>
      <c r="JKM175" s="125"/>
      <c r="JKN175" s="125"/>
      <c r="JKO175" s="125"/>
      <c r="JKP175" s="125"/>
      <c r="JKQ175" s="125"/>
      <c r="JKR175" s="125"/>
      <c r="JKS175" s="125"/>
      <c r="JKT175" s="125"/>
      <c r="JKU175" s="125"/>
      <c r="JKV175" s="125"/>
      <c r="JKW175" s="125"/>
      <c r="JKX175" s="125"/>
      <c r="JKY175" s="125"/>
      <c r="JKZ175" s="125"/>
      <c r="JLA175" s="125"/>
      <c r="JLB175" s="125"/>
      <c r="JLC175" s="125"/>
      <c r="JLD175" s="125"/>
      <c r="JLE175" s="125"/>
      <c r="JLF175" s="125"/>
      <c r="JLG175" s="125"/>
      <c r="JLH175" s="125"/>
      <c r="JLI175" s="125"/>
      <c r="JLJ175" s="125"/>
      <c r="JLK175" s="125"/>
      <c r="JLL175" s="125"/>
      <c r="JLM175" s="125"/>
      <c r="JLN175" s="125"/>
      <c r="JLO175" s="125"/>
      <c r="JLP175" s="125"/>
      <c r="JLQ175" s="125"/>
      <c r="JLR175" s="125"/>
      <c r="JLS175" s="125"/>
      <c r="JLT175" s="125"/>
      <c r="JLU175" s="125"/>
      <c r="JLV175" s="125"/>
      <c r="JLW175" s="125"/>
      <c r="JLX175" s="125"/>
      <c r="JLY175" s="125"/>
      <c r="JLZ175" s="125"/>
      <c r="JMA175" s="125"/>
      <c r="JMB175" s="125"/>
      <c r="JMC175" s="125"/>
      <c r="JMD175" s="125"/>
      <c r="JME175" s="125"/>
      <c r="JMF175" s="125"/>
      <c r="JMG175" s="125"/>
      <c r="JMH175" s="125"/>
      <c r="JMI175" s="125"/>
      <c r="JMJ175" s="125"/>
      <c r="JMK175" s="125"/>
      <c r="JML175" s="125"/>
      <c r="JMM175" s="125"/>
      <c r="JMN175" s="125"/>
      <c r="JMO175" s="125"/>
      <c r="JMP175" s="125"/>
      <c r="JMQ175" s="125"/>
      <c r="JMR175" s="125"/>
      <c r="JMS175" s="125"/>
      <c r="JMT175" s="125"/>
      <c r="JMU175" s="125"/>
      <c r="JMV175" s="125"/>
      <c r="JMW175" s="125"/>
      <c r="JMX175" s="125"/>
      <c r="JMY175" s="125"/>
      <c r="JMZ175" s="125"/>
      <c r="JNA175" s="125"/>
      <c r="JNB175" s="125"/>
      <c r="JNC175" s="125"/>
      <c r="JND175" s="125"/>
      <c r="JNE175" s="125"/>
      <c r="JNF175" s="125"/>
      <c r="JNG175" s="125"/>
      <c r="JNH175" s="125"/>
      <c r="JNI175" s="125"/>
      <c r="JNJ175" s="125"/>
      <c r="JNK175" s="125"/>
      <c r="JNL175" s="125"/>
      <c r="JNM175" s="125"/>
      <c r="JNN175" s="125"/>
      <c r="JNO175" s="125"/>
      <c r="JNP175" s="125"/>
      <c r="JNQ175" s="125"/>
      <c r="JNR175" s="125"/>
      <c r="JNS175" s="125"/>
      <c r="JNT175" s="125"/>
      <c r="JNU175" s="125"/>
      <c r="JNV175" s="125"/>
      <c r="JNW175" s="125"/>
      <c r="JNX175" s="125"/>
      <c r="JNY175" s="125"/>
      <c r="JNZ175" s="125"/>
      <c r="JOA175" s="125"/>
      <c r="JOB175" s="125"/>
      <c r="JOC175" s="125"/>
      <c r="JOD175" s="125"/>
      <c r="JOE175" s="125"/>
      <c r="JOF175" s="125"/>
      <c r="JOG175" s="125"/>
      <c r="JOH175" s="125"/>
      <c r="JOI175" s="125"/>
      <c r="JOJ175" s="125"/>
      <c r="JOK175" s="125"/>
      <c r="JOL175" s="125"/>
      <c r="JOM175" s="125"/>
      <c r="JON175" s="125"/>
      <c r="JOO175" s="125"/>
      <c r="JOP175" s="125"/>
      <c r="JOQ175" s="125"/>
      <c r="JOR175" s="125"/>
      <c r="JOS175" s="125"/>
      <c r="JOT175" s="125"/>
      <c r="JOU175" s="125"/>
      <c r="JOV175" s="125"/>
      <c r="JOW175" s="125"/>
      <c r="JOX175" s="125"/>
      <c r="JOY175" s="125"/>
      <c r="JOZ175" s="125"/>
      <c r="JPA175" s="125"/>
      <c r="JPB175" s="125"/>
      <c r="JPC175" s="125"/>
      <c r="JPD175" s="125"/>
      <c r="JPE175" s="125"/>
      <c r="JPF175" s="125"/>
      <c r="JPG175" s="125"/>
      <c r="JPH175" s="125"/>
      <c r="JPI175" s="125"/>
      <c r="JPJ175" s="125"/>
      <c r="JPK175" s="125"/>
      <c r="JPL175" s="125"/>
      <c r="JPM175" s="125"/>
      <c r="JPN175" s="125"/>
      <c r="JPO175" s="125"/>
      <c r="JPP175" s="125"/>
      <c r="JPQ175" s="125"/>
      <c r="JPR175" s="125"/>
      <c r="JPS175" s="125"/>
      <c r="JPT175" s="125"/>
      <c r="JPU175" s="125"/>
      <c r="JPV175" s="125"/>
      <c r="JPW175" s="125"/>
      <c r="JPX175" s="125"/>
      <c r="JPY175" s="125"/>
      <c r="JPZ175" s="125"/>
      <c r="JQA175" s="125"/>
      <c r="JQB175" s="125"/>
      <c r="JQC175" s="125"/>
      <c r="JQD175" s="125"/>
      <c r="JQE175" s="125"/>
      <c r="JQF175" s="125"/>
      <c r="JQG175" s="125"/>
      <c r="JQH175" s="125"/>
      <c r="JQI175" s="125"/>
      <c r="JQJ175" s="125"/>
      <c r="JQK175" s="125"/>
      <c r="JQL175" s="125"/>
      <c r="JQM175" s="125"/>
      <c r="JQN175" s="125"/>
      <c r="JQO175" s="125"/>
      <c r="JQP175" s="125"/>
      <c r="JQQ175" s="125"/>
      <c r="JQR175" s="125"/>
      <c r="JQS175" s="125"/>
      <c r="JQT175" s="125"/>
      <c r="JQU175" s="125"/>
      <c r="JQV175" s="125"/>
      <c r="JQW175" s="125"/>
      <c r="JQX175" s="125"/>
      <c r="JQY175" s="125"/>
      <c r="JQZ175" s="125"/>
      <c r="JRA175" s="125"/>
      <c r="JRB175" s="125"/>
      <c r="JRC175" s="125"/>
      <c r="JRD175" s="125"/>
      <c r="JRE175" s="125"/>
      <c r="JRF175" s="125"/>
      <c r="JRG175" s="125"/>
      <c r="JRH175" s="125"/>
      <c r="JRI175" s="125"/>
      <c r="JRJ175" s="125"/>
      <c r="JRK175" s="125"/>
      <c r="JRL175" s="125"/>
      <c r="JRM175" s="125"/>
      <c r="JRN175" s="125"/>
      <c r="JRO175" s="125"/>
      <c r="JRP175" s="125"/>
      <c r="JRQ175" s="125"/>
      <c r="JRR175" s="125"/>
      <c r="JRS175" s="125"/>
      <c r="JRT175" s="125"/>
      <c r="JRU175" s="125"/>
      <c r="JRV175" s="125"/>
      <c r="JRW175" s="125"/>
      <c r="JRX175" s="125"/>
      <c r="JRY175" s="125"/>
      <c r="JRZ175" s="125"/>
      <c r="JSA175" s="125"/>
      <c r="JSB175" s="125"/>
      <c r="JSC175" s="125"/>
      <c r="JSD175" s="125"/>
      <c r="JSE175" s="125"/>
      <c r="JSF175" s="125"/>
      <c r="JSG175" s="125"/>
      <c r="JSH175" s="125"/>
      <c r="JSI175" s="125"/>
      <c r="JSJ175" s="125"/>
      <c r="JSK175" s="125"/>
      <c r="JSL175" s="125"/>
      <c r="JSM175" s="125"/>
      <c r="JSN175" s="125"/>
      <c r="JSO175" s="125"/>
      <c r="JSP175" s="125"/>
      <c r="JSQ175" s="125"/>
      <c r="JSR175" s="125"/>
      <c r="JSS175" s="125"/>
      <c r="JST175" s="125"/>
      <c r="JSU175" s="125"/>
      <c r="JSV175" s="125"/>
      <c r="JSW175" s="125"/>
      <c r="JSX175" s="125"/>
      <c r="JSY175" s="125"/>
      <c r="JSZ175" s="125"/>
      <c r="JTA175" s="125"/>
      <c r="JTB175" s="125"/>
      <c r="JTC175" s="125"/>
      <c r="JTD175" s="125"/>
      <c r="JTE175" s="125"/>
      <c r="JTF175" s="125"/>
      <c r="JTG175" s="125"/>
      <c r="JTH175" s="125"/>
      <c r="JTI175" s="125"/>
      <c r="JTJ175" s="125"/>
      <c r="JTK175" s="125"/>
      <c r="JTL175" s="125"/>
      <c r="JTM175" s="125"/>
      <c r="JTN175" s="125"/>
      <c r="JTO175" s="125"/>
      <c r="JTP175" s="125"/>
      <c r="JTQ175" s="125"/>
      <c r="JTR175" s="125"/>
      <c r="JTS175" s="125"/>
      <c r="JTT175" s="125"/>
      <c r="JTU175" s="125"/>
      <c r="JTV175" s="125"/>
      <c r="JTW175" s="125"/>
      <c r="JTX175" s="125"/>
      <c r="JTY175" s="125"/>
      <c r="JTZ175" s="125"/>
      <c r="JUA175" s="125"/>
      <c r="JUB175" s="125"/>
      <c r="JUC175" s="125"/>
      <c r="JUD175" s="125"/>
      <c r="JUE175" s="125"/>
      <c r="JUF175" s="125"/>
      <c r="JUG175" s="125"/>
      <c r="JUH175" s="125"/>
      <c r="JUI175" s="125"/>
      <c r="JUJ175" s="125"/>
      <c r="JUK175" s="125"/>
      <c r="JUL175" s="125"/>
      <c r="JUM175" s="125"/>
      <c r="JUN175" s="125"/>
      <c r="JUO175" s="125"/>
      <c r="JUP175" s="125"/>
      <c r="JUQ175" s="125"/>
      <c r="JUR175" s="125"/>
      <c r="JUS175" s="125"/>
      <c r="JUT175" s="125"/>
      <c r="JUU175" s="125"/>
      <c r="JUV175" s="125"/>
      <c r="JUW175" s="125"/>
      <c r="JUX175" s="125"/>
      <c r="JUY175" s="125"/>
      <c r="JUZ175" s="125"/>
      <c r="JVA175" s="125"/>
      <c r="JVB175" s="125"/>
      <c r="JVC175" s="125"/>
      <c r="JVD175" s="125"/>
      <c r="JVE175" s="125"/>
      <c r="JVF175" s="125"/>
      <c r="JVG175" s="125"/>
      <c r="JVH175" s="125"/>
      <c r="JVI175" s="125"/>
      <c r="JVJ175" s="125"/>
      <c r="JVK175" s="125"/>
      <c r="JVL175" s="125"/>
      <c r="JVM175" s="125"/>
      <c r="JVN175" s="125"/>
      <c r="JVO175" s="125"/>
      <c r="JVP175" s="125"/>
      <c r="JVQ175" s="125"/>
      <c r="JVR175" s="125"/>
      <c r="JVS175" s="125"/>
      <c r="JVT175" s="125"/>
      <c r="JVU175" s="125"/>
      <c r="JVV175" s="125"/>
      <c r="JVW175" s="125"/>
      <c r="JVX175" s="125"/>
      <c r="JVY175" s="125"/>
      <c r="JVZ175" s="125"/>
      <c r="JWA175" s="125"/>
      <c r="JWB175" s="125"/>
      <c r="JWC175" s="125"/>
      <c r="JWD175" s="125"/>
      <c r="JWE175" s="125"/>
      <c r="JWF175" s="125"/>
      <c r="JWG175" s="125"/>
      <c r="JWH175" s="125"/>
      <c r="JWI175" s="125"/>
      <c r="JWJ175" s="125"/>
      <c r="JWK175" s="125"/>
      <c r="JWL175" s="125"/>
      <c r="JWM175" s="125"/>
      <c r="JWN175" s="125"/>
      <c r="JWO175" s="125"/>
      <c r="JWP175" s="125"/>
      <c r="JWQ175" s="125"/>
      <c r="JWR175" s="125"/>
      <c r="JWS175" s="125"/>
      <c r="JWT175" s="125"/>
      <c r="JWU175" s="125"/>
      <c r="JWV175" s="125"/>
      <c r="JWW175" s="125"/>
      <c r="JWX175" s="125"/>
      <c r="JWY175" s="125"/>
      <c r="JWZ175" s="125"/>
      <c r="JXA175" s="125"/>
      <c r="JXB175" s="125"/>
      <c r="JXC175" s="125"/>
      <c r="JXD175" s="125"/>
      <c r="JXE175" s="125"/>
      <c r="JXF175" s="125"/>
      <c r="JXG175" s="125"/>
      <c r="JXH175" s="125"/>
      <c r="JXI175" s="125"/>
      <c r="JXJ175" s="125"/>
      <c r="JXK175" s="125"/>
      <c r="JXL175" s="125"/>
      <c r="JXM175" s="125"/>
      <c r="JXN175" s="125"/>
      <c r="JXO175" s="125"/>
      <c r="JXP175" s="125"/>
      <c r="JXQ175" s="125"/>
      <c r="JXR175" s="125"/>
      <c r="JXS175" s="125"/>
      <c r="JXT175" s="125"/>
      <c r="JXU175" s="125"/>
      <c r="JXV175" s="125"/>
      <c r="JXW175" s="125"/>
      <c r="JXX175" s="125"/>
      <c r="JXY175" s="125"/>
      <c r="JXZ175" s="125"/>
      <c r="JYA175" s="125"/>
      <c r="JYB175" s="125"/>
      <c r="JYC175" s="125"/>
      <c r="JYD175" s="125"/>
      <c r="JYE175" s="125"/>
      <c r="JYF175" s="125"/>
      <c r="JYG175" s="125"/>
      <c r="JYH175" s="125"/>
      <c r="JYI175" s="125"/>
      <c r="JYJ175" s="125"/>
      <c r="JYK175" s="125"/>
      <c r="JYL175" s="125"/>
      <c r="JYM175" s="125"/>
      <c r="JYN175" s="125"/>
      <c r="JYO175" s="125"/>
      <c r="JYP175" s="125"/>
      <c r="JYQ175" s="125"/>
      <c r="JYR175" s="125"/>
      <c r="JYS175" s="125"/>
      <c r="JYT175" s="125"/>
      <c r="JYU175" s="125"/>
      <c r="JYV175" s="125"/>
      <c r="JYW175" s="125"/>
      <c r="JYX175" s="125"/>
      <c r="JYY175" s="125"/>
      <c r="JYZ175" s="125"/>
      <c r="JZA175" s="125"/>
      <c r="JZB175" s="125"/>
      <c r="JZC175" s="125"/>
      <c r="JZD175" s="125"/>
      <c r="JZE175" s="125"/>
      <c r="JZF175" s="125"/>
      <c r="JZG175" s="125"/>
      <c r="JZH175" s="125"/>
      <c r="JZI175" s="125"/>
      <c r="JZJ175" s="125"/>
      <c r="JZK175" s="125"/>
      <c r="JZL175" s="125"/>
      <c r="JZM175" s="125"/>
      <c r="JZN175" s="125"/>
      <c r="JZO175" s="125"/>
      <c r="JZP175" s="125"/>
      <c r="JZQ175" s="125"/>
      <c r="JZR175" s="125"/>
      <c r="JZS175" s="125"/>
      <c r="JZT175" s="125"/>
      <c r="JZU175" s="125"/>
      <c r="JZV175" s="125"/>
      <c r="JZW175" s="125"/>
      <c r="JZX175" s="125"/>
      <c r="JZY175" s="125"/>
      <c r="JZZ175" s="125"/>
      <c r="KAA175" s="125"/>
      <c r="KAB175" s="125"/>
      <c r="KAC175" s="125"/>
      <c r="KAD175" s="125"/>
      <c r="KAE175" s="125"/>
      <c r="KAF175" s="125"/>
      <c r="KAG175" s="125"/>
      <c r="KAH175" s="125"/>
      <c r="KAI175" s="125"/>
      <c r="KAJ175" s="125"/>
      <c r="KAK175" s="125"/>
      <c r="KAL175" s="125"/>
      <c r="KAM175" s="125"/>
      <c r="KAN175" s="125"/>
      <c r="KAO175" s="125"/>
      <c r="KAP175" s="125"/>
      <c r="KAQ175" s="125"/>
      <c r="KAR175" s="125"/>
      <c r="KAS175" s="125"/>
      <c r="KAT175" s="125"/>
      <c r="KAU175" s="125"/>
      <c r="KAV175" s="125"/>
      <c r="KAW175" s="125"/>
      <c r="KAX175" s="125"/>
      <c r="KAY175" s="125"/>
      <c r="KAZ175" s="125"/>
      <c r="KBA175" s="125"/>
      <c r="KBB175" s="125"/>
      <c r="KBC175" s="125"/>
      <c r="KBD175" s="125"/>
      <c r="KBE175" s="125"/>
      <c r="KBF175" s="125"/>
      <c r="KBG175" s="125"/>
      <c r="KBH175" s="125"/>
      <c r="KBI175" s="125"/>
      <c r="KBJ175" s="125"/>
      <c r="KBK175" s="125"/>
      <c r="KBL175" s="125"/>
      <c r="KBM175" s="125"/>
      <c r="KBN175" s="125"/>
      <c r="KBO175" s="125"/>
      <c r="KBP175" s="125"/>
      <c r="KBQ175" s="125"/>
      <c r="KBR175" s="125"/>
      <c r="KBS175" s="125"/>
      <c r="KBT175" s="125"/>
      <c r="KBU175" s="125"/>
      <c r="KBV175" s="125"/>
      <c r="KBW175" s="125"/>
      <c r="KBX175" s="125"/>
      <c r="KBY175" s="125"/>
      <c r="KBZ175" s="125"/>
      <c r="KCA175" s="125"/>
      <c r="KCB175" s="125"/>
      <c r="KCC175" s="125"/>
      <c r="KCD175" s="125"/>
      <c r="KCE175" s="125"/>
      <c r="KCF175" s="125"/>
      <c r="KCG175" s="125"/>
      <c r="KCH175" s="125"/>
      <c r="KCI175" s="125"/>
      <c r="KCJ175" s="125"/>
      <c r="KCK175" s="125"/>
      <c r="KCL175" s="125"/>
      <c r="KCM175" s="125"/>
      <c r="KCN175" s="125"/>
      <c r="KCO175" s="125"/>
      <c r="KCP175" s="125"/>
      <c r="KCQ175" s="125"/>
      <c r="KCR175" s="125"/>
      <c r="KCS175" s="125"/>
      <c r="KCT175" s="125"/>
      <c r="KCU175" s="125"/>
      <c r="KCV175" s="125"/>
      <c r="KCW175" s="125"/>
      <c r="KCX175" s="125"/>
      <c r="KCY175" s="125"/>
      <c r="KCZ175" s="125"/>
      <c r="KDA175" s="125"/>
      <c r="KDB175" s="125"/>
      <c r="KDC175" s="125"/>
      <c r="KDD175" s="125"/>
      <c r="KDE175" s="125"/>
      <c r="KDF175" s="125"/>
      <c r="KDG175" s="125"/>
      <c r="KDH175" s="125"/>
      <c r="KDI175" s="125"/>
      <c r="KDJ175" s="125"/>
      <c r="KDK175" s="125"/>
      <c r="KDL175" s="125"/>
      <c r="KDM175" s="125"/>
      <c r="KDN175" s="125"/>
      <c r="KDO175" s="125"/>
      <c r="KDP175" s="125"/>
      <c r="KDQ175" s="125"/>
      <c r="KDR175" s="125"/>
      <c r="KDS175" s="125"/>
      <c r="KDT175" s="125"/>
      <c r="KDU175" s="125"/>
      <c r="KDV175" s="125"/>
      <c r="KDW175" s="125"/>
      <c r="KDX175" s="125"/>
      <c r="KDY175" s="125"/>
      <c r="KDZ175" s="125"/>
      <c r="KEA175" s="125"/>
      <c r="KEB175" s="125"/>
      <c r="KEC175" s="125"/>
      <c r="KED175" s="125"/>
      <c r="KEE175" s="125"/>
      <c r="KEF175" s="125"/>
      <c r="KEG175" s="125"/>
      <c r="KEH175" s="125"/>
      <c r="KEI175" s="125"/>
      <c r="KEJ175" s="125"/>
      <c r="KEK175" s="125"/>
      <c r="KEL175" s="125"/>
      <c r="KEM175" s="125"/>
      <c r="KEN175" s="125"/>
      <c r="KEO175" s="125"/>
      <c r="KEP175" s="125"/>
      <c r="KEQ175" s="125"/>
      <c r="KER175" s="125"/>
      <c r="KES175" s="125"/>
      <c r="KET175" s="125"/>
      <c r="KEU175" s="125"/>
      <c r="KEV175" s="125"/>
      <c r="KEW175" s="125"/>
      <c r="KEX175" s="125"/>
      <c r="KEY175" s="125"/>
      <c r="KEZ175" s="125"/>
      <c r="KFA175" s="125"/>
      <c r="KFB175" s="125"/>
      <c r="KFC175" s="125"/>
      <c r="KFD175" s="125"/>
      <c r="KFE175" s="125"/>
      <c r="KFF175" s="125"/>
      <c r="KFG175" s="125"/>
      <c r="KFH175" s="125"/>
      <c r="KFI175" s="125"/>
      <c r="KFJ175" s="125"/>
      <c r="KFK175" s="125"/>
      <c r="KFL175" s="125"/>
      <c r="KFM175" s="125"/>
      <c r="KFN175" s="125"/>
      <c r="KFO175" s="125"/>
      <c r="KFP175" s="125"/>
      <c r="KFQ175" s="125"/>
      <c r="KFR175" s="125"/>
      <c r="KFS175" s="125"/>
      <c r="KFT175" s="125"/>
      <c r="KFU175" s="125"/>
      <c r="KFV175" s="125"/>
      <c r="KFW175" s="125"/>
      <c r="KFX175" s="125"/>
      <c r="KFY175" s="125"/>
      <c r="KFZ175" s="125"/>
      <c r="KGA175" s="125"/>
      <c r="KGB175" s="125"/>
      <c r="KGC175" s="125"/>
      <c r="KGD175" s="125"/>
      <c r="KGE175" s="125"/>
      <c r="KGF175" s="125"/>
      <c r="KGG175" s="125"/>
      <c r="KGH175" s="125"/>
      <c r="KGI175" s="125"/>
      <c r="KGJ175" s="125"/>
      <c r="KGK175" s="125"/>
      <c r="KGL175" s="125"/>
      <c r="KGM175" s="125"/>
      <c r="KGN175" s="125"/>
      <c r="KGO175" s="125"/>
      <c r="KGP175" s="125"/>
      <c r="KGQ175" s="125"/>
      <c r="KGR175" s="125"/>
      <c r="KGS175" s="125"/>
      <c r="KGT175" s="125"/>
      <c r="KGU175" s="125"/>
      <c r="KGV175" s="125"/>
      <c r="KGW175" s="125"/>
      <c r="KGX175" s="125"/>
      <c r="KGY175" s="125"/>
      <c r="KGZ175" s="125"/>
      <c r="KHA175" s="125"/>
      <c r="KHB175" s="125"/>
      <c r="KHC175" s="125"/>
      <c r="KHD175" s="125"/>
      <c r="KHE175" s="125"/>
      <c r="KHF175" s="125"/>
      <c r="KHG175" s="125"/>
      <c r="KHH175" s="125"/>
      <c r="KHI175" s="125"/>
      <c r="KHJ175" s="125"/>
      <c r="KHK175" s="125"/>
      <c r="KHL175" s="125"/>
      <c r="KHM175" s="125"/>
      <c r="KHN175" s="125"/>
      <c r="KHO175" s="125"/>
      <c r="KHP175" s="125"/>
      <c r="KHQ175" s="125"/>
      <c r="KHR175" s="125"/>
      <c r="KHS175" s="125"/>
      <c r="KHT175" s="125"/>
      <c r="KHU175" s="125"/>
      <c r="KHV175" s="125"/>
      <c r="KHW175" s="125"/>
      <c r="KHX175" s="125"/>
      <c r="KHY175" s="125"/>
      <c r="KHZ175" s="125"/>
      <c r="KIA175" s="125"/>
      <c r="KIB175" s="125"/>
      <c r="KIC175" s="125"/>
      <c r="KID175" s="125"/>
      <c r="KIE175" s="125"/>
      <c r="KIF175" s="125"/>
      <c r="KIG175" s="125"/>
      <c r="KIH175" s="125"/>
      <c r="KII175" s="125"/>
      <c r="KIJ175" s="125"/>
      <c r="KIK175" s="125"/>
      <c r="KIL175" s="125"/>
      <c r="KIM175" s="125"/>
      <c r="KIN175" s="125"/>
      <c r="KIO175" s="125"/>
      <c r="KIP175" s="125"/>
      <c r="KIQ175" s="125"/>
      <c r="KIR175" s="125"/>
      <c r="KIS175" s="125"/>
      <c r="KIT175" s="125"/>
      <c r="KIU175" s="125"/>
      <c r="KIV175" s="125"/>
      <c r="KIW175" s="125"/>
      <c r="KIX175" s="125"/>
      <c r="KIY175" s="125"/>
      <c r="KIZ175" s="125"/>
      <c r="KJA175" s="125"/>
      <c r="KJB175" s="125"/>
      <c r="KJC175" s="125"/>
      <c r="KJD175" s="125"/>
      <c r="KJE175" s="125"/>
      <c r="KJF175" s="125"/>
      <c r="KJG175" s="125"/>
      <c r="KJH175" s="125"/>
      <c r="KJI175" s="125"/>
      <c r="KJJ175" s="125"/>
      <c r="KJK175" s="125"/>
      <c r="KJL175" s="125"/>
      <c r="KJM175" s="125"/>
      <c r="KJN175" s="125"/>
      <c r="KJO175" s="125"/>
      <c r="KJP175" s="125"/>
      <c r="KJQ175" s="125"/>
      <c r="KJR175" s="125"/>
      <c r="KJS175" s="125"/>
      <c r="KJT175" s="125"/>
      <c r="KJU175" s="125"/>
      <c r="KJV175" s="125"/>
      <c r="KJW175" s="125"/>
      <c r="KJX175" s="125"/>
      <c r="KJY175" s="125"/>
      <c r="KJZ175" s="125"/>
      <c r="KKA175" s="125"/>
      <c r="KKB175" s="125"/>
      <c r="KKC175" s="125"/>
      <c r="KKD175" s="125"/>
      <c r="KKE175" s="125"/>
      <c r="KKF175" s="125"/>
      <c r="KKG175" s="125"/>
      <c r="KKH175" s="125"/>
      <c r="KKI175" s="125"/>
      <c r="KKJ175" s="125"/>
      <c r="KKK175" s="125"/>
      <c r="KKL175" s="125"/>
      <c r="KKM175" s="125"/>
      <c r="KKN175" s="125"/>
      <c r="KKO175" s="125"/>
      <c r="KKP175" s="125"/>
      <c r="KKQ175" s="125"/>
      <c r="KKR175" s="125"/>
      <c r="KKS175" s="125"/>
      <c r="KKT175" s="125"/>
      <c r="KKU175" s="125"/>
      <c r="KKV175" s="125"/>
      <c r="KKW175" s="125"/>
      <c r="KKX175" s="125"/>
      <c r="KKY175" s="125"/>
      <c r="KKZ175" s="125"/>
      <c r="KLA175" s="125"/>
      <c r="KLB175" s="125"/>
      <c r="KLC175" s="125"/>
      <c r="KLD175" s="125"/>
      <c r="KLE175" s="125"/>
      <c r="KLF175" s="125"/>
      <c r="KLG175" s="125"/>
      <c r="KLH175" s="125"/>
      <c r="KLI175" s="125"/>
      <c r="KLJ175" s="125"/>
      <c r="KLK175" s="125"/>
      <c r="KLL175" s="125"/>
      <c r="KLM175" s="125"/>
      <c r="KLN175" s="125"/>
      <c r="KLO175" s="125"/>
      <c r="KLP175" s="125"/>
      <c r="KLQ175" s="125"/>
      <c r="KLR175" s="125"/>
      <c r="KLS175" s="125"/>
      <c r="KLT175" s="125"/>
      <c r="KLU175" s="125"/>
      <c r="KLV175" s="125"/>
      <c r="KLW175" s="125"/>
      <c r="KLX175" s="125"/>
      <c r="KLY175" s="125"/>
      <c r="KLZ175" s="125"/>
      <c r="KMA175" s="125"/>
      <c r="KMB175" s="125"/>
      <c r="KMC175" s="125"/>
      <c r="KMD175" s="125"/>
      <c r="KME175" s="125"/>
      <c r="KMF175" s="125"/>
      <c r="KMG175" s="125"/>
      <c r="KMH175" s="125"/>
      <c r="KMI175" s="125"/>
      <c r="KMJ175" s="125"/>
      <c r="KMK175" s="125"/>
      <c r="KML175" s="125"/>
      <c r="KMM175" s="125"/>
      <c r="KMN175" s="125"/>
      <c r="KMO175" s="125"/>
      <c r="KMP175" s="125"/>
      <c r="KMQ175" s="125"/>
      <c r="KMR175" s="125"/>
      <c r="KMS175" s="125"/>
      <c r="KMT175" s="125"/>
      <c r="KMU175" s="125"/>
      <c r="KMV175" s="125"/>
      <c r="KMW175" s="125"/>
      <c r="KMX175" s="125"/>
      <c r="KMY175" s="125"/>
      <c r="KMZ175" s="125"/>
      <c r="KNA175" s="125"/>
      <c r="KNB175" s="125"/>
      <c r="KNC175" s="125"/>
      <c r="KND175" s="125"/>
      <c r="KNE175" s="125"/>
      <c r="KNF175" s="125"/>
      <c r="KNG175" s="125"/>
      <c r="KNH175" s="125"/>
      <c r="KNI175" s="125"/>
      <c r="KNJ175" s="125"/>
      <c r="KNK175" s="125"/>
      <c r="KNL175" s="125"/>
      <c r="KNM175" s="125"/>
      <c r="KNN175" s="125"/>
      <c r="KNO175" s="125"/>
      <c r="KNP175" s="125"/>
      <c r="KNQ175" s="125"/>
      <c r="KNR175" s="125"/>
      <c r="KNS175" s="125"/>
      <c r="KNT175" s="125"/>
      <c r="KNU175" s="125"/>
      <c r="KNV175" s="125"/>
      <c r="KNW175" s="125"/>
      <c r="KNX175" s="125"/>
      <c r="KNY175" s="125"/>
      <c r="KNZ175" s="125"/>
      <c r="KOA175" s="125"/>
      <c r="KOB175" s="125"/>
      <c r="KOC175" s="125"/>
      <c r="KOD175" s="125"/>
      <c r="KOE175" s="125"/>
      <c r="KOF175" s="125"/>
      <c r="KOG175" s="125"/>
      <c r="KOH175" s="125"/>
      <c r="KOI175" s="125"/>
      <c r="KOJ175" s="125"/>
      <c r="KOK175" s="125"/>
      <c r="KOL175" s="125"/>
      <c r="KOM175" s="125"/>
      <c r="KON175" s="125"/>
      <c r="KOO175" s="125"/>
      <c r="KOP175" s="125"/>
      <c r="KOQ175" s="125"/>
      <c r="KOR175" s="125"/>
      <c r="KOS175" s="125"/>
      <c r="KOT175" s="125"/>
      <c r="KOU175" s="125"/>
      <c r="KOV175" s="125"/>
      <c r="KOW175" s="125"/>
      <c r="KOX175" s="125"/>
      <c r="KOY175" s="125"/>
      <c r="KOZ175" s="125"/>
      <c r="KPA175" s="125"/>
      <c r="KPB175" s="125"/>
      <c r="KPC175" s="125"/>
      <c r="KPD175" s="125"/>
      <c r="KPE175" s="125"/>
      <c r="KPF175" s="125"/>
      <c r="KPG175" s="125"/>
      <c r="KPH175" s="125"/>
      <c r="KPI175" s="125"/>
      <c r="KPJ175" s="125"/>
      <c r="KPK175" s="125"/>
      <c r="KPL175" s="125"/>
      <c r="KPM175" s="125"/>
      <c r="KPN175" s="125"/>
      <c r="KPO175" s="125"/>
      <c r="KPP175" s="125"/>
      <c r="KPQ175" s="125"/>
      <c r="KPR175" s="125"/>
      <c r="KPS175" s="125"/>
      <c r="KPT175" s="125"/>
      <c r="KPU175" s="125"/>
      <c r="KPV175" s="125"/>
      <c r="KPW175" s="125"/>
      <c r="KPX175" s="125"/>
      <c r="KPY175" s="125"/>
      <c r="KPZ175" s="125"/>
      <c r="KQA175" s="125"/>
      <c r="KQB175" s="125"/>
      <c r="KQC175" s="125"/>
      <c r="KQD175" s="125"/>
      <c r="KQE175" s="125"/>
      <c r="KQF175" s="125"/>
      <c r="KQG175" s="125"/>
      <c r="KQH175" s="125"/>
      <c r="KQI175" s="125"/>
      <c r="KQJ175" s="125"/>
      <c r="KQK175" s="125"/>
      <c r="KQL175" s="125"/>
      <c r="KQM175" s="125"/>
      <c r="KQN175" s="125"/>
      <c r="KQO175" s="125"/>
      <c r="KQP175" s="125"/>
      <c r="KQQ175" s="125"/>
      <c r="KQR175" s="125"/>
      <c r="KQS175" s="125"/>
      <c r="KQT175" s="125"/>
      <c r="KQU175" s="125"/>
      <c r="KQV175" s="125"/>
      <c r="KQW175" s="125"/>
      <c r="KQX175" s="125"/>
      <c r="KQY175" s="125"/>
      <c r="KQZ175" s="125"/>
      <c r="KRA175" s="125"/>
      <c r="KRB175" s="125"/>
      <c r="KRC175" s="125"/>
      <c r="KRD175" s="125"/>
      <c r="KRE175" s="125"/>
      <c r="KRF175" s="125"/>
      <c r="KRG175" s="125"/>
      <c r="KRH175" s="125"/>
      <c r="KRI175" s="125"/>
      <c r="KRJ175" s="125"/>
      <c r="KRK175" s="125"/>
      <c r="KRL175" s="125"/>
      <c r="KRM175" s="125"/>
      <c r="KRN175" s="125"/>
      <c r="KRO175" s="125"/>
      <c r="KRP175" s="125"/>
      <c r="KRQ175" s="125"/>
      <c r="KRR175" s="125"/>
      <c r="KRS175" s="125"/>
      <c r="KRT175" s="125"/>
      <c r="KRU175" s="125"/>
      <c r="KRV175" s="125"/>
      <c r="KRW175" s="125"/>
      <c r="KRX175" s="125"/>
      <c r="KRY175" s="125"/>
      <c r="KRZ175" s="125"/>
      <c r="KSA175" s="125"/>
      <c r="KSB175" s="125"/>
      <c r="KSC175" s="125"/>
      <c r="KSD175" s="125"/>
      <c r="KSE175" s="125"/>
      <c r="KSF175" s="125"/>
      <c r="KSG175" s="125"/>
      <c r="KSH175" s="125"/>
      <c r="KSI175" s="125"/>
      <c r="KSJ175" s="125"/>
      <c r="KSK175" s="125"/>
      <c r="KSL175" s="125"/>
      <c r="KSM175" s="125"/>
      <c r="KSN175" s="125"/>
      <c r="KSO175" s="125"/>
      <c r="KSP175" s="125"/>
      <c r="KSQ175" s="125"/>
      <c r="KSR175" s="125"/>
      <c r="KSS175" s="125"/>
      <c r="KST175" s="125"/>
      <c r="KSU175" s="125"/>
      <c r="KSV175" s="125"/>
      <c r="KSW175" s="125"/>
      <c r="KSX175" s="125"/>
      <c r="KSY175" s="125"/>
      <c r="KSZ175" s="125"/>
      <c r="KTA175" s="125"/>
      <c r="KTB175" s="125"/>
      <c r="KTC175" s="125"/>
      <c r="KTD175" s="125"/>
      <c r="KTE175" s="125"/>
      <c r="KTF175" s="125"/>
      <c r="KTG175" s="125"/>
      <c r="KTH175" s="125"/>
      <c r="KTI175" s="125"/>
      <c r="KTJ175" s="125"/>
      <c r="KTK175" s="125"/>
      <c r="KTL175" s="125"/>
      <c r="KTM175" s="125"/>
      <c r="KTN175" s="125"/>
      <c r="KTO175" s="125"/>
      <c r="KTP175" s="125"/>
      <c r="KTQ175" s="125"/>
      <c r="KTR175" s="125"/>
      <c r="KTS175" s="125"/>
      <c r="KTT175" s="125"/>
      <c r="KTU175" s="125"/>
      <c r="KTV175" s="125"/>
      <c r="KTW175" s="125"/>
      <c r="KTX175" s="125"/>
      <c r="KTY175" s="125"/>
      <c r="KTZ175" s="125"/>
      <c r="KUA175" s="125"/>
      <c r="KUB175" s="125"/>
      <c r="KUC175" s="125"/>
      <c r="KUD175" s="125"/>
      <c r="KUE175" s="125"/>
      <c r="KUF175" s="125"/>
      <c r="KUG175" s="125"/>
      <c r="KUH175" s="125"/>
      <c r="KUI175" s="125"/>
      <c r="KUJ175" s="125"/>
      <c r="KUK175" s="125"/>
      <c r="KUL175" s="125"/>
      <c r="KUM175" s="125"/>
      <c r="KUN175" s="125"/>
      <c r="KUO175" s="125"/>
      <c r="KUP175" s="125"/>
      <c r="KUQ175" s="125"/>
      <c r="KUR175" s="125"/>
      <c r="KUS175" s="125"/>
      <c r="KUT175" s="125"/>
      <c r="KUU175" s="125"/>
      <c r="KUV175" s="125"/>
      <c r="KUW175" s="125"/>
      <c r="KUX175" s="125"/>
      <c r="KUY175" s="125"/>
      <c r="KUZ175" s="125"/>
      <c r="KVA175" s="125"/>
      <c r="KVB175" s="125"/>
      <c r="KVC175" s="125"/>
      <c r="KVD175" s="125"/>
      <c r="KVE175" s="125"/>
      <c r="KVF175" s="125"/>
      <c r="KVG175" s="125"/>
      <c r="KVH175" s="125"/>
      <c r="KVI175" s="125"/>
      <c r="KVJ175" s="125"/>
      <c r="KVK175" s="125"/>
      <c r="KVL175" s="125"/>
      <c r="KVM175" s="125"/>
      <c r="KVN175" s="125"/>
      <c r="KVO175" s="125"/>
      <c r="KVP175" s="125"/>
      <c r="KVQ175" s="125"/>
      <c r="KVR175" s="125"/>
      <c r="KVS175" s="125"/>
      <c r="KVT175" s="125"/>
      <c r="KVU175" s="125"/>
      <c r="KVV175" s="125"/>
      <c r="KVW175" s="125"/>
      <c r="KVX175" s="125"/>
      <c r="KVY175" s="125"/>
      <c r="KVZ175" s="125"/>
      <c r="KWA175" s="125"/>
      <c r="KWB175" s="125"/>
      <c r="KWC175" s="125"/>
      <c r="KWD175" s="125"/>
      <c r="KWE175" s="125"/>
      <c r="KWF175" s="125"/>
      <c r="KWG175" s="125"/>
      <c r="KWH175" s="125"/>
      <c r="KWI175" s="125"/>
      <c r="KWJ175" s="125"/>
      <c r="KWK175" s="125"/>
      <c r="KWL175" s="125"/>
      <c r="KWM175" s="125"/>
      <c r="KWN175" s="125"/>
      <c r="KWO175" s="125"/>
      <c r="KWP175" s="125"/>
      <c r="KWQ175" s="125"/>
      <c r="KWR175" s="125"/>
      <c r="KWS175" s="125"/>
      <c r="KWT175" s="125"/>
      <c r="KWU175" s="125"/>
      <c r="KWV175" s="125"/>
      <c r="KWW175" s="125"/>
      <c r="KWX175" s="125"/>
      <c r="KWY175" s="125"/>
      <c r="KWZ175" s="125"/>
      <c r="KXA175" s="125"/>
      <c r="KXB175" s="125"/>
      <c r="KXC175" s="125"/>
      <c r="KXD175" s="125"/>
      <c r="KXE175" s="125"/>
      <c r="KXF175" s="125"/>
      <c r="KXG175" s="125"/>
      <c r="KXH175" s="125"/>
      <c r="KXI175" s="125"/>
      <c r="KXJ175" s="125"/>
      <c r="KXK175" s="125"/>
      <c r="KXL175" s="125"/>
      <c r="KXM175" s="125"/>
      <c r="KXN175" s="125"/>
      <c r="KXO175" s="125"/>
      <c r="KXP175" s="125"/>
      <c r="KXQ175" s="125"/>
      <c r="KXR175" s="125"/>
      <c r="KXS175" s="125"/>
      <c r="KXT175" s="125"/>
      <c r="KXU175" s="125"/>
      <c r="KXV175" s="125"/>
      <c r="KXW175" s="125"/>
      <c r="KXX175" s="125"/>
      <c r="KXY175" s="125"/>
      <c r="KXZ175" s="125"/>
      <c r="KYA175" s="125"/>
      <c r="KYB175" s="125"/>
      <c r="KYC175" s="125"/>
      <c r="KYD175" s="125"/>
      <c r="KYE175" s="125"/>
      <c r="KYF175" s="125"/>
      <c r="KYG175" s="125"/>
      <c r="KYH175" s="125"/>
      <c r="KYI175" s="125"/>
      <c r="KYJ175" s="125"/>
      <c r="KYK175" s="125"/>
      <c r="KYL175" s="125"/>
      <c r="KYM175" s="125"/>
      <c r="KYN175" s="125"/>
      <c r="KYO175" s="125"/>
      <c r="KYP175" s="125"/>
      <c r="KYQ175" s="125"/>
      <c r="KYR175" s="125"/>
      <c r="KYS175" s="125"/>
      <c r="KYT175" s="125"/>
      <c r="KYU175" s="125"/>
      <c r="KYV175" s="125"/>
      <c r="KYW175" s="125"/>
      <c r="KYX175" s="125"/>
      <c r="KYY175" s="125"/>
      <c r="KYZ175" s="125"/>
      <c r="KZA175" s="125"/>
      <c r="KZB175" s="125"/>
      <c r="KZC175" s="125"/>
      <c r="KZD175" s="125"/>
      <c r="KZE175" s="125"/>
      <c r="KZF175" s="125"/>
      <c r="KZG175" s="125"/>
      <c r="KZH175" s="125"/>
      <c r="KZI175" s="125"/>
      <c r="KZJ175" s="125"/>
      <c r="KZK175" s="125"/>
      <c r="KZL175" s="125"/>
      <c r="KZM175" s="125"/>
      <c r="KZN175" s="125"/>
      <c r="KZO175" s="125"/>
      <c r="KZP175" s="125"/>
      <c r="KZQ175" s="125"/>
      <c r="KZR175" s="125"/>
      <c r="KZS175" s="125"/>
      <c r="KZT175" s="125"/>
      <c r="KZU175" s="125"/>
      <c r="KZV175" s="125"/>
      <c r="KZW175" s="125"/>
      <c r="KZX175" s="125"/>
      <c r="KZY175" s="125"/>
      <c r="KZZ175" s="125"/>
      <c r="LAA175" s="125"/>
      <c r="LAB175" s="125"/>
      <c r="LAC175" s="125"/>
      <c r="LAD175" s="125"/>
      <c r="LAE175" s="125"/>
      <c r="LAF175" s="125"/>
      <c r="LAG175" s="125"/>
      <c r="LAH175" s="125"/>
      <c r="LAI175" s="125"/>
      <c r="LAJ175" s="125"/>
      <c r="LAK175" s="125"/>
      <c r="LAL175" s="125"/>
      <c r="LAM175" s="125"/>
      <c r="LAN175" s="125"/>
      <c r="LAO175" s="125"/>
      <c r="LAP175" s="125"/>
      <c r="LAQ175" s="125"/>
      <c r="LAR175" s="125"/>
      <c r="LAS175" s="125"/>
      <c r="LAT175" s="125"/>
      <c r="LAU175" s="125"/>
      <c r="LAV175" s="125"/>
      <c r="LAW175" s="125"/>
      <c r="LAX175" s="125"/>
      <c r="LAY175" s="125"/>
      <c r="LAZ175" s="125"/>
      <c r="LBA175" s="125"/>
      <c r="LBB175" s="125"/>
      <c r="LBC175" s="125"/>
      <c r="LBD175" s="125"/>
      <c r="LBE175" s="125"/>
      <c r="LBF175" s="125"/>
      <c r="LBG175" s="125"/>
      <c r="LBH175" s="125"/>
      <c r="LBI175" s="125"/>
      <c r="LBJ175" s="125"/>
      <c r="LBK175" s="125"/>
      <c r="LBL175" s="125"/>
      <c r="LBM175" s="125"/>
      <c r="LBN175" s="125"/>
      <c r="LBO175" s="125"/>
      <c r="LBP175" s="125"/>
      <c r="LBQ175" s="125"/>
      <c r="LBR175" s="125"/>
      <c r="LBS175" s="125"/>
      <c r="LBT175" s="125"/>
      <c r="LBU175" s="125"/>
      <c r="LBV175" s="125"/>
      <c r="LBW175" s="125"/>
      <c r="LBX175" s="125"/>
      <c r="LBY175" s="125"/>
      <c r="LBZ175" s="125"/>
      <c r="LCA175" s="125"/>
      <c r="LCB175" s="125"/>
      <c r="LCC175" s="125"/>
      <c r="LCD175" s="125"/>
      <c r="LCE175" s="125"/>
      <c r="LCF175" s="125"/>
      <c r="LCG175" s="125"/>
      <c r="LCH175" s="125"/>
      <c r="LCI175" s="125"/>
      <c r="LCJ175" s="125"/>
      <c r="LCK175" s="125"/>
      <c r="LCL175" s="125"/>
      <c r="LCM175" s="125"/>
      <c r="LCN175" s="125"/>
      <c r="LCO175" s="125"/>
      <c r="LCP175" s="125"/>
      <c r="LCQ175" s="125"/>
      <c r="LCR175" s="125"/>
      <c r="LCS175" s="125"/>
      <c r="LCT175" s="125"/>
      <c r="LCU175" s="125"/>
      <c r="LCV175" s="125"/>
      <c r="LCW175" s="125"/>
      <c r="LCX175" s="125"/>
      <c r="LCY175" s="125"/>
      <c r="LCZ175" s="125"/>
      <c r="LDA175" s="125"/>
      <c r="LDB175" s="125"/>
      <c r="LDC175" s="125"/>
      <c r="LDD175" s="125"/>
      <c r="LDE175" s="125"/>
      <c r="LDF175" s="125"/>
      <c r="LDG175" s="125"/>
      <c r="LDH175" s="125"/>
      <c r="LDI175" s="125"/>
      <c r="LDJ175" s="125"/>
      <c r="LDK175" s="125"/>
      <c r="LDL175" s="125"/>
      <c r="LDM175" s="125"/>
      <c r="LDN175" s="125"/>
      <c r="LDO175" s="125"/>
      <c r="LDP175" s="125"/>
      <c r="LDQ175" s="125"/>
      <c r="LDR175" s="125"/>
      <c r="LDS175" s="125"/>
      <c r="LDT175" s="125"/>
      <c r="LDU175" s="125"/>
      <c r="LDV175" s="125"/>
      <c r="LDW175" s="125"/>
      <c r="LDX175" s="125"/>
      <c r="LDY175" s="125"/>
      <c r="LDZ175" s="125"/>
      <c r="LEA175" s="125"/>
      <c r="LEB175" s="125"/>
      <c r="LEC175" s="125"/>
      <c r="LED175" s="125"/>
      <c r="LEE175" s="125"/>
      <c r="LEF175" s="125"/>
      <c r="LEG175" s="125"/>
      <c r="LEH175" s="125"/>
      <c r="LEI175" s="125"/>
      <c r="LEJ175" s="125"/>
      <c r="LEK175" s="125"/>
      <c r="LEL175" s="125"/>
      <c r="LEM175" s="125"/>
      <c r="LEN175" s="125"/>
      <c r="LEO175" s="125"/>
      <c r="LEP175" s="125"/>
      <c r="LEQ175" s="125"/>
      <c r="LER175" s="125"/>
      <c r="LES175" s="125"/>
      <c r="LET175" s="125"/>
      <c r="LEU175" s="125"/>
      <c r="LEV175" s="125"/>
      <c r="LEW175" s="125"/>
      <c r="LEX175" s="125"/>
      <c r="LEY175" s="125"/>
      <c r="LEZ175" s="125"/>
      <c r="LFA175" s="125"/>
      <c r="LFB175" s="125"/>
      <c r="LFC175" s="125"/>
      <c r="LFD175" s="125"/>
      <c r="LFE175" s="125"/>
      <c r="LFF175" s="125"/>
      <c r="LFG175" s="125"/>
      <c r="LFH175" s="125"/>
      <c r="LFI175" s="125"/>
      <c r="LFJ175" s="125"/>
      <c r="LFK175" s="125"/>
      <c r="LFL175" s="125"/>
      <c r="LFM175" s="125"/>
      <c r="LFN175" s="125"/>
      <c r="LFO175" s="125"/>
      <c r="LFP175" s="125"/>
      <c r="LFQ175" s="125"/>
      <c r="LFR175" s="125"/>
      <c r="LFS175" s="125"/>
      <c r="LFT175" s="125"/>
      <c r="LFU175" s="125"/>
      <c r="LFV175" s="125"/>
      <c r="LFW175" s="125"/>
      <c r="LFX175" s="125"/>
      <c r="LFY175" s="125"/>
      <c r="LFZ175" s="125"/>
      <c r="LGA175" s="125"/>
      <c r="LGB175" s="125"/>
      <c r="LGC175" s="125"/>
      <c r="LGD175" s="125"/>
      <c r="LGE175" s="125"/>
      <c r="LGF175" s="125"/>
      <c r="LGG175" s="125"/>
      <c r="LGH175" s="125"/>
      <c r="LGI175" s="125"/>
      <c r="LGJ175" s="125"/>
      <c r="LGK175" s="125"/>
      <c r="LGL175" s="125"/>
      <c r="LGM175" s="125"/>
      <c r="LGN175" s="125"/>
      <c r="LGO175" s="125"/>
      <c r="LGP175" s="125"/>
      <c r="LGQ175" s="125"/>
      <c r="LGR175" s="125"/>
      <c r="LGS175" s="125"/>
      <c r="LGT175" s="125"/>
      <c r="LGU175" s="125"/>
      <c r="LGV175" s="125"/>
      <c r="LGW175" s="125"/>
      <c r="LGX175" s="125"/>
      <c r="LGY175" s="125"/>
      <c r="LGZ175" s="125"/>
      <c r="LHA175" s="125"/>
      <c r="LHB175" s="125"/>
      <c r="LHC175" s="125"/>
      <c r="LHD175" s="125"/>
      <c r="LHE175" s="125"/>
      <c r="LHF175" s="125"/>
      <c r="LHG175" s="125"/>
      <c r="LHH175" s="125"/>
      <c r="LHI175" s="125"/>
      <c r="LHJ175" s="125"/>
      <c r="LHK175" s="125"/>
      <c r="LHL175" s="125"/>
      <c r="LHM175" s="125"/>
      <c r="LHN175" s="125"/>
      <c r="LHO175" s="125"/>
      <c r="LHP175" s="125"/>
      <c r="LHQ175" s="125"/>
      <c r="LHR175" s="125"/>
      <c r="LHS175" s="125"/>
      <c r="LHT175" s="125"/>
      <c r="LHU175" s="125"/>
      <c r="LHV175" s="125"/>
      <c r="LHW175" s="125"/>
      <c r="LHX175" s="125"/>
      <c r="LHY175" s="125"/>
      <c r="LHZ175" s="125"/>
      <c r="LIA175" s="125"/>
      <c r="LIB175" s="125"/>
      <c r="LIC175" s="125"/>
      <c r="LID175" s="125"/>
      <c r="LIE175" s="125"/>
      <c r="LIF175" s="125"/>
      <c r="LIG175" s="125"/>
      <c r="LIH175" s="125"/>
      <c r="LII175" s="125"/>
      <c r="LIJ175" s="125"/>
      <c r="LIK175" s="125"/>
      <c r="LIL175" s="125"/>
      <c r="LIM175" s="125"/>
      <c r="LIN175" s="125"/>
      <c r="LIO175" s="125"/>
      <c r="LIP175" s="125"/>
      <c r="LIQ175" s="125"/>
      <c r="LIR175" s="125"/>
      <c r="LIS175" s="125"/>
      <c r="LIT175" s="125"/>
      <c r="LIU175" s="125"/>
      <c r="LIV175" s="125"/>
      <c r="LIW175" s="125"/>
      <c r="LIX175" s="125"/>
      <c r="LIY175" s="125"/>
      <c r="LIZ175" s="125"/>
      <c r="LJA175" s="125"/>
      <c r="LJB175" s="125"/>
      <c r="LJC175" s="125"/>
      <c r="LJD175" s="125"/>
      <c r="LJE175" s="125"/>
      <c r="LJF175" s="125"/>
      <c r="LJG175" s="125"/>
      <c r="LJH175" s="125"/>
      <c r="LJI175" s="125"/>
      <c r="LJJ175" s="125"/>
      <c r="LJK175" s="125"/>
      <c r="LJL175" s="125"/>
      <c r="LJM175" s="125"/>
      <c r="LJN175" s="125"/>
      <c r="LJO175" s="125"/>
      <c r="LJP175" s="125"/>
      <c r="LJQ175" s="125"/>
      <c r="LJR175" s="125"/>
      <c r="LJS175" s="125"/>
      <c r="LJT175" s="125"/>
      <c r="LJU175" s="125"/>
      <c r="LJV175" s="125"/>
      <c r="LJW175" s="125"/>
      <c r="LJX175" s="125"/>
      <c r="LJY175" s="125"/>
      <c r="LJZ175" s="125"/>
      <c r="LKA175" s="125"/>
      <c r="LKB175" s="125"/>
      <c r="LKC175" s="125"/>
      <c r="LKD175" s="125"/>
      <c r="LKE175" s="125"/>
      <c r="LKF175" s="125"/>
      <c r="LKG175" s="125"/>
      <c r="LKH175" s="125"/>
      <c r="LKI175" s="125"/>
      <c r="LKJ175" s="125"/>
      <c r="LKK175" s="125"/>
      <c r="LKL175" s="125"/>
      <c r="LKM175" s="125"/>
      <c r="LKN175" s="125"/>
      <c r="LKO175" s="125"/>
      <c r="LKP175" s="125"/>
      <c r="LKQ175" s="125"/>
      <c r="LKR175" s="125"/>
      <c r="LKS175" s="125"/>
      <c r="LKT175" s="125"/>
      <c r="LKU175" s="125"/>
      <c r="LKV175" s="125"/>
      <c r="LKW175" s="125"/>
      <c r="LKX175" s="125"/>
      <c r="LKY175" s="125"/>
      <c r="LKZ175" s="125"/>
      <c r="LLA175" s="125"/>
      <c r="LLB175" s="125"/>
      <c r="LLC175" s="125"/>
      <c r="LLD175" s="125"/>
      <c r="LLE175" s="125"/>
      <c r="LLF175" s="125"/>
      <c r="LLG175" s="125"/>
      <c r="LLH175" s="125"/>
      <c r="LLI175" s="125"/>
      <c r="LLJ175" s="125"/>
      <c r="LLK175" s="125"/>
      <c r="LLL175" s="125"/>
      <c r="LLM175" s="125"/>
      <c r="LLN175" s="125"/>
      <c r="LLO175" s="125"/>
      <c r="LLP175" s="125"/>
      <c r="LLQ175" s="125"/>
      <c r="LLR175" s="125"/>
      <c r="LLS175" s="125"/>
      <c r="LLT175" s="125"/>
      <c r="LLU175" s="125"/>
      <c r="LLV175" s="125"/>
      <c r="LLW175" s="125"/>
      <c r="LLX175" s="125"/>
      <c r="LLY175" s="125"/>
      <c r="LLZ175" s="125"/>
      <c r="LMA175" s="125"/>
      <c r="LMB175" s="125"/>
      <c r="LMC175" s="125"/>
      <c r="LMD175" s="125"/>
      <c r="LME175" s="125"/>
      <c r="LMF175" s="125"/>
      <c r="LMG175" s="125"/>
      <c r="LMH175" s="125"/>
      <c r="LMI175" s="125"/>
      <c r="LMJ175" s="125"/>
      <c r="LMK175" s="125"/>
      <c r="LML175" s="125"/>
      <c r="LMM175" s="125"/>
      <c r="LMN175" s="125"/>
      <c r="LMO175" s="125"/>
      <c r="LMP175" s="125"/>
      <c r="LMQ175" s="125"/>
      <c r="LMR175" s="125"/>
      <c r="LMS175" s="125"/>
      <c r="LMT175" s="125"/>
      <c r="LMU175" s="125"/>
      <c r="LMV175" s="125"/>
      <c r="LMW175" s="125"/>
      <c r="LMX175" s="125"/>
      <c r="LMY175" s="125"/>
      <c r="LMZ175" s="125"/>
      <c r="LNA175" s="125"/>
      <c r="LNB175" s="125"/>
      <c r="LNC175" s="125"/>
      <c r="LND175" s="125"/>
      <c r="LNE175" s="125"/>
      <c r="LNF175" s="125"/>
      <c r="LNG175" s="125"/>
      <c r="LNH175" s="125"/>
      <c r="LNI175" s="125"/>
      <c r="LNJ175" s="125"/>
      <c r="LNK175" s="125"/>
      <c r="LNL175" s="125"/>
      <c r="LNM175" s="125"/>
      <c r="LNN175" s="125"/>
      <c r="LNO175" s="125"/>
      <c r="LNP175" s="125"/>
      <c r="LNQ175" s="125"/>
      <c r="LNR175" s="125"/>
      <c r="LNS175" s="125"/>
      <c r="LNT175" s="125"/>
      <c r="LNU175" s="125"/>
      <c r="LNV175" s="125"/>
      <c r="LNW175" s="125"/>
      <c r="LNX175" s="125"/>
      <c r="LNY175" s="125"/>
      <c r="LNZ175" s="125"/>
      <c r="LOA175" s="125"/>
      <c r="LOB175" s="125"/>
      <c r="LOC175" s="125"/>
      <c r="LOD175" s="125"/>
      <c r="LOE175" s="125"/>
      <c r="LOF175" s="125"/>
      <c r="LOG175" s="125"/>
      <c r="LOH175" s="125"/>
      <c r="LOI175" s="125"/>
      <c r="LOJ175" s="125"/>
      <c r="LOK175" s="125"/>
      <c r="LOL175" s="125"/>
      <c r="LOM175" s="125"/>
      <c r="LON175" s="125"/>
      <c r="LOO175" s="125"/>
      <c r="LOP175" s="125"/>
      <c r="LOQ175" s="125"/>
      <c r="LOR175" s="125"/>
      <c r="LOS175" s="125"/>
      <c r="LOT175" s="125"/>
      <c r="LOU175" s="125"/>
      <c r="LOV175" s="125"/>
      <c r="LOW175" s="125"/>
      <c r="LOX175" s="125"/>
      <c r="LOY175" s="125"/>
      <c r="LOZ175" s="125"/>
      <c r="LPA175" s="125"/>
      <c r="LPB175" s="125"/>
      <c r="LPC175" s="125"/>
      <c r="LPD175" s="125"/>
      <c r="LPE175" s="125"/>
      <c r="LPF175" s="125"/>
      <c r="LPG175" s="125"/>
      <c r="LPH175" s="125"/>
      <c r="LPI175" s="125"/>
      <c r="LPJ175" s="125"/>
      <c r="LPK175" s="125"/>
      <c r="LPL175" s="125"/>
      <c r="LPM175" s="125"/>
      <c r="LPN175" s="125"/>
      <c r="LPO175" s="125"/>
      <c r="LPP175" s="125"/>
      <c r="LPQ175" s="125"/>
      <c r="LPR175" s="125"/>
      <c r="LPS175" s="125"/>
      <c r="LPT175" s="125"/>
      <c r="LPU175" s="125"/>
      <c r="LPV175" s="125"/>
      <c r="LPW175" s="125"/>
      <c r="LPX175" s="125"/>
      <c r="LPY175" s="125"/>
      <c r="LPZ175" s="125"/>
      <c r="LQA175" s="125"/>
      <c r="LQB175" s="125"/>
      <c r="LQC175" s="125"/>
      <c r="LQD175" s="125"/>
      <c r="LQE175" s="125"/>
      <c r="LQF175" s="125"/>
      <c r="LQG175" s="125"/>
      <c r="LQH175" s="125"/>
      <c r="LQI175" s="125"/>
      <c r="LQJ175" s="125"/>
      <c r="LQK175" s="125"/>
      <c r="LQL175" s="125"/>
      <c r="LQM175" s="125"/>
      <c r="LQN175" s="125"/>
      <c r="LQO175" s="125"/>
      <c r="LQP175" s="125"/>
      <c r="LQQ175" s="125"/>
      <c r="LQR175" s="125"/>
      <c r="LQS175" s="125"/>
      <c r="LQT175" s="125"/>
      <c r="LQU175" s="125"/>
      <c r="LQV175" s="125"/>
      <c r="LQW175" s="125"/>
      <c r="LQX175" s="125"/>
      <c r="LQY175" s="125"/>
      <c r="LQZ175" s="125"/>
      <c r="LRA175" s="125"/>
      <c r="LRB175" s="125"/>
      <c r="LRC175" s="125"/>
      <c r="LRD175" s="125"/>
      <c r="LRE175" s="125"/>
      <c r="LRF175" s="125"/>
      <c r="LRG175" s="125"/>
      <c r="LRH175" s="125"/>
      <c r="LRI175" s="125"/>
      <c r="LRJ175" s="125"/>
      <c r="LRK175" s="125"/>
      <c r="LRL175" s="125"/>
      <c r="LRM175" s="125"/>
      <c r="LRN175" s="125"/>
      <c r="LRO175" s="125"/>
      <c r="LRP175" s="125"/>
      <c r="LRQ175" s="125"/>
      <c r="LRR175" s="125"/>
      <c r="LRS175" s="125"/>
      <c r="LRT175" s="125"/>
      <c r="LRU175" s="125"/>
      <c r="LRV175" s="125"/>
      <c r="LRW175" s="125"/>
      <c r="LRX175" s="125"/>
      <c r="LRY175" s="125"/>
      <c r="LRZ175" s="125"/>
      <c r="LSA175" s="125"/>
      <c r="LSB175" s="125"/>
      <c r="LSC175" s="125"/>
      <c r="LSD175" s="125"/>
      <c r="LSE175" s="125"/>
      <c r="LSF175" s="125"/>
      <c r="LSG175" s="125"/>
      <c r="LSH175" s="125"/>
      <c r="LSI175" s="125"/>
      <c r="LSJ175" s="125"/>
      <c r="LSK175" s="125"/>
      <c r="LSL175" s="125"/>
      <c r="LSM175" s="125"/>
      <c r="LSN175" s="125"/>
      <c r="LSO175" s="125"/>
      <c r="LSP175" s="125"/>
      <c r="LSQ175" s="125"/>
      <c r="LSR175" s="125"/>
      <c r="LSS175" s="125"/>
      <c r="LST175" s="125"/>
      <c r="LSU175" s="125"/>
      <c r="LSV175" s="125"/>
      <c r="LSW175" s="125"/>
      <c r="LSX175" s="125"/>
      <c r="LSY175" s="125"/>
      <c r="LSZ175" s="125"/>
      <c r="LTA175" s="125"/>
      <c r="LTB175" s="125"/>
      <c r="LTC175" s="125"/>
      <c r="LTD175" s="125"/>
      <c r="LTE175" s="125"/>
      <c r="LTF175" s="125"/>
      <c r="LTG175" s="125"/>
      <c r="LTH175" s="125"/>
      <c r="LTI175" s="125"/>
      <c r="LTJ175" s="125"/>
      <c r="LTK175" s="125"/>
      <c r="LTL175" s="125"/>
      <c r="LTM175" s="125"/>
      <c r="LTN175" s="125"/>
      <c r="LTO175" s="125"/>
      <c r="LTP175" s="125"/>
      <c r="LTQ175" s="125"/>
      <c r="LTR175" s="125"/>
      <c r="LTS175" s="125"/>
      <c r="LTT175" s="125"/>
      <c r="LTU175" s="125"/>
      <c r="LTV175" s="125"/>
      <c r="LTW175" s="125"/>
      <c r="LTX175" s="125"/>
      <c r="LTY175" s="125"/>
      <c r="LTZ175" s="125"/>
      <c r="LUA175" s="125"/>
      <c r="LUB175" s="125"/>
      <c r="LUC175" s="125"/>
      <c r="LUD175" s="125"/>
      <c r="LUE175" s="125"/>
      <c r="LUF175" s="125"/>
      <c r="LUG175" s="125"/>
      <c r="LUH175" s="125"/>
      <c r="LUI175" s="125"/>
      <c r="LUJ175" s="125"/>
      <c r="LUK175" s="125"/>
      <c r="LUL175" s="125"/>
      <c r="LUM175" s="125"/>
      <c r="LUN175" s="125"/>
      <c r="LUO175" s="125"/>
      <c r="LUP175" s="125"/>
      <c r="LUQ175" s="125"/>
      <c r="LUR175" s="125"/>
      <c r="LUS175" s="125"/>
      <c r="LUT175" s="125"/>
      <c r="LUU175" s="125"/>
      <c r="LUV175" s="125"/>
      <c r="LUW175" s="125"/>
      <c r="LUX175" s="125"/>
      <c r="LUY175" s="125"/>
      <c r="LUZ175" s="125"/>
      <c r="LVA175" s="125"/>
      <c r="LVB175" s="125"/>
      <c r="LVC175" s="125"/>
      <c r="LVD175" s="125"/>
      <c r="LVE175" s="125"/>
      <c r="LVF175" s="125"/>
      <c r="LVG175" s="125"/>
      <c r="LVH175" s="125"/>
      <c r="LVI175" s="125"/>
      <c r="LVJ175" s="125"/>
      <c r="LVK175" s="125"/>
      <c r="LVL175" s="125"/>
      <c r="LVM175" s="125"/>
      <c r="LVN175" s="125"/>
      <c r="LVO175" s="125"/>
      <c r="LVP175" s="125"/>
      <c r="LVQ175" s="125"/>
      <c r="LVR175" s="125"/>
      <c r="LVS175" s="125"/>
      <c r="LVT175" s="125"/>
      <c r="LVU175" s="125"/>
      <c r="LVV175" s="125"/>
      <c r="LVW175" s="125"/>
      <c r="LVX175" s="125"/>
      <c r="LVY175" s="125"/>
      <c r="LVZ175" s="125"/>
      <c r="LWA175" s="125"/>
      <c r="LWB175" s="125"/>
      <c r="LWC175" s="125"/>
      <c r="LWD175" s="125"/>
      <c r="LWE175" s="125"/>
      <c r="LWF175" s="125"/>
      <c r="LWG175" s="125"/>
      <c r="LWH175" s="125"/>
      <c r="LWI175" s="125"/>
      <c r="LWJ175" s="125"/>
      <c r="LWK175" s="125"/>
      <c r="LWL175" s="125"/>
      <c r="LWM175" s="125"/>
      <c r="LWN175" s="125"/>
      <c r="LWO175" s="125"/>
      <c r="LWP175" s="125"/>
      <c r="LWQ175" s="125"/>
      <c r="LWR175" s="125"/>
      <c r="LWS175" s="125"/>
      <c r="LWT175" s="125"/>
      <c r="LWU175" s="125"/>
      <c r="LWV175" s="125"/>
      <c r="LWW175" s="125"/>
      <c r="LWX175" s="125"/>
      <c r="LWY175" s="125"/>
      <c r="LWZ175" s="125"/>
      <c r="LXA175" s="125"/>
      <c r="LXB175" s="125"/>
      <c r="LXC175" s="125"/>
      <c r="LXD175" s="125"/>
      <c r="LXE175" s="125"/>
      <c r="LXF175" s="125"/>
      <c r="LXG175" s="125"/>
      <c r="LXH175" s="125"/>
      <c r="LXI175" s="125"/>
      <c r="LXJ175" s="125"/>
      <c r="LXK175" s="125"/>
      <c r="LXL175" s="125"/>
      <c r="LXM175" s="125"/>
      <c r="LXN175" s="125"/>
      <c r="LXO175" s="125"/>
      <c r="LXP175" s="125"/>
      <c r="LXQ175" s="125"/>
      <c r="LXR175" s="125"/>
      <c r="LXS175" s="125"/>
      <c r="LXT175" s="125"/>
      <c r="LXU175" s="125"/>
      <c r="LXV175" s="125"/>
      <c r="LXW175" s="125"/>
      <c r="LXX175" s="125"/>
      <c r="LXY175" s="125"/>
      <c r="LXZ175" s="125"/>
      <c r="LYA175" s="125"/>
      <c r="LYB175" s="125"/>
      <c r="LYC175" s="125"/>
      <c r="LYD175" s="125"/>
      <c r="LYE175" s="125"/>
      <c r="LYF175" s="125"/>
      <c r="LYG175" s="125"/>
      <c r="LYH175" s="125"/>
      <c r="LYI175" s="125"/>
      <c r="LYJ175" s="125"/>
      <c r="LYK175" s="125"/>
      <c r="LYL175" s="125"/>
      <c r="LYM175" s="125"/>
      <c r="LYN175" s="125"/>
      <c r="LYO175" s="125"/>
      <c r="LYP175" s="125"/>
      <c r="LYQ175" s="125"/>
      <c r="LYR175" s="125"/>
      <c r="LYS175" s="125"/>
      <c r="LYT175" s="125"/>
      <c r="LYU175" s="125"/>
      <c r="LYV175" s="125"/>
      <c r="LYW175" s="125"/>
      <c r="LYX175" s="125"/>
      <c r="LYY175" s="125"/>
      <c r="LYZ175" s="125"/>
      <c r="LZA175" s="125"/>
      <c r="LZB175" s="125"/>
      <c r="LZC175" s="125"/>
      <c r="LZD175" s="125"/>
      <c r="LZE175" s="125"/>
      <c r="LZF175" s="125"/>
      <c r="LZG175" s="125"/>
      <c r="LZH175" s="125"/>
      <c r="LZI175" s="125"/>
      <c r="LZJ175" s="125"/>
      <c r="LZK175" s="125"/>
      <c r="LZL175" s="125"/>
      <c r="LZM175" s="125"/>
      <c r="LZN175" s="125"/>
      <c r="LZO175" s="125"/>
      <c r="LZP175" s="125"/>
      <c r="LZQ175" s="125"/>
      <c r="LZR175" s="125"/>
      <c r="LZS175" s="125"/>
      <c r="LZT175" s="125"/>
      <c r="LZU175" s="125"/>
      <c r="LZV175" s="125"/>
      <c r="LZW175" s="125"/>
      <c r="LZX175" s="125"/>
      <c r="LZY175" s="125"/>
      <c r="LZZ175" s="125"/>
      <c r="MAA175" s="125"/>
      <c r="MAB175" s="125"/>
      <c r="MAC175" s="125"/>
      <c r="MAD175" s="125"/>
      <c r="MAE175" s="125"/>
      <c r="MAF175" s="125"/>
      <c r="MAG175" s="125"/>
      <c r="MAH175" s="125"/>
      <c r="MAI175" s="125"/>
      <c r="MAJ175" s="125"/>
      <c r="MAK175" s="125"/>
      <c r="MAL175" s="125"/>
      <c r="MAM175" s="125"/>
      <c r="MAN175" s="125"/>
      <c r="MAO175" s="125"/>
      <c r="MAP175" s="125"/>
      <c r="MAQ175" s="125"/>
      <c r="MAR175" s="125"/>
      <c r="MAS175" s="125"/>
      <c r="MAT175" s="125"/>
      <c r="MAU175" s="125"/>
      <c r="MAV175" s="125"/>
      <c r="MAW175" s="125"/>
      <c r="MAX175" s="125"/>
      <c r="MAY175" s="125"/>
      <c r="MAZ175" s="125"/>
      <c r="MBA175" s="125"/>
      <c r="MBB175" s="125"/>
      <c r="MBC175" s="125"/>
      <c r="MBD175" s="125"/>
      <c r="MBE175" s="125"/>
      <c r="MBF175" s="125"/>
      <c r="MBG175" s="125"/>
      <c r="MBH175" s="125"/>
      <c r="MBI175" s="125"/>
      <c r="MBJ175" s="125"/>
      <c r="MBK175" s="125"/>
      <c r="MBL175" s="125"/>
      <c r="MBM175" s="125"/>
      <c r="MBN175" s="125"/>
      <c r="MBO175" s="125"/>
      <c r="MBP175" s="125"/>
      <c r="MBQ175" s="125"/>
      <c r="MBR175" s="125"/>
      <c r="MBS175" s="125"/>
      <c r="MBT175" s="125"/>
      <c r="MBU175" s="125"/>
      <c r="MBV175" s="125"/>
      <c r="MBW175" s="125"/>
      <c r="MBX175" s="125"/>
      <c r="MBY175" s="125"/>
      <c r="MBZ175" s="125"/>
      <c r="MCA175" s="125"/>
      <c r="MCB175" s="125"/>
      <c r="MCC175" s="125"/>
      <c r="MCD175" s="125"/>
      <c r="MCE175" s="125"/>
      <c r="MCF175" s="125"/>
      <c r="MCG175" s="125"/>
      <c r="MCH175" s="125"/>
      <c r="MCI175" s="125"/>
      <c r="MCJ175" s="125"/>
      <c r="MCK175" s="125"/>
      <c r="MCL175" s="125"/>
      <c r="MCM175" s="125"/>
      <c r="MCN175" s="125"/>
      <c r="MCO175" s="125"/>
      <c r="MCP175" s="125"/>
      <c r="MCQ175" s="125"/>
      <c r="MCR175" s="125"/>
      <c r="MCS175" s="125"/>
      <c r="MCT175" s="125"/>
      <c r="MCU175" s="125"/>
      <c r="MCV175" s="125"/>
      <c r="MCW175" s="125"/>
      <c r="MCX175" s="125"/>
      <c r="MCY175" s="125"/>
      <c r="MCZ175" s="125"/>
      <c r="MDA175" s="125"/>
      <c r="MDB175" s="125"/>
      <c r="MDC175" s="125"/>
      <c r="MDD175" s="125"/>
      <c r="MDE175" s="125"/>
      <c r="MDF175" s="125"/>
      <c r="MDG175" s="125"/>
      <c r="MDH175" s="125"/>
      <c r="MDI175" s="125"/>
      <c r="MDJ175" s="125"/>
      <c r="MDK175" s="125"/>
      <c r="MDL175" s="125"/>
      <c r="MDM175" s="125"/>
      <c r="MDN175" s="125"/>
      <c r="MDO175" s="125"/>
      <c r="MDP175" s="125"/>
      <c r="MDQ175" s="125"/>
      <c r="MDR175" s="125"/>
      <c r="MDS175" s="125"/>
      <c r="MDT175" s="125"/>
      <c r="MDU175" s="125"/>
      <c r="MDV175" s="125"/>
      <c r="MDW175" s="125"/>
      <c r="MDX175" s="125"/>
      <c r="MDY175" s="125"/>
      <c r="MDZ175" s="125"/>
      <c r="MEA175" s="125"/>
      <c r="MEB175" s="125"/>
      <c r="MEC175" s="125"/>
      <c r="MED175" s="125"/>
      <c r="MEE175" s="125"/>
      <c r="MEF175" s="125"/>
      <c r="MEG175" s="125"/>
      <c r="MEH175" s="125"/>
      <c r="MEI175" s="125"/>
      <c r="MEJ175" s="125"/>
      <c r="MEK175" s="125"/>
      <c r="MEL175" s="125"/>
      <c r="MEM175" s="125"/>
      <c r="MEN175" s="125"/>
      <c r="MEO175" s="125"/>
      <c r="MEP175" s="125"/>
      <c r="MEQ175" s="125"/>
      <c r="MER175" s="125"/>
      <c r="MES175" s="125"/>
      <c r="MET175" s="125"/>
      <c r="MEU175" s="125"/>
      <c r="MEV175" s="125"/>
      <c r="MEW175" s="125"/>
      <c r="MEX175" s="125"/>
      <c r="MEY175" s="125"/>
      <c r="MEZ175" s="125"/>
      <c r="MFA175" s="125"/>
      <c r="MFB175" s="125"/>
      <c r="MFC175" s="125"/>
      <c r="MFD175" s="125"/>
      <c r="MFE175" s="125"/>
      <c r="MFF175" s="125"/>
      <c r="MFG175" s="125"/>
      <c r="MFH175" s="125"/>
      <c r="MFI175" s="125"/>
      <c r="MFJ175" s="125"/>
      <c r="MFK175" s="125"/>
      <c r="MFL175" s="125"/>
      <c r="MFM175" s="125"/>
      <c r="MFN175" s="125"/>
      <c r="MFO175" s="125"/>
      <c r="MFP175" s="125"/>
      <c r="MFQ175" s="125"/>
      <c r="MFR175" s="125"/>
      <c r="MFS175" s="125"/>
      <c r="MFT175" s="125"/>
      <c r="MFU175" s="125"/>
      <c r="MFV175" s="125"/>
      <c r="MFW175" s="125"/>
      <c r="MFX175" s="125"/>
      <c r="MFY175" s="125"/>
      <c r="MFZ175" s="125"/>
      <c r="MGA175" s="125"/>
      <c r="MGB175" s="125"/>
      <c r="MGC175" s="125"/>
      <c r="MGD175" s="125"/>
      <c r="MGE175" s="125"/>
      <c r="MGF175" s="125"/>
      <c r="MGG175" s="125"/>
      <c r="MGH175" s="125"/>
      <c r="MGI175" s="125"/>
      <c r="MGJ175" s="125"/>
      <c r="MGK175" s="125"/>
      <c r="MGL175" s="125"/>
      <c r="MGM175" s="125"/>
      <c r="MGN175" s="125"/>
      <c r="MGO175" s="125"/>
      <c r="MGP175" s="125"/>
      <c r="MGQ175" s="125"/>
      <c r="MGR175" s="125"/>
      <c r="MGS175" s="125"/>
      <c r="MGT175" s="125"/>
      <c r="MGU175" s="125"/>
      <c r="MGV175" s="125"/>
      <c r="MGW175" s="125"/>
      <c r="MGX175" s="125"/>
      <c r="MGY175" s="125"/>
      <c r="MGZ175" s="125"/>
      <c r="MHA175" s="125"/>
      <c r="MHB175" s="125"/>
      <c r="MHC175" s="125"/>
      <c r="MHD175" s="125"/>
      <c r="MHE175" s="125"/>
      <c r="MHF175" s="125"/>
      <c r="MHG175" s="125"/>
      <c r="MHH175" s="125"/>
      <c r="MHI175" s="125"/>
      <c r="MHJ175" s="125"/>
      <c r="MHK175" s="125"/>
      <c r="MHL175" s="125"/>
      <c r="MHM175" s="125"/>
      <c r="MHN175" s="125"/>
      <c r="MHO175" s="125"/>
      <c r="MHP175" s="125"/>
      <c r="MHQ175" s="125"/>
      <c r="MHR175" s="125"/>
      <c r="MHS175" s="125"/>
      <c r="MHT175" s="125"/>
      <c r="MHU175" s="125"/>
      <c r="MHV175" s="125"/>
      <c r="MHW175" s="125"/>
      <c r="MHX175" s="125"/>
      <c r="MHY175" s="125"/>
      <c r="MHZ175" s="125"/>
      <c r="MIA175" s="125"/>
      <c r="MIB175" s="125"/>
      <c r="MIC175" s="125"/>
      <c r="MID175" s="125"/>
      <c r="MIE175" s="125"/>
      <c r="MIF175" s="125"/>
      <c r="MIG175" s="125"/>
      <c r="MIH175" s="125"/>
      <c r="MII175" s="125"/>
      <c r="MIJ175" s="125"/>
      <c r="MIK175" s="125"/>
      <c r="MIL175" s="125"/>
      <c r="MIM175" s="125"/>
      <c r="MIN175" s="125"/>
      <c r="MIO175" s="125"/>
      <c r="MIP175" s="125"/>
      <c r="MIQ175" s="125"/>
      <c r="MIR175" s="125"/>
      <c r="MIS175" s="125"/>
      <c r="MIT175" s="125"/>
      <c r="MIU175" s="125"/>
      <c r="MIV175" s="125"/>
      <c r="MIW175" s="125"/>
      <c r="MIX175" s="125"/>
      <c r="MIY175" s="125"/>
      <c r="MIZ175" s="125"/>
      <c r="MJA175" s="125"/>
      <c r="MJB175" s="125"/>
      <c r="MJC175" s="125"/>
      <c r="MJD175" s="125"/>
      <c r="MJE175" s="125"/>
      <c r="MJF175" s="125"/>
      <c r="MJG175" s="125"/>
      <c r="MJH175" s="125"/>
      <c r="MJI175" s="125"/>
      <c r="MJJ175" s="125"/>
      <c r="MJK175" s="125"/>
      <c r="MJL175" s="125"/>
      <c r="MJM175" s="125"/>
      <c r="MJN175" s="125"/>
      <c r="MJO175" s="125"/>
      <c r="MJP175" s="125"/>
      <c r="MJQ175" s="125"/>
      <c r="MJR175" s="125"/>
      <c r="MJS175" s="125"/>
      <c r="MJT175" s="125"/>
      <c r="MJU175" s="125"/>
      <c r="MJV175" s="125"/>
      <c r="MJW175" s="125"/>
      <c r="MJX175" s="125"/>
      <c r="MJY175" s="125"/>
      <c r="MJZ175" s="125"/>
      <c r="MKA175" s="125"/>
      <c r="MKB175" s="125"/>
      <c r="MKC175" s="125"/>
      <c r="MKD175" s="125"/>
      <c r="MKE175" s="125"/>
      <c r="MKF175" s="125"/>
      <c r="MKG175" s="125"/>
      <c r="MKH175" s="125"/>
      <c r="MKI175" s="125"/>
      <c r="MKJ175" s="125"/>
      <c r="MKK175" s="125"/>
      <c r="MKL175" s="125"/>
      <c r="MKM175" s="125"/>
      <c r="MKN175" s="125"/>
      <c r="MKO175" s="125"/>
      <c r="MKP175" s="125"/>
      <c r="MKQ175" s="125"/>
      <c r="MKR175" s="125"/>
      <c r="MKS175" s="125"/>
      <c r="MKT175" s="125"/>
      <c r="MKU175" s="125"/>
      <c r="MKV175" s="125"/>
      <c r="MKW175" s="125"/>
      <c r="MKX175" s="125"/>
      <c r="MKY175" s="125"/>
      <c r="MKZ175" s="125"/>
      <c r="MLA175" s="125"/>
      <c r="MLB175" s="125"/>
      <c r="MLC175" s="125"/>
      <c r="MLD175" s="125"/>
      <c r="MLE175" s="125"/>
      <c r="MLF175" s="125"/>
      <c r="MLG175" s="125"/>
      <c r="MLH175" s="125"/>
      <c r="MLI175" s="125"/>
      <c r="MLJ175" s="125"/>
      <c r="MLK175" s="125"/>
      <c r="MLL175" s="125"/>
      <c r="MLM175" s="125"/>
      <c r="MLN175" s="125"/>
      <c r="MLO175" s="125"/>
      <c r="MLP175" s="125"/>
      <c r="MLQ175" s="125"/>
      <c r="MLR175" s="125"/>
      <c r="MLS175" s="125"/>
      <c r="MLT175" s="125"/>
      <c r="MLU175" s="125"/>
      <c r="MLV175" s="125"/>
      <c r="MLW175" s="125"/>
      <c r="MLX175" s="125"/>
      <c r="MLY175" s="125"/>
      <c r="MLZ175" s="125"/>
      <c r="MMA175" s="125"/>
      <c r="MMB175" s="125"/>
      <c r="MMC175" s="125"/>
      <c r="MMD175" s="125"/>
      <c r="MME175" s="125"/>
      <c r="MMF175" s="125"/>
      <c r="MMG175" s="125"/>
      <c r="MMH175" s="125"/>
      <c r="MMI175" s="125"/>
      <c r="MMJ175" s="125"/>
      <c r="MMK175" s="125"/>
      <c r="MML175" s="125"/>
      <c r="MMM175" s="125"/>
      <c r="MMN175" s="125"/>
      <c r="MMO175" s="125"/>
      <c r="MMP175" s="125"/>
      <c r="MMQ175" s="125"/>
      <c r="MMR175" s="125"/>
      <c r="MMS175" s="125"/>
      <c r="MMT175" s="125"/>
      <c r="MMU175" s="125"/>
      <c r="MMV175" s="125"/>
      <c r="MMW175" s="125"/>
      <c r="MMX175" s="125"/>
      <c r="MMY175" s="125"/>
      <c r="MMZ175" s="125"/>
      <c r="MNA175" s="125"/>
      <c r="MNB175" s="125"/>
      <c r="MNC175" s="125"/>
      <c r="MND175" s="125"/>
      <c r="MNE175" s="125"/>
      <c r="MNF175" s="125"/>
      <c r="MNG175" s="125"/>
      <c r="MNH175" s="125"/>
      <c r="MNI175" s="125"/>
      <c r="MNJ175" s="125"/>
      <c r="MNK175" s="125"/>
      <c r="MNL175" s="125"/>
      <c r="MNM175" s="125"/>
      <c r="MNN175" s="125"/>
      <c r="MNO175" s="125"/>
      <c r="MNP175" s="125"/>
      <c r="MNQ175" s="125"/>
      <c r="MNR175" s="125"/>
      <c r="MNS175" s="125"/>
      <c r="MNT175" s="125"/>
      <c r="MNU175" s="125"/>
      <c r="MNV175" s="125"/>
      <c r="MNW175" s="125"/>
      <c r="MNX175" s="125"/>
      <c r="MNY175" s="125"/>
      <c r="MNZ175" s="125"/>
      <c r="MOA175" s="125"/>
      <c r="MOB175" s="125"/>
      <c r="MOC175" s="125"/>
      <c r="MOD175" s="125"/>
      <c r="MOE175" s="125"/>
      <c r="MOF175" s="125"/>
      <c r="MOG175" s="125"/>
      <c r="MOH175" s="125"/>
      <c r="MOI175" s="125"/>
      <c r="MOJ175" s="125"/>
      <c r="MOK175" s="125"/>
      <c r="MOL175" s="125"/>
      <c r="MOM175" s="125"/>
      <c r="MON175" s="125"/>
      <c r="MOO175" s="125"/>
      <c r="MOP175" s="125"/>
      <c r="MOQ175" s="125"/>
      <c r="MOR175" s="125"/>
      <c r="MOS175" s="125"/>
      <c r="MOT175" s="125"/>
      <c r="MOU175" s="125"/>
      <c r="MOV175" s="125"/>
      <c r="MOW175" s="125"/>
      <c r="MOX175" s="125"/>
      <c r="MOY175" s="125"/>
      <c r="MOZ175" s="125"/>
      <c r="MPA175" s="125"/>
      <c r="MPB175" s="125"/>
      <c r="MPC175" s="125"/>
      <c r="MPD175" s="125"/>
      <c r="MPE175" s="125"/>
      <c r="MPF175" s="125"/>
      <c r="MPG175" s="125"/>
      <c r="MPH175" s="125"/>
      <c r="MPI175" s="125"/>
      <c r="MPJ175" s="125"/>
      <c r="MPK175" s="125"/>
      <c r="MPL175" s="125"/>
      <c r="MPM175" s="125"/>
      <c r="MPN175" s="125"/>
      <c r="MPO175" s="125"/>
      <c r="MPP175" s="125"/>
      <c r="MPQ175" s="125"/>
      <c r="MPR175" s="125"/>
      <c r="MPS175" s="125"/>
      <c r="MPT175" s="125"/>
      <c r="MPU175" s="125"/>
      <c r="MPV175" s="125"/>
      <c r="MPW175" s="125"/>
      <c r="MPX175" s="125"/>
      <c r="MPY175" s="125"/>
      <c r="MPZ175" s="125"/>
      <c r="MQA175" s="125"/>
      <c r="MQB175" s="125"/>
      <c r="MQC175" s="125"/>
      <c r="MQD175" s="125"/>
      <c r="MQE175" s="125"/>
      <c r="MQF175" s="125"/>
      <c r="MQG175" s="125"/>
      <c r="MQH175" s="125"/>
      <c r="MQI175" s="125"/>
      <c r="MQJ175" s="125"/>
      <c r="MQK175" s="125"/>
      <c r="MQL175" s="125"/>
      <c r="MQM175" s="125"/>
      <c r="MQN175" s="125"/>
      <c r="MQO175" s="125"/>
      <c r="MQP175" s="125"/>
      <c r="MQQ175" s="125"/>
      <c r="MQR175" s="125"/>
      <c r="MQS175" s="125"/>
      <c r="MQT175" s="125"/>
      <c r="MQU175" s="125"/>
      <c r="MQV175" s="125"/>
      <c r="MQW175" s="125"/>
      <c r="MQX175" s="125"/>
      <c r="MQY175" s="125"/>
      <c r="MQZ175" s="125"/>
      <c r="MRA175" s="125"/>
      <c r="MRB175" s="125"/>
      <c r="MRC175" s="125"/>
      <c r="MRD175" s="125"/>
      <c r="MRE175" s="125"/>
      <c r="MRF175" s="125"/>
      <c r="MRG175" s="125"/>
      <c r="MRH175" s="125"/>
      <c r="MRI175" s="125"/>
      <c r="MRJ175" s="125"/>
      <c r="MRK175" s="125"/>
      <c r="MRL175" s="125"/>
      <c r="MRM175" s="125"/>
      <c r="MRN175" s="125"/>
      <c r="MRO175" s="125"/>
      <c r="MRP175" s="125"/>
      <c r="MRQ175" s="125"/>
      <c r="MRR175" s="125"/>
      <c r="MRS175" s="125"/>
      <c r="MRT175" s="125"/>
      <c r="MRU175" s="125"/>
      <c r="MRV175" s="125"/>
      <c r="MRW175" s="125"/>
      <c r="MRX175" s="125"/>
      <c r="MRY175" s="125"/>
      <c r="MRZ175" s="125"/>
      <c r="MSA175" s="125"/>
      <c r="MSB175" s="125"/>
      <c r="MSC175" s="125"/>
      <c r="MSD175" s="125"/>
      <c r="MSE175" s="125"/>
      <c r="MSF175" s="125"/>
      <c r="MSG175" s="125"/>
      <c r="MSH175" s="125"/>
      <c r="MSI175" s="125"/>
      <c r="MSJ175" s="125"/>
      <c r="MSK175" s="125"/>
      <c r="MSL175" s="125"/>
      <c r="MSM175" s="125"/>
      <c r="MSN175" s="125"/>
      <c r="MSO175" s="125"/>
      <c r="MSP175" s="125"/>
      <c r="MSQ175" s="125"/>
      <c r="MSR175" s="125"/>
      <c r="MSS175" s="125"/>
      <c r="MST175" s="125"/>
      <c r="MSU175" s="125"/>
      <c r="MSV175" s="125"/>
      <c r="MSW175" s="125"/>
      <c r="MSX175" s="125"/>
      <c r="MSY175" s="125"/>
      <c r="MSZ175" s="125"/>
      <c r="MTA175" s="125"/>
      <c r="MTB175" s="125"/>
      <c r="MTC175" s="125"/>
      <c r="MTD175" s="125"/>
      <c r="MTE175" s="125"/>
      <c r="MTF175" s="125"/>
      <c r="MTG175" s="125"/>
      <c r="MTH175" s="125"/>
      <c r="MTI175" s="125"/>
      <c r="MTJ175" s="125"/>
      <c r="MTK175" s="125"/>
      <c r="MTL175" s="125"/>
      <c r="MTM175" s="125"/>
      <c r="MTN175" s="125"/>
      <c r="MTO175" s="125"/>
      <c r="MTP175" s="125"/>
      <c r="MTQ175" s="125"/>
      <c r="MTR175" s="125"/>
      <c r="MTS175" s="125"/>
      <c r="MTT175" s="125"/>
      <c r="MTU175" s="125"/>
      <c r="MTV175" s="125"/>
      <c r="MTW175" s="125"/>
      <c r="MTX175" s="125"/>
      <c r="MTY175" s="125"/>
      <c r="MTZ175" s="125"/>
      <c r="MUA175" s="125"/>
      <c r="MUB175" s="125"/>
      <c r="MUC175" s="125"/>
      <c r="MUD175" s="125"/>
      <c r="MUE175" s="125"/>
      <c r="MUF175" s="125"/>
      <c r="MUG175" s="125"/>
      <c r="MUH175" s="125"/>
      <c r="MUI175" s="125"/>
      <c r="MUJ175" s="125"/>
      <c r="MUK175" s="125"/>
      <c r="MUL175" s="125"/>
      <c r="MUM175" s="125"/>
      <c r="MUN175" s="125"/>
      <c r="MUO175" s="125"/>
      <c r="MUP175" s="125"/>
      <c r="MUQ175" s="125"/>
      <c r="MUR175" s="125"/>
      <c r="MUS175" s="125"/>
      <c r="MUT175" s="125"/>
      <c r="MUU175" s="125"/>
      <c r="MUV175" s="125"/>
      <c r="MUW175" s="125"/>
      <c r="MUX175" s="125"/>
      <c r="MUY175" s="125"/>
      <c r="MUZ175" s="125"/>
      <c r="MVA175" s="125"/>
      <c r="MVB175" s="125"/>
      <c r="MVC175" s="125"/>
      <c r="MVD175" s="125"/>
      <c r="MVE175" s="125"/>
      <c r="MVF175" s="125"/>
      <c r="MVG175" s="125"/>
      <c r="MVH175" s="125"/>
      <c r="MVI175" s="125"/>
      <c r="MVJ175" s="125"/>
      <c r="MVK175" s="125"/>
      <c r="MVL175" s="125"/>
      <c r="MVM175" s="125"/>
      <c r="MVN175" s="125"/>
      <c r="MVO175" s="125"/>
      <c r="MVP175" s="125"/>
      <c r="MVQ175" s="125"/>
      <c r="MVR175" s="125"/>
      <c r="MVS175" s="125"/>
      <c r="MVT175" s="125"/>
      <c r="MVU175" s="125"/>
      <c r="MVV175" s="125"/>
      <c r="MVW175" s="125"/>
      <c r="MVX175" s="125"/>
      <c r="MVY175" s="125"/>
      <c r="MVZ175" s="125"/>
      <c r="MWA175" s="125"/>
      <c r="MWB175" s="125"/>
      <c r="MWC175" s="125"/>
      <c r="MWD175" s="125"/>
      <c r="MWE175" s="125"/>
      <c r="MWF175" s="125"/>
      <c r="MWG175" s="125"/>
      <c r="MWH175" s="125"/>
      <c r="MWI175" s="125"/>
      <c r="MWJ175" s="125"/>
      <c r="MWK175" s="125"/>
      <c r="MWL175" s="125"/>
      <c r="MWM175" s="125"/>
      <c r="MWN175" s="125"/>
      <c r="MWO175" s="125"/>
      <c r="MWP175" s="125"/>
      <c r="MWQ175" s="125"/>
      <c r="MWR175" s="125"/>
      <c r="MWS175" s="125"/>
      <c r="MWT175" s="125"/>
      <c r="MWU175" s="125"/>
      <c r="MWV175" s="125"/>
      <c r="MWW175" s="125"/>
      <c r="MWX175" s="125"/>
      <c r="MWY175" s="125"/>
      <c r="MWZ175" s="125"/>
      <c r="MXA175" s="125"/>
      <c r="MXB175" s="125"/>
      <c r="MXC175" s="125"/>
      <c r="MXD175" s="125"/>
      <c r="MXE175" s="125"/>
      <c r="MXF175" s="125"/>
      <c r="MXG175" s="125"/>
      <c r="MXH175" s="125"/>
      <c r="MXI175" s="125"/>
      <c r="MXJ175" s="125"/>
      <c r="MXK175" s="125"/>
      <c r="MXL175" s="125"/>
      <c r="MXM175" s="125"/>
      <c r="MXN175" s="125"/>
      <c r="MXO175" s="125"/>
      <c r="MXP175" s="125"/>
      <c r="MXQ175" s="125"/>
      <c r="MXR175" s="125"/>
      <c r="MXS175" s="125"/>
      <c r="MXT175" s="125"/>
      <c r="MXU175" s="125"/>
      <c r="MXV175" s="125"/>
      <c r="MXW175" s="125"/>
      <c r="MXX175" s="125"/>
      <c r="MXY175" s="125"/>
      <c r="MXZ175" s="125"/>
      <c r="MYA175" s="125"/>
      <c r="MYB175" s="125"/>
      <c r="MYC175" s="125"/>
      <c r="MYD175" s="125"/>
      <c r="MYE175" s="125"/>
      <c r="MYF175" s="125"/>
      <c r="MYG175" s="125"/>
      <c r="MYH175" s="125"/>
      <c r="MYI175" s="125"/>
      <c r="MYJ175" s="125"/>
      <c r="MYK175" s="125"/>
      <c r="MYL175" s="125"/>
      <c r="MYM175" s="125"/>
      <c r="MYN175" s="125"/>
      <c r="MYO175" s="125"/>
      <c r="MYP175" s="125"/>
      <c r="MYQ175" s="125"/>
      <c r="MYR175" s="125"/>
      <c r="MYS175" s="125"/>
      <c r="MYT175" s="125"/>
      <c r="MYU175" s="125"/>
      <c r="MYV175" s="125"/>
      <c r="MYW175" s="125"/>
      <c r="MYX175" s="125"/>
      <c r="MYY175" s="125"/>
      <c r="MYZ175" s="125"/>
      <c r="MZA175" s="125"/>
      <c r="MZB175" s="125"/>
      <c r="MZC175" s="125"/>
      <c r="MZD175" s="125"/>
      <c r="MZE175" s="125"/>
      <c r="MZF175" s="125"/>
      <c r="MZG175" s="125"/>
      <c r="MZH175" s="125"/>
      <c r="MZI175" s="125"/>
      <c r="MZJ175" s="125"/>
      <c r="MZK175" s="125"/>
      <c r="MZL175" s="125"/>
      <c r="MZM175" s="125"/>
      <c r="MZN175" s="125"/>
      <c r="MZO175" s="125"/>
      <c r="MZP175" s="125"/>
      <c r="MZQ175" s="125"/>
      <c r="MZR175" s="125"/>
      <c r="MZS175" s="125"/>
      <c r="MZT175" s="125"/>
      <c r="MZU175" s="125"/>
      <c r="MZV175" s="125"/>
      <c r="MZW175" s="125"/>
      <c r="MZX175" s="125"/>
      <c r="MZY175" s="125"/>
      <c r="MZZ175" s="125"/>
      <c r="NAA175" s="125"/>
      <c r="NAB175" s="125"/>
      <c r="NAC175" s="125"/>
      <c r="NAD175" s="125"/>
      <c r="NAE175" s="125"/>
      <c r="NAF175" s="125"/>
      <c r="NAG175" s="125"/>
      <c r="NAH175" s="125"/>
      <c r="NAI175" s="125"/>
      <c r="NAJ175" s="125"/>
      <c r="NAK175" s="125"/>
      <c r="NAL175" s="125"/>
      <c r="NAM175" s="125"/>
      <c r="NAN175" s="125"/>
      <c r="NAO175" s="125"/>
      <c r="NAP175" s="125"/>
      <c r="NAQ175" s="125"/>
      <c r="NAR175" s="125"/>
      <c r="NAS175" s="125"/>
      <c r="NAT175" s="125"/>
      <c r="NAU175" s="125"/>
      <c r="NAV175" s="125"/>
      <c r="NAW175" s="125"/>
      <c r="NAX175" s="125"/>
      <c r="NAY175" s="125"/>
      <c r="NAZ175" s="125"/>
      <c r="NBA175" s="125"/>
      <c r="NBB175" s="125"/>
      <c r="NBC175" s="125"/>
      <c r="NBD175" s="125"/>
      <c r="NBE175" s="125"/>
      <c r="NBF175" s="125"/>
      <c r="NBG175" s="125"/>
      <c r="NBH175" s="125"/>
      <c r="NBI175" s="125"/>
      <c r="NBJ175" s="125"/>
      <c r="NBK175" s="125"/>
      <c r="NBL175" s="125"/>
      <c r="NBM175" s="125"/>
      <c r="NBN175" s="125"/>
      <c r="NBO175" s="125"/>
      <c r="NBP175" s="125"/>
      <c r="NBQ175" s="125"/>
      <c r="NBR175" s="125"/>
      <c r="NBS175" s="125"/>
      <c r="NBT175" s="125"/>
      <c r="NBU175" s="125"/>
      <c r="NBV175" s="125"/>
      <c r="NBW175" s="125"/>
      <c r="NBX175" s="125"/>
      <c r="NBY175" s="125"/>
      <c r="NBZ175" s="125"/>
      <c r="NCA175" s="125"/>
      <c r="NCB175" s="125"/>
      <c r="NCC175" s="125"/>
      <c r="NCD175" s="125"/>
      <c r="NCE175" s="125"/>
      <c r="NCF175" s="125"/>
      <c r="NCG175" s="125"/>
      <c r="NCH175" s="125"/>
      <c r="NCI175" s="125"/>
      <c r="NCJ175" s="125"/>
      <c r="NCK175" s="125"/>
      <c r="NCL175" s="125"/>
      <c r="NCM175" s="125"/>
      <c r="NCN175" s="125"/>
      <c r="NCO175" s="125"/>
      <c r="NCP175" s="125"/>
      <c r="NCQ175" s="125"/>
      <c r="NCR175" s="125"/>
      <c r="NCS175" s="125"/>
      <c r="NCT175" s="125"/>
      <c r="NCU175" s="125"/>
      <c r="NCV175" s="125"/>
      <c r="NCW175" s="125"/>
      <c r="NCX175" s="125"/>
      <c r="NCY175" s="125"/>
      <c r="NCZ175" s="125"/>
      <c r="NDA175" s="125"/>
      <c r="NDB175" s="125"/>
      <c r="NDC175" s="125"/>
      <c r="NDD175" s="125"/>
      <c r="NDE175" s="125"/>
      <c r="NDF175" s="125"/>
      <c r="NDG175" s="125"/>
      <c r="NDH175" s="125"/>
      <c r="NDI175" s="125"/>
      <c r="NDJ175" s="125"/>
      <c r="NDK175" s="125"/>
      <c r="NDL175" s="125"/>
      <c r="NDM175" s="125"/>
      <c r="NDN175" s="125"/>
      <c r="NDO175" s="125"/>
      <c r="NDP175" s="125"/>
      <c r="NDQ175" s="125"/>
      <c r="NDR175" s="125"/>
      <c r="NDS175" s="125"/>
      <c r="NDT175" s="125"/>
      <c r="NDU175" s="125"/>
      <c r="NDV175" s="125"/>
      <c r="NDW175" s="125"/>
      <c r="NDX175" s="125"/>
      <c r="NDY175" s="125"/>
      <c r="NDZ175" s="125"/>
      <c r="NEA175" s="125"/>
      <c r="NEB175" s="125"/>
      <c r="NEC175" s="125"/>
      <c r="NED175" s="125"/>
      <c r="NEE175" s="125"/>
      <c r="NEF175" s="125"/>
      <c r="NEG175" s="125"/>
      <c r="NEH175" s="125"/>
      <c r="NEI175" s="125"/>
      <c r="NEJ175" s="125"/>
      <c r="NEK175" s="125"/>
      <c r="NEL175" s="125"/>
      <c r="NEM175" s="125"/>
      <c r="NEN175" s="125"/>
      <c r="NEO175" s="125"/>
      <c r="NEP175" s="125"/>
      <c r="NEQ175" s="125"/>
      <c r="NER175" s="125"/>
      <c r="NES175" s="125"/>
      <c r="NET175" s="125"/>
      <c r="NEU175" s="125"/>
      <c r="NEV175" s="125"/>
      <c r="NEW175" s="125"/>
      <c r="NEX175" s="125"/>
      <c r="NEY175" s="125"/>
      <c r="NEZ175" s="125"/>
      <c r="NFA175" s="125"/>
      <c r="NFB175" s="125"/>
      <c r="NFC175" s="125"/>
      <c r="NFD175" s="125"/>
      <c r="NFE175" s="125"/>
      <c r="NFF175" s="125"/>
      <c r="NFG175" s="125"/>
      <c r="NFH175" s="125"/>
      <c r="NFI175" s="125"/>
      <c r="NFJ175" s="125"/>
      <c r="NFK175" s="125"/>
      <c r="NFL175" s="125"/>
      <c r="NFM175" s="125"/>
      <c r="NFN175" s="125"/>
      <c r="NFO175" s="125"/>
      <c r="NFP175" s="125"/>
      <c r="NFQ175" s="125"/>
      <c r="NFR175" s="125"/>
      <c r="NFS175" s="125"/>
      <c r="NFT175" s="125"/>
      <c r="NFU175" s="125"/>
      <c r="NFV175" s="125"/>
      <c r="NFW175" s="125"/>
      <c r="NFX175" s="125"/>
      <c r="NFY175" s="125"/>
      <c r="NFZ175" s="125"/>
      <c r="NGA175" s="125"/>
      <c r="NGB175" s="125"/>
      <c r="NGC175" s="125"/>
      <c r="NGD175" s="125"/>
      <c r="NGE175" s="125"/>
      <c r="NGF175" s="125"/>
      <c r="NGG175" s="125"/>
      <c r="NGH175" s="125"/>
      <c r="NGI175" s="125"/>
      <c r="NGJ175" s="125"/>
      <c r="NGK175" s="125"/>
      <c r="NGL175" s="125"/>
      <c r="NGM175" s="125"/>
      <c r="NGN175" s="125"/>
      <c r="NGO175" s="125"/>
      <c r="NGP175" s="125"/>
      <c r="NGQ175" s="125"/>
      <c r="NGR175" s="125"/>
      <c r="NGS175" s="125"/>
      <c r="NGT175" s="125"/>
      <c r="NGU175" s="125"/>
      <c r="NGV175" s="125"/>
      <c r="NGW175" s="125"/>
      <c r="NGX175" s="125"/>
      <c r="NGY175" s="125"/>
      <c r="NGZ175" s="125"/>
      <c r="NHA175" s="125"/>
      <c r="NHB175" s="125"/>
      <c r="NHC175" s="125"/>
      <c r="NHD175" s="125"/>
      <c r="NHE175" s="125"/>
      <c r="NHF175" s="125"/>
      <c r="NHG175" s="125"/>
      <c r="NHH175" s="125"/>
      <c r="NHI175" s="125"/>
      <c r="NHJ175" s="125"/>
      <c r="NHK175" s="125"/>
      <c r="NHL175" s="125"/>
      <c r="NHM175" s="125"/>
      <c r="NHN175" s="125"/>
      <c r="NHO175" s="125"/>
      <c r="NHP175" s="125"/>
      <c r="NHQ175" s="125"/>
      <c r="NHR175" s="125"/>
      <c r="NHS175" s="125"/>
      <c r="NHT175" s="125"/>
      <c r="NHU175" s="125"/>
      <c r="NHV175" s="125"/>
      <c r="NHW175" s="125"/>
      <c r="NHX175" s="125"/>
      <c r="NHY175" s="125"/>
      <c r="NHZ175" s="125"/>
      <c r="NIA175" s="125"/>
      <c r="NIB175" s="125"/>
      <c r="NIC175" s="125"/>
      <c r="NID175" s="125"/>
      <c r="NIE175" s="125"/>
      <c r="NIF175" s="125"/>
      <c r="NIG175" s="125"/>
      <c r="NIH175" s="125"/>
      <c r="NII175" s="125"/>
      <c r="NIJ175" s="125"/>
      <c r="NIK175" s="125"/>
      <c r="NIL175" s="125"/>
      <c r="NIM175" s="125"/>
      <c r="NIN175" s="125"/>
      <c r="NIO175" s="125"/>
      <c r="NIP175" s="125"/>
      <c r="NIQ175" s="125"/>
      <c r="NIR175" s="125"/>
      <c r="NIS175" s="125"/>
      <c r="NIT175" s="125"/>
      <c r="NIU175" s="125"/>
      <c r="NIV175" s="125"/>
      <c r="NIW175" s="125"/>
      <c r="NIX175" s="125"/>
      <c r="NIY175" s="125"/>
      <c r="NIZ175" s="125"/>
      <c r="NJA175" s="125"/>
      <c r="NJB175" s="125"/>
      <c r="NJC175" s="125"/>
      <c r="NJD175" s="125"/>
      <c r="NJE175" s="125"/>
      <c r="NJF175" s="125"/>
      <c r="NJG175" s="125"/>
      <c r="NJH175" s="125"/>
      <c r="NJI175" s="125"/>
      <c r="NJJ175" s="125"/>
      <c r="NJK175" s="125"/>
      <c r="NJL175" s="125"/>
      <c r="NJM175" s="125"/>
      <c r="NJN175" s="125"/>
      <c r="NJO175" s="125"/>
      <c r="NJP175" s="125"/>
      <c r="NJQ175" s="125"/>
      <c r="NJR175" s="125"/>
      <c r="NJS175" s="125"/>
      <c r="NJT175" s="125"/>
      <c r="NJU175" s="125"/>
      <c r="NJV175" s="125"/>
      <c r="NJW175" s="125"/>
      <c r="NJX175" s="125"/>
      <c r="NJY175" s="125"/>
      <c r="NJZ175" s="125"/>
      <c r="NKA175" s="125"/>
      <c r="NKB175" s="125"/>
      <c r="NKC175" s="125"/>
      <c r="NKD175" s="125"/>
      <c r="NKE175" s="125"/>
      <c r="NKF175" s="125"/>
      <c r="NKG175" s="125"/>
      <c r="NKH175" s="125"/>
      <c r="NKI175" s="125"/>
      <c r="NKJ175" s="125"/>
      <c r="NKK175" s="125"/>
      <c r="NKL175" s="125"/>
      <c r="NKM175" s="125"/>
      <c r="NKN175" s="125"/>
      <c r="NKO175" s="125"/>
      <c r="NKP175" s="125"/>
      <c r="NKQ175" s="125"/>
      <c r="NKR175" s="125"/>
      <c r="NKS175" s="125"/>
      <c r="NKT175" s="125"/>
      <c r="NKU175" s="125"/>
      <c r="NKV175" s="125"/>
      <c r="NKW175" s="125"/>
      <c r="NKX175" s="125"/>
      <c r="NKY175" s="125"/>
      <c r="NKZ175" s="125"/>
      <c r="NLA175" s="125"/>
      <c r="NLB175" s="125"/>
      <c r="NLC175" s="125"/>
      <c r="NLD175" s="125"/>
      <c r="NLE175" s="125"/>
      <c r="NLF175" s="125"/>
      <c r="NLG175" s="125"/>
      <c r="NLH175" s="125"/>
      <c r="NLI175" s="125"/>
      <c r="NLJ175" s="125"/>
      <c r="NLK175" s="125"/>
      <c r="NLL175" s="125"/>
      <c r="NLM175" s="125"/>
      <c r="NLN175" s="125"/>
      <c r="NLO175" s="125"/>
      <c r="NLP175" s="125"/>
      <c r="NLQ175" s="125"/>
      <c r="NLR175" s="125"/>
      <c r="NLS175" s="125"/>
      <c r="NLT175" s="125"/>
      <c r="NLU175" s="125"/>
      <c r="NLV175" s="125"/>
      <c r="NLW175" s="125"/>
      <c r="NLX175" s="125"/>
      <c r="NLY175" s="125"/>
      <c r="NLZ175" s="125"/>
      <c r="NMA175" s="125"/>
      <c r="NMB175" s="125"/>
      <c r="NMC175" s="125"/>
      <c r="NMD175" s="125"/>
      <c r="NME175" s="125"/>
      <c r="NMF175" s="125"/>
      <c r="NMG175" s="125"/>
      <c r="NMH175" s="125"/>
      <c r="NMI175" s="125"/>
      <c r="NMJ175" s="125"/>
      <c r="NMK175" s="125"/>
      <c r="NML175" s="125"/>
      <c r="NMM175" s="125"/>
      <c r="NMN175" s="125"/>
      <c r="NMO175" s="125"/>
      <c r="NMP175" s="125"/>
      <c r="NMQ175" s="125"/>
      <c r="NMR175" s="125"/>
      <c r="NMS175" s="125"/>
      <c r="NMT175" s="125"/>
      <c r="NMU175" s="125"/>
      <c r="NMV175" s="125"/>
      <c r="NMW175" s="125"/>
      <c r="NMX175" s="125"/>
      <c r="NMY175" s="125"/>
      <c r="NMZ175" s="125"/>
      <c r="NNA175" s="125"/>
      <c r="NNB175" s="125"/>
      <c r="NNC175" s="125"/>
      <c r="NND175" s="125"/>
      <c r="NNE175" s="125"/>
      <c r="NNF175" s="125"/>
      <c r="NNG175" s="125"/>
      <c r="NNH175" s="125"/>
      <c r="NNI175" s="125"/>
      <c r="NNJ175" s="125"/>
      <c r="NNK175" s="125"/>
      <c r="NNL175" s="125"/>
      <c r="NNM175" s="125"/>
      <c r="NNN175" s="125"/>
      <c r="NNO175" s="125"/>
      <c r="NNP175" s="125"/>
      <c r="NNQ175" s="125"/>
      <c r="NNR175" s="125"/>
      <c r="NNS175" s="125"/>
      <c r="NNT175" s="125"/>
      <c r="NNU175" s="125"/>
      <c r="NNV175" s="125"/>
      <c r="NNW175" s="125"/>
      <c r="NNX175" s="125"/>
      <c r="NNY175" s="125"/>
      <c r="NNZ175" s="125"/>
      <c r="NOA175" s="125"/>
      <c r="NOB175" s="125"/>
      <c r="NOC175" s="125"/>
      <c r="NOD175" s="125"/>
      <c r="NOE175" s="125"/>
      <c r="NOF175" s="125"/>
      <c r="NOG175" s="125"/>
      <c r="NOH175" s="125"/>
      <c r="NOI175" s="125"/>
      <c r="NOJ175" s="125"/>
      <c r="NOK175" s="125"/>
      <c r="NOL175" s="125"/>
      <c r="NOM175" s="125"/>
      <c r="NON175" s="125"/>
      <c r="NOO175" s="125"/>
      <c r="NOP175" s="125"/>
      <c r="NOQ175" s="125"/>
      <c r="NOR175" s="125"/>
      <c r="NOS175" s="125"/>
      <c r="NOT175" s="125"/>
      <c r="NOU175" s="125"/>
      <c r="NOV175" s="125"/>
      <c r="NOW175" s="125"/>
      <c r="NOX175" s="125"/>
      <c r="NOY175" s="125"/>
      <c r="NOZ175" s="125"/>
      <c r="NPA175" s="125"/>
      <c r="NPB175" s="125"/>
      <c r="NPC175" s="125"/>
      <c r="NPD175" s="125"/>
      <c r="NPE175" s="125"/>
      <c r="NPF175" s="125"/>
      <c r="NPG175" s="125"/>
      <c r="NPH175" s="125"/>
      <c r="NPI175" s="125"/>
      <c r="NPJ175" s="125"/>
      <c r="NPK175" s="125"/>
      <c r="NPL175" s="125"/>
      <c r="NPM175" s="125"/>
      <c r="NPN175" s="125"/>
      <c r="NPO175" s="125"/>
      <c r="NPP175" s="125"/>
      <c r="NPQ175" s="125"/>
      <c r="NPR175" s="125"/>
      <c r="NPS175" s="125"/>
      <c r="NPT175" s="125"/>
      <c r="NPU175" s="125"/>
      <c r="NPV175" s="125"/>
      <c r="NPW175" s="125"/>
      <c r="NPX175" s="125"/>
      <c r="NPY175" s="125"/>
      <c r="NPZ175" s="125"/>
      <c r="NQA175" s="125"/>
      <c r="NQB175" s="125"/>
      <c r="NQC175" s="125"/>
      <c r="NQD175" s="125"/>
      <c r="NQE175" s="125"/>
      <c r="NQF175" s="125"/>
      <c r="NQG175" s="125"/>
      <c r="NQH175" s="125"/>
      <c r="NQI175" s="125"/>
      <c r="NQJ175" s="125"/>
      <c r="NQK175" s="125"/>
      <c r="NQL175" s="125"/>
      <c r="NQM175" s="125"/>
      <c r="NQN175" s="125"/>
      <c r="NQO175" s="125"/>
      <c r="NQP175" s="125"/>
      <c r="NQQ175" s="125"/>
      <c r="NQR175" s="125"/>
      <c r="NQS175" s="125"/>
      <c r="NQT175" s="125"/>
      <c r="NQU175" s="125"/>
      <c r="NQV175" s="125"/>
      <c r="NQW175" s="125"/>
      <c r="NQX175" s="125"/>
      <c r="NQY175" s="125"/>
      <c r="NQZ175" s="125"/>
      <c r="NRA175" s="125"/>
      <c r="NRB175" s="125"/>
      <c r="NRC175" s="125"/>
      <c r="NRD175" s="125"/>
      <c r="NRE175" s="125"/>
      <c r="NRF175" s="125"/>
      <c r="NRG175" s="125"/>
      <c r="NRH175" s="125"/>
      <c r="NRI175" s="125"/>
      <c r="NRJ175" s="125"/>
      <c r="NRK175" s="125"/>
      <c r="NRL175" s="125"/>
      <c r="NRM175" s="125"/>
      <c r="NRN175" s="125"/>
      <c r="NRO175" s="125"/>
      <c r="NRP175" s="125"/>
      <c r="NRQ175" s="125"/>
      <c r="NRR175" s="125"/>
      <c r="NRS175" s="125"/>
      <c r="NRT175" s="125"/>
      <c r="NRU175" s="125"/>
      <c r="NRV175" s="125"/>
      <c r="NRW175" s="125"/>
      <c r="NRX175" s="125"/>
      <c r="NRY175" s="125"/>
      <c r="NRZ175" s="125"/>
      <c r="NSA175" s="125"/>
      <c r="NSB175" s="125"/>
      <c r="NSC175" s="125"/>
      <c r="NSD175" s="125"/>
      <c r="NSE175" s="125"/>
      <c r="NSF175" s="125"/>
      <c r="NSG175" s="125"/>
      <c r="NSH175" s="125"/>
      <c r="NSI175" s="125"/>
      <c r="NSJ175" s="125"/>
      <c r="NSK175" s="125"/>
      <c r="NSL175" s="125"/>
      <c r="NSM175" s="125"/>
      <c r="NSN175" s="125"/>
      <c r="NSO175" s="125"/>
      <c r="NSP175" s="125"/>
      <c r="NSQ175" s="125"/>
      <c r="NSR175" s="125"/>
      <c r="NSS175" s="125"/>
      <c r="NST175" s="125"/>
      <c r="NSU175" s="125"/>
      <c r="NSV175" s="125"/>
      <c r="NSW175" s="125"/>
      <c r="NSX175" s="125"/>
      <c r="NSY175" s="125"/>
      <c r="NSZ175" s="125"/>
      <c r="NTA175" s="125"/>
      <c r="NTB175" s="125"/>
      <c r="NTC175" s="125"/>
      <c r="NTD175" s="125"/>
      <c r="NTE175" s="125"/>
      <c r="NTF175" s="125"/>
      <c r="NTG175" s="125"/>
      <c r="NTH175" s="125"/>
      <c r="NTI175" s="125"/>
      <c r="NTJ175" s="125"/>
      <c r="NTK175" s="125"/>
      <c r="NTL175" s="125"/>
      <c r="NTM175" s="125"/>
      <c r="NTN175" s="125"/>
      <c r="NTO175" s="125"/>
      <c r="NTP175" s="125"/>
      <c r="NTQ175" s="125"/>
      <c r="NTR175" s="125"/>
      <c r="NTS175" s="125"/>
      <c r="NTT175" s="125"/>
      <c r="NTU175" s="125"/>
      <c r="NTV175" s="125"/>
      <c r="NTW175" s="125"/>
      <c r="NTX175" s="125"/>
      <c r="NTY175" s="125"/>
      <c r="NTZ175" s="125"/>
      <c r="NUA175" s="125"/>
      <c r="NUB175" s="125"/>
      <c r="NUC175" s="125"/>
      <c r="NUD175" s="125"/>
      <c r="NUE175" s="125"/>
      <c r="NUF175" s="125"/>
      <c r="NUG175" s="125"/>
      <c r="NUH175" s="125"/>
      <c r="NUI175" s="125"/>
      <c r="NUJ175" s="125"/>
      <c r="NUK175" s="125"/>
      <c r="NUL175" s="125"/>
      <c r="NUM175" s="125"/>
      <c r="NUN175" s="125"/>
      <c r="NUO175" s="125"/>
      <c r="NUP175" s="125"/>
      <c r="NUQ175" s="125"/>
      <c r="NUR175" s="125"/>
      <c r="NUS175" s="125"/>
      <c r="NUT175" s="125"/>
      <c r="NUU175" s="125"/>
      <c r="NUV175" s="125"/>
      <c r="NUW175" s="125"/>
      <c r="NUX175" s="125"/>
      <c r="NUY175" s="125"/>
      <c r="NUZ175" s="125"/>
      <c r="NVA175" s="125"/>
      <c r="NVB175" s="125"/>
      <c r="NVC175" s="125"/>
      <c r="NVD175" s="125"/>
      <c r="NVE175" s="125"/>
      <c r="NVF175" s="125"/>
      <c r="NVG175" s="125"/>
      <c r="NVH175" s="125"/>
      <c r="NVI175" s="125"/>
      <c r="NVJ175" s="125"/>
      <c r="NVK175" s="125"/>
      <c r="NVL175" s="125"/>
      <c r="NVM175" s="125"/>
      <c r="NVN175" s="125"/>
      <c r="NVO175" s="125"/>
      <c r="NVP175" s="125"/>
      <c r="NVQ175" s="125"/>
      <c r="NVR175" s="125"/>
      <c r="NVS175" s="125"/>
      <c r="NVT175" s="125"/>
      <c r="NVU175" s="125"/>
      <c r="NVV175" s="125"/>
      <c r="NVW175" s="125"/>
      <c r="NVX175" s="125"/>
      <c r="NVY175" s="125"/>
      <c r="NVZ175" s="125"/>
      <c r="NWA175" s="125"/>
      <c r="NWB175" s="125"/>
      <c r="NWC175" s="125"/>
      <c r="NWD175" s="125"/>
      <c r="NWE175" s="125"/>
      <c r="NWF175" s="125"/>
      <c r="NWG175" s="125"/>
      <c r="NWH175" s="125"/>
      <c r="NWI175" s="125"/>
      <c r="NWJ175" s="125"/>
      <c r="NWK175" s="125"/>
      <c r="NWL175" s="125"/>
      <c r="NWM175" s="125"/>
      <c r="NWN175" s="125"/>
      <c r="NWO175" s="125"/>
      <c r="NWP175" s="125"/>
      <c r="NWQ175" s="125"/>
      <c r="NWR175" s="125"/>
      <c r="NWS175" s="125"/>
      <c r="NWT175" s="125"/>
      <c r="NWU175" s="125"/>
      <c r="NWV175" s="125"/>
      <c r="NWW175" s="125"/>
      <c r="NWX175" s="125"/>
      <c r="NWY175" s="125"/>
      <c r="NWZ175" s="125"/>
      <c r="NXA175" s="125"/>
      <c r="NXB175" s="125"/>
      <c r="NXC175" s="125"/>
      <c r="NXD175" s="125"/>
      <c r="NXE175" s="125"/>
      <c r="NXF175" s="125"/>
      <c r="NXG175" s="125"/>
      <c r="NXH175" s="125"/>
      <c r="NXI175" s="125"/>
      <c r="NXJ175" s="125"/>
      <c r="NXK175" s="125"/>
      <c r="NXL175" s="125"/>
      <c r="NXM175" s="125"/>
      <c r="NXN175" s="125"/>
      <c r="NXO175" s="125"/>
      <c r="NXP175" s="125"/>
      <c r="NXQ175" s="125"/>
      <c r="NXR175" s="125"/>
      <c r="NXS175" s="125"/>
      <c r="NXT175" s="125"/>
      <c r="NXU175" s="125"/>
      <c r="NXV175" s="125"/>
      <c r="NXW175" s="125"/>
      <c r="NXX175" s="125"/>
      <c r="NXY175" s="125"/>
      <c r="NXZ175" s="125"/>
      <c r="NYA175" s="125"/>
      <c r="NYB175" s="125"/>
      <c r="NYC175" s="125"/>
      <c r="NYD175" s="125"/>
      <c r="NYE175" s="125"/>
      <c r="NYF175" s="125"/>
      <c r="NYG175" s="125"/>
      <c r="NYH175" s="125"/>
      <c r="NYI175" s="125"/>
      <c r="NYJ175" s="125"/>
      <c r="NYK175" s="125"/>
      <c r="NYL175" s="125"/>
      <c r="NYM175" s="125"/>
      <c r="NYN175" s="125"/>
      <c r="NYO175" s="125"/>
      <c r="NYP175" s="125"/>
      <c r="NYQ175" s="125"/>
      <c r="NYR175" s="125"/>
      <c r="NYS175" s="125"/>
      <c r="NYT175" s="125"/>
      <c r="NYU175" s="125"/>
      <c r="NYV175" s="125"/>
      <c r="NYW175" s="125"/>
      <c r="NYX175" s="125"/>
      <c r="NYY175" s="125"/>
      <c r="NYZ175" s="125"/>
      <c r="NZA175" s="125"/>
      <c r="NZB175" s="125"/>
      <c r="NZC175" s="125"/>
      <c r="NZD175" s="125"/>
      <c r="NZE175" s="125"/>
      <c r="NZF175" s="125"/>
      <c r="NZG175" s="125"/>
      <c r="NZH175" s="125"/>
      <c r="NZI175" s="125"/>
      <c r="NZJ175" s="125"/>
      <c r="NZK175" s="125"/>
      <c r="NZL175" s="125"/>
      <c r="NZM175" s="125"/>
      <c r="NZN175" s="125"/>
      <c r="NZO175" s="125"/>
      <c r="NZP175" s="125"/>
      <c r="NZQ175" s="125"/>
      <c r="NZR175" s="125"/>
      <c r="NZS175" s="125"/>
      <c r="NZT175" s="125"/>
      <c r="NZU175" s="125"/>
      <c r="NZV175" s="125"/>
      <c r="NZW175" s="125"/>
      <c r="NZX175" s="125"/>
      <c r="NZY175" s="125"/>
      <c r="NZZ175" s="125"/>
      <c r="OAA175" s="125"/>
      <c r="OAB175" s="125"/>
      <c r="OAC175" s="125"/>
      <c r="OAD175" s="125"/>
      <c r="OAE175" s="125"/>
      <c r="OAF175" s="125"/>
      <c r="OAG175" s="125"/>
      <c r="OAH175" s="125"/>
      <c r="OAI175" s="125"/>
      <c r="OAJ175" s="125"/>
      <c r="OAK175" s="125"/>
      <c r="OAL175" s="125"/>
      <c r="OAM175" s="125"/>
      <c r="OAN175" s="125"/>
      <c r="OAO175" s="125"/>
      <c r="OAP175" s="125"/>
      <c r="OAQ175" s="125"/>
      <c r="OAR175" s="125"/>
      <c r="OAS175" s="125"/>
      <c r="OAT175" s="125"/>
      <c r="OAU175" s="125"/>
      <c r="OAV175" s="125"/>
      <c r="OAW175" s="125"/>
      <c r="OAX175" s="125"/>
      <c r="OAY175" s="125"/>
      <c r="OAZ175" s="125"/>
      <c r="OBA175" s="125"/>
      <c r="OBB175" s="125"/>
      <c r="OBC175" s="125"/>
      <c r="OBD175" s="125"/>
      <c r="OBE175" s="125"/>
      <c r="OBF175" s="125"/>
      <c r="OBG175" s="125"/>
      <c r="OBH175" s="125"/>
      <c r="OBI175" s="125"/>
      <c r="OBJ175" s="125"/>
      <c r="OBK175" s="125"/>
      <c r="OBL175" s="125"/>
      <c r="OBM175" s="125"/>
      <c r="OBN175" s="125"/>
      <c r="OBO175" s="125"/>
      <c r="OBP175" s="125"/>
      <c r="OBQ175" s="125"/>
      <c r="OBR175" s="125"/>
      <c r="OBS175" s="125"/>
      <c r="OBT175" s="125"/>
      <c r="OBU175" s="125"/>
      <c r="OBV175" s="125"/>
      <c r="OBW175" s="125"/>
      <c r="OBX175" s="125"/>
      <c r="OBY175" s="125"/>
      <c r="OBZ175" s="125"/>
      <c r="OCA175" s="125"/>
      <c r="OCB175" s="125"/>
      <c r="OCC175" s="125"/>
      <c r="OCD175" s="125"/>
      <c r="OCE175" s="125"/>
      <c r="OCF175" s="125"/>
      <c r="OCG175" s="125"/>
      <c r="OCH175" s="125"/>
      <c r="OCI175" s="125"/>
      <c r="OCJ175" s="125"/>
      <c r="OCK175" s="125"/>
      <c r="OCL175" s="125"/>
      <c r="OCM175" s="125"/>
      <c r="OCN175" s="125"/>
      <c r="OCO175" s="125"/>
      <c r="OCP175" s="125"/>
      <c r="OCQ175" s="125"/>
      <c r="OCR175" s="125"/>
      <c r="OCS175" s="125"/>
      <c r="OCT175" s="125"/>
      <c r="OCU175" s="125"/>
      <c r="OCV175" s="125"/>
      <c r="OCW175" s="125"/>
      <c r="OCX175" s="125"/>
      <c r="OCY175" s="125"/>
      <c r="OCZ175" s="125"/>
      <c r="ODA175" s="125"/>
      <c r="ODB175" s="125"/>
      <c r="ODC175" s="125"/>
      <c r="ODD175" s="125"/>
      <c r="ODE175" s="125"/>
      <c r="ODF175" s="125"/>
      <c r="ODG175" s="125"/>
      <c r="ODH175" s="125"/>
      <c r="ODI175" s="125"/>
      <c r="ODJ175" s="125"/>
      <c r="ODK175" s="125"/>
      <c r="ODL175" s="125"/>
      <c r="ODM175" s="125"/>
      <c r="ODN175" s="125"/>
      <c r="ODO175" s="125"/>
      <c r="ODP175" s="125"/>
      <c r="ODQ175" s="125"/>
      <c r="ODR175" s="125"/>
      <c r="ODS175" s="125"/>
      <c r="ODT175" s="125"/>
      <c r="ODU175" s="125"/>
      <c r="ODV175" s="125"/>
      <c r="ODW175" s="125"/>
      <c r="ODX175" s="125"/>
      <c r="ODY175" s="125"/>
      <c r="ODZ175" s="125"/>
      <c r="OEA175" s="125"/>
      <c r="OEB175" s="125"/>
      <c r="OEC175" s="125"/>
      <c r="OED175" s="125"/>
      <c r="OEE175" s="125"/>
      <c r="OEF175" s="125"/>
      <c r="OEG175" s="125"/>
      <c r="OEH175" s="125"/>
      <c r="OEI175" s="125"/>
      <c r="OEJ175" s="125"/>
      <c r="OEK175" s="125"/>
      <c r="OEL175" s="125"/>
      <c r="OEM175" s="125"/>
      <c r="OEN175" s="125"/>
      <c r="OEO175" s="125"/>
      <c r="OEP175" s="125"/>
      <c r="OEQ175" s="125"/>
      <c r="OER175" s="125"/>
      <c r="OES175" s="125"/>
      <c r="OET175" s="125"/>
      <c r="OEU175" s="125"/>
      <c r="OEV175" s="125"/>
      <c r="OEW175" s="125"/>
      <c r="OEX175" s="125"/>
      <c r="OEY175" s="125"/>
      <c r="OEZ175" s="125"/>
      <c r="OFA175" s="125"/>
      <c r="OFB175" s="125"/>
      <c r="OFC175" s="125"/>
      <c r="OFD175" s="125"/>
      <c r="OFE175" s="125"/>
      <c r="OFF175" s="125"/>
      <c r="OFG175" s="125"/>
      <c r="OFH175" s="125"/>
      <c r="OFI175" s="125"/>
      <c r="OFJ175" s="125"/>
      <c r="OFK175" s="125"/>
      <c r="OFL175" s="125"/>
      <c r="OFM175" s="125"/>
      <c r="OFN175" s="125"/>
      <c r="OFO175" s="125"/>
      <c r="OFP175" s="125"/>
      <c r="OFQ175" s="125"/>
      <c r="OFR175" s="125"/>
      <c r="OFS175" s="125"/>
      <c r="OFT175" s="125"/>
      <c r="OFU175" s="125"/>
      <c r="OFV175" s="125"/>
      <c r="OFW175" s="125"/>
      <c r="OFX175" s="125"/>
      <c r="OFY175" s="125"/>
      <c r="OFZ175" s="125"/>
      <c r="OGA175" s="125"/>
      <c r="OGB175" s="125"/>
      <c r="OGC175" s="125"/>
      <c r="OGD175" s="125"/>
      <c r="OGE175" s="125"/>
      <c r="OGF175" s="125"/>
      <c r="OGG175" s="125"/>
      <c r="OGH175" s="125"/>
      <c r="OGI175" s="125"/>
      <c r="OGJ175" s="125"/>
      <c r="OGK175" s="125"/>
      <c r="OGL175" s="125"/>
      <c r="OGM175" s="125"/>
      <c r="OGN175" s="125"/>
      <c r="OGO175" s="125"/>
      <c r="OGP175" s="125"/>
      <c r="OGQ175" s="125"/>
      <c r="OGR175" s="125"/>
      <c r="OGS175" s="125"/>
      <c r="OGT175" s="125"/>
      <c r="OGU175" s="125"/>
      <c r="OGV175" s="125"/>
      <c r="OGW175" s="125"/>
      <c r="OGX175" s="125"/>
      <c r="OGY175" s="125"/>
      <c r="OGZ175" s="125"/>
      <c r="OHA175" s="125"/>
      <c r="OHB175" s="125"/>
      <c r="OHC175" s="125"/>
      <c r="OHD175" s="125"/>
      <c r="OHE175" s="125"/>
      <c r="OHF175" s="125"/>
      <c r="OHG175" s="125"/>
      <c r="OHH175" s="125"/>
      <c r="OHI175" s="125"/>
      <c r="OHJ175" s="125"/>
      <c r="OHK175" s="125"/>
      <c r="OHL175" s="125"/>
      <c r="OHM175" s="125"/>
      <c r="OHN175" s="125"/>
      <c r="OHO175" s="125"/>
      <c r="OHP175" s="125"/>
      <c r="OHQ175" s="125"/>
      <c r="OHR175" s="125"/>
      <c r="OHS175" s="125"/>
      <c r="OHT175" s="125"/>
      <c r="OHU175" s="125"/>
      <c r="OHV175" s="125"/>
      <c r="OHW175" s="125"/>
      <c r="OHX175" s="125"/>
      <c r="OHY175" s="125"/>
      <c r="OHZ175" s="125"/>
      <c r="OIA175" s="125"/>
      <c r="OIB175" s="125"/>
      <c r="OIC175" s="125"/>
      <c r="OID175" s="125"/>
      <c r="OIE175" s="125"/>
      <c r="OIF175" s="125"/>
      <c r="OIG175" s="125"/>
      <c r="OIH175" s="125"/>
      <c r="OII175" s="125"/>
      <c r="OIJ175" s="125"/>
      <c r="OIK175" s="125"/>
      <c r="OIL175" s="125"/>
      <c r="OIM175" s="125"/>
      <c r="OIN175" s="125"/>
      <c r="OIO175" s="125"/>
      <c r="OIP175" s="125"/>
      <c r="OIQ175" s="125"/>
      <c r="OIR175" s="125"/>
      <c r="OIS175" s="125"/>
      <c r="OIT175" s="125"/>
      <c r="OIU175" s="125"/>
      <c r="OIV175" s="125"/>
      <c r="OIW175" s="125"/>
      <c r="OIX175" s="125"/>
      <c r="OIY175" s="125"/>
      <c r="OIZ175" s="125"/>
      <c r="OJA175" s="125"/>
      <c r="OJB175" s="125"/>
      <c r="OJC175" s="125"/>
      <c r="OJD175" s="125"/>
      <c r="OJE175" s="125"/>
      <c r="OJF175" s="125"/>
      <c r="OJG175" s="125"/>
      <c r="OJH175" s="125"/>
      <c r="OJI175" s="125"/>
      <c r="OJJ175" s="125"/>
      <c r="OJK175" s="125"/>
      <c r="OJL175" s="125"/>
      <c r="OJM175" s="125"/>
      <c r="OJN175" s="125"/>
      <c r="OJO175" s="125"/>
      <c r="OJP175" s="125"/>
      <c r="OJQ175" s="125"/>
      <c r="OJR175" s="125"/>
      <c r="OJS175" s="125"/>
      <c r="OJT175" s="125"/>
      <c r="OJU175" s="125"/>
      <c r="OJV175" s="125"/>
      <c r="OJW175" s="125"/>
      <c r="OJX175" s="125"/>
      <c r="OJY175" s="125"/>
      <c r="OJZ175" s="125"/>
      <c r="OKA175" s="125"/>
      <c r="OKB175" s="125"/>
      <c r="OKC175" s="125"/>
      <c r="OKD175" s="125"/>
      <c r="OKE175" s="125"/>
      <c r="OKF175" s="125"/>
      <c r="OKG175" s="125"/>
      <c r="OKH175" s="125"/>
      <c r="OKI175" s="125"/>
      <c r="OKJ175" s="125"/>
      <c r="OKK175" s="125"/>
      <c r="OKL175" s="125"/>
      <c r="OKM175" s="125"/>
      <c r="OKN175" s="125"/>
      <c r="OKO175" s="125"/>
      <c r="OKP175" s="125"/>
      <c r="OKQ175" s="125"/>
      <c r="OKR175" s="125"/>
      <c r="OKS175" s="125"/>
      <c r="OKT175" s="125"/>
      <c r="OKU175" s="125"/>
      <c r="OKV175" s="125"/>
      <c r="OKW175" s="125"/>
      <c r="OKX175" s="125"/>
      <c r="OKY175" s="125"/>
      <c r="OKZ175" s="125"/>
      <c r="OLA175" s="125"/>
      <c r="OLB175" s="125"/>
      <c r="OLC175" s="125"/>
      <c r="OLD175" s="125"/>
      <c r="OLE175" s="125"/>
      <c r="OLF175" s="125"/>
      <c r="OLG175" s="125"/>
      <c r="OLH175" s="125"/>
      <c r="OLI175" s="125"/>
      <c r="OLJ175" s="125"/>
      <c r="OLK175" s="125"/>
      <c r="OLL175" s="125"/>
      <c r="OLM175" s="125"/>
      <c r="OLN175" s="125"/>
      <c r="OLO175" s="125"/>
      <c r="OLP175" s="125"/>
      <c r="OLQ175" s="125"/>
      <c r="OLR175" s="125"/>
      <c r="OLS175" s="125"/>
      <c r="OLT175" s="125"/>
      <c r="OLU175" s="125"/>
      <c r="OLV175" s="125"/>
      <c r="OLW175" s="125"/>
      <c r="OLX175" s="125"/>
      <c r="OLY175" s="125"/>
      <c r="OLZ175" s="125"/>
      <c r="OMA175" s="125"/>
      <c r="OMB175" s="125"/>
      <c r="OMC175" s="125"/>
      <c r="OMD175" s="125"/>
      <c r="OME175" s="125"/>
      <c r="OMF175" s="125"/>
      <c r="OMG175" s="125"/>
      <c r="OMH175" s="125"/>
      <c r="OMI175" s="125"/>
      <c r="OMJ175" s="125"/>
      <c r="OMK175" s="125"/>
      <c r="OML175" s="125"/>
      <c r="OMM175" s="125"/>
      <c r="OMN175" s="125"/>
      <c r="OMO175" s="125"/>
      <c r="OMP175" s="125"/>
      <c r="OMQ175" s="125"/>
      <c r="OMR175" s="125"/>
      <c r="OMS175" s="125"/>
      <c r="OMT175" s="125"/>
      <c r="OMU175" s="125"/>
      <c r="OMV175" s="125"/>
      <c r="OMW175" s="125"/>
      <c r="OMX175" s="125"/>
      <c r="OMY175" s="125"/>
      <c r="OMZ175" s="125"/>
      <c r="ONA175" s="125"/>
      <c r="ONB175" s="125"/>
      <c r="ONC175" s="125"/>
      <c r="OND175" s="125"/>
      <c r="ONE175" s="125"/>
      <c r="ONF175" s="125"/>
      <c r="ONG175" s="125"/>
      <c r="ONH175" s="125"/>
      <c r="ONI175" s="125"/>
      <c r="ONJ175" s="125"/>
      <c r="ONK175" s="125"/>
      <c r="ONL175" s="125"/>
      <c r="ONM175" s="125"/>
      <c r="ONN175" s="125"/>
      <c r="ONO175" s="125"/>
      <c r="ONP175" s="125"/>
      <c r="ONQ175" s="125"/>
      <c r="ONR175" s="125"/>
      <c r="ONS175" s="125"/>
      <c r="ONT175" s="125"/>
      <c r="ONU175" s="125"/>
      <c r="ONV175" s="125"/>
      <c r="ONW175" s="125"/>
      <c r="ONX175" s="125"/>
      <c r="ONY175" s="125"/>
      <c r="ONZ175" s="125"/>
      <c r="OOA175" s="125"/>
      <c r="OOB175" s="125"/>
      <c r="OOC175" s="125"/>
      <c r="OOD175" s="125"/>
      <c r="OOE175" s="125"/>
      <c r="OOF175" s="125"/>
      <c r="OOG175" s="125"/>
      <c r="OOH175" s="125"/>
      <c r="OOI175" s="125"/>
      <c r="OOJ175" s="125"/>
      <c r="OOK175" s="125"/>
      <c r="OOL175" s="125"/>
      <c r="OOM175" s="125"/>
      <c r="OON175" s="125"/>
      <c r="OOO175" s="125"/>
      <c r="OOP175" s="125"/>
      <c r="OOQ175" s="125"/>
      <c r="OOR175" s="125"/>
      <c r="OOS175" s="125"/>
      <c r="OOT175" s="125"/>
      <c r="OOU175" s="125"/>
      <c r="OOV175" s="125"/>
      <c r="OOW175" s="125"/>
      <c r="OOX175" s="125"/>
      <c r="OOY175" s="125"/>
      <c r="OOZ175" s="125"/>
      <c r="OPA175" s="125"/>
      <c r="OPB175" s="125"/>
      <c r="OPC175" s="125"/>
      <c r="OPD175" s="125"/>
      <c r="OPE175" s="125"/>
      <c r="OPF175" s="125"/>
      <c r="OPG175" s="125"/>
      <c r="OPH175" s="125"/>
      <c r="OPI175" s="125"/>
      <c r="OPJ175" s="125"/>
      <c r="OPK175" s="125"/>
      <c r="OPL175" s="125"/>
      <c r="OPM175" s="125"/>
      <c r="OPN175" s="125"/>
      <c r="OPO175" s="125"/>
      <c r="OPP175" s="125"/>
      <c r="OPQ175" s="125"/>
      <c r="OPR175" s="125"/>
      <c r="OPS175" s="125"/>
      <c r="OPT175" s="125"/>
      <c r="OPU175" s="125"/>
      <c r="OPV175" s="125"/>
      <c r="OPW175" s="125"/>
      <c r="OPX175" s="125"/>
      <c r="OPY175" s="125"/>
      <c r="OPZ175" s="125"/>
      <c r="OQA175" s="125"/>
      <c r="OQB175" s="125"/>
      <c r="OQC175" s="125"/>
      <c r="OQD175" s="125"/>
      <c r="OQE175" s="125"/>
      <c r="OQF175" s="125"/>
      <c r="OQG175" s="125"/>
      <c r="OQH175" s="125"/>
      <c r="OQI175" s="125"/>
      <c r="OQJ175" s="125"/>
      <c r="OQK175" s="125"/>
      <c r="OQL175" s="125"/>
      <c r="OQM175" s="125"/>
      <c r="OQN175" s="125"/>
      <c r="OQO175" s="125"/>
      <c r="OQP175" s="125"/>
      <c r="OQQ175" s="125"/>
      <c r="OQR175" s="125"/>
      <c r="OQS175" s="125"/>
      <c r="OQT175" s="125"/>
      <c r="OQU175" s="125"/>
      <c r="OQV175" s="125"/>
      <c r="OQW175" s="125"/>
      <c r="OQX175" s="125"/>
      <c r="OQY175" s="125"/>
      <c r="OQZ175" s="125"/>
      <c r="ORA175" s="125"/>
      <c r="ORB175" s="125"/>
      <c r="ORC175" s="125"/>
      <c r="ORD175" s="125"/>
      <c r="ORE175" s="125"/>
      <c r="ORF175" s="125"/>
      <c r="ORG175" s="125"/>
      <c r="ORH175" s="125"/>
      <c r="ORI175" s="125"/>
      <c r="ORJ175" s="125"/>
      <c r="ORK175" s="125"/>
      <c r="ORL175" s="125"/>
      <c r="ORM175" s="125"/>
      <c r="ORN175" s="125"/>
      <c r="ORO175" s="125"/>
      <c r="ORP175" s="125"/>
      <c r="ORQ175" s="125"/>
      <c r="ORR175" s="125"/>
      <c r="ORS175" s="125"/>
      <c r="ORT175" s="125"/>
      <c r="ORU175" s="125"/>
      <c r="ORV175" s="125"/>
      <c r="ORW175" s="125"/>
      <c r="ORX175" s="125"/>
      <c r="ORY175" s="125"/>
      <c r="ORZ175" s="125"/>
      <c r="OSA175" s="125"/>
      <c r="OSB175" s="125"/>
      <c r="OSC175" s="125"/>
      <c r="OSD175" s="125"/>
      <c r="OSE175" s="125"/>
      <c r="OSF175" s="125"/>
      <c r="OSG175" s="125"/>
      <c r="OSH175" s="125"/>
      <c r="OSI175" s="125"/>
      <c r="OSJ175" s="125"/>
      <c r="OSK175" s="125"/>
      <c r="OSL175" s="125"/>
      <c r="OSM175" s="125"/>
      <c r="OSN175" s="125"/>
      <c r="OSO175" s="125"/>
      <c r="OSP175" s="125"/>
      <c r="OSQ175" s="125"/>
      <c r="OSR175" s="125"/>
      <c r="OSS175" s="125"/>
      <c r="OST175" s="125"/>
      <c r="OSU175" s="125"/>
      <c r="OSV175" s="125"/>
      <c r="OSW175" s="125"/>
      <c r="OSX175" s="125"/>
      <c r="OSY175" s="125"/>
      <c r="OSZ175" s="125"/>
      <c r="OTA175" s="125"/>
      <c r="OTB175" s="125"/>
      <c r="OTC175" s="125"/>
      <c r="OTD175" s="125"/>
      <c r="OTE175" s="125"/>
      <c r="OTF175" s="125"/>
      <c r="OTG175" s="125"/>
      <c r="OTH175" s="125"/>
      <c r="OTI175" s="125"/>
      <c r="OTJ175" s="125"/>
      <c r="OTK175" s="125"/>
      <c r="OTL175" s="125"/>
      <c r="OTM175" s="125"/>
      <c r="OTN175" s="125"/>
      <c r="OTO175" s="125"/>
      <c r="OTP175" s="125"/>
      <c r="OTQ175" s="125"/>
      <c r="OTR175" s="125"/>
      <c r="OTS175" s="125"/>
      <c r="OTT175" s="125"/>
      <c r="OTU175" s="125"/>
      <c r="OTV175" s="125"/>
      <c r="OTW175" s="125"/>
      <c r="OTX175" s="125"/>
      <c r="OTY175" s="125"/>
      <c r="OTZ175" s="125"/>
      <c r="OUA175" s="125"/>
      <c r="OUB175" s="125"/>
      <c r="OUC175" s="125"/>
      <c r="OUD175" s="125"/>
      <c r="OUE175" s="125"/>
      <c r="OUF175" s="125"/>
      <c r="OUG175" s="125"/>
      <c r="OUH175" s="125"/>
      <c r="OUI175" s="125"/>
      <c r="OUJ175" s="125"/>
      <c r="OUK175" s="125"/>
      <c r="OUL175" s="125"/>
      <c r="OUM175" s="125"/>
      <c r="OUN175" s="125"/>
      <c r="OUO175" s="125"/>
      <c r="OUP175" s="125"/>
      <c r="OUQ175" s="125"/>
      <c r="OUR175" s="125"/>
      <c r="OUS175" s="125"/>
      <c r="OUT175" s="125"/>
      <c r="OUU175" s="125"/>
      <c r="OUV175" s="125"/>
      <c r="OUW175" s="125"/>
      <c r="OUX175" s="125"/>
      <c r="OUY175" s="125"/>
      <c r="OUZ175" s="125"/>
      <c r="OVA175" s="125"/>
      <c r="OVB175" s="125"/>
      <c r="OVC175" s="125"/>
      <c r="OVD175" s="125"/>
      <c r="OVE175" s="125"/>
      <c r="OVF175" s="125"/>
      <c r="OVG175" s="125"/>
      <c r="OVH175" s="125"/>
      <c r="OVI175" s="125"/>
      <c r="OVJ175" s="125"/>
      <c r="OVK175" s="125"/>
      <c r="OVL175" s="125"/>
      <c r="OVM175" s="125"/>
      <c r="OVN175" s="125"/>
      <c r="OVO175" s="125"/>
      <c r="OVP175" s="125"/>
      <c r="OVQ175" s="125"/>
      <c r="OVR175" s="125"/>
      <c r="OVS175" s="125"/>
      <c r="OVT175" s="125"/>
      <c r="OVU175" s="125"/>
      <c r="OVV175" s="125"/>
      <c r="OVW175" s="125"/>
      <c r="OVX175" s="125"/>
      <c r="OVY175" s="125"/>
      <c r="OVZ175" s="125"/>
      <c r="OWA175" s="125"/>
      <c r="OWB175" s="125"/>
      <c r="OWC175" s="125"/>
      <c r="OWD175" s="125"/>
      <c r="OWE175" s="125"/>
      <c r="OWF175" s="125"/>
      <c r="OWG175" s="125"/>
      <c r="OWH175" s="125"/>
      <c r="OWI175" s="125"/>
      <c r="OWJ175" s="125"/>
      <c r="OWK175" s="125"/>
      <c r="OWL175" s="125"/>
      <c r="OWM175" s="125"/>
      <c r="OWN175" s="125"/>
      <c r="OWO175" s="125"/>
      <c r="OWP175" s="125"/>
      <c r="OWQ175" s="125"/>
      <c r="OWR175" s="125"/>
      <c r="OWS175" s="125"/>
      <c r="OWT175" s="125"/>
      <c r="OWU175" s="125"/>
      <c r="OWV175" s="125"/>
      <c r="OWW175" s="125"/>
      <c r="OWX175" s="125"/>
      <c r="OWY175" s="125"/>
      <c r="OWZ175" s="125"/>
      <c r="OXA175" s="125"/>
      <c r="OXB175" s="125"/>
      <c r="OXC175" s="125"/>
      <c r="OXD175" s="125"/>
      <c r="OXE175" s="125"/>
      <c r="OXF175" s="125"/>
      <c r="OXG175" s="125"/>
      <c r="OXH175" s="125"/>
      <c r="OXI175" s="125"/>
      <c r="OXJ175" s="125"/>
      <c r="OXK175" s="125"/>
      <c r="OXL175" s="125"/>
      <c r="OXM175" s="125"/>
      <c r="OXN175" s="125"/>
      <c r="OXO175" s="125"/>
      <c r="OXP175" s="125"/>
      <c r="OXQ175" s="125"/>
      <c r="OXR175" s="125"/>
      <c r="OXS175" s="125"/>
      <c r="OXT175" s="125"/>
      <c r="OXU175" s="125"/>
      <c r="OXV175" s="125"/>
      <c r="OXW175" s="125"/>
      <c r="OXX175" s="125"/>
      <c r="OXY175" s="125"/>
      <c r="OXZ175" s="125"/>
      <c r="OYA175" s="125"/>
      <c r="OYB175" s="125"/>
      <c r="OYC175" s="125"/>
      <c r="OYD175" s="125"/>
      <c r="OYE175" s="125"/>
      <c r="OYF175" s="125"/>
      <c r="OYG175" s="125"/>
      <c r="OYH175" s="125"/>
      <c r="OYI175" s="125"/>
      <c r="OYJ175" s="125"/>
      <c r="OYK175" s="125"/>
      <c r="OYL175" s="125"/>
      <c r="OYM175" s="125"/>
      <c r="OYN175" s="125"/>
      <c r="OYO175" s="125"/>
      <c r="OYP175" s="125"/>
      <c r="OYQ175" s="125"/>
      <c r="OYR175" s="125"/>
      <c r="OYS175" s="125"/>
      <c r="OYT175" s="125"/>
      <c r="OYU175" s="125"/>
      <c r="OYV175" s="125"/>
      <c r="OYW175" s="125"/>
      <c r="OYX175" s="125"/>
      <c r="OYY175" s="125"/>
      <c r="OYZ175" s="125"/>
      <c r="OZA175" s="125"/>
      <c r="OZB175" s="125"/>
      <c r="OZC175" s="125"/>
      <c r="OZD175" s="125"/>
      <c r="OZE175" s="125"/>
      <c r="OZF175" s="125"/>
      <c r="OZG175" s="125"/>
      <c r="OZH175" s="125"/>
      <c r="OZI175" s="125"/>
      <c r="OZJ175" s="125"/>
      <c r="OZK175" s="125"/>
      <c r="OZL175" s="125"/>
      <c r="OZM175" s="125"/>
      <c r="OZN175" s="125"/>
      <c r="OZO175" s="125"/>
      <c r="OZP175" s="125"/>
      <c r="OZQ175" s="125"/>
      <c r="OZR175" s="125"/>
      <c r="OZS175" s="125"/>
      <c r="OZT175" s="125"/>
      <c r="OZU175" s="125"/>
      <c r="OZV175" s="125"/>
      <c r="OZW175" s="125"/>
      <c r="OZX175" s="125"/>
      <c r="OZY175" s="125"/>
      <c r="OZZ175" s="125"/>
      <c r="PAA175" s="125"/>
      <c r="PAB175" s="125"/>
      <c r="PAC175" s="125"/>
      <c r="PAD175" s="125"/>
      <c r="PAE175" s="125"/>
      <c r="PAF175" s="125"/>
      <c r="PAG175" s="125"/>
      <c r="PAH175" s="125"/>
      <c r="PAI175" s="125"/>
      <c r="PAJ175" s="125"/>
      <c r="PAK175" s="125"/>
      <c r="PAL175" s="125"/>
      <c r="PAM175" s="125"/>
      <c r="PAN175" s="125"/>
      <c r="PAO175" s="125"/>
      <c r="PAP175" s="125"/>
      <c r="PAQ175" s="125"/>
      <c r="PAR175" s="125"/>
      <c r="PAS175" s="125"/>
      <c r="PAT175" s="125"/>
      <c r="PAU175" s="125"/>
      <c r="PAV175" s="125"/>
      <c r="PAW175" s="125"/>
      <c r="PAX175" s="125"/>
      <c r="PAY175" s="125"/>
      <c r="PAZ175" s="125"/>
      <c r="PBA175" s="125"/>
      <c r="PBB175" s="125"/>
      <c r="PBC175" s="125"/>
      <c r="PBD175" s="125"/>
      <c r="PBE175" s="125"/>
      <c r="PBF175" s="125"/>
      <c r="PBG175" s="125"/>
      <c r="PBH175" s="125"/>
      <c r="PBI175" s="125"/>
      <c r="PBJ175" s="125"/>
      <c r="PBK175" s="125"/>
      <c r="PBL175" s="125"/>
      <c r="PBM175" s="125"/>
      <c r="PBN175" s="125"/>
      <c r="PBO175" s="125"/>
      <c r="PBP175" s="125"/>
      <c r="PBQ175" s="125"/>
      <c r="PBR175" s="125"/>
      <c r="PBS175" s="125"/>
      <c r="PBT175" s="125"/>
      <c r="PBU175" s="125"/>
      <c r="PBV175" s="125"/>
      <c r="PBW175" s="125"/>
      <c r="PBX175" s="125"/>
      <c r="PBY175" s="125"/>
      <c r="PBZ175" s="125"/>
      <c r="PCA175" s="125"/>
      <c r="PCB175" s="125"/>
      <c r="PCC175" s="125"/>
      <c r="PCD175" s="125"/>
      <c r="PCE175" s="125"/>
      <c r="PCF175" s="125"/>
      <c r="PCG175" s="125"/>
      <c r="PCH175" s="125"/>
      <c r="PCI175" s="125"/>
      <c r="PCJ175" s="125"/>
      <c r="PCK175" s="125"/>
      <c r="PCL175" s="125"/>
      <c r="PCM175" s="125"/>
      <c r="PCN175" s="125"/>
      <c r="PCO175" s="125"/>
      <c r="PCP175" s="125"/>
      <c r="PCQ175" s="125"/>
      <c r="PCR175" s="125"/>
      <c r="PCS175" s="125"/>
      <c r="PCT175" s="125"/>
      <c r="PCU175" s="125"/>
      <c r="PCV175" s="125"/>
      <c r="PCW175" s="125"/>
      <c r="PCX175" s="125"/>
      <c r="PCY175" s="125"/>
      <c r="PCZ175" s="125"/>
      <c r="PDA175" s="125"/>
      <c r="PDB175" s="125"/>
      <c r="PDC175" s="125"/>
      <c r="PDD175" s="125"/>
      <c r="PDE175" s="125"/>
      <c r="PDF175" s="125"/>
      <c r="PDG175" s="125"/>
      <c r="PDH175" s="125"/>
      <c r="PDI175" s="125"/>
      <c r="PDJ175" s="125"/>
      <c r="PDK175" s="125"/>
      <c r="PDL175" s="125"/>
      <c r="PDM175" s="125"/>
      <c r="PDN175" s="125"/>
      <c r="PDO175" s="125"/>
      <c r="PDP175" s="125"/>
      <c r="PDQ175" s="125"/>
      <c r="PDR175" s="125"/>
      <c r="PDS175" s="125"/>
      <c r="PDT175" s="125"/>
      <c r="PDU175" s="125"/>
      <c r="PDV175" s="125"/>
      <c r="PDW175" s="125"/>
      <c r="PDX175" s="125"/>
      <c r="PDY175" s="125"/>
      <c r="PDZ175" s="125"/>
      <c r="PEA175" s="125"/>
      <c r="PEB175" s="125"/>
      <c r="PEC175" s="125"/>
      <c r="PED175" s="125"/>
      <c r="PEE175" s="125"/>
      <c r="PEF175" s="125"/>
      <c r="PEG175" s="125"/>
      <c r="PEH175" s="125"/>
      <c r="PEI175" s="125"/>
      <c r="PEJ175" s="125"/>
      <c r="PEK175" s="125"/>
      <c r="PEL175" s="125"/>
      <c r="PEM175" s="125"/>
      <c r="PEN175" s="125"/>
      <c r="PEO175" s="125"/>
      <c r="PEP175" s="125"/>
      <c r="PEQ175" s="125"/>
      <c r="PER175" s="125"/>
      <c r="PES175" s="125"/>
      <c r="PET175" s="125"/>
      <c r="PEU175" s="125"/>
      <c r="PEV175" s="125"/>
      <c r="PEW175" s="125"/>
      <c r="PEX175" s="125"/>
      <c r="PEY175" s="125"/>
      <c r="PEZ175" s="125"/>
      <c r="PFA175" s="125"/>
      <c r="PFB175" s="125"/>
      <c r="PFC175" s="125"/>
      <c r="PFD175" s="125"/>
      <c r="PFE175" s="125"/>
      <c r="PFF175" s="125"/>
      <c r="PFG175" s="125"/>
      <c r="PFH175" s="125"/>
      <c r="PFI175" s="125"/>
      <c r="PFJ175" s="125"/>
      <c r="PFK175" s="125"/>
      <c r="PFL175" s="125"/>
      <c r="PFM175" s="125"/>
      <c r="PFN175" s="125"/>
      <c r="PFO175" s="125"/>
      <c r="PFP175" s="125"/>
      <c r="PFQ175" s="125"/>
      <c r="PFR175" s="125"/>
      <c r="PFS175" s="125"/>
      <c r="PFT175" s="125"/>
      <c r="PFU175" s="125"/>
      <c r="PFV175" s="125"/>
      <c r="PFW175" s="125"/>
      <c r="PFX175" s="125"/>
      <c r="PFY175" s="125"/>
      <c r="PFZ175" s="125"/>
      <c r="PGA175" s="125"/>
      <c r="PGB175" s="125"/>
      <c r="PGC175" s="125"/>
      <c r="PGD175" s="125"/>
      <c r="PGE175" s="125"/>
      <c r="PGF175" s="125"/>
      <c r="PGG175" s="125"/>
      <c r="PGH175" s="125"/>
      <c r="PGI175" s="125"/>
      <c r="PGJ175" s="125"/>
      <c r="PGK175" s="125"/>
      <c r="PGL175" s="125"/>
      <c r="PGM175" s="125"/>
      <c r="PGN175" s="125"/>
      <c r="PGO175" s="125"/>
      <c r="PGP175" s="125"/>
      <c r="PGQ175" s="125"/>
      <c r="PGR175" s="125"/>
      <c r="PGS175" s="125"/>
      <c r="PGT175" s="125"/>
      <c r="PGU175" s="125"/>
      <c r="PGV175" s="125"/>
      <c r="PGW175" s="125"/>
      <c r="PGX175" s="125"/>
      <c r="PGY175" s="125"/>
      <c r="PGZ175" s="125"/>
      <c r="PHA175" s="125"/>
      <c r="PHB175" s="125"/>
      <c r="PHC175" s="125"/>
      <c r="PHD175" s="125"/>
      <c r="PHE175" s="125"/>
      <c r="PHF175" s="125"/>
      <c r="PHG175" s="125"/>
      <c r="PHH175" s="125"/>
      <c r="PHI175" s="125"/>
      <c r="PHJ175" s="125"/>
      <c r="PHK175" s="125"/>
      <c r="PHL175" s="125"/>
      <c r="PHM175" s="125"/>
      <c r="PHN175" s="125"/>
      <c r="PHO175" s="125"/>
      <c r="PHP175" s="125"/>
      <c r="PHQ175" s="125"/>
      <c r="PHR175" s="125"/>
      <c r="PHS175" s="125"/>
      <c r="PHT175" s="125"/>
      <c r="PHU175" s="125"/>
      <c r="PHV175" s="125"/>
      <c r="PHW175" s="125"/>
      <c r="PHX175" s="125"/>
      <c r="PHY175" s="125"/>
      <c r="PHZ175" s="125"/>
      <c r="PIA175" s="125"/>
      <c r="PIB175" s="125"/>
      <c r="PIC175" s="125"/>
      <c r="PID175" s="125"/>
      <c r="PIE175" s="125"/>
      <c r="PIF175" s="125"/>
      <c r="PIG175" s="125"/>
      <c r="PIH175" s="125"/>
      <c r="PII175" s="125"/>
      <c r="PIJ175" s="125"/>
      <c r="PIK175" s="125"/>
      <c r="PIL175" s="125"/>
      <c r="PIM175" s="125"/>
      <c r="PIN175" s="125"/>
      <c r="PIO175" s="125"/>
      <c r="PIP175" s="125"/>
      <c r="PIQ175" s="125"/>
      <c r="PIR175" s="125"/>
      <c r="PIS175" s="125"/>
      <c r="PIT175" s="125"/>
      <c r="PIU175" s="125"/>
      <c r="PIV175" s="125"/>
      <c r="PIW175" s="125"/>
      <c r="PIX175" s="125"/>
      <c r="PIY175" s="125"/>
      <c r="PIZ175" s="125"/>
      <c r="PJA175" s="125"/>
      <c r="PJB175" s="125"/>
      <c r="PJC175" s="125"/>
      <c r="PJD175" s="125"/>
      <c r="PJE175" s="125"/>
      <c r="PJF175" s="125"/>
      <c r="PJG175" s="125"/>
      <c r="PJH175" s="125"/>
      <c r="PJI175" s="125"/>
      <c r="PJJ175" s="125"/>
      <c r="PJK175" s="125"/>
      <c r="PJL175" s="125"/>
      <c r="PJM175" s="125"/>
      <c r="PJN175" s="125"/>
      <c r="PJO175" s="125"/>
      <c r="PJP175" s="125"/>
      <c r="PJQ175" s="125"/>
      <c r="PJR175" s="125"/>
      <c r="PJS175" s="125"/>
      <c r="PJT175" s="125"/>
      <c r="PJU175" s="125"/>
      <c r="PJV175" s="125"/>
      <c r="PJW175" s="125"/>
      <c r="PJX175" s="125"/>
      <c r="PJY175" s="125"/>
      <c r="PJZ175" s="125"/>
      <c r="PKA175" s="125"/>
      <c r="PKB175" s="125"/>
      <c r="PKC175" s="125"/>
      <c r="PKD175" s="125"/>
      <c r="PKE175" s="125"/>
      <c r="PKF175" s="125"/>
      <c r="PKG175" s="125"/>
      <c r="PKH175" s="125"/>
      <c r="PKI175" s="125"/>
      <c r="PKJ175" s="125"/>
      <c r="PKK175" s="125"/>
      <c r="PKL175" s="125"/>
      <c r="PKM175" s="125"/>
      <c r="PKN175" s="125"/>
      <c r="PKO175" s="125"/>
      <c r="PKP175" s="125"/>
      <c r="PKQ175" s="125"/>
      <c r="PKR175" s="125"/>
      <c r="PKS175" s="125"/>
      <c r="PKT175" s="125"/>
      <c r="PKU175" s="125"/>
      <c r="PKV175" s="125"/>
      <c r="PKW175" s="125"/>
      <c r="PKX175" s="125"/>
      <c r="PKY175" s="125"/>
      <c r="PKZ175" s="125"/>
      <c r="PLA175" s="125"/>
      <c r="PLB175" s="125"/>
      <c r="PLC175" s="125"/>
      <c r="PLD175" s="125"/>
      <c r="PLE175" s="125"/>
      <c r="PLF175" s="125"/>
      <c r="PLG175" s="125"/>
      <c r="PLH175" s="125"/>
      <c r="PLI175" s="125"/>
      <c r="PLJ175" s="125"/>
      <c r="PLK175" s="125"/>
      <c r="PLL175" s="125"/>
      <c r="PLM175" s="125"/>
      <c r="PLN175" s="125"/>
      <c r="PLO175" s="125"/>
      <c r="PLP175" s="125"/>
      <c r="PLQ175" s="125"/>
      <c r="PLR175" s="125"/>
      <c r="PLS175" s="125"/>
      <c r="PLT175" s="125"/>
      <c r="PLU175" s="125"/>
      <c r="PLV175" s="125"/>
      <c r="PLW175" s="125"/>
      <c r="PLX175" s="125"/>
      <c r="PLY175" s="125"/>
      <c r="PLZ175" s="125"/>
      <c r="PMA175" s="125"/>
      <c r="PMB175" s="125"/>
      <c r="PMC175" s="125"/>
      <c r="PMD175" s="125"/>
      <c r="PME175" s="125"/>
      <c r="PMF175" s="125"/>
      <c r="PMG175" s="125"/>
      <c r="PMH175" s="125"/>
      <c r="PMI175" s="125"/>
      <c r="PMJ175" s="125"/>
      <c r="PMK175" s="125"/>
      <c r="PML175" s="125"/>
      <c r="PMM175" s="125"/>
      <c r="PMN175" s="125"/>
      <c r="PMO175" s="125"/>
      <c r="PMP175" s="125"/>
      <c r="PMQ175" s="125"/>
      <c r="PMR175" s="125"/>
      <c r="PMS175" s="125"/>
      <c r="PMT175" s="125"/>
      <c r="PMU175" s="125"/>
      <c r="PMV175" s="125"/>
      <c r="PMW175" s="125"/>
      <c r="PMX175" s="125"/>
      <c r="PMY175" s="125"/>
      <c r="PMZ175" s="125"/>
      <c r="PNA175" s="125"/>
      <c r="PNB175" s="125"/>
      <c r="PNC175" s="125"/>
      <c r="PND175" s="125"/>
      <c r="PNE175" s="125"/>
      <c r="PNF175" s="125"/>
      <c r="PNG175" s="125"/>
      <c r="PNH175" s="125"/>
      <c r="PNI175" s="125"/>
      <c r="PNJ175" s="125"/>
      <c r="PNK175" s="125"/>
      <c r="PNL175" s="125"/>
      <c r="PNM175" s="125"/>
      <c r="PNN175" s="125"/>
      <c r="PNO175" s="125"/>
      <c r="PNP175" s="125"/>
      <c r="PNQ175" s="125"/>
      <c r="PNR175" s="125"/>
      <c r="PNS175" s="125"/>
      <c r="PNT175" s="125"/>
      <c r="PNU175" s="125"/>
      <c r="PNV175" s="125"/>
      <c r="PNW175" s="125"/>
      <c r="PNX175" s="125"/>
      <c r="PNY175" s="125"/>
      <c r="PNZ175" s="125"/>
      <c r="POA175" s="125"/>
      <c r="POB175" s="125"/>
      <c r="POC175" s="125"/>
      <c r="POD175" s="125"/>
      <c r="POE175" s="125"/>
      <c r="POF175" s="125"/>
      <c r="POG175" s="125"/>
      <c r="POH175" s="125"/>
      <c r="POI175" s="125"/>
      <c r="POJ175" s="125"/>
      <c r="POK175" s="125"/>
      <c r="POL175" s="125"/>
      <c r="POM175" s="125"/>
      <c r="PON175" s="125"/>
      <c r="POO175" s="125"/>
      <c r="POP175" s="125"/>
      <c r="POQ175" s="125"/>
      <c r="POR175" s="125"/>
      <c r="POS175" s="125"/>
      <c r="POT175" s="125"/>
      <c r="POU175" s="125"/>
      <c r="POV175" s="125"/>
      <c r="POW175" s="125"/>
      <c r="POX175" s="125"/>
      <c r="POY175" s="125"/>
      <c r="POZ175" s="125"/>
      <c r="PPA175" s="125"/>
      <c r="PPB175" s="125"/>
      <c r="PPC175" s="125"/>
      <c r="PPD175" s="125"/>
      <c r="PPE175" s="125"/>
      <c r="PPF175" s="125"/>
      <c r="PPG175" s="125"/>
      <c r="PPH175" s="125"/>
      <c r="PPI175" s="125"/>
      <c r="PPJ175" s="125"/>
      <c r="PPK175" s="125"/>
      <c r="PPL175" s="125"/>
      <c r="PPM175" s="125"/>
      <c r="PPN175" s="125"/>
      <c r="PPO175" s="125"/>
      <c r="PPP175" s="125"/>
      <c r="PPQ175" s="125"/>
      <c r="PPR175" s="125"/>
      <c r="PPS175" s="125"/>
      <c r="PPT175" s="125"/>
      <c r="PPU175" s="125"/>
      <c r="PPV175" s="125"/>
      <c r="PPW175" s="125"/>
      <c r="PPX175" s="125"/>
      <c r="PPY175" s="125"/>
      <c r="PPZ175" s="125"/>
      <c r="PQA175" s="125"/>
      <c r="PQB175" s="125"/>
      <c r="PQC175" s="125"/>
      <c r="PQD175" s="125"/>
      <c r="PQE175" s="125"/>
      <c r="PQF175" s="125"/>
      <c r="PQG175" s="125"/>
      <c r="PQH175" s="125"/>
      <c r="PQI175" s="125"/>
      <c r="PQJ175" s="125"/>
      <c r="PQK175" s="125"/>
      <c r="PQL175" s="125"/>
      <c r="PQM175" s="125"/>
      <c r="PQN175" s="125"/>
      <c r="PQO175" s="125"/>
      <c r="PQP175" s="125"/>
      <c r="PQQ175" s="125"/>
      <c r="PQR175" s="125"/>
      <c r="PQS175" s="125"/>
      <c r="PQT175" s="125"/>
      <c r="PQU175" s="125"/>
      <c r="PQV175" s="125"/>
      <c r="PQW175" s="125"/>
      <c r="PQX175" s="125"/>
      <c r="PQY175" s="125"/>
      <c r="PQZ175" s="125"/>
      <c r="PRA175" s="125"/>
      <c r="PRB175" s="125"/>
      <c r="PRC175" s="125"/>
      <c r="PRD175" s="125"/>
      <c r="PRE175" s="125"/>
      <c r="PRF175" s="125"/>
      <c r="PRG175" s="125"/>
      <c r="PRH175" s="125"/>
      <c r="PRI175" s="125"/>
      <c r="PRJ175" s="125"/>
      <c r="PRK175" s="125"/>
      <c r="PRL175" s="125"/>
      <c r="PRM175" s="125"/>
      <c r="PRN175" s="125"/>
      <c r="PRO175" s="125"/>
      <c r="PRP175" s="125"/>
      <c r="PRQ175" s="125"/>
      <c r="PRR175" s="125"/>
      <c r="PRS175" s="125"/>
      <c r="PRT175" s="125"/>
      <c r="PRU175" s="125"/>
      <c r="PRV175" s="125"/>
      <c r="PRW175" s="125"/>
      <c r="PRX175" s="125"/>
      <c r="PRY175" s="125"/>
      <c r="PRZ175" s="125"/>
      <c r="PSA175" s="125"/>
      <c r="PSB175" s="125"/>
      <c r="PSC175" s="125"/>
      <c r="PSD175" s="125"/>
      <c r="PSE175" s="125"/>
      <c r="PSF175" s="125"/>
      <c r="PSG175" s="125"/>
      <c r="PSH175" s="125"/>
      <c r="PSI175" s="125"/>
      <c r="PSJ175" s="125"/>
      <c r="PSK175" s="125"/>
      <c r="PSL175" s="125"/>
      <c r="PSM175" s="125"/>
      <c r="PSN175" s="125"/>
      <c r="PSO175" s="125"/>
      <c r="PSP175" s="125"/>
      <c r="PSQ175" s="125"/>
      <c r="PSR175" s="125"/>
      <c r="PSS175" s="125"/>
      <c r="PST175" s="125"/>
      <c r="PSU175" s="125"/>
      <c r="PSV175" s="125"/>
      <c r="PSW175" s="125"/>
      <c r="PSX175" s="125"/>
      <c r="PSY175" s="125"/>
      <c r="PSZ175" s="125"/>
      <c r="PTA175" s="125"/>
      <c r="PTB175" s="125"/>
      <c r="PTC175" s="125"/>
      <c r="PTD175" s="125"/>
      <c r="PTE175" s="125"/>
      <c r="PTF175" s="125"/>
      <c r="PTG175" s="125"/>
      <c r="PTH175" s="125"/>
      <c r="PTI175" s="125"/>
      <c r="PTJ175" s="125"/>
      <c r="PTK175" s="125"/>
      <c r="PTL175" s="125"/>
      <c r="PTM175" s="125"/>
      <c r="PTN175" s="125"/>
      <c r="PTO175" s="125"/>
      <c r="PTP175" s="125"/>
      <c r="PTQ175" s="125"/>
      <c r="PTR175" s="125"/>
      <c r="PTS175" s="125"/>
      <c r="PTT175" s="125"/>
      <c r="PTU175" s="125"/>
      <c r="PTV175" s="125"/>
      <c r="PTW175" s="125"/>
      <c r="PTX175" s="125"/>
      <c r="PTY175" s="125"/>
      <c r="PTZ175" s="125"/>
      <c r="PUA175" s="125"/>
      <c r="PUB175" s="125"/>
      <c r="PUC175" s="125"/>
      <c r="PUD175" s="125"/>
      <c r="PUE175" s="125"/>
      <c r="PUF175" s="125"/>
      <c r="PUG175" s="125"/>
      <c r="PUH175" s="125"/>
      <c r="PUI175" s="125"/>
      <c r="PUJ175" s="125"/>
      <c r="PUK175" s="125"/>
      <c r="PUL175" s="125"/>
      <c r="PUM175" s="125"/>
      <c r="PUN175" s="125"/>
      <c r="PUO175" s="125"/>
      <c r="PUP175" s="125"/>
      <c r="PUQ175" s="125"/>
      <c r="PUR175" s="125"/>
      <c r="PUS175" s="125"/>
      <c r="PUT175" s="125"/>
      <c r="PUU175" s="125"/>
      <c r="PUV175" s="125"/>
      <c r="PUW175" s="125"/>
      <c r="PUX175" s="125"/>
      <c r="PUY175" s="125"/>
      <c r="PUZ175" s="125"/>
      <c r="PVA175" s="125"/>
      <c r="PVB175" s="125"/>
      <c r="PVC175" s="125"/>
      <c r="PVD175" s="125"/>
      <c r="PVE175" s="125"/>
      <c r="PVF175" s="125"/>
      <c r="PVG175" s="125"/>
      <c r="PVH175" s="125"/>
      <c r="PVI175" s="125"/>
      <c r="PVJ175" s="125"/>
      <c r="PVK175" s="125"/>
      <c r="PVL175" s="125"/>
      <c r="PVM175" s="125"/>
      <c r="PVN175" s="125"/>
      <c r="PVO175" s="125"/>
      <c r="PVP175" s="125"/>
      <c r="PVQ175" s="125"/>
      <c r="PVR175" s="125"/>
      <c r="PVS175" s="125"/>
      <c r="PVT175" s="125"/>
      <c r="PVU175" s="125"/>
      <c r="PVV175" s="125"/>
      <c r="PVW175" s="125"/>
      <c r="PVX175" s="125"/>
      <c r="PVY175" s="125"/>
      <c r="PVZ175" s="125"/>
      <c r="PWA175" s="125"/>
      <c r="PWB175" s="125"/>
      <c r="PWC175" s="125"/>
      <c r="PWD175" s="125"/>
      <c r="PWE175" s="125"/>
      <c r="PWF175" s="125"/>
      <c r="PWG175" s="125"/>
      <c r="PWH175" s="125"/>
      <c r="PWI175" s="125"/>
      <c r="PWJ175" s="125"/>
      <c r="PWK175" s="125"/>
      <c r="PWL175" s="125"/>
      <c r="PWM175" s="125"/>
      <c r="PWN175" s="125"/>
      <c r="PWO175" s="125"/>
      <c r="PWP175" s="125"/>
      <c r="PWQ175" s="125"/>
      <c r="PWR175" s="125"/>
      <c r="PWS175" s="125"/>
      <c r="PWT175" s="125"/>
      <c r="PWU175" s="125"/>
      <c r="PWV175" s="125"/>
      <c r="PWW175" s="125"/>
      <c r="PWX175" s="125"/>
      <c r="PWY175" s="125"/>
      <c r="PWZ175" s="125"/>
      <c r="PXA175" s="125"/>
      <c r="PXB175" s="125"/>
      <c r="PXC175" s="125"/>
      <c r="PXD175" s="125"/>
      <c r="PXE175" s="125"/>
      <c r="PXF175" s="125"/>
      <c r="PXG175" s="125"/>
      <c r="PXH175" s="125"/>
      <c r="PXI175" s="125"/>
      <c r="PXJ175" s="125"/>
      <c r="PXK175" s="125"/>
      <c r="PXL175" s="125"/>
      <c r="PXM175" s="125"/>
      <c r="PXN175" s="125"/>
      <c r="PXO175" s="125"/>
      <c r="PXP175" s="125"/>
      <c r="PXQ175" s="125"/>
      <c r="PXR175" s="125"/>
      <c r="PXS175" s="125"/>
      <c r="PXT175" s="125"/>
      <c r="PXU175" s="125"/>
      <c r="PXV175" s="125"/>
      <c r="PXW175" s="125"/>
      <c r="PXX175" s="125"/>
      <c r="PXY175" s="125"/>
      <c r="PXZ175" s="125"/>
      <c r="PYA175" s="125"/>
      <c r="PYB175" s="125"/>
      <c r="PYC175" s="125"/>
      <c r="PYD175" s="125"/>
      <c r="PYE175" s="125"/>
      <c r="PYF175" s="125"/>
      <c r="PYG175" s="125"/>
      <c r="PYH175" s="125"/>
      <c r="PYI175" s="125"/>
      <c r="PYJ175" s="125"/>
      <c r="PYK175" s="125"/>
      <c r="PYL175" s="125"/>
      <c r="PYM175" s="125"/>
      <c r="PYN175" s="125"/>
      <c r="PYO175" s="125"/>
      <c r="PYP175" s="125"/>
      <c r="PYQ175" s="125"/>
      <c r="PYR175" s="125"/>
      <c r="PYS175" s="125"/>
      <c r="PYT175" s="125"/>
      <c r="PYU175" s="125"/>
      <c r="PYV175" s="125"/>
      <c r="PYW175" s="125"/>
      <c r="PYX175" s="125"/>
      <c r="PYY175" s="125"/>
      <c r="PYZ175" s="125"/>
      <c r="PZA175" s="125"/>
      <c r="PZB175" s="125"/>
      <c r="PZC175" s="125"/>
      <c r="PZD175" s="125"/>
      <c r="PZE175" s="125"/>
      <c r="PZF175" s="125"/>
      <c r="PZG175" s="125"/>
      <c r="PZH175" s="125"/>
      <c r="PZI175" s="125"/>
      <c r="PZJ175" s="125"/>
      <c r="PZK175" s="125"/>
      <c r="PZL175" s="125"/>
      <c r="PZM175" s="125"/>
      <c r="PZN175" s="125"/>
      <c r="PZO175" s="125"/>
      <c r="PZP175" s="125"/>
      <c r="PZQ175" s="125"/>
      <c r="PZR175" s="125"/>
      <c r="PZS175" s="125"/>
      <c r="PZT175" s="125"/>
      <c r="PZU175" s="125"/>
      <c r="PZV175" s="125"/>
      <c r="PZW175" s="125"/>
      <c r="PZX175" s="125"/>
      <c r="PZY175" s="125"/>
      <c r="PZZ175" s="125"/>
      <c r="QAA175" s="125"/>
      <c r="QAB175" s="125"/>
      <c r="QAC175" s="125"/>
      <c r="QAD175" s="125"/>
      <c r="QAE175" s="125"/>
      <c r="QAF175" s="125"/>
      <c r="QAG175" s="125"/>
      <c r="QAH175" s="125"/>
      <c r="QAI175" s="125"/>
      <c r="QAJ175" s="125"/>
      <c r="QAK175" s="125"/>
      <c r="QAL175" s="125"/>
      <c r="QAM175" s="125"/>
      <c r="QAN175" s="125"/>
      <c r="QAO175" s="125"/>
      <c r="QAP175" s="125"/>
      <c r="QAQ175" s="125"/>
      <c r="QAR175" s="125"/>
      <c r="QAS175" s="125"/>
      <c r="QAT175" s="125"/>
      <c r="QAU175" s="125"/>
      <c r="QAV175" s="125"/>
      <c r="QAW175" s="125"/>
      <c r="QAX175" s="125"/>
      <c r="QAY175" s="125"/>
      <c r="QAZ175" s="125"/>
      <c r="QBA175" s="125"/>
      <c r="QBB175" s="125"/>
      <c r="QBC175" s="125"/>
      <c r="QBD175" s="125"/>
      <c r="QBE175" s="125"/>
      <c r="QBF175" s="125"/>
      <c r="QBG175" s="125"/>
      <c r="QBH175" s="125"/>
      <c r="QBI175" s="125"/>
      <c r="QBJ175" s="125"/>
      <c r="QBK175" s="125"/>
      <c r="QBL175" s="125"/>
      <c r="QBM175" s="125"/>
      <c r="QBN175" s="125"/>
      <c r="QBO175" s="125"/>
      <c r="QBP175" s="125"/>
      <c r="QBQ175" s="125"/>
      <c r="QBR175" s="125"/>
      <c r="QBS175" s="125"/>
      <c r="QBT175" s="125"/>
      <c r="QBU175" s="125"/>
      <c r="QBV175" s="125"/>
      <c r="QBW175" s="125"/>
      <c r="QBX175" s="125"/>
      <c r="QBY175" s="125"/>
      <c r="QBZ175" s="125"/>
      <c r="QCA175" s="125"/>
      <c r="QCB175" s="125"/>
      <c r="QCC175" s="125"/>
      <c r="QCD175" s="125"/>
      <c r="QCE175" s="125"/>
      <c r="QCF175" s="125"/>
      <c r="QCG175" s="125"/>
      <c r="QCH175" s="125"/>
      <c r="QCI175" s="125"/>
      <c r="QCJ175" s="125"/>
      <c r="QCK175" s="125"/>
      <c r="QCL175" s="125"/>
      <c r="QCM175" s="125"/>
      <c r="QCN175" s="125"/>
      <c r="QCO175" s="125"/>
      <c r="QCP175" s="125"/>
      <c r="QCQ175" s="125"/>
      <c r="QCR175" s="125"/>
      <c r="QCS175" s="125"/>
      <c r="QCT175" s="125"/>
      <c r="QCU175" s="125"/>
      <c r="QCV175" s="125"/>
      <c r="QCW175" s="125"/>
      <c r="QCX175" s="125"/>
      <c r="QCY175" s="125"/>
      <c r="QCZ175" s="125"/>
      <c r="QDA175" s="125"/>
      <c r="QDB175" s="125"/>
      <c r="QDC175" s="125"/>
      <c r="QDD175" s="125"/>
      <c r="QDE175" s="125"/>
      <c r="QDF175" s="125"/>
      <c r="QDG175" s="125"/>
      <c r="QDH175" s="125"/>
      <c r="QDI175" s="125"/>
      <c r="QDJ175" s="125"/>
      <c r="QDK175" s="125"/>
      <c r="QDL175" s="125"/>
      <c r="QDM175" s="125"/>
      <c r="QDN175" s="125"/>
      <c r="QDO175" s="125"/>
      <c r="QDP175" s="125"/>
      <c r="QDQ175" s="125"/>
      <c r="QDR175" s="125"/>
      <c r="QDS175" s="125"/>
      <c r="QDT175" s="125"/>
      <c r="QDU175" s="125"/>
      <c r="QDV175" s="125"/>
      <c r="QDW175" s="125"/>
      <c r="QDX175" s="125"/>
      <c r="QDY175" s="125"/>
      <c r="QDZ175" s="125"/>
      <c r="QEA175" s="125"/>
      <c r="QEB175" s="125"/>
      <c r="QEC175" s="125"/>
      <c r="QED175" s="125"/>
      <c r="QEE175" s="125"/>
      <c r="QEF175" s="125"/>
      <c r="QEG175" s="125"/>
      <c r="QEH175" s="125"/>
      <c r="QEI175" s="125"/>
      <c r="QEJ175" s="125"/>
      <c r="QEK175" s="125"/>
      <c r="QEL175" s="125"/>
      <c r="QEM175" s="125"/>
      <c r="QEN175" s="125"/>
      <c r="QEO175" s="125"/>
      <c r="QEP175" s="125"/>
      <c r="QEQ175" s="125"/>
      <c r="QER175" s="125"/>
      <c r="QES175" s="125"/>
      <c r="QET175" s="125"/>
      <c r="QEU175" s="125"/>
      <c r="QEV175" s="125"/>
      <c r="QEW175" s="125"/>
      <c r="QEX175" s="125"/>
      <c r="QEY175" s="125"/>
      <c r="QEZ175" s="125"/>
      <c r="QFA175" s="125"/>
      <c r="QFB175" s="125"/>
      <c r="QFC175" s="125"/>
      <c r="QFD175" s="125"/>
      <c r="QFE175" s="125"/>
      <c r="QFF175" s="125"/>
      <c r="QFG175" s="125"/>
      <c r="QFH175" s="125"/>
      <c r="QFI175" s="125"/>
      <c r="QFJ175" s="125"/>
      <c r="QFK175" s="125"/>
      <c r="QFL175" s="125"/>
      <c r="QFM175" s="125"/>
      <c r="QFN175" s="125"/>
      <c r="QFO175" s="125"/>
      <c r="QFP175" s="125"/>
      <c r="QFQ175" s="125"/>
      <c r="QFR175" s="125"/>
      <c r="QFS175" s="125"/>
      <c r="QFT175" s="125"/>
      <c r="QFU175" s="125"/>
      <c r="QFV175" s="125"/>
      <c r="QFW175" s="125"/>
      <c r="QFX175" s="125"/>
      <c r="QFY175" s="125"/>
      <c r="QFZ175" s="125"/>
      <c r="QGA175" s="125"/>
      <c r="QGB175" s="125"/>
      <c r="QGC175" s="125"/>
      <c r="QGD175" s="125"/>
      <c r="QGE175" s="125"/>
      <c r="QGF175" s="125"/>
      <c r="QGG175" s="125"/>
      <c r="QGH175" s="125"/>
      <c r="QGI175" s="125"/>
      <c r="QGJ175" s="125"/>
      <c r="QGK175" s="125"/>
      <c r="QGL175" s="125"/>
      <c r="QGM175" s="125"/>
      <c r="QGN175" s="125"/>
      <c r="QGO175" s="125"/>
      <c r="QGP175" s="125"/>
      <c r="QGQ175" s="125"/>
      <c r="QGR175" s="125"/>
      <c r="QGS175" s="125"/>
      <c r="QGT175" s="125"/>
      <c r="QGU175" s="125"/>
      <c r="QGV175" s="125"/>
      <c r="QGW175" s="125"/>
      <c r="QGX175" s="125"/>
      <c r="QGY175" s="125"/>
      <c r="QGZ175" s="125"/>
      <c r="QHA175" s="125"/>
      <c r="QHB175" s="125"/>
      <c r="QHC175" s="125"/>
      <c r="QHD175" s="125"/>
      <c r="QHE175" s="125"/>
      <c r="QHF175" s="125"/>
      <c r="QHG175" s="125"/>
      <c r="QHH175" s="125"/>
      <c r="QHI175" s="125"/>
      <c r="QHJ175" s="125"/>
      <c r="QHK175" s="125"/>
      <c r="QHL175" s="125"/>
      <c r="QHM175" s="125"/>
      <c r="QHN175" s="125"/>
      <c r="QHO175" s="125"/>
      <c r="QHP175" s="125"/>
      <c r="QHQ175" s="125"/>
      <c r="QHR175" s="125"/>
      <c r="QHS175" s="125"/>
      <c r="QHT175" s="125"/>
      <c r="QHU175" s="125"/>
      <c r="QHV175" s="125"/>
      <c r="QHW175" s="125"/>
      <c r="QHX175" s="125"/>
      <c r="QHY175" s="125"/>
      <c r="QHZ175" s="125"/>
      <c r="QIA175" s="125"/>
      <c r="QIB175" s="125"/>
      <c r="QIC175" s="125"/>
      <c r="QID175" s="125"/>
      <c r="QIE175" s="125"/>
      <c r="QIF175" s="125"/>
      <c r="QIG175" s="125"/>
      <c r="QIH175" s="125"/>
      <c r="QII175" s="125"/>
      <c r="QIJ175" s="125"/>
      <c r="QIK175" s="125"/>
      <c r="QIL175" s="125"/>
      <c r="QIM175" s="125"/>
      <c r="QIN175" s="125"/>
      <c r="QIO175" s="125"/>
      <c r="QIP175" s="125"/>
      <c r="QIQ175" s="125"/>
      <c r="QIR175" s="125"/>
      <c r="QIS175" s="125"/>
      <c r="QIT175" s="125"/>
      <c r="QIU175" s="125"/>
      <c r="QIV175" s="125"/>
      <c r="QIW175" s="125"/>
      <c r="QIX175" s="125"/>
      <c r="QIY175" s="125"/>
      <c r="QIZ175" s="125"/>
      <c r="QJA175" s="125"/>
      <c r="QJB175" s="125"/>
      <c r="QJC175" s="125"/>
      <c r="QJD175" s="125"/>
      <c r="QJE175" s="125"/>
      <c r="QJF175" s="125"/>
      <c r="QJG175" s="125"/>
      <c r="QJH175" s="125"/>
      <c r="QJI175" s="125"/>
      <c r="QJJ175" s="125"/>
      <c r="QJK175" s="125"/>
      <c r="QJL175" s="125"/>
      <c r="QJM175" s="125"/>
      <c r="QJN175" s="125"/>
      <c r="QJO175" s="125"/>
      <c r="QJP175" s="125"/>
      <c r="QJQ175" s="125"/>
      <c r="QJR175" s="125"/>
      <c r="QJS175" s="125"/>
      <c r="QJT175" s="125"/>
      <c r="QJU175" s="125"/>
      <c r="QJV175" s="125"/>
      <c r="QJW175" s="125"/>
      <c r="QJX175" s="125"/>
      <c r="QJY175" s="125"/>
      <c r="QJZ175" s="125"/>
      <c r="QKA175" s="125"/>
      <c r="QKB175" s="125"/>
      <c r="QKC175" s="125"/>
      <c r="QKD175" s="125"/>
      <c r="QKE175" s="125"/>
      <c r="QKF175" s="125"/>
      <c r="QKG175" s="125"/>
      <c r="QKH175" s="125"/>
      <c r="QKI175" s="125"/>
      <c r="QKJ175" s="125"/>
      <c r="QKK175" s="125"/>
      <c r="QKL175" s="125"/>
      <c r="QKM175" s="125"/>
      <c r="QKN175" s="125"/>
      <c r="QKO175" s="125"/>
      <c r="QKP175" s="125"/>
      <c r="QKQ175" s="125"/>
      <c r="QKR175" s="125"/>
      <c r="QKS175" s="125"/>
      <c r="QKT175" s="125"/>
      <c r="QKU175" s="125"/>
      <c r="QKV175" s="125"/>
      <c r="QKW175" s="125"/>
      <c r="QKX175" s="125"/>
      <c r="QKY175" s="125"/>
      <c r="QKZ175" s="125"/>
      <c r="QLA175" s="125"/>
      <c r="QLB175" s="125"/>
      <c r="QLC175" s="125"/>
      <c r="QLD175" s="125"/>
      <c r="QLE175" s="125"/>
      <c r="QLF175" s="125"/>
      <c r="QLG175" s="125"/>
      <c r="QLH175" s="125"/>
      <c r="QLI175" s="125"/>
      <c r="QLJ175" s="125"/>
      <c r="QLK175" s="125"/>
      <c r="QLL175" s="125"/>
      <c r="QLM175" s="125"/>
      <c r="QLN175" s="125"/>
      <c r="QLO175" s="125"/>
      <c r="QLP175" s="125"/>
      <c r="QLQ175" s="125"/>
      <c r="QLR175" s="125"/>
      <c r="QLS175" s="125"/>
      <c r="QLT175" s="125"/>
      <c r="QLU175" s="125"/>
      <c r="QLV175" s="125"/>
      <c r="QLW175" s="125"/>
      <c r="QLX175" s="125"/>
      <c r="QLY175" s="125"/>
      <c r="QLZ175" s="125"/>
      <c r="QMA175" s="125"/>
      <c r="QMB175" s="125"/>
      <c r="QMC175" s="125"/>
      <c r="QMD175" s="125"/>
      <c r="QME175" s="125"/>
      <c r="QMF175" s="125"/>
      <c r="QMG175" s="125"/>
      <c r="QMH175" s="125"/>
      <c r="QMI175" s="125"/>
      <c r="QMJ175" s="125"/>
      <c r="QMK175" s="125"/>
      <c r="QML175" s="125"/>
      <c r="QMM175" s="125"/>
      <c r="QMN175" s="125"/>
      <c r="QMO175" s="125"/>
      <c r="QMP175" s="125"/>
      <c r="QMQ175" s="125"/>
      <c r="QMR175" s="125"/>
      <c r="QMS175" s="125"/>
      <c r="QMT175" s="125"/>
      <c r="QMU175" s="125"/>
      <c r="QMV175" s="125"/>
      <c r="QMW175" s="125"/>
      <c r="QMX175" s="125"/>
      <c r="QMY175" s="125"/>
      <c r="QMZ175" s="125"/>
      <c r="QNA175" s="125"/>
      <c r="QNB175" s="125"/>
      <c r="QNC175" s="125"/>
      <c r="QND175" s="125"/>
      <c r="QNE175" s="125"/>
      <c r="QNF175" s="125"/>
      <c r="QNG175" s="125"/>
      <c r="QNH175" s="125"/>
      <c r="QNI175" s="125"/>
      <c r="QNJ175" s="125"/>
      <c r="QNK175" s="125"/>
      <c r="QNL175" s="125"/>
      <c r="QNM175" s="125"/>
      <c r="QNN175" s="125"/>
      <c r="QNO175" s="125"/>
      <c r="QNP175" s="125"/>
      <c r="QNQ175" s="125"/>
      <c r="QNR175" s="125"/>
      <c r="QNS175" s="125"/>
      <c r="QNT175" s="125"/>
      <c r="QNU175" s="125"/>
      <c r="QNV175" s="125"/>
      <c r="QNW175" s="125"/>
      <c r="QNX175" s="125"/>
      <c r="QNY175" s="125"/>
      <c r="QNZ175" s="125"/>
      <c r="QOA175" s="125"/>
      <c r="QOB175" s="125"/>
      <c r="QOC175" s="125"/>
      <c r="QOD175" s="125"/>
      <c r="QOE175" s="125"/>
      <c r="QOF175" s="125"/>
      <c r="QOG175" s="125"/>
      <c r="QOH175" s="125"/>
      <c r="QOI175" s="125"/>
      <c r="QOJ175" s="125"/>
      <c r="QOK175" s="125"/>
      <c r="QOL175" s="125"/>
      <c r="QOM175" s="125"/>
      <c r="QON175" s="125"/>
      <c r="QOO175" s="125"/>
      <c r="QOP175" s="125"/>
      <c r="QOQ175" s="125"/>
      <c r="QOR175" s="125"/>
      <c r="QOS175" s="125"/>
      <c r="QOT175" s="125"/>
      <c r="QOU175" s="125"/>
      <c r="QOV175" s="125"/>
      <c r="QOW175" s="125"/>
      <c r="QOX175" s="125"/>
      <c r="QOY175" s="125"/>
      <c r="QOZ175" s="125"/>
      <c r="QPA175" s="125"/>
      <c r="QPB175" s="125"/>
      <c r="QPC175" s="125"/>
      <c r="QPD175" s="125"/>
      <c r="QPE175" s="125"/>
      <c r="QPF175" s="125"/>
      <c r="QPG175" s="125"/>
      <c r="QPH175" s="125"/>
      <c r="QPI175" s="125"/>
      <c r="QPJ175" s="125"/>
      <c r="QPK175" s="125"/>
      <c r="QPL175" s="125"/>
      <c r="QPM175" s="125"/>
      <c r="QPN175" s="125"/>
      <c r="QPO175" s="125"/>
      <c r="QPP175" s="125"/>
      <c r="QPQ175" s="125"/>
      <c r="QPR175" s="125"/>
      <c r="QPS175" s="125"/>
      <c r="QPT175" s="125"/>
      <c r="QPU175" s="125"/>
      <c r="QPV175" s="125"/>
      <c r="QPW175" s="125"/>
      <c r="QPX175" s="125"/>
      <c r="QPY175" s="125"/>
      <c r="QPZ175" s="125"/>
      <c r="QQA175" s="125"/>
      <c r="QQB175" s="125"/>
      <c r="QQC175" s="125"/>
      <c r="QQD175" s="125"/>
      <c r="QQE175" s="125"/>
      <c r="QQF175" s="125"/>
      <c r="QQG175" s="125"/>
      <c r="QQH175" s="125"/>
      <c r="QQI175" s="125"/>
      <c r="QQJ175" s="125"/>
      <c r="QQK175" s="125"/>
      <c r="QQL175" s="125"/>
      <c r="QQM175" s="125"/>
      <c r="QQN175" s="125"/>
      <c r="QQO175" s="125"/>
      <c r="QQP175" s="125"/>
      <c r="QQQ175" s="125"/>
      <c r="QQR175" s="125"/>
      <c r="QQS175" s="125"/>
      <c r="QQT175" s="125"/>
      <c r="QQU175" s="125"/>
      <c r="QQV175" s="125"/>
      <c r="QQW175" s="125"/>
      <c r="QQX175" s="125"/>
      <c r="QQY175" s="125"/>
      <c r="QQZ175" s="125"/>
      <c r="QRA175" s="125"/>
      <c r="QRB175" s="125"/>
      <c r="QRC175" s="125"/>
      <c r="QRD175" s="125"/>
      <c r="QRE175" s="125"/>
      <c r="QRF175" s="125"/>
      <c r="QRG175" s="125"/>
      <c r="QRH175" s="125"/>
      <c r="QRI175" s="125"/>
      <c r="QRJ175" s="125"/>
      <c r="QRK175" s="125"/>
      <c r="QRL175" s="125"/>
      <c r="QRM175" s="125"/>
      <c r="QRN175" s="125"/>
      <c r="QRO175" s="125"/>
      <c r="QRP175" s="125"/>
      <c r="QRQ175" s="125"/>
      <c r="QRR175" s="125"/>
      <c r="QRS175" s="125"/>
      <c r="QRT175" s="125"/>
      <c r="QRU175" s="125"/>
      <c r="QRV175" s="125"/>
      <c r="QRW175" s="125"/>
      <c r="QRX175" s="125"/>
      <c r="QRY175" s="125"/>
      <c r="QRZ175" s="125"/>
      <c r="QSA175" s="125"/>
      <c r="QSB175" s="125"/>
      <c r="QSC175" s="125"/>
      <c r="QSD175" s="125"/>
      <c r="QSE175" s="125"/>
      <c r="QSF175" s="125"/>
      <c r="QSG175" s="125"/>
      <c r="QSH175" s="125"/>
      <c r="QSI175" s="125"/>
      <c r="QSJ175" s="125"/>
      <c r="QSK175" s="125"/>
      <c r="QSL175" s="125"/>
      <c r="QSM175" s="125"/>
      <c r="QSN175" s="125"/>
      <c r="QSO175" s="125"/>
      <c r="QSP175" s="125"/>
      <c r="QSQ175" s="125"/>
      <c r="QSR175" s="125"/>
      <c r="QSS175" s="125"/>
      <c r="QST175" s="125"/>
      <c r="QSU175" s="125"/>
      <c r="QSV175" s="125"/>
      <c r="QSW175" s="125"/>
      <c r="QSX175" s="125"/>
      <c r="QSY175" s="125"/>
      <c r="QSZ175" s="125"/>
      <c r="QTA175" s="125"/>
      <c r="QTB175" s="125"/>
      <c r="QTC175" s="125"/>
      <c r="QTD175" s="125"/>
      <c r="QTE175" s="125"/>
      <c r="QTF175" s="125"/>
      <c r="QTG175" s="125"/>
      <c r="QTH175" s="125"/>
      <c r="QTI175" s="125"/>
      <c r="QTJ175" s="125"/>
      <c r="QTK175" s="125"/>
      <c r="QTL175" s="125"/>
      <c r="QTM175" s="125"/>
      <c r="QTN175" s="125"/>
      <c r="QTO175" s="125"/>
      <c r="QTP175" s="125"/>
      <c r="QTQ175" s="125"/>
      <c r="QTR175" s="125"/>
      <c r="QTS175" s="125"/>
      <c r="QTT175" s="125"/>
      <c r="QTU175" s="125"/>
      <c r="QTV175" s="125"/>
      <c r="QTW175" s="125"/>
      <c r="QTX175" s="125"/>
      <c r="QTY175" s="125"/>
      <c r="QTZ175" s="125"/>
      <c r="QUA175" s="125"/>
      <c r="QUB175" s="125"/>
      <c r="QUC175" s="125"/>
      <c r="QUD175" s="125"/>
      <c r="QUE175" s="125"/>
      <c r="QUF175" s="125"/>
      <c r="QUG175" s="125"/>
      <c r="QUH175" s="125"/>
      <c r="QUI175" s="125"/>
      <c r="QUJ175" s="125"/>
      <c r="QUK175" s="125"/>
      <c r="QUL175" s="125"/>
      <c r="QUM175" s="125"/>
      <c r="QUN175" s="125"/>
      <c r="QUO175" s="125"/>
      <c r="QUP175" s="125"/>
      <c r="QUQ175" s="125"/>
      <c r="QUR175" s="125"/>
      <c r="QUS175" s="125"/>
      <c r="QUT175" s="125"/>
      <c r="QUU175" s="125"/>
      <c r="QUV175" s="125"/>
      <c r="QUW175" s="125"/>
      <c r="QUX175" s="125"/>
      <c r="QUY175" s="125"/>
      <c r="QUZ175" s="125"/>
      <c r="QVA175" s="125"/>
      <c r="QVB175" s="125"/>
      <c r="QVC175" s="125"/>
      <c r="QVD175" s="125"/>
      <c r="QVE175" s="125"/>
      <c r="QVF175" s="125"/>
      <c r="QVG175" s="125"/>
      <c r="QVH175" s="125"/>
      <c r="QVI175" s="125"/>
      <c r="QVJ175" s="125"/>
      <c r="QVK175" s="125"/>
      <c r="QVL175" s="125"/>
      <c r="QVM175" s="125"/>
      <c r="QVN175" s="125"/>
      <c r="QVO175" s="125"/>
      <c r="QVP175" s="125"/>
      <c r="QVQ175" s="125"/>
      <c r="QVR175" s="125"/>
      <c r="QVS175" s="125"/>
      <c r="QVT175" s="125"/>
      <c r="QVU175" s="125"/>
      <c r="QVV175" s="125"/>
      <c r="QVW175" s="125"/>
      <c r="QVX175" s="125"/>
      <c r="QVY175" s="125"/>
      <c r="QVZ175" s="125"/>
      <c r="QWA175" s="125"/>
      <c r="QWB175" s="125"/>
      <c r="QWC175" s="125"/>
      <c r="QWD175" s="125"/>
      <c r="QWE175" s="125"/>
      <c r="QWF175" s="125"/>
      <c r="QWG175" s="125"/>
      <c r="QWH175" s="125"/>
      <c r="QWI175" s="125"/>
      <c r="QWJ175" s="125"/>
      <c r="QWK175" s="125"/>
      <c r="QWL175" s="125"/>
      <c r="QWM175" s="125"/>
      <c r="QWN175" s="125"/>
      <c r="QWO175" s="125"/>
      <c r="QWP175" s="125"/>
      <c r="QWQ175" s="125"/>
      <c r="QWR175" s="125"/>
      <c r="QWS175" s="125"/>
      <c r="QWT175" s="125"/>
      <c r="QWU175" s="125"/>
      <c r="QWV175" s="125"/>
      <c r="QWW175" s="125"/>
      <c r="QWX175" s="125"/>
      <c r="QWY175" s="125"/>
      <c r="QWZ175" s="125"/>
      <c r="QXA175" s="125"/>
      <c r="QXB175" s="125"/>
      <c r="QXC175" s="125"/>
      <c r="QXD175" s="125"/>
      <c r="QXE175" s="125"/>
      <c r="QXF175" s="125"/>
      <c r="QXG175" s="125"/>
      <c r="QXH175" s="125"/>
      <c r="QXI175" s="125"/>
      <c r="QXJ175" s="125"/>
      <c r="QXK175" s="125"/>
      <c r="QXL175" s="125"/>
      <c r="QXM175" s="125"/>
      <c r="QXN175" s="125"/>
      <c r="QXO175" s="125"/>
      <c r="QXP175" s="125"/>
      <c r="QXQ175" s="125"/>
      <c r="QXR175" s="125"/>
      <c r="QXS175" s="125"/>
      <c r="QXT175" s="125"/>
      <c r="QXU175" s="125"/>
      <c r="QXV175" s="125"/>
      <c r="QXW175" s="125"/>
      <c r="QXX175" s="125"/>
      <c r="QXY175" s="125"/>
      <c r="QXZ175" s="125"/>
      <c r="QYA175" s="125"/>
      <c r="QYB175" s="125"/>
      <c r="QYC175" s="125"/>
      <c r="QYD175" s="125"/>
      <c r="QYE175" s="125"/>
      <c r="QYF175" s="125"/>
      <c r="QYG175" s="125"/>
      <c r="QYH175" s="125"/>
      <c r="QYI175" s="125"/>
      <c r="QYJ175" s="125"/>
      <c r="QYK175" s="125"/>
      <c r="QYL175" s="125"/>
      <c r="QYM175" s="125"/>
      <c r="QYN175" s="125"/>
      <c r="QYO175" s="125"/>
      <c r="QYP175" s="125"/>
      <c r="QYQ175" s="125"/>
      <c r="QYR175" s="125"/>
      <c r="QYS175" s="125"/>
      <c r="QYT175" s="125"/>
      <c r="QYU175" s="125"/>
      <c r="QYV175" s="125"/>
      <c r="QYW175" s="125"/>
      <c r="QYX175" s="125"/>
      <c r="QYY175" s="125"/>
      <c r="QYZ175" s="125"/>
      <c r="QZA175" s="125"/>
      <c r="QZB175" s="125"/>
      <c r="QZC175" s="125"/>
      <c r="QZD175" s="125"/>
      <c r="QZE175" s="125"/>
      <c r="QZF175" s="125"/>
      <c r="QZG175" s="125"/>
      <c r="QZH175" s="125"/>
      <c r="QZI175" s="125"/>
      <c r="QZJ175" s="125"/>
      <c r="QZK175" s="125"/>
      <c r="QZL175" s="125"/>
      <c r="QZM175" s="125"/>
      <c r="QZN175" s="125"/>
      <c r="QZO175" s="125"/>
      <c r="QZP175" s="125"/>
      <c r="QZQ175" s="125"/>
      <c r="QZR175" s="125"/>
      <c r="QZS175" s="125"/>
      <c r="QZT175" s="125"/>
      <c r="QZU175" s="125"/>
      <c r="QZV175" s="125"/>
      <c r="QZW175" s="125"/>
      <c r="QZX175" s="125"/>
      <c r="QZY175" s="125"/>
      <c r="QZZ175" s="125"/>
      <c r="RAA175" s="125"/>
      <c r="RAB175" s="125"/>
      <c r="RAC175" s="125"/>
      <c r="RAD175" s="125"/>
      <c r="RAE175" s="125"/>
      <c r="RAF175" s="125"/>
      <c r="RAG175" s="125"/>
      <c r="RAH175" s="125"/>
      <c r="RAI175" s="125"/>
      <c r="RAJ175" s="125"/>
      <c r="RAK175" s="125"/>
      <c r="RAL175" s="125"/>
      <c r="RAM175" s="125"/>
      <c r="RAN175" s="125"/>
      <c r="RAO175" s="125"/>
      <c r="RAP175" s="125"/>
      <c r="RAQ175" s="125"/>
      <c r="RAR175" s="125"/>
      <c r="RAS175" s="125"/>
      <c r="RAT175" s="125"/>
      <c r="RAU175" s="125"/>
      <c r="RAV175" s="125"/>
      <c r="RAW175" s="125"/>
      <c r="RAX175" s="125"/>
      <c r="RAY175" s="125"/>
      <c r="RAZ175" s="125"/>
      <c r="RBA175" s="125"/>
      <c r="RBB175" s="125"/>
      <c r="RBC175" s="125"/>
      <c r="RBD175" s="125"/>
      <c r="RBE175" s="125"/>
      <c r="RBF175" s="125"/>
      <c r="RBG175" s="125"/>
      <c r="RBH175" s="125"/>
      <c r="RBI175" s="125"/>
      <c r="RBJ175" s="125"/>
      <c r="RBK175" s="125"/>
      <c r="RBL175" s="125"/>
      <c r="RBM175" s="125"/>
      <c r="RBN175" s="125"/>
      <c r="RBO175" s="125"/>
      <c r="RBP175" s="125"/>
      <c r="RBQ175" s="125"/>
      <c r="RBR175" s="125"/>
      <c r="RBS175" s="125"/>
      <c r="RBT175" s="125"/>
      <c r="RBU175" s="125"/>
      <c r="RBV175" s="125"/>
      <c r="RBW175" s="125"/>
      <c r="RBX175" s="125"/>
      <c r="RBY175" s="125"/>
      <c r="RBZ175" s="125"/>
      <c r="RCA175" s="125"/>
      <c r="RCB175" s="125"/>
      <c r="RCC175" s="125"/>
      <c r="RCD175" s="125"/>
      <c r="RCE175" s="125"/>
      <c r="RCF175" s="125"/>
      <c r="RCG175" s="125"/>
      <c r="RCH175" s="125"/>
      <c r="RCI175" s="125"/>
      <c r="RCJ175" s="125"/>
      <c r="RCK175" s="125"/>
      <c r="RCL175" s="125"/>
      <c r="RCM175" s="125"/>
      <c r="RCN175" s="125"/>
      <c r="RCO175" s="125"/>
      <c r="RCP175" s="125"/>
      <c r="RCQ175" s="125"/>
      <c r="RCR175" s="125"/>
      <c r="RCS175" s="125"/>
      <c r="RCT175" s="125"/>
      <c r="RCU175" s="125"/>
      <c r="RCV175" s="125"/>
      <c r="RCW175" s="125"/>
      <c r="RCX175" s="125"/>
      <c r="RCY175" s="125"/>
      <c r="RCZ175" s="125"/>
      <c r="RDA175" s="125"/>
      <c r="RDB175" s="125"/>
      <c r="RDC175" s="125"/>
      <c r="RDD175" s="125"/>
      <c r="RDE175" s="125"/>
      <c r="RDF175" s="125"/>
      <c r="RDG175" s="125"/>
      <c r="RDH175" s="125"/>
      <c r="RDI175" s="125"/>
      <c r="RDJ175" s="125"/>
      <c r="RDK175" s="125"/>
      <c r="RDL175" s="125"/>
      <c r="RDM175" s="125"/>
      <c r="RDN175" s="125"/>
      <c r="RDO175" s="125"/>
      <c r="RDP175" s="125"/>
      <c r="RDQ175" s="125"/>
      <c r="RDR175" s="125"/>
      <c r="RDS175" s="125"/>
      <c r="RDT175" s="125"/>
      <c r="RDU175" s="125"/>
      <c r="RDV175" s="125"/>
      <c r="RDW175" s="125"/>
      <c r="RDX175" s="125"/>
      <c r="RDY175" s="125"/>
      <c r="RDZ175" s="125"/>
      <c r="REA175" s="125"/>
      <c r="REB175" s="125"/>
      <c r="REC175" s="125"/>
      <c r="RED175" s="125"/>
      <c r="REE175" s="125"/>
      <c r="REF175" s="125"/>
      <c r="REG175" s="125"/>
      <c r="REH175" s="125"/>
      <c r="REI175" s="125"/>
      <c r="REJ175" s="125"/>
      <c r="REK175" s="125"/>
      <c r="REL175" s="125"/>
      <c r="REM175" s="125"/>
      <c r="REN175" s="125"/>
      <c r="REO175" s="125"/>
      <c r="REP175" s="125"/>
      <c r="REQ175" s="125"/>
      <c r="RER175" s="125"/>
      <c r="RES175" s="125"/>
      <c r="RET175" s="125"/>
      <c r="REU175" s="125"/>
      <c r="REV175" s="125"/>
      <c r="REW175" s="125"/>
      <c r="REX175" s="125"/>
      <c r="REY175" s="125"/>
      <c r="REZ175" s="125"/>
      <c r="RFA175" s="125"/>
      <c r="RFB175" s="125"/>
      <c r="RFC175" s="125"/>
      <c r="RFD175" s="125"/>
      <c r="RFE175" s="125"/>
      <c r="RFF175" s="125"/>
      <c r="RFG175" s="125"/>
      <c r="RFH175" s="125"/>
      <c r="RFI175" s="125"/>
      <c r="RFJ175" s="125"/>
      <c r="RFK175" s="125"/>
      <c r="RFL175" s="125"/>
      <c r="RFM175" s="125"/>
      <c r="RFN175" s="125"/>
      <c r="RFO175" s="125"/>
      <c r="RFP175" s="125"/>
      <c r="RFQ175" s="125"/>
      <c r="RFR175" s="125"/>
      <c r="RFS175" s="125"/>
      <c r="RFT175" s="125"/>
      <c r="RFU175" s="125"/>
      <c r="RFV175" s="125"/>
      <c r="RFW175" s="125"/>
      <c r="RFX175" s="125"/>
      <c r="RFY175" s="125"/>
      <c r="RFZ175" s="125"/>
      <c r="RGA175" s="125"/>
      <c r="RGB175" s="125"/>
      <c r="RGC175" s="125"/>
      <c r="RGD175" s="125"/>
      <c r="RGE175" s="125"/>
      <c r="RGF175" s="125"/>
      <c r="RGG175" s="125"/>
      <c r="RGH175" s="125"/>
      <c r="RGI175" s="125"/>
      <c r="RGJ175" s="125"/>
      <c r="RGK175" s="125"/>
      <c r="RGL175" s="125"/>
      <c r="RGM175" s="125"/>
      <c r="RGN175" s="125"/>
      <c r="RGO175" s="125"/>
      <c r="RGP175" s="125"/>
      <c r="RGQ175" s="125"/>
      <c r="RGR175" s="125"/>
      <c r="RGS175" s="125"/>
      <c r="RGT175" s="125"/>
      <c r="RGU175" s="125"/>
      <c r="RGV175" s="125"/>
      <c r="RGW175" s="125"/>
      <c r="RGX175" s="125"/>
      <c r="RGY175" s="125"/>
      <c r="RGZ175" s="125"/>
      <c r="RHA175" s="125"/>
      <c r="RHB175" s="125"/>
      <c r="RHC175" s="125"/>
      <c r="RHD175" s="125"/>
      <c r="RHE175" s="125"/>
      <c r="RHF175" s="125"/>
      <c r="RHG175" s="125"/>
      <c r="RHH175" s="125"/>
      <c r="RHI175" s="125"/>
      <c r="RHJ175" s="125"/>
      <c r="RHK175" s="125"/>
      <c r="RHL175" s="125"/>
      <c r="RHM175" s="125"/>
      <c r="RHN175" s="125"/>
      <c r="RHO175" s="125"/>
      <c r="RHP175" s="125"/>
      <c r="RHQ175" s="125"/>
      <c r="RHR175" s="125"/>
      <c r="RHS175" s="125"/>
      <c r="RHT175" s="125"/>
      <c r="RHU175" s="125"/>
      <c r="RHV175" s="125"/>
      <c r="RHW175" s="125"/>
      <c r="RHX175" s="125"/>
      <c r="RHY175" s="125"/>
      <c r="RHZ175" s="125"/>
      <c r="RIA175" s="125"/>
      <c r="RIB175" s="125"/>
      <c r="RIC175" s="125"/>
      <c r="RID175" s="125"/>
      <c r="RIE175" s="125"/>
      <c r="RIF175" s="125"/>
      <c r="RIG175" s="125"/>
      <c r="RIH175" s="125"/>
      <c r="RII175" s="125"/>
      <c r="RIJ175" s="125"/>
      <c r="RIK175" s="125"/>
      <c r="RIL175" s="125"/>
      <c r="RIM175" s="125"/>
      <c r="RIN175" s="125"/>
      <c r="RIO175" s="125"/>
      <c r="RIP175" s="125"/>
      <c r="RIQ175" s="125"/>
      <c r="RIR175" s="125"/>
      <c r="RIS175" s="125"/>
      <c r="RIT175" s="125"/>
      <c r="RIU175" s="125"/>
      <c r="RIV175" s="125"/>
      <c r="RIW175" s="125"/>
      <c r="RIX175" s="125"/>
      <c r="RIY175" s="125"/>
      <c r="RIZ175" s="125"/>
      <c r="RJA175" s="125"/>
      <c r="RJB175" s="125"/>
      <c r="RJC175" s="125"/>
      <c r="RJD175" s="125"/>
      <c r="RJE175" s="125"/>
      <c r="RJF175" s="125"/>
      <c r="RJG175" s="125"/>
      <c r="RJH175" s="125"/>
      <c r="RJI175" s="125"/>
      <c r="RJJ175" s="125"/>
      <c r="RJK175" s="125"/>
      <c r="RJL175" s="125"/>
      <c r="RJM175" s="125"/>
      <c r="RJN175" s="125"/>
      <c r="RJO175" s="125"/>
      <c r="RJP175" s="125"/>
      <c r="RJQ175" s="125"/>
      <c r="RJR175" s="125"/>
      <c r="RJS175" s="125"/>
      <c r="RJT175" s="125"/>
      <c r="RJU175" s="125"/>
      <c r="RJV175" s="125"/>
      <c r="RJW175" s="125"/>
      <c r="RJX175" s="125"/>
      <c r="RJY175" s="125"/>
      <c r="RJZ175" s="125"/>
      <c r="RKA175" s="125"/>
      <c r="RKB175" s="125"/>
      <c r="RKC175" s="125"/>
      <c r="RKD175" s="125"/>
      <c r="RKE175" s="125"/>
      <c r="RKF175" s="125"/>
      <c r="RKG175" s="125"/>
      <c r="RKH175" s="125"/>
      <c r="RKI175" s="125"/>
      <c r="RKJ175" s="125"/>
      <c r="RKK175" s="125"/>
      <c r="RKL175" s="125"/>
      <c r="RKM175" s="125"/>
      <c r="RKN175" s="125"/>
      <c r="RKO175" s="125"/>
      <c r="RKP175" s="125"/>
      <c r="RKQ175" s="125"/>
      <c r="RKR175" s="125"/>
      <c r="RKS175" s="125"/>
      <c r="RKT175" s="125"/>
      <c r="RKU175" s="125"/>
      <c r="RKV175" s="125"/>
      <c r="RKW175" s="125"/>
      <c r="RKX175" s="125"/>
      <c r="RKY175" s="125"/>
      <c r="RKZ175" s="125"/>
      <c r="RLA175" s="125"/>
      <c r="RLB175" s="125"/>
      <c r="RLC175" s="125"/>
      <c r="RLD175" s="125"/>
      <c r="RLE175" s="125"/>
      <c r="RLF175" s="125"/>
      <c r="RLG175" s="125"/>
      <c r="RLH175" s="125"/>
      <c r="RLI175" s="125"/>
      <c r="RLJ175" s="125"/>
      <c r="RLK175" s="125"/>
      <c r="RLL175" s="125"/>
      <c r="RLM175" s="125"/>
      <c r="RLN175" s="125"/>
      <c r="RLO175" s="125"/>
      <c r="RLP175" s="125"/>
      <c r="RLQ175" s="125"/>
      <c r="RLR175" s="125"/>
      <c r="RLS175" s="125"/>
      <c r="RLT175" s="125"/>
      <c r="RLU175" s="125"/>
      <c r="RLV175" s="125"/>
      <c r="RLW175" s="125"/>
      <c r="RLX175" s="125"/>
      <c r="RLY175" s="125"/>
      <c r="RLZ175" s="125"/>
      <c r="RMA175" s="125"/>
      <c r="RMB175" s="125"/>
      <c r="RMC175" s="125"/>
      <c r="RMD175" s="125"/>
      <c r="RME175" s="125"/>
      <c r="RMF175" s="125"/>
      <c r="RMG175" s="125"/>
      <c r="RMH175" s="125"/>
      <c r="RMI175" s="125"/>
      <c r="RMJ175" s="125"/>
      <c r="RMK175" s="125"/>
      <c r="RML175" s="125"/>
      <c r="RMM175" s="125"/>
      <c r="RMN175" s="125"/>
      <c r="RMO175" s="125"/>
      <c r="RMP175" s="125"/>
      <c r="RMQ175" s="125"/>
      <c r="RMR175" s="125"/>
      <c r="RMS175" s="125"/>
      <c r="RMT175" s="125"/>
      <c r="RMU175" s="125"/>
      <c r="RMV175" s="125"/>
      <c r="RMW175" s="125"/>
      <c r="RMX175" s="125"/>
      <c r="RMY175" s="125"/>
      <c r="RMZ175" s="125"/>
      <c r="RNA175" s="125"/>
      <c r="RNB175" s="125"/>
      <c r="RNC175" s="125"/>
      <c r="RND175" s="125"/>
      <c r="RNE175" s="125"/>
      <c r="RNF175" s="125"/>
      <c r="RNG175" s="125"/>
      <c r="RNH175" s="125"/>
      <c r="RNI175" s="125"/>
      <c r="RNJ175" s="125"/>
      <c r="RNK175" s="125"/>
      <c r="RNL175" s="125"/>
      <c r="RNM175" s="125"/>
      <c r="RNN175" s="125"/>
      <c r="RNO175" s="125"/>
      <c r="RNP175" s="125"/>
      <c r="RNQ175" s="125"/>
      <c r="RNR175" s="125"/>
      <c r="RNS175" s="125"/>
      <c r="RNT175" s="125"/>
      <c r="RNU175" s="125"/>
      <c r="RNV175" s="125"/>
      <c r="RNW175" s="125"/>
      <c r="RNX175" s="125"/>
      <c r="RNY175" s="125"/>
      <c r="RNZ175" s="125"/>
      <c r="ROA175" s="125"/>
      <c r="ROB175" s="125"/>
      <c r="ROC175" s="125"/>
      <c r="ROD175" s="125"/>
      <c r="ROE175" s="125"/>
      <c r="ROF175" s="125"/>
      <c r="ROG175" s="125"/>
      <c r="ROH175" s="125"/>
      <c r="ROI175" s="125"/>
      <c r="ROJ175" s="125"/>
      <c r="ROK175" s="125"/>
      <c r="ROL175" s="125"/>
      <c r="ROM175" s="125"/>
      <c r="RON175" s="125"/>
      <c r="ROO175" s="125"/>
      <c r="ROP175" s="125"/>
      <c r="ROQ175" s="125"/>
      <c r="ROR175" s="125"/>
      <c r="ROS175" s="125"/>
      <c r="ROT175" s="125"/>
      <c r="ROU175" s="125"/>
      <c r="ROV175" s="125"/>
      <c r="ROW175" s="125"/>
      <c r="ROX175" s="125"/>
      <c r="ROY175" s="125"/>
      <c r="ROZ175" s="125"/>
      <c r="RPA175" s="125"/>
      <c r="RPB175" s="125"/>
      <c r="RPC175" s="125"/>
      <c r="RPD175" s="125"/>
      <c r="RPE175" s="125"/>
      <c r="RPF175" s="125"/>
      <c r="RPG175" s="125"/>
      <c r="RPH175" s="125"/>
      <c r="RPI175" s="125"/>
      <c r="RPJ175" s="125"/>
      <c r="RPK175" s="125"/>
      <c r="RPL175" s="125"/>
      <c r="RPM175" s="125"/>
      <c r="RPN175" s="125"/>
      <c r="RPO175" s="125"/>
      <c r="RPP175" s="125"/>
      <c r="RPQ175" s="125"/>
      <c r="RPR175" s="125"/>
      <c r="RPS175" s="125"/>
      <c r="RPT175" s="125"/>
      <c r="RPU175" s="125"/>
      <c r="RPV175" s="125"/>
      <c r="RPW175" s="125"/>
      <c r="RPX175" s="125"/>
      <c r="RPY175" s="125"/>
      <c r="RPZ175" s="125"/>
      <c r="RQA175" s="125"/>
      <c r="RQB175" s="125"/>
      <c r="RQC175" s="125"/>
      <c r="RQD175" s="125"/>
      <c r="RQE175" s="125"/>
      <c r="RQF175" s="125"/>
      <c r="RQG175" s="125"/>
      <c r="RQH175" s="125"/>
      <c r="RQI175" s="125"/>
      <c r="RQJ175" s="125"/>
      <c r="RQK175" s="125"/>
      <c r="RQL175" s="125"/>
      <c r="RQM175" s="125"/>
      <c r="RQN175" s="125"/>
      <c r="RQO175" s="125"/>
      <c r="RQP175" s="125"/>
      <c r="RQQ175" s="125"/>
      <c r="RQR175" s="125"/>
      <c r="RQS175" s="125"/>
      <c r="RQT175" s="125"/>
      <c r="RQU175" s="125"/>
      <c r="RQV175" s="125"/>
      <c r="RQW175" s="125"/>
      <c r="RQX175" s="125"/>
      <c r="RQY175" s="125"/>
      <c r="RQZ175" s="125"/>
      <c r="RRA175" s="125"/>
      <c r="RRB175" s="125"/>
      <c r="RRC175" s="125"/>
      <c r="RRD175" s="125"/>
      <c r="RRE175" s="125"/>
      <c r="RRF175" s="125"/>
      <c r="RRG175" s="125"/>
      <c r="RRH175" s="125"/>
      <c r="RRI175" s="125"/>
      <c r="RRJ175" s="125"/>
      <c r="RRK175" s="125"/>
      <c r="RRL175" s="125"/>
      <c r="RRM175" s="125"/>
      <c r="RRN175" s="125"/>
      <c r="RRO175" s="125"/>
      <c r="RRP175" s="125"/>
      <c r="RRQ175" s="125"/>
      <c r="RRR175" s="125"/>
      <c r="RRS175" s="125"/>
      <c r="RRT175" s="125"/>
      <c r="RRU175" s="125"/>
      <c r="RRV175" s="125"/>
      <c r="RRW175" s="125"/>
      <c r="RRX175" s="125"/>
      <c r="RRY175" s="125"/>
      <c r="RRZ175" s="125"/>
      <c r="RSA175" s="125"/>
      <c r="RSB175" s="125"/>
      <c r="RSC175" s="125"/>
      <c r="RSD175" s="125"/>
      <c r="RSE175" s="125"/>
      <c r="RSF175" s="125"/>
      <c r="RSG175" s="125"/>
      <c r="RSH175" s="125"/>
      <c r="RSI175" s="125"/>
      <c r="RSJ175" s="125"/>
      <c r="RSK175" s="125"/>
      <c r="RSL175" s="125"/>
      <c r="RSM175" s="125"/>
      <c r="RSN175" s="125"/>
      <c r="RSO175" s="125"/>
      <c r="RSP175" s="125"/>
      <c r="RSQ175" s="125"/>
      <c r="RSR175" s="125"/>
      <c r="RSS175" s="125"/>
      <c r="RST175" s="125"/>
      <c r="RSU175" s="125"/>
      <c r="RSV175" s="125"/>
      <c r="RSW175" s="125"/>
      <c r="RSX175" s="125"/>
      <c r="RSY175" s="125"/>
      <c r="RSZ175" s="125"/>
      <c r="RTA175" s="125"/>
      <c r="RTB175" s="125"/>
      <c r="RTC175" s="125"/>
      <c r="RTD175" s="125"/>
      <c r="RTE175" s="125"/>
      <c r="RTF175" s="125"/>
      <c r="RTG175" s="125"/>
      <c r="RTH175" s="125"/>
      <c r="RTI175" s="125"/>
      <c r="RTJ175" s="125"/>
      <c r="RTK175" s="125"/>
      <c r="RTL175" s="125"/>
      <c r="RTM175" s="125"/>
      <c r="RTN175" s="125"/>
      <c r="RTO175" s="125"/>
      <c r="RTP175" s="125"/>
      <c r="RTQ175" s="125"/>
      <c r="RTR175" s="125"/>
      <c r="RTS175" s="125"/>
      <c r="RTT175" s="125"/>
      <c r="RTU175" s="125"/>
      <c r="RTV175" s="125"/>
      <c r="RTW175" s="125"/>
      <c r="RTX175" s="125"/>
      <c r="RTY175" s="125"/>
      <c r="RTZ175" s="125"/>
      <c r="RUA175" s="125"/>
      <c r="RUB175" s="125"/>
      <c r="RUC175" s="125"/>
      <c r="RUD175" s="125"/>
      <c r="RUE175" s="125"/>
      <c r="RUF175" s="125"/>
      <c r="RUG175" s="125"/>
      <c r="RUH175" s="125"/>
      <c r="RUI175" s="125"/>
      <c r="RUJ175" s="125"/>
      <c r="RUK175" s="125"/>
      <c r="RUL175" s="125"/>
      <c r="RUM175" s="125"/>
      <c r="RUN175" s="125"/>
      <c r="RUO175" s="125"/>
      <c r="RUP175" s="125"/>
      <c r="RUQ175" s="125"/>
      <c r="RUR175" s="125"/>
      <c r="RUS175" s="125"/>
      <c r="RUT175" s="125"/>
      <c r="RUU175" s="125"/>
      <c r="RUV175" s="125"/>
      <c r="RUW175" s="125"/>
      <c r="RUX175" s="125"/>
      <c r="RUY175" s="125"/>
      <c r="RUZ175" s="125"/>
      <c r="RVA175" s="125"/>
      <c r="RVB175" s="125"/>
      <c r="RVC175" s="125"/>
      <c r="RVD175" s="125"/>
      <c r="RVE175" s="125"/>
      <c r="RVF175" s="125"/>
      <c r="RVG175" s="125"/>
      <c r="RVH175" s="125"/>
      <c r="RVI175" s="125"/>
      <c r="RVJ175" s="125"/>
      <c r="RVK175" s="125"/>
      <c r="RVL175" s="125"/>
      <c r="RVM175" s="125"/>
      <c r="RVN175" s="125"/>
      <c r="RVO175" s="125"/>
      <c r="RVP175" s="125"/>
      <c r="RVQ175" s="125"/>
      <c r="RVR175" s="125"/>
      <c r="RVS175" s="125"/>
      <c r="RVT175" s="125"/>
      <c r="RVU175" s="125"/>
      <c r="RVV175" s="125"/>
      <c r="RVW175" s="125"/>
      <c r="RVX175" s="125"/>
      <c r="RVY175" s="125"/>
      <c r="RVZ175" s="125"/>
      <c r="RWA175" s="125"/>
      <c r="RWB175" s="125"/>
      <c r="RWC175" s="125"/>
      <c r="RWD175" s="125"/>
      <c r="RWE175" s="125"/>
      <c r="RWF175" s="125"/>
      <c r="RWG175" s="125"/>
      <c r="RWH175" s="125"/>
      <c r="RWI175" s="125"/>
      <c r="RWJ175" s="125"/>
      <c r="RWK175" s="125"/>
      <c r="RWL175" s="125"/>
      <c r="RWM175" s="125"/>
      <c r="RWN175" s="125"/>
      <c r="RWO175" s="125"/>
      <c r="RWP175" s="125"/>
      <c r="RWQ175" s="125"/>
      <c r="RWR175" s="125"/>
      <c r="RWS175" s="125"/>
      <c r="RWT175" s="125"/>
      <c r="RWU175" s="125"/>
      <c r="RWV175" s="125"/>
      <c r="RWW175" s="125"/>
      <c r="RWX175" s="125"/>
      <c r="RWY175" s="125"/>
      <c r="RWZ175" s="125"/>
      <c r="RXA175" s="125"/>
      <c r="RXB175" s="125"/>
      <c r="RXC175" s="125"/>
      <c r="RXD175" s="125"/>
      <c r="RXE175" s="125"/>
      <c r="RXF175" s="125"/>
      <c r="RXG175" s="125"/>
      <c r="RXH175" s="125"/>
      <c r="RXI175" s="125"/>
      <c r="RXJ175" s="125"/>
      <c r="RXK175" s="125"/>
      <c r="RXL175" s="125"/>
      <c r="RXM175" s="125"/>
      <c r="RXN175" s="125"/>
      <c r="RXO175" s="125"/>
      <c r="RXP175" s="125"/>
      <c r="RXQ175" s="125"/>
      <c r="RXR175" s="125"/>
      <c r="RXS175" s="125"/>
      <c r="RXT175" s="125"/>
      <c r="RXU175" s="125"/>
      <c r="RXV175" s="125"/>
      <c r="RXW175" s="125"/>
      <c r="RXX175" s="125"/>
      <c r="RXY175" s="125"/>
      <c r="RXZ175" s="125"/>
      <c r="RYA175" s="125"/>
      <c r="RYB175" s="125"/>
      <c r="RYC175" s="125"/>
      <c r="RYD175" s="125"/>
      <c r="RYE175" s="125"/>
      <c r="RYF175" s="125"/>
      <c r="RYG175" s="125"/>
      <c r="RYH175" s="125"/>
      <c r="RYI175" s="125"/>
      <c r="RYJ175" s="125"/>
      <c r="RYK175" s="125"/>
      <c r="RYL175" s="125"/>
      <c r="RYM175" s="125"/>
      <c r="RYN175" s="125"/>
      <c r="RYO175" s="125"/>
      <c r="RYP175" s="125"/>
      <c r="RYQ175" s="125"/>
      <c r="RYR175" s="125"/>
      <c r="RYS175" s="125"/>
      <c r="RYT175" s="125"/>
      <c r="RYU175" s="125"/>
      <c r="RYV175" s="125"/>
      <c r="RYW175" s="125"/>
      <c r="RYX175" s="125"/>
      <c r="RYY175" s="125"/>
      <c r="RYZ175" s="125"/>
      <c r="RZA175" s="125"/>
      <c r="RZB175" s="125"/>
      <c r="RZC175" s="125"/>
      <c r="RZD175" s="125"/>
      <c r="RZE175" s="125"/>
      <c r="RZF175" s="125"/>
      <c r="RZG175" s="125"/>
      <c r="RZH175" s="125"/>
      <c r="RZI175" s="125"/>
      <c r="RZJ175" s="125"/>
      <c r="RZK175" s="125"/>
      <c r="RZL175" s="125"/>
      <c r="RZM175" s="125"/>
      <c r="RZN175" s="125"/>
      <c r="RZO175" s="125"/>
      <c r="RZP175" s="125"/>
      <c r="RZQ175" s="125"/>
      <c r="RZR175" s="125"/>
      <c r="RZS175" s="125"/>
      <c r="RZT175" s="125"/>
      <c r="RZU175" s="125"/>
      <c r="RZV175" s="125"/>
      <c r="RZW175" s="125"/>
      <c r="RZX175" s="125"/>
      <c r="RZY175" s="125"/>
      <c r="RZZ175" s="125"/>
      <c r="SAA175" s="125"/>
      <c r="SAB175" s="125"/>
      <c r="SAC175" s="125"/>
      <c r="SAD175" s="125"/>
      <c r="SAE175" s="125"/>
      <c r="SAF175" s="125"/>
      <c r="SAG175" s="125"/>
      <c r="SAH175" s="125"/>
      <c r="SAI175" s="125"/>
      <c r="SAJ175" s="125"/>
      <c r="SAK175" s="125"/>
      <c r="SAL175" s="125"/>
      <c r="SAM175" s="125"/>
      <c r="SAN175" s="125"/>
      <c r="SAO175" s="125"/>
      <c r="SAP175" s="125"/>
      <c r="SAQ175" s="125"/>
      <c r="SAR175" s="125"/>
      <c r="SAS175" s="125"/>
      <c r="SAT175" s="125"/>
      <c r="SAU175" s="125"/>
      <c r="SAV175" s="125"/>
      <c r="SAW175" s="125"/>
      <c r="SAX175" s="125"/>
      <c r="SAY175" s="125"/>
      <c r="SAZ175" s="125"/>
      <c r="SBA175" s="125"/>
      <c r="SBB175" s="125"/>
      <c r="SBC175" s="125"/>
      <c r="SBD175" s="125"/>
      <c r="SBE175" s="125"/>
      <c r="SBF175" s="125"/>
      <c r="SBG175" s="125"/>
      <c r="SBH175" s="125"/>
      <c r="SBI175" s="125"/>
      <c r="SBJ175" s="125"/>
      <c r="SBK175" s="125"/>
      <c r="SBL175" s="125"/>
      <c r="SBM175" s="125"/>
      <c r="SBN175" s="125"/>
      <c r="SBO175" s="125"/>
      <c r="SBP175" s="125"/>
      <c r="SBQ175" s="125"/>
      <c r="SBR175" s="125"/>
      <c r="SBS175" s="125"/>
      <c r="SBT175" s="125"/>
      <c r="SBU175" s="125"/>
      <c r="SBV175" s="125"/>
      <c r="SBW175" s="125"/>
      <c r="SBX175" s="125"/>
      <c r="SBY175" s="125"/>
      <c r="SBZ175" s="125"/>
      <c r="SCA175" s="125"/>
      <c r="SCB175" s="125"/>
      <c r="SCC175" s="125"/>
      <c r="SCD175" s="125"/>
      <c r="SCE175" s="125"/>
      <c r="SCF175" s="125"/>
      <c r="SCG175" s="125"/>
      <c r="SCH175" s="125"/>
      <c r="SCI175" s="125"/>
      <c r="SCJ175" s="125"/>
      <c r="SCK175" s="125"/>
      <c r="SCL175" s="125"/>
      <c r="SCM175" s="125"/>
      <c r="SCN175" s="125"/>
      <c r="SCO175" s="125"/>
      <c r="SCP175" s="125"/>
      <c r="SCQ175" s="125"/>
      <c r="SCR175" s="125"/>
      <c r="SCS175" s="125"/>
      <c r="SCT175" s="125"/>
      <c r="SCU175" s="125"/>
      <c r="SCV175" s="125"/>
      <c r="SCW175" s="125"/>
      <c r="SCX175" s="125"/>
      <c r="SCY175" s="125"/>
      <c r="SCZ175" s="125"/>
      <c r="SDA175" s="125"/>
      <c r="SDB175" s="125"/>
      <c r="SDC175" s="125"/>
      <c r="SDD175" s="125"/>
      <c r="SDE175" s="125"/>
      <c r="SDF175" s="125"/>
      <c r="SDG175" s="125"/>
      <c r="SDH175" s="125"/>
      <c r="SDI175" s="125"/>
      <c r="SDJ175" s="125"/>
      <c r="SDK175" s="125"/>
      <c r="SDL175" s="125"/>
      <c r="SDM175" s="125"/>
      <c r="SDN175" s="125"/>
      <c r="SDO175" s="125"/>
      <c r="SDP175" s="125"/>
      <c r="SDQ175" s="125"/>
      <c r="SDR175" s="125"/>
      <c r="SDS175" s="125"/>
      <c r="SDT175" s="125"/>
      <c r="SDU175" s="125"/>
      <c r="SDV175" s="125"/>
      <c r="SDW175" s="125"/>
      <c r="SDX175" s="125"/>
      <c r="SDY175" s="125"/>
      <c r="SDZ175" s="125"/>
      <c r="SEA175" s="125"/>
      <c r="SEB175" s="125"/>
      <c r="SEC175" s="125"/>
      <c r="SED175" s="125"/>
      <c r="SEE175" s="125"/>
      <c r="SEF175" s="125"/>
      <c r="SEG175" s="125"/>
      <c r="SEH175" s="125"/>
      <c r="SEI175" s="125"/>
      <c r="SEJ175" s="125"/>
      <c r="SEK175" s="125"/>
      <c r="SEL175" s="125"/>
      <c r="SEM175" s="125"/>
      <c r="SEN175" s="125"/>
      <c r="SEO175" s="125"/>
      <c r="SEP175" s="125"/>
      <c r="SEQ175" s="125"/>
      <c r="SER175" s="125"/>
      <c r="SES175" s="125"/>
      <c r="SET175" s="125"/>
      <c r="SEU175" s="125"/>
      <c r="SEV175" s="125"/>
      <c r="SEW175" s="125"/>
      <c r="SEX175" s="125"/>
      <c r="SEY175" s="125"/>
      <c r="SEZ175" s="125"/>
      <c r="SFA175" s="125"/>
      <c r="SFB175" s="125"/>
      <c r="SFC175" s="125"/>
      <c r="SFD175" s="125"/>
      <c r="SFE175" s="125"/>
      <c r="SFF175" s="125"/>
      <c r="SFG175" s="125"/>
      <c r="SFH175" s="125"/>
      <c r="SFI175" s="125"/>
      <c r="SFJ175" s="125"/>
      <c r="SFK175" s="125"/>
      <c r="SFL175" s="125"/>
      <c r="SFM175" s="125"/>
      <c r="SFN175" s="125"/>
      <c r="SFO175" s="125"/>
      <c r="SFP175" s="125"/>
      <c r="SFQ175" s="125"/>
      <c r="SFR175" s="125"/>
      <c r="SFS175" s="125"/>
      <c r="SFT175" s="125"/>
      <c r="SFU175" s="125"/>
      <c r="SFV175" s="125"/>
      <c r="SFW175" s="125"/>
      <c r="SFX175" s="125"/>
      <c r="SFY175" s="125"/>
      <c r="SFZ175" s="125"/>
      <c r="SGA175" s="125"/>
      <c r="SGB175" s="125"/>
      <c r="SGC175" s="125"/>
      <c r="SGD175" s="125"/>
      <c r="SGE175" s="125"/>
      <c r="SGF175" s="125"/>
      <c r="SGG175" s="125"/>
      <c r="SGH175" s="125"/>
      <c r="SGI175" s="125"/>
      <c r="SGJ175" s="125"/>
      <c r="SGK175" s="125"/>
      <c r="SGL175" s="125"/>
      <c r="SGM175" s="125"/>
      <c r="SGN175" s="125"/>
      <c r="SGO175" s="125"/>
      <c r="SGP175" s="125"/>
      <c r="SGQ175" s="125"/>
      <c r="SGR175" s="125"/>
      <c r="SGS175" s="125"/>
      <c r="SGT175" s="125"/>
      <c r="SGU175" s="125"/>
      <c r="SGV175" s="125"/>
      <c r="SGW175" s="125"/>
      <c r="SGX175" s="125"/>
      <c r="SGY175" s="125"/>
      <c r="SGZ175" s="125"/>
      <c r="SHA175" s="125"/>
      <c r="SHB175" s="125"/>
      <c r="SHC175" s="125"/>
      <c r="SHD175" s="125"/>
      <c r="SHE175" s="125"/>
      <c r="SHF175" s="125"/>
      <c r="SHG175" s="125"/>
      <c r="SHH175" s="125"/>
      <c r="SHI175" s="125"/>
      <c r="SHJ175" s="125"/>
      <c r="SHK175" s="125"/>
      <c r="SHL175" s="125"/>
      <c r="SHM175" s="125"/>
      <c r="SHN175" s="125"/>
      <c r="SHO175" s="125"/>
      <c r="SHP175" s="125"/>
      <c r="SHQ175" s="125"/>
      <c r="SHR175" s="125"/>
      <c r="SHS175" s="125"/>
      <c r="SHT175" s="125"/>
      <c r="SHU175" s="125"/>
      <c r="SHV175" s="125"/>
      <c r="SHW175" s="125"/>
      <c r="SHX175" s="125"/>
      <c r="SHY175" s="125"/>
      <c r="SHZ175" s="125"/>
      <c r="SIA175" s="125"/>
      <c r="SIB175" s="125"/>
      <c r="SIC175" s="125"/>
      <c r="SID175" s="125"/>
      <c r="SIE175" s="125"/>
      <c r="SIF175" s="125"/>
      <c r="SIG175" s="125"/>
      <c r="SIH175" s="125"/>
      <c r="SII175" s="125"/>
      <c r="SIJ175" s="125"/>
      <c r="SIK175" s="125"/>
      <c r="SIL175" s="125"/>
      <c r="SIM175" s="125"/>
      <c r="SIN175" s="125"/>
      <c r="SIO175" s="125"/>
      <c r="SIP175" s="125"/>
      <c r="SIQ175" s="125"/>
      <c r="SIR175" s="125"/>
      <c r="SIS175" s="125"/>
      <c r="SIT175" s="125"/>
      <c r="SIU175" s="125"/>
      <c r="SIV175" s="125"/>
      <c r="SIW175" s="125"/>
      <c r="SIX175" s="125"/>
      <c r="SIY175" s="125"/>
      <c r="SIZ175" s="125"/>
      <c r="SJA175" s="125"/>
      <c r="SJB175" s="125"/>
      <c r="SJC175" s="125"/>
      <c r="SJD175" s="125"/>
      <c r="SJE175" s="125"/>
      <c r="SJF175" s="125"/>
      <c r="SJG175" s="125"/>
      <c r="SJH175" s="125"/>
      <c r="SJI175" s="125"/>
      <c r="SJJ175" s="125"/>
      <c r="SJK175" s="125"/>
      <c r="SJL175" s="125"/>
      <c r="SJM175" s="125"/>
      <c r="SJN175" s="125"/>
      <c r="SJO175" s="125"/>
      <c r="SJP175" s="125"/>
      <c r="SJQ175" s="125"/>
      <c r="SJR175" s="125"/>
      <c r="SJS175" s="125"/>
      <c r="SJT175" s="125"/>
      <c r="SJU175" s="125"/>
      <c r="SJV175" s="125"/>
      <c r="SJW175" s="125"/>
      <c r="SJX175" s="125"/>
      <c r="SJY175" s="125"/>
      <c r="SJZ175" s="125"/>
      <c r="SKA175" s="125"/>
      <c r="SKB175" s="125"/>
      <c r="SKC175" s="125"/>
      <c r="SKD175" s="125"/>
      <c r="SKE175" s="125"/>
      <c r="SKF175" s="125"/>
      <c r="SKG175" s="125"/>
      <c r="SKH175" s="125"/>
      <c r="SKI175" s="125"/>
      <c r="SKJ175" s="125"/>
      <c r="SKK175" s="125"/>
      <c r="SKL175" s="125"/>
      <c r="SKM175" s="125"/>
      <c r="SKN175" s="125"/>
      <c r="SKO175" s="125"/>
      <c r="SKP175" s="125"/>
      <c r="SKQ175" s="125"/>
      <c r="SKR175" s="125"/>
      <c r="SKS175" s="125"/>
      <c r="SKT175" s="125"/>
      <c r="SKU175" s="125"/>
      <c r="SKV175" s="125"/>
      <c r="SKW175" s="125"/>
      <c r="SKX175" s="125"/>
      <c r="SKY175" s="125"/>
      <c r="SKZ175" s="125"/>
      <c r="SLA175" s="125"/>
      <c r="SLB175" s="125"/>
      <c r="SLC175" s="125"/>
      <c r="SLD175" s="125"/>
      <c r="SLE175" s="125"/>
      <c r="SLF175" s="125"/>
      <c r="SLG175" s="125"/>
      <c r="SLH175" s="125"/>
      <c r="SLI175" s="125"/>
      <c r="SLJ175" s="125"/>
      <c r="SLK175" s="125"/>
      <c r="SLL175" s="125"/>
      <c r="SLM175" s="125"/>
      <c r="SLN175" s="125"/>
      <c r="SLO175" s="125"/>
      <c r="SLP175" s="125"/>
      <c r="SLQ175" s="125"/>
      <c r="SLR175" s="125"/>
      <c r="SLS175" s="125"/>
      <c r="SLT175" s="125"/>
      <c r="SLU175" s="125"/>
      <c r="SLV175" s="125"/>
      <c r="SLW175" s="125"/>
      <c r="SLX175" s="125"/>
      <c r="SLY175" s="125"/>
      <c r="SLZ175" s="125"/>
      <c r="SMA175" s="125"/>
      <c r="SMB175" s="125"/>
      <c r="SMC175" s="125"/>
      <c r="SMD175" s="125"/>
      <c r="SME175" s="125"/>
      <c r="SMF175" s="125"/>
      <c r="SMG175" s="125"/>
      <c r="SMH175" s="125"/>
      <c r="SMI175" s="125"/>
      <c r="SMJ175" s="125"/>
      <c r="SMK175" s="125"/>
      <c r="SML175" s="125"/>
      <c r="SMM175" s="125"/>
      <c r="SMN175" s="125"/>
      <c r="SMO175" s="125"/>
      <c r="SMP175" s="125"/>
      <c r="SMQ175" s="125"/>
      <c r="SMR175" s="125"/>
      <c r="SMS175" s="125"/>
      <c r="SMT175" s="125"/>
      <c r="SMU175" s="125"/>
      <c r="SMV175" s="125"/>
      <c r="SMW175" s="125"/>
      <c r="SMX175" s="125"/>
      <c r="SMY175" s="125"/>
      <c r="SMZ175" s="125"/>
      <c r="SNA175" s="125"/>
      <c r="SNB175" s="125"/>
      <c r="SNC175" s="125"/>
      <c r="SND175" s="125"/>
      <c r="SNE175" s="125"/>
      <c r="SNF175" s="125"/>
      <c r="SNG175" s="125"/>
      <c r="SNH175" s="125"/>
      <c r="SNI175" s="125"/>
      <c r="SNJ175" s="125"/>
      <c r="SNK175" s="125"/>
      <c r="SNL175" s="125"/>
      <c r="SNM175" s="125"/>
      <c r="SNN175" s="125"/>
      <c r="SNO175" s="125"/>
      <c r="SNP175" s="125"/>
      <c r="SNQ175" s="125"/>
      <c r="SNR175" s="125"/>
      <c r="SNS175" s="125"/>
      <c r="SNT175" s="125"/>
      <c r="SNU175" s="125"/>
      <c r="SNV175" s="125"/>
      <c r="SNW175" s="125"/>
      <c r="SNX175" s="125"/>
      <c r="SNY175" s="125"/>
      <c r="SNZ175" s="125"/>
      <c r="SOA175" s="125"/>
      <c r="SOB175" s="125"/>
      <c r="SOC175" s="125"/>
      <c r="SOD175" s="125"/>
      <c r="SOE175" s="125"/>
      <c r="SOF175" s="125"/>
      <c r="SOG175" s="125"/>
      <c r="SOH175" s="125"/>
      <c r="SOI175" s="125"/>
      <c r="SOJ175" s="125"/>
      <c r="SOK175" s="125"/>
      <c r="SOL175" s="125"/>
      <c r="SOM175" s="125"/>
      <c r="SON175" s="125"/>
      <c r="SOO175" s="125"/>
      <c r="SOP175" s="125"/>
      <c r="SOQ175" s="125"/>
      <c r="SOR175" s="125"/>
      <c r="SOS175" s="125"/>
      <c r="SOT175" s="125"/>
      <c r="SOU175" s="125"/>
      <c r="SOV175" s="125"/>
      <c r="SOW175" s="125"/>
      <c r="SOX175" s="125"/>
      <c r="SOY175" s="125"/>
      <c r="SOZ175" s="125"/>
      <c r="SPA175" s="125"/>
      <c r="SPB175" s="125"/>
      <c r="SPC175" s="125"/>
      <c r="SPD175" s="125"/>
      <c r="SPE175" s="125"/>
      <c r="SPF175" s="125"/>
      <c r="SPG175" s="125"/>
      <c r="SPH175" s="125"/>
      <c r="SPI175" s="125"/>
      <c r="SPJ175" s="125"/>
      <c r="SPK175" s="125"/>
      <c r="SPL175" s="125"/>
      <c r="SPM175" s="125"/>
      <c r="SPN175" s="125"/>
      <c r="SPO175" s="125"/>
      <c r="SPP175" s="125"/>
      <c r="SPQ175" s="125"/>
      <c r="SPR175" s="125"/>
      <c r="SPS175" s="125"/>
      <c r="SPT175" s="125"/>
      <c r="SPU175" s="125"/>
      <c r="SPV175" s="125"/>
      <c r="SPW175" s="125"/>
      <c r="SPX175" s="125"/>
      <c r="SPY175" s="125"/>
      <c r="SPZ175" s="125"/>
      <c r="SQA175" s="125"/>
      <c r="SQB175" s="125"/>
      <c r="SQC175" s="125"/>
      <c r="SQD175" s="125"/>
      <c r="SQE175" s="125"/>
      <c r="SQF175" s="125"/>
      <c r="SQG175" s="125"/>
      <c r="SQH175" s="125"/>
      <c r="SQI175" s="125"/>
      <c r="SQJ175" s="125"/>
      <c r="SQK175" s="125"/>
      <c r="SQL175" s="125"/>
      <c r="SQM175" s="125"/>
      <c r="SQN175" s="125"/>
      <c r="SQO175" s="125"/>
      <c r="SQP175" s="125"/>
      <c r="SQQ175" s="125"/>
      <c r="SQR175" s="125"/>
      <c r="SQS175" s="125"/>
      <c r="SQT175" s="125"/>
      <c r="SQU175" s="125"/>
      <c r="SQV175" s="125"/>
      <c r="SQW175" s="125"/>
      <c r="SQX175" s="125"/>
      <c r="SQY175" s="125"/>
      <c r="SQZ175" s="125"/>
      <c r="SRA175" s="125"/>
      <c r="SRB175" s="125"/>
      <c r="SRC175" s="125"/>
      <c r="SRD175" s="125"/>
      <c r="SRE175" s="125"/>
      <c r="SRF175" s="125"/>
      <c r="SRG175" s="125"/>
      <c r="SRH175" s="125"/>
      <c r="SRI175" s="125"/>
      <c r="SRJ175" s="125"/>
      <c r="SRK175" s="125"/>
      <c r="SRL175" s="125"/>
      <c r="SRM175" s="125"/>
      <c r="SRN175" s="125"/>
      <c r="SRO175" s="125"/>
      <c r="SRP175" s="125"/>
      <c r="SRQ175" s="125"/>
      <c r="SRR175" s="125"/>
      <c r="SRS175" s="125"/>
      <c r="SRT175" s="125"/>
      <c r="SRU175" s="125"/>
      <c r="SRV175" s="125"/>
      <c r="SRW175" s="125"/>
      <c r="SRX175" s="125"/>
      <c r="SRY175" s="125"/>
      <c r="SRZ175" s="125"/>
      <c r="SSA175" s="125"/>
      <c r="SSB175" s="125"/>
      <c r="SSC175" s="125"/>
      <c r="SSD175" s="125"/>
      <c r="SSE175" s="125"/>
      <c r="SSF175" s="125"/>
      <c r="SSG175" s="125"/>
      <c r="SSH175" s="125"/>
      <c r="SSI175" s="125"/>
      <c r="SSJ175" s="125"/>
      <c r="SSK175" s="125"/>
      <c r="SSL175" s="125"/>
      <c r="SSM175" s="125"/>
      <c r="SSN175" s="125"/>
      <c r="SSO175" s="125"/>
      <c r="SSP175" s="125"/>
      <c r="SSQ175" s="125"/>
      <c r="SSR175" s="125"/>
      <c r="SSS175" s="125"/>
      <c r="SST175" s="125"/>
      <c r="SSU175" s="125"/>
      <c r="SSV175" s="125"/>
      <c r="SSW175" s="125"/>
      <c r="SSX175" s="125"/>
      <c r="SSY175" s="125"/>
      <c r="SSZ175" s="125"/>
      <c r="STA175" s="125"/>
      <c r="STB175" s="125"/>
      <c r="STC175" s="125"/>
      <c r="STD175" s="125"/>
      <c r="STE175" s="125"/>
      <c r="STF175" s="125"/>
      <c r="STG175" s="125"/>
      <c r="STH175" s="125"/>
      <c r="STI175" s="125"/>
      <c r="STJ175" s="125"/>
      <c r="STK175" s="125"/>
      <c r="STL175" s="125"/>
      <c r="STM175" s="125"/>
      <c r="STN175" s="125"/>
      <c r="STO175" s="125"/>
      <c r="STP175" s="125"/>
      <c r="STQ175" s="125"/>
      <c r="STR175" s="125"/>
      <c r="STS175" s="125"/>
      <c r="STT175" s="125"/>
      <c r="STU175" s="125"/>
      <c r="STV175" s="125"/>
      <c r="STW175" s="125"/>
      <c r="STX175" s="125"/>
      <c r="STY175" s="125"/>
      <c r="STZ175" s="125"/>
      <c r="SUA175" s="125"/>
      <c r="SUB175" s="125"/>
      <c r="SUC175" s="125"/>
      <c r="SUD175" s="125"/>
      <c r="SUE175" s="125"/>
      <c r="SUF175" s="125"/>
      <c r="SUG175" s="125"/>
      <c r="SUH175" s="125"/>
      <c r="SUI175" s="125"/>
      <c r="SUJ175" s="125"/>
      <c r="SUK175" s="125"/>
      <c r="SUL175" s="125"/>
      <c r="SUM175" s="125"/>
      <c r="SUN175" s="125"/>
      <c r="SUO175" s="125"/>
      <c r="SUP175" s="125"/>
      <c r="SUQ175" s="125"/>
      <c r="SUR175" s="125"/>
      <c r="SUS175" s="125"/>
      <c r="SUT175" s="125"/>
      <c r="SUU175" s="125"/>
      <c r="SUV175" s="125"/>
      <c r="SUW175" s="125"/>
      <c r="SUX175" s="125"/>
      <c r="SUY175" s="125"/>
      <c r="SUZ175" s="125"/>
      <c r="SVA175" s="125"/>
      <c r="SVB175" s="125"/>
      <c r="SVC175" s="125"/>
      <c r="SVD175" s="125"/>
      <c r="SVE175" s="125"/>
      <c r="SVF175" s="125"/>
      <c r="SVG175" s="125"/>
      <c r="SVH175" s="125"/>
      <c r="SVI175" s="125"/>
      <c r="SVJ175" s="125"/>
      <c r="SVK175" s="125"/>
      <c r="SVL175" s="125"/>
      <c r="SVM175" s="125"/>
      <c r="SVN175" s="125"/>
      <c r="SVO175" s="125"/>
      <c r="SVP175" s="125"/>
      <c r="SVQ175" s="125"/>
      <c r="SVR175" s="125"/>
      <c r="SVS175" s="125"/>
      <c r="SVT175" s="125"/>
      <c r="SVU175" s="125"/>
      <c r="SVV175" s="125"/>
      <c r="SVW175" s="125"/>
      <c r="SVX175" s="125"/>
      <c r="SVY175" s="125"/>
      <c r="SVZ175" s="125"/>
      <c r="SWA175" s="125"/>
      <c r="SWB175" s="125"/>
      <c r="SWC175" s="125"/>
      <c r="SWD175" s="125"/>
      <c r="SWE175" s="125"/>
      <c r="SWF175" s="125"/>
      <c r="SWG175" s="125"/>
      <c r="SWH175" s="125"/>
      <c r="SWI175" s="125"/>
      <c r="SWJ175" s="125"/>
      <c r="SWK175" s="125"/>
      <c r="SWL175" s="125"/>
      <c r="SWM175" s="125"/>
      <c r="SWN175" s="125"/>
      <c r="SWO175" s="125"/>
      <c r="SWP175" s="125"/>
      <c r="SWQ175" s="125"/>
      <c r="SWR175" s="125"/>
      <c r="SWS175" s="125"/>
      <c r="SWT175" s="125"/>
      <c r="SWU175" s="125"/>
      <c r="SWV175" s="125"/>
      <c r="SWW175" s="125"/>
      <c r="SWX175" s="125"/>
      <c r="SWY175" s="125"/>
      <c r="SWZ175" s="125"/>
      <c r="SXA175" s="125"/>
      <c r="SXB175" s="125"/>
      <c r="SXC175" s="125"/>
      <c r="SXD175" s="125"/>
      <c r="SXE175" s="125"/>
      <c r="SXF175" s="125"/>
      <c r="SXG175" s="125"/>
      <c r="SXH175" s="125"/>
      <c r="SXI175" s="125"/>
      <c r="SXJ175" s="125"/>
      <c r="SXK175" s="125"/>
      <c r="SXL175" s="125"/>
      <c r="SXM175" s="125"/>
      <c r="SXN175" s="125"/>
      <c r="SXO175" s="125"/>
      <c r="SXP175" s="125"/>
      <c r="SXQ175" s="125"/>
      <c r="SXR175" s="125"/>
      <c r="SXS175" s="125"/>
      <c r="SXT175" s="125"/>
      <c r="SXU175" s="125"/>
      <c r="SXV175" s="125"/>
      <c r="SXW175" s="125"/>
      <c r="SXX175" s="125"/>
      <c r="SXY175" s="125"/>
      <c r="SXZ175" s="125"/>
      <c r="SYA175" s="125"/>
      <c r="SYB175" s="125"/>
      <c r="SYC175" s="125"/>
      <c r="SYD175" s="125"/>
      <c r="SYE175" s="125"/>
      <c r="SYF175" s="125"/>
      <c r="SYG175" s="125"/>
      <c r="SYH175" s="125"/>
      <c r="SYI175" s="125"/>
      <c r="SYJ175" s="125"/>
      <c r="SYK175" s="125"/>
      <c r="SYL175" s="125"/>
      <c r="SYM175" s="125"/>
      <c r="SYN175" s="125"/>
      <c r="SYO175" s="125"/>
      <c r="SYP175" s="125"/>
      <c r="SYQ175" s="125"/>
      <c r="SYR175" s="125"/>
      <c r="SYS175" s="125"/>
      <c r="SYT175" s="125"/>
      <c r="SYU175" s="125"/>
      <c r="SYV175" s="125"/>
      <c r="SYW175" s="125"/>
      <c r="SYX175" s="125"/>
      <c r="SYY175" s="125"/>
      <c r="SYZ175" s="125"/>
      <c r="SZA175" s="125"/>
      <c r="SZB175" s="125"/>
      <c r="SZC175" s="125"/>
      <c r="SZD175" s="125"/>
      <c r="SZE175" s="125"/>
      <c r="SZF175" s="125"/>
      <c r="SZG175" s="125"/>
      <c r="SZH175" s="125"/>
      <c r="SZI175" s="125"/>
      <c r="SZJ175" s="125"/>
      <c r="SZK175" s="125"/>
      <c r="SZL175" s="125"/>
      <c r="SZM175" s="125"/>
      <c r="SZN175" s="125"/>
      <c r="SZO175" s="125"/>
      <c r="SZP175" s="125"/>
      <c r="SZQ175" s="125"/>
      <c r="SZR175" s="125"/>
      <c r="SZS175" s="125"/>
      <c r="SZT175" s="125"/>
      <c r="SZU175" s="125"/>
      <c r="SZV175" s="125"/>
      <c r="SZW175" s="125"/>
      <c r="SZX175" s="125"/>
      <c r="SZY175" s="125"/>
      <c r="SZZ175" s="125"/>
      <c r="TAA175" s="125"/>
      <c r="TAB175" s="125"/>
      <c r="TAC175" s="125"/>
      <c r="TAD175" s="125"/>
      <c r="TAE175" s="125"/>
      <c r="TAF175" s="125"/>
      <c r="TAG175" s="125"/>
      <c r="TAH175" s="125"/>
      <c r="TAI175" s="125"/>
      <c r="TAJ175" s="125"/>
      <c r="TAK175" s="125"/>
      <c r="TAL175" s="125"/>
      <c r="TAM175" s="125"/>
      <c r="TAN175" s="125"/>
      <c r="TAO175" s="125"/>
      <c r="TAP175" s="125"/>
      <c r="TAQ175" s="125"/>
      <c r="TAR175" s="125"/>
      <c r="TAS175" s="125"/>
      <c r="TAT175" s="125"/>
      <c r="TAU175" s="125"/>
      <c r="TAV175" s="125"/>
      <c r="TAW175" s="125"/>
      <c r="TAX175" s="125"/>
      <c r="TAY175" s="125"/>
      <c r="TAZ175" s="125"/>
      <c r="TBA175" s="125"/>
      <c r="TBB175" s="125"/>
      <c r="TBC175" s="125"/>
      <c r="TBD175" s="125"/>
      <c r="TBE175" s="125"/>
      <c r="TBF175" s="125"/>
      <c r="TBG175" s="125"/>
      <c r="TBH175" s="125"/>
      <c r="TBI175" s="125"/>
      <c r="TBJ175" s="125"/>
      <c r="TBK175" s="125"/>
      <c r="TBL175" s="125"/>
      <c r="TBM175" s="125"/>
      <c r="TBN175" s="125"/>
      <c r="TBO175" s="125"/>
      <c r="TBP175" s="125"/>
      <c r="TBQ175" s="125"/>
      <c r="TBR175" s="125"/>
      <c r="TBS175" s="125"/>
      <c r="TBT175" s="125"/>
      <c r="TBU175" s="125"/>
      <c r="TBV175" s="125"/>
      <c r="TBW175" s="125"/>
      <c r="TBX175" s="125"/>
      <c r="TBY175" s="125"/>
      <c r="TBZ175" s="125"/>
      <c r="TCA175" s="125"/>
      <c r="TCB175" s="125"/>
      <c r="TCC175" s="125"/>
      <c r="TCD175" s="125"/>
      <c r="TCE175" s="125"/>
      <c r="TCF175" s="125"/>
      <c r="TCG175" s="125"/>
      <c r="TCH175" s="125"/>
      <c r="TCI175" s="125"/>
      <c r="TCJ175" s="125"/>
      <c r="TCK175" s="125"/>
      <c r="TCL175" s="125"/>
      <c r="TCM175" s="125"/>
      <c r="TCN175" s="125"/>
      <c r="TCO175" s="125"/>
      <c r="TCP175" s="125"/>
      <c r="TCQ175" s="125"/>
      <c r="TCR175" s="125"/>
      <c r="TCS175" s="125"/>
      <c r="TCT175" s="125"/>
      <c r="TCU175" s="125"/>
      <c r="TCV175" s="125"/>
      <c r="TCW175" s="125"/>
      <c r="TCX175" s="125"/>
      <c r="TCY175" s="125"/>
      <c r="TCZ175" s="125"/>
      <c r="TDA175" s="125"/>
      <c r="TDB175" s="125"/>
      <c r="TDC175" s="125"/>
      <c r="TDD175" s="125"/>
      <c r="TDE175" s="125"/>
      <c r="TDF175" s="125"/>
      <c r="TDG175" s="125"/>
      <c r="TDH175" s="125"/>
      <c r="TDI175" s="125"/>
      <c r="TDJ175" s="125"/>
      <c r="TDK175" s="125"/>
      <c r="TDL175" s="125"/>
      <c r="TDM175" s="125"/>
      <c r="TDN175" s="125"/>
      <c r="TDO175" s="125"/>
      <c r="TDP175" s="125"/>
      <c r="TDQ175" s="125"/>
      <c r="TDR175" s="125"/>
      <c r="TDS175" s="125"/>
      <c r="TDT175" s="125"/>
      <c r="TDU175" s="125"/>
      <c r="TDV175" s="125"/>
      <c r="TDW175" s="125"/>
      <c r="TDX175" s="125"/>
      <c r="TDY175" s="125"/>
      <c r="TDZ175" s="125"/>
      <c r="TEA175" s="125"/>
      <c r="TEB175" s="125"/>
      <c r="TEC175" s="125"/>
      <c r="TED175" s="125"/>
      <c r="TEE175" s="125"/>
      <c r="TEF175" s="125"/>
      <c r="TEG175" s="125"/>
      <c r="TEH175" s="125"/>
      <c r="TEI175" s="125"/>
      <c r="TEJ175" s="125"/>
      <c r="TEK175" s="125"/>
      <c r="TEL175" s="125"/>
      <c r="TEM175" s="125"/>
      <c r="TEN175" s="125"/>
      <c r="TEO175" s="125"/>
      <c r="TEP175" s="125"/>
      <c r="TEQ175" s="125"/>
      <c r="TER175" s="125"/>
      <c r="TES175" s="125"/>
      <c r="TET175" s="125"/>
      <c r="TEU175" s="125"/>
      <c r="TEV175" s="125"/>
      <c r="TEW175" s="125"/>
      <c r="TEX175" s="125"/>
      <c r="TEY175" s="125"/>
      <c r="TEZ175" s="125"/>
      <c r="TFA175" s="125"/>
      <c r="TFB175" s="125"/>
      <c r="TFC175" s="125"/>
      <c r="TFD175" s="125"/>
      <c r="TFE175" s="125"/>
      <c r="TFF175" s="125"/>
      <c r="TFG175" s="125"/>
      <c r="TFH175" s="125"/>
      <c r="TFI175" s="125"/>
      <c r="TFJ175" s="125"/>
      <c r="TFK175" s="125"/>
      <c r="TFL175" s="125"/>
      <c r="TFM175" s="125"/>
      <c r="TFN175" s="125"/>
      <c r="TFO175" s="125"/>
      <c r="TFP175" s="125"/>
      <c r="TFQ175" s="125"/>
      <c r="TFR175" s="125"/>
      <c r="TFS175" s="125"/>
      <c r="TFT175" s="125"/>
      <c r="TFU175" s="125"/>
      <c r="TFV175" s="125"/>
      <c r="TFW175" s="125"/>
      <c r="TFX175" s="125"/>
      <c r="TFY175" s="125"/>
      <c r="TFZ175" s="125"/>
      <c r="TGA175" s="125"/>
      <c r="TGB175" s="125"/>
      <c r="TGC175" s="125"/>
      <c r="TGD175" s="125"/>
      <c r="TGE175" s="125"/>
      <c r="TGF175" s="125"/>
      <c r="TGG175" s="125"/>
      <c r="TGH175" s="125"/>
      <c r="TGI175" s="125"/>
      <c r="TGJ175" s="125"/>
      <c r="TGK175" s="125"/>
      <c r="TGL175" s="125"/>
      <c r="TGM175" s="125"/>
      <c r="TGN175" s="125"/>
      <c r="TGO175" s="125"/>
      <c r="TGP175" s="125"/>
      <c r="TGQ175" s="125"/>
      <c r="TGR175" s="125"/>
      <c r="TGS175" s="125"/>
      <c r="TGT175" s="125"/>
      <c r="TGU175" s="125"/>
      <c r="TGV175" s="125"/>
      <c r="TGW175" s="125"/>
      <c r="TGX175" s="125"/>
      <c r="TGY175" s="125"/>
      <c r="TGZ175" s="125"/>
      <c r="THA175" s="125"/>
      <c r="THB175" s="125"/>
      <c r="THC175" s="125"/>
      <c r="THD175" s="125"/>
      <c r="THE175" s="125"/>
      <c r="THF175" s="125"/>
      <c r="THG175" s="125"/>
      <c r="THH175" s="125"/>
      <c r="THI175" s="125"/>
      <c r="THJ175" s="125"/>
      <c r="THK175" s="125"/>
      <c r="THL175" s="125"/>
      <c r="THM175" s="125"/>
      <c r="THN175" s="125"/>
      <c r="THO175" s="125"/>
      <c r="THP175" s="125"/>
      <c r="THQ175" s="125"/>
      <c r="THR175" s="125"/>
      <c r="THS175" s="125"/>
      <c r="THT175" s="125"/>
      <c r="THU175" s="125"/>
      <c r="THV175" s="125"/>
      <c r="THW175" s="125"/>
      <c r="THX175" s="125"/>
      <c r="THY175" s="125"/>
      <c r="THZ175" s="125"/>
      <c r="TIA175" s="125"/>
      <c r="TIB175" s="125"/>
      <c r="TIC175" s="125"/>
      <c r="TID175" s="125"/>
      <c r="TIE175" s="125"/>
      <c r="TIF175" s="125"/>
      <c r="TIG175" s="125"/>
      <c r="TIH175" s="125"/>
      <c r="TII175" s="125"/>
      <c r="TIJ175" s="125"/>
      <c r="TIK175" s="125"/>
      <c r="TIL175" s="125"/>
      <c r="TIM175" s="125"/>
      <c r="TIN175" s="125"/>
      <c r="TIO175" s="125"/>
      <c r="TIP175" s="125"/>
      <c r="TIQ175" s="125"/>
      <c r="TIR175" s="125"/>
      <c r="TIS175" s="125"/>
      <c r="TIT175" s="125"/>
      <c r="TIU175" s="125"/>
      <c r="TIV175" s="125"/>
      <c r="TIW175" s="125"/>
      <c r="TIX175" s="125"/>
      <c r="TIY175" s="125"/>
      <c r="TIZ175" s="125"/>
      <c r="TJA175" s="125"/>
      <c r="TJB175" s="125"/>
      <c r="TJC175" s="125"/>
      <c r="TJD175" s="125"/>
      <c r="TJE175" s="125"/>
      <c r="TJF175" s="125"/>
      <c r="TJG175" s="125"/>
      <c r="TJH175" s="125"/>
      <c r="TJI175" s="125"/>
      <c r="TJJ175" s="125"/>
      <c r="TJK175" s="125"/>
      <c r="TJL175" s="125"/>
      <c r="TJM175" s="125"/>
      <c r="TJN175" s="125"/>
      <c r="TJO175" s="125"/>
      <c r="TJP175" s="125"/>
      <c r="TJQ175" s="125"/>
      <c r="TJR175" s="125"/>
      <c r="TJS175" s="125"/>
      <c r="TJT175" s="125"/>
      <c r="TJU175" s="125"/>
      <c r="TJV175" s="125"/>
      <c r="TJW175" s="125"/>
      <c r="TJX175" s="125"/>
      <c r="TJY175" s="125"/>
      <c r="TJZ175" s="125"/>
      <c r="TKA175" s="125"/>
      <c r="TKB175" s="125"/>
      <c r="TKC175" s="125"/>
      <c r="TKD175" s="125"/>
      <c r="TKE175" s="125"/>
      <c r="TKF175" s="125"/>
      <c r="TKG175" s="125"/>
      <c r="TKH175" s="125"/>
      <c r="TKI175" s="125"/>
      <c r="TKJ175" s="125"/>
      <c r="TKK175" s="125"/>
      <c r="TKL175" s="125"/>
      <c r="TKM175" s="125"/>
      <c r="TKN175" s="125"/>
      <c r="TKO175" s="125"/>
      <c r="TKP175" s="125"/>
      <c r="TKQ175" s="125"/>
      <c r="TKR175" s="125"/>
      <c r="TKS175" s="125"/>
      <c r="TKT175" s="125"/>
      <c r="TKU175" s="125"/>
      <c r="TKV175" s="125"/>
      <c r="TKW175" s="125"/>
      <c r="TKX175" s="125"/>
      <c r="TKY175" s="125"/>
      <c r="TKZ175" s="125"/>
      <c r="TLA175" s="125"/>
      <c r="TLB175" s="125"/>
      <c r="TLC175" s="125"/>
      <c r="TLD175" s="125"/>
      <c r="TLE175" s="125"/>
      <c r="TLF175" s="125"/>
      <c r="TLG175" s="125"/>
      <c r="TLH175" s="125"/>
      <c r="TLI175" s="125"/>
      <c r="TLJ175" s="125"/>
      <c r="TLK175" s="125"/>
      <c r="TLL175" s="125"/>
      <c r="TLM175" s="125"/>
      <c r="TLN175" s="125"/>
      <c r="TLO175" s="125"/>
      <c r="TLP175" s="125"/>
      <c r="TLQ175" s="125"/>
      <c r="TLR175" s="125"/>
      <c r="TLS175" s="125"/>
      <c r="TLT175" s="125"/>
      <c r="TLU175" s="125"/>
      <c r="TLV175" s="125"/>
      <c r="TLW175" s="125"/>
      <c r="TLX175" s="125"/>
      <c r="TLY175" s="125"/>
      <c r="TLZ175" s="125"/>
      <c r="TMA175" s="125"/>
      <c r="TMB175" s="125"/>
      <c r="TMC175" s="125"/>
      <c r="TMD175" s="125"/>
      <c r="TME175" s="125"/>
      <c r="TMF175" s="125"/>
      <c r="TMG175" s="125"/>
      <c r="TMH175" s="125"/>
      <c r="TMI175" s="125"/>
      <c r="TMJ175" s="125"/>
      <c r="TMK175" s="125"/>
      <c r="TML175" s="125"/>
      <c r="TMM175" s="125"/>
      <c r="TMN175" s="125"/>
      <c r="TMO175" s="125"/>
      <c r="TMP175" s="125"/>
      <c r="TMQ175" s="125"/>
      <c r="TMR175" s="125"/>
      <c r="TMS175" s="125"/>
      <c r="TMT175" s="125"/>
      <c r="TMU175" s="125"/>
      <c r="TMV175" s="125"/>
      <c r="TMW175" s="125"/>
      <c r="TMX175" s="125"/>
      <c r="TMY175" s="125"/>
      <c r="TMZ175" s="125"/>
      <c r="TNA175" s="125"/>
      <c r="TNB175" s="125"/>
      <c r="TNC175" s="125"/>
      <c r="TND175" s="125"/>
      <c r="TNE175" s="125"/>
      <c r="TNF175" s="125"/>
      <c r="TNG175" s="125"/>
      <c r="TNH175" s="125"/>
      <c r="TNI175" s="125"/>
      <c r="TNJ175" s="125"/>
      <c r="TNK175" s="125"/>
      <c r="TNL175" s="125"/>
      <c r="TNM175" s="125"/>
      <c r="TNN175" s="125"/>
      <c r="TNO175" s="125"/>
      <c r="TNP175" s="125"/>
      <c r="TNQ175" s="125"/>
      <c r="TNR175" s="125"/>
      <c r="TNS175" s="125"/>
      <c r="TNT175" s="125"/>
      <c r="TNU175" s="125"/>
      <c r="TNV175" s="125"/>
      <c r="TNW175" s="125"/>
      <c r="TNX175" s="125"/>
      <c r="TNY175" s="125"/>
      <c r="TNZ175" s="125"/>
      <c r="TOA175" s="125"/>
      <c r="TOB175" s="125"/>
      <c r="TOC175" s="125"/>
      <c r="TOD175" s="125"/>
      <c r="TOE175" s="125"/>
      <c r="TOF175" s="125"/>
      <c r="TOG175" s="125"/>
      <c r="TOH175" s="125"/>
      <c r="TOI175" s="125"/>
      <c r="TOJ175" s="125"/>
      <c r="TOK175" s="125"/>
      <c r="TOL175" s="125"/>
      <c r="TOM175" s="125"/>
      <c r="TON175" s="125"/>
      <c r="TOO175" s="125"/>
      <c r="TOP175" s="125"/>
      <c r="TOQ175" s="125"/>
      <c r="TOR175" s="125"/>
      <c r="TOS175" s="125"/>
      <c r="TOT175" s="125"/>
      <c r="TOU175" s="125"/>
      <c r="TOV175" s="125"/>
      <c r="TOW175" s="125"/>
      <c r="TOX175" s="125"/>
      <c r="TOY175" s="125"/>
      <c r="TOZ175" s="125"/>
      <c r="TPA175" s="125"/>
      <c r="TPB175" s="125"/>
      <c r="TPC175" s="125"/>
      <c r="TPD175" s="125"/>
      <c r="TPE175" s="125"/>
      <c r="TPF175" s="125"/>
      <c r="TPG175" s="125"/>
      <c r="TPH175" s="125"/>
      <c r="TPI175" s="125"/>
      <c r="TPJ175" s="125"/>
      <c r="TPK175" s="125"/>
      <c r="TPL175" s="125"/>
      <c r="TPM175" s="125"/>
      <c r="TPN175" s="125"/>
      <c r="TPO175" s="125"/>
      <c r="TPP175" s="125"/>
      <c r="TPQ175" s="125"/>
      <c r="TPR175" s="125"/>
      <c r="TPS175" s="125"/>
      <c r="TPT175" s="125"/>
      <c r="TPU175" s="125"/>
      <c r="TPV175" s="125"/>
      <c r="TPW175" s="125"/>
      <c r="TPX175" s="125"/>
      <c r="TPY175" s="125"/>
      <c r="TPZ175" s="125"/>
      <c r="TQA175" s="125"/>
      <c r="TQB175" s="125"/>
      <c r="TQC175" s="125"/>
      <c r="TQD175" s="125"/>
      <c r="TQE175" s="125"/>
      <c r="TQF175" s="125"/>
      <c r="TQG175" s="125"/>
      <c r="TQH175" s="125"/>
      <c r="TQI175" s="125"/>
      <c r="TQJ175" s="125"/>
      <c r="TQK175" s="125"/>
      <c r="TQL175" s="125"/>
      <c r="TQM175" s="125"/>
      <c r="TQN175" s="125"/>
      <c r="TQO175" s="125"/>
      <c r="TQP175" s="125"/>
      <c r="TQQ175" s="125"/>
      <c r="TQR175" s="125"/>
      <c r="TQS175" s="125"/>
      <c r="TQT175" s="125"/>
      <c r="TQU175" s="125"/>
      <c r="TQV175" s="125"/>
      <c r="TQW175" s="125"/>
      <c r="TQX175" s="125"/>
      <c r="TQY175" s="125"/>
      <c r="TQZ175" s="125"/>
      <c r="TRA175" s="125"/>
      <c r="TRB175" s="125"/>
      <c r="TRC175" s="125"/>
      <c r="TRD175" s="125"/>
      <c r="TRE175" s="125"/>
      <c r="TRF175" s="125"/>
      <c r="TRG175" s="125"/>
      <c r="TRH175" s="125"/>
      <c r="TRI175" s="125"/>
      <c r="TRJ175" s="125"/>
      <c r="TRK175" s="125"/>
      <c r="TRL175" s="125"/>
      <c r="TRM175" s="125"/>
      <c r="TRN175" s="125"/>
      <c r="TRO175" s="125"/>
      <c r="TRP175" s="125"/>
      <c r="TRQ175" s="125"/>
      <c r="TRR175" s="125"/>
      <c r="TRS175" s="125"/>
      <c r="TRT175" s="125"/>
      <c r="TRU175" s="125"/>
      <c r="TRV175" s="125"/>
      <c r="TRW175" s="125"/>
      <c r="TRX175" s="125"/>
      <c r="TRY175" s="125"/>
      <c r="TRZ175" s="125"/>
      <c r="TSA175" s="125"/>
      <c r="TSB175" s="125"/>
      <c r="TSC175" s="125"/>
      <c r="TSD175" s="125"/>
      <c r="TSE175" s="125"/>
      <c r="TSF175" s="125"/>
      <c r="TSG175" s="125"/>
      <c r="TSH175" s="125"/>
      <c r="TSI175" s="125"/>
      <c r="TSJ175" s="125"/>
      <c r="TSK175" s="125"/>
      <c r="TSL175" s="125"/>
      <c r="TSM175" s="125"/>
      <c r="TSN175" s="125"/>
      <c r="TSO175" s="125"/>
      <c r="TSP175" s="125"/>
      <c r="TSQ175" s="125"/>
      <c r="TSR175" s="125"/>
      <c r="TSS175" s="125"/>
      <c r="TST175" s="125"/>
      <c r="TSU175" s="125"/>
      <c r="TSV175" s="125"/>
      <c r="TSW175" s="125"/>
      <c r="TSX175" s="125"/>
      <c r="TSY175" s="125"/>
      <c r="TSZ175" s="125"/>
      <c r="TTA175" s="125"/>
      <c r="TTB175" s="125"/>
      <c r="TTC175" s="125"/>
      <c r="TTD175" s="125"/>
      <c r="TTE175" s="125"/>
      <c r="TTF175" s="125"/>
      <c r="TTG175" s="125"/>
      <c r="TTH175" s="125"/>
      <c r="TTI175" s="125"/>
      <c r="TTJ175" s="125"/>
      <c r="TTK175" s="125"/>
      <c r="TTL175" s="125"/>
      <c r="TTM175" s="125"/>
      <c r="TTN175" s="125"/>
      <c r="TTO175" s="125"/>
      <c r="TTP175" s="125"/>
      <c r="TTQ175" s="125"/>
      <c r="TTR175" s="125"/>
      <c r="TTS175" s="125"/>
      <c r="TTT175" s="125"/>
      <c r="TTU175" s="125"/>
      <c r="TTV175" s="125"/>
      <c r="TTW175" s="125"/>
      <c r="TTX175" s="125"/>
      <c r="TTY175" s="125"/>
      <c r="TTZ175" s="125"/>
      <c r="TUA175" s="125"/>
      <c r="TUB175" s="125"/>
      <c r="TUC175" s="125"/>
      <c r="TUD175" s="125"/>
      <c r="TUE175" s="125"/>
      <c r="TUF175" s="125"/>
      <c r="TUG175" s="125"/>
      <c r="TUH175" s="125"/>
      <c r="TUI175" s="125"/>
      <c r="TUJ175" s="125"/>
      <c r="TUK175" s="125"/>
      <c r="TUL175" s="125"/>
      <c r="TUM175" s="125"/>
      <c r="TUN175" s="125"/>
      <c r="TUO175" s="125"/>
      <c r="TUP175" s="125"/>
      <c r="TUQ175" s="125"/>
      <c r="TUR175" s="125"/>
      <c r="TUS175" s="125"/>
      <c r="TUT175" s="125"/>
      <c r="TUU175" s="125"/>
      <c r="TUV175" s="125"/>
      <c r="TUW175" s="125"/>
      <c r="TUX175" s="125"/>
      <c r="TUY175" s="125"/>
      <c r="TUZ175" s="125"/>
      <c r="TVA175" s="125"/>
      <c r="TVB175" s="125"/>
      <c r="TVC175" s="125"/>
      <c r="TVD175" s="125"/>
      <c r="TVE175" s="125"/>
      <c r="TVF175" s="125"/>
      <c r="TVG175" s="125"/>
      <c r="TVH175" s="125"/>
      <c r="TVI175" s="125"/>
      <c r="TVJ175" s="125"/>
      <c r="TVK175" s="125"/>
      <c r="TVL175" s="125"/>
      <c r="TVM175" s="125"/>
      <c r="TVN175" s="125"/>
      <c r="TVO175" s="125"/>
      <c r="TVP175" s="125"/>
      <c r="TVQ175" s="125"/>
      <c r="TVR175" s="125"/>
      <c r="TVS175" s="125"/>
      <c r="TVT175" s="125"/>
      <c r="TVU175" s="125"/>
      <c r="TVV175" s="125"/>
      <c r="TVW175" s="125"/>
      <c r="TVX175" s="125"/>
      <c r="TVY175" s="125"/>
      <c r="TVZ175" s="125"/>
      <c r="TWA175" s="125"/>
      <c r="TWB175" s="125"/>
      <c r="TWC175" s="125"/>
      <c r="TWD175" s="125"/>
      <c r="TWE175" s="125"/>
      <c r="TWF175" s="125"/>
      <c r="TWG175" s="125"/>
      <c r="TWH175" s="125"/>
      <c r="TWI175" s="125"/>
      <c r="TWJ175" s="125"/>
      <c r="TWK175" s="125"/>
      <c r="TWL175" s="125"/>
      <c r="TWM175" s="125"/>
      <c r="TWN175" s="125"/>
      <c r="TWO175" s="125"/>
      <c r="TWP175" s="125"/>
      <c r="TWQ175" s="125"/>
      <c r="TWR175" s="125"/>
      <c r="TWS175" s="125"/>
      <c r="TWT175" s="125"/>
      <c r="TWU175" s="125"/>
      <c r="TWV175" s="125"/>
      <c r="TWW175" s="125"/>
      <c r="TWX175" s="125"/>
      <c r="TWY175" s="125"/>
      <c r="TWZ175" s="125"/>
      <c r="TXA175" s="125"/>
      <c r="TXB175" s="125"/>
      <c r="TXC175" s="125"/>
      <c r="TXD175" s="125"/>
      <c r="TXE175" s="125"/>
      <c r="TXF175" s="125"/>
      <c r="TXG175" s="125"/>
      <c r="TXH175" s="125"/>
      <c r="TXI175" s="125"/>
      <c r="TXJ175" s="125"/>
      <c r="TXK175" s="125"/>
      <c r="TXL175" s="125"/>
      <c r="TXM175" s="125"/>
      <c r="TXN175" s="125"/>
      <c r="TXO175" s="125"/>
      <c r="TXP175" s="125"/>
      <c r="TXQ175" s="125"/>
      <c r="TXR175" s="125"/>
      <c r="TXS175" s="125"/>
      <c r="TXT175" s="125"/>
      <c r="TXU175" s="125"/>
      <c r="TXV175" s="125"/>
      <c r="TXW175" s="125"/>
      <c r="TXX175" s="125"/>
      <c r="TXY175" s="125"/>
      <c r="TXZ175" s="125"/>
      <c r="TYA175" s="125"/>
      <c r="TYB175" s="125"/>
      <c r="TYC175" s="125"/>
      <c r="TYD175" s="125"/>
      <c r="TYE175" s="125"/>
      <c r="TYF175" s="125"/>
      <c r="TYG175" s="125"/>
      <c r="TYH175" s="125"/>
      <c r="TYI175" s="125"/>
      <c r="TYJ175" s="125"/>
      <c r="TYK175" s="125"/>
      <c r="TYL175" s="125"/>
      <c r="TYM175" s="125"/>
      <c r="TYN175" s="125"/>
      <c r="TYO175" s="125"/>
      <c r="TYP175" s="125"/>
      <c r="TYQ175" s="125"/>
      <c r="TYR175" s="125"/>
      <c r="TYS175" s="125"/>
      <c r="TYT175" s="125"/>
      <c r="TYU175" s="125"/>
      <c r="TYV175" s="125"/>
      <c r="TYW175" s="125"/>
      <c r="TYX175" s="125"/>
      <c r="TYY175" s="125"/>
      <c r="TYZ175" s="125"/>
      <c r="TZA175" s="125"/>
      <c r="TZB175" s="125"/>
      <c r="TZC175" s="125"/>
      <c r="TZD175" s="125"/>
      <c r="TZE175" s="125"/>
      <c r="TZF175" s="125"/>
      <c r="TZG175" s="125"/>
      <c r="TZH175" s="125"/>
      <c r="TZI175" s="125"/>
      <c r="TZJ175" s="125"/>
      <c r="TZK175" s="125"/>
      <c r="TZL175" s="125"/>
      <c r="TZM175" s="125"/>
      <c r="TZN175" s="125"/>
      <c r="TZO175" s="125"/>
      <c r="TZP175" s="125"/>
      <c r="TZQ175" s="125"/>
      <c r="TZR175" s="125"/>
      <c r="TZS175" s="125"/>
      <c r="TZT175" s="125"/>
      <c r="TZU175" s="125"/>
      <c r="TZV175" s="125"/>
      <c r="TZW175" s="125"/>
      <c r="TZX175" s="125"/>
      <c r="TZY175" s="125"/>
      <c r="TZZ175" s="125"/>
      <c r="UAA175" s="125"/>
      <c r="UAB175" s="125"/>
      <c r="UAC175" s="125"/>
      <c r="UAD175" s="125"/>
      <c r="UAE175" s="125"/>
      <c r="UAF175" s="125"/>
      <c r="UAG175" s="125"/>
      <c r="UAH175" s="125"/>
      <c r="UAI175" s="125"/>
      <c r="UAJ175" s="125"/>
      <c r="UAK175" s="125"/>
      <c r="UAL175" s="125"/>
      <c r="UAM175" s="125"/>
      <c r="UAN175" s="125"/>
      <c r="UAO175" s="125"/>
      <c r="UAP175" s="125"/>
      <c r="UAQ175" s="125"/>
      <c r="UAR175" s="125"/>
      <c r="UAS175" s="125"/>
      <c r="UAT175" s="125"/>
      <c r="UAU175" s="125"/>
      <c r="UAV175" s="125"/>
      <c r="UAW175" s="125"/>
      <c r="UAX175" s="125"/>
      <c r="UAY175" s="125"/>
      <c r="UAZ175" s="125"/>
      <c r="UBA175" s="125"/>
      <c r="UBB175" s="125"/>
      <c r="UBC175" s="125"/>
      <c r="UBD175" s="125"/>
      <c r="UBE175" s="125"/>
      <c r="UBF175" s="125"/>
      <c r="UBG175" s="125"/>
      <c r="UBH175" s="125"/>
      <c r="UBI175" s="125"/>
      <c r="UBJ175" s="125"/>
      <c r="UBK175" s="125"/>
      <c r="UBL175" s="125"/>
      <c r="UBM175" s="125"/>
      <c r="UBN175" s="125"/>
      <c r="UBO175" s="125"/>
      <c r="UBP175" s="125"/>
      <c r="UBQ175" s="125"/>
      <c r="UBR175" s="125"/>
      <c r="UBS175" s="125"/>
      <c r="UBT175" s="125"/>
      <c r="UBU175" s="125"/>
      <c r="UBV175" s="125"/>
      <c r="UBW175" s="125"/>
      <c r="UBX175" s="125"/>
      <c r="UBY175" s="125"/>
      <c r="UBZ175" s="125"/>
      <c r="UCA175" s="125"/>
      <c r="UCB175" s="125"/>
      <c r="UCC175" s="125"/>
      <c r="UCD175" s="125"/>
      <c r="UCE175" s="125"/>
      <c r="UCF175" s="125"/>
      <c r="UCG175" s="125"/>
      <c r="UCH175" s="125"/>
      <c r="UCI175" s="125"/>
      <c r="UCJ175" s="125"/>
      <c r="UCK175" s="125"/>
      <c r="UCL175" s="125"/>
      <c r="UCM175" s="125"/>
      <c r="UCN175" s="125"/>
      <c r="UCO175" s="125"/>
      <c r="UCP175" s="125"/>
      <c r="UCQ175" s="125"/>
      <c r="UCR175" s="125"/>
      <c r="UCS175" s="125"/>
      <c r="UCT175" s="125"/>
      <c r="UCU175" s="125"/>
      <c r="UCV175" s="125"/>
      <c r="UCW175" s="125"/>
      <c r="UCX175" s="125"/>
      <c r="UCY175" s="125"/>
      <c r="UCZ175" s="125"/>
      <c r="UDA175" s="125"/>
      <c r="UDB175" s="125"/>
      <c r="UDC175" s="125"/>
      <c r="UDD175" s="125"/>
      <c r="UDE175" s="125"/>
      <c r="UDF175" s="125"/>
      <c r="UDG175" s="125"/>
      <c r="UDH175" s="125"/>
      <c r="UDI175" s="125"/>
      <c r="UDJ175" s="125"/>
      <c r="UDK175" s="125"/>
      <c r="UDL175" s="125"/>
      <c r="UDM175" s="125"/>
      <c r="UDN175" s="125"/>
      <c r="UDO175" s="125"/>
      <c r="UDP175" s="125"/>
      <c r="UDQ175" s="125"/>
      <c r="UDR175" s="125"/>
      <c r="UDS175" s="125"/>
      <c r="UDT175" s="125"/>
      <c r="UDU175" s="125"/>
      <c r="UDV175" s="125"/>
      <c r="UDW175" s="125"/>
      <c r="UDX175" s="125"/>
      <c r="UDY175" s="125"/>
      <c r="UDZ175" s="125"/>
      <c r="UEA175" s="125"/>
      <c r="UEB175" s="125"/>
      <c r="UEC175" s="125"/>
      <c r="UED175" s="125"/>
      <c r="UEE175" s="125"/>
      <c r="UEF175" s="125"/>
      <c r="UEG175" s="125"/>
      <c r="UEH175" s="125"/>
      <c r="UEI175" s="125"/>
      <c r="UEJ175" s="125"/>
      <c r="UEK175" s="125"/>
      <c r="UEL175" s="125"/>
      <c r="UEM175" s="125"/>
      <c r="UEN175" s="125"/>
      <c r="UEO175" s="125"/>
      <c r="UEP175" s="125"/>
      <c r="UEQ175" s="125"/>
      <c r="UER175" s="125"/>
      <c r="UES175" s="125"/>
      <c r="UET175" s="125"/>
      <c r="UEU175" s="125"/>
      <c r="UEV175" s="125"/>
      <c r="UEW175" s="125"/>
      <c r="UEX175" s="125"/>
      <c r="UEY175" s="125"/>
      <c r="UEZ175" s="125"/>
      <c r="UFA175" s="125"/>
      <c r="UFB175" s="125"/>
      <c r="UFC175" s="125"/>
      <c r="UFD175" s="125"/>
      <c r="UFE175" s="125"/>
      <c r="UFF175" s="125"/>
      <c r="UFG175" s="125"/>
      <c r="UFH175" s="125"/>
      <c r="UFI175" s="125"/>
      <c r="UFJ175" s="125"/>
      <c r="UFK175" s="125"/>
      <c r="UFL175" s="125"/>
      <c r="UFM175" s="125"/>
      <c r="UFN175" s="125"/>
      <c r="UFO175" s="125"/>
      <c r="UFP175" s="125"/>
      <c r="UFQ175" s="125"/>
      <c r="UFR175" s="125"/>
      <c r="UFS175" s="125"/>
      <c r="UFT175" s="125"/>
      <c r="UFU175" s="125"/>
      <c r="UFV175" s="125"/>
      <c r="UFW175" s="125"/>
      <c r="UFX175" s="125"/>
      <c r="UFY175" s="125"/>
      <c r="UFZ175" s="125"/>
      <c r="UGA175" s="125"/>
      <c r="UGB175" s="125"/>
      <c r="UGC175" s="125"/>
      <c r="UGD175" s="125"/>
      <c r="UGE175" s="125"/>
      <c r="UGF175" s="125"/>
      <c r="UGG175" s="125"/>
      <c r="UGH175" s="125"/>
      <c r="UGI175" s="125"/>
      <c r="UGJ175" s="125"/>
      <c r="UGK175" s="125"/>
      <c r="UGL175" s="125"/>
      <c r="UGM175" s="125"/>
      <c r="UGN175" s="125"/>
      <c r="UGO175" s="125"/>
      <c r="UGP175" s="125"/>
      <c r="UGQ175" s="125"/>
      <c r="UGR175" s="125"/>
      <c r="UGS175" s="125"/>
      <c r="UGT175" s="125"/>
      <c r="UGU175" s="125"/>
      <c r="UGV175" s="125"/>
      <c r="UGW175" s="125"/>
      <c r="UGX175" s="125"/>
      <c r="UGY175" s="125"/>
      <c r="UGZ175" s="125"/>
      <c r="UHA175" s="125"/>
      <c r="UHB175" s="125"/>
      <c r="UHC175" s="125"/>
      <c r="UHD175" s="125"/>
      <c r="UHE175" s="125"/>
      <c r="UHF175" s="125"/>
      <c r="UHG175" s="125"/>
      <c r="UHH175" s="125"/>
      <c r="UHI175" s="125"/>
      <c r="UHJ175" s="125"/>
      <c r="UHK175" s="125"/>
      <c r="UHL175" s="125"/>
      <c r="UHM175" s="125"/>
      <c r="UHN175" s="125"/>
      <c r="UHO175" s="125"/>
      <c r="UHP175" s="125"/>
      <c r="UHQ175" s="125"/>
      <c r="UHR175" s="125"/>
      <c r="UHS175" s="125"/>
      <c r="UHT175" s="125"/>
      <c r="UHU175" s="125"/>
      <c r="UHV175" s="125"/>
      <c r="UHW175" s="125"/>
      <c r="UHX175" s="125"/>
      <c r="UHY175" s="125"/>
      <c r="UHZ175" s="125"/>
      <c r="UIA175" s="125"/>
      <c r="UIB175" s="125"/>
      <c r="UIC175" s="125"/>
      <c r="UID175" s="125"/>
      <c r="UIE175" s="125"/>
      <c r="UIF175" s="125"/>
      <c r="UIG175" s="125"/>
      <c r="UIH175" s="125"/>
      <c r="UII175" s="125"/>
      <c r="UIJ175" s="125"/>
      <c r="UIK175" s="125"/>
      <c r="UIL175" s="125"/>
      <c r="UIM175" s="125"/>
      <c r="UIN175" s="125"/>
      <c r="UIO175" s="125"/>
      <c r="UIP175" s="125"/>
      <c r="UIQ175" s="125"/>
      <c r="UIR175" s="125"/>
      <c r="UIS175" s="125"/>
      <c r="UIT175" s="125"/>
      <c r="UIU175" s="125"/>
      <c r="UIV175" s="125"/>
      <c r="UIW175" s="125"/>
      <c r="UIX175" s="125"/>
      <c r="UIY175" s="125"/>
      <c r="UIZ175" s="125"/>
      <c r="UJA175" s="125"/>
      <c r="UJB175" s="125"/>
      <c r="UJC175" s="125"/>
      <c r="UJD175" s="125"/>
      <c r="UJE175" s="125"/>
      <c r="UJF175" s="125"/>
      <c r="UJG175" s="125"/>
      <c r="UJH175" s="125"/>
      <c r="UJI175" s="125"/>
      <c r="UJJ175" s="125"/>
      <c r="UJK175" s="125"/>
      <c r="UJL175" s="125"/>
      <c r="UJM175" s="125"/>
      <c r="UJN175" s="125"/>
      <c r="UJO175" s="125"/>
      <c r="UJP175" s="125"/>
      <c r="UJQ175" s="125"/>
      <c r="UJR175" s="125"/>
      <c r="UJS175" s="125"/>
      <c r="UJT175" s="125"/>
      <c r="UJU175" s="125"/>
      <c r="UJV175" s="125"/>
      <c r="UJW175" s="125"/>
      <c r="UJX175" s="125"/>
      <c r="UJY175" s="125"/>
      <c r="UJZ175" s="125"/>
      <c r="UKA175" s="125"/>
      <c r="UKB175" s="125"/>
      <c r="UKC175" s="125"/>
      <c r="UKD175" s="125"/>
      <c r="UKE175" s="125"/>
      <c r="UKF175" s="125"/>
      <c r="UKG175" s="125"/>
      <c r="UKH175" s="125"/>
      <c r="UKI175" s="125"/>
      <c r="UKJ175" s="125"/>
      <c r="UKK175" s="125"/>
      <c r="UKL175" s="125"/>
      <c r="UKM175" s="125"/>
      <c r="UKN175" s="125"/>
      <c r="UKO175" s="125"/>
      <c r="UKP175" s="125"/>
      <c r="UKQ175" s="125"/>
      <c r="UKR175" s="125"/>
      <c r="UKS175" s="125"/>
      <c r="UKT175" s="125"/>
      <c r="UKU175" s="125"/>
      <c r="UKV175" s="125"/>
      <c r="UKW175" s="125"/>
      <c r="UKX175" s="125"/>
      <c r="UKY175" s="125"/>
      <c r="UKZ175" s="125"/>
      <c r="ULA175" s="125"/>
      <c r="ULB175" s="125"/>
      <c r="ULC175" s="125"/>
      <c r="ULD175" s="125"/>
      <c r="ULE175" s="125"/>
      <c r="ULF175" s="125"/>
      <c r="ULG175" s="125"/>
      <c r="ULH175" s="125"/>
      <c r="ULI175" s="125"/>
      <c r="ULJ175" s="125"/>
      <c r="ULK175" s="125"/>
      <c r="ULL175" s="125"/>
      <c r="ULM175" s="125"/>
      <c r="ULN175" s="125"/>
      <c r="ULO175" s="125"/>
      <c r="ULP175" s="125"/>
      <c r="ULQ175" s="125"/>
      <c r="ULR175" s="125"/>
      <c r="ULS175" s="125"/>
      <c r="ULT175" s="125"/>
      <c r="ULU175" s="125"/>
      <c r="ULV175" s="125"/>
      <c r="ULW175" s="125"/>
      <c r="ULX175" s="125"/>
      <c r="ULY175" s="125"/>
      <c r="ULZ175" s="125"/>
      <c r="UMA175" s="125"/>
      <c r="UMB175" s="125"/>
      <c r="UMC175" s="125"/>
      <c r="UMD175" s="125"/>
      <c r="UME175" s="125"/>
      <c r="UMF175" s="125"/>
      <c r="UMG175" s="125"/>
      <c r="UMH175" s="125"/>
      <c r="UMI175" s="125"/>
      <c r="UMJ175" s="125"/>
      <c r="UMK175" s="125"/>
      <c r="UML175" s="125"/>
      <c r="UMM175" s="125"/>
      <c r="UMN175" s="125"/>
      <c r="UMO175" s="125"/>
      <c r="UMP175" s="125"/>
      <c r="UMQ175" s="125"/>
      <c r="UMR175" s="125"/>
      <c r="UMS175" s="125"/>
      <c r="UMT175" s="125"/>
      <c r="UMU175" s="125"/>
      <c r="UMV175" s="125"/>
      <c r="UMW175" s="125"/>
      <c r="UMX175" s="125"/>
      <c r="UMY175" s="125"/>
      <c r="UMZ175" s="125"/>
      <c r="UNA175" s="125"/>
      <c r="UNB175" s="125"/>
      <c r="UNC175" s="125"/>
      <c r="UND175" s="125"/>
      <c r="UNE175" s="125"/>
      <c r="UNF175" s="125"/>
      <c r="UNG175" s="125"/>
      <c r="UNH175" s="125"/>
      <c r="UNI175" s="125"/>
      <c r="UNJ175" s="125"/>
      <c r="UNK175" s="125"/>
      <c r="UNL175" s="125"/>
      <c r="UNM175" s="125"/>
      <c r="UNN175" s="125"/>
      <c r="UNO175" s="125"/>
      <c r="UNP175" s="125"/>
      <c r="UNQ175" s="125"/>
      <c r="UNR175" s="125"/>
      <c r="UNS175" s="125"/>
      <c r="UNT175" s="125"/>
      <c r="UNU175" s="125"/>
      <c r="UNV175" s="125"/>
      <c r="UNW175" s="125"/>
      <c r="UNX175" s="125"/>
      <c r="UNY175" s="125"/>
      <c r="UNZ175" s="125"/>
      <c r="UOA175" s="125"/>
      <c r="UOB175" s="125"/>
      <c r="UOC175" s="125"/>
      <c r="UOD175" s="125"/>
      <c r="UOE175" s="125"/>
      <c r="UOF175" s="125"/>
      <c r="UOG175" s="125"/>
      <c r="UOH175" s="125"/>
      <c r="UOI175" s="125"/>
      <c r="UOJ175" s="125"/>
      <c r="UOK175" s="125"/>
      <c r="UOL175" s="125"/>
      <c r="UOM175" s="125"/>
      <c r="UON175" s="125"/>
      <c r="UOO175" s="125"/>
      <c r="UOP175" s="125"/>
      <c r="UOQ175" s="125"/>
      <c r="UOR175" s="125"/>
      <c r="UOS175" s="125"/>
      <c r="UOT175" s="125"/>
      <c r="UOU175" s="125"/>
      <c r="UOV175" s="125"/>
      <c r="UOW175" s="125"/>
      <c r="UOX175" s="125"/>
      <c r="UOY175" s="125"/>
      <c r="UOZ175" s="125"/>
      <c r="UPA175" s="125"/>
      <c r="UPB175" s="125"/>
      <c r="UPC175" s="125"/>
      <c r="UPD175" s="125"/>
      <c r="UPE175" s="125"/>
      <c r="UPF175" s="125"/>
      <c r="UPG175" s="125"/>
      <c r="UPH175" s="125"/>
      <c r="UPI175" s="125"/>
      <c r="UPJ175" s="125"/>
      <c r="UPK175" s="125"/>
      <c r="UPL175" s="125"/>
      <c r="UPM175" s="125"/>
      <c r="UPN175" s="125"/>
      <c r="UPO175" s="125"/>
      <c r="UPP175" s="125"/>
      <c r="UPQ175" s="125"/>
      <c r="UPR175" s="125"/>
      <c r="UPS175" s="125"/>
      <c r="UPT175" s="125"/>
      <c r="UPU175" s="125"/>
      <c r="UPV175" s="125"/>
      <c r="UPW175" s="125"/>
      <c r="UPX175" s="125"/>
      <c r="UPY175" s="125"/>
      <c r="UPZ175" s="125"/>
      <c r="UQA175" s="125"/>
      <c r="UQB175" s="125"/>
      <c r="UQC175" s="125"/>
      <c r="UQD175" s="125"/>
      <c r="UQE175" s="125"/>
      <c r="UQF175" s="125"/>
      <c r="UQG175" s="125"/>
      <c r="UQH175" s="125"/>
      <c r="UQI175" s="125"/>
      <c r="UQJ175" s="125"/>
      <c r="UQK175" s="125"/>
      <c r="UQL175" s="125"/>
      <c r="UQM175" s="125"/>
      <c r="UQN175" s="125"/>
      <c r="UQO175" s="125"/>
      <c r="UQP175" s="125"/>
      <c r="UQQ175" s="125"/>
      <c r="UQR175" s="125"/>
      <c r="UQS175" s="125"/>
      <c r="UQT175" s="125"/>
      <c r="UQU175" s="125"/>
      <c r="UQV175" s="125"/>
      <c r="UQW175" s="125"/>
      <c r="UQX175" s="125"/>
      <c r="UQY175" s="125"/>
      <c r="UQZ175" s="125"/>
      <c r="URA175" s="125"/>
      <c r="URB175" s="125"/>
      <c r="URC175" s="125"/>
      <c r="URD175" s="125"/>
      <c r="URE175" s="125"/>
      <c r="URF175" s="125"/>
      <c r="URG175" s="125"/>
      <c r="URH175" s="125"/>
      <c r="URI175" s="125"/>
      <c r="URJ175" s="125"/>
      <c r="URK175" s="125"/>
      <c r="URL175" s="125"/>
      <c r="URM175" s="125"/>
      <c r="URN175" s="125"/>
      <c r="URO175" s="125"/>
      <c r="URP175" s="125"/>
      <c r="URQ175" s="125"/>
      <c r="URR175" s="125"/>
      <c r="URS175" s="125"/>
      <c r="URT175" s="125"/>
      <c r="URU175" s="125"/>
      <c r="URV175" s="125"/>
      <c r="URW175" s="125"/>
      <c r="URX175" s="125"/>
      <c r="URY175" s="125"/>
      <c r="URZ175" s="125"/>
      <c r="USA175" s="125"/>
      <c r="USB175" s="125"/>
      <c r="USC175" s="125"/>
      <c r="USD175" s="125"/>
      <c r="USE175" s="125"/>
      <c r="USF175" s="125"/>
      <c r="USG175" s="125"/>
      <c r="USH175" s="125"/>
      <c r="USI175" s="125"/>
      <c r="USJ175" s="125"/>
      <c r="USK175" s="125"/>
      <c r="USL175" s="125"/>
      <c r="USM175" s="125"/>
      <c r="USN175" s="125"/>
      <c r="USO175" s="125"/>
      <c r="USP175" s="125"/>
      <c r="USQ175" s="125"/>
      <c r="USR175" s="125"/>
      <c r="USS175" s="125"/>
      <c r="UST175" s="125"/>
      <c r="USU175" s="125"/>
      <c r="USV175" s="125"/>
      <c r="USW175" s="125"/>
      <c r="USX175" s="125"/>
      <c r="USY175" s="125"/>
      <c r="USZ175" s="125"/>
      <c r="UTA175" s="125"/>
      <c r="UTB175" s="125"/>
      <c r="UTC175" s="125"/>
      <c r="UTD175" s="125"/>
      <c r="UTE175" s="125"/>
      <c r="UTF175" s="125"/>
      <c r="UTG175" s="125"/>
      <c r="UTH175" s="125"/>
      <c r="UTI175" s="125"/>
      <c r="UTJ175" s="125"/>
      <c r="UTK175" s="125"/>
      <c r="UTL175" s="125"/>
      <c r="UTM175" s="125"/>
      <c r="UTN175" s="125"/>
      <c r="UTO175" s="125"/>
      <c r="UTP175" s="125"/>
      <c r="UTQ175" s="125"/>
      <c r="UTR175" s="125"/>
      <c r="UTS175" s="125"/>
      <c r="UTT175" s="125"/>
      <c r="UTU175" s="125"/>
      <c r="UTV175" s="125"/>
      <c r="UTW175" s="125"/>
      <c r="UTX175" s="125"/>
      <c r="UTY175" s="125"/>
      <c r="UTZ175" s="125"/>
      <c r="UUA175" s="125"/>
      <c r="UUB175" s="125"/>
      <c r="UUC175" s="125"/>
      <c r="UUD175" s="125"/>
      <c r="UUE175" s="125"/>
      <c r="UUF175" s="125"/>
      <c r="UUG175" s="125"/>
      <c r="UUH175" s="125"/>
      <c r="UUI175" s="125"/>
      <c r="UUJ175" s="125"/>
      <c r="UUK175" s="125"/>
      <c r="UUL175" s="125"/>
      <c r="UUM175" s="125"/>
      <c r="UUN175" s="125"/>
      <c r="UUO175" s="125"/>
      <c r="UUP175" s="125"/>
      <c r="UUQ175" s="125"/>
      <c r="UUR175" s="125"/>
      <c r="UUS175" s="125"/>
      <c r="UUT175" s="125"/>
      <c r="UUU175" s="125"/>
      <c r="UUV175" s="125"/>
      <c r="UUW175" s="125"/>
      <c r="UUX175" s="125"/>
      <c r="UUY175" s="125"/>
      <c r="UUZ175" s="125"/>
      <c r="UVA175" s="125"/>
      <c r="UVB175" s="125"/>
      <c r="UVC175" s="125"/>
      <c r="UVD175" s="125"/>
      <c r="UVE175" s="125"/>
      <c r="UVF175" s="125"/>
      <c r="UVG175" s="125"/>
      <c r="UVH175" s="125"/>
      <c r="UVI175" s="125"/>
      <c r="UVJ175" s="125"/>
      <c r="UVK175" s="125"/>
      <c r="UVL175" s="125"/>
      <c r="UVM175" s="125"/>
      <c r="UVN175" s="125"/>
      <c r="UVO175" s="125"/>
      <c r="UVP175" s="125"/>
      <c r="UVQ175" s="125"/>
      <c r="UVR175" s="125"/>
      <c r="UVS175" s="125"/>
      <c r="UVT175" s="125"/>
      <c r="UVU175" s="125"/>
      <c r="UVV175" s="125"/>
      <c r="UVW175" s="125"/>
      <c r="UVX175" s="125"/>
      <c r="UVY175" s="125"/>
      <c r="UVZ175" s="125"/>
      <c r="UWA175" s="125"/>
      <c r="UWB175" s="125"/>
      <c r="UWC175" s="125"/>
      <c r="UWD175" s="125"/>
      <c r="UWE175" s="125"/>
      <c r="UWF175" s="125"/>
      <c r="UWG175" s="125"/>
      <c r="UWH175" s="125"/>
      <c r="UWI175" s="125"/>
      <c r="UWJ175" s="125"/>
      <c r="UWK175" s="125"/>
      <c r="UWL175" s="125"/>
      <c r="UWM175" s="125"/>
      <c r="UWN175" s="125"/>
      <c r="UWO175" s="125"/>
      <c r="UWP175" s="125"/>
      <c r="UWQ175" s="125"/>
      <c r="UWR175" s="125"/>
      <c r="UWS175" s="125"/>
      <c r="UWT175" s="125"/>
      <c r="UWU175" s="125"/>
      <c r="UWV175" s="125"/>
      <c r="UWW175" s="125"/>
      <c r="UWX175" s="125"/>
      <c r="UWY175" s="125"/>
      <c r="UWZ175" s="125"/>
      <c r="UXA175" s="125"/>
      <c r="UXB175" s="125"/>
      <c r="UXC175" s="125"/>
      <c r="UXD175" s="125"/>
      <c r="UXE175" s="125"/>
      <c r="UXF175" s="125"/>
      <c r="UXG175" s="125"/>
      <c r="UXH175" s="125"/>
      <c r="UXI175" s="125"/>
      <c r="UXJ175" s="125"/>
      <c r="UXK175" s="125"/>
      <c r="UXL175" s="125"/>
      <c r="UXM175" s="125"/>
      <c r="UXN175" s="125"/>
      <c r="UXO175" s="125"/>
      <c r="UXP175" s="125"/>
      <c r="UXQ175" s="125"/>
      <c r="UXR175" s="125"/>
      <c r="UXS175" s="125"/>
      <c r="UXT175" s="125"/>
      <c r="UXU175" s="125"/>
      <c r="UXV175" s="125"/>
      <c r="UXW175" s="125"/>
      <c r="UXX175" s="125"/>
      <c r="UXY175" s="125"/>
      <c r="UXZ175" s="125"/>
      <c r="UYA175" s="125"/>
      <c r="UYB175" s="125"/>
      <c r="UYC175" s="125"/>
      <c r="UYD175" s="125"/>
      <c r="UYE175" s="125"/>
      <c r="UYF175" s="125"/>
      <c r="UYG175" s="125"/>
      <c r="UYH175" s="125"/>
      <c r="UYI175" s="125"/>
      <c r="UYJ175" s="125"/>
      <c r="UYK175" s="125"/>
      <c r="UYL175" s="125"/>
      <c r="UYM175" s="125"/>
      <c r="UYN175" s="125"/>
      <c r="UYO175" s="125"/>
      <c r="UYP175" s="125"/>
      <c r="UYQ175" s="125"/>
      <c r="UYR175" s="125"/>
      <c r="UYS175" s="125"/>
      <c r="UYT175" s="125"/>
      <c r="UYU175" s="125"/>
      <c r="UYV175" s="125"/>
      <c r="UYW175" s="125"/>
      <c r="UYX175" s="125"/>
      <c r="UYY175" s="125"/>
      <c r="UYZ175" s="125"/>
      <c r="UZA175" s="125"/>
      <c r="UZB175" s="125"/>
      <c r="UZC175" s="125"/>
      <c r="UZD175" s="125"/>
      <c r="UZE175" s="125"/>
      <c r="UZF175" s="125"/>
      <c r="UZG175" s="125"/>
      <c r="UZH175" s="125"/>
      <c r="UZI175" s="125"/>
      <c r="UZJ175" s="125"/>
      <c r="UZK175" s="125"/>
      <c r="UZL175" s="125"/>
      <c r="UZM175" s="125"/>
      <c r="UZN175" s="125"/>
      <c r="UZO175" s="125"/>
      <c r="UZP175" s="125"/>
      <c r="UZQ175" s="125"/>
      <c r="UZR175" s="125"/>
      <c r="UZS175" s="125"/>
      <c r="UZT175" s="125"/>
      <c r="UZU175" s="125"/>
      <c r="UZV175" s="125"/>
      <c r="UZW175" s="125"/>
      <c r="UZX175" s="125"/>
      <c r="UZY175" s="125"/>
      <c r="UZZ175" s="125"/>
      <c r="VAA175" s="125"/>
      <c r="VAB175" s="125"/>
      <c r="VAC175" s="125"/>
      <c r="VAD175" s="125"/>
      <c r="VAE175" s="125"/>
      <c r="VAF175" s="125"/>
      <c r="VAG175" s="125"/>
      <c r="VAH175" s="125"/>
      <c r="VAI175" s="125"/>
      <c r="VAJ175" s="125"/>
      <c r="VAK175" s="125"/>
      <c r="VAL175" s="125"/>
      <c r="VAM175" s="125"/>
      <c r="VAN175" s="125"/>
      <c r="VAO175" s="125"/>
      <c r="VAP175" s="125"/>
      <c r="VAQ175" s="125"/>
      <c r="VAR175" s="125"/>
      <c r="VAS175" s="125"/>
      <c r="VAT175" s="125"/>
      <c r="VAU175" s="125"/>
      <c r="VAV175" s="125"/>
      <c r="VAW175" s="125"/>
      <c r="VAX175" s="125"/>
      <c r="VAY175" s="125"/>
      <c r="VAZ175" s="125"/>
      <c r="VBA175" s="125"/>
      <c r="VBB175" s="125"/>
      <c r="VBC175" s="125"/>
      <c r="VBD175" s="125"/>
      <c r="VBE175" s="125"/>
      <c r="VBF175" s="125"/>
      <c r="VBG175" s="125"/>
      <c r="VBH175" s="125"/>
      <c r="VBI175" s="125"/>
      <c r="VBJ175" s="125"/>
      <c r="VBK175" s="125"/>
      <c r="VBL175" s="125"/>
      <c r="VBM175" s="125"/>
      <c r="VBN175" s="125"/>
      <c r="VBO175" s="125"/>
      <c r="VBP175" s="125"/>
      <c r="VBQ175" s="125"/>
      <c r="VBR175" s="125"/>
      <c r="VBS175" s="125"/>
      <c r="VBT175" s="125"/>
      <c r="VBU175" s="125"/>
      <c r="VBV175" s="125"/>
      <c r="VBW175" s="125"/>
      <c r="VBX175" s="125"/>
      <c r="VBY175" s="125"/>
      <c r="VBZ175" s="125"/>
      <c r="VCA175" s="125"/>
      <c r="VCB175" s="125"/>
      <c r="VCC175" s="125"/>
      <c r="VCD175" s="125"/>
      <c r="VCE175" s="125"/>
      <c r="VCF175" s="125"/>
      <c r="VCG175" s="125"/>
      <c r="VCH175" s="125"/>
      <c r="VCI175" s="125"/>
      <c r="VCJ175" s="125"/>
      <c r="VCK175" s="125"/>
      <c r="VCL175" s="125"/>
      <c r="VCM175" s="125"/>
      <c r="VCN175" s="125"/>
      <c r="VCO175" s="125"/>
      <c r="VCP175" s="125"/>
      <c r="VCQ175" s="125"/>
      <c r="VCR175" s="125"/>
      <c r="VCS175" s="125"/>
      <c r="VCT175" s="125"/>
      <c r="VCU175" s="125"/>
      <c r="VCV175" s="125"/>
      <c r="VCW175" s="125"/>
      <c r="VCX175" s="125"/>
      <c r="VCY175" s="125"/>
      <c r="VCZ175" s="125"/>
      <c r="VDA175" s="125"/>
      <c r="VDB175" s="125"/>
      <c r="VDC175" s="125"/>
      <c r="VDD175" s="125"/>
      <c r="VDE175" s="125"/>
      <c r="VDF175" s="125"/>
      <c r="VDG175" s="125"/>
      <c r="VDH175" s="125"/>
      <c r="VDI175" s="125"/>
      <c r="VDJ175" s="125"/>
      <c r="VDK175" s="125"/>
      <c r="VDL175" s="125"/>
      <c r="VDM175" s="125"/>
      <c r="VDN175" s="125"/>
      <c r="VDO175" s="125"/>
      <c r="VDP175" s="125"/>
      <c r="VDQ175" s="125"/>
      <c r="VDR175" s="125"/>
      <c r="VDS175" s="125"/>
      <c r="VDT175" s="125"/>
      <c r="VDU175" s="125"/>
      <c r="VDV175" s="125"/>
      <c r="VDW175" s="125"/>
      <c r="VDX175" s="125"/>
      <c r="VDY175" s="125"/>
      <c r="VDZ175" s="125"/>
      <c r="VEA175" s="125"/>
      <c r="VEB175" s="125"/>
      <c r="VEC175" s="125"/>
      <c r="VED175" s="125"/>
      <c r="VEE175" s="125"/>
      <c r="VEF175" s="125"/>
      <c r="VEG175" s="125"/>
      <c r="VEH175" s="125"/>
      <c r="VEI175" s="125"/>
      <c r="VEJ175" s="125"/>
      <c r="VEK175" s="125"/>
      <c r="VEL175" s="125"/>
      <c r="VEM175" s="125"/>
      <c r="VEN175" s="125"/>
      <c r="VEO175" s="125"/>
      <c r="VEP175" s="125"/>
      <c r="VEQ175" s="125"/>
      <c r="VER175" s="125"/>
      <c r="VES175" s="125"/>
      <c r="VET175" s="125"/>
      <c r="VEU175" s="125"/>
      <c r="VEV175" s="125"/>
      <c r="VEW175" s="125"/>
      <c r="VEX175" s="125"/>
      <c r="VEY175" s="125"/>
      <c r="VEZ175" s="125"/>
      <c r="VFA175" s="125"/>
      <c r="VFB175" s="125"/>
      <c r="VFC175" s="125"/>
      <c r="VFD175" s="125"/>
      <c r="VFE175" s="125"/>
      <c r="VFF175" s="125"/>
      <c r="VFG175" s="125"/>
      <c r="VFH175" s="125"/>
      <c r="VFI175" s="125"/>
      <c r="VFJ175" s="125"/>
      <c r="VFK175" s="125"/>
      <c r="VFL175" s="125"/>
      <c r="VFM175" s="125"/>
      <c r="VFN175" s="125"/>
      <c r="VFO175" s="125"/>
      <c r="VFP175" s="125"/>
      <c r="VFQ175" s="125"/>
      <c r="VFR175" s="125"/>
      <c r="VFS175" s="125"/>
      <c r="VFT175" s="125"/>
      <c r="VFU175" s="125"/>
      <c r="VFV175" s="125"/>
      <c r="VFW175" s="125"/>
      <c r="VFX175" s="125"/>
      <c r="VFY175" s="125"/>
      <c r="VFZ175" s="125"/>
      <c r="VGA175" s="125"/>
      <c r="VGB175" s="125"/>
      <c r="VGC175" s="125"/>
      <c r="VGD175" s="125"/>
      <c r="VGE175" s="125"/>
      <c r="VGF175" s="125"/>
      <c r="VGG175" s="125"/>
      <c r="VGH175" s="125"/>
      <c r="VGI175" s="125"/>
      <c r="VGJ175" s="125"/>
      <c r="VGK175" s="125"/>
      <c r="VGL175" s="125"/>
      <c r="VGM175" s="125"/>
      <c r="VGN175" s="125"/>
      <c r="VGO175" s="125"/>
      <c r="VGP175" s="125"/>
      <c r="VGQ175" s="125"/>
      <c r="VGR175" s="125"/>
      <c r="VGS175" s="125"/>
      <c r="VGT175" s="125"/>
      <c r="VGU175" s="125"/>
      <c r="VGV175" s="125"/>
      <c r="VGW175" s="125"/>
      <c r="VGX175" s="125"/>
      <c r="VGY175" s="125"/>
      <c r="VGZ175" s="125"/>
      <c r="VHA175" s="125"/>
      <c r="VHB175" s="125"/>
      <c r="VHC175" s="125"/>
      <c r="VHD175" s="125"/>
      <c r="VHE175" s="125"/>
      <c r="VHF175" s="125"/>
      <c r="VHG175" s="125"/>
      <c r="VHH175" s="125"/>
      <c r="VHI175" s="125"/>
      <c r="VHJ175" s="125"/>
      <c r="VHK175" s="125"/>
      <c r="VHL175" s="125"/>
      <c r="VHM175" s="125"/>
      <c r="VHN175" s="125"/>
      <c r="VHO175" s="125"/>
      <c r="VHP175" s="125"/>
      <c r="VHQ175" s="125"/>
      <c r="VHR175" s="125"/>
      <c r="VHS175" s="125"/>
      <c r="VHT175" s="125"/>
      <c r="VHU175" s="125"/>
      <c r="VHV175" s="125"/>
      <c r="VHW175" s="125"/>
      <c r="VHX175" s="125"/>
      <c r="VHY175" s="125"/>
      <c r="VHZ175" s="125"/>
      <c r="VIA175" s="125"/>
      <c r="VIB175" s="125"/>
      <c r="VIC175" s="125"/>
      <c r="VID175" s="125"/>
      <c r="VIE175" s="125"/>
      <c r="VIF175" s="125"/>
      <c r="VIG175" s="125"/>
      <c r="VIH175" s="125"/>
      <c r="VII175" s="125"/>
      <c r="VIJ175" s="125"/>
      <c r="VIK175" s="125"/>
      <c r="VIL175" s="125"/>
      <c r="VIM175" s="125"/>
      <c r="VIN175" s="125"/>
      <c r="VIO175" s="125"/>
      <c r="VIP175" s="125"/>
      <c r="VIQ175" s="125"/>
      <c r="VIR175" s="125"/>
      <c r="VIS175" s="125"/>
      <c r="VIT175" s="125"/>
      <c r="VIU175" s="125"/>
      <c r="VIV175" s="125"/>
      <c r="VIW175" s="125"/>
      <c r="VIX175" s="125"/>
      <c r="VIY175" s="125"/>
      <c r="VIZ175" s="125"/>
      <c r="VJA175" s="125"/>
      <c r="VJB175" s="125"/>
      <c r="VJC175" s="125"/>
      <c r="VJD175" s="125"/>
      <c r="VJE175" s="125"/>
      <c r="VJF175" s="125"/>
      <c r="VJG175" s="125"/>
      <c r="VJH175" s="125"/>
      <c r="VJI175" s="125"/>
      <c r="VJJ175" s="125"/>
      <c r="VJK175" s="125"/>
      <c r="VJL175" s="125"/>
      <c r="VJM175" s="125"/>
      <c r="VJN175" s="125"/>
      <c r="VJO175" s="125"/>
      <c r="VJP175" s="125"/>
      <c r="VJQ175" s="125"/>
      <c r="VJR175" s="125"/>
      <c r="VJS175" s="125"/>
      <c r="VJT175" s="125"/>
      <c r="VJU175" s="125"/>
      <c r="VJV175" s="125"/>
      <c r="VJW175" s="125"/>
      <c r="VJX175" s="125"/>
      <c r="VJY175" s="125"/>
      <c r="VJZ175" s="125"/>
      <c r="VKA175" s="125"/>
      <c r="VKB175" s="125"/>
      <c r="VKC175" s="125"/>
      <c r="VKD175" s="125"/>
      <c r="VKE175" s="125"/>
      <c r="VKF175" s="125"/>
      <c r="VKG175" s="125"/>
      <c r="VKH175" s="125"/>
      <c r="VKI175" s="125"/>
      <c r="VKJ175" s="125"/>
      <c r="VKK175" s="125"/>
      <c r="VKL175" s="125"/>
      <c r="VKM175" s="125"/>
      <c r="VKN175" s="125"/>
      <c r="VKO175" s="125"/>
      <c r="VKP175" s="125"/>
      <c r="VKQ175" s="125"/>
      <c r="VKR175" s="125"/>
      <c r="VKS175" s="125"/>
      <c r="VKT175" s="125"/>
      <c r="VKU175" s="125"/>
      <c r="VKV175" s="125"/>
      <c r="VKW175" s="125"/>
      <c r="VKX175" s="125"/>
      <c r="VKY175" s="125"/>
      <c r="VKZ175" s="125"/>
      <c r="VLA175" s="125"/>
      <c r="VLB175" s="125"/>
      <c r="VLC175" s="125"/>
      <c r="VLD175" s="125"/>
      <c r="VLE175" s="125"/>
      <c r="VLF175" s="125"/>
      <c r="VLG175" s="125"/>
      <c r="VLH175" s="125"/>
      <c r="VLI175" s="125"/>
      <c r="VLJ175" s="125"/>
      <c r="VLK175" s="125"/>
      <c r="VLL175" s="125"/>
      <c r="VLM175" s="125"/>
      <c r="VLN175" s="125"/>
      <c r="VLO175" s="125"/>
      <c r="VLP175" s="125"/>
      <c r="VLQ175" s="125"/>
      <c r="VLR175" s="125"/>
      <c r="VLS175" s="125"/>
      <c r="VLT175" s="125"/>
      <c r="VLU175" s="125"/>
      <c r="VLV175" s="125"/>
      <c r="VLW175" s="125"/>
      <c r="VLX175" s="125"/>
      <c r="VLY175" s="125"/>
      <c r="VLZ175" s="125"/>
      <c r="VMA175" s="125"/>
      <c r="VMB175" s="125"/>
      <c r="VMC175" s="125"/>
      <c r="VMD175" s="125"/>
      <c r="VME175" s="125"/>
      <c r="VMF175" s="125"/>
      <c r="VMG175" s="125"/>
      <c r="VMH175" s="125"/>
      <c r="VMI175" s="125"/>
      <c r="VMJ175" s="125"/>
      <c r="VMK175" s="125"/>
      <c r="VML175" s="125"/>
      <c r="VMM175" s="125"/>
      <c r="VMN175" s="125"/>
      <c r="VMO175" s="125"/>
      <c r="VMP175" s="125"/>
      <c r="VMQ175" s="125"/>
      <c r="VMR175" s="125"/>
      <c r="VMS175" s="125"/>
      <c r="VMT175" s="125"/>
      <c r="VMU175" s="125"/>
      <c r="VMV175" s="125"/>
      <c r="VMW175" s="125"/>
      <c r="VMX175" s="125"/>
      <c r="VMY175" s="125"/>
      <c r="VMZ175" s="125"/>
      <c r="VNA175" s="125"/>
      <c r="VNB175" s="125"/>
      <c r="VNC175" s="125"/>
      <c r="VND175" s="125"/>
      <c r="VNE175" s="125"/>
      <c r="VNF175" s="125"/>
      <c r="VNG175" s="125"/>
      <c r="VNH175" s="125"/>
      <c r="VNI175" s="125"/>
      <c r="VNJ175" s="125"/>
      <c r="VNK175" s="125"/>
      <c r="VNL175" s="125"/>
      <c r="VNM175" s="125"/>
      <c r="VNN175" s="125"/>
      <c r="VNO175" s="125"/>
      <c r="VNP175" s="125"/>
      <c r="VNQ175" s="125"/>
      <c r="VNR175" s="125"/>
      <c r="VNS175" s="125"/>
      <c r="VNT175" s="125"/>
      <c r="VNU175" s="125"/>
      <c r="VNV175" s="125"/>
      <c r="VNW175" s="125"/>
      <c r="VNX175" s="125"/>
      <c r="VNY175" s="125"/>
      <c r="VNZ175" s="125"/>
      <c r="VOA175" s="125"/>
      <c r="VOB175" s="125"/>
      <c r="VOC175" s="125"/>
      <c r="VOD175" s="125"/>
      <c r="VOE175" s="125"/>
      <c r="VOF175" s="125"/>
      <c r="VOG175" s="125"/>
      <c r="VOH175" s="125"/>
      <c r="VOI175" s="125"/>
      <c r="VOJ175" s="125"/>
      <c r="VOK175" s="125"/>
      <c r="VOL175" s="125"/>
      <c r="VOM175" s="125"/>
      <c r="VON175" s="125"/>
      <c r="VOO175" s="125"/>
      <c r="VOP175" s="125"/>
      <c r="VOQ175" s="125"/>
      <c r="VOR175" s="125"/>
      <c r="VOS175" s="125"/>
      <c r="VOT175" s="125"/>
      <c r="VOU175" s="125"/>
      <c r="VOV175" s="125"/>
      <c r="VOW175" s="125"/>
      <c r="VOX175" s="125"/>
      <c r="VOY175" s="125"/>
      <c r="VOZ175" s="125"/>
      <c r="VPA175" s="125"/>
      <c r="VPB175" s="125"/>
      <c r="VPC175" s="125"/>
      <c r="VPD175" s="125"/>
      <c r="VPE175" s="125"/>
      <c r="VPF175" s="125"/>
      <c r="VPG175" s="125"/>
      <c r="VPH175" s="125"/>
      <c r="VPI175" s="125"/>
      <c r="VPJ175" s="125"/>
      <c r="VPK175" s="125"/>
      <c r="VPL175" s="125"/>
      <c r="VPM175" s="125"/>
      <c r="VPN175" s="125"/>
      <c r="VPO175" s="125"/>
      <c r="VPP175" s="125"/>
      <c r="VPQ175" s="125"/>
      <c r="VPR175" s="125"/>
      <c r="VPS175" s="125"/>
      <c r="VPT175" s="125"/>
      <c r="VPU175" s="125"/>
      <c r="VPV175" s="125"/>
      <c r="VPW175" s="125"/>
      <c r="VPX175" s="125"/>
      <c r="VPY175" s="125"/>
      <c r="VPZ175" s="125"/>
      <c r="VQA175" s="125"/>
      <c r="VQB175" s="125"/>
      <c r="VQC175" s="125"/>
      <c r="VQD175" s="125"/>
      <c r="VQE175" s="125"/>
      <c r="VQF175" s="125"/>
      <c r="VQG175" s="125"/>
      <c r="VQH175" s="125"/>
      <c r="VQI175" s="125"/>
      <c r="VQJ175" s="125"/>
      <c r="VQK175" s="125"/>
      <c r="VQL175" s="125"/>
      <c r="VQM175" s="125"/>
      <c r="VQN175" s="125"/>
      <c r="VQO175" s="125"/>
      <c r="VQP175" s="125"/>
      <c r="VQQ175" s="125"/>
      <c r="VQR175" s="125"/>
      <c r="VQS175" s="125"/>
      <c r="VQT175" s="125"/>
      <c r="VQU175" s="125"/>
      <c r="VQV175" s="125"/>
      <c r="VQW175" s="125"/>
      <c r="VQX175" s="125"/>
      <c r="VQY175" s="125"/>
      <c r="VQZ175" s="125"/>
      <c r="VRA175" s="125"/>
      <c r="VRB175" s="125"/>
      <c r="VRC175" s="125"/>
      <c r="VRD175" s="125"/>
      <c r="VRE175" s="125"/>
      <c r="VRF175" s="125"/>
      <c r="VRG175" s="125"/>
      <c r="VRH175" s="125"/>
      <c r="VRI175" s="125"/>
      <c r="VRJ175" s="125"/>
      <c r="VRK175" s="125"/>
      <c r="VRL175" s="125"/>
      <c r="VRM175" s="125"/>
      <c r="VRN175" s="125"/>
      <c r="VRO175" s="125"/>
      <c r="VRP175" s="125"/>
      <c r="VRQ175" s="125"/>
      <c r="VRR175" s="125"/>
      <c r="VRS175" s="125"/>
      <c r="VRT175" s="125"/>
      <c r="VRU175" s="125"/>
      <c r="VRV175" s="125"/>
      <c r="VRW175" s="125"/>
      <c r="VRX175" s="125"/>
      <c r="VRY175" s="125"/>
      <c r="VRZ175" s="125"/>
      <c r="VSA175" s="125"/>
      <c r="VSB175" s="125"/>
      <c r="VSC175" s="125"/>
      <c r="VSD175" s="125"/>
      <c r="VSE175" s="125"/>
      <c r="VSF175" s="125"/>
      <c r="VSG175" s="125"/>
      <c r="VSH175" s="125"/>
      <c r="VSI175" s="125"/>
      <c r="VSJ175" s="125"/>
      <c r="VSK175" s="125"/>
      <c r="VSL175" s="125"/>
      <c r="VSM175" s="125"/>
      <c r="VSN175" s="125"/>
      <c r="VSO175" s="125"/>
      <c r="VSP175" s="125"/>
      <c r="VSQ175" s="125"/>
      <c r="VSR175" s="125"/>
      <c r="VSS175" s="125"/>
      <c r="VST175" s="125"/>
      <c r="VSU175" s="125"/>
      <c r="VSV175" s="125"/>
      <c r="VSW175" s="125"/>
      <c r="VSX175" s="125"/>
      <c r="VSY175" s="125"/>
      <c r="VSZ175" s="125"/>
      <c r="VTA175" s="125"/>
      <c r="VTB175" s="125"/>
      <c r="VTC175" s="125"/>
      <c r="VTD175" s="125"/>
      <c r="VTE175" s="125"/>
      <c r="VTF175" s="125"/>
      <c r="VTG175" s="125"/>
      <c r="VTH175" s="125"/>
      <c r="VTI175" s="125"/>
      <c r="VTJ175" s="125"/>
      <c r="VTK175" s="125"/>
      <c r="VTL175" s="125"/>
      <c r="VTM175" s="125"/>
      <c r="VTN175" s="125"/>
      <c r="VTO175" s="125"/>
      <c r="VTP175" s="125"/>
      <c r="VTQ175" s="125"/>
      <c r="VTR175" s="125"/>
      <c r="VTS175" s="125"/>
      <c r="VTT175" s="125"/>
      <c r="VTU175" s="125"/>
      <c r="VTV175" s="125"/>
      <c r="VTW175" s="125"/>
      <c r="VTX175" s="125"/>
      <c r="VTY175" s="125"/>
      <c r="VTZ175" s="125"/>
      <c r="VUA175" s="125"/>
      <c r="VUB175" s="125"/>
      <c r="VUC175" s="125"/>
      <c r="VUD175" s="125"/>
      <c r="VUE175" s="125"/>
      <c r="VUF175" s="125"/>
      <c r="VUG175" s="125"/>
      <c r="VUH175" s="125"/>
      <c r="VUI175" s="125"/>
      <c r="VUJ175" s="125"/>
      <c r="VUK175" s="125"/>
      <c r="VUL175" s="125"/>
      <c r="VUM175" s="125"/>
      <c r="VUN175" s="125"/>
      <c r="VUO175" s="125"/>
      <c r="VUP175" s="125"/>
      <c r="VUQ175" s="125"/>
      <c r="VUR175" s="125"/>
      <c r="VUS175" s="125"/>
      <c r="VUT175" s="125"/>
      <c r="VUU175" s="125"/>
      <c r="VUV175" s="125"/>
      <c r="VUW175" s="125"/>
      <c r="VUX175" s="125"/>
      <c r="VUY175" s="125"/>
      <c r="VUZ175" s="125"/>
      <c r="VVA175" s="125"/>
      <c r="VVB175" s="125"/>
      <c r="VVC175" s="125"/>
      <c r="VVD175" s="125"/>
      <c r="VVE175" s="125"/>
      <c r="VVF175" s="125"/>
      <c r="VVG175" s="125"/>
      <c r="VVH175" s="125"/>
      <c r="VVI175" s="125"/>
      <c r="VVJ175" s="125"/>
      <c r="VVK175" s="125"/>
      <c r="VVL175" s="125"/>
      <c r="VVM175" s="125"/>
      <c r="VVN175" s="125"/>
      <c r="VVO175" s="125"/>
      <c r="VVP175" s="125"/>
      <c r="VVQ175" s="125"/>
      <c r="VVR175" s="125"/>
      <c r="VVS175" s="125"/>
      <c r="VVT175" s="125"/>
      <c r="VVU175" s="125"/>
      <c r="VVV175" s="125"/>
      <c r="VVW175" s="125"/>
      <c r="VVX175" s="125"/>
      <c r="VVY175" s="125"/>
      <c r="VVZ175" s="125"/>
      <c r="VWA175" s="125"/>
      <c r="VWB175" s="125"/>
      <c r="VWC175" s="125"/>
      <c r="VWD175" s="125"/>
      <c r="VWE175" s="125"/>
      <c r="VWF175" s="125"/>
      <c r="VWG175" s="125"/>
      <c r="VWH175" s="125"/>
      <c r="VWI175" s="125"/>
      <c r="VWJ175" s="125"/>
      <c r="VWK175" s="125"/>
      <c r="VWL175" s="125"/>
      <c r="VWM175" s="125"/>
      <c r="VWN175" s="125"/>
      <c r="VWO175" s="125"/>
      <c r="VWP175" s="125"/>
      <c r="VWQ175" s="125"/>
      <c r="VWR175" s="125"/>
      <c r="VWS175" s="125"/>
      <c r="VWT175" s="125"/>
      <c r="VWU175" s="125"/>
      <c r="VWV175" s="125"/>
      <c r="VWW175" s="125"/>
      <c r="VWX175" s="125"/>
      <c r="VWY175" s="125"/>
      <c r="VWZ175" s="125"/>
      <c r="VXA175" s="125"/>
      <c r="VXB175" s="125"/>
      <c r="VXC175" s="125"/>
      <c r="VXD175" s="125"/>
      <c r="VXE175" s="125"/>
      <c r="VXF175" s="125"/>
      <c r="VXG175" s="125"/>
      <c r="VXH175" s="125"/>
      <c r="VXI175" s="125"/>
      <c r="VXJ175" s="125"/>
      <c r="VXK175" s="125"/>
      <c r="VXL175" s="125"/>
      <c r="VXM175" s="125"/>
      <c r="VXN175" s="125"/>
      <c r="VXO175" s="125"/>
      <c r="VXP175" s="125"/>
      <c r="VXQ175" s="125"/>
      <c r="VXR175" s="125"/>
      <c r="VXS175" s="125"/>
      <c r="VXT175" s="125"/>
      <c r="VXU175" s="125"/>
      <c r="VXV175" s="125"/>
      <c r="VXW175" s="125"/>
      <c r="VXX175" s="125"/>
      <c r="VXY175" s="125"/>
      <c r="VXZ175" s="125"/>
      <c r="VYA175" s="125"/>
      <c r="VYB175" s="125"/>
      <c r="VYC175" s="125"/>
      <c r="VYD175" s="125"/>
      <c r="VYE175" s="125"/>
      <c r="VYF175" s="125"/>
      <c r="VYG175" s="125"/>
      <c r="VYH175" s="125"/>
      <c r="VYI175" s="125"/>
      <c r="VYJ175" s="125"/>
      <c r="VYK175" s="125"/>
      <c r="VYL175" s="125"/>
      <c r="VYM175" s="125"/>
      <c r="VYN175" s="125"/>
      <c r="VYO175" s="125"/>
      <c r="VYP175" s="125"/>
      <c r="VYQ175" s="125"/>
      <c r="VYR175" s="125"/>
      <c r="VYS175" s="125"/>
      <c r="VYT175" s="125"/>
      <c r="VYU175" s="125"/>
      <c r="VYV175" s="125"/>
      <c r="VYW175" s="125"/>
      <c r="VYX175" s="125"/>
      <c r="VYY175" s="125"/>
      <c r="VYZ175" s="125"/>
      <c r="VZA175" s="125"/>
      <c r="VZB175" s="125"/>
      <c r="VZC175" s="125"/>
      <c r="VZD175" s="125"/>
      <c r="VZE175" s="125"/>
      <c r="VZF175" s="125"/>
      <c r="VZG175" s="125"/>
      <c r="VZH175" s="125"/>
      <c r="VZI175" s="125"/>
      <c r="VZJ175" s="125"/>
      <c r="VZK175" s="125"/>
      <c r="VZL175" s="125"/>
      <c r="VZM175" s="125"/>
      <c r="VZN175" s="125"/>
      <c r="VZO175" s="125"/>
      <c r="VZP175" s="125"/>
      <c r="VZQ175" s="125"/>
      <c r="VZR175" s="125"/>
      <c r="VZS175" s="125"/>
      <c r="VZT175" s="125"/>
      <c r="VZU175" s="125"/>
      <c r="VZV175" s="125"/>
      <c r="VZW175" s="125"/>
      <c r="VZX175" s="125"/>
      <c r="VZY175" s="125"/>
      <c r="VZZ175" s="125"/>
      <c r="WAA175" s="125"/>
      <c r="WAB175" s="125"/>
      <c r="WAC175" s="125"/>
      <c r="WAD175" s="125"/>
      <c r="WAE175" s="125"/>
      <c r="WAF175" s="125"/>
      <c r="WAG175" s="125"/>
      <c r="WAH175" s="125"/>
      <c r="WAI175" s="125"/>
      <c r="WAJ175" s="125"/>
      <c r="WAK175" s="125"/>
      <c r="WAL175" s="125"/>
      <c r="WAM175" s="125"/>
      <c r="WAN175" s="125"/>
      <c r="WAO175" s="125"/>
      <c r="WAP175" s="125"/>
      <c r="WAQ175" s="125"/>
      <c r="WAR175" s="125"/>
      <c r="WAS175" s="125"/>
      <c r="WAT175" s="125"/>
      <c r="WAU175" s="125"/>
      <c r="WAV175" s="125"/>
      <c r="WAW175" s="125"/>
      <c r="WAX175" s="125"/>
      <c r="WAY175" s="125"/>
      <c r="WAZ175" s="125"/>
      <c r="WBA175" s="125"/>
      <c r="WBB175" s="125"/>
      <c r="WBC175" s="125"/>
      <c r="WBD175" s="125"/>
      <c r="WBE175" s="125"/>
      <c r="WBF175" s="125"/>
      <c r="WBG175" s="125"/>
      <c r="WBH175" s="125"/>
      <c r="WBI175" s="125"/>
      <c r="WBJ175" s="125"/>
      <c r="WBK175" s="125"/>
      <c r="WBL175" s="125"/>
      <c r="WBM175" s="125"/>
      <c r="WBN175" s="125"/>
      <c r="WBO175" s="125"/>
      <c r="WBP175" s="125"/>
      <c r="WBQ175" s="125"/>
      <c r="WBR175" s="125"/>
      <c r="WBS175" s="125"/>
      <c r="WBT175" s="125"/>
      <c r="WBU175" s="125"/>
      <c r="WBV175" s="125"/>
      <c r="WBW175" s="125"/>
      <c r="WBX175" s="125"/>
      <c r="WBY175" s="125"/>
      <c r="WBZ175" s="125"/>
      <c r="WCA175" s="125"/>
      <c r="WCB175" s="125"/>
      <c r="WCC175" s="125"/>
      <c r="WCD175" s="125"/>
      <c r="WCE175" s="125"/>
      <c r="WCF175" s="125"/>
      <c r="WCG175" s="125"/>
      <c r="WCH175" s="125"/>
      <c r="WCI175" s="125"/>
      <c r="WCJ175" s="125"/>
      <c r="WCK175" s="125"/>
      <c r="WCL175" s="125"/>
      <c r="WCM175" s="125"/>
      <c r="WCN175" s="125"/>
      <c r="WCO175" s="125"/>
      <c r="WCP175" s="125"/>
      <c r="WCQ175" s="125"/>
      <c r="WCR175" s="125"/>
      <c r="WCS175" s="125"/>
      <c r="WCT175" s="125"/>
      <c r="WCU175" s="125"/>
      <c r="WCV175" s="125"/>
      <c r="WCW175" s="125"/>
      <c r="WCX175" s="125"/>
      <c r="WCY175" s="125"/>
      <c r="WCZ175" s="125"/>
      <c r="WDA175" s="125"/>
      <c r="WDB175" s="125"/>
      <c r="WDC175" s="125"/>
      <c r="WDD175" s="125"/>
      <c r="WDE175" s="125"/>
      <c r="WDF175" s="125"/>
      <c r="WDG175" s="125"/>
      <c r="WDH175" s="125"/>
      <c r="WDI175" s="125"/>
      <c r="WDJ175" s="125"/>
      <c r="WDK175" s="125"/>
      <c r="WDL175" s="125"/>
      <c r="WDM175" s="125"/>
      <c r="WDN175" s="125"/>
      <c r="WDO175" s="125"/>
      <c r="WDP175" s="125"/>
      <c r="WDQ175" s="125"/>
      <c r="WDR175" s="125"/>
      <c r="WDS175" s="125"/>
      <c r="WDT175" s="125"/>
      <c r="WDU175" s="125"/>
      <c r="WDV175" s="125"/>
      <c r="WDW175" s="125"/>
      <c r="WDX175" s="125"/>
      <c r="WDY175" s="125"/>
      <c r="WDZ175" s="125"/>
      <c r="WEA175" s="125"/>
      <c r="WEB175" s="125"/>
      <c r="WEC175" s="125"/>
      <c r="WED175" s="125"/>
      <c r="WEE175" s="125"/>
      <c r="WEF175" s="125"/>
      <c r="WEG175" s="125"/>
      <c r="WEH175" s="125"/>
      <c r="WEI175" s="125"/>
      <c r="WEJ175" s="125"/>
      <c r="WEK175" s="125"/>
      <c r="WEL175" s="125"/>
      <c r="WEM175" s="125"/>
      <c r="WEN175" s="125"/>
      <c r="WEO175" s="125"/>
      <c r="WEP175" s="125"/>
      <c r="WEQ175" s="125"/>
      <c r="WER175" s="125"/>
      <c r="WES175" s="125"/>
      <c r="WET175" s="125"/>
      <c r="WEU175" s="125"/>
      <c r="WEV175" s="125"/>
      <c r="WEW175" s="125"/>
      <c r="WEX175" s="125"/>
      <c r="WEY175" s="125"/>
      <c r="WEZ175" s="125"/>
      <c r="WFA175" s="125"/>
      <c r="WFB175" s="125"/>
      <c r="WFC175" s="125"/>
      <c r="WFD175" s="125"/>
      <c r="WFE175" s="125"/>
      <c r="WFF175" s="125"/>
      <c r="WFG175" s="125"/>
      <c r="WFH175" s="125"/>
      <c r="WFI175" s="125"/>
      <c r="WFJ175" s="125"/>
      <c r="WFK175" s="125"/>
      <c r="WFL175" s="125"/>
      <c r="WFM175" s="125"/>
      <c r="WFN175" s="125"/>
      <c r="WFO175" s="125"/>
      <c r="WFP175" s="125"/>
      <c r="WFQ175" s="125"/>
      <c r="WFR175" s="125"/>
      <c r="WFS175" s="125"/>
      <c r="WFT175" s="125"/>
      <c r="WFU175" s="125"/>
      <c r="WFV175" s="125"/>
      <c r="WFW175" s="125"/>
      <c r="WFX175" s="125"/>
      <c r="WFY175" s="125"/>
      <c r="WFZ175" s="125"/>
      <c r="WGA175" s="125"/>
      <c r="WGB175" s="125"/>
      <c r="WGC175" s="125"/>
      <c r="WGD175" s="125"/>
      <c r="WGE175" s="125"/>
      <c r="WGF175" s="125"/>
      <c r="WGG175" s="125"/>
      <c r="WGH175" s="125"/>
      <c r="WGI175" s="125"/>
      <c r="WGJ175" s="125"/>
      <c r="WGK175" s="125"/>
      <c r="WGL175" s="125"/>
      <c r="WGM175" s="125"/>
      <c r="WGN175" s="125"/>
      <c r="WGO175" s="125"/>
      <c r="WGP175" s="125"/>
      <c r="WGQ175" s="125"/>
      <c r="WGR175" s="125"/>
      <c r="WGS175" s="125"/>
      <c r="WGT175" s="125"/>
      <c r="WGU175" s="125"/>
      <c r="WGV175" s="125"/>
      <c r="WGW175" s="125"/>
      <c r="WGX175" s="125"/>
      <c r="WGY175" s="125"/>
      <c r="WGZ175" s="125"/>
      <c r="WHA175" s="125"/>
      <c r="WHB175" s="125"/>
      <c r="WHC175" s="125"/>
      <c r="WHD175" s="125"/>
      <c r="WHE175" s="125"/>
      <c r="WHF175" s="125"/>
      <c r="WHG175" s="125"/>
      <c r="WHH175" s="125"/>
      <c r="WHI175" s="125"/>
      <c r="WHJ175" s="125"/>
      <c r="WHK175" s="125"/>
      <c r="WHL175" s="125"/>
      <c r="WHM175" s="125"/>
      <c r="WHN175" s="125"/>
      <c r="WHO175" s="125"/>
      <c r="WHP175" s="125"/>
      <c r="WHQ175" s="125"/>
      <c r="WHR175" s="125"/>
      <c r="WHS175" s="125"/>
      <c r="WHT175" s="125"/>
      <c r="WHU175" s="125"/>
      <c r="WHV175" s="125"/>
      <c r="WHW175" s="125"/>
      <c r="WHX175" s="125"/>
      <c r="WHY175" s="125"/>
      <c r="WHZ175" s="125"/>
      <c r="WIA175" s="125"/>
      <c r="WIB175" s="125"/>
      <c r="WIC175" s="125"/>
      <c r="WID175" s="125"/>
      <c r="WIE175" s="125"/>
      <c r="WIF175" s="125"/>
      <c r="WIG175" s="125"/>
      <c r="WIH175" s="125"/>
      <c r="WII175" s="125"/>
      <c r="WIJ175" s="125"/>
      <c r="WIK175" s="125"/>
      <c r="WIL175" s="125"/>
      <c r="WIM175" s="125"/>
      <c r="WIN175" s="125"/>
      <c r="WIO175" s="125"/>
      <c r="WIP175" s="125"/>
      <c r="WIQ175" s="125"/>
      <c r="WIR175" s="125"/>
      <c r="WIS175" s="125"/>
      <c r="WIT175" s="125"/>
      <c r="WIU175" s="125"/>
      <c r="WIV175" s="125"/>
      <c r="WIW175" s="125"/>
      <c r="WIX175" s="125"/>
      <c r="WIY175" s="125"/>
      <c r="WIZ175" s="125"/>
      <c r="WJA175" s="125"/>
      <c r="WJB175" s="125"/>
      <c r="WJC175" s="125"/>
      <c r="WJD175" s="125"/>
      <c r="WJE175" s="125"/>
      <c r="WJF175" s="125"/>
      <c r="WJG175" s="125"/>
      <c r="WJH175" s="125"/>
      <c r="WJI175" s="125"/>
      <c r="WJJ175" s="125"/>
      <c r="WJK175" s="125"/>
      <c r="WJL175" s="125"/>
      <c r="WJM175" s="125"/>
      <c r="WJN175" s="125"/>
      <c r="WJO175" s="125"/>
      <c r="WJP175" s="125"/>
      <c r="WJQ175" s="125"/>
      <c r="WJR175" s="125"/>
      <c r="WJS175" s="125"/>
      <c r="WJT175" s="125"/>
      <c r="WJU175" s="125"/>
      <c r="WJV175" s="125"/>
      <c r="WJW175" s="125"/>
      <c r="WJX175" s="125"/>
      <c r="WJY175" s="125"/>
      <c r="WJZ175" s="125"/>
      <c r="WKA175" s="125"/>
      <c r="WKB175" s="125"/>
      <c r="WKC175" s="125"/>
      <c r="WKD175" s="125"/>
      <c r="WKE175" s="125"/>
      <c r="WKF175" s="125"/>
      <c r="WKG175" s="125"/>
      <c r="WKH175" s="125"/>
      <c r="WKI175" s="125"/>
      <c r="WKJ175" s="125"/>
      <c r="WKK175" s="125"/>
      <c r="WKL175" s="125"/>
      <c r="WKM175" s="125"/>
      <c r="WKN175" s="125"/>
      <c r="WKO175" s="125"/>
      <c r="WKP175" s="125"/>
      <c r="WKQ175" s="125"/>
      <c r="WKR175" s="125"/>
      <c r="WKS175" s="125"/>
      <c r="WKT175" s="125"/>
      <c r="WKU175" s="125"/>
      <c r="WKV175" s="125"/>
      <c r="WKW175" s="125"/>
      <c r="WKX175" s="125"/>
      <c r="WKY175" s="125"/>
      <c r="WKZ175" s="125"/>
      <c r="WLA175" s="125"/>
      <c r="WLB175" s="125"/>
      <c r="WLC175" s="125"/>
      <c r="WLD175" s="125"/>
      <c r="WLE175" s="125"/>
      <c r="WLF175" s="125"/>
      <c r="WLG175" s="125"/>
      <c r="WLH175" s="125"/>
      <c r="WLI175" s="125"/>
      <c r="WLJ175" s="125"/>
      <c r="WLK175" s="125"/>
      <c r="WLL175" s="125"/>
      <c r="WLM175" s="125"/>
      <c r="WLN175" s="125"/>
      <c r="WLO175" s="125"/>
      <c r="WLP175" s="125"/>
      <c r="WLQ175" s="125"/>
      <c r="WLR175" s="125"/>
      <c r="WLS175" s="125"/>
      <c r="WLT175" s="125"/>
      <c r="WLU175" s="125"/>
      <c r="WLV175" s="125"/>
      <c r="WLW175" s="125"/>
      <c r="WLX175" s="125"/>
      <c r="WLY175" s="125"/>
      <c r="WLZ175" s="125"/>
      <c r="WMA175" s="125"/>
      <c r="WMB175" s="125"/>
      <c r="WMC175" s="125"/>
      <c r="WMD175" s="125"/>
      <c r="WME175" s="125"/>
      <c r="WMF175" s="125"/>
      <c r="WMG175" s="125"/>
      <c r="WMH175" s="125"/>
      <c r="WMI175" s="125"/>
      <c r="WMJ175" s="125"/>
      <c r="WMK175" s="125"/>
      <c r="WML175" s="125"/>
      <c r="WMM175" s="125"/>
      <c r="WMN175" s="125"/>
      <c r="WMO175" s="125"/>
      <c r="WMP175" s="125"/>
      <c r="WMQ175" s="125"/>
      <c r="WMR175" s="125"/>
      <c r="WMS175" s="125"/>
      <c r="WMT175" s="125"/>
      <c r="WMU175" s="125"/>
      <c r="WMV175" s="125"/>
      <c r="WMW175" s="125"/>
      <c r="WMX175" s="125"/>
      <c r="WMY175" s="125"/>
      <c r="WMZ175" s="125"/>
      <c r="WNA175" s="125"/>
      <c r="WNB175" s="125"/>
      <c r="WNC175" s="125"/>
      <c r="WND175" s="125"/>
      <c r="WNE175" s="125"/>
      <c r="WNF175" s="125"/>
      <c r="WNG175" s="125"/>
      <c r="WNH175" s="125"/>
      <c r="WNI175" s="125"/>
      <c r="WNJ175" s="125"/>
      <c r="WNK175" s="125"/>
      <c r="WNL175" s="125"/>
      <c r="WNM175" s="125"/>
      <c r="WNN175" s="125"/>
      <c r="WNO175" s="125"/>
      <c r="WNP175" s="125"/>
      <c r="WNQ175" s="125"/>
      <c r="WNR175" s="125"/>
      <c r="WNS175" s="125"/>
      <c r="WNT175" s="125"/>
      <c r="WNU175" s="125"/>
      <c r="WNV175" s="125"/>
      <c r="WNW175" s="125"/>
      <c r="WNX175" s="125"/>
      <c r="WNY175" s="125"/>
      <c r="WNZ175" s="125"/>
      <c r="WOA175" s="125"/>
      <c r="WOB175" s="125"/>
      <c r="WOC175" s="125"/>
      <c r="WOD175" s="125"/>
      <c r="WOE175" s="125"/>
      <c r="WOF175" s="125"/>
      <c r="WOG175" s="125"/>
      <c r="WOH175" s="125"/>
      <c r="WOI175" s="125"/>
      <c r="WOJ175" s="125"/>
      <c r="WOK175" s="125"/>
      <c r="WOL175" s="125"/>
      <c r="WOM175" s="125"/>
      <c r="WON175" s="125"/>
      <c r="WOO175" s="125"/>
      <c r="WOP175" s="125"/>
      <c r="WOQ175" s="125"/>
      <c r="WOR175" s="125"/>
      <c r="WOS175" s="125"/>
      <c r="WOT175" s="125"/>
      <c r="WOU175" s="125"/>
      <c r="WOV175" s="125"/>
      <c r="WOW175" s="125"/>
      <c r="WOX175" s="125"/>
      <c r="WOY175" s="125"/>
      <c r="WOZ175" s="125"/>
      <c r="WPA175" s="125"/>
      <c r="WPB175" s="125"/>
      <c r="WPC175" s="125"/>
      <c r="WPD175" s="125"/>
      <c r="WPE175" s="125"/>
      <c r="WPF175" s="125"/>
      <c r="WPG175" s="125"/>
      <c r="WPH175" s="125"/>
      <c r="WPI175" s="125"/>
      <c r="WPJ175" s="125"/>
      <c r="WPK175" s="125"/>
      <c r="WPL175" s="125"/>
      <c r="WPM175" s="125"/>
      <c r="WPN175" s="125"/>
      <c r="WPO175" s="125"/>
      <c r="WPP175" s="125"/>
      <c r="WPQ175" s="125"/>
      <c r="WPR175" s="125"/>
      <c r="WPS175" s="125"/>
      <c r="WPT175" s="125"/>
      <c r="WPU175" s="125"/>
      <c r="WPV175" s="125"/>
      <c r="WPW175" s="125"/>
      <c r="WPX175" s="125"/>
      <c r="WPY175" s="125"/>
      <c r="WPZ175" s="125"/>
      <c r="WQA175" s="125"/>
      <c r="WQB175" s="125"/>
      <c r="WQC175" s="125"/>
      <c r="WQD175" s="125"/>
      <c r="WQE175" s="125"/>
      <c r="WQF175" s="125"/>
      <c r="WQG175" s="125"/>
      <c r="WQH175" s="125"/>
      <c r="WQI175" s="125"/>
      <c r="WQJ175" s="125"/>
      <c r="WQK175" s="125"/>
      <c r="WQL175" s="125"/>
      <c r="WQM175" s="125"/>
      <c r="WQN175" s="125"/>
      <c r="WQO175" s="125"/>
      <c r="WQP175" s="125"/>
      <c r="WQQ175" s="125"/>
      <c r="WQR175" s="125"/>
      <c r="WQS175" s="125"/>
      <c r="WQT175" s="125"/>
      <c r="WQU175" s="125"/>
      <c r="WQV175" s="125"/>
      <c r="WQW175" s="125"/>
      <c r="WQX175" s="125"/>
      <c r="WQY175" s="125"/>
      <c r="WQZ175" s="125"/>
      <c r="WRA175" s="125"/>
      <c r="WRB175" s="125"/>
      <c r="WRC175" s="125"/>
      <c r="WRD175" s="125"/>
      <c r="WRE175" s="125"/>
      <c r="WRF175" s="125"/>
      <c r="WRG175" s="125"/>
      <c r="WRH175" s="125"/>
      <c r="WRI175" s="125"/>
      <c r="WRJ175" s="125"/>
      <c r="WRK175" s="125"/>
      <c r="WRL175" s="125"/>
      <c r="WRM175" s="125"/>
      <c r="WRN175" s="125"/>
      <c r="WRO175" s="125"/>
      <c r="WRP175" s="125"/>
      <c r="WRQ175" s="125"/>
      <c r="WRR175" s="125"/>
      <c r="WRS175" s="125"/>
      <c r="WRT175" s="125"/>
      <c r="WRU175" s="125"/>
      <c r="WRV175" s="125"/>
      <c r="WRW175" s="125"/>
      <c r="WRX175" s="125"/>
      <c r="WRY175" s="125"/>
      <c r="WRZ175" s="125"/>
      <c r="WSA175" s="125"/>
      <c r="WSB175" s="125"/>
      <c r="WSC175" s="125"/>
      <c r="WSD175" s="125"/>
      <c r="WSE175" s="125"/>
      <c r="WSF175" s="125"/>
      <c r="WSG175" s="125"/>
      <c r="WSH175" s="125"/>
      <c r="WSI175" s="125"/>
      <c r="WSJ175" s="125"/>
      <c r="WSK175" s="125"/>
      <c r="WSL175" s="125"/>
      <c r="WSM175" s="125"/>
      <c r="WSN175" s="125"/>
      <c r="WSO175" s="125"/>
      <c r="WSP175" s="125"/>
      <c r="WSQ175" s="125"/>
      <c r="WSR175" s="125"/>
      <c r="WSS175" s="125"/>
      <c r="WST175" s="125"/>
      <c r="WSU175" s="125"/>
      <c r="WSV175" s="125"/>
      <c r="WSW175" s="125"/>
      <c r="WSX175" s="125"/>
      <c r="WSY175" s="125"/>
      <c r="WSZ175" s="125"/>
      <c r="WTA175" s="125"/>
      <c r="WTB175" s="125"/>
      <c r="WTC175" s="125"/>
      <c r="WTD175" s="125"/>
      <c r="WTE175" s="125"/>
      <c r="WTF175" s="125"/>
      <c r="WTG175" s="125"/>
      <c r="WTH175" s="125"/>
      <c r="WTI175" s="125"/>
      <c r="WTJ175" s="125"/>
      <c r="WTK175" s="125"/>
      <c r="WTL175" s="125"/>
      <c r="WTM175" s="125"/>
      <c r="WTN175" s="125"/>
      <c r="WTO175" s="125"/>
      <c r="WTP175" s="125"/>
      <c r="WTQ175" s="125"/>
      <c r="WTR175" s="125"/>
      <c r="WTS175" s="125"/>
      <c r="WTT175" s="125"/>
      <c r="WTU175" s="125"/>
      <c r="WTV175" s="125"/>
      <c r="WTW175" s="125"/>
      <c r="WTX175" s="125"/>
      <c r="WTY175" s="125"/>
      <c r="WTZ175" s="125"/>
      <c r="WUA175" s="125"/>
      <c r="WUB175" s="125"/>
      <c r="WUC175" s="125"/>
      <c r="WUD175" s="125"/>
      <c r="WUE175" s="125"/>
      <c r="WUF175" s="125"/>
      <c r="WUG175" s="125"/>
      <c r="WUH175" s="125"/>
      <c r="WUI175" s="125"/>
      <c r="WUJ175" s="125"/>
      <c r="WUK175" s="125"/>
      <c r="WUL175" s="125"/>
      <c r="WUM175" s="125"/>
      <c r="WUN175" s="125"/>
      <c r="WUO175" s="125"/>
      <c r="WUP175" s="125"/>
      <c r="WUQ175" s="125"/>
      <c r="WUR175" s="125"/>
      <c r="WUS175" s="125"/>
      <c r="WUT175" s="125"/>
      <c r="WUU175" s="125"/>
      <c r="WUV175" s="125"/>
      <c r="WUW175" s="125"/>
      <c r="WUX175" s="125"/>
      <c r="WUY175" s="125"/>
      <c r="WUZ175" s="125"/>
      <c r="WVA175" s="125"/>
      <c r="WVB175" s="125"/>
      <c r="WVC175" s="125"/>
      <c r="WVD175" s="125"/>
      <c r="WVE175" s="125"/>
      <c r="WVF175" s="125"/>
      <c r="WVG175" s="125"/>
      <c r="WVH175" s="125"/>
      <c r="WVI175" s="125"/>
      <c r="WVJ175" s="125"/>
      <c r="WVK175" s="125"/>
      <c r="WVL175" s="125"/>
      <c r="WVM175" s="125"/>
      <c r="WVN175" s="125"/>
      <c r="WVO175" s="125"/>
      <c r="WVP175" s="125"/>
      <c r="WVQ175" s="125"/>
      <c r="WVR175" s="125"/>
      <c r="WVS175" s="125"/>
      <c r="WVT175" s="125"/>
      <c r="WVU175" s="125"/>
      <c r="WVV175" s="125"/>
      <c r="WVW175" s="125"/>
      <c r="WVX175" s="125"/>
      <c r="WVY175" s="125"/>
      <c r="WVZ175" s="125"/>
      <c r="WWA175" s="125"/>
      <c r="WWB175" s="125"/>
      <c r="WWC175" s="125"/>
      <c r="WWD175" s="125"/>
      <c r="WWE175" s="125"/>
      <c r="WWF175" s="125"/>
      <c r="WWG175" s="125"/>
      <c r="WWH175" s="125"/>
      <c r="WWI175" s="125"/>
      <c r="WWJ175" s="125"/>
      <c r="WWK175" s="125"/>
      <c r="WWL175" s="125"/>
      <c r="WWM175" s="125"/>
      <c r="WWN175" s="125"/>
      <c r="WWO175" s="125"/>
      <c r="WWP175" s="125"/>
      <c r="WWQ175" s="125"/>
      <c r="WWR175" s="125"/>
      <c r="WWS175" s="125"/>
      <c r="WWT175" s="125"/>
      <c r="WWU175" s="125"/>
      <c r="WWV175" s="125"/>
      <c r="WWW175" s="125"/>
      <c r="WWX175" s="125"/>
      <c r="WWY175" s="125"/>
      <c r="WWZ175" s="125"/>
      <c r="WXA175" s="125"/>
      <c r="WXB175" s="125"/>
      <c r="WXC175" s="125"/>
      <c r="WXD175" s="125"/>
      <c r="WXE175" s="125"/>
      <c r="WXF175" s="125"/>
      <c r="WXG175" s="125"/>
      <c r="WXH175" s="125"/>
      <c r="WXI175" s="125"/>
      <c r="WXJ175" s="125"/>
      <c r="WXK175" s="125"/>
      <c r="WXL175" s="125"/>
      <c r="WXM175" s="125"/>
      <c r="WXN175" s="125"/>
      <c r="WXO175" s="125"/>
      <c r="WXP175" s="125"/>
      <c r="WXQ175" s="125"/>
      <c r="WXR175" s="125"/>
      <c r="WXS175" s="125"/>
      <c r="WXT175" s="125"/>
      <c r="WXU175" s="125"/>
      <c r="WXV175" s="125"/>
      <c r="WXW175" s="125"/>
      <c r="WXX175" s="125"/>
      <c r="WXY175" s="125"/>
      <c r="WXZ175" s="125"/>
      <c r="WYA175" s="125"/>
      <c r="WYB175" s="125"/>
      <c r="WYC175" s="125"/>
      <c r="WYD175" s="125"/>
      <c r="WYE175" s="125"/>
      <c r="WYF175" s="125"/>
      <c r="WYG175" s="125"/>
      <c r="WYH175" s="125"/>
      <c r="WYI175" s="125"/>
      <c r="WYJ175" s="125"/>
      <c r="WYK175" s="125"/>
      <c r="WYL175" s="125"/>
      <c r="WYM175" s="125"/>
      <c r="WYN175" s="125"/>
      <c r="WYO175" s="125"/>
      <c r="WYP175" s="125"/>
      <c r="WYQ175" s="125"/>
      <c r="WYR175" s="125"/>
      <c r="WYS175" s="125"/>
      <c r="WYT175" s="125"/>
      <c r="WYU175" s="125"/>
      <c r="WYV175" s="125"/>
      <c r="WYW175" s="125"/>
      <c r="WYX175" s="125"/>
      <c r="WYY175" s="125"/>
      <c r="WYZ175" s="125"/>
      <c r="WZA175" s="125"/>
      <c r="WZB175" s="125"/>
      <c r="WZC175" s="125"/>
      <c r="WZD175" s="125"/>
      <c r="WZE175" s="125"/>
      <c r="WZF175" s="125"/>
      <c r="WZG175" s="125"/>
      <c r="WZH175" s="125"/>
      <c r="WZI175" s="125"/>
      <c r="WZJ175" s="125"/>
      <c r="WZK175" s="125"/>
      <c r="WZL175" s="125"/>
      <c r="WZM175" s="125"/>
      <c r="WZN175" s="125"/>
      <c r="WZO175" s="125"/>
      <c r="WZP175" s="125"/>
      <c r="WZQ175" s="125"/>
      <c r="WZR175" s="125"/>
      <c r="WZS175" s="125"/>
      <c r="WZT175" s="125"/>
      <c r="WZU175" s="125"/>
      <c r="WZV175" s="125"/>
      <c r="WZW175" s="125"/>
      <c r="WZX175" s="125"/>
      <c r="WZY175" s="125"/>
      <c r="WZZ175" s="125"/>
      <c r="XAA175" s="125"/>
      <c r="XAB175" s="125"/>
      <c r="XAC175" s="125"/>
      <c r="XAD175" s="125"/>
      <c r="XAE175" s="125"/>
      <c r="XAF175" s="125"/>
      <c r="XAG175" s="125"/>
      <c r="XAH175" s="125"/>
      <c r="XAI175" s="125"/>
      <c r="XAJ175" s="125"/>
      <c r="XAK175" s="125"/>
      <c r="XAL175" s="125"/>
      <c r="XAM175" s="125"/>
      <c r="XAN175" s="125"/>
      <c r="XAO175" s="125"/>
      <c r="XAP175" s="125"/>
      <c r="XAQ175" s="125"/>
      <c r="XAR175" s="125"/>
      <c r="XAS175" s="125"/>
      <c r="XAT175" s="125"/>
      <c r="XAU175" s="125"/>
      <c r="XAV175" s="125"/>
      <c r="XAW175" s="125"/>
      <c r="XAX175" s="125"/>
      <c r="XAY175" s="125"/>
      <c r="XAZ175" s="125"/>
      <c r="XBA175" s="125"/>
      <c r="XBB175" s="125"/>
      <c r="XBC175" s="125"/>
      <c r="XBD175" s="125"/>
      <c r="XBE175" s="125"/>
      <c r="XBF175" s="125"/>
      <c r="XBG175" s="125"/>
      <c r="XBH175" s="125"/>
      <c r="XBI175" s="125"/>
      <c r="XBJ175" s="125"/>
      <c r="XBK175" s="125"/>
      <c r="XBL175" s="125"/>
      <c r="XBM175" s="125"/>
      <c r="XBN175" s="125"/>
      <c r="XBO175" s="125"/>
      <c r="XBP175" s="125"/>
      <c r="XBQ175" s="125"/>
      <c r="XBR175" s="125"/>
      <c r="XBS175" s="125"/>
      <c r="XBT175" s="125"/>
      <c r="XBU175" s="125"/>
      <c r="XBV175" s="125"/>
      <c r="XBW175" s="125"/>
      <c r="XBX175" s="125"/>
      <c r="XBY175" s="125"/>
      <c r="XBZ175" s="125"/>
      <c r="XCA175" s="125"/>
      <c r="XCB175" s="125"/>
      <c r="XCC175" s="125"/>
      <c r="XCD175" s="125"/>
      <c r="XCE175" s="125"/>
      <c r="XCF175" s="125"/>
      <c r="XCG175" s="125"/>
      <c r="XCH175" s="125"/>
      <c r="XCI175" s="125"/>
      <c r="XCJ175" s="125"/>
      <c r="XCK175" s="125"/>
      <c r="XCL175" s="125"/>
      <c r="XCM175" s="125"/>
      <c r="XCN175" s="125"/>
      <c r="XCO175" s="125"/>
      <c r="XCP175" s="125"/>
      <c r="XCQ175" s="125"/>
      <c r="XCR175" s="125"/>
      <c r="XCS175" s="125"/>
      <c r="XCT175" s="125"/>
      <c r="XCU175" s="125"/>
      <c r="XCV175" s="125"/>
      <c r="XCW175" s="125"/>
      <c r="XCX175" s="125"/>
      <c r="XCY175" s="125"/>
      <c r="XCZ175" s="125"/>
      <c r="XDA175" s="125"/>
      <c r="XDB175" s="125"/>
      <c r="XDC175" s="125"/>
      <c r="XDD175" s="125"/>
      <c r="XDE175" s="125"/>
      <c r="XDF175" s="125"/>
      <c r="XDG175" s="125"/>
      <c r="XDH175" s="125"/>
      <c r="XDI175" s="125"/>
      <c r="XDJ175" s="125"/>
      <c r="XDK175" s="125"/>
      <c r="XDL175" s="125"/>
      <c r="XDM175" s="125"/>
      <c r="XDN175" s="125"/>
      <c r="XDO175" s="125"/>
      <c r="XDP175" s="125"/>
      <c r="XDQ175" s="125"/>
      <c r="XDR175" s="125"/>
      <c r="XDS175" s="125"/>
      <c r="XDT175" s="125"/>
      <c r="XDU175" s="125"/>
      <c r="XDV175" s="125"/>
      <c r="XDW175" s="125"/>
      <c r="XDX175" s="125"/>
      <c r="XDY175" s="125"/>
      <c r="XDZ175" s="125"/>
      <c r="XEA175" s="125"/>
      <c r="XEB175" s="125"/>
      <c r="XEC175" s="125"/>
      <c r="XED175" s="125"/>
      <c r="XEE175" s="125"/>
      <c r="XEF175" s="125"/>
      <c r="XEG175" s="125"/>
      <c r="XEH175" s="125"/>
      <c r="XEI175" s="125"/>
      <c r="XEJ175" s="125"/>
      <c r="XEK175" s="125"/>
      <c r="XEL175" s="125"/>
      <c r="XEM175" s="125"/>
      <c r="XEN175" s="125"/>
      <c r="XEO175" s="125"/>
      <c r="XEP175" s="125"/>
      <c r="XEQ175" s="125"/>
      <c r="XER175" s="125"/>
      <c r="XES175" s="125"/>
      <c r="XET175" s="125"/>
      <c r="XEU175" s="125"/>
      <c r="XEV175" s="125"/>
      <c r="XEW175" s="125"/>
      <c r="XEX175" s="125"/>
      <c r="XEY175" s="125"/>
      <c r="XEZ175" s="125"/>
      <c r="XFA175" s="125"/>
      <c r="XFB175" s="125"/>
      <c r="XFC175" s="125"/>
    </row>
    <row r="176" spans="1:16383" x14ac:dyDescent="0.2">
      <c r="A176" s="74">
        <v>174</v>
      </c>
      <c r="B176" s="20" t="s">
        <v>1182</v>
      </c>
      <c r="C176" s="74" t="str">
        <f>VLOOKUP(B176,'Cấp phát TN'!C3:G1048575,2,FALSE)</f>
        <v>DAC</v>
      </c>
      <c r="D176" s="16" t="str">
        <f>VLOOKUP(B176,'Cấp phát TN'!C3:G1048575,3,FALSE)</f>
        <v>longhv15</v>
      </c>
      <c r="E176" s="63" t="str">
        <f>VLOOKUP(B176,'Cấp phát TN'!C3:G1048575,4,FALSE)</f>
        <v>thongnv31</v>
      </c>
      <c r="F176" s="144" t="str">
        <f>VLOOKUP(B176,'Cấp phát TN'!C1:G1048575,5,FALSE)</f>
        <v>SR_VN_20240827_1183679</v>
      </c>
      <c r="G176" s="77" t="s">
        <v>817</v>
      </c>
      <c r="H176" s="111">
        <v>19</v>
      </c>
      <c r="I176" s="111">
        <v>510</v>
      </c>
      <c r="J176" s="111">
        <v>1529</v>
      </c>
      <c r="K176" s="111">
        <v>1098</v>
      </c>
      <c r="L176" s="111">
        <v>49340</v>
      </c>
      <c r="M176" s="111">
        <v>6600</v>
      </c>
      <c r="N176" s="111"/>
      <c r="O176" s="111"/>
      <c r="P176" s="111"/>
      <c r="Q176" s="111"/>
      <c r="R176" s="132" t="s">
        <v>1719</v>
      </c>
      <c r="S176" s="74" t="s">
        <v>1720</v>
      </c>
      <c r="T176" s="81"/>
      <c r="U176" s="132"/>
      <c r="V176" s="129"/>
      <c r="W176" s="125"/>
      <c r="X176" s="125"/>
      <c r="Y176" s="125"/>
      <c r="Z176" s="125"/>
      <c r="AA176" s="125"/>
      <c r="AB176" s="125"/>
      <c r="AC176" s="125"/>
      <c r="AD176" s="125"/>
      <c r="AE176" s="125"/>
      <c r="AF176" s="125"/>
      <c r="AG176" s="125"/>
      <c r="AH176" s="125"/>
      <c r="AI176" s="125"/>
      <c r="AJ176" s="125"/>
      <c r="AK176" s="125"/>
      <c r="AL176" s="125"/>
      <c r="AM176" s="125"/>
      <c r="AN176" s="125"/>
      <c r="AO176" s="125"/>
      <c r="AP176" s="125"/>
      <c r="AQ176" s="125"/>
      <c r="AR176" s="125"/>
      <c r="AS176" s="125"/>
      <c r="AT176" s="125"/>
      <c r="AU176" s="125"/>
      <c r="AV176" s="125"/>
      <c r="AW176" s="125"/>
      <c r="AX176" s="125"/>
      <c r="AY176" s="125"/>
      <c r="AZ176" s="125"/>
      <c r="BA176" s="125"/>
      <c r="BB176" s="125"/>
      <c r="BC176" s="125"/>
      <c r="BD176" s="125"/>
      <c r="BE176" s="125"/>
      <c r="BF176" s="125"/>
      <c r="BG176" s="125"/>
      <c r="BH176" s="125"/>
      <c r="BI176" s="125"/>
      <c r="BJ176" s="125"/>
      <c r="BK176" s="125"/>
      <c r="BL176" s="125"/>
      <c r="BM176" s="125"/>
      <c r="BN176" s="125"/>
      <c r="BO176" s="125"/>
      <c r="BP176" s="125"/>
      <c r="BQ176" s="125"/>
      <c r="BR176" s="125"/>
      <c r="BS176" s="125"/>
      <c r="BT176" s="125"/>
      <c r="BU176" s="125"/>
      <c r="BV176" s="125"/>
      <c r="BW176" s="125"/>
      <c r="BX176" s="125"/>
      <c r="BY176" s="125"/>
      <c r="BZ176" s="125"/>
      <c r="CA176" s="125"/>
      <c r="CB176" s="125"/>
      <c r="CC176" s="125"/>
      <c r="CD176" s="125"/>
      <c r="CE176" s="125"/>
      <c r="CF176" s="125"/>
      <c r="CG176" s="125"/>
      <c r="CH176" s="125"/>
      <c r="CI176" s="125"/>
      <c r="CJ176" s="125"/>
      <c r="CK176" s="125"/>
      <c r="CL176" s="125"/>
      <c r="CM176" s="125"/>
      <c r="CN176" s="125"/>
      <c r="CO176" s="125"/>
      <c r="CP176" s="125"/>
      <c r="CQ176" s="125"/>
      <c r="CR176" s="125"/>
      <c r="CS176" s="125"/>
      <c r="CT176" s="125"/>
      <c r="CU176" s="125"/>
      <c r="CV176" s="125"/>
      <c r="CW176" s="125"/>
      <c r="CX176" s="125"/>
      <c r="CY176" s="125"/>
      <c r="CZ176" s="125"/>
      <c r="DA176" s="125"/>
      <c r="DB176" s="125"/>
      <c r="DC176" s="125"/>
      <c r="DD176" s="125"/>
      <c r="DE176" s="125"/>
      <c r="DF176" s="125"/>
      <c r="DG176" s="125"/>
      <c r="DH176" s="125"/>
      <c r="DI176" s="125"/>
      <c r="DJ176" s="125"/>
      <c r="DK176" s="125"/>
      <c r="DL176" s="125"/>
      <c r="DM176" s="125"/>
      <c r="DN176" s="125"/>
      <c r="DO176" s="125"/>
      <c r="DP176" s="125"/>
      <c r="DQ176" s="125"/>
      <c r="DR176" s="125"/>
      <c r="DS176" s="125"/>
      <c r="DT176" s="125"/>
      <c r="DU176" s="125"/>
      <c r="DV176" s="125"/>
      <c r="DW176" s="125"/>
      <c r="DX176" s="125"/>
      <c r="DY176" s="125"/>
      <c r="DZ176" s="125"/>
      <c r="EA176" s="125"/>
      <c r="EB176" s="125"/>
      <c r="EC176" s="125"/>
      <c r="ED176" s="125"/>
      <c r="EE176" s="125"/>
      <c r="EF176" s="125"/>
      <c r="EG176" s="125"/>
      <c r="EH176" s="125"/>
      <c r="EI176" s="125"/>
      <c r="EJ176" s="125"/>
      <c r="EK176" s="125"/>
      <c r="EL176" s="125"/>
      <c r="EM176" s="125"/>
      <c r="EN176" s="125"/>
      <c r="EO176" s="125"/>
      <c r="EP176" s="125"/>
      <c r="EQ176" s="125"/>
      <c r="ER176" s="125"/>
      <c r="ES176" s="125"/>
      <c r="ET176" s="125"/>
      <c r="EU176" s="125"/>
      <c r="EV176" s="125"/>
      <c r="EW176" s="125"/>
      <c r="EX176" s="125"/>
      <c r="EY176" s="125"/>
      <c r="EZ176" s="125"/>
      <c r="FA176" s="125"/>
      <c r="FB176" s="125"/>
      <c r="FC176" s="125"/>
      <c r="FD176" s="125"/>
      <c r="FE176" s="125"/>
      <c r="FF176" s="125"/>
      <c r="FG176" s="125"/>
      <c r="FH176" s="125"/>
      <c r="FI176" s="125"/>
      <c r="FJ176" s="125"/>
      <c r="FK176" s="125"/>
      <c r="FL176" s="125"/>
      <c r="FM176" s="125"/>
      <c r="FN176" s="125"/>
      <c r="FO176" s="125"/>
      <c r="FP176" s="125"/>
      <c r="FQ176" s="125"/>
      <c r="FR176" s="125"/>
      <c r="FS176" s="125"/>
      <c r="FT176" s="125"/>
      <c r="FU176" s="125"/>
      <c r="FV176" s="125"/>
      <c r="FW176" s="125"/>
      <c r="FX176" s="125"/>
      <c r="FY176" s="125"/>
      <c r="FZ176" s="125"/>
      <c r="GA176" s="125"/>
      <c r="GB176" s="125"/>
      <c r="GC176" s="125"/>
      <c r="GD176" s="125"/>
      <c r="GE176" s="125"/>
      <c r="GF176" s="125"/>
      <c r="GG176" s="125"/>
      <c r="GH176" s="125"/>
      <c r="GI176" s="125"/>
      <c r="GJ176" s="125"/>
      <c r="GK176" s="125"/>
      <c r="GL176" s="125"/>
      <c r="GM176" s="125"/>
      <c r="GN176" s="125"/>
      <c r="GO176" s="125"/>
      <c r="GP176" s="125"/>
      <c r="GQ176" s="125"/>
      <c r="GR176" s="125"/>
      <c r="GS176" s="125"/>
      <c r="GT176" s="125"/>
      <c r="GU176" s="125"/>
      <c r="GV176" s="125"/>
      <c r="GW176" s="125"/>
      <c r="GX176" s="125"/>
      <c r="GY176" s="125"/>
      <c r="GZ176" s="125"/>
      <c r="HA176" s="125"/>
      <c r="HB176" s="125"/>
      <c r="HC176" s="125"/>
      <c r="HD176" s="125"/>
      <c r="HE176" s="125"/>
      <c r="HF176" s="125"/>
      <c r="HG176" s="125"/>
      <c r="HH176" s="125"/>
      <c r="HI176" s="125"/>
      <c r="HJ176" s="125"/>
      <c r="HK176" s="125"/>
      <c r="HL176" s="125"/>
      <c r="HM176" s="125"/>
      <c r="HN176" s="125"/>
      <c r="HO176" s="125"/>
      <c r="HP176" s="125"/>
      <c r="HQ176" s="125"/>
      <c r="HR176" s="125"/>
      <c r="HS176" s="125"/>
      <c r="HT176" s="125"/>
      <c r="HU176" s="125"/>
      <c r="HV176" s="125"/>
      <c r="HW176" s="125"/>
      <c r="HX176" s="125"/>
      <c r="HY176" s="125"/>
      <c r="HZ176" s="125"/>
      <c r="IA176" s="125"/>
      <c r="IB176" s="125"/>
      <c r="IC176" s="125"/>
      <c r="ID176" s="125"/>
      <c r="IE176" s="125"/>
      <c r="IF176" s="125"/>
      <c r="IG176" s="125"/>
      <c r="IH176" s="125"/>
      <c r="II176" s="125"/>
      <c r="IJ176" s="125"/>
      <c r="IK176" s="125"/>
      <c r="IL176" s="125"/>
      <c r="IM176" s="125"/>
      <c r="IN176" s="125"/>
      <c r="IO176" s="125"/>
      <c r="IP176" s="125"/>
      <c r="IQ176" s="125"/>
      <c r="IR176" s="125"/>
      <c r="IS176" s="125"/>
      <c r="IT176" s="125"/>
      <c r="IU176" s="125"/>
      <c r="IV176" s="125"/>
      <c r="IW176" s="125"/>
      <c r="IX176" s="125"/>
      <c r="IY176" s="125"/>
      <c r="IZ176" s="125"/>
      <c r="JA176" s="125"/>
      <c r="JB176" s="125"/>
      <c r="JC176" s="125"/>
      <c r="JD176" s="125"/>
      <c r="JE176" s="125"/>
      <c r="JF176" s="125"/>
      <c r="JG176" s="125"/>
      <c r="JH176" s="125"/>
      <c r="JI176" s="125"/>
      <c r="JJ176" s="125"/>
      <c r="JK176" s="125"/>
      <c r="JL176" s="125"/>
      <c r="JM176" s="125"/>
      <c r="JN176" s="125"/>
      <c r="JO176" s="125"/>
      <c r="JP176" s="125"/>
      <c r="JQ176" s="125"/>
      <c r="JR176" s="125"/>
      <c r="JS176" s="125"/>
      <c r="JT176" s="125"/>
      <c r="JU176" s="125"/>
      <c r="JV176" s="125"/>
      <c r="JW176" s="125"/>
      <c r="JX176" s="125"/>
      <c r="JY176" s="125"/>
      <c r="JZ176" s="125"/>
      <c r="KA176" s="125"/>
      <c r="KB176" s="125"/>
      <c r="KC176" s="125"/>
      <c r="KD176" s="125"/>
      <c r="KE176" s="125"/>
      <c r="KF176" s="125"/>
      <c r="KG176" s="125"/>
      <c r="KH176" s="125"/>
      <c r="KI176" s="125"/>
      <c r="KJ176" s="125"/>
      <c r="KK176" s="125"/>
      <c r="KL176" s="125"/>
      <c r="KM176" s="125"/>
      <c r="KN176" s="125"/>
      <c r="KO176" s="125"/>
      <c r="KP176" s="125"/>
      <c r="KQ176" s="125"/>
      <c r="KR176" s="125"/>
      <c r="KS176" s="125"/>
      <c r="KT176" s="125"/>
      <c r="KU176" s="125"/>
      <c r="KV176" s="125"/>
      <c r="KW176" s="125"/>
      <c r="KX176" s="125"/>
      <c r="KY176" s="125"/>
      <c r="KZ176" s="125"/>
      <c r="LA176" s="125"/>
      <c r="LB176" s="125"/>
      <c r="LC176" s="125"/>
      <c r="LD176" s="125"/>
      <c r="LE176" s="125"/>
      <c r="LF176" s="125"/>
      <c r="LG176" s="125"/>
      <c r="LH176" s="125"/>
      <c r="LI176" s="125"/>
      <c r="LJ176" s="125"/>
      <c r="LK176" s="125"/>
      <c r="LL176" s="125"/>
      <c r="LM176" s="125"/>
      <c r="LN176" s="125"/>
      <c r="LO176" s="125"/>
      <c r="LP176" s="125"/>
      <c r="LQ176" s="125"/>
      <c r="LR176" s="125"/>
      <c r="LS176" s="125"/>
      <c r="LT176" s="125"/>
      <c r="LU176" s="125"/>
      <c r="LV176" s="125"/>
      <c r="LW176" s="125"/>
      <c r="LX176" s="125"/>
      <c r="LY176" s="125"/>
      <c r="LZ176" s="125"/>
      <c r="MA176" s="125"/>
      <c r="MB176" s="125"/>
      <c r="MC176" s="125"/>
      <c r="MD176" s="125"/>
      <c r="ME176" s="125"/>
      <c r="MF176" s="125"/>
      <c r="MG176" s="125"/>
      <c r="MH176" s="125"/>
      <c r="MI176" s="125"/>
      <c r="MJ176" s="125"/>
      <c r="MK176" s="125"/>
      <c r="ML176" s="125"/>
      <c r="MM176" s="125"/>
      <c r="MN176" s="125"/>
      <c r="MO176" s="125"/>
      <c r="MP176" s="125"/>
      <c r="MQ176" s="125"/>
      <c r="MR176" s="125"/>
      <c r="MS176" s="125"/>
      <c r="MT176" s="125"/>
      <c r="MU176" s="125"/>
      <c r="MV176" s="125"/>
      <c r="MW176" s="125"/>
      <c r="MX176" s="125"/>
      <c r="MY176" s="125"/>
      <c r="MZ176" s="125"/>
      <c r="NA176" s="125"/>
      <c r="NB176" s="125"/>
      <c r="NC176" s="125"/>
      <c r="ND176" s="125"/>
      <c r="NE176" s="125"/>
      <c r="NF176" s="125"/>
      <c r="NG176" s="125"/>
      <c r="NH176" s="125"/>
      <c r="NI176" s="125"/>
      <c r="NJ176" s="125"/>
      <c r="NK176" s="125"/>
      <c r="NL176" s="125"/>
      <c r="NM176" s="125"/>
      <c r="NN176" s="125"/>
      <c r="NO176" s="125"/>
      <c r="NP176" s="125"/>
      <c r="NQ176" s="125"/>
      <c r="NR176" s="125"/>
      <c r="NS176" s="125"/>
      <c r="NT176" s="125"/>
      <c r="NU176" s="125"/>
      <c r="NV176" s="125"/>
      <c r="NW176" s="125"/>
      <c r="NX176" s="125"/>
      <c r="NY176" s="125"/>
      <c r="NZ176" s="125"/>
      <c r="OA176" s="125"/>
      <c r="OB176" s="125"/>
      <c r="OC176" s="125"/>
      <c r="OD176" s="125"/>
      <c r="OE176" s="125"/>
      <c r="OF176" s="125"/>
      <c r="OG176" s="125"/>
      <c r="OH176" s="125"/>
      <c r="OI176" s="125"/>
      <c r="OJ176" s="125"/>
      <c r="OK176" s="125"/>
      <c r="OL176" s="125"/>
      <c r="OM176" s="125"/>
      <c r="ON176" s="125"/>
      <c r="OO176" s="125"/>
      <c r="OP176" s="125"/>
      <c r="OQ176" s="125"/>
      <c r="OR176" s="125"/>
      <c r="OS176" s="125"/>
      <c r="OT176" s="125"/>
      <c r="OU176" s="125"/>
      <c r="OV176" s="125"/>
      <c r="OW176" s="125"/>
      <c r="OX176" s="125"/>
      <c r="OY176" s="125"/>
      <c r="OZ176" s="125"/>
      <c r="PA176" s="125"/>
      <c r="PB176" s="125"/>
      <c r="PC176" s="125"/>
      <c r="PD176" s="125"/>
      <c r="PE176" s="125"/>
      <c r="PF176" s="125"/>
      <c r="PG176" s="125"/>
      <c r="PH176" s="125"/>
      <c r="PI176" s="125"/>
      <c r="PJ176" s="125"/>
      <c r="PK176" s="125"/>
      <c r="PL176" s="125"/>
      <c r="PM176" s="125"/>
      <c r="PN176" s="125"/>
      <c r="PO176" s="125"/>
      <c r="PP176" s="125"/>
      <c r="PQ176" s="125"/>
      <c r="PR176" s="125"/>
      <c r="PS176" s="125"/>
      <c r="PT176" s="125"/>
      <c r="PU176" s="125"/>
      <c r="PV176" s="125"/>
      <c r="PW176" s="125"/>
      <c r="PX176" s="125"/>
      <c r="PY176" s="125"/>
      <c r="PZ176" s="125"/>
      <c r="QA176" s="125"/>
      <c r="QB176" s="125"/>
      <c r="QC176" s="125"/>
      <c r="QD176" s="125"/>
      <c r="QE176" s="125"/>
      <c r="QF176" s="125"/>
      <c r="QG176" s="125"/>
      <c r="QH176" s="125"/>
      <c r="QI176" s="125"/>
      <c r="QJ176" s="125"/>
      <c r="QK176" s="125"/>
      <c r="QL176" s="125"/>
      <c r="QM176" s="125"/>
      <c r="QN176" s="125"/>
      <c r="QO176" s="125"/>
      <c r="QP176" s="125"/>
      <c r="QQ176" s="125"/>
      <c r="QR176" s="125"/>
      <c r="QS176" s="125"/>
      <c r="QT176" s="125"/>
      <c r="QU176" s="125"/>
      <c r="QV176" s="125"/>
      <c r="QW176" s="125"/>
      <c r="QX176" s="125"/>
      <c r="QY176" s="125"/>
      <c r="QZ176" s="125"/>
      <c r="RA176" s="125"/>
      <c r="RB176" s="125"/>
      <c r="RC176" s="125"/>
      <c r="RD176" s="125"/>
      <c r="RE176" s="125"/>
      <c r="RF176" s="125"/>
      <c r="RG176" s="125"/>
      <c r="RH176" s="125"/>
      <c r="RI176" s="125"/>
      <c r="RJ176" s="125"/>
      <c r="RK176" s="125"/>
      <c r="RL176" s="125"/>
      <c r="RM176" s="125"/>
      <c r="RN176" s="125"/>
      <c r="RO176" s="125"/>
      <c r="RP176" s="125"/>
      <c r="RQ176" s="125"/>
      <c r="RR176" s="125"/>
      <c r="RS176" s="125"/>
      <c r="RT176" s="125"/>
      <c r="RU176" s="125"/>
      <c r="RV176" s="125"/>
      <c r="RW176" s="125"/>
      <c r="RX176" s="125"/>
      <c r="RY176" s="125"/>
      <c r="RZ176" s="125"/>
      <c r="SA176" s="125"/>
      <c r="SB176" s="125"/>
      <c r="SC176" s="125"/>
      <c r="SD176" s="125"/>
      <c r="SE176" s="125"/>
      <c r="SF176" s="125"/>
      <c r="SG176" s="125"/>
      <c r="SH176" s="125"/>
      <c r="SI176" s="125"/>
      <c r="SJ176" s="125"/>
      <c r="SK176" s="125"/>
      <c r="SL176" s="125"/>
      <c r="SM176" s="125"/>
      <c r="SN176" s="125"/>
      <c r="SO176" s="125"/>
      <c r="SP176" s="125"/>
      <c r="SQ176" s="125"/>
      <c r="SR176" s="125"/>
      <c r="SS176" s="125"/>
      <c r="ST176" s="125"/>
      <c r="SU176" s="125"/>
      <c r="SV176" s="125"/>
      <c r="SW176" s="125"/>
      <c r="SX176" s="125"/>
      <c r="SY176" s="125"/>
      <c r="SZ176" s="125"/>
      <c r="TA176" s="125"/>
      <c r="TB176" s="125"/>
      <c r="TC176" s="125"/>
      <c r="TD176" s="125"/>
      <c r="TE176" s="125"/>
      <c r="TF176" s="125"/>
      <c r="TG176" s="125"/>
      <c r="TH176" s="125"/>
      <c r="TI176" s="125"/>
      <c r="TJ176" s="125"/>
      <c r="TK176" s="125"/>
      <c r="TL176" s="125"/>
      <c r="TM176" s="125"/>
      <c r="TN176" s="125"/>
      <c r="TO176" s="125"/>
      <c r="TP176" s="125"/>
      <c r="TQ176" s="125"/>
      <c r="TR176" s="125"/>
      <c r="TS176" s="125"/>
      <c r="TT176" s="125"/>
      <c r="TU176" s="125"/>
      <c r="TV176" s="125"/>
      <c r="TW176" s="125"/>
      <c r="TX176" s="125"/>
      <c r="TY176" s="125"/>
      <c r="TZ176" s="125"/>
      <c r="UA176" s="125"/>
      <c r="UB176" s="125"/>
      <c r="UC176" s="125"/>
      <c r="UD176" s="125"/>
      <c r="UE176" s="125"/>
      <c r="UF176" s="125"/>
      <c r="UG176" s="125"/>
      <c r="UH176" s="125"/>
      <c r="UI176" s="125"/>
      <c r="UJ176" s="125"/>
      <c r="UK176" s="125"/>
      <c r="UL176" s="125"/>
      <c r="UM176" s="125"/>
      <c r="UN176" s="125"/>
      <c r="UO176" s="125"/>
      <c r="UP176" s="125"/>
      <c r="UQ176" s="125"/>
      <c r="UR176" s="125"/>
      <c r="US176" s="125"/>
      <c r="UT176" s="125"/>
      <c r="UU176" s="125"/>
      <c r="UV176" s="125"/>
      <c r="UW176" s="125"/>
      <c r="UX176" s="125"/>
      <c r="UY176" s="125"/>
      <c r="UZ176" s="125"/>
      <c r="VA176" s="125"/>
      <c r="VB176" s="125"/>
      <c r="VC176" s="125"/>
      <c r="VD176" s="125"/>
      <c r="VE176" s="125"/>
      <c r="VF176" s="125"/>
      <c r="VG176" s="125"/>
      <c r="VH176" s="125"/>
      <c r="VI176" s="125"/>
      <c r="VJ176" s="125"/>
      <c r="VK176" s="125"/>
      <c r="VL176" s="125"/>
      <c r="VM176" s="125"/>
      <c r="VN176" s="125"/>
      <c r="VO176" s="125"/>
      <c r="VP176" s="125"/>
      <c r="VQ176" s="125"/>
      <c r="VR176" s="125"/>
      <c r="VS176" s="125"/>
      <c r="VT176" s="125"/>
      <c r="VU176" s="125"/>
      <c r="VV176" s="125"/>
      <c r="VW176" s="125"/>
      <c r="VX176" s="125"/>
      <c r="VY176" s="125"/>
      <c r="VZ176" s="125"/>
      <c r="WA176" s="125"/>
      <c r="WB176" s="125"/>
      <c r="WC176" s="125"/>
      <c r="WD176" s="125"/>
      <c r="WE176" s="125"/>
      <c r="WF176" s="125"/>
      <c r="WG176" s="125"/>
      <c r="WH176" s="125"/>
      <c r="WI176" s="125"/>
      <c r="WJ176" s="125"/>
      <c r="WK176" s="125"/>
      <c r="WL176" s="125"/>
      <c r="WM176" s="125"/>
      <c r="WN176" s="125"/>
      <c r="WO176" s="125"/>
      <c r="WP176" s="125"/>
      <c r="WQ176" s="125"/>
      <c r="WR176" s="125"/>
      <c r="WS176" s="125"/>
      <c r="WT176" s="125"/>
      <c r="WU176" s="125"/>
      <c r="WV176" s="125"/>
      <c r="WW176" s="125"/>
      <c r="WX176" s="125"/>
      <c r="WY176" s="125"/>
      <c r="WZ176" s="125"/>
      <c r="XA176" s="125"/>
      <c r="XB176" s="125"/>
      <c r="XC176" s="125"/>
      <c r="XD176" s="125"/>
      <c r="XE176" s="125"/>
      <c r="XF176" s="125"/>
      <c r="XG176" s="125"/>
      <c r="XH176" s="125"/>
      <c r="XI176" s="125"/>
      <c r="XJ176" s="125"/>
      <c r="XK176" s="125"/>
      <c r="XL176" s="125"/>
      <c r="XM176" s="125"/>
      <c r="XN176" s="125"/>
      <c r="XO176" s="125"/>
      <c r="XP176" s="125"/>
      <c r="XQ176" s="125"/>
      <c r="XR176" s="125"/>
      <c r="XS176" s="125"/>
      <c r="XT176" s="125"/>
      <c r="XU176" s="125"/>
      <c r="XV176" s="125"/>
      <c r="XW176" s="125"/>
      <c r="XX176" s="125"/>
      <c r="XY176" s="125"/>
      <c r="XZ176" s="125"/>
      <c r="YA176" s="125"/>
      <c r="YB176" s="125"/>
      <c r="YC176" s="125"/>
      <c r="YD176" s="125"/>
      <c r="YE176" s="125"/>
      <c r="YF176" s="125"/>
      <c r="YG176" s="125"/>
      <c r="YH176" s="125"/>
      <c r="YI176" s="125"/>
      <c r="YJ176" s="125"/>
      <c r="YK176" s="125"/>
      <c r="YL176" s="125"/>
      <c r="YM176" s="125"/>
      <c r="YN176" s="125"/>
      <c r="YO176" s="125"/>
      <c r="YP176" s="125"/>
      <c r="YQ176" s="125"/>
      <c r="YR176" s="125"/>
      <c r="YS176" s="125"/>
      <c r="YT176" s="125"/>
      <c r="YU176" s="125"/>
      <c r="YV176" s="125"/>
      <c r="YW176" s="125"/>
      <c r="YX176" s="125"/>
      <c r="YY176" s="125"/>
      <c r="YZ176" s="125"/>
      <c r="ZA176" s="125"/>
      <c r="ZB176" s="125"/>
      <c r="ZC176" s="125"/>
      <c r="ZD176" s="125"/>
      <c r="ZE176" s="125"/>
      <c r="ZF176" s="125"/>
      <c r="ZG176" s="125"/>
      <c r="ZH176" s="125"/>
      <c r="ZI176" s="125"/>
      <c r="ZJ176" s="125"/>
      <c r="ZK176" s="125"/>
      <c r="ZL176" s="125"/>
      <c r="ZM176" s="125"/>
      <c r="ZN176" s="125"/>
      <c r="ZO176" s="125"/>
      <c r="ZP176" s="125"/>
      <c r="ZQ176" s="125"/>
      <c r="ZR176" s="125"/>
      <c r="ZS176" s="125"/>
      <c r="ZT176" s="125"/>
      <c r="ZU176" s="125"/>
      <c r="ZV176" s="125"/>
      <c r="ZW176" s="125"/>
      <c r="ZX176" s="125"/>
      <c r="ZY176" s="125"/>
      <c r="ZZ176" s="125"/>
      <c r="AAA176" s="125"/>
      <c r="AAB176" s="125"/>
      <c r="AAC176" s="125"/>
      <c r="AAD176" s="125"/>
      <c r="AAE176" s="125"/>
      <c r="AAF176" s="125"/>
      <c r="AAG176" s="125"/>
      <c r="AAH176" s="125"/>
      <c r="AAI176" s="125"/>
      <c r="AAJ176" s="125"/>
      <c r="AAK176" s="125"/>
      <c r="AAL176" s="125"/>
      <c r="AAM176" s="125"/>
      <c r="AAN176" s="125"/>
      <c r="AAO176" s="125"/>
      <c r="AAP176" s="125"/>
      <c r="AAQ176" s="125"/>
      <c r="AAR176" s="125"/>
      <c r="AAS176" s="125"/>
      <c r="AAT176" s="125"/>
      <c r="AAU176" s="125"/>
      <c r="AAV176" s="125"/>
      <c r="AAW176" s="125"/>
      <c r="AAX176" s="125"/>
      <c r="AAY176" s="125"/>
      <c r="AAZ176" s="125"/>
      <c r="ABA176" s="125"/>
      <c r="ABB176" s="125"/>
      <c r="ABC176" s="125"/>
      <c r="ABD176" s="125"/>
      <c r="ABE176" s="125"/>
      <c r="ABF176" s="125"/>
      <c r="ABG176" s="125"/>
      <c r="ABH176" s="125"/>
      <c r="ABI176" s="125"/>
      <c r="ABJ176" s="125"/>
      <c r="ABK176" s="125"/>
      <c r="ABL176" s="125"/>
      <c r="ABM176" s="125"/>
      <c r="ABN176" s="125"/>
      <c r="ABO176" s="125"/>
      <c r="ABP176" s="125"/>
      <c r="ABQ176" s="125"/>
      <c r="ABR176" s="125"/>
      <c r="ABS176" s="125"/>
      <c r="ABT176" s="125"/>
      <c r="ABU176" s="125"/>
      <c r="ABV176" s="125"/>
      <c r="ABW176" s="125"/>
      <c r="ABX176" s="125"/>
      <c r="ABY176" s="125"/>
      <c r="ABZ176" s="125"/>
      <c r="ACA176" s="125"/>
      <c r="ACB176" s="125"/>
      <c r="ACC176" s="125"/>
      <c r="ACD176" s="125"/>
      <c r="ACE176" s="125"/>
      <c r="ACF176" s="125"/>
      <c r="ACG176" s="125"/>
      <c r="ACH176" s="125"/>
      <c r="ACI176" s="125"/>
      <c r="ACJ176" s="125"/>
      <c r="ACK176" s="125"/>
      <c r="ACL176" s="125"/>
      <c r="ACM176" s="125"/>
      <c r="ACN176" s="125"/>
      <c r="ACO176" s="125"/>
      <c r="ACP176" s="125"/>
      <c r="ACQ176" s="125"/>
      <c r="ACR176" s="125"/>
      <c r="ACS176" s="125"/>
      <c r="ACT176" s="125"/>
      <c r="ACU176" s="125"/>
      <c r="ACV176" s="125"/>
      <c r="ACW176" s="125"/>
      <c r="ACX176" s="125"/>
      <c r="ACY176" s="125"/>
      <c r="ACZ176" s="125"/>
      <c r="ADA176" s="125"/>
      <c r="ADB176" s="125"/>
      <c r="ADC176" s="125"/>
      <c r="ADD176" s="125"/>
      <c r="ADE176" s="125"/>
      <c r="ADF176" s="125"/>
      <c r="ADG176" s="125"/>
      <c r="ADH176" s="125"/>
      <c r="ADI176" s="125"/>
      <c r="ADJ176" s="125"/>
      <c r="ADK176" s="125"/>
      <c r="ADL176" s="125"/>
      <c r="ADM176" s="125"/>
      <c r="ADN176" s="125"/>
      <c r="ADO176" s="125"/>
      <c r="ADP176" s="125"/>
      <c r="ADQ176" s="125"/>
      <c r="ADR176" s="125"/>
      <c r="ADS176" s="125"/>
      <c r="ADT176" s="125"/>
      <c r="ADU176" s="125"/>
      <c r="ADV176" s="125"/>
      <c r="ADW176" s="125"/>
      <c r="ADX176" s="125"/>
      <c r="ADY176" s="125"/>
      <c r="ADZ176" s="125"/>
      <c r="AEA176" s="125"/>
      <c r="AEB176" s="125"/>
      <c r="AEC176" s="125"/>
      <c r="AED176" s="125"/>
      <c r="AEE176" s="125"/>
      <c r="AEF176" s="125"/>
      <c r="AEG176" s="125"/>
      <c r="AEH176" s="125"/>
      <c r="AEI176" s="125"/>
      <c r="AEJ176" s="125"/>
      <c r="AEK176" s="125"/>
      <c r="AEL176" s="125"/>
      <c r="AEM176" s="125"/>
      <c r="AEN176" s="125"/>
      <c r="AEO176" s="125"/>
      <c r="AEP176" s="125"/>
      <c r="AEQ176" s="125"/>
      <c r="AER176" s="125"/>
      <c r="AES176" s="125"/>
      <c r="AET176" s="125"/>
      <c r="AEU176" s="125"/>
      <c r="AEV176" s="125"/>
      <c r="AEW176" s="125"/>
      <c r="AEX176" s="125"/>
      <c r="AEY176" s="125"/>
      <c r="AEZ176" s="125"/>
      <c r="AFA176" s="125"/>
      <c r="AFB176" s="125"/>
      <c r="AFC176" s="125"/>
      <c r="AFD176" s="125"/>
      <c r="AFE176" s="125"/>
      <c r="AFF176" s="125"/>
      <c r="AFG176" s="125"/>
      <c r="AFH176" s="125"/>
      <c r="AFI176" s="125"/>
      <c r="AFJ176" s="125"/>
      <c r="AFK176" s="125"/>
      <c r="AFL176" s="125"/>
      <c r="AFM176" s="125"/>
      <c r="AFN176" s="125"/>
      <c r="AFO176" s="125"/>
      <c r="AFP176" s="125"/>
      <c r="AFQ176" s="125"/>
      <c r="AFR176" s="125"/>
      <c r="AFS176" s="125"/>
      <c r="AFT176" s="125"/>
      <c r="AFU176" s="125"/>
      <c r="AFV176" s="125"/>
      <c r="AFW176" s="125"/>
      <c r="AFX176" s="125"/>
      <c r="AFY176" s="125"/>
      <c r="AFZ176" s="125"/>
      <c r="AGA176" s="125"/>
      <c r="AGB176" s="125"/>
      <c r="AGC176" s="125"/>
      <c r="AGD176" s="125"/>
      <c r="AGE176" s="125"/>
      <c r="AGF176" s="125"/>
      <c r="AGG176" s="125"/>
      <c r="AGH176" s="125"/>
      <c r="AGI176" s="125"/>
      <c r="AGJ176" s="125"/>
      <c r="AGK176" s="125"/>
      <c r="AGL176" s="125"/>
      <c r="AGM176" s="125"/>
      <c r="AGN176" s="125"/>
      <c r="AGO176" s="125"/>
      <c r="AGP176" s="125"/>
      <c r="AGQ176" s="125"/>
      <c r="AGR176" s="125"/>
      <c r="AGS176" s="125"/>
      <c r="AGT176" s="125"/>
      <c r="AGU176" s="125"/>
      <c r="AGV176" s="125"/>
      <c r="AGW176" s="125"/>
      <c r="AGX176" s="125"/>
      <c r="AGY176" s="125"/>
      <c r="AGZ176" s="125"/>
      <c r="AHA176" s="125"/>
      <c r="AHB176" s="125"/>
      <c r="AHC176" s="125"/>
      <c r="AHD176" s="125"/>
      <c r="AHE176" s="125"/>
      <c r="AHF176" s="125"/>
      <c r="AHG176" s="125"/>
      <c r="AHH176" s="125"/>
      <c r="AHI176" s="125"/>
      <c r="AHJ176" s="125"/>
      <c r="AHK176" s="125"/>
      <c r="AHL176" s="125"/>
      <c r="AHM176" s="125"/>
      <c r="AHN176" s="125"/>
      <c r="AHO176" s="125"/>
      <c r="AHP176" s="125"/>
      <c r="AHQ176" s="125"/>
      <c r="AHR176" s="125"/>
      <c r="AHS176" s="125"/>
      <c r="AHT176" s="125"/>
      <c r="AHU176" s="125"/>
      <c r="AHV176" s="125"/>
      <c r="AHW176" s="125"/>
      <c r="AHX176" s="125"/>
      <c r="AHY176" s="125"/>
      <c r="AHZ176" s="125"/>
      <c r="AIA176" s="125"/>
      <c r="AIB176" s="125"/>
      <c r="AIC176" s="125"/>
      <c r="AID176" s="125"/>
      <c r="AIE176" s="125"/>
      <c r="AIF176" s="125"/>
      <c r="AIG176" s="125"/>
      <c r="AIH176" s="125"/>
      <c r="AII176" s="125"/>
      <c r="AIJ176" s="125"/>
      <c r="AIK176" s="125"/>
      <c r="AIL176" s="125"/>
      <c r="AIM176" s="125"/>
      <c r="AIN176" s="125"/>
      <c r="AIO176" s="125"/>
      <c r="AIP176" s="125"/>
      <c r="AIQ176" s="125"/>
      <c r="AIR176" s="125"/>
      <c r="AIS176" s="125"/>
      <c r="AIT176" s="125"/>
      <c r="AIU176" s="125"/>
      <c r="AIV176" s="125"/>
      <c r="AIW176" s="125"/>
      <c r="AIX176" s="125"/>
      <c r="AIY176" s="125"/>
      <c r="AIZ176" s="125"/>
      <c r="AJA176" s="125"/>
      <c r="AJB176" s="125"/>
      <c r="AJC176" s="125"/>
      <c r="AJD176" s="125"/>
      <c r="AJE176" s="125"/>
      <c r="AJF176" s="125"/>
      <c r="AJG176" s="125"/>
      <c r="AJH176" s="125"/>
      <c r="AJI176" s="125"/>
      <c r="AJJ176" s="125"/>
      <c r="AJK176" s="125"/>
      <c r="AJL176" s="125"/>
      <c r="AJM176" s="125"/>
      <c r="AJN176" s="125"/>
      <c r="AJO176" s="125"/>
      <c r="AJP176" s="125"/>
      <c r="AJQ176" s="125"/>
      <c r="AJR176" s="125"/>
      <c r="AJS176" s="125"/>
      <c r="AJT176" s="125"/>
      <c r="AJU176" s="125"/>
      <c r="AJV176" s="125"/>
      <c r="AJW176" s="125"/>
      <c r="AJX176" s="125"/>
      <c r="AJY176" s="125"/>
      <c r="AJZ176" s="125"/>
      <c r="AKA176" s="125"/>
      <c r="AKB176" s="125"/>
      <c r="AKC176" s="125"/>
      <c r="AKD176" s="125"/>
      <c r="AKE176" s="125"/>
      <c r="AKF176" s="125"/>
      <c r="AKG176" s="125"/>
      <c r="AKH176" s="125"/>
      <c r="AKI176" s="125"/>
      <c r="AKJ176" s="125"/>
      <c r="AKK176" s="125"/>
      <c r="AKL176" s="125"/>
      <c r="AKM176" s="125"/>
      <c r="AKN176" s="125"/>
      <c r="AKO176" s="125"/>
      <c r="AKP176" s="125"/>
      <c r="AKQ176" s="125"/>
      <c r="AKR176" s="125"/>
      <c r="AKS176" s="125"/>
      <c r="AKT176" s="125"/>
      <c r="AKU176" s="125"/>
      <c r="AKV176" s="125"/>
      <c r="AKW176" s="125"/>
      <c r="AKX176" s="125"/>
      <c r="AKY176" s="125"/>
      <c r="AKZ176" s="125"/>
      <c r="ALA176" s="125"/>
      <c r="ALB176" s="125"/>
      <c r="ALC176" s="125"/>
      <c r="ALD176" s="125"/>
      <c r="ALE176" s="125"/>
      <c r="ALF176" s="125"/>
      <c r="ALG176" s="125"/>
      <c r="ALH176" s="125"/>
      <c r="ALI176" s="125"/>
      <c r="ALJ176" s="125"/>
      <c r="ALK176" s="125"/>
      <c r="ALL176" s="125"/>
      <c r="ALM176" s="125"/>
      <c r="ALN176" s="125"/>
      <c r="ALO176" s="125"/>
      <c r="ALP176" s="125"/>
      <c r="ALQ176" s="125"/>
      <c r="ALR176" s="125"/>
      <c r="ALS176" s="125"/>
      <c r="ALT176" s="125"/>
      <c r="ALU176" s="125"/>
      <c r="ALV176" s="125"/>
      <c r="ALW176" s="125"/>
      <c r="ALX176" s="125"/>
      <c r="ALY176" s="125"/>
      <c r="ALZ176" s="125"/>
      <c r="AMA176" s="125"/>
      <c r="AMB176" s="125"/>
      <c r="AMC176" s="125"/>
      <c r="AMD176" s="125"/>
      <c r="AME176" s="125"/>
      <c r="AMF176" s="125"/>
      <c r="AMG176" s="125"/>
      <c r="AMH176" s="125"/>
      <c r="AMI176" s="125"/>
      <c r="AMJ176" s="125"/>
      <c r="AMK176" s="125"/>
      <c r="AML176" s="125"/>
      <c r="AMM176" s="125"/>
      <c r="AMN176" s="125"/>
      <c r="AMO176" s="125"/>
      <c r="AMP176" s="125"/>
      <c r="AMQ176" s="125"/>
      <c r="AMR176" s="125"/>
      <c r="AMS176" s="125"/>
      <c r="AMT176" s="125"/>
      <c r="AMU176" s="125"/>
      <c r="AMV176" s="125"/>
      <c r="AMW176" s="125"/>
      <c r="AMX176" s="125"/>
      <c r="AMY176" s="125"/>
      <c r="AMZ176" s="125"/>
      <c r="ANA176" s="125"/>
      <c r="ANB176" s="125"/>
      <c r="ANC176" s="125"/>
      <c r="AND176" s="125"/>
      <c r="ANE176" s="125"/>
      <c r="ANF176" s="125"/>
      <c r="ANG176" s="125"/>
      <c r="ANH176" s="125"/>
      <c r="ANI176" s="125"/>
      <c r="ANJ176" s="125"/>
      <c r="ANK176" s="125"/>
      <c r="ANL176" s="125"/>
      <c r="ANM176" s="125"/>
      <c r="ANN176" s="125"/>
      <c r="ANO176" s="125"/>
      <c r="ANP176" s="125"/>
      <c r="ANQ176" s="125"/>
      <c r="ANR176" s="125"/>
      <c r="ANS176" s="125"/>
      <c r="ANT176" s="125"/>
      <c r="ANU176" s="125"/>
      <c r="ANV176" s="125"/>
      <c r="ANW176" s="125"/>
      <c r="ANX176" s="125"/>
      <c r="ANY176" s="125"/>
      <c r="ANZ176" s="125"/>
      <c r="AOA176" s="125"/>
      <c r="AOB176" s="125"/>
      <c r="AOC176" s="125"/>
      <c r="AOD176" s="125"/>
      <c r="AOE176" s="125"/>
      <c r="AOF176" s="125"/>
      <c r="AOG176" s="125"/>
      <c r="AOH176" s="125"/>
      <c r="AOI176" s="125"/>
      <c r="AOJ176" s="125"/>
      <c r="AOK176" s="125"/>
      <c r="AOL176" s="125"/>
      <c r="AOM176" s="125"/>
      <c r="AON176" s="125"/>
      <c r="AOO176" s="125"/>
      <c r="AOP176" s="125"/>
      <c r="AOQ176" s="125"/>
      <c r="AOR176" s="125"/>
      <c r="AOS176" s="125"/>
      <c r="AOT176" s="125"/>
      <c r="AOU176" s="125"/>
      <c r="AOV176" s="125"/>
      <c r="AOW176" s="125"/>
      <c r="AOX176" s="125"/>
      <c r="AOY176" s="125"/>
      <c r="AOZ176" s="125"/>
      <c r="APA176" s="125"/>
      <c r="APB176" s="125"/>
      <c r="APC176" s="125"/>
      <c r="APD176" s="125"/>
      <c r="APE176" s="125"/>
      <c r="APF176" s="125"/>
      <c r="APG176" s="125"/>
      <c r="APH176" s="125"/>
      <c r="API176" s="125"/>
      <c r="APJ176" s="125"/>
      <c r="APK176" s="125"/>
      <c r="APL176" s="125"/>
      <c r="APM176" s="125"/>
      <c r="APN176" s="125"/>
      <c r="APO176" s="125"/>
      <c r="APP176" s="125"/>
      <c r="APQ176" s="125"/>
      <c r="APR176" s="125"/>
      <c r="APS176" s="125"/>
      <c r="APT176" s="125"/>
      <c r="APU176" s="125"/>
      <c r="APV176" s="125"/>
      <c r="APW176" s="125"/>
      <c r="APX176" s="125"/>
      <c r="APY176" s="125"/>
      <c r="APZ176" s="125"/>
      <c r="AQA176" s="125"/>
      <c r="AQB176" s="125"/>
      <c r="AQC176" s="125"/>
      <c r="AQD176" s="125"/>
      <c r="AQE176" s="125"/>
      <c r="AQF176" s="125"/>
      <c r="AQG176" s="125"/>
      <c r="AQH176" s="125"/>
      <c r="AQI176" s="125"/>
      <c r="AQJ176" s="125"/>
      <c r="AQK176" s="125"/>
      <c r="AQL176" s="125"/>
      <c r="AQM176" s="125"/>
      <c r="AQN176" s="125"/>
      <c r="AQO176" s="125"/>
      <c r="AQP176" s="125"/>
      <c r="AQQ176" s="125"/>
      <c r="AQR176" s="125"/>
      <c r="AQS176" s="125"/>
      <c r="AQT176" s="125"/>
      <c r="AQU176" s="125"/>
      <c r="AQV176" s="125"/>
      <c r="AQW176" s="125"/>
      <c r="AQX176" s="125"/>
      <c r="AQY176" s="125"/>
      <c r="AQZ176" s="125"/>
      <c r="ARA176" s="125"/>
      <c r="ARB176" s="125"/>
      <c r="ARC176" s="125"/>
      <c r="ARD176" s="125"/>
      <c r="ARE176" s="125"/>
      <c r="ARF176" s="125"/>
      <c r="ARG176" s="125"/>
      <c r="ARH176" s="125"/>
      <c r="ARI176" s="125"/>
      <c r="ARJ176" s="125"/>
      <c r="ARK176" s="125"/>
      <c r="ARL176" s="125"/>
      <c r="ARM176" s="125"/>
      <c r="ARN176" s="125"/>
      <c r="ARO176" s="125"/>
      <c r="ARP176" s="125"/>
      <c r="ARQ176" s="125"/>
      <c r="ARR176" s="125"/>
      <c r="ARS176" s="125"/>
      <c r="ART176" s="125"/>
      <c r="ARU176" s="125"/>
      <c r="ARV176" s="125"/>
      <c r="ARW176" s="125"/>
      <c r="ARX176" s="125"/>
      <c r="ARY176" s="125"/>
      <c r="ARZ176" s="125"/>
      <c r="ASA176" s="125"/>
      <c r="ASB176" s="125"/>
      <c r="ASC176" s="125"/>
      <c r="ASD176" s="125"/>
      <c r="ASE176" s="125"/>
      <c r="ASF176" s="125"/>
      <c r="ASG176" s="125"/>
      <c r="ASH176" s="125"/>
      <c r="ASI176" s="125"/>
      <c r="ASJ176" s="125"/>
      <c r="ASK176" s="125"/>
      <c r="ASL176" s="125"/>
      <c r="ASM176" s="125"/>
      <c r="ASN176" s="125"/>
      <c r="ASO176" s="125"/>
      <c r="ASP176" s="125"/>
      <c r="ASQ176" s="125"/>
      <c r="ASR176" s="125"/>
      <c r="ASS176" s="125"/>
      <c r="AST176" s="125"/>
      <c r="ASU176" s="125"/>
      <c r="ASV176" s="125"/>
      <c r="ASW176" s="125"/>
      <c r="ASX176" s="125"/>
      <c r="ASY176" s="125"/>
      <c r="ASZ176" s="125"/>
      <c r="ATA176" s="125"/>
      <c r="ATB176" s="125"/>
      <c r="ATC176" s="125"/>
      <c r="ATD176" s="125"/>
      <c r="ATE176" s="125"/>
      <c r="ATF176" s="125"/>
      <c r="ATG176" s="125"/>
      <c r="ATH176" s="125"/>
      <c r="ATI176" s="125"/>
      <c r="ATJ176" s="125"/>
      <c r="ATK176" s="125"/>
      <c r="ATL176" s="125"/>
      <c r="ATM176" s="125"/>
      <c r="ATN176" s="125"/>
      <c r="ATO176" s="125"/>
      <c r="ATP176" s="125"/>
      <c r="ATQ176" s="125"/>
      <c r="ATR176" s="125"/>
      <c r="ATS176" s="125"/>
      <c r="ATT176" s="125"/>
      <c r="ATU176" s="125"/>
      <c r="ATV176" s="125"/>
      <c r="ATW176" s="125"/>
      <c r="ATX176" s="125"/>
      <c r="ATY176" s="125"/>
      <c r="ATZ176" s="125"/>
      <c r="AUA176" s="125"/>
      <c r="AUB176" s="125"/>
      <c r="AUC176" s="125"/>
      <c r="AUD176" s="125"/>
      <c r="AUE176" s="125"/>
      <c r="AUF176" s="125"/>
      <c r="AUG176" s="125"/>
      <c r="AUH176" s="125"/>
      <c r="AUI176" s="125"/>
      <c r="AUJ176" s="125"/>
      <c r="AUK176" s="125"/>
      <c r="AUL176" s="125"/>
      <c r="AUM176" s="125"/>
      <c r="AUN176" s="125"/>
      <c r="AUO176" s="125"/>
      <c r="AUP176" s="125"/>
      <c r="AUQ176" s="125"/>
      <c r="AUR176" s="125"/>
      <c r="AUS176" s="125"/>
      <c r="AUT176" s="125"/>
      <c r="AUU176" s="125"/>
      <c r="AUV176" s="125"/>
      <c r="AUW176" s="125"/>
      <c r="AUX176" s="125"/>
      <c r="AUY176" s="125"/>
      <c r="AUZ176" s="125"/>
      <c r="AVA176" s="125"/>
      <c r="AVB176" s="125"/>
      <c r="AVC176" s="125"/>
      <c r="AVD176" s="125"/>
      <c r="AVE176" s="125"/>
      <c r="AVF176" s="125"/>
      <c r="AVG176" s="125"/>
      <c r="AVH176" s="125"/>
      <c r="AVI176" s="125"/>
      <c r="AVJ176" s="125"/>
      <c r="AVK176" s="125"/>
      <c r="AVL176" s="125"/>
      <c r="AVM176" s="125"/>
      <c r="AVN176" s="125"/>
      <c r="AVO176" s="125"/>
      <c r="AVP176" s="125"/>
      <c r="AVQ176" s="125"/>
      <c r="AVR176" s="125"/>
      <c r="AVS176" s="125"/>
      <c r="AVT176" s="125"/>
      <c r="AVU176" s="125"/>
      <c r="AVV176" s="125"/>
      <c r="AVW176" s="125"/>
      <c r="AVX176" s="125"/>
      <c r="AVY176" s="125"/>
      <c r="AVZ176" s="125"/>
      <c r="AWA176" s="125"/>
      <c r="AWB176" s="125"/>
      <c r="AWC176" s="125"/>
      <c r="AWD176" s="125"/>
      <c r="AWE176" s="125"/>
      <c r="AWF176" s="125"/>
      <c r="AWG176" s="125"/>
      <c r="AWH176" s="125"/>
      <c r="AWI176" s="125"/>
      <c r="AWJ176" s="125"/>
      <c r="AWK176" s="125"/>
      <c r="AWL176" s="125"/>
      <c r="AWM176" s="125"/>
      <c r="AWN176" s="125"/>
      <c r="AWO176" s="125"/>
      <c r="AWP176" s="125"/>
      <c r="AWQ176" s="125"/>
      <c r="AWR176" s="125"/>
      <c r="AWS176" s="125"/>
      <c r="AWT176" s="125"/>
      <c r="AWU176" s="125"/>
      <c r="AWV176" s="125"/>
      <c r="AWW176" s="125"/>
      <c r="AWX176" s="125"/>
      <c r="AWY176" s="125"/>
      <c r="AWZ176" s="125"/>
      <c r="AXA176" s="125"/>
      <c r="AXB176" s="125"/>
      <c r="AXC176" s="125"/>
      <c r="AXD176" s="125"/>
      <c r="AXE176" s="125"/>
      <c r="AXF176" s="125"/>
      <c r="AXG176" s="125"/>
      <c r="AXH176" s="125"/>
      <c r="AXI176" s="125"/>
      <c r="AXJ176" s="125"/>
      <c r="AXK176" s="125"/>
      <c r="AXL176" s="125"/>
      <c r="AXM176" s="125"/>
      <c r="AXN176" s="125"/>
      <c r="AXO176" s="125"/>
      <c r="AXP176" s="125"/>
      <c r="AXQ176" s="125"/>
      <c r="AXR176" s="125"/>
      <c r="AXS176" s="125"/>
      <c r="AXT176" s="125"/>
      <c r="AXU176" s="125"/>
      <c r="AXV176" s="125"/>
      <c r="AXW176" s="125"/>
      <c r="AXX176" s="125"/>
      <c r="AXY176" s="125"/>
      <c r="AXZ176" s="125"/>
      <c r="AYA176" s="125"/>
      <c r="AYB176" s="125"/>
      <c r="AYC176" s="125"/>
      <c r="AYD176" s="125"/>
      <c r="AYE176" s="125"/>
      <c r="AYF176" s="125"/>
      <c r="AYG176" s="125"/>
      <c r="AYH176" s="125"/>
      <c r="AYI176" s="125"/>
      <c r="AYJ176" s="125"/>
      <c r="AYK176" s="125"/>
      <c r="AYL176" s="125"/>
      <c r="AYM176" s="125"/>
      <c r="AYN176" s="125"/>
      <c r="AYO176" s="125"/>
      <c r="AYP176" s="125"/>
      <c r="AYQ176" s="125"/>
      <c r="AYR176" s="125"/>
      <c r="AYS176" s="125"/>
      <c r="AYT176" s="125"/>
      <c r="AYU176" s="125"/>
      <c r="AYV176" s="125"/>
      <c r="AYW176" s="125"/>
      <c r="AYX176" s="125"/>
      <c r="AYY176" s="125"/>
      <c r="AYZ176" s="125"/>
      <c r="AZA176" s="125"/>
      <c r="AZB176" s="125"/>
      <c r="AZC176" s="125"/>
      <c r="AZD176" s="125"/>
      <c r="AZE176" s="125"/>
      <c r="AZF176" s="125"/>
      <c r="AZG176" s="125"/>
      <c r="AZH176" s="125"/>
      <c r="AZI176" s="125"/>
      <c r="AZJ176" s="125"/>
      <c r="AZK176" s="125"/>
      <c r="AZL176" s="125"/>
      <c r="AZM176" s="125"/>
      <c r="AZN176" s="125"/>
      <c r="AZO176" s="125"/>
      <c r="AZP176" s="125"/>
      <c r="AZQ176" s="125"/>
      <c r="AZR176" s="125"/>
      <c r="AZS176" s="125"/>
      <c r="AZT176" s="125"/>
      <c r="AZU176" s="125"/>
      <c r="AZV176" s="125"/>
      <c r="AZW176" s="125"/>
      <c r="AZX176" s="125"/>
      <c r="AZY176" s="125"/>
      <c r="AZZ176" s="125"/>
      <c r="BAA176" s="125"/>
      <c r="BAB176" s="125"/>
      <c r="BAC176" s="125"/>
      <c r="BAD176" s="125"/>
      <c r="BAE176" s="125"/>
      <c r="BAF176" s="125"/>
      <c r="BAG176" s="125"/>
      <c r="BAH176" s="125"/>
      <c r="BAI176" s="125"/>
      <c r="BAJ176" s="125"/>
      <c r="BAK176" s="125"/>
      <c r="BAL176" s="125"/>
      <c r="BAM176" s="125"/>
      <c r="BAN176" s="125"/>
      <c r="BAO176" s="125"/>
      <c r="BAP176" s="125"/>
      <c r="BAQ176" s="125"/>
      <c r="BAR176" s="125"/>
      <c r="BAS176" s="125"/>
      <c r="BAT176" s="125"/>
      <c r="BAU176" s="125"/>
      <c r="BAV176" s="125"/>
      <c r="BAW176" s="125"/>
      <c r="BAX176" s="125"/>
      <c r="BAY176" s="125"/>
      <c r="BAZ176" s="125"/>
      <c r="BBA176" s="125"/>
      <c r="BBB176" s="125"/>
      <c r="BBC176" s="125"/>
      <c r="BBD176" s="125"/>
      <c r="BBE176" s="125"/>
      <c r="BBF176" s="125"/>
      <c r="BBG176" s="125"/>
      <c r="BBH176" s="125"/>
      <c r="BBI176" s="125"/>
      <c r="BBJ176" s="125"/>
      <c r="BBK176" s="125"/>
      <c r="BBL176" s="125"/>
      <c r="BBM176" s="125"/>
      <c r="BBN176" s="125"/>
      <c r="BBO176" s="125"/>
      <c r="BBP176" s="125"/>
      <c r="BBQ176" s="125"/>
      <c r="BBR176" s="125"/>
      <c r="BBS176" s="125"/>
      <c r="BBT176" s="125"/>
      <c r="BBU176" s="125"/>
      <c r="BBV176" s="125"/>
      <c r="BBW176" s="125"/>
      <c r="BBX176" s="125"/>
      <c r="BBY176" s="125"/>
      <c r="BBZ176" s="125"/>
      <c r="BCA176" s="125"/>
      <c r="BCB176" s="125"/>
      <c r="BCC176" s="125"/>
      <c r="BCD176" s="125"/>
      <c r="BCE176" s="125"/>
      <c r="BCF176" s="125"/>
      <c r="BCG176" s="125"/>
      <c r="BCH176" s="125"/>
      <c r="BCI176" s="125"/>
      <c r="BCJ176" s="125"/>
      <c r="BCK176" s="125"/>
      <c r="BCL176" s="125"/>
      <c r="BCM176" s="125"/>
      <c r="BCN176" s="125"/>
      <c r="BCO176" s="125"/>
      <c r="BCP176" s="125"/>
      <c r="BCQ176" s="125"/>
      <c r="BCR176" s="125"/>
      <c r="BCS176" s="125"/>
      <c r="BCT176" s="125"/>
      <c r="BCU176" s="125"/>
      <c r="BCV176" s="125"/>
      <c r="BCW176" s="125"/>
      <c r="BCX176" s="125"/>
      <c r="BCY176" s="125"/>
      <c r="BCZ176" s="125"/>
      <c r="BDA176" s="125"/>
      <c r="BDB176" s="125"/>
      <c r="BDC176" s="125"/>
      <c r="BDD176" s="125"/>
      <c r="BDE176" s="125"/>
      <c r="BDF176" s="125"/>
      <c r="BDG176" s="125"/>
      <c r="BDH176" s="125"/>
      <c r="BDI176" s="125"/>
      <c r="BDJ176" s="125"/>
      <c r="BDK176" s="125"/>
      <c r="BDL176" s="125"/>
      <c r="BDM176" s="125"/>
      <c r="BDN176" s="125"/>
      <c r="BDO176" s="125"/>
      <c r="BDP176" s="125"/>
      <c r="BDQ176" s="125"/>
      <c r="BDR176" s="125"/>
      <c r="BDS176" s="125"/>
      <c r="BDT176" s="125"/>
      <c r="BDU176" s="125"/>
      <c r="BDV176" s="125"/>
      <c r="BDW176" s="125"/>
      <c r="BDX176" s="125"/>
      <c r="BDY176" s="125"/>
      <c r="BDZ176" s="125"/>
      <c r="BEA176" s="125"/>
      <c r="BEB176" s="125"/>
      <c r="BEC176" s="125"/>
      <c r="BED176" s="125"/>
      <c r="BEE176" s="125"/>
      <c r="BEF176" s="125"/>
      <c r="BEG176" s="125"/>
      <c r="BEH176" s="125"/>
      <c r="BEI176" s="125"/>
      <c r="BEJ176" s="125"/>
      <c r="BEK176" s="125"/>
      <c r="BEL176" s="125"/>
      <c r="BEM176" s="125"/>
      <c r="BEN176" s="125"/>
      <c r="BEO176" s="125"/>
      <c r="BEP176" s="125"/>
      <c r="BEQ176" s="125"/>
      <c r="BER176" s="125"/>
      <c r="BES176" s="125"/>
      <c r="BET176" s="125"/>
      <c r="BEU176" s="125"/>
      <c r="BEV176" s="125"/>
      <c r="BEW176" s="125"/>
      <c r="BEX176" s="125"/>
      <c r="BEY176" s="125"/>
      <c r="BEZ176" s="125"/>
      <c r="BFA176" s="125"/>
      <c r="BFB176" s="125"/>
      <c r="BFC176" s="125"/>
      <c r="BFD176" s="125"/>
      <c r="BFE176" s="125"/>
      <c r="BFF176" s="125"/>
      <c r="BFG176" s="125"/>
      <c r="BFH176" s="125"/>
      <c r="BFI176" s="125"/>
      <c r="BFJ176" s="125"/>
      <c r="BFK176" s="125"/>
      <c r="BFL176" s="125"/>
      <c r="BFM176" s="125"/>
      <c r="BFN176" s="125"/>
      <c r="BFO176" s="125"/>
      <c r="BFP176" s="125"/>
      <c r="BFQ176" s="125"/>
      <c r="BFR176" s="125"/>
      <c r="BFS176" s="125"/>
      <c r="BFT176" s="125"/>
      <c r="BFU176" s="125"/>
      <c r="BFV176" s="125"/>
      <c r="BFW176" s="125"/>
      <c r="BFX176" s="125"/>
      <c r="BFY176" s="125"/>
      <c r="BFZ176" s="125"/>
      <c r="BGA176" s="125"/>
      <c r="BGB176" s="125"/>
      <c r="BGC176" s="125"/>
      <c r="BGD176" s="125"/>
      <c r="BGE176" s="125"/>
      <c r="BGF176" s="125"/>
      <c r="BGG176" s="125"/>
      <c r="BGH176" s="125"/>
      <c r="BGI176" s="125"/>
      <c r="BGJ176" s="125"/>
      <c r="BGK176" s="125"/>
      <c r="BGL176" s="125"/>
      <c r="BGM176" s="125"/>
      <c r="BGN176" s="125"/>
      <c r="BGO176" s="125"/>
      <c r="BGP176" s="125"/>
      <c r="BGQ176" s="125"/>
      <c r="BGR176" s="125"/>
      <c r="BGS176" s="125"/>
      <c r="BGT176" s="125"/>
      <c r="BGU176" s="125"/>
      <c r="BGV176" s="125"/>
      <c r="BGW176" s="125"/>
      <c r="BGX176" s="125"/>
      <c r="BGY176" s="125"/>
      <c r="BGZ176" s="125"/>
      <c r="BHA176" s="125"/>
      <c r="BHB176" s="125"/>
      <c r="BHC176" s="125"/>
      <c r="BHD176" s="125"/>
      <c r="BHE176" s="125"/>
      <c r="BHF176" s="125"/>
      <c r="BHG176" s="125"/>
      <c r="BHH176" s="125"/>
      <c r="BHI176" s="125"/>
      <c r="BHJ176" s="125"/>
      <c r="BHK176" s="125"/>
      <c r="BHL176" s="125"/>
      <c r="BHM176" s="125"/>
      <c r="BHN176" s="125"/>
      <c r="BHO176" s="125"/>
      <c r="BHP176" s="125"/>
      <c r="BHQ176" s="125"/>
      <c r="BHR176" s="125"/>
      <c r="BHS176" s="125"/>
      <c r="BHT176" s="125"/>
      <c r="BHU176" s="125"/>
      <c r="BHV176" s="125"/>
      <c r="BHW176" s="125"/>
      <c r="BHX176" s="125"/>
      <c r="BHY176" s="125"/>
      <c r="BHZ176" s="125"/>
      <c r="BIA176" s="125"/>
      <c r="BIB176" s="125"/>
      <c r="BIC176" s="125"/>
      <c r="BID176" s="125"/>
      <c r="BIE176" s="125"/>
      <c r="BIF176" s="125"/>
      <c r="BIG176" s="125"/>
      <c r="BIH176" s="125"/>
      <c r="BII176" s="125"/>
      <c r="BIJ176" s="125"/>
      <c r="BIK176" s="125"/>
      <c r="BIL176" s="125"/>
      <c r="BIM176" s="125"/>
      <c r="BIN176" s="125"/>
      <c r="BIO176" s="125"/>
      <c r="BIP176" s="125"/>
      <c r="BIQ176" s="125"/>
      <c r="BIR176" s="125"/>
      <c r="BIS176" s="125"/>
      <c r="BIT176" s="125"/>
      <c r="BIU176" s="125"/>
      <c r="BIV176" s="125"/>
      <c r="BIW176" s="125"/>
      <c r="BIX176" s="125"/>
      <c r="BIY176" s="125"/>
      <c r="BIZ176" s="125"/>
      <c r="BJA176" s="125"/>
      <c r="BJB176" s="125"/>
      <c r="BJC176" s="125"/>
      <c r="BJD176" s="125"/>
      <c r="BJE176" s="125"/>
      <c r="BJF176" s="125"/>
      <c r="BJG176" s="125"/>
      <c r="BJH176" s="125"/>
      <c r="BJI176" s="125"/>
      <c r="BJJ176" s="125"/>
      <c r="BJK176" s="125"/>
      <c r="BJL176" s="125"/>
      <c r="BJM176" s="125"/>
      <c r="BJN176" s="125"/>
      <c r="BJO176" s="125"/>
      <c r="BJP176" s="125"/>
      <c r="BJQ176" s="125"/>
      <c r="BJR176" s="125"/>
      <c r="BJS176" s="125"/>
      <c r="BJT176" s="125"/>
      <c r="BJU176" s="125"/>
      <c r="BJV176" s="125"/>
      <c r="BJW176" s="125"/>
      <c r="BJX176" s="125"/>
      <c r="BJY176" s="125"/>
      <c r="BJZ176" s="125"/>
      <c r="BKA176" s="125"/>
      <c r="BKB176" s="125"/>
      <c r="BKC176" s="125"/>
      <c r="BKD176" s="125"/>
      <c r="BKE176" s="125"/>
      <c r="BKF176" s="125"/>
      <c r="BKG176" s="125"/>
      <c r="BKH176" s="125"/>
      <c r="BKI176" s="125"/>
      <c r="BKJ176" s="125"/>
      <c r="BKK176" s="125"/>
      <c r="BKL176" s="125"/>
      <c r="BKM176" s="125"/>
      <c r="BKN176" s="125"/>
      <c r="BKO176" s="125"/>
      <c r="BKP176" s="125"/>
      <c r="BKQ176" s="125"/>
      <c r="BKR176" s="125"/>
      <c r="BKS176" s="125"/>
      <c r="BKT176" s="125"/>
      <c r="BKU176" s="125"/>
      <c r="BKV176" s="125"/>
      <c r="BKW176" s="125"/>
      <c r="BKX176" s="125"/>
      <c r="BKY176" s="125"/>
      <c r="BKZ176" s="125"/>
      <c r="BLA176" s="125"/>
      <c r="BLB176" s="125"/>
      <c r="BLC176" s="125"/>
      <c r="BLD176" s="125"/>
      <c r="BLE176" s="125"/>
      <c r="BLF176" s="125"/>
      <c r="BLG176" s="125"/>
      <c r="BLH176" s="125"/>
      <c r="BLI176" s="125"/>
      <c r="BLJ176" s="125"/>
      <c r="BLK176" s="125"/>
      <c r="BLL176" s="125"/>
      <c r="BLM176" s="125"/>
      <c r="BLN176" s="125"/>
      <c r="BLO176" s="125"/>
      <c r="BLP176" s="125"/>
      <c r="BLQ176" s="125"/>
      <c r="BLR176" s="125"/>
      <c r="BLS176" s="125"/>
      <c r="BLT176" s="125"/>
      <c r="BLU176" s="125"/>
      <c r="BLV176" s="125"/>
      <c r="BLW176" s="125"/>
      <c r="BLX176" s="125"/>
      <c r="BLY176" s="125"/>
      <c r="BLZ176" s="125"/>
      <c r="BMA176" s="125"/>
      <c r="BMB176" s="125"/>
      <c r="BMC176" s="125"/>
      <c r="BMD176" s="125"/>
      <c r="BME176" s="125"/>
      <c r="BMF176" s="125"/>
      <c r="BMG176" s="125"/>
      <c r="BMH176" s="125"/>
      <c r="BMI176" s="125"/>
      <c r="BMJ176" s="125"/>
      <c r="BMK176" s="125"/>
      <c r="BML176" s="125"/>
      <c r="BMM176" s="125"/>
      <c r="BMN176" s="125"/>
      <c r="BMO176" s="125"/>
      <c r="BMP176" s="125"/>
      <c r="BMQ176" s="125"/>
      <c r="BMR176" s="125"/>
      <c r="BMS176" s="125"/>
      <c r="BMT176" s="125"/>
      <c r="BMU176" s="125"/>
      <c r="BMV176" s="125"/>
      <c r="BMW176" s="125"/>
      <c r="BMX176" s="125"/>
      <c r="BMY176" s="125"/>
      <c r="BMZ176" s="125"/>
      <c r="BNA176" s="125"/>
      <c r="BNB176" s="125"/>
      <c r="BNC176" s="125"/>
      <c r="BND176" s="125"/>
      <c r="BNE176" s="125"/>
      <c r="BNF176" s="125"/>
      <c r="BNG176" s="125"/>
      <c r="BNH176" s="125"/>
      <c r="BNI176" s="125"/>
      <c r="BNJ176" s="125"/>
      <c r="BNK176" s="125"/>
      <c r="BNL176" s="125"/>
      <c r="BNM176" s="125"/>
      <c r="BNN176" s="125"/>
      <c r="BNO176" s="125"/>
      <c r="BNP176" s="125"/>
      <c r="BNQ176" s="125"/>
      <c r="BNR176" s="125"/>
      <c r="BNS176" s="125"/>
      <c r="BNT176" s="125"/>
      <c r="BNU176" s="125"/>
      <c r="BNV176" s="125"/>
      <c r="BNW176" s="125"/>
      <c r="BNX176" s="125"/>
      <c r="BNY176" s="125"/>
      <c r="BNZ176" s="125"/>
      <c r="BOA176" s="125"/>
      <c r="BOB176" s="125"/>
      <c r="BOC176" s="125"/>
      <c r="BOD176" s="125"/>
      <c r="BOE176" s="125"/>
      <c r="BOF176" s="125"/>
      <c r="BOG176" s="125"/>
      <c r="BOH176" s="125"/>
      <c r="BOI176" s="125"/>
      <c r="BOJ176" s="125"/>
      <c r="BOK176" s="125"/>
      <c r="BOL176" s="125"/>
      <c r="BOM176" s="125"/>
      <c r="BON176" s="125"/>
      <c r="BOO176" s="125"/>
      <c r="BOP176" s="125"/>
      <c r="BOQ176" s="125"/>
      <c r="BOR176" s="125"/>
      <c r="BOS176" s="125"/>
      <c r="BOT176" s="125"/>
      <c r="BOU176" s="125"/>
      <c r="BOV176" s="125"/>
      <c r="BOW176" s="125"/>
      <c r="BOX176" s="125"/>
      <c r="BOY176" s="125"/>
      <c r="BOZ176" s="125"/>
      <c r="BPA176" s="125"/>
      <c r="BPB176" s="125"/>
      <c r="BPC176" s="125"/>
      <c r="BPD176" s="125"/>
      <c r="BPE176" s="125"/>
      <c r="BPF176" s="125"/>
      <c r="BPG176" s="125"/>
      <c r="BPH176" s="125"/>
      <c r="BPI176" s="125"/>
      <c r="BPJ176" s="125"/>
      <c r="BPK176" s="125"/>
      <c r="BPL176" s="125"/>
      <c r="BPM176" s="125"/>
      <c r="BPN176" s="125"/>
      <c r="BPO176" s="125"/>
      <c r="BPP176" s="125"/>
      <c r="BPQ176" s="125"/>
      <c r="BPR176" s="125"/>
      <c r="BPS176" s="125"/>
      <c r="BPT176" s="125"/>
      <c r="BPU176" s="125"/>
      <c r="BPV176" s="125"/>
      <c r="BPW176" s="125"/>
      <c r="BPX176" s="125"/>
      <c r="BPY176" s="125"/>
      <c r="BPZ176" s="125"/>
      <c r="BQA176" s="125"/>
      <c r="BQB176" s="125"/>
      <c r="BQC176" s="125"/>
      <c r="BQD176" s="125"/>
      <c r="BQE176" s="125"/>
      <c r="BQF176" s="125"/>
      <c r="BQG176" s="125"/>
      <c r="BQH176" s="125"/>
      <c r="BQI176" s="125"/>
      <c r="BQJ176" s="125"/>
      <c r="BQK176" s="125"/>
      <c r="BQL176" s="125"/>
      <c r="BQM176" s="125"/>
      <c r="BQN176" s="125"/>
      <c r="BQO176" s="125"/>
      <c r="BQP176" s="125"/>
      <c r="BQQ176" s="125"/>
      <c r="BQR176" s="125"/>
      <c r="BQS176" s="125"/>
      <c r="BQT176" s="125"/>
      <c r="BQU176" s="125"/>
      <c r="BQV176" s="125"/>
      <c r="BQW176" s="125"/>
      <c r="BQX176" s="125"/>
      <c r="BQY176" s="125"/>
      <c r="BQZ176" s="125"/>
      <c r="BRA176" s="125"/>
      <c r="BRB176" s="125"/>
      <c r="BRC176" s="125"/>
      <c r="BRD176" s="125"/>
      <c r="BRE176" s="125"/>
      <c r="BRF176" s="125"/>
      <c r="BRG176" s="125"/>
      <c r="BRH176" s="125"/>
      <c r="BRI176" s="125"/>
      <c r="BRJ176" s="125"/>
      <c r="BRK176" s="125"/>
      <c r="BRL176" s="125"/>
      <c r="BRM176" s="125"/>
      <c r="BRN176" s="125"/>
      <c r="BRO176" s="125"/>
      <c r="BRP176" s="125"/>
      <c r="BRQ176" s="125"/>
      <c r="BRR176" s="125"/>
      <c r="BRS176" s="125"/>
      <c r="BRT176" s="125"/>
      <c r="BRU176" s="125"/>
      <c r="BRV176" s="125"/>
      <c r="BRW176" s="125"/>
      <c r="BRX176" s="125"/>
      <c r="BRY176" s="125"/>
      <c r="BRZ176" s="125"/>
      <c r="BSA176" s="125"/>
      <c r="BSB176" s="125"/>
      <c r="BSC176" s="125"/>
      <c r="BSD176" s="125"/>
      <c r="BSE176" s="125"/>
      <c r="BSF176" s="125"/>
      <c r="BSG176" s="125"/>
      <c r="BSH176" s="125"/>
      <c r="BSI176" s="125"/>
      <c r="BSJ176" s="125"/>
      <c r="BSK176" s="125"/>
      <c r="BSL176" s="125"/>
      <c r="BSM176" s="125"/>
      <c r="BSN176" s="125"/>
      <c r="BSO176" s="125"/>
      <c r="BSP176" s="125"/>
      <c r="BSQ176" s="125"/>
      <c r="BSR176" s="125"/>
      <c r="BSS176" s="125"/>
      <c r="BST176" s="125"/>
      <c r="BSU176" s="125"/>
      <c r="BSV176" s="125"/>
      <c r="BSW176" s="125"/>
      <c r="BSX176" s="125"/>
      <c r="BSY176" s="125"/>
      <c r="BSZ176" s="125"/>
      <c r="BTA176" s="125"/>
      <c r="BTB176" s="125"/>
      <c r="BTC176" s="125"/>
      <c r="BTD176" s="125"/>
      <c r="BTE176" s="125"/>
      <c r="BTF176" s="125"/>
      <c r="BTG176" s="125"/>
      <c r="BTH176" s="125"/>
      <c r="BTI176" s="125"/>
      <c r="BTJ176" s="125"/>
      <c r="BTK176" s="125"/>
      <c r="BTL176" s="125"/>
      <c r="BTM176" s="125"/>
      <c r="BTN176" s="125"/>
      <c r="BTO176" s="125"/>
      <c r="BTP176" s="125"/>
      <c r="BTQ176" s="125"/>
      <c r="BTR176" s="125"/>
      <c r="BTS176" s="125"/>
      <c r="BTT176" s="125"/>
      <c r="BTU176" s="125"/>
      <c r="BTV176" s="125"/>
      <c r="BTW176" s="125"/>
      <c r="BTX176" s="125"/>
      <c r="BTY176" s="125"/>
      <c r="BTZ176" s="125"/>
      <c r="BUA176" s="125"/>
      <c r="BUB176" s="125"/>
      <c r="BUC176" s="125"/>
      <c r="BUD176" s="125"/>
      <c r="BUE176" s="125"/>
      <c r="BUF176" s="125"/>
      <c r="BUG176" s="125"/>
      <c r="BUH176" s="125"/>
      <c r="BUI176" s="125"/>
      <c r="BUJ176" s="125"/>
      <c r="BUK176" s="125"/>
      <c r="BUL176" s="125"/>
      <c r="BUM176" s="125"/>
      <c r="BUN176" s="125"/>
      <c r="BUO176" s="125"/>
      <c r="BUP176" s="125"/>
      <c r="BUQ176" s="125"/>
      <c r="BUR176" s="125"/>
      <c r="BUS176" s="125"/>
      <c r="BUT176" s="125"/>
      <c r="BUU176" s="125"/>
      <c r="BUV176" s="125"/>
      <c r="BUW176" s="125"/>
      <c r="BUX176" s="125"/>
      <c r="BUY176" s="125"/>
      <c r="BUZ176" s="125"/>
      <c r="BVA176" s="125"/>
      <c r="BVB176" s="125"/>
      <c r="BVC176" s="125"/>
      <c r="BVD176" s="125"/>
      <c r="BVE176" s="125"/>
      <c r="BVF176" s="125"/>
      <c r="BVG176" s="125"/>
      <c r="BVH176" s="125"/>
      <c r="BVI176" s="125"/>
      <c r="BVJ176" s="125"/>
      <c r="BVK176" s="125"/>
      <c r="BVL176" s="125"/>
      <c r="BVM176" s="125"/>
      <c r="BVN176" s="125"/>
      <c r="BVO176" s="125"/>
      <c r="BVP176" s="125"/>
      <c r="BVQ176" s="125"/>
      <c r="BVR176" s="125"/>
      <c r="BVS176" s="125"/>
      <c r="BVT176" s="125"/>
      <c r="BVU176" s="125"/>
      <c r="BVV176" s="125"/>
      <c r="BVW176" s="125"/>
      <c r="BVX176" s="125"/>
      <c r="BVY176" s="125"/>
      <c r="BVZ176" s="125"/>
      <c r="BWA176" s="125"/>
      <c r="BWB176" s="125"/>
      <c r="BWC176" s="125"/>
      <c r="BWD176" s="125"/>
      <c r="BWE176" s="125"/>
      <c r="BWF176" s="125"/>
      <c r="BWG176" s="125"/>
      <c r="BWH176" s="125"/>
      <c r="BWI176" s="125"/>
      <c r="BWJ176" s="125"/>
      <c r="BWK176" s="125"/>
      <c r="BWL176" s="125"/>
      <c r="BWM176" s="125"/>
      <c r="BWN176" s="125"/>
      <c r="BWO176" s="125"/>
      <c r="BWP176" s="125"/>
      <c r="BWQ176" s="125"/>
      <c r="BWR176" s="125"/>
      <c r="BWS176" s="125"/>
      <c r="BWT176" s="125"/>
      <c r="BWU176" s="125"/>
      <c r="BWV176" s="125"/>
      <c r="BWW176" s="125"/>
      <c r="BWX176" s="125"/>
      <c r="BWY176" s="125"/>
      <c r="BWZ176" s="125"/>
      <c r="BXA176" s="125"/>
      <c r="BXB176" s="125"/>
      <c r="BXC176" s="125"/>
      <c r="BXD176" s="125"/>
      <c r="BXE176" s="125"/>
      <c r="BXF176" s="125"/>
      <c r="BXG176" s="125"/>
      <c r="BXH176" s="125"/>
      <c r="BXI176" s="125"/>
      <c r="BXJ176" s="125"/>
      <c r="BXK176" s="125"/>
      <c r="BXL176" s="125"/>
      <c r="BXM176" s="125"/>
      <c r="BXN176" s="125"/>
      <c r="BXO176" s="125"/>
      <c r="BXP176" s="125"/>
      <c r="BXQ176" s="125"/>
      <c r="BXR176" s="125"/>
      <c r="BXS176" s="125"/>
      <c r="BXT176" s="125"/>
      <c r="BXU176" s="125"/>
      <c r="BXV176" s="125"/>
      <c r="BXW176" s="125"/>
      <c r="BXX176" s="125"/>
      <c r="BXY176" s="125"/>
      <c r="BXZ176" s="125"/>
      <c r="BYA176" s="125"/>
      <c r="BYB176" s="125"/>
      <c r="BYC176" s="125"/>
      <c r="BYD176" s="125"/>
      <c r="BYE176" s="125"/>
      <c r="BYF176" s="125"/>
      <c r="BYG176" s="125"/>
      <c r="BYH176" s="125"/>
      <c r="BYI176" s="125"/>
      <c r="BYJ176" s="125"/>
      <c r="BYK176" s="125"/>
      <c r="BYL176" s="125"/>
      <c r="BYM176" s="125"/>
      <c r="BYN176" s="125"/>
      <c r="BYO176" s="125"/>
      <c r="BYP176" s="125"/>
      <c r="BYQ176" s="125"/>
      <c r="BYR176" s="125"/>
      <c r="BYS176" s="125"/>
      <c r="BYT176" s="125"/>
      <c r="BYU176" s="125"/>
      <c r="BYV176" s="125"/>
      <c r="BYW176" s="125"/>
      <c r="BYX176" s="125"/>
      <c r="BYY176" s="125"/>
      <c r="BYZ176" s="125"/>
      <c r="BZA176" s="125"/>
      <c r="BZB176" s="125"/>
      <c r="BZC176" s="125"/>
      <c r="BZD176" s="125"/>
      <c r="BZE176" s="125"/>
      <c r="BZF176" s="125"/>
      <c r="BZG176" s="125"/>
      <c r="BZH176" s="125"/>
      <c r="BZI176" s="125"/>
      <c r="BZJ176" s="125"/>
      <c r="BZK176" s="125"/>
      <c r="BZL176" s="125"/>
      <c r="BZM176" s="125"/>
      <c r="BZN176" s="125"/>
      <c r="BZO176" s="125"/>
      <c r="BZP176" s="125"/>
      <c r="BZQ176" s="125"/>
      <c r="BZR176" s="125"/>
      <c r="BZS176" s="125"/>
      <c r="BZT176" s="125"/>
      <c r="BZU176" s="125"/>
      <c r="BZV176" s="125"/>
      <c r="BZW176" s="125"/>
      <c r="BZX176" s="125"/>
      <c r="BZY176" s="125"/>
      <c r="BZZ176" s="125"/>
      <c r="CAA176" s="125"/>
      <c r="CAB176" s="125"/>
      <c r="CAC176" s="125"/>
      <c r="CAD176" s="125"/>
      <c r="CAE176" s="125"/>
      <c r="CAF176" s="125"/>
      <c r="CAG176" s="125"/>
      <c r="CAH176" s="125"/>
      <c r="CAI176" s="125"/>
      <c r="CAJ176" s="125"/>
      <c r="CAK176" s="125"/>
      <c r="CAL176" s="125"/>
      <c r="CAM176" s="125"/>
      <c r="CAN176" s="125"/>
      <c r="CAO176" s="125"/>
      <c r="CAP176" s="125"/>
      <c r="CAQ176" s="125"/>
      <c r="CAR176" s="125"/>
      <c r="CAS176" s="125"/>
      <c r="CAT176" s="125"/>
      <c r="CAU176" s="125"/>
      <c r="CAV176" s="125"/>
      <c r="CAW176" s="125"/>
      <c r="CAX176" s="125"/>
      <c r="CAY176" s="125"/>
      <c r="CAZ176" s="125"/>
      <c r="CBA176" s="125"/>
      <c r="CBB176" s="125"/>
      <c r="CBC176" s="125"/>
      <c r="CBD176" s="125"/>
      <c r="CBE176" s="125"/>
      <c r="CBF176" s="125"/>
      <c r="CBG176" s="125"/>
      <c r="CBH176" s="125"/>
      <c r="CBI176" s="125"/>
      <c r="CBJ176" s="125"/>
      <c r="CBK176" s="125"/>
      <c r="CBL176" s="125"/>
      <c r="CBM176" s="125"/>
      <c r="CBN176" s="125"/>
      <c r="CBO176" s="125"/>
      <c r="CBP176" s="125"/>
      <c r="CBQ176" s="125"/>
      <c r="CBR176" s="125"/>
      <c r="CBS176" s="125"/>
      <c r="CBT176" s="125"/>
      <c r="CBU176" s="125"/>
      <c r="CBV176" s="125"/>
      <c r="CBW176" s="125"/>
      <c r="CBX176" s="125"/>
      <c r="CBY176" s="125"/>
      <c r="CBZ176" s="125"/>
      <c r="CCA176" s="125"/>
      <c r="CCB176" s="125"/>
      <c r="CCC176" s="125"/>
      <c r="CCD176" s="125"/>
      <c r="CCE176" s="125"/>
      <c r="CCF176" s="125"/>
      <c r="CCG176" s="125"/>
      <c r="CCH176" s="125"/>
      <c r="CCI176" s="125"/>
      <c r="CCJ176" s="125"/>
      <c r="CCK176" s="125"/>
      <c r="CCL176" s="125"/>
      <c r="CCM176" s="125"/>
      <c r="CCN176" s="125"/>
      <c r="CCO176" s="125"/>
      <c r="CCP176" s="125"/>
      <c r="CCQ176" s="125"/>
      <c r="CCR176" s="125"/>
      <c r="CCS176" s="125"/>
      <c r="CCT176" s="125"/>
      <c r="CCU176" s="125"/>
      <c r="CCV176" s="125"/>
      <c r="CCW176" s="125"/>
      <c r="CCX176" s="125"/>
      <c r="CCY176" s="125"/>
      <c r="CCZ176" s="125"/>
      <c r="CDA176" s="125"/>
      <c r="CDB176" s="125"/>
      <c r="CDC176" s="125"/>
      <c r="CDD176" s="125"/>
      <c r="CDE176" s="125"/>
      <c r="CDF176" s="125"/>
      <c r="CDG176" s="125"/>
      <c r="CDH176" s="125"/>
      <c r="CDI176" s="125"/>
      <c r="CDJ176" s="125"/>
      <c r="CDK176" s="125"/>
      <c r="CDL176" s="125"/>
      <c r="CDM176" s="125"/>
      <c r="CDN176" s="125"/>
      <c r="CDO176" s="125"/>
      <c r="CDP176" s="125"/>
      <c r="CDQ176" s="125"/>
      <c r="CDR176" s="125"/>
      <c r="CDS176" s="125"/>
      <c r="CDT176" s="125"/>
      <c r="CDU176" s="125"/>
      <c r="CDV176" s="125"/>
      <c r="CDW176" s="125"/>
      <c r="CDX176" s="125"/>
      <c r="CDY176" s="125"/>
      <c r="CDZ176" s="125"/>
      <c r="CEA176" s="125"/>
      <c r="CEB176" s="125"/>
      <c r="CEC176" s="125"/>
      <c r="CED176" s="125"/>
      <c r="CEE176" s="125"/>
      <c r="CEF176" s="125"/>
      <c r="CEG176" s="125"/>
      <c r="CEH176" s="125"/>
      <c r="CEI176" s="125"/>
      <c r="CEJ176" s="125"/>
      <c r="CEK176" s="125"/>
      <c r="CEL176" s="125"/>
      <c r="CEM176" s="125"/>
      <c r="CEN176" s="125"/>
      <c r="CEO176" s="125"/>
      <c r="CEP176" s="125"/>
      <c r="CEQ176" s="125"/>
      <c r="CER176" s="125"/>
      <c r="CES176" s="125"/>
      <c r="CET176" s="125"/>
      <c r="CEU176" s="125"/>
      <c r="CEV176" s="125"/>
      <c r="CEW176" s="125"/>
      <c r="CEX176" s="125"/>
      <c r="CEY176" s="125"/>
      <c r="CEZ176" s="125"/>
      <c r="CFA176" s="125"/>
      <c r="CFB176" s="125"/>
      <c r="CFC176" s="125"/>
      <c r="CFD176" s="125"/>
      <c r="CFE176" s="125"/>
      <c r="CFF176" s="125"/>
      <c r="CFG176" s="125"/>
      <c r="CFH176" s="125"/>
      <c r="CFI176" s="125"/>
      <c r="CFJ176" s="125"/>
      <c r="CFK176" s="125"/>
      <c r="CFL176" s="125"/>
      <c r="CFM176" s="125"/>
      <c r="CFN176" s="125"/>
      <c r="CFO176" s="125"/>
      <c r="CFP176" s="125"/>
      <c r="CFQ176" s="125"/>
      <c r="CFR176" s="125"/>
      <c r="CFS176" s="125"/>
      <c r="CFT176" s="125"/>
      <c r="CFU176" s="125"/>
      <c r="CFV176" s="125"/>
      <c r="CFW176" s="125"/>
      <c r="CFX176" s="125"/>
      <c r="CFY176" s="125"/>
      <c r="CFZ176" s="125"/>
      <c r="CGA176" s="125"/>
      <c r="CGB176" s="125"/>
      <c r="CGC176" s="125"/>
      <c r="CGD176" s="125"/>
      <c r="CGE176" s="125"/>
      <c r="CGF176" s="125"/>
      <c r="CGG176" s="125"/>
      <c r="CGH176" s="125"/>
      <c r="CGI176" s="125"/>
      <c r="CGJ176" s="125"/>
      <c r="CGK176" s="125"/>
      <c r="CGL176" s="125"/>
      <c r="CGM176" s="125"/>
      <c r="CGN176" s="125"/>
      <c r="CGO176" s="125"/>
      <c r="CGP176" s="125"/>
      <c r="CGQ176" s="125"/>
      <c r="CGR176" s="125"/>
      <c r="CGS176" s="125"/>
      <c r="CGT176" s="125"/>
      <c r="CGU176" s="125"/>
      <c r="CGV176" s="125"/>
      <c r="CGW176" s="125"/>
      <c r="CGX176" s="125"/>
      <c r="CGY176" s="125"/>
      <c r="CGZ176" s="125"/>
      <c r="CHA176" s="125"/>
      <c r="CHB176" s="125"/>
      <c r="CHC176" s="125"/>
      <c r="CHD176" s="125"/>
      <c r="CHE176" s="125"/>
      <c r="CHF176" s="125"/>
      <c r="CHG176" s="125"/>
      <c r="CHH176" s="125"/>
      <c r="CHI176" s="125"/>
      <c r="CHJ176" s="125"/>
      <c r="CHK176" s="125"/>
      <c r="CHL176" s="125"/>
      <c r="CHM176" s="125"/>
      <c r="CHN176" s="125"/>
      <c r="CHO176" s="125"/>
      <c r="CHP176" s="125"/>
      <c r="CHQ176" s="125"/>
      <c r="CHR176" s="125"/>
      <c r="CHS176" s="125"/>
      <c r="CHT176" s="125"/>
      <c r="CHU176" s="125"/>
      <c r="CHV176" s="125"/>
      <c r="CHW176" s="125"/>
      <c r="CHX176" s="125"/>
      <c r="CHY176" s="125"/>
      <c r="CHZ176" s="125"/>
      <c r="CIA176" s="125"/>
      <c r="CIB176" s="125"/>
      <c r="CIC176" s="125"/>
      <c r="CID176" s="125"/>
      <c r="CIE176" s="125"/>
      <c r="CIF176" s="125"/>
      <c r="CIG176" s="125"/>
      <c r="CIH176" s="125"/>
      <c r="CII176" s="125"/>
      <c r="CIJ176" s="125"/>
      <c r="CIK176" s="125"/>
      <c r="CIL176" s="125"/>
      <c r="CIM176" s="125"/>
      <c r="CIN176" s="125"/>
      <c r="CIO176" s="125"/>
      <c r="CIP176" s="125"/>
      <c r="CIQ176" s="125"/>
      <c r="CIR176" s="125"/>
      <c r="CIS176" s="125"/>
      <c r="CIT176" s="125"/>
      <c r="CIU176" s="125"/>
      <c r="CIV176" s="125"/>
      <c r="CIW176" s="125"/>
      <c r="CIX176" s="125"/>
      <c r="CIY176" s="125"/>
      <c r="CIZ176" s="125"/>
      <c r="CJA176" s="125"/>
      <c r="CJB176" s="125"/>
      <c r="CJC176" s="125"/>
      <c r="CJD176" s="125"/>
      <c r="CJE176" s="125"/>
      <c r="CJF176" s="125"/>
      <c r="CJG176" s="125"/>
      <c r="CJH176" s="125"/>
      <c r="CJI176" s="125"/>
      <c r="CJJ176" s="125"/>
      <c r="CJK176" s="125"/>
      <c r="CJL176" s="125"/>
      <c r="CJM176" s="125"/>
      <c r="CJN176" s="125"/>
      <c r="CJO176" s="125"/>
      <c r="CJP176" s="125"/>
      <c r="CJQ176" s="125"/>
      <c r="CJR176" s="125"/>
      <c r="CJS176" s="125"/>
      <c r="CJT176" s="125"/>
      <c r="CJU176" s="125"/>
      <c r="CJV176" s="125"/>
      <c r="CJW176" s="125"/>
      <c r="CJX176" s="125"/>
      <c r="CJY176" s="125"/>
      <c r="CJZ176" s="125"/>
      <c r="CKA176" s="125"/>
      <c r="CKB176" s="125"/>
      <c r="CKC176" s="125"/>
      <c r="CKD176" s="125"/>
      <c r="CKE176" s="125"/>
      <c r="CKF176" s="125"/>
      <c r="CKG176" s="125"/>
      <c r="CKH176" s="125"/>
      <c r="CKI176" s="125"/>
      <c r="CKJ176" s="125"/>
      <c r="CKK176" s="125"/>
      <c r="CKL176" s="125"/>
      <c r="CKM176" s="125"/>
      <c r="CKN176" s="125"/>
      <c r="CKO176" s="125"/>
      <c r="CKP176" s="125"/>
      <c r="CKQ176" s="125"/>
      <c r="CKR176" s="125"/>
      <c r="CKS176" s="125"/>
      <c r="CKT176" s="125"/>
      <c r="CKU176" s="125"/>
      <c r="CKV176" s="125"/>
      <c r="CKW176" s="125"/>
      <c r="CKX176" s="125"/>
      <c r="CKY176" s="125"/>
      <c r="CKZ176" s="125"/>
      <c r="CLA176" s="125"/>
      <c r="CLB176" s="125"/>
      <c r="CLC176" s="125"/>
      <c r="CLD176" s="125"/>
      <c r="CLE176" s="125"/>
      <c r="CLF176" s="125"/>
      <c r="CLG176" s="125"/>
      <c r="CLH176" s="125"/>
      <c r="CLI176" s="125"/>
      <c r="CLJ176" s="125"/>
      <c r="CLK176" s="125"/>
      <c r="CLL176" s="125"/>
      <c r="CLM176" s="125"/>
      <c r="CLN176" s="125"/>
      <c r="CLO176" s="125"/>
      <c r="CLP176" s="125"/>
      <c r="CLQ176" s="125"/>
      <c r="CLR176" s="125"/>
      <c r="CLS176" s="125"/>
      <c r="CLT176" s="125"/>
      <c r="CLU176" s="125"/>
      <c r="CLV176" s="125"/>
      <c r="CLW176" s="125"/>
      <c r="CLX176" s="125"/>
      <c r="CLY176" s="125"/>
      <c r="CLZ176" s="125"/>
      <c r="CMA176" s="125"/>
      <c r="CMB176" s="125"/>
      <c r="CMC176" s="125"/>
      <c r="CMD176" s="125"/>
      <c r="CME176" s="125"/>
      <c r="CMF176" s="125"/>
      <c r="CMG176" s="125"/>
      <c r="CMH176" s="125"/>
      <c r="CMI176" s="125"/>
      <c r="CMJ176" s="125"/>
      <c r="CMK176" s="125"/>
      <c r="CML176" s="125"/>
      <c r="CMM176" s="125"/>
      <c r="CMN176" s="125"/>
      <c r="CMO176" s="125"/>
      <c r="CMP176" s="125"/>
      <c r="CMQ176" s="125"/>
      <c r="CMR176" s="125"/>
      <c r="CMS176" s="125"/>
      <c r="CMT176" s="125"/>
      <c r="CMU176" s="125"/>
      <c r="CMV176" s="125"/>
      <c r="CMW176" s="125"/>
      <c r="CMX176" s="125"/>
      <c r="CMY176" s="125"/>
      <c r="CMZ176" s="125"/>
      <c r="CNA176" s="125"/>
      <c r="CNB176" s="125"/>
      <c r="CNC176" s="125"/>
      <c r="CND176" s="125"/>
      <c r="CNE176" s="125"/>
      <c r="CNF176" s="125"/>
      <c r="CNG176" s="125"/>
      <c r="CNH176" s="125"/>
      <c r="CNI176" s="125"/>
      <c r="CNJ176" s="125"/>
      <c r="CNK176" s="125"/>
      <c r="CNL176" s="125"/>
      <c r="CNM176" s="125"/>
      <c r="CNN176" s="125"/>
      <c r="CNO176" s="125"/>
      <c r="CNP176" s="125"/>
      <c r="CNQ176" s="125"/>
      <c r="CNR176" s="125"/>
      <c r="CNS176" s="125"/>
      <c r="CNT176" s="125"/>
      <c r="CNU176" s="125"/>
      <c r="CNV176" s="125"/>
      <c r="CNW176" s="125"/>
      <c r="CNX176" s="125"/>
      <c r="CNY176" s="125"/>
      <c r="CNZ176" s="125"/>
      <c r="COA176" s="125"/>
      <c r="COB176" s="125"/>
      <c r="COC176" s="125"/>
      <c r="COD176" s="125"/>
      <c r="COE176" s="125"/>
      <c r="COF176" s="125"/>
      <c r="COG176" s="125"/>
      <c r="COH176" s="125"/>
      <c r="COI176" s="125"/>
      <c r="COJ176" s="125"/>
      <c r="COK176" s="125"/>
      <c r="COL176" s="125"/>
      <c r="COM176" s="125"/>
      <c r="CON176" s="125"/>
      <c r="COO176" s="125"/>
      <c r="COP176" s="125"/>
      <c r="COQ176" s="125"/>
      <c r="COR176" s="125"/>
      <c r="COS176" s="125"/>
      <c r="COT176" s="125"/>
      <c r="COU176" s="125"/>
      <c r="COV176" s="125"/>
      <c r="COW176" s="125"/>
      <c r="COX176" s="125"/>
      <c r="COY176" s="125"/>
      <c r="COZ176" s="125"/>
      <c r="CPA176" s="125"/>
      <c r="CPB176" s="125"/>
      <c r="CPC176" s="125"/>
      <c r="CPD176" s="125"/>
      <c r="CPE176" s="125"/>
      <c r="CPF176" s="125"/>
      <c r="CPG176" s="125"/>
      <c r="CPH176" s="125"/>
      <c r="CPI176" s="125"/>
      <c r="CPJ176" s="125"/>
      <c r="CPK176" s="125"/>
      <c r="CPL176" s="125"/>
      <c r="CPM176" s="125"/>
      <c r="CPN176" s="125"/>
      <c r="CPO176" s="125"/>
      <c r="CPP176" s="125"/>
      <c r="CPQ176" s="125"/>
      <c r="CPR176" s="125"/>
      <c r="CPS176" s="125"/>
      <c r="CPT176" s="125"/>
      <c r="CPU176" s="125"/>
      <c r="CPV176" s="125"/>
      <c r="CPW176" s="125"/>
      <c r="CPX176" s="125"/>
      <c r="CPY176" s="125"/>
      <c r="CPZ176" s="125"/>
      <c r="CQA176" s="125"/>
      <c r="CQB176" s="125"/>
      <c r="CQC176" s="125"/>
      <c r="CQD176" s="125"/>
      <c r="CQE176" s="125"/>
      <c r="CQF176" s="125"/>
      <c r="CQG176" s="125"/>
      <c r="CQH176" s="125"/>
      <c r="CQI176" s="125"/>
      <c r="CQJ176" s="125"/>
      <c r="CQK176" s="125"/>
      <c r="CQL176" s="125"/>
      <c r="CQM176" s="125"/>
      <c r="CQN176" s="125"/>
      <c r="CQO176" s="125"/>
      <c r="CQP176" s="125"/>
      <c r="CQQ176" s="125"/>
      <c r="CQR176" s="125"/>
      <c r="CQS176" s="125"/>
      <c r="CQT176" s="125"/>
      <c r="CQU176" s="125"/>
      <c r="CQV176" s="125"/>
      <c r="CQW176" s="125"/>
      <c r="CQX176" s="125"/>
      <c r="CQY176" s="125"/>
      <c r="CQZ176" s="125"/>
      <c r="CRA176" s="125"/>
      <c r="CRB176" s="125"/>
      <c r="CRC176" s="125"/>
      <c r="CRD176" s="125"/>
      <c r="CRE176" s="125"/>
      <c r="CRF176" s="125"/>
      <c r="CRG176" s="125"/>
      <c r="CRH176" s="125"/>
      <c r="CRI176" s="125"/>
      <c r="CRJ176" s="125"/>
      <c r="CRK176" s="125"/>
      <c r="CRL176" s="125"/>
      <c r="CRM176" s="125"/>
      <c r="CRN176" s="125"/>
      <c r="CRO176" s="125"/>
      <c r="CRP176" s="125"/>
      <c r="CRQ176" s="125"/>
      <c r="CRR176" s="125"/>
      <c r="CRS176" s="125"/>
      <c r="CRT176" s="125"/>
      <c r="CRU176" s="125"/>
      <c r="CRV176" s="125"/>
      <c r="CRW176" s="125"/>
      <c r="CRX176" s="125"/>
      <c r="CRY176" s="125"/>
      <c r="CRZ176" s="125"/>
      <c r="CSA176" s="125"/>
      <c r="CSB176" s="125"/>
      <c r="CSC176" s="125"/>
      <c r="CSD176" s="125"/>
      <c r="CSE176" s="125"/>
      <c r="CSF176" s="125"/>
      <c r="CSG176" s="125"/>
      <c r="CSH176" s="125"/>
      <c r="CSI176" s="125"/>
      <c r="CSJ176" s="125"/>
      <c r="CSK176" s="125"/>
      <c r="CSL176" s="125"/>
      <c r="CSM176" s="125"/>
      <c r="CSN176" s="125"/>
      <c r="CSO176" s="125"/>
      <c r="CSP176" s="125"/>
      <c r="CSQ176" s="125"/>
      <c r="CSR176" s="125"/>
      <c r="CSS176" s="125"/>
      <c r="CST176" s="125"/>
      <c r="CSU176" s="125"/>
      <c r="CSV176" s="125"/>
      <c r="CSW176" s="125"/>
      <c r="CSX176" s="125"/>
      <c r="CSY176" s="125"/>
      <c r="CSZ176" s="125"/>
      <c r="CTA176" s="125"/>
      <c r="CTB176" s="125"/>
      <c r="CTC176" s="125"/>
      <c r="CTD176" s="125"/>
      <c r="CTE176" s="125"/>
      <c r="CTF176" s="125"/>
      <c r="CTG176" s="125"/>
      <c r="CTH176" s="125"/>
      <c r="CTI176" s="125"/>
      <c r="CTJ176" s="125"/>
      <c r="CTK176" s="125"/>
      <c r="CTL176" s="125"/>
      <c r="CTM176" s="125"/>
      <c r="CTN176" s="125"/>
      <c r="CTO176" s="125"/>
      <c r="CTP176" s="125"/>
      <c r="CTQ176" s="125"/>
      <c r="CTR176" s="125"/>
      <c r="CTS176" s="125"/>
      <c r="CTT176" s="125"/>
      <c r="CTU176" s="125"/>
      <c r="CTV176" s="125"/>
      <c r="CTW176" s="125"/>
      <c r="CTX176" s="125"/>
      <c r="CTY176" s="125"/>
      <c r="CTZ176" s="125"/>
      <c r="CUA176" s="125"/>
      <c r="CUB176" s="125"/>
      <c r="CUC176" s="125"/>
      <c r="CUD176" s="125"/>
      <c r="CUE176" s="125"/>
      <c r="CUF176" s="125"/>
      <c r="CUG176" s="125"/>
      <c r="CUH176" s="125"/>
      <c r="CUI176" s="125"/>
      <c r="CUJ176" s="125"/>
      <c r="CUK176" s="125"/>
      <c r="CUL176" s="125"/>
      <c r="CUM176" s="125"/>
      <c r="CUN176" s="125"/>
      <c r="CUO176" s="125"/>
      <c r="CUP176" s="125"/>
      <c r="CUQ176" s="125"/>
      <c r="CUR176" s="125"/>
      <c r="CUS176" s="125"/>
      <c r="CUT176" s="125"/>
      <c r="CUU176" s="125"/>
      <c r="CUV176" s="125"/>
      <c r="CUW176" s="125"/>
      <c r="CUX176" s="125"/>
      <c r="CUY176" s="125"/>
      <c r="CUZ176" s="125"/>
      <c r="CVA176" s="125"/>
      <c r="CVB176" s="125"/>
      <c r="CVC176" s="125"/>
      <c r="CVD176" s="125"/>
      <c r="CVE176" s="125"/>
      <c r="CVF176" s="125"/>
      <c r="CVG176" s="125"/>
      <c r="CVH176" s="125"/>
      <c r="CVI176" s="125"/>
      <c r="CVJ176" s="125"/>
      <c r="CVK176" s="125"/>
      <c r="CVL176" s="125"/>
      <c r="CVM176" s="125"/>
      <c r="CVN176" s="125"/>
      <c r="CVO176" s="125"/>
      <c r="CVP176" s="125"/>
      <c r="CVQ176" s="125"/>
      <c r="CVR176" s="125"/>
      <c r="CVS176" s="125"/>
      <c r="CVT176" s="125"/>
      <c r="CVU176" s="125"/>
      <c r="CVV176" s="125"/>
      <c r="CVW176" s="125"/>
      <c r="CVX176" s="125"/>
      <c r="CVY176" s="125"/>
      <c r="CVZ176" s="125"/>
      <c r="CWA176" s="125"/>
      <c r="CWB176" s="125"/>
      <c r="CWC176" s="125"/>
      <c r="CWD176" s="125"/>
      <c r="CWE176" s="125"/>
      <c r="CWF176" s="125"/>
      <c r="CWG176" s="125"/>
      <c r="CWH176" s="125"/>
      <c r="CWI176" s="125"/>
      <c r="CWJ176" s="125"/>
      <c r="CWK176" s="125"/>
      <c r="CWL176" s="125"/>
      <c r="CWM176" s="125"/>
      <c r="CWN176" s="125"/>
      <c r="CWO176" s="125"/>
      <c r="CWP176" s="125"/>
      <c r="CWQ176" s="125"/>
      <c r="CWR176" s="125"/>
      <c r="CWS176" s="125"/>
      <c r="CWT176" s="125"/>
      <c r="CWU176" s="125"/>
      <c r="CWV176" s="125"/>
      <c r="CWW176" s="125"/>
      <c r="CWX176" s="125"/>
      <c r="CWY176" s="125"/>
      <c r="CWZ176" s="125"/>
      <c r="CXA176" s="125"/>
      <c r="CXB176" s="125"/>
      <c r="CXC176" s="125"/>
      <c r="CXD176" s="125"/>
      <c r="CXE176" s="125"/>
      <c r="CXF176" s="125"/>
      <c r="CXG176" s="125"/>
      <c r="CXH176" s="125"/>
      <c r="CXI176" s="125"/>
      <c r="CXJ176" s="125"/>
      <c r="CXK176" s="125"/>
      <c r="CXL176" s="125"/>
      <c r="CXM176" s="125"/>
      <c r="CXN176" s="125"/>
      <c r="CXO176" s="125"/>
      <c r="CXP176" s="125"/>
      <c r="CXQ176" s="125"/>
      <c r="CXR176" s="125"/>
      <c r="CXS176" s="125"/>
      <c r="CXT176" s="125"/>
      <c r="CXU176" s="125"/>
      <c r="CXV176" s="125"/>
      <c r="CXW176" s="125"/>
      <c r="CXX176" s="125"/>
      <c r="CXY176" s="125"/>
      <c r="CXZ176" s="125"/>
      <c r="CYA176" s="125"/>
      <c r="CYB176" s="125"/>
      <c r="CYC176" s="125"/>
      <c r="CYD176" s="125"/>
      <c r="CYE176" s="125"/>
      <c r="CYF176" s="125"/>
      <c r="CYG176" s="125"/>
      <c r="CYH176" s="125"/>
      <c r="CYI176" s="125"/>
      <c r="CYJ176" s="125"/>
      <c r="CYK176" s="125"/>
      <c r="CYL176" s="125"/>
      <c r="CYM176" s="125"/>
      <c r="CYN176" s="125"/>
      <c r="CYO176" s="125"/>
      <c r="CYP176" s="125"/>
      <c r="CYQ176" s="125"/>
      <c r="CYR176" s="125"/>
      <c r="CYS176" s="125"/>
      <c r="CYT176" s="125"/>
      <c r="CYU176" s="125"/>
      <c r="CYV176" s="125"/>
      <c r="CYW176" s="125"/>
      <c r="CYX176" s="125"/>
      <c r="CYY176" s="125"/>
      <c r="CYZ176" s="125"/>
      <c r="CZA176" s="125"/>
      <c r="CZB176" s="125"/>
      <c r="CZC176" s="125"/>
      <c r="CZD176" s="125"/>
      <c r="CZE176" s="125"/>
      <c r="CZF176" s="125"/>
      <c r="CZG176" s="125"/>
      <c r="CZH176" s="125"/>
      <c r="CZI176" s="125"/>
      <c r="CZJ176" s="125"/>
      <c r="CZK176" s="125"/>
      <c r="CZL176" s="125"/>
      <c r="CZM176" s="125"/>
      <c r="CZN176" s="125"/>
      <c r="CZO176" s="125"/>
      <c r="CZP176" s="125"/>
      <c r="CZQ176" s="125"/>
      <c r="CZR176" s="125"/>
      <c r="CZS176" s="125"/>
      <c r="CZT176" s="125"/>
      <c r="CZU176" s="125"/>
      <c r="CZV176" s="125"/>
      <c r="CZW176" s="125"/>
      <c r="CZX176" s="125"/>
      <c r="CZY176" s="125"/>
      <c r="CZZ176" s="125"/>
      <c r="DAA176" s="125"/>
      <c r="DAB176" s="125"/>
      <c r="DAC176" s="125"/>
      <c r="DAD176" s="125"/>
      <c r="DAE176" s="125"/>
      <c r="DAF176" s="125"/>
      <c r="DAG176" s="125"/>
      <c r="DAH176" s="125"/>
      <c r="DAI176" s="125"/>
      <c r="DAJ176" s="125"/>
      <c r="DAK176" s="125"/>
      <c r="DAL176" s="125"/>
      <c r="DAM176" s="125"/>
      <c r="DAN176" s="125"/>
      <c r="DAO176" s="125"/>
      <c r="DAP176" s="125"/>
      <c r="DAQ176" s="125"/>
      <c r="DAR176" s="125"/>
      <c r="DAS176" s="125"/>
      <c r="DAT176" s="125"/>
      <c r="DAU176" s="125"/>
      <c r="DAV176" s="125"/>
      <c r="DAW176" s="125"/>
      <c r="DAX176" s="125"/>
      <c r="DAY176" s="125"/>
      <c r="DAZ176" s="125"/>
      <c r="DBA176" s="125"/>
      <c r="DBB176" s="125"/>
      <c r="DBC176" s="125"/>
      <c r="DBD176" s="125"/>
      <c r="DBE176" s="125"/>
      <c r="DBF176" s="125"/>
      <c r="DBG176" s="125"/>
      <c r="DBH176" s="125"/>
      <c r="DBI176" s="125"/>
      <c r="DBJ176" s="125"/>
      <c r="DBK176" s="125"/>
      <c r="DBL176" s="125"/>
      <c r="DBM176" s="125"/>
      <c r="DBN176" s="125"/>
      <c r="DBO176" s="125"/>
      <c r="DBP176" s="125"/>
      <c r="DBQ176" s="125"/>
      <c r="DBR176" s="125"/>
      <c r="DBS176" s="125"/>
      <c r="DBT176" s="125"/>
      <c r="DBU176" s="125"/>
      <c r="DBV176" s="125"/>
      <c r="DBW176" s="125"/>
      <c r="DBX176" s="125"/>
      <c r="DBY176" s="125"/>
      <c r="DBZ176" s="125"/>
      <c r="DCA176" s="125"/>
      <c r="DCB176" s="125"/>
      <c r="DCC176" s="125"/>
      <c r="DCD176" s="125"/>
      <c r="DCE176" s="125"/>
      <c r="DCF176" s="125"/>
      <c r="DCG176" s="125"/>
      <c r="DCH176" s="125"/>
      <c r="DCI176" s="125"/>
      <c r="DCJ176" s="125"/>
      <c r="DCK176" s="125"/>
      <c r="DCL176" s="125"/>
      <c r="DCM176" s="125"/>
      <c r="DCN176" s="125"/>
      <c r="DCO176" s="125"/>
      <c r="DCP176" s="125"/>
      <c r="DCQ176" s="125"/>
      <c r="DCR176" s="125"/>
      <c r="DCS176" s="125"/>
      <c r="DCT176" s="125"/>
      <c r="DCU176" s="125"/>
      <c r="DCV176" s="125"/>
      <c r="DCW176" s="125"/>
      <c r="DCX176" s="125"/>
      <c r="DCY176" s="125"/>
      <c r="DCZ176" s="125"/>
      <c r="DDA176" s="125"/>
      <c r="DDB176" s="125"/>
      <c r="DDC176" s="125"/>
      <c r="DDD176" s="125"/>
      <c r="DDE176" s="125"/>
      <c r="DDF176" s="125"/>
      <c r="DDG176" s="125"/>
      <c r="DDH176" s="125"/>
      <c r="DDI176" s="125"/>
      <c r="DDJ176" s="125"/>
      <c r="DDK176" s="125"/>
      <c r="DDL176" s="125"/>
      <c r="DDM176" s="125"/>
      <c r="DDN176" s="125"/>
      <c r="DDO176" s="125"/>
      <c r="DDP176" s="125"/>
      <c r="DDQ176" s="125"/>
      <c r="DDR176" s="125"/>
      <c r="DDS176" s="125"/>
      <c r="DDT176" s="125"/>
      <c r="DDU176" s="125"/>
      <c r="DDV176" s="125"/>
      <c r="DDW176" s="125"/>
      <c r="DDX176" s="125"/>
      <c r="DDY176" s="125"/>
      <c r="DDZ176" s="125"/>
      <c r="DEA176" s="125"/>
      <c r="DEB176" s="125"/>
      <c r="DEC176" s="125"/>
      <c r="DED176" s="125"/>
      <c r="DEE176" s="125"/>
      <c r="DEF176" s="125"/>
      <c r="DEG176" s="125"/>
      <c r="DEH176" s="125"/>
      <c r="DEI176" s="125"/>
      <c r="DEJ176" s="125"/>
      <c r="DEK176" s="125"/>
      <c r="DEL176" s="125"/>
      <c r="DEM176" s="125"/>
      <c r="DEN176" s="125"/>
      <c r="DEO176" s="125"/>
      <c r="DEP176" s="125"/>
      <c r="DEQ176" s="125"/>
      <c r="DER176" s="125"/>
      <c r="DES176" s="125"/>
      <c r="DET176" s="125"/>
      <c r="DEU176" s="125"/>
      <c r="DEV176" s="125"/>
      <c r="DEW176" s="125"/>
      <c r="DEX176" s="125"/>
      <c r="DEY176" s="125"/>
      <c r="DEZ176" s="125"/>
      <c r="DFA176" s="125"/>
      <c r="DFB176" s="125"/>
      <c r="DFC176" s="125"/>
      <c r="DFD176" s="125"/>
      <c r="DFE176" s="125"/>
      <c r="DFF176" s="125"/>
      <c r="DFG176" s="125"/>
      <c r="DFH176" s="125"/>
      <c r="DFI176" s="125"/>
      <c r="DFJ176" s="125"/>
      <c r="DFK176" s="125"/>
      <c r="DFL176" s="125"/>
      <c r="DFM176" s="125"/>
      <c r="DFN176" s="125"/>
      <c r="DFO176" s="125"/>
      <c r="DFP176" s="125"/>
      <c r="DFQ176" s="125"/>
      <c r="DFR176" s="125"/>
      <c r="DFS176" s="125"/>
      <c r="DFT176" s="125"/>
      <c r="DFU176" s="125"/>
      <c r="DFV176" s="125"/>
      <c r="DFW176" s="125"/>
      <c r="DFX176" s="125"/>
      <c r="DFY176" s="125"/>
      <c r="DFZ176" s="125"/>
      <c r="DGA176" s="125"/>
      <c r="DGB176" s="125"/>
      <c r="DGC176" s="125"/>
      <c r="DGD176" s="125"/>
      <c r="DGE176" s="125"/>
      <c r="DGF176" s="125"/>
      <c r="DGG176" s="125"/>
      <c r="DGH176" s="125"/>
      <c r="DGI176" s="125"/>
      <c r="DGJ176" s="125"/>
      <c r="DGK176" s="125"/>
      <c r="DGL176" s="125"/>
      <c r="DGM176" s="125"/>
      <c r="DGN176" s="125"/>
      <c r="DGO176" s="125"/>
      <c r="DGP176" s="125"/>
      <c r="DGQ176" s="125"/>
      <c r="DGR176" s="125"/>
      <c r="DGS176" s="125"/>
      <c r="DGT176" s="125"/>
      <c r="DGU176" s="125"/>
      <c r="DGV176" s="125"/>
      <c r="DGW176" s="125"/>
      <c r="DGX176" s="125"/>
      <c r="DGY176" s="125"/>
      <c r="DGZ176" s="125"/>
      <c r="DHA176" s="125"/>
      <c r="DHB176" s="125"/>
      <c r="DHC176" s="125"/>
      <c r="DHD176" s="125"/>
      <c r="DHE176" s="125"/>
      <c r="DHF176" s="125"/>
      <c r="DHG176" s="125"/>
      <c r="DHH176" s="125"/>
      <c r="DHI176" s="125"/>
      <c r="DHJ176" s="125"/>
      <c r="DHK176" s="125"/>
      <c r="DHL176" s="125"/>
      <c r="DHM176" s="125"/>
      <c r="DHN176" s="125"/>
      <c r="DHO176" s="125"/>
      <c r="DHP176" s="125"/>
      <c r="DHQ176" s="125"/>
      <c r="DHR176" s="125"/>
      <c r="DHS176" s="125"/>
      <c r="DHT176" s="125"/>
      <c r="DHU176" s="125"/>
      <c r="DHV176" s="125"/>
      <c r="DHW176" s="125"/>
      <c r="DHX176" s="125"/>
      <c r="DHY176" s="125"/>
      <c r="DHZ176" s="125"/>
      <c r="DIA176" s="125"/>
      <c r="DIB176" s="125"/>
      <c r="DIC176" s="125"/>
      <c r="DID176" s="125"/>
      <c r="DIE176" s="125"/>
      <c r="DIF176" s="125"/>
      <c r="DIG176" s="125"/>
      <c r="DIH176" s="125"/>
      <c r="DII176" s="125"/>
      <c r="DIJ176" s="125"/>
      <c r="DIK176" s="125"/>
      <c r="DIL176" s="125"/>
      <c r="DIM176" s="125"/>
      <c r="DIN176" s="125"/>
      <c r="DIO176" s="125"/>
      <c r="DIP176" s="125"/>
      <c r="DIQ176" s="125"/>
      <c r="DIR176" s="125"/>
      <c r="DIS176" s="125"/>
      <c r="DIT176" s="125"/>
      <c r="DIU176" s="125"/>
      <c r="DIV176" s="125"/>
      <c r="DIW176" s="125"/>
      <c r="DIX176" s="125"/>
      <c r="DIY176" s="125"/>
      <c r="DIZ176" s="125"/>
      <c r="DJA176" s="125"/>
      <c r="DJB176" s="125"/>
      <c r="DJC176" s="125"/>
      <c r="DJD176" s="125"/>
      <c r="DJE176" s="125"/>
      <c r="DJF176" s="125"/>
      <c r="DJG176" s="125"/>
      <c r="DJH176" s="125"/>
      <c r="DJI176" s="125"/>
      <c r="DJJ176" s="125"/>
      <c r="DJK176" s="125"/>
      <c r="DJL176" s="125"/>
      <c r="DJM176" s="125"/>
      <c r="DJN176" s="125"/>
      <c r="DJO176" s="125"/>
      <c r="DJP176" s="125"/>
      <c r="DJQ176" s="125"/>
      <c r="DJR176" s="125"/>
      <c r="DJS176" s="125"/>
      <c r="DJT176" s="125"/>
      <c r="DJU176" s="125"/>
      <c r="DJV176" s="125"/>
      <c r="DJW176" s="125"/>
      <c r="DJX176" s="125"/>
      <c r="DJY176" s="125"/>
      <c r="DJZ176" s="125"/>
      <c r="DKA176" s="125"/>
      <c r="DKB176" s="125"/>
      <c r="DKC176" s="125"/>
      <c r="DKD176" s="125"/>
      <c r="DKE176" s="125"/>
      <c r="DKF176" s="125"/>
      <c r="DKG176" s="125"/>
      <c r="DKH176" s="125"/>
      <c r="DKI176" s="125"/>
      <c r="DKJ176" s="125"/>
      <c r="DKK176" s="125"/>
      <c r="DKL176" s="125"/>
      <c r="DKM176" s="125"/>
      <c r="DKN176" s="125"/>
      <c r="DKO176" s="125"/>
      <c r="DKP176" s="125"/>
      <c r="DKQ176" s="125"/>
      <c r="DKR176" s="125"/>
      <c r="DKS176" s="125"/>
      <c r="DKT176" s="125"/>
      <c r="DKU176" s="125"/>
      <c r="DKV176" s="125"/>
      <c r="DKW176" s="125"/>
      <c r="DKX176" s="125"/>
      <c r="DKY176" s="125"/>
      <c r="DKZ176" s="125"/>
      <c r="DLA176" s="125"/>
      <c r="DLB176" s="125"/>
      <c r="DLC176" s="125"/>
      <c r="DLD176" s="125"/>
      <c r="DLE176" s="125"/>
      <c r="DLF176" s="125"/>
      <c r="DLG176" s="125"/>
      <c r="DLH176" s="125"/>
      <c r="DLI176" s="125"/>
      <c r="DLJ176" s="125"/>
      <c r="DLK176" s="125"/>
      <c r="DLL176" s="125"/>
      <c r="DLM176" s="125"/>
      <c r="DLN176" s="125"/>
      <c r="DLO176" s="125"/>
      <c r="DLP176" s="125"/>
      <c r="DLQ176" s="125"/>
      <c r="DLR176" s="125"/>
      <c r="DLS176" s="125"/>
      <c r="DLT176" s="125"/>
      <c r="DLU176" s="125"/>
      <c r="DLV176" s="125"/>
      <c r="DLW176" s="125"/>
      <c r="DLX176" s="125"/>
      <c r="DLY176" s="125"/>
      <c r="DLZ176" s="125"/>
      <c r="DMA176" s="125"/>
      <c r="DMB176" s="125"/>
      <c r="DMC176" s="125"/>
      <c r="DMD176" s="125"/>
      <c r="DME176" s="125"/>
      <c r="DMF176" s="125"/>
      <c r="DMG176" s="125"/>
      <c r="DMH176" s="125"/>
      <c r="DMI176" s="125"/>
      <c r="DMJ176" s="125"/>
      <c r="DMK176" s="125"/>
      <c r="DML176" s="125"/>
      <c r="DMM176" s="125"/>
      <c r="DMN176" s="125"/>
      <c r="DMO176" s="125"/>
      <c r="DMP176" s="125"/>
      <c r="DMQ176" s="125"/>
      <c r="DMR176" s="125"/>
      <c r="DMS176" s="125"/>
      <c r="DMT176" s="125"/>
      <c r="DMU176" s="125"/>
      <c r="DMV176" s="125"/>
      <c r="DMW176" s="125"/>
      <c r="DMX176" s="125"/>
      <c r="DMY176" s="125"/>
      <c r="DMZ176" s="125"/>
      <c r="DNA176" s="125"/>
      <c r="DNB176" s="125"/>
      <c r="DNC176" s="125"/>
      <c r="DND176" s="125"/>
      <c r="DNE176" s="125"/>
      <c r="DNF176" s="125"/>
      <c r="DNG176" s="125"/>
      <c r="DNH176" s="125"/>
      <c r="DNI176" s="125"/>
      <c r="DNJ176" s="125"/>
      <c r="DNK176" s="125"/>
      <c r="DNL176" s="125"/>
      <c r="DNM176" s="125"/>
      <c r="DNN176" s="125"/>
      <c r="DNO176" s="125"/>
      <c r="DNP176" s="125"/>
      <c r="DNQ176" s="125"/>
      <c r="DNR176" s="125"/>
      <c r="DNS176" s="125"/>
      <c r="DNT176" s="125"/>
      <c r="DNU176" s="125"/>
      <c r="DNV176" s="125"/>
      <c r="DNW176" s="125"/>
      <c r="DNX176" s="125"/>
      <c r="DNY176" s="125"/>
      <c r="DNZ176" s="125"/>
      <c r="DOA176" s="125"/>
      <c r="DOB176" s="125"/>
      <c r="DOC176" s="125"/>
      <c r="DOD176" s="125"/>
      <c r="DOE176" s="125"/>
      <c r="DOF176" s="125"/>
      <c r="DOG176" s="125"/>
      <c r="DOH176" s="125"/>
      <c r="DOI176" s="125"/>
      <c r="DOJ176" s="125"/>
      <c r="DOK176" s="125"/>
      <c r="DOL176" s="125"/>
      <c r="DOM176" s="125"/>
      <c r="DON176" s="125"/>
      <c r="DOO176" s="125"/>
      <c r="DOP176" s="125"/>
      <c r="DOQ176" s="125"/>
      <c r="DOR176" s="125"/>
      <c r="DOS176" s="125"/>
      <c r="DOT176" s="125"/>
      <c r="DOU176" s="125"/>
      <c r="DOV176" s="125"/>
      <c r="DOW176" s="125"/>
      <c r="DOX176" s="125"/>
      <c r="DOY176" s="125"/>
      <c r="DOZ176" s="125"/>
      <c r="DPA176" s="125"/>
      <c r="DPB176" s="125"/>
      <c r="DPC176" s="125"/>
      <c r="DPD176" s="125"/>
      <c r="DPE176" s="125"/>
      <c r="DPF176" s="125"/>
      <c r="DPG176" s="125"/>
      <c r="DPH176" s="125"/>
      <c r="DPI176" s="125"/>
      <c r="DPJ176" s="125"/>
      <c r="DPK176" s="125"/>
      <c r="DPL176" s="125"/>
      <c r="DPM176" s="125"/>
      <c r="DPN176" s="125"/>
      <c r="DPO176" s="125"/>
      <c r="DPP176" s="125"/>
      <c r="DPQ176" s="125"/>
      <c r="DPR176" s="125"/>
      <c r="DPS176" s="125"/>
      <c r="DPT176" s="125"/>
      <c r="DPU176" s="125"/>
      <c r="DPV176" s="125"/>
      <c r="DPW176" s="125"/>
      <c r="DPX176" s="125"/>
      <c r="DPY176" s="125"/>
      <c r="DPZ176" s="125"/>
      <c r="DQA176" s="125"/>
      <c r="DQB176" s="125"/>
      <c r="DQC176" s="125"/>
      <c r="DQD176" s="125"/>
      <c r="DQE176" s="125"/>
      <c r="DQF176" s="125"/>
      <c r="DQG176" s="125"/>
      <c r="DQH176" s="125"/>
      <c r="DQI176" s="125"/>
      <c r="DQJ176" s="125"/>
      <c r="DQK176" s="125"/>
      <c r="DQL176" s="125"/>
      <c r="DQM176" s="125"/>
      <c r="DQN176" s="125"/>
      <c r="DQO176" s="125"/>
      <c r="DQP176" s="125"/>
      <c r="DQQ176" s="125"/>
      <c r="DQR176" s="125"/>
      <c r="DQS176" s="125"/>
      <c r="DQT176" s="125"/>
      <c r="DQU176" s="125"/>
      <c r="DQV176" s="125"/>
      <c r="DQW176" s="125"/>
      <c r="DQX176" s="125"/>
      <c r="DQY176" s="125"/>
      <c r="DQZ176" s="125"/>
      <c r="DRA176" s="125"/>
      <c r="DRB176" s="125"/>
      <c r="DRC176" s="125"/>
      <c r="DRD176" s="125"/>
      <c r="DRE176" s="125"/>
      <c r="DRF176" s="125"/>
      <c r="DRG176" s="125"/>
      <c r="DRH176" s="125"/>
      <c r="DRI176" s="125"/>
      <c r="DRJ176" s="125"/>
      <c r="DRK176" s="125"/>
      <c r="DRL176" s="125"/>
      <c r="DRM176" s="125"/>
      <c r="DRN176" s="125"/>
      <c r="DRO176" s="125"/>
      <c r="DRP176" s="125"/>
      <c r="DRQ176" s="125"/>
      <c r="DRR176" s="125"/>
      <c r="DRS176" s="125"/>
      <c r="DRT176" s="125"/>
      <c r="DRU176" s="125"/>
      <c r="DRV176" s="125"/>
      <c r="DRW176" s="125"/>
      <c r="DRX176" s="125"/>
      <c r="DRY176" s="125"/>
      <c r="DRZ176" s="125"/>
      <c r="DSA176" s="125"/>
      <c r="DSB176" s="125"/>
      <c r="DSC176" s="125"/>
      <c r="DSD176" s="125"/>
      <c r="DSE176" s="125"/>
      <c r="DSF176" s="125"/>
      <c r="DSG176" s="125"/>
      <c r="DSH176" s="125"/>
      <c r="DSI176" s="125"/>
      <c r="DSJ176" s="125"/>
      <c r="DSK176" s="125"/>
      <c r="DSL176" s="125"/>
      <c r="DSM176" s="125"/>
      <c r="DSN176" s="125"/>
      <c r="DSO176" s="125"/>
      <c r="DSP176" s="125"/>
      <c r="DSQ176" s="125"/>
      <c r="DSR176" s="125"/>
      <c r="DSS176" s="125"/>
      <c r="DST176" s="125"/>
      <c r="DSU176" s="125"/>
      <c r="DSV176" s="125"/>
      <c r="DSW176" s="125"/>
      <c r="DSX176" s="125"/>
      <c r="DSY176" s="125"/>
      <c r="DSZ176" s="125"/>
      <c r="DTA176" s="125"/>
      <c r="DTB176" s="125"/>
      <c r="DTC176" s="125"/>
      <c r="DTD176" s="125"/>
      <c r="DTE176" s="125"/>
      <c r="DTF176" s="125"/>
      <c r="DTG176" s="125"/>
      <c r="DTH176" s="125"/>
      <c r="DTI176" s="125"/>
      <c r="DTJ176" s="125"/>
      <c r="DTK176" s="125"/>
      <c r="DTL176" s="125"/>
      <c r="DTM176" s="125"/>
      <c r="DTN176" s="125"/>
      <c r="DTO176" s="125"/>
      <c r="DTP176" s="125"/>
      <c r="DTQ176" s="125"/>
      <c r="DTR176" s="125"/>
      <c r="DTS176" s="125"/>
      <c r="DTT176" s="125"/>
      <c r="DTU176" s="125"/>
      <c r="DTV176" s="125"/>
      <c r="DTW176" s="125"/>
      <c r="DTX176" s="125"/>
      <c r="DTY176" s="125"/>
      <c r="DTZ176" s="125"/>
      <c r="DUA176" s="125"/>
      <c r="DUB176" s="125"/>
      <c r="DUC176" s="125"/>
      <c r="DUD176" s="125"/>
      <c r="DUE176" s="125"/>
      <c r="DUF176" s="125"/>
      <c r="DUG176" s="125"/>
      <c r="DUH176" s="125"/>
      <c r="DUI176" s="125"/>
      <c r="DUJ176" s="125"/>
      <c r="DUK176" s="125"/>
      <c r="DUL176" s="125"/>
      <c r="DUM176" s="125"/>
      <c r="DUN176" s="125"/>
      <c r="DUO176" s="125"/>
      <c r="DUP176" s="125"/>
      <c r="DUQ176" s="125"/>
      <c r="DUR176" s="125"/>
      <c r="DUS176" s="125"/>
      <c r="DUT176" s="125"/>
      <c r="DUU176" s="125"/>
      <c r="DUV176" s="125"/>
      <c r="DUW176" s="125"/>
      <c r="DUX176" s="125"/>
      <c r="DUY176" s="125"/>
      <c r="DUZ176" s="125"/>
      <c r="DVA176" s="125"/>
      <c r="DVB176" s="125"/>
      <c r="DVC176" s="125"/>
      <c r="DVD176" s="125"/>
      <c r="DVE176" s="125"/>
      <c r="DVF176" s="125"/>
      <c r="DVG176" s="125"/>
      <c r="DVH176" s="125"/>
      <c r="DVI176" s="125"/>
      <c r="DVJ176" s="125"/>
      <c r="DVK176" s="125"/>
      <c r="DVL176" s="125"/>
      <c r="DVM176" s="125"/>
      <c r="DVN176" s="125"/>
      <c r="DVO176" s="125"/>
      <c r="DVP176" s="125"/>
      <c r="DVQ176" s="125"/>
      <c r="DVR176" s="125"/>
      <c r="DVS176" s="125"/>
      <c r="DVT176" s="125"/>
      <c r="DVU176" s="125"/>
      <c r="DVV176" s="125"/>
      <c r="DVW176" s="125"/>
      <c r="DVX176" s="125"/>
      <c r="DVY176" s="125"/>
      <c r="DVZ176" s="125"/>
      <c r="DWA176" s="125"/>
      <c r="DWB176" s="125"/>
      <c r="DWC176" s="125"/>
      <c r="DWD176" s="125"/>
      <c r="DWE176" s="125"/>
      <c r="DWF176" s="125"/>
      <c r="DWG176" s="125"/>
      <c r="DWH176" s="125"/>
      <c r="DWI176" s="125"/>
      <c r="DWJ176" s="125"/>
      <c r="DWK176" s="125"/>
      <c r="DWL176" s="125"/>
      <c r="DWM176" s="125"/>
      <c r="DWN176" s="125"/>
      <c r="DWO176" s="125"/>
      <c r="DWP176" s="125"/>
      <c r="DWQ176" s="125"/>
      <c r="DWR176" s="125"/>
      <c r="DWS176" s="125"/>
      <c r="DWT176" s="125"/>
      <c r="DWU176" s="125"/>
      <c r="DWV176" s="125"/>
      <c r="DWW176" s="125"/>
      <c r="DWX176" s="125"/>
      <c r="DWY176" s="125"/>
      <c r="DWZ176" s="125"/>
      <c r="DXA176" s="125"/>
      <c r="DXB176" s="125"/>
      <c r="DXC176" s="125"/>
      <c r="DXD176" s="125"/>
      <c r="DXE176" s="125"/>
      <c r="DXF176" s="125"/>
      <c r="DXG176" s="125"/>
      <c r="DXH176" s="125"/>
      <c r="DXI176" s="125"/>
      <c r="DXJ176" s="125"/>
      <c r="DXK176" s="125"/>
      <c r="DXL176" s="125"/>
      <c r="DXM176" s="125"/>
      <c r="DXN176" s="125"/>
      <c r="DXO176" s="125"/>
      <c r="DXP176" s="125"/>
      <c r="DXQ176" s="125"/>
      <c r="DXR176" s="125"/>
      <c r="DXS176" s="125"/>
      <c r="DXT176" s="125"/>
      <c r="DXU176" s="125"/>
      <c r="DXV176" s="125"/>
      <c r="DXW176" s="125"/>
      <c r="DXX176" s="125"/>
      <c r="DXY176" s="125"/>
      <c r="DXZ176" s="125"/>
      <c r="DYA176" s="125"/>
      <c r="DYB176" s="125"/>
      <c r="DYC176" s="125"/>
      <c r="DYD176" s="125"/>
      <c r="DYE176" s="125"/>
      <c r="DYF176" s="125"/>
      <c r="DYG176" s="125"/>
      <c r="DYH176" s="125"/>
      <c r="DYI176" s="125"/>
      <c r="DYJ176" s="125"/>
      <c r="DYK176" s="125"/>
      <c r="DYL176" s="125"/>
      <c r="DYM176" s="125"/>
      <c r="DYN176" s="125"/>
      <c r="DYO176" s="125"/>
      <c r="DYP176" s="125"/>
      <c r="DYQ176" s="125"/>
      <c r="DYR176" s="125"/>
      <c r="DYS176" s="125"/>
      <c r="DYT176" s="125"/>
      <c r="DYU176" s="125"/>
      <c r="DYV176" s="125"/>
      <c r="DYW176" s="125"/>
      <c r="DYX176" s="125"/>
      <c r="DYY176" s="125"/>
      <c r="DYZ176" s="125"/>
      <c r="DZA176" s="125"/>
      <c r="DZB176" s="125"/>
      <c r="DZC176" s="125"/>
      <c r="DZD176" s="125"/>
      <c r="DZE176" s="125"/>
      <c r="DZF176" s="125"/>
      <c r="DZG176" s="125"/>
      <c r="DZH176" s="125"/>
      <c r="DZI176" s="125"/>
      <c r="DZJ176" s="125"/>
      <c r="DZK176" s="125"/>
      <c r="DZL176" s="125"/>
      <c r="DZM176" s="125"/>
      <c r="DZN176" s="125"/>
      <c r="DZO176" s="125"/>
      <c r="DZP176" s="125"/>
      <c r="DZQ176" s="125"/>
      <c r="DZR176" s="125"/>
      <c r="DZS176" s="125"/>
      <c r="DZT176" s="125"/>
      <c r="DZU176" s="125"/>
      <c r="DZV176" s="125"/>
      <c r="DZW176" s="125"/>
      <c r="DZX176" s="125"/>
      <c r="DZY176" s="125"/>
      <c r="DZZ176" s="125"/>
      <c r="EAA176" s="125"/>
      <c r="EAB176" s="125"/>
      <c r="EAC176" s="125"/>
      <c r="EAD176" s="125"/>
      <c r="EAE176" s="125"/>
      <c r="EAF176" s="125"/>
      <c r="EAG176" s="125"/>
      <c r="EAH176" s="125"/>
      <c r="EAI176" s="125"/>
      <c r="EAJ176" s="125"/>
      <c r="EAK176" s="125"/>
      <c r="EAL176" s="125"/>
      <c r="EAM176" s="125"/>
      <c r="EAN176" s="125"/>
      <c r="EAO176" s="125"/>
      <c r="EAP176" s="125"/>
      <c r="EAQ176" s="125"/>
      <c r="EAR176" s="125"/>
      <c r="EAS176" s="125"/>
      <c r="EAT176" s="125"/>
      <c r="EAU176" s="125"/>
      <c r="EAV176" s="125"/>
      <c r="EAW176" s="125"/>
      <c r="EAX176" s="125"/>
      <c r="EAY176" s="125"/>
      <c r="EAZ176" s="125"/>
      <c r="EBA176" s="125"/>
      <c r="EBB176" s="125"/>
      <c r="EBC176" s="125"/>
      <c r="EBD176" s="125"/>
      <c r="EBE176" s="125"/>
      <c r="EBF176" s="125"/>
      <c r="EBG176" s="125"/>
      <c r="EBH176" s="125"/>
      <c r="EBI176" s="125"/>
      <c r="EBJ176" s="125"/>
      <c r="EBK176" s="125"/>
      <c r="EBL176" s="125"/>
      <c r="EBM176" s="125"/>
      <c r="EBN176" s="125"/>
      <c r="EBO176" s="125"/>
      <c r="EBP176" s="125"/>
      <c r="EBQ176" s="125"/>
      <c r="EBR176" s="125"/>
      <c r="EBS176" s="125"/>
      <c r="EBT176" s="125"/>
      <c r="EBU176" s="125"/>
      <c r="EBV176" s="125"/>
      <c r="EBW176" s="125"/>
      <c r="EBX176" s="125"/>
      <c r="EBY176" s="125"/>
      <c r="EBZ176" s="125"/>
      <c r="ECA176" s="125"/>
      <c r="ECB176" s="125"/>
      <c r="ECC176" s="125"/>
      <c r="ECD176" s="125"/>
      <c r="ECE176" s="125"/>
      <c r="ECF176" s="125"/>
      <c r="ECG176" s="125"/>
      <c r="ECH176" s="125"/>
      <c r="ECI176" s="125"/>
      <c r="ECJ176" s="125"/>
      <c r="ECK176" s="125"/>
      <c r="ECL176" s="125"/>
      <c r="ECM176" s="125"/>
      <c r="ECN176" s="125"/>
      <c r="ECO176" s="125"/>
      <c r="ECP176" s="125"/>
      <c r="ECQ176" s="125"/>
      <c r="ECR176" s="125"/>
      <c r="ECS176" s="125"/>
      <c r="ECT176" s="125"/>
      <c r="ECU176" s="125"/>
      <c r="ECV176" s="125"/>
      <c r="ECW176" s="125"/>
      <c r="ECX176" s="125"/>
      <c r="ECY176" s="125"/>
      <c r="ECZ176" s="125"/>
      <c r="EDA176" s="125"/>
      <c r="EDB176" s="125"/>
      <c r="EDC176" s="125"/>
      <c r="EDD176" s="125"/>
      <c r="EDE176" s="125"/>
      <c r="EDF176" s="125"/>
      <c r="EDG176" s="125"/>
      <c r="EDH176" s="125"/>
      <c r="EDI176" s="125"/>
      <c r="EDJ176" s="125"/>
      <c r="EDK176" s="125"/>
      <c r="EDL176" s="125"/>
      <c r="EDM176" s="125"/>
      <c r="EDN176" s="125"/>
      <c r="EDO176" s="125"/>
      <c r="EDP176" s="125"/>
      <c r="EDQ176" s="125"/>
      <c r="EDR176" s="125"/>
      <c r="EDS176" s="125"/>
      <c r="EDT176" s="125"/>
      <c r="EDU176" s="125"/>
      <c r="EDV176" s="125"/>
      <c r="EDW176" s="125"/>
      <c r="EDX176" s="125"/>
      <c r="EDY176" s="125"/>
      <c r="EDZ176" s="125"/>
      <c r="EEA176" s="125"/>
      <c r="EEB176" s="125"/>
      <c r="EEC176" s="125"/>
      <c r="EED176" s="125"/>
      <c r="EEE176" s="125"/>
      <c r="EEF176" s="125"/>
      <c r="EEG176" s="125"/>
      <c r="EEH176" s="125"/>
      <c r="EEI176" s="125"/>
      <c r="EEJ176" s="125"/>
      <c r="EEK176" s="125"/>
      <c r="EEL176" s="125"/>
      <c r="EEM176" s="125"/>
      <c r="EEN176" s="125"/>
      <c r="EEO176" s="125"/>
      <c r="EEP176" s="125"/>
      <c r="EEQ176" s="125"/>
      <c r="EER176" s="125"/>
      <c r="EES176" s="125"/>
      <c r="EET176" s="125"/>
      <c r="EEU176" s="125"/>
      <c r="EEV176" s="125"/>
      <c r="EEW176" s="125"/>
      <c r="EEX176" s="125"/>
      <c r="EEY176" s="125"/>
      <c r="EEZ176" s="125"/>
      <c r="EFA176" s="125"/>
      <c r="EFB176" s="125"/>
      <c r="EFC176" s="125"/>
      <c r="EFD176" s="125"/>
      <c r="EFE176" s="125"/>
      <c r="EFF176" s="125"/>
      <c r="EFG176" s="125"/>
      <c r="EFH176" s="125"/>
      <c r="EFI176" s="125"/>
      <c r="EFJ176" s="125"/>
      <c r="EFK176" s="125"/>
      <c r="EFL176" s="125"/>
      <c r="EFM176" s="125"/>
      <c r="EFN176" s="125"/>
      <c r="EFO176" s="125"/>
      <c r="EFP176" s="125"/>
      <c r="EFQ176" s="125"/>
      <c r="EFR176" s="125"/>
      <c r="EFS176" s="125"/>
      <c r="EFT176" s="125"/>
      <c r="EFU176" s="125"/>
      <c r="EFV176" s="125"/>
      <c r="EFW176" s="125"/>
      <c r="EFX176" s="125"/>
      <c r="EFY176" s="125"/>
      <c r="EFZ176" s="125"/>
      <c r="EGA176" s="125"/>
      <c r="EGB176" s="125"/>
      <c r="EGC176" s="125"/>
      <c r="EGD176" s="125"/>
      <c r="EGE176" s="125"/>
      <c r="EGF176" s="125"/>
      <c r="EGG176" s="125"/>
      <c r="EGH176" s="125"/>
      <c r="EGI176" s="125"/>
      <c r="EGJ176" s="125"/>
      <c r="EGK176" s="125"/>
      <c r="EGL176" s="125"/>
      <c r="EGM176" s="125"/>
      <c r="EGN176" s="125"/>
      <c r="EGO176" s="125"/>
      <c r="EGP176" s="125"/>
      <c r="EGQ176" s="125"/>
      <c r="EGR176" s="125"/>
      <c r="EGS176" s="125"/>
      <c r="EGT176" s="125"/>
      <c r="EGU176" s="125"/>
      <c r="EGV176" s="125"/>
      <c r="EGW176" s="125"/>
      <c r="EGX176" s="125"/>
      <c r="EGY176" s="125"/>
      <c r="EGZ176" s="125"/>
      <c r="EHA176" s="125"/>
      <c r="EHB176" s="125"/>
      <c r="EHC176" s="125"/>
      <c r="EHD176" s="125"/>
      <c r="EHE176" s="125"/>
      <c r="EHF176" s="125"/>
      <c r="EHG176" s="125"/>
      <c r="EHH176" s="125"/>
      <c r="EHI176" s="125"/>
      <c r="EHJ176" s="125"/>
      <c r="EHK176" s="125"/>
      <c r="EHL176" s="125"/>
      <c r="EHM176" s="125"/>
      <c r="EHN176" s="125"/>
      <c r="EHO176" s="125"/>
      <c r="EHP176" s="125"/>
      <c r="EHQ176" s="125"/>
      <c r="EHR176" s="125"/>
      <c r="EHS176" s="125"/>
      <c r="EHT176" s="125"/>
      <c r="EHU176" s="125"/>
      <c r="EHV176" s="125"/>
      <c r="EHW176" s="125"/>
      <c r="EHX176" s="125"/>
      <c r="EHY176" s="125"/>
      <c r="EHZ176" s="125"/>
      <c r="EIA176" s="125"/>
      <c r="EIB176" s="125"/>
      <c r="EIC176" s="125"/>
      <c r="EID176" s="125"/>
      <c r="EIE176" s="125"/>
      <c r="EIF176" s="125"/>
      <c r="EIG176" s="125"/>
      <c r="EIH176" s="125"/>
      <c r="EII176" s="125"/>
      <c r="EIJ176" s="125"/>
      <c r="EIK176" s="125"/>
      <c r="EIL176" s="125"/>
      <c r="EIM176" s="125"/>
      <c r="EIN176" s="125"/>
      <c r="EIO176" s="125"/>
      <c r="EIP176" s="125"/>
      <c r="EIQ176" s="125"/>
      <c r="EIR176" s="125"/>
      <c r="EIS176" s="125"/>
      <c r="EIT176" s="125"/>
      <c r="EIU176" s="125"/>
      <c r="EIV176" s="125"/>
      <c r="EIW176" s="125"/>
      <c r="EIX176" s="125"/>
      <c r="EIY176" s="125"/>
      <c r="EIZ176" s="125"/>
      <c r="EJA176" s="125"/>
      <c r="EJB176" s="125"/>
      <c r="EJC176" s="125"/>
      <c r="EJD176" s="125"/>
      <c r="EJE176" s="125"/>
      <c r="EJF176" s="125"/>
      <c r="EJG176" s="125"/>
      <c r="EJH176" s="125"/>
      <c r="EJI176" s="125"/>
      <c r="EJJ176" s="125"/>
      <c r="EJK176" s="125"/>
      <c r="EJL176" s="125"/>
      <c r="EJM176" s="125"/>
      <c r="EJN176" s="125"/>
      <c r="EJO176" s="125"/>
      <c r="EJP176" s="125"/>
      <c r="EJQ176" s="125"/>
      <c r="EJR176" s="125"/>
      <c r="EJS176" s="125"/>
      <c r="EJT176" s="125"/>
      <c r="EJU176" s="125"/>
      <c r="EJV176" s="125"/>
      <c r="EJW176" s="125"/>
      <c r="EJX176" s="125"/>
      <c r="EJY176" s="125"/>
      <c r="EJZ176" s="125"/>
      <c r="EKA176" s="125"/>
      <c r="EKB176" s="125"/>
      <c r="EKC176" s="125"/>
      <c r="EKD176" s="125"/>
      <c r="EKE176" s="125"/>
      <c r="EKF176" s="125"/>
      <c r="EKG176" s="125"/>
      <c r="EKH176" s="125"/>
      <c r="EKI176" s="125"/>
      <c r="EKJ176" s="125"/>
      <c r="EKK176" s="125"/>
      <c r="EKL176" s="125"/>
      <c r="EKM176" s="125"/>
      <c r="EKN176" s="125"/>
      <c r="EKO176" s="125"/>
      <c r="EKP176" s="125"/>
      <c r="EKQ176" s="125"/>
      <c r="EKR176" s="125"/>
      <c r="EKS176" s="125"/>
      <c r="EKT176" s="125"/>
      <c r="EKU176" s="125"/>
      <c r="EKV176" s="125"/>
      <c r="EKW176" s="125"/>
      <c r="EKX176" s="125"/>
      <c r="EKY176" s="125"/>
      <c r="EKZ176" s="125"/>
      <c r="ELA176" s="125"/>
      <c r="ELB176" s="125"/>
      <c r="ELC176" s="125"/>
      <c r="ELD176" s="125"/>
      <c r="ELE176" s="125"/>
      <c r="ELF176" s="125"/>
      <c r="ELG176" s="125"/>
      <c r="ELH176" s="125"/>
      <c r="ELI176" s="125"/>
      <c r="ELJ176" s="125"/>
      <c r="ELK176" s="125"/>
      <c r="ELL176" s="125"/>
      <c r="ELM176" s="125"/>
      <c r="ELN176" s="125"/>
      <c r="ELO176" s="125"/>
      <c r="ELP176" s="125"/>
      <c r="ELQ176" s="125"/>
      <c r="ELR176" s="125"/>
      <c r="ELS176" s="125"/>
      <c r="ELT176" s="125"/>
      <c r="ELU176" s="125"/>
      <c r="ELV176" s="125"/>
      <c r="ELW176" s="125"/>
      <c r="ELX176" s="125"/>
      <c r="ELY176" s="125"/>
      <c r="ELZ176" s="125"/>
      <c r="EMA176" s="125"/>
      <c r="EMB176" s="125"/>
      <c r="EMC176" s="125"/>
      <c r="EMD176" s="125"/>
      <c r="EME176" s="125"/>
      <c r="EMF176" s="125"/>
      <c r="EMG176" s="125"/>
      <c r="EMH176" s="125"/>
      <c r="EMI176" s="125"/>
      <c r="EMJ176" s="125"/>
      <c r="EMK176" s="125"/>
      <c r="EML176" s="125"/>
      <c r="EMM176" s="125"/>
      <c r="EMN176" s="125"/>
      <c r="EMO176" s="125"/>
      <c r="EMP176" s="125"/>
      <c r="EMQ176" s="125"/>
      <c r="EMR176" s="125"/>
      <c r="EMS176" s="125"/>
      <c r="EMT176" s="125"/>
      <c r="EMU176" s="125"/>
      <c r="EMV176" s="125"/>
      <c r="EMW176" s="125"/>
      <c r="EMX176" s="125"/>
      <c r="EMY176" s="125"/>
      <c r="EMZ176" s="125"/>
      <c r="ENA176" s="125"/>
      <c r="ENB176" s="125"/>
      <c r="ENC176" s="125"/>
      <c r="END176" s="125"/>
      <c r="ENE176" s="125"/>
      <c r="ENF176" s="125"/>
      <c r="ENG176" s="125"/>
      <c r="ENH176" s="125"/>
      <c r="ENI176" s="125"/>
      <c r="ENJ176" s="125"/>
      <c r="ENK176" s="125"/>
      <c r="ENL176" s="125"/>
      <c r="ENM176" s="125"/>
      <c r="ENN176" s="125"/>
      <c r="ENO176" s="125"/>
      <c r="ENP176" s="125"/>
      <c r="ENQ176" s="125"/>
      <c r="ENR176" s="125"/>
      <c r="ENS176" s="125"/>
      <c r="ENT176" s="125"/>
      <c r="ENU176" s="125"/>
      <c r="ENV176" s="125"/>
      <c r="ENW176" s="125"/>
      <c r="ENX176" s="125"/>
      <c r="ENY176" s="125"/>
      <c r="ENZ176" s="125"/>
      <c r="EOA176" s="125"/>
      <c r="EOB176" s="125"/>
      <c r="EOC176" s="125"/>
      <c r="EOD176" s="125"/>
      <c r="EOE176" s="125"/>
      <c r="EOF176" s="125"/>
      <c r="EOG176" s="125"/>
      <c r="EOH176" s="125"/>
      <c r="EOI176" s="125"/>
      <c r="EOJ176" s="125"/>
      <c r="EOK176" s="125"/>
      <c r="EOL176" s="125"/>
      <c r="EOM176" s="125"/>
      <c r="EON176" s="125"/>
      <c r="EOO176" s="125"/>
      <c r="EOP176" s="125"/>
      <c r="EOQ176" s="125"/>
      <c r="EOR176" s="125"/>
      <c r="EOS176" s="125"/>
      <c r="EOT176" s="125"/>
      <c r="EOU176" s="125"/>
      <c r="EOV176" s="125"/>
      <c r="EOW176" s="125"/>
      <c r="EOX176" s="125"/>
      <c r="EOY176" s="125"/>
      <c r="EOZ176" s="125"/>
      <c r="EPA176" s="125"/>
      <c r="EPB176" s="125"/>
      <c r="EPC176" s="125"/>
      <c r="EPD176" s="125"/>
      <c r="EPE176" s="125"/>
      <c r="EPF176" s="125"/>
      <c r="EPG176" s="125"/>
      <c r="EPH176" s="125"/>
      <c r="EPI176" s="125"/>
      <c r="EPJ176" s="125"/>
      <c r="EPK176" s="125"/>
      <c r="EPL176" s="125"/>
      <c r="EPM176" s="125"/>
      <c r="EPN176" s="125"/>
      <c r="EPO176" s="125"/>
      <c r="EPP176" s="125"/>
      <c r="EPQ176" s="125"/>
      <c r="EPR176" s="125"/>
      <c r="EPS176" s="125"/>
      <c r="EPT176" s="125"/>
      <c r="EPU176" s="125"/>
      <c r="EPV176" s="125"/>
      <c r="EPW176" s="125"/>
      <c r="EPX176" s="125"/>
      <c r="EPY176" s="125"/>
      <c r="EPZ176" s="125"/>
      <c r="EQA176" s="125"/>
      <c r="EQB176" s="125"/>
      <c r="EQC176" s="125"/>
      <c r="EQD176" s="125"/>
      <c r="EQE176" s="125"/>
      <c r="EQF176" s="125"/>
      <c r="EQG176" s="125"/>
      <c r="EQH176" s="125"/>
      <c r="EQI176" s="125"/>
      <c r="EQJ176" s="125"/>
      <c r="EQK176" s="125"/>
      <c r="EQL176" s="125"/>
      <c r="EQM176" s="125"/>
      <c r="EQN176" s="125"/>
      <c r="EQO176" s="125"/>
      <c r="EQP176" s="125"/>
      <c r="EQQ176" s="125"/>
      <c r="EQR176" s="125"/>
      <c r="EQS176" s="125"/>
      <c r="EQT176" s="125"/>
      <c r="EQU176" s="125"/>
      <c r="EQV176" s="125"/>
      <c r="EQW176" s="125"/>
      <c r="EQX176" s="125"/>
      <c r="EQY176" s="125"/>
      <c r="EQZ176" s="125"/>
      <c r="ERA176" s="125"/>
      <c r="ERB176" s="125"/>
      <c r="ERC176" s="125"/>
      <c r="ERD176" s="125"/>
      <c r="ERE176" s="125"/>
      <c r="ERF176" s="125"/>
      <c r="ERG176" s="125"/>
      <c r="ERH176" s="125"/>
      <c r="ERI176" s="125"/>
      <c r="ERJ176" s="125"/>
      <c r="ERK176" s="125"/>
      <c r="ERL176" s="125"/>
      <c r="ERM176" s="125"/>
      <c r="ERN176" s="125"/>
      <c r="ERO176" s="125"/>
      <c r="ERP176" s="125"/>
      <c r="ERQ176" s="125"/>
      <c r="ERR176" s="125"/>
      <c r="ERS176" s="125"/>
      <c r="ERT176" s="125"/>
      <c r="ERU176" s="125"/>
      <c r="ERV176" s="125"/>
      <c r="ERW176" s="125"/>
      <c r="ERX176" s="125"/>
      <c r="ERY176" s="125"/>
      <c r="ERZ176" s="125"/>
      <c r="ESA176" s="125"/>
      <c r="ESB176" s="125"/>
      <c r="ESC176" s="125"/>
      <c r="ESD176" s="125"/>
      <c r="ESE176" s="125"/>
      <c r="ESF176" s="125"/>
      <c r="ESG176" s="125"/>
      <c r="ESH176" s="125"/>
      <c r="ESI176" s="125"/>
      <c r="ESJ176" s="125"/>
      <c r="ESK176" s="125"/>
      <c r="ESL176" s="125"/>
      <c r="ESM176" s="125"/>
      <c r="ESN176" s="125"/>
      <c r="ESO176" s="125"/>
      <c r="ESP176" s="125"/>
      <c r="ESQ176" s="125"/>
      <c r="ESR176" s="125"/>
      <c r="ESS176" s="125"/>
      <c r="EST176" s="125"/>
      <c r="ESU176" s="125"/>
      <c r="ESV176" s="125"/>
      <c r="ESW176" s="125"/>
      <c r="ESX176" s="125"/>
      <c r="ESY176" s="125"/>
      <c r="ESZ176" s="125"/>
      <c r="ETA176" s="125"/>
      <c r="ETB176" s="125"/>
      <c r="ETC176" s="125"/>
      <c r="ETD176" s="125"/>
      <c r="ETE176" s="125"/>
      <c r="ETF176" s="125"/>
      <c r="ETG176" s="125"/>
      <c r="ETH176" s="125"/>
      <c r="ETI176" s="125"/>
      <c r="ETJ176" s="125"/>
      <c r="ETK176" s="125"/>
      <c r="ETL176" s="125"/>
      <c r="ETM176" s="125"/>
      <c r="ETN176" s="125"/>
      <c r="ETO176" s="125"/>
      <c r="ETP176" s="125"/>
      <c r="ETQ176" s="125"/>
      <c r="ETR176" s="125"/>
      <c r="ETS176" s="125"/>
      <c r="ETT176" s="125"/>
      <c r="ETU176" s="125"/>
      <c r="ETV176" s="125"/>
      <c r="ETW176" s="125"/>
      <c r="ETX176" s="125"/>
      <c r="ETY176" s="125"/>
      <c r="ETZ176" s="125"/>
      <c r="EUA176" s="125"/>
      <c r="EUB176" s="125"/>
      <c r="EUC176" s="125"/>
      <c r="EUD176" s="125"/>
      <c r="EUE176" s="125"/>
      <c r="EUF176" s="125"/>
      <c r="EUG176" s="125"/>
      <c r="EUH176" s="125"/>
      <c r="EUI176" s="125"/>
      <c r="EUJ176" s="125"/>
      <c r="EUK176" s="125"/>
      <c r="EUL176" s="125"/>
      <c r="EUM176" s="125"/>
      <c r="EUN176" s="125"/>
      <c r="EUO176" s="125"/>
      <c r="EUP176" s="125"/>
      <c r="EUQ176" s="125"/>
      <c r="EUR176" s="125"/>
      <c r="EUS176" s="125"/>
      <c r="EUT176" s="125"/>
      <c r="EUU176" s="125"/>
      <c r="EUV176" s="125"/>
      <c r="EUW176" s="125"/>
      <c r="EUX176" s="125"/>
      <c r="EUY176" s="125"/>
      <c r="EUZ176" s="125"/>
      <c r="EVA176" s="125"/>
      <c r="EVB176" s="125"/>
      <c r="EVC176" s="125"/>
      <c r="EVD176" s="125"/>
      <c r="EVE176" s="125"/>
      <c r="EVF176" s="125"/>
      <c r="EVG176" s="125"/>
      <c r="EVH176" s="125"/>
      <c r="EVI176" s="125"/>
      <c r="EVJ176" s="125"/>
      <c r="EVK176" s="125"/>
      <c r="EVL176" s="125"/>
      <c r="EVM176" s="125"/>
      <c r="EVN176" s="125"/>
      <c r="EVO176" s="125"/>
      <c r="EVP176" s="125"/>
      <c r="EVQ176" s="125"/>
      <c r="EVR176" s="125"/>
      <c r="EVS176" s="125"/>
      <c r="EVT176" s="125"/>
      <c r="EVU176" s="125"/>
      <c r="EVV176" s="125"/>
      <c r="EVW176" s="125"/>
      <c r="EVX176" s="125"/>
      <c r="EVY176" s="125"/>
      <c r="EVZ176" s="125"/>
      <c r="EWA176" s="125"/>
      <c r="EWB176" s="125"/>
      <c r="EWC176" s="125"/>
      <c r="EWD176" s="125"/>
      <c r="EWE176" s="125"/>
      <c r="EWF176" s="125"/>
      <c r="EWG176" s="125"/>
      <c r="EWH176" s="125"/>
      <c r="EWI176" s="125"/>
      <c r="EWJ176" s="125"/>
      <c r="EWK176" s="125"/>
      <c r="EWL176" s="125"/>
      <c r="EWM176" s="125"/>
      <c r="EWN176" s="125"/>
      <c r="EWO176" s="125"/>
      <c r="EWP176" s="125"/>
      <c r="EWQ176" s="125"/>
      <c r="EWR176" s="125"/>
      <c r="EWS176" s="125"/>
      <c r="EWT176" s="125"/>
      <c r="EWU176" s="125"/>
      <c r="EWV176" s="125"/>
      <c r="EWW176" s="125"/>
      <c r="EWX176" s="125"/>
      <c r="EWY176" s="125"/>
      <c r="EWZ176" s="125"/>
      <c r="EXA176" s="125"/>
      <c r="EXB176" s="125"/>
      <c r="EXC176" s="125"/>
      <c r="EXD176" s="125"/>
      <c r="EXE176" s="125"/>
      <c r="EXF176" s="125"/>
      <c r="EXG176" s="125"/>
      <c r="EXH176" s="125"/>
      <c r="EXI176" s="125"/>
      <c r="EXJ176" s="125"/>
      <c r="EXK176" s="125"/>
      <c r="EXL176" s="125"/>
      <c r="EXM176" s="125"/>
      <c r="EXN176" s="125"/>
      <c r="EXO176" s="125"/>
      <c r="EXP176" s="125"/>
      <c r="EXQ176" s="125"/>
      <c r="EXR176" s="125"/>
      <c r="EXS176" s="125"/>
      <c r="EXT176" s="125"/>
      <c r="EXU176" s="125"/>
      <c r="EXV176" s="125"/>
      <c r="EXW176" s="125"/>
      <c r="EXX176" s="125"/>
      <c r="EXY176" s="125"/>
      <c r="EXZ176" s="125"/>
      <c r="EYA176" s="125"/>
      <c r="EYB176" s="125"/>
      <c r="EYC176" s="125"/>
      <c r="EYD176" s="125"/>
      <c r="EYE176" s="125"/>
      <c r="EYF176" s="125"/>
      <c r="EYG176" s="125"/>
      <c r="EYH176" s="125"/>
      <c r="EYI176" s="125"/>
      <c r="EYJ176" s="125"/>
      <c r="EYK176" s="125"/>
      <c r="EYL176" s="125"/>
      <c r="EYM176" s="125"/>
      <c r="EYN176" s="125"/>
      <c r="EYO176" s="125"/>
      <c r="EYP176" s="125"/>
      <c r="EYQ176" s="125"/>
      <c r="EYR176" s="125"/>
      <c r="EYS176" s="125"/>
      <c r="EYT176" s="125"/>
      <c r="EYU176" s="125"/>
      <c r="EYV176" s="125"/>
      <c r="EYW176" s="125"/>
      <c r="EYX176" s="125"/>
      <c r="EYY176" s="125"/>
      <c r="EYZ176" s="125"/>
      <c r="EZA176" s="125"/>
      <c r="EZB176" s="125"/>
      <c r="EZC176" s="125"/>
      <c r="EZD176" s="125"/>
      <c r="EZE176" s="125"/>
      <c r="EZF176" s="125"/>
      <c r="EZG176" s="125"/>
      <c r="EZH176" s="125"/>
      <c r="EZI176" s="125"/>
      <c r="EZJ176" s="125"/>
      <c r="EZK176" s="125"/>
      <c r="EZL176" s="125"/>
      <c r="EZM176" s="125"/>
      <c r="EZN176" s="125"/>
      <c r="EZO176" s="125"/>
      <c r="EZP176" s="125"/>
      <c r="EZQ176" s="125"/>
      <c r="EZR176" s="125"/>
      <c r="EZS176" s="125"/>
      <c r="EZT176" s="125"/>
      <c r="EZU176" s="125"/>
      <c r="EZV176" s="125"/>
      <c r="EZW176" s="125"/>
      <c r="EZX176" s="125"/>
      <c r="EZY176" s="125"/>
      <c r="EZZ176" s="125"/>
      <c r="FAA176" s="125"/>
      <c r="FAB176" s="125"/>
      <c r="FAC176" s="125"/>
      <c r="FAD176" s="125"/>
      <c r="FAE176" s="125"/>
      <c r="FAF176" s="125"/>
      <c r="FAG176" s="125"/>
      <c r="FAH176" s="125"/>
      <c r="FAI176" s="125"/>
      <c r="FAJ176" s="125"/>
      <c r="FAK176" s="125"/>
      <c r="FAL176" s="125"/>
      <c r="FAM176" s="125"/>
      <c r="FAN176" s="125"/>
      <c r="FAO176" s="125"/>
      <c r="FAP176" s="125"/>
      <c r="FAQ176" s="125"/>
      <c r="FAR176" s="125"/>
      <c r="FAS176" s="125"/>
      <c r="FAT176" s="125"/>
      <c r="FAU176" s="125"/>
      <c r="FAV176" s="125"/>
      <c r="FAW176" s="125"/>
      <c r="FAX176" s="125"/>
      <c r="FAY176" s="125"/>
      <c r="FAZ176" s="125"/>
      <c r="FBA176" s="125"/>
      <c r="FBB176" s="125"/>
      <c r="FBC176" s="125"/>
      <c r="FBD176" s="125"/>
      <c r="FBE176" s="125"/>
      <c r="FBF176" s="125"/>
      <c r="FBG176" s="125"/>
      <c r="FBH176" s="125"/>
      <c r="FBI176" s="125"/>
      <c r="FBJ176" s="125"/>
      <c r="FBK176" s="125"/>
      <c r="FBL176" s="125"/>
      <c r="FBM176" s="125"/>
      <c r="FBN176" s="125"/>
      <c r="FBO176" s="125"/>
      <c r="FBP176" s="125"/>
      <c r="FBQ176" s="125"/>
      <c r="FBR176" s="125"/>
      <c r="FBS176" s="125"/>
      <c r="FBT176" s="125"/>
      <c r="FBU176" s="125"/>
      <c r="FBV176" s="125"/>
      <c r="FBW176" s="125"/>
      <c r="FBX176" s="125"/>
      <c r="FBY176" s="125"/>
      <c r="FBZ176" s="125"/>
      <c r="FCA176" s="125"/>
      <c r="FCB176" s="125"/>
      <c r="FCC176" s="125"/>
      <c r="FCD176" s="125"/>
      <c r="FCE176" s="125"/>
      <c r="FCF176" s="125"/>
      <c r="FCG176" s="125"/>
      <c r="FCH176" s="125"/>
      <c r="FCI176" s="125"/>
      <c r="FCJ176" s="125"/>
      <c r="FCK176" s="125"/>
      <c r="FCL176" s="125"/>
      <c r="FCM176" s="125"/>
      <c r="FCN176" s="125"/>
      <c r="FCO176" s="125"/>
      <c r="FCP176" s="125"/>
      <c r="FCQ176" s="125"/>
      <c r="FCR176" s="125"/>
      <c r="FCS176" s="125"/>
      <c r="FCT176" s="125"/>
      <c r="FCU176" s="125"/>
      <c r="FCV176" s="125"/>
      <c r="FCW176" s="125"/>
      <c r="FCX176" s="125"/>
      <c r="FCY176" s="125"/>
      <c r="FCZ176" s="125"/>
      <c r="FDA176" s="125"/>
      <c r="FDB176" s="125"/>
      <c r="FDC176" s="125"/>
      <c r="FDD176" s="125"/>
      <c r="FDE176" s="125"/>
      <c r="FDF176" s="125"/>
      <c r="FDG176" s="125"/>
      <c r="FDH176" s="125"/>
      <c r="FDI176" s="125"/>
      <c r="FDJ176" s="125"/>
      <c r="FDK176" s="125"/>
      <c r="FDL176" s="125"/>
      <c r="FDM176" s="125"/>
      <c r="FDN176" s="125"/>
      <c r="FDO176" s="125"/>
      <c r="FDP176" s="125"/>
      <c r="FDQ176" s="125"/>
      <c r="FDR176" s="125"/>
      <c r="FDS176" s="125"/>
      <c r="FDT176" s="125"/>
      <c r="FDU176" s="125"/>
      <c r="FDV176" s="125"/>
      <c r="FDW176" s="125"/>
      <c r="FDX176" s="125"/>
      <c r="FDY176" s="125"/>
      <c r="FDZ176" s="125"/>
      <c r="FEA176" s="125"/>
      <c r="FEB176" s="125"/>
      <c r="FEC176" s="125"/>
      <c r="FED176" s="125"/>
      <c r="FEE176" s="125"/>
      <c r="FEF176" s="125"/>
      <c r="FEG176" s="125"/>
      <c r="FEH176" s="125"/>
      <c r="FEI176" s="125"/>
      <c r="FEJ176" s="125"/>
      <c r="FEK176" s="125"/>
      <c r="FEL176" s="125"/>
      <c r="FEM176" s="125"/>
      <c r="FEN176" s="125"/>
      <c r="FEO176" s="125"/>
      <c r="FEP176" s="125"/>
      <c r="FEQ176" s="125"/>
      <c r="FER176" s="125"/>
      <c r="FES176" s="125"/>
      <c r="FET176" s="125"/>
      <c r="FEU176" s="125"/>
      <c r="FEV176" s="125"/>
      <c r="FEW176" s="125"/>
      <c r="FEX176" s="125"/>
      <c r="FEY176" s="125"/>
      <c r="FEZ176" s="125"/>
      <c r="FFA176" s="125"/>
      <c r="FFB176" s="125"/>
      <c r="FFC176" s="125"/>
      <c r="FFD176" s="125"/>
      <c r="FFE176" s="125"/>
      <c r="FFF176" s="125"/>
      <c r="FFG176" s="125"/>
      <c r="FFH176" s="125"/>
      <c r="FFI176" s="125"/>
      <c r="FFJ176" s="125"/>
      <c r="FFK176" s="125"/>
      <c r="FFL176" s="125"/>
      <c r="FFM176" s="125"/>
      <c r="FFN176" s="125"/>
      <c r="FFO176" s="125"/>
      <c r="FFP176" s="125"/>
      <c r="FFQ176" s="125"/>
      <c r="FFR176" s="125"/>
      <c r="FFS176" s="125"/>
      <c r="FFT176" s="125"/>
      <c r="FFU176" s="125"/>
      <c r="FFV176" s="125"/>
      <c r="FFW176" s="125"/>
      <c r="FFX176" s="125"/>
      <c r="FFY176" s="125"/>
      <c r="FFZ176" s="125"/>
      <c r="FGA176" s="125"/>
      <c r="FGB176" s="125"/>
      <c r="FGC176" s="125"/>
      <c r="FGD176" s="125"/>
      <c r="FGE176" s="125"/>
      <c r="FGF176" s="125"/>
      <c r="FGG176" s="125"/>
      <c r="FGH176" s="125"/>
      <c r="FGI176" s="125"/>
      <c r="FGJ176" s="125"/>
      <c r="FGK176" s="125"/>
      <c r="FGL176" s="125"/>
      <c r="FGM176" s="125"/>
      <c r="FGN176" s="125"/>
      <c r="FGO176" s="125"/>
      <c r="FGP176" s="125"/>
      <c r="FGQ176" s="125"/>
      <c r="FGR176" s="125"/>
      <c r="FGS176" s="125"/>
      <c r="FGT176" s="125"/>
      <c r="FGU176" s="125"/>
      <c r="FGV176" s="125"/>
      <c r="FGW176" s="125"/>
      <c r="FGX176" s="125"/>
      <c r="FGY176" s="125"/>
      <c r="FGZ176" s="125"/>
      <c r="FHA176" s="125"/>
      <c r="FHB176" s="125"/>
      <c r="FHC176" s="125"/>
      <c r="FHD176" s="125"/>
      <c r="FHE176" s="125"/>
      <c r="FHF176" s="125"/>
      <c r="FHG176" s="125"/>
      <c r="FHH176" s="125"/>
      <c r="FHI176" s="125"/>
      <c r="FHJ176" s="125"/>
      <c r="FHK176" s="125"/>
      <c r="FHL176" s="125"/>
      <c r="FHM176" s="125"/>
      <c r="FHN176" s="125"/>
      <c r="FHO176" s="125"/>
      <c r="FHP176" s="125"/>
      <c r="FHQ176" s="125"/>
      <c r="FHR176" s="125"/>
      <c r="FHS176" s="125"/>
      <c r="FHT176" s="125"/>
      <c r="FHU176" s="125"/>
      <c r="FHV176" s="125"/>
      <c r="FHW176" s="125"/>
      <c r="FHX176" s="125"/>
      <c r="FHY176" s="125"/>
      <c r="FHZ176" s="125"/>
      <c r="FIA176" s="125"/>
      <c r="FIB176" s="125"/>
      <c r="FIC176" s="125"/>
      <c r="FID176" s="125"/>
      <c r="FIE176" s="125"/>
      <c r="FIF176" s="125"/>
      <c r="FIG176" s="125"/>
      <c r="FIH176" s="125"/>
      <c r="FII176" s="125"/>
      <c r="FIJ176" s="125"/>
      <c r="FIK176" s="125"/>
      <c r="FIL176" s="125"/>
      <c r="FIM176" s="125"/>
      <c r="FIN176" s="125"/>
      <c r="FIO176" s="125"/>
      <c r="FIP176" s="125"/>
      <c r="FIQ176" s="125"/>
      <c r="FIR176" s="125"/>
      <c r="FIS176" s="125"/>
      <c r="FIT176" s="125"/>
      <c r="FIU176" s="125"/>
      <c r="FIV176" s="125"/>
      <c r="FIW176" s="125"/>
      <c r="FIX176" s="125"/>
      <c r="FIY176" s="125"/>
      <c r="FIZ176" s="125"/>
      <c r="FJA176" s="125"/>
      <c r="FJB176" s="125"/>
      <c r="FJC176" s="125"/>
      <c r="FJD176" s="125"/>
      <c r="FJE176" s="125"/>
      <c r="FJF176" s="125"/>
      <c r="FJG176" s="125"/>
      <c r="FJH176" s="125"/>
      <c r="FJI176" s="125"/>
      <c r="FJJ176" s="125"/>
      <c r="FJK176" s="125"/>
      <c r="FJL176" s="125"/>
      <c r="FJM176" s="125"/>
      <c r="FJN176" s="125"/>
      <c r="FJO176" s="125"/>
      <c r="FJP176" s="125"/>
      <c r="FJQ176" s="125"/>
      <c r="FJR176" s="125"/>
      <c r="FJS176" s="125"/>
      <c r="FJT176" s="125"/>
      <c r="FJU176" s="125"/>
      <c r="FJV176" s="125"/>
      <c r="FJW176" s="125"/>
      <c r="FJX176" s="125"/>
      <c r="FJY176" s="125"/>
      <c r="FJZ176" s="125"/>
      <c r="FKA176" s="125"/>
      <c r="FKB176" s="125"/>
      <c r="FKC176" s="125"/>
      <c r="FKD176" s="125"/>
      <c r="FKE176" s="125"/>
      <c r="FKF176" s="125"/>
      <c r="FKG176" s="125"/>
      <c r="FKH176" s="125"/>
      <c r="FKI176" s="125"/>
      <c r="FKJ176" s="125"/>
      <c r="FKK176" s="125"/>
      <c r="FKL176" s="125"/>
      <c r="FKM176" s="125"/>
      <c r="FKN176" s="125"/>
      <c r="FKO176" s="125"/>
      <c r="FKP176" s="125"/>
      <c r="FKQ176" s="125"/>
      <c r="FKR176" s="125"/>
      <c r="FKS176" s="125"/>
      <c r="FKT176" s="125"/>
      <c r="FKU176" s="125"/>
      <c r="FKV176" s="125"/>
      <c r="FKW176" s="125"/>
      <c r="FKX176" s="125"/>
      <c r="FKY176" s="125"/>
      <c r="FKZ176" s="125"/>
      <c r="FLA176" s="125"/>
      <c r="FLB176" s="125"/>
      <c r="FLC176" s="125"/>
      <c r="FLD176" s="125"/>
      <c r="FLE176" s="125"/>
      <c r="FLF176" s="125"/>
      <c r="FLG176" s="125"/>
      <c r="FLH176" s="125"/>
      <c r="FLI176" s="125"/>
      <c r="FLJ176" s="125"/>
      <c r="FLK176" s="125"/>
      <c r="FLL176" s="125"/>
      <c r="FLM176" s="125"/>
      <c r="FLN176" s="125"/>
      <c r="FLO176" s="125"/>
      <c r="FLP176" s="125"/>
      <c r="FLQ176" s="125"/>
      <c r="FLR176" s="125"/>
      <c r="FLS176" s="125"/>
      <c r="FLT176" s="125"/>
      <c r="FLU176" s="125"/>
      <c r="FLV176" s="125"/>
      <c r="FLW176" s="125"/>
      <c r="FLX176" s="125"/>
      <c r="FLY176" s="125"/>
      <c r="FLZ176" s="125"/>
      <c r="FMA176" s="125"/>
      <c r="FMB176" s="125"/>
      <c r="FMC176" s="125"/>
      <c r="FMD176" s="125"/>
      <c r="FME176" s="125"/>
      <c r="FMF176" s="125"/>
      <c r="FMG176" s="125"/>
      <c r="FMH176" s="125"/>
      <c r="FMI176" s="125"/>
      <c r="FMJ176" s="125"/>
      <c r="FMK176" s="125"/>
      <c r="FML176" s="125"/>
      <c r="FMM176" s="125"/>
      <c r="FMN176" s="125"/>
      <c r="FMO176" s="125"/>
      <c r="FMP176" s="125"/>
      <c r="FMQ176" s="125"/>
      <c r="FMR176" s="125"/>
      <c r="FMS176" s="125"/>
      <c r="FMT176" s="125"/>
      <c r="FMU176" s="125"/>
      <c r="FMV176" s="125"/>
      <c r="FMW176" s="125"/>
      <c r="FMX176" s="125"/>
      <c r="FMY176" s="125"/>
      <c r="FMZ176" s="125"/>
      <c r="FNA176" s="125"/>
      <c r="FNB176" s="125"/>
      <c r="FNC176" s="125"/>
      <c r="FND176" s="125"/>
      <c r="FNE176" s="125"/>
      <c r="FNF176" s="125"/>
      <c r="FNG176" s="125"/>
      <c r="FNH176" s="125"/>
      <c r="FNI176" s="125"/>
      <c r="FNJ176" s="125"/>
      <c r="FNK176" s="125"/>
      <c r="FNL176" s="125"/>
      <c r="FNM176" s="125"/>
      <c r="FNN176" s="125"/>
      <c r="FNO176" s="125"/>
      <c r="FNP176" s="125"/>
      <c r="FNQ176" s="125"/>
      <c r="FNR176" s="125"/>
      <c r="FNS176" s="125"/>
      <c r="FNT176" s="125"/>
      <c r="FNU176" s="125"/>
      <c r="FNV176" s="125"/>
      <c r="FNW176" s="125"/>
      <c r="FNX176" s="125"/>
      <c r="FNY176" s="125"/>
      <c r="FNZ176" s="125"/>
      <c r="FOA176" s="125"/>
      <c r="FOB176" s="125"/>
      <c r="FOC176" s="125"/>
      <c r="FOD176" s="125"/>
      <c r="FOE176" s="125"/>
      <c r="FOF176" s="125"/>
      <c r="FOG176" s="125"/>
      <c r="FOH176" s="125"/>
      <c r="FOI176" s="125"/>
      <c r="FOJ176" s="125"/>
      <c r="FOK176" s="125"/>
      <c r="FOL176" s="125"/>
      <c r="FOM176" s="125"/>
      <c r="FON176" s="125"/>
      <c r="FOO176" s="125"/>
      <c r="FOP176" s="125"/>
      <c r="FOQ176" s="125"/>
      <c r="FOR176" s="125"/>
      <c r="FOS176" s="125"/>
      <c r="FOT176" s="125"/>
      <c r="FOU176" s="125"/>
      <c r="FOV176" s="125"/>
      <c r="FOW176" s="125"/>
      <c r="FOX176" s="125"/>
      <c r="FOY176" s="125"/>
      <c r="FOZ176" s="125"/>
      <c r="FPA176" s="125"/>
      <c r="FPB176" s="125"/>
      <c r="FPC176" s="125"/>
      <c r="FPD176" s="125"/>
      <c r="FPE176" s="125"/>
      <c r="FPF176" s="125"/>
      <c r="FPG176" s="125"/>
      <c r="FPH176" s="125"/>
      <c r="FPI176" s="125"/>
      <c r="FPJ176" s="125"/>
      <c r="FPK176" s="125"/>
      <c r="FPL176" s="125"/>
      <c r="FPM176" s="125"/>
      <c r="FPN176" s="125"/>
      <c r="FPO176" s="125"/>
      <c r="FPP176" s="125"/>
      <c r="FPQ176" s="125"/>
      <c r="FPR176" s="125"/>
      <c r="FPS176" s="125"/>
      <c r="FPT176" s="125"/>
      <c r="FPU176" s="125"/>
      <c r="FPV176" s="125"/>
      <c r="FPW176" s="125"/>
      <c r="FPX176" s="125"/>
      <c r="FPY176" s="125"/>
      <c r="FPZ176" s="125"/>
      <c r="FQA176" s="125"/>
      <c r="FQB176" s="125"/>
      <c r="FQC176" s="125"/>
      <c r="FQD176" s="125"/>
      <c r="FQE176" s="125"/>
      <c r="FQF176" s="125"/>
      <c r="FQG176" s="125"/>
      <c r="FQH176" s="125"/>
      <c r="FQI176" s="125"/>
      <c r="FQJ176" s="125"/>
      <c r="FQK176" s="125"/>
      <c r="FQL176" s="125"/>
      <c r="FQM176" s="125"/>
      <c r="FQN176" s="125"/>
      <c r="FQO176" s="125"/>
      <c r="FQP176" s="125"/>
      <c r="FQQ176" s="125"/>
      <c r="FQR176" s="125"/>
      <c r="FQS176" s="125"/>
      <c r="FQT176" s="125"/>
      <c r="FQU176" s="125"/>
      <c r="FQV176" s="125"/>
      <c r="FQW176" s="125"/>
      <c r="FQX176" s="125"/>
      <c r="FQY176" s="125"/>
      <c r="FQZ176" s="125"/>
      <c r="FRA176" s="125"/>
      <c r="FRB176" s="125"/>
      <c r="FRC176" s="125"/>
      <c r="FRD176" s="125"/>
      <c r="FRE176" s="125"/>
      <c r="FRF176" s="125"/>
      <c r="FRG176" s="125"/>
      <c r="FRH176" s="125"/>
      <c r="FRI176" s="125"/>
      <c r="FRJ176" s="125"/>
      <c r="FRK176" s="125"/>
      <c r="FRL176" s="125"/>
      <c r="FRM176" s="125"/>
      <c r="FRN176" s="125"/>
      <c r="FRO176" s="125"/>
      <c r="FRP176" s="125"/>
      <c r="FRQ176" s="125"/>
      <c r="FRR176" s="125"/>
      <c r="FRS176" s="125"/>
      <c r="FRT176" s="125"/>
      <c r="FRU176" s="125"/>
      <c r="FRV176" s="125"/>
      <c r="FRW176" s="125"/>
      <c r="FRX176" s="125"/>
      <c r="FRY176" s="125"/>
      <c r="FRZ176" s="125"/>
      <c r="FSA176" s="125"/>
      <c r="FSB176" s="125"/>
      <c r="FSC176" s="125"/>
      <c r="FSD176" s="125"/>
      <c r="FSE176" s="125"/>
      <c r="FSF176" s="125"/>
      <c r="FSG176" s="125"/>
      <c r="FSH176" s="125"/>
      <c r="FSI176" s="125"/>
      <c r="FSJ176" s="125"/>
      <c r="FSK176" s="125"/>
      <c r="FSL176" s="125"/>
      <c r="FSM176" s="125"/>
      <c r="FSN176" s="125"/>
      <c r="FSO176" s="125"/>
      <c r="FSP176" s="125"/>
      <c r="FSQ176" s="125"/>
      <c r="FSR176" s="125"/>
      <c r="FSS176" s="125"/>
      <c r="FST176" s="125"/>
      <c r="FSU176" s="125"/>
      <c r="FSV176" s="125"/>
      <c r="FSW176" s="125"/>
      <c r="FSX176" s="125"/>
      <c r="FSY176" s="125"/>
      <c r="FSZ176" s="125"/>
      <c r="FTA176" s="125"/>
      <c r="FTB176" s="125"/>
      <c r="FTC176" s="125"/>
      <c r="FTD176" s="125"/>
      <c r="FTE176" s="125"/>
      <c r="FTF176" s="125"/>
      <c r="FTG176" s="125"/>
      <c r="FTH176" s="125"/>
      <c r="FTI176" s="125"/>
      <c r="FTJ176" s="125"/>
      <c r="FTK176" s="125"/>
      <c r="FTL176" s="125"/>
      <c r="FTM176" s="125"/>
      <c r="FTN176" s="125"/>
      <c r="FTO176" s="125"/>
      <c r="FTP176" s="125"/>
      <c r="FTQ176" s="125"/>
      <c r="FTR176" s="125"/>
      <c r="FTS176" s="125"/>
      <c r="FTT176" s="125"/>
      <c r="FTU176" s="125"/>
      <c r="FTV176" s="125"/>
      <c r="FTW176" s="125"/>
      <c r="FTX176" s="125"/>
      <c r="FTY176" s="125"/>
      <c r="FTZ176" s="125"/>
      <c r="FUA176" s="125"/>
      <c r="FUB176" s="125"/>
      <c r="FUC176" s="125"/>
      <c r="FUD176" s="125"/>
      <c r="FUE176" s="125"/>
      <c r="FUF176" s="125"/>
      <c r="FUG176" s="125"/>
      <c r="FUH176" s="125"/>
      <c r="FUI176" s="125"/>
      <c r="FUJ176" s="125"/>
      <c r="FUK176" s="125"/>
      <c r="FUL176" s="125"/>
      <c r="FUM176" s="125"/>
      <c r="FUN176" s="125"/>
      <c r="FUO176" s="125"/>
      <c r="FUP176" s="125"/>
      <c r="FUQ176" s="125"/>
      <c r="FUR176" s="125"/>
      <c r="FUS176" s="125"/>
      <c r="FUT176" s="125"/>
      <c r="FUU176" s="125"/>
      <c r="FUV176" s="125"/>
      <c r="FUW176" s="125"/>
      <c r="FUX176" s="125"/>
      <c r="FUY176" s="125"/>
      <c r="FUZ176" s="125"/>
      <c r="FVA176" s="125"/>
      <c r="FVB176" s="125"/>
      <c r="FVC176" s="125"/>
      <c r="FVD176" s="125"/>
      <c r="FVE176" s="125"/>
      <c r="FVF176" s="125"/>
      <c r="FVG176" s="125"/>
      <c r="FVH176" s="125"/>
      <c r="FVI176" s="125"/>
      <c r="FVJ176" s="125"/>
      <c r="FVK176" s="125"/>
      <c r="FVL176" s="125"/>
      <c r="FVM176" s="125"/>
      <c r="FVN176" s="125"/>
      <c r="FVO176" s="125"/>
      <c r="FVP176" s="125"/>
      <c r="FVQ176" s="125"/>
      <c r="FVR176" s="125"/>
      <c r="FVS176" s="125"/>
      <c r="FVT176" s="125"/>
      <c r="FVU176" s="125"/>
      <c r="FVV176" s="125"/>
      <c r="FVW176" s="125"/>
      <c r="FVX176" s="125"/>
      <c r="FVY176" s="125"/>
      <c r="FVZ176" s="125"/>
      <c r="FWA176" s="125"/>
      <c r="FWB176" s="125"/>
      <c r="FWC176" s="125"/>
      <c r="FWD176" s="125"/>
      <c r="FWE176" s="125"/>
      <c r="FWF176" s="125"/>
      <c r="FWG176" s="125"/>
      <c r="FWH176" s="125"/>
      <c r="FWI176" s="125"/>
      <c r="FWJ176" s="125"/>
      <c r="FWK176" s="125"/>
      <c r="FWL176" s="125"/>
      <c r="FWM176" s="125"/>
      <c r="FWN176" s="125"/>
      <c r="FWO176" s="125"/>
      <c r="FWP176" s="125"/>
      <c r="FWQ176" s="125"/>
      <c r="FWR176" s="125"/>
      <c r="FWS176" s="125"/>
      <c r="FWT176" s="125"/>
      <c r="FWU176" s="125"/>
      <c r="FWV176" s="125"/>
      <c r="FWW176" s="125"/>
      <c r="FWX176" s="125"/>
      <c r="FWY176" s="125"/>
      <c r="FWZ176" s="125"/>
      <c r="FXA176" s="125"/>
      <c r="FXB176" s="125"/>
      <c r="FXC176" s="125"/>
      <c r="FXD176" s="125"/>
      <c r="FXE176" s="125"/>
      <c r="FXF176" s="125"/>
      <c r="FXG176" s="125"/>
      <c r="FXH176" s="125"/>
      <c r="FXI176" s="125"/>
      <c r="FXJ176" s="125"/>
      <c r="FXK176" s="125"/>
      <c r="FXL176" s="125"/>
      <c r="FXM176" s="125"/>
      <c r="FXN176" s="125"/>
      <c r="FXO176" s="125"/>
      <c r="FXP176" s="125"/>
      <c r="FXQ176" s="125"/>
      <c r="FXR176" s="125"/>
      <c r="FXS176" s="125"/>
      <c r="FXT176" s="125"/>
      <c r="FXU176" s="125"/>
      <c r="FXV176" s="125"/>
      <c r="FXW176" s="125"/>
      <c r="FXX176" s="125"/>
      <c r="FXY176" s="125"/>
      <c r="FXZ176" s="125"/>
      <c r="FYA176" s="125"/>
      <c r="FYB176" s="125"/>
      <c r="FYC176" s="125"/>
      <c r="FYD176" s="125"/>
      <c r="FYE176" s="125"/>
      <c r="FYF176" s="125"/>
      <c r="FYG176" s="125"/>
      <c r="FYH176" s="125"/>
      <c r="FYI176" s="125"/>
      <c r="FYJ176" s="125"/>
      <c r="FYK176" s="125"/>
      <c r="FYL176" s="125"/>
      <c r="FYM176" s="125"/>
      <c r="FYN176" s="125"/>
      <c r="FYO176" s="125"/>
      <c r="FYP176" s="125"/>
      <c r="FYQ176" s="125"/>
      <c r="FYR176" s="125"/>
      <c r="FYS176" s="125"/>
      <c r="FYT176" s="125"/>
      <c r="FYU176" s="125"/>
      <c r="FYV176" s="125"/>
      <c r="FYW176" s="125"/>
      <c r="FYX176" s="125"/>
      <c r="FYY176" s="125"/>
      <c r="FYZ176" s="125"/>
      <c r="FZA176" s="125"/>
      <c r="FZB176" s="125"/>
      <c r="FZC176" s="125"/>
      <c r="FZD176" s="125"/>
      <c r="FZE176" s="125"/>
      <c r="FZF176" s="125"/>
      <c r="FZG176" s="125"/>
      <c r="FZH176" s="125"/>
      <c r="FZI176" s="125"/>
      <c r="FZJ176" s="125"/>
      <c r="FZK176" s="125"/>
      <c r="FZL176" s="125"/>
      <c r="FZM176" s="125"/>
      <c r="FZN176" s="125"/>
      <c r="FZO176" s="125"/>
      <c r="FZP176" s="125"/>
      <c r="FZQ176" s="125"/>
      <c r="FZR176" s="125"/>
      <c r="FZS176" s="125"/>
      <c r="FZT176" s="125"/>
      <c r="FZU176" s="125"/>
      <c r="FZV176" s="125"/>
      <c r="FZW176" s="125"/>
      <c r="FZX176" s="125"/>
      <c r="FZY176" s="125"/>
      <c r="FZZ176" s="125"/>
      <c r="GAA176" s="125"/>
      <c r="GAB176" s="125"/>
      <c r="GAC176" s="125"/>
      <c r="GAD176" s="125"/>
      <c r="GAE176" s="125"/>
      <c r="GAF176" s="125"/>
      <c r="GAG176" s="125"/>
      <c r="GAH176" s="125"/>
      <c r="GAI176" s="125"/>
      <c r="GAJ176" s="125"/>
      <c r="GAK176" s="125"/>
      <c r="GAL176" s="125"/>
      <c r="GAM176" s="125"/>
      <c r="GAN176" s="125"/>
      <c r="GAO176" s="125"/>
      <c r="GAP176" s="125"/>
      <c r="GAQ176" s="125"/>
      <c r="GAR176" s="125"/>
      <c r="GAS176" s="125"/>
      <c r="GAT176" s="125"/>
      <c r="GAU176" s="125"/>
      <c r="GAV176" s="125"/>
      <c r="GAW176" s="125"/>
      <c r="GAX176" s="125"/>
      <c r="GAY176" s="125"/>
      <c r="GAZ176" s="125"/>
      <c r="GBA176" s="125"/>
      <c r="GBB176" s="125"/>
      <c r="GBC176" s="125"/>
      <c r="GBD176" s="125"/>
      <c r="GBE176" s="125"/>
      <c r="GBF176" s="125"/>
      <c r="GBG176" s="125"/>
      <c r="GBH176" s="125"/>
      <c r="GBI176" s="125"/>
      <c r="GBJ176" s="125"/>
      <c r="GBK176" s="125"/>
      <c r="GBL176" s="125"/>
      <c r="GBM176" s="125"/>
      <c r="GBN176" s="125"/>
      <c r="GBO176" s="125"/>
      <c r="GBP176" s="125"/>
      <c r="GBQ176" s="125"/>
      <c r="GBR176" s="125"/>
      <c r="GBS176" s="125"/>
      <c r="GBT176" s="125"/>
      <c r="GBU176" s="125"/>
      <c r="GBV176" s="125"/>
      <c r="GBW176" s="125"/>
      <c r="GBX176" s="125"/>
      <c r="GBY176" s="125"/>
      <c r="GBZ176" s="125"/>
      <c r="GCA176" s="125"/>
      <c r="GCB176" s="125"/>
      <c r="GCC176" s="125"/>
      <c r="GCD176" s="125"/>
      <c r="GCE176" s="125"/>
      <c r="GCF176" s="125"/>
      <c r="GCG176" s="125"/>
      <c r="GCH176" s="125"/>
      <c r="GCI176" s="125"/>
      <c r="GCJ176" s="125"/>
      <c r="GCK176" s="125"/>
      <c r="GCL176" s="125"/>
      <c r="GCM176" s="125"/>
      <c r="GCN176" s="125"/>
      <c r="GCO176" s="125"/>
      <c r="GCP176" s="125"/>
      <c r="GCQ176" s="125"/>
      <c r="GCR176" s="125"/>
      <c r="GCS176" s="125"/>
      <c r="GCT176" s="125"/>
      <c r="GCU176" s="125"/>
      <c r="GCV176" s="125"/>
      <c r="GCW176" s="125"/>
      <c r="GCX176" s="125"/>
      <c r="GCY176" s="125"/>
      <c r="GCZ176" s="125"/>
      <c r="GDA176" s="125"/>
      <c r="GDB176" s="125"/>
      <c r="GDC176" s="125"/>
      <c r="GDD176" s="125"/>
      <c r="GDE176" s="125"/>
      <c r="GDF176" s="125"/>
      <c r="GDG176" s="125"/>
      <c r="GDH176" s="125"/>
      <c r="GDI176" s="125"/>
      <c r="GDJ176" s="125"/>
      <c r="GDK176" s="125"/>
      <c r="GDL176" s="125"/>
      <c r="GDM176" s="125"/>
      <c r="GDN176" s="125"/>
      <c r="GDO176" s="125"/>
      <c r="GDP176" s="125"/>
      <c r="GDQ176" s="125"/>
      <c r="GDR176" s="125"/>
      <c r="GDS176" s="125"/>
      <c r="GDT176" s="125"/>
      <c r="GDU176" s="125"/>
      <c r="GDV176" s="125"/>
      <c r="GDW176" s="125"/>
      <c r="GDX176" s="125"/>
      <c r="GDY176" s="125"/>
      <c r="GDZ176" s="125"/>
      <c r="GEA176" s="125"/>
      <c r="GEB176" s="125"/>
      <c r="GEC176" s="125"/>
      <c r="GED176" s="125"/>
      <c r="GEE176" s="125"/>
      <c r="GEF176" s="125"/>
      <c r="GEG176" s="125"/>
      <c r="GEH176" s="125"/>
      <c r="GEI176" s="125"/>
      <c r="GEJ176" s="125"/>
      <c r="GEK176" s="125"/>
      <c r="GEL176" s="125"/>
      <c r="GEM176" s="125"/>
      <c r="GEN176" s="125"/>
      <c r="GEO176" s="125"/>
      <c r="GEP176" s="125"/>
      <c r="GEQ176" s="125"/>
      <c r="GER176" s="125"/>
      <c r="GES176" s="125"/>
      <c r="GET176" s="125"/>
      <c r="GEU176" s="125"/>
      <c r="GEV176" s="125"/>
      <c r="GEW176" s="125"/>
      <c r="GEX176" s="125"/>
      <c r="GEY176" s="125"/>
      <c r="GEZ176" s="125"/>
      <c r="GFA176" s="125"/>
      <c r="GFB176" s="125"/>
      <c r="GFC176" s="125"/>
      <c r="GFD176" s="125"/>
      <c r="GFE176" s="125"/>
      <c r="GFF176" s="125"/>
      <c r="GFG176" s="125"/>
      <c r="GFH176" s="125"/>
      <c r="GFI176" s="125"/>
      <c r="GFJ176" s="125"/>
      <c r="GFK176" s="125"/>
      <c r="GFL176" s="125"/>
      <c r="GFM176" s="125"/>
      <c r="GFN176" s="125"/>
      <c r="GFO176" s="125"/>
      <c r="GFP176" s="125"/>
      <c r="GFQ176" s="125"/>
      <c r="GFR176" s="125"/>
      <c r="GFS176" s="125"/>
      <c r="GFT176" s="125"/>
      <c r="GFU176" s="125"/>
      <c r="GFV176" s="125"/>
      <c r="GFW176" s="125"/>
      <c r="GFX176" s="125"/>
      <c r="GFY176" s="125"/>
      <c r="GFZ176" s="125"/>
      <c r="GGA176" s="125"/>
      <c r="GGB176" s="125"/>
      <c r="GGC176" s="125"/>
      <c r="GGD176" s="125"/>
      <c r="GGE176" s="125"/>
      <c r="GGF176" s="125"/>
      <c r="GGG176" s="125"/>
      <c r="GGH176" s="125"/>
      <c r="GGI176" s="125"/>
      <c r="GGJ176" s="125"/>
      <c r="GGK176" s="125"/>
      <c r="GGL176" s="125"/>
      <c r="GGM176" s="125"/>
      <c r="GGN176" s="125"/>
      <c r="GGO176" s="125"/>
      <c r="GGP176" s="125"/>
      <c r="GGQ176" s="125"/>
      <c r="GGR176" s="125"/>
      <c r="GGS176" s="125"/>
      <c r="GGT176" s="125"/>
      <c r="GGU176" s="125"/>
      <c r="GGV176" s="125"/>
      <c r="GGW176" s="125"/>
      <c r="GGX176" s="125"/>
      <c r="GGY176" s="125"/>
      <c r="GGZ176" s="125"/>
      <c r="GHA176" s="125"/>
      <c r="GHB176" s="125"/>
      <c r="GHC176" s="125"/>
      <c r="GHD176" s="125"/>
      <c r="GHE176" s="125"/>
      <c r="GHF176" s="125"/>
      <c r="GHG176" s="125"/>
      <c r="GHH176" s="125"/>
      <c r="GHI176" s="125"/>
      <c r="GHJ176" s="125"/>
      <c r="GHK176" s="125"/>
      <c r="GHL176" s="125"/>
      <c r="GHM176" s="125"/>
      <c r="GHN176" s="125"/>
      <c r="GHO176" s="125"/>
      <c r="GHP176" s="125"/>
      <c r="GHQ176" s="125"/>
      <c r="GHR176" s="125"/>
      <c r="GHS176" s="125"/>
      <c r="GHT176" s="125"/>
      <c r="GHU176" s="125"/>
      <c r="GHV176" s="125"/>
      <c r="GHW176" s="125"/>
      <c r="GHX176" s="125"/>
      <c r="GHY176" s="125"/>
      <c r="GHZ176" s="125"/>
      <c r="GIA176" s="125"/>
      <c r="GIB176" s="125"/>
      <c r="GIC176" s="125"/>
      <c r="GID176" s="125"/>
      <c r="GIE176" s="125"/>
      <c r="GIF176" s="125"/>
      <c r="GIG176" s="125"/>
      <c r="GIH176" s="125"/>
      <c r="GII176" s="125"/>
      <c r="GIJ176" s="125"/>
      <c r="GIK176" s="125"/>
      <c r="GIL176" s="125"/>
      <c r="GIM176" s="125"/>
      <c r="GIN176" s="125"/>
      <c r="GIO176" s="125"/>
      <c r="GIP176" s="125"/>
      <c r="GIQ176" s="125"/>
      <c r="GIR176" s="125"/>
      <c r="GIS176" s="125"/>
      <c r="GIT176" s="125"/>
      <c r="GIU176" s="125"/>
      <c r="GIV176" s="125"/>
      <c r="GIW176" s="125"/>
      <c r="GIX176" s="125"/>
      <c r="GIY176" s="125"/>
      <c r="GIZ176" s="125"/>
      <c r="GJA176" s="125"/>
      <c r="GJB176" s="125"/>
      <c r="GJC176" s="125"/>
      <c r="GJD176" s="125"/>
      <c r="GJE176" s="125"/>
      <c r="GJF176" s="125"/>
      <c r="GJG176" s="125"/>
      <c r="GJH176" s="125"/>
      <c r="GJI176" s="125"/>
      <c r="GJJ176" s="125"/>
      <c r="GJK176" s="125"/>
      <c r="GJL176" s="125"/>
      <c r="GJM176" s="125"/>
      <c r="GJN176" s="125"/>
      <c r="GJO176" s="125"/>
      <c r="GJP176" s="125"/>
      <c r="GJQ176" s="125"/>
      <c r="GJR176" s="125"/>
      <c r="GJS176" s="125"/>
      <c r="GJT176" s="125"/>
      <c r="GJU176" s="125"/>
      <c r="GJV176" s="125"/>
      <c r="GJW176" s="125"/>
      <c r="GJX176" s="125"/>
      <c r="GJY176" s="125"/>
      <c r="GJZ176" s="125"/>
      <c r="GKA176" s="125"/>
      <c r="GKB176" s="125"/>
      <c r="GKC176" s="125"/>
      <c r="GKD176" s="125"/>
      <c r="GKE176" s="125"/>
      <c r="GKF176" s="125"/>
      <c r="GKG176" s="125"/>
      <c r="GKH176" s="125"/>
      <c r="GKI176" s="125"/>
      <c r="GKJ176" s="125"/>
      <c r="GKK176" s="125"/>
      <c r="GKL176" s="125"/>
      <c r="GKM176" s="125"/>
      <c r="GKN176" s="125"/>
      <c r="GKO176" s="125"/>
      <c r="GKP176" s="125"/>
      <c r="GKQ176" s="125"/>
      <c r="GKR176" s="125"/>
      <c r="GKS176" s="125"/>
      <c r="GKT176" s="125"/>
      <c r="GKU176" s="125"/>
      <c r="GKV176" s="125"/>
      <c r="GKW176" s="125"/>
      <c r="GKX176" s="125"/>
      <c r="GKY176" s="125"/>
      <c r="GKZ176" s="125"/>
      <c r="GLA176" s="125"/>
      <c r="GLB176" s="125"/>
      <c r="GLC176" s="125"/>
      <c r="GLD176" s="125"/>
      <c r="GLE176" s="125"/>
      <c r="GLF176" s="125"/>
      <c r="GLG176" s="125"/>
      <c r="GLH176" s="125"/>
      <c r="GLI176" s="125"/>
      <c r="GLJ176" s="125"/>
      <c r="GLK176" s="125"/>
      <c r="GLL176" s="125"/>
      <c r="GLM176" s="125"/>
      <c r="GLN176" s="125"/>
      <c r="GLO176" s="125"/>
      <c r="GLP176" s="125"/>
      <c r="GLQ176" s="125"/>
      <c r="GLR176" s="125"/>
      <c r="GLS176" s="125"/>
      <c r="GLT176" s="125"/>
      <c r="GLU176" s="125"/>
      <c r="GLV176" s="125"/>
      <c r="GLW176" s="125"/>
      <c r="GLX176" s="125"/>
      <c r="GLY176" s="125"/>
      <c r="GLZ176" s="125"/>
      <c r="GMA176" s="125"/>
      <c r="GMB176" s="125"/>
      <c r="GMC176" s="125"/>
      <c r="GMD176" s="125"/>
      <c r="GME176" s="125"/>
      <c r="GMF176" s="125"/>
      <c r="GMG176" s="125"/>
      <c r="GMH176" s="125"/>
      <c r="GMI176" s="125"/>
      <c r="GMJ176" s="125"/>
      <c r="GMK176" s="125"/>
      <c r="GML176" s="125"/>
      <c r="GMM176" s="125"/>
      <c r="GMN176" s="125"/>
      <c r="GMO176" s="125"/>
      <c r="GMP176" s="125"/>
      <c r="GMQ176" s="125"/>
      <c r="GMR176" s="125"/>
      <c r="GMS176" s="125"/>
      <c r="GMT176" s="125"/>
      <c r="GMU176" s="125"/>
      <c r="GMV176" s="125"/>
      <c r="GMW176" s="125"/>
      <c r="GMX176" s="125"/>
      <c r="GMY176" s="125"/>
      <c r="GMZ176" s="125"/>
      <c r="GNA176" s="125"/>
      <c r="GNB176" s="125"/>
      <c r="GNC176" s="125"/>
      <c r="GND176" s="125"/>
      <c r="GNE176" s="125"/>
      <c r="GNF176" s="125"/>
      <c r="GNG176" s="125"/>
      <c r="GNH176" s="125"/>
      <c r="GNI176" s="125"/>
      <c r="GNJ176" s="125"/>
      <c r="GNK176" s="125"/>
      <c r="GNL176" s="125"/>
      <c r="GNM176" s="125"/>
      <c r="GNN176" s="125"/>
      <c r="GNO176" s="125"/>
      <c r="GNP176" s="125"/>
      <c r="GNQ176" s="125"/>
      <c r="GNR176" s="125"/>
      <c r="GNS176" s="125"/>
      <c r="GNT176" s="125"/>
      <c r="GNU176" s="125"/>
      <c r="GNV176" s="125"/>
      <c r="GNW176" s="125"/>
      <c r="GNX176" s="125"/>
      <c r="GNY176" s="125"/>
      <c r="GNZ176" s="125"/>
      <c r="GOA176" s="125"/>
      <c r="GOB176" s="125"/>
      <c r="GOC176" s="125"/>
      <c r="GOD176" s="125"/>
      <c r="GOE176" s="125"/>
      <c r="GOF176" s="125"/>
      <c r="GOG176" s="125"/>
      <c r="GOH176" s="125"/>
      <c r="GOI176" s="125"/>
      <c r="GOJ176" s="125"/>
      <c r="GOK176" s="125"/>
      <c r="GOL176" s="125"/>
      <c r="GOM176" s="125"/>
      <c r="GON176" s="125"/>
      <c r="GOO176" s="125"/>
      <c r="GOP176" s="125"/>
      <c r="GOQ176" s="125"/>
      <c r="GOR176" s="125"/>
      <c r="GOS176" s="125"/>
      <c r="GOT176" s="125"/>
      <c r="GOU176" s="125"/>
      <c r="GOV176" s="125"/>
      <c r="GOW176" s="125"/>
      <c r="GOX176" s="125"/>
      <c r="GOY176" s="125"/>
      <c r="GOZ176" s="125"/>
      <c r="GPA176" s="125"/>
      <c r="GPB176" s="125"/>
      <c r="GPC176" s="125"/>
      <c r="GPD176" s="125"/>
      <c r="GPE176" s="125"/>
      <c r="GPF176" s="125"/>
      <c r="GPG176" s="125"/>
      <c r="GPH176" s="125"/>
      <c r="GPI176" s="125"/>
      <c r="GPJ176" s="125"/>
      <c r="GPK176" s="125"/>
      <c r="GPL176" s="125"/>
      <c r="GPM176" s="125"/>
      <c r="GPN176" s="125"/>
      <c r="GPO176" s="125"/>
      <c r="GPP176" s="125"/>
      <c r="GPQ176" s="125"/>
      <c r="GPR176" s="125"/>
      <c r="GPS176" s="125"/>
      <c r="GPT176" s="125"/>
      <c r="GPU176" s="125"/>
      <c r="GPV176" s="125"/>
      <c r="GPW176" s="125"/>
      <c r="GPX176" s="125"/>
      <c r="GPY176" s="125"/>
      <c r="GPZ176" s="125"/>
      <c r="GQA176" s="125"/>
      <c r="GQB176" s="125"/>
      <c r="GQC176" s="125"/>
      <c r="GQD176" s="125"/>
      <c r="GQE176" s="125"/>
      <c r="GQF176" s="125"/>
      <c r="GQG176" s="125"/>
      <c r="GQH176" s="125"/>
      <c r="GQI176" s="125"/>
      <c r="GQJ176" s="125"/>
      <c r="GQK176" s="125"/>
      <c r="GQL176" s="125"/>
      <c r="GQM176" s="125"/>
      <c r="GQN176" s="125"/>
      <c r="GQO176" s="125"/>
      <c r="GQP176" s="125"/>
      <c r="GQQ176" s="125"/>
      <c r="GQR176" s="125"/>
      <c r="GQS176" s="125"/>
      <c r="GQT176" s="125"/>
      <c r="GQU176" s="125"/>
      <c r="GQV176" s="125"/>
      <c r="GQW176" s="125"/>
      <c r="GQX176" s="125"/>
      <c r="GQY176" s="125"/>
      <c r="GQZ176" s="125"/>
      <c r="GRA176" s="125"/>
      <c r="GRB176" s="125"/>
      <c r="GRC176" s="125"/>
      <c r="GRD176" s="125"/>
      <c r="GRE176" s="125"/>
      <c r="GRF176" s="125"/>
      <c r="GRG176" s="125"/>
      <c r="GRH176" s="125"/>
      <c r="GRI176" s="125"/>
      <c r="GRJ176" s="125"/>
      <c r="GRK176" s="125"/>
      <c r="GRL176" s="125"/>
      <c r="GRM176" s="125"/>
      <c r="GRN176" s="125"/>
      <c r="GRO176" s="125"/>
      <c r="GRP176" s="125"/>
      <c r="GRQ176" s="125"/>
      <c r="GRR176" s="125"/>
      <c r="GRS176" s="125"/>
      <c r="GRT176" s="125"/>
      <c r="GRU176" s="125"/>
      <c r="GRV176" s="125"/>
      <c r="GRW176" s="125"/>
      <c r="GRX176" s="125"/>
      <c r="GRY176" s="125"/>
      <c r="GRZ176" s="125"/>
      <c r="GSA176" s="125"/>
      <c r="GSB176" s="125"/>
      <c r="GSC176" s="125"/>
      <c r="GSD176" s="125"/>
      <c r="GSE176" s="125"/>
      <c r="GSF176" s="125"/>
      <c r="GSG176" s="125"/>
      <c r="GSH176" s="125"/>
      <c r="GSI176" s="125"/>
      <c r="GSJ176" s="125"/>
      <c r="GSK176" s="125"/>
      <c r="GSL176" s="125"/>
      <c r="GSM176" s="125"/>
      <c r="GSN176" s="125"/>
      <c r="GSO176" s="125"/>
      <c r="GSP176" s="125"/>
      <c r="GSQ176" s="125"/>
      <c r="GSR176" s="125"/>
      <c r="GSS176" s="125"/>
      <c r="GST176" s="125"/>
      <c r="GSU176" s="125"/>
      <c r="GSV176" s="125"/>
      <c r="GSW176" s="125"/>
      <c r="GSX176" s="125"/>
      <c r="GSY176" s="125"/>
      <c r="GSZ176" s="125"/>
      <c r="GTA176" s="125"/>
      <c r="GTB176" s="125"/>
      <c r="GTC176" s="125"/>
      <c r="GTD176" s="125"/>
      <c r="GTE176" s="125"/>
      <c r="GTF176" s="125"/>
      <c r="GTG176" s="125"/>
      <c r="GTH176" s="125"/>
      <c r="GTI176" s="125"/>
      <c r="GTJ176" s="125"/>
      <c r="GTK176" s="125"/>
      <c r="GTL176" s="125"/>
      <c r="GTM176" s="125"/>
      <c r="GTN176" s="125"/>
      <c r="GTO176" s="125"/>
      <c r="GTP176" s="125"/>
      <c r="GTQ176" s="125"/>
      <c r="GTR176" s="125"/>
      <c r="GTS176" s="125"/>
      <c r="GTT176" s="125"/>
      <c r="GTU176" s="125"/>
      <c r="GTV176" s="125"/>
      <c r="GTW176" s="125"/>
      <c r="GTX176" s="125"/>
      <c r="GTY176" s="125"/>
      <c r="GTZ176" s="125"/>
      <c r="GUA176" s="125"/>
      <c r="GUB176" s="125"/>
      <c r="GUC176" s="125"/>
      <c r="GUD176" s="125"/>
      <c r="GUE176" s="125"/>
      <c r="GUF176" s="125"/>
      <c r="GUG176" s="125"/>
      <c r="GUH176" s="125"/>
      <c r="GUI176" s="125"/>
      <c r="GUJ176" s="125"/>
      <c r="GUK176" s="125"/>
      <c r="GUL176" s="125"/>
      <c r="GUM176" s="125"/>
      <c r="GUN176" s="125"/>
      <c r="GUO176" s="125"/>
      <c r="GUP176" s="125"/>
      <c r="GUQ176" s="125"/>
      <c r="GUR176" s="125"/>
      <c r="GUS176" s="125"/>
      <c r="GUT176" s="125"/>
      <c r="GUU176" s="125"/>
      <c r="GUV176" s="125"/>
      <c r="GUW176" s="125"/>
      <c r="GUX176" s="125"/>
      <c r="GUY176" s="125"/>
      <c r="GUZ176" s="125"/>
      <c r="GVA176" s="125"/>
      <c r="GVB176" s="125"/>
      <c r="GVC176" s="125"/>
      <c r="GVD176" s="125"/>
      <c r="GVE176" s="125"/>
      <c r="GVF176" s="125"/>
      <c r="GVG176" s="125"/>
      <c r="GVH176" s="125"/>
      <c r="GVI176" s="125"/>
      <c r="GVJ176" s="125"/>
      <c r="GVK176" s="125"/>
      <c r="GVL176" s="125"/>
      <c r="GVM176" s="125"/>
      <c r="GVN176" s="125"/>
      <c r="GVO176" s="125"/>
      <c r="GVP176" s="125"/>
      <c r="GVQ176" s="125"/>
      <c r="GVR176" s="125"/>
      <c r="GVS176" s="125"/>
      <c r="GVT176" s="125"/>
      <c r="GVU176" s="125"/>
      <c r="GVV176" s="125"/>
      <c r="GVW176" s="125"/>
      <c r="GVX176" s="125"/>
      <c r="GVY176" s="125"/>
      <c r="GVZ176" s="125"/>
      <c r="GWA176" s="125"/>
      <c r="GWB176" s="125"/>
      <c r="GWC176" s="125"/>
      <c r="GWD176" s="125"/>
      <c r="GWE176" s="125"/>
      <c r="GWF176" s="125"/>
      <c r="GWG176" s="125"/>
      <c r="GWH176" s="125"/>
      <c r="GWI176" s="125"/>
      <c r="GWJ176" s="125"/>
      <c r="GWK176" s="125"/>
      <c r="GWL176" s="125"/>
      <c r="GWM176" s="125"/>
      <c r="GWN176" s="125"/>
      <c r="GWO176" s="125"/>
      <c r="GWP176" s="125"/>
      <c r="GWQ176" s="125"/>
      <c r="GWR176" s="125"/>
      <c r="GWS176" s="125"/>
      <c r="GWT176" s="125"/>
      <c r="GWU176" s="125"/>
      <c r="GWV176" s="125"/>
      <c r="GWW176" s="125"/>
      <c r="GWX176" s="125"/>
      <c r="GWY176" s="125"/>
      <c r="GWZ176" s="125"/>
      <c r="GXA176" s="125"/>
      <c r="GXB176" s="125"/>
      <c r="GXC176" s="125"/>
      <c r="GXD176" s="125"/>
      <c r="GXE176" s="125"/>
      <c r="GXF176" s="125"/>
      <c r="GXG176" s="125"/>
      <c r="GXH176" s="125"/>
      <c r="GXI176" s="125"/>
      <c r="GXJ176" s="125"/>
      <c r="GXK176" s="125"/>
      <c r="GXL176" s="125"/>
      <c r="GXM176" s="125"/>
      <c r="GXN176" s="125"/>
      <c r="GXO176" s="125"/>
      <c r="GXP176" s="125"/>
      <c r="GXQ176" s="125"/>
      <c r="GXR176" s="125"/>
      <c r="GXS176" s="125"/>
      <c r="GXT176" s="125"/>
      <c r="GXU176" s="125"/>
      <c r="GXV176" s="125"/>
      <c r="GXW176" s="125"/>
      <c r="GXX176" s="125"/>
      <c r="GXY176" s="125"/>
      <c r="GXZ176" s="125"/>
      <c r="GYA176" s="125"/>
      <c r="GYB176" s="125"/>
      <c r="GYC176" s="125"/>
      <c r="GYD176" s="125"/>
      <c r="GYE176" s="125"/>
      <c r="GYF176" s="125"/>
      <c r="GYG176" s="125"/>
      <c r="GYH176" s="125"/>
      <c r="GYI176" s="125"/>
      <c r="GYJ176" s="125"/>
      <c r="GYK176" s="125"/>
      <c r="GYL176" s="125"/>
      <c r="GYM176" s="125"/>
      <c r="GYN176" s="125"/>
      <c r="GYO176" s="125"/>
      <c r="GYP176" s="125"/>
      <c r="GYQ176" s="125"/>
      <c r="GYR176" s="125"/>
      <c r="GYS176" s="125"/>
      <c r="GYT176" s="125"/>
      <c r="GYU176" s="125"/>
      <c r="GYV176" s="125"/>
      <c r="GYW176" s="125"/>
      <c r="GYX176" s="125"/>
      <c r="GYY176" s="125"/>
      <c r="GYZ176" s="125"/>
      <c r="GZA176" s="125"/>
      <c r="GZB176" s="125"/>
      <c r="GZC176" s="125"/>
      <c r="GZD176" s="125"/>
      <c r="GZE176" s="125"/>
      <c r="GZF176" s="125"/>
      <c r="GZG176" s="125"/>
      <c r="GZH176" s="125"/>
      <c r="GZI176" s="125"/>
      <c r="GZJ176" s="125"/>
      <c r="GZK176" s="125"/>
      <c r="GZL176" s="125"/>
      <c r="GZM176" s="125"/>
      <c r="GZN176" s="125"/>
      <c r="GZO176" s="125"/>
      <c r="GZP176" s="125"/>
      <c r="GZQ176" s="125"/>
      <c r="GZR176" s="125"/>
      <c r="GZS176" s="125"/>
      <c r="GZT176" s="125"/>
      <c r="GZU176" s="125"/>
      <c r="GZV176" s="125"/>
      <c r="GZW176" s="125"/>
      <c r="GZX176" s="125"/>
      <c r="GZY176" s="125"/>
      <c r="GZZ176" s="125"/>
      <c r="HAA176" s="125"/>
      <c r="HAB176" s="125"/>
      <c r="HAC176" s="125"/>
      <c r="HAD176" s="125"/>
      <c r="HAE176" s="125"/>
      <c r="HAF176" s="125"/>
      <c r="HAG176" s="125"/>
      <c r="HAH176" s="125"/>
      <c r="HAI176" s="125"/>
      <c r="HAJ176" s="125"/>
      <c r="HAK176" s="125"/>
      <c r="HAL176" s="125"/>
      <c r="HAM176" s="125"/>
      <c r="HAN176" s="125"/>
      <c r="HAO176" s="125"/>
      <c r="HAP176" s="125"/>
      <c r="HAQ176" s="125"/>
      <c r="HAR176" s="125"/>
      <c r="HAS176" s="125"/>
      <c r="HAT176" s="125"/>
      <c r="HAU176" s="125"/>
      <c r="HAV176" s="125"/>
      <c r="HAW176" s="125"/>
      <c r="HAX176" s="125"/>
      <c r="HAY176" s="125"/>
      <c r="HAZ176" s="125"/>
      <c r="HBA176" s="125"/>
      <c r="HBB176" s="125"/>
      <c r="HBC176" s="125"/>
      <c r="HBD176" s="125"/>
      <c r="HBE176" s="125"/>
      <c r="HBF176" s="125"/>
      <c r="HBG176" s="125"/>
      <c r="HBH176" s="125"/>
      <c r="HBI176" s="125"/>
      <c r="HBJ176" s="125"/>
      <c r="HBK176" s="125"/>
      <c r="HBL176" s="125"/>
      <c r="HBM176" s="125"/>
      <c r="HBN176" s="125"/>
      <c r="HBO176" s="125"/>
      <c r="HBP176" s="125"/>
      <c r="HBQ176" s="125"/>
      <c r="HBR176" s="125"/>
      <c r="HBS176" s="125"/>
      <c r="HBT176" s="125"/>
      <c r="HBU176" s="125"/>
      <c r="HBV176" s="125"/>
      <c r="HBW176" s="125"/>
      <c r="HBX176" s="125"/>
      <c r="HBY176" s="125"/>
      <c r="HBZ176" s="125"/>
      <c r="HCA176" s="125"/>
      <c r="HCB176" s="125"/>
      <c r="HCC176" s="125"/>
      <c r="HCD176" s="125"/>
      <c r="HCE176" s="125"/>
      <c r="HCF176" s="125"/>
      <c r="HCG176" s="125"/>
      <c r="HCH176" s="125"/>
      <c r="HCI176" s="125"/>
      <c r="HCJ176" s="125"/>
      <c r="HCK176" s="125"/>
      <c r="HCL176" s="125"/>
      <c r="HCM176" s="125"/>
      <c r="HCN176" s="125"/>
      <c r="HCO176" s="125"/>
      <c r="HCP176" s="125"/>
      <c r="HCQ176" s="125"/>
      <c r="HCR176" s="125"/>
      <c r="HCS176" s="125"/>
      <c r="HCT176" s="125"/>
      <c r="HCU176" s="125"/>
      <c r="HCV176" s="125"/>
      <c r="HCW176" s="125"/>
      <c r="HCX176" s="125"/>
      <c r="HCY176" s="125"/>
      <c r="HCZ176" s="125"/>
      <c r="HDA176" s="125"/>
      <c r="HDB176" s="125"/>
      <c r="HDC176" s="125"/>
      <c r="HDD176" s="125"/>
      <c r="HDE176" s="125"/>
      <c r="HDF176" s="125"/>
      <c r="HDG176" s="125"/>
      <c r="HDH176" s="125"/>
      <c r="HDI176" s="125"/>
      <c r="HDJ176" s="125"/>
      <c r="HDK176" s="125"/>
      <c r="HDL176" s="125"/>
      <c r="HDM176" s="125"/>
      <c r="HDN176" s="125"/>
      <c r="HDO176" s="125"/>
      <c r="HDP176" s="125"/>
      <c r="HDQ176" s="125"/>
      <c r="HDR176" s="125"/>
      <c r="HDS176" s="125"/>
      <c r="HDT176" s="125"/>
      <c r="HDU176" s="125"/>
      <c r="HDV176" s="125"/>
      <c r="HDW176" s="125"/>
      <c r="HDX176" s="125"/>
      <c r="HDY176" s="125"/>
      <c r="HDZ176" s="125"/>
      <c r="HEA176" s="125"/>
      <c r="HEB176" s="125"/>
      <c r="HEC176" s="125"/>
      <c r="HED176" s="125"/>
      <c r="HEE176" s="125"/>
      <c r="HEF176" s="125"/>
      <c r="HEG176" s="125"/>
      <c r="HEH176" s="125"/>
      <c r="HEI176" s="125"/>
      <c r="HEJ176" s="125"/>
      <c r="HEK176" s="125"/>
      <c r="HEL176" s="125"/>
      <c r="HEM176" s="125"/>
      <c r="HEN176" s="125"/>
      <c r="HEO176" s="125"/>
      <c r="HEP176" s="125"/>
      <c r="HEQ176" s="125"/>
      <c r="HER176" s="125"/>
      <c r="HES176" s="125"/>
      <c r="HET176" s="125"/>
      <c r="HEU176" s="125"/>
      <c r="HEV176" s="125"/>
      <c r="HEW176" s="125"/>
      <c r="HEX176" s="125"/>
      <c r="HEY176" s="125"/>
      <c r="HEZ176" s="125"/>
      <c r="HFA176" s="125"/>
      <c r="HFB176" s="125"/>
      <c r="HFC176" s="125"/>
      <c r="HFD176" s="125"/>
      <c r="HFE176" s="125"/>
      <c r="HFF176" s="125"/>
      <c r="HFG176" s="125"/>
      <c r="HFH176" s="125"/>
      <c r="HFI176" s="125"/>
      <c r="HFJ176" s="125"/>
      <c r="HFK176" s="125"/>
      <c r="HFL176" s="125"/>
      <c r="HFM176" s="125"/>
      <c r="HFN176" s="125"/>
      <c r="HFO176" s="125"/>
      <c r="HFP176" s="125"/>
      <c r="HFQ176" s="125"/>
      <c r="HFR176" s="125"/>
      <c r="HFS176" s="125"/>
      <c r="HFT176" s="125"/>
      <c r="HFU176" s="125"/>
      <c r="HFV176" s="125"/>
      <c r="HFW176" s="125"/>
      <c r="HFX176" s="125"/>
      <c r="HFY176" s="125"/>
      <c r="HFZ176" s="125"/>
      <c r="HGA176" s="125"/>
      <c r="HGB176" s="125"/>
      <c r="HGC176" s="125"/>
      <c r="HGD176" s="125"/>
      <c r="HGE176" s="125"/>
      <c r="HGF176" s="125"/>
      <c r="HGG176" s="125"/>
      <c r="HGH176" s="125"/>
      <c r="HGI176" s="125"/>
      <c r="HGJ176" s="125"/>
      <c r="HGK176" s="125"/>
      <c r="HGL176" s="125"/>
      <c r="HGM176" s="125"/>
      <c r="HGN176" s="125"/>
      <c r="HGO176" s="125"/>
      <c r="HGP176" s="125"/>
      <c r="HGQ176" s="125"/>
      <c r="HGR176" s="125"/>
      <c r="HGS176" s="125"/>
      <c r="HGT176" s="125"/>
      <c r="HGU176" s="125"/>
      <c r="HGV176" s="125"/>
      <c r="HGW176" s="125"/>
      <c r="HGX176" s="125"/>
      <c r="HGY176" s="125"/>
      <c r="HGZ176" s="125"/>
      <c r="HHA176" s="125"/>
      <c r="HHB176" s="125"/>
      <c r="HHC176" s="125"/>
      <c r="HHD176" s="125"/>
      <c r="HHE176" s="125"/>
      <c r="HHF176" s="125"/>
      <c r="HHG176" s="125"/>
      <c r="HHH176" s="125"/>
      <c r="HHI176" s="125"/>
      <c r="HHJ176" s="125"/>
      <c r="HHK176" s="125"/>
      <c r="HHL176" s="125"/>
      <c r="HHM176" s="125"/>
      <c r="HHN176" s="125"/>
      <c r="HHO176" s="125"/>
      <c r="HHP176" s="125"/>
      <c r="HHQ176" s="125"/>
      <c r="HHR176" s="125"/>
      <c r="HHS176" s="125"/>
      <c r="HHT176" s="125"/>
      <c r="HHU176" s="125"/>
      <c r="HHV176" s="125"/>
      <c r="HHW176" s="125"/>
      <c r="HHX176" s="125"/>
      <c r="HHY176" s="125"/>
      <c r="HHZ176" s="125"/>
      <c r="HIA176" s="125"/>
      <c r="HIB176" s="125"/>
      <c r="HIC176" s="125"/>
      <c r="HID176" s="125"/>
      <c r="HIE176" s="125"/>
      <c r="HIF176" s="125"/>
      <c r="HIG176" s="125"/>
      <c r="HIH176" s="125"/>
      <c r="HII176" s="125"/>
      <c r="HIJ176" s="125"/>
      <c r="HIK176" s="125"/>
      <c r="HIL176" s="125"/>
      <c r="HIM176" s="125"/>
      <c r="HIN176" s="125"/>
      <c r="HIO176" s="125"/>
      <c r="HIP176" s="125"/>
      <c r="HIQ176" s="125"/>
      <c r="HIR176" s="125"/>
      <c r="HIS176" s="125"/>
      <c r="HIT176" s="125"/>
      <c r="HIU176" s="125"/>
      <c r="HIV176" s="125"/>
      <c r="HIW176" s="125"/>
      <c r="HIX176" s="125"/>
      <c r="HIY176" s="125"/>
      <c r="HIZ176" s="125"/>
      <c r="HJA176" s="125"/>
      <c r="HJB176" s="125"/>
      <c r="HJC176" s="125"/>
      <c r="HJD176" s="125"/>
      <c r="HJE176" s="125"/>
      <c r="HJF176" s="125"/>
      <c r="HJG176" s="125"/>
      <c r="HJH176" s="125"/>
      <c r="HJI176" s="125"/>
      <c r="HJJ176" s="125"/>
      <c r="HJK176" s="125"/>
      <c r="HJL176" s="125"/>
      <c r="HJM176" s="125"/>
      <c r="HJN176" s="125"/>
      <c r="HJO176" s="125"/>
      <c r="HJP176" s="125"/>
      <c r="HJQ176" s="125"/>
      <c r="HJR176" s="125"/>
      <c r="HJS176" s="125"/>
      <c r="HJT176" s="125"/>
      <c r="HJU176" s="125"/>
      <c r="HJV176" s="125"/>
      <c r="HJW176" s="125"/>
      <c r="HJX176" s="125"/>
      <c r="HJY176" s="125"/>
      <c r="HJZ176" s="125"/>
      <c r="HKA176" s="125"/>
      <c r="HKB176" s="125"/>
      <c r="HKC176" s="125"/>
      <c r="HKD176" s="125"/>
      <c r="HKE176" s="125"/>
      <c r="HKF176" s="125"/>
      <c r="HKG176" s="125"/>
      <c r="HKH176" s="125"/>
      <c r="HKI176" s="125"/>
      <c r="HKJ176" s="125"/>
      <c r="HKK176" s="125"/>
      <c r="HKL176" s="125"/>
      <c r="HKM176" s="125"/>
      <c r="HKN176" s="125"/>
      <c r="HKO176" s="125"/>
      <c r="HKP176" s="125"/>
      <c r="HKQ176" s="125"/>
      <c r="HKR176" s="125"/>
      <c r="HKS176" s="125"/>
      <c r="HKT176" s="125"/>
      <c r="HKU176" s="125"/>
      <c r="HKV176" s="125"/>
      <c r="HKW176" s="125"/>
      <c r="HKX176" s="125"/>
      <c r="HKY176" s="125"/>
      <c r="HKZ176" s="125"/>
      <c r="HLA176" s="125"/>
      <c r="HLB176" s="125"/>
      <c r="HLC176" s="125"/>
      <c r="HLD176" s="125"/>
      <c r="HLE176" s="125"/>
      <c r="HLF176" s="125"/>
      <c r="HLG176" s="125"/>
      <c r="HLH176" s="125"/>
      <c r="HLI176" s="125"/>
      <c r="HLJ176" s="125"/>
      <c r="HLK176" s="125"/>
      <c r="HLL176" s="125"/>
      <c r="HLM176" s="125"/>
      <c r="HLN176" s="125"/>
      <c r="HLO176" s="125"/>
      <c r="HLP176" s="125"/>
      <c r="HLQ176" s="125"/>
      <c r="HLR176" s="125"/>
      <c r="HLS176" s="125"/>
      <c r="HLT176" s="125"/>
      <c r="HLU176" s="125"/>
      <c r="HLV176" s="125"/>
      <c r="HLW176" s="125"/>
      <c r="HLX176" s="125"/>
      <c r="HLY176" s="125"/>
      <c r="HLZ176" s="125"/>
      <c r="HMA176" s="125"/>
      <c r="HMB176" s="125"/>
      <c r="HMC176" s="125"/>
      <c r="HMD176" s="125"/>
      <c r="HME176" s="125"/>
      <c r="HMF176" s="125"/>
      <c r="HMG176" s="125"/>
      <c r="HMH176" s="125"/>
      <c r="HMI176" s="125"/>
      <c r="HMJ176" s="125"/>
      <c r="HMK176" s="125"/>
      <c r="HML176" s="125"/>
      <c r="HMM176" s="125"/>
      <c r="HMN176" s="125"/>
      <c r="HMO176" s="125"/>
      <c r="HMP176" s="125"/>
      <c r="HMQ176" s="125"/>
      <c r="HMR176" s="125"/>
      <c r="HMS176" s="125"/>
      <c r="HMT176" s="125"/>
      <c r="HMU176" s="125"/>
      <c r="HMV176" s="125"/>
      <c r="HMW176" s="125"/>
      <c r="HMX176" s="125"/>
      <c r="HMY176" s="125"/>
      <c r="HMZ176" s="125"/>
      <c r="HNA176" s="125"/>
      <c r="HNB176" s="125"/>
      <c r="HNC176" s="125"/>
      <c r="HND176" s="125"/>
      <c r="HNE176" s="125"/>
      <c r="HNF176" s="125"/>
      <c r="HNG176" s="125"/>
      <c r="HNH176" s="125"/>
      <c r="HNI176" s="125"/>
      <c r="HNJ176" s="125"/>
      <c r="HNK176" s="125"/>
      <c r="HNL176" s="125"/>
      <c r="HNM176" s="125"/>
      <c r="HNN176" s="125"/>
      <c r="HNO176" s="125"/>
      <c r="HNP176" s="125"/>
      <c r="HNQ176" s="125"/>
      <c r="HNR176" s="125"/>
      <c r="HNS176" s="125"/>
      <c r="HNT176" s="125"/>
      <c r="HNU176" s="125"/>
      <c r="HNV176" s="125"/>
      <c r="HNW176" s="125"/>
      <c r="HNX176" s="125"/>
      <c r="HNY176" s="125"/>
      <c r="HNZ176" s="125"/>
      <c r="HOA176" s="125"/>
      <c r="HOB176" s="125"/>
      <c r="HOC176" s="125"/>
      <c r="HOD176" s="125"/>
      <c r="HOE176" s="125"/>
      <c r="HOF176" s="125"/>
      <c r="HOG176" s="125"/>
      <c r="HOH176" s="125"/>
      <c r="HOI176" s="125"/>
      <c r="HOJ176" s="125"/>
      <c r="HOK176" s="125"/>
      <c r="HOL176" s="125"/>
      <c r="HOM176" s="125"/>
      <c r="HON176" s="125"/>
      <c r="HOO176" s="125"/>
      <c r="HOP176" s="125"/>
      <c r="HOQ176" s="125"/>
      <c r="HOR176" s="125"/>
      <c r="HOS176" s="125"/>
      <c r="HOT176" s="125"/>
      <c r="HOU176" s="125"/>
      <c r="HOV176" s="125"/>
      <c r="HOW176" s="125"/>
      <c r="HOX176" s="125"/>
      <c r="HOY176" s="125"/>
      <c r="HOZ176" s="125"/>
      <c r="HPA176" s="125"/>
      <c r="HPB176" s="125"/>
      <c r="HPC176" s="125"/>
      <c r="HPD176" s="125"/>
      <c r="HPE176" s="125"/>
      <c r="HPF176" s="125"/>
      <c r="HPG176" s="125"/>
      <c r="HPH176" s="125"/>
      <c r="HPI176" s="125"/>
      <c r="HPJ176" s="125"/>
      <c r="HPK176" s="125"/>
      <c r="HPL176" s="125"/>
      <c r="HPM176" s="125"/>
      <c r="HPN176" s="125"/>
      <c r="HPO176" s="125"/>
      <c r="HPP176" s="125"/>
      <c r="HPQ176" s="125"/>
      <c r="HPR176" s="125"/>
      <c r="HPS176" s="125"/>
      <c r="HPT176" s="125"/>
      <c r="HPU176" s="125"/>
      <c r="HPV176" s="125"/>
      <c r="HPW176" s="125"/>
      <c r="HPX176" s="125"/>
      <c r="HPY176" s="125"/>
      <c r="HPZ176" s="125"/>
      <c r="HQA176" s="125"/>
      <c r="HQB176" s="125"/>
      <c r="HQC176" s="125"/>
      <c r="HQD176" s="125"/>
      <c r="HQE176" s="125"/>
      <c r="HQF176" s="125"/>
      <c r="HQG176" s="125"/>
      <c r="HQH176" s="125"/>
      <c r="HQI176" s="125"/>
      <c r="HQJ176" s="125"/>
      <c r="HQK176" s="125"/>
      <c r="HQL176" s="125"/>
      <c r="HQM176" s="125"/>
      <c r="HQN176" s="125"/>
      <c r="HQO176" s="125"/>
      <c r="HQP176" s="125"/>
      <c r="HQQ176" s="125"/>
      <c r="HQR176" s="125"/>
      <c r="HQS176" s="125"/>
      <c r="HQT176" s="125"/>
      <c r="HQU176" s="125"/>
      <c r="HQV176" s="125"/>
      <c r="HQW176" s="125"/>
      <c r="HQX176" s="125"/>
      <c r="HQY176" s="125"/>
      <c r="HQZ176" s="125"/>
      <c r="HRA176" s="125"/>
      <c r="HRB176" s="125"/>
      <c r="HRC176" s="125"/>
      <c r="HRD176" s="125"/>
      <c r="HRE176" s="125"/>
      <c r="HRF176" s="125"/>
      <c r="HRG176" s="125"/>
      <c r="HRH176" s="125"/>
      <c r="HRI176" s="125"/>
      <c r="HRJ176" s="125"/>
      <c r="HRK176" s="125"/>
      <c r="HRL176" s="125"/>
      <c r="HRM176" s="125"/>
      <c r="HRN176" s="125"/>
      <c r="HRO176" s="125"/>
      <c r="HRP176" s="125"/>
      <c r="HRQ176" s="125"/>
      <c r="HRR176" s="125"/>
      <c r="HRS176" s="125"/>
      <c r="HRT176" s="125"/>
      <c r="HRU176" s="125"/>
      <c r="HRV176" s="125"/>
      <c r="HRW176" s="125"/>
      <c r="HRX176" s="125"/>
      <c r="HRY176" s="125"/>
      <c r="HRZ176" s="125"/>
      <c r="HSA176" s="125"/>
      <c r="HSB176" s="125"/>
      <c r="HSC176" s="125"/>
      <c r="HSD176" s="125"/>
      <c r="HSE176" s="125"/>
      <c r="HSF176" s="125"/>
      <c r="HSG176" s="125"/>
      <c r="HSH176" s="125"/>
      <c r="HSI176" s="125"/>
      <c r="HSJ176" s="125"/>
      <c r="HSK176" s="125"/>
      <c r="HSL176" s="125"/>
      <c r="HSM176" s="125"/>
      <c r="HSN176" s="125"/>
      <c r="HSO176" s="125"/>
      <c r="HSP176" s="125"/>
      <c r="HSQ176" s="125"/>
      <c r="HSR176" s="125"/>
      <c r="HSS176" s="125"/>
      <c r="HST176" s="125"/>
      <c r="HSU176" s="125"/>
      <c r="HSV176" s="125"/>
      <c r="HSW176" s="125"/>
      <c r="HSX176" s="125"/>
      <c r="HSY176" s="125"/>
      <c r="HSZ176" s="125"/>
      <c r="HTA176" s="125"/>
      <c r="HTB176" s="125"/>
      <c r="HTC176" s="125"/>
      <c r="HTD176" s="125"/>
      <c r="HTE176" s="125"/>
      <c r="HTF176" s="125"/>
      <c r="HTG176" s="125"/>
      <c r="HTH176" s="125"/>
      <c r="HTI176" s="125"/>
      <c r="HTJ176" s="125"/>
      <c r="HTK176" s="125"/>
      <c r="HTL176" s="125"/>
      <c r="HTM176" s="125"/>
      <c r="HTN176" s="125"/>
      <c r="HTO176" s="125"/>
      <c r="HTP176" s="125"/>
      <c r="HTQ176" s="125"/>
      <c r="HTR176" s="125"/>
      <c r="HTS176" s="125"/>
      <c r="HTT176" s="125"/>
      <c r="HTU176" s="125"/>
      <c r="HTV176" s="125"/>
      <c r="HTW176" s="125"/>
      <c r="HTX176" s="125"/>
      <c r="HTY176" s="125"/>
      <c r="HTZ176" s="125"/>
      <c r="HUA176" s="125"/>
      <c r="HUB176" s="125"/>
      <c r="HUC176" s="125"/>
      <c r="HUD176" s="125"/>
      <c r="HUE176" s="125"/>
      <c r="HUF176" s="125"/>
      <c r="HUG176" s="125"/>
      <c r="HUH176" s="125"/>
      <c r="HUI176" s="125"/>
      <c r="HUJ176" s="125"/>
      <c r="HUK176" s="125"/>
      <c r="HUL176" s="125"/>
      <c r="HUM176" s="125"/>
      <c r="HUN176" s="125"/>
      <c r="HUO176" s="125"/>
      <c r="HUP176" s="125"/>
      <c r="HUQ176" s="125"/>
      <c r="HUR176" s="125"/>
      <c r="HUS176" s="125"/>
      <c r="HUT176" s="125"/>
      <c r="HUU176" s="125"/>
      <c r="HUV176" s="125"/>
      <c r="HUW176" s="125"/>
      <c r="HUX176" s="125"/>
      <c r="HUY176" s="125"/>
      <c r="HUZ176" s="125"/>
      <c r="HVA176" s="125"/>
      <c r="HVB176" s="125"/>
      <c r="HVC176" s="125"/>
      <c r="HVD176" s="125"/>
      <c r="HVE176" s="125"/>
      <c r="HVF176" s="125"/>
      <c r="HVG176" s="125"/>
      <c r="HVH176" s="125"/>
      <c r="HVI176" s="125"/>
      <c r="HVJ176" s="125"/>
      <c r="HVK176" s="125"/>
      <c r="HVL176" s="125"/>
      <c r="HVM176" s="125"/>
      <c r="HVN176" s="125"/>
      <c r="HVO176" s="125"/>
      <c r="HVP176" s="125"/>
      <c r="HVQ176" s="125"/>
      <c r="HVR176" s="125"/>
      <c r="HVS176" s="125"/>
      <c r="HVT176" s="125"/>
      <c r="HVU176" s="125"/>
      <c r="HVV176" s="125"/>
      <c r="HVW176" s="125"/>
      <c r="HVX176" s="125"/>
      <c r="HVY176" s="125"/>
      <c r="HVZ176" s="125"/>
      <c r="HWA176" s="125"/>
      <c r="HWB176" s="125"/>
      <c r="HWC176" s="125"/>
      <c r="HWD176" s="125"/>
      <c r="HWE176" s="125"/>
      <c r="HWF176" s="125"/>
      <c r="HWG176" s="125"/>
      <c r="HWH176" s="125"/>
      <c r="HWI176" s="125"/>
      <c r="HWJ176" s="125"/>
      <c r="HWK176" s="125"/>
      <c r="HWL176" s="125"/>
      <c r="HWM176" s="125"/>
      <c r="HWN176" s="125"/>
      <c r="HWO176" s="125"/>
      <c r="HWP176" s="125"/>
      <c r="HWQ176" s="125"/>
      <c r="HWR176" s="125"/>
      <c r="HWS176" s="125"/>
      <c r="HWT176" s="125"/>
      <c r="HWU176" s="125"/>
      <c r="HWV176" s="125"/>
      <c r="HWW176" s="125"/>
      <c r="HWX176" s="125"/>
      <c r="HWY176" s="125"/>
      <c r="HWZ176" s="125"/>
      <c r="HXA176" s="125"/>
      <c r="HXB176" s="125"/>
      <c r="HXC176" s="125"/>
      <c r="HXD176" s="125"/>
      <c r="HXE176" s="125"/>
      <c r="HXF176" s="125"/>
      <c r="HXG176" s="125"/>
      <c r="HXH176" s="125"/>
      <c r="HXI176" s="125"/>
      <c r="HXJ176" s="125"/>
      <c r="HXK176" s="125"/>
      <c r="HXL176" s="125"/>
      <c r="HXM176" s="125"/>
      <c r="HXN176" s="125"/>
      <c r="HXO176" s="125"/>
      <c r="HXP176" s="125"/>
      <c r="HXQ176" s="125"/>
      <c r="HXR176" s="125"/>
      <c r="HXS176" s="125"/>
      <c r="HXT176" s="125"/>
      <c r="HXU176" s="125"/>
      <c r="HXV176" s="125"/>
      <c r="HXW176" s="125"/>
      <c r="HXX176" s="125"/>
      <c r="HXY176" s="125"/>
      <c r="HXZ176" s="125"/>
      <c r="HYA176" s="125"/>
      <c r="HYB176" s="125"/>
      <c r="HYC176" s="125"/>
      <c r="HYD176" s="125"/>
      <c r="HYE176" s="125"/>
      <c r="HYF176" s="125"/>
      <c r="HYG176" s="125"/>
      <c r="HYH176" s="125"/>
      <c r="HYI176" s="125"/>
      <c r="HYJ176" s="125"/>
      <c r="HYK176" s="125"/>
      <c r="HYL176" s="125"/>
      <c r="HYM176" s="125"/>
      <c r="HYN176" s="125"/>
      <c r="HYO176" s="125"/>
      <c r="HYP176" s="125"/>
      <c r="HYQ176" s="125"/>
      <c r="HYR176" s="125"/>
      <c r="HYS176" s="125"/>
      <c r="HYT176" s="125"/>
      <c r="HYU176" s="125"/>
      <c r="HYV176" s="125"/>
      <c r="HYW176" s="125"/>
      <c r="HYX176" s="125"/>
      <c r="HYY176" s="125"/>
      <c r="HYZ176" s="125"/>
      <c r="HZA176" s="125"/>
      <c r="HZB176" s="125"/>
      <c r="HZC176" s="125"/>
      <c r="HZD176" s="125"/>
      <c r="HZE176" s="125"/>
      <c r="HZF176" s="125"/>
      <c r="HZG176" s="125"/>
      <c r="HZH176" s="125"/>
      <c r="HZI176" s="125"/>
      <c r="HZJ176" s="125"/>
      <c r="HZK176" s="125"/>
      <c r="HZL176" s="125"/>
      <c r="HZM176" s="125"/>
      <c r="HZN176" s="125"/>
      <c r="HZO176" s="125"/>
      <c r="HZP176" s="125"/>
      <c r="HZQ176" s="125"/>
      <c r="HZR176" s="125"/>
      <c r="HZS176" s="125"/>
      <c r="HZT176" s="125"/>
      <c r="HZU176" s="125"/>
      <c r="HZV176" s="125"/>
      <c r="HZW176" s="125"/>
      <c r="HZX176" s="125"/>
      <c r="HZY176" s="125"/>
      <c r="HZZ176" s="125"/>
      <c r="IAA176" s="125"/>
      <c r="IAB176" s="125"/>
      <c r="IAC176" s="125"/>
      <c r="IAD176" s="125"/>
      <c r="IAE176" s="125"/>
      <c r="IAF176" s="125"/>
      <c r="IAG176" s="125"/>
      <c r="IAH176" s="125"/>
      <c r="IAI176" s="125"/>
      <c r="IAJ176" s="125"/>
      <c r="IAK176" s="125"/>
      <c r="IAL176" s="125"/>
      <c r="IAM176" s="125"/>
      <c r="IAN176" s="125"/>
      <c r="IAO176" s="125"/>
      <c r="IAP176" s="125"/>
      <c r="IAQ176" s="125"/>
      <c r="IAR176" s="125"/>
      <c r="IAS176" s="125"/>
      <c r="IAT176" s="125"/>
      <c r="IAU176" s="125"/>
      <c r="IAV176" s="125"/>
      <c r="IAW176" s="125"/>
      <c r="IAX176" s="125"/>
      <c r="IAY176" s="125"/>
      <c r="IAZ176" s="125"/>
      <c r="IBA176" s="125"/>
      <c r="IBB176" s="125"/>
      <c r="IBC176" s="125"/>
      <c r="IBD176" s="125"/>
      <c r="IBE176" s="125"/>
      <c r="IBF176" s="125"/>
      <c r="IBG176" s="125"/>
      <c r="IBH176" s="125"/>
      <c r="IBI176" s="125"/>
      <c r="IBJ176" s="125"/>
      <c r="IBK176" s="125"/>
      <c r="IBL176" s="125"/>
      <c r="IBM176" s="125"/>
      <c r="IBN176" s="125"/>
      <c r="IBO176" s="125"/>
      <c r="IBP176" s="125"/>
      <c r="IBQ176" s="125"/>
      <c r="IBR176" s="125"/>
      <c r="IBS176" s="125"/>
      <c r="IBT176" s="125"/>
      <c r="IBU176" s="125"/>
      <c r="IBV176" s="125"/>
      <c r="IBW176" s="125"/>
      <c r="IBX176" s="125"/>
      <c r="IBY176" s="125"/>
      <c r="IBZ176" s="125"/>
      <c r="ICA176" s="125"/>
      <c r="ICB176" s="125"/>
      <c r="ICC176" s="125"/>
      <c r="ICD176" s="125"/>
      <c r="ICE176" s="125"/>
      <c r="ICF176" s="125"/>
      <c r="ICG176" s="125"/>
      <c r="ICH176" s="125"/>
      <c r="ICI176" s="125"/>
      <c r="ICJ176" s="125"/>
      <c r="ICK176" s="125"/>
      <c r="ICL176" s="125"/>
      <c r="ICM176" s="125"/>
      <c r="ICN176" s="125"/>
      <c r="ICO176" s="125"/>
      <c r="ICP176" s="125"/>
      <c r="ICQ176" s="125"/>
      <c r="ICR176" s="125"/>
      <c r="ICS176" s="125"/>
      <c r="ICT176" s="125"/>
      <c r="ICU176" s="125"/>
      <c r="ICV176" s="125"/>
      <c r="ICW176" s="125"/>
      <c r="ICX176" s="125"/>
      <c r="ICY176" s="125"/>
      <c r="ICZ176" s="125"/>
      <c r="IDA176" s="125"/>
      <c r="IDB176" s="125"/>
      <c r="IDC176" s="125"/>
      <c r="IDD176" s="125"/>
      <c r="IDE176" s="125"/>
      <c r="IDF176" s="125"/>
      <c r="IDG176" s="125"/>
      <c r="IDH176" s="125"/>
      <c r="IDI176" s="125"/>
      <c r="IDJ176" s="125"/>
      <c r="IDK176" s="125"/>
      <c r="IDL176" s="125"/>
      <c r="IDM176" s="125"/>
      <c r="IDN176" s="125"/>
      <c r="IDO176" s="125"/>
      <c r="IDP176" s="125"/>
      <c r="IDQ176" s="125"/>
      <c r="IDR176" s="125"/>
      <c r="IDS176" s="125"/>
      <c r="IDT176" s="125"/>
      <c r="IDU176" s="125"/>
      <c r="IDV176" s="125"/>
      <c r="IDW176" s="125"/>
      <c r="IDX176" s="125"/>
      <c r="IDY176" s="125"/>
      <c r="IDZ176" s="125"/>
      <c r="IEA176" s="125"/>
      <c r="IEB176" s="125"/>
      <c r="IEC176" s="125"/>
      <c r="IED176" s="125"/>
      <c r="IEE176" s="125"/>
      <c r="IEF176" s="125"/>
      <c r="IEG176" s="125"/>
      <c r="IEH176" s="125"/>
      <c r="IEI176" s="125"/>
      <c r="IEJ176" s="125"/>
      <c r="IEK176" s="125"/>
      <c r="IEL176" s="125"/>
      <c r="IEM176" s="125"/>
      <c r="IEN176" s="125"/>
      <c r="IEO176" s="125"/>
      <c r="IEP176" s="125"/>
      <c r="IEQ176" s="125"/>
      <c r="IER176" s="125"/>
      <c r="IES176" s="125"/>
      <c r="IET176" s="125"/>
      <c r="IEU176" s="125"/>
      <c r="IEV176" s="125"/>
      <c r="IEW176" s="125"/>
      <c r="IEX176" s="125"/>
      <c r="IEY176" s="125"/>
      <c r="IEZ176" s="125"/>
      <c r="IFA176" s="125"/>
      <c r="IFB176" s="125"/>
      <c r="IFC176" s="125"/>
      <c r="IFD176" s="125"/>
      <c r="IFE176" s="125"/>
      <c r="IFF176" s="125"/>
      <c r="IFG176" s="125"/>
      <c r="IFH176" s="125"/>
      <c r="IFI176" s="125"/>
      <c r="IFJ176" s="125"/>
      <c r="IFK176" s="125"/>
      <c r="IFL176" s="125"/>
      <c r="IFM176" s="125"/>
      <c r="IFN176" s="125"/>
      <c r="IFO176" s="125"/>
      <c r="IFP176" s="125"/>
      <c r="IFQ176" s="125"/>
      <c r="IFR176" s="125"/>
      <c r="IFS176" s="125"/>
      <c r="IFT176" s="125"/>
      <c r="IFU176" s="125"/>
      <c r="IFV176" s="125"/>
      <c r="IFW176" s="125"/>
      <c r="IFX176" s="125"/>
      <c r="IFY176" s="125"/>
      <c r="IFZ176" s="125"/>
      <c r="IGA176" s="125"/>
      <c r="IGB176" s="125"/>
      <c r="IGC176" s="125"/>
      <c r="IGD176" s="125"/>
      <c r="IGE176" s="125"/>
      <c r="IGF176" s="125"/>
      <c r="IGG176" s="125"/>
      <c r="IGH176" s="125"/>
      <c r="IGI176" s="125"/>
      <c r="IGJ176" s="125"/>
      <c r="IGK176" s="125"/>
      <c r="IGL176" s="125"/>
      <c r="IGM176" s="125"/>
      <c r="IGN176" s="125"/>
      <c r="IGO176" s="125"/>
      <c r="IGP176" s="125"/>
      <c r="IGQ176" s="125"/>
      <c r="IGR176" s="125"/>
      <c r="IGS176" s="125"/>
      <c r="IGT176" s="125"/>
      <c r="IGU176" s="125"/>
      <c r="IGV176" s="125"/>
      <c r="IGW176" s="125"/>
      <c r="IGX176" s="125"/>
      <c r="IGY176" s="125"/>
      <c r="IGZ176" s="125"/>
      <c r="IHA176" s="125"/>
      <c r="IHB176" s="125"/>
      <c r="IHC176" s="125"/>
      <c r="IHD176" s="125"/>
      <c r="IHE176" s="125"/>
      <c r="IHF176" s="125"/>
      <c r="IHG176" s="125"/>
      <c r="IHH176" s="125"/>
      <c r="IHI176" s="125"/>
      <c r="IHJ176" s="125"/>
      <c r="IHK176" s="125"/>
      <c r="IHL176" s="125"/>
      <c r="IHM176" s="125"/>
      <c r="IHN176" s="125"/>
      <c r="IHO176" s="125"/>
      <c r="IHP176" s="125"/>
      <c r="IHQ176" s="125"/>
      <c r="IHR176" s="125"/>
      <c r="IHS176" s="125"/>
      <c r="IHT176" s="125"/>
      <c r="IHU176" s="125"/>
      <c r="IHV176" s="125"/>
      <c r="IHW176" s="125"/>
      <c r="IHX176" s="125"/>
      <c r="IHY176" s="125"/>
      <c r="IHZ176" s="125"/>
      <c r="IIA176" s="125"/>
      <c r="IIB176" s="125"/>
      <c r="IIC176" s="125"/>
      <c r="IID176" s="125"/>
      <c r="IIE176" s="125"/>
      <c r="IIF176" s="125"/>
      <c r="IIG176" s="125"/>
      <c r="IIH176" s="125"/>
      <c r="III176" s="125"/>
      <c r="IIJ176" s="125"/>
      <c r="IIK176" s="125"/>
      <c r="IIL176" s="125"/>
      <c r="IIM176" s="125"/>
      <c r="IIN176" s="125"/>
      <c r="IIO176" s="125"/>
      <c r="IIP176" s="125"/>
      <c r="IIQ176" s="125"/>
      <c r="IIR176" s="125"/>
      <c r="IIS176" s="125"/>
      <c r="IIT176" s="125"/>
      <c r="IIU176" s="125"/>
      <c r="IIV176" s="125"/>
      <c r="IIW176" s="125"/>
      <c r="IIX176" s="125"/>
      <c r="IIY176" s="125"/>
      <c r="IIZ176" s="125"/>
      <c r="IJA176" s="125"/>
      <c r="IJB176" s="125"/>
      <c r="IJC176" s="125"/>
      <c r="IJD176" s="125"/>
      <c r="IJE176" s="125"/>
      <c r="IJF176" s="125"/>
      <c r="IJG176" s="125"/>
      <c r="IJH176" s="125"/>
      <c r="IJI176" s="125"/>
      <c r="IJJ176" s="125"/>
      <c r="IJK176" s="125"/>
      <c r="IJL176" s="125"/>
      <c r="IJM176" s="125"/>
      <c r="IJN176" s="125"/>
      <c r="IJO176" s="125"/>
      <c r="IJP176" s="125"/>
      <c r="IJQ176" s="125"/>
      <c r="IJR176" s="125"/>
      <c r="IJS176" s="125"/>
      <c r="IJT176" s="125"/>
      <c r="IJU176" s="125"/>
      <c r="IJV176" s="125"/>
      <c r="IJW176" s="125"/>
      <c r="IJX176" s="125"/>
      <c r="IJY176" s="125"/>
      <c r="IJZ176" s="125"/>
      <c r="IKA176" s="125"/>
      <c r="IKB176" s="125"/>
      <c r="IKC176" s="125"/>
      <c r="IKD176" s="125"/>
      <c r="IKE176" s="125"/>
      <c r="IKF176" s="125"/>
      <c r="IKG176" s="125"/>
      <c r="IKH176" s="125"/>
      <c r="IKI176" s="125"/>
      <c r="IKJ176" s="125"/>
      <c r="IKK176" s="125"/>
      <c r="IKL176" s="125"/>
      <c r="IKM176" s="125"/>
      <c r="IKN176" s="125"/>
      <c r="IKO176" s="125"/>
      <c r="IKP176" s="125"/>
      <c r="IKQ176" s="125"/>
      <c r="IKR176" s="125"/>
      <c r="IKS176" s="125"/>
      <c r="IKT176" s="125"/>
      <c r="IKU176" s="125"/>
      <c r="IKV176" s="125"/>
      <c r="IKW176" s="125"/>
      <c r="IKX176" s="125"/>
      <c r="IKY176" s="125"/>
      <c r="IKZ176" s="125"/>
      <c r="ILA176" s="125"/>
      <c r="ILB176" s="125"/>
      <c r="ILC176" s="125"/>
      <c r="ILD176" s="125"/>
      <c r="ILE176" s="125"/>
      <c r="ILF176" s="125"/>
      <c r="ILG176" s="125"/>
      <c r="ILH176" s="125"/>
      <c r="ILI176" s="125"/>
      <c r="ILJ176" s="125"/>
      <c r="ILK176" s="125"/>
      <c r="ILL176" s="125"/>
      <c r="ILM176" s="125"/>
      <c r="ILN176" s="125"/>
      <c r="ILO176" s="125"/>
      <c r="ILP176" s="125"/>
      <c r="ILQ176" s="125"/>
      <c r="ILR176" s="125"/>
      <c r="ILS176" s="125"/>
      <c r="ILT176" s="125"/>
      <c r="ILU176" s="125"/>
      <c r="ILV176" s="125"/>
      <c r="ILW176" s="125"/>
      <c r="ILX176" s="125"/>
      <c r="ILY176" s="125"/>
      <c r="ILZ176" s="125"/>
      <c r="IMA176" s="125"/>
      <c r="IMB176" s="125"/>
      <c r="IMC176" s="125"/>
      <c r="IMD176" s="125"/>
      <c r="IME176" s="125"/>
      <c r="IMF176" s="125"/>
      <c r="IMG176" s="125"/>
      <c r="IMH176" s="125"/>
      <c r="IMI176" s="125"/>
      <c r="IMJ176" s="125"/>
      <c r="IMK176" s="125"/>
      <c r="IML176" s="125"/>
      <c r="IMM176" s="125"/>
      <c r="IMN176" s="125"/>
      <c r="IMO176" s="125"/>
      <c r="IMP176" s="125"/>
      <c r="IMQ176" s="125"/>
      <c r="IMR176" s="125"/>
      <c r="IMS176" s="125"/>
      <c r="IMT176" s="125"/>
      <c r="IMU176" s="125"/>
      <c r="IMV176" s="125"/>
      <c r="IMW176" s="125"/>
      <c r="IMX176" s="125"/>
      <c r="IMY176" s="125"/>
      <c r="IMZ176" s="125"/>
      <c r="INA176" s="125"/>
      <c r="INB176" s="125"/>
      <c r="INC176" s="125"/>
      <c r="IND176" s="125"/>
      <c r="INE176" s="125"/>
      <c r="INF176" s="125"/>
      <c r="ING176" s="125"/>
      <c r="INH176" s="125"/>
      <c r="INI176" s="125"/>
      <c r="INJ176" s="125"/>
      <c r="INK176" s="125"/>
      <c r="INL176" s="125"/>
      <c r="INM176" s="125"/>
      <c r="INN176" s="125"/>
      <c r="INO176" s="125"/>
      <c r="INP176" s="125"/>
      <c r="INQ176" s="125"/>
      <c r="INR176" s="125"/>
      <c r="INS176" s="125"/>
      <c r="INT176" s="125"/>
      <c r="INU176" s="125"/>
      <c r="INV176" s="125"/>
      <c r="INW176" s="125"/>
      <c r="INX176" s="125"/>
      <c r="INY176" s="125"/>
      <c r="INZ176" s="125"/>
      <c r="IOA176" s="125"/>
      <c r="IOB176" s="125"/>
      <c r="IOC176" s="125"/>
      <c r="IOD176" s="125"/>
      <c r="IOE176" s="125"/>
      <c r="IOF176" s="125"/>
      <c r="IOG176" s="125"/>
      <c r="IOH176" s="125"/>
      <c r="IOI176" s="125"/>
      <c r="IOJ176" s="125"/>
      <c r="IOK176" s="125"/>
      <c r="IOL176" s="125"/>
      <c r="IOM176" s="125"/>
      <c r="ION176" s="125"/>
      <c r="IOO176" s="125"/>
      <c r="IOP176" s="125"/>
      <c r="IOQ176" s="125"/>
      <c r="IOR176" s="125"/>
      <c r="IOS176" s="125"/>
      <c r="IOT176" s="125"/>
      <c r="IOU176" s="125"/>
      <c r="IOV176" s="125"/>
      <c r="IOW176" s="125"/>
      <c r="IOX176" s="125"/>
      <c r="IOY176" s="125"/>
      <c r="IOZ176" s="125"/>
      <c r="IPA176" s="125"/>
      <c r="IPB176" s="125"/>
      <c r="IPC176" s="125"/>
      <c r="IPD176" s="125"/>
      <c r="IPE176" s="125"/>
      <c r="IPF176" s="125"/>
      <c r="IPG176" s="125"/>
      <c r="IPH176" s="125"/>
      <c r="IPI176" s="125"/>
      <c r="IPJ176" s="125"/>
      <c r="IPK176" s="125"/>
      <c r="IPL176" s="125"/>
      <c r="IPM176" s="125"/>
      <c r="IPN176" s="125"/>
      <c r="IPO176" s="125"/>
      <c r="IPP176" s="125"/>
      <c r="IPQ176" s="125"/>
      <c r="IPR176" s="125"/>
      <c r="IPS176" s="125"/>
      <c r="IPT176" s="125"/>
      <c r="IPU176" s="125"/>
      <c r="IPV176" s="125"/>
      <c r="IPW176" s="125"/>
      <c r="IPX176" s="125"/>
      <c r="IPY176" s="125"/>
      <c r="IPZ176" s="125"/>
      <c r="IQA176" s="125"/>
      <c r="IQB176" s="125"/>
      <c r="IQC176" s="125"/>
      <c r="IQD176" s="125"/>
      <c r="IQE176" s="125"/>
      <c r="IQF176" s="125"/>
      <c r="IQG176" s="125"/>
      <c r="IQH176" s="125"/>
      <c r="IQI176" s="125"/>
      <c r="IQJ176" s="125"/>
      <c r="IQK176" s="125"/>
      <c r="IQL176" s="125"/>
      <c r="IQM176" s="125"/>
      <c r="IQN176" s="125"/>
      <c r="IQO176" s="125"/>
      <c r="IQP176" s="125"/>
      <c r="IQQ176" s="125"/>
      <c r="IQR176" s="125"/>
      <c r="IQS176" s="125"/>
      <c r="IQT176" s="125"/>
      <c r="IQU176" s="125"/>
      <c r="IQV176" s="125"/>
      <c r="IQW176" s="125"/>
      <c r="IQX176" s="125"/>
      <c r="IQY176" s="125"/>
      <c r="IQZ176" s="125"/>
      <c r="IRA176" s="125"/>
      <c r="IRB176" s="125"/>
      <c r="IRC176" s="125"/>
      <c r="IRD176" s="125"/>
      <c r="IRE176" s="125"/>
      <c r="IRF176" s="125"/>
      <c r="IRG176" s="125"/>
      <c r="IRH176" s="125"/>
      <c r="IRI176" s="125"/>
      <c r="IRJ176" s="125"/>
      <c r="IRK176" s="125"/>
      <c r="IRL176" s="125"/>
      <c r="IRM176" s="125"/>
      <c r="IRN176" s="125"/>
      <c r="IRO176" s="125"/>
      <c r="IRP176" s="125"/>
      <c r="IRQ176" s="125"/>
      <c r="IRR176" s="125"/>
      <c r="IRS176" s="125"/>
      <c r="IRT176" s="125"/>
      <c r="IRU176" s="125"/>
      <c r="IRV176" s="125"/>
      <c r="IRW176" s="125"/>
      <c r="IRX176" s="125"/>
      <c r="IRY176" s="125"/>
      <c r="IRZ176" s="125"/>
      <c r="ISA176" s="125"/>
      <c r="ISB176" s="125"/>
      <c r="ISC176" s="125"/>
      <c r="ISD176" s="125"/>
      <c r="ISE176" s="125"/>
      <c r="ISF176" s="125"/>
      <c r="ISG176" s="125"/>
      <c r="ISH176" s="125"/>
      <c r="ISI176" s="125"/>
      <c r="ISJ176" s="125"/>
      <c r="ISK176" s="125"/>
      <c r="ISL176" s="125"/>
      <c r="ISM176" s="125"/>
      <c r="ISN176" s="125"/>
      <c r="ISO176" s="125"/>
      <c r="ISP176" s="125"/>
      <c r="ISQ176" s="125"/>
      <c r="ISR176" s="125"/>
      <c r="ISS176" s="125"/>
      <c r="IST176" s="125"/>
      <c r="ISU176" s="125"/>
      <c r="ISV176" s="125"/>
      <c r="ISW176" s="125"/>
      <c r="ISX176" s="125"/>
      <c r="ISY176" s="125"/>
      <c r="ISZ176" s="125"/>
      <c r="ITA176" s="125"/>
      <c r="ITB176" s="125"/>
      <c r="ITC176" s="125"/>
      <c r="ITD176" s="125"/>
      <c r="ITE176" s="125"/>
      <c r="ITF176" s="125"/>
      <c r="ITG176" s="125"/>
      <c r="ITH176" s="125"/>
      <c r="ITI176" s="125"/>
      <c r="ITJ176" s="125"/>
      <c r="ITK176" s="125"/>
      <c r="ITL176" s="125"/>
      <c r="ITM176" s="125"/>
      <c r="ITN176" s="125"/>
      <c r="ITO176" s="125"/>
      <c r="ITP176" s="125"/>
      <c r="ITQ176" s="125"/>
      <c r="ITR176" s="125"/>
      <c r="ITS176" s="125"/>
      <c r="ITT176" s="125"/>
      <c r="ITU176" s="125"/>
      <c r="ITV176" s="125"/>
      <c r="ITW176" s="125"/>
      <c r="ITX176" s="125"/>
      <c r="ITY176" s="125"/>
      <c r="ITZ176" s="125"/>
      <c r="IUA176" s="125"/>
      <c r="IUB176" s="125"/>
      <c r="IUC176" s="125"/>
      <c r="IUD176" s="125"/>
      <c r="IUE176" s="125"/>
      <c r="IUF176" s="125"/>
      <c r="IUG176" s="125"/>
      <c r="IUH176" s="125"/>
      <c r="IUI176" s="125"/>
      <c r="IUJ176" s="125"/>
      <c r="IUK176" s="125"/>
      <c r="IUL176" s="125"/>
      <c r="IUM176" s="125"/>
      <c r="IUN176" s="125"/>
      <c r="IUO176" s="125"/>
      <c r="IUP176" s="125"/>
      <c r="IUQ176" s="125"/>
      <c r="IUR176" s="125"/>
      <c r="IUS176" s="125"/>
      <c r="IUT176" s="125"/>
      <c r="IUU176" s="125"/>
      <c r="IUV176" s="125"/>
      <c r="IUW176" s="125"/>
      <c r="IUX176" s="125"/>
      <c r="IUY176" s="125"/>
      <c r="IUZ176" s="125"/>
      <c r="IVA176" s="125"/>
      <c r="IVB176" s="125"/>
      <c r="IVC176" s="125"/>
      <c r="IVD176" s="125"/>
      <c r="IVE176" s="125"/>
      <c r="IVF176" s="125"/>
      <c r="IVG176" s="125"/>
      <c r="IVH176" s="125"/>
      <c r="IVI176" s="125"/>
      <c r="IVJ176" s="125"/>
      <c r="IVK176" s="125"/>
      <c r="IVL176" s="125"/>
      <c r="IVM176" s="125"/>
      <c r="IVN176" s="125"/>
      <c r="IVO176" s="125"/>
      <c r="IVP176" s="125"/>
      <c r="IVQ176" s="125"/>
      <c r="IVR176" s="125"/>
      <c r="IVS176" s="125"/>
      <c r="IVT176" s="125"/>
      <c r="IVU176" s="125"/>
      <c r="IVV176" s="125"/>
      <c r="IVW176" s="125"/>
      <c r="IVX176" s="125"/>
      <c r="IVY176" s="125"/>
      <c r="IVZ176" s="125"/>
      <c r="IWA176" s="125"/>
      <c r="IWB176" s="125"/>
      <c r="IWC176" s="125"/>
      <c r="IWD176" s="125"/>
      <c r="IWE176" s="125"/>
      <c r="IWF176" s="125"/>
      <c r="IWG176" s="125"/>
      <c r="IWH176" s="125"/>
      <c r="IWI176" s="125"/>
      <c r="IWJ176" s="125"/>
      <c r="IWK176" s="125"/>
      <c r="IWL176" s="125"/>
      <c r="IWM176" s="125"/>
      <c r="IWN176" s="125"/>
      <c r="IWO176" s="125"/>
      <c r="IWP176" s="125"/>
      <c r="IWQ176" s="125"/>
      <c r="IWR176" s="125"/>
      <c r="IWS176" s="125"/>
      <c r="IWT176" s="125"/>
      <c r="IWU176" s="125"/>
      <c r="IWV176" s="125"/>
      <c r="IWW176" s="125"/>
      <c r="IWX176" s="125"/>
      <c r="IWY176" s="125"/>
      <c r="IWZ176" s="125"/>
      <c r="IXA176" s="125"/>
      <c r="IXB176" s="125"/>
      <c r="IXC176" s="125"/>
      <c r="IXD176" s="125"/>
      <c r="IXE176" s="125"/>
      <c r="IXF176" s="125"/>
      <c r="IXG176" s="125"/>
      <c r="IXH176" s="125"/>
      <c r="IXI176" s="125"/>
      <c r="IXJ176" s="125"/>
      <c r="IXK176" s="125"/>
      <c r="IXL176" s="125"/>
      <c r="IXM176" s="125"/>
      <c r="IXN176" s="125"/>
      <c r="IXO176" s="125"/>
      <c r="IXP176" s="125"/>
      <c r="IXQ176" s="125"/>
      <c r="IXR176" s="125"/>
      <c r="IXS176" s="125"/>
      <c r="IXT176" s="125"/>
      <c r="IXU176" s="125"/>
      <c r="IXV176" s="125"/>
      <c r="IXW176" s="125"/>
      <c r="IXX176" s="125"/>
      <c r="IXY176" s="125"/>
      <c r="IXZ176" s="125"/>
      <c r="IYA176" s="125"/>
      <c r="IYB176" s="125"/>
      <c r="IYC176" s="125"/>
      <c r="IYD176" s="125"/>
      <c r="IYE176" s="125"/>
      <c r="IYF176" s="125"/>
      <c r="IYG176" s="125"/>
      <c r="IYH176" s="125"/>
      <c r="IYI176" s="125"/>
      <c r="IYJ176" s="125"/>
      <c r="IYK176" s="125"/>
      <c r="IYL176" s="125"/>
      <c r="IYM176" s="125"/>
      <c r="IYN176" s="125"/>
      <c r="IYO176" s="125"/>
      <c r="IYP176" s="125"/>
      <c r="IYQ176" s="125"/>
      <c r="IYR176" s="125"/>
      <c r="IYS176" s="125"/>
      <c r="IYT176" s="125"/>
      <c r="IYU176" s="125"/>
      <c r="IYV176" s="125"/>
      <c r="IYW176" s="125"/>
      <c r="IYX176" s="125"/>
      <c r="IYY176" s="125"/>
      <c r="IYZ176" s="125"/>
      <c r="IZA176" s="125"/>
      <c r="IZB176" s="125"/>
      <c r="IZC176" s="125"/>
      <c r="IZD176" s="125"/>
      <c r="IZE176" s="125"/>
      <c r="IZF176" s="125"/>
      <c r="IZG176" s="125"/>
      <c r="IZH176" s="125"/>
      <c r="IZI176" s="125"/>
      <c r="IZJ176" s="125"/>
      <c r="IZK176" s="125"/>
      <c r="IZL176" s="125"/>
      <c r="IZM176" s="125"/>
      <c r="IZN176" s="125"/>
      <c r="IZO176" s="125"/>
      <c r="IZP176" s="125"/>
      <c r="IZQ176" s="125"/>
      <c r="IZR176" s="125"/>
      <c r="IZS176" s="125"/>
      <c r="IZT176" s="125"/>
      <c r="IZU176" s="125"/>
      <c r="IZV176" s="125"/>
      <c r="IZW176" s="125"/>
      <c r="IZX176" s="125"/>
      <c r="IZY176" s="125"/>
      <c r="IZZ176" s="125"/>
      <c r="JAA176" s="125"/>
      <c r="JAB176" s="125"/>
      <c r="JAC176" s="125"/>
      <c r="JAD176" s="125"/>
      <c r="JAE176" s="125"/>
      <c r="JAF176" s="125"/>
      <c r="JAG176" s="125"/>
      <c r="JAH176" s="125"/>
      <c r="JAI176" s="125"/>
      <c r="JAJ176" s="125"/>
      <c r="JAK176" s="125"/>
      <c r="JAL176" s="125"/>
      <c r="JAM176" s="125"/>
      <c r="JAN176" s="125"/>
      <c r="JAO176" s="125"/>
      <c r="JAP176" s="125"/>
      <c r="JAQ176" s="125"/>
      <c r="JAR176" s="125"/>
      <c r="JAS176" s="125"/>
      <c r="JAT176" s="125"/>
      <c r="JAU176" s="125"/>
      <c r="JAV176" s="125"/>
      <c r="JAW176" s="125"/>
      <c r="JAX176" s="125"/>
      <c r="JAY176" s="125"/>
      <c r="JAZ176" s="125"/>
      <c r="JBA176" s="125"/>
      <c r="JBB176" s="125"/>
      <c r="JBC176" s="125"/>
      <c r="JBD176" s="125"/>
      <c r="JBE176" s="125"/>
      <c r="JBF176" s="125"/>
      <c r="JBG176" s="125"/>
      <c r="JBH176" s="125"/>
      <c r="JBI176" s="125"/>
      <c r="JBJ176" s="125"/>
      <c r="JBK176" s="125"/>
      <c r="JBL176" s="125"/>
      <c r="JBM176" s="125"/>
      <c r="JBN176" s="125"/>
      <c r="JBO176" s="125"/>
      <c r="JBP176" s="125"/>
      <c r="JBQ176" s="125"/>
      <c r="JBR176" s="125"/>
      <c r="JBS176" s="125"/>
      <c r="JBT176" s="125"/>
      <c r="JBU176" s="125"/>
      <c r="JBV176" s="125"/>
      <c r="JBW176" s="125"/>
      <c r="JBX176" s="125"/>
      <c r="JBY176" s="125"/>
      <c r="JBZ176" s="125"/>
      <c r="JCA176" s="125"/>
      <c r="JCB176" s="125"/>
      <c r="JCC176" s="125"/>
      <c r="JCD176" s="125"/>
      <c r="JCE176" s="125"/>
      <c r="JCF176" s="125"/>
      <c r="JCG176" s="125"/>
      <c r="JCH176" s="125"/>
      <c r="JCI176" s="125"/>
      <c r="JCJ176" s="125"/>
      <c r="JCK176" s="125"/>
      <c r="JCL176" s="125"/>
      <c r="JCM176" s="125"/>
      <c r="JCN176" s="125"/>
      <c r="JCO176" s="125"/>
      <c r="JCP176" s="125"/>
      <c r="JCQ176" s="125"/>
      <c r="JCR176" s="125"/>
      <c r="JCS176" s="125"/>
      <c r="JCT176" s="125"/>
      <c r="JCU176" s="125"/>
      <c r="JCV176" s="125"/>
      <c r="JCW176" s="125"/>
      <c r="JCX176" s="125"/>
      <c r="JCY176" s="125"/>
      <c r="JCZ176" s="125"/>
      <c r="JDA176" s="125"/>
      <c r="JDB176" s="125"/>
      <c r="JDC176" s="125"/>
      <c r="JDD176" s="125"/>
      <c r="JDE176" s="125"/>
      <c r="JDF176" s="125"/>
      <c r="JDG176" s="125"/>
      <c r="JDH176" s="125"/>
      <c r="JDI176" s="125"/>
      <c r="JDJ176" s="125"/>
      <c r="JDK176" s="125"/>
      <c r="JDL176" s="125"/>
      <c r="JDM176" s="125"/>
      <c r="JDN176" s="125"/>
      <c r="JDO176" s="125"/>
      <c r="JDP176" s="125"/>
      <c r="JDQ176" s="125"/>
      <c r="JDR176" s="125"/>
      <c r="JDS176" s="125"/>
      <c r="JDT176" s="125"/>
      <c r="JDU176" s="125"/>
      <c r="JDV176" s="125"/>
      <c r="JDW176" s="125"/>
      <c r="JDX176" s="125"/>
      <c r="JDY176" s="125"/>
      <c r="JDZ176" s="125"/>
      <c r="JEA176" s="125"/>
      <c r="JEB176" s="125"/>
      <c r="JEC176" s="125"/>
      <c r="JED176" s="125"/>
      <c r="JEE176" s="125"/>
      <c r="JEF176" s="125"/>
      <c r="JEG176" s="125"/>
      <c r="JEH176" s="125"/>
      <c r="JEI176" s="125"/>
      <c r="JEJ176" s="125"/>
      <c r="JEK176" s="125"/>
      <c r="JEL176" s="125"/>
      <c r="JEM176" s="125"/>
      <c r="JEN176" s="125"/>
      <c r="JEO176" s="125"/>
      <c r="JEP176" s="125"/>
      <c r="JEQ176" s="125"/>
      <c r="JER176" s="125"/>
      <c r="JES176" s="125"/>
      <c r="JET176" s="125"/>
      <c r="JEU176" s="125"/>
      <c r="JEV176" s="125"/>
      <c r="JEW176" s="125"/>
      <c r="JEX176" s="125"/>
      <c r="JEY176" s="125"/>
      <c r="JEZ176" s="125"/>
      <c r="JFA176" s="125"/>
      <c r="JFB176" s="125"/>
      <c r="JFC176" s="125"/>
      <c r="JFD176" s="125"/>
      <c r="JFE176" s="125"/>
      <c r="JFF176" s="125"/>
      <c r="JFG176" s="125"/>
      <c r="JFH176" s="125"/>
      <c r="JFI176" s="125"/>
      <c r="JFJ176" s="125"/>
      <c r="JFK176" s="125"/>
      <c r="JFL176" s="125"/>
      <c r="JFM176" s="125"/>
      <c r="JFN176" s="125"/>
      <c r="JFO176" s="125"/>
      <c r="JFP176" s="125"/>
      <c r="JFQ176" s="125"/>
      <c r="JFR176" s="125"/>
      <c r="JFS176" s="125"/>
      <c r="JFT176" s="125"/>
      <c r="JFU176" s="125"/>
      <c r="JFV176" s="125"/>
      <c r="JFW176" s="125"/>
      <c r="JFX176" s="125"/>
      <c r="JFY176" s="125"/>
      <c r="JFZ176" s="125"/>
      <c r="JGA176" s="125"/>
      <c r="JGB176" s="125"/>
      <c r="JGC176" s="125"/>
      <c r="JGD176" s="125"/>
      <c r="JGE176" s="125"/>
      <c r="JGF176" s="125"/>
      <c r="JGG176" s="125"/>
      <c r="JGH176" s="125"/>
      <c r="JGI176" s="125"/>
      <c r="JGJ176" s="125"/>
      <c r="JGK176" s="125"/>
      <c r="JGL176" s="125"/>
      <c r="JGM176" s="125"/>
      <c r="JGN176" s="125"/>
      <c r="JGO176" s="125"/>
      <c r="JGP176" s="125"/>
      <c r="JGQ176" s="125"/>
      <c r="JGR176" s="125"/>
      <c r="JGS176" s="125"/>
      <c r="JGT176" s="125"/>
      <c r="JGU176" s="125"/>
      <c r="JGV176" s="125"/>
      <c r="JGW176" s="125"/>
      <c r="JGX176" s="125"/>
      <c r="JGY176" s="125"/>
      <c r="JGZ176" s="125"/>
      <c r="JHA176" s="125"/>
      <c r="JHB176" s="125"/>
      <c r="JHC176" s="125"/>
      <c r="JHD176" s="125"/>
      <c r="JHE176" s="125"/>
      <c r="JHF176" s="125"/>
      <c r="JHG176" s="125"/>
      <c r="JHH176" s="125"/>
      <c r="JHI176" s="125"/>
      <c r="JHJ176" s="125"/>
      <c r="JHK176" s="125"/>
      <c r="JHL176" s="125"/>
      <c r="JHM176" s="125"/>
      <c r="JHN176" s="125"/>
      <c r="JHO176" s="125"/>
      <c r="JHP176" s="125"/>
      <c r="JHQ176" s="125"/>
      <c r="JHR176" s="125"/>
      <c r="JHS176" s="125"/>
      <c r="JHT176" s="125"/>
      <c r="JHU176" s="125"/>
      <c r="JHV176" s="125"/>
      <c r="JHW176" s="125"/>
      <c r="JHX176" s="125"/>
      <c r="JHY176" s="125"/>
      <c r="JHZ176" s="125"/>
      <c r="JIA176" s="125"/>
      <c r="JIB176" s="125"/>
      <c r="JIC176" s="125"/>
      <c r="JID176" s="125"/>
      <c r="JIE176" s="125"/>
      <c r="JIF176" s="125"/>
      <c r="JIG176" s="125"/>
      <c r="JIH176" s="125"/>
      <c r="JII176" s="125"/>
      <c r="JIJ176" s="125"/>
      <c r="JIK176" s="125"/>
      <c r="JIL176" s="125"/>
      <c r="JIM176" s="125"/>
      <c r="JIN176" s="125"/>
      <c r="JIO176" s="125"/>
      <c r="JIP176" s="125"/>
      <c r="JIQ176" s="125"/>
      <c r="JIR176" s="125"/>
      <c r="JIS176" s="125"/>
      <c r="JIT176" s="125"/>
      <c r="JIU176" s="125"/>
      <c r="JIV176" s="125"/>
      <c r="JIW176" s="125"/>
      <c r="JIX176" s="125"/>
      <c r="JIY176" s="125"/>
      <c r="JIZ176" s="125"/>
      <c r="JJA176" s="125"/>
      <c r="JJB176" s="125"/>
      <c r="JJC176" s="125"/>
      <c r="JJD176" s="125"/>
      <c r="JJE176" s="125"/>
      <c r="JJF176" s="125"/>
      <c r="JJG176" s="125"/>
      <c r="JJH176" s="125"/>
      <c r="JJI176" s="125"/>
      <c r="JJJ176" s="125"/>
      <c r="JJK176" s="125"/>
      <c r="JJL176" s="125"/>
      <c r="JJM176" s="125"/>
      <c r="JJN176" s="125"/>
      <c r="JJO176" s="125"/>
      <c r="JJP176" s="125"/>
      <c r="JJQ176" s="125"/>
      <c r="JJR176" s="125"/>
      <c r="JJS176" s="125"/>
      <c r="JJT176" s="125"/>
      <c r="JJU176" s="125"/>
      <c r="JJV176" s="125"/>
      <c r="JJW176" s="125"/>
      <c r="JJX176" s="125"/>
      <c r="JJY176" s="125"/>
      <c r="JJZ176" s="125"/>
      <c r="JKA176" s="125"/>
      <c r="JKB176" s="125"/>
      <c r="JKC176" s="125"/>
      <c r="JKD176" s="125"/>
      <c r="JKE176" s="125"/>
      <c r="JKF176" s="125"/>
      <c r="JKG176" s="125"/>
      <c r="JKH176" s="125"/>
      <c r="JKI176" s="125"/>
      <c r="JKJ176" s="125"/>
      <c r="JKK176" s="125"/>
      <c r="JKL176" s="125"/>
      <c r="JKM176" s="125"/>
      <c r="JKN176" s="125"/>
      <c r="JKO176" s="125"/>
      <c r="JKP176" s="125"/>
      <c r="JKQ176" s="125"/>
      <c r="JKR176" s="125"/>
      <c r="JKS176" s="125"/>
      <c r="JKT176" s="125"/>
      <c r="JKU176" s="125"/>
      <c r="JKV176" s="125"/>
      <c r="JKW176" s="125"/>
      <c r="JKX176" s="125"/>
      <c r="JKY176" s="125"/>
      <c r="JKZ176" s="125"/>
      <c r="JLA176" s="125"/>
      <c r="JLB176" s="125"/>
      <c r="JLC176" s="125"/>
      <c r="JLD176" s="125"/>
      <c r="JLE176" s="125"/>
      <c r="JLF176" s="125"/>
      <c r="JLG176" s="125"/>
      <c r="JLH176" s="125"/>
      <c r="JLI176" s="125"/>
      <c r="JLJ176" s="125"/>
      <c r="JLK176" s="125"/>
      <c r="JLL176" s="125"/>
      <c r="JLM176" s="125"/>
      <c r="JLN176" s="125"/>
      <c r="JLO176" s="125"/>
      <c r="JLP176" s="125"/>
      <c r="JLQ176" s="125"/>
      <c r="JLR176" s="125"/>
      <c r="JLS176" s="125"/>
      <c r="JLT176" s="125"/>
      <c r="JLU176" s="125"/>
      <c r="JLV176" s="125"/>
      <c r="JLW176" s="125"/>
      <c r="JLX176" s="125"/>
      <c r="JLY176" s="125"/>
      <c r="JLZ176" s="125"/>
      <c r="JMA176" s="125"/>
      <c r="JMB176" s="125"/>
      <c r="JMC176" s="125"/>
      <c r="JMD176" s="125"/>
      <c r="JME176" s="125"/>
      <c r="JMF176" s="125"/>
      <c r="JMG176" s="125"/>
      <c r="JMH176" s="125"/>
      <c r="JMI176" s="125"/>
      <c r="JMJ176" s="125"/>
      <c r="JMK176" s="125"/>
      <c r="JML176" s="125"/>
      <c r="JMM176" s="125"/>
      <c r="JMN176" s="125"/>
      <c r="JMO176" s="125"/>
      <c r="JMP176" s="125"/>
      <c r="JMQ176" s="125"/>
      <c r="JMR176" s="125"/>
      <c r="JMS176" s="125"/>
      <c r="JMT176" s="125"/>
      <c r="JMU176" s="125"/>
      <c r="JMV176" s="125"/>
      <c r="JMW176" s="125"/>
      <c r="JMX176" s="125"/>
      <c r="JMY176" s="125"/>
      <c r="JMZ176" s="125"/>
      <c r="JNA176" s="125"/>
      <c r="JNB176" s="125"/>
      <c r="JNC176" s="125"/>
      <c r="JND176" s="125"/>
      <c r="JNE176" s="125"/>
      <c r="JNF176" s="125"/>
      <c r="JNG176" s="125"/>
      <c r="JNH176" s="125"/>
      <c r="JNI176" s="125"/>
      <c r="JNJ176" s="125"/>
      <c r="JNK176" s="125"/>
      <c r="JNL176" s="125"/>
      <c r="JNM176" s="125"/>
      <c r="JNN176" s="125"/>
      <c r="JNO176" s="125"/>
      <c r="JNP176" s="125"/>
      <c r="JNQ176" s="125"/>
      <c r="JNR176" s="125"/>
      <c r="JNS176" s="125"/>
      <c r="JNT176" s="125"/>
      <c r="JNU176" s="125"/>
      <c r="JNV176" s="125"/>
      <c r="JNW176" s="125"/>
      <c r="JNX176" s="125"/>
      <c r="JNY176" s="125"/>
      <c r="JNZ176" s="125"/>
      <c r="JOA176" s="125"/>
      <c r="JOB176" s="125"/>
      <c r="JOC176" s="125"/>
      <c r="JOD176" s="125"/>
      <c r="JOE176" s="125"/>
      <c r="JOF176" s="125"/>
      <c r="JOG176" s="125"/>
      <c r="JOH176" s="125"/>
      <c r="JOI176" s="125"/>
      <c r="JOJ176" s="125"/>
      <c r="JOK176" s="125"/>
      <c r="JOL176" s="125"/>
      <c r="JOM176" s="125"/>
      <c r="JON176" s="125"/>
      <c r="JOO176" s="125"/>
      <c r="JOP176" s="125"/>
      <c r="JOQ176" s="125"/>
      <c r="JOR176" s="125"/>
      <c r="JOS176" s="125"/>
      <c r="JOT176" s="125"/>
      <c r="JOU176" s="125"/>
      <c r="JOV176" s="125"/>
      <c r="JOW176" s="125"/>
      <c r="JOX176" s="125"/>
      <c r="JOY176" s="125"/>
      <c r="JOZ176" s="125"/>
      <c r="JPA176" s="125"/>
      <c r="JPB176" s="125"/>
      <c r="JPC176" s="125"/>
      <c r="JPD176" s="125"/>
      <c r="JPE176" s="125"/>
      <c r="JPF176" s="125"/>
      <c r="JPG176" s="125"/>
      <c r="JPH176" s="125"/>
      <c r="JPI176" s="125"/>
      <c r="JPJ176" s="125"/>
      <c r="JPK176" s="125"/>
      <c r="JPL176" s="125"/>
      <c r="JPM176" s="125"/>
      <c r="JPN176" s="125"/>
      <c r="JPO176" s="125"/>
      <c r="JPP176" s="125"/>
      <c r="JPQ176" s="125"/>
      <c r="JPR176" s="125"/>
      <c r="JPS176" s="125"/>
      <c r="JPT176" s="125"/>
      <c r="JPU176" s="125"/>
      <c r="JPV176" s="125"/>
      <c r="JPW176" s="125"/>
      <c r="JPX176" s="125"/>
      <c r="JPY176" s="125"/>
      <c r="JPZ176" s="125"/>
      <c r="JQA176" s="125"/>
      <c r="JQB176" s="125"/>
      <c r="JQC176" s="125"/>
      <c r="JQD176" s="125"/>
      <c r="JQE176" s="125"/>
      <c r="JQF176" s="125"/>
      <c r="JQG176" s="125"/>
      <c r="JQH176" s="125"/>
      <c r="JQI176" s="125"/>
      <c r="JQJ176" s="125"/>
      <c r="JQK176" s="125"/>
      <c r="JQL176" s="125"/>
      <c r="JQM176" s="125"/>
      <c r="JQN176" s="125"/>
      <c r="JQO176" s="125"/>
      <c r="JQP176" s="125"/>
      <c r="JQQ176" s="125"/>
      <c r="JQR176" s="125"/>
      <c r="JQS176" s="125"/>
      <c r="JQT176" s="125"/>
      <c r="JQU176" s="125"/>
      <c r="JQV176" s="125"/>
      <c r="JQW176" s="125"/>
      <c r="JQX176" s="125"/>
      <c r="JQY176" s="125"/>
      <c r="JQZ176" s="125"/>
      <c r="JRA176" s="125"/>
      <c r="JRB176" s="125"/>
      <c r="JRC176" s="125"/>
      <c r="JRD176" s="125"/>
      <c r="JRE176" s="125"/>
      <c r="JRF176" s="125"/>
      <c r="JRG176" s="125"/>
      <c r="JRH176" s="125"/>
      <c r="JRI176" s="125"/>
      <c r="JRJ176" s="125"/>
      <c r="JRK176" s="125"/>
      <c r="JRL176" s="125"/>
      <c r="JRM176" s="125"/>
      <c r="JRN176" s="125"/>
      <c r="JRO176" s="125"/>
      <c r="JRP176" s="125"/>
      <c r="JRQ176" s="125"/>
      <c r="JRR176" s="125"/>
      <c r="JRS176" s="125"/>
      <c r="JRT176" s="125"/>
      <c r="JRU176" s="125"/>
      <c r="JRV176" s="125"/>
      <c r="JRW176" s="125"/>
      <c r="JRX176" s="125"/>
      <c r="JRY176" s="125"/>
      <c r="JRZ176" s="125"/>
      <c r="JSA176" s="125"/>
      <c r="JSB176" s="125"/>
      <c r="JSC176" s="125"/>
      <c r="JSD176" s="125"/>
      <c r="JSE176" s="125"/>
      <c r="JSF176" s="125"/>
      <c r="JSG176" s="125"/>
      <c r="JSH176" s="125"/>
      <c r="JSI176" s="125"/>
      <c r="JSJ176" s="125"/>
      <c r="JSK176" s="125"/>
      <c r="JSL176" s="125"/>
      <c r="JSM176" s="125"/>
      <c r="JSN176" s="125"/>
      <c r="JSO176" s="125"/>
      <c r="JSP176" s="125"/>
      <c r="JSQ176" s="125"/>
      <c r="JSR176" s="125"/>
      <c r="JSS176" s="125"/>
      <c r="JST176" s="125"/>
      <c r="JSU176" s="125"/>
      <c r="JSV176" s="125"/>
      <c r="JSW176" s="125"/>
      <c r="JSX176" s="125"/>
      <c r="JSY176" s="125"/>
      <c r="JSZ176" s="125"/>
      <c r="JTA176" s="125"/>
      <c r="JTB176" s="125"/>
      <c r="JTC176" s="125"/>
      <c r="JTD176" s="125"/>
      <c r="JTE176" s="125"/>
      <c r="JTF176" s="125"/>
      <c r="JTG176" s="125"/>
      <c r="JTH176" s="125"/>
      <c r="JTI176" s="125"/>
      <c r="JTJ176" s="125"/>
      <c r="JTK176" s="125"/>
      <c r="JTL176" s="125"/>
      <c r="JTM176" s="125"/>
      <c r="JTN176" s="125"/>
      <c r="JTO176" s="125"/>
      <c r="JTP176" s="125"/>
      <c r="JTQ176" s="125"/>
      <c r="JTR176" s="125"/>
      <c r="JTS176" s="125"/>
      <c r="JTT176" s="125"/>
      <c r="JTU176" s="125"/>
      <c r="JTV176" s="125"/>
      <c r="JTW176" s="125"/>
      <c r="JTX176" s="125"/>
      <c r="JTY176" s="125"/>
      <c r="JTZ176" s="125"/>
      <c r="JUA176" s="125"/>
      <c r="JUB176" s="125"/>
      <c r="JUC176" s="125"/>
      <c r="JUD176" s="125"/>
      <c r="JUE176" s="125"/>
      <c r="JUF176" s="125"/>
      <c r="JUG176" s="125"/>
      <c r="JUH176" s="125"/>
      <c r="JUI176" s="125"/>
      <c r="JUJ176" s="125"/>
      <c r="JUK176" s="125"/>
      <c r="JUL176" s="125"/>
      <c r="JUM176" s="125"/>
      <c r="JUN176" s="125"/>
      <c r="JUO176" s="125"/>
      <c r="JUP176" s="125"/>
      <c r="JUQ176" s="125"/>
      <c r="JUR176" s="125"/>
      <c r="JUS176" s="125"/>
      <c r="JUT176" s="125"/>
      <c r="JUU176" s="125"/>
      <c r="JUV176" s="125"/>
      <c r="JUW176" s="125"/>
      <c r="JUX176" s="125"/>
      <c r="JUY176" s="125"/>
      <c r="JUZ176" s="125"/>
      <c r="JVA176" s="125"/>
      <c r="JVB176" s="125"/>
      <c r="JVC176" s="125"/>
      <c r="JVD176" s="125"/>
      <c r="JVE176" s="125"/>
      <c r="JVF176" s="125"/>
      <c r="JVG176" s="125"/>
      <c r="JVH176" s="125"/>
      <c r="JVI176" s="125"/>
      <c r="JVJ176" s="125"/>
      <c r="JVK176" s="125"/>
      <c r="JVL176" s="125"/>
      <c r="JVM176" s="125"/>
      <c r="JVN176" s="125"/>
      <c r="JVO176" s="125"/>
      <c r="JVP176" s="125"/>
      <c r="JVQ176" s="125"/>
      <c r="JVR176" s="125"/>
      <c r="JVS176" s="125"/>
      <c r="JVT176" s="125"/>
      <c r="JVU176" s="125"/>
      <c r="JVV176" s="125"/>
      <c r="JVW176" s="125"/>
      <c r="JVX176" s="125"/>
      <c r="JVY176" s="125"/>
      <c r="JVZ176" s="125"/>
      <c r="JWA176" s="125"/>
      <c r="JWB176" s="125"/>
      <c r="JWC176" s="125"/>
      <c r="JWD176" s="125"/>
      <c r="JWE176" s="125"/>
      <c r="JWF176" s="125"/>
      <c r="JWG176" s="125"/>
      <c r="JWH176" s="125"/>
      <c r="JWI176" s="125"/>
      <c r="JWJ176" s="125"/>
      <c r="JWK176" s="125"/>
      <c r="JWL176" s="125"/>
      <c r="JWM176" s="125"/>
      <c r="JWN176" s="125"/>
      <c r="JWO176" s="125"/>
      <c r="JWP176" s="125"/>
      <c r="JWQ176" s="125"/>
      <c r="JWR176" s="125"/>
      <c r="JWS176" s="125"/>
      <c r="JWT176" s="125"/>
      <c r="JWU176" s="125"/>
      <c r="JWV176" s="125"/>
      <c r="JWW176" s="125"/>
      <c r="JWX176" s="125"/>
      <c r="JWY176" s="125"/>
      <c r="JWZ176" s="125"/>
      <c r="JXA176" s="125"/>
      <c r="JXB176" s="125"/>
      <c r="JXC176" s="125"/>
      <c r="JXD176" s="125"/>
      <c r="JXE176" s="125"/>
      <c r="JXF176" s="125"/>
      <c r="JXG176" s="125"/>
      <c r="JXH176" s="125"/>
      <c r="JXI176" s="125"/>
      <c r="JXJ176" s="125"/>
      <c r="JXK176" s="125"/>
      <c r="JXL176" s="125"/>
      <c r="JXM176" s="125"/>
      <c r="JXN176" s="125"/>
      <c r="JXO176" s="125"/>
      <c r="JXP176" s="125"/>
      <c r="JXQ176" s="125"/>
      <c r="JXR176" s="125"/>
      <c r="JXS176" s="125"/>
      <c r="JXT176" s="125"/>
      <c r="JXU176" s="125"/>
      <c r="JXV176" s="125"/>
      <c r="JXW176" s="125"/>
      <c r="JXX176" s="125"/>
      <c r="JXY176" s="125"/>
      <c r="JXZ176" s="125"/>
      <c r="JYA176" s="125"/>
      <c r="JYB176" s="125"/>
      <c r="JYC176" s="125"/>
      <c r="JYD176" s="125"/>
      <c r="JYE176" s="125"/>
      <c r="JYF176" s="125"/>
      <c r="JYG176" s="125"/>
      <c r="JYH176" s="125"/>
      <c r="JYI176" s="125"/>
      <c r="JYJ176" s="125"/>
      <c r="JYK176" s="125"/>
      <c r="JYL176" s="125"/>
      <c r="JYM176" s="125"/>
      <c r="JYN176" s="125"/>
      <c r="JYO176" s="125"/>
      <c r="JYP176" s="125"/>
      <c r="JYQ176" s="125"/>
      <c r="JYR176" s="125"/>
      <c r="JYS176" s="125"/>
      <c r="JYT176" s="125"/>
      <c r="JYU176" s="125"/>
      <c r="JYV176" s="125"/>
      <c r="JYW176" s="125"/>
      <c r="JYX176" s="125"/>
      <c r="JYY176" s="125"/>
      <c r="JYZ176" s="125"/>
      <c r="JZA176" s="125"/>
      <c r="JZB176" s="125"/>
      <c r="JZC176" s="125"/>
      <c r="JZD176" s="125"/>
      <c r="JZE176" s="125"/>
      <c r="JZF176" s="125"/>
      <c r="JZG176" s="125"/>
      <c r="JZH176" s="125"/>
      <c r="JZI176" s="125"/>
      <c r="JZJ176" s="125"/>
      <c r="JZK176" s="125"/>
      <c r="JZL176" s="125"/>
      <c r="JZM176" s="125"/>
      <c r="JZN176" s="125"/>
      <c r="JZO176" s="125"/>
      <c r="JZP176" s="125"/>
      <c r="JZQ176" s="125"/>
      <c r="JZR176" s="125"/>
      <c r="JZS176" s="125"/>
      <c r="JZT176" s="125"/>
      <c r="JZU176" s="125"/>
      <c r="JZV176" s="125"/>
      <c r="JZW176" s="125"/>
      <c r="JZX176" s="125"/>
      <c r="JZY176" s="125"/>
      <c r="JZZ176" s="125"/>
      <c r="KAA176" s="125"/>
      <c r="KAB176" s="125"/>
      <c r="KAC176" s="125"/>
      <c r="KAD176" s="125"/>
      <c r="KAE176" s="125"/>
      <c r="KAF176" s="125"/>
      <c r="KAG176" s="125"/>
      <c r="KAH176" s="125"/>
      <c r="KAI176" s="125"/>
      <c r="KAJ176" s="125"/>
      <c r="KAK176" s="125"/>
      <c r="KAL176" s="125"/>
      <c r="KAM176" s="125"/>
      <c r="KAN176" s="125"/>
      <c r="KAO176" s="125"/>
      <c r="KAP176" s="125"/>
      <c r="KAQ176" s="125"/>
      <c r="KAR176" s="125"/>
      <c r="KAS176" s="125"/>
      <c r="KAT176" s="125"/>
      <c r="KAU176" s="125"/>
      <c r="KAV176" s="125"/>
      <c r="KAW176" s="125"/>
      <c r="KAX176" s="125"/>
      <c r="KAY176" s="125"/>
      <c r="KAZ176" s="125"/>
      <c r="KBA176" s="125"/>
      <c r="KBB176" s="125"/>
      <c r="KBC176" s="125"/>
      <c r="KBD176" s="125"/>
      <c r="KBE176" s="125"/>
      <c r="KBF176" s="125"/>
      <c r="KBG176" s="125"/>
      <c r="KBH176" s="125"/>
      <c r="KBI176" s="125"/>
      <c r="KBJ176" s="125"/>
      <c r="KBK176" s="125"/>
      <c r="KBL176" s="125"/>
      <c r="KBM176" s="125"/>
      <c r="KBN176" s="125"/>
      <c r="KBO176" s="125"/>
      <c r="KBP176" s="125"/>
      <c r="KBQ176" s="125"/>
      <c r="KBR176" s="125"/>
      <c r="KBS176" s="125"/>
      <c r="KBT176" s="125"/>
      <c r="KBU176" s="125"/>
      <c r="KBV176" s="125"/>
      <c r="KBW176" s="125"/>
      <c r="KBX176" s="125"/>
      <c r="KBY176" s="125"/>
      <c r="KBZ176" s="125"/>
      <c r="KCA176" s="125"/>
      <c r="KCB176" s="125"/>
      <c r="KCC176" s="125"/>
      <c r="KCD176" s="125"/>
      <c r="KCE176" s="125"/>
      <c r="KCF176" s="125"/>
      <c r="KCG176" s="125"/>
      <c r="KCH176" s="125"/>
      <c r="KCI176" s="125"/>
      <c r="KCJ176" s="125"/>
      <c r="KCK176" s="125"/>
      <c r="KCL176" s="125"/>
      <c r="KCM176" s="125"/>
      <c r="KCN176" s="125"/>
      <c r="KCO176" s="125"/>
      <c r="KCP176" s="125"/>
      <c r="KCQ176" s="125"/>
      <c r="KCR176" s="125"/>
      <c r="KCS176" s="125"/>
      <c r="KCT176" s="125"/>
      <c r="KCU176" s="125"/>
      <c r="KCV176" s="125"/>
      <c r="KCW176" s="125"/>
      <c r="KCX176" s="125"/>
      <c r="KCY176" s="125"/>
      <c r="KCZ176" s="125"/>
      <c r="KDA176" s="125"/>
      <c r="KDB176" s="125"/>
      <c r="KDC176" s="125"/>
      <c r="KDD176" s="125"/>
      <c r="KDE176" s="125"/>
      <c r="KDF176" s="125"/>
      <c r="KDG176" s="125"/>
      <c r="KDH176" s="125"/>
      <c r="KDI176" s="125"/>
      <c r="KDJ176" s="125"/>
      <c r="KDK176" s="125"/>
      <c r="KDL176" s="125"/>
      <c r="KDM176" s="125"/>
      <c r="KDN176" s="125"/>
      <c r="KDO176" s="125"/>
      <c r="KDP176" s="125"/>
      <c r="KDQ176" s="125"/>
      <c r="KDR176" s="125"/>
      <c r="KDS176" s="125"/>
      <c r="KDT176" s="125"/>
      <c r="KDU176" s="125"/>
      <c r="KDV176" s="125"/>
      <c r="KDW176" s="125"/>
      <c r="KDX176" s="125"/>
      <c r="KDY176" s="125"/>
      <c r="KDZ176" s="125"/>
      <c r="KEA176" s="125"/>
      <c r="KEB176" s="125"/>
      <c r="KEC176" s="125"/>
      <c r="KED176" s="125"/>
      <c r="KEE176" s="125"/>
      <c r="KEF176" s="125"/>
      <c r="KEG176" s="125"/>
      <c r="KEH176" s="125"/>
      <c r="KEI176" s="125"/>
      <c r="KEJ176" s="125"/>
      <c r="KEK176" s="125"/>
      <c r="KEL176" s="125"/>
      <c r="KEM176" s="125"/>
      <c r="KEN176" s="125"/>
      <c r="KEO176" s="125"/>
      <c r="KEP176" s="125"/>
      <c r="KEQ176" s="125"/>
      <c r="KER176" s="125"/>
      <c r="KES176" s="125"/>
      <c r="KET176" s="125"/>
      <c r="KEU176" s="125"/>
      <c r="KEV176" s="125"/>
      <c r="KEW176" s="125"/>
      <c r="KEX176" s="125"/>
      <c r="KEY176" s="125"/>
      <c r="KEZ176" s="125"/>
      <c r="KFA176" s="125"/>
      <c r="KFB176" s="125"/>
      <c r="KFC176" s="125"/>
      <c r="KFD176" s="125"/>
      <c r="KFE176" s="125"/>
      <c r="KFF176" s="125"/>
      <c r="KFG176" s="125"/>
      <c r="KFH176" s="125"/>
      <c r="KFI176" s="125"/>
      <c r="KFJ176" s="125"/>
      <c r="KFK176" s="125"/>
      <c r="KFL176" s="125"/>
      <c r="KFM176" s="125"/>
      <c r="KFN176" s="125"/>
      <c r="KFO176" s="125"/>
      <c r="KFP176" s="125"/>
      <c r="KFQ176" s="125"/>
      <c r="KFR176" s="125"/>
      <c r="KFS176" s="125"/>
      <c r="KFT176" s="125"/>
      <c r="KFU176" s="125"/>
      <c r="KFV176" s="125"/>
      <c r="KFW176" s="125"/>
      <c r="KFX176" s="125"/>
      <c r="KFY176" s="125"/>
      <c r="KFZ176" s="125"/>
      <c r="KGA176" s="125"/>
      <c r="KGB176" s="125"/>
      <c r="KGC176" s="125"/>
      <c r="KGD176" s="125"/>
      <c r="KGE176" s="125"/>
      <c r="KGF176" s="125"/>
      <c r="KGG176" s="125"/>
      <c r="KGH176" s="125"/>
      <c r="KGI176" s="125"/>
      <c r="KGJ176" s="125"/>
      <c r="KGK176" s="125"/>
      <c r="KGL176" s="125"/>
      <c r="KGM176" s="125"/>
      <c r="KGN176" s="125"/>
      <c r="KGO176" s="125"/>
      <c r="KGP176" s="125"/>
      <c r="KGQ176" s="125"/>
      <c r="KGR176" s="125"/>
      <c r="KGS176" s="125"/>
      <c r="KGT176" s="125"/>
      <c r="KGU176" s="125"/>
      <c r="KGV176" s="125"/>
      <c r="KGW176" s="125"/>
      <c r="KGX176" s="125"/>
      <c r="KGY176" s="125"/>
      <c r="KGZ176" s="125"/>
      <c r="KHA176" s="125"/>
      <c r="KHB176" s="125"/>
      <c r="KHC176" s="125"/>
      <c r="KHD176" s="125"/>
      <c r="KHE176" s="125"/>
      <c r="KHF176" s="125"/>
      <c r="KHG176" s="125"/>
      <c r="KHH176" s="125"/>
      <c r="KHI176" s="125"/>
      <c r="KHJ176" s="125"/>
      <c r="KHK176" s="125"/>
      <c r="KHL176" s="125"/>
      <c r="KHM176" s="125"/>
      <c r="KHN176" s="125"/>
      <c r="KHO176" s="125"/>
      <c r="KHP176" s="125"/>
      <c r="KHQ176" s="125"/>
      <c r="KHR176" s="125"/>
      <c r="KHS176" s="125"/>
      <c r="KHT176" s="125"/>
      <c r="KHU176" s="125"/>
      <c r="KHV176" s="125"/>
      <c r="KHW176" s="125"/>
      <c r="KHX176" s="125"/>
      <c r="KHY176" s="125"/>
      <c r="KHZ176" s="125"/>
      <c r="KIA176" s="125"/>
      <c r="KIB176" s="125"/>
      <c r="KIC176" s="125"/>
      <c r="KID176" s="125"/>
      <c r="KIE176" s="125"/>
      <c r="KIF176" s="125"/>
      <c r="KIG176" s="125"/>
      <c r="KIH176" s="125"/>
      <c r="KII176" s="125"/>
      <c r="KIJ176" s="125"/>
      <c r="KIK176" s="125"/>
      <c r="KIL176" s="125"/>
      <c r="KIM176" s="125"/>
      <c r="KIN176" s="125"/>
      <c r="KIO176" s="125"/>
      <c r="KIP176" s="125"/>
      <c r="KIQ176" s="125"/>
      <c r="KIR176" s="125"/>
      <c r="KIS176" s="125"/>
      <c r="KIT176" s="125"/>
      <c r="KIU176" s="125"/>
      <c r="KIV176" s="125"/>
      <c r="KIW176" s="125"/>
      <c r="KIX176" s="125"/>
      <c r="KIY176" s="125"/>
      <c r="KIZ176" s="125"/>
      <c r="KJA176" s="125"/>
      <c r="KJB176" s="125"/>
      <c r="KJC176" s="125"/>
      <c r="KJD176" s="125"/>
      <c r="KJE176" s="125"/>
      <c r="KJF176" s="125"/>
      <c r="KJG176" s="125"/>
      <c r="KJH176" s="125"/>
      <c r="KJI176" s="125"/>
      <c r="KJJ176" s="125"/>
      <c r="KJK176" s="125"/>
      <c r="KJL176" s="125"/>
      <c r="KJM176" s="125"/>
      <c r="KJN176" s="125"/>
      <c r="KJO176" s="125"/>
      <c r="KJP176" s="125"/>
      <c r="KJQ176" s="125"/>
      <c r="KJR176" s="125"/>
      <c r="KJS176" s="125"/>
      <c r="KJT176" s="125"/>
      <c r="KJU176" s="125"/>
      <c r="KJV176" s="125"/>
      <c r="KJW176" s="125"/>
      <c r="KJX176" s="125"/>
      <c r="KJY176" s="125"/>
      <c r="KJZ176" s="125"/>
      <c r="KKA176" s="125"/>
      <c r="KKB176" s="125"/>
      <c r="KKC176" s="125"/>
      <c r="KKD176" s="125"/>
      <c r="KKE176" s="125"/>
      <c r="KKF176" s="125"/>
      <c r="KKG176" s="125"/>
      <c r="KKH176" s="125"/>
      <c r="KKI176" s="125"/>
      <c r="KKJ176" s="125"/>
      <c r="KKK176" s="125"/>
      <c r="KKL176" s="125"/>
      <c r="KKM176" s="125"/>
      <c r="KKN176" s="125"/>
      <c r="KKO176" s="125"/>
      <c r="KKP176" s="125"/>
      <c r="KKQ176" s="125"/>
      <c r="KKR176" s="125"/>
      <c r="KKS176" s="125"/>
      <c r="KKT176" s="125"/>
      <c r="KKU176" s="125"/>
      <c r="KKV176" s="125"/>
      <c r="KKW176" s="125"/>
      <c r="KKX176" s="125"/>
      <c r="KKY176" s="125"/>
      <c r="KKZ176" s="125"/>
      <c r="KLA176" s="125"/>
      <c r="KLB176" s="125"/>
      <c r="KLC176" s="125"/>
      <c r="KLD176" s="125"/>
      <c r="KLE176" s="125"/>
      <c r="KLF176" s="125"/>
      <c r="KLG176" s="125"/>
      <c r="KLH176" s="125"/>
      <c r="KLI176" s="125"/>
      <c r="KLJ176" s="125"/>
      <c r="KLK176" s="125"/>
      <c r="KLL176" s="125"/>
      <c r="KLM176" s="125"/>
      <c r="KLN176" s="125"/>
      <c r="KLO176" s="125"/>
      <c r="KLP176" s="125"/>
      <c r="KLQ176" s="125"/>
      <c r="KLR176" s="125"/>
      <c r="KLS176" s="125"/>
      <c r="KLT176" s="125"/>
      <c r="KLU176" s="125"/>
      <c r="KLV176" s="125"/>
      <c r="KLW176" s="125"/>
      <c r="KLX176" s="125"/>
      <c r="KLY176" s="125"/>
      <c r="KLZ176" s="125"/>
      <c r="KMA176" s="125"/>
      <c r="KMB176" s="125"/>
      <c r="KMC176" s="125"/>
      <c r="KMD176" s="125"/>
      <c r="KME176" s="125"/>
      <c r="KMF176" s="125"/>
      <c r="KMG176" s="125"/>
      <c r="KMH176" s="125"/>
      <c r="KMI176" s="125"/>
      <c r="KMJ176" s="125"/>
      <c r="KMK176" s="125"/>
      <c r="KML176" s="125"/>
      <c r="KMM176" s="125"/>
      <c r="KMN176" s="125"/>
      <c r="KMO176" s="125"/>
      <c r="KMP176" s="125"/>
      <c r="KMQ176" s="125"/>
      <c r="KMR176" s="125"/>
      <c r="KMS176" s="125"/>
      <c r="KMT176" s="125"/>
      <c r="KMU176" s="125"/>
      <c r="KMV176" s="125"/>
      <c r="KMW176" s="125"/>
      <c r="KMX176" s="125"/>
      <c r="KMY176" s="125"/>
      <c r="KMZ176" s="125"/>
      <c r="KNA176" s="125"/>
      <c r="KNB176" s="125"/>
      <c r="KNC176" s="125"/>
      <c r="KND176" s="125"/>
      <c r="KNE176" s="125"/>
      <c r="KNF176" s="125"/>
      <c r="KNG176" s="125"/>
      <c r="KNH176" s="125"/>
      <c r="KNI176" s="125"/>
      <c r="KNJ176" s="125"/>
      <c r="KNK176" s="125"/>
      <c r="KNL176" s="125"/>
      <c r="KNM176" s="125"/>
      <c r="KNN176" s="125"/>
      <c r="KNO176" s="125"/>
      <c r="KNP176" s="125"/>
      <c r="KNQ176" s="125"/>
      <c r="KNR176" s="125"/>
      <c r="KNS176" s="125"/>
      <c r="KNT176" s="125"/>
      <c r="KNU176" s="125"/>
      <c r="KNV176" s="125"/>
      <c r="KNW176" s="125"/>
      <c r="KNX176" s="125"/>
      <c r="KNY176" s="125"/>
      <c r="KNZ176" s="125"/>
      <c r="KOA176" s="125"/>
      <c r="KOB176" s="125"/>
      <c r="KOC176" s="125"/>
      <c r="KOD176" s="125"/>
      <c r="KOE176" s="125"/>
      <c r="KOF176" s="125"/>
      <c r="KOG176" s="125"/>
      <c r="KOH176" s="125"/>
      <c r="KOI176" s="125"/>
      <c r="KOJ176" s="125"/>
      <c r="KOK176" s="125"/>
      <c r="KOL176" s="125"/>
      <c r="KOM176" s="125"/>
      <c r="KON176" s="125"/>
      <c r="KOO176" s="125"/>
      <c r="KOP176" s="125"/>
      <c r="KOQ176" s="125"/>
      <c r="KOR176" s="125"/>
      <c r="KOS176" s="125"/>
      <c r="KOT176" s="125"/>
      <c r="KOU176" s="125"/>
      <c r="KOV176" s="125"/>
      <c r="KOW176" s="125"/>
      <c r="KOX176" s="125"/>
      <c r="KOY176" s="125"/>
      <c r="KOZ176" s="125"/>
      <c r="KPA176" s="125"/>
      <c r="KPB176" s="125"/>
      <c r="KPC176" s="125"/>
      <c r="KPD176" s="125"/>
      <c r="KPE176" s="125"/>
      <c r="KPF176" s="125"/>
      <c r="KPG176" s="125"/>
      <c r="KPH176" s="125"/>
      <c r="KPI176" s="125"/>
      <c r="KPJ176" s="125"/>
      <c r="KPK176" s="125"/>
      <c r="KPL176" s="125"/>
      <c r="KPM176" s="125"/>
      <c r="KPN176" s="125"/>
      <c r="KPO176" s="125"/>
      <c r="KPP176" s="125"/>
      <c r="KPQ176" s="125"/>
      <c r="KPR176" s="125"/>
      <c r="KPS176" s="125"/>
      <c r="KPT176" s="125"/>
      <c r="KPU176" s="125"/>
      <c r="KPV176" s="125"/>
      <c r="KPW176" s="125"/>
      <c r="KPX176" s="125"/>
      <c r="KPY176" s="125"/>
      <c r="KPZ176" s="125"/>
      <c r="KQA176" s="125"/>
      <c r="KQB176" s="125"/>
      <c r="KQC176" s="125"/>
      <c r="KQD176" s="125"/>
      <c r="KQE176" s="125"/>
      <c r="KQF176" s="125"/>
      <c r="KQG176" s="125"/>
      <c r="KQH176" s="125"/>
      <c r="KQI176" s="125"/>
      <c r="KQJ176" s="125"/>
      <c r="KQK176" s="125"/>
      <c r="KQL176" s="125"/>
      <c r="KQM176" s="125"/>
      <c r="KQN176" s="125"/>
      <c r="KQO176" s="125"/>
      <c r="KQP176" s="125"/>
      <c r="KQQ176" s="125"/>
      <c r="KQR176" s="125"/>
      <c r="KQS176" s="125"/>
      <c r="KQT176" s="125"/>
      <c r="KQU176" s="125"/>
      <c r="KQV176" s="125"/>
      <c r="KQW176" s="125"/>
      <c r="KQX176" s="125"/>
      <c r="KQY176" s="125"/>
      <c r="KQZ176" s="125"/>
      <c r="KRA176" s="125"/>
      <c r="KRB176" s="125"/>
      <c r="KRC176" s="125"/>
      <c r="KRD176" s="125"/>
      <c r="KRE176" s="125"/>
      <c r="KRF176" s="125"/>
      <c r="KRG176" s="125"/>
      <c r="KRH176" s="125"/>
      <c r="KRI176" s="125"/>
      <c r="KRJ176" s="125"/>
      <c r="KRK176" s="125"/>
      <c r="KRL176" s="125"/>
      <c r="KRM176" s="125"/>
      <c r="KRN176" s="125"/>
      <c r="KRO176" s="125"/>
      <c r="KRP176" s="125"/>
      <c r="KRQ176" s="125"/>
      <c r="KRR176" s="125"/>
      <c r="KRS176" s="125"/>
      <c r="KRT176" s="125"/>
      <c r="KRU176" s="125"/>
      <c r="KRV176" s="125"/>
      <c r="KRW176" s="125"/>
      <c r="KRX176" s="125"/>
      <c r="KRY176" s="125"/>
      <c r="KRZ176" s="125"/>
      <c r="KSA176" s="125"/>
      <c r="KSB176" s="125"/>
      <c r="KSC176" s="125"/>
      <c r="KSD176" s="125"/>
      <c r="KSE176" s="125"/>
      <c r="KSF176" s="125"/>
      <c r="KSG176" s="125"/>
      <c r="KSH176" s="125"/>
      <c r="KSI176" s="125"/>
      <c r="KSJ176" s="125"/>
      <c r="KSK176" s="125"/>
      <c r="KSL176" s="125"/>
      <c r="KSM176" s="125"/>
      <c r="KSN176" s="125"/>
      <c r="KSO176" s="125"/>
      <c r="KSP176" s="125"/>
      <c r="KSQ176" s="125"/>
      <c r="KSR176" s="125"/>
      <c r="KSS176" s="125"/>
      <c r="KST176" s="125"/>
      <c r="KSU176" s="125"/>
      <c r="KSV176" s="125"/>
      <c r="KSW176" s="125"/>
      <c r="KSX176" s="125"/>
      <c r="KSY176" s="125"/>
      <c r="KSZ176" s="125"/>
      <c r="KTA176" s="125"/>
      <c r="KTB176" s="125"/>
      <c r="KTC176" s="125"/>
      <c r="KTD176" s="125"/>
      <c r="KTE176" s="125"/>
      <c r="KTF176" s="125"/>
      <c r="KTG176" s="125"/>
      <c r="KTH176" s="125"/>
      <c r="KTI176" s="125"/>
      <c r="KTJ176" s="125"/>
      <c r="KTK176" s="125"/>
      <c r="KTL176" s="125"/>
      <c r="KTM176" s="125"/>
      <c r="KTN176" s="125"/>
      <c r="KTO176" s="125"/>
      <c r="KTP176" s="125"/>
      <c r="KTQ176" s="125"/>
      <c r="KTR176" s="125"/>
      <c r="KTS176" s="125"/>
      <c r="KTT176" s="125"/>
      <c r="KTU176" s="125"/>
      <c r="KTV176" s="125"/>
      <c r="KTW176" s="125"/>
      <c r="KTX176" s="125"/>
      <c r="KTY176" s="125"/>
      <c r="KTZ176" s="125"/>
      <c r="KUA176" s="125"/>
      <c r="KUB176" s="125"/>
      <c r="KUC176" s="125"/>
      <c r="KUD176" s="125"/>
      <c r="KUE176" s="125"/>
      <c r="KUF176" s="125"/>
      <c r="KUG176" s="125"/>
      <c r="KUH176" s="125"/>
      <c r="KUI176" s="125"/>
      <c r="KUJ176" s="125"/>
      <c r="KUK176" s="125"/>
      <c r="KUL176" s="125"/>
      <c r="KUM176" s="125"/>
      <c r="KUN176" s="125"/>
      <c r="KUO176" s="125"/>
      <c r="KUP176" s="125"/>
      <c r="KUQ176" s="125"/>
      <c r="KUR176" s="125"/>
      <c r="KUS176" s="125"/>
      <c r="KUT176" s="125"/>
      <c r="KUU176" s="125"/>
      <c r="KUV176" s="125"/>
      <c r="KUW176" s="125"/>
      <c r="KUX176" s="125"/>
      <c r="KUY176" s="125"/>
      <c r="KUZ176" s="125"/>
      <c r="KVA176" s="125"/>
      <c r="KVB176" s="125"/>
      <c r="KVC176" s="125"/>
      <c r="KVD176" s="125"/>
      <c r="KVE176" s="125"/>
      <c r="KVF176" s="125"/>
      <c r="KVG176" s="125"/>
      <c r="KVH176" s="125"/>
      <c r="KVI176" s="125"/>
      <c r="KVJ176" s="125"/>
      <c r="KVK176" s="125"/>
      <c r="KVL176" s="125"/>
      <c r="KVM176" s="125"/>
      <c r="KVN176" s="125"/>
      <c r="KVO176" s="125"/>
      <c r="KVP176" s="125"/>
      <c r="KVQ176" s="125"/>
      <c r="KVR176" s="125"/>
      <c r="KVS176" s="125"/>
      <c r="KVT176" s="125"/>
      <c r="KVU176" s="125"/>
      <c r="KVV176" s="125"/>
      <c r="KVW176" s="125"/>
      <c r="KVX176" s="125"/>
      <c r="KVY176" s="125"/>
      <c r="KVZ176" s="125"/>
      <c r="KWA176" s="125"/>
      <c r="KWB176" s="125"/>
      <c r="KWC176" s="125"/>
      <c r="KWD176" s="125"/>
      <c r="KWE176" s="125"/>
      <c r="KWF176" s="125"/>
      <c r="KWG176" s="125"/>
      <c r="KWH176" s="125"/>
      <c r="KWI176" s="125"/>
      <c r="KWJ176" s="125"/>
      <c r="KWK176" s="125"/>
      <c r="KWL176" s="125"/>
      <c r="KWM176" s="125"/>
      <c r="KWN176" s="125"/>
      <c r="KWO176" s="125"/>
      <c r="KWP176" s="125"/>
      <c r="KWQ176" s="125"/>
      <c r="KWR176" s="125"/>
      <c r="KWS176" s="125"/>
      <c r="KWT176" s="125"/>
      <c r="KWU176" s="125"/>
      <c r="KWV176" s="125"/>
      <c r="KWW176" s="125"/>
      <c r="KWX176" s="125"/>
      <c r="KWY176" s="125"/>
      <c r="KWZ176" s="125"/>
      <c r="KXA176" s="125"/>
      <c r="KXB176" s="125"/>
      <c r="KXC176" s="125"/>
      <c r="KXD176" s="125"/>
      <c r="KXE176" s="125"/>
      <c r="KXF176" s="125"/>
      <c r="KXG176" s="125"/>
      <c r="KXH176" s="125"/>
      <c r="KXI176" s="125"/>
      <c r="KXJ176" s="125"/>
      <c r="KXK176" s="125"/>
      <c r="KXL176" s="125"/>
      <c r="KXM176" s="125"/>
      <c r="KXN176" s="125"/>
      <c r="KXO176" s="125"/>
      <c r="KXP176" s="125"/>
      <c r="KXQ176" s="125"/>
      <c r="KXR176" s="125"/>
      <c r="KXS176" s="125"/>
      <c r="KXT176" s="125"/>
      <c r="KXU176" s="125"/>
      <c r="KXV176" s="125"/>
      <c r="KXW176" s="125"/>
      <c r="KXX176" s="125"/>
      <c r="KXY176" s="125"/>
      <c r="KXZ176" s="125"/>
      <c r="KYA176" s="125"/>
      <c r="KYB176" s="125"/>
      <c r="KYC176" s="125"/>
      <c r="KYD176" s="125"/>
      <c r="KYE176" s="125"/>
      <c r="KYF176" s="125"/>
      <c r="KYG176" s="125"/>
      <c r="KYH176" s="125"/>
      <c r="KYI176" s="125"/>
      <c r="KYJ176" s="125"/>
      <c r="KYK176" s="125"/>
      <c r="KYL176" s="125"/>
      <c r="KYM176" s="125"/>
      <c r="KYN176" s="125"/>
      <c r="KYO176" s="125"/>
      <c r="KYP176" s="125"/>
      <c r="KYQ176" s="125"/>
      <c r="KYR176" s="125"/>
      <c r="KYS176" s="125"/>
      <c r="KYT176" s="125"/>
      <c r="KYU176" s="125"/>
      <c r="KYV176" s="125"/>
      <c r="KYW176" s="125"/>
      <c r="KYX176" s="125"/>
      <c r="KYY176" s="125"/>
      <c r="KYZ176" s="125"/>
      <c r="KZA176" s="125"/>
      <c r="KZB176" s="125"/>
      <c r="KZC176" s="125"/>
      <c r="KZD176" s="125"/>
      <c r="KZE176" s="125"/>
      <c r="KZF176" s="125"/>
      <c r="KZG176" s="125"/>
      <c r="KZH176" s="125"/>
      <c r="KZI176" s="125"/>
      <c r="KZJ176" s="125"/>
      <c r="KZK176" s="125"/>
      <c r="KZL176" s="125"/>
      <c r="KZM176" s="125"/>
      <c r="KZN176" s="125"/>
      <c r="KZO176" s="125"/>
      <c r="KZP176" s="125"/>
      <c r="KZQ176" s="125"/>
      <c r="KZR176" s="125"/>
      <c r="KZS176" s="125"/>
      <c r="KZT176" s="125"/>
      <c r="KZU176" s="125"/>
      <c r="KZV176" s="125"/>
      <c r="KZW176" s="125"/>
      <c r="KZX176" s="125"/>
      <c r="KZY176" s="125"/>
      <c r="KZZ176" s="125"/>
      <c r="LAA176" s="125"/>
      <c r="LAB176" s="125"/>
      <c r="LAC176" s="125"/>
      <c r="LAD176" s="125"/>
      <c r="LAE176" s="125"/>
      <c r="LAF176" s="125"/>
      <c r="LAG176" s="125"/>
      <c r="LAH176" s="125"/>
      <c r="LAI176" s="125"/>
      <c r="LAJ176" s="125"/>
      <c r="LAK176" s="125"/>
      <c r="LAL176" s="125"/>
      <c r="LAM176" s="125"/>
      <c r="LAN176" s="125"/>
      <c r="LAO176" s="125"/>
      <c r="LAP176" s="125"/>
      <c r="LAQ176" s="125"/>
      <c r="LAR176" s="125"/>
      <c r="LAS176" s="125"/>
      <c r="LAT176" s="125"/>
      <c r="LAU176" s="125"/>
      <c r="LAV176" s="125"/>
      <c r="LAW176" s="125"/>
      <c r="LAX176" s="125"/>
      <c r="LAY176" s="125"/>
      <c r="LAZ176" s="125"/>
      <c r="LBA176" s="125"/>
      <c r="LBB176" s="125"/>
      <c r="LBC176" s="125"/>
      <c r="LBD176" s="125"/>
      <c r="LBE176" s="125"/>
      <c r="LBF176" s="125"/>
      <c r="LBG176" s="125"/>
      <c r="LBH176" s="125"/>
      <c r="LBI176" s="125"/>
      <c r="LBJ176" s="125"/>
      <c r="LBK176" s="125"/>
      <c r="LBL176" s="125"/>
      <c r="LBM176" s="125"/>
      <c r="LBN176" s="125"/>
      <c r="LBO176" s="125"/>
      <c r="LBP176" s="125"/>
      <c r="LBQ176" s="125"/>
      <c r="LBR176" s="125"/>
      <c r="LBS176" s="125"/>
      <c r="LBT176" s="125"/>
      <c r="LBU176" s="125"/>
      <c r="LBV176" s="125"/>
      <c r="LBW176" s="125"/>
      <c r="LBX176" s="125"/>
      <c r="LBY176" s="125"/>
      <c r="LBZ176" s="125"/>
      <c r="LCA176" s="125"/>
      <c r="LCB176" s="125"/>
      <c r="LCC176" s="125"/>
      <c r="LCD176" s="125"/>
      <c r="LCE176" s="125"/>
      <c r="LCF176" s="125"/>
      <c r="LCG176" s="125"/>
      <c r="LCH176" s="125"/>
      <c r="LCI176" s="125"/>
      <c r="LCJ176" s="125"/>
      <c r="LCK176" s="125"/>
      <c r="LCL176" s="125"/>
      <c r="LCM176" s="125"/>
      <c r="LCN176" s="125"/>
      <c r="LCO176" s="125"/>
      <c r="LCP176" s="125"/>
      <c r="LCQ176" s="125"/>
      <c r="LCR176" s="125"/>
      <c r="LCS176" s="125"/>
      <c r="LCT176" s="125"/>
      <c r="LCU176" s="125"/>
      <c r="LCV176" s="125"/>
      <c r="LCW176" s="125"/>
      <c r="LCX176" s="125"/>
      <c r="LCY176" s="125"/>
      <c r="LCZ176" s="125"/>
      <c r="LDA176" s="125"/>
      <c r="LDB176" s="125"/>
      <c r="LDC176" s="125"/>
      <c r="LDD176" s="125"/>
      <c r="LDE176" s="125"/>
      <c r="LDF176" s="125"/>
      <c r="LDG176" s="125"/>
      <c r="LDH176" s="125"/>
      <c r="LDI176" s="125"/>
      <c r="LDJ176" s="125"/>
      <c r="LDK176" s="125"/>
      <c r="LDL176" s="125"/>
      <c r="LDM176" s="125"/>
      <c r="LDN176" s="125"/>
      <c r="LDO176" s="125"/>
      <c r="LDP176" s="125"/>
      <c r="LDQ176" s="125"/>
      <c r="LDR176" s="125"/>
      <c r="LDS176" s="125"/>
      <c r="LDT176" s="125"/>
      <c r="LDU176" s="125"/>
      <c r="LDV176" s="125"/>
      <c r="LDW176" s="125"/>
      <c r="LDX176" s="125"/>
      <c r="LDY176" s="125"/>
      <c r="LDZ176" s="125"/>
      <c r="LEA176" s="125"/>
      <c r="LEB176" s="125"/>
      <c r="LEC176" s="125"/>
      <c r="LED176" s="125"/>
      <c r="LEE176" s="125"/>
      <c r="LEF176" s="125"/>
      <c r="LEG176" s="125"/>
      <c r="LEH176" s="125"/>
      <c r="LEI176" s="125"/>
      <c r="LEJ176" s="125"/>
      <c r="LEK176" s="125"/>
      <c r="LEL176" s="125"/>
      <c r="LEM176" s="125"/>
      <c r="LEN176" s="125"/>
      <c r="LEO176" s="125"/>
      <c r="LEP176" s="125"/>
      <c r="LEQ176" s="125"/>
      <c r="LER176" s="125"/>
      <c r="LES176" s="125"/>
      <c r="LET176" s="125"/>
      <c r="LEU176" s="125"/>
      <c r="LEV176" s="125"/>
      <c r="LEW176" s="125"/>
      <c r="LEX176" s="125"/>
      <c r="LEY176" s="125"/>
      <c r="LEZ176" s="125"/>
      <c r="LFA176" s="125"/>
      <c r="LFB176" s="125"/>
      <c r="LFC176" s="125"/>
      <c r="LFD176" s="125"/>
      <c r="LFE176" s="125"/>
      <c r="LFF176" s="125"/>
      <c r="LFG176" s="125"/>
      <c r="LFH176" s="125"/>
      <c r="LFI176" s="125"/>
      <c r="LFJ176" s="125"/>
      <c r="LFK176" s="125"/>
      <c r="LFL176" s="125"/>
      <c r="LFM176" s="125"/>
      <c r="LFN176" s="125"/>
      <c r="LFO176" s="125"/>
      <c r="LFP176" s="125"/>
      <c r="LFQ176" s="125"/>
      <c r="LFR176" s="125"/>
      <c r="LFS176" s="125"/>
      <c r="LFT176" s="125"/>
      <c r="LFU176" s="125"/>
      <c r="LFV176" s="125"/>
      <c r="LFW176" s="125"/>
      <c r="LFX176" s="125"/>
      <c r="LFY176" s="125"/>
      <c r="LFZ176" s="125"/>
      <c r="LGA176" s="125"/>
      <c r="LGB176" s="125"/>
      <c r="LGC176" s="125"/>
      <c r="LGD176" s="125"/>
      <c r="LGE176" s="125"/>
      <c r="LGF176" s="125"/>
      <c r="LGG176" s="125"/>
      <c r="LGH176" s="125"/>
      <c r="LGI176" s="125"/>
      <c r="LGJ176" s="125"/>
      <c r="LGK176" s="125"/>
      <c r="LGL176" s="125"/>
      <c r="LGM176" s="125"/>
      <c r="LGN176" s="125"/>
      <c r="LGO176" s="125"/>
      <c r="LGP176" s="125"/>
      <c r="LGQ176" s="125"/>
      <c r="LGR176" s="125"/>
      <c r="LGS176" s="125"/>
      <c r="LGT176" s="125"/>
      <c r="LGU176" s="125"/>
      <c r="LGV176" s="125"/>
      <c r="LGW176" s="125"/>
      <c r="LGX176" s="125"/>
      <c r="LGY176" s="125"/>
      <c r="LGZ176" s="125"/>
      <c r="LHA176" s="125"/>
      <c r="LHB176" s="125"/>
      <c r="LHC176" s="125"/>
      <c r="LHD176" s="125"/>
      <c r="LHE176" s="125"/>
      <c r="LHF176" s="125"/>
      <c r="LHG176" s="125"/>
      <c r="LHH176" s="125"/>
      <c r="LHI176" s="125"/>
      <c r="LHJ176" s="125"/>
      <c r="LHK176" s="125"/>
      <c r="LHL176" s="125"/>
      <c r="LHM176" s="125"/>
      <c r="LHN176" s="125"/>
      <c r="LHO176" s="125"/>
      <c r="LHP176" s="125"/>
      <c r="LHQ176" s="125"/>
      <c r="LHR176" s="125"/>
      <c r="LHS176" s="125"/>
      <c r="LHT176" s="125"/>
      <c r="LHU176" s="125"/>
      <c r="LHV176" s="125"/>
      <c r="LHW176" s="125"/>
      <c r="LHX176" s="125"/>
      <c r="LHY176" s="125"/>
      <c r="LHZ176" s="125"/>
      <c r="LIA176" s="125"/>
      <c r="LIB176" s="125"/>
      <c r="LIC176" s="125"/>
      <c r="LID176" s="125"/>
      <c r="LIE176" s="125"/>
      <c r="LIF176" s="125"/>
      <c r="LIG176" s="125"/>
      <c r="LIH176" s="125"/>
      <c r="LII176" s="125"/>
      <c r="LIJ176" s="125"/>
      <c r="LIK176" s="125"/>
      <c r="LIL176" s="125"/>
      <c r="LIM176" s="125"/>
      <c r="LIN176" s="125"/>
      <c r="LIO176" s="125"/>
      <c r="LIP176" s="125"/>
      <c r="LIQ176" s="125"/>
      <c r="LIR176" s="125"/>
      <c r="LIS176" s="125"/>
      <c r="LIT176" s="125"/>
      <c r="LIU176" s="125"/>
      <c r="LIV176" s="125"/>
      <c r="LIW176" s="125"/>
      <c r="LIX176" s="125"/>
      <c r="LIY176" s="125"/>
      <c r="LIZ176" s="125"/>
      <c r="LJA176" s="125"/>
      <c r="LJB176" s="125"/>
      <c r="LJC176" s="125"/>
      <c r="LJD176" s="125"/>
      <c r="LJE176" s="125"/>
      <c r="LJF176" s="125"/>
      <c r="LJG176" s="125"/>
      <c r="LJH176" s="125"/>
      <c r="LJI176" s="125"/>
      <c r="LJJ176" s="125"/>
      <c r="LJK176" s="125"/>
      <c r="LJL176" s="125"/>
      <c r="LJM176" s="125"/>
      <c r="LJN176" s="125"/>
      <c r="LJO176" s="125"/>
      <c r="LJP176" s="125"/>
      <c r="LJQ176" s="125"/>
      <c r="LJR176" s="125"/>
      <c r="LJS176" s="125"/>
      <c r="LJT176" s="125"/>
      <c r="LJU176" s="125"/>
      <c r="LJV176" s="125"/>
      <c r="LJW176" s="125"/>
      <c r="LJX176" s="125"/>
      <c r="LJY176" s="125"/>
      <c r="LJZ176" s="125"/>
      <c r="LKA176" s="125"/>
      <c r="LKB176" s="125"/>
      <c r="LKC176" s="125"/>
      <c r="LKD176" s="125"/>
      <c r="LKE176" s="125"/>
      <c r="LKF176" s="125"/>
      <c r="LKG176" s="125"/>
      <c r="LKH176" s="125"/>
      <c r="LKI176" s="125"/>
      <c r="LKJ176" s="125"/>
      <c r="LKK176" s="125"/>
      <c r="LKL176" s="125"/>
      <c r="LKM176" s="125"/>
      <c r="LKN176" s="125"/>
      <c r="LKO176" s="125"/>
      <c r="LKP176" s="125"/>
      <c r="LKQ176" s="125"/>
      <c r="LKR176" s="125"/>
      <c r="LKS176" s="125"/>
      <c r="LKT176" s="125"/>
      <c r="LKU176" s="125"/>
      <c r="LKV176" s="125"/>
      <c r="LKW176" s="125"/>
      <c r="LKX176" s="125"/>
      <c r="LKY176" s="125"/>
      <c r="LKZ176" s="125"/>
      <c r="LLA176" s="125"/>
      <c r="LLB176" s="125"/>
      <c r="LLC176" s="125"/>
      <c r="LLD176" s="125"/>
      <c r="LLE176" s="125"/>
      <c r="LLF176" s="125"/>
      <c r="LLG176" s="125"/>
      <c r="LLH176" s="125"/>
      <c r="LLI176" s="125"/>
      <c r="LLJ176" s="125"/>
      <c r="LLK176" s="125"/>
      <c r="LLL176" s="125"/>
      <c r="LLM176" s="125"/>
      <c r="LLN176" s="125"/>
      <c r="LLO176" s="125"/>
      <c r="LLP176" s="125"/>
      <c r="LLQ176" s="125"/>
      <c r="LLR176" s="125"/>
      <c r="LLS176" s="125"/>
      <c r="LLT176" s="125"/>
      <c r="LLU176" s="125"/>
      <c r="LLV176" s="125"/>
      <c r="LLW176" s="125"/>
      <c r="LLX176" s="125"/>
      <c r="LLY176" s="125"/>
      <c r="LLZ176" s="125"/>
      <c r="LMA176" s="125"/>
      <c r="LMB176" s="125"/>
      <c r="LMC176" s="125"/>
      <c r="LMD176" s="125"/>
      <c r="LME176" s="125"/>
      <c r="LMF176" s="125"/>
      <c r="LMG176" s="125"/>
      <c r="LMH176" s="125"/>
      <c r="LMI176" s="125"/>
      <c r="LMJ176" s="125"/>
      <c r="LMK176" s="125"/>
      <c r="LML176" s="125"/>
      <c r="LMM176" s="125"/>
      <c r="LMN176" s="125"/>
      <c r="LMO176" s="125"/>
      <c r="LMP176" s="125"/>
      <c r="LMQ176" s="125"/>
      <c r="LMR176" s="125"/>
      <c r="LMS176" s="125"/>
      <c r="LMT176" s="125"/>
      <c r="LMU176" s="125"/>
      <c r="LMV176" s="125"/>
      <c r="LMW176" s="125"/>
      <c r="LMX176" s="125"/>
      <c r="LMY176" s="125"/>
      <c r="LMZ176" s="125"/>
      <c r="LNA176" s="125"/>
      <c r="LNB176" s="125"/>
      <c r="LNC176" s="125"/>
      <c r="LND176" s="125"/>
      <c r="LNE176" s="125"/>
      <c r="LNF176" s="125"/>
      <c r="LNG176" s="125"/>
      <c r="LNH176" s="125"/>
      <c r="LNI176" s="125"/>
      <c r="LNJ176" s="125"/>
      <c r="LNK176" s="125"/>
      <c r="LNL176" s="125"/>
      <c r="LNM176" s="125"/>
      <c r="LNN176" s="125"/>
      <c r="LNO176" s="125"/>
      <c r="LNP176" s="125"/>
      <c r="LNQ176" s="125"/>
      <c r="LNR176" s="125"/>
      <c r="LNS176" s="125"/>
      <c r="LNT176" s="125"/>
      <c r="LNU176" s="125"/>
      <c r="LNV176" s="125"/>
      <c r="LNW176" s="125"/>
      <c r="LNX176" s="125"/>
      <c r="LNY176" s="125"/>
      <c r="LNZ176" s="125"/>
      <c r="LOA176" s="125"/>
      <c r="LOB176" s="125"/>
      <c r="LOC176" s="125"/>
      <c r="LOD176" s="125"/>
      <c r="LOE176" s="125"/>
      <c r="LOF176" s="125"/>
      <c r="LOG176" s="125"/>
      <c r="LOH176" s="125"/>
      <c r="LOI176" s="125"/>
      <c r="LOJ176" s="125"/>
      <c r="LOK176" s="125"/>
      <c r="LOL176" s="125"/>
      <c r="LOM176" s="125"/>
      <c r="LON176" s="125"/>
      <c r="LOO176" s="125"/>
      <c r="LOP176" s="125"/>
      <c r="LOQ176" s="125"/>
      <c r="LOR176" s="125"/>
      <c r="LOS176" s="125"/>
      <c r="LOT176" s="125"/>
      <c r="LOU176" s="125"/>
      <c r="LOV176" s="125"/>
      <c r="LOW176" s="125"/>
      <c r="LOX176" s="125"/>
      <c r="LOY176" s="125"/>
      <c r="LOZ176" s="125"/>
      <c r="LPA176" s="125"/>
      <c r="LPB176" s="125"/>
      <c r="LPC176" s="125"/>
      <c r="LPD176" s="125"/>
      <c r="LPE176" s="125"/>
      <c r="LPF176" s="125"/>
      <c r="LPG176" s="125"/>
      <c r="LPH176" s="125"/>
      <c r="LPI176" s="125"/>
      <c r="LPJ176" s="125"/>
      <c r="LPK176" s="125"/>
      <c r="LPL176" s="125"/>
      <c r="LPM176" s="125"/>
      <c r="LPN176" s="125"/>
      <c r="LPO176" s="125"/>
      <c r="LPP176" s="125"/>
      <c r="LPQ176" s="125"/>
      <c r="LPR176" s="125"/>
      <c r="LPS176" s="125"/>
      <c r="LPT176" s="125"/>
      <c r="LPU176" s="125"/>
      <c r="LPV176" s="125"/>
      <c r="LPW176" s="125"/>
      <c r="LPX176" s="125"/>
      <c r="LPY176" s="125"/>
      <c r="LPZ176" s="125"/>
      <c r="LQA176" s="125"/>
      <c r="LQB176" s="125"/>
      <c r="LQC176" s="125"/>
      <c r="LQD176" s="125"/>
      <c r="LQE176" s="125"/>
      <c r="LQF176" s="125"/>
      <c r="LQG176" s="125"/>
      <c r="LQH176" s="125"/>
      <c r="LQI176" s="125"/>
      <c r="LQJ176" s="125"/>
      <c r="LQK176" s="125"/>
      <c r="LQL176" s="125"/>
      <c r="LQM176" s="125"/>
      <c r="LQN176" s="125"/>
      <c r="LQO176" s="125"/>
      <c r="LQP176" s="125"/>
      <c r="LQQ176" s="125"/>
      <c r="LQR176" s="125"/>
      <c r="LQS176" s="125"/>
      <c r="LQT176" s="125"/>
      <c r="LQU176" s="125"/>
      <c r="LQV176" s="125"/>
      <c r="LQW176" s="125"/>
      <c r="LQX176" s="125"/>
      <c r="LQY176" s="125"/>
      <c r="LQZ176" s="125"/>
      <c r="LRA176" s="125"/>
      <c r="LRB176" s="125"/>
      <c r="LRC176" s="125"/>
      <c r="LRD176" s="125"/>
      <c r="LRE176" s="125"/>
      <c r="LRF176" s="125"/>
      <c r="LRG176" s="125"/>
      <c r="LRH176" s="125"/>
      <c r="LRI176" s="125"/>
      <c r="LRJ176" s="125"/>
      <c r="LRK176" s="125"/>
      <c r="LRL176" s="125"/>
      <c r="LRM176" s="125"/>
      <c r="LRN176" s="125"/>
      <c r="LRO176" s="125"/>
      <c r="LRP176" s="125"/>
      <c r="LRQ176" s="125"/>
      <c r="LRR176" s="125"/>
      <c r="LRS176" s="125"/>
      <c r="LRT176" s="125"/>
      <c r="LRU176" s="125"/>
      <c r="LRV176" s="125"/>
      <c r="LRW176" s="125"/>
      <c r="LRX176" s="125"/>
      <c r="LRY176" s="125"/>
      <c r="LRZ176" s="125"/>
      <c r="LSA176" s="125"/>
      <c r="LSB176" s="125"/>
      <c r="LSC176" s="125"/>
      <c r="LSD176" s="125"/>
      <c r="LSE176" s="125"/>
      <c r="LSF176" s="125"/>
      <c r="LSG176" s="125"/>
      <c r="LSH176" s="125"/>
      <c r="LSI176" s="125"/>
      <c r="LSJ176" s="125"/>
      <c r="LSK176" s="125"/>
      <c r="LSL176" s="125"/>
      <c r="LSM176" s="125"/>
      <c r="LSN176" s="125"/>
      <c r="LSO176" s="125"/>
      <c r="LSP176" s="125"/>
      <c r="LSQ176" s="125"/>
      <c r="LSR176" s="125"/>
      <c r="LSS176" s="125"/>
      <c r="LST176" s="125"/>
      <c r="LSU176" s="125"/>
      <c r="LSV176" s="125"/>
      <c r="LSW176" s="125"/>
      <c r="LSX176" s="125"/>
      <c r="LSY176" s="125"/>
      <c r="LSZ176" s="125"/>
      <c r="LTA176" s="125"/>
      <c r="LTB176" s="125"/>
      <c r="LTC176" s="125"/>
      <c r="LTD176" s="125"/>
      <c r="LTE176" s="125"/>
      <c r="LTF176" s="125"/>
      <c r="LTG176" s="125"/>
      <c r="LTH176" s="125"/>
      <c r="LTI176" s="125"/>
      <c r="LTJ176" s="125"/>
      <c r="LTK176" s="125"/>
      <c r="LTL176" s="125"/>
      <c r="LTM176" s="125"/>
      <c r="LTN176" s="125"/>
      <c r="LTO176" s="125"/>
      <c r="LTP176" s="125"/>
      <c r="LTQ176" s="125"/>
      <c r="LTR176" s="125"/>
      <c r="LTS176" s="125"/>
      <c r="LTT176" s="125"/>
      <c r="LTU176" s="125"/>
      <c r="LTV176" s="125"/>
      <c r="LTW176" s="125"/>
      <c r="LTX176" s="125"/>
      <c r="LTY176" s="125"/>
      <c r="LTZ176" s="125"/>
      <c r="LUA176" s="125"/>
      <c r="LUB176" s="125"/>
      <c r="LUC176" s="125"/>
      <c r="LUD176" s="125"/>
      <c r="LUE176" s="125"/>
      <c r="LUF176" s="125"/>
      <c r="LUG176" s="125"/>
      <c r="LUH176" s="125"/>
      <c r="LUI176" s="125"/>
      <c r="LUJ176" s="125"/>
      <c r="LUK176" s="125"/>
      <c r="LUL176" s="125"/>
      <c r="LUM176" s="125"/>
      <c r="LUN176" s="125"/>
      <c r="LUO176" s="125"/>
      <c r="LUP176" s="125"/>
      <c r="LUQ176" s="125"/>
      <c r="LUR176" s="125"/>
      <c r="LUS176" s="125"/>
      <c r="LUT176" s="125"/>
      <c r="LUU176" s="125"/>
      <c r="LUV176" s="125"/>
      <c r="LUW176" s="125"/>
      <c r="LUX176" s="125"/>
      <c r="LUY176" s="125"/>
      <c r="LUZ176" s="125"/>
      <c r="LVA176" s="125"/>
      <c r="LVB176" s="125"/>
      <c r="LVC176" s="125"/>
      <c r="LVD176" s="125"/>
      <c r="LVE176" s="125"/>
      <c r="LVF176" s="125"/>
      <c r="LVG176" s="125"/>
      <c r="LVH176" s="125"/>
      <c r="LVI176" s="125"/>
      <c r="LVJ176" s="125"/>
      <c r="LVK176" s="125"/>
      <c r="LVL176" s="125"/>
      <c r="LVM176" s="125"/>
      <c r="LVN176" s="125"/>
      <c r="LVO176" s="125"/>
      <c r="LVP176" s="125"/>
      <c r="LVQ176" s="125"/>
      <c r="LVR176" s="125"/>
      <c r="LVS176" s="125"/>
      <c r="LVT176" s="125"/>
      <c r="LVU176" s="125"/>
      <c r="LVV176" s="125"/>
      <c r="LVW176" s="125"/>
      <c r="LVX176" s="125"/>
      <c r="LVY176" s="125"/>
      <c r="LVZ176" s="125"/>
      <c r="LWA176" s="125"/>
      <c r="LWB176" s="125"/>
      <c r="LWC176" s="125"/>
      <c r="LWD176" s="125"/>
      <c r="LWE176" s="125"/>
      <c r="LWF176" s="125"/>
      <c r="LWG176" s="125"/>
      <c r="LWH176" s="125"/>
      <c r="LWI176" s="125"/>
      <c r="LWJ176" s="125"/>
      <c r="LWK176" s="125"/>
      <c r="LWL176" s="125"/>
      <c r="LWM176" s="125"/>
      <c r="LWN176" s="125"/>
      <c r="LWO176" s="125"/>
      <c r="LWP176" s="125"/>
      <c r="LWQ176" s="125"/>
      <c r="LWR176" s="125"/>
      <c r="LWS176" s="125"/>
      <c r="LWT176" s="125"/>
      <c r="LWU176" s="125"/>
      <c r="LWV176" s="125"/>
      <c r="LWW176" s="125"/>
      <c r="LWX176" s="125"/>
      <c r="LWY176" s="125"/>
      <c r="LWZ176" s="125"/>
      <c r="LXA176" s="125"/>
      <c r="LXB176" s="125"/>
      <c r="LXC176" s="125"/>
      <c r="LXD176" s="125"/>
      <c r="LXE176" s="125"/>
      <c r="LXF176" s="125"/>
      <c r="LXG176" s="125"/>
      <c r="LXH176" s="125"/>
      <c r="LXI176" s="125"/>
      <c r="LXJ176" s="125"/>
      <c r="LXK176" s="125"/>
      <c r="LXL176" s="125"/>
      <c r="LXM176" s="125"/>
      <c r="LXN176" s="125"/>
      <c r="LXO176" s="125"/>
      <c r="LXP176" s="125"/>
      <c r="LXQ176" s="125"/>
      <c r="LXR176" s="125"/>
      <c r="LXS176" s="125"/>
      <c r="LXT176" s="125"/>
      <c r="LXU176" s="125"/>
      <c r="LXV176" s="125"/>
      <c r="LXW176" s="125"/>
      <c r="LXX176" s="125"/>
      <c r="LXY176" s="125"/>
      <c r="LXZ176" s="125"/>
      <c r="LYA176" s="125"/>
      <c r="LYB176" s="125"/>
      <c r="LYC176" s="125"/>
      <c r="LYD176" s="125"/>
      <c r="LYE176" s="125"/>
      <c r="LYF176" s="125"/>
      <c r="LYG176" s="125"/>
      <c r="LYH176" s="125"/>
      <c r="LYI176" s="125"/>
      <c r="LYJ176" s="125"/>
      <c r="LYK176" s="125"/>
      <c r="LYL176" s="125"/>
      <c r="LYM176" s="125"/>
      <c r="LYN176" s="125"/>
      <c r="LYO176" s="125"/>
      <c r="LYP176" s="125"/>
      <c r="LYQ176" s="125"/>
      <c r="LYR176" s="125"/>
      <c r="LYS176" s="125"/>
      <c r="LYT176" s="125"/>
      <c r="LYU176" s="125"/>
      <c r="LYV176" s="125"/>
      <c r="LYW176" s="125"/>
      <c r="LYX176" s="125"/>
      <c r="LYY176" s="125"/>
      <c r="LYZ176" s="125"/>
      <c r="LZA176" s="125"/>
      <c r="LZB176" s="125"/>
      <c r="LZC176" s="125"/>
      <c r="LZD176" s="125"/>
      <c r="LZE176" s="125"/>
      <c r="LZF176" s="125"/>
      <c r="LZG176" s="125"/>
      <c r="LZH176" s="125"/>
      <c r="LZI176" s="125"/>
      <c r="LZJ176" s="125"/>
      <c r="LZK176" s="125"/>
      <c r="LZL176" s="125"/>
      <c r="LZM176" s="125"/>
      <c r="LZN176" s="125"/>
      <c r="LZO176" s="125"/>
      <c r="LZP176" s="125"/>
      <c r="LZQ176" s="125"/>
      <c r="LZR176" s="125"/>
      <c r="LZS176" s="125"/>
      <c r="LZT176" s="125"/>
      <c r="LZU176" s="125"/>
      <c r="LZV176" s="125"/>
      <c r="LZW176" s="125"/>
      <c r="LZX176" s="125"/>
      <c r="LZY176" s="125"/>
      <c r="LZZ176" s="125"/>
      <c r="MAA176" s="125"/>
      <c r="MAB176" s="125"/>
      <c r="MAC176" s="125"/>
      <c r="MAD176" s="125"/>
      <c r="MAE176" s="125"/>
      <c r="MAF176" s="125"/>
      <c r="MAG176" s="125"/>
      <c r="MAH176" s="125"/>
      <c r="MAI176" s="125"/>
      <c r="MAJ176" s="125"/>
      <c r="MAK176" s="125"/>
      <c r="MAL176" s="125"/>
      <c r="MAM176" s="125"/>
      <c r="MAN176" s="125"/>
      <c r="MAO176" s="125"/>
      <c r="MAP176" s="125"/>
      <c r="MAQ176" s="125"/>
      <c r="MAR176" s="125"/>
      <c r="MAS176" s="125"/>
      <c r="MAT176" s="125"/>
      <c r="MAU176" s="125"/>
      <c r="MAV176" s="125"/>
      <c r="MAW176" s="125"/>
      <c r="MAX176" s="125"/>
      <c r="MAY176" s="125"/>
      <c r="MAZ176" s="125"/>
      <c r="MBA176" s="125"/>
      <c r="MBB176" s="125"/>
      <c r="MBC176" s="125"/>
      <c r="MBD176" s="125"/>
      <c r="MBE176" s="125"/>
      <c r="MBF176" s="125"/>
      <c r="MBG176" s="125"/>
      <c r="MBH176" s="125"/>
      <c r="MBI176" s="125"/>
      <c r="MBJ176" s="125"/>
      <c r="MBK176" s="125"/>
      <c r="MBL176" s="125"/>
      <c r="MBM176" s="125"/>
      <c r="MBN176" s="125"/>
      <c r="MBO176" s="125"/>
      <c r="MBP176" s="125"/>
      <c r="MBQ176" s="125"/>
      <c r="MBR176" s="125"/>
      <c r="MBS176" s="125"/>
      <c r="MBT176" s="125"/>
      <c r="MBU176" s="125"/>
      <c r="MBV176" s="125"/>
      <c r="MBW176" s="125"/>
      <c r="MBX176" s="125"/>
      <c r="MBY176" s="125"/>
      <c r="MBZ176" s="125"/>
      <c r="MCA176" s="125"/>
      <c r="MCB176" s="125"/>
      <c r="MCC176" s="125"/>
      <c r="MCD176" s="125"/>
      <c r="MCE176" s="125"/>
      <c r="MCF176" s="125"/>
      <c r="MCG176" s="125"/>
      <c r="MCH176" s="125"/>
      <c r="MCI176" s="125"/>
      <c r="MCJ176" s="125"/>
      <c r="MCK176" s="125"/>
      <c r="MCL176" s="125"/>
      <c r="MCM176" s="125"/>
      <c r="MCN176" s="125"/>
      <c r="MCO176" s="125"/>
      <c r="MCP176" s="125"/>
      <c r="MCQ176" s="125"/>
      <c r="MCR176" s="125"/>
      <c r="MCS176" s="125"/>
      <c r="MCT176" s="125"/>
      <c r="MCU176" s="125"/>
      <c r="MCV176" s="125"/>
      <c r="MCW176" s="125"/>
      <c r="MCX176" s="125"/>
      <c r="MCY176" s="125"/>
      <c r="MCZ176" s="125"/>
      <c r="MDA176" s="125"/>
      <c r="MDB176" s="125"/>
      <c r="MDC176" s="125"/>
      <c r="MDD176" s="125"/>
      <c r="MDE176" s="125"/>
      <c r="MDF176" s="125"/>
      <c r="MDG176" s="125"/>
      <c r="MDH176" s="125"/>
      <c r="MDI176" s="125"/>
      <c r="MDJ176" s="125"/>
      <c r="MDK176" s="125"/>
      <c r="MDL176" s="125"/>
      <c r="MDM176" s="125"/>
      <c r="MDN176" s="125"/>
      <c r="MDO176" s="125"/>
      <c r="MDP176" s="125"/>
      <c r="MDQ176" s="125"/>
      <c r="MDR176" s="125"/>
      <c r="MDS176" s="125"/>
      <c r="MDT176" s="125"/>
      <c r="MDU176" s="125"/>
      <c r="MDV176" s="125"/>
      <c r="MDW176" s="125"/>
      <c r="MDX176" s="125"/>
      <c r="MDY176" s="125"/>
      <c r="MDZ176" s="125"/>
      <c r="MEA176" s="125"/>
      <c r="MEB176" s="125"/>
      <c r="MEC176" s="125"/>
      <c r="MED176" s="125"/>
      <c r="MEE176" s="125"/>
      <c r="MEF176" s="125"/>
      <c r="MEG176" s="125"/>
      <c r="MEH176" s="125"/>
      <c r="MEI176" s="125"/>
      <c r="MEJ176" s="125"/>
      <c r="MEK176" s="125"/>
      <c r="MEL176" s="125"/>
      <c r="MEM176" s="125"/>
      <c r="MEN176" s="125"/>
      <c r="MEO176" s="125"/>
      <c r="MEP176" s="125"/>
      <c r="MEQ176" s="125"/>
      <c r="MER176" s="125"/>
      <c r="MES176" s="125"/>
      <c r="MET176" s="125"/>
      <c r="MEU176" s="125"/>
      <c r="MEV176" s="125"/>
      <c r="MEW176" s="125"/>
      <c r="MEX176" s="125"/>
      <c r="MEY176" s="125"/>
      <c r="MEZ176" s="125"/>
      <c r="MFA176" s="125"/>
      <c r="MFB176" s="125"/>
      <c r="MFC176" s="125"/>
      <c r="MFD176" s="125"/>
      <c r="MFE176" s="125"/>
      <c r="MFF176" s="125"/>
      <c r="MFG176" s="125"/>
      <c r="MFH176" s="125"/>
      <c r="MFI176" s="125"/>
      <c r="MFJ176" s="125"/>
      <c r="MFK176" s="125"/>
      <c r="MFL176" s="125"/>
      <c r="MFM176" s="125"/>
      <c r="MFN176" s="125"/>
      <c r="MFO176" s="125"/>
      <c r="MFP176" s="125"/>
      <c r="MFQ176" s="125"/>
      <c r="MFR176" s="125"/>
      <c r="MFS176" s="125"/>
      <c r="MFT176" s="125"/>
      <c r="MFU176" s="125"/>
      <c r="MFV176" s="125"/>
      <c r="MFW176" s="125"/>
      <c r="MFX176" s="125"/>
      <c r="MFY176" s="125"/>
      <c r="MFZ176" s="125"/>
      <c r="MGA176" s="125"/>
      <c r="MGB176" s="125"/>
      <c r="MGC176" s="125"/>
      <c r="MGD176" s="125"/>
      <c r="MGE176" s="125"/>
      <c r="MGF176" s="125"/>
      <c r="MGG176" s="125"/>
      <c r="MGH176" s="125"/>
      <c r="MGI176" s="125"/>
      <c r="MGJ176" s="125"/>
      <c r="MGK176" s="125"/>
      <c r="MGL176" s="125"/>
      <c r="MGM176" s="125"/>
      <c r="MGN176" s="125"/>
      <c r="MGO176" s="125"/>
      <c r="MGP176" s="125"/>
      <c r="MGQ176" s="125"/>
      <c r="MGR176" s="125"/>
      <c r="MGS176" s="125"/>
      <c r="MGT176" s="125"/>
      <c r="MGU176" s="125"/>
      <c r="MGV176" s="125"/>
      <c r="MGW176" s="125"/>
      <c r="MGX176" s="125"/>
      <c r="MGY176" s="125"/>
      <c r="MGZ176" s="125"/>
      <c r="MHA176" s="125"/>
      <c r="MHB176" s="125"/>
      <c r="MHC176" s="125"/>
      <c r="MHD176" s="125"/>
      <c r="MHE176" s="125"/>
      <c r="MHF176" s="125"/>
      <c r="MHG176" s="125"/>
      <c r="MHH176" s="125"/>
      <c r="MHI176" s="125"/>
      <c r="MHJ176" s="125"/>
      <c r="MHK176" s="125"/>
      <c r="MHL176" s="125"/>
      <c r="MHM176" s="125"/>
      <c r="MHN176" s="125"/>
      <c r="MHO176" s="125"/>
      <c r="MHP176" s="125"/>
      <c r="MHQ176" s="125"/>
      <c r="MHR176" s="125"/>
      <c r="MHS176" s="125"/>
      <c r="MHT176" s="125"/>
      <c r="MHU176" s="125"/>
      <c r="MHV176" s="125"/>
      <c r="MHW176" s="125"/>
      <c r="MHX176" s="125"/>
      <c r="MHY176" s="125"/>
      <c r="MHZ176" s="125"/>
      <c r="MIA176" s="125"/>
      <c r="MIB176" s="125"/>
      <c r="MIC176" s="125"/>
      <c r="MID176" s="125"/>
      <c r="MIE176" s="125"/>
      <c r="MIF176" s="125"/>
      <c r="MIG176" s="125"/>
      <c r="MIH176" s="125"/>
      <c r="MII176" s="125"/>
      <c r="MIJ176" s="125"/>
      <c r="MIK176" s="125"/>
      <c r="MIL176" s="125"/>
      <c r="MIM176" s="125"/>
      <c r="MIN176" s="125"/>
      <c r="MIO176" s="125"/>
      <c r="MIP176" s="125"/>
      <c r="MIQ176" s="125"/>
      <c r="MIR176" s="125"/>
      <c r="MIS176" s="125"/>
      <c r="MIT176" s="125"/>
      <c r="MIU176" s="125"/>
      <c r="MIV176" s="125"/>
      <c r="MIW176" s="125"/>
      <c r="MIX176" s="125"/>
      <c r="MIY176" s="125"/>
      <c r="MIZ176" s="125"/>
      <c r="MJA176" s="125"/>
      <c r="MJB176" s="125"/>
      <c r="MJC176" s="125"/>
      <c r="MJD176" s="125"/>
      <c r="MJE176" s="125"/>
      <c r="MJF176" s="125"/>
      <c r="MJG176" s="125"/>
      <c r="MJH176" s="125"/>
      <c r="MJI176" s="125"/>
      <c r="MJJ176" s="125"/>
      <c r="MJK176" s="125"/>
      <c r="MJL176" s="125"/>
      <c r="MJM176" s="125"/>
      <c r="MJN176" s="125"/>
      <c r="MJO176" s="125"/>
      <c r="MJP176" s="125"/>
      <c r="MJQ176" s="125"/>
      <c r="MJR176" s="125"/>
      <c r="MJS176" s="125"/>
      <c r="MJT176" s="125"/>
      <c r="MJU176" s="125"/>
      <c r="MJV176" s="125"/>
      <c r="MJW176" s="125"/>
      <c r="MJX176" s="125"/>
      <c r="MJY176" s="125"/>
      <c r="MJZ176" s="125"/>
      <c r="MKA176" s="125"/>
      <c r="MKB176" s="125"/>
      <c r="MKC176" s="125"/>
      <c r="MKD176" s="125"/>
      <c r="MKE176" s="125"/>
      <c r="MKF176" s="125"/>
      <c r="MKG176" s="125"/>
      <c r="MKH176" s="125"/>
      <c r="MKI176" s="125"/>
      <c r="MKJ176" s="125"/>
      <c r="MKK176" s="125"/>
      <c r="MKL176" s="125"/>
      <c r="MKM176" s="125"/>
      <c r="MKN176" s="125"/>
      <c r="MKO176" s="125"/>
      <c r="MKP176" s="125"/>
      <c r="MKQ176" s="125"/>
      <c r="MKR176" s="125"/>
      <c r="MKS176" s="125"/>
      <c r="MKT176" s="125"/>
      <c r="MKU176" s="125"/>
      <c r="MKV176" s="125"/>
      <c r="MKW176" s="125"/>
      <c r="MKX176" s="125"/>
      <c r="MKY176" s="125"/>
      <c r="MKZ176" s="125"/>
      <c r="MLA176" s="125"/>
      <c r="MLB176" s="125"/>
      <c r="MLC176" s="125"/>
      <c r="MLD176" s="125"/>
      <c r="MLE176" s="125"/>
      <c r="MLF176" s="125"/>
      <c r="MLG176" s="125"/>
      <c r="MLH176" s="125"/>
      <c r="MLI176" s="125"/>
      <c r="MLJ176" s="125"/>
      <c r="MLK176" s="125"/>
      <c r="MLL176" s="125"/>
      <c r="MLM176" s="125"/>
      <c r="MLN176" s="125"/>
      <c r="MLO176" s="125"/>
      <c r="MLP176" s="125"/>
      <c r="MLQ176" s="125"/>
      <c r="MLR176" s="125"/>
      <c r="MLS176" s="125"/>
      <c r="MLT176" s="125"/>
      <c r="MLU176" s="125"/>
      <c r="MLV176" s="125"/>
      <c r="MLW176" s="125"/>
      <c r="MLX176" s="125"/>
      <c r="MLY176" s="125"/>
      <c r="MLZ176" s="125"/>
      <c r="MMA176" s="125"/>
      <c r="MMB176" s="125"/>
      <c r="MMC176" s="125"/>
      <c r="MMD176" s="125"/>
      <c r="MME176" s="125"/>
      <c r="MMF176" s="125"/>
      <c r="MMG176" s="125"/>
      <c r="MMH176" s="125"/>
      <c r="MMI176" s="125"/>
      <c r="MMJ176" s="125"/>
      <c r="MMK176" s="125"/>
      <c r="MML176" s="125"/>
      <c r="MMM176" s="125"/>
      <c r="MMN176" s="125"/>
      <c r="MMO176" s="125"/>
      <c r="MMP176" s="125"/>
      <c r="MMQ176" s="125"/>
      <c r="MMR176" s="125"/>
      <c r="MMS176" s="125"/>
      <c r="MMT176" s="125"/>
      <c r="MMU176" s="125"/>
      <c r="MMV176" s="125"/>
      <c r="MMW176" s="125"/>
      <c r="MMX176" s="125"/>
      <c r="MMY176" s="125"/>
      <c r="MMZ176" s="125"/>
      <c r="MNA176" s="125"/>
      <c r="MNB176" s="125"/>
      <c r="MNC176" s="125"/>
      <c r="MND176" s="125"/>
      <c r="MNE176" s="125"/>
      <c r="MNF176" s="125"/>
      <c r="MNG176" s="125"/>
      <c r="MNH176" s="125"/>
      <c r="MNI176" s="125"/>
      <c r="MNJ176" s="125"/>
      <c r="MNK176" s="125"/>
      <c r="MNL176" s="125"/>
      <c r="MNM176" s="125"/>
      <c r="MNN176" s="125"/>
      <c r="MNO176" s="125"/>
      <c r="MNP176" s="125"/>
      <c r="MNQ176" s="125"/>
      <c r="MNR176" s="125"/>
      <c r="MNS176" s="125"/>
      <c r="MNT176" s="125"/>
      <c r="MNU176" s="125"/>
      <c r="MNV176" s="125"/>
      <c r="MNW176" s="125"/>
      <c r="MNX176" s="125"/>
      <c r="MNY176" s="125"/>
      <c r="MNZ176" s="125"/>
      <c r="MOA176" s="125"/>
      <c r="MOB176" s="125"/>
      <c r="MOC176" s="125"/>
      <c r="MOD176" s="125"/>
      <c r="MOE176" s="125"/>
      <c r="MOF176" s="125"/>
      <c r="MOG176" s="125"/>
      <c r="MOH176" s="125"/>
      <c r="MOI176" s="125"/>
      <c r="MOJ176" s="125"/>
      <c r="MOK176" s="125"/>
      <c r="MOL176" s="125"/>
      <c r="MOM176" s="125"/>
      <c r="MON176" s="125"/>
      <c r="MOO176" s="125"/>
      <c r="MOP176" s="125"/>
      <c r="MOQ176" s="125"/>
      <c r="MOR176" s="125"/>
      <c r="MOS176" s="125"/>
      <c r="MOT176" s="125"/>
      <c r="MOU176" s="125"/>
      <c r="MOV176" s="125"/>
      <c r="MOW176" s="125"/>
      <c r="MOX176" s="125"/>
      <c r="MOY176" s="125"/>
      <c r="MOZ176" s="125"/>
      <c r="MPA176" s="125"/>
      <c r="MPB176" s="125"/>
      <c r="MPC176" s="125"/>
      <c r="MPD176" s="125"/>
      <c r="MPE176" s="125"/>
      <c r="MPF176" s="125"/>
      <c r="MPG176" s="125"/>
      <c r="MPH176" s="125"/>
      <c r="MPI176" s="125"/>
      <c r="MPJ176" s="125"/>
      <c r="MPK176" s="125"/>
      <c r="MPL176" s="125"/>
      <c r="MPM176" s="125"/>
      <c r="MPN176" s="125"/>
      <c r="MPO176" s="125"/>
      <c r="MPP176" s="125"/>
      <c r="MPQ176" s="125"/>
      <c r="MPR176" s="125"/>
      <c r="MPS176" s="125"/>
      <c r="MPT176" s="125"/>
      <c r="MPU176" s="125"/>
      <c r="MPV176" s="125"/>
      <c r="MPW176" s="125"/>
      <c r="MPX176" s="125"/>
      <c r="MPY176" s="125"/>
      <c r="MPZ176" s="125"/>
      <c r="MQA176" s="125"/>
      <c r="MQB176" s="125"/>
      <c r="MQC176" s="125"/>
      <c r="MQD176" s="125"/>
      <c r="MQE176" s="125"/>
      <c r="MQF176" s="125"/>
      <c r="MQG176" s="125"/>
      <c r="MQH176" s="125"/>
      <c r="MQI176" s="125"/>
      <c r="MQJ176" s="125"/>
      <c r="MQK176" s="125"/>
      <c r="MQL176" s="125"/>
      <c r="MQM176" s="125"/>
      <c r="MQN176" s="125"/>
      <c r="MQO176" s="125"/>
      <c r="MQP176" s="125"/>
      <c r="MQQ176" s="125"/>
      <c r="MQR176" s="125"/>
      <c r="MQS176" s="125"/>
      <c r="MQT176" s="125"/>
      <c r="MQU176" s="125"/>
      <c r="MQV176" s="125"/>
      <c r="MQW176" s="125"/>
      <c r="MQX176" s="125"/>
      <c r="MQY176" s="125"/>
      <c r="MQZ176" s="125"/>
      <c r="MRA176" s="125"/>
      <c r="MRB176" s="125"/>
      <c r="MRC176" s="125"/>
      <c r="MRD176" s="125"/>
      <c r="MRE176" s="125"/>
      <c r="MRF176" s="125"/>
      <c r="MRG176" s="125"/>
      <c r="MRH176" s="125"/>
      <c r="MRI176" s="125"/>
      <c r="MRJ176" s="125"/>
      <c r="MRK176" s="125"/>
      <c r="MRL176" s="125"/>
      <c r="MRM176" s="125"/>
      <c r="MRN176" s="125"/>
      <c r="MRO176" s="125"/>
      <c r="MRP176" s="125"/>
      <c r="MRQ176" s="125"/>
      <c r="MRR176" s="125"/>
      <c r="MRS176" s="125"/>
      <c r="MRT176" s="125"/>
      <c r="MRU176" s="125"/>
      <c r="MRV176" s="125"/>
      <c r="MRW176" s="125"/>
      <c r="MRX176" s="125"/>
      <c r="MRY176" s="125"/>
      <c r="MRZ176" s="125"/>
      <c r="MSA176" s="125"/>
      <c r="MSB176" s="125"/>
      <c r="MSC176" s="125"/>
      <c r="MSD176" s="125"/>
      <c r="MSE176" s="125"/>
      <c r="MSF176" s="125"/>
      <c r="MSG176" s="125"/>
      <c r="MSH176" s="125"/>
      <c r="MSI176" s="125"/>
      <c r="MSJ176" s="125"/>
      <c r="MSK176" s="125"/>
      <c r="MSL176" s="125"/>
      <c r="MSM176" s="125"/>
      <c r="MSN176" s="125"/>
      <c r="MSO176" s="125"/>
      <c r="MSP176" s="125"/>
      <c r="MSQ176" s="125"/>
      <c r="MSR176" s="125"/>
      <c r="MSS176" s="125"/>
      <c r="MST176" s="125"/>
      <c r="MSU176" s="125"/>
      <c r="MSV176" s="125"/>
      <c r="MSW176" s="125"/>
      <c r="MSX176" s="125"/>
      <c r="MSY176" s="125"/>
      <c r="MSZ176" s="125"/>
      <c r="MTA176" s="125"/>
      <c r="MTB176" s="125"/>
      <c r="MTC176" s="125"/>
      <c r="MTD176" s="125"/>
      <c r="MTE176" s="125"/>
      <c r="MTF176" s="125"/>
      <c r="MTG176" s="125"/>
      <c r="MTH176" s="125"/>
      <c r="MTI176" s="125"/>
      <c r="MTJ176" s="125"/>
      <c r="MTK176" s="125"/>
      <c r="MTL176" s="125"/>
      <c r="MTM176" s="125"/>
      <c r="MTN176" s="125"/>
      <c r="MTO176" s="125"/>
      <c r="MTP176" s="125"/>
      <c r="MTQ176" s="125"/>
      <c r="MTR176" s="125"/>
      <c r="MTS176" s="125"/>
      <c r="MTT176" s="125"/>
      <c r="MTU176" s="125"/>
      <c r="MTV176" s="125"/>
      <c r="MTW176" s="125"/>
      <c r="MTX176" s="125"/>
      <c r="MTY176" s="125"/>
      <c r="MTZ176" s="125"/>
      <c r="MUA176" s="125"/>
      <c r="MUB176" s="125"/>
      <c r="MUC176" s="125"/>
      <c r="MUD176" s="125"/>
      <c r="MUE176" s="125"/>
      <c r="MUF176" s="125"/>
      <c r="MUG176" s="125"/>
      <c r="MUH176" s="125"/>
      <c r="MUI176" s="125"/>
      <c r="MUJ176" s="125"/>
      <c r="MUK176" s="125"/>
      <c r="MUL176" s="125"/>
      <c r="MUM176" s="125"/>
      <c r="MUN176" s="125"/>
      <c r="MUO176" s="125"/>
      <c r="MUP176" s="125"/>
      <c r="MUQ176" s="125"/>
      <c r="MUR176" s="125"/>
      <c r="MUS176" s="125"/>
      <c r="MUT176" s="125"/>
      <c r="MUU176" s="125"/>
      <c r="MUV176" s="125"/>
      <c r="MUW176" s="125"/>
      <c r="MUX176" s="125"/>
      <c r="MUY176" s="125"/>
      <c r="MUZ176" s="125"/>
      <c r="MVA176" s="125"/>
      <c r="MVB176" s="125"/>
      <c r="MVC176" s="125"/>
      <c r="MVD176" s="125"/>
      <c r="MVE176" s="125"/>
      <c r="MVF176" s="125"/>
      <c r="MVG176" s="125"/>
      <c r="MVH176" s="125"/>
      <c r="MVI176" s="125"/>
      <c r="MVJ176" s="125"/>
      <c r="MVK176" s="125"/>
      <c r="MVL176" s="125"/>
      <c r="MVM176" s="125"/>
      <c r="MVN176" s="125"/>
      <c r="MVO176" s="125"/>
      <c r="MVP176" s="125"/>
      <c r="MVQ176" s="125"/>
      <c r="MVR176" s="125"/>
      <c r="MVS176" s="125"/>
      <c r="MVT176" s="125"/>
      <c r="MVU176" s="125"/>
      <c r="MVV176" s="125"/>
      <c r="MVW176" s="125"/>
      <c r="MVX176" s="125"/>
      <c r="MVY176" s="125"/>
      <c r="MVZ176" s="125"/>
      <c r="MWA176" s="125"/>
      <c r="MWB176" s="125"/>
      <c r="MWC176" s="125"/>
      <c r="MWD176" s="125"/>
      <c r="MWE176" s="125"/>
      <c r="MWF176" s="125"/>
      <c r="MWG176" s="125"/>
      <c r="MWH176" s="125"/>
      <c r="MWI176" s="125"/>
      <c r="MWJ176" s="125"/>
      <c r="MWK176" s="125"/>
      <c r="MWL176" s="125"/>
      <c r="MWM176" s="125"/>
      <c r="MWN176" s="125"/>
      <c r="MWO176" s="125"/>
      <c r="MWP176" s="125"/>
      <c r="MWQ176" s="125"/>
      <c r="MWR176" s="125"/>
      <c r="MWS176" s="125"/>
      <c r="MWT176" s="125"/>
      <c r="MWU176" s="125"/>
      <c r="MWV176" s="125"/>
      <c r="MWW176" s="125"/>
      <c r="MWX176" s="125"/>
      <c r="MWY176" s="125"/>
      <c r="MWZ176" s="125"/>
      <c r="MXA176" s="125"/>
      <c r="MXB176" s="125"/>
      <c r="MXC176" s="125"/>
      <c r="MXD176" s="125"/>
      <c r="MXE176" s="125"/>
      <c r="MXF176" s="125"/>
      <c r="MXG176" s="125"/>
      <c r="MXH176" s="125"/>
      <c r="MXI176" s="125"/>
      <c r="MXJ176" s="125"/>
      <c r="MXK176" s="125"/>
      <c r="MXL176" s="125"/>
      <c r="MXM176" s="125"/>
      <c r="MXN176" s="125"/>
      <c r="MXO176" s="125"/>
      <c r="MXP176" s="125"/>
      <c r="MXQ176" s="125"/>
      <c r="MXR176" s="125"/>
      <c r="MXS176" s="125"/>
      <c r="MXT176" s="125"/>
      <c r="MXU176" s="125"/>
      <c r="MXV176" s="125"/>
      <c r="MXW176" s="125"/>
      <c r="MXX176" s="125"/>
      <c r="MXY176" s="125"/>
      <c r="MXZ176" s="125"/>
      <c r="MYA176" s="125"/>
      <c r="MYB176" s="125"/>
      <c r="MYC176" s="125"/>
      <c r="MYD176" s="125"/>
      <c r="MYE176" s="125"/>
      <c r="MYF176" s="125"/>
      <c r="MYG176" s="125"/>
      <c r="MYH176" s="125"/>
      <c r="MYI176" s="125"/>
      <c r="MYJ176" s="125"/>
      <c r="MYK176" s="125"/>
      <c r="MYL176" s="125"/>
      <c r="MYM176" s="125"/>
      <c r="MYN176" s="125"/>
      <c r="MYO176" s="125"/>
      <c r="MYP176" s="125"/>
      <c r="MYQ176" s="125"/>
      <c r="MYR176" s="125"/>
      <c r="MYS176" s="125"/>
      <c r="MYT176" s="125"/>
      <c r="MYU176" s="125"/>
      <c r="MYV176" s="125"/>
      <c r="MYW176" s="125"/>
      <c r="MYX176" s="125"/>
      <c r="MYY176" s="125"/>
      <c r="MYZ176" s="125"/>
      <c r="MZA176" s="125"/>
      <c r="MZB176" s="125"/>
      <c r="MZC176" s="125"/>
      <c r="MZD176" s="125"/>
      <c r="MZE176" s="125"/>
      <c r="MZF176" s="125"/>
      <c r="MZG176" s="125"/>
      <c r="MZH176" s="125"/>
      <c r="MZI176" s="125"/>
      <c r="MZJ176" s="125"/>
      <c r="MZK176" s="125"/>
      <c r="MZL176" s="125"/>
      <c r="MZM176" s="125"/>
      <c r="MZN176" s="125"/>
      <c r="MZO176" s="125"/>
      <c r="MZP176" s="125"/>
      <c r="MZQ176" s="125"/>
      <c r="MZR176" s="125"/>
      <c r="MZS176" s="125"/>
      <c r="MZT176" s="125"/>
      <c r="MZU176" s="125"/>
      <c r="MZV176" s="125"/>
      <c r="MZW176" s="125"/>
      <c r="MZX176" s="125"/>
      <c r="MZY176" s="125"/>
      <c r="MZZ176" s="125"/>
      <c r="NAA176" s="125"/>
      <c r="NAB176" s="125"/>
      <c r="NAC176" s="125"/>
      <c r="NAD176" s="125"/>
      <c r="NAE176" s="125"/>
      <c r="NAF176" s="125"/>
      <c r="NAG176" s="125"/>
      <c r="NAH176" s="125"/>
      <c r="NAI176" s="125"/>
      <c r="NAJ176" s="125"/>
      <c r="NAK176" s="125"/>
      <c r="NAL176" s="125"/>
      <c r="NAM176" s="125"/>
      <c r="NAN176" s="125"/>
      <c r="NAO176" s="125"/>
      <c r="NAP176" s="125"/>
      <c r="NAQ176" s="125"/>
      <c r="NAR176" s="125"/>
      <c r="NAS176" s="125"/>
      <c r="NAT176" s="125"/>
      <c r="NAU176" s="125"/>
      <c r="NAV176" s="125"/>
      <c r="NAW176" s="125"/>
      <c r="NAX176" s="125"/>
      <c r="NAY176" s="125"/>
      <c r="NAZ176" s="125"/>
      <c r="NBA176" s="125"/>
      <c r="NBB176" s="125"/>
      <c r="NBC176" s="125"/>
      <c r="NBD176" s="125"/>
      <c r="NBE176" s="125"/>
      <c r="NBF176" s="125"/>
      <c r="NBG176" s="125"/>
      <c r="NBH176" s="125"/>
      <c r="NBI176" s="125"/>
      <c r="NBJ176" s="125"/>
      <c r="NBK176" s="125"/>
      <c r="NBL176" s="125"/>
      <c r="NBM176" s="125"/>
      <c r="NBN176" s="125"/>
      <c r="NBO176" s="125"/>
      <c r="NBP176" s="125"/>
      <c r="NBQ176" s="125"/>
      <c r="NBR176" s="125"/>
      <c r="NBS176" s="125"/>
      <c r="NBT176" s="125"/>
      <c r="NBU176" s="125"/>
      <c r="NBV176" s="125"/>
      <c r="NBW176" s="125"/>
      <c r="NBX176" s="125"/>
      <c r="NBY176" s="125"/>
      <c r="NBZ176" s="125"/>
      <c r="NCA176" s="125"/>
      <c r="NCB176" s="125"/>
      <c r="NCC176" s="125"/>
      <c r="NCD176" s="125"/>
      <c r="NCE176" s="125"/>
      <c r="NCF176" s="125"/>
      <c r="NCG176" s="125"/>
      <c r="NCH176" s="125"/>
      <c r="NCI176" s="125"/>
      <c r="NCJ176" s="125"/>
      <c r="NCK176" s="125"/>
      <c r="NCL176" s="125"/>
      <c r="NCM176" s="125"/>
      <c r="NCN176" s="125"/>
      <c r="NCO176" s="125"/>
      <c r="NCP176" s="125"/>
      <c r="NCQ176" s="125"/>
      <c r="NCR176" s="125"/>
      <c r="NCS176" s="125"/>
      <c r="NCT176" s="125"/>
      <c r="NCU176" s="125"/>
      <c r="NCV176" s="125"/>
      <c r="NCW176" s="125"/>
      <c r="NCX176" s="125"/>
      <c r="NCY176" s="125"/>
      <c r="NCZ176" s="125"/>
      <c r="NDA176" s="125"/>
      <c r="NDB176" s="125"/>
      <c r="NDC176" s="125"/>
      <c r="NDD176" s="125"/>
      <c r="NDE176" s="125"/>
      <c r="NDF176" s="125"/>
      <c r="NDG176" s="125"/>
      <c r="NDH176" s="125"/>
      <c r="NDI176" s="125"/>
      <c r="NDJ176" s="125"/>
      <c r="NDK176" s="125"/>
      <c r="NDL176" s="125"/>
      <c r="NDM176" s="125"/>
      <c r="NDN176" s="125"/>
      <c r="NDO176" s="125"/>
      <c r="NDP176" s="125"/>
      <c r="NDQ176" s="125"/>
      <c r="NDR176" s="125"/>
      <c r="NDS176" s="125"/>
      <c r="NDT176" s="125"/>
      <c r="NDU176" s="125"/>
      <c r="NDV176" s="125"/>
      <c r="NDW176" s="125"/>
      <c r="NDX176" s="125"/>
      <c r="NDY176" s="125"/>
      <c r="NDZ176" s="125"/>
      <c r="NEA176" s="125"/>
      <c r="NEB176" s="125"/>
      <c r="NEC176" s="125"/>
      <c r="NED176" s="125"/>
      <c r="NEE176" s="125"/>
      <c r="NEF176" s="125"/>
      <c r="NEG176" s="125"/>
      <c r="NEH176" s="125"/>
      <c r="NEI176" s="125"/>
      <c r="NEJ176" s="125"/>
      <c r="NEK176" s="125"/>
      <c r="NEL176" s="125"/>
      <c r="NEM176" s="125"/>
      <c r="NEN176" s="125"/>
      <c r="NEO176" s="125"/>
      <c r="NEP176" s="125"/>
      <c r="NEQ176" s="125"/>
      <c r="NER176" s="125"/>
      <c r="NES176" s="125"/>
      <c r="NET176" s="125"/>
      <c r="NEU176" s="125"/>
      <c r="NEV176" s="125"/>
      <c r="NEW176" s="125"/>
      <c r="NEX176" s="125"/>
      <c r="NEY176" s="125"/>
      <c r="NEZ176" s="125"/>
      <c r="NFA176" s="125"/>
      <c r="NFB176" s="125"/>
      <c r="NFC176" s="125"/>
      <c r="NFD176" s="125"/>
      <c r="NFE176" s="125"/>
      <c r="NFF176" s="125"/>
      <c r="NFG176" s="125"/>
      <c r="NFH176" s="125"/>
      <c r="NFI176" s="125"/>
      <c r="NFJ176" s="125"/>
      <c r="NFK176" s="125"/>
      <c r="NFL176" s="125"/>
      <c r="NFM176" s="125"/>
      <c r="NFN176" s="125"/>
      <c r="NFO176" s="125"/>
      <c r="NFP176" s="125"/>
      <c r="NFQ176" s="125"/>
      <c r="NFR176" s="125"/>
      <c r="NFS176" s="125"/>
      <c r="NFT176" s="125"/>
      <c r="NFU176" s="125"/>
      <c r="NFV176" s="125"/>
      <c r="NFW176" s="125"/>
      <c r="NFX176" s="125"/>
      <c r="NFY176" s="125"/>
      <c r="NFZ176" s="125"/>
      <c r="NGA176" s="125"/>
      <c r="NGB176" s="125"/>
      <c r="NGC176" s="125"/>
      <c r="NGD176" s="125"/>
      <c r="NGE176" s="125"/>
      <c r="NGF176" s="125"/>
      <c r="NGG176" s="125"/>
      <c r="NGH176" s="125"/>
      <c r="NGI176" s="125"/>
      <c r="NGJ176" s="125"/>
      <c r="NGK176" s="125"/>
      <c r="NGL176" s="125"/>
      <c r="NGM176" s="125"/>
      <c r="NGN176" s="125"/>
      <c r="NGO176" s="125"/>
      <c r="NGP176" s="125"/>
      <c r="NGQ176" s="125"/>
      <c r="NGR176" s="125"/>
      <c r="NGS176" s="125"/>
      <c r="NGT176" s="125"/>
      <c r="NGU176" s="125"/>
      <c r="NGV176" s="125"/>
      <c r="NGW176" s="125"/>
      <c r="NGX176" s="125"/>
      <c r="NGY176" s="125"/>
      <c r="NGZ176" s="125"/>
      <c r="NHA176" s="125"/>
      <c r="NHB176" s="125"/>
      <c r="NHC176" s="125"/>
      <c r="NHD176" s="125"/>
      <c r="NHE176" s="125"/>
      <c r="NHF176" s="125"/>
      <c r="NHG176" s="125"/>
      <c r="NHH176" s="125"/>
      <c r="NHI176" s="125"/>
      <c r="NHJ176" s="125"/>
      <c r="NHK176" s="125"/>
      <c r="NHL176" s="125"/>
      <c r="NHM176" s="125"/>
      <c r="NHN176" s="125"/>
      <c r="NHO176" s="125"/>
      <c r="NHP176" s="125"/>
      <c r="NHQ176" s="125"/>
      <c r="NHR176" s="125"/>
      <c r="NHS176" s="125"/>
      <c r="NHT176" s="125"/>
      <c r="NHU176" s="125"/>
      <c r="NHV176" s="125"/>
      <c r="NHW176" s="125"/>
      <c r="NHX176" s="125"/>
      <c r="NHY176" s="125"/>
      <c r="NHZ176" s="125"/>
      <c r="NIA176" s="125"/>
      <c r="NIB176" s="125"/>
      <c r="NIC176" s="125"/>
      <c r="NID176" s="125"/>
      <c r="NIE176" s="125"/>
      <c r="NIF176" s="125"/>
      <c r="NIG176" s="125"/>
      <c r="NIH176" s="125"/>
      <c r="NII176" s="125"/>
      <c r="NIJ176" s="125"/>
      <c r="NIK176" s="125"/>
      <c r="NIL176" s="125"/>
      <c r="NIM176" s="125"/>
      <c r="NIN176" s="125"/>
      <c r="NIO176" s="125"/>
      <c r="NIP176" s="125"/>
      <c r="NIQ176" s="125"/>
      <c r="NIR176" s="125"/>
      <c r="NIS176" s="125"/>
      <c r="NIT176" s="125"/>
      <c r="NIU176" s="125"/>
      <c r="NIV176" s="125"/>
      <c r="NIW176" s="125"/>
      <c r="NIX176" s="125"/>
      <c r="NIY176" s="125"/>
      <c r="NIZ176" s="125"/>
      <c r="NJA176" s="125"/>
      <c r="NJB176" s="125"/>
      <c r="NJC176" s="125"/>
      <c r="NJD176" s="125"/>
      <c r="NJE176" s="125"/>
      <c r="NJF176" s="125"/>
      <c r="NJG176" s="125"/>
      <c r="NJH176" s="125"/>
      <c r="NJI176" s="125"/>
      <c r="NJJ176" s="125"/>
      <c r="NJK176" s="125"/>
      <c r="NJL176" s="125"/>
      <c r="NJM176" s="125"/>
      <c r="NJN176" s="125"/>
      <c r="NJO176" s="125"/>
      <c r="NJP176" s="125"/>
      <c r="NJQ176" s="125"/>
      <c r="NJR176" s="125"/>
      <c r="NJS176" s="125"/>
      <c r="NJT176" s="125"/>
      <c r="NJU176" s="125"/>
      <c r="NJV176" s="125"/>
      <c r="NJW176" s="125"/>
      <c r="NJX176" s="125"/>
      <c r="NJY176" s="125"/>
      <c r="NJZ176" s="125"/>
      <c r="NKA176" s="125"/>
      <c r="NKB176" s="125"/>
      <c r="NKC176" s="125"/>
      <c r="NKD176" s="125"/>
      <c r="NKE176" s="125"/>
      <c r="NKF176" s="125"/>
      <c r="NKG176" s="125"/>
      <c r="NKH176" s="125"/>
      <c r="NKI176" s="125"/>
      <c r="NKJ176" s="125"/>
      <c r="NKK176" s="125"/>
      <c r="NKL176" s="125"/>
      <c r="NKM176" s="125"/>
      <c r="NKN176" s="125"/>
      <c r="NKO176" s="125"/>
      <c r="NKP176" s="125"/>
      <c r="NKQ176" s="125"/>
      <c r="NKR176" s="125"/>
      <c r="NKS176" s="125"/>
      <c r="NKT176" s="125"/>
      <c r="NKU176" s="125"/>
      <c r="NKV176" s="125"/>
      <c r="NKW176" s="125"/>
      <c r="NKX176" s="125"/>
      <c r="NKY176" s="125"/>
      <c r="NKZ176" s="125"/>
      <c r="NLA176" s="125"/>
      <c r="NLB176" s="125"/>
      <c r="NLC176" s="125"/>
      <c r="NLD176" s="125"/>
      <c r="NLE176" s="125"/>
      <c r="NLF176" s="125"/>
      <c r="NLG176" s="125"/>
      <c r="NLH176" s="125"/>
      <c r="NLI176" s="125"/>
      <c r="NLJ176" s="125"/>
      <c r="NLK176" s="125"/>
      <c r="NLL176" s="125"/>
      <c r="NLM176" s="125"/>
      <c r="NLN176" s="125"/>
      <c r="NLO176" s="125"/>
      <c r="NLP176" s="125"/>
      <c r="NLQ176" s="125"/>
      <c r="NLR176" s="125"/>
      <c r="NLS176" s="125"/>
      <c r="NLT176" s="125"/>
      <c r="NLU176" s="125"/>
      <c r="NLV176" s="125"/>
      <c r="NLW176" s="125"/>
      <c r="NLX176" s="125"/>
      <c r="NLY176" s="125"/>
      <c r="NLZ176" s="125"/>
      <c r="NMA176" s="125"/>
      <c r="NMB176" s="125"/>
      <c r="NMC176" s="125"/>
      <c r="NMD176" s="125"/>
      <c r="NME176" s="125"/>
      <c r="NMF176" s="125"/>
      <c r="NMG176" s="125"/>
      <c r="NMH176" s="125"/>
      <c r="NMI176" s="125"/>
      <c r="NMJ176" s="125"/>
      <c r="NMK176" s="125"/>
      <c r="NML176" s="125"/>
      <c r="NMM176" s="125"/>
      <c r="NMN176" s="125"/>
      <c r="NMO176" s="125"/>
      <c r="NMP176" s="125"/>
      <c r="NMQ176" s="125"/>
      <c r="NMR176" s="125"/>
      <c r="NMS176" s="125"/>
      <c r="NMT176" s="125"/>
      <c r="NMU176" s="125"/>
      <c r="NMV176" s="125"/>
      <c r="NMW176" s="125"/>
      <c r="NMX176" s="125"/>
      <c r="NMY176" s="125"/>
      <c r="NMZ176" s="125"/>
      <c r="NNA176" s="125"/>
      <c r="NNB176" s="125"/>
      <c r="NNC176" s="125"/>
      <c r="NND176" s="125"/>
      <c r="NNE176" s="125"/>
      <c r="NNF176" s="125"/>
      <c r="NNG176" s="125"/>
      <c r="NNH176" s="125"/>
      <c r="NNI176" s="125"/>
      <c r="NNJ176" s="125"/>
      <c r="NNK176" s="125"/>
      <c r="NNL176" s="125"/>
      <c r="NNM176" s="125"/>
      <c r="NNN176" s="125"/>
      <c r="NNO176" s="125"/>
      <c r="NNP176" s="125"/>
      <c r="NNQ176" s="125"/>
      <c r="NNR176" s="125"/>
      <c r="NNS176" s="125"/>
      <c r="NNT176" s="125"/>
      <c r="NNU176" s="125"/>
      <c r="NNV176" s="125"/>
      <c r="NNW176" s="125"/>
      <c r="NNX176" s="125"/>
      <c r="NNY176" s="125"/>
      <c r="NNZ176" s="125"/>
      <c r="NOA176" s="125"/>
      <c r="NOB176" s="125"/>
      <c r="NOC176" s="125"/>
      <c r="NOD176" s="125"/>
      <c r="NOE176" s="125"/>
      <c r="NOF176" s="125"/>
      <c r="NOG176" s="125"/>
      <c r="NOH176" s="125"/>
      <c r="NOI176" s="125"/>
      <c r="NOJ176" s="125"/>
      <c r="NOK176" s="125"/>
      <c r="NOL176" s="125"/>
      <c r="NOM176" s="125"/>
      <c r="NON176" s="125"/>
      <c r="NOO176" s="125"/>
      <c r="NOP176" s="125"/>
      <c r="NOQ176" s="125"/>
      <c r="NOR176" s="125"/>
      <c r="NOS176" s="125"/>
      <c r="NOT176" s="125"/>
      <c r="NOU176" s="125"/>
      <c r="NOV176" s="125"/>
      <c r="NOW176" s="125"/>
      <c r="NOX176" s="125"/>
      <c r="NOY176" s="125"/>
      <c r="NOZ176" s="125"/>
      <c r="NPA176" s="125"/>
      <c r="NPB176" s="125"/>
      <c r="NPC176" s="125"/>
      <c r="NPD176" s="125"/>
      <c r="NPE176" s="125"/>
      <c r="NPF176" s="125"/>
      <c r="NPG176" s="125"/>
      <c r="NPH176" s="125"/>
      <c r="NPI176" s="125"/>
      <c r="NPJ176" s="125"/>
      <c r="NPK176" s="125"/>
      <c r="NPL176" s="125"/>
      <c r="NPM176" s="125"/>
      <c r="NPN176" s="125"/>
      <c r="NPO176" s="125"/>
      <c r="NPP176" s="125"/>
      <c r="NPQ176" s="125"/>
      <c r="NPR176" s="125"/>
      <c r="NPS176" s="125"/>
      <c r="NPT176" s="125"/>
      <c r="NPU176" s="125"/>
      <c r="NPV176" s="125"/>
      <c r="NPW176" s="125"/>
      <c r="NPX176" s="125"/>
      <c r="NPY176" s="125"/>
      <c r="NPZ176" s="125"/>
      <c r="NQA176" s="125"/>
      <c r="NQB176" s="125"/>
      <c r="NQC176" s="125"/>
      <c r="NQD176" s="125"/>
      <c r="NQE176" s="125"/>
      <c r="NQF176" s="125"/>
      <c r="NQG176" s="125"/>
      <c r="NQH176" s="125"/>
      <c r="NQI176" s="125"/>
      <c r="NQJ176" s="125"/>
      <c r="NQK176" s="125"/>
      <c r="NQL176" s="125"/>
      <c r="NQM176" s="125"/>
      <c r="NQN176" s="125"/>
      <c r="NQO176" s="125"/>
      <c r="NQP176" s="125"/>
      <c r="NQQ176" s="125"/>
      <c r="NQR176" s="125"/>
      <c r="NQS176" s="125"/>
      <c r="NQT176" s="125"/>
      <c r="NQU176" s="125"/>
      <c r="NQV176" s="125"/>
      <c r="NQW176" s="125"/>
      <c r="NQX176" s="125"/>
      <c r="NQY176" s="125"/>
      <c r="NQZ176" s="125"/>
      <c r="NRA176" s="125"/>
      <c r="NRB176" s="125"/>
      <c r="NRC176" s="125"/>
      <c r="NRD176" s="125"/>
      <c r="NRE176" s="125"/>
      <c r="NRF176" s="125"/>
      <c r="NRG176" s="125"/>
      <c r="NRH176" s="125"/>
      <c r="NRI176" s="125"/>
      <c r="NRJ176" s="125"/>
      <c r="NRK176" s="125"/>
      <c r="NRL176" s="125"/>
      <c r="NRM176" s="125"/>
      <c r="NRN176" s="125"/>
      <c r="NRO176" s="125"/>
      <c r="NRP176" s="125"/>
      <c r="NRQ176" s="125"/>
      <c r="NRR176" s="125"/>
      <c r="NRS176" s="125"/>
      <c r="NRT176" s="125"/>
      <c r="NRU176" s="125"/>
      <c r="NRV176" s="125"/>
      <c r="NRW176" s="125"/>
      <c r="NRX176" s="125"/>
      <c r="NRY176" s="125"/>
      <c r="NRZ176" s="125"/>
      <c r="NSA176" s="125"/>
      <c r="NSB176" s="125"/>
      <c r="NSC176" s="125"/>
      <c r="NSD176" s="125"/>
      <c r="NSE176" s="125"/>
      <c r="NSF176" s="125"/>
      <c r="NSG176" s="125"/>
      <c r="NSH176" s="125"/>
      <c r="NSI176" s="125"/>
      <c r="NSJ176" s="125"/>
      <c r="NSK176" s="125"/>
      <c r="NSL176" s="125"/>
      <c r="NSM176" s="125"/>
      <c r="NSN176" s="125"/>
      <c r="NSO176" s="125"/>
      <c r="NSP176" s="125"/>
      <c r="NSQ176" s="125"/>
      <c r="NSR176" s="125"/>
      <c r="NSS176" s="125"/>
      <c r="NST176" s="125"/>
      <c r="NSU176" s="125"/>
      <c r="NSV176" s="125"/>
      <c r="NSW176" s="125"/>
      <c r="NSX176" s="125"/>
      <c r="NSY176" s="125"/>
      <c r="NSZ176" s="125"/>
      <c r="NTA176" s="125"/>
      <c r="NTB176" s="125"/>
      <c r="NTC176" s="125"/>
      <c r="NTD176" s="125"/>
      <c r="NTE176" s="125"/>
      <c r="NTF176" s="125"/>
      <c r="NTG176" s="125"/>
      <c r="NTH176" s="125"/>
      <c r="NTI176" s="125"/>
      <c r="NTJ176" s="125"/>
      <c r="NTK176" s="125"/>
      <c r="NTL176" s="125"/>
      <c r="NTM176" s="125"/>
      <c r="NTN176" s="125"/>
      <c r="NTO176" s="125"/>
      <c r="NTP176" s="125"/>
      <c r="NTQ176" s="125"/>
      <c r="NTR176" s="125"/>
      <c r="NTS176" s="125"/>
      <c r="NTT176" s="125"/>
      <c r="NTU176" s="125"/>
      <c r="NTV176" s="125"/>
      <c r="NTW176" s="125"/>
      <c r="NTX176" s="125"/>
      <c r="NTY176" s="125"/>
      <c r="NTZ176" s="125"/>
      <c r="NUA176" s="125"/>
      <c r="NUB176" s="125"/>
      <c r="NUC176" s="125"/>
      <c r="NUD176" s="125"/>
      <c r="NUE176" s="125"/>
      <c r="NUF176" s="125"/>
      <c r="NUG176" s="125"/>
      <c r="NUH176" s="125"/>
      <c r="NUI176" s="125"/>
      <c r="NUJ176" s="125"/>
      <c r="NUK176" s="125"/>
      <c r="NUL176" s="125"/>
      <c r="NUM176" s="125"/>
      <c r="NUN176" s="125"/>
      <c r="NUO176" s="125"/>
      <c r="NUP176" s="125"/>
      <c r="NUQ176" s="125"/>
      <c r="NUR176" s="125"/>
      <c r="NUS176" s="125"/>
      <c r="NUT176" s="125"/>
      <c r="NUU176" s="125"/>
      <c r="NUV176" s="125"/>
      <c r="NUW176" s="125"/>
      <c r="NUX176" s="125"/>
      <c r="NUY176" s="125"/>
      <c r="NUZ176" s="125"/>
      <c r="NVA176" s="125"/>
      <c r="NVB176" s="125"/>
      <c r="NVC176" s="125"/>
      <c r="NVD176" s="125"/>
      <c r="NVE176" s="125"/>
      <c r="NVF176" s="125"/>
      <c r="NVG176" s="125"/>
      <c r="NVH176" s="125"/>
      <c r="NVI176" s="125"/>
      <c r="NVJ176" s="125"/>
      <c r="NVK176" s="125"/>
      <c r="NVL176" s="125"/>
      <c r="NVM176" s="125"/>
      <c r="NVN176" s="125"/>
      <c r="NVO176" s="125"/>
      <c r="NVP176" s="125"/>
      <c r="NVQ176" s="125"/>
      <c r="NVR176" s="125"/>
      <c r="NVS176" s="125"/>
      <c r="NVT176" s="125"/>
      <c r="NVU176" s="125"/>
      <c r="NVV176" s="125"/>
      <c r="NVW176" s="125"/>
      <c r="NVX176" s="125"/>
      <c r="NVY176" s="125"/>
      <c r="NVZ176" s="125"/>
      <c r="NWA176" s="125"/>
      <c r="NWB176" s="125"/>
      <c r="NWC176" s="125"/>
      <c r="NWD176" s="125"/>
      <c r="NWE176" s="125"/>
      <c r="NWF176" s="125"/>
      <c r="NWG176" s="125"/>
      <c r="NWH176" s="125"/>
      <c r="NWI176" s="125"/>
      <c r="NWJ176" s="125"/>
      <c r="NWK176" s="125"/>
      <c r="NWL176" s="125"/>
      <c r="NWM176" s="125"/>
      <c r="NWN176" s="125"/>
      <c r="NWO176" s="125"/>
      <c r="NWP176" s="125"/>
      <c r="NWQ176" s="125"/>
      <c r="NWR176" s="125"/>
      <c r="NWS176" s="125"/>
      <c r="NWT176" s="125"/>
      <c r="NWU176" s="125"/>
      <c r="NWV176" s="125"/>
      <c r="NWW176" s="125"/>
      <c r="NWX176" s="125"/>
      <c r="NWY176" s="125"/>
      <c r="NWZ176" s="125"/>
      <c r="NXA176" s="125"/>
      <c r="NXB176" s="125"/>
      <c r="NXC176" s="125"/>
      <c r="NXD176" s="125"/>
      <c r="NXE176" s="125"/>
      <c r="NXF176" s="125"/>
      <c r="NXG176" s="125"/>
      <c r="NXH176" s="125"/>
      <c r="NXI176" s="125"/>
      <c r="NXJ176" s="125"/>
      <c r="NXK176" s="125"/>
      <c r="NXL176" s="125"/>
      <c r="NXM176" s="125"/>
      <c r="NXN176" s="125"/>
      <c r="NXO176" s="125"/>
      <c r="NXP176" s="125"/>
      <c r="NXQ176" s="125"/>
      <c r="NXR176" s="125"/>
      <c r="NXS176" s="125"/>
      <c r="NXT176" s="125"/>
      <c r="NXU176" s="125"/>
      <c r="NXV176" s="125"/>
      <c r="NXW176" s="125"/>
      <c r="NXX176" s="125"/>
      <c r="NXY176" s="125"/>
      <c r="NXZ176" s="125"/>
      <c r="NYA176" s="125"/>
      <c r="NYB176" s="125"/>
      <c r="NYC176" s="125"/>
      <c r="NYD176" s="125"/>
      <c r="NYE176" s="125"/>
      <c r="NYF176" s="125"/>
      <c r="NYG176" s="125"/>
      <c r="NYH176" s="125"/>
      <c r="NYI176" s="125"/>
      <c r="NYJ176" s="125"/>
      <c r="NYK176" s="125"/>
      <c r="NYL176" s="125"/>
      <c r="NYM176" s="125"/>
      <c r="NYN176" s="125"/>
      <c r="NYO176" s="125"/>
      <c r="NYP176" s="125"/>
      <c r="NYQ176" s="125"/>
      <c r="NYR176" s="125"/>
      <c r="NYS176" s="125"/>
      <c r="NYT176" s="125"/>
      <c r="NYU176" s="125"/>
      <c r="NYV176" s="125"/>
      <c r="NYW176" s="125"/>
      <c r="NYX176" s="125"/>
      <c r="NYY176" s="125"/>
      <c r="NYZ176" s="125"/>
      <c r="NZA176" s="125"/>
      <c r="NZB176" s="125"/>
      <c r="NZC176" s="125"/>
      <c r="NZD176" s="125"/>
      <c r="NZE176" s="125"/>
      <c r="NZF176" s="125"/>
      <c r="NZG176" s="125"/>
      <c r="NZH176" s="125"/>
      <c r="NZI176" s="125"/>
      <c r="NZJ176" s="125"/>
      <c r="NZK176" s="125"/>
      <c r="NZL176" s="125"/>
      <c r="NZM176" s="125"/>
      <c r="NZN176" s="125"/>
      <c r="NZO176" s="125"/>
      <c r="NZP176" s="125"/>
      <c r="NZQ176" s="125"/>
      <c r="NZR176" s="125"/>
      <c r="NZS176" s="125"/>
      <c r="NZT176" s="125"/>
      <c r="NZU176" s="125"/>
      <c r="NZV176" s="125"/>
      <c r="NZW176" s="125"/>
      <c r="NZX176" s="125"/>
      <c r="NZY176" s="125"/>
      <c r="NZZ176" s="125"/>
      <c r="OAA176" s="125"/>
      <c r="OAB176" s="125"/>
      <c r="OAC176" s="125"/>
      <c r="OAD176" s="125"/>
      <c r="OAE176" s="125"/>
      <c r="OAF176" s="125"/>
      <c r="OAG176" s="125"/>
      <c r="OAH176" s="125"/>
      <c r="OAI176" s="125"/>
      <c r="OAJ176" s="125"/>
      <c r="OAK176" s="125"/>
      <c r="OAL176" s="125"/>
      <c r="OAM176" s="125"/>
      <c r="OAN176" s="125"/>
      <c r="OAO176" s="125"/>
      <c r="OAP176" s="125"/>
      <c r="OAQ176" s="125"/>
      <c r="OAR176" s="125"/>
      <c r="OAS176" s="125"/>
      <c r="OAT176" s="125"/>
      <c r="OAU176" s="125"/>
      <c r="OAV176" s="125"/>
      <c r="OAW176" s="125"/>
      <c r="OAX176" s="125"/>
      <c r="OAY176" s="125"/>
      <c r="OAZ176" s="125"/>
      <c r="OBA176" s="125"/>
      <c r="OBB176" s="125"/>
      <c r="OBC176" s="125"/>
      <c r="OBD176" s="125"/>
      <c r="OBE176" s="125"/>
      <c r="OBF176" s="125"/>
      <c r="OBG176" s="125"/>
      <c r="OBH176" s="125"/>
      <c r="OBI176" s="125"/>
      <c r="OBJ176" s="125"/>
      <c r="OBK176" s="125"/>
      <c r="OBL176" s="125"/>
      <c r="OBM176" s="125"/>
      <c r="OBN176" s="125"/>
      <c r="OBO176" s="125"/>
      <c r="OBP176" s="125"/>
      <c r="OBQ176" s="125"/>
      <c r="OBR176" s="125"/>
      <c r="OBS176" s="125"/>
      <c r="OBT176" s="125"/>
      <c r="OBU176" s="125"/>
      <c r="OBV176" s="125"/>
      <c r="OBW176" s="125"/>
      <c r="OBX176" s="125"/>
      <c r="OBY176" s="125"/>
      <c r="OBZ176" s="125"/>
      <c r="OCA176" s="125"/>
      <c r="OCB176" s="125"/>
      <c r="OCC176" s="125"/>
      <c r="OCD176" s="125"/>
      <c r="OCE176" s="125"/>
      <c r="OCF176" s="125"/>
      <c r="OCG176" s="125"/>
      <c r="OCH176" s="125"/>
      <c r="OCI176" s="125"/>
      <c r="OCJ176" s="125"/>
      <c r="OCK176" s="125"/>
      <c r="OCL176" s="125"/>
      <c r="OCM176" s="125"/>
      <c r="OCN176" s="125"/>
      <c r="OCO176" s="125"/>
      <c r="OCP176" s="125"/>
      <c r="OCQ176" s="125"/>
      <c r="OCR176" s="125"/>
      <c r="OCS176" s="125"/>
      <c r="OCT176" s="125"/>
      <c r="OCU176" s="125"/>
      <c r="OCV176" s="125"/>
      <c r="OCW176" s="125"/>
      <c r="OCX176" s="125"/>
      <c r="OCY176" s="125"/>
      <c r="OCZ176" s="125"/>
      <c r="ODA176" s="125"/>
      <c r="ODB176" s="125"/>
      <c r="ODC176" s="125"/>
      <c r="ODD176" s="125"/>
      <c r="ODE176" s="125"/>
      <c r="ODF176" s="125"/>
      <c r="ODG176" s="125"/>
      <c r="ODH176" s="125"/>
      <c r="ODI176" s="125"/>
      <c r="ODJ176" s="125"/>
      <c r="ODK176" s="125"/>
      <c r="ODL176" s="125"/>
      <c r="ODM176" s="125"/>
      <c r="ODN176" s="125"/>
      <c r="ODO176" s="125"/>
      <c r="ODP176" s="125"/>
      <c r="ODQ176" s="125"/>
      <c r="ODR176" s="125"/>
      <c r="ODS176" s="125"/>
      <c r="ODT176" s="125"/>
      <c r="ODU176" s="125"/>
      <c r="ODV176" s="125"/>
      <c r="ODW176" s="125"/>
      <c r="ODX176" s="125"/>
      <c r="ODY176" s="125"/>
      <c r="ODZ176" s="125"/>
      <c r="OEA176" s="125"/>
      <c r="OEB176" s="125"/>
      <c r="OEC176" s="125"/>
      <c r="OED176" s="125"/>
      <c r="OEE176" s="125"/>
      <c r="OEF176" s="125"/>
      <c r="OEG176" s="125"/>
      <c r="OEH176" s="125"/>
      <c r="OEI176" s="125"/>
      <c r="OEJ176" s="125"/>
      <c r="OEK176" s="125"/>
      <c r="OEL176" s="125"/>
      <c r="OEM176" s="125"/>
      <c r="OEN176" s="125"/>
      <c r="OEO176" s="125"/>
      <c r="OEP176" s="125"/>
      <c r="OEQ176" s="125"/>
      <c r="OER176" s="125"/>
      <c r="OES176" s="125"/>
      <c r="OET176" s="125"/>
      <c r="OEU176" s="125"/>
      <c r="OEV176" s="125"/>
      <c r="OEW176" s="125"/>
      <c r="OEX176" s="125"/>
      <c r="OEY176" s="125"/>
      <c r="OEZ176" s="125"/>
      <c r="OFA176" s="125"/>
      <c r="OFB176" s="125"/>
      <c r="OFC176" s="125"/>
      <c r="OFD176" s="125"/>
      <c r="OFE176" s="125"/>
      <c r="OFF176" s="125"/>
      <c r="OFG176" s="125"/>
      <c r="OFH176" s="125"/>
      <c r="OFI176" s="125"/>
      <c r="OFJ176" s="125"/>
      <c r="OFK176" s="125"/>
      <c r="OFL176" s="125"/>
      <c r="OFM176" s="125"/>
      <c r="OFN176" s="125"/>
      <c r="OFO176" s="125"/>
      <c r="OFP176" s="125"/>
      <c r="OFQ176" s="125"/>
      <c r="OFR176" s="125"/>
      <c r="OFS176" s="125"/>
      <c r="OFT176" s="125"/>
      <c r="OFU176" s="125"/>
      <c r="OFV176" s="125"/>
      <c r="OFW176" s="125"/>
      <c r="OFX176" s="125"/>
      <c r="OFY176" s="125"/>
      <c r="OFZ176" s="125"/>
      <c r="OGA176" s="125"/>
      <c r="OGB176" s="125"/>
      <c r="OGC176" s="125"/>
      <c r="OGD176" s="125"/>
      <c r="OGE176" s="125"/>
      <c r="OGF176" s="125"/>
      <c r="OGG176" s="125"/>
      <c r="OGH176" s="125"/>
      <c r="OGI176" s="125"/>
      <c r="OGJ176" s="125"/>
      <c r="OGK176" s="125"/>
      <c r="OGL176" s="125"/>
      <c r="OGM176" s="125"/>
      <c r="OGN176" s="125"/>
      <c r="OGO176" s="125"/>
      <c r="OGP176" s="125"/>
      <c r="OGQ176" s="125"/>
      <c r="OGR176" s="125"/>
      <c r="OGS176" s="125"/>
      <c r="OGT176" s="125"/>
      <c r="OGU176" s="125"/>
      <c r="OGV176" s="125"/>
      <c r="OGW176" s="125"/>
      <c r="OGX176" s="125"/>
      <c r="OGY176" s="125"/>
      <c r="OGZ176" s="125"/>
      <c r="OHA176" s="125"/>
      <c r="OHB176" s="125"/>
      <c r="OHC176" s="125"/>
      <c r="OHD176" s="125"/>
      <c r="OHE176" s="125"/>
      <c r="OHF176" s="125"/>
      <c r="OHG176" s="125"/>
      <c r="OHH176" s="125"/>
      <c r="OHI176" s="125"/>
      <c r="OHJ176" s="125"/>
      <c r="OHK176" s="125"/>
      <c r="OHL176" s="125"/>
      <c r="OHM176" s="125"/>
      <c r="OHN176" s="125"/>
      <c r="OHO176" s="125"/>
      <c r="OHP176" s="125"/>
      <c r="OHQ176" s="125"/>
      <c r="OHR176" s="125"/>
      <c r="OHS176" s="125"/>
      <c r="OHT176" s="125"/>
      <c r="OHU176" s="125"/>
      <c r="OHV176" s="125"/>
      <c r="OHW176" s="125"/>
      <c r="OHX176" s="125"/>
      <c r="OHY176" s="125"/>
      <c r="OHZ176" s="125"/>
      <c r="OIA176" s="125"/>
      <c r="OIB176" s="125"/>
      <c r="OIC176" s="125"/>
      <c r="OID176" s="125"/>
      <c r="OIE176" s="125"/>
      <c r="OIF176" s="125"/>
      <c r="OIG176" s="125"/>
      <c r="OIH176" s="125"/>
      <c r="OII176" s="125"/>
      <c r="OIJ176" s="125"/>
      <c r="OIK176" s="125"/>
      <c r="OIL176" s="125"/>
      <c r="OIM176" s="125"/>
      <c r="OIN176" s="125"/>
      <c r="OIO176" s="125"/>
      <c r="OIP176" s="125"/>
      <c r="OIQ176" s="125"/>
      <c r="OIR176" s="125"/>
      <c r="OIS176" s="125"/>
      <c r="OIT176" s="125"/>
      <c r="OIU176" s="125"/>
      <c r="OIV176" s="125"/>
      <c r="OIW176" s="125"/>
      <c r="OIX176" s="125"/>
      <c r="OIY176" s="125"/>
      <c r="OIZ176" s="125"/>
      <c r="OJA176" s="125"/>
      <c r="OJB176" s="125"/>
      <c r="OJC176" s="125"/>
      <c r="OJD176" s="125"/>
      <c r="OJE176" s="125"/>
      <c r="OJF176" s="125"/>
      <c r="OJG176" s="125"/>
      <c r="OJH176" s="125"/>
      <c r="OJI176" s="125"/>
      <c r="OJJ176" s="125"/>
      <c r="OJK176" s="125"/>
      <c r="OJL176" s="125"/>
      <c r="OJM176" s="125"/>
      <c r="OJN176" s="125"/>
      <c r="OJO176" s="125"/>
      <c r="OJP176" s="125"/>
      <c r="OJQ176" s="125"/>
      <c r="OJR176" s="125"/>
      <c r="OJS176" s="125"/>
      <c r="OJT176" s="125"/>
      <c r="OJU176" s="125"/>
      <c r="OJV176" s="125"/>
      <c r="OJW176" s="125"/>
      <c r="OJX176" s="125"/>
      <c r="OJY176" s="125"/>
      <c r="OJZ176" s="125"/>
      <c r="OKA176" s="125"/>
      <c r="OKB176" s="125"/>
      <c r="OKC176" s="125"/>
      <c r="OKD176" s="125"/>
      <c r="OKE176" s="125"/>
      <c r="OKF176" s="125"/>
      <c r="OKG176" s="125"/>
      <c r="OKH176" s="125"/>
      <c r="OKI176" s="125"/>
      <c r="OKJ176" s="125"/>
      <c r="OKK176" s="125"/>
      <c r="OKL176" s="125"/>
      <c r="OKM176" s="125"/>
      <c r="OKN176" s="125"/>
      <c r="OKO176" s="125"/>
      <c r="OKP176" s="125"/>
      <c r="OKQ176" s="125"/>
      <c r="OKR176" s="125"/>
      <c r="OKS176" s="125"/>
      <c r="OKT176" s="125"/>
      <c r="OKU176" s="125"/>
      <c r="OKV176" s="125"/>
      <c r="OKW176" s="125"/>
      <c r="OKX176" s="125"/>
      <c r="OKY176" s="125"/>
      <c r="OKZ176" s="125"/>
      <c r="OLA176" s="125"/>
      <c r="OLB176" s="125"/>
      <c r="OLC176" s="125"/>
      <c r="OLD176" s="125"/>
      <c r="OLE176" s="125"/>
      <c r="OLF176" s="125"/>
      <c r="OLG176" s="125"/>
      <c r="OLH176" s="125"/>
      <c r="OLI176" s="125"/>
      <c r="OLJ176" s="125"/>
      <c r="OLK176" s="125"/>
      <c r="OLL176" s="125"/>
      <c r="OLM176" s="125"/>
      <c r="OLN176" s="125"/>
      <c r="OLO176" s="125"/>
      <c r="OLP176" s="125"/>
      <c r="OLQ176" s="125"/>
      <c r="OLR176" s="125"/>
      <c r="OLS176" s="125"/>
      <c r="OLT176" s="125"/>
      <c r="OLU176" s="125"/>
      <c r="OLV176" s="125"/>
      <c r="OLW176" s="125"/>
      <c r="OLX176" s="125"/>
      <c r="OLY176" s="125"/>
      <c r="OLZ176" s="125"/>
      <c r="OMA176" s="125"/>
      <c r="OMB176" s="125"/>
      <c r="OMC176" s="125"/>
      <c r="OMD176" s="125"/>
      <c r="OME176" s="125"/>
      <c r="OMF176" s="125"/>
      <c r="OMG176" s="125"/>
      <c r="OMH176" s="125"/>
      <c r="OMI176" s="125"/>
      <c r="OMJ176" s="125"/>
      <c r="OMK176" s="125"/>
      <c r="OML176" s="125"/>
      <c r="OMM176" s="125"/>
      <c r="OMN176" s="125"/>
      <c r="OMO176" s="125"/>
      <c r="OMP176" s="125"/>
      <c r="OMQ176" s="125"/>
      <c r="OMR176" s="125"/>
      <c r="OMS176" s="125"/>
      <c r="OMT176" s="125"/>
      <c r="OMU176" s="125"/>
      <c r="OMV176" s="125"/>
      <c r="OMW176" s="125"/>
      <c r="OMX176" s="125"/>
      <c r="OMY176" s="125"/>
      <c r="OMZ176" s="125"/>
      <c r="ONA176" s="125"/>
      <c r="ONB176" s="125"/>
      <c r="ONC176" s="125"/>
      <c r="OND176" s="125"/>
      <c r="ONE176" s="125"/>
      <c r="ONF176" s="125"/>
      <c r="ONG176" s="125"/>
      <c r="ONH176" s="125"/>
      <c r="ONI176" s="125"/>
      <c r="ONJ176" s="125"/>
      <c r="ONK176" s="125"/>
      <c r="ONL176" s="125"/>
      <c r="ONM176" s="125"/>
      <c r="ONN176" s="125"/>
      <c r="ONO176" s="125"/>
      <c r="ONP176" s="125"/>
      <c r="ONQ176" s="125"/>
      <c r="ONR176" s="125"/>
      <c r="ONS176" s="125"/>
      <c r="ONT176" s="125"/>
      <c r="ONU176" s="125"/>
      <c r="ONV176" s="125"/>
      <c r="ONW176" s="125"/>
      <c r="ONX176" s="125"/>
      <c r="ONY176" s="125"/>
      <c r="ONZ176" s="125"/>
      <c r="OOA176" s="125"/>
      <c r="OOB176" s="125"/>
      <c r="OOC176" s="125"/>
      <c r="OOD176" s="125"/>
      <c r="OOE176" s="125"/>
      <c r="OOF176" s="125"/>
      <c r="OOG176" s="125"/>
      <c r="OOH176" s="125"/>
      <c r="OOI176" s="125"/>
      <c r="OOJ176" s="125"/>
      <c r="OOK176" s="125"/>
      <c r="OOL176" s="125"/>
      <c r="OOM176" s="125"/>
      <c r="OON176" s="125"/>
      <c r="OOO176" s="125"/>
      <c r="OOP176" s="125"/>
      <c r="OOQ176" s="125"/>
      <c r="OOR176" s="125"/>
      <c r="OOS176" s="125"/>
      <c r="OOT176" s="125"/>
      <c r="OOU176" s="125"/>
      <c r="OOV176" s="125"/>
      <c r="OOW176" s="125"/>
      <c r="OOX176" s="125"/>
      <c r="OOY176" s="125"/>
      <c r="OOZ176" s="125"/>
      <c r="OPA176" s="125"/>
      <c r="OPB176" s="125"/>
      <c r="OPC176" s="125"/>
      <c r="OPD176" s="125"/>
      <c r="OPE176" s="125"/>
      <c r="OPF176" s="125"/>
      <c r="OPG176" s="125"/>
      <c r="OPH176" s="125"/>
      <c r="OPI176" s="125"/>
      <c r="OPJ176" s="125"/>
      <c r="OPK176" s="125"/>
      <c r="OPL176" s="125"/>
      <c r="OPM176" s="125"/>
      <c r="OPN176" s="125"/>
      <c r="OPO176" s="125"/>
      <c r="OPP176" s="125"/>
      <c r="OPQ176" s="125"/>
      <c r="OPR176" s="125"/>
      <c r="OPS176" s="125"/>
      <c r="OPT176" s="125"/>
      <c r="OPU176" s="125"/>
      <c r="OPV176" s="125"/>
      <c r="OPW176" s="125"/>
      <c r="OPX176" s="125"/>
      <c r="OPY176" s="125"/>
      <c r="OPZ176" s="125"/>
      <c r="OQA176" s="125"/>
      <c r="OQB176" s="125"/>
      <c r="OQC176" s="125"/>
      <c r="OQD176" s="125"/>
      <c r="OQE176" s="125"/>
      <c r="OQF176" s="125"/>
      <c r="OQG176" s="125"/>
      <c r="OQH176" s="125"/>
      <c r="OQI176" s="125"/>
      <c r="OQJ176" s="125"/>
      <c r="OQK176" s="125"/>
      <c r="OQL176" s="125"/>
      <c r="OQM176" s="125"/>
      <c r="OQN176" s="125"/>
      <c r="OQO176" s="125"/>
      <c r="OQP176" s="125"/>
      <c r="OQQ176" s="125"/>
      <c r="OQR176" s="125"/>
      <c r="OQS176" s="125"/>
      <c r="OQT176" s="125"/>
      <c r="OQU176" s="125"/>
      <c r="OQV176" s="125"/>
      <c r="OQW176" s="125"/>
      <c r="OQX176" s="125"/>
      <c r="OQY176" s="125"/>
      <c r="OQZ176" s="125"/>
      <c r="ORA176" s="125"/>
      <c r="ORB176" s="125"/>
      <c r="ORC176" s="125"/>
      <c r="ORD176" s="125"/>
      <c r="ORE176" s="125"/>
      <c r="ORF176" s="125"/>
      <c r="ORG176" s="125"/>
      <c r="ORH176" s="125"/>
      <c r="ORI176" s="125"/>
      <c r="ORJ176" s="125"/>
      <c r="ORK176" s="125"/>
      <c r="ORL176" s="125"/>
      <c r="ORM176" s="125"/>
      <c r="ORN176" s="125"/>
      <c r="ORO176" s="125"/>
      <c r="ORP176" s="125"/>
      <c r="ORQ176" s="125"/>
      <c r="ORR176" s="125"/>
      <c r="ORS176" s="125"/>
      <c r="ORT176" s="125"/>
      <c r="ORU176" s="125"/>
      <c r="ORV176" s="125"/>
      <c r="ORW176" s="125"/>
      <c r="ORX176" s="125"/>
      <c r="ORY176" s="125"/>
      <c r="ORZ176" s="125"/>
      <c r="OSA176" s="125"/>
      <c r="OSB176" s="125"/>
      <c r="OSC176" s="125"/>
      <c r="OSD176" s="125"/>
      <c r="OSE176" s="125"/>
      <c r="OSF176" s="125"/>
      <c r="OSG176" s="125"/>
      <c r="OSH176" s="125"/>
      <c r="OSI176" s="125"/>
      <c r="OSJ176" s="125"/>
      <c r="OSK176" s="125"/>
      <c r="OSL176" s="125"/>
      <c r="OSM176" s="125"/>
      <c r="OSN176" s="125"/>
      <c r="OSO176" s="125"/>
      <c r="OSP176" s="125"/>
      <c r="OSQ176" s="125"/>
      <c r="OSR176" s="125"/>
      <c r="OSS176" s="125"/>
      <c r="OST176" s="125"/>
      <c r="OSU176" s="125"/>
      <c r="OSV176" s="125"/>
      <c r="OSW176" s="125"/>
      <c r="OSX176" s="125"/>
      <c r="OSY176" s="125"/>
      <c r="OSZ176" s="125"/>
      <c r="OTA176" s="125"/>
      <c r="OTB176" s="125"/>
      <c r="OTC176" s="125"/>
      <c r="OTD176" s="125"/>
      <c r="OTE176" s="125"/>
      <c r="OTF176" s="125"/>
      <c r="OTG176" s="125"/>
      <c r="OTH176" s="125"/>
      <c r="OTI176" s="125"/>
      <c r="OTJ176" s="125"/>
      <c r="OTK176" s="125"/>
      <c r="OTL176" s="125"/>
      <c r="OTM176" s="125"/>
      <c r="OTN176" s="125"/>
      <c r="OTO176" s="125"/>
      <c r="OTP176" s="125"/>
      <c r="OTQ176" s="125"/>
      <c r="OTR176" s="125"/>
      <c r="OTS176" s="125"/>
      <c r="OTT176" s="125"/>
      <c r="OTU176" s="125"/>
      <c r="OTV176" s="125"/>
      <c r="OTW176" s="125"/>
      <c r="OTX176" s="125"/>
      <c r="OTY176" s="125"/>
      <c r="OTZ176" s="125"/>
      <c r="OUA176" s="125"/>
      <c r="OUB176" s="125"/>
      <c r="OUC176" s="125"/>
      <c r="OUD176" s="125"/>
      <c r="OUE176" s="125"/>
      <c r="OUF176" s="125"/>
      <c r="OUG176" s="125"/>
      <c r="OUH176" s="125"/>
      <c r="OUI176" s="125"/>
      <c r="OUJ176" s="125"/>
      <c r="OUK176" s="125"/>
      <c r="OUL176" s="125"/>
      <c r="OUM176" s="125"/>
      <c r="OUN176" s="125"/>
      <c r="OUO176" s="125"/>
      <c r="OUP176" s="125"/>
      <c r="OUQ176" s="125"/>
      <c r="OUR176" s="125"/>
      <c r="OUS176" s="125"/>
      <c r="OUT176" s="125"/>
      <c r="OUU176" s="125"/>
      <c r="OUV176" s="125"/>
      <c r="OUW176" s="125"/>
      <c r="OUX176" s="125"/>
      <c r="OUY176" s="125"/>
      <c r="OUZ176" s="125"/>
      <c r="OVA176" s="125"/>
      <c r="OVB176" s="125"/>
      <c r="OVC176" s="125"/>
      <c r="OVD176" s="125"/>
      <c r="OVE176" s="125"/>
      <c r="OVF176" s="125"/>
      <c r="OVG176" s="125"/>
      <c r="OVH176" s="125"/>
      <c r="OVI176" s="125"/>
      <c r="OVJ176" s="125"/>
      <c r="OVK176" s="125"/>
      <c r="OVL176" s="125"/>
      <c r="OVM176" s="125"/>
      <c r="OVN176" s="125"/>
      <c r="OVO176" s="125"/>
      <c r="OVP176" s="125"/>
      <c r="OVQ176" s="125"/>
      <c r="OVR176" s="125"/>
      <c r="OVS176" s="125"/>
      <c r="OVT176" s="125"/>
      <c r="OVU176" s="125"/>
      <c r="OVV176" s="125"/>
      <c r="OVW176" s="125"/>
      <c r="OVX176" s="125"/>
      <c r="OVY176" s="125"/>
      <c r="OVZ176" s="125"/>
      <c r="OWA176" s="125"/>
      <c r="OWB176" s="125"/>
      <c r="OWC176" s="125"/>
      <c r="OWD176" s="125"/>
      <c r="OWE176" s="125"/>
      <c r="OWF176" s="125"/>
      <c r="OWG176" s="125"/>
      <c r="OWH176" s="125"/>
      <c r="OWI176" s="125"/>
      <c r="OWJ176" s="125"/>
      <c r="OWK176" s="125"/>
      <c r="OWL176" s="125"/>
      <c r="OWM176" s="125"/>
      <c r="OWN176" s="125"/>
      <c r="OWO176" s="125"/>
      <c r="OWP176" s="125"/>
      <c r="OWQ176" s="125"/>
      <c r="OWR176" s="125"/>
      <c r="OWS176" s="125"/>
      <c r="OWT176" s="125"/>
      <c r="OWU176" s="125"/>
      <c r="OWV176" s="125"/>
      <c r="OWW176" s="125"/>
      <c r="OWX176" s="125"/>
      <c r="OWY176" s="125"/>
      <c r="OWZ176" s="125"/>
      <c r="OXA176" s="125"/>
      <c r="OXB176" s="125"/>
      <c r="OXC176" s="125"/>
      <c r="OXD176" s="125"/>
      <c r="OXE176" s="125"/>
      <c r="OXF176" s="125"/>
      <c r="OXG176" s="125"/>
      <c r="OXH176" s="125"/>
      <c r="OXI176" s="125"/>
      <c r="OXJ176" s="125"/>
      <c r="OXK176" s="125"/>
      <c r="OXL176" s="125"/>
      <c r="OXM176" s="125"/>
      <c r="OXN176" s="125"/>
      <c r="OXO176" s="125"/>
      <c r="OXP176" s="125"/>
      <c r="OXQ176" s="125"/>
      <c r="OXR176" s="125"/>
      <c r="OXS176" s="125"/>
      <c r="OXT176" s="125"/>
      <c r="OXU176" s="125"/>
      <c r="OXV176" s="125"/>
      <c r="OXW176" s="125"/>
      <c r="OXX176" s="125"/>
      <c r="OXY176" s="125"/>
      <c r="OXZ176" s="125"/>
      <c r="OYA176" s="125"/>
      <c r="OYB176" s="125"/>
      <c r="OYC176" s="125"/>
      <c r="OYD176" s="125"/>
      <c r="OYE176" s="125"/>
      <c r="OYF176" s="125"/>
      <c r="OYG176" s="125"/>
      <c r="OYH176" s="125"/>
      <c r="OYI176" s="125"/>
      <c r="OYJ176" s="125"/>
      <c r="OYK176" s="125"/>
      <c r="OYL176" s="125"/>
      <c r="OYM176" s="125"/>
      <c r="OYN176" s="125"/>
      <c r="OYO176" s="125"/>
      <c r="OYP176" s="125"/>
      <c r="OYQ176" s="125"/>
      <c r="OYR176" s="125"/>
      <c r="OYS176" s="125"/>
      <c r="OYT176" s="125"/>
      <c r="OYU176" s="125"/>
      <c r="OYV176" s="125"/>
      <c r="OYW176" s="125"/>
      <c r="OYX176" s="125"/>
      <c r="OYY176" s="125"/>
      <c r="OYZ176" s="125"/>
      <c r="OZA176" s="125"/>
      <c r="OZB176" s="125"/>
      <c r="OZC176" s="125"/>
      <c r="OZD176" s="125"/>
      <c r="OZE176" s="125"/>
      <c r="OZF176" s="125"/>
      <c r="OZG176" s="125"/>
      <c r="OZH176" s="125"/>
      <c r="OZI176" s="125"/>
      <c r="OZJ176" s="125"/>
      <c r="OZK176" s="125"/>
      <c r="OZL176" s="125"/>
      <c r="OZM176" s="125"/>
      <c r="OZN176" s="125"/>
      <c r="OZO176" s="125"/>
      <c r="OZP176" s="125"/>
      <c r="OZQ176" s="125"/>
      <c r="OZR176" s="125"/>
      <c r="OZS176" s="125"/>
      <c r="OZT176" s="125"/>
      <c r="OZU176" s="125"/>
      <c r="OZV176" s="125"/>
      <c r="OZW176" s="125"/>
      <c r="OZX176" s="125"/>
      <c r="OZY176" s="125"/>
      <c r="OZZ176" s="125"/>
      <c r="PAA176" s="125"/>
      <c r="PAB176" s="125"/>
      <c r="PAC176" s="125"/>
      <c r="PAD176" s="125"/>
      <c r="PAE176" s="125"/>
      <c r="PAF176" s="125"/>
      <c r="PAG176" s="125"/>
      <c r="PAH176" s="125"/>
      <c r="PAI176" s="125"/>
      <c r="PAJ176" s="125"/>
      <c r="PAK176" s="125"/>
      <c r="PAL176" s="125"/>
      <c r="PAM176" s="125"/>
      <c r="PAN176" s="125"/>
      <c r="PAO176" s="125"/>
      <c r="PAP176" s="125"/>
      <c r="PAQ176" s="125"/>
      <c r="PAR176" s="125"/>
      <c r="PAS176" s="125"/>
      <c r="PAT176" s="125"/>
      <c r="PAU176" s="125"/>
      <c r="PAV176" s="125"/>
      <c r="PAW176" s="125"/>
      <c r="PAX176" s="125"/>
      <c r="PAY176" s="125"/>
      <c r="PAZ176" s="125"/>
      <c r="PBA176" s="125"/>
      <c r="PBB176" s="125"/>
      <c r="PBC176" s="125"/>
      <c r="PBD176" s="125"/>
      <c r="PBE176" s="125"/>
      <c r="PBF176" s="125"/>
      <c r="PBG176" s="125"/>
      <c r="PBH176" s="125"/>
      <c r="PBI176" s="125"/>
      <c r="PBJ176" s="125"/>
      <c r="PBK176" s="125"/>
      <c r="PBL176" s="125"/>
      <c r="PBM176" s="125"/>
      <c r="PBN176" s="125"/>
      <c r="PBO176" s="125"/>
      <c r="PBP176" s="125"/>
      <c r="PBQ176" s="125"/>
      <c r="PBR176" s="125"/>
      <c r="PBS176" s="125"/>
      <c r="PBT176" s="125"/>
      <c r="PBU176" s="125"/>
      <c r="PBV176" s="125"/>
      <c r="PBW176" s="125"/>
      <c r="PBX176" s="125"/>
      <c r="PBY176" s="125"/>
      <c r="PBZ176" s="125"/>
      <c r="PCA176" s="125"/>
      <c r="PCB176" s="125"/>
      <c r="PCC176" s="125"/>
      <c r="PCD176" s="125"/>
      <c r="PCE176" s="125"/>
      <c r="PCF176" s="125"/>
      <c r="PCG176" s="125"/>
      <c r="PCH176" s="125"/>
      <c r="PCI176" s="125"/>
      <c r="PCJ176" s="125"/>
      <c r="PCK176" s="125"/>
      <c r="PCL176" s="125"/>
      <c r="PCM176" s="125"/>
      <c r="PCN176" s="125"/>
      <c r="PCO176" s="125"/>
      <c r="PCP176" s="125"/>
      <c r="PCQ176" s="125"/>
      <c r="PCR176" s="125"/>
      <c r="PCS176" s="125"/>
      <c r="PCT176" s="125"/>
      <c r="PCU176" s="125"/>
      <c r="PCV176" s="125"/>
      <c r="PCW176" s="125"/>
      <c r="PCX176" s="125"/>
      <c r="PCY176" s="125"/>
      <c r="PCZ176" s="125"/>
      <c r="PDA176" s="125"/>
      <c r="PDB176" s="125"/>
      <c r="PDC176" s="125"/>
      <c r="PDD176" s="125"/>
      <c r="PDE176" s="125"/>
      <c r="PDF176" s="125"/>
      <c r="PDG176" s="125"/>
      <c r="PDH176" s="125"/>
      <c r="PDI176" s="125"/>
      <c r="PDJ176" s="125"/>
      <c r="PDK176" s="125"/>
      <c r="PDL176" s="125"/>
      <c r="PDM176" s="125"/>
      <c r="PDN176" s="125"/>
      <c r="PDO176" s="125"/>
      <c r="PDP176" s="125"/>
      <c r="PDQ176" s="125"/>
      <c r="PDR176" s="125"/>
      <c r="PDS176" s="125"/>
      <c r="PDT176" s="125"/>
      <c r="PDU176" s="125"/>
      <c r="PDV176" s="125"/>
      <c r="PDW176" s="125"/>
      <c r="PDX176" s="125"/>
      <c r="PDY176" s="125"/>
      <c r="PDZ176" s="125"/>
      <c r="PEA176" s="125"/>
      <c r="PEB176" s="125"/>
      <c r="PEC176" s="125"/>
      <c r="PED176" s="125"/>
      <c r="PEE176" s="125"/>
      <c r="PEF176" s="125"/>
      <c r="PEG176" s="125"/>
      <c r="PEH176" s="125"/>
      <c r="PEI176" s="125"/>
      <c r="PEJ176" s="125"/>
      <c r="PEK176" s="125"/>
      <c r="PEL176" s="125"/>
      <c r="PEM176" s="125"/>
      <c r="PEN176" s="125"/>
      <c r="PEO176" s="125"/>
      <c r="PEP176" s="125"/>
      <c r="PEQ176" s="125"/>
      <c r="PER176" s="125"/>
      <c r="PES176" s="125"/>
      <c r="PET176" s="125"/>
      <c r="PEU176" s="125"/>
      <c r="PEV176" s="125"/>
      <c r="PEW176" s="125"/>
      <c r="PEX176" s="125"/>
      <c r="PEY176" s="125"/>
      <c r="PEZ176" s="125"/>
      <c r="PFA176" s="125"/>
      <c r="PFB176" s="125"/>
      <c r="PFC176" s="125"/>
      <c r="PFD176" s="125"/>
      <c r="PFE176" s="125"/>
      <c r="PFF176" s="125"/>
      <c r="PFG176" s="125"/>
      <c r="PFH176" s="125"/>
      <c r="PFI176" s="125"/>
      <c r="PFJ176" s="125"/>
      <c r="PFK176" s="125"/>
      <c r="PFL176" s="125"/>
      <c r="PFM176" s="125"/>
      <c r="PFN176" s="125"/>
      <c r="PFO176" s="125"/>
      <c r="PFP176" s="125"/>
      <c r="PFQ176" s="125"/>
      <c r="PFR176" s="125"/>
      <c r="PFS176" s="125"/>
      <c r="PFT176" s="125"/>
      <c r="PFU176" s="125"/>
      <c r="PFV176" s="125"/>
      <c r="PFW176" s="125"/>
      <c r="PFX176" s="125"/>
      <c r="PFY176" s="125"/>
      <c r="PFZ176" s="125"/>
      <c r="PGA176" s="125"/>
      <c r="PGB176" s="125"/>
      <c r="PGC176" s="125"/>
      <c r="PGD176" s="125"/>
      <c r="PGE176" s="125"/>
      <c r="PGF176" s="125"/>
      <c r="PGG176" s="125"/>
      <c r="PGH176" s="125"/>
      <c r="PGI176" s="125"/>
      <c r="PGJ176" s="125"/>
      <c r="PGK176" s="125"/>
      <c r="PGL176" s="125"/>
      <c r="PGM176" s="125"/>
      <c r="PGN176" s="125"/>
      <c r="PGO176" s="125"/>
      <c r="PGP176" s="125"/>
      <c r="PGQ176" s="125"/>
      <c r="PGR176" s="125"/>
      <c r="PGS176" s="125"/>
      <c r="PGT176" s="125"/>
      <c r="PGU176" s="125"/>
      <c r="PGV176" s="125"/>
      <c r="PGW176" s="125"/>
      <c r="PGX176" s="125"/>
      <c r="PGY176" s="125"/>
      <c r="PGZ176" s="125"/>
      <c r="PHA176" s="125"/>
      <c r="PHB176" s="125"/>
      <c r="PHC176" s="125"/>
      <c r="PHD176" s="125"/>
      <c r="PHE176" s="125"/>
      <c r="PHF176" s="125"/>
      <c r="PHG176" s="125"/>
      <c r="PHH176" s="125"/>
      <c r="PHI176" s="125"/>
      <c r="PHJ176" s="125"/>
      <c r="PHK176" s="125"/>
      <c r="PHL176" s="125"/>
      <c r="PHM176" s="125"/>
      <c r="PHN176" s="125"/>
      <c r="PHO176" s="125"/>
      <c r="PHP176" s="125"/>
      <c r="PHQ176" s="125"/>
      <c r="PHR176" s="125"/>
      <c r="PHS176" s="125"/>
      <c r="PHT176" s="125"/>
      <c r="PHU176" s="125"/>
      <c r="PHV176" s="125"/>
      <c r="PHW176" s="125"/>
      <c r="PHX176" s="125"/>
      <c r="PHY176" s="125"/>
      <c r="PHZ176" s="125"/>
      <c r="PIA176" s="125"/>
      <c r="PIB176" s="125"/>
      <c r="PIC176" s="125"/>
      <c r="PID176" s="125"/>
      <c r="PIE176" s="125"/>
      <c r="PIF176" s="125"/>
      <c r="PIG176" s="125"/>
      <c r="PIH176" s="125"/>
      <c r="PII176" s="125"/>
      <c r="PIJ176" s="125"/>
      <c r="PIK176" s="125"/>
      <c r="PIL176" s="125"/>
      <c r="PIM176" s="125"/>
      <c r="PIN176" s="125"/>
      <c r="PIO176" s="125"/>
      <c r="PIP176" s="125"/>
      <c r="PIQ176" s="125"/>
      <c r="PIR176" s="125"/>
      <c r="PIS176" s="125"/>
      <c r="PIT176" s="125"/>
      <c r="PIU176" s="125"/>
      <c r="PIV176" s="125"/>
      <c r="PIW176" s="125"/>
      <c r="PIX176" s="125"/>
      <c r="PIY176" s="125"/>
      <c r="PIZ176" s="125"/>
      <c r="PJA176" s="125"/>
      <c r="PJB176" s="125"/>
      <c r="PJC176" s="125"/>
      <c r="PJD176" s="125"/>
      <c r="PJE176" s="125"/>
      <c r="PJF176" s="125"/>
      <c r="PJG176" s="125"/>
      <c r="PJH176" s="125"/>
      <c r="PJI176" s="125"/>
      <c r="PJJ176" s="125"/>
      <c r="PJK176" s="125"/>
      <c r="PJL176" s="125"/>
      <c r="PJM176" s="125"/>
      <c r="PJN176" s="125"/>
      <c r="PJO176" s="125"/>
      <c r="PJP176" s="125"/>
      <c r="PJQ176" s="125"/>
      <c r="PJR176" s="125"/>
      <c r="PJS176" s="125"/>
      <c r="PJT176" s="125"/>
      <c r="PJU176" s="125"/>
      <c r="PJV176" s="125"/>
      <c r="PJW176" s="125"/>
      <c r="PJX176" s="125"/>
      <c r="PJY176" s="125"/>
      <c r="PJZ176" s="125"/>
      <c r="PKA176" s="125"/>
      <c r="PKB176" s="125"/>
      <c r="PKC176" s="125"/>
      <c r="PKD176" s="125"/>
      <c r="PKE176" s="125"/>
      <c r="PKF176" s="125"/>
      <c r="PKG176" s="125"/>
      <c r="PKH176" s="125"/>
      <c r="PKI176" s="125"/>
      <c r="PKJ176" s="125"/>
      <c r="PKK176" s="125"/>
      <c r="PKL176" s="125"/>
      <c r="PKM176" s="125"/>
      <c r="PKN176" s="125"/>
      <c r="PKO176" s="125"/>
      <c r="PKP176" s="125"/>
      <c r="PKQ176" s="125"/>
      <c r="PKR176" s="125"/>
      <c r="PKS176" s="125"/>
      <c r="PKT176" s="125"/>
      <c r="PKU176" s="125"/>
      <c r="PKV176" s="125"/>
      <c r="PKW176" s="125"/>
      <c r="PKX176" s="125"/>
      <c r="PKY176" s="125"/>
      <c r="PKZ176" s="125"/>
      <c r="PLA176" s="125"/>
      <c r="PLB176" s="125"/>
      <c r="PLC176" s="125"/>
      <c r="PLD176" s="125"/>
      <c r="PLE176" s="125"/>
      <c r="PLF176" s="125"/>
      <c r="PLG176" s="125"/>
      <c r="PLH176" s="125"/>
      <c r="PLI176" s="125"/>
      <c r="PLJ176" s="125"/>
      <c r="PLK176" s="125"/>
      <c r="PLL176" s="125"/>
      <c r="PLM176" s="125"/>
      <c r="PLN176" s="125"/>
      <c r="PLO176" s="125"/>
      <c r="PLP176" s="125"/>
      <c r="PLQ176" s="125"/>
      <c r="PLR176" s="125"/>
      <c r="PLS176" s="125"/>
      <c r="PLT176" s="125"/>
      <c r="PLU176" s="125"/>
      <c r="PLV176" s="125"/>
      <c r="PLW176" s="125"/>
      <c r="PLX176" s="125"/>
      <c r="PLY176" s="125"/>
      <c r="PLZ176" s="125"/>
      <c r="PMA176" s="125"/>
      <c r="PMB176" s="125"/>
      <c r="PMC176" s="125"/>
      <c r="PMD176" s="125"/>
      <c r="PME176" s="125"/>
      <c r="PMF176" s="125"/>
      <c r="PMG176" s="125"/>
      <c r="PMH176" s="125"/>
      <c r="PMI176" s="125"/>
      <c r="PMJ176" s="125"/>
      <c r="PMK176" s="125"/>
      <c r="PML176" s="125"/>
      <c r="PMM176" s="125"/>
      <c r="PMN176" s="125"/>
      <c r="PMO176" s="125"/>
      <c r="PMP176" s="125"/>
      <c r="PMQ176" s="125"/>
      <c r="PMR176" s="125"/>
      <c r="PMS176" s="125"/>
      <c r="PMT176" s="125"/>
      <c r="PMU176" s="125"/>
      <c r="PMV176" s="125"/>
      <c r="PMW176" s="125"/>
      <c r="PMX176" s="125"/>
      <c r="PMY176" s="125"/>
      <c r="PMZ176" s="125"/>
      <c r="PNA176" s="125"/>
      <c r="PNB176" s="125"/>
      <c r="PNC176" s="125"/>
      <c r="PND176" s="125"/>
      <c r="PNE176" s="125"/>
      <c r="PNF176" s="125"/>
      <c r="PNG176" s="125"/>
      <c r="PNH176" s="125"/>
      <c r="PNI176" s="125"/>
      <c r="PNJ176" s="125"/>
      <c r="PNK176" s="125"/>
      <c r="PNL176" s="125"/>
      <c r="PNM176" s="125"/>
      <c r="PNN176" s="125"/>
      <c r="PNO176" s="125"/>
      <c r="PNP176" s="125"/>
      <c r="PNQ176" s="125"/>
      <c r="PNR176" s="125"/>
      <c r="PNS176" s="125"/>
      <c r="PNT176" s="125"/>
      <c r="PNU176" s="125"/>
      <c r="PNV176" s="125"/>
      <c r="PNW176" s="125"/>
      <c r="PNX176" s="125"/>
      <c r="PNY176" s="125"/>
      <c r="PNZ176" s="125"/>
      <c r="POA176" s="125"/>
      <c r="POB176" s="125"/>
      <c r="POC176" s="125"/>
      <c r="POD176" s="125"/>
      <c r="POE176" s="125"/>
      <c r="POF176" s="125"/>
      <c r="POG176" s="125"/>
      <c r="POH176" s="125"/>
      <c r="POI176" s="125"/>
      <c r="POJ176" s="125"/>
      <c r="POK176" s="125"/>
      <c r="POL176" s="125"/>
      <c r="POM176" s="125"/>
      <c r="PON176" s="125"/>
      <c r="POO176" s="125"/>
      <c r="POP176" s="125"/>
      <c r="POQ176" s="125"/>
      <c r="POR176" s="125"/>
      <c r="POS176" s="125"/>
      <c r="POT176" s="125"/>
      <c r="POU176" s="125"/>
      <c r="POV176" s="125"/>
      <c r="POW176" s="125"/>
      <c r="POX176" s="125"/>
      <c r="POY176" s="125"/>
      <c r="POZ176" s="125"/>
      <c r="PPA176" s="125"/>
      <c r="PPB176" s="125"/>
      <c r="PPC176" s="125"/>
      <c r="PPD176" s="125"/>
      <c r="PPE176" s="125"/>
      <c r="PPF176" s="125"/>
      <c r="PPG176" s="125"/>
      <c r="PPH176" s="125"/>
      <c r="PPI176" s="125"/>
      <c r="PPJ176" s="125"/>
      <c r="PPK176" s="125"/>
      <c r="PPL176" s="125"/>
      <c r="PPM176" s="125"/>
      <c r="PPN176" s="125"/>
      <c r="PPO176" s="125"/>
      <c r="PPP176" s="125"/>
      <c r="PPQ176" s="125"/>
      <c r="PPR176" s="125"/>
      <c r="PPS176" s="125"/>
      <c r="PPT176" s="125"/>
      <c r="PPU176" s="125"/>
      <c r="PPV176" s="125"/>
      <c r="PPW176" s="125"/>
      <c r="PPX176" s="125"/>
      <c r="PPY176" s="125"/>
      <c r="PPZ176" s="125"/>
      <c r="PQA176" s="125"/>
      <c r="PQB176" s="125"/>
      <c r="PQC176" s="125"/>
      <c r="PQD176" s="125"/>
      <c r="PQE176" s="125"/>
      <c r="PQF176" s="125"/>
      <c r="PQG176" s="125"/>
      <c r="PQH176" s="125"/>
      <c r="PQI176" s="125"/>
      <c r="PQJ176" s="125"/>
      <c r="PQK176" s="125"/>
      <c r="PQL176" s="125"/>
      <c r="PQM176" s="125"/>
      <c r="PQN176" s="125"/>
      <c r="PQO176" s="125"/>
      <c r="PQP176" s="125"/>
      <c r="PQQ176" s="125"/>
      <c r="PQR176" s="125"/>
      <c r="PQS176" s="125"/>
      <c r="PQT176" s="125"/>
      <c r="PQU176" s="125"/>
      <c r="PQV176" s="125"/>
      <c r="PQW176" s="125"/>
      <c r="PQX176" s="125"/>
      <c r="PQY176" s="125"/>
      <c r="PQZ176" s="125"/>
      <c r="PRA176" s="125"/>
      <c r="PRB176" s="125"/>
      <c r="PRC176" s="125"/>
      <c r="PRD176" s="125"/>
      <c r="PRE176" s="125"/>
      <c r="PRF176" s="125"/>
      <c r="PRG176" s="125"/>
      <c r="PRH176" s="125"/>
      <c r="PRI176" s="125"/>
      <c r="PRJ176" s="125"/>
      <c r="PRK176" s="125"/>
      <c r="PRL176" s="125"/>
      <c r="PRM176" s="125"/>
      <c r="PRN176" s="125"/>
      <c r="PRO176" s="125"/>
      <c r="PRP176" s="125"/>
      <c r="PRQ176" s="125"/>
      <c r="PRR176" s="125"/>
      <c r="PRS176" s="125"/>
      <c r="PRT176" s="125"/>
      <c r="PRU176" s="125"/>
      <c r="PRV176" s="125"/>
      <c r="PRW176" s="125"/>
      <c r="PRX176" s="125"/>
      <c r="PRY176" s="125"/>
      <c r="PRZ176" s="125"/>
      <c r="PSA176" s="125"/>
      <c r="PSB176" s="125"/>
      <c r="PSC176" s="125"/>
      <c r="PSD176" s="125"/>
      <c r="PSE176" s="125"/>
      <c r="PSF176" s="125"/>
      <c r="PSG176" s="125"/>
      <c r="PSH176" s="125"/>
      <c r="PSI176" s="125"/>
      <c r="PSJ176" s="125"/>
      <c r="PSK176" s="125"/>
      <c r="PSL176" s="125"/>
      <c r="PSM176" s="125"/>
      <c r="PSN176" s="125"/>
      <c r="PSO176" s="125"/>
      <c r="PSP176" s="125"/>
      <c r="PSQ176" s="125"/>
      <c r="PSR176" s="125"/>
      <c r="PSS176" s="125"/>
      <c r="PST176" s="125"/>
      <c r="PSU176" s="125"/>
      <c r="PSV176" s="125"/>
      <c r="PSW176" s="125"/>
      <c r="PSX176" s="125"/>
      <c r="PSY176" s="125"/>
      <c r="PSZ176" s="125"/>
      <c r="PTA176" s="125"/>
      <c r="PTB176" s="125"/>
      <c r="PTC176" s="125"/>
      <c r="PTD176" s="125"/>
      <c r="PTE176" s="125"/>
      <c r="PTF176" s="125"/>
      <c r="PTG176" s="125"/>
      <c r="PTH176" s="125"/>
      <c r="PTI176" s="125"/>
      <c r="PTJ176" s="125"/>
      <c r="PTK176" s="125"/>
      <c r="PTL176" s="125"/>
      <c r="PTM176" s="125"/>
      <c r="PTN176" s="125"/>
      <c r="PTO176" s="125"/>
      <c r="PTP176" s="125"/>
      <c r="PTQ176" s="125"/>
      <c r="PTR176" s="125"/>
      <c r="PTS176" s="125"/>
      <c r="PTT176" s="125"/>
      <c r="PTU176" s="125"/>
      <c r="PTV176" s="125"/>
      <c r="PTW176" s="125"/>
      <c r="PTX176" s="125"/>
      <c r="PTY176" s="125"/>
      <c r="PTZ176" s="125"/>
      <c r="PUA176" s="125"/>
      <c r="PUB176" s="125"/>
      <c r="PUC176" s="125"/>
      <c r="PUD176" s="125"/>
      <c r="PUE176" s="125"/>
      <c r="PUF176" s="125"/>
      <c r="PUG176" s="125"/>
      <c r="PUH176" s="125"/>
      <c r="PUI176" s="125"/>
      <c r="PUJ176" s="125"/>
      <c r="PUK176" s="125"/>
      <c r="PUL176" s="125"/>
      <c r="PUM176" s="125"/>
      <c r="PUN176" s="125"/>
      <c r="PUO176" s="125"/>
      <c r="PUP176" s="125"/>
      <c r="PUQ176" s="125"/>
      <c r="PUR176" s="125"/>
      <c r="PUS176" s="125"/>
      <c r="PUT176" s="125"/>
      <c r="PUU176" s="125"/>
      <c r="PUV176" s="125"/>
      <c r="PUW176" s="125"/>
      <c r="PUX176" s="125"/>
      <c r="PUY176" s="125"/>
      <c r="PUZ176" s="125"/>
      <c r="PVA176" s="125"/>
      <c r="PVB176" s="125"/>
      <c r="PVC176" s="125"/>
      <c r="PVD176" s="125"/>
      <c r="PVE176" s="125"/>
      <c r="PVF176" s="125"/>
      <c r="PVG176" s="125"/>
      <c r="PVH176" s="125"/>
      <c r="PVI176" s="125"/>
      <c r="PVJ176" s="125"/>
      <c r="PVK176" s="125"/>
      <c r="PVL176" s="125"/>
      <c r="PVM176" s="125"/>
      <c r="PVN176" s="125"/>
      <c r="PVO176" s="125"/>
      <c r="PVP176" s="125"/>
      <c r="PVQ176" s="125"/>
      <c r="PVR176" s="125"/>
      <c r="PVS176" s="125"/>
      <c r="PVT176" s="125"/>
      <c r="PVU176" s="125"/>
      <c r="PVV176" s="125"/>
      <c r="PVW176" s="125"/>
      <c r="PVX176" s="125"/>
      <c r="PVY176" s="125"/>
      <c r="PVZ176" s="125"/>
      <c r="PWA176" s="125"/>
      <c r="PWB176" s="125"/>
      <c r="PWC176" s="125"/>
      <c r="PWD176" s="125"/>
      <c r="PWE176" s="125"/>
      <c r="PWF176" s="125"/>
      <c r="PWG176" s="125"/>
      <c r="PWH176" s="125"/>
      <c r="PWI176" s="125"/>
      <c r="PWJ176" s="125"/>
      <c r="PWK176" s="125"/>
      <c r="PWL176" s="125"/>
      <c r="PWM176" s="125"/>
      <c r="PWN176" s="125"/>
      <c r="PWO176" s="125"/>
      <c r="PWP176" s="125"/>
      <c r="PWQ176" s="125"/>
      <c r="PWR176" s="125"/>
      <c r="PWS176" s="125"/>
      <c r="PWT176" s="125"/>
      <c r="PWU176" s="125"/>
      <c r="PWV176" s="125"/>
      <c r="PWW176" s="125"/>
      <c r="PWX176" s="125"/>
      <c r="PWY176" s="125"/>
      <c r="PWZ176" s="125"/>
      <c r="PXA176" s="125"/>
      <c r="PXB176" s="125"/>
      <c r="PXC176" s="125"/>
      <c r="PXD176" s="125"/>
      <c r="PXE176" s="125"/>
      <c r="PXF176" s="125"/>
      <c r="PXG176" s="125"/>
      <c r="PXH176" s="125"/>
      <c r="PXI176" s="125"/>
      <c r="PXJ176" s="125"/>
      <c r="PXK176" s="125"/>
      <c r="PXL176" s="125"/>
      <c r="PXM176" s="125"/>
      <c r="PXN176" s="125"/>
      <c r="PXO176" s="125"/>
      <c r="PXP176" s="125"/>
      <c r="PXQ176" s="125"/>
      <c r="PXR176" s="125"/>
      <c r="PXS176" s="125"/>
      <c r="PXT176" s="125"/>
      <c r="PXU176" s="125"/>
      <c r="PXV176" s="125"/>
      <c r="PXW176" s="125"/>
      <c r="PXX176" s="125"/>
      <c r="PXY176" s="125"/>
      <c r="PXZ176" s="125"/>
      <c r="PYA176" s="125"/>
      <c r="PYB176" s="125"/>
      <c r="PYC176" s="125"/>
      <c r="PYD176" s="125"/>
      <c r="PYE176" s="125"/>
      <c r="PYF176" s="125"/>
      <c r="PYG176" s="125"/>
      <c r="PYH176" s="125"/>
      <c r="PYI176" s="125"/>
      <c r="PYJ176" s="125"/>
      <c r="PYK176" s="125"/>
      <c r="PYL176" s="125"/>
      <c r="PYM176" s="125"/>
      <c r="PYN176" s="125"/>
      <c r="PYO176" s="125"/>
      <c r="PYP176" s="125"/>
      <c r="PYQ176" s="125"/>
      <c r="PYR176" s="125"/>
      <c r="PYS176" s="125"/>
      <c r="PYT176" s="125"/>
      <c r="PYU176" s="125"/>
      <c r="PYV176" s="125"/>
      <c r="PYW176" s="125"/>
      <c r="PYX176" s="125"/>
      <c r="PYY176" s="125"/>
      <c r="PYZ176" s="125"/>
      <c r="PZA176" s="125"/>
      <c r="PZB176" s="125"/>
      <c r="PZC176" s="125"/>
      <c r="PZD176" s="125"/>
      <c r="PZE176" s="125"/>
      <c r="PZF176" s="125"/>
      <c r="PZG176" s="125"/>
      <c r="PZH176" s="125"/>
      <c r="PZI176" s="125"/>
      <c r="PZJ176" s="125"/>
      <c r="PZK176" s="125"/>
      <c r="PZL176" s="125"/>
      <c r="PZM176" s="125"/>
      <c r="PZN176" s="125"/>
      <c r="PZO176" s="125"/>
      <c r="PZP176" s="125"/>
      <c r="PZQ176" s="125"/>
      <c r="PZR176" s="125"/>
      <c r="PZS176" s="125"/>
      <c r="PZT176" s="125"/>
      <c r="PZU176" s="125"/>
      <c r="PZV176" s="125"/>
      <c r="PZW176" s="125"/>
      <c r="PZX176" s="125"/>
      <c r="PZY176" s="125"/>
      <c r="PZZ176" s="125"/>
      <c r="QAA176" s="125"/>
      <c r="QAB176" s="125"/>
      <c r="QAC176" s="125"/>
      <c r="QAD176" s="125"/>
      <c r="QAE176" s="125"/>
      <c r="QAF176" s="125"/>
      <c r="QAG176" s="125"/>
      <c r="QAH176" s="125"/>
      <c r="QAI176" s="125"/>
      <c r="QAJ176" s="125"/>
      <c r="QAK176" s="125"/>
      <c r="QAL176" s="125"/>
      <c r="QAM176" s="125"/>
      <c r="QAN176" s="125"/>
      <c r="QAO176" s="125"/>
      <c r="QAP176" s="125"/>
      <c r="QAQ176" s="125"/>
      <c r="QAR176" s="125"/>
      <c r="QAS176" s="125"/>
      <c r="QAT176" s="125"/>
      <c r="QAU176" s="125"/>
      <c r="QAV176" s="125"/>
      <c r="QAW176" s="125"/>
      <c r="QAX176" s="125"/>
      <c r="QAY176" s="125"/>
      <c r="QAZ176" s="125"/>
      <c r="QBA176" s="125"/>
      <c r="QBB176" s="125"/>
      <c r="QBC176" s="125"/>
      <c r="QBD176" s="125"/>
      <c r="QBE176" s="125"/>
      <c r="QBF176" s="125"/>
      <c r="QBG176" s="125"/>
      <c r="QBH176" s="125"/>
      <c r="QBI176" s="125"/>
      <c r="QBJ176" s="125"/>
      <c r="QBK176" s="125"/>
      <c r="QBL176" s="125"/>
      <c r="QBM176" s="125"/>
      <c r="QBN176" s="125"/>
      <c r="QBO176" s="125"/>
      <c r="QBP176" s="125"/>
      <c r="QBQ176" s="125"/>
      <c r="QBR176" s="125"/>
      <c r="QBS176" s="125"/>
      <c r="QBT176" s="125"/>
      <c r="QBU176" s="125"/>
      <c r="QBV176" s="125"/>
      <c r="QBW176" s="125"/>
      <c r="QBX176" s="125"/>
      <c r="QBY176" s="125"/>
      <c r="QBZ176" s="125"/>
      <c r="QCA176" s="125"/>
      <c r="QCB176" s="125"/>
      <c r="QCC176" s="125"/>
      <c r="QCD176" s="125"/>
      <c r="QCE176" s="125"/>
      <c r="QCF176" s="125"/>
      <c r="QCG176" s="125"/>
      <c r="QCH176" s="125"/>
      <c r="QCI176" s="125"/>
      <c r="QCJ176" s="125"/>
      <c r="QCK176" s="125"/>
      <c r="QCL176" s="125"/>
      <c r="QCM176" s="125"/>
      <c r="QCN176" s="125"/>
      <c r="QCO176" s="125"/>
      <c r="QCP176" s="125"/>
      <c r="QCQ176" s="125"/>
      <c r="QCR176" s="125"/>
      <c r="QCS176" s="125"/>
      <c r="QCT176" s="125"/>
      <c r="QCU176" s="125"/>
      <c r="QCV176" s="125"/>
      <c r="QCW176" s="125"/>
      <c r="QCX176" s="125"/>
      <c r="QCY176" s="125"/>
      <c r="QCZ176" s="125"/>
      <c r="QDA176" s="125"/>
      <c r="QDB176" s="125"/>
      <c r="QDC176" s="125"/>
      <c r="QDD176" s="125"/>
      <c r="QDE176" s="125"/>
      <c r="QDF176" s="125"/>
      <c r="QDG176" s="125"/>
      <c r="QDH176" s="125"/>
      <c r="QDI176" s="125"/>
      <c r="QDJ176" s="125"/>
      <c r="QDK176" s="125"/>
      <c r="QDL176" s="125"/>
      <c r="QDM176" s="125"/>
      <c r="QDN176" s="125"/>
      <c r="QDO176" s="125"/>
      <c r="QDP176" s="125"/>
      <c r="QDQ176" s="125"/>
      <c r="QDR176" s="125"/>
      <c r="QDS176" s="125"/>
      <c r="QDT176" s="125"/>
      <c r="QDU176" s="125"/>
      <c r="QDV176" s="125"/>
      <c r="QDW176" s="125"/>
      <c r="QDX176" s="125"/>
      <c r="QDY176" s="125"/>
      <c r="QDZ176" s="125"/>
      <c r="QEA176" s="125"/>
      <c r="QEB176" s="125"/>
      <c r="QEC176" s="125"/>
      <c r="QED176" s="125"/>
      <c r="QEE176" s="125"/>
      <c r="QEF176" s="125"/>
      <c r="QEG176" s="125"/>
      <c r="QEH176" s="125"/>
      <c r="QEI176" s="125"/>
      <c r="QEJ176" s="125"/>
      <c r="QEK176" s="125"/>
      <c r="QEL176" s="125"/>
      <c r="QEM176" s="125"/>
      <c r="QEN176" s="125"/>
      <c r="QEO176" s="125"/>
      <c r="QEP176" s="125"/>
      <c r="QEQ176" s="125"/>
      <c r="QER176" s="125"/>
      <c r="QES176" s="125"/>
      <c r="QET176" s="125"/>
      <c r="QEU176" s="125"/>
      <c r="QEV176" s="125"/>
      <c r="QEW176" s="125"/>
      <c r="QEX176" s="125"/>
      <c r="QEY176" s="125"/>
      <c r="QEZ176" s="125"/>
      <c r="QFA176" s="125"/>
      <c r="QFB176" s="125"/>
      <c r="QFC176" s="125"/>
      <c r="QFD176" s="125"/>
      <c r="QFE176" s="125"/>
      <c r="QFF176" s="125"/>
      <c r="QFG176" s="125"/>
      <c r="QFH176" s="125"/>
      <c r="QFI176" s="125"/>
      <c r="QFJ176" s="125"/>
      <c r="QFK176" s="125"/>
      <c r="QFL176" s="125"/>
      <c r="QFM176" s="125"/>
      <c r="QFN176" s="125"/>
      <c r="QFO176" s="125"/>
      <c r="QFP176" s="125"/>
      <c r="QFQ176" s="125"/>
      <c r="QFR176" s="125"/>
      <c r="QFS176" s="125"/>
      <c r="QFT176" s="125"/>
      <c r="QFU176" s="125"/>
      <c r="QFV176" s="125"/>
      <c r="QFW176" s="125"/>
      <c r="QFX176" s="125"/>
      <c r="QFY176" s="125"/>
      <c r="QFZ176" s="125"/>
      <c r="QGA176" s="125"/>
      <c r="QGB176" s="125"/>
      <c r="QGC176" s="125"/>
      <c r="QGD176" s="125"/>
      <c r="QGE176" s="125"/>
      <c r="QGF176" s="125"/>
      <c r="QGG176" s="125"/>
      <c r="QGH176" s="125"/>
      <c r="QGI176" s="125"/>
      <c r="QGJ176" s="125"/>
      <c r="QGK176" s="125"/>
      <c r="QGL176" s="125"/>
      <c r="QGM176" s="125"/>
      <c r="QGN176" s="125"/>
      <c r="QGO176" s="125"/>
      <c r="QGP176" s="125"/>
      <c r="QGQ176" s="125"/>
      <c r="QGR176" s="125"/>
      <c r="QGS176" s="125"/>
      <c r="QGT176" s="125"/>
      <c r="QGU176" s="125"/>
      <c r="QGV176" s="125"/>
      <c r="QGW176" s="125"/>
      <c r="QGX176" s="125"/>
      <c r="QGY176" s="125"/>
      <c r="QGZ176" s="125"/>
      <c r="QHA176" s="125"/>
      <c r="QHB176" s="125"/>
      <c r="QHC176" s="125"/>
      <c r="QHD176" s="125"/>
      <c r="QHE176" s="125"/>
      <c r="QHF176" s="125"/>
      <c r="QHG176" s="125"/>
      <c r="QHH176" s="125"/>
      <c r="QHI176" s="125"/>
      <c r="QHJ176" s="125"/>
      <c r="QHK176" s="125"/>
      <c r="QHL176" s="125"/>
      <c r="QHM176" s="125"/>
      <c r="QHN176" s="125"/>
      <c r="QHO176" s="125"/>
      <c r="QHP176" s="125"/>
      <c r="QHQ176" s="125"/>
      <c r="QHR176" s="125"/>
      <c r="QHS176" s="125"/>
      <c r="QHT176" s="125"/>
      <c r="QHU176" s="125"/>
      <c r="QHV176" s="125"/>
      <c r="QHW176" s="125"/>
      <c r="QHX176" s="125"/>
      <c r="QHY176" s="125"/>
      <c r="QHZ176" s="125"/>
      <c r="QIA176" s="125"/>
      <c r="QIB176" s="125"/>
      <c r="QIC176" s="125"/>
      <c r="QID176" s="125"/>
      <c r="QIE176" s="125"/>
      <c r="QIF176" s="125"/>
      <c r="QIG176" s="125"/>
      <c r="QIH176" s="125"/>
      <c r="QII176" s="125"/>
      <c r="QIJ176" s="125"/>
      <c r="QIK176" s="125"/>
      <c r="QIL176" s="125"/>
      <c r="QIM176" s="125"/>
      <c r="QIN176" s="125"/>
      <c r="QIO176" s="125"/>
      <c r="QIP176" s="125"/>
      <c r="QIQ176" s="125"/>
      <c r="QIR176" s="125"/>
      <c r="QIS176" s="125"/>
      <c r="QIT176" s="125"/>
      <c r="QIU176" s="125"/>
      <c r="QIV176" s="125"/>
      <c r="QIW176" s="125"/>
      <c r="QIX176" s="125"/>
      <c r="QIY176" s="125"/>
      <c r="QIZ176" s="125"/>
      <c r="QJA176" s="125"/>
      <c r="QJB176" s="125"/>
      <c r="QJC176" s="125"/>
      <c r="QJD176" s="125"/>
      <c r="QJE176" s="125"/>
      <c r="QJF176" s="125"/>
      <c r="QJG176" s="125"/>
      <c r="QJH176" s="125"/>
      <c r="QJI176" s="125"/>
      <c r="QJJ176" s="125"/>
      <c r="QJK176" s="125"/>
      <c r="QJL176" s="125"/>
      <c r="QJM176" s="125"/>
      <c r="QJN176" s="125"/>
      <c r="QJO176" s="125"/>
      <c r="QJP176" s="125"/>
      <c r="QJQ176" s="125"/>
      <c r="QJR176" s="125"/>
      <c r="QJS176" s="125"/>
      <c r="QJT176" s="125"/>
      <c r="QJU176" s="125"/>
      <c r="QJV176" s="125"/>
      <c r="QJW176" s="125"/>
      <c r="QJX176" s="125"/>
      <c r="QJY176" s="125"/>
      <c r="QJZ176" s="125"/>
      <c r="QKA176" s="125"/>
      <c r="QKB176" s="125"/>
      <c r="QKC176" s="125"/>
      <c r="QKD176" s="125"/>
      <c r="QKE176" s="125"/>
      <c r="QKF176" s="125"/>
      <c r="QKG176" s="125"/>
      <c r="QKH176" s="125"/>
      <c r="QKI176" s="125"/>
      <c r="QKJ176" s="125"/>
      <c r="QKK176" s="125"/>
      <c r="QKL176" s="125"/>
      <c r="QKM176" s="125"/>
      <c r="QKN176" s="125"/>
      <c r="QKO176" s="125"/>
      <c r="QKP176" s="125"/>
      <c r="QKQ176" s="125"/>
      <c r="QKR176" s="125"/>
      <c r="QKS176" s="125"/>
      <c r="QKT176" s="125"/>
      <c r="QKU176" s="125"/>
      <c r="QKV176" s="125"/>
      <c r="QKW176" s="125"/>
      <c r="QKX176" s="125"/>
      <c r="QKY176" s="125"/>
      <c r="QKZ176" s="125"/>
      <c r="QLA176" s="125"/>
      <c r="QLB176" s="125"/>
      <c r="QLC176" s="125"/>
      <c r="QLD176" s="125"/>
      <c r="QLE176" s="125"/>
      <c r="QLF176" s="125"/>
      <c r="QLG176" s="125"/>
      <c r="QLH176" s="125"/>
      <c r="QLI176" s="125"/>
      <c r="QLJ176" s="125"/>
      <c r="QLK176" s="125"/>
      <c r="QLL176" s="125"/>
      <c r="QLM176" s="125"/>
      <c r="QLN176" s="125"/>
      <c r="QLO176" s="125"/>
      <c r="QLP176" s="125"/>
      <c r="QLQ176" s="125"/>
      <c r="QLR176" s="125"/>
      <c r="QLS176" s="125"/>
      <c r="QLT176" s="125"/>
      <c r="QLU176" s="125"/>
      <c r="QLV176" s="125"/>
      <c r="QLW176" s="125"/>
      <c r="QLX176" s="125"/>
      <c r="QLY176" s="125"/>
      <c r="QLZ176" s="125"/>
      <c r="QMA176" s="125"/>
      <c r="QMB176" s="125"/>
      <c r="QMC176" s="125"/>
      <c r="QMD176" s="125"/>
      <c r="QME176" s="125"/>
      <c r="QMF176" s="125"/>
      <c r="QMG176" s="125"/>
      <c r="QMH176" s="125"/>
      <c r="QMI176" s="125"/>
      <c r="QMJ176" s="125"/>
      <c r="QMK176" s="125"/>
      <c r="QML176" s="125"/>
      <c r="QMM176" s="125"/>
      <c r="QMN176" s="125"/>
      <c r="QMO176" s="125"/>
      <c r="QMP176" s="125"/>
      <c r="QMQ176" s="125"/>
      <c r="QMR176" s="125"/>
      <c r="QMS176" s="125"/>
      <c r="QMT176" s="125"/>
      <c r="QMU176" s="125"/>
      <c r="QMV176" s="125"/>
      <c r="QMW176" s="125"/>
      <c r="QMX176" s="125"/>
      <c r="QMY176" s="125"/>
      <c r="QMZ176" s="125"/>
      <c r="QNA176" s="125"/>
      <c r="QNB176" s="125"/>
      <c r="QNC176" s="125"/>
      <c r="QND176" s="125"/>
      <c r="QNE176" s="125"/>
      <c r="QNF176" s="125"/>
      <c r="QNG176" s="125"/>
      <c r="QNH176" s="125"/>
      <c r="QNI176" s="125"/>
      <c r="QNJ176" s="125"/>
      <c r="QNK176" s="125"/>
      <c r="QNL176" s="125"/>
      <c r="QNM176" s="125"/>
      <c r="QNN176" s="125"/>
      <c r="QNO176" s="125"/>
      <c r="QNP176" s="125"/>
      <c r="QNQ176" s="125"/>
      <c r="QNR176" s="125"/>
      <c r="QNS176" s="125"/>
      <c r="QNT176" s="125"/>
      <c r="QNU176" s="125"/>
      <c r="QNV176" s="125"/>
      <c r="QNW176" s="125"/>
      <c r="QNX176" s="125"/>
      <c r="QNY176" s="125"/>
      <c r="QNZ176" s="125"/>
      <c r="QOA176" s="125"/>
      <c r="QOB176" s="125"/>
      <c r="QOC176" s="125"/>
      <c r="QOD176" s="125"/>
      <c r="QOE176" s="125"/>
      <c r="QOF176" s="125"/>
      <c r="QOG176" s="125"/>
      <c r="QOH176" s="125"/>
      <c r="QOI176" s="125"/>
      <c r="QOJ176" s="125"/>
      <c r="QOK176" s="125"/>
      <c r="QOL176" s="125"/>
      <c r="QOM176" s="125"/>
      <c r="QON176" s="125"/>
      <c r="QOO176" s="125"/>
      <c r="QOP176" s="125"/>
      <c r="QOQ176" s="125"/>
      <c r="QOR176" s="125"/>
      <c r="QOS176" s="125"/>
      <c r="QOT176" s="125"/>
      <c r="QOU176" s="125"/>
      <c r="QOV176" s="125"/>
      <c r="QOW176" s="125"/>
      <c r="QOX176" s="125"/>
      <c r="QOY176" s="125"/>
      <c r="QOZ176" s="125"/>
      <c r="QPA176" s="125"/>
      <c r="QPB176" s="125"/>
      <c r="QPC176" s="125"/>
      <c r="QPD176" s="125"/>
      <c r="QPE176" s="125"/>
      <c r="QPF176" s="125"/>
      <c r="QPG176" s="125"/>
      <c r="QPH176" s="125"/>
      <c r="QPI176" s="125"/>
      <c r="QPJ176" s="125"/>
      <c r="QPK176" s="125"/>
      <c r="QPL176" s="125"/>
      <c r="QPM176" s="125"/>
      <c r="QPN176" s="125"/>
      <c r="QPO176" s="125"/>
      <c r="QPP176" s="125"/>
      <c r="QPQ176" s="125"/>
      <c r="QPR176" s="125"/>
      <c r="QPS176" s="125"/>
      <c r="QPT176" s="125"/>
      <c r="QPU176" s="125"/>
      <c r="QPV176" s="125"/>
      <c r="QPW176" s="125"/>
      <c r="QPX176" s="125"/>
      <c r="QPY176" s="125"/>
      <c r="QPZ176" s="125"/>
      <c r="QQA176" s="125"/>
      <c r="QQB176" s="125"/>
      <c r="QQC176" s="125"/>
      <c r="QQD176" s="125"/>
      <c r="QQE176" s="125"/>
      <c r="QQF176" s="125"/>
      <c r="QQG176" s="125"/>
      <c r="QQH176" s="125"/>
      <c r="QQI176" s="125"/>
      <c r="QQJ176" s="125"/>
      <c r="QQK176" s="125"/>
      <c r="QQL176" s="125"/>
      <c r="QQM176" s="125"/>
      <c r="QQN176" s="125"/>
      <c r="QQO176" s="125"/>
      <c r="QQP176" s="125"/>
      <c r="QQQ176" s="125"/>
      <c r="QQR176" s="125"/>
      <c r="QQS176" s="125"/>
      <c r="QQT176" s="125"/>
      <c r="QQU176" s="125"/>
      <c r="QQV176" s="125"/>
      <c r="QQW176" s="125"/>
      <c r="QQX176" s="125"/>
      <c r="QQY176" s="125"/>
      <c r="QQZ176" s="125"/>
      <c r="QRA176" s="125"/>
      <c r="QRB176" s="125"/>
      <c r="QRC176" s="125"/>
      <c r="QRD176" s="125"/>
      <c r="QRE176" s="125"/>
      <c r="QRF176" s="125"/>
      <c r="QRG176" s="125"/>
      <c r="QRH176" s="125"/>
      <c r="QRI176" s="125"/>
      <c r="QRJ176" s="125"/>
      <c r="QRK176" s="125"/>
      <c r="QRL176" s="125"/>
      <c r="QRM176" s="125"/>
      <c r="QRN176" s="125"/>
      <c r="QRO176" s="125"/>
      <c r="QRP176" s="125"/>
      <c r="QRQ176" s="125"/>
      <c r="QRR176" s="125"/>
      <c r="QRS176" s="125"/>
      <c r="QRT176" s="125"/>
      <c r="QRU176" s="125"/>
      <c r="QRV176" s="125"/>
      <c r="QRW176" s="125"/>
      <c r="QRX176" s="125"/>
      <c r="QRY176" s="125"/>
      <c r="QRZ176" s="125"/>
      <c r="QSA176" s="125"/>
      <c r="QSB176" s="125"/>
      <c r="QSC176" s="125"/>
      <c r="QSD176" s="125"/>
      <c r="QSE176" s="125"/>
      <c r="QSF176" s="125"/>
      <c r="QSG176" s="125"/>
      <c r="QSH176" s="125"/>
      <c r="QSI176" s="125"/>
      <c r="QSJ176" s="125"/>
      <c r="QSK176" s="125"/>
      <c r="QSL176" s="125"/>
      <c r="QSM176" s="125"/>
      <c r="QSN176" s="125"/>
      <c r="QSO176" s="125"/>
      <c r="QSP176" s="125"/>
      <c r="QSQ176" s="125"/>
      <c r="QSR176" s="125"/>
      <c r="QSS176" s="125"/>
      <c r="QST176" s="125"/>
      <c r="QSU176" s="125"/>
      <c r="QSV176" s="125"/>
      <c r="QSW176" s="125"/>
      <c r="QSX176" s="125"/>
      <c r="QSY176" s="125"/>
      <c r="QSZ176" s="125"/>
      <c r="QTA176" s="125"/>
      <c r="QTB176" s="125"/>
      <c r="QTC176" s="125"/>
      <c r="QTD176" s="125"/>
      <c r="QTE176" s="125"/>
      <c r="QTF176" s="125"/>
      <c r="QTG176" s="125"/>
      <c r="QTH176" s="125"/>
      <c r="QTI176" s="125"/>
      <c r="QTJ176" s="125"/>
      <c r="QTK176" s="125"/>
      <c r="QTL176" s="125"/>
      <c r="QTM176" s="125"/>
      <c r="QTN176" s="125"/>
      <c r="QTO176" s="125"/>
      <c r="QTP176" s="125"/>
      <c r="QTQ176" s="125"/>
      <c r="QTR176" s="125"/>
      <c r="QTS176" s="125"/>
      <c r="QTT176" s="125"/>
      <c r="QTU176" s="125"/>
      <c r="QTV176" s="125"/>
      <c r="QTW176" s="125"/>
      <c r="QTX176" s="125"/>
      <c r="QTY176" s="125"/>
      <c r="QTZ176" s="125"/>
      <c r="QUA176" s="125"/>
      <c r="QUB176" s="125"/>
      <c r="QUC176" s="125"/>
      <c r="QUD176" s="125"/>
      <c r="QUE176" s="125"/>
      <c r="QUF176" s="125"/>
      <c r="QUG176" s="125"/>
      <c r="QUH176" s="125"/>
      <c r="QUI176" s="125"/>
      <c r="QUJ176" s="125"/>
      <c r="QUK176" s="125"/>
      <c r="QUL176" s="125"/>
      <c r="QUM176" s="125"/>
      <c r="QUN176" s="125"/>
      <c r="QUO176" s="125"/>
      <c r="QUP176" s="125"/>
      <c r="QUQ176" s="125"/>
      <c r="QUR176" s="125"/>
      <c r="QUS176" s="125"/>
      <c r="QUT176" s="125"/>
      <c r="QUU176" s="125"/>
      <c r="QUV176" s="125"/>
      <c r="QUW176" s="125"/>
      <c r="QUX176" s="125"/>
      <c r="QUY176" s="125"/>
      <c r="QUZ176" s="125"/>
      <c r="QVA176" s="125"/>
      <c r="QVB176" s="125"/>
      <c r="QVC176" s="125"/>
      <c r="QVD176" s="125"/>
      <c r="QVE176" s="125"/>
      <c r="QVF176" s="125"/>
      <c r="QVG176" s="125"/>
      <c r="QVH176" s="125"/>
      <c r="QVI176" s="125"/>
      <c r="QVJ176" s="125"/>
      <c r="QVK176" s="125"/>
      <c r="QVL176" s="125"/>
      <c r="QVM176" s="125"/>
      <c r="QVN176" s="125"/>
      <c r="QVO176" s="125"/>
      <c r="QVP176" s="125"/>
      <c r="QVQ176" s="125"/>
      <c r="QVR176" s="125"/>
      <c r="QVS176" s="125"/>
      <c r="QVT176" s="125"/>
      <c r="QVU176" s="125"/>
      <c r="QVV176" s="125"/>
      <c r="QVW176" s="125"/>
      <c r="QVX176" s="125"/>
      <c r="QVY176" s="125"/>
      <c r="QVZ176" s="125"/>
      <c r="QWA176" s="125"/>
      <c r="QWB176" s="125"/>
      <c r="QWC176" s="125"/>
      <c r="QWD176" s="125"/>
      <c r="QWE176" s="125"/>
      <c r="QWF176" s="125"/>
      <c r="QWG176" s="125"/>
      <c r="QWH176" s="125"/>
      <c r="QWI176" s="125"/>
      <c r="QWJ176" s="125"/>
      <c r="QWK176" s="125"/>
      <c r="QWL176" s="125"/>
      <c r="QWM176" s="125"/>
      <c r="QWN176" s="125"/>
      <c r="QWO176" s="125"/>
      <c r="QWP176" s="125"/>
      <c r="QWQ176" s="125"/>
      <c r="QWR176" s="125"/>
      <c r="QWS176" s="125"/>
      <c r="QWT176" s="125"/>
      <c r="QWU176" s="125"/>
      <c r="QWV176" s="125"/>
      <c r="QWW176" s="125"/>
      <c r="QWX176" s="125"/>
      <c r="QWY176" s="125"/>
      <c r="QWZ176" s="125"/>
      <c r="QXA176" s="125"/>
      <c r="QXB176" s="125"/>
      <c r="QXC176" s="125"/>
      <c r="QXD176" s="125"/>
      <c r="QXE176" s="125"/>
      <c r="QXF176" s="125"/>
      <c r="QXG176" s="125"/>
      <c r="QXH176" s="125"/>
      <c r="QXI176" s="125"/>
      <c r="QXJ176" s="125"/>
      <c r="QXK176" s="125"/>
      <c r="QXL176" s="125"/>
      <c r="QXM176" s="125"/>
      <c r="QXN176" s="125"/>
      <c r="QXO176" s="125"/>
      <c r="QXP176" s="125"/>
      <c r="QXQ176" s="125"/>
      <c r="QXR176" s="125"/>
      <c r="QXS176" s="125"/>
      <c r="QXT176" s="125"/>
      <c r="QXU176" s="125"/>
      <c r="QXV176" s="125"/>
      <c r="QXW176" s="125"/>
      <c r="QXX176" s="125"/>
      <c r="QXY176" s="125"/>
      <c r="QXZ176" s="125"/>
      <c r="QYA176" s="125"/>
      <c r="QYB176" s="125"/>
      <c r="QYC176" s="125"/>
      <c r="QYD176" s="125"/>
      <c r="QYE176" s="125"/>
      <c r="QYF176" s="125"/>
      <c r="QYG176" s="125"/>
      <c r="QYH176" s="125"/>
      <c r="QYI176" s="125"/>
      <c r="QYJ176" s="125"/>
      <c r="QYK176" s="125"/>
      <c r="QYL176" s="125"/>
      <c r="QYM176" s="125"/>
      <c r="QYN176" s="125"/>
      <c r="QYO176" s="125"/>
      <c r="QYP176" s="125"/>
      <c r="QYQ176" s="125"/>
      <c r="QYR176" s="125"/>
      <c r="QYS176" s="125"/>
      <c r="QYT176" s="125"/>
      <c r="QYU176" s="125"/>
      <c r="QYV176" s="125"/>
      <c r="QYW176" s="125"/>
      <c r="QYX176" s="125"/>
      <c r="QYY176" s="125"/>
      <c r="QYZ176" s="125"/>
      <c r="QZA176" s="125"/>
      <c r="QZB176" s="125"/>
      <c r="QZC176" s="125"/>
      <c r="QZD176" s="125"/>
      <c r="QZE176" s="125"/>
      <c r="QZF176" s="125"/>
      <c r="QZG176" s="125"/>
      <c r="QZH176" s="125"/>
      <c r="QZI176" s="125"/>
      <c r="QZJ176" s="125"/>
      <c r="QZK176" s="125"/>
      <c r="QZL176" s="125"/>
      <c r="QZM176" s="125"/>
      <c r="QZN176" s="125"/>
      <c r="QZO176" s="125"/>
      <c r="QZP176" s="125"/>
      <c r="QZQ176" s="125"/>
      <c r="QZR176" s="125"/>
      <c r="QZS176" s="125"/>
      <c r="QZT176" s="125"/>
      <c r="QZU176" s="125"/>
      <c r="QZV176" s="125"/>
      <c r="QZW176" s="125"/>
      <c r="QZX176" s="125"/>
      <c r="QZY176" s="125"/>
      <c r="QZZ176" s="125"/>
      <c r="RAA176" s="125"/>
      <c r="RAB176" s="125"/>
      <c r="RAC176" s="125"/>
      <c r="RAD176" s="125"/>
      <c r="RAE176" s="125"/>
      <c r="RAF176" s="125"/>
      <c r="RAG176" s="125"/>
      <c r="RAH176" s="125"/>
      <c r="RAI176" s="125"/>
      <c r="RAJ176" s="125"/>
      <c r="RAK176" s="125"/>
      <c r="RAL176" s="125"/>
      <c r="RAM176" s="125"/>
      <c r="RAN176" s="125"/>
      <c r="RAO176" s="125"/>
      <c r="RAP176" s="125"/>
      <c r="RAQ176" s="125"/>
      <c r="RAR176" s="125"/>
      <c r="RAS176" s="125"/>
      <c r="RAT176" s="125"/>
      <c r="RAU176" s="125"/>
      <c r="RAV176" s="125"/>
      <c r="RAW176" s="125"/>
      <c r="RAX176" s="125"/>
      <c r="RAY176" s="125"/>
      <c r="RAZ176" s="125"/>
      <c r="RBA176" s="125"/>
      <c r="RBB176" s="125"/>
      <c r="RBC176" s="125"/>
      <c r="RBD176" s="125"/>
      <c r="RBE176" s="125"/>
      <c r="RBF176" s="125"/>
      <c r="RBG176" s="125"/>
      <c r="RBH176" s="125"/>
      <c r="RBI176" s="125"/>
      <c r="RBJ176" s="125"/>
      <c r="RBK176" s="125"/>
      <c r="RBL176" s="125"/>
      <c r="RBM176" s="125"/>
      <c r="RBN176" s="125"/>
      <c r="RBO176" s="125"/>
      <c r="RBP176" s="125"/>
      <c r="RBQ176" s="125"/>
      <c r="RBR176" s="125"/>
      <c r="RBS176" s="125"/>
      <c r="RBT176" s="125"/>
      <c r="RBU176" s="125"/>
      <c r="RBV176" s="125"/>
      <c r="RBW176" s="125"/>
      <c r="RBX176" s="125"/>
      <c r="RBY176" s="125"/>
      <c r="RBZ176" s="125"/>
      <c r="RCA176" s="125"/>
      <c r="RCB176" s="125"/>
      <c r="RCC176" s="125"/>
      <c r="RCD176" s="125"/>
      <c r="RCE176" s="125"/>
      <c r="RCF176" s="125"/>
      <c r="RCG176" s="125"/>
      <c r="RCH176" s="125"/>
      <c r="RCI176" s="125"/>
      <c r="RCJ176" s="125"/>
      <c r="RCK176" s="125"/>
      <c r="RCL176" s="125"/>
      <c r="RCM176" s="125"/>
      <c r="RCN176" s="125"/>
      <c r="RCO176" s="125"/>
      <c r="RCP176" s="125"/>
      <c r="RCQ176" s="125"/>
      <c r="RCR176" s="125"/>
      <c r="RCS176" s="125"/>
      <c r="RCT176" s="125"/>
      <c r="RCU176" s="125"/>
      <c r="RCV176" s="125"/>
      <c r="RCW176" s="125"/>
      <c r="RCX176" s="125"/>
      <c r="RCY176" s="125"/>
      <c r="RCZ176" s="125"/>
      <c r="RDA176" s="125"/>
      <c r="RDB176" s="125"/>
      <c r="RDC176" s="125"/>
      <c r="RDD176" s="125"/>
      <c r="RDE176" s="125"/>
      <c r="RDF176" s="125"/>
      <c r="RDG176" s="125"/>
      <c r="RDH176" s="125"/>
      <c r="RDI176" s="125"/>
      <c r="RDJ176" s="125"/>
      <c r="RDK176" s="125"/>
      <c r="RDL176" s="125"/>
      <c r="RDM176" s="125"/>
      <c r="RDN176" s="125"/>
      <c r="RDO176" s="125"/>
      <c r="RDP176" s="125"/>
      <c r="RDQ176" s="125"/>
      <c r="RDR176" s="125"/>
      <c r="RDS176" s="125"/>
      <c r="RDT176" s="125"/>
      <c r="RDU176" s="125"/>
      <c r="RDV176" s="125"/>
      <c r="RDW176" s="125"/>
      <c r="RDX176" s="125"/>
      <c r="RDY176" s="125"/>
      <c r="RDZ176" s="125"/>
      <c r="REA176" s="125"/>
      <c r="REB176" s="125"/>
      <c r="REC176" s="125"/>
      <c r="RED176" s="125"/>
      <c r="REE176" s="125"/>
      <c r="REF176" s="125"/>
      <c r="REG176" s="125"/>
      <c r="REH176" s="125"/>
      <c r="REI176" s="125"/>
      <c r="REJ176" s="125"/>
      <c r="REK176" s="125"/>
      <c r="REL176" s="125"/>
      <c r="REM176" s="125"/>
      <c r="REN176" s="125"/>
      <c r="REO176" s="125"/>
      <c r="REP176" s="125"/>
      <c r="REQ176" s="125"/>
      <c r="RER176" s="125"/>
      <c r="RES176" s="125"/>
      <c r="RET176" s="125"/>
      <c r="REU176" s="125"/>
      <c r="REV176" s="125"/>
      <c r="REW176" s="125"/>
      <c r="REX176" s="125"/>
      <c r="REY176" s="125"/>
      <c r="REZ176" s="125"/>
      <c r="RFA176" s="125"/>
      <c r="RFB176" s="125"/>
      <c r="RFC176" s="125"/>
      <c r="RFD176" s="125"/>
      <c r="RFE176" s="125"/>
      <c r="RFF176" s="125"/>
      <c r="RFG176" s="125"/>
      <c r="RFH176" s="125"/>
      <c r="RFI176" s="125"/>
      <c r="RFJ176" s="125"/>
      <c r="RFK176" s="125"/>
      <c r="RFL176" s="125"/>
      <c r="RFM176" s="125"/>
      <c r="RFN176" s="125"/>
      <c r="RFO176" s="125"/>
      <c r="RFP176" s="125"/>
      <c r="RFQ176" s="125"/>
      <c r="RFR176" s="125"/>
      <c r="RFS176" s="125"/>
      <c r="RFT176" s="125"/>
      <c r="RFU176" s="125"/>
      <c r="RFV176" s="125"/>
      <c r="RFW176" s="125"/>
      <c r="RFX176" s="125"/>
      <c r="RFY176" s="125"/>
      <c r="RFZ176" s="125"/>
      <c r="RGA176" s="125"/>
      <c r="RGB176" s="125"/>
      <c r="RGC176" s="125"/>
      <c r="RGD176" s="125"/>
      <c r="RGE176" s="125"/>
      <c r="RGF176" s="125"/>
      <c r="RGG176" s="125"/>
      <c r="RGH176" s="125"/>
      <c r="RGI176" s="125"/>
      <c r="RGJ176" s="125"/>
      <c r="RGK176" s="125"/>
      <c r="RGL176" s="125"/>
      <c r="RGM176" s="125"/>
      <c r="RGN176" s="125"/>
      <c r="RGO176" s="125"/>
      <c r="RGP176" s="125"/>
      <c r="RGQ176" s="125"/>
      <c r="RGR176" s="125"/>
      <c r="RGS176" s="125"/>
      <c r="RGT176" s="125"/>
      <c r="RGU176" s="125"/>
      <c r="RGV176" s="125"/>
      <c r="RGW176" s="125"/>
      <c r="RGX176" s="125"/>
      <c r="RGY176" s="125"/>
      <c r="RGZ176" s="125"/>
      <c r="RHA176" s="125"/>
      <c r="RHB176" s="125"/>
      <c r="RHC176" s="125"/>
      <c r="RHD176" s="125"/>
      <c r="RHE176" s="125"/>
      <c r="RHF176" s="125"/>
      <c r="RHG176" s="125"/>
      <c r="RHH176" s="125"/>
      <c r="RHI176" s="125"/>
      <c r="RHJ176" s="125"/>
      <c r="RHK176" s="125"/>
      <c r="RHL176" s="125"/>
      <c r="RHM176" s="125"/>
      <c r="RHN176" s="125"/>
      <c r="RHO176" s="125"/>
      <c r="RHP176" s="125"/>
      <c r="RHQ176" s="125"/>
      <c r="RHR176" s="125"/>
      <c r="RHS176" s="125"/>
      <c r="RHT176" s="125"/>
      <c r="RHU176" s="125"/>
      <c r="RHV176" s="125"/>
      <c r="RHW176" s="125"/>
      <c r="RHX176" s="125"/>
      <c r="RHY176" s="125"/>
      <c r="RHZ176" s="125"/>
      <c r="RIA176" s="125"/>
      <c r="RIB176" s="125"/>
      <c r="RIC176" s="125"/>
      <c r="RID176" s="125"/>
      <c r="RIE176" s="125"/>
      <c r="RIF176" s="125"/>
      <c r="RIG176" s="125"/>
      <c r="RIH176" s="125"/>
      <c r="RII176" s="125"/>
      <c r="RIJ176" s="125"/>
      <c r="RIK176" s="125"/>
      <c r="RIL176" s="125"/>
      <c r="RIM176" s="125"/>
      <c r="RIN176" s="125"/>
      <c r="RIO176" s="125"/>
      <c r="RIP176" s="125"/>
      <c r="RIQ176" s="125"/>
      <c r="RIR176" s="125"/>
      <c r="RIS176" s="125"/>
      <c r="RIT176" s="125"/>
      <c r="RIU176" s="125"/>
      <c r="RIV176" s="125"/>
      <c r="RIW176" s="125"/>
      <c r="RIX176" s="125"/>
      <c r="RIY176" s="125"/>
      <c r="RIZ176" s="125"/>
      <c r="RJA176" s="125"/>
      <c r="RJB176" s="125"/>
      <c r="RJC176" s="125"/>
      <c r="RJD176" s="125"/>
      <c r="RJE176" s="125"/>
      <c r="RJF176" s="125"/>
      <c r="RJG176" s="125"/>
      <c r="RJH176" s="125"/>
      <c r="RJI176" s="125"/>
      <c r="RJJ176" s="125"/>
      <c r="RJK176" s="125"/>
      <c r="RJL176" s="125"/>
      <c r="RJM176" s="125"/>
      <c r="RJN176" s="125"/>
      <c r="RJO176" s="125"/>
      <c r="RJP176" s="125"/>
      <c r="RJQ176" s="125"/>
      <c r="RJR176" s="125"/>
      <c r="RJS176" s="125"/>
      <c r="RJT176" s="125"/>
      <c r="RJU176" s="125"/>
      <c r="RJV176" s="125"/>
      <c r="RJW176" s="125"/>
      <c r="RJX176" s="125"/>
      <c r="RJY176" s="125"/>
      <c r="RJZ176" s="125"/>
      <c r="RKA176" s="125"/>
      <c r="RKB176" s="125"/>
      <c r="RKC176" s="125"/>
      <c r="RKD176" s="125"/>
      <c r="RKE176" s="125"/>
      <c r="RKF176" s="125"/>
      <c r="RKG176" s="125"/>
      <c r="RKH176" s="125"/>
      <c r="RKI176" s="125"/>
      <c r="RKJ176" s="125"/>
      <c r="RKK176" s="125"/>
      <c r="RKL176" s="125"/>
      <c r="RKM176" s="125"/>
      <c r="RKN176" s="125"/>
      <c r="RKO176" s="125"/>
      <c r="RKP176" s="125"/>
      <c r="RKQ176" s="125"/>
      <c r="RKR176" s="125"/>
      <c r="RKS176" s="125"/>
      <c r="RKT176" s="125"/>
      <c r="RKU176" s="125"/>
      <c r="RKV176" s="125"/>
      <c r="RKW176" s="125"/>
      <c r="RKX176" s="125"/>
      <c r="RKY176" s="125"/>
      <c r="RKZ176" s="125"/>
      <c r="RLA176" s="125"/>
      <c r="RLB176" s="125"/>
      <c r="RLC176" s="125"/>
      <c r="RLD176" s="125"/>
      <c r="RLE176" s="125"/>
      <c r="RLF176" s="125"/>
      <c r="RLG176" s="125"/>
      <c r="RLH176" s="125"/>
      <c r="RLI176" s="125"/>
      <c r="RLJ176" s="125"/>
      <c r="RLK176" s="125"/>
      <c r="RLL176" s="125"/>
      <c r="RLM176" s="125"/>
      <c r="RLN176" s="125"/>
      <c r="RLO176" s="125"/>
      <c r="RLP176" s="125"/>
      <c r="RLQ176" s="125"/>
      <c r="RLR176" s="125"/>
      <c r="RLS176" s="125"/>
      <c r="RLT176" s="125"/>
      <c r="RLU176" s="125"/>
      <c r="RLV176" s="125"/>
      <c r="RLW176" s="125"/>
      <c r="RLX176" s="125"/>
      <c r="RLY176" s="125"/>
      <c r="RLZ176" s="125"/>
      <c r="RMA176" s="125"/>
      <c r="RMB176" s="125"/>
      <c r="RMC176" s="125"/>
      <c r="RMD176" s="125"/>
      <c r="RME176" s="125"/>
      <c r="RMF176" s="125"/>
      <c r="RMG176" s="125"/>
      <c r="RMH176" s="125"/>
      <c r="RMI176" s="125"/>
      <c r="RMJ176" s="125"/>
      <c r="RMK176" s="125"/>
      <c r="RML176" s="125"/>
      <c r="RMM176" s="125"/>
      <c r="RMN176" s="125"/>
      <c r="RMO176" s="125"/>
      <c r="RMP176" s="125"/>
      <c r="RMQ176" s="125"/>
      <c r="RMR176" s="125"/>
      <c r="RMS176" s="125"/>
      <c r="RMT176" s="125"/>
      <c r="RMU176" s="125"/>
      <c r="RMV176" s="125"/>
      <c r="RMW176" s="125"/>
      <c r="RMX176" s="125"/>
      <c r="RMY176" s="125"/>
      <c r="RMZ176" s="125"/>
      <c r="RNA176" s="125"/>
      <c r="RNB176" s="125"/>
      <c r="RNC176" s="125"/>
      <c r="RND176" s="125"/>
      <c r="RNE176" s="125"/>
      <c r="RNF176" s="125"/>
      <c r="RNG176" s="125"/>
      <c r="RNH176" s="125"/>
      <c r="RNI176" s="125"/>
      <c r="RNJ176" s="125"/>
      <c r="RNK176" s="125"/>
      <c r="RNL176" s="125"/>
      <c r="RNM176" s="125"/>
      <c r="RNN176" s="125"/>
      <c r="RNO176" s="125"/>
      <c r="RNP176" s="125"/>
      <c r="RNQ176" s="125"/>
      <c r="RNR176" s="125"/>
      <c r="RNS176" s="125"/>
      <c r="RNT176" s="125"/>
      <c r="RNU176" s="125"/>
      <c r="RNV176" s="125"/>
      <c r="RNW176" s="125"/>
      <c r="RNX176" s="125"/>
      <c r="RNY176" s="125"/>
      <c r="RNZ176" s="125"/>
      <c r="ROA176" s="125"/>
      <c r="ROB176" s="125"/>
      <c r="ROC176" s="125"/>
      <c r="ROD176" s="125"/>
      <c r="ROE176" s="125"/>
      <c r="ROF176" s="125"/>
      <c r="ROG176" s="125"/>
      <c r="ROH176" s="125"/>
      <c r="ROI176" s="125"/>
      <c r="ROJ176" s="125"/>
      <c r="ROK176" s="125"/>
      <c r="ROL176" s="125"/>
      <c r="ROM176" s="125"/>
      <c r="RON176" s="125"/>
      <c r="ROO176" s="125"/>
      <c r="ROP176" s="125"/>
      <c r="ROQ176" s="125"/>
      <c r="ROR176" s="125"/>
      <c r="ROS176" s="125"/>
      <c r="ROT176" s="125"/>
      <c r="ROU176" s="125"/>
      <c r="ROV176" s="125"/>
      <c r="ROW176" s="125"/>
      <c r="ROX176" s="125"/>
      <c r="ROY176" s="125"/>
      <c r="ROZ176" s="125"/>
      <c r="RPA176" s="125"/>
      <c r="RPB176" s="125"/>
      <c r="RPC176" s="125"/>
      <c r="RPD176" s="125"/>
      <c r="RPE176" s="125"/>
      <c r="RPF176" s="125"/>
      <c r="RPG176" s="125"/>
      <c r="RPH176" s="125"/>
      <c r="RPI176" s="125"/>
      <c r="RPJ176" s="125"/>
      <c r="RPK176" s="125"/>
      <c r="RPL176" s="125"/>
      <c r="RPM176" s="125"/>
      <c r="RPN176" s="125"/>
      <c r="RPO176" s="125"/>
      <c r="RPP176" s="125"/>
      <c r="RPQ176" s="125"/>
      <c r="RPR176" s="125"/>
      <c r="RPS176" s="125"/>
      <c r="RPT176" s="125"/>
      <c r="RPU176" s="125"/>
      <c r="RPV176" s="125"/>
      <c r="RPW176" s="125"/>
      <c r="RPX176" s="125"/>
      <c r="RPY176" s="125"/>
      <c r="RPZ176" s="125"/>
      <c r="RQA176" s="125"/>
      <c r="RQB176" s="125"/>
      <c r="RQC176" s="125"/>
      <c r="RQD176" s="125"/>
      <c r="RQE176" s="125"/>
      <c r="RQF176" s="125"/>
      <c r="RQG176" s="125"/>
      <c r="RQH176" s="125"/>
      <c r="RQI176" s="125"/>
      <c r="RQJ176" s="125"/>
      <c r="RQK176" s="125"/>
      <c r="RQL176" s="125"/>
      <c r="RQM176" s="125"/>
      <c r="RQN176" s="125"/>
      <c r="RQO176" s="125"/>
      <c r="RQP176" s="125"/>
      <c r="RQQ176" s="125"/>
      <c r="RQR176" s="125"/>
      <c r="RQS176" s="125"/>
      <c r="RQT176" s="125"/>
      <c r="RQU176" s="125"/>
      <c r="RQV176" s="125"/>
      <c r="RQW176" s="125"/>
      <c r="RQX176" s="125"/>
      <c r="RQY176" s="125"/>
      <c r="RQZ176" s="125"/>
      <c r="RRA176" s="125"/>
      <c r="RRB176" s="125"/>
      <c r="RRC176" s="125"/>
      <c r="RRD176" s="125"/>
      <c r="RRE176" s="125"/>
      <c r="RRF176" s="125"/>
      <c r="RRG176" s="125"/>
      <c r="RRH176" s="125"/>
      <c r="RRI176" s="125"/>
      <c r="RRJ176" s="125"/>
      <c r="RRK176" s="125"/>
      <c r="RRL176" s="125"/>
      <c r="RRM176" s="125"/>
      <c r="RRN176" s="125"/>
      <c r="RRO176" s="125"/>
      <c r="RRP176" s="125"/>
      <c r="RRQ176" s="125"/>
      <c r="RRR176" s="125"/>
      <c r="RRS176" s="125"/>
      <c r="RRT176" s="125"/>
      <c r="RRU176" s="125"/>
      <c r="RRV176" s="125"/>
      <c r="RRW176" s="125"/>
      <c r="RRX176" s="125"/>
      <c r="RRY176" s="125"/>
      <c r="RRZ176" s="125"/>
      <c r="RSA176" s="125"/>
      <c r="RSB176" s="125"/>
      <c r="RSC176" s="125"/>
      <c r="RSD176" s="125"/>
      <c r="RSE176" s="125"/>
      <c r="RSF176" s="125"/>
      <c r="RSG176" s="125"/>
      <c r="RSH176" s="125"/>
      <c r="RSI176" s="125"/>
      <c r="RSJ176" s="125"/>
      <c r="RSK176" s="125"/>
      <c r="RSL176" s="125"/>
      <c r="RSM176" s="125"/>
      <c r="RSN176" s="125"/>
      <c r="RSO176" s="125"/>
      <c r="RSP176" s="125"/>
      <c r="RSQ176" s="125"/>
      <c r="RSR176" s="125"/>
      <c r="RSS176" s="125"/>
      <c r="RST176" s="125"/>
      <c r="RSU176" s="125"/>
      <c r="RSV176" s="125"/>
      <c r="RSW176" s="125"/>
      <c r="RSX176" s="125"/>
      <c r="RSY176" s="125"/>
      <c r="RSZ176" s="125"/>
      <c r="RTA176" s="125"/>
      <c r="RTB176" s="125"/>
      <c r="RTC176" s="125"/>
      <c r="RTD176" s="125"/>
      <c r="RTE176" s="125"/>
      <c r="RTF176" s="125"/>
      <c r="RTG176" s="125"/>
      <c r="RTH176" s="125"/>
      <c r="RTI176" s="125"/>
      <c r="RTJ176" s="125"/>
      <c r="RTK176" s="125"/>
      <c r="RTL176" s="125"/>
      <c r="RTM176" s="125"/>
      <c r="RTN176" s="125"/>
      <c r="RTO176" s="125"/>
      <c r="RTP176" s="125"/>
      <c r="RTQ176" s="125"/>
      <c r="RTR176" s="125"/>
      <c r="RTS176" s="125"/>
      <c r="RTT176" s="125"/>
      <c r="RTU176" s="125"/>
      <c r="RTV176" s="125"/>
      <c r="RTW176" s="125"/>
      <c r="RTX176" s="125"/>
      <c r="RTY176" s="125"/>
      <c r="RTZ176" s="125"/>
      <c r="RUA176" s="125"/>
      <c r="RUB176" s="125"/>
      <c r="RUC176" s="125"/>
      <c r="RUD176" s="125"/>
      <c r="RUE176" s="125"/>
      <c r="RUF176" s="125"/>
      <c r="RUG176" s="125"/>
      <c r="RUH176" s="125"/>
      <c r="RUI176" s="125"/>
      <c r="RUJ176" s="125"/>
      <c r="RUK176" s="125"/>
      <c r="RUL176" s="125"/>
      <c r="RUM176" s="125"/>
      <c r="RUN176" s="125"/>
      <c r="RUO176" s="125"/>
      <c r="RUP176" s="125"/>
      <c r="RUQ176" s="125"/>
      <c r="RUR176" s="125"/>
      <c r="RUS176" s="125"/>
      <c r="RUT176" s="125"/>
      <c r="RUU176" s="125"/>
      <c r="RUV176" s="125"/>
      <c r="RUW176" s="125"/>
      <c r="RUX176" s="125"/>
      <c r="RUY176" s="125"/>
      <c r="RUZ176" s="125"/>
      <c r="RVA176" s="125"/>
      <c r="RVB176" s="125"/>
      <c r="RVC176" s="125"/>
      <c r="RVD176" s="125"/>
      <c r="RVE176" s="125"/>
      <c r="RVF176" s="125"/>
      <c r="RVG176" s="125"/>
      <c r="RVH176" s="125"/>
      <c r="RVI176" s="125"/>
      <c r="RVJ176" s="125"/>
      <c r="RVK176" s="125"/>
      <c r="RVL176" s="125"/>
      <c r="RVM176" s="125"/>
      <c r="RVN176" s="125"/>
      <c r="RVO176" s="125"/>
      <c r="RVP176" s="125"/>
      <c r="RVQ176" s="125"/>
      <c r="RVR176" s="125"/>
      <c r="RVS176" s="125"/>
      <c r="RVT176" s="125"/>
      <c r="RVU176" s="125"/>
      <c r="RVV176" s="125"/>
      <c r="RVW176" s="125"/>
      <c r="RVX176" s="125"/>
      <c r="RVY176" s="125"/>
      <c r="RVZ176" s="125"/>
      <c r="RWA176" s="125"/>
      <c r="RWB176" s="125"/>
      <c r="RWC176" s="125"/>
      <c r="RWD176" s="125"/>
      <c r="RWE176" s="125"/>
      <c r="RWF176" s="125"/>
      <c r="RWG176" s="125"/>
      <c r="RWH176" s="125"/>
      <c r="RWI176" s="125"/>
      <c r="RWJ176" s="125"/>
      <c r="RWK176" s="125"/>
      <c r="RWL176" s="125"/>
      <c r="RWM176" s="125"/>
      <c r="RWN176" s="125"/>
      <c r="RWO176" s="125"/>
      <c r="RWP176" s="125"/>
      <c r="RWQ176" s="125"/>
      <c r="RWR176" s="125"/>
      <c r="RWS176" s="125"/>
      <c r="RWT176" s="125"/>
      <c r="RWU176" s="125"/>
      <c r="RWV176" s="125"/>
      <c r="RWW176" s="125"/>
      <c r="RWX176" s="125"/>
      <c r="RWY176" s="125"/>
      <c r="RWZ176" s="125"/>
      <c r="RXA176" s="125"/>
      <c r="RXB176" s="125"/>
      <c r="RXC176" s="125"/>
      <c r="RXD176" s="125"/>
      <c r="RXE176" s="125"/>
      <c r="RXF176" s="125"/>
      <c r="RXG176" s="125"/>
      <c r="RXH176" s="125"/>
      <c r="RXI176" s="125"/>
      <c r="RXJ176" s="125"/>
      <c r="RXK176" s="125"/>
      <c r="RXL176" s="125"/>
      <c r="RXM176" s="125"/>
      <c r="RXN176" s="125"/>
      <c r="RXO176" s="125"/>
      <c r="RXP176" s="125"/>
      <c r="RXQ176" s="125"/>
      <c r="RXR176" s="125"/>
      <c r="RXS176" s="125"/>
      <c r="RXT176" s="125"/>
      <c r="RXU176" s="125"/>
      <c r="RXV176" s="125"/>
      <c r="RXW176" s="125"/>
      <c r="RXX176" s="125"/>
      <c r="RXY176" s="125"/>
      <c r="RXZ176" s="125"/>
      <c r="RYA176" s="125"/>
      <c r="RYB176" s="125"/>
      <c r="RYC176" s="125"/>
      <c r="RYD176" s="125"/>
      <c r="RYE176" s="125"/>
      <c r="RYF176" s="125"/>
      <c r="RYG176" s="125"/>
      <c r="RYH176" s="125"/>
      <c r="RYI176" s="125"/>
      <c r="RYJ176" s="125"/>
      <c r="RYK176" s="125"/>
      <c r="RYL176" s="125"/>
      <c r="RYM176" s="125"/>
      <c r="RYN176" s="125"/>
      <c r="RYO176" s="125"/>
      <c r="RYP176" s="125"/>
      <c r="RYQ176" s="125"/>
      <c r="RYR176" s="125"/>
      <c r="RYS176" s="125"/>
      <c r="RYT176" s="125"/>
      <c r="RYU176" s="125"/>
      <c r="RYV176" s="125"/>
      <c r="RYW176" s="125"/>
      <c r="RYX176" s="125"/>
      <c r="RYY176" s="125"/>
      <c r="RYZ176" s="125"/>
      <c r="RZA176" s="125"/>
      <c r="RZB176" s="125"/>
      <c r="RZC176" s="125"/>
      <c r="RZD176" s="125"/>
      <c r="RZE176" s="125"/>
      <c r="RZF176" s="125"/>
      <c r="RZG176" s="125"/>
      <c r="RZH176" s="125"/>
      <c r="RZI176" s="125"/>
      <c r="RZJ176" s="125"/>
      <c r="RZK176" s="125"/>
      <c r="RZL176" s="125"/>
      <c r="RZM176" s="125"/>
      <c r="RZN176" s="125"/>
      <c r="RZO176" s="125"/>
      <c r="RZP176" s="125"/>
      <c r="RZQ176" s="125"/>
      <c r="RZR176" s="125"/>
      <c r="RZS176" s="125"/>
      <c r="RZT176" s="125"/>
      <c r="RZU176" s="125"/>
      <c r="RZV176" s="125"/>
      <c r="RZW176" s="125"/>
      <c r="RZX176" s="125"/>
      <c r="RZY176" s="125"/>
      <c r="RZZ176" s="125"/>
      <c r="SAA176" s="125"/>
      <c r="SAB176" s="125"/>
      <c r="SAC176" s="125"/>
      <c r="SAD176" s="125"/>
      <c r="SAE176" s="125"/>
      <c r="SAF176" s="125"/>
      <c r="SAG176" s="125"/>
      <c r="SAH176" s="125"/>
      <c r="SAI176" s="125"/>
      <c r="SAJ176" s="125"/>
      <c r="SAK176" s="125"/>
      <c r="SAL176" s="125"/>
      <c r="SAM176" s="125"/>
      <c r="SAN176" s="125"/>
      <c r="SAO176" s="125"/>
      <c r="SAP176" s="125"/>
      <c r="SAQ176" s="125"/>
      <c r="SAR176" s="125"/>
      <c r="SAS176" s="125"/>
      <c r="SAT176" s="125"/>
      <c r="SAU176" s="125"/>
      <c r="SAV176" s="125"/>
      <c r="SAW176" s="125"/>
      <c r="SAX176" s="125"/>
      <c r="SAY176" s="125"/>
      <c r="SAZ176" s="125"/>
      <c r="SBA176" s="125"/>
      <c r="SBB176" s="125"/>
      <c r="SBC176" s="125"/>
      <c r="SBD176" s="125"/>
      <c r="SBE176" s="125"/>
      <c r="SBF176" s="125"/>
      <c r="SBG176" s="125"/>
      <c r="SBH176" s="125"/>
      <c r="SBI176" s="125"/>
      <c r="SBJ176" s="125"/>
      <c r="SBK176" s="125"/>
      <c r="SBL176" s="125"/>
      <c r="SBM176" s="125"/>
      <c r="SBN176" s="125"/>
      <c r="SBO176" s="125"/>
      <c r="SBP176" s="125"/>
      <c r="SBQ176" s="125"/>
      <c r="SBR176" s="125"/>
      <c r="SBS176" s="125"/>
      <c r="SBT176" s="125"/>
      <c r="SBU176" s="125"/>
      <c r="SBV176" s="125"/>
      <c r="SBW176" s="125"/>
      <c r="SBX176" s="125"/>
      <c r="SBY176" s="125"/>
      <c r="SBZ176" s="125"/>
      <c r="SCA176" s="125"/>
      <c r="SCB176" s="125"/>
      <c r="SCC176" s="125"/>
      <c r="SCD176" s="125"/>
      <c r="SCE176" s="125"/>
      <c r="SCF176" s="125"/>
      <c r="SCG176" s="125"/>
      <c r="SCH176" s="125"/>
      <c r="SCI176" s="125"/>
      <c r="SCJ176" s="125"/>
      <c r="SCK176" s="125"/>
      <c r="SCL176" s="125"/>
      <c r="SCM176" s="125"/>
      <c r="SCN176" s="125"/>
      <c r="SCO176" s="125"/>
      <c r="SCP176" s="125"/>
      <c r="SCQ176" s="125"/>
      <c r="SCR176" s="125"/>
      <c r="SCS176" s="125"/>
      <c r="SCT176" s="125"/>
      <c r="SCU176" s="125"/>
      <c r="SCV176" s="125"/>
      <c r="SCW176" s="125"/>
      <c r="SCX176" s="125"/>
      <c r="SCY176" s="125"/>
      <c r="SCZ176" s="125"/>
      <c r="SDA176" s="125"/>
      <c r="SDB176" s="125"/>
      <c r="SDC176" s="125"/>
      <c r="SDD176" s="125"/>
      <c r="SDE176" s="125"/>
      <c r="SDF176" s="125"/>
      <c r="SDG176" s="125"/>
      <c r="SDH176" s="125"/>
      <c r="SDI176" s="125"/>
      <c r="SDJ176" s="125"/>
      <c r="SDK176" s="125"/>
      <c r="SDL176" s="125"/>
      <c r="SDM176" s="125"/>
      <c r="SDN176" s="125"/>
      <c r="SDO176" s="125"/>
      <c r="SDP176" s="125"/>
      <c r="SDQ176" s="125"/>
      <c r="SDR176" s="125"/>
      <c r="SDS176" s="125"/>
      <c r="SDT176" s="125"/>
      <c r="SDU176" s="125"/>
      <c r="SDV176" s="125"/>
      <c r="SDW176" s="125"/>
      <c r="SDX176" s="125"/>
      <c r="SDY176" s="125"/>
      <c r="SDZ176" s="125"/>
      <c r="SEA176" s="125"/>
      <c r="SEB176" s="125"/>
      <c r="SEC176" s="125"/>
      <c r="SED176" s="125"/>
      <c r="SEE176" s="125"/>
      <c r="SEF176" s="125"/>
      <c r="SEG176" s="125"/>
      <c r="SEH176" s="125"/>
      <c r="SEI176" s="125"/>
      <c r="SEJ176" s="125"/>
      <c r="SEK176" s="125"/>
      <c r="SEL176" s="125"/>
      <c r="SEM176" s="125"/>
      <c r="SEN176" s="125"/>
      <c r="SEO176" s="125"/>
      <c r="SEP176" s="125"/>
      <c r="SEQ176" s="125"/>
      <c r="SER176" s="125"/>
      <c r="SES176" s="125"/>
      <c r="SET176" s="125"/>
      <c r="SEU176" s="125"/>
      <c r="SEV176" s="125"/>
      <c r="SEW176" s="125"/>
      <c r="SEX176" s="125"/>
      <c r="SEY176" s="125"/>
      <c r="SEZ176" s="125"/>
      <c r="SFA176" s="125"/>
      <c r="SFB176" s="125"/>
      <c r="SFC176" s="125"/>
      <c r="SFD176" s="125"/>
      <c r="SFE176" s="125"/>
      <c r="SFF176" s="125"/>
      <c r="SFG176" s="125"/>
      <c r="SFH176" s="125"/>
      <c r="SFI176" s="125"/>
      <c r="SFJ176" s="125"/>
      <c r="SFK176" s="125"/>
      <c r="SFL176" s="125"/>
      <c r="SFM176" s="125"/>
      <c r="SFN176" s="125"/>
      <c r="SFO176" s="125"/>
      <c r="SFP176" s="125"/>
      <c r="SFQ176" s="125"/>
      <c r="SFR176" s="125"/>
      <c r="SFS176" s="125"/>
      <c r="SFT176" s="125"/>
      <c r="SFU176" s="125"/>
      <c r="SFV176" s="125"/>
      <c r="SFW176" s="125"/>
      <c r="SFX176" s="125"/>
      <c r="SFY176" s="125"/>
      <c r="SFZ176" s="125"/>
      <c r="SGA176" s="125"/>
      <c r="SGB176" s="125"/>
      <c r="SGC176" s="125"/>
      <c r="SGD176" s="125"/>
      <c r="SGE176" s="125"/>
      <c r="SGF176" s="125"/>
      <c r="SGG176" s="125"/>
      <c r="SGH176" s="125"/>
      <c r="SGI176" s="125"/>
      <c r="SGJ176" s="125"/>
      <c r="SGK176" s="125"/>
      <c r="SGL176" s="125"/>
      <c r="SGM176" s="125"/>
      <c r="SGN176" s="125"/>
      <c r="SGO176" s="125"/>
      <c r="SGP176" s="125"/>
      <c r="SGQ176" s="125"/>
      <c r="SGR176" s="125"/>
      <c r="SGS176" s="125"/>
      <c r="SGT176" s="125"/>
      <c r="SGU176" s="125"/>
      <c r="SGV176" s="125"/>
      <c r="SGW176" s="125"/>
      <c r="SGX176" s="125"/>
      <c r="SGY176" s="125"/>
      <c r="SGZ176" s="125"/>
      <c r="SHA176" s="125"/>
      <c r="SHB176" s="125"/>
      <c r="SHC176" s="125"/>
      <c r="SHD176" s="125"/>
      <c r="SHE176" s="125"/>
      <c r="SHF176" s="125"/>
      <c r="SHG176" s="125"/>
      <c r="SHH176" s="125"/>
      <c r="SHI176" s="125"/>
      <c r="SHJ176" s="125"/>
      <c r="SHK176" s="125"/>
      <c r="SHL176" s="125"/>
      <c r="SHM176" s="125"/>
      <c r="SHN176" s="125"/>
      <c r="SHO176" s="125"/>
      <c r="SHP176" s="125"/>
      <c r="SHQ176" s="125"/>
      <c r="SHR176" s="125"/>
      <c r="SHS176" s="125"/>
      <c r="SHT176" s="125"/>
      <c r="SHU176" s="125"/>
      <c r="SHV176" s="125"/>
      <c r="SHW176" s="125"/>
      <c r="SHX176" s="125"/>
      <c r="SHY176" s="125"/>
      <c r="SHZ176" s="125"/>
      <c r="SIA176" s="125"/>
      <c r="SIB176" s="125"/>
      <c r="SIC176" s="125"/>
      <c r="SID176" s="125"/>
      <c r="SIE176" s="125"/>
      <c r="SIF176" s="125"/>
      <c r="SIG176" s="125"/>
      <c r="SIH176" s="125"/>
      <c r="SII176" s="125"/>
      <c r="SIJ176" s="125"/>
      <c r="SIK176" s="125"/>
      <c r="SIL176" s="125"/>
      <c r="SIM176" s="125"/>
      <c r="SIN176" s="125"/>
      <c r="SIO176" s="125"/>
      <c r="SIP176" s="125"/>
      <c r="SIQ176" s="125"/>
      <c r="SIR176" s="125"/>
      <c r="SIS176" s="125"/>
      <c r="SIT176" s="125"/>
      <c r="SIU176" s="125"/>
      <c r="SIV176" s="125"/>
      <c r="SIW176" s="125"/>
      <c r="SIX176" s="125"/>
      <c r="SIY176" s="125"/>
      <c r="SIZ176" s="125"/>
      <c r="SJA176" s="125"/>
      <c r="SJB176" s="125"/>
      <c r="SJC176" s="125"/>
      <c r="SJD176" s="125"/>
      <c r="SJE176" s="125"/>
      <c r="SJF176" s="125"/>
      <c r="SJG176" s="125"/>
      <c r="SJH176" s="125"/>
      <c r="SJI176" s="125"/>
      <c r="SJJ176" s="125"/>
      <c r="SJK176" s="125"/>
      <c r="SJL176" s="125"/>
      <c r="SJM176" s="125"/>
      <c r="SJN176" s="125"/>
      <c r="SJO176" s="125"/>
      <c r="SJP176" s="125"/>
      <c r="SJQ176" s="125"/>
      <c r="SJR176" s="125"/>
      <c r="SJS176" s="125"/>
      <c r="SJT176" s="125"/>
      <c r="SJU176" s="125"/>
      <c r="SJV176" s="125"/>
      <c r="SJW176" s="125"/>
      <c r="SJX176" s="125"/>
      <c r="SJY176" s="125"/>
      <c r="SJZ176" s="125"/>
      <c r="SKA176" s="125"/>
      <c r="SKB176" s="125"/>
      <c r="SKC176" s="125"/>
      <c r="SKD176" s="125"/>
      <c r="SKE176" s="125"/>
      <c r="SKF176" s="125"/>
      <c r="SKG176" s="125"/>
      <c r="SKH176" s="125"/>
      <c r="SKI176" s="125"/>
      <c r="SKJ176" s="125"/>
      <c r="SKK176" s="125"/>
      <c r="SKL176" s="125"/>
      <c r="SKM176" s="125"/>
      <c r="SKN176" s="125"/>
      <c r="SKO176" s="125"/>
      <c r="SKP176" s="125"/>
      <c r="SKQ176" s="125"/>
      <c r="SKR176" s="125"/>
      <c r="SKS176" s="125"/>
      <c r="SKT176" s="125"/>
      <c r="SKU176" s="125"/>
      <c r="SKV176" s="125"/>
      <c r="SKW176" s="125"/>
      <c r="SKX176" s="125"/>
      <c r="SKY176" s="125"/>
      <c r="SKZ176" s="125"/>
      <c r="SLA176" s="125"/>
      <c r="SLB176" s="125"/>
      <c r="SLC176" s="125"/>
      <c r="SLD176" s="125"/>
      <c r="SLE176" s="125"/>
      <c r="SLF176" s="125"/>
      <c r="SLG176" s="125"/>
      <c r="SLH176" s="125"/>
      <c r="SLI176" s="125"/>
      <c r="SLJ176" s="125"/>
      <c r="SLK176" s="125"/>
      <c r="SLL176" s="125"/>
      <c r="SLM176" s="125"/>
      <c r="SLN176" s="125"/>
      <c r="SLO176" s="125"/>
      <c r="SLP176" s="125"/>
      <c r="SLQ176" s="125"/>
      <c r="SLR176" s="125"/>
      <c r="SLS176" s="125"/>
      <c r="SLT176" s="125"/>
      <c r="SLU176" s="125"/>
      <c r="SLV176" s="125"/>
      <c r="SLW176" s="125"/>
      <c r="SLX176" s="125"/>
      <c r="SLY176" s="125"/>
      <c r="SLZ176" s="125"/>
      <c r="SMA176" s="125"/>
      <c r="SMB176" s="125"/>
      <c r="SMC176" s="125"/>
      <c r="SMD176" s="125"/>
      <c r="SME176" s="125"/>
      <c r="SMF176" s="125"/>
      <c r="SMG176" s="125"/>
      <c r="SMH176" s="125"/>
      <c r="SMI176" s="125"/>
      <c r="SMJ176" s="125"/>
      <c r="SMK176" s="125"/>
      <c r="SML176" s="125"/>
      <c r="SMM176" s="125"/>
      <c r="SMN176" s="125"/>
      <c r="SMO176" s="125"/>
      <c r="SMP176" s="125"/>
      <c r="SMQ176" s="125"/>
      <c r="SMR176" s="125"/>
      <c r="SMS176" s="125"/>
      <c r="SMT176" s="125"/>
      <c r="SMU176" s="125"/>
      <c r="SMV176" s="125"/>
      <c r="SMW176" s="125"/>
      <c r="SMX176" s="125"/>
      <c r="SMY176" s="125"/>
      <c r="SMZ176" s="125"/>
      <c r="SNA176" s="125"/>
      <c r="SNB176" s="125"/>
      <c r="SNC176" s="125"/>
      <c r="SND176" s="125"/>
      <c r="SNE176" s="125"/>
      <c r="SNF176" s="125"/>
      <c r="SNG176" s="125"/>
      <c r="SNH176" s="125"/>
      <c r="SNI176" s="125"/>
      <c r="SNJ176" s="125"/>
      <c r="SNK176" s="125"/>
      <c r="SNL176" s="125"/>
      <c r="SNM176" s="125"/>
      <c r="SNN176" s="125"/>
      <c r="SNO176" s="125"/>
      <c r="SNP176" s="125"/>
      <c r="SNQ176" s="125"/>
      <c r="SNR176" s="125"/>
      <c r="SNS176" s="125"/>
      <c r="SNT176" s="125"/>
      <c r="SNU176" s="125"/>
      <c r="SNV176" s="125"/>
      <c r="SNW176" s="125"/>
      <c r="SNX176" s="125"/>
      <c r="SNY176" s="125"/>
      <c r="SNZ176" s="125"/>
      <c r="SOA176" s="125"/>
      <c r="SOB176" s="125"/>
      <c r="SOC176" s="125"/>
      <c r="SOD176" s="125"/>
      <c r="SOE176" s="125"/>
      <c r="SOF176" s="125"/>
      <c r="SOG176" s="125"/>
      <c r="SOH176" s="125"/>
      <c r="SOI176" s="125"/>
      <c r="SOJ176" s="125"/>
      <c r="SOK176" s="125"/>
      <c r="SOL176" s="125"/>
      <c r="SOM176" s="125"/>
      <c r="SON176" s="125"/>
      <c r="SOO176" s="125"/>
      <c r="SOP176" s="125"/>
      <c r="SOQ176" s="125"/>
      <c r="SOR176" s="125"/>
      <c r="SOS176" s="125"/>
      <c r="SOT176" s="125"/>
      <c r="SOU176" s="125"/>
      <c r="SOV176" s="125"/>
      <c r="SOW176" s="125"/>
      <c r="SOX176" s="125"/>
      <c r="SOY176" s="125"/>
      <c r="SOZ176" s="125"/>
      <c r="SPA176" s="125"/>
      <c r="SPB176" s="125"/>
      <c r="SPC176" s="125"/>
      <c r="SPD176" s="125"/>
      <c r="SPE176" s="125"/>
      <c r="SPF176" s="125"/>
      <c r="SPG176" s="125"/>
      <c r="SPH176" s="125"/>
      <c r="SPI176" s="125"/>
      <c r="SPJ176" s="125"/>
      <c r="SPK176" s="125"/>
      <c r="SPL176" s="125"/>
      <c r="SPM176" s="125"/>
      <c r="SPN176" s="125"/>
      <c r="SPO176" s="125"/>
      <c r="SPP176" s="125"/>
      <c r="SPQ176" s="125"/>
      <c r="SPR176" s="125"/>
      <c r="SPS176" s="125"/>
      <c r="SPT176" s="125"/>
      <c r="SPU176" s="125"/>
      <c r="SPV176" s="125"/>
      <c r="SPW176" s="125"/>
      <c r="SPX176" s="125"/>
      <c r="SPY176" s="125"/>
      <c r="SPZ176" s="125"/>
      <c r="SQA176" s="125"/>
      <c r="SQB176" s="125"/>
      <c r="SQC176" s="125"/>
      <c r="SQD176" s="125"/>
      <c r="SQE176" s="125"/>
      <c r="SQF176" s="125"/>
      <c r="SQG176" s="125"/>
      <c r="SQH176" s="125"/>
      <c r="SQI176" s="125"/>
      <c r="SQJ176" s="125"/>
      <c r="SQK176" s="125"/>
      <c r="SQL176" s="125"/>
      <c r="SQM176" s="125"/>
      <c r="SQN176" s="125"/>
      <c r="SQO176" s="125"/>
      <c r="SQP176" s="125"/>
      <c r="SQQ176" s="125"/>
      <c r="SQR176" s="125"/>
      <c r="SQS176" s="125"/>
      <c r="SQT176" s="125"/>
      <c r="SQU176" s="125"/>
      <c r="SQV176" s="125"/>
      <c r="SQW176" s="125"/>
      <c r="SQX176" s="125"/>
      <c r="SQY176" s="125"/>
      <c r="SQZ176" s="125"/>
      <c r="SRA176" s="125"/>
      <c r="SRB176" s="125"/>
      <c r="SRC176" s="125"/>
      <c r="SRD176" s="125"/>
      <c r="SRE176" s="125"/>
      <c r="SRF176" s="125"/>
      <c r="SRG176" s="125"/>
      <c r="SRH176" s="125"/>
      <c r="SRI176" s="125"/>
      <c r="SRJ176" s="125"/>
      <c r="SRK176" s="125"/>
      <c r="SRL176" s="125"/>
      <c r="SRM176" s="125"/>
      <c r="SRN176" s="125"/>
      <c r="SRO176" s="125"/>
      <c r="SRP176" s="125"/>
      <c r="SRQ176" s="125"/>
      <c r="SRR176" s="125"/>
      <c r="SRS176" s="125"/>
      <c r="SRT176" s="125"/>
      <c r="SRU176" s="125"/>
      <c r="SRV176" s="125"/>
      <c r="SRW176" s="125"/>
      <c r="SRX176" s="125"/>
      <c r="SRY176" s="125"/>
      <c r="SRZ176" s="125"/>
      <c r="SSA176" s="125"/>
      <c r="SSB176" s="125"/>
      <c r="SSC176" s="125"/>
      <c r="SSD176" s="125"/>
      <c r="SSE176" s="125"/>
      <c r="SSF176" s="125"/>
      <c r="SSG176" s="125"/>
      <c r="SSH176" s="125"/>
      <c r="SSI176" s="125"/>
      <c r="SSJ176" s="125"/>
      <c r="SSK176" s="125"/>
      <c r="SSL176" s="125"/>
      <c r="SSM176" s="125"/>
      <c r="SSN176" s="125"/>
      <c r="SSO176" s="125"/>
      <c r="SSP176" s="125"/>
      <c r="SSQ176" s="125"/>
      <c r="SSR176" s="125"/>
      <c r="SSS176" s="125"/>
      <c r="SST176" s="125"/>
      <c r="SSU176" s="125"/>
      <c r="SSV176" s="125"/>
      <c r="SSW176" s="125"/>
      <c r="SSX176" s="125"/>
      <c r="SSY176" s="125"/>
      <c r="SSZ176" s="125"/>
      <c r="STA176" s="125"/>
      <c r="STB176" s="125"/>
      <c r="STC176" s="125"/>
      <c r="STD176" s="125"/>
      <c r="STE176" s="125"/>
      <c r="STF176" s="125"/>
      <c r="STG176" s="125"/>
      <c r="STH176" s="125"/>
      <c r="STI176" s="125"/>
      <c r="STJ176" s="125"/>
      <c r="STK176" s="125"/>
      <c r="STL176" s="125"/>
      <c r="STM176" s="125"/>
      <c r="STN176" s="125"/>
      <c r="STO176" s="125"/>
      <c r="STP176" s="125"/>
      <c r="STQ176" s="125"/>
      <c r="STR176" s="125"/>
      <c r="STS176" s="125"/>
      <c r="STT176" s="125"/>
      <c r="STU176" s="125"/>
      <c r="STV176" s="125"/>
      <c r="STW176" s="125"/>
      <c r="STX176" s="125"/>
      <c r="STY176" s="125"/>
      <c r="STZ176" s="125"/>
      <c r="SUA176" s="125"/>
      <c r="SUB176" s="125"/>
      <c r="SUC176" s="125"/>
      <c r="SUD176" s="125"/>
      <c r="SUE176" s="125"/>
      <c r="SUF176" s="125"/>
      <c r="SUG176" s="125"/>
      <c r="SUH176" s="125"/>
      <c r="SUI176" s="125"/>
      <c r="SUJ176" s="125"/>
      <c r="SUK176" s="125"/>
      <c r="SUL176" s="125"/>
      <c r="SUM176" s="125"/>
      <c r="SUN176" s="125"/>
      <c r="SUO176" s="125"/>
      <c r="SUP176" s="125"/>
      <c r="SUQ176" s="125"/>
      <c r="SUR176" s="125"/>
      <c r="SUS176" s="125"/>
      <c r="SUT176" s="125"/>
      <c r="SUU176" s="125"/>
      <c r="SUV176" s="125"/>
      <c r="SUW176" s="125"/>
      <c r="SUX176" s="125"/>
      <c r="SUY176" s="125"/>
      <c r="SUZ176" s="125"/>
      <c r="SVA176" s="125"/>
      <c r="SVB176" s="125"/>
      <c r="SVC176" s="125"/>
      <c r="SVD176" s="125"/>
      <c r="SVE176" s="125"/>
      <c r="SVF176" s="125"/>
      <c r="SVG176" s="125"/>
      <c r="SVH176" s="125"/>
      <c r="SVI176" s="125"/>
      <c r="SVJ176" s="125"/>
      <c r="SVK176" s="125"/>
      <c r="SVL176" s="125"/>
      <c r="SVM176" s="125"/>
      <c r="SVN176" s="125"/>
      <c r="SVO176" s="125"/>
      <c r="SVP176" s="125"/>
      <c r="SVQ176" s="125"/>
      <c r="SVR176" s="125"/>
      <c r="SVS176" s="125"/>
      <c r="SVT176" s="125"/>
      <c r="SVU176" s="125"/>
      <c r="SVV176" s="125"/>
      <c r="SVW176" s="125"/>
      <c r="SVX176" s="125"/>
      <c r="SVY176" s="125"/>
      <c r="SVZ176" s="125"/>
      <c r="SWA176" s="125"/>
      <c r="SWB176" s="125"/>
      <c r="SWC176" s="125"/>
      <c r="SWD176" s="125"/>
      <c r="SWE176" s="125"/>
      <c r="SWF176" s="125"/>
      <c r="SWG176" s="125"/>
      <c r="SWH176" s="125"/>
      <c r="SWI176" s="125"/>
      <c r="SWJ176" s="125"/>
      <c r="SWK176" s="125"/>
      <c r="SWL176" s="125"/>
      <c r="SWM176" s="125"/>
      <c r="SWN176" s="125"/>
      <c r="SWO176" s="125"/>
      <c r="SWP176" s="125"/>
      <c r="SWQ176" s="125"/>
      <c r="SWR176" s="125"/>
      <c r="SWS176" s="125"/>
      <c r="SWT176" s="125"/>
      <c r="SWU176" s="125"/>
      <c r="SWV176" s="125"/>
      <c r="SWW176" s="125"/>
      <c r="SWX176" s="125"/>
      <c r="SWY176" s="125"/>
      <c r="SWZ176" s="125"/>
      <c r="SXA176" s="125"/>
      <c r="SXB176" s="125"/>
      <c r="SXC176" s="125"/>
      <c r="SXD176" s="125"/>
      <c r="SXE176" s="125"/>
      <c r="SXF176" s="125"/>
      <c r="SXG176" s="125"/>
      <c r="SXH176" s="125"/>
      <c r="SXI176" s="125"/>
      <c r="SXJ176" s="125"/>
      <c r="SXK176" s="125"/>
      <c r="SXL176" s="125"/>
      <c r="SXM176" s="125"/>
      <c r="SXN176" s="125"/>
      <c r="SXO176" s="125"/>
      <c r="SXP176" s="125"/>
      <c r="SXQ176" s="125"/>
      <c r="SXR176" s="125"/>
      <c r="SXS176" s="125"/>
      <c r="SXT176" s="125"/>
      <c r="SXU176" s="125"/>
      <c r="SXV176" s="125"/>
      <c r="SXW176" s="125"/>
      <c r="SXX176" s="125"/>
      <c r="SXY176" s="125"/>
      <c r="SXZ176" s="125"/>
      <c r="SYA176" s="125"/>
      <c r="SYB176" s="125"/>
      <c r="SYC176" s="125"/>
      <c r="SYD176" s="125"/>
      <c r="SYE176" s="125"/>
      <c r="SYF176" s="125"/>
      <c r="SYG176" s="125"/>
      <c r="SYH176" s="125"/>
      <c r="SYI176" s="125"/>
      <c r="SYJ176" s="125"/>
      <c r="SYK176" s="125"/>
      <c r="SYL176" s="125"/>
      <c r="SYM176" s="125"/>
      <c r="SYN176" s="125"/>
      <c r="SYO176" s="125"/>
      <c r="SYP176" s="125"/>
      <c r="SYQ176" s="125"/>
      <c r="SYR176" s="125"/>
      <c r="SYS176" s="125"/>
      <c r="SYT176" s="125"/>
      <c r="SYU176" s="125"/>
      <c r="SYV176" s="125"/>
      <c r="SYW176" s="125"/>
      <c r="SYX176" s="125"/>
      <c r="SYY176" s="125"/>
      <c r="SYZ176" s="125"/>
      <c r="SZA176" s="125"/>
      <c r="SZB176" s="125"/>
      <c r="SZC176" s="125"/>
      <c r="SZD176" s="125"/>
      <c r="SZE176" s="125"/>
      <c r="SZF176" s="125"/>
      <c r="SZG176" s="125"/>
      <c r="SZH176" s="125"/>
      <c r="SZI176" s="125"/>
      <c r="SZJ176" s="125"/>
      <c r="SZK176" s="125"/>
      <c r="SZL176" s="125"/>
      <c r="SZM176" s="125"/>
      <c r="SZN176" s="125"/>
      <c r="SZO176" s="125"/>
      <c r="SZP176" s="125"/>
      <c r="SZQ176" s="125"/>
      <c r="SZR176" s="125"/>
      <c r="SZS176" s="125"/>
      <c r="SZT176" s="125"/>
      <c r="SZU176" s="125"/>
      <c r="SZV176" s="125"/>
      <c r="SZW176" s="125"/>
      <c r="SZX176" s="125"/>
      <c r="SZY176" s="125"/>
      <c r="SZZ176" s="125"/>
      <c r="TAA176" s="125"/>
      <c r="TAB176" s="125"/>
      <c r="TAC176" s="125"/>
      <c r="TAD176" s="125"/>
      <c r="TAE176" s="125"/>
      <c r="TAF176" s="125"/>
      <c r="TAG176" s="125"/>
      <c r="TAH176" s="125"/>
      <c r="TAI176" s="125"/>
      <c r="TAJ176" s="125"/>
      <c r="TAK176" s="125"/>
      <c r="TAL176" s="125"/>
      <c r="TAM176" s="125"/>
      <c r="TAN176" s="125"/>
      <c r="TAO176" s="125"/>
      <c r="TAP176" s="125"/>
      <c r="TAQ176" s="125"/>
      <c r="TAR176" s="125"/>
      <c r="TAS176" s="125"/>
      <c r="TAT176" s="125"/>
      <c r="TAU176" s="125"/>
      <c r="TAV176" s="125"/>
      <c r="TAW176" s="125"/>
      <c r="TAX176" s="125"/>
      <c r="TAY176" s="125"/>
      <c r="TAZ176" s="125"/>
      <c r="TBA176" s="125"/>
      <c r="TBB176" s="125"/>
      <c r="TBC176" s="125"/>
      <c r="TBD176" s="125"/>
      <c r="TBE176" s="125"/>
      <c r="TBF176" s="125"/>
      <c r="TBG176" s="125"/>
      <c r="TBH176" s="125"/>
      <c r="TBI176" s="125"/>
      <c r="TBJ176" s="125"/>
      <c r="TBK176" s="125"/>
      <c r="TBL176" s="125"/>
      <c r="TBM176" s="125"/>
      <c r="TBN176" s="125"/>
      <c r="TBO176" s="125"/>
      <c r="TBP176" s="125"/>
      <c r="TBQ176" s="125"/>
      <c r="TBR176" s="125"/>
      <c r="TBS176" s="125"/>
      <c r="TBT176" s="125"/>
      <c r="TBU176" s="125"/>
      <c r="TBV176" s="125"/>
      <c r="TBW176" s="125"/>
      <c r="TBX176" s="125"/>
      <c r="TBY176" s="125"/>
      <c r="TBZ176" s="125"/>
      <c r="TCA176" s="125"/>
      <c r="TCB176" s="125"/>
      <c r="TCC176" s="125"/>
      <c r="TCD176" s="125"/>
      <c r="TCE176" s="125"/>
      <c r="TCF176" s="125"/>
      <c r="TCG176" s="125"/>
      <c r="TCH176" s="125"/>
      <c r="TCI176" s="125"/>
      <c r="TCJ176" s="125"/>
      <c r="TCK176" s="125"/>
      <c r="TCL176" s="125"/>
      <c r="TCM176" s="125"/>
      <c r="TCN176" s="125"/>
      <c r="TCO176" s="125"/>
      <c r="TCP176" s="125"/>
      <c r="TCQ176" s="125"/>
      <c r="TCR176" s="125"/>
      <c r="TCS176" s="125"/>
      <c r="TCT176" s="125"/>
      <c r="TCU176" s="125"/>
      <c r="TCV176" s="125"/>
      <c r="TCW176" s="125"/>
      <c r="TCX176" s="125"/>
      <c r="TCY176" s="125"/>
      <c r="TCZ176" s="125"/>
      <c r="TDA176" s="125"/>
      <c r="TDB176" s="125"/>
      <c r="TDC176" s="125"/>
      <c r="TDD176" s="125"/>
      <c r="TDE176" s="125"/>
      <c r="TDF176" s="125"/>
      <c r="TDG176" s="125"/>
      <c r="TDH176" s="125"/>
      <c r="TDI176" s="125"/>
      <c r="TDJ176" s="125"/>
      <c r="TDK176" s="125"/>
      <c r="TDL176" s="125"/>
      <c r="TDM176" s="125"/>
      <c r="TDN176" s="125"/>
      <c r="TDO176" s="125"/>
      <c r="TDP176" s="125"/>
      <c r="TDQ176" s="125"/>
      <c r="TDR176" s="125"/>
      <c r="TDS176" s="125"/>
      <c r="TDT176" s="125"/>
      <c r="TDU176" s="125"/>
      <c r="TDV176" s="125"/>
      <c r="TDW176" s="125"/>
      <c r="TDX176" s="125"/>
      <c r="TDY176" s="125"/>
      <c r="TDZ176" s="125"/>
      <c r="TEA176" s="125"/>
      <c r="TEB176" s="125"/>
      <c r="TEC176" s="125"/>
      <c r="TED176" s="125"/>
      <c r="TEE176" s="125"/>
      <c r="TEF176" s="125"/>
      <c r="TEG176" s="125"/>
      <c r="TEH176" s="125"/>
      <c r="TEI176" s="125"/>
      <c r="TEJ176" s="125"/>
      <c r="TEK176" s="125"/>
      <c r="TEL176" s="125"/>
      <c r="TEM176" s="125"/>
      <c r="TEN176" s="125"/>
      <c r="TEO176" s="125"/>
      <c r="TEP176" s="125"/>
      <c r="TEQ176" s="125"/>
      <c r="TER176" s="125"/>
      <c r="TES176" s="125"/>
      <c r="TET176" s="125"/>
      <c r="TEU176" s="125"/>
      <c r="TEV176" s="125"/>
      <c r="TEW176" s="125"/>
      <c r="TEX176" s="125"/>
      <c r="TEY176" s="125"/>
      <c r="TEZ176" s="125"/>
      <c r="TFA176" s="125"/>
      <c r="TFB176" s="125"/>
      <c r="TFC176" s="125"/>
      <c r="TFD176" s="125"/>
      <c r="TFE176" s="125"/>
      <c r="TFF176" s="125"/>
      <c r="TFG176" s="125"/>
      <c r="TFH176" s="125"/>
      <c r="TFI176" s="125"/>
      <c r="TFJ176" s="125"/>
      <c r="TFK176" s="125"/>
      <c r="TFL176" s="125"/>
      <c r="TFM176" s="125"/>
      <c r="TFN176" s="125"/>
      <c r="TFO176" s="125"/>
      <c r="TFP176" s="125"/>
      <c r="TFQ176" s="125"/>
      <c r="TFR176" s="125"/>
      <c r="TFS176" s="125"/>
      <c r="TFT176" s="125"/>
      <c r="TFU176" s="125"/>
      <c r="TFV176" s="125"/>
      <c r="TFW176" s="125"/>
      <c r="TFX176" s="125"/>
      <c r="TFY176" s="125"/>
      <c r="TFZ176" s="125"/>
      <c r="TGA176" s="125"/>
      <c r="TGB176" s="125"/>
      <c r="TGC176" s="125"/>
      <c r="TGD176" s="125"/>
      <c r="TGE176" s="125"/>
      <c r="TGF176" s="125"/>
      <c r="TGG176" s="125"/>
      <c r="TGH176" s="125"/>
      <c r="TGI176" s="125"/>
      <c r="TGJ176" s="125"/>
      <c r="TGK176" s="125"/>
      <c r="TGL176" s="125"/>
      <c r="TGM176" s="125"/>
      <c r="TGN176" s="125"/>
      <c r="TGO176" s="125"/>
      <c r="TGP176" s="125"/>
      <c r="TGQ176" s="125"/>
      <c r="TGR176" s="125"/>
      <c r="TGS176" s="125"/>
      <c r="TGT176" s="125"/>
      <c r="TGU176" s="125"/>
      <c r="TGV176" s="125"/>
      <c r="TGW176" s="125"/>
      <c r="TGX176" s="125"/>
      <c r="TGY176" s="125"/>
      <c r="TGZ176" s="125"/>
      <c r="THA176" s="125"/>
      <c r="THB176" s="125"/>
      <c r="THC176" s="125"/>
      <c r="THD176" s="125"/>
      <c r="THE176" s="125"/>
      <c r="THF176" s="125"/>
      <c r="THG176" s="125"/>
      <c r="THH176" s="125"/>
      <c r="THI176" s="125"/>
      <c r="THJ176" s="125"/>
      <c r="THK176" s="125"/>
      <c r="THL176" s="125"/>
      <c r="THM176" s="125"/>
      <c r="THN176" s="125"/>
      <c r="THO176" s="125"/>
      <c r="THP176" s="125"/>
      <c r="THQ176" s="125"/>
      <c r="THR176" s="125"/>
      <c r="THS176" s="125"/>
      <c r="THT176" s="125"/>
      <c r="THU176" s="125"/>
      <c r="THV176" s="125"/>
      <c r="THW176" s="125"/>
      <c r="THX176" s="125"/>
      <c r="THY176" s="125"/>
      <c r="THZ176" s="125"/>
      <c r="TIA176" s="125"/>
      <c r="TIB176" s="125"/>
      <c r="TIC176" s="125"/>
      <c r="TID176" s="125"/>
      <c r="TIE176" s="125"/>
      <c r="TIF176" s="125"/>
      <c r="TIG176" s="125"/>
      <c r="TIH176" s="125"/>
      <c r="TII176" s="125"/>
      <c r="TIJ176" s="125"/>
      <c r="TIK176" s="125"/>
      <c r="TIL176" s="125"/>
      <c r="TIM176" s="125"/>
      <c r="TIN176" s="125"/>
      <c r="TIO176" s="125"/>
      <c r="TIP176" s="125"/>
      <c r="TIQ176" s="125"/>
      <c r="TIR176" s="125"/>
      <c r="TIS176" s="125"/>
      <c r="TIT176" s="125"/>
      <c r="TIU176" s="125"/>
      <c r="TIV176" s="125"/>
      <c r="TIW176" s="125"/>
      <c r="TIX176" s="125"/>
      <c r="TIY176" s="125"/>
      <c r="TIZ176" s="125"/>
      <c r="TJA176" s="125"/>
      <c r="TJB176" s="125"/>
      <c r="TJC176" s="125"/>
      <c r="TJD176" s="125"/>
      <c r="TJE176" s="125"/>
      <c r="TJF176" s="125"/>
      <c r="TJG176" s="125"/>
      <c r="TJH176" s="125"/>
      <c r="TJI176" s="125"/>
      <c r="TJJ176" s="125"/>
      <c r="TJK176" s="125"/>
      <c r="TJL176" s="125"/>
      <c r="TJM176" s="125"/>
      <c r="TJN176" s="125"/>
      <c r="TJO176" s="125"/>
      <c r="TJP176" s="125"/>
      <c r="TJQ176" s="125"/>
      <c r="TJR176" s="125"/>
      <c r="TJS176" s="125"/>
      <c r="TJT176" s="125"/>
      <c r="TJU176" s="125"/>
      <c r="TJV176" s="125"/>
      <c r="TJW176" s="125"/>
      <c r="TJX176" s="125"/>
      <c r="TJY176" s="125"/>
      <c r="TJZ176" s="125"/>
      <c r="TKA176" s="125"/>
      <c r="TKB176" s="125"/>
      <c r="TKC176" s="125"/>
      <c r="TKD176" s="125"/>
      <c r="TKE176" s="125"/>
      <c r="TKF176" s="125"/>
      <c r="TKG176" s="125"/>
      <c r="TKH176" s="125"/>
      <c r="TKI176" s="125"/>
      <c r="TKJ176" s="125"/>
      <c r="TKK176" s="125"/>
      <c r="TKL176" s="125"/>
      <c r="TKM176" s="125"/>
      <c r="TKN176" s="125"/>
      <c r="TKO176" s="125"/>
      <c r="TKP176" s="125"/>
      <c r="TKQ176" s="125"/>
      <c r="TKR176" s="125"/>
      <c r="TKS176" s="125"/>
      <c r="TKT176" s="125"/>
      <c r="TKU176" s="125"/>
      <c r="TKV176" s="125"/>
      <c r="TKW176" s="125"/>
      <c r="TKX176" s="125"/>
      <c r="TKY176" s="125"/>
      <c r="TKZ176" s="125"/>
      <c r="TLA176" s="125"/>
      <c r="TLB176" s="125"/>
      <c r="TLC176" s="125"/>
      <c r="TLD176" s="125"/>
      <c r="TLE176" s="125"/>
      <c r="TLF176" s="125"/>
      <c r="TLG176" s="125"/>
      <c r="TLH176" s="125"/>
      <c r="TLI176" s="125"/>
      <c r="TLJ176" s="125"/>
      <c r="TLK176" s="125"/>
      <c r="TLL176" s="125"/>
      <c r="TLM176" s="125"/>
      <c r="TLN176" s="125"/>
      <c r="TLO176" s="125"/>
      <c r="TLP176" s="125"/>
      <c r="TLQ176" s="125"/>
      <c r="TLR176" s="125"/>
      <c r="TLS176" s="125"/>
      <c r="TLT176" s="125"/>
      <c r="TLU176" s="125"/>
      <c r="TLV176" s="125"/>
      <c r="TLW176" s="125"/>
      <c r="TLX176" s="125"/>
      <c r="TLY176" s="125"/>
      <c r="TLZ176" s="125"/>
      <c r="TMA176" s="125"/>
      <c r="TMB176" s="125"/>
      <c r="TMC176" s="125"/>
      <c r="TMD176" s="125"/>
      <c r="TME176" s="125"/>
      <c r="TMF176" s="125"/>
      <c r="TMG176" s="125"/>
      <c r="TMH176" s="125"/>
      <c r="TMI176" s="125"/>
      <c r="TMJ176" s="125"/>
      <c r="TMK176" s="125"/>
      <c r="TML176" s="125"/>
      <c r="TMM176" s="125"/>
      <c r="TMN176" s="125"/>
      <c r="TMO176" s="125"/>
      <c r="TMP176" s="125"/>
      <c r="TMQ176" s="125"/>
      <c r="TMR176" s="125"/>
      <c r="TMS176" s="125"/>
      <c r="TMT176" s="125"/>
      <c r="TMU176" s="125"/>
      <c r="TMV176" s="125"/>
      <c r="TMW176" s="125"/>
      <c r="TMX176" s="125"/>
      <c r="TMY176" s="125"/>
      <c r="TMZ176" s="125"/>
      <c r="TNA176" s="125"/>
      <c r="TNB176" s="125"/>
      <c r="TNC176" s="125"/>
      <c r="TND176" s="125"/>
      <c r="TNE176" s="125"/>
      <c r="TNF176" s="125"/>
      <c r="TNG176" s="125"/>
      <c r="TNH176" s="125"/>
      <c r="TNI176" s="125"/>
      <c r="TNJ176" s="125"/>
      <c r="TNK176" s="125"/>
      <c r="TNL176" s="125"/>
      <c r="TNM176" s="125"/>
      <c r="TNN176" s="125"/>
      <c r="TNO176" s="125"/>
      <c r="TNP176" s="125"/>
      <c r="TNQ176" s="125"/>
      <c r="TNR176" s="125"/>
      <c r="TNS176" s="125"/>
      <c r="TNT176" s="125"/>
      <c r="TNU176" s="125"/>
      <c r="TNV176" s="125"/>
      <c r="TNW176" s="125"/>
      <c r="TNX176" s="125"/>
      <c r="TNY176" s="125"/>
      <c r="TNZ176" s="125"/>
      <c r="TOA176" s="125"/>
      <c r="TOB176" s="125"/>
      <c r="TOC176" s="125"/>
      <c r="TOD176" s="125"/>
      <c r="TOE176" s="125"/>
      <c r="TOF176" s="125"/>
      <c r="TOG176" s="125"/>
      <c r="TOH176" s="125"/>
      <c r="TOI176" s="125"/>
      <c r="TOJ176" s="125"/>
      <c r="TOK176" s="125"/>
      <c r="TOL176" s="125"/>
      <c r="TOM176" s="125"/>
      <c r="TON176" s="125"/>
      <c r="TOO176" s="125"/>
      <c r="TOP176" s="125"/>
      <c r="TOQ176" s="125"/>
      <c r="TOR176" s="125"/>
      <c r="TOS176" s="125"/>
      <c r="TOT176" s="125"/>
      <c r="TOU176" s="125"/>
      <c r="TOV176" s="125"/>
      <c r="TOW176" s="125"/>
      <c r="TOX176" s="125"/>
      <c r="TOY176" s="125"/>
      <c r="TOZ176" s="125"/>
      <c r="TPA176" s="125"/>
      <c r="TPB176" s="125"/>
      <c r="TPC176" s="125"/>
      <c r="TPD176" s="125"/>
      <c r="TPE176" s="125"/>
      <c r="TPF176" s="125"/>
      <c r="TPG176" s="125"/>
      <c r="TPH176" s="125"/>
      <c r="TPI176" s="125"/>
      <c r="TPJ176" s="125"/>
      <c r="TPK176" s="125"/>
      <c r="TPL176" s="125"/>
      <c r="TPM176" s="125"/>
      <c r="TPN176" s="125"/>
      <c r="TPO176" s="125"/>
      <c r="TPP176" s="125"/>
      <c r="TPQ176" s="125"/>
      <c r="TPR176" s="125"/>
      <c r="TPS176" s="125"/>
      <c r="TPT176" s="125"/>
      <c r="TPU176" s="125"/>
      <c r="TPV176" s="125"/>
      <c r="TPW176" s="125"/>
      <c r="TPX176" s="125"/>
      <c r="TPY176" s="125"/>
      <c r="TPZ176" s="125"/>
      <c r="TQA176" s="125"/>
      <c r="TQB176" s="125"/>
      <c r="TQC176" s="125"/>
      <c r="TQD176" s="125"/>
      <c r="TQE176" s="125"/>
      <c r="TQF176" s="125"/>
      <c r="TQG176" s="125"/>
      <c r="TQH176" s="125"/>
      <c r="TQI176" s="125"/>
      <c r="TQJ176" s="125"/>
      <c r="TQK176" s="125"/>
      <c r="TQL176" s="125"/>
      <c r="TQM176" s="125"/>
      <c r="TQN176" s="125"/>
      <c r="TQO176" s="125"/>
      <c r="TQP176" s="125"/>
      <c r="TQQ176" s="125"/>
      <c r="TQR176" s="125"/>
      <c r="TQS176" s="125"/>
      <c r="TQT176" s="125"/>
      <c r="TQU176" s="125"/>
      <c r="TQV176" s="125"/>
      <c r="TQW176" s="125"/>
      <c r="TQX176" s="125"/>
      <c r="TQY176" s="125"/>
      <c r="TQZ176" s="125"/>
      <c r="TRA176" s="125"/>
      <c r="TRB176" s="125"/>
      <c r="TRC176" s="125"/>
      <c r="TRD176" s="125"/>
      <c r="TRE176" s="125"/>
      <c r="TRF176" s="125"/>
      <c r="TRG176" s="125"/>
      <c r="TRH176" s="125"/>
      <c r="TRI176" s="125"/>
      <c r="TRJ176" s="125"/>
      <c r="TRK176" s="125"/>
      <c r="TRL176" s="125"/>
      <c r="TRM176" s="125"/>
      <c r="TRN176" s="125"/>
      <c r="TRO176" s="125"/>
      <c r="TRP176" s="125"/>
      <c r="TRQ176" s="125"/>
      <c r="TRR176" s="125"/>
      <c r="TRS176" s="125"/>
      <c r="TRT176" s="125"/>
      <c r="TRU176" s="125"/>
      <c r="TRV176" s="125"/>
      <c r="TRW176" s="125"/>
      <c r="TRX176" s="125"/>
      <c r="TRY176" s="125"/>
      <c r="TRZ176" s="125"/>
      <c r="TSA176" s="125"/>
      <c r="TSB176" s="125"/>
      <c r="TSC176" s="125"/>
      <c r="TSD176" s="125"/>
      <c r="TSE176" s="125"/>
      <c r="TSF176" s="125"/>
      <c r="TSG176" s="125"/>
      <c r="TSH176" s="125"/>
      <c r="TSI176" s="125"/>
      <c r="TSJ176" s="125"/>
      <c r="TSK176" s="125"/>
      <c r="TSL176" s="125"/>
      <c r="TSM176" s="125"/>
      <c r="TSN176" s="125"/>
      <c r="TSO176" s="125"/>
      <c r="TSP176" s="125"/>
      <c r="TSQ176" s="125"/>
      <c r="TSR176" s="125"/>
      <c r="TSS176" s="125"/>
      <c r="TST176" s="125"/>
      <c r="TSU176" s="125"/>
      <c r="TSV176" s="125"/>
      <c r="TSW176" s="125"/>
      <c r="TSX176" s="125"/>
      <c r="TSY176" s="125"/>
      <c r="TSZ176" s="125"/>
      <c r="TTA176" s="125"/>
      <c r="TTB176" s="125"/>
      <c r="TTC176" s="125"/>
      <c r="TTD176" s="125"/>
      <c r="TTE176" s="125"/>
      <c r="TTF176" s="125"/>
      <c r="TTG176" s="125"/>
      <c r="TTH176" s="125"/>
      <c r="TTI176" s="125"/>
      <c r="TTJ176" s="125"/>
      <c r="TTK176" s="125"/>
      <c r="TTL176" s="125"/>
      <c r="TTM176" s="125"/>
      <c r="TTN176" s="125"/>
      <c r="TTO176" s="125"/>
      <c r="TTP176" s="125"/>
      <c r="TTQ176" s="125"/>
      <c r="TTR176" s="125"/>
      <c r="TTS176" s="125"/>
      <c r="TTT176" s="125"/>
      <c r="TTU176" s="125"/>
      <c r="TTV176" s="125"/>
      <c r="TTW176" s="125"/>
      <c r="TTX176" s="125"/>
      <c r="TTY176" s="125"/>
      <c r="TTZ176" s="125"/>
      <c r="TUA176" s="125"/>
      <c r="TUB176" s="125"/>
      <c r="TUC176" s="125"/>
      <c r="TUD176" s="125"/>
      <c r="TUE176" s="125"/>
      <c r="TUF176" s="125"/>
      <c r="TUG176" s="125"/>
      <c r="TUH176" s="125"/>
      <c r="TUI176" s="125"/>
      <c r="TUJ176" s="125"/>
      <c r="TUK176" s="125"/>
      <c r="TUL176" s="125"/>
      <c r="TUM176" s="125"/>
      <c r="TUN176" s="125"/>
      <c r="TUO176" s="125"/>
      <c r="TUP176" s="125"/>
      <c r="TUQ176" s="125"/>
      <c r="TUR176" s="125"/>
      <c r="TUS176" s="125"/>
      <c r="TUT176" s="125"/>
      <c r="TUU176" s="125"/>
      <c r="TUV176" s="125"/>
      <c r="TUW176" s="125"/>
      <c r="TUX176" s="125"/>
      <c r="TUY176" s="125"/>
      <c r="TUZ176" s="125"/>
      <c r="TVA176" s="125"/>
      <c r="TVB176" s="125"/>
      <c r="TVC176" s="125"/>
      <c r="TVD176" s="125"/>
      <c r="TVE176" s="125"/>
      <c r="TVF176" s="125"/>
      <c r="TVG176" s="125"/>
      <c r="TVH176" s="125"/>
      <c r="TVI176" s="125"/>
      <c r="TVJ176" s="125"/>
      <c r="TVK176" s="125"/>
      <c r="TVL176" s="125"/>
      <c r="TVM176" s="125"/>
      <c r="TVN176" s="125"/>
      <c r="TVO176" s="125"/>
      <c r="TVP176" s="125"/>
      <c r="TVQ176" s="125"/>
      <c r="TVR176" s="125"/>
      <c r="TVS176" s="125"/>
      <c r="TVT176" s="125"/>
      <c r="TVU176" s="125"/>
      <c r="TVV176" s="125"/>
      <c r="TVW176" s="125"/>
      <c r="TVX176" s="125"/>
      <c r="TVY176" s="125"/>
      <c r="TVZ176" s="125"/>
      <c r="TWA176" s="125"/>
      <c r="TWB176" s="125"/>
      <c r="TWC176" s="125"/>
      <c r="TWD176" s="125"/>
      <c r="TWE176" s="125"/>
      <c r="TWF176" s="125"/>
      <c r="TWG176" s="125"/>
      <c r="TWH176" s="125"/>
      <c r="TWI176" s="125"/>
      <c r="TWJ176" s="125"/>
      <c r="TWK176" s="125"/>
      <c r="TWL176" s="125"/>
      <c r="TWM176" s="125"/>
      <c r="TWN176" s="125"/>
      <c r="TWO176" s="125"/>
      <c r="TWP176" s="125"/>
      <c r="TWQ176" s="125"/>
      <c r="TWR176" s="125"/>
      <c r="TWS176" s="125"/>
      <c r="TWT176" s="125"/>
      <c r="TWU176" s="125"/>
      <c r="TWV176" s="125"/>
      <c r="TWW176" s="125"/>
      <c r="TWX176" s="125"/>
      <c r="TWY176" s="125"/>
      <c r="TWZ176" s="125"/>
      <c r="TXA176" s="125"/>
      <c r="TXB176" s="125"/>
      <c r="TXC176" s="125"/>
      <c r="TXD176" s="125"/>
      <c r="TXE176" s="125"/>
      <c r="TXF176" s="125"/>
      <c r="TXG176" s="125"/>
      <c r="TXH176" s="125"/>
      <c r="TXI176" s="125"/>
      <c r="TXJ176" s="125"/>
      <c r="TXK176" s="125"/>
      <c r="TXL176" s="125"/>
      <c r="TXM176" s="125"/>
      <c r="TXN176" s="125"/>
      <c r="TXO176" s="125"/>
      <c r="TXP176" s="125"/>
      <c r="TXQ176" s="125"/>
      <c r="TXR176" s="125"/>
      <c r="TXS176" s="125"/>
      <c r="TXT176" s="125"/>
      <c r="TXU176" s="125"/>
      <c r="TXV176" s="125"/>
      <c r="TXW176" s="125"/>
      <c r="TXX176" s="125"/>
      <c r="TXY176" s="125"/>
      <c r="TXZ176" s="125"/>
      <c r="TYA176" s="125"/>
      <c r="TYB176" s="125"/>
      <c r="TYC176" s="125"/>
      <c r="TYD176" s="125"/>
      <c r="TYE176" s="125"/>
      <c r="TYF176" s="125"/>
      <c r="TYG176" s="125"/>
      <c r="TYH176" s="125"/>
      <c r="TYI176" s="125"/>
      <c r="TYJ176" s="125"/>
      <c r="TYK176" s="125"/>
      <c r="TYL176" s="125"/>
      <c r="TYM176" s="125"/>
      <c r="TYN176" s="125"/>
      <c r="TYO176" s="125"/>
      <c r="TYP176" s="125"/>
      <c r="TYQ176" s="125"/>
      <c r="TYR176" s="125"/>
      <c r="TYS176" s="125"/>
      <c r="TYT176" s="125"/>
      <c r="TYU176" s="125"/>
      <c r="TYV176" s="125"/>
      <c r="TYW176" s="125"/>
      <c r="TYX176" s="125"/>
      <c r="TYY176" s="125"/>
      <c r="TYZ176" s="125"/>
      <c r="TZA176" s="125"/>
      <c r="TZB176" s="125"/>
      <c r="TZC176" s="125"/>
      <c r="TZD176" s="125"/>
      <c r="TZE176" s="125"/>
      <c r="TZF176" s="125"/>
      <c r="TZG176" s="125"/>
      <c r="TZH176" s="125"/>
      <c r="TZI176" s="125"/>
      <c r="TZJ176" s="125"/>
      <c r="TZK176" s="125"/>
      <c r="TZL176" s="125"/>
      <c r="TZM176" s="125"/>
      <c r="TZN176" s="125"/>
      <c r="TZO176" s="125"/>
      <c r="TZP176" s="125"/>
      <c r="TZQ176" s="125"/>
      <c r="TZR176" s="125"/>
      <c r="TZS176" s="125"/>
      <c r="TZT176" s="125"/>
      <c r="TZU176" s="125"/>
      <c r="TZV176" s="125"/>
      <c r="TZW176" s="125"/>
      <c r="TZX176" s="125"/>
      <c r="TZY176" s="125"/>
      <c r="TZZ176" s="125"/>
      <c r="UAA176" s="125"/>
      <c r="UAB176" s="125"/>
      <c r="UAC176" s="125"/>
      <c r="UAD176" s="125"/>
      <c r="UAE176" s="125"/>
      <c r="UAF176" s="125"/>
      <c r="UAG176" s="125"/>
      <c r="UAH176" s="125"/>
      <c r="UAI176" s="125"/>
      <c r="UAJ176" s="125"/>
      <c r="UAK176" s="125"/>
      <c r="UAL176" s="125"/>
      <c r="UAM176" s="125"/>
      <c r="UAN176" s="125"/>
      <c r="UAO176" s="125"/>
      <c r="UAP176" s="125"/>
      <c r="UAQ176" s="125"/>
      <c r="UAR176" s="125"/>
      <c r="UAS176" s="125"/>
      <c r="UAT176" s="125"/>
      <c r="UAU176" s="125"/>
      <c r="UAV176" s="125"/>
      <c r="UAW176" s="125"/>
      <c r="UAX176" s="125"/>
      <c r="UAY176" s="125"/>
      <c r="UAZ176" s="125"/>
      <c r="UBA176" s="125"/>
      <c r="UBB176" s="125"/>
      <c r="UBC176" s="125"/>
      <c r="UBD176" s="125"/>
      <c r="UBE176" s="125"/>
      <c r="UBF176" s="125"/>
      <c r="UBG176" s="125"/>
      <c r="UBH176" s="125"/>
      <c r="UBI176" s="125"/>
      <c r="UBJ176" s="125"/>
      <c r="UBK176" s="125"/>
      <c r="UBL176" s="125"/>
      <c r="UBM176" s="125"/>
      <c r="UBN176" s="125"/>
      <c r="UBO176" s="125"/>
      <c r="UBP176" s="125"/>
      <c r="UBQ176" s="125"/>
      <c r="UBR176" s="125"/>
      <c r="UBS176" s="125"/>
      <c r="UBT176" s="125"/>
      <c r="UBU176" s="125"/>
      <c r="UBV176" s="125"/>
      <c r="UBW176" s="125"/>
      <c r="UBX176" s="125"/>
      <c r="UBY176" s="125"/>
      <c r="UBZ176" s="125"/>
      <c r="UCA176" s="125"/>
      <c r="UCB176" s="125"/>
      <c r="UCC176" s="125"/>
      <c r="UCD176" s="125"/>
      <c r="UCE176" s="125"/>
      <c r="UCF176" s="125"/>
      <c r="UCG176" s="125"/>
      <c r="UCH176" s="125"/>
      <c r="UCI176" s="125"/>
      <c r="UCJ176" s="125"/>
      <c r="UCK176" s="125"/>
      <c r="UCL176" s="125"/>
      <c r="UCM176" s="125"/>
      <c r="UCN176" s="125"/>
      <c r="UCO176" s="125"/>
      <c r="UCP176" s="125"/>
      <c r="UCQ176" s="125"/>
      <c r="UCR176" s="125"/>
      <c r="UCS176" s="125"/>
      <c r="UCT176" s="125"/>
      <c r="UCU176" s="125"/>
      <c r="UCV176" s="125"/>
      <c r="UCW176" s="125"/>
      <c r="UCX176" s="125"/>
      <c r="UCY176" s="125"/>
      <c r="UCZ176" s="125"/>
      <c r="UDA176" s="125"/>
      <c r="UDB176" s="125"/>
      <c r="UDC176" s="125"/>
      <c r="UDD176" s="125"/>
      <c r="UDE176" s="125"/>
      <c r="UDF176" s="125"/>
      <c r="UDG176" s="125"/>
      <c r="UDH176" s="125"/>
      <c r="UDI176" s="125"/>
      <c r="UDJ176" s="125"/>
      <c r="UDK176" s="125"/>
      <c r="UDL176" s="125"/>
      <c r="UDM176" s="125"/>
      <c r="UDN176" s="125"/>
      <c r="UDO176" s="125"/>
      <c r="UDP176" s="125"/>
      <c r="UDQ176" s="125"/>
      <c r="UDR176" s="125"/>
      <c r="UDS176" s="125"/>
      <c r="UDT176" s="125"/>
      <c r="UDU176" s="125"/>
      <c r="UDV176" s="125"/>
      <c r="UDW176" s="125"/>
      <c r="UDX176" s="125"/>
      <c r="UDY176" s="125"/>
      <c r="UDZ176" s="125"/>
      <c r="UEA176" s="125"/>
      <c r="UEB176" s="125"/>
      <c r="UEC176" s="125"/>
      <c r="UED176" s="125"/>
      <c r="UEE176" s="125"/>
      <c r="UEF176" s="125"/>
      <c r="UEG176" s="125"/>
      <c r="UEH176" s="125"/>
      <c r="UEI176" s="125"/>
      <c r="UEJ176" s="125"/>
      <c r="UEK176" s="125"/>
      <c r="UEL176" s="125"/>
      <c r="UEM176" s="125"/>
      <c r="UEN176" s="125"/>
      <c r="UEO176" s="125"/>
      <c r="UEP176" s="125"/>
      <c r="UEQ176" s="125"/>
      <c r="UER176" s="125"/>
      <c r="UES176" s="125"/>
      <c r="UET176" s="125"/>
      <c r="UEU176" s="125"/>
      <c r="UEV176" s="125"/>
      <c r="UEW176" s="125"/>
      <c r="UEX176" s="125"/>
      <c r="UEY176" s="125"/>
      <c r="UEZ176" s="125"/>
      <c r="UFA176" s="125"/>
      <c r="UFB176" s="125"/>
      <c r="UFC176" s="125"/>
      <c r="UFD176" s="125"/>
      <c r="UFE176" s="125"/>
      <c r="UFF176" s="125"/>
      <c r="UFG176" s="125"/>
      <c r="UFH176" s="125"/>
      <c r="UFI176" s="125"/>
      <c r="UFJ176" s="125"/>
      <c r="UFK176" s="125"/>
      <c r="UFL176" s="125"/>
      <c r="UFM176" s="125"/>
      <c r="UFN176" s="125"/>
      <c r="UFO176" s="125"/>
      <c r="UFP176" s="125"/>
      <c r="UFQ176" s="125"/>
      <c r="UFR176" s="125"/>
      <c r="UFS176" s="125"/>
      <c r="UFT176" s="125"/>
      <c r="UFU176" s="125"/>
      <c r="UFV176" s="125"/>
      <c r="UFW176" s="125"/>
      <c r="UFX176" s="125"/>
      <c r="UFY176" s="125"/>
      <c r="UFZ176" s="125"/>
      <c r="UGA176" s="125"/>
      <c r="UGB176" s="125"/>
      <c r="UGC176" s="125"/>
      <c r="UGD176" s="125"/>
      <c r="UGE176" s="125"/>
      <c r="UGF176" s="125"/>
      <c r="UGG176" s="125"/>
      <c r="UGH176" s="125"/>
      <c r="UGI176" s="125"/>
      <c r="UGJ176" s="125"/>
      <c r="UGK176" s="125"/>
      <c r="UGL176" s="125"/>
      <c r="UGM176" s="125"/>
      <c r="UGN176" s="125"/>
      <c r="UGO176" s="125"/>
      <c r="UGP176" s="125"/>
      <c r="UGQ176" s="125"/>
      <c r="UGR176" s="125"/>
      <c r="UGS176" s="125"/>
      <c r="UGT176" s="125"/>
      <c r="UGU176" s="125"/>
      <c r="UGV176" s="125"/>
      <c r="UGW176" s="125"/>
      <c r="UGX176" s="125"/>
      <c r="UGY176" s="125"/>
      <c r="UGZ176" s="125"/>
      <c r="UHA176" s="125"/>
      <c r="UHB176" s="125"/>
      <c r="UHC176" s="125"/>
      <c r="UHD176" s="125"/>
      <c r="UHE176" s="125"/>
      <c r="UHF176" s="125"/>
      <c r="UHG176" s="125"/>
      <c r="UHH176" s="125"/>
      <c r="UHI176" s="125"/>
      <c r="UHJ176" s="125"/>
      <c r="UHK176" s="125"/>
      <c r="UHL176" s="125"/>
      <c r="UHM176" s="125"/>
      <c r="UHN176" s="125"/>
      <c r="UHO176" s="125"/>
      <c r="UHP176" s="125"/>
      <c r="UHQ176" s="125"/>
      <c r="UHR176" s="125"/>
      <c r="UHS176" s="125"/>
      <c r="UHT176" s="125"/>
      <c r="UHU176" s="125"/>
      <c r="UHV176" s="125"/>
      <c r="UHW176" s="125"/>
      <c r="UHX176" s="125"/>
      <c r="UHY176" s="125"/>
      <c r="UHZ176" s="125"/>
      <c r="UIA176" s="125"/>
      <c r="UIB176" s="125"/>
      <c r="UIC176" s="125"/>
      <c r="UID176" s="125"/>
      <c r="UIE176" s="125"/>
      <c r="UIF176" s="125"/>
      <c r="UIG176" s="125"/>
      <c r="UIH176" s="125"/>
      <c r="UII176" s="125"/>
      <c r="UIJ176" s="125"/>
      <c r="UIK176" s="125"/>
      <c r="UIL176" s="125"/>
      <c r="UIM176" s="125"/>
      <c r="UIN176" s="125"/>
      <c r="UIO176" s="125"/>
      <c r="UIP176" s="125"/>
      <c r="UIQ176" s="125"/>
      <c r="UIR176" s="125"/>
      <c r="UIS176" s="125"/>
      <c r="UIT176" s="125"/>
      <c r="UIU176" s="125"/>
      <c r="UIV176" s="125"/>
      <c r="UIW176" s="125"/>
      <c r="UIX176" s="125"/>
      <c r="UIY176" s="125"/>
      <c r="UIZ176" s="125"/>
      <c r="UJA176" s="125"/>
      <c r="UJB176" s="125"/>
      <c r="UJC176" s="125"/>
      <c r="UJD176" s="125"/>
      <c r="UJE176" s="125"/>
      <c r="UJF176" s="125"/>
      <c r="UJG176" s="125"/>
      <c r="UJH176" s="125"/>
      <c r="UJI176" s="125"/>
      <c r="UJJ176" s="125"/>
      <c r="UJK176" s="125"/>
      <c r="UJL176" s="125"/>
      <c r="UJM176" s="125"/>
      <c r="UJN176" s="125"/>
      <c r="UJO176" s="125"/>
      <c r="UJP176" s="125"/>
      <c r="UJQ176" s="125"/>
      <c r="UJR176" s="125"/>
      <c r="UJS176" s="125"/>
      <c r="UJT176" s="125"/>
      <c r="UJU176" s="125"/>
      <c r="UJV176" s="125"/>
      <c r="UJW176" s="125"/>
      <c r="UJX176" s="125"/>
      <c r="UJY176" s="125"/>
      <c r="UJZ176" s="125"/>
      <c r="UKA176" s="125"/>
      <c r="UKB176" s="125"/>
      <c r="UKC176" s="125"/>
      <c r="UKD176" s="125"/>
      <c r="UKE176" s="125"/>
      <c r="UKF176" s="125"/>
      <c r="UKG176" s="125"/>
      <c r="UKH176" s="125"/>
      <c r="UKI176" s="125"/>
      <c r="UKJ176" s="125"/>
      <c r="UKK176" s="125"/>
      <c r="UKL176" s="125"/>
      <c r="UKM176" s="125"/>
      <c r="UKN176" s="125"/>
      <c r="UKO176" s="125"/>
      <c r="UKP176" s="125"/>
      <c r="UKQ176" s="125"/>
      <c r="UKR176" s="125"/>
      <c r="UKS176" s="125"/>
      <c r="UKT176" s="125"/>
      <c r="UKU176" s="125"/>
      <c r="UKV176" s="125"/>
      <c r="UKW176" s="125"/>
      <c r="UKX176" s="125"/>
      <c r="UKY176" s="125"/>
      <c r="UKZ176" s="125"/>
      <c r="ULA176" s="125"/>
      <c r="ULB176" s="125"/>
      <c r="ULC176" s="125"/>
      <c r="ULD176" s="125"/>
      <c r="ULE176" s="125"/>
      <c r="ULF176" s="125"/>
      <c r="ULG176" s="125"/>
      <c r="ULH176" s="125"/>
      <c r="ULI176" s="125"/>
      <c r="ULJ176" s="125"/>
      <c r="ULK176" s="125"/>
      <c r="ULL176" s="125"/>
      <c r="ULM176" s="125"/>
      <c r="ULN176" s="125"/>
      <c r="ULO176" s="125"/>
      <c r="ULP176" s="125"/>
      <c r="ULQ176" s="125"/>
      <c r="ULR176" s="125"/>
      <c r="ULS176" s="125"/>
      <c r="ULT176" s="125"/>
      <c r="ULU176" s="125"/>
      <c r="ULV176" s="125"/>
      <c r="ULW176" s="125"/>
      <c r="ULX176" s="125"/>
      <c r="ULY176" s="125"/>
      <c r="ULZ176" s="125"/>
      <c r="UMA176" s="125"/>
      <c r="UMB176" s="125"/>
      <c r="UMC176" s="125"/>
      <c r="UMD176" s="125"/>
      <c r="UME176" s="125"/>
      <c r="UMF176" s="125"/>
      <c r="UMG176" s="125"/>
      <c r="UMH176" s="125"/>
      <c r="UMI176" s="125"/>
      <c r="UMJ176" s="125"/>
      <c r="UMK176" s="125"/>
      <c r="UML176" s="125"/>
      <c r="UMM176" s="125"/>
      <c r="UMN176" s="125"/>
      <c r="UMO176" s="125"/>
      <c r="UMP176" s="125"/>
      <c r="UMQ176" s="125"/>
      <c r="UMR176" s="125"/>
      <c r="UMS176" s="125"/>
      <c r="UMT176" s="125"/>
      <c r="UMU176" s="125"/>
      <c r="UMV176" s="125"/>
      <c r="UMW176" s="125"/>
      <c r="UMX176" s="125"/>
      <c r="UMY176" s="125"/>
      <c r="UMZ176" s="125"/>
      <c r="UNA176" s="125"/>
      <c r="UNB176" s="125"/>
      <c r="UNC176" s="125"/>
      <c r="UND176" s="125"/>
      <c r="UNE176" s="125"/>
      <c r="UNF176" s="125"/>
      <c r="UNG176" s="125"/>
      <c r="UNH176" s="125"/>
      <c r="UNI176" s="125"/>
      <c r="UNJ176" s="125"/>
      <c r="UNK176" s="125"/>
      <c r="UNL176" s="125"/>
      <c r="UNM176" s="125"/>
      <c r="UNN176" s="125"/>
      <c r="UNO176" s="125"/>
      <c r="UNP176" s="125"/>
      <c r="UNQ176" s="125"/>
      <c r="UNR176" s="125"/>
      <c r="UNS176" s="125"/>
      <c r="UNT176" s="125"/>
      <c r="UNU176" s="125"/>
      <c r="UNV176" s="125"/>
      <c r="UNW176" s="125"/>
      <c r="UNX176" s="125"/>
      <c r="UNY176" s="125"/>
      <c r="UNZ176" s="125"/>
      <c r="UOA176" s="125"/>
      <c r="UOB176" s="125"/>
      <c r="UOC176" s="125"/>
      <c r="UOD176" s="125"/>
      <c r="UOE176" s="125"/>
      <c r="UOF176" s="125"/>
      <c r="UOG176" s="125"/>
      <c r="UOH176" s="125"/>
      <c r="UOI176" s="125"/>
      <c r="UOJ176" s="125"/>
      <c r="UOK176" s="125"/>
      <c r="UOL176" s="125"/>
      <c r="UOM176" s="125"/>
      <c r="UON176" s="125"/>
      <c r="UOO176" s="125"/>
      <c r="UOP176" s="125"/>
      <c r="UOQ176" s="125"/>
      <c r="UOR176" s="125"/>
      <c r="UOS176" s="125"/>
      <c r="UOT176" s="125"/>
      <c r="UOU176" s="125"/>
      <c r="UOV176" s="125"/>
      <c r="UOW176" s="125"/>
      <c r="UOX176" s="125"/>
      <c r="UOY176" s="125"/>
      <c r="UOZ176" s="125"/>
      <c r="UPA176" s="125"/>
      <c r="UPB176" s="125"/>
      <c r="UPC176" s="125"/>
      <c r="UPD176" s="125"/>
      <c r="UPE176" s="125"/>
      <c r="UPF176" s="125"/>
      <c r="UPG176" s="125"/>
      <c r="UPH176" s="125"/>
      <c r="UPI176" s="125"/>
      <c r="UPJ176" s="125"/>
      <c r="UPK176" s="125"/>
      <c r="UPL176" s="125"/>
      <c r="UPM176" s="125"/>
      <c r="UPN176" s="125"/>
      <c r="UPO176" s="125"/>
      <c r="UPP176" s="125"/>
      <c r="UPQ176" s="125"/>
      <c r="UPR176" s="125"/>
      <c r="UPS176" s="125"/>
      <c r="UPT176" s="125"/>
      <c r="UPU176" s="125"/>
      <c r="UPV176" s="125"/>
      <c r="UPW176" s="125"/>
      <c r="UPX176" s="125"/>
      <c r="UPY176" s="125"/>
      <c r="UPZ176" s="125"/>
      <c r="UQA176" s="125"/>
      <c r="UQB176" s="125"/>
      <c r="UQC176" s="125"/>
      <c r="UQD176" s="125"/>
      <c r="UQE176" s="125"/>
      <c r="UQF176" s="125"/>
      <c r="UQG176" s="125"/>
      <c r="UQH176" s="125"/>
      <c r="UQI176" s="125"/>
      <c r="UQJ176" s="125"/>
      <c r="UQK176" s="125"/>
      <c r="UQL176" s="125"/>
      <c r="UQM176" s="125"/>
      <c r="UQN176" s="125"/>
      <c r="UQO176" s="125"/>
      <c r="UQP176" s="125"/>
      <c r="UQQ176" s="125"/>
      <c r="UQR176" s="125"/>
      <c r="UQS176" s="125"/>
      <c r="UQT176" s="125"/>
      <c r="UQU176" s="125"/>
      <c r="UQV176" s="125"/>
      <c r="UQW176" s="125"/>
      <c r="UQX176" s="125"/>
      <c r="UQY176" s="125"/>
      <c r="UQZ176" s="125"/>
      <c r="URA176" s="125"/>
      <c r="URB176" s="125"/>
      <c r="URC176" s="125"/>
      <c r="URD176" s="125"/>
      <c r="URE176" s="125"/>
      <c r="URF176" s="125"/>
      <c r="URG176" s="125"/>
      <c r="URH176" s="125"/>
      <c r="URI176" s="125"/>
      <c r="URJ176" s="125"/>
      <c r="URK176" s="125"/>
      <c r="URL176" s="125"/>
      <c r="URM176" s="125"/>
      <c r="URN176" s="125"/>
      <c r="URO176" s="125"/>
      <c r="URP176" s="125"/>
      <c r="URQ176" s="125"/>
      <c r="URR176" s="125"/>
      <c r="URS176" s="125"/>
      <c r="URT176" s="125"/>
      <c r="URU176" s="125"/>
      <c r="URV176" s="125"/>
      <c r="URW176" s="125"/>
      <c r="URX176" s="125"/>
      <c r="URY176" s="125"/>
      <c r="URZ176" s="125"/>
      <c r="USA176" s="125"/>
      <c r="USB176" s="125"/>
      <c r="USC176" s="125"/>
      <c r="USD176" s="125"/>
      <c r="USE176" s="125"/>
      <c r="USF176" s="125"/>
      <c r="USG176" s="125"/>
      <c r="USH176" s="125"/>
      <c r="USI176" s="125"/>
      <c r="USJ176" s="125"/>
      <c r="USK176" s="125"/>
      <c r="USL176" s="125"/>
      <c r="USM176" s="125"/>
      <c r="USN176" s="125"/>
      <c r="USO176" s="125"/>
      <c r="USP176" s="125"/>
      <c r="USQ176" s="125"/>
      <c r="USR176" s="125"/>
      <c r="USS176" s="125"/>
      <c r="UST176" s="125"/>
      <c r="USU176" s="125"/>
      <c r="USV176" s="125"/>
      <c r="USW176" s="125"/>
      <c r="USX176" s="125"/>
      <c r="USY176" s="125"/>
      <c r="USZ176" s="125"/>
      <c r="UTA176" s="125"/>
      <c r="UTB176" s="125"/>
      <c r="UTC176" s="125"/>
      <c r="UTD176" s="125"/>
      <c r="UTE176" s="125"/>
      <c r="UTF176" s="125"/>
      <c r="UTG176" s="125"/>
      <c r="UTH176" s="125"/>
      <c r="UTI176" s="125"/>
      <c r="UTJ176" s="125"/>
      <c r="UTK176" s="125"/>
      <c r="UTL176" s="125"/>
      <c r="UTM176" s="125"/>
      <c r="UTN176" s="125"/>
      <c r="UTO176" s="125"/>
      <c r="UTP176" s="125"/>
      <c r="UTQ176" s="125"/>
      <c r="UTR176" s="125"/>
      <c r="UTS176" s="125"/>
      <c r="UTT176" s="125"/>
      <c r="UTU176" s="125"/>
      <c r="UTV176" s="125"/>
      <c r="UTW176" s="125"/>
      <c r="UTX176" s="125"/>
      <c r="UTY176" s="125"/>
      <c r="UTZ176" s="125"/>
      <c r="UUA176" s="125"/>
      <c r="UUB176" s="125"/>
      <c r="UUC176" s="125"/>
      <c r="UUD176" s="125"/>
      <c r="UUE176" s="125"/>
      <c r="UUF176" s="125"/>
      <c r="UUG176" s="125"/>
      <c r="UUH176" s="125"/>
      <c r="UUI176" s="125"/>
      <c r="UUJ176" s="125"/>
      <c r="UUK176" s="125"/>
      <c r="UUL176" s="125"/>
      <c r="UUM176" s="125"/>
      <c r="UUN176" s="125"/>
      <c r="UUO176" s="125"/>
      <c r="UUP176" s="125"/>
      <c r="UUQ176" s="125"/>
      <c r="UUR176" s="125"/>
      <c r="UUS176" s="125"/>
      <c r="UUT176" s="125"/>
      <c r="UUU176" s="125"/>
      <c r="UUV176" s="125"/>
      <c r="UUW176" s="125"/>
      <c r="UUX176" s="125"/>
      <c r="UUY176" s="125"/>
      <c r="UUZ176" s="125"/>
      <c r="UVA176" s="125"/>
      <c r="UVB176" s="125"/>
      <c r="UVC176" s="125"/>
      <c r="UVD176" s="125"/>
      <c r="UVE176" s="125"/>
      <c r="UVF176" s="125"/>
      <c r="UVG176" s="125"/>
      <c r="UVH176" s="125"/>
      <c r="UVI176" s="125"/>
      <c r="UVJ176" s="125"/>
      <c r="UVK176" s="125"/>
      <c r="UVL176" s="125"/>
      <c r="UVM176" s="125"/>
      <c r="UVN176" s="125"/>
      <c r="UVO176" s="125"/>
      <c r="UVP176" s="125"/>
      <c r="UVQ176" s="125"/>
      <c r="UVR176" s="125"/>
      <c r="UVS176" s="125"/>
      <c r="UVT176" s="125"/>
      <c r="UVU176" s="125"/>
      <c r="UVV176" s="125"/>
      <c r="UVW176" s="125"/>
      <c r="UVX176" s="125"/>
      <c r="UVY176" s="125"/>
      <c r="UVZ176" s="125"/>
      <c r="UWA176" s="125"/>
      <c r="UWB176" s="125"/>
      <c r="UWC176" s="125"/>
      <c r="UWD176" s="125"/>
      <c r="UWE176" s="125"/>
      <c r="UWF176" s="125"/>
      <c r="UWG176" s="125"/>
      <c r="UWH176" s="125"/>
      <c r="UWI176" s="125"/>
      <c r="UWJ176" s="125"/>
      <c r="UWK176" s="125"/>
      <c r="UWL176" s="125"/>
      <c r="UWM176" s="125"/>
      <c r="UWN176" s="125"/>
      <c r="UWO176" s="125"/>
      <c r="UWP176" s="125"/>
      <c r="UWQ176" s="125"/>
      <c r="UWR176" s="125"/>
      <c r="UWS176" s="125"/>
      <c r="UWT176" s="125"/>
      <c r="UWU176" s="125"/>
      <c r="UWV176" s="125"/>
      <c r="UWW176" s="125"/>
      <c r="UWX176" s="125"/>
      <c r="UWY176" s="125"/>
      <c r="UWZ176" s="125"/>
      <c r="UXA176" s="125"/>
      <c r="UXB176" s="125"/>
      <c r="UXC176" s="125"/>
      <c r="UXD176" s="125"/>
      <c r="UXE176" s="125"/>
      <c r="UXF176" s="125"/>
      <c r="UXG176" s="125"/>
      <c r="UXH176" s="125"/>
      <c r="UXI176" s="125"/>
      <c r="UXJ176" s="125"/>
      <c r="UXK176" s="125"/>
      <c r="UXL176" s="125"/>
      <c r="UXM176" s="125"/>
      <c r="UXN176" s="125"/>
      <c r="UXO176" s="125"/>
      <c r="UXP176" s="125"/>
      <c r="UXQ176" s="125"/>
      <c r="UXR176" s="125"/>
      <c r="UXS176" s="125"/>
      <c r="UXT176" s="125"/>
      <c r="UXU176" s="125"/>
      <c r="UXV176" s="125"/>
      <c r="UXW176" s="125"/>
      <c r="UXX176" s="125"/>
      <c r="UXY176" s="125"/>
      <c r="UXZ176" s="125"/>
      <c r="UYA176" s="125"/>
      <c r="UYB176" s="125"/>
      <c r="UYC176" s="125"/>
      <c r="UYD176" s="125"/>
      <c r="UYE176" s="125"/>
      <c r="UYF176" s="125"/>
      <c r="UYG176" s="125"/>
      <c r="UYH176" s="125"/>
      <c r="UYI176" s="125"/>
      <c r="UYJ176" s="125"/>
      <c r="UYK176" s="125"/>
      <c r="UYL176" s="125"/>
      <c r="UYM176" s="125"/>
      <c r="UYN176" s="125"/>
      <c r="UYO176" s="125"/>
      <c r="UYP176" s="125"/>
      <c r="UYQ176" s="125"/>
      <c r="UYR176" s="125"/>
      <c r="UYS176" s="125"/>
      <c r="UYT176" s="125"/>
      <c r="UYU176" s="125"/>
      <c r="UYV176" s="125"/>
      <c r="UYW176" s="125"/>
      <c r="UYX176" s="125"/>
      <c r="UYY176" s="125"/>
      <c r="UYZ176" s="125"/>
      <c r="UZA176" s="125"/>
      <c r="UZB176" s="125"/>
      <c r="UZC176" s="125"/>
      <c r="UZD176" s="125"/>
      <c r="UZE176" s="125"/>
      <c r="UZF176" s="125"/>
      <c r="UZG176" s="125"/>
      <c r="UZH176" s="125"/>
      <c r="UZI176" s="125"/>
      <c r="UZJ176" s="125"/>
      <c r="UZK176" s="125"/>
      <c r="UZL176" s="125"/>
      <c r="UZM176" s="125"/>
      <c r="UZN176" s="125"/>
      <c r="UZO176" s="125"/>
      <c r="UZP176" s="125"/>
      <c r="UZQ176" s="125"/>
      <c r="UZR176" s="125"/>
      <c r="UZS176" s="125"/>
      <c r="UZT176" s="125"/>
      <c r="UZU176" s="125"/>
      <c r="UZV176" s="125"/>
      <c r="UZW176" s="125"/>
      <c r="UZX176" s="125"/>
      <c r="UZY176" s="125"/>
      <c r="UZZ176" s="125"/>
      <c r="VAA176" s="125"/>
      <c r="VAB176" s="125"/>
      <c r="VAC176" s="125"/>
      <c r="VAD176" s="125"/>
      <c r="VAE176" s="125"/>
      <c r="VAF176" s="125"/>
      <c r="VAG176" s="125"/>
      <c r="VAH176" s="125"/>
      <c r="VAI176" s="125"/>
      <c r="VAJ176" s="125"/>
      <c r="VAK176" s="125"/>
      <c r="VAL176" s="125"/>
      <c r="VAM176" s="125"/>
      <c r="VAN176" s="125"/>
      <c r="VAO176" s="125"/>
      <c r="VAP176" s="125"/>
      <c r="VAQ176" s="125"/>
      <c r="VAR176" s="125"/>
      <c r="VAS176" s="125"/>
      <c r="VAT176" s="125"/>
      <c r="VAU176" s="125"/>
      <c r="VAV176" s="125"/>
      <c r="VAW176" s="125"/>
      <c r="VAX176" s="125"/>
      <c r="VAY176" s="125"/>
      <c r="VAZ176" s="125"/>
      <c r="VBA176" s="125"/>
      <c r="VBB176" s="125"/>
      <c r="VBC176" s="125"/>
      <c r="VBD176" s="125"/>
      <c r="VBE176" s="125"/>
      <c r="VBF176" s="125"/>
      <c r="VBG176" s="125"/>
      <c r="VBH176" s="125"/>
      <c r="VBI176" s="125"/>
      <c r="VBJ176" s="125"/>
      <c r="VBK176" s="125"/>
      <c r="VBL176" s="125"/>
      <c r="VBM176" s="125"/>
      <c r="VBN176" s="125"/>
      <c r="VBO176" s="125"/>
      <c r="VBP176" s="125"/>
      <c r="VBQ176" s="125"/>
      <c r="VBR176" s="125"/>
      <c r="VBS176" s="125"/>
      <c r="VBT176" s="125"/>
      <c r="VBU176" s="125"/>
      <c r="VBV176" s="125"/>
      <c r="VBW176" s="125"/>
      <c r="VBX176" s="125"/>
      <c r="VBY176" s="125"/>
      <c r="VBZ176" s="125"/>
      <c r="VCA176" s="125"/>
      <c r="VCB176" s="125"/>
      <c r="VCC176" s="125"/>
      <c r="VCD176" s="125"/>
      <c r="VCE176" s="125"/>
      <c r="VCF176" s="125"/>
      <c r="VCG176" s="125"/>
      <c r="VCH176" s="125"/>
      <c r="VCI176" s="125"/>
      <c r="VCJ176" s="125"/>
      <c r="VCK176" s="125"/>
      <c r="VCL176" s="125"/>
      <c r="VCM176" s="125"/>
      <c r="VCN176" s="125"/>
      <c r="VCO176" s="125"/>
      <c r="VCP176" s="125"/>
      <c r="VCQ176" s="125"/>
      <c r="VCR176" s="125"/>
      <c r="VCS176" s="125"/>
      <c r="VCT176" s="125"/>
      <c r="VCU176" s="125"/>
      <c r="VCV176" s="125"/>
      <c r="VCW176" s="125"/>
      <c r="VCX176" s="125"/>
      <c r="VCY176" s="125"/>
      <c r="VCZ176" s="125"/>
      <c r="VDA176" s="125"/>
      <c r="VDB176" s="125"/>
      <c r="VDC176" s="125"/>
      <c r="VDD176" s="125"/>
      <c r="VDE176" s="125"/>
      <c r="VDF176" s="125"/>
      <c r="VDG176" s="125"/>
      <c r="VDH176" s="125"/>
      <c r="VDI176" s="125"/>
      <c r="VDJ176" s="125"/>
      <c r="VDK176" s="125"/>
      <c r="VDL176" s="125"/>
      <c r="VDM176" s="125"/>
      <c r="VDN176" s="125"/>
      <c r="VDO176" s="125"/>
      <c r="VDP176" s="125"/>
      <c r="VDQ176" s="125"/>
      <c r="VDR176" s="125"/>
      <c r="VDS176" s="125"/>
      <c r="VDT176" s="125"/>
      <c r="VDU176" s="125"/>
      <c r="VDV176" s="125"/>
      <c r="VDW176" s="125"/>
      <c r="VDX176" s="125"/>
      <c r="VDY176" s="125"/>
      <c r="VDZ176" s="125"/>
      <c r="VEA176" s="125"/>
      <c r="VEB176" s="125"/>
      <c r="VEC176" s="125"/>
      <c r="VED176" s="125"/>
      <c r="VEE176" s="125"/>
      <c r="VEF176" s="125"/>
      <c r="VEG176" s="125"/>
      <c r="VEH176" s="125"/>
      <c r="VEI176" s="125"/>
      <c r="VEJ176" s="125"/>
      <c r="VEK176" s="125"/>
      <c r="VEL176" s="125"/>
      <c r="VEM176" s="125"/>
      <c r="VEN176" s="125"/>
      <c r="VEO176" s="125"/>
      <c r="VEP176" s="125"/>
      <c r="VEQ176" s="125"/>
      <c r="VER176" s="125"/>
      <c r="VES176" s="125"/>
      <c r="VET176" s="125"/>
      <c r="VEU176" s="125"/>
      <c r="VEV176" s="125"/>
      <c r="VEW176" s="125"/>
      <c r="VEX176" s="125"/>
      <c r="VEY176" s="125"/>
      <c r="VEZ176" s="125"/>
      <c r="VFA176" s="125"/>
      <c r="VFB176" s="125"/>
      <c r="VFC176" s="125"/>
      <c r="VFD176" s="125"/>
      <c r="VFE176" s="125"/>
      <c r="VFF176" s="125"/>
      <c r="VFG176" s="125"/>
      <c r="VFH176" s="125"/>
      <c r="VFI176" s="125"/>
      <c r="VFJ176" s="125"/>
      <c r="VFK176" s="125"/>
      <c r="VFL176" s="125"/>
      <c r="VFM176" s="125"/>
      <c r="VFN176" s="125"/>
      <c r="VFO176" s="125"/>
      <c r="VFP176" s="125"/>
      <c r="VFQ176" s="125"/>
      <c r="VFR176" s="125"/>
      <c r="VFS176" s="125"/>
      <c r="VFT176" s="125"/>
      <c r="VFU176" s="125"/>
      <c r="VFV176" s="125"/>
      <c r="VFW176" s="125"/>
      <c r="VFX176" s="125"/>
      <c r="VFY176" s="125"/>
      <c r="VFZ176" s="125"/>
      <c r="VGA176" s="125"/>
      <c r="VGB176" s="125"/>
      <c r="VGC176" s="125"/>
      <c r="VGD176" s="125"/>
      <c r="VGE176" s="125"/>
      <c r="VGF176" s="125"/>
      <c r="VGG176" s="125"/>
      <c r="VGH176" s="125"/>
      <c r="VGI176" s="125"/>
      <c r="VGJ176" s="125"/>
      <c r="VGK176" s="125"/>
      <c r="VGL176" s="125"/>
      <c r="VGM176" s="125"/>
      <c r="VGN176" s="125"/>
      <c r="VGO176" s="125"/>
      <c r="VGP176" s="125"/>
      <c r="VGQ176" s="125"/>
      <c r="VGR176" s="125"/>
      <c r="VGS176" s="125"/>
      <c r="VGT176" s="125"/>
      <c r="VGU176" s="125"/>
      <c r="VGV176" s="125"/>
      <c r="VGW176" s="125"/>
      <c r="VGX176" s="125"/>
      <c r="VGY176" s="125"/>
      <c r="VGZ176" s="125"/>
      <c r="VHA176" s="125"/>
      <c r="VHB176" s="125"/>
      <c r="VHC176" s="125"/>
      <c r="VHD176" s="125"/>
      <c r="VHE176" s="125"/>
      <c r="VHF176" s="125"/>
      <c r="VHG176" s="125"/>
      <c r="VHH176" s="125"/>
      <c r="VHI176" s="125"/>
      <c r="VHJ176" s="125"/>
      <c r="VHK176" s="125"/>
      <c r="VHL176" s="125"/>
      <c r="VHM176" s="125"/>
      <c r="VHN176" s="125"/>
      <c r="VHO176" s="125"/>
      <c r="VHP176" s="125"/>
      <c r="VHQ176" s="125"/>
      <c r="VHR176" s="125"/>
      <c r="VHS176" s="125"/>
      <c r="VHT176" s="125"/>
      <c r="VHU176" s="125"/>
      <c r="VHV176" s="125"/>
      <c r="VHW176" s="125"/>
      <c r="VHX176" s="125"/>
      <c r="VHY176" s="125"/>
      <c r="VHZ176" s="125"/>
      <c r="VIA176" s="125"/>
      <c r="VIB176" s="125"/>
      <c r="VIC176" s="125"/>
      <c r="VID176" s="125"/>
      <c r="VIE176" s="125"/>
      <c r="VIF176" s="125"/>
      <c r="VIG176" s="125"/>
      <c r="VIH176" s="125"/>
      <c r="VII176" s="125"/>
      <c r="VIJ176" s="125"/>
      <c r="VIK176" s="125"/>
      <c r="VIL176" s="125"/>
      <c r="VIM176" s="125"/>
      <c r="VIN176" s="125"/>
      <c r="VIO176" s="125"/>
      <c r="VIP176" s="125"/>
      <c r="VIQ176" s="125"/>
      <c r="VIR176" s="125"/>
      <c r="VIS176" s="125"/>
      <c r="VIT176" s="125"/>
      <c r="VIU176" s="125"/>
      <c r="VIV176" s="125"/>
      <c r="VIW176" s="125"/>
      <c r="VIX176" s="125"/>
      <c r="VIY176" s="125"/>
      <c r="VIZ176" s="125"/>
      <c r="VJA176" s="125"/>
      <c r="VJB176" s="125"/>
      <c r="VJC176" s="125"/>
      <c r="VJD176" s="125"/>
      <c r="VJE176" s="125"/>
      <c r="VJF176" s="125"/>
      <c r="VJG176" s="125"/>
      <c r="VJH176" s="125"/>
      <c r="VJI176" s="125"/>
      <c r="VJJ176" s="125"/>
      <c r="VJK176" s="125"/>
      <c r="VJL176" s="125"/>
      <c r="VJM176" s="125"/>
      <c r="VJN176" s="125"/>
      <c r="VJO176" s="125"/>
      <c r="VJP176" s="125"/>
      <c r="VJQ176" s="125"/>
      <c r="VJR176" s="125"/>
      <c r="VJS176" s="125"/>
      <c r="VJT176" s="125"/>
      <c r="VJU176" s="125"/>
      <c r="VJV176" s="125"/>
      <c r="VJW176" s="125"/>
      <c r="VJX176" s="125"/>
      <c r="VJY176" s="125"/>
      <c r="VJZ176" s="125"/>
      <c r="VKA176" s="125"/>
      <c r="VKB176" s="125"/>
      <c r="VKC176" s="125"/>
      <c r="VKD176" s="125"/>
      <c r="VKE176" s="125"/>
      <c r="VKF176" s="125"/>
      <c r="VKG176" s="125"/>
      <c r="VKH176" s="125"/>
      <c r="VKI176" s="125"/>
      <c r="VKJ176" s="125"/>
      <c r="VKK176" s="125"/>
      <c r="VKL176" s="125"/>
      <c r="VKM176" s="125"/>
      <c r="VKN176" s="125"/>
      <c r="VKO176" s="125"/>
      <c r="VKP176" s="125"/>
      <c r="VKQ176" s="125"/>
      <c r="VKR176" s="125"/>
      <c r="VKS176" s="125"/>
      <c r="VKT176" s="125"/>
      <c r="VKU176" s="125"/>
      <c r="VKV176" s="125"/>
      <c r="VKW176" s="125"/>
      <c r="VKX176" s="125"/>
      <c r="VKY176" s="125"/>
      <c r="VKZ176" s="125"/>
      <c r="VLA176" s="125"/>
      <c r="VLB176" s="125"/>
      <c r="VLC176" s="125"/>
      <c r="VLD176" s="125"/>
      <c r="VLE176" s="125"/>
      <c r="VLF176" s="125"/>
      <c r="VLG176" s="125"/>
      <c r="VLH176" s="125"/>
      <c r="VLI176" s="125"/>
      <c r="VLJ176" s="125"/>
      <c r="VLK176" s="125"/>
      <c r="VLL176" s="125"/>
      <c r="VLM176" s="125"/>
      <c r="VLN176" s="125"/>
      <c r="VLO176" s="125"/>
      <c r="VLP176" s="125"/>
      <c r="VLQ176" s="125"/>
      <c r="VLR176" s="125"/>
      <c r="VLS176" s="125"/>
      <c r="VLT176" s="125"/>
      <c r="VLU176" s="125"/>
      <c r="VLV176" s="125"/>
      <c r="VLW176" s="125"/>
      <c r="VLX176" s="125"/>
      <c r="VLY176" s="125"/>
      <c r="VLZ176" s="125"/>
      <c r="VMA176" s="125"/>
      <c r="VMB176" s="125"/>
      <c r="VMC176" s="125"/>
      <c r="VMD176" s="125"/>
      <c r="VME176" s="125"/>
      <c r="VMF176" s="125"/>
      <c r="VMG176" s="125"/>
      <c r="VMH176" s="125"/>
      <c r="VMI176" s="125"/>
      <c r="VMJ176" s="125"/>
      <c r="VMK176" s="125"/>
      <c r="VML176" s="125"/>
      <c r="VMM176" s="125"/>
      <c r="VMN176" s="125"/>
      <c r="VMO176" s="125"/>
      <c r="VMP176" s="125"/>
      <c r="VMQ176" s="125"/>
      <c r="VMR176" s="125"/>
      <c r="VMS176" s="125"/>
      <c r="VMT176" s="125"/>
      <c r="VMU176" s="125"/>
      <c r="VMV176" s="125"/>
      <c r="VMW176" s="125"/>
      <c r="VMX176" s="125"/>
      <c r="VMY176" s="125"/>
      <c r="VMZ176" s="125"/>
      <c r="VNA176" s="125"/>
      <c r="VNB176" s="125"/>
      <c r="VNC176" s="125"/>
      <c r="VND176" s="125"/>
      <c r="VNE176" s="125"/>
      <c r="VNF176" s="125"/>
      <c r="VNG176" s="125"/>
      <c r="VNH176" s="125"/>
      <c r="VNI176" s="125"/>
      <c r="VNJ176" s="125"/>
      <c r="VNK176" s="125"/>
      <c r="VNL176" s="125"/>
      <c r="VNM176" s="125"/>
      <c r="VNN176" s="125"/>
      <c r="VNO176" s="125"/>
      <c r="VNP176" s="125"/>
      <c r="VNQ176" s="125"/>
      <c r="VNR176" s="125"/>
      <c r="VNS176" s="125"/>
      <c r="VNT176" s="125"/>
      <c r="VNU176" s="125"/>
      <c r="VNV176" s="125"/>
      <c r="VNW176" s="125"/>
      <c r="VNX176" s="125"/>
      <c r="VNY176" s="125"/>
      <c r="VNZ176" s="125"/>
      <c r="VOA176" s="125"/>
      <c r="VOB176" s="125"/>
      <c r="VOC176" s="125"/>
      <c r="VOD176" s="125"/>
      <c r="VOE176" s="125"/>
      <c r="VOF176" s="125"/>
      <c r="VOG176" s="125"/>
      <c r="VOH176" s="125"/>
      <c r="VOI176" s="125"/>
      <c r="VOJ176" s="125"/>
      <c r="VOK176" s="125"/>
      <c r="VOL176" s="125"/>
      <c r="VOM176" s="125"/>
      <c r="VON176" s="125"/>
      <c r="VOO176" s="125"/>
      <c r="VOP176" s="125"/>
      <c r="VOQ176" s="125"/>
      <c r="VOR176" s="125"/>
      <c r="VOS176" s="125"/>
      <c r="VOT176" s="125"/>
      <c r="VOU176" s="125"/>
      <c r="VOV176" s="125"/>
      <c r="VOW176" s="125"/>
      <c r="VOX176" s="125"/>
      <c r="VOY176" s="125"/>
      <c r="VOZ176" s="125"/>
      <c r="VPA176" s="125"/>
      <c r="VPB176" s="125"/>
      <c r="VPC176" s="125"/>
      <c r="VPD176" s="125"/>
      <c r="VPE176" s="125"/>
      <c r="VPF176" s="125"/>
      <c r="VPG176" s="125"/>
      <c r="VPH176" s="125"/>
      <c r="VPI176" s="125"/>
      <c r="VPJ176" s="125"/>
      <c r="VPK176" s="125"/>
      <c r="VPL176" s="125"/>
      <c r="VPM176" s="125"/>
      <c r="VPN176" s="125"/>
      <c r="VPO176" s="125"/>
      <c r="VPP176" s="125"/>
      <c r="VPQ176" s="125"/>
      <c r="VPR176" s="125"/>
      <c r="VPS176" s="125"/>
      <c r="VPT176" s="125"/>
      <c r="VPU176" s="125"/>
      <c r="VPV176" s="125"/>
      <c r="VPW176" s="125"/>
      <c r="VPX176" s="125"/>
      <c r="VPY176" s="125"/>
      <c r="VPZ176" s="125"/>
      <c r="VQA176" s="125"/>
      <c r="VQB176" s="125"/>
      <c r="VQC176" s="125"/>
      <c r="VQD176" s="125"/>
      <c r="VQE176" s="125"/>
      <c r="VQF176" s="125"/>
      <c r="VQG176" s="125"/>
      <c r="VQH176" s="125"/>
      <c r="VQI176" s="125"/>
      <c r="VQJ176" s="125"/>
      <c r="VQK176" s="125"/>
      <c r="VQL176" s="125"/>
      <c r="VQM176" s="125"/>
      <c r="VQN176" s="125"/>
      <c r="VQO176" s="125"/>
      <c r="VQP176" s="125"/>
      <c r="VQQ176" s="125"/>
      <c r="VQR176" s="125"/>
      <c r="VQS176" s="125"/>
      <c r="VQT176" s="125"/>
      <c r="VQU176" s="125"/>
      <c r="VQV176" s="125"/>
      <c r="VQW176" s="125"/>
      <c r="VQX176" s="125"/>
      <c r="VQY176" s="125"/>
      <c r="VQZ176" s="125"/>
      <c r="VRA176" s="125"/>
      <c r="VRB176" s="125"/>
      <c r="VRC176" s="125"/>
      <c r="VRD176" s="125"/>
      <c r="VRE176" s="125"/>
      <c r="VRF176" s="125"/>
      <c r="VRG176" s="125"/>
      <c r="VRH176" s="125"/>
      <c r="VRI176" s="125"/>
      <c r="VRJ176" s="125"/>
      <c r="VRK176" s="125"/>
      <c r="VRL176" s="125"/>
      <c r="VRM176" s="125"/>
      <c r="VRN176" s="125"/>
      <c r="VRO176" s="125"/>
      <c r="VRP176" s="125"/>
      <c r="VRQ176" s="125"/>
      <c r="VRR176" s="125"/>
      <c r="VRS176" s="125"/>
      <c r="VRT176" s="125"/>
      <c r="VRU176" s="125"/>
      <c r="VRV176" s="125"/>
      <c r="VRW176" s="125"/>
      <c r="VRX176" s="125"/>
      <c r="VRY176" s="125"/>
      <c r="VRZ176" s="125"/>
      <c r="VSA176" s="125"/>
      <c r="VSB176" s="125"/>
      <c r="VSC176" s="125"/>
      <c r="VSD176" s="125"/>
      <c r="VSE176" s="125"/>
      <c r="VSF176" s="125"/>
      <c r="VSG176" s="125"/>
      <c r="VSH176" s="125"/>
      <c r="VSI176" s="125"/>
      <c r="VSJ176" s="125"/>
      <c r="VSK176" s="125"/>
      <c r="VSL176" s="125"/>
      <c r="VSM176" s="125"/>
      <c r="VSN176" s="125"/>
      <c r="VSO176" s="125"/>
      <c r="VSP176" s="125"/>
      <c r="VSQ176" s="125"/>
      <c r="VSR176" s="125"/>
      <c r="VSS176" s="125"/>
      <c r="VST176" s="125"/>
      <c r="VSU176" s="125"/>
      <c r="VSV176" s="125"/>
      <c r="VSW176" s="125"/>
      <c r="VSX176" s="125"/>
      <c r="VSY176" s="125"/>
      <c r="VSZ176" s="125"/>
      <c r="VTA176" s="125"/>
      <c r="VTB176" s="125"/>
      <c r="VTC176" s="125"/>
      <c r="VTD176" s="125"/>
      <c r="VTE176" s="125"/>
      <c r="VTF176" s="125"/>
      <c r="VTG176" s="125"/>
      <c r="VTH176" s="125"/>
      <c r="VTI176" s="125"/>
      <c r="VTJ176" s="125"/>
      <c r="VTK176" s="125"/>
      <c r="VTL176" s="125"/>
      <c r="VTM176" s="125"/>
      <c r="VTN176" s="125"/>
      <c r="VTO176" s="125"/>
      <c r="VTP176" s="125"/>
      <c r="VTQ176" s="125"/>
      <c r="VTR176" s="125"/>
      <c r="VTS176" s="125"/>
      <c r="VTT176" s="125"/>
      <c r="VTU176" s="125"/>
      <c r="VTV176" s="125"/>
      <c r="VTW176" s="125"/>
      <c r="VTX176" s="125"/>
      <c r="VTY176" s="125"/>
      <c r="VTZ176" s="125"/>
      <c r="VUA176" s="125"/>
      <c r="VUB176" s="125"/>
      <c r="VUC176" s="125"/>
      <c r="VUD176" s="125"/>
      <c r="VUE176" s="125"/>
      <c r="VUF176" s="125"/>
      <c r="VUG176" s="125"/>
      <c r="VUH176" s="125"/>
      <c r="VUI176" s="125"/>
      <c r="VUJ176" s="125"/>
      <c r="VUK176" s="125"/>
      <c r="VUL176" s="125"/>
      <c r="VUM176" s="125"/>
      <c r="VUN176" s="125"/>
      <c r="VUO176" s="125"/>
      <c r="VUP176" s="125"/>
      <c r="VUQ176" s="125"/>
      <c r="VUR176" s="125"/>
      <c r="VUS176" s="125"/>
      <c r="VUT176" s="125"/>
      <c r="VUU176" s="125"/>
      <c r="VUV176" s="125"/>
      <c r="VUW176" s="125"/>
      <c r="VUX176" s="125"/>
      <c r="VUY176" s="125"/>
      <c r="VUZ176" s="125"/>
      <c r="VVA176" s="125"/>
      <c r="VVB176" s="125"/>
      <c r="VVC176" s="125"/>
      <c r="VVD176" s="125"/>
      <c r="VVE176" s="125"/>
      <c r="VVF176" s="125"/>
      <c r="VVG176" s="125"/>
      <c r="VVH176" s="125"/>
      <c r="VVI176" s="125"/>
      <c r="VVJ176" s="125"/>
      <c r="VVK176" s="125"/>
      <c r="VVL176" s="125"/>
      <c r="VVM176" s="125"/>
      <c r="VVN176" s="125"/>
      <c r="VVO176" s="125"/>
      <c r="VVP176" s="125"/>
      <c r="VVQ176" s="125"/>
      <c r="VVR176" s="125"/>
      <c r="VVS176" s="125"/>
      <c r="VVT176" s="125"/>
      <c r="VVU176" s="125"/>
      <c r="VVV176" s="125"/>
      <c r="VVW176" s="125"/>
      <c r="VVX176" s="125"/>
      <c r="VVY176" s="125"/>
      <c r="VVZ176" s="125"/>
      <c r="VWA176" s="125"/>
      <c r="VWB176" s="125"/>
      <c r="VWC176" s="125"/>
      <c r="VWD176" s="125"/>
      <c r="VWE176" s="125"/>
      <c r="VWF176" s="125"/>
      <c r="VWG176" s="125"/>
      <c r="VWH176" s="125"/>
      <c r="VWI176" s="125"/>
      <c r="VWJ176" s="125"/>
      <c r="VWK176" s="125"/>
      <c r="VWL176" s="125"/>
      <c r="VWM176" s="125"/>
      <c r="VWN176" s="125"/>
      <c r="VWO176" s="125"/>
      <c r="VWP176" s="125"/>
      <c r="VWQ176" s="125"/>
      <c r="VWR176" s="125"/>
      <c r="VWS176" s="125"/>
      <c r="VWT176" s="125"/>
      <c r="VWU176" s="125"/>
      <c r="VWV176" s="125"/>
      <c r="VWW176" s="125"/>
      <c r="VWX176" s="125"/>
      <c r="VWY176" s="125"/>
      <c r="VWZ176" s="125"/>
      <c r="VXA176" s="125"/>
      <c r="VXB176" s="125"/>
      <c r="VXC176" s="125"/>
      <c r="VXD176" s="125"/>
      <c r="VXE176" s="125"/>
      <c r="VXF176" s="125"/>
      <c r="VXG176" s="125"/>
      <c r="VXH176" s="125"/>
      <c r="VXI176" s="125"/>
      <c r="VXJ176" s="125"/>
      <c r="VXK176" s="125"/>
      <c r="VXL176" s="125"/>
      <c r="VXM176" s="125"/>
      <c r="VXN176" s="125"/>
      <c r="VXO176" s="125"/>
      <c r="VXP176" s="125"/>
      <c r="VXQ176" s="125"/>
      <c r="VXR176" s="125"/>
      <c r="VXS176" s="125"/>
      <c r="VXT176" s="125"/>
      <c r="VXU176" s="125"/>
      <c r="VXV176" s="125"/>
      <c r="VXW176" s="125"/>
      <c r="VXX176" s="125"/>
      <c r="VXY176" s="125"/>
      <c r="VXZ176" s="125"/>
      <c r="VYA176" s="125"/>
      <c r="VYB176" s="125"/>
      <c r="VYC176" s="125"/>
      <c r="VYD176" s="125"/>
      <c r="VYE176" s="125"/>
      <c r="VYF176" s="125"/>
      <c r="VYG176" s="125"/>
      <c r="VYH176" s="125"/>
      <c r="VYI176" s="125"/>
      <c r="VYJ176" s="125"/>
      <c r="VYK176" s="125"/>
      <c r="VYL176" s="125"/>
      <c r="VYM176" s="125"/>
      <c r="VYN176" s="125"/>
      <c r="VYO176" s="125"/>
      <c r="VYP176" s="125"/>
      <c r="VYQ176" s="125"/>
      <c r="VYR176" s="125"/>
      <c r="VYS176" s="125"/>
      <c r="VYT176" s="125"/>
      <c r="VYU176" s="125"/>
      <c r="VYV176" s="125"/>
      <c r="VYW176" s="125"/>
      <c r="VYX176" s="125"/>
      <c r="VYY176" s="125"/>
      <c r="VYZ176" s="125"/>
      <c r="VZA176" s="125"/>
      <c r="VZB176" s="125"/>
      <c r="VZC176" s="125"/>
      <c r="VZD176" s="125"/>
      <c r="VZE176" s="125"/>
      <c r="VZF176" s="125"/>
      <c r="VZG176" s="125"/>
      <c r="VZH176" s="125"/>
      <c r="VZI176" s="125"/>
      <c r="VZJ176" s="125"/>
      <c r="VZK176" s="125"/>
      <c r="VZL176" s="125"/>
      <c r="VZM176" s="125"/>
      <c r="VZN176" s="125"/>
      <c r="VZO176" s="125"/>
      <c r="VZP176" s="125"/>
      <c r="VZQ176" s="125"/>
      <c r="VZR176" s="125"/>
      <c r="VZS176" s="125"/>
      <c r="VZT176" s="125"/>
      <c r="VZU176" s="125"/>
      <c r="VZV176" s="125"/>
      <c r="VZW176" s="125"/>
      <c r="VZX176" s="125"/>
      <c r="VZY176" s="125"/>
      <c r="VZZ176" s="125"/>
      <c r="WAA176" s="125"/>
      <c r="WAB176" s="125"/>
      <c r="WAC176" s="125"/>
      <c r="WAD176" s="125"/>
      <c r="WAE176" s="125"/>
      <c r="WAF176" s="125"/>
      <c r="WAG176" s="125"/>
      <c r="WAH176" s="125"/>
      <c r="WAI176" s="125"/>
      <c r="WAJ176" s="125"/>
      <c r="WAK176" s="125"/>
      <c r="WAL176" s="125"/>
      <c r="WAM176" s="125"/>
      <c r="WAN176" s="125"/>
      <c r="WAO176" s="125"/>
      <c r="WAP176" s="125"/>
      <c r="WAQ176" s="125"/>
      <c r="WAR176" s="125"/>
      <c r="WAS176" s="125"/>
      <c r="WAT176" s="125"/>
      <c r="WAU176" s="125"/>
      <c r="WAV176" s="125"/>
      <c r="WAW176" s="125"/>
      <c r="WAX176" s="125"/>
      <c r="WAY176" s="125"/>
      <c r="WAZ176" s="125"/>
      <c r="WBA176" s="125"/>
      <c r="WBB176" s="125"/>
      <c r="WBC176" s="125"/>
      <c r="WBD176" s="125"/>
      <c r="WBE176" s="125"/>
      <c r="WBF176" s="125"/>
      <c r="WBG176" s="125"/>
      <c r="WBH176" s="125"/>
      <c r="WBI176" s="125"/>
      <c r="WBJ176" s="125"/>
      <c r="WBK176" s="125"/>
      <c r="WBL176" s="125"/>
      <c r="WBM176" s="125"/>
      <c r="WBN176" s="125"/>
      <c r="WBO176" s="125"/>
      <c r="WBP176" s="125"/>
      <c r="WBQ176" s="125"/>
      <c r="WBR176" s="125"/>
      <c r="WBS176" s="125"/>
      <c r="WBT176" s="125"/>
      <c r="WBU176" s="125"/>
      <c r="WBV176" s="125"/>
      <c r="WBW176" s="125"/>
      <c r="WBX176" s="125"/>
      <c r="WBY176" s="125"/>
      <c r="WBZ176" s="125"/>
      <c r="WCA176" s="125"/>
      <c r="WCB176" s="125"/>
      <c r="WCC176" s="125"/>
      <c r="WCD176" s="125"/>
      <c r="WCE176" s="125"/>
      <c r="WCF176" s="125"/>
      <c r="WCG176" s="125"/>
      <c r="WCH176" s="125"/>
      <c r="WCI176" s="125"/>
      <c r="WCJ176" s="125"/>
      <c r="WCK176" s="125"/>
      <c r="WCL176" s="125"/>
      <c r="WCM176" s="125"/>
      <c r="WCN176" s="125"/>
      <c r="WCO176" s="125"/>
      <c r="WCP176" s="125"/>
      <c r="WCQ176" s="125"/>
      <c r="WCR176" s="125"/>
      <c r="WCS176" s="125"/>
      <c r="WCT176" s="125"/>
      <c r="WCU176" s="125"/>
      <c r="WCV176" s="125"/>
      <c r="WCW176" s="125"/>
      <c r="WCX176" s="125"/>
      <c r="WCY176" s="125"/>
      <c r="WCZ176" s="125"/>
      <c r="WDA176" s="125"/>
      <c r="WDB176" s="125"/>
      <c r="WDC176" s="125"/>
      <c r="WDD176" s="125"/>
      <c r="WDE176" s="125"/>
      <c r="WDF176" s="125"/>
      <c r="WDG176" s="125"/>
      <c r="WDH176" s="125"/>
      <c r="WDI176" s="125"/>
      <c r="WDJ176" s="125"/>
      <c r="WDK176" s="125"/>
      <c r="WDL176" s="125"/>
      <c r="WDM176" s="125"/>
      <c r="WDN176" s="125"/>
      <c r="WDO176" s="125"/>
      <c r="WDP176" s="125"/>
      <c r="WDQ176" s="125"/>
      <c r="WDR176" s="125"/>
      <c r="WDS176" s="125"/>
      <c r="WDT176" s="125"/>
      <c r="WDU176" s="125"/>
      <c r="WDV176" s="125"/>
      <c r="WDW176" s="125"/>
      <c r="WDX176" s="125"/>
      <c r="WDY176" s="125"/>
      <c r="WDZ176" s="125"/>
      <c r="WEA176" s="125"/>
      <c r="WEB176" s="125"/>
      <c r="WEC176" s="125"/>
      <c r="WED176" s="125"/>
      <c r="WEE176" s="125"/>
      <c r="WEF176" s="125"/>
      <c r="WEG176" s="125"/>
      <c r="WEH176" s="125"/>
      <c r="WEI176" s="125"/>
      <c r="WEJ176" s="125"/>
      <c r="WEK176" s="125"/>
      <c r="WEL176" s="125"/>
      <c r="WEM176" s="125"/>
      <c r="WEN176" s="125"/>
      <c r="WEO176" s="125"/>
      <c r="WEP176" s="125"/>
      <c r="WEQ176" s="125"/>
      <c r="WER176" s="125"/>
      <c r="WES176" s="125"/>
      <c r="WET176" s="125"/>
      <c r="WEU176" s="125"/>
      <c r="WEV176" s="125"/>
      <c r="WEW176" s="125"/>
      <c r="WEX176" s="125"/>
      <c r="WEY176" s="125"/>
      <c r="WEZ176" s="125"/>
      <c r="WFA176" s="125"/>
      <c r="WFB176" s="125"/>
      <c r="WFC176" s="125"/>
      <c r="WFD176" s="125"/>
      <c r="WFE176" s="125"/>
      <c r="WFF176" s="125"/>
      <c r="WFG176" s="125"/>
      <c r="WFH176" s="125"/>
      <c r="WFI176" s="125"/>
      <c r="WFJ176" s="125"/>
      <c r="WFK176" s="125"/>
      <c r="WFL176" s="125"/>
      <c r="WFM176" s="125"/>
      <c r="WFN176" s="125"/>
      <c r="WFO176" s="125"/>
      <c r="WFP176" s="125"/>
      <c r="WFQ176" s="125"/>
      <c r="WFR176" s="125"/>
      <c r="WFS176" s="125"/>
      <c r="WFT176" s="125"/>
      <c r="WFU176" s="125"/>
      <c r="WFV176" s="125"/>
      <c r="WFW176" s="125"/>
      <c r="WFX176" s="125"/>
      <c r="WFY176" s="125"/>
      <c r="WFZ176" s="125"/>
      <c r="WGA176" s="125"/>
      <c r="WGB176" s="125"/>
      <c r="WGC176" s="125"/>
      <c r="WGD176" s="125"/>
      <c r="WGE176" s="125"/>
      <c r="WGF176" s="125"/>
      <c r="WGG176" s="125"/>
      <c r="WGH176" s="125"/>
      <c r="WGI176" s="125"/>
      <c r="WGJ176" s="125"/>
      <c r="WGK176" s="125"/>
      <c r="WGL176" s="125"/>
      <c r="WGM176" s="125"/>
      <c r="WGN176" s="125"/>
      <c r="WGO176" s="125"/>
      <c r="WGP176" s="125"/>
      <c r="WGQ176" s="125"/>
      <c r="WGR176" s="125"/>
      <c r="WGS176" s="125"/>
      <c r="WGT176" s="125"/>
      <c r="WGU176" s="125"/>
      <c r="WGV176" s="125"/>
      <c r="WGW176" s="125"/>
      <c r="WGX176" s="125"/>
      <c r="WGY176" s="125"/>
      <c r="WGZ176" s="125"/>
      <c r="WHA176" s="125"/>
      <c r="WHB176" s="125"/>
      <c r="WHC176" s="125"/>
      <c r="WHD176" s="125"/>
      <c r="WHE176" s="125"/>
      <c r="WHF176" s="125"/>
      <c r="WHG176" s="125"/>
      <c r="WHH176" s="125"/>
      <c r="WHI176" s="125"/>
      <c r="WHJ176" s="125"/>
      <c r="WHK176" s="125"/>
      <c r="WHL176" s="125"/>
      <c r="WHM176" s="125"/>
      <c r="WHN176" s="125"/>
      <c r="WHO176" s="125"/>
      <c r="WHP176" s="125"/>
      <c r="WHQ176" s="125"/>
      <c r="WHR176" s="125"/>
      <c r="WHS176" s="125"/>
      <c r="WHT176" s="125"/>
      <c r="WHU176" s="125"/>
      <c r="WHV176" s="125"/>
      <c r="WHW176" s="125"/>
      <c r="WHX176" s="125"/>
      <c r="WHY176" s="125"/>
      <c r="WHZ176" s="125"/>
      <c r="WIA176" s="125"/>
      <c r="WIB176" s="125"/>
      <c r="WIC176" s="125"/>
      <c r="WID176" s="125"/>
      <c r="WIE176" s="125"/>
      <c r="WIF176" s="125"/>
      <c r="WIG176" s="125"/>
      <c r="WIH176" s="125"/>
      <c r="WII176" s="125"/>
      <c r="WIJ176" s="125"/>
      <c r="WIK176" s="125"/>
      <c r="WIL176" s="125"/>
      <c r="WIM176" s="125"/>
      <c r="WIN176" s="125"/>
      <c r="WIO176" s="125"/>
      <c r="WIP176" s="125"/>
      <c r="WIQ176" s="125"/>
      <c r="WIR176" s="125"/>
      <c r="WIS176" s="125"/>
      <c r="WIT176" s="125"/>
      <c r="WIU176" s="125"/>
      <c r="WIV176" s="125"/>
      <c r="WIW176" s="125"/>
      <c r="WIX176" s="125"/>
      <c r="WIY176" s="125"/>
      <c r="WIZ176" s="125"/>
      <c r="WJA176" s="125"/>
      <c r="WJB176" s="125"/>
      <c r="WJC176" s="125"/>
      <c r="WJD176" s="125"/>
      <c r="WJE176" s="125"/>
      <c r="WJF176" s="125"/>
      <c r="WJG176" s="125"/>
      <c r="WJH176" s="125"/>
      <c r="WJI176" s="125"/>
      <c r="WJJ176" s="125"/>
      <c r="WJK176" s="125"/>
      <c r="WJL176" s="125"/>
      <c r="WJM176" s="125"/>
      <c r="WJN176" s="125"/>
      <c r="WJO176" s="125"/>
      <c r="WJP176" s="125"/>
      <c r="WJQ176" s="125"/>
      <c r="WJR176" s="125"/>
      <c r="WJS176" s="125"/>
      <c r="WJT176" s="125"/>
      <c r="WJU176" s="125"/>
      <c r="WJV176" s="125"/>
      <c r="WJW176" s="125"/>
      <c r="WJX176" s="125"/>
      <c r="WJY176" s="125"/>
      <c r="WJZ176" s="125"/>
      <c r="WKA176" s="125"/>
      <c r="WKB176" s="125"/>
      <c r="WKC176" s="125"/>
      <c r="WKD176" s="125"/>
      <c r="WKE176" s="125"/>
      <c r="WKF176" s="125"/>
      <c r="WKG176" s="125"/>
      <c r="WKH176" s="125"/>
      <c r="WKI176" s="125"/>
      <c r="WKJ176" s="125"/>
      <c r="WKK176" s="125"/>
      <c r="WKL176" s="125"/>
      <c r="WKM176" s="125"/>
      <c r="WKN176" s="125"/>
      <c r="WKO176" s="125"/>
      <c r="WKP176" s="125"/>
      <c r="WKQ176" s="125"/>
      <c r="WKR176" s="125"/>
      <c r="WKS176" s="125"/>
      <c r="WKT176" s="125"/>
      <c r="WKU176" s="125"/>
      <c r="WKV176" s="125"/>
      <c r="WKW176" s="125"/>
      <c r="WKX176" s="125"/>
      <c r="WKY176" s="125"/>
      <c r="WKZ176" s="125"/>
      <c r="WLA176" s="125"/>
      <c r="WLB176" s="125"/>
      <c r="WLC176" s="125"/>
      <c r="WLD176" s="125"/>
      <c r="WLE176" s="125"/>
      <c r="WLF176" s="125"/>
      <c r="WLG176" s="125"/>
      <c r="WLH176" s="125"/>
      <c r="WLI176" s="125"/>
      <c r="WLJ176" s="125"/>
      <c r="WLK176" s="125"/>
      <c r="WLL176" s="125"/>
      <c r="WLM176" s="125"/>
      <c r="WLN176" s="125"/>
      <c r="WLO176" s="125"/>
      <c r="WLP176" s="125"/>
      <c r="WLQ176" s="125"/>
      <c r="WLR176" s="125"/>
      <c r="WLS176" s="125"/>
      <c r="WLT176" s="125"/>
      <c r="WLU176" s="125"/>
      <c r="WLV176" s="125"/>
      <c r="WLW176" s="125"/>
      <c r="WLX176" s="125"/>
      <c r="WLY176" s="125"/>
      <c r="WLZ176" s="125"/>
      <c r="WMA176" s="125"/>
      <c r="WMB176" s="125"/>
      <c r="WMC176" s="125"/>
      <c r="WMD176" s="125"/>
      <c r="WME176" s="125"/>
      <c r="WMF176" s="125"/>
      <c r="WMG176" s="125"/>
      <c r="WMH176" s="125"/>
      <c r="WMI176" s="125"/>
      <c r="WMJ176" s="125"/>
      <c r="WMK176" s="125"/>
      <c r="WML176" s="125"/>
      <c r="WMM176" s="125"/>
      <c r="WMN176" s="125"/>
      <c r="WMO176" s="125"/>
      <c r="WMP176" s="125"/>
      <c r="WMQ176" s="125"/>
      <c r="WMR176" s="125"/>
      <c r="WMS176" s="125"/>
      <c r="WMT176" s="125"/>
      <c r="WMU176" s="125"/>
      <c r="WMV176" s="125"/>
      <c r="WMW176" s="125"/>
      <c r="WMX176" s="125"/>
      <c r="WMY176" s="125"/>
      <c r="WMZ176" s="125"/>
      <c r="WNA176" s="125"/>
      <c r="WNB176" s="125"/>
      <c r="WNC176" s="125"/>
      <c r="WND176" s="125"/>
      <c r="WNE176" s="125"/>
      <c r="WNF176" s="125"/>
      <c r="WNG176" s="125"/>
      <c r="WNH176" s="125"/>
      <c r="WNI176" s="125"/>
      <c r="WNJ176" s="125"/>
      <c r="WNK176" s="125"/>
      <c r="WNL176" s="125"/>
      <c r="WNM176" s="125"/>
      <c r="WNN176" s="125"/>
      <c r="WNO176" s="125"/>
      <c r="WNP176" s="125"/>
      <c r="WNQ176" s="125"/>
      <c r="WNR176" s="125"/>
      <c r="WNS176" s="125"/>
      <c r="WNT176" s="125"/>
      <c r="WNU176" s="125"/>
      <c r="WNV176" s="125"/>
      <c r="WNW176" s="125"/>
      <c r="WNX176" s="125"/>
      <c r="WNY176" s="125"/>
      <c r="WNZ176" s="125"/>
      <c r="WOA176" s="125"/>
      <c r="WOB176" s="125"/>
      <c r="WOC176" s="125"/>
      <c r="WOD176" s="125"/>
      <c r="WOE176" s="125"/>
      <c r="WOF176" s="125"/>
      <c r="WOG176" s="125"/>
      <c r="WOH176" s="125"/>
      <c r="WOI176" s="125"/>
      <c r="WOJ176" s="125"/>
      <c r="WOK176" s="125"/>
      <c r="WOL176" s="125"/>
      <c r="WOM176" s="125"/>
      <c r="WON176" s="125"/>
      <c r="WOO176" s="125"/>
      <c r="WOP176" s="125"/>
      <c r="WOQ176" s="125"/>
      <c r="WOR176" s="125"/>
      <c r="WOS176" s="125"/>
      <c r="WOT176" s="125"/>
      <c r="WOU176" s="125"/>
      <c r="WOV176" s="125"/>
      <c r="WOW176" s="125"/>
      <c r="WOX176" s="125"/>
      <c r="WOY176" s="125"/>
      <c r="WOZ176" s="125"/>
      <c r="WPA176" s="125"/>
      <c r="WPB176" s="125"/>
      <c r="WPC176" s="125"/>
      <c r="WPD176" s="125"/>
      <c r="WPE176" s="125"/>
      <c r="WPF176" s="125"/>
      <c r="WPG176" s="125"/>
      <c r="WPH176" s="125"/>
      <c r="WPI176" s="125"/>
      <c r="WPJ176" s="125"/>
      <c r="WPK176" s="125"/>
      <c r="WPL176" s="125"/>
      <c r="WPM176" s="125"/>
      <c r="WPN176" s="125"/>
      <c r="WPO176" s="125"/>
      <c r="WPP176" s="125"/>
      <c r="WPQ176" s="125"/>
      <c r="WPR176" s="125"/>
      <c r="WPS176" s="125"/>
      <c r="WPT176" s="125"/>
      <c r="WPU176" s="125"/>
      <c r="WPV176" s="125"/>
      <c r="WPW176" s="125"/>
      <c r="WPX176" s="125"/>
      <c r="WPY176" s="125"/>
      <c r="WPZ176" s="125"/>
      <c r="WQA176" s="125"/>
      <c r="WQB176" s="125"/>
      <c r="WQC176" s="125"/>
      <c r="WQD176" s="125"/>
      <c r="WQE176" s="125"/>
      <c r="WQF176" s="125"/>
      <c r="WQG176" s="125"/>
      <c r="WQH176" s="125"/>
      <c r="WQI176" s="125"/>
      <c r="WQJ176" s="125"/>
      <c r="WQK176" s="125"/>
      <c r="WQL176" s="125"/>
      <c r="WQM176" s="125"/>
      <c r="WQN176" s="125"/>
      <c r="WQO176" s="125"/>
      <c r="WQP176" s="125"/>
      <c r="WQQ176" s="125"/>
      <c r="WQR176" s="125"/>
      <c r="WQS176" s="125"/>
      <c r="WQT176" s="125"/>
      <c r="WQU176" s="125"/>
      <c r="WQV176" s="125"/>
      <c r="WQW176" s="125"/>
      <c r="WQX176" s="125"/>
      <c r="WQY176" s="125"/>
      <c r="WQZ176" s="125"/>
      <c r="WRA176" s="125"/>
      <c r="WRB176" s="125"/>
      <c r="WRC176" s="125"/>
      <c r="WRD176" s="125"/>
      <c r="WRE176" s="125"/>
      <c r="WRF176" s="125"/>
      <c r="WRG176" s="125"/>
      <c r="WRH176" s="125"/>
      <c r="WRI176" s="125"/>
      <c r="WRJ176" s="125"/>
      <c r="WRK176" s="125"/>
      <c r="WRL176" s="125"/>
      <c r="WRM176" s="125"/>
      <c r="WRN176" s="125"/>
      <c r="WRO176" s="125"/>
      <c r="WRP176" s="125"/>
      <c r="WRQ176" s="125"/>
      <c r="WRR176" s="125"/>
      <c r="WRS176" s="125"/>
      <c r="WRT176" s="125"/>
      <c r="WRU176" s="125"/>
      <c r="WRV176" s="125"/>
      <c r="WRW176" s="125"/>
      <c r="WRX176" s="125"/>
      <c r="WRY176" s="125"/>
      <c r="WRZ176" s="125"/>
      <c r="WSA176" s="125"/>
      <c r="WSB176" s="125"/>
      <c r="WSC176" s="125"/>
      <c r="WSD176" s="125"/>
      <c r="WSE176" s="125"/>
      <c r="WSF176" s="125"/>
      <c r="WSG176" s="125"/>
      <c r="WSH176" s="125"/>
      <c r="WSI176" s="125"/>
      <c r="WSJ176" s="125"/>
      <c r="WSK176" s="125"/>
      <c r="WSL176" s="125"/>
      <c r="WSM176" s="125"/>
      <c r="WSN176" s="125"/>
      <c r="WSO176" s="125"/>
      <c r="WSP176" s="125"/>
      <c r="WSQ176" s="125"/>
      <c r="WSR176" s="125"/>
      <c r="WSS176" s="125"/>
      <c r="WST176" s="125"/>
      <c r="WSU176" s="125"/>
      <c r="WSV176" s="125"/>
      <c r="WSW176" s="125"/>
      <c r="WSX176" s="125"/>
      <c r="WSY176" s="125"/>
      <c r="WSZ176" s="125"/>
      <c r="WTA176" s="125"/>
      <c r="WTB176" s="125"/>
      <c r="WTC176" s="125"/>
      <c r="WTD176" s="125"/>
      <c r="WTE176" s="125"/>
      <c r="WTF176" s="125"/>
      <c r="WTG176" s="125"/>
      <c r="WTH176" s="125"/>
      <c r="WTI176" s="125"/>
      <c r="WTJ176" s="125"/>
      <c r="WTK176" s="125"/>
      <c r="WTL176" s="125"/>
      <c r="WTM176" s="125"/>
      <c r="WTN176" s="125"/>
      <c r="WTO176" s="125"/>
      <c r="WTP176" s="125"/>
      <c r="WTQ176" s="125"/>
      <c r="WTR176" s="125"/>
      <c r="WTS176" s="125"/>
      <c r="WTT176" s="125"/>
      <c r="WTU176" s="125"/>
      <c r="WTV176" s="125"/>
      <c r="WTW176" s="125"/>
      <c r="WTX176" s="125"/>
      <c r="WTY176" s="125"/>
      <c r="WTZ176" s="125"/>
      <c r="WUA176" s="125"/>
      <c r="WUB176" s="125"/>
      <c r="WUC176" s="125"/>
      <c r="WUD176" s="125"/>
      <c r="WUE176" s="125"/>
      <c r="WUF176" s="125"/>
      <c r="WUG176" s="125"/>
      <c r="WUH176" s="125"/>
      <c r="WUI176" s="125"/>
      <c r="WUJ176" s="125"/>
      <c r="WUK176" s="125"/>
      <c r="WUL176" s="125"/>
      <c r="WUM176" s="125"/>
      <c r="WUN176" s="125"/>
      <c r="WUO176" s="125"/>
      <c r="WUP176" s="125"/>
      <c r="WUQ176" s="125"/>
      <c r="WUR176" s="125"/>
      <c r="WUS176" s="125"/>
      <c r="WUT176" s="125"/>
      <c r="WUU176" s="125"/>
      <c r="WUV176" s="125"/>
      <c r="WUW176" s="125"/>
      <c r="WUX176" s="125"/>
      <c r="WUY176" s="125"/>
      <c r="WUZ176" s="125"/>
      <c r="WVA176" s="125"/>
      <c r="WVB176" s="125"/>
      <c r="WVC176" s="125"/>
      <c r="WVD176" s="125"/>
      <c r="WVE176" s="125"/>
      <c r="WVF176" s="125"/>
      <c r="WVG176" s="125"/>
      <c r="WVH176" s="125"/>
      <c r="WVI176" s="125"/>
      <c r="WVJ176" s="125"/>
      <c r="WVK176" s="125"/>
      <c r="WVL176" s="125"/>
      <c r="WVM176" s="125"/>
      <c r="WVN176" s="125"/>
      <c r="WVO176" s="125"/>
      <c r="WVP176" s="125"/>
      <c r="WVQ176" s="125"/>
      <c r="WVR176" s="125"/>
      <c r="WVS176" s="125"/>
      <c r="WVT176" s="125"/>
      <c r="WVU176" s="125"/>
      <c r="WVV176" s="125"/>
      <c r="WVW176" s="125"/>
      <c r="WVX176" s="125"/>
      <c r="WVY176" s="125"/>
      <c r="WVZ176" s="125"/>
      <c r="WWA176" s="125"/>
      <c r="WWB176" s="125"/>
      <c r="WWC176" s="125"/>
      <c r="WWD176" s="125"/>
      <c r="WWE176" s="125"/>
      <c r="WWF176" s="125"/>
      <c r="WWG176" s="125"/>
      <c r="WWH176" s="125"/>
      <c r="WWI176" s="125"/>
      <c r="WWJ176" s="125"/>
      <c r="WWK176" s="125"/>
      <c r="WWL176" s="125"/>
      <c r="WWM176" s="125"/>
      <c r="WWN176" s="125"/>
      <c r="WWO176" s="125"/>
      <c r="WWP176" s="125"/>
      <c r="WWQ176" s="125"/>
      <c r="WWR176" s="125"/>
      <c r="WWS176" s="125"/>
      <c r="WWT176" s="125"/>
      <c r="WWU176" s="125"/>
      <c r="WWV176" s="125"/>
      <c r="WWW176" s="125"/>
      <c r="WWX176" s="125"/>
      <c r="WWY176" s="125"/>
      <c r="WWZ176" s="125"/>
      <c r="WXA176" s="125"/>
      <c r="WXB176" s="125"/>
      <c r="WXC176" s="125"/>
      <c r="WXD176" s="125"/>
      <c r="WXE176" s="125"/>
      <c r="WXF176" s="125"/>
      <c r="WXG176" s="125"/>
      <c r="WXH176" s="125"/>
      <c r="WXI176" s="125"/>
      <c r="WXJ176" s="125"/>
      <c r="WXK176" s="125"/>
      <c r="WXL176" s="125"/>
      <c r="WXM176" s="125"/>
      <c r="WXN176" s="125"/>
      <c r="WXO176" s="125"/>
      <c r="WXP176" s="125"/>
      <c r="WXQ176" s="125"/>
      <c r="WXR176" s="125"/>
      <c r="WXS176" s="125"/>
      <c r="WXT176" s="125"/>
      <c r="WXU176" s="125"/>
      <c r="WXV176" s="125"/>
      <c r="WXW176" s="125"/>
      <c r="WXX176" s="125"/>
      <c r="WXY176" s="125"/>
      <c r="WXZ176" s="125"/>
      <c r="WYA176" s="125"/>
      <c r="WYB176" s="125"/>
      <c r="WYC176" s="125"/>
      <c r="WYD176" s="125"/>
      <c r="WYE176" s="125"/>
      <c r="WYF176" s="125"/>
      <c r="WYG176" s="125"/>
      <c r="WYH176" s="125"/>
      <c r="WYI176" s="125"/>
      <c r="WYJ176" s="125"/>
      <c r="WYK176" s="125"/>
      <c r="WYL176" s="125"/>
      <c r="WYM176" s="125"/>
      <c r="WYN176" s="125"/>
      <c r="WYO176" s="125"/>
      <c r="WYP176" s="125"/>
      <c r="WYQ176" s="125"/>
      <c r="WYR176" s="125"/>
      <c r="WYS176" s="125"/>
      <c r="WYT176" s="125"/>
      <c r="WYU176" s="125"/>
      <c r="WYV176" s="125"/>
      <c r="WYW176" s="125"/>
      <c r="WYX176" s="125"/>
      <c r="WYY176" s="125"/>
      <c r="WYZ176" s="125"/>
      <c r="WZA176" s="125"/>
      <c r="WZB176" s="125"/>
      <c r="WZC176" s="125"/>
      <c r="WZD176" s="125"/>
      <c r="WZE176" s="125"/>
      <c r="WZF176" s="125"/>
      <c r="WZG176" s="125"/>
      <c r="WZH176" s="125"/>
      <c r="WZI176" s="125"/>
      <c r="WZJ176" s="125"/>
      <c r="WZK176" s="125"/>
      <c r="WZL176" s="125"/>
      <c r="WZM176" s="125"/>
      <c r="WZN176" s="125"/>
      <c r="WZO176" s="125"/>
      <c r="WZP176" s="125"/>
      <c r="WZQ176" s="125"/>
      <c r="WZR176" s="125"/>
      <c r="WZS176" s="125"/>
      <c r="WZT176" s="125"/>
      <c r="WZU176" s="125"/>
      <c r="WZV176" s="125"/>
      <c r="WZW176" s="125"/>
      <c r="WZX176" s="125"/>
      <c r="WZY176" s="125"/>
      <c r="WZZ176" s="125"/>
      <c r="XAA176" s="125"/>
      <c r="XAB176" s="125"/>
      <c r="XAC176" s="125"/>
      <c r="XAD176" s="125"/>
      <c r="XAE176" s="125"/>
      <c r="XAF176" s="125"/>
      <c r="XAG176" s="125"/>
      <c r="XAH176" s="125"/>
      <c r="XAI176" s="125"/>
      <c r="XAJ176" s="125"/>
      <c r="XAK176" s="125"/>
      <c r="XAL176" s="125"/>
      <c r="XAM176" s="125"/>
      <c r="XAN176" s="125"/>
      <c r="XAO176" s="125"/>
      <c r="XAP176" s="125"/>
      <c r="XAQ176" s="125"/>
      <c r="XAR176" s="125"/>
      <c r="XAS176" s="125"/>
      <c r="XAT176" s="125"/>
      <c r="XAU176" s="125"/>
      <c r="XAV176" s="125"/>
      <c r="XAW176" s="125"/>
      <c r="XAX176" s="125"/>
      <c r="XAY176" s="125"/>
      <c r="XAZ176" s="125"/>
      <c r="XBA176" s="125"/>
      <c r="XBB176" s="125"/>
      <c r="XBC176" s="125"/>
      <c r="XBD176" s="125"/>
      <c r="XBE176" s="125"/>
      <c r="XBF176" s="125"/>
      <c r="XBG176" s="125"/>
      <c r="XBH176" s="125"/>
      <c r="XBI176" s="125"/>
      <c r="XBJ176" s="125"/>
      <c r="XBK176" s="125"/>
      <c r="XBL176" s="125"/>
      <c r="XBM176" s="125"/>
      <c r="XBN176" s="125"/>
      <c r="XBO176" s="125"/>
      <c r="XBP176" s="125"/>
      <c r="XBQ176" s="125"/>
      <c r="XBR176" s="125"/>
      <c r="XBS176" s="125"/>
      <c r="XBT176" s="125"/>
      <c r="XBU176" s="125"/>
      <c r="XBV176" s="125"/>
      <c r="XBW176" s="125"/>
      <c r="XBX176" s="125"/>
      <c r="XBY176" s="125"/>
      <c r="XBZ176" s="125"/>
      <c r="XCA176" s="125"/>
      <c r="XCB176" s="125"/>
      <c r="XCC176" s="125"/>
      <c r="XCD176" s="125"/>
      <c r="XCE176" s="125"/>
      <c r="XCF176" s="125"/>
      <c r="XCG176" s="125"/>
      <c r="XCH176" s="125"/>
      <c r="XCI176" s="125"/>
      <c r="XCJ176" s="125"/>
      <c r="XCK176" s="125"/>
      <c r="XCL176" s="125"/>
      <c r="XCM176" s="125"/>
      <c r="XCN176" s="125"/>
      <c r="XCO176" s="125"/>
      <c r="XCP176" s="125"/>
      <c r="XCQ176" s="125"/>
      <c r="XCR176" s="125"/>
      <c r="XCS176" s="125"/>
      <c r="XCT176" s="125"/>
      <c r="XCU176" s="125"/>
      <c r="XCV176" s="125"/>
      <c r="XCW176" s="125"/>
      <c r="XCX176" s="125"/>
      <c r="XCY176" s="125"/>
      <c r="XCZ176" s="125"/>
      <c r="XDA176" s="125"/>
      <c r="XDB176" s="125"/>
      <c r="XDC176" s="125"/>
      <c r="XDD176" s="125"/>
      <c r="XDE176" s="125"/>
      <c r="XDF176" s="125"/>
      <c r="XDG176" s="125"/>
      <c r="XDH176" s="125"/>
      <c r="XDI176" s="125"/>
      <c r="XDJ176" s="125"/>
      <c r="XDK176" s="125"/>
      <c r="XDL176" s="125"/>
      <c r="XDM176" s="125"/>
      <c r="XDN176" s="125"/>
      <c r="XDO176" s="125"/>
      <c r="XDP176" s="125"/>
      <c r="XDQ176" s="125"/>
      <c r="XDR176" s="125"/>
      <c r="XDS176" s="125"/>
      <c r="XDT176" s="125"/>
      <c r="XDU176" s="125"/>
      <c r="XDV176" s="125"/>
      <c r="XDW176" s="125"/>
      <c r="XDX176" s="125"/>
      <c r="XDY176" s="125"/>
      <c r="XDZ176" s="125"/>
      <c r="XEA176" s="125"/>
      <c r="XEB176" s="125"/>
      <c r="XEC176" s="125"/>
      <c r="XED176" s="125"/>
      <c r="XEE176" s="125"/>
      <c r="XEF176" s="125"/>
      <c r="XEG176" s="125"/>
      <c r="XEH176" s="125"/>
      <c r="XEI176" s="125"/>
      <c r="XEJ176" s="125"/>
      <c r="XEK176" s="125"/>
      <c r="XEL176" s="125"/>
      <c r="XEM176" s="125"/>
      <c r="XEN176" s="125"/>
      <c r="XEO176" s="125"/>
      <c r="XEP176" s="125"/>
      <c r="XEQ176" s="125"/>
      <c r="XER176" s="125"/>
      <c r="XES176" s="125"/>
      <c r="XET176" s="125"/>
      <c r="XEU176" s="125"/>
      <c r="XEV176" s="125"/>
      <c r="XEW176" s="125"/>
      <c r="XEX176" s="125"/>
      <c r="XEY176" s="125"/>
      <c r="XEZ176" s="125"/>
      <c r="XFA176" s="125"/>
      <c r="XFB176" s="125"/>
      <c r="XFC176" s="125"/>
    </row>
    <row r="177" spans="1:16383" ht="25.5" x14ac:dyDescent="0.2">
      <c r="A177" s="73">
        <v>175</v>
      </c>
      <c r="B177" s="20" t="s">
        <v>1186</v>
      </c>
      <c r="C177" s="9" t="s">
        <v>188</v>
      </c>
      <c r="D177" s="16" t="s">
        <v>1187</v>
      </c>
      <c r="E177" s="9" t="s">
        <v>25</v>
      </c>
      <c r="F177" s="144" t="str">
        <f>VLOOKUP(B177,'Cấp phát TN'!C2:G1048575,5,FALSE)</f>
        <v>SR_VN_20240827_1183747
SR_VN_20240913_1197814</v>
      </c>
      <c r="G177" s="77" t="s">
        <v>817</v>
      </c>
      <c r="H177" s="111">
        <f>3+3+12+3+3</f>
        <v>24</v>
      </c>
      <c r="I177" s="111">
        <f>4*3+28*3+28*12+26*3+4*3</f>
        <v>522</v>
      </c>
      <c r="J177" s="111">
        <f>I177*3</f>
        <v>1566</v>
      </c>
      <c r="K177" s="111">
        <f>8*3+34*3+34*12+60*3+8*3</f>
        <v>738</v>
      </c>
      <c r="L177" s="111">
        <f>100*3+134*3+100*12+10060*3+100*3</f>
        <v>32382</v>
      </c>
      <c r="M177" s="111"/>
      <c r="N177" s="111">
        <v>4100</v>
      </c>
      <c r="O177" s="111"/>
      <c r="P177" s="111"/>
      <c r="Q177" s="111"/>
      <c r="R177" s="132" t="s">
        <v>1693</v>
      </c>
      <c r="S177" s="74" t="s">
        <v>1529</v>
      </c>
      <c r="T177" s="81" t="s">
        <v>1740</v>
      </c>
      <c r="U177" s="132"/>
      <c r="V177" s="129"/>
      <c r="W177" s="125"/>
      <c r="X177" s="125"/>
      <c r="Y177" s="125"/>
      <c r="Z177" s="125"/>
      <c r="AA177" s="125"/>
      <c r="AB177" s="125"/>
      <c r="AC177" s="125"/>
      <c r="AD177" s="125"/>
      <c r="AE177" s="125"/>
      <c r="AF177" s="125"/>
      <c r="AG177" s="125"/>
      <c r="AH177" s="125"/>
      <c r="AI177" s="125"/>
      <c r="AJ177" s="125"/>
      <c r="AK177" s="125"/>
      <c r="AL177" s="125"/>
      <c r="AM177" s="125"/>
      <c r="AN177" s="125"/>
      <c r="AO177" s="125"/>
      <c r="AP177" s="125"/>
      <c r="AQ177" s="125"/>
      <c r="AR177" s="125"/>
      <c r="AS177" s="125"/>
      <c r="AT177" s="125"/>
      <c r="AU177" s="125"/>
      <c r="AV177" s="125"/>
      <c r="AW177" s="125"/>
      <c r="AX177" s="125"/>
      <c r="AY177" s="125"/>
      <c r="AZ177" s="125"/>
      <c r="BA177" s="125"/>
      <c r="BB177" s="125"/>
      <c r="BC177" s="125"/>
      <c r="BD177" s="125"/>
      <c r="BE177" s="125"/>
      <c r="BF177" s="125"/>
      <c r="BG177" s="125"/>
      <c r="BH177" s="125"/>
      <c r="BI177" s="125"/>
      <c r="BJ177" s="125"/>
      <c r="BK177" s="125"/>
      <c r="BL177" s="125"/>
      <c r="BM177" s="125"/>
      <c r="BN177" s="125"/>
      <c r="BO177" s="125"/>
      <c r="BP177" s="125"/>
      <c r="BQ177" s="125"/>
      <c r="BR177" s="125"/>
      <c r="BS177" s="125"/>
      <c r="BT177" s="125"/>
      <c r="BU177" s="125"/>
      <c r="BV177" s="125"/>
      <c r="BW177" s="125"/>
      <c r="BX177" s="125"/>
      <c r="BY177" s="125"/>
      <c r="BZ177" s="125"/>
      <c r="CA177" s="125"/>
      <c r="CB177" s="125"/>
      <c r="CC177" s="125"/>
      <c r="CD177" s="125"/>
      <c r="CE177" s="125"/>
      <c r="CF177" s="125"/>
      <c r="CG177" s="125"/>
      <c r="CH177" s="125"/>
      <c r="CI177" s="125"/>
      <c r="CJ177" s="125"/>
      <c r="CK177" s="125"/>
      <c r="CL177" s="125"/>
      <c r="CM177" s="125"/>
      <c r="CN177" s="125"/>
      <c r="CO177" s="125"/>
      <c r="CP177" s="125"/>
      <c r="CQ177" s="125"/>
      <c r="CR177" s="125"/>
      <c r="CS177" s="125"/>
      <c r="CT177" s="125"/>
      <c r="CU177" s="125"/>
      <c r="CV177" s="125"/>
      <c r="CW177" s="125"/>
      <c r="CX177" s="125"/>
      <c r="CY177" s="125"/>
      <c r="CZ177" s="125"/>
      <c r="DA177" s="125"/>
      <c r="DB177" s="125"/>
      <c r="DC177" s="125"/>
      <c r="DD177" s="125"/>
      <c r="DE177" s="125"/>
      <c r="DF177" s="125"/>
      <c r="DG177" s="125"/>
      <c r="DH177" s="125"/>
      <c r="DI177" s="125"/>
      <c r="DJ177" s="125"/>
      <c r="DK177" s="125"/>
      <c r="DL177" s="125"/>
      <c r="DM177" s="125"/>
      <c r="DN177" s="125"/>
      <c r="DO177" s="125"/>
      <c r="DP177" s="125"/>
      <c r="DQ177" s="125"/>
      <c r="DR177" s="125"/>
      <c r="DS177" s="125"/>
      <c r="DT177" s="125"/>
      <c r="DU177" s="125"/>
      <c r="DV177" s="125"/>
      <c r="DW177" s="125"/>
      <c r="DX177" s="125"/>
      <c r="DY177" s="125"/>
      <c r="DZ177" s="125"/>
      <c r="EA177" s="125"/>
      <c r="EB177" s="125"/>
      <c r="EC177" s="125"/>
      <c r="ED177" s="125"/>
      <c r="EE177" s="125"/>
      <c r="EF177" s="125"/>
      <c r="EG177" s="125"/>
      <c r="EH177" s="125"/>
      <c r="EI177" s="125"/>
      <c r="EJ177" s="125"/>
      <c r="EK177" s="125"/>
      <c r="EL177" s="125"/>
      <c r="EM177" s="125"/>
      <c r="EN177" s="125"/>
      <c r="EO177" s="125"/>
      <c r="EP177" s="125"/>
      <c r="EQ177" s="125"/>
      <c r="ER177" s="125"/>
      <c r="ES177" s="125"/>
      <c r="ET177" s="125"/>
      <c r="EU177" s="125"/>
      <c r="EV177" s="125"/>
      <c r="EW177" s="125"/>
      <c r="EX177" s="125"/>
      <c r="EY177" s="125"/>
      <c r="EZ177" s="125"/>
      <c r="FA177" s="125"/>
      <c r="FB177" s="125"/>
      <c r="FC177" s="125"/>
      <c r="FD177" s="125"/>
      <c r="FE177" s="125"/>
      <c r="FF177" s="125"/>
      <c r="FG177" s="125"/>
      <c r="FH177" s="125"/>
      <c r="FI177" s="125"/>
      <c r="FJ177" s="125"/>
      <c r="FK177" s="125"/>
      <c r="FL177" s="125"/>
      <c r="FM177" s="125"/>
      <c r="FN177" s="125"/>
      <c r="FO177" s="125"/>
      <c r="FP177" s="125"/>
      <c r="FQ177" s="125"/>
      <c r="FR177" s="125"/>
      <c r="FS177" s="125"/>
      <c r="FT177" s="125"/>
      <c r="FU177" s="125"/>
      <c r="FV177" s="125"/>
      <c r="FW177" s="125"/>
      <c r="FX177" s="125"/>
      <c r="FY177" s="125"/>
      <c r="FZ177" s="125"/>
      <c r="GA177" s="125"/>
      <c r="GB177" s="125"/>
      <c r="GC177" s="125"/>
      <c r="GD177" s="125"/>
      <c r="GE177" s="125"/>
      <c r="GF177" s="125"/>
      <c r="GG177" s="125"/>
      <c r="GH177" s="125"/>
      <c r="GI177" s="125"/>
      <c r="GJ177" s="125"/>
      <c r="GK177" s="125"/>
      <c r="GL177" s="125"/>
      <c r="GM177" s="125"/>
      <c r="GN177" s="125"/>
      <c r="GO177" s="125"/>
      <c r="GP177" s="125"/>
      <c r="GQ177" s="125"/>
      <c r="GR177" s="125"/>
      <c r="GS177" s="125"/>
      <c r="GT177" s="125"/>
      <c r="GU177" s="125"/>
      <c r="GV177" s="125"/>
      <c r="GW177" s="125"/>
      <c r="GX177" s="125"/>
      <c r="GY177" s="125"/>
      <c r="GZ177" s="125"/>
      <c r="HA177" s="125"/>
      <c r="HB177" s="125"/>
      <c r="HC177" s="125"/>
      <c r="HD177" s="125"/>
      <c r="HE177" s="125"/>
      <c r="HF177" s="125"/>
      <c r="HG177" s="125"/>
      <c r="HH177" s="125"/>
      <c r="HI177" s="125"/>
      <c r="HJ177" s="125"/>
      <c r="HK177" s="125"/>
      <c r="HL177" s="125"/>
      <c r="HM177" s="125"/>
      <c r="HN177" s="125"/>
      <c r="HO177" s="125"/>
      <c r="HP177" s="125"/>
      <c r="HQ177" s="125"/>
      <c r="HR177" s="125"/>
      <c r="HS177" s="125"/>
      <c r="HT177" s="125"/>
      <c r="HU177" s="125"/>
      <c r="HV177" s="125"/>
      <c r="HW177" s="125"/>
      <c r="HX177" s="125"/>
      <c r="HY177" s="125"/>
      <c r="HZ177" s="125"/>
      <c r="IA177" s="125"/>
      <c r="IB177" s="125"/>
      <c r="IC177" s="125"/>
      <c r="ID177" s="125"/>
      <c r="IE177" s="125"/>
      <c r="IF177" s="125"/>
      <c r="IG177" s="125"/>
      <c r="IH177" s="125"/>
      <c r="II177" s="125"/>
      <c r="IJ177" s="125"/>
      <c r="IK177" s="125"/>
      <c r="IL177" s="125"/>
      <c r="IM177" s="125"/>
      <c r="IN177" s="125"/>
      <c r="IO177" s="125"/>
      <c r="IP177" s="125"/>
      <c r="IQ177" s="125"/>
      <c r="IR177" s="125"/>
      <c r="IS177" s="125"/>
      <c r="IT177" s="125"/>
      <c r="IU177" s="125"/>
      <c r="IV177" s="125"/>
      <c r="IW177" s="125"/>
      <c r="IX177" s="125"/>
      <c r="IY177" s="125"/>
      <c r="IZ177" s="125"/>
      <c r="JA177" s="125"/>
      <c r="JB177" s="125"/>
      <c r="JC177" s="125"/>
      <c r="JD177" s="125"/>
      <c r="JE177" s="125"/>
      <c r="JF177" s="125"/>
      <c r="JG177" s="125"/>
      <c r="JH177" s="125"/>
      <c r="JI177" s="125"/>
      <c r="JJ177" s="125"/>
      <c r="JK177" s="125"/>
      <c r="JL177" s="125"/>
      <c r="JM177" s="125"/>
      <c r="JN177" s="125"/>
      <c r="JO177" s="125"/>
      <c r="JP177" s="125"/>
      <c r="JQ177" s="125"/>
      <c r="JR177" s="125"/>
      <c r="JS177" s="125"/>
      <c r="JT177" s="125"/>
      <c r="JU177" s="125"/>
      <c r="JV177" s="125"/>
      <c r="JW177" s="125"/>
      <c r="JX177" s="125"/>
      <c r="JY177" s="125"/>
      <c r="JZ177" s="125"/>
      <c r="KA177" s="125"/>
      <c r="KB177" s="125"/>
      <c r="KC177" s="125"/>
      <c r="KD177" s="125"/>
      <c r="KE177" s="125"/>
      <c r="KF177" s="125"/>
      <c r="KG177" s="125"/>
      <c r="KH177" s="125"/>
      <c r="KI177" s="125"/>
      <c r="KJ177" s="125"/>
      <c r="KK177" s="125"/>
      <c r="KL177" s="125"/>
      <c r="KM177" s="125"/>
      <c r="KN177" s="125"/>
      <c r="KO177" s="125"/>
      <c r="KP177" s="125"/>
      <c r="KQ177" s="125"/>
      <c r="KR177" s="125"/>
      <c r="KS177" s="125"/>
      <c r="KT177" s="125"/>
      <c r="KU177" s="125"/>
      <c r="KV177" s="125"/>
      <c r="KW177" s="125"/>
      <c r="KX177" s="125"/>
      <c r="KY177" s="125"/>
      <c r="KZ177" s="125"/>
      <c r="LA177" s="125"/>
      <c r="LB177" s="125"/>
      <c r="LC177" s="125"/>
      <c r="LD177" s="125"/>
      <c r="LE177" s="125"/>
      <c r="LF177" s="125"/>
      <c r="LG177" s="125"/>
      <c r="LH177" s="125"/>
      <c r="LI177" s="125"/>
      <c r="LJ177" s="125"/>
      <c r="LK177" s="125"/>
      <c r="LL177" s="125"/>
      <c r="LM177" s="125"/>
      <c r="LN177" s="125"/>
      <c r="LO177" s="125"/>
      <c r="LP177" s="125"/>
      <c r="LQ177" s="125"/>
      <c r="LR177" s="125"/>
      <c r="LS177" s="125"/>
      <c r="LT177" s="125"/>
      <c r="LU177" s="125"/>
      <c r="LV177" s="125"/>
      <c r="LW177" s="125"/>
      <c r="LX177" s="125"/>
      <c r="LY177" s="125"/>
      <c r="LZ177" s="125"/>
      <c r="MA177" s="125"/>
      <c r="MB177" s="125"/>
      <c r="MC177" s="125"/>
      <c r="MD177" s="125"/>
      <c r="ME177" s="125"/>
      <c r="MF177" s="125"/>
      <c r="MG177" s="125"/>
      <c r="MH177" s="125"/>
      <c r="MI177" s="125"/>
      <c r="MJ177" s="125"/>
      <c r="MK177" s="125"/>
      <c r="ML177" s="125"/>
      <c r="MM177" s="125"/>
      <c r="MN177" s="125"/>
      <c r="MO177" s="125"/>
      <c r="MP177" s="125"/>
      <c r="MQ177" s="125"/>
      <c r="MR177" s="125"/>
      <c r="MS177" s="125"/>
      <c r="MT177" s="125"/>
      <c r="MU177" s="125"/>
      <c r="MV177" s="125"/>
      <c r="MW177" s="125"/>
      <c r="MX177" s="125"/>
      <c r="MY177" s="125"/>
      <c r="MZ177" s="125"/>
      <c r="NA177" s="125"/>
      <c r="NB177" s="125"/>
      <c r="NC177" s="125"/>
      <c r="ND177" s="125"/>
      <c r="NE177" s="125"/>
      <c r="NF177" s="125"/>
      <c r="NG177" s="125"/>
      <c r="NH177" s="125"/>
      <c r="NI177" s="125"/>
      <c r="NJ177" s="125"/>
      <c r="NK177" s="125"/>
      <c r="NL177" s="125"/>
      <c r="NM177" s="125"/>
      <c r="NN177" s="125"/>
      <c r="NO177" s="125"/>
      <c r="NP177" s="125"/>
      <c r="NQ177" s="125"/>
      <c r="NR177" s="125"/>
      <c r="NS177" s="125"/>
      <c r="NT177" s="125"/>
      <c r="NU177" s="125"/>
      <c r="NV177" s="125"/>
      <c r="NW177" s="125"/>
      <c r="NX177" s="125"/>
      <c r="NY177" s="125"/>
      <c r="NZ177" s="125"/>
      <c r="OA177" s="125"/>
      <c r="OB177" s="125"/>
      <c r="OC177" s="125"/>
      <c r="OD177" s="125"/>
      <c r="OE177" s="125"/>
      <c r="OF177" s="125"/>
      <c r="OG177" s="125"/>
      <c r="OH177" s="125"/>
      <c r="OI177" s="125"/>
      <c r="OJ177" s="125"/>
      <c r="OK177" s="125"/>
      <c r="OL177" s="125"/>
      <c r="OM177" s="125"/>
      <c r="ON177" s="125"/>
      <c r="OO177" s="125"/>
      <c r="OP177" s="125"/>
      <c r="OQ177" s="125"/>
      <c r="OR177" s="125"/>
      <c r="OS177" s="125"/>
      <c r="OT177" s="125"/>
      <c r="OU177" s="125"/>
      <c r="OV177" s="125"/>
      <c r="OW177" s="125"/>
      <c r="OX177" s="125"/>
      <c r="OY177" s="125"/>
      <c r="OZ177" s="125"/>
      <c r="PA177" s="125"/>
      <c r="PB177" s="125"/>
      <c r="PC177" s="125"/>
      <c r="PD177" s="125"/>
      <c r="PE177" s="125"/>
      <c r="PF177" s="125"/>
      <c r="PG177" s="125"/>
      <c r="PH177" s="125"/>
      <c r="PI177" s="125"/>
      <c r="PJ177" s="125"/>
      <c r="PK177" s="125"/>
      <c r="PL177" s="125"/>
      <c r="PM177" s="125"/>
      <c r="PN177" s="125"/>
      <c r="PO177" s="125"/>
      <c r="PP177" s="125"/>
      <c r="PQ177" s="125"/>
      <c r="PR177" s="125"/>
      <c r="PS177" s="125"/>
      <c r="PT177" s="125"/>
      <c r="PU177" s="125"/>
      <c r="PV177" s="125"/>
      <c r="PW177" s="125"/>
      <c r="PX177" s="125"/>
      <c r="PY177" s="125"/>
      <c r="PZ177" s="125"/>
      <c r="QA177" s="125"/>
      <c r="QB177" s="125"/>
      <c r="QC177" s="125"/>
      <c r="QD177" s="125"/>
      <c r="QE177" s="125"/>
      <c r="QF177" s="125"/>
      <c r="QG177" s="125"/>
      <c r="QH177" s="125"/>
      <c r="QI177" s="125"/>
      <c r="QJ177" s="125"/>
      <c r="QK177" s="125"/>
      <c r="QL177" s="125"/>
      <c r="QM177" s="125"/>
      <c r="QN177" s="125"/>
      <c r="QO177" s="125"/>
      <c r="QP177" s="125"/>
      <c r="QQ177" s="125"/>
      <c r="QR177" s="125"/>
      <c r="QS177" s="125"/>
      <c r="QT177" s="125"/>
      <c r="QU177" s="125"/>
      <c r="QV177" s="125"/>
      <c r="QW177" s="125"/>
      <c r="QX177" s="125"/>
      <c r="QY177" s="125"/>
      <c r="QZ177" s="125"/>
      <c r="RA177" s="125"/>
      <c r="RB177" s="125"/>
      <c r="RC177" s="125"/>
      <c r="RD177" s="125"/>
      <c r="RE177" s="125"/>
      <c r="RF177" s="125"/>
      <c r="RG177" s="125"/>
      <c r="RH177" s="125"/>
      <c r="RI177" s="125"/>
      <c r="RJ177" s="125"/>
      <c r="RK177" s="125"/>
      <c r="RL177" s="125"/>
      <c r="RM177" s="125"/>
      <c r="RN177" s="125"/>
      <c r="RO177" s="125"/>
      <c r="RP177" s="125"/>
      <c r="RQ177" s="125"/>
      <c r="RR177" s="125"/>
      <c r="RS177" s="125"/>
      <c r="RT177" s="125"/>
      <c r="RU177" s="125"/>
      <c r="RV177" s="125"/>
      <c r="RW177" s="125"/>
      <c r="RX177" s="125"/>
      <c r="RY177" s="125"/>
      <c r="RZ177" s="125"/>
      <c r="SA177" s="125"/>
      <c r="SB177" s="125"/>
      <c r="SC177" s="125"/>
      <c r="SD177" s="125"/>
      <c r="SE177" s="125"/>
      <c r="SF177" s="125"/>
      <c r="SG177" s="125"/>
      <c r="SH177" s="125"/>
      <c r="SI177" s="125"/>
      <c r="SJ177" s="125"/>
      <c r="SK177" s="125"/>
      <c r="SL177" s="125"/>
      <c r="SM177" s="125"/>
      <c r="SN177" s="125"/>
      <c r="SO177" s="125"/>
      <c r="SP177" s="125"/>
      <c r="SQ177" s="125"/>
      <c r="SR177" s="125"/>
      <c r="SS177" s="125"/>
      <c r="ST177" s="125"/>
      <c r="SU177" s="125"/>
      <c r="SV177" s="125"/>
      <c r="SW177" s="125"/>
      <c r="SX177" s="125"/>
      <c r="SY177" s="125"/>
      <c r="SZ177" s="125"/>
      <c r="TA177" s="125"/>
      <c r="TB177" s="125"/>
      <c r="TC177" s="125"/>
      <c r="TD177" s="125"/>
      <c r="TE177" s="125"/>
      <c r="TF177" s="125"/>
      <c r="TG177" s="125"/>
      <c r="TH177" s="125"/>
      <c r="TI177" s="125"/>
      <c r="TJ177" s="125"/>
      <c r="TK177" s="125"/>
      <c r="TL177" s="125"/>
      <c r="TM177" s="125"/>
      <c r="TN177" s="125"/>
      <c r="TO177" s="125"/>
      <c r="TP177" s="125"/>
      <c r="TQ177" s="125"/>
      <c r="TR177" s="125"/>
      <c r="TS177" s="125"/>
      <c r="TT177" s="125"/>
      <c r="TU177" s="125"/>
      <c r="TV177" s="125"/>
      <c r="TW177" s="125"/>
      <c r="TX177" s="125"/>
      <c r="TY177" s="125"/>
      <c r="TZ177" s="125"/>
      <c r="UA177" s="125"/>
      <c r="UB177" s="125"/>
      <c r="UC177" s="125"/>
      <c r="UD177" s="125"/>
      <c r="UE177" s="125"/>
      <c r="UF177" s="125"/>
      <c r="UG177" s="125"/>
      <c r="UH177" s="125"/>
      <c r="UI177" s="125"/>
      <c r="UJ177" s="125"/>
      <c r="UK177" s="125"/>
      <c r="UL177" s="125"/>
      <c r="UM177" s="125"/>
      <c r="UN177" s="125"/>
      <c r="UO177" s="125"/>
      <c r="UP177" s="125"/>
      <c r="UQ177" s="125"/>
      <c r="UR177" s="125"/>
      <c r="US177" s="125"/>
      <c r="UT177" s="125"/>
      <c r="UU177" s="125"/>
      <c r="UV177" s="125"/>
      <c r="UW177" s="125"/>
      <c r="UX177" s="125"/>
      <c r="UY177" s="125"/>
      <c r="UZ177" s="125"/>
      <c r="VA177" s="125"/>
      <c r="VB177" s="125"/>
      <c r="VC177" s="125"/>
      <c r="VD177" s="125"/>
      <c r="VE177" s="125"/>
      <c r="VF177" s="125"/>
      <c r="VG177" s="125"/>
      <c r="VH177" s="125"/>
      <c r="VI177" s="125"/>
      <c r="VJ177" s="125"/>
      <c r="VK177" s="125"/>
      <c r="VL177" s="125"/>
      <c r="VM177" s="125"/>
      <c r="VN177" s="125"/>
      <c r="VO177" s="125"/>
      <c r="VP177" s="125"/>
      <c r="VQ177" s="125"/>
      <c r="VR177" s="125"/>
      <c r="VS177" s="125"/>
      <c r="VT177" s="125"/>
      <c r="VU177" s="125"/>
      <c r="VV177" s="125"/>
      <c r="VW177" s="125"/>
      <c r="VX177" s="125"/>
      <c r="VY177" s="125"/>
      <c r="VZ177" s="125"/>
      <c r="WA177" s="125"/>
      <c r="WB177" s="125"/>
      <c r="WC177" s="125"/>
      <c r="WD177" s="125"/>
      <c r="WE177" s="125"/>
      <c r="WF177" s="125"/>
      <c r="WG177" s="125"/>
      <c r="WH177" s="125"/>
      <c r="WI177" s="125"/>
      <c r="WJ177" s="125"/>
      <c r="WK177" s="125"/>
      <c r="WL177" s="125"/>
      <c r="WM177" s="125"/>
      <c r="WN177" s="125"/>
      <c r="WO177" s="125"/>
      <c r="WP177" s="125"/>
      <c r="WQ177" s="125"/>
      <c r="WR177" s="125"/>
      <c r="WS177" s="125"/>
      <c r="WT177" s="125"/>
      <c r="WU177" s="125"/>
      <c r="WV177" s="125"/>
      <c r="WW177" s="125"/>
      <c r="WX177" s="125"/>
      <c r="WY177" s="125"/>
      <c r="WZ177" s="125"/>
      <c r="XA177" s="125"/>
      <c r="XB177" s="125"/>
      <c r="XC177" s="125"/>
      <c r="XD177" s="125"/>
      <c r="XE177" s="125"/>
      <c r="XF177" s="125"/>
      <c r="XG177" s="125"/>
      <c r="XH177" s="125"/>
      <c r="XI177" s="125"/>
      <c r="XJ177" s="125"/>
      <c r="XK177" s="125"/>
      <c r="XL177" s="125"/>
      <c r="XM177" s="125"/>
      <c r="XN177" s="125"/>
      <c r="XO177" s="125"/>
      <c r="XP177" s="125"/>
      <c r="XQ177" s="125"/>
      <c r="XR177" s="125"/>
      <c r="XS177" s="125"/>
      <c r="XT177" s="125"/>
      <c r="XU177" s="125"/>
      <c r="XV177" s="125"/>
      <c r="XW177" s="125"/>
      <c r="XX177" s="125"/>
      <c r="XY177" s="125"/>
      <c r="XZ177" s="125"/>
      <c r="YA177" s="125"/>
      <c r="YB177" s="125"/>
      <c r="YC177" s="125"/>
      <c r="YD177" s="125"/>
      <c r="YE177" s="125"/>
      <c r="YF177" s="125"/>
      <c r="YG177" s="125"/>
      <c r="YH177" s="125"/>
      <c r="YI177" s="125"/>
      <c r="YJ177" s="125"/>
      <c r="YK177" s="125"/>
      <c r="YL177" s="125"/>
      <c r="YM177" s="125"/>
      <c r="YN177" s="125"/>
      <c r="YO177" s="125"/>
      <c r="YP177" s="125"/>
      <c r="YQ177" s="125"/>
      <c r="YR177" s="125"/>
      <c r="YS177" s="125"/>
      <c r="YT177" s="125"/>
      <c r="YU177" s="125"/>
      <c r="YV177" s="125"/>
      <c r="YW177" s="125"/>
      <c r="YX177" s="125"/>
      <c r="YY177" s="125"/>
      <c r="YZ177" s="125"/>
      <c r="ZA177" s="125"/>
      <c r="ZB177" s="125"/>
      <c r="ZC177" s="125"/>
      <c r="ZD177" s="125"/>
      <c r="ZE177" s="125"/>
      <c r="ZF177" s="125"/>
      <c r="ZG177" s="125"/>
      <c r="ZH177" s="125"/>
      <c r="ZI177" s="125"/>
      <c r="ZJ177" s="125"/>
      <c r="ZK177" s="125"/>
      <c r="ZL177" s="125"/>
      <c r="ZM177" s="125"/>
      <c r="ZN177" s="125"/>
      <c r="ZO177" s="125"/>
      <c r="ZP177" s="125"/>
      <c r="ZQ177" s="125"/>
      <c r="ZR177" s="125"/>
      <c r="ZS177" s="125"/>
      <c r="ZT177" s="125"/>
      <c r="ZU177" s="125"/>
      <c r="ZV177" s="125"/>
      <c r="ZW177" s="125"/>
      <c r="ZX177" s="125"/>
      <c r="ZY177" s="125"/>
      <c r="ZZ177" s="125"/>
      <c r="AAA177" s="125"/>
      <c r="AAB177" s="125"/>
      <c r="AAC177" s="125"/>
      <c r="AAD177" s="125"/>
      <c r="AAE177" s="125"/>
      <c r="AAF177" s="125"/>
      <c r="AAG177" s="125"/>
      <c r="AAH177" s="125"/>
      <c r="AAI177" s="125"/>
      <c r="AAJ177" s="125"/>
      <c r="AAK177" s="125"/>
      <c r="AAL177" s="125"/>
      <c r="AAM177" s="125"/>
      <c r="AAN177" s="125"/>
      <c r="AAO177" s="125"/>
      <c r="AAP177" s="125"/>
      <c r="AAQ177" s="125"/>
      <c r="AAR177" s="125"/>
      <c r="AAS177" s="125"/>
      <c r="AAT177" s="125"/>
      <c r="AAU177" s="125"/>
      <c r="AAV177" s="125"/>
      <c r="AAW177" s="125"/>
      <c r="AAX177" s="125"/>
      <c r="AAY177" s="125"/>
      <c r="AAZ177" s="125"/>
      <c r="ABA177" s="125"/>
      <c r="ABB177" s="125"/>
      <c r="ABC177" s="125"/>
      <c r="ABD177" s="125"/>
      <c r="ABE177" s="125"/>
      <c r="ABF177" s="125"/>
      <c r="ABG177" s="125"/>
      <c r="ABH177" s="125"/>
      <c r="ABI177" s="125"/>
      <c r="ABJ177" s="125"/>
      <c r="ABK177" s="125"/>
      <c r="ABL177" s="125"/>
      <c r="ABM177" s="125"/>
      <c r="ABN177" s="125"/>
      <c r="ABO177" s="125"/>
      <c r="ABP177" s="125"/>
      <c r="ABQ177" s="125"/>
      <c r="ABR177" s="125"/>
      <c r="ABS177" s="125"/>
      <c r="ABT177" s="125"/>
      <c r="ABU177" s="125"/>
      <c r="ABV177" s="125"/>
      <c r="ABW177" s="125"/>
      <c r="ABX177" s="125"/>
      <c r="ABY177" s="125"/>
      <c r="ABZ177" s="125"/>
      <c r="ACA177" s="125"/>
      <c r="ACB177" s="125"/>
      <c r="ACC177" s="125"/>
      <c r="ACD177" s="125"/>
      <c r="ACE177" s="125"/>
      <c r="ACF177" s="125"/>
      <c r="ACG177" s="125"/>
      <c r="ACH177" s="125"/>
      <c r="ACI177" s="125"/>
      <c r="ACJ177" s="125"/>
      <c r="ACK177" s="125"/>
      <c r="ACL177" s="125"/>
      <c r="ACM177" s="125"/>
      <c r="ACN177" s="125"/>
      <c r="ACO177" s="125"/>
      <c r="ACP177" s="125"/>
      <c r="ACQ177" s="125"/>
      <c r="ACR177" s="125"/>
      <c r="ACS177" s="125"/>
      <c r="ACT177" s="125"/>
      <c r="ACU177" s="125"/>
      <c r="ACV177" s="125"/>
      <c r="ACW177" s="125"/>
      <c r="ACX177" s="125"/>
      <c r="ACY177" s="125"/>
      <c r="ACZ177" s="125"/>
      <c r="ADA177" s="125"/>
      <c r="ADB177" s="125"/>
      <c r="ADC177" s="125"/>
      <c r="ADD177" s="125"/>
      <c r="ADE177" s="125"/>
      <c r="ADF177" s="125"/>
      <c r="ADG177" s="125"/>
      <c r="ADH177" s="125"/>
      <c r="ADI177" s="125"/>
      <c r="ADJ177" s="125"/>
      <c r="ADK177" s="125"/>
      <c r="ADL177" s="125"/>
      <c r="ADM177" s="125"/>
      <c r="ADN177" s="125"/>
      <c r="ADO177" s="125"/>
      <c r="ADP177" s="125"/>
      <c r="ADQ177" s="125"/>
      <c r="ADR177" s="125"/>
      <c r="ADS177" s="125"/>
      <c r="ADT177" s="125"/>
      <c r="ADU177" s="125"/>
      <c r="ADV177" s="125"/>
      <c r="ADW177" s="125"/>
      <c r="ADX177" s="125"/>
      <c r="ADY177" s="125"/>
      <c r="ADZ177" s="125"/>
      <c r="AEA177" s="125"/>
      <c r="AEB177" s="125"/>
      <c r="AEC177" s="125"/>
      <c r="AED177" s="125"/>
      <c r="AEE177" s="125"/>
      <c r="AEF177" s="125"/>
      <c r="AEG177" s="125"/>
      <c r="AEH177" s="125"/>
      <c r="AEI177" s="125"/>
      <c r="AEJ177" s="125"/>
      <c r="AEK177" s="125"/>
      <c r="AEL177" s="125"/>
      <c r="AEM177" s="125"/>
      <c r="AEN177" s="125"/>
      <c r="AEO177" s="125"/>
      <c r="AEP177" s="125"/>
      <c r="AEQ177" s="125"/>
      <c r="AER177" s="125"/>
      <c r="AES177" s="125"/>
      <c r="AET177" s="125"/>
      <c r="AEU177" s="125"/>
      <c r="AEV177" s="125"/>
      <c r="AEW177" s="125"/>
      <c r="AEX177" s="125"/>
      <c r="AEY177" s="125"/>
      <c r="AEZ177" s="125"/>
      <c r="AFA177" s="125"/>
      <c r="AFB177" s="125"/>
      <c r="AFC177" s="125"/>
      <c r="AFD177" s="125"/>
      <c r="AFE177" s="125"/>
      <c r="AFF177" s="125"/>
      <c r="AFG177" s="125"/>
      <c r="AFH177" s="125"/>
      <c r="AFI177" s="125"/>
      <c r="AFJ177" s="125"/>
      <c r="AFK177" s="125"/>
      <c r="AFL177" s="125"/>
      <c r="AFM177" s="125"/>
      <c r="AFN177" s="125"/>
      <c r="AFO177" s="125"/>
      <c r="AFP177" s="125"/>
      <c r="AFQ177" s="125"/>
      <c r="AFR177" s="125"/>
      <c r="AFS177" s="125"/>
      <c r="AFT177" s="125"/>
      <c r="AFU177" s="125"/>
      <c r="AFV177" s="125"/>
      <c r="AFW177" s="125"/>
      <c r="AFX177" s="125"/>
      <c r="AFY177" s="125"/>
      <c r="AFZ177" s="125"/>
      <c r="AGA177" s="125"/>
      <c r="AGB177" s="125"/>
      <c r="AGC177" s="125"/>
      <c r="AGD177" s="125"/>
      <c r="AGE177" s="125"/>
      <c r="AGF177" s="125"/>
      <c r="AGG177" s="125"/>
      <c r="AGH177" s="125"/>
      <c r="AGI177" s="125"/>
      <c r="AGJ177" s="125"/>
      <c r="AGK177" s="125"/>
      <c r="AGL177" s="125"/>
      <c r="AGM177" s="125"/>
      <c r="AGN177" s="125"/>
      <c r="AGO177" s="125"/>
      <c r="AGP177" s="125"/>
      <c r="AGQ177" s="125"/>
      <c r="AGR177" s="125"/>
      <c r="AGS177" s="125"/>
      <c r="AGT177" s="125"/>
      <c r="AGU177" s="125"/>
      <c r="AGV177" s="125"/>
      <c r="AGW177" s="125"/>
      <c r="AGX177" s="125"/>
      <c r="AGY177" s="125"/>
      <c r="AGZ177" s="125"/>
      <c r="AHA177" s="125"/>
      <c r="AHB177" s="125"/>
      <c r="AHC177" s="125"/>
      <c r="AHD177" s="125"/>
      <c r="AHE177" s="125"/>
      <c r="AHF177" s="125"/>
      <c r="AHG177" s="125"/>
      <c r="AHH177" s="125"/>
      <c r="AHI177" s="125"/>
      <c r="AHJ177" s="125"/>
      <c r="AHK177" s="125"/>
      <c r="AHL177" s="125"/>
      <c r="AHM177" s="125"/>
      <c r="AHN177" s="125"/>
      <c r="AHO177" s="125"/>
      <c r="AHP177" s="125"/>
      <c r="AHQ177" s="125"/>
      <c r="AHR177" s="125"/>
      <c r="AHS177" s="125"/>
      <c r="AHT177" s="125"/>
      <c r="AHU177" s="125"/>
      <c r="AHV177" s="125"/>
      <c r="AHW177" s="125"/>
      <c r="AHX177" s="125"/>
      <c r="AHY177" s="125"/>
      <c r="AHZ177" s="125"/>
      <c r="AIA177" s="125"/>
      <c r="AIB177" s="125"/>
      <c r="AIC177" s="125"/>
      <c r="AID177" s="125"/>
      <c r="AIE177" s="125"/>
      <c r="AIF177" s="125"/>
      <c r="AIG177" s="125"/>
      <c r="AIH177" s="125"/>
      <c r="AII177" s="125"/>
      <c r="AIJ177" s="125"/>
      <c r="AIK177" s="125"/>
      <c r="AIL177" s="125"/>
      <c r="AIM177" s="125"/>
      <c r="AIN177" s="125"/>
      <c r="AIO177" s="125"/>
      <c r="AIP177" s="125"/>
      <c r="AIQ177" s="125"/>
      <c r="AIR177" s="125"/>
      <c r="AIS177" s="125"/>
      <c r="AIT177" s="125"/>
      <c r="AIU177" s="125"/>
      <c r="AIV177" s="125"/>
      <c r="AIW177" s="125"/>
      <c r="AIX177" s="125"/>
      <c r="AIY177" s="125"/>
      <c r="AIZ177" s="125"/>
      <c r="AJA177" s="125"/>
      <c r="AJB177" s="125"/>
      <c r="AJC177" s="125"/>
      <c r="AJD177" s="125"/>
      <c r="AJE177" s="125"/>
      <c r="AJF177" s="125"/>
      <c r="AJG177" s="125"/>
      <c r="AJH177" s="125"/>
      <c r="AJI177" s="125"/>
      <c r="AJJ177" s="125"/>
      <c r="AJK177" s="125"/>
      <c r="AJL177" s="125"/>
      <c r="AJM177" s="125"/>
      <c r="AJN177" s="125"/>
      <c r="AJO177" s="125"/>
      <c r="AJP177" s="125"/>
      <c r="AJQ177" s="125"/>
      <c r="AJR177" s="125"/>
      <c r="AJS177" s="125"/>
      <c r="AJT177" s="125"/>
      <c r="AJU177" s="125"/>
      <c r="AJV177" s="125"/>
      <c r="AJW177" s="125"/>
      <c r="AJX177" s="125"/>
      <c r="AJY177" s="125"/>
      <c r="AJZ177" s="125"/>
      <c r="AKA177" s="125"/>
      <c r="AKB177" s="125"/>
      <c r="AKC177" s="125"/>
      <c r="AKD177" s="125"/>
      <c r="AKE177" s="125"/>
      <c r="AKF177" s="125"/>
      <c r="AKG177" s="125"/>
      <c r="AKH177" s="125"/>
      <c r="AKI177" s="125"/>
      <c r="AKJ177" s="125"/>
      <c r="AKK177" s="125"/>
      <c r="AKL177" s="125"/>
      <c r="AKM177" s="125"/>
      <c r="AKN177" s="125"/>
      <c r="AKO177" s="125"/>
      <c r="AKP177" s="125"/>
      <c r="AKQ177" s="125"/>
      <c r="AKR177" s="125"/>
      <c r="AKS177" s="125"/>
      <c r="AKT177" s="125"/>
      <c r="AKU177" s="125"/>
      <c r="AKV177" s="125"/>
      <c r="AKW177" s="125"/>
      <c r="AKX177" s="125"/>
      <c r="AKY177" s="125"/>
      <c r="AKZ177" s="125"/>
      <c r="ALA177" s="125"/>
      <c r="ALB177" s="125"/>
      <c r="ALC177" s="125"/>
      <c r="ALD177" s="125"/>
      <c r="ALE177" s="125"/>
      <c r="ALF177" s="125"/>
      <c r="ALG177" s="125"/>
      <c r="ALH177" s="125"/>
      <c r="ALI177" s="125"/>
      <c r="ALJ177" s="125"/>
      <c r="ALK177" s="125"/>
      <c r="ALL177" s="125"/>
      <c r="ALM177" s="125"/>
      <c r="ALN177" s="125"/>
      <c r="ALO177" s="125"/>
      <c r="ALP177" s="125"/>
      <c r="ALQ177" s="125"/>
      <c r="ALR177" s="125"/>
      <c r="ALS177" s="125"/>
      <c r="ALT177" s="125"/>
      <c r="ALU177" s="125"/>
      <c r="ALV177" s="125"/>
      <c r="ALW177" s="125"/>
      <c r="ALX177" s="125"/>
      <c r="ALY177" s="125"/>
      <c r="ALZ177" s="125"/>
      <c r="AMA177" s="125"/>
      <c r="AMB177" s="125"/>
      <c r="AMC177" s="125"/>
      <c r="AMD177" s="125"/>
      <c r="AME177" s="125"/>
      <c r="AMF177" s="125"/>
      <c r="AMG177" s="125"/>
      <c r="AMH177" s="125"/>
      <c r="AMI177" s="125"/>
      <c r="AMJ177" s="125"/>
      <c r="AMK177" s="125"/>
      <c r="AML177" s="125"/>
      <c r="AMM177" s="125"/>
      <c r="AMN177" s="125"/>
      <c r="AMO177" s="125"/>
      <c r="AMP177" s="125"/>
      <c r="AMQ177" s="125"/>
      <c r="AMR177" s="125"/>
      <c r="AMS177" s="125"/>
      <c r="AMT177" s="125"/>
      <c r="AMU177" s="125"/>
      <c r="AMV177" s="125"/>
      <c r="AMW177" s="125"/>
      <c r="AMX177" s="125"/>
      <c r="AMY177" s="125"/>
      <c r="AMZ177" s="125"/>
      <c r="ANA177" s="125"/>
      <c r="ANB177" s="125"/>
      <c r="ANC177" s="125"/>
      <c r="AND177" s="125"/>
      <c r="ANE177" s="125"/>
      <c r="ANF177" s="125"/>
      <c r="ANG177" s="125"/>
      <c r="ANH177" s="125"/>
      <c r="ANI177" s="125"/>
      <c r="ANJ177" s="125"/>
      <c r="ANK177" s="125"/>
      <c r="ANL177" s="125"/>
      <c r="ANM177" s="125"/>
      <c r="ANN177" s="125"/>
      <c r="ANO177" s="125"/>
      <c r="ANP177" s="125"/>
      <c r="ANQ177" s="125"/>
      <c r="ANR177" s="125"/>
      <c r="ANS177" s="125"/>
      <c r="ANT177" s="125"/>
      <c r="ANU177" s="125"/>
      <c r="ANV177" s="125"/>
      <c r="ANW177" s="125"/>
      <c r="ANX177" s="125"/>
      <c r="ANY177" s="125"/>
      <c r="ANZ177" s="125"/>
      <c r="AOA177" s="125"/>
      <c r="AOB177" s="125"/>
      <c r="AOC177" s="125"/>
      <c r="AOD177" s="125"/>
      <c r="AOE177" s="125"/>
      <c r="AOF177" s="125"/>
      <c r="AOG177" s="125"/>
      <c r="AOH177" s="125"/>
      <c r="AOI177" s="125"/>
      <c r="AOJ177" s="125"/>
      <c r="AOK177" s="125"/>
      <c r="AOL177" s="125"/>
      <c r="AOM177" s="125"/>
      <c r="AON177" s="125"/>
      <c r="AOO177" s="125"/>
      <c r="AOP177" s="125"/>
      <c r="AOQ177" s="125"/>
      <c r="AOR177" s="125"/>
      <c r="AOS177" s="125"/>
      <c r="AOT177" s="125"/>
      <c r="AOU177" s="125"/>
      <c r="AOV177" s="125"/>
      <c r="AOW177" s="125"/>
      <c r="AOX177" s="125"/>
      <c r="AOY177" s="125"/>
      <c r="AOZ177" s="125"/>
      <c r="APA177" s="125"/>
      <c r="APB177" s="125"/>
      <c r="APC177" s="125"/>
      <c r="APD177" s="125"/>
      <c r="APE177" s="125"/>
      <c r="APF177" s="125"/>
      <c r="APG177" s="125"/>
      <c r="APH177" s="125"/>
      <c r="API177" s="125"/>
      <c r="APJ177" s="125"/>
      <c r="APK177" s="125"/>
      <c r="APL177" s="125"/>
      <c r="APM177" s="125"/>
      <c r="APN177" s="125"/>
      <c r="APO177" s="125"/>
      <c r="APP177" s="125"/>
      <c r="APQ177" s="125"/>
      <c r="APR177" s="125"/>
      <c r="APS177" s="125"/>
      <c r="APT177" s="125"/>
      <c r="APU177" s="125"/>
      <c r="APV177" s="125"/>
      <c r="APW177" s="125"/>
      <c r="APX177" s="125"/>
      <c r="APY177" s="125"/>
      <c r="APZ177" s="125"/>
      <c r="AQA177" s="125"/>
      <c r="AQB177" s="125"/>
      <c r="AQC177" s="125"/>
      <c r="AQD177" s="125"/>
      <c r="AQE177" s="125"/>
      <c r="AQF177" s="125"/>
      <c r="AQG177" s="125"/>
      <c r="AQH177" s="125"/>
      <c r="AQI177" s="125"/>
      <c r="AQJ177" s="125"/>
      <c r="AQK177" s="125"/>
      <c r="AQL177" s="125"/>
      <c r="AQM177" s="125"/>
      <c r="AQN177" s="125"/>
      <c r="AQO177" s="125"/>
      <c r="AQP177" s="125"/>
      <c r="AQQ177" s="125"/>
      <c r="AQR177" s="125"/>
      <c r="AQS177" s="125"/>
      <c r="AQT177" s="125"/>
      <c r="AQU177" s="125"/>
      <c r="AQV177" s="125"/>
      <c r="AQW177" s="125"/>
      <c r="AQX177" s="125"/>
      <c r="AQY177" s="125"/>
      <c r="AQZ177" s="125"/>
      <c r="ARA177" s="125"/>
      <c r="ARB177" s="125"/>
      <c r="ARC177" s="125"/>
      <c r="ARD177" s="125"/>
      <c r="ARE177" s="125"/>
      <c r="ARF177" s="125"/>
      <c r="ARG177" s="125"/>
      <c r="ARH177" s="125"/>
      <c r="ARI177" s="125"/>
      <c r="ARJ177" s="125"/>
      <c r="ARK177" s="125"/>
      <c r="ARL177" s="125"/>
      <c r="ARM177" s="125"/>
      <c r="ARN177" s="125"/>
      <c r="ARO177" s="125"/>
      <c r="ARP177" s="125"/>
      <c r="ARQ177" s="125"/>
      <c r="ARR177" s="125"/>
      <c r="ARS177" s="125"/>
      <c r="ART177" s="125"/>
      <c r="ARU177" s="125"/>
      <c r="ARV177" s="125"/>
      <c r="ARW177" s="125"/>
      <c r="ARX177" s="125"/>
      <c r="ARY177" s="125"/>
      <c r="ARZ177" s="125"/>
      <c r="ASA177" s="125"/>
      <c r="ASB177" s="125"/>
      <c r="ASC177" s="125"/>
      <c r="ASD177" s="125"/>
      <c r="ASE177" s="125"/>
      <c r="ASF177" s="125"/>
      <c r="ASG177" s="125"/>
      <c r="ASH177" s="125"/>
      <c r="ASI177" s="125"/>
      <c r="ASJ177" s="125"/>
      <c r="ASK177" s="125"/>
      <c r="ASL177" s="125"/>
      <c r="ASM177" s="125"/>
      <c r="ASN177" s="125"/>
      <c r="ASO177" s="125"/>
      <c r="ASP177" s="125"/>
      <c r="ASQ177" s="125"/>
      <c r="ASR177" s="125"/>
      <c r="ASS177" s="125"/>
      <c r="AST177" s="125"/>
      <c r="ASU177" s="125"/>
      <c r="ASV177" s="125"/>
      <c r="ASW177" s="125"/>
      <c r="ASX177" s="125"/>
      <c r="ASY177" s="125"/>
      <c r="ASZ177" s="125"/>
      <c r="ATA177" s="125"/>
      <c r="ATB177" s="125"/>
      <c r="ATC177" s="125"/>
      <c r="ATD177" s="125"/>
      <c r="ATE177" s="125"/>
      <c r="ATF177" s="125"/>
      <c r="ATG177" s="125"/>
      <c r="ATH177" s="125"/>
      <c r="ATI177" s="125"/>
      <c r="ATJ177" s="125"/>
      <c r="ATK177" s="125"/>
      <c r="ATL177" s="125"/>
      <c r="ATM177" s="125"/>
      <c r="ATN177" s="125"/>
      <c r="ATO177" s="125"/>
      <c r="ATP177" s="125"/>
      <c r="ATQ177" s="125"/>
      <c r="ATR177" s="125"/>
      <c r="ATS177" s="125"/>
      <c r="ATT177" s="125"/>
      <c r="ATU177" s="125"/>
      <c r="ATV177" s="125"/>
      <c r="ATW177" s="125"/>
      <c r="ATX177" s="125"/>
      <c r="ATY177" s="125"/>
      <c r="ATZ177" s="125"/>
      <c r="AUA177" s="125"/>
      <c r="AUB177" s="125"/>
      <c r="AUC177" s="125"/>
      <c r="AUD177" s="125"/>
      <c r="AUE177" s="125"/>
      <c r="AUF177" s="125"/>
      <c r="AUG177" s="125"/>
      <c r="AUH177" s="125"/>
      <c r="AUI177" s="125"/>
      <c r="AUJ177" s="125"/>
      <c r="AUK177" s="125"/>
      <c r="AUL177" s="125"/>
      <c r="AUM177" s="125"/>
      <c r="AUN177" s="125"/>
      <c r="AUO177" s="125"/>
      <c r="AUP177" s="125"/>
      <c r="AUQ177" s="125"/>
      <c r="AUR177" s="125"/>
      <c r="AUS177" s="125"/>
      <c r="AUT177" s="125"/>
      <c r="AUU177" s="125"/>
      <c r="AUV177" s="125"/>
      <c r="AUW177" s="125"/>
      <c r="AUX177" s="125"/>
      <c r="AUY177" s="125"/>
      <c r="AUZ177" s="125"/>
      <c r="AVA177" s="125"/>
      <c r="AVB177" s="125"/>
      <c r="AVC177" s="125"/>
      <c r="AVD177" s="125"/>
      <c r="AVE177" s="125"/>
      <c r="AVF177" s="125"/>
      <c r="AVG177" s="125"/>
      <c r="AVH177" s="125"/>
      <c r="AVI177" s="125"/>
      <c r="AVJ177" s="125"/>
      <c r="AVK177" s="125"/>
      <c r="AVL177" s="125"/>
      <c r="AVM177" s="125"/>
      <c r="AVN177" s="125"/>
      <c r="AVO177" s="125"/>
      <c r="AVP177" s="125"/>
      <c r="AVQ177" s="125"/>
      <c r="AVR177" s="125"/>
      <c r="AVS177" s="125"/>
      <c r="AVT177" s="125"/>
      <c r="AVU177" s="125"/>
      <c r="AVV177" s="125"/>
      <c r="AVW177" s="125"/>
      <c r="AVX177" s="125"/>
      <c r="AVY177" s="125"/>
      <c r="AVZ177" s="125"/>
      <c r="AWA177" s="125"/>
      <c r="AWB177" s="125"/>
      <c r="AWC177" s="125"/>
      <c r="AWD177" s="125"/>
      <c r="AWE177" s="125"/>
      <c r="AWF177" s="125"/>
      <c r="AWG177" s="125"/>
      <c r="AWH177" s="125"/>
      <c r="AWI177" s="125"/>
      <c r="AWJ177" s="125"/>
      <c r="AWK177" s="125"/>
      <c r="AWL177" s="125"/>
      <c r="AWM177" s="125"/>
      <c r="AWN177" s="125"/>
      <c r="AWO177" s="125"/>
      <c r="AWP177" s="125"/>
      <c r="AWQ177" s="125"/>
      <c r="AWR177" s="125"/>
      <c r="AWS177" s="125"/>
      <c r="AWT177" s="125"/>
      <c r="AWU177" s="125"/>
      <c r="AWV177" s="125"/>
      <c r="AWW177" s="125"/>
      <c r="AWX177" s="125"/>
      <c r="AWY177" s="125"/>
      <c r="AWZ177" s="125"/>
      <c r="AXA177" s="125"/>
      <c r="AXB177" s="125"/>
      <c r="AXC177" s="125"/>
      <c r="AXD177" s="125"/>
      <c r="AXE177" s="125"/>
      <c r="AXF177" s="125"/>
      <c r="AXG177" s="125"/>
      <c r="AXH177" s="125"/>
      <c r="AXI177" s="125"/>
      <c r="AXJ177" s="125"/>
      <c r="AXK177" s="125"/>
      <c r="AXL177" s="125"/>
      <c r="AXM177" s="125"/>
      <c r="AXN177" s="125"/>
      <c r="AXO177" s="125"/>
      <c r="AXP177" s="125"/>
      <c r="AXQ177" s="125"/>
      <c r="AXR177" s="125"/>
      <c r="AXS177" s="125"/>
      <c r="AXT177" s="125"/>
      <c r="AXU177" s="125"/>
      <c r="AXV177" s="125"/>
      <c r="AXW177" s="125"/>
      <c r="AXX177" s="125"/>
      <c r="AXY177" s="125"/>
      <c r="AXZ177" s="125"/>
      <c r="AYA177" s="125"/>
      <c r="AYB177" s="125"/>
      <c r="AYC177" s="125"/>
      <c r="AYD177" s="125"/>
      <c r="AYE177" s="125"/>
      <c r="AYF177" s="125"/>
      <c r="AYG177" s="125"/>
      <c r="AYH177" s="125"/>
      <c r="AYI177" s="125"/>
      <c r="AYJ177" s="125"/>
      <c r="AYK177" s="125"/>
      <c r="AYL177" s="125"/>
      <c r="AYM177" s="125"/>
      <c r="AYN177" s="125"/>
      <c r="AYO177" s="125"/>
      <c r="AYP177" s="125"/>
      <c r="AYQ177" s="125"/>
      <c r="AYR177" s="125"/>
      <c r="AYS177" s="125"/>
      <c r="AYT177" s="125"/>
      <c r="AYU177" s="125"/>
      <c r="AYV177" s="125"/>
      <c r="AYW177" s="125"/>
      <c r="AYX177" s="125"/>
      <c r="AYY177" s="125"/>
      <c r="AYZ177" s="125"/>
      <c r="AZA177" s="125"/>
      <c r="AZB177" s="125"/>
      <c r="AZC177" s="125"/>
      <c r="AZD177" s="125"/>
      <c r="AZE177" s="125"/>
      <c r="AZF177" s="125"/>
      <c r="AZG177" s="125"/>
      <c r="AZH177" s="125"/>
      <c r="AZI177" s="125"/>
      <c r="AZJ177" s="125"/>
      <c r="AZK177" s="125"/>
      <c r="AZL177" s="125"/>
      <c r="AZM177" s="125"/>
      <c r="AZN177" s="125"/>
      <c r="AZO177" s="125"/>
      <c r="AZP177" s="125"/>
      <c r="AZQ177" s="125"/>
      <c r="AZR177" s="125"/>
      <c r="AZS177" s="125"/>
      <c r="AZT177" s="125"/>
      <c r="AZU177" s="125"/>
      <c r="AZV177" s="125"/>
      <c r="AZW177" s="125"/>
      <c r="AZX177" s="125"/>
      <c r="AZY177" s="125"/>
      <c r="AZZ177" s="125"/>
      <c r="BAA177" s="125"/>
      <c r="BAB177" s="125"/>
      <c r="BAC177" s="125"/>
      <c r="BAD177" s="125"/>
      <c r="BAE177" s="125"/>
      <c r="BAF177" s="125"/>
      <c r="BAG177" s="125"/>
      <c r="BAH177" s="125"/>
      <c r="BAI177" s="125"/>
      <c r="BAJ177" s="125"/>
      <c r="BAK177" s="125"/>
      <c r="BAL177" s="125"/>
      <c r="BAM177" s="125"/>
      <c r="BAN177" s="125"/>
      <c r="BAO177" s="125"/>
      <c r="BAP177" s="125"/>
      <c r="BAQ177" s="125"/>
      <c r="BAR177" s="125"/>
      <c r="BAS177" s="125"/>
      <c r="BAT177" s="125"/>
      <c r="BAU177" s="125"/>
      <c r="BAV177" s="125"/>
      <c r="BAW177" s="125"/>
      <c r="BAX177" s="125"/>
      <c r="BAY177" s="125"/>
      <c r="BAZ177" s="125"/>
      <c r="BBA177" s="125"/>
      <c r="BBB177" s="125"/>
      <c r="BBC177" s="125"/>
      <c r="BBD177" s="125"/>
      <c r="BBE177" s="125"/>
      <c r="BBF177" s="125"/>
      <c r="BBG177" s="125"/>
      <c r="BBH177" s="125"/>
      <c r="BBI177" s="125"/>
      <c r="BBJ177" s="125"/>
      <c r="BBK177" s="125"/>
      <c r="BBL177" s="125"/>
      <c r="BBM177" s="125"/>
      <c r="BBN177" s="125"/>
      <c r="BBO177" s="125"/>
      <c r="BBP177" s="125"/>
      <c r="BBQ177" s="125"/>
      <c r="BBR177" s="125"/>
      <c r="BBS177" s="125"/>
      <c r="BBT177" s="125"/>
      <c r="BBU177" s="125"/>
      <c r="BBV177" s="125"/>
      <c r="BBW177" s="125"/>
      <c r="BBX177" s="125"/>
      <c r="BBY177" s="125"/>
      <c r="BBZ177" s="125"/>
      <c r="BCA177" s="125"/>
      <c r="BCB177" s="125"/>
      <c r="BCC177" s="125"/>
      <c r="BCD177" s="125"/>
      <c r="BCE177" s="125"/>
      <c r="BCF177" s="125"/>
      <c r="BCG177" s="125"/>
      <c r="BCH177" s="125"/>
      <c r="BCI177" s="125"/>
      <c r="BCJ177" s="125"/>
      <c r="BCK177" s="125"/>
      <c r="BCL177" s="125"/>
      <c r="BCM177" s="125"/>
      <c r="BCN177" s="125"/>
      <c r="BCO177" s="125"/>
      <c r="BCP177" s="125"/>
      <c r="BCQ177" s="125"/>
      <c r="BCR177" s="125"/>
      <c r="BCS177" s="125"/>
      <c r="BCT177" s="125"/>
      <c r="BCU177" s="125"/>
      <c r="BCV177" s="125"/>
      <c r="BCW177" s="125"/>
      <c r="BCX177" s="125"/>
      <c r="BCY177" s="125"/>
      <c r="BCZ177" s="125"/>
      <c r="BDA177" s="125"/>
      <c r="BDB177" s="125"/>
      <c r="BDC177" s="125"/>
      <c r="BDD177" s="125"/>
      <c r="BDE177" s="125"/>
      <c r="BDF177" s="125"/>
      <c r="BDG177" s="125"/>
      <c r="BDH177" s="125"/>
      <c r="BDI177" s="125"/>
      <c r="BDJ177" s="125"/>
      <c r="BDK177" s="125"/>
      <c r="BDL177" s="125"/>
      <c r="BDM177" s="125"/>
      <c r="BDN177" s="125"/>
      <c r="BDO177" s="125"/>
      <c r="BDP177" s="125"/>
      <c r="BDQ177" s="125"/>
      <c r="BDR177" s="125"/>
      <c r="BDS177" s="125"/>
      <c r="BDT177" s="125"/>
      <c r="BDU177" s="125"/>
      <c r="BDV177" s="125"/>
      <c r="BDW177" s="125"/>
      <c r="BDX177" s="125"/>
      <c r="BDY177" s="125"/>
      <c r="BDZ177" s="125"/>
      <c r="BEA177" s="125"/>
      <c r="BEB177" s="125"/>
      <c r="BEC177" s="125"/>
      <c r="BED177" s="125"/>
      <c r="BEE177" s="125"/>
      <c r="BEF177" s="125"/>
      <c r="BEG177" s="125"/>
      <c r="BEH177" s="125"/>
      <c r="BEI177" s="125"/>
      <c r="BEJ177" s="125"/>
      <c r="BEK177" s="125"/>
      <c r="BEL177" s="125"/>
      <c r="BEM177" s="125"/>
      <c r="BEN177" s="125"/>
      <c r="BEO177" s="125"/>
      <c r="BEP177" s="125"/>
      <c r="BEQ177" s="125"/>
      <c r="BER177" s="125"/>
      <c r="BES177" s="125"/>
      <c r="BET177" s="125"/>
      <c r="BEU177" s="125"/>
      <c r="BEV177" s="125"/>
      <c r="BEW177" s="125"/>
      <c r="BEX177" s="125"/>
      <c r="BEY177" s="125"/>
      <c r="BEZ177" s="125"/>
      <c r="BFA177" s="125"/>
      <c r="BFB177" s="125"/>
      <c r="BFC177" s="125"/>
      <c r="BFD177" s="125"/>
      <c r="BFE177" s="125"/>
      <c r="BFF177" s="125"/>
      <c r="BFG177" s="125"/>
      <c r="BFH177" s="125"/>
      <c r="BFI177" s="125"/>
      <c r="BFJ177" s="125"/>
      <c r="BFK177" s="125"/>
      <c r="BFL177" s="125"/>
      <c r="BFM177" s="125"/>
      <c r="BFN177" s="125"/>
      <c r="BFO177" s="125"/>
      <c r="BFP177" s="125"/>
      <c r="BFQ177" s="125"/>
      <c r="BFR177" s="125"/>
      <c r="BFS177" s="125"/>
      <c r="BFT177" s="125"/>
      <c r="BFU177" s="125"/>
      <c r="BFV177" s="125"/>
      <c r="BFW177" s="125"/>
      <c r="BFX177" s="125"/>
      <c r="BFY177" s="125"/>
      <c r="BFZ177" s="125"/>
      <c r="BGA177" s="125"/>
      <c r="BGB177" s="125"/>
      <c r="BGC177" s="125"/>
      <c r="BGD177" s="125"/>
      <c r="BGE177" s="125"/>
      <c r="BGF177" s="125"/>
      <c r="BGG177" s="125"/>
      <c r="BGH177" s="125"/>
      <c r="BGI177" s="125"/>
      <c r="BGJ177" s="125"/>
      <c r="BGK177" s="125"/>
      <c r="BGL177" s="125"/>
      <c r="BGM177" s="125"/>
      <c r="BGN177" s="125"/>
      <c r="BGO177" s="125"/>
      <c r="BGP177" s="125"/>
      <c r="BGQ177" s="125"/>
      <c r="BGR177" s="125"/>
      <c r="BGS177" s="125"/>
      <c r="BGT177" s="125"/>
      <c r="BGU177" s="125"/>
      <c r="BGV177" s="125"/>
      <c r="BGW177" s="125"/>
      <c r="BGX177" s="125"/>
      <c r="BGY177" s="125"/>
      <c r="BGZ177" s="125"/>
      <c r="BHA177" s="125"/>
      <c r="BHB177" s="125"/>
      <c r="BHC177" s="125"/>
      <c r="BHD177" s="125"/>
      <c r="BHE177" s="125"/>
      <c r="BHF177" s="125"/>
      <c r="BHG177" s="125"/>
      <c r="BHH177" s="125"/>
      <c r="BHI177" s="125"/>
      <c r="BHJ177" s="125"/>
      <c r="BHK177" s="125"/>
      <c r="BHL177" s="125"/>
      <c r="BHM177" s="125"/>
      <c r="BHN177" s="125"/>
      <c r="BHO177" s="125"/>
      <c r="BHP177" s="125"/>
      <c r="BHQ177" s="125"/>
      <c r="BHR177" s="125"/>
      <c r="BHS177" s="125"/>
      <c r="BHT177" s="125"/>
      <c r="BHU177" s="125"/>
      <c r="BHV177" s="125"/>
      <c r="BHW177" s="125"/>
      <c r="BHX177" s="125"/>
      <c r="BHY177" s="125"/>
      <c r="BHZ177" s="125"/>
      <c r="BIA177" s="125"/>
      <c r="BIB177" s="125"/>
      <c r="BIC177" s="125"/>
      <c r="BID177" s="125"/>
      <c r="BIE177" s="125"/>
      <c r="BIF177" s="125"/>
      <c r="BIG177" s="125"/>
      <c r="BIH177" s="125"/>
      <c r="BII177" s="125"/>
      <c r="BIJ177" s="125"/>
      <c r="BIK177" s="125"/>
      <c r="BIL177" s="125"/>
      <c r="BIM177" s="125"/>
      <c r="BIN177" s="125"/>
      <c r="BIO177" s="125"/>
      <c r="BIP177" s="125"/>
      <c r="BIQ177" s="125"/>
      <c r="BIR177" s="125"/>
      <c r="BIS177" s="125"/>
      <c r="BIT177" s="125"/>
      <c r="BIU177" s="125"/>
      <c r="BIV177" s="125"/>
      <c r="BIW177" s="125"/>
      <c r="BIX177" s="125"/>
      <c r="BIY177" s="125"/>
      <c r="BIZ177" s="125"/>
      <c r="BJA177" s="125"/>
      <c r="BJB177" s="125"/>
      <c r="BJC177" s="125"/>
      <c r="BJD177" s="125"/>
      <c r="BJE177" s="125"/>
      <c r="BJF177" s="125"/>
      <c r="BJG177" s="125"/>
      <c r="BJH177" s="125"/>
      <c r="BJI177" s="125"/>
      <c r="BJJ177" s="125"/>
      <c r="BJK177" s="125"/>
      <c r="BJL177" s="125"/>
      <c r="BJM177" s="125"/>
      <c r="BJN177" s="125"/>
      <c r="BJO177" s="125"/>
      <c r="BJP177" s="125"/>
      <c r="BJQ177" s="125"/>
      <c r="BJR177" s="125"/>
      <c r="BJS177" s="125"/>
      <c r="BJT177" s="125"/>
      <c r="BJU177" s="125"/>
      <c r="BJV177" s="125"/>
      <c r="BJW177" s="125"/>
      <c r="BJX177" s="125"/>
      <c r="BJY177" s="125"/>
      <c r="BJZ177" s="125"/>
      <c r="BKA177" s="125"/>
      <c r="BKB177" s="125"/>
      <c r="BKC177" s="125"/>
      <c r="BKD177" s="125"/>
      <c r="BKE177" s="125"/>
      <c r="BKF177" s="125"/>
      <c r="BKG177" s="125"/>
      <c r="BKH177" s="125"/>
      <c r="BKI177" s="125"/>
      <c r="BKJ177" s="125"/>
      <c r="BKK177" s="125"/>
      <c r="BKL177" s="125"/>
      <c r="BKM177" s="125"/>
      <c r="BKN177" s="125"/>
      <c r="BKO177" s="125"/>
      <c r="BKP177" s="125"/>
      <c r="BKQ177" s="125"/>
      <c r="BKR177" s="125"/>
      <c r="BKS177" s="125"/>
      <c r="BKT177" s="125"/>
      <c r="BKU177" s="125"/>
      <c r="BKV177" s="125"/>
      <c r="BKW177" s="125"/>
      <c r="BKX177" s="125"/>
      <c r="BKY177" s="125"/>
      <c r="BKZ177" s="125"/>
      <c r="BLA177" s="125"/>
      <c r="BLB177" s="125"/>
      <c r="BLC177" s="125"/>
      <c r="BLD177" s="125"/>
      <c r="BLE177" s="125"/>
      <c r="BLF177" s="125"/>
      <c r="BLG177" s="125"/>
      <c r="BLH177" s="125"/>
      <c r="BLI177" s="125"/>
      <c r="BLJ177" s="125"/>
      <c r="BLK177" s="125"/>
      <c r="BLL177" s="125"/>
      <c r="BLM177" s="125"/>
      <c r="BLN177" s="125"/>
      <c r="BLO177" s="125"/>
      <c r="BLP177" s="125"/>
      <c r="BLQ177" s="125"/>
      <c r="BLR177" s="125"/>
      <c r="BLS177" s="125"/>
      <c r="BLT177" s="125"/>
      <c r="BLU177" s="125"/>
      <c r="BLV177" s="125"/>
      <c r="BLW177" s="125"/>
      <c r="BLX177" s="125"/>
      <c r="BLY177" s="125"/>
      <c r="BLZ177" s="125"/>
      <c r="BMA177" s="125"/>
      <c r="BMB177" s="125"/>
      <c r="BMC177" s="125"/>
      <c r="BMD177" s="125"/>
      <c r="BME177" s="125"/>
      <c r="BMF177" s="125"/>
      <c r="BMG177" s="125"/>
      <c r="BMH177" s="125"/>
      <c r="BMI177" s="125"/>
      <c r="BMJ177" s="125"/>
      <c r="BMK177" s="125"/>
      <c r="BML177" s="125"/>
      <c r="BMM177" s="125"/>
      <c r="BMN177" s="125"/>
      <c r="BMO177" s="125"/>
      <c r="BMP177" s="125"/>
      <c r="BMQ177" s="125"/>
      <c r="BMR177" s="125"/>
      <c r="BMS177" s="125"/>
      <c r="BMT177" s="125"/>
      <c r="BMU177" s="125"/>
      <c r="BMV177" s="125"/>
      <c r="BMW177" s="125"/>
      <c r="BMX177" s="125"/>
      <c r="BMY177" s="125"/>
      <c r="BMZ177" s="125"/>
      <c r="BNA177" s="125"/>
      <c r="BNB177" s="125"/>
      <c r="BNC177" s="125"/>
      <c r="BND177" s="125"/>
      <c r="BNE177" s="125"/>
      <c r="BNF177" s="125"/>
      <c r="BNG177" s="125"/>
      <c r="BNH177" s="125"/>
      <c r="BNI177" s="125"/>
      <c r="BNJ177" s="125"/>
      <c r="BNK177" s="125"/>
      <c r="BNL177" s="125"/>
      <c r="BNM177" s="125"/>
      <c r="BNN177" s="125"/>
      <c r="BNO177" s="125"/>
      <c r="BNP177" s="125"/>
      <c r="BNQ177" s="125"/>
      <c r="BNR177" s="125"/>
      <c r="BNS177" s="125"/>
      <c r="BNT177" s="125"/>
      <c r="BNU177" s="125"/>
      <c r="BNV177" s="125"/>
      <c r="BNW177" s="125"/>
      <c r="BNX177" s="125"/>
      <c r="BNY177" s="125"/>
      <c r="BNZ177" s="125"/>
      <c r="BOA177" s="125"/>
      <c r="BOB177" s="125"/>
      <c r="BOC177" s="125"/>
      <c r="BOD177" s="125"/>
      <c r="BOE177" s="125"/>
      <c r="BOF177" s="125"/>
      <c r="BOG177" s="125"/>
      <c r="BOH177" s="125"/>
      <c r="BOI177" s="125"/>
      <c r="BOJ177" s="125"/>
      <c r="BOK177" s="125"/>
      <c r="BOL177" s="125"/>
      <c r="BOM177" s="125"/>
      <c r="BON177" s="125"/>
      <c r="BOO177" s="125"/>
      <c r="BOP177" s="125"/>
      <c r="BOQ177" s="125"/>
      <c r="BOR177" s="125"/>
      <c r="BOS177" s="125"/>
      <c r="BOT177" s="125"/>
      <c r="BOU177" s="125"/>
      <c r="BOV177" s="125"/>
      <c r="BOW177" s="125"/>
      <c r="BOX177" s="125"/>
      <c r="BOY177" s="125"/>
      <c r="BOZ177" s="125"/>
      <c r="BPA177" s="125"/>
      <c r="BPB177" s="125"/>
      <c r="BPC177" s="125"/>
      <c r="BPD177" s="125"/>
      <c r="BPE177" s="125"/>
      <c r="BPF177" s="125"/>
      <c r="BPG177" s="125"/>
      <c r="BPH177" s="125"/>
      <c r="BPI177" s="125"/>
      <c r="BPJ177" s="125"/>
      <c r="BPK177" s="125"/>
      <c r="BPL177" s="125"/>
      <c r="BPM177" s="125"/>
      <c r="BPN177" s="125"/>
      <c r="BPO177" s="125"/>
      <c r="BPP177" s="125"/>
      <c r="BPQ177" s="125"/>
      <c r="BPR177" s="125"/>
      <c r="BPS177" s="125"/>
      <c r="BPT177" s="125"/>
      <c r="BPU177" s="125"/>
      <c r="BPV177" s="125"/>
      <c r="BPW177" s="125"/>
      <c r="BPX177" s="125"/>
      <c r="BPY177" s="125"/>
      <c r="BPZ177" s="125"/>
      <c r="BQA177" s="125"/>
      <c r="BQB177" s="125"/>
      <c r="BQC177" s="125"/>
      <c r="BQD177" s="125"/>
      <c r="BQE177" s="125"/>
      <c r="BQF177" s="125"/>
      <c r="BQG177" s="125"/>
      <c r="BQH177" s="125"/>
      <c r="BQI177" s="125"/>
      <c r="BQJ177" s="125"/>
      <c r="BQK177" s="125"/>
      <c r="BQL177" s="125"/>
      <c r="BQM177" s="125"/>
      <c r="BQN177" s="125"/>
      <c r="BQO177" s="125"/>
      <c r="BQP177" s="125"/>
      <c r="BQQ177" s="125"/>
      <c r="BQR177" s="125"/>
      <c r="BQS177" s="125"/>
      <c r="BQT177" s="125"/>
      <c r="BQU177" s="125"/>
      <c r="BQV177" s="125"/>
      <c r="BQW177" s="125"/>
      <c r="BQX177" s="125"/>
      <c r="BQY177" s="125"/>
      <c r="BQZ177" s="125"/>
      <c r="BRA177" s="125"/>
      <c r="BRB177" s="125"/>
      <c r="BRC177" s="125"/>
      <c r="BRD177" s="125"/>
      <c r="BRE177" s="125"/>
      <c r="BRF177" s="125"/>
      <c r="BRG177" s="125"/>
      <c r="BRH177" s="125"/>
      <c r="BRI177" s="125"/>
      <c r="BRJ177" s="125"/>
      <c r="BRK177" s="125"/>
      <c r="BRL177" s="125"/>
      <c r="BRM177" s="125"/>
      <c r="BRN177" s="125"/>
      <c r="BRO177" s="125"/>
      <c r="BRP177" s="125"/>
      <c r="BRQ177" s="125"/>
      <c r="BRR177" s="125"/>
      <c r="BRS177" s="125"/>
      <c r="BRT177" s="125"/>
      <c r="BRU177" s="125"/>
      <c r="BRV177" s="125"/>
      <c r="BRW177" s="125"/>
      <c r="BRX177" s="125"/>
      <c r="BRY177" s="125"/>
      <c r="BRZ177" s="125"/>
      <c r="BSA177" s="125"/>
      <c r="BSB177" s="125"/>
      <c r="BSC177" s="125"/>
      <c r="BSD177" s="125"/>
      <c r="BSE177" s="125"/>
      <c r="BSF177" s="125"/>
      <c r="BSG177" s="125"/>
      <c r="BSH177" s="125"/>
      <c r="BSI177" s="125"/>
      <c r="BSJ177" s="125"/>
      <c r="BSK177" s="125"/>
      <c r="BSL177" s="125"/>
      <c r="BSM177" s="125"/>
      <c r="BSN177" s="125"/>
      <c r="BSO177" s="125"/>
      <c r="BSP177" s="125"/>
      <c r="BSQ177" s="125"/>
      <c r="BSR177" s="125"/>
      <c r="BSS177" s="125"/>
      <c r="BST177" s="125"/>
      <c r="BSU177" s="125"/>
      <c r="BSV177" s="125"/>
      <c r="BSW177" s="125"/>
      <c r="BSX177" s="125"/>
      <c r="BSY177" s="125"/>
      <c r="BSZ177" s="125"/>
      <c r="BTA177" s="125"/>
      <c r="BTB177" s="125"/>
      <c r="BTC177" s="125"/>
      <c r="BTD177" s="125"/>
      <c r="BTE177" s="125"/>
      <c r="BTF177" s="125"/>
      <c r="BTG177" s="125"/>
      <c r="BTH177" s="125"/>
      <c r="BTI177" s="125"/>
      <c r="BTJ177" s="125"/>
      <c r="BTK177" s="125"/>
      <c r="BTL177" s="125"/>
      <c r="BTM177" s="125"/>
      <c r="BTN177" s="125"/>
      <c r="BTO177" s="125"/>
      <c r="BTP177" s="125"/>
      <c r="BTQ177" s="125"/>
      <c r="BTR177" s="125"/>
      <c r="BTS177" s="125"/>
      <c r="BTT177" s="125"/>
      <c r="BTU177" s="125"/>
      <c r="BTV177" s="125"/>
      <c r="BTW177" s="125"/>
      <c r="BTX177" s="125"/>
      <c r="BTY177" s="125"/>
      <c r="BTZ177" s="125"/>
      <c r="BUA177" s="125"/>
      <c r="BUB177" s="125"/>
      <c r="BUC177" s="125"/>
      <c r="BUD177" s="125"/>
      <c r="BUE177" s="125"/>
      <c r="BUF177" s="125"/>
      <c r="BUG177" s="125"/>
      <c r="BUH177" s="125"/>
      <c r="BUI177" s="125"/>
      <c r="BUJ177" s="125"/>
      <c r="BUK177" s="125"/>
      <c r="BUL177" s="125"/>
      <c r="BUM177" s="125"/>
      <c r="BUN177" s="125"/>
      <c r="BUO177" s="125"/>
      <c r="BUP177" s="125"/>
      <c r="BUQ177" s="125"/>
      <c r="BUR177" s="125"/>
      <c r="BUS177" s="125"/>
      <c r="BUT177" s="125"/>
      <c r="BUU177" s="125"/>
      <c r="BUV177" s="125"/>
      <c r="BUW177" s="125"/>
      <c r="BUX177" s="125"/>
      <c r="BUY177" s="125"/>
      <c r="BUZ177" s="125"/>
      <c r="BVA177" s="125"/>
      <c r="BVB177" s="125"/>
      <c r="BVC177" s="125"/>
      <c r="BVD177" s="125"/>
      <c r="BVE177" s="125"/>
      <c r="BVF177" s="125"/>
      <c r="BVG177" s="125"/>
      <c r="BVH177" s="125"/>
      <c r="BVI177" s="125"/>
      <c r="BVJ177" s="125"/>
      <c r="BVK177" s="125"/>
      <c r="BVL177" s="125"/>
      <c r="BVM177" s="125"/>
      <c r="BVN177" s="125"/>
      <c r="BVO177" s="125"/>
      <c r="BVP177" s="125"/>
      <c r="BVQ177" s="125"/>
      <c r="BVR177" s="125"/>
      <c r="BVS177" s="125"/>
      <c r="BVT177" s="125"/>
      <c r="BVU177" s="125"/>
      <c r="BVV177" s="125"/>
      <c r="BVW177" s="125"/>
      <c r="BVX177" s="125"/>
      <c r="BVY177" s="125"/>
      <c r="BVZ177" s="125"/>
      <c r="BWA177" s="125"/>
      <c r="BWB177" s="125"/>
      <c r="BWC177" s="125"/>
      <c r="BWD177" s="125"/>
      <c r="BWE177" s="125"/>
      <c r="BWF177" s="125"/>
      <c r="BWG177" s="125"/>
      <c r="BWH177" s="125"/>
      <c r="BWI177" s="125"/>
      <c r="BWJ177" s="125"/>
      <c r="BWK177" s="125"/>
      <c r="BWL177" s="125"/>
      <c r="BWM177" s="125"/>
      <c r="BWN177" s="125"/>
      <c r="BWO177" s="125"/>
      <c r="BWP177" s="125"/>
      <c r="BWQ177" s="125"/>
      <c r="BWR177" s="125"/>
      <c r="BWS177" s="125"/>
      <c r="BWT177" s="125"/>
      <c r="BWU177" s="125"/>
      <c r="BWV177" s="125"/>
      <c r="BWW177" s="125"/>
      <c r="BWX177" s="125"/>
      <c r="BWY177" s="125"/>
      <c r="BWZ177" s="125"/>
      <c r="BXA177" s="125"/>
      <c r="BXB177" s="125"/>
      <c r="BXC177" s="125"/>
      <c r="BXD177" s="125"/>
      <c r="BXE177" s="125"/>
      <c r="BXF177" s="125"/>
      <c r="BXG177" s="125"/>
      <c r="BXH177" s="125"/>
      <c r="BXI177" s="125"/>
      <c r="BXJ177" s="125"/>
      <c r="BXK177" s="125"/>
      <c r="BXL177" s="125"/>
      <c r="BXM177" s="125"/>
      <c r="BXN177" s="125"/>
      <c r="BXO177" s="125"/>
      <c r="BXP177" s="125"/>
      <c r="BXQ177" s="125"/>
      <c r="BXR177" s="125"/>
      <c r="BXS177" s="125"/>
      <c r="BXT177" s="125"/>
      <c r="BXU177" s="125"/>
      <c r="BXV177" s="125"/>
      <c r="BXW177" s="125"/>
      <c r="BXX177" s="125"/>
      <c r="BXY177" s="125"/>
      <c r="BXZ177" s="125"/>
      <c r="BYA177" s="125"/>
      <c r="BYB177" s="125"/>
      <c r="BYC177" s="125"/>
      <c r="BYD177" s="125"/>
      <c r="BYE177" s="125"/>
      <c r="BYF177" s="125"/>
      <c r="BYG177" s="125"/>
      <c r="BYH177" s="125"/>
      <c r="BYI177" s="125"/>
      <c r="BYJ177" s="125"/>
      <c r="BYK177" s="125"/>
      <c r="BYL177" s="125"/>
      <c r="BYM177" s="125"/>
      <c r="BYN177" s="125"/>
      <c r="BYO177" s="125"/>
      <c r="BYP177" s="125"/>
      <c r="BYQ177" s="125"/>
      <c r="BYR177" s="125"/>
      <c r="BYS177" s="125"/>
      <c r="BYT177" s="125"/>
      <c r="BYU177" s="125"/>
      <c r="BYV177" s="125"/>
      <c r="BYW177" s="125"/>
      <c r="BYX177" s="125"/>
      <c r="BYY177" s="125"/>
      <c r="BYZ177" s="125"/>
      <c r="BZA177" s="125"/>
      <c r="BZB177" s="125"/>
      <c r="BZC177" s="125"/>
      <c r="BZD177" s="125"/>
      <c r="BZE177" s="125"/>
      <c r="BZF177" s="125"/>
      <c r="BZG177" s="125"/>
      <c r="BZH177" s="125"/>
      <c r="BZI177" s="125"/>
      <c r="BZJ177" s="125"/>
      <c r="BZK177" s="125"/>
      <c r="BZL177" s="125"/>
      <c r="BZM177" s="125"/>
      <c r="BZN177" s="125"/>
      <c r="BZO177" s="125"/>
      <c r="BZP177" s="125"/>
      <c r="BZQ177" s="125"/>
      <c r="BZR177" s="125"/>
      <c r="BZS177" s="125"/>
      <c r="BZT177" s="125"/>
      <c r="BZU177" s="125"/>
      <c r="BZV177" s="125"/>
      <c r="BZW177" s="125"/>
      <c r="BZX177" s="125"/>
      <c r="BZY177" s="125"/>
      <c r="BZZ177" s="125"/>
      <c r="CAA177" s="125"/>
      <c r="CAB177" s="125"/>
      <c r="CAC177" s="125"/>
      <c r="CAD177" s="125"/>
      <c r="CAE177" s="125"/>
      <c r="CAF177" s="125"/>
      <c r="CAG177" s="125"/>
      <c r="CAH177" s="125"/>
      <c r="CAI177" s="125"/>
      <c r="CAJ177" s="125"/>
      <c r="CAK177" s="125"/>
      <c r="CAL177" s="125"/>
      <c r="CAM177" s="125"/>
      <c r="CAN177" s="125"/>
      <c r="CAO177" s="125"/>
      <c r="CAP177" s="125"/>
      <c r="CAQ177" s="125"/>
      <c r="CAR177" s="125"/>
      <c r="CAS177" s="125"/>
      <c r="CAT177" s="125"/>
      <c r="CAU177" s="125"/>
      <c r="CAV177" s="125"/>
      <c r="CAW177" s="125"/>
      <c r="CAX177" s="125"/>
      <c r="CAY177" s="125"/>
      <c r="CAZ177" s="125"/>
      <c r="CBA177" s="125"/>
      <c r="CBB177" s="125"/>
      <c r="CBC177" s="125"/>
      <c r="CBD177" s="125"/>
      <c r="CBE177" s="125"/>
      <c r="CBF177" s="125"/>
      <c r="CBG177" s="125"/>
      <c r="CBH177" s="125"/>
      <c r="CBI177" s="125"/>
      <c r="CBJ177" s="125"/>
      <c r="CBK177" s="125"/>
      <c r="CBL177" s="125"/>
      <c r="CBM177" s="125"/>
      <c r="CBN177" s="125"/>
      <c r="CBO177" s="125"/>
      <c r="CBP177" s="125"/>
      <c r="CBQ177" s="125"/>
      <c r="CBR177" s="125"/>
      <c r="CBS177" s="125"/>
      <c r="CBT177" s="125"/>
      <c r="CBU177" s="125"/>
      <c r="CBV177" s="125"/>
      <c r="CBW177" s="125"/>
      <c r="CBX177" s="125"/>
      <c r="CBY177" s="125"/>
      <c r="CBZ177" s="125"/>
      <c r="CCA177" s="125"/>
      <c r="CCB177" s="125"/>
      <c r="CCC177" s="125"/>
      <c r="CCD177" s="125"/>
      <c r="CCE177" s="125"/>
      <c r="CCF177" s="125"/>
      <c r="CCG177" s="125"/>
      <c r="CCH177" s="125"/>
      <c r="CCI177" s="125"/>
      <c r="CCJ177" s="125"/>
      <c r="CCK177" s="125"/>
      <c r="CCL177" s="125"/>
      <c r="CCM177" s="125"/>
      <c r="CCN177" s="125"/>
      <c r="CCO177" s="125"/>
      <c r="CCP177" s="125"/>
      <c r="CCQ177" s="125"/>
      <c r="CCR177" s="125"/>
      <c r="CCS177" s="125"/>
      <c r="CCT177" s="125"/>
      <c r="CCU177" s="125"/>
      <c r="CCV177" s="125"/>
      <c r="CCW177" s="125"/>
      <c r="CCX177" s="125"/>
      <c r="CCY177" s="125"/>
      <c r="CCZ177" s="125"/>
      <c r="CDA177" s="125"/>
      <c r="CDB177" s="125"/>
      <c r="CDC177" s="125"/>
      <c r="CDD177" s="125"/>
      <c r="CDE177" s="125"/>
      <c r="CDF177" s="125"/>
      <c r="CDG177" s="125"/>
      <c r="CDH177" s="125"/>
      <c r="CDI177" s="125"/>
      <c r="CDJ177" s="125"/>
      <c r="CDK177" s="125"/>
      <c r="CDL177" s="125"/>
      <c r="CDM177" s="125"/>
      <c r="CDN177" s="125"/>
      <c r="CDO177" s="125"/>
      <c r="CDP177" s="125"/>
      <c r="CDQ177" s="125"/>
      <c r="CDR177" s="125"/>
      <c r="CDS177" s="125"/>
      <c r="CDT177" s="125"/>
      <c r="CDU177" s="125"/>
      <c r="CDV177" s="125"/>
      <c r="CDW177" s="125"/>
      <c r="CDX177" s="125"/>
      <c r="CDY177" s="125"/>
      <c r="CDZ177" s="125"/>
      <c r="CEA177" s="125"/>
      <c r="CEB177" s="125"/>
      <c r="CEC177" s="125"/>
      <c r="CED177" s="125"/>
      <c r="CEE177" s="125"/>
      <c r="CEF177" s="125"/>
      <c r="CEG177" s="125"/>
      <c r="CEH177" s="125"/>
      <c r="CEI177" s="125"/>
      <c r="CEJ177" s="125"/>
      <c r="CEK177" s="125"/>
      <c r="CEL177" s="125"/>
      <c r="CEM177" s="125"/>
      <c r="CEN177" s="125"/>
      <c r="CEO177" s="125"/>
      <c r="CEP177" s="125"/>
      <c r="CEQ177" s="125"/>
      <c r="CER177" s="125"/>
      <c r="CES177" s="125"/>
      <c r="CET177" s="125"/>
      <c r="CEU177" s="125"/>
      <c r="CEV177" s="125"/>
      <c r="CEW177" s="125"/>
      <c r="CEX177" s="125"/>
      <c r="CEY177" s="125"/>
      <c r="CEZ177" s="125"/>
      <c r="CFA177" s="125"/>
      <c r="CFB177" s="125"/>
      <c r="CFC177" s="125"/>
      <c r="CFD177" s="125"/>
      <c r="CFE177" s="125"/>
      <c r="CFF177" s="125"/>
      <c r="CFG177" s="125"/>
      <c r="CFH177" s="125"/>
      <c r="CFI177" s="125"/>
      <c r="CFJ177" s="125"/>
      <c r="CFK177" s="125"/>
      <c r="CFL177" s="125"/>
      <c r="CFM177" s="125"/>
      <c r="CFN177" s="125"/>
      <c r="CFO177" s="125"/>
      <c r="CFP177" s="125"/>
      <c r="CFQ177" s="125"/>
      <c r="CFR177" s="125"/>
      <c r="CFS177" s="125"/>
      <c r="CFT177" s="125"/>
      <c r="CFU177" s="125"/>
      <c r="CFV177" s="125"/>
      <c r="CFW177" s="125"/>
      <c r="CFX177" s="125"/>
      <c r="CFY177" s="125"/>
      <c r="CFZ177" s="125"/>
      <c r="CGA177" s="125"/>
      <c r="CGB177" s="125"/>
      <c r="CGC177" s="125"/>
      <c r="CGD177" s="125"/>
      <c r="CGE177" s="125"/>
      <c r="CGF177" s="125"/>
      <c r="CGG177" s="125"/>
      <c r="CGH177" s="125"/>
      <c r="CGI177" s="125"/>
      <c r="CGJ177" s="125"/>
      <c r="CGK177" s="125"/>
      <c r="CGL177" s="125"/>
      <c r="CGM177" s="125"/>
      <c r="CGN177" s="125"/>
      <c r="CGO177" s="125"/>
      <c r="CGP177" s="125"/>
      <c r="CGQ177" s="125"/>
      <c r="CGR177" s="125"/>
      <c r="CGS177" s="125"/>
      <c r="CGT177" s="125"/>
      <c r="CGU177" s="125"/>
      <c r="CGV177" s="125"/>
      <c r="CGW177" s="125"/>
      <c r="CGX177" s="125"/>
      <c r="CGY177" s="125"/>
      <c r="CGZ177" s="125"/>
      <c r="CHA177" s="125"/>
      <c r="CHB177" s="125"/>
      <c r="CHC177" s="125"/>
      <c r="CHD177" s="125"/>
      <c r="CHE177" s="125"/>
      <c r="CHF177" s="125"/>
      <c r="CHG177" s="125"/>
      <c r="CHH177" s="125"/>
      <c r="CHI177" s="125"/>
      <c r="CHJ177" s="125"/>
      <c r="CHK177" s="125"/>
      <c r="CHL177" s="125"/>
      <c r="CHM177" s="125"/>
      <c r="CHN177" s="125"/>
      <c r="CHO177" s="125"/>
      <c r="CHP177" s="125"/>
      <c r="CHQ177" s="125"/>
      <c r="CHR177" s="125"/>
      <c r="CHS177" s="125"/>
      <c r="CHT177" s="125"/>
      <c r="CHU177" s="125"/>
      <c r="CHV177" s="125"/>
      <c r="CHW177" s="125"/>
      <c r="CHX177" s="125"/>
      <c r="CHY177" s="125"/>
      <c r="CHZ177" s="125"/>
      <c r="CIA177" s="125"/>
      <c r="CIB177" s="125"/>
      <c r="CIC177" s="125"/>
      <c r="CID177" s="125"/>
      <c r="CIE177" s="125"/>
      <c r="CIF177" s="125"/>
      <c r="CIG177" s="125"/>
      <c r="CIH177" s="125"/>
      <c r="CII177" s="125"/>
      <c r="CIJ177" s="125"/>
      <c r="CIK177" s="125"/>
      <c r="CIL177" s="125"/>
      <c r="CIM177" s="125"/>
      <c r="CIN177" s="125"/>
      <c r="CIO177" s="125"/>
      <c r="CIP177" s="125"/>
      <c r="CIQ177" s="125"/>
      <c r="CIR177" s="125"/>
      <c r="CIS177" s="125"/>
      <c r="CIT177" s="125"/>
      <c r="CIU177" s="125"/>
      <c r="CIV177" s="125"/>
      <c r="CIW177" s="125"/>
      <c r="CIX177" s="125"/>
      <c r="CIY177" s="125"/>
      <c r="CIZ177" s="125"/>
      <c r="CJA177" s="125"/>
      <c r="CJB177" s="125"/>
      <c r="CJC177" s="125"/>
      <c r="CJD177" s="125"/>
      <c r="CJE177" s="125"/>
      <c r="CJF177" s="125"/>
      <c r="CJG177" s="125"/>
      <c r="CJH177" s="125"/>
      <c r="CJI177" s="125"/>
      <c r="CJJ177" s="125"/>
      <c r="CJK177" s="125"/>
      <c r="CJL177" s="125"/>
      <c r="CJM177" s="125"/>
      <c r="CJN177" s="125"/>
      <c r="CJO177" s="125"/>
      <c r="CJP177" s="125"/>
      <c r="CJQ177" s="125"/>
      <c r="CJR177" s="125"/>
      <c r="CJS177" s="125"/>
      <c r="CJT177" s="125"/>
      <c r="CJU177" s="125"/>
      <c r="CJV177" s="125"/>
      <c r="CJW177" s="125"/>
      <c r="CJX177" s="125"/>
      <c r="CJY177" s="125"/>
      <c r="CJZ177" s="125"/>
      <c r="CKA177" s="125"/>
      <c r="CKB177" s="125"/>
      <c r="CKC177" s="125"/>
      <c r="CKD177" s="125"/>
      <c r="CKE177" s="125"/>
      <c r="CKF177" s="125"/>
      <c r="CKG177" s="125"/>
      <c r="CKH177" s="125"/>
      <c r="CKI177" s="125"/>
      <c r="CKJ177" s="125"/>
      <c r="CKK177" s="125"/>
      <c r="CKL177" s="125"/>
      <c r="CKM177" s="125"/>
      <c r="CKN177" s="125"/>
      <c r="CKO177" s="125"/>
      <c r="CKP177" s="125"/>
      <c r="CKQ177" s="125"/>
      <c r="CKR177" s="125"/>
      <c r="CKS177" s="125"/>
      <c r="CKT177" s="125"/>
      <c r="CKU177" s="125"/>
      <c r="CKV177" s="125"/>
      <c r="CKW177" s="125"/>
      <c r="CKX177" s="125"/>
      <c r="CKY177" s="125"/>
      <c r="CKZ177" s="125"/>
      <c r="CLA177" s="125"/>
      <c r="CLB177" s="125"/>
      <c r="CLC177" s="125"/>
      <c r="CLD177" s="125"/>
      <c r="CLE177" s="125"/>
      <c r="CLF177" s="125"/>
      <c r="CLG177" s="125"/>
      <c r="CLH177" s="125"/>
      <c r="CLI177" s="125"/>
      <c r="CLJ177" s="125"/>
      <c r="CLK177" s="125"/>
      <c r="CLL177" s="125"/>
      <c r="CLM177" s="125"/>
      <c r="CLN177" s="125"/>
      <c r="CLO177" s="125"/>
      <c r="CLP177" s="125"/>
      <c r="CLQ177" s="125"/>
      <c r="CLR177" s="125"/>
      <c r="CLS177" s="125"/>
      <c r="CLT177" s="125"/>
      <c r="CLU177" s="125"/>
      <c r="CLV177" s="125"/>
      <c r="CLW177" s="125"/>
      <c r="CLX177" s="125"/>
      <c r="CLY177" s="125"/>
      <c r="CLZ177" s="125"/>
      <c r="CMA177" s="125"/>
      <c r="CMB177" s="125"/>
      <c r="CMC177" s="125"/>
      <c r="CMD177" s="125"/>
      <c r="CME177" s="125"/>
      <c r="CMF177" s="125"/>
      <c r="CMG177" s="125"/>
      <c r="CMH177" s="125"/>
      <c r="CMI177" s="125"/>
      <c r="CMJ177" s="125"/>
      <c r="CMK177" s="125"/>
      <c r="CML177" s="125"/>
      <c r="CMM177" s="125"/>
      <c r="CMN177" s="125"/>
      <c r="CMO177" s="125"/>
      <c r="CMP177" s="125"/>
      <c r="CMQ177" s="125"/>
      <c r="CMR177" s="125"/>
      <c r="CMS177" s="125"/>
      <c r="CMT177" s="125"/>
      <c r="CMU177" s="125"/>
      <c r="CMV177" s="125"/>
      <c r="CMW177" s="125"/>
      <c r="CMX177" s="125"/>
      <c r="CMY177" s="125"/>
      <c r="CMZ177" s="125"/>
      <c r="CNA177" s="125"/>
      <c r="CNB177" s="125"/>
      <c r="CNC177" s="125"/>
      <c r="CND177" s="125"/>
      <c r="CNE177" s="125"/>
      <c r="CNF177" s="125"/>
      <c r="CNG177" s="125"/>
      <c r="CNH177" s="125"/>
      <c r="CNI177" s="125"/>
      <c r="CNJ177" s="125"/>
      <c r="CNK177" s="125"/>
      <c r="CNL177" s="125"/>
      <c r="CNM177" s="125"/>
      <c r="CNN177" s="125"/>
      <c r="CNO177" s="125"/>
      <c r="CNP177" s="125"/>
      <c r="CNQ177" s="125"/>
      <c r="CNR177" s="125"/>
      <c r="CNS177" s="125"/>
      <c r="CNT177" s="125"/>
      <c r="CNU177" s="125"/>
      <c r="CNV177" s="125"/>
      <c r="CNW177" s="125"/>
      <c r="CNX177" s="125"/>
      <c r="CNY177" s="125"/>
      <c r="CNZ177" s="125"/>
      <c r="COA177" s="125"/>
      <c r="COB177" s="125"/>
      <c r="COC177" s="125"/>
      <c r="COD177" s="125"/>
      <c r="COE177" s="125"/>
      <c r="COF177" s="125"/>
      <c r="COG177" s="125"/>
      <c r="COH177" s="125"/>
      <c r="COI177" s="125"/>
      <c r="COJ177" s="125"/>
      <c r="COK177" s="125"/>
      <c r="COL177" s="125"/>
      <c r="COM177" s="125"/>
      <c r="CON177" s="125"/>
      <c r="COO177" s="125"/>
      <c r="COP177" s="125"/>
      <c r="COQ177" s="125"/>
      <c r="COR177" s="125"/>
      <c r="COS177" s="125"/>
      <c r="COT177" s="125"/>
      <c r="COU177" s="125"/>
      <c r="COV177" s="125"/>
      <c r="COW177" s="125"/>
      <c r="COX177" s="125"/>
      <c r="COY177" s="125"/>
      <c r="COZ177" s="125"/>
      <c r="CPA177" s="125"/>
      <c r="CPB177" s="125"/>
      <c r="CPC177" s="125"/>
      <c r="CPD177" s="125"/>
      <c r="CPE177" s="125"/>
      <c r="CPF177" s="125"/>
      <c r="CPG177" s="125"/>
      <c r="CPH177" s="125"/>
      <c r="CPI177" s="125"/>
      <c r="CPJ177" s="125"/>
      <c r="CPK177" s="125"/>
      <c r="CPL177" s="125"/>
      <c r="CPM177" s="125"/>
      <c r="CPN177" s="125"/>
      <c r="CPO177" s="125"/>
      <c r="CPP177" s="125"/>
      <c r="CPQ177" s="125"/>
      <c r="CPR177" s="125"/>
      <c r="CPS177" s="125"/>
      <c r="CPT177" s="125"/>
      <c r="CPU177" s="125"/>
      <c r="CPV177" s="125"/>
      <c r="CPW177" s="125"/>
      <c r="CPX177" s="125"/>
      <c r="CPY177" s="125"/>
      <c r="CPZ177" s="125"/>
      <c r="CQA177" s="125"/>
      <c r="CQB177" s="125"/>
      <c r="CQC177" s="125"/>
      <c r="CQD177" s="125"/>
      <c r="CQE177" s="125"/>
      <c r="CQF177" s="125"/>
      <c r="CQG177" s="125"/>
      <c r="CQH177" s="125"/>
      <c r="CQI177" s="125"/>
      <c r="CQJ177" s="125"/>
      <c r="CQK177" s="125"/>
      <c r="CQL177" s="125"/>
      <c r="CQM177" s="125"/>
      <c r="CQN177" s="125"/>
      <c r="CQO177" s="125"/>
      <c r="CQP177" s="125"/>
      <c r="CQQ177" s="125"/>
      <c r="CQR177" s="125"/>
      <c r="CQS177" s="125"/>
      <c r="CQT177" s="125"/>
      <c r="CQU177" s="125"/>
      <c r="CQV177" s="125"/>
      <c r="CQW177" s="125"/>
      <c r="CQX177" s="125"/>
      <c r="CQY177" s="125"/>
      <c r="CQZ177" s="125"/>
      <c r="CRA177" s="125"/>
      <c r="CRB177" s="125"/>
      <c r="CRC177" s="125"/>
      <c r="CRD177" s="125"/>
      <c r="CRE177" s="125"/>
      <c r="CRF177" s="125"/>
      <c r="CRG177" s="125"/>
      <c r="CRH177" s="125"/>
      <c r="CRI177" s="125"/>
      <c r="CRJ177" s="125"/>
      <c r="CRK177" s="125"/>
      <c r="CRL177" s="125"/>
      <c r="CRM177" s="125"/>
      <c r="CRN177" s="125"/>
      <c r="CRO177" s="125"/>
      <c r="CRP177" s="125"/>
      <c r="CRQ177" s="125"/>
      <c r="CRR177" s="125"/>
      <c r="CRS177" s="125"/>
      <c r="CRT177" s="125"/>
      <c r="CRU177" s="125"/>
      <c r="CRV177" s="125"/>
      <c r="CRW177" s="125"/>
      <c r="CRX177" s="125"/>
      <c r="CRY177" s="125"/>
      <c r="CRZ177" s="125"/>
      <c r="CSA177" s="125"/>
      <c r="CSB177" s="125"/>
      <c r="CSC177" s="125"/>
      <c r="CSD177" s="125"/>
      <c r="CSE177" s="125"/>
      <c r="CSF177" s="125"/>
      <c r="CSG177" s="125"/>
      <c r="CSH177" s="125"/>
      <c r="CSI177" s="125"/>
      <c r="CSJ177" s="125"/>
      <c r="CSK177" s="125"/>
      <c r="CSL177" s="125"/>
      <c r="CSM177" s="125"/>
      <c r="CSN177" s="125"/>
      <c r="CSO177" s="125"/>
      <c r="CSP177" s="125"/>
      <c r="CSQ177" s="125"/>
      <c r="CSR177" s="125"/>
      <c r="CSS177" s="125"/>
      <c r="CST177" s="125"/>
      <c r="CSU177" s="125"/>
      <c r="CSV177" s="125"/>
      <c r="CSW177" s="125"/>
      <c r="CSX177" s="125"/>
      <c r="CSY177" s="125"/>
      <c r="CSZ177" s="125"/>
      <c r="CTA177" s="125"/>
      <c r="CTB177" s="125"/>
      <c r="CTC177" s="125"/>
      <c r="CTD177" s="125"/>
      <c r="CTE177" s="125"/>
      <c r="CTF177" s="125"/>
      <c r="CTG177" s="125"/>
      <c r="CTH177" s="125"/>
      <c r="CTI177" s="125"/>
      <c r="CTJ177" s="125"/>
      <c r="CTK177" s="125"/>
      <c r="CTL177" s="125"/>
      <c r="CTM177" s="125"/>
      <c r="CTN177" s="125"/>
      <c r="CTO177" s="125"/>
      <c r="CTP177" s="125"/>
      <c r="CTQ177" s="125"/>
      <c r="CTR177" s="125"/>
      <c r="CTS177" s="125"/>
      <c r="CTT177" s="125"/>
      <c r="CTU177" s="125"/>
      <c r="CTV177" s="125"/>
      <c r="CTW177" s="125"/>
      <c r="CTX177" s="125"/>
      <c r="CTY177" s="125"/>
      <c r="CTZ177" s="125"/>
      <c r="CUA177" s="125"/>
      <c r="CUB177" s="125"/>
      <c r="CUC177" s="125"/>
      <c r="CUD177" s="125"/>
      <c r="CUE177" s="125"/>
      <c r="CUF177" s="125"/>
      <c r="CUG177" s="125"/>
      <c r="CUH177" s="125"/>
      <c r="CUI177" s="125"/>
      <c r="CUJ177" s="125"/>
      <c r="CUK177" s="125"/>
      <c r="CUL177" s="125"/>
      <c r="CUM177" s="125"/>
      <c r="CUN177" s="125"/>
      <c r="CUO177" s="125"/>
      <c r="CUP177" s="125"/>
      <c r="CUQ177" s="125"/>
      <c r="CUR177" s="125"/>
      <c r="CUS177" s="125"/>
      <c r="CUT177" s="125"/>
      <c r="CUU177" s="125"/>
      <c r="CUV177" s="125"/>
      <c r="CUW177" s="125"/>
      <c r="CUX177" s="125"/>
      <c r="CUY177" s="125"/>
      <c r="CUZ177" s="125"/>
      <c r="CVA177" s="125"/>
      <c r="CVB177" s="125"/>
      <c r="CVC177" s="125"/>
      <c r="CVD177" s="125"/>
      <c r="CVE177" s="125"/>
      <c r="CVF177" s="125"/>
      <c r="CVG177" s="125"/>
      <c r="CVH177" s="125"/>
      <c r="CVI177" s="125"/>
      <c r="CVJ177" s="125"/>
      <c r="CVK177" s="125"/>
      <c r="CVL177" s="125"/>
      <c r="CVM177" s="125"/>
      <c r="CVN177" s="125"/>
      <c r="CVO177" s="125"/>
      <c r="CVP177" s="125"/>
      <c r="CVQ177" s="125"/>
      <c r="CVR177" s="125"/>
      <c r="CVS177" s="125"/>
      <c r="CVT177" s="125"/>
      <c r="CVU177" s="125"/>
      <c r="CVV177" s="125"/>
      <c r="CVW177" s="125"/>
      <c r="CVX177" s="125"/>
      <c r="CVY177" s="125"/>
      <c r="CVZ177" s="125"/>
      <c r="CWA177" s="125"/>
      <c r="CWB177" s="125"/>
      <c r="CWC177" s="125"/>
      <c r="CWD177" s="125"/>
      <c r="CWE177" s="125"/>
      <c r="CWF177" s="125"/>
      <c r="CWG177" s="125"/>
      <c r="CWH177" s="125"/>
      <c r="CWI177" s="125"/>
      <c r="CWJ177" s="125"/>
      <c r="CWK177" s="125"/>
      <c r="CWL177" s="125"/>
      <c r="CWM177" s="125"/>
      <c r="CWN177" s="125"/>
      <c r="CWO177" s="125"/>
      <c r="CWP177" s="125"/>
      <c r="CWQ177" s="125"/>
      <c r="CWR177" s="125"/>
      <c r="CWS177" s="125"/>
      <c r="CWT177" s="125"/>
      <c r="CWU177" s="125"/>
      <c r="CWV177" s="125"/>
      <c r="CWW177" s="125"/>
      <c r="CWX177" s="125"/>
      <c r="CWY177" s="125"/>
      <c r="CWZ177" s="125"/>
      <c r="CXA177" s="125"/>
      <c r="CXB177" s="125"/>
      <c r="CXC177" s="125"/>
      <c r="CXD177" s="125"/>
      <c r="CXE177" s="125"/>
      <c r="CXF177" s="125"/>
      <c r="CXG177" s="125"/>
      <c r="CXH177" s="125"/>
      <c r="CXI177" s="125"/>
      <c r="CXJ177" s="125"/>
      <c r="CXK177" s="125"/>
      <c r="CXL177" s="125"/>
      <c r="CXM177" s="125"/>
      <c r="CXN177" s="125"/>
      <c r="CXO177" s="125"/>
      <c r="CXP177" s="125"/>
      <c r="CXQ177" s="125"/>
      <c r="CXR177" s="125"/>
      <c r="CXS177" s="125"/>
      <c r="CXT177" s="125"/>
      <c r="CXU177" s="125"/>
      <c r="CXV177" s="125"/>
      <c r="CXW177" s="125"/>
      <c r="CXX177" s="125"/>
      <c r="CXY177" s="125"/>
      <c r="CXZ177" s="125"/>
      <c r="CYA177" s="125"/>
      <c r="CYB177" s="125"/>
      <c r="CYC177" s="125"/>
      <c r="CYD177" s="125"/>
      <c r="CYE177" s="125"/>
      <c r="CYF177" s="125"/>
      <c r="CYG177" s="125"/>
      <c r="CYH177" s="125"/>
      <c r="CYI177" s="125"/>
      <c r="CYJ177" s="125"/>
      <c r="CYK177" s="125"/>
      <c r="CYL177" s="125"/>
      <c r="CYM177" s="125"/>
      <c r="CYN177" s="125"/>
      <c r="CYO177" s="125"/>
      <c r="CYP177" s="125"/>
      <c r="CYQ177" s="125"/>
      <c r="CYR177" s="125"/>
      <c r="CYS177" s="125"/>
      <c r="CYT177" s="125"/>
      <c r="CYU177" s="125"/>
      <c r="CYV177" s="125"/>
      <c r="CYW177" s="125"/>
      <c r="CYX177" s="125"/>
      <c r="CYY177" s="125"/>
      <c r="CYZ177" s="125"/>
      <c r="CZA177" s="125"/>
      <c r="CZB177" s="125"/>
      <c r="CZC177" s="125"/>
      <c r="CZD177" s="125"/>
      <c r="CZE177" s="125"/>
      <c r="CZF177" s="125"/>
      <c r="CZG177" s="125"/>
      <c r="CZH177" s="125"/>
      <c r="CZI177" s="125"/>
      <c r="CZJ177" s="125"/>
      <c r="CZK177" s="125"/>
      <c r="CZL177" s="125"/>
      <c r="CZM177" s="125"/>
      <c r="CZN177" s="125"/>
      <c r="CZO177" s="125"/>
      <c r="CZP177" s="125"/>
      <c r="CZQ177" s="125"/>
      <c r="CZR177" s="125"/>
      <c r="CZS177" s="125"/>
      <c r="CZT177" s="125"/>
      <c r="CZU177" s="125"/>
      <c r="CZV177" s="125"/>
      <c r="CZW177" s="125"/>
      <c r="CZX177" s="125"/>
      <c r="CZY177" s="125"/>
      <c r="CZZ177" s="125"/>
      <c r="DAA177" s="125"/>
      <c r="DAB177" s="125"/>
      <c r="DAC177" s="125"/>
      <c r="DAD177" s="125"/>
      <c r="DAE177" s="125"/>
      <c r="DAF177" s="125"/>
      <c r="DAG177" s="125"/>
      <c r="DAH177" s="125"/>
      <c r="DAI177" s="125"/>
      <c r="DAJ177" s="125"/>
      <c r="DAK177" s="125"/>
      <c r="DAL177" s="125"/>
      <c r="DAM177" s="125"/>
      <c r="DAN177" s="125"/>
      <c r="DAO177" s="125"/>
      <c r="DAP177" s="125"/>
      <c r="DAQ177" s="125"/>
      <c r="DAR177" s="125"/>
      <c r="DAS177" s="125"/>
      <c r="DAT177" s="125"/>
      <c r="DAU177" s="125"/>
      <c r="DAV177" s="125"/>
      <c r="DAW177" s="125"/>
      <c r="DAX177" s="125"/>
      <c r="DAY177" s="125"/>
      <c r="DAZ177" s="125"/>
      <c r="DBA177" s="125"/>
      <c r="DBB177" s="125"/>
      <c r="DBC177" s="125"/>
      <c r="DBD177" s="125"/>
      <c r="DBE177" s="125"/>
      <c r="DBF177" s="125"/>
      <c r="DBG177" s="125"/>
      <c r="DBH177" s="125"/>
      <c r="DBI177" s="125"/>
      <c r="DBJ177" s="125"/>
      <c r="DBK177" s="125"/>
      <c r="DBL177" s="125"/>
      <c r="DBM177" s="125"/>
      <c r="DBN177" s="125"/>
      <c r="DBO177" s="125"/>
      <c r="DBP177" s="125"/>
      <c r="DBQ177" s="125"/>
      <c r="DBR177" s="125"/>
      <c r="DBS177" s="125"/>
      <c r="DBT177" s="125"/>
      <c r="DBU177" s="125"/>
      <c r="DBV177" s="125"/>
      <c r="DBW177" s="125"/>
      <c r="DBX177" s="125"/>
      <c r="DBY177" s="125"/>
      <c r="DBZ177" s="125"/>
      <c r="DCA177" s="125"/>
      <c r="DCB177" s="125"/>
      <c r="DCC177" s="125"/>
      <c r="DCD177" s="125"/>
      <c r="DCE177" s="125"/>
      <c r="DCF177" s="125"/>
      <c r="DCG177" s="125"/>
      <c r="DCH177" s="125"/>
      <c r="DCI177" s="125"/>
      <c r="DCJ177" s="125"/>
      <c r="DCK177" s="125"/>
      <c r="DCL177" s="125"/>
      <c r="DCM177" s="125"/>
      <c r="DCN177" s="125"/>
      <c r="DCO177" s="125"/>
      <c r="DCP177" s="125"/>
      <c r="DCQ177" s="125"/>
      <c r="DCR177" s="125"/>
      <c r="DCS177" s="125"/>
      <c r="DCT177" s="125"/>
      <c r="DCU177" s="125"/>
      <c r="DCV177" s="125"/>
      <c r="DCW177" s="125"/>
      <c r="DCX177" s="125"/>
      <c r="DCY177" s="125"/>
      <c r="DCZ177" s="125"/>
      <c r="DDA177" s="125"/>
      <c r="DDB177" s="125"/>
      <c r="DDC177" s="125"/>
      <c r="DDD177" s="125"/>
      <c r="DDE177" s="125"/>
      <c r="DDF177" s="125"/>
      <c r="DDG177" s="125"/>
      <c r="DDH177" s="125"/>
      <c r="DDI177" s="125"/>
      <c r="DDJ177" s="125"/>
      <c r="DDK177" s="125"/>
      <c r="DDL177" s="125"/>
      <c r="DDM177" s="125"/>
      <c r="DDN177" s="125"/>
      <c r="DDO177" s="125"/>
      <c r="DDP177" s="125"/>
      <c r="DDQ177" s="125"/>
      <c r="DDR177" s="125"/>
      <c r="DDS177" s="125"/>
      <c r="DDT177" s="125"/>
      <c r="DDU177" s="125"/>
      <c r="DDV177" s="125"/>
      <c r="DDW177" s="125"/>
      <c r="DDX177" s="125"/>
      <c r="DDY177" s="125"/>
      <c r="DDZ177" s="125"/>
      <c r="DEA177" s="125"/>
      <c r="DEB177" s="125"/>
      <c r="DEC177" s="125"/>
      <c r="DED177" s="125"/>
      <c r="DEE177" s="125"/>
      <c r="DEF177" s="125"/>
      <c r="DEG177" s="125"/>
      <c r="DEH177" s="125"/>
      <c r="DEI177" s="125"/>
      <c r="DEJ177" s="125"/>
      <c r="DEK177" s="125"/>
      <c r="DEL177" s="125"/>
      <c r="DEM177" s="125"/>
      <c r="DEN177" s="125"/>
      <c r="DEO177" s="125"/>
      <c r="DEP177" s="125"/>
      <c r="DEQ177" s="125"/>
      <c r="DER177" s="125"/>
      <c r="DES177" s="125"/>
      <c r="DET177" s="125"/>
      <c r="DEU177" s="125"/>
      <c r="DEV177" s="125"/>
      <c r="DEW177" s="125"/>
      <c r="DEX177" s="125"/>
      <c r="DEY177" s="125"/>
      <c r="DEZ177" s="125"/>
      <c r="DFA177" s="125"/>
      <c r="DFB177" s="125"/>
      <c r="DFC177" s="125"/>
      <c r="DFD177" s="125"/>
      <c r="DFE177" s="125"/>
      <c r="DFF177" s="125"/>
      <c r="DFG177" s="125"/>
      <c r="DFH177" s="125"/>
      <c r="DFI177" s="125"/>
      <c r="DFJ177" s="125"/>
      <c r="DFK177" s="125"/>
      <c r="DFL177" s="125"/>
      <c r="DFM177" s="125"/>
      <c r="DFN177" s="125"/>
      <c r="DFO177" s="125"/>
      <c r="DFP177" s="125"/>
      <c r="DFQ177" s="125"/>
      <c r="DFR177" s="125"/>
      <c r="DFS177" s="125"/>
      <c r="DFT177" s="125"/>
      <c r="DFU177" s="125"/>
      <c r="DFV177" s="125"/>
      <c r="DFW177" s="125"/>
      <c r="DFX177" s="125"/>
      <c r="DFY177" s="125"/>
      <c r="DFZ177" s="125"/>
      <c r="DGA177" s="125"/>
      <c r="DGB177" s="125"/>
      <c r="DGC177" s="125"/>
      <c r="DGD177" s="125"/>
      <c r="DGE177" s="125"/>
      <c r="DGF177" s="125"/>
      <c r="DGG177" s="125"/>
      <c r="DGH177" s="125"/>
      <c r="DGI177" s="125"/>
      <c r="DGJ177" s="125"/>
      <c r="DGK177" s="125"/>
      <c r="DGL177" s="125"/>
      <c r="DGM177" s="125"/>
      <c r="DGN177" s="125"/>
      <c r="DGO177" s="125"/>
      <c r="DGP177" s="125"/>
      <c r="DGQ177" s="125"/>
      <c r="DGR177" s="125"/>
      <c r="DGS177" s="125"/>
      <c r="DGT177" s="125"/>
      <c r="DGU177" s="125"/>
      <c r="DGV177" s="125"/>
      <c r="DGW177" s="125"/>
      <c r="DGX177" s="125"/>
      <c r="DGY177" s="125"/>
      <c r="DGZ177" s="125"/>
      <c r="DHA177" s="125"/>
      <c r="DHB177" s="125"/>
      <c r="DHC177" s="125"/>
      <c r="DHD177" s="125"/>
      <c r="DHE177" s="125"/>
      <c r="DHF177" s="125"/>
      <c r="DHG177" s="125"/>
      <c r="DHH177" s="125"/>
      <c r="DHI177" s="125"/>
      <c r="DHJ177" s="125"/>
      <c r="DHK177" s="125"/>
      <c r="DHL177" s="125"/>
      <c r="DHM177" s="125"/>
      <c r="DHN177" s="125"/>
      <c r="DHO177" s="125"/>
      <c r="DHP177" s="125"/>
      <c r="DHQ177" s="125"/>
      <c r="DHR177" s="125"/>
      <c r="DHS177" s="125"/>
      <c r="DHT177" s="125"/>
      <c r="DHU177" s="125"/>
      <c r="DHV177" s="125"/>
      <c r="DHW177" s="125"/>
      <c r="DHX177" s="125"/>
      <c r="DHY177" s="125"/>
      <c r="DHZ177" s="125"/>
      <c r="DIA177" s="125"/>
      <c r="DIB177" s="125"/>
      <c r="DIC177" s="125"/>
      <c r="DID177" s="125"/>
      <c r="DIE177" s="125"/>
      <c r="DIF177" s="125"/>
      <c r="DIG177" s="125"/>
      <c r="DIH177" s="125"/>
      <c r="DII177" s="125"/>
      <c r="DIJ177" s="125"/>
      <c r="DIK177" s="125"/>
      <c r="DIL177" s="125"/>
      <c r="DIM177" s="125"/>
      <c r="DIN177" s="125"/>
      <c r="DIO177" s="125"/>
      <c r="DIP177" s="125"/>
      <c r="DIQ177" s="125"/>
      <c r="DIR177" s="125"/>
      <c r="DIS177" s="125"/>
      <c r="DIT177" s="125"/>
      <c r="DIU177" s="125"/>
      <c r="DIV177" s="125"/>
      <c r="DIW177" s="125"/>
      <c r="DIX177" s="125"/>
      <c r="DIY177" s="125"/>
      <c r="DIZ177" s="125"/>
      <c r="DJA177" s="125"/>
      <c r="DJB177" s="125"/>
      <c r="DJC177" s="125"/>
      <c r="DJD177" s="125"/>
      <c r="DJE177" s="125"/>
      <c r="DJF177" s="125"/>
      <c r="DJG177" s="125"/>
      <c r="DJH177" s="125"/>
      <c r="DJI177" s="125"/>
      <c r="DJJ177" s="125"/>
      <c r="DJK177" s="125"/>
      <c r="DJL177" s="125"/>
      <c r="DJM177" s="125"/>
      <c r="DJN177" s="125"/>
      <c r="DJO177" s="125"/>
      <c r="DJP177" s="125"/>
      <c r="DJQ177" s="125"/>
      <c r="DJR177" s="125"/>
      <c r="DJS177" s="125"/>
      <c r="DJT177" s="125"/>
      <c r="DJU177" s="125"/>
      <c r="DJV177" s="125"/>
      <c r="DJW177" s="125"/>
      <c r="DJX177" s="125"/>
      <c r="DJY177" s="125"/>
      <c r="DJZ177" s="125"/>
      <c r="DKA177" s="125"/>
      <c r="DKB177" s="125"/>
      <c r="DKC177" s="125"/>
      <c r="DKD177" s="125"/>
      <c r="DKE177" s="125"/>
      <c r="DKF177" s="125"/>
      <c r="DKG177" s="125"/>
      <c r="DKH177" s="125"/>
      <c r="DKI177" s="125"/>
      <c r="DKJ177" s="125"/>
      <c r="DKK177" s="125"/>
      <c r="DKL177" s="125"/>
      <c r="DKM177" s="125"/>
      <c r="DKN177" s="125"/>
      <c r="DKO177" s="125"/>
      <c r="DKP177" s="125"/>
      <c r="DKQ177" s="125"/>
      <c r="DKR177" s="125"/>
      <c r="DKS177" s="125"/>
      <c r="DKT177" s="125"/>
      <c r="DKU177" s="125"/>
      <c r="DKV177" s="125"/>
      <c r="DKW177" s="125"/>
      <c r="DKX177" s="125"/>
      <c r="DKY177" s="125"/>
      <c r="DKZ177" s="125"/>
      <c r="DLA177" s="125"/>
      <c r="DLB177" s="125"/>
      <c r="DLC177" s="125"/>
      <c r="DLD177" s="125"/>
      <c r="DLE177" s="125"/>
      <c r="DLF177" s="125"/>
      <c r="DLG177" s="125"/>
      <c r="DLH177" s="125"/>
      <c r="DLI177" s="125"/>
      <c r="DLJ177" s="125"/>
      <c r="DLK177" s="125"/>
      <c r="DLL177" s="125"/>
      <c r="DLM177" s="125"/>
      <c r="DLN177" s="125"/>
      <c r="DLO177" s="125"/>
      <c r="DLP177" s="125"/>
      <c r="DLQ177" s="125"/>
      <c r="DLR177" s="125"/>
      <c r="DLS177" s="125"/>
      <c r="DLT177" s="125"/>
      <c r="DLU177" s="125"/>
      <c r="DLV177" s="125"/>
      <c r="DLW177" s="125"/>
      <c r="DLX177" s="125"/>
      <c r="DLY177" s="125"/>
      <c r="DLZ177" s="125"/>
      <c r="DMA177" s="125"/>
      <c r="DMB177" s="125"/>
      <c r="DMC177" s="125"/>
      <c r="DMD177" s="125"/>
      <c r="DME177" s="125"/>
      <c r="DMF177" s="125"/>
      <c r="DMG177" s="125"/>
      <c r="DMH177" s="125"/>
      <c r="DMI177" s="125"/>
      <c r="DMJ177" s="125"/>
      <c r="DMK177" s="125"/>
      <c r="DML177" s="125"/>
      <c r="DMM177" s="125"/>
      <c r="DMN177" s="125"/>
      <c r="DMO177" s="125"/>
      <c r="DMP177" s="125"/>
      <c r="DMQ177" s="125"/>
      <c r="DMR177" s="125"/>
      <c r="DMS177" s="125"/>
      <c r="DMT177" s="125"/>
      <c r="DMU177" s="125"/>
      <c r="DMV177" s="125"/>
      <c r="DMW177" s="125"/>
      <c r="DMX177" s="125"/>
      <c r="DMY177" s="125"/>
      <c r="DMZ177" s="125"/>
      <c r="DNA177" s="125"/>
      <c r="DNB177" s="125"/>
      <c r="DNC177" s="125"/>
      <c r="DND177" s="125"/>
      <c r="DNE177" s="125"/>
      <c r="DNF177" s="125"/>
      <c r="DNG177" s="125"/>
      <c r="DNH177" s="125"/>
      <c r="DNI177" s="125"/>
      <c r="DNJ177" s="125"/>
      <c r="DNK177" s="125"/>
      <c r="DNL177" s="125"/>
      <c r="DNM177" s="125"/>
      <c r="DNN177" s="125"/>
      <c r="DNO177" s="125"/>
      <c r="DNP177" s="125"/>
      <c r="DNQ177" s="125"/>
      <c r="DNR177" s="125"/>
      <c r="DNS177" s="125"/>
      <c r="DNT177" s="125"/>
      <c r="DNU177" s="125"/>
      <c r="DNV177" s="125"/>
      <c r="DNW177" s="125"/>
      <c r="DNX177" s="125"/>
      <c r="DNY177" s="125"/>
      <c r="DNZ177" s="125"/>
      <c r="DOA177" s="125"/>
      <c r="DOB177" s="125"/>
      <c r="DOC177" s="125"/>
      <c r="DOD177" s="125"/>
      <c r="DOE177" s="125"/>
      <c r="DOF177" s="125"/>
      <c r="DOG177" s="125"/>
      <c r="DOH177" s="125"/>
      <c r="DOI177" s="125"/>
      <c r="DOJ177" s="125"/>
      <c r="DOK177" s="125"/>
      <c r="DOL177" s="125"/>
      <c r="DOM177" s="125"/>
      <c r="DON177" s="125"/>
      <c r="DOO177" s="125"/>
      <c r="DOP177" s="125"/>
      <c r="DOQ177" s="125"/>
      <c r="DOR177" s="125"/>
      <c r="DOS177" s="125"/>
      <c r="DOT177" s="125"/>
      <c r="DOU177" s="125"/>
      <c r="DOV177" s="125"/>
      <c r="DOW177" s="125"/>
      <c r="DOX177" s="125"/>
      <c r="DOY177" s="125"/>
      <c r="DOZ177" s="125"/>
      <c r="DPA177" s="125"/>
      <c r="DPB177" s="125"/>
      <c r="DPC177" s="125"/>
      <c r="DPD177" s="125"/>
      <c r="DPE177" s="125"/>
      <c r="DPF177" s="125"/>
      <c r="DPG177" s="125"/>
      <c r="DPH177" s="125"/>
      <c r="DPI177" s="125"/>
      <c r="DPJ177" s="125"/>
      <c r="DPK177" s="125"/>
      <c r="DPL177" s="125"/>
      <c r="DPM177" s="125"/>
      <c r="DPN177" s="125"/>
      <c r="DPO177" s="125"/>
      <c r="DPP177" s="125"/>
      <c r="DPQ177" s="125"/>
      <c r="DPR177" s="125"/>
      <c r="DPS177" s="125"/>
      <c r="DPT177" s="125"/>
      <c r="DPU177" s="125"/>
      <c r="DPV177" s="125"/>
      <c r="DPW177" s="125"/>
      <c r="DPX177" s="125"/>
      <c r="DPY177" s="125"/>
      <c r="DPZ177" s="125"/>
      <c r="DQA177" s="125"/>
      <c r="DQB177" s="125"/>
      <c r="DQC177" s="125"/>
      <c r="DQD177" s="125"/>
      <c r="DQE177" s="125"/>
      <c r="DQF177" s="125"/>
      <c r="DQG177" s="125"/>
      <c r="DQH177" s="125"/>
      <c r="DQI177" s="125"/>
      <c r="DQJ177" s="125"/>
      <c r="DQK177" s="125"/>
      <c r="DQL177" s="125"/>
      <c r="DQM177" s="125"/>
      <c r="DQN177" s="125"/>
      <c r="DQO177" s="125"/>
      <c r="DQP177" s="125"/>
      <c r="DQQ177" s="125"/>
      <c r="DQR177" s="125"/>
      <c r="DQS177" s="125"/>
      <c r="DQT177" s="125"/>
      <c r="DQU177" s="125"/>
      <c r="DQV177" s="125"/>
      <c r="DQW177" s="125"/>
      <c r="DQX177" s="125"/>
      <c r="DQY177" s="125"/>
      <c r="DQZ177" s="125"/>
      <c r="DRA177" s="125"/>
      <c r="DRB177" s="125"/>
      <c r="DRC177" s="125"/>
      <c r="DRD177" s="125"/>
      <c r="DRE177" s="125"/>
      <c r="DRF177" s="125"/>
      <c r="DRG177" s="125"/>
      <c r="DRH177" s="125"/>
      <c r="DRI177" s="125"/>
      <c r="DRJ177" s="125"/>
      <c r="DRK177" s="125"/>
      <c r="DRL177" s="125"/>
      <c r="DRM177" s="125"/>
      <c r="DRN177" s="125"/>
      <c r="DRO177" s="125"/>
      <c r="DRP177" s="125"/>
      <c r="DRQ177" s="125"/>
      <c r="DRR177" s="125"/>
      <c r="DRS177" s="125"/>
      <c r="DRT177" s="125"/>
      <c r="DRU177" s="125"/>
      <c r="DRV177" s="125"/>
      <c r="DRW177" s="125"/>
      <c r="DRX177" s="125"/>
      <c r="DRY177" s="125"/>
      <c r="DRZ177" s="125"/>
      <c r="DSA177" s="125"/>
      <c r="DSB177" s="125"/>
      <c r="DSC177" s="125"/>
      <c r="DSD177" s="125"/>
      <c r="DSE177" s="125"/>
      <c r="DSF177" s="125"/>
      <c r="DSG177" s="125"/>
      <c r="DSH177" s="125"/>
      <c r="DSI177" s="125"/>
      <c r="DSJ177" s="125"/>
      <c r="DSK177" s="125"/>
      <c r="DSL177" s="125"/>
      <c r="DSM177" s="125"/>
      <c r="DSN177" s="125"/>
      <c r="DSO177" s="125"/>
      <c r="DSP177" s="125"/>
      <c r="DSQ177" s="125"/>
      <c r="DSR177" s="125"/>
      <c r="DSS177" s="125"/>
      <c r="DST177" s="125"/>
      <c r="DSU177" s="125"/>
      <c r="DSV177" s="125"/>
      <c r="DSW177" s="125"/>
      <c r="DSX177" s="125"/>
      <c r="DSY177" s="125"/>
      <c r="DSZ177" s="125"/>
      <c r="DTA177" s="125"/>
      <c r="DTB177" s="125"/>
      <c r="DTC177" s="125"/>
      <c r="DTD177" s="125"/>
      <c r="DTE177" s="125"/>
      <c r="DTF177" s="125"/>
      <c r="DTG177" s="125"/>
      <c r="DTH177" s="125"/>
      <c r="DTI177" s="125"/>
      <c r="DTJ177" s="125"/>
      <c r="DTK177" s="125"/>
      <c r="DTL177" s="125"/>
      <c r="DTM177" s="125"/>
      <c r="DTN177" s="125"/>
      <c r="DTO177" s="125"/>
      <c r="DTP177" s="125"/>
      <c r="DTQ177" s="125"/>
      <c r="DTR177" s="125"/>
      <c r="DTS177" s="125"/>
      <c r="DTT177" s="125"/>
      <c r="DTU177" s="125"/>
      <c r="DTV177" s="125"/>
      <c r="DTW177" s="125"/>
      <c r="DTX177" s="125"/>
      <c r="DTY177" s="125"/>
      <c r="DTZ177" s="125"/>
      <c r="DUA177" s="125"/>
      <c r="DUB177" s="125"/>
      <c r="DUC177" s="125"/>
      <c r="DUD177" s="125"/>
      <c r="DUE177" s="125"/>
      <c r="DUF177" s="125"/>
      <c r="DUG177" s="125"/>
      <c r="DUH177" s="125"/>
      <c r="DUI177" s="125"/>
      <c r="DUJ177" s="125"/>
      <c r="DUK177" s="125"/>
      <c r="DUL177" s="125"/>
      <c r="DUM177" s="125"/>
      <c r="DUN177" s="125"/>
      <c r="DUO177" s="125"/>
      <c r="DUP177" s="125"/>
      <c r="DUQ177" s="125"/>
      <c r="DUR177" s="125"/>
      <c r="DUS177" s="125"/>
      <c r="DUT177" s="125"/>
      <c r="DUU177" s="125"/>
      <c r="DUV177" s="125"/>
      <c r="DUW177" s="125"/>
      <c r="DUX177" s="125"/>
      <c r="DUY177" s="125"/>
      <c r="DUZ177" s="125"/>
      <c r="DVA177" s="125"/>
      <c r="DVB177" s="125"/>
      <c r="DVC177" s="125"/>
      <c r="DVD177" s="125"/>
      <c r="DVE177" s="125"/>
      <c r="DVF177" s="125"/>
      <c r="DVG177" s="125"/>
      <c r="DVH177" s="125"/>
      <c r="DVI177" s="125"/>
      <c r="DVJ177" s="125"/>
      <c r="DVK177" s="125"/>
      <c r="DVL177" s="125"/>
      <c r="DVM177" s="125"/>
      <c r="DVN177" s="125"/>
      <c r="DVO177" s="125"/>
      <c r="DVP177" s="125"/>
      <c r="DVQ177" s="125"/>
      <c r="DVR177" s="125"/>
      <c r="DVS177" s="125"/>
      <c r="DVT177" s="125"/>
      <c r="DVU177" s="125"/>
      <c r="DVV177" s="125"/>
      <c r="DVW177" s="125"/>
      <c r="DVX177" s="125"/>
      <c r="DVY177" s="125"/>
      <c r="DVZ177" s="125"/>
      <c r="DWA177" s="125"/>
      <c r="DWB177" s="125"/>
      <c r="DWC177" s="125"/>
      <c r="DWD177" s="125"/>
      <c r="DWE177" s="125"/>
      <c r="DWF177" s="125"/>
      <c r="DWG177" s="125"/>
      <c r="DWH177" s="125"/>
      <c r="DWI177" s="125"/>
      <c r="DWJ177" s="125"/>
      <c r="DWK177" s="125"/>
      <c r="DWL177" s="125"/>
      <c r="DWM177" s="125"/>
      <c r="DWN177" s="125"/>
      <c r="DWO177" s="125"/>
      <c r="DWP177" s="125"/>
      <c r="DWQ177" s="125"/>
      <c r="DWR177" s="125"/>
      <c r="DWS177" s="125"/>
      <c r="DWT177" s="125"/>
      <c r="DWU177" s="125"/>
      <c r="DWV177" s="125"/>
      <c r="DWW177" s="125"/>
      <c r="DWX177" s="125"/>
      <c r="DWY177" s="125"/>
      <c r="DWZ177" s="125"/>
      <c r="DXA177" s="125"/>
      <c r="DXB177" s="125"/>
      <c r="DXC177" s="125"/>
      <c r="DXD177" s="125"/>
      <c r="DXE177" s="125"/>
      <c r="DXF177" s="125"/>
      <c r="DXG177" s="125"/>
      <c r="DXH177" s="125"/>
      <c r="DXI177" s="125"/>
      <c r="DXJ177" s="125"/>
      <c r="DXK177" s="125"/>
      <c r="DXL177" s="125"/>
      <c r="DXM177" s="125"/>
      <c r="DXN177" s="125"/>
      <c r="DXO177" s="125"/>
      <c r="DXP177" s="125"/>
      <c r="DXQ177" s="125"/>
      <c r="DXR177" s="125"/>
      <c r="DXS177" s="125"/>
      <c r="DXT177" s="125"/>
      <c r="DXU177" s="125"/>
      <c r="DXV177" s="125"/>
      <c r="DXW177" s="125"/>
      <c r="DXX177" s="125"/>
      <c r="DXY177" s="125"/>
      <c r="DXZ177" s="125"/>
      <c r="DYA177" s="125"/>
      <c r="DYB177" s="125"/>
      <c r="DYC177" s="125"/>
      <c r="DYD177" s="125"/>
      <c r="DYE177" s="125"/>
      <c r="DYF177" s="125"/>
      <c r="DYG177" s="125"/>
      <c r="DYH177" s="125"/>
      <c r="DYI177" s="125"/>
      <c r="DYJ177" s="125"/>
      <c r="DYK177" s="125"/>
      <c r="DYL177" s="125"/>
      <c r="DYM177" s="125"/>
      <c r="DYN177" s="125"/>
      <c r="DYO177" s="125"/>
      <c r="DYP177" s="125"/>
      <c r="DYQ177" s="125"/>
      <c r="DYR177" s="125"/>
      <c r="DYS177" s="125"/>
      <c r="DYT177" s="125"/>
      <c r="DYU177" s="125"/>
      <c r="DYV177" s="125"/>
      <c r="DYW177" s="125"/>
      <c r="DYX177" s="125"/>
      <c r="DYY177" s="125"/>
      <c r="DYZ177" s="125"/>
      <c r="DZA177" s="125"/>
      <c r="DZB177" s="125"/>
      <c r="DZC177" s="125"/>
      <c r="DZD177" s="125"/>
      <c r="DZE177" s="125"/>
      <c r="DZF177" s="125"/>
      <c r="DZG177" s="125"/>
      <c r="DZH177" s="125"/>
      <c r="DZI177" s="125"/>
      <c r="DZJ177" s="125"/>
      <c r="DZK177" s="125"/>
      <c r="DZL177" s="125"/>
      <c r="DZM177" s="125"/>
      <c r="DZN177" s="125"/>
      <c r="DZO177" s="125"/>
      <c r="DZP177" s="125"/>
      <c r="DZQ177" s="125"/>
      <c r="DZR177" s="125"/>
      <c r="DZS177" s="125"/>
      <c r="DZT177" s="125"/>
      <c r="DZU177" s="125"/>
      <c r="DZV177" s="125"/>
      <c r="DZW177" s="125"/>
      <c r="DZX177" s="125"/>
      <c r="DZY177" s="125"/>
      <c r="DZZ177" s="125"/>
      <c r="EAA177" s="125"/>
      <c r="EAB177" s="125"/>
      <c r="EAC177" s="125"/>
      <c r="EAD177" s="125"/>
      <c r="EAE177" s="125"/>
      <c r="EAF177" s="125"/>
      <c r="EAG177" s="125"/>
      <c r="EAH177" s="125"/>
      <c r="EAI177" s="125"/>
      <c r="EAJ177" s="125"/>
      <c r="EAK177" s="125"/>
      <c r="EAL177" s="125"/>
      <c r="EAM177" s="125"/>
      <c r="EAN177" s="125"/>
      <c r="EAO177" s="125"/>
      <c r="EAP177" s="125"/>
      <c r="EAQ177" s="125"/>
      <c r="EAR177" s="125"/>
      <c r="EAS177" s="125"/>
      <c r="EAT177" s="125"/>
      <c r="EAU177" s="125"/>
      <c r="EAV177" s="125"/>
      <c r="EAW177" s="125"/>
      <c r="EAX177" s="125"/>
      <c r="EAY177" s="125"/>
      <c r="EAZ177" s="125"/>
      <c r="EBA177" s="125"/>
      <c r="EBB177" s="125"/>
      <c r="EBC177" s="125"/>
      <c r="EBD177" s="125"/>
      <c r="EBE177" s="125"/>
      <c r="EBF177" s="125"/>
      <c r="EBG177" s="125"/>
      <c r="EBH177" s="125"/>
      <c r="EBI177" s="125"/>
      <c r="EBJ177" s="125"/>
      <c r="EBK177" s="125"/>
      <c r="EBL177" s="125"/>
      <c r="EBM177" s="125"/>
      <c r="EBN177" s="125"/>
      <c r="EBO177" s="125"/>
      <c r="EBP177" s="125"/>
      <c r="EBQ177" s="125"/>
      <c r="EBR177" s="125"/>
      <c r="EBS177" s="125"/>
      <c r="EBT177" s="125"/>
      <c r="EBU177" s="125"/>
      <c r="EBV177" s="125"/>
      <c r="EBW177" s="125"/>
      <c r="EBX177" s="125"/>
      <c r="EBY177" s="125"/>
      <c r="EBZ177" s="125"/>
      <c r="ECA177" s="125"/>
      <c r="ECB177" s="125"/>
      <c r="ECC177" s="125"/>
      <c r="ECD177" s="125"/>
      <c r="ECE177" s="125"/>
      <c r="ECF177" s="125"/>
      <c r="ECG177" s="125"/>
      <c r="ECH177" s="125"/>
      <c r="ECI177" s="125"/>
      <c r="ECJ177" s="125"/>
      <c r="ECK177" s="125"/>
      <c r="ECL177" s="125"/>
      <c r="ECM177" s="125"/>
      <c r="ECN177" s="125"/>
      <c r="ECO177" s="125"/>
      <c r="ECP177" s="125"/>
      <c r="ECQ177" s="125"/>
      <c r="ECR177" s="125"/>
      <c r="ECS177" s="125"/>
      <c r="ECT177" s="125"/>
      <c r="ECU177" s="125"/>
      <c r="ECV177" s="125"/>
      <c r="ECW177" s="125"/>
      <c r="ECX177" s="125"/>
      <c r="ECY177" s="125"/>
      <c r="ECZ177" s="125"/>
      <c r="EDA177" s="125"/>
      <c r="EDB177" s="125"/>
      <c r="EDC177" s="125"/>
      <c r="EDD177" s="125"/>
      <c r="EDE177" s="125"/>
      <c r="EDF177" s="125"/>
      <c r="EDG177" s="125"/>
      <c r="EDH177" s="125"/>
      <c r="EDI177" s="125"/>
      <c r="EDJ177" s="125"/>
      <c r="EDK177" s="125"/>
      <c r="EDL177" s="125"/>
      <c r="EDM177" s="125"/>
      <c r="EDN177" s="125"/>
      <c r="EDO177" s="125"/>
      <c r="EDP177" s="125"/>
      <c r="EDQ177" s="125"/>
      <c r="EDR177" s="125"/>
      <c r="EDS177" s="125"/>
      <c r="EDT177" s="125"/>
      <c r="EDU177" s="125"/>
      <c r="EDV177" s="125"/>
      <c r="EDW177" s="125"/>
      <c r="EDX177" s="125"/>
      <c r="EDY177" s="125"/>
      <c r="EDZ177" s="125"/>
      <c r="EEA177" s="125"/>
      <c r="EEB177" s="125"/>
      <c r="EEC177" s="125"/>
      <c r="EED177" s="125"/>
      <c r="EEE177" s="125"/>
      <c r="EEF177" s="125"/>
      <c r="EEG177" s="125"/>
      <c r="EEH177" s="125"/>
      <c r="EEI177" s="125"/>
      <c r="EEJ177" s="125"/>
      <c r="EEK177" s="125"/>
      <c r="EEL177" s="125"/>
      <c r="EEM177" s="125"/>
      <c r="EEN177" s="125"/>
      <c r="EEO177" s="125"/>
      <c r="EEP177" s="125"/>
      <c r="EEQ177" s="125"/>
      <c r="EER177" s="125"/>
      <c r="EES177" s="125"/>
      <c r="EET177" s="125"/>
      <c r="EEU177" s="125"/>
      <c r="EEV177" s="125"/>
      <c r="EEW177" s="125"/>
      <c r="EEX177" s="125"/>
      <c r="EEY177" s="125"/>
      <c r="EEZ177" s="125"/>
      <c r="EFA177" s="125"/>
      <c r="EFB177" s="125"/>
      <c r="EFC177" s="125"/>
      <c r="EFD177" s="125"/>
      <c r="EFE177" s="125"/>
      <c r="EFF177" s="125"/>
      <c r="EFG177" s="125"/>
      <c r="EFH177" s="125"/>
      <c r="EFI177" s="125"/>
      <c r="EFJ177" s="125"/>
      <c r="EFK177" s="125"/>
      <c r="EFL177" s="125"/>
      <c r="EFM177" s="125"/>
      <c r="EFN177" s="125"/>
      <c r="EFO177" s="125"/>
      <c r="EFP177" s="125"/>
      <c r="EFQ177" s="125"/>
      <c r="EFR177" s="125"/>
      <c r="EFS177" s="125"/>
      <c r="EFT177" s="125"/>
      <c r="EFU177" s="125"/>
      <c r="EFV177" s="125"/>
      <c r="EFW177" s="125"/>
      <c r="EFX177" s="125"/>
      <c r="EFY177" s="125"/>
      <c r="EFZ177" s="125"/>
      <c r="EGA177" s="125"/>
      <c r="EGB177" s="125"/>
      <c r="EGC177" s="125"/>
      <c r="EGD177" s="125"/>
      <c r="EGE177" s="125"/>
      <c r="EGF177" s="125"/>
      <c r="EGG177" s="125"/>
      <c r="EGH177" s="125"/>
      <c r="EGI177" s="125"/>
      <c r="EGJ177" s="125"/>
      <c r="EGK177" s="125"/>
      <c r="EGL177" s="125"/>
      <c r="EGM177" s="125"/>
      <c r="EGN177" s="125"/>
      <c r="EGO177" s="125"/>
      <c r="EGP177" s="125"/>
      <c r="EGQ177" s="125"/>
      <c r="EGR177" s="125"/>
      <c r="EGS177" s="125"/>
      <c r="EGT177" s="125"/>
      <c r="EGU177" s="125"/>
      <c r="EGV177" s="125"/>
      <c r="EGW177" s="125"/>
      <c r="EGX177" s="125"/>
      <c r="EGY177" s="125"/>
      <c r="EGZ177" s="125"/>
      <c r="EHA177" s="125"/>
      <c r="EHB177" s="125"/>
      <c r="EHC177" s="125"/>
      <c r="EHD177" s="125"/>
      <c r="EHE177" s="125"/>
      <c r="EHF177" s="125"/>
      <c r="EHG177" s="125"/>
      <c r="EHH177" s="125"/>
      <c r="EHI177" s="125"/>
      <c r="EHJ177" s="125"/>
      <c r="EHK177" s="125"/>
      <c r="EHL177" s="125"/>
      <c r="EHM177" s="125"/>
      <c r="EHN177" s="125"/>
      <c r="EHO177" s="125"/>
      <c r="EHP177" s="125"/>
      <c r="EHQ177" s="125"/>
      <c r="EHR177" s="125"/>
      <c r="EHS177" s="125"/>
      <c r="EHT177" s="125"/>
      <c r="EHU177" s="125"/>
      <c r="EHV177" s="125"/>
      <c r="EHW177" s="125"/>
      <c r="EHX177" s="125"/>
      <c r="EHY177" s="125"/>
      <c r="EHZ177" s="125"/>
      <c r="EIA177" s="125"/>
      <c r="EIB177" s="125"/>
      <c r="EIC177" s="125"/>
      <c r="EID177" s="125"/>
      <c r="EIE177" s="125"/>
      <c r="EIF177" s="125"/>
      <c r="EIG177" s="125"/>
      <c r="EIH177" s="125"/>
      <c r="EII177" s="125"/>
      <c r="EIJ177" s="125"/>
      <c r="EIK177" s="125"/>
      <c r="EIL177" s="125"/>
      <c r="EIM177" s="125"/>
      <c r="EIN177" s="125"/>
      <c r="EIO177" s="125"/>
      <c r="EIP177" s="125"/>
      <c r="EIQ177" s="125"/>
      <c r="EIR177" s="125"/>
      <c r="EIS177" s="125"/>
      <c r="EIT177" s="125"/>
      <c r="EIU177" s="125"/>
      <c r="EIV177" s="125"/>
      <c r="EIW177" s="125"/>
      <c r="EIX177" s="125"/>
      <c r="EIY177" s="125"/>
      <c r="EIZ177" s="125"/>
      <c r="EJA177" s="125"/>
      <c r="EJB177" s="125"/>
      <c r="EJC177" s="125"/>
      <c r="EJD177" s="125"/>
      <c r="EJE177" s="125"/>
      <c r="EJF177" s="125"/>
      <c r="EJG177" s="125"/>
      <c r="EJH177" s="125"/>
      <c r="EJI177" s="125"/>
      <c r="EJJ177" s="125"/>
      <c r="EJK177" s="125"/>
      <c r="EJL177" s="125"/>
      <c r="EJM177" s="125"/>
      <c r="EJN177" s="125"/>
      <c r="EJO177" s="125"/>
      <c r="EJP177" s="125"/>
      <c r="EJQ177" s="125"/>
      <c r="EJR177" s="125"/>
      <c r="EJS177" s="125"/>
      <c r="EJT177" s="125"/>
      <c r="EJU177" s="125"/>
      <c r="EJV177" s="125"/>
      <c r="EJW177" s="125"/>
      <c r="EJX177" s="125"/>
      <c r="EJY177" s="125"/>
      <c r="EJZ177" s="125"/>
      <c r="EKA177" s="125"/>
      <c r="EKB177" s="125"/>
      <c r="EKC177" s="125"/>
      <c r="EKD177" s="125"/>
      <c r="EKE177" s="125"/>
      <c r="EKF177" s="125"/>
      <c r="EKG177" s="125"/>
      <c r="EKH177" s="125"/>
      <c r="EKI177" s="125"/>
      <c r="EKJ177" s="125"/>
      <c r="EKK177" s="125"/>
      <c r="EKL177" s="125"/>
      <c r="EKM177" s="125"/>
      <c r="EKN177" s="125"/>
      <c r="EKO177" s="125"/>
      <c r="EKP177" s="125"/>
      <c r="EKQ177" s="125"/>
      <c r="EKR177" s="125"/>
      <c r="EKS177" s="125"/>
      <c r="EKT177" s="125"/>
      <c r="EKU177" s="125"/>
      <c r="EKV177" s="125"/>
      <c r="EKW177" s="125"/>
      <c r="EKX177" s="125"/>
      <c r="EKY177" s="125"/>
      <c r="EKZ177" s="125"/>
      <c r="ELA177" s="125"/>
      <c r="ELB177" s="125"/>
      <c r="ELC177" s="125"/>
      <c r="ELD177" s="125"/>
      <c r="ELE177" s="125"/>
      <c r="ELF177" s="125"/>
      <c r="ELG177" s="125"/>
      <c r="ELH177" s="125"/>
      <c r="ELI177" s="125"/>
      <c r="ELJ177" s="125"/>
      <c r="ELK177" s="125"/>
      <c r="ELL177" s="125"/>
      <c r="ELM177" s="125"/>
      <c r="ELN177" s="125"/>
      <c r="ELO177" s="125"/>
      <c r="ELP177" s="125"/>
      <c r="ELQ177" s="125"/>
      <c r="ELR177" s="125"/>
      <c r="ELS177" s="125"/>
      <c r="ELT177" s="125"/>
      <c r="ELU177" s="125"/>
      <c r="ELV177" s="125"/>
      <c r="ELW177" s="125"/>
      <c r="ELX177" s="125"/>
      <c r="ELY177" s="125"/>
      <c r="ELZ177" s="125"/>
      <c r="EMA177" s="125"/>
      <c r="EMB177" s="125"/>
      <c r="EMC177" s="125"/>
      <c r="EMD177" s="125"/>
      <c r="EME177" s="125"/>
      <c r="EMF177" s="125"/>
      <c r="EMG177" s="125"/>
      <c r="EMH177" s="125"/>
      <c r="EMI177" s="125"/>
      <c r="EMJ177" s="125"/>
      <c r="EMK177" s="125"/>
      <c r="EML177" s="125"/>
      <c r="EMM177" s="125"/>
      <c r="EMN177" s="125"/>
      <c r="EMO177" s="125"/>
      <c r="EMP177" s="125"/>
      <c r="EMQ177" s="125"/>
      <c r="EMR177" s="125"/>
      <c r="EMS177" s="125"/>
      <c r="EMT177" s="125"/>
      <c r="EMU177" s="125"/>
      <c r="EMV177" s="125"/>
      <c r="EMW177" s="125"/>
      <c r="EMX177" s="125"/>
      <c r="EMY177" s="125"/>
      <c r="EMZ177" s="125"/>
      <c r="ENA177" s="125"/>
      <c r="ENB177" s="125"/>
      <c r="ENC177" s="125"/>
      <c r="END177" s="125"/>
      <c r="ENE177" s="125"/>
      <c r="ENF177" s="125"/>
      <c r="ENG177" s="125"/>
      <c r="ENH177" s="125"/>
      <c r="ENI177" s="125"/>
      <c r="ENJ177" s="125"/>
      <c r="ENK177" s="125"/>
      <c r="ENL177" s="125"/>
      <c r="ENM177" s="125"/>
      <c r="ENN177" s="125"/>
      <c r="ENO177" s="125"/>
      <c r="ENP177" s="125"/>
      <c r="ENQ177" s="125"/>
      <c r="ENR177" s="125"/>
      <c r="ENS177" s="125"/>
      <c r="ENT177" s="125"/>
      <c r="ENU177" s="125"/>
      <c r="ENV177" s="125"/>
      <c r="ENW177" s="125"/>
      <c r="ENX177" s="125"/>
      <c r="ENY177" s="125"/>
      <c r="ENZ177" s="125"/>
      <c r="EOA177" s="125"/>
      <c r="EOB177" s="125"/>
      <c r="EOC177" s="125"/>
      <c r="EOD177" s="125"/>
      <c r="EOE177" s="125"/>
      <c r="EOF177" s="125"/>
      <c r="EOG177" s="125"/>
      <c r="EOH177" s="125"/>
      <c r="EOI177" s="125"/>
      <c r="EOJ177" s="125"/>
      <c r="EOK177" s="125"/>
      <c r="EOL177" s="125"/>
      <c r="EOM177" s="125"/>
      <c r="EON177" s="125"/>
      <c r="EOO177" s="125"/>
      <c r="EOP177" s="125"/>
      <c r="EOQ177" s="125"/>
      <c r="EOR177" s="125"/>
      <c r="EOS177" s="125"/>
      <c r="EOT177" s="125"/>
      <c r="EOU177" s="125"/>
      <c r="EOV177" s="125"/>
      <c r="EOW177" s="125"/>
      <c r="EOX177" s="125"/>
      <c r="EOY177" s="125"/>
      <c r="EOZ177" s="125"/>
      <c r="EPA177" s="125"/>
      <c r="EPB177" s="125"/>
      <c r="EPC177" s="125"/>
      <c r="EPD177" s="125"/>
      <c r="EPE177" s="125"/>
      <c r="EPF177" s="125"/>
      <c r="EPG177" s="125"/>
      <c r="EPH177" s="125"/>
      <c r="EPI177" s="125"/>
      <c r="EPJ177" s="125"/>
      <c r="EPK177" s="125"/>
      <c r="EPL177" s="125"/>
      <c r="EPM177" s="125"/>
      <c r="EPN177" s="125"/>
      <c r="EPO177" s="125"/>
      <c r="EPP177" s="125"/>
      <c r="EPQ177" s="125"/>
      <c r="EPR177" s="125"/>
      <c r="EPS177" s="125"/>
      <c r="EPT177" s="125"/>
      <c r="EPU177" s="125"/>
      <c r="EPV177" s="125"/>
      <c r="EPW177" s="125"/>
      <c r="EPX177" s="125"/>
      <c r="EPY177" s="125"/>
      <c r="EPZ177" s="125"/>
      <c r="EQA177" s="125"/>
      <c r="EQB177" s="125"/>
      <c r="EQC177" s="125"/>
      <c r="EQD177" s="125"/>
      <c r="EQE177" s="125"/>
      <c r="EQF177" s="125"/>
      <c r="EQG177" s="125"/>
      <c r="EQH177" s="125"/>
      <c r="EQI177" s="125"/>
      <c r="EQJ177" s="125"/>
      <c r="EQK177" s="125"/>
      <c r="EQL177" s="125"/>
      <c r="EQM177" s="125"/>
      <c r="EQN177" s="125"/>
      <c r="EQO177" s="125"/>
      <c r="EQP177" s="125"/>
      <c r="EQQ177" s="125"/>
      <c r="EQR177" s="125"/>
      <c r="EQS177" s="125"/>
      <c r="EQT177" s="125"/>
      <c r="EQU177" s="125"/>
      <c r="EQV177" s="125"/>
      <c r="EQW177" s="125"/>
      <c r="EQX177" s="125"/>
      <c r="EQY177" s="125"/>
      <c r="EQZ177" s="125"/>
      <c r="ERA177" s="125"/>
      <c r="ERB177" s="125"/>
      <c r="ERC177" s="125"/>
      <c r="ERD177" s="125"/>
      <c r="ERE177" s="125"/>
      <c r="ERF177" s="125"/>
      <c r="ERG177" s="125"/>
      <c r="ERH177" s="125"/>
      <c r="ERI177" s="125"/>
      <c r="ERJ177" s="125"/>
      <c r="ERK177" s="125"/>
      <c r="ERL177" s="125"/>
      <c r="ERM177" s="125"/>
      <c r="ERN177" s="125"/>
      <c r="ERO177" s="125"/>
      <c r="ERP177" s="125"/>
      <c r="ERQ177" s="125"/>
      <c r="ERR177" s="125"/>
      <c r="ERS177" s="125"/>
      <c r="ERT177" s="125"/>
      <c r="ERU177" s="125"/>
      <c r="ERV177" s="125"/>
      <c r="ERW177" s="125"/>
      <c r="ERX177" s="125"/>
      <c r="ERY177" s="125"/>
      <c r="ERZ177" s="125"/>
      <c r="ESA177" s="125"/>
      <c r="ESB177" s="125"/>
      <c r="ESC177" s="125"/>
      <c r="ESD177" s="125"/>
      <c r="ESE177" s="125"/>
      <c r="ESF177" s="125"/>
      <c r="ESG177" s="125"/>
      <c r="ESH177" s="125"/>
      <c r="ESI177" s="125"/>
      <c r="ESJ177" s="125"/>
      <c r="ESK177" s="125"/>
      <c r="ESL177" s="125"/>
      <c r="ESM177" s="125"/>
      <c r="ESN177" s="125"/>
      <c r="ESO177" s="125"/>
      <c r="ESP177" s="125"/>
      <c r="ESQ177" s="125"/>
      <c r="ESR177" s="125"/>
      <c r="ESS177" s="125"/>
      <c r="EST177" s="125"/>
      <c r="ESU177" s="125"/>
      <c r="ESV177" s="125"/>
      <c r="ESW177" s="125"/>
      <c r="ESX177" s="125"/>
      <c r="ESY177" s="125"/>
      <c r="ESZ177" s="125"/>
      <c r="ETA177" s="125"/>
      <c r="ETB177" s="125"/>
      <c r="ETC177" s="125"/>
      <c r="ETD177" s="125"/>
      <c r="ETE177" s="125"/>
      <c r="ETF177" s="125"/>
      <c r="ETG177" s="125"/>
      <c r="ETH177" s="125"/>
      <c r="ETI177" s="125"/>
      <c r="ETJ177" s="125"/>
      <c r="ETK177" s="125"/>
      <c r="ETL177" s="125"/>
      <c r="ETM177" s="125"/>
      <c r="ETN177" s="125"/>
      <c r="ETO177" s="125"/>
      <c r="ETP177" s="125"/>
      <c r="ETQ177" s="125"/>
      <c r="ETR177" s="125"/>
      <c r="ETS177" s="125"/>
      <c r="ETT177" s="125"/>
      <c r="ETU177" s="125"/>
      <c r="ETV177" s="125"/>
      <c r="ETW177" s="125"/>
      <c r="ETX177" s="125"/>
      <c r="ETY177" s="125"/>
      <c r="ETZ177" s="125"/>
      <c r="EUA177" s="125"/>
      <c r="EUB177" s="125"/>
      <c r="EUC177" s="125"/>
      <c r="EUD177" s="125"/>
      <c r="EUE177" s="125"/>
      <c r="EUF177" s="125"/>
      <c r="EUG177" s="125"/>
      <c r="EUH177" s="125"/>
      <c r="EUI177" s="125"/>
      <c r="EUJ177" s="125"/>
      <c r="EUK177" s="125"/>
      <c r="EUL177" s="125"/>
      <c r="EUM177" s="125"/>
      <c r="EUN177" s="125"/>
      <c r="EUO177" s="125"/>
      <c r="EUP177" s="125"/>
      <c r="EUQ177" s="125"/>
      <c r="EUR177" s="125"/>
      <c r="EUS177" s="125"/>
      <c r="EUT177" s="125"/>
      <c r="EUU177" s="125"/>
      <c r="EUV177" s="125"/>
      <c r="EUW177" s="125"/>
      <c r="EUX177" s="125"/>
      <c r="EUY177" s="125"/>
      <c r="EUZ177" s="125"/>
      <c r="EVA177" s="125"/>
      <c r="EVB177" s="125"/>
      <c r="EVC177" s="125"/>
      <c r="EVD177" s="125"/>
      <c r="EVE177" s="125"/>
      <c r="EVF177" s="125"/>
      <c r="EVG177" s="125"/>
      <c r="EVH177" s="125"/>
      <c r="EVI177" s="125"/>
      <c r="EVJ177" s="125"/>
      <c r="EVK177" s="125"/>
      <c r="EVL177" s="125"/>
      <c r="EVM177" s="125"/>
      <c r="EVN177" s="125"/>
      <c r="EVO177" s="125"/>
      <c r="EVP177" s="125"/>
      <c r="EVQ177" s="125"/>
      <c r="EVR177" s="125"/>
      <c r="EVS177" s="125"/>
      <c r="EVT177" s="125"/>
      <c r="EVU177" s="125"/>
      <c r="EVV177" s="125"/>
      <c r="EVW177" s="125"/>
      <c r="EVX177" s="125"/>
      <c r="EVY177" s="125"/>
      <c r="EVZ177" s="125"/>
      <c r="EWA177" s="125"/>
      <c r="EWB177" s="125"/>
      <c r="EWC177" s="125"/>
      <c r="EWD177" s="125"/>
      <c r="EWE177" s="125"/>
      <c r="EWF177" s="125"/>
      <c r="EWG177" s="125"/>
      <c r="EWH177" s="125"/>
      <c r="EWI177" s="125"/>
      <c r="EWJ177" s="125"/>
      <c r="EWK177" s="125"/>
      <c r="EWL177" s="125"/>
      <c r="EWM177" s="125"/>
      <c r="EWN177" s="125"/>
      <c r="EWO177" s="125"/>
      <c r="EWP177" s="125"/>
      <c r="EWQ177" s="125"/>
      <c r="EWR177" s="125"/>
      <c r="EWS177" s="125"/>
      <c r="EWT177" s="125"/>
      <c r="EWU177" s="125"/>
      <c r="EWV177" s="125"/>
      <c r="EWW177" s="125"/>
      <c r="EWX177" s="125"/>
      <c r="EWY177" s="125"/>
      <c r="EWZ177" s="125"/>
      <c r="EXA177" s="125"/>
      <c r="EXB177" s="125"/>
      <c r="EXC177" s="125"/>
      <c r="EXD177" s="125"/>
      <c r="EXE177" s="125"/>
      <c r="EXF177" s="125"/>
      <c r="EXG177" s="125"/>
      <c r="EXH177" s="125"/>
      <c r="EXI177" s="125"/>
      <c r="EXJ177" s="125"/>
      <c r="EXK177" s="125"/>
      <c r="EXL177" s="125"/>
      <c r="EXM177" s="125"/>
      <c r="EXN177" s="125"/>
      <c r="EXO177" s="125"/>
      <c r="EXP177" s="125"/>
      <c r="EXQ177" s="125"/>
      <c r="EXR177" s="125"/>
      <c r="EXS177" s="125"/>
      <c r="EXT177" s="125"/>
      <c r="EXU177" s="125"/>
      <c r="EXV177" s="125"/>
      <c r="EXW177" s="125"/>
      <c r="EXX177" s="125"/>
      <c r="EXY177" s="125"/>
      <c r="EXZ177" s="125"/>
      <c r="EYA177" s="125"/>
      <c r="EYB177" s="125"/>
      <c r="EYC177" s="125"/>
      <c r="EYD177" s="125"/>
      <c r="EYE177" s="125"/>
      <c r="EYF177" s="125"/>
      <c r="EYG177" s="125"/>
      <c r="EYH177" s="125"/>
      <c r="EYI177" s="125"/>
      <c r="EYJ177" s="125"/>
      <c r="EYK177" s="125"/>
      <c r="EYL177" s="125"/>
      <c r="EYM177" s="125"/>
      <c r="EYN177" s="125"/>
      <c r="EYO177" s="125"/>
      <c r="EYP177" s="125"/>
      <c r="EYQ177" s="125"/>
      <c r="EYR177" s="125"/>
      <c r="EYS177" s="125"/>
      <c r="EYT177" s="125"/>
      <c r="EYU177" s="125"/>
      <c r="EYV177" s="125"/>
      <c r="EYW177" s="125"/>
      <c r="EYX177" s="125"/>
      <c r="EYY177" s="125"/>
      <c r="EYZ177" s="125"/>
      <c r="EZA177" s="125"/>
      <c r="EZB177" s="125"/>
      <c r="EZC177" s="125"/>
      <c r="EZD177" s="125"/>
      <c r="EZE177" s="125"/>
      <c r="EZF177" s="125"/>
      <c r="EZG177" s="125"/>
      <c r="EZH177" s="125"/>
      <c r="EZI177" s="125"/>
      <c r="EZJ177" s="125"/>
      <c r="EZK177" s="125"/>
      <c r="EZL177" s="125"/>
      <c r="EZM177" s="125"/>
      <c r="EZN177" s="125"/>
      <c r="EZO177" s="125"/>
      <c r="EZP177" s="125"/>
      <c r="EZQ177" s="125"/>
      <c r="EZR177" s="125"/>
      <c r="EZS177" s="125"/>
      <c r="EZT177" s="125"/>
      <c r="EZU177" s="125"/>
      <c r="EZV177" s="125"/>
      <c r="EZW177" s="125"/>
      <c r="EZX177" s="125"/>
      <c r="EZY177" s="125"/>
      <c r="EZZ177" s="125"/>
      <c r="FAA177" s="125"/>
      <c r="FAB177" s="125"/>
      <c r="FAC177" s="125"/>
      <c r="FAD177" s="125"/>
      <c r="FAE177" s="125"/>
      <c r="FAF177" s="125"/>
      <c r="FAG177" s="125"/>
      <c r="FAH177" s="125"/>
      <c r="FAI177" s="125"/>
      <c r="FAJ177" s="125"/>
      <c r="FAK177" s="125"/>
      <c r="FAL177" s="125"/>
      <c r="FAM177" s="125"/>
      <c r="FAN177" s="125"/>
      <c r="FAO177" s="125"/>
      <c r="FAP177" s="125"/>
      <c r="FAQ177" s="125"/>
      <c r="FAR177" s="125"/>
      <c r="FAS177" s="125"/>
      <c r="FAT177" s="125"/>
      <c r="FAU177" s="125"/>
      <c r="FAV177" s="125"/>
      <c r="FAW177" s="125"/>
      <c r="FAX177" s="125"/>
      <c r="FAY177" s="125"/>
      <c r="FAZ177" s="125"/>
      <c r="FBA177" s="125"/>
      <c r="FBB177" s="125"/>
      <c r="FBC177" s="125"/>
      <c r="FBD177" s="125"/>
      <c r="FBE177" s="125"/>
      <c r="FBF177" s="125"/>
      <c r="FBG177" s="125"/>
      <c r="FBH177" s="125"/>
      <c r="FBI177" s="125"/>
      <c r="FBJ177" s="125"/>
      <c r="FBK177" s="125"/>
      <c r="FBL177" s="125"/>
      <c r="FBM177" s="125"/>
      <c r="FBN177" s="125"/>
      <c r="FBO177" s="125"/>
      <c r="FBP177" s="125"/>
      <c r="FBQ177" s="125"/>
      <c r="FBR177" s="125"/>
      <c r="FBS177" s="125"/>
      <c r="FBT177" s="125"/>
      <c r="FBU177" s="125"/>
      <c r="FBV177" s="125"/>
      <c r="FBW177" s="125"/>
      <c r="FBX177" s="125"/>
      <c r="FBY177" s="125"/>
      <c r="FBZ177" s="125"/>
      <c r="FCA177" s="125"/>
      <c r="FCB177" s="125"/>
      <c r="FCC177" s="125"/>
      <c r="FCD177" s="125"/>
      <c r="FCE177" s="125"/>
      <c r="FCF177" s="125"/>
      <c r="FCG177" s="125"/>
      <c r="FCH177" s="125"/>
      <c r="FCI177" s="125"/>
      <c r="FCJ177" s="125"/>
      <c r="FCK177" s="125"/>
      <c r="FCL177" s="125"/>
      <c r="FCM177" s="125"/>
      <c r="FCN177" s="125"/>
      <c r="FCO177" s="125"/>
      <c r="FCP177" s="125"/>
      <c r="FCQ177" s="125"/>
      <c r="FCR177" s="125"/>
      <c r="FCS177" s="125"/>
      <c r="FCT177" s="125"/>
      <c r="FCU177" s="125"/>
      <c r="FCV177" s="125"/>
      <c r="FCW177" s="125"/>
      <c r="FCX177" s="125"/>
      <c r="FCY177" s="125"/>
      <c r="FCZ177" s="125"/>
      <c r="FDA177" s="125"/>
      <c r="FDB177" s="125"/>
      <c r="FDC177" s="125"/>
      <c r="FDD177" s="125"/>
      <c r="FDE177" s="125"/>
      <c r="FDF177" s="125"/>
      <c r="FDG177" s="125"/>
      <c r="FDH177" s="125"/>
      <c r="FDI177" s="125"/>
      <c r="FDJ177" s="125"/>
      <c r="FDK177" s="125"/>
      <c r="FDL177" s="125"/>
      <c r="FDM177" s="125"/>
      <c r="FDN177" s="125"/>
      <c r="FDO177" s="125"/>
      <c r="FDP177" s="125"/>
      <c r="FDQ177" s="125"/>
      <c r="FDR177" s="125"/>
      <c r="FDS177" s="125"/>
      <c r="FDT177" s="125"/>
      <c r="FDU177" s="125"/>
      <c r="FDV177" s="125"/>
      <c r="FDW177" s="125"/>
      <c r="FDX177" s="125"/>
      <c r="FDY177" s="125"/>
      <c r="FDZ177" s="125"/>
      <c r="FEA177" s="125"/>
      <c r="FEB177" s="125"/>
      <c r="FEC177" s="125"/>
      <c r="FED177" s="125"/>
      <c r="FEE177" s="125"/>
      <c r="FEF177" s="125"/>
      <c r="FEG177" s="125"/>
      <c r="FEH177" s="125"/>
      <c r="FEI177" s="125"/>
      <c r="FEJ177" s="125"/>
      <c r="FEK177" s="125"/>
      <c r="FEL177" s="125"/>
      <c r="FEM177" s="125"/>
      <c r="FEN177" s="125"/>
      <c r="FEO177" s="125"/>
      <c r="FEP177" s="125"/>
      <c r="FEQ177" s="125"/>
      <c r="FER177" s="125"/>
      <c r="FES177" s="125"/>
      <c r="FET177" s="125"/>
      <c r="FEU177" s="125"/>
      <c r="FEV177" s="125"/>
      <c r="FEW177" s="125"/>
      <c r="FEX177" s="125"/>
      <c r="FEY177" s="125"/>
      <c r="FEZ177" s="125"/>
      <c r="FFA177" s="125"/>
      <c r="FFB177" s="125"/>
      <c r="FFC177" s="125"/>
      <c r="FFD177" s="125"/>
      <c r="FFE177" s="125"/>
      <c r="FFF177" s="125"/>
      <c r="FFG177" s="125"/>
      <c r="FFH177" s="125"/>
      <c r="FFI177" s="125"/>
      <c r="FFJ177" s="125"/>
      <c r="FFK177" s="125"/>
      <c r="FFL177" s="125"/>
      <c r="FFM177" s="125"/>
      <c r="FFN177" s="125"/>
      <c r="FFO177" s="125"/>
      <c r="FFP177" s="125"/>
      <c r="FFQ177" s="125"/>
      <c r="FFR177" s="125"/>
      <c r="FFS177" s="125"/>
      <c r="FFT177" s="125"/>
      <c r="FFU177" s="125"/>
      <c r="FFV177" s="125"/>
      <c r="FFW177" s="125"/>
      <c r="FFX177" s="125"/>
      <c r="FFY177" s="125"/>
      <c r="FFZ177" s="125"/>
      <c r="FGA177" s="125"/>
      <c r="FGB177" s="125"/>
      <c r="FGC177" s="125"/>
      <c r="FGD177" s="125"/>
      <c r="FGE177" s="125"/>
      <c r="FGF177" s="125"/>
      <c r="FGG177" s="125"/>
      <c r="FGH177" s="125"/>
      <c r="FGI177" s="125"/>
      <c r="FGJ177" s="125"/>
      <c r="FGK177" s="125"/>
      <c r="FGL177" s="125"/>
      <c r="FGM177" s="125"/>
      <c r="FGN177" s="125"/>
      <c r="FGO177" s="125"/>
      <c r="FGP177" s="125"/>
      <c r="FGQ177" s="125"/>
      <c r="FGR177" s="125"/>
      <c r="FGS177" s="125"/>
      <c r="FGT177" s="125"/>
      <c r="FGU177" s="125"/>
      <c r="FGV177" s="125"/>
      <c r="FGW177" s="125"/>
      <c r="FGX177" s="125"/>
      <c r="FGY177" s="125"/>
      <c r="FGZ177" s="125"/>
      <c r="FHA177" s="125"/>
      <c r="FHB177" s="125"/>
      <c r="FHC177" s="125"/>
      <c r="FHD177" s="125"/>
      <c r="FHE177" s="125"/>
      <c r="FHF177" s="125"/>
      <c r="FHG177" s="125"/>
      <c r="FHH177" s="125"/>
      <c r="FHI177" s="125"/>
      <c r="FHJ177" s="125"/>
      <c r="FHK177" s="125"/>
      <c r="FHL177" s="125"/>
      <c r="FHM177" s="125"/>
      <c r="FHN177" s="125"/>
      <c r="FHO177" s="125"/>
      <c r="FHP177" s="125"/>
      <c r="FHQ177" s="125"/>
      <c r="FHR177" s="125"/>
      <c r="FHS177" s="125"/>
      <c r="FHT177" s="125"/>
      <c r="FHU177" s="125"/>
      <c r="FHV177" s="125"/>
      <c r="FHW177" s="125"/>
      <c r="FHX177" s="125"/>
      <c r="FHY177" s="125"/>
      <c r="FHZ177" s="125"/>
      <c r="FIA177" s="125"/>
      <c r="FIB177" s="125"/>
      <c r="FIC177" s="125"/>
      <c r="FID177" s="125"/>
      <c r="FIE177" s="125"/>
      <c r="FIF177" s="125"/>
      <c r="FIG177" s="125"/>
      <c r="FIH177" s="125"/>
      <c r="FII177" s="125"/>
      <c r="FIJ177" s="125"/>
      <c r="FIK177" s="125"/>
      <c r="FIL177" s="125"/>
      <c r="FIM177" s="125"/>
      <c r="FIN177" s="125"/>
      <c r="FIO177" s="125"/>
      <c r="FIP177" s="125"/>
      <c r="FIQ177" s="125"/>
      <c r="FIR177" s="125"/>
      <c r="FIS177" s="125"/>
      <c r="FIT177" s="125"/>
      <c r="FIU177" s="125"/>
      <c r="FIV177" s="125"/>
      <c r="FIW177" s="125"/>
      <c r="FIX177" s="125"/>
      <c r="FIY177" s="125"/>
      <c r="FIZ177" s="125"/>
      <c r="FJA177" s="125"/>
      <c r="FJB177" s="125"/>
      <c r="FJC177" s="125"/>
      <c r="FJD177" s="125"/>
      <c r="FJE177" s="125"/>
      <c r="FJF177" s="125"/>
      <c r="FJG177" s="125"/>
      <c r="FJH177" s="125"/>
      <c r="FJI177" s="125"/>
      <c r="FJJ177" s="125"/>
      <c r="FJK177" s="125"/>
      <c r="FJL177" s="125"/>
      <c r="FJM177" s="125"/>
      <c r="FJN177" s="125"/>
      <c r="FJO177" s="125"/>
      <c r="FJP177" s="125"/>
      <c r="FJQ177" s="125"/>
      <c r="FJR177" s="125"/>
      <c r="FJS177" s="125"/>
      <c r="FJT177" s="125"/>
      <c r="FJU177" s="125"/>
      <c r="FJV177" s="125"/>
      <c r="FJW177" s="125"/>
      <c r="FJX177" s="125"/>
      <c r="FJY177" s="125"/>
      <c r="FJZ177" s="125"/>
      <c r="FKA177" s="125"/>
      <c r="FKB177" s="125"/>
      <c r="FKC177" s="125"/>
      <c r="FKD177" s="125"/>
      <c r="FKE177" s="125"/>
      <c r="FKF177" s="125"/>
      <c r="FKG177" s="125"/>
      <c r="FKH177" s="125"/>
      <c r="FKI177" s="125"/>
      <c r="FKJ177" s="125"/>
      <c r="FKK177" s="125"/>
      <c r="FKL177" s="125"/>
      <c r="FKM177" s="125"/>
      <c r="FKN177" s="125"/>
      <c r="FKO177" s="125"/>
      <c r="FKP177" s="125"/>
      <c r="FKQ177" s="125"/>
      <c r="FKR177" s="125"/>
      <c r="FKS177" s="125"/>
      <c r="FKT177" s="125"/>
      <c r="FKU177" s="125"/>
      <c r="FKV177" s="125"/>
      <c r="FKW177" s="125"/>
      <c r="FKX177" s="125"/>
      <c r="FKY177" s="125"/>
      <c r="FKZ177" s="125"/>
      <c r="FLA177" s="125"/>
      <c r="FLB177" s="125"/>
      <c r="FLC177" s="125"/>
      <c r="FLD177" s="125"/>
      <c r="FLE177" s="125"/>
      <c r="FLF177" s="125"/>
      <c r="FLG177" s="125"/>
      <c r="FLH177" s="125"/>
      <c r="FLI177" s="125"/>
      <c r="FLJ177" s="125"/>
      <c r="FLK177" s="125"/>
      <c r="FLL177" s="125"/>
      <c r="FLM177" s="125"/>
      <c r="FLN177" s="125"/>
      <c r="FLO177" s="125"/>
      <c r="FLP177" s="125"/>
      <c r="FLQ177" s="125"/>
      <c r="FLR177" s="125"/>
      <c r="FLS177" s="125"/>
      <c r="FLT177" s="125"/>
      <c r="FLU177" s="125"/>
      <c r="FLV177" s="125"/>
      <c r="FLW177" s="125"/>
      <c r="FLX177" s="125"/>
      <c r="FLY177" s="125"/>
      <c r="FLZ177" s="125"/>
      <c r="FMA177" s="125"/>
      <c r="FMB177" s="125"/>
      <c r="FMC177" s="125"/>
      <c r="FMD177" s="125"/>
      <c r="FME177" s="125"/>
      <c r="FMF177" s="125"/>
      <c r="FMG177" s="125"/>
      <c r="FMH177" s="125"/>
      <c r="FMI177" s="125"/>
      <c r="FMJ177" s="125"/>
      <c r="FMK177" s="125"/>
      <c r="FML177" s="125"/>
      <c r="FMM177" s="125"/>
      <c r="FMN177" s="125"/>
      <c r="FMO177" s="125"/>
      <c r="FMP177" s="125"/>
      <c r="FMQ177" s="125"/>
      <c r="FMR177" s="125"/>
      <c r="FMS177" s="125"/>
      <c r="FMT177" s="125"/>
      <c r="FMU177" s="125"/>
      <c r="FMV177" s="125"/>
      <c r="FMW177" s="125"/>
      <c r="FMX177" s="125"/>
      <c r="FMY177" s="125"/>
      <c r="FMZ177" s="125"/>
      <c r="FNA177" s="125"/>
      <c r="FNB177" s="125"/>
      <c r="FNC177" s="125"/>
      <c r="FND177" s="125"/>
      <c r="FNE177" s="125"/>
      <c r="FNF177" s="125"/>
      <c r="FNG177" s="125"/>
      <c r="FNH177" s="125"/>
      <c r="FNI177" s="125"/>
      <c r="FNJ177" s="125"/>
      <c r="FNK177" s="125"/>
      <c r="FNL177" s="125"/>
      <c r="FNM177" s="125"/>
      <c r="FNN177" s="125"/>
      <c r="FNO177" s="125"/>
      <c r="FNP177" s="125"/>
      <c r="FNQ177" s="125"/>
      <c r="FNR177" s="125"/>
      <c r="FNS177" s="125"/>
      <c r="FNT177" s="125"/>
      <c r="FNU177" s="125"/>
      <c r="FNV177" s="125"/>
      <c r="FNW177" s="125"/>
      <c r="FNX177" s="125"/>
      <c r="FNY177" s="125"/>
      <c r="FNZ177" s="125"/>
      <c r="FOA177" s="125"/>
      <c r="FOB177" s="125"/>
      <c r="FOC177" s="125"/>
      <c r="FOD177" s="125"/>
      <c r="FOE177" s="125"/>
      <c r="FOF177" s="125"/>
      <c r="FOG177" s="125"/>
      <c r="FOH177" s="125"/>
      <c r="FOI177" s="125"/>
      <c r="FOJ177" s="125"/>
      <c r="FOK177" s="125"/>
      <c r="FOL177" s="125"/>
      <c r="FOM177" s="125"/>
      <c r="FON177" s="125"/>
      <c r="FOO177" s="125"/>
      <c r="FOP177" s="125"/>
      <c r="FOQ177" s="125"/>
      <c r="FOR177" s="125"/>
      <c r="FOS177" s="125"/>
      <c r="FOT177" s="125"/>
      <c r="FOU177" s="125"/>
      <c r="FOV177" s="125"/>
      <c r="FOW177" s="125"/>
      <c r="FOX177" s="125"/>
      <c r="FOY177" s="125"/>
      <c r="FOZ177" s="125"/>
      <c r="FPA177" s="125"/>
      <c r="FPB177" s="125"/>
      <c r="FPC177" s="125"/>
      <c r="FPD177" s="125"/>
      <c r="FPE177" s="125"/>
      <c r="FPF177" s="125"/>
      <c r="FPG177" s="125"/>
      <c r="FPH177" s="125"/>
      <c r="FPI177" s="125"/>
      <c r="FPJ177" s="125"/>
      <c r="FPK177" s="125"/>
      <c r="FPL177" s="125"/>
      <c r="FPM177" s="125"/>
      <c r="FPN177" s="125"/>
      <c r="FPO177" s="125"/>
      <c r="FPP177" s="125"/>
      <c r="FPQ177" s="125"/>
      <c r="FPR177" s="125"/>
      <c r="FPS177" s="125"/>
      <c r="FPT177" s="125"/>
      <c r="FPU177" s="125"/>
      <c r="FPV177" s="125"/>
      <c r="FPW177" s="125"/>
      <c r="FPX177" s="125"/>
      <c r="FPY177" s="125"/>
      <c r="FPZ177" s="125"/>
      <c r="FQA177" s="125"/>
      <c r="FQB177" s="125"/>
      <c r="FQC177" s="125"/>
      <c r="FQD177" s="125"/>
      <c r="FQE177" s="125"/>
      <c r="FQF177" s="125"/>
      <c r="FQG177" s="125"/>
      <c r="FQH177" s="125"/>
      <c r="FQI177" s="125"/>
      <c r="FQJ177" s="125"/>
      <c r="FQK177" s="125"/>
      <c r="FQL177" s="125"/>
      <c r="FQM177" s="125"/>
      <c r="FQN177" s="125"/>
      <c r="FQO177" s="125"/>
      <c r="FQP177" s="125"/>
      <c r="FQQ177" s="125"/>
      <c r="FQR177" s="125"/>
      <c r="FQS177" s="125"/>
      <c r="FQT177" s="125"/>
      <c r="FQU177" s="125"/>
      <c r="FQV177" s="125"/>
      <c r="FQW177" s="125"/>
      <c r="FQX177" s="125"/>
      <c r="FQY177" s="125"/>
      <c r="FQZ177" s="125"/>
      <c r="FRA177" s="125"/>
      <c r="FRB177" s="125"/>
      <c r="FRC177" s="125"/>
      <c r="FRD177" s="125"/>
      <c r="FRE177" s="125"/>
      <c r="FRF177" s="125"/>
      <c r="FRG177" s="125"/>
      <c r="FRH177" s="125"/>
      <c r="FRI177" s="125"/>
      <c r="FRJ177" s="125"/>
      <c r="FRK177" s="125"/>
      <c r="FRL177" s="125"/>
      <c r="FRM177" s="125"/>
      <c r="FRN177" s="125"/>
      <c r="FRO177" s="125"/>
      <c r="FRP177" s="125"/>
      <c r="FRQ177" s="125"/>
      <c r="FRR177" s="125"/>
      <c r="FRS177" s="125"/>
      <c r="FRT177" s="125"/>
      <c r="FRU177" s="125"/>
      <c r="FRV177" s="125"/>
      <c r="FRW177" s="125"/>
      <c r="FRX177" s="125"/>
      <c r="FRY177" s="125"/>
      <c r="FRZ177" s="125"/>
      <c r="FSA177" s="125"/>
      <c r="FSB177" s="125"/>
      <c r="FSC177" s="125"/>
      <c r="FSD177" s="125"/>
      <c r="FSE177" s="125"/>
      <c r="FSF177" s="125"/>
      <c r="FSG177" s="125"/>
      <c r="FSH177" s="125"/>
      <c r="FSI177" s="125"/>
      <c r="FSJ177" s="125"/>
      <c r="FSK177" s="125"/>
      <c r="FSL177" s="125"/>
      <c r="FSM177" s="125"/>
      <c r="FSN177" s="125"/>
      <c r="FSO177" s="125"/>
      <c r="FSP177" s="125"/>
      <c r="FSQ177" s="125"/>
      <c r="FSR177" s="125"/>
      <c r="FSS177" s="125"/>
      <c r="FST177" s="125"/>
      <c r="FSU177" s="125"/>
      <c r="FSV177" s="125"/>
      <c r="FSW177" s="125"/>
      <c r="FSX177" s="125"/>
      <c r="FSY177" s="125"/>
      <c r="FSZ177" s="125"/>
      <c r="FTA177" s="125"/>
      <c r="FTB177" s="125"/>
      <c r="FTC177" s="125"/>
      <c r="FTD177" s="125"/>
      <c r="FTE177" s="125"/>
      <c r="FTF177" s="125"/>
      <c r="FTG177" s="125"/>
      <c r="FTH177" s="125"/>
      <c r="FTI177" s="125"/>
      <c r="FTJ177" s="125"/>
      <c r="FTK177" s="125"/>
      <c r="FTL177" s="125"/>
      <c r="FTM177" s="125"/>
      <c r="FTN177" s="125"/>
      <c r="FTO177" s="125"/>
      <c r="FTP177" s="125"/>
      <c r="FTQ177" s="125"/>
      <c r="FTR177" s="125"/>
      <c r="FTS177" s="125"/>
      <c r="FTT177" s="125"/>
      <c r="FTU177" s="125"/>
      <c r="FTV177" s="125"/>
      <c r="FTW177" s="125"/>
      <c r="FTX177" s="125"/>
      <c r="FTY177" s="125"/>
      <c r="FTZ177" s="125"/>
      <c r="FUA177" s="125"/>
      <c r="FUB177" s="125"/>
      <c r="FUC177" s="125"/>
      <c r="FUD177" s="125"/>
      <c r="FUE177" s="125"/>
      <c r="FUF177" s="125"/>
      <c r="FUG177" s="125"/>
      <c r="FUH177" s="125"/>
      <c r="FUI177" s="125"/>
      <c r="FUJ177" s="125"/>
      <c r="FUK177" s="125"/>
      <c r="FUL177" s="125"/>
      <c r="FUM177" s="125"/>
      <c r="FUN177" s="125"/>
      <c r="FUO177" s="125"/>
      <c r="FUP177" s="125"/>
      <c r="FUQ177" s="125"/>
      <c r="FUR177" s="125"/>
      <c r="FUS177" s="125"/>
      <c r="FUT177" s="125"/>
      <c r="FUU177" s="125"/>
      <c r="FUV177" s="125"/>
      <c r="FUW177" s="125"/>
      <c r="FUX177" s="125"/>
      <c r="FUY177" s="125"/>
      <c r="FUZ177" s="125"/>
      <c r="FVA177" s="125"/>
      <c r="FVB177" s="125"/>
      <c r="FVC177" s="125"/>
      <c r="FVD177" s="125"/>
      <c r="FVE177" s="125"/>
      <c r="FVF177" s="125"/>
      <c r="FVG177" s="125"/>
      <c r="FVH177" s="125"/>
      <c r="FVI177" s="125"/>
      <c r="FVJ177" s="125"/>
      <c r="FVK177" s="125"/>
      <c r="FVL177" s="125"/>
      <c r="FVM177" s="125"/>
      <c r="FVN177" s="125"/>
      <c r="FVO177" s="125"/>
      <c r="FVP177" s="125"/>
      <c r="FVQ177" s="125"/>
      <c r="FVR177" s="125"/>
      <c r="FVS177" s="125"/>
      <c r="FVT177" s="125"/>
      <c r="FVU177" s="125"/>
      <c r="FVV177" s="125"/>
      <c r="FVW177" s="125"/>
      <c r="FVX177" s="125"/>
      <c r="FVY177" s="125"/>
      <c r="FVZ177" s="125"/>
      <c r="FWA177" s="125"/>
      <c r="FWB177" s="125"/>
      <c r="FWC177" s="125"/>
      <c r="FWD177" s="125"/>
      <c r="FWE177" s="125"/>
      <c r="FWF177" s="125"/>
      <c r="FWG177" s="125"/>
      <c r="FWH177" s="125"/>
      <c r="FWI177" s="125"/>
      <c r="FWJ177" s="125"/>
      <c r="FWK177" s="125"/>
      <c r="FWL177" s="125"/>
      <c r="FWM177" s="125"/>
      <c r="FWN177" s="125"/>
      <c r="FWO177" s="125"/>
      <c r="FWP177" s="125"/>
      <c r="FWQ177" s="125"/>
      <c r="FWR177" s="125"/>
      <c r="FWS177" s="125"/>
      <c r="FWT177" s="125"/>
      <c r="FWU177" s="125"/>
      <c r="FWV177" s="125"/>
      <c r="FWW177" s="125"/>
      <c r="FWX177" s="125"/>
      <c r="FWY177" s="125"/>
      <c r="FWZ177" s="125"/>
      <c r="FXA177" s="125"/>
      <c r="FXB177" s="125"/>
      <c r="FXC177" s="125"/>
      <c r="FXD177" s="125"/>
      <c r="FXE177" s="125"/>
      <c r="FXF177" s="125"/>
      <c r="FXG177" s="125"/>
      <c r="FXH177" s="125"/>
      <c r="FXI177" s="125"/>
      <c r="FXJ177" s="125"/>
      <c r="FXK177" s="125"/>
      <c r="FXL177" s="125"/>
      <c r="FXM177" s="125"/>
      <c r="FXN177" s="125"/>
      <c r="FXO177" s="125"/>
      <c r="FXP177" s="125"/>
      <c r="FXQ177" s="125"/>
      <c r="FXR177" s="125"/>
      <c r="FXS177" s="125"/>
      <c r="FXT177" s="125"/>
      <c r="FXU177" s="125"/>
      <c r="FXV177" s="125"/>
      <c r="FXW177" s="125"/>
      <c r="FXX177" s="125"/>
      <c r="FXY177" s="125"/>
      <c r="FXZ177" s="125"/>
      <c r="FYA177" s="125"/>
      <c r="FYB177" s="125"/>
      <c r="FYC177" s="125"/>
      <c r="FYD177" s="125"/>
      <c r="FYE177" s="125"/>
      <c r="FYF177" s="125"/>
      <c r="FYG177" s="125"/>
      <c r="FYH177" s="125"/>
      <c r="FYI177" s="125"/>
      <c r="FYJ177" s="125"/>
      <c r="FYK177" s="125"/>
      <c r="FYL177" s="125"/>
      <c r="FYM177" s="125"/>
      <c r="FYN177" s="125"/>
      <c r="FYO177" s="125"/>
      <c r="FYP177" s="125"/>
      <c r="FYQ177" s="125"/>
      <c r="FYR177" s="125"/>
      <c r="FYS177" s="125"/>
      <c r="FYT177" s="125"/>
      <c r="FYU177" s="125"/>
      <c r="FYV177" s="125"/>
      <c r="FYW177" s="125"/>
      <c r="FYX177" s="125"/>
      <c r="FYY177" s="125"/>
      <c r="FYZ177" s="125"/>
      <c r="FZA177" s="125"/>
      <c r="FZB177" s="125"/>
      <c r="FZC177" s="125"/>
      <c r="FZD177" s="125"/>
      <c r="FZE177" s="125"/>
      <c r="FZF177" s="125"/>
      <c r="FZG177" s="125"/>
      <c r="FZH177" s="125"/>
      <c r="FZI177" s="125"/>
      <c r="FZJ177" s="125"/>
      <c r="FZK177" s="125"/>
      <c r="FZL177" s="125"/>
      <c r="FZM177" s="125"/>
      <c r="FZN177" s="125"/>
      <c r="FZO177" s="125"/>
      <c r="FZP177" s="125"/>
      <c r="FZQ177" s="125"/>
      <c r="FZR177" s="125"/>
      <c r="FZS177" s="125"/>
      <c r="FZT177" s="125"/>
      <c r="FZU177" s="125"/>
      <c r="FZV177" s="125"/>
      <c r="FZW177" s="125"/>
      <c r="FZX177" s="125"/>
      <c r="FZY177" s="125"/>
      <c r="FZZ177" s="125"/>
      <c r="GAA177" s="125"/>
      <c r="GAB177" s="125"/>
      <c r="GAC177" s="125"/>
      <c r="GAD177" s="125"/>
      <c r="GAE177" s="125"/>
      <c r="GAF177" s="125"/>
      <c r="GAG177" s="125"/>
      <c r="GAH177" s="125"/>
      <c r="GAI177" s="125"/>
      <c r="GAJ177" s="125"/>
      <c r="GAK177" s="125"/>
      <c r="GAL177" s="125"/>
      <c r="GAM177" s="125"/>
      <c r="GAN177" s="125"/>
      <c r="GAO177" s="125"/>
      <c r="GAP177" s="125"/>
      <c r="GAQ177" s="125"/>
      <c r="GAR177" s="125"/>
      <c r="GAS177" s="125"/>
      <c r="GAT177" s="125"/>
      <c r="GAU177" s="125"/>
      <c r="GAV177" s="125"/>
      <c r="GAW177" s="125"/>
      <c r="GAX177" s="125"/>
      <c r="GAY177" s="125"/>
      <c r="GAZ177" s="125"/>
      <c r="GBA177" s="125"/>
      <c r="GBB177" s="125"/>
      <c r="GBC177" s="125"/>
      <c r="GBD177" s="125"/>
      <c r="GBE177" s="125"/>
      <c r="GBF177" s="125"/>
      <c r="GBG177" s="125"/>
      <c r="GBH177" s="125"/>
      <c r="GBI177" s="125"/>
      <c r="GBJ177" s="125"/>
      <c r="GBK177" s="125"/>
      <c r="GBL177" s="125"/>
      <c r="GBM177" s="125"/>
      <c r="GBN177" s="125"/>
      <c r="GBO177" s="125"/>
      <c r="GBP177" s="125"/>
      <c r="GBQ177" s="125"/>
      <c r="GBR177" s="125"/>
      <c r="GBS177" s="125"/>
      <c r="GBT177" s="125"/>
      <c r="GBU177" s="125"/>
      <c r="GBV177" s="125"/>
      <c r="GBW177" s="125"/>
      <c r="GBX177" s="125"/>
      <c r="GBY177" s="125"/>
      <c r="GBZ177" s="125"/>
      <c r="GCA177" s="125"/>
      <c r="GCB177" s="125"/>
      <c r="GCC177" s="125"/>
      <c r="GCD177" s="125"/>
      <c r="GCE177" s="125"/>
      <c r="GCF177" s="125"/>
      <c r="GCG177" s="125"/>
      <c r="GCH177" s="125"/>
      <c r="GCI177" s="125"/>
      <c r="GCJ177" s="125"/>
      <c r="GCK177" s="125"/>
      <c r="GCL177" s="125"/>
      <c r="GCM177" s="125"/>
      <c r="GCN177" s="125"/>
      <c r="GCO177" s="125"/>
      <c r="GCP177" s="125"/>
      <c r="GCQ177" s="125"/>
      <c r="GCR177" s="125"/>
      <c r="GCS177" s="125"/>
      <c r="GCT177" s="125"/>
      <c r="GCU177" s="125"/>
      <c r="GCV177" s="125"/>
      <c r="GCW177" s="125"/>
      <c r="GCX177" s="125"/>
      <c r="GCY177" s="125"/>
      <c r="GCZ177" s="125"/>
      <c r="GDA177" s="125"/>
      <c r="GDB177" s="125"/>
      <c r="GDC177" s="125"/>
      <c r="GDD177" s="125"/>
      <c r="GDE177" s="125"/>
      <c r="GDF177" s="125"/>
      <c r="GDG177" s="125"/>
      <c r="GDH177" s="125"/>
      <c r="GDI177" s="125"/>
      <c r="GDJ177" s="125"/>
      <c r="GDK177" s="125"/>
      <c r="GDL177" s="125"/>
      <c r="GDM177" s="125"/>
      <c r="GDN177" s="125"/>
      <c r="GDO177" s="125"/>
      <c r="GDP177" s="125"/>
      <c r="GDQ177" s="125"/>
      <c r="GDR177" s="125"/>
      <c r="GDS177" s="125"/>
      <c r="GDT177" s="125"/>
      <c r="GDU177" s="125"/>
      <c r="GDV177" s="125"/>
      <c r="GDW177" s="125"/>
      <c r="GDX177" s="125"/>
      <c r="GDY177" s="125"/>
      <c r="GDZ177" s="125"/>
      <c r="GEA177" s="125"/>
      <c r="GEB177" s="125"/>
      <c r="GEC177" s="125"/>
      <c r="GED177" s="125"/>
      <c r="GEE177" s="125"/>
      <c r="GEF177" s="125"/>
      <c r="GEG177" s="125"/>
      <c r="GEH177" s="125"/>
      <c r="GEI177" s="125"/>
      <c r="GEJ177" s="125"/>
      <c r="GEK177" s="125"/>
      <c r="GEL177" s="125"/>
      <c r="GEM177" s="125"/>
      <c r="GEN177" s="125"/>
      <c r="GEO177" s="125"/>
      <c r="GEP177" s="125"/>
      <c r="GEQ177" s="125"/>
      <c r="GER177" s="125"/>
      <c r="GES177" s="125"/>
      <c r="GET177" s="125"/>
      <c r="GEU177" s="125"/>
      <c r="GEV177" s="125"/>
      <c r="GEW177" s="125"/>
      <c r="GEX177" s="125"/>
      <c r="GEY177" s="125"/>
      <c r="GEZ177" s="125"/>
      <c r="GFA177" s="125"/>
      <c r="GFB177" s="125"/>
      <c r="GFC177" s="125"/>
      <c r="GFD177" s="125"/>
      <c r="GFE177" s="125"/>
      <c r="GFF177" s="125"/>
      <c r="GFG177" s="125"/>
      <c r="GFH177" s="125"/>
      <c r="GFI177" s="125"/>
      <c r="GFJ177" s="125"/>
      <c r="GFK177" s="125"/>
      <c r="GFL177" s="125"/>
      <c r="GFM177" s="125"/>
      <c r="GFN177" s="125"/>
      <c r="GFO177" s="125"/>
      <c r="GFP177" s="125"/>
      <c r="GFQ177" s="125"/>
      <c r="GFR177" s="125"/>
      <c r="GFS177" s="125"/>
      <c r="GFT177" s="125"/>
      <c r="GFU177" s="125"/>
      <c r="GFV177" s="125"/>
      <c r="GFW177" s="125"/>
      <c r="GFX177" s="125"/>
      <c r="GFY177" s="125"/>
      <c r="GFZ177" s="125"/>
      <c r="GGA177" s="125"/>
      <c r="GGB177" s="125"/>
      <c r="GGC177" s="125"/>
      <c r="GGD177" s="125"/>
      <c r="GGE177" s="125"/>
      <c r="GGF177" s="125"/>
      <c r="GGG177" s="125"/>
      <c r="GGH177" s="125"/>
      <c r="GGI177" s="125"/>
      <c r="GGJ177" s="125"/>
      <c r="GGK177" s="125"/>
      <c r="GGL177" s="125"/>
      <c r="GGM177" s="125"/>
      <c r="GGN177" s="125"/>
      <c r="GGO177" s="125"/>
      <c r="GGP177" s="125"/>
      <c r="GGQ177" s="125"/>
      <c r="GGR177" s="125"/>
      <c r="GGS177" s="125"/>
      <c r="GGT177" s="125"/>
      <c r="GGU177" s="125"/>
      <c r="GGV177" s="125"/>
      <c r="GGW177" s="125"/>
      <c r="GGX177" s="125"/>
      <c r="GGY177" s="125"/>
      <c r="GGZ177" s="125"/>
      <c r="GHA177" s="125"/>
      <c r="GHB177" s="125"/>
      <c r="GHC177" s="125"/>
      <c r="GHD177" s="125"/>
      <c r="GHE177" s="125"/>
      <c r="GHF177" s="125"/>
      <c r="GHG177" s="125"/>
      <c r="GHH177" s="125"/>
      <c r="GHI177" s="125"/>
      <c r="GHJ177" s="125"/>
      <c r="GHK177" s="125"/>
      <c r="GHL177" s="125"/>
      <c r="GHM177" s="125"/>
      <c r="GHN177" s="125"/>
      <c r="GHO177" s="125"/>
      <c r="GHP177" s="125"/>
      <c r="GHQ177" s="125"/>
      <c r="GHR177" s="125"/>
      <c r="GHS177" s="125"/>
      <c r="GHT177" s="125"/>
      <c r="GHU177" s="125"/>
      <c r="GHV177" s="125"/>
      <c r="GHW177" s="125"/>
      <c r="GHX177" s="125"/>
      <c r="GHY177" s="125"/>
      <c r="GHZ177" s="125"/>
      <c r="GIA177" s="125"/>
      <c r="GIB177" s="125"/>
      <c r="GIC177" s="125"/>
      <c r="GID177" s="125"/>
      <c r="GIE177" s="125"/>
      <c r="GIF177" s="125"/>
      <c r="GIG177" s="125"/>
      <c r="GIH177" s="125"/>
      <c r="GII177" s="125"/>
      <c r="GIJ177" s="125"/>
      <c r="GIK177" s="125"/>
      <c r="GIL177" s="125"/>
      <c r="GIM177" s="125"/>
      <c r="GIN177" s="125"/>
      <c r="GIO177" s="125"/>
      <c r="GIP177" s="125"/>
      <c r="GIQ177" s="125"/>
      <c r="GIR177" s="125"/>
      <c r="GIS177" s="125"/>
      <c r="GIT177" s="125"/>
      <c r="GIU177" s="125"/>
      <c r="GIV177" s="125"/>
      <c r="GIW177" s="125"/>
      <c r="GIX177" s="125"/>
      <c r="GIY177" s="125"/>
      <c r="GIZ177" s="125"/>
      <c r="GJA177" s="125"/>
      <c r="GJB177" s="125"/>
      <c r="GJC177" s="125"/>
      <c r="GJD177" s="125"/>
      <c r="GJE177" s="125"/>
      <c r="GJF177" s="125"/>
      <c r="GJG177" s="125"/>
      <c r="GJH177" s="125"/>
      <c r="GJI177" s="125"/>
      <c r="GJJ177" s="125"/>
      <c r="GJK177" s="125"/>
      <c r="GJL177" s="125"/>
      <c r="GJM177" s="125"/>
      <c r="GJN177" s="125"/>
      <c r="GJO177" s="125"/>
      <c r="GJP177" s="125"/>
      <c r="GJQ177" s="125"/>
      <c r="GJR177" s="125"/>
      <c r="GJS177" s="125"/>
      <c r="GJT177" s="125"/>
      <c r="GJU177" s="125"/>
      <c r="GJV177" s="125"/>
      <c r="GJW177" s="125"/>
      <c r="GJX177" s="125"/>
      <c r="GJY177" s="125"/>
      <c r="GJZ177" s="125"/>
      <c r="GKA177" s="125"/>
      <c r="GKB177" s="125"/>
      <c r="GKC177" s="125"/>
      <c r="GKD177" s="125"/>
      <c r="GKE177" s="125"/>
      <c r="GKF177" s="125"/>
      <c r="GKG177" s="125"/>
      <c r="GKH177" s="125"/>
      <c r="GKI177" s="125"/>
      <c r="GKJ177" s="125"/>
      <c r="GKK177" s="125"/>
      <c r="GKL177" s="125"/>
      <c r="GKM177" s="125"/>
      <c r="GKN177" s="125"/>
      <c r="GKO177" s="125"/>
      <c r="GKP177" s="125"/>
      <c r="GKQ177" s="125"/>
      <c r="GKR177" s="125"/>
      <c r="GKS177" s="125"/>
      <c r="GKT177" s="125"/>
      <c r="GKU177" s="125"/>
      <c r="GKV177" s="125"/>
      <c r="GKW177" s="125"/>
      <c r="GKX177" s="125"/>
      <c r="GKY177" s="125"/>
      <c r="GKZ177" s="125"/>
      <c r="GLA177" s="125"/>
      <c r="GLB177" s="125"/>
      <c r="GLC177" s="125"/>
      <c r="GLD177" s="125"/>
      <c r="GLE177" s="125"/>
      <c r="GLF177" s="125"/>
      <c r="GLG177" s="125"/>
      <c r="GLH177" s="125"/>
      <c r="GLI177" s="125"/>
      <c r="GLJ177" s="125"/>
      <c r="GLK177" s="125"/>
      <c r="GLL177" s="125"/>
      <c r="GLM177" s="125"/>
      <c r="GLN177" s="125"/>
      <c r="GLO177" s="125"/>
      <c r="GLP177" s="125"/>
      <c r="GLQ177" s="125"/>
      <c r="GLR177" s="125"/>
      <c r="GLS177" s="125"/>
      <c r="GLT177" s="125"/>
      <c r="GLU177" s="125"/>
      <c r="GLV177" s="125"/>
      <c r="GLW177" s="125"/>
      <c r="GLX177" s="125"/>
      <c r="GLY177" s="125"/>
      <c r="GLZ177" s="125"/>
      <c r="GMA177" s="125"/>
      <c r="GMB177" s="125"/>
      <c r="GMC177" s="125"/>
      <c r="GMD177" s="125"/>
      <c r="GME177" s="125"/>
      <c r="GMF177" s="125"/>
      <c r="GMG177" s="125"/>
      <c r="GMH177" s="125"/>
      <c r="GMI177" s="125"/>
      <c r="GMJ177" s="125"/>
      <c r="GMK177" s="125"/>
      <c r="GML177" s="125"/>
      <c r="GMM177" s="125"/>
      <c r="GMN177" s="125"/>
      <c r="GMO177" s="125"/>
      <c r="GMP177" s="125"/>
      <c r="GMQ177" s="125"/>
      <c r="GMR177" s="125"/>
      <c r="GMS177" s="125"/>
      <c r="GMT177" s="125"/>
      <c r="GMU177" s="125"/>
      <c r="GMV177" s="125"/>
      <c r="GMW177" s="125"/>
      <c r="GMX177" s="125"/>
      <c r="GMY177" s="125"/>
      <c r="GMZ177" s="125"/>
      <c r="GNA177" s="125"/>
      <c r="GNB177" s="125"/>
      <c r="GNC177" s="125"/>
      <c r="GND177" s="125"/>
      <c r="GNE177" s="125"/>
      <c r="GNF177" s="125"/>
      <c r="GNG177" s="125"/>
      <c r="GNH177" s="125"/>
      <c r="GNI177" s="125"/>
      <c r="GNJ177" s="125"/>
      <c r="GNK177" s="125"/>
      <c r="GNL177" s="125"/>
      <c r="GNM177" s="125"/>
      <c r="GNN177" s="125"/>
      <c r="GNO177" s="125"/>
      <c r="GNP177" s="125"/>
      <c r="GNQ177" s="125"/>
      <c r="GNR177" s="125"/>
      <c r="GNS177" s="125"/>
      <c r="GNT177" s="125"/>
      <c r="GNU177" s="125"/>
      <c r="GNV177" s="125"/>
      <c r="GNW177" s="125"/>
      <c r="GNX177" s="125"/>
      <c r="GNY177" s="125"/>
      <c r="GNZ177" s="125"/>
      <c r="GOA177" s="125"/>
      <c r="GOB177" s="125"/>
      <c r="GOC177" s="125"/>
      <c r="GOD177" s="125"/>
      <c r="GOE177" s="125"/>
      <c r="GOF177" s="125"/>
      <c r="GOG177" s="125"/>
      <c r="GOH177" s="125"/>
      <c r="GOI177" s="125"/>
      <c r="GOJ177" s="125"/>
      <c r="GOK177" s="125"/>
      <c r="GOL177" s="125"/>
      <c r="GOM177" s="125"/>
      <c r="GON177" s="125"/>
      <c r="GOO177" s="125"/>
      <c r="GOP177" s="125"/>
      <c r="GOQ177" s="125"/>
      <c r="GOR177" s="125"/>
      <c r="GOS177" s="125"/>
      <c r="GOT177" s="125"/>
      <c r="GOU177" s="125"/>
      <c r="GOV177" s="125"/>
      <c r="GOW177" s="125"/>
      <c r="GOX177" s="125"/>
      <c r="GOY177" s="125"/>
      <c r="GOZ177" s="125"/>
      <c r="GPA177" s="125"/>
      <c r="GPB177" s="125"/>
      <c r="GPC177" s="125"/>
      <c r="GPD177" s="125"/>
      <c r="GPE177" s="125"/>
      <c r="GPF177" s="125"/>
      <c r="GPG177" s="125"/>
      <c r="GPH177" s="125"/>
      <c r="GPI177" s="125"/>
      <c r="GPJ177" s="125"/>
      <c r="GPK177" s="125"/>
      <c r="GPL177" s="125"/>
      <c r="GPM177" s="125"/>
      <c r="GPN177" s="125"/>
      <c r="GPO177" s="125"/>
      <c r="GPP177" s="125"/>
      <c r="GPQ177" s="125"/>
      <c r="GPR177" s="125"/>
      <c r="GPS177" s="125"/>
      <c r="GPT177" s="125"/>
      <c r="GPU177" s="125"/>
      <c r="GPV177" s="125"/>
      <c r="GPW177" s="125"/>
      <c r="GPX177" s="125"/>
      <c r="GPY177" s="125"/>
      <c r="GPZ177" s="125"/>
      <c r="GQA177" s="125"/>
      <c r="GQB177" s="125"/>
      <c r="GQC177" s="125"/>
      <c r="GQD177" s="125"/>
      <c r="GQE177" s="125"/>
      <c r="GQF177" s="125"/>
      <c r="GQG177" s="125"/>
      <c r="GQH177" s="125"/>
      <c r="GQI177" s="125"/>
      <c r="GQJ177" s="125"/>
      <c r="GQK177" s="125"/>
      <c r="GQL177" s="125"/>
      <c r="GQM177" s="125"/>
      <c r="GQN177" s="125"/>
      <c r="GQO177" s="125"/>
      <c r="GQP177" s="125"/>
      <c r="GQQ177" s="125"/>
      <c r="GQR177" s="125"/>
      <c r="GQS177" s="125"/>
      <c r="GQT177" s="125"/>
      <c r="GQU177" s="125"/>
      <c r="GQV177" s="125"/>
      <c r="GQW177" s="125"/>
      <c r="GQX177" s="125"/>
      <c r="GQY177" s="125"/>
      <c r="GQZ177" s="125"/>
      <c r="GRA177" s="125"/>
      <c r="GRB177" s="125"/>
      <c r="GRC177" s="125"/>
      <c r="GRD177" s="125"/>
      <c r="GRE177" s="125"/>
      <c r="GRF177" s="125"/>
      <c r="GRG177" s="125"/>
      <c r="GRH177" s="125"/>
      <c r="GRI177" s="125"/>
      <c r="GRJ177" s="125"/>
      <c r="GRK177" s="125"/>
      <c r="GRL177" s="125"/>
      <c r="GRM177" s="125"/>
      <c r="GRN177" s="125"/>
      <c r="GRO177" s="125"/>
      <c r="GRP177" s="125"/>
      <c r="GRQ177" s="125"/>
      <c r="GRR177" s="125"/>
      <c r="GRS177" s="125"/>
      <c r="GRT177" s="125"/>
      <c r="GRU177" s="125"/>
      <c r="GRV177" s="125"/>
      <c r="GRW177" s="125"/>
      <c r="GRX177" s="125"/>
      <c r="GRY177" s="125"/>
      <c r="GRZ177" s="125"/>
      <c r="GSA177" s="125"/>
      <c r="GSB177" s="125"/>
      <c r="GSC177" s="125"/>
      <c r="GSD177" s="125"/>
      <c r="GSE177" s="125"/>
      <c r="GSF177" s="125"/>
      <c r="GSG177" s="125"/>
      <c r="GSH177" s="125"/>
      <c r="GSI177" s="125"/>
      <c r="GSJ177" s="125"/>
      <c r="GSK177" s="125"/>
      <c r="GSL177" s="125"/>
      <c r="GSM177" s="125"/>
      <c r="GSN177" s="125"/>
      <c r="GSO177" s="125"/>
      <c r="GSP177" s="125"/>
      <c r="GSQ177" s="125"/>
      <c r="GSR177" s="125"/>
      <c r="GSS177" s="125"/>
      <c r="GST177" s="125"/>
      <c r="GSU177" s="125"/>
      <c r="GSV177" s="125"/>
      <c r="GSW177" s="125"/>
      <c r="GSX177" s="125"/>
      <c r="GSY177" s="125"/>
      <c r="GSZ177" s="125"/>
      <c r="GTA177" s="125"/>
      <c r="GTB177" s="125"/>
      <c r="GTC177" s="125"/>
      <c r="GTD177" s="125"/>
      <c r="GTE177" s="125"/>
      <c r="GTF177" s="125"/>
      <c r="GTG177" s="125"/>
      <c r="GTH177" s="125"/>
      <c r="GTI177" s="125"/>
      <c r="GTJ177" s="125"/>
      <c r="GTK177" s="125"/>
      <c r="GTL177" s="125"/>
      <c r="GTM177" s="125"/>
      <c r="GTN177" s="125"/>
      <c r="GTO177" s="125"/>
      <c r="GTP177" s="125"/>
      <c r="GTQ177" s="125"/>
      <c r="GTR177" s="125"/>
      <c r="GTS177" s="125"/>
      <c r="GTT177" s="125"/>
      <c r="GTU177" s="125"/>
      <c r="GTV177" s="125"/>
      <c r="GTW177" s="125"/>
      <c r="GTX177" s="125"/>
      <c r="GTY177" s="125"/>
      <c r="GTZ177" s="125"/>
      <c r="GUA177" s="125"/>
      <c r="GUB177" s="125"/>
      <c r="GUC177" s="125"/>
      <c r="GUD177" s="125"/>
      <c r="GUE177" s="125"/>
      <c r="GUF177" s="125"/>
      <c r="GUG177" s="125"/>
      <c r="GUH177" s="125"/>
      <c r="GUI177" s="125"/>
      <c r="GUJ177" s="125"/>
      <c r="GUK177" s="125"/>
      <c r="GUL177" s="125"/>
      <c r="GUM177" s="125"/>
      <c r="GUN177" s="125"/>
      <c r="GUO177" s="125"/>
      <c r="GUP177" s="125"/>
      <c r="GUQ177" s="125"/>
      <c r="GUR177" s="125"/>
      <c r="GUS177" s="125"/>
      <c r="GUT177" s="125"/>
      <c r="GUU177" s="125"/>
      <c r="GUV177" s="125"/>
      <c r="GUW177" s="125"/>
      <c r="GUX177" s="125"/>
      <c r="GUY177" s="125"/>
      <c r="GUZ177" s="125"/>
      <c r="GVA177" s="125"/>
      <c r="GVB177" s="125"/>
      <c r="GVC177" s="125"/>
      <c r="GVD177" s="125"/>
      <c r="GVE177" s="125"/>
      <c r="GVF177" s="125"/>
      <c r="GVG177" s="125"/>
      <c r="GVH177" s="125"/>
      <c r="GVI177" s="125"/>
      <c r="GVJ177" s="125"/>
      <c r="GVK177" s="125"/>
      <c r="GVL177" s="125"/>
      <c r="GVM177" s="125"/>
      <c r="GVN177" s="125"/>
      <c r="GVO177" s="125"/>
      <c r="GVP177" s="125"/>
      <c r="GVQ177" s="125"/>
      <c r="GVR177" s="125"/>
      <c r="GVS177" s="125"/>
      <c r="GVT177" s="125"/>
      <c r="GVU177" s="125"/>
      <c r="GVV177" s="125"/>
      <c r="GVW177" s="125"/>
      <c r="GVX177" s="125"/>
      <c r="GVY177" s="125"/>
      <c r="GVZ177" s="125"/>
      <c r="GWA177" s="125"/>
      <c r="GWB177" s="125"/>
      <c r="GWC177" s="125"/>
      <c r="GWD177" s="125"/>
      <c r="GWE177" s="125"/>
      <c r="GWF177" s="125"/>
      <c r="GWG177" s="125"/>
      <c r="GWH177" s="125"/>
      <c r="GWI177" s="125"/>
      <c r="GWJ177" s="125"/>
      <c r="GWK177" s="125"/>
      <c r="GWL177" s="125"/>
      <c r="GWM177" s="125"/>
      <c r="GWN177" s="125"/>
      <c r="GWO177" s="125"/>
      <c r="GWP177" s="125"/>
      <c r="GWQ177" s="125"/>
      <c r="GWR177" s="125"/>
      <c r="GWS177" s="125"/>
      <c r="GWT177" s="125"/>
      <c r="GWU177" s="125"/>
      <c r="GWV177" s="125"/>
      <c r="GWW177" s="125"/>
      <c r="GWX177" s="125"/>
      <c r="GWY177" s="125"/>
      <c r="GWZ177" s="125"/>
      <c r="GXA177" s="125"/>
      <c r="GXB177" s="125"/>
      <c r="GXC177" s="125"/>
      <c r="GXD177" s="125"/>
      <c r="GXE177" s="125"/>
      <c r="GXF177" s="125"/>
      <c r="GXG177" s="125"/>
      <c r="GXH177" s="125"/>
      <c r="GXI177" s="125"/>
      <c r="GXJ177" s="125"/>
      <c r="GXK177" s="125"/>
      <c r="GXL177" s="125"/>
      <c r="GXM177" s="125"/>
      <c r="GXN177" s="125"/>
      <c r="GXO177" s="125"/>
      <c r="GXP177" s="125"/>
      <c r="GXQ177" s="125"/>
      <c r="GXR177" s="125"/>
      <c r="GXS177" s="125"/>
      <c r="GXT177" s="125"/>
      <c r="GXU177" s="125"/>
      <c r="GXV177" s="125"/>
      <c r="GXW177" s="125"/>
      <c r="GXX177" s="125"/>
      <c r="GXY177" s="125"/>
      <c r="GXZ177" s="125"/>
      <c r="GYA177" s="125"/>
      <c r="GYB177" s="125"/>
      <c r="GYC177" s="125"/>
      <c r="GYD177" s="125"/>
      <c r="GYE177" s="125"/>
      <c r="GYF177" s="125"/>
      <c r="GYG177" s="125"/>
      <c r="GYH177" s="125"/>
      <c r="GYI177" s="125"/>
      <c r="GYJ177" s="125"/>
      <c r="GYK177" s="125"/>
      <c r="GYL177" s="125"/>
      <c r="GYM177" s="125"/>
      <c r="GYN177" s="125"/>
      <c r="GYO177" s="125"/>
      <c r="GYP177" s="125"/>
      <c r="GYQ177" s="125"/>
      <c r="GYR177" s="125"/>
      <c r="GYS177" s="125"/>
      <c r="GYT177" s="125"/>
      <c r="GYU177" s="125"/>
      <c r="GYV177" s="125"/>
      <c r="GYW177" s="125"/>
      <c r="GYX177" s="125"/>
      <c r="GYY177" s="125"/>
      <c r="GYZ177" s="125"/>
      <c r="GZA177" s="125"/>
      <c r="GZB177" s="125"/>
      <c r="GZC177" s="125"/>
      <c r="GZD177" s="125"/>
      <c r="GZE177" s="125"/>
      <c r="GZF177" s="125"/>
      <c r="GZG177" s="125"/>
      <c r="GZH177" s="125"/>
      <c r="GZI177" s="125"/>
      <c r="GZJ177" s="125"/>
      <c r="GZK177" s="125"/>
      <c r="GZL177" s="125"/>
      <c r="GZM177" s="125"/>
      <c r="GZN177" s="125"/>
      <c r="GZO177" s="125"/>
      <c r="GZP177" s="125"/>
      <c r="GZQ177" s="125"/>
      <c r="GZR177" s="125"/>
      <c r="GZS177" s="125"/>
      <c r="GZT177" s="125"/>
      <c r="GZU177" s="125"/>
      <c r="GZV177" s="125"/>
      <c r="GZW177" s="125"/>
      <c r="GZX177" s="125"/>
      <c r="GZY177" s="125"/>
      <c r="GZZ177" s="125"/>
      <c r="HAA177" s="125"/>
      <c r="HAB177" s="125"/>
      <c r="HAC177" s="125"/>
      <c r="HAD177" s="125"/>
      <c r="HAE177" s="125"/>
      <c r="HAF177" s="125"/>
      <c r="HAG177" s="125"/>
      <c r="HAH177" s="125"/>
      <c r="HAI177" s="125"/>
      <c r="HAJ177" s="125"/>
      <c r="HAK177" s="125"/>
      <c r="HAL177" s="125"/>
      <c r="HAM177" s="125"/>
      <c r="HAN177" s="125"/>
      <c r="HAO177" s="125"/>
      <c r="HAP177" s="125"/>
      <c r="HAQ177" s="125"/>
      <c r="HAR177" s="125"/>
      <c r="HAS177" s="125"/>
      <c r="HAT177" s="125"/>
      <c r="HAU177" s="125"/>
      <c r="HAV177" s="125"/>
      <c r="HAW177" s="125"/>
      <c r="HAX177" s="125"/>
      <c r="HAY177" s="125"/>
      <c r="HAZ177" s="125"/>
      <c r="HBA177" s="125"/>
      <c r="HBB177" s="125"/>
      <c r="HBC177" s="125"/>
      <c r="HBD177" s="125"/>
      <c r="HBE177" s="125"/>
      <c r="HBF177" s="125"/>
      <c r="HBG177" s="125"/>
      <c r="HBH177" s="125"/>
      <c r="HBI177" s="125"/>
      <c r="HBJ177" s="125"/>
      <c r="HBK177" s="125"/>
      <c r="HBL177" s="125"/>
      <c r="HBM177" s="125"/>
      <c r="HBN177" s="125"/>
      <c r="HBO177" s="125"/>
      <c r="HBP177" s="125"/>
      <c r="HBQ177" s="125"/>
      <c r="HBR177" s="125"/>
      <c r="HBS177" s="125"/>
      <c r="HBT177" s="125"/>
      <c r="HBU177" s="125"/>
      <c r="HBV177" s="125"/>
      <c r="HBW177" s="125"/>
      <c r="HBX177" s="125"/>
      <c r="HBY177" s="125"/>
      <c r="HBZ177" s="125"/>
      <c r="HCA177" s="125"/>
      <c r="HCB177" s="125"/>
      <c r="HCC177" s="125"/>
      <c r="HCD177" s="125"/>
      <c r="HCE177" s="125"/>
      <c r="HCF177" s="125"/>
      <c r="HCG177" s="125"/>
      <c r="HCH177" s="125"/>
      <c r="HCI177" s="125"/>
      <c r="HCJ177" s="125"/>
      <c r="HCK177" s="125"/>
      <c r="HCL177" s="125"/>
      <c r="HCM177" s="125"/>
      <c r="HCN177" s="125"/>
      <c r="HCO177" s="125"/>
      <c r="HCP177" s="125"/>
      <c r="HCQ177" s="125"/>
      <c r="HCR177" s="125"/>
      <c r="HCS177" s="125"/>
      <c r="HCT177" s="125"/>
      <c r="HCU177" s="125"/>
      <c r="HCV177" s="125"/>
      <c r="HCW177" s="125"/>
      <c r="HCX177" s="125"/>
      <c r="HCY177" s="125"/>
      <c r="HCZ177" s="125"/>
      <c r="HDA177" s="125"/>
      <c r="HDB177" s="125"/>
      <c r="HDC177" s="125"/>
      <c r="HDD177" s="125"/>
      <c r="HDE177" s="125"/>
      <c r="HDF177" s="125"/>
      <c r="HDG177" s="125"/>
      <c r="HDH177" s="125"/>
      <c r="HDI177" s="125"/>
      <c r="HDJ177" s="125"/>
      <c r="HDK177" s="125"/>
      <c r="HDL177" s="125"/>
      <c r="HDM177" s="125"/>
      <c r="HDN177" s="125"/>
      <c r="HDO177" s="125"/>
      <c r="HDP177" s="125"/>
      <c r="HDQ177" s="125"/>
      <c r="HDR177" s="125"/>
      <c r="HDS177" s="125"/>
      <c r="HDT177" s="125"/>
      <c r="HDU177" s="125"/>
      <c r="HDV177" s="125"/>
      <c r="HDW177" s="125"/>
      <c r="HDX177" s="125"/>
      <c r="HDY177" s="125"/>
      <c r="HDZ177" s="125"/>
      <c r="HEA177" s="125"/>
      <c r="HEB177" s="125"/>
      <c r="HEC177" s="125"/>
      <c r="HED177" s="125"/>
      <c r="HEE177" s="125"/>
      <c r="HEF177" s="125"/>
      <c r="HEG177" s="125"/>
      <c r="HEH177" s="125"/>
      <c r="HEI177" s="125"/>
      <c r="HEJ177" s="125"/>
      <c r="HEK177" s="125"/>
      <c r="HEL177" s="125"/>
      <c r="HEM177" s="125"/>
      <c r="HEN177" s="125"/>
      <c r="HEO177" s="125"/>
      <c r="HEP177" s="125"/>
      <c r="HEQ177" s="125"/>
      <c r="HER177" s="125"/>
      <c r="HES177" s="125"/>
      <c r="HET177" s="125"/>
      <c r="HEU177" s="125"/>
      <c r="HEV177" s="125"/>
      <c r="HEW177" s="125"/>
      <c r="HEX177" s="125"/>
      <c r="HEY177" s="125"/>
      <c r="HEZ177" s="125"/>
      <c r="HFA177" s="125"/>
      <c r="HFB177" s="125"/>
      <c r="HFC177" s="125"/>
      <c r="HFD177" s="125"/>
      <c r="HFE177" s="125"/>
      <c r="HFF177" s="125"/>
      <c r="HFG177" s="125"/>
      <c r="HFH177" s="125"/>
      <c r="HFI177" s="125"/>
      <c r="HFJ177" s="125"/>
      <c r="HFK177" s="125"/>
      <c r="HFL177" s="125"/>
      <c r="HFM177" s="125"/>
      <c r="HFN177" s="125"/>
      <c r="HFO177" s="125"/>
      <c r="HFP177" s="125"/>
      <c r="HFQ177" s="125"/>
      <c r="HFR177" s="125"/>
      <c r="HFS177" s="125"/>
      <c r="HFT177" s="125"/>
      <c r="HFU177" s="125"/>
      <c r="HFV177" s="125"/>
      <c r="HFW177" s="125"/>
      <c r="HFX177" s="125"/>
      <c r="HFY177" s="125"/>
      <c r="HFZ177" s="125"/>
      <c r="HGA177" s="125"/>
      <c r="HGB177" s="125"/>
      <c r="HGC177" s="125"/>
      <c r="HGD177" s="125"/>
      <c r="HGE177" s="125"/>
      <c r="HGF177" s="125"/>
      <c r="HGG177" s="125"/>
      <c r="HGH177" s="125"/>
      <c r="HGI177" s="125"/>
      <c r="HGJ177" s="125"/>
      <c r="HGK177" s="125"/>
      <c r="HGL177" s="125"/>
      <c r="HGM177" s="125"/>
      <c r="HGN177" s="125"/>
      <c r="HGO177" s="125"/>
      <c r="HGP177" s="125"/>
      <c r="HGQ177" s="125"/>
      <c r="HGR177" s="125"/>
      <c r="HGS177" s="125"/>
      <c r="HGT177" s="125"/>
      <c r="HGU177" s="125"/>
      <c r="HGV177" s="125"/>
      <c r="HGW177" s="125"/>
      <c r="HGX177" s="125"/>
      <c r="HGY177" s="125"/>
      <c r="HGZ177" s="125"/>
      <c r="HHA177" s="125"/>
      <c r="HHB177" s="125"/>
      <c r="HHC177" s="125"/>
      <c r="HHD177" s="125"/>
      <c r="HHE177" s="125"/>
      <c r="HHF177" s="125"/>
      <c r="HHG177" s="125"/>
      <c r="HHH177" s="125"/>
      <c r="HHI177" s="125"/>
      <c r="HHJ177" s="125"/>
      <c r="HHK177" s="125"/>
      <c r="HHL177" s="125"/>
      <c r="HHM177" s="125"/>
      <c r="HHN177" s="125"/>
      <c r="HHO177" s="125"/>
      <c r="HHP177" s="125"/>
      <c r="HHQ177" s="125"/>
      <c r="HHR177" s="125"/>
      <c r="HHS177" s="125"/>
      <c r="HHT177" s="125"/>
      <c r="HHU177" s="125"/>
      <c r="HHV177" s="125"/>
      <c r="HHW177" s="125"/>
      <c r="HHX177" s="125"/>
      <c r="HHY177" s="125"/>
      <c r="HHZ177" s="125"/>
      <c r="HIA177" s="125"/>
      <c r="HIB177" s="125"/>
      <c r="HIC177" s="125"/>
      <c r="HID177" s="125"/>
      <c r="HIE177" s="125"/>
      <c r="HIF177" s="125"/>
      <c r="HIG177" s="125"/>
      <c r="HIH177" s="125"/>
      <c r="HII177" s="125"/>
      <c r="HIJ177" s="125"/>
      <c r="HIK177" s="125"/>
      <c r="HIL177" s="125"/>
      <c r="HIM177" s="125"/>
      <c r="HIN177" s="125"/>
      <c r="HIO177" s="125"/>
      <c r="HIP177" s="125"/>
      <c r="HIQ177" s="125"/>
      <c r="HIR177" s="125"/>
      <c r="HIS177" s="125"/>
      <c r="HIT177" s="125"/>
      <c r="HIU177" s="125"/>
      <c r="HIV177" s="125"/>
      <c r="HIW177" s="125"/>
      <c r="HIX177" s="125"/>
      <c r="HIY177" s="125"/>
      <c r="HIZ177" s="125"/>
      <c r="HJA177" s="125"/>
      <c r="HJB177" s="125"/>
      <c r="HJC177" s="125"/>
      <c r="HJD177" s="125"/>
      <c r="HJE177" s="125"/>
      <c r="HJF177" s="125"/>
      <c r="HJG177" s="125"/>
      <c r="HJH177" s="125"/>
      <c r="HJI177" s="125"/>
      <c r="HJJ177" s="125"/>
      <c r="HJK177" s="125"/>
      <c r="HJL177" s="125"/>
      <c r="HJM177" s="125"/>
      <c r="HJN177" s="125"/>
      <c r="HJO177" s="125"/>
      <c r="HJP177" s="125"/>
      <c r="HJQ177" s="125"/>
      <c r="HJR177" s="125"/>
      <c r="HJS177" s="125"/>
      <c r="HJT177" s="125"/>
      <c r="HJU177" s="125"/>
      <c r="HJV177" s="125"/>
      <c r="HJW177" s="125"/>
      <c r="HJX177" s="125"/>
      <c r="HJY177" s="125"/>
      <c r="HJZ177" s="125"/>
      <c r="HKA177" s="125"/>
      <c r="HKB177" s="125"/>
      <c r="HKC177" s="125"/>
      <c r="HKD177" s="125"/>
      <c r="HKE177" s="125"/>
      <c r="HKF177" s="125"/>
      <c r="HKG177" s="125"/>
      <c r="HKH177" s="125"/>
      <c r="HKI177" s="125"/>
      <c r="HKJ177" s="125"/>
      <c r="HKK177" s="125"/>
      <c r="HKL177" s="125"/>
      <c r="HKM177" s="125"/>
      <c r="HKN177" s="125"/>
      <c r="HKO177" s="125"/>
      <c r="HKP177" s="125"/>
      <c r="HKQ177" s="125"/>
      <c r="HKR177" s="125"/>
      <c r="HKS177" s="125"/>
      <c r="HKT177" s="125"/>
      <c r="HKU177" s="125"/>
      <c r="HKV177" s="125"/>
      <c r="HKW177" s="125"/>
      <c r="HKX177" s="125"/>
      <c r="HKY177" s="125"/>
      <c r="HKZ177" s="125"/>
      <c r="HLA177" s="125"/>
      <c r="HLB177" s="125"/>
      <c r="HLC177" s="125"/>
      <c r="HLD177" s="125"/>
      <c r="HLE177" s="125"/>
      <c r="HLF177" s="125"/>
      <c r="HLG177" s="125"/>
      <c r="HLH177" s="125"/>
      <c r="HLI177" s="125"/>
      <c r="HLJ177" s="125"/>
      <c r="HLK177" s="125"/>
      <c r="HLL177" s="125"/>
      <c r="HLM177" s="125"/>
      <c r="HLN177" s="125"/>
      <c r="HLO177" s="125"/>
      <c r="HLP177" s="125"/>
      <c r="HLQ177" s="125"/>
      <c r="HLR177" s="125"/>
      <c r="HLS177" s="125"/>
      <c r="HLT177" s="125"/>
      <c r="HLU177" s="125"/>
      <c r="HLV177" s="125"/>
      <c r="HLW177" s="125"/>
      <c r="HLX177" s="125"/>
      <c r="HLY177" s="125"/>
      <c r="HLZ177" s="125"/>
      <c r="HMA177" s="125"/>
      <c r="HMB177" s="125"/>
      <c r="HMC177" s="125"/>
      <c r="HMD177" s="125"/>
      <c r="HME177" s="125"/>
      <c r="HMF177" s="125"/>
      <c r="HMG177" s="125"/>
      <c r="HMH177" s="125"/>
      <c r="HMI177" s="125"/>
      <c r="HMJ177" s="125"/>
      <c r="HMK177" s="125"/>
      <c r="HML177" s="125"/>
      <c r="HMM177" s="125"/>
      <c r="HMN177" s="125"/>
      <c r="HMO177" s="125"/>
      <c r="HMP177" s="125"/>
      <c r="HMQ177" s="125"/>
      <c r="HMR177" s="125"/>
      <c r="HMS177" s="125"/>
      <c r="HMT177" s="125"/>
      <c r="HMU177" s="125"/>
      <c r="HMV177" s="125"/>
      <c r="HMW177" s="125"/>
      <c r="HMX177" s="125"/>
      <c r="HMY177" s="125"/>
      <c r="HMZ177" s="125"/>
      <c r="HNA177" s="125"/>
      <c r="HNB177" s="125"/>
      <c r="HNC177" s="125"/>
      <c r="HND177" s="125"/>
      <c r="HNE177" s="125"/>
      <c r="HNF177" s="125"/>
      <c r="HNG177" s="125"/>
      <c r="HNH177" s="125"/>
      <c r="HNI177" s="125"/>
      <c r="HNJ177" s="125"/>
      <c r="HNK177" s="125"/>
      <c r="HNL177" s="125"/>
      <c r="HNM177" s="125"/>
      <c r="HNN177" s="125"/>
      <c r="HNO177" s="125"/>
      <c r="HNP177" s="125"/>
      <c r="HNQ177" s="125"/>
      <c r="HNR177" s="125"/>
      <c r="HNS177" s="125"/>
      <c r="HNT177" s="125"/>
      <c r="HNU177" s="125"/>
      <c r="HNV177" s="125"/>
      <c r="HNW177" s="125"/>
      <c r="HNX177" s="125"/>
      <c r="HNY177" s="125"/>
      <c r="HNZ177" s="125"/>
      <c r="HOA177" s="125"/>
      <c r="HOB177" s="125"/>
      <c r="HOC177" s="125"/>
      <c r="HOD177" s="125"/>
      <c r="HOE177" s="125"/>
      <c r="HOF177" s="125"/>
      <c r="HOG177" s="125"/>
      <c r="HOH177" s="125"/>
      <c r="HOI177" s="125"/>
      <c r="HOJ177" s="125"/>
      <c r="HOK177" s="125"/>
      <c r="HOL177" s="125"/>
      <c r="HOM177" s="125"/>
      <c r="HON177" s="125"/>
      <c r="HOO177" s="125"/>
      <c r="HOP177" s="125"/>
      <c r="HOQ177" s="125"/>
      <c r="HOR177" s="125"/>
      <c r="HOS177" s="125"/>
      <c r="HOT177" s="125"/>
      <c r="HOU177" s="125"/>
      <c r="HOV177" s="125"/>
      <c r="HOW177" s="125"/>
      <c r="HOX177" s="125"/>
      <c r="HOY177" s="125"/>
      <c r="HOZ177" s="125"/>
      <c r="HPA177" s="125"/>
      <c r="HPB177" s="125"/>
      <c r="HPC177" s="125"/>
      <c r="HPD177" s="125"/>
      <c r="HPE177" s="125"/>
      <c r="HPF177" s="125"/>
      <c r="HPG177" s="125"/>
      <c r="HPH177" s="125"/>
      <c r="HPI177" s="125"/>
      <c r="HPJ177" s="125"/>
      <c r="HPK177" s="125"/>
      <c r="HPL177" s="125"/>
      <c r="HPM177" s="125"/>
      <c r="HPN177" s="125"/>
      <c r="HPO177" s="125"/>
      <c r="HPP177" s="125"/>
      <c r="HPQ177" s="125"/>
      <c r="HPR177" s="125"/>
      <c r="HPS177" s="125"/>
      <c r="HPT177" s="125"/>
      <c r="HPU177" s="125"/>
      <c r="HPV177" s="125"/>
      <c r="HPW177" s="125"/>
      <c r="HPX177" s="125"/>
      <c r="HPY177" s="125"/>
      <c r="HPZ177" s="125"/>
      <c r="HQA177" s="125"/>
      <c r="HQB177" s="125"/>
      <c r="HQC177" s="125"/>
      <c r="HQD177" s="125"/>
      <c r="HQE177" s="125"/>
      <c r="HQF177" s="125"/>
      <c r="HQG177" s="125"/>
      <c r="HQH177" s="125"/>
      <c r="HQI177" s="125"/>
      <c r="HQJ177" s="125"/>
      <c r="HQK177" s="125"/>
      <c r="HQL177" s="125"/>
      <c r="HQM177" s="125"/>
      <c r="HQN177" s="125"/>
      <c r="HQO177" s="125"/>
      <c r="HQP177" s="125"/>
      <c r="HQQ177" s="125"/>
      <c r="HQR177" s="125"/>
      <c r="HQS177" s="125"/>
      <c r="HQT177" s="125"/>
      <c r="HQU177" s="125"/>
      <c r="HQV177" s="125"/>
      <c r="HQW177" s="125"/>
      <c r="HQX177" s="125"/>
      <c r="HQY177" s="125"/>
      <c r="HQZ177" s="125"/>
      <c r="HRA177" s="125"/>
      <c r="HRB177" s="125"/>
      <c r="HRC177" s="125"/>
      <c r="HRD177" s="125"/>
      <c r="HRE177" s="125"/>
      <c r="HRF177" s="125"/>
      <c r="HRG177" s="125"/>
      <c r="HRH177" s="125"/>
      <c r="HRI177" s="125"/>
      <c r="HRJ177" s="125"/>
      <c r="HRK177" s="125"/>
      <c r="HRL177" s="125"/>
      <c r="HRM177" s="125"/>
      <c r="HRN177" s="125"/>
      <c r="HRO177" s="125"/>
      <c r="HRP177" s="125"/>
      <c r="HRQ177" s="125"/>
      <c r="HRR177" s="125"/>
      <c r="HRS177" s="125"/>
      <c r="HRT177" s="125"/>
      <c r="HRU177" s="125"/>
      <c r="HRV177" s="125"/>
      <c r="HRW177" s="125"/>
      <c r="HRX177" s="125"/>
      <c r="HRY177" s="125"/>
      <c r="HRZ177" s="125"/>
      <c r="HSA177" s="125"/>
      <c r="HSB177" s="125"/>
      <c r="HSC177" s="125"/>
      <c r="HSD177" s="125"/>
      <c r="HSE177" s="125"/>
      <c r="HSF177" s="125"/>
      <c r="HSG177" s="125"/>
      <c r="HSH177" s="125"/>
      <c r="HSI177" s="125"/>
      <c r="HSJ177" s="125"/>
      <c r="HSK177" s="125"/>
      <c r="HSL177" s="125"/>
      <c r="HSM177" s="125"/>
      <c r="HSN177" s="125"/>
      <c r="HSO177" s="125"/>
      <c r="HSP177" s="125"/>
      <c r="HSQ177" s="125"/>
      <c r="HSR177" s="125"/>
      <c r="HSS177" s="125"/>
      <c r="HST177" s="125"/>
      <c r="HSU177" s="125"/>
      <c r="HSV177" s="125"/>
      <c r="HSW177" s="125"/>
      <c r="HSX177" s="125"/>
      <c r="HSY177" s="125"/>
      <c r="HSZ177" s="125"/>
      <c r="HTA177" s="125"/>
      <c r="HTB177" s="125"/>
      <c r="HTC177" s="125"/>
      <c r="HTD177" s="125"/>
      <c r="HTE177" s="125"/>
      <c r="HTF177" s="125"/>
      <c r="HTG177" s="125"/>
      <c r="HTH177" s="125"/>
      <c r="HTI177" s="125"/>
      <c r="HTJ177" s="125"/>
      <c r="HTK177" s="125"/>
      <c r="HTL177" s="125"/>
      <c r="HTM177" s="125"/>
      <c r="HTN177" s="125"/>
      <c r="HTO177" s="125"/>
      <c r="HTP177" s="125"/>
      <c r="HTQ177" s="125"/>
      <c r="HTR177" s="125"/>
      <c r="HTS177" s="125"/>
      <c r="HTT177" s="125"/>
      <c r="HTU177" s="125"/>
      <c r="HTV177" s="125"/>
      <c r="HTW177" s="125"/>
      <c r="HTX177" s="125"/>
      <c r="HTY177" s="125"/>
      <c r="HTZ177" s="125"/>
      <c r="HUA177" s="125"/>
      <c r="HUB177" s="125"/>
      <c r="HUC177" s="125"/>
      <c r="HUD177" s="125"/>
      <c r="HUE177" s="125"/>
      <c r="HUF177" s="125"/>
      <c r="HUG177" s="125"/>
      <c r="HUH177" s="125"/>
      <c r="HUI177" s="125"/>
      <c r="HUJ177" s="125"/>
      <c r="HUK177" s="125"/>
      <c r="HUL177" s="125"/>
      <c r="HUM177" s="125"/>
      <c r="HUN177" s="125"/>
      <c r="HUO177" s="125"/>
      <c r="HUP177" s="125"/>
      <c r="HUQ177" s="125"/>
      <c r="HUR177" s="125"/>
      <c r="HUS177" s="125"/>
      <c r="HUT177" s="125"/>
      <c r="HUU177" s="125"/>
      <c r="HUV177" s="125"/>
      <c r="HUW177" s="125"/>
      <c r="HUX177" s="125"/>
      <c r="HUY177" s="125"/>
      <c r="HUZ177" s="125"/>
      <c r="HVA177" s="125"/>
      <c r="HVB177" s="125"/>
      <c r="HVC177" s="125"/>
      <c r="HVD177" s="125"/>
      <c r="HVE177" s="125"/>
      <c r="HVF177" s="125"/>
      <c r="HVG177" s="125"/>
      <c r="HVH177" s="125"/>
      <c r="HVI177" s="125"/>
      <c r="HVJ177" s="125"/>
      <c r="HVK177" s="125"/>
      <c r="HVL177" s="125"/>
      <c r="HVM177" s="125"/>
      <c r="HVN177" s="125"/>
      <c r="HVO177" s="125"/>
      <c r="HVP177" s="125"/>
      <c r="HVQ177" s="125"/>
      <c r="HVR177" s="125"/>
      <c r="HVS177" s="125"/>
      <c r="HVT177" s="125"/>
      <c r="HVU177" s="125"/>
      <c r="HVV177" s="125"/>
      <c r="HVW177" s="125"/>
      <c r="HVX177" s="125"/>
      <c r="HVY177" s="125"/>
      <c r="HVZ177" s="125"/>
      <c r="HWA177" s="125"/>
      <c r="HWB177" s="125"/>
      <c r="HWC177" s="125"/>
      <c r="HWD177" s="125"/>
      <c r="HWE177" s="125"/>
      <c r="HWF177" s="125"/>
      <c r="HWG177" s="125"/>
      <c r="HWH177" s="125"/>
      <c r="HWI177" s="125"/>
      <c r="HWJ177" s="125"/>
      <c r="HWK177" s="125"/>
      <c r="HWL177" s="125"/>
      <c r="HWM177" s="125"/>
      <c r="HWN177" s="125"/>
      <c r="HWO177" s="125"/>
      <c r="HWP177" s="125"/>
      <c r="HWQ177" s="125"/>
      <c r="HWR177" s="125"/>
      <c r="HWS177" s="125"/>
      <c r="HWT177" s="125"/>
      <c r="HWU177" s="125"/>
      <c r="HWV177" s="125"/>
      <c r="HWW177" s="125"/>
      <c r="HWX177" s="125"/>
      <c r="HWY177" s="125"/>
      <c r="HWZ177" s="125"/>
      <c r="HXA177" s="125"/>
      <c r="HXB177" s="125"/>
      <c r="HXC177" s="125"/>
      <c r="HXD177" s="125"/>
      <c r="HXE177" s="125"/>
      <c r="HXF177" s="125"/>
      <c r="HXG177" s="125"/>
      <c r="HXH177" s="125"/>
      <c r="HXI177" s="125"/>
      <c r="HXJ177" s="125"/>
      <c r="HXK177" s="125"/>
      <c r="HXL177" s="125"/>
      <c r="HXM177" s="125"/>
      <c r="HXN177" s="125"/>
      <c r="HXO177" s="125"/>
      <c r="HXP177" s="125"/>
      <c r="HXQ177" s="125"/>
      <c r="HXR177" s="125"/>
      <c r="HXS177" s="125"/>
      <c r="HXT177" s="125"/>
      <c r="HXU177" s="125"/>
      <c r="HXV177" s="125"/>
      <c r="HXW177" s="125"/>
      <c r="HXX177" s="125"/>
      <c r="HXY177" s="125"/>
      <c r="HXZ177" s="125"/>
      <c r="HYA177" s="125"/>
      <c r="HYB177" s="125"/>
      <c r="HYC177" s="125"/>
      <c r="HYD177" s="125"/>
      <c r="HYE177" s="125"/>
      <c r="HYF177" s="125"/>
      <c r="HYG177" s="125"/>
      <c r="HYH177" s="125"/>
      <c r="HYI177" s="125"/>
      <c r="HYJ177" s="125"/>
      <c r="HYK177" s="125"/>
      <c r="HYL177" s="125"/>
      <c r="HYM177" s="125"/>
      <c r="HYN177" s="125"/>
      <c r="HYO177" s="125"/>
      <c r="HYP177" s="125"/>
      <c r="HYQ177" s="125"/>
      <c r="HYR177" s="125"/>
      <c r="HYS177" s="125"/>
      <c r="HYT177" s="125"/>
      <c r="HYU177" s="125"/>
      <c r="HYV177" s="125"/>
      <c r="HYW177" s="125"/>
      <c r="HYX177" s="125"/>
      <c r="HYY177" s="125"/>
      <c r="HYZ177" s="125"/>
      <c r="HZA177" s="125"/>
      <c r="HZB177" s="125"/>
      <c r="HZC177" s="125"/>
      <c r="HZD177" s="125"/>
      <c r="HZE177" s="125"/>
      <c r="HZF177" s="125"/>
      <c r="HZG177" s="125"/>
      <c r="HZH177" s="125"/>
      <c r="HZI177" s="125"/>
      <c r="HZJ177" s="125"/>
      <c r="HZK177" s="125"/>
      <c r="HZL177" s="125"/>
      <c r="HZM177" s="125"/>
      <c r="HZN177" s="125"/>
      <c r="HZO177" s="125"/>
      <c r="HZP177" s="125"/>
      <c r="HZQ177" s="125"/>
      <c r="HZR177" s="125"/>
      <c r="HZS177" s="125"/>
      <c r="HZT177" s="125"/>
      <c r="HZU177" s="125"/>
      <c r="HZV177" s="125"/>
      <c r="HZW177" s="125"/>
      <c r="HZX177" s="125"/>
      <c r="HZY177" s="125"/>
      <c r="HZZ177" s="125"/>
      <c r="IAA177" s="125"/>
      <c r="IAB177" s="125"/>
      <c r="IAC177" s="125"/>
      <c r="IAD177" s="125"/>
      <c r="IAE177" s="125"/>
      <c r="IAF177" s="125"/>
      <c r="IAG177" s="125"/>
      <c r="IAH177" s="125"/>
      <c r="IAI177" s="125"/>
      <c r="IAJ177" s="125"/>
      <c r="IAK177" s="125"/>
      <c r="IAL177" s="125"/>
      <c r="IAM177" s="125"/>
      <c r="IAN177" s="125"/>
      <c r="IAO177" s="125"/>
      <c r="IAP177" s="125"/>
      <c r="IAQ177" s="125"/>
      <c r="IAR177" s="125"/>
      <c r="IAS177" s="125"/>
      <c r="IAT177" s="125"/>
      <c r="IAU177" s="125"/>
      <c r="IAV177" s="125"/>
      <c r="IAW177" s="125"/>
      <c r="IAX177" s="125"/>
      <c r="IAY177" s="125"/>
      <c r="IAZ177" s="125"/>
      <c r="IBA177" s="125"/>
      <c r="IBB177" s="125"/>
      <c r="IBC177" s="125"/>
      <c r="IBD177" s="125"/>
      <c r="IBE177" s="125"/>
      <c r="IBF177" s="125"/>
      <c r="IBG177" s="125"/>
      <c r="IBH177" s="125"/>
      <c r="IBI177" s="125"/>
      <c r="IBJ177" s="125"/>
      <c r="IBK177" s="125"/>
      <c r="IBL177" s="125"/>
      <c r="IBM177" s="125"/>
      <c r="IBN177" s="125"/>
      <c r="IBO177" s="125"/>
      <c r="IBP177" s="125"/>
      <c r="IBQ177" s="125"/>
      <c r="IBR177" s="125"/>
      <c r="IBS177" s="125"/>
      <c r="IBT177" s="125"/>
      <c r="IBU177" s="125"/>
      <c r="IBV177" s="125"/>
      <c r="IBW177" s="125"/>
      <c r="IBX177" s="125"/>
      <c r="IBY177" s="125"/>
      <c r="IBZ177" s="125"/>
      <c r="ICA177" s="125"/>
      <c r="ICB177" s="125"/>
      <c r="ICC177" s="125"/>
      <c r="ICD177" s="125"/>
      <c r="ICE177" s="125"/>
      <c r="ICF177" s="125"/>
      <c r="ICG177" s="125"/>
      <c r="ICH177" s="125"/>
      <c r="ICI177" s="125"/>
      <c r="ICJ177" s="125"/>
      <c r="ICK177" s="125"/>
      <c r="ICL177" s="125"/>
      <c r="ICM177" s="125"/>
      <c r="ICN177" s="125"/>
      <c r="ICO177" s="125"/>
      <c r="ICP177" s="125"/>
      <c r="ICQ177" s="125"/>
      <c r="ICR177" s="125"/>
      <c r="ICS177" s="125"/>
      <c r="ICT177" s="125"/>
      <c r="ICU177" s="125"/>
      <c r="ICV177" s="125"/>
      <c r="ICW177" s="125"/>
      <c r="ICX177" s="125"/>
      <c r="ICY177" s="125"/>
      <c r="ICZ177" s="125"/>
      <c r="IDA177" s="125"/>
      <c r="IDB177" s="125"/>
      <c r="IDC177" s="125"/>
      <c r="IDD177" s="125"/>
      <c r="IDE177" s="125"/>
      <c r="IDF177" s="125"/>
      <c r="IDG177" s="125"/>
      <c r="IDH177" s="125"/>
      <c r="IDI177" s="125"/>
      <c r="IDJ177" s="125"/>
      <c r="IDK177" s="125"/>
      <c r="IDL177" s="125"/>
      <c r="IDM177" s="125"/>
      <c r="IDN177" s="125"/>
      <c r="IDO177" s="125"/>
      <c r="IDP177" s="125"/>
      <c r="IDQ177" s="125"/>
      <c r="IDR177" s="125"/>
      <c r="IDS177" s="125"/>
      <c r="IDT177" s="125"/>
      <c r="IDU177" s="125"/>
      <c r="IDV177" s="125"/>
      <c r="IDW177" s="125"/>
      <c r="IDX177" s="125"/>
      <c r="IDY177" s="125"/>
      <c r="IDZ177" s="125"/>
      <c r="IEA177" s="125"/>
      <c r="IEB177" s="125"/>
      <c r="IEC177" s="125"/>
      <c r="IED177" s="125"/>
      <c r="IEE177" s="125"/>
      <c r="IEF177" s="125"/>
      <c r="IEG177" s="125"/>
      <c r="IEH177" s="125"/>
      <c r="IEI177" s="125"/>
      <c r="IEJ177" s="125"/>
      <c r="IEK177" s="125"/>
      <c r="IEL177" s="125"/>
      <c r="IEM177" s="125"/>
      <c r="IEN177" s="125"/>
      <c r="IEO177" s="125"/>
      <c r="IEP177" s="125"/>
      <c r="IEQ177" s="125"/>
      <c r="IER177" s="125"/>
      <c r="IES177" s="125"/>
      <c r="IET177" s="125"/>
      <c r="IEU177" s="125"/>
      <c r="IEV177" s="125"/>
      <c r="IEW177" s="125"/>
      <c r="IEX177" s="125"/>
      <c r="IEY177" s="125"/>
      <c r="IEZ177" s="125"/>
      <c r="IFA177" s="125"/>
      <c r="IFB177" s="125"/>
      <c r="IFC177" s="125"/>
      <c r="IFD177" s="125"/>
      <c r="IFE177" s="125"/>
      <c r="IFF177" s="125"/>
      <c r="IFG177" s="125"/>
      <c r="IFH177" s="125"/>
      <c r="IFI177" s="125"/>
      <c r="IFJ177" s="125"/>
      <c r="IFK177" s="125"/>
      <c r="IFL177" s="125"/>
      <c r="IFM177" s="125"/>
      <c r="IFN177" s="125"/>
      <c r="IFO177" s="125"/>
      <c r="IFP177" s="125"/>
      <c r="IFQ177" s="125"/>
      <c r="IFR177" s="125"/>
      <c r="IFS177" s="125"/>
      <c r="IFT177" s="125"/>
      <c r="IFU177" s="125"/>
      <c r="IFV177" s="125"/>
      <c r="IFW177" s="125"/>
      <c r="IFX177" s="125"/>
      <c r="IFY177" s="125"/>
      <c r="IFZ177" s="125"/>
      <c r="IGA177" s="125"/>
      <c r="IGB177" s="125"/>
      <c r="IGC177" s="125"/>
      <c r="IGD177" s="125"/>
      <c r="IGE177" s="125"/>
      <c r="IGF177" s="125"/>
      <c r="IGG177" s="125"/>
      <c r="IGH177" s="125"/>
      <c r="IGI177" s="125"/>
      <c r="IGJ177" s="125"/>
      <c r="IGK177" s="125"/>
      <c r="IGL177" s="125"/>
      <c r="IGM177" s="125"/>
      <c r="IGN177" s="125"/>
      <c r="IGO177" s="125"/>
      <c r="IGP177" s="125"/>
      <c r="IGQ177" s="125"/>
      <c r="IGR177" s="125"/>
      <c r="IGS177" s="125"/>
      <c r="IGT177" s="125"/>
      <c r="IGU177" s="125"/>
      <c r="IGV177" s="125"/>
      <c r="IGW177" s="125"/>
      <c r="IGX177" s="125"/>
      <c r="IGY177" s="125"/>
      <c r="IGZ177" s="125"/>
      <c r="IHA177" s="125"/>
      <c r="IHB177" s="125"/>
      <c r="IHC177" s="125"/>
      <c r="IHD177" s="125"/>
      <c r="IHE177" s="125"/>
      <c r="IHF177" s="125"/>
      <c r="IHG177" s="125"/>
      <c r="IHH177" s="125"/>
      <c r="IHI177" s="125"/>
      <c r="IHJ177" s="125"/>
      <c r="IHK177" s="125"/>
      <c r="IHL177" s="125"/>
      <c r="IHM177" s="125"/>
      <c r="IHN177" s="125"/>
      <c r="IHO177" s="125"/>
      <c r="IHP177" s="125"/>
      <c r="IHQ177" s="125"/>
      <c r="IHR177" s="125"/>
      <c r="IHS177" s="125"/>
      <c r="IHT177" s="125"/>
      <c r="IHU177" s="125"/>
      <c r="IHV177" s="125"/>
      <c r="IHW177" s="125"/>
      <c r="IHX177" s="125"/>
      <c r="IHY177" s="125"/>
      <c r="IHZ177" s="125"/>
      <c r="IIA177" s="125"/>
      <c r="IIB177" s="125"/>
      <c r="IIC177" s="125"/>
      <c r="IID177" s="125"/>
      <c r="IIE177" s="125"/>
      <c r="IIF177" s="125"/>
      <c r="IIG177" s="125"/>
      <c r="IIH177" s="125"/>
      <c r="III177" s="125"/>
      <c r="IIJ177" s="125"/>
      <c r="IIK177" s="125"/>
      <c r="IIL177" s="125"/>
      <c r="IIM177" s="125"/>
      <c r="IIN177" s="125"/>
      <c r="IIO177" s="125"/>
      <c r="IIP177" s="125"/>
      <c r="IIQ177" s="125"/>
      <c r="IIR177" s="125"/>
      <c r="IIS177" s="125"/>
      <c r="IIT177" s="125"/>
      <c r="IIU177" s="125"/>
      <c r="IIV177" s="125"/>
      <c r="IIW177" s="125"/>
      <c r="IIX177" s="125"/>
      <c r="IIY177" s="125"/>
      <c r="IIZ177" s="125"/>
      <c r="IJA177" s="125"/>
      <c r="IJB177" s="125"/>
      <c r="IJC177" s="125"/>
      <c r="IJD177" s="125"/>
      <c r="IJE177" s="125"/>
      <c r="IJF177" s="125"/>
      <c r="IJG177" s="125"/>
      <c r="IJH177" s="125"/>
      <c r="IJI177" s="125"/>
      <c r="IJJ177" s="125"/>
      <c r="IJK177" s="125"/>
      <c r="IJL177" s="125"/>
      <c r="IJM177" s="125"/>
      <c r="IJN177" s="125"/>
      <c r="IJO177" s="125"/>
      <c r="IJP177" s="125"/>
      <c r="IJQ177" s="125"/>
      <c r="IJR177" s="125"/>
      <c r="IJS177" s="125"/>
      <c r="IJT177" s="125"/>
      <c r="IJU177" s="125"/>
      <c r="IJV177" s="125"/>
      <c r="IJW177" s="125"/>
      <c r="IJX177" s="125"/>
      <c r="IJY177" s="125"/>
      <c r="IJZ177" s="125"/>
      <c r="IKA177" s="125"/>
      <c r="IKB177" s="125"/>
      <c r="IKC177" s="125"/>
      <c r="IKD177" s="125"/>
      <c r="IKE177" s="125"/>
      <c r="IKF177" s="125"/>
      <c r="IKG177" s="125"/>
      <c r="IKH177" s="125"/>
      <c r="IKI177" s="125"/>
      <c r="IKJ177" s="125"/>
      <c r="IKK177" s="125"/>
      <c r="IKL177" s="125"/>
      <c r="IKM177" s="125"/>
      <c r="IKN177" s="125"/>
      <c r="IKO177" s="125"/>
      <c r="IKP177" s="125"/>
      <c r="IKQ177" s="125"/>
      <c r="IKR177" s="125"/>
      <c r="IKS177" s="125"/>
      <c r="IKT177" s="125"/>
      <c r="IKU177" s="125"/>
      <c r="IKV177" s="125"/>
      <c r="IKW177" s="125"/>
      <c r="IKX177" s="125"/>
      <c r="IKY177" s="125"/>
      <c r="IKZ177" s="125"/>
      <c r="ILA177" s="125"/>
      <c r="ILB177" s="125"/>
      <c r="ILC177" s="125"/>
      <c r="ILD177" s="125"/>
      <c r="ILE177" s="125"/>
      <c r="ILF177" s="125"/>
      <c r="ILG177" s="125"/>
      <c r="ILH177" s="125"/>
      <c r="ILI177" s="125"/>
      <c r="ILJ177" s="125"/>
      <c r="ILK177" s="125"/>
      <c r="ILL177" s="125"/>
      <c r="ILM177" s="125"/>
      <c r="ILN177" s="125"/>
      <c r="ILO177" s="125"/>
      <c r="ILP177" s="125"/>
      <c r="ILQ177" s="125"/>
      <c r="ILR177" s="125"/>
      <c r="ILS177" s="125"/>
      <c r="ILT177" s="125"/>
      <c r="ILU177" s="125"/>
      <c r="ILV177" s="125"/>
      <c r="ILW177" s="125"/>
      <c r="ILX177" s="125"/>
      <c r="ILY177" s="125"/>
      <c r="ILZ177" s="125"/>
      <c r="IMA177" s="125"/>
      <c r="IMB177" s="125"/>
      <c r="IMC177" s="125"/>
      <c r="IMD177" s="125"/>
      <c r="IME177" s="125"/>
      <c r="IMF177" s="125"/>
      <c r="IMG177" s="125"/>
      <c r="IMH177" s="125"/>
      <c r="IMI177" s="125"/>
      <c r="IMJ177" s="125"/>
      <c r="IMK177" s="125"/>
      <c r="IML177" s="125"/>
      <c r="IMM177" s="125"/>
      <c r="IMN177" s="125"/>
      <c r="IMO177" s="125"/>
      <c r="IMP177" s="125"/>
      <c r="IMQ177" s="125"/>
      <c r="IMR177" s="125"/>
      <c r="IMS177" s="125"/>
      <c r="IMT177" s="125"/>
      <c r="IMU177" s="125"/>
      <c r="IMV177" s="125"/>
      <c r="IMW177" s="125"/>
      <c r="IMX177" s="125"/>
      <c r="IMY177" s="125"/>
      <c r="IMZ177" s="125"/>
      <c r="INA177" s="125"/>
      <c r="INB177" s="125"/>
      <c r="INC177" s="125"/>
      <c r="IND177" s="125"/>
      <c r="INE177" s="125"/>
      <c r="INF177" s="125"/>
      <c r="ING177" s="125"/>
      <c r="INH177" s="125"/>
      <c r="INI177" s="125"/>
      <c r="INJ177" s="125"/>
      <c r="INK177" s="125"/>
      <c r="INL177" s="125"/>
      <c r="INM177" s="125"/>
      <c r="INN177" s="125"/>
      <c r="INO177" s="125"/>
      <c r="INP177" s="125"/>
      <c r="INQ177" s="125"/>
      <c r="INR177" s="125"/>
      <c r="INS177" s="125"/>
      <c r="INT177" s="125"/>
      <c r="INU177" s="125"/>
      <c r="INV177" s="125"/>
      <c r="INW177" s="125"/>
      <c r="INX177" s="125"/>
      <c r="INY177" s="125"/>
      <c r="INZ177" s="125"/>
      <c r="IOA177" s="125"/>
      <c r="IOB177" s="125"/>
      <c r="IOC177" s="125"/>
      <c r="IOD177" s="125"/>
      <c r="IOE177" s="125"/>
      <c r="IOF177" s="125"/>
      <c r="IOG177" s="125"/>
      <c r="IOH177" s="125"/>
      <c r="IOI177" s="125"/>
      <c r="IOJ177" s="125"/>
      <c r="IOK177" s="125"/>
      <c r="IOL177" s="125"/>
      <c r="IOM177" s="125"/>
      <c r="ION177" s="125"/>
      <c r="IOO177" s="125"/>
      <c r="IOP177" s="125"/>
      <c r="IOQ177" s="125"/>
      <c r="IOR177" s="125"/>
      <c r="IOS177" s="125"/>
      <c r="IOT177" s="125"/>
      <c r="IOU177" s="125"/>
      <c r="IOV177" s="125"/>
      <c r="IOW177" s="125"/>
      <c r="IOX177" s="125"/>
      <c r="IOY177" s="125"/>
      <c r="IOZ177" s="125"/>
      <c r="IPA177" s="125"/>
      <c r="IPB177" s="125"/>
      <c r="IPC177" s="125"/>
      <c r="IPD177" s="125"/>
      <c r="IPE177" s="125"/>
      <c r="IPF177" s="125"/>
      <c r="IPG177" s="125"/>
      <c r="IPH177" s="125"/>
      <c r="IPI177" s="125"/>
      <c r="IPJ177" s="125"/>
      <c r="IPK177" s="125"/>
      <c r="IPL177" s="125"/>
      <c r="IPM177" s="125"/>
      <c r="IPN177" s="125"/>
      <c r="IPO177" s="125"/>
      <c r="IPP177" s="125"/>
      <c r="IPQ177" s="125"/>
      <c r="IPR177" s="125"/>
      <c r="IPS177" s="125"/>
      <c r="IPT177" s="125"/>
      <c r="IPU177" s="125"/>
      <c r="IPV177" s="125"/>
      <c r="IPW177" s="125"/>
      <c r="IPX177" s="125"/>
      <c r="IPY177" s="125"/>
      <c r="IPZ177" s="125"/>
      <c r="IQA177" s="125"/>
      <c r="IQB177" s="125"/>
      <c r="IQC177" s="125"/>
      <c r="IQD177" s="125"/>
      <c r="IQE177" s="125"/>
      <c r="IQF177" s="125"/>
      <c r="IQG177" s="125"/>
      <c r="IQH177" s="125"/>
      <c r="IQI177" s="125"/>
      <c r="IQJ177" s="125"/>
      <c r="IQK177" s="125"/>
      <c r="IQL177" s="125"/>
      <c r="IQM177" s="125"/>
      <c r="IQN177" s="125"/>
      <c r="IQO177" s="125"/>
      <c r="IQP177" s="125"/>
      <c r="IQQ177" s="125"/>
      <c r="IQR177" s="125"/>
      <c r="IQS177" s="125"/>
      <c r="IQT177" s="125"/>
      <c r="IQU177" s="125"/>
      <c r="IQV177" s="125"/>
      <c r="IQW177" s="125"/>
      <c r="IQX177" s="125"/>
      <c r="IQY177" s="125"/>
      <c r="IQZ177" s="125"/>
      <c r="IRA177" s="125"/>
      <c r="IRB177" s="125"/>
      <c r="IRC177" s="125"/>
      <c r="IRD177" s="125"/>
      <c r="IRE177" s="125"/>
      <c r="IRF177" s="125"/>
      <c r="IRG177" s="125"/>
      <c r="IRH177" s="125"/>
      <c r="IRI177" s="125"/>
      <c r="IRJ177" s="125"/>
      <c r="IRK177" s="125"/>
      <c r="IRL177" s="125"/>
      <c r="IRM177" s="125"/>
      <c r="IRN177" s="125"/>
      <c r="IRO177" s="125"/>
      <c r="IRP177" s="125"/>
      <c r="IRQ177" s="125"/>
      <c r="IRR177" s="125"/>
      <c r="IRS177" s="125"/>
      <c r="IRT177" s="125"/>
      <c r="IRU177" s="125"/>
      <c r="IRV177" s="125"/>
      <c r="IRW177" s="125"/>
      <c r="IRX177" s="125"/>
      <c r="IRY177" s="125"/>
      <c r="IRZ177" s="125"/>
      <c r="ISA177" s="125"/>
      <c r="ISB177" s="125"/>
      <c r="ISC177" s="125"/>
      <c r="ISD177" s="125"/>
      <c r="ISE177" s="125"/>
      <c r="ISF177" s="125"/>
      <c r="ISG177" s="125"/>
      <c r="ISH177" s="125"/>
      <c r="ISI177" s="125"/>
      <c r="ISJ177" s="125"/>
      <c r="ISK177" s="125"/>
      <c r="ISL177" s="125"/>
      <c r="ISM177" s="125"/>
      <c r="ISN177" s="125"/>
      <c r="ISO177" s="125"/>
      <c r="ISP177" s="125"/>
      <c r="ISQ177" s="125"/>
      <c r="ISR177" s="125"/>
      <c r="ISS177" s="125"/>
      <c r="IST177" s="125"/>
      <c r="ISU177" s="125"/>
      <c r="ISV177" s="125"/>
      <c r="ISW177" s="125"/>
      <c r="ISX177" s="125"/>
      <c r="ISY177" s="125"/>
      <c r="ISZ177" s="125"/>
      <c r="ITA177" s="125"/>
      <c r="ITB177" s="125"/>
      <c r="ITC177" s="125"/>
      <c r="ITD177" s="125"/>
      <c r="ITE177" s="125"/>
      <c r="ITF177" s="125"/>
      <c r="ITG177" s="125"/>
      <c r="ITH177" s="125"/>
      <c r="ITI177" s="125"/>
      <c r="ITJ177" s="125"/>
      <c r="ITK177" s="125"/>
      <c r="ITL177" s="125"/>
      <c r="ITM177" s="125"/>
      <c r="ITN177" s="125"/>
      <c r="ITO177" s="125"/>
      <c r="ITP177" s="125"/>
      <c r="ITQ177" s="125"/>
      <c r="ITR177" s="125"/>
      <c r="ITS177" s="125"/>
      <c r="ITT177" s="125"/>
      <c r="ITU177" s="125"/>
      <c r="ITV177" s="125"/>
      <c r="ITW177" s="125"/>
      <c r="ITX177" s="125"/>
      <c r="ITY177" s="125"/>
      <c r="ITZ177" s="125"/>
      <c r="IUA177" s="125"/>
      <c r="IUB177" s="125"/>
      <c r="IUC177" s="125"/>
      <c r="IUD177" s="125"/>
      <c r="IUE177" s="125"/>
      <c r="IUF177" s="125"/>
      <c r="IUG177" s="125"/>
      <c r="IUH177" s="125"/>
      <c r="IUI177" s="125"/>
      <c r="IUJ177" s="125"/>
      <c r="IUK177" s="125"/>
      <c r="IUL177" s="125"/>
      <c r="IUM177" s="125"/>
      <c r="IUN177" s="125"/>
      <c r="IUO177" s="125"/>
      <c r="IUP177" s="125"/>
      <c r="IUQ177" s="125"/>
      <c r="IUR177" s="125"/>
      <c r="IUS177" s="125"/>
      <c r="IUT177" s="125"/>
      <c r="IUU177" s="125"/>
      <c r="IUV177" s="125"/>
      <c r="IUW177" s="125"/>
      <c r="IUX177" s="125"/>
      <c r="IUY177" s="125"/>
      <c r="IUZ177" s="125"/>
      <c r="IVA177" s="125"/>
      <c r="IVB177" s="125"/>
      <c r="IVC177" s="125"/>
      <c r="IVD177" s="125"/>
      <c r="IVE177" s="125"/>
      <c r="IVF177" s="125"/>
      <c r="IVG177" s="125"/>
      <c r="IVH177" s="125"/>
      <c r="IVI177" s="125"/>
      <c r="IVJ177" s="125"/>
      <c r="IVK177" s="125"/>
      <c r="IVL177" s="125"/>
      <c r="IVM177" s="125"/>
      <c r="IVN177" s="125"/>
      <c r="IVO177" s="125"/>
      <c r="IVP177" s="125"/>
      <c r="IVQ177" s="125"/>
      <c r="IVR177" s="125"/>
      <c r="IVS177" s="125"/>
      <c r="IVT177" s="125"/>
      <c r="IVU177" s="125"/>
      <c r="IVV177" s="125"/>
      <c r="IVW177" s="125"/>
      <c r="IVX177" s="125"/>
      <c r="IVY177" s="125"/>
      <c r="IVZ177" s="125"/>
      <c r="IWA177" s="125"/>
      <c r="IWB177" s="125"/>
      <c r="IWC177" s="125"/>
      <c r="IWD177" s="125"/>
      <c r="IWE177" s="125"/>
      <c r="IWF177" s="125"/>
      <c r="IWG177" s="125"/>
      <c r="IWH177" s="125"/>
      <c r="IWI177" s="125"/>
      <c r="IWJ177" s="125"/>
      <c r="IWK177" s="125"/>
      <c r="IWL177" s="125"/>
      <c r="IWM177" s="125"/>
      <c r="IWN177" s="125"/>
      <c r="IWO177" s="125"/>
      <c r="IWP177" s="125"/>
      <c r="IWQ177" s="125"/>
      <c r="IWR177" s="125"/>
      <c r="IWS177" s="125"/>
      <c r="IWT177" s="125"/>
      <c r="IWU177" s="125"/>
      <c r="IWV177" s="125"/>
      <c r="IWW177" s="125"/>
      <c r="IWX177" s="125"/>
      <c r="IWY177" s="125"/>
      <c r="IWZ177" s="125"/>
      <c r="IXA177" s="125"/>
      <c r="IXB177" s="125"/>
      <c r="IXC177" s="125"/>
      <c r="IXD177" s="125"/>
      <c r="IXE177" s="125"/>
      <c r="IXF177" s="125"/>
      <c r="IXG177" s="125"/>
      <c r="IXH177" s="125"/>
      <c r="IXI177" s="125"/>
      <c r="IXJ177" s="125"/>
      <c r="IXK177" s="125"/>
      <c r="IXL177" s="125"/>
      <c r="IXM177" s="125"/>
      <c r="IXN177" s="125"/>
      <c r="IXO177" s="125"/>
      <c r="IXP177" s="125"/>
      <c r="IXQ177" s="125"/>
      <c r="IXR177" s="125"/>
      <c r="IXS177" s="125"/>
      <c r="IXT177" s="125"/>
      <c r="IXU177" s="125"/>
      <c r="IXV177" s="125"/>
      <c r="IXW177" s="125"/>
      <c r="IXX177" s="125"/>
      <c r="IXY177" s="125"/>
      <c r="IXZ177" s="125"/>
      <c r="IYA177" s="125"/>
      <c r="IYB177" s="125"/>
      <c r="IYC177" s="125"/>
      <c r="IYD177" s="125"/>
      <c r="IYE177" s="125"/>
      <c r="IYF177" s="125"/>
      <c r="IYG177" s="125"/>
      <c r="IYH177" s="125"/>
      <c r="IYI177" s="125"/>
      <c r="IYJ177" s="125"/>
      <c r="IYK177" s="125"/>
      <c r="IYL177" s="125"/>
      <c r="IYM177" s="125"/>
      <c r="IYN177" s="125"/>
      <c r="IYO177" s="125"/>
      <c r="IYP177" s="125"/>
      <c r="IYQ177" s="125"/>
      <c r="IYR177" s="125"/>
      <c r="IYS177" s="125"/>
      <c r="IYT177" s="125"/>
      <c r="IYU177" s="125"/>
      <c r="IYV177" s="125"/>
      <c r="IYW177" s="125"/>
      <c r="IYX177" s="125"/>
      <c r="IYY177" s="125"/>
      <c r="IYZ177" s="125"/>
      <c r="IZA177" s="125"/>
      <c r="IZB177" s="125"/>
      <c r="IZC177" s="125"/>
      <c r="IZD177" s="125"/>
      <c r="IZE177" s="125"/>
      <c r="IZF177" s="125"/>
      <c r="IZG177" s="125"/>
      <c r="IZH177" s="125"/>
      <c r="IZI177" s="125"/>
      <c r="IZJ177" s="125"/>
      <c r="IZK177" s="125"/>
      <c r="IZL177" s="125"/>
      <c r="IZM177" s="125"/>
      <c r="IZN177" s="125"/>
      <c r="IZO177" s="125"/>
      <c r="IZP177" s="125"/>
      <c r="IZQ177" s="125"/>
      <c r="IZR177" s="125"/>
      <c r="IZS177" s="125"/>
      <c r="IZT177" s="125"/>
      <c r="IZU177" s="125"/>
      <c r="IZV177" s="125"/>
      <c r="IZW177" s="125"/>
      <c r="IZX177" s="125"/>
      <c r="IZY177" s="125"/>
      <c r="IZZ177" s="125"/>
      <c r="JAA177" s="125"/>
      <c r="JAB177" s="125"/>
      <c r="JAC177" s="125"/>
      <c r="JAD177" s="125"/>
      <c r="JAE177" s="125"/>
      <c r="JAF177" s="125"/>
      <c r="JAG177" s="125"/>
      <c r="JAH177" s="125"/>
      <c r="JAI177" s="125"/>
      <c r="JAJ177" s="125"/>
      <c r="JAK177" s="125"/>
      <c r="JAL177" s="125"/>
      <c r="JAM177" s="125"/>
      <c r="JAN177" s="125"/>
      <c r="JAO177" s="125"/>
      <c r="JAP177" s="125"/>
      <c r="JAQ177" s="125"/>
      <c r="JAR177" s="125"/>
      <c r="JAS177" s="125"/>
      <c r="JAT177" s="125"/>
      <c r="JAU177" s="125"/>
      <c r="JAV177" s="125"/>
      <c r="JAW177" s="125"/>
      <c r="JAX177" s="125"/>
      <c r="JAY177" s="125"/>
      <c r="JAZ177" s="125"/>
      <c r="JBA177" s="125"/>
      <c r="JBB177" s="125"/>
      <c r="JBC177" s="125"/>
      <c r="JBD177" s="125"/>
      <c r="JBE177" s="125"/>
      <c r="JBF177" s="125"/>
      <c r="JBG177" s="125"/>
      <c r="JBH177" s="125"/>
      <c r="JBI177" s="125"/>
      <c r="JBJ177" s="125"/>
      <c r="JBK177" s="125"/>
      <c r="JBL177" s="125"/>
      <c r="JBM177" s="125"/>
      <c r="JBN177" s="125"/>
      <c r="JBO177" s="125"/>
      <c r="JBP177" s="125"/>
      <c r="JBQ177" s="125"/>
      <c r="JBR177" s="125"/>
      <c r="JBS177" s="125"/>
      <c r="JBT177" s="125"/>
      <c r="JBU177" s="125"/>
      <c r="JBV177" s="125"/>
      <c r="JBW177" s="125"/>
      <c r="JBX177" s="125"/>
      <c r="JBY177" s="125"/>
      <c r="JBZ177" s="125"/>
      <c r="JCA177" s="125"/>
      <c r="JCB177" s="125"/>
      <c r="JCC177" s="125"/>
      <c r="JCD177" s="125"/>
      <c r="JCE177" s="125"/>
      <c r="JCF177" s="125"/>
      <c r="JCG177" s="125"/>
      <c r="JCH177" s="125"/>
      <c r="JCI177" s="125"/>
      <c r="JCJ177" s="125"/>
      <c r="JCK177" s="125"/>
      <c r="JCL177" s="125"/>
      <c r="JCM177" s="125"/>
      <c r="JCN177" s="125"/>
      <c r="JCO177" s="125"/>
      <c r="JCP177" s="125"/>
      <c r="JCQ177" s="125"/>
      <c r="JCR177" s="125"/>
      <c r="JCS177" s="125"/>
      <c r="JCT177" s="125"/>
      <c r="JCU177" s="125"/>
      <c r="JCV177" s="125"/>
      <c r="JCW177" s="125"/>
      <c r="JCX177" s="125"/>
      <c r="JCY177" s="125"/>
      <c r="JCZ177" s="125"/>
      <c r="JDA177" s="125"/>
      <c r="JDB177" s="125"/>
      <c r="JDC177" s="125"/>
      <c r="JDD177" s="125"/>
      <c r="JDE177" s="125"/>
      <c r="JDF177" s="125"/>
      <c r="JDG177" s="125"/>
      <c r="JDH177" s="125"/>
      <c r="JDI177" s="125"/>
      <c r="JDJ177" s="125"/>
      <c r="JDK177" s="125"/>
      <c r="JDL177" s="125"/>
      <c r="JDM177" s="125"/>
      <c r="JDN177" s="125"/>
      <c r="JDO177" s="125"/>
      <c r="JDP177" s="125"/>
      <c r="JDQ177" s="125"/>
      <c r="JDR177" s="125"/>
      <c r="JDS177" s="125"/>
      <c r="JDT177" s="125"/>
      <c r="JDU177" s="125"/>
      <c r="JDV177" s="125"/>
      <c r="JDW177" s="125"/>
      <c r="JDX177" s="125"/>
      <c r="JDY177" s="125"/>
      <c r="JDZ177" s="125"/>
      <c r="JEA177" s="125"/>
      <c r="JEB177" s="125"/>
      <c r="JEC177" s="125"/>
      <c r="JED177" s="125"/>
      <c r="JEE177" s="125"/>
      <c r="JEF177" s="125"/>
      <c r="JEG177" s="125"/>
      <c r="JEH177" s="125"/>
      <c r="JEI177" s="125"/>
      <c r="JEJ177" s="125"/>
      <c r="JEK177" s="125"/>
      <c r="JEL177" s="125"/>
      <c r="JEM177" s="125"/>
      <c r="JEN177" s="125"/>
      <c r="JEO177" s="125"/>
      <c r="JEP177" s="125"/>
      <c r="JEQ177" s="125"/>
      <c r="JER177" s="125"/>
      <c r="JES177" s="125"/>
      <c r="JET177" s="125"/>
      <c r="JEU177" s="125"/>
      <c r="JEV177" s="125"/>
      <c r="JEW177" s="125"/>
      <c r="JEX177" s="125"/>
      <c r="JEY177" s="125"/>
      <c r="JEZ177" s="125"/>
      <c r="JFA177" s="125"/>
      <c r="JFB177" s="125"/>
      <c r="JFC177" s="125"/>
      <c r="JFD177" s="125"/>
      <c r="JFE177" s="125"/>
      <c r="JFF177" s="125"/>
      <c r="JFG177" s="125"/>
      <c r="JFH177" s="125"/>
      <c r="JFI177" s="125"/>
      <c r="JFJ177" s="125"/>
      <c r="JFK177" s="125"/>
      <c r="JFL177" s="125"/>
      <c r="JFM177" s="125"/>
      <c r="JFN177" s="125"/>
      <c r="JFO177" s="125"/>
      <c r="JFP177" s="125"/>
      <c r="JFQ177" s="125"/>
      <c r="JFR177" s="125"/>
      <c r="JFS177" s="125"/>
      <c r="JFT177" s="125"/>
      <c r="JFU177" s="125"/>
      <c r="JFV177" s="125"/>
      <c r="JFW177" s="125"/>
      <c r="JFX177" s="125"/>
      <c r="JFY177" s="125"/>
      <c r="JFZ177" s="125"/>
      <c r="JGA177" s="125"/>
      <c r="JGB177" s="125"/>
      <c r="JGC177" s="125"/>
      <c r="JGD177" s="125"/>
      <c r="JGE177" s="125"/>
      <c r="JGF177" s="125"/>
      <c r="JGG177" s="125"/>
      <c r="JGH177" s="125"/>
      <c r="JGI177" s="125"/>
      <c r="JGJ177" s="125"/>
      <c r="JGK177" s="125"/>
      <c r="JGL177" s="125"/>
      <c r="JGM177" s="125"/>
      <c r="JGN177" s="125"/>
      <c r="JGO177" s="125"/>
      <c r="JGP177" s="125"/>
      <c r="JGQ177" s="125"/>
      <c r="JGR177" s="125"/>
      <c r="JGS177" s="125"/>
      <c r="JGT177" s="125"/>
      <c r="JGU177" s="125"/>
      <c r="JGV177" s="125"/>
      <c r="JGW177" s="125"/>
      <c r="JGX177" s="125"/>
      <c r="JGY177" s="125"/>
      <c r="JGZ177" s="125"/>
      <c r="JHA177" s="125"/>
      <c r="JHB177" s="125"/>
      <c r="JHC177" s="125"/>
      <c r="JHD177" s="125"/>
      <c r="JHE177" s="125"/>
      <c r="JHF177" s="125"/>
      <c r="JHG177" s="125"/>
      <c r="JHH177" s="125"/>
      <c r="JHI177" s="125"/>
      <c r="JHJ177" s="125"/>
      <c r="JHK177" s="125"/>
      <c r="JHL177" s="125"/>
      <c r="JHM177" s="125"/>
      <c r="JHN177" s="125"/>
      <c r="JHO177" s="125"/>
      <c r="JHP177" s="125"/>
      <c r="JHQ177" s="125"/>
      <c r="JHR177" s="125"/>
      <c r="JHS177" s="125"/>
      <c r="JHT177" s="125"/>
      <c r="JHU177" s="125"/>
      <c r="JHV177" s="125"/>
      <c r="JHW177" s="125"/>
      <c r="JHX177" s="125"/>
      <c r="JHY177" s="125"/>
      <c r="JHZ177" s="125"/>
      <c r="JIA177" s="125"/>
      <c r="JIB177" s="125"/>
      <c r="JIC177" s="125"/>
      <c r="JID177" s="125"/>
      <c r="JIE177" s="125"/>
      <c r="JIF177" s="125"/>
      <c r="JIG177" s="125"/>
      <c r="JIH177" s="125"/>
      <c r="JII177" s="125"/>
      <c r="JIJ177" s="125"/>
      <c r="JIK177" s="125"/>
      <c r="JIL177" s="125"/>
      <c r="JIM177" s="125"/>
      <c r="JIN177" s="125"/>
      <c r="JIO177" s="125"/>
      <c r="JIP177" s="125"/>
      <c r="JIQ177" s="125"/>
      <c r="JIR177" s="125"/>
      <c r="JIS177" s="125"/>
      <c r="JIT177" s="125"/>
      <c r="JIU177" s="125"/>
      <c r="JIV177" s="125"/>
      <c r="JIW177" s="125"/>
      <c r="JIX177" s="125"/>
      <c r="JIY177" s="125"/>
      <c r="JIZ177" s="125"/>
      <c r="JJA177" s="125"/>
      <c r="JJB177" s="125"/>
      <c r="JJC177" s="125"/>
      <c r="JJD177" s="125"/>
      <c r="JJE177" s="125"/>
      <c r="JJF177" s="125"/>
      <c r="JJG177" s="125"/>
      <c r="JJH177" s="125"/>
      <c r="JJI177" s="125"/>
      <c r="JJJ177" s="125"/>
      <c r="JJK177" s="125"/>
      <c r="JJL177" s="125"/>
      <c r="JJM177" s="125"/>
      <c r="JJN177" s="125"/>
      <c r="JJO177" s="125"/>
      <c r="JJP177" s="125"/>
      <c r="JJQ177" s="125"/>
      <c r="JJR177" s="125"/>
      <c r="JJS177" s="125"/>
      <c r="JJT177" s="125"/>
      <c r="JJU177" s="125"/>
      <c r="JJV177" s="125"/>
      <c r="JJW177" s="125"/>
      <c r="JJX177" s="125"/>
      <c r="JJY177" s="125"/>
      <c r="JJZ177" s="125"/>
      <c r="JKA177" s="125"/>
      <c r="JKB177" s="125"/>
      <c r="JKC177" s="125"/>
      <c r="JKD177" s="125"/>
      <c r="JKE177" s="125"/>
      <c r="JKF177" s="125"/>
      <c r="JKG177" s="125"/>
      <c r="JKH177" s="125"/>
      <c r="JKI177" s="125"/>
      <c r="JKJ177" s="125"/>
      <c r="JKK177" s="125"/>
      <c r="JKL177" s="125"/>
      <c r="JKM177" s="125"/>
      <c r="JKN177" s="125"/>
      <c r="JKO177" s="125"/>
      <c r="JKP177" s="125"/>
      <c r="JKQ177" s="125"/>
      <c r="JKR177" s="125"/>
      <c r="JKS177" s="125"/>
      <c r="JKT177" s="125"/>
      <c r="JKU177" s="125"/>
      <c r="JKV177" s="125"/>
      <c r="JKW177" s="125"/>
      <c r="JKX177" s="125"/>
      <c r="JKY177" s="125"/>
      <c r="JKZ177" s="125"/>
      <c r="JLA177" s="125"/>
      <c r="JLB177" s="125"/>
      <c r="JLC177" s="125"/>
      <c r="JLD177" s="125"/>
      <c r="JLE177" s="125"/>
      <c r="JLF177" s="125"/>
      <c r="JLG177" s="125"/>
      <c r="JLH177" s="125"/>
      <c r="JLI177" s="125"/>
      <c r="JLJ177" s="125"/>
      <c r="JLK177" s="125"/>
      <c r="JLL177" s="125"/>
      <c r="JLM177" s="125"/>
      <c r="JLN177" s="125"/>
      <c r="JLO177" s="125"/>
      <c r="JLP177" s="125"/>
      <c r="JLQ177" s="125"/>
      <c r="JLR177" s="125"/>
      <c r="JLS177" s="125"/>
      <c r="JLT177" s="125"/>
      <c r="JLU177" s="125"/>
      <c r="JLV177" s="125"/>
      <c r="JLW177" s="125"/>
      <c r="JLX177" s="125"/>
      <c r="JLY177" s="125"/>
      <c r="JLZ177" s="125"/>
      <c r="JMA177" s="125"/>
      <c r="JMB177" s="125"/>
      <c r="JMC177" s="125"/>
      <c r="JMD177" s="125"/>
      <c r="JME177" s="125"/>
      <c r="JMF177" s="125"/>
      <c r="JMG177" s="125"/>
      <c r="JMH177" s="125"/>
      <c r="JMI177" s="125"/>
      <c r="JMJ177" s="125"/>
      <c r="JMK177" s="125"/>
      <c r="JML177" s="125"/>
      <c r="JMM177" s="125"/>
      <c r="JMN177" s="125"/>
      <c r="JMO177" s="125"/>
      <c r="JMP177" s="125"/>
      <c r="JMQ177" s="125"/>
      <c r="JMR177" s="125"/>
      <c r="JMS177" s="125"/>
      <c r="JMT177" s="125"/>
      <c r="JMU177" s="125"/>
      <c r="JMV177" s="125"/>
      <c r="JMW177" s="125"/>
      <c r="JMX177" s="125"/>
      <c r="JMY177" s="125"/>
      <c r="JMZ177" s="125"/>
      <c r="JNA177" s="125"/>
      <c r="JNB177" s="125"/>
      <c r="JNC177" s="125"/>
      <c r="JND177" s="125"/>
      <c r="JNE177" s="125"/>
      <c r="JNF177" s="125"/>
      <c r="JNG177" s="125"/>
      <c r="JNH177" s="125"/>
      <c r="JNI177" s="125"/>
      <c r="JNJ177" s="125"/>
      <c r="JNK177" s="125"/>
      <c r="JNL177" s="125"/>
      <c r="JNM177" s="125"/>
      <c r="JNN177" s="125"/>
      <c r="JNO177" s="125"/>
      <c r="JNP177" s="125"/>
      <c r="JNQ177" s="125"/>
      <c r="JNR177" s="125"/>
      <c r="JNS177" s="125"/>
      <c r="JNT177" s="125"/>
      <c r="JNU177" s="125"/>
      <c r="JNV177" s="125"/>
      <c r="JNW177" s="125"/>
      <c r="JNX177" s="125"/>
      <c r="JNY177" s="125"/>
      <c r="JNZ177" s="125"/>
      <c r="JOA177" s="125"/>
      <c r="JOB177" s="125"/>
      <c r="JOC177" s="125"/>
      <c r="JOD177" s="125"/>
      <c r="JOE177" s="125"/>
      <c r="JOF177" s="125"/>
      <c r="JOG177" s="125"/>
      <c r="JOH177" s="125"/>
      <c r="JOI177" s="125"/>
      <c r="JOJ177" s="125"/>
      <c r="JOK177" s="125"/>
      <c r="JOL177" s="125"/>
      <c r="JOM177" s="125"/>
      <c r="JON177" s="125"/>
      <c r="JOO177" s="125"/>
      <c r="JOP177" s="125"/>
      <c r="JOQ177" s="125"/>
      <c r="JOR177" s="125"/>
      <c r="JOS177" s="125"/>
      <c r="JOT177" s="125"/>
      <c r="JOU177" s="125"/>
      <c r="JOV177" s="125"/>
      <c r="JOW177" s="125"/>
      <c r="JOX177" s="125"/>
      <c r="JOY177" s="125"/>
      <c r="JOZ177" s="125"/>
      <c r="JPA177" s="125"/>
      <c r="JPB177" s="125"/>
      <c r="JPC177" s="125"/>
      <c r="JPD177" s="125"/>
      <c r="JPE177" s="125"/>
      <c r="JPF177" s="125"/>
      <c r="JPG177" s="125"/>
      <c r="JPH177" s="125"/>
      <c r="JPI177" s="125"/>
      <c r="JPJ177" s="125"/>
      <c r="JPK177" s="125"/>
      <c r="JPL177" s="125"/>
      <c r="JPM177" s="125"/>
      <c r="JPN177" s="125"/>
      <c r="JPO177" s="125"/>
      <c r="JPP177" s="125"/>
      <c r="JPQ177" s="125"/>
      <c r="JPR177" s="125"/>
      <c r="JPS177" s="125"/>
      <c r="JPT177" s="125"/>
      <c r="JPU177" s="125"/>
      <c r="JPV177" s="125"/>
      <c r="JPW177" s="125"/>
      <c r="JPX177" s="125"/>
      <c r="JPY177" s="125"/>
      <c r="JPZ177" s="125"/>
      <c r="JQA177" s="125"/>
      <c r="JQB177" s="125"/>
      <c r="JQC177" s="125"/>
      <c r="JQD177" s="125"/>
      <c r="JQE177" s="125"/>
      <c r="JQF177" s="125"/>
      <c r="JQG177" s="125"/>
      <c r="JQH177" s="125"/>
      <c r="JQI177" s="125"/>
      <c r="JQJ177" s="125"/>
      <c r="JQK177" s="125"/>
      <c r="JQL177" s="125"/>
      <c r="JQM177" s="125"/>
      <c r="JQN177" s="125"/>
      <c r="JQO177" s="125"/>
      <c r="JQP177" s="125"/>
      <c r="JQQ177" s="125"/>
      <c r="JQR177" s="125"/>
      <c r="JQS177" s="125"/>
      <c r="JQT177" s="125"/>
      <c r="JQU177" s="125"/>
      <c r="JQV177" s="125"/>
      <c r="JQW177" s="125"/>
      <c r="JQX177" s="125"/>
      <c r="JQY177" s="125"/>
      <c r="JQZ177" s="125"/>
      <c r="JRA177" s="125"/>
      <c r="JRB177" s="125"/>
      <c r="JRC177" s="125"/>
      <c r="JRD177" s="125"/>
      <c r="JRE177" s="125"/>
      <c r="JRF177" s="125"/>
      <c r="JRG177" s="125"/>
      <c r="JRH177" s="125"/>
      <c r="JRI177" s="125"/>
      <c r="JRJ177" s="125"/>
      <c r="JRK177" s="125"/>
      <c r="JRL177" s="125"/>
      <c r="JRM177" s="125"/>
      <c r="JRN177" s="125"/>
      <c r="JRO177" s="125"/>
      <c r="JRP177" s="125"/>
      <c r="JRQ177" s="125"/>
      <c r="JRR177" s="125"/>
      <c r="JRS177" s="125"/>
      <c r="JRT177" s="125"/>
      <c r="JRU177" s="125"/>
      <c r="JRV177" s="125"/>
      <c r="JRW177" s="125"/>
      <c r="JRX177" s="125"/>
      <c r="JRY177" s="125"/>
      <c r="JRZ177" s="125"/>
      <c r="JSA177" s="125"/>
      <c r="JSB177" s="125"/>
      <c r="JSC177" s="125"/>
      <c r="JSD177" s="125"/>
      <c r="JSE177" s="125"/>
      <c r="JSF177" s="125"/>
      <c r="JSG177" s="125"/>
      <c r="JSH177" s="125"/>
      <c r="JSI177" s="125"/>
      <c r="JSJ177" s="125"/>
      <c r="JSK177" s="125"/>
      <c r="JSL177" s="125"/>
      <c r="JSM177" s="125"/>
      <c r="JSN177" s="125"/>
      <c r="JSO177" s="125"/>
      <c r="JSP177" s="125"/>
      <c r="JSQ177" s="125"/>
      <c r="JSR177" s="125"/>
      <c r="JSS177" s="125"/>
      <c r="JST177" s="125"/>
      <c r="JSU177" s="125"/>
      <c r="JSV177" s="125"/>
      <c r="JSW177" s="125"/>
      <c r="JSX177" s="125"/>
      <c r="JSY177" s="125"/>
      <c r="JSZ177" s="125"/>
      <c r="JTA177" s="125"/>
      <c r="JTB177" s="125"/>
      <c r="JTC177" s="125"/>
      <c r="JTD177" s="125"/>
      <c r="JTE177" s="125"/>
      <c r="JTF177" s="125"/>
      <c r="JTG177" s="125"/>
      <c r="JTH177" s="125"/>
      <c r="JTI177" s="125"/>
      <c r="JTJ177" s="125"/>
      <c r="JTK177" s="125"/>
      <c r="JTL177" s="125"/>
      <c r="JTM177" s="125"/>
      <c r="JTN177" s="125"/>
      <c r="JTO177" s="125"/>
      <c r="JTP177" s="125"/>
      <c r="JTQ177" s="125"/>
      <c r="JTR177" s="125"/>
      <c r="JTS177" s="125"/>
      <c r="JTT177" s="125"/>
      <c r="JTU177" s="125"/>
      <c r="JTV177" s="125"/>
      <c r="JTW177" s="125"/>
      <c r="JTX177" s="125"/>
      <c r="JTY177" s="125"/>
      <c r="JTZ177" s="125"/>
      <c r="JUA177" s="125"/>
      <c r="JUB177" s="125"/>
      <c r="JUC177" s="125"/>
      <c r="JUD177" s="125"/>
      <c r="JUE177" s="125"/>
      <c r="JUF177" s="125"/>
      <c r="JUG177" s="125"/>
      <c r="JUH177" s="125"/>
      <c r="JUI177" s="125"/>
      <c r="JUJ177" s="125"/>
      <c r="JUK177" s="125"/>
      <c r="JUL177" s="125"/>
      <c r="JUM177" s="125"/>
      <c r="JUN177" s="125"/>
      <c r="JUO177" s="125"/>
      <c r="JUP177" s="125"/>
      <c r="JUQ177" s="125"/>
      <c r="JUR177" s="125"/>
      <c r="JUS177" s="125"/>
      <c r="JUT177" s="125"/>
      <c r="JUU177" s="125"/>
      <c r="JUV177" s="125"/>
      <c r="JUW177" s="125"/>
      <c r="JUX177" s="125"/>
      <c r="JUY177" s="125"/>
      <c r="JUZ177" s="125"/>
      <c r="JVA177" s="125"/>
      <c r="JVB177" s="125"/>
      <c r="JVC177" s="125"/>
      <c r="JVD177" s="125"/>
      <c r="JVE177" s="125"/>
      <c r="JVF177" s="125"/>
      <c r="JVG177" s="125"/>
      <c r="JVH177" s="125"/>
      <c r="JVI177" s="125"/>
      <c r="JVJ177" s="125"/>
      <c r="JVK177" s="125"/>
      <c r="JVL177" s="125"/>
      <c r="JVM177" s="125"/>
      <c r="JVN177" s="125"/>
      <c r="JVO177" s="125"/>
      <c r="JVP177" s="125"/>
      <c r="JVQ177" s="125"/>
      <c r="JVR177" s="125"/>
      <c r="JVS177" s="125"/>
      <c r="JVT177" s="125"/>
      <c r="JVU177" s="125"/>
      <c r="JVV177" s="125"/>
      <c r="JVW177" s="125"/>
      <c r="JVX177" s="125"/>
      <c r="JVY177" s="125"/>
      <c r="JVZ177" s="125"/>
      <c r="JWA177" s="125"/>
      <c r="JWB177" s="125"/>
      <c r="JWC177" s="125"/>
      <c r="JWD177" s="125"/>
      <c r="JWE177" s="125"/>
      <c r="JWF177" s="125"/>
      <c r="JWG177" s="125"/>
      <c r="JWH177" s="125"/>
      <c r="JWI177" s="125"/>
      <c r="JWJ177" s="125"/>
      <c r="JWK177" s="125"/>
      <c r="JWL177" s="125"/>
      <c r="JWM177" s="125"/>
      <c r="JWN177" s="125"/>
      <c r="JWO177" s="125"/>
      <c r="JWP177" s="125"/>
      <c r="JWQ177" s="125"/>
      <c r="JWR177" s="125"/>
      <c r="JWS177" s="125"/>
      <c r="JWT177" s="125"/>
      <c r="JWU177" s="125"/>
      <c r="JWV177" s="125"/>
      <c r="JWW177" s="125"/>
      <c r="JWX177" s="125"/>
      <c r="JWY177" s="125"/>
      <c r="JWZ177" s="125"/>
      <c r="JXA177" s="125"/>
      <c r="JXB177" s="125"/>
      <c r="JXC177" s="125"/>
      <c r="JXD177" s="125"/>
      <c r="JXE177" s="125"/>
      <c r="JXF177" s="125"/>
      <c r="JXG177" s="125"/>
      <c r="JXH177" s="125"/>
      <c r="JXI177" s="125"/>
      <c r="JXJ177" s="125"/>
      <c r="JXK177" s="125"/>
      <c r="JXL177" s="125"/>
      <c r="JXM177" s="125"/>
      <c r="JXN177" s="125"/>
      <c r="JXO177" s="125"/>
      <c r="JXP177" s="125"/>
      <c r="JXQ177" s="125"/>
      <c r="JXR177" s="125"/>
      <c r="JXS177" s="125"/>
      <c r="JXT177" s="125"/>
      <c r="JXU177" s="125"/>
      <c r="JXV177" s="125"/>
      <c r="JXW177" s="125"/>
      <c r="JXX177" s="125"/>
      <c r="JXY177" s="125"/>
      <c r="JXZ177" s="125"/>
      <c r="JYA177" s="125"/>
      <c r="JYB177" s="125"/>
      <c r="JYC177" s="125"/>
      <c r="JYD177" s="125"/>
      <c r="JYE177" s="125"/>
      <c r="JYF177" s="125"/>
      <c r="JYG177" s="125"/>
      <c r="JYH177" s="125"/>
      <c r="JYI177" s="125"/>
      <c r="JYJ177" s="125"/>
      <c r="JYK177" s="125"/>
      <c r="JYL177" s="125"/>
      <c r="JYM177" s="125"/>
      <c r="JYN177" s="125"/>
      <c r="JYO177" s="125"/>
      <c r="JYP177" s="125"/>
      <c r="JYQ177" s="125"/>
      <c r="JYR177" s="125"/>
      <c r="JYS177" s="125"/>
      <c r="JYT177" s="125"/>
      <c r="JYU177" s="125"/>
      <c r="JYV177" s="125"/>
      <c r="JYW177" s="125"/>
      <c r="JYX177" s="125"/>
      <c r="JYY177" s="125"/>
      <c r="JYZ177" s="125"/>
      <c r="JZA177" s="125"/>
      <c r="JZB177" s="125"/>
      <c r="JZC177" s="125"/>
      <c r="JZD177" s="125"/>
      <c r="JZE177" s="125"/>
      <c r="JZF177" s="125"/>
      <c r="JZG177" s="125"/>
      <c r="JZH177" s="125"/>
      <c r="JZI177" s="125"/>
      <c r="JZJ177" s="125"/>
      <c r="JZK177" s="125"/>
      <c r="JZL177" s="125"/>
      <c r="JZM177" s="125"/>
      <c r="JZN177" s="125"/>
      <c r="JZO177" s="125"/>
      <c r="JZP177" s="125"/>
      <c r="JZQ177" s="125"/>
      <c r="JZR177" s="125"/>
      <c r="JZS177" s="125"/>
      <c r="JZT177" s="125"/>
      <c r="JZU177" s="125"/>
      <c r="JZV177" s="125"/>
      <c r="JZW177" s="125"/>
      <c r="JZX177" s="125"/>
      <c r="JZY177" s="125"/>
      <c r="JZZ177" s="125"/>
      <c r="KAA177" s="125"/>
      <c r="KAB177" s="125"/>
      <c r="KAC177" s="125"/>
      <c r="KAD177" s="125"/>
      <c r="KAE177" s="125"/>
      <c r="KAF177" s="125"/>
      <c r="KAG177" s="125"/>
      <c r="KAH177" s="125"/>
      <c r="KAI177" s="125"/>
      <c r="KAJ177" s="125"/>
      <c r="KAK177" s="125"/>
      <c r="KAL177" s="125"/>
      <c r="KAM177" s="125"/>
      <c r="KAN177" s="125"/>
      <c r="KAO177" s="125"/>
      <c r="KAP177" s="125"/>
      <c r="KAQ177" s="125"/>
      <c r="KAR177" s="125"/>
      <c r="KAS177" s="125"/>
      <c r="KAT177" s="125"/>
      <c r="KAU177" s="125"/>
      <c r="KAV177" s="125"/>
      <c r="KAW177" s="125"/>
      <c r="KAX177" s="125"/>
      <c r="KAY177" s="125"/>
      <c r="KAZ177" s="125"/>
      <c r="KBA177" s="125"/>
      <c r="KBB177" s="125"/>
      <c r="KBC177" s="125"/>
      <c r="KBD177" s="125"/>
      <c r="KBE177" s="125"/>
      <c r="KBF177" s="125"/>
      <c r="KBG177" s="125"/>
      <c r="KBH177" s="125"/>
      <c r="KBI177" s="125"/>
      <c r="KBJ177" s="125"/>
      <c r="KBK177" s="125"/>
      <c r="KBL177" s="125"/>
      <c r="KBM177" s="125"/>
      <c r="KBN177" s="125"/>
      <c r="KBO177" s="125"/>
      <c r="KBP177" s="125"/>
      <c r="KBQ177" s="125"/>
      <c r="KBR177" s="125"/>
      <c r="KBS177" s="125"/>
      <c r="KBT177" s="125"/>
      <c r="KBU177" s="125"/>
      <c r="KBV177" s="125"/>
      <c r="KBW177" s="125"/>
      <c r="KBX177" s="125"/>
      <c r="KBY177" s="125"/>
      <c r="KBZ177" s="125"/>
      <c r="KCA177" s="125"/>
      <c r="KCB177" s="125"/>
      <c r="KCC177" s="125"/>
      <c r="KCD177" s="125"/>
      <c r="KCE177" s="125"/>
      <c r="KCF177" s="125"/>
      <c r="KCG177" s="125"/>
      <c r="KCH177" s="125"/>
      <c r="KCI177" s="125"/>
      <c r="KCJ177" s="125"/>
      <c r="KCK177" s="125"/>
      <c r="KCL177" s="125"/>
      <c r="KCM177" s="125"/>
      <c r="KCN177" s="125"/>
      <c r="KCO177" s="125"/>
      <c r="KCP177" s="125"/>
      <c r="KCQ177" s="125"/>
      <c r="KCR177" s="125"/>
      <c r="KCS177" s="125"/>
      <c r="KCT177" s="125"/>
      <c r="KCU177" s="125"/>
      <c r="KCV177" s="125"/>
      <c r="KCW177" s="125"/>
      <c r="KCX177" s="125"/>
      <c r="KCY177" s="125"/>
      <c r="KCZ177" s="125"/>
      <c r="KDA177" s="125"/>
      <c r="KDB177" s="125"/>
      <c r="KDC177" s="125"/>
      <c r="KDD177" s="125"/>
      <c r="KDE177" s="125"/>
      <c r="KDF177" s="125"/>
      <c r="KDG177" s="125"/>
      <c r="KDH177" s="125"/>
      <c r="KDI177" s="125"/>
      <c r="KDJ177" s="125"/>
      <c r="KDK177" s="125"/>
      <c r="KDL177" s="125"/>
      <c r="KDM177" s="125"/>
      <c r="KDN177" s="125"/>
      <c r="KDO177" s="125"/>
      <c r="KDP177" s="125"/>
      <c r="KDQ177" s="125"/>
      <c r="KDR177" s="125"/>
      <c r="KDS177" s="125"/>
      <c r="KDT177" s="125"/>
      <c r="KDU177" s="125"/>
      <c r="KDV177" s="125"/>
      <c r="KDW177" s="125"/>
      <c r="KDX177" s="125"/>
      <c r="KDY177" s="125"/>
      <c r="KDZ177" s="125"/>
      <c r="KEA177" s="125"/>
      <c r="KEB177" s="125"/>
      <c r="KEC177" s="125"/>
      <c r="KED177" s="125"/>
      <c r="KEE177" s="125"/>
      <c r="KEF177" s="125"/>
      <c r="KEG177" s="125"/>
      <c r="KEH177" s="125"/>
      <c r="KEI177" s="125"/>
      <c r="KEJ177" s="125"/>
      <c r="KEK177" s="125"/>
      <c r="KEL177" s="125"/>
      <c r="KEM177" s="125"/>
      <c r="KEN177" s="125"/>
      <c r="KEO177" s="125"/>
      <c r="KEP177" s="125"/>
      <c r="KEQ177" s="125"/>
      <c r="KER177" s="125"/>
      <c r="KES177" s="125"/>
      <c r="KET177" s="125"/>
      <c r="KEU177" s="125"/>
      <c r="KEV177" s="125"/>
      <c r="KEW177" s="125"/>
      <c r="KEX177" s="125"/>
      <c r="KEY177" s="125"/>
      <c r="KEZ177" s="125"/>
      <c r="KFA177" s="125"/>
      <c r="KFB177" s="125"/>
      <c r="KFC177" s="125"/>
      <c r="KFD177" s="125"/>
      <c r="KFE177" s="125"/>
      <c r="KFF177" s="125"/>
      <c r="KFG177" s="125"/>
      <c r="KFH177" s="125"/>
      <c r="KFI177" s="125"/>
      <c r="KFJ177" s="125"/>
      <c r="KFK177" s="125"/>
      <c r="KFL177" s="125"/>
      <c r="KFM177" s="125"/>
      <c r="KFN177" s="125"/>
      <c r="KFO177" s="125"/>
      <c r="KFP177" s="125"/>
      <c r="KFQ177" s="125"/>
      <c r="KFR177" s="125"/>
      <c r="KFS177" s="125"/>
      <c r="KFT177" s="125"/>
      <c r="KFU177" s="125"/>
      <c r="KFV177" s="125"/>
      <c r="KFW177" s="125"/>
      <c r="KFX177" s="125"/>
      <c r="KFY177" s="125"/>
      <c r="KFZ177" s="125"/>
      <c r="KGA177" s="125"/>
      <c r="KGB177" s="125"/>
      <c r="KGC177" s="125"/>
      <c r="KGD177" s="125"/>
      <c r="KGE177" s="125"/>
      <c r="KGF177" s="125"/>
      <c r="KGG177" s="125"/>
      <c r="KGH177" s="125"/>
      <c r="KGI177" s="125"/>
      <c r="KGJ177" s="125"/>
      <c r="KGK177" s="125"/>
      <c r="KGL177" s="125"/>
      <c r="KGM177" s="125"/>
      <c r="KGN177" s="125"/>
      <c r="KGO177" s="125"/>
      <c r="KGP177" s="125"/>
      <c r="KGQ177" s="125"/>
      <c r="KGR177" s="125"/>
      <c r="KGS177" s="125"/>
      <c r="KGT177" s="125"/>
      <c r="KGU177" s="125"/>
      <c r="KGV177" s="125"/>
      <c r="KGW177" s="125"/>
      <c r="KGX177" s="125"/>
      <c r="KGY177" s="125"/>
      <c r="KGZ177" s="125"/>
      <c r="KHA177" s="125"/>
      <c r="KHB177" s="125"/>
      <c r="KHC177" s="125"/>
      <c r="KHD177" s="125"/>
      <c r="KHE177" s="125"/>
      <c r="KHF177" s="125"/>
      <c r="KHG177" s="125"/>
      <c r="KHH177" s="125"/>
      <c r="KHI177" s="125"/>
      <c r="KHJ177" s="125"/>
      <c r="KHK177" s="125"/>
      <c r="KHL177" s="125"/>
      <c r="KHM177" s="125"/>
      <c r="KHN177" s="125"/>
      <c r="KHO177" s="125"/>
      <c r="KHP177" s="125"/>
      <c r="KHQ177" s="125"/>
      <c r="KHR177" s="125"/>
      <c r="KHS177" s="125"/>
      <c r="KHT177" s="125"/>
      <c r="KHU177" s="125"/>
      <c r="KHV177" s="125"/>
      <c r="KHW177" s="125"/>
      <c r="KHX177" s="125"/>
      <c r="KHY177" s="125"/>
      <c r="KHZ177" s="125"/>
      <c r="KIA177" s="125"/>
      <c r="KIB177" s="125"/>
      <c r="KIC177" s="125"/>
      <c r="KID177" s="125"/>
      <c r="KIE177" s="125"/>
      <c r="KIF177" s="125"/>
      <c r="KIG177" s="125"/>
      <c r="KIH177" s="125"/>
      <c r="KII177" s="125"/>
      <c r="KIJ177" s="125"/>
      <c r="KIK177" s="125"/>
      <c r="KIL177" s="125"/>
      <c r="KIM177" s="125"/>
      <c r="KIN177" s="125"/>
      <c r="KIO177" s="125"/>
      <c r="KIP177" s="125"/>
      <c r="KIQ177" s="125"/>
      <c r="KIR177" s="125"/>
      <c r="KIS177" s="125"/>
      <c r="KIT177" s="125"/>
      <c r="KIU177" s="125"/>
      <c r="KIV177" s="125"/>
      <c r="KIW177" s="125"/>
      <c r="KIX177" s="125"/>
      <c r="KIY177" s="125"/>
      <c r="KIZ177" s="125"/>
      <c r="KJA177" s="125"/>
      <c r="KJB177" s="125"/>
      <c r="KJC177" s="125"/>
      <c r="KJD177" s="125"/>
      <c r="KJE177" s="125"/>
      <c r="KJF177" s="125"/>
      <c r="KJG177" s="125"/>
      <c r="KJH177" s="125"/>
      <c r="KJI177" s="125"/>
      <c r="KJJ177" s="125"/>
      <c r="KJK177" s="125"/>
      <c r="KJL177" s="125"/>
      <c r="KJM177" s="125"/>
      <c r="KJN177" s="125"/>
      <c r="KJO177" s="125"/>
      <c r="KJP177" s="125"/>
      <c r="KJQ177" s="125"/>
      <c r="KJR177" s="125"/>
      <c r="KJS177" s="125"/>
      <c r="KJT177" s="125"/>
      <c r="KJU177" s="125"/>
      <c r="KJV177" s="125"/>
      <c r="KJW177" s="125"/>
      <c r="KJX177" s="125"/>
      <c r="KJY177" s="125"/>
      <c r="KJZ177" s="125"/>
      <c r="KKA177" s="125"/>
      <c r="KKB177" s="125"/>
      <c r="KKC177" s="125"/>
      <c r="KKD177" s="125"/>
      <c r="KKE177" s="125"/>
      <c r="KKF177" s="125"/>
      <c r="KKG177" s="125"/>
      <c r="KKH177" s="125"/>
      <c r="KKI177" s="125"/>
      <c r="KKJ177" s="125"/>
      <c r="KKK177" s="125"/>
      <c r="KKL177" s="125"/>
      <c r="KKM177" s="125"/>
      <c r="KKN177" s="125"/>
      <c r="KKO177" s="125"/>
      <c r="KKP177" s="125"/>
      <c r="KKQ177" s="125"/>
      <c r="KKR177" s="125"/>
      <c r="KKS177" s="125"/>
      <c r="KKT177" s="125"/>
      <c r="KKU177" s="125"/>
      <c r="KKV177" s="125"/>
      <c r="KKW177" s="125"/>
      <c r="KKX177" s="125"/>
      <c r="KKY177" s="125"/>
      <c r="KKZ177" s="125"/>
      <c r="KLA177" s="125"/>
      <c r="KLB177" s="125"/>
      <c r="KLC177" s="125"/>
      <c r="KLD177" s="125"/>
      <c r="KLE177" s="125"/>
      <c r="KLF177" s="125"/>
      <c r="KLG177" s="125"/>
      <c r="KLH177" s="125"/>
      <c r="KLI177" s="125"/>
      <c r="KLJ177" s="125"/>
      <c r="KLK177" s="125"/>
      <c r="KLL177" s="125"/>
      <c r="KLM177" s="125"/>
      <c r="KLN177" s="125"/>
      <c r="KLO177" s="125"/>
      <c r="KLP177" s="125"/>
      <c r="KLQ177" s="125"/>
      <c r="KLR177" s="125"/>
      <c r="KLS177" s="125"/>
      <c r="KLT177" s="125"/>
      <c r="KLU177" s="125"/>
      <c r="KLV177" s="125"/>
      <c r="KLW177" s="125"/>
      <c r="KLX177" s="125"/>
      <c r="KLY177" s="125"/>
      <c r="KLZ177" s="125"/>
      <c r="KMA177" s="125"/>
      <c r="KMB177" s="125"/>
      <c r="KMC177" s="125"/>
      <c r="KMD177" s="125"/>
      <c r="KME177" s="125"/>
      <c r="KMF177" s="125"/>
      <c r="KMG177" s="125"/>
      <c r="KMH177" s="125"/>
      <c r="KMI177" s="125"/>
      <c r="KMJ177" s="125"/>
      <c r="KMK177" s="125"/>
      <c r="KML177" s="125"/>
      <c r="KMM177" s="125"/>
      <c r="KMN177" s="125"/>
      <c r="KMO177" s="125"/>
      <c r="KMP177" s="125"/>
      <c r="KMQ177" s="125"/>
      <c r="KMR177" s="125"/>
      <c r="KMS177" s="125"/>
      <c r="KMT177" s="125"/>
      <c r="KMU177" s="125"/>
      <c r="KMV177" s="125"/>
      <c r="KMW177" s="125"/>
      <c r="KMX177" s="125"/>
      <c r="KMY177" s="125"/>
      <c r="KMZ177" s="125"/>
      <c r="KNA177" s="125"/>
      <c r="KNB177" s="125"/>
      <c r="KNC177" s="125"/>
      <c r="KND177" s="125"/>
      <c r="KNE177" s="125"/>
      <c r="KNF177" s="125"/>
      <c r="KNG177" s="125"/>
      <c r="KNH177" s="125"/>
      <c r="KNI177" s="125"/>
      <c r="KNJ177" s="125"/>
      <c r="KNK177" s="125"/>
      <c r="KNL177" s="125"/>
      <c r="KNM177" s="125"/>
      <c r="KNN177" s="125"/>
      <c r="KNO177" s="125"/>
      <c r="KNP177" s="125"/>
      <c r="KNQ177" s="125"/>
      <c r="KNR177" s="125"/>
      <c r="KNS177" s="125"/>
      <c r="KNT177" s="125"/>
      <c r="KNU177" s="125"/>
      <c r="KNV177" s="125"/>
      <c r="KNW177" s="125"/>
      <c r="KNX177" s="125"/>
      <c r="KNY177" s="125"/>
      <c r="KNZ177" s="125"/>
      <c r="KOA177" s="125"/>
      <c r="KOB177" s="125"/>
      <c r="KOC177" s="125"/>
      <c r="KOD177" s="125"/>
      <c r="KOE177" s="125"/>
      <c r="KOF177" s="125"/>
      <c r="KOG177" s="125"/>
      <c r="KOH177" s="125"/>
      <c r="KOI177" s="125"/>
      <c r="KOJ177" s="125"/>
      <c r="KOK177" s="125"/>
      <c r="KOL177" s="125"/>
      <c r="KOM177" s="125"/>
      <c r="KON177" s="125"/>
      <c r="KOO177" s="125"/>
      <c r="KOP177" s="125"/>
      <c r="KOQ177" s="125"/>
      <c r="KOR177" s="125"/>
      <c r="KOS177" s="125"/>
      <c r="KOT177" s="125"/>
      <c r="KOU177" s="125"/>
      <c r="KOV177" s="125"/>
      <c r="KOW177" s="125"/>
      <c r="KOX177" s="125"/>
      <c r="KOY177" s="125"/>
      <c r="KOZ177" s="125"/>
      <c r="KPA177" s="125"/>
      <c r="KPB177" s="125"/>
      <c r="KPC177" s="125"/>
      <c r="KPD177" s="125"/>
      <c r="KPE177" s="125"/>
      <c r="KPF177" s="125"/>
      <c r="KPG177" s="125"/>
      <c r="KPH177" s="125"/>
      <c r="KPI177" s="125"/>
      <c r="KPJ177" s="125"/>
      <c r="KPK177" s="125"/>
      <c r="KPL177" s="125"/>
      <c r="KPM177" s="125"/>
      <c r="KPN177" s="125"/>
      <c r="KPO177" s="125"/>
      <c r="KPP177" s="125"/>
      <c r="KPQ177" s="125"/>
      <c r="KPR177" s="125"/>
      <c r="KPS177" s="125"/>
      <c r="KPT177" s="125"/>
      <c r="KPU177" s="125"/>
      <c r="KPV177" s="125"/>
      <c r="KPW177" s="125"/>
      <c r="KPX177" s="125"/>
      <c r="KPY177" s="125"/>
      <c r="KPZ177" s="125"/>
      <c r="KQA177" s="125"/>
      <c r="KQB177" s="125"/>
      <c r="KQC177" s="125"/>
      <c r="KQD177" s="125"/>
      <c r="KQE177" s="125"/>
      <c r="KQF177" s="125"/>
      <c r="KQG177" s="125"/>
      <c r="KQH177" s="125"/>
      <c r="KQI177" s="125"/>
      <c r="KQJ177" s="125"/>
      <c r="KQK177" s="125"/>
      <c r="KQL177" s="125"/>
      <c r="KQM177" s="125"/>
      <c r="KQN177" s="125"/>
      <c r="KQO177" s="125"/>
      <c r="KQP177" s="125"/>
      <c r="KQQ177" s="125"/>
      <c r="KQR177" s="125"/>
      <c r="KQS177" s="125"/>
      <c r="KQT177" s="125"/>
      <c r="KQU177" s="125"/>
      <c r="KQV177" s="125"/>
      <c r="KQW177" s="125"/>
      <c r="KQX177" s="125"/>
      <c r="KQY177" s="125"/>
      <c r="KQZ177" s="125"/>
      <c r="KRA177" s="125"/>
      <c r="KRB177" s="125"/>
      <c r="KRC177" s="125"/>
      <c r="KRD177" s="125"/>
      <c r="KRE177" s="125"/>
      <c r="KRF177" s="125"/>
      <c r="KRG177" s="125"/>
      <c r="KRH177" s="125"/>
      <c r="KRI177" s="125"/>
      <c r="KRJ177" s="125"/>
      <c r="KRK177" s="125"/>
      <c r="KRL177" s="125"/>
      <c r="KRM177" s="125"/>
      <c r="KRN177" s="125"/>
      <c r="KRO177" s="125"/>
      <c r="KRP177" s="125"/>
      <c r="KRQ177" s="125"/>
      <c r="KRR177" s="125"/>
      <c r="KRS177" s="125"/>
      <c r="KRT177" s="125"/>
      <c r="KRU177" s="125"/>
      <c r="KRV177" s="125"/>
      <c r="KRW177" s="125"/>
      <c r="KRX177" s="125"/>
      <c r="KRY177" s="125"/>
      <c r="KRZ177" s="125"/>
      <c r="KSA177" s="125"/>
      <c r="KSB177" s="125"/>
      <c r="KSC177" s="125"/>
      <c r="KSD177" s="125"/>
      <c r="KSE177" s="125"/>
      <c r="KSF177" s="125"/>
      <c r="KSG177" s="125"/>
      <c r="KSH177" s="125"/>
      <c r="KSI177" s="125"/>
      <c r="KSJ177" s="125"/>
      <c r="KSK177" s="125"/>
      <c r="KSL177" s="125"/>
      <c r="KSM177" s="125"/>
      <c r="KSN177" s="125"/>
      <c r="KSO177" s="125"/>
      <c r="KSP177" s="125"/>
      <c r="KSQ177" s="125"/>
      <c r="KSR177" s="125"/>
      <c r="KSS177" s="125"/>
      <c r="KST177" s="125"/>
      <c r="KSU177" s="125"/>
      <c r="KSV177" s="125"/>
      <c r="KSW177" s="125"/>
      <c r="KSX177" s="125"/>
      <c r="KSY177" s="125"/>
      <c r="KSZ177" s="125"/>
      <c r="KTA177" s="125"/>
      <c r="KTB177" s="125"/>
      <c r="KTC177" s="125"/>
      <c r="KTD177" s="125"/>
      <c r="KTE177" s="125"/>
      <c r="KTF177" s="125"/>
      <c r="KTG177" s="125"/>
      <c r="KTH177" s="125"/>
      <c r="KTI177" s="125"/>
      <c r="KTJ177" s="125"/>
      <c r="KTK177" s="125"/>
      <c r="KTL177" s="125"/>
      <c r="KTM177" s="125"/>
      <c r="KTN177" s="125"/>
      <c r="KTO177" s="125"/>
      <c r="KTP177" s="125"/>
      <c r="KTQ177" s="125"/>
      <c r="KTR177" s="125"/>
      <c r="KTS177" s="125"/>
      <c r="KTT177" s="125"/>
      <c r="KTU177" s="125"/>
      <c r="KTV177" s="125"/>
      <c r="KTW177" s="125"/>
      <c r="KTX177" s="125"/>
      <c r="KTY177" s="125"/>
      <c r="KTZ177" s="125"/>
      <c r="KUA177" s="125"/>
      <c r="KUB177" s="125"/>
      <c r="KUC177" s="125"/>
      <c r="KUD177" s="125"/>
      <c r="KUE177" s="125"/>
      <c r="KUF177" s="125"/>
      <c r="KUG177" s="125"/>
      <c r="KUH177" s="125"/>
      <c r="KUI177" s="125"/>
      <c r="KUJ177" s="125"/>
      <c r="KUK177" s="125"/>
      <c r="KUL177" s="125"/>
      <c r="KUM177" s="125"/>
      <c r="KUN177" s="125"/>
      <c r="KUO177" s="125"/>
      <c r="KUP177" s="125"/>
      <c r="KUQ177" s="125"/>
      <c r="KUR177" s="125"/>
      <c r="KUS177" s="125"/>
      <c r="KUT177" s="125"/>
      <c r="KUU177" s="125"/>
      <c r="KUV177" s="125"/>
      <c r="KUW177" s="125"/>
      <c r="KUX177" s="125"/>
      <c r="KUY177" s="125"/>
      <c r="KUZ177" s="125"/>
      <c r="KVA177" s="125"/>
      <c r="KVB177" s="125"/>
      <c r="KVC177" s="125"/>
      <c r="KVD177" s="125"/>
      <c r="KVE177" s="125"/>
      <c r="KVF177" s="125"/>
      <c r="KVG177" s="125"/>
      <c r="KVH177" s="125"/>
      <c r="KVI177" s="125"/>
      <c r="KVJ177" s="125"/>
      <c r="KVK177" s="125"/>
      <c r="KVL177" s="125"/>
      <c r="KVM177" s="125"/>
      <c r="KVN177" s="125"/>
      <c r="KVO177" s="125"/>
      <c r="KVP177" s="125"/>
      <c r="KVQ177" s="125"/>
      <c r="KVR177" s="125"/>
      <c r="KVS177" s="125"/>
      <c r="KVT177" s="125"/>
      <c r="KVU177" s="125"/>
      <c r="KVV177" s="125"/>
      <c r="KVW177" s="125"/>
      <c r="KVX177" s="125"/>
      <c r="KVY177" s="125"/>
      <c r="KVZ177" s="125"/>
      <c r="KWA177" s="125"/>
      <c r="KWB177" s="125"/>
      <c r="KWC177" s="125"/>
      <c r="KWD177" s="125"/>
      <c r="KWE177" s="125"/>
      <c r="KWF177" s="125"/>
      <c r="KWG177" s="125"/>
      <c r="KWH177" s="125"/>
      <c r="KWI177" s="125"/>
      <c r="KWJ177" s="125"/>
      <c r="KWK177" s="125"/>
      <c r="KWL177" s="125"/>
      <c r="KWM177" s="125"/>
      <c r="KWN177" s="125"/>
      <c r="KWO177" s="125"/>
      <c r="KWP177" s="125"/>
      <c r="KWQ177" s="125"/>
      <c r="KWR177" s="125"/>
      <c r="KWS177" s="125"/>
      <c r="KWT177" s="125"/>
      <c r="KWU177" s="125"/>
      <c r="KWV177" s="125"/>
      <c r="KWW177" s="125"/>
      <c r="KWX177" s="125"/>
      <c r="KWY177" s="125"/>
      <c r="KWZ177" s="125"/>
      <c r="KXA177" s="125"/>
      <c r="KXB177" s="125"/>
      <c r="KXC177" s="125"/>
      <c r="KXD177" s="125"/>
      <c r="KXE177" s="125"/>
      <c r="KXF177" s="125"/>
      <c r="KXG177" s="125"/>
      <c r="KXH177" s="125"/>
      <c r="KXI177" s="125"/>
      <c r="KXJ177" s="125"/>
      <c r="KXK177" s="125"/>
      <c r="KXL177" s="125"/>
      <c r="KXM177" s="125"/>
      <c r="KXN177" s="125"/>
      <c r="KXO177" s="125"/>
      <c r="KXP177" s="125"/>
      <c r="KXQ177" s="125"/>
      <c r="KXR177" s="125"/>
      <c r="KXS177" s="125"/>
      <c r="KXT177" s="125"/>
      <c r="KXU177" s="125"/>
      <c r="KXV177" s="125"/>
      <c r="KXW177" s="125"/>
      <c r="KXX177" s="125"/>
      <c r="KXY177" s="125"/>
      <c r="KXZ177" s="125"/>
      <c r="KYA177" s="125"/>
      <c r="KYB177" s="125"/>
      <c r="KYC177" s="125"/>
      <c r="KYD177" s="125"/>
      <c r="KYE177" s="125"/>
      <c r="KYF177" s="125"/>
      <c r="KYG177" s="125"/>
      <c r="KYH177" s="125"/>
      <c r="KYI177" s="125"/>
      <c r="KYJ177" s="125"/>
      <c r="KYK177" s="125"/>
      <c r="KYL177" s="125"/>
      <c r="KYM177" s="125"/>
      <c r="KYN177" s="125"/>
      <c r="KYO177" s="125"/>
      <c r="KYP177" s="125"/>
      <c r="KYQ177" s="125"/>
      <c r="KYR177" s="125"/>
      <c r="KYS177" s="125"/>
      <c r="KYT177" s="125"/>
      <c r="KYU177" s="125"/>
      <c r="KYV177" s="125"/>
      <c r="KYW177" s="125"/>
      <c r="KYX177" s="125"/>
      <c r="KYY177" s="125"/>
      <c r="KYZ177" s="125"/>
      <c r="KZA177" s="125"/>
      <c r="KZB177" s="125"/>
      <c r="KZC177" s="125"/>
      <c r="KZD177" s="125"/>
      <c r="KZE177" s="125"/>
      <c r="KZF177" s="125"/>
      <c r="KZG177" s="125"/>
      <c r="KZH177" s="125"/>
      <c r="KZI177" s="125"/>
      <c r="KZJ177" s="125"/>
      <c r="KZK177" s="125"/>
      <c r="KZL177" s="125"/>
      <c r="KZM177" s="125"/>
      <c r="KZN177" s="125"/>
      <c r="KZO177" s="125"/>
      <c r="KZP177" s="125"/>
      <c r="KZQ177" s="125"/>
      <c r="KZR177" s="125"/>
      <c r="KZS177" s="125"/>
      <c r="KZT177" s="125"/>
      <c r="KZU177" s="125"/>
      <c r="KZV177" s="125"/>
      <c r="KZW177" s="125"/>
      <c r="KZX177" s="125"/>
      <c r="KZY177" s="125"/>
      <c r="KZZ177" s="125"/>
      <c r="LAA177" s="125"/>
      <c r="LAB177" s="125"/>
      <c r="LAC177" s="125"/>
      <c r="LAD177" s="125"/>
      <c r="LAE177" s="125"/>
      <c r="LAF177" s="125"/>
      <c r="LAG177" s="125"/>
      <c r="LAH177" s="125"/>
      <c r="LAI177" s="125"/>
      <c r="LAJ177" s="125"/>
      <c r="LAK177" s="125"/>
      <c r="LAL177" s="125"/>
      <c r="LAM177" s="125"/>
      <c r="LAN177" s="125"/>
      <c r="LAO177" s="125"/>
      <c r="LAP177" s="125"/>
      <c r="LAQ177" s="125"/>
      <c r="LAR177" s="125"/>
      <c r="LAS177" s="125"/>
      <c r="LAT177" s="125"/>
      <c r="LAU177" s="125"/>
      <c r="LAV177" s="125"/>
      <c r="LAW177" s="125"/>
      <c r="LAX177" s="125"/>
      <c r="LAY177" s="125"/>
      <c r="LAZ177" s="125"/>
      <c r="LBA177" s="125"/>
      <c r="LBB177" s="125"/>
      <c r="LBC177" s="125"/>
      <c r="LBD177" s="125"/>
      <c r="LBE177" s="125"/>
      <c r="LBF177" s="125"/>
      <c r="LBG177" s="125"/>
      <c r="LBH177" s="125"/>
      <c r="LBI177" s="125"/>
      <c r="LBJ177" s="125"/>
      <c r="LBK177" s="125"/>
      <c r="LBL177" s="125"/>
      <c r="LBM177" s="125"/>
      <c r="LBN177" s="125"/>
      <c r="LBO177" s="125"/>
      <c r="LBP177" s="125"/>
      <c r="LBQ177" s="125"/>
      <c r="LBR177" s="125"/>
      <c r="LBS177" s="125"/>
      <c r="LBT177" s="125"/>
      <c r="LBU177" s="125"/>
      <c r="LBV177" s="125"/>
      <c r="LBW177" s="125"/>
      <c r="LBX177" s="125"/>
      <c r="LBY177" s="125"/>
      <c r="LBZ177" s="125"/>
      <c r="LCA177" s="125"/>
      <c r="LCB177" s="125"/>
      <c r="LCC177" s="125"/>
      <c r="LCD177" s="125"/>
      <c r="LCE177" s="125"/>
      <c r="LCF177" s="125"/>
      <c r="LCG177" s="125"/>
      <c r="LCH177" s="125"/>
      <c r="LCI177" s="125"/>
      <c r="LCJ177" s="125"/>
      <c r="LCK177" s="125"/>
      <c r="LCL177" s="125"/>
      <c r="LCM177" s="125"/>
      <c r="LCN177" s="125"/>
      <c r="LCO177" s="125"/>
      <c r="LCP177" s="125"/>
      <c r="LCQ177" s="125"/>
      <c r="LCR177" s="125"/>
      <c r="LCS177" s="125"/>
      <c r="LCT177" s="125"/>
      <c r="LCU177" s="125"/>
      <c r="LCV177" s="125"/>
      <c r="LCW177" s="125"/>
      <c r="LCX177" s="125"/>
      <c r="LCY177" s="125"/>
      <c r="LCZ177" s="125"/>
      <c r="LDA177" s="125"/>
      <c r="LDB177" s="125"/>
      <c r="LDC177" s="125"/>
      <c r="LDD177" s="125"/>
      <c r="LDE177" s="125"/>
      <c r="LDF177" s="125"/>
      <c r="LDG177" s="125"/>
      <c r="LDH177" s="125"/>
      <c r="LDI177" s="125"/>
      <c r="LDJ177" s="125"/>
      <c r="LDK177" s="125"/>
      <c r="LDL177" s="125"/>
      <c r="LDM177" s="125"/>
      <c r="LDN177" s="125"/>
      <c r="LDO177" s="125"/>
      <c r="LDP177" s="125"/>
      <c r="LDQ177" s="125"/>
      <c r="LDR177" s="125"/>
      <c r="LDS177" s="125"/>
      <c r="LDT177" s="125"/>
      <c r="LDU177" s="125"/>
      <c r="LDV177" s="125"/>
      <c r="LDW177" s="125"/>
      <c r="LDX177" s="125"/>
      <c r="LDY177" s="125"/>
      <c r="LDZ177" s="125"/>
      <c r="LEA177" s="125"/>
      <c r="LEB177" s="125"/>
      <c r="LEC177" s="125"/>
      <c r="LED177" s="125"/>
      <c r="LEE177" s="125"/>
      <c r="LEF177" s="125"/>
      <c r="LEG177" s="125"/>
      <c r="LEH177" s="125"/>
      <c r="LEI177" s="125"/>
      <c r="LEJ177" s="125"/>
      <c r="LEK177" s="125"/>
      <c r="LEL177" s="125"/>
      <c r="LEM177" s="125"/>
      <c r="LEN177" s="125"/>
      <c r="LEO177" s="125"/>
      <c r="LEP177" s="125"/>
      <c r="LEQ177" s="125"/>
      <c r="LER177" s="125"/>
      <c r="LES177" s="125"/>
      <c r="LET177" s="125"/>
      <c r="LEU177" s="125"/>
      <c r="LEV177" s="125"/>
      <c r="LEW177" s="125"/>
      <c r="LEX177" s="125"/>
      <c r="LEY177" s="125"/>
      <c r="LEZ177" s="125"/>
      <c r="LFA177" s="125"/>
      <c r="LFB177" s="125"/>
      <c r="LFC177" s="125"/>
      <c r="LFD177" s="125"/>
      <c r="LFE177" s="125"/>
      <c r="LFF177" s="125"/>
      <c r="LFG177" s="125"/>
      <c r="LFH177" s="125"/>
      <c r="LFI177" s="125"/>
      <c r="LFJ177" s="125"/>
      <c r="LFK177" s="125"/>
      <c r="LFL177" s="125"/>
      <c r="LFM177" s="125"/>
      <c r="LFN177" s="125"/>
      <c r="LFO177" s="125"/>
      <c r="LFP177" s="125"/>
      <c r="LFQ177" s="125"/>
      <c r="LFR177" s="125"/>
      <c r="LFS177" s="125"/>
      <c r="LFT177" s="125"/>
      <c r="LFU177" s="125"/>
      <c r="LFV177" s="125"/>
      <c r="LFW177" s="125"/>
      <c r="LFX177" s="125"/>
      <c r="LFY177" s="125"/>
      <c r="LFZ177" s="125"/>
      <c r="LGA177" s="125"/>
      <c r="LGB177" s="125"/>
      <c r="LGC177" s="125"/>
      <c r="LGD177" s="125"/>
      <c r="LGE177" s="125"/>
      <c r="LGF177" s="125"/>
      <c r="LGG177" s="125"/>
      <c r="LGH177" s="125"/>
      <c r="LGI177" s="125"/>
      <c r="LGJ177" s="125"/>
      <c r="LGK177" s="125"/>
      <c r="LGL177" s="125"/>
      <c r="LGM177" s="125"/>
      <c r="LGN177" s="125"/>
      <c r="LGO177" s="125"/>
      <c r="LGP177" s="125"/>
      <c r="LGQ177" s="125"/>
      <c r="LGR177" s="125"/>
      <c r="LGS177" s="125"/>
      <c r="LGT177" s="125"/>
      <c r="LGU177" s="125"/>
      <c r="LGV177" s="125"/>
      <c r="LGW177" s="125"/>
      <c r="LGX177" s="125"/>
      <c r="LGY177" s="125"/>
      <c r="LGZ177" s="125"/>
      <c r="LHA177" s="125"/>
      <c r="LHB177" s="125"/>
      <c r="LHC177" s="125"/>
      <c r="LHD177" s="125"/>
      <c r="LHE177" s="125"/>
      <c r="LHF177" s="125"/>
      <c r="LHG177" s="125"/>
      <c r="LHH177" s="125"/>
      <c r="LHI177" s="125"/>
      <c r="LHJ177" s="125"/>
      <c r="LHK177" s="125"/>
      <c r="LHL177" s="125"/>
      <c r="LHM177" s="125"/>
      <c r="LHN177" s="125"/>
      <c r="LHO177" s="125"/>
      <c r="LHP177" s="125"/>
      <c r="LHQ177" s="125"/>
      <c r="LHR177" s="125"/>
      <c r="LHS177" s="125"/>
      <c r="LHT177" s="125"/>
      <c r="LHU177" s="125"/>
      <c r="LHV177" s="125"/>
      <c r="LHW177" s="125"/>
      <c r="LHX177" s="125"/>
      <c r="LHY177" s="125"/>
      <c r="LHZ177" s="125"/>
      <c r="LIA177" s="125"/>
      <c r="LIB177" s="125"/>
      <c r="LIC177" s="125"/>
      <c r="LID177" s="125"/>
      <c r="LIE177" s="125"/>
      <c r="LIF177" s="125"/>
      <c r="LIG177" s="125"/>
      <c r="LIH177" s="125"/>
      <c r="LII177" s="125"/>
      <c r="LIJ177" s="125"/>
      <c r="LIK177" s="125"/>
      <c r="LIL177" s="125"/>
      <c r="LIM177" s="125"/>
      <c r="LIN177" s="125"/>
      <c r="LIO177" s="125"/>
      <c r="LIP177" s="125"/>
      <c r="LIQ177" s="125"/>
      <c r="LIR177" s="125"/>
      <c r="LIS177" s="125"/>
      <c r="LIT177" s="125"/>
      <c r="LIU177" s="125"/>
      <c r="LIV177" s="125"/>
      <c r="LIW177" s="125"/>
      <c r="LIX177" s="125"/>
      <c r="LIY177" s="125"/>
      <c r="LIZ177" s="125"/>
      <c r="LJA177" s="125"/>
      <c r="LJB177" s="125"/>
      <c r="LJC177" s="125"/>
      <c r="LJD177" s="125"/>
      <c r="LJE177" s="125"/>
      <c r="LJF177" s="125"/>
      <c r="LJG177" s="125"/>
      <c r="LJH177" s="125"/>
      <c r="LJI177" s="125"/>
      <c r="LJJ177" s="125"/>
      <c r="LJK177" s="125"/>
      <c r="LJL177" s="125"/>
      <c r="LJM177" s="125"/>
      <c r="LJN177" s="125"/>
      <c r="LJO177" s="125"/>
      <c r="LJP177" s="125"/>
      <c r="LJQ177" s="125"/>
      <c r="LJR177" s="125"/>
      <c r="LJS177" s="125"/>
      <c r="LJT177" s="125"/>
      <c r="LJU177" s="125"/>
      <c r="LJV177" s="125"/>
      <c r="LJW177" s="125"/>
      <c r="LJX177" s="125"/>
      <c r="LJY177" s="125"/>
      <c r="LJZ177" s="125"/>
      <c r="LKA177" s="125"/>
      <c r="LKB177" s="125"/>
      <c r="LKC177" s="125"/>
      <c r="LKD177" s="125"/>
      <c r="LKE177" s="125"/>
      <c r="LKF177" s="125"/>
      <c r="LKG177" s="125"/>
      <c r="LKH177" s="125"/>
      <c r="LKI177" s="125"/>
      <c r="LKJ177" s="125"/>
      <c r="LKK177" s="125"/>
      <c r="LKL177" s="125"/>
      <c r="LKM177" s="125"/>
      <c r="LKN177" s="125"/>
      <c r="LKO177" s="125"/>
      <c r="LKP177" s="125"/>
      <c r="LKQ177" s="125"/>
      <c r="LKR177" s="125"/>
      <c r="LKS177" s="125"/>
      <c r="LKT177" s="125"/>
      <c r="LKU177" s="125"/>
      <c r="LKV177" s="125"/>
      <c r="LKW177" s="125"/>
      <c r="LKX177" s="125"/>
      <c r="LKY177" s="125"/>
      <c r="LKZ177" s="125"/>
      <c r="LLA177" s="125"/>
      <c r="LLB177" s="125"/>
      <c r="LLC177" s="125"/>
      <c r="LLD177" s="125"/>
      <c r="LLE177" s="125"/>
      <c r="LLF177" s="125"/>
      <c r="LLG177" s="125"/>
      <c r="LLH177" s="125"/>
      <c r="LLI177" s="125"/>
      <c r="LLJ177" s="125"/>
      <c r="LLK177" s="125"/>
      <c r="LLL177" s="125"/>
      <c r="LLM177" s="125"/>
      <c r="LLN177" s="125"/>
      <c r="LLO177" s="125"/>
      <c r="LLP177" s="125"/>
      <c r="LLQ177" s="125"/>
      <c r="LLR177" s="125"/>
      <c r="LLS177" s="125"/>
      <c r="LLT177" s="125"/>
      <c r="LLU177" s="125"/>
      <c r="LLV177" s="125"/>
      <c r="LLW177" s="125"/>
      <c r="LLX177" s="125"/>
      <c r="LLY177" s="125"/>
      <c r="LLZ177" s="125"/>
      <c r="LMA177" s="125"/>
      <c r="LMB177" s="125"/>
      <c r="LMC177" s="125"/>
      <c r="LMD177" s="125"/>
      <c r="LME177" s="125"/>
      <c r="LMF177" s="125"/>
      <c r="LMG177" s="125"/>
      <c r="LMH177" s="125"/>
      <c r="LMI177" s="125"/>
      <c r="LMJ177" s="125"/>
      <c r="LMK177" s="125"/>
      <c r="LML177" s="125"/>
      <c r="LMM177" s="125"/>
      <c r="LMN177" s="125"/>
      <c r="LMO177" s="125"/>
      <c r="LMP177" s="125"/>
      <c r="LMQ177" s="125"/>
      <c r="LMR177" s="125"/>
      <c r="LMS177" s="125"/>
      <c r="LMT177" s="125"/>
      <c r="LMU177" s="125"/>
      <c r="LMV177" s="125"/>
      <c r="LMW177" s="125"/>
      <c r="LMX177" s="125"/>
      <c r="LMY177" s="125"/>
      <c r="LMZ177" s="125"/>
      <c r="LNA177" s="125"/>
      <c r="LNB177" s="125"/>
      <c r="LNC177" s="125"/>
      <c r="LND177" s="125"/>
      <c r="LNE177" s="125"/>
      <c r="LNF177" s="125"/>
      <c r="LNG177" s="125"/>
      <c r="LNH177" s="125"/>
      <c r="LNI177" s="125"/>
      <c r="LNJ177" s="125"/>
      <c r="LNK177" s="125"/>
      <c r="LNL177" s="125"/>
      <c r="LNM177" s="125"/>
      <c r="LNN177" s="125"/>
      <c r="LNO177" s="125"/>
      <c r="LNP177" s="125"/>
      <c r="LNQ177" s="125"/>
      <c r="LNR177" s="125"/>
      <c r="LNS177" s="125"/>
      <c r="LNT177" s="125"/>
      <c r="LNU177" s="125"/>
      <c r="LNV177" s="125"/>
      <c r="LNW177" s="125"/>
      <c r="LNX177" s="125"/>
      <c r="LNY177" s="125"/>
      <c r="LNZ177" s="125"/>
      <c r="LOA177" s="125"/>
      <c r="LOB177" s="125"/>
      <c r="LOC177" s="125"/>
      <c r="LOD177" s="125"/>
      <c r="LOE177" s="125"/>
      <c r="LOF177" s="125"/>
      <c r="LOG177" s="125"/>
      <c r="LOH177" s="125"/>
      <c r="LOI177" s="125"/>
      <c r="LOJ177" s="125"/>
      <c r="LOK177" s="125"/>
      <c r="LOL177" s="125"/>
      <c r="LOM177" s="125"/>
      <c r="LON177" s="125"/>
      <c r="LOO177" s="125"/>
      <c r="LOP177" s="125"/>
      <c r="LOQ177" s="125"/>
      <c r="LOR177" s="125"/>
      <c r="LOS177" s="125"/>
      <c r="LOT177" s="125"/>
      <c r="LOU177" s="125"/>
      <c r="LOV177" s="125"/>
      <c r="LOW177" s="125"/>
      <c r="LOX177" s="125"/>
      <c r="LOY177" s="125"/>
      <c r="LOZ177" s="125"/>
      <c r="LPA177" s="125"/>
      <c r="LPB177" s="125"/>
      <c r="LPC177" s="125"/>
      <c r="LPD177" s="125"/>
      <c r="LPE177" s="125"/>
      <c r="LPF177" s="125"/>
      <c r="LPG177" s="125"/>
      <c r="LPH177" s="125"/>
      <c r="LPI177" s="125"/>
      <c r="LPJ177" s="125"/>
      <c r="LPK177" s="125"/>
      <c r="LPL177" s="125"/>
      <c r="LPM177" s="125"/>
      <c r="LPN177" s="125"/>
      <c r="LPO177" s="125"/>
      <c r="LPP177" s="125"/>
      <c r="LPQ177" s="125"/>
      <c r="LPR177" s="125"/>
      <c r="LPS177" s="125"/>
      <c r="LPT177" s="125"/>
      <c r="LPU177" s="125"/>
      <c r="LPV177" s="125"/>
      <c r="LPW177" s="125"/>
      <c r="LPX177" s="125"/>
      <c r="LPY177" s="125"/>
      <c r="LPZ177" s="125"/>
      <c r="LQA177" s="125"/>
      <c r="LQB177" s="125"/>
      <c r="LQC177" s="125"/>
      <c r="LQD177" s="125"/>
      <c r="LQE177" s="125"/>
      <c r="LQF177" s="125"/>
      <c r="LQG177" s="125"/>
      <c r="LQH177" s="125"/>
      <c r="LQI177" s="125"/>
      <c r="LQJ177" s="125"/>
      <c r="LQK177" s="125"/>
      <c r="LQL177" s="125"/>
      <c r="LQM177" s="125"/>
      <c r="LQN177" s="125"/>
      <c r="LQO177" s="125"/>
      <c r="LQP177" s="125"/>
      <c r="LQQ177" s="125"/>
      <c r="LQR177" s="125"/>
      <c r="LQS177" s="125"/>
      <c r="LQT177" s="125"/>
      <c r="LQU177" s="125"/>
      <c r="LQV177" s="125"/>
      <c r="LQW177" s="125"/>
      <c r="LQX177" s="125"/>
      <c r="LQY177" s="125"/>
      <c r="LQZ177" s="125"/>
      <c r="LRA177" s="125"/>
      <c r="LRB177" s="125"/>
      <c r="LRC177" s="125"/>
      <c r="LRD177" s="125"/>
      <c r="LRE177" s="125"/>
      <c r="LRF177" s="125"/>
      <c r="LRG177" s="125"/>
      <c r="LRH177" s="125"/>
      <c r="LRI177" s="125"/>
      <c r="LRJ177" s="125"/>
      <c r="LRK177" s="125"/>
      <c r="LRL177" s="125"/>
      <c r="LRM177" s="125"/>
      <c r="LRN177" s="125"/>
      <c r="LRO177" s="125"/>
      <c r="LRP177" s="125"/>
      <c r="LRQ177" s="125"/>
      <c r="LRR177" s="125"/>
      <c r="LRS177" s="125"/>
      <c r="LRT177" s="125"/>
      <c r="LRU177" s="125"/>
      <c r="LRV177" s="125"/>
      <c r="LRW177" s="125"/>
      <c r="LRX177" s="125"/>
      <c r="LRY177" s="125"/>
      <c r="LRZ177" s="125"/>
      <c r="LSA177" s="125"/>
      <c r="LSB177" s="125"/>
      <c r="LSC177" s="125"/>
      <c r="LSD177" s="125"/>
      <c r="LSE177" s="125"/>
      <c r="LSF177" s="125"/>
      <c r="LSG177" s="125"/>
      <c r="LSH177" s="125"/>
      <c r="LSI177" s="125"/>
      <c r="LSJ177" s="125"/>
      <c r="LSK177" s="125"/>
      <c r="LSL177" s="125"/>
      <c r="LSM177" s="125"/>
      <c r="LSN177" s="125"/>
      <c r="LSO177" s="125"/>
      <c r="LSP177" s="125"/>
      <c r="LSQ177" s="125"/>
      <c r="LSR177" s="125"/>
      <c r="LSS177" s="125"/>
      <c r="LST177" s="125"/>
      <c r="LSU177" s="125"/>
      <c r="LSV177" s="125"/>
      <c r="LSW177" s="125"/>
      <c r="LSX177" s="125"/>
      <c r="LSY177" s="125"/>
      <c r="LSZ177" s="125"/>
      <c r="LTA177" s="125"/>
      <c r="LTB177" s="125"/>
      <c r="LTC177" s="125"/>
      <c r="LTD177" s="125"/>
      <c r="LTE177" s="125"/>
      <c r="LTF177" s="125"/>
      <c r="LTG177" s="125"/>
      <c r="LTH177" s="125"/>
      <c r="LTI177" s="125"/>
      <c r="LTJ177" s="125"/>
      <c r="LTK177" s="125"/>
      <c r="LTL177" s="125"/>
      <c r="LTM177" s="125"/>
      <c r="LTN177" s="125"/>
      <c r="LTO177" s="125"/>
      <c r="LTP177" s="125"/>
      <c r="LTQ177" s="125"/>
      <c r="LTR177" s="125"/>
      <c r="LTS177" s="125"/>
      <c r="LTT177" s="125"/>
      <c r="LTU177" s="125"/>
      <c r="LTV177" s="125"/>
      <c r="LTW177" s="125"/>
      <c r="LTX177" s="125"/>
      <c r="LTY177" s="125"/>
      <c r="LTZ177" s="125"/>
      <c r="LUA177" s="125"/>
      <c r="LUB177" s="125"/>
      <c r="LUC177" s="125"/>
      <c r="LUD177" s="125"/>
      <c r="LUE177" s="125"/>
      <c r="LUF177" s="125"/>
      <c r="LUG177" s="125"/>
      <c r="LUH177" s="125"/>
      <c r="LUI177" s="125"/>
      <c r="LUJ177" s="125"/>
      <c r="LUK177" s="125"/>
      <c r="LUL177" s="125"/>
      <c r="LUM177" s="125"/>
      <c r="LUN177" s="125"/>
      <c r="LUO177" s="125"/>
      <c r="LUP177" s="125"/>
      <c r="LUQ177" s="125"/>
      <c r="LUR177" s="125"/>
      <c r="LUS177" s="125"/>
      <c r="LUT177" s="125"/>
      <c r="LUU177" s="125"/>
      <c r="LUV177" s="125"/>
      <c r="LUW177" s="125"/>
      <c r="LUX177" s="125"/>
      <c r="LUY177" s="125"/>
      <c r="LUZ177" s="125"/>
      <c r="LVA177" s="125"/>
      <c r="LVB177" s="125"/>
      <c r="LVC177" s="125"/>
      <c r="LVD177" s="125"/>
      <c r="LVE177" s="125"/>
      <c r="LVF177" s="125"/>
      <c r="LVG177" s="125"/>
      <c r="LVH177" s="125"/>
      <c r="LVI177" s="125"/>
      <c r="LVJ177" s="125"/>
      <c r="LVK177" s="125"/>
      <c r="LVL177" s="125"/>
      <c r="LVM177" s="125"/>
      <c r="LVN177" s="125"/>
      <c r="LVO177" s="125"/>
      <c r="LVP177" s="125"/>
      <c r="LVQ177" s="125"/>
      <c r="LVR177" s="125"/>
      <c r="LVS177" s="125"/>
      <c r="LVT177" s="125"/>
      <c r="LVU177" s="125"/>
      <c r="LVV177" s="125"/>
      <c r="LVW177" s="125"/>
      <c r="LVX177" s="125"/>
      <c r="LVY177" s="125"/>
      <c r="LVZ177" s="125"/>
      <c r="LWA177" s="125"/>
      <c r="LWB177" s="125"/>
      <c r="LWC177" s="125"/>
      <c r="LWD177" s="125"/>
      <c r="LWE177" s="125"/>
      <c r="LWF177" s="125"/>
      <c r="LWG177" s="125"/>
      <c r="LWH177" s="125"/>
      <c r="LWI177" s="125"/>
      <c r="LWJ177" s="125"/>
      <c r="LWK177" s="125"/>
      <c r="LWL177" s="125"/>
      <c r="LWM177" s="125"/>
      <c r="LWN177" s="125"/>
      <c r="LWO177" s="125"/>
      <c r="LWP177" s="125"/>
      <c r="LWQ177" s="125"/>
      <c r="LWR177" s="125"/>
      <c r="LWS177" s="125"/>
      <c r="LWT177" s="125"/>
      <c r="LWU177" s="125"/>
      <c r="LWV177" s="125"/>
      <c r="LWW177" s="125"/>
      <c r="LWX177" s="125"/>
      <c r="LWY177" s="125"/>
      <c r="LWZ177" s="125"/>
      <c r="LXA177" s="125"/>
      <c r="LXB177" s="125"/>
      <c r="LXC177" s="125"/>
      <c r="LXD177" s="125"/>
      <c r="LXE177" s="125"/>
      <c r="LXF177" s="125"/>
      <c r="LXG177" s="125"/>
      <c r="LXH177" s="125"/>
      <c r="LXI177" s="125"/>
      <c r="LXJ177" s="125"/>
      <c r="LXK177" s="125"/>
      <c r="LXL177" s="125"/>
      <c r="LXM177" s="125"/>
      <c r="LXN177" s="125"/>
      <c r="LXO177" s="125"/>
      <c r="LXP177" s="125"/>
      <c r="LXQ177" s="125"/>
      <c r="LXR177" s="125"/>
      <c r="LXS177" s="125"/>
      <c r="LXT177" s="125"/>
      <c r="LXU177" s="125"/>
      <c r="LXV177" s="125"/>
      <c r="LXW177" s="125"/>
      <c r="LXX177" s="125"/>
      <c r="LXY177" s="125"/>
      <c r="LXZ177" s="125"/>
      <c r="LYA177" s="125"/>
      <c r="LYB177" s="125"/>
      <c r="LYC177" s="125"/>
      <c r="LYD177" s="125"/>
      <c r="LYE177" s="125"/>
      <c r="LYF177" s="125"/>
      <c r="LYG177" s="125"/>
      <c r="LYH177" s="125"/>
      <c r="LYI177" s="125"/>
      <c r="LYJ177" s="125"/>
      <c r="LYK177" s="125"/>
      <c r="LYL177" s="125"/>
      <c r="LYM177" s="125"/>
      <c r="LYN177" s="125"/>
      <c r="LYO177" s="125"/>
      <c r="LYP177" s="125"/>
      <c r="LYQ177" s="125"/>
      <c r="LYR177" s="125"/>
      <c r="LYS177" s="125"/>
      <c r="LYT177" s="125"/>
      <c r="LYU177" s="125"/>
      <c r="LYV177" s="125"/>
      <c r="LYW177" s="125"/>
      <c r="LYX177" s="125"/>
      <c r="LYY177" s="125"/>
      <c r="LYZ177" s="125"/>
      <c r="LZA177" s="125"/>
      <c r="LZB177" s="125"/>
      <c r="LZC177" s="125"/>
      <c r="LZD177" s="125"/>
      <c r="LZE177" s="125"/>
      <c r="LZF177" s="125"/>
      <c r="LZG177" s="125"/>
      <c r="LZH177" s="125"/>
      <c r="LZI177" s="125"/>
      <c r="LZJ177" s="125"/>
      <c r="LZK177" s="125"/>
      <c r="LZL177" s="125"/>
      <c r="LZM177" s="125"/>
      <c r="LZN177" s="125"/>
      <c r="LZO177" s="125"/>
      <c r="LZP177" s="125"/>
      <c r="LZQ177" s="125"/>
      <c r="LZR177" s="125"/>
      <c r="LZS177" s="125"/>
      <c r="LZT177" s="125"/>
      <c r="LZU177" s="125"/>
      <c r="LZV177" s="125"/>
      <c r="LZW177" s="125"/>
      <c r="LZX177" s="125"/>
      <c r="LZY177" s="125"/>
      <c r="LZZ177" s="125"/>
      <c r="MAA177" s="125"/>
      <c r="MAB177" s="125"/>
      <c r="MAC177" s="125"/>
      <c r="MAD177" s="125"/>
      <c r="MAE177" s="125"/>
      <c r="MAF177" s="125"/>
      <c r="MAG177" s="125"/>
      <c r="MAH177" s="125"/>
      <c r="MAI177" s="125"/>
      <c r="MAJ177" s="125"/>
      <c r="MAK177" s="125"/>
      <c r="MAL177" s="125"/>
      <c r="MAM177" s="125"/>
      <c r="MAN177" s="125"/>
      <c r="MAO177" s="125"/>
      <c r="MAP177" s="125"/>
      <c r="MAQ177" s="125"/>
      <c r="MAR177" s="125"/>
      <c r="MAS177" s="125"/>
      <c r="MAT177" s="125"/>
      <c r="MAU177" s="125"/>
      <c r="MAV177" s="125"/>
      <c r="MAW177" s="125"/>
      <c r="MAX177" s="125"/>
      <c r="MAY177" s="125"/>
      <c r="MAZ177" s="125"/>
      <c r="MBA177" s="125"/>
      <c r="MBB177" s="125"/>
      <c r="MBC177" s="125"/>
      <c r="MBD177" s="125"/>
      <c r="MBE177" s="125"/>
      <c r="MBF177" s="125"/>
      <c r="MBG177" s="125"/>
      <c r="MBH177" s="125"/>
      <c r="MBI177" s="125"/>
      <c r="MBJ177" s="125"/>
      <c r="MBK177" s="125"/>
      <c r="MBL177" s="125"/>
      <c r="MBM177" s="125"/>
      <c r="MBN177" s="125"/>
      <c r="MBO177" s="125"/>
      <c r="MBP177" s="125"/>
      <c r="MBQ177" s="125"/>
      <c r="MBR177" s="125"/>
      <c r="MBS177" s="125"/>
      <c r="MBT177" s="125"/>
      <c r="MBU177" s="125"/>
      <c r="MBV177" s="125"/>
      <c r="MBW177" s="125"/>
      <c r="MBX177" s="125"/>
      <c r="MBY177" s="125"/>
      <c r="MBZ177" s="125"/>
      <c r="MCA177" s="125"/>
      <c r="MCB177" s="125"/>
      <c r="MCC177" s="125"/>
      <c r="MCD177" s="125"/>
      <c r="MCE177" s="125"/>
      <c r="MCF177" s="125"/>
      <c r="MCG177" s="125"/>
      <c r="MCH177" s="125"/>
      <c r="MCI177" s="125"/>
      <c r="MCJ177" s="125"/>
      <c r="MCK177" s="125"/>
      <c r="MCL177" s="125"/>
      <c r="MCM177" s="125"/>
      <c r="MCN177" s="125"/>
      <c r="MCO177" s="125"/>
      <c r="MCP177" s="125"/>
      <c r="MCQ177" s="125"/>
      <c r="MCR177" s="125"/>
      <c r="MCS177" s="125"/>
      <c r="MCT177" s="125"/>
      <c r="MCU177" s="125"/>
      <c r="MCV177" s="125"/>
      <c r="MCW177" s="125"/>
      <c r="MCX177" s="125"/>
      <c r="MCY177" s="125"/>
      <c r="MCZ177" s="125"/>
      <c r="MDA177" s="125"/>
      <c r="MDB177" s="125"/>
      <c r="MDC177" s="125"/>
      <c r="MDD177" s="125"/>
      <c r="MDE177" s="125"/>
      <c r="MDF177" s="125"/>
      <c r="MDG177" s="125"/>
      <c r="MDH177" s="125"/>
      <c r="MDI177" s="125"/>
      <c r="MDJ177" s="125"/>
      <c r="MDK177" s="125"/>
      <c r="MDL177" s="125"/>
      <c r="MDM177" s="125"/>
      <c r="MDN177" s="125"/>
      <c r="MDO177" s="125"/>
      <c r="MDP177" s="125"/>
      <c r="MDQ177" s="125"/>
      <c r="MDR177" s="125"/>
      <c r="MDS177" s="125"/>
      <c r="MDT177" s="125"/>
      <c r="MDU177" s="125"/>
      <c r="MDV177" s="125"/>
      <c r="MDW177" s="125"/>
      <c r="MDX177" s="125"/>
      <c r="MDY177" s="125"/>
      <c r="MDZ177" s="125"/>
      <c r="MEA177" s="125"/>
      <c r="MEB177" s="125"/>
      <c r="MEC177" s="125"/>
      <c r="MED177" s="125"/>
      <c r="MEE177" s="125"/>
      <c r="MEF177" s="125"/>
      <c r="MEG177" s="125"/>
      <c r="MEH177" s="125"/>
      <c r="MEI177" s="125"/>
      <c r="MEJ177" s="125"/>
      <c r="MEK177" s="125"/>
      <c r="MEL177" s="125"/>
      <c r="MEM177" s="125"/>
      <c r="MEN177" s="125"/>
      <c r="MEO177" s="125"/>
      <c r="MEP177" s="125"/>
      <c r="MEQ177" s="125"/>
      <c r="MER177" s="125"/>
      <c r="MES177" s="125"/>
      <c r="MET177" s="125"/>
      <c r="MEU177" s="125"/>
      <c r="MEV177" s="125"/>
      <c r="MEW177" s="125"/>
      <c r="MEX177" s="125"/>
      <c r="MEY177" s="125"/>
      <c r="MEZ177" s="125"/>
      <c r="MFA177" s="125"/>
      <c r="MFB177" s="125"/>
      <c r="MFC177" s="125"/>
      <c r="MFD177" s="125"/>
      <c r="MFE177" s="125"/>
      <c r="MFF177" s="125"/>
      <c r="MFG177" s="125"/>
      <c r="MFH177" s="125"/>
      <c r="MFI177" s="125"/>
      <c r="MFJ177" s="125"/>
      <c r="MFK177" s="125"/>
      <c r="MFL177" s="125"/>
      <c r="MFM177" s="125"/>
      <c r="MFN177" s="125"/>
      <c r="MFO177" s="125"/>
      <c r="MFP177" s="125"/>
      <c r="MFQ177" s="125"/>
      <c r="MFR177" s="125"/>
      <c r="MFS177" s="125"/>
      <c r="MFT177" s="125"/>
      <c r="MFU177" s="125"/>
      <c r="MFV177" s="125"/>
      <c r="MFW177" s="125"/>
      <c r="MFX177" s="125"/>
      <c r="MFY177" s="125"/>
      <c r="MFZ177" s="125"/>
      <c r="MGA177" s="125"/>
      <c r="MGB177" s="125"/>
      <c r="MGC177" s="125"/>
      <c r="MGD177" s="125"/>
      <c r="MGE177" s="125"/>
      <c r="MGF177" s="125"/>
      <c r="MGG177" s="125"/>
      <c r="MGH177" s="125"/>
      <c r="MGI177" s="125"/>
      <c r="MGJ177" s="125"/>
      <c r="MGK177" s="125"/>
      <c r="MGL177" s="125"/>
      <c r="MGM177" s="125"/>
      <c r="MGN177" s="125"/>
      <c r="MGO177" s="125"/>
      <c r="MGP177" s="125"/>
      <c r="MGQ177" s="125"/>
      <c r="MGR177" s="125"/>
      <c r="MGS177" s="125"/>
      <c r="MGT177" s="125"/>
      <c r="MGU177" s="125"/>
      <c r="MGV177" s="125"/>
      <c r="MGW177" s="125"/>
      <c r="MGX177" s="125"/>
      <c r="MGY177" s="125"/>
      <c r="MGZ177" s="125"/>
      <c r="MHA177" s="125"/>
      <c r="MHB177" s="125"/>
      <c r="MHC177" s="125"/>
      <c r="MHD177" s="125"/>
      <c r="MHE177" s="125"/>
      <c r="MHF177" s="125"/>
      <c r="MHG177" s="125"/>
      <c r="MHH177" s="125"/>
      <c r="MHI177" s="125"/>
      <c r="MHJ177" s="125"/>
      <c r="MHK177" s="125"/>
      <c r="MHL177" s="125"/>
      <c r="MHM177" s="125"/>
      <c r="MHN177" s="125"/>
      <c r="MHO177" s="125"/>
      <c r="MHP177" s="125"/>
      <c r="MHQ177" s="125"/>
      <c r="MHR177" s="125"/>
      <c r="MHS177" s="125"/>
      <c r="MHT177" s="125"/>
      <c r="MHU177" s="125"/>
      <c r="MHV177" s="125"/>
      <c r="MHW177" s="125"/>
      <c r="MHX177" s="125"/>
      <c r="MHY177" s="125"/>
      <c r="MHZ177" s="125"/>
      <c r="MIA177" s="125"/>
      <c r="MIB177" s="125"/>
      <c r="MIC177" s="125"/>
      <c r="MID177" s="125"/>
      <c r="MIE177" s="125"/>
      <c r="MIF177" s="125"/>
      <c r="MIG177" s="125"/>
      <c r="MIH177" s="125"/>
      <c r="MII177" s="125"/>
      <c r="MIJ177" s="125"/>
      <c r="MIK177" s="125"/>
      <c r="MIL177" s="125"/>
      <c r="MIM177" s="125"/>
      <c r="MIN177" s="125"/>
      <c r="MIO177" s="125"/>
      <c r="MIP177" s="125"/>
      <c r="MIQ177" s="125"/>
      <c r="MIR177" s="125"/>
      <c r="MIS177" s="125"/>
      <c r="MIT177" s="125"/>
      <c r="MIU177" s="125"/>
      <c r="MIV177" s="125"/>
      <c r="MIW177" s="125"/>
      <c r="MIX177" s="125"/>
      <c r="MIY177" s="125"/>
      <c r="MIZ177" s="125"/>
      <c r="MJA177" s="125"/>
      <c r="MJB177" s="125"/>
      <c r="MJC177" s="125"/>
      <c r="MJD177" s="125"/>
      <c r="MJE177" s="125"/>
      <c r="MJF177" s="125"/>
      <c r="MJG177" s="125"/>
      <c r="MJH177" s="125"/>
      <c r="MJI177" s="125"/>
      <c r="MJJ177" s="125"/>
      <c r="MJK177" s="125"/>
      <c r="MJL177" s="125"/>
      <c r="MJM177" s="125"/>
      <c r="MJN177" s="125"/>
      <c r="MJO177" s="125"/>
      <c r="MJP177" s="125"/>
      <c r="MJQ177" s="125"/>
      <c r="MJR177" s="125"/>
      <c r="MJS177" s="125"/>
      <c r="MJT177" s="125"/>
      <c r="MJU177" s="125"/>
      <c r="MJV177" s="125"/>
      <c r="MJW177" s="125"/>
      <c r="MJX177" s="125"/>
      <c r="MJY177" s="125"/>
      <c r="MJZ177" s="125"/>
      <c r="MKA177" s="125"/>
      <c r="MKB177" s="125"/>
      <c r="MKC177" s="125"/>
      <c r="MKD177" s="125"/>
      <c r="MKE177" s="125"/>
      <c r="MKF177" s="125"/>
      <c r="MKG177" s="125"/>
      <c r="MKH177" s="125"/>
      <c r="MKI177" s="125"/>
      <c r="MKJ177" s="125"/>
      <c r="MKK177" s="125"/>
      <c r="MKL177" s="125"/>
      <c r="MKM177" s="125"/>
      <c r="MKN177" s="125"/>
      <c r="MKO177" s="125"/>
      <c r="MKP177" s="125"/>
      <c r="MKQ177" s="125"/>
      <c r="MKR177" s="125"/>
      <c r="MKS177" s="125"/>
      <c r="MKT177" s="125"/>
      <c r="MKU177" s="125"/>
      <c r="MKV177" s="125"/>
      <c r="MKW177" s="125"/>
      <c r="MKX177" s="125"/>
      <c r="MKY177" s="125"/>
      <c r="MKZ177" s="125"/>
      <c r="MLA177" s="125"/>
      <c r="MLB177" s="125"/>
      <c r="MLC177" s="125"/>
      <c r="MLD177" s="125"/>
      <c r="MLE177" s="125"/>
      <c r="MLF177" s="125"/>
      <c r="MLG177" s="125"/>
      <c r="MLH177" s="125"/>
      <c r="MLI177" s="125"/>
      <c r="MLJ177" s="125"/>
      <c r="MLK177" s="125"/>
      <c r="MLL177" s="125"/>
      <c r="MLM177" s="125"/>
      <c r="MLN177" s="125"/>
      <c r="MLO177" s="125"/>
      <c r="MLP177" s="125"/>
      <c r="MLQ177" s="125"/>
      <c r="MLR177" s="125"/>
      <c r="MLS177" s="125"/>
      <c r="MLT177" s="125"/>
      <c r="MLU177" s="125"/>
      <c r="MLV177" s="125"/>
      <c r="MLW177" s="125"/>
      <c r="MLX177" s="125"/>
      <c r="MLY177" s="125"/>
      <c r="MLZ177" s="125"/>
      <c r="MMA177" s="125"/>
      <c r="MMB177" s="125"/>
      <c r="MMC177" s="125"/>
      <c r="MMD177" s="125"/>
      <c r="MME177" s="125"/>
      <c r="MMF177" s="125"/>
      <c r="MMG177" s="125"/>
      <c r="MMH177" s="125"/>
      <c r="MMI177" s="125"/>
      <c r="MMJ177" s="125"/>
      <c r="MMK177" s="125"/>
      <c r="MML177" s="125"/>
      <c r="MMM177" s="125"/>
      <c r="MMN177" s="125"/>
      <c r="MMO177" s="125"/>
      <c r="MMP177" s="125"/>
      <c r="MMQ177" s="125"/>
      <c r="MMR177" s="125"/>
      <c r="MMS177" s="125"/>
      <c r="MMT177" s="125"/>
      <c r="MMU177" s="125"/>
      <c r="MMV177" s="125"/>
      <c r="MMW177" s="125"/>
      <c r="MMX177" s="125"/>
      <c r="MMY177" s="125"/>
      <c r="MMZ177" s="125"/>
      <c r="MNA177" s="125"/>
      <c r="MNB177" s="125"/>
      <c r="MNC177" s="125"/>
      <c r="MND177" s="125"/>
      <c r="MNE177" s="125"/>
      <c r="MNF177" s="125"/>
      <c r="MNG177" s="125"/>
      <c r="MNH177" s="125"/>
      <c r="MNI177" s="125"/>
      <c r="MNJ177" s="125"/>
      <c r="MNK177" s="125"/>
      <c r="MNL177" s="125"/>
      <c r="MNM177" s="125"/>
      <c r="MNN177" s="125"/>
      <c r="MNO177" s="125"/>
      <c r="MNP177" s="125"/>
      <c r="MNQ177" s="125"/>
      <c r="MNR177" s="125"/>
      <c r="MNS177" s="125"/>
      <c r="MNT177" s="125"/>
      <c r="MNU177" s="125"/>
      <c r="MNV177" s="125"/>
      <c r="MNW177" s="125"/>
      <c r="MNX177" s="125"/>
      <c r="MNY177" s="125"/>
      <c r="MNZ177" s="125"/>
      <c r="MOA177" s="125"/>
      <c r="MOB177" s="125"/>
      <c r="MOC177" s="125"/>
      <c r="MOD177" s="125"/>
      <c r="MOE177" s="125"/>
      <c r="MOF177" s="125"/>
      <c r="MOG177" s="125"/>
      <c r="MOH177" s="125"/>
      <c r="MOI177" s="125"/>
      <c r="MOJ177" s="125"/>
      <c r="MOK177" s="125"/>
      <c r="MOL177" s="125"/>
      <c r="MOM177" s="125"/>
      <c r="MON177" s="125"/>
      <c r="MOO177" s="125"/>
      <c r="MOP177" s="125"/>
      <c r="MOQ177" s="125"/>
      <c r="MOR177" s="125"/>
      <c r="MOS177" s="125"/>
      <c r="MOT177" s="125"/>
      <c r="MOU177" s="125"/>
      <c r="MOV177" s="125"/>
      <c r="MOW177" s="125"/>
      <c r="MOX177" s="125"/>
      <c r="MOY177" s="125"/>
      <c r="MOZ177" s="125"/>
      <c r="MPA177" s="125"/>
      <c r="MPB177" s="125"/>
      <c r="MPC177" s="125"/>
      <c r="MPD177" s="125"/>
      <c r="MPE177" s="125"/>
      <c r="MPF177" s="125"/>
      <c r="MPG177" s="125"/>
      <c r="MPH177" s="125"/>
      <c r="MPI177" s="125"/>
      <c r="MPJ177" s="125"/>
      <c r="MPK177" s="125"/>
      <c r="MPL177" s="125"/>
      <c r="MPM177" s="125"/>
      <c r="MPN177" s="125"/>
      <c r="MPO177" s="125"/>
      <c r="MPP177" s="125"/>
      <c r="MPQ177" s="125"/>
      <c r="MPR177" s="125"/>
      <c r="MPS177" s="125"/>
      <c r="MPT177" s="125"/>
      <c r="MPU177" s="125"/>
      <c r="MPV177" s="125"/>
      <c r="MPW177" s="125"/>
      <c r="MPX177" s="125"/>
      <c r="MPY177" s="125"/>
      <c r="MPZ177" s="125"/>
      <c r="MQA177" s="125"/>
      <c r="MQB177" s="125"/>
      <c r="MQC177" s="125"/>
      <c r="MQD177" s="125"/>
      <c r="MQE177" s="125"/>
      <c r="MQF177" s="125"/>
      <c r="MQG177" s="125"/>
      <c r="MQH177" s="125"/>
      <c r="MQI177" s="125"/>
      <c r="MQJ177" s="125"/>
      <c r="MQK177" s="125"/>
      <c r="MQL177" s="125"/>
      <c r="MQM177" s="125"/>
      <c r="MQN177" s="125"/>
      <c r="MQO177" s="125"/>
      <c r="MQP177" s="125"/>
      <c r="MQQ177" s="125"/>
      <c r="MQR177" s="125"/>
      <c r="MQS177" s="125"/>
      <c r="MQT177" s="125"/>
      <c r="MQU177" s="125"/>
      <c r="MQV177" s="125"/>
      <c r="MQW177" s="125"/>
      <c r="MQX177" s="125"/>
      <c r="MQY177" s="125"/>
      <c r="MQZ177" s="125"/>
      <c r="MRA177" s="125"/>
      <c r="MRB177" s="125"/>
      <c r="MRC177" s="125"/>
      <c r="MRD177" s="125"/>
      <c r="MRE177" s="125"/>
      <c r="MRF177" s="125"/>
      <c r="MRG177" s="125"/>
      <c r="MRH177" s="125"/>
      <c r="MRI177" s="125"/>
      <c r="MRJ177" s="125"/>
      <c r="MRK177" s="125"/>
      <c r="MRL177" s="125"/>
      <c r="MRM177" s="125"/>
      <c r="MRN177" s="125"/>
      <c r="MRO177" s="125"/>
      <c r="MRP177" s="125"/>
      <c r="MRQ177" s="125"/>
      <c r="MRR177" s="125"/>
      <c r="MRS177" s="125"/>
      <c r="MRT177" s="125"/>
      <c r="MRU177" s="125"/>
      <c r="MRV177" s="125"/>
      <c r="MRW177" s="125"/>
      <c r="MRX177" s="125"/>
      <c r="MRY177" s="125"/>
      <c r="MRZ177" s="125"/>
      <c r="MSA177" s="125"/>
      <c r="MSB177" s="125"/>
      <c r="MSC177" s="125"/>
      <c r="MSD177" s="125"/>
      <c r="MSE177" s="125"/>
      <c r="MSF177" s="125"/>
      <c r="MSG177" s="125"/>
      <c r="MSH177" s="125"/>
      <c r="MSI177" s="125"/>
      <c r="MSJ177" s="125"/>
      <c r="MSK177" s="125"/>
      <c r="MSL177" s="125"/>
      <c r="MSM177" s="125"/>
      <c r="MSN177" s="125"/>
      <c r="MSO177" s="125"/>
      <c r="MSP177" s="125"/>
      <c r="MSQ177" s="125"/>
      <c r="MSR177" s="125"/>
      <c r="MSS177" s="125"/>
      <c r="MST177" s="125"/>
      <c r="MSU177" s="125"/>
      <c r="MSV177" s="125"/>
      <c r="MSW177" s="125"/>
      <c r="MSX177" s="125"/>
      <c r="MSY177" s="125"/>
      <c r="MSZ177" s="125"/>
      <c r="MTA177" s="125"/>
      <c r="MTB177" s="125"/>
      <c r="MTC177" s="125"/>
      <c r="MTD177" s="125"/>
      <c r="MTE177" s="125"/>
      <c r="MTF177" s="125"/>
      <c r="MTG177" s="125"/>
      <c r="MTH177" s="125"/>
      <c r="MTI177" s="125"/>
      <c r="MTJ177" s="125"/>
      <c r="MTK177" s="125"/>
      <c r="MTL177" s="125"/>
      <c r="MTM177" s="125"/>
      <c r="MTN177" s="125"/>
      <c r="MTO177" s="125"/>
      <c r="MTP177" s="125"/>
      <c r="MTQ177" s="125"/>
      <c r="MTR177" s="125"/>
      <c r="MTS177" s="125"/>
      <c r="MTT177" s="125"/>
      <c r="MTU177" s="125"/>
      <c r="MTV177" s="125"/>
      <c r="MTW177" s="125"/>
      <c r="MTX177" s="125"/>
      <c r="MTY177" s="125"/>
      <c r="MTZ177" s="125"/>
      <c r="MUA177" s="125"/>
      <c r="MUB177" s="125"/>
      <c r="MUC177" s="125"/>
      <c r="MUD177" s="125"/>
      <c r="MUE177" s="125"/>
      <c r="MUF177" s="125"/>
      <c r="MUG177" s="125"/>
      <c r="MUH177" s="125"/>
      <c r="MUI177" s="125"/>
      <c r="MUJ177" s="125"/>
      <c r="MUK177" s="125"/>
      <c r="MUL177" s="125"/>
      <c r="MUM177" s="125"/>
      <c r="MUN177" s="125"/>
      <c r="MUO177" s="125"/>
      <c r="MUP177" s="125"/>
      <c r="MUQ177" s="125"/>
      <c r="MUR177" s="125"/>
      <c r="MUS177" s="125"/>
      <c r="MUT177" s="125"/>
      <c r="MUU177" s="125"/>
      <c r="MUV177" s="125"/>
      <c r="MUW177" s="125"/>
      <c r="MUX177" s="125"/>
      <c r="MUY177" s="125"/>
      <c r="MUZ177" s="125"/>
      <c r="MVA177" s="125"/>
      <c r="MVB177" s="125"/>
      <c r="MVC177" s="125"/>
      <c r="MVD177" s="125"/>
      <c r="MVE177" s="125"/>
      <c r="MVF177" s="125"/>
      <c r="MVG177" s="125"/>
      <c r="MVH177" s="125"/>
      <c r="MVI177" s="125"/>
      <c r="MVJ177" s="125"/>
      <c r="MVK177" s="125"/>
      <c r="MVL177" s="125"/>
      <c r="MVM177" s="125"/>
      <c r="MVN177" s="125"/>
      <c r="MVO177" s="125"/>
      <c r="MVP177" s="125"/>
      <c r="MVQ177" s="125"/>
      <c r="MVR177" s="125"/>
      <c r="MVS177" s="125"/>
      <c r="MVT177" s="125"/>
      <c r="MVU177" s="125"/>
      <c r="MVV177" s="125"/>
      <c r="MVW177" s="125"/>
      <c r="MVX177" s="125"/>
      <c r="MVY177" s="125"/>
      <c r="MVZ177" s="125"/>
      <c r="MWA177" s="125"/>
      <c r="MWB177" s="125"/>
      <c r="MWC177" s="125"/>
      <c r="MWD177" s="125"/>
      <c r="MWE177" s="125"/>
      <c r="MWF177" s="125"/>
      <c r="MWG177" s="125"/>
      <c r="MWH177" s="125"/>
      <c r="MWI177" s="125"/>
      <c r="MWJ177" s="125"/>
      <c r="MWK177" s="125"/>
      <c r="MWL177" s="125"/>
      <c r="MWM177" s="125"/>
      <c r="MWN177" s="125"/>
      <c r="MWO177" s="125"/>
      <c r="MWP177" s="125"/>
      <c r="MWQ177" s="125"/>
      <c r="MWR177" s="125"/>
      <c r="MWS177" s="125"/>
      <c r="MWT177" s="125"/>
      <c r="MWU177" s="125"/>
      <c r="MWV177" s="125"/>
      <c r="MWW177" s="125"/>
      <c r="MWX177" s="125"/>
      <c r="MWY177" s="125"/>
      <c r="MWZ177" s="125"/>
      <c r="MXA177" s="125"/>
      <c r="MXB177" s="125"/>
      <c r="MXC177" s="125"/>
      <c r="MXD177" s="125"/>
      <c r="MXE177" s="125"/>
      <c r="MXF177" s="125"/>
      <c r="MXG177" s="125"/>
      <c r="MXH177" s="125"/>
      <c r="MXI177" s="125"/>
      <c r="MXJ177" s="125"/>
      <c r="MXK177" s="125"/>
      <c r="MXL177" s="125"/>
      <c r="MXM177" s="125"/>
      <c r="MXN177" s="125"/>
      <c r="MXO177" s="125"/>
      <c r="MXP177" s="125"/>
      <c r="MXQ177" s="125"/>
      <c r="MXR177" s="125"/>
      <c r="MXS177" s="125"/>
      <c r="MXT177" s="125"/>
      <c r="MXU177" s="125"/>
      <c r="MXV177" s="125"/>
      <c r="MXW177" s="125"/>
      <c r="MXX177" s="125"/>
      <c r="MXY177" s="125"/>
      <c r="MXZ177" s="125"/>
      <c r="MYA177" s="125"/>
      <c r="MYB177" s="125"/>
      <c r="MYC177" s="125"/>
      <c r="MYD177" s="125"/>
      <c r="MYE177" s="125"/>
      <c r="MYF177" s="125"/>
      <c r="MYG177" s="125"/>
      <c r="MYH177" s="125"/>
      <c r="MYI177" s="125"/>
      <c r="MYJ177" s="125"/>
      <c r="MYK177" s="125"/>
      <c r="MYL177" s="125"/>
      <c r="MYM177" s="125"/>
      <c r="MYN177" s="125"/>
      <c r="MYO177" s="125"/>
      <c r="MYP177" s="125"/>
      <c r="MYQ177" s="125"/>
      <c r="MYR177" s="125"/>
      <c r="MYS177" s="125"/>
      <c r="MYT177" s="125"/>
      <c r="MYU177" s="125"/>
      <c r="MYV177" s="125"/>
      <c r="MYW177" s="125"/>
      <c r="MYX177" s="125"/>
      <c r="MYY177" s="125"/>
      <c r="MYZ177" s="125"/>
      <c r="MZA177" s="125"/>
      <c r="MZB177" s="125"/>
      <c r="MZC177" s="125"/>
      <c r="MZD177" s="125"/>
      <c r="MZE177" s="125"/>
      <c r="MZF177" s="125"/>
      <c r="MZG177" s="125"/>
      <c r="MZH177" s="125"/>
      <c r="MZI177" s="125"/>
      <c r="MZJ177" s="125"/>
      <c r="MZK177" s="125"/>
      <c r="MZL177" s="125"/>
      <c r="MZM177" s="125"/>
      <c r="MZN177" s="125"/>
      <c r="MZO177" s="125"/>
      <c r="MZP177" s="125"/>
      <c r="MZQ177" s="125"/>
      <c r="MZR177" s="125"/>
      <c r="MZS177" s="125"/>
      <c r="MZT177" s="125"/>
      <c r="MZU177" s="125"/>
      <c r="MZV177" s="125"/>
      <c r="MZW177" s="125"/>
      <c r="MZX177" s="125"/>
      <c r="MZY177" s="125"/>
      <c r="MZZ177" s="125"/>
      <c r="NAA177" s="125"/>
      <c r="NAB177" s="125"/>
      <c r="NAC177" s="125"/>
      <c r="NAD177" s="125"/>
      <c r="NAE177" s="125"/>
      <c r="NAF177" s="125"/>
      <c r="NAG177" s="125"/>
      <c r="NAH177" s="125"/>
      <c r="NAI177" s="125"/>
      <c r="NAJ177" s="125"/>
      <c r="NAK177" s="125"/>
      <c r="NAL177" s="125"/>
      <c r="NAM177" s="125"/>
      <c r="NAN177" s="125"/>
      <c r="NAO177" s="125"/>
      <c r="NAP177" s="125"/>
      <c r="NAQ177" s="125"/>
      <c r="NAR177" s="125"/>
      <c r="NAS177" s="125"/>
      <c r="NAT177" s="125"/>
      <c r="NAU177" s="125"/>
      <c r="NAV177" s="125"/>
      <c r="NAW177" s="125"/>
      <c r="NAX177" s="125"/>
      <c r="NAY177" s="125"/>
      <c r="NAZ177" s="125"/>
      <c r="NBA177" s="125"/>
      <c r="NBB177" s="125"/>
      <c r="NBC177" s="125"/>
      <c r="NBD177" s="125"/>
      <c r="NBE177" s="125"/>
      <c r="NBF177" s="125"/>
      <c r="NBG177" s="125"/>
      <c r="NBH177" s="125"/>
      <c r="NBI177" s="125"/>
      <c r="NBJ177" s="125"/>
      <c r="NBK177" s="125"/>
      <c r="NBL177" s="125"/>
      <c r="NBM177" s="125"/>
      <c r="NBN177" s="125"/>
      <c r="NBO177" s="125"/>
      <c r="NBP177" s="125"/>
      <c r="NBQ177" s="125"/>
      <c r="NBR177" s="125"/>
      <c r="NBS177" s="125"/>
      <c r="NBT177" s="125"/>
      <c r="NBU177" s="125"/>
      <c r="NBV177" s="125"/>
      <c r="NBW177" s="125"/>
      <c r="NBX177" s="125"/>
      <c r="NBY177" s="125"/>
      <c r="NBZ177" s="125"/>
      <c r="NCA177" s="125"/>
      <c r="NCB177" s="125"/>
      <c r="NCC177" s="125"/>
      <c r="NCD177" s="125"/>
      <c r="NCE177" s="125"/>
      <c r="NCF177" s="125"/>
      <c r="NCG177" s="125"/>
      <c r="NCH177" s="125"/>
      <c r="NCI177" s="125"/>
      <c r="NCJ177" s="125"/>
      <c r="NCK177" s="125"/>
      <c r="NCL177" s="125"/>
      <c r="NCM177" s="125"/>
      <c r="NCN177" s="125"/>
      <c r="NCO177" s="125"/>
      <c r="NCP177" s="125"/>
      <c r="NCQ177" s="125"/>
      <c r="NCR177" s="125"/>
      <c r="NCS177" s="125"/>
      <c r="NCT177" s="125"/>
      <c r="NCU177" s="125"/>
      <c r="NCV177" s="125"/>
      <c r="NCW177" s="125"/>
      <c r="NCX177" s="125"/>
      <c r="NCY177" s="125"/>
      <c r="NCZ177" s="125"/>
      <c r="NDA177" s="125"/>
      <c r="NDB177" s="125"/>
      <c r="NDC177" s="125"/>
      <c r="NDD177" s="125"/>
      <c r="NDE177" s="125"/>
      <c r="NDF177" s="125"/>
      <c r="NDG177" s="125"/>
      <c r="NDH177" s="125"/>
      <c r="NDI177" s="125"/>
      <c r="NDJ177" s="125"/>
      <c r="NDK177" s="125"/>
      <c r="NDL177" s="125"/>
      <c r="NDM177" s="125"/>
      <c r="NDN177" s="125"/>
      <c r="NDO177" s="125"/>
      <c r="NDP177" s="125"/>
      <c r="NDQ177" s="125"/>
      <c r="NDR177" s="125"/>
      <c r="NDS177" s="125"/>
      <c r="NDT177" s="125"/>
      <c r="NDU177" s="125"/>
      <c r="NDV177" s="125"/>
      <c r="NDW177" s="125"/>
      <c r="NDX177" s="125"/>
      <c r="NDY177" s="125"/>
      <c r="NDZ177" s="125"/>
      <c r="NEA177" s="125"/>
      <c r="NEB177" s="125"/>
      <c r="NEC177" s="125"/>
      <c r="NED177" s="125"/>
      <c r="NEE177" s="125"/>
      <c r="NEF177" s="125"/>
      <c r="NEG177" s="125"/>
      <c r="NEH177" s="125"/>
      <c r="NEI177" s="125"/>
      <c r="NEJ177" s="125"/>
      <c r="NEK177" s="125"/>
      <c r="NEL177" s="125"/>
      <c r="NEM177" s="125"/>
      <c r="NEN177" s="125"/>
      <c r="NEO177" s="125"/>
      <c r="NEP177" s="125"/>
      <c r="NEQ177" s="125"/>
      <c r="NER177" s="125"/>
      <c r="NES177" s="125"/>
      <c r="NET177" s="125"/>
      <c r="NEU177" s="125"/>
      <c r="NEV177" s="125"/>
      <c r="NEW177" s="125"/>
      <c r="NEX177" s="125"/>
      <c r="NEY177" s="125"/>
      <c r="NEZ177" s="125"/>
      <c r="NFA177" s="125"/>
      <c r="NFB177" s="125"/>
      <c r="NFC177" s="125"/>
      <c r="NFD177" s="125"/>
      <c r="NFE177" s="125"/>
      <c r="NFF177" s="125"/>
      <c r="NFG177" s="125"/>
      <c r="NFH177" s="125"/>
      <c r="NFI177" s="125"/>
      <c r="NFJ177" s="125"/>
      <c r="NFK177" s="125"/>
      <c r="NFL177" s="125"/>
      <c r="NFM177" s="125"/>
      <c r="NFN177" s="125"/>
      <c r="NFO177" s="125"/>
      <c r="NFP177" s="125"/>
      <c r="NFQ177" s="125"/>
      <c r="NFR177" s="125"/>
      <c r="NFS177" s="125"/>
      <c r="NFT177" s="125"/>
      <c r="NFU177" s="125"/>
      <c r="NFV177" s="125"/>
      <c r="NFW177" s="125"/>
      <c r="NFX177" s="125"/>
      <c r="NFY177" s="125"/>
      <c r="NFZ177" s="125"/>
      <c r="NGA177" s="125"/>
      <c r="NGB177" s="125"/>
      <c r="NGC177" s="125"/>
      <c r="NGD177" s="125"/>
      <c r="NGE177" s="125"/>
      <c r="NGF177" s="125"/>
      <c r="NGG177" s="125"/>
      <c r="NGH177" s="125"/>
      <c r="NGI177" s="125"/>
      <c r="NGJ177" s="125"/>
      <c r="NGK177" s="125"/>
      <c r="NGL177" s="125"/>
      <c r="NGM177" s="125"/>
      <c r="NGN177" s="125"/>
      <c r="NGO177" s="125"/>
      <c r="NGP177" s="125"/>
      <c r="NGQ177" s="125"/>
      <c r="NGR177" s="125"/>
      <c r="NGS177" s="125"/>
      <c r="NGT177" s="125"/>
      <c r="NGU177" s="125"/>
      <c r="NGV177" s="125"/>
      <c r="NGW177" s="125"/>
      <c r="NGX177" s="125"/>
      <c r="NGY177" s="125"/>
      <c r="NGZ177" s="125"/>
      <c r="NHA177" s="125"/>
      <c r="NHB177" s="125"/>
      <c r="NHC177" s="125"/>
      <c r="NHD177" s="125"/>
      <c r="NHE177" s="125"/>
      <c r="NHF177" s="125"/>
      <c r="NHG177" s="125"/>
      <c r="NHH177" s="125"/>
      <c r="NHI177" s="125"/>
      <c r="NHJ177" s="125"/>
      <c r="NHK177" s="125"/>
      <c r="NHL177" s="125"/>
      <c r="NHM177" s="125"/>
      <c r="NHN177" s="125"/>
      <c r="NHO177" s="125"/>
      <c r="NHP177" s="125"/>
      <c r="NHQ177" s="125"/>
      <c r="NHR177" s="125"/>
      <c r="NHS177" s="125"/>
      <c r="NHT177" s="125"/>
      <c r="NHU177" s="125"/>
      <c r="NHV177" s="125"/>
      <c r="NHW177" s="125"/>
      <c r="NHX177" s="125"/>
      <c r="NHY177" s="125"/>
      <c r="NHZ177" s="125"/>
      <c r="NIA177" s="125"/>
      <c r="NIB177" s="125"/>
      <c r="NIC177" s="125"/>
      <c r="NID177" s="125"/>
      <c r="NIE177" s="125"/>
      <c r="NIF177" s="125"/>
      <c r="NIG177" s="125"/>
      <c r="NIH177" s="125"/>
      <c r="NII177" s="125"/>
      <c r="NIJ177" s="125"/>
      <c r="NIK177" s="125"/>
      <c r="NIL177" s="125"/>
      <c r="NIM177" s="125"/>
      <c r="NIN177" s="125"/>
      <c r="NIO177" s="125"/>
      <c r="NIP177" s="125"/>
      <c r="NIQ177" s="125"/>
      <c r="NIR177" s="125"/>
      <c r="NIS177" s="125"/>
      <c r="NIT177" s="125"/>
      <c r="NIU177" s="125"/>
      <c r="NIV177" s="125"/>
      <c r="NIW177" s="125"/>
      <c r="NIX177" s="125"/>
      <c r="NIY177" s="125"/>
      <c r="NIZ177" s="125"/>
      <c r="NJA177" s="125"/>
      <c r="NJB177" s="125"/>
      <c r="NJC177" s="125"/>
      <c r="NJD177" s="125"/>
      <c r="NJE177" s="125"/>
      <c r="NJF177" s="125"/>
      <c r="NJG177" s="125"/>
      <c r="NJH177" s="125"/>
      <c r="NJI177" s="125"/>
      <c r="NJJ177" s="125"/>
      <c r="NJK177" s="125"/>
      <c r="NJL177" s="125"/>
      <c r="NJM177" s="125"/>
      <c r="NJN177" s="125"/>
      <c r="NJO177" s="125"/>
      <c r="NJP177" s="125"/>
      <c r="NJQ177" s="125"/>
      <c r="NJR177" s="125"/>
      <c r="NJS177" s="125"/>
      <c r="NJT177" s="125"/>
      <c r="NJU177" s="125"/>
      <c r="NJV177" s="125"/>
      <c r="NJW177" s="125"/>
      <c r="NJX177" s="125"/>
      <c r="NJY177" s="125"/>
      <c r="NJZ177" s="125"/>
      <c r="NKA177" s="125"/>
      <c r="NKB177" s="125"/>
      <c r="NKC177" s="125"/>
      <c r="NKD177" s="125"/>
      <c r="NKE177" s="125"/>
      <c r="NKF177" s="125"/>
      <c r="NKG177" s="125"/>
      <c r="NKH177" s="125"/>
      <c r="NKI177" s="125"/>
      <c r="NKJ177" s="125"/>
      <c r="NKK177" s="125"/>
      <c r="NKL177" s="125"/>
      <c r="NKM177" s="125"/>
      <c r="NKN177" s="125"/>
      <c r="NKO177" s="125"/>
      <c r="NKP177" s="125"/>
      <c r="NKQ177" s="125"/>
      <c r="NKR177" s="125"/>
      <c r="NKS177" s="125"/>
      <c r="NKT177" s="125"/>
      <c r="NKU177" s="125"/>
      <c r="NKV177" s="125"/>
      <c r="NKW177" s="125"/>
      <c r="NKX177" s="125"/>
      <c r="NKY177" s="125"/>
      <c r="NKZ177" s="125"/>
      <c r="NLA177" s="125"/>
      <c r="NLB177" s="125"/>
      <c r="NLC177" s="125"/>
      <c r="NLD177" s="125"/>
      <c r="NLE177" s="125"/>
      <c r="NLF177" s="125"/>
      <c r="NLG177" s="125"/>
      <c r="NLH177" s="125"/>
      <c r="NLI177" s="125"/>
      <c r="NLJ177" s="125"/>
      <c r="NLK177" s="125"/>
      <c r="NLL177" s="125"/>
      <c r="NLM177" s="125"/>
      <c r="NLN177" s="125"/>
      <c r="NLO177" s="125"/>
      <c r="NLP177" s="125"/>
      <c r="NLQ177" s="125"/>
      <c r="NLR177" s="125"/>
      <c r="NLS177" s="125"/>
      <c r="NLT177" s="125"/>
      <c r="NLU177" s="125"/>
      <c r="NLV177" s="125"/>
      <c r="NLW177" s="125"/>
      <c r="NLX177" s="125"/>
      <c r="NLY177" s="125"/>
      <c r="NLZ177" s="125"/>
      <c r="NMA177" s="125"/>
      <c r="NMB177" s="125"/>
      <c r="NMC177" s="125"/>
      <c r="NMD177" s="125"/>
      <c r="NME177" s="125"/>
      <c r="NMF177" s="125"/>
      <c r="NMG177" s="125"/>
      <c r="NMH177" s="125"/>
      <c r="NMI177" s="125"/>
      <c r="NMJ177" s="125"/>
      <c r="NMK177" s="125"/>
      <c r="NML177" s="125"/>
      <c r="NMM177" s="125"/>
      <c r="NMN177" s="125"/>
      <c r="NMO177" s="125"/>
      <c r="NMP177" s="125"/>
      <c r="NMQ177" s="125"/>
      <c r="NMR177" s="125"/>
      <c r="NMS177" s="125"/>
      <c r="NMT177" s="125"/>
      <c r="NMU177" s="125"/>
      <c r="NMV177" s="125"/>
      <c r="NMW177" s="125"/>
      <c r="NMX177" s="125"/>
      <c r="NMY177" s="125"/>
      <c r="NMZ177" s="125"/>
      <c r="NNA177" s="125"/>
      <c r="NNB177" s="125"/>
      <c r="NNC177" s="125"/>
      <c r="NND177" s="125"/>
      <c r="NNE177" s="125"/>
      <c r="NNF177" s="125"/>
      <c r="NNG177" s="125"/>
      <c r="NNH177" s="125"/>
      <c r="NNI177" s="125"/>
      <c r="NNJ177" s="125"/>
      <c r="NNK177" s="125"/>
      <c r="NNL177" s="125"/>
      <c r="NNM177" s="125"/>
      <c r="NNN177" s="125"/>
      <c r="NNO177" s="125"/>
      <c r="NNP177" s="125"/>
      <c r="NNQ177" s="125"/>
      <c r="NNR177" s="125"/>
      <c r="NNS177" s="125"/>
      <c r="NNT177" s="125"/>
      <c r="NNU177" s="125"/>
      <c r="NNV177" s="125"/>
      <c r="NNW177" s="125"/>
      <c r="NNX177" s="125"/>
      <c r="NNY177" s="125"/>
      <c r="NNZ177" s="125"/>
      <c r="NOA177" s="125"/>
      <c r="NOB177" s="125"/>
      <c r="NOC177" s="125"/>
      <c r="NOD177" s="125"/>
      <c r="NOE177" s="125"/>
      <c r="NOF177" s="125"/>
      <c r="NOG177" s="125"/>
      <c r="NOH177" s="125"/>
      <c r="NOI177" s="125"/>
      <c r="NOJ177" s="125"/>
      <c r="NOK177" s="125"/>
      <c r="NOL177" s="125"/>
      <c r="NOM177" s="125"/>
      <c r="NON177" s="125"/>
      <c r="NOO177" s="125"/>
      <c r="NOP177" s="125"/>
      <c r="NOQ177" s="125"/>
      <c r="NOR177" s="125"/>
      <c r="NOS177" s="125"/>
      <c r="NOT177" s="125"/>
      <c r="NOU177" s="125"/>
      <c r="NOV177" s="125"/>
      <c r="NOW177" s="125"/>
      <c r="NOX177" s="125"/>
      <c r="NOY177" s="125"/>
      <c r="NOZ177" s="125"/>
      <c r="NPA177" s="125"/>
      <c r="NPB177" s="125"/>
      <c r="NPC177" s="125"/>
      <c r="NPD177" s="125"/>
      <c r="NPE177" s="125"/>
      <c r="NPF177" s="125"/>
      <c r="NPG177" s="125"/>
      <c r="NPH177" s="125"/>
      <c r="NPI177" s="125"/>
      <c r="NPJ177" s="125"/>
      <c r="NPK177" s="125"/>
      <c r="NPL177" s="125"/>
      <c r="NPM177" s="125"/>
      <c r="NPN177" s="125"/>
      <c r="NPO177" s="125"/>
      <c r="NPP177" s="125"/>
      <c r="NPQ177" s="125"/>
      <c r="NPR177" s="125"/>
      <c r="NPS177" s="125"/>
      <c r="NPT177" s="125"/>
      <c r="NPU177" s="125"/>
      <c r="NPV177" s="125"/>
      <c r="NPW177" s="125"/>
      <c r="NPX177" s="125"/>
      <c r="NPY177" s="125"/>
      <c r="NPZ177" s="125"/>
      <c r="NQA177" s="125"/>
      <c r="NQB177" s="125"/>
      <c r="NQC177" s="125"/>
      <c r="NQD177" s="125"/>
      <c r="NQE177" s="125"/>
      <c r="NQF177" s="125"/>
      <c r="NQG177" s="125"/>
      <c r="NQH177" s="125"/>
      <c r="NQI177" s="125"/>
      <c r="NQJ177" s="125"/>
      <c r="NQK177" s="125"/>
      <c r="NQL177" s="125"/>
      <c r="NQM177" s="125"/>
      <c r="NQN177" s="125"/>
      <c r="NQO177" s="125"/>
      <c r="NQP177" s="125"/>
      <c r="NQQ177" s="125"/>
      <c r="NQR177" s="125"/>
      <c r="NQS177" s="125"/>
      <c r="NQT177" s="125"/>
      <c r="NQU177" s="125"/>
      <c r="NQV177" s="125"/>
      <c r="NQW177" s="125"/>
      <c r="NQX177" s="125"/>
      <c r="NQY177" s="125"/>
      <c r="NQZ177" s="125"/>
      <c r="NRA177" s="125"/>
      <c r="NRB177" s="125"/>
      <c r="NRC177" s="125"/>
      <c r="NRD177" s="125"/>
      <c r="NRE177" s="125"/>
      <c r="NRF177" s="125"/>
      <c r="NRG177" s="125"/>
      <c r="NRH177" s="125"/>
      <c r="NRI177" s="125"/>
      <c r="NRJ177" s="125"/>
      <c r="NRK177" s="125"/>
      <c r="NRL177" s="125"/>
      <c r="NRM177" s="125"/>
      <c r="NRN177" s="125"/>
      <c r="NRO177" s="125"/>
      <c r="NRP177" s="125"/>
      <c r="NRQ177" s="125"/>
      <c r="NRR177" s="125"/>
      <c r="NRS177" s="125"/>
      <c r="NRT177" s="125"/>
      <c r="NRU177" s="125"/>
      <c r="NRV177" s="125"/>
      <c r="NRW177" s="125"/>
      <c r="NRX177" s="125"/>
      <c r="NRY177" s="125"/>
      <c r="NRZ177" s="125"/>
      <c r="NSA177" s="125"/>
      <c r="NSB177" s="125"/>
      <c r="NSC177" s="125"/>
      <c r="NSD177" s="125"/>
      <c r="NSE177" s="125"/>
      <c r="NSF177" s="125"/>
      <c r="NSG177" s="125"/>
      <c r="NSH177" s="125"/>
      <c r="NSI177" s="125"/>
      <c r="NSJ177" s="125"/>
      <c r="NSK177" s="125"/>
      <c r="NSL177" s="125"/>
      <c r="NSM177" s="125"/>
      <c r="NSN177" s="125"/>
      <c r="NSO177" s="125"/>
      <c r="NSP177" s="125"/>
      <c r="NSQ177" s="125"/>
      <c r="NSR177" s="125"/>
      <c r="NSS177" s="125"/>
      <c r="NST177" s="125"/>
      <c r="NSU177" s="125"/>
      <c r="NSV177" s="125"/>
      <c r="NSW177" s="125"/>
      <c r="NSX177" s="125"/>
      <c r="NSY177" s="125"/>
      <c r="NSZ177" s="125"/>
      <c r="NTA177" s="125"/>
      <c r="NTB177" s="125"/>
      <c r="NTC177" s="125"/>
      <c r="NTD177" s="125"/>
      <c r="NTE177" s="125"/>
      <c r="NTF177" s="125"/>
      <c r="NTG177" s="125"/>
      <c r="NTH177" s="125"/>
      <c r="NTI177" s="125"/>
      <c r="NTJ177" s="125"/>
      <c r="NTK177" s="125"/>
      <c r="NTL177" s="125"/>
      <c r="NTM177" s="125"/>
      <c r="NTN177" s="125"/>
      <c r="NTO177" s="125"/>
      <c r="NTP177" s="125"/>
      <c r="NTQ177" s="125"/>
      <c r="NTR177" s="125"/>
      <c r="NTS177" s="125"/>
      <c r="NTT177" s="125"/>
      <c r="NTU177" s="125"/>
      <c r="NTV177" s="125"/>
      <c r="NTW177" s="125"/>
      <c r="NTX177" s="125"/>
      <c r="NTY177" s="125"/>
      <c r="NTZ177" s="125"/>
      <c r="NUA177" s="125"/>
      <c r="NUB177" s="125"/>
      <c r="NUC177" s="125"/>
      <c r="NUD177" s="125"/>
      <c r="NUE177" s="125"/>
      <c r="NUF177" s="125"/>
      <c r="NUG177" s="125"/>
      <c r="NUH177" s="125"/>
      <c r="NUI177" s="125"/>
      <c r="NUJ177" s="125"/>
      <c r="NUK177" s="125"/>
      <c r="NUL177" s="125"/>
      <c r="NUM177" s="125"/>
      <c r="NUN177" s="125"/>
      <c r="NUO177" s="125"/>
      <c r="NUP177" s="125"/>
      <c r="NUQ177" s="125"/>
      <c r="NUR177" s="125"/>
      <c r="NUS177" s="125"/>
      <c r="NUT177" s="125"/>
      <c r="NUU177" s="125"/>
      <c r="NUV177" s="125"/>
      <c r="NUW177" s="125"/>
      <c r="NUX177" s="125"/>
      <c r="NUY177" s="125"/>
      <c r="NUZ177" s="125"/>
      <c r="NVA177" s="125"/>
      <c r="NVB177" s="125"/>
      <c r="NVC177" s="125"/>
      <c r="NVD177" s="125"/>
      <c r="NVE177" s="125"/>
      <c r="NVF177" s="125"/>
      <c r="NVG177" s="125"/>
      <c r="NVH177" s="125"/>
      <c r="NVI177" s="125"/>
      <c r="NVJ177" s="125"/>
      <c r="NVK177" s="125"/>
      <c r="NVL177" s="125"/>
      <c r="NVM177" s="125"/>
      <c r="NVN177" s="125"/>
      <c r="NVO177" s="125"/>
      <c r="NVP177" s="125"/>
      <c r="NVQ177" s="125"/>
      <c r="NVR177" s="125"/>
      <c r="NVS177" s="125"/>
      <c r="NVT177" s="125"/>
      <c r="NVU177" s="125"/>
      <c r="NVV177" s="125"/>
      <c r="NVW177" s="125"/>
      <c r="NVX177" s="125"/>
      <c r="NVY177" s="125"/>
      <c r="NVZ177" s="125"/>
      <c r="NWA177" s="125"/>
      <c r="NWB177" s="125"/>
      <c r="NWC177" s="125"/>
      <c r="NWD177" s="125"/>
      <c r="NWE177" s="125"/>
      <c r="NWF177" s="125"/>
      <c r="NWG177" s="125"/>
      <c r="NWH177" s="125"/>
      <c r="NWI177" s="125"/>
      <c r="NWJ177" s="125"/>
      <c r="NWK177" s="125"/>
      <c r="NWL177" s="125"/>
      <c r="NWM177" s="125"/>
      <c r="NWN177" s="125"/>
      <c r="NWO177" s="125"/>
      <c r="NWP177" s="125"/>
      <c r="NWQ177" s="125"/>
      <c r="NWR177" s="125"/>
      <c r="NWS177" s="125"/>
      <c r="NWT177" s="125"/>
      <c r="NWU177" s="125"/>
      <c r="NWV177" s="125"/>
      <c r="NWW177" s="125"/>
      <c r="NWX177" s="125"/>
      <c r="NWY177" s="125"/>
      <c r="NWZ177" s="125"/>
      <c r="NXA177" s="125"/>
      <c r="NXB177" s="125"/>
      <c r="NXC177" s="125"/>
      <c r="NXD177" s="125"/>
      <c r="NXE177" s="125"/>
      <c r="NXF177" s="125"/>
      <c r="NXG177" s="125"/>
      <c r="NXH177" s="125"/>
      <c r="NXI177" s="125"/>
      <c r="NXJ177" s="125"/>
      <c r="NXK177" s="125"/>
      <c r="NXL177" s="125"/>
      <c r="NXM177" s="125"/>
      <c r="NXN177" s="125"/>
      <c r="NXO177" s="125"/>
      <c r="NXP177" s="125"/>
      <c r="NXQ177" s="125"/>
      <c r="NXR177" s="125"/>
      <c r="NXS177" s="125"/>
      <c r="NXT177" s="125"/>
      <c r="NXU177" s="125"/>
      <c r="NXV177" s="125"/>
      <c r="NXW177" s="125"/>
      <c r="NXX177" s="125"/>
      <c r="NXY177" s="125"/>
      <c r="NXZ177" s="125"/>
      <c r="NYA177" s="125"/>
      <c r="NYB177" s="125"/>
      <c r="NYC177" s="125"/>
      <c r="NYD177" s="125"/>
      <c r="NYE177" s="125"/>
      <c r="NYF177" s="125"/>
      <c r="NYG177" s="125"/>
      <c r="NYH177" s="125"/>
      <c r="NYI177" s="125"/>
      <c r="NYJ177" s="125"/>
      <c r="NYK177" s="125"/>
      <c r="NYL177" s="125"/>
      <c r="NYM177" s="125"/>
      <c r="NYN177" s="125"/>
      <c r="NYO177" s="125"/>
      <c r="NYP177" s="125"/>
      <c r="NYQ177" s="125"/>
      <c r="NYR177" s="125"/>
      <c r="NYS177" s="125"/>
      <c r="NYT177" s="125"/>
      <c r="NYU177" s="125"/>
      <c r="NYV177" s="125"/>
      <c r="NYW177" s="125"/>
      <c r="NYX177" s="125"/>
      <c r="NYY177" s="125"/>
      <c r="NYZ177" s="125"/>
      <c r="NZA177" s="125"/>
      <c r="NZB177" s="125"/>
      <c r="NZC177" s="125"/>
      <c r="NZD177" s="125"/>
      <c r="NZE177" s="125"/>
      <c r="NZF177" s="125"/>
      <c r="NZG177" s="125"/>
      <c r="NZH177" s="125"/>
      <c r="NZI177" s="125"/>
      <c r="NZJ177" s="125"/>
      <c r="NZK177" s="125"/>
      <c r="NZL177" s="125"/>
      <c r="NZM177" s="125"/>
      <c r="NZN177" s="125"/>
      <c r="NZO177" s="125"/>
      <c r="NZP177" s="125"/>
      <c r="NZQ177" s="125"/>
      <c r="NZR177" s="125"/>
      <c r="NZS177" s="125"/>
      <c r="NZT177" s="125"/>
      <c r="NZU177" s="125"/>
      <c r="NZV177" s="125"/>
      <c r="NZW177" s="125"/>
      <c r="NZX177" s="125"/>
      <c r="NZY177" s="125"/>
      <c r="NZZ177" s="125"/>
      <c r="OAA177" s="125"/>
      <c r="OAB177" s="125"/>
      <c r="OAC177" s="125"/>
      <c r="OAD177" s="125"/>
      <c r="OAE177" s="125"/>
      <c r="OAF177" s="125"/>
      <c r="OAG177" s="125"/>
      <c r="OAH177" s="125"/>
      <c r="OAI177" s="125"/>
      <c r="OAJ177" s="125"/>
      <c r="OAK177" s="125"/>
      <c r="OAL177" s="125"/>
      <c r="OAM177" s="125"/>
      <c r="OAN177" s="125"/>
      <c r="OAO177" s="125"/>
      <c r="OAP177" s="125"/>
      <c r="OAQ177" s="125"/>
      <c r="OAR177" s="125"/>
      <c r="OAS177" s="125"/>
      <c r="OAT177" s="125"/>
      <c r="OAU177" s="125"/>
      <c r="OAV177" s="125"/>
      <c r="OAW177" s="125"/>
      <c r="OAX177" s="125"/>
      <c r="OAY177" s="125"/>
      <c r="OAZ177" s="125"/>
      <c r="OBA177" s="125"/>
      <c r="OBB177" s="125"/>
      <c r="OBC177" s="125"/>
      <c r="OBD177" s="125"/>
      <c r="OBE177" s="125"/>
      <c r="OBF177" s="125"/>
      <c r="OBG177" s="125"/>
      <c r="OBH177" s="125"/>
      <c r="OBI177" s="125"/>
      <c r="OBJ177" s="125"/>
      <c r="OBK177" s="125"/>
      <c r="OBL177" s="125"/>
      <c r="OBM177" s="125"/>
      <c r="OBN177" s="125"/>
      <c r="OBO177" s="125"/>
      <c r="OBP177" s="125"/>
      <c r="OBQ177" s="125"/>
      <c r="OBR177" s="125"/>
      <c r="OBS177" s="125"/>
      <c r="OBT177" s="125"/>
      <c r="OBU177" s="125"/>
      <c r="OBV177" s="125"/>
      <c r="OBW177" s="125"/>
      <c r="OBX177" s="125"/>
      <c r="OBY177" s="125"/>
      <c r="OBZ177" s="125"/>
      <c r="OCA177" s="125"/>
      <c r="OCB177" s="125"/>
      <c r="OCC177" s="125"/>
      <c r="OCD177" s="125"/>
      <c r="OCE177" s="125"/>
      <c r="OCF177" s="125"/>
      <c r="OCG177" s="125"/>
      <c r="OCH177" s="125"/>
      <c r="OCI177" s="125"/>
      <c r="OCJ177" s="125"/>
      <c r="OCK177" s="125"/>
      <c r="OCL177" s="125"/>
      <c r="OCM177" s="125"/>
      <c r="OCN177" s="125"/>
      <c r="OCO177" s="125"/>
      <c r="OCP177" s="125"/>
      <c r="OCQ177" s="125"/>
      <c r="OCR177" s="125"/>
      <c r="OCS177" s="125"/>
      <c r="OCT177" s="125"/>
      <c r="OCU177" s="125"/>
      <c r="OCV177" s="125"/>
      <c r="OCW177" s="125"/>
      <c r="OCX177" s="125"/>
      <c r="OCY177" s="125"/>
      <c r="OCZ177" s="125"/>
      <c r="ODA177" s="125"/>
      <c r="ODB177" s="125"/>
      <c r="ODC177" s="125"/>
      <c r="ODD177" s="125"/>
      <c r="ODE177" s="125"/>
      <c r="ODF177" s="125"/>
      <c r="ODG177" s="125"/>
      <c r="ODH177" s="125"/>
      <c r="ODI177" s="125"/>
      <c r="ODJ177" s="125"/>
      <c r="ODK177" s="125"/>
      <c r="ODL177" s="125"/>
      <c r="ODM177" s="125"/>
      <c r="ODN177" s="125"/>
      <c r="ODO177" s="125"/>
      <c r="ODP177" s="125"/>
      <c r="ODQ177" s="125"/>
      <c r="ODR177" s="125"/>
      <c r="ODS177" s="125"/>
      <c r="ODT177" s="125"/>
      <c r="ODU177" s="125"/>
      <c r="ODV177" s="125"/>
      <c r="ODW177" s="125"/>
      <c r="ODX177" s="125"/>
      <c r="ODY177" s="125"/>
      <c r="ODZ177" s="125"/>
      <c r="OEA177" s="125"/>
      <c r="OEB177" s="125"/>
      <c r="OEC177" s="125"/>
      <c r="OED177" s="125"/>
      <c r="OEE177" s="125"/>
      <c r="OEF177" s="125"/>
      <c r="OEG177" s="125"/>
      <c r="OEH177" s="125"/>
      <c r="OEI177" s="125"/>
      <c r="OEJ177" s="125"/>
      <c r="OEK177" s="125"/>
      <c r="OEL177" s="125"/>
      <c r="OEM177" s="125"/>
      <c r="OEN177" s="125"/>
      <c r="OEO177" s="125"/>
      <c r="OEP177" s="125"/>
      <c r="OEQ177" s="125"/>
      <c r="OER177" s="125"/>
      <c r="OES177" s="125"/>
      <c r="OET177" s="125"/>
      <c r="OEU177" s="125"/>
      <c r="OEV177" s="125"/>
      <c r="OEW177" s="125"/>
      <c r="OEX177" s="125"/>
      <c r="OEY177" s="125"/>
      <c r="OEZ177" s="125"/>
      <c r="OFA177" s="125"/>
      <c r="OFB177" s="125"/>
      <c r="OFC177" s="125"/>
      <c r="OFD177" s="125"/>
      <c r="OFE177" s="125"/>
      <c r="OFF177" s="125"/>
      <c r="OFG177" s="125"/>
      <c r="OFH177" s="125"/>
      <c r="OFI177" s="125"/>
      <c r="OFJ177" s="125"/>
      <c r="OFK177" s="125"/>
      <c r="OFL177" s="125"/>
      <c r="OFM177" s="125"/>
      <c r="OFN177" s="125"/>
      <c r="OFO177" s="125"/>
      <c r="OFP177" s="125"/>
      <c r="OFQ177" s="125"/>
      <c r="OFR177" s="125"/>
      <c r="OFS177" s="125"/>
      <c r="OFT177" s="125"/>
      <c r="OFU177" s="125"/>
      <c r="OFV177" s="125"/>
      <c r="OFW177" s="125"/>
      <c r="OFX177" s="125"/>
      <c r="OFY177" s="125"/>
      <c r="OFZ177" s="125"/>
      <c r="OGA177" s="125"/>
      <c r="OGB177" s="125"/>
      <c r="OGC177" s="125"/>
      <c r="OGD177" s="125"/>
      <c r="OGE177" s="125"/>
      <c r="OGF177" s="125"/>
      <c r="OGG177" s="125"/>
      <c r="OGH177" s="125"/>
      <c r="OGI177" s="125"/>
      <c r="OGJ177" s="125"/>
      <c r="OGK177" s="125"/>
      <c r="OGL177" s="125"/>
      <c r="OGM177" s="125"/>
      <c r="OGN177" s="125"/>
      <c r="OGO177" s="125"/>
      <c r="OGP177" s="125"/>
      <c r="OGQ177" s="125"/>
      <c r="OGR177" s="125"/>
      <c r="OGS177" s="125"/>
      <c r="OGT177" s="125"/>
      <c r="OGU177" s="125"/>
      <c r="OGV177" s="125"/>
      <c r="OGW177" s="125"/>
      <c r="OGX177" s="125"/>
      <c r="OGY177" s="125"/>
      <c r="OGZ177" s="125"/>
      <c r="OHA177" s="125"/>
      <c r="OHB177" s="125"/>
      <c r="OHC177" s="125"/>
      <c r="OHD177" s="125"/>
      <c r="OHE177" s="125"/>
      <c r="OHF177" s="125"/>
      <c r="OHG177" s="125"/>
      <c r="OHH177" s="125"/>
      <c r="OHI177" s="125"/>
      <c r="OHJ177" s="125"/>
      <c r="OHK177" s="125"/>
      <c r="OHL177" s="125"/>
      <c r="OHM177" s="125"/>
      <c r="OHN177" s="125"/>
      <c r="OHO177" s="125"/>
      <c r="OHP177" s="125"/>
      <c r="OHQ177" s="125"/>
      <c r="OHR177" s="125"/>
      <c r="OHS177" s="125"/>
      <c r="OHT177" s="125"/>
      <c r="OHU177" s="125"/>
      <c r="OHV177" s="125"/>
      <c r="OHW177" s="125"/>
      <c r="OHX177" s="125"/>
      <c r="OHY177" s="125"/>
      <c r="OHZ177" s="125"/>
      <c r="OIA177" s="125"/>
      <c r="OIB177" s="125"/>
      <c r="OIC177" s="125"/>
      <c r="OID177" s="125"/>
      <c r="OIE177" s="125"/>
      <c r="OIF177" s="125"/>
      <c r="OIG177" s="125"/>
      <c r="OIH177" s="125"/>
      <c r="OII177" s="125"/>
      <c r="OIJ177" s="125"/>
      <c r="OIK177" s="125"/>
      <c r="OIL177" s="125"/>
      <c r="OIM177" s="125"/>
      <c r="OIN177" s="125"/>
      <c r="OIO177" s="125"/>
      <c r="OIP177" s="125"/>
      <c r="OIQ177" s="125"/>
      <c r="OIR177" s="125"/>
      <c r="OIS177" s="125"/>
      <c r="OIT177" s="125"/>
      <c r="OIU177" s="125"/>
      <c r="OIV177" s="125"/>
      <c r="OIW177" s="125"/>
      <c r="OIX177" s="125"/>
      <c r="OIY177" s="125"/>
      <c r="OIZ177" s="125"/>
      <c r="OJA177" s="125"/>
      <c r="OJB177" s="125"/>
      <c r="OJC177" s="125"/>
      <c r="OJD177" s="125"/>
      <c r="OJE177" s="125"/>
      <c r="OJF177" s="125"/>
      <c r="OJG177" s="125"/>
      <c r="OJH177" s="125"/>
      <c r="OJI177" s="125"/>
      <c r="OJJ177" s="125"/>
      <c r="OJK177" s="125"/>
      <c r="OJL177" s="125"/>
      <c r="OJM177" s="125"/>
      <c r="OJN177" s="125"/>
      <c r="OJO177" s="125"/>
      <c r="OJP177" s="125"/>
      <c r="OJQ177" s="125"/>
      <c r="OJR177" s="125"/>
      <c r="OJS177" s="125"/>
      <c r="OJT177" s="125"/>
      <c r="OJU177" s="125"/>
      <c r="OJV177" s="125"/>
      <c r="OJW177" s="125"/>
      <c r="OJX177" s="125"/>
      <c r="OJY177" s="125"/>
      <c r="OJZ177" s="125"/>
      <c r="OKA177" s="125"/>
      <c r="OKB177" s="125"/>
      <c r="OKC177" s="125"/>
      <c r="OKD177" s="125"/>
      <c r="OKE177" s="125"/>
      <c r="OKF177" s="125"/>
      <c r="OKG177" s="125"/>
      <c r="OKH177" s="125"/>
      <c r="OKI177" s="125"/>
      <c r="OKJ177" s="125"/>
      <c r="OKK177" s="125"/>
      <c r="OKL177" s="125"/>
      <c r="OKM177" s="125"/>
      <c r="OKN177" s="125"/>
      <c r="OKO177" s="125"/>
      <c r="OKP177" s="125"/>
      <c r="OKQ177" s="125"/>
      <c r="OKR177" s="125"/>
      <c r="OKS177" s="125"/>
      <c r="OKT177" s="125"/>
      <c r="OKU177" s="125"/>
      <c r="OKV177" s="125"/>
      <c r="OKW177" s="125"/>
      <c r="OKX177" s="125"/>
      <c r="OKY177" s="125"/>
      <c r="OKZ177" s="125"/>
      <c r="OLA177" s="125"/>
      <c r="OLB177" s="125"/>
      <c r="OLC177" s="125"/>
      <c r="OLD177" s="125"/>
      <c r="OLE177" s="125"/>
      <c r="OLF177" s="125"/>
      <c r="OLG177" s="125"/>
      <c r="OLH177" s="125"/>
      <c r="OLI177" s="125"/>
      <c r="OLJ177" s="125"/>
      <c r="OLK177" s="125"/>
      <c r="OLL177" s="125"/>
      <c r="OLM177" s="125"/>
      <c r="OLN177" s="125"/>
      <c r="OLO177" s="125"/>
      <c r="OLP177" s="125"/>
      <c r="OLQ177" s="125"/>
      <c r="OLR177" s="125"/>
      <c r="OLS177" s="125"/>
      <c r="OLT177" s="125"/>
      <c r="OLU177" s="125"/>
      <c r="OLV177" s="125"/>
      <c r="OLW177" s="125"/>
      <c r="OLX177" s="125"/>
      <c r="OLY177" s="125"/>
      <c r="OLZ177" s="125"/>
      <c r="OMA177" s="125"/>
      <c r="OMB177" s="125"/>
      <c r="OMC177" s="125"/>
      <c r="OMD177" s="125"/>
      <c r="OME177" s="125"/>
      <c r="OMF177" s="125"/>
      <c r="OMG177" s="125"/>
      <c r="OMH177" s="125"/>
      <c r="OMI177" s="125"/>
      <c r="OMJ177" s="125"/>
      <c r="OMK177" s="125"/>
      <c r="OML177" s="125"/>
      <c r="OMM177" s="125"/>
      <c r="OMN177" s="125"/>
      <c r="OMO177" s="125"/>
      <c r="OMP177" s="125"/>
      <c r="OMQ177" s="125"/>
      <c r="OMR177" s="125"/>
      <c r="OMS177" s="125"/>
      <c r="OMT177" s="125"/>
      <c r="OMU177" s="125"/>
      <c r="OMV177" s="125"/>
      <c r="OMW177" s="125"/>
      <c r="OMX177" s="125"/>
      <c r="OMY177" s="125"/>
      <c r="OMZ177" s="125"/>
      <c r="ONA177" s="125"/>
      <c r="ONB177" s="125"/>
      <c r="ONC177" s="125"/>
      <c r="OND177" s="125"/>
      <c r="ONE177" s="125"/>
      <c r="ONF177" s="125"/>
      <c r="ONG177" s="125"/>
      <c r="ONH177" s="125"/>
      <c r="ONI177" s="125"/>
      <c r="ONJ177" s="125"/>
      <c r="ONK177" s="125"/>
      <c r="ONL177" s="125"/>
      <c r="ONM177" s="125"/>
      <c r="ONN177" s="125"/>
      <c r="ONO177" s="125"/>
      <c r="ONP177" s="125"/>
      <c r="ONQ177" s="125"/>
      <c r="ONR177" s="125"/>
      <c r="ONS177" s="125"/>
      <c r="ONT177" s="125"/>
      <c r="ONU177" s="125"/>
      <c r="ONV177" s="125"/>
      <c r="ONW177" s="125"/>
      <c r="ONX177" s="125"/>
      <c r="ONY177" s="125"/>
      <c r="ONZ177" s="125"/>
      <c r="OOA177" s="125"/>
      <c r="OOB177" s="125"/>
      <c r="OOC177" s="125"/>
      <c r="OOD177" s="125"/>
      <c r="OOE177" s="125"/>
      <c r="OOF177" s="125"/>
      <c r="OOG177" s="125"/>
      <c r="OOH177" s="125"/>
      <c r="OOI177" s="125"/>
      <c r="OOJ177" s="125"/>
      <c r="OOK177" s="125"/>
      <c r="OOL177" s="125"/>
      <c r="OOM177" s="125"/>
      <c r="OON177" s="125"/>
      <c r="OOO177" s="125"/>
      <c r="OOP177" s="125"/>
      <c r="OOQ177" s="125"/>
      <c r="OOR177" s="125"/>
      <c r="OOS177" s="125"/>
      <c r="OOT177" s="125"/>
      <c r="OOU177" s="125"/>
      <c r="OOV177" s="125"/>
      <c r="OOW177" s="125"/>
      <c r="OOX177" s="125"/>
      <c r="OOY177" s="125"/>
      <c r="OOZ177" s="125"/>
      <c r="OPA177" s="125"/>
      <c r="OPB177" s="125"/>
      <c r="OPC177" s="125"/>
      <c r="OPD177" s="125"/>
      <c r="OPE177" s="125"/>
      <c r="OPF177" s="125"/>
      <c r="OPG177" s="125"/>
      <c r="OPH177" s="125"/>
      <c r="OPI177" s="125"/>
      <c r="OPJ177" s="125"/>
      <c r="OPK177" s="125"/>
      <c r="OPL177" s="125"/>
      <c r="OPM177" s="125"/>
      <c r="OPN177" s="125"/>
      <c r="OPO177" s="125"/>
      <c r="OPP177" s="125"/>
      <c r="OPQ177" s="125"/>
      <c r="OPR177" s="125"/>
      <c r="OPS177" s="125"/>
      <c r="OPT177" s="125"/>
      <c r="OPU177" s="125"/>
      <c r="OPV177" s="125"/>
      <c r="OPW177" s="125"/>
      <c r="OPX177" s="125"/>
      <c r="OPY177" s="125"/>
      <c r="OPZ177" s="125"/>
      <c r="OQA177" s="125"/>
      <c r="OQB177" s="125"/>
      <c r="OQC177" s="125"/>
      <c r="OQD177" s="125"/>
      <c r="OQE177" s="125"/>
      <c r="OQF177" s="125"/>
      <c r="OQG177" s="125"/>
      <c r="OQH177" s="125"/>
      <c r="OQI177" s="125"/>
      <c r="OQJ177" s="125"/>
      <c r="OQK177" s="125"/>
      <c r="OQL177" s="125"/>
      <c r="OQM177" s="125"/>
      <c r="OQN177" s="125"/>
      <c r="OQO177" s="125"/>
      <c r="OQP177" s="125"/>
      <c r="OQQ177" s="125"/>
      <c r="OQR177" s="125"/>
      <c r="OQS177" s="125"/>
      <c r="OQT177" s="125"/>
      <c r="OQU177" s="125"/>
      <c r="OQV177" s="125"/>
      <c r="OQW177" s="125"/>
      <c r="OQX177" s="125"/>
      <c r="OQY177" s="125"/>
      <c r="OQZ177" s="125"/>
      <c r="ORA177" s="125"/>
      <c r="ORB177" s="125"/>
      <c r="ORC177" s="125"/>
      <c r="ORD177" s="125"/>
      <c r="ORE177" s="125"/>
      <c r="ORF177" s="125"/>
      <c r="ORG177" s="125"/>
      <c r="ORH177" s="125"/>
      <c r="ORI177" s="125"/>
      <c r="ORJ177" s="125"/>
      <c r="ORK177" s="125"/>
      <c r="ORL177" s="125"/>
      <c r="ORM177" s="125"/>
      <c r="ORN177" s="125"/>
      <c r="ORO177" s="125"/>
      <c r="ORP177" s="125"/>
      <c r="ORQ177" s="125"/>
      <c r="ORR177" s="125"/>
      <c r="ORS177" s="125"/>
      <c r="ORT177" s="125"/>
      <c r="ORU177" s="125"/>
      <c r="ORV177" s="125"/>
      <c r="ORW177" s="125"/>
      <c r="ORX177" s="125"/>
      <c r="ORY177" s="125"/>
      <c r="ORZ177" s="125"/>
      <c r="OSA177" s="125"/>
      <c r="OSB177" s="125"/>
      <c r="OSC177" s="125"/>
      <c r="OSD177" s="125"/>
      <c r="OSE177" s="125"/>
      <c r="OSF177" s="125"/>
      <c r="OSG177" s="125"/>
      <c r="OSH177" s="125"/>
      <c r="OSI177" s="125"/>
      <c r="OSJ177" s="125"/>
      <c r="OSK177" s="125"/>
      <c r="OSL177" s="125"/>
      <c r="OSM177" s="125"/>
      <c r="OSN177" s="125"/>
      <c r="OSO177" s="125"/>
      <c r="OSP177" s="125"/>
      <c r="OSQ177" s="125"/>
      <c r="OSR177" s="125"/>
      <c r="OSS177" s="125"/>
      <c r="OST177" s="125"/>
      <c r="OSU177" s="125"/>
      <c r="OSV177" s="125"/>
      <c r="OSW177" s="125"/>
      <c r="OSX177" s="125"/>
      <c r="OSY177" s="125"/>
      <c r="OSZ177" s="125"/>
      <c r="OTA177" s="125"/>
      <c r="OTB177" s="125"/>
      <c r="OTC177" s="125"/>
      <c r="OTD177" s="125"/>
      <c r="OTE177" s="125"/>
      <c r="OTF177" s="125"/>
      <c r="OTG177" s="125"/>
      <c r="OTH177" s="125"/>
      <c r="OTI177" s="125"/>
      <c r="OTJ177" s="125"/>
      <c r="OTK177" s="125"/>
      <c r="OTL177" s="125"/>
      <c r="OTM177" s="125"/>
      <c r="OTN177" s="125"/>
      <c r="OTO177" s="125"/>
      <c r="OTP177" s="125"/>
      <c r="OTQ177" s="125"/>
      <c r="OTR177" s="125"/>
      <c r="OTS177" s="125"/>
      <c r="OTT177" s="125"/>
      <c r="OTU177" s="125"/>
      <c r="OTV177" s="125"/>
      <c r="OTW177" s="125"/>
      <c r="OTX177" s="125"/>
      <c r="OTY177" s="125"/>
      <c r="OTZ177" s="125"/>
      <c r="OUA177" s="125"/>
      <c r="OUB177" s="125"/>
      <c r="OUC177" s="125"/>
      <c r="OUD177" s="125"/>
      <c r="OUE177" s="125"/>
      <c r="OUF177" s="125"/>
      <c r="OUG177" s="125"/>
      <c r="OUH177" s="125"/>
      <c r="OUI177" s="125"/>
      <c r="OUJ177" s="125"/>
      <c r="OUK177" s="125"/>
      <c r="OUL177" s="125"/>
      <c r="OUM177" s="125"/>
      <c r="OUN177" s="125"/>
      <c r="OUO177" s="125"/>
      <c r="OUP177" s="125"/>
      <c r="OUQ177" s="125"/>
      <c r="OUR177" s="125"/>
      <c r="OUS177" s="125"/>
      <c r="OUT177" s="125"/>
      <c r="OUU177" s="125"/>
      <c r="OUV177" s="125"/>
      <c r="OUW177" s="125"/>
      <c r="OUX177" s="125"/>
      <c r="OUY177" s="125"/>
      <c r="OUZ177" s="125"/>
      <c r="OVA177" s="125"/>
      <c r="OVB177" s="125"/>
      <c r="OVC177" s="125"/>
      <c r="OVD177" s="125"/>
      <c r="OVE177" s="125"/>
      <c r="OVF177" s="125"/>
      <c r="OVG177" s="125"/>
      <c r="OVH177" s="125"/>
      <c r="OVI177" s="125"/>
      <c r="OVJ177" s="125"/>
      <c r="OVK177" s="125"/>
      <c r="OVL177" s="125"/>
      <c r="OVM177" s="125"/>
      <c r="OVN177" s="125"/>
      <c r="OVO177" s="125"/>
      <c r="OVP177" s="125"/>
      <c r="OVQ177" s="125"/>
      <c r="OVR177" s="125"/>
      <c r="OVS177" s="125"/>
      <c r="OVT177" s="125"/>
      <c r="OVU177" s="125"/>
      <c r="OVV177" s="125"/>
      <c r="OVW177" s="125"/>
      <c r="OVX177" s="125"/>
      <c r="OVY177" s="125"/>
      <c r="OVZ177" s="125"/>
      <c r="OWA177" s="125"/>
      <c r="OWB177" s="125"/>
      <c r="OWC177" s="125"/>
      <c r="OWD177" s="125"/>
      <c r="OWE177" s="125"/>
      <c r="OWF177" s="125"/>
      <c r="OWG177" s="125"/>
      <c r="OWH177" s="125"/>
      <c r="OWI177" s="125"/>
      <c r="OWJ177" s="125"/>
      <c r="OWK177" s="125"/>
      <c r="OWL177" s="125"/>
      <c r="OWM177" s="125"/>
      <c r="OWN177" s="125"/>
      <c r="OWO177" s="125"/>
      <c r="OWP177" s="125"/>
      <c r="OWQ177" s="125"/>
      <c r="OWR177" s="125"/>
      <c r="OWS177" s="125"/>
      <c r="OWT177" s="125"/>
      <c r="OWU177" s="125"/>
      <c r="OWV177" s="125"/>
      <c r="OWW177" s="125"/>
      <c r="OWX177" s="125"/>
      <c r="OWY177" s="125"/>
      <c r="OWZ177" s="125"/>
      <c r="OXA177" s="125"/>
      <c r="OXB177" s="125"/>
      <c r="OXC177" s="125"/>
      <c r="OXD177" s="125"/>
      <c r="OXE177" s="125"/>
      <c r="OXF177" s="125"/>
      <c r="OXG177" s="125"/>
      <c r="OXH177" s="125"/>
      <c r="OXI177" s="125"/>
      <c r="OXJ177" s="125"/>
      <c r="OXK177" s="125"/>
      <c r="OXL177" s="125"/>
      <c r="OXM177" s="125"/>
      <c r="OXN177" s="125"/>
      <c r="OXO177" s="125"/>
      <c r="OXP177" s="125"/>
      <c r="OXQ177" s="125"/>
      <c r="OXR177" s="125"/>
      <c r="OXS177" s="125"/>
      <c r="OXT177" s="125"/>
      <c r="OXU177" s="125"/>
      <c r="OXV177" s="125"/>
      <c r="OXW177" s="125"/>
      <c r="OXX177" s="125"/>
      <c r="OXY177" s="125"/>
      <c r="OXZ177" s="125"/>
      <c r="OYA177" s="125"/>
      <c r="OYB177" s="125"/>
      <c r="OYC177" s="125"/>
      <c r="OYD177" s="125"/>
      <c r="OYE177" s="125"/>
      <c r="OYF177" s="125"/>
      <c r="OYG177" s="125"/>
      <c r="OYH177" s="125"/>
      <c r="OYI177" s="125"/>
      <c r="OYJ177" s="125"/>
      <c r="OYK177" s="125"/>
      <c r="OYL177" s="125"/>
      <c r="OYM177" s="125"/>
      <c r="OYN177" s="125"/>
      <c r="OYO177" s="125"/>
      <c r="OYP177" s="125"/>
      <c r="OYQ177" s="125"/>
      <c r="OYR177" s="125"/>
      <c r="OYS177" s="125"/>
      <c r="OYT177" s="125"/>
      <c r="OYU177" s="125"/>
      <c r="OYV177" s="125"/>
      <c r="OYW177" s="125"/>
      <c r="OYX177" s="125"/>
      <c r="OYY177" s="125"/>
      <c r="OYZ177" s="125"/>
      <c r="OZA177" s="125"/>
      <c r="OZB177" s="125"/>
      <c r="OZC177" s="125"/>
      <c r="OZD177" s="125"/>
      <c r="OZE177" s="125"/>
      <c r="OZF177" s="125"/>
      <c r="OZG177" s="125"/>
      <c r="OZH177" s="125"/>
      <c r="OZI177" s="125"/>
      <c r="OZJ177" s="125"/>
      <c r="OZK177" s="125"/>
      <c r="OZL177" s="125"/>
      <c r="OZM177" s="125"/>
      <c r="OZN177" s="125"/>
      <c r="OZO177" s="125"/>
      <c r="OZP177" s="125"/>
      <c r="OZQ177" s="125"/>
      <c r="OZR177" s="125"/>
      <c r="OZS177" s="125"/>
      <c r="OZT177" s="125"/>
      <c r="OZU177" s="125"/>
      <c r="OZV177" s="125"/>
      <c r="OZW177" s="125"/>
      <c r="OZX177" s="125"/>
      <c r="OZY177" s="125"/>
      <c r="OZZ177" s="125"/>
      <c r="PAA177" s="125"/>
      <c r="PAB177" s="125"/>
      <c r="PAC177" s="125"/>
      <c r="PAD177" s="125"/>
      <c r="PAE177" s="125"/>
      <c r="PAF177" s="125"/>
      <c r="PAG177" s="125"/>
      <c r="PAH177" s="125"/>
      <c r="PAI177" s="125"/>
      <c r="PAJ177" s="125"/>
      <c r="PAK177" s="125"/>
      <c r="PAL177" s="125"/>
      <c r="PAM177" s="125"/>
      <c r="PAN177" s="125"/>
      <c r="PAO177" s="125"/>
      <c r="PAP177" s="125"/>
      <c r="PAQ177" s="125"/>
      <c r="PAR177" s="125"/>
      <c r="PAS177" s="125"/>
      <c r="PAT177" s="125"/>
      <c r="PAU177" s="125"/>
      <c r="PAV177" s="125"/>
      <c r="PAW177" s="125"/>
      <c r="PAX177" s="125"/>
      <c r="PAY177" s="125"/>
      <c r="PAZ177" s="125"/>
      <c r="PBA177" s="125"/>
      <c r="PBB177" s="125"/>
      <c r="PBC177" s="125"/>
      <c r="PBD177" s="125"/>
      <c r="PBE177" s="125"/>
      <c r="PBF177" s="125"/>
      <c r="PBG177" s="125"/>
      <c r="PBH177" s="125"/>
      <c r="PBI177" s="125"/>
      <c r="PBJ177" s="125"/>
      <c r="PBK177" s="125"/>
      <c r="PBL177" s="125"/>
      <c r="PBM177" s="125"/>
      <c r="PBN177" s="125"/>
      <c r="PBO177" s="125"/>
      <c r="PBP177" s="125"/>
      <c r="PBQ177" s="125"/>
      <c r="PBR177" s="125"/>
      <c r="PBS177" s="125"/>
      <c r="PBT177" s="125"/>
      <c r="PBU177" s="125"/>
      <c r="PBV177" s="125"/>
      <c r="PBW177" s="125"/>
      <c r="PBX177" s="125"/>
      <c r="PBY177" s="125"/>
      <c r="PBZ177" s="125"/>
      <c r="PCA177" s="125"/>
      <c r="PCB177" s="125"/>
      <c r="PCC177" s="125"/>
      <c r="PCD177" s="125"/>
      <c r="PCE177" s="125"/>
      <c r="PCF177" s="125"/>
      <c r="PCG177" s="125"/>
      <c r="PCH177" s="125"/>
      <c r="PCI177" s="125"/>
      <c r="PCJ177" s="125"/>
      <c r="PCK177" s="125"/>
      <c r="PCL177" s="125"/>
      <c r="PCM177" s="125"/>
      <c r="PCN177" s="125"/>
      <c r="PCO177" s="125"/>
      <c r="PCP177" s="125"/>
      <c r="PCQ177" s="125"/>
      <c r="PCR177" s="125"/>
      <c r="PCS177" s="125"/>
      <c r="PCT177" s="125"/>
      <c r="PCU177" s="125"/>
      <c r="PCV177" s="125"/>
      <c r="PCW177" s="125"/>
      <c r="PCX177" s="125"/>
      <c r="PCY177" s="125"/>
      <c r="PCZ177" s="125"/>
      <c r="PDA177" s="125"/>
      <c r="PDB177" s="125"/>
      <c r="PDC177" s="125"/>
      <c r="PDD177" s="125"/>
      <c r="PDE177" s="125"/>
      <c r="PDF177" s="125"/>
      <c r="PDG177" s="125"/>
      <c r="PDH177" s="125"/>
      <c r="PDI177" s="125"/>
      <c r="PDJ177" s="125"/>
      <c r="PDK177" s="125"/>
      <c r="PDL177" s="125"/>
      <c r="PDM177" s="125"/>
      <c r="PDN177" s="125"/>
      <c r="PDO177" s="125"/>
      <c r="PDP177" s="125"/>
      <c r="PDQ177" s="125"/>
      <c r="PDR177" s="125"/>
      <c r="PDS177" s="125"/>
      <c r="PDT177" s="125"/>
      <c r="PDU177" s="125"/>
      <c r="PDV177" s="125"/>
      <c r="PDW177" s="125"/>
      <c r="PDX177" s="125"/>
      <c r="PDY177" s="125"/>
      <c r="PDZ177" s="125"/>
      <c r="PEA177" s="125"/>
      <c r="PEB177" s="125"/>
      <c r="PEC177" s="125"/>
      <c r="PED177" s="125"/>
      <c r="PEE177" s="125"/>
      <c r="PEF177" s="125"/>
      <c r="PEG177" s="125"/>
      <c r="PEH177" s="125"/>
      <c r="PEI177" s="125"/>
      <c r="PEJ177" s="125"/>
      <c r="PEK177" s="125"/>
      <c r="PEL177" s="125"/>
      <c r="PEM177" s="125"/>
      <c r="PEN177" s="125"/>
      <c r="PEO177" s="125"/>
      <c r="PEP177" s="125"/>
      <c r="PEQ177" s="125"/>
      <c r="PER177" s="125"/>
      <c r="PES177" s="125"/>
      <c r="PET177" s="125"/>
      <c r="PEU177" s="125"/>
      <c r="PEV177" s="125"/>
      <c r="PEW177" s="125"/>
      <c r="PEX177" s="125"/>
      <c r="PEY177" s="125"/>
      <c r="PEZ177" s="125"/>
      <c r="PFA177" s="125"/>
      <c r="PFB177" s="125"/>
      <c r="PFC177" s="125"/>
      <c r="PFD177" s="125"/>
      <c r="PFE177" s="125"/>
      <c r="PFF177" s="125"/>
      <c r="PFG177" s="125"/>
      <c r="PFH177" s="125"/>
      <c r="PFI177" s="125"/>
      <c r="PFJ177" s="125"/>
      <c r="PFK177" s="125"/>
      <c r="PFL177" s="125"/>
      <c r="PFM177" s="125"/>
      <c r="PFN177" s="125"/>
      <c r="PFO177" s="125"/>
      <c r="PFP177" s="125"/>
      <c r="PFQ177" s="125"/>
      <c r="PFR177" s="125"/>
      <c r="PFS177" s="125"/>
      <c r="PFT177" s="125"/>
      <c r="PFU177" s="125"/>
      <c r="PFV177" s="125"/>
      <c r="PFW177" s="125"/>
      <c r="PFX177" s="125"/>
      <c r="PFY177" s="125"/>
      <c r="PFZ177" s="125"/>
      <c r="PGA177" s="125"/>
      <c r="PGB177" s="125"/>
      <c r="PGC177" s="125"/>
      <c r="PGD177" s="125"/>
      <c r="PGE177" s="125"/>
      <c r="PGF177" s="125"/>
      <c r="PGG177" s="125"/>
      <c r="PGH177" s="125"/>
      <c r="PGI177" s="125"/>
      <c r="PGJ177" s="125"/>
      <c r="PGK177" s="125"/>
      <c r="PGL177" s="125"/>
      <c r="PGM177" s="125"/>
      <c r="PGN177" s="125"/>
      <c r="PGO177" s="125"/>
      <c r="PGP177" s="125"/>
      <c r="PGQ177" s="125"/>
      <c r="PGR177" s="125"/>
      <c r="PGS177" s="125"/>
      <c r="PGT177" s="125"/>
      <c r="PGU177" s="125"/>
      <c r="PGV177" s="125"/>
      <c r="PGW177" s="125"/>
      <c r="PGX177" s="125"/>
      <c r="PGY177" s="125"/>
      <c r="PGZ177" s="125"/>
      <c r="PHA177" s="125"/>
      <c r="PHB177" s="125"/>
      <c r="PHC177" s="125"/>
      <c r="PHD177" s="125"/>
      <c r="PHE177" s="125"/>
      <c r="PHF177" s="125"/>
      <c r="PHG177" s="125"/>
      <c r="PHH177" s="125"/>
      <c r="PHI177" s="125"/>
      <c r="PHJ177" s="125"/>
      <c r="PHK177" s="125"/>
      <c r="PHL177" s="125"/>
      <c r="PHM177" s="125"/>
      <c r="PHN177" s="125"/>
      <c r="PHO177" s="125"/>
      <c r="PHP177" s="125"/>
      <c r="PHQ177" s="125"/>
      <c r="PHR177" s="125"/>
      <c r="PHS177" s="125"/>
      <c r="PHT177" s="125"/>
      <c r="PHU177" s="125"/>
      <c r="PHV177" s="125"/>
      <c r="PHW177" s="125"/>
      <c r="PHX177" s="125"/>
      <c r="PHY177" s="125"/>
      <c r="PHZ177" s="125"/>
      <c r="PIA177" s="125"/>
      <c r="PIB177" s="125"/>
      <c r="PIC177" s="125"/>
      <c r="PID177" s="125"/>
      <c r="PIE177" s="125"/>
      <c r="PIF177" s="125"/>
      <c r="PIG177" s="125"/>
      <c r="PIH177" s="125"/>
      <c r="PII177" s="125"/>
      <c r="PIJ177" s="125"/>
      <c r="PIK177" s="125"/>
      <c r="PIL177" s="125"/>
      <c r="PIM177" s="125"/>
      <c r="PIN177" s="125"/>
      <c r="PIO177" s="125"/>
      <c r="PIP177" s="125"/>
      <c r="PIQ177" s="125"/>
      <c r="PIR177" s="125"/>
      <c r="PIS177" s="125"/>
      <c r="PIT177" s="125"/>
      <c r="PIU177" s="125"/>
      <c r="PIV177" s="125"/>
      <c r="PIW177" s="125"/>
      <c r="PIX177" s="125"/>
      <c r="PIY177" s="125"/>
      <c r="PIZ177" s="125"/>
      <c r="PJA177" s="125"/>
      <c r="PJB177" s="125"/>
      <c r="PJC177" s="125"/>
      <c r="PJD177" s="125"/>
      <c r="PJE177" s="125"/>
      <c r="PJF177" s="125"/>
      <c r="PJG177" s="125"/>
      <c r="PJH177" s="125"/>
      <c r="PJI177" s="125"/>
      <c r="PJJ177" s="125"/>
      <c r="PJK177" s="125"/>
      <c r="PJL177" s="125"/>
      <c r="PJM177" s="125"/>
      <c r="PJN177" s="125"/>
      <c r="PJO177" s="125"/>
      <c r="PJP177" s="125"/>
      <c r="PJQ177" s="125"/>
      <c r="PJR177" s="125"/>
      <c r="PJS177" s="125"/>
      <c r="PJT177" s="125"/>
      <c r="PJU177" s="125"/>
      <c r="PJV177" s="125"/>
      <c r="PJW177" s="125"/>
      <c r="PJX177" s="125"/>
      <c r="PJY177" s="125"/>
      <c r="PJZ177" s="125"/>
      <c r="PKA177" s="125"/>
      <c r="PKB177" s="125"/>
      <c r="PKC177" s="125"/>
      <c r="PKD177" s="125"/>
      <c r="PKE177" s="125"/>
      <c r="PKF177" s="125"/>
      <c r="PKG177" s="125"/>
      <c r="PKH177" s="125"/>
      <c r="PKI177" s="125"/>
      <c r="PKJ177" s="125"/>
      <c r="PKK177" s="125"/>
      <c r="PKL177" s="125"/>
      <c r="PKM177" s="125"/>
      <c r="PKN177" s="125"/>
      <c r="PKO177" s="125"/>
      <c r="PKP177" s="125"/>
      <c r="PKQ177" s="125"/>
      <c r="PKR177" s="125"/>
      <c r="PKS177" s="125"/>
      <c r="PKT177" s="125"/>
      <c r="PKU177" s="125"/>
      <c r="PKV177" s="125"/>
      <c r="PKW177" s="125"/>
      <c r="PKX177" s="125"/>
      <c r="PKY177" s="125"/>
      <c r="PKZ177" s="125"/>
      <c r="PLA177" s="125"/>
      <c r="PLB177" s="125"/>
      <c r="PLC177" s="125"/>
      <c r="PLD177" s="125"/>
      <c r="PLE177" s="125"/>
      <c r="PLF177" s="125"/>
      <c r="PLG177" s="125"/>
      <c r="PLH177" s="125"/>
      <c r="PLI177" s="125"/>
      <c r="PLJ177" s="125"/>
      <c r="PLK177" s="125"/>
      <c r="PLL177" s="125"/>
      <c r="PLM177" s="125"/>
      <c r="PLN177" s="125"/>
      <c r="PLO177" s="125"/>
      <c r="PLP177" s="125"/>
      <c r="PLQ177" s="125"/>
      <c r="PLR177" s="125"/>
      <c r="PLS177" s="125"/>
      <c r="PLT177" s="125"/>
      <c r="PLU177" s="125"/>
      <c r="PLV177" s="125"/>
      <c r="PLW177" s="125"/>
      <c r="PLX177" s="125"/>
      <c r="PLY177" s="125"/>
      <c r="PLZ177" s="125"/>
      <c r="PMA177" s="125"/>
      <c r="PMB177" s="125"/>
      <c r="PMC177" s="125"/>
      <c r="PMD177" s="125"/>
      <c r="PME177" s="125"/>
      <c r="PMF177" s="125"/>
      <c r="PMG177" s="125"/>
      <c r="PMH177" s="125"/>
      <c r="PMI177" s="125"/>
      <c r="PMJ177" s="125"/>
      <c r="PMK177" s="125"/>
      <c r="PML177" s="125"/>
      <c r="PMM177" s="125"/>
      <c r="PMN177" s="125"/>
      <c r="PMO177" s="125"/>
      <c r="PMP177" s="125"/>
      <c r="PMQ177" s="125"/>
      <c r="PMR177" s="125"/>
      <c r="PMS177" s="125"/>
      <c r="PMT177" s="125"/>
      <c r="PMU177" s="125"/>
      <c r="PMV177" s="125"/>
      <c r="PMW177" s="125"/>
      <c r="PMX177" s="125"/>
      <c r="PMY177" s="125"/>
      <c r="PMZ177" s="125"/>
      <c r="PNA177" s="125"/>
      <c r="PNB177" s="125"/>
      <c r="PNC177" s="125"/>
      <c r="PND177" s="125"/>
      <c r="PNE177" s="125"/>
      <c r="PNF177" s="125"/>
      <c r="PNG177" s="125"/>
      <c r="PNH177" s="125"/>
      <c r="PNI177" s="125"/>
      <c r="PNJ177" s="125"/>
      <c r="PNK177" s="125"/>
      <c r="PNL177" s="125"/>
      <c r="PNM177" s="125"/>
      <c r="PNN177" s="125"/>
      <c r="PNO177" s="125"/>
      <c r="PNP177" s="125"/>
      <c r="PNQ177" s="125"/>
      <c r="PNR177" s="125"/>
      <c r="PNS177" s="125"/>
      <c r="PNT177" s="125"/>
      <c r="PNU177" s="125"/>
      <c r="PNV177" s="125"/>
      <c r="PNW177" s="125"/>
      <c r="PNX177" s="125"/>
      <c r="PNY177" s="125"/>
      <c r="PNZ177" s="125"/>
      <c r="POA177" s="125"/>
      <c r="POB177" s="125"/>
      <c r="POC177" s="125"/>
      <c r="POD177" s="125"/>
      <c r="POE177" s="125"/>
      <c r="POF177" s="125"/>
      <c r="POG177" s="125"/>
      <c r="POH177" s="125"/>
      <c r="POI177" s="125"/>
      <c r="POJ177" s="125"/>
      <c r="POK177" s="125"/>
      <c r="POL177" s="125"/>
      <c r="POM177" s="125"/>
      <c r="PON177" s="125"/>
      <c r="POO177" s="125"/>
      <c r="POP177" s="125"/>
      <c r="POQ177" s="125"/>
      <c r="POR177" s="125"/>
      <c r="POS177" s="125"/>
      <c r="POT177" s="125"/>
      <c r="POU177" s="125"/>
      <c r="POV177" s="125"/>
      <c r="POW177" s="125"/>
      <c r="POX177" s="125"/>
      <c r="POY177" s="125"/>
      <c r="POZ177" s="125"/>
      <c r="PPA177" s="125"/>
      <c r="PPB177" s="125"/>
      <c r="PPC177" s="125"/>
      <c r="PPD177" s="125"/>
      <c r="PPE177" s="125"/>
      <c r="PPF177" s="125"/>
      <c r="PPG177" s="125"/>
      <c r="PPH177" s="125"/>
      <c r="PPI177" s="125"/>
      <c r="PPJ177" s="125"/>
      <c r="PPK177" s="125"/>
      <c r="PPL177" s="125"/>
      <c r="PPM177" s="125"/>
      <c r="PPN177" s="125"/>
      <c r="PPO177" s="125"/>
      <c r="PPP177" s="125"/>
      <c r="PPQ177" s="125"/>
      <c r="PPR177" s="125"/>
      <c r="PPS177" s="125"/>
      <c r="PPT177" s="125"/>
      <c r="PPU177" s="125"/>
      <c r="PPV177" s="125"/>
      <c r="PPW177" s="125"/>
      <c r="PPX177" s="125"/>
      <c r="PPY177" s="125"/>
      <c r="PPZ177" s="125"/>
      <c r="PQA177" s="125"/>
      <c r="PQB177" s="125"/>
      <c r="PQC177" s="125"/>
      <c r="PQD177" s="125"/>
      <c r="PQE177" s="125"/>
      <c r="PQF177" s="125"/>
      <c r="PQG177" s="125"/>
      <c r="PQH177" s="125"/>
      <c r="PQI177" s="125"/>
      <c r="PQJ177" s="125"/>
      <c r="PQK177" s="125"/>
      <c r="PQL177" s="125"/>
      <c r="PQM177" s="125"/>
      <c r="PQN177" s="125"/>
      <c r="PQO177" s="125"/>
      <c r="PQP177" s="125"/>
      <c r="PQQ177" s="125"/>
      <c r="PQR177" s="125"/>
      <c r="PQS177" s="125"/>
      <c r="PQT177" s="125"/>
      <c r="PQU177" s="125"/>
      <c r="PQV177" s="125"/>
      <c r="PQW177" s="125"/>
      <c r="PQX177" s="125"/>
      <c r="PQY177" s="125"/>
      <c r="PQZ177" s="125"/>
      <c r="PRA177" s="125"/>
      <c r="PRB177" s="125"/>
      <c r="PRC177" s="125"/>
      <c r="PRD177" s="125"/>
      <c r="PRE177" s="125"/>
      <c r="PRF177" s="125"/>
      <c r="PRG177" s="125"/>
      <c r="PRH177" s="125"/>
      <c r="PRI177" s="125"/>
      <c r="PRJ177" s="125"/>
      <c r="PRK177" s="125"/>
      <c r="PRL177" s="125"/>
      <c r="PRM177" s="125"/>
      <c r="PRN177" s="125"/>
      <c r="PRO177" s="125"/>
      <c r="PRP177" s="125"/>
      <c r="PRQ177" s="125"/>
      <c r="PRR177" s="125"/>
      <c r="PRS177" s="125"/>
      <c r="PRT177" s="125"/>
      <c r="PRU177" s="125"/>
      <c r="PRV177" s="125"/>
      <c r="PRW177" s="125"/>
      <c r="PRX177" s="125"/>
      <c r="PRY177" s="125"/>
      <c r="PRZ177" s="125"/>
      <c r="PSA177" s="125"/>
      <c r="PSB177" s="125"/>
      <c r="PSC177" s="125"/>
      <c r="PSD177" s="125"/>
      <c r="PSE177" s="125"/>
      <c r="PSF177" s="125"/>
      <c r="PSG177" s="125"/>
      <c r="PSH177" s="125"/>
      <c r="PSI177" s="125"/>
      <c r="PSJ177" s="125"/>
      <c r="PSK177" s="125"/>
      <c r="PSL177" s="125"/>
      <c r="PSM177" s="125"/>
      <c r="PSN177" s="125"/>
      <c r="PSO177" s="125"/>
      <c r="PSP177" s="125"/>
      <c r="PSQ177" s="125"/>
      <c r="PSR177" s="125"/>
      <c r="PSS177" s="125"/>
      <c r="PST177" s="125"/>
      <c r="PSU177" s="125"/>
      <c r="PSV177" s="125"/>
      <c r="PSW177" s="125"/>
      <c r="PSX177" s="125"/>
      <c r="PSY177" s="125"/>
      <c r="PSZ177" s="125"/>
      <c r="PTA177" s="125"/>
      <c r="PTB177" s="125"/>
      <c r="PTC177" s="125"/>
      <c r="PTD177" s="125"/>
      <c r="PTE177" s="125"/>
      <c r="PTF177" s="125"/>
      <c r="PTG177" s="125"/>
      <c r="PTH177" s="125"/>
      <c r="PTI177" s="125"/>
      <c r="PTJ177" s="125"/>
      <c r="PTK177" s="125"/>
      <c r="PTL177" s="125"/>
      <c r="PTM177" s="125"/>
      <c r="PTN177" s="125"/>
      <c r="PTO177" s="125"/>
      <c r="PTP177" s="125"/>
      <c r="PTQ177" s="125"/>
      <c r="PTR177" s="125"/>
      <c r="PTS177" s="125"/>
      <c r="PTT177" s="125"/>
      <c r="PTU177" s="125"/>
      <c r="PTV177" s="125"/>
      <c r="PTW177" s="125"/>
      <c r="PTX177" s="125"/>
      <c r="PTY177" s="125"/>
      <c r="PTZ177" s="125"/>
      <c r="PUA177" s="125"/>
      <c r="PUB177" s="125"/>
      <c r="PUC177" s="125"/>
      <c r="PUD177" s="125"/>
      <c r="PUE177" s="125"/>
      <c r="PUF177" s="125"/>
      <c r="PUG177" s="125"/>
      <c r="PUH177" s="125"/>
      <c r="PUI177" s="125"/>
      <c r="PUJ177" s="125"/>
      <c r="PUK177" s="125"/>
      <c r="PUL177" s="125"/>
      <c r="PUM177" s="125"/>
      <c r="PUN177" s="125"/>
      <c r="PUO177" s="125"/>
      <c r="PUP177" s="125"/>
      <c r="PUQ177" s="125"/>
      <c r="PUR177" s="125"/>
      <c r="PUS177" s="125"/>
      <c r="PUT177" s="125"/>
      <c r="PUU177" s="125"/>
      <c r="PUV177" s="125"/>
      <c r="PUW177" s="125"/>
      <c r="PUX177" s="125"/>
      <c r="PUY177" s="125"/>
      <c r="PUZ177" s="125"/>
      <c r="PVA177" s="125"/>
      <c r="PVB177" s="125"/>
      <c r="PVC177" s="125"/>
      <c r="PVD177" s="125"/>
      <c r="PVE177" s="125"/>
      <c r="PVF177" s="125"/>
      <c r="PVG177" s="125"/>
      <c r="PVH177" s="125"/>
      <c r="PVI177" s="125"/>
      <c r="PVJ177" s="125"/>
      <c r="PVK177" s="125"/>
      <c r="PVL177" s="125"/>
      <c r="PVM177" s="125"/>
      <c r="PVN177" s="125"/>
      <c r="PVO177" s="125"/>
      <c r="PVP177" s="125"/>
      <c r="PVQ177" s="125"/>
      <c r="PVR177" s="125"/>
      <c r="PVS177" s="125"/>
      <c r="PVT177" s="125"/>
      <c r="PVU177" s="125"/>
      <c r="PVV177" s="125"/>
      <c r="PVW177" s="125"/>
      <c r="PVX177" s="125"/>
      <c r="PVY177" s="125"/>
      <c r="PVZ177" s="125"/>
      <c r="PWA177" s="125"/>
      <c r="PWB177" s="125"/>
      <c r="PWC177" s="125"/>
      <c r="PWD177" s="125"/>
      <c r="PWE177" s="125"/>
      <c r="PWF177" s="125"/>
      <c r="PWG177" s="125"/>
      <c r="PWH177" s="125"/>
      <c r="PWI177" s="125"/>
      <c r="PWJ177" s="125"/>
      <c r="PWK177" s="125"/>
      <c r="PWL177" s="125"/>
      <c r="PWM177" s="125"/>
      <c r="PWN177" s="125"/>
      <c r="PWO177" s="125"/>
      <c r="PWP177" s="125"/>
      <c r="PWQ177" s="125"/>
      <c r="PWR177" s="125"/>
      <c r="PWS177" s="125"/>
      <c r="PWT177" s="125"/>
      <c r="PWU177" s="125"/>
      <c r="PWV177" s="125"/>
      <c r="PWW177" s="125"/>
      <c r="PWX177" s="125"/>
      <c r="PWY177" s="125"/>
      <c r="PWZ177" s="125"/>
      <c r="PXA177" s="125"/>
      <c r="PXB177" s="125"/>
      <c r="PXC177" s="125"/>
      <c r="PXD177" s="125"/>
      <c r="PXE177" s="125"/>
      <c r="PXF177" s="125"/>
      <c r="PXG177" s="125"/>
      <c r="PXH177" s="125"/>
      <c r="PXI177" s="125"/>
      <c r="PXJ177" s="125"/>
      <c r="PXK177" s="125"/>
      <c r="PXL177" s="125"/>
      <c r="PXM177" s="125"/>
      <c r="PXN177" s="125"/>
      <c r="PXO177" s="125"/>
      <c r="PXP177" s="125"/>
      <c r="PXQ177" s="125"/>
      <c r="PXR177" s="125"/>
      <c r="PXS177" s="125"/>
      <c r="PXT177" s="125"/>
      <c r="PXU177" s="125"/>
      <c r="PXV177" s="125"/>
      <c r="PXW177" s="125"/>
      <c r="PXX177" s="125"/>
      <c r="PXY177" s="125"/>
      <c r="PXZ177" s="125"/>
      <c r="PYA177" s="125"/>
      <c r="PYB177" s="125"/>
      <c r="PYC177" s="125"/>
      <c r="PYD177" s="125"/>
      <c r="PYE177" s="125"/>
      <c r="PYF177" s="125"/>
      <c r="PYG177" s="125"/>
      <c r="PYH177" s="125"/>
      <c r="PYI177" s="125"/>
      <c r="PYJ177" s="125"/>
      <c r="PYK177" s="125"/>
      <c r="PYL177" s="125"/>
      <c r="PYM177" s="125"/>
      <c r="PYN177" s="125"/>
      <c r="PYO177" s="125"/>
      <c r="PYP177" s="125"/>
      <c r="PYQ177" s="125"/>
      <c r="PYR177" s="125"/>
      <c r="PYS177" s="125"/>
      <c r="PYT177" s="125"/>
      <c r="PYU177" s="125"/>
      <c r="PYV177" s="125"/>
      <c r="PYW177" s="125"/>
      <c r="PYX177" s="125"/>
      <c r="PYY177" s="125"/>
      <c r="PYZ177" s="125"/>
      <c r="PZA177" s="125"/>
      <c r="PZB177" s="125"/>
      <c r="PZC177" s="125"/>
      <c r="PZD177" s="125"/>
      <c r="PZE177" s="125"/>
      <c r="PZF177" s="125"/>
      <c r="PZG177" s="125"/>
      <c r="PZH177" s="125"/>
      <c r="PZI177" s="125"/>
      <c r="PZJ177" s="125"/>
      <c r="PZK177" s="125"/>
      <c r="PZL177" s="125"/>
      <c r="PZM177" s="125"/>
      <c r="PZN177" s="125"/>
      <c r="PZO177" s="125"/>
      <c r="PZP177" s="125"/>
      <c r="PZQ177" s="125"/>
      <c r="PZR177" s="125"/>
      <c r="PZS177" s="125"/>
      <c r="PZT177" s="125"/>
      <c r="PZU177" s="125"/>
      <c r="PZV177" s="125"/>
      <c r="PZW177" s="125"/>
      <c r="PZX177" s="125"/>
      <c r="PZY177" s="125"/>
      <c r="PZZ177" s="125"/>
      <c r="QAA177" s="125"/>
      <c r="QAB177" s="125"/>
      <c r="QAC177" s="125"/>
      <c r="QAD177" s="125"/>
      <c r="QAE177" s="125"/>
      <c r="QAF177" s="125"/>
      <c r="QAG177" s="125"/>
      <c r="QAH177" s="125"/>
      <c r="QAI177" s="125"/>
      <c r="QAJ177" s="125"/>
      <c r="QAK177" s="125"/>
      <c r="QAL177" s="125"/>
      <c r="QAM177" s="125"/>
      <c r="QAN177" s="125"/>
      <c r="QAO177" s="125"/>
      <c r="QAP177" s="125"/>
      <c r="QAQ177" s="125"/>
      <c r="QAR177" s="125"/>
      <c r="QAS177" s="125"/>
      <c r="QAT177" s="125"/>
      <c r="QAU177" s="125"/>
      <c r="QAV177" s="125"/>
      <c r="QAW177" s="125"/>
      <c r="QAX177" s="125"/>
      <c r="QAY177" s="125"/>
      <c r="QAZ177" s="125"/>
      <c r="QBA177" s="125"/>
      <c r="QBB177" s="125"/>
      <c r="QBC177" s="125"/>
      <c r="QBD177" s="125"/>
      <c r="QBE177" s="125"/>
      <c r="QBF177" s="125"/>
      <c r="QBG177" s="125"/>
      <c r="QBH177" s="125"/>
      <c r="QBI177" s="125"/>
      <c r="QBJ177" s="125"/>
      <c r="QBK177" s="125"/>
      <c r="QBL177" s="125"/>
      <c r="QBM177" s="125"/>
      <c r="QBN177" s="125"/>
      <c r="QBO177" s="125"/>
      <c r="QBP177" s="125"/>
      <c r="QBQ177" s="125"/>
      <c r="QBR177" s="125"/>
      <c r="QBS177" s="125"/>
      <c r="QBT177" s="125"/>
      <c r="QBU177" s="125"/>
      <c r="QBV177" s="125"/>
      <c r="QBW177" s="125"/>
      <c r="QBX177" s="125"/>
      <c r="QBY177" s="125"/>
      <c r="QBZ177" s="125"/>
      <c r="QCA177" s="125"/>
      <c r="QCB177" s="125"/>
      <c r="QCC177" s="125"/>
      <c r="QCD177" s="125"/>
      <c r="QCE177" s="125"/>
      <c r="QCF177" s="125"/>
      <c r="QCG177" s="125"/>
      <c r="QCH177" s="125"/>
      <c r="QCI177" s="125"/>
      <c r="QCJ177" s="125"/>
      <c r="QCK177" s="125"/>
      <c r="QCL177" s="125"/>
      <c r="QCM177" s="125"/>
      <c r="QCN177" s="125"/>
      <c r="QCO177" s="125"/>
      <c r="QCP177" s="125"/>
      <c r="QCQ177" s="125"/>
      <c r="QCR177" s="125"/>
      <c r="QCS177" s="125"/>
      <c r="QCT177" s="125"/>
      <c r="QCU177" s="125"/>
      <c r="QCV177" s="125"/>
      <c r="QCW177" s="125"/>
      <c r="QCX177" s="125"/>
      <c r="QCY177" s="125"/>
      <c r="QCZ177" s="125"/>
      <c r="QDA177" s="125"/>
      <c r="QDB177" s="125"/>
      <c r="QDC177" s="125"/>
      <c r="QDD177" s="125"/>
      <c r="QDE177" s="125"/>
      <c r="QDF177" s="125"/>
      <c r="QDG177" s="125"/>
      <c r="QDH177" s="125"/>
      <c r="QDI177" s="125"/>
      <c r="QDJ177" s="125"/>
      <c r="QDK177" s="125"/>
      <c r="QDL177" s="125"/>
      <c r="QDM177" s="125"/>
      <c r="QDN177" s="125"/>
      <c r="QDO177" s="125"/>
      <c r="QDP177" s="125"/>
      <c r="QDQ177" s="125"/>
      <c r="QDR177" s="125"/>
      <c r="QDS177" s="125"/>
      <c r="QDT177" s="125"/>
      <c r="QDU177" s="125"/>
      <c r="QDV177" s="125"/>
      <c r="QDW177" s="125"/>
      <c r="QDX177" s="125"/>
      <c r="QDY177" s="125"/>
      <c r="QDZ177" s="125"/>
      <c r="QEA177" s="125"/>
      <c r="QEB177" s="125"/>
      <c r="QEC177" s="125"/>
      <c r="QED177" s="125"/>
      <c r="QEE177" s="125"/>
      <c r="QEF177" s="125"/>
      <c r="QEG177" s="125"/>
      <c r="QEH177" s="125"/>
      <c r="QEI177" s="125"/>
      <c r="QEJ177" s="125"/>
      <c r="QEK177" s="125"/>
      <c r="QEL177" s="125"/>
      <c r="QEM177" s="125"/>
      <c r="QEN177" s="125"/>
      <c r="QEO177" s="125"/>
      <c r="QEP177" s="125"/>
      <c r="QEQ177" s="125"/>
      <c r="QER177" s="125"/>
      <c r="QES177" s="125"/>
      <c r="QET177" s="125"/>
      <c r="QEU177" s="125"/>
      <c r="QEV177" s="125"/>
      <c r="QEW177" s="125"/>
      <c r="QEX177" s="125"/>
      <c r="QEY177" s="125"/>
      <c r="QEZ177" s="125"/>
      <c r="QFA177" s="125"/>
      <c r="QFB177" s="125"/>
      <c r="QFC177" s="125"/>
      <c r="QFD177" s="125"/>
      <c r="QFE177" s="125"/>
      <c r="QFF177" s="125"/>
      <c r="QFG177" s="125"/>
      <c r="QFH177" s="125"/>
      <c r="QFI177" s="125"/>
      <c r="QFJ177" s="125"/>
      <c r="QFK177" s="125"/>
      <c r="QFL177" s="125"/>
      <c r="QFM177" s="125"/>
      <c r="QFN177" s="125"/>
      <c r="QFO177" s="125"/>
      <c r="QFP177" s="125"/>
      <c r="QFQ177" s="125"/>
      <c r="QFR177" s="125"/>
      <c r="QFS177" s="125"/>
      <c r="QFT177" s="125"/>
      <c r="QFU177" s="125"/>
      <c r="QFV177" s="125"/>
      <c r="QFW177" s="125"/>
      <c r="QFX177" s="125"/>
      <c r="QFY177" s="125"/>
      <c r="QFZ177" s="125"/>
      <c r="QGA177" s="125"/>
      <c r="QGB177" s="125"/>
      <c r="QGC177" s="125"/>
      <c r="QGD177" s="125"/>
      <c r="QGE177" s="125"/>
      <c r="QGF177" s="125"/>
      <c r="QGG177" s="125"/>
      <c r="QGH177" s="125"/>
      <c r="QGI177" s="125"/>
      <c r="QGJ177" s="125"/>
      <c r="QGK177" s="125"/>
      <c r="QGL177" s="125"/>
      <c r="QGM177" s="125"/>
      <c r="QGN177" s="125"/>
      <c r="QGO177" s="125"/>
      <c r="QGP177" s="125"/>
      <c r="QGQ177" s="125"/>
      <c r="QGR177" s="125"/>
      <c r="QGS177" s="125"/>
      <c r="QGT177" s="125"/>
      <c r="QGU177" s="125"/>
      <c r="QGV177" s="125"/>
      <c r="QGW177" s="125"/>
      <c r="QGX177" s="125"/>
      <c r="QGY177" s="125"/>
      <c r="QGZ177" s="125"/>
      <c r="QHA177" s="125"/>
      <c r="QHB177" s="125"/>
      <c r="QHC177" s="125"/>
      <c r="QHD177" s="125"/>
      <c r="QHE177" s="125"/>
      <c r="QHF177" s="125"/>
      <c r="QHG177" s="125"/>
      <c r="QHH177" s="125"/>
      <c r="QHI177" s="125"/>
      <c r="QHJ177" s="125"/>
      <c r="QHK177" s="125"/>
      <c r="QHL177" s="125"/>
      <c r="QHM177" s="125"/>
      <c r="QHN177" s="125"/>
      <c r="QHO177" s="125"/>
      <c r="QHP177" s="125"/>
      <c r="QHQ177" s="125"/>
      <c r="QHR177" s="125"/>
      <c r="QHS177" s="125"/>
      <c r="QHT177" s="125"/>
      <c r="QHU177" s="125"/>
      <c r="QHV177" s="125"/>
      <c r="QHW177" s="125"/>
      <c r="QHX177" s="125"/>
      <c r="QHY177" s="125"/>
      <c r="QHZ177" s="125"/>
      <c r="QIA177" s="125"/>
      <c r="QIB177" s="125"/>
      <c r="QIC177" s="125"/>
      <c r="QID177" s="125"/>
      <c r="QIE177" s="125"/>
      <c r="QIF177" s="125"/>
      <c r="QIG177" s="125"/>
      <c r="QIH177" s="125"/>
      <c r="QII177" s="125"/>
      <c r="QIJ177" s="125"/>
      <c r="QIK177" s="125"/>
      <c r="QIL177" s="125"/>
      <c r="QIM177" s="125"/>
      <c r="QIN177" s="125"/>
      <c r="QIO177" s="125"/>
      <c r="QIP177" s="125"/>
      <c r="QIQ177" s="125"/>
      <c r="QIR177" s="125"/>
      <c r="QIS177" s="125"/>
      <c r="QIT177" s="125"/>
      <c r="QIU177" s="125"/>
      <c r="QIV177" s="125"/>
      <c r="QIW177" s="125"/>
      <c r="QIX177" s="125"/>
      <c r="QIY177" s="125"/>
      <c r="QIZ177" s="125"/>
      <c r="QJA177" s="125"/>
      <c r="QJB177" s="125"/>
      <c r="QJC177" s="125"/>
      <c r="QJD177" s="125"/>
      <c r="QJE177" s="125"/>
      <c r="QJF177" s="125"/>
      <c r="QJG177" s="125"/>
      <c r="QJH177" s="125"/>
      <c r="QJI177" s="125"/>
      <c r="QJJ177" s="125"/>
      <c r="QJK177" s="125"/>
      <c r="QJL177" s="125"/>
      <c r="QJM177" s="125"/>
      <c r="QJN177" s="125"/>
      <c r="QJO177" s="125"/>
      <c r="QJP177" s="125"/>
      <c r="QJQ177" s="125"/>
      <c r="QJR177" s="125"/>
      <c r="QJS177" s="125"/>
      <c r="QJT177" s="125"/>
      <c r="QJU177" s="125"/>
      <c r="QJV177" s="125"/>
      <c r="QJW177" s="125"/>
      <c r="QJX177" s="125"/>
      <c r="QJY177" s="125"/>
      <c r="QJZ177" s="125"/>
      <c r="QKA177" s="125"/>
      <c r="QKB177" s="125"/>
      <c r="QKC177" s="125"/>
      <c r="QKD177" s="125"/>
      <c r="QKE177" s="125"/>
      <c r="QKF177" s="125"/>
      <c r="QKG177" s="125"/>
      <c r="QKH177" s="125"/>
      <c r="QKI177" s="125"/>
      <c r="QKJ177" s="125"/>
      <c r="QKK177" s="125"/>
      <c r="QKL177" s="125"/>
      <c r="QKM177" s="125"/>
      <c r="QKN177" s="125"/>
      <c r="QKO177" s="125"/>
      <c r="QKP177" s="125"/>
      <c r="QKQ177" s="125"/>
      <c r="QKR177" s="125"/>
      <c r="QKS177" s="125"/>
      <c r="QKT177" s="125"/>
      <c r="QKU177" s="125"/>
      <c r="QKV177" s="125"/>
      <c r="QKW177" s="125"/>
      <c r="QKX177" s="125"/>
      <c r="QKY177" s="125"/>
      <c r="QKZ177" s="125"/>
      <c r="QLA177" s="125"/>
      <c r="QLB177" s="125"/>
      <c r="QLC177" s="125"/>
      <c r="QLD177" s="125"/>
      <c r="QLE177" s="125"/>
      <c r="QLF177" s="125"/>
      <c r="QLG177" s="125"/>
      <c r="QLH177" s="125"/>
      <c r="QLI177" s="125"/>
      <c r="QLJ177" s="125"/>
      <c r="QLK177" s="125"/>
      <c r="QLL177" s="125"/>
      <c r="QLM177" s="125"/>
      <c r="QLN177" s="125"/>
      <c r="QLO177" s="125"/>
      <c r="QLP177" s="125"/>
      <c r="QLQ177" s="125"/>
      <c r="QLR177" s="125"/>
      <c r="QLS177" s="125"/>
      <c r="QLT177" s="125"/>
      <c r="QLU177" s="125"/>
      <c r="QLV177" s="125"/>
      <c r="QLW177" s="125"/>
      <c r="QLX177" s="125"/>
      <c r="QLY177" s="125"/>
      <c r="QLZ177" s="125"/>
      <c r="QMA177" s="125"/>
      <c r="QMB177" s="125"/>
      <c r="QMC177" s="125"/>
      <c r="QMD177" s="125"/>
      <c r="QME177" s="125"/>
      <c r="QMF177" s="125"/>
      <c r="QMG177" s="125"/>
      <c r="QMH177" s="125"/>
      <c r="QMI177" s="125"/>
      <c r="QMJ177" s="125"/>
      <c r="QMK177" s="125"/>
      <c r="QML177" s="125"/>
      <c r="QMM177" s="125"/>
      <c r="QMN177" s="125"/>
      <c r="QMO177" s="125"/>
      <c r="QMP177" s="125"/>
      <c r="QMQ177" s="125"/>
      <c r="QMR177" s="125"/>
      <c r="QMS177" s="125"/>
      <c r="QMT177" s="125"/>
      <c r="QMU177" s="125"/>
      <c r="QMV177" s="125"/>
      <c r="QMW177" s="125"/>
      <c r="QMX177" s="125"/>
      <c r="QMY177" s="125"/>
      <c r="QMZ177" s="125"/>
      <c r="QNA177" s="125"/>
      <c r="QNB177" s="125"/>
      <c r="QNC177" s="125"/>
      <c r="QND177" s="125"/>
      <c r="QNE177" s="125"/>
      <c r="QNF177" s="125"/>
      <c r="QNG177" s="125"/>
      <c r="QNH177" s="125"/>
      <c r="QNI177" s="125"/>
      <c r="QNJ177" s="125"/>
      <c r="QNK177" s="125"/>
      <c r="QNL177" s="125"/>
      <c r="QNM177" s="125"/>
      <c r="QNN177" s="125"/>
      <c r="QNO177" s="125"/>
      <c r="QNP177" s="125"/>
      <c r="QNQ177" s="125"/>
      <c r="QNR177" s="125"/>
      <c r="QNS177" s="125"/>
      <c r="QNT177" s="125"/>
      <c r="QNU177" s="125"/>
      <c r="QNV177" s="125"/>
      <c r="QNW177" s="125"/>
      <c r="QNX177" s="125"/>
      <c r="QNY177" s="125"/>
      <c r="QNZ177" s="125"/>
      <c r="QOA177" s="125"/>
      <c r="QOB177" s="125"/>
      <c r="QOC177" s="125"/>
      <c r="QOD177" s="125"/>
      <c r="QOE177" s="125"/>
      <c r="QOF177" s="125"/>
      <c r="QOG177" s="125"/>
      <c r="QOH177" s="125"/>
      <c r="QOI177" s="125"/>
      <c r="QOJ177" s="125"/>
      <c r="QOK177" s="125"/>
      <c r="QOL177" s="125"/>
      <c r="QOM177" s="125"/>
      <c r="QON177" s="125"/>
      <c r="QOO177" s="125"/>
      <c r="QOP177" s="125"/>
      <c r="QOQ177" s="125"/>
      <c r="QOR177" s="125"/>
      <c r="QOS177" s="125"/>
      <c r="QOT177" s="125"/>
      <c r="QOU177" s="125"/>
      <c r="QOV177" s="125"/>
      <c r="QOW177" s="125"/>
      <c r="QOX177" s="125"/>
      <c r="QOY177" s="125"/>
      <c r="QOZ177" s="125"/>
      <c r="QPA177" s="125"/>
      <c r="QPB177" s="125"/>
      <c r="QPC177" s="125"/>
      <c r="QPD177" s="125"/>
      <c r="QPE177" s="125"/>
      <c r="QPF177" s="125"/>
      <c r="QPG177" s="125"/>
      <c r="QPH177" s="125"/>
      <c r="QPI177" s="125"/>
      <c r="QPJ177" s="125"/>
      <c r="QPK177" s="125"/>
      <c r="QPL177" s="125"/>
      <c r="QPM177" s="125"/>
      <c r="QPN177" s="125"/>
      <c r="QPO177" s="125"/>
      <c r="QPP177" s="125"/>
      <c r="QPQ177" s="125"/>
      <c r="QPR177" s="125"/>
      <c r="QPS177" s="125"/>
      <c r="QPT177" s="125"/>
      <c r="QPU177" s="125"/>
      <c r="QPV177" s="125"/>
      <c r="QPW177" s="125"/>
      <c r="QPX177" s="125"/>
      <c r="QPY177" s="125"/>
      <c r="QPZ177" s="125"/>
      <c r="QQA177" s="125"/>
      <c r="QQB177" s="125"/>
      <c r="QQC177" s="125"/>
      <c r="QQD177" s="125"/>
      <c r="QQE177" s="125"/>
      <c r="QQF177" s="125"/>
      <c r="QQG177" s="125"/>
      <c r="QQH177" s="125"/>
      <c r="QQI177" s="125"/>
      <c r="QQJ177" s="125"/>
      <c r="QQK177" s="125"/>
      <c r="QQL177" s="125"/>
      <c r="QQM177" s="125"/>
      <c r="QQN177" s="125"/>
      <c r="QQO177" s="125"/>
      <c r="QQP177" s="125"/>
      <c r="QQQ177" s="125"/>
      <c r="QQR177" s="125"/>
      <c r="QQS177" s="125"/>
      <c r="QQT177" s="125"/>
      <c r="QQU177" s="125"/>
      <c r="QQV177" s="125"/>
      <c r="QQW177" s="125"/>
      <c r="QQX177" s="125"/>
      <c r="QQY177" s="125"/>
      <c r="QQZ177" s="125"/>
      <c r="QRA177" s="125"/>
      <c r="QRB177" s="125"/>
      <c r="QRC177" s="125"/>
      <c r="QRD177" s="125"/>
      <c r="QRE177" s="125"/>
      <c r="QRF177" s="125"/>
      <c r="QRG177" s="125"/>
      <c r="QRH177" s="125"/>
      <c r="QRI177" s="125"/>
      <c r="QRJ177" s="125"/>
      <c r="QRK177" s="125"/>
      <c r="QRL177" s="125"/>
      <c r="QRM177" s="125"/>
      <c r="QRN177" s="125"/>
      <c r="QRO177" s="125"/>
      <c r="QRP177" s="125"/>
      <c r="QRQ177" s="125"/>
      <c r="QRR177" s="125"/>
      <c r="QRS177" s="125"/>
      <c r="QRT177" s="125"/>
      <c r="QRU177" s="125"/>
      <c r="QRV177" s="125"/>
      <c r="QRW177" s="125"/>
      <c r="QRX177" s="125"/>
      <c r="QRY177" s="125"/>
      <c r="QRZ177" s="125"/>
      <c r="QSA177" s="125"/>
      <c r="QSB177" s="125"/>
      <c r="QSC177" s="125"/>
      <c r="QSD177" s="125"/>
      <c r="QSE177" s="125"/>
      <c r="QSF177" s="125"/>
      <c r="QSG177" s="125"/>
      <c r="QSH177" s="125"/>
      <c r="QSI177" s="125"/>
      <c r="QSJ177" s="125"/>
      <c r="QSK177" s="125"/>
      <c r="QSL177" s="125"/>
      <c r="QSM177" s="125"/>
      <c r="QSN177" s="125"/>
      <c r="QSO177" s="125"/>
      <c r="QSP177" s="125"/>
      <c r="QSQ177" s="125"/>
      <c r="QSR177" s="125"/>
      <c r="QSS177" s="125"/>
      <c r="QST177" s="125"/>
      <c r="QSU177" s="125"/>
      <c r="QSV177" s="125"/>
      <c r="QSW177" s="125"/>
      <c r="QSX177" s="125"/>
      <c r="QSY177" s="125"/>
      <c r="QSZ177" s="125"/>
      <c r="QTA177" s="125"/>
      <c r="QTB177" s="125"/>
      <c r="QTC177" s="125"/>
      <c r="QTD177" s="125"/>
      <c r="QTE177" s="125"/>
      <c r="QTF177" s="125"/>
      <c r="QTG177" s="125"/>
      <c r="QTH177" s="125"/>
      <c r="QTI177" s="125"/>
      <c r="QTJ177" s="125"/>
      <c r="QTK177" s="125"/>
      <c r="QTL177" s="125"/>
      <c r="QTM177" s="125"/>
      <c r="QTN177" s="125"/>
      <c r="QTO177" s="125"/>
      <c r="QTP177" s="125"/>
      <c r="QTQ177" s="125"/>
      <c r="QTR177" s="125"/>
      <c r="QTS177" s="125"/>
      <c r="QTT177" s="125"/>
      <c r="QTU177" s="125"/>
      <c r="QTV177" s="125"/>
      <c r="QTW177" s="125"/>
      <c r="QTX177" s="125"/>
      <c r="QTY177" s="125"/>
      <c r="QTZ177" s="125"/>
      <c r="QUA177" s="125"/>
      <c r="QUB177" s="125"/>
      <c r="QUC177" s="125"/>
      <c r="QUD177" s="125"/>
      <c r="QUE177" s="125"/>
      <c r="QUF177" s="125"/>
      <c r="QUG177" s="125"/>
      <c r="QUH177" s="125"/>
      <c r="QUI177" s="125"/>
      <c r="QUJ177" s="125"/>
      <c r="QUK177" s="125"/>
      <c r="QUL177" s="125"/>
      <c r="QUM177" s="125"/>
      <c r="QUN177" s="125"/>
      <c r="QUO177" s="125"/>
      <c r="QUP177" s="125"/>
      <c r="QUQ177" s="125"/>
      <c r="QUR177" s="125"/>
      <c r="QUS177" s="125"/>
      <c r="QUT177" s="125"/>
      <c r="QUU177" s="125"/>
      <c r="QUV177" s="125"/>
      <c r="QUW177" s="125"/>
      <c r="QUX177" s="125"/>
      <c r="QUY177" s="125"/>
      <c r="QUZ177" s="125"/>
      <c r="QVA177" s="125"/>
      <c r="QVB177" s="125"/>
      <c r="QVC177" s="125"/>
      <c r="QVD177" s="125"/>
      <c r="QVE177" s="125"/>
      <c r="QVF177" s="125"/>
      <c r="QVG177" s="125"/>
      <c r="QVH177" s="125"/>
      <c r="QVI177" s="125"/>
      <c r="QVJ177" s="125"/>
      <c r="QVK177" s="125"/>
      <c r="QVL177" s="125"/>
      <c r="QVM177" s="125"/>
      <c r="QVN177" s="125"/>
      <c r="QVO177" s="125"/>
      <c r="QVP177" s="125"/>
      <c r="QVQ177" s="125"/>
      <c r="QVR177" s="125"/>
      <c r="QVS177" s="125"/>
      <c r="QVT177" s="125"/>
      <c r="QVU177" s="125"/>
      <c r="QVV177" s="125"/>
      <c r="QVW177" s="125"/>
      <c r="QVX177" s="125"/>
      <c r="QVY177" s="125"/>
      <c r="QVZ177" s="125"/>
      <c r="QWA177" s="125"/>
      <c r="QWB177" s="125"/>
      <c r="QWC177" s="125"/>
      <c r="QWD177" s="125"/>
      <c r="QWE177" s="125"/>
      <c r="QWF177" s="125"/>
      <c r="QWG177" s="125"/>
      <c r="QWH177" s="125"/>
      <c r="QWI177" s="125"/>
      <c r="QWJ177" s="125"/>
      <c r="QWK177" s="125"/>
      <c r="QWL177" s="125"/>
      <c r="QWM177" s="125"/>
      <c r="QWN177" s="125"/>
      <c r="QWO177" s="125"/>
      <c r="QWP177" s="125"/>
      <c r="QWQ177" s="125"/>
      <c r="QWR177" s="125"/>
      <c r="QWS177" s="125"/>
      <c r="QWT177" s="125"/>
      <c r="QWU177" s="125"/>
      <c r="QWV177" s="125"/>
      <c r="QWW177" s="125"/>
      <c r="QWX177" s="125"/>
      <c r="QWY177" s="125"/>
      <c r="QWZ177" s="125"/>
      <c r="QXA177" s="125"/>
      <c r="QXB177" s="125"/>
      <c r="QXC177" s="125"/>
      <c r="QXD177" s="125"/>
      <c r="QXE177" s="125"/>
      <c r="QXF177" s="125"/>
      <c r="QXG177" s="125"/>
      <c r="QXH177" s="125"/>
      <c r="QXI177" s="125"/>
      <c r="QXJ177" s="125"/>
      <c r="QXK177" s="125"/>
      <c r="QXL177" s="125"/>
      <c r="QXM177" s="125"/>
      <c r="QXN177" s="125"/>
      <c r="QXO177" s="125"/>
      <c r="QXP177" s="125"/>
      <c r="QXQ177" s="125"/>
      <c r="QXR177" s="125"/>
      <c r="QXS177" s="125"/>
      <c r="QXT177" s="125"/>
      <c r="QXU177" s="125"/>
      <c r="QXV177" s="125"/>
      <c r="QXW177" s="125"/>
      <c r="QXX177" s="125"/>
      <c r="QXY177" s="125"/>
      <c r="QXZ177" s="125"/>
      <c r="QYA177" s="125"/>
      <c r="QYB177" s="125"/>
      <c r="QYC177" s="125"/>
      <c r="QYD177" s="125"/>
      <c r="QYE177" s="125"/>
      <c r="QYF177" s="125"/>
      <c r="QYG177" s="125"/>
      <c r="QYH177" s="125"/>
      <c r="QYI177" s="125"/>
      <c r="QYJ177" s="125"/>
      <c r="QYK177" s="125"/>
      <c r="QYL177" s="125"/>
      <c r="QYM177" s="125"/>
      <c r="QYN177" s="125"/>
      <c r="QYO177" s="125"/>
      <c r="QYP177" s="125"/>
      <c r="QYQ177" s="125"/>
      <c r="QYR177" s="125"/>
      <c r="QYS177" s="125"/>
      <c r="QYT177" s="125"/>
      <c r="QYU177" s="125"/>
      <c r="QYV177" s="125"/>
      <c r="QYW177" s="125"/>
      <c r="QYX177" s="125"/>
      <c r="QYY177" s="125"/>
      <c r="QYZ177" s="125"/>
      <c r="QZA177" s="125"/>
      <c r="QZB177" s="125"/>
      <c r="QZC177" s="125"/>
      <c r="QZD177" s="125"/>
      <c r="QZE177" s="125"/>
      <c r="QZF177" s="125"/>
      <c r="QZG177" s="125"/>
      <c r="QZH177" s="125"/>
      <c r="QZI177" s="125"/>
      <c r="QZJ177" s="125"/>
      <c r="QZK177" s="125"/>
      <c r="QZL177" s="125"/>
      <c r="QZM177" s="125"/>
      <c r="QZN177" s="125"/>
      <c r="QZO177" s="125"/>
      <c r="QZP177" s="125"/>
      <c r="QZQ177" s="125"/>
      <c r="QZR177" s="125"/>
      <c r="QZS177" s="125"/>
      <c r="QZT177" s="125"/>
      <c r="QZU177" s="125"/>
      <c r="QZV177" s="125"/>
      <c r="QZW177" s="125"/>
      <c r="QZX177" s="125"/>
      <c r="QZY177" s="125"/>
      <c r="QZZ177" s="125"/>
      <c r="RAA177" s="125"/>
      <c r="RAB177" s="125"/>
      <c r="RAC177" s="125"/>
      <c r="RAD177" s="125"/>
      <c r="RAE177" s="125"/>
      <c r="RAF177" s="125"/>
      <c r="RAG177" s="125"/>
      <c r="RAH177" s="125"/>
      <c r="RAI177" s="125"/>
      <c r="RAJ177" s="125"/>
      <c r="RAK177" s="125"/>
      <c r="RAL177" s="125"/>
      <c r="RAM177" s="125"/>
      <c r="RAN177" s="125"/>
      <c r="RAO177" s="125"/>
      <c r="RAP177" s="125"/>
      <c r="RAQ177" s="125"/>
      <c r="RAR177" s="125"/>
      <c r="RAS177" s="125"/>
      <c r="RAT177" s="125"/>
      <c r="RAU177" s="125"/>
      <c r="RAV177" s="125"/>
      <c r="RAW177" s="125"/>
      <c r="RAX177" s="125"/>
      <c r="RAY177" s="125"/>
      <c r="RAZ177" s="125"/>
      <c r="RBA177" s="125"/>
      <c r="RBB177" s="125"/>
      <c r="RBC177" s="125"/>
      <c r="RBD177" s="125"/>
      <c r="RBE177" s="125"/>
      <c r="RBF177" s="125"/>
      <c r="RBG177" s="125"/>
      <c r="RBH177" s="125"/>
      <c r="RBI177" s="125"/>
      <c r="RBJ177" s="125"/>
      <c r="RBK177" s="125"/>
      <c r="RBL177" s="125"/>
      <c r="RBM177" s="125"/>
      <c r="RBN177" s="125"/>
      <c r="RBO177" s="125"/>
      <c r="RBP177" s="125"/>
      <c r="RBQ177" s="125"/>
      <c r="RBR177" s="125"/>
      <c r="RBS177" s="125"/>
      <c r="RBT177" s="125"/>
      <c r="RBU177" s="125"/>
      <c r="RBV177" s="125"/>
      <c r="RBW177" s="125"/>
      <c r="RBX177" s="125"/>
      <c r="RBY177" s="125"/>
      <c r="RBZ177" s="125"/>
      <c r="RCA177" s="125"/>
      <c r="RCB177" s="125"/>
      <c r="RCC177" s="125"/>
      <c r="RCD177" s="125"/>
      <c r="RCE177" s="125"/>
      <c r="RCF177" s="125"/>
      <c r="RCG177" s="125"/>
      <c r="RCH177" s="125"/>
      <c r="RCI177" s="125"/>
      <c r="RCJ177" s="125"/>
      <c r="RCK177" s="125"/>
      <c r="RCL177" s="125"/>
      <c r="RCM177" s="125"/>
      <c r="RCN177" s="125"/>
      <c r="RCO177" s="125"/>
      <c r="RCP177" s="125"/>
      <c r="RCQ177" s="125"/>
      <c r="RCR177" s="125"/>
      <c r="RCS177" s="125"/>
      <c r="RCT177" s="125"/>
      <c r="RCU177" s="125"/>
      <c r="RCV177" s="125"/>
      <c r="RCW177" s="125"/>
      <c r="RCX177" s="125"/>
      <c r="RCY177" s="125"/>
      <c r="RCZ177" s="125"/>
      <c r="RDA177" s="125"/>
      <c r="RDB177" s="125"/>
      <c r="RDC177" s="125"/>
      <c r="RDD177" s="125"/>
      <c r="RDE177" s="125"/>
      <c r="RDF177" s="125"/>
      <c r="RDG177" s="125"/>
      <c r="RDH177" s="125"/>
      <c r="RDI177" s="125"/>
      <c r="RDJ177" s="125"/>
      <c r="RDK177" s="125"/>
      <c r="RDL177" s="125"/>
      <c r="RDM177" s="125"/>
      <c r="RDN177" s="125"/>
      <c r="RDO177" s="125"/>
      <c r="RDP177" s="125"/>
      <c r="RDQ177" s="125"/>
      <c r="RDR177" s="125"/>
      <c r="RDS177" s="125"/>
      <c r="RDT177" s="125"/>
      <c r="RDU177" s="125"/>
      <c r="RDV177" s="125"/>
      <c r="RDW177" s="125"/>
      <c r="RDX177" s="125"/>
      <c r="RDY177" s="125"/>
      <c r="RDZ177" s="125"/>
      <c r="REA177" s="125"/>
      <c r="REB177" s="125"/>
      <c r="REC177" s="125"/>
      <c r="RED177" s="125"/>
      <c r="REE177" s="125"/>
      <c r="REF177" s="125"/>
      <c r="REG177" s="125"/>
      <c r="REH177" s="125"/>
      <c r="REI177" s="125"/>
      <c r="REJ177" s="125"/>
      <c r="REK177" s="125"/>
      <c r="REL177" s="125"/>
      <c r="REM177" s="125"/>
      <c r="REN177" s="125"/>
      <c r="REO177" s="125"/>
      <c r="REP177" s="125"/>
      <c r="REQ177" s="125"/>
      <c r="RER177" s="125"/>
      <c r="RES177" s="125"/>
      <c r="RET177" s="125"/>
      <c r="REU177" s="125"/>
      <c r="REV177" s="125"/>
      <c r="REW177" s="125"/>
      <c r="REX177" s="125"/>
      <c r="REY177" s="125"/>
      <c r="REZ177" s="125"/>
      <c r="RFA177" s="125"/>
      <c r="RFB177" s="125"/>
      <c r="RFC177" s="125"/>
      <c r="RFD177" s="125"/>
      <c r="RFE177" s="125"/>
      <c r="RFF177" s="125"/>
      <c r="RFG177" s="125"/>
      <c r="RFH177" s="125"/>
      <c r="RFI177" s="125"/>
      <c r="RFJ177" s="125"/>
      <c r="RFK177" s="125"/>
      <c r="RFL177" s="125"/>
      <c r="RFM177" s="125"/>
      <c r="RFN177" s="125"/>
      <c r="RFO177" s="125"/>
      <c r="RFP177" s="125"/>
      <c r="RFQ177" s="125"/>
      <c r="RFR177" s="125"/>
      <c r="RFS177" s="125"/>
      <c r="RFT177" s="125"/>
      <c r="RFU177" s="125"/>
      <c r="RFV177" s="125"/>
      <c r="RFW177" s="125"/>
      <c r="RFX177" s="125"/>
      <c r="RFY177" s="125"/>
      <c r="RFZ177" s="125"/>
      <c r="RGA177" s="125"/>
      <c r="RGB177" s="125"/>
      <c r="RGC177" s="125"/>
      <c r="RGD177" s="125"/>
      <c r="RGE177" s="125"/>
      <c r="RGF177" s="125"/>
      <c r="RGG177" s="125"/>
      <c r="RGH177" s="125"/>
      <c r="RGI177" s="125"/>
      <c r="RGJ177" s="125"/>
      <c r="RGK177" s="125"/>
      <c r="RGL177" s="125"/>
      <c r="RGM177" s="125"/>
      <c r="RGN177" s="125"/>
      <c r="RGO177" s="125"/>
      <c r="RGP177" s="125"/>
      <c r="RGQ177" s="125"/>
      <c r="RGR177" s="125"/>
      <c r="RGS177" s="125"/>
      <c r="RGT177" s="125"/>
      <c r="RGU177" s="125"/>
      <c r="RGV177" s="125"/>
      <c r="RGW177" s="125"/>
      <c r="RGX177" s="125"/>
      <c r="RGY177" s="125"/>
      <c r="RGZ177" s="125"/>
      <c r="RHA177" s="125"/>
      <c r="RHB177" s="125"/>
      <c r="RHC177" s="125"/>
      <c r="RHD177" s="125"/>
      <c r="RHE177" s="125"/>
      <c r="RHF177" s="125"/>
      <c r="RHG177" s="125"/>
      <c r="RHH177" s="125"/>
      <c r="RHI177" s="125"/>
      <c r="RHJ177" s="125"/>
      <c r="RHK177" s="125"/>
      <c r="RHL177" s="125"/>
      <c r="RHM177" s="125"/>
      <c r="RHN177" s="125"/>
      <c r="RHO177" s="125"/>
      <c r="RHP177" s="125"/>
      <c r="RHQ177" s="125"/>
      <c r="RHR177" s="125"/>
      <c r="RHS177" s="125"/>
      <c r="RHT177" s="125"/>
      <c r="RHU177" s="125"/>
      <c r="RHV177" s="125"/>
      <c r="RHW177" s="125"/>
      <c r="RHX177" s="125"/>
      <c r="RHY177" s="125"/>
      <c r="RHZ177" s="125"/>
      <c r="RIA177" s="125"/>
      <c r="RIB177" s="125"/>
      <c r="RIC177" s="125"/>
      <c r="RID177" s="125"/>
      <c r="RIE177" s="125"/>
      <c r="RIF177" s="125"/>
      <c r="RIG177" s="125"/>
      <c r="RIH177" s="125"/>
      <c r="RII177" s="125"/>
      <c r="RIJ177" s="125"/>
      <c r="RIK177" s="125"/>
      <c r="RIL177" s="125"/>
      <c r="RIM177" s="125"/>
      <c r="RIN177" s="125"/>
      <c r="RIO177" s="125"/>
      <c r="RIP177" s="125"/>
      <c r="RIQ177" s="125"/>
      <c r="RIR177" s="125"/>
      <c r="RIS177" s="125"/>
      <c r="RIT177" s="125"/>
      <c r="RIU177" s="125"/>
      <c r="RIV177" s="125"/>
      <c r="RIW177" s="125"/>
      <c r="RIX177" s="125"/>
      <c r="RIY177" s="125"/>
      <c r="RIZ177" s="125"/>
      <c r="RJA177" s="125"/>
      <c r="RJB177" s="125"/>
      <c r="RJC177" s="125"/>
      <c r="RJD177" s="125"/>
      <c r="RJE177" s="125"/>
      <c r="RJF177" s="125"/>
      <c r="RJG177" s="125"/>
      <c r="RJH177" s="125"/>
      <c r="RJI177" s="125"/>
      <c r="RJJ177" s="125"/>
      <c r="RJK177" s="125"/>
      <c r="RJL177" s="125"/>
      <c r="RJM177" s="125"/>
      <c r="RJN177" s="125"/>
      <c r="RJO177" s="125"/>
      <c r="RJP177" s="125"/>
      <c r="RJQ177" s="125"/>
      <c r="RJR177" s="125"/>
      <c r="RJS177" s="125"/>
      <c r="RJT177" s="125"/>
      <c r="RJU177" s="125"/>
      <c r="RJV177" s="125"/>
      <c r="RJW177" s="125"/>
      <c r="RJX177" s="125"/>
      <c r="RJY177" s="125"/>
      <c r="RJZ177" s="125"/>
      <c r="RKA177" s="125"/>
      <c r="RKB177" s="125"/>
      <c r="RKC177" s="125"/>
      <c r="RKD177" s="125"/>
      <c r="RKE177" s="125"/>
      <c r="RKF177" s="125"/>
      <c r="RKG177" s="125"/>
      <c r="RKH177" s="125"/>
      <c r="RKI177" s="125"/>
      <c r="RKJ177" s="125"/>
      <c r="RKK177" s="125"/>
      <c r="RKL177" s="125"/>
      <c r="RKM177" s="125"/>
      <c r="RKN177" s="125"/>
      <c r="RKO177" s="125"/>
      <c r="RKP177" s="125"/>
      <c r="RKQ177" s="125"/>
      <c r="RKR177" s="125"/>
      <c r="RKS177" s="125"/>
      <c r="RKT177" s="125"/>
      <c r="RKU177" s="125"/>
      <c r="RKV177" s="125"/>
      <c r="RKW177" s="125"/>
      <c r="RKX177" s="125"/>
      <c r="RKY177" s="125"/>
      <c r="RKZ177" s="125"/>
      <c r="RLA177" s="125"/>
      <c r="RLB177" s="125"/>
      <c r="RLC177" s="125"/>
      <c r="RLD177" s="125"/>
      <c r="RLE177" s="125"/>
      <c r="RLF177" s="125"/>
      <c r="RLG177" s="125"/>
      <c r="RLH177" s="125"/>
      <c r="RLI177" s="125"/>
      <c r="RLJ177" s="125"/>
      <c r="RLK177" s="125"/>
      <c r="RLL177" s="125"/>
      <c r="RLM177" s="125"/>
      <c r="RLN177" s="125"/>
      <c r="RLO177" s="125"/>
      <c r="RLP177" s="125"/>
      <c r="RLQ177" s="125"/>
      <c r="RLR177" s="125"/>
      <c r="RLS177" s="125"/>
      <c r="RLT177" s="125"/>
      <c r="RLU177" s="125"/>
      <c r="RLV177" s="125"/>
      <c r="RLW177" s="125"/>
      <c r="RLX177" s="125"/>
      <c r="RLY177" s="125"/>
      <c r="RLZ177" s="125"/>
      <c r="RMA177" s="125"/>
      <c r="RMB177" s="125"/>
      <c r="RMC177" s="125"/>
      <c r="RMD177" s="125"/>
      <c r="RME177" s="125"/>
      <c r="RMF177" s="125"/>
      <c r="RMG177" s="125"/>
      <c r="RMH177" s="125"/>
      <c r="RMI177" s="125"/>
      <c r="RMJ177" s="125"/>
      <c r="RMK177" s="125"/>
      <c r="RML177" s="125"/>
      <c r="RMM177" s="125"/>
      <c r="RMN177" s="125"/>
      <c r="RMO177" s="125"/>
      <c r="RMP177" s="125"/>
      <c r="RMQ177" s="125"/>
      <c r="RMR177" s="125"/>
      <c r="RMS177" s="125"/>
      <c r="RMT177" s="125"/>
      <c r="RMU177" s="125"/>
      <c r="RMV177" s="125"/>
      <c r="RMW177" s="125"/>
      <c r="RMX177" s="125"/>
      <c r="RMY177" s="125"/>
      <c r="RMZ177" s="125"/>
      <c r="RNA177" s="125"/>
      <c r="RNB177" s="125"/>
      <c r="RNC177" s="125"/>
      <c r="RND177" s="125"/>
      <c r="RNE177" s="125"/>
      <c r="RNF177" s="125"/>
      <c r="RNG177" s="125"/>
      <c r="RNH177" s="125"/>
      <c r="RNI177" s="125"/>
      <c r="RNJ177" s="125"/>
      <c r="RNK177" s="125"/>
      <c r="RNL177" s="125"/>
      <c r="RNM177" s="125"/>
      <c r="RNN177" s="125"/>
      <c r="RNO177" s="125"/>
      <c r="RNP177" s="125"/>
      <c r="RNQ177" s="125"/>
      <c r="RNR177" s="125"/>
      <c r="RNS177" s="125"/>
      <c r="RNT177" s="125"/>
      <c r="RNU177" s="125"/>
      <c r="RNV177" s="125"/>
      <c r="RNW177" s="125"/>
      <c r="RNX177" s="125"/>
      <c r="RNY177" s="125"/>
      <c r="RNZ177" s="125"/>
      <c r="ROA177" s="125"/>
      <c r="ROB177" s="125"/>
      <c r="ROC177" s="125"/>
      <c r="ROD177" s="125"/>
      <c r="ROE177" s="125"/>
      <c r="ROF177" s="125"/>
      <c r="ROG177" s="125"/>
      <c r="ROH177" s="125"/>
      <c r="ROI177" s="125"/>
      <c r="ROJ177" s="125"/>
      <c r="ROK177" s="125"/>
      <c r="ROL177" s="125"/>
      <c r="ROM177" s="125"/>
      <c r="RON177" s="125"/>
      <c r="ROO177" s="125"/>
      <c r="ROP177" s="125"/>
      <c r="ROQ177" s="125"/>
      <c r="ROR177" s="125"/>
      <c r="ROS177" s="125"/>
      <c r="ROT177" s="125"/>
      <c r="ROU177" s="125"/>
      <c r="ROV177" s="125"/>
      <c r="ROW177" s="125"/>
      <c r="ROX177" s="125"/>
      <c r="ROY177" s="125"/>
      <c r="ROZ177" s="125"/>
      <c r="RPA177" s="125"/>
      <c r="RPB177" s="125"/>
      <c r="RPC177" s="125"/>
      <c r="RPD177" s="125"/>
      <c r="RPE177" s="125"/>
      <c r="RPF177" s="125"/>
      <c r="RPG177" s="125"/>
      <c r="RPH177" s="125"/>
      <c r="RPI177" s="125"/>
      <c r="RPJ177" s="125"/>
      <c r="RPK177" s="125"/>
      <c r="RPL177" s="125"/>
      <c r="RPM177" s="125"/>
      <c r="RPN177" s="125"/>
      <c r="RPO177" s="125"/>
      <c r="RPP177" s="125"/>
      <c r="RPQ177" s="125"/>
      <c r="RPR177" s="125"/>
      <c r="RPS177" s="125"/>
      <c r="RPT177" s="125"/>
      <c r="RPU177" s="125"/>
      <c r="RPV177" s="125"/>
      <c r="RPW177" s="125"/>
      <c r="RPX177" s="125"/>
      <c r="RPY177" s="125"/>
      <c r="RPZ177" s="125"/>
      <c r="RQA177" s="125"/>
      <c r="RQB177" s="125"/>
      <c r="RQC177" s="125"/>
      <c r="RQD177" s="125"/>
      <c r="RQE177" s="125"/>
      <c r="RQF177" s="125"/>
      <c r="RQG177" s="125"/>
      <c r="RQH177" s="125"/>
      <c r="RQI177" s="125"/>
      <c r="RQJ177" s="125"/>
      <c r="RQK177" s="125"/>
      <c r="RQL177" s="125"/>
      <c r="RQM177" s="125"/>
      <c r="RQN177" s="125"/>
      <c r="RQO177" s="125"/>
      <c r="RQP177" s="125"/>
      <c r="RQQ177" s="125"/>
      <c r="RQR177" s="125"/>
      <c r="RQS177" s="125"/>
      <c r="RQT177" s="125"/>
      <c r="RQU177" s="125"/>
      <c r="RQV177" s="125"/>
      <c r="RQW177" s="125"/>
      <c r="RQX177" s="125"/>
      <c r="RQY177" s="125"/>
      <c r="RQZ177" s="125"/>
      <c r="RRA177" s="125"/>
      <c r="RRB177" s="125"/>
      <c r="RRC177" s="125"/>
      <c r="RRD177" s="125"/>
      <c r="RRE177" s="125"/>
      <c r="RRF177" s="125"/>
      <c r="RRG177" s="125"/>
      <c r="RRH177" s="125"/>
      <c r="RRI177" s="125"/>
      <c r="RRJ177" s="125"/>
      <c r="RRK177" s="125"/>
      <c r="RRL177" s="125"/>
      <c r="RRM177" s="125"/>
      <c r="RRN177" s="125"/>
      <c r="RRO177" s="125"/>
      <c r="RRP177" s="125"/>
      <c r="RRQ177" s="125"/>
      <c r="RRR177" s="125"/>
      <c r="RRS177" s="125"/>
      <c r="RRT177" s="125"/>
      <c r="RRU177" s="125"/>
      <c r="RRV177" s="125"/>
      <c r="RRW177" s="125"/>
      <c r="RRX177" s="125"/>
      <c r="RRY177" s="125"/>
      <c r="RRZ177" s="125"/>
      <c r="RSA177" s="125"/>
      <c r="RSB177" s="125"/>
      <c r="RSC177" s="125"/>
      <c r="RSD177" s="125"/>
      <c r="RSE177" s="125"/>
      <c r="RSF177" s="125"/>
      <c r="RSG177" s="125"/>
      <c r="RSH177" s="125"/>
      <c r="RSI177" s="125"/>
      <c r="RSJ177" s="125"/>
      <c r="RSK177" s="125"/>
      <c r="RSL177" s="125"/>
      <c r="RSM177" s="125"/>
      <c r="RSN177" s="125"/>
      <c r="RSO177" s="125"/>
      <c r="RSP177" s="125"/>
      <c r="RSQ177" s="125"/>
      <c r="RSR177" s="125"/>
      <c r="RSS177" s="125"/>
      <c r="RST177" s="125"/>
      <c r="RSU177" s="125"/>
      <c r="RSV177" s="125"/>
      <c r="RSW177" s="125"/>
      <c r="RSX177" s="125"/>
      <c r="RSY177" s="125"/>
      <c r="RSZ177" s="125"/>
      <c r="RTA177" s="125"/>
      <c r="RTB177" s="125"/>
      <c r="RTC177" s="125"/>
      <c r="RTD177" s="125"/>
      <c r="RTE177" s="125"/>
      <c r="RTF177" s="125"/>
      <c r="RTG177" s="125"/>
      <c r="RTH177" s="125"/>
      <c r="RTI177" s="125"/>
      <c r="RTJ177" s="125"/>
      <c r="RTK177" s="125"/>
      <c r="RTL177" s="125"/>
      <c r="RTM177" s="125"/>
      <c r="RTN177" s="125"/>
      <c r="RTO177" s="125"/>
      <c r="RTP177" s="125"/>
      <c r="RTQ177" s="125"/>
      <c r="RTR177" s="125"/>
      <c r="RTS177" s="125"/>
      <c r="RTT177" s="125"/>
      <c r="RTU177" s="125"/>
      <c r="RTV177" s="125"/>
      <c r="RTW177" s="125"/>
      <c r="RTX177" s="125"/>
      <c r="RTY177" s="125"/>
      <c r="RTZ177" s="125"/>
      <c r="RUA177" s="125"/>
      <c r="RUB177" s="125"/>
      <c r="RUC177" s="125"/>
      <c r="RUD177" s="125"/>
      <c r="RUE177" s="125"/>
      <c r="RUF177" s="125"/>
      <c r="RUG177" s="125"/>
      <c r="RUH177" s="125"/>
      <c r="RUI177" s="125"/>
      <c r="RUJ177" s="125"/>
      <c r="RUK177" s="125"/>
      <c r="RUL177" s="125"/>
      <c r="RUM177" s="125"/>
      <c r="RUN177" s="125"/>
      <c r="RUO177" s="125"/>
      <c r="RUP177" s="125"/>
      <c r="RUQ177" s="125"/>
      <c r="RUR177" s="125"/>
      <c r="RUS177" s="125"/>
      <c r="RUT177" s="125"/>
      <c r="RUU177" s="125"/>
      <c r="RUV177" s="125"/>
      <c r="RUW177" s="125"/>
      <c r="RUX177" s="125"/>
      <c r="RUY177" s="125"/>
      <c r="RUZ177" s="125"/>
      <c r="RVA177" s="125"/>
      <c r="RVB177" s="125"/>
      <c r="RVC177" s="125"/>
      <c r="RVD177" s="125"/>
      <c r="RVE177" s="125"/>
      <c r="RVF177" s="125"/>
      <c r="RVG177" s="125"/>
      <c r="RVH177" s="125"/>
      <c r="RVI177" s="125"/>
      <c r="RVJ177" s="125"/>
      <c r="RVK177" s="125"/>
      <c r="RVL177" s="125"/>
      <c r="RVM177" s="125"/>
      <c r="RVN177" s="125"/>
      <c r="RVO177" s="125"/>
      <c r="RVP177" s="125"/>
      <c r="RVQ177" s="125"/>
      <c r="RVR177" s="125"/>
      <c r="RVS177" s="125"/>
      <c r="RVT177" s="125"/>
      <c r="RVU177" s="125"/>
      <c r="RVV177" s="125"/>
      <c r="RVW177" s="125"/>
      <c r="RVX177" s="125"/>
      <c r="RVY177" s="125"/>
      <c r="RVZ177" s="125"/>
      <c r="RWA177" s="125"/>
      <c r="RWB177" s="125"/>
      <c r="RWC177" s="125"/>
      <c r="RWD177" s="125"/>
      <c r="RWE177" s="125"/>
      <c r="RWF177" s="125"/>
      <c r="RWG177" s="125"/>
      <c r="RWH177" s="125"/>
      <c r="RWI177" s="125"/>
      <c r="RWJ177" s="125"/>
      <c r="RWK177" s="125"/>
      <c r="RWL177" s="125"/>
      <c r="RWM177" s="125"/>
      <c r="RWN177" s="125"/>
      <c r="RWO177" s="125"/>
      <c r="RWP177" s="125"/>
      <c r="RWQ177" s="125"/>
      <c r="RWR177" s="125"/>
      <c r="RWS177" s="125"/>
      <c r="RWT177" s="125"/>
      <c r="RWU177" s="125"/>
      <c r="RWV177" s="125"/>
      <c r="RWW177" s="125"/>
      <c r="RWX177" s="125"/>
      <c r="RWY177" s="125"/>
      <c r="RWZ177" s="125"/>
      <c r="RXA177" s="125"/>
      <c r="RXB177" s="125"/>
      <c r="RXC177" s="125"/>
      <c r="RXD177" s="125"/>
      <c r="RXE177" s="125"/>
      <c r="RXF177" s="125"/>
      <c r="RXG177" s="125"/>
      <c r="RXH177" s="125"/>
      <c r="RXI177" s="125"/>
      <c r="RXJ177" s="125"/>
      <c r="RXK177" s="125"/>
      <c r="RXL177" s="125"/>
      <c r="RXM177" s="125"/>
      <c r="RXN177" s="125"/>
      <c r="RXO177" s="125"/>
      <c r="RXP177" s="125"/>
      <c r="RXQ177" s="125"/>
      <c r="RXR177" s="125"/>
      <c r="RXS177" s="125"/>
      <c r="RXT177" s="125"/>
      <c r="RXU177" s="125"/>
      <c r="RXV177" s="125"/>
      <c r="RXW177" s="125"/>
      <c r="RXX177" s="125"/>
      <c r="RXY177" s="125"/>
      <c r="RXZ177" s="125"/>
      <c r="RYA177" s="125"/>
      <c r="RYB177" s="125"/>
      <c r="RYC177" s="125"/>
      <c r="RYD177" s="125"/>
      <c r="RYE177" s="125"/>
      <c r="RYF177" s="125"/>
      <c r="RYG177" s="125"/>
      <c r="RYH177" s="125"/>
      <c r="RYI177" s="125"/>
      <c r="RYJ177" s="125"/>
      <c r="RYK177" s="125"/>
      <c r="RYL177" s="125"/>
      <c r="RYM177" s="125"/>
      <c r="RYN177" s="125"/>
      <c r="RYO177" s="125"/>
      <c r="RYP177" s="125"/>
      <c r="RYQ177" s="125"/>
      <c r="RYR177" s="125"/>
      <c r="RYS177" s="125"/>
      <c r="RYT177" s="125"/>
      <c r="RYU177" s="125"/>
      <c r="RYV177" s="125"/>
      <c r="RYW177" s="125"/>
      <c r="RYX177" s="125"/>
      <c r="RYY177" s="125"/>
      <c r="RYZ177" s="125"/>
      <c r="RZA177" s="125"/>
      <c r="RZB177" s="125"/>
      <c r="RZC177" s="125"/>
      <c r="RZD177" s="125"/>
      <c r="RZE177" s="125"/>
      <c r="RZF177" s="125"/>
      <c r="RZG177" s="125"/>
      <c r="RZH177" s="125"/>
      <c r="RZI177" s="125"/>
      <c r="RZJ177" s="125"/>
      <c r="RZK177" s="125"/>
      <c r="RZL177" s="125"/>
      <c r="RZM177" s="125"/>
      <c r="RZN177" s="125"/>
      <c r="RZO177" s="125"/>
      <c r="RZP177" s="125"/>
      <c r="RZQ177" s="125"/>
      <c r="RZR177" s="125"/>
      <c r="RZS177" s="125"/>
      <c r="RZT177" s="125"/>
      <c r="RZU177" s="125"/>
      <c r="RZV177" s="125"/>
      <c r="RZW177" s="125"/>
      <c r="RZX177" s="125"/>
      <c r="RZY177" s="125"/>
      <c r="RZZ177" s="125"/>
      <c r="SAA177" s="125"/>
      <c r="SAB177" s="125"/>
      <c r="SAC177" s="125"/>
      <c r="SAD177" s="125"/>
      <c r="SAE177" s="125"/>
      <c r="SAF177" s="125"/>
      <c r="SAG177" s="125"/>
      <c r="SAH177" s="125"/>
      <c r="SAI177" s="125"/>
      <c r="SAJ177" s="125"/>
      <c r="SAK177" s="125"/>
      <c r="SAL177" s="125"/>
      <c r="SAM177" s="125"/>
      <c r="SAN177" s="125"/>
      <c r="SAO177" s="125"/>
      <c r="SAP177" s="125"/>
      <c r="SAQ177" s="125"/>
      <c r="SAR177" s="125"/>
      <c r="SAS177" s="125"/>
      <c r="SAT177" s="125"/>
      <c r="SAU177" s="125"/>
      <c r="SAV177" s="125"/>
      <c r="SAW177" s="125"/>
      <c r="SAX177" s="125"/>
      <c r="SAY177" s="125"/>
      <c r="SAZ177" s="125"/>
      <c r="SBA177" s="125"/>
      <c r="SBB177" s="125"/>
      <c r="SBC177" s="125"/>
      <c r="SBD177" s="125"/>
      <c r="SBE177" s="125"/>
      <c r="SBF177" s="125"/>
      <c r="SBG177" s="125"/>
      <c r="SBH177" s="125"/>
      <c r="SBI177" s="125"/>
      <c r="SBJ177" s="125"/>
      <c r="SBK177" s="125"/>
      <c r="SBL177" s="125"/>
      <c r="SBM177" s="125"/>
      <c r="SBN177" s="125"/>
      <c r="SBO177" s="125"/>
      <c r="SBP177" s="125"/>
      <c r="SBQ177" s="125"/>
      <c r="SBR177" s="125"/>
      <c r="SBS177" s="125"/>
      <c r="SBT177" s="125"/>
      <c r="SBU177" s="125"/>
      <c r="SBV177" s="125"/>
      <c r="SBW177" s="125"/>
      <c r="SBX177" s="125"/>
      <c r="SBY177" s="125"/>
      <c r="SBZ177" s="125"/>
      <c r="SCA177" s="125"/>
      <c r="SCB177" s="125"/>
      <c r="SCC177" s="125"/>
      <c r="SCD177" s="125"/>
      <c r="SCE177" s="125"/>
      <c r="SCF177" s="125"/>
      <c r="SCG177" s="125"/>
      <c r="SCH177" s="125"/>
      <c r="SCI177" s="125"/>
      <c r="SCJ177" s="125"/>
      <c r="SCK177" s="125"/>
      <c r="SCL177" s="125"/>
      <c r="SCM177" s="125"/>
      <c r="SCN177" s="125"/>
      <c r="SCO177" s="125"/>
      <c r="SCP177" s="125"/>
      <c r="SCQ177" s="125"/>
      <c r="SCR177" s="125"/>
      <c r="SCS177" s="125"/>
      <c r="SCT177" s="125"/>
      <c r="SCU177" s="125"/>
      <c r="SCV177" s="125"/>
      <c r="SCW177" s="125"/>
      <c r="SCX177" s="125"/>
      <c r="SCY177" s="125"/>
      <c r="SCZ177" s="125"/>
      <c r="SDA177" s="125"/>
      <c r="SDB177" s="125"/>
      <c r="SDC177" s="125"/>
      <c r="SDD177" s="125"/>
      <c r="SDE177" s="125"/>
      <c r="SDF177" s="125"/>
      <c r="SDG177" s="125"/>
      <c r="SDH177" s="125"/>
      <c r="SDI177" s="125"/>
      <c r="SDJ177" s="125"/>
      <c r="SDK177" s="125"/>
      <c r="SDL177" s="125"/>
      <c r="SDM177" s="125"/>
      <c r="SDN177" s="125"/>
      <c r="SDO177" s="125"/>
      <c r="SDP177" s="125"/>
      <c r="SDQ177" s="125"/>
      <c r="SDR177" s="125"/>
      <c r="SDS177" s="125"/>
      <c r="SDT177" s="125"/>
      <c r="SDU177" s="125"/>
      <c r="SDV177" s="125"/>
      <c r="SDW177" s="125"/>
      <c r="SDX177" s="125"/>
      <c r="SDY177" s="125"/>
      <c r="SDZ177" s="125"/>
      <c r="SEA177" s="125"/>
      <c r="SEB177" s="125"/>
      <c r="SEC177" s="125"/>
      <c r="SED177" s="125"/>
      <c r="SEE177" s="125"/>
      <c r="SEF177" s="125"/>
      <c r="SEG177" s="125"/>
      <c r="SEH177" s="125"/>
      <c r="SEI177" s="125"/>
      <c r="SEJ177" s="125"/>
      <c r="SEK177" s="125"/>
      <c r="SEL177" s="125"/>
      <c r="SEM177" s="125"/>
      <c r="SEN177" s="125"/>
      <c r="SEO177" s="125"/>
      <c r="SEP177" s="125"/>
      <c r="SEQ177" s="125"/>
      <c r="SER177" s="125"/>
      <c r="SES177" s="125"/>
      <c r="SET177" s="125"/>
      <c r="SEU177" s="125"/>
      <c r="SEV177" s="125"/>
      <c r="SEW177" s="125"/>
      <c r="SEX177" s="125"/>
      <c r="SEY177" s="125"/>
      <c r="SEZ177" s="125"/>
      <c r="SFA177" s="125"/>
      <c r="SFB177" s="125"/>
      <c r="SFC177" s="125"/>
      <c r="SFD177" s="125"/>
      <c r="SFE177" s="125"/>
      <c r="SFF177" s="125"/>
      <c r="SFG177" s="125"/>
      <c r="SFH177" s="125"/>
      <c r="SFI177" s="125"/>
      <c r="SFJ177" s="125"/>
      <c r="SFK177" s="125"/>
      <c r="SFL177" s="125"/>
      <c r="SFM177" s="125"/>
      <c r="SFN177" s="125"/>
      <c r="SFO177" s="125"/>
      <c r="SFP177" s="125"/>
      <c r="SFQ177" s="125"/>
      <c r="SFR177" s="125"/>
      <c r="SFS177" s="125"/>
      <c r="SFT177" s="125"/>
      <c r="SFU177" s="125"/>
      <c r="SFV177" s="125"/>
      <c r="SFW177" s="125"/>
      <c r="SFX177" s="125"/>
      <c r="SFY177" s="125"/>
      <c r="SFZ177" s="125"/>
      <c r="SGA177" s="125"/>
      <c r="SGB177" s="125"/>
      <c r="SGC177" s="125"/>
      <c r="SGD177" s="125"/>
      <c r="SGE177" s="125"/>
      <c r="SGF177" s="125"/>
      <c r="SGG177" s="125"/>
      <c r="SGH177" s="125"/>
      <c r="SGI177" s="125"/>
      <c r="SGJ177" s="125"/>
      <c r="SGK177" s="125"/>
      <c r="SGL177" s="125"/>
      <c r="SGM177" s="125"/>
      <c r="SGN177" s="125"/>
      <c r="SGO177" s="125"/>
      <c r="SGP177" s="125"/>
      <c r="SGQ177" s="125"/>
      <c r="SGR177" s="125"/>
      <c r="SGS177" s="125"/>
      <c r="SGT177" s="125"/>
      <c r="SGU177" s="125"/>
      <c r="SGV177" s="125"/>
      <c r="SGW177" s="125"/>
      <c r="SGX177" s="125"/>
      <c r="SGY177" s="125"/>
      <c r="SGZ177" s="125"/>
      <c r="SHA177" s="125"/>
      <c r="SHB177" s="125"/>
      <c r="SHC177" s="125"/>
      <c r="SHD177" s="125"/>
      <c r="SHE177" s="125"/>
      <c r="SHF177" s="125"/>
      <c r="SHG177" s="125"/>
      <c r="SHH177" s="125"/>
      <c r="SHI177" s="125"/>
      <c r="SHJ177" s="125"/>
      <c r="SHK177" s="125"/>
      <c r="SHL177" s="125"/>
      <c r="SHM177" s="125"/>
      <c r="SHN177" s="125"/>
      <c r="SHO177" s="125"/>
      <c r="SHP177" s="125"/>
      <c r="SHQ177" s="125"/>
      <c r="SHR177" s="125"/>
      <c r="SHS177" s="125"/>
      <c r="SHT177" s="125"/>
      <c r="SHU177" s="125"/>
      <c r="SHV177" s="125"/>
      <c r="SHW177" s="125"/>
      <c r="SHX177" s="125"/>
      <c r="SHY177" s="125"/>
      <c r="SHZ177" s="125"/>
      <c r="SIA177" s="125"/>
      <c r="SIB177" s="125"/>
      <c r="SIC177" s="125"/>
      <c r="SID177" s="125"/>
      <c r="SIE177" s="125"/>
      <c r="SIF177" s="125"/>
      <c r="SIG177" s="125"/>
      <c r="SIH177" s="125"/>
      <c r="SII177" s="125"/>
      <c r="SIJ177" s="125"/>
      <c r="SIK177" s="125"/>
      <c r="SIL177" s="125"/>
      <c r="SIM177" s="125"/>
      <c r="SIN177" s="125"/>
      <c r="SIO177" s="125"/>
      <c r="SIP177" s="125"/>
      <c r="SIQ177" s="125"/>
      <c r="SIR177" s="125"/>
      <c r="SIS177" s="125"/>
      <c r="SIT177" s="125"/>
      <c r="SIU177" s="125"/>
      <c r="SIV177" s="125"/>
      <c r="SIW177" s="125"/>
      <c r="SIX177" s="125"/>
      <c r="SIY177" s="125"/>
      <c r="SIZ177" s="125"/>
      <c r="SJA177" s="125"/>
      <c r="SJB177" s="125"/>
      <c r="SJC177" s="125"/>
      <c r="SJD177" s="125"/>
      <c r="SJE177" s="125"/>
      <c r="SJF177" s="125"/>
      <c r="SJG177" s="125"/>
      <c r="SJH177" s="125"/>
      <c r="SJI177" s="125"/>
      <c r="SJJ177" s="125"/>
      <c r="SJK177" s="125"/>
      <c r="SJL177" s="125"/>
      <c r="SJM177" s="125"/>
      <c r="SJN177" s="125"/>
      <c r="SJO177" s="125"/>
      <c r="SJP177" s="125"/>
      <c r="SJQ177" s="125"/>
      <c r="SJR177" s="125"/>
      <c r="SJS177" s="125"/>
      <c r="SJT177" s="125"/>
      <c r="SJU177" s="125"/>
      <c r="SJV177" s="125"/>
      <c r="SJW177" s="125"/>
      <c r="SJX177" s="125"/>
      <c r="SJY177" s="125"/>
      <c r="SJZ177" s="125"/>
      <c r="SKA177" s="125"/>
      <c r="SKB177" s="125"/>
      <c r="SKC177" s="125"/>
      <c r="SKD177" s="125"/>
      <c r="SKE177" s="125"/>
      <c r="SKF177" s="125"/>
      <c r="SKG177" s="125"/>
      <c r="SKH177" s="125"/>
      <c r="SKI177" s="125"/>
      <c r="SKJ177" s="125"/>
      <c r="SKK177" s="125"/>
      <c r="SKL177" s="125"/>
      <c r="SKM177" s="125"/>
      <c r="SKN177" s="125"/>
      <c r="SKO177" s="125"/>
      <c r="SKP177" s="125"/>
      <c r="SKQ177" s="125"/>
      <c r="SKR177" s="125"/>
      <c r="SKS177" s="125"/>
      <c r="SKT177" s="125"/>
      <c r="SKU177" s="125"/>
      <c r="SKV177" s="125"/>
      <c r="SKW177" s="125"/>
      <c r="SKX177" s="125"/>
      <c r="SKY177" s="125"/>
      <c r="SKZ177" s="125"/>
      <c r="SLA177" s="125"/>
      <c r="SLB177" s="125"/>
      <c r="SLC177" s="125"/>
      <c r="SLD177" s="125"/>
      <c r="SLE177" s="125"/>
      <c r="SLF177" s="125"/>
      <c r="SLG177" s="125"/>
      <c r="SLH177" s="125"/>
      <c r="SLI177" s="125"/>
      <c r="SLJ177" s="125"/>
      <c r="SLK177" s="125"/>
      <c r="SLL177" s="125"/>
      <c r="SLM177" s="125"/>
      <c r="SLN177" s="125"/>
      <c r="SLO177" s="125"/>
      <c r="SLP177" s="125"/>
      <c r="SLQ177" s="125"/>
      <c r="SLR177" s="125"/>
      <c r="SLS177" s="125"/>
      <c r="SLT177" s="125"/>
      <c r="SLU177" s="125"/>
      <c r="SLV177" s="125"/>
      <c r="SLW177" s="125"/>
      <c r="SLX177" s="125"/>
      <c r="SLY177" s="125"/>
      <c r="SLZ177" s="125"/>
      <c r="SMA177" s="125"/>
      <c r="SMB177" s="125"/>
      <c r="SMC177" s="125"/>
      <c r="SMD177" s="125"/>
      <c r="SME177" s="125"/>
      <c r="SMF177" s="125"/>
      <c r="SMG177" s="125"/>
      <c r="SMH177" s="125"/>
      <c r="SMI177" s="125"/>
      <c r="SMJ177" s="125"/>
      <c r="SMK177" s="125"/>
      <c r="SML177" s="125"/>
      <c r="SMM177" s="125"/>
      <c r="SMN177" s="125"/>
      <c r="SMO177" s="125"/>
      <c r="SMP177" s="125"/>
      <c r="SMQ177" s="125"/>
      <c r="SMR177" s="125"/>
      <c r="SMS177" s="125"/>
      <c r="SMT177" s="125"/>
      <c r="SMU177" s="125"/>
      <c r="SMV177" s="125"/>
      <c r="SMW177" s="125"/>
      <c r="SMX177" s="125"/>
      <c r="SMY177" s="125"/>
      <c r="SMZ177" s="125"/>
      <c r="SNA177" s="125"/>
      <c r="SNB177" s="125"/>
      <c r="SNC177" s="125"/>
      <c r="SND177" s="125"/>
      <c r="SNE177" s="125"/>
      <c r="SNF177" s="125"/>
      <c r="SNG177" s="125"/>
      <c r="SNH177" s="125"/>
      <c r="SNI177" s="125"/>
      <c r="SNJ177" s="125"/>
      <c r="SNK177" s="125"/>
      <c r="SNL177" s="125"/>
      <c r="SNM177" s="125"/>
      <c r="SNN177" s="125"/>
      <c r="SNO177" s="125"/>
      <c r="SNP177" s="125"/>
      <c r="SNQ177" s="125"/>
      <c r="SNR177" s="125"/>
      <c r="SNS177" s="125"/>
      <c r="SNT177" s="125"/>
      <c r="SNU177" s="125"/>
      <c r="SNV177" s="125"/>
      <c r="SNW177" s="125"/>
      <c r="SNX177" s="125"/>
      <c r="SNY177" s="125"/>
      <c r="SNZ177" s="125"/>
      <c r="SOA177" s="125"/>
      <c r="SOB177" s="125"/>
      <c r="SOC177" s="125"/>
      <c r="SOD177" s="125"/>
      <c r="SOE177" s="125"/>
      <c r="SOF177" s="125"/>
      <c r="SOG177" s="125"/>
      <c r="SOH177" s="125"/>
      <c r="SOI177" s="125"/>
      <c r="SOJ177" s="125"/>
      <c r="SOK177" s="125"/>
      <c r="SOL177" s="125"/>
      <c r="SOM177" s="125"/>
      <c r="SON177" s="125"/>
      <c r="SOO177" s="125"/>
      <c r="SOP177" s="125"/>
      <c r="SOQ177" s="125"/>
      <c r="SOR177" s="125"/>
      <c r="SOS177" s="125"/>
      <c r="SOT177" s="125"/>
      <c r="SOU177" s="125"/>
      <c r="SOV177" s="125"/>
      <c r="SOW177" s="125"/>
      <c r="SOX177" s="125"/>
      <c r="SOY177" s="125"/>
      <c r="SOZ177" s="125"/>
      <c r="SPA177" s="125"/>
      <c r="SPB177" s="125"/>
      <c r="SPC177" s="125"/>
      <c r="SPD177" s="125"/>
      <c r="SPE177" s="125"/>
      <c r="SPF177" s="125"/>
      <c r="SPG177" s="125"/>
      <c r="SPH177" s="125"/>
      <c r="SPI177" s="125"/>
      <c r="SPJ177" s="125"/>
      <c r="SPK177" s="125"/>
      <c r="SPL177" s="125"/>
      <c r="SPM177" s="125"/>
      <c r="SPN177" s="125"/>
      <c r="SPO177" s="125"/>
      <c r="SPP177" s="125"/>
      <c r="SPQ177" s="125"/>
      <c r="SPR177" s="125"/>
      <c r="SPS177" s="125"/>
      <c r="SPT177" s="125"/>
      <c r="SPU177" s="125"/>
      <c r="SPV177" s="125"/>
      <c r="SPW177" s="125"/>
      <c r="SPX177" s="125"/>
      <c r="SPY177" s="125"/>
      <c r="SPZ177" s="125"/>
      <c r="SQA177" s="125"/>
      <c r="SQB177" s="125"/>
      <c r="SQC177" s="125"/>
      <c r="SQD177" s="125"/>
      <c r="SQE177" s="125"/>
      <c r="SQF177" s="125"/>
      <c r="SQG177" s="125"/>
      <c r="SQH177" s="125"/>
      <c r="SQI177" s="125"/>
      <c r="SQJ177" s="125"/>
      <c r="SQK177" s="125"/>
      <c r="SQL177" s="125"/>
      <c r="SQM177" s="125"/>
      <c r="SQN177" s="125"/>
      <c r="SQO177" s="125"/>
      <c r="SQP177" s="125"/>
      <c r="SQQ177" s="125"/>
      <c r="SQR177" s="125"/>
      <c r="SQS177" s="125"/>
      <c r="SQT177" s="125"/>
      <c r="SQU177" s="125"/>
      <c r="SQV177" s="125"/>
      <c r="SQW177" s="125"/>
      <c r="SQX177" s="125"/>
      <c r="SQY177" s="125"/>
      <c r="SQZ177" s="125"/>
      <c r="SRA177" s="125"/>
      <c r="SRB177" s="125"/>
      <c r="SRC177" s="125"/>
      <c r="SRD177" s="125"/>
      <c r="SRE177" s="125"/>
      <c r="SRF177" s="125"/>
      <c r="SRG177" s="125"/>
      <c r="SRH177" s="125"/>
      <c r="SRI177" s="125"/>
      <c r="SRJ177" s="125"/>
      <c r="SRK177" s="125"/>
      <c r="SRL177" s="125"/>
      <c r="SRM177" s="125"/>
      <c r="SRN177" s="125"/>
      <c r="SRO177" s="125"/>
      <c r="SRP177" s="125"/>
      <c r="SRQ177" s="125"/>
      <c r="SRR177" s="125"/>
      <c r="SRS177" s="125"/>
      <c r="SRT177" s="125"/>
      <c r="SRU177" s="125"/>
      <c r="SRV177" s="125"/>
      <c r="SRW177" s="125"/>
      <c r="SRX177" s="125"/>
      <c r="SRY177" s="125"/>
      <c r="SRZ177" s="125"/>
      <c r="SSA177" s="125"/>
      <c r="SSB177" s="125"/>
      <c r="SSC177" s="125"/>
      <c r="SSD177" s="125"/>
      <c r="SSE177" s="125"/>
      <c r="SSF177" s="125"/>
      <c r="SSG177" s="125"/>
      <c r="SSH177" s="125"/>
      <c r="SSI177" s="125"/>
      <c r="SSJ177" s="125"/>
      <c r="SSK177" s="125"/>
      <c r="SSL177" s="125"/>
      <c r="SSM177" s="125"/>
      <c r="SSN177" s="125"/>
      <c r="SSO177" s="125"/>
      <c r="SSP177" s="125"/>
      <c r="SSQ177" s="125"/>
      <c r="SSR177" s="125"/>
      <c r="SSS177" s="125"/>
      <c r="SST177" s="125"/>
      <c r="SSU177" s="125"/>
      <c r="SSV177" s="125"/>
      <c r="SSW177" s="125"/>
      <c r="SSX177" s="125"/>
      <c r="SSY177" s="125"/>
      <c r="SSZ177" s="125"/>
      <c r="STA177" s="125"/>
      <c r="STB177" s="125"/>
      <c r="STC177" s="125"/>
      <c r="STD177" s="125"/>
      <c r="STE177" s="125"/>
      <c r="STF177" s="125"/>
      <c r="STG177" s="125"/>
      <c r="STH177" s="125"/>
      <c r="STI177" s="125"/>
      <c r="STJ177" s="125"/>
      <c r="STK177" s="125"/>
      <c r="STL177" s="125"/>
      <c r="STM177" s="125"/>
      <c r="STN177" s="125"/>
      <c r="STO177" s="125"/>
      <c r="STP177" s="125"/>
      <c r="STQ177" s="125"/>
      <c r="STR177" s="125"/>
      <c r="STS177" s="125"/>
      <c r="STT177" s="125"/>
      <c r="STU177" s="125"/>
      <c r="STV177" s="125"/>
      <c r="STW177" s="125"/>
      <c r="STX177" s="125"/>
      <c r="STY177" s="125"/>
      <c r="STZ177" s="125"/>
      <c r="SUA177" s="125"/>
      <c r="SUB177" s="125"/>
      <c r="SUC177" s="125"/>
      <c r="SUD177" s="125"/>
      <c r="SUE177" s="125"/>
      <c r="SUF177" s="125"/>
      <c r="SUG177" s="125"/>
      <c r="SUH177" s="125"/>
      <c r="SUI177" s="125"/>
      <c r="SUJ177" s="125"/>
      <c r="SUK177" s="125"/>
      <c r="SUL177" s="125"/>
      <c r="SUM177" s="125"/>
      <c r="SUN177" s="125"/>
      <c r="SUO177" s="125"/>
      <c r="SUP177" s="125"/>
      <c r="SUQ177" s="125"/>
      <c r="SUR177" s="125"/>
      <c r="SUS177" s="125"/>
      <c r="SUT177" s="125"/>
      <c r="SUU177" s="125"/>
      <c r="SUV177" s="125"/>
      <c r="SUW177" s="125"/>
      <c r="SUX177" s="125"/>
      <c r="SUY177" s="125"/>
      <c r="SUZ177" s="125"/>
      <c r="SVA177" s="125"/>
      <c r="SVB177" s="125"/>
      <c r="SVC177" s="125"/>
      <c r="SVD177" s="125"/>
      <c r="SVE177" s="125"/>
      <c r="SVF177" s="125"/>
      <c r="SVG177" s="125"/>
      <c r="SVH177" s="125"/>
      <c r="SVI177" s="125"/>
      <c r="SVJ177" s="125"/>
      <c r="SVK177" s="125"/>
      <c r="SVL177" s="125"/>
      <c r="SVM177" s="125"/>
      <c r="SVN177" s="125"/>
      <c r="SVO177" s="125"/>
      <c r="SVP177" s="125"/>
      <c r="SVQ177" s="125"/>
      <c r="SVR177" s="125"/>
      <c r="SVS177" s="125"/>
      <c r="SVT177" s="125"/>
      <c r="SVU177" s="125"/>
      <c r="SVV177" s="125"/>
      <c r="SVW177" s="125"/>
      <c r="SVX177" s="125"/>
      <c r="SVY177" s="125"/>
      <c r="SVZ177" s="125"/>
      <c r="SWA177" s="125"/>
      <c r="SWB177" s="125"/>
      <c r="SWC177" s="125"/>
      <c r="SWD177" s="125"/>
      <c r="SWE177" s="125"/>
      <c r="SWF177" s="125"/>
      <c r="SWG177" s="125"/>
      <c r="SWH177" s="125"/>
      <c r="SWI177" s="125"/>
      <c r="SWJ177" s="125"/>
      <c r="SWK177" s="125"/>
      <c r="SWL177" s="125"/>
      <c r="SWM177" s="125"/>
      <c r="SWN177" s="125"/>
      <c r="SWO177" s="125"/>
      <c r="SWP177" s="125"/>
      <c r="SWQ177" s="125"/>
      <c r="SWR177" s="125"/>
      <c r="SWS177" s="125"/>
      <c r="SWT177" s="125"/>
      <c r="SWU177" s="125"/>
      <c r="SWV177" s="125"/>
      <c r="SWW177" s="125"/>
      <c r="SWX177" s="125"/>
      <c r="SWY177" s="125"/>
      <c r="SWZ177" s="125"/>
      <c r="SXA177" s="125"/>
      <c r="SXB177" s="125"/>
      <c r="SXC177" s="125"/>
      <c r="SXD177" s="125"/>
      <c r="SXE177" s="125"/>
      <c r="SXF177" s="125"/>
      <c r="SXG177" s="125"/>
      <c r="SXH177" s="125"/>
      <c r="SXI177" s="125"/>
      <c r="SXJ177" s="125"/>
      <c r="SXK177" s="125"/>
      <c r="SXL177" s="125"/>
      <c r="SXM177" s="125"/>
      <c r="SXN177" s="125"/>
      <c r="SXO177" s="125"/>
      <c r="SXP177" s="125"/>
      <c r="SXQ177" s="125"/>
      <c r="SXR177" s="125"/>
      <c r="SXS177" s="125"/>
      <c r="SXT177" s="125"/>
      <c r="SXU177" s="125"/>
      <c r="SXV177" s="125"/>
      <c r="SXW177" s="125"/>
      <c r="SXX177" s="125"/>
      <c r="SXY177" s="125"/>
      <c r="SXZ177" s="125"/>
      <c r="SYA177" s="125"/>
      <c r="SYB177" s="125"/>
      <c r="SYC177" s="125"/>
      <c r="SYD177" s="125"/>
      <c r="SYE177" s="125"/>
      <c r="SYF177" s="125"/>
      <c r="SYG177" s="125"/>
      <c r="SYH177" s="125"/>
      <c r="SYI177" s="125"/>
      <c r="SYJ177" s="125"/>
      <c r="SYK177" s="125"/>
      <c r="SYL177" s="125"/>
      <c r="SYM177" s="125"/>
      <c r="SYN177" s="125"/>
      <c r="SYO177" s="125"/>
      <c r="SYP177" s="125"/>
      <c r="SYQ177" s="125"/>
      <c r="SYR177" s="125"/>
      <c r="SYS177" s="125"/>
      <c r="SYT177" s="125"/>
      <c r="SYU177" s="125"/>
      <c r="SYV177" s="125"/>
      <c r="SYW177" s="125"/>
      <c r="SYX177" s="125"/>
      <c r="SYY177" s="125"/>
      <c r="SYZ177" s="125"/>
      <c r="SZA177" s="125"/>
      <c r="SZB177" s="125"/>
      <c r="SZC177" s="125"/>
      <c r="SZD177" s="125"/>
      <c r="SZE177" s="125"/>
      <c r="SZF177" s="125"/>
      <c r="SZG177" s="125"/>
      <c r="SZH177" s="125"/>
      <c r="SZI177" s="125"/>
      <c r="SZJ177" s="125"/>
      <c r="SZK177" s="125"/>
      <c r="SZL177" s="125"/>
      <c r="SZM177" s="125"/>
      <c r="SZN177" s="125"/>
      <c r="SZO177" s="125"/>
      <c r="SZP177" s="125"/>
      <c r="SZQ177" s="125"/>
      <c r="SZR177" s="125"/>
      <c r="SZS177" s="125"/>
      <c r="SZT177" s="125"/>
      <c r="SZU177" s="125"/>
      <c r="SZV177" s="125"/>
      <c r="SZW177" s="125"/>
      <c r="SZX177" s="125"/>
      <c r="SZY177" s="125"/>
      <c r="SZZ177" s="125"/>
      <c r="TAA177" s="125"/>
      <c r="TAB177" s="125"/>
      <c r="TAC177" s="125"/>
      <c r="TAD177" s="125"/>
      <c r="TAE177" s="125"/>
      <c r="TAF177" s="125"/>
      <c r="TAG177" s="125"/>
      <c r="TAH177" s="125"/>
      <c r="TAI177" s="125"/>
      <c r="TAJ177" s="125"/>
      <c r="TAK177" s="125"/>
      <c r="TAL177" s="125"/>
      <c r="TAM177" s="125"/>
      <c r="TAN177" s="125"/>
      <c r="TAO177" s="125"/>
      <c r="TAP177" s="125"/>
      <c r="TAQ177" s="125"/>
      <c r="TAR177" s="125"/>
      <c r="TAS177" s="125"/>
      <c r="TAT177" s="125"/>
      <c r="TAU177" s="125"/>
      <c r="TAV177" s="125"/>
      <c r="TAW177" s="125"/>
      <c r="TAX177" s="125"/>
      <c r="TAY177" s="125"/>
      <c r="TAZ177" s="125"/>
      <c r="TBA177" s="125"/>
      <c r="TBB177" s="125"/>
      <c r="TBC177" s="125"/>
      <c r="TBD177" s="125"/>
      <c r="TBE177" s="125"/>
      <c r="TBF177" s="125"/>
      <c r="TBG177" s="125"/>
      <c r="TBH177" s="125"/>
      <c r="TBI177" s="125"/>
      <c r="TBJ177" s="125"/>
      <c r="TBK177" s="125"/>
      <c r="TBL177" s="125"/>
      <c r="TBM177" s="125"/>
      <c r="TBN177" s="125"/>
      <c r="TBO177" s="125"/>
      <c r="TBP177" s="125"/>
      <c r="TBQ177" s="125"/>
      <c r="TBR177" s="125"/>
      <c r="TBS177" s="125"/>
      <c r="TBT177" s="125"/>
      <c r="TBU177" s="125"/>
      <c r="TBV177" s="125"/>
      <c r="TBW177" s="125"/>
      <c r="TBX177" s="125"/>
      <c r="TBY177" s="125"/>
      <c r="TBZ177" s="125"/>
      <c r="TCA177" s="125"/>
      <c r="TCB177" s="125"/>
      <c r="TCC177" s="125"/>
      <c r="TCD177" s="125"/>
      <c r="TCE177" s="125"/>
      <c r="TCF177" s="125"/>
      <c r="TCG177" s="125"/>
      <c r="TCH177" s="125"/>
      <c r="TCI177" s="125"/>
      <c r="TCJ177" s="125"/>
      <c r="TCK177" s="125"/>
      <c r="TCL177" s="125"/>
      <c r="TCM177" s="125"/>
      <c r="TCN177" s="125"/>
      <c r="TCO177" s="125"/>
      <c r="TCP177" s="125"/>
      <c r="TCQ177" s="125"/>
      <c r="TCR177" s="125"/>
      <c r="TCS177" s="125"/>
      <c r="TCT177" s="125"/>
      <c r="TCU177" s="125"/>
      <c r="TCV177" s="125"/>
      <c r="TCW177" s="125"/>
      <c r="TCX177" s="125"/>
      <c r="TCY177" s="125"/>
      <c r="TCZ177" s="125"/>
      <c r="TDA177" s="125"/>
      <c r="TDB177" s="125"/>
      <c r="TDC177" s="125"/>
      <c r="TDD177" s="125"/>
      <c r="TDE177" s="125"/>
      <c r="TDF177" s="125"/>
      <c r="TDG177" s="125"/>
      <c r="TDH177" s="125"/>
      <c r="TDI177" s="125"/>
      <c r="TDJ177" s="125"/>
      <c r="TDK177" s="125"/>
      <c r="TDL177" s="125"/>
      <c r="TDM177" s="125"/>
      <c r="TDN177" s="125"/>
      <c r="TDO177" s="125"/>
      <c r="TDP177" s="125"/>
      <c r="TDQ177" s="125"/>
      <c r="TDR177" s="125"/>
      <c r="TDS177" s="125"/>
      <c r="TDT177" s="125"/>
      <c r="TDU177" s="125"/>
      <c r="TDV177" s="125"/>
      <c r="TDW177" s="125"/>
      <c r="TDX177" s="125"/>
      <c r="TDY177" s="125"/>
      <c r="TDZ177" s="125"/>
      <c r="TEA177" s="125"/>
      <c r="TEB177" s="125"/>
      <c r="TEC177" s="125"/>
      <c r="TED177" s="125"/>
      <c r="TEE177" s="125"/>
      <c r="TEF177" s="125"/>
      <c r="TEG177" s="125"/>
      <c r="TEH177" s="125"/>
      <c r="TEI177" s="125"/>
      <c r="TEJ177" s="125"/>
      <c r="TEK177" s="125"/>
      <c r="TEL177" s="125"/>
      <c r="TEM177" s="125"/>
      <c r="TEN177" s="125"/>
      <c r="TEO177" s="125"/>
      <c r="TEP177" s="125"/>
      <c r="TEQ177" s="125"/>
      <c r="TER177" s="125"/>
      <c r="TES177" s="125"/>
      <c r="TET177" s="125"/>
      <c r="TEU177" s="125"/>
      <c r="TEV177" s="125"/>
      <c r="TEW177" s="125"/>
      <c r="TEX177" s="125"/>
      <c r="TEY177" s="125"/>
      <c r="TEZ177" s="125"/>
      <c r="TFA177" s="125"/>
      <c r="TFB177" s="125"/>
      <c r="TFC177" s="125"/>
      <c r="TFD177" s="125"/>
      <c r="TFE177" s="125"/>
      <c r="TFF177" s="125"/>
      <c r="TFG177" s="125"/>
      <c r="TFH177" s="125"/>
      <c r="TFI177" s="125"/>
      <c r="TFJ177" s="125"/>
      <c r="TFK177" s="125"/>
      <c r="TFL177" s="125"/>
      <c r="TFM177" s="125"/>
      <c r="TFN177" s="125"/>
      <c r="TFO177" s="125"/>
      <c r="TFP177" s="125"/>
      <c r="TFQ177" s="125"/>
      <c r="TFR177" s="125"/>
      <c r="TFS177" s="125"/>
      <c r="TFT177" s="125"/>
      <c r="TFU177" s="125"/>
      <c r="TFV177" s="125"/>
      <c r="TFW177" s="125"/>
      <c r="TFX177" s="125"/>
      <c r="TFY177" s="125"/>
      <c r="TFZ177" s="125"/>
      <c r="TGA177" s="125"/>
      <c r="TGB177" s="125"/>
      <c r="TGC177" s="125"/>
      <c r="TGD177" s="125"/>
      <c r="TGE177" s="125"/>
      <c r="TGF177" s="125"/>
      <c r="TGG177" s="125"/>
      <c r="TGH177" s="125"/>
      <c r="TGI177" s="125"/>
      <c r="TGJ177" s="125"/>
      <c r="TGK177" s="125"/>
      <c r="TGL177" s="125"/>
      <c r="TGM177" s="125"/>
      <c r="TGN177" s="125"/>
      <c r="TGO177" s="125"/>
      <c r="TGP177" s="125"/>
      <c r="TGQ177" s="125"/>
      <c r="TGR177" s="125"/>
      <c r="TGS177" s="125"/>
      <c r="TGT177" s="125"/>
      <c r="TGU177" s="125"/>
      <c r="TGV177" s="125"/>
      <c r="TGW177" s="125"/>
      <c r="TGX177" s="125"/>
      <c r="TGY177" s="125"/>
      <c r="TGZ177" s="125"/>
      <c r="THA177" s="125"/>
      <c r="THB177" s="125"/>
      <c r="THC177" s="125"/>
      <c r="THD177" s="125"/>
      <c r="THE177" s="125"/>
      <c r="THF177" s="125"/>
      <c r="THG177" s="125"/>
      <c r="THH177" s="125"/>
      <c r="THI177" s="125"/>
      <c r="THJ177" s="125"/>
      <c r="THK177" s="125"/>
      <c r="THL177" s="125"/>
      <c r="THM177" s="125"/>
      <c r="THN177" s="125"/>
      <c r="THO177" s="125"/>
      <c r="THP177" s="125"/>
      <c r="THQ177" s="125"/>
      <c r="THR177" s="125"/>
      <c r="THS177" s="125"/>
      <c r="THT177" s="125"/>
      <c r="THU177" s="125"/>
      <c r="THV177" s="125"/>
      <c r="THW177" s="125"/>
      <c r="THX177" s="125"/>
      <c r="THY177" s="125"/>
      <c r="THZ177" s="125"/>
      <c r="TIA177" s="125"/>
      <c r="TIB177" s="125"/>
      <c r="TIC177" s="125"/>
      <c r="TID177" s="125"/>
      <c r="TIE177" s="125"/>
      <c r="TIF177" s="125"/>
      <c r="TIG177" s="125"/>
      <c r="TIH177" s="125"/>
      <c r="TII177" s="125"/>
      <c r="TIJ177" s="125"/>
      <c r="TIK177" s="125"/>
      <c r="TIL177" s="125"/>
      <c r="TIM177" s="125"/>
      <c r="TIN177" s="125"/>
      <c r="TIO177" s="125"/>
      <c r="TIP177" s="125"/>
      <c r="TIQ177" s="125"/>
      <c r="TIR177" s="125"/>
      <c r="TIS177" s="125"/>
      <c r="TIT177" s="125"/>
      <c r="TIU177" s="125"/>
      <c r="TIV177" s="125"/>
      <c r="TIW177" s="125"/>
      <c r="TIX177" s="125"/>
      <c r="TIY177" s="125"/>
      <c r="TIZ177" s="125"/>
      <c r="TJA177" s="125"/>
      <c r="TJB177" s="125"/>
      <c r="TJC177" s="125"/>
      <c r="TJD177" s="125"/>
      <c r="TJE177" s="125"/>
      <c r="TJF177" s="125"/>
      <c r="TJG177" s="125"/>
      <c r="TJH177" s="125"/>
      <c r="TJI177" s="125"/>
      <c r="TJJ177" s="125"/>
      <c r="TJK177" s="125"/>
      <c r="TJL177" s="125"/>
      <c r="TJM177" s="125"/>
      <c r="TJN177" s="125"/>
      <c r="TJO177" s="125"/>
      <c r="TJP177" s="125"/>
      <c r="TJQ177" s="125"/>
      <c r="TJR177" s="125"/>
      <c r="TJS177" s="125"/>
      <c r="TJT177" s="125"/>
      <c r="TJU177" s="125"/>
      <c r="TJV177" s="125"/>
      <c r="TJW177" s="125"/>
      <c r="TJX177" s="125"/>
      <c r="TJY177" s="125"/>
      <c r="TJZ177" s="125"/>
      <c r="TKA177" s="125"/>
      <c r="TKB177" s="125"/>
      <c r="TKC177" s="125"/>
      <c r="TKD177" s="125"/>
      <c r="TKE177" s="125"/>
      <c r="TKF177" s="125"/>
      <c r="TKG177" s="125"/>
      <c r="TKH177" s="125"/>
      <c r="TKI177" s="125"/>
      <c r="TKJ177" s="125"/>
      <c r="TKK177" s="125"/>
      <c r="TKL177" s="125"/>
      <c r="TKM177" s="125"/>
      <c r="TKN177" s="125"/>
      <c r="TKO177" s="125"/>
      <c r="TKP177" s="125"/>
      <c r="TKQ177" s="125"/>
      <c r="TKR177" s="125"/>
      <c r="TKS177" s="125"/>
      <c r="TKT177" s="125"/>
      <c r="TKU177" s="125"/>
      <c r="TKV177" s="125"/>
      <c r="TKW177" s="125"/>
      <c r="TKX177" s="125"/>
      <c r="TKY177" s="125"/>
      <c r="TKZ177" s="125"/>
      <c r="TLA177" s="125"/>
      <c r="TLB177" s="125"/>
      <c r="TLC177" s="125"/>
      <c r="TLD177" s="125"/>
      <c r="TLE177" s="125"/>
      <c r="TLF177" s="125"/>
      <c r="TLG177" s="125"/>
      <c r="TLH177" s="125"/>
      <c r="TLI177" s="125"/>
      <c r="TLJ177" s="125"/>
      <c r="TLK177" s="125"/>
      <c r="TLL177" s="125"/>
      <c r="TLM177" s="125"/>
      <c r="TLN177" s="125"/>
      <c r="TLO177" s="125"/>
      <c r="TLP177" s="125"/>
      <c r="TLQ177" s="125"/>
      <c r="TLR177" s="125"/>
      <c r="TLS177" s="125"/>
      <c r="TLT177" s="125"/>
      <c r="TLU177" s="125"/>
      <c r="TLV177" s="125"/>
      <c r="TLW177" s="125"/>
      <c r="TLX177" s="125"/>
      <c r="TLY177" s="125"/>
      <c r="TLZ177" s="125"/>
      <c r="TMA177" s="125"/>
      <c r="TMB177" s="125"/>
      <c r="TMC177" s="125"/>
      <c r="TMD177" s="125"/>
      <c r="TME177" s="125"/>
      <c r="TMF177" s="125"/>
      <c r="TMG177" s="125"/>
      <c r="TMH177" s="125"/>
      <c r="TMI177" s="125"/>
      <c r="TMJ177" s="125"/>
      <c r="TMK177" s="125"/>
      <c r="TML177" s="125"/>
      <c r="TMM177" s="125"/>
      <c r="TMN177" s="125"/>
      <c r="TMO177" s="125"/>
      <c r="TMP177" s="125"/>
      <c r="TMQ177" s="125"/>
      <c r="TMR177" s="125"/>
      <c r="TMS177" s="125"/>
      <c r="TMT177" s="125"/>
      <c r="TMU177" s="125"/>
      <c r="TMV177" s="125"/>
      <c r="TMW177" s="125"/>
      <c r="TMX177" s="125"/>
      <c r="TMY177" s="125"/>
      <c r="TMZ177" s="125"/>
      <c r="TNA177" s="125"/>
      <c r="TNB177" s="125"/>
      <c r="TNC177" s="125"/>
      <c r="TND177" s="125"/>
      <c r="TNE177" s="125"/>
      <c r="TNF177" s="125"/>
      <c r="TNG177" s="125"/>
      <c r="TNH177" s="125"/>
      <c r="TNI177" s="125"/>
      <c r="TNJ177" s="125"/>
      <c r="TNK177" s="125"/>
      <c r="TNL177" s="125"/>
      <c r="TNM177" s="125"/>
      <c r="TNN177" s="125"/>
      <c r="TNO177" s="125"/>
      <c r="TNP177" s="125"/>
      <c r="TNQ177" s="125"/>
      <c r="TNR177" s="125"/>
      <c r="TNS177" s="125"/>
      <c r="TNT177" s="125"/>
      <c r="TNU177" s="125"/>
      <c r="TNV177" s="125"/>
      <c r="TNW177" s="125"/>
      <c r="TNX177" s="125"/>
      <c r="TNY177" s="125"/>
      <c r="TNZ177" s="125"/>
      <c r="TOA177" s="125"/>
      <c r="TOB177" s="125"/>
      <c r="TOC177" s="125"/>
      <c r="TOD177" s="125"/>
      <c r="TOE177" s="125"/>
      <c r="TOF177" s="125"/>
      <c r="TOG177" s="125"/>
      <c r="TOH177" s="125"/>
      <c r="TOI177" s="125"/>
      <c r="TOJ177" s="125"/>
      <c r="TOK177" s="125"/>
      <c r="TOL177" s="125"/>
      <c r="TOM177" s="125"/>
      <c r="TON177" s="125"/>
      <c r="TOO177" s="125"/>
      <c r="TOP177" s="125"/>
      <c r="TOQ177" s="125"/>
      <c r="TOR177" s="125"/>
      <c r="TOS177" s="125"/>
      <c r="TOT177" s="125"/>
      <c r="TOU177" s="125"/>
      <c r="TOV177" s="125"/>
      <c r="TOW177" s="125"/>
      <c r="TOX177" s="125"/>
      <c r="TOY177" s="125"/>
      <c r="TOZ177" s="125"/>
      <c r="TPA177" s="125"/>
      <c r="TPB177" s="125"/>
      <c r="TPC177" s="125"/>
      <c r="TPD177" s="125"/>
      <c r="TPE177" s="125"/>
      <c r="TPF177" s="125"/>
      <c r="TPG177" s="125"/>
      <c r="TPH177" s="125"/>
      <c r="TPI177" s="125"/>
      <c r="TPJ177" s="125"/>
      <c r="TPK177" s="125"/>
      <c r="TPL177" s="125"/>
      <c r="TPM177" s="125"/>
      <c r="TPN177" s="125"/>
      <c r="TPO177" s="125"/>
      <c r="TPP177" s="125"/>
      <c r="TPQ177" s="125"/>
      <c r="TPR177" s="125"/>
      <c r="TPS177" s="125"/>
      <c r="TPT177" s="125"/>
      <c r="TPU177" s="125"/>
      <c r="TPV177" s="125"/>
      <c r="TPW177" s="125"/>
      <c r="TPX177" s="125"/>
      <c r="TPY177" s="125"/>
      <c r="TPZ177" s="125"/>
      <c r="TQA177" s="125"/>
      <c r="TQB177" s="125"/>
      <c r="TQC177" s="125"/>
      <c r="TQD177" s="125"/>
      <c r="TQE177" s="125"/>
      <c r="TQF177" s="125"/>
      <c r="TQG177" s="125"/>
      <c r="TQH177" s="125"/>
      <c r="TQI177" s="125"/>
      <c r="TQJ177" s="125"/>
      <c r="TQK177" s="125"/>
      <c r="TQL177" s="125"/>
      <c r="TQM177" s="125"/>
      <c r="TQN177" s="125"/>
      <c r="TQO177" s="125"/>
      <c r="TQP177" s="125"/>
      <c r="TQQ177" s="125"/>
      <c r="TQR177" s="125"/>
      <c r="TQS177" s="125"/>
      <c r="TQT177" s="125"/>
      <c r="TQU177" s="125"/>
      <c r="TQV177" s="125"/>
      <c r="TQW177" s="125"/>
      <c r="TQX177" s="125"/>
      <c r="TQY177" s="125"/>
      <c r="TQZ177" s="125"/>
      <c r="TRA177" s="125"/>
      <c r="TRB177" s="125"/>
      <c r="TRC177" s="125"/>
      <c r="TRD177" s="125"/>
      <c r="TRE177" s="125"/>
      <c r="TRF177" s="125"/>
      <c r="TRG177" s="125"/>
      <c r="TRH177" s="125"/>
      <c r="TRI177" s="125"/>
      <c r="TRJ177" s="125"/>
      <c r="TRK177" s="125"/>
      <c r="TRL177" s="125"/>
      <c r="TRM177" s="125"/>
      <c r="TRN177" s="125"/>
      <c r="TRO177" s="125"/>
      <c r="TRP177" s="125"/>
      <c r="TRQ177" s="125"/>
      <c r="TRR177" s="125"/>
      <c r="TRS177" s="125"/>
      <c r="TRT177" s="125"/>
      <c r="TRU177" s="125"/>
      <c r="TRV177" s="125"/>
      <c r="TRW177" s="125"/>
      <c r="TRX177" s="125"/>
      <c r="TRY177" s="125"/>
      <c r="TRZ177" s="125"/>
      <c r="TSA177" s="125"/>
      <c r="TSB177" s="125"/>
      <c r="TSC177" s="125"/>
      <c r="TSD177" s="125"/>
      <c r="TSE177" s="125"/>
      <c r="TSF177" s="125"/>
      <c r="TSG177" s="125"/>
      <c r="TSH177" s="125"/>
      <c r="TSI177" s="125"/>
      <c r="TSJ177" s="125"/>
      <c r="TSK177" s="125"/>
      <c r="TSL177" s="125"/>
      <c r="TSM177" s="125"/>
      <c r="TSN177" s="125"/>
      <c r="TSO177" s="125"/>
      <c r="TSP177" s="125"/>
      <c r="TSQ177" s="125"/>
      <c r="TSR177" s="125"/>
      <c r="TSS177" s="125"/>
      <c r="TST177" s="125"/>
      <c r="TSU177" s="125"/>
      <c r="TSV177" s="125"/>
      <c r="TSW177" s="125"/>
      <c r="TSX177" s="125"/>
      <c r="TSY177" s="125"/>
      <c r="TSZ177" s="125"/>
      <c r="TTA177" s="125"/>
      <c r="TTB177" s="125"/>
      <c r="TTC177" s="125"/>
      <c r="TTD177" s="125"/>
      <c r="TTE177" s="125"/>
      <c r="TTF177" s="125"/>
      <c r="TTG177" s="125"/>
      <c r="TTH177" s="125"/>
      <c r="TTI177" s="125"/>
      <c r="TTJ177" s="125"/>
      <c r="TTK177" s="125"/>
      <c r="TTL177" s="125"/>
      <c r="TTM177" s="125"/>
      <c r="TTN177" s="125"/>
      <c r="TTO177" s="125"/>
      <c r="TTP177" s="125"/>
      <c r="TTQ177" s="125"/>
      <c r="TTR177" s="125"/>
      <c r="TTS177" s="125"/>
      <c r="TTT177" s="125"/>
      <c r="TTU177" s="125"/>
      <c r="TTV177" s="125"/>
      <c r="TTW177" s="125"/>
      <c r="TTX177" s="125"/>
      <c r="TTY177" s="125"/>
      <c r="TTZ177" s="125"/>
      <c r="TUA177" s="125"/>
      <c r="TUB177" s="125"/>
      <c r="TUC177" s="125"/>
      <c r="TUD177" s="125"/>
      <c r="TUE177" s="125"/>
      <c r="TUF177" s="125"/>
      <c r="TUG177" s="125"/>
      <c r="TUH177" s="125"/>
      <c r="TUI177" s="125"/>
      <c r="TUJ177" s="125"/>
      <c r="TUK177" s="125"/>
      <c r="TUL177" s="125"/>
      <c r="TUM177" s="125"/>
      <c r="TUN177" s="125"/>
      <c r="TUO177" s="125"/>
      <c r="TUP177" s="125"/>
      <c r="TUQ177" s="125"/>
      <c r="TUR177" s="125"/>
      <c r="TUS177" s="125"/>
      <c r="TUT177" s="125"/>
      <c r="TUU177" s="125"/>
      <c r="TUV177" s="125"/>
      <c r="TUW177" s="125"/>
      <c r="TUX177" s="125"/>
      <c r="TUY177" s="125"/>
      <c r="TUZ177" s="125"/>
      <c r="TVA177" s="125"/>
      <c r="TVB177" s="125"/>
      <c r="TVC177" s="125"/>
      <c r="TVD177" s="125"/>
      <c r="TVE177" s="125"/>
      <c r="TVF177" s="125"/>
      <c r="TVG177" s="125"/>
      <c r="TVH177" s="125"/>
      <c r="TVI177" s="125"/>
      <c r="TVJ177" s="125"/>
      <c r="TVK177" s="125"/>
      <c r="TVL177" s="125"/>
      <c r="TVM177" s="125"/>
      <c r="TVN177" s="125"/>
      <c r="TVO177" s="125"/>
      <c r="TVP177" s="125"/>
      <c r="TVQ177" s="125"/>
      <c r="TVR177" s="125"/>
      <c r="TVS177" s="125"/>
      <c r="TVT177" s="125"/>
      <c r="TVU177" s="125"/>
      <c r="TVV177" s="125"/>
      <c r="TVW177" s="125"/>
      <c r="TVX177" s="125"/>
      <c r="TVY177" s="125"/>
      <c r="TVZ177" s="125"/>
      <c r="TWA177" s="125"/>
      <c r="TWB177" s="125"/>
      <c r="TWC177" s="125"/>
      <c r="TWD177" s="125"/>
      <c r="TWE177" s="125"/>
      <c r="TWF177" s="125"/>
      <c r="TWG177" s="125"/>
      <c r="TWH177" s="125"/>
      <c r="TWI177" s="125"/>
      <c r="TWJ177" s="125"/>
      <c r="TWK177" s="125"/>
      <c r="TWL177" s="125"/>
      <c r="TWM177" s="125"/>
      <c r="TWN177" s="125"/>
      <c r="TWO177" s="125"/>
      <c r="TWP177" s="125"/>
      <c r="TWQ177" s="125"/>
      <c r="TWR177" s="125"/>
      <c r="TWS177" s="125"/>
      <c r="TWT177" s="125"/>
      <c r="TWU177" s="125"/>
      <c r="TWV177" s="125"/>
      <c r="TWW177" s="125"/>
      <c r="TWX177" s="125"/>
      <c r="TWY177" s="125"/>
      <c r="TWZ177" s="125"/>
      <c r="TXA177" s="125"/>
      <c r="TXB177" s="125"/>
      <c r="TXC177" s="125"/>
      <c r="TXD177" s="125"/>
      <c r="TXE177" s="125"/>
      <c r="TXF177" s="125"/>
      <c r="TXG177" s="125"/>
      <c r="TXH177" s="125"/>
      <c r="TXI177" s="125"/>
      <c r="TXJ177" s="125"/>
      <c r="TXK177" s="125"/>
      <c r="TXL177" s="125"/>
      <c r="TXM177" s="125"/>
      <c r="TXN177" s="125"/>
      <c r="TXO177" s="125"/>
      <c r="TXP177" s="125"/>
      <c r="TXQ177" s="125"/>
      <c r="TXR177" s="125"/>
      <c r="TXS177" s="125"/>
      <c r="TXT177" s="125"/>
      <c r="TXU177" s="125"/>
      <c r="TXV177" s="125"/>
      <c r="TXW177" s="125"/>
      <c r="TXX177" s="125"/>
      <c r="TXY177" s="125"/>
      <c r="TXZ177" s="125"/>
      <c r="TYA177" s="125"/>
      <c r="TYB177" s="125"/>
      <c r="TYC177" s="125"/>
      <c r="TYD177" s="125"/>
      <c r="TYE177" s="125"/>
      <c r="TYF177" s="125"/>
      <c r="TYG177" s="125"/>
      <c r="TYH177" s="125"/>
      <c r="TYI177" s="125"/>
      <c r="TYJ177" s="125"/>
      <c r="TYK177" s="125"/>
      <c r="TYL177" s="125"/>
      <c r="TYM177" s="125"/>
      <c r="TYN177" s="125"/>
      <c r="TYO177" s="125"/>
      <c r="TYP177" s="125"/>
      <c r="TYQ177" s="125"/>
      <c r="TYR177" s="125"/>
      <c r="TYS177" s="125"/>
      <c r="TYT177" s="125"/>
      <c r="TYU177" s="125"/>
      <c r="TYV177" s="125"/>
      <c r="TYW177" s="125"/>
      <c r="TYX177" s="125"/>
      <c r="TYY177" s="125"/>
      <c r="TYZ177" s="125"/>
      <c r="TZA177" s="125"/>
      <c r="TZB177" s="125"/>
      <c r="TZC177" s="125"/>
      <c r="TZD177" s="125"/>
      <c r="TZE177" s="125"/>
      <c r="TZF177" s="125"/>
      <c r="TZG177" s="125"/>
      <c r="TZH177" s="125"/>
      <c r="TZI177" s="125"/>
      <c r="TZJ177" s="125"/>
      <c r="TZK177" s="125"/>
      <c r="TZL177" s="125"/>
      <c r="TZM177" s="125"/>
      <c r="TZN177" s="125"/>
      <c r="TZO177" s="125"/>
      <c r="TZP177" s="125"/>
      <c r="TZQ177" s="125"/>
      <c r="TZR177" s="125"/>
      <c r="TZS177" s="125"/>
      <c r="TZT177" s="125"/>
      <c r="TZU177" s="125"/>
      <c r="TZV177" s="125"/>
      <c r="TZW177" s="125"/>
      <c r="TZX177" s="125"/>
      <c r="TZY177" s="125"/>
      <c r="TZZ177" s="125"/>
      <c r="UAA177" s="125"/>
      <c r="UAB177" s="125"/>
      <c r="UAC177" s="125"/>
      <c r="UAD177" s="125"/>
      <c r="UAE177" s="125"/>
      <c r="UAF177" s="125"/>
      <c r="UAG177" s="125"/>
      <c r="UAH177" s="125"/>
      <c r="UAI177" s="125"/>
      <c r="UAJ177" s="125"/>
      <c r="UAK177" s="125"/>
      <c r="UAL177" s="125"/>
      <c r="UAM177" s="125"/>
      <c r="UAN177" s="125"/>
      <c r="UAO177" s="125"/>
      <c r="UAP177" s="125"/>
      <c r="UAQ177" s="125"/>
      <c r="UAR177" s="125"/>
      <c r="UAS177" s="125"/>
      <c r="UAT177" s="125"/>
      <c r="UAU177" s="125"/>
      <c r="UAV177" s="125"/>
      <c r="UAW177" s="125"/>
      <c r="UAX177" s="125"/>
      <c r="UAY177" s="125"/>
      <c r="UAZ177" s="125"/>
      <c r="UBA177" s="125"/>
      <c r="UBB177" s="125"/>
      <c r="UBC177" s="125"/>
      <c r="UBD177" s="125"/>
      <c r="UBE177" s="125"/>
      <c r="UBF177" s="125"/>
      <c r="UBG177" s="125"/>
      <c r="UBH177" s="125"/>
      <c r="UBI177" s="125"/>
      <c r="UBJ177" s="125"/>
      <c r="UBK177" s="125"/>
      <c r="UBL177" s="125"/>
      <c r="UBM177" s="125"/>
      <c r="UBN177" s="125"/>
      <c r="UBO177" s="125"/>
      <c r="UBP177" s="125"/>
      <c r="UBQ177" s="125"/>
      <c r="UBR177" s="125"/>
      <c r="UBS177" s="125"/>
      <c r="UBT177" s="125"/>
      <c r="UBU177" s="125"/>
      <c r="UBV177" s="125"/>
      <c r="UBW177" s="125"/>
      <c r="UBX177" s="125"/>
      <c r="UBY177" s="125"/>
      <c r="UBZ177" s="125"/>
      <c r="UCA177" s="125"/>
      <c r="UCB177" s="125"/>
      <c r="UCC177" s="125"/>
      <c r="UCD177" s="125"/>
      <c r="UCE177" s="125"/>
      <c r="UCF177" s="125"/>
      <c r="UCG177" s="125"/>
      <c r="UCH177" s="125"/>
      <c r="UCI177" s="125"/>
      <c r="UCJ177" s="125"/>
      <c r="UCK177" s="125"/>
      <c r="UCL177" s="125"/>
      <c r="UCM177" s="125"/>
      <c r="UCN177" s="125"/>
      <c r="UCO177" s="125"/>
      <c r="UCP177" s="125"/>
      <c r="UCQ177" s="125"/>
      <c r="UCR177" s="125"/>
      <c r="UCS177" s="125"/>
      <c r="UCT177" s="125"/>
      <c r="UCU177" s="125"/>
      <c r="UCV177" s="125"/>
      <c r="UCW177" s="125"/>
      <c r="UCX177" s="125"/>
      <c r="UCY177" s="125"/>
      <c r="UCZ177" s="125"/>
      <c r="UDA177" s="125"/>
      <c r="UDB177" s="125"/>
      <c r="UDC177" s="125"/>
      <c r="UDD177" s="125"/>
      <c r="UDE177" s="125"/>
      <c r="UDF177" s="125"/>
      <c r="UDG177" s="125"/>
      <c r="UDH177" s="125"/>
      <c r="UDI177" s="125"/>
      <c r="UDJ177" s="125"/>
      <c r="UDK177" s="125"/>
      <c r="UDL177" s="125"/>
      <c r="UDM177" s="125"/>
      <c r="UDN177" s="125"/>
      <c r="UDO177" s="125"/>
      <c r="UDP177" s="125"/>
      <c r="UDQ177" s="125"/>
      <c r="UDR177" s="125"/>
      <c r="UDS177" s="125"/>
      <c r="UDT177" s="125"/>
      <c r="UDU177" s="125"/>
      <c r="UDV177" s="125"/>
      <c r="UDW177" s="125"/>
      <c r="UDX177" s="125"/>
      <c r="UDY177" s="125"/>
      <c r="UDZ177" s="125"/>
      <c r="UEA177" s="125"/>
      <c r="UEB177" s="125"/>
      <c r="UEC177" s="125"/>
      <c r="UED177" s="125"/>
      <c r="UEE177" s="125"/>
      <c r="UEF177" s="125"/>
      <c r="UEG177" s="125"/>
      <c r="UEH177" s="125"/>
      <c r="UEI177" s="125"/>
      <c r="UEJ177" s="125"/>
      <c r="UEK177" s="125"/>
      <c r="UEL177" s="125"/>
      <c r="UEM177" s="125"/>
      <c r="UEN177" s="125"/>
      <c r="UEO177" s="125"/>
      <c r="UEP177" s="125"/>
      <c r="UEQ177" s="125"/>
      <c r="UER177" s="125"/>
      <c r="UES177" s="125"/>
      <c r="UET177" s="125"/>
      <c r="UEU177" s="125"/>
      <c r="UEV177" s="125"/>
      <c r="UEW177" s="125"/>
      <c r="UEX177" s="125"/>
      <c r="UEY177" s="125"/>
      <c r="UEZ177" s="125"/>
      <c r="UFA177" s="125"/>
      <c r="UFB177" s="125"/>
      <c r="UFC177" s="125"/>
      <c r="UFD177" s="125"/>
      <c r="UFE177" s="125"/>
      <c r="UFF177" s="125"/>
      <c r="UFG177" s="125"/>
      <c r="UFH177" s="125"/>
      <c r="UFI177" s="125"/>
      <c r="UFJ177" s="125"/>
      <c r="UFK177" s="125"/>
      <c r="UFL177" s="125"/>
      <c r="UFM177" s="125"/>
      <c r="UFN177" s="125"/>
      <c r="UFO177" s="125"/>
      <c r="UFP177" s="125"/>
      <c r="UFQ177" s="125"/>
      <c r="UFR177" s="125"/>
      <c r="UFS177" s="125"/>
      <c r="UFT177" s="125"/>
      <c r="UFU177" s="125"/>
      <c r="UFV177" s="125"/>
      <c r="UFW177" s="125"/>
      <c r="UFX177" s="125"/>
      <c r="UFY177" s="125"/>
      <c r="UFZ177" s="125"/>
      <c r="UGA177" s="125"/>
      <c r="UGB177" s="125"/>
      <c r="UGC177" s="125"/>
      <c r="UGD177" s="125"/>
      <c r="UGE177" s="125"/>
      <c r="UGF177" s="125"/>
      <c r="UGG177" s="125"/>
      <c r="UGH177" s="125"/>
      <c r="UGI177" s="125"/>
      <c r="UGJ177" s="125"/>
      <c r="UGK177" s="125"/>
      <c r="UGL177" s="125"/>
      <c r="UGM177" s="125"/>
      <c r="UGN177" s="125"/>
      <c r="UGO177" s="125"/>
      <c r="UGP177" s="125"/>
      <c r="UGQ177" s="125"/>
      <c r="UGR177" s="125"/>
      <c r="UGS177" s="125"/>
      <c r="UGT177" s="125"/>
      <c r="UGU177" s="125"/>
      <c r="UGV177" s="125"/>
      <c r="UGW177" s="125"/>
      <c r="UGX177" s="125"/>
      <c r="UGY177" s="125"/>
      <c r="UGZ177" s="125"/>
      <c r="UHA177" s="125"/>
      <c r="UHB177" s="125"/>
      <c r="UHC177" s="125"/>
      <c r="UHD177" s="125"/>
      <c r="UHE177" s="125"/>
      <c r="UHF177" s="125"/>
      <c r="UHG177" s="125"/>
      <c r="UHH177" s="125"/>
      <c r="UHI177" s="125"/>
      <c r="UHJ177" s="125"/>
      <c r="UHK177" s="125"/>
      <c r="UHL177" s="125"/>
      <c r="UHM177" s="125"/>
      <c r="UHN177" s="125"/>
      <c r="UHO177" s="125"/>
      <c r="UHP177" s="125"/>
      <c r="UHQ177" s="125"/>
      <c r="UHR177" s="125"/>
      <c r="UHS177" s="125"/>
      <c r="UHT177" s="125"/>
      <c r="UHU177" s="125"/>
      <c r="UHV177" s="125"/>
      <c r="UHW177" s="125"/>
      <c r="UHX177" s="125"/>
      <c r="UHY177" s="125"/>
      <c r="UHZ177" s="125"/>
      <c r="UIA177" s="125"/>
      <c r="UIB177" s="125"/>
      <c r="UIC177" s="125"/>
      <c r="UID177" s="125"/>
      <c r="UIE177" s="125"/>
      <c r="UIF177" s="125"/>
      <c r="UIG177" s="125"/>
      <c r="UIH177" s="125"/>
      <c r="UII177" s="125"/>
      <c r="UIJ177" s="125"/>
      <c r="UIK177" s="125"/>
      <c r="UIL177" s="125"/>
      <c r="UIM177" s="125"/>
      <c r="UIN177" s="125"/>
      <c r="UIO177" s="125"/>
      <c r="UIP177" s="125"/>
      <c r="UIQ177" s="125"/>
      <c r="UIR177" s="125"/>
      <c r="UIS177" s="125"/>
      <c r="UIT177" s="125"/>
      <c r="UIU177" s="125"/>
      <c r="UIV177" s="125"/>
      <c r="UIW177" s="125"/>
      <c r="UIX177" s="125"/>
      <c r="UIY177" s="125"/>
      <c r="UIZ177" s="125"/>
      <c r="UJA177" s="125"/>
      <c r="UJB177" s="125"/>
      <c r="UJC177" s="125"/>
      <c r="UJD177" s="125"/>
      <c r="UJE177" s="125"/>
      <c r="UJF177" s="125"/>
      <c r="UJG177" s="125"/>
      <c r="UJH177" s="125"/>
      <c r="UJI177" s="125"/>
      <c r="UJJ177" s="125"/>
      <c r="UJK177" s="125"/>
      <c r="UJL177" s="125"/>
      <c r="UJM177" s="125"/>
      <c r="UJN177" s="125"/>
      <c r="UJO177" s="125"/>
      <c r="UJP177" s="125"/>
      <c r="UJQ177" s="125"/>
      <c r="UJR177" s="125"/>
      <c r="UJS177" s="125"/>
      <c r="UJT177" s="125"/>
      <c r="UJU177" s="125"/>
      <c r="UJV177" s="125"/>
      <c r="UJW177" s="125"/>
      <c r="UJX177" s="125"/>
      <c r="UJY177" s="125"/>
      <c r="UJZ177" s="125"/>
      <c r="UKA177" s="125"/>
      <c r="UKB177" s="125"/>
      <c r="UKC177" s="125"/>
      <c r="UKD177" s="125"/>
      <c r="UKE177" s="125"/>
      <c r="UKF177" s="125"/>
      <c r="UKG177" s="125"/>
      <c r="UKH177" s="125"/>
      <c r="UKI177" s="125"/>
      <c r="UKJ177" s="125"/>
      <c r="UKK177" s="125"/>
      <c r="UKL177" s="125"/>
      <c r="UKM177" s="125"/>
      <c r="UKN177" s="125"/>
      <c r="UKO177" s="125"/>
      <c r="UKP177" s="125"/>
      <c r="UKQ177" s="125"/>
      <c r="UKR177" s="125"/>
      <c r="UKS177" s="125"/>
      <c r="UKT177" s="125"/>
      <c r="UKU177" s="125"/>
      <c r="UKV177" s="125"/>
      <c r="UKW177" s="125"/>
      <c r="UKX177" s="125"/>
      <c r="UKY177" s="125"/>
      <c r="UKZ177" s="125"/>
      <c r="ULA177" s="125"/>
      <c r="ULB177" s="125"/>
      <c r="ULC177" s="125"/>
      <c r="ULD177" s="125"/>
      <c r="ULE177" s="125"/>
      <c r="ULF177" s="125"/>
      <c r="ULG177" s="125"/>
      <c r="ULH177" s="125"/>
      <c r="ULI177" s="125"/>
      <c r="ULJ177" s="125"/>
      <c r="ULK177" s="125"/>
      <c r="ULL177" s="125"/>
      <c r="ULM177" s="125"/>
      <c r="ULN177" s="125"/>
      <c r="ULO177" s="125"/>
      <c r="ULP177" s="125"/>
      <c r="ULQ177" s="125"/>
      <c r="ULR177" s="125"/>
      <c r="ULS177" s="125"/>
      <c r="ULT177" s="125"/>
      <c r="ULU177" s="125"/>
      <c r="ULV177" s="125"/>
      <c r="ULW177" s="125"/>
      <c r="ULX177" s="125"/>
      <c r="ULY177" s="125"/>
      <c r="ULZ177" s="125"/>
      <c r="UMA177" s="125"/>
      <c r="UMB177" s="125"/>
      <c r="UMC177" s="125"/>
      <c r="UMD177" s="125"/>
      <c r="UME177" s="125"/>
      <c r="UMF177" s="125"/>
      <c r="UMG177" s="125"/>
      <c r="UMH177" s="125"/>
      <c r="UMI177" s="125"/>
      <c r="UMJ177" s="125"/>
      <c r="UMK177" s="125"/>
      <c r="UML177" s="125"/>
      <c r="UMM177" s="125"/>
      <c r="UMN177" s="125"/>
      <c r="UMO177" s="125"/>
      <c r="UMP177" s="125"/>
      <c r="UMQ177" s="125"/>
      <c r="UMR177" s="125"/>
      <c r="UMS177" s="125"/>
      <c r="UMT177" s="125"/>
      <c r="UMU177" s="125"/>
      <c r="UMV177" s="125"/>
      <c r="UMW177" s="125"/>
      <c r="UMX177" s="125"/>
      <c r="UMY177" s="125"/>
      <c r="UMZ177" s="125"/>
      <c r="UNA177" s="125"/>
      <c r="UNB177" s="125"/>
      <c r="UNC177" s="125"/>
      <c r="UND177" s="125"/>
      <c r="UNE177" s="125"/>
      <c r="UNF177" s="125"/>
      <c r="UNG177" s="125"/>
      <c r="UNH177" s="125"/>
      <c r="UNI177" s="125"/>
      <c r="UNJ177" s="125"/>
      <c r="UNK177" s="125"/>
      <c r="UNL177" s="125"/>
      <c r="UNM177" s="125"/>
      <c r="UNN177" s="125"/>
      <c r="UNO177" s="125"/>
      <c r="UNP177" s="125"/>
      <c r="UNQ177" s="125"/>
      <c r="UNR177" s="125"/>
      <c r="UNS177" s="125"/>
      <c r="UNT177" s="125"/>
      <c r="UNU177" s="125"/>
      <c r="UNV177" s="125"/>
      <c r="UNW177" s="125"/>
      <c r="UNX177" s="125"/>
      <c r="UNY177" s="125"/>
      <c r="UNZ177" s="125"/>
      <c r="UOA177" s="125"/>
      <c r="UOB177" s="125"/>
      <c r="UOC177" s="125"/>
      <c r="UOD177" s="125"/>
      <c r="UOE177" s="125"/>
      <c r="UOF177" s="125"/>
      <c r="UOG177" s="125"/>
      <c r="UOH177" s="125"/>
      <c r="UOI177" s="125"/>
      <c r="UOJ177" s="125"/>
      <c r="UOK177" s="125"/>
      <c r="UOL177" s="125"/>
      <c r="UOM177" s="125"/>
      <c r="UON177" s="125"/>
      <c r="UOO177" s="125"/>
      <c r="UOP177" s="125"/>
      <c r="UOQ177" s="125"/>
      <c r="UOR177" s="125"/>
      <c r="UOS177" s="125"/>
      <c r="UOT177" s="125"/>
      <c r="UOU177" s="125"/>
      <c r="UOV177" s="125"/>
      <c r="UOW177" s="125"/>
      <c r="UOX177" s="125"/>
      <c r="UOY177" s="125"/>
      <c r="UOZ177" s="125"/>
      <c r="UPA177" s="125"/>
      <c r="UPB177" s="125"/>
      <c r="UPC177" s="125"/>
      <c r="UPD177" s="125"/>
      <c r="UPE177" s="125"/>
      <c r="UPF177" s="125"/>
      <c r="UPG177" s="125"/>
      <c r="UPH177" s="125"/>
      <c r="UPI177" s="125"/>
      <c r="UPJ177" s="125"/>
      <c r="UPK177" s="125"/>
      <c r="UPL177" s="125"/>
      <c r="UPM177" s="125"/>
      <c r="UPN177" s="125"/>
      <c r="UPO177" s="125"/>
      <c r="UPP177" s="125"/>
      <c r="UPQ177" s="125"/>
      <c r="UPR177" s="125"/>
      <c r="UPS177" s="125"/>
      <c r="UPT177" s="125"/>
      <c r="UPU177" s="125"/>
      <c r="UPV177" s="125"/>
      <c r="UPW177" s="125"/>
      <c r="UPX177" s="125"/>
      <c r="UPY177" s="125"/>
      <c r="UPZ177" s="125"/>
      <c r="UQA177" s="125"/>
      <c r="UQB177" s="125"/>
      <c r="UQC177" s="125"/>
      <c r="UQD177" s="125"/>
      <c r="UQE177" s="125"/>
      <c r="UQF177" s="125"/>
      <c r="UQG177" s="125"/>
      <c r="UQH177" s="125"/>
      <c r="UQI177" s="125"/>
      <c r="UQJ177" s="125"/>
      <c r="UQK177" s="125"/>
      <c r="UQL177" s="125"/>
      <c r="UQM177" s="125"/>
      <c r="UQN177" s="125"/>
      <c r="UQO177" s="125"/>
      <c r="UQP177" s="125"/>
      <c r="UQQ177" s="125"/>
      <c r="UQR177" s="125"/>
      <c r="UQS177" s="125"/>
      <c r="UQT177" s="125"/>
      <c r="UQU177" s="125"/>
      <c r="UQV177" s="125"/>
      <c r="UQW177" s="125"/>
      <c r="UQX177" s="125"/>
      <c r="UQY177" s="125"/>
      <c r="UQZ177" s="125"/>
      <c r="URA177" s="125"/>
      <c r="URB177" s="125"/>
      <c r="URC177" s="125"/>
      <c r="URD177" s="125"/>
      <c r="URE177" s="125"/>
      <c r="URF177" s="125"/>
      <c r="URG177" s="125"/>
      <c r="URH177" s="125"/>
      <c r="URI177" s="125"/>
      <c r="URJ177" s="125"/>
      <c r="URK177" s="125"/>
      <c r="URL177" s="125"/>
      <c r="URM177" s="125"/>
      <c r="URN177" s="125"/>
      <c r="URO177" s="125"/>
      <c r="URP177" s="125"/>
      <c r="URQ177" s="125"/>
      <c r="URR177" s="125"/>
      <c r="URS177" s="125"/>
      <c r="URT177" s="125"/>
      <c r="URU177" s="125"/>
      <c r="URV177" s="125"/>
      <c r="URW177" s="125"/>
      <c r="URX177" s="125"/>
      <c r="URY177" s="125"/>
      <c r="URZ177" s="125"/>
      <c r="USA177" s="125"/>
      <c r="USB177" s="125"/>
      <c r="USC177" s="125"/>
      <c r="USD177" s="125"/>
      <c r="USE177" s="125"/>
      <c r="USF177" s="125"/>
      <c r="USG177" s="125"/>
      <c r="USH177" s="125"/>
      <c r="USI177" s="125"/>
      <c r="USJ177" s="125"/>
      <c r="USK177" s="125"/>
      <c r="USL177" s="125"/>
      <c r="USM177" s="125"/>
      <c r="USN177" s="125"/>
      <c r="USO177" s="125"/>
      <c r="USP177" s="125"/>
      <c r="USQ177" s="125"/>
      <c r="USR177" s="125"/>
      <c r="USS177" s="125"/>
      <c r="UST177" s="125"/>
      <c r="USU177" s="125"/>
      <c r="USV177" s="125"/>
      <c r="USW177" s="125"/>
      <c r="USX177" s="125"/>
      <c r="USY177" s="125"/>
      <c r="USZ177" s="125"/>
      <c r="UTA177" s="125"/>
      <c r="UTB177" s="125"/>
      <c r="UTC177" s="125"/>
      <c r="UTD177" s="125"/>
      <c r="UTE177" s="125"/>
      <c r="UTF177" s="125"/>
      <c r="UTG177" s="125"/>
      <c r="UTH177" s="125"/>
      <c r="UTI177" s="125"/>
      <c r="UTJ177" s="125"/>
      <c r="UTK177" s="125"/>
      <c r="UTL177" s="125"/>
      <c r="UTM177" s="125"/>
      <c r="UTN177" s="125"/>
      <c r="UTO177" s="125"/>
      <c r="UTP177" s="125"/>
      <c r="UTQ177" s="125"/>
      <c r="UTR177" s="125"/>
      <c r="UTS177" s="125"/>
      <c r="UTT177" s="125"/>
      <c r="UTU177" s="125"/>
      <c r="UTV177" s="125"/>
      <c r="UTW177" s="125"/>
      <c r="UTX177" s="125"/>
      <c r="UTY177" s="125"/>
      <c r="UTZ177" s="125"/>
      <c r="UUA177" s="125"/>
      <c r="UUB177" s="125"/>
      <c r="UUC177" s="125"/>
      <c r="UUD177" s="125"/>
      <c r="UUE177" s="125"/>
      <c r="UUF177" s="125"/>
      <c r="UUG177" s="125"/>
      <c r="UUH177" s="125"/>
      <c r="UUI177" s="125"/>
      <c r="UUJ177" s="125"/>
      <c r="UUK177" s="125"/>
      <c r="UUL177" s="125"/>
      <c r="UUM177" s="125"/>
      <c r="UUN177" s="125"/>
      <c r="UUO177" s="125"/>
      <c r="UUP177" s="125"/>
      <c r="UUQ177" s="125"/>
      <c r="UUR177" s="125"/>
      <c r="UUS177" s="125"/>
      <c r="UUT177" s="125"/>
      <c r="UUU177" s="125"/>
      <c r="UUV177" s="125"/>
      <c r="UUW177" s="125"/>
      <c r="UUX177" s="125"/>
      <c r="UUY177" s="125"/>
      <c r="UUZ177" s="125"/>
      <c r="UVA177" s="125"/>
      <c r="UVB177" s="125"/>
      <c r="UVC177" s="125"/>
      <c r="UVD177" s="125"/>
      <c r="UVE177" s="125"/>
      <c r="UVF177" s="125"/>
      <c r="UVG177" s="125"/>
      <c r="UVH177" s="125"/>
      <c r="UVI177" s="125"/>
      <c r="UVJ177" s="125"/>
      <c r="UVK177" s="125"/>
      <c r="UVL177" s="125"/>
      <c r="UVM177" s="125"/>
      <c r="UVN177" s="125"/>
      <c r="UVO177" s="125"/>
      <c r="UVP177" s="125"/>
      <c r="UVQ177" s="125"/>
      <c r="UVR177" s="125"/>
      <c r="UVS177" s="125"/>
      <c r="UVT177" s="125"/>
      <c r="UVU177" s="125"/>
      <c r="UVV177" s="125"/>
      <c r="UVW177" s="125"/>
      <c r="UVX177" s="125"/>
      <c r="UVY177" s="125"/>
      <c r="UVZ177" s="125"/>
      <c r="UWA177" s="125"/>
      <c r="UWB177" s="125"/>
      <c r="UWC177" s="125"/>
      <c r="UWD177" s="125"/>
      <c r="UWE177" s="125"/>
      <c r="UWF177" s="125"/>
      <c r="UWG177" s="125"/>
      <c r="UWH177" s="125"/>
      <c r="UWI177" s="125"/>
      <c r="UWJ177" s="125"/>
      <c r="UWK177" s="125"/>
      <c r="UWL177" s="125"/>
      <c r="UWM177" s="125"/>
      <c r="UWN177" s="125"/>
      <c r="UWO177" s="125"/>
      <c r="UWP177" s="125"/>
      <c r="UWQ177" s="125"/>
      <c r="UWR177" s="125"/>
      <c r="UWS177" s="125"/>
      <c r="UWT177" s="125"/>
      <c r="UWU177" s="125"/>
      <c r="UWV177" s="125"/>
      <c r="UWW177" s="125"/>
      <c r="UWX177" s="125"/>
      <c r="UWY177" s="125"/>
      <c r="UWZ177" s="125"/>
      <c r="UXA177" s="125"/>
      <c r="UXB177" s="125"/>
      <c r="UXC177" s="125"/>
      <c r="UXD177" s="125"/>
      <c r="UXE177" s="125"/>
      <c r="UXF177" s="125"/>
      <c r="UXG177" s="125"/>
      <c r="UXH177" s="125"/>
      <c r="UXI177" s="125"/>
      <c r="UXJ177" s="125"/>
      <c r="UXK177" s="125"/>
      <c r="UXL177" s="125"/>
      <c r="UXM177" s="125"/>
      <c r="UXN177" s="125"/>
      <c r="UXO177" s="125"/>
      <c r="UXP177" s="125"/>
      <c r="UXQ177" s="125"/>
      <c r="UXR177" s="125"/>
      <c r="UXS177" s="125"/>
      <c r="UXT177" s="125"/>
      <c r="UXU177" s="125"/>
      <c r="UXV177" s="125"/>
      <c r="UXW177" s="125"/>
      <c r="UXX177" s="125"/>
      <c r="UXY177" s="125"/>
      <c r="UXZ177" s="125"/>
      <c r="UYA177" s="125"/>
      <c r="UYB177" s="125"/>
      <c r="UYC177" s="125"/>
      <c r="UYD177" s="125"/>
      <c r="UYE177" s="125"/>
      <c r="UYF177" s="125"/>
      <c r="UYG177" s="125"/>
      <c r="UYH177" s="125"/>
      <c r="UYI177" s="125"/>
      <c r="UYJ177" s="125"/>
      <c r="UYK177" s="125"/>
      <c r="UYL177" s="125"/>
      <c r="UYM177" s="125"/>
      <c r="UYN177" s="125"/>
      <c r="UYO177" s="125"/>
      <c r="UYP177" s="125"/>
      <c r="UYQ177" s="125"/>
      <c r="UYR177" s="125"/>
      <c r="UYS177" s="125"/>
      <c r="UYT177" s="125"/>
      <c r="UYU177" s="125"/>
      <c r="UYV177" s="125"/>
      <c r="UYW177" s="125"/>
      <c r="UYX177" s="125"/>
      <c r="UYY177" s="125"/>
      <c r="UYZ177" s="125"/>
      <c r="UZA177" s="125"/>
      <c r="UZB177" s="125"/>
      <c r="UZC177" s="125"/>
      <c r="UZD177" s="125"/>
      <c r="UZE177" s="125"/>
      <c r="UZF177" s="125"/>
      <c r="UZG177" s="125"/>
      <c r="UZH177" s="125"/>
      <c r="UZI177" s="125"/>
      <c r="UZJ177" s="125"/>
      <c r="UZK177" s="125"/>
      <c r="UZL177" s="125"/>
      <c r="UZM177" s="125"/>
      <c r="UZN177" s="125"/>
      <c r="UZO177" s="125"/>
      <c r="UZP177" s="125"/>
      <c r="UZQ177" s="125"/>
      <c r="UZR177" s="125"/>
      <c r="UZS177" s="125"/>
      <c r="UZT177" s="125"/>
      <c r="UZU177" s="125"/>
      <c r="UZV177" s="125"/>
      <c r="UZW177" s="125"/>
      <c r="UZX177" s="125"/>
      <c r="UZY177" s="125"/>
      <c r="UZZ177" s="125"/>
      <c r="VAA177" s="125"/>
      <c r="VAB177" s="125"/>
      <c r="VAC177" s="125"/>
      <c r="VAD177" s="125"/>
      <c r="VAE177" s="125"/>
      <c r="VAF177" s="125"/>
      <c r="VAG177" s="125"/>
      <c r="VAH177" s="125"/>
      <c r="VAI177" s="125"/>
      <c r="VAJ177" s="125"/>
      <c r="VAK177" s="125"/>
      <c r="VAL177" s="125"/>
      <c r="VAM177" s="125"/>
      <c r="VAN177" s="125"/>
      <c r="VAO177" s="125"/>
      <c r="VAP177" s="125"/>
      <c r="VAQ177" s="125"/>
      <c r="VAR177" s="125"/>
      <c r="VAS177" s="125"/>
      <c r="VAT177" s="125"/>
      <c r="VAU177" s="125"/>
      <c r="VAV177" s="125"/>
      <c r="VAW177" s="125"/>
      <c r="VAX177" s="125"/>
      <c r="VAY177" s="125"/>
      <c r="VAZ177" s="125"/>
      <c r="VBA177" s="125"/>
      <c r="VBB177" s="125"/>
      <c r="VBC177" s="125"/>
      <c r="VBD177" s="125"/>
      <c r="VBE177" s="125"/>
      <c r="VBF177" s="125"/>
      <c r="VBG177" s="125"/>
      <c r="VBH177" s="125"/>
      <c r="VBI177" s="125"/>
      <c r="VBJ177" s="125"/>
      <c r="VBK177" s="125"/>
      <c r="VBL177" s="125"/>
      <c r="VBM177" s="125"/>
      <c r="VBN177" s="125"/>
      <c r="VBO177" s="125"/>
      <c r="VBP177" s="125"/>
      <c r="VBQ177" s="125"/>
      <c r="VBR177" s="125"/>
      <c r="VBS177" s="125"/>
      <c r="VBT177" s="125"/>
      <c r="VBU177" s="125"/>
      <c r="VBV177" s="125"/>
      <c r="VBW177" s="125"/>
      <c r="VBX177" s="125"/>
      <c r="VBY177" s="125"/>
      <c r="VBZ177" s="125"/>
      <c r="VCA177" s="125"/>
      <c r="VCB177" s="125"/>
      <c r="VCC177" s="125"/>
      <c r="VCD177" s="125"/>
      <c r="VCE177" s="125"/>
      <c r="VCF177" s="125"/>
      <c r="VCG177" s="125"/>
      <c r="VCH177" s="125"/>
      <c r="VCI177" s="125"/>
      <c r="VCJ177" s="125"/>
      <c r="VCK177" s="125"/>
      <c r="VCL177" s="125"/>
      <c r="VCM177" s="125"/>
      <c r="VCN177" s="125"/>
      <c r="VCO177" s="125"/>
      <c r="VCP177" s="125"/>
      <c r="VCQ177" s="125"/>
      <c r="VCR177" s="125"/>
      <c r="VCS177" s="125"/>
      <c r="VCT177" s="125"/>
      <c r="VCU177" s="125"/>
      <c r="VCV177" s="125"/>
      <c r="VCW177" s="125"/>
      <c r="VCX177" s="125"/>
      <c r="VCY177" s="125"/>
      <c r="VCZ177" s="125"/>
      <c r="VDA177" s="125"/>
      <c r="VDB177" s="125"/>
      <c r="VDC177" s="125"/>
      <c r="VDD177" s="125"/>
      <c r="VDE177" s="125"/>
      <c r="VDF177" s="125"/>
      <c r="VDG177" s="125"/>
      <c r="VDH177" s="125"/>
      <c r="VDI177" s="125"/>
      <c r="VDJ177" s="125"/>
      <c r="VDK177" s="125"/>
      <c r="VDL177" s="125"/>
      <c r="VDM177" s="125"/>
      <c r="VDN177" s="125"/>
      <c r="VDO177" s="125"/>
      <c r="VDP177" s="125"/>
      <c r="VDQ177" s="125"/>
      <c r="VDR177" s="125"/>
      <c r="VDS177" s="125"/>
      <c r="VDT177" s="125"/>
      <c r="VDU177" s="125"/>
      <c r="VDV177" s="125"/>
      <c r="VDW177" s="125"/>
      <c r="VDX177" s="125"/>
      <c r="VDY177" s="125"/>
      <c r="VDZ177" s="125"/>
      <c r="VEA177" s="125"/>
      <c r="VEB177" s="125"/>
      <c r="VEC177" s="125"/>
      <c r="VED177" s="125"/>
      <c r="VEE177" s="125"/>
      <c r="VEF177" s="125"/>
      <c r="VEG177" s="125"/>
      <c r="VEH177" s="125"/>
      <c r="VEI177" s="125"/>
      <c r="VEJ177" s="125"/>
      <c r="VEK177" s="125"/>
      <c r="VEL177" s="125"/>
      <c r="VEM177" s="125"/>
      <c r="VEN177" s="125"/>
      <c r="VEO177" s="125"/>
      <c r="VEP177" s="125"/>
      <c r="VEQ177" s="125"/>
      <c r="VER177" s="125"/>
      <c r="VES177" s="125"/>
      <c r="VET177" s="125"/>
      <c r="VEU177" s="125"/>
      <c r="VEV177" s="125"/>
      <c r="VEW177" s="125"/>
      <c r="VEX177" s="125"/>
      <c r="VEY177" s="125"/>
      <c r="VEZ177" s="125"/>
      <c r="VFA177" s="125"/>
      <c r="VFB177" s="125"/>
      <c r="VFC177" s="125"/>
      <c r="VFD177" s="125"/>
      <c r="VFE177" s="125"/>
      <c r="VFF177" s="125"/>
      <c r="VFG177" s="125"/>
      <c r="VFH177" s="125"/>
      <c r="VFI177" s="125"/>
      <c r="VFJ177" s="125"/>
      <c r="VFK177" s="125"/>
      <c r="VFL177" s="125"/>
      <c r="VFM177" s="125"/>
      <c r="VFN177" s="125"/>
      <c r="VFO177" s="125"/>
      <c r="VFP177" s="125"/>
      <c r="VFQ177" s="125"/>
      <c r="VFR177" s="125"/>
      <c r="VFS177" s="125"/>
      <c r="VFT177" s="125"/>
      <c r="VFU177" s="125"/>
      <c r="VFV177" s="125"/>
      <c r="VFW177" s="125"/>
      <c r="VFX177" s="125"/>
      <c r="VFY177" s="125"/>
      <c r="VFZ177" s="125"/>
      <c r="VGA177" s="125"/>
      <c r="VGB177" s="125"/>
      <c r="VGC177" s="125"/>
      <c r="VGD177" s="125"/>
      <c r="VGE177" s="125"/>
      <c r="VGF177" s="125"/>
      <c r="VGG177" s="125"/>
      <c r="VGH177" s="125"/>
      <c r="VGI177" s="125"/>
      <c r="VGJ177" s="125"/>
      <c r="VGK177" s="125"/>
      <c r="VGL177" s="125"/>
      <c r="VGM177" s="125"/>
      <c r="VGN177" s="125"/>
      <c r="VGO177" s="125"/>
      <c r="VGP177" s="125"/>
      <c r="VGQ177" s="125"/>
      <c r="VGR177" s="125"/>
      <c r="VGS177" s="125"/>
      <c r="VGT177" s="125"/>
      <c r="VGU177" s="125"/>
      <c r="VGV177" s="125"/>
      <c r="VGW177" s="125"/>
      <c r="VGX177" s="125"/>
      <c r="VGY177" s="125"/>
      <c r="VGZ177" s="125"/>
      <c r="VHA177" s="125"/>
      <c r="VHB177" s="125"/>
      <c r="VHC177" s="125"/>
      <c r="VHD177" s="125"/>
      <c r="VHE177" s="125"/>
      <c r="VHF177" s="125"/>
      <c r="VHG177" s="125"/>
      <c r="VHH177" s="125"/>
      <c r="VHI177" s="125"/>
      <c r="VHJ177" s="125"/>
      <c r="VHK177" s="125"/>
      <c r="VHL177" s="125"/>
      <c r="VHM177" s="125"/>
      <c r="VHN177" s="125"/>
      <c r="VHO177" s="125"/>
      <c r="VHP177" s="125"/>
      <c r="VHQ177" s="125"/>
      <c r="VHR177" s="125"/>
      <c r="VHS177" s="125"/>
      <c r="VHT177" s="125"/>
      <c r="VHU177" s="125"/>
      <c r="VHV177" s="125"/>
      <c r="VHW177" s="125"/>
      <c r="VHX177" s="125"/>
      <c r="VHY177" s="125"/>
      <c r="VHZ177" s="125"/>
      <c r="VIA177" s="125"/>
      <c r="VIB177" s="125"/>
      <c r="VIC177" s="125"/>
      <c r="VID177" s="125"/>
      <c r="VIE177" s="125"/>
      <c r="VIF177" s="125"/>
      <c r="VIG177" s="125"/>
      <c r="VIH177" s="125"/>
      <c r="VII177" s="125"/>
      <c r="VIJ177" s="125"/>
      <c r="VIK177" s="125"/>
      <c r="VIL177" s="125"/>
      <c r="VIM177" s="125"/>
      <c r="VIN177" s="125"/>
      <c r="VIO177" s="125"/>
      <c r="VIP177" s="125"/>
      <c r="VIQ177" s="125"/>
      <c r="VIR177" s="125"/>
      <c r="VIS177" s="125"/>
      <c r="VIT177" s="125"/>
      <c r="VIU177" s="125"/>
      <c r="VIV177" s="125"/>
      <c r="VIW177" s="125"/>
      <c r="VIX177" s="125"/>
      <c r="VIY177" s="125"/>
      <c r="VIZ177" s="125"/>
      <c r="VJA177" s="125"/>
      <c r="VJB177" s="125"/>
      <c r="VJC177" s="125"/>
      <c r="VJD177" s="125"/>
      <c r="VJE177" s="125"/>
      <c r="VJF177" s="125"/>
      <c r="VJG177" s="125"/>
      <c r="VJH177" s="125"/>
      <c r="VJI177" s="125"/>
      <c r="VJJ177" s="125"/>
      <c r="VJK177" s="125"/>
      <c r="VJL177" s="125"/>
      <c r="VJM177" s="125"/>
      <c r="VJN177" s="125"/>
      <c r="VJO177" s="125"/>
      <c r="VJP177" s="125"/>
      <c r="VJQ177" s="125"/>
      <c r="VJR177" s="125"/>
      <c r="VJS177" s="125"/>
      <c r="VJT177" s="125"/>
      <c r="VJU177" s="125"/>
      <c r="VJV177" s="125"/>
      <c r="VJW177" s="125"/>
      <c r="VJX177" s="125"/>
      <c r="VJY177" s="125"/>
      <c r="VJZ177" s="125"/>
      <c r="VKA177" s="125"/>
      <c r="VKB177" s="125"/>
      <c r="VKC177" s="125"/>
      <c r="VKD177" s="125"/>
      <c r="VKE177" s="125"/>
      <c r="VKF177" s="125"/>
      <c r="VKG177" s="125"/>
      <c r="VKH177" s="125"/>
      <c r="VKI177" s="125"/>
      <c r="VKJ177" s="125"/>
      <c r="VKK177" s="125"/>
      <c r="VKL177" s="125"/>
      <c r="VKM177" s="125"/>
      <c r="VKN177" s="125"/>
      <c r="VKO177" s="125"/>
      <c r="VKP177" s="125"/>
      <c r="VKQ177" s="125"/>
      <c r="VKR177" s="125"/>
      <c r="VKS177" s="125"/>
      <c r="VKT177" s="125"/>
      <c r="VKU177" s="125"/>
      <c r="VKV177" s="125"/>
      <c r="VKW177" s="125"/>
      <c r="VKX177" s="125"/>
      <c r="VKY177" s="125"/>
      <c r="VKZ177" s="125"/>
      <c r="VLA177" s="125"/>
      <c r="VLB177" s="125"/>
      <c r="VLC177" s="125"/>
      <c r="VLD177" s="125"/>
      <c r="VLE177" s="125"/>
      <c r="VLF177" s="125"/>
      <c r="VLG177" s="125"/>
      <c r="VLH177" s="125"/>
      <c r="VLI177" s="125"/>
      <c r="VLJ177" s="125"/>
      <c r="VLK177" s="125"/>
      <c r="VLL177" s="125"/>
      <c r="VLM177" s="125"/>
      <c r="VLN177" s="125"/>
      <c r="VLO177" s="125"/>
      <c r="VLP177" s="125"/>
      <c r="VLQ177" s="125"/>
      <c r="VLR177" s="125"/>
      <c r="VLS177" s="125"/>
      <c r="VLT177" s="125"/>
      <c r="VLU177" s="125"/>
      <c r="VLV177" s="125"/>
      <c r="VLW177" s="125"/>
      <c r="VLX177" s="125"/>
      <c r="VLY177" s="125"/>
      <c r="VLZ177" s="125"/>
      <c r="VMA177" s="125"/>
      <c r="VMB177" s="125"/>
      <c r="VMC177" s="125"/>
      <c r="VMD177" s="125"/>
      <c r="VME177" s="125"/>
      <c r="VMF177" s="125"/>
      <c r="VMG177" s="125"/>
      <c r="VMH177" s="125"/>
      <c r="VMI177" s="125"/>
      <c r="VMJ177" s="125"/>
      <c r="VMK177" s="125"/>
      <c r="VML177" s="125"/>
      <c r="VMM177" s="125"/>
      <c r="VMN177" s="125"/>
      <c r="VMO177" s="125"/>
      <c r="VMP177" s="125"/>
      <c r="VMQ177" s="125"/>
      <c r="VMR177" s="125"/>
      <c r="VMS177" s="125"/>
      <c r="VMT177" s="125"/>
      <c r="VMU177" s="125"/>
      <c r="VMV177" s="125"/>
      <c r="VMW177" s="125"/>
      <c r="VMX177" s="125"/>
      <c r="VMY177" s="125"/>
      <c r="VMZ177" s="125"/>
      <c r="VNA177" s="125"/>
      <c r="VNB177" s="125"/>
      <c r="VNC177" s="125"/>
      <c r="VND177" s="125"/>
      <c r="VNE177" s="125"/>
      <c r="VNF177" s="125"/>
      <c r="VNG177" s="125"/>
      <c r="VNH177" s="125"/>
      <c r="VNI177" s="125"/>
      <c r="VNJ177" s="125"/>
      <c r="VNK177" s="125"/>
      <c r="VNL177" s="125"/>
      <c r="VNM177" s="125"/>
      <c r="VNN177" s="125"/>
      <c r="VNO177" s="125"/>
      <c r="VNP177" s="125"/>
      <c r="VNQ177" s="125"/>
      <c r="VNR177" s="125"/>
      <c r="VNS177" s="125"/>
      <c r="VNT177" s="125"/>
      <c r="VNU177" s="125"/>
      <c r="VNV177" s="125"/>
      <c r="VNW177" s="125"/>
      <c r="VNX177" s="125"/>
      <c r="VNY177" s="125"/>
      <c r="VNZ177" s="125"/>
      <c r="VOA177" s="125"/>
      <c r="VOB177" s="125"/>
      <c r="VOC177" s="125"/>
      <c r="VOD177" s="125"/>
      <c r="VOE177" s="125"/>
      <c r="VOF177" s="125"/>
      <c r="VOG177" s="125"/>
      <c r="VOH177" s="125"/>
      <c r="VOI177" s="125"/>
      <c r="VOJ177" s="125"/>
      <c r="VOK177" s="125"/>
      <c r="VOL177" s="125"/>
      <c r="VOM177" s="125"/>
      <c r="VON177" s="125"/>
      <c r="VOO177" s="125"/>
      <c r="VOP177" s="125"/>
      <c r="VOQ177" s="125"/>
      <c r="VOR177" s="125"/>
      <c r="VOS177" s="125"/>
      <c r="VOT177" s="125"/>
      <c r="VOU177" s="125"/>
      <c r="VOV177" s="125"/>
      <c r="VOW177" s="125"/>
      <c r="VOX177" s="125"/>
      <c r="VOY177" s="125"/>
      <c r="VOZ177" s="125"/>
      <c r="VPA177" s="125"/>
      <c r="VPB177" s="125"/>
      <c r="VPC177" s="125"/>
      <c r="VPD177" s="125"/>
      <c r="VPE177" s="125"/>
      <c r="VPF177" s="125"/>
      <c r="VPG177" s="125"/>
      <c r="VPH177" s="125"/>
      <c r="VPI177" s="125"/>
      <c r="VPJ177" s="125"/>
      <c r="VPK177" s="125"/>
      <c r="VPL177" s="125"/>
      <c r="VPM177" s="125"/>
      <c r="VPN177" s="125"/>
      <c r="VPO177" s="125"/>
      <c r="VPP177" s="125"/>
      <c r="VPQ177" s="125"/>
      <c r="VPR177" s="125"/>
      <c r="VPS177" s="125"/>
      <c r="VPT177" s="125"/>
      <c r="VPU177" s="125"/>
      <c r="VPV177" s="125"/>
      <c r="VPW177" s="125"/>
      <c r="VPX177" s="125"/>
      <c r="VPY177" s="125"/>
      <c r="VPZ177" s="125"/>
      <c r="VQA177" s="125"/>
      <c r="VQB177" s="125"/>
      <c r="VQC177" s="125"/>
      <c r="VQD177" s="125"/>
      <c r="VQE177" s="125"/>
      <c r="VQF177" s="125"/>
      <c r="VQG177" s="125"/>
      <c r="VQH177" s="125"/>
      <c r="VQI177" s="125"/>
      <c r="VQJ177" s="125"/>
      <c r="VQK177" s="125"/>
      <c r="VQL177" s="125"/>
      <c r="VQM177" s="125"/>
      <c r="VQN177" s="125"/>
      <c r="VQO177" s="125"/>
      <c r="VQP177" s="125"/>
      <c r="VQQ177" s="125"/>
      <c r="VQR177" s="125"/>
      <c r="VQS177" s="125"/>
      <c r="VQT177" s="125"/>
      <c r="VQU177" s="125"/>
      <c r="VQV177" s="125"/>
      <c r="VQW177" s="125"/>
      <c r="VQX177" s="125"/>
      <c r="VQY177" s="125"/>
      <c r="VQZ177" s="125"/>
      <c r="VRA177" s="125"/>
      <c r="VRB177" s="125"/>
      <c r="VRC177" s="125"/>
      <c r="VRD177" s="125"/>
      <c r="VRE177" s="125"/>
      <c r="VRF177" s="125"/>
      <c r="VRG177" s="125"/>
      <c r="VRH177" s="125"/>
      <c r="VRI177" s="125"/>
      <c r="VRJ177" s="125"/>
      <c r="VRK177" s="125"/>
      <c r="VRL177" s="125"/>
      <c r="VRM177" s="125"/>
      <c r="VRN177" s="125"/>
      <c r="VRO177" s="125"/>
      <c r="VRP177" s="125"/>
      <c r="VRQ177" s="125"/>
      <c r="VRR177" s="125"/>
      <c r="VRS177" s="125"/>
      <c r="VRT177" s="125"/>
      <c r="VRU177" s="125"/>
      <c r="VRV177" s="125"/>
      <c r="VRW177" s="125"/>
      <c r="VRX177" s="125"/>
      <c r="VRY177" s="125"/>
      <c r="VRZ177" s="125"/>
      <c r="VSA177" s="125"/>
      <c r="VSB177" s="125"/>
      <c r="VSC177" s="125"/>
      <c r="VSD177" s="125"/>
      <c r="VSE177" s="125"/>
      <c r="VSF177" s="125"/>
      <c r="VSG177" s="125"/>
      <c r="VSH177" s="125"/>
      <c r="VSI177" s="125"/>
      <c r="VSJ177" s="125"/>
      <c r="VSK177" s="125"/>
      <c r="VSL177" s="125"/>
      <c r="VSM177" s="125"/>
      <c r="VSN177" s="125"/>
      <c r="VSO177" s="125"/>
      <c r="VSP177" s="125"/>
      <c r="VSQ177" s="125"/>
      <c r="VSR177" s="125"/>
      <c r="VSS177" s="125"/>
      <c r="VST177" s="125"/>
      <c r="VSU177" s="125"/>
      <c r="VSV177" s="125"/>
      <c r="VSW177" s="125"/>
      <c r="VSX177" s="125"/>
      <c r="VSY177" s="125"/>
      <c r="VSZ177" s="125"/>
      <c r="VTA177" s="125"/>
      <c r="VTB177" s="125"/>
      <c r="VTC177" s="125"/>
      <c r="VTD177" s="125"/>
      <c r="VTE177" s="125"/>
      <c r="VTF177" s="125"/>
      <c r="VTG177" s="125"/>
      <c r="VTH177" s="125"/>
      <c r="VTI177" s="125"/>
      <c r="VTJ177" s="125"/>
      <c r="VTK177" s="125"/>
      <c r="VTL177" s="125"/>
      <c r="VTM177" s="125"/>
      <c r="VTN177" s="125"/>
      <c r="VTO177" s="125"/>
      <c r="VTP177" s="125"/>
      <c r="VTQ177" s="125"/>
      <c r="VTR177" s="125"/>
      <c r="VTS177" s="125"/>
      <c r="VTT177" s="125"/>
      <c r="VTU177" s="125"/>
      <c r="VTV177" s="125"/>
      <c r="VTW177" s="125"/>
      <c r="VTX177" s="125"/>
      <c r="VTY177" s="125"/>
      <c r="VTZ177" s="125"/>
      <c r="VUA177" s="125"/>
      <c r="VUB177" s="125"/>
      <c r="VUC177" s="125"/>
      <c r="VUD177" s="125"/>
      <c r="VUE177" s="125"/>
      <c r="VUF177" s="125"/>
      <c r="VUG177" s="125"/>
      <c r="VUH177" s="125"/>
      <c r="VUI177" s="125"/>
      <c r="VUJ177" s="125"/>
      <c r="VUK177" s="125"/>
      <c r="VUL177" s="125"/>
      <c r="VUM177" s="125"/>
      <c r="VUN177" s="125"/>
      <c r="VUO177" s="125"/>
      <c r="VUP177" s="125"/>
      <c r="VUQ177" s="125"/>
      <c r="VUR177" s="125"/>
      <c r="VUS177" s="125"/>
      <c r="VUT177" s="125"/>
      <c r="VUU177" s="125"/>
      <c r="VUV177" s="125"/>
      <c r="VUW177" s="125"/>
      <c r="VUX177" s="125"/>
      <c r="VUY177" s="125"/>
      <c r="VUZ177" s="125"/>
      <c r="VVA177" s="125"/>
      <c r="VVB177" s="125"/>
      <c r="VVC177" s="125"/>
      <c r="VVD177" s="125"/>
      <c r="VVE177" s="125"/>
      <c r="VVF177" s="125"/>
      <c r="VVG177" s="125"/>
      <c r="VVH177" s="125"/>
      <c r="VVI177" s="125"/>
      <c r="VVJ177" s="125"/>
      <c r="VVK177" s="125"/>
      <c r="VVL177" s="125"/>
      <c r="VVM177" s="125"/>
      <c r="VVN177" s="125"/>
      <c r="VVO177" s="125"/>
      <c r="VVP177" s="125"/>
      <c r="VVQ177" s="125"/>
      <c r="VVR177" s="125"/>
      <c r="VVS177" s="125"/>
      <c r="VVT177" s="125"/>
      <c r="VVU177" s="125"/>
      <c r="VVV177" s="125"/>
      <c r="VVW177" s="125"/>
      <c r="VVX177" s="125"/>
      <c r="VVY177" s="125"/>
      <c r="VVZ177" s="125"/>
      <c r="VWA177" s="125"/>
      <c r="VWB177" s="125"/>
      <c r="VWC177" s="125"/>
      <c r="VWD177" s="125"/>
      <c r="VWE177" s="125"/>
      <c r="VWF177" s="125"/>
      <c r="VWG177" s="125"/>
      <c r="VWH177" s="125"/>
      <c r="VWI177" s="125"/>
      <c r="VWJ177" s="125"/>
      <c r="VWK177" s="125"/>
      <c r="VWL177" s="125"/>
      <c r="VWM177" s="125"/>
      <c r="VWN177" s="125"/>
      <c r="VWO177" s="125"/>
      <c r="VWP177" s="125"/>
      <c r="VWQ177" s="125"/>
      <c r="VWR177" s="125"/>
      <c r="VWS177" s="125"/>
      <c r="VWT177" s="125"/>
      <c r="VWU177" s="125"/>
      <c r="VWV177" s="125"/>
      <c r="VWW177" s="125"/>
      <c r="VWX177" s="125"/>
      <c r="VWY177" s="125"/>
      <c r="VWZ177" s="125"/>
      <c r="VXA177" s="125"/>
      <c r="VXB177" s="125"/>
      <c r="VXC177" s="125"/>
      <c r="VXD177" s="125"/>
      <c r="VXE177" s="125"/>
      <c r="VXF177" s="125"/>
      <c r="VXG177" s="125"/>
      <c r="VXH177" s="125"/>
      <c r="VXI177" s="125"/>
      <c r="VXJ177" s="125"/>
      <c r="VXK177" s="125"/>
      <c r="VXL177" s="125"/>
      <c r="VXM177" s="125"/>
      <c r="VXN177" s="125"/>
      <c r="VXO177" s="125"/>
      <c r="VXP177" s="125"/>
      <c r="VXQ177" s="125"/>
      <c r="VXR177" s="125"/>
      <c r="VXS177" s="125"/>
      <c r="VXT177" s="125"/>
      <c r="VXU177" s="125"/>
      <c r="VXV177" s="125"/>
      <c r="VXW177" s="125"/>
      <c r="VXX177" s="125"/>
      <c r="VXY177" s="125"/>
      <c r="VXZ177" s="125"/>
      <c r="VYA177" s="125"/>
      <c r="VYB177" s="125"/>
      <c r="VYC177" s="125"/>
      <c r="VYD177" s="125"/>
      <c r="VYE177" s="125"/>
      <c r="VYF177" s="125"/>
      <c r="VYG177" s="125"/>
      <c r="VYH177" s="125"/>
      <c r="VYI177" s="125"/>
      <c r="VYJ177" s="125"/>
      <c r="VYK177" s="125"/>
      <c r="VYL177" s="125"/>
      <c r="VYM177" s="125"/>
      <c r="VYN177" s="125"/>
      <c r="VYO177" s="125"/>
      <c r="VYP177" s="125"/>
      <c r="VYQ177" s="125"/>
      <c r="VYR177" s="125"/>
      <c r="VYS177" s="125"/>
      <c r="VYT177" s="125"/>
      <c r="VYU177" s="125"/>
      <c r="VYV177" s="125"/>
      <c r="VYW177" s="125"/>
      <c r="VYX177" s="125"/>
      <c r="VYY177" s="125"/>
      <c r="VYZ177" s="125"/>
      <c r="VZA177" s="125"/>
      <c r="VZB177" s="125"/>
      <c r="VZC177" s="125"/>
      <c r="VZD177" s="125"/>
      <c r="VZE177" s="125"/>
      <c r="VZF177" s="125"/>
      <c r="VZG177" s="125"/>
      <c r="VZH177" s="125"/>
      <c r="VZI177" s="125"/>
      <c r="VZJ177" s="125"/>
      <c r="VZK177" s="125"/>
      <c r="VZL177" s="125"/>
      <c r="VZM177" s="125"/>
      <c r="VZN177" s="125"/>
      <c r="VZO177" s="125"/>
      <c r="VZP177" s="125"/>
      <c r="VZQ177" s="125"/>
      <c r="VZR177" s="125"/>
      <c r="VZS177" s="125"/>
      <c r="VZT177" s="125"/>
      <c r="VZU177" s="125"/>
      <c r="VZV177" s="125"/>
      <c r="VZW177" s="125"/>
      <c r="VZX177" s="125"/>
      <c r="VZY177" s="125"/>
      <c r="VZZ177" s="125"/>
      <c r="WAA177" s="125"/>
      <c r="WAB177" s="125"/>
      <c r="WAC177" s="125"/>
      <c r="WAD177" s="125"/>
      <c r="WAE177" s="125"/>
      <c r="WAF177" s="125"/>
      <c r="WAG177" s="125"/>
      <c r="WAH177" s="125"/>
      <c r="WAI177" s="125"/>
      <c r="WAJ177" s="125"/>
      <c r="WAK177" s="125"/>
      <c r="WAL177" s="125"/>
      <c r="WAM177" s="125"/>
      <c r="WAN177" s="125"/>
      <c r="WAO177" s="125"/>
      <c r="WAP177" s="125"/>
      <c r="WAQ177" s="125"/>
      <c r="WAR177" s="125"/>
      <c r="WAS177" s="125"/>
      <c r="WAT177" s="125"/>
      <c r="WAU177" s="125"/>
      <c r="WAV177" s="125"/>
      <c r="WAW177" s="125"/>
      <c r="WAX177" s="125"/>
      <c r="WAY177" s="125"/>
      <c r="WAZ177" s="125"/>
      <c r="WBA177" s="125"/>
      <c r="WBB177" s="125"/>
      <c r="WBC177" s="125"/>
      <c r="WBD177" s="125"/>
      <c r="WBE177" s="125"/>
      <c r="WBF177" s="125"/>
      <c r="WBG177" s="125"/>
      <c r="WBH177" s="125"/>
      <c r="WBI177" s="125"/>
      <c r="WBJ177" s="125"/>
      <c r="WBK177" s="125"/>
      <c r="WBL177" s="125"/>
      <c r="WBM177" s="125"/>
      <c r="WBN177" s="125"/>
      <c r="WBO177" s="125"/>
      <c r="WBP177" s="125"/>
      <c r="WBQ177" s="125"/>
      <c r="WBR177" s="125"/>
      <c r="WBS177" s="125"/>
      <c r="WBT177" s="125"/>
      <c r="WBU177" s="125"/>
      <c r="WBV177" s="125"/>
      <c r="WBW177" s="125"/>
      <c r="WBX177" s="125"/>
      <c r="WBY177" s="125"/>
      <c r="WBZ177" s="125"/>
      <c r="WCA177" s="125"/>
      <c r="WCB177" s="125"/>
      <c r="WCC177" s="125"/>
      <c r="WCD177" s="125"/>
      <c r="WCE177" s="125"/>
      <c r="WCF177" s="125"/>
      <c r="WCG177" s="125"/>
      <c r="WCH177" s="125"/>
      <c r="WCI177" s="125"/>
      <c r="WCJ177" s="125"/>
      <c r="WCK177" s="125"/>
      <c r="WCL177" s="125"/>
      <c r="WCM177" s="125"/>
      <c r="WCN177" s="125"/>
      <c r="WCO177" s="125"/>
      <c r="WCP177" s="125"/>
      <c r="WCQ177" s="125"/>
      <c r="WCR177" s="125"/>
      <c r="WCS177" s="125"/>
      <c r="WCT177" s="125"/>
      <c r="WCU177" s="125"/>
      <c r="WCV177" s="125"/>
      <c r="WCW177" s="125"/>
      <c r="WCX177" s="125"/>
      <c r="WCY177" s="125"/>
      <c r="WCZ177" s="125"/>
      <c r="WDA177" s="125"/>
      <c r="WDB177" s="125"/>
      <c r="WDC177" s="125"/>
      <c r="WDD177" s="125"/>
      <c r="WDE177" s="125"/>
      <c r="WDF177" s="125"/>
      <c r="WDG177" s="125"/>
      <c r="WDH177" s="125"/>
      <c r="WDI177" s="125"/>
      <c r="WDJ177" s="125"/>
      <c r="WDK177" s="125"/>
      <c r="WDL177" s="125"/>
      <c r="WDM177" s="125"/>
      <c r="WDN177" s="125"/>
      <c r="WDO177" s="125"/>
      <c r="WDP177" s="125"/>
      <c r="WDQ177" s="125"/>
      <c r="WDR177" s="125"/>
      <c r="WDS177" s="125"/>
      <c r="WDT177" s="125"/>
      <c r="WDU177" s="125"/>
      <c r="WDV177" s="125"/>
      <c r="WDW177" s="125"/>
      <c r="WDX177" s="125"/>
      <c r="WDY177" s="125"/>
      <c r="WDZ177" s="125"/>
      <c r="WEA177" s="125"/>
      <c r="WEB177" s="125"/>
      <c r="WEC177" s="125"/>
      <c r="WED177" s="125"/>
      <c r="WEE177" s="125"/>
      <c r="WEF177" s="125"/>
      <c r="WEG177" s="125"/>
      <c r="WEH177" s="125"/>
      <c r="WEI177" s="125"/>
      <c r="WEJ177" s="125"/>
      <c r="WEK177" s="125"/>
      <c r="WEL177" s="125"/>
      <c r="WEM177" s="125"/>
      <c r="WEN177" s="125"/>
      <c r="WEO177" s="125"/>
      <c r="WEP177" s="125"/>
      <c r="WEQ177" s="125"/>
      <c r="WER177" s="125"/>
      <c r="WES177" s="125"/>
      <c r="WET177" s="125"/>
      <c r="WEU177" s="125"/>
      <c r="WEV177" s="125"/>
      <c r="WEW177" s="125"/>
      <c r="WEX177" s="125"/>
      <c r="WEY177" s="125"/>
      <c r="WEZ177" s="125"/>
      <c r="WFA177" s="125"/>
      <c r="WFB177" s="125"/>
      <c r="WFC177" s="125"/>
      <c r="WFD177" s="125"/>
      <c r="WFE177" s="125"/>
      <c r="WFF177" s="125"/>
      <c r="WFG177" s="125"/>
      <c r="WFH177" s="125"/>
      <c r="WFI177" s="125"/>
      <c r="WFJ177" s="125"/>
      <c r="WFK177" s="125"/>
      <c r="WFL177" s="125"/>
      <c r="WFM177" s="125"/>
      <c r="WFN177" s="125"/>
      <c r="WFO177" s="125"/>
      <c r="WFP177" s="125"/>
      <c r="WFQ177" s="125"/>
      <c r="WFR177" s="125"/>
      <c r="WFS177" s="125"/>
      <c r="WFT177" s="125"/>
      <c r="WFU177" s="125"/>
      <c r="WFV177" s="125"/>
      <c r="WFW177" s="125"/>
      <c r="WFX177" s="125"/>
      <c r="WFY177" s="125"/>
      <c r="WFZ177" s="125"/>
      <c r="WGA177" s="125"/>
      <c r="WGB177" s="125"/>
      <c r="WGC177" s="125"/>
      <c r="WGD177" s="125"/>
      <c r="WGE177" s="125"/>
      <c r="WGF177" s="125"/>
      <c r="WGG177" s="125"/>
      <c r="WGH177" s="125"/>
      <c r="WGI177" s="125"/>
      <c r="WGJ177" s="125"/>
      <c r="WGK177" s="125"/>
      <c r="WGL177" s="125"/>
      <c r="WGM177" s="125"/>
      <c r="WGN177" s="125"/>
      <c r="WGO177" s="125"/>
      <c r="WGP177" s="125"/>
      <c r="WGQ177" s="125"/>
      <c r="WGR177" s="125"/>
      <c r="WGS177" s="125"/>
      <c r="WGT177" s="125"/>
      <c r="WGU177" s="125"/>
      <c r="WGV177" s="125"/>
      <c r="WGW177" s="125"/>
      <c r="WGX177" s="125"/>
      <c r="WGY177" s="125"/>
      <c r="WGZ177" s="125"/>
      <c r="WHA177" s="125"/>
      <c r="WHB177" s="125"/>
      <c r="WHC177" s="125"/>
      <c r="WHD177" s="125"/>
      <c r="WHE177" s="125"/>
      <c r="WHF177" s="125"/>
      <c r="WHG177" s="125"/>
      <c r="WHH177" s="125"/>
      <c r="WHI177" s="125"/>
      <c r="WHJ177" s="125"/>
      <c r="WHK177" s="125"/>
      <c r="WHL177" s="125"/>
      <c r="WHM177" s="125"/>
      <c r="WHN177" s="125"/>
      <c r="WHO177" s="125"/>
      <c r="WHP177" s="125"/>
      <c r="WHQ177" s="125"/>
      <c r="WHR177" s="125"/>
      <c r="WHS177" s="125"/>
      <c r="WHT177" s="125"/>
      <c r="WHU177" s="125"/>
      <c r="WHV177" s="125"/>
      <c r="WHW177" s="125"/>
      <c r="WHX177" s="125"/>
      <c r="WHY177" s="125"/>
      <c r="WHZ177" s="125"/>
      <c r="WIA177" s="125"/>
      <c r="WIB177" s="125"/>
      <c r="WIC177" s="125"/>
      <c r="WID177" s="125"/>
      <c r="WIE177" s="125"/>
      <c r="WIF177" s="125"/>
      <c r="WIG177" s="125"/>
      <c r="WIH177" s="125"/>
      <c r="WII177" s="125"/>
      <c r="WIJ177" s="125"/>
      <c r="WIK177" s="125"/>
      <c r="WIL177" s="125"/>
      <c r="WIM177" s="125"/>
      <c r="WIN177" s="125"/>
      <c r="WIO177" s="125"/>
      <c r="WIP177" s="125"/>
      <c r="WIQ177" s="125"/>
      <c r="WIR177" s="125"/>
      <c r="WIS177" s="125"/>
      <c r="WIT177" s="125"/>
      <c r="WIU177" s="125"/>
      <c r="WIV177" s="125"/>
      <c r="WIW177" s="125"/>
      <c r="WIX177" s="125"/>
      <c r="WIY177" s="125"/>
      <c r="WIZ177" s="125"/>
      <c r="WJA177" s="125"/>
      <c r="WJB177" s="125"/>
      <c r="WJC177" s="125"/>
      <c r="WJD177" s="125"/>
      <c r="WJE177" s="125"/>
      <c r="WJF177" s="125"/>
      <c r="WJG177" s="125"/>
      <c r="WJH177" s="125"/>
      <c r="WJI177" s="125"/>
      <c r="WJJ177" s="125"/>
      <c r="WJK177" s="125"/>
      <c r="WJL177" s="125"/>
      <c r="WJM177" s="125"/>
      <c r="WJN177" s="125"/>
      <c r="WJO177" s="125"/>
      <c r="WJP177" s="125"/>
      <c r="WJQ177" s="125"/>
      <c r="WJR177" s="125"/>
      <c r="WJS177" s="125"/>
      <c r="WJT177" s="125"/>
      <c r="WJU177" s="125"/>
      <c r="WJV177" s="125"/>
      <c r="WJW177" s="125"/>
      <c r="WJX177" s="125"/>
      <c r="WJY177" s="125"/>
      <c r="WJZ177" s="125"/>
      <c r="WKA177" s="125"/>
      <c r="WKB177" s="125"/>
      <c r="WKC177" s="125"/>
      <c r="WKD177" s="125"/>
      <c r="WKE177" s="125"/>
      <c r="WKF177" s="125"/>
      <c r="WKG177" s="125"/>
      <c r="WKH177" s="125"/>
      <c r="WKI177" s="125"/>
      <c r="WKJ177" s="125"/>
      <c r="WKK177" s="125"/>
      <c r="WKL177" s="125"/>
      <c r="WKM177" s="125"/>
      <c r="WKN177" s="125"/>
      <c r="WKO177" s="125"/>
      <c r="WKP177" s="125"/>
      <c r="WKQ177" s="125"/>
      <c r="WKR177" s="125"/>
      <c r="WKS177" s="125"/>
      <c r="WKT177" s="125"/>
      <c r="WKU177" s="125"/>
      <c r="WKV177" s="125"/>
      <c r="WKW177" s="125"/>
      <c r="WKX177" s="125"/>
      <c r="WKY177" s="125"/>
      <c r="WKZ177" s="125"/>
      <c r="WLA177" s="125"/>
      <c r="WLB177" s="125"/>
      <c r="WLC177" s="125"/>
      <c r="WLD177" s="125"/>
      <c r="WLE177" s="125"/>
      <c r="WLF177" s="125"/>
      <c r="WLG177" s="125"/>
      <c r="WLH177" s="125"/>
      <c r="WLI177" s="125"/>
      <c r="WLJ177" s="125"/>
      <c r="WLK177" s="125"/>
      <c r="WLL177" s="125"/>
      <c r="WLM177" s="125"/>
      <c r="WLN177" s="125"/>
      <c r="WLO177" s="125"/>
      <c r="WLP177" s="125"/>
      <c r="WLQ177" s="125"/>
      <c r="WLR177" s="125"/>
      <c r="WLS177" s="125"/>
      <c r="WLT177" s="125"/>
      <c r="WLU177" s="125"/>
      <c r="WLV177" s="125"/>
      <c r="WLW177" s="125"/>
      <c r="WLX177" s="125"/>
      <c r="WLY177" s="125"/>
      <c r="WLZ177" s="125"/>
      <c r="WMA177" s="125"/>
      <c r="WMB177" s="125"/>
      <c r="WMC177" s="125"/>
      <c r="WMD177" s="125"/>
      <c r="WME177" s="125"/>
      <c r="WMF177" s="125"/>
      <c r="WMG177" s="125"/>
      <c r="WMH177" s="125"/>
      <c r="WMI177" s="125"/>
      <c r="WMJ177" s="125"/>
      <c r="WMK177" s="125"/>
      <c r="WML177" s="125"/>
      <c r="WMM177" s="125"/>
      <c r="WMN177" s="125"/>
      <c r="WMO177" s="125"/>
      <c r="WMP177" s="125"/>
      <c r="WMQ177" s="125"/>
      <c r="WMR177" s="125"/>
      <c r="WMS177" s="125"/>
      <c r="WMT177" s="125"/>
      <c r="WMU177" s="125"/>
      <c r="WMV177" s="125"/>
      <c r="WMW177" s="125"/>
      <c r="WMX177" s="125"/>
      <c r="WMY177" s="125"/>
      <c r="WMZ177" s="125"/>
      <c r="WNA177" s="125"/>
      <c r="WNB177" s="125"/>
      <c r="WNC177" s="125"/>
      <c r="WND177" s="125"/>
      <c r="WNE177" s="125"/>
      <c r="WNF177" s="125"/>
      <c r="WNG177" s="125"/>
      <c r="WNH177" s="125"/>
      <c r="WNI177" s="125"/>
      <c r="WNJ177" s="125"/>
      <c r="WNK177" s="125"/>
      <c r="WNL177" s="125"/>
      <c r="WNM177" s="125"/>
      <c r="WNN177" s="125"/>
      <c r="WNO177" s="125"/>
      <c r="WNP177" s="125"/>
      <c r="WNQ177" s="125"/>
      <c r="WNR177" s="125"/>
      <c r="WNS177" s="125"/>
      <c r="WNT177" s="125"/>
      <c r="WNU177" s="125"/>
      <c r="WNV177" s="125"/>
      <c r="WNW177" s="125"/>
      <c r="WNX177" s="125"/>
      <c r="WNY177" s="125"/>
      <c r="WNZ177" s="125"/>
      <c r="WOA177" s="125"/>
      <c r="WOB177" s="125"/>
      <c r="WOC177" s="125"/>
      <c r="WOD177" s="125"/>
      <c r="WOE177" s="125"/>
      <c r="WOF177" s="125"/>
      <c r="WOG177" s="125"/>
      <c r="WOH177" s="125"/>
      <c r="WOI177" s="125"/>
      <c r="WOJ177" s="125"/>
      <c r="WOK177" s="125"/>
      <c r="WOL177" s="125"/>
      <c r="WOM177" s="125"/>
      <c r="WON177" s="125"/>
      <c r="WOO177" s="125"/>
      <c r="WOP177" s="125"/>
      <c r="WOQ177" s="125"/>
      <c r="WOR177" s="125"/>
      <c r="WOS177" s="125"/>
      <c r="WOT177" s="125"/>
      <c r="WOU177" s="125"/>
      <c r="WOV177" s="125"/>
      <c r="WOW177" s="125"/>
      <c r="WOX177" s="125"/>
      <c r="WOY177" s="125"/>
      <c r="WOZ177" s="125"/>
      <c r="WPA177" s="125"/>
      <c r="WPB177" s="125"/>
      <c r="WPC177" s="125"/>
      <c r="WPD177" s="125"/>
      <c r="WPE177" s="125"/>
      <c r="WPF177" s="125"/>
      <c r="WPG177" s="125"/>
      <c r="WPH177" s="125"/>
      <c r="WPI177" s="125"/>
      <c r="WPJ177" s="125"/>
      <c r="WPK177" s="125"/>
      <c r="WPL177" s="125"/>
      <c r="WPM177" s="125"/>
      <c r="WPN177" s="125"/>
      <c r="WPO177" s="125"/>
      <c r="WPP177" s="125"/>
      <c r="WPQ177" s="125"/>
      <c r="WPR177" s="125"/>
      <c r="WPS177" s="125"/>
      <c r="WPT177" s="125"/>
      <c r="WPU177" s="125"/>
      <c r="WPV177" s="125"/>
      <c r="WPW177" s="125"/>
      <c r="WPX177" s="125"/>
      <c r="WPY177" s="125"/>
      <c r="WPZ177" s="125"/>
      <c r="WQA177" s="125"/>
      <c r="WQB177" s="125"/>
      <c r="WQC177" s="125"/>
      <c r="WQD177" s="125"/>
      <c r="WQE177" s="125"/>
      <c r="WQF177" s="125"/>
      <c r="WQG177" s="125"/>
      <c r="WQH177" s="125"/>
      <c r="WQI177" s="125"/>
      <c r="WQJ177" s="125"/>
      <c r="WQK177" s="125"/>
      <c r="WQL177" s="125"/>
      <c r="WQM177" s="125"/>
      <c r="WQN177" s="125"/>
      <c r="WQO177" s="125"/>
      <c r="WQP177" s="125"/>
      <c r="WQQ177" s="125"/>
      <c r="WQR177" s="125"/>
      <c r="WQS177" s="125"/>
      <c r="WQT177" s="125"/>
      <c r="WQU177" s="125"/>
      <c r="WQV177" s="125"/>
      <c r="WQW177" s="125"/>
      <c r="WQX177" s="125"/>
      <c r="WQY177" s="125"/>
      <c r="WQZ177" s="125"/>
      <c r="WRA177" s="125"/>
      <c r="WRB177" s="125"/>
      <c r="WRC177" s="125"/>
      <c r="WRD177" s="125"/>
      <c r="WRE177" s="125"/>
      <c r="WRF177" s="125"/>
      <c r="WRG177" s="125"/>
      <c r="WRH177" s="125"/>
      <c r="WRI177" s="125"/>
      <c r="WRJ177" s="125"/>
      <c r="WRK177" s="125"/>
      <c r="WRL177" s="125"/>
      <c r="WRM177" s="125"/>
      <c r="WRN177" s="125"/>
      <c r="WRO177" s="125"/>
      <c r="WRP177" s="125"/>
      <c r="WRQ177" s="125"/>
      <c r="WRR177" s="125"/>
      <c r="WRS177" s="125"/>
      <c r="WRT177" s="125"/>
      <c r="WRU177" s="125"/>
      <c r="WRV177" s="125"/>
      <c r="WRW177" s="125"/>
      <c r="WRX177" s="125"/>
      <c r="WRY177" s="125"/>
      <c r="WRZ177" s="125"/>
      <c r="WSA177" s="125"/>
      <c r="WSB177" s="125"/>
      <c r="WSC177" s="125"/>
      <c r="WSD177" s="125"/>
      <c r="WSE177" s="125"/>
      <c r="WSF177" s="125"/>
      <c r="WSG177" s="125"/>
      <c r="WSH177" s="125"/>
      <c r="WSI177" s="125"/>
      <c r="WSJ177" s="125"/>
      <c r="WSK177" s="125"/>
      <c r="WSL177" s="125"/>
      <c r="WSM177" s="125"/>
      <c r="WSN177" s="125"/>
      <c r="WSO177" s="125"/>
      <c r="WSP177" s="125"/>
      <c r="WSQ177" s="125"/>
      <c r="WSR177" s="125"/>
      <c r="WSS177" s="125"/>
      <c r="WST177" s="125"/>
      <c r="WSU177" s="125"/>
      <c r="WSV177" s="125"/>
      <c r="WSW177" s="125"/>
      <c r="WSX177" s="125"/>
      <c r="WSY177" s="125"/>
      <c r="WSZ177" s="125"/>
      <c r="WTA177" s="125"/>
      <c r="WTB177" s="125"/>
      <c r="WTC177" s="125"/>
      <c r="WTD177" s="125"/>
      <c r="WTE177" s="125"/>
      <c r="WTF177" s="125"/>
      <c r="WTG177" s="125"/>
      <c r="WTH177" s="125"/>
      <c r="WTI177" s="125"/>
      <c r="WTJ177" s="125"/>
      <c r="WTK177" s="125"/>
      <c r="WTL177" s="125"/>
      <c r="WTM177" s="125"/>
      <c r="WTN177" s="125"/>
      <c r="WTO177" s="125"/>
      <c r="WTP177" s="125"/>
      <c r="WTQ177" s="125"/>
      <c r="WTR177" s="125"/>
      <c r="WTS177" s="125"/>
      <c r="WTT177" s="125"/>
      <c r="WTU177" s="125"/>
      <c r="WTV177" s="125"/>
      <c r="WTW177" s="125"/>
      <c r="WTX177" s="125"/>
      <c r="WTY177" s="125"/>
      <c r="WTZ177" s="125"/>
      <c r="WUA177" s="125"/>
      <c r="WUB177" s="125"/>
      <c r="WUC177" s="125"/>
      <c r="WUD177" s="125"/>
      <c r="WUE177" s="125"/>
      <c r="WUF177" s="125"/>
      <c r="WUG177" s="125"/>
      <c r="WUH177" s="125"/>
      <c r="WUI177" s="125"/>
      <c r="WUJ177" s="125"/>
      <c r="WUK177" s="125"/>
      <c r="WUL177" s="125"/>
      <c r="WUM177" s="125"/>
      <c r="WUN177" s="125"/>
      <c r="WUO177" s="125"/>
      <c r="WUP177" s="125"/>
      <c r="WUQ177" s="125"/>
      <c r="WUR177" s="125"/>
      <c r="WUS177" s="125"/>
      <c r="WUT177" s="125"/>
      <c r="WUU177" s="125"/>
      <c r="WUV177" s="125"/>
      <c r="WUW177" s="125"/>
      <c r="WUX177" s="125"/>
      <c r="WUY177" s="125"/>
      <c r="WUZ177" s="125"/>
      <c r="WVA177" s="125"/>
      <c r="WVB177" s="125"/>
      <c r="WVC177" s="125"/>
      <c r="WVD177" s="125"/>
      <c r="WVE177" s="125"/>
      <c r="WVF177" s="125"/>
      <c r="WVG177" s="125"/>
      <c r="WVH177" s="125"/>
      <c r="WVI177" s="125"/>
      <c r="WVJ177" s="125"/>
      <c r="WVK177" s="125"/>
      <c r="WVL177" s="125"/>
      <c r="WVM177" s="125"/>
      <c r="WVN177" s="125"/>
      <c r="WVO177" s="125"/>
      <c r="WVP177" s="125"/>
      <c r="WVQ177" s="125"/>
      <c r="WVR177" s="125"/>
      <c r="WVS177" s="125"/>
      <c r="WVT177" s="125"/>
      <c r="WVU177" s="125"/>
      <c r="WVV177" s="125"/>
      <c r="WVW177" s="125"/>
      <c r="WVX177" s="125"/>
      <c r="WVY177" s="125"/>
      <c r="WVZ177" s="125"/>
      <c r="WWA177" s="125"/>
      <c r="WWB177" s="125"/>
      <c r="WWC177" s="125"/>
      <c r="WWD177" s="125"/>
      <c r="WWE177" s="125"/>
      <c r="WWF177" s="125"/>
      <c r="WWG177" s="125"/>
      <c r="WWH177" s="125"/>
      <c r="WWI177" s="125"/>
      <c r="WWJ177" s="125"/>
      <c r="WWK177" s="125"/>
      <c r="WWL177" s="125"/>
      <c r="WWM177" s="125"/>
      <c r="WWN177" s="125"/>
      <c r="WWO177" s="125"/>
      <c r="WWP177" s="125"/>
      <c r="WWQ177" s="125"/>
      <c r="WWR177" s="125"/>
      <c r="WWS177" s="125"/>
      <c r="WWT177" s="125"/>
      <c r="WWU177" s="125"/>
      <c r="WWV177" s="125"/>
      <c r="WWW177" s="125"/>
      <c r="WWX177" s="125"/>
      <c r="WWY177" s="125"/>
      <c r="WWZ177" s="125"/>
      <c r="WXA177" s="125"/>
      <c r="WXB177" s="125"/>
      <c r="WXC177" s="125"/>
      <c r="WXD177" s="125"/>
      <c r="WXE177" s="125"/>
      <c r="WXF177" s="125"/>
      <c r="WXG177" s="125"/>
      <c r="WXH177" s="125"/>
      <c r="WXI177" s="125"/>
      <c r="WXJ177" s="125"/>
      <c r="WXK177" s="125"/>
      <c r="WXL177" s="125"/>
      <c r="WXM177" s="125"/>
      <c r="WXN177" s="125"/>
      <c r="WXO177" s="125"/>
      <c r="WXP177" s="125"/>
      <c r="WXQ177" s="125"/>
      <c r="WXR177" s="125"/>
      <c r="WXS177" s="125"/>
      <c r="WXT177" s="125"/>
      <c r="WXU177" s="125"/>
      <c r="WXV177" s="125"/>
      <c r="WXW177" s="125"/>
      <c r="WXX177" s="125"/>
      <c r="WXY177" s="125"/>
      <c r="WXZ177" s="125"/>
      <c r="WYA177" s="125"/>
      <c r="WYB177" s="125"/>
      <c r="WYC177" s="125"/>
      <c r="WYD177" s="125"/>
      <c r="WYE177" s="125"/>
      <c r="WYF177" s="125"/>
      <c r="WYG177" s="125"/>
      <c r="WYH177" s="125"/>
      <c r="WYI177" s="125"/>
      <c r="WYJ177" s="125"/>
      <c r="WYK177" s="125"/>
      <c r="WYL177" s="125"/>
      <c r="WYM177" s="125"/>
      <c r="WYN177" s="125"/>
      <c r="WYO177" s="125"/>
      <c r="WYP177" s="125"/>
      <c r="WYQ177" s="125"/>
      <c r="WYR177" s="125"/>
      <c r="WYS177" s="125"/>
      <c r="WYT177" s="125"/>
      <c r="WYU177" s="125"/>
      <c r="WYV177" s="125"/>
      <c r="WYW177" s="125"/>
      <c r="WYX177" s="125"/>
      <c r="WYY177" s="125"/>
      <c r="WYZ177" s="125"/>
      <c r="WZA177" s="125"/>
      <c r="WZB177" s="125"/>
      <c r="WZC177" s="125"/>
      <c r="WZD177" s="125"/>
      <c r="WZE177" s="125"/>
      <c r="WZF177" s="125"/>
      <c r="WZG177" s="125"/>
      <c r="WZH177" s="125"/>
      <c r="WZI177" s="125"/>
      <c r="WZJ177" s="125"/>
      <c r="WZK177" s="125"/>
      <c r="WZL177" s="125"/>
      <c r="WZM177" s="125"/>
      <c r="WZN177" s="125"/>
      <c r="WZO177" s="125"/>
      <c r="WZP177" s="125"/>
      <c r="WZQ177" s="125"/>
      <c r="WZR177" s="125"/>
      <c r="WZS177" s="125"/>
      <c r="WZT177" s="125"/>
      <c r="WZU177" s="125"/>
      <c r="WZV177" s="125"/>
      <c r="WZW177" s="125"/>
      <c r="WZX177" s="125"/>
      <c r="WZY177" s="125"/>
      <c r="WZZ177" s="125"/>
      <c r="XAA177" s="125"/>
      <c r="XAB177" s="125"/>
      <c r="XAC177" s="125"/>
      <c r="XAD177" s="125"/>
      <c r="XAE177" s="125"/>
      <c r="XAF177" s="125"/>
      <c r="XAG177" s="125"/>
      <c r="XAH177" s="125"/>
      <c r="XAI177" s="125"/>
      <c r="XAJ177" s="125"/>
      <c r="XAK177" s="125"/>
      <c r="XAL177" s="125"/>
      <c r="XAM177" s="125"/>
      <c r="XAN177" s="125"/>
      <c r="XAO177" s="125"/>
      <c r="XAP177" s="125"/>
      <c r="XAQ177" s="125"/>
      <c r="XAR177" s="125"/>
      <c r="XAS177" s="125"/>
      <c r="XAT177" s="125"/>
      <c r="XAU177" s="125"/>
      <c r="XAV177" s="125"/>
      <c r="XAW177" s="125"/>
      <c r="XAX177" s="125"/>
      <c r="XAY177" s="125"/>
      <c r="XAZ177" s="125"/>
      <c r="XBA177" s="125"/>
      <c r="XBB177" s="125"/>
      <c r="XBC177" s="125"/>
      <c r="XBD177" s="125"/>
      <c r="XBE177" s="125"/>
      <c r="XBF177" s="125"/>
      <c r="XBG177" s="125"/>
      <c r="XBH177" s="125"/>
      <c r="XBI177" s="125"/>
      <c r="XBJ177" s="125"/>
      <c r="XBK177" s="125"/>
      <c r="XBL177" s="125"/>
      <c r="XBM177" s="125"/>
      <c r="XBN177" s="125"/>
      <c r="XBO177" s="125"/>
      <c r="XBP177" s="125"/>
      <c r="XBQ177" s="125"/>
      <c r="XBR177" s="125"/>
      <c r="XBS177" s="125"/>
      <c r="XBT177" s="125"/>
      <c r="XBU177" s="125"/>
      <c r="XBV177" s="125"/>
      <c r="XBW177" s="125"/>
      <c r="XBX177" s="125"/>
      <c r="XBY177" s="125"/>
      <c r="XBZ177" s="125"/>
      <c r="XCA177" s="125"/>
      <c r="XCB177" s="125"/>
      <c r="XCC177" s="125"/>
      <c r="XCD177" s="125"/>
      <c r="XCE177" s="125"/>
      <c r="XCF177" s="125"/>
      <c r="XCG177" s="125"/>
      <c r="XCH177" s="125"/>
      <c r="XCI177" s="125"/>
      <c r="XCJ177" s="125"/>
      <c r="XCK177" s="125"/>
      <c r="XCL177" s="125"/>
      <c r="XCM177" s="125"/>
      <c r="XCN177" s="125"/>
      <c r="XCO177" s="125"/>
      <c r="XCP177" s="125"/>
      <c r="XCQ177" s="125"/>
      <c r="XCR177" s="125"/>
      <c r="XCS177" s="125"/>
      <c r="XCT177" s="125"/>
      <c r="XCU177" s="125"/>
      <c r="XCV177" s="125"/>
      <c r="XCW177" s="125"/>
      <c r="XCX177" s="125"/>
      <c r="XCY177" s="125"/>
      <c r="XCZ177" s="125"/>
      <c r="XDA177" s="125"/>
      <c r="XDB177" s="125"/>
      <c r="XDC177" s="125"/>
      <c r="XDD177" s="125"/>
      <c r="XDE177" s="125"/>
      <c r="XDF177" s="125"/>
      <c r="XDG177" s="125"/>
      <c r="XDH177" s="125"/>
      <c r="XDI177" s="125"/>
      <c r="XDJ177" s="125"/>
      <c r="XDK177" s="125"/>
      <c r="XDL177" s="125"/>
      <c r="XDM177" s="125"/>
      <c r="XDN177" s="125"/>
      <c r="XDO177" s="125"/>
      <c r="XDP177" s="125"/>
      <c r="XDQ177" s="125"/>
      <c r="XDR177" s="125"/>
      <c r="XDS177" s="125"/>
      <c r="XDT177" s="125"/>
      <c r="XDU177" s="125"/>
      <c r="XDV177" s="125"/>
      <c r="XDW177" s="125"/>
      <c r="XDX177" s="125"/>
      <c r="XDY177" s="125"/>
      <c r="XDZ177" s="125"/>
      <c r="XEA177" s="125"/>
      <c r="XEB177" s="125"/>
      <c r="XEC177" s="125"/>
      <c r="XED177" s="125"/>
      <c r="XEE177" s="125"/>
      <c r="XEF177" s="125"/>
      <c r="XEG177" s="125"/>
      <c r="XEH177" s="125"/>
      <c r="XEI177" s="125"/>
      <c r="XEJ177" s="125"/>
      <c r="XEK177" s="125"/>
      <c r="XEL177" s="125"/>
      <c r="XEM177" s="125"/>
      <c r="XEN177" s="125"/>
      <c r="XEO177" s="125"/>
      <c r="XEP177" s="125"/>
      <c r="XEQ177" s="125"/>
      <c r="XER177" s="125"/>
      <c r="XES177" s="125"/>
      <c r="XET177" s="125"/>
      <c r="XEU177" s="125"/>
      <c r="XEV177" s="125"/>
      <c r="XEW177" s="125"/>
      <c r="XEX177" s="125"/>
      <c r="XEY177" s="125"/>
      <c r="XEZ177" s="125"/>
      <c r="XFA177" s="125"/>
      <c r="XFB177" s="125"/>
      <c r="XFC177" s="125"/>
    </row>
    <row r="178" spans="1:16383" ht="25.5" customHeight="1" x14ac:dyDescent="0.2">
      <c r="A178" s="74">
        <v>176</v>
      </c>
      <c r="B178" s="20" t="s">
        <v>1191</v>
      </c>
      <c r="C178" s="9" t="s">
        <v>188</v>
      </c>
      <c r="D178" s="16" t="s">
        <v>432</v>
      </c>
      <c r="E178" s="9" t="s">
        <v>214</v>
      </c>
      <c r="F178" s="155">
        <v>543982</v>
      </c>
      <c r="G178" s="77" t="s">
        <v>817</v>
      </c>
      <c r="H178" s="111">
        <v>16</v>
      </c>
      <c r="I178" s="111">
        <v>352</v>
      </c>
      <c r="J178" s="111">
        <f>I178*3</f>
        <v>1056</v>
      </c>
      <c r="K178" s="111">
        <v>896</v>
      </c>
      <c r="L178" s="111">
        <v>12200</v>
      </c>
      <c r="M178" s="111"/>
      <c r="N178" s="111"/>
      <c r="O178" s="111"/>
      <c r="P178" s="111"/>
      <c r="Q178" s="111"/>
      <c r="R178" s="111" t="s">
        <v>1693</v>
      </c>
      <c r="S178" s="74" t="s">
        <v>1529</v>
      </c>
      <c r="T178" s="81" t="s">
        <v>1192</v>
      </c>
      <c r="U178" s="132"/>
    </row>
    <row r="179" spans="1:16383" x14ac:dyDescent="0.2">
      <c r="A179" s="73">
        <v>177</v>
      </c>
      <c r="B179" s="81" t="s">
        <v>1202</v>
      </c>
      <c r="C179" s="74" t="s">
        <v>188</v>
      </c>
      <c r="D179" s="110" t="s">
        <v>1108</v>
      </c>
      <c r="E179" s="111" t="s">
        <v>44</v>
      </c>
      <c r="F179" s="156" t="s">
        <v>1741</v>
      </c>
      <c r="G179" s="77" t="s">
        <v>817</v>
      </c>
      <c r="H179" s="111"/>
      <c r="I179" s="111"/>
      <c r="J179" s="111"/>
      <c r="K179" s="111"/>
      <c r="L179" s="111"/>
      <c r="M179" s="111"/>
      <c r="N179" s="111"/>
      <c r="O179" s="111"/>
      <c r="P179" s="111"/>
      <c r="Q179" s="111"/>
      <c r="R179" s="111" t="s">
        <v>1693</v>
      </c>
      <c r="S179" s="111" t="s">
        <v>1529</v>
      </c>
      <c r="T179" s="81" t="s">
        <v>1742</v>
      </c>
      <c r="U179" s="132" t="s">
        <v>1696</v>
      </c>
    </row>
    <row r="180" spans="1:16383" ht="51" x14ac:dyDescent="0.2">
      <c r="A180" s="74">
        <v>178</v>
      </c>
      <c r="B180" s="20" t="s">
        <v>1195</v>
      </c>
      <c r="C180" s="9" t="s">
        <v>203</v>
      </c>
      <c r="D180" s="16" t="s">
        <v>160</v>
      </c>
      <c r="E180" s="9" t="s">
        <v>44</v>
      </c>
      <c r="F180" s="9" t="s">
        <v>1196</v>
      </c>
      <c r="G180" s="77" t="s">
        <v>817</v>
      </c>
      <c r="H180" s="111"/>
      <c r="I180" s="111"/>
      <c r="J180" s="111"/>
      <c r="K180" s="111"/>
      <c r="L180" s="111"/>
      <c r="M180" s="111">
        <v>80000</v>
      </c>
      <c r="N180" s="111"/>
      <c r="O180" s="111"/>
      <c r="P180" s="111"/>
      <c r="Q180" s="111"/>
      <c r="R180" s="111" t="s">
        <v>1693</v>
      </c>
      <c r="S180" s="111"/>
      <c r="T180" s="157" t="s">
        <v>1743</v>
      </c>
      <c r="U180" s="132"/>
    </row>
    <row r="181" spans="1:16383" s="125" customFormat="1" x14ac:dyDescent="0.2">
      <c r="A181" s="73">
        <v>179</v>
      </c>
      <c r="B181" s="20" t="s">
        <v>1198</v>
      </c>
      <c r="C181" s="74" t="s">
        <v>188</v>
      </c>
      <c r="D181" s="73" t="s">
        <v>490</v>
      </c>
      <c r="E181" s="74" t="s">
        <v>437</v>
      </c>
      <c r="F181" s="152">
        <v>546758</v>
      </c>
      <c r="G181" s="74" t="s">
        <v>817</v>
      </c>
      <c r="H181" s="74">
        <v>2</v>
      </c>
      <c r="I181" s="74">
        <v>8</v>
      </c>
      <c r="J181" s="74">
        <v>24</v>
      </c>
      <c r="K181" s="74">
        <v>32</v>
      </c>
      <c r="L181" s="74">
        <v>6568</v>
      </c>
      <c r="M181" s="74"/>
      <c r="N181" s="74"/>
      <c r="O181" s="74"/>
      <c r="P181" s="74"/>
      <c r="Q181" s="74"/>
      <c r="R181" s="111" t="s">
        <v>1693</v>
      </c>
      <c r="S181" s="111" t="s">
        <v>1529</v>
      </c>
      <c r="T181" s="130"/>
      <c r="U181" s="84"/>
    </row>
    <row r="182" spans="1:16383" x14ac:dyDescent="0.2">
      <c r="A182" s="74">
        <v>180</v>
      </c>
      <c r="B182" s="20" t="s">
        <v>1200</v>
      </c>
      <c r="C182" s="74" t="str">
        <f>VLOOKUP(B182,'Cấp phát TN'!C3:G1048575,2,FALSE)</f>
        <v>DVKH</v>
      </c>
      <c r="D182" s="110" t="str">
        <f>VLOOKUP(B182,'Cấp phát TN'!C3:G1048575,3,FALSE)</f>
        <v>trongtd1</v>
      </c>
      <c r="E182" s="111" t="str">
        <f>VLOOKUP(B182,'Cấp phát TN'!C3:G1048575,4,FALSE)</f>
        <v>ductn</v>
      </c>
      <c r="F182" s="74">
        <f>VLOOKUP(B182,'Cấp phát TN'!C1:G1048575,5,FALSE)</f>
        <v>544219</v>
      </c>
      <c r="G182" s="111" t="s">
        <v>817</v>
      </c>
      <c r="H182" s="111">
        <v>3</v>
      </c>
      <c r="I182" s="111">
        <v>12</v>
      </c>
      <c r="J182" s="111">
        <v>36</v>
      </c>
      <c r="K182" s="111">
        <f>18*3</f>
        <v>54</v>
      </c>
      <c r="L182" s="111">
        <f>(60+214)*3</f>
        <v>822</v>
      </c>
      <c r="M182" s="111"/>
      <c r="N182" s="111"/>
      <c r="O182" s="111"/>
      <c r="P182" s="111"/>
      <c r="Q182" s="111"/>
      <c r="R182" s="111" t="s">
        <v>1693</v>
      </c>
      <c r="S182" s="111" t="s">
        <v>1529</v>
      </c>
      <c r="T182" s="81"/>
      <c r="U182" s="132"/>
    </row>
    <row r="183" spans="1:16383" x14ac:dyDescent="0.2">
      <c r="A183" s="73">
        <v>181</v>
      </c>
      <c r="B183" s="101" t="s">
        <v>1205</v>
      </c>
      <c r="C183" s="9" t="s">
        <v>980</v>
      </c>
      <c r="D183" s="16" t="s">
        <v>129</v>
      </c>
      <c r="E183" s="9" t="s">
        <v>25</v>
      </c>
      <c r="F183" s="152" t="s">
        <v>1744</v>
      </c>
      <c r="G183" s="111" t="s">
        <v>817</v>
      </c>
      <c r="H183" s="111">
        <v>6</v>
      </c>
      <c r="I183" s="111"/>
      <c r="J183" s="111"/>
      <c r="K183" s="111">
        <f>22*6</f>
        <v>132</v>
      </c>
      <c r="L183" s="111"/>
      <c r="M183" s="111"/>
      <c r="N183" s="111"/>
      <c r="O183" s="111"/>
      <c r="P183" s="111"/>
      <c r="Q183" s="111"/>
      <c r="R183" s="111"/>
      <c r="S183" s="111"/>
      <c r="T183" s="81" t="s">
        <v>1499</v>
      </c>
      <c r="U183" s="132"/>
    </row>
    <row r="184" spans="1:16383" x14ac:dyDescent="0.2">
      <c r="A184" s="74">
        <v>182</v>
      </c>
      <c r="B184" s="57" t="s">
        <v>1208</v>
      </c>
      <c r="C184" s="9" t="s">
        <v>794</v>
      </c>
      <c r="D184" s="16" t="s">
        <v>54</v>
      </c>
      <c r="E184" s="9" t="s">
        <v>25</v>
      </c>
      <c r="F184" s="152" t="s">
        <v>1745</v>
      </c>
      <c r="G184" s="111" t="s">
        <v>817</v>
      </c>
      <c r="H184" s="111">
        <v>4</v>
      </c>
      <c r="I184" s="111">
        <f>4*2+8*2</f>
        <v>24</v>
      </c>
      <c r="J184" s="111">
        <f>I184*3</f>
        <v>72</v>
      </c>
      <c r="K184" s="111">
        <v>178</v>
      </c>
      <c r="L184" s="111">
        <f>203*2+1285*2</f>
        <v>2976</v>
      </c>
      <c r="M184" s="111">
        <v>309</v>
      </c>
      <c r="N184" s="111"/>
      <c r="O184" s="111"/>
      <c r="P184" s="111"/>
      <c r="Q184" s="111"/>
      <c r="R184" s="111" t="s">
        <v>1497</v>
      </c>
      <c r="S184" s="111" t="s">
        <v>1509</v>
      </c>
      <c r="T184" s="81"/>
      <c r="U184" s="81"/>
    </row>
    <row r="185" spans="1:16383" x14ac:dyDescent="0.2">
      <c r="A185" s="73">
        <v>183</v>
      </c>
      <c r="B185" s="57" t="s">
        <v>1211</v>
      </c>
      <c r="C185" s="9" t="s">
        <v>188</v>
      </c>
      <c r="D185" s="16" t="s">
        <v>106</v>
      </c>
      <c r="E185" s="9" t="s">
        <v>44</v>
      </c>
      <c r="F185" s="16">
        <v>544639</v>
      </c>
      <c r="G185" s="111" t="s">
        <v>817</v>
      </c>
      <c r="H185" s="111">
        <v>9</v>
      </c>
      <c r="I185" s="111">
        <v>36</v>
      </c>
      <c r="J185" s="111">
        <v>108</v>
      </c>
      <c r="K185" s="111">
        <v>288</v>
      </c>
      <c r="L185" s="111">
        <v>1780</v>
      </c>
      <c r="M185" s="111"/>
      <c r="N185" s="111"/>
      <c r="O185" s="111"/>
      <c r="P185" s="111"/>
      <c r="Q185" s="111"/>
      <c r="R185" s="74" t="s">
        <v>1497</v>
      </c>
      <c r="S185" s="74" t="s">
        <v>1509</v>
      </c>
      <c r="T185" s="81" t="s">
        <v>1505</v>
      </c>
      <c r="U185" s="132" t="s">
        <v>1696</v>
      </c>
      <c r="V185" s="129"/>
      <c r="W185" s="125"/>
      <c r="X185" s="125"/>
      <c r="Y185" s="125"/>
      <c r="Z185" s="125"/>
      <c r="AA185" s="125"/>
      <c r="AB185" s="125"/>
      <c r="AC185" s="125"/>
      <c r="AD185" s="125"/>
      <c r="AE185" s="125"/>
      <c r="AF185" s="125"/>
      <c r="AG185" s="125"/>
      <c r="AH185" s="125"/>
      <c r="AI185" s="125"/>
      <c r="AJ185" s="125"/>
      <c r="AK185" s="125"/>
      <c r="AL185" s="125"/>
      <c r="AM185" s="125"/>
      <c r="AN185" s="125"/>
      <c r="AO185" s="125"/>
      <c r="AP185" s="125"/>
      <c r="AQ185" s="125"/>
      <c r="AR185" s="125"/>
      <c r="AS185" s="125"/>
      <c r="AT185" s="125"/>
      <c r="AU185" s="125"/>
      <c r="AV185" s="125"/>
      <c r="AW185" s="125"/>
      <c r="AX185" s="125"/>
      <c r="AY185" s="125"/>
      <c r="AZ185" s="125"/>
      <c r="BA185" s="125"/>
      <c r="BB185" s="125"/>
      <c r="BC185" s="125"/>
      <c r="BD185" s="125"/>
      <c r="BE185" s="125"/>
      <c r="BF185" s="125"/>
      <c r="BG185" s="125"/>
      <c r="BH185" s="125"/>
      <c r="BI185" s="125"/>
      <c r="BJ185" s="125"/>
      <c r="BK185" s="125"/>
      <c r="BL185" s="125"/>
      <c r="BM185" s="125"/>
      <c r="BN185" s="125"/>
      <c r="BO185" s="125"/>
      <c r="BP185" s="125"/>
      <c r="BQ185" s="125"/>
      <c r="BR185" s="125"/>
      <c r="BS185" s="125"/>
      <c r="BT185" s="125"/>
      <c r="BU185" s="125"/>
      <c r="BV185" s="125"/>
      <c r="BW185" s="125"/>
      <c r="BX185" s="125"/>
      <c r="BY185" s="125"/>
      <c r="BZ185" s="125"/>
      <c r="CA185" s="125"/>
      <c r="CB185" s="125"/>
      <c r="CC185" s="125"/>
      <c r="CD185" s="125"/>
      <c r="CE185" s="125"/>
      <c r="CF185" s="125"/>
      <c r="CG185" s="125"/>
      <c r="CH185" s="125"/>
      <c r="CI185" s="125"/>
      <c r="CJ185" s="125"/>
      <c r="CK185" s="125"/>
      <c r="CL185" s="125"/>
      <c r="CM185" s="125"/>
      <c r="CN185" s="125"/>
      <c r="CO185" s="125"/>
      <c r="CP185" s="125"/>
      <c r="CQ185" s="125"/>
      <c r="CR185" s="125"/>
      <c r="CS185" s="125"/>
      <c r="CT185" s="125"/>
      <c r="CU185" s="125"/>
      <c r="CV185" s="125"/>
      <c r="CW185" s="125"/>
      <c r="CX185" s="125"/>
      <c r="CY185" s="125"/>
      <c r="CZ185" s="125"/>
      <c r="DA185" s="125"/>
      <c r="DB185" s="125"/>
      <c r="DC185" s="125"/>
      <c r="DD185" s="125"/>
      <c r="DE185" s="125"/>
      <c r="DF185" s="125"/>
      <c r="DG185" s="125"/>
      <c r="DH185" s="125"/>
      <c r="DI185" s="125"/>
      <c r="DJ185" s="125"/>
      <c r="DK185" s="125"/>
      <c r="DL185" s="125"/>
      <c r="DM185" s="125"/>
      <c r="DN185" s="125"/>
      <c r="DO185" s="125"/>
      <c r="DP185" s="125"/>
      <c r="DQ185" s="125"/>
      <c r="DR185" s="125"/>
      <c r="DS185" s="125"/>
      <c r="DT185" s="125"/>
      <c r="DU185" s="125"/>
      <c r="DV185" s="125"/>
      <c r="DW185" s="125"/>
      <c r="DX185" s="125"/>
      <c r="DY185" s="125"/>
      <c r="DZ185" s="125"/>
      <c r="EA185" s="125"/>
      <c r="EB185" s="125"/>
      <c r="EC185" s="125"/>
      <c r="ED185" s="125"/>
      <c r="EE185" s="125"/>
      <c r="EF185" s="125"/>
      <c r="EG185" s="125"/>
      <c r="EH185" s="125"/>
      <c r="EI185" s="125"/>
      <c r="EJ185" s="125"/>
      <c r="EK185" s="125"/>
      <c r="EL185" s="125"/>
      <c r="EM185" s="125"/>
      <c r="EN185" s="125"/>
      <c r="EO185" s="125"/>
      <c r="EP185" s="125"/>
      <c r="EQ185" s="125"/>
      <c r="ER185" s="125"/>
      <c r="ES185" s="125"/>
      <c r="ET185" s="125"/>
      <c r="EU185" s="125"/>
      <c r="EV185" s="125"/>
      <c r="EW185" s="125"/>
      <c r="EX185" s="125"/>
      <c r="EY185" s="125"/>
      <c r="EZ185" s="125"/>
      <c r="FA185" s="125"/>
      <c r="FB185" s="125"/>
      <c r="FC185" s="125"/>
      <c r="FD185" s="125"/>
      <c r="FE185" s="125"/>
      <c r="FF185" s="125"/>
      <c r="FG185" s="125"/>
      <c r="FH185" s="125"/>
      <c r="FI185" s="125"/>
      <c r="FJ185" s="125"/>
      <c r="FK185" s="125"/>
      <c r="FL185" s="125"/>
      <c r="FM185" s="125"/>
      <c r="FN185" s="125"/>
      <c r="FO185" s="125"/>
      <c r="FP185" s="125"/>
      <c r="FQ185" s="125"/>
      <c r="FR185" s="125"/>
      <c r="FS185" s="125"/>
      <c r="FT185" s="125"/>
      <c r="FU185" s="125"/>
      <c r="FV185" s="125"/>
      <c r="FW185" s="125"/>
      <c r="FX185" s="125"/>
      <c r="FY185" s="125"/>
      <c r="FZ185" s="125"/>
      <c r="GA185" s="125"/>
      <c r="GB185" s="125"/>
      <c r="GC185" s="125"/>
      <c r="GD185" s="125"/>
      <c r="GE185" s="125"/>
      <c r="GF185" s="125"/>
      <c r="GG185" s="125"/>
      <c r="GH185" s="125"/>
      <c r="GI185" s="125"/>
      <c r="GJ185" s="125"/>
      <c r="GK185" s="125"/>
      <c r="GL185" s="125"/>
      <c r="GM185" s="125"/>
      <c r="GN185" s="125"/>
      <c r="GO185" s="125"/>
      <c r="GP185" s="125"/>
      <c r="GQ185" s="125"/>
      <c r="GR185" s="125"/>
      <c r="GS185" s="125"/>
      <c r="GT185" s="125"/>
      <c r="GU185" s="125"/>
      <c r="GV185" s="125"/>
      <c r="GW185" s="125"/>
      <c r="GX185" s="125"/>
      <c r="GY185" s="125"/>
      <c r="GZ185" s="125"/>
      <c r="HA185" s="125"/>
      <c r="HB185" s="125"/>
      <c r="HC185" s="125"/>
      <c r="HD185" s="125"/>
      <c r="HE185" s="125"/>
      <c r="HF185" s="125"/>
      <c r="HG185" s="125"/>
      <c r="HH185" s="125"/>
      <c r="HI185" s="125"/>
      <c r="HJ185" s="125"/>
      <c r="HK185" s="125"/>
      <c r="HL185" s="125"/>
      <c r="HM185" s="125"/>
      <c r="HN185" s="125"/>
      <c r="HO185" s="125"/>
      <c r="HP185" s="125"/>
      <c r="HQ185" s="125"/>
      <c r="HR185" s="125"/>
      <c r="HS185" s="125"/>
      <c r="HT185" s="125"/>
      <c r="HU185" s="125"/>
      <c r="HV185" s="125"/>
      <c r="HW185" s="125"/>
      <c r="HX185" s="125"/>
      <c r="HY185" s="125"/>
      <c r="HZ185" s="125"/>
      <c r="IA185" s="125"/>
      <c r="IB185" s="125"/>
      <c r="IC185" s="125"/>
      <c r="ID185" s="125"/>
      <c r="IE185" s="125"/>
      <c r="IF185" s="125"/>
      <c r="IG185" s="125"/>
      <c r="IH185" s="125"/>
      <c r="II185" s="125"/>
      <c r="IJ185" s="125"/>
      <c r="IK185" s="125"/>
      <c r="IL185" s="125"/>
      <c r="IM185" s="125"/>
      <c r="IN185" s="125"/>
      <c r="IO185" s="125"/>
      <c r="IP185" s="125"/>
      <c r="IQ185" s="125"/>
      <c r="IR185" s="125"/>
      <c r="IS185" s="125"/>
      <c r="IT185" s="125"/>
      <c r="IU185" s="125"/>
      <c r="IV185" s="125"/>
      <c r="IW185" s="125"/>
      <c r="IX185" s="125"/>
      <c r="IY185" s="125"/>
      <c r="IZ185" s="125"/>
      <c r="JA185" s="125"/>
      <c r="JB185" s="125"/>
      <c r="JC185" s="125"/>
      <c r="JD185" s="125"/>
      <c r="JE185" s="125"/>
      <c r="JF185" s="125"/>
      <c r="JG185" s="125"/>
      <c r="JH185" s="125"/>
      <c r="JI185" s="125"/>
      <c r="JJ185" s="125"/>
      <c r="JK185" s="125"/>
      <c r="JL185" s="125"/>
      <c r="JM185" s="125"/>
      <c r="JN185" s="125"/>
      <c r="JO185" s="125"/>
      <c r="JP185" s="125"/>
      <c r="JQ185" s="125"/>
      <c r="JR185" s="125"/>
      <c r="JS185" s="125"/>
      <c r="JT185" s="125"/>
      <c r="JU185" s="125"/>
      <c r="JV185" s="125"/>
      <c r="JW185" s="125"/>
      <c r="JX185" s="125"/>
      <c r="JY185" s="125"/>
      <c r="JZ185" s="125"/>
      <c r="KA185" s="125"/>
      <c r="KB185" s="125"/>
      <c r="KC185" s="125"/>
      <c r="KD185" s="125"/>
      <c r="KE185" s="125"/>
      <c r="KF185" s="125"/>
      <c r="KG185" s="125"/>
      <c r="KH185" s="125"/>
      <c r="KI185" s="125"/>
      <c r="KJ185" s="125"/>
      <c r="KK185" s="125"/>
      <c r="KL185" s="125"/>
      <c r="KM185" s="125"/>
      <c r="KN185" s="125"/>
      <c r="KO185" s="125"/>
      <c r="KP185" s="125"/>
      <c r="KQ185" s="125"/>
      <c r="KR185" s="125"/>
      <c r="KS185" s="125"/>
      <c r="KT185" s="125"/>
      <c r="KU185" s="125"/>
      <c r="KV185" s="125"/>
      <c r="KW185" s="125"/>
      <c r="KX185" s="125"/>
      <c r="KY185" s="125"/>
      <c r="KZ185" s="125"/>
      <c r="LA185" s="125"/>
      <c r="LB185" s="125"/>
      <c r="LC185" s="125"/>
      <c r="LD185" s="125"/>
      <c r="LE185" s="125"/>
      <c r="LF185" s="125"/>
      <c r="LG185" s="125"/>
      <c r="LH185" s="125"/>
      <c r="LI185" s="125"/>
      <c r="LJ185" s="125"/>
      <c r="LK185" s="125"/>
      <c r="LL185" s="125"/>
      <c r="LM185" s="125"/>
      <c r="LN185" s="125"/>
      <c r="LO185" s="125"/>
      <c r="LP185" s="125"/>
      <c r="LQ185" s="125"/>
      <c r="LR185" s="125"/>
      <c r="LS185" s="125"/>
      <c r="LT185" s="125"/>
      <c r="LU185" s="125"/>
      <c r="LV185" s="125"/>
      <c r="LW185" s="125"/>
      <c r="LX185" s="125"/>
      <c r="LY185" s="125"/>
      <c r="LZ185" s="125"/>
      <c r="MA185" s="125"/>
      <c r="MB185" s="125"/>
      <c r="MC185" s="125"/>
      <c r="MD185" s="125"/>
      <c r="ME185" s="125"/>
      <c r="MF185" s="125"/>
      <c r="MG185" s="125"/>
      <c r="MH185" s="125"/>
      <c r="MI185" s="125"/>
      <c r="MJ185" s="125"/>
      <c r="MK185" s="125"/>
      <c r="ML185" s="125"/>
      <c r="MM185" s="125"/>
      <c r="MN185" s="125"/>
      <c r="MO185" s="125"/>
      <c r="MP185" s="125"/>
      <c r="MQ185" s="125"/>
      <c r="MR185" s="125"/>
      <c r="MS185" s="125"/>
      <c r="MT185" s="125"/>
      <c r="MU185" s="125"/>
      <c r="MV185" s="125"/>
      <c r="MW185" s="125"/>
      <c r="MX185" s="125"/>
      <c r="MY185" s="125"/>
      <c r="MZ185" s="125"/>
      <c r="NA185" s="125"/>
      <c r="NB185" s="125"/>
      <c r="NC185" s="125"/>
      <c r="ND185" s="125"/>
      <c r="NE185" s="125"/>
      <c r="NF185" s="125"/>
      <c r="NG185" s="125"/>
      <c r="NH185" s="125"/>
      <c r="NI185" s="125"/>
      <c r="NJ185" s="125"/>
      <c r="NK185" s="125"/>
      <c r="NL185" s="125"/>
      <c r="NM185" s="125"/>
      <c r="NN185" s="125"/>
      <c r="NO185" s="125"/>
      <c r="NP185" s="125"/>
      <c r="NQ185" s="125"/>
      <c r="NR185" s="125"/>
      <c r="NS185" s="125"/>
      <c r="NT185" s="125"/>
      <c r="NU185" s="125"/>
      <c r="NV185" s="125"/>
      <c r="NW185" s="125"/>
      <c r="NX185" s="125"/>
      <c r="NY185" s="125"/>
      <c r="NZ185" s="125"/>
      <c r="OA185" s="125"/>
      <c r="OB185" s="125"/>
      <c r="OC185" s="125"/>
      <c r="OD185" s="125"/>
      <c r="OE185" s="125"/>
      <c r="OF185" s="125"/>
      <c r="OG185" s="125"/>
      <c r="OH185" s="125"/>
      <c r="OI185" s="125"/>
      <c r="OJ185" s="125"/>
      <c r="OK185" s="125"/>
      <c r="OL185" s="125"/>
      <c r="OM185" s="125"/>
      <c r="ON185" s="125"/>
      <c r="OO185" s="125"/>
      <c r="OP185" s="125"/>
      <c r="OQ185" s="125"/>
      <c r="OR185" s="125"/>
      <c r="OS185" s="125"/>
      <c r="OT185" s="125"/>
      <c r="OU185" s="125"/>
      <c r="OV185" s="125"/>
      <c r="OW185" s="125"/>
      <c r="OX185" s="125"/>
      <c r="OY185" s="125"/>
      <c r="OZ185" s="125"/>
      <c r="PA185" s="125"/>
      <c r="PB185" s="125"/>
      <c r="PC185" s="125"/>
      <c r="PD185" s="125"/>
      <c r="PE185" s="125"/>
      <c r="PF185" s="125"/>
      <c r="PG185" s="125"/>
      <c r="PH185" s="125"/>
      <c r="PI185" s="125"/>
      <c r="PJ185" s="125"/>
      <c r="PK185" s="125"/>
      <c r="PL185" s="125"/>
      <c r="PM185" s="125"/>
      <c r="PN185" s="125"/>
      <c r="PO185" s="125"/>
      <c r="PP185" s="125"/>
      <c r="PQ185" s="125"/>
      <c r="PR185" s="125"/>
      <c r="PS185" s="125"/>
      <c r="PT185" s="125"/>
      <c r="PU185" s="125"/>
      <c r="PV185" s="125"/>
      <c r="PW185" s="125"/>
      <c r="PX185" s="125"/>
      <c r="PY185" s="125"/>
      <c r="PZ185" s="125"/>
      <c r="QA185" s="125"/>
      <c r="QB185" s="125"/>
      <c r="QC185" s="125"/>
      <c r="QD185" s="125"/>
      <c r="QE185" s="125"/>
      <c r="QF185" s="125"/>
      <c r="QG185" s="125"/>
      <c r="QH185" s="125"/>
      <c r="QI185" s="125"/>
      <c r="QJ185" s="125"/>
      <c r="QK185" s="125"/>
      <c r="QL185" s="125"/>
      <c r="QM185" s="125"/>
      <c r="QN185" s="125"/>
      <c r="QO185" s="125"/>
      <c r="QP185" s="125"/>
      <c r="QQ185" s="125"/>
      <c r="QR185" s="125"/>
      <c r="QS185" s="125"/>
      <c r="QT185" s="125"/>
      <c r="QU185" s="125"/>
      <c r="QV185" s="125"/>
      <c r="QW185" s="125"/>
      <c r="QX185" s="125"/>
      <c r="QY185" s="125"/>
      <c r="QZ185" s="125"/>
      <c r="RA185" s="125"/>
      <c r="RB185" s="125"/>
      <c r="RC185" s="125"/>
      <c r="RD185" s="125"/>
      <c r="RE185" s="125"/>
      <c r="RF185" s="125"/>
      <c r="RG185" s="125"/>
      <c r="RH185" s="125"/>
      <c r="RI185" s="125"/>
      <c r="RJ185" s="125"/>
      <c r="RK185" s="125"/>
      <c r="RL185" s="125"/>
      <c r="RM185" s="125"/>
      <c r="RN185" s="125"/>
      <c r="RO185" s="125"/>
      <c r="RP185" s="125"/>
      <c r="RQ185" s="125"/>
      <c r="RR185" s="125"/>
      <c r="RS185" s="125"/>
      <c r="RT185" s="125"/>
      <c r="RU185" s="125"/>
      <c r="RV185" s="125"/>
      <c r="RW185" s="125"/>
      <c r="RX185" s="125"/>
      <c r="RY185" s="125"/>
      <c r="RZ185" s="125"/>
      <c r="SA185" s="125"/>
      <c r="SB185" s="125"/>
      <c r="SC185" s="125"/>
      <c r="SD185" s="125"/>
      <c r="SE185" s="125"/>
      <c r="SF185" s="125"/>
      <c r="SG185" s="125"/>
      <c r="SH185" s="125"/>
      <c r="SI185" s="125"/>
      <c r="SJ185" s="125"/>
      <c r="SK185" s="125"/>
      <c r="SL185" s="125"/>
      <c r="SM185" s="125"/>
      <c r="SN185" s="125"/>
      <c r="SO185" s="125"/>
      <c r="SP185" s="125"/>
      <c r="SQ185" s="125"/>
      <c r="SR185" s="125"/>
      <c r="SS185" s="125"/>
      <c r="ST185" s="125"/>
      <c r="SU185" s="125"/>
      <c r="SV185" s="125"/>
      <c r="SW185" s="125"/>
      <c r="SX185" s="125"/>
      <c r="SY185" s="125"/>
      <c r="SZ185" s="125"/>
      <c r="TA185" s="125"/>
      <c r="TB185" s="125"/>
      <c r="TC185" s="125"/>
      <c r="TD185" s="125"/>
      <c r="TE185" s="125"/>
      <c r="TF185" s="125"/>
      <c r="TG185" s="125"/>
      <c r="TH185" s="125"/>
      <c r="TI185" s="125"/>
      <c r="TJ185" s="125"/>
      <c r="TK185" s="125"/>
      <c r="TL185" s="125"/>
      <c r="TM185" s="125"/>
      <c r="TN185" s="125"/>
      <c r="TO185" s="125"/>
      <c r="TP185" s="125"/>
      <c r="TQ185" s="125"/>
      <c r="TR185" s="125"/>
      <c r="TS185" s="125"/>
      <c r="TT185" s="125"/>
      <c r="TU185" s="125"/>
      <c r="TV185" s="125"/>
      <c r="TW185" s="125"/>
      <c r="TX185" s="125"/>
      <c r="TY185" s="125"/>
      <c r="TZ185" s="125"/>
      <c r="UA185" s="125"/>
      <c r="UB185" s="125"/>
      <c r="UC185" s="125"/>
      <c r="UD185" s="125"/>
      <c r="UE185" s="125"/>
      <c r="UF185" s="125"/>
      <c r="UG185" s="125"/>
      <c r="UH185" s="125"/>
      <c r="UI185" s="125"/>
      <c r="UJ185" s="125"/>
      <c r="UK185" s="125"/>
      <c r="UL185" s="125"/>
      <c r="UM185" s="125"/>
      <c r="UN185" s="125"/>
      <c r="UO185" s="125"/>
      <c r="UP185" s="125"/>
      <c r="UQ185" s="125"/>
      <c r="UR185" s="125"/>
      <c r="US185" s="125"/>
      <c r="UT185" s="125"/>
      <c r="UU185" s="125"/>
      <c r="UV185" s="125"/>
      <c r="UW185" s="125"/>
      <c r="UX185" s="125"/>
      <c r="UY185" s="125"/>
      <c r="UZ185" s="125"/>
      <c r="VA185" s="125"/>
      <c r="VB185" s="125"/>
      <c r="VC185" s="125"/>
      <c r="VD185" s="125"/>
      <c r="VE185" s="125"/>
      <c r="VF185" s="125"/>
      <c r="VG185" s="125"/>
      <c r="VH185" s="125"/>
      <c r="VI185" s="125"/>
      <c r="VJ185" s="125"/>
      <c r="VK185" s="125"/>
      <c r="VL185" s="125"/>
      <c r="VM185" s="125"/>
      <c r="VN185" s="125"/>
      <c r="VO185" s="125"/>
      <c r="VP185" s="125"/>
      <c r="VQ185" s="125"/>
      <c r="VR185" s="125"/>
      <c r="VS185" s="125"/>
      <c r="VT185" s="125"/>
      <c r="VU185" s="125"/>
      <c r="VV185" s="125"/>
      <c r="VW185" s="125"/>
      <c r="VX185" s="125"/>
      <c r="VY185" s="125"/>
      <c r="VZ185" s="125"/>
      <c r="WA185" s="125"/>
      <c r="WB185" s="125"/>
      <c r="WC185" s="125"/>
      <c r="WD185" s="125"/>
      <c r="WE185" s="125"/>
      <c r="WF185" s="125"/>
      <c r="WG185" s="125"/>
      <c r="WH185" s="125"/>
      <c r="WI185" s="125"/>
      <c r="WJ185" s="125"/>
      <c r="WK185" s="125"/>
      <c r="WL185" s="125"/>
      <c r="WM185" s="125"/>
      <c r="WN185" s="125"/>
      <c r="WO185" s="125"/>
      <c r="WP185" s="125"/>
      <c r="WQ185" s="125"/>
      <c r="WR185" s="125"/>
      <c r="WS185" s="125"/>
      <c r="WT185" s="125"/>
      <c r="WU185" s="125"/>
      <c r="WV185" s="125"/>
      <c r="WW185" s="125"/>
      <c r="WX185" s="125"/>
      <c r="WY185" s="125"/>
      <c r="WZ185" s="125"/>
      <c r="XA185" s="125"/>
      <c r="XB185" s="125"/>
      <c r="XC185" s="125"/>
      <c r="XD185" s="125"/>
      <c r="XE185" s="125"/>
      <c r="XF185" s="125"/>
      <c r="XG185" s="125"/>
      <c r="XH185" s="125"/>
      <c r="XI185" s="125"/>
      <c r="XJ185" s="125"/>
      <c r="XK185" s="125"/>
      <c r="XL185" s="125"/>
      <c r="XM185" s="125"/>
      <c r="XN185" s="125"/>
      <c r="XO185" s="125"/>
      <c r="XP185" s="125"/>
      <c r="XQ185" s="125"/>
      <c r="XR185" s="125"/>
      <c r="XS185" s="125"/>
      <c r="XT185" s="125"/>
      <c r="XU185" s="125"/>
      <c r="XV185" s="125"/>
      <c r="XW185" s="125"/>
      <c r="XX185" s="125"/>
      <c r="XY185" s="125"/>
      <c r="XZ185" s="125"/>
      <c r="YA185" s="125"/>
      <c r="YB185" s="125"/>
      <c r="YC185" s="125"/>
      <c r="YD185" s="125"/>
      <c r="YE185" s="125"/>
      <c r="YF185" s="125"/>
      <c r="YG185" s="125"/>
      <c r="YH185" s="125"/>
      <c r="YI185" s="125"/>
      <c r="YJ185" s="125"/>
      <c r="YK185" s="125"/>
      <c r="YL185" s="125"/>
      <c r="YM185" s="125"/>
      <c r="YN185" s="125"/>
      <c r="YO185" s="125"/>
      <c r="YP185" s="125"/>
      <c r="YQ185" s="125"/>
      <c r="YR185" s="125"/>
      <c r="YS185" s="125"/>
      <c r="YT185" s="125"/>
      <c r="YU185" s="125"/>
      <c r="YV185" s="125"/>
      <c r="YW185" s="125"/>
      <c r="YX185" s="125"/>
      <c r="YY185" s="125"/>
      <c r="YZ185" s="125"/>
      <c r="ZA185" s="125"/>
      <c r="ZB185" s="125"/>
      <c r="ZC185" s="125"/>
      <c r="ZD185" s="125"/>
      <c r="ZE185" s="125"/>
      <c r="ZF185" s="125"/>
      <c r="ZG185" s="125"/>
      <c r="ZH185" s="125"/>
      <c r="ZI185" s="125"/>
      <c r="ZJ185" s="125"/>
      <c r="ZK185" s="125"/>
      <c r="ZL185" s="125"/>
      <c r="ZM185" s="125"/>
      <c r="ZN185" s="125"/>
      <c r="ZO185" s="125"/>
      <c r="ZP185" s="125"/>
      <c r="ZQ185" s="125"/>
      <c r="ZR185" s="125"/>
      <c r="ZS185" s="125"/>
      <c r="ZT185" s="125"/>
      <c r="ZU185" s="125"/>
      <c r="ZV185" s="125"/>
      <c r="ZW185" s="125"/>
      <c r="ZX185" s="125"/>
      <c r="ZY185" s="125"/>
      <c r="ZZ185" s="125"/>
      <c r="AAA185" s="125"/>
      <c r="AAB185" s="125"/>
      <c r="AAC185" s="125"/>
      <c r="AAD185" s="125"/>
      <c r="AAE185" s="125"/>
      <c r="AAF185" s="125"/>
      <c r="AAG185" s="125"/>
      <c r="AAH185" s="125"/>
      <c r="AAI185" s="125"/>
      <c r="AAJ185" s="125"/>
      <c r="AAK185" s="125"/>
      <c r="AAL185" s="125"/>
      <c r="AAM185" s="125"/>
      <c r="AAN185" s="125"/>
      <c r="AAO185" s="125"/>
      <c r="AAP185" s="125"/>
      <c r="AAQ185" s="125"/>
      <c r="AAR185" s="125"/>
      <c r="AAS185" s="125"/>
      <c r="AAT185" s="125"/>
      <c r="AAU185" s="125"/>
      <c r="AAV185" s="125"/>
      <c r="AAW185" s="125"/>
      <c r="AAX185" s="125"/>
      <c r="AAY185" s="125"/>
      <c r="AAZ185" s="125"/>
      <c r="ABA185" s="125"/>
      <c r="ABB185" s="125"/>
      <c r="ABC185" s="125"/>
      <c r="ABD185" s="125"/>
      <c r="ABE185" s="125"/>
      <c r="ABF185" s="125"/>
      <c r="ABG185" s="125"/>
      <c r="ABH185" s="125"/>
      <c r="ABI185" s="125"/>
      <c r="ABJ185" s="125"/>
      <c r="ABK185" s="125"/>
      <c r="ABL185" s="125"/>
      <c r="ABM185" s="125"/>
      <c r="ABN185" s="125"/>
      <c r="ABO185" s="125"/>
      <c r="ABP185" s="125"/>
      <c r="ABQ185" s="125"/>
      <c r="ABR185" s="125"/>
      <c r="ABS185" s="125"/>
      <c r="ABT185" s="125"/>
      <c r="ABU185" s="125"/>
      <c r="ABV185" s="125"/>
      <c r="ABW185" s="125"/>
      <c r="ABX185" s="125"/>
      <c r="ABY185" s="125"/>
      <c r="ABZ185" s="125"/>
      <c r="ACA185" s="125"/>
      <c r="ACB185" s="125"/>
      <c r="ACC185" s="125"/>
      <c r="ACD185" s="125"/>
      <c r="ACE185" s="125"/>
      <c r="ACF185" s="125"/>
      <c r="ACG185" s="125"/>
      <c r="ACH185" s="125"/>
      <c r="ACI185" s="125"/>
      <c r="ACJ185" s="125"/>
      <c r="ACK185" s="125"/>
      <c r="ACL185" s="125"/>
      <c r="ACM185" s="125"/>
      <c r="ACN185" s="125"/>
      <c r="ACO185" s="125"/>
      <c r="ACP185" s="125"/>
      <c r="ACQ185" s="125"/>
      <c r="ACR185" s="125"/>
      <c r="ACS185" s="125"/>
      <c r="ACT185" s="125"/>
      <c r="ACU185" s="125"/>
      <c r="ACV185" s="125"/>
      <c r="ACW185" s="125"/>
      <c r="ACX185" s="125"/>
      <c r="ACY185" s="125"/>
      <c r="ACZ185" s="125"/>
      <c r="ADA185" s="125"/>
      <c r="ADB185" s="125"/>
      <c r="ADC185" s="125"/>
      <c r="ADD185" s="125"/>
      <c r="ADE185" s="125"/>
      <c r="ADF185" s="125"/>
      <c r="ADG185" s="125"/>
      <c r="ADH185" s="125"/>
      <c r="ADI185" s="125"/>
      <c r="ADJ185" s="125"/>
      <c r="ADK185" s="125"/>
      <c r="ADL185" s="125"/>
      <c r="ADM185" s="125"/>
      <c r="ADN185" s="125"/>
      <c r="ADO185" s="125"/>
      <c r="ADP185" s="125"/>
      <c r="ADQ185" s="125"/>
      <c r="ADR185" s="125"/>
      <c r="ADS185" s="125"/>
      <c r="ADT185" s="125"/>
      <c r="ADU185" s="125"/>
      <c r="ADV185" s="125"/>
      <c r="ADW185" s="125"/>
      <c r="ADX185" s="125"/>
      <c r="ADY185" s="125"/>
      <c r="ADZ185" s="125"/>
      <c r="AEA185" s="125"/>
      <c r="AEB185" s="125"/>
      <c r="AEC185" s="125"/>
      <c r="AED185" s="125"/>
      <c r="AEE185" s="125"/>
      <c r="AEF185" s="125"/>
      <c r="AEG185" s="125"/>
      <c r="AEH185" s="125"/>
      <c r="AEI185" s="125"/>
      <c r="AEJ185" s="125"/>
      <c r="AEK185" s="125"/>
      <c r="AEL185" s="125"/>
      <c r="AEM185" s="125"/>
      <c r="AEN185" s="125"/>
      <c r="AEO185" s="125"/>
      <c r="AEP185" s="125"/>
      <c r="AEQ185" s="125"/>
      <c r="AER185" s="125"/>
      <c r="AES185" s="125"/>
      <c r="AET185" s="125"/>
      <c r="AEU185" s="125"/>
      <c r="AEV185" s="125"/>
      <c r="AEW185" s="125"/>
      <c r="AEX185" s="125"/>
      <c r="AEY185" s="125"/>
      <c r="AEZ185" s="125"/>
      <c r="AFA185" s="125"/>
      <c r="AFB185" s="125"/>
      <c r="AFC185" s="125"/>
      <c r="AFD185" s="125"/>
      <c r="AFE185" s="125"/>
      <c r="AFF185" s="125"/>
      <c r="AFG185" s="125"/>
      <c r="AFH185" s="125"/>
      <c r="AFI185" s="125"/>
      <c r="AFJ185" s="125"/>
      <c r="AFK185" s="125"/>
      <c r="AFL185" s="125"/>
      <c r="AFM185" s="125"/>
      <c r="AFN185" s="125"/>
      <c r="AFO185" s="125"/>
      <c r="AFP185" s="125"/>
      <c r="AFQ185" s="125"/>
      <c r="AFR185" s="125"/>
      <c r="AFS185" s="125"/>
      <c r="AFT185" s="125"/>
      <c r="AFU185" s="125"/>
      <c r="AFV185" s="125"/>
      <c r="AFW185" s="125"/>
      <c r="AFX185" s="125"/>
      <c r="AFY185" s="125"/>
      <c r="AFZ185" s="125"/>
      <c r="AGA185" s="125"/>
      <c r="AGB185" s="125"/>
      <c r="AGC185" s="125"/>
      <c r="AGD185" s="125"/>
      <c r="AGE185" s="125"/>
      <c r="AGF185" s="125"/>
      <c r="AGG185" s="125"/>
      <c r="AGH185" s="125"/>
      <c r="AGI185" s="125"/>
      <c r="AGJ185" s="125"/>
      <c r="AGK185" s="125"/>
      <c r="AGL185" s="125"/>
      <c r="AGM185" s="125"/>
      <c r="AGN185" s="125"/>
      <c r="AGO185" s="125"/>
      <c r="AGP185" s="125"/>
      <c r="AGQ185" s="125"/>
      <c r="AGR185" s="125"/>
      <c r="AGS185" s="125"/>
      <c r="AGT185" s="125"/>
      <c r="AGU185" s="125"/>
      <c r="AGV185" s="125"/>
      <c r="AGW185" s="125"/>
      <c r="AGX185" s="125"/>
      <c r="AGY185" s="125"/>
      <c r="AGZ185" s="125"/>
      <c r="AHA185" s="125"/>
      <c r="AHB185" s="125"/>
      <c r="AHC185" s="125"/>
      <c r="AHD185" s="125"/>
      <c r="AHE185" s="125"/>
      <c r="AHF185" s="125"/>
      <c r="AHG185" s="125"/>
      <c r="AHH185" s="125"/>
      <c r="AHI185" s="125"/>
      <c r="AHJ185" s="125"/>
      <c r="AHK185" s="125"/>
      <c r="AHL185" s="125"/>
      <c r="AHM185" s="125"/>
      <c r="AHN185" s="125"/>
      <c r="AHO185" s="125"/>
      <c r="AHP185" s="125"/>
      <c r="AHQ185" s="125"/>
      <c r="AHR185" s="125"/>
      <c r="AHS185" s="125"/>
      <c r="AHT185" s="125"/>
      <c r="AHU185" s="125"/>
      <c r="AHV185" s="125"/>
      <c r="AHW185" s="125"/>
      <c r="AHX185" s="125"/>
      <c r="AHY185" s="125"/>
      <c r="AHZ185" s="125"/>
      <c r="AIA185" s="125"/>
      <c r="AIB185" s="125"/>
      <c r="AIC185" s="125"/>
      <c r="AID185" s="125"/>
      <c r="AIE185" s="125"/>
      <c r="AIF185" s="125"/>
      <c r="AIG185" s="125"/>
      <c r="AIH185" s="125"/>
      <c r="AII185" s="125"/>
      <c r="AIJ185" s="125"/>
      <c r="AIK185" s="125"/>
      <c r="AIL185" s="125"/>
      <c r="AIM185" s="125"/>
      <c r="AIN185" s="125"/>
      <c r="AIO185" s="125"/>
      <c r="AIP185" s="125"/>
      <c r="AIQ185" s="125"/>
      <c r="AIR185" s="125"/>
      <c r="AIS185" s="125"/>
      <c r="AIT185" s="125"/>
      <c r="AIU185" s="125"/>
      <c r="AIV185" s="125"/>
      <c r="AIW185" s="125"/>
      <c r="AIX185" s="125"/>
      <c r="AIY185" s="125"/>
      <c r="AIZ185" s="125"/>
      <c r="AJA185" s="125"/>
      <c r="AJB185" s="125"/>
      <c r="AJC185" s="125"/>
      <c r="AJD185" s="125"/>
      <c r="AJE185" s="125"/>
      <c r="AJF185" s="125"/>
      <c r="AJG185" s="125"/>
      <c r="AJH185" s="125"/>
      <c r="AJI185" s="125"/>
      <c r="AJJ185" s="125"/>
      <c r="AJK185" s="125"/>
      <c r="AJL185" s="125"/>
      <c r="AJM185" s="125"/>
      <c r="AJN185" s="125"/>
      <c r="AJO185" s="125"/>
      <c r="AJP185" s="125"/>
      <c r="AJQ185" s="125"/>
      <c r="AJR185" s="125"/>
      <c r="AJS185" s="125"/>
      <c r="AJT185" s="125"/>
      <c r="AJU185" s="125"/>
      <c r="AJV185" s="125"/>
      <c r="AJW185" s="125"/>
      <c r="AJX185" s="125"/>
      <c r="AJY185" s="125"/>
      <c r="AJZ185" s="125"/>
      <c r="AKA185" s="125"/>
      <c r="AKB185" s="125"/>
      <c r="AKC185" s="125"/>
      <c r="AKD185" s="125"/>
      <c r="AKE185" s="125"/>
      <c r="AKF185" s="125"/>
      <c r="AKG185" s="125"/>
      <c r="AKH185" s="125"/>
      <c r="AKI185" s="125"/>
      <c r="AKJ185" s="125"/>
      <c r="AKK185" s="125"/>
      <c r="AKL185" s="125"/>
      <c r="AKM185" s="125"/>
      <c r="AKN185" s="125"/>
      <c r="AKO185" s="125"/>
      <c r="AKP185" s="125"/>
      <c r="AKQ185" s="125"/>
      <c r="AKR185" s="125"/>
      <c r="AKS185" s="125"/>
      <c r="AKT185" s="125"/>
      <c r="AKU185" s="125"/>
      <c r="AKV185" s="125"/>
      <c r="AKW185" s="125"/>
      <c r="AKX185" s="125"/>
      <c r="AKY185" s="125"/>
      <c r="AKZ185" s="125"/>
      <c r="ALA185" s="125"/>
      <c r="ALB185" s="125"/>
      <c r="ALC185" s="125"/>
      <c r="ALD185" s="125"/>
      <c r="ALE185" s="125"/>
      <c r="ALF185" s="125"/>
      <c r="ALG185" s="125"/>
      <c r="ALH185" s="125"/>
      <c r="ALI185" s="125"/>
      <c r="ALJ185" s="125"/>
      <c r="ALK185" s="125"/>
      <c r="ALL185" s="125"/>
      <c r="ALM185" s="125"/>
      <c r="ALN185" s="125"/>
      <c r="ALO185" s="125"/>
      <c r="ALP185" s="125"/>
      <c r="ALQ185" s="125"/>
      <c r="ALR185" s="125"/>
      <c r="ALS185" s="125"/>
      <c r="ALT185" s="125"/>
      <c r="ALU185" s="125"/>
      <c r="ALV185" s="125"/>
      <c r="ALW185" s="125"/>
      <c r="ALX185" s="125"/>
      <c r="ALY185" s="125"/>
      <c r="ALZ185" s="125"/>
      <c r="AMA185" s="125"/>
      <c r="AMB185" s="125"/>
      <c r="AMC185" s="125"/>
      <c r="AMD185" s="125"/>
      <c r="AME185" s="125"/>
      <c r="AMF185" s="125"/>
      <c r="AMG185" s="125"/>
      <c r="AMH185" s="125"/>
      <c r="AMI185" s="125"/>
      <c r="AMJ185" s="125"/>
      <c r="AMK185" s="125"/>
      <c r="AML185" s="125"/>
      <c r="AMM185" s="125"/>
      <c r="AMN185" s="125"/>
      <c r="AMO185" s="125"/>
      <c r="AMP185" s="125"/>
      <c r="AMQ185" s="125"/>
      <c r="AMR185" s="125"/>
      <c r="AMS185" s="125"/>
      <c r="AMT185" s="125"/>
      <c r="AMU185" s="125"/>
      <c r="AMV185" s="125"/>
      <c r="AMW185" s="125"/>
      <c r="AMX185" s="125"/>
      <c r="AMY185" s="125"/>
      <c r="AMZ185" s="125"/>
      <c r="ANA185" s="125"/>
      <c r="ANB185" s="125"/>
      <c r="ANC185" s="125"/>
      <c r="AND185" s="125"/>
      <c r="ANE185" s="125"/>
      <c r="ANF185" s="125"/>
      <c r="ANG185" s="125"/>
      <c r="ANH185" s="125"/>
      <c r="ANI185" s="125"/>
      <c r="ANJ185" s="125"/>
      <c r="ANK185" s="125"/>
      <c r="ANL185" s="125"/>
      <c r="ANM185" s="125"/>
      <c r="ANN185" s="125"/>
      <c r="ANO185" s="125"/>
      <c r="ANP185" s="125"/>
      <c r="ANQ185" s="125"/>
      <c r="ANR185" s="125"/>
      <c r="ANS185" s="125"/>
      <c r="ANT185" s="125"/>
      <c r="ANU185" s="125"/>
      <c r="ANV185" s="125"/>
      <c r="ANW185" s="125"/>
      <c r="ANX185" s="125"/>
      <c r="ANY185" s="125"/>
      <c r="ANZ185" s="125"/>
      <c r="AOA185" s="125"/>
      <c r="AOB185" s="125"/>
      <c r="AOC185" s="125"/>
      <c r="AOD185" s="125"/>
      <c r="AOE185" s="125"/>
      <c r="AOF185" s="125"/>
      <c r="AOG185" s="125"/>
      <c r="AOH185" s="125"/>
      <c r="AOI185" s="125"/>
      <c r="AOJ185" s="125"/>
      <c r="AOK185" s="125"/>
      <c r="AOL185" s="125"/>
      <c r="AOM185" s="125"/>
      <c r="AON185" s="125"/>
      <c r="AOO185" s="125"/>
      <c r="AOP185" s="125"/>
      <c r="AOQ185" s="125"/>
      <c r="AOR185" s="125"/>
      <c r="AOS185" s="125"/>
      <c r="AOT185" s="125"/>
      <c r="AOU185" s="125"/>
      <c r="AOV185" s="125"/>
      <c r="AOW185" s="125"/>
      <c r="AOX185" s="125"/>
      <c r="AOY185" s="125"/>
      <c r="AOZ185" s="125"/>
      <c r="APA185" s="125"/>
      <c r="APB185" s="125"/>
      <c r="APC185" s="125"/>
      <c r="APD185" s="125"/>
      <c r="APE185" s="125"/>
      <c r="APF185" s="125"/>
      <c r="APG185" s="125"/>
      <c r="APH185" s="125"/>
      <c r="API185" s="125"/>
      <c r="APJ185" s="125"/>
      <c r="APK185" s="125"/>
      <c r="APL185" s="125"/>
      <c r="APM185" s="125"/>
      <c r="APN185" s="125"/>
      <c r="APO185" s="125"/>
      <c r="APP185" s="125"/>
      <c r="APQ185" s="125"/>
      <c r="APR185" s="125"/>
      <c r="APS185" s="125"/>
      <c r="APT185" s="125"/>
      <c r="APU185" s="125"/>
      <c r="APV185" s="125"/>
      <c r="APW185" s="125"/>
      <c r="APX185" s="125"/>
      <c r="APY185" s="125"/>
      <c r="APZ185" s="125"/>
      <c r="AQA185" s="125"/>
      <c r="AQB185" s="125"/>
      <c r="AQC185" s="125"/>
      <c r="AQD185" s="125"/>
      <c r="AQE185" s="125"/>
      <c r="AQF185" s="125"/>
      <c r="AQG185" s="125"/>
      <c r="AQH185" s="125"/>
      <c r="AQI185" s="125"/>
      <c r="AQJ185" s="125"/>
      <c r="AQK185" s="125"/>
      <c r="AQL185" s="125"/>
      <c r="AQM185" s="125"/>
      <c r="AQN185" s="125"/>
      <c r="AQO185" s="125"/>
      <c r="AQP185" s="125"/>
      <c r="AQQ185" s="125"/>
      <c r="AQR185" s="125"/>
      <c r="AQS185" s="125"/>
      <c r="AQT185" s="125"/>
      <c r="AQU185" s="125"/>
      <c r="AQV185" s="125"/>
      <c r="AQW185" s="125"/>
      <c r="AQX185" s="125"/>
      <c r="AQY185" s="125"/>
      <c r="AQZ185" s="125"/>
      <c r="ARA185" s="125"/>
      <c r="ARB185" s="125"/>
      <c r="ARC185" s="125"/>
      <c r="ARD185" s="125"/>
      <c r="ARE185" s="125"/>
      <c r="ARF185" s="125"/>
      <c r="ARG185" s="125"/>
      <c r="ARH185" s="125"/>
      <c r="ARI185" s="125"/>
      <c r="ARJ185" s="125"/>
      <c r="ARK185" s="125"/>
      <c r="ARL185" s="125"/>
      <c r="ARM185" s="125"/>
      <c r="ARN185" s="125"/>
      <c r="ARO185" s="125"/>
      <c r="ARP185" s="125"/>
      <c r="ARQ185" s="125"/>
      <c r="ARR185" s="125"/>
      <c r="ARS185" s="125"/>
      <c r="ART185" s="125"/>
      <c r="ARU185" s="125"/>
      <c r="ARV185" s="125"/>
      <c r="ARW185" s="125"/>
      <c r="ARX185" s="125"/>
      <c r="ARY185" s="125"/>
      <c r="ARZ185" s="125"/>
      <c r="ASA185" s="125"/>
      <c r="ASB185" s="125"/>
      <c r="ASC185" s="125"/>
      <c r="ASD185" s="125"/>
      <c r="ASE185" s="125"/>
      <c r="ASF185" s="125"/>
      <c r="ASG185" s="125"/>
      <c r="ASH185" s="125"/>
      <c r="ASI185" s="125"/>
      <c r="ASJ185" s="125"/>
      <c r="ASK185" s="125"/>
      <c r="ASL185" s="125"/>
      <c r="ASM185" s="125"/>
      <c r="ASN185" s="125"/>
      <c r="ASO185" s="125"/>
      <c r="ASP185" s="125"/>
      <c r="ASQ185" s="125"/>
      <c r="ASR185" s="125"/>
      <c r="ASS185" s="125"/>
      <c r="AST185" s="125"/>
      <c r="ASU185" s="125"/>
      <c r="ASV185" s="125"/>
      <c r="ASW185" s="125"/>
      <c r="ASX185" s="125"/>
      <c r="ASY185" s="125"/>
      <c r="ASZ185" s="125"/>
      <c r="ATA185" s="125"/>
      <c r="ATB185" s="125"/>
      <c r="ATC185" s="125"/>
      <c r="ATD185" s="125"/>
      <c r="ATE185" s="125"/>
      <c r="ATF185" s="125"/>
      <c r="ATG185" s="125"/>
      <c r="ATH185" s="125"/>
      <c r="ATI185" s="125"/>
      <c r="ATJ185" s="125"/>
      <c r="ATK185" s="125"/>
      <c r="ATL185" s="125"/>
      <c r="ATM185" s="125"/>
      <c r="ATN185" s="125"/>
      <c r="ATO185" s="125"/>
      <c r="ATP185" s="125"/>
      <c r="ATQ185" s="125"/>
      <c r="ATR185" s="125"/>
      <c r="ATS185" s="125"/>
      <c r="ATT185" s="125"/>
      <c r="ATU185" s="125"/>
      <c r="ATV185" s="125"/>
      <c r="ATW185" s="125"/>
      <c r="ATX185" s="125"/>
      <c r="ATY185" s="125"/>
      <c r="ATZ185" s="125"/>
      <c r="AUA185" s="125"/>
      <c r="AUB185" s="125"/>
      <c r="AUC185" s="125"/>
      <c r="AUD185" s="125"/>
      <c r="AUE185" s="125"/>
      <c r="AUF185" s="125"/>
      <c r="AUG185" s="125"/>
      <c r="AUH185" s="125"/>
      <c r="AUI185" s="125"/>
      <c r="AUJ185" s="125"/>
      <c r="AUK185" s="125"/>
      <c r="AUL185" s="125"/>
      <c r="AUM185" s="125"/>
      <c r="AUN185" s="125"/>
      <c r="AUO185" s="125"/>
      <c r="AUP185" s="125"/>
      <c r="AUQ185" s="125"/>
      <c r="AUR185" s="125"/>
      <c r="AUS185" s="125"/>
      <c r="AUT185" s="125"/>
      <c r="AUU185" s="125"/>
      <c r="AUV185" s="125"/>
      <c r="AUW185" s="125"/>
      <c r="AUX185" s="125"/>
      <c r="AUY185" s="125"/>
      <c r="AUZ185" s="125"/>
      <c r="AVA185" s="125"/>
      <c r="AVB185" s="125"/>
      <c r="AVC185" s="125"/>
      <c r="AVD185" s="125"/>
      <c r="AVE185" s="125"/>
      <c r="AVF185" s="125"/>
      <c r="AVG185" s="125"/>
      <c r="AVH185" s="125"/>
      <c r="AVI185" s="125"/>
      <c r="AVJ185" s="125"/>
      <c r="AVK185" s="125"/>
      <c r="AVL185" s="125"/>
      <c r="AVM185" s="125"/>
      <c r="AVN185" s="125"/>
      <c r="AVO185" s="125"/>
      <c r="AVP185" s="125"/>
      <c r="AVQ185" s="125"/>
      <c r="AVR185" s="125"/>
      <c r="AVS185" s="125"/>
      <c r="AVT185" s="125"/>
      <c r="AVU185" s="125"/>
      <c r="AVV185" s="125"/>
      <c r="AVW185" s="125"/>
      <c r="AVX185" s="125"/>
      <c r="AVY185" s="125"/>
      <c r="AVZ185" s="125"/>
      <c r="AWA185" s="125"/>
      <c r="AWB185" s="125"/>
      <c r="AWC185" s="125"/>
      <c r="AWD185" s="125"/>
      <c r="AWE185" s="125"/>
      <c r="AWF185" s="125"/>
      <c r="AWG185" s="125"/>
      <c r="AWH185" s="125"/>
      <c r="AWI185" s="125"/>
      <c r="AWJ185" s="125"/>
      <c r="AWK185" s="125"/>
      <c r="AWL185" s="125"/>
      <c r="AWM185" s="125"/>
      <c r="AWN185" s="125"/>
      <c r="AWO185" s="125"/>
      <c r="AWP185" s="125"/>
      <c r="AWQ185" s="125"/>
      <c r="AWR185" s="125"/>
      <c r="AWS185" s="125"/>
      <c r="AWT185" s="125"/>
      <c r="AWU185" s="125"/>
      <c r="AWV185" s="125"/>
      <c r="AWW185" s="125"/>
      <c r="AWX185" s="125"/>
      <c r="AWY185" s="125"/>
      <c r="AWZ185" s="125"/>
      <c r="AXA185" s="125"/>
      <c r="AXB185" s="125"/>
      <c r="AXC185" s="125"/>
      <c r="AXD185" s="125"/>
      <c r="AXE185" s="125"/>
      <c r="AXF185" s="125"/>
      <c r="AXG185" s="125"/>
      <c r="AXH185" s="125"/>
      <c r="AXI185" s="125"/>
      <c r="AXJ185" s="125"/>
      <c r="AXK185" s="125"/>
      <c r="AXL185" s="125"/>
      <c r="AXM185" s="125"/>
      <c r="AXN185" s="125"/>
      <c r="AXO185" s="125"/>
      <c r="AXP185" s="125"/>
      <c r="AXQ185" s="125"/>
      <c r="AXR185" s="125"/>
      <c r="AXS185" s="125"/>
      <c r="AXT185" s="125"/>
      <c r="AXU185" s="125"/>
      <c r="AXV185" s="125"/>
      <c r="AXW185" s="125"/>
      <c r="AXX185" s="125"/>
      <c r="AXY185" s="125"/>
      <c r="AXZ185" s="125"/>
      <c r="AYA185" s="125"/>
      <c r="AYB185" s="125"/>
      <c r="AYC185" s="125"/>
      <c r="AYD185" s="125"/>
      <c r="AYE185" s="125"/>
      <c r="AYF185" s="125"/>
      <c r="AYG185" s="125"/>
      <c r="AYH185" s="125"/>
      <c r="AYI185" s="125"/>
      <c r="AYJ185" s="125"/>
      <c r="AYK185" s="125"/>
      <c r="AYL185" s="125"/>
      <c r="AYM185" s="125"/>
      <c r="AYN185" s="125"/>
      <c r="AYO185" s="125"/>
      <c r="AYP185" s="125"/>
      <c r="AYQ185" s="125"/>
      <c r="AYR185" s="125"/>
      <c r="AYS185" s="125"/>
      <c r="AYT185" s="125"/>
      <c r="AYU185" s="125"/>
      <c r="AYV185" s="125"/>
      <c r="AYW185" s="125"/>
      <c r="AYX185" s="125"/>
      <c r="AYY185" s="125"/>
      <c r="AYZ185" s="125"/>
      <c r="AZA185" s="125"/>
      <c r="AZB185" s="125"/>
      <c r="AZC185" s="125"/>
      <c r="AZD185" s="125"/>
      <c r="AZE185" s="125"/>
      <c r="AZF185" s="125"/>
      <c r="AZG185" s="125"/>
      <c r="AZH185" s="125"/>
      <c r="AZI185" s="125"/>
      <c r="AZJ185" s="125"/>
      <c r="AZK185" s="125"/>
      <c r="AZL185" s="125"/>
      <c r="AZM185" s="125"/>
      <c r="AZN185" s="125"/>
      <c r="AZO185" s="125"/>
      <c r="AZP185" s="125"/>
      <c r="AZQ185" s="125"/>
      <c r="AZR185" s="125"/>
      <c r="AZS185" s="125"/>
      <c r="AZT185" s="125"/>
      <c r="AZU185" s="125"/>
      <c r="AZV185" s="125"/>
      <c r="AZW185" s="125"/>
      <c r="AZX185" s="125"/>
      <c r="AZY185" s="125"/>
      <c r="AZZ185" s="125"/>
      <c r="BAA185" s="125"/>
      <c r="BAB185" s="125"/>
      <c r="BAC185" s="125"/>
      <c r="BAD185" s="125"/>
      <c r="BAE185" s="125"/>
      <c r="BAF185" s="125"/>
      <c r="BAG185" s="125"/>
      <c r="BAH185" s="125"/>
      <c r="BAI185" s="125"/>
      <c r="BAJ185" s="125"/>
      <c r="BAK185" s="125"/>
      <c r="BAL185" s="125"/>
      <c r="BAM185" s="125"/>
      <c r="BAN185" s="125"/>
      <c r="BAO185" s="125"/>
      <c r="BAP185" s="125"/>
      <c r="BAQ185" s="125"/>
      <c r="BAR185" s="125"/>
      <c r="BAS185" s="125"/>
      <c r="BAT185" s="125"/>
      <c r="BAU185" s="125"/>
      <c r="BAV185" s="125"/>
      <c r="BAW185" s="125"/>
      <c r="BAX185" s="125"/>
      <c r="BAY185" s="125"/>
      <c r="BAZ185" s="125"/>
      <c r="BBA185" s="125"/>
      <c r="BBB185" s="125"/>
      <c r="BBC185" s="125"/>
      <c r="BBD185" s="125"/>
      <c r="BBE185" s="125"/>
      <c r="BBF185" s="125"/>
      <c r="BBG185" s="125"/>
      <c r="BBH185" s="125"/>
      <c r="BBI185" s="125"/>
      <c r="BBJ185" s="125"/>
      <c r="BBK185" s="125"/>
      <c r="BBL185" s="125"/>
      <c r="BBM185" s="125"/>
      <c r="BBN185" s="125"/>
      <c r="BBO185" s="125"/>
      <c r="BBP185" s="125"/>
      <c r="BBQ185" s="125"/>
      <c r="BBR185" s="125"/>
      <c r="BBS185" s="125"/>
      <c r="BBT185" s="125"/>
      <c r="BBU185" s="125"/>
      <c r="BBV185" s="125"/>
      <c r="BBW185" s="125"/>
      <c r="BBX185" s="125"/>
      <c r="BBY185" s="125"/>
      <c r="BBZ185" s="125"/>
      <c r="BCA185" s="125"/>
      <c r="BCB185" s="125"/>
      <c r="BCC185" s="125"/>
      <c r="BCD185" s="125"/>
      <c r="BCE185" s="125"/>
      <c r="BCF185" s="125"/>
      <c r="BCG185" s="125"/>
      <c r="BCH185" s="125"/>
      <c r="BCI185" s="125"/>
      <c r="BCJ185" s="125"/>
      <c r="BCK185" s="125"/>
      <c r="BCL185" s="125"/>
      <c r="BCM185" s="125"/>
      <c r="BCN185" s="125"/>
      <c r="BCO185" s="125"/>
      <c r="BCP185" s="125"/>
      <c r="BCQ185" s="125"/>
      <c r="BCR185" s="125"/>
      <c r="BCS185" s="125"/>
      <c r="BCT185" s="125"/>
      <c r="BCU185" s="125"/>
      <c r="BCV185" s="125"/>
      <c r="BCW185" s="125"/>
      <c r="BCX185" s="125"/>
      <c r="BCY185" s="125"/>
      <c r="BCZ185" s="125"/>
      <c r="BDA185" s="125"/>
      <c r="BDB185" s="125"/>
      <c r="BDC185" s="125"/>
      <c r="BDD185" s="125"/>
      <c r="BDE185" s="125"/>
      <c r="BDF185" s="125"/>
      <c r="BDG185" s="125"/>
      <c r="BDH185" s="125"/>
      <c r="BDI185" s="125"/>
      <c r="BDJ185" s="125"/>
      <c r="BDK185" s="125"/>
      <c r="BDL185" s="125"/>
      <c r="BDM185" s="125"/>
      <c r="BDN185" s="125"/>
      <c r="BDO185" s="125"/>
      <c r="BDP185" s="125"/>
      <c r="BDQ185" s="125"/>
      <c r="BDR185" s="125"/>
      <c r="BDS185" s="125"/>
      <c r="BDT185" s="125"/>
      <c r="BDU185" s="125"/>
      <c r="BDV185" s="125"/>
      <c r="BDW185" s="125"/>
      <c r="BDX185" s="125"/>
      <c r="BDY185" s="125"/>
      <c r="BDZ185" s="125"/>
      <c r="BEA185" s="125"/>
      <c r="BEB185" s="125"/>
      <c r="BEC185" s="125"/>
      <c r="BED185" s="125"/>
      <c r="BEE185" s="125"/>
      <c r="BEF185" s="125"/>
      <c r="BEG185" s="125"/>
      <c r="BEH185" s="125"/>
      <c r="BEI185" s="125"/>
      <c r="BEJ185" s="125"/>
      <c r="BEK185" s="125"/>
      <c r="BEL185" s="125"/>
      <c r="BEM185" s="125"/>
      <c r="BEN185" s="125"/>
      <c r="BEO185" s="125"/>
      <c r="BEP185" s="125"/>
      <c r="BEQ185" s="125"/>
      <c r="BER185" s="125"/>
      <c r="BES185" s="125"/>
      <c r="BET185" s="125"/>
      <c r="BEU185" s="125"/>
      <c r="BEV185" s="125"/>
      <c r="BEW185" s="125"/>
      <c r="BEX185" s="125"/>
      <c r="BEY185" s="125"/>
      <c r="BEZ185" s="125"/>
      <c r="BFA185" s="125"/>
      <c r="BFB185" s="125"/>
      <c r="BFC185" s="125"/>
      <c r="BFD185" s="125"/>
      <c r="BFE185" s="125"/>
      <c r="BFF185" s="125"/>
      <c r="BFG185" s="125"/>
      <c r="BFH185" s="125"/>
      <c r="BFI185" s="125"/>
      <c r="BFJ185" s="125"/>
      <c r="BFK185" s="125"/>
      <c r="BFL185" s="125"/>
      <c r="BFM185" s="125"/>
      <c r="BFN185" s="125"/>
      <c r="BFO185" s="125"/>
      <c r="BFP185" s="125"/>
      <c r="BFQ185" s="125"/>
      <c r="BFR185" s="125"/>
      <c r="BFS185" s="125"/>
      <c r="BFT185" s="125"/>
      <c r="BFU185" s="125"/>
      <c r="BFV185" s="125"/>
      <c r="BFW185" s="125"/>
      <c r="BFX185" s="125"/>
      <c r="BFY185" s="125"/>
      <c r="BFZ185" s="125"/>
      <c r="BGA185" s="125"/>
      <c r="BGB185" s="125"/>
      <c r="BGC185" s="125"/>
      <c r="BGD185" s="125"/>
      <c r="BGE185" s="125"/>
      <c r="BGF185" s="125"/>
      <c r="BGG185" s="125"/>
      <c r="BGH185" s="125"/>
      <c r="BGI185" s="125"/>
      <c r="BGJ185" s="125"/>
      <c r="BGK185" s="125"/>
      <c r="BGL185" s="125"/>
      <c r="BGM185" s="125"/>
      <c r="BGN185" s="125"/>
      <c r="BGO185" s="125"/>
      <c r="BGP185" s="125"/>
      <c r="BGQ185" s="125"/>
      <c r="BGR185" s="125"/>
      <c r="BGS185" s="125"/>
      <c r="BGT185" s="125"/>
      <c r="BGU185" s="125"/>
      <c r="BGV185" s="125"/>
      <c r="BGW185" s="125"/>
      <c r="BGX185" s="125"/>
      <c r="BGY185" s="125"/>
      <c r="BGZ185" s="125"/>
      <c r="BHA185" s="125"/>
      <c r="BHB185" s="125"/>
      <c r="BHC185" s="125"/>
      <c r="BHD185" s="125"/>
      <c r="BHE185" s="125"/>
      <c r="BHF185" s="125"/>
      <c r="BHG185" s="125"/>
      <c r="BHH185" s="125"/>
      <c r="BHI185" s="125"/>
      <c r="BHJ185" s="125"/>
      <c r="BHK185" s="125"/>
      <c r="BHL185" s="125"/>
      <c r="BHM185" s="125"/>
      <c r="BHN185" s="125"/>
      <c r="BHO185" s="125"/>
      <c r="BHP185" s="125"/>
      <c r="BHQ185" s="125"/>
      <c r="BHR185" s="125"/>
      <c r="BHS185" s="125"/>
      <c r="BHT185" s="125"/>
      <c r="BHU185" s="125"/>
      <c r="BHV185" s="125"/>
      <c r="BHW185" s="125"/>
      <c r="BHX185" s="125"/>
      <c r="BHY185" s="125"/>
      <c r="BHZ185" s="125"/>
      <c r="BIA185" s="125"/>
      <c r="BIB185" s="125"/>
      <c r="BIC185" s="125"/>
      <c r="BID185" s="125"/>
      <c r="BIE185" s="125"/>
      <c r="BIF185" s="125"/>
      <c r="BIG185" s="125"/>
      <c r="BIH185" s="125"/>
      <c r="BII185" s="125"/>
      <c r="BIJ185" s="125"/>
      <c r="BIK185" s="125"/>
      <c r="BIL185" s="125"/>
      <c r="BIM185" s="125"/>
      <c r="BIN185" s="125"/>
      <c r="BIO185" s="125"/>
      <c r="BIP185" s="125"/>
      <c r="BIQ185" s="125"/>
      <c r="BIR185" s="125"/>
      <c r="BIS185" s="125"/>
      <c r="BIT185" s="125"/>
      <c r="BIU185" s="125"/>
      <c r="BIV185" s="125"/>
      <c r="BIW185" s="125"/>
      <c r="BIX185" s="125"/>
      <c r="BIY185" s="125"/>
      <c r="BIZ185" s="125"/>
      <c r="BJA185" s="125"/>
      <c r="BJB185" s="125"/>
      <c r="BJC185" s="125"/>
      <c r="BJD185" s="125"/>
      <c r="BJE185" s="125"/>
      <c r="BJF185" s="125"/>
      <c r="BJG185" s="125"/>
      <c r="BJH185" s="125"/>
      <c r="BJI185" s="125"/>
      <c r="BJJ185" s="125"/>
      <c r="BJK185" s="125"/>
      <c r="BJL185" s="125"/>
      <c r="BJM185" s="125"/>
      <c r="BJN185" s="125"/>
      <c r="BJO185" s="125"/>
      <c r="BJP185" s="125"/>
      <c r="BJQ185" s="125"/>
      <c r="BJR185" s="125"/>
      <c r="BJS185" s="125"/>
      <c r="BJT185" s="125"/>
      <c r="BJU185" s="125"/>
      <c r="BJV185" s="125"/>
      <c r="BJW185" s="125"/>
      <c r="BJX185" s="125"/>
      <c r="BJY185" s="125"/>
      <c r="BJZ185" s="125"/>
      <c r="BKA185" s="125"/>
      <c r="BKB185" s="125"/>
      <c r="BKC185" s="125"/>
      <c r="BKD185" s="125"/>
      <c r="BKE185" s="125"/>
      <c r="BKF185" s="125"/>
      <c r="BKG185" s="125"/>
      <c r="BKH185" s="125"/>
      <c r="BKI185" s="125"/>
      <c r="BKJ185" s="125"/>
      <c r="BKK185" s="125"/>
      <c r="BKL185" s="125"/>
      <c r="BKM185" s="125"/>
      <c r="BKN185" s="125"/>
      <c r="BKO185" s="125"/>
      <c r="BKP185" s="125"/>
      <c r="BKQ185" s="125"/>
      <c r="BKR185" s="125"/>
      <c r="BKS185" s="125"/>
      <c r="BKT185" s="125"/>
      <c r="BKU185" s="125"/>
      <c r="BKV185" s="125"/>
      <c r="BKW185" s="125"/>
      <c r="BKX185" s="125"/>
      <c r="BKY185" s="125"/>
      <c r="BKZ185" s="125"/>
      <c r="BLA185" s="125"/>
      <c r="BLB185" s="125"/>
      <c r="BLC185" s="125"/>
      <c r="BLD185" s="125"/>
      <c r="BLE185" s="125"/>
      <c r="BLF185" s="125"/>
      <c r="BLG185" s="125"/>
      <c r="BLH185" s="125"/>
      <c r="BLI185" s="125"/>
      <c r="BLJ185" s="125"/>
      <c r="BLK185" s="125"/>
      <c r="BLL185" s="125"/>
      <c r="BLM185" s="125"/>
      <c r="BLN185" s="125"/>
      <c r="BLO185" s="125"/>
      <c r="BLP185" s="125"/>
      <c r="BLQ185" s="125"/>
      <c r="BLR185" s="125"/>
      <c r="BLS185" s="125"/>
      <c r="BLT185" s="125"/>
      <c r="BLU185" s="125"/>
      <c r="BLV185" s="125"/>
      <c r="BLW185" s="125"/>
      <c r="BLX185" s="125"/>
      <c r="BLY185" s="125"/>
      <c r="BLZ185" s="125"/>
      <c r="BMA185" s="125"/>
      <c r="BMB185" s="125"/>
      <c r="BMC185" s="125"/>
      <c r="BMD185" s="125"/>
      <c r="BME185" s="125"/>
      <c r="BMF185" s="125"/>
      <c r="BMG185" s="125"/>
      <c r="BMH185" s="125"/>
      <c r="BMI185" s="125"/>
      <c r="BMJ185" s="125"/>
      <c r="BMK185" s="125"/>
      <c r="BML185" s="125"/>
      <c r="BMM185" s="125"/>
      <c r="BMN185" s="125"/>
      <c r="BMO185" s="125"/>
      <c r="BMP185" s="125"/>
      <c r="BMQ185" s="125"/>
      <c r="BMR185" s="125"/>
      <c r="BMS185" s="125"/>
      <c r="BMT185" s="125"/>
      <c r="BMU185" s="125"/>
      <c r="BMV185" s="125"/>
      <c r="BMW185" s="125"/>
      <c r="BMX185" s="125"/>
      <c r="BMY185" s="125"/>
      <c r="BMZ185" s="125"/>
      <c r="BNA185" s="125"/>
      <c r="BNB185" s="125"/>
      <c r="BNC185" s="125"/>
      <c r="BND185" s="125"/>
      <c r="BNE185" s="125"/>
      <c r="BNF185" s="125"/>
      <c r="BNG185" s="125"/>
      <c r="BNH185" s="125"/>
      <c r="BNI185" s="125"/>
      <c r="BNJ185" s="125"/>
      <c r="BNK185" s="125"/>
      <c r="BNL185" s="125"/>
      <c r="BNM185" s="125"/>
      <c r="BNN185" s="125"/>
      <c r="BNO185" s="125"/>
      <c r="BNP185" s="125"/>
      <c r="BNQ185" s="125"/>
      <c r="BNR185" s="125"/>
      <c r="BNS185" s="125"/>
      <c r="BNT185" s="125"/>
      <c r="BNU185" s="125"/>
      <c r="BNV185" s="125"/>
      <c r="BNW185" s="125"/>
      <c r="BNX185" s="125"/>
      <c r="BNY185" s="125"/>
      <c r="BNZ185" s="125"/>
      <c r="BOA185" s="125"/>
      <c r="BOB185" s="125"/>
      <c r="BOC185" s="125"/>
      <c r="BOD185" s="125"/>
      <c r="BOE185" s="125"/>
      <c r="BOF185" s="125"/>
      <c r="BOG185" s="125"/>
      <c r="BOH185" s="125"/>
      <c r="BOI185" s="125"/>
      <c r="BOJ185" s="125"/>
      <c r="BOK185" s="125"/>
      <c r="BOL185" s="125"/>
      <c r="BOM185" s="125"/>
      <c r="BON185" s="125"/>
      <c r="BOO185" s="125"/>
      <c r="BOP185" s="125"/>
      <c r="BOQ185" s="125"/>
      <c r="BOR185" s="125"/>
      <c r="BOS185" s="125"/>
      <c r="BOT185" s="125"/>
      <c r="BOU185" s="125"/>
      <c r="BOV185" s="125"/>
      <c r="BOW185" s="125"/>
      <c r="BOX185" s="125"/>
      <c r="BOY185" s="125"/>
      <c r="BOZ185" s="125"/>
      <c r="BPA185" s="125"/>
      <c r="BPB185" s="125"/>
      <c r="BPC185" s="125"/>
      <c r="BPD185" s="125"/>
      <c r="BPE185" s="125"/>
      <c r="BPF185" s="125"/>
      <c r="BPG185" s="125"/>
      <c r="BPH185" s="125"/>
      <c r="BPI185" s="125"/>
      <c r="BPJ185" s="125"/>
      <c r="BPK185" s="125"/>
      <c r="BPL185" s="125"/>
      <c r="BPM185" s="125"/>
      <c r="BPN185" s="125"/>
      <c r="BPO185" s="125"/>
      <c r="BPP185" s="125"/>
      <c r="BPQ185" s="125"/>
      <c r="BPR185" s="125"/>
      <c r="BPS185" s="125"/>
      <c r="BPT185" s="125"/>
      <c r="BPU185" s="125"/>
      <c r="BPV185" s="125"/>
      <c r="BPW185" s="125"/>
      <c r="BPX185" s="125"/>
      <c r="BPY185" s="125"/>
      <c r="BPZ185" s="125"/>
      <c r="BQA185" s="125"/>
      <c r="BQB185" s="125"/>
      <c r="BQC185" s="125"/>
      <c r="BQD185" s="125"/>
      <c r="BQE185" s="125"/>
      <c r="BQF185" s="125"/>
      <c r="BQG185" s="125"/>
      <c r="BQH185" s="125"/>
      <c r="BQI185" s="125"/>
      <c r="BQJ185" s="125"/>
      <c r="BQK185" s="125"/>
      <c r="BQL185" s="125"/>
      <c r="BQM185" s="125"/>
      <c r="BQN185" s="125"/>
      <c r="BQO185" s="125"/>
      <c r="BQP185" s="125"/>
      <c r="BQQ185" s="125"/>
      <c r="BQR185" s="125"/>
      <c r="BQS185" s="125"/>
      <c r="BQT185" s="125"/>
      <c r="BQU185" s="125"/>
      <c r="BQV185" s="125"/>
      <c r="BQW185" s="125"/>
      <c r="BQX185" s="125"/>
      <c r="BQY185" s="125"/>
      <c r="BQZ185" s="125"/>
      <c r="BRA185" s="125"/>
      <c r="BRB185" s="125"/>
      <c r="BRC185" s="125"/>
      <c r="BRD185" s="125"/>
      <c r="BRE185" s="125"/>
      <c r="BRF185" s="125"/>
      <c r="BRG185" s="125"/>
      <c r="BRH185" s="125"/>
      <c r="BRI185" s="125"/>
      <c r="BRJ185" s="125"/>
      <c r="BRK185" s="125"/>
      <c r="BRL185" s="125"/>
      <c r="BRM185" s="125"/>
      <c r="BRN185" s="125"/>
      <c r="BRO185" s="125"/>
      <c r="BRP185" s="125"/>
      <c r="BRQ185" s="125"/>
      <c r="BRR185" s="125"/>
      <c r="BRS185" s="125"/>
      <c r="BRT185" s="125"/>
      <c r="BRU185" s="125"/>
      <c r="BRV185" s="125"/>
      <c r="BRW185" s="125"/>
      <c r="BRX185" s="125"/>
      <c r="BRY185" s="125"/>
      <c r="BRZ185" s="125"/>
      <c r="BSA185" s="125"/>
      <c r="BSB185" s="125"/>
      <c r="BSC185" s="125"/>
      <c r="BSD185" s="125"/>
      <c r="BSE185" s="125"/>
      <c r="BSF185" s="125"/>
      <c r="BSG185" s="125"/>
      <c r="BSH185" s="125"/>
      <c r="BSI185" s="125"/>
      <c r="BSJ185" s="125"/>
      <c r="BSK185" s="125"/>
      <c r="BSL185" s="125"/>
      <c r="BSM185" s="125"/>
      <c r="BSN185" s="125"/>
      <c r="BSO185" s="125"/>
      <c r="BSP185" s="125"/>
      <c r="BSQ185" s="125"/>
      <c r="BSR185" s="125"/>
      <c r="BSS185" s="125"/>
      <c r="BST185" s="125"/>
      <c r="BSU185" s="125"/>
      <c r="BSV185" s="125"/>
      <c r="BSW185" s="125"/>
      <c r="BSX185" s="125"/>
      <c r="BSY185" s="125"/>
      <c r="BSZ185" s="125"/>
      <c r="BTA185" s="125"/>
      <c r="BTB185" s="125"/>
      <c r="BTC185" s="125"/>
      <c r="BTD185" s="125"/>
      <c r="BTE185" s="125"/>
      <c r="BTF185" s="125"/>
      <c r="BTG185" s="125"/>
      <c r="BTH185" s="125"/>
      <c r="BTI185" s="125"/>
      <c r="BTJ185" s="125"/>
      <c r="BTK185" s="125"/>
      <c r="BTL185" s="125"/>
      <c r="BTM185" s="125"/>
      <c r="BTN185" s="125"/>
      <c r="BTO185" s="125"/>
      <c r="BTP185" s="125"/>
      <c r="BTQ185" s="125"/>
      <c r="BTR185" s="125"/>
      <c r="BTS185" s="125"/>
      <c r="BTT185" s="125"/>
      <c r="BTU185" s="125"/>
      <c r="BTV185" s="125"/>
      <c r="BTW185" s="125"/>
      <c r="BTX185" s="125"/>
      <c r="BTY185" s="125"/>
      <c r="BTZ185" s="125"/>
      <c r="BUA185" s="125"/>
      <c r="BUB185" s="125"/>
      <c r="BUC185" s="125"/>
      <c r="BUD185" s="125"/>
      <c r="BUE185" s="125"/>
      <c r="BUF185" s="125"/>
      <c r="BUG185" s="125"/>
      <c r="BUH185" s="125"/>
      <c r="BUI185" s="125"/>
      <c r="BUJ185" s="125"/>
      <c r="BUK185" s="125"/>
      <c r="BUL185" s="125"/>
      <c r="BUM185" s="125"/>
      <c r="BUN185" s="125"/>
      <c r="BUO185" s="125"/>
      <c r="BUP185" s="125"/>
      <c r="BUQ185" s="125"/>
      <c r="BUR185" s="125"/>
      <c r="BUS185" s="125"/>
      <c r="BUT185" s="125"/>
      <c r="BUU185" s="125"/>
      <c r="BUV185" s="125"/>
      <c r="BUW185" s="125"/>
      <c r="BUX185" s="125"/>
      <c r="BUY185" s="125"/>
      <c r="BUZ185" s="125"/>
      <c r="BVA185" s="125"/>
      <c r="BVB185" s="125"/>
      <c r="BVC185" s="125"/>
      <c r="BVD185" s="125"/>
      <c r="BVE185" s="125"/>
      <c r="BVF185" s="125"/>
      <c r="BVG185" s="125"/>
      <c r="BVH185" s="125"/>
      <c r="BVI185" s="125"/>
      <c r="BVJ185" s="125"/>
      <c r="BVK185" s="125"/>
      <c r="BVL185" s="125"/>
      <c r="BVM185" s="125"/>
      <c r="BVN185" s="125"/>
      <c r="BVO185" s="125"/>
      <c r="BVP185" s="125"/>
      <c r="BVQ185" s="125"/>
      <c r="BVR185" s="125"/>
      <c r="BVS185" s="125"/>
      <c r="BVT185" s="125"/>
      <c r="BVU185" s="125"/>
      <c r="BVV185" s="125"/>
      <c r="BVW185" s="125"/>
      <c r="BVX185" s="125"/>
      <c r="BVY185" s="125"/>
      <c r="BVZ185" s="125"/>
      <c r="BWA185" s="125"/>
      <c r="BWB185" s="125"/>
      <c r="BWC185" s="125"/>
      <c r="BWD185" s="125"/>
      <c r="BWE185" s="125"/>
      <c r="BWF185" s="125"/>
      <c r="BWG185" s="125"/>
      <c r="BWH185" s="125"/>
      <c r="BWI185" s="125"/>
      <c r="BWJ185" s="125"/>
      <c r="BWK185" s="125"/>
      <c r="BWL185" s="125"/>
      <c r="BWM185" s="125"/>
      <c r="BWN185" s="125"/>
      <c r="BWO185" s="125"/>
      <c r="BWP185" s="125"/>
      <c r="BWQ185" s="125"/>
      <c r="BWR185" s="125"/>
      <c r="BWS185" s="125"/>
      <c r="BWT185" s="125"/>
      <c r="BWU185" s="125"/>
      <c r="BWV185" s="125"/>
      <c r="BWW185" s="125"/>
      <c r="BWX185" s="125"/>
      <c r="BWY185" s="125"/>
      <c r="BWZ185" s="125"/>
      <c r="BXA185" s="125"/>
      <c r="BXB185" s="125"/>
      <c r="BXC185" s="125"/>
      <c r="BXD185" s="125"/>
      <c r="BXE185" s="125"/>
      <c r="BXF185" s="125"/>
      <c r="BXG185" s="125"/>
      <c r="BXH185" s="125"/>
      <c r="BXI185" s="125"/>
      <c r="BXJ185" s="125"/>
      <c r="BXK185" s="125"/>
      <c r="BXL185" s="125"/>
      <c r="BXM185" s="125"/>
      <c r="BXN185" s="125"/>
      <c r="BXO185" s="125"/>
      <c r="BXP185" s="125"/>
      <c r="BXQ185" s="125"/>
      <c r="BXR185" s="125"/>
      <c r="BXS185" s="125"/>
      <c r="BXT185" s="125"/>
      <c r="BXU185" s="125"/>
      <c r="BXV185" s="125"/>
      <c r="BXW185" s="125"/>
      <c r="BXX185" s="125"/>
      <c r="BXY185" s="125"/>
      <c r="BXZ185" s="125"/>
      <c r="BYA185" s="125"/>
      <c r="BYB185" s="125"/>
      <c r="BYC185" s="125"/>
      <c r="BYD185" s="125"/>
      <c r="BYE185" s="125"/>
      <c r="BYF185" s="125"/>
      <c r="BYG185" s="125"/>
      <c r="BYH185" s="125"/>
      <c r="BYI185" s="125"/>
      <c r="BYJ185" s="125"/>
      <c r="BYK185" s="125"/>
      <c r="BYL185" s="125"/>
      <c r="BYM185" s="125"/>
      <c r="BYN185" s="125"/>
      <c r="BYO185" s="125"/>
      <c r="BYP185" s="125"/>
      <c r="BYQ185" s="125"/>
      <c r="BYR185" s="125"/>
      <c r="BYS185" s="125"/>
      <c r="BYT185" s="125"/>
      <c r="BYU185" s="125"/>
      <c r="BYV185" s="125"/>
      <c r="BYW185" s="125"/>
      <c r="BYX185" s="125"/>
      <c r="BYY185" s="125"/>
      <c r="BYZ185" s="125"/>
      <c r="BZA185" s="125"/>
      <c r="BZB185" s="125"/>
      <c r="BZC185" s="125"/>
      <c r="BZD185" s="125"/>
      <c r="BZE185" s="125"/>
      <c r="BZF185" s="125"/>
      <c r="BZG185" s="125"/>
      <c r="BZH185" s="125"/>
      <c r="BZI185" s="125"/>
      <c r="BZJ185" s="125"/>
      <c r="BZK185" s="125"/>
      <c r="BZL185" s="125"/>
      <c r="BZM185" s="125"/>
      <c r="BZN185" s="125"/>
      <c r="BZO185" s="125"/>
      <c r="BZP185" s="125"/>
      <c r="BZQ185" s="125"/>
      <c r="BZR185" s="125"/>
      <c r="BZS185" s="125"/>
      <c r="BZT185" s="125"/>
      <c r="BZU185" s="125"/>
      <c r="BZV185" s="125"/>
      <c r="BZW185" s="125"/>
      <c r="BZX185" s="125"/>
      <c r="BZY185" s="125"/>
      <c r="BZZ185" s="125"/>
      <c r="CAA185" s="125"/>
      <c r="CAB185" s="125"/>
      <c r="CAC185" s="125"/>
      <c r="CAD185" s="125"/>
      <c r="CAE185" s="125"/>
      <c r="CAF185" s="125"/>
      <c r="CAG185" s="125"/>
      <c r="CAH185" s="125"/>
      <c r="CAI185" s="125"/>
      <c r="CAJ185" s="125"/>
      <c r="CAK185" s="125"/>
      <c r="CAL185" s="125"/>
      <c r="CAM185" s="125"/>
      <c r="CAN185" s="125"/>
      <c r="CAO185" s="125"/>
      <c r="CAP185" s="125"/>
      <c r="CAQ185" s="125"/>
      <c r="CAR185" s="125"/>
      <c r="CAS185" s="125"/>
      <c r="CAT185" s="125"/>
      <c r="CAU185" s="125"/>
      <c r="CAV185" s="125"/>
      <c r="CAW185" s="125"/>
      <c r="CAX185" s="125"/>
      <c r="CAY185" s="125"/>
      <c r="CAZ185" s="125"/>
      <c r="CBA185" s="125"/>
      <c r="CBB185" s="125"/>
      <c r="CBC185" s="125"/>
      <c r="CBD185" s="125"/>
      <c r="CBE185" s="125"/>
      <c r="CBF185" s="125"/>
      <c r="CBG185" s="125"/>
      <c r="CBH185" s="125"/>
      <c r="CBI185" s="125"/>
      <c r="CBJ185" s="125"/>
      <c r="CBK185" s="125"/>
      <c r="CBL185" s="125"/>
      <c r="CBM185" s="125"/>
      <c r="CBN185" s="125"/>
      <c r="CBO185" s="125"/>
      <c r="CBP185" s="125"/>
      <c r="CBQ185" s="125"/>
      <c r="CBR185" s="125"/>
      <c r="CBS185" s="125"/>
      <c r="CBT185" s="125"/>
      <c r="CBU185" s="125"/>
      <c r="CBV185" s="125"/>
      <c r="CBW185" s="125"/>
      <c r="CBX185" s="125"/>
      <c r="CBY185" s="125"/>
      <c r="CBZ185" s="125"/>
      <c r="CCA185" s="125"/>
      <c r="CCB185" s="125"/>
      <c r="CCC185" s="125"/>
      <c r="CCD185" s="125"/>
      <c r="CCE185" s="125"/>
      <c r="CCF185" s="125"/>
      <c r="CCG185" s="125"/>
      <c r="CCH185" s="125"/>
      <c r="CCI185" s="125"/>
      <c r="CCJ185" s="125"/>
      <c r="CCK185" s="125"/>
      <c r="CCL185" s="125"/>
      <c r="CCM185" s="125"/>
      <c r="CCN185" s="125"/>
      <c r="CCO185" s="125"/>
      <c r="CCP185" s="125"/>
      <c r="CCQ185" s="125"/>
      <c r="CCR185" s="125"/>
      <c r="CCS185" s="125"/>
      <c r="CCT185" s="125"/>
      <c r="CCU185" s="125"/>
      <c r="CCV185" s="125"/>
      <c r="CCW185" s="125"/>
      <c r="CCX185" s="125"/>
      <c r="CCY185" s="125"/>
      <c r="CCZ185" s="125"/>
      <c r="CDA185" s="125"/>
      <c r="CDB185" s="125"/>
      <c r="CDC185" s="125"/>
      <c r="CDD185" s="125"/>
      <c r="CDE185" s="125"/>
      <c r="CDF185" s="125"/>
      <c r="CDG185" s="125"/>
      <c r="CDH185" s="125"/>
      <c r="CDI185" s="125"/>
      <c r="CDJ185" s="125"/>
      <c r="CDK185" s="125"/>
      <c r="CDL185" s="125"/>
      <c r="CDM185" s="125"/>
      <c r="CDN185" s="125"/>
      <c r="CDO185" s="125"/>
      <c r="CDP185" s="125"/>
      <c r="CDQ185" s="125"/>
      <c r="CDR185" s="125"/>
      <c r="CDS185" s="125"/>
      <c r="CDT185" s="125"/>
      <c r="CDU185" s="125"/>
      <c r="CDV185" s="125"/>
      <c r="CDW185" s="125"/>
      <c r="CDX185" s="125"/>
      <c r="CDY185" s="125"/>
      <c r="CDZ185" s="125"/>
      <c r="CEA185" s="125"/>
      <c r="CEB185" s="125"/>
      <c r="CEC185" s="125"/>
      <c r="CED185" s="125"/>
      <c r="CEE185" s="125"/>
      <c r="CEF185" s="125"/>
      <c r="CEG185" s="125"/>
      <c r="CEH185" s="125"/>
      <c r="CEI185" s="125"/>
      <c r="CEJ185" s="125"/>
      <c r="CEK185" s="125"/>
      <c r="CEL185" s="125"/>
      <c r="CEM185" s="125"/>
      <c r="CEN185" s="125"/>
      <c r="CEO185" s="125"/>
      <c r="CEP185" s="125"/>
      <c r="CEQ185" s="125"/>
      <c r="CER185" s="125"/>
      <c r="CES185" s="125"/>
      <c r="CET185" s="125"/>
      <c r="CEU185" s="125"/>
      <c r="CEV185" s="125"/>
      <c r="CEW185" s="125"/>
      <c r="CEX185" s="125"/>
      <c r="CEY185" s="125"/>
      <c r="CEZ185" s="125"/>
      <c r="CFA185" s="125"/>
      <c r="CFB185" s="125"/>
      <c r="CFC185" s="125"/>
      <c r="CFD185" s="125"/>
      <c r="CFE185" s="125"/>
      <c r="CFF185" s="125"/>
      <c r="CFG185" s="125"/>
      <c r="CFH185" s="125"/>
      <c r="CFI185" s="125"/>
      <c r="CFJ185" s="125"/>
      <c r="CFK185" s="125"/>
      <c r="CFL185" s="125"/>
      <c r="CFM185" s="125"/>
      <c r="CFN185" s="125"/>
      <c r="CFO185" s="125"/>
      <c r="CFP185" s="125"/>
      <c r="CFQ185" s="125"/>
      <c r="CFR185" s="125"/>
      <c r="CFS185" s="125"/>
      <c r="CFT185" s="125"/>
      <c r="CFU185" s="125"/>
      <c r="CFV185" s="125"/>
      <c r="CFW185" s="125"/>
      <c r="CFX185" s="125"/>
      <c r="CFY185" s="125"/>
      <c r="CFZ185" s="125"/>
      <c r="CGA185" s="125"/>
      <c r="CGB185" s="125"/>
      <c r="CGC185" s="125"/>
      <c r="CGD185" s="125"/>
      <c r="CGE185" s="125"/>
      <c r="CGF185" s="125"/>
      <c r="CGG185" s="125"/>
      <c r="CGH185" s="125"/>
      <c r="CGI185" s="125"/>
      <c r="CGJ185" s="125"/>
      <c r="CGK185" s="125"/>
      <c r="CGL185" s="125"/>
      <c r="CGM185" s="125"/>
      <c r="CGN185" s="125"/>
      <c r="CGO185" s="125"/>
      <c r="CGP185" s="125"/>
      <c r="CGQ185" s="125"/>
      <c r="CGR185" s="125"/>
      <c r="CGS185" s="125"/>
      <c r="CGT185" s="125"/>
      <c r="CGU185" s="125"/>
      <c r="CGV185" s="125"/>
      <c r="CGW185" s="125"/>
      <c r="CGX185" s="125"/>
      <c r="CGY185" s="125"/>
      <c r="CGZ185" s="125"/>
      <c r="CHA185" s="125"/>
      <c r="CHB185" s="125"/>
      <c r="CHC185" s="125"/>
      <c r="CHD185" s="125"/>
      <c r="CHE185" s="125"/>
      <c r="CHF185" s="125"/>
      <c r="CHG185" s="125"/>
      <c r="CHH185" s="125"/>
      <c r="CHI185" s="125"/>
      <c r="CHJ185" s="125"/>
      <c r="CHK185" s="125"/>
      <c r="CHL185" s="125"/>
      <c r="CHM185" s="125"/>
      <c r="CHN185" s="125"/>
      <c r="CHO185" s="125"/>
      <c r="CHP185" s="125"/>
      <c r="CHQ185" s="125"/>
      <c r="CHR185" s="125"/>
      <c r="CHS185" s="125"/>
      <c r="CHT185" s="125"/>
      <c r="CHU185" s="125"/>
      <c r="CHV185" s="125"/>
      <c r="CHW185" s="125"/>
      <c r="CHX185" s="125"/>
      <c r="CHY185" s="125"/>
      <c r="CHZ185" s="125"/>
      <c r="CIA185" s="125"/>
      <c r="CIB185" s="125"/>
      <c r="CIC185" s="125"/>
      <c r="CID185" s="125"/>
      <c r="CIE185" s="125"/>
      <c r="CIF185" s="125"/>
      <c r="CIG185" s="125"/>
      <c r="CIH185" s="125"/>
      <c r="CII185" s="125"/>
      <c r="CIJ185" s="125"/>
      <c r="CIK185" s="125"/>
      <c r="CIL185" s="125"/>
      <c r="CIM185" s="125"/>
      <c r="CIN185" s="125"/>
      <c r="CIO185" s="125"/>
      <c r="CIP185" s="125"/>
      <c r="CIQ185" s="125"/>
      <c r="CIR185" s="125"/>
      <c r="CIS185" s="125"/>
      <c r="CIT185" s="125"/>
      <c r="CIU185" s="125"/>
      <c r="CIV185" s="125"/>
      <c r="CIW185" s="125"/>
      <c r="CIX185" s="125"/>
      <c r="CIY185" s="125"/>
      <c r="CIZ185" s="125"/>
      <c r="CJA185" s="125"/>
      <c r="CJB185" s="125"/>
      <c r="CJC185" s="125"/>
      <c r="CJD185" s="125"/>
      <c r="CJE185" s="125"/>
      <c r="CJF185" s="125"/>
      <c r="CJG185" s="125"/>
      <c r="CJH185" s="125"/>
      <c r="CJI185" s="125"/>
      <c r="CJJ185" s="125"/>
      <c r="CJK185" s="125"/>
      <c r="CJL185" s="125"/>
      <c r="CJM185" s="125"/>
      <c r="CJN185" s="125"/>
      <c r="CJO185" s="125"/>
      <c r="CJP185" s="125"/>
      <c r="CJQ185" s="125"/>
      <c r="CJR185" s="125"/>
      <c r="CJS185" s="125"/>
      <c r="CJT185" s="125"/>
      <c r="CJU185" s="125"/>
      <c r="CJV185" s="125"/>
      <c r="CJW185" s="125"/>
      <c r="CJX185" s="125"/>
      <c r="CJY185" s="125"/>
      <c r="CJZ185" s="125"/>
      <c r="CKA185" s="125"/>
      <c r="CKB185" s="125"/>
      <c r="CKC185" s="125"/>
      <c r="CKD185" s="125"/>
      <c r="CKE185" s="125"/>
      <c r="CKF185" s="125"/>
      <c r="CKG185" s="125"/>
      <c r="CKH185" s="125"/>
      <c r="CKI185" s="125"/>
      <c r="CKJ185" s="125"/>
      <c r="CKK185" s="125"/>
      <c r="CKL185" s="125"/>
      <c r="CKM185" s="125"/>
      <c r="CKN185" s="125"/>
      <c r="CKO185" s="125"/>
      <c r="CKP185" s="125"/>
      <c r="CKQ185" s="125"/>
      <c r="CKR185" s="125"/>
      <c r="CKS185" s="125"/>
      <c r="CKT185" s="125"/>
      <c r="CKU185" s="125"/>
      <c r="CKV185" s="125"/>
      <c r="CKW185" s="125"/>
      <c r="CKX185" s="125"/>
      <c r="CKY185" s="125"/>
      <c r="CKZ185" s="125"/>
      <c r="CLA185" s="125"/>
      <c r="CLB185" s="125"/>
      <c r="CLC185" s="125"/>
      <c r="CLD185" s="125"/>
      <c r="CLE185" s="125"/>
      <c r="CLF185" s="125"/>
      <c r="CLG185" s="125"/>
      <c r="CLH185" s="125"/>
      <c r="CLI185" s="125"/>
      <c r="CLJ185" s="125"/>
      <c r="CLK185" s="125"/>
      <c r="CLL185" s="125"/>
      <c r="CLM185" s="125"/>
      <c r="CLN185" s="125"/>
      <c r="CLO185" s="125"/>
      <c r="CLP185" s="125"/>
      <c r="CLQ185" s="125"/>
      <c r="CLR185" s="125"/>
      <c r="CLS185" s="125"/>
      <c r="CLT185" s="125"/>
      <c r="CLU185" s="125"/>
      <c r="CLV185" s="125"/>
      <c r="CLW185" s="125"/>
      <c r="CLX185" s="125"/>
      <c r="CLY185" s="125"/>
      <c r="CLZ185" s="125"/>
      <c r="CMA185" s="125"/>
      <c r="CMB185" s="125"/>
      <c r="CMC185" s="125"/>
      <c r="CMD185" s="125"/>
      <c r="CME185" s="125"/>
      <c r="CMF185" s="125"/>
      <c r="CMG185" s="125"/>
      <c r="CMH185" s="125"/>
      <c r="CMI185" s="125"/>
      <c r="CMJ185" s="125"/>
      <c r="CMK185" s="125"/>
      <c r="CML185" s="125"/>
      <c r="CMM185" s="125"/>
      <c r="CMN185" s="125"/>
      <c r="CMO185" s="125"/>
      <c r="CMP185" s="125"/>
      <c r="CMQ185" s="125"/>
      <c r="CMR185" s="125"/>
      <c r="CMS185" s="125"/>
      <c r="CMT185" s="125"/>
      <c r="CMU185" s="125"/>
      <c r="CMV185" s="125"/>
      <c r="CMW185" s="125"/>
      <c r="CMX185" s="125"/>
      <c r="CMY185" s="125"/>
      <c r="CMZ185" s="125"/>
      <c r="CNA185" s="125"/>
      <c r="CNB185" s="125"/>
      <c r="CNC185" s="125"/>
      <c r="CND185" s="125"/>
      <c r="CNE185" s="125"/>
      <c r="CNF185" s="125"/>
      <c r="CNG185" s="125"/>
      <c r="CNH185" s="125"/>
      <c r="CNI185" s="125"/>
      <c r="CNJ185" s="125"/>
      <c r="CNK185" s="125"/>
      <c r="CNL185" s="125"/>
      <c r="CNM185" s="125"/>
      <c r="CNN185" s="125"/>
      <c r="CNO185" s="125"/>
      <c r="CNP185" s="125"/>
      <c r="CNQ185" s="125"/>
      <c r="CNR185" s="125"/>
      <c r="CNS185" s="125"/>
      <c r="CNT185" s="125"/>
      <c r="CNU185" s="125"/>
      <c r="CNV185" s="125"/>
      <c r="CNW185" s="125"/>
      <c r="CNX185" s="125"/>
      <c r="CNY185" s="125"/>
      <c r="CNZ185" s="125"/>
      <c r="COA185" s="125"/>
      <c r="COB185" s="125"/>
      <c r="COC185" s="125"/>
      <c r="COD185" s="125"/>
      <c r="COE185" s="125"/>
      <c r="COF185" s="125"/>
      <c r="COG185" s="125"/>
      <c r="COH185" s="125"/>
      <c r="COI185" s="125"/>
      <c r="COJ185" s="125"/>
      <c r="COK185" s="125"/>
      <c r="COL185" s="125"/>
      <c r="COM185" s="125"/>
      <c r="CON185" s="125"/>
      <c r="COO185" s="125"/>
      <c r="COP185" s="125"/>
      <c r="COQ185" s="125"/>
      <c r="COR185" s="125"/>
      <c r="COS185" s="125"/>
      <c r="COT185" s="125"/>
      <c r="COU185" s="125"/>
      <c r="COV185" s="125"/>
      <c r="COW185" s="125"/>
      <c r="COX185" s="125"/>
      <c r="COY185" s="125"/>
      <c r="COZ185" s="125"/>
      <c r="CPA185" s="125"/>
      <c r="CPB185" s="125"/>
      <c r="CPC185" s="125"/>
      <c r="CPD185" s="125"/>
      <c r="CPE185" s="125"/>
      <c r="CPF185" s="125"/>
      <c r="CPG185" s="125"/>
      <c r="CPH185" s="125"/>
      <c r="CPI185" s="125"/>
      <c r="CPJ185" s="125"/>
      <c r="CPK185" s="125"/>
      <c r="CPL185" s="125"/>
      <c r="CPM185" s="125"/>
      <c r="CPN185" s="125"/>
      <c r="CPO185" s="125"/>
      <c r="CPP185" s="125"/>
      <c r="CPQ185" s="125"/>
      <c r="CPR185" s="125"/>
      <c r="CPS185" s="125"/>
      <c r="CPT185" s="125"/>
      <c r="CPU185" s="125"/>
      <c r="CPV185" s="125"/>
      <c r="CPW185" s="125"/>
      <c r="CPX185" s="125"/>
      <c r="CPY185" s="125"/>
      <c r="CPZ185" s="125"/>
      <c r="CQA185" s="125"/>
      <c r="CQB185" s="125"/>
      <c r="CQC185" s="125"/>
      <c r="CQD185" s="125"/>
      <c r="CQE185" s="125"/>
      <c r="CQF185" s="125"/>
      <c r="CQG185" s="125"/>
      <c r="CQH185" s="125"/>
      <c r="CQI185" s="125"/>
      <c r="CQJ185" s="125"/>
      <c r="CQK185" s="125"/>
      <c r="CQL185" s="125"/>
      <c r="CQM185" s="125"/>
      <c r="CQN185" s="125"/>
      <c r="CQO185" s="125"/>
      <c r="CQP185" s="125"/>
      <c r="CQQ185" s="125"/>
      <c r="CQR185" s="125"/>
      <c r="CQS185" s="125"/>
      <c r="CQT185" s="125"/>
      <c r="CQU185" s="125"/>
      <c r="CQV185" s="125"/>
      <c r="CQW185" s="125"/>
      <c r="CQX185" s="125"/>
      <c r="CQY185" s="125"/>
      <c r="CQZ185" s="125"/>
      <c r="CRA185" s="125"/>
      <c r="CRB185" s="125"/>
      <c r="CRC185" s="125"/>
      <c r="CRD185" s="125"/>
      <c r="CRE185" s="125"/>
      <c r="CRF185" s="125"/>
      <c r="CRG185" s="125"/>
      <c r="CRH185" s="125"/>
      <c r="CRI185" s="125"/>
      <c r="CRJ185" s="125"/>
      <c r="CRK185" s="125"/>
      <c r="CRL185" s="125"/>
      <c r="CRM185" s="125"/>
      <c r="CRN185" s="125"/>
      <c r="CRO185" s="125"/>
      <c r="CRP185" s="125"/>
      <c r="CRQ185" s="125"/>
      <c r="CRR185" s="125"/>
      <c r="CRS185" s="125"/>
      <c r="CRT185" s="125"/>
      <c r="CRU185" s="125"/>
      <c r="CRV185" s="125"/>
      <c r="CRW185" s="125"/>
      <c r="CRX185" s="125"/>
      <c r="CRY185" s="125"/>
      <c r="CRZ185" s="125"/>
      <c r="CSA185" s="125"/>
      <c r="CSB185" s="125"/>
      <c r="CSC185" s="125"/>
      <c r="CSD185" s="125"/>
      <c r="CSE185" s="125"/>
      <c r="CSF185" s="125"/>
      <c r="CSG185" s="125"/>
      <c r="CSH185" s="125"/>
      <c r="CSI185" s="125"/>
      <c r="CSJ185" s="125"/>
      <c r="CSK185" s="125"/>
      <c r="CSL185" s="125"/>
      <c r="CSM185" s="125"/>
      <c r="CSN185" s="125"/>
      <c r="CSO185" s="125"/>
      <c r="CSP185" s="125"/>
      <c r="CSQ185" s="125"/>
      <c r="CSR185" s="125"/>
      <c r="CSS185" s="125"/>
      <c r="CST185" s="125"/>
      <c r="CSU185" s="125"/>
      <c r="CSV185" s="125"/>
      <c r="CSW185" s="125"/>
      <c r="CSX185" s="125"/>
      <c r="CSY185" s="125"/>
      <c r="CSZ185" s="125"/>
      <c r="CTA185" s="125"/>
      <c r="CTB185" s="125"/>
      <c r="CTC185" s="125"/>
      <c r="CTD185" s="125"/>
      <c r="CTE185" s="125"/>
      <c r="CTF185" s="125"/>
      <c r="CTG185" s="125"/>
      <c r="CTH185" s="125"/>
      <c r="CTI185" s="125"/>
      <c r="CTJ185" s="125"/>
      <c r="CTK185" s="125"/>
      <c r="CTL185" s="125"/>
      <c r="CTM185" s="125"/>
      <c r="CTN185" s="125"/>
      <c r="CTO185" s="125"/>
      <c r="CTP185" s="125"/>
      <c r="CTQ185" s="125"/>
      <c r="CTR185" s="125"/>
      <c r="CTS185" s="125"/>
      <c r="CTT185" s="125"/>
      <c r="CTU185" s="125"/>
      <c r="CTV185" s="125"/>
      <c r="CTW185" s="125"/>
      <c r="CTX185" s="125"/>
      <c r="CTY185" s="125"/>
      <c r="CTZ185" s="125"/>
      <c r="CUA185" s="125"/>
      <c r="CUB185" s="125"/>
      <c r="CUC185" s="125"/>
      <c r="CUD185" s="125"/>
      <c r="CUE185" s="125"/>
      <c r="CUF185" s="125"/>
      <c r="CUG185" s="125"/>
      <c r="CUH185" s="125"/>
      <c r="CUI185" s="125"/>
      <c r="CUJ185" s="125"/>
      <c r="CUK185" s="125"/>
      <c r="CUL185" s="125"/>
      <c r="CUM185" s="125"/>
      <c r="CUN185" s="125"/>
      <c r="CUO185" s="125"/>
      <c r="CUP185" s="125"/>
      <c r="CUQ185" s="125"/>
      <c r="CUR185" s="125"/>
      <c r="CUS185" s="125"/>
      <c r="CUT185" s="125"/>
      <c r="CUU185" s="125"/>
      <c r="CUV185" s="125"/>
      <c r="CUW185" s="125"/>
      <c r="CUX185" s="125"/>
      <c r="CUY185" s="125"/>
      <c r="CUZ185" s="125"/>
      <c r="CVA185" s="125"/>
      <c r="CVB185" s="125"/>
      <c r="CVC185" s="125"/>
      <c r="CVD185" s="125"/>
      <c r="CVE185" s="125"/>
      <c r="CVF185" s="125"/>
      <c r="CVG185" s="125"/>
      <c r="CVH185" s="125"/>
      <c r="CVI185" s="125"/>
      <c r="CVJ185" s="125"/>
      <c r="CVK185" s="125"/>
      <c r="CVL185" s="125"/>
      <c r="CVM185" s="125"/>
      <c r="CVN185" s="125"/>
      <c r="CVO185" s="125"/>
      <c r="CVP185" s="125"/>
      <c r="CVQ185" s="125"/>
      <c r="CVR185" s="125"/>
      <c r="CVS185" s="125"/>
      <c r="CVT185" s="125"/>
      <c r="CVU185" s="125"/>
      <c r="CVV185" s="125"/>
      <c r="CVW185" s="125"/>
      <c r="CVX185" s="125"/>
      <c r="CVY185" s="125"/>
      <c r="CVZ185" s="125"/>
      <c r="CWA185" s="125"/>
      <c r="CWB185" s="125"/>
      <c r="CWC185" s="125"/>
      <c r="CWD185" s="125"/>
      <c r="CWE185" s="125"/>
      <c r="CWF185" s="125"/>
      <c r="CWG185" s="125"/>
      <c r="CWH185" s="125"/>
      <c r="CWI185" s="125"/>
      <c r="CWJ185" s="125"/>
      <c r="CWK185" s="125"/>
      <c r="CWL185" s="125"/>
      <c r="CWM185" s="125"/>
      <c r="CWN185" s="125"/>
      <c r="CWO185" s="125"/>
      <c r="CWP185" s="125"/>
      <c r="CWQ185" s="125"/>
      <c r="CWR185" s="125"/>
      <c r="CWS185" s="125"/>
      <c r="CWT185" s="125"/>
      <c r="CWU185" s="125"/>
      <c r="CWV185" s="125"/>
      <c r="CWW185" s="125"/>
      <c r="CWX185" s="125"/>
      <c r="CWY185" s="125"/>
      <c r="CWZ185" s="125"/>
      <c r="CXA185" s="125"/>
      <c r="CXB185" s="125"/>
      <c r="CXC185" s="125"/>
      <c r="CXD185" s="125"/>
      <c r="CXE185" s="125"/>
      <c r="CXF185" s="125"/>
      <c r="CXG185" s="125"/>
      <c r="CXH185" s="125"/>
      <c r="CXI185" s="125"/>
      <c r="CXJ185" s="125"/>
      <c r="CXK185" s="125"/>
      <c r="CXL185" s="125"/>
      <c r="CXM185" s="125"/>
      <c r="CXN185" s="125"/>
      <c r="CXO185" s="125"/>
      <c r="CXP185" s="125"/>
      <c r="CXQ185" s="125"/>
      <c r="CXR185" s="125"/>
      <c r="CXS185" s="125"/>
      <c r="CXT185" s="125"/>
      <c r="CXU185" s="125"/>
      <c r="CXV185" s="125"/>
      <c r="CXW185" s="125"/>
      <c r="CXX185" s="125"/>
      <c r="CXY185" s="125"/>
      <c r="CXZ185" s="125"/>
      <c r="CYA185" s="125"/>
      <c r="CYB185" s="125"/>
      <c r="CYC185" s="125"/>
      <c r="CYD185" s="125"/>
      <c r="CYE185" s="125"/>
      <c r="CYF185" s="125"/>
      <c r="CYG185" s="125"/>
      <c r="CYH185" s="125"/>
      <c r="CYI185" s="125"/>
      <c r="CYJ185" s="125"/>
      <c r="CYK185" s="125"/>
      <c r="CYL185" s="125"/>
      <c r="CYM185" s="125"/>
      <c r="CYN185" s="125"/>
      <c r="CYO185" s="125"/>
      <c r="CYP185" s="125"/>
      <c r="CYQ185" s="125"/>
      <c r="CYR185" s="125"/>
      <c r="CYS185" s="125"/>
      <c r="CYT185" s="125"/>
      <c r="CYU185" s="125"/>
      <c r="CYV185" s="125"/>
      <c r="CYW185" s="125"/>
      <c r="CYX185" s="125"/>
      <c r="CYY185" s="125"/>
      <c r="CYZ185" s="125"/>
      <c r="CZA185" s="125"/>
      <c r="CZB185" s="125"/>
      <c r="CZC185" s="125"/>
      <c r="CZD185" s="125"/>
      <c r="CZE185" s="125"/>
      <c r="CZF185" s="125"/>
      <c r="CZG185" s="125"/>
      <c r="CZH185" s="125"/>
      <c r="CZI185" s="125"/>
      <c r="CZJ185" s="125"/>
      <c r="CZK185" s="125"/>
      <c r="CZL185" s="125"/>
      <c r="CZM185" s="125"/>
      <c r="CZN185" s="125"/>
      <c r="CZO185" s="125"/>
      <c r="CZP185" s="125"/>
      <c r="CZQ185" s="125"/>
      <c r="CZR185" s="125"/>
      <c r="CZS185" s="125"/>
      <c r="CZT185" s="125"/>
      <c r="CZU185" s="125"/>
      <c r="CZV185" s="125"/>
      <c r="CZW185" s="125"/>
      <c r="CZX185" s="125"/>
      <c r="CZY185" s="125"/>
      <c r="CZZ185" s="125"/>
      <c r="DAA185" s="125"/>
      <c r="DAB185" s="125"/>
      <c r="DAC185" s="125"/>
      <c r="DAD185" s="125"/>
      <c r="DAE185" s="125"/>
      <c r="DAF185" s="125"/>
      <c r="DAG185" s="125"/>
      <c r="DAH185" s="125"/>
      <c r="DAI185" s="125"/>
      <c r="DAJ185" s="125"/>
      <c r="DAK185" s="125"/>
      <c r="DAL185" s="125"/>
      <c r="DAM185" s="125"/>
      <c r="DAN185" s="125"/>
      <c r="DAO185" s="125"/>
      <c r="DAP185" s="125"/>
      <c r="DAQ185" s="125"/>
      <c r="DAR185" s="125"/>
      <c r="DAS185" s="125"/>
      <c r="DAT185" s="125"/>
      <c r="DAU185" s="125"/>
      <c r="DAV185" s="125"/>
      <c r="DAW185" s="125"/>
      <c r="DAX185" s="125"/>
      <c r="DAY185" s="125"/>
      <c r="DAZ185" s="125"/>
      <c r="DBA185" s="125"/>
      <c r="DBB185" s="125"/>
      <c r="DBC185" s="125"/>
      <c r="DBD185" s="125"/>
      <c r="DBE185" s="125"/>
      <c r="DBF185" s="125"/>
      <c r="DBG185" s="125"/>
      <c r="DBH185" s="125"/>
      <c r="DBI185" s="125"/>
      <c r="DBJ185" s="125"/>
      <c r="DBK185" s="125"/>
      <c r="DBL185" s="125"/>
      <c r="DBM185" s="125"/>
      <c r="DBN185" s="125"/>
      <c r="DBO185" s="125"/>
      <c r="DBP185" s="125"/>
      <c r="DBQ185" s="125"/>
      <c r="DBR185" s="125"/>
      <c r="DBS185" s="125"/>
      <c r="DBT185" s="125"/>
      <c r="DBU185" s="125"/>
      <c r="DBV185" s="125"/>
      <c r="DBW185" s="125"/>
      <c r="DBX185" s="125"/>
      <c r="DBY185" s="125"/>
      <c r="DBZ185" s="125"/>
      <c r="DCA185" s="125"/>
      <c r="DCB185" s="125"/>
      <c r="DCC185" s="125"/>
      <c r="DCD185" s="125"/>
      <c r="DCE185" s="125"/>
      <c r="DCF185" s="125"/>
      <c r="DCG185" s="125"/>
      <c r="DCH185" s="125"/>
      <c r="DCI185" s="125"/>
      <c r="DCJ185" s="125"/>
      <c r="DCK185" s="125"/>
      <c r="DCL185" s="125"/>
      <c r="DCM185" s="125"/>
      <c r="DCN185" s="125"/>
      <c r="DCO185" s="125"/>
      <c r="DCP185" s="125"/>
      <c r="DCQ185" s="125"/>
      <c r="DCR185" s="125"/>
      <c r="DCS185" s="125"/>
      <c r="DCT185" s="125"/>
      <c r="DCU185" s="125"/>
      <c r="DCV185" s="125"/>
      <c r="DCW185" s="125"/>
      <c r="DCX185" s="125"/>
      <c r="DCY185" s="125"/>
      <c r="DCZ185" s="125"/>
      <c r="DDA185" s="125"/>
      <c r="DDB185" s="125"/>
      <c r="DDC185" s="125"/>
      <c r="DDD185" s="125"/>
      <c r="DDE185" s="125"/>
      <c r="DDF185" s="125"/>
      <c r="DDG185" s="125"/>
      <c r="DDH185" s="125"/>
      <c r="DDI185" s="125"/>
      <c r="DDJ185" s="125"/>
      <c r="DDK185" s="125"/>
      <c r="DDL185" s="125"/>
      <c r="DDM185" s="125"/>
      <c r="DDN185" s="125"/>
      <c r="DDO185" s="125"/>
      <c r="DDP185" s="125"/>
      <c r="DDQ185" s="125"/>
      <c r="DDR185" s="125"/>
      <c r="DDS185" s="125"/>
      <c r="DDT185" s="125"/>
      <c r="DDU185" s="125"/>
      <c r="DDV185" s="125"/>
      <c r="DDW185" s="125"/>
      <c r="DDX185" s="125"/>
      <c r="DDY185" s="125"/>
      <c r="DDZ185" s="125"/>
      <c r="DEA185" s="125"/>
      <c r="DEB185" s="125"/>
      <c r="DEC185" s="125"/>
      <c r="DED185" s="125"/>
      <c r="DEE185" s="125"/>
      <c r="DEF185" s="125"/>
      <c r="DEG185" s="125"/>
      <c r="DEH185" s="125"/>
      <c r="DEI185" s="125"/>
      <c r="DEJ185" s="125"/>
      <c r="DEK185" s="125"/>
      <c r="DEL185" s="125"/>
      <c r="DEM185" s="125"/>
      <c r="DEN185" s="125"/>
      <c r="DEO185" s="125"/>
      <c r="DEP185" s="125"/>
      <c r="DEQ185" s="125"/>
      <c r="DER185" s="125"/>
      <c r="DES185" s="125"/>
      <c r="DET185" s="125"/>
      <c r="DEU185" s="125"/>
      <c r="DEV185" s="125"/>
      <c r="DEW185" s="125"/>
      <c r="DEX185" s="125"/>
      <c r="DEY185" s="125"/>
      <c r="DEZ185" s="125"/>
      <c r="DFA185" s="125"/>
      <c r="DFB185" s="125"/>
      <c r="DFC185" s="125"/>
      <c r="DFD185" s="125"/>
      <c r="DFE185" s="125"/>
      <c r="DFF185" s="125"/>
      <c r="DFG185" s="125"/>
      <c r="DFH185" s="125"/>
      <c r="DFI185" s="125"/>
      <c r="DFJ185" s="125"/>
      <c r="DFK185" s="125"/>
      <c r="DFL185" s="125"/>
      <c r="DFM185" s="125"/>
      <c r="DFN185" s="125"/>
      <c r="DFO185" s="125"/>
      <c r="DFP185" s="125"/>
      <c r="DFQ185" s="125"/>
      <c r="DFR185" s="125"/>
      <c r="DFS185" s="125"/>
      <c r="DFT185" s="125"/>
      <c r="DFU185" s="125"/>
      <c r="DFV185" s="125"/>
      <c r="DFW185" s="125"/>
      <c r="DFX185" s="125"/>
      <c r="DFY185" s="125"/>
      <c r="DFZ185" s="125"/>
      <c r="DGA185" s="125"/>
      <c r="DGB185" s="125"/>
      <c r="DGC185" s="125"/>
      <c r="DGD185" s="125"/>
      <c r="DGE185" s="125"/>
      <c r="DGF185" s="125"/>
      <c r="DGG185" s="125"/>
      <c r="DGH185" s="125"/>
      <c r="DGI185" s="125"/>
      <c r="DGJ185" s="125"/>
      <c r="DGK185" s="125"/>
      <c r="DGL185" s="125"/>
      <c r="DGM185" s="125"/>
      <c r="DGN185" s="125"/>
      <c r="DGO185" s="125"/>
      <c r="DGP185" s="125"/>
      <c r="DGQ185" s="125"/>
      <c r="DGR185" s="125"/>
      <c r="DGS185" s="125"/>
      <c r="DGT185" s="125"/>
      <c r="DGU185" s="125"/>
      <c r="DGV185" s="125"/>
      <c r="DGW185" s="125"/>
      <c r="DGX185" s="125"/>
      <c r="DGY185" s="125"/>
      <c r="DGZ185" s="125"/>
      <c r="DHA185" s="125"/>
      <c r="DHB185" s="125"/>
      <c r="DHC185" s="125"/>
      <c r="DHD185" s="125"/>
      <c r="DHE185" s="125"/>
      <c r="DHF185" s="125"/>
      <c r="DHG185" s="125"/>
      <c r="DHH185" s="125"/>
      <c r="DHI185" s="125"/>
      <c r="DHJ185" s="125"/>
      <c r="DHK185" s="125"/>
      <c r="DHL185" s="125"/>
      <c r="DHM185" s="125"/>
      <c r="DHN185" s="125"/>
      <c r="DHO185" s="125"/>
      <c r="DHP185" s="125"/>
      <c r="DHQ185" s="125"/>
      <c r="DHR185" s="125"/>
      <c r="DHS185" s="125"/>
      <c r="DHT185" s="125"/>
      <c r="DHU185" s="125"/>
      <c r="DHV185" s="125"/>
      <c r="DHW185" s="125"/>
      <c r="DHX185" s="125"/>
      <c r="DHY185" s="125"/>
      <c r="DHZ185" s="125"/>
      <c r="DIA185" s="125"/>
      <c r="DIB185" s="125"/>
      <c r="DIC185" s="125"/>
      <c r="DID185" s="125"/>
      <c r="DIE185" s="125"/>
      <c r="DIF185" s="125"/>
      <c r="DIG185" s="125"/>
      <c r="DIH185" s="125"/>
      <c r="DII185" s="125"/>
      <c r="DIJ185" s="125"/>
      <c r="DIK185" s="125"/>
      <c r="DIL185" s="125"/>
      <c r="DIM185" s="125"/>
      <c r="DIN185" s="125"/>
      <c r="DIO185" s="125"/>
      <c r="DIP185" s="125"/>
      <c r="DIQ185" s="125"/>
      <c r="DIR185" s="125"/>
      <c r="DIS185" s="125"/>
      <c r="DIT185" s="125"/>
      <c r="DIU185" s="125"/>
      <c r="DIV185" s="125"/>
      <c r="DIW185" s="125"/>
      <c r="DIX185" s="125"/>
      <c r="DIY185" s="125"/>
      <c r="DIZ185" s="125"/>
      <c r="DJA185" s="125"/>
      <c r="DJB185" s="125"/>
      <c r="DJC185" s="125"/>
      <c r="DJD185" s="125"/>
      <c r="DJE185" s="125"/>
      <c r="DJF185" s="125"/>
      <c r="DJG185" s="125"/>
      <c r="DJH185" s="125"/>
      <c r="DJI185" s="125"/>
      <c r="DJJ185" s="125"/>
      <c r="DJK185" s="125"/>
      <c r="DJL185" s="125"/>
      <c r="DJM185" s="125"/>
      <c r="DJN185" s="125"/>
      <c r="DJO185" s="125"/>
      <c r="DJP185" s="125"/>
      <c r="DJQ185" s="125"/>
      <c r="DJR185" s="125"/>
      <c r="DJS185" s="125"/>
      <c r="DJT185" s="125"/>
      <c r="DJU185" s="125"/>
      <c r="DJV185" s="125"/>
      <c r="DJW185" s="125"/>
      <c r="DJX185" s="125"/>
      <c r="DJY185" s="125"/>
      <c r="DJZ185" s="125"/>
      <c r="DKA185" s="125"/>
      <c r="DKB185" s="125"/>
      <c r="DKC185" s="125"/>
      <c r="DKD185" s="125"/>
      <c r="DKE185" s="125"/>
      <c r="DKF185" s="125"/>
      <c r="DKG185" s="125"/>
      <c r="DKH185" s="125"/>
      <c r="DKI185" s="125"/>
      <c r="DKJ185" s="125"/>
      <c r="DKK185" s="125"/>
      <c r="DKL185" s="125"/>
      <c r="DKM185" s="125"/>
      <c r="DKN185" s="125"/>
      <c r="DKO185" s="125"/>
      <c r="DKP185" s="125"/>
      <c r="DKQ185" s="125"/>
      <c r="DKR185" s="125"/>
      <c r="DKS185" s="125"/>
      <c r="DKT185" s="125"/>
      <c r="DKU185" s="125"/>
      <c r="DKV185" s="125"/>
      <c r="DKW185" s="125"/>
      <c r="DKX185" s="125"/>
      <c r="DKY185" s="125"/>
      <c r="DKZ185" s="125"/>
      <c r="DLA185" s="125"/>
      <c r="DLB185" s="125"/>
      <c r="DLC185" s="125"/>
      <c r="DLD185" s="125"/>
      <c r="DLE185" s="125"/>
      <c r="DLF185" s="125"/>
      <c r="DLG185" s="125"/>
      <c r="DLH185" s="125"/>
      <c r="DLI185" s="125"/>
      <c r="DLJ185" s="125"/>
      <c r="DLK185" s="125"/>
      <c r="DLL185" s="125"/>
      <c r="DLM185" s="125"/>
      <c r="DLN185" s="125"/>
      <c r="DLO185" s="125"/>
      <c r="DLP185" s="125"/>
      <c r="DLQ185" s="125"/>
      <c r="DLR185" s="125"/>
      <c r="DLS185" s="125"/>
      <c r="DLT185" s="125"/>
      <c r="DLU185" s="125"/>
      <c r="DLV185" s="125"/>
      <c r="DLW185" s="125"/>
      <c r="DLX185" s="125"/>
      <c r="DLY185" s="125"/>
      <c r="DLZ185" s="125"/>
      <c r="DMA185" s="125"/>
      <c r="DMB185" s="125"/>
      <c r="DMC185" s="125"/>
      <c r="DMD185" s="125"/>
      <c r="DME185" s="125"/>
      <c r="DMF185" s="125"/>
      <c r="DMG185" s="125"/>
      <c r="DMH185" s="125"/>
      <c r="DMI185" s="125"/>
      <c r="DMJ185" s="125"/>
      <c r="DMK185" s="125"/>
      <c r="DML185" s="125"/>
      <c r="DMM185" s="125"/>
      <c r="DMN185" s="125"/>
      <c r="DMO185" s="125"/>
      <c r="DMP185" s="125"/>
      <c r="DMQ185" s="125"/>
      <c r="DMR185" s="125"/>
      <c r="DMS185" s="125"/>
      <c r="DMT185" s="125"/>
      <c r="DMU185" s="125"/>
      <c r="DMV185" s="125"/>
      <c r="DMW185" s="125"/>
      <c r="DMX185" s="125"/>
      <c r="DMY185" s="125"/>
      <c r="DMZ185" s="125"/>
      <c r="DNA185" s="125"/>
      <c r="DNB185" s="125"/>
      <c r="DNC185" s="125"/>
      <c r="DND185" s="125"/>
      <c r="DNE185" s="125"/>
      <c r="DNF185" s="125"/>
      <c r="DNG185" s="125"/>
      <c r="DNH185" s="125"/>
      <c r="DNI185" s="125"/>
      <c r="DNJ185" s="125"/>
      <c r="DNK185" s="125"/>
      <c r="DNL185" s="125"/>
      <c r="DNM185" s="125"/>
      <c r="DNN185" s="125"/>
      <c r="DNO185" s="125"/>
      <c r="DNP185" s="125"/>
      <c r="DNQ185" s="125"/>
      <c r="DNR185" s="125"/>
      <c r="DNS185" s="125"/>
      <c r="DNT185" s="125"/>
      <c r="DNU185" s="125"/>
      <c r="DNV185" s="125"/>
      <c r="DNW185" s="125"/>
      <c r="DNX185" s="125"/>
      <c r="DNY185" s="125"/>
      <c r="DNZ185" s="125"/>
      <c r="DOA185" s="125"/>
      <c r="DOB185" s="125"/>
      <c r="DOC185" s="125"/>
      <c r="DOD185" s="125"/>
      <c r="DOE185" s="125"/>
      <c r="DOF185" s="125"/>
      <c r="DOG185" s="125"/>
      <c r="DOH185" s="125"/>
      <c r="DOI185" s="125"/>
      <c r="DOJ185" s="125"/>
      <c r="DOK185" s="125"/>
      <c r="DOL185" s="125"/>
      <c r="DOM185" s="125"/>
      <c r="DON185" s="125"/>
      <c r="DOO185" s="125"/>
      <c r="DOP185" s="125"/>
      <c r="DOQ185" s="125"/>
      <c r="DOR185" s="125"/>
      <c r="DOS185" s="125"/>
      <c r="DOT185" s="125"/>
      <c r="DOU185" s="125"/>
      <c r="DOV185" s="125"/>
      <c r="DOW185" s="125"/>
      <c r="DOX185" s="125"/>
      <c r="DOY185" s="125"/>
      <c r="DOZ185" s="125"/>
      <c r="DPA185" s="125"/>
      <c r="DPB185" s="125"/>
      <c r="DPC185" s="125"/>
      <c r="DPD185" s="125"/>
      <c r="DPE185" s="125"/>
      <c r="DPF185" s="125"/>
      <c r="DPG185" s="125"/>
      <c r="DPH185" s="125"/>
      <c r="DPI185" s="125"/>
      <c r="DPJ185" s="125"/>
      <c r="DPK185" s="125"/>
      <c r="DPL185" s="125"/>
      <c r="DPM185" s="125"/>
      <c r="DPN185" s="125"/>
      <c r="DPO185" s="125"/>
      <c r="DPP185" s="125"/>
      <c r="DPQ185" s="125"/>
      <c r="DPR185" s="125"/>
      <c r="DPS185" s="125"/>
      <c r="DPT185" s="125"/>
      <c r="DPU185" s="125"/>
      <c r="DPV185" s="125"/>
      <c r="DPW185" s="125"/>
      <c r="DPX185" s="125"/>
      <c r="DPY185" s="125"/>
      <c r="DPZ185" s="125"/>
      <c r="DQA185" s="125"/>
      <c r="DQB185" s="125"/>
      <c r="DQC185" s="125"/>
      <c r="DQD185" s="125"/>
      <c r="DQE185" s="125"/>
      <c r="DQF185" s="125"/>
      <c r="DQG185" s="125"/>
      <c r="DQH185" s="125"/>
      <c r="DQI185" s="125"/>
      <c r="DQJ185" s="125"/>
      <c r="DQK185" s="125"/>
      <c r="DQL185" s="125"/>
      <c r="DQM185" s="125"/>
      <c r="DQN185" s="125"/>
      <c r="DQO185" s="125"/>
      <c r="DQP185" s="125"/>
      <c r="DQQ185" s="125"/>
      <c r="DQR185" s="125"/>
      <c r="DQS185" s="125"/>
      <c r="DQT185" s="125"/>
      <c r="DQU185" s="125"/>
      <c r="DQV185" s="125"/>
      <c r="DQW185" s="125"/>
      <c r="DQX185" s="125"/>
      <c r="DQY185" s="125"/>
      <c r="DQZ185" s="125"/>
      <c r="DRA185" s="125"/>
      <c r="DRB185" s="125"/>
      <c r="DRC185" s="125"/>
      <c r="DRD185" s="125"/>
      <c r="DRE185" s="125"/>
      <c r="DRF185" s="125"/>
      <c r="DRG185" s="125"/>
      <c r="DRH185" s="125"/>
      <c r="DRI185" s="125"/>
      <c r="DRJ185" s="125"/>
      <c r="DRK185" s="125"/>
      <c r="DRL185" s="125"/>
      <c r="DRM185" s="125"/>
      <c r="DRN185" s="125"/>
      <c r="DRO185" s="125"/>
      <c r="DRP185" s="125"/>
      <c r="DRQ185" s="125"/>
      <c r="DRR185" s="125"/>
      <c r="DRS185" s="125"/>
      <c r="DRT185" s="125"/>
      <c r="DRU185" s="125"/>
      <c r="DRV185" s="125"/>
      <c r="DRW185" s="125"/>
      <c r="DRX185" s="125"/>
      <c r="DRY185" s="125"/>
      <c r="DRZ185" s="125"/>
      <c r="DSA185" s="125"/>
      <c r="DSB185" s="125"/>
      <c r="DSC185" s="125"/>
      <c r="DSD185" s="125"/>
      <c r="DSE185" s="125"/>
      <c r="DSF185" s="125"/>
      <c r="DSG185" s="125"/>
      <c r="DSH185" s="125"/>
      <c r="DSI185" s="125"/>
      <c r="DSJ185" s="125"/>
      <c r="DSK185" s="125"/>
      <c r="DSL185" s="125"/>
      <c r="DSM185" s="125"/>
      <c r="DSN185" s="125"/>
      <c r="DSO185" s="125"/>
      <c r="DSP185" s="125"/>
      <c r="DSQ185" s="125"/>
      <c r="DSR185" s="125"/>
      <c r="DSS185" s="125"/>
      <c r="DST185" s="125"/>
      <c r="DSU185" s="125"/>
      <c r="DSV185" s="125"/>
      <c r="DSW185" s="125"/>
      <c r="DSX185" s="125"/>
      <c r="DSY185" s="125"/>
      <c r="DSZ185" s="125"/>
      <c r="DTA185" s="125"/>
      <c r="DTB185" s="125"/>
      <c r="DTC185" s="125"/>
      <c r="DTD185" s="125"/>
      <c r="DTE185" s="125"/>
      <c r="DTF185" s="125"/>
      <c r="DTG185" s="125"/>
      <c r="DTH185" s="125"/>
      <c r="DTI185" s="125"/>
      <c r="DTJ185" s="125"/>
      <c r="DTK185" s="125"/>
      <c r="DTL185" s="125"/>
      <c r="DTM185" s="125"/>
      <c r="DTN185" s="125"/>
      <c r="DTO185" s="125"/>
      <c r="DTP185" s="125"/>
      <c r="DTQ185" s="125"/>
      <c r="DTR185" s="125"/>
      <c r="DTS185" s="125"/>
      <c r="DTT185" s="125"/>
      <c r="DTU185" s="125"/>
      <c r="DTV185" s="125"/>
      <c r="DTW185" s="125"/>
      <c r="DTX185" s="125"/>
      <c r="DTY185" s="125"/>
      <c r="DTZ185" s="125"/>
      <c r="DUA185" s="125"/>
      <c r="DUB185" s="125"/>
      <c r="DUC185" s="125"/>
      <c r="DUD185" s="125"/>
      <c r="DUE185" s="125"/>
      <c r="DUF185" s="125"/>
      <c r="DUG185" s="125"/>
      <c r="DUH185" s="125"/>
      <c r="DUI185" s="125"/>
      <c r="DUJ185" s="125"/>
      <c r="DUK185" s="125"/>
      <c r="DUL185" s="125"/>
      <c r="DUM185" s="125"/>
      <c r="DUN185" s="125"/>
      <c r="DUO185" s="125"/>
      <c r="DUP185" s="125"/>
      <c r="DUQ185" s="125"/>
      <c r="DUR185" s="125"/>
      <c r="DUS185" s="125"/>
      <c r="DUT185" s="125"/>
      <c r="DUU185" s="125"/>
      <c r="DUV185" s="125"/>
      <c r="DUW185" s="125"/>
      <c r="DUX185" s="125"/>
      <c r="DUY185" s="125"/>
      <c r="DUZ185" s="125"/>
      <c r="DVA185" s="125"/>
      <c r="DVB185" s="125"/>
      <c r="DVC185" s="125"/>
      <c r="DVD185" s="125"/>
      <c r="DVE185" s="125"/>
      <c r="DVF185" s="125"/>
      <c r="DVG185" s="125"/>
      <c r="DVH185" s="125"/>
      <c r="DVI185" s="125"/>
      <c r="DVJ185" s="125"/>
      <c r="DVK185" s="125"/>
      <c r="DVL185" s="125"/>
      <c r="DVM185" s="125"/>
      <c r="DVN185" s="125"/>
      <c r="DVO185" s="125"/>
      <c r="DVP185" s="125"/>
      <c r="DVQ185" s="125"/>
      <c r="DVR185" s="125"/>
      <c r="DVS185" s="125"/>
      <c r="DVT185" s="125"/>
      <c r="DVU185" s="125"/>
      <c r="DVV185" s="125"/>
      <c r="DVW185" s="125"/>
      <c r="DVX185" s="125"/>
      <c r="DVY185" s="125"/>
      <c r="DVZ185" s="125"/>
      <c r="DWA185" s="125"/>
      <c r="DWB185" s="125"/>
      <c r="DWC185" s="125"/>
      <c r="DWD185" s="125"/>
      <c r="DWE185" s="125"/>
      <c r="DWF185" s="125"/>
      <c r="DWG185" s="125"/>
      <c r="DWH185" s="125"/>
      <c r="DWI185" s="125"/>
      <c r="DWJ185" s="125"/>
      <c r="DWK185" s="125"/>
      <c r="DWL185" s="125"/>
      <c r="DWM185" s="125"/>
      <c r="DWN185" s="125"/>
      <c r="DWO185" s="125"/>
      <c r="DWP185" s="125"/>
      <c r="DWQ185" s="125"/>
      <c r="DWR185" s="125"/>
      <c r="DWS185" s="125"/>
      <c r="DWT185" s="125"/>
      <c r="DWU185" s="125"/>
      <c r="DWV185" s="125"/>
      <c r="DWW185" s="125"/>
      <c r="DWX185" s="125"/>
      <c r="DWY185" s="125"/>
      <c r="DWZ185" s="125"/>
      <c r="DXA185" s="125"/>
      <c r="DXB185" s="125"/>
      <c r="DXC185" s="125"/>
      <c r="DXD185" s="125"/>
      <c r="DXE185" s="125"/>
      <c r="DXF185" s="125"/>
      <c r="DXG185" s="125"/>
      <c r="DXH185" s="125"/>
      <c r="DXI185" s="125"/>
      <c r="DXJ185" s="125"/>
      <c r="DXK185" s="125"/>
      <c r="DXL185" s="125"/>
      <c r="DXM185" s="125"/>
      <c r="DXN185" s="125"/>
      <c r="DXO185" s="125"/>
      <c r="DXP185" s="125"/>
      <c r="DXQ185" s="125"/>
      <c r="DXR185" s="125"/>
      <c r="DXS185" s="125"/>
      <c r="DXT185" s="125"/>
      <c r="DXU185" s="125"/>
      <c r="DXV185" s="125"/>
      <c r="DXW185" s="125"/>
      <c r="DXX185" s="125"/>
      <c r="DXY185" s="125"/>
      <c r="DXZ185" s="125"/>
      <c r="DYA185" s="125"/>
      <c r="DYB185" s="125"/>
      <c r="DYC185" s="125"/>
      <c r="DYD185" s="125"/>
      <c r="DYE185" s="125"/>
      <c r="DYF185" s="125"/>
      <c r="DYG185" s="125"/>
      <c r="DYH185" s="125"/>
      <c r="DYI185" s="125"/>
      <c r="DYJ185" s="125"/>
      <c r="DYK185" s="125"/>
      <c r="DYL185" s="125"/>
      <c r="DYM185" s="125"/>
      <c r="DYN185" s="125"/>
      <c r="DYO185" s="125"/>
      <c r="DYP185" s="125"/>
      <c r="DYQ185" s="125"/>
      <c r="DYR185" s="125"/>
      <c r="DYS185" s="125"/>
      <c r="DYT185" s="125"/>
      <c r="DYU185" s="125"/>
      <c r="DYV185" s="125"/>
      <c r="DYW185" s="125"/>
      <c r="DYX185" s="125"/>
      <c r="DYY185" s="125"/>
      <c r="DYZ185" s="125"/>
      <c r="DZA185" s="125"/>
      <c r="DZB185" s="125"/>
      <c r="DZC185" s="125"/>
      <c r="DZD185" s="125"/>
      <c r="DZE185" s="125"/>
      <c r="DZF185" s="125"/>
      <c r="DZG185" s="125"/>
      <c r="DZH185" s="125"/>
      <c r="DZI185" s="125"/>
      <c r="DZJ185" s="125"/>
      <c r="DZK185" s="125"/>
      <c r="DZL185" s="125"/>
      <c r="DZM185" s="125"/>
      <c r="DZN185" s="125"/>
      <c r="DZO185" s="125"/>
      <c r="DZP185" s="125"/>
      <c r="DZQ185" s="125"/>
      <c r="DZR185" s="125"/>
      <c r="DZS185" s="125"/>
      <c r="DZT185" s="125"/>
      <c r="DZU185" s="125"/>
      <c r="DZV185" s="125"/>
      <c r="DZW185" s="125"/>
      <c r="DZX185" s="125"/>
      <c r="DZY185" s="125"/>
      <c r="DZZ185" s="125"/>
      <c r="EAA185" s="125"/>
      <c r="EAB185" s="125"/>
      <c r="EAC185" s="125"/>
      <c r="EAD185" s="125"/>
      <c r="EAE185" s="125"/>
      <c r="EAF185" s="125"/>
      <c r="EAG185" s="125"/>
      <c r="EAH185" s="125"/>
      <c r="EAI185" s="125"/>
      <c r="EAJ185" s="125"/>
      <c r="EAK185" s="125"/>
      <c r="EAL185" s="125"/>
      <c r="EAM185" s="125"/>
      <c r="EAN185" s="125"/>
      <c r="EAO185" s="125"/>
      <c r="EAP185" s="125"/>
      <c r="EAQ185" s="125"/>
      <c r="EAR185" s="125"/>
      <c r="EAS185" s="125"/>
      <c r="EAT185" s="125"/>
      <c r="EAU185" s="125"/>
      <c r="EAV185" s="125"/>
      <c r="EAW185" s="125"/>
      <c r="EAX185" s="125"/>
      <c r="EAY185" s="125"/>
      <c r="EAZ185" s="125"/>
      <c r="EBA185" s="125"/>
      <c r="EBB185" s="125"/>
      <c r="EBC185" s="125"/>
      <c r="EBD185" s="125"/>
      <c r="EBE185" s="125"/>
      <c r="EBF185" s="125"/>
      <c r="EBG185" s="125"/>
      <c r="EBH185" s="125"/>
      <c r="EBI185" s="125"/>
      <c r="EBJ185" s="125"/>
      <c r="EBK185" s="125"/>
      <c r="EBL185" s="125"/>
      <c r="EBM185" s="125"/>
      <c r="EBN185" s="125"/>
      <c r="EBO185" s="125"/>
      <c r="EBP185" s="125"/>
      <c r="EBQ185" s="125"/>
      <c r="EBR185" s="125"/>
      <c r="EBS185" s="125"/>
      <c r="EBT185" s="125"/>
      <c r="EBU185" s="125"/>
      <c r="EBV185" s="125"/>
      <c r="EBW185" s="125"/>
      <c r="EBX185" s="125"/>
      <c r="EBY185" s="125"/>
      <c r="EBZ185" s="125"/>
      <c r="ECA185" s="125"/>
      <c r="ECB185" s="125"/>
      <c r="ECC185" s="125"/>
      <c r="ECD185" s="125"/>
      <c r="ECE185" s="125"/>
      <c r="ECF185" s="125"/>
      <c r="ECG185" s="125"/>
      <c r="ECH185" s="125"/>
      <c r="ECI185" s="125"/>
      <c r="ECJ185" s="125"/>
      <c r="ECK185" s="125"/>
      <c r="ECL185" s="125"/>
      <c r="ECM185" s="125"/>
      <c r="ECN185" s="125"/>
      <c r="ECO185" s="125"/>
      <c r="ECP185" s="125"/>
      <c r="ECQ185" s="125"/>
      <c r="ECR185" s="125"/>
      <c r="ECS185" s="125"/>
      <c r="ECT185" s="125"/>
      <c r="ECU185" s="125"/>
      <c r="ECV185" s="125"/>
      <c r="ECW185" s="125"/>
      <c r="ECX185" s="125"/>
      <c r="ECY185" s="125"/>
      <c r="ECZ185" s="125"/>
      <c r="EDA185" s="125"/>
      <c r="EDB185" s="125"/>
      <c r="EDC185" s="125"/>
      <c r="EDD185" s="125"/>
      <c r="EDE185" s="125"/>
      <c r="EDF185" s="125"/>
      <c r="EDG185" s="125"/>
      <c r="EDH185" s="125"/>
      <c r="EDI185" s="125"/>
      <c r="EDJ185" s="125"/>
      <c r="EDK185" s="125"/>
      <c r="EDL185" s="125"/>
      <c r="EDM185" s="125"/>
      <c r="EDN185" s="125"/>
      <c r="EDO185" s="125"/>
      <c r="EDP185" s="125"/>
      <c r="EDQ185" s="125"/>
      <c r="EDR185" s="125"/>
      <c r="EDS185" s="125"/>
      <c r="EDT185" s="125"/>
      <c r="EDU185" s="125"/>
      <c r="EDV185" s="125"/>
      <c r="EDW185" s="125"/>
      <c r="EDX185" s="125"/>
      <c r="EDY185" s="125"/>
      <c r="EDZ185" s="125"/>
      <c r="EEA185" s="125"/>
      <c r="EEB185" s="125"/>
      <c r="EEC185" s="125"/>
      <c r="EED185" s="125"/>
      <c r="EEE185" s="125"/>
      <c r="EEF185" s="125"/>
      <c r="EEG185" s="125"/>
      <c r="EEH185" s="125"/>
      <c r="EEI185" s="125"/>
      <c r="EEJ185" s="125"/>
      <c r="EEK185" s="125"/>
      <c r="EEL185" s="125"/>
      <c r="EEM185" s="125"/>
      <c r="EEN185" s="125"/>
      <c r="EEO185" s="125"/>
      <c r="EEP185" s="125"/>
      <c r="EEQ185" s="125"/>
      <c r="EER185" s="125"/>
      <c r="EES185" s="125"/>
      <c r="EET185" s="125"/>
      <c r="EEU185" s="125"/>
      <c r="EEV185" s="125"/>
      <c r="EEW185" s="125"/>
      <c r="EEX185" s="125"/>
      <c r="EEY185" s="125"/>
      <c r="EEZ185" s="125"/>
      <c r="EFA185" s="125"/>
      <c r="EFB185" s="125"/>
      <c r="EFC185" s="125"/>
      <c r="EFD185" s="125"/>
      <c r="EFE185" s="125"/>
      <c r="EFF185" s="125"/>
      <c r="EFG185" s="125"/>
      <c r="EFH185" s="125"/>
      <c r="EFI185" s="125"/>
      <c r="EFJ185" s="125"/>
      <c r="EFK185" s="125"/>
      <c r="EFL185" s="125"/>
      <c r="EFM185" s="125"/>
      <c r="EFN185" s="125"/>
      <c r="EFO185" s="125"/>
      <c r="EFP185" s="125"/>
      <c r="EFQ185" s="125"/>
      <c r="EFR185" s="125"/>
      <c r="EFS185" s="125"/>
      <c r="EFT185" s="125"/>
      <c r="EFU185" s="125"/>
      <c r="EFV185" s="125"/>
      <c r="EFW185" s="125"/>
      <c r="EFX185" s="125"/>
      <c r="EFY185" s="125"/>
      <c r="EFZ185" s="125"/>
      <c r="EGA185" s="125"/>
      <c r="EGB185" s="125"/>
      <c r="EGC185" s="125"/>
      <c r="EGD185" s="125"/>
      <c r="EGE185" s="125"/>
      <c r="EGF185" s="125"/>
      <c r="EGG185" s="125"/>
      <c r="EGH185" s="125"/>
      <c r="EGI185" s="125"/>
      <c r="EGJ185" s="125"/>
      <c r="EGK185" s="125"/>
      <c r="EGL185" s="125"/>
      <c r="EGM185" s="125"/>
      <c r="EGN185" s="125"/>
      <c r="EGO185" s="125"/>
      <c r="EGP185" s="125"/>
      <c r="EGQ185" s="125"/>
      <c r="EGR185" s="125"/>
      <c r="EGS185" s="125"/>
      <c r="EGT185" s="125"/>
      <c r="EGU185" s="125"/>
      <c r="EGV185" s="125"/>
      <c r="EGW185" s="125"/>
      <c r="EGX185" s="125"/>
      <c r="EGY185" s="125"/>
      <c r="EGZ185" s="125"/>
      <c r="EHA185" s="125"/>
      <c r="EHB185" s="125"/>
      <c r="EHC185" s="125"/>
      <c r="EHD185" s="125"/>
      <c r="EHE185" s="125"/>
      <c r="EHF185" s="125"/>
      <c r="EHG185" s="125"/>
      <c r="EHH185" s="125"/>
      <c r="EHI185" s="125"/>
      <c r="EHJ185" s="125"/>
      <c r="EHK185" s="125"/>
      <c r="EHL185" s="125"/>
      <c r="EHM185" s="125"/>
      <c r="EHN185" s="125"/>
      <c r="EHO185" s="125"/>
      <c r="EHP185" s="125"/>
      <c r="EHQ185" s="125"/>
      <c r="EHR185" s="125"/>
      <c r="EHS185" s="125"/>
      <c r="EHT185" s="125"/>
      <c r="EHU185" s="125"/>
      <c r="EHV185" s="125"/>
      <c r="EHW185" s="125"/>
      <c r="EHX185" s="125"/>
      <c r="EHY185" s="125"/>
      <c r="EHZ185" s="125"/>
      <c r="EIA185" s="125"/>
      <c r="EIB185" s="125"/>
      <c r="EIC185" s="125"/>
      <c r="EID185" s="125"/>
      <c r="EIE185" s="125"/>
      <c r="EIF185" s="125"/>
      <c r="EIG185" s="125"/>
      <c r="EIH185" s="125"/>
      <c r="EII185" s="125"/>
      <c r="EIJ185" s="125"/>
      <c r="EIK185" s="125"/>
      <c r="EIL185" s="125"/>
      <c r="EIM185" s="125"/>
      <c r="EIN185" s="125"/>
      <c r="EIO185" s="125"/>
      <c r="EIP185" s="125"/>
      <c r="EIQ185" s="125"/>
      <c r="EIR185" s="125"/>
      <c r="EIS185" s="125"/>
      <c r="EIT185" s="125"/>
      <c r="EIU185" s="125"/>
      <c r="EIV185" s="125"/>
      <c r="EIW185" s="125"/>
      <c r="EIX185" s="125"/>
      <c r="EIY185" s="125"/>
      <c r="EIZ185" s="125"/>
      <c r="EJA185" s="125"/>
      <c r="EJB185" s="125"/>
      <c r="EJC185" s="125"/>
      <c r="EJD185" s="125"/>
      <c r="EJE185" s="125"/>
      <c r="EJF185" s="125"/>
      <c r="EJG185" s="125"/>
      <c r="EJH185" s="125"/>
      <c r="EJI185" s="125"/>
      <c r="EJJ185" s="125"/>
      <c r="EJK185" s="125"/>
      <c r="EJL185" s="125"/>
      <c r="EJM185" s="125"/>
      <c r="EJN185" s="125"/>
      <c r="EJO185" s="125"/>
      <c r="EJP185" s="125"/>
      <c r="EJQ185" s="125"/>
      <c r="EJR185" s="125"/>
      <c r="EJS185" s="125"/>
      <c r="EJT185" s="125"/>
      <c r="EJU185" s="125"/>
      <c r="EJV185" s="125"/>
      <c r="EJW185" s="125"/>
      <c r="EJX185" s="125"/>
      <c r="EJY185" s="125"/>
      <c r="EJZ185" s="125"/>
      <c r="EKA185" s="125"/>
      <c r="EKB185" s="125"/>
      <c r="EKC185" s="125"/>
      <c r="EKD185" s="125"/>
      <c r="EKE185" s="125"/>
      <c r="EKF185" s="125"/>
      <c r="EKG185" s="125"/>
      <c r="EKH185" s="125"/>
      <c r="EKI185" s="125"/>
      <c r="EKJ185" s="125"/>
      <c r="EKK185" s="125"/>
      <c r="EKL185" s="125"/>
      <c r="EKM185" s="125"/>
      <c r="EKN185" s="125"/>
      <c r="EKO185" s="125"/>
      <c r="EKP185" s="125"/>
      <c r="EKQ185" s="125"/>
      <c r="EKR185" s="125"/>
      <c r="EKS185" s="125"/>
      <c r="EKT185" s="125"/>
      <c r="EKU185" s="125"/>
      <c r="EKV185" s="125"/>
      <c r="EKW185" s="125"/>
      <c r="EKX185" s="125"/>
      <c r="EKY185" s="125"/>
      <c r="EKZ185" s="125"/>
      <c r="ELA185" s="125"/>
      <c r="ELB185" s="125"/>
      <c r="ELC185" s="125"/>
      <c r="ELD185" s="125"/>
      <c r="ELE185" s="125"/>
      <c r="ELF185" s="125"/>
      <c r="ELG185" s="125"/>
      <c r="ELH185" s="125"/>
      <c r="ELI185" s="125"/>
      <c r="ELJ185" s="125"/>
      <c r="ELK185" s="125"/>
      <c r="ELL185" s="125"/>
      <c r="ELM185" s="125"/>
      <c r="ELN185" s="125"/>
      <c r="ELO185" s="125"/>
      <c r="ELP185" s="125"/>
      <c r="ELQ185" s="125"/>
      <c r="ELR185" s="125"/>
      <c r="ELS185" s="125"/>
      <c r="ELT185" s="125"/>
      <c r="ELU185" s="125"/>
      <c r="ELV185" s="125"/>
      <c r="ELW185" s="125"/>
      <c r="ELX185" s="125"/>
      <c r="ELY185" s="125"/>
      <c r="ELZ185" s="125"/>
      <c r="EMA185" s="125"/>
      <c r="EMB185" s="125"/>
      <c r="EMC185" s="125"/>
      <c r="EMD185" s="125"/>
      <c r="EME185" s="125"/>
      <c r="EMF185" s="125"/>
      <c r="EMG185" s="125"/>
      <c r="EMH185" s="125"/>
      <c r="EMI185" s="125"/>
      <c r="EMJ185" s="125"/>
      <c r="EMK185" s="125"/>
      <c r="EML185" s="125"/>
      <c r="EMM185" s="125"/>
      <c r="EMN185" s="125"/>
      <c r="EMO185" s="125"/>
      <c r="EMP185" s="125"/>
      <c r="EMQ185" s="125"/>
      <c r="EMR185" s="125"/>
      <c r="EMS185" s="125"/>
      <c r="EMT185" s="125"/>
      <c r="EMU185" s="125"/>
      <c r="EMV185" s="125"/>
      <c r="EMW185" s="125"/>
      <c r="EMX185" s="125"/>
      <c r="EMY185" s="125"/>
      <c r="EMZ185" s="125"/>
      <c r="ENA185" s="125"/>
      <c r="ENB185" s="125"/>
      <c r="ENC185" s="125"/>
      <c r="END185" s="125"/>
      <c r="ENE185" s="125"/>
      <c r="ENF185" s="125"/>
      <c r="ENG185" s="125"/>
      <c r="ENH185" s="125"/>
      <c r="ENI185" s="125"/>
      <c r="ENJ185" s="125"/>
      <c r="ENK185" s="125"/>
      <c r="ENL185" s="125"/>
      <c r="ENM185" s="125"/>
      <c r="ENN185" s="125"/>
      <c r="ENO185" s="125"/>
      <c r="ENP185" s="125"/>
      <c r="ENQ185" s="125"/>
      <c r="ENR185" s="125"/>
      <c r="ENS185" s="125"/>
      <c r="ENT185" s="125"/>
      <c r="ENU185" s="125"/>
      <c r="ENV185" s="125"/>
      <c r="ENW185" s="125"/>
      <c r="ENX185" s="125"/>
      <c r="ENY185" s="125"/>
      <c r="ENZ185" s="125"/>
      <c r="EOA185" s="125"/>
      <c r="EOB185" s="125"/>
      <c r="EOC185" s="125"/>
      <c r="EOD185" s="125"/>
      <c r="EOE185" s="125"/>
      <c r="EOF185" s="125"/>
      <c r="EOG185" s="125"/>
      <c r="EOH185" s="125"/>
      <c r="EOI185" s="125"/>
      <c r="EOJ185" s="125"/>
      <c r="EOK185" s="125"/>
      <c r="EOL185" s="125"/>
      <c r="EOM185" s="125"/>
      <c r="EON185" s="125"/>
      <c r="EOO185" s="125"/>
      <c r="EOP185" s="125"/>
      <c r="EOQ185" s="125"/>
      <c r="EOR185" s="125"/>
      <c r="EOS185" s="125"/>
      <c r="EOT185" s="125"/>
      <c r="EOU185" s="125"/>
      <c r="EOV185" s="125"/>
      <c r="EOW185" s="125"/>
      <c r="EOX185" s="125"/>
      <c r="EOY185" s="125"/>
      <c r="EOZ185" s="125"/>
      <c r="EPA185" s="125"/>
      <c r="EPB185" s="125"/>
      <c r="EPC185" s="125"/>
      <c r="EPD185" s="125"/>
      <c r="EPE185" s="125"/>
      <c r="EPF185" s="125"/>
      <c r="EPG185" s="125"/>
      <c r="EPH185" s="125"/>
      <c r="EPI185" s="125"/>
      <c r="EPJ185" s="125"/>
      <c r="EPK185" s="125"/>
      <c r="EPL185" s="125"/>
      <c r="EPM185" s="125"/>
      <c r="EPN185" s="125"/>
      <c r="EPO185" s="125"/>
      <c r="EPP185" s="125"/>
      <c r="EPQ185" s="125"/>
      <c r="EPR185" s="125"/>
      <c r="EPS185" s="125"/>
      <c r="EPT185" s="125"/>
      <c r="EPU185" s="125"/>
      <c r="EPV185" s="125"/>
      <c r="EPW185" s="125"/>
      <c r="EPX185" s="125"/>
      <c r="EPY185" s="125"/>
      <c r="EPZ185" s="125"/>
      <c r="EQA185" s="125"/>
      <c r="EQB185" s="125"/>
      <c r="EQC185" s="125"/>
      <c r="EQD185" s="125"/>
      <c r="EQE185" s="125"/>
      <c r="EQF185" s="125"/>
      <c r="EQG185" s="125"/>
      <c r="EQH185" s="125"/>
      <c r="EQI185" s="125"/>
      <c r="EQJ185" s="125"/>
      <c r="EQK185" s="125"/>
      <c r="EQL185" s="125"/>
      <c r="EQM185" s="125"/>
      <c r="EQN185" s="125"/>
      <c r="EQO185" s="125"/>
      <c r="EQP185" s="125"/>
      <c r="EQQ185" s="125"/>
      <c r="EQR185" s="125"/>
      <c r="EQS185" s="125"/>
      <c r="EQT185" s="125"/>
      <c r="EQU185" s="125"/>
      <c r="EQV185" s="125"/>
      <c r="EQW185" s="125"/>
      <c r="EQX185" s="125"/>
      <c r="EQY185" s="125"/>
      <c r="EQZ185" s="125"/>
      <c r="ERA185" s="125"/>
      <c r="ERB185" s="125"/>
      <c r="ERC185" s="125"/>
      <c r="ERD185" s="125"/>
      <c r="ERE185" s="125"/>
      <c r="ERF185" s="125"/>
      <c r="ERG185" s="125"/>
      <c r="ERH185" s="125"/>
      <c r="ERI185" s="125"/>
      <c r="ERJ185" s="125"/>
      <c r="ERK185" s="125"/>
      <c r="ERL185" s="125"/>
      <c r="ERM185" s="125"/>
      <c r="ERN185" s="125"/>
      <c r="ERO185" s="125"/>
      <c r="ERP185" s="125"/>
      <c r="ERQ185" s="125"/>
      <c r="ERR185" s="125"/>
      <c r="ERS185" s="125"/>
      <c r="ERT185" s="125"/>
      <c r="ERU185" s="125"/>
      <c r="ERV185" s="125"/>
      <c r="ERW185" s="125"/>
      <c r="ERX185" s="125"/>
      <c r="ERY185" s="125"/>
      <c r="ERZ185" s="125"/>
      <c r="ESA185" s="125"/>
      <c r="ESB185" s="125"/>
      <c r="ESC185" s="125"/>
      <c r="ESD185" s="125"/>
      <c r="ESE185" s="125"/>
      <c r="ESF185" s="125"/>
      <c r="ESG185" s="125"/>
      <c r="ESH185" s="125"/>
      <c r="ESI185" s="125"/>
      <c r="ESJ185" s="125"/>
      <c r="ESK185" s="125"/>
      <c r="ESL185" s="125"/>
      <c r="ESM185" s="125"/>
      <c r="ESN185" s="125"/>
      <c r="ESO185" s="125"/>
      <c r="ESP185" s="125"/>
      <c r="ESQ185" s="125"/>
      <c r="ESR185" s="125"/>
      <c r="ESS185" s="125"/>
      <c r="EST185" s="125"/>
      <c r="ESU185" s="125"/>
      <c r="ESV185" s="125"/>
      <c r="ESW185" s="125"/>
      <c r="ESX185" s="125"/>
      <c r="ESY185" s="125"/>
      <c r="ESZ185" s="125"/>
      <c r="ETA185" s="125"/>
      <c r="ETB185" s="125"/>
      <c r="ETC185" s="125"/>
      <c r="ETD185" s="125"/>
      <c r="ETE185" s="125"/>
      <c r="ETF185" s="125"/>
      <c r="ETG185" s="125"/>
      <c r="ETH185" s="125"/>
      <c r="ETI185" s="125"/>
      <c r="ETJ185" s="125"/>
      <c r="ETK185" s="125"/>
      <c r="ETL185" s="125"/>
      <c r="ETM185" s="125"/>
      <c r="ETN185" s="125"/>
      <c r="ETO185" s="125"/>
      <c r="ETP185" s="125"/>
      <c r="ETQ185" s="125"/>
      <c r="ETR185" s="125"/>
      <c r="ETS185" s="125"/>
      <c r="ETT185" s="125"/>
      <c r="ETU185" s="125"/>
      <c r="ETV185" s="125"/>
      <c r="ETW185" s="125"/>
      <c r="ETX185" s="125"/>
      <c r="ETY185" s="125"/>
      <c r="ETZ185" s="125"/>
      <c r="EUA185" s="125"/>
      <c r="EUB185" s="125"/>
      <c r="EUC185" s="125"/>
      <c r="EUD185" s="125"/>
      <c r="EUE185" s="125"/>
      <c r="EUF185" s="125"/>
      <c r="EUG185" s="125"/>
      <c r="EUH185" s="125"/>
      <c r="EUI185" s="125"/>
      <c r="EUJ185" s="125"/>
      <c r="EUK185" s="125"/>
      <c r="EUL185" s="125"/>
      <c r="EUM185" s="125"/>
      <c r="EUN185" s="125"/>
      <c r="EUO185" s="125"/>
      <c r="EUP185" s="125"/>
      <c r="EUQ185" s="125"/>
      <c r="EUR185" s="125"/>
      <c r="EUS185" s="125"/>
      <c r="EUT185" s="125"/>
      <c r="EUU185" s="125"/>
      <c r="EUV185" s="125"/>
      <c r="EUW185" s="125"/>
      <c r="EUX185" s="125"/>
      <c r="EUY185" s="125"/>
      <c r="EUZ185" s="125"/>
      <c r="EVA185" s="125"/>
      <c r="EVB185" s="125"/>
      <c r="EVC185" s="125"/>
      <c r="EVD185" s="125"/>
      <c r="EVE185" s="125"/>
      <c r="EVF185" s="125"/>
      <c r="EVG185" s="125"/>
      <c r="EVH185" s="125"/>
      <c r="EVI185" s="125"/>
      <c r="EVJ185" s="125"/>
      <c r="EVK185" s="125"/>
      <c r="EVL185" s="125"/>
      <c r="EVM185" s="125"/>
      <c r="EVN185" s="125"/>
      <c r="EVO185" s="125"/>
      <c r="EVP185" s="125"/>
      <c r="EVQ185" s="125"/>
      <c r="EVR185" s="125"/>
      <c r="EVS185" s="125"/>
      <c r="EVT185" s="125"/>
      <c r="EVU185" s="125"/>
      <c r="EVV185" s="125"/>
      <c r="EVW185" s="125"/>
      <c r="EVX185" s="125"/>
      <c r="EVY185" s="125"/>
      <c r="EVZ185" s="125"/>
      <c r="EWA185" s="125"/>
      <c r="EWB185" s="125"/>
      <c r="EWC185" s="125"/>
      <c r="EWD185" s="125"/>
      <c r="EWE185" s="125"/>
      <c r="EWF185" s="125"/>
      <c r="EWG185" s="125"/>
      <c r="EWH185" s="125"/>
      <c r="EWI185" s="125"/>
      <c r="EWJ185" s="125"/>
      <c r="EWK185" s="125"/>
      <c r="EWL185" s="125"/>
      <c r="EWM185" s="125"/>
      <c r="EWN185" s="125"/>
      <c r="EWO185" s="125"/>
      <c r="EWP185" s="125"/>
      <c r="EWQ185" s="125"/>
      <c r="EWR185" s="125"/>
      <c r="EWS185" s="125"/>
      <c r="EWT185" s="125"/>
      <c r="EWU185" s="125"/>
      <c r="EWV185" s="125"/>
      <c r="EWW185" s="125"/>
      <c r="EWX185" s="125"/>
      <c r="EWY185" s="125"/>
      <c r="EWZ185" s="125"/>
      <c r="EXA185" s="125"/>
      <c r="EXB185" s="125"/>
      <c r="EXC185" s="125"/>
      <c r="EXD185" s="125"/>
      <c r="EXE185" s="125"/>
      <c r="EXF185" s="125"/>
      <c r="EXG185" s="125"/>
      <c r="EXH185" s="125"/>
      <c r="EXI185" s="125"/>
      <c r="EXJ185" s="125"/>
      <c r="EXK185" s="125"/>
      <c r="EXL185" s="125"/>
      <c r="EXM185" s="125"/>
      <c r="EXN185" s="125"/>
      <c r="EXO185" s="125"/>
      <c r="EXP185" s="125"/>
      <c r="EXQ185" s="125"/>
      <c r="EXR185" s="125"/>
      <c r="EXS185" s="125"/>
      <c r="EXT185" s="125"/>
      <c r="EXU185" s="125"/>
      <c r="EXV185" s="125"/>
      <c r="EXW185" s="125"/>
      <c r="EXX185" s="125"/>
      <c r="EXY185" s="125"/>
      <c r="EXZ185" s="125"/>
      <c r="EYA185" s="125"/>
      <c r="EYB185" s="125"/>
      <c r="EYC185" s="125"/>
      <c r="EYD185" s="125"/>
      <c r="EYE185" s="125"/>
      <c r="EYF185" s="125"/>
      <c r="EYG185" s="125"/>
      <c r="EYH185" s="125"/>
      <c r="EYI185" s="125"/>
      <c r="EYJ185" s="125"/>
      <c r="EYK185" s="125"/>
      <c r="EYL185" s="125"/>
      <c r="EYM185" s="125"/>
      <c r="EYN185" s="125"/>
      <c r="EYO185" s="125"/>
      <c r="EYP185" s="125"/>
      <c r="EYQ185" s="125"/>
      <c r="EYR185" s="125"/>
      <c r="EYS185" s="125"/>
      <c r="EYT185" s="125"/>
      <c r="EYU185" s="125"/>
      <c r="EYV185" s="125"/>
      <c r="EYW185" s="125"/>
      <c r="EYX185" s="125"/>
      <c r="EYY185" s="125"/>
      <c r="EYZ185" s="125"/>
      <c r="EZA185" s="125"/>
      <c r="EZB185" s="125"/>
      <c r="EZC185" s="125"/>
      <c r="EZD185" s="125"/>
      <c r="EZE185" s="125"/>
      <c r="EZF185" s="125"/>
      <c r="EZG185" s="125"/>
      <c r="EZH185" s="125"/>
      <c r="EZI185" s="125"/>
      <c r="EZJ185" s="125"/>
      <c r="EZK185" s="125"/>
      <c r="EZL185" s="125"/>
      <c r="EZM185" s="125"/>
      <c r="EZN185" s="125"/>
      <c r="EZO185" s="125"/>
      <c r="EZP185" s="125"/>
      <c r="EZQ185" s="125"/>
      <c r="EZR185" s="125"/>
      <c r="EZS185" s="125"/>
      <c r="EZT185" s="125"/>
      <c r="EZU185" s="125"/>
      <c r="EZV185" s="125"/>
      <c r="EZW185" s="125"/>
      <c r="EZX185" s="125"/>
      <c r="EZY185" s="125"/>
      <c r="EZZ185" s="125"/>
      <c r="FAA185" s="125"/>
      <c r="FAB185" s="125"/>
      <c r="FAC185" s="125"/>
      <c r="FAD185" s="125"/>
      <c r="FAE185" s="125"/>
      <c r="FAF185" s="125"/>
      <c r="FAG185" s="125"/>
      <c r="FAH185" s="125"/>
      <c r="FAI185" s="125"/>
      <c r="FAJ185" s="125"/>
      <c r="FAK185" s="125"/>
      <c r="FAL185" s="125"/>
      <c r="FAM185" s="125"/>
      <c r="FAN185" s="125"/>
      <c r="FAO185" s="125"/>
      <c r="FAP185" s="125"/>
      <c r="FAQ185" s="125"/>
      <c r="FAR185" s="125"/>
      <c r="FAS185" s="125"/>
      <c r="FAT185" s="125"/>
      <c r="FAU185" s="125"/>
      <c r="FAV185" s="125"/>
      <c r="FAW185" s="125"/>
      <c r="FAX185" s="125"/>
      <c r="FAY185" s="125"/>
      <c r="FAZ185" s="125"/>
      <c r="FBA185" s="125"/>
      <c r="FBB185" s="125"/>
      <c r="FBC185" s="125"/>
      <c r="FBD185" s="125"/>
      <c r="FBE185" s="125"/>
      <c r="FBF185" s="125"/>
      <c r="FBG185" s="125"/>
      <c r="FBH185" s="125"/>
      <c r="FBI185" s="125"/>
      <c r="FBJ185" s="125"/>
      <c r="FBK185" s="125"/>
      <c r="FBL185" s="125"/>
      <c r="FBM185" s="125"/>
      <c r="FBN185" s="125"/>
      <c r="FBO185" s="125"/>
      <c r="FBP185" s="125"/>
      <c r="FBQ185" s="125"/>
      <c r="FBR185" s="125"/>
      <c r="FBS185" s="125"/>
      <c r="FBT185" s="125"/>
      <c r="FBU185" s="125"/>
      <c r="FBV185" s="125"/>
      <c r="FBW185" s="125"/>
      <c r="FBX185" s="125"/>
      <c r="FBY185" s="125"/>
      <c r="FBZ185" s="125"/>
      <c r="FCA185" s="125"/>
      <c r="FCB185" s="125"/>
      <c r="FCC185" s="125"/>
      <c r="FCD185" s="125"/>
      <c r="FCE185" s="125"/>
      <c r="FCF185" s="125"/>
      <c r="FCG185" s="125"/>
      <c r="FCH185" s="125"/>
      <c r="FCI185" s="125"/>
      <c r="FCJ185" s="125"/>
      <c r="FCK185" s="125"/>
      <c r="FCL185" s="125"/>
      <c r="FCM185" s="125"/>
      <c r="FCN185" s="125"/>
      <c r="FCO185" s="125"/>
      <c r="FCP185" s="125"/>
      <c r="FCQ185" s="125"/>
      <c r="FCR185" s="125"/>
      <c r="FCS185" s="125"/>
      <c r="FCT185" s="125"/>
      <c r="FCU185" s="125"/>
      <c r="FCV185" s="125"/>
      <c r="FCW185" s="125"/>
      <c r="FCX185" s="125"/>
      <c r="FCY185" s="125"/>
      <c r="FCZ185" s="125"/>
      <c r="FDA185" s="125"/>
      <c r="FDB185" s="125"/>
      <c r="FDC185" s="125"/>
      <c r="FDD185" s="125"/>
      <c r="FDE185" s="125"/>
      <c r="FDF185" s="125"/>
      <c r="FDG185" s="125"/>
      <c r="FDH185" s="125"/>
      <c r="FDI185" s="125"/>
      <c r="FDJ185" s="125"/>
      <c r="FDK185" s="125"/>
      <c r="FDL185" s="125"/>
      <c r="FDM185" s="125"/>
      <c r="FDN185" s="125"/>
      <c r="FDO185" s="125"/>
      <c r="FDP185" s="125"/>
      <c r="FDQ185" s="125"/>
      <c r="FDR185" s="125"/>
      <c r="FDS185" s="125"/>
      <c r="FDT185" s="125"/>
      <c r="FDU185" s="125"/>
      <c r="FDV185" s="125"/>
      <c r="FDW185" s="125"/>
      <c r="FDX185" s="125"/>
      <c r="FDY185" s="125"/>
      <c r="FDZ185" s="125"/>
      <c r="FEA185" s="125"/>
      <c r="FEB185" s="125"/>
      <c r="FEC185" s="125"/>
      <c r="FED185" s="125"/>
      <c r="FEE185" s="125"/>
      <c r="FEF185" s="125"/>
      <c r="FEG185" s="125"/>
      <c r="FEH185" s="125"/>
      <c r="FEI185" s="125"/>
      <c r="FEJ185" s="125"/>
      <c r="FEK185" s="125"/>
      <c r="FEL185" s="125"/>
      <c r="FEM185" s="125"/>
      <c r="FEN185" s="125"/>
      <c r="FEO185" s="125"/>
      <c r="FEP185" s="125"/>
      <c r="FEQ185" s="125"/>
      <c r="FER185" s="125"/>
      <c r="FES185" s="125"/>
      <c r="FET185" s="125"/>
      <c r="FEU185" s="125"/>
      <c r="FEV185" s="125"/>
      <c r="FEW185" s="125"/>
      <c r="FEX185" s="125"/>
      <c r="FEY185" s="125"/>
      <c r="FEZ185" s="125"/>
      <c r="FFA185" s="125"/>
      <c r="FFB185" s="125"/>
      <c r="FFC185" s="125"/>
      <c r="FFD185" s="125"/>
      <c r="FFE185" s="125"/>
      <c r="FFF185" s="125"/>
      <c r="FFG185" s="125"/>
      <c r="FFH185" s="125"/>
      <c r="FFI185" s="125"/>
      <c r="FFJ185" s="125"/>
      <c r="FFK185" s="125"/>
      <c r="FFL185" s="125"/>
      <c r="FFM185" s="125"/>
      <c r="FFN185" s="125"/>
      <c r="FFO185" s="125"/>
      <c r="FFP185" s="125"/>
      <c r="FFQ185" s="125"/>
      <c r="FFR185" s="125"/>
      <c r="FFS185" s="125"/>
      <c r="FFT185" s="125"/>
      <c r="FFU185" s="125"/>
      <c r="FFV185" s="125"/>
      <c r="FFW185" s="125"/>
      <c r="FFX185" s="125"/>
      <c r="FFY185" s="125"/>
      <c r="FFZ185" s="125"/>
      <c r="FGA185" s="125"/>
      <c r="FGB185" s="125"/>
      <c r="FGC185" s="125"/>
      <c r="FGD185" s="125"/>
      <c r="FGE185" s="125"/>
      <c r="FGF185" s="125"/>
      <c r="FGG185" s="125"/>
      <c r="FGH185" s="125"/>
      <c r="FGI185" s="125"/>
      <c r="FGJ185" s="125"/>
      <c r="FGK185" s="125"/>
      <c r="FGL185" s="125"/>
      <c r="FGM185" s="125"/>
      <c r="FGN185" s="125"/>
      <c r="FGO185" s="125"/>
      <c r="FGP185" s="125"/>
      <c r="FGQ185" s="125"/>
      <c r="FGR185" s="125"/>
      <c r="FGS185" s="125"/>
      <c r="FGT185" s="125"/>
      <c r="FGU185" s="125"/>
      <c r="FGV185" s="125"/>
      <c r="FGW185" s="125"/>
      <c r="FGX185" s="125"/>
      <c r="FGY185" s="125"/>
      <c r="FGZ185" s="125"/>
      <c r="FHA185" s="125"/>
      <c r="FHB185" s="125"/>
      <c r="FHC185" s="125"/>
      <c r="FHD185" s="125"/>
      <c r="FHE185" s="125"/>
      <c r="FHF185" s="125"/>
      <c r="FHG185" s="125"/>
      <c r="FHH185" s="125"/>
      <c r="FHI185" s="125"/>
      <c r="FHJ185" s="125"/>
      <c r="FHK185" s="125"/>
      <c r="FHL185" s="125"/>
      <c r="FHM185" s="125"/>
      <c r="FHN185" s="125"/>
      <c r="FHO185" s="125"/>
      <c r="FHP185" s="125"/>
      <c r="FHQ185" s="125"/>
      <c r="FHR185" s="125"/>
      <c r="FHS185" s="125"/>
      <c r="FHT185" s="125"/>
      <c r="FHU185" s="125"/>
      <c r="FHV185" s="125"/>
      <c r="FHW185" s="125"/>
      <c r="FHX185" s="125"/>
      <c r="FHY185" s="125"/>
      <c r="FHZ185" s="125"/>
      <c r="FIA185" s="125"/>
      <c r="FIB185" s="125"/>
      <c r="FIC185" s="125"/>
      <c r="FID185" s="125"/>
      <c r="FIE185" s="125"/>
      <c r="FIF185" s="125"/>
      <c r="FIG185" s="125"/>
      <c r="FIH185" s="125"/>
      <c r="FII185" s="125"/>
      <c r="FIJ185" s="125"/>
      <c r="FIK185" s="125"/>
      <c r="FIL185" s="125"/>
      <c r="FIM185" s="125"/>
      <c r="FIN185" s="125"/>
      <c r="FIO185" s="125"/>
      <c r="FIP185" s="125"/>
      <c r="FIQ185" s="125"/>
      <c r="FIR185" s="125"/>
      <c r="FIS185" s="125"/>
      <c r="FIT185" s="125"/>
      <c r="FIU185" s="125"/>
      <c r="FIV185" s="125"/>
      <c r="FIW185" s="125"/>
      <c r="FIX185" s="125"/>
      <c r="FIY185" s="125"/>
      <c r="FIZ185" s="125"/>
      <c r="FJA185" s="125"/>
      <c r="FJB185" s="125"/>
      <c r="FJC185" s="125"/>
      <c r="FJD185" s="125"/>
      <c r="FJE185" s="125"/>
      <c r="FJF185" s="125"/>
      <c r="FJG185" s="125"/>
      <c r="FJH185" s="125"/>
      <c r="FJI185" s="125"/>
      <c r="FJJ185" s="125"/>
      <c r="FJK185" s="125"/>
      <c r="FJL185" s="125"/>
      <c r="FJM185" s="125"/>
      <c r="FJN185" s="125"/>
      <c r="FJO185" s="125"/>
      <c r="FJP185" s="125"/>
      <c r="FJQ185" s="125"/>
      <c r="FJR185" s="125"/>
      <c r="FJS185" s="125"/>
      <c r="FJT185" s="125"/>
      <c r="FJU185" s="125"/>
      <c r="FJV185" s="125"/>
      <c r="FJW185" s="125"/>
      <c r="FJX185" s="125"/>
      <c r="FJY185" s="125"/>
      <c r="FJZ185" s="125"/>
      <c r="FKA185" s="125"/>
      <c r="FKB185" s="125"/>
      <c r="FKC185" s="125"/>
      <c r="FKD185" s="125"/>
      <c r="FKE185" s="125"/>
      <c r="FKF185" s="125"/>
      <c r="FKG185" s="125"/>
      <c r="FKH185" s="125"/>
      <c r="FKI185" s="125"/>
      <c r="FKJ185" s="125"/>
      <c r="FKK185" s="125"/>
      <c r="FKL185" s="125"/>
      <c r="FKM185" s="125"/>
      <c r="FKN185" s="125"/>
      <c r="FKO185" s="125"/>
      <c r="FKP185" s="125"/>
      <c r="FKQ185" s="125"/>
      <c r="FKR185" s="125"/>
      <c r="FKS185" s="125"/>
      <c r="FKT185" s="125"/>
      <c r="FKU185" s="125"/>
      <c r="FKV185" s="125"/>
      <c r="FKW185" s="125"/>
      <c r="FKX185" s="125"/>
      <c r="FKY185" s="125"/>
      <c r="FKZ185" s="125"/>
      <c r="FLA185" s="125"/>
      <c r="FLB185" s="125"/>
      <c r="FLC185" s="125"/>
      <c r="FLD185" s="125"/>
      <c r="FLE185" s="125"/>
      <c r="FLF185" s="125"/>
      <c r="FLG185" s="125"/>
      <c r="FLH185" s="125"/>
      <c r="FLI185" s="125"/>
      <c r="FLJ185" s="125"/>
      <c r="FLK185" s="125"/>
      <c r="FLL185" s="125"/>
      <c r="FLM185" s="125"/>
      <c r="FLN185" s="125"/>
      <c r="FLO185" s="125"/>
      <c r="FLP185" s="125"/>
      <c r="FLQ185" s="125"/>
      <c r="FLR185" s="125"/>
      <c r="FLS185" s="125"/>
      <c r="FLT185" s="125"/>
      <c r="FLU185" s="125"/>
      <c r="FLV185" s="125"/>
      <c r="FLW185" s="125"/>
      <c r="FLX185" s="125"/>
      <c r="FLY185" s="125"/>
      <c r="FLZ185" s="125"/>
      <c r="FMA185" s="125"/>
      <c r="FMB185" s="125"/>
      <c r="FMC185" s="125"/>
      <c r="FMD185" s="125"/>
      <c r="FME185" s="125"/>
      <c r="FMF185" s="125"/>
      <c r="FMG185" s="125"/>
      <c r="FMH185" s="125"/>
      <c r="FMI185" s="125"/>
      <c r="FMJ185" s="125"/>
      <c r="FMK185" s="125"/>
      <c r="FML185" s="125"/>
      <c r="FMM185" s="125"/>
      <c r="FMN185" s="125"/>
      <c r="FMO185" s="125"/>
      <c r="FMP185" s="125"/>
      <c r="FMQ185" s="125"/>
      <c r="FMR185" s="125"/>
      <c r="FMS185" s="125"/>
      <c r="FMT185" s="125"/>
      <c r="FMU185" s="125"/>
      <c r="FMV185" s="125"/>
      <c r="FMW185" s="125"/>
      <c r="FMX185" s="125"/>
      <c r="FMY185" s="125"/>
      <c r="FMZ185" s="125"/>
      <c r="FNA185" s="125"/>
      <c r="FNB185" s="125"/>
      <c r="FNC185" s="125"/>
      <c r="FND185" s="125"/>
      <c r="FNE185" s="125"/>
      <c r="FNF185" s="125"/>
      <c r="FNG185" s="125"/>
      <c r="FNH185" s="125"/>
      <c r="FNI185" s="125"/>
      <c r="FNJ185" s="125"/>
      <c r="FNK185" s="125"/>
      <c r="FNL185" s="125"/>
      <c r="FNM185" s="125"/>
      <c r="FNN185" s="125"/>
      <c r="FNO185" s="125"/>
      <c r="FNP185" s="125"/>
      <c r="FNQ185" s="125"/>
      <c r="FNR185" s="125"/>
      <c r="FNS185" s="125"/>
      <c r="FNT185" s="125"/>
      <c r="FNU185" s="125"/>
      <c r="FNV185" s="125"/>
      <c r="FNW185" s="125"/>
      <c r="FNX185" s="125"/>
      <c r="FNY185" s="125"/>
      <c r="FNZ185" s="125"/>
      <c r="FOA185" s="125"/>
      <c r="FOB185" s="125"/>
      <c r="FOC185" s="125"/>
      <c r="FOD185" s="125"/>
      <c r="FOE185" s="125"/>
      <c r="FOF185" s="125"/>
      <c r="FOG185" s="125"/>
      <c r="FOH185" s="125"/>
      <c r="FOI185" s="125"/>
      <c r="FOJ185" s="125"/>
      <c r="FOK185" s="125"/>
      <c r="FOL185" s="125"/>
      <c r="FOM185" s="125"/>
      <c r="FON185" s="125"/>
      <c r="FOO185" s="125"/>
      <c r="FOP185" s="125"/>
      <c r="FOQ185" s="125"/>
      <c r="FOR185" s="125"/>
      <c r="FOS185" s="125"/>
      <c r="FOT185" s="125"/>
      <c r="FOU185" s="125"/>
      <c r="FOV185" s="125"/>
      <c r="FOW185" s="125"/>
      <c r="FOX185" s="125"/>
      <c r="FOY185" s="125"/>
      <c r="FOZ185" s="125"/>
      <c r="FPA185" s="125"/>
      <c r="FPB185" s="125"/>
      <c r="FPC185" s="125"/>
      <c r="FPD185" s="125"/>
      <c r="FPE185" s="125"/>
      <c r="FPF185" s="125"/>
      <c r="FPG185" s="125"/>
      <c r="FPH185" s="125"/>
      <c r="FPI185" s="125"/>
      <c r="FPJ185" s="125"/>
      <c r="FPK185" s="125"/>
      <c r="FPL185" s="125"/>
      <c r="FPM185" s="125"/>
      <c r="FPN185" s="125"/>
      <c r="FPO185" s="125"/>
      <c r="FPP185" s="125"/>
      <c r="FPQ185" s="125"/>
      <c r="FPR185" s="125"/>
      <c r="FPS185" s="125"/>
      <c r="FPT185" s="125"/>
      <c r="FPU185" s="125"/>
      <c r="FPV185" s="125"/>
      <c r="FPW185" s="125"/>
      <c r="FPX185" s="125"/>
      <c r="FPY185" s="125"/>
      <c r="FPZ185" s="125"/>
      <c r="FQA185" s="125"/>
      <c r="FQB185" s="125"/>
      <c r="FQC185" s="125"/>
      <c r="FQD185" s="125"/>
      <c r="FQE185" s="125"/>
      <c r="FQF185" s="125"/>
      <c r="FQG185" s="125"/>
      <c r="FQH185" s="125"/>
      <c r="FQI185" s="125"/>
      <c r="FQJ185" s="125"/>
      <c r="FQK185" s="125"/>
      <c r="FQL185" s="125"/>
      <c r="FQM185" s="125"/>
      <c r="FQN185" s="125"/>
      <c r="FQO185" s="125"/>
      <c r="FQP185" s="125"/>
      <c r="FQQ185" s="125"/>
      <c r="FQR185" s="125"/>
      <c r="FQS185" s="125"/>
      <c r="FQT185" s="125"/>
      <c r="FQU185" s="125"/>
      <c r="FQV185" s="125"/>
      <c r="FQW185" s="125"/>
      <c r="FQX185" s="125"/>
      <c r="FQY185" s="125"/>
      <c r="FQZ185" s="125"/>
      <c r="FRA185" s="125"/>
      <c r="FRB185" s="125"/>
      <c r="FRC185" s="125"/>
      <c r="FRD185" s="125"/>
      <c r="FRE185" s="125"/>
      <c r="FRF185" s="125"/>
      <c r="FRG185" s="125"/>
      <c r="FRH185" s="125"/>
      <c r="FRI185" s="125"/>
      <c r="FRJ185" s="125"/>
      <c r="FRK185" s="125"/>
      <c r="FRL185" s="125"/>
      <c r="FRM185" s="125"/>
      <c r="FRN185" s="125"/>
      <c r="FRO185" s="125"/>
      <c r="FRP185" s="125"/>
      <c r="FRQ185" s="125"/>
      <c r="FRR185" s="125"/>
      <c r="FRS185" s="125"/>
      <c r="FRT185" s="125"/>
      <c r="FRU185" s="125"/>
      <c r="FRV185" s="125"/>
      <c r="FRW185" s="125"/>
      <c r="FRX185" s="125"/>
      <c r="FRY185" s="125"/>
      <c r="FRZ185" s="125"/>
      <c r="FSA185" s="125"/>
      <c r="FSB185" s="125"/>
      <c r="FSC185" s="125"/>
      <c r="FSD185" s="125"/>
      <c r="FSE185" s="125"/>
      <c r="FSF185" s="125"/>
      <c r="FSG185" s="125"/>
      <c r="FSH185" s="125"/>
      <c r="FSI185" s="125"/>
      <c r="FSJ185" s="125"/>
      <c r="FSK185" s="125"/>
      <c r="FSL185" s="125"/>
      <c r="FSM185" s="125"/>
      <c r="FSN185" s="125"/>
      <c r="FSO185" s="125"/>
      <c r="FSP185" s="125"/>
      <c r="FSQ185" s="125"/>
      <c r="FSR185" s="125"/>
      <c r="FSS185" s="125"/>
      <c r="FST185" s="125"/>
      <c r="FSU185" s="125"/>
      <c r="FSV185" s="125"/>
      <c r="FSW185" s="125"/>
      <c r="FSX185" s="125"/>
      <c r="FSY185" s="125"/>
      <c r="FSZ185" s="125"/>
      <c r="FTA185" s="125"/>
      <c r="FTB185" s="125"/>
      <c r="FTC185" s="125"/>
      <c r="FTD185" s="125"/>
      <c r="FTE185" s="125"/>
      <c r="FTF185" s="125"/>
      <c r="FTG185" s="125"/>
      <c r="FTH185" s="125"/>
      <c r="FTI185" s="125"/>
      <c r="FTJ185" s="125"/>
      <c r="FTK185" s="125"/>
      <c r="FTL185" s="125"/>
      <c r="FTM185" s="125"/>
      <c r="FTN185" s="125"/>
      <c r="FTO185" s="125"/>
      <c r="FTP185" s="125"/>
      <c r="FTQ185" s="125"/>
      <c r="FTR185" s="125"/>
      <c r="FTS185" s="125"/>
      <c r="FTT185" s="125"/>
      <c r="FTU185" s="125"/>
      <c r="FTV185" s="125"/>
      <c r="FTW185" s="125"/>
      <c r="FTX185" s="125"/>
      <c r="FTY185" s="125"/>
      <c r="FTZ185" s="125"/>
      <c r="FUA185" s="125"/>
      <c r="FUB185" s="125"/>
      <c r="FUC185" s="125"/>
      <c r="FUD185" s="125"/>
      <c r="FUE185" s="125"/>
      <c r="FUF185" s="125"/>
      <c r="FUG185" s="125"/>
      <c r="FUH185" s="125"/>
      <c r="FUI185" s="125"/>
      <c r="FUJ185" s="125"/>
      <c r="FUK185" s="125"/>
      <c r="FUL185" s="125"/>
      <c r="FUM185" s="125"/>
      <c r="FUN185" s="125"/>
      <c r="FUO185" s="125"/>
      <c r="FUP185" s="125"/>
      <c r="FUQ185" s="125"/>
      <c r="FUR185" s="125"/>
      <c r="FUS185" s="125"/>
      <c r="FUT185" s="125"/>
      <c r="FUU185" s="125"/>
      <c r="FUV185" s="125"/>
      <c r="FUW185" s="125"/>
      <c r="FUX185" s="125"/>
      <c r="FUY185" s="125"/>
      <c r="FUZ185" s="125"/>
      <c r="FVA185" s="125"/>
      <c r="FVB185" s="125"/>
      <c r="FVC185" s="125"/>
      <c r="FVD185" s="125"/>
      <c r="FVE185" s="125"/>
      <c r="FVF185" s="125"/>
      <c r="FVG185" s="125"/>
      <c r="FVH185" s="125"/>
      <c r="FVI185" s="125"/>
      <c r="FVJ185" s="125"/>
      <c r="FVK185" s="125"/>
      <c r="FVL185" s="125"/>
      <c r="FVM185" s="125"/>
      <c r="FVN185" s="125"/>
      <c r="FVO185" s="125"/>
      <c r="FVP185" s="125"/>
      <c r="FVQ185" s="125"/>
      <c r="FVR185" s="125"/>
      <c r="FVS185" s="125"/>
      <c r="FVT185" s="125"/>
      <c r="FVU185" s="125"/>
      <c r="FVV185" s="125"/>
      <c r="FVW185" s="125"/>
      <c r="FVX185" s="125"/>
      <c r="FVY185" s="125"/>
      <c r="FVZ185" s="125"/>
      <c r="FWA185" s="125"/>
      <c r="FWB185" s="125"/>
      <c r="FWC185" s="125"/>
      <c r="FWD185" s="125"/>
      <c r="FWE185" s="125"/>
      <c r="FWF185" s="125"/>
      <c r="FWG185" s="125"/>
      <c r="FWH185" s="125"/>
      <c r="FWI185" s="125"/>
      <c r="FWJ185" s="125"/>
      <c r="FWK185" s="125"/>
      <c r="FWL185" s="125"/>
      <c r="FWM185" s="125"/>
      <c r="FWN185" s="125"/>
      <c r="FWO185" s="125"/>
      <c r="FWP185" s="125"/>
      <c r="FWQ185" s="125"/>
      <c r="FWR185" s="125"/>
      <c r="FWS185" s="125"/>
      <c r="FWT185" s="125"/>
      <c r="FWU185" s="125"/>
      <c r="FWV185" s="125"/>
      <c r="FWW185" s="125"/>
      <c r="FWX185" s="125"/>
      <c r="FWY185" s="125"/>
      <c r="FWZ185" s="125"/>
      <c r="FXA185" s="125"/>
      <c r="FXB185" s="125"/>
      <c r="FXC185" s="125"/>
      <c r="FXD185" s="125"/>
      <c r="FXE185" s="125"/>
      <c r="FXF185" s="125"/>
      <c r="FXG185" s="125"/>
      <c r="FXH185" s="125"/>
      <c r="FXI185" s="125"/>
      <c r="FXJ185" s="125"/>
      <c r="FXK185" s="125"/>
      <c r="FXL185" s="125"/>
      <c r="FXM185" s="125"/>
      <c r="FXN185" s="125"/>
      <c r="FXO185" s="125"/>
      <c r="FXP185" s="125"/>
      <c r="FXQ185" s="125"/>
      <c r="FXR185" s="125"/>
      <c r="FXS185" s="125"/>
      <c r="FXT185" s="125"/>
      <c r="FXU185" s="125"/>
      <c r="FXV185" s="125"/>
      <c r="FXW185" s="125"/>
      <c r="FXX185" s="125"/>
      <c r="FXY185" s="125"/>
      <c r="FXZ185" s="125"/>
      <c r="FYA185" s="125"/>
      <c r="FYB185" s="125"/>
      <c r="FYC185" s="125"/>
      <c r="FYD185" s="125"/>
      <c r="FYE185" s="125"/>
      <c r="FYF185" s="125"/>
      <c r="FYG185" s="125"/>
      <c r="FYH185" s="125"/>
      <c r="FYI185" s="125"/>
      <c r="FYJ185" s="125"/>
      <c r="FYK185" s="125"/>
      <c r="FYL185" s="125"/>
      <c r="FYM185" s="125"/>
      <c r="FYN185" s="125"/>
      <c r="FYO185" s="125"/>
      <c r="FYP185" s="125"/>
      <c r="FYQ185" s="125"/>
      <c r="FYR185" s="125"/>
      <c r="FYS185" s="125"/>
      <c r="FYT185" s="125"/>
      <c r="FYU185" s="125"/>
      <c r="FYV185" s="125"/>
      <c r="FYW185" s="125"/>
      <c r="FYX185" s="125"/>
      <c r="FYY185" s="125"/>
      <c r="FYZ185" s="125"/>
      <c r="FZA185" s="125"/>
      <c r="FZB185" s="125"/>
      <c r="FZC185" s="125"/>
      <c r="FZD185" s="125"/>
      <c r="FZE185" s="125"/>
      <c r="FZF185" s="125"/>
      <c r="FZG185" s="125"/>
      <c r="FZH185" s="125"/>
      <c r="FZI185" s="125"/>
      <c r="FZJ185" s="125"/>
      <c r="FZK185" s="125"/>
      <c r="FZL185" s="125"/>
      <c r="FZM185" s="125"/>
      <c r="FZN185" s="125"/>
      <c r="FZO185" s="125"/>
      <c r="FZP185" s="125"/>
      <c r="FZQ185" s="125"/>
      <c r="FZR185" s="125"/>
      <c r="FZS185" s="125"/>
      <c r="FZT185" s="125"/>
      <c r="FZU185" s="125"/>
      <c r="FZV185" s="125"/>
      <c r="FZW185" s="125"/>
      <c r="FZX185" s="125"/>
      <c r="FZY185" s="125"/>
      <c r="FZZ185" s="125"/>
      <c r="GAA185" s="125"/>
      <c r="GAB185" s="125"/>
      <c r="GAC185" s="125"/>
      <c r="GAD185" s="125"/>
      <c r="GAE185" s="125"/>
      <c r="GAF185" s="125"/>
      <c r="GAG185" s="125"/>
      <c r="GAH185" s="125"/>
      <c r="GAI185" s="125"/>
      <c r="GAJ185" s="125"/>
      <c r="GAK185" s="125"/>
      <c r="GAL185" s="125"/>
      <c r="GAM185" s="125"/>
      <c r="GAN185" s="125"/>
      <c r="GAO185" s="125"/>
      <c r="GAP185" s="125"/>
      <c r="GAQ185" s="125"/>
      <c r="GAR185" s="125"/>
      <c r="GAS185" s="125"/>
      <c r="GAT185" s="125"/>
      <c r="GAU185" s="125"/>
      <c r="GAV185" s="125"/>
      <c r="GAW185" s="125"/>
      <c r="GAX185" s="125"/>
      <c r="GAY185" s="125"/>
      <c r="GAZ185" s="125"/>
      <c r="GBA185" s="125"/>
      <c r="GBB185" s="125"/>
      <c r="GBC185" s="125"/>
      <c r="GBD185" s="125"/>
      <c r="GBE185" s="125"/>
      <c r="GBF185" s="125"/>
      <c r="GBG185" s="125"/>
      <c r="GBH185" s="125"/>
      <c r="GBI185" s="125"/>
      <c r="GBJ185" s="125"/>
      <c r="GBK185" s="125"/>
      <c r="GBL185" s="125"/>
      <c r="GBM185" s="125"/>
      <c r="GBN185" s="125"/>
      <c r="GBO185" s="125"/>
      <c r="GBP185" s="125"/>
      <c r="GBQ185" s="125"/>
      <c r="GBR185" s="125"/>
      <c r="GBS185" s="125"/>
      <c r="GBT185" s="125"/>
      <c r="GBU185" s="125"/>
      <c r="GBV185" s="125"/>
      <c r="GBW185" s="125"/>
      <c r="GBX185" s="125"/>
      <c r="GBY185" s="125"/>
      <c r="GBZ185" s="125"/>
      <c r="GCA185" s="125"/>
      <c r="GCB185" s="125"/>
      <c r="GCC185" s="125"/>
      <c r="GCD185" s="125"/>
      <c r="GCE185" s="125"/>
      <c r="GCF185" s="125"/>
      <c r="GCG185" s="125"/>
      <c r="GCH185" s="125"/>
      <c r="GCI185" s="125"/>
      <c r="GCJ185" s="125"/>
      <c r="GCK185" s="125"/>
      <c r="GCL185" s="125"/>
      <c r="GCM185" s="125"/>
      <c r="GCN185" s="125"/>
      <c r="GCO185" s="125"/>
      <c r="GCP185" s="125"/>
      <c r="GCQ185" s="125"/>
      <c r="GCR185" s="125"/>
      <c r="GCS185" s="125"/>
      <c r="GCT185" s="125"/>
      <c r="GCU185" s="125"/>
      <c r="GCV185" s="125"/>
      <c r="GCW185" s="125"/>
      <c r="GCX185" s="125"/>
      <c r="GCY185" s="125"/>
      <c r="GCZ185" s="125"/>
      <c r="GDA185" s="125"/>
      <c r="GDB185" s="125"/>
      <c r="GDC185" s="125"/>
      <c r="GDD185" s="125"/>
      <c r="GDE185" s="125"/>
      <c r="GDF185" s="125"/>
      <c r="GDG185" s="125"/>
      <c r="GDH185" s="125"/>
      <c r="GDI185" s="125"/>
      <c r="GDJ185" s="125"/>
      <c r="GDK185" s="125"/>
      <c r="GDL185" s="125"/>
      <c r="GDM185" s="125"/>
      <c r="GDN185" s="125"/>
      <c r="GDO185" s="125"/>
      <c r="GDP185" s="125"/>
      <c r="GDQ185" s="125"/>
      <c r="GDR185" s="125"/>
      <c r="GDS185" s="125"/>
      <c r="GDT185" s="125"/>
      <c r="GDU185" s="125"/>
      <c r="GDV185" s="125"/>
      <c r="GDW185" s="125"/>
      <c r="GDX185" s="125"/>
      <c r="GDY185" s="125"/>
      <c r="GDZ185" s="125"/>
      <c r="GEA185" s="125"/>
      <c r="GEB185" s="125"/>
      <c r="GEC185" s="125"/>
      <c r="GED185" s="125"/>
      <c r="GEE185" s="125"/>
      <c r="GEF185" s="125"/>
      <c r="GEG185" s="125"/>
      <c r="GEH185" s="125"/>
      <c r="GEI185" s="125"/>
      <c r="GEJ185" s="125"/>
      <c r="GEK185" s="125"/>
      <c r="GEL185" s="125"/>
      <c r="GEM185" s="125"/>
      <c r="GEN185" s="125"/>
      <c r="GEO185" s="125"/>
      <c r="GEP185" s="125"/>
      <c r="GEQ185" s="125"/>
      <c r="GER185" s="125"/>
      <c r="GES185" s="125"/>
      <c r="GET185" s="125"/>
      <c r="GEU185" s="125"/>
      <c r="GEV185" s="125"/>
      <c r="GEW185" s="125"/>
      <c r="GEX185" s="125"/>
      <c r="GEY185" s="125"/>
      <c r="GEZ185" s="125"/>
      <c r="GFA185" s="125"/>
      <c r="GFB185" s="125"/>
      <c r="GFC185" s="125"/>
      <c r="GFD185" s="125"/>
      <c r="GFE185" s="125"/>
      <c r="GFF185" s="125"/>
      <c r="GFG185" s="125"/>
      <c r="GFH185" s="125"/>
      <c r="GFI185" s="125"/>
      <c r="GFJ185" s="125"/>
      <c r="GFK185" s="125"/>
      <c r="GFL185" s="125"/>
      <c r="GFM185" s="125"/>
      <c r="GFN185" s="125"/>
      <c r="GFO185" s="125"/>
      <c r="GFP185" s="125"/>
      <c r="GFQ185" s="125"/>
      <c r="GFR185" s="125"/>
      <c r="GFS185" s="125"/>
      <c r="GFT185" s="125"/>
      <c r="GFU185" s="125"/>
      <c r="GFV185" s="125"/>
      <c r="GFW185" s="125"/>
      <c r="GFX185" s="125"/>
      <c r="GFY185" s="125"/>
      <c r="GFZ185" s="125"/>
      <c r="GGA185" s="125"/>
      <c r="GGB185" s="125"/>
      <c r="GGC185" s="125"/>
      <c r="GGD185" s="125"/>
      <c r="GGE185" s="125"/>
      <c r="GGF185" s="125"/>
      <c r="GGG185" s="125"/>
      <c r="GGH185" s="125"/>
      <c r="GGI185" s="125"/>
      <c r="GGJ185" s="125"/>
      <c r="GGK185" s="125"/>
      <c r="GGL185" s="125"/>
      <c r="GGM185" s="125"/>
      <c r="GGN185" s="125"/>
      <c r="GGO185" s="125"/>
      <c r="GGP185" s="125"/>
      <c r="GGQ185" s="125"/>
      <c r="GGR185" s="125"/>
      <c r="GGS185" s="125"/>
      <c r="GGT185" s="125"/>
      <c r="GGU185" s="125"/>
      <c r="GGV185" s="125"/>
      <c r="GGW185" s="125"/>
      <c r="GGX185" s="125"/>
      <c r="GGY185" s="125"/>
      <c r="GGZ185" s="125"/>
      <c r="GHA185" s="125"/>
      <c r="GHB185" s="125"/>
      <c r="GHC185" s="125"/>
      <c r="GHD185" s="125"/>
      <c r="GHE185" s="125"/>
      <c r="GHF185" s="125"/>
      <c r="GHG185" s="125"/>
      <c r="GHH185" s="125"/>
      <c r="GHI185" s="125"/>
      <c r="GHJ185" s="125"/>
      <c r="GHK185" s="125"/>
      <c r="GHL185" s="125"/>
      <c r="GHM185" s="125"/>
      <c r="GHN185" s="125"/>
      <c r="GHO185" s="125"/>
      <c r="GHP185" s="125"/>
      <c r="GHQ185" s="125"/>
      <c r="GHR185" s="125"/>
      <c r="GHS185" s="125"/>
      <c r="GHT185" s="125"/>
      <c r="GHU185" s="125"/>
      <c r="GHV185" s="125"/>
      <c r="GHW185" s="125"/>
      <c r="GHX185" s="125"/>
      <c r="GHY185" s="125"/>
      <c r="GHZ185" s="125"/>
      <c r="GIA185" s="125"/>
      <c r="GIB185" s="125"/>
      <c r="GIC185" s="125"/>
      <c r="GID185" s="125"/>
      <c r="GIE185" s="125"/>
      <c r="GIF185" s="125"/>
      <c r="GIG185" s="125"/>
      <c r="GIH185" s="125"/>
      <c r="GII185" s="125"/>
      <c r="GIJ185" s="125"/>
      <c r="GIK185" s="125"/>
      <c r="GIL185" s="125"/>
      <c r="GIM185" s="125"/>
      <c r="GIN185" s="125"/>
      <c r="GIO185" s="125"/>
      <c r="GIP185" s="125"/>
      <c r="GIQ185" s="125"/>
      <c r="GIR185" s="125"/>
      <c r="GIS185" s="125"/>
      <c r="GIT185" s="125"/>
      <c r="GIU185" s="125"/>
      <c r="GIV185" s="125"/>
      <c r="GIW185" s="125"/>
      <c r="GIX185" s="125"/>
      <c r="GIY185" s="125"/>
      <c r="GIZ185" s="125"/>
      <c r="GJA185" s="125"/>
      <c r="GJB185" s="125"/>
      <c r="GJC185" s="125"/>
      <c r="GJD185" s="125"/>
      <c r="GJE185" s="125"/>
      <c r="GJF185" s="125"/>
      <c r="GJG185" s="125"/>
      <c r="GJH185" s="125"/>
      <c r="GJI185" s="125"/>
      <c r="GJJ185" s="125"/>
      <c r="GJK185" s="125"/>
      <c r="GJL185" s="125"/>
      <c r="GJM185" s="125"/>
      <c r="GJN185" s="125"/>
      <c r="GJO185" s="125"/>
      <c r="GJP185" s="125"/>
      <c r="GJQ185" s="125"/>
      <c r="GJR185" s="125"/>
      <c r="GJS185" s="125"/>
      <c r="GJT185" s="125"/>
      <c r="GJU185" s="125"/>
      <c r="GJV185" s="125"/>
      <c r="GJW185" s="125"/>
      <c r="GJX185" s="125"/>
      <c r="GJY185" s="125"/>
      <c r="GJZ185" s="125"/>
      <c r="GKA185" s="125"/>
      <c r="GKB185" s="125"/>
      <c r="GKC185" s="125"/>
      <c r="GKD185" s="125"/>
      <c r="GKE185" s="125"/>
      <c r="GKF185" s="125"/>
      <c r="GKG185" s="125"/>
      <c r="GKH185" s="125"/>
      <c r="GKI185" s="125"/>
      <c r="GKJ185" s="125"/>
      <c r="GKK185" s="125"/>
      <c r="GKL185" s="125"/>
      <c r="GKM185" s="125"/>
      <c r="GKN185" s="125"/>
      <c r="GKO185" s="125"/>
      <c r="GKP185" s="125"/>
      <c r="GKQ185" s="125"/>
      <c r="GKR185" s="125"/>
      <c r="GKS185" s="125"/>
      <c r="GKT185" s="125"/>
      <c r="GKU185" s="125"/>
      <c r="GKV185" s="125"/>
      <c r="GKW185" s="125"/>
      <c r="GKX185" s="125"/>
      <c r="GKY185" s="125"/>
      <c r="GKZ185" s="125"/>
      <c r="GLA185" s="125"/>
      <c r="GLB185" s="125"/>
      <c r="GLC185" s="125"/>
      <c r="GLD185" s="125"/>
      <c r="GLE185" s="125"/>
      <c r="GLF185" s="125"/>
      <c r="GLG185" s="125"/>
      <c r="GLH185" s="125"/>
      <c r="GLI185" s="125"/>
      <c r="GLJ185" s="125"/>
      <c r="GLK185" s="125"/>
      <c r="GLL185" s="125"/>
      <c r="GLM185" s="125"/>
      <c r="GLN185" s="125"/>
      <c r="GLO185" s="125"/>
      <c r="GLP185" s="125"/>
      <c r="GLQ185" s="125"/>
      <c r="GLR185" s="125"/>
      <c r="GLS185" s="125"/>
      <c r="GLT185" s="125"/>
      <c r="GLU185" s="125"/>
      <c r="GLV185" s="125"/>
      <c r="GLW185" s="125"/>
      <c r="GLX185" s="125"/>
      <c r="GLY185" s="125"/>
      <c r="GLZ185" s="125"/>
      <c r="GMA185" s="125"/>
      <c r="GMB185" s="125"/>
      <c r="GMC185" s="125"/>
      <c r="GMD185" s="125"/>
      <c r="GME185" s="125"/>
      <c r="GMF185" s="125"/>
      <c r="GMG185" s="125"/>
      <c r="GMH185" s="125"/>
      <c r="GMI185" s="125"/>
      <c r="GMJ185" s="125"/>
      <c r="GMK185" s="125"/>
      <c r="GML185" s="125"/>
      <c r="GMM185" s="125"/>
      <c r="GMN185" s="125"/>
      <c r="GMO185" s="125"/>
      <c r="GMP185" s="125"/>
      <c r="GMQ185" s="125"/>
      <c r="GMR185" s="125"/>
      <c r="GMS185" s="125"/>
      <c r="GMT185" s="125"/>
      <c r="GMU185" s="125"/>
      <c r="GMV185" s="125"/>
      <c r="GMW185" s="125"/>
      <c r="GMX185" s="125"/>
      <c r="GMY185" s="125"/>
      <c r="GMZ185" s="125"/>
      <c r="GNA185" s="125"/>
      <c r="GNB185" s="125"/>
      <c r="GNC185" s="125"/>
      <c r="GND185" s="125"/>
      <c r="GNE185" s="125"/>
      <c r="GNF185" s="125"/>
      <c r="GNG185" s="125"/>
      <c r="GNH185" s="125"/>
      <c r="GNI185" s="125"/>
      <c r="GNJ185" s="125"/>
      <c r="GNK185" s="125"/>
      <c r="GNL185" s="125"/>
      <c r="GNM185" s="125"/>
      <c r="GNN185" s="125"/>
      <c r="GNO185" s="125"/>
      <c r="GNP185" s="125"/>
      <c r="GNQ185" s="125"/>
      <c r="GNR185" s="125"/>
      <c r="GNS185" s="125"/>
      <c r="GNT185" s="125"/>
      <c r="GNU185" s="125"/>
      <c r="GNV185" s="125"/>
      <c r="GNW185" s="125"/>
      <c r="GNX185" s="125"/>
      <c r="GNY185" s="125"/>
      <c r="GNZ185" s="125"/>
      <c r="GOA185" s="125"/>
      <c r="GOB185" s="125"/>
      <c r="GOC185" s="125"/>
      <c r="GOD185" s="125"/>
      <c r="GOE185" s="125"/>
      <c r="GOF185" s="125"/>
      <c r="GOG185" s="125"/>
      <c r="GOH185" s="125"/>
      <c r="GOI185" s="125"/>
      <c r="GOJ185" s="125"/>
      <c r="GOK185" s="125"/>
      <c r="GOL185" s="125"/>
      <c r="GOM185" s="125"/>
      <c r="GON185" s="125"/>
      <c r="GOO185" s="125"/>
      <c r="GOP185" s="125"/>
      <c r="GOQ185" s="125"/>
      <c r="GOR185" s="125"/>
      <c r="GOS185" s="125"/>
      <c r="GOT185" s="125"/>
      <c r="GOU185" s="125"/>
      <c r="GOV185" s="125"/>
      <c r="GOW185" s="125"/>
      <c r="GOX185" s="125"/>
      <c r="GOY185" s="125"/>
      <c r="GOZ185" s="125"/>
      <c r="GPA185" s="125"/>
      <c r="GPB185" s="125"/>
      <c r="GPC185" s="125"/>
      <c r="GPD185" s="125"/>
      <c r="GPE185" s="125"/>
      <c r="GPF185" s="125"/>
      <c r="GPG185" s="125"/>
      <c r="GPH185" s="125"/>
      <c r="GPI185" s="125"/>
      <c r="GPJ185" s="125"/>
      <c r="GPK185" s="125"/>
      <c r="GPL185" s="125"/>
      <c r="GPM185" s="125"/>
      <c r="GPN185" s="125"/>
      <c r="GPO185" s="125"/>
      <c r="GPP185" s="125"/>
      <c r="GPQ185" s="125"/>
      <c r="GPR185" s="125"/>
      <c r="GPS185" s="125"/>
      <c r="GPT185" s="125"/>
      <c r="GPU185" s="125"/>
      <c r="GPV185" s="125"/>
      <c r="GPW185" s="125"/>
      <c r="GPX185" s="125"/>
      <c r="GPY185" s="125"/>
      <c r="GPZ185" s="125"/>
      <c r="GQA185" s="125"/>
      <c r="GQB185" s="125"/>
      <c r="GQC185" s="125"/>
      <c r="GQD185" s="125"/>
      <c r="GQE185" s="125"/>
      <c r="GQF185" s="125"/>
      <c r="GQG185" s="125"/>
      <c r="GQH185" s="125"/>
      <c r="GQI185" s="125"/>
      <c r="GQJ185" s="125"/>
      <c r="GQK185" s="125"/>
      <c r="GQL185" s="125"/>
      <c r="GQM185" s="125"/>
      <c r="GQN185" s="125"/>
      <c r="GQO185" s="125"/>
      <c r="GQP185" s="125"/>
      <c r="GQQ185" s="125"/>
      <c r="GQR185" s="125"/>
      <c r="GQS185" s="125"/>
      <c r="GQT185" s="125"/>
      <c r="GQU185" s="125"/>
      <c r="GQV185" s="125"/>
      <c r="GQW185" s="125"/>
      <c r="GQX185" s="125"/>
      <c r="GQY185" s="125"/>
      <c r="GQZ185" s="125"/>
      <c r="GRA185" s="125"/>
      <c r="GRB185" s="125"/>
      <c r="GRC185" s="125"/>
      <c r="GRD185" s="125"/>
      <c r="GRE185" s="125"/>
      <c r="GRF185" s="125"/>
      <c r="GRG185" s="125"/>
      <c r="GRH185" s="125"/>
      <c r="GRI185" s="125"/>
      <c r="GRJ185" s="125"/>
      <c r="GRK185" s="125"/>
      <c r="GRL185" s="125"/>
      <c r="GRM185" s="125"/>
      <c r="GRN185" s="125"/>
      <c r="GRO185" s="125"/>
      <c r="GRP185" s="125"/>
      <c r="GRQ185" s="125"/>
      <c r="GRR185" s="125"/>
      <c r="GRS185" s="125"/>
      <c r="GRT185" s="125"/>
      <c r="GRU185" s="125"/>
      <c r="GRV185" s="125"/>
      <c r="GRW185" s="125"/>
      <c r="GRX185" s="125"/>
      <c r="GRY185" s="125"/>
      <c r="GRZ185" s="125"/>
      <c r="GSA185" s="125"/>
      <c r="GSB185" s="125"/>
      <c r="GSC185" s="125"/>
      <c r="GSD185" s="125"/>
      <c r="GSE185" s="125"/>
      <c r="GSF185" s="125"/>
      <c r="GSG185" s="125"/>
      <c r="GSH185" s="125"/>
      <c r="GSI185" s="125"/>
      <c r="GSJ185" s="125"/>
      <c r="GSK185" s="125"/>
      <c r="GSL185" s="125"/>
      <c r="GSM185" s="125"/>
      <c r="GSN185" s="125"/>
      <c r="GSO185" s="125"/>
      <c r="GSP185" s="125"/>
      <c r="GSQ185" s="125"/>
      <c r="GSR185" s="125"/>
      <c r="GSS185" s="125"/>
      <c r="GST185" s="125"/>
      <c r="GSU185" s="125"/>
      <c r="GSV185" s="125"/>
      <c r="GSW185" s="125"/>
      <c r="GSX185" s="125"/>
      <c r="GSY185" s="125"/>
      <c r="GSZ185" s="125"/>
      <c r="GTA185" s="125"/>
      <c r="GTB185" s="125"/>
      <c r="GTC185" s="125"/>
      <c r="GTD185" s="125"/>
      <c r="GTE185" s="125"/>
      <c r="GTF185" s="125"/>
      <c r="GTG185" s="125"/>
      <c r="GTH185" s="125"/>
      <c r="GTI185" s="125"/>
      <c r="GTJ185" s="125"/>
      <c r="GTK185" s="125"/>
      <c r="GTL185" s="125"/>
      <c r="GTM185" s="125"/>
      <c r="GTN185" s="125"/>
      <c r="GTO185" s="125"/>
      <c r="GTP185" s="125"/>
      <c r="GTQ185" s="125"/>
      <c r="GTR185" s="125"/>
      <c r="GTS185" s="125"/>
      <c r="GTT185" s="125"/>
      <c r="GTU185" s="125"/>
      <c r="GTV185" s="125"/>
      <c r="GTW185" s="125"/>
      <c r="GTX185" s="125"/>
      <c r="GTY185" s="125"/>
      <c r="GTZ185" s="125"/>
      <c r="GUA185" s="125"/>
      <c r="GUB185" s="125"/>
      <c r="GUC185" s="125"/>
      <c r="GUD185" s="125"/>
      <c r="GUE185" s="125"/>
      <c r="GUF185" s="125"/>
      <c r="GUG185" s="125"/>
      <c r="GUH185" s="125"/>
      <c r="GUI185" s="125"/>
      <c r="GUJ185" s="125"/>
      <c r="GUK185" s="125"/>
      <c r="GUL185" s="125"/>
      <c r="GUM185" s="125"/>
      <c r="GUN185" s="125"/>
      <c r="GUO185" s="125"/>
      <c r="GUP185" s="125"/>
      <c r="GUQ185" s="125"/>
      <c r="GUR185" s="125"/>
      <c r="GUS185" s="125"/>
      <c r="GUT185" s="125"/>
      <c r="GUU185" s="125"/>
      <c r="GUV185" s="125"/>
      <c r="GUW185" s="125"/>
      <c r="GUX185" s="125"/>
      <c r="GUY185" s="125"/>
      <c r="GUZ185" s="125"/>
      <c r="GVA185" s="125"/>
      <c r="GVB185" s="125"/>
      <c r="GVC185" s="125"/>
      <c r="GVD185" s="125"/>
      <c r="GVE185" s="125"/>
      <c r="GVF185" s="125"/>
      <c r="GVG185" s="125"/>
      <c r="GVH185" s="125"/>
      <c r="GVI185" s="125"/>
      <c r="GVJ185" s="125"/>
      <c r="GVK185" s="125"/>
      <c r="GVL185" s="125"/>
      <c r="GVM185" s="125"/>
      <c r="GVN185" s="125"/>
      <c r="GVO185" s="125"/>
      <c r="GVP185" s="125"/>
      <c r="GVQ185" s="125"/>
      <c r="GVR185" s="125"/>
      <c r="GVS185" s="125"/>
      <c r="GVT185" s="125"/>
      <c r="GVU185" s="125"/>
      <c r="GVV185" s="125"/>
      <c r="GVW185" s="125"/>
      <c r="GVX185" s="125"/>
      <c r="GVY185" s="125"/>
      <c r="GVZ185" s="125"/>
      <c r="GWA185" s="125"/>
      <c r="GWB185" s="125"/>
      <c r="GWC185" s="125"/>
      <c r="GWD185" s="125"/>
      <c r="GWE185" s="125"/>
      <c r="GWF185" s="125"/>
      <c r="GWG185" s="125"/>
      <c r="GWH185" s="125"/>
      <c r="GWI185" s="125"/>
      <c r="GWJ185" s="125"/>
      <c r="GWK185" s="125"/>
      <c r="GWL185" s="125"/>
      <c r="GWM185" s="125"/>
      <c r="GWN185" s="125"/>
      <c r="GWO185" s="125"/>
      <c r="GWP185" s="125"/>
      <c r="GWQ185" s="125"/>
      <c r="GWR185" s="125"/>
      <c r="GWS185" s="125"/>
      <c r="GWT185" s="125"/>
      <c r="GWU185" s="125"/>
      <c r="GWV185" s="125"/>
      <c r="GWW185" s="125"/>
      <c r="GWX185" s="125"/>
      <c r="GWY185" s="125"/>
      <c r="GWZ185" s="125"/>
      <c r="GXA185" s="125"/>
      <c r="GXB185" s="125"/>
      <c r="GXC185" s="125"/>
      <c r="GXD185" s="125"/>
      <c r="GXE185" s="125"/>
      <c r="GXF185" s="125"/>
      <c r="GXG185" s="125"/>
      <c r="GXH185" s="125"/>
      <c r="GXI185" s="125"/>
      <c r="GXJ185" s="125"/>
      <c r="GXK185" s="125"/>
      <c r="GXL185" s="125"/>
      <c r="GXM185" s="125"/>
      <c r="GXN185" s="125"/>
      <c r="GXO185" s="125"/>
      <c r="GXP185" s="125"/>
      <c r="GXQ185" s="125"/>
      <c r="GXR185" s="125"/>
      <c r="GXS185" s="125"/>
      <c r="GXT185" s="125"/>
      <c r="GXU185" s="125"/>
      <c r="GXV185" s="125"/>
      <c r="GXW185" s="125"/>
      <c r="GXX185" s="125"/>
      <c r="GXY185" s="125"/>
      <c r="GXZ185" s="125"/>
      <c r="GYA185" s="125"/>
      <c r="GYB185" s="125"/>
      <c r="GYC185" s="125"/>
      <c r="GYD185" s="125"/>
      <c r="GYE185" s="125"/>
      <c r="GYF185" s="125"/>
      <c r="GYG185" s="125"/>
      <c r="GYH185" s="125"/>
      <c r="GYI185" s="125"/>
      <c r="GYJ185" s="125"/>
      <c r="GYK185" s="125"/>
      <c r="GYL185" s="125"/>
      <c r="GYM185" s="125"/>
      <c r="GYN185" s="125"/>
      <c r="GYO185" s="125"/>
      <c r="GYP185" s="125"/>
      <c r="GYQ185" s="125"/>
      <c r="GYR185" s="125"/>
      <c r="GYS185" s="125"/>
      <c r="GYT185" s="125"/>
      <c r="GYU185" s="125"/>
      <c r="GYV185" s="125"/>
      <c r="GYW185" s="125"/>
      <c r="GYX185" s="125"/>
      <c r="GYY185" s="125"/>
      <c r="GYZ185" s="125"/>
      <c r="GZA185" s="125"/>
      <c r="GZB185" s="125"/>
      <c r="GZC185" s="125"/>
      <c r="GZD185" s="125"/>
      <c r="GZE185" s="125"/>
      <c r="GZF185" s="125"/>
      <c r="GZG185" s="125"/>
      <c r="GZH185" s="125"/>
      <c r="GZI185" s="125"/>
      <c r="GZJ185" s="125"/>
      <c r="GZK185" s="125"/>
      <c r="GZL185" s="125"/>
      <c r="GZM185" s="125"/>
      <c r="GZN185" s="125"/>
      <c r="GZO185" s="125"/>
      <c r="GZP185" s="125"/>
      <c r="GZQ185" s="125"/>
      <c r="GZR185" s="125"/>
      <c r="GZS185" s="125"/>
      <c r="GZT185" s="125"/>
      <c r="GZU185" s="125"/>
      <c r="GZV185" s="125"/>
      <c r="GZW185" s="125"/>
      <c r="GZX185" s="125"/>
      <c r="GZY185" s="125"/>
      <c r="GZZ185" s="125"/>
      <c r="HAA185" s="125"/>
      <c r="HAB185" s="125"/>
      <c r="HAC185" s="125"/>
      <c r="HAD185" s="125"/>
      <c r="HAE185" s="125"/>
      <c r="HAF185" s="125"/>
      <c r="HAG185" s="125"/>
      <c r="HAH185" s="125"/>
      <c r="HAI185" s="125"/>
      <c r="HAJ185" s="125"/>
      <c r="HAK185" s="125"/>
      <c r="HAL185" s="125"/>
      <c r="HAM185" s="125"/>
      <c r="HAN185" s="125"/>
      <c r="HAO185" s="125"/>
      <c r="HAP185" s="125"/>
      <c r="HAQ185" s="125"/>
      <c r="HAR185" s="125"/>
      <c r="HAS185" s="125"/>
      <c r="HAT185" s="125"/>
      <c r="HAU185" s="125"/>
      <c r="HAV185" s="125"/>
      <c r="HAW185" s="125"/>
      <c r="HAX185" s="125"/>
      <c r="HAY185" s="125"/>
      <c r="HAZ185" s="125"/>
      <c r="HBA185" s="125"/>
      <c r="HBB185" s="125"/>
      <c r="HBC185" s="125"/>
      <c r="HBD185" s="125"/>
      <c r="HBE185" s="125"/>
      <c r="HBF185" s="125"/>
      <c r="HBG185" s="125"/>
      <c r="HBH185" s="125"/>
      <c r="HBI185" s="125"/>
      <c r="HBJ185" s="125"/>
      <c r="HBK185" s="125"/>
      <c r="HBL185" s="125"/>
      <c r="HBM185" s="125"/>
      <c r="HBN185" s="125"/>
      <c r="HBO185" s="125"/>
      <c r="HBP185" s="125"/>
      <c r="HBQ185" s="125"/>
      <c r="HBR185" s="125"/>
      <c r="HBS185" s="125"/>
      <c r="HBT185" s="125"/>
      <c r="HBU185" s="125"/>
      <c r="HBV185" s="125"/>
      <c r="HBW185" s="125"/>
      <c r="HBX185" s="125"/>
      <c r="HBY185" s="125"/>
      <c r="HBZ185" s="125"/>
      <c r="HCA185" s="125"/>
      <c r="HCB185" s="125"/>
      <c r="HCC185" s="125"/>
      <c r="HCD185" s="125"/>
      <c r="HCE185" s="125"/>
      <c r="HCF185" s="125"/>
      <c r="HCG185" s="125"/>
      <c r="HCH185" s="125"/>
      <c r="HCI185" s="125"/>
      <c r="HCJ185" s="125"/>
      <c r="HCK185" s="125"/>
      <c r="HCL185" s="125"/>
      <c r="HCM185" s="125"/>
      <c r="HCN185" s="125"/>
      <c r="HCO185" s="125"/>
      <c r="HCP185" s="125"/>
      <c r="HCQ185" s="125"/>
      <c r="HCR185" s="125"/>
      <c r="HCS185" s="125"/>
      <c r="HCT185" s="125"/>
      <c r="HCU185" s="125"/>
      <c r="HCV185" s="125"/>
      <c r="HCW185" s="125"/>
      <c r="HCX185" s="125"/>
      <c r="HCY185" s="125"/>
      <c r="HCZ185" s="125"/>
      <c r="HDA185" s="125"/>
      <c r="HDB185" s="125"/>
      <c r="HDC185" s="125"/>
      <c r="HDD185" s="125"/>
      <c r="HDE185" s="125"/>
      <c r="HDF185" s="125"/>
      <c r="HDG185" s="125"/>
      <c r="HDH185" s="125"/>
      <c r="HDI185" s="125"/>
      <c r="HDJ185" s="125"/>
      <c r="HDK185" s="125"/>
      <c r="HDL185" s="125"/>
      <c r="HDM185" s="125"/>
      <c r="HDN185" s="125"/>
      <c r="HDO185" s="125"/>
      <c r="HDP185" s="125"/>
      <c r="HDQ185" s="125"/>
      <c r="HDR185" s="125"/>
      <c r="HDS185" s="125"/>
      <c r="HDT185" s="125"/>
      <c r="HDU185" s="125"/>
      <c r="HDV185" s="125"/>
      <c r="HDW185" s="125"/>
      <c r="HDX185" s="125"/>
      <c r="HDY185" s="125"/>
      <c r="HDZ185" s="125"/>
      <c r="HEA185" s="125"/>
      <c r="HEB185" s="125"/>
      <c r="HEC185" s="125"/>
      <c r="HED185" s="125"/>
      <c r="HEE185" s="125"/>
      <c r="HEF185" s="125"/>
      <c r="HEG185" s="125"/>
      <c r="HEH185" s="125"/>
      <c r="HEI185" s="125"/>
      <c r="HEJ185" s="125"/>
      <c r="HEK185" s="125"/>
      <c r="HEL185" s="125"/>
      <c r="HEM185" s="125"/>
      <c r="HEN185" s="125"/>
      <c r="HEO185" s="125"/>
      <c r="HEP185" s="125"/>
      <c r="HEQ185" s="125"/>
      <c r="HER185" s="125"/>
      <c r="HES185" s="125"/>
      <c r="HET185" s="125"/>
      <c r="HEU185" s="125"/>
      <c r="HEV185" s="125"/>
      <c r="HEW185" s="125"/>
      <c r="HEX185" s="125"/>
      <c r="HEY185" s="125"/>
      <c r="HEZ185" s="125"/>
      <c r="HFA185" s="125"/>
      <c r="HFB185" s="125"/>
      <c r="HFC185" s="125"/>
      <c r="HFD185" s="125"/>
      <c r="HFE185" s="125"/>
      <c r="HFF185" s="125"/>
      <c r="HFG185" s="125"/>
      <c r="HFH185" s="125"/>
      <c r="HFI185" s="125"/>
      <c r="HFJ185" s="125"/>
      <c r="HFK185" s="125"/>
      <c r="HFL185" s="125"/>
      <c r="HFM185" s="125"/>
      <c r="HFN185" s="125"/>
      <c r="HFO185" s="125"/>
      <c r="HFP185" s="125"/>
      <c r="HFQ185" s="125"/>
      <c r="HFR185" s="125"/>
      <c r="HFS185" s="125"/>
      <c r="HFT185" s="125"/>
      <c r="HFU185" s="125"/>
      <c r="HFV185" s="125"/>
      <c r="HFW185" s="125"/>
      <c r="HFX185" s="125"/>
      <c r="HFY185" s="125"/>
      <c r="HFZ185" s="125"/>
      <c r="HGA185" s="125"/>
      <c r="HGB185" s="125"/>
      <c r="HGC185" s="125"/>
      <c r="HGD185" s="125"/>
      <c r="HGE185" s="125"/>
      <c r="HGF185" s="125"/>
      <c r="HGG185" s="125"/>
      <c r="HGH185" s="125"/>
      <c r="HGI185" s="125"/>
      <c r="HGJ185" s="125"/>
      <c r="HGK185" s="125"/>
      <c r="HGL185" s="125"/>
      <c r="HGM185" s="125"/>
      <c r="HGN185" s="125"/>
      <c r="HGO185" s="125"/>
      <c r="HGP185" s="125"/>
      <c r="HGQ185" s="125"/>
      <c r="HGR185" s="125"/>
      <c r="HGS185" s="125"/>
      <c r="HGT185" s="125"/>
      <c r="HGU185" s="125"/>
      <c r="HGV185" s="125"/>
      <c r="HGW185" s="125"/>
      <c r="HGX185" s="125"/>
      <c r="HGY185" s="125"/>
      <c r="HGZ185" s="125"/>
      <c r="HHA185" s="125"/>
      <c r="HHB185" s="125"/>
      <c r="HHC185" s="125"/>
      <c r="HHD185" s="125"/>
      <c r="HHE185" s="125"/>
      <c r="HHF185" s="125"/>
      <c r="HHG185" s="125"/>
      <c r="HHH185" s="125"/>
      <c r="HHI185" s="125"/>
      <c r="HHJ185" s="125"/>
      <c r="HHK185" s="125"/>
      <c r="HHL185" s="125"/>
      <c r="HHM185" s="125"/>
      <c r="HHN185" s="125"/>
      <c r="HHO185" s="125"/>
      <c r="HHP185" s="125"/>
      <c r="HHQ185" s="125"/>
      <c r="HHR185" s="125"/>
      <c r="HHS185" s="125"/>
      <c r="HHT185" s="125"/>
      <c r="HHU185" s="125"/>
      <c r="HHV185" s="125"/>
      <c r="HHW185" s="125"/>
      <c r="HHX185" s="125"/>
      <c r="HHY185" s="125"/>
      <c r="HHZ185" s="125"/>
      <c r="HIA185" s="125"/>
      <c r="HIB185" s="125"/>
      <c r="HIC185" s="125"/>
      <c r="HID185" s="125"/>
      <c r="HIE185" s="125"/>
      <c r="HIF185" s="125"/>
      <c r="HIG185" s="125"/>
      <c r="HIH185" s="125"/>
      <c r="HII185" s="125"/>
      <c r="HIJ185" s="125"/>
      <c r="HIK185" s="125"/>
      <c r="HIL185" s="125"/>
      <c r="HIM185" s="125"/>
      <c r="HIN185" s="125"/>
      <c r="HIO185" s="125"/>
      <c r="HIP185" s="125"/>
      <c r="HIQ185" s="125"/>
      <c r="HIR185" s="125"/>
      <c r="HIS185" s="125"/>
      <c r="HIT185" s="125"/>
      <c r="HIU185" s="125"/>
      <c r="HIV185" s="125"/>
      <c r="HIW185" s="125"/>
      <c r="HIX185" s="125"/>
      <c r="HIY185" s="125"/>
      <c r="HIZ185" s="125"/>
      <c r="HJA185" s="125"/>
      <c r="HJB185" s="125"/>
      <c r="HJC185" s="125"/>
      <c r="HJD185" s="125"/>
      <c r="HJE185" s="125"/>
      <c r="HJF185" s="125"/>
      <c r="HJG185" s="125"/>
      <c r="HJH185" s="125"/>
      <c r="HJI185" s="125"/>
      <c r="HJJ185" s="125"/>
      <c r="HJK185" s="125"/>
      <c r="HJL185" s="125"/>
      <c r="HJM185" s="125"/>
      <c r="HJN185" s="125"/>
      <c r="HJO185" s="125"/>
      <c r="HJP185" s="125"/>
      <c r="HJQ185" s="125"/>
      <c r="HJR185" s="125"/>
      <c r="HJS185" s="125"/>
      <c r="HJT185" s="125"/>
      <c r="HJU185" s="125"/>
      <c r="HJV185" s="125"/>
      <c r="HJW185" s="125"/>
      <c r="HJX185" s="125"/>
      <c r="HJY185" s="125"/>
      <c r="HJZ185" s="125"/>
      <c r="HKA185" s="125"/>
      <c r="HKB185" s="125"/>
      <c r="HKC185" s="125"/>
      <c r="HKD185" s="125"/>
      <c r="HKE185" s="125"/>
      <c r="HKF185" s="125"/>
      <c r="HKG185" s="125"/>
      <c r="HKH185" s="125"/>
      <c r="HKI185" s="125"/>
      <c r="HKJ185" s="125"/>
      <c r="HKK185" s="125"/>
      <c r="HKL185" s="125"/>
      <c r="HKM185" s="125"/>
      <c r="HKN185" s="125"/>
      <c r="HKO185" s="125"/>
      <c r="HKP185" s="125"/>
      <c r="HKQ185" s="125"/>
      <c r="HKR185" s="125"/>
      <c r="HKS185" s="125"/>
      <c r="HKT185" s="125"/>
      <c r="HKU185" s="125"/>
      <c r="HKV185" s="125"/>
      <c r="HKW185" s="125"/>
      <c r="HKX185" s="125"/>
      <c r="HKY185" s="125"/>
      <c r="HKZ185" s="125"/>
      <c r="HLA185" s="125"/>
      <c r="HLB185" s="125"/>
      <c r="HLC185" s="125"/>
      <c r="HLD185" s="125"/>
      <c r="HLE185" s="125"/>
      <c r="HLF185" s="125"/>
      <c r="HLG185" s="125"/>
      <c r="HLH185" s="125"/>
      <c r="HLI185" s="125"/>
      <c r="HLJ185" s="125"/>
      <c r="HLK185" s="125"/>
      <c r="HLL185" s="125"/>
      <c r="HLM185" s="125"/>
      <c r="HLN185" s="125"/>
      <c r="HLO185" s="125"/>
      <c r="HLP185" s="125"/>
      <c r="HLQ185" s="125"/>
      <c r="HLR185" s="125"/>
      <c r="HLS185" s="125"/>
      <c r="HLT185" s="125"/>
      <c r="HLU185" s="125"/>
      <c r="HLV185" s="125"/>
      <c r="HLW185" s="125"/>
      <c r="HLX185" s="125"/>
      <c r="HLY185" s="125"/>
      <c r="HLZ185" s="125"/>
      <c r="HMA185" s="125"/>
      <c r="HMB185" s="125"/>
      <c r="HMC185" s="125"/>
      <c r="HMD185" s="125"/>
      <c r="HME185" s="125"/>
      <c r="HMF185" s="125"/>
      <c r="HMG185" s="125"/>
      <c r="HMH185" s="125"/>
      <c r="HMI185" s="125"/>
      <c r="HMJ185" s="125"/>
      <c r="HMK185" s="125"/>
      <c r="HML185" s="125"/>
      <c r="HMM185" s="125"/>
      <c r="HMN185" s="125"/>
      <c r="HMO185" s="125"/>
      <c r="HMP185" s="125"/>
      <c r="HMQ185" s="125"/>
      <c r="HMR185" s="125"/>
      <c r="HMS185" s="125"/>
      <c r="HMT185" s="125"/>
      <c r="HMU185" s="125"/>
      <c r="HMV185" s="125"/>
      <c r="HMW185" s="125"/>
      <c r="HMX185" s="125"/>
      <c r="HMY185" s="125"/>
      <c r="HMZ185" s="125"/>
      <c r="HNA185" s="125"/>
      <c r="HNB185" s="125"/>
      <c r="HNC185" s="125"/>
      <c r="HND185" s="125"/>
      <c r="HNE185" s="125"/>
      <c r="HNF185" s="125"/>
      <c r="HNG185" s="125"/>
      <c r="HNH185" s="125"/>
      <c r="HNI185" s="125"/>
      <c r="HNJ185" s="125"/>
      <c r="HNK185" s="125"/>
      <c r="HNL185" s="125"/>
      <c r="HNM185" s="125"/>
      <c r="HNN185" s="125"/>
      <c r="HNO185" s="125"/>
      <c r="HNP185" s="125"/>
      <c r="HNQ185" s="125"/>
      <c r="HNR185" s="125"/>
      <c r="HNS185" s="125"/>
      <c r="HNT185" s="125"/>
      <c r="HNU185" s="125"/>
      <c r="HNV185" s="125"/>
      <c r="HNW185" s="125"/>
      <c r="HNX185" s="125"/>
      <c r="HNY185" s="125"/>
      <c r="HNZ185" s="125"/>
      <c r="HOA185" s="125"/>
      <c r="HOB185" s="125"/>
      <c r="HOC185" s="125"/>
      <c r="HOD185" s="125"/>
      <c r="HOE185" s="125"/>
      <c r="HOF185" s="125"/>
      <c r="HOG185" s="125"/>
      <c r="HOH185" s="125"/>
      <c r="HOI185" s="125"/>
      <c r="HOJ185" s="125"/>
      <c r="HOK185" s="125"/>
      <c r="HOL185" s="125"/>
      <c r="HOM185" s="125"/>
      <c r="HON185" s="125"/>
      <c r="HOO185" s="125"/>
      <c r="HOP185" s="125"/>
      <c r="HOQ185" s="125"/>
      <c r="HOR185" s="125"/>
      <c r="HOS185" s="125"/>
      <c r="HOT185" s="125"/>
      <c r="HOU185" s="125"/>
      <c r="HOV185" s="125"/>
      <c r="HOW185" s="125"/>
      <c r="HOX185" s="125"/>
      <c r="HOY185" s="125"/>
      <c r="HOZ185" s="125"/>
      <c r="HPA185" s="125"/>
      <c r="HPB185" s="125"/>
      <c r="HPC185" s="125"/>
      <c r="HPD185" s="125"/>
      <c r="HPE185" s="125"/>
      <c r="HPF185" s="125"/>
      <c r="HPG185" s="125"/>
      <c r="HPH185" s="125"/>
      <c r="HPI185" s="125"/>
      <c r="HPJ185" s="125"/>
      <c r="HPK185" s="125"/>
      <c r="HPL185" s="125"/>
      <c r="HPM185" s="125"/>
      <c r="HPN185" s="125"/>
      <c r="HPO185" s="125"/>
      <c r="HPP185" s="125"/>
      <c r="HPQ185" s="125"/>
      <c r="HPR185" s="125"/>
      <c r="HPS185" s="125"/>
      <c r="HPT185" s="125"/>
      <c r="HPU185" s="125"/>
      <c r="HPV185" s="125"/>
      <c r="HPW185" s="125"/>
      <c r="HPX185" s="125"/>
      <c r="HPY185" s="125"/>
      <c r="HPZ185" s="125"/>
      <c r="HQA185" s="125"/>
      <c r="HQB185" s="125"/>
      <c r="HQC185" s="125"/>
      <c r="HQD185" s="125"/>
      <c r="HQE185" s="125"/>
      <c r="HQF185" s="125"/>
      <c r="HQG185" s="125"/>
      <c r="HQH185" s="125"/>
      <c r="HQI185" s="125"/>
      <c r="HQJ185" s="125"/>
      <c r="HQK185" s="125"/>
      <c r="HQL185" s="125"/>
      <c r="HQM185" s="125"/>
      <c r="HQN185" s="125"/>
      <c r="HQO185" s="125"/>
      <c r="HQP185" s="125"/>
      <c r="HQQ185" s="125"/>
      <c r="HQR185" s="125"/>
      <c r="HQS185" s="125"/>
      <c r="HQT185" s="125"/>
      <c r="HQU185" s="125"/>
      <c r="HQV185" s="125"/>
      <c r="HQW185" s="125"/>
      <c r="HQX185" s="125"/>
      <c r="HQY185" s="125"/>
      <c r="HQZ185" s="125"/>
      <c r="HRA185" s="125"/>
      <c r="HRB185" s="125"/>
      <c r="HRC185" s="125"/>
      <c r="HRD185" s="125"/>
      <c r="HRE185" s="125"/>
      <c r="HRF185" s="125"/>
      <c r="HRG185" s="125"/>
      <c r="HRH185" s="125"/>
      <c r="HRI185" s="125"/>
      <c r="HRJ185" s="125"/>
      <c r="HRK185" s="125"/>
      <c r="HRL185" s="125"/>
      <c r="HRM185" s="125"/>
      <c r="HRN185" s="125"/>
      <c r="HRO185" s="125"/>
      <c r="HRP185" s="125"/>
      <c r="HRQ185" s="125"/>
      <c r="HRR185" s="125"/>
      <c r="HRS185" s="125"/>
      <c r="HRT185" s="125"/>
      <c r="HRU185" s="125"/>
      <c r="HRV185" s="125"/>
      <c r="HRW185" s="125"/>
      <c r="HRX185" s="125"/>
      <c r="HRY185" s="125"/>
      <c r="HRZ185" s="125"/>
      <c r="HSA185" s="125"/>
      <c r="HSB185" s="125"/>
      <c r="HSC185" s="125"/>
      <c r="HSD185" s="125"/>
      <c r="HSE185" s="125"/>
      <c r="HSF185" s="125"/>
      <c r="HSG185" s="125"/>
      <c r="HSH185" s="125"/>
      <c r="HSI185" s="125"/>
      <c r="HSJ185" s="125"/>
      <c r="HSK185" s="125"/>
      <c r="HSL185" s="125"/>
      <c r="HSM185" s="125"/>
      <c r="HSN185" s="125"/>
      <c r="HSO185" s="125"/>
      <c r="HSP185" s="125"/>
      <c r="HSQ185" s="125"/>
      <c r="HSR185" s="125"/>
      <c r="HSS185" s="125"/>
      <c r="HST185" s="125"/>
      <c r="HSU185" s="125"/>
      <c r="HSV185" s="125"/>
      <c r="HSW185" s="125"/>
      <c r="HSX185" s="125"/>
      <c r="HSY185" s="125"/>
      <c r="HSZ185" s="125"/>
      <c r="HTA185" s="125"/>
      <c r="HTB185" s="125"/>
      <c r="HTC185" s="125"/>
      <c r="HTD185" s="125"/>
      <c r="HTE185" s="125"/>
      <c r="HTF185" s="125"/>
      <c r="HTG185" s="125"/>
      <c r="HTH185" s="125"/>
      <c r="HTI185" s="125"/>
      <c r="HTJ185" s="125"/>
      <c r="HTK185" s="125"/>
      <c r="HTL185" s="125"/>
      <c r="HTM185" s="125"/>
      <c r="HTN185" s="125"/>
      <c r="HTO185" s="125"/>
      <c r="HTP185" s="125"/>
      <c r="HTQ185" s="125"/>
      <c r="HTR185" s="125"/>
      <c r="HTS185" s="125"/>
      <c r="HTT185" s="125"/>
      <c r="HTU185" s="125"/>
      <c r="HTV185" s="125"/>
      <c r="HTW185" s="125"/>
      <c r="HTX185" s="125"/>
      <c r="HTY185" s="125"/>
      <c r="HTZ185" s="125"/>
      <c r="HUA185" s="125"/>
      <c r="HUB185" s="125"/>
      <c r="HUC185" s="125"/>
      <c r="HUD185" s="125"/>
      <c r="HUE185" s="125"/>
      <c r="HUF185" s="125"/>
      <c r="HUG185" s="125"/>
      <c r="HUH185" s="125"/>
      <c r="HUI185" s="125"/>
      <c r="HUJ185" s="125"/>
      <c r="HUK185" s="125"/>
      <c r="HUL185" s="125"/>
      <c r="HUM185" s="125"/>
      <c r="HUN185" s="125"/>
      <c r="HUO185" s="125"/>
      <c r="HUP185" s="125"/>
      <c r="HUQ185" s="125"/>
      <c r="HUR185" s="125"/>
      <c r="HUS185" s="125"/>
      <c r="HUT185" s="125"/>
      <c r="HUU185" s="125"/>
      <c r="HUV185" s="125"/>
      <c r="HUW185" s="125"/>
      <c r="HUX185" s="125"/>
      <c r="HUY185" s="125"/>
      <c r="HUZ185" s="125"/>
      <c r="HVA185" s="125"/>
      <c r="HVB185" s="125"/>
      <c r="HVC185" s="125"/>
      <c r="HVD185" s="125"/>
      <c r="HVE185" s="125"/>
      <c r="HVF185" s="125"/>
      <c r="HVG185" s="125"/>
      <c r="HVH185" s="125"/>
      <c r="HVI185" s="125"/>
      <c r="HVJ185" s="125"/>
      <c r="HVK185" s="125"/>
      <c r="HVL185" s="125"/>
      <c r="HVM185" s="125"/>
      <c r="HVN185" s="125"/>
      <c r="HVO185" s="125"/>
      <c r="HVP185" s="125"/>
      <c r="HVQ185" s="125"/>
      <c r="HVR185" s="125"/>
      <c r="HVS185" s="125"/>
      <c r="HVT185" s="125"/>
      <c r="HVU185" s="125"/>
      <c r="HVV185" s="125"/>
      <c r="HVW185" s="125"/>
      <c r="HVX185" s="125"/>
      <c r="HVY185" s="125"/>
      <c r="HVZ185" s="125"/>
      <c r="HWA185" s="125"/>
      <c r="HWB185" s="125"/>
      <c r="HWC185" s="125"/>
      <c r="HWD185" s="125"/>
      <c r="HWE185" s="125"/>
      <c r="HWF185" s="125"/>
      <c r="HWG185" s="125"/>
      <c r="HWH185" s="125"/>
      <c r="HWI185" s="125"/>
      <c r="HWJ185" s="125"/>
      <c r="HWK185" s="125"/>
      <c r="HWL185" s="125"/>
      <c r="HWM185" s="125"/>
      <c r="HWN185" s="125"/>
      <c r="HWO185" s="125"/>
      <c r="HWP185" s="125"/>
      <c r="HWQ185" s="125"/>
      <c r="HWR185" s="125"/>
      <c r="HWS185" s="125"/>
      <c r="HWT185" s="125"/>
      <c r="HWU185" s="125"/>
      <c r="HWV185" s="125"/>
      <c r="HWW185" s="125"/>
      <c r="HWX185" s="125"/>
      <c r="HWY185" s="125"/>
      <c r="HWZ185" s="125"/>
      <c r="HXA185" s="125"/>
      <c r="HXB185" s="125"/>
      <c r="HXC185" s="125"/>
      <c r="HXD185" s="125"/>
      <c r="HXE185" s="125"/>
      <c r="HXF185" s="125"/>
      <c r="HXG185" s="125"/>
      <c r="HXH185" s="125"/>
      <c r="HXI185" s="125"/>
      <c r="HXJ185" s="125"/>
      <c r="HXK185" s="125"/>
      <c r="HXL185" s="125"/>
      <c r="HXM185" s="125"/>
      <c r="HXN185" s="125"/>
      <c r="HXO185" s="125"/>
      <c r="HXP185" s="125"/>
      <c r="HXQ185" s="125"/>
      <c r="HXR185" s="125"/>
      <c r="HXS185" s="125"/>
      <c r="HXT185" s="125"/>
      <c r="HXU185" s="125"/>
      <c r="HXV185" s="125"/>
      <c r="HXW185" s="125"/>
      <c r="HXX185" s="125"/>
      <c r="HXY185" s="125"/>
      <c r="HXZ185" s="125"/>
      <c r="HYA185" s="125"/>
      <c r="HYB185" s="125"/>
      <c r="HYC185" s="125"/>
      <c r="HYD185" s="125"/>
      <c r="HYE185" s="125"/>
      <c r="HYF185" s="125"/>
      <c r="HYG185" s="125"/>
      <c r="HYH185" s="125"/>
      <c r="HYI185" s="125"/>
      <c r="HYJ185" s="125"/>
      <c r="HYK185" s="125"/>
      <c r="HYL185" s="125"/>
      <c r="HYM185" s="125"/>
      <c r="HYN185" s="125"/>
      <c r="HYO185" s="125"/>
      <c r="HYP185" s="125"/>
      <c r="HYQ185" s="125"/>
      <c r="HYR185" s="125"/>
      <c r="HYS185" s="125"/>
      <c r="HYT185" s="125"/>
      <c r="HYU185" s="125"/>
      <c r="HYV185" s="125"/>
      <c r="HYW185" s="125"/>
      <c r="HYX185" s="125"/>
      <c r="HYY185" s="125"/>
      <c r="HYZ185" s="125"/>
      <c r="HZA185" s="125"/>
      <c r="HZB185" s="125"/>
      <c r="HZC185" s="125"/>
      <c r="HZD185" s="125"/>
      <c r="HZE185" s="125"/>
      <c r="HZF185" s="125"/>
      <c r="HZG185" s="125"/>
      <c r="HZH185" s="125"/>
      <c r="HZI185" s="125"/>
      <c r="HZJ185" s="125"/>
      <c r="HZK185" s="125"/>
      <c r="HZL185" s="125"/>
      <c r="HZM185" s="125"/>
      <c r="HZN185" s="125"/>
      <c r="HZO185" s="125"/>
      <c r="HZP185" s="125"/>
      <c r="HZQ185" s="125"/>
      <c r="HZR185" s="125"/>
      <c r="HZS185" s="125"/>
      <c r="HZT185" s="125"/>
      <c r="HZU185" s="125"/>
      <c r="HZV185" s="125"/>
      <c r="HZW185" s="125"/>
      <c r="HZX185" s="125"/>
      <c r="HZY185" s="125"/>
      <c r="HZZ185" s="125"/>
      <c r="IAA185" s="125"/>
      <c r="IAB185" s="125"/>
      <c r="IAC185" s="125"/>
      <c r="IAD185" s="125"/>
      <c r="IAE185" s="125"/>
      <c r="IAF185" s="125"/>
      <c r="IAG185" s="125"/>
      <c r="IAH185" s="125"/>
      <c r="IAI185" s="125"/>
      <c r="IAJ185" s="125"/>
      <c r="IAK185" s="125"/>
      <c r="IAL185" s="125"/>
      <c r="IAM185" s="125"/>
      <c r="IAN185" s="125"/>
      <c r="IAO185" s="125"/>
      <c r="IAP185" s="125"/>
      <c r="IAQ185" s="125"/>
      <c r="IAR185" s="125"/>
      <c r="IAS185" s="125"/>
      <c r="IAT185" s="125"/>
      <c r="IAU185" s="125"/>
      <c r="IAV185" s="125"/>
      <c r="IAW185" s="125"/>
      <c r="IAX185" s="125"/>
      <c r="IAY185" s="125"/>
      <c r="IAZ185" s="125"/>
      <c r="IBA185" s="125"/>
      <c r="IBB185" s="125"/>
      <c r="IBC185" s="125"/>
      <c r="IBD185" s="125"/>
      <c r="IBE185" s="125"/>
      <c r="IBF185" s="125"/>
      <c r="IBG185" s="125"/>
      <c r="IBH185" s="125"/>
      <c r="IBI185" s="125"/>
      <c r="IBJ185" s="125"/>
      <c r="IBK185" s="125"/>
      <c r="IBL185" s="125"/>
      <c r="IBM185" s="125"/>
      <c r="IBN185" s="125"/>
      <c r="IBO185" s="125"/>
      <c r="IBP185" s="125"/>
      <c r="IBQ185" s="125"/>
      <c r="IBR185" s="125"/>
      <c r="IBS185" s="125"/>
      <c r="IBT185" s="125"/>
      <c r="IBU185" s="125"/>
      <c r="IBV185" s="125"/>
      <c r="IBW185" s="125"/>
      <c r="IBX185" s="125"/>
      <c r="IBY185" s="125"/>
      <c r="IBZ185" s="125"/>
      <c r="ICA185" s="125"/>
      <c r="ICB185" s="125"/>
      <c r="ICC185" s="125"/>
      <c r="ICD185" s="125"/>
      <c r="ICE185" s="125"/>
      <c r="ICF185" s="125"/>
      <c r="ICG185" s="125"/>
      <c r="ICH185" s="125"/>
      <c r="ICI185" s="125"/>
      <c r="ICJ185" s="125"/>
      <c r="ICK185" s="125"/>
      <c r="ICL185" s="125"/>
      <c r="ICM185" s="125"/>
      <c r="ICN185" s="125"/>
      <c r="ICO185" s="125"/>
      <c r="ICP185" s="125"/>
      <c r="ICQ185" s="125"/>
      <c r="ICR185" s="125"/>
      <c r="ICS185" s="125"/>
      <c r="ICT185" s="125"/>
      <c r="ICU185" s="125"/>
      <c r="ICV185" s="125"/>
      <c r="ICW185" s="125"/>
      <c r="ICX185" s="125"/>
      <c r="ICY185" s="125"/>
      <c r="ICZ185" s="125"/>
      <c r="IDA185" s="125"/>
      <c r="IDB185" s="125"/>
      <c r="IDC185" s="125"/>
      <c r="IDD185" s="125"/>
      <c r="IDE185" s="125"/>
      <c r="IDF185" s="125"/>
      <c r="IDG185" s="125"/>
      <c r="IDH185" s="125"/>
      <c r="IDI185" s="125"/>
      <c r="IDJ185" s="125"/>
      <c r="IDK185" s="125"/>
      <c r="IDL185" s="125"/>
      <c r="IDM185" s="125"/>
      <c r="IDN185" s="125"/>
      <c r="IDO185" s="125"/>
      <c r="IDP185" s="125"/>
      <c r="IDQ185" s="125"/>
      <c r="IDR185" s="125"/>
      <c r="IDS185" s="125"/>
      <c r="IDT185" s="125"/>
      <c r="IDU185" s="125"/>
      <c r="IDV185" s="125"/>
      <c r="IDW185" s="125"/>
      <c r="IDX185" s="125"/>
      <c r="IDY185" s="125"/>
      <c r="IDZ185" s="125"/>
      <c r="IEA185" s="125"/>
      <c r="IEB185" s="125"/>
      <c r="IEC185" s="125"/>
      <c r="IED185" s="125"/>
      <c r="IEE185" s="125"/>
      <c r="IEF185" s="125"/>
      <c r="IEG185" s="125"/>
      <c r="IEH185" s="125"/>
      <c r="IEI185" s="125"/>
      <c r="IEJ185" s="125"/>
      <c r="IEK185" s="125"/>
      <c r="IEL185" s="125"/>
      <c r="IEM185" s="125"/>
      <c r="IEN185" s="125"/>
      <c r="IEO185" s="125"/>
      <c r="IEP185" s="125"/>
      <c r="IEQ185" s="125"/>
      <c r="IER185" s="125"/>
      <c r="IES185" s="125"/>
      <c r="IET185" s="125"/>
      <c r="IEU185" s="125"/>
      <c r="IEV185" s="125"/>
      <c r="IEW185" s="125"/>
      <c r="IEX185" s="125"/>
      <c r="IEY185" s="125"/>
      <c r="IEZ185" s="125"/>
      <c r="IFA185" s="125"/>
      <c r="IFB185" s="125"/>
      <c r="IFC185" s="125"/>
      <c r="IFD185" s="125"/>
      <c r="IFE185" s="125"/>
      <c r="IFF185" s="125"/>
      <c r="IFG185" s="125"/>
      <c r="IFH185" s="125"/>
      <c r="IFI185" s="125"/>
      <c r="IFJ185" s="125"/>
      <c r="IFK185" s="125"/>
      <c r="IFL185" s="125"/>
      <c r="IFM185" s="125"/>
      <c r="IFN185" s="125"/>
      <c r="IFO185" s="125"/>
      <c r="IFP185" s="125"/>
      <c r="IFQ185" s="125"/>
      <c r="IFR185" s="125"/>
      <c r="IFS185" s="125"/>
      <c r="IFT185" s="125"/>
      <c r="IFU185" s="125"/>
      <c r="IFV185" s="125"/>
      <c r="IFW185" s="125"/>
      <c r="IFX185" s="125"/>
      <c r="IFY185" s="125"/>
      <c r="IFZ185" s="125"/>
      <c r="IGA185" s="125"/>
      <c r="IGB185" s="125"/>
      <c r="IGC185" s="125"/>
      <c r="IGD185" s="125"/>
      <c r="IGE185" s="125"/>
      <c r="IGF185" s="125"/>
      <c r="IGG185" s="125"/>
      <c r="IGH185" s="125"/>
      <c r="IGI185" s="125"/>
      <c r="IGJ185" s="125"/>
      <c r="IGK185" s="125"/>
      <c r="IGL185" s="125"/>
      <c r="IGM185" s="125"/>
      <c r="IGN185" s="125"/>
      <c r="IGO185" s="125"/>
      <c r="IGP185" s="125"/>
      <c r="IGQ185" s="125"/>
      <c r="IGR185" s="125"/>
      <c r="IGS185" s="125"/>
      <c r="IGT185" s="125"/>
      <c r="IGU185" s="125"/>
      <c r="IGV185" s="125"/>
      <c r="IGW185" s="125"/>
      <c r="IGX185" s="125"/>
      <c r="IGY185" s="125"/>
      <c r="IGZ185" s="125"/>
      <c r="IHA185" s="125"/>
      <c r="IHB185" s="125"/>
      <c r="IHC185" s="125"/>
      <c r="IHD185" s="125"/>
      <c r="IHE185" s="125"/>
      <c r="IHF185" s="125"/>
      <c r="IHG185" s="125"/>
      <c r="IHH185" s="125"/>
      <c r="IHI185" s="125"/>
      <c r="IHJ185" s="125"/>
      <c r="IHK185" s="125"/>
      <c r="IHL185" s="125"/>
      <c r="IHM185" s="125"/>
      <c r="IHN185" s="125"/>
      <c r="IHO185" s="125"/>
      <c r="IHP185" s="125"/>
      <c r="IHQ185" s="125"/>
      <c r="IHR185" s="125"/>
      <c r="IHS185" s="125"/>
      <c r="IHT185" s="125"/>
      <c r="IHU185" s="125"/>
      <c r="IHV185" s="125"/>
      <c r="IHW185" s="125"/>
      <c r="IHX185" s="125"/>
      <c r="IHY185" s="125"/>
      <c r="IHZ185" s="125"/>
      <c r="IIA185" s="125"/>
      <c r="IIB185" s="125"/>
      <c r="IIC185" s="125"/>
      <c r="IID185" s="125"/>
      <c r="IIE185" s="125"/>
      <c r="IIF185" s="125"/>
      <c r="IIG185" s="125"/>
      <c r="IIH185" s="125"/>
      <c r="III185" s="125"/>
      <c r="IIJ185" s="125"/>
      <c r="IIK185" s="125"/>
      <c r="IIL185" s="125"/>
      <c r="IIM185" s="125"/>
      <c r="IIN185" s="125"/>
      <c r="IIO185" s="125"/>
      <c r="IIP185" s="125"/>
      <c r="IIQ185" s="125"/>
      <c r="IIR185" s="125"/>
      <c r="IIS185" s="125"/>
      <c r="IIT185" s="125"/>
      <c r="IIU185" s="125"/>
      <c r="IIV185" s="125"/>
      <c r="IIW185" s="125"/>
      <c r="IIX185" s="125"/>
      <c r="IIY185" s="125"/>
      <c r="IIZ185" s="125"/>
      <c r="IJA185" s="125"/>
      <c r="IJB185" s="125"/>
      <c r="IJC185" s="125"/>
      <c r="IJD185" s="125"/>
      <c r="IJE185" s="125"/>
      <c r="IJF185" s="125"/>
      <c r="IJG185" s="125"/>
      <c r="IJH185" s="125"/>
      <c r="IJI185" s="125"/>
      <c r="IJJ185" s="125"/>
      <c r="IJK185" s="125"/>
      <c r="IJL185" s="125"/>
      <c r="IJM185" s="125"/>
      <c r="IJN185" s="125"/>
      <c r="IJO185" s="125"/>
      <c r="IJP185" s="125"/>
      <c r="IJQ185" s="125"/>
      <c r="IJR185" s="125"/>
      <c r="IJS185" s="125"/>
      <c r="IJT185" s="125"/>
      <c r="IJU185" s="125"/>
      <c r="IJV185" s="125"/>
      <c r="IJW185" s="125"/>
      <c r="IJX185" s="125"/>
      <c r="IJY185" s="125"/>
      <c r="IJZ185" s="125"/>
      <c r="IKA185" s="125"/>
      <c r="IKB185" s="125"/>
      <c r="IKC185" s="125"/>
      <c r="IKD185" s="125"/>
      <c r="IKE185" s="125"/>
      <c r="IKF185" s="125"/>
      <c r="IKG185" s="125"/>
      <c r="IKH185" s="125"/>
      <c r="IKI185" s="125"/>
      <c r="IKJ185" s="125"/>
      <c r="IKK185" s="125"/>
      <c r="IKL185" s="125"/>
      <c r="IKM185" s="125"/>
      <c r="IKN185" s="125"/>
      <c r="IKO185" s="125"/>
      <c r="IKP185" s="125"/>
      <c r="IKQ185" s="125"/>
      <c r="IKR185" s="125"/>
      <c r="IKS185" s="125"/>
      <c r="IKT185" s="125"/>
      <c r="IKU185" s="125"/>
      <c r="IKV185" s="125"/>
      <c r="IKW185" s="125"/>
      <c r="IKX185" s="125"/>
      <c r="IKY185" s="125"/>
      <c r="IKZ185" s="125"/>
      <c r="ILA185" s="125"/>
      <c r="ILB185" s="125"/>
      <c r="ILC185" s="125"/>
      <c r="ILD185" s="125"/>
      <c r="ILE185" s="125"/>
      <c r="ILF185" s="125"/>
      <c r="ILG185" s="125"/>
      <c r="ILH185" s="125"/>
      <c r="ILI185" s="125"/>
      <c r="ILJ185" s="125"/>
      <c r="ILK185" s="125"/>
      <c r="ILL185" s="125"/>
      <c r="ILM185" s="125"/>
      <c r="ILN185" s="125"/>
      <c r="ILO185" s="125"/>
      <c r="ILP185" s="125"/>
      <c r="ILQ185" s="125"/>
      <c r="ILR185" s="125"/>
      <c r="ILS185" s="125"/>
      <c r="ILT185" s="125"/>
      <c r="ILU185" s="125"/>
      <c r="ILV185" s="125"/>
      <c r="ILW185" s="125"/>
      <c r="ILX185" s="125"/>
      <c r="ILY185" s="125"/>
      <c r="ILZ185" s="125"/>
      <c r="IMA185" s="125"/>
      <c r="IMB185" s="125"/>
      <c r="IMC185" s="125"/>
      <c r="IMD185" s="125"/>
      <c r="IME185" s="125"/>
      <c r="IMF185" s="125"/>
      <c r="IMG185" s="125"/>
      <c r="IMH185" s="125"/>
      <c r="IMI185" s="125"/>
      <c r="IMJ185" s="125"/>
      <c r="IMK185" s="125"/>
      <c r="IML185" s="125"/>
      <c r="IMM185" s="125"/>
      <c r="IMN185" s="125"/>
      <c r="IMO185" s="125"/>
      <c r="IMP185" s="125"/>
      <c r="IMQ185" s="125"/>
      <c r="IMR185" s="125"/>
      <c r="IMS185" s="125"/>
      <c r="IMT185" s="125"/>
      <c r="IMU185" s="125"/>
      <c r="IMV185" s="125"/>
      <c r="IMW185" s="125"/>
      <c r="IMX185" s="125"/>
      <c r="IMY185" s="125"/>
      <c r="IMZ185" s="125"/>
      <c r="INA185" s="125"/>
      <c r="INB185" s="125"/>
      <c r="INC185" s="125"/>
      <c r="IND185" s="125"/>
      <c r="INE185" s="125"/>
      <c r="INF185" s="125"/>
      <c r="ING185" s="125"/>
      <c r="INH185" s="125"/>
      <c r="INI185" s="125"/>
      <c r="INJ185" s="125"/>
      <c r="INK185" s="125"/>
      <c r="INL185" s="125"/>
      <c r="INM185" s="125"/>
      <c r="INN185" s="125"/>
      <c r="INO185" s="125"/>
      <c r="INP185" s="125"/>
      <c r="INQ185" s="125"/>
      <c r="INR185" s="125"/>
      <c r="INS185" s="125"/>
      <c r="INT185" s="125"/>
      <c r="INU185" s="125"/>
      <c r="INV185" s="125"/>
      <c r="INW185" s="125"/>
      <c r="INX185" s="125"/>
      <c r="INY185" s="125"/>
      <c r="INZ185" s="125"/>
      <c r="IOA185" s="125"/>
      <c r="IOB185" s="125"/>
      <c r="IOC185" s="125"/>
      <c r="IOD185" s="125"/>
      <c r="IOE185" s="125"/>
      <c r="IOF185" s="125"/>
      <c r="IOG185" s="125"/>
      <c r="IOH185" s="125"/>
      <c r="IOI185" s="125"/>
      <c r="IOJ185" s="125"/>
      <c r="IOK185" s="125"/>
      <c r="IOL185" s="125"/>
      <c r="IOM185" s="125"/>
      <c r="ION185" s="125"/>
      <c r="IOO185" s="125"/>
      <c r="IOP185" s="125"/>
      <c r="IOQ185" s="125"/>
      <c r="IOR185" s="125"/>
      <c r="IOS185" s="125"/>
      <c r="IOT185" s="125"/>
      <c r="IOU185" s="125"/>
      <c r="IOV185" s="125"/>
      <c r="IOW185" s="125"/>
      <c r="IOX185" s="125"/>
      <c r="IOY185" s="125"/>
      <c r="IOZ185" s="125"/>
      <c r="IPA185" s="125"/>
      <c r="IPB185" s="125"/>
      <c r="IPC185" s="125"/>
      <c r="IPD185" s="125"/>
      <c r="IPE185" s="125"/>
      <c r="IPF185" s="125"/>
      <c r="IPG185" s="125"/>
      <c r="IPH185" s="125"/>
      <c r="IPI185" s="125"/>
      <c r="IPJ185" s="125"/>
      <c r="IPK185" s="125"/>
      <c r="IPL185" s="125"/>
      <c r="IPM185" s="125"/>
      <c r="IPN185" s="125"/>
      <c r="IPO185" s="125"/>
      <c r="IPP185" s="125"/>
      <c r="IPQ185" s="125"/>
      <c r="IPR185" s="125"/>
      <c r="IPS185" s="125"/>
      <c r="IPT185" s="125"/>
      <c r="IPU185" s="125"/>
      <c r="IPV185" s="125"/>
      <c r="IPW185" s="125"/>
      <c r="IPX185" s="125"/>
      <c r="IPY185" s="125"/>
      <c r="IPZ185" s="125"/>
      <c r="IQA185" s="125"/>
      <c r="IQB185" s="125"/>
      <c r="IQC185" s="125"/>
      <c r="IQD185" s="125"/>
      <c r="IQE185" s="125"/>
      <c r="IQF185" s="125"/>
      <c r="IQG185" s="125"/>
      <c r="IQH185" s="125"/>
      <c r="IQI185" s="125"/>
      <c r="IQJ185" s="125"/>
      <c r="IQK185" s="125"/>
      <c r="IQL185" s="125"/>
      <c r="IQM185" s="125"/>
      <c r="IQN185" s="125"/>
      <c r="IQO185" s="125"/>
      <c r="IQP185" s="125"/>
      <c r="IQQ185" s="125"/>
      <c r="IQR185" s="125"/>
      <c r="IQS185" s="125"/>
      <c r="IQT185" s="125"/>
      <c r="IQU185" s="125"/>
      <c r="IQV185" s="125"/>
      <c r="IQW185" s="125"/>
      <c r="IQX185" s="125"/>
      <c r="IQY185" s="125"/>
      <c r="IQZ185" s="125"/>
      <c r="IRA185" s="125"/>
      <c r="IRB185" s="125"/>
      <c r="IRC185" s="125"/>
      <c r="IRD185" s="125"/>
      <c r="IRE185" s="125"/>
      <c r="IRF185" s="125"/>
      <c r="IRG185" s="125"/>
      <c r="IRH185" s="125"/>
      <c r="IRI185" s="125"/>
      <c r="IRJ185" s="125"/>
      <c r="IRK185" s="125"/>
      <c r="IRL185" s="125"/>
      <c r="IRM185" s="125"/>
      <c r="IRN185" s="125"/>
      <c r="IRO185" s="125"/>
      <c r="IRP185" s="125"/>
      <c r="IRQ185" s="125"/>
      <c r="IRR185" s="125"/>
      <c r="IRS185" s="125"/>
      <c r="IRT185" s="125"/>
      <c r="IRU185" s="125"/>
      <c r="IRV185" s="125"/>
      <c r="IRW185" s="125"/>
      <c r="IRX185" s="125"/>
      <c r="IRY185" s="125"/>
      <c r="IRZ185" s="125"/>
      <c r="ISA185" s="125"/>
      <c r="ISB185" s="125"/>
      <c r="ISC185" s="125"/>
      <c r="ISD185" s="125"/>
      <c r="ISE185" s="125"/>
      <c r="ISF185" s="125"/>
      <c r="ISG185" s="125"/>
      <c r="ISH185" s="125"/>
      <c r="ISI185" s="125"/>
      <c r="ISJ185" s="125"/>
      <c r="ISK185" s="125"/>
      <c r="ISL185" s="125"/>
      <c r="ISM185" s="125"/>
      <c r="ISN185" s="125"/>
      <c r="ISO185" s="125"/>
      <c r="ISP185" s="125"/>
      <c r="ISQ185" s="125"/>
      <c r="ISR185" s="125"/>
      <c r="ISS185" s="125"/>
      <c r="IST185" s="125"/>
      <c r="ISU185" s="125"/>
      <c r="ISV185" s="125"/>
      <c r="ISW185" s="125"/>
      <c r="ISX185" s="125"/>
      <c r="ISY185" s="125"/>
      <c r="ISZ185" s="125"/>
      <c r="ITA185" s="125"/>
      <c r="ITB185" s="125"/>
      <c r="ITC185" s="125"/>
      <c r="ITD185" s="125"/>
      <c r="ITE185" s="125"/>
      <c r="ITF185" s="125"/>
      <c r="ITG185" s="125"/>
      <c r="ITH185" s="125"/>
      <c r="ITI185" s="125"/>
      <c r="ITJ185" s="125"/>
      <c r="ITK185" s="125"/>
      <c r="ITL185" s="125"/>
      <c r="ITM185" s="125"/>
      <c r="ITN185" s="125"/>
      <c r="ITO185" s="125"/>
      <c r="ITP185" s="125"/>
      <c r="ITQ185" s="125"/>
      <c r="ITR185" s="125"/>
      <c r="ITS185" s="125"/>
      <c r="ITT185" s="125"/>
      <c r="ITU185" s="125"/>
      <c r="ITV185" s="125"/>
      <c r="ITW185" s="125"/>
      <c r="ITX185" s="125"/>
      <c r="ITY185" s="125"/>
      <c r="ITZ185" s="125"/>
      <c r="IUA185" s="125"/>
      <c r="IUB185" s="125"/>
      <c r="IUC185" s="125"/>
      <c r="IUD185" s="125"/>
      <c r="IUE185" s="125"/>
      <c r="IUF185" s="125"/>
      <c r="IUG185" s="125"/>
      <c r="IUH185" s="125"/>
      <c r="IUI185" s="125"/>
      <c r="IUJ185" s="125"/>
      <c r="IUK185" s="125"/>
      <c r="IUL185" s="125"/>
      <c r="IUM185" s="125"/>
      <c r="IUN185" s="125"/>
      <c r="IUO185" s="125"/>
      <c r="IUP185" s="125"/>
      <c r="IUQ185" s="125"/>
      <c r="IUR185" s="125"/>
      <c r="IUS185" s="125"/>
      <c r="IUT185" s="125"/>
      <c r="IUU185" s="125"/>
      <c r="IUV185" s="125"/>
      <c r="IUW185" s="125"/>
      <c r="IUX185" s="125"/>
      <c r="IUY185" s="125"/>
      <c r="IUZ185" s="125"/>
      <c r="IVA185" s="125"/>
      <c r="IVB185" s="125"/>
      <c r="IVC185" s="125"/>
      <c r="IVD185" s="125"/>
      <c r="IVE185" s="125"/>
      <c r="IVF185" s="125"/>
      <c r="IVG185" s="125"/>
      <c r="IVH185" s="125"/>
      <c r="IVI185" s="125"/>
      <c r="IVJ185" s="125"/>
      <c r="IVK185" s="125"/>
      <c r="IVL185" s="125"/>
      <c r="IVM185" s="125"/>
      <c r="IVN185" s="125"/>
      <c r="IVO185" s="125"/>
      <c r="IVP185" s="125"/>
      <c r="IVQ185" s="125"/>
      <c r="IVR185" s="125"/>
      <c r="IVS185" s="125"/>
      <c r="IVT185" s="125"/>
      <c r="IVU185" s="125"/>
      <c r="IVV185" s="125"/>
      <c r="IVW185" s="125"/>
      <c r="IVX185" s="125"/>
      <c r="IVY185" s="125"/>
      <c r="IVZ185" s="125"/>
      <c r="IWA185" s="125"/>
      <c r="IWB185" s="125"/>
      <c r="IWC185" s="125"/>
      <c r="IWD185" s="125"/>
      <c r="IWE185" s="125"/>
      <c r="IWF185" s="125"/>
      <c r="IWG185" s="125"/>
      <c r="IWH185" s="125"/>
      <c r="IWI185" s="125"/>
      <c r="IWJ185" s="125"/>
      <c r="IWK185" s="125"/>
      <c r="IWL185" s="125"/>
      <c r="IWM185" s="125"/>
      <c r="IWN185" s="125"/>
      <c r="IWO185" s="125"/>
      <c r="IWP185" s="125"/>
      <c r="IWQ185" s="125"/>
      <c r="IWR185" s="125"/>
      <c r="IWS185" s="125"/>
      <c r="IWT185" s="125"/>
      <c r="IWU185" s="125"/>
      <c r="IWV185" s="125"/>
      <c r="IWW185" s="125"/>
      <c r="IWX185" s="125"/>
      <c r="IWY185" s="125"/>
      <c r="IWZ185" s="125"/>
      <c r="IXA185" s="125"/>
      <c r="IXB185" s="125"/>
      <c r="IXC185" s="125"/>
      <c r="IXD185" s="125"/>
      <c r="IXE185" s="125"/>
      <c r="IXF185" s="125"/>
      <c r="IXG185" s="125"/>
      <c r="IXH185" s="125"/>
      <c r="IXI185" s="125"/>
      <c r="IXJ185" s="125"/>
      <c r="IXK185" s="125"/>
      <c r="IXL185" s="125"/>
      <c r="IXM185" s="125"/>
      <c r="IXN185" s="125"/>
      <c r="IXO185" s="125"/>
      <c r="IXP185" s="125"/>
      <c r="IXQ185" s="125"/>
      <c r="IXR185" s="125"/>
      <c r="IXS185" s="125"/>
      <c r="IXT185" s="125"/>
      <c r="IXU185" s="125"/>
      <c r="IXV185" s="125"/>
      <c r="IXW185" s="125"/>
      <c r="IXX185" s="125"/>
      <c r="IXY185" s="125"/>
      <c r="IXZ185" s="125"/>
      <c r="IYA185" s="125"/>
      <c r="IYB185" s="125"/>
      <c r="IYC185" s="125"/>
      <c r="IYD185" s="125"/>
      <c r="IYE185" s="125"/>
      <c r="IYF185" s="125"/>
      <c r="IYG185" s="125"/>
      <c r="IYH185" s="125"/>
      <c r="IYI185" s="125"/>
      <c r="IYJ185" s="125"/>
      <c r="IYK185" s="125"/>
      <c r="IYL185" s="125"/>
      <c r="IYM185" s="125"/>
      <c r="IYN185" s="125"/>
      <c r="IYO185" s="125"/>
      <c r="IYP185" s="125"/>
      <c r="IYQ185" s="125"/>
      <c r="IYR185" s="125"/>
      <c r="IYS185" s="125"/>
      <c r="IYT185" s="125"/>
      <c r="IYU185" s="125"/>
      <c r="IYV185" s="125"/>
      <c r="IYW185" s="125"/>
      <c r="IYX185" s="125"/>
      <c r="IYY185" s="125"/>
      <c r="IYZ185" s="125"/>
      <c r="IZA185" s="125"/>
      <c r="IZB185" s="125"/>
      <c r="IZC185" s="125"/>
      <c r="IZD185" s="125"/>
      <c r="IZE185" s="125"/>
      <c r="IZF185" s="125"/>
      <c r="IZG185" s="125"/>
      <c r="IZH185" s="125"/>
      <c r="IZI185" s="125"/>
      <c r="IZJ185" s="125"/>
      <c r="IZK185" s="125"/>
      <c r="IZL185" s="125"/>
      <c r="IZM185" s="125"/>
      <c r="IZN185" s="125"/>
      <c r="IZO185" s="125"/>
      <c r="IZP185" s="125"/>
      <c r="IZQ185" s="125"/>
      <c r="IZR185" s="125"/>
      <c r="IZS185" s="125"/>
      <c r="IZT185" s="125"/>
      <c r="IZU185" s="125"/>
      <c r="IZV185" s="125"/>
      <c r="IZW185" s="125"/>
      <c r="IZX185" s="125"/>
      <c r="IZY185" s="125"/>
      <c r="IZZ185" s="125"/>
      <c r="JAA185" s="125"/>
      <c r="JAB185" s="125"/>
      <c r="JAC185" s="125"/>
      <c r="JAD185" s="125"/>
      <c r="JAE185" s="125"/>
      <c r="JAF185" s="125"/>
      <c r="JAG185" s="125"/>
      <c r="JAH185" s="125"/>
      <c r="JAI185" s="125"/>
      <c r="JAJ185" s="125"/>
      <c r="JAK185" s="125"/>
      <c r="JAL185" s="125"/>
      <c r="JAM185" s="125"/>
      <c r="JAN185" s="125"/>
      <c r="JAO185" s="125"/>
      <c r="JAP185" s="125"/>
      <c r="JAQ185" s="125"/>
      <c r="JAR185" s="125"/>
      <c r="JAS185" s="125"/>
      <c r="JAT185" s="125"/>
      <c r="JAU185" s="125"/>
      <c r="JAV185" s="125"/>
      <c r="JAW185" s="125"/>
      <c r="JAX185" s="125"/>
      <c r="JAY185" s="125"/>
      <c r="JAZ185" s="125"/>
      <c r="JBA185" s="125"/>
      <c r="JBB185" s="125"/>
      <c r="JBC185" s="125"/>
      <c r="JBD185" s="125"/>
      <c r="JBE185" s="125"/>
      <c r="JBF185" s="125"/>
      <c r="JBG185" s="125"/>
      <c r="JBH185" s="125"/>
      <c r="JBI185" s="125"/>
      <c r="JBJ185" s="125"/>
      <c r="JBK185" s="125"/>
      <c r="JBL185" s="125"/>
      <c r="JBM185" s="125"/>
      <c r="JBN185" s="125"/>
      <c r="JBO185" s="125"/>
      <c r="JBP185" s="125"/>
      <c r="JBQ185" s="125"/>
      <c r="JBR185" s="125"/>
      <c r="JBS185" s="125"/>
      <c r="JBT185" s="125"/>
      <c r="JBU185" s="125"/>
      <c r="JBV185" s="125"/>
      <c r="JBW185" s="125"/>
      <c r="JBX185" s="125"/>
      <c r="JBY185" s="125"/>
      <c r="JBZ185" s="125"/>
      <c r="JCA185" s="125"/>
      <c r="JCB185" s="125"/>
      <c r="JCC185" s="125"/>
      <c r="JCD185" s="125"/>
      <c r="JCE185" s="125"/>
      <c r="JCF185" s="125"/>
      <c r="JCG185" s="125"/>
      <c r="JCH185" s="125"/>
      <c r="JCI185" s="125"/>
      <c r="JCJ185" s="125"/>
      <c r="JCK185" s="125"/>
      <c r="JCL185" s="125"/>
      <c r="JCM185" s="125"/>
      <c r="JCN185" s="125"/>
      <c r="JCO185" s="125"/>
      <c r="JCP185" s="125"/>
      <c r="JCQ185" s="125"/>
      <c r="JCR185" s="125"/>
      <c r="JCS185" s="125"/>
      <c r="JCT185" s="125"/>
      <c r="JCU185" s="125"/>
      <c r="JCV185" s="125"/>
      <c r="JCW185" s="125"/>
      <c r="JCX185" s="125"/>
      <c r="JCY185" s="125"/>
      <c r="JCZ185" s="125"/>
      <c r="JDA185" s="125"/>
      <c r="JDB185" s="125"/>
      <c r="JDC185" s="125"/>
      <c r="JDD185" s="125"/>
      <c r="JDE185" s="125"/>
      <c r="JDF185" s="125"/>
      <c r="JDG185" s="125"/>
      <c r="JDH185" s="125"/>
      <c r="JDI185" s="125"/>
      <c r="JDJ185" s="125"/>
      <c r="JDK185" s="125"/>
      <c r="JDL185" s="125"/>
      <c r="JDM185" s="125"/>
      <c r="JDN185" s="125"/>
      <c r="JDO185" s="125"/>
      <c r="JDP185" s="125"/>
      <c r="JDQ185" s="125"/>
      <c r="JDR185" s="125"/>
      <c r="JDS185" s="125"/>
      <c r="JDT185" s="125"/>
      <c r="JDU185" s="125"/>
      <c r="JDV185" s="125"/>
      <c r="JDW185" s="125"/>
      <c r="JDX185" s="125"/>
      <c r="JDY185" s="125"/>
      <c r="JDZ185" s="125"/>
      <c r="JEA185" s="125"/>
      <c r="JEB185" s="125"/>
      <c r="JEC185" s="125"/>
      <c r="JED185" s="125"/>
      <c r="JEE185" s="125"/>
      <c r="JEF185" s="125"/>
      <c r="JEG185" s="125"/>
      <c r="JEH185" s="125"/>
      <c r="JEI185" s="125"/>
      <c r="JEJ185" s="125"/>
      <c r="JEK185" s="125"/>
      <c r="JEL185" s="125"/>
      <c r="JEM185" s="125"/>
      <c r="JEN185" s="125"/>
      <c r="JEO185" s="125"/>
      <c r="JEP185" s="125"/>
      <c r="JEQ185" s="125"/>
      <c r="JER185" s="125"/>
      <c r="JES185" s="125"/>
      <c r="JET185" s="125"/>
      <c r="JEU185" s="125"/>
      <c r="JEV185" s="125"/>
      <c r="JEW185" s="125"/>
      <c r="JEX185" s="125"/>
      <c r="JEY185" s="125"/>
      <c r="JEZ185" s="125"/>
      <c r="JFA185" s="125"/>
      <c r="JFB185" s="125"/>
      <c r="JFC185" s="125"/>
      <c r="JFD185" s="125"/>
      <c r="JFE185" s="125"/>
      <c r="JFF185" s="125"/>
      <c r="JFG185" s="125"/>
      <c r="JFH185" s="125"/>
      <c r="JFI185" s="125"/>
      <c r="JFJ185" s="125"/>
      <c r="JFK185" s="125"/>
      <c r="JFL185" s="125"/>
      <c r="JFM185" s="125"/>
      <c r="JFN185" s="125"/>
      <c r="JFO185" s="125"/>
      <c r="JFP185" s="125"/>
      <c r="JFQ185" s="125"/>
      <c r="JFR185" s="125"/>
      <c r="JFS185" s="125"/>
      <c r="JFT185" s="125"/>
      <c r="JFU185" s="125"/>
      <c r="JFV185" s="125"/>
      <c r="JFW185" s="125"/>
      <c r="JFX185" s="125"/>
      <c r="JFY185" s="125"/>
      <c r="JFZ185" s="125"/>
      <c r="JGA185" s="125"/>
      <c r="JGB185" s="125"/>
      <c r="JGC185" s="125"/>
      <c r="JGD185" s="125"/>
      <c r="JGE185" s="125"/>
      <c r="JGF185" s="125"/>
      <c r="JGG185" s="125"/>
      <c r="JGH185" s="125"/>
      <c r="JGI185" s="125"/>
      <c r="JGJ185" s="125"/>
      <c r="JGK185" s="125"/>
      <c r="JGL185" s="125"/>
      <c r="JGM185" s="125"/>
      <c r="JGN185" s="125"/>
      <c r="JGO185" s="125"/>
      <c r="JGP185" s="125"/>
      <c r="JGQ185" s="125"/>
      <c r="JGR185" s="125"/>
      <c r="JGS185" s="125"/>
      <c r="JGT185" s="125"/>
      <c r="JGU185" s="125"/>
      <c r="JGV185" s="125"/>
      <c r="JGW185" s="125"/>
      <c r="JGX185" s="125"/>
      <c r="JGY185" s="125"/>
      <c r="JGZ185" s="125"/>
      <c r="JHA185" s="125"/>
      <c r="JHB185" s="125"/>
      <c r="JHC185" s="125"/>
      <c r="JHD185" s="125"/>
      <c r="JHE185" s="125"/>
      <c r="JHF185" s="125"/>
      <c r="JHG185" s="125"/>
      <c r="JHH185" s="125"/>
      <c r="JHI185" s="125"/>
      <c r="JHJ185" s="125"/>
      <c r="JHK185" s="125"/>
      <c r="JHL185" s="125"/>
      <c r="JHM185" s="125"/>
      <c r="JHN185" s="125"/>
      <c r="JHO185" s="125"/>
      <c r="JHP185" s="125"/>
      <c r="JHQ185" s="125"/>
      <c r="JHR185" s="125"/>
      <c r="JHS185" s="125"/>
      <c r="JHT185" s="125"/>
      <c r="JHU185" s="125"/>
      <c r="JHV185" s="125"/>
      <c r="JHW185" s="125"/>
      <c r="JHX185" s="125"/>
      <c r="JHY185" s="125"/>
      <c r="JHZ185" s="125"/>
      <c r="JIA185" s="125"/>
      <c r="JIB185" s="125"/>
      <c r="JIC185" s="125"/>
      <c r="JID185" s="125"/>
      <c r="JIE185" s="125"/>
      <c r="JIF185" s="125"/>
      <c r="JIG185" s="125"/>
      <c r="JIH185" s="125"/>
      <c r="JII185" s="125"/>
      <c r="JIJ185" s="125"/>
      <c r="JIK185" s="125"/>
      <c r="JIL185" s="125"/>
      <c r="JIM185" s="125"/>
      <c r="JIN185" s="125"/>
      <c r="JIO185" s="125"/>
      <c r="JIP185" s="125"/>
      <c r="JIQ185" s="125"/>
      <c r="JIR185" s="125"/>
      <c r="JIS185" s="125"/>
      <c r="JIT185" s="125"/>
      <c r="JIU185" s="125"/>
      <c r="JIV185" s="125"/>
      <c r="JIW185" s="125"/>
      <c r="JIX185" s="125"/>
      <c r="JIY185" s="125"/>
      <c r="JIZ185" s="125"/>
      <c r="JJA185" s="125"/>
      <c r="JJB185" s="125"/>
      <c r="JJC185" s="125"/>
      <c r="JJD185" s="125"/>
      <c r="JJE185" s="125"/>
      <c r="JJF185" s="125"/>
      <c r="JJG185" s="125"/>
      <c r="JJH185" s="125"/>
      <c r="JJI185" s="125"/>
      <c r="JJJ185" s="125"/>
      <c r="JJK185" s="125"/>
      <c r="JJL185" s="125"/>
      <c r="JJM185" s="125"/>
      <c r="JJN185" s="125"/>
      <c r="JJO185" s="125"/>
      <c r="JJP185" s="125"/>
      <c r="JJQ185" s="125"/>
      <c r="JJR185" s="125"/>
      <c r="JJS185" s="125"/>
      <c r="JJT185" s="125"/>
      <c r="JJU185" s="125"/>
      <c r="JJV185" s="125"/>
      <c r="JJW185" s="125"/>
      <c r="JJX185" s="125"/>
      <c r="JJY185" s="125"/>
      <c r="JJZ185" s="125"/>
      <c r="JKA185" s="125"/>
      <c r="JKB185" s="125"/>
      <c r="JKC185" s="125"/>
      <c r="JKD185" s="125"/>
      <c r="JKE185" s="125"/>
      <c r="JKF185" s="125"/>
      <c r="JKG185" s="125"/>
      <c r="JKH185" s="125"/>
      <c r="JKI185" s="125"/>
      <c r="JKJ185" s="125"/>
      <c r="JKK185" s="125"/>
      <c r="JKL185" s="125"/>
      <c r="JKM185" s="125"/>
      <c r="JKN185" s="125"/>
      <c r="JKO185" s="125"/>
      <c r="JKP185" s="125"/>
      <c r="JKQ185" s="125"/>
      <c r="JKR185" s="125"/>
      <c r="JKS185" s="125"/>
      <c r="JKT185" s="125"/>
      <c r="JKU185" s="125"/>
      <c r="JKV185" s="125"/>
      <c r="JKW185" s="125"/>
      <c r="JKX185" s="125"/>
      <c r="JKY185" s="125"/>
      <c r="JKZ185" s="125"/>
      <c r="JLA185" s="125"/>
      <c r="JLB185" s="125"/>
      <c r="JLC185" s="125"/>
      <c r="JLD185" s="125"/>
      <c r="JLE185" s="125"/>
      <c r="JLF185" s="125"/>
      <c r="JLG185" s="125"/>
      <c r="JLH185" s="125"/>
      <c r="JLI185" s="125"/>
      <c r="JLJ185" s="125"/>
      <c r="JLK185" s="125"/>
      <c r="JLL185" s="125"/>
      <c r="JLM185" s="125"/>
      <c r="JLN185" s="125"/>
      <c r="JLO185" s="125"/>
      <c r="JLP185" s="125"/>
      <c r="JLQ185" s="125"/>
      <c r="JLR185" s="125"/>
      <c r="JLS185" s="125"/>
      <c r="JLT185" s="125"/>
      <c r="JLU185" s="125"/>
      <c r="JLV185" s="125"/>
      <c r="JLW185" s="125"/>
      <c r="JLX185" s="125"/>
      <c r="JLY185" s="125"/>
      <c r="JLZ185" s="125"/>
      <c r="JMA185" s="125"/>
      <c r="JMB185" s="125"/>
      <c r="JMC185" s="125"/>
      <c r="JMD185" s="125"/>
      <c r="JME185" s="125"/>
      <c r="JMF185" s="125"/>
      <c r="JMG185" s="125"/>
      <c r="JMH185" s="125"/>
      <c r="JMI185" s="125"/>
      <c r="JMJ185" s="125"/>
      <c r="JMK185" s="125"/>
      <c r="JML185" s="125"/>
      <c r="JMM185" s="125"/>
      <c r="JMN185" s="125"/>
      <c r="JMO185" s="125"/>
      <c r="JMP185" s="125"/>
      <c r="JMQ185" s="125"/>
      <c r="JMR185" s="125"/>
      <c r="JMS185" s="125"/>
      <c r="JMT185" s="125"/>
      <c r="JMU185" s="125"/>
      <c r="JMV185" s="125"/>
      <c r="JMW185" s="125"/>
      <c r="JMX185" s="125"/>
      <c r="JMY185" s="125"/>
      <c r="JMZ185" s="125"/>
      <c r="JNA185" s="125"/>
      <c r="JNB185" s="125"/>
      <c r="JNC185" s="125"/>
      <c r="JND185" s="125"/>
      <c r="JNE185" s="125"/>
      <c r="JNF185" s="125"/>
      <c r="JNG185" s="125"/>
      <c r="JNH185" s="125"/>
      <c r="JNI185" s="125"/>
      <c r="JNJ185" s="125"/>
      <c r="JNK185" s="125"/>
      <c r="JNL185" s="125"/>
      <c r="JNM185" s="125"/>
      <c r="JNN185" s="125"/>
      <c r="JNO185" s="125"/>
      <c r="JNP185" s="125"/>
      <c r="JNQ185" s="125"/>
      <c r="JNR185" s="125"/>
      <c r="JNS185" s="125"/>
      <c r="JNT185" s="125"/>
      <c r="JNU185" s="125"/>
      <c r="JNV185" s="125"/>
      <c r="JNW185" s="125"/>
      <c r="JNX185" s="125"/>
      <c r="JNY185" s="125"/>
      <c r="JNZ185" s="125"/>
      <c r="JOA185" s="125"/>
      <c r="JOB185" s="125"/>
      <c r="JOC185" s="125"/>
      <c r="JOD185" s="125"/>
      <c r="JOE185" s="125"/>
      <c r="JOF185" s="125"/>
      <c r="JOG185" s="125"/>
      <c r="JOH185" s="125"/>
      <c r="JOI185" s="125"/>
      <c r="JOJ185" s="125"/>
      <c r="JOK185" s="125"/>
      <c r="JOL185" s="125"/>
      <c r="JOM185" s="125"/>
      <c r="JON185" s="125"/>
      <c r="JOO185" s="125"/>
      <c r="JOP185" s="125"/>
      <c r="JOQ185" s="125"/>
      <c r="JOR185" s="125"/>
      <c r="JOS185" s="125"/>
      <c r="JOT185" s="125"/>
      <c r="JOU185" s="125"/>
      <c r="JOV185" s="125"/>
      <c r="JOW185" s="125"/>
      <c r="JOX185" s="125"/>
      <c r="JOY185" s="125"/>
      <c r="JOZ185" s="125"/>
      <c r="JPA185" s="125"/>
      <c r="JPB185" s="125"/>
      <c r="JPC185" s="125"/>
      <c r="JPD185" s="125"/>
      <c r="JPE185" s="125"/>
      <c r="JPF185" s="125"/>
      <c r="JPG185" s="125"/>
      <c r="JPH185" s="125"/>
      <c r="JPI185" s="125"/>
      <c r="JPJ185" s="125"/>
      <c r="JPK185" s="125"/>
      <c r="JPL185" s="125"/>
      <c r="JPM185" s="125"/>
      <c r="JPN185" s="125"/>
      <c r="JPO185" s="125"/>
      <c r="JPP185" s="125"/>
      <c r="JPQ185" s="125"/>
      <c r="JPR185" s="125"/>
      <c r="JPS185" s="125"/>
      <c r="JPT185" s="125"/>
      <c r="JPU185" s="125"/>
      <c r="JPV185" s="125"/>
      <c r="JPW185" s="125"/>
      <c r="JPX185" s="125"/>
      <c r="JPY185" s="125"/>
      <c r="JPZ185" s="125"/>
      <c r="JQA185" s="125"/>
      <c r="JQB185" s="125"/>
      <c r="JQC185" s="125"/>
      <c r="JQD185" s="125"/>
      <c r="JQE185" s="125"/>
      <c r="JQF185" s="125"/>
      <c r="JQG185" s="125"/>
      <c r="JQH185" s="125"/>
      <c r="JQI185" s="125"/>
      <c r="JQJ185" s="125"/>
      <c r="JQK185" s="125"/>
      <c r="JQL185" s="125"/>
      <c r="JQM185" s="125"/>
      <c r="JQN185" s="125"/>
      <c r="JQO185" s="125"/>
      <c r="JQP185" s="125"/>
      <c r="JQQ185" s="125"/>
      <c r="JQR185" s="125"/>
      <c r="JQS185" s="125"/>
      <c r="JQT185" s="125"/>
      <c r="JQU185" s="125"/>
      <c r="JQV185" s="125"/>
      <c r="JQW185" s="125"/>
      <c r="JQX185" s="125"/>
      <c r="JQY185" s="125"/>
      <c r="JQZ185" s="125"/>
      <c r="JRA185" s="125"/>
      <c r="JRB185" s="125"/>
      <c r="JRC185" s="125"/>
      <c r="JRD185" s="125"/>
      <c r="JRE185" s="125"/>
      <c r="JRF185" s="125"/>
      <c r="JRG185" s="125"/>
      <c r="JRH185" s="125"/>
      <c r="JRI185" s="125"/>
      <c r="JRJ185" s="125"/>
      <c r="JRK185" s="125"/>
      <c r="JRL185" s="125"/>
      <c r="JRM185" s="125"/>
      <c r="JRN185" s="125"/>
      <c r="JRO185" s="125"/>
      <c r="JRP185" s="125"/>
      <c r="JRQ185" s="125"/>
      <c r="JRR185" s="125"/>
      <c r="JRS185" s="125"/>
      <c r="JRT185" s="125"/>
      <c r="JRU185" s="125"/>
      <c r="JRV185" s="125"/>
      <c r="JRW185" s="125"/>
      <c r="JRX185" s="125"/>
      <c r="JRY185" s="125"/>
      <c r="JRZ185" s="125"/>
      <c r="JSA185" s="125"/>
      <c r="JSB185" s="125"/>
      <c r="JSC185" s="125"/>
      <c r="JSD185" s="125"/>
      <c r="JSE185" s="125"/>
      <c r="JSF185" s="125"/>
      <c r="JSG185" s="125"/>
      <c r="JSH185" s="125"/>
      <c r="JSI185" s="125"/>
      <c r="JSJ185" s="125"/>
      <c r="JSK185" s="125"/>
      <c r="JSL185" s="125"/>
      <c r="JSM185" s="125"/>
      <c r="JSN185" s="125"/>
      <c r="JSO185" s="125"/>
      <c r="JSP185" s="125"/>
      <c r="JSQ185" s="125"/>
      <c r="JSR185" s="125"/>
      <c r="JSS185" s="125"/>
      <c r="JST185" s="125"/>
      <c r="JSU185" s="125"/>
      <c r="JSV185" s="125"/>
      <c r="JSW185" s="125"/>
      <c r="JSX185" s="125"/>
      <c r="JSY185" s="125"/>
      <c r="JSZ185" s="125"/>
      <c r="JTA185" s="125"/>
      <c r="JTB185" s="125"/>
      <c r="JTC185" s="125"/>
      <c r="JTD185" s="125"/>
      <c r="JTE185" s="125"/>
      <c r="JTF185" s="125"/>
      <c r="JTG185" s="125"/>
      <c r="JTH185" s="125"/>
      <c r="JTI185" s="125"/>
      <c r="JTJ185" s="125"/>
      <c r="JTK185" s="125"/>
      <c r="JTL185" s="125"/>
      <c r="JTM185" s="125"/>
      <c r="JTN185" s="125"/>
      <c r="JTO185" s="125"/>
      <c r="JTP185" s="125"/>
      <c r="JTQ185" s="125"/>
      <c r="JTR185" s="125"/>
      <c r="JTS185" s="125"/>
      <c r="JTT185" s="125"/>
      <c r="JTU185" s="125"/>
      <c r="JTV185" s="125"/>
      <c r="JTW185" s="125"/>
      <c r="JTX185" s="125"/>
      <c r="JTY185" s="125"/>
      <c r="JTZ185" s="125"/>
      <c r="JUA185" s="125"/>
      <c r="JUB185" s="125"/>
      <c r="JUC185" s="125"/>
      <c r="JUD185" s="125"/>
      <c r="JUE185" s="125"/>
      <c r="JUF185" s="125"/>
      <c r="JUG185" s="125"/>
      <c r="JUH185" s="125"/>
      <c r="JUI185" s="125"/>
      <c r="JUJ185" s="125"/>
      <c r="JUK185" s="125"/>
      <c r="JUL185" s="125"/>
      <c r="JUM185" s="125"/>
      <c r="JUN185" s="125"/>
      <c r="JUO185" s="125"/>
      <c r="JUP185" s="125"/>
      <c r="JUQ185" s="125"/>
      <c r="JUR185" s="125"/>
      <c r="JUS185" s="125"/>
      <c r="JUT185" s="125"/>
      <c r="JUU185" s="125"/>
      <c r="JUV185" s="125"/>
      <c r="JUW185" s="125"/>
      <c r="JUX185" s="125"/>
      <c r="JUY185" s="125"/>
      <c r="JUZ185" s="125"/>
      <c r="JVA185" s="125"/>
      <c r="JVB185" s="125"/>
      <c r="JVC185" s="125"/>
      <c r="JVD185" s="125"/>
      <c r="JVE185" s="125"/>
      <c r="JVF185" s="125"/>
      <c r="JVG185" s="125"/>
      <c r="JVH185" s="125"/>
      <c r="JVI185" s="125"/>
      <c r="JVJ185" s="125"/>
      <c r="JVK185" s="125"/>
      <c r="JVL185" s="125"/>
      <c r="JVM185" s="125"/>
      <c r="JVN185" s="125"/>
      <c r="JVO185" s="125"/>
      <c r="JVP185" s="125"/>
      <c r="JVQ185" s="125"/>
      <c r="JVR185" s="125"/>
      <c r="JVS185" s="125"/>
      <c r="JVT185" s="125"/>
      <c r="JVU185" s="125"/>
      <c r="JVV185" s="125"/>
      <c r="JVW185" s="125"/>
      <c r="JVX185" s="125"/>
      <c r="JVY185" s="125"/>
      <c r="JVZ185" s="125"/>
      <c r="JWA185" s="125"/>
      <c r="JWB185" s="125"/>
      <c r="JWC185" s="125"/>
      <c r="JWD185" s="125"/>
      <c r="JWE185" s="125"/>
      <c r="JWF185" s="125"/>
      <c r="JWG185" s="125"/>
      <c r="JWH185" s="125"/>
      <c r="JWI185" s="125"/>
      <c r="JWJ185" s="125"/>
      <c r="JWK185" s="125"/>
      <c r="JWL185" s="125"/>
      <c r="JWM185" s="125"/>
      <c r="JWN185" s="125"/>
      <c r="JWO185" s="125"/>
      <c r="JWP185" s="125"/>
      <c r="JWQ185" s="125"/>
      <c r="JWR185" s="125"/>
      <c r="JWS185" s="125"/>
      <c r="JWT185" s="125"/>
      <c r="JWU185" s="125"/>
      <c r="JWV185" s="125"/>
      <c r="JWW185" s="125"/>
      <c r="JWX185" s="125"/>
      <c r="JWY185" s="125"/>
      <c r="JWZ185" s="125"/>
      <c r="JXA185" s="125"/>
      <c r="JXB185" s="125"/>
      <c r="JXC185" s="125"/>
      <c r="JXD185" s="125"/>
      <c r="JXE185" s="125"/>
      <c r="JXF185" s="125"/>
      <c r="JXG185" s="125"/>
      <c r="JXH185" s="125"/>
      <c r="JXI185" s="125"/>
      <c r="JXJ185" s="125"/>
      <c r="JXK185" s="125"/>
      <c r="JXL185" s="125"/>
      <c r="JXM185" s="125"/>
      <c r="JXN185" s="125"/>
      <c r="JXO185" s="125"/>
      <c r="JXP185" s="125"/>
      <c r="JXQ185" s="125"/>
      <c r="JXR185" s="125"/>
      <c r="JXS185" s="125"/>
      <c r="JXT185" s="125"/>
      <c r="JXU185" s="125"/>
      <c r="JXV185" s="125"/>
      <c r="JXW185" s="125"/>
      <c r="JXX185" s="125"/>
      <c r="JXY185" s="125"/>
      <c r="JXZ185" s="125"/>
      <c r="JYA185" s="125"/>
      <c r="JYB185" s="125"/>
      <c r="JYC185" s="125"/>
      <c r="JYD185" s="125"/>
      <c r="JYE185" s="125"/>
      <c r="JYF185" s="125"/>
      <c r="JYG185" s="125"/>
      <c r="JYH185" s="125"/>
      <c r="JYI185" s="125"/>
      <c r="JYJ185" s="125"/>
      <c r="JYK185" s="125"/>
      <c r="JYL185" s="125"/>
      <c r="JYM185" s="125"/>
      <c r="JYN185" s="125"/>
      <c r="JYO185" s="125"/>
      <c r="JYP185" s="125"/>
      <c r="JYQ185" s="125"/>
      <c r="JYR185" s="125"/>
      <c r="JYS185" s="125"/>
      <c r="JYT185" s="125"/>
      <c r="JYU185" s="125"/>
      <c r="JYV185" s="125"/>
      <c r="JYW185" s="125"/>
      <c r="JYX185" s="125"/>
      <c r="JYY185" s="125"/>
      <c r="JYZ185" s="125"/>
      <c r="JZA185" s="125"/>
      <c r="JZB185" s="125"/>
      <c r="JZC185" s="125"/>
      <c r="JZD185" s="125"/>
      <c r="JZE185" s="125"/>
      <c r="JZF185" s="125"/>
      <c r="JZG185" s="125"/>
      <c r="JZH185" s="125"/>
      <c r="JZI185" s="125"/>
      <c r="JZJ185" s="125"/>
      <c r="JZK185" s="125"/>
      <c r="JZL185" s="125"/>
      <c r="JZM185" s="125"/>
      <c r="JZN185" s="125"/>
      <c r="JZO185" s="125"/>
      <c r="JZP185" s="125"/>
      <c r="JZQ185" s="125"/>
      <c r="JZR185" s="125"/>
      <c r="JZS185" s="125"/>
      <c r="JZT185" s="125"/>
      <c r="JZU185" s="125"/>
      <c r="JZV185" s="125"/>
      <c r="JZW185" s="125"/>
      <c r="JZX185" s="125"/>
      <c r="JZY185" s="125"/>
      <c r="JZZ185" s="125"/>
      <c r="KAA185" s="125"/>
      <c r="KAB185" s="125"/>
      <c r="KAC185" s="125"/>
      <c r="KAD185" s="125"/>
      <c r="KAE185" s="125"/>
      <c r="KAF185" s="125"/>
      <c r="KAG185" s="125"/>
      <c r="KAH185" s="125"/>
      <c r="KAI185" s="125"/>
      <c r="KAJ185" s="125"/>
      <c r="KAK185" s="125"/>
      <c r="KAL185" s="125"/>
      <c r="KAM185" s="125"/>
      <c r="KAN185" s="125"/>
      <c r="KAO185" s="125"/>
      <c r="KAP185" s="125"/>
      <c r="KAQ185" s="125"/>
      <c r="KAR185" s="125"/>
      <c r="KAS185" s="125"/>
      <c r="KAT185" s="125"/>
      <c r="KAU185" s="125"/>
      <c r="KAV185" s="125"/>
      <c r="KAW185" s="125"/>
      <c r="KAX185" s="125"/>
      <c r="KAY185" s="125"/>
      <c r="KAZ185" s="125"/>
      <c r="KBA185" s="125"/>
      <c r="KBB185" s="125"/>
      <c r="KBC185" s="125"/>
      <c r="KBD185" s="125"/>
      <c r="KBE185" s="125"/>
      <c r="KBF185" s="125"/>
      <c r="KBG185" s="125"/>
      <c r="KBH185" s="125"/>
      <c r="KBI185" s="125"/>
      <c r="KBJ185" s="125"/>
      <c r="KBK185" s="125"/>
      <c r="KBL185" s="125"/>
      <c r="KBM185" s="125"/>
      <c r="KBN185" s="125"/>
      <c r="KBO185" s="125"/>
      <c r="KBP185" s="125"/>
      <c r="KBQ185" s="125"/>
      <c r="KBR185" s="125"/>
      <c r="KBS185" s="125"/>
      <c r="KBT185" s="125"/>
      <c r="KBU185" s="125"/>
      <c r="KBV185" s="125"/>
      <c r="KBW185" s="125"/>
      <c r="KBX185" s="125"/>
      <c r="KBY185" s="125"/>
      <c r="KBZ185" s="125"/>
      <c r="KCA185" s="125"/>
      <c r="KCB185" s="125"/>
      <c r="KCC185" s="125"/>
      <c r="KCD185" s="125"/>
      <c r="KCE185" s="125"/>
      <c r="KCF185" s="125"/>
      <c r="KCG185" s="125"/>
      <c r="KCH185" s="125"/>
      <c r="KCI185" s="125"/>
      <c r="KCJ185" s="125"/>
      <c r="KCK185" s="125"/>
      <c r="KCL185" s="125"/>
      <c r="KCM185" s="125"/>
      <c r="KCN185" s="125"/>
      <c r="KCO185" s="125"/>
      <c r="KCP185" s="125"/>
      <c r="KCQ185" s="125"/>
      <c r="KCR185" s="125"/>
      <c r="KCS185" s="125"/>
      <c r="KCT185" s="125"/>
      <c r="KCU185" s="125"/>
      <c r="KCV185" s="125"/>
      <c r="KCW185" s="125"/>
      <c r="KCX185" s="125"/>
      <c r="KCY185" s="125"/>
      <c r="KCZ185" s="125"/>
      <c r="KDA185" s="125"/>
      <c r="KDB185" s="125"/>
      <c r="KDC185" s="125"/>
      <c r="KDD185" s="125"/>
      <c r="KDE185" s="125"/>
      <c r="KDF185" s="125"/>
      <c r="KDG185" s="125"/>
      <c r="KDH185" s="125"/>
      <c r="KDI185" s="125"/>
      <c r="KDJ185" s="125"/>
      <c r="KDK185" s="125"/>
      <c r="KDL185" s="125"/>
      <c r="KDM185" s="125"/>
      <c r="KDN185" s="125"/>
      <c r="KDO185" s="125"/>
      <c r="KDP185" s="125"/>
      <c r="KDQ185" s="125"/>
      <c r="KDR185" s="125"/>
      <c r="KDS185" s="125"/>
      <c r="KDT185" s="125"/>
      <c r="KDU185" s="125"/>
      <c r="KDV185" s="125"/>
      <c r="KDW185" s="125"/>
      <c r="KDX185" s="125"/>
      <c r="KDY185" s="125"/>
      <c r="KDZ185" s="125"/>
      <c r="KEA185" s="125"/>
      <c r="KEB185" s="125"/>
      <c r="KEC185" s="125"/>
      <c r="KED185" s="125"/>
      <c r="KEE185" s="125"/>
      <c r="KEF185" s="125"/>
      <c r="KEG185" s="125"/>
      <c r="KEH185" s="125"/>
      <c r="KEI185" s="125"/>
      <c r="KEJ185" s="125"/>
      <c r="KEK185" s="125"/>
      <c r="KEL185" s="125"/>
      <c r="KEM185" s="125"/>
      <c r="KEN185" s="125"/>
      <c r="KEO185" s="125"/>
      <c r="KEP185" s="125"/>
      <c r="KEQ185" s="125"/>
      <c r="KER185" s="125"/>
      <c r="KES185" s="125"/>
      <c r="KET185" s="125"/>
      <c r="KEU185" s="125"/>
      <c r="KEV185" s="125"/>
      <c r="KEW185" s="125"/>
      <c r="KEX185" s="125"/>
      <c r="KEY185" s="125"/>
      <c r="KEZ185" s="125"/>
      <c r="KFA185" s="125"/>
      <c r="KFB185" s="125"/>
      <c r="KFC185" s="125"/>
      <c r="KFD185" s="125"/>
      <c r="KFE185" s="125"/>
      <c r="KFF185" s="125"/>
      <c r="KFG185" s="125"/>
      <c r="KFH185" s="125"/>
      <c r="KFI185" s="125"/>
      <c r="KFJ185" s="125"/>
      <c r="KFK185" s="125"/>
      <c r="KFL185" s="125"/>
      <c r="KFM185" s="125"/>
      <c r="KFN185" s="125"/>
      <c r="KFO185" s="125"/>
      <c r="KFP185" s="125"/>
      <c r="KFQ185" s="125"/>
      <c r="KFR185" s="125"/>
      <c r="KFS185" s="125"/>
      <c r="KFT185" s="125"/>
      <c r="KFU185" s="125"/>
      <c r="KFV185" s="125"/>
      <c r="KFW185" s="125"/>
      <c r="KFX185" s="125"/>
      <c r="KFY185" s="125"/>
      <c r="KFZ185" s="125"/>
      <c r="KGA185" s="125"/>
      <c r="KGB185" s="125"/>
      <c r="KGC185" s="125"/>
      <c r="KGD185" s="125"/>
      <c r="KGE185" s="125"/>
      <c r="KGF185" s="125"/>
      <c r="KGG185" s="125"/>
      <c r="KGH185" s="125"/>
      <c r="KGI185" s="125"/>
      <c r="KGJ185" s="125"/>
      <c r="KGK185" s="125"/>
      <c r="KGL185" s="125"/>
      <c r="KGM185" s="125"/>
      <c r="KGN185" s="125"/>
      <c r="KGO185" s="125"/>
      <c r="KGP185" s="125"/>
      <c r="KGQ185" s="125"/>
      <c r="KGR185" s="125"/>
      <c r="KGS185" s="125"/>
      <c r="KGT185" s="125"/>
      <c r="KGU185" s="125"/>
      <c r="KGV185" s="125"/>
      <c r="KGW185" s="125"/>
      <c r="KGX185" s="125"/>
      <c r="KGY185" s="125"/>
      <c r="KGZ185" s="125"/>
      <c r="KHA185" s="125"/>
      <c r="KHB185" s="125"/>
      <c r="KHC185" s="125"/>
      <c r="KHD185" s="125"/>
      <c r="KHE185" s="125"/>
      <c r="KHF185" s="125"/>
      <c r="KHG185" s="125"/>
      <c r="KHH185" s="125"/>
      <c r="KHI185" s="125"/>
      <c r="KHJ185" s="125"/>
      <c r="KHK185" s="125"/>
      <c r="KHL185" s="125"/>
      <c r="KHM185" s="125"/>
      <c r="KHN185" s="125"/>
      <c r="KHO185" s="125"/>
      <c r="KHP185" s="125"/>
      <c r="KHQ185" s="125"/>
      <c r="KHR185" s="125"/>
      <c r="KHS185" s="125"/>
      <c r="KHT185" s="125"/>
      <c r="KHU185" s="125"/>
      <c r="KHV185" s="125"/>
      <c r="KHW185" s="125"/>
      <c r="KHX185" s="125"/>
      <c r="KHY185" s="125"/>
      <c r="KHZ185" s="125"/>
      <c r="KIA185" s="125"/>
      <c r="KIB185" s="125"/>
      <c r="KIC185" s="125"/>
      <c r="KID185" s="125"/>
      <c r="KIE185" s="125"/>
      <c r="KIF185" s="125"/>
      <c r="KIG185" s="125"/>
      <c r="KIH185" s="125"/>
      <c r="KII185" s="125"/>
      <c r="KIJ185" s="125"/>
      <c r="KIK185" s="125"/>
      <c r="KIL185" s="125"/>
      <c r="KIM185" s="125"/>
      <c r="KIN185" s="125"/>
      <c r="KIO185" s="125"/>
      <c r="KIP185" s="125"/>
      <c r="KIQ185" s="125"/>
      <c r="KIR185" s="125"/>
      <c r="KIS185" s="125"/>
      <c r="KIT185" s="125"/>
      <c r="KIU185" s="125"/>
      <c r="KIV185" s="125"/>
      <c r="KIW185" s="125"/>
      <c r="KIX185" s="125"/>
      <c r="KIY185" s="125"/>
      <c r="KIZ185" s="125"/>
      <c r="KJA185" s="125"/>
      <c r="KJB185" s="125"/>
      <c r="KJC185" s="125"/>
      <c r="KJD185" s="125"/>
      <c r="KJE185" s="125"/>
      <c r="KJF185" s="125"/>
      <c r="KJG185" s="125"/>
      <c r="KJH185" s="125"/>
      <c r="KJI185" s="125"/>
      <c r="KJJ185" s="125"/>
      <c r="KJK185" s="125"/>
      <c r="KJL185" s="125"/>
      <c r="KJM185" s="125"/>
      <c r="KJN185" s="125"/>
      <c r="KJO185" s="125"/>
      <c r="KJP185" s="125"/>
      <c r="KJQ185" s="125"/>
      <c r="KJR185" s="125"/>
      <c r="KJS185" s="125"/>
      <c r="KJT185" s="125"/>
      <c r="KJU185" s="125"/>
      <c r="KJV185" s="125"/>
      <c r="KJW185" s="125"/>
      <c r="KJX185" s="125"/>
      <c r="KJY185" s="125"/>
      <c r="KJZ185" s="125"/>
      <c r="KKA185" s="125"/>
      <c r="KKB185" s="125"/>
      <c r="KKC185" s="125"/>
      <c r="KKD185" s="125"/>
      <c r="KKE185" s="125"/>
      <c r="KKF185" s="125"/>
      <c r="KKG185" s="125"/>
      <c r="KKH185" s="125"/>
      <c r="KKI185" s="125"/>
      <c r="KKJ185" s="125"/>
      <c r="KKK185" s="125"/>
      <c r="KKL185" s="125"/>
      <c r="KKM185" s="125"/>
      <c r="KKN185" s="125"/>
      <c r="KKO185" s="125"/>
      <c r="KKP185" s="125"/>
      <c r="KKQ185" s="125"/>
      <c r="KKR185" s="125"/>
      <c r="KKS185" s="125"/>
      <c r="KKT185" s="125"/>
      <c r="KKU185" s="125"/>
      <c r="KKV185" s="125"/>
      <c r="KKW185" s="125"/>
      <c r="KKX185" s="125"/>
      <c r="KKY185" s="125"/>
      <c r="KKZ185" s="125"/>
      <c r="KLA185" s="125"/>
      <c r="KLB185" s="125"/>
      <c r="KLC185" s="125"/>
      <c r="KLD185" s="125"/>
      <c r="KLE185" s="125"/>
      <c r="KLF185" s="125"/>
      <c r="KLG185" s="125"/>
      <c r="KLH185" s="125"/>
      <c r="KLI185" s="125"/>
      <c r="KLJ185" s="125"/>
      <c r="KLK185" s="125"/>
      <c r="KLL185" s="125"/>
      <c r="KLM185" s="125"/>
      <c r="KLN185" s="125"/>
      <c r="KLO185" s="125"/>
      <c r="KLP185" s="125"/>
      <c r="KLQ185" s="125"/>
      <c r="KLR185" s="125"/>
      <c r="KLS185" s="125"/>
      <c r="KLT185" s="125"/>
      <c r="KLU185" s="125"/>
      <c r="KLV185" s="125"/>
      <c r="KLW185" s="125"/>
      <c r="KLX185" s="125"/>
      <c r="KLY185" s="125"/>
      <c r="KLZ185" s="125"/>
      <c r="KMA185" s="125"/>
      <c r="KMB185" s="125"/>
      <c r="KMC185" s="125"/>
      <c r="KMD185" s="125"/>
      <c r="KME185" s="125"/>
      <c r="KMF185" s="125"/>
      <c r="KMG185" s="125"/>
      <c r="KMH185" s="125"/>
      <c r="KMI185" s="125"/>
      <c r="KMJ185" s="125"/>
      <c r="KMK185" s="125"/>
      <c r="KML185" s="125"/>
      <c r="KMM185" s="125"/>
      <c r="KMN185" s="125"/>
      <c r="KMO185" s="125"/>
      <c r="KMP185" s="125"/>
      <c r="KMQ185" s="125"/>
      <c r="KMR185" s="125"/>
      <c r="KMS185" s="125"/>
      <c r="KMT185" s="125"/>
      <c r="KMU185" s="125"/>
      <c r="KMV185" s="125"/>
      <c r="KMW185" s="125"/>
      <c r="KMX185" s="125"/>
      <c r="KMY185" s="125"/>
      <c r="KMZ185" s="125"/>
      <c r="KNA185" s="125"/>
      <c r="KNB185" s="125"/>
      <c r="KNC185" s="125"/>
      <c r="KND185" s="125"/>
      <c r="KNE185" s="125"/>
      <c r="KNF185" s="125"/>
      <c r="KNG185" s="125"/>
      <c r="KNH185" s="125"/>
      <c r="KNI185" s="125"/>
      <c r="KNJ185" s="125"/>
      <c r="KNK185" s="125"/>
      <c r="KNL185" s="125"/>
      <c r="KNM185" s="125"/>
      <c r="KNN185" s="125"/>
      <c r="KNO185" s="125"/>
      <c r="KNP185" s="125"/>
      <c r="KNQ185" s="125"/>
      <c r="KNR185" s="125"/>
      <c r="KNS185" s="125"/>
      <c r="KNT185" s="125"/>
      <c r="KNU185" s="125"/>
      <c r="KNV185" s="125"/>
      <c r="KNW185" s="125"/>
      <c r="KNX185" s="125"/>
      <c r="KNY185" s="125"/>
      <c r="KNZ185" s="125"/>
      <c r="KOA185" s="125"/>
      <c r="KOB185" s="125"/>
      <c r="KOC185" s="125"/>
      <c r="KOD185" s="125"/>
      <c r="KOE185" s="125"/>
      <c r="KOF185" s="125"/>
      <c r="KOG185" s="125"/>
      <c r="KOH185" s="125"/>
      <c r="KOI185" s="125"/>
      <c r="KOJ185" s="125"/>
      <c r="KOK185" s="125"/>
      <c r="KOL185" s="125"/>
      <c r="KOM185" s="125"/>
      <c r="KON185" s="125"/>
      <c r="KOO185" s="125"/>
      <c r="KOP185" s="125"/>
      <c r="KOQ185" s="125"/>
      <c r="KOR185" s="125"/>
      <c r="KOS185" s="125"/>
      <c r="KOT185" s="125"/>
      <c r="KOU185" s="125"/>
      <c r="KOV185" s="125"/>
      <c r="KOW185" s="125"/>
      <c r="KOX185" s="125"/>
      <c r="KOY185" s="125"/>
      <c r="KOZ185" s="125"/>
      <c r="KPA185" s="125"/>
      <c r="KPB185" s="125"/>
      <c r="KPC185" s="125"/>
      <c r="KPD185" s="125"/>
      <c r="KPE185" s="125"/>
      <c r="KPF185" s="125"/>
      <c r="KPG185" s="125"/>
      <c r="KPH185" s="125"/>
      <c r="KPI185" s="125"/>
      <c r="KPJ185" s="125"/>
      <c r="KPK185" s="125"/>
      <c r="KPL185" s="125"/>
      <c r="KPM185" s="125"/>
      <c r="KPN185" s="125"/>
      <c r="KPO185" s="125"/>
      <c r="KPP185" s="125"/>
      <c r="KPQ185" s="125"/>
      <c r="KPR185" s="125"/>
      <c r="KPS185" s="125"/>
      <c r="KPT185" s="125"/>
      <c r="KPU185" s="125"/>
      <c r="KPV185" s="125"/>
      <c r="KPW185" s="125"/>
      <c r="KPX185" s="125"/>
      <c r="KPY185" s="125"/>
      <c r="KPZ185" s="125"/>
      <c r="KQA185" s="125"/>
      <c r="KQB185" s="125"/>
      <c r="KQC185" s="125"/>
      <c r="KQD185" s="125"/>
      <c r="KQE185" s="125"/>
      <c r="KQF185" s="125"/>
      <c r="KQG185" s="125"/>
      <c r="KQH185" s="125"/>
      <c r="KQI185" s="125"/>
      <c r="KQJ185" s="125"/>
      <c r="KQK185" s="125"/>
      <c r="KQL185" s="125"/>
      <c r="KQM185" s="125"/>
      <c r="KQN185" s="125"/>
      <c r="KQO185" s="125"/>
      <c r="KQP185" s="125"/>
      <c r="KQQ185" s="125"/>
      <c r="KQR185" s="125"/>
      <c r="KQS185" s="125"/>
      <c r="KQT185" s="125"/>
      <c r="KQU185" s="125"/>
      <c r="KQV185" s="125"/>
      <c r="KQW185" s="125"/>
      <c r="KQX185" s="125"/>
      <c r="KQY185" s="125"/>
      <c r="KQZ185" s="125"/>
      <c r="KRA185" s="125"/>
      <c r="KRB185" s="125"/>
      <c r="KRC185" s="125"/>
      <c r="KRD185" s="125"/>
      <c r="KRE185" s="125"/>
      <c r="KRF185" s="125"/>
      <c r="KRG185" s="125"/>
      <c r="KRH185" s="125"/>
      <c r="KRI185" s="125"/>
      <c r="KRJ185" s="125"/>
      <c r="KRK185" s="125"/>
      <c r="KRL185" s="125"/>
      <c r="KRM185" s="125"/>
      <c r="KRN185" s="125"/>
      <c r="KRO185" s="125"/>
      <c r="KRP185" s="125"/>
      <c r="KRQ185" s="125"/>
      <c r="KRR185" s="125"/>
      <c r="KRS185" s="125"/>
      <c r="KRT185" s="125"/>
      <c r="KRU185" s="125"/>
      <c r="KRV185" s="125"/>
      <c r="KRW185" s="125"/>
      <c r="KRX185" s="125"/>
      <c r="KRY185" s="125"/>
      <c r="KRZ185" s="125"/>
      <c r="KSA185" s="125"/>
      <c r="KSB185" s="125"/>
      <c r="KSC185" s="125"/>
      <c r="KSD185" s="125"/>
      <c r="KSE185" s="125"/>
      <c r="KSF185" s="125"/>
      <c r="KSG185" s="125"/>
      <c r="KSH185" s="125"/>
      <c r="KSI185" s="125"/>
      <c r="KSJ185" s="125"/>
      <c r="KSK185" s="125"/>
      <c r="KSL185" s="125"/>
      <c r="KSM185" s="125"/>
      <c r="KSN185" s="125"/>
      <c r="KSO185" s="125"/>
      <c r="KSP185" s="125"/>
      <c r="KSQ185" s="125"/>
      <c r="KSR185" s="125"/>
      <c r="KSS185" s="125"/>
      <c r="KST185" s="125"/>
      <c r="KSU185" s="125"/>
      <c r="KSV185" s="125"/>
      <c r="KSW185" s="125"/>
      <c r="KSX185" s="125"/>
      <c r="KSY185" s="125"/>
      <c r="KSZ185" s="125"/>
      <c r="KTA185" s="125"/>
      <c r="KTB185" s="125"/>
      <c r="KTC185" s="125"/>
      <c r="KTD185" s="125"/>
      <c r="KTE185" s="125"/>
      <c r="KTF185" s="125"/>
      <c r="KTG185" s="125"/>
      <c r="KTH185" s="125"/>
      <c r="KTI185" s="125"/>
      <c r="KTJ185" s="125"/>
      <c r="KTK185" s="125"/>
      <c r="KTL185" s="125"/>
      <c r="KTM185" s="125"/>
      <c r="KTN185" s="125"/>
      <c r="KTO185" s="125"/>
      <c r="KTP185" s="125"/>
      <c r="KTQ185" s="125"/>
      <c r="KTR185" s="125"/>
      <c r="KTS185" s="125"/>
      <c r="KTT185" s="125"/>
      <c r="KTU185" s="125"/>
      <c r="KTV185" s="125"/>
      <c r="KTW185" s="125"/>
      <c r="KTX185" s="125"/>
      <c r="KTY185" s="125"/>
      <c r="KTZ185" s="125"/>
      <c r="KUA185" s="125"/>
      <c r="KUB185" s="125"/>
      <c r="KUC185" s="125"/>
      <c r="KUD185" s="125"/>
      <c r="KUE185" s="125"/>
      <c r="KUF185" s="125"/>
      <c r="KUG185" s="125"/>
      <c r="KUH185" s="125"/>
      <c r="KUI185" s="125"/>
      <c r="KUJ185" s="125"/>
      <c r="KUK185" s="125"/>
      <c r="KUL185" s="125"/>
      <c r="KUM185" s="125"/>
      <c r="KUN185" s="125"/>
      <c r="KUO185" s="125"/>
      <c r="KUP185" s="125"/>
      <c r="KUQ185" s="125"/>
      <c r="KUR185" s="125"/>
      <c r="KUS185" s="125"/>
      <c r="KUT185" s="125"/>
      <c r="KUU185" s="125"/>
      <c r="KUV185" s="125"/>
      <c r="KUW185" s="125"/>
      <c r="KUX185" s="125"/>
      <c r="KUY185" s="125"/>
      <c r="KUZ185" s="125"/>
      <c r="KVA185" s="125"/>
      <c r="KVB185" s="125"/>
      <c r="KVC185" s="125"/>
      <c r="KVD185" s="125"/>
      <c r="KVE185" s="125"/>
      <c r="KVF185" s="125"/>
      <c r="KVG185" s="125"/>
      <c r="KVH185" s="125"/>
      <c r="KVI185" s="125"/>
      <c r="KVJ185" s="125"/>
      <c r="KVK185" s="125"/>
      <c r="KVL185" s="125"/>
      <c r="KVM185" s="125"/>
      <c r="KVN185" s="125"/>
      <c r="KVO185" s="125"/>
      <c r="KVP185" s="125"/>
      <c r="KVQ185" s="125"/>
      <c r="KVR185" s="125"/>
      <c r="KVS185" s="125"/>
      <c r="KVT185" s="125"/>
      <c r="KVU185" s="125"/>
      <c r="KVV185" s="125"/>
      <c r="KVW185" s="125"/>
      <c r="KVX185" s="125"/>
      <c r="KVY185" s="125"/>
      <c r="KVZ185" s="125"/>
      <c r="KWA185" s="125"/>
      <c r="KWB185" s="125"/>
      <c r="KWC185" s="125"/>
      <c r="KWD185" s="125"/>
      <c r="KWE185" s="125"/>
      <c r="KWF185" s="125"/>
      <c r="KWG185" s="125"/>
      <c r="KWH185" s="125"/>
      <c r="KWI185" s="125"/>
      <c r="KWJ185" s="125"/>
      <c r="KWK185" s="125"/>
      <c r="KWL185" s="125"/>
      <c r="KWM185" s="125"/>
      <c r="KWN185" s="125"/>
      <c r="KWO185" s="125"/>
      <c r="KWP185" s="125"/>
      <c r="KWQ185" s="125"/>
      <c r="KWR185" s="125"/>
      <c r="KWS185" s="125"/>
      <c r="KWT185" s="125"/>
      <c r="KWU185" s="125"/>
      <c r="KWV185" s="125"/>
      <c r="KWW185" s="125"/>
      <c r="KWX185" s="125"/>
      <c r="KWY185" s="125"/>
      <c r="KWZ185" s="125"/>
      <c r="KXA185" s="125"/>
      <c r="KXB185" s="125"/>
      <c r="KXC185" s="125"/>
      <c r="KXD185" s="125"/>
      <c r="KXE185" s="125"/>
      <c r="KXF185" s="125"/>
      <c r="KXG185" s="125"/>
      <c r="KXH185" s="125"/>
      <c r="KXI185" s="125"/>
      <c r="KXJ185" s="125"/>
      <c r="KXK185" s="125"/>
      <c r="KXL185" s="125"/>
      <c r="KXM185" s="125"/>
      <c r="KXN185" s="125"/>
      <c r="KXO185" s="125"/>
      <c r="KXP185" s="125"/>
      <c r="KXQ185" s="125"/>
      <c r="KXR185" s="125"/>
      <c r="KXS185" s="125"/>
      <c r="KXT185" s="125"/>
      <c r="KXU185" s="125"/>
      <c r="KXV185" s="125"/>
      <c r="KXW185" s="125"/>
      <c r="KXX185" s="125"/>
      <c r="KXY185" s="125"/>
      <c r="KXZ185" s="125"/>
      <c r="KYA185" s="125"/>
      <c r="KYB185" s="125"/>
      <c r="KYC185" s="125"/>
      <c r="KYD185" s="125"/>
      <c r="KYE185" s="125"/>
      <c r="KYF185" s="125"/>
      <c r="KYG185" s="125"/>
      <c r="KYH185" s="125"/>
      <c r="KYI185" s="125"/>
      <c r="KYJ185" s="125"/>
      <c r="KYK185" s="125"/>
      <c r="KYL185" s="125"/>
      <c r="KYM185" s="125"/>
      <c r="KYN185" s="125"/>
      <c r="KYO185" s="125"/>
      <c r="KYP185" s="125"/>
      <c r="KYQ185" s="125"/>
      <c r="KYR185" s="125"/>
      <c r="KYS185" s="125"/>
      <c r="KYT185" s="125"/>
      <c r="KYU185" s="125"/>
      <c r="KYV185" s="125"/>
      <c r="KYW185" s="125"/>
      <c r="KYX185" s="125"/>
      <c r="KYY185" s="125"/>
      <c r="KYZ185" s="125"/>
      <c r="KZA185" s="125"/>
      <c r="KZB185" s="125"/>
      <c r="KZC185" s="125"/>
      <c r="KZD185" s="125"/>
      <c r="KZE185" s="125"/>
      <c r="KZF185" s="125"/>
      <c r="KZG185" s="125"/>
      <c r="KZH185" s="125"/>
      <c r="KZI185" s="125"/>
      <c r="KZJ185" s="125"/>
      <c r="KZK185" s="125"/>
      <c r="KZL185" s="125"/>
      <c r="KZM185" s="125"/>
      <c r="KZN185" s="125"/>
      <c r="KZO185" s="125"/>
      <c r="KZP185" s="125"/>
      <c r="KZQ185" s="125"/>
      <c r="KZR185" s="125"/>
      <c r="KZS185" s="125"/>
      <c r="KZT185" s="125"/>
      <c r="KZU185" s="125"/>
      <c r="KZV185" s="125"/>
      <c r="KZW185" s="125"/>
      <c r="KZX185" s="125"/>
      <c r="KZY185" s="125"/>
      <c r="KZZ185" s="125"/>
      <c r="LAA185" s="125"/>
      <c r="LAB185" s="125"/>
      <c r="LAC185" s="125"/>
      <c r="LAD185" s="125"/>
      <c r="LAE185" s="125"/>
      <c r="LAF185" s="125"/>
      <c r="LAG185" s="125"/>
      <c r="LAH185" s="125"/>
      <c r="LAI185" s="125"/>
      <c r="LAJ185" s="125"/>
      <c r="LAK185" s="125"/>
      <c r="LAL185" s="125"/>
      <c r="LAM185" s="125"/>
      <c r="LAN185" s="125"/>
      <c r="LAO185" s="125"/>
      <c r="LAP185" s="125"/>
      <c r="LAQ185" s="125"/>
      <c r="LAR185" s="125"/>
      <c r="LAS185" s="125"/>
      <c r="LAT185" s="125"/>
      <c r="LAU185" s="125"/>
      <c r="LAV185" s="125"/>
      <c r="LAW185" s="125"/>
      <c r="LAX185" s="125"/>
      <c r="LAY185" s="125"/>
      <c r="LAZ185" s="125"/>
      <c r="LBA185" s="125"/>
      <c r="LBB185" s="125"/>
      <c r="LBC185" s="125"/>
      <c r="LBD185" s="125"/>
      <c r="LBE185" s="125"/>
      <c r="LBF185" s="125"/>
      <c r="LBG185" s="125"/>
      <c r="LBH185" s="125"/>
      <c r="LBI185" s="125"/>
      <c r="LBJ185" s="125"/>
      <c r="LBK185" s="125"/>
      <c r="LBL185" s="125"/>
      <c r="LBM185" s="125"/>
      <c r="LBN185" s="125"/>
      <c r="LBO185" s="125"/>
      <c r="LBP185" s="125"/>
      <c r="LBQ185" s="125"/>
      <c r="LBR185" s="125"/>
      <c r="LBS185" s="125"/>
      <c r="LBT185" s="125"/>
      <c r="LBU185" s="125"/>
      <c r="LBV185" s="125"/>
      <c r="LBW185" s="125"/>
      <c r="LBX185" s="125"/>
      <c r="LBY185" s="125"/>
      <c r="LBZ185" s="125"/>
      <c r="LCA185" s="125"/>
      <c r="LCB185" s="125"/>
      <c r="LCC185" s="125"/>
      <c r="LCD185" s="125"/>
      <c r="LCE185" s="125"/>
      <c r="LCF185" s="125"/>
      <c r="LCG185" s="125"/>
      <c r="LCH185" s="125"/>
      <c r="LCI185" s="125"/>
      <c r="LCJ185" s="125"/>
      <c r="LCK185" s="125"/>
      <c r="LCL185" s="125"/>
      <c r="LCM185" s="125"/>
      <c r="LCN185" s="125"/>
      <c r="LCO185" s="125"/>
      <c r="LCP185" s="125"/>
      <c r="LCQ185" s="125"/>
      <c r="LCR185" s="125"/>
      <c r="LCS185" s="125"/>
      <c r="LCT185" s="125"/>
      <c r="LCU185" s="125"/>
      <c r="LCV185" s="125"/>
      <c r="LCW185" s="125"/>
      <c r="LCX185" s="125"/>
      <c r="LCY185" s="125"/>
      <c r="LCZ185" s="125"/>
      <c r="LDA185" s="125"/>
      <c r="LDB185" s="125"/>
      <c r="LDC185" s="125"/>
      <c r="LDD185" s="125"/>
      <c r="LDE185" s="125"/>
      <c r="LDF185" s="125"/>
      <c r="LDG185" s="125"/>
      <c r="LDH185" s="125"/>
      <c r="LDI185" s="125"/>
      <c r="LDJ185" s="125"/>
      <c r="LDK185" s="125"/>
      <c r="LDL185" s="125"/>
      <c r="LDM185" s="125"/>
      <c r="LDN185" s="125"/>
      <c r="LDO185" s="125"/>
      <c r="LDP185" s="125"/>
      <c r="LDQ185" s="125"/>
      <c r="LDR185" s="125"/>
      <c r="LDS185" s="125"/>
      <c r="LDT185" s="125"/>
      <c r="LDU185" s="125"/>
      <c r="LDV185" s="125"/>
      <c r="LDW185" s="125"/>
      <c r="LDX185" s="125"/>
      <c r="LDY185" s="125"/>
      <c r="LDZ185" s="125"/>
      <c r="LEA185" s="125"/>
      <c r="LEB185" s="125"/>
      <c r="LEC185" s="125"/>
      <c r="LED185" s="125"/>
      <c r="LEE185" s="125"/>
      <c r="LEF185" s="125"/>
      <c r="LEG185" s="125"/>
      <c r="LEH185" s="125"/>
      <c r="LEI185" s="125"/>
      <c r="LEJ185" s="125"/>
      <c r="LEK185" s="125"/>
      <c r="LEL185" s="125"/>
      <c r="LEM185" s="125"/>
      <c r="LEN185" s="125"/>
      <c r="LEO185" s="125"/>
      <c r="LEP185" s="125"/>
      <c r="LEQ185" s="125"/>
      <c r="LER185" s="125"/>
      <c r="LES185" s="125"/>
      <c r="LET185" s="125"/>
      <c r="LEU185" s="125"/>
      <c r="LEV185" s="125"/>
      <c r="LEW185" s="125"/>
      <c r="LEX185" s="125"/>
      <c r="LEY185" s="125"/>
      <c r="LEZ185" s="125"/>
      <c r="LFA185" s="125"/>
      <c r="LFB185" s="125"/>
      <c r="LFC185" s="125"/>
      <c r="LFD185" s="125"/>
      <c r="LFE185" s="125"/>
      <c r="LFF185" s="125"/>
      <c r="LFG185" s="125"/>
      <c r="LFH185" s="125"/>
      <c r="LFI185" s="125"/>
      <c r="LFJ185" s="125"/>
      <c r="LFK185" s="125"/>
      <c r="LFL185" s="125"/>
      <c r="LFM185" s="125"/>
      <c r="LFN185" s="125"/>
      <c r="LFO185" s="125"/>
      <c r="LFP185" s="125"/>
      <c r="LFQ185" s="125"/>
      <c r="LFR185" s="125"/>
      <c r="LFS185" s="125"/>
      <c r="LFT185" s="125"/>
      <c r="LFU185" s="125"/>
      <c r="LFV185" s="125"/>
      <c r="LFW185" s="125"/>
      <c r="LFX185" s="125"/>
      <c r="LFY185" s="125"/>
      <c r="LFZ185" s="125"/>
      <c r="LGA185" s="125"/>
      <c r="LGB185" s="125"/>
      <c r="LGC185" s="125"/>
      <c r="LGD185" s="125"/>
      <c r="LGE185" s="125"/>
      <c r="LGF185" s="125"/>
      <c r="LGG185" s="125"/>
      <c r="LGH185" s="125"/>
      <c r="LGI185" s="125"/>
      <c r="LGJ185" s="125"/>
      <c r="LGK185" s="125"/>
      <c r="LGL185" s="125"/>
      <c r="LGM185" s="125"/>
      <c r="LGN185" s="125"/>
      <c r="LGO185" s="125"/>
      <c r="LGP185" s="125"/>
      <c r="LGQ185" s="125"/>
      <c r="LGR185" s="125"/>
      <c r="LGS185" s="125"/>
      <c r="LGT185" s="125"/>
      <c r="LGU185" s="125"/>
      <c r="LGV185" s="125"/>
      <c r="LGW185" s="125"/>
      <c r="LGX185" s="125"/>
      <c r="LGY185" s="125"/>
      <c r="LGZ185" s="125"/>
      <c r="LHA185" s="125"/>
      <c r="LHB185" s="125"/>
      <c r="LHC185" s="125"/>
      <c r="LHD185" s="125"/>
      <c r="LHE185" s="125"/>
      <c r="LHF185" s="125"/>
      <c r="LHG185" s="125"/>
      <c r="LHH185" s="125"/>
      <c r="LHI185" s="125"/>
      <c r="LHJ185" s="125"/>
      <c r="LHK185" s="125"/>
      <c r="LHL185" s="125"/>
      <c r="LHM185" s="125"/>
      <c r="LHN185" s="125"/>
      <c r="LHO185" s="125"/>
      <c r="LHP185" s="125"/>
      <c r="LHQ185" s="125"/>
      <c r="LHR185" s="125"/>
      <c r="LHS185" s="125"/>
      <c r="LHT185" s="125"/>
      <c r="LHU185" s="125"/>
      <c r="LHV185" s="125"/>
      <c r="LHW185" s="125"/>
      <c r="LHX185" s="125"/>
      <c r="LHY185" s="125"/>
      <c r="LHZ185" s="125"/>
      <c r="LIA185" s="125"/>
      <c r="LIB185" s="125"/>
      <c r="LIC185" s="125"/>
      <c r="LID185" s="125"/>
      <c r="LIE185" s="125"/>
      <c r="LIF185" s="125"/>
      <c r="LIG185" s="125"/>
      <c r="LIH185" s="125"/>
      <c r="LII185" s="125"/>
      <c r="LIJ185" s="125"/>
      <c r="LIK185" s="125"/>
      <c r="LIL185" s="125"/>
      <c r="LIM185" s="125"/>
      <c r="LIN185" s="125"/>
      <c r="LIO185" s="125"/>
      <c r="LIP185" s="125"/>
      <c r="LIQ185" s="125"/>
      <c r="LIR185" s="125"/>
      <c r="LIS185" s="125"/>
      <c r="LIT185" s="125"/>
      <c r="LIU185" s="125"/>
      <c r="LIV185" s="125"/>
      <c r="LIW185" s="125"/>
      <c r="LIX185" s="125"/>
      <c r="LIY185" s="125"/>
      <c r="LIZ185" s="125"/>
      <c r="LJA185" s="125"/>
      <c r="LJB185" s="125"/>
      <c r="LJC185" s="125"/>
      <c r="LJD185" s="125"/>
      <c r="LJE185" s="125"/>
      <c r="LJF185" s="125"/>
      <c r="LJG185" s="125"/>
      <c r="LJH185" s="125"/>
      <c r="LJI185" s="125"/>
      <c r="LJJ185" s="125"/>
      <c r="LJK185" s="125"/>
      <c r="LJL185" s="125"/>
      <c r="LJM185" s="125"/>
      <c r="LJN185" s="125"/>
      <c r="LJO185" s="125"/>
      <c r="LJP185" s="125"/>
      <c r="LJQ185" s="125"/>
      <c r="LJR185" s="125"/>
      <c r="LJS185" s="125"/>
      <c r="LJT185" s="125"/>
      <c r="LJU185" s="125"/>
      <c r="LJV185" s="125"/>
      <c r="LJW185" s="125"/>
      <c r="LJX185" s="125"/>
      <c r="LJY185" s="125"/>
      <c r="LJZ185" s="125"/>
      <c r="LKA185" s="125"/>
      <c r="LKB185" s="125"/>
      <c r="LKC185" s="125"/>
      <c r="LKD185" s="125"/>
      <c r="LKE185" s="125"/>
      <c r="LKF185" s="125"/>
      <c r="LKG185" s="125"/>
      <c r="LKH185" s="125"/>
      <c r="LKI185" s="125"/>
      <c r="LKJ185" s="125"/>
      <c r="LKK185" s="125"/>
      <c r="LKL185" s="125"/>
      <c r="LKM185" s="125"/>
      <c r="LKN185" s="125"/>
      <c r="LKO185" s="125"/>
      <c r="LKP185" s="125"/>
      <c r="LKQ185" s="125"/>
      <c r="LKR185" s="125"/>
      <c r="LKS185" s="125"/>
      <c r="LKT185" s="125"/>
      <c r="LKU185" s="125"/>
      <c r="LKV185" s="125"/>
      <c r="LKW185" s="125"/>
      <c r="LKX185" s="125"/>
      <c r="LKY185" s="125"/>
      <c r="LKZ185" s="125"/>
      <c r="LLA185" s="125"/>
      <c r="LLB185" s="125"/>
      <c r="LLC185" s="125"/>
      <c r="LLD185" s="125"/>
      <c r="LLE185" s="125"/>
      <c r="LLF185" s="125"/>
      <c r="LLG185" s="125"/>
      <c r="LLH185" s="125"/>
      <c r="LLI185" s="125"/>
      <c r="LLJ185" s="125"/>
      <c r="LLK185" s="125"/>
      <c r="LLL185" s="125"/>
      <c r="LLM185" s="125"/>
      <c r="LLN185" s="125"/>
      <c r="LLO185" s="125"/>
      <c r="LLP185" s="125"/>
      <c r="LLQ185" s="125"/>
      <c r="LLR185" s="125"/>
      <c r="LLS185" s="125"/>
      <c r="LLT185" s="125"/>
      <c r="LLU185" s="125"/>
      <c r="LLV185" s="125"/>
      <c r="LLW185" s="125"/>
      <c r="LLX185" s="125"/>
      <c r="LLY185" s="125"/>
      <c r="LLZ185" s="125"/>
      <c r="LMA185" s="125"/>
      <c r="LMB185" s="125"/>
      <c r="LMC185" s="125"/>
      <c r="LMD185" s="125"/>
      <c r="LME185" s="125"/>
      <c r="LMF185" s="125"/>
      <c r="LMG185" s="125"/>
      <c r="LMH185" s="125"/>
      <c r="LMI185" s="125"/>
      <c r="LMJ185" s="125"/>
      <c r="LMK185" s="125"/>
      <c r="LML185" s="125"/>
      <c r="LMM185" s="125"/>
      <c r="LMN185" s="125"/>
      <c r="LMO185" s="125"/>
      <c r="LMP185" s="125"/>
      <c r="LMQ185" s="125"/>
      <c r="LMR185" s="125"/>
      <c r="LMS185" s="125"/>
      <c r="LMT185" s="125"/>
      <c r="LMU185" s="125"/>
      <c r="LMV185" s="125"/>
      <c r="LMW185" s="125"/>
      <c r="LMX185" s="125"/>
      <c r="LMY185" s="125"/>
      <c r="LMZ185" s="125"/>
      <c r="LNA185" s="125"/>
      <c r="LNB185" s="125"/>
      <c r="LNC185" s="125"/>
      <c r="LND185" s="125"/>
      <c r="LNE185" s="125"/>
      <c r="LNF185" s="125"/>
      <c r="LNG185" s="125"/>
      <c r="LNH185" s="125"/>
      <c r="LNI185" s="125"/>
      <c r="LNJ185" s="125"/>
      <c r="LNK185" s="125"/>
      <c r="LNL185" s="125"/>
      <c r="LNM185" s="125"/>
      <c r="LNN185" s="125"/>
      <c r="LNO185" s="125"/>
      <c r="LNP185" s="125"/>
      <c r="LNQ185" s="125"/>
      <c r="LNR185" s="125"/>
      <c r="LNS185" s="125"/>
      <c r="LNT185" s="125"/>
      <c r="LNU185" s="125"/>
      <c r="LNV185" s="125"/>
      <c r="LNW185" s="125"/>
      <c r="LNX185" s="125"/>
      <c r="LNY185" s="125"/>
      <c r="LNZ185" s="125"/>
      <c r="LOA185" s="125"/>
      <c r="LOB185" s="125"/>
      <c r="LOC185" s="125"/>
      <c r="LOD185" s="125"/>
      <c r="LOE185" s="125"/>
      <c r="LOF185" s="125"/>
      <c r="LOG185" s="125"/>
      <c r="LOH185" s="125"/>
      <c r="LOI185" s="125"/>
      <c r="LOJ185" s="125"/>
      <c r="LOK185" s="125"/>
      <c r="LOL185" s="125"/>
      <c r="LOM185" s="125"/>
      <c r="LON185" s="125"/>
      <c r="LOO185" s="125"/>
      <c r="LOP185" s="125"/>
      <c r="LOQ185" s="125"/>
      <c r="LOR185" s="125"/>
      <c r="LOS185" s="125"/>
      <c r="LOT185" s="125"/>
      <c r="LOU185" s="125"/>
      <c r="LOV185" s="125"/>
      <c r="LOW185" s="125"/>
      <c r="LOX185" s="125"/>
      <c r="LOY185" s="125"/>
      <c r="LOZ185" s="125"/>
      <c r="LPA185" s="125"/>
      <c r="LPB185" s="125"/>
      <c r="LPC185" s="125"/>
      <c r="LPD185" s="125"/>
      <c r="LPE185" s="125"/>
      <c r="LPF185" s="125"/>
      <c r="LPG185" s="125"/>
      <c r="LPH185" s="125"/>
      <c r="LPI185" s="125"/>
      <c r="LPJ185" s="125"/>
      <c r="LPK185" s="125"/>
      <c r="LPL185" s="125"/>
      <c r="LPM185" s="125"/>
      <c r="LPN185" s="125"/>
      <c r="LPO185" s="125"/>
      <c r="LPP185" s="125"/>
      <c r="LPQ185" s="125"/>
      <c r="LPR185" s="125"/>
      <c r="LPS185" s="125"/>
      <c r="LPT185" s="125"/>
      <c r="LPU185" s="125"/>
      <c r="LPV185" s="125"/>
      <c r="LPW185" s="125"/>
      <c r="LPX185" s="125"/>
      <c r="LPY185" s="125"/>
      <c r="LPZ185" s="125"/>
      <c r="LQA185" s="125"/>
      <c r="LQB185" s="125"/>
      <c r="LQC185" s="125"/>
      <c r="LQD185" s="125"/>
      <c r="LQE185" s="125"/>
      <c r="LQF185" s="125"/>
      <c r="LQG185" s="125"/>
      <c r="LQH185" s="125"/>
      <c r="LQI185" s="125"/>
      <c r="LQJ185" s="125"/>
      <c r="LQK185" s="125"/>
      <c r="LQL185" s="125"/>
      <c r="LQM185" s="125"/>
      <c r="LQN185" s="125"/>
      <c r="LQO185" s="125"/>
      <c r="LQP185" s="125"/>
      <c r="LQQ185" s="125"/>
      <c r="LQR185" s="125"/>
      <c r="LQS185" s="125"/>
      <c r="LQT185" s="125"/>
      <c r="LQU185" s="125"/>
      <c r="LQV185" s="125"/>
      <c r="LQW185" s="125"/>
      <c r="LQX185" s="125"/>
      <c r="LQY185" s="125"/>
      <c r="LQZ185" s="125"/>
      <c r="LRA185" s="125"/>
      <c r="LRB185" s="125"/>
      <c r="LRC185" s="125"/>
      <c r="LRD185" s="125"/>
      <c r="LRE185" s="125"/>
      <c r="LRF185" s="125"/>
      <c r="LRG185" s="125"/>
      <c r="LRH185" s="125"/>
      <c r="LRI185" s="125"/>
      <c r="LRJ185" s="125"/>
      <c r="LRK185" s="125"/>
      <c r="LRL185" s="125"/>
      <c r="LRM185" s="125"/>
      <c r="LRN185" s="125"/>
      <c r="LRO185" s="125"/>
      <c r="LRP185" s="125"/>
      <c r="LRQ185" s="125"/>
      <c r="LRR185" s="125"/>
      <c r="LRS185" s="125"/>
      <c r="LRT185" s="125"/>
      <c r="LRU185" s="125"/>
      <c r="LRV185" s="125"/>
      <c r="LRW185" s="125"/>
      <c r="LRX185" s="125"/>
      <c r="LRY185" s="125"/>
      <c r="LRZ185" s="125"/>
      <c r="LSA185" s="125"/>
      <c r="LSB185" s="125"/>
      <c r="LSC185" s="125"/>
      <c r="LSD185" s="125"/>
      <c r="LSE185" s="125"/>
      <c r="LSF185" s="125"/>
      <c r="LSG185" s="125"/>
      <c r="LSH185" s="125"/>
      <c r="LSI185" s="125"/>
      <c r="LSJ185" s="125"/>
      <c r="LSK185" s="125"/>
      <c r="LSL185" s="125"/>
      <c r="LSM185" s="125"/>
      <c r="LSN185" s="125"/>
      <c r="LSO185" s="125"/>
      <c r="LSP185" s="125"/>
      <c r="LSQ185" s="125"/>
      <c r="LSR185" s="125"/>
      <c r="LSS185" s="125"/>
      <c r="LST185" s="125"/>
      <c r="LSU185" s="125"/>
      <c r="LSV185" s="125"/>
      <c r="LSW185" s="125"/>
      <c r="LSX185" s="125"/>
      <c r="LSY185" s="125"/>
      <c r="LSZ185" s="125"/>
      <c r="LTA185" s="125"/>
      <c r="LTB185" s="125"/>
      <c r="LTC185" s="125"/>
      <c r="LTD185" s="125"/>
      <c r="LTE185" s="125"/>
      <c r="LTF185" s="125"/>
      <c r="LTG185" s="125"/>
      <c r="LTH185" s="125"/>
      <c r="LTI185" s="125"/>
      <c r="LTJ185" s="125"/>
      <c r="LTK185" s="125"/>
      <c r="LTL185" s="125"/>
      <c r="LTM185" s="125"/>
      <c r="LTN185" s="125"/>
      <c r="LTO185" s="125"/>
      <c r="LTP185" s="125"/>
      <c r="LTQ185" s="125"/>
      <c r="LTR185" s="125"/>
      <c r="LTS185" s="125"/>
      <c r="LTT185" s="125"/>
      <c r="LTU185" s="125"/>
      <c r="LTV185" s="125"/>
      <c r="LTW185" s="125"/>
      <c r="LTX185" s="125"/>
      <c r="LTY185" s="125"/>
      <c r="LTZ185" s="125"/>
      <c r="LUA185" s="125"/>
      <c r="LUB185" s="125"/>
      <c r="LUC185" s="125"/>
      <c r="LUD185" s="125"/>
      <c r="LUE185" s="125"/>
      <c r="LUF185" s="125"/>
      <c r="LUG185" s="125"/>
      <c r="LUH185" s="125"/>
      <c r="LUI185" s="125"/>
      <c r="LUJ185" s="125"/>
      <c r="LUK185" s="125"/>
      <c r="LUL185" s="125"/>
      <c r="LUM185" s="125"/>
      <c r="LUN185" s="125"/>
      <c r="LUO185" s="125"/>
      <c r="LUP185" s="125"/>
      <c r="LUQ185" s="125"/>
      <c r="LUR185" s="125"/>
      <c r="LUS185" s="125"/>
      <c r="LUT185" s="125"/>
      <c r="LUU185" s="125"/>
      <c r="LUV185" s="125"/>
      <c r="LUW185" s="125"/>
      <c r="LUX185" s="125"/>
      <c r="LUY185" s="125"/>
      <c r="LUZ185" s="125"/>
      <c r="LVA185" s="125"/>
      <c r="LVB185" s="125"/>
      <c r="LVC185" s="125"/>
      <c r="LVD185" s="125"/>
      <c r="LVE185" s="125"/>
      <c r="LVF185" s="125"/>
      <c r="LVG185" s="125"/>
      <c r="LVH185" s="125"/>
      <c r="LVI185" s="125"/>
      <c r="LVJ185" s="125"/>
      <c r="LVK185" s="125"/>
      <c r="LVL185" s="125"/>
      <c r="LVM185" s="125"/>
      <c r="LVN185" s="125"/>
      <c r="LVO185" s="125"/>
      <c r="LVP185" s="125"/>
      <c r="LVQ185" s="125"/>
      <c r="LVR185" s="125"/>
      <c r="LVS185" s="125"/>
      <c r="LVT185" s="125"/>
      <c r="LVU185" s="125"/>
      <c r="LVV185" s="125"/>
      <c r="LVW185" s="125"/>
      <c r="LVX185" s="125"/>
      <c r="LVY185" s="125"/>
      <c r="LVZ185" s="125"/>
      <c r="LWA185" s="125"/>
      <c r="LWB185" s="125"/>
      <c r="LWC185" s="125"/>
      <c r="LWD185" s="125"/>
      <c r="LWE185" s="125"/>
      <c r="LWF185" s="125"/>
      <c r="LWG185" s="125"/>
      <c r="LWH185" s="125"/>
      <c r="LWI185" s="125"/>
      <c r="LWJ185" s="125"/>
      <c r="LWK185" s="125"/>
      <c r="LWL185" s="125"/>
      <c r="LWM185" s="125"/>
      <c r="LWN185" s="125"/>
      <c r="LWO185" s="125"/>
      <c r="LWP185" s="125"/>
      <c r="LWQ185" s="125"/>
      <c r="LWR185" s="125"/>
      <c r="LWS185" s="125"/>
      <c r="LWT185" s="125"/>
      <c r="LWU185" s="125"/>
      <c r="LWV185" s="125"/>
      <c r="LWW185" s="125"/>
      <c r="LWX185" s="125"/>
      <c r="LWY185" s="125"/>
      <c r="LWZ185" s="125"/>
      <c r="LXA185" s="125"/>
      <c r="LXB185" s="125"/>
      <c r="LXC185" s="125"/>
      <c r="LXD185" s="125"/>
      <c r="LXE185" s="125"/>
      <c r="LXF185" s="125"/>
      <c r="LXG185" s="125"/>
      <c r="LXH185" s="125"/>
      <c r="LXI185" s="125"/>
      <c r="LXJ185" s="125"/>
      <c r="LXK185" s="125"/>
      <c r="LXL185" s="125"/>
      <c r="LXM185" s="125"/>
      <c r="LXN185" s="125"/>
      <c r="LXO185" s="125"/>
      <c r="LXP185" s="125"/>
      <c r="LXQ185" s="125"/>
      <c r="LXR185" s="125"/>
      <c r="LXS185" s="125"/>
      <c r="LXT185" s="125"/>
      <c r="LXU185" s="125"/>
      <c r="LXV185" s="125"/>
      <c r="LXW185" s="125"/>
      <c r="LXX185" s="125"/>
      <c r="LXY185" s="125"/>
      <c r="LXZ185" s="125"/>
      <c r="LYA185" s="125"/>
      <c r="LYB185" s="125"/>
      <c r="LYC185" s="125"/>
      <c r="LYD185" s="125"/>
      <c r="LYE185" s="125"/>
      <c r="LYF185" s="125"/>
      <c r="LYG185" s="125"/>
      <c r="LYH185" s="125"/>
      <c r="LYI185" s="125"/>
      <c r="LYJ185" s="125"/>
      <c r="LYK185" s="125"/>
      <c r="LYL185" s="125"/>
      <c r="LYM185" s="125"/>
      <c r="LYN185" s="125"/>
      <c r="LYO185" s="125"/>
      <c r="LYP185" s="125"/>
      <c r="LYQ185" s="125"/>
      <c r="LYR185" s="125"/>
      <c r="LYS185" s="125"/>
      <c r="LYT185" s="125"/>
      <c r="LYU185" s="125"/>
      <c r="LYV185" s="125"/>
      <c r="LYW185" s="125"/>
      <c r="LYX185" s="125"/>
      <c r="LYY185" s="125"/>
      <c r="LYZ185" s="125"/>
      <c r="LZA185" s="125"/>
      <c r="LZB185" s="125"/>
      <c r="LZC185" s="125"/>
      <c r="LZD185" s="125"/>
      <c r="LZE185" s="125"/>
      <c r="LZF185" s="125"/>
      <c r="LZG185" s="125"/>
      <c r="LZH185" s="125"/>
      <c r="LZI185" s="125"/>
      <c r="LZJ185" s="125"/>
      <c r="LZK185" s="125"/>
      <c r="LZL185" s="125"/>
      <c r="LZM185" s="125"/>
      <c r="LZN185" s="125"/>
      <c r="LZO185" s="125"/>
      <c r="LZP185" s="125"/>
      <c r="LZQ185" s="125"/>
      <c r="LZR185" s="125"/>
      <c r="LZS185" s="125"/>
      <c r="LZT185" s="125"/>
      <c r="LZU185" s="125"/>
      <c r="LZV185" s="125"/>
      <c r="LZW185" s="125"/>
      <c r="LZX185" s="125"/>
      <c r="LZY185" s="125"/>
      <c r="LZZ185" s="125"/>
      <c r="MAA185" s="125"/>
      <c r="MAB185" s="125"/>
      <c r="MAC185" s="125"/>
      <c r="MAD185" s="125"/>
      <c r="MAE185" s="125"/>
      <c r="MAF185" s="125"/>
      <c r="MAG185" s="125"/>
      <c r="MAH185" s="125"/>
      <c r="MAI185" s="125"/>
      <c r="MAJ185" s="125"/>
      <c r="MAK185" s="125"/>
      <c r="MAL185" s="125"/>
      <c r="MAM185" s="125"/>
      <c r="MAN185" s="125"/>
      <c r="MAO185" s="125"/>
      <c r="MAP185" s="125"/>
      <c r="MAQ185" s="125"/>
      <c r="MAR185" s="125"/>
      <c r="MAS185" s="125"/>
      <c r="MAT185" s="125"/>
      <c r="MAU185" s="125"/>
      <c r="MAV185" s="125"/>
      <c r="MAW185" s="125"/>
      <c r="MAX185" s="125"/>
      <c r="MAY185" s="125"/>
      <c r="MAZ185" s="125"/>
      <c r="MBA185" s="125"/>
      <c r="MBB185" s="125"/>
      <c r="MBC185" s="125"/>
      <c r="MBD185" s="125"/>
      <c r="MBE185" s="125"/>
      <c r="MBF185" s="125"/>
      <c r="MBG185" s="125"/>
      <c r="MBH185" s="125"/>
      <c r="MBI185" s="125"/>
      <c r="MBJ185" s="125"/>
      <c r="MBK185" s="125"/>
      <c r="MBL185" s="125"/>
      <c r="MBM185" s="125"/>
      <c r="MBN185" s="125"/>
      <c r="MBO185" s="125"/>
      <c r="MBP185" s="125"/>
      <c r="MBQ185" s="125"/>
      <c r="MBR185" s="125"/>
      <c r="MBS185" s="125"/>
      <c r="MBT185" s="125"/>
      <c r="MBU185" s="125"/>
      <c r="MBV185" s="125"/>
      <c r="MBW185" s="125"/>
      <c r="MBX185" s="125"/>
      <c r="MBY185" s="125"/>
      <c r="MBZ185" s="125"/>
      <c r="MCA185" s="125"/>
      <c r="MCB185" s="125"/>
      <c r="MCC185" s="125"/>
      <c r="MCD185" s="125"/>
      <c r="MCE185" s="125"/>
      <c r="MCF185" s="125"/>
      <c r="MCG185" s="125"/>
      <c r="MCH185" s="125"/>
      <c r="MCI185" s="125"/>
      <c r="MCJ185" s="125"/>
      <c r="MCK185" s="125"/>
      <c r="MCL185" s="125"/>
      <c r="MCM185" s="125"/>
      <c r="MCN185" s="125"/>
      <c r="MCO185" s="125"/>
      <c r="MCP185" s="125"/>
      <c r="MCQ185" s="125"/>
      <c r="MCR185" s="125"/>
      <c r="MCS185" s="125"/>
      <c r="MCT185" s="125"/>
      <c r="MCU185" s="125"/>
      <c r="MCV185" s="125"/>
      <c r="MCW185" s="125"/>
      <c r="MCX185" s="125"/>
      <c r="MCY185" s="125"/>
      <c r="MCZ185" s="125"/>
      <c r="MDA185" s="125"/>
      <c r="MDB185" s="125"/>
      <c r="MDC185" s="125"/>
      <c r="MDD185" s="125"/>
      <c r="MDE185" s="125"/>
      <c r="MDF185" s="125"/>
      <c r="MDG185" s="125"/>
      <c r="MDH185" s="125"/>
      <c r="MDI185" s="125"/>
      <c r="MDJ185" s="125"/>
      <c r="MDK185" s="125"/>
      <c r="MDL185" s="125"/>
      <c r="MDM185" s="125"/>
      <c r="MDN185" s="125"/>
      <c r="MDO185" s="125"/>
      <c r="MDP185" s="125"/>
      <c r="MDQ185" s="125"/>
      <c r="MDR185" s="125"/>
      <c r="MDS185" s="125"/>
      <c r="MDT185" s="125"/>
      <c r="MDU185" s="125"/>
      <c r="MDV185" s="125"/>
      <c r="MDW185" s="125"/>
      <c r="MDX185" s="125"/>
      <c r="MDY185" s="125"/>
      <c r="MDZ185" s="125"/>
      <c r="MEA185" s="125"/>
      <c r="MEB185" s="125"/>
      <c r="MEC185" s="125"/>
      <c r="MED185" s="125"/>
      <c r="MEE185" s="125"/>
      <c r="MEF185" s="125"/>
      <c r="MEG185" s="125"/>
      <c r="MEH185" s="125"/>
      <c r="MEI185" s="125"/>
      <c r="MEJ185" s="125"/>
      <c r="MEK185" s="125"/>
      <c r="MEL185" s="125"/>
      <c r="MEM185" s="125"/>
      <c r="MEN185" s="125"/>
      <c r="MEO185" s="125"/>
      <c r="MEP185" s="125"/>
      <c r="MEQ185" s="125"/>
      <c r="MER185" s="125"/>
      <c r="MES185" s="125"/>
      <c r="MET185" s="125"/>
      <c r="MEU185" s="125"/>
      <c r="MEV185" s="125"/>
      <c r="MEW185" s="125"/>
      <c r="MEX185" s="125"/>
      <c r="MEY185" s="125"/>
      <c r="MEZ185" s="125"/>
      <c r="MFA185" s="125"/>
      <c r="MFB185" s="125"/>
      <c r="MFC185" s="125"/>
      <c r="MFD185" s="125"/>
      <c r="MFE185" s="125"/>
      <c r="MFF185" s="125"/>
      <c r="MFG185" s="125"/>
      <c r="MFH185" s="125"/>
      <c r="MFI185" s="125"/>
      <c r="MFJ185" s="125"/>
      <c r="MFK185" s="125"/>
      <c r="MFL185" s="125"/>
      <c r="MFM185" s="125"/>
      <c r="MFN185" s="125"/>
      <c r="MFO185" s="125"/>
      <c r="MFP185" s="125"/>
      <c r="MFQ185" s="125"/>
      <c r="MFR185" s="125"/>
      <c r="MFS185" s="125"/>
      <c r="MFT185" s="125"/>
      <c r="MFU185" s="125"/>
      <c r="MFV185" s="125"/>
      <c r="MFW185" s="125"/>
      <c r="MFX185" s="125"/>
      <c r="MFY185" s="125"/>
      <c r="MFZ185" s="125"/>
      <c r="MGA185" s="125"/>
      <c r="MGB185" s="125"/>
      <c r="MGC185" s="125"/>
      <c r="MGD185" s="125"/>
      <c r="MGE185" s="125"/>
      <c r="MGF185" s="125"/>
      <c r="MGG185" s="125"/>
      <c r="MGH185" s="125"/>
      <c r="MGI185" s="125"/>
      <c r="MGJ185" s="125"/>
      <c r="MGK185" s="125"/>
      <c r="MGL185" s="125"/>
      <c r="MGM185" s="125"/>
      <c r="MGN185" s="125"/>
      <c r="MGO185" s="125"/>
      <c r="MGP185" s="125"/>
      <c r="MGQ185" s="125"/>
      <c r="MGR185" s="125"/>
      <c r="MGS185" s="125"/>
      <c r="MGT185" s="125"/>
      <c r="MGU185" s="125"/>
      <c r="MGV185" s="125"/>
      <c r="MGW185" s="125"/>
      <c r="MGX185" s="125"/>
      <c r="MGY185" s="125"/>
      <c r="MGZ185" s="125"/>
      <c r="MHA185" s="125"/>
      <c r="MHB185" s="125"/>
      <c r="MHC185" s="125"/>
      <c r="MHD185" s="125"/>
      <c r="MHE185" s="125"/>
      <c r="MHF185" s="125"/>
      <c r="MHG185" s="125"/>
      <c r="MHH185" s="125"/>
      <c r="MHI185" s="125"/>
      <c r="MHJ185" s="125"/>
      <c r="MHK185" s="125"/>
      <c r="MHL185" s="125"/>
      <c r="MHM185" s="125"/>
      <c r="MHN185" s="125"/>
      <c r="MHO185" s="125"/>
      <c r="MHP185" s="125"/>
      <c r="MHQ185" s="125"/>
      <c r="MHR185" s="125"/>
      <c r="MHS185" s="125"/>
      <c r="MHT185" s="125"/>
      <c r="MHU185" s="125"/>
      <c r="MHV185" s="125"/>
      <c r="MHW185" s="125"/>
      <c r="MHX185" s="125"/>
      <c r="MHY185" s="125"/>
      <c r="MHZ185" s="125"/>
      <c r="MIA185" s="125"/>
      <c r="MIB185" s="125"/>
      <c r="MIC185" s="125"/>
      <c r="MID185" s="125"/>
      <c r="MIE185" s="125"/>
      <c r="MIF185" s="125"/>
      <c r="MIG185" s="125"/>
      <c r="MIH185" s="125"/>
      <c r="MII185" s="125"/>
      <c r="MIJ185" s="125"/>
      <c r="MIK185" s="125"/>
      <c r="MIL185" s="125"/>
      <c r="MIM185" s="125"/>
      <c r="MIN185" s="125"/>
      <c r="MIO185" s="125"/>
      <c r="MIP185" s="125"/>
      <c r="MIQ185" s="125"/>
      <c r="MIR185" s="125"/>
      <c r="MIS185" s="125"/>
      <c r="MIT185" s="125"/>
      <c r="MIU185" s="125"/>
      <c r="MIV185" s="125"/>
      <c r="MIW185" s="125"/>
      <c r="MIX185" s="125"/>
      <c r="MIY185" s="125"/>
      <c r="MIZ185" s="125"/>
      <c r="MJA185" s="125"/>
      <c r="MJB185" s="125"/>
      <c r="MJC185" s="125"/>
      <c r="MJD185" s="125"/>
      <c r="MJE185" s="125"/>
      <c r="MJF185" s="125"/>
      <c r="MJG185" s="125"/>
      <c r="MJH185" s="125"/>
      <c r="MJI185" s="125"/>
      <c r="MJJ185" s="125"/>
      <c r="MJK185" s="125"/>
      <c r="MJL185" s="125"/>
      <c r="MJM185" s="125"/>
      <c r="MJN185" s="125"/>
      <c r="MJO185" s="125"/>
      <c r="MJP185" s="125"/>
      <c r="MJQ185" s="125"/>
      <c r="MJR185" s="125"/>
      <c r="MJS185" s="125"/>
      <c r="MJT185" s="125"/>
      <c r="MJU185" s="125"/>
      <c r="MJV185" s="125"/>
      <c r="MJW185" s="125"/>
      <c r="MJX185" s="125"/>
      <c r="MJY185" s="125"/>
      <c r="MJZ185" s="125"/>
      <c r="MKA185" s="125"/>
      <c r="MKB185" s="125"/>
      <c r="MKC185" s="125"/>
      <c r="MKD185" s="125"/>
      <c r="MKE185" s="125"/>
      <c r="MKF185" s="125"/>
      <c r="MKG185" s="125"/>
      <c r="MKH185" s="125"/>
      <c r="MKI185" s="125"/>
      <c r="MKJ185" s="125"/>
      <c r="MKK185" s="125"/>
      <c r="MKL185" s="125"/>
      <c r="MKM185" s="125"/>
      <c r="MKN185" s="125"/>
      <c r="MKO185" s="125"/>
      <c r="MKP185" s="125"/>
      <c r="MKQ185" s="125"/>
      <c r="MKR185" s="125"/>
      <c r="MKS185" s="125"/>
      <c r="MKT185" s="125"/>
      <c r="MKU185" s="125"/>
      <c r="MKV185" s="125"/>
      <c r="MKW185" s="125"/>
      <c r="MKX185" s="125"/>
      <c r="MKY185" s="125"/>
      <c r="MKZ185" s="125"/>
      <c r="MLA185" s="125"/>
      <c r="MLB185" s="125"/>
      <c r="MLC185" s="125"/>
      <c r="MLD185" s="125"/>
      <c r="MLE185" s="125"/>
      <c r="MLF185" s="125"/>
      <c r="MLG185" s="125"/>
      <c r="MLH185" s="125"/>
      <c r="MLI185" s="125"/>
      <c r="MLJ185" s="125"/>
      <c r="MLK185" s="125"/>
      <c r="MLL185" s="125"/>
      <c r="MLM185" s="125"/>
      <c r="MLN185" s="125"/>
      <c r="MLO185" s="125"/>
      <c r="MLP185" s="125"/>
      <c r="MLQ185" s="125"/>
      <c r="MLR185" s="125"/>
      <c r="MLS185" s="125"/>
      <c r="MLT185" s="125"/>
      <c r="MLU185" s="125"/>
      <c r="MLV185" s="125"/>
      <c r="MLW185" s="125"/>
      <c r="MLX185" s="125"/>
      <c r="MLY185" s="125"/>
      <c r="MLZ185" s="125"/>
      <c r="MMA185" s="125"/>
      <c r="MMB185" s="125"/>
      <c r="MMC185" s="125"/>
      <c r="MMD185" s="125"/>
      <c r="MME185" s="125"/>
      <c r="MMF185" s="125"/>
      <c r="MMG185" s="125"/>
      <c r="MMH185" s="125"/>
      <c r="MMI185" s="125"/>
      <c r="MMJ185" s="125"/>
      <c r="MMK185" s="125"/>
      <c r="MML185" s="125"/>
      <c r="MMM185" s="125"/>
      <c r="MMN185" s="125"/>
      <c r="MMO185" s="125"/>
      <c r="MMP185" s="125"/>
      <c r="MMQ185" s="125"/>
      <c r="MMR185" s="125"/>
      <c r="MMS185" s="125"/>
      <c r="MMT185" s="125"/>
      <c r="MMU185" s="125"/>
      <c r="MMV185" s="125"/>
      <c r="MMW185" s="125"/>
      <c r="MMX185" s="125"/>
      <c r="MMY185" s="125"/>
      <c r="MMZ185" s="125"/>
      <c r="MNA185" s="125"/>
      <c r="MNB185" s="125"/>
      <c r="MNC185" s="125"/>
      <c r="MND185" s="125"/>
      <c r="MNE185" s="125"/>
      <c r="MNF185" s="125"/>
      <c r="MNG185" s="125"/>
      <c r="MNH185" s="125"/>
      <c r="MNI185" s="125"/>
      <c r="MNJ185" s="125"/>
      <c r="MNK185" s="125"/>
      <c r="MNL185" s="125"/>
      <c r="MNM185" s="125"/>
      <c r="MNN185" s="125"/>
      <c r="MNO185" s="125"/>
      <c r="MNP185" s="125"/>
      <c r="MNQ185" s="125"/>
      <c r="MNR185" s="125"/>
      <c r="MNS185" s="125"/>
      <c r="MNT185" s="125"/>
      <c r="MNU185" s="125"/>
      <c r="MNV185" s="125"/>
      <c r="MNW185" s="125"/>
      <c r="MNX185" s="125"/>
      <c r="MNY185" s="125"/>
      <c r="MNZ185" s="125"/>
      <c r="MOA185" s="125"/>
      <c r="MOB185" s="125"/>
      <c r="MOC185" s="125"/>
      <c r="MOD185" s="125"/>
      <c r="MOE185" s="125"/>
      <c r="MOF185" s="125"/>
      <c r="MOG185" s="125"/>
      <c r="MOH185" s="125"/>
      <c r="MOI185" s="125"/>
      <c r="MOJ185" s="125"/>
      <c r="MOK185" s="125"/>
      <c r="MOL185" s="125"/>
      <c r="MOM185" s="125"/>
      <c r="MON185" s="125"/>
      <c r="MOO185" s="125"/>
      <c r="MOP185" s="125"/>
      <c r="MOQ185" s="125"/>
      <c r="MOR185" s="125"/>
      <c r="MOS185" s="125"/>
      <c r="MOT185" s="125"/>
      <c r="MOU185" s="125"/>
      <c r="MOV185" s="125"/>
      <c r="MOW185" s="125"/>
      <c r="MOX185" s="125"/>
      <c r="MOY185" s="125"/>
      <c r="MOZ185" s="125"/>
      <c r="MPA185" s="125"/>
      <c r="MPB185" s="125"/>
      <c r="MPC185" s="125"/>
      <c r="MPD185" s="125"/>
      <c r="MPE185" s="125"/>
      <c r="MPF185" s="125"/>
      <c r="MPG185" s="125"/>
      <c r="MPH185" s="125"/>
      <c r="MPI185" s="125"/>
      <c r="MPJ185" s="125"/>
      <c r="MPK185" s="125"/>
      <c r="MPL185" s="125"/>
      <c r="MPM185" s="125"/>
      <c r="MPN185" s="125"/>
      <c r="MPO185" s="125"/>
      <c r="MPP185" s="125"/>
      <c r="MPQ185" s="125"/>
      <c r="MPR185" s="125"/>
      <c r="MPS185" s="125"/>
      <c r="MPT185" s="125"/>
      <c r="MPU185" s="125"/>
      <c r="MPV185" s="125"/>
      <c r="MPW185" s="125"/>
      <c r="MPX185" s="125"/>
      <c r="MPY185" s="125"/>
      <c r="MPZ185" s="125"/>
      <c r="MQA185" s="125"/>
      <c r="MQB185" s="125"/>
      <c r="MQC185" s="125"/>
      <c r="MQD185" s="125"/>
      <c r="MQE185" s="125"/>
      <c r="MQF185" s="125"/>
      <c r="MQG185" s="125"/>
      <c r="MQH185" s="125"/>
      <c r="MQI185" s="125"/>
      <c r="MQJ185" s="125"/>
      <c r="MQK185" s="125"/>
      <c r="MQL185" s="125"/>
      <c r="MQM185" s="125"/>
      <c r="MQN185" s="125"/>
      <c r="MQO185" s="125"/>
      <c r="MQP185" s="125"/>
      <c r="MQQ185" s="125"/>
      <c r="MQR185" s="125"/>
      <c r="MQS185" s="125"/>
      <c r="MQT185" s="125"/>
      <c r="MQU185" s="125"/>
      <c r="MQV185" s="125"/>
      <c r="MQW185" s="125"/>
      <c r="MQX185" s="125"/>
      <c r="MQY185" s="125"/>
      <c r="MQZ185" s="125"/>
      <c r="MRA185" s="125"/>
      <c r="MRB185" s="125"/>
      <c r="MRC185" s="125"/>
      <c r="MRD185" s="125"/>
      <c r="MRE185" s="125"/>
      <c r="MRF185" s="125"/>
      <c r="MRG185" s="125"/>
      <c r="MRH185" s="125"/>
      <c r="MRI185" s="125"/>
      <c r="MRJ185" s="125"/>
      <c r="MRK185" s="125"/>
      <c r="MRL185" s="125"/>
      <c r="MRM185" s="125"/>
      <c r="MRN185" s="125"/>
      <c r="MRO185" s="125"/>
      <c r="MRP185" s="125"/>
      <c r="MRQ185" s="125"/>
      <c r="MRR185" s="125"/>
      <c r="MRS185" s="125"/>
      <c r="MRT185" s="125"/>
      <c r="MRU185" s="125"/>
      <c r="MRV185" s="125"/>
      <c r="MRW185" s="125"/>
      <c r="MRX185" s="125"/>
      <c r="MRY185" s="125"/>
      <c r="MRZ185" s="125"/>
      <c r="MSA185" s="125"/>
      <c r="MSB185" s="125"/>
      <c r="MSC185" s="125"/>
      <c r="MSD185" s="125"/>
      <c r="MSE185" s="125"/>
      <c r="MSF185" s="125"/>
      <c r="MSG185" s="125"/>
      <c r="MSH185" s="125"/>
      <c r="MSI185" s="125"/>
      <c r="MSJ185" s="125"/>
      <c r="MSK185" s="125"/>
      <c r="MSL185" s="125"/>
      <c r="MSM185" s="125"/>
      <c r="MSN185" s="125"/>
      <c r="MSO185" s="125"/>
      <c r="MSP185" s="125"/>
      <c r="MSQ185" s="125"/>
      <c r="MSR185" s="125"/>
      <c r="MSS185" s="125"/>
      <c r="MST185" s="125"/>
      <c r="MSU185" s="125"/>
      <c r="MSV185" s="125"/>
      <c r="MSW185" s="125"/>
      <c r="MSX185" s="125"/>
      <c r="MSY185" s="125"/>
      <c r="MSZ185" s="125"/>
      <c r="MTA185" s="125"/>
      <c r="MTB185" s="125"/>
      <c r="MTC185" s="125"/>
      <c r="MTD185" s="125"/>
      <c r="MTE185" s="125"/>
      <c r="MTF185" s="125"/>
      <c r="MTG185" s="125"/>
      <c r="MTH185" s="125"/>
      <c r="MTI185" s="125"/>
      <c r="MTJ185" s="125"/>
      <c r="MTK185" s="125"/>
      <c r="MTL185" s="125"/>
      <c r="MTM185" s="125"/>
      <c r="MTN185" s="125"/>
      <c r="MTO185" s="125"/>
      <c r="MTP185" s="125"/>
      <c r="MTQ185" s="125"/>
      <c r="MTR185" s="125"/>
      <c r="MTS185" s="125"/>
      <c r="MTT185" s="125"/>
      <c r="MTU185" s="125"/>
      <c r="MTV185" s="125"/>
      <c r="MTW185" s="125"/>
      <c r="MTX185" s="125"/>
      <c r="MTY185" s="125"/>
      <c r="MTZ185" s="125"/>
      <c r="MUA185" s="125"/>
      <c r="MUB185" s="125"/>
      <c r="MUC185" s="125"/>
      <c r="MUD185" s="125"/>
      <c r="MUE185" s="125"/>
      <c r="MUF185" s="125"/>
      <c r="MUG185" s="125"/>
      <c r="MUH185" s="125"/>
      <c r="MUI185" s="125"/>
      <c r="MUJ185" s="125"/>
      <c r="MUK185" s="125"/>
      <c r="MUL185" s="125"/>
      <c r="MUM185" s="125"/>
      <c r="MUN185" s="125"/>
      <c r="MUO185" s="125"/>
      <c r="MUP185" s="125"/>
      <c r="MUQ185" s="125"/>
      <c r="MUR185" s="125"/>
      <c r="MUS185" s="125"/>
      <c r="MUT185" s="125"/>
      <c r="MUU185" s="125"/>
      <c r="MUV185" s="125"/>
      <c r="MUW185" s="125"/>
      <c r="MUX185" s="125"/>
      <c r="MUY185" s="125"/>
      <c r="MUZ185" s="125"/>
      <c r="MVA185" s="125"/>
      <c r="MVB185" s="125"/>
      <c r="MVC185" s="125"/>
      <c r="MVD185" s="125"/>
      <c r="MVE185" s="125"/>
      <c r="MVF185" s="125"/>
      <c r="MVG185" s="125"/>
      <c r="MVH185" s="125"/>
      <c r="MVI185" s="125"/>
      <c r="MVJ185" s="125"/>
      <c r="MVK185" s="125"/>
      <c r="MVL185" s="125"/>
      <c r="MVM185" s="125"/>
      <c r="MVN185" s="125"/>
      <c r="MVO185" s="125"/>
      <c r="MVP185" s="125"/>
      <c r="MVQ185" s="125"/>
      <c r="MVR185" s="125"/>
      <c r="MVS185" s="125"/>
      <c r="MVT185" s="125"/>
      <c r="MVU185" s="125"/>
      <c r="MVV185" s="125"/>
      <c r="MVW185" s="125"/>
      <c r="MVX185" s="125"/>
      <c r="MVY185" s="125"/>
      <c r="MVZ185" s="125"/>
      <c r="MWA185" s="125"/>
      <c r="MWB185" s="125"/>
      <c r="MWC185" s="125"/>
      <c r="MWD185" s="125"/>
      <c r="MWE185" s="125"/>
      <c r="MWF185" s="125"/>
      <c r="MWG185" s="125"/>
      <c r="MWH185" s="125"/>
      <c r="MWI185" s="125"/>
      <c r="MWJ185" s="125"/>
      <c r="MWK185" s="125"/>
      <c r="MWL185" s="125"/>
      <c r="MWM185" s="125"/>
      <c r="MWN185" s="125"/>
      <c r="MWO185" s="125"/>
      <c r="MWP185" s="125"/>
      <c r="MWQ185" s="125"/>
      <c r="MWR185" s="125"/>
      <c r="MWS185" s="125"/>
      <c r="MWT185" s="125"/>
      <c r="MWU185" s="125"/>
      <c r="MWV185" s="125"/>
      <c r="MWW185" s="125"/>
      <c r="MWX185" s="125"/>
      <c r="MWY185" s="125"/>
      <c r="MWZ185" s="125"/>
      <c r="MXA185" s="125"/>
      <c r="MXB185" s="125"/>
      <c r="MXC185" s="125"/>
      <c r="MXD185" s="125"/>
      <c r="MXE185" s="125"/>
      <c r="MXF185" s="125"/>
      <c r="MXG185" s="125"/>
      <c r="MXH185" s="125"/>
      <c r="MXI185" s="125"/>
      <c r="MXJ185" s="125"/>
      <c r="MXK185" s="125"/>
      <c r="MXL185" s="125"/>
      <c r="MXM185" s="125"/>
      <c r="MXN185" s="125"/>
      <c r="MXO185" s="125"/>
      <c r="MXP185" s="125"/>
      <c r="MXQ185" s="125"/>
      <c r="MXR185" s="125"/>
      <c r="MXS185" s="125"/>
      <c r="MXT185" s="125"/>
      <c r="MXU185" s="125"/>
      <c r="MXV185" s="125"/>
      <c r="MXW185" s="125"/>
      <c r="MXX185" s="125"/>
      <c r="MXY185" s="125"/>
      <c r="MXZ185" s="125"/>
      <c r="MYA185" s="125"/>
      <c r="MYB185" s="125"/>
      <c r="MYC185" s="125"/>
      <c r="MYD185" s="125"/>
      <c r="MYE185" s="125"/>
      <c r="MYF185" s="125"/>
      <c r="MYG185" s="125"/>
      <c r="MYH185" s="125"/>
      <c r="MYI185" s="125"/>
      <c r="MYJ185" s="125"/>
      <c r="MYK185" s="125"/>
      <c r="MYL185" s="125"/>
      <c r="MYM185" s="125"/>
      <c r="MYN185" s="125"/>
      <c r="MYO185" s="125"/>
      <c r="MYP185" s="125"/>
      <c r="MYQ185" s="125"/>
      <c r="MYR185" s="125"/>
      <c r="MYS185" s="125"/>
      <c r="MYT185" s="125"/>
      <c r="MYU185" s="125"/>
      <c r="MYV185" s="125"/>
      <c r="MYW185" s="125"/>
      <c r="MYX185" s="125"/>
      <c r="MYY185" s="125"/>
      <c r="MYZ185" s="125"/>
      <c r="MZA185" s="125"/>
      <c r="MZB185" s="125"/>
      <c r="MZC185" s="125"/>
      <c r="MZD185" s="125"/>
      <c r="MZE185" s="125"/>
      <c r="MZF185" s="125"/>
      <c r="MZG185" s="125"/>
      <c r="MZH185" s="125"/>
      <c r="MZI185" s="125"/>
      <c r="MZJ185" s="125"/>
      <c r="MZK185" s="125"/>
      <c r="MZL185" s="125"/>
      <c r="MZM185" s="125"/>
      <c r="MZN185" s="125"/>
      <c r="MZO185" s="125"/>
      <c r="MZP185" s="125"/>
      <c r="MZQ185" s="125"/>
      <c r="MZR185" s="125"/>
      <c r="MZS185" s="125"/>
      <c r="MZT185" s="125"/>
      <c r="MZU185" s="125"/>
      <c r="MZV185" s="125"/>
      <c r="MZW185" s="125"/>
      <c r="MZX185" s="125"/>
      <c r="MZY185" s="125"/>
      <c r="MZZ185" s="125"/>
      <c r="NAA185" s="125"/>
      <c r="NAB185" s="125"/>
      <c r="NAC185" s="125"/>
      <c r="NAD185" s="125"/>
      <c r="NAE185" s="125"/>
      <c r="NAF185" s="125"/>
      <c r="NAG185" s="125"/>
      <c r="NAH185" s="125"/>
      <c r="NAI185" s="125"/>
      <c r="NAJ185" s="125"/>
      <c r="NAK185" s="125"/>
      <c r="NAL185" s="125"/>
      <c r="NAM185" s="125"/>
      <c r="NAN185" s="125"/>
      <c r="NAO185" s="125"/>
      <c r="NAP185" s="125"/>
      <c r="NAQ185" s="125"/>
      <c r="NAR185" s="125"/>
      <c r="NAS185" s="125"/>
      <c r="NAT185" s="125"/>
      <c r="NAU185" s="125"/>
      <c r="NAV185" s="125"/>
      <c r="NAW185" s="125"/>
      <c r="NAX185" s="125"/>
      <c r="NAY185" s="125"/>
      <c r="NAZ185" s="125"/>
      <c r="NBA185" s="125"/>
      <c r="NBB185" s="125"/>
      <c r="NBC185" s="125"/>
      <c r="NBD185" s="125"/>
      <c r="NBE185" s="125"/>
      <c r="NBF185" s="125"/>
      <c r="NBG185" s="125"/>
      <c r="NBH185" s="125"/>
      <c r="NBI185" s="125"/>
      <c r="NBJ185" s="125"/>
      <c r="NBK185" s="125"/>
      <c r="NBL185" s="125"/>
      <c r="NBM185" s="125"/>
      <c r="NBN185" s="125"/>
      <c r="NBO185" s="125"/>
      <c r="NBP185" s="125"/>
      <c r="NBQ185" s="125"/>
      <c r="NBR185" s="125"/>
      <c r="NBS185" s="125"/>
      <c r="NBT185" s="125"/>
      <c r="NBU185" s="125"/>
      <c r="NBV185" s="125"/>
      <c r="NBW185" s="125"/>
      <c r="NBX185" s="125"/>
      <c r="NBY185" s="125"/>
      <c r="NBZ185" s="125"/>
      <c r="NCA185" s="125"/>
      <c r="NCB185" s="125"/>
      <c r="NCC185" s="125"/>
      <c r="NCD185" s="125"/>
      <c r="NCE185" s="125"/>
      <c r="NCF185" s="125"/>
      <c r="NCG185" s="125"/>
      <c r="NCH185" s="125"/>
      <c r="NCI185" s="125"/>
      <c r="NCJ185" s="125"/>
      <c r="NCK185" s="125"/>
      <c r="NCL185" s="125"/>
      <c r="NCM185" s="125"/>
      <c r="NCN185" s="125"/>
      <c r="NCO185" s="125"/>
      <c r="NCP185" s="125"/>
      <c r="NCQ185" s="125"/>
      <c r="NCR185" s="125"/>
      <c r="NCS185" s="125"/>
      <c r="NCT185" s="125"/>
      <c r="NCU185" s="125"/>
      <c r="NCV185" s="125"/>
      <c r="NCW185" s="125"/>
      <c r="NCX185" s="125"/>
      <c r="NCY185" s="125"/>
      <c r="NCZ185" s="125"/>
      <c r="NDA185" s="125"/>
      <c r="NDB185" s="125"/>
      <c r="NDC185" s="125"/>
      <c r="NDD185" s="125"/>
      <c r="NDE185" s="125"/>
      <c r="NDF185" s="125"/>
      <c r="NDG185" s="125"/>
      <c r="NDH185" s="125"/>
      <c r="NDI185" s="125"/>
      <c r="NDJ185" s="125"/>
      <c r="NDK185" s="125"/>
      <c r="NDL185" s="125"/>
      <c r="NDM185" s="125"/>
      <c r="NDN185" s="125"/>
      <c r="NDO185" s="125"/>
      <c r="NDP185" s="125"/>
      <c r="NDQ185" s="125"/>
      <c r="NDR185" s="125"/>
      <c r="NDS185" s="125"/>
      <c r="NDT185" s="125"/>
      <c r="NDU185" s="125"/>
      <c r="NDV185" s="125"/>
      <c r="NDW185" s="125"/>
      <c r="NDX185" s="125"/>
      <c r="NDY185" s="125"/>
      <c r="NDZ185" s="125"/>
      <c r="NEA185" s="125"/>
      <c r="NEB185" s="125"/>
      <c r="NEC185" s="125"/>
      <c r="NED185" s="125"/>
      <c r="NEE185" s="125"/>
      <c r="NEF185" s="125"/>
      <c r="NEG185" s="125"/>
      <c r="NEH185" s="125"/>
      <c r="NEI185" s="125"/>
      <c r="NEJ185" s="125"/>
      <c r="NEK185" s="125"/>
      <c r="NEL185" s="125"/>
      <c r="NEM185" s="125"/>
      <c r="NEN185" s="125"/>
      <c r="NEO185" s="125"/>
      <c r="NEP185" s="125"/>
      <c r="NEQ185" s="125"/>
      <c r="NER185" s="125"/>
      <c r="NES185" s="125"/>
      <c r="NET185" s="125"/>
      <c r="NEU185" s="125"/>
      <c r="NEV185" s="125"/>
      <c r="NEW185" s="125"/>
      <c r="NEX185" s="125"/>
      <c r="NEY185" s="125"/>
      <c r="NEZ185" s="125"/>
      <c r="NFA185" s="125"/>
      <c r="NFB185" s="125"/>
      <c r="NFC185" s="125"/>
      <c r="NFD185" s="125"/>
      <c r="NFE185" s="125"/>
      <c r="NFF185" s="125"/>
      <c r="NFG185" s="125"/>
      <c r="NFH185" s="125"/>
      <c r="NFI185" s="125"/>
      <c r="NFJ185" s="125"/>
      <c r="NFK185" s="125"/>
      <c r="NFL185" s="125"/>
      <c r="NFM185" s="125"/>
      <c r="NFN185" s="125"/>
      <c r="NFO185" s="125"/>
      <c r="NFP185" s="125"/>
      <c r="NFQ185" s="125"/>
      <c r="NFR185" s="125"/>
      <c r="NFS185" s="125"/>
      <c r="NFT185" s="125"/>
      <c r="NFU185" s="125"/>
      <c r="NFV185" s="125"/>
      <c r="NFW185" s="125"/>
      <c r="NFX185" s="125"/>
      <c r="NFY185" s="125"/>
      <c r="NFZ185" s="125"/>
      <c r="NGA185" s="125"/>
      <c r="NGB185" s="125"/>
      <c r="NGC185" s="125"/>
      <c r="NGD185" s="125"/>
      <c r="NGE185" s="125"/>
      <c r="NGF185" s="125"/>
      <c r="NGG185" s="125"/>
      <c r="NGH185" s="125"/>
      <c r="NGI185" s="125"/>
      <c r="NGJ185" s="125"/>
      <c r="NGK185" s="125"/>
      <c r="NGL185" s="125"/>
      <c r="NGM185" s="125"/>
      <c r="NGN185" s="125"/>
      <c r="NGO185" s="125"/>
      <c r="NGP185" s="125"/>
      <c r="NGQ185" s="125"/>
      <c r="NGR185" s="125"/>
      <c r="NGS185" s="125"/>
      <c r="NGT185" s="125"/>
      <c r="NGU185" s="125"/>
      <c r="NGV185" s="125"/>
      <c r="NGW185" s="125"/>
      <c r="NGX185" s="125"/>
      <c r="NGY185" s="125"/>
      <c r="NGZ185" s="125"/>
      <c r="NHA185" s="125"/>
      <c r="NHB185" s="125"/>
      <c r="NHC185" s="125"/>
      <c r="NHD185" s="125"/>
      <c r="NHE185" s="125"/>
      <c r="NHF185" s="125"/>
      <c r="NHG185" s="125"/>
      <c r="NHH185" s="125"/>
      <c r="NHI185" s="125"/>
      <c r="NHJ185" s="125"/>
      <c r="NHK185" s="125"/>
      <c r="NHL185" s="125"/>
      <c r="NHM185" s="125"/>
      <c r="NHN185" s="125"/>
      <c r="NHO185" s="125"/>
      <c r="NHP185" s="125"/>
      <c r="NHQ185" s="125"/>
      <c r="NHR185" s="125"/>
      <c r="NHS185" s="125"/>
      <c r="NHT185" s="125"/>
      <c r="NHU185" s="125"/>
      <c r="NHV185" s="125"/>
      <c r="NHW185" s="125"/>
      <c r="NHX185" s="125"/>
      <c r="NHY185" s="125"/>
      <c r="NHZ185" s="125"/>
      <c r="NIA185" s="125"/>
      <c r="NIB185" s="125"/>
      <c r="NIC185" s="125"/>
      <c r="NID185" s="125"/>
      <c r="NIE185" s="125"/>
      <c r="NIF185" s="125"/>
      <c r="NIG185" s="125"/>
      <c r="NIH185" s="125"/>
      <c r="NII185" s="125"/>
      <c r="NIJ185" s="125"/>
      <c r="NIK185" s="125"/>
      <c r="NIL185" s="125"/>
      <c r="NIM185" s="125"/>
      <c r="NIN185" s="125"/>
      <c r="NIO185" s="125"/>
      <c r="NIP185" s="125"/>
      <c r="NIQ185" s="125"/>
      <c r="NIR185" s="125"/>
      <c r="NIS185" s="125"/>
      <c r="NIT185" s="125"/>
      <c r="NIU185" s="125"/>
      <c r="NIV185" s="125"/>
      <c r="NIW185" s="125"/>
      <c r="NIX185" s="125"/>
      <c r="NIY185" s="125"/>
      <c r="NIZ185" s="125"/>
      <c r="NJA185" s="125"/>
      <c r="NJB185" s="125"/>
      <c r="NJC185" s="125"/>
      <c r="NJD185" s="125"/>
      <c r="NJE185" s="125"/>
      <c r="NJF185" s="125"/>
      <c r="NJG185" s="125"/>
      <c r="NJH185" s="125"/>
      <c r="NJI185" s="125"/>
      <c r="NJJ185" s="125"/>
      <c r="NJK185" s="125"/>
      <c r="NJL185" s="125"/>
      <c r="NJM185" s="125"/>
      <c r="NJN185" s="125"/>
      <c r="NJO185" s="125"/>
      <c r="NJP185" s="125"/>
      <c r="NJQ185" s="125"/>
      <c r="NJR185" s="125"/>
      <c r="NJS185" s="125"/>
      <c r="NJT185" s="125"/>
      <c r="NJU185" s="125"/>
      <c r="NJV185" s="125"/>
      <c r="NJW185" s="125"/>
      <c r="NJX185" s="125"/>
      <c r="NJY185" s="125"/>
      <c r="NJZ185" s="125"/>
      <c r="NKA185" s="125"/>
      <c r="NKB185" s="125"/>
      <c r="NKC185" s="125"/>
      <c r="NKD185" s="125"/>
      <c r="NKE185" s="125"/>
      <c r="NKF185" s="125"/>
      <c r="NKG185" s="125"/>
      <c r="NKH185" s="125"/>
      <c r="NKI185" s="125"/>
      <c r="NKJ185" s="125"/>
      <c r="NKK185" s="125"/>
      <c r="NKL185" s="125"/>
      <c r="NKM185" s="125"/>
      <c r="NKN185" s="125"/>
      <c r="NKO185" s="125"/>
      <c r="NKP185" s="125"/>
      <c r="NKQ185" s="125"/>
      <c r="NKR185" s="125"/>
      <c r="NKS185" s="125"/>
      <c r="NKT185" s="125"/>
      <c r="NKU185" s="125"/>
      <c r="NKV185" s="125"/>
      <c r="NKW185" s="125"/>
      <c r="NKX185" s="125"/>
      <c r="NKY185" s="125"/>
      <c r="NKZ185" s="125"/>
      <c r="NLA185" s="125"/>
      <c r="NLB185" s="125"/>
      <c r="NLC185" s="125"/>
      <c r="NLD185" s="125"/>
      <c r="NLE185" s="125"/>
      <c r="NLF185" s="125"/>
      <c r="NLG185" s="125"/>
      <c r="NLH185" s="125"/>
      <c r="NLI185" s="125"/>
      <c r="NLJ185" s="125"/>
      <c r="NLK185" s="125"/>
      <c r="NLL185" s="125"/>
      <c r="NLM185" s="125"/>
      <c r="NLN185" s="125"/>
      <c r="NLO185" s="125"/>
      <c r="NLP185" s="125"/>
      <c r="NLQ185" s="125"/>
      <c r="NLR185" s="125"/>
      <c r="NLS185" s="125"/>
      <c r="NLT185" s="125"/>
      <c r="NLU185" s="125"/>
      <c r="NLV185" s="125"/>
      <c r="NLW185" s="125"/>
      <c r="NLX185" s="125"/>
      <c r="NLY185" s="125"/>
      <c r="NLZ185" s="125"/>
      <c r="NMA185" s="125"/>
      <c r="NMB185" s="125"/>
      <c r="NMC185" s="125"/>
      <c r="NMD185" s="125"/>
      <c r="NME185" s="125"/>
      <c r="NMF185" s="125"/>
      <c r="NMG185" s="125"/>
      <c r="NMH185" s="125"/>
      <c r="NMI185" s="125"/>
      <c r="NMJ185" s="125"/>
      <c r="NMK185" s="125"/>
      <c r="NML185" s="125"/>
      <c r="NMM185" s="125"/>
      <c r="NMN185" s="125"/>
      <c r="NMO185" s="125"/>
      <c r="NMP185" s="125"/>
      <c r="NMQ185" s="125"/>
      <c r="NMR185" s="125"/>
      <c r="NMS185" s="125"/>
      <c r="NMT185" s="125"/>
      <c r="NMU185" s="125"/>
      <c r="NMV185" s="125"/>
      <c r="NMW185" s="125"/>
      <c r="NMX185" s="125"/>
      <c r="NMY185" s="125"/>
      <c r="NMZ185" s="125"/>
      <c r="NNA185" s="125"/>
      <c r="NNB185" s="125"/>
      <c r="NNC185" s="125"/>
      <c r="NND185" s="125"/>
      <c r="NNE185" s="125"/>
      <c r="NNF185" s="125"/>
      <c r="NNG185" s="125"/>
      <c r="NNH185" s="125"/>
      <c r="NNI185" s="125"/>
      <c r="NNJ185" s="125"/>
      <c r="NNK185" s="125"/>
      <c r="NNL185" s="125"/>
      <c r="NNM185" s="125"/>
      <c r="NNN185" s="125"/>
      <c r="NNO185" s="125"/>
      <c r="NNP185" s="125"/>
      <c r="NNQ185" s="125"/>
      <c r="NNR185" s="125"/>
      <c r="NNS185" s="125"/>
      <c r="NNT185" s="125"/>
      <c r="NNU185" s="125"/>
      <c r="NNV185" s="125"/>
      <c r="NNW185" s="125"/>
      <c r="NNX185" s="125"/>
      <c r="NNY185" s="125"/>
      <c r="NNZ185" s="125"/>
      <c r="NOA185" s="125"/>
      <c r="NOB185" s="125"/>
      <c r="NOC185" s="125"/>
      <c r="NOD185" s="125"/>
      <c r="NOE185" s="125"/>
      <c r="NOF185" s="125"/>
      <c r="NOG185" s="125"/>
      <c r="NOH185" s="125"/>
      <c r="NOI185" s="125"/>
      <c r="NOJ185" s="125"/>
      <c r="NOK185" s="125"/>
      <c r="NOL185" s="125"/>
      <c r="NOM185" s="125"/>
      <c r="NON185" s="125"/>
      <c r="NOO185" s="125"/>
      <c r="NOP185" s="125"/>
      <c r="NOQ185" s="125"/>
      <c r="NOR185" s="125"/>
      <c r="NOS185" s="125"/>
      <c r="NOT185" s="125"/>
      <c r="NOU185" s="125"/>
      <c r="NOV185" s="125"/>
      <c r="NOW185" s="125"/>
      <c r="NOX185" s="125"/>
      <c r="NOY185" s="125"/>
      <c r="NOZ185" s="125"/>
      <c r="NPA185" s="125"/>
      <c r="NPB185" s="125"/>
      <c r="NPC185" s="125"/>
      <c r="NPD185" s="125"/>
      <c r="NPE185" s="125"/>
      <c r="NPF185" s="125"/>
      <c r="NPG185" s="125"/>
      <c r="NPH185" s="125"/>
      <c r="NPI185" s="125"/>
      <c r="NPJ185" s="125"/>
      <c r="NPK185" s="125"/>
      <c r="NPL185" s="125"/>
      <c r="NPM185" s="125"/>
      <c r="NPN185" s="125"/>
      <c r="NPO185" s="125"/>
      <c r="NPP185" s="125"/>
      <c r="NPQ185" s="125"/>
      <c r="NPR185" s="125"/>
      <c r="NPS185" s="125"/>
      <c r="NPT185" s="125"/>
      <c r="NPU185" s="125"/>
      <c r="NPV185" s="125"/>
      <c r="NPW185" s="125"/>
      <c r="NPX185" s="125"/>
      <c r="NPY185" s="125"/>
      <c r="NPZ185" s="125"/>
      <c r="NQA185" s="125"/>
      <c r="NQB185" s="125"/>
      <c r="NQC185" s="125"/>
      <c r="NQD185" s="125"/>
      <c r="NQE185" s="125"/>
      <c r="NQF185" s="125"/>
      <c r="NQG185" s="125"/>
      <c r="NQH185" s="125"/>
      <c r="NQI185" s="125"/>
      <c r="NQJ185" s="125"/>
      <c r="NQK185" s="125"/>
      <c r="NQL185" s="125"/>
      <c r="NQM185" s="125"/>
      <c r="NQN185" s="125"/>
      <c r="NQO185" s="125"/>
      <c r="NQP185" s="125"/>
      <c r="NQQ185" s="125"/>
      <c r="NQR185" s="125"/>
      <c r="NQS185" s="125"/>
      <c r="NQT185" s="125"/>
      <c r="NQU185" s="125"/>
      <c r="NQV185" s="125"/>
      <c r="NQW185" s="125"/>
      <c r="NQX185" s="125"/>
      <c r="NQY185" s="125"/>
      <c r="NQZ185" s="125"/>
      <c r="NRA185" s="125"/>
      <c r="NRB185" s="125"/>
      <c r="NRC185" s="125"/>
      <c r="NRD185" s="125"/>
      <c r="NRE185" s="125"/>
      <c r="NRF185" s="125"/>
      <c r="NRG185" s="125"/>
      <c r="NRH185" s="125"/>
      <c r="NRI185" s="125"/>
      <c r="NRJ185" s="125"/>
      <c r="NRK185" s="125"/>
      <c r="NRL185" s="125"/>
      <c r="NRM185" s="125"/>
      <c r="NRN185" s="125"/>
      <c r="NRO185" s="125"/>
      <c r="NRP185" s="125"/>
      <c r="NRQ185" s="125"/>
      <c r="NRR185" s="125"/>
      <c r="NRS185" s="125"/>
      <c r="NRT185" s="125"/>
      <c r="NRU185" s="125"/>
      <c r="NRV185" s="125"/>
      <c r="NRW185" s="125"/>
      <c r="NRX185" s="125"/>
      <c r="NRY185" s="125"/>
      <c r="NRZ185" s="125"/>
      <c r="NSA185" s="125"/>
      <c r="NSB185" s="125"/>
      <c r="NSC185" s="125"/>
      <c r="NSD185" s="125"/>
      <c r="NSE185" s="125"/>
      <c r="NSF185" s="125"/>
      <c r="NSG185" s="125"/>
      <c r="NSH185" s="125"/>
      <c r="NSI185" s="125"/>
      <c r="NSJ185" s="125"/>
      <c r="NSK185" s="125"/>
      <c r="NSL185" s="125"/>
      <c r="NSM185" s="125"/>
      <c r="NSN185" s="125"/>
      <c r="NSO185" s="125"/>
      <c r="NSP185" s="125"/>
      <c r="NSQ185" s="125"/>
      <c r="NSR185" s="125"/>
      <c r="NSS185" s="125"/>
      <c r="NST185" s="125"/>
      <c r="NSU185" s="125"/>
      <c r="NSV185" s="125"/>
      <c r="NSW185" s="125"/>
      <c r="NSX185" s="125"/>
      <c r="NSY185" s="125"/>
      <c r="NSZ185" s="125"/>
      <c r="NTA185" s="125"/>
      <c r="NTB185" s="125"/>
      <c r="NTC185" s="125"/>
      <c r="NTD185" s="125"/>
      <c r="NTE185" s="125"/>
      <c r="NTF185" s="125"/>
      <c r="NTG185" s="125"/>
      <c r="NTH185" s="125"/>
      <c r="NTI185" s="125"/>
      <c r="NTJ185" s="125"/>
      <c r="NTK185" s="125"/>
      <c r="NTL185" s="125"/>
      <c r="NTM185" s="125"/>
      <c r="NTN185" s="125"/>
      <c r="NTO185" s="125"/>
      <c r="NTP185" s="125"/>
      <c r="NTQ185" s="125"/>
      <c r="NTR185" s="125"/>
      <c r="NTS185" s="125"/>
      <c r="NTT185" s="125"/>
      <c r="NTU185" s="125"/>
      <c r="NTV185" s="125"/>
      <c r="NTW185" s="125"/>
      <c r="NTX185" s="125"/>
      <c r="NTY185" s="125"/>
      <c r="NTZ185" s="125"/>
      <c r="NUA185" s="125"/>
      <c r="NUB185" s="125"/>
      <c r="NUC185" s="125"/>
      <c r="NUD185" s="125"/>
      <c r="NUE185" s="125"/>
      <c r="NUF185" s="125"/>
      <c r="NUG185" s="125"/>
      <c r="NUH185" s="125"/>
      <c r="NUI185" s="125"/>
      <c r="NUJ185" s="125"/>
      <c r="NUK185" s="125"/>
      <c r="NUL185" s="125"/>
      <c r="NUM185" s="125"/>
      <c r="NUN185" s="125"/>
      <c r="NUO185" s="125"/>
      <c r="NUP185" s="125"/>
      <c r="NUQ185" s="125"/>
      <c r="NUR185" s="125"/>
      <c r="NUS185" s="125"/>
      <c r="NUT185" s="125"/>
      <c r="NUU185" s="125"/>
      <c r="NUV185" s="125"/>
      <c r="NUW185" s="125"/>
      <c r="NUX185" s="125"/>
      <c r="NUY185" s="125"/>
      <c r="NUZ185" s="125"/>
      <c r="NVA185" s="125"/>
      <c r="NVB185" s="125"/>
      <c r="NVC185" s="125"/>
      <c r="NVD185" s="125"/>
      <c r="NVE185" s="125"/>
      <c r="NVF185" s="125"/>
      <c r="NVG185" s="125"/>
      <c r="NVH185" s="125"/>
      <c r="NVI185" s="125"/>
      <c r="NVJ185" s="125"/>
      <c r="NVK185" s="125"/>
      <c r="NVL185" s="125"/>
      <c r="NVM185" s="125"/>
      <c r="NVN185" s="125"/>
      <c r="NVO185" s="125"/>
      <c r="NVP185" s="125"/>
      <c r="NVQ185" s="125"/>
      <c r="NVR185" s="125"/>
      <c r="NVS185" s="125"/>
      <c r="NVT185" s="125"/>
      <c r="NVU185" s="125"/>
      <c r="NVV185" s="125"/>
      <c r="NVW185" s="125"/>
      <c r="NVX185" s="125"/>
      <c r="NVY185" s="125"/>
      <c r="NVZ185" s="125"/>
      <c r="NWA185" s="125"/>
      <c r="NWB185" s="125"/>
      <c r="NWC185" s="125"/>
      <c r="NWD185" s="125"/>
      <c r="NWE185" s="125"/>
      <c r="NWF185" s="125"/>
      <c r="NWG185" s="125"/>
      <c r="NWH185" s="125"/>
      <c r="NWI185" s="125"/>
      <c r="NWJ185" s="125"/>
      <c r="NWK185" s="125"/>
      <c r="NWL185" s="125"/>
      <c r="NWM185" s="125"/>
      <c r="NWN185" s="125"/>
      <c r="NWO185" s="125"/>
      <c r="NWP185" s="125"/>
      <c r="NWQ185" s="125"/>
      <c r="NWR185" s="125"/>
      <c r="NWS185" s="125"/>
      <c r="NWT185" s="125"/>
      <c r="NWU185" s="125"/>
      <c r="NWV185" s="125"/>
      <c r="NWW185" s="125"/>
      <c r="NWX185" s="125"/>
      <c r="NWY185" s="125"/>
      <c r="NWZ185" s="125"/>
      <c r="NXA185" s="125"/>
      <c r="NXB185" s="125"/>
      <c r="NXC185" s="125"/>
      <c r="NXD185" s="125"/>
      <c r="NXE185" s="125"/>
      <c r="NXF185" s="125"/>
      <c r="NXG185" s="125"/>
      <c r="NXH185" s="125"/>
      <c r="NXI185" s="125"/>
      <c r="NXJ185" s="125"/>
      <c r="NXK185" s="125"/>
      <c r="NXL185" s="125"/>
      <c r="NXM185" s="125"/>
      <c r="NXN185" s="125"/>
      <c r="NXO185" s="125"/>
      <c r="NXP185" s="125"/>
      <c r="NXQ185" s="125"/>
      <c r="NXR185" s="125"/>
      <c r="NXS185" s="125"/>
      <c r="NXT185" s="125"/>
      <c r="NXU185" s="125"/>
      <c r="NXV185" s="125"/>
      <c r="NXW185" s="125"/>
      <c r="NXX185" s="125"/>
      <c r="NXY185" s="125"/>
      <c r="NXZ185" s="125"/>
      <c r="NYA185" s="125"/>
      <c r="NYB185" s="125"/>
      <c r="NYC185" s="125"/>
      <c r="NYD185" s="125"/>
      <c r="NYE185" s="125"/>
      <c r="NYF185" s="125"/>
      <c r="NYG185" s="125"/>
      <c r="NYH185" s="125"/>
      <c r="NYI185" s="125"/>
      <c r="NYJ185" s="125"/>
      <c r="NYK185" s="125"/>
      <c r="NYL185" s="125"/>
      <c r="NYM185" s="125"/>
      <c r="NYN185" s="125"/>
      <c r="NYO185" s="125"/>
      <c r="NYP185" s="125"/>
      <c r="NYQ185" s="125"/>
      <c r="NYR185" s="125"/>
      <c r="NYS185" s="125"/>
      <c r="NYT185" s="125"/>
      <c r="NYU185" s="125"/>
      <c r="NYV185" s="125"/>
      <c r="NYW185" s="125"/>
      <c r="NYX185" s="125"/>
      <c r="NYY185" s="125"/>
      <c r="NYZ185" s="125"/>
      <c r="NZA185" s="125"/>
      <c r="NZB185" s="125"/>
      <c r="NZC185" s="125"/>
      <c r="NZD185" s="125"/>
      <c r="NZE185" s="125"/>
      <c r="NZF185" s="125"/>
      <c r="NZG185" s="125"/>
      <c r="NZH185" s="125"/>
      <c r="NZI185" s="125"/>
      <c r="NZJ185" s="125"/>
      <c r="NZK185" s="125"/>
      <c r="NZL185" s="125"/>
      <c r="NZM185" s="125"/>
      <c r="NZN185" s="125"/>
      <c r="NZO185" s="125"/>
      <c r="NZP185" s="125"/>
      <c r="NZQ185" s="125"/>
      <c r="NZR185" s="125"/>
      <c r="NZS185" s="125"/>
      <c r="NZT185" s="125"/>
      <c r="NZU185" s="125"/>
      <c r="NZV185" s="125"/>
      <c r="NZW185" s="125"/>
      <c r="NZX185" s="125"/>
      <c r="NZY185" s="125"/>
      <c r="NZZ185" s="125"/>
      <c r="OAA185" s="125"/>
      <c r="OAB185" s="125"/>
      <c r="OAC185" s="125"/>
      <c r="OAD185" s="125"/>
      <c r="OAE185" s="125"/>
      <c r="OAF185" s="125"/>
      <c r="OAG185" s="125"/>
      <c r="OAH185" s="125"/>
      <c r="OAI185" s="125"/>
      <c r="OAJ185" s="125"/>
      <c r="OAK185" s="125"/>
      <c r="OAL185" s="125"/>
      <c r="OAM185" s="125"/>
      <c r="OAN185" s="125"/>
      <c r="OAO185" s="125"/>
      <c r="OAP185" s="125"/>
      <c r="OAQ185" s="125"/>
      <c r="OAR185" s="125"/>
      <c r="OAS185" s="125"/>
      <c r="OAT185" s="125"/>
      <c r="OAU185" s="125"/>
      <c r="OAV185" s="125"/>
      <c r="OAW185" s="125"/>
      <c r="OAX185" s="125"/>
      <c r="OAY185" s="125"/>
      <c r="OAZ185" s="125"/>
      <c r="OBA185" s="125"/>
      <c r="OBB185" s="125"/>
      <c r="OBC185" s="125"/>
      <c r="OBD185" s="125"/>
      <c r="OBE185" s="125"/>
      <c r="OBF185" s="125"/>
      <c r="OBG185" s="125"/>
      <c r="OBH185" s="125"/>
      <c r="OBI185" s="125"/>
      <c r="OBJ185" s="125"/>
      <c r="OBK185" s="125"/>
      <c r="OBL185" s="125"/>
      <c r="OBM185" s="125"/>
      <c r="OBN185" s="125"/>
      <c r="OBO185" s="125"/>
      <c r="OBP185" s="125"/>
      <c r="OBQ185" s="125"/>
      <c r="OBR185" s="125"/>
      <c r="OBS185" s="125"/>
      <c r="OBT185" s="125"/>
      <c r="OBU185" s="125"/>
      <c r="OBV185" s="125"/>
      <c r="OBW185" s="125"/>
      <c r="OBX185" s="125"/>
      <c r="OBY185" s="125"/>
      <c r="OBZ185" s="125"/>
      <c r="OCA185" s="125"/>
      <c r="OCB185" s="125"/>
      <c r="OCC185" s="125"/>
      <c r="OCD185" s="125"/>
      <c r="OCE185" s="125"/>
      <c r="OCF185" s="125"/>
      <c r="OCG185" s="125"/>
      <c r="OCH185" s="125"/>
      <c r="OCI185" s="125"/>
      <c r="OCJ185" s="125"/>
      <c r="OCK185" s="125"/>
      <c r="OCL185" s="125"/>
      <c r="OCM185" s="125"/>
      <c r="OCN185" s="125"/>
      <c r="OCO185" s="125"/>
      <c r="OCP185" s="125"/>
      <c r="OCQ185" s="125"/>
      <c r="OCR185" s="125"/>
      <c r="OCS185" s="125"/>
      <c r="OCT185" s="125"/>
      <c r="OCU185" s="125"/>
      <c r="OCV185" s="125"/>
      <c r="OCW185" s="125"/>
      <c r="OCX185" s="125"/>
      <c r="OCY185" s="125"/>
      <c r="OCZ185" s="125"/>
      <c r="ODA185" s="125"/>
      <c r="ODB185" s="125"/>
      <c r="ODC185" s="125"/>
      <c r="ODD185" s="125"/>
      <c r="ODE185" s="125"/>
      <c r="ODF185" s="125"/>
      <c r="ODG185" s="125"/>
      <c r="ODH185" s="125"/>
      <c r="ODI185" s="125"/>
      <c r="ODJ185" s="125"/>
      <c r="ODK185" s="125"/>
      <c r="ODL185" s="125"/>
      <c r="ODM185" s="125"/>
      <c r="ODN185" s="125"/>
      <c r="ODO185" s="125"/>
      <c r="ODP185" s="125"/>
      <c r="ODQ185" s="125"/>
      <c r="ODR185" s="125"/>
      <c r="ODS185" s="125"/>
      <c r="ODT185" s="125"/>
      <c r="ODU185" s="125"/>
      <c r="ODV185" s="125"/>
      <c r="ODW185" s="125"/>
      <c r="ODX185" s="125"/>
      <c r="ODY185" s="125"/>
      <c r="ODZ185" s="125"/>
      <c r="OEA185" s="125"/>
      <c r="OEB185" s="125"/>
      <c r="OEC185" s="125"/>
      <c r="OED185" s="125"/>
      <c r="OEE185" s="125"/>
      <c r="OEF185" s="125"/>
      <c r="OEG185" s="125"/>
      <c r="OEH185" s="125"/>
      <c r="OEI185" s="125"/>
      <c r="OEJ185" s="125"/>
      <c r="OEK185" s="125"/>
      <c r="OEL185" s="125"/>
      <c r="OEM185" s="125"/>
      <c r="OEN185" s="125"/>
      <c r="OEO185" s="125"/>
      <c r="OEP185" s="125"/>
      <c r="OEQ185" s="125"/>
      <c r="OER185" s="125"/>
      <c r="OES185" s="125"/>
      <c r="OET185" s="125"/>
      <c r="OEU185" s="125"/>
      <c r="OEV185" s="125"/>
      <c r="OEW185" s="125"/>
      <c r="OEX185" s="125"/>
      <c r="OEY185" s="125"/>
      <c r="OEZ185" s="125"/>
      <c r="OFA185" s="125"/>
      <c r="OFB185" s="125"/>
      <c r="OFC185" s="125"/>
      <c r="OFD185" s="125"/>
      <c r="OFE185" s="125"/>
      <c r="OFF185" s="125"/>
      <c r="OFG185" s="125"/>
      <c r="OFH185" s="125"/>
      <c r="OFI185" s="125"/>
      <c r="OFJ185" s="125"/>
      <c r="OFK185" s="125"/>
      <c r="OFL185" s="125"/>
      <c r="OFM185" s="125"/>
      <c r="OFN185" s="125"/>
      <c r="OFO185" s="125"/>
      <c r="OFP185" s="125"/>
      <c r="OFQ185" s="125"/>
      <c r="OFR185" s="125"/>
      <c r="OFS185" s="125"/>
      <c r="OFT185" s="125"/>
      <c r="OFU185" s="125"/>
      <c r="OFV185" s="125"/>
      <c r="OFW185" s="125"/>
      <c r="OFX185" s="125"/>
      <c r="OFY185" s="125"/>
      <c r="OFZ185" s="125"/>
      <c r="OGA185" s="125"/>
      <c r="OGB185" s="125"/>
      <c r="OGC185" s="125"/>
      <c r="OGD185" s="125"/>
      <c r="OGE185" s="125"/>
      <c r="OGF185" s="125"/>
      <c r="OGG185" s="125"/>
      <c r="OGH185" s="125"/>
      <c r="OGI185" s="125"/>
      <c r="OGJ185" s="125"/>
      <c r="OGK185" s="125"/>
      <c r="OGL185" s="125"/>
      <c r="OGM185" s="125"/>
      <c r="OGN185" s="125"/>
      <c r="OGO185" s="125"/>
      <c r="OGP185" s="125"/>
      <c r="OGQ185" s="125"/>
      <c r="OGR185" s="125"/>
      <c r="OGS185" s="125"/>
      <c r="OGT185" s="125"/>
      <c r="OGU185" s="125"/>
      <c r="OGV185" s="125"/>
      <c r="OGW185" s="125"/>
      <c r="OGX185" s="125"/>
      <c r="OGY185" s="125"/>
      <c r="OGZ185" s="125"/>
      <c r="OHA185" s="125"/>
      <c r="OHB185" s="125"/>
      <c r="OHC185" s="125"/>
      <c r="OHD185" s="125"/>
      <c r="OHE185" s="125"/>
      <c r="OHF185" s="125"/>
      <c r="OHG185" s="125"/>
      <c r="OHH185" s="125"/>
      <c r="OHI185" s="125"/>
      <c r="OHJ185" s="125"/>
      <c r="OHK185" s="125"/>
      <c r="OHL185" s="125"/>
      <c r="OHM185" s="125"/>
      <c r="OHN185" s="125"/>
      <c r="OHO185" s="125"/>
      <c r="OHP185" s="125"/>
      <c r="OHQ185" s="125"/>
      <c r="OHR185" s="125"/>
      <c r="OHS185" s="125"/>
      <c r="OHT185" s="125"/>
      <c r="OHU185" s="125"/>
      <c r="OHV185" s="125"/>
      <c r="OHW185" s="125"/>
      <c r="OHX185" s="125"/>
      <c r="OHY185" s="125"/>
      <c r="OHZ185" s="125"/>
      <c r="OIA185" s="125"/>
      <c r="OIB185" s="125"/>
      <c r="OIC185" s="125"/>
      <c r="OID185" s="125"/>
      <c r="OIE185" s="125"/>
      <c r="OIF185" s="125"/>
      <c r="OIG185" s="125"/>
      <c r="OIH185" s="125"/>
      <c r="OII185" s="125"/>
      <c r="OIJ185" s="125"/>
      <c r="OIK185" s="125"/>
      <c r="OIL185" s="125"/>
      <c r="OIM185" s="125"/>
      <c r="OIN185" s="125"/>
      <c r="OIO185" s="125"/>
      <c r="OIP185" s="125"/>
      <c r="OIQ185" s="125"/>
      <c r="OIR185" s="125"/>
      <c r="OIS185" s="125"/>
      <c r="OIT185" s="125"/>
      <c r="OIU185" s="125"/>
      <c r="OIV185" s="125"/>
      <c r="OIW185" s="125"/>
      <c r="OIX185" s="125"/>
      <c r="OIY185" s="125"/>
      <c r="OIZ185" s="125"/>
      <c r="OJA185" s="125"/>
      <c r="OJB185" s="125"/>
      <c r="OJC185" s="125"/>
      <c r="OJD185" s="125"/>
      <c r="OJE185" s="125"/>
      <c r="OJF185" s="125"/>
      <c r="OJG185" s="125"/>
      <c r="OJH185" s="125"/>
      <c r="OJI185" s="125"/>
      <c r="OJJ185" s="125"/>
      <c r="OJK185" s="125"/>
      <c r="OJL185" s="125"/>
      <c r="OJM185" s="125"/>
      <c r="OJN185" s="125"/>
      <c r="OJO185" s="125"/>
      <c r="OJP185" s="125"/>
      <c r="OJQ185" s="125"/>
      <c r="OJR185" s="125"/>
      <c r="OJS185" s="125"/>
      <c r="OJT185" s="125"/>
      <c r="OJU185" s="125"/>
      <c r="OJV185" s="125"/>
      <c r="OJW185" s="125"/>
      <c r="OJX185" s="125"/>
      <c r="OJY185" s="125"/>
      <c r="OJZ185" s="125"/>
      <c r="OKA185" s="125"/>
      <c r="OKB185" s="125"/>
      <c r="OKC185" s="125"/>
      <c r="OKD185" s="125"/>
      <c r="OKE185" s="125"/>
      <c r="OKF185" s="125"/>
      <c r="OKG185" s="125"/>
      <c r="OKH185" s="125"/>
      <c r="OKI185" s="125"/>
      <c r="OKJ185" s="125"/>
      <c r="OKK185" s="125"/>
      <c r="OKL185" s="125"/>
      <c r="OKM185" s="125"/>
      <c r="OKN185" s="125"/>
      <c r="OKO185" s="125"/>
      <c r="OKP185" s="125"/>
      <c r="OKQ185" s="125"/>
      <c r="OKR185" s="125"/>
      <c r="OKS185" s="125"/>
      <c r="OKT185" s="125"/>
      <c r="OKU185" s="125"/>
      <c r="OKV185" s="125"/>
      <c r="OKW185" s="125"/>
      <c r="OKX185" s="125"/>
      <c r="OKY185" s="125"/>
      <c r="OKZ185" s="125"/>
      <c r="OLA185" s="125"/>
      <c r="OLB185" s="125"/>
      <c r="OLC185" s="125"/>
      <c r="OLD185" s="125"/>
      <c r="OLE185" s="125"/>
      <c r="OLF185" s="125"/>
      <c r="OLG185" s="125"/>
      <c r="OLH185" s="125"/>
      <c r="OLI185" s="125"/>
      <c r="OLJ185" s="125"/>
      <c r="OLK185" s="125"/>
      <c r="OLL185" s="125"/>
      <c r="OLM185" s="125"/>
      <c r="OLN185" s="125"/>
      <c r="OLO185" s="125"/>
      <c r="OLP185" s="125"/>
      <c r="OLQ185" s="125"/>
      <c r="OLR185" s="125"/>
      <c r="OLS185" s="125"/>
      <c r="OLT185" s="125"/>
      <c r="OLU185" s="125"/>
      <c r="OLV185" s="125"/>
      <c r="OLW185" s="125"/>
      <c r="OLX185" s="125"/>
      <c r="OLY185" s="125"/>
      <c r="OLZ185" s="125"/>
      <c r="OMA185" s="125"/>
      <c r="OMB185" s="125"/>
      <c r="OMC185" s="125"/>
      <c r="OMD185" s="125"/>
      <c r="OME185" s="125"/>
      <c r="OMF185" s="125"/>
      <c r="OMG185" s="125"/>
      <c r="OMH185" s="125"/>
      <c r="OMI185" s="125"/>
      <c r="OMJ185" s="125"/>
      <c r="OMK185" s="125"/>
      <c r="OML185" s="125"/>
      <c r="OMM185" s="125"/>
      <c r="OMN185" s="125"/>
      <c r="OMO185" s="125"/>
      <c r="OMP185" s="125"/>
      <c r="OMQ185" s="125"/>
      <c r="OMR185" s="125"/>
      <c r="OMS185" s="125"/>
      <c r="OMT185" s="125"/>
      <c r="OMU185" s="125"/>
      <c r="OMV185" s="125"/>
      <c r="OMW185" s="125"/>
      <c r="OMX185" s="125"/>
      <c r="OMY185" s="125"/>
      <c r="OMZ185" s="125"/>
      <c r="ONA185" s="125"/>
      <c r="ONB185" s="125"/>
      <c r="ONC185" s="125"/>
      <c r="OND185" s="125"/>
      <c r="ONE185" s="125"/>
      <c r="ONF185" s="125"/>
      <c r="ONG185" s="125"/>
      <c r="ONH185" s="125"/>
      <c r="ONI185" s="125"/>
      <c r="ONJ185" s="125"/>
      <c r="ONK185" s="125"/>
      <c r="ONL185" s="125"/>
      <c r="ONM185" s="125"/>
      <c r="ONN185" s="125"/>
      <c r="ONO185" s="125"/>
      <c r="ONP185" s="125"/>
      <c r="ONQ185" s="125"/>
      <c r="ONR185" s="125"/>
      <c r="ONS185" s="125"/>
      <c r="ONT185" s="125"/>
      <c r="ONU185" s="125"/>
      <c r="ONV185" s="125"/>
      <c r="ONW185" s="125"/>
      <c r="ONX185" s="125"/>
      <c r="ONY185" s="125"/>
      <c r="ONZ185" s="125"/>
      <c r="OOA185" s="125"/>
      <c r="OOB185" s="125"/>
      <c r="OOC185" s="125"/>
      <c r="OOD185" s="125"/>
      <c r="OOE185" s="125"/>
      <c r="OOF185" s="125"/>
      <c r="OOG185" s="125"/>
      <c r="OOH185" s="125"/>
      <c r="OOI185" s="125"/>
      <c r="OOJ185" s="125"/>
      <c r="OOK185" s="125"/>
      <c r="OOL185" s="125"/>
      <c r="OOM185" s="125"/>
      <c r="OON185" s="125"/>
      <c r="OOO185" s="125"/>
      <c r="OOP185" s="125"/>
      <c r="OOQ185" s="125"/>
      <c r="OOR185" s="125"/>
      <c r="OOS185" s="125"/>
      <c r="OOT185" s="125"/>
      <c r="OOU185" s="125"/>
      <c r="OOV185" s="125"/>
      <c r="OOW185" s="125"/>
      <c r="OOX185" s="125"/>
      <c r="OOY185" s="125"/>
      <c r="OOZ185" s="125"/>
      <c r="OPA185" s="125"/>
      <c r="OPB185" s="125"/>
      <c r="OPC185" s="125"/>
      <c r="OPD185" s="125"/>
      <c r="OPE185" s="125"/>
      <c r="OPF185" s="125"/>
      <c r="OPG185" s="125"/>
      <c r="OPH185" s="125"/>
      <c r="OPI185" s="125"/>
      <c r="OPJ185" s="125"/>
      <c r="OPK185" s="125"/>
      <c r="OPL185" s="125"/>
      <c r="OPM185" s="125"/>
      <c r="OPN185" s="125"/>
      <c r="OPO185" s="125"/>
      <c r="OPP185" s="125"/>
      <c r="OPQ185" s="125"/>
      <c r="OPR185" s="125"/>
      <c r="OPS185" s="125"/>
      <c r="OPT185" s="125"/>
      <c r="OPU185" s="125"/>
      <c r="OPV185" s="125"/>
      <c r="OPW185" s="125"/>
      <c r="OPX185" s="125"/>
      <c r="OPY185" s="125"/>
      <c r="OPZ185" s="125"/>
      <c r="OQA185" s="125"/>
      <c r="OQB185" s="125"/>
      <c r="OQC185" s="125"/>
      <c r="OQD185" s="125"/>
      <c r="OQE185" s="125"/>
      <c r="OQF185" s="125"/>
      <c r="OQG185" s="125"/>
      <c r="OQH185" s="125"/>
      <c r="OQI185" s="125"/>
      <c r="OQJ185" s="125"/>
      <c r="OQK185" s="125"/>
      <c r="OQL185" s="125"/>
      <c r="OQM185" s="125"/>
      <c r="OQN185" s="125"/>
      <c r="OQO185" s="125"/>
      <c r="OQP185" s="125"/>
      <c r="OQQ185" s="125"/>
      <c r="OQR185" s="125"/>
      <c r="OQS185" s="125"/>
      <c r="OQT185" s="125"/>
      <c r="OQU185" s="125"/>
      <c r="OQV185" s="125"/>
      <c r="OQW185" s="125"/>
      <c r="OQX185" s="125"/>
      <c r="OQY185" s="125"/>
      <c r="OQZ185" s="125"/>
      <c r="ORA185" s="125"/>
      <c r="ORB185" s="125"/>
      <c r="ORC185" s="125"/>
      <c r="ORD185" s="125"/>
      <c r="ORE185" s="125"/>
      <c r="ORF185" s="125"/>
      <c r="ORG185" s="125"/>
      <c r="ORH185" s="125"/>
      <c r="ORI185" s="125"/>
      <c r="ORJ185" s="125"/>
      <c r="ORK185" s="125"/>
      <c r="ORL185" s="125"/>
      <c r="ORM185" s="125"/>
      <c r="ORN185" s="125"/>
      <c r="ORO185" s="125"/>
      <c r="ORP185" s="125"/>
      <c r="ORQ185" s="125"/>
      <c r="ORR185" s="125"/>
      <c r="ORS185" s="125"/>
      <c r="ORT185" s="125"/>
      <c r="ORU185" s="125"/>
      <c r="ORV185" s="125"/>
      <c r="ORW185" s="125"/>
      <c r="ORX185" s="125"/>
      <c r="ORY185" s="125"/>
      <c r="ORZ185" s="125"/>
      <c r="OSA185" s="125"/>
      <c r="OSB185" s="125"/>
      <c r="OSC185" s="125"/>
      <c r="OSD185" s="125"/>
      <c r="OSE185" s="125"/>
      <c r="OSF185" s="125"/>
      <c r="OSG185" s="125"/>
      <c r="OSH185" s="125"/>
      <c r="OSI185" s="125"/>
      <c r="OSJ185" s="125"/>
      <c r="OSK185" s="125"/>
      <c r="OSL185" s="125"/>
      <c r="OSM185" s="125"/>
      <c r="OSN185" s="125"/>
      <c r="OSO185" s="125"/>
      <c r="OSP185" s="125"/>
      <c r="OSQ185" s="125"/>
      <c r="OSR185" s="125"/>
      <c r="OSS185" s="125"/>
      <c r="OST185" s="125"/>
      <c r="OSU185" s="125"/>
      <c r="OSV185" s="125"/>
      <c r="OSW185" s="125"/>
      <c r="OSX185" s="125"/>
      <c r="OSY185" s="125"/>
      <c r="OSZ185" s="125"/>
      <c r="OTA185" s="125"/>
      <c r="OTB185" s="125"/>
      <c r="OTC185" s="125"/>
      <c r="OTD185" s="125"/>
      <c r="OTE185" s="125"/>
      <c r="OTF185" s="125"/>
      <c r="OTG185" s="125"/>
      <c r="OTH185" s="125"/>
      <c r="OTI185" s="125"/>
      <c r="OTJ185" s="125"/>
      <c r="OTK185" s="125"/>
      <c r="OTL185" s="125"/>
      <c r="OTM185" s="125"/>
      <c r="OTN185" s="125"/>
      <c r="OTO185" s="125"/>
      <c r="OTP185" s="125"/>
      <c r="OTQ185" s="125"/>
      <c r="OTR185" s="125"/>
      <c r="OTS185" s="125"/>
      <c r="OTT185" s="125"/>
      <c r="OTU185" s="125"/>
      <c r="OTV185" s="125"/>
      <c r="OTW185" s="125"/>
      <c r="OTX185" s="125"/>
      <c r="OTY185" s="125"/>
      <c r="OTZ185" s="125"/>
      <c r="OUA185" s="125"/>
      <c r="OUB185" s="125"/>
      <c r="OUC185" s="125"/>
      <c r="OUD185" s="125"/>
      <c r="OUE185" s="125"/>
      <c r="OUF185" s="125"/>
      <c r="OUG185" s="125"/>
      <c r="OUH185" s="125"/>
      <c r="OUI185" s="125"/>
      <c r="OUJ185" s="125"/>
      <c r="OUK185" s="125"/>
      <c r="OUL185" s="125"/>
      <c r="OUM185" s="125"/>
      <c r="OUN185" s="125"/>
      <c r="OUO185" s="125"/>
      <c r="OUP185" s="125"/>
      <c r="OUQ185" s="125"/>
      <c r="OUR185" s="125"/>
      <c r="OUS185" s="125"/>
      <c r="OUT185" s="125"/>
      <c r="OUU185" s="125"/>
      <c r="OUV185" s="125"/>
      <c r="OUW185" s="125"/>
      <c r="OUX185" s="125"/>
      <c r="OUY185" s="125"/>
      <c r="OUZ185" s="125"/>
      <c r="OVA185" s="125"/>
      <c r="OVB185" s="125"/>
      <c r="OVC185" s="125"/>
      <c r="OVD185" s="125"/>
      <c r="OVE185" s="125"/>
      <c r="OVF185" s="125"/>
      <c r="OVG185" s="125"/>
      <c r="OVH185" s="125"/>
      <c r="OVI185" s="125"/>
      <c r="OVJ185" s="125"/>
      <c r="OVK185" s="125"/>
      <c r="OVL185" s="125"/>
      <c r="OVM185" s="125"/>
      <c r="OVN185" s="125"/>
      <c r="OVO185" s="125"/>
      <c r="OVP185" s="125"/>
      <c r="OVQ185" s="125"/>
      <c r="OVR185" s="125"/>
      <c r="OVS185" s="125"/>
      <c r="OVT185" s="125"/>
      <c r="OVU185" s="125"/>
      <c r="OVV185" s="125"/>
      <c r="OVW185" s="125"/>
      <c r="OVX185" s="125"/>
      <c r="OVY185" s="125"/>
      <c r="OVZ185" s="125"/>
      <c r="OWA185" s="125"/>
      <c r="OWB185" s="125"/>
      <c r="OWC185" s="125"/>
      <c r="OWD185" s="125"/>
      <c r="OWE185" s="125"/>
      <c r="OWF185" s="125"/>
      <c r="OWG185" s="125"/>
      <c r="OWH185" s="125"/>
      <c r="OWI185" s="125"/>
      <c r="OWJ185" s="125"/>
      <c r="OWK185" s="125"/>
      <c r="OWL185" s="125"/>
      <c r="OWM185" s="125"/>
      <c r="OWN185" s="125"/>
      <c r="OWO185" s="125"/>
      <c r="OWP185" s="125"/>
      <c r="OWQ185" s="125"/>
      <c r="OWR185" s="125"/>
      <c r="OWS185" s="125"/>
      <c r="OWT185" s="125"/>
      <c r="OWU185" s="125"/>
      <c r="OWV185" s="125"/>
      <c r="OWW185" s="125"/>
      <c r="OWX185" s="125"/>
      <c r="OWY185" s="125"/>
      <c r="OWZ185" s="125"/>
      <c r="OXA185" s="125"/>
      <c r="OXB185" s="125"/>
      <c r="OXC185" s="125"/>
      <c r="OXD185" s="125"/>
      <c r="OXE185" s="125"/>
      <c r="OXF185" s="125"/>
      <c r="OXG185" s="125"/>
      <c r="OXH185" s="125"/>
      <c r="OXI185" s="125"/>
      <c r="OXJ185" s="125"/>
      <c r="OXK185" s="125"/>
      <c r="OXL185" s="125"/>
      <c r="OXM185" s="125"/>
      <c r="OXN185" s="125"/>
      <c r="OXO185" s="125"/>
      <c r="OXP185" s="125"/>
      <c r="OXQ185" s="125"/>
      <c r="OXR185" s="125"/>
      <c r="OXS185" s="125"/>
      <c r="OXT185" s="125"/>
      <c r="OXU185" s="125"/>
      <c r="OXV185" s="125"/>
      <c r="OXW185" s="125"/>
      <c r="OXX185" s="125"/>
      <c r="OXY185" s="125"/>
      <c r="OXZ185" s="125"/>
      <c r="OYA185" s="125"/>
      <c r="OYB185" s="125"/>
      <c r="OYC185" s="125"/>
      <c r="OYD185" s="125"/>
      <c r="OYE185" s="125"/>
      <c r="OYF185" s="125"/>
      <c r="OYG185" s="125"/>
      <c r="OYH185" s="125"/>
      <c r="OYI185" s="125"/>
      <c r="OYJ185" s="125"/>
      <c r="OYK185" s="125"/>
      <c r="OYL185" s="125"/>
      <c r="OYM185" s="125"/>
      <c r="OYN185" s="125"/>
      <c r="OYO185" s="125"/>
      <c r="OYP185" s="125"/>
      <c r="OYQ185" s="125"/>
      <c r="OYR185" s="125"/>
      <c r="OYS185" s="125"/>
      <c r="OYT185" s="125"/>
      <c r="OYU185" s="125"/>
      <c r="OYV185" s="125"/>
      <c r="OYW185" s="125"/>
      <c r="OYX185" s="125"/>
      <c r="OYY185" s="125"/>
      <c r="OYZ185" s="125"/>
      <c r="OZA185" s="125"/>
      <c r="OZB185" s="125"/>
      <c r="OZC185" s="125"/>
      <c r="OZD185" s="125"/>
      <c r="OZE185" s="125"/>
      <c r="OZF185" s="125"/>
      <c r="OZG185" s="125"/>
      <c r="OZH185" s="125"/>
      <c r="OZI185" s="125"/>
      <c r="OZJ185" s="125"/>
      <c r="OZK185" s="125"/>
      <c r="OZL185" s="125"/>
      <c r="OZM185" s="125"/>
      <c r="OZN185" s="125"/>
      <c r="OZO185" s="125"/>
      <c r="OZP185" s="125"/>
      <c r="OZQ185" s="125"/>
      <c r="OZR185" s="125"/>
      <c r="OZS185" s="125"/>
      <c r="OZT185" s="125"/>
      <c r="OZU185" s="125"/>
      <c r="OZV185" s="125"/>
      <c r="OZW185" s="125"/>
      <c r="OZX185" s="125"/>
      <c r="OZY185" s="125"/>
      <c r="OZZ185" s="125"/>
      <c r="PAA185" s="125"/>
      <c r="PAB185" s="125"/>
      <c r="PAC185" s="125"/>
      <c r="PAD185" s="125"/>
      <c r="PAE185" s="125"/>
      <c r="PAF185" s="125"/>
      <c r="PAG185" s="125"/>
      <c r="PAH185" s="125"/>
      <c r="PAI185" s="125"/>
      <c r="PAJ185" s="125"/>
      <c r="PAK185" s="125"/>
      <c r="PAL185" s="125"/>
      <c r="PAM185" s="125"/>
      <c r="PAN185" s="125"/>
      <c r="PAO185" s="125"/>
      <c r="PAP185" s="125"/>
      <c r="PAQ185" s="125"/>
      <c r="PAR185" s="125"/>
      <c r="PAS185" s="125"/>
      <c r="PAT185" s="125"/>
      <c r="PAU185" s="125"/>
      <c r="PAV185" s="125"/>
      <c r="PAW185" s="125"/>
      <c r="PAX185" s="125"/>
      <c r="PAY185" s="125"/>
      <c r="PAZ185" s="125"/>
      <c r="PBA185" s="125"/>
      <c r="PBB185" s="125"/>
      <c r="PBC185" s="125"/>
      <c r="PBD185" s="125"/>
      <c r="PBE185" s="125"/>
      <c r="PBF185" s="125"/>
      <c r="PBG185" s="125"/>
      <c r="PBH185" s="125"/>
      <c r="PBI185" s="125"/>
      <c r="PBJ185" s="125"/>
      <c r="PBK185" s="125"/>
      <c r="PBL185" s="125"/>
      <c r="PBM185" s="125"/>
      <c r="PBN185" s="125"/>
      <c r="PBO185" s="125"/>
      <c r="PBP185" s="125"/>
      <c r="PBQ185" s="125"/>
      <c r="PBR185" s="125"/>
      <c r="PBS185" s="125"/>
      <c r="PBT185" s="125"/>
      <c r="PBU185" s="125"/>
      <c r="PBV185" s="125"/>
      <c r="PBW185" s="125"/>
      <c r="PBX185" s="125"/>
      <c r="PBY185" s="125"/>
      <c r="PBZ185" s="125"/>
      <c r="PCA185" s="125"/>
      <c r="PCB185" s="125"/>
      <c r="PCC185" s="125"/>
      <c r="PCD185" s="125"/>
      <c r="PCE185" s="125"/>
      <c r="PCF185" s="125"/>
      <c r="PCG185" s="125"/>
      <c r="PCH185" s="125"/>
      <c r="PCI185" s="125"/>
      <c r="PCJ185" s="125"/>
      <c r="PCK185" s="125"/>
      <c r="PCL185" s="125"/>
      <c r="PCM185" s="125"/>
      <c r="PCN185" s="125"/>
      <c r="PCO185" s="125"/>
      <c r="PCP185" s="125"/>
      <c r="PCQ185" s="125"/>
      <c r="PCR185" s="125"/>
      <c r="PCS185" s="125"/>
      <c r="PCT185" s="125"/>
      <c r="PCU185" s="125"/>
      <c r="PCV185" s="125"/>
      <c r="PCW185" s="125"/>
      <c r="PCX185" s="125"/>
      <c r="PCY185" s="125"/>
      <c r="PCZ185" s="125"/>
      <c r="PDA185" s="125"/>
      <c r="PDB185" s="125"/>
      <c r="PDC185" s="125"/>
      <c r="PDD185" s="125"/>
      <c r="PDE185" s="125"/>
      <c r="PDF185" s="125"/>
      <c r="PDG185" s="125"/>
      <c r="PDH185" s="125"/>
      <c r="PDI185" s="125"/>
      <c r="PDJ185" s="125"/>
      <c r="PDK185" s="125"/>
      <c r="PDL185" s="125"/>
      <c r="PDM185" s="125"/>
      <c r="PDN185" s="125"/>
      <c r="PDO185" s="125"/>
      <c r="PDP185" s="125"/>
      <c r="PDQ185" s="125"/>
      <c r="PDR185" s="125"/>
      <c r="PDS185" s="125"/>
      <c r="PDT185" s="125"/>
      <c r="PDU185" s="125"/>
      <c r="PDV185" s="125"/>
      <c r="PDW185" s="125"/>
      <c r="PDX185" s="125"/>
      <c r="PDY185" s="125"/>
      <c r="PDZ185" s="125"/>
      <c r="PEA185" s="125"/>
      <c r="PEB185" s="125"/>
      <c r="PEC185" s="125"/>
      <c r="PED185" s="125"/>
      <c r="PEE185" s="125"/>
      <c r="PEF185" s="125"/>
      <c r="PEG185" s="125"/>
      <c r="PEH185" s="125"/>
      <c r="PEI185" s="125"/>
      <c r="PEJ185" s="125"/>
      <c r="PEK185" s="125"/>
      <c r="PEL185" s="125"/>
      <c r="PEM185" s="125"/>
      <c r="PEN185" s="125"/>
      <c r="PEO185" s="125"/>
      <c r="PEP185" s="125"/>
      <c r="PEQ185" s="125"/>
      <c r="PER185" s="125"/>
      <c r="PES185" s="125"/>
      <c r="PET185" s="125"/>
      <c r="PEU185" s="125"/>
      <c r="PEV185" s="125"/>
      <c r="PEW185" s="125"/>
      <c r="PEX185" s="125"/>
      <c r="PEY185" s="125"/>
      <c r="PEZ185" s="125"/>
      <c r="PFA185" s="125"/>
      <c r="PFB185" s="125"/>
      <c r="PFC185" s="125"/>
      <c r="PFD185" s="125"/>
      <c r="PFE185" s="125"/>
      <c r="PFF185" s="125"/>
      <c r="PFG185" s="125"/>
      <c r="PFH185" s="125"/>
      <c r="PFI185" s="125"/>
      <c r="PFJ185" s="125"/>
      <c r="PFK185" s="125"/>
      <c r="PFL185" s="125"/>
      <c r="PFM185" s="125"/>
      <c r="PFN185" s="125"/>
      <c r="PFO185" s="125"/>
      <c r="PFP185" s="125"/>
      <c r="PFQ185" s="125"/>
      <c r="PFR185" s="125"/>
      <c r="PFS185" s="125"/>
      <c r="PFT185" s="125"/>
      <c r="PFU185" s="125"/>
      <c r="PFV185" s="125"/>
      <c r="PFW185" s="125"/>
      <c r="PFX185" s="125"/>
      <c r="PFY185" s="125"/>
      <c r="PFZ185" s="125"/>
      <c r="PGA185" s="125"/>
      <c r="PGB185" s="125"/>
      <c r="PGC185" s="125"/>
      <c r="PGD185" s="125"/>
      <c r="PGE185" s="125"/>
      <c r="PGF185" s="125"/>
      <c r="PGG185" s="125"/>
      <c r="PGH185" s="125"/>
      <c r="PGI185" s="125"/>
      <c r="PGJ185" s="125"/>
      <c r="PGK185" s="125"/>
      <c r="PGL185" s="125"/>
      <c r="PGM185" s="125"/>
      <c r="PGN185" s="125"/>
      <c r="PGO185" s="125"/>
      <c r="PGP185" s="125"/>
      <c r="PGQ185" s="125"/>
      <c r="PGR185" s="125"/>
      <c r="PGS185" s="125"/>
      <c r="PGT185" s="125"/>
      <c r="PGU185" s="125"/>
      <c r="PGV185" s="125"/>
      <c r="PGW185" s="125"/>
      <c r="PGX185" s="125"/>
      <c r="PGY185" s="125"/>
      <c r="PGZ185" s="125"/>
      <c r="PHA185" s="125"/>
      <c r="PHB185" s="125"/>
      <c r="PHC185" s="125"/>
      <c r="PHD185" s="125"/>
      <c r="PHE185" s="125"/>
      <c r="PHF185" s="125"/>
      <c r="PHG185" s="125"/>
      <c r="PHH185" s="125"/>
      <c r="PHI185" s="125"/>
      <c r="PHJ185" s="125"/>
      <c r="PHK185" s="125"/>
      <c r="PHL185" s="125"/>
      <c r="PHM185" s="125"/>
      <c r="PHN185" s="125"/>
      <c r="PHO185" s="125"/>
      <c r="PHP185" s="125"/>
      <c r="PHQ185" s="125"/>
      <c r="PHR185" s="125"/>
      <c r="PHS185" s="125"/>
      <c r="PHT185" s="125"/>
      <c r="PHU185" s="125"/>
      <c r="PHV185" s="125"/>
      <c r="PHW185" s="125"/>
      <c r="PHX185" s="125"/>
      <c r="PHY185" s="125"/>
      <c r="PHZ185" s="125"/>
      <c r="PIA185" s="125"/>
      <c r="PIB185" s="125"/>
      <c r="PIC185" s="125"/>
      <c r="PID185" s="125"/>
      <c r="PIE185" s="125"/>
      <c r="PIF185" s="125"/>
      <c r="PIG185" s="125"/>
      <c r="PIH185" s="125"/>
      <c r="PII185" s="125"/>
      <c r="PIJ185" s="125"/>
      <c r="PIK185" s="125"/>
      <c r="PIL185" s="125"/>
      <c r="PIM185" s="125"/>
      <c r="PIN185" s="125"/>
      <c r="PIO185" s="125"/>
      <c r="PIP185" s="125"/>
      <c r="PIQ185" s="125"/>
      <c r="PIR185" s="125"/>
      <c r="PIS185" s="125"/>
      <c r="PIT185" s="125"/>
      <c r="PIU185" s="125"/>
      <c r="PIV185" s="125"/>
      <c r="PIW185" s="125"/>
      <c r="PIX185" s="125"/>
      <c r="PIY185" s="125"/>
      <c r="PIZ185" s="125"/>
      <c r="PJA185" s="125"/>
      <c r="PJB185" s="125"/>
      <c r="PJC185" s="125"/>
      <c r="PJD185" s="125"/>
      <c r="PJE185" s="125"/>
      <c r="PJF185" s="125"/>
      <c r="PJG185" s="125"/>
      <c r="PJH185" s="125"/>
      <c r="PJI185" s="125"/>
      <c r="PJJ185" s="125"/>
      <c r="PJK185" s="125"/>
      <c r="PJL185" s="125"/>
      <c r="PJM185" s="125"/>
      <c r="PJN185" s="125"/>
      <c r="PJO185" s="125"/>
      <c r="PJP185" s="125"/>
      <c r="PJQ185" s="125"/>
      <c r="PJR185" s="125"/>
      <c r="PJS185" s="125"/>
      <c r="PJT185" s="125"/>
      <c r="PJU185" s="125"/>
      <c r="PJV185" s="125"/>
      <c r="PJW185" s="125"/>
      <c r="PJX185" s="125"/>
      <c r="PJY185" s="125"/>
      <c r="PJZ185" s="125"/>
      <c r="PKA185" s="125"/>
      <c r="PKB185" s="125"/>
      <c r="PKC185" s="125"/>
      <c r="PKD185" s="125"/>
      <c r="PKE185" s="125"/>
      <c r="PKF185" s="125"/>
      <c r="PKG185" s="125"/>
      <c r="PKH185" s="125"/>
      <c r="PKI185" s="125"/>
      <c r="PKJ185" s="125"/>
      <c r="PKK185" s="125"/>
      <c r="PKL185" s="125"/>
      <c r="PKM185" s="125"/>
      <c r="PKN185" s="125"/>
      <c r="PKO185" s="125"/>
      <c r="PKP185" s="125"/>
      <c r="PKQ185" s="125"/>
      <c r="PKR185" s="125"/>
      <c r="PKS185" s="125"/>
      <c r="PKT185" s="125"/>
      <c r="PKU185" s="125"/>
      <c r="PKV185" s="125"/>
      <c r="PKW185" s="125"/>
      <c r="PKX185" s="125"/>
      <c r="PKY185" s="125"/>
      <c r="PKZ185" s="125"/>
      <c r="PLA185" s="125"/>
      <c r="PLB185" s="125"/>
      <c r="PLC185" s="125"/>
      <c r="PLD185" s="125"/>
      <c r="PLE185" s="125"/>
      <c r="PLF185" s="125"/>
      <c r="PLG185" s="125"/>
      <c r="PLH185" s="125"/>
      <c r="PLI185" s="125"/>
      <c r="PLJ185" s="125"/>
      <c r="PLK185" s="125"/>
      <c r="PLL185" s="125"/>
      <c r="PLM185" s="125"/>
      <c r="PLN185" s="125"/>
      <c r="PLO185" s="125"/>
      <c r="PLP185" s="125"/>
      <c r="PLQ185" s="125"/>
      <c r="PLR185" s="125"/>
      <c r="PLS185" s="125"/>
      <c r="PLT185" s="125"/>
      <c r="PLU185" s="125"/>
      <c r="PLV185" s="125"/>
      <c r="PLW185" s="125"/>
      <c r="PLX185" s="125"/>
      <c r="PLY185" s="125"/>
      <c r="PLZ185" s="125"/>
      <c r="PMA185" s="125"/>
      <c r="PMB185" s="125"/>
      <c r="PMC185" s="125"/>
      <c r="PMD185" s="125"/>
      <c r="PME185" s="125"/>
      <c r="PMF185" s="125"/>
      <c r="PMG185" s="125"/>
      <c r="PMH185" s="125"/>
      <c r="PMI185" s="125"/>
      <c r="PMJ185" s="125"/>
      <c r="PMK185" s="125"/>
      <c r="PML185" s="125"/>
      <c r="PMM185" s="125"/>
      <c r="PMN185" s="125"/>
      <c r="PMO185" s="125"/>
      <c r="PMP185" s="125"/>
      <c r="PMQ185" s="125"/>
      <c r="PMR185" s="125"/>
      <c r="PMS185" s="125"/>
      <c r="PMT185" s="125"/>
      <c r="PMU185" s="125"/>
      <c r="PMV185" s="125"/>
      <c r="PMW185" s="125"/>
      <c r="PMX185" s="125"/>
      <c r="PMY185" s="125"/>
      <c r="PMZ185" s="125"/>
      <c r="PNA185" s="125"/>
      <c r="PNB185" s="125"/>
      <c r="PNC185" s="125"/>
      <c r="PND185" s="125"/>
      <c r="PNE185" s="125"/>
      <c r="PNF185" s="125"/>
      <c r="PNG185" s="125"/>
      <c r="PNH185" s="125"/>
      <c r="PNI185" s="125"/>
      <c r="PNJ185" s="125"/>
      <c r="PNK185" s="125"/>
      <c r="PNL185" s="125"/>
      <c r="PNM185" s="125"/>
      <c r="PNN185" s="125"/>
      <c r="PNO185" s="125"/>
      <c r="PNP185" s="125"/>
      <c r="PNQ185" s="125"/>
      <c r="PNR185" s="125"/>
      <c r="PNS185" s="125"/>
      <c r="PNT185" s="125"/>
      <c r="PNU185" s="125"/>
      <c r="PNV185" s="125"/>
      <c r="PNW185" s="125"/>
      <c r="PNX185" s="125"/>
      <c r="PNY185" s="125"/>
      <c r="PNZ185" s="125"/>
      <c r="POA185" s="125"/>
      <c r="POB185" s="125"/>
      <c r="POC185" s="125"/>
      <c r="POD185" s="125"/>
      <c r="POE185" s="125"/>
      <c r="POF185" s="125"/>
      <c r="POG185" s="125"/>
      <c r="POH185" s="125"/>
      <c r="POI185" s="125"/>
      <c r="POJ185" s="125"/>
      <c r="POK185" s="125"/>
      <c r="POL185" s="125"/>
      <c r="POM185" s="125"/>
      <c r="PON185" s="125"/>
      <c r="POO185" s="125"/>
      <c r="POP185" s="125"/>
      <c r="POQ185" s="125"/>
      <c r="POR185" s="125"/>
      <c r="POS185" s="125"/>
      <c r="POT185" s="125"/>
      <c r="POU185" s="125"/>
      <c r="POV185" s="125"/>
      <c r="POW185" s="125"/>
      <c r="POX185" s="125"/>
      <c r="POY185" s="125"/>
      <c r="POZ185" s="125"/>
      <c r="PPA185" s="125"/>
      <c r="PPB185" s="125"/>
      <c r="PPC185" s="125"/>
      <c r="PPD185" s="125"/>
      <c r="PPE185" s="125"/>
      <c r="PPF185" s="125"/>
      <c r="PPG185" s="125"/>
      <c r="PPH185" s="125"/>
      <c r="PPI185" s="125"/>
      <c r="PPJ185" s="125"/>
      <c r="PPK185" s="125"/>
      <c r="PPL185" s="125"/>
      <c r="PPM185" s="125"/>
      <c r="PPN185" s="125"/>
      <c r="PPO185" s="125"/>
      <c r="PPP185" s="125"/>
      <c r="PPQ185" s="125"/>
      <c r="PPR185" s="125"/>
      <c r="PPS185" s="125"/>
      <c r="PPT185" s="125"/>
      <c r="PPU185" s="125"/>
      <c r="PPV185" s="125"/>
      <c r="PPW185" s="125"/>
      <c r="PPX185" s="125"/>
      <c r="PPY185" s="125"/>
      <c r="PPZ185" s="125"/>
      <c r="PQA185" s="125"/>
      <c r="PQB185" s="125"/>
      <c r="PQC185" s="125"/>
      <c r="PQD185" s="125"/>
      <c r="PQE185" s="125"/>
      <c r="PQF185" s="125"/>
      <c r="PQG185" s="125"/>
      <c r="PQH185" s="125"/>
      <c r="PQI185" s="125"/>
      <c r="PQJ185" s="125"/>
      <c r="PQK185" s="125"/>
      <c r="PQL185" s="125"/>
      <c r="PQM185" s="125"/>
      <c r="PQN185" s="125"/>
      <c r="PQO185" s="125"/>
      <c r="PQP185" s="125"/>
      <c r="PQQ185" s="125"/>
      <c r="PQR185" s="125"/>
      <c r="PQS185" s="125"/>
      <c r="PQT185" s="125"/>
      <c r="PQU185" s="125"/>
      <c r="PQV185" s="125"/>
      <c r="PQW185" s="125"/>
      <c r="PQX185" s="125"/>
      <c r="PQY185" s="125"/>
      <c r="PQZ185" s="125"/>
      <c r="PRA185" s="125"/>
      <c r="PRB185" s="125"/>
      <c r="PRC185" s="125"/>
      <c r="PRD185" s="125"/>
      <c r="PRE185" s="125"/>
      <c r="PRF185" s="125"/>
      <c r="PRG185" s="125"/>
      <c r="PRH185" s="125"/>
      <c r="PRI185" s="125"/>
      <c r="PRJ185" s="125"/>
      <c r="PRK185" s="125"/>
      <c r="PRL185" s="125"/>
      <c r="PRM185" s="125"/>
      <c r="PRN185" s="125"/>
      <c r="PRO185" s="125"/>
      <c r="PRP185" s="125"/>
      <c r="PRQ185" s="125"/>
      <c r="PRR185" s="125"/>
      <c r="PRS185" s="125"/>
      <c r="PRT185" s="125"/>
      <c r="PRU185" s="125"/>
      <c r="PRV185" s="125"/>
      <c r="PRW185" s="125"/>
      <c r="PRX185" s="125"/>
      <c r="PRY185" s="125"/>
      <c r="PRZ185" s="125"/>
      <c r="PSA185" s="125"/>
      <c r="PSB185" s="125"/>
      <c r="PSC185" s="125"/>
      <c r="PSD185" s="125"/>
      <c r="PSE185" s="125"/>
      <c r="PSF185" s="125"/>
      <c r="PSG185" s="125"/>
      <c r="PSH185" s="125"/>
      <c r="PSI185" s="125"/>
      <c r="PSJ185" s="125"/>
      <c r="PSK185" s="125"/>
      <c r="PSL185" s="125"/>
      <c r="PSM185" s="125"/>
      <c r="PSN185" s="125"/>
      <c r="PSO185" s="125"/>
      <c r="PSP185" s="125"/>
      <c r="PSQ185" s="125"/>
      <c r="PSR185" s="125"/>
      <c r="PSS185" s="125"/>
      <c r="PST185" s="125"/>
      <c r="PSU185" s="125"/>
      <c r="PSV185" s="125"/>
      <c r="PSW185" s="125"/>
      <c r="PSX185" s="125"/>
      <c r="PSY185" s="125"/>
      <c r="PSZ185" s="125"/>
      <c r="PTA185" s="125"/>
      <c r="PTB185" s="125"/>
      <c r="PTC185" s="125"/>
      <c r="PTD185" s="125"/>
      <c r="PTE185" s="125"/>
      <c r="PTF185" s="125"/>
      <c r="PTG185" s="125"/>
      <c r="PTH185" s="125"/>
      <c r="PTI185" s="125"/>
      <c r="PTJ185" s="125"/>
      <c r="PTK185" s="125"/>
      <c r="PTL185" s="125"/>
      <c r="PTM185" s="125"/>
      <c r="PTN185" s="125"/>
      <c r="PTO185" s="125"/>
      <c r="PTP185" s="125"/>
      <c r="PTQ185" s="125"/>
      <c r="PTR185" s="125"/>
      <c r="PTS185" s="125"/>
      <c r="PTT185" s="125"/>
      <c r="PTU185" s="125"/>
      <c r="PTV185" s="125"/>
      <c r="PTW185" s="125"/>
      <c r="PTX185" s="125"/>
      <c r="PTY185" s="125"/>
      <c r="PTZ185" s="125"/>
      <c r="PUA185" s="125"/>
      <c r="PUB185" s="125"/>
      <c r="PUC185" s="125"/>
      <c r="PUD185" s="125"/>
      <c r="PUE185" s="125"/>
      <c r="PUF185" s="125"/>
      <c r="PUG185" s="125"/>
      <c r="PUH185" s="125"/>
      <c r="PUI185" s="125"/>
      <c r="PUJ185" s="125"/>
      <c r="PUK185" s="125"/>
      <c r="PUL185" s="125"/>
      <c r="PUM185" s="125"/>
      <c r="PUN185" s="125"/>
      <c r="PUO185" s="125"/>
      <c r="PUP185" s="125"/>
      <c r="PUQ185" s="125"/>
      <c r="PUR185" s="125"/>
      <c r="PUS185" s="125"/>
      <c r="PUT185" s="125"/>
      <c r="PUU185" s="125"/>
      <c r="PUV185" s="125"/>
      <c r="PUW185" s="125"/>
      <c r="PUX185" s="125"/>
      <c r="PUY185" s="125"/>
      <c r="PUZ185" s="125"/>
      <c r="PVA185" s="125"/>
      <c r="PVB185" s="125"/>
      <c r="PVC185" s="125"/>
      <c r="PVD185" s="125"/>
      <c r="PVE185" s="125"/>
      <c r="PVF185" s="125"/>
      <c r="PVG185" s="125"/>
      <c r="PVH185" s="125"/>
      <c r="PVI185" s="125"/>
      <c r="PVJ185" s="125"/>
      <c r="PVK185" s="125"/>
      <c r="PVL185" s="125"/>
      <c r="PVM185" s="125"/>
      <c r="PVN185" s="125"/>
      <c r="PVO185" s="125"/>
      <c r="PVP185" s="125"/>
      <c r="PVQ185" s="125"/>
      <c r="PVR185" s="125"/>
      <c r="PVS185" s="125"/>
      <c r="PVT185" s="125"/>
      <c r="PVU185" s="125"/>
      <c r="PVV185" s="125"/>
      <c r="PVW185" s="125"/>
      <c r="PVX185" s="125"/>
      <c r="PVY185" s="125"/>
      <c r="PVZ185" s="125"/>
      <c r="PWA185" s="125"/>
      <c r="PWB185" s="125"/>
      <c r="PWC185" s="125"/>
      <c r="PWD185" s="125"/>
      <c r="PWE185" s="125"/>
      <c r="PWF185" s="125"/>
      <c r="PWG185" s="125"/>
      <c r="PWH185" s="125"/>
      <c r="PWI185" s="125"/>
      <c r="PWJ185" s="125"/>
      <c r="PWK185" s="125"/>
      <c r="PWL185" s="125"/>
      <c r="PWM185" s="125"/>
      <c r="PWN185" s="125"/>
      <c r="PWO185" s="125"/>
      <c r="PWP185" s="125"/>
      <c r="PWQ185" s="125"/>
      <c r="PWR185" s="125"/>
      <c r="PWS185" s="125"/>
      <c r="PWT185" s="125"/>
      <c r="PWU185" s="125"/>
      <c r="PWV185" s="125"/>
      <c r="PWW185" s="125"/>
      <c r="PWX185" s="125"/>
      <c r="PWY185" s="125"/>
      <c r="PWZ185" s="125"/>
      <c r="PXA185" s="125"/>
      <c r="PXB185" s="125"/>
      <c r="PXC185" s="125"/>
      <c r="PXD185" s="125"/>
      <c r="PXE185" s="125"/>
      <c r="PXF185" s="125"/>
      <c r="PXG185" s="125"/>
      <c r="PXH185" s="125"/>
      <c r="PXI185" s="125"/>
      <c r="PXJ185" s="125"/>
      <c r="PXK185" s="125"/>
      <c r="PXL185" s="125"/>
      <c r="PXM185" s="125"/>
      <c r="PXN185" s="125"/>
      <c r="PXO185" s="125"/>
      <c r="PXP185" s="125"/>
      <c r="PXQ185" s="125"/>
      <c r="PXR185" s="125"/>
      <c r="PXS185" s="125"/>
      <c r="PXT185" s="125"/>
      <c r="PXU185" s="125"/>
      <c r="PXV185" s="125"/>
      <c r="PXW185" s="125"/>
      <c r="PXX185" s="125"/>
      <c r="PXY185" s="125"/>
      <c r="PXZ185" s="125"/>
      <c r="PYA185" s="125"/>
      <c r="PYB185" s="125"/>
      <c r="PYC185" s="125"/>
      <c r="PYD185" s="125"/>
      <c r="PYE185" s="125"/>
      <c r="PYF185" s="125"/>
      <c r="PYG185" s="125"/>
      <c r="PYH185" s="125"/>
      <c r="PYI185" s="125"/>
      <c r="PYJ185" s="125"/>
      <c r="PYK185" s="125"/>
      <c r="PYL185" s="125"/>
      <c r="PYM185" s="125"/>
      <c r="PYN185" s="125"/>
      <c r="PYO185" s="125"/>
      <c r="PYP185" s="125"/>
      <c r="PYQ185" s="125"/>
      <c r="PYR185" s="125"/>
      <c r="PYS185" s="125"/>
      <c r="PYT185" s="125"/>
      <c r="PYU185" s="125"/>
      <c r="PYV185" s="125"/>
      <c r="PYW185" s="125"/>
      <c r="PYX185" s="125"/>
      <c r="PYY185" s="125"/>
      <c r="PYZ185" s="125"/>
      <c r="PZA185" s="125"/>
      <c r="PZB185" s="125"/>
      <c r="PZC185" s="125"/>
      <c r="PZD185" s="125"/>
      <c r="PZE185" s="125"/>
      <c r="PZF185" s="125"/>
      <c r="PZG185" s="125"/>
      <c r="PZH185" s="125"/>
      <c r="PZI185" s="125"/>
      <c r="PZJ185" s="125"/>
      <c r="PZK185" s="125"/>
      <c r="PZL185" s="125"/>
      <c r="PZM185" s="125"/>
      <c r="PZN185" s="125"/>
      <c r="PZO185" s="125"/>
      <c r="PZP185" s="125"/>
      <c r="PZQ185" s="125"/>
      <c r="PZR185" s="125"/>
      <c r="PZS185" s="125"/>
      <c r="PZT185" s="125"/>
      <c r="PZU185" s="125"/>
      <c r="PZV185" s="125"/>
      <c r="PZW185" s="125"/>
      <c r="PZX185" s="125"/>
      <c r="PZY185" s="125"/>
      <c r="PZZ185" s="125"/>
      <c r="QAA185" s="125"/>
      <c r="QAB185" s="125"/>
      <c r="QAC185" s="125"/>
      <c r="QAD185" s="125"/>
      <c r="QAE185" s="125"/>
      <c r="QAF185" s="125"/>
      <c r="QAG185" s="125"/>
      <c r="QAH185" s="125"/>
      <c r="QAI185" s="125"/>
      <c r="QAJ185" s="125"/>
      <c r="QAK185" s="125"/>
      <c r="QAL185" s="125"/>
      <c r="QAM185" s="125"/>
      <c r="QAN185" s="125"/>
      <c r="QAO185" s="125"/>
      <c r="QAP185" s="125"/>
      <c r="QAQ185" s="125"/>
      <c r="QAR185" s="125"/>
      <c r="QAS185" s="125"/>
      <c r="QAT185" s="125"/>
      <c r="QAU185" s="125"/>
      <c r="QAV185" s="125"/>
      <c r="QAW185" s="125"/>
      <c r="QAX185" s="125"/>
      <c r="QAY185" s="125"/>
      <c r="QAZ185" s="125"/>
      <c r="QBA185" s="125"/>
      <c r="QBB185" s="125"/>
      <c r="QBC185" s="125"/>
      <c r="QBD185" s="125"/>
      <c r="QBE185" s="125"/>
      <c r="QBF185" s="125"/>
      <c r="QBG185" s="125"/>
      <c r="QBH185" s="125"/>
      <c r="QBI185" s="125"/>
      <c r="QBJ185" s="125"/>
      <c r="QBK185" s="125"/>
      <c r="QBL185" s="125"/>
      <c r="QBM185" s="125"/>
      <c r="QBN185" s="125"/>
      <c r="QBO185" s="125"/>
      <c r="QBP185" s="125"/>
      <c r="QBQ185" s="125"/>
      <c r="QBR185" s="125"/>
      <c r="QBS185" s="125"/>
      <c r="QBT185" s="125"/>
      <c r="QBU185" s="125"/>
      <c r="QBV185" s="125"/>
      <c r="QBW185" s="125"/>
      <c r="QBX185" s="125"/>
      <c r="QBY185" s="125"/>
      <c r="QBZ185" s="125"/>
      <c r="QCA185" s="125"/>
      <c r="QCB185" s="125"/>
      <c r="QCC185" s="125"/>
      <c r="QCD185" s="125"/>
      <c r="QCE185" s="125"/>
      <c r="QCF185" s="125"/>
      <c r="QCG185" s="125"/>
      <c r="QCH185" s="125"/>
      <c r="QCI185" s="125"/>
      <c r="QCJ185" s="125"/>
      <c r="QCK185" s="125"/>
      <c r="QCL185" s="125"/>
      <c r="QCM185" s="125"/>
      <c r="QCN185" s="125"/>
      <c r="QCO185" s="125"/>
      <c r="QCP185" s="125"/>
      <c r="QCQ185" s="125"/>
      <c r="QCR185" s="125"/>
      <c r="QCS185" s="125"/>
      <c r="QCT185" s="125"/>
      <c r="QCU185" s="125"/>
      <c r="QCV185" s="125"/>
      <c r="QCW185" s="125"/>
      <c r="QCX185" s="125"/>
      <c r="QCY185" s="125"/>
      <c r="QCZ185" s="125"/>
      <c r="QDA185" s="125"/>
      <c r="QDB185" s="125"/>
      <c r="QDC185" s="125"/>
      <c r="QDD185" s="125"/>
      <c r="QDE185" s="125"/>
      <c r="QDF185" s="125"/>
      <c r="QDG185" s="125"/>
      <c r="QDH185" s="125"/>
      <c r="QDI185" s="125"/>
      <c r="QDJ185" s="125"/>
      <c r="QDK185" s="125"/>
      <c r="QDL185" s="125"/>
      <c r="QDM185" s="125"/>
      <c r="QDN185" s="125"/>
      <c r="QDO185" s="125"/>
      <c r="QDP185" s="125"/>
      <c r="QDQ185" s="125"/>
      <c r="QDR185" s="125"/>
      <c r="QDS185" s="125"/>
      <c r="QDT185" s="125"/>
      <c r="QDU185" s="125"/>
      <c r="QDV185" s="125"/>
      <c r="QDW185" s="125"/>
      <c r="QDX185" s="125"/>
      <c r="QDY185" s="125"/>
      <c r="QDZ185" s="125"/>
      <c r="QEA185" s="125"/>
      <c r="QEB185" s="125"/>
      <c r="QEC185" s="125"/>
      <c r="QED185" s="125"/>
      <c r="QEE185" s="125"/>
      <c r="QEF185" s="125"/>
      <c r="QEG185" s="125"/>
      <c r="QEH185" s="125"/>
      <c r="QEI185" s="125"/>
      <c r="QEJ185" s="125"/>
      <c r="QEK185" s="125"/>
      <c r="QEL185" s="125"/>
      <c r="QEM185" s="125"/>
      <c r="QEN185" s="125"/>
      <c r="QEO185" s="125"/>
      <c r="QEP185" s="125"/>
      <c r="QEQ185" s="125"/>
      <c r="QER185" s="125"/>
      <c r="QES185" s="125"/>
      <c r="QET185" s="125"/>
      <c r="QEU185" s="125"/>
      <c r="QEV185" s="125"/>
      <c r="QEW185" s="125"/>
      <c r="QEX185" s="125"/>
      <c r="QEY185" s="125"/>
      <c r="QEZ185" s="125"/>
      <c r="QFA185" s="125"/>
      <c r="QFB185" s="125"/>
      <c r="QFC185" s="125"/>
      <c r="QFD185" s="125"/>
      <c r="QFE185" s="125"/>
      <c r="QFF185" s="125"/>
      <c r="QFG185" s="125"/>
      <c r="QFH185" s="125"/>
      <c r="QFI185" s="125"/>
      <c r="QFJ185" s="125"/>
      <c r="QFK185" s="125"/>
      <c r="QFL185" s="125"/>
      <c r="QFM185" s="125"/>
      <c r="QFN185" s="125"/>
      <c r="QFO185" s="125"/>
      <c r="QFP185" s="125"/>
      <c r="QFQ185" s="125"/>
      <c r="QFR185" s="125"/>
      <c r="QFS185" s="125"/>
      <c r="QFT185" s="125"/>
      <c r="QFU185" s="125"/>
      <c r="QFV185" s="125"/>
      <c r="QFW185" s="125"/>
      <c r="QFX185" s="125"/>
      <c r="QFY185" s="125"/>
      <c r="QFZ185" s="125"/>
      <c r="QGA185" s="125"/>
      <c r="QGB185" s="125"/>
      <c r="QGC185" s="125"/>
      <c r="QGD185" s="125"/>
      <c r="QGE185" s="125"/>
      <c r="QGF185" s="125"/>
      <c r="QGG185" s="125"/>
      <c r="QGH185" s="125"/>
      <c r="QGI185" s="125"/>
      <c r="QGJ185" s="125"/>
      <c r="QGK185" s="125"/>
      <c r="QGL185" s="125"/>
      <c r="QGM185" s="125"/>
      <c r="QGN185" s="125"/>
      <c r="QGO185" s="125"/>
      <c r="QGP185" s="125"/>
      <c r="QGQ185" s="125"/>
      <c r="QGR185" s="125"/>
      <c r="QGS185" s="125"/>
      <c r="QGT185" s="125"/>
      <c r="QGU185" s="125"/>
      <c r="QGV185" s="125"/>
      <c r="QGW185" s="125"/>
      <c r="QGX185" s="125"/>
      <c r="QGY185" s="125"/>
      <c r="QGZ185" s="125"/>
      <c r="QHA185" s="125"/>
      <c r="QHB185" s="125"/>
      <c r="QHC185" s="125"/>
      <c r="QHD185" s="125"/>
      <c r="QHE185" s="125"/>
      <c r="QHF185" s="125"/>
      <c r="QHG185" s="125"/>
      <c r="QHH185" s="125"/>
      <c r="QHI185" s="125"/>
      <c r="QHJ185" s="125"/>
      <c r="QHK185" s="125"/>
      <c r="QHL185" s="125"/>
      <c r="QHM185" s="125"/>
      <c r="QHN185" s="125"/>
      <c r="QHO185" s="125"/>
      <c r="QHP185" s="125"/>
      <c r="QHQ185" s="125"/>
      <c r="QHR185" s="125"/>
      <c r="QHS185" s="125"/>
      <c r="QHT185" s="125"/>
      <c r="QHU185" s="125"/>
      <c r="QHV185" s="125"/>
      <c r="QHW185" s="125"/>
      <c r="QHX185" s="125"/>
      <c r="QHY185" s="125"/>
      <c r="QHZ185" s="125"/>
      <c r="QIA185" s="125"/>
      <c r="QIB185" s="125"/>
      <c r="QIC185" s="125"/>
      <c r="QID185" s="125"/>
      <c r="QIE185" s="125"/>
      <c r="QIF185" s="125"/>
      <c r="QIG185" s="125"/>
      <c r="QIH185" s="125"/>
      <c r="QII185" s="125"/>
      <c r="QIJ185" s="125"/>
      <c r="QIK185" s="125"/>
      <c r="QIL185" s="125"/>
      <c r="QIM185" s="125"/>
      <c r="QIN185" s="125"/>
      <c r="QIO185" s="125"/>
      <c r="QIP185" s="125"/>
      <c r="QIQ185" s="125"/>
      <c r="QIR185" s="125"/>
      <c r="QIS185" s="125"/>
      <c r="QIT185" s="125"/>
      <c r="QIU185" s="125"/>
      <c r="QIV185" s="125"/>
      <c r="QIW185" s="125"/>
      <c r="QIX185" s="125"/>
      <c r="QIY185" s="125"/>
      <c r="QIZ185" s="125"/>
      <c r="QJA185" s="125"/>
      <c r="QJB185" s="125"/>
      <c r="QJC185" s="125"/>
      <c r="QJD185" s="125"/>
      <c r="QJE185" s="125"/>
      <c r="QJF185" s="125"/>
      <c r="QJG185" s="125"/>
      <c r="QJH185" s="125"/>
      <c r="QJI185" s="125"/>
      <c r="QJJ185" s="125"/>
      <c r="QJK185" s="125"/>
      <c r="QJL185" s="125"/>
      <c r="QJM185" s="125"/>
      <c r="QJN185" s="125"/>
      <c r="QJO185" s="125"/>
      <c r="QJP185" s="125"/>
      <c r="QJQ185" s="125"/>
      <c r="QJR185" s="125"/>
      <c r="QJS185" s="125"/>
      <c r="QJT185" s="125"/>
      <c r="QJU185" s="125"/>
      <c r="QJV185" s="125"/>
      <c r="QJW185" s="125"/>
      <c r="QJX185" s="125"/>
      <c r="QJY185" s="125"/>
      <c r="QJZ185" s="125"/>
      <c r="QKA185" s="125"/>
      <c r="QKB185" s="125"/>
      <c r="QKC185" s="125"/>
      <c r="QKD185" s="125"/>
      <c r="QKE185" s="125"/>
      <c r="QKF185" s="125"/>
      <c r="QKG185" s="125"/>
      <c r="QKH185" s="125"/>
      <c r="QKI185" s="125"/>
      <c r="QKJ185" s="125"/>
      <c r="QKK185" s="125"/>
      <c r="QKL185" s="125"/>
      <c r="QKM185" s="125"/>
      <c r="QKN185" s="125"/>
      <c r="QKO185" s="125"/>
      <c r="QKP185" s="125"/>
      <c r="QKQ185" s="125"/>
      <c r="QKR185" s="125"/>
      <c r="QKS185" s="125"/>
      <c r="QKT185" s="125"/>
      <c r="QKU185" s="125"/>
      <c r="QKV185" s="125"/>
      <c r="QKW185" s="125"/>
      <c r="QKX185" s="125"/>
      <c r="QKY185" s="125"/>
      <c r="QKZ185" s="125"/>
      <c r="QLA185" s="125"/>
      <c r="QLB185" s="125"/>
      <c r="QLC185" s="125"/>
      <c r="QLD185" s="125"/>
      <c r="QLE185" s="125"/>
      <c r="QLF185" s="125"/>
      <c r="QLG185" s="125"/>
      <c r="QLH185" s="125"/>
      <c r="QLI185" s="125"/>
      <c r="QLJ185" s="125"/>
      <c r="QLK185" s="125"/>
      <c r="QLL185" s="125"/>
      <c r="QLM185" s="125"/>
      <c r="QLN185" s="125"/>
      <c r="QLO185" s="125"/>
      <c r="QLP185" s="125"/>
      <c r="QLQ185" s="125"/>
      <c r="QLR185" s="125"/>
      <c r="QLS185" s="125"/>
      <c r="QLT185" s="125"/>
      <c r="QLU185" s="125"/>
      <c r="QLV185" s="125"/>
      <c r="QLW185" s="125"/>
      <c r="QLX185" s="125"/>
      <c r="QLY185" s="125"/>
      <c r="QLZ185" s="125"/>
      <c r="QMA185" s="125"/>
      <c r="QMB185" s="125"/>
      <c r="QMC185" s="125"/>
      <c r="QMD185" s="125"/>
      <c r="QME185" s="125"/>
      <c r="QMF185" s="125"/>
      <c r="QMG185" s="125"/>
      <c r="QMH185" s="125"/>
      <c r="QMI185" s="125"/>
      <c r="QMJ185" s="125"/>
      <c r="QMK185" s="125"/>
      <c r="QML185" s="125"/>
      <c r="QMM185" s="125"/>
      <c r="QMN185" s="125"/>
      <c r="QMO185" s="125"/>
      <c r="QMP185" s="125"/>
      <c r="QMQ185" s="125"/>
      <c r="QMR185" s="125"/>
      <c r="QMS185" s="125"/>
      <c r="QMT185" s="125"/>
      <c r="QMU185" s="125"/>
      <c r="QMV185" s="125"/>
      <c r="QMW185" s="125"/>
      <c r="QMX185" s="125"/>
      <c r="QMY185" s="125"/>
      <c r="QMZ185" s="125"/>
      <c r="QNA185" s="125"/>
      <c r="QNB185" s="125"/>
      <c r="QNC185" s="125"/>
      <c r="QND185" s="125"/>
      <c r="QNE185" s="125"/>
      <c r="QNF185" s="125"/>
      <c r="QNG185" s="125"/>
      <c r="QNH185" s="125"/>
      <c r="QNI185" s="125"/>
      <c r="QNJ185" s="125"/>
      <c r="QNK185" s="125"/>
      <c r="QNL185" s="125"/>
      <c r="QNM185" s="125"/>
      <c r="QNN185" s="125"/>
      <c r="QNO185" s="125"/>
      <c r="QNP185" s="125"/>
      <c r="QNQ185" s="125"/>
      <c r="QNR185" s="125"/>
      <c r="QNS185" s="125"/>
      <c r="QNT185" s="125"/>
      <c r="QNU185" s="125"/>
      <c r="QNV185" s="125"/>
      <c r="QNW185" s="125"/>
      <c r="QNX185" s="125"/>
      <c r="QNY185" s="125"/>
      <c r="QNZ185" s="125"/>
      <c r="QOA185" s="125"/>
      <c r="QOB185" s="125"/>
      <c r="QOC185" s="125"/>
      <c r="QOD185" s="125"/>
      <c r="QOE185" s="125"/>
      <c r="QOF185" s="125"/>
      <c r="QOG185" s="125"/>
      <c r="QOH185" s="125"/>
      <c r="QOI185" s="125"/>
      <c r="QOJ185" s="125"/>
      <c r="QOK185" s="125"/>
      <c r="QOL185" s="125"/>
      <c r="QOM185" s="125"/>
      <c r="QON185" s="125"/>
      <c r="QOO185" s="125"/>
      <c r="QOP185" s="125"/>
      <c r="QOQ185" s="125"/>
      <c r="QOR185" s="125"/>
      <c r="QOS185" s="125"/>
      <c r="QOT185" s="125"/>
      <c r="QOU185" s="125"/>
      <c r="QOV185" s="125"/>
      <c r="QOW185" s="125"/>
      <c r="QOX185" s="125"/>
      <c r="QOY185" s="125"/>
      <c r="QOZ185" s="125"/>
      <c r="QPA185" s="125"/>
      <c r="QPB185" s="125"/>
      <c r="QPC185" s="125"/>
      <c r="QPD185" s="125"/>
      <c r="QPE185" s="125"/>
      <c r="QPF185" s="125"/>
      <c r="QPG185" s="125"/>
      <c r="QPH185" s="125"/>
      <c r="QPI185" s="125"/>
      <c r="QPJ185" s="125"/>
      <c r="QPK185" s="125"/>
      <c r="QPL185" s="125"/>
      <c r="QPM185" s="125"/>
      <c r="QPN185" s="125"/>
      <c r="QPO185" s="125"/>
      <c r="QPP185" s="125"/>
      <c r="QPQ185" s="125"/>
      <c r="QPR185" s="125"/>
      <c r="QPS185" s="125"/>
      <c r="QPT185" s="125"/>
      <c r="QPU185" s="125"/>
      <c r="QPV185" s="125"/>
      <c r="QPW185" s="125"/>
      <c r="QPX185" s="125"/>
      <c r="QPY185" s="125"/>
      <c r="QPZ185" s="125"/>
      <c r="QQA185" s="125"/>
      <c r="QQB185" s="125"/>
      <c r="QQC185" s="125"/>
      <c r="QQD185" s="125"/>
      <c r="QQE185" s="125"/>
      <c r="QQF185" s="125"/>
      <c r="QQG185" s="125"/>
      <c r="QQH185" s="125"/>
      <c r="QQI185" s="125"/>
      <c r="QQJ185" s="125"/>
      <c r="QQK185" s="125"/>
      <c r="QQL185" s="125"/>
      <c r="QQM185" s="125"/>
      <c r="QQN185" s="125"/>
      <c r="QQO185" s="125"/>
      <c r="QQP185" s="125"/>
      <c r="QQQ185" s="125"/>
      <c r="QQR185" s="125"/>
      <c r="QQS185" s="125"/>
      <c r="QQT185" s="125"/>
      <c r="QQU185" s="125"/>
      <c r="QQV185" s="125"/>
      <c r="QQW185" s="125"/>
      <c r="QQX185" s="125"/>
      <c r="QQY185" s="125"/>
      <c r="QQZ185" s="125"/>
      <c r="QRA185" s="125"/>
      <c r="QRB185" s="125"/>
      <c r="QRC185" s="125"/>
      <c r="QRD185" s="125"/>
      <c r="QRE185" s="125"/>
      <c r="QRF185" s="125"/>
      <c r="QRG185" s="125"/>
      <c r="QRH185" s="125"/>
      <c r="QRI185" s="125"/>
      <c r="QRJ185" s="125"/>
      <c r="QRK185" s="125"/>
      <c r="QRL185" s="125"/>
      <c r="QRM185" s="125"/>
      <c r="QRN185" s="125"/>
      <c r="QRO185" s="125"/>
      <c r="QRP185" s="125"/>
      <c r="QRQ185" s="125"/>
      <c r="QRR185" s="125"/>
      <c r="QRS185" s="125"/>
      <c r="QRT185" s="125"/>
      <c r="QRU185" s="125"/>
      <c r="QRV185" s="125"/>
      <c r="QRW185" s="125"/>
      <c r="QRX185" s="125"/>
      <c r="QRY185" s="125"/>
      <c r="QRZ185" s="125"/>
      <c r="QSA185" s="125"/>
      <c r="QSB185" s="125"/>
      <c r="QSC185" s="125"/>
      <c r="QSD185" s="125"/>
      <c r="QSE185" s="125"/>
      <c r="QSF185" s="125"/>
      <c r="QSG185" s="125"/>
      <c r="QSH185" s="125"/>
      <c r="QSI185" s="125"/>
      <c r="QSJ185" s="125"/>
      <c r="QSK185" s="125"/>
      <c r="QSL185" s="125"/>
      <c r="QSM185" s="125"/>
      <c r="QSN185" s="125"/>
      <c r="QSO185" s="125"/>
      <c r="QSP185" s="125"/>
      <c r="QSQ185" s="125"/>
      <c r="QSR185" s="125"/>
      <c r="QSS185" s="125"/>
      <c r="QST185" s="125"/>
      <c r="QSU185" s="125"/>
      <c r="QSV185" s="125"/>
      <c r="QSW185" s="125"/>
      <c r="QSX185" s="125"/>
      <c r="QSY185" s="125"/>
      <c r="QSZ185" s="125"/>
      <c r="QTA185" s="125"/>
      <c r="QTB185" s="125"/>
      <c r="QTC185" s="125"/>
      <c r="QTD185" s="125"/>
      <c r="QTE185" s="125"/>
      <c r="QTF185" s="125"/>
      <c r="QTG185" s="125"/>
      <c r="QTH185" s="125"/>
      <c r="QTI185" s="125"/>
      <c r="QTJ185" s="125"/>
      <c r="QTK185" s="125"/>
      <c r="QTL185" s="125"/>
      <c r="QTM185" s="125"/>
      <c r="QTN185" s="125"/>
      <c r="QTO185" s="125"/>
      <c r="QTP185" s="125"/>
      <c r="QTQ185" s="125"/>
      <c r="QTR185" s="125"/>
      <c r="QTS185" s="125"/>
      <c r="QTT185" s="125"/>
      <c r="QTU185" s="125"/>
      <c r="QTV185" s="125"/>
      <c r="QTW185" s="125"/>
      <c r="QTX185" s="125"/>
      <c r="QTY185" s="125"/>
      <c r="QTZ185" s="125"/>
      <c r="QUA185" s="125"/>
      <c r="QUB185" s="125"/>
      <c r="QUC185" s="125"/>
      <c r="QUD185" s="125"/>
      <c r="QUE185" s="125"/>
      <c r="QUF185" s="125"/>
      <c r="QUG185" s="125"/>
      <c r="QUH185" s="125"/>
      <c r="QUI185" s="125"/>
      <c r="QUJ185" s="125"/>
      <c r="QUK185" s="125"/>
      <c r="QUL185" s="125"/>
      <c r="QUM185" s="125"/>
      <c r="QUN185" s="125"/>
      <c r="QUO185" s="125"/>
      <c r="QUP185" s="125"/>
      <c r="QUQ185" s="125"/>
      <c r="QUR185" s="125"/>
      <c r="QUS185" s="125"/>
      <c r="QUT185" s="125"/>
      <c r="QUU185" s="125"/>
      <c r="QUV185" s="125"/>
      <c r="QUW185" s="125"/>
      <c r="QUX185" s="125"/>
      <c r="QUY185" s="125"/>
      <c r="QUZ185" s="125"/>
      <c r="QVA185" s="125"/>
      <c r="QVB185" s="125"/>
      <c r="QVC185" s="125"/>
      <c r="QVD185" s="125"/>
      <c r="QVE185" s="125"/>
      <c r="QVF185" s="125"/>
      <c r="QVG185" s="125"/>
      <c r="QVH185" s="125"/>
      <c r="QVI185" s="125"/>
      <c r="QVJ185" s="125"/>
      <c r="QVK185" s="125"/>
      <c r="QVL185" s="125"/>
      <c r="QVM185" s="125"/>
      <c r="QVN185" s="125"/>
      <c r="QVO185" s="125"/>
      <c r="QVP185" s="125"/>
      <c r="QVQ185" s="125"/>
      <c r="QVR185" s="125"/>
      <c r="QVS185" s="125"/>
      <c r="QVT185" s="125"/>
      <c r="QVU185" s="125"/>
      <c r="QVV185" s="125"/>
      <c r="QVW185" s="125"/>
      <c r="QVX185" s="125"/>
      <c r="QVY185" s="125"/>
      <c r="QVZ185" s="125"/>
      <c r="QWA185" s="125"/>
      <c r="QWB185" s="125"/>
      <c r="QWC185" s="125"/>
      <c r="QWD185" s="125"/>
      <c r="QWE185" s="125"/>
      <c r="QWF185" s="125"/>
      <c r="QWG185" s="125"/>
      <c r="QWH185" s="125"/>
      <c r="QWI185" s="125"/>
      <c r="QWJ185" s="125"/>
      <c r="QWK185" s="125"/>
      <c r="QWL185" s="125"/>
      <c r="QWM185" s="125"/>
      <c r="QWN185" s="125"/>
      <c r="QWO185" s="125"/>
      <c r="QWP185" s="125"/>
      <c r="QWQ185" s="125"/>
      <c r="QWR185" s="125"/>
      <c r="QWS185" s="125"/>
      <c r="QWT185" s="125"/>
      <c r="QWU185" s="125"/>
      <c r="QWV185" s="125"/>
      <c r="QWW185" s="125"/>
      <c r="QWX185" s="125"/>
      <c r="QWY185" s="125"/>
      <c r="QWZ185" s="125"/>
      <c r="QXA185" s="125"/>
      <c r="QXB185" s="125"/>
      <c r="QXC185" s="125"/>
      <c r="QXD185" s="125"/>
      <c r="QXE185" s="125"/>
      <c r="QXF185" s="125"/>
      <c r="QXG185" s="125"/>
      <c r="QXH185" s="125"/>
      <c r="QXI185" s="125"/>
      <c r="QXJ185" s="125"/>
      <c r="QXK185" s="125"/>
      <c r="QXL185" s="125"/>
      <c r="QXM185" s="125"/>
      <c r="QXN185" s="125"/>
      <c r="QXO185" s="125"/>
      <c r="QXP185" s="125"/>
      <c r="QXQ185" s="125"/>
      <c r="QXR185" s="125"/>
      <c r="QXS185" s="125"/>
      <c r="QXT185" s="125"/>
      <c r="QXU185" s="125"/>
      <c r="QXV185" s="125"/>
      <c r="QXW185" s="125"/>
      <c r="QXX185" s="125"/>
      <c r="QXY185" s="125"/>
      <c r="QXZ185" s="125"/>
      <c r="QYA185" s="125"/>
      <c r="QYB185" s="125"/>
      <c r="QYC185" s="125"/>
      <c r="QYD185" s="125"/>
      <c r="QYE185" s="125"/>
      <c r="QYF185" s="125"/>
      <c r="QYG185" s="125"/>
      <c r="QYH185" s="125"/>
      <c r="QYI185" s="125"/>
      <c r="QYJ185" s="125"/>
      <c r="QYK185" s="125"/>
      <c r="QYL185" s="125"/>
      <c r="QYM185" s="125"/>
      <c r="QYN185" s="125"/>
      <c r="QYO185" s="125"/>
      <c r="QYP185" s="125"/>
      <c r="QYQ185" s="125"/>
      <c r="QYR185" s="125"/>
      <c r="QYS185" s="125"/>
      <c r="QYT185" s="125"/>
      <c r="QYU185" s="125"/>
      <c r="QYV185" s="125"/>
      <c r="QYW185" s="125"/>
      <c r="QYX185" s="125"/>
      <c r="QYY185" s="125"/>
      <c r="QYZ185" s="125"/>
      <c r="QZA185" s="125"/>
      <c r="QZB185" s="125"/>
      <c r="QZC185" s="125"/>
      <c r="QZD185" s="125"/>
      <c r="QZE185" s="125"/>
      <c r="QZF185" s="125"/>
      <c r="QZG185" s="125"/>
      <c r="QZH185" s="125"/>
      <c r="QZI185" s="125"/>
      <c r="QZJ185" s="125"/>
      <c r="QZK185" s="125"/>
      <c r="QZL185" s="125"/>
      <c r="QZM185" s="125"/>
      <c r="QZN185" s="125"/>
      <c r="QZO185" s="125"/>
      <c r="QZP185" s="125"/>
      <c r="QZQ185" s="125"/>
      <c r="QZR185" s="125"/>
      <c r="QZS185" s="125"/>
      <c r="QZT185" s="125"/>
      <c r="QZU185" s="125"/>
      <c r="QZV185" s="125"/>
      <c r="QZW185" s="125"/>
      <c r="QZX185" s="125"/>
      <c r="QZY185" s="125"/>
      <c r="QZZ185" s="125"/>
      <c r="RAA185" s="125"/>
      <c r="RAB185" s="125"/>
      <c r="RAC185" s="125"/>
      <c r="RAD185" s="125"/>
      <c r="RAE185" s="125"/>
      <c r="RAF185" s="125"/>
      <c r="RAG185" s="125"/>
      <c r="RAH185" s="125"/>
      <c r="RAI185" s="125"/>
      <c r="RAJ185" s="125"/>
      <c r="RAK185" s="125"/>
      <c r="RAL185" s="125"/>
      <c r="RAM185" s="125"/>
      <c r="RAN185" s="125"/>
      <c r="RAO185" s="125"/>
      <c r="RAP185" s="125"/>
      <c r="RAQ185" s="125"/>
      <c r="RAR185" s="125"/>
      <c r="RAS185" s="125"/>
      <c r="RAT185" s="125"/>
      <c r="RAU185" s="125"/>
      <c r="RAV185" s="125"/>
      <c r="RAW185" s="125"/>
      <c r="RAX185" s="125"/>
      <c r="RAY185" s="125"/>
      <c r="RAZ185" s="125"/>
      <c r="RBA185" s="125"/>
      <c r="RBB185" s="125"/>
      <c r="RBC185" s="125"/>
      <c r="RBD185" s="125"/>
      <c r="RBE185" s="125"/>
      <c r="RBF185" s="125"/>
      <c r="RBG185" s="125"/>
      <c r="RBH185" s="125"/>
      <c r="RBI185" s="125"/>
      <c r="RBJ185" s="125"/>
      <c r="RBK185" s="125"/>
      <c r="RBL185" s="125"/>
      <c r="RBM185" s="125"/>
      <c r="RBN185" s="125"/>
      <c r="RBO185" s="125"/>
      <c r="RBP185" s="125"/>
      <c r="RBQ185" s="125"/>
      <c r="RBR185" s="125"/>
      <c r="RBS185" s="125"/>
      <c r="RBT185" s="125"/>
      <c r="RBU185" s="125"/>
      <c r="RBV185" s="125"/>
      <c r="RBW185" s="125"/>
      <c r="RBX185" s="125"/>
      <c r="RBY185" s="125"/>
      <c r="RBZ185" s="125"/>
      <c r="RCA185" s="125"/>
      <c r="RCB185" s="125"/>
      <c r="RCC185" s="125"/>
      <c r="RCD185" s="125"/>
      <c r="RCE185" s="125"/>
      <c r="RCF185" s="125"/>
      <c r="RCG185" s="125"/>
      <c r="RCH185" s="125"/>
      <c r="RCI185" s="125"/>
      <c r="RCJ185" s="125"/>
      <c r="RCK185" s="125"/>
      <c r="RCL185" s="125"/>
      <c r="RCM185" s="125"/>
      <c r="RCN185" s="125"/>
      <c r="RCO185" s="125"/>
      <c r="RCP185" s="125"/>
      <c r="RCQ185" s="125"/>
      <c r="RCR185" s="125"/>
      <c r="RCS185" s="125"/>
      <c r="RCT185" s="125"/>
      <c r="RCU185" s="125"/>
      <c r="RCV185" s="125"/>
      <c r="RCW185" s="125"/>
      <c r="RCX185" s="125"/>
      <c r="RCY185" s="125"/>
      <c r="RCZ185" s="125"/>
      <c r="RDA185" s="125"/>
      <c r="RDB185" s="125"/>
      <c r="RDC185" s="125"/>
      <c r="RDD185" s="125"/>
      <c r="RDE185" s="125"/>
      <c r="RDF185" s="125"/>
      <c r="RDG185" s="125"/>
      <c r="RDH185" s="125"/>
      <c r="RDI185" s="125"/>
      <c r="RDJ185" s="125"/>
      <c r="RDK185" s="125"/>
      <c r="RDL185" s="125"/>
      <c r="RDM185" s="125"/>
      <c r="RDN185" s="125"/>
      <c r="RDO185" s="125"/>
      <c r="RDP185" s="125"/>
      <c r="RDQ185" s="125"/>
      <c r="RDR185" s="125"/>
      <c r="RDS185" s="125"/>
      <c r="RDT185" s="125"/>
      <c r="RDU185" s="125"/>
      <c r="RDV185" s="125"/>
      <c r="RDW185" s="125"/>
      <c r="RDX185" s="125"/>
      <c r="RDY185" s="125"/>
      <c r="RDZ185" s="125"/>
      <c r="REA185" s="125"/>
      <c r="REB185" s="125"/>
      <c r="REC185" s="125"/>
      <c r="RED185" s="125"/>
      <c r="REE185" s="125"/>
      <c r="REF185" s="125"/>
      <c r="REG185" s="125"/>
      <c r="REH185" s="125"/>
      <c r="REI185" s="125"/>
      <c r="REJ185" s="125"/>
      <c r="REK185" s="125"/>
      <c r="REL185" s="125"/>
      <c r="REM185" s="125"/>
      <c r="REN185" s="125"/>
      <c r="REO185" s="125"/>
      <c r="REP185" s="125"/>
      <c r="REQ185" s="125"/>
      <c r="RER185" s="125"/>
      <c r="RES185" s="125"/>
      <c r="RET185" s="125"/>
      <c r="REU185" s="125"/>
      <c r="REV185" s="125"/>
      <c r="REW185" s="125"/>
      <c r="REX185" s="125"/>
      <c r="REY185" s="125"/>
      <c r="REZ185" s="125"/>
      <c r="RFA185" s="125"/>
      <c r="RFB185" s="125"/>
      <c r="RFC185" s="125"/>
      <c r="RFD185" s="125"/>
      <c r="RFE185" s="125"/>
      <c r="RFF185" s="125"/>
      <c r="RFG185" s="125"/>
      <c r="RFH185" s="125"/>
      <c r="RFI185" s="125"/>
      <c r="RFJ185" s="125"/>
      <c r="RFK185" s="125"/>
      <c r="RFL185" s="125"/>
      <c r="RFM185" s="125"/>
      <c r="RFN185" s="125"/>
      <c r="RFO185" s="125"/>
      <c r="RFP185" s="125"/>
      <c r="RFQ185" s="125"/>
      <c r="RFR185" s="125"/>
      <c r="RFS185" s="125"/>
      <c r="RFT185" s="125"/>
      <c r="RFU185" s="125"/>
      <c r="RFV185" s="125"/>
      <c r="RFW185" s="125"/>
      <c r="RFX185" s="125"/>
      <c r="RFY185" s="125"/>
      <c r="RFZ185" s="125"/>
      <c r="RGA185" s="125"/>
      <c r="RGB185" s="125"/>
      <c r="RGC185" s="125"/>
      <c r="RGD185" s="125"/>
      <c r="RGE185" s="125"/>
      <c r="RGF185" s="125"/>
      <c r="RGG185" s="125"/>
      <c r="RGH185" s="125"/>
      <c r="RGI185" s="125"/>
      <c r="RGJ185" s="125"/>
      <c r="RGK185" s="125"/>
      <c r="RGL185" s="125"/>
      <c r="RGM185" s="125"/>
      <c r="RGN185" s="125"/>
      <c r="RGO185" s="125"/>
      <c r="RGP185" s="125"/>
      <c r="RGQ185" s="125"/>
      <c r="RGR185" s="125"/>
      <c r="RGS185" s="125"/>
      <c r="RGT185" s="125"/>
      <c r="RGU185" s="125"/>
      <c r="RGV185" s="125"/>
      <c r="RGW185" s="125"/>
      <c r="RGX185" s="125"/>
      <c r="RGY185" s="125"/>
      <c r="RGZ185" s="125"/>
      <c r="RHA185" s="125"/>
      <c r="RHB185" s="125"/>
      <c r="RHC185" s="125"/>
      <c r="RHD185" s="125"/>
      <c r="RHE185" s="125"/>
      <c r="RHF185" s="125"/>
      <c r="RHG185" s="125"/>
      <c r="RHH185" s="125"/>
      <c r="RHI185" s="125"/>
      <c r="RHJ185" s="125"/>
      <c r="RHK185" s="125"/>
      <c r="RHL185" s="125"/>
      <c r="RHM185" s="125"/>
      <c r="RHN185" s="125"/>
      <c r="RHO185" s="125"/>
      <c r="RHP185" s="125"/>
      <c r="RHQ185" s="125"/>
      <c r="RHR185" s="125"/>
      <c r="RHS185" s="125"/>
      <c r="RHT185" s="125"/>
      <c r="RHU185" s="125"/>
      <c r="RHV185" s="125"/>
      <c r="RHW185" s="125"/>
      <c r="RHX185" s="125"/>
      <c r="RHY185" s="125"/>
      <c r="RHZ185" s="125"/>
      <c r="RIA185" s="125"/>
      <c r="RIB185" s="125"/>
      <c r="RIC185" s="125"/>
      <c r="RID185" s="125"/>
      <c r="RIE185" s="125"/>
      <c r="RIF185" s="125"/>
      <c r="RIG185" s="125"/>
      <c r="RIH185" s="125"/>
      <c r="RII185" s="125"/>
      <c r="RIJ185" s="125"/>
      <c r="RIK185" s="125"/>
      <c r="RIL185" s="125"/>
      <c r="RIM185" s="125"/>
      <c r="RIN185" s="125"/>
      <c r="RIO185" s="125"/>
      <c r="RIP185" s="125"/>
      <c r="RIQ185" s="125"/>
      <c r="RIR185" s="125"/>
      <c r="RIS185" s="125"/>
      <c r="RIT185" s="125"/>
      <c r="RIU185" s="125"/>
      <c r="RIV185" s="125"/>
      <c r="RIW185" s="125"/>
      <c r="RIX185" s="125"/>
      <c r="RIY185" s="125"/>
      <c r="RIZ185" s="125"/>
      <c r="RJA185" s="125"/>
      <c r="RJB185" s="125"/>
      <c r="RJC185" s="125"/>
      <c r="RJD185" s="125"/>
      <c r="RJE185" s="125"/>
      <c r="RJF185" s="125"/>
      <c r="RJG185" s="125"/>
      <c r="RJH185" s="125"/>
      <c r="RJI185" s="125"/>
      <c r="RJJ185" s="125"/>
      <c r="RJK185" s="125"/>
      <c r="RJL185" s="125"/>
      <c r="RJM185" s="125"/>
      <c r="RJN185" s="125"/>
      <c r="RJO185" s="125"/>
      <c r="RJP185" s="125"/>
      <c r="RJQ185" s="125"/>
      <c r="RJR185" s="125"/>
      <c r="RJS185" s="125"/>
      <c r="RJT185" s="125"/>
      <c r="RJU185" s="125"/>
      <c r="RJV185" s="125"/>
      <c r="RJW185" s="125"/>
      <c r="RJX185" s="125"/>
      <c r="RJY185" s="125"/>
      <c r="RJZ185" s="125"/>
      <c r="RKA185" s="125"/>
      <c r="RKB185" s="125"/>
      <c r="RKC185" s="125"/>
      <c r="RKD185" s="125"/>
      <c r="RKE185" s="125"/>
      <c r="RKF185" s="125"/>
      <c r="RKG185" s="125"/>
      <c r="RKH185" s="125"/>
      <c r="RKI185" s="125"/>
      <c r="RKJ185" s="125"/>
      <c r="RKK185" s="125"/>
      <c r="RKL185" s="125"/>
      <c r="RKM185" s="125"/>
      <c r="RKN185" s="125"/>
      <c r="RKO185" s="125"/>
      <c r="RKP185" s="125"/>
      <c r="RKQ185" s="125"/>
      <c r="RKR185" s="125"/>
      <c r="RKS185" s="125"/>
      <c r="RKT185" s="125"/>
      <c r="RKU185" s="125"/>
      <c r="RKV185" s="125"/>
      <c r="RKW185" s="125"/>
      <c r="RKX185" s="125"/>
      <c r="RKY185" s="125"/>
      <c r="RKZ185" s="125"/>
      <c r="RLA185" s="125"/>
      <c r="RLB185" s="125"/>
      <c r="RLC185" s="125"/>
      <c r="RLD185" s="125"/>
      <c r="RLE185" s="125"/>
      <c r="RLF185" s="125"/>
      <c r="RLG185" s="125"/>
      <c r="RLH185" s="125"/>
      <c r="RLI185" s="125"/>
      <c r="RLJ185" s="125"/>
      <c r="RLK185" s="125"/>
      <c r="RLL185" s="125"/>
      <c r="RLM185" s="125"/>
      <c r="RLN185" s="125"/>
      <c r="RLO185" s="125"/>
      <c r="RLP185" s="125"/>
      <c r="RLQ185" s="125"/>
      <c r="RLR185" s="125"/>
      <c r="RLS185" s="125"/>
      <c r="RLT185" s="125"/>
      <c r="RLU185" s="125"/>
      <c r="RLV185" s="125"/>
      <c r="RLW185" s="125"/>
      <c r="RLX185" s="125"/>
      <c r="RLY185" s="125"/>
      <c r="RLZ185" s="125"/>
      <c r="RMA185" s="125"/>
      <c r="RMB185" s="125"/>
      <c r="RMC185" s="125"/>
      <c r="RMD185" s="125"/>
      <c r="RME185" s="125"/>
      <c r="RMF185" s="125"/>
      <c r="RMG185" s="125"/>
      <c r="RMH185" s="125"/>
      <c r="RMI185" s="125"/>
      <c r="RMJ185" s="125"/>
      <c r="RMK185" s="125"/>
      <c r="RML185" s="125"/>
      <c r="RMM185" s="125"/>
      <c r="RMN185" s="125"/>
      <c r="RMO185" s="125"/>
      <c r="RMP185" s="125"/>
      <c r="RMQ185" s="125"/>
      <c r="RMR185" s="125"/>
      <c r="RMS185" s="125"/>
      <c r="RMT185" s="125"/>
      <c r="RMU185" s="125"/>
      <c r="RMV185" s="125"/>
      <c r="RMW185" s="125"/>
      <c r="RMX185" s="125"/>
      <c r="RMY185" s="125"/>
      <c r="RMZ185" s="125"/>
      <c r="RNA185" s="125"/>
      <c r="RNB185" s="125"/>
      <c r="RNC185" s="125"/>
      <c r="RND185" s="125"/>
      <c r="RNE185" s="125"/>
      <c r="RNF185" s="125"/>
      <c r="RNG185" s="125"/>
      <c r="RNH185" s="125"/>
      <c r="RNI185" s="125"/>
      <c r="RNJ185" s="125"/>
      <c r="RNK185" s="125"/>
      <c r="RNL185" s="125"/>
      <c r="RNM185" s="125"/>
      <c r="RNN185" s="125"/>
      <c r="RNO185" s="125"/>
      <c r="RNP185" s="125"/>
      <c r="RNQ185" s="125"/>
      <c r="RNR185" s="125"/>
      <c r="RNS185" s="125"/>
      <c r="RNT185" s="125"/>
      <c r="RNU185" s="125"/>
      <c r="RNV185" s="125"/>
      <c r="RNW185" s="125"/>
      <c r="RNX185" s="125"/>
      <c r="RNY185" s="125"/>
      <c r="RNZ185" s="125"/>
      <c r="ROA185" s="125"/>
      <c r="ROB185" s="125"/>
      <c r="ROC185" s="125"/>
      <c r="ROD185" s="125"/>
      <c r="ROE185" s="125"/>
      <c r="ROF185" s="125"/>
      <c r="ROG185" s="125"/>
      <c r="ROH185" s="125"/>
      <c r="ROI185" s="125"/>
      <c r="ROJ185" s="125"/>
      <c r="ROK185" s="125"/>
      <c r="ROL185" s="125"/>
      <c r="ROM185" s="125"/>
      <c r="RON185" s="125"/>
      <c r="ROO185" s="125"/>
      <c r="ROP185" s="125"/>
      <c r="ROQ185" s="125"/>
      <c r="ROR185" s="125"/>
      <c r="ROS185" s="125"/>
      <c r="ROT185" s="125"/>
      <c r="ROU185" s="125"/>
      <c r="ROV185" s="125"/>
      <c r="ROW185" s="125"/>
      <c r="ROX185" s="125"/>
      <c r="ROY185" s="125"/>
      <c r="ROZ185" s="125"/>
      <c r="RPA185" s="125"/>
      <c r="RPB185" s="125"/>
      <c r="RPC185" s="125"/>
      <c r="RPD185" s="125"/>
      <c r="RPE185" s="125"/>
      <c r="RPF185" s="125"/>
      <c r="RPG185" s="125"/>
      <c r="RPH185" s="125"/>
      <c r="RPI185" s="125"/>
      <c r="RPJ185" s="125"/>
      <c r="RPK185" s="125"/>
      <c r="RPL185" s="125"/>
      <c r="RPM185" s="125"/>
      <c r="RPN185" s="125"/>
      <c r="RPO185" s="125"/>
      <c r="RPP185" s="125"/>
      <c r="RPQ185" s="125"/>
      <c r="RPR185" s="125"/>
      <c r="RPS185" s="125"/>
      <c r="RPT185" s="125"/>
      <c r="RPU185" s="125"/>
      <c r="RPV185" s="125"/>
      <c r="RPW185" s="125"/>
      <c r="RPX185" s="125"/>
      <c r="RPY185" s="125"/>
      <c r="RPZ185" s="125"/>
      <c r="RQA185" s="125"/>
      <c r="RQB185" s="125"/>
      <c r="RQC185" s="125"/>
      <c r="RQD185" s="125"/>
      <c r="RQE185" s="125"/>
      <c r="RQF185" s="125"/>
      <c r="RQG185" s="125"/>
      <c r="RQH185" s="125"/>
      <c r="RQI185" s="125"/>
      <c r="RQJ185" s="125"/>
      <c r="RQK185" s="125"/>
      <c r="RQL185" s="125"/>
      <c r="RQM185" s="125"/>
      <c r="RQN185" s="125"/>
      <c r="RQO185" s="125"/>
      <c r="RQP185" s="125"/>
      <c r="RQQ185" s="125"/>
      <c r="RQR185" s="125"/>
      <c r="RQS185" s="125"/>
      <c r="RQT185" s="125"/>
      <c r="RQU185" s="125"/>
      <c r="RQV185" s="125"/>
      <c r="RQW185" s="125"/>
      <c r="RQX185" s="125"/>
      <c r="RQY185" s="125"/>
      <c r="RQZ185" s="125"/>
      <c r="RRA185" s="125"/>
      <c r="RRB185" s="125"/>
      <c r="RRC185" s="125"/>
      <c r="RRD185" s="125"/>
      <c r="RRE185" s="125"/>
      <c r="RRF185" s="125"/>
      <c r="RRG185" s="125"/>
      <c r="RRH185" s="125"/>
      <c r="RRI185" s="125"/>
      <c r="RRJ185" s="125"/>
      <c r="RRK185" s="125"/>
      <c r="RRL185" s="125"/>
      <c r="RRM185" s="125"/>
      <c r="RRN185" s="125"/>
      <c r="RRO185" s="125"/>
      <c r="RRP185" s="125"/>
      <c r="RRQ185" s="125"/>
      <c r="RRR185" s="125"/>
      <c r="RRS185" s="125"/>
      <c r="RRT185" s="125"/>
      <c r="RRU185" s="125"/>
      <c r="RRV185" s="125"/>
      <c r="RRW185" s="125"/>
      <c r="RRX185" s="125"/>
      <c r="RRY185" s="125"/>
      <c r="RRZ185" s="125"/>
      <c r="RSA185" s="125"/>
      <c r="RSB185" s="125"/>
      <c r="RSC185" s="125"/>
      <c r="RSD185" s="125"/>
      <c r="RSE185" s="125"/>
      <c r="RSF185" s="125"/>
      <c r="RSG185" s="125"/>
      <c r="RSH185" s="125"/>
      <c r="RSI185" s="125"/>
      <c r="RSJ185" s="125"/>
      <c r="RSK185" s="125"/>
      <c r="RSL185" s="125"/>
      <c r="RSM185" s="125"/>
      <c r="RSN185" s="125"/>
      <c r="RSO185" s="125"/>
      <c r="RSP185" s="125"/>
      <c r="RSQ185" s="125"/>
      <c r="RSR185" s="125"/>
      <c r="RSS185" s="125"/>
      <c r="RST185" s="125"/>
      <c r="RSU185" s="125"/>
      <c r="RSV185" s="125"/>
      <c r="RSW185" s="125"/>
      <c r="RSX185" s="125"/>
      <c r="RSY185" s="125"/>
      <c r="RSZ185" s="125"/>
      <c r="RTA185" s="125"/>
      <c r="RTB185" s="125"/>
      <c r="RTC185" s="125"/>
      <c r="RTD185" s="125"/>
      <c r="RTE185" s="125"/>
      <c r="RTF185" s="125"/>
      <c r="RTG185" s="125"/>
      <c r="RTH185" s="125"/>
      <c r="RTI185" s="125"/>
      <c r="RTJ185" s="125"/>
      <c r="RTK185" s="125"/>
      <c r="RTL185" s="125"/>
      <c r="RTM185" s="125"/>
      <c r="RTN185" s="125"/>
      <c r="RTO185" s="125"/>
      <c r="RTP185" s="125"/>
      <c r="RTQ185" s="125"/>
      <c r="RTR185" s="125"/>
      <c r="RTS185" s="125"/>
      <c r="RTT185" s="125"/>
      <c r="RTU185" s="125"/>
      <c r="RTV185" s="125"/>
      <c r="RTW185" s="125"/>
      <c r="RTX185" s="125"/>
      <c r="RTY185" s="125"/>
      <c r="RTZ185" s="125"/>
      <c r="RUA185" s="125"/>
      <c r="RUB185" s="125"/>
      <c r="RUC185" s="125"/>
      <c r="RUD185" s="125"/>
      <c r="RUE185" s="125"/>
      <c r="RUF185" s="125"/>
      <c r="RUG185" s="125"/>
      <c r="RUH185" s="125"/>
      <c r="RUI185" s="125"/>
      <c r="RUJ185" s="125"/>
      <c r="RUK185" s="125"/>
      <c r="RUL185" s="125"/>
      <c r="RUM185" s="125"/>
      <c r="RUN185" s="125"/>
      <c r="RUO185" s="125"/>
      <c r="RUP185" s="125"/>
      <c r="RUQ185" s="125"/>
      <c r="RUR185" s="125"/>
      <c r="RUS185" s="125"/>
      <c r="RUT185" s="125"/>
      <c r="RUU185" s="125"/>
      <c r="RUV185" s="125"/>
      <c r="RUW185" s="125"/>
      <c r="RUX185" s="125"/>
      <c r="RUY185" s="125"/>
      <c r="RUZ185" s="125"/>
      <c r="RVA185" s="125"/>
      <c r="RVB185" s="125"/>
      <c r="RVC185" s="125"/>
      <c r="RVD185" s="125"/>
      <c r="RVE185" s="125"/>
      <c r="RVF185" s="125"/>
      <c r="RVG185" s="125"/>
      <c r="RVH185" s="125"/>
      <c r="RVI185" s="125"/>
      <c r="RVJ185" s="125"/>
      <c r="RVK185" s="125"/>
      <c r="RVL185" s="125"/>
      <c r="RVM185" s="125"/>
      <c r="RVN185" s="125"/>
      <c r="RVO185" s="125"/>
      <c r="RVP185" s="125"/>
      <c r="RVQ185" s="125"/>
      <c r="RVR185" s="125"/>
      <c r="RVS185" s="125"/>
      <c r="RVT185" s="125"/>
      <c r="RVU185" s="125"/>
      <c r="RVV185" s="125"/>
      <c r="RVW185" s="125"/>
      <c r="RVX185" s="125"/>
      <c r="RVY185" s="125"/>
      <c r="RVZ185" s="125"/>
      <c r="RWA185" s="125"/>
      <c r="RWB185" s="125"/>
      <c r="RWC185" s="125"/>
      <c r="RWD185" s="125"/>
      <c r="RWE185" s="125"/>
      <c r="RWF185" s="125"/>
      <c r="RWG185" s="125"/>
      <c r="RWH185" s="125"/>
      <c r="RWI185" s="125"/>
      <c r="RWJ185" s="125"/>
      <c r="RWK185" s="125"/>
      <c r="RWL185" s="125"/>
      <c r="RWM185" s="125"/>
      <c r="RWN185" s="125"/>
      <c r="RWO185" s="125"/>
      <c r="RWP185" s="125"/>
      <c r="RWQ185" s="125"/>
      <c r="RWR185" s="125"/>
      <c r="RWS185" s="125"/>
      <c r="RWT185" s="125"/>
      <c r="RWU185" s="125"/>
      <c r="RWV185" s="125"/>
      <c r="RWW185" s="125"/>
      <c r="RWX185" s="125"/>
      <c r="RWY185" s="125"/>
      <c r="RWZ185" s="125"/>
      <c r="RXA185" s="125"/>
      <c r="RXB185" s="125"/>
      <c r="RXC185" s="125"/>
      <c r="RXD185" s="125"/>
      <c r="RXE185" s="125"/>
      <c r="RXF185" s="125"/>
      <c r="RXG185" s="125"/>
      <c r="RXH185" s="125"/>
      <c r="RXI185" s="125"/>
      <c r="RXJ185" s="125"/>
      <c r="RXK185" s="125"/>
      <c r="RXL185" s="125"/>
      <c r="RXM185" s="125"/>
      <c r="RXN185" s="125"/>
      <c r="RXO185" s="125"/>
      <c r="RXP185" s="125"/>
      <c r="RXQ185" s="125"/>
      <c r="RXR185" s="125"/>
      <c r="RXS185" s="125"/>
      <c r="RXT185" s="125"/>
      <c r="RXU185" s="125"/>
      <c r="RXV185" s="125"/>
      <c r="RXW185" s="125"/>
      <c r="RXX185" s="125"/>
      <c r="RXY185" s="125"/>
      <c r="RXZ185" s="125"/>
      <c r="RYA185" s="125"/>
      <c r="RYB185" s="125"/>
      <c r="RYC185" s="125"/>
      <c r="RYD185" s="125"/>
      <c r="RYE185" s="125"/>
      <c r="RYF185" s="125"/>
      <c r="RYG185" s="125"/>
      <c r="RYH185" s="125"/>
      <c r="RYI185" s="125"/>
      <c r="RYJ185" s="125"/>
      <c r="RYK185" s="125"/>
      <c r="RYL185" s="125"/>
      <c r="RYM185" s="125"/>
      <c r="RYN185" s="125"/>
      <c r="RYO185" s="125"/>
      <c r="RYP185" s="125"/>
      <c r="RYQ185" s="125"/>
      <c r="RYR185" s="125"/>
      <c r="RYS185" s="125"/>
      <c r="RYT185" s="125"/>
      <c r="RYU185" s="125"/>
      <c r="RYV185" s="125"/>
      <c r="RYW185" s="125"/>
      <c r="RYX185" s="125"/>
      <c r="RYY185" s="125"/>
      <c r="RYZ185" s="125"/>
      <c r="RZA185" s="125"/>
      <c r="RZB185" s="125"/>
      <c r="RZC185" s="125"/>
      <c r="RZD185" s="125"/>
      <c r="RZE185" s="125"/>
      <c r="RZF185" s="125"/>
      <c r="RZG185" s="125"/>
      <c r="RZH185" s="125"/>
      <c r="RZI185" s="125"/>
      <c r="RZJ185" s="125"/>
      <c r="RZK185" s="125"/>
      <c r="RZL185" s="125"/>
      <c r="RZM185" s="125"/>
      <c r="RZN185" s="125"/>
      <c r="RZO185" s="125"/>
      <c r="RZP185" s="125"/>
      <c r="RZQ185" s="125"/>
      <c r="RZR185" s="125"/>
      <c r="RZS185" s="125"/>
      <c r="RZT185" s="125"/>
      <c r="RZU185" s="125"/>
      <c r="RZV185" s="125"/>
      <c r="RZW185" s="125"/>
      <c r="RZX185" s="125"/>
      <c r="RZY185" s="125"/>
      <c r="RZZ185" s="125"/>
      <c r="SAA185" s="125"/>
      <c r="SAB185" s="125"/>
      <c r="SAC185" s="125"/>
      <c r="SAD185" s="125"/>
      <c r="SAE185" s="125"/>
      <c r="SAF185" s="125"/>
      <c r="SAG185" s="125"/>
      <c r="SAH185" s="125"/>
      <c r="SAI185" s="125"/>
      <c r="SAJ185" s="125"/>
      <c r="SAK185" s="125"/>
      <c r="SAL185" s="125"/>
      <c r="SAM185" s="125"/>
      <c r="SAN185" s="125"/>
      <c r="SAO185" s="125"/>
      <c r="SAP185" s="125"/>
      <c r="SAQ185" s="125"/>
      <c r="SAR185" s="125"/>
      <c r="SAS185" s="125"/>
      <c r="SAT185" s="125"/>
      <c r="SAU185" s="125"/>
      <c r="SAV185" s="125"/>
      <c r="SAW185" s="125"/>
      <c r="SAX185" s="125"/>
      <c r="SAY185" s="125"/>
      <c r="SAZ185" s="125"/>
      <c r="SBA185" s="125"/>
      <c r="SBB185" s="125"/>
      <c r="SBC185" s="125"/>
      <c r="SBD185" s="125"/>
      <c r="SBE185" s="125"/>
      <c r="SBF185" s="125"/>
      <c r="SBG185" s="125"/>
      <c r="SBH185" s="125"/>
      <c r="SBI185" s="125"/>
      <c r="SBJ185" s="125"/>
      <c r="SBK185" s="125"/>
      <c r="SBL185" s="125"/>
      <c r="SBM185" s="125"/>
      <c r="SBN185" s="125"/>
      <c r="SBO185" s="125"/>
      <c r="SBP185" s="125"/>
      <c r="SBQ185" s="125"/>
      <c r="SBR185" s="125"/>
      <c r="SBS185" s="125"/>
      <c r="SBT185" s="125"/>
      <c r="SBU185" s="125"/>
      <c r="SBV185" s="125"/>
      <c r="SBW185" s="125"/>
      <c r="SBX185" s="125"/>
      <c r="SBY185" s="125"/>
      <c r="SBZ185" s="125"/>
      <c r="SCA185" s="125"/>
      <c r="SCB185" s="125"/>
      <c r="SCC185" s="125"/>
      <c r="SCD185" s="125"/>
      <c r="SCE185" s="125"/>
      <c r="SCF185" s="125"/>
      <c r="SCG185" s="125"/>
      <c r="SCH185" s="125"/>
      <c r="SCI185" s="125"/>
      <c r="SCJ185" s="125"/>
      <c r="SCK185" s="125"/>
      <c r="SCL185" s="125"/>
      <c r="SCM185" s="125"/>
      <c r="SCN185" s="125"/>
      <c r="SCO185" s="125"/>
      <c r="SCP185" s="125"/>
      <c r="SCQ185" s="125"/>
      <c r="SCR185" s="125"/>
      <c r="SCS185" s="125"/>
      <c r="SCT185" s="125"/>
      <c r="SCU185" s="125"/>
      <c r="SCV185" s="125"/>
      <c r="SCW185" s="125"/>
      <c r="SCX185" s="125"/>
      <c r="SCY185" s="125"/>
      <c r="SCZ185" s="125"/>
      <c r="SDA185" s="125"/>
      <c r="SDB185" s="125"/>
      <c r="SDC185" s="125"/>
      <c r="SDD185" s="125"/>
      <c r="SDE185" s="125"/>
      <c r="SDF185" s="125"/>
      <c r="SDG185" s="125"/>
      <c r="SDH185" s="125"/>
      <c r="SDI185" s="125"/>
      <c r="SDJ185" s="125"/>
      <c r="SDK185" s="125"/>
      <c r="SDL185" s="125"/>
      <c r="SDM185" s="125"/>
      <c r="SDN185" s="125"/>
      <c r="SDO185" s="125"/>
      <c r="SDP185" s="125"/>
      <c r="SDQ185" s="125"/>
      <c r="SDR185" s="125"/>
      <c r="SDS185" s="125"/>
      <c r="SDT185" s="125"/>
      <c r="SDU185" s="125"/>
      <c r="SDV185" s="125"/>
      <c r="SDW185" s="125"/>
      <c r="SDX185" s="125"/>
      <c r="SDY185" s="125"/>
      <c r="SDZ185" s="125"/>
      <c r="SEA185" s="125"/>
      <c r="SEB185" s="125"/>
      <c r="SEC185" s="125"/>
      <c r="SED185" s="125"/>
      <c r="SEE185" s="125"/>
      <c r="SEF185" s="125"/>
      <c r="SEG185" s="125"/>
      <c r="SEH185" s="125"/>
      <c r="SEI185" s="125"/>
      <c r="SEJ185" s="125"/>
      <c r="SEK185" s="125"/>
      <c r="SEL185" s="125"/>
      <c r="SEM185" s="125"/>
      <c r="SEN185" s="125"/>
      <c r="SEO185" s="125"/>
      <c r="SEP185" s="125"/>
      <c r="SEQ185" s="125"/>
      <c r="SER185" s="125"/>
      <c r="SES185" s="125"/>
      <c r="SET185" s="125"/>
      <c r="SEU185" s="125"/>
      <c r="SEV185" s="125"/>
      <c r="SEW185" s="125"/>
      <c r="SEX185" s="125"/>
      <c r="SEY185" s="125"/>
      <c r="SEZ185" s="125"/>
      <c r="SFA185" s="125"/>
      <c r="SFB185" s="125"/>
      <c r="SFC185" s="125"/>
      <c r="SFD185" s="125"/>
      <c r="SFE185" s="125"/>
      <c r="SFF185" s="125"/>
      <c r="SFG185" s="125"/>
      <c r="SFH185" s="125"/>
      <c r="SFI185" s="125"/>
      <c r="SFJ185" s="125"/>
      <c r="SFK185" s="125"/>
      <c r="SFL185" s="125"/>
      <c r="SFM185" s="125"/>
      <c r="SFN185" s="125"/>
      <c r="SFO185" s="125"/>
      <c r="SFP185" s="125"/>
      <c r="SFQ185" s="125"/>
      <c r="SFR185" s="125"/>
      <c r="SFS185" s="125"/>
      <c r="SFT185" s="125"/>
      <c r="SFU185" s="125"/>
      <c r="SFV185" s="125"/>
      <c r="SFW185" s="125"/>
      <c r="SFX185" s="125"/>
      <c r="SFY185" s="125"/>
      <c r="SFZ185" s="125"/>
      <c r="SGA185" s="125"/>
      <c r="SGB185" s="125"/>
      <c r="SGC185" s="125"/>
      <c r="SGD185" s="125"/>
      <c r="SGE185" s="125"/>
      <c r="SGF185" s="125"/>
      <c r="SGG185" s="125"/>
      <c r="SGH185" s="125"/>
      <c r="SGI185" s="125"/>
      <c r="SGJ185" s="125"/>
      <c r="SGK185" s="125"/>
      <c r="SGL185" s="125"/>
      <c r="SGM185" s="125"/>
      <c r="SGN185" s="125"/>
      <c r="SGO185" s="125"/>
      <c r="SGP185" s="125"/>
      <c r="SGQ185" s="125"/>
      <c r="SGR185" s="125"/>
      <c r="SGS185" s="125"/>
      <c r="SGT185" s="125"/>
      <c r="SGU185" s="125"/>
      <c r="SGV185" s="125"/>
      <c r="SGW185" s="125"/>
      <c r="SGX185" s="125"/>
      <c r="SGY185" s="125"/>
      <c r="SGZ185" s="125"/>
      <c r="SHA185" s="125"/>
      <c r="SHB185" s="125"/>
      <c r="SHC185" s="125"/>
      <c r="SHD185" s="125"/>
      <c r="SHE185" s="125"/>
      <c r="SHF185" s="125"/>
      <c r="SHG185" s="125"/>
      <c r="SHH185" s="125"/>
      <c r="SHI185" s="125"/>
      <c r="SHJ185" s="125"/>
      <c r="SHK185" s="125"/>
      <c r="SHL185" s="125"/>
      <c r="SHM185" s="125"/>
      <c r="SHN185" s="125"/>
      <c r="SHO185" s="125"/>
      <c r="SHP185" s="125"/>
      <c r="SHQ185" s="125"/>
      <c r="SHR185" s="125"/>
      <c r="SHS185" s="125"/>
      <c r="SHT185" s="125"/>
      <c r="SHU185" s="125"/>
      <c r="SHV185" s="125"/>
      <c r="SHW185" s="125"/>
      <c r="SHX185" s="125"/>
      <c r="SHY185" s="125"/>
      <c r="SHZ185" s="125"/>
      <c r="SIA185" s="125"/>
      <c r="SIB185" s="125"/>
      <c r="SIC185" s="125"/>
      <c r="SID185" s="125"/>
      <c r="SIE185" s="125"/>
      <c r="SIF185" s="125"/>
      <c r="SIG185" s="125"/>
      <c r="SIH185" s="125"/>
      <c r="SII185" s="125"/>
      <c r="SIJ185" s="125"/>
      <c r="SIK185" s="125"/>
      <c r="SIL185" s="125"/>
      <c r="SIM185" s="125"/>
      <c r="SIN185" s="125"/>
      <c r="SIO185" s="125"/>
      <c r="SIP185" s="125"/>
      <c r="SIQ185" s="125"/>
      <c r="SIR185" s="125"/>
      <c r="SIS185" s="125"/>
      <c r="SIT185" s="125"/>
      <c r="SIU185" s="125"/>
      <c r="SIV185" s="125"/>
      <c r="SIW185" s="125"/>
      <c r="SIX185" s="125"/>
      <c r="SIY185" s="125"/>
      <c r="SIZ185" s="125"/>
      <c r="SJA185" s="125"/>
      <c r="SJB185" s="125"/>
      <c r="SJC185" s="125"/>
      <c r="SJD185" s="125"/>
      <c r="SJE185" s="125"/>
      <c r="SJF185" s="125"/>
      <c r="SJG185" s="125"/>
      <c r="SJH185" s="125"/>
      <c r="SJI185" s="125"/>
      <c r="SJJ185" s="125"/>
      <c r="SJK185" s="125"/>
      <c r="SJL185" s="125"/>
      <c r="SJM185" s="125"/>
      <c r="SJN185" s="125"/>
      <c r="SJO185" s="125"/>
      <c r="SJP185" s="125"/>
      <c r="SJQ185" s="125"/>
      <c r="SJR185" s="125"/>
      <c r="SJS185" s="125"/>
      <c r="SJT185" s="125"/>
      <c r="SJU185" s="125"/>
      <c r="SJV185" s="125"/>
      <c r="SJW185" s="125"/>
      <c r="SJX185" s="125"/>
      <c r="SJY185" s="125"/>
      <c r="SJZ185" s="125"/>
      <c r="SKA185" s="125"/>
      <c r="SKB185" s="125"/>
      <c r="SKC185" s="125"/>
      <c r="SKD185" s="125"/>
      <c r="SKE185" s="125"/>
      <c r="SKF185" s="125"/>
      <c r="SKG185" s="125"/>
      <c r="SKH185" s="125"/>
      <c r="SKI185" s="125"/>
      <c r="SKJ185" s="125"/>
      <c r="SKK185" s="125"/>
      <c r="SKL185" s="125"/>
      <c r="SKM185" s="125"/>
      <c r="SKN185" s="125"/>
      <c r="SKO185" s="125"/>
      <c r="SKP185" s="125"/>
      <c r="SKQ185" s="125"/>
      <c r="SKR185" s="125"/>
      <c r="SKS185" s="125"/>
      <c r="SKT185" s="125"/>
      <c r="SKU185" s="125"/>
      <c r="SKV185" s="125"/>
      <c r="SKW185" s="125"/>
      <c r="SKX185" s="125"/>
      <c r="SKY185" s="125"/>
      <c r="SKZ185" s="125"/>
      <c r="SLA185" s="125"/>
      <c r="SLB185" s="125"/>
      <c r="SLC185" s="125"/>
      <c r="SLD185" s="125"/>
      <c r="SLE185" s="125"/>
      <c r="SLF185" s="125"/>
      <c r="SLG185" s="125"/>
      <c r="SLH185" s="125"/>
      <c r="SLI185" s="125"/>
      <c r="SLJ185" s="125"/>
      <c r="SLK185" s="125"/>
      <c r="SLL185" s="125"/>
      <c r="SLM185" s="125"/>
      <c r="SLN185" s="125"/>
      <c r="SLO185" s="125"/>
      <c r="SLP185" s="125"/>
      <c r="SLQ185" s="125"/>
      <c r="SLR185" s="125"/>
      <c r="SLS185" s="125"/>
      <c r="SLT185" s="125"/>
      <c r="SLU185" s="125"/>
      <c r="SLV185" s="125"/>
      <c r="SLW185" s="125"/>
      <c r="SLX185" s="125"/>
      <c r="SLY185" s="125"/>
      <c r="SLZ185" s="125"/>
      <c r="SMA185" s="125"/>
      <c r="SMB185" s="125"/>
      <c r="SMC185" s="125"/>
      <c r="SMD185" s="125"/>
      <c r="SME185" s="125"/>
      <c r="SMF185" s="125"/>
      <c r="SMG185" s="125"/>
      <c r="SMH185" s="125"/>
      <c r="SMI185" s="125"/>
      <c r="SMJ185" s="125"/>
      <c r="SMK185" s="125"/>
      <c r="SML185" s="125"/>
      <c r="SMM185" s="125"/>
      <c r="SMN185" s="125"/>
      <c r="SMO185" s="125"/>
      <c r="SMP185" s="125"/>
      <c r="SMQ185" s="125"/>
      <c r="SMR185" s="125"/>
      <c r="SMS185" s="125"/>
      <c r="SMT185" s="125"/>
      <c r="SMU185" s="125"/>
      <c r="SMV185" s="125"/>
      <c r="SMW185" s="125"/>
      <c r="SMX185" s="125"/>
      <c r="SMY185" s="125"/>
      <c r="SMZ185" s="125"/>
      <c r="SNA185" s="125"/>
      <c r="SNB185" s="125"/>
      <c r="SNC185" s="125"/>
      <c r="SND185" s="125"/>
      <c r="SNE185" s="125"/>
      <c r="SNF185" s="125"/>
      <c r="SNG185" s="125"/>
      <c r="SNH185" s="125"/>
      <c r="SNI185" s="125"/>
      <c r="SNJ185" s="125"/>
      <c r="SNK185" s="125"/>
      <c r="SNL185" s="125"/>
      <c r="SNM185" s="125"/>
      <c r="SNN185" s="125"/>
      <c r="SNO185" s="125"/>
      <c r="SNP185" s="125"/>
      <c r="SNQ185" s="125"/>
      <c r="SNR185" s="125"/>
      <c r="SNS185" s="125"/>
      <c r="SNT185" s="125"/>
      <c r="SNU185" s="125"/>
      <c r="SNV185" s="125"/>
      <c r="SNW185" s="125"/>
      <c r="SNX185" s="125"/>
      <c r="SNY185" s="125"/>
      <c r="SNZ185" s="125"/>
      <c r="SOA185" s="125"/>
      <c r="SOB185" s="125"/>
      <c r="SOC185" s="125"/>
      <c r="SOD185" s="125"/>
      <c r="SOE185" s="125"/>
      <c r="SOF185" s="125"/>
      <c r="SOG185" s="125"/>
      <c r="SOH185" s="125"/>
      <c r="SOI185" s="125"/>
      <c r="SOJ185" s="125"/>
      <c r="SOK185" s="125"/>
      <c r="SOL185" s="125"/>
      <c r="SOM185" s="125"/>
      <c r="SON185" s="125"/>
      <c r="SOO185" s="125"/>
      <c r="SOP185" s="125"/>
      <c r="SOQ185" s="125"/>
      <c r="SOR185" s="125"/>
      <c r="SOS185" s="125"/>
      <c r="SOT185" s="125"/>
      <c r="SOU185" s="125"/>
      <c r="SOV185" s="125"/>
      <c r="SOW185" s="125"/>
      <c r="SOX185" s="125"/>
      <c r="SOY185" s="125"/>
      <c r="SOZ185" s="125"/>
      <c r="SPA185" s="125"/>
      <c r="SPB185" s="125"/>
      <c r="SPC185" s="125"/>
      <c r="SPD185" s="125"/>
      <c r="SPE185" s="125"/>
      <c r="SPF185" s="125"/>
      <c r="SPG185" s="125"/>
      <c r="SPH185" s="125"/>
      <c r="SPI185" s="125"/>
      <c r="SPJ185" s="125"/>
      <c r="SPK185" s="125"/>
      <c r="SPL185" s="125"/>
      <c r="SPM185" s="125"/>
      <c r="SPN185" s="125"/>
      <c r="SPO185" s="125"/>
      <c r="SPP185" s="125"/>
      <c r="SPQ185" s="125"/>
      <c r="SPR185" s="125"/>
      <c r="SPS185" s="125"/>
      <c r="SPT185" s="125"/>
      <c r="SPU185" s="125"/>
      <c r="SPV185" s="125"/>
      <c r="SPW185" s="125"/>
      <c r="SPX185" s="125"/>
      <c r="SPY185" s="125"/>
      <c r="SPZ185" s="125"/>
      <c r="SQA185" s="125"/>
      <c r="SQB185" s="125"/>
      <c r="SQC185" s="125"/>
      <c r="SQD185" s="125"/>
      <c r="SQE185" s="125"/>
      <c r="SQF185" s="125"/>
      <c r="SQG185" s="125"/>
      <c r="SQH185" s="125"/>
      <c r="SQI185" s="125"/>
      <c r="SQJ185" s="125"/>
      <c r="SQK185" s="125"/>
      <c r="SQL185" s="125"/>
      <c r="SQM185" s="125"/>
      <c r="SQN185" s="125"/>
      <c r="SQO185" s="125"/>
      <c r="SQP185" s="125"/>
      <c r="SQQ185" s="125"/>
      <c r="SQR185" s="125"/>
      <c r="SQS185" s="125"/>
      <c r="SQT185" s="125"/>
      <c r="SQU185" s="125"/>
      <c r="SQV185" s="125"/>
      <c r="SQW185" s="125"/>
      <c r="SQX185" s="125"/>
      <c r="SQY185" s="125"/>
      <c r="SQZ185" s="125"/>
      <c r="SRA185" s="125"/>
      <c r="SRB185" s="125"/>
      <c r="SRC185" s="125"/>
      <c r="SRD185" s="125"/>
      <c r="SRE185" s="125"/>
      <c r="SRF185" s="125"/>
      <c r="SRG185" s="125"/>
      <c r="SRH185" s="125"/>
      <c r="SRI185" s="125"/>
      <c r="SRJ185" s="125"/>
      <c r="SRK185" s="125"/>
      <c r="SRL185" s="125"/>
      <c r="SRM185" s="125"/>
      <c r="SRN185" s="125"/>
      <c r="SRO185" s="125"/>
      <c r="SRP185" s="125"/>
      <c r="SRQ185" s="125"/>
      <c r="SRR185" s="125"/>
      <c r="SRS185" s="125"/>
      <c r="SRT185" s="125"/>
      <c r="SRU185" s="125"/>
      <c r="SRV185" s="125"/>
      <c r="SRW185" s="125"/>
      <c r="SRX185" s="125"/>
      <c r="SRY185" s="125"/>
      <c r="SRZ185" s="125"/>
      <c r="SSA185" s="125"/>
      <c r="SSB185" s="125"/>
      <c r="SSC185" s="125"/>
      <c r="SSD185" s="125"/>
      <c r="SSE185" s="125"/>
      <c r="SSF185" s="125"/>
      <c r="SSG185" s="125"/>
      <c r="SSH185" s="125"/>
      <c r="SSI185" s="125"/>
      <c r="SSJ185" s="125"/>
      <c r="SSK185" s="125"/>
      <c r="SSL185" s="125"/>
      <c r="SSM185" s="125"/>
      <c r="SSN185" s="125"/>
      <c r="SSO185" s="125"/>
      <c r="SSP185" s="125"/>
      <c r="SSQ185" s="125"/>
      <c r="SSR185" s="125"/>
      <c r="SSS185" s="125"/>
      <c r="SST185" s="125"/>
      <c r="SSU185" s="125"/>
      <c r="SSV185" s="125"/>
      <c r="SSW185" s="125"/>
      <c r="SSX185" s="125"/>
      <c r="SSY185" s="125"/>
      <c r="SSZ185" s="125"/>
      <c r="STA185" s="125"/>
      <c r="STB185" s="125"/>
      <c r="STC185" s="125"/>
      <c r="STD185" s="125"/>
      <c r="STE185" s="125"/>
      <c r="STF185" s="125"/>
      <c r="STG185" s="125"/>
      <c r="STH185" s="125"/>
      <c r="STI185" s="125"/>
      <c r="STJ185" s="125"/>
      <c r="STK185" s="125"/>
      <c r="STL185" s="125"/>
      <c r="STM185" s="125"/>
      <c r="STN185" s="125"/>
      <c r="STO185" s="125"/>
      <c r="STP185" s="125"/>
      <c r="STQ185" s="125"/>
      <c r="STR185" s="125"/>
      <c r="STS185" s="125"/>
      <c r="STT185" s="125"/>
      <c r="STU185" s="125"/>
      <c r="STV185" s="125"/>
      <c r="STW185" s="125"/>
      <c r="STX185" s="125"/>
      <c r="STY185" s="125"/>
      <c r="STZ185" s="125"/>
      <c r="SUA185" s="125"/>
      <c r="SUB185" s="125"/>
      <c r="SUC185" s="125"/>
      <c r="SUD185" s="125"/>
      <c r="SUE185" s="125"/>
      <c r="SUF185" s="125"/>
      <c r="SUG185" s="125"/>
      <c r="SUH185" s="125"/>
      <c r="SUI185" s="125"/>
      <c r="SUJ185" s="125"/>
      <c r="SUK185" s="125"/>
      <c r="SUL185" s="125"/>
      <c r="SUM185" s="125"/>
      <c r="SUN185" s="125"/>
      <c r="SUO185" s="125"/>
      <c r="SUP185" s="125"/>
      <c r="SUQ185" s="125"/>
      <c r="SUR185" s="125"/>
      <c r="SUS185" s="125"/>
      <c r="SUT185" s="125"/>
      <c r="SUU185" s="125"/>
      <c r="SUV185" s="125"/>
      <c r="SUW185" s="125"/>
      <c r="SUX185" s="125"/>
      <c r="SUY185" s="125"/>
      <c r="SUZ185" s="125"/>
      <c r="SVA185" s="125"/>
      <c r="SVB185" s="125"/>
      <c r="SVC185" s="125"/>
      <c r="SVD185" s="125"/>
      <c r="SVE185" s="125"/>
      <c r="SVF185" s="125"/>
      <c r="SVG185" s="125"/>
      <c r="SVH185" s="125"/>
      <c r="SVI185" s="125"/>
      <c r="SVJ185" s="125"/>
      <c r="SVK185" s="125"/>
      <c r="SVL185" s="125"/>
      <c r="SVM185" s="125"/>
      <c r="SVN185" s="125"/>
      <c r="SVO185" s="125"/>
      <c r="SVP185" s="125"/>
      <c r="SVQ185" s="125"/>
      <c r="SVR185" s="125"/>
      <c r="SVS185" s="125"/>
      <c r="SVT185" s="125"/>
      <c r="SVU185" s="125"/>
      <c r="SVV185" s="125"/>
      <c r="SVW185" s="125"/>
      <c r="SVX185" s="125"/>
      <c r="SVY185" s="125"/>
      <c r="SVZ185" s="125"/>
      <c r="SWA185" s="125"/>
      <c r="SWB185" s="125"/>
      <c r="SWC185" s="125"/>
      <c r="SWD185" s="125"/>
      <c r="SWE185" s="125"/>
      <c r="SWF185" s="125"/>
      <c r="SWG185" s="125"/>
      <c r="SWH185" s="125"/>
      <c r="SWI185" s="125"/>
      <c r="SWJ185" s="125"/>
      <c r="SWK185" s="125"/>
      <c r="SWL185" s="125"/>
      <c r="SWM185" s="125"/>
      <c r="SWN185" s="125"/>
      <c r="SWO185" s="125"/>
      <c r="SWP185" s="125"/>
      <c r="SWQ185" s="125"/>
      <c r="SWR185" s="125"/>
      <c r="SWS185" s="125"/>
      <c r="SWT185" s="125"/>
      <c r="SWU185" s="125"/>
      <c r="SWV185" s="125"/>
      <c r="SWW185" s="125"/>
      <c r="SWX185" s="125"/>
      <c r="SWY185" s="125"/>
      <c r="SWZ185" s="125"/>
      <c r="SXA185" s="125"/>
      <c r="SXB185" s="125"/>
      <c r="SXC185" s="125"/>
      <c r="SXD185" s="125"/>
      <c r="SXE185" s="125"/>
      <c r="SXF185" s="125"/>
      <c r="SXG185" s="125"/>
      <c r="SXH185" s="125"/>
      <c r="SXI185" s="125"/>
      <c r="SXJ185" s="125"/>
      <c r="SXK185" s="125"/>
      <c r="SXL185" s="125"/>
      <c r="SXM185" s="125"/>
      <c r="SXN185" s="125"/>
      <c r="SXO185" s="125"/>
      <c r="SXP185" s="125"/>
      <c r="SXQ185" s="125"/>
      <c r="SXR185" s="125"/>
      <c r="SXS185" s="125"/>
      <c r="SXT185" s="125"/>
      <c r="SXU185" s="125"/>
      <c r="SXV185" s="125"/>
      <c r="SXW185" s="125"/>
      <c r="SXX185" s="125"/>
      <c r="SXY185" s="125"/>
      <c r="SXZ185" s="125"/>
      <c r="SYA185" s="125"/>
      <c r="SYB185" s="125"/>
      <c r="SYC185" s="125"/>
      <c r="SYD185" s="125"/>
      <c r="SYE185" s="125"/>
      <c r="SYF185" s="125"/>
      <c r="SYG185" s="125"/>
      <c r="SYH185" s="125"/>
      <c r="SYI185" s="125"/>
      <c r="SYJ185" s="125"/>
      <c r="SYK185" s="125"/>
      <c r="SYL185" s="125"/>
      <c r="SYM185" s="125"/>
      <c r="SYN185" s="125"/>
      <c r="SYO185" s="125"/>
      <c r="SYP185" s="125"/>
      <c r="SYQ185" s="125"/>
      <c r="SYR185" s="125"/>
      <c r="SYS185" s="125"/>
      <c r="SYT185" s="125"/>
      <c r="SYU185" s="125"/>
      <c r="SYV185" s="125"/>
      <c r="SYW185" s="125"/>
      <c r="SYX185" s="125"/>
      <c r="SYY185" s="125"/>
      <c r="SYZ185" s="125"/>
      <c r="SZA185" s="125"/>
      <c r="SZB185" s="125"/>
      <c r="SZC185" s="125"/>
      <c r="SZD185" s="125"/>
      <c r="SZE185" s="125"/>
      <c r="SZF185" s="125"/>
      <c r="SZG185" s="125"/>
      <c r="SZH185" s="125"/>
      <c r="SZI185" s="125"/>
      <c r="SZJ185" s="125"/>
      <c r="SZK185" s="125"/>
      <c r="SZL185" s="125"/>
      <c r="SZM185" s="125"/>
      <c r="SZN185" s="125"/>
      <c r="SZO185" s="125"/>
      <c r="SZP185" s="125"/>
      <c r="SZQ185" s="125"/>
      <c r="SZR185" s="125"/>
      <c r="SZS185" s="125"/>
      <c r="SZT185" s="125"/>
      <c r="SZU185" s="125"/>
      <c r="SZV185" s="125"/>
      <c r="SZW185" s="125"/>
      <c r="SZX185" s="125"/>
      <c r="SZY185" s="125"/>
      <c r="SZZ185" s="125"/>
      <c r="TAA185" s="125"/>
      <c r="TAB185" s="125"/>
      <c r="TAC185" s="125"/>
      <c r="TAD185" s="125"/>
      <c r="TAE185" s="125"/>
      <c r="TAF185" s="125"/>
      <c r="TAG185" s="125"/>
      <c r="TAH185" s="125"/>
      <c r="TAI185" s="125"/>
      <c r="TAJ185" s="125"/>
      <c r="TAK185" s="125"/>
      <c r="TAL185" s="125"/>
      <c r="TAM185" s="125"/>
      <c r="TAN185" s="125"/>
      <c r="TAO185" s="125"/>
      <c r="TAP185" s="125"/>
      <c r="TAQ185" s="125"/>
      <c r="TAR185" s="125"/>
      <c r="TAS185" s="125"/>
      <c r="TAT185" s="125"/>
      <c r="TAU185" s="125"/>
      <c r="TAV185" s="125"/>
      <c r="TAW185" s="125"/>
      <c r="TAX185" s="125"/>
      <c r="TAY185" s="125"/>
      <c r="TAZ185" s="125"/>
      <c r="TBA185" s="125"/>
      <c r="TBB185" s="125"/>
      <c r="TBC185" s="125"/>
      <c r="TBD185" s="125"/>
      <c r="TBE185" s="125"/>
      <c r="TBF185" s="125"/>
      <c r="TBG185" s="125"/>
      <c r="TBH185" s="125"/>
      <c r="TBI185" s="125"/>
      <c r="TBJ185" s="125"/>
      <c r="TBK185" s="125"/>
      <c r="TBL185" s="125"/>
      <c r="TBM185" s="125"/>
      <c r="TBN185" s="125"/>
      <c r="TBO185" s="125"/>
      <c r="TBP185" s="125"/>
      <c r="TBQ185" s="125"/>
      <c r="TBR185" s="125"/>
      <c r="TBS185" s="125"/>
      <c r="TBT185" s="125"/>
      <c r="TBU185" s="125"/>
      <c r="TBV185" s="125"/>
      <c r="TBW185" s="125"/>
      <c r="TBX185" s="125"/>
      <c r="TBY185" s="125"/>
      <c r="TBZ185" s="125"/>
      <c r="TCA185" s="125"/>
      <c r="TCB185" s="125"/>
      <c r="TCC185" s="125"/>
      <c r="TCD185" s="125"/>
      <c r="TCE185" s="125"/>
      <c r="TCF185" s="125"/>
      <c r="TCG185" s="125"/>
      <c r="TCH185" s="125"/>
      <c r="TCI185" s="125"/>
      <c r="TCJ185" s="125"/>
      <c r="TCK185" s="125"/>
      <c r="TCL185" s="125"/>
      <c r="TCM185" s="125"/>
      <c r="TCN185" s="125"/>
      <c r="TCO185" s="125"/>
      <c r="TCP185" s="125"/>
      <c r="TCQ185" s="125"/>
      <c r="TCR185" s="125"/>
      <c r="TCS185" s="125"/>
      <c r="TCT185" s="125"/>
      <c r="TCU185" s="125"/>
      <c r="TCV185" s="125"/>
      <c r="TCW185" s="125"/>
      <c r="TCX185" s="125"/>
      <c r="TCY185" s="125"/>
      <c r="TCZ185" s="125"/>
      <c r="TDA185" s="125"/>
      <c r="TDB185" s="125"/>
      <c r="TDC185" s="125"/>
      <c r="TDD185" s="125"/>
      <c r="TDE185" s="125"/>
      <c r="TDF185" s="125"/>
      <c r="TDG185" s="125"/>
      <c r="TDH185" s="125"/>
      <c r="TDI185" s="125"/>
      <c r="TDJ185" s="125"/>
      <c r="TDK185" s="125"/>
      <c r="TDL185" s="125"/>
      <c r="TDM185" s="125"/>
      <c r="TDN185" s="125"/>
      <c r="TDO185" s="125"/>
      <c r="TDP185" s="125"/>
      <c r="TDQ185" s="125"/>
      <c r="TDR185" s="125"/>
      <c r="TDS185" s="125"/>
      <c r="TDT185" s="125"/>
      <c r="TDU185" s="125"/>
      <c r="TDV185" s="125"/>
      <c r="TDW185" s="125"/>
      <c r="TDX185" s="125"/>
      <c r="TDY185" s="125"/>
      <c r="TDZ185" s="125"/>
      <c r="TEA185" s="125"/>
      <c r="TEB185" s="125"/>
      <c r="TEC185" s="125"/>
      <c r="TED185" s="125"/>
      <c r="TEE185" s="125"/>
      <c r="TEF185" s="125"/>
      <c r="TEG185" s="125"/>
      <c r="TEH185" s="125"/>
      <c r="TEI185" s="125"/>
      <c r="TEJ185" s="125"/>
      <c r="TEK185" s="125"/>
      <c r="TEL185" s="125"/>
      <c r="TEM185" s="125"/>
      <c r="TEN185" s="125"/>
      <c r="TEO185" s="125"/>
      <c r="TEP185" s="125"/>
      <c r="TEQ185" s="125"/>
      <c r="TER185" s="125"/>
      <c r="TES185" s="125"/>
      <c r="TET185" s="125"/>
      <c r="TEU185" s="125"/>
      <c r="TEV185" s="125"/>
      <c r="TEW185" s="125"/>
      <c r="TEX185" s="125"/>
      <c r="TEY185" s="125"/>
      <c r="TEZ185" s="125"/>
      <c r="TFA185" s="125"/>
      <c r="TFB185" s="125"/>
      <c r="TFC185" s="125"/>
      <c r="TFD185" s="125"/>
      <c r="TFE185" s="125"/>
      <c r="TFF185" s="125"/>
      <c r="TFG185" s="125"/>
      <c r="TFH185" s="125"/>
      <c r="TFI185" s="125"/>
      <c r="TFJ185" s="125"/>
      <c r="TFK185" s="125"/>
      <c r="TFL185" s="125"/>
      <c r="TFM185" s="125"/>
      <c r="TFN185" s="125"/>
      <c r="TFO185" s="125"/>
      <c r="TFP185" s="125"/>
      <c r="TFQ185" s="125"/>
      <c r="TFR185" s="125"/>
      <c r="TFS185" s="125"/>
      <c r="TFT185" s="125"/>
      <c r="TFU185" s="125"/>
      <c r="TFV185" s="125"/>
      <c r="TFW185" s="125"/>
      <c r="TFX185" s="125"/>
      <c r="TFY185" s="125"/>
      <c r="TFZ185" s="125"/>
      <c r="TGA185" s="125"/>
      <c r="TGB185" s="125"/>
      <c r="TGC185" s="125"/>
      <c r="TGD185" s="125"/>
      <c r="TGE185" s="125"/>
      <c r="TGF185" s="125"/>
      <c r="TGG185" s="125"/>
      <c r="TGH185" s="125"/>
      <c r="TGI185" s="125"/>
      <c r="TGJ185" s="125"/>
      <c r="TGK185" s="125"/>
      <c r="TGL185" s="125"/>
      <c r="TGM185" s="125"/>
      <c r="TGN185" s="125"/>
      <c r="TGO185" s="125"/>
      <c r="TGP185" s="125"/>
      <c r="TGQ185" s="125"/>
      <c r="TGR185" s="125"/>
      <c r="TGS185" s="125"/>
      <c r="TGT185" s="125"/>
      <c r="TGU185" s="125"/>
      <c r="TGV185" s="125"/>
      <c r="TGW185" s="125"/>
      <c r="TGX185" s="125"/>
      <c r="TGY185" s="125"/>
      <c r="TGZ185" s="125"/>
      <c r="THA185" s="125"/>
      <c r="THB185" s="125"/>
      <c r="THC185" s="125"/>
      <c r="THD185" s="125"/>
      <c r="THE185" s="125"/>
      <c r="THF185" s="125"/>
      <c r="THG185" s="125"/>
      <c r="THH185" s="125"/>
      <c r="THI185" s="125"/>
      <c r="THJ185" s="125"/>
      <c r="THK185" s="125"/>
      <c r="THL185" s="125"/>
      <c r="THM185" s="125"/>
      <c r="THN185" s="125"/>
      <c r="THO185" s="125"/>
      <c r="THP185" s="125"/>
      <c r="THQ185" s="125"/>
      <c r="THR185" s="125"/>
      <c r="THS185" s="125"/>
      <c r="THT185" s="125"/>
      <c r="THU185" s="125"/>
      <c r="THV185" s="125"/>
      <c r="THW185" s="125"/>
      <c r="THX185" s="125"/>
      <c r="THY185" s="125"/>
      <c r="THZ185" s="125"/>
      <c r="TIA185" s="125"/>
      <c r="TIB185" s="125"/>
      <c r="TIC185" s="125"/>
      <c r="TID185" s="125"/>
      <c r="TIE185" s="125"/>
      <c r="TIF185" s="125"/>
      <c r="TIG185" s="125"/>
      <c r="TIH185" s="125"/>
      <c r="TII185" s="125"/>
      <c r="TIJ185" s="125"/>
      <c r="TIK185" s="125"/>
      <c r="TIL185" s="125"/>
      <c r="TIM185" s="125"/>
      <c r="TIN185" s="125"/>
      <c r="TIO185" s="125"/>
      <c r="TIP185" s="125"/>
      <c r="TIQ185" s="125"/>
      <c r="TIR185" s="125"/>
      <c r="TIS185" s="125"/>
      <c r="TIT185" s="125"/>
      <c r="TIU185" s="125"/>
      <c r="TIV185" s="125"/>
      <c r="TIW185" s="125"/>
      <c r="TIX185" s="125"/>
      <c r="TIY185" s="125"/>
      <c r="TIZ185" s="125"/>
      <c r="TJA185" s="125"/>
      <c r="TJB185" s="125"/>
      <c r="TJC185" s="125"/>
      <c r="TJD185" s="125"/>
      <c r="TJE185" s="125"/>
      <c r="TJF185" s="125"/>
      <c r="TJG185" s="125"/>
      <c r="TJH185" s="125"/>
      <c r="TJI185" s="125"/>
      <c r="TJJ185" s="125"/>
      <c r="TJK185" s="125"/>
      <c r="TJL185" s="125"/>
      <c r="TJM185" s="125"/>
      <c r="TJN185" s="125"/>
      <c r="TJO185" s="125"/>
      <c r="TJP185" s="125"/>
      <c r="TJQ185" s="125"/>
      <c r="TJR185" s="125"/>
      <c r="TJS185" s="125"/>
      <c r="TJT185" s="125"/>
      <c r="TJU185" s="125"/>
      <c r="TJV185" s="125"/>
      <c r="TJW185" s="125"/>
      <c r="TJX185" s="125"/>
      <c r="TJY185" s="125"/>
      <c r="TJZ185" s="125"/>
      <c r="TKA185" s="125"/>
      <c r="TKB185" s="125"/>
      <c r="TKC185" s="125"/>
      <c r="TKD185" s="125"/>
      <c r="TKE185" s="125"/>
      <c r="TKF185" s="125"/>
      <c r="TKG185" s="125"/>
      <c r="TKH185" s="125"/>
      <c r="TKI185" s="125"/>
      <c r="TKJ185" s="125"/>
      <c r="TKK185" s="125"/>
      <c r="TKL185" s="125"/>
      <c r="TKM185" s="125"/>
      <c r="TKN185" s="125"/>
      <c r="TKO185" s="125"/>
      <c r="TKP185" s="125"/>
      <c r="TKQ185" s="125"/>
      <c r="TKR185" s="125"/>
      <c r="TKS185" s="125"/>
      <c r="TKT185" s="125"/>
      <c r="TKU185" s="125"/>
      <c r="TKV185" s="125"/>
      <c r="TKW185" s="125"/>
      <c r="TKX185" s="125"/>
      <c r="TKY185" s="125"/>
      <c r="TKZ185" s="125"/>
      <c r="TLA185" s="125"/>
      <c r="TLB185" s="125"/>
      <c r="TLC185" s="125"/>
      <c r="TLD185" s="125"/>
      <c r="TLE185" s="125"/>
      <c r="TLF185" s="125"/>
      <c r="TLG185" s="125"/>
      <c r="TLH185" s="125"/>
      <c r="TLI185" s="125"/>
      <c r="TLJ185" s="125"/>
      <c r="TLK185" s="125"/>
      <c r="TLL185" s="125"/>
      <c r="TLM185" s="125"/>
      <c r="TLN185" s="125"/>
      <c r="TLO185" s="125"/>
      <c r="TLP185" s="125"/>
      <c r="TLQ185" s="125"/>
      <c r="TLR185" s="125"/>
      <c r="TLS185" s="125"/>
      <c r="TLT185" s="125"/>
      <c r="TLU185" s="125"/>
      <c r="TLV185" s="125"/>
      <c r="TLW185" s="125"/>
      <c r="TLX185" s="125"/>
      <c r="TLY185" s="125"/>
      <c r="TLZ185" s="125"/>
      <c r="TMA185" s="125"/>
      <c r="TMB185" s="125"/>
      <c r="TMC185" s="125"/>
      <c r="TMD185" s="125"/>
      <c r="TME185" s="125"/>
      <c r="TMF185" s="125"/>
      <c r="TMG185" s="125"/>
      <c r="TMH185" s="125"/>
      <c r="TMI185" s="125"/>
      <c r="TMJ185" s="125"/>
      <c r="TMK185" s="125"/>
      <c r="TML185" s="125"/>
      <c r="TMM185" s="125"/>
      <c r="TMN185" s="125"/>
      <c r="TMO185" s="125"/>
      <c r="TMP185" s="125"/>
      <c r="TMQ185" s="125"/>
      <c r="TMR185" s="125"/>
      <c r="TMS185" s="125"/>
      <c r="TMT185" s="125"/>
      <c r="TMU185" s="125"/>
      <c r="TMV185" s="125"/>
      <c r="TMW185" s="125"/>
      <c r="TMX185" s="125"/>
      <c r="TMY185" s="125"/>
      <c r="TMZ185" s="125"/>
      <c r="TNA185" s="125"/>
      <c r="TNB185" s="125"/>
      <c r="TNC185" s="125"/>
      <c r="TND185" s="125"/>
      <c r="TNE185" s="125"/>
      <c r="TNF185" s="125"/>
      <c r="TNG185" s="125"/>
      <c r="TNH185" s="125"/>
      <c r="TNI185" s="125"/>
      <c r="TNJ185" s="125"/>
      <c r="TNK185" s="125"/>
      <c r="TNL185" s="125"/>
      <c r="TNM185" s="125"/>
      <c r="TNN185" s="125"/>
      <c r="TNO185" s="125"/>
      <c r="TNP185" s="125"/>
      <c r="TNQ185" s="125"/>
      <c r="TNR185" s="125"/>
      <c r="TNS185" s="125"/>
      <c r="TNT185" s="125"/>
      <c r="TNU185" s="125"/>
      <c r="TNV185" s="125"/>
      <c r="TNW185" s="125"/>
      <c r="TNX185" s="125"/>
      <c r="TNY185" s="125"/>
      <c r="TNZ185" s="125"/>
      <c r="TOA185" s="125"/>
      <c r="TOB185" s="125"/>
      <c r="TOC185" s="125"/>
      <c r="TOD185" s="125"/>
      <c r="TOE185" s="125"/>
      <c r="TOF185" s="125"/>
      <c r="TOG185" s="125"/>
      <c r="TOH185" s="125"/>
      <c r="TOI185" s="125"/>
      <c r="TOJ185" s="125"/>
      <c r="TOK185" s="125"/>
      <c r="TOL185" s="125"/>
      <c r="TOM185" s="125"/>
      <c r="TON185" s="125"/>
      <c r="TOO185" s="125"/>
      <c r="TOP185" s="125"/>
      <c r="TOQ185" s="125"/>
      <c r="TOR185" s="125"/>
      <c r="TOS185" s="125"/>
      <c r="TOT185" s="125"/>
      <c r="TOU185" s="125"/>
      <c r="TOV185" s="125"/>
      <c r="TOW185" s="125"/>
      <c r="TOX185" s="125"/>
      <c r="TOY185" s="125"/>
      <c r="TOZ185" s="125"/>
      <c r="TPA185" s="125"/>
      <c r="TPB185" s="125"/>
      <c r="TPC185" s="125"/>
      <c r="TPD185" s="125"/>
      <c r="TPE185" s="125"/>
      <c r="TPF185" s="125"/>
      <c r="TPG185" s="125"/>
      <c r="TPH185" s="125"/>
      <c r="TPI185" s="125"/>
      <c r="TPJ185" s="125"/>
      <c r="TPK185" s="125"/>
      <c r="TPL185" s="125"/>
      <c r="TPM185" s="125"/>
      <c r="TPN185" s="125"/>
      <c r="TPO185" s="125"/>
      <c r="TPP185" s="125"/>
      <c r="TPQ185" s="125"/>
      <c r="TPR185" s="125"/>
      <c r="TPS185" s="125"/>
      <c r="TPT185" s="125"/>
      <c r="TPU185" s="125"/>
      <c r="TPV185" s="125"/>
      <c r="TPW185" s="125"/>
      <c r="TPX185" s="125"/>
      <c r="TPY185" s="125"/>
      <c r="TPZ185" s="125"/>
      <c r="TQA185" s="125"/>
      <c r="TQB185" s="125"/>
      <c r="TQC185" s="125"/>
      <c r="TQD185" s="125"/>
      <c r="TQE185" s="125"/>
      <c r="TQF185" s="125"/>
      <c r="TQG185" s="125"/>
      <c r="TQH185" s="125"/>
      <c r="TQI185" s="125"/>
      <c r="TQJ185" s="125"/>
      <c r="TQK185" s="125"/>
      <c r="TQL185" s="125"/>
      <c r="TQM185" s="125"/>
      <c r="TQN185" s="125"/>
      <c r="TQO185" s="125"/>
      <c r="TQP185" s="125"/>
      <c r="TQQ185" s="125"/>
      <c r="TQR185" s="125"/>
      <c r="TQS185" s="125"/>
      <c r="TQT185" s="125"/>
      <c r="TQU185" s="125"/>
      <c r="TQV185" s="125"/>
      <c r="TQW185" s="125"/>
      <c r="TQX185" s="125"/>
      <c r="TQY185" s="125"/>
      <c r="TQZ185" s="125"/>
      <c r="TRA185" s="125"/>
      <c r="TRB185" s="125"/>
      <c r="TRC185" s="125"/>
      <c r="TRD185" s="125"/>
      <c r="TRE185" s="125"/>
      <c r="TRF185" s="125"/>
      <c r="TRG185" s="125"/>
      <c r="TRH185" s="125"/>
      <c r="TRI185" s="125"/>
      <c r="TRJ185" s="125"/>
      <c r="TRK185" s="125"/>
      <c r="TRL185" s="125"/>
      <c r="TRM185" s="125"/>
      <c r="TRN185" s="125"/>
      <c r="TRO185" s="125"/>
      <c r="TRP185" s="125"/>
      <c r="TRQ185" s="125"/>
      <c r="TRR185" s="125"/>
      <c r="TRS185" s="125"/>
      <c r="TRT185" s="125"/>
      <c r="TRU185" s="125"/>
      <c r="TRV185" s="125"/>
      <c r="TRW185" s="125"/>
      <c r="TRX185" s="125"/>
      <c r="TRY185" s="125"/>
      <c r="TRZ185" s="125"/>
      <c r="TSA185" s="125"/>
      <c r="TSB185" s="125"/>
      <c r="TSC185" s="125"/>
      <c r="TSD185" s="125"/>
      <c r="TSE185" s="125"/>
      <c r="TSF185" s="125"/>
      <c r="TSG185" s="125"/>
      <c r="TSH185" s="125"/>
      <c r="TSI185" s="125"/>
      <c r="TSJ185" s="125"/>
      <c r="TSK185" s="125"/>
      <c r="TSL185" s="125"/>
      <c r="TSM185" s="125"/>
      <c r="TSN185" s="125"/>
      <c r="TSO185" s="125"/>
      <c r="TSP185" s="125"/>
      <c r="TSQ185" s="125"/>
      <c r="TSR185" s="125"/>
      <c r="TSS185" s="125"/>
      <c r="TST185" s="125"/>
      <c r="TSU185" s="125"/>
      <c r="TSV185" s="125"/>
      <c r="TSW185" s="125"/>
      <c r="TSX185" s="125"/>
      <c r="TSY185" s="125"/>
      <c r="TSZ185" s="125"/>
      <c r="TTA185" s="125"/>
      <c r="TTB185" s="125"/>
      <c r="TTC185" s="125"/>
      <c r="TTD185" s="125"/>
      <c r="TTE185" s="125"/>
      <c r="TTF185" s="125"/>
      <c r="TTG185" s="125"/>
      <c r="TTH185" s="125"/>
      <c r="TTI185" s="125"/>
      <c r="TTJ185" s="125"/>
      <c r="TTK185" s="125"/>
      <c r="TTL185" s="125"/>
      <c r="TTM185" s="125"/>
      <c r="TTN185" s="125"/>
      <c r="TTO185" s="125"/>
      <c r="TTP185" s="125"/>
      <c r="TTQ185" s="125"/>
      <c r="TTR185" s="125"/>
      <c r="TTS185" s="125"/>
      <c r="TTT185" s="125"/>
      <c r="TTU185" s="125"/>
      <c r="TTV185" s="125"/>
      <c r="TTW185" s="125"/>
      <c r="TTX185" s="125"/>
      <c r="TTY185" s="125"/>
      <c r="TTZ185" s="125"/>
      <c r="TUA185" s="125"/>
      <c r="TUB185" s="125"/>
      <c r="TUC185" s="125"/>
      <c r="TUD185" s="125"/>
      <c r="TUE185" s="125"/>
      <c r="TUF185" s="125"/>
      <c r="TUG185" s="125"/>
      <c r="TUH185" s="125"/>
      <c r="TUI185" s="125"/>
      <c r="TUJ185" s="125"/>
      <c r="TUK185" s="125"/>
      <c r="TUL185" s="125"/>
      <c r="TUM185" s="125"/>
      <c r="TUN185" s="125"/>
      <c r="TUO185" s="125"/>
      <c r="TUP185" s="125"/>
      <c r="TUQ185" s="125"/>
      <c r="TUR185" s="125"/>
      <c r="TUS185" s="125"/>
      <c r="TUT185" s="125"/>
      <c r="TUU185" s="125"/>
      <c r="TUV185" s="125"/>
      <c r="TUW185" s="125"/>
      <c r="TUX185" s="125"/>
      <c r="TUY185" s="125"/>
      <c r="TUZ185" s="125"/>
      <c r="TVA185" s="125"/>
      <c r="TVB185" s="125"/>
      <c r="TVC185" s="125"/>
      <c r="TVD185" s="125"/>
      <c r="TVE185" s="125"/>
      <c r="TVF185" s="125"/>
      <c r="TVG185" s="125"/>
      <c r="TVH185" s="125"/>
      <c r="TVI185" s="125"/>
      <c r="TVJ185" s="125"/>
      <c r="TVK185" s="125"/>
      <c r="TVL185" s="125"/>
      <c r="TVM185" s="125"/>
      <c r="TVN185" s="125"/>
      <c r="TVO185" s="125"/>
      <c r="TVP185" s="125"/>
      <c r="TVQ185" s="125"/>
      <c r="TVR185" s="125"/>
      <c r="TVS185" s="125"/>
      <c r="TVT185" s="125"/>
      <c r="TVU185" s="125"/>
      <c r="TVV185" s="125"/>
      <c r="TVW185" s="125"/>
      <c r="TVX185" s="125"/>
      <c r="TVY185" s="125"/>
      <c r="TVZ185" s="125"/>
      <c r="TWA185" s="125"/>
      <c r="TWB185" s="125"/>
      <c r="TWC185" s="125"/>
      <c r="TWD185" s="125"/>
      <c r="TWE185" s="125"/>
      <c r="TWF185" s="125"/>
      <c r="TWG185" s="125"/>
      <c r="TWH185" s="125"/>
      <c r="TWI185" s="125"/>
      <c r="TWJ185" s="125"/>
      <c r="TWK185" s="125"/>
      <c r="TWL185" s="125"/>
      <c r="TWM185" s="125"/>
      <c r="TWN185" s="125"/>
      <c r="TWO185" s="125"/>
      <c r="TWP185" s="125"/>
      <c r="TWQ185" s="125"/>
      <c r="TWR185" s="125"/>
      <c r="TWS185" s="125"/>
      <c r="TWT185" s="125"/>
      <c r="TWU185" s="125"/>
      <c r="TWV185" s="125"/>
      <c r="TWW185" s="125"/>
      <c r="TWX185" s="125"/>
      <c r="TWY185" s="125"/>
      <c r="TWZ185" s="125"/>
      <c r="TXA185" s="125"/>
      <c r="TXB185" s="125"/>
      <c r="TXC185" s="125"/>
      <c r="TXD185" s="125"/>
      <c r="TXE185" s="125"/>
      <c r="TXF185" s="125"/>
      <c r="TXG185" s="125"/>
      <c r="TXH185" s="125"/>
      <c r="TXI185" s="125"/>
      <c r="TXJ185" s="125"/>
      <c r="TXK185" s="125"/>
      <c r="TXL185" s="125"/>
      <c r="TXM185" s="125"/>
      <c r="TXN185" s="125"/>
      <c r="TXO185" s="125"/>
      <c r="TXP185" s="125"/>
      <c r="TXQ185" s="125"/>
      <c r="TXR185" s="125"/>
      <c r="TXS185" s="125"/>
      <c r="TXT185" s="125"/>
      <c r="TXU185" s="125"/>
      <c r="TXV185" s="125"/>
      <c r="TXW185" s="125"/>
      <c r="TXX185" s="125"/>
      <c r="TXY185" s="125"/>
      <c r="TXZ185" s="125"/>
      <c r="TYA185" s="125"/>
      <c r="TYB185" s="125"/>
      <c r="TYC185" s="125"/>
      <c r="TYD185" s="125"/>
      <c r="TYE185" s="125"/>
      <c r="TYF185" s="125"/>
      <c r="TYG185" s="125"/>
      <c r="TYH185" s="125"/>
      <c r="TYI185" s="125"/>
      <c r="TYJ185" s="125"/>
      <c r="TYK185" s="125"/>
      <c r="TYL185" s="125"/>
      <c r="TYM185" s="125"/>
      <c r="TYN185" s="125"/>
      <c r="TYO185" s="125"/>
      <c r="TYP185" s="125"/>
      <c r="TYQ185" s="125"/>
      <c r="TYR185" s="125"/>
      <c r="TYS185" s="125"/>
      <c r="TYT185" s="125"/>
      <c r="TYU185" s="125"/>
      <c r="TYV185" s="125"/>
      <c r="TYW185" s="125"/>
      <c r="TYX185" s="125"/>
      <c r="TYY185" s="125"/>
      <c r="TYZ185" s="125"/>
      <c r="TZA185" s="125"/>
      <c r="TZB185" s="125"/>
      <c r="TZC185" s="125"/>
      <c r="TZD185" s="125"/>
      <c r="TZE185" s="125"/>
      <c r="TZF185" s="125"/>
      <c r="TZG185" s="125"/>
      <c r="TZH185" s="125"/>
      <c r="TZI185" s="125"/>
      <c r="TZJ185" s="125"/>
      <c r="TZK185" s="125"/>
      <c r="TZL185" s="125"/>
      <c r="TZM185" s="125"/>
      <c r="TZN185" s="125"/>
      <c r="TZO185" s="125"/>
      <c r="TZP185" s="125"/>
      <c r="TZQ185" s="125"/>
      <c r="TZR185" s="125"/>
      <c r="TZS185" s="125"/>
      <c r="TZT185" s="125"/>
      <c r="TZU185" s="125"/>
      <c r="TZV185" s="125"/>
      <c r="TZW185" s="125"/>
      <c r="TZX185" s="125"/>
      <c r="TZY185" s="125"/>
      <c r="TZZ185" s="125"/>
      <c r="UAA185" s="125"/>
      <c r="UAB185" s="125"/>
      <c r="UAC185" s="125"/>
      <c r="UAD185" s="125"/>
      <c r="UAE185" s="125"/>
      <c r="UAF185" s="125"/>
      <c r="UAG185" s="125"/>
      <c r="UAH185" s="125"/>
      <c r="UAI185" s="125"/>
      <c r="UAJ185" s="125"/>
      <c r="UAK185" s="125"/>
      <c r="UAL185" s="125"/>
      <c r="UAM185" s="125"/>
      <c r="UAN185" s="125"/>
      <c r="UAO185" s="125"/>
      <c r="UAP185" s="125"/>
      <c r="UAQ185" s="125"/>
      <c r="UAR185" s="125"/>
      <c r="UAS185" s="125"/>
      <c r="UAT185" s="125"/>
      <c r="UAU185" s="125"/>
      <c r="UAV185" s="125"/>
      <c r="UAW185" s="125"/>
      <c r="UAX185" s="125"/>
      <c r="UAY185" s="125"/>
      <c r="UAZ185" s="125"/>
      <c r="UBA185" s="125"/>
      <c r="UBB185" s="125"/>
      <c r="UBC185" s="125"/>
      <c r="UBD185" s="125"/>
      <c r="UBE185" s="125"/>
      <c r="UBF185" s="125"/>
      <c r="UBG185" s="125"/>
      <c r="UBH185" s="125"/>
      <c r="UBI185" s="125"/>
      <c r="UBJ185" s="125"/>
      <c r="UBK185" s="125"/>
      <c r="UBL185" s="125"/>
      <c r="UBM185" s="125"/>
      <c r="UBN185" s="125"/>
      <c r="UBO185" s="125"/>
      <c r="UBP185" s="125"/>
      <c r="UBQ185" s="125"/>
      <c r="UBR185" s="125"/>
      <c r="UBS185" s="125"/>
      <c r="UBT185" s="125"/>
      <c r="UBU185" s="125"/>
      <c r="UBV185" s="125"/>
      <c r="UBW185" s="125"/>
      <c r="UBX185" s="125"/>
      <c r="UBY185" s="125"/>
      <c r="UBZ185" s="125"/>
      <c r="UCA185" s="125"/>
      <c r="UCB185" s="125"/>
      <c r="UCC185" s="125"/>
      <c r="UCD185" s="125"/>
      <c r="UCE185" s="125"/>
      <c r="UCF185" s="125"/>
      <c r="UCG185" s="125"/>
      <c r="UCH185" s="125"/>
      <c r="UCI185" s="125"/>
      <c r="UCJ185" s="125"/>
      <c r="UCK185" s="125"/>
      <c r="UCL185" s="125"/>
      <c r="UCM185" s="125"/>
      <c r="UCN185" s="125"/>
      <c r="UCO185" s="125"/>
      <c r="UCP185" s="125"/>
      <c r="UCQ185" s="125"/>
      <c r="UCR185" s="125"/>
      <c r="UCS185" s="125"/>
      <c r="UCT185" s="125"/>
      <c r="UCU185" s="125"/>
      <c r="UCV185" s="125"/>
      <c r="UCW185" s="125"/>
      <c r="UCX185" s="125"/>
      <c r="UCY185" s="125"/>
      <c r="UCZ185" s="125"/>
      <c r="UDA185" s="125"/>
      <c r="UDB185" s="125"/>
      <c r="UDC185" s="125"/>
      <c r="UDD185" s="125"/>
      <c r="UDE185" s="125"/>
      <c r="UDF185" s="125"/>
      <c r="UDG185" s="125"/>
      <c r="UDH185" s="125"/>
      <c r="UDI185" s="125"/>
      <c r="UDJ185" s="125"/>
      <c r="UDK185" s="125"/>
      <c r="UDL185" s="125"/>
      <c r="UDM185" s="125"/>
      <c r="UDN185" s="125"/>
      <c r="UDO185" s="125"/>
      <c r="UDP185" s="125"/>
      <c r="UDQ185" s="125"/>
      <c r="UDR185" s="125"/>
      <c r="UDS185" s="125"/>
      <c r="UDT185" s="125"/>
      <c r="UDU185" s="125"/>
      <c r="UDV185" s="125"/>
      <c r="UDW185" s="125"/>
      <c r="UDX185" s="125"/>
      <c r="UDY185" s="125"/>
      <c r="UDZ185" s="125"/>
      <c r="UEA185" s="125"/>
      <c r="UEB185" s="125"/>
      <c r="UEC185" s="125"/>
      <c r="UED185" s="125"/>
      <c r="UEE185" s="125"/>
      <c r="UEF185" s="125"/>
      <c r="UEG185" s="125"/>
      <c r="UEH185" s="125"/>
      <c r="UEI185" s="125"/>
      <c r="UEJ185" s="125"/>
      <c r="UEK185" s="125"/>
      <c r="UEL185" s="125"/>
      <c r="UEM185" s="125"/>
      <c r="UEN185" s="125"/>
      <c r="UEO185" s="125"/>
      <c r="UEP185" s="125"/>
      <c r="UEQ185" s="125"/>
      <c r="UER185" s="125"/>
      <c r="UES185" s="125"/>
      <c r="UET185" s="125"/>
      <c r="UEU185" s="125"/>
      <c r="UEV185" s="125"/>
      <c r="UEW185" s="125"/>
      <c r="UEX185" s="125"/>
      <c r="UEY185" s="125"/>
      <c r="UEZ185" s="125"/>
      <c r="UFA185" s="125"/>
      <c r="UFB185" s="125"/>
      <c r="UFC185" s="125"/>
      <c r="UFD185" s="125"/>
      <c r="UFE185" s="125"/>
      <c r="UFF185" s="125"/>
      <c r="UFG185" s="125"/>
      <c r="UFH185" s="125"/>
      <c r="UFI185" s="125"/>
      <c r="UFJ185" s="125"/>
      <c r="UFK185" s="125"/>
      <c r="UFL185" s="125"/>
      <c r="UFM185" s="125"/>
      <c r="UFN185" s="125"/>
      <c r="UFO185" s="125"/>
      <c r="UFP185" s="125"/>
      <c r="UFQ185" s="125"/>
      <c r="UFR185" s="125"/>
      <c r="UFS185" s="125"/>
      <c r="UFT185" s="125"/>
      <c r="UFU185" s="125"/>
      <c r="UFV185" s="125"/>
      <c r="UFW185" s="125"/>
      <c r="UFX185" s="125"/>
      <c r="UFY185" s="125"/>
      <c r="UFZ185" s="125"/>
      <c r="UGA185" s="125"/>
      <c r="UGB185" s="125"/>
      <c r="UGC185" s="125"/>
      <c r="UGD185" s="125"/>
      <c r="UGE185" s="125"/>
      <c r="UGF185" s="125"/>
      <c r="UGG185" s="125"/>
      <c r="UGH185" s="125"/>
      <c r="UGI185" s="125"/>
      <c r="UGJ185" s="125"/>
      <c r="UGK185" s="125"/>
      <c r="UGL185" s="125"/>
      <c r="UGM185" s="125"/>
      <c r="UGN185" s="125"/>
      <c r="UGO185" s="125"/>
      <c r="UGP185" s="125"/>
      <c r="UGQ185" s="125"/>
      <c r="UGR185" s="125"/>
      <c r="UGS185" s="125"/>
      <c r="UGT185" s="125"/>
      <c r="UGU185" s="125"/>
      <c r="UGV185" s="125"/>
      <c r="UGW185" s="125"/>
      <c r="UGX185" s="125"/>
      <c r="UGY185" s="125"/>
      <c r="UGZ185" s="125"/>
      <c r="UHA185" s="125"/>
      <c r="UHB185" s="125"/>
      <c r="UHC185" s="125"/>
      <c r="UHD185" s="125"/>
      <c r="UHE185" s="125"/>
      <c r="UHF185" s="125"/>
      <c r="UHG185" s="125"/>
      <c r="UHH185" s="125"/>
      <c r="UHI185" s="125"/>
      <c r="UHJ185" s="125"/>
      <c r="UHK185" s="125"/>
      <c r="UHL185" s="125"/>
      <c r="UHM185" s="125"/>
      <c r="UHN185" s="125"/>
      <c r="UHO185" s="125"/>
      <c r="UHP185" s="125"/>
      <c r="UHQ185" s="125"/>
      <c r="UHR185" s="125"/>
      <c r="UHS185" s="125"/>
      <c r="UHT185" s="125"/>
      <c r="UHU185" s="125"/>
      <c r="UHV185" s="125"/>
      <c r="UHW185" s="125"/>
      <c r="UHX185" s="125"/>
      <c r="UHY185" s="125"/>
      <c r="UHZ185" s="125"/>
      <c r="UIA185" s="125"/>
      <c r="UIB185" s="125"/>
      <c r="UIC185" s="125"/>
      <c r="UID185" s="125"/>
      <c r="UIE185" s="125"/>
      <c r="UIF185" s="125"/>
      <c r="UIG185" s="125"/>
      <c r="UIH185" s="125"/>
      <c r="UII185" s="125"/>
      <c r="UIJ185" s="125"/>
      <c r="UIK185" s="125"/>
      <c r="UIL185" s="125"/>
      <c r="UIM185" s="125"/>
      <c r="UIN185" s="125"/>
      <c r="UIO185" s="125"/>
      <c r="UIP185" s="125"/>
      <c r="UIQ185" s="125"/>
      <c r="UIR185" s="125"/>
      <c r="UIS185" s="125"/>
      <c r="UIT185" s="125"/>
      <c r="UIU185" s="125"/>
      <c r="UIV185" s="125"/>
      <c r="UIW185" s="125"/>
      <c r="UIX185" s="125"/>
      <c r="UIY185" s="125"/>
      <c r="UIZ185" s="125"/>
      <c r="UJA185" s="125"/>
      <c r="UJB185" s="125"/>
      <c r="UJC185" s="125"/>
      <c r="UJD185" s="125"/>
      <c r="UJE185" s="125"/>
      <c r="UJF185" s="125"/>
      <c r="UJG185" s="125"/>
      <c r="UJH185" s="125"/>
      <c r="UJI185" s="125"/>
      <c r="UJJ185" s="125"/>
      <c r="UJK185" s="125"/>
      <c r="UJL185" s="125"/>
      <c r="UJM185" s="125"/>
      <c r="UJN185" s="125"/>
      <c r="UJO185" s="125"/>
      <c r="UJP185" s="125"/>
      <c r="UJQ185" s="125"/>
      <c r="UJR185" s="125"/>
      <c r="UJS185" s="125"/>
      <c r="UJT185" s="125"/>
      <c r="UJU185" s="125"/>
      <c r="UJV185" s="125"/>
      <c r="UJW185" s="125"/>
      <c r="UJX185" s="125"/>
      <c r="UJY185" s="125"/>
      <c r="UJZ185" s="125"/>
      <c r="UKA185" s="125"/>
      <c r="UKB185" s="125"/>
      <c r="UKC185" s="125"/>
      <c r="UKD185" s="125"/>
      <c r="UKE185" s="125"/>
      <c r="UKF185" s="125"/>
      <c r="UKG185" s="125"/>
      <c r="UKH185" s="125"/>
      <c r="UKI185" s="125"/>
      <c r="UKJ185" s="125"/>
      <c r="UKK185" s="125"/>
      <c r="UKL185" s="125"/>
      <c r="UKM185" s="125"/>
      <c r="UKN185" s="125"/>
      <c r="UKO185" s="125"/>
      <c r="UKP185" s="125"/>
      <c r="UKQ185" s="125"/>
      <c r="UKR185" s="125"/>
      <c r="UKS185" s="125"/>
      <c r="UKT185" s="125"/>
      <c r="UKU185" s="125"/>
      <c r="UKV185" s="125"/>
      <c r="UKW185" s="125"/>
      <c r="UKX185" s="125"/>
      <c r="UKY185" s="125"/>
      <c r="UKZ185" s="125"/>
      <c r="ULA185" s="125"/>
      <c r="ULB185" s="125"/>
      <c r="ULC185" s="125"/>
      <c r="ULD185" s="125"/>
      <c r="ULE185" s="125"/>
      <c r="ULF185" s="125"/>
      <c r="ULG185" s="125"/>
      <c r="ULH185" s="125"/>
      <c r="ULI185" s="125"/>
      <c r="ULJ185" s="125"/>
      <c r="ULK185" s="125"/>
      <c r="ULL185" s="125"/>
      <c r="ULM185" s="125"/>
      <c r="ULN185" s="125"/>
      <c r="ULO185" s="125"/>
      <c r="ULP185" s="125"/>
      <c r="ULQ185" s="125"/>
      <c r="ULR185" s="125"/>
      <c r="ULS185" s="125"/>
      <c r="ULT185" s="125"/>
      <c r="ULU185" s="125"/>
      <c r="ULV185" s="125"/>
      <c r="ULW185" s="125"/>
      <c r="ULX185" s="125"/>
      <c r="ULY185" s="125"/>
      <c r="ULZ185" s="125"/>
      <c r="UMA185" s="125"/>
      <c r="UMB185" s="125"/>
      <c r="UMC185" s="125"/>
      <c r="UMD185" s="125"/>
      <c r="UME185" s="125"/>
      <c r="UMF185" s="125"/>
      <c r="UMG185" s="125"/>
      <c r="UMH185" s="125"/>
      <c r="UMI185" s="125"/>
      <c r="UMJ185" s="125"/>
      <c r="UMK185" s="125"/>
      <c r="UML185" s="125"/>
      <c r="UMM185" s="125"/>
      <c r="UMN185" s="125"/>
      <c r="UMO185" s="125"/>
      <c r="UMP185" s="125"/>
      <c r="UMQ185" s="125"/>
      <c r="UMR185" s="125"/>
      <c r="UMS185" s="125"/>
      <c r="UMT185" s="125"/>
      <c r="UMU185" s="125"/>
      <c r="UMV185" s="125"/>
      <c r="UMW185" s="125"/>
      <c r="UMX185" s="125"/>
      <c r="UMY185" s="125"/>
      <c r="UMZ185" s="125"/>
      <c r="UNA185" s="125"/>
      <c r="UNB185" s="125"/>
      <c r="UNC185" s="125"/>
      <c r="UND185" s="125"/>
      <c r="UNE185" s="125"/>
      <c r="UNF185" s="125"/>
      <c r="UNG185" s="125"/>
      <c r="UNH185" s="125"/>
      <c r="UNI185" s="125"/>
      <c r="UNJ185" s="125"/>
      <c r="UNK185" s="125"/>
      <c r="UNL185" s="125"/>
      <c r="UNM185" s="125"/>
      <c r="UNN185" s="125"/>
      <c r="UNO185" s="125"/>
      <c r="UNP185" s="125"/>
      <c r="UNQ185" s="125"/>
      <c r="UNR185" s="125"/>
      <c r="UNS185" s="125"/>
      <c r="UNT185" s="125"/>
      <c r="UNU185" s="125"/>
      <c r="UNV185" s="125"/>
      <c r="UNW185" s="125"/>
      <c r="UNX185" s="125"/>
      <c r="UNY185" s="125"/>
      <c r="UNZ185" s="125"/>
      <c r="UOA185" s="125"/>
      <c r="UOB185" s="125"/>
      <c r="UOC185" s="125"/>
      <c r="UOD185" s="125"/>
      <c r="UOE185" s="125"/>
      <c r="UOF185" s="125"/>
      <c r="UOG185" s="125"/>
      <c r="UOH185" s="125"/>
      <c r="UOI185" s="125"/>
      <c r="UOJ185" s="125"/>
      <c r="UOK185" s="125"/>
      <c r="UOL185" s="125"/>
      <c r="UOM185" s="125"/>
      <c r="UON185" s="125"/>
      <c r="UOO185" s="125"/>
      <c r="UOP185" s="125"/>
      <c r="UOQ185" s="125"/>
      <c r="UOR185" s="125"/>
      <c r="UOS185" s="125"/>
      <c r="UOT185" s="125"/>
      <c r="UOU185" s="125"/>
      <c r="UOV185" s="125"/>
      <c r="UOW185" s="125"/>
      <c r="UOX185" s="125"/>
      <c r="UOY185" s="125"/>
      <c r="UOZ185" s="125"/>
      <c r="UPA185" s="125"/>
      <c r="UPB185" s="125"/>
      <c r="UPC185" s="125"/>
      <c r="UPD185" s="125"/>
      <c r="UPE185" s="125"/>
      <c r="UPF185" s="125"/>
      <c r="UPG185" s="125"/>
      <c r="UPH185" s="125"/>
      <c r="UPI185" s="125"/>
      <c r="UPJ185" s="125"/>
      <c r="UPK185" s="125"/>
      <c r="UPL185" s="125"/>
      <c r="UPM185" s="125"/>
      <c r="UPN185" s="125"/>
      <c r="UPO185" s="125"/>
      <c r="UPP185" s="125"/>
      <c r="UPQ185" s="125"/>
      <c r="UPR185" s="125"/>
      <c r="UPS185" s="125"/>
      <c r="UPT185" s="125"/>
      <c r="UPU185" s="125"/>
      <c r="UPV185" s="125"/>
      <c r="UPW185" s="125"/>
      <c r="UPX185" s="125"/>
      <c r="UPY185" s="125"/>
      <c r="UPZ185" s="125"/>
      <c r="UQA185" s="125"/>
      <c r="UQB185" s="125"/>
      <c r="UQC185" s="125"/>
      <c r="UQD185" s="125"/>
      <c r="UQE185" s="125"/>
      <c r="UQF185" s="125"/>
      <c r="UQG185" s="125"/>
      <c r="UQH185" s="125"/>
      <c r="UQI185" s="125"/>
      <c r="UQJ185" s="125"/>
      <c r="UQK185" s="125"/>
      <c r="UQL185" s="125"/>
      <c r="UQM185" s="125"/>
      <c r="UQN185" s="125"/>
      <c r="UQO185" s="125"/>
      <c r="UQP185" s="125"/>
      <c r="UQQ185" s="125"/>
      <c r="UQR185" s="125"/>
      <c r="UQS185" s="125"/>
      <c r="UQT185" s="125"/>
      <c r="UQU185" s="125"/>
      <c r="UQV185" s="125"/>
      <c r="UQW185" s="125"/>
      <c r="UQX185" s="125"/>
      <c r="UQY185" s="125"/>
      <c r="UQZ185" s="125"/>
      <c r="URA185" s="125"/>
      <c r="URB185" s="125"/>
      <c r="URC185" s="125"/>
      <c r="URD185" s="125"/>
      <c r="URE185" s="125"/>
      <c r="URF185" s="125"/>
      <c r="URG185" s="125"/>
      <c r="URH185" s="125"/>
      <c r="URI185" s="125"/>
      <c r="URJ185" s="125"/>
      <c r="URK185" s="125"/>
      <c r="URL185" s="125"/>
      <c r="URM185" s="125"/>
      <c r="URN185" s="125"/>
      <c r="URO185" s="125"/>
      <c r="URP185" s="125"/>
      <c r="URQ185" s="125"/>
      <c r="URR185" s="125"/>
      <c r="URS185" s="125"/>
      <c r="URT185" s="125"/>
      <c r="URU185" s="125"/>
      <c r="URV185" s="125"/>
      <c r="URW185" s="125"/>
      <c r="URX185" s="125"/>
      <c r="URY185" s="125"/>
      <c r="URZ185" s="125"/>
      <c r="USA185" s="125"/>
      <c r="USB185" s="125"/>
      <c r="USC185" s="125"/>
      <c r="USD185" s="125"/>
      <c r="USE185" s="125"/>
      <c r="USF185" s="125"/>
      <c r="USG185" s="125"/>
      <c r="USH185" s="125"/>
      <c r="USI185" s="125"/>
      <c r="USJ185" s="125"/>
      <c r="USK185" s="125"/>
      <c r="USL185" s="125"/>
      <c r="USM185" s="125"/>
      <c r="USN185" s="125"/>
      <c r="USO185" s="125"/>
      <c r="USP185" s="125"/>
      <c r="USQ185" s="125"/>
      <c r="USR185" s="125"/>
      <c r="USS185" s="125"/>
      <c r="UST185" s="125"/>
      <c r="USU185" s="125"/>
      <c r="USV185" s="125"/>
      <c r="USW185" s="125"/>
      <c r="USX185" s="125"/>
      <c r="USY185" s="125"/>
      <c r="USZ185" s="125"/>
      <c r="UTA185" s="125"/>
      <c r="UTB185" s="125"/>
      <c r="UTC185" s="125"/>
      <c r="UTD185" s="125"/>
      <c r="UTE185" s="125"/>
      <c r="UTF185" s="125"/>
      <c r="UTG185" s="125"/>
      <c r="UTH185" s="125"/>
      <c r="UTI185" s="125"/>
      <c r="UTJ185" s="125"/>
      <c r="UTK185" s="125"/>
      <c r="UTL185" s="125"/>
      <c r="UTM185" s="125"/>
      <c r="UTN185" s="125"/>
      <c r="UTO185" s="125"/>
      <c r="UTP185" s="125"/>
      <c r="UTQ185" s="125"/>
      <c r="UTR185" s="125"/>
      <c r="UTS185" s="125"/>
      <c r="UTT185" s="125"/>
      <c r="UTU185" s="125"/>
      <c r="UTV185" s="125"/>
      <c r="UTW185" s="125"/>
      <c r="UTX185" s="125"/>
      <c r="UTY185" s="125"/>
      <c r="UTZ185" s="125"/>
      <c r="UUA185" s="125"/>
      <c r="UUB185" s="125"/>
      <c r="UUC185" s="125"/>
      <c r="UUD185" s="125"/>
      <c r="UUE185" s="125"/>
      <c r="UUF185" s="125"/>
      <c r="UUG185" s="125"/>
      <c r="UUH185" s="125"/>
      <c r="UUI185" s="125"/>
      <c r="UUJ185" s="125"/>
      <c r="UUK185" s="125"/>
      <c r="UUL185" s="125"/>
      <c r="UUM185" s="125"/>
      <c r="UUN185" s="125"/>
      <c r="UUO185" s="125"/>
      <c r="UUP185" s="125"/>
      <c r="UUQ185" s="125"/>
      <c r="UUR185" s="125"/>
      <c r="UUS185" s="125"/>
      <c r="UUT185" s="125"/>
      <c r="UUU185" s="125"/>
      <c r="UUV185" s="125"/>
      <c r="UUW185" s="125"/>
      <c r="UUX185" s="125"/>
      <c r="UUY185" s="125"/>
      <c r="UUZ185" s="125"/>
      <c r="UVA185" s="125"/>
      <c r="UVB185" s="125"/>
      <c r="UVC185" s="125"/>
      <c r="UVD185" s="125"/>
      <c r="UVE185" s="125"/>
      <c r="UVF185" s="125"/>
      <c r="UVG185" s="125"/>
      <c r="UVH185" s="125"/>
      <c r="UVI185" s="125"/>
      <c r="UVJ185" s="125"/>
      <c r="UVK185" s="125"/>
      <c r="UVL185" s="125"/>
      <c r="UVM185" s="125"/>
      <c r="UVN185" s="125"/>
      <c r="UVO185" s="125"/>
      <c r="UVP185" s="125"/>
      <c r="UVQ185" s="125"/>
      <c r="UVR185" s="125"/>
      <c r="UVS185" s="125"/>
      <c r="UVT185" s="125"/>
      <c r="UVU185" s="125"/>
      <c r="UVV185" s="125"/>
      <c r="UVW185" s="125"/>
      <c r="UVX185" s="125"/>
      <c r="UVY185" s="125"/>
      <c r="UVZ185" s="125"/>
      <c r="UWA185" s="125"/>
      <c r="UWB185" s="125"/>
      <c r="UWC185" s="125"/>
      <c r="UWD185" s="125"/>
      <c r="UWE185" s="125"/>
      <c r="UWF185" s="125"/>
      <c r="UWG185" s="125"/>
      <c r="UWH185" s="125"/>
      <c r="UWI185" s="125"/>
      <c r="UWJ185" s="125"/>
      <c r="UWK185" s="125"/>
      <c r="UWL185" s="125"/>
      <c r="UWM185" s="125"/>
      <c r="UWN185" s="125"/>
      <c r="UWO185" s="125"/>
      <c r="UWP185" s="125"/>
      <c r="UWQ185" s="125"/>
      <c r="UWR185" s="125"/>
      <c r="UWS185" s="125"/>
      <c r="UWT185" s="125"/>
      <c r="UWU185" s="125"/>
      <c r="UWV185" s="125"/>
      <c r="UWW185" s="125"/>
      <c r="UWX185" s="125"/>
      <c r="UWY185" s="125"/>
      <c r="UWZ185" s="125"/>
      <c r="UXA185" s="125"/>
      <c r="UXB185" s="125"/>
      <c r="UXC185" s="125"/>
      <c r="UXD185" s="125"/>
      <c r="UXE185" s="125"/>
      <c r="UXF185" s="125"/>
      <c r="UXG185" s="125"/>
      <c r="UXH185" s="125"/>
      <c r="UXI185" s="125"/>
      <c r="UXJ185" s="125"/>
      <c r="UXK185" s="125"/>
      <c r="UXL185" s="125"/>
      <c r="UXM185" s="125"/>
      <c r="UXN185" s="125"/>
      <c r="UXO185" s="125"/>
      <c r="UXP185" s="125"/>
      <c r="UXQ185" s="125"/>
      <c r="UXR185" s="125"/>
      <c r="UXS185" s="125"/>
      <c r="UXT185" s="125"/>
      <c r="UXU185" s="125"/>
      <c r="UXV185" s="125"/>
      <c r="UXW185" s="125"/>
      <c r="UXX185" s="125"/>
      <c r="UXY185" s="125"/>
      <c r="UXZ185" s="125"/>
      <c r="UYA185" s="125"/>
      <c r="UYB185" s="125"/>
      <c r="UYC185" s="125"/>
      <c r="UYD185" s="125"/>
      <c r="UYE185" s="125"/>
      <c r="UYF185" s="125"/>
      <c r="UYG185" s="125"/>
      <c r="UYH185" s="125"/>
      <c r="UYI185" s="125"/>
      <c r="UYJ185" s="125"/>
      <c r="UYK185" s="125"/>
      <c r="UYL185" s="125"/>
      <c r="UYM185" s="125"/>
      <c r="UYN185" s="125"/>
      <c r="UYO185" s="125"/>
      <c r="UYP185" s="125"/>
      <c r="UYQ185" s="125"/>
      <c r="UYR185" s="125"/>
      <c r="UYS185" s="125"/>
      <c r="UYT185" s="125"/>
      <c r="UYU185" s="125"/>
      <c r="UYV185" s="125"/>
      <c r="UYW185" s="125"/>
      <c r="UYX185" s="125"/>
      <c r="UYY185" s="125"/>
      <c r="UYZ185" s="125"/>
      <c r="UZA185" s="125"/>
      <c r="UZB185" s="125"/>
      <c r="UZC185" s="125"/>
      <c r="UZD185" s="125"/>
      <c r="UZE185" s="125"/>
      <c r="UZF185" s="125"/>
      <c r="UZG185" s="125"/>
      <c r="UZH185" s="125"/>
      <c r="UZI185" s="125"/>
      <c r="UZJ185" s="125"/>
      <c r="UZK185" s="125"/>
      <c r="UZL185" s="125"/>
      <c r="UZM185" s="125"/>
      <c r="UZN185" s="125"/>
      <c r="UZO185" s="125"/>
      <c r="UZP185" s="125"/>
      <c r="UZQ185" s="125"/>
      <c r="UZR185" s="125"/>
      <c r="UZS185" s="125"/>
      <c r="UZT185" s="125"/>
      <c r="UZU185" s="125"/>
      <c r="UZV185" s="125"/>
      <c r="UZW185" s="125"/>
      <c r="UZX185" s="125"/>
      <c r="UZY185" s="125"/>
      <c r="UZZ185" s="125"/>
      <c r="VAA185" s="125"/>
      <c r="VAB185" s="125"/>
      <c r="VAC185" s="125"/>
      <c r="VAD185" s="125"/>
      <c r="VAE185" s="125"/>
      <c r="VAF185" s="125"/>
      <c r="VAG185" s="125"/>
      <c r="VAH185" s="125"/>
      <c r="VAI185" s="125"/>
      <c r="VAJ185" s="125"/>
      <c r="VAK185" s="125"/>
      <c r="VAL185" s="125"/>
      <c r="VAM185" s="125"/>
      <c r="VAN185" s="125"/>
      <c r="VAO185" s="125"/>
      <c r="VAP185" s="125"/>
      <c r="VAQ185" s="125"/>
      <c r="VAR185" s="125"/>
      <c r="VAS185" s="125"/>
      <c r="VAT185" s="125"/>
      <c r="VAU185" s="125"/>
      <c r="VAV185" s="125"/>
      <c r="VAW185" s="125"/>
      <c r="VAX185" s="125"/>
      <c r="VAY185" s="125"/>
      <c r="VAZ185" s="125"/>
      <c r="VBA185" s="125"/>
      <c r="VBB185" s="125"/>
      <c r="VBC185" s="125"/>
      <c r="VBD185" s="125"/>
      <c r="VBE185" s="125"/>
      <c r="VBF185" s="125"/>
      <c r="VBG185" s="125"/>
      <c r="VBH185" s="125"/>
      <c r="VBI185" s="125"/>
      <c r="VBJ185" s="125"/>
      <c r="VBK185" s="125"/>
      <c r="VBL185" s="125"/>
      <c r="VBM185" s="125"/>
      <c r="VBN185" s="125"/>
      <c r="VBO185" s="125"/>
      <c r="VBP185" s="125"/>
      <c r="VBQ185" s="125"/>
      <c r="VBR185" s="125"/>
      <c r="VBS185" s="125"/>
      <c r="VBT185" s="125"/>
      <c r="VBU185" s="125"/>
      <c r="VBV185" s="125"/>
      <c r="VBW185" s="125"/>
      <c r="VBX185" s="125"/>
      <c r="VBY185" s="125"/>
      <c r="VBZ185" s="125"/>
      <c r="VCA185" s="125"/>
      <c r="VCB185" s="125"/>
      <c r="VCC185" s="125"/>
      <c r="VCD185" s="125"/>
      <c r="VCE185" s="125"/>
      <c r="VCF185" s="125"/>
      <c r="VCG185" s="125"/>
      <c r="VCH185" s="125"/>
      <c r="VCI185" s="125"/>
      <c r="VCJ185" s="125"/>
      <c r="VCK185" s="125"/>
      <c r="VCL185" s="125"/>
      <c r="VCM185" s="125"/>
      <c r="VCN185" s="125"/>
      <c r="VCO185" s="125"/>
      <c r="VCP185" s="125"/>
      <c r="VCQ185" s="125"/>
      <c r="VCR185" s="125"/>
      <c r="VCS185" s="125"/>
      <c r="VCT185" s="125"/>
      <c r="VCU185" s="125"/>
      <c r="VCV185" s="125"/>
      <c r="VCW185" s="125"/>
      <c r="VCX185" s="125"/>
      <c r="VCY185" s="125"/>
      <c r="VCZ185" s="125"/>
      <c r="VDA185" s="125"/>
      <c r="VDB185" s="125"/>
      <c r="VDC185" s="125"/>
      <c r="VDD185" s="125"/>
      <c r="VDE185" s="125"/>
      <c r="VDF185" s="125"/>
      <c r="VDG185" s="125"/>
      <c r="VDH185" s="125"/>
      <c r="VDI185" s="125"/>
      <c r="VDJ185" s="125"/>
      <c r="VDK185" s="125"/>
      <c r="VDL185" s="125"/>
      <c r="VDM185" s="125"/>
      <c r="VDN185" s="125"/>
      <c r="VDO185" s="125"/>
      <c r="VDP185" s="125"/>
      <c r="VDQ185" s="125"/>
      <c r="VDR185" s="125"/>
      <c r="VDS185" s="125"/>
      <c r="VDT185" s="125"/>
      <c r="VDU185" s="125"/>
      <c r="VDV185" s="125"/>
      <c r="VDW185" s="125"/>
      <c r="VDX185" s="125"/>
      <c r="VDY185" s="125"/>
      <c r="VDZ185" s="125"/>
      <c r="VEA185" s="125"/>
      <c r="VEB185" s="125"/>
      <c r="VEC185" s="125"/>
      <c r="VED185" s="125"/>
      <c r="VEE185" s="125"/>
      <c r="VEF185" s="125"/>
      <c r="VEG185" s="125"/>
      <c r="VEH185" s="125"/>
      <c r="VEI185" s="125"/>
      <c r="VEJ185" s="125"/>
      <c r="VEK185" s="125"/>
      <c r="VEL185" s="125"/>
      <c r="VEM185" s="125"/>
      <c r="VEN185" s="125"/>
      <c r="VEO185" s="125"/>
      <c r="VEP185" s="125"/>
      <c r="VEQ185" s="125"/>
      <c r="VER185" s="125"/>
      <c r="VES185" s="125"/>
      <c r="VET185" s="125"/>
      <c r="VEU185" s="125"/>
      <c r="VEV185" s="125"/>
      <c r="VEW185" s="125"/>
      <c r="VEX185" s="125"/>
      <c r="VEY185" s="125"/>
      <c r="VEZ185" s="125"/>
      <c r="VFA185" s="125"/>
      <c r="VFB185" s="125"/>
      <c r="VFC185" s="125"/>
      <c r="VFD185" s="125"/>
      <c r="VFE185" s="125"/>
      <c r="VFF185" s="125"/>
      <c r="VFG185" s="125"/>
      <c r="VFH185" s="125"/>
      <c r="VFI185" s="125"/>
      <c r="VFJ185" s="125"/>
      <c r="VFK185" s="125"/>
      <c r="VFL185" s="125"/>
      <c r="VFM185" s="125"/>
      <c r="VFN185" s="125"/>
      <c r="VFO185" s="125"/>
      <c r="VFP185" s="125"/>
      <c r="VFQ185" s="125"/>
      <c r="VFR185" s="125"/>
      <c r="VFS185" s="125"/>
      <c r="VFT185" s="125"/>
      <c r="VFU185" s="125"/>
      <c r="VFV185" s="125"/>
      <c r="VFW185" s="125"/>
      <c r="VFX185" s="125"/>
      <c r="VFY185" s="125"/>
      <c r="VFZ185" s="125"/>
      <c r="VGA185" s="125"/>
      <c r="VGB185" s="125"/>
      <c r="VGC185" s="125"/>
      <c r="VGD185" s="125"/>
      <c r="VGE185" s="125"/>
      <c r="VGF185" s="125"/>
      <c r="VGG185" s="125"/>
      <c r="VGH185" s="125"/>
      <c r="VGI185" s="125"/>
      <c r="VGJ185" s="125"/>
      <c r="VGK185" s="125"/>
      <c r="VGL185" s="125"/>
      <c r="VGM185" s="125"/>
      <c r="VGN185" s="125"/>
      <c r="VGO185" s="125"/>
      <c r="VGP185" s="125"/>
      <c r="VGQ185" s="125"/>
      <c r="VGR185" s="125"/>
      <c r="VGS185" s="125"/>
      <c r="VGT185" s="125"/>
      <c r="VGU185" s="125"/>
      <c r="VGV185" s="125"/>
      <c r="VGW185" s="125"/>
      <c r="VGX185" s="125"/>
      <c r="VGY185" s="125"/>
      <c r="VGZ185" s="125"/>
      <c r="VHA185" s="125"/>
      <c r="VHB185" s="125"/>
      <c r="VHC185" s="125"/>
      <c r="VHD185" s="125"/>
      <c r="VHE185" s="125"/>
      <c r="VHF185" s="125"/>
      <c r="VHG185" s="125"/>
      <c r="VHH185" s="125"/>
      <c r="VHI185" s="125"/>
      <c r="VHJ185" s="125"/>
      <c r="VHK185" s="125"/>
      <c r="VHL185" s="125"/>
      <c r="VHM185" s="125"/>
      <c r="VHN185" s="125"/>
      <c r="VHO185" s="125"/>
      <c r="VHP185" s="125"/>
      <c r="VHQ185" s="125"/>
      <c r="VHR185" s="125"/>
      <c r="VHS185" s="125"/>
      <c r="VHT185" s="125"/>
      <c r="VHU185" s="125"/>
      <c r="VHV185" s="125"/>
      <c r="VHW185" s="125"/>
      <c r="VHX185" s="125"/>
      <c r="VHY185" s="125"/>
      <c r="VHZ185" s="125"/>
      <c r="VIA185" s="125"/>
      <c r="VIB185" s="125"/>
      <c r="VIC185" s="125"/>
      <c r="VID185" s="125"/>
      <c r="VIE185" s="125"/>
      <c r="VIF185" s="125"/>
      <c r="VIG185" s="125"/>
      <c r="VIH185" s="125"/>
      <c r="VII185" s="125"/>
      <c r="VIJ185" s="125"/>
      <c r="VIK185" s="125"/>
      <c r="VIL185" s="125"/>
      <c r="VIM185" s="125"/>
      <c r="VIN185" s="125"/>
      <c r="VIO185" s="125"/>
      <c r="VIP185" s="125"/>
      <c r="VIQ185" s="125"/>
      <c r="VIR185" s="125"/>
      <c r="VIS185" s="125"/>
      <c r="VIT185" s="125"/>
      <c r="VIU185" s="125"/>
      <c r="VIV185" s="125"/>
      <c r="VIW185" s="125"/>
      <c r="VIX185" s="125"/>
      <c r="VIY185" s="125"/>
      <c r="VIZ185" s="125"/>
      <c r="VJA185" s="125"/>
      <c r="VJB185" s="125"/>
      <c r="VJC185" s="125"/>
      <c r="VJD185" s="125"/>
      <c r="VJE185" s="125"/>
      <c r="VJF185" s="125"/>
      <c r="VJG185" s="125"/>
      <c r="VJH185" s="125"/>
      <c r="VJI185" s="125"/>
      <c r="VJJ185" s="125"/>
      <c r="VJK185" s="125"/>
      <c r="VJL185" s="125"/>
      <c r="VJM185" s="125"/>
      <c r="VJN185" s="125"/>
      <c r="VJO185" s="125"/>
      <c r="VJP185" s="125"/>
      <c r="VJQ185" s="125"/>
      <c r="VJR185" s="125"/>
      <c r="VJS185" s="125"/>
      <c r="VJT185" s="125"/>
      <c r="VJU185" s="125"/>
      <c r="VJV185" s="125"/>
      <c r="VJW185" s="125"/>
      <c r="VJX185" s="125"/>
      <c r="VJY185" s="125"/>
      <c r="VJZ185" s="125"/>
      <c r="VKA185" s="125"/>
      <c r="VKB185" s="125"/>
      <c r="VKC185" s="125"/>
      <c r="VKD185" s="125"/>
      <c r="VKE185" s="125"/>
      <c r="VKF185" s="125"/>
      <c r="VKG185" s="125"/>
      <c r="VKH185" s="125"/>
      <c r="VKI185" s="125"/>
      <c r="VKJ185" s="125"/>
      <c r="VKK185" s="125"/>
      <c r="VKL185" s="125"/>
      <c r="VKM185" s="125"/>
      <c r="VKN185" s="125"/>
      <c r="VKO185" s="125"/>
      <c r="VKP185" s="125"/>
      <c r="VKQ185" s="125"/>
      <c r="VKR185" s="125"/>
      <c r="VKS185" s="125"/>
      <c r="VKT185" s="125"/>
      <c r="VKU185" s="125"/>
      <c r="VKV185" s="125"/>
      <c r="VKW185" s="125"/>
      <c r="VKX185" s="125"/>
      <c r="VKY185" s="125"/>
      <c r="VKZ185" s="125"/>
      <c r="VLA185" s="125"/>
      <c r="VLB185" s="125"/>
      <c r="VLC185" s="125"/>
      <c r="VLD185" s="125"/>
      <c r="VLE185" s="125"/>
      <c r="VLF185" s="125"/>
      <c r="VLG185" s="125"/>
      <c r="VLH185" s="125"/>
      <c r="VLI185" s="125"/>
      <c r="VLJ185" s="125"/>
      <c r="VLK185" s="125"/>
      <c r="VLL185" s="125"/>
      <c r="VLM185" s="125"/>
      <c r="VLN185" s="125"/>
      <c r="VLO185" s="125"/>
      <c r="VLP185" s="125"/>
      <c r="VLQ185" s="125"/>
      <c r="VLR185" s="125"/>
      <c r="VLS185" s="125"/>
      <c r="VLT185" s="125"/>
      <c r="VLU185" s="125"/>
      <c r="VLV185" s="125"/>
      <c r="VLW185" s="125"/>
      <c r="VLX185" s="125"/>
      <c r="VLY185" s="125"/>
      <c r="VLZ185" s="125"/>
      <c r="VMA185" s="125"/>
      <c r="VMB185" s="125"/>
      <c r="VMC185" s="125"/>
      <c r="VMD185" s="125"/>
      <c r="VME185" s="125"/>
      <c r="VMF185" s="125"/>
      <c r="VMG185" s="125"/>
      <c r="VMH185" s="125"/>
      <c r="VMI185" s="125"/>
      <c r="VMJ185" s="125"/>
      <c r="VMK185" s="125"/>
      <c r="VML185" s="125"/>
      <c r="VMM185" s="125"/>
      <c r="VMN185" s="125"/>
      <c r="VMO185" s="125"/>
      <c r="VMP185" s="125"/>
      <c r="VMQ185" s="125"/>
      <c r="VMR185" s="125"/>
      <c r="VMS185" s="125"/>
      <c r="VMT185" s="125"/>
      <c r="VMU185" s="125"/>
      <c r="VMV185" s="125"/>
      <c r="VMW185" s="125"/>
      <c r="VMX185" s="125"/>
      <c r="VMY185" s="125"/>
      <c r="VMZ185" s="125"/>
      <c r="VNA185" s="125"/>
      <c r="VNB185" s="125"/>
      <c r="VNC185" s="125"/>
      <c r="VND185" s="125"/>
      <c r="VNE185" s="125"/>
      <c r="VNF185" s="125"/>
      <c r="VNG185" s="125"/>
      <c r="VNH185" s="125"/>
      <c r="VNI185" s="125"/>
      <c r="VNJ185" s="125"/>
      <c r="VNK185" s="125"/>
      <c r="VNL185" s="125"/>
      <c r="VNM185" s="125"/>
      <c r="VNN185" s="125"/>
      <c r="VNO185" s="125"/>
      <c r="VNP185" s="125"/>
      <c r="VNQ185" s="125"/>
      <c r="VNR185" s="125"/>
      <c r="VNS185" s="125"/>
      <c r="VNT185" s="125"/>
      <c r="VNU185" s="125"/>
      <c r="VNV185" s="125"/>
      <c r="VNW185" s="125"/>
      <c r="VNX185" s="125"/>
      <c r="VNY185" s="125"/>
      <c r="VNZ185" s="125"/>
      <c r="VOA185" s="125"/>
      <c r="VOB185" s="125"/>
      <c r="VOC185" s="125"/>
      <c r="VOD185" s="125"/>
      <c r="VOE185" s="125"/>
      <c r="VOF185" s="125"/>
      <c r="VOG185" s="125"/>
      <c r="VOH185" s="125"/>
      <c r="VOI185" s="125"/>
      <c r="VOJ185" s="125"/>
      <c r="VOK185" s="125"/>
      <c r="VOL185" s="125"/>
      <c r="VOM185" s="125"/>
      <c r="VON185" s="125"/>
      <c r="VOO185" s="125"/>
      <c r="VOP185" s="125"/>
      <c r="VOQ185" s="125"/>
      <c r="VOR185" s="125"/>
      <c r="VOS185" s="125"/>
      <c r="VOT185" s="125"/>
      <c r="VOU185" s="125"/>
      <c r="VOV185" s="125"/>
      <c r="VOW185" s="125"/>
      <c r="VOX185" s="125"/>
      <c r="VOY185" s="125"/>
      <c r="VOZ185" s="125"/>
      <c r="VPA185" s="125"/>
      <c r="VPB185" s="125"/>
      <c r="VPC185" s="125"/>
      <c r="VPD185" s="125"/>
      <c r="VPE185" s="125"/>
      <c r="VPF185" s="125"/>
      <c r="VPG185" s="125"/>
      <c r="VPH185" s="125"/>
      <c r="VPI185" s="125"/>
      <c r="VPJ185" s="125"/>
      <c r="VPK185" s="125"/>
      <c r="VPL185" s="125"/>
      <c r="VPM185" s="125"/>
      <c r="VPN185" s="125"/>
      <c r="VPO185" s="125"/>
      <c r="VPP185" s="125"/>
      <c r="VPQ185" s="125"/>
      <c r="VPR185" s="125"/>
      <c r="VPS185" s="125"/>
      <c r="VPT185" s="125"/>
      <c r="VPU185" s="125"/>
      <c r="VPV185" s="125"/>
      <c r="VPW185" s="125"/>
      <c r="VPX185" s="125"/>
      <c r="VPY185" s="125"/>
      <c r="VPZ185" s="125"/>
      <c r="VQA185" s="125"/>
      <c r="VQB185" s="125"/>
      <c r="VQC185" s="125"/>
      <c r="VQD185" s="125"/>
      <c r="VQE185" s="125"/>
      <c r="VQF185" s="125"/>
      <c r="VQG185" s="125"/>
      <c r="VQH185" s="125"/>
      <c r="VQI185" s="125"/>
      <c r="VQJ185" s="125"/>
      <c r="VQK185" s="125"/>
      <c r="VQL185" s="125"/>
      <c r="VQM185" s="125"/>
      <c r="VQN185" s="125"/>
      <c r="VQO185" s="125"/>
      <c r="VQP185" s="125"/>
      <c r="VQQ185" s="125"/>
      <c r="VQR185" s="125"/>
      <c r="VQS185" s="125"/>
      <c r="VQT185" s="125"/>
      <c r="VQU185" s="125"/>
      <c r="VQV185" s="125"/>
      <c r="VQW185" s="125"/>
      <c r="VQX185" s="125"/>
      <c r="VQY185" s="125"/>
      <c r="VQZ185" s="125"/>
      <c r="VRA185" s="125"/>
      <c r="VRB185" s="125"/>
      <c r="VRC185" s="125"/>
      <c r="VRD185" s="125"/>
      <c r="VRE185" s="125"/>
      <c r="VRF185" s="125"/>
      <c r="VRG185" s="125"/>
      <c r="VRH185" s="125"/>
      <c r="VRI185" s="125"/>
      <c r="VRJ185" s="125"/>
      <c r="VRK185" s="125"/>
      <c r="VRL185" s="125"/>
      <c r="VRM185" s="125"/>
      <c r="VRN185" s="125"/>
      <c r="VRO185" s="125"/>
      <c r="VRP185" s="125"/>
      <c r="VRQ185" s="125"/>
      <c r="VRR185" s="125"/>
      <c r="VRS185" s="125"/>
      <c r="VRT185" s="125"/>
      <c r="VRU185" s="125"/>
      <c r="VRV185" s="125"/>
      <c r="VRW185" s="125"/>
      <c r="VRX185" s="125"/>
      <c r="VRY185" s="125"/>
      <c r="VRZ185" s="125"/>
      <c r="VSA185" s="125"/>
      <c r="VSB185" s="125"/>
      <c r="VSC185" s="125"/>
      <c r="VSD185" s="125"/>
      <c r="VSE185" s="125"/>
      <c r="VSF185" s="125"/>
      <c r="VSG185" s="125"/>
      <c r="VSH185" s="125"/>
      <c r="VSI185" s="125"/>
      <c r="VSJ185" s="125"/>
      <c r="VSK185" s="125"/>
      <c r="VSL185" s="125"/>
      <c r="VSM185" s="125"/>
      <c r="VSN185" s="125"/>
      <c r="VSO185" s="125"/>
      <c r="VSP185" s="125"/>
      <c r="VSQ185" s="125"/>
      <c r="VSR185" s="125"/>
      <c r="VSS185" s="125"/>
      <c r="VST185" s="125"/>
      <c r="VSU185" s="125"/>
      <c r="VSV185" s="125"/>
      <c r="VSW185" s="125"/>
      <c r="VSX185" s="125"/>
      <c r="VSY185" s="125"/>
      <c r="VSZ185" s="125"/>
      <c r="VTA185" s="125"/>
      <c r="VTB185" s="125"/>
      <c r="VTC185" s="125"/>
      <c r="VTD185" s="125"/>
      <c r="VTE185" s="125"/>
      <c r="VTF185" s="125"/>
      <c r="VTG185" s="125"/>
      <c r="VTH185" s="125"/>
      <c r="VTI185" s="125"/>
      <c r="VTJ185" s="125"/>
      <c r="VTK185" s="125"/>
      <c r="VTL185" s="125"/>
      <c r="VTM185" s="125"/>
      <c r="VTN185" s="125"/>
      <c r="VTO185" s="125"/>
      <c r="VTP185" s="125"/>
      <c r="VTQ185" s="125"/>
      <c r="VTR185" s="125"/>
      <c r="VTS185" s="125"/>
      <c r="VTT185" s="125"/>
      <c r="VTU185" s="125"/>
      <c r="VTV185" s="125"/>
      <c r="VTW185" s="125"/>
      <c r="VTX185" s="125"/>
      <c r="VTY185" s="125"/>
      <c r="VTZ185" s="125"/>
      <c r="VUA185" s="125"/>
      <c r="VUB185" s="125"/>
      <c r="VUC185" s="125"/>
      <c r="VUD185" s="125"/>
      <c r="VUE185" s="125"/>
      <c r="VUF185" s="125"/>
      <c r="VUG185" s="125"/>
      <c r="VUH185" s="125"/>
      <c r="VUI185" s="125"/>
      <c r="VUJ185" s="125"/>
      <c r="VUK185" s="125"/>
      <c r="VUL185" s="125"/>
      <c r="VUM185" s="125"/>
      <c r="VUN185" s="125"/>
      <c r="VUO185" s="125"/>
      <c r="VUP185" s="125"/>
      <c r="VUQ185" s="125"/>
      <c r="VUR185" s="125"/>
      <c r="VUS185" s="125"/>
      <c r="VUT185" s="125"/>
      <c r="VUU185" s="125"/>
      <c r="VUV185" s="125"/>
      <c r="VUW185" s="125"/>
      <c r="VUX185" s="125"/>
      <c r="VUY185" s="125"/>
      <c r="VUZ185" s="125"/>
      <c r="VVA185" s="125"/>
      <c r="VVB185" s="125"/>
      <c r="VVC185" s="125"/>
      <c r="VVD185" s="125"/>
      <c r="VVE185" s="125"/>
      <c r="VVF185" s="125"/>
      <c r="VVG185" s="125"/>
      <c r="VVH185" s="125"/>
      <c r="VVI185" s="125"/>
      <c r="VVJ185" s="125"/>
      <c r="VVK185" s="125"/>
      <c r="VVL185" s="125"/>
      <c r="VVM185" s="125"/>
      <c r="VVN185" s="125"/>
      <c r="VVO185" s="125"/>
      <c r="VVP185" s="125"/>
      <c r="VVQ185" s="125"/>
      <c r="VVR185" s="125"/>
      <c r="VVS185" s="125"/>
      <c r="VVT185" s="125"/>
      <c r="VVU185" s="125"/>
      <c r="VVV185" s="125"/>
      <c r="VVW185" s="125"/>
      <c r="VVX185" s="125"/>
      <c r="VVY185" s="125"/>
      <c r="VVZ185" s="125"/>
      <c r="VWA185" s="125"/>
      <c r="VWB185" s="125"/>
      <c r="VWC185" s="125"/>
      <c r="VWD185" s="125"/>
      <c r="VWE185" s="125"/>
      <c r="VWF185" s="125"/>
      <c r="VWG185" s="125"/>
      <c r="VWH185" s="125"/>
      <c r="VWI185" s="125"/>
      <c r="VWJ185" s="125"/>
      <c r="VWK185" s="125"/>
      <c r="VWL185" s="125"/>
      <c r="VWM185" s="125"/>
      <c r="VWN185" s="125"/>
      <c r="VWO185" s="125"/>
      <c r="VWP185" s="125"/>
      <c r="VWQ185" s="125"/>
      <c r="VWR185" s="125"/>
      <c r="VWS185" s="125"/>
      <c r="VWT185" s="125"/>
      <c r="VWU185" s="125"/>
      <c r="VWV185" s="125"/>
      <c r="VWW185" s="125"/>
      <c r="VWX185" s="125"/>
      <c r="VWY185" s="125"/>
      <c r="VWZ185" s="125"/>
      <c r="VXA185" s="125"/>
      <c r="VXB185" s="125"/>
      <c r="VXC185" s="125"/>
      <c r="VXD185" s="125"/>
      <c r="VXE185" s="125"/>
      <c r="VXF185" s="125"/>
      <c r="VXG185" s="125"/>
      <c r="VXH185" s="125"/>
      <c r="VXI185" s="125"/>
      <c r="VXJ185" s="125"/>
      <c r="VXK185" s="125"/>
      <c r="VXL185" s="125"/>
      <c r="VXM185" s="125"/>
      <c r="VXN185" s="125"/>
      <c r="VXO185" s="125"/>
      <c r="VXP185" s="125"/>
      <c r="VXQ185" s="125"/>
      <c r="VXR185" s="125"/>
      <c r="VXS185" s="125"/>
      <c r="VXT185" s="125"/>
      <c r="VXU185" s="125"/>
      <c r="VXV185" s="125"/>
      <c r="VXW185" s="125"/>
      <c r="VXX185" s="125"/>
      <c r="VXY185" s="125"/>
      <c r="VXZ185" s="125"/>
      <c r="VYA185" s="125"/>
      <c r="VYB185" s="125"/>
      <c r="VYC185" s="125"/>
      <c r="VYD185" s="125"/>
      <c r="VYE185" s="125"/>
      <c r="VYF185" s="125"/>
      <c r="VYG185" s="125"/>
      <c r="VYH185" s="125"/>
      <c r="VYI185" s="125"/>
      <c r="VYJ185" s="125"/>
      <c r="VYK185" s="125"/>
      <c r="VYL185" s="125"/>
      <c r="VYM185" s="125"/>
      <c r="VYN185" s="125"/>
      <c r="VYO185" s="125"/>
      <c r="VYP185" s="125"/>
      <c r="VYQ185" s="125"/>
      <c r="VYR185" s="125"/>
      <c r="VYS185" s="125"/>
      <c r="VYT185" s="125"/>
      <c r="VYU185" s="125"/>
      <c r="VYV185" s="125"/>
      <c r="VYW185" s="125"/>
      <c r="VYX185" s="125"/>
      <c r="VYY185" s="125"/>
      <c r="VYZ185" s="125"/>
      <c r="VZA185" s="125"/>
      <c r="VZB185" s="125"/>
      <c r="VZC185" s="125"/>
      <c r="VZD185" s="125"/>
      <c r="VZE185" s="125"/>
      <c r="VZF185" s="125"/>
      <c r="VZG185" s="125"/>
      <c r="VZH185" s="125"/>
      <c r="VZI185" s="125"/>
      <c r="VZJ185" s="125"/>
      <c r="VZK185" s="125"/>
      <c r="VZL185" s="125"/>
      <c r="VZM185" s="125"/>
      <c r="VZN185" s="125"/>
      <c r="VZO185" s="125"/>
      <c r="VZP185" s="125"/>
      <c r="VZQ185" s="125"/>
      <c r="VZR185" s="125"/>
      <c r="VZS185" s="125"/>
      <c r="VZT185" s="125"/>
      <c r="VZU185" s="125"/>
      <c r="VZV185" s="125"/>
      <c r="VZW185" s="125"/>
      <c r="VZX185" s="125"/>
      <c r="VZY185" s="125"/>
      <c r="VZZ185" s="125"/>
      <c r="WAA185" s="125"/>
      <c r="WAB185" s="125"/>
      <c r="WAC185" s="125"/>
      <c r="WAD185" s="125"/>
      <c r="WAE185" s="125"/>
      <c r="WAF185" s="125"/>
      <c r="WAG185" s="125"/>
      <c r="WAH185" s="125"/>
      <c r="WAI185" s="125"/>
      <c r="WAJ185" s="125"/>
      <c r="WAK185" s="125"/>
      <c r="WAL185" s="125"/>
      <c r="WAM185" s="125"/>
      <c r="WAN185" s="125"/>
      <c r="WAO185" s="125"/>
      <c r="WAP185" s="125"/>
      <c r="WAQ185" s="125"/>
      <c r="WAR185" s="125"/>
      <c r="WAS185" s="125"/>
      <c r="WAT185" s="125"/>
      <c r="WAU185" s="125"/>
      <c r="WAV185" s="125"/>
      <c r="WAW185" s="125"/>
      <c r="WAX185" s="125"/>
      <c r="WAY185" s="125"/>
      <c r="WAZ185" s="125"/>
      <c r="WBA185" s="125"/>
      <c r="WBB185" s="125"/>
      <c r="WBC185" s="125"/>
      <c r="WBD185" s="125"/>
      <c r="WBE185" s="125"/>
      <c r="WBF185" s="125"/>
      <c r="WBG185" s="125"/>
      <c r="WBH185" s="125"/>
      <c r="WBI185" s="125"/>
      <c r="WBJ185" s="125"/>
      <c r="WBK185" s="125"/>
      <c r="WBL185" s="125"/>
      <c r="WBM185" s="125"/>
      <c r="WBN185" s="125"/>
      <c r="WBO185" s="125"/>
      <c r="WBP185" s="125"/>
      <c r="WBQ185" s="125"/>
      <c r="WBR185" s="125"/>
      <c r="WBS185" s="125"/>
      <c r="WBT185" s="125"/>
      <c r="WBU185" s="125"/>
      <c r="WBV185" s="125"/>
      <c r="WBW185" s="125"/>
      <c r="WBX185" s="125"/>
      <c r="WBY185" s="125"/>
      <c r="WBZ185" s="125"/>
      <c r="WCA185" s="125"/>
      <c r="WCB185" s="125"/>
      <c r="WCC185" s="125"/>
      <c r="WCD185" s="125"/>
      <c r="WCE185" s="125"/>
      <c r="WCF185" s="125"/>
      <c r="WCG185" s="125"/>
      <c r="WCH185" s="125"/>
      <c r="WCI185" s="125"/>
      <c r="WCJ185" s="125"/>
      <c r="WCK185" s="125"/>
      <c r="WCL185" s="125"/>
      <c r="WCM185" s="125"/>
      <c r="WCN185" s="125"/>
      <c r="WCO185" s="125"/>
      <c r="WCP185" s="125"/>
      <c r="WCQ185" s="125"/>
      <c r="WCR185" s="125"/>
      <c r="WCS185" s="125"/>
      <c r="WCT185" s="125"/>
      <c r="WCU185" s="125"/>
      <c r="WCV185" s="125"/>
      <c r="WCW185" s="125"/>
      <c r="WCX185" s="125"/>
      <c r="WCY185" s="125"/>
      <c r="WCZ185" s="125"/>
      <c r="WDA185" s="125"/>
      <c r="WDB185" s="125"/>
      <c r="WDC185" s="125"/>
      <c r="WDD185" s="125"/>
      <c r="WDE185" s="125"/>
      <c r="WDF185" s="125"/>
      <c r="WDG185" s="125"/>
      <c r="WDH185" s="125"/>
      <c r="WDI185" s="125"/>
      <c r="WDJ185" s="125"/>
      <c r="WDK185" s="125"/>
      <c r="WDL185" s="125"/>
      <c r="WDM185" s="125"/>
      <c r="WDN185" s="125"/>
      <c r="WDO185" s="125"/>
      <c r="WDP185" s="125"/>
      <c r="WDQ185" s="125"/>
      <c r="WDR185" s="125"/>
      <c r="WDS185" s="125"/>
      <c r="WDT185" s="125"/>
      <c r="WDU185" s="125"/>
      <c r="WDV185" s="125"/>
      <c r="WDW185" s="125"/>
      <c r="WDX185" s="125"/>
      <c r="WDY185" s="125"/>
      <c r="WDZ185" s="125"/>
      <c r="WEA185" s="125"/>
      <c r="WEB185" s="125"/>
      <c r="WEC185" s="125"/>
      <c r="WED185" s="125"/>
      <c r="WEE185" s="125"/>
      <c r="WEF185" s="125"/>
      <c r="WEG185" s="125"/>
      <c r="WEH185" s="125"/>
      <c r="WEI185" s="125"/>
      <c r="WEJ185" s="125"/>
      <c r="WEK185" s="125"/>
      <c r="WEL185" s="125"/>
      <c r="WEM185" s="125"/>
      <c r="WEN185" s="125"/>
      <c r="WEO185" s="125"/>
      <c r="WEP185" s="125"/>
      <c r="WEQ185" s="125"/>
      <c r="WER185" s="125"/>
      <c r="WES185" s="125"/>
      <c r="WET185" s="125"/>
      <c r="WEU185" s="125"/>
      <c r="WEV185" s="125"/>
      <c r="WEW185" s="125"/>
      <c r="WEX185" s="125"/>
      <c r="WEY185" s="125"/>
      <c r="WEZ185" s="125"/>
      <c r="WFA185" s="125"/>
      <c r="WFB185" s="125"/>
      <c r="WFC185" s="125"/>
      <c r="WFD185" s="125"/>
      <c r="WFE185" s="125"/>
      <c r="WFF185" s="125"/>
      <c r="WFG185" s="125"/>
      <c r="WFH185" s="125"/>
      <c r="WFI185" s="125"/>
      <c r="WFJ185" s="125"/>
      <c r="WFK185" s="125"/>
      <c r="WFL185" s="125"/>
      <c r="WFM185" s="125"/>
      <c r="WFN185" s="125"/>
      <c r="WFO185" s="125"/>
      <c r="WFP185" s="125"/>
      <c r="WFQ185" s="125"/>
      <c r="WFR185" s="125"/>
      <c r="WFS185" s="125"/>
      <c r="WFT185" s="125"/>
      <c r="WFU185" s="125"/>
      <c r="WFV185" s="125"/>
      <c r="WFW185" s="125"/>
      <c r="WFX185" s="125"/>
      <c r="WFY185" s="125"/>
      <c r="WFZ185" s="125"/>
      <c r="WGA185" s="125"/>
      <c r="WGB185" s="125"/>
      <c r="WGC185" s="125"/>
      <c r="WGD185" s="125"/>
      <c r="WGE185" s="125"/>
      <c r="WGF185" s="125"/>
      <c r="WGG185" s="125"/>
      <c r="WGH185" s="125"/>
      <c r="WGI185" s="125"/>
      <c r="WGJ185" s="125"/>
      <c r="WGK185" s="125"/>
      <c r="WGL185" s="125"/>
      <c r="WGM185" s="125"/>
      <c r="WGN185" s="125"/>
      <c r="WGO185" s="125"/>
      <c r="WGP185" s="125"/>
      <c r="WGQ185" s="125"/>
      <c r="WGR185" s="125"/>
      <c r="WGS185" s="125"/>
      <c r="WGT185" s="125"/>
      <c r="WGU185" s="125"/>
      <c r="WGV185" s="125"/>
      <c r="WGW185" s="125"/>
      <c r="WGX185" s="125"/>
      <c r="WGY185" s="125"/>
      <c r="WGZ185" s="125"/>
      <c r="WHA185" s="125"/>
      <c r="WHB185" s="125"/>
      <c r="WHC185" s="125"/>
      <c r="WHD185" s="125"/>
      <c r="WHE185" s="125"/>
      <c r="WHF185" s="125"/>
      <c r="WHG185" s="125"/>
      <c r="WHH185" s="125"/>
      <c r="WHI185" s="125"/>
      <c r="WHJ185" s="125"/>
      <c r="WHK185" s="125"/>
      <c r="WHL185" s="125"/>
      <c r="WHM185" s="125"/>
      <c r="WHN185" s="125"/>
      <c r="WHO185" s="125"/>
      <c r="WHP185" s="125"/>
      <c r="WHQ185" s="125"/>
      <c r="WHR185" s="125"/>
      <c r="WHS185" s="125"/>
      <c r="WHT185" s="125"/>
      <c r="WHU185" s="125"/>
      <c r="WHV185" s="125"/>
      <c r="WHW185" s="125"/>
      <c r="WHX185" s="125"/>
      <c r="WHY185" s="125"/>
      <c r="WHZ185" s="125"/>
      <c r="WIA185" s="125"/>
      <c r="WIB185" s="125"/>
      <c r="WIC185" s="125"/>
      <c r="WID185" s="125"/>
      <c r="WIE185" s="125"/>
      <c r="WIF185" s="125"/>
      <c r="WIG185" s="125"/>
      <c r="WIH185" s="125"/>
      <c r="WII185" s="125"/>
      <c r="WIJ185" s="125"/>
      <c r="WIK185" s="125"/>
      <c r="WIL185" s="125"/>
      <c r="WIM185" s="125"/>
      <c r="WIN185" s="125"/>
      <c r="WIO185" s="125"/>
      <c r="WIP185" s="125"/>
      <c r="WIQ185" s="125"/>
      <c r="WIR185" s="125"/>
      <c r="WIS185" s="125"/>
      <c r="WIT185" s="125"/>
      <c r="WIU185" s="125"/>
      <c r="WIV185" s="125"/>
      <c r="WIW185" s="125"/>
      <c r="WIX185" s="125"/>
      <c r="WIY185" s="125"/>
      <c r="WIZ185" s="125"/>
      <c r="WJA185" s="125"/>
      <c r="WJB185" s="125"/>
      <c r="WJC185" s="125"/>
      <c r="WJD185" s="125"/>
      <c r="WJE185" s="125"/>
      <c r="WJF185" s="125"/>
      <c r="WJG185" s="125"/>
      <c r="WJH185" s="125"/>
      <c r="WJI185" s="125"/>
      <c r="WJJ185" s="125"/>
      <c r="WJK185" s="125"/>
      <c r="WJL185" s="125"/>
      <c r="WJM185" s="125"/>
      <c r="WJN185" s="125"/>
      <c r="WJO185" s="125"/>
      <c r="WJP185" s="125"/>
      <c r="WJQ185" s="125"/>
      <c r="WJR185" s="125"/>
      <c r="WJS185" s="125"/>
      <c r="WJT185" s="125"/>
      <c r="WJU185" s="125"/>
      <c r="WJV185" s="125"/>
      <c r="WJW185" s="125"/>
      <c r="WJX185" s="125"/>
      <c r="WJY185" s="125"/>
      <c r="WJZ185" s="125"/>
      <c r="WKA185" s="125"/>
      <c r="WKB185" s="125"/>
      <c r="WKC185" s="125"/>
      <c r="WKD185" s="125"/>
      <c r="WKE185" s="125"/>
      <c r="WKF185" s="125"/>
      <c r="WKG185" s="125"/>
      <c r="WKH185" s="125"/>
      <c r="WKI185" s="125"/>
      <c r="WKJ185" s="125"/>
      <c r="WKK185" s="125"/>
      <c r="WKL185" s="125"/>
      <c r="WKM185" s="125"/>
      <c r="WKN185" s="125"/>
      <c r="WKO185" s="125"/>
      <c r="WKP185" s="125"/>
      <c r="WKQ185" s="125"/>
      <c r="WKR185" s="125"/>
      <c r="WKS185" s="125"/>
      <c r="WKT185" s="125"/>
      <c r="WKU185" s="125"/>
      <c r="WKV185" s="125"/>
      <c r="WKW185" s="125"/>
      <c r="WKX185" s="125"/>
      <c r="WKY185" s="125"/>
      <c r="WKZ185" s="125"/>
      <c r="WLA185" s="125"/>
      <c r="WLB185" s="125"/>
      <c r="WLC185" s="125"/>
      <c r="WLD185" s="125"/>
      <c r="WLE185" s="125"/>
      <c r="WLF185" s="125"/>
      <c r="WLG185" s="125"/>
      <c r="WLH185" s="125"/>
      <c r="WLI185" s="125"/>
      <c r="WLJ185" s="125"/>
      <c r="WLK185" s="125"/>
      <c r="WLL185" s="125"/>
      <c r="WLM185" s="125"/>
      <c r="WLN185" s="125"/>
      <c r="WLO185" s="125"/>
      <c r="WLP185" s="125"/>
      <c r="WLQ185" s="125"/>
      <c r="WLR185" s="125"/>
      <c r="WLS185" s="125"/>
      <c r="WLT185" s="125"/>
      <c r="WLU185" s="125"/>
      <c r="WLV185" s="125"/>
      <c r="WLW185" s="125"/>
      <c r="WLX185" s="125"/>
      <c r="WLY185" s="125"/>
      <c r="WLZ185" s="125"/>
      <c r="WMA185" s="125"/>
      <c r="WMB185" s="125"/>
      <c r="WMC185" s="125"/>
      <c r="WMD185" s="125"/>
      <c r="WME185" s="125"/>
      <c r="WMF185" s="125"/>
      <c r="WMG185" s="125"/>
      <c r="WMH185" s="125"/>
      <c r="WMI185" s="125"/>
      <c r="WMJ185" s="125"/>
      <c r="WMK185" s="125"/>
      <c r="WML185" s="125"/>
      <c r="WMM185" s="125"/>
      <c r="WMN185" s="125"/>
      <c r="WMO185" s="125"/>
      <c r="WMP185" s="125"/>
      <c r="WMQ185" s="125"/>
      <c r="WMR185" s="125"/>
      <c r="WMS185" s="125"/>
      <c r="WMT185" s="125"/>
      <c r="WMU185" s="125"/>
      <c r="WMV185" s="125"/>
      <c r="WMW185" s="125"/>
      <c r="WMX185" s="125"/>
      <c r="WMY185" s="125"/>
      <c r="WMZ185" s="125"/>
      <c r="WNA185" s="125"/>
      <c r="WNB185" s="125"/>
      <c r="WNC185" s="125"/>
      <c r="WND185" s="125"/>
      <c r="WNE185" s="125"/>
      <c r="WNF185" s="125"/>
      <c r="WNG185" s="125"/>
      <c r="WNH185" s="125"/>
      <c r="WNI185" s="125"/>
      <c r="WNJ185" s="125"/>
      <c r="WNK185" s="125"/>
      <c r="WNL185" s="125"/>
      <c r="WNM185" s="125"/>
      <c r="WNN185" s="125"/>
      <c r="WNO185" s="125"/>
      <c r="WNP185" s="125"/>
      <c r="WNQ185" s="125"/>
      <c r="WNR185" s="125"/>
      <c r="WNS185" s="125"/>
      <c r="WNT185" s="125"/>
      <c r="WNU185" s="125"/>
      <c r="WNV185" s="125"/>
      <c r="WNW185" s="125"/>
      <c r="WNX185" s="125"/>
      <c r="WNY185" s="125"/>
      <c r="WNZ185" s="125"/>
      <c r="WOA185" s="125"/>
      <c r="WOB185" s="125"/>
      <c r="WOC185" s="125"/>
      <c r="WOD185" s="125"/>
      <c r="WOE185" s="125"/>
      <c r="WOF185" s="125"/>
      <c r="WOG185" s="125"/>
      <c r="WOH185" s="125"/>
      <c r="WOI185" s="125"/>
      <c r="WOJ185" s="125"/>
      <c r="WOK185" s="125"/>
      <c r="WOL185" s="125"/>
      <c r="WOM185" s="125"/>
      <c r="WON185" s="125"/>
      <c r="WOO185" s="125"/>
      <c r="WOP185" s="125"/>
      <c r="WOQ185" s="125"/>
      <c r="WOR185" s="125"/>
      <c r="WOS185" s="125"/>
      <c r="WOT185" s="125"/>
      <c r="WOU185" s="125"/>
      <c r="WOV185" s="125"/>
      <c r="WOW185" s="125"/>
      <c r="WOX185" s="125"/>
      <c r="WOY185" s="125"/>
      <c r="WOZ185" s="125"/>
      <c r="WPA185" s="125"/>
      <c r="WPB185" s="125"/>
      <c r="WPC185" s="125"/>
      <c r="WPD185" s="125"/>
      <c r="WPE185" s="125"/>
      <c r="WPF185" s="125"/>
      <c r="WPG185" s="125"/>
      <c r="WPH185" s="125"/>
      <c r="WPI185" s="125"/>
      <c r="WPJ185" s="125"/>
      <c r="WPK185" s="125"/>
      <c r="WPL185" s="125"/>
      <c r="WPM185" s="125"/>
      <c r="WPN185" s="125"/>
      <c r="WPO185" s="125"/>
      <c r="WPP185" s="125"/>
      <c r="WPQ185" s="125"/>
      <c r="WPR185" s="125"/>
      <c r="WPS185" s="125"/>
      <c r="WPT185" s="125"/>
      <c r="WPU185" s="125"/>
      <c r="WPV185" s="125"/>
      <c r="WPW185" s="125"/>
      <c r="WPX185" s="125"/>
      <c r="WPY185" s="125"/>
      <c r="WPZ185" s="125"/>
      <c r="WQA185" s="125"/>
      <c r="WQB185" s="125"/>
      <c r="WQC185" s="125"/>
      <c r="WQD185" s="125"/>
      <c r="WQE185" s="125"/>
      <c r="WQF185" s="125"/>
      <c r="WQG185" s="125"/>
      <c r="WQH185" s="125"/>
      <c r="WQI185" s="125"/>
      <c r="WQJ185" s="125"/>
      <c r="WQK185" s="125"/>
      <c r="WQL185" s="125"/>
      <c r="WQM185" s="125"/>
      <c r="WQN185" s="125"/>
      <c r="WQO185" s="125"/>
      <c r="WQP185" s="125"/>
      <c r="WQQ185" s="125"/>
      <c r="WQR185" s="125"/>
      <c r="WQS185" s="125"/>
      <c r="WQT185" s="125"/>
      <c r="WQU185" s="125"/>
      <c r="WQV185" s="125"/>
      <c r="WQW185" s="125"/>
      <c r="WQX185" s="125"/>
      <c r="WQY185" s="125"/>
      <c r="WQZ185" s="125"/>
      <c r="WRA185" s="125"/>
      <c r="WRB185" s="125"/>
      <c r="WRC185" s="125"/>
      <c r="WRD185" s="125"/>
      <c r="WRE185" s="125"/>
      <c r="WRF185" s="125"/>
      <c r="WRG185" s="125"/>
      <c r="WRH185" s="125"/>
      <c r="WRI185" s="125"/>
      <c r="WRJ185" s="125"/>
      <c r="WRK185" s="125"/>
      <c r="WRL185" s="125"/>
      <c r="WRM185" s="125"/>
      <c r="WRN185" s="125"/>
      <c r="WRO185" s="125"/>
      <c r="WRP185" s="125"/>
      <c r="WRQ185" s="125"/>
      <c r="WRR185" s="125"/>
      <c r="WRS185" s="125"/>
      <c r="WRT185" s="125"/>
      <c r="WRU185" s="125"/>
      <c r="WRV185" s="125"/>
      <c r="WRW185" s="125"/>
      <c r="WRX185" s="125"/>
      <c r="WRY185" s="125"/>
      <c r="WRZ185" s="125"/>
      <c r="WSA185" s="125"/>
      <c r="WSB185" s="125"/>
      <c r="WSC185" s="125"/>
      <c r="WSD185" s="125"/>
      <c r="WSE185" s="125"/>
      <c r="WSF185" s="125"/>
      <c r="WSG185" s="125"/>
      <c r="WSH185" s="125"/>
      <c r="WSI185" s="125"/>
      <c r="WSJ185" s="125"/>
      <c r="WSK185" s="125"/>
      <c r="WSL185" s="125"/>
      <c r="WSM185" s="125"/>
      <c r="WSN185" s="125"/>
      <c r="WSO185" s="125"/>
      <c r="WSP185" s="125"/>
      <c r="WSQ185" s="125"/>
      <c r="WSR185" s="125"/>
      <c r="WSS185" s="125"/>
      <c r="WST185" s="125"/>
      <c r="WSU185" s="125"/>
      <c r="WSV185" s="125"/>
      <c r="WSW185" s="125"/>
      <c r="WSX185" s="125"/>
      <c r="WSY185" s="125"/>
      <c r="WSZ185" s="125"/>
      <c r="WTA185" s="125"/>
      <c r="WTB185" s="125"/>
      <c r="WTC185" s="125"/>
      <c r="WTD185" s="125"/>
      <c r="WTE185" s="125"/>
      <c r="WTF185" s="125"/>
      <c r="WTG185" s="125"/>
      <c r="WTH185" s="125"/>
      <c r="WTI185" s="125"/>
      <c r="WTJ185" s="125"/>
      <c r="WTK185" s="125"/>
      <c r="WTL185" s="125"/>
      <c r="WTM185" s="125"/>
      <c r="WTN185" s="125"/>
      <c r="WTO185" s="125"/>
      <c r="WTP185" s="125"/>
      <c r="WTQ185" s="125"/>
      <c r="WTR185" s="125"/>
      <c r="WTS185" s="125"/>
      <c r="WTT185" s="125"/>
      <c r="WTU185" s="125"/>
      <c r="WTV185" s="125"/>
      <c r="WTW185" s="125"/>
      <c r="WTX185" s="125"/>
      <c r="WTY185" s="125"/>
      <c r="WTZ185" s="125"/>
      <c r="WUA185" s="125"/>
      <c r="WUB185" s="125"/>
      <c r="WUC185" s="125"/>
      <c r="WUD185" s="125"/>
      <c r="WUE185" s="125"/>
      <c r="WUF185" s="125"/>
      <c r="WUG185" s="125"/>
      <c r="WUH185" s="125"/>
      <c r="WUI185" s="125"/>
      <c r="WUJ185" s="125"/>
      <c r="WUK185" s="125"/>
      <c r="WUL185" s="125"/>
      <c r="WUM185" s="125"/>
      <c r="WUN185" s="125"/>
      <c r="WUO185" s="125"/>
      <c r="WUP185" s="125"/>
      <c r="WUQ185" s="125"/>
      <c r="WUR185" s="125"/>
      <c r="WUS185" s="125"/>
      <c r="WUT185" s="125"/>
      <c r="WUU185" s="125"/>
      <c r="WUV185" s="125"/>
      <c r="WUW185" s="125"/>
      <c r="WUX185" s="125"/>
      <c r="WUY185" s="125"/>
      <c r="WUZ185" s="125"/>
      <c r="WVA185" s="125"/>
      <c r="WVB185" s="125"/>
      <c r="WVC185" s="125"/>
      <c r="WVD185" s="125"/>
      <c r="WVE185" s="125"/>
      <c r="WVF185" s="125"/>
      <c r="WVG185" s="125"/>
      <c r="WVH185" s="125"/>
      <c r="WVI185" s="125"/>
      <c r="WVJ185" s="125"/>
      <c r="WVK185" s="125"/>
      <c r="WVL185" s="125"/>
      <c r="WVM185" s="125"/>
      <c r="WVN185" s="125"/>
      <c r="WVO185" s="125"/>
      <c r="WVP185" s="125"/>
      <c r="WVQ185" s="125"/>
      <c r="WVR185" s="125"/>
      <c r="WVS185" s="125"/>
      <c r="WVT185" s="125"/>
      <c r="WVU185" s="125"/>
      <c r="WVV185" s="125"/>
      <c r="WVW185" s="125"/>
      <c r="WVX185" s="125"/>
      <c r="WVY185" s="125"/>
      <c r="WVZ185" s="125"/>
      <c r="WWA185" s="125"/>
      <c r="WWB185" s="125"/>
      <c r="WWC185" s="125"/>
      <c r="WWD185" s="125"/>
      <c r="WWE185" s="125"/>
      <c r="WWF185" s="125"/>
      <c r="WWG185" s="125"/>
      <c r="WWH185" s="125"/>
      <c r="WWI185" s="125"/>
      <c r="WWJ185" s="125"/>
      <c r="WWK185" s="125"/>
      <c r="WWL185" s="125"/>
      <c r="WWM185" s="125"/>
      <c r="WWN185" s="125"/>
      <c r="WWO185" s="125"/>
      <c r="WWP185" s="125"/>
      <c r="WWQ185" s="125"/>
      <c r="WWR185" s="125"/>
      <c r="WWS185" s="125"/>
      <c r="WWT185" s="125"/>
      <c r="WWU185" s="125"/>
      <c r="WWV185" s="125"/>
      <c r="WWW185" s="125"/>
      <c r="WWX185" s="125"/>
      <c r="WWY185" s="125"/>
      <c r="WWZ185" s="125"/>
      <c r="WXA185" s="125"/>
      <c r="WXB185" s="125"/>
      <c r="WXC185" s="125"/>
      <c r="WXD185" s="125"/>
      <c r="WXE185" s="125"/>
      <c r="WXF185" s="125"/>
      <c r="WXG185" s="125"/>
      <c r="WXH185" s="125"/>
      <c r="WXI185" s="125"/>
      <c r="WXJ185" s="125"/>
      <c r="WXK185" s="125"/>
      <c r="WXL185" s="125"/>
      <c r="WXM185" s="125"/>
      <c r="WXN185" s="125"/>
      <c r="WXO185" s="125"/>
      <c r="WXP185" s="125"/>
      <c r="WXQ185" s="125"/>
      <c r="WXR185" s="125"/>
      <c r="WXS185" s="125"/>
      <c r="WXT185" s="125"/>
      <c r="WXU185" s="125"/>
      <c r="WXV185" s="125"/>
      <c r="WXW185" s="125"/>
      <c r="WXX185" s="125"/>
      <c r="WXY185" s="125"/>
      <c r="WXZ185" s="125"/>
      <c r="WYA185" s="125"/>
      <c r="WYB185" s="125"/>
      <c r="WYC185" s="125"/>
      <c r="WYD185" s="125"/>
      <c r="WYE185" s="125"/>
      <c r="WYF185" s="125"/>
      <c r="WYG185" s="125"/>
      <c r="WYH185" s="125"/>
      <c r="WYI185" s="125"/>
      <c r="WYJ185" s="125"/>
      <c r="WYK185" s="125"/>
      <c r="WYL185" s="125"/>
      <c r="WYM185" s="125"/>
      <c r="WYN185" s="125"/>
      <c r="WYO185" s="125"/>
      <c r="WYP185" s="125"/>
      <c r="WYQ185" s="125"/>
      <c r="WYR185" s="125"/>
      <c r="WYS185" s="125"/>
      <c r="WYT185" s="125"/>
      <c r="WYU185" s="125"/>
      <c r="WYV185" s="125"/>
      <c r="WYW185" s="125"/>
      <c r="WYX185" s="125"/>
      <c r="WYY185" s="125"/>
      <c r="WYZ185" s="125"/>
      <c r="WZA185" s="125"/>
      <c r="WZB185" s="125"/>
      <c r="WZC185" s="125"/>
      <c r="WZD185" s="125"/>
      <c r="WZE185" s="125"/>
      <c r="WZF185" s="125"/>
      <c r="WZG185" s="125"/>
      <c r="WZH185" s="125"/>
      <c r="WZI185" s="125"/>
      <c r="WZJ185" s="125"/>
      <c r="WZK185" s="125"/>
      <c r="WZL185" s="125"/>
      <c r="WZM185" s="125"/>
      <c r="WZN185" s="125"/>
      <c r="WZO185" s="125"/>
      <c r="WZP185" s="125"/>
      <c r="WZQ185" s="125"/>
      <c r="WZR185" s="125"/>
      <c r="WZS185" s="125"/>
      <c r="WZT185" s="125"/>
      <c r="WZU185" s="125"/>
      <c r="WZV185" s="125"/>
      <c r="WZW185" s="125"/>
      <c r="WZX185" s="125"/>
      <c r="WZY185" s="125"/>
      <c r="WZZ185" s="125"/>
      <c r="XAA185" s="125"/>
      <c r="XAB185" s="125"/>
      <c r="XAC185" s="125"/>
      <c r="XAD185" s="125"/>
      <c r="XAE185" s="125"/>
      <c r="XAF185" s="125"/>
      <c r="XAG185" s="125"/>
      <c r="XAH185" s="125"/>
      <c r="XAI185" s="125"/>
      <c r="XAJ185" s="125"/>
      <c r="XAK185" s="125"/>
      <c r="XAL185" s="125"/>
      <c r="XAM185" s="125"/>
      <c r="XAN185" s="125"/>
      <c r="XAO185" s="125"/>
      <c r="XAP185" s="125"/>
      <c r="XAQ185" s="125"/>
      <c r="XAR185" s="125"/>
      <c r="XAS185" s="125"/>
      <c r="XAT185" s="125"/>
      <c r="XAU185" s="125"/>
      <c r="XAV185" s="125"/>
      <c r="XAW185" s="125"/>
      <c r="XAX185" s="125"/>
      <c r="XAY185" s="125"/>
      <c r="XAZ185" s="125"/>
      <c r="XBA185" s="125"/>
      <c r="XBB185" s="125"/>
      <c r="XBC185" s="125"/>
      <c r="XBD185" s="125"/>
      <c r="XBE185" s="125"/>
      <c r="XBF185" s="125"/>
      <c r="XBG185" s="125"/>
      <c r="XBH185" s="125"/>
      <c r="XBI185" s="125"/>
      <c r="XBJ185" s="125"/>
      <c r="XBK185" s="125"/>
      <c r="XBL185" s="125"/>
      <c r="XBM185" s="125"/>
      <c r="XBN185" s="125"/>
      <c r="XBO185" s="125"/>
      <c r="XBP185" s="125"/>
      <c r="XBQ185" s="125"/>
      <c r="XBR185" s="125"/>
      <c r="XBS185" s="125"/>
      <c r="XBT185" s="125"/>
      <c r="XBU185" s="125"/>
      <c r="XBV185" s="125"/>
      <c r="XBW185" s="125"/>
      <c r="XBX185" s="125"/>
      <c r="XBY185" s="125"/>
      <c r="XBZ185" s="125"/>
      <c r="XCA185" s="125"/>
      <c r="XCB185" s="125"/>
      <c r="XCC185" s="125"/>
      <c r="XCD185" s="125"/>
      <c r="XCE185" s="125"/>
      <c r="XCF185" s="125"/>
      <c r="XCG185" s="125"/>
      <c r="XCH185" s="125"/>
      <c r="XCI185" s="125"/>
      <c r="XCJ185" s="125"/>
      <c r="XCK185" s="125"/>
      <c r="XCL185" s="125"/>
      <c r="XCM185" s="125"/>
      <c r="XCN185" s="125"/>
      <c r="XCO185" s="125"/>
      <c r="XCP185" s="125"/>
      <c r="XCQ185" s="125"/>
      <c r="XCR185" s="125"/>
      <c r="XCS185" s="125"/>
      <c r="XCT185" s="125"/>
      <c r="XCU185" s="125"/>
      <c r="XCV185" s="125"/>
      <c r="XCW185" s="125"/>
      <c r="XCX185" s="125"/>
      <c r="XCY185" s="125"/>
      <c r="XCZ185" s="125"/>
      <c r="XDA185" s="125"/>
      <c r="XDB185" s="125"/>
      <c r="XDC185" s="125"/>
      <c r="XDD185" s="125"/>
      <c r="XDE185" s="125"/>
      <c r="XDF185" s="125"/>
      <c r="XDG185" s="125"/>
      <c r="XDH185" s="125"/>
      <c r="XDI185" s="125"/>
      <c r="XDJ185" s="125"/>
      <c r="XDK185" s="125"/>
      <c r="XDL185" s="125"/>
      <c r="XDM185" s="125"/>
      <c r="XDN185" s="125"/>
      <c r="XDO185" s="125"/>
      <c r="XDP185" s="125"/>
      <c r="XDQ185" s="125"/>
      <c r="XDR185" s="125"/>
      <c r="XDS185" s="125"/>
      <c r="XDT185" s="125"/>
      <c r="XDU185" s="125"/>
      <c r="XDV185" s="125"/>
      <c r="XDW185" s="125"/>
      <c r="XDX185" s="125"/>
      <c r="XDY185" s="125"/>
      <c r="XDZ185" s="125"/>
      <c r="XEA185" s="125"/>
      <c r="XEB185" s="125"/>
      <c r="XEC185" s="125"/>
      <c r="XED185" s="125"/>
      <c r="XEE185" s="125"/>
      <c r="XEF185" s="125"/>
      <c r="XEG185" s="125"/>
      <c r="XEH185" s="125"/>
      <c r="XEI185" s="125"/>
      <c r="XEJ185" s="125"/>
      <c r="XEK185" s="125"/>
      <c r="XEL185" s="125"/>
      <c r="XEM185" s="125"/>
      <c r="XEN185" s="125"/>
      <c r="XEO185" s="125"/>
      <c r="XEP185" s="125"/>
      <c r="XEQ185" s="125"/>
      <c r="XER185" s="125"/>
      <c r="XES185" s="125"/>
      <c r="XET185" s="125"/>
      <c r="XEU185" s="125"/>
      <c r="XEV185" s="125"/>
      <c r="XEW185" s="125"/>
      <c r="XEX185" s="125"/>
      <c r="XEY185" s="125"/>
      <c r="XEZ185" s="125"/>
      <c r="XFA185" s="125"/>
      <c r="XFB185" s="125"/>
      <c r="XFC185" s="125"/>
    </row>
    <row r="186" spans="1:16383" x14ac:dyDescent="0.2">
      <c r="A186" s="74">
        <v>184</v>
      </c>
      <c r="B186" s="71" t="s">
        <v>1213</v>
      </c>
      <c r="C186" s="16" t="s">
        <v>188</v>
      </c>
      <c r="D186" s="16" t="s">
        <v>106</v>
      </c>
      <c r="E186" s="16" t="s">
        <v>44</v>
      </c>
      <c r="F186" s="9" t="s">
        <v>1746</v>
      </c>
      <c r="G186" s="111" t="s">
        <v>817</v>
      </c>
      <c r="H186" s="111"/>
      <c r="I186" s="111"/>
      <c r="J186" s="111"/>
      <c r="K186" s="111"/>
      <c r="L186" s="111">
        <v>6700</v>
      </c>
      <c r="M186" s="111"/>
      <c r="N186" s="111"/>
      <c r="O186" s="111"/>
      <c r="P186" s="111"/>
      <c r="Q186" s="111"/>
      <c r="R186" s="74" t="s">
        <v>1747</v>
      </c>
      <c r="S186" s="74" t="s">
        <v>1529</v>
      </c>
      <c r="T186" s="81"/>
      <c r="U186" s="132" t="s">
        <v>1696</v>
      </c>
    </row>
    <row r="187" spans="1:16383" x14ac:dyDescent="0.2">
      <c r="A187" s="73">
        <v>185</v>
      </c>
      <c r="B187" s="20" t="s">
        <v>1217</v>
      </c>
      <c r="C187" s="74" t="s">
        <v>188</v>
      </c>
      <c r="D187" s="16" t="s">
        <v>98</v>
      </c>
      <c r="E187" s="63" t="s">
        <v>126</v>
      </c>
      <c r="F187" s="77" t="s">
        <v>1218</v>
      </c>
      <c r="G187" s="77" t="s">
        <v>817</v>
      </c>
      <c r="H187" s="111">
        <v>5</v>
      </c>
      <c r="I187" s="111"/>
      <c r="J187" s="111"/>
      <c r="K187" s="111"/>
      <c r="L187" s="158">
        <v>6726</v>
      </c>
      <c r="M187" s="111"/>
      <c r="N187" s="111"/>
      <c r="O187" s="111"/>
      <c r="P187" s="111"/>
      <c r="Q187" s="111"/>
      <c r="R187" s="132" t="s">
        <v>1693</v>
      </c>
      <c r="S187" s="74" t="s">
        <v>1529</v>
      </c>
      <c r="T187" s="81" t="s">
        <v>1748</v>
      </c>
      <c r="U187" s="132"/>
    </row>
    <row r="188" spans="1:16383" x14ac:dyDescent="0.2">
      <c r="A188" s="74">
        <v>186</v>
      </c>
      <c r="B188" s="57" t="s">
        <v>1221</v>
      </c>
      <c r="C188" s="9" t="s">
        <v>188</v>
      </c>
      <c r="D188" s="16" t="s">
        <v>40</v>
      </c>
      <c r="E188" s="9" t="s">
        <v>437</v>
      </c>
      <c r="F188" s="155">
        <v>547016</v>
      </c>
      <c r="G188" s="111" t="s">
        <v>817</v>
      </c>
      <c r="H188" s="111">
        <v>6</v>
      </c>
      <c r="I188" s="111">
        <v>136</v>
      </c>
      <c r="J188" s="111">
        <f>I188*3</f>
        <v>408</v>
      </c>
      <c r="K188" s="111">
        <v>160</v>
      </c>
      <c r="L188" s="111">
        <v>4549</v>
      </c>
      <c r="M188" s="111"/>
      <c r="N188" s="111"/>
      <c r="O188" s="111"/>
      <c r="P188" s="111"/>
      <c r="Q188" s="111"/>
      <c r="R188" s="132" t="s">
        <v>1497</v>
      </c>
      <c r="S188" s="74" t="s">
        <v>1498</v>
      </c>
      <c r="T188" s="81" t="s">
        <v>1499</v>
      </c>
      <c r="U188" s="132"/>
    </row>
    <row r="189" spans="1:16383" x14ac:dyDescent="0.2">
      <c r="A189" s="74"/>
      <c r="B189" s="57" t="s">
        <v>1221</v>
      </c>
      <c r="C189" s="9" t="s">
        <v>188</v>
      </c>
      <c r="D189" s="16" t="s">
        <v>40</v>
      </c>
      <c r="E189" s="9" t="s">
        <v>437</v>
      </c>
      <c r="F189" s="155">
        <v>547016</v>
      </c>
      <c r="G189" s="111" t="s">
        <v>817</v>
      </c>
      <c r="H189" s="111">
        <v>10</v>
      </c>
      <c r="I189" s="111">
        <v>208</v>
      </c>
      <c r="J189" s="111">
        <f>I189*3</f>
        <v>624</v>
      </c>
      <c r="K189" s="111">
        <v>256</v>
      </c>
      <c r="L189" s="111">
        <v>7098</v>
      </c>
      <c r="M189" s="111"/>
      <c r="N189" s="111"/>
      <c r="O189" s="111"/>
      <c r="P189" s="111"/>
      <c r="Q189" s="111"/>
      <c r="R189" s="132" t="s">
        <v>1497</v>
      </c>
      <c r="S189" s="74" t="s">
        <v>1509</v>
      </c>
      <c r="T189" s="81" t="s">
        <v>1499</v>
      </c>
      <c r="U189" s="132"/>
    </row>
    <row r="190" spans="1:16383" x14ac:dyDescent="0.2">
      <c r="A190" s="73">
        <v>187</v>
      </c>
      <c r="B190" s="20" t="s">
        <v>1749</v>
      </c>
      <c r="C190" s="9" t="s">
        <v>236</v>
      </c>
      <c r="D190" s="16" t="s">
        <v>1227</v>
      </c>
      <c r="E190" s="9" t="s">
        <v>44</v>
      </c>
      <c r="F190" s="77" t="s">
        <v>1750</v>
      </c>
      <c r="G190" s="111" t="s">
        <v>818</v>
      </c>
      <c r="H190" s="111"/>
      <c r="I190" s="111"/>
      <c r="J190" s="111"/>
      <c r="K190" s="111"/>
      <c r="L190" s="73">
        <v>3800</v>
      </c>
      <c r="M190" s="111">
        <v>18000</v>
      </c>
      <c r="N190" s="111"/>
      <c r="O190" s="111"/>
      <c r="P190" s="111"/>
      <c r="Q190" s="111"/>
      <c r="R190" s="73" t="s">
        <v>1751</v>
      </c>
      <c r="S190" s="73" t="s">
        <v>1498</v>
      </c>
      <c r="T190" s="81"/>
      <c r="U190" s="132" t="s">
        <v>1696</v>
      </c>
      <c r="V190" s="153"/>
    </row>
    <row r="191" spans="1:16383" x14ac:dyDescent="0.2">
      <c r="A191" s="74">
        <v>188</v>
      </c>
      <c r="B191" s="20" t="s">
        <v>1230</v>
      </c>
      <c r="C191" s="9" t="s">
        <v>188</v>
      </c>
      <c r="D191" s="16" t="s">
        <v>168</v>
      </c>
      <c r="E191" s="9" t="s">
        <v>44</v>
      </c>
      <c r="F191" s="155">
        <v>549149</v>
      </c>
      <c r="G191" s="111" t="s">
        <v>818</v>
      </c>
      <c r="H191" s="111">
        <v>2</v>
      </c>
      <c r="I191" s="111">
        <v>8</v>
      </c>
      <c r="J191" s="111">
        <v>24</v>
      </c>
      <c r="K191" s="111">
        <v>16</v>
      </c>
      <c r="L191" s="111">
        <v>200</v>
      </c>
      <c r="M191" s="111"/>
      <c r="N191" s="111"/>
      <c r="O191" s="111"/>
      <c r="P191" s="111"/>
      <c r="Q191" s="111"/>
      <c r="R191" s="74" t="s">
        <v>1693</v>
      </c>
      <c r="S191" s="74" t="s">
        <v>1529</v>
      </c>
      <c r="T191" s="81"/>
      <c r="U191" s="132" t="s">
        <v>1696</v>
      </c>
      <c r="V191" s="153"/>
    </row>
    <row r="192" spans="1:16383" x14ac:dyDescent="0.2">
      <c r="A192" s="73">
        <v>189</v>
      </c>
      <c r="B192" s="57" t="s">
        <v>1233</v>
      </c>
      <c r="C192" s="9" t="s">
        <v>236</v>
      </c>
      <c r="D192" s="16" t="s">
        <v>557</v>
      </c>
      <c r="E192" s="9" t="s">
        <v>437</v>
      </c>
      <c r="F192" s="155">
        <v>549383</v>
      </c>
      <c r="G192" s="111" t="s">
        <v>818</v>
      </c>
      <c r="H192" s="111">
        <v>2</v>
      </c>
      <c r="I192" s="111">
        <v>8</v>
      </c>
      <c r="J192" s="111">
        <v>24</v>
      </c>
      <c r="K192" s="111">
        <v>16</v>
      </c>
      <c r="L192" s="111">
        <v>2340</v>
      </c>
      <c r="M192" s="111"/>
      <c r="N192" s="111"/>
      <c r="O192" s="111"/>
      <c r="P192" s="111"/>
      <c r="Q192" s="111"/>
      <c r="R192" s="134" t="s">
        <v>1497</v>
      </c>
      <c r="S192" s="74" t="s">
        <v>1498</v>
      </c>
      <c r="T192" s="81" t="s">
        <v>1752</v>
      </c>
      <c r="U192" s="132"/>
    </row>
    <row r="193" spans="1:21" x14ac:dyDescent="0.2">
      <c r="B193" s="57" t="s">
        <v>1233</v>
      </c>
      <c r="C193" s="9" t="s">
        <v>236</v>
      </c>
      <c r="D193" s="16" t="s">
        <v>557</v>
      </c>
      <c r="E193" s="9" t="s">
        <v>437</v>
      </c>
      <c r="F193" s="155">
        <v>549383</v>
      </c>
      <c r="G193" s="111" t="s">
        <v>818</v>
      </c>
      <c r="H193" s="111">
        <v>2</v>
      </c>
      <c r="I193" s="111">
        <v>8</v>
      </c>
      <c r="J193" s="111">
        <v>24</v>
      </c>
      <c r="K193" s="111">
        <v>16</v>
      </c>
      <c r="L193" s="111">
        <v>2340</v>
      </c>
      <c r="M193" s="111"/>
      <c r="N193" s="111"/>
      <c r="O193" s="111"/>
      <c r="P193" s="111"/>
      <c r="Q193" s="111"/>
      <c r="R193" s="134" t="s">
        <v>1497</v>
      </c>
      <c r="S193" s="74" t="s">
        <v>1509</v>
      </c>
      <c r="T193" s="81" t="s">
        <v>1752</v>
      </c>
      <c r="U193" s="132"/>
    </row>
    <row r="194" spans="1:21" x14ac:dyDescent="0.2">
      <c r="A194" s="89">
        <v>190</v>
      </c>
      <c r="B194" s="99" t="s">
        <v>1235</v>
      </c>
      <c r="C194" s="89" t="s">
        <v>236</v>
      </c>
      <c r="D194" s="100" t="s">
        <v>174</v>
      </c>
      <c r="E194" s="89" t="s">
        <v>44</v>
      </c>
      <c r="F194" s="90" t="s">
        <v>1236</v>
      </c>
      <c r="G194" s="159" t="s">
        <v>818</v>
      </c>
      <c r="H194" s="159"/>
      <c r="I194" s="159"/>
      <c r="J194" s="159"/>
      <c r="K194" s="159"/>
      <c r="L194" s="159"/>
      <c r="M194" s="159">
        <v>18000</v>
      </c>
      <c r="N194" s="159"/>
      <c r="O194" s="159"/>
      <c r="P194" s="159"/>
      <c r="Q194" s="159"/>
      <c r="R194" s="89" t="s">
        <v>1751</v>
      </c>
      <c r="S194" s="100" t="s">
        <v>1498</v>
      </c>
      <c r="T194" s="160"/>
      <c r="U194" s="132" t="s">
        <v>1696</v>
      </c>
    </row>
    <row r="195" spans="1:21" x14ac:dyDescent="0.2">
      <c r="A195" s="73">
        <v>191</v>
      </c>
      <c r="B195" s="20" t="s">
        <v>1238</v>
      </c>
      <c r="C195" s="9" t="s">
        <v>188</v>
      </c>
      <c r="D195" s="16" t="s">
        <v>432</v>
      </c>
      <c r="E195" s="9" t="s">
        <v>126</v>
      </c>
      <c r="F195" s="16" t="s">
        <v>1753</v>
      </c>
      <c r="G195" s="111" t="s">
        <v>818</v>
      </c>
      <c r="H195" s="111">
        <v>3</v>
      </c>
      <c r="I195" s="111">
        <v>278</v>
      </c>
      <c r="J195" s="111">
        <v>834</v>
      </c>
      <c r="K195" s="111">
        <v>768</v>
      </c>
      <c r="L195" s="111">
        <v>43300</v>
      </c>
      <c r="M195" s="111"/>
      <c r="N195" s="111"/>
      <c r="O195" s="111"/>
      <c r="P195" s="111"/>
      <c r="Q195" s="111"/>
      <c r="R195" s="132" t="s">
        <v>1693</v>
      </c>
      <c r="S195" s="74"/>
      <c r="T195" s="118" t="s">
        <v>1754</v>
      </c>
      <c r="U195" s="132"/>
    </row>
    <row r="196" spans="1:21" x14ac:dyDescent="0.2">
      <c r="A196" s="74">
        <v>192</v>
      </c>
      <c r="B196" s="20" t="s">
        <v>1242</v>
      </c>
      <c r="C196" s="9" t="s">
        <v>236</v>
      </c>
      <c r="D196" s="16" t="s">
        <v>271</v>
      </c>
      <c r="E196" s="9" t="s">
        <v>126</v>
      </c>
      <c r="F196" s="16" t="s">
        <v>1755</v>
      </c>
      <c r="G196" s="111" t="s">
        <v>818</v>
      </c>
      <c r="H196" s="111">
        <v>34</v>
      </c>
      <c r="I196" s="111">
        <v>725</v>
      </c>
      <c r="J196" s="111">
        <v>2176</v>
      </c>
      <c r="K196" s="111">
        <v>2176</v>
      </c>
      <c r="L196" s="111">
        <v>79400</v>
      </c>
      <c r="M196" s="111">
        <v>4000</v>
      </c>
      <c r="N196" s="111"/>
      <c r="O196" s="111"/>
      <c r="P196" s="111"/>
      <c r="Q196" s="111"/>
      <c r="R196" s="132" t="s">
        <v>1693</v>
      </c>
      <c r="S196" s="74" t="s">
        <v>1720</v>
      </c>
      <c r="T196" s="81" t="s">
        <v>1756</v>
      </c>
      <c r="U196" s="132"/>
    </row>
    <row r="197" spans="1:21" x14ac:dyDescent="0.2">
      <c r="A197" s="73">
        <v>193</v>
      </c>
      <c r="B197" s="20" t="s">
        <v>1246</v>
      </c>
      <c r="C197" s="9" t="s">
        <v>794</v>
      </c>
      <c r="D197" s="16" t="s">
        <v>1247</v>
      </c>
      <c r="E197" s="9" t="s">
        <v>25</v>
      </c>
      <c r="F197" s="16" t="s">
        <v>1248</v>
      </c>
      <c r="G197" s="111" t="s">
        <v>818</v>
      </c>
      <c r="H197" s="111">
        <v>10</v>
      </c>
      <c r="I197" s="111">
        <f>-(8*8+12*2)</f>
        <v>-88</v>
      </c>
      <c r="J197" s="121">
        <f>I197*3</f>
        <v>-264</v>
      </c>
      <c r="K197" s="111">
        <f>-(16*4+8*2+24*4)</f>
        <v>-176</v>
      </c>
      <c r="L197" s="111">
        <f>-(50*8+246*2+208*4+216*2+200*2+1500*2)</f>
        <v>-5556</v>
      </c>
      <c r="M197" s="111"/>
      <c r="N197" s="111"/>
      <c r="O197" s="111"/>
      <c r="P197" s="111"/>
      <c r="Q197" s="111"/>
      <c r="R197" s="74"/>
      <c r="S197" s="74"/>
      <c r="T197" s="81" t="s">
        <v>1757</v>
      </c>
      <c r="U197" s="132"/>
    </row>
    <row r="198" spans="1:21" x14ac:dyDescent="0.2">
      <c r="A198" s="74">
        <v>194</v>
      </c>
      <c r="B198" s="71" t="s">
        <v>1250</v>
      </c>
      <c r="C198" s="9" t="s">
        <v>203</v>
      </c>
      <c r="D198" s="16" t="s">
        <v>160</v>
      </c>
      <c r="E198" s="9" t="s">
        <v>44</v>
      </c>
      <c r="F198" s="77" t="s">
        <v>1251</v>
      </c>
      <c r="G198" s="111" t="s">
        <v>818</v>
      </c>
      <c r="H198" s="111"/>
      <c r="I198" s="111"/>
      <c r="J198" s="111"/>
      <c r="K198" s="111"/>
      <c r="L198" s="111"/>
      <c r="M198" s="111">
        <v>1386</v>
      </c>
      <c r="N198" s="111"/>
      <c r="O198" s="111"/>
      <c r="P198" s="111"/>
      <c r="Q198" s="111"/>
      <c r="R198" s="132" t="s">
        <v>1693</v>
      </c>
      <c r="S198" s="74" t="s">
        <v>1529</v>
      </c>
      <c r="T198" s="81"/>
      <c r="U198" s="132" t="s">
        <v>1696</v>
      </c>
    </row>
    <row r="199" spans="1:21" x14ac:dyDescent="0.2">
      <c r="A199" s="73">
        <v>195</v>
      </c>
      <c r="B199" s="71" t="s">
        <v>1253</v>
      </c>
      <c r="C199" s="16" t="s">
        <v>203</v>
      </c>
      <c r="D199" s="16" t="s">
        <v>160</v>
      </c>
      <c r="E199" s="16" t="s">
        <v>44</v>
      </c>
      <c r="F199" s="77" t="s">
        <v>1254</v>
      </c>
      <c r="G199" s="111" t="s">
        <v>818</v>
      </c>
      <c r="H199" s="111"/>
      <c r="I199" s="111"/>
      <c r="J199" s="111"/>
      <c r="K199" s="111"/>
      <c r="L199" s="111"/>
      <c r="M199" s="111">
        <v>1040</v>
      </c>
      <c r="N199" s="111"/>
      <c r="O199" s="111"/>
      <c r="P199" s="111"/>
      <c r="Q199" s="111"/>
      <c r="R199" s="132" t="s">
        <v>1693</v>
      </c>
      <c r="S199" s="74" t="s">
        <v>1529</v>
      </c>
      <c r="T199" s="81"/>
      <c r="U199" s="132" t="s">
        <v>1696</v>
      </c>
    </row>
    <row r="200" spans="1:21" x14ac:dyDescent="0.2">
      <c r="A200" s="74">
        <v>196</v>
      </c>
      <c r="B200" s="20" t="s">
        <v>1265</v>
      </c>
      <c r="C200" s="9" t="s">
        <v>188</v>
      </c>
      <c r="D200" s="16" t="s">
        <v>70</v>
      </c>
      <c r="E200" s="9" t="s">
        <v>44</v>
      </c>
      <c r="F200" s="161" t="s">
        <v>1758</v>
      </c>
      <c r="G200" s="111" t="s">
        <v>818</v>
      </c>
      <c r="H200" s="111">
        <v>45</v>
      </c>
      <c r="I200" s="111"/>
      <c r="J200" s="111"/>
      <c r="K200" s="111">
        <v>1034</v>
      </c>
      <c r="L200" s="111">
        <v>25388</v>
      </c>
      <c r="M200" s="111"/>
      <c r="N200" s="111"/>
      <c r="O200" s="111"/>
      <c r="P200" s="111"/>
      <c r="Q200" s="111"/>
      <c r="R200" s="132" t="s">
        <v>1693</v>
      </c>
      <c r="S200" s="74" t="s">
        <v>1720</v>
      </c>
      <c r="T200" s="81"/>
      <c r="U200" s="132" t="s">
        <v>1696</v>
      </c>
    </row>
    <row r="201" spans="1:21" x14ac:dyDescent="0.2">
      <c r="A201" s="73">
        <v>197</v>
      </c>
      <c r="B201" s="144" t="s">
        <v>1269</v>
      </c>
      <c r="C201" s="9" t="s">
        <v>188</v>
      </c>
      <c r="D201" s="16" t="s">
        <v>988</v>
      </c>
      <c r="E201" s="9" t="s">
        <v>44</v>
      </c>
      <c r="F201" s="9" t="s">
        <v>1270</v>
      </c>
      <c r="G201" s="74" t="s">
        <v>818</v>
      </c>
      <c r="H201" s="74"/>
      <c r="I201" s="74"/>
      <c r="J201" s="74"/>
      <c r="K201" s="74"/>
      <c r="L201" s="74">
        <v>6700</v>
      </c>
      <c r="M201" s="74"/>
      <c r="N201" s="74"/>
      <c r="O201" s="74"/>
      <c r="P201" s="74"/>
      <c r="Q201" s="74"/>
      <c r="R201" s="74" t="s">
        <v>1693</v>
      </c>
      <c r="S201" s="74" t="s">
        <v>1720</v>
      </c>
      <c r="T201" s="74"/>
      <c r="U201" s="74" t="s">
        <v>1696</v>
      </c>
    </row>
    <row r="202" spans="1:21" x14ac:dyDescent="0.2">
      <c r="A202" s="74">
        <v>198</v>
      </c>
      <c r="B202" s="20" t="s">
        <v>1759</v>
      </c>
      <c r="C202" s="9" t="s">
        <v>236</v>
      </c>
      <c r="D202" s="16" t="s">
        <v>1227</v>
      </c>
      <c r="E202" s="9" t="s">
        <v>44</v>
      </c>
      <c r="F202" s="132" t="s">
        <v>1760</v>
      </c>
      <c r="G202" s="74" t="s">
        <v>818</v>
      </c>
      <c r="H202" s="111"/>
      <c r="I202" s="111"/>
      <c r="J202" s="111"/>
      <c r="K202" s="111"/>
      <c r="L202" s="111">
        <v>250</v>
      </c>
      <c r="M202" s="111"/>
      <c r="N202" s="111"/>
      <c r="O202" s="111"/>
      <c r="P202" s="111"/>
      <c r="Q202" s="111"/>
      <c r="R202" s="74" t="s">
        <v>1751</v>
      </c>
      <c r="S202" s="73" t="s">
        <v>1498</v>
      </c>
      <c r="T202" s="81"/>
      <c r="U202" s="74" t="s">
        <v>1696</v>
      </c>
    </row>
    <row r="203" spans="1:21" ht="25.5" x14ac:dyDescent="0.2">
      <c r="A203" s="73">
        <v>199</v>
      </c>
      <c r="B203" s="20" t="s">
        <v>1272</v>
      </c>
      <c r="C203" s="9" t="s">
        <v>236</v>
      </c>
      <c r="D203" s="16" t="s">
        <v>1273</v>
      </c>
      <c r="E203" s="9" t="s">
        <v>25</v>
      </c>
      <c r="F203" s="83" t="s">
        <v>1274</v>
      </c>
      <c r="G203" s="74" t="s">
        <v>818</v>
      </c>
      <c r="H203" s="111">
        <v>6</v>
      </c>
      <c r="I203" s="111">
        <v>-24</v>
      </c>
      <c r="J203" s="121">
        <f>I203*3</f>
        <v>-72</v>
      </c>
      <c r="K203" s="111">
        <v>-48</v>
      </c>
      <c r="L203" s="111">
        <v>-1960</v>
      </c>
      <c r="M203" s="111"/>
      <c r="N203" s="111"/>
      <c r="O203" s="111"/>
      <c r="P203" s="111"/>
      <c r="Q203" s="111"/>
      <c r="R203" s="111"/>
      <c r="S203" s="74" t="s">
        <v>1720</v>
      </c>
      <c r="T203" s="81"/>
      <c r="U203" s="132"/>
    </row>
    <row r="204" spans="1:21" ht="25.5" x14ac:dyDescent="0.2">
      <c r="A204" s="74">
        <v>200</v>
      </c>
      <c r="B204" s="20" t="s">
        <v>1275</v>
      </c>
      <c r="C204" s="9" t="s">
        <v>188</v>
      </c>
      <c r="D204" s="16" t="s">
        <v>70</v>
      </c>
      <c r="E204" s="9" t="s">
        <v>25</v>
      </c>
      <c r="F204" s="83" t="s">
        <v>1276</v>
      </c>
      <c r="G204" s="74" t="s">
        <v>818</v>
      </c>
      <c r="H204" s="111">
        <v>20</v>
      </c>
      <c r="I204" s="111">
        <v>-175</v>
      </c>
      <c r="J204" s="121">
        <f>I204*3</f>
        <v>-525</v>
      </c>
      <c r="K204" s="111">
        <v>-1170</v>
      </c>
      <c r="L204" s="111">
        <v>-15798</v>
      </c>
      <c r="M204" s="111"/>
      <c r="N204" s="111"/>
      <c r="O204" s="111"/>
      <c r="P204" s="111"/>
      <c r="Q204" s="111"/>
      <c r="R204" s="111"/>
      <c r="S204" s="74" t="s">
        <v>1720</v>
      </c>
      <c r="T204" s="81"/>
      <c r="U204" s="132"/>
    </row>
    <row r="205" spans="1:21" x14ac:dyDescent="0.2">
      <c r="A205" s="73">
        <v>201</v>
      </c>
      <c r="B205" s="20" t="s">
        <v>1279</v>
      </c>
      <c r="C205" s="9" t="s">
        <v>188</v>
      </c>
      <c r="D205" s="16" t="s">
        <v>486</v>
      </c>
      <c r="E205" s="9" t="s">
        <v>25</v>
      </c>
      <c r="F205" s="132" t="s">
        <v>1761</v>
      </c>
      <c r="G205" s="74" t="s">
        <v>818</v>
      </c>
      <c r="H205" s="111">
        <v>10</v>
      </c>
      <c r="I205" s="111">
        <v>-76</v>
      </c>
      <c r="J205" s="121">
        <f>I205*3</f>
        <v>-228</v>
      </c>
      <c r="K205" s="162">
        <v>-288</v>
      </c>
      <c r="L205" s="162">
        <v>-4414</v>
      </c>
      <c r="M205" s="111"/>
      <c r="N205" s="111"/>
      <c r="O205" s="111"/>
      <c r="P205" s="111"/>
      <c r="Q205" s="111"/>
      <c r="R205" s="111"/>
      <c r="S205" s="111"/>
      <c r="T205" s="81" t="s">
        <v>1762</v>
      </c>
      <c r="U205" s="132"/>
    </row>
    <row r="206" spans="1:21" x14ac:dyDescent="0.2">
      <c r="A206" s="74">
        <v>202</v>
      </c>
      <c r="B206" s="81" t="s">
        <v>614</v>
      </c>
      <c r="C206" s="74" t="s">
        <v>188</v>
      </c>
      <c r="D206" s="110" t="s">
        <v>33</v>
      </c>
      <c r="E206" s="111" t="s">
        <v>214</v>
      </c>
      <c r="F206" s="156" t="s">
        <v>1282</v>
      </c>
      <c r="G206" s="74" t="s">
        <v>818</v>
      </c>
      <c r="H206" s="111">
        <v>27</v>
      </c>
      <c r="I206" s="111">
        <v>186</v>
      </c>
      <c r="J206" s="111">
        <v>556</v>
      </c>
      <c r="K206" s="111">
        <v>384</v>
      </c>
      <c r="L206" s="111">
        <v>1948</v>
      </c>
      <c r="M206" s="111"/>
      <c r="N206" s="111"/>
      <c r="O206" s="111"/>
      <c r="P206" s="111"/>
      <c r="Q206" s="111">
        <v>490</v>
      </c>
      <c r="R206" s="111"/>
      <c r="S206" s="74" t="s">
        <v>1720</v>
      </c>
      <c r="T206" s="81"/>
      <c r="U206" s="132"/>
    </row>
    <row r="207" spans="1:21" x14ac:dyDescent="0.2">
      <c r="A207" s="73">
        <v>203</v>
      </c>
      <c r="B207" s="20" t="s">
        <v>1763</v>
      </c>
      <c r="C207" s="74" t="s">
        <v>203</v>
      </c>
      <c r="D207" s="110" t="s">
        <v>1090</v>
      </c>
      <c r="E207" s="111" t="s">
        <v>437</v>
      </c>
      <c r="F207" s="62" t="s">
        <v>1764</v>
      </c>
      <c r="G207" s="111" t="s">
        <v>818</v>
      </c>
      <c r="H207" s="111">
        <v>43</v>
      </c>
      <c r="I207" s="111">
        <v>1227</v>
      </c>
      <c r="J207" s="111">
        <v>3681</v>
      </c>
      <c r="K207" s="111">
        <v>2293</v>
      </c>
      <c r="L207" s="111">
        <v>16589</v>
      </c>
      <c r="M207" s="111">
        <v>84000</v>
      </c>
      <c r="N207" s="111"/>
      <c r="O207" s="111"/>
      <c r="P207" s="111"/>
      <c r="Q207" s="111"/>
      <c r="R207" s="111"/>
      <c r="S207" s="74" t="s">
        <v>1720</v>
      </c>
      <c r="T207" s="81"/>
      <c r="U207" s="132"/>
    </row>
    <row r="208" spans="1:21" x14ac:dyDescent="0.2">
      <c r="A208" s="74">
        <v>204</v>
      </c>
      <c r="B208" s="20" t="s">
        <v>1288</v>
      </c>
      <c r="C208" s="9" t="s">
        <v>236</v>
      </c>
      <c r="D208" s="16" t="s">
        <v>174</v>
      </c>
      <c r="E208" s="9" t="s">
        <v>126</v>
      </c>
      <c r="F208" s="163" t="s">
        <v>1765</v>
      </c>
      <c r="G208" s="111" t="s">
        <v>818</v>
      </c>
      <c r="H208" s="111">
        <v>6</v>
      </c>
      <c r="I208" s="111">
        <v>192</v>
      </c>
      <c r="J208" s="111">
        <v>672</v>
      </c>
      <c r="K208" s="111">
        <v>352</v>
      </c>
      <c r="L208" s="111">
        <v>20620</v>
      </c>
      <c r="M208" s="111">
        <v>1900</v>
      </c>
      <c r="N208" s="111"/>
      <c r="O208" s="111"/>
      <c r="P208" s="111"/>
      <c r="Q208" s="111"/>
      <c r="R208" s="111"/>
      <c r="S208" s="111" t="s">
        <v>1720</v>
      </c>
      <c r="T208" s="81" t="s">
        <v>1766</v>
      </c>
      <c r="U208" s="132"/>
    </row>
    <row r="209" spans="1:22" x14ac:dyDescent="0.2">
      <c r="A209" s="73">
        <v>205</v>
      </c>
      <c r="B209" s="57" t="s">
        <v>1767</v>
      </c>
      <c r="C209" s="9" t="s">
        <v>236</v>
      </c>
      <c r="D209" s="16" t="s">
        <v>1227</v>
      </c>
      <c r="E209" s="9" t="s">
        <v>214</v>
      </c>
      <c r="F209" s="62" t="s">
        <v>1768</v>
      </c>
      <c r="G209" s="111" t="s">
        <v>818</v>
      </c>
      <c r="H209" s="111">
        <v>2</v>
      </c>
      <c r="I209" s="111">
        <f>J209/3</f>
        <v>64</v>
      </c>
      <c r="J209" s="111">
        <f>96*2</f>
        <v>192</v>
      </c>
      <c r="K209" s="111">
        <f>64*2</f>
        <v>128</v>
      </c>
      <c r="L209" s="111">
        <f>1960*2</f>
        <v>3920</v>
      </c>
      <c r="M209" s="111"/>
      <c r="N209" s="111"/>
      <c r="O209" s="111"/>
      <c r="P209" s="111"/>
      <c r="Q209" s="111"/>
      <c r="R209" s="111" t="s">
        <v>1497</v>
      </c>
      <c r="S209" s="111" t="s">
        <v>1498</v>
      </c>
      <c r="T209" s="81" t="s">
        <v>1769</v>
      </c>
      <c r="U209" s="132"/>
    </row>
    <row r="210" spans="1:22" ht="51" x14ac:dyDescent="0.2">
      <c r="A210" s="74">
        <v>206</v>
      </c>
      <c r="B210" s="20" t="s">
        <v>1301</v>
      </c>
      <c r="C210" s="9" t="s">
        <v>203</v>
      </c>
      <c r="D210" s="16" t="s">
        <v>1090</v>
      </c>
      <c r="E210" s="9" t="s">
        <v>44</v>
      </c>
      <c r="F210" s="62" t="s">
        <v>1302</v>
      </c>
      <c r="G210" s="111" t="s">
        <v>818</v>
      </c>
      <c r="H210" s="111"/>
      <c r="I210" s="111"/>
      <c r="J210" s="111"/>
      <c r="K210" s="111"/>
      <c r="L210" s="111"/>
      <c r="M210" s="111">
        <v>80000</v>
      </c>
      <c r="N210" s="111"/>
      <c r="O210" s="111"/>
      <c r="P210" s="111"/>
      <c r="Q210" s="111"/>
      <c r="R210" s="111"/>
      <c r="S210" s="111" t="s">
        <v>1529</v>
      </c>
      <c r="T210" s="164" t="s">
        <v>1770</v>
      </c>
      <c r="U210" s="74" t="s">
        <v>1696</v>
      </c>
    </row>
    <row r="211" spans="1:22" x14ac:dyDescent="0.2">
      <c r="A211" s="73">
        <v>207</v>
      </c>
      <c r="B211" s="71" t="s">
        <v>1305</v>
      </c>
      <c r="C211" s="9" t="s">
        <v>203</v>
      </c>
      <c r="D211" s="16" t="s">
        <v>160</v>
      </c>
      <c r="E211" s="9" t="s">
        <v>44</v>
      </c>
      <c r="F211" s="9" t="s">
        <v>1306</v>
      </c>
      <c r="G211" s="111" t="s">
        <v>818</v>
      </c>
      <c r="H211" s="111"/>
      <c r="I211" s="111"/>
      <c r="J211" s="111"/>
      <c r="K211" s="111"/>
      <c r="L211" s="111"/>
      <c r="M211" s="111">
        <v>928</v>
      </c>
      <c r="N211" s="111"/>
      <c r="O211" s="111"/>
      <c r="P211" s="111"/>
      <c r="Q211" s="111"/>
      <c r="R211" s="111"/>
      <c r="S211" s="111" t="s">
        <v>1529</v>
      </c>
      <c r="T211" s="81"/>
      <c r="U211" s="74" t="s">
        <v>1696</v>
      </c>
    </row>
    <row r="212" spans="1:22" x14ac:dyDescent="0.2">
      <c r="A212" s="74">
        <v>208</v>
      </c>
      <c r="B212" s="20" t="s">
        <v>1310</v>
      </c>
      <c r="C212" s="9" t="s">
        <v>1311</v>
      </c>
      <c r="D212" s="16" t="s">
        <v>1312</v>
      </c>
      <c r="E212" s="9" t="s">
        <v>44</v>
      </c>
      <c r="F212" s="62" t="s">
        <v>1771</v>
      </c>
      <c r="G212" s="111" t="s">
        <v>818</v>
      </c>
      <c r="H212" s="111">
        <v>1</v>
      </c>
      <c r="I212" s="111">
        <v>8</v>
      </c>
      <c r="J212" s="111">
        <v>24</v>
      </c>
      <c r="K212" s="111">
        <v>32</v>
      </c>
      <c r="L212" s="111">
        <v>8192</v>
      </c>
      <c r="M212" s="111"/>
      <c r="N212" s="111"/>
      <c r="O212" s="111"/>
      <c r="P212" s="111"/>
      <c r="Q212" s="111"/>
      <c r="R212" s="111"/>
      <c r="S212" s="111" t="s">
        <v>1529</v>
      </c>
      <c r="T212" s="81" t="s">
        <v>1772</v>
      </c>
      <c r="U212" s="74" t="s">
        <v>1696</v>
      </c>
    </row>
    <row r="213" spans="1:22" x14ac:dyDescent="0.2">
      <c r="A213" s="73">
        <v>209</v>
      </c>
      <c r="B213" s="20" t="s">
        <v>1317</v>
      </c>
      <c r="C213" s="9" t="s">
        <v>188</v>
      </c>
      <c r="D213" s="16" t="s">
        <v>461</v>
      </c>
      <c r="E213" s="9" t="s">
        <v>437</v>
      </c>
      <c r="F213" s="163" t="s">
        <v>1318</v>
      </c>
      <c r="G213" s="111" t="s">
        <v>818</v>
      </c>
      <c r="H213" s="111">
        <v>3</v>
      </c>
      <c r="I213" s="111">
        <v>36</v>
      </c>
      <c r="J213" s="111">
        <v>105</v>
      </c>
      <c r="K213" s="111">
        <v>72</v>
      </c>
      <c r="L213" s="111">
        <v>1200</v>
      </c>
      <c r="M213" s="111"/>
      <c r="N213" s="111"/>
      <c r="O213" s="111"/>
      <c r="P213" s="111"/>
      <c r="Q213" s="111"/>
      <c r="R213" s="111"/>
      <c r="S213" s="111" t="s">
        <v>1529</v>
      </c>
      <c r="T213" s="81"/>
      <c r="U213" s="132"/>
      <c r="V213" s="153"/>
    </row>
    <row r="214" spans="1:22" x14ac:dyDescent="0.2">
      <c r="A214" s="74">
        <v>210</v>
      </c>
      <c r="B214" s="20" t="s">
        <v>1320</v>
      </c>
      <c r="C214" s="9" t="s">
        <v>188</v>
      </c>
      <c r="D214" s="16" t="s">
        <v>668</v>
      </c>
      <c r="E214" s="9" t="s">
        <v>25</v>
      </c>
      <c r="F214" s="62" t="s">
        <v>1773</v>
      </c>
      <c r="G214" s="111" t="s">
        <v>819</v>
      </c>
      <c r="H214" s="111">
        <v>34</v>
      </c>
      <c r="I214" s="111">
        <f>1477/3.5</f>
        <v>422</v>
      </c>
      <c r="J214" s="111">
        <v>1477</v>
      </c>
      <c r="K214" s="111">
        <v>1896</v>
      </c>
      <c r="L214" s="111">
        <v>36484</v>
      </c>
      <c r="M214" s="111">
        <v>4444</v>
      </c>
      <c r="N214" s="111"/>
      <c r="O214" s="111"/>
      <c r="P214" s="111"/>
      <c r="Q214" s="111"/>
      <c r="R214" s="111"/>
      <c r="S214" s="111" t="s">
        <v>1720</v>
      </c>
      <c r="T214" s="81"/>
      <c r="U214" s="132"/>
      <c r="V214" s="153"/>
    </row>
    <row r="215" spans="1:22" x14ac:dyDescent="0.2">
      <c r="A215" s="73">
        <v>211</v>
      </c>
      <c r="B215" s="20" t="s">
        <v>1323</v>
      </c>
      <c r="C215" s="9" t="s">
        <v>188</v>
      </c>
      <c r="D215" s="16" t="s">
        <v>414</v>
      </c>
      <c r="E215" s="9" t="s">
        <v>25</v>
      </c>
      <c r="F215" s="62" t="s">
        <v>1774</v>
      </c>
      <c r="G215" s="111" t="s">
        <v>819</v>
      </c>
      <c r="H215" s="111">
        <v>2</v>
      </c>
      <c r="I215" s="111">
        <v>8</v>
      </c>
      <c r="J215" s="111">
        <f>I215*3.5</f>
        <v>28</v>
      </c>
      <c r="K215" s="111">
        <v>80</v>
      </c>
      <c r="L215" s="111">
        <v>600</v>
      </c>
      <c r="M215" s="111"/>
      <c r="N215" s="111"/>
      <c r="O215" s="111"/>
      <c r="P215" s="111"/>
      <c r="Q215" s="111"/>
      <c r="R215" s="111" t="s">
        <v>1497</v>
      </c>
      <c r="S215" s="111" t="s">
        <v>1509</v>
      </c>
      <c r="T215" s="81"/>
      <c r="U215" s="132"/>
      <c r="V215" s="153"/>
    </row>
    <row r="216" spans="1:22" x14ac:dyDescent="0.2">
      <c r="A216" s="74">
        <v>212</v>
      </c>
      <c r="B216" s="20" t="s">
        <v>1775</v>
      </c>
      <c r="C216" s="9" t="s">
        <v>188</v>
      </c>
      <c r="D216" s="16" t="s">
        <v>662</v>
      </c>
      <c r="E216" s="9" t="s">
        <v>25</v>
      </c>
      <c r="F216" s="62" t="s">
        <v>1776</v>
      </c>
      <c r="G216" s="111" t="s">
        <v>819</v>
      </c>
      <c r="H216" s="111">
        <v>2</v>
      </c>
      <c r="I216" s="111">
        <v>8</v>
      </c>
      <c r="J216" s="111">
        <v>24</v>
      </c>
      <c r="K216" s="111">
        <v>16</v>
      </c>
      <c r="L216" s="111">
        <f>18650*2</f>
        <v>37300</v>
      </c>
      <c r="M216" s="111"/>
      <c r="N216" s="111"/>
      <c r="O216" s="111"/>
      <c r="P216" s="111"/>
      <c r="Q216" s="111"/>
      <c r="R216" s="111"/>
      <c r="S216" s="111" t="s">
        <v>1720</v>
      </c>
      <c r="T216" s="81"/>
      <c r="U216" s="132"/>
      <c r="V216" s="153"/>
    </row>
    <row r="217" spans="1:22" x14ac:dyDescent="0.2">
      <c r="A217" s="73">
        <v>213</v>
      </c>
      <c r="B217" s="20" t="s">
        <v>1257</v>
      </c>
      <c r="C217" s="9" t="s">
        <v>188</v>
      </c>
      <c r="D217" s="16" t="s">
        <v>98</v>
      </c>
      <c r="E217" s="9" t="s">
        <v>126</v>
      </c>
      <c r="F217" s="77" t="s">
        <v>1258</v>
      </c>
      <c r="G217" s="111" t="s">
        <v>818</v>
      </c>
      <c r="H217" s="111">
        <v>5</v>
      </c>
      <c r="I217" s="111">
        <v>69</v>
      </c>
      <c r="J217" s="111">
        <v>205</v>
      </c>
      <c r="K217" s="111">
        <v>115</v>
      </c>
      <c r="L217" s="111">
        <v>300</v>
      </c>
      <c r="M217" s="111"/>
      <c r="N217" s="111"/>
      <c r="O217" s="111"/>
      <c r="P217" s="111"/>
      <c r="Q217" s="111">
        <v>20000</v>
      </c>
      <c r="R217" s="132" t="s">
        <v>1693</v>
      </c>
      <c r="S217" s="74" t="s">
        <v>1720</v>
      </c>
      <c r="T217" s="81"/>
      <c r="U217" s="132" t="s">
        <v>1696</v>
      </c>
      <c r="V217" s="153"/>
    </row>
    <row r="218" spans="1:22" x14ac:dyDescent="0.2">
      <c r="A218" s="74">
        <v>214</v>
      </c>
      <c r="B218" s="71" t="s">
        <v>1335</v>
      </c>
      <c r="C218" s="74" t="s">
        <v>188</v>
      </c>
      <c r="D218" s="110" t="s">
        <v>592</v>
      </c>
      <c r="E218" s="111" t="s">
        <v>214</v>
      </c>
      <c r="F218" s="79" t="s">
        <v>1336</v>
      </c>
      <c r="G218" s="111" t="s">
        <v>819</v>
      </c>
      <c r="H218" s="111">
        <v>5</v>
      </c>
      <c r="I218" s="111">
        <v>34</v>
      </c>
      <c r="J218" s="111">
        <v>120</v>
      </c>
      <c r="K218" s="111">
        <v>110</v>
      </c>
      <c r="L218" s="111">
        <v>20800</v>
      </c>
      <c r="M218" s="111"/>
      <c r="N218" s="111"/>
      <c r="O218" s="111"/>
      <c r="P218" s="111"/>
      <c r="Q218" s="111"/>
      <c r="R218" s="132" t="s">
        <v>1693</v>
      </c>
      <c r="S218" s="111" t="s">
        <v>1720</v>
      </c>
      <c r="T218" s="81"/>
      <c r="U218" s="132"/>
      <c r="V218" s="153"/>
    </row>
    <row r="219" spans="1:22" x14ac:dyDescent="0.2">
      <c r="A219" s="73">
        <v>215</v>
      </c>
      <c r="B219" s="20" t="s">
        <v>1340</v>
      </c>
      <c r="C219" s="9" t="s">
        <v>188</v>
      </c>
      <c r="D219" s="16" t="s">
        <v>70</v>
      </c>
      <c r="E219" s="9" t="s">
        <v>44</v>
      </c>
      <c r="F219" s="132" t="s">
        <v>1341</v>
      </c>
      <c r="G219" s="111" t="s">
        <v>819</v>
      </c>
      <c r="H219" s="111">
        <v>9</v>
      </c>
      <c r="I219" s="111"/>
      <c r="J219" s="111"/>
      <c r="K219" s="111">
        <v>86</v>
      </c>
      <c r="L219" s="111">
        <v>10128</v>
      </c>
      <c r="M219" s="111"/>
      <c r="N219" s="111"/>
      <c r="O219" s="111"/>
      <c r="P219" s="111"/>
      <c r="Q219" s="111"/>
      <c r="R219" s="132" t="s">
        <v>1693</v>
      </c>
      <c r="S219" s="111" t="s">
        <v>1720</v>
      </c>
      <c r="T219" s="81"/>
      <c r="U219" s="132" t="s">
        <v>1696</v>
      </c>
    </row>
    <row r="220" spans="1:22" x14ac:dyDescent="0.2">
      <c r="A220" s="74">
        <v>216</v>
      </c>
      <c r="B220" s="20" t="s">
        <v>1777</v>
      </c>
      <c r="C220" s="9" t="s">
        <v>188</v>
      </c>
      <c r="D220" s="16" t="s">
        <v>668</v>
      </c>
      <c r="E220" s="9" t="s">
        <v>44</v>
      </c>
      <c r="F220" s="132" t="s">
        <v>1345</v>
      </c>
      <c r="G220" s="111" t="s">
        <v>819</v>
      </c>
      <c r="H220" s="111">
        <v>16</v>
      </c>
      <c r="I220" s="111">
        <v>224</v>
      </c>
      <c r="J220" s="111">
        <v>672</v>
      </c>
      <c r="K220" s="111">
        <v>144</v>
      </c>
      <c r="L220" s="111">
        <v>2504</v>
      </c>
      <c r="M220" s="111">
        <v>257</v>
      </c>
      <c r="N220" s="111"/>
      <c r="O220" s="111"/>
      <c r="P220" s="111"/>
      <c r="Q220" s="111"/>
      <c r="R220" s="132" t="s">
        <v>1693</v>
      </c>
      <c r="S220" s="111" t="s">
        <v>1720</v>
      </c>
      <c r="T220" s="81"/>
      <c r="U220" s="132" t="s">
        <v>1696</v>
      </c>
    </row>
    <row r="221" spans="1:22" ht="15" x14ac:dyDescent="0.25">
      <c r="A221" s="73">
        <v>217</v>
      </c>
      <c r="B221" s="81" t="s">
        <v>1348</v>
      </c>
      <c r="C221" s="74" t="s">
        <v>188</v>
      </c>
      <c r="D221" s="110" t="s">
        <v>432</v>
      </c>
      <c r="E221" s="111" t="s">
        <v>214</v>
      </c>
      <c r="F221" s="165" t="s">
        <v>1349</v>
      </c>
      <c r="G221" s="111" t="s">
        <v>819</v>
      </c>
      <c r="H221" s="111">
        <v>35</v>
      </c>
      <c r="I221" s="111">
        <v>760</v>
      </c>
      <c r="J221" s="111">
        <v>2280</v>
      </c>
      <c r="K221" s="111">
        <v>1920</v>
      </c>
      <c r="L221" s="111">
        <v>234082</v>
      </c>
      <c r="M221" s="111"/>
      <c r="N221" s="111"/>
      <c r="O221" s="111"/>
      <c r="P221" s="111"/>
      <c r="Q221" s="166"/>
      <c r="R221" s="111"/>
      <c r="S221" s="111" t="s">
        <v>1720</v>
      </c>
      <c r="T221" s="81"/>
      <c r="U221" s="132"/>
    </row>
    <row r="222" spans="1:22" x14ac:dyDescent="0.2">
      <c r="A222" s="74">
        <v>218</v>
      </c>
      <c r="B222" s="23" t="s">
        <v>1352</v>
      </c>
      <c r="C222" s="9" t="s">
        <v>188</v>
      </c>
      <c r="D222" s="16" t="s">
        <v>271</v>
      </c>
      <c r="E222" s="9" t="s">
        <v>437</v>
      </c>
      <c r="F222" s="167" t="s">
        <v>1353</v>
      </c>
      <c r="G222" s="111" t="s">
        <v>819</v>
      </c>
      <c r="H222" s="111">
        <v>18</v>
      </c>
      <c r="I222" s="111">
        <v>144</v>
      </c>
      <c r="J222" s="111">
        <v>432</v>
      </c>
      <c r="K222" s="111">
        <v>288</v>
      </c>
      <c r="L222" s="111">
        <v>3780</v>
      </c>
      <c r="M222" s="111"/>
      <c r="N222" s="111"/>
      <c r="O222" s="111"/>
      <c r="P222" s="111"/>
      <c r="Q222" s="111"/>
      <c r="R222" s="132" t="s">
        <v>1693</v>
      </c>
      <c r="S222" s="111" t="s">
        <v>1720</v>
      </c>
      <c r="T222" s="81"/>
      <c r="U222" s="132"/>
    </row>
    <row r="223" spans="1:22" ht="38.25" x14ac:dyDescent="0.2">
      <c r="A223" s="73">
        <v>219</v>
      </c>
      <c r="B223" s="20" t="s">
        <v>1357</v>
      </c>
      <c r="C223" s="9" t="s">
        <v>188</v>
      </c>
      <c r="D223" s="16" t="s">
        <v>668</v>
      </c>
      <c r="E223" s="9" t="s">
        <v>825</v>
      </c>
      <c r="F223" s="16" t="s">
        <v>1358</v>
      </c>
      <c r="G223" s="111" t="s">
        <v>819</v>
      </c>
      <c r="H223" s="111">
        <v>9</v>
      </c>
      <c r="I223" s="111">
        <f>4*9</f>
        <v>36</v>
      </c>
      <c r="J223" s="111">
        <f>3.5*I223</f>
        <v>126</v>
      </c>
      <c r="K223" s="111">
        <f>8*3+16*4</f>
        <v>88</v>
      </c>
      <c r="L223" s="111">
        <f>3192*4+500+50*3+40*6+9*60</f>
        <v>14198</v>
      </c>
      <c r="M223" s="111">
        <v>257</v>
      </c>
      <c r="N223" s="111"/>
      <c r="O223" s="111"/>
      <c r="P223" s="111"/>
      <c r="Q223" s="111"/>
      <c r="R223" s="111"/>
      <c r="S223" s="111" t="s">
        <v>1720</v>
      </c>
      <c r="T223" s="81"/>
      <c r="U223" s="132"/>
    </row>
    <row r="224" spans="1:22" ht="25.5" x14ac:dyDescent="0.2">
      <c r="A224" s="74">
        <v>220</v>
      </c>
      <c r="B224" s="20" t="s">
        <v>1361</v>
      </c>
      <c r="C224" s="9" t="s">
        <v>188</v>
      </c>
      <c r="D224" s="16" t="s">
        <v>641</v>
      </c>
      <c r="E224" s="9" t="s">
        <v>825</v>
      </c>
      <c r="F224" s="20" t="s">
        <v>1362</v>
      </c>
      <c r="G224" s="111" t="s">
        <v>819</v>
      </c>
      <c r="H224" s="111">
        <v>4</v>
      </c>
      <c r="I224" s="111">
        <f>16*2+8*2</f>
        <v>48</v>
      </c>
      <c r="J224" s="111">
        <f>I224*3.5</f>
        <v>168</v>
      </c>
      <c r="K224" s="111">
        <f>32*4</f>
        <v>128</v>
      </c>
      <c r="L224" s="111">
        <f>400+60*4</f>
        <v>640</v>
      </c>
      <c r="M224" s="111"/>
      <c r="N224" s="111"/>
      <c r="O224" s="111"/>
      <c r="P224" s="111"/>
      <c r="Q224" s="111"/>
      <c r="R224" s="111"/>
      <c r="S224" s="111" t="s">
        <v>1720</v>
      </c>
      <c r="T224" s="81"/>
      <c r="U224" s="132"/>
    </row>
    <row r="225" spans="1:21" x14ac:dyDescent="0.2">
      <c r="A225" s="73">
        <v>221</v>
      </c>
      <c r="B225" s="73" t="s">
        <v>1370</v>
      </c>
      <c r="C225" s="74" t="s">
        <v>188</v>
      </c>
      <c r="D225" s="105" t="s">
        <v>587</v>
      </c>
      <c r="E225" s="106" t="s">
        <v>126</v>
      </c>
      <c r="F225" s="165" t="s">
        <v>1778</v>
      </c>
      <c r="G225" s="111" t="s">
        <v>819</v>
      </c>
      <c r="H225" s="111">
        <v>22</v>
      </c>
      <c r="I225" s="111">
        <v>232</v>
      </c>
      <c r="J225" s="111">
        <f>I225*3</f>
        <v>696</v>
      </c>
      <c r="K225" s="111">
        <v>1608</v>
      </c>
      <c r="L225" s="111">
        <v>19839</v>
      </c>
      <c r="M225" s="111">
        <v>26218</v>
      </c>
      <c r="N225" s="111"/>
      <c r="O225" s="111"/>
      <c r="P225" s="111"/>
      <c r="Q225" s="111"/>
      <c r="R225" s="111"/>
      <c r="S225" s="111" t="s">
        <v>1720</v>
      </c>
      <c r="T225" s="81" t="s">
        <v>1779</v>
      </c>
      <c r="U225" s="132"/>
    </row>
    <row r="226" spans="1:21" x14ac:dyDescent="0.2">
      <c r="A226" s="73">
        <v>222</v>
      </c>
      <c r="B226" s="20" t="s">
        <v>1374</v>
      </c>
      <c r="C226" s="9" t="s">
        <v>794</v>
      </c>
      <c r="D226" s="16" t="s">
        <v>746</v>
      </c>
      <c r="E226" s="9" t="s">
        <v>825</v>
      </c>
      <c r="F226" s="165" t="s">
        <v>1780</v>
      </c>
      <c r="G226" s="111" t="s">
        <v>819</v>
      </c>
      <c r="H226" s="111">
        <v>14</v>
      </c>
      <c r="I226" s="111">
        <f>8*11+3*4</f>
        <v>100</v>
      </c>
      <c r="J226" s="111">
        <f>I226*3.5</f>
        <v>350</v>
      </c>
      <c r="K226" s="111">
        <f>64*11+8*3</f>
        <v>728</v>
      </c>
      <c r="L226" s="111">
        <f>1050*11+160*3</f>
        <v>12030</v>
      </c>
      <c r="M226" s="111"/>
      <c r="N226" s="111"/>
      <c r="O226" s="111"/>
      <c r="P226" s="111"/>
      <c r="Q226" s="111"/>
      <c r="R226" s="111"/>
      <c r="S226" s="111" t="s">
        <v>1720</v>
      </c>
      <c r="T226" s="81"/>
      <c r="U226" s="132"/>
    </row>
    <row r="227" spans="1:21" ht="38.25" x14ac:dyDescent="0.2">
      <c r="A227" s="132">
        <v>223</v>
      </c>
      <c r="B227" s="20" t="s">
        <v>1377</v>
      </c>
      <c r="C227" s="9" t="s">
        <v>188</v>
      </c>
      <c r="D227" s="16" t="s">
        <v>668</v>
      </c>
      <c r="E227" s="9" t="s">
        <v>44</v>
      </c>
      <c r="F227" s="9" t="s">
        <v>1378</v>
      </c>
      <c r="G227" s="111" t="s">
        <v>819</v>
      </c>
      <c r="H227" s="111"/>
      <c r="I227" s="111"/>
      <c r="J227" s="111"/>
      <c r="K227" s="111"/>
      <c r="L227" s="111">
        <v>100</v>
      </c>
      <c r="M227" s="111"/>
      <c r="N227" s="111"/>
      <c r="O227" s="111"/>
      <c r="P227" s="111"/>
      <c r="Q227" s="111"/>
      <c r="R227" s="111" t="s">
        <v>1497</v>
      </c>
      <c r="S227" s="111" t="s">
        <v>1498</v>
      </c>
      <c r="T227" s="164" t="s">
        <v>1781</v>
      </c>
      <c r="U227" s="132" t="s">
        <v>1696</v>
      </c>
    </row>
    <row r="228" spans="1:21" x14ac:dyDescent="0.2">
      <c r="A228" s="132">
        <v>224</v>
      </c>
      <c r="B228" s="20" t="s">
        <v>1381</v>
      </c>
      <c r="C228" s="9" t="s">
        <v>188</v>
      </c>
      <c r="D228" s="16" t="s">
        <v>76</v>
      </c>
      <c r="E228" s="9" t="s">
        <v>44</v>
      </c>
      <c r="F228" s="97" t="s">
        <v>1382</v>
      </c>
      <c r="G228" s="111" t="s">
        <v>819</v>
      </c>
      <c r="H228" s="111">
        <v>5</v>
      </c>
      <c r="I228" s="111">
        <v>240</v>
      </c>
      <c r="J228" s="111">
        <v>720</v>
      </c>
      <c r="K228" s="111">
        <v>205</v>
      </c>
      <c r="L228" s="111">
        <v>8581</v>
      </c>
      <c r="M228" s="111"/>
      <c r="N228" s="111"/>
      <c r="O228" s="111"/>
      <c r="P228" s="111"/>
      <c r="Q228" s="111"/>
      <c r="R228" s="111" t="s">
        <v>1497</v>
      </c>
      <c r="S228" s="111" t="s">
        <v>1498</v>
      </c>
      <c r="T228" s="81" t="s">
        <v>1505</v>
      </c>
      <c r="U228" s="132" t="s">
        <v>1696</v>
      </c>
    </row>
    <row r="229" spans="1:21" x14ac:dyDescent="0.2">
      <c r="A229" s="132">
        <v>225</v>
      </c>
      <c r="B229" s="23" t="s">
        <v>1385</v>
      </c>
      <c r="C229" s="9" t="s">
        <v>188</v>
      </c>
      <c r="D229" s="16" t="s">
        <v>703</v>
      </c>
      <c r="E229" s="9" t="s">
        <v>437</v>
      </c>
      <c r="F229" s="165" t="s">
        <v>1386</v>
      </c>
      <c r="G229" s="111" t="s">
        <v>819</v>
      </c>
      <c r="H229" s="111">
        <v>3</v>
      </c>
      <c r="I229" s="111">
        <v>40</v>
      </c>
      <c r="J229" s="111">
        <v>120</v>
      </c>
      <c r="K229" s="111">
        <v>96</v>
      </c>
      <c r="L229" s="111">
        <v>1500</v>
      </c>
      <c r="M229" s="111"/>
      <c r="N229" s="111"/>
      <c r="O229" s="111"/>
      <c r="P229" s="111"/>
      <c r="Q229" s="111"/>
      <c r="R229" s="111" t="s">
        <v>1497</v>
      </c>
      <c r="S229" s="111" t="s">
        <v>1498</v>
      </c>
      <c r="T229" s="81" t="s">
        <v>1505</v>
      </c>
      <c r="U229" s="132"/>
    </row>
    <row r="230" spans="1:21" x14ac:dyDescent="0.2">
      <c r="A230" s="132">
        <v>226</v>
      </c>
      <c r="B230" s="81" t="s">
        <v>1388</v>
      </c>
      <c r="C230" s="9" t="s">
        <v>188</v>
      </c>
      <c r="D230" s="16" t="s">
        <v>76</v>
      </c>
      <c r="E230" s="9" t="s">
        <v>44</v>
      </c>
      <c r="F230" s="132" t="s">
        <v>1389</v>
      </c>
      <c r="G230" s="111" t="s">
        <v>819</v>
      </c>
      <c r="H230" s="111">
        <v>3</v>
      </c>
      <c r="I230" s="111">
        <v>78</v>
      </c>
      <c r="J230" s="111">
        <v>238</v>
      </c>
      <c r="K230" s="111">
        <v>180</v>
      </c>
      <c r="L230" s="111">
        <v>92447</v>
      </c>
      <c r="M230" s="111"/>
      <c r="N230" s="111"/>
      <c r="O230" s="111"/>
      <c r="P230" s="111"/>
      <c r="Q230" s="111"/>
      <c r="R230" s="111" t="s">
        <v>1497</v>
      </c>
      <c r="S230" s="111" t="s">
        <v>1498</v>
      </c>
      <c r="T230" s="81" t="s">
        <v>1505</v>
      </c>
      <c r="U230" s="132" t="s">
        <v>1696</v>
      </c>
    </row>
    <row r="231" spans="1:21" ht="25.5" x14ac:dyDescent="0.2">
      <c r="A231" s="132">
        <v>227</v>
      </c>
      <c r="B231" s="81" t="s">
        <v>1392</v>
      </c>
      <c r="C231" s="9" t="s">
        <v>188</v>
      </c>
      <c r="D231" s="16" t="s">
        <v>668</v>
      </c>
      <c r="E231" s="9" t="s">
        <v>825</v>
      </c>
      <c r="F231" s="83" t="s">
        <v>1393</v>
      </c>
      <c r="G231" s="111" t="s">
        <v>819</v>
      </c>
      <c r="H231" s="111">
        <f t="shared" ref="H231:M231" si="4">-(H223+H214)</f>
        <v>-43</v>
      </c>
      <c r="I231" s="111">
        <f t="shared" si="4"/>
        <v>-458</v>
      </c>
      <c r="J231" s="111">
        <f t="shared" si="4"/>
        <v>-1603</v>
      </c>
      <c r="K231" s="111">
        <f t="shared" si="4"/>
        <v>-1984</v>
      </c>
      <c r="L231" s="111">
        <f t="shared" si="4"/>
        <v>-50682</v>
      </c>
      <c r="M231" s="111">
        <f t="shared" si="4"/>
        <v>-4701</v>
      </c>
      <c r="N231" s="111"/>
      <c r="O231" s="111"/>
      <c r="P231" s="111"/>
      <c r="Q231" s="111"/>
      <c r="R231" s="111"/>
      <c r="S231" s="111" t="s">
        <v>1720</v>
      </c>
      <c r="T231" s="81"/>
      <c r="U231" s="132"/>
    </row>
    <row r="232" spans="1:21" x14ac:dyDescent="0.2">
      <c r="A232" s="132">
        <v>228</v>
      </c>
      <c r="B232" s="20" t="s">
        <v>1394</v>
      </c>
      <c r="C232" s="9" t="s">
        <v>1395</v>
      </c>
      <c r="D232" s="16" t="s">
        <v>729</v>
      </c>
      <c r="E232" s="9" t="s">
        <v>126</v>
      </c>
      <c r="F232" s="165" t="s">
        <v>1396</v>
      </c>
      <c r="G232" s="111" t="s">
        <v>820</v>
      </c>
      <c r="H232" s="111">
        <v>2</v>
      </c>
      <c r="I232" s="111">
        <v>8</v>
      </c>
      <c r="J232" s="111">
        <v>24</v>
      </c>
      <c r="K232" s="111">
        <v>16</v>
      </c>
      <c r="L232" s="111">
        <v>400</v>
      </c>
      <c r="M232" s="111"/>
      <c r="N232" s="111"/>
      <c r="O232" s="111"/>
      <c r="P232" s="111"/>
      <c r="Q232" s="111"/>
      <c r="R232" s="111"/>
      <c r="S232" s="111" t="s">
        <v>1720</v>
      </c>
      <c r="T232" s="81"/>
      <c r="U232" s="132"/>
    </row>
    <row r="233" spans="1:21" x14ac:dyDescent="0.2">
      <c r="A233" s="132">
        <v>229</v>
      </c>
      <c r="B233" s="81" t="s">
        <v>1411</v>
      </c>
      <c r="C233" s="74" t="s">
        <v>203</v>
      </c>
      <c r="D233" s="110" t="s">
        <v>160</v>
      </c>
      <c r="E233" s="111" t="s">
        <v>44</v>
      </c>
      <c r="F233" s="132" t="s">
        <v>1412</v>
      </c>
      <c r="G233" s="111" t="s">
        <v>820</v>
      </c>
      <c r="H233" s="111">
        <v>24</v>
      </c>
      <c r="I233" s="111">
        <v>292</v>
      </c>
      <c r="J233" s="111">
        <v>876</v>
      </c>
      <c r="K233" s="111">
        <v>603</v>
      </c>
      <c r="L233" s="111">
        <v>29792</v>
      </c>
      <c r="M233" s="111">
        <v>2718</v>
      </c>
      <c r="N233" s="111"/>
      <c r="O233" s="111"/>
      <c r="P233" s="111"/>
      <c r="Q233" s="111"/>
      <c r="S233" s="121" t="s">
        <v>1509</v>
      </c>
      <c r="T233" s="118" t="s">
        <v>1782</v>
      </c>
      <c r="U233" s="132" t="s">
        <v>1696</v>
      </c>
    </row>
    <row r="234" spans="1:21" x14ac:dyDescent="0.2">
      <c r="A234" s="132">
        <v>230</v>
      </c>
      <c r="B234" s="20" t="s">
        <v>1405</v>
      </c>
      <c r="C234" s="74" t="s">
        <v>188</v>
      </c>
      <c r="D234" s="110" t="s">
        <v>746</v>
      </c>
      <c r="E234" s="111" t="s">
        <v>214</v>
      </c>
      <c r="F234" s="165" t="s">
        <v>1406</v>
      </c>
      <c r="G234" s="111" t="s">
        <v>820</v>
      </c>
      <c r="H234" s="111">
        <v>2</v>
      </c>
      <c r="I234" s="111">
        <v>16</v>
      </c>
      <c r="J234" s="111">
        <v>48</v>
      </c>
      <c r="K234" s="111">
        <v>40</v>
      </c>
      <c r="L234" s="111">
        <v>320</v>
      </c>
      <c r="M234" s="111"/>
      <c r="N234" s="111"/>
      <c r="O234" s="111"/>
      <c r="P234" s="111"/>
      <c r="Q234" s="111"/>
      <c r="R234" s="168" t="s">
        <v>1783</v>
      </c>
      <c r="S234" s="111" t="s">
        <v>1720</v>
      </c>
      <c r="T234" s="169" t="s">
        <v>1784</v>
      </c>
      <c r="U234" s="132"/>
    </row>
    <row r="235" spans="1:21" x14ac:dyDescent="0.2">
      <c r="A235" s="132">
        <v>231</v>
      </c>
      <c r="B235" s="81" t="s">
        <v>1416</v>
      </c>
      <c r="C235" s="9" t="s">
        <v>188</v>
      </c>
      <c r="D235" s="16" t="s">
        <v>76</v>
      </c>
      <c r="E235" s="9" t="s">
        <v>44</v>
      </c>
      <c r="F235" s="165" t="s">
        <v>1417</v>
      </c>
      <c r="G235" s="111" t="s">
        <v>1785</v>
      </c>
      <c r="H235" s="111">
        <v>24</v>
      </c>
      <c r="I235" s="111">
        <v>522</v>
      </c>
      <c r="J235" s="111">
        <v>1566</v>
      </c>
      <c r="K235" s="111">
        <v>714</v>
      </c>
      <c r="L235" s="111">
        <v>99447</v>
      </c>
      <c r="M235" s="111"/>
      <c r="N235" s="111"/>
      <c r="O235" s="111"/>
      <c r="P235" s="111"/>
      <c r="Q235" s="111"/>
      <c r="R235" s="170" t="s">
        <v>1786</v>
      </c>
      <c r="S235" s="111" t="s">
        <v>1720</v>
      </c>
      <c r="T235" s="81" t="s">
        <v>1784</v>
      </c>
      <c r="U235" s="132"/>
    </row>
    <row r="236" spans="1:21" ht="15.75" customHeight="1" x14ac:dyDescent="0.2">
      <c r="A236" s="9">
        <v>232</v>
      </c>
      <c r="B236" s="67" t="s">
        <v>1420</v>
      </c>
      <c r="C236" s="9" t="s">
        <v>242</v>
      </c>
      <c r="D236" s="16" t="s">
        <v>14</v>
      </c>
      <c r="E236" s="9" t="s">
        <v>437</v>
      </c>
      <c r="F236" s="165" t="s">
        <v>1421</v>
      </c>
      <c r="G236" s="111" t="s">
        <v>1785</v>
      </c>
      <c r="H236" s="111">
        <v>170</v>
      </c>
      <c r="I236" s="111">
        <v>5096</v>
      </c>
      <c r="J236" s="111">
        <v>15288</v>
      </c>
      <c r="K236" s="111">
        <v>10904</v>
      </c>
      <c r="L236" s="111">
        <v>137300</v>
      </c>
      <c r="M236" s="111"/>
      <c r="N236" s="111"/>
      <c r="O236" s="111"/>
      <c r="P236" s="111"/>
      <c r="Q236" s="111"/>
      <c r="R236" s="168" t="s">
        <v>1783</v>
      </c>
      <c r="S236" s="111" t="s">
        <v>1720</v>
      </c>
      <c r="T236" s="81"/>
      <c r="U236" s="132"/>
    </row>
    <row r="237" spans="1:21" ht="25.5" x14ac:dyDescent="0.2">
      <c r="A237" s="132">
        <v>233</v>
      </c>
      <c r="B237" s="81" t="s">
        <v>1787</v>
      </c>
      <c r="C237" s="74" t="s">
        <v>188</v>
      </c>
      <c r="D237" s="110" t="s">
        <v>419</v>
      </c>
      <c r="E237" s="111" t="s">
        <v>825</v>
      </c>
      <c r="F237" s="83" t="s">
        <v>1788</v>
      </c>
      <c r="G237" s="111" t="s">
        <v>1785</v>
      </c>
      <c r="H237" s="111">
        <f>31</f>
        <v>31</v>
      </c>
      <c r="I237" s="111">
        <f>3*4+10*24+3*16+3*4+3*4+6*24+3*4</f>
        <v>480</v>
      </c>
      <c r="J237" s="111">
        <f>I237*3.5</f>
        <v>1680</v>
      </c>
      <c r="K237" s="111">
        <f>6*64+3*10+3*16+3*32+10*48+3*8+3*8</f>
        <v>1086</v>
      </c>
      <c r="L237" s="111">
        <f>60*31+25*100+6*750</f>
        <v>8860</v>
      </c>
      <c r="M237" s="111">
        <f>18200+1650</f>
        <v>19850</v>
      </c>
      <c r="N237" s="111"/>
      <c r="O237" s="111"/>
      <c r="P237" s="111"/>
      <c r="Q237" s="111"/>
      <c r="R237" s="168" t="s">
        <v>1783</v>
      </c>
      <c r="S237" s="111" t="s">
        <v>1720</v>
      </c>
      <c r="T237" s="81"/>
      <c r="U237" s="132"/>
    </row>
    <row r="238" spans="1:21" x14ac:dyDescent="0.2">
      <c r="A238" s="132">
        <v>234</v>
      </c>
      <c r="B238" s="20" t="s">
        <v>1424</v>
      </c>
      <c r="C238" s="9" t="s">
        <v>188</v>
      </c>
      <c r="D238" s="16" t="s">
        <v>1425</v>
      </c>
      <c r="E238" s="9" t="s">
        <v>437</v>
      </c>
      <c r="F238" s="165" t="s">
        <v>1789</v>
      </c>
      <c r="G238" s="111" t="s">
        <v>1785</v>
      </c>
      <c r="H238" s="111">
        <v>9</v>
      </c>
      <c r="I238" s="111">
        <v>226</v>
      </c>
      <c r="J238" s="111">
        <v>678</v>
      </c>
      <c r="K238" s="111">
        <v>285</v>
      </c>
      <c r="L238" s="111">
        <v>4815</v>
      </c>
      <c r="M238" s="111">
        <v>15400</v>
      </c>
      <c r="N238" s="111"/>
      <c r="O238" s="111"/>
      <c r="P238" s="111"/>
      <c r="Q238" s="111"/>
      <c r="R238" s="168" t="s">
        <v>1786</v>
      </c>
      <c r="S238" s="111" t="s">
        <v>1720</v>
      </c>
      <c r="T238" s="81" t="s">
        <v>1784</v>
      </c>
      <c r="U238" s="132"/>
    </row>
    <row r="239" spans="1:21" x14ac:dyDescent="0.2">
      <c r="A239" s="132">
        <v>235</v>
      </c>
      <c r="B239" s="81" t="s">
        <v>1429</v>
      </c>
      <c r="C239" s="74" t="s">
        <v>188</v>
      </c>
      <c r="D239" s="110" t="s">
        <v>70</v>
      </c>
      <c r="E239" s="111" t="s">
        <v>126</v>
      </c>
      <c r="F239" s="132"/>
      <c r="G239" s="111" t="s">
        <v>1785</v>
      </c>
      <c r="H239" s="111"/>
      <c r="I239" s="111">
        <v>1399</v>
      </c>
      <c r="J239" s="111">
        <f>1399*3</f>
        <v>4197</v>
      </c>
      <c r="K239" s="111">
        <v>3052</v>
      </c>
      <c r="L239" s="111">
        <f>204000+76500+2300+4300</f>
        <v>287100</v>
      </c>
      <c r="M239" s="111">
        <v>72000</v>
      </c>
      <c r="N239" s="111"/>
      <c r="O239" s="111"/>
      <c r="P239" s="111"/>
      <c r="Q239" s="111"/>
      <c r="R239" s="168" t="s">
        <v>1786</v>
      </c>
      <c r="S239" s="111" t="s">
        <v>1720</v>
      </c>
      <c r="T239" s="81"/>
      <c r="U239" s="132"/>
    </row>
    <row r="240" spans="1:21" x14ac:dyDescent="0.2">
      <c r="A240" s="132">
        <v>236</v>
      </c>
      <c r="B240" s="99" t="s">
        <v>1434</v>
      </c>
      <c r="C240" s="89" t="s">
        <v>188</v>
      </c>
      <c r="D240" s="100" t="s">
        <v>668</v>
      </c>
      <c r="E240" s="89" t="s">
        <v>44</v>
      </c>
      <c r="F240" s="171" t="s">
        <v>1435</v>
      </c>
      <c r="G240" s="159" t="s">
        <v>1785</v>
      </c>
      <c r="H240" s="159">
        <v>11</v>
      </c>
      <c r="I240" s="159">
        <v>60</v>
      </c>
      <c r="J240" s="159">
        <v>180</v>
      </c>
      <c r="K240" s="159">
        <v>412</v>
      </c>
      <c r="L240" s="159">
        <v>780</v>
      </c>
      <c r="M240" s="159">
        <v>2971</v>
      </c>
      <c r="N240" s="159"/>
      <c r="O240" s="159"/>
      <c r="P240" s="159"/>
      <c r="Q240" s="159"/>
      <c r="R240" s="172" t="s">
        <v>1786</v>
      </c>
      <c r="S240" s="159"/>
      <c r="T240" s="160" t="s">
        <v>1790</v>
      </c>
      <c r="U240" s="132"/>
    </row>
    <row r="241" spans="1:21" x14ac:dyDescent="0.2">
      <c r="A241" s="132">
        <v>237</v>
      </c>
      <c r="B241" s="81" t="s">
        <v>1791</v>
      </c>
      <c r="C241" s="74" t="s">
        <v>188</v>
      </c>
      <c r="D241" s="110" t="s">
        <v>1792</v>
      </c>
      <c r="E241" s="111" t="s">
        <v>825</v>
      </c>
      <c r="F241" s="132" t="s">
        <v>1450</v>
      </c>
      <c r="G241" s="111" t="s">
        <v>1785</v>
      </c>
      <c r="H241" s="111"/>
      <c r="I241" s="111"/>
      <c r="J241" s="111"/>
      <c r="K241" s="111"/>
      <c r="L241" s="111">
        <f>300+225*2</f>
        <v>750</v>
      </c>
      <c r="M241" s="111"/>
      <c r="N241" s="111"/>
      <c r="O241" s="111"/>
      <c r="P241" s="111"/>
      <c r="Q241" s="111"/>
      <c r="R241" s="111"/>
      <c r="S241" s="111"/>
      <c r="T241" s="81" t="s">
        <v>1793</v>
      </c>
    </row>
    <row r="242" spans="1:21" ht="25.5" x14ac:dyDescent="0.2">
      <c r="A242" s="173">
        <v>238</v>
      </c>
      <c r="B242" s="174" t="s">
        <v>1794</v>
      </c>
      <c r="C242" s="175" t="s">
        <v>1074</v>
      </c>
      <c r="D242" s="176" t="s">
        <v>1795</v>
      </c>
      <c r="E242" s="177" t="s">
        <v>825</v>
      </c>
      <c r="F242" s="178" t="s">
        <v>1444</v>
      </c>
      <c r="G242" s="177" t="s">
        <v>1796</v>
      </c>
      <c r="H242" s="177">
        <v>8</v>
      </c>
      <c r="I242" s="177">
        <v>79</v>
      </c>
      <c r="J242" s="177">
        <v>237</v>
      </c>
      <c r="K242" s="177">
        <v>158</v>
      </c>
      <c r="L242" s="177">
        <v>18911</v>
      </c>
      <c r="M242" s="177" t="s">
        <v>1797</v>
      </c>
      <c r="N242" s="177" t="s">
        <v>1797</v>
      </c>
      <c r="O242" s="177" t="s">
        <v>1797</v>
      </c>
      <c r="P242" s="177" t="s">
        <v>1797</v>
      </c>
      <c r="Q242" s="177" t="s">
        <v>1797</v>
      </c>
      <c r="R242" s="179" t="s">
        <v>1786</v>
      </c>
      <c r="S242" s="177" t="s">
        <v>1720</v>
      </c>
      <c r="T242" s="81"/>
    </row>
    <row r="243" spans="1:21" ht="15" x14ac:dyDescent="0.25">
      <c r="A243" s="132">
        <v>239</v>
      </c>
      <c r="B243" s="81" t="s">
        <v>1798</v>
      </c>
      <c r="C243" s="74" t="s">
        <v>188</v>
      </c>
      <c r="D243" s="110"/>
      <c r="E243" s="111"/>
      <c r="F243" s="132"/>
      <c r="G243" s="111" t="s">
        <v>820</v>
      </c>
      <c r="H243" s="111">
        <v>46</v>
      </c>
      <c r="I243" s="111">
        <v>1248</v>
      </c>
      <c r="J243" s="111">
        <f>I243*3</f>
        <v>3744</v>
      </c>
      <c r="K243" s="111">
        <v>2016</v>
      </c>
      <c r="L243" s="180">
        <v>33360</v>
      </c>
      <c r="M243" s="111"/>
      <c r="N243" s="111"/>
      <c r="O243" s="111"/>
      <c r="P243" s="111"/>
      <c r="Q243" s="111"/>
      <c r="R243" s="111"/>
      <c r="S243" s="111" t="s">
        <v>1720</v>
      </c>
      <c r="T243" s="81" t="s">
        <v>1799</v>
      </c>
      <c r="U243" s="132"/>
    </row>
    <row r="244" spans="1:21" x14ac:dyDescent="0.2">
      <c r="A244" s="132">
        <v>240</v>
      </c>
      <c r="B244" s="20" t="s">
        <v>1462</v>
      </c>
      <c r="C244" s="9" t="s">
        <v>1463</v>
      </c>
      <c r="D244" s="16" t="s">
        <v>437</v>
      </c>
      <c r="E244" s="9" t="s">
        <v>437</v>
      </c>
      <c r="F244" s="132"/>
      <c r="G244" s="111" t="s">
        <v>820</v>
      </c>
      <c r="H244" s="111">
        <v>1</v>
      </c>
      <c r="I244" s="111">
        <v>32</v>
      </c>
      <c r="J244" s="111">
        <v>96</v>
      </c>
      <c r="K244" s="111">
        <v>64</v>
      </c>
      <c r="L244" s="111">
        <v>4000</v>
      </c>
      <c r="M244" s="111"/>
      <c r="N244" s="111"/>
      <c r="O244" s="111"/>
      <c r="P244" s="111"/>
      <c r="Q244" s="111"/>
      <c r="R244" s="179" t="s">
        <v>1786</v>
      </c>
      <c r="S244" s="181" t="s">
        <v>1720</v>
      </c>
      <c r="T244" s="81"/>
      <c r="U244" s="132"/>
    </row>
    <row r="245" spans="1:21" ht="25.5" x14ac:dyDescent="0.2">
      <c r="A245" s="132">
        <v>241</v>
      </c>
      <c r="B245" s="20" t="s">
        <v>1453</v>
      </c>
      <c r="C245" s="9" t="s">
        <v>188</v>
      </c>
      <c r="D245" s="16" t="s">
        <v>1449</v>
      </c>
      <c r="E245" s="9" t="s">
        <v>126</v>
      </c>
      <c r="F245" s="132" t="s">
        <v>1454</v>
      </c>
      <c r="G245" s="111" t="s">
        <v>820</v>
      </c>
      <c r="H245" s="111"/>
      <c r="I245" s="111"/>
      <c r="J245" s="111"/>
      <c r="K245" s="111"/>
      <c r="L245" s="111"/>
      <c r="M245" s="111"/>
      <c r="N245" s="111"/>
      <c r="O245" s="111"/>
      <c r="P245" s="111"/>
      <c r="Q245" s="111"/>
      <c r="R245" s="111"/>
      <c r="S245" s="111"/>
      <c r="T245" s="81"/>
      <c r="U245" s="132"/>
    </row>
    <row r="246" spans="1:21" ht="15" x14ac:dyDescent="0.25">
      <c r="A246" s="132">
        <v>242</v>
      </c>
      <c r="B246" s="20" t="s">
        <v>1458</v>
      </c>
      <c r="C246" s="9" t="s">
        <v>236</v>
      </c>
      <c r="D246" s="16" t="s">
        <v>123</v>
      </c>
      <c r="E246" s="9" t="s">
        <v>126</v>
      </c>
      <c r="F246" s="132" t="s">
        <v>1800</v>
      </c>
      <c r="G246" s="111" t="s">
        <v>820</v>
      </c>
      <c r="H246" s="111">
        <v>9</v>
      </c>
      <c r="I246" s="180">
        <v>143</v>
      </c>
      <c r="J246" s="111">
        <f>143*3</f>
        <v>429</v>
      </c>
      <c r="K246" s="180">
        <v>317.2</v>
      </c>
      <c r="L246" s="180">
        <v>7684</v>
      </c>
      <c r="M246" s="111"/>
      <c r="N246" s="111"/>
      <c r="O246" s="111"/>
      <c r="P246" s="111"/>
      <c r="Q246" s="111"/>
      <c r="R246" s="179" t="s">
        <v>1786</v>
      </c>
      <c r="S246" s="181" t="s">
        <v>1720</v>
      </c>
      <c r="T246" s="81" t="s">
        <v>1801</v>
      </c>
      <c r="U246" s="132"/>
    </row>
    <row r="247" spans="1:21" x14ac:dyDescent="0.2">
      <c r="A247" s="132">
        <v>243</v>
      </c>
      <c r="B247" s="81" t="s">
        <v>1465</v>
      </c>
      <c r="C247" s="9" t="s">
        <v>188</v>
      </c>
      <c r="D247" s="16" t="s">
        <v>668</v>
      </c>
      <c r="E247" s="9" t="s">
        <v>44</v>
      </c>
      <c r="F247" s="165" t="s">
        <v>1466</v>
      </c>
      <c r="G247" s="111" t="s">
        <v>820</v>
      </c>
      <c r="H247" s="111">
        <v>6</v>
      </c>
      <c r="I247" s="111">
        <v>40</v>
      </c>
      <c r="J247" s="111">
        <v>120</v>
      </c>
      <c r="K247" s="111">
        <v>372</v>
      </c>
      <c r="L247" s="111">
        <v>360</v>
      </c>
      <c r="M247" s="111"/>
      <c r="N247" s="111"/>
      <c r="O247" s="111"/>
      <c r="P247" s="111"/>
      <c r="Q247" s="111"/>
      <c r="R247" s="179" t="s">
        <v>1786</v>
      </c>
      <c r="S247" s="181" t="s">
        <v>1720</v>
      </c>
      <c r="T247" s="81" t="s">
        <v>1802</v>
      </c>
      <c r="U247" s="132"/>
    </row>
    <row r="248" spans="1:21" ht="15.75" x14ac:dyDescent="0.25">
      <c r="A248" s="132">
        <v>244</v>
      </c>
      <c r="B248" s="182" t="s">
        <v>1469</v>
      </c>
      <c r="C248" s="9" t="s">
        <v>188</v>
      </c>
      <c r="D248" s="16" t="s">
        <v>668</v>
      </c>
      <c r="E248" s="9" t="s">
        <v>44</v>
      </c>
      <c r="F248" s="132" t="s">
        <v>1803</v>
      </c>
      <c r="G248" s="111" t="s">
        <v>820</v>
      </c>
      <c r="H248" s="111">
        <v>8</v>
      </c>
      <c r="I248" s="111">
        <v>92</v>
      </c>
      <c r="J248" s="111">
        <v>276</v>
      </c>
      <c r="K248" s="111">
        <v>232</v>
      </c>
      <c r="L248" s="111">
        <v>1035</v>
      </c>
      <c r="M248" s="111">
        <v>2971</v>
      </c>
      <c r="N248" s="111"/>
      <c r="O248" s="111"/>
      <c r="P248" s="111"/>
      <c r="Q248" s="111"/>
      <c r="R248" s="179" t="s">
        <v>1786</v>
      </c>
      <c r="S248" s="181" t="s">
        <v>1720</v>
      </c>
      <c r="T248" s="81" t="s">
        <v>1804</v>
      </c>
      <c r="U248" s="132"/>
    </row>
    <row r="249" spans="1:21" x14ac:dyDescent="0.2">
      <c r="A249" s="132">
        <v>245</v>
      </c>
      <c r="B249" s="20" t="s">
        <v>1472</v>
      </c>
      <c r="C249" s="9" t="s">
        <v>203</v>
      </c>
      <c r="D249" s="16" t="s">
        <v>1093</v>
      </c>
      <c r="E249" s="9" t="s">
        <v>437</v>
      </c>
      <c r="F249" s="132"/>
      <c r="G249" s="111" t="s">
        <v>820</v>
      </c>
      <c r="H249" s="111">
        <v>-9</v>
      </c>
      <c r="I249" s="111">
        <v>-72</v>
      </c>
      <c r="J249" s="111">
        <v>-216</v>
      </c>
      <c r="K249" s="111">
        <v>-144</v>
      </c>
      <c r="L249" s="111">
        <v>-1980</v>
      </c>
      <c r="M249" s="111"/>
      <c r="N249" s="111"/>
      <c r="O249" s="111"/>
      <c r="P249" s="111"/>
      <c r="Q249" s="111"/>
      <c r="R249" s="111"/>
      <c r="S249" s="181" t="s">
        <v>1720</v>
      </c>
      <c r="T249" s="81"/>
      <c r="U249" s="132"/>
    </row>
    <row r="250" spans="1:21" ht="15" x14ac:dyDescent="0.25">
      <c r="A250" s="132"/>
      <c r="B250" s="183" t="s">
        <v>1477</v>
      </c>
      <c r="C250" s="74" t="s">
        <v>203</v>
      </c>
      <c r="D250" s="110" t="s">
        <v>160</v>
      </c>
      <c r="E250" s="111" t="s">
        <v>214</v>
      </c>
      <c r="F250" s="132" t="s">
        <v>1478</v>
      </c>
      <c r="G250" s="111" t="s">
        <v>820</v>
      </c>
      <c r="H250" s="111">
        <v>5</v>
      </c>
      <c r="I250" s="111">
        <v>79</v>
      </c>
      <c r="J250" s="111">
        <v>235</v>
      </c>
      <c r="K250" s="111">
        <v>260</v>
      </c>
      <c r="L250" s="111">
        <v>1300</v>
      </c>
      <c r="M250" s="111"/>
      <c r="N250" s="111"/>
      <c r="O250" s="111"/>
      <c r="P250" s="111"/>
      <c r="Q250" s="111"/>
      <c r="R250" s="111"/>
      <c r="S250" s="181" t="s">
        <v>1720</v>
      </c>
      <c r="T250" s="81"/>
      <c r="U250" s="132"/>
    </row>
    <row r="251" spans="1:21" x14ac:dyDescent="0.2">
      <c r="A251" s="132"/>
      <c r="B251" s="81"/>
      <c r="C251" s="74"/>
      <c r="D251" s="110"/>
      <c r="E251" s="111"/>
      <c r="F251" s="132"/>
      <c r="G251" s="111"/>
      <c r="H251" s="111"/>
      <c r="I251" s="111"/>
      <c r="J251" s="111"/>
      <c r="K251" s="111"/>
      <c r="L251" s="111"/>
      <c r="M251" s="111"/>
      <c r="N251" s="111"/>
      <c r="O251" s="111"/>
      <c r="P251" s="111"/>
      <c r="Q251" s="111"/>
      <c r="R251" s="111"/>
      <c r="S251" s="111"/>
      <c r="T251" s="81"/>
      <c r="U251" s="132"/>
    </row>
    <row r="252" spans="1:21" x14ac:dyDescent="0.2">
      <c r="A252" s="132"/>
      <c r="B252" s="81"/>
      <c r="C252" s="74"/>
      <c r="D252" s="110"/>
      <c r="E252" s="111"/>
      <c r="F252" s="132"/>
      <c r="G252" s="111"/>
      <c r="H252" s="111"/>
      <c r="I252" s="111"/>
      <c r="J252" s="111"/>
      <c r="K252" s="111"/>
      <c r="L252" s="111"/>
      <c r="M252" s="111"/>
      <c r="N252" s="111"/>
      <c r="O252" s="111"/>
      <c r="P252" s="111"/>
      <c r="Q252" s="111"/>
      <c r="R252" s="111"/>
      <c r="S252" s="111"/>
      <c r="T252" s="81"/>
      <c r="U252" s="132"/>
    </row>
    <row r="253" spans="1:21" x14ac:dyDescent="0.2">
      <c r="A253" s="132"/>
      <c r="B253" s="81"/>
      <c r="C253" s="74"/>
      <c r="D253" s="110"/>
      <c r="E253" s="111"/>
      <c r="F253" s="132"/>
      <c r="G253" s="111"/>
      <c r="H253" s="111"/>
      <c r="I253" s="111"/>
      <c r="J253" s="111"/>
      <c r="K253" s="111"/>
      <c r="L253" s="111"/>
      <c r="M253" s="111"/>
      <c r="N253" s="111"/>
      <c r="O253" s="111"/>
      <c r="P253" s="111"/>
      <c r="Q253" s="111"/>
      <c r="R253" s="111"/>
      <c r="S253" s="111"/>
      <c r="T253" s="81"/>
      <c r="U253" s="132"/>
    </row>
    <row r="254" spans="1:21" x14ac:dyDescent="0.2">
      <c r="A254" s="132"/>
      <c r="B254" s="81"/>
      <c r="C254" s="74"/>
      <c r="D254" s="110"/>
      <c r="E254" s="111"/>
      <c r="F254" s="132"/>
      <c r="G254" s="111"/>
      <c r="H254" s="111"/>
      <c r="I254" s="111"/>
      <c r="J254" s="111"/>
      <c r="K254" s="111"/>
      <c r="L254" s="111"/>
      <c r="M254" s="111"/>
      <c r="N254" s="111"/>
      <c r="O254" s="111"/>
      <c r="P254" s="111"/>
      <c r="Q254" s="111"/>
      <c r="R254" s="111"/>
      <c r="S254" s="111"/>
      <c r="T254" s="81"/>
      <c r="U254" s="132"/>
    </row>
    <row r="255" spans="1:21" ht="15" x14ac:dyDescent="0.25">
      <c r="A255" s="132"/>
      <c r="B255" s="81"/>
      <c r="C255" s="74"/>
      <c r="D255" s="110"/>
      <c r="E255" s="111"/>
      <c r="F255" s="132"/>
      <c r="G255" s="111"/>
      <c r="H255" s="111"/>
      <c r="I255" s="184"/>
      <c r="J255" s="111"/>
      <c r="K255" s="111"/>
      <c r="L255" s="111"/>
      <c r="M255" s="111"/>
      <c r="N255" s="111"/>
      <c r="O255" s="111"/>
      <c r="P255" s="111"/>
      <c r="Q255" s="111"/>
      <c r="R255" s="111"/>
      <c r="S255" s="111"/>
      <c r="T255" s="81"/>
      <c r="U255" s="132"/>
    </row>
    <row r="256" spans="1:21" ht="15" x14ac:dyDescent="0.25">
      <c r="A256" s="132"/>
      <c r="B256" s="81"/>
      <c r="C256" s="74"/>
      <c r="D256" s="110"/>
      <c r="E256" s="111"/>
      <c r="F256" s="132"/>
      <c r="G256" s="111"/>
      <c r="H256" s="111"/>
      <c r="I256" s="184"/>
      <c r="J256" s="111"/>
      <c r="K256" s="111"/>
      <c r="L256" s="111"/>
      <c r="M256" s="111"/>
      <c r="N256" s="111"/>
      <c r="O256" s="111"/>
      <c r="P256" s="111"/>
      <c r="Q256" s="111"/>
      <c r="R256" s="111"/>
      <c r="S256" s="111"/>
      <c r="T256" s="81"/>
      <c r="U256" s="132"/>
    </row>
    <row r="257" spans="2:20" x14ac:dyDescent="0.2">
      <c r="T257" s="185"/>
    </row>
    <row r="258" spans="2:20" x14ac:dyDescent="0.2">
      <c r="G258" s="455" t="s">
        <v>1495</v>
      </c>
      <c r="H258" s="455"/>
      <c r="I258" s="123" t="s">
        <v>1485</v>
      </c>
      <c r="J258" s="123" t="s">
        <v>1486</v>
      </c>
      <c r="K258" s="123" t="s">
        <v>1805</v>
      </c>
      <c r="L258" s="123" t="s">
        <v>1806</v>
      </c>
      <c r="M258" s="123" t="s">
        <v>1807</v>
      </c>
      <c r="N258" s="123" t="s">
        <v>1808</v>
      </c>
      <c r="O258" s="123" t="s">
        <v>1809</v>
      </c>
      <c r="P258" s="123" t="s">
        <v>1810</v>
      </c>
      <c r="Q258" s="123" t="s">
        <v>1811</v>
      </c>
      <c r="T258" s="185"/>
    </row>
    <row r="259" spans="2:20" x14ac:dyDescent="0.2">
      <c r="G259" s="456" t="s">
        <v>1812</v>
      </c>
      <c r="H259" s="456"/>
      <c r="I259" s="186">
        <f>SUMIF($S$2:$S$231,"=ceph2020",I2:I231)</f>
        <v>418</v>
      </c>
      <c r="J259" s="186">
        <f ca="1">SUMIF($S$2:$S$231,"=ceph2020",J14:J231)</f>
        <v>-78</v>
      </c>
      <c r="K259" s="186">
        <f>SUMIF($S$2:$S$231,"=ceph2020",K2:K231)</f>
        <v>680</v>
      </c>
      <c r="L259" s="186">
        <f>SUMIF($S$2:$S$231,"=ceph2020",L2:L231)</f>
        <v>0</v>
      </c>
      <c r="M259" s="186">
        <f>SUMIF($S$2:$S$231,"=ceph2020",M2:M231)</f>
        <v>0</v>
      </c>
      <c r="N259" s="186">
        <f>SUMIF($S$2:$S$231,"=ceph2020",N2:N231)</f>
        <v>23140</v>
      </c>
      <c r="O259" s="186"/>
      <c r="P259" s="186"/>
      <c r="Q259" s="111"/>
      <c r="T259" s="185"/>
    </row>
    <row r="260" spans="2:20" x14ac:dyDescent="0.2">
      <c r="G260" s="456" t="s">
        <v>1813</v>
      </c>
      <c r="H260" s="456"/>
      <c r="I260" s="186">
        <f t="shared" ref="I260:N260" si="5">SUMIF($S$2:$S$231,"=san2020",I2:I231)</f>
        <v>820</v>
      </c>
      <c r="J260" s="186">
        <f t="shared" si="5"/>
        <v>2532</v>
      </c>
      <c r="K260" s="186">
        <f t="shared" si="5"/>
        <v>5776</v>
      </c>
      <c r="L260" s="186">
        <f t="shared" si="5"/>
        <v>46618</v>
      </c>
      <c r="M260" s="186">
        <f t="shared" si="5"/>
        <v>0</v>
      </c>
      <c r="N260" s="186">
        <f t="shared" si="5"/>
        <v>0</v>
      </c>
      <c r="O260" s="186"/>
      <c r="P260" s="186"/>
      <c r="Q260" s="111"/>
    </row>
    <row r="261" spans="2:20" x14ac:dyDescent="0.2">
      <c r="F261" s="117" t="s">
        <v>1814</v>
      </c>
      <c r="G261" s="457" t="s">
        <v>1815</v>
      </c>
      <c r="H261" s="457"/>
      <c r="I261" s="187">
        <f>SUMIF($S$2:$S$256,"=ceph2021",I2:I256)</f>
        <v>0</v>
      </c>
      <c r="J261" s="187">
        <f t="shared" ref="J261:Q261" si="6">SUMIF($S$2:$S$231,"=ceph2021",J2:J231)</f>
        <v>0</v>
      </c>
      <c r="K261" s="187">
        <f t="shared" si="6"/>
        <v>0</v>
      </c>
      <c r="L261" s="187">
        <f t="shared" si="6"/>
        <v>0</v>
      </c>
      <c r="M261" s="187">
        <f t="shared" si="6"/>
        <v>0</v>
      </c>
      <c r="N261" s="187">
        <f t="shared" si="6"/>
        <v>10834</v>
      </c>
      <c r="O261" s="187">
        <f t="shared" si="6"/>
        <v>0</v>
      </c>
      <c r="P261" s="187">
        <f t="shared" si="6"/>
        <v>0</v>
      </c>
      <c r="Q261" s="159">
        <f t="shared" si="6"/>
        <v>0</v>
      </c>
    </row>
    <row r="262" spans="2:20" x14ac:dyDescent="0.2">
      <c r="F262" s="117" t="s">
        <v>1814</v>
      </c>
      <c r="G262" s="457" t="s">
        <v>1816</v>
      </c>
      <c r="H262" s="457"/>
      <c r="I262" s="187">
        <f t="shared" ref="I262:Q262" si="7">SUMIF($S$2:$S$231,"=san2021",I2:I231)</f>
        <v>10330.129999999999</v>
      </c>
      <c r="J262" s="187">
        <f t="shared" si="7"/>
        <v>31133.39</v>
      </c>
      <c r="K262" s="187">
        <f t="shared" si="7"/>
        <v>32254</v>
      </c>
      <c r="L262" s="187">
        <f t="shared" si="7"/>
        <v>1031612</v>
      </c>
      <c r="M262" s="187">
        <f t="shared" si="7"/>
        <v>144340</v>
      </c>
      <c r="N262" s="187">
        <f t="shared" si="7"/>
        <v>4100</v>
      </c>
      <c r="O262" s="187">
        <f t="shared" si="7"/>
        <v>0</v>
      </c>
      <c r="P262" s="187">
        <f t="shared" si="7"/>
        <v>0</v>
      </c>
      <c r="Q262" s="159">
        <f t="shared" si="7"/>
        <v>0</v>
      </c>
    </row>
    <row r="263" spans="2:20" x14ac:dyDescent="0.2">
      <c r="F263" s="117" t="s">
        <v>1814</v>
      </c>
      <c r="G263" s="456" t="s">
        <v>1817</v>
      </c>
      <c r="H263" s="456"/>
      <c r="I263" s="186">
        <f>SUMIF($S$2:$S$256,"=ceph2022",I2:I256)</f>
        <v>0</v>
      </c>
      <c r="J263" s="186">
        <f>SUMIF($S$2:$S$231,"=ceph2022",J2:J231)</f>
        <v>0</v>
      </c>
      <c r="K263" s="186">
        <f>SUMIF($S$2:$S$231,"=ceph2022",K2:K231)</f>
        <v>0</v>
      </c>
      <c r="L263" s="186">
        <f>SUMIF($S$2:$S$231,"=ceph2022",L2:L231)</f>
        <v>0</v>
      </c>
      <c r="M263" s="186">
        <f>SUMIF($S$2:$S$231,"=ceph2022",M2:M231)</f>
        <v>0</v>
      </c>
      <c r="N263" s="186">
        <f>SUMIF($S$2:$S$231,"=ceph2022",N2:N231)</f>
        <v>0</v>
      </c>
      <c r="O263" s="186"/>
      <c r="P263" s="186"/>
      <c r="Q263" s="111"/>
    </row>
    <row r="264" spans="2:20" x14ac:dyDescent="0.2">
      <c r="F264" s="117" t="s">
        <v>1814</v>
      </c>
      <c r="G264" s="456" t="s">
        <v>1818</v>
      </c>
      <c r="H264" s="456"/>
      <c r="I264" s="186">
        <f>SUMIF($S$2:$S$256,"=san2022",I2:I256)</f>
        <v>13974</v>
      </c>
      <c r="J264" s="186">
        <f>SUMIF($S$2:$S$256,"=san2022",J2:J256)</f>
        <v>42344</v>
      </c>
      <c r="K264" s="186">
        <f>SUMIF($S$2:$S$256,"=san2022",K2:K256)</f>
        <v>31456.2</v>
      </c>
      <c r="L264" s="186">
        <f>SUMIF($S$2:$S$256,"=san2022",L2:L256)</f>
        <v>1150242</v>
      </c>
      <c r="M264" s="186">
        <f>SUMIF($S$2:$S$256,"=san2022",M2:M256)</f>
        <v>238396</v>
      </c>
      <c r="N264" s="186">
        <f>SUMIF($S$2:$S$231,"=san2022",N2:N231)</f>
        <v>0</v>
      </c>
      <c r="O264" s="186"/>
      <c r="P264" s="186"/>
      <c r="Q264" s="159">
        <f>SUMIF($S$2:$S$256,"=san2022",Q2:Q256)</f>
        <v>20490</v>
      </c>
    </row>
    <row r="265" spans="2:20" x14ac:dyDescent="0.2">
      <c r="G265" s="458" t="s">
        <v>1819</v>
      </c>
      <c r="H265" s="458"/>
      <c r="I265" s="187">
        <f t="shared" ref="I265:N265" si="8">SUMIF($S$2:$S$256,"pc2021",I2:I256)</f>
        <v>4490</v>
      </c>
      <c r="J265" s="187">
        <f t="shared" si="8"/>
        <v>13424</v>
      </c>
      <c r="K265" s="187">
        <f t="shared" si="8"/>
        <v>7829</v>
      </c>
      <c r="L265" s="187">
        <f t="shared" si="8"/>
        <v>287409</v>
      </c>
      <c r="M265" s="187">
        <f t="shared" si="8"/>
        <v>105300</v>
      </c>
      <c r="N265" s="187">
        <f t="shared" si="8"/>
        <v>0</v>
      </c>
      <c r="O265" s="187"/>
      <c r="P265" s="187"/>
      <c r="Q265" s="111"/>
    </row>
    <row r="266" spans="2:20" x14ac:dyDescent="0.2">
      <c r="G266" s="458" t="s">
        <v>1820</v>
      </c>
      <c r="H266" s="458"/>
      <c r="I266" s="187">
        <f>SUMIF($S$2:$S$256,"pc2023",$I$2:$I$256)</f>
        <v>4979</v>
      </c>
      <c r="J266" s="187">
        <f>SUMIF($S$2:$S$256,"pc2023",$J$2:$J$256)</f>
        <v>13916</v>
      </c>
      <c r="K266" s="187">
        <f ca="1">SUMIF($S$2:$S$256,"pc2023",$K$6:$K$256)</f>
        <v>12363</v>
      </c>
      <c r="L266" s="187">
        <f>SUMIF($S$2:$S$256,"pc2023",$L$2:$L$256)</f>
        <v>305419</v>
      </c>
      <c r="M266" s="187">
        <f>SUMIF($S$2:$S$256,"pc2023",$M$2:$M$256)</f>
        <v>18477</v>
      </c>
      <c r="N266" s="187">
        <f>SUMIF($S$2:$S$231,"pc2023",$N$2:$N$231)</f>
        <v>0</v>
      </c>
      <c r="O266" s="187"/>
      <c r="P266" s="187"/>
      <c r="Q266" s="111"/>
    </row>
    <row r="267" spans="2:20" x14ac:dyDescent="0.2">
      <c r="B267" s="118">
        <f>24*(8+16+9+1+1)+23*4+23*4+22*15+3*15</f>
        <v>1399</v>
      </c>
      <c r="G267" s="458" t="s">
        <v>1821</v>
      </c>
      <c r="H267" s="458"/>
      <c r="I267" s="187">
        <f>SUMIF($S$2:$S$231,"big2022",$I$2:$I$231)</f>
        <v>0</v>
      </c>
      <c r="J267" s="187">
        <f>SUMIF($S$2:$S$231,"big2022",$J$2:$J$231)</f>
        <v>0</v>
      </c>
      <c r="K267" s="187">
        <f>SUMIF($S$2:$S$231,"big2022",$K$2:$K$231)</f>
        <v>0</v>
      </c>
      <c r="L267" s="187">
        <f>SUMIF($S$2:$S$231,"big2022",$L$2:$L$231)</f>
        <v>0</v>
      </c>
      <c r="M267" s="187">
        <f>SUMIF($S$2:$S$231,"big2022",$M$2:$M$231)</f>
        <v>0</v>
      </c>
      <c r="N267" s="187">
        <f>SUMIF($S$2:$S$231,"big2022",$N$2:$N$231)</f>
        <v>0</v>
      </c>
      <c r="O267" s="187">
        <f>SUMIF($S$2:$S$231,"big2022",$O$2:$O$231)</f>
        <v>0</v>
      </c>
      <c r="P267" s="187">
        <f>SUMIF($S$2:$S$231,"big2022",$P$2:$P$231)</f>
        <v>0</v>
      </c>
      <c r="Q267" s="159"/>
    </row>
    <row r="268" spans="2:20" x14ac:dyDescent="0.2">
      <c r="B268" s="118">
        <f>(8+16)*64+9*92+1*92+1*37+23*4+23*4+22*15+3*15</f>
        <v>3052</v>
      </c>
    </row>
    <row r="269" spans="2:20" x14ac:dyDescent="0.2">
      <c r="B269" s="118">
        <v>9</v>
      </c>
    </row>
  </sheetData>
  <autoFilter ref="A1:U228"/>
  <mergeCells count="10">
    <mergeCell ref="G263:H263"/>
    <mergeCell ref="G264:H264"/>
    <mergeCell ref="G265:H265"/>
    <mergeCell ref="G266:H266"/>
    <mergeCell ref="G267:H267"/>
    <mergeCell ref="G258:H258"/>
    <mergeCell ref="G259:H259"/>
    <mergeCell ref="G260:H260"/>
    <mergeCell ref="G261:H261"/>
    <mergeCell ref="G262:H262"/>
  </mergeCells>
  <printOptions gridLines="1" gridLinesSet="0"/>
  <pageMargins left="0.7" right="0.7" top="0.75" bottom="0.75"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workbookViewId="0">
      <selection activeCell="B36" sqref="B36"/>
    </sheetView>
  </sheetViews>
  <sheetFormatPr defaultColWidth="9" defaultRowHeight="15" x14ac:dyDescent="0.25"/>
  <cols>
    <col min="1" max="1" width="21.7109375" style="188" customWidth="1"/>
    <col min="2" max="2" width="19.140625" style="188" customWidth="1"/>
    <col min="3" max="3" width="15.140625" style="188" customWidth="1"/>
    <col min="4" max="4" width="14" style="188" customWidth="1"/>
    <col min="5" max="5" width="14.7109375" style="188" customWidth="1"/>
    <col min="6" max="6" width="10.7109375" style="188" customWidth="1"/>
    <col min="7" max="7" width="12.7109375" style="188" customWidth="1"/>
    <col min="8" max="8" width="12.5703125" style="188" customWidth="1"/>
    <col min="9" max="9" width="15.28515625" style="188" customWidth="1"/>
    <col min="10" max="10" width="12.5703125" style="188" customWidth="1"/>
    <col min="11" max="11" width="18.42578125" style="188" customWidth="1"/>
    <col min="12" max="12" width="10.85546875" style="188" customWidth="1"/>
    <col min="13" max="13" width="12.42578125" style="188" customWidth="1"/>
    <col min="14" max="14" width="11.28515625" style="188" customWidth="1"/>
    <col min="15" max="15" width="10.85546875" style="188" customWidth="1"/>
    <col min="16" max="16384" width="9" style="188"/>
  </cols>
  <sheetData>
    <row r="1" spans="1:11" ht="18.75" x14ac:dyDescent="0.3">
      <c r="A1" s="459" t="s">
        <v>1822</v>
      </c>
      <c r="B1" s="460"/>
      <c r="C1" s="460"/>
      <c r="D1" s="460"/>
      <c r="E1" s="460"/>
      <c r="F1" s="460"/>
      <c r="G1" s="460"/>
      <c r="H1" s="460"/>
      <c r="I1" s="460"/>
      <c r="J1" s="460"/>
      <c r="K1" s="461"/>
    </row>
    <row r="2" spans="1:11" x14ac:dyDescent="0.25">
      <c r="A2" s="463"/>
      <c r="B2" s="462" t="s">
        <v>1823</v>
      </c>
      <c r="C2" s="462"/>
      <c r="D2" s="462"/>
      <c r="E2" s="462"/>
      <c r="F2" s="462"/>
      <c r="G2" s="462"/>
      <c r="H2" s="462"/>
      <c r="I2" s="189"/>
      <c r="J2" s="189"/>
      <c r="K2" s="464" t="s">
        <v>13</v>
      </c>
    </row>
    <row r="3" spans="1:11" x14ac:dyDescent="0.25">
      <c r="A3" s="463"/>
      <c r="B3" s="465" t="s">
        <v>1485</v>
      </c>
      <c r="C3" s="465"/>
      <c r="D3" s="465" t="s">
        <v>1824</v>
      </c>
      <c r="E3" s="465"/>
      <c r="F3" s="466" t="s">
        <v>1825</v>
      </c>
      <c r="G3" s="466" t="s">
        <v>1826</v>
      </c>
      <c r="H3" s="466" t="s">
        <v>1827</v>
      </c>
      <c r="I3" s="467"/>
      <c r="J3" s="467"/>
      <c r="K3" s="464"/>
    </row>
    <row r="4" spans="1:11" x14ac:dyDescent="0.25">
      <c r="A4" s="463"/>
      <c r="B4" s="190" t="s">
        <v>1828</v>
      </c>
      <c r="C4" s="190" t="s">
        <v>1829</v>
      </c>
      <c r="D4" s="190" t="s">
        <v>1828</v>
      </c>
      <c r="E4" s="190" t="s">
        <v>1829</v>
      </c>
      <c r="F4" s="465"/>
      <c r="G4" s="465"/>
      <c r="H4" s="465"/>
      <c r="I4" s="466"/>
      <c r="J4" s="466"/>
      <c r="K4" s="464"/>
    </row>
    <row r="5" spans="1:11" x14ac:dyDescent="0.25">
      <c r="A5" s="191" t="s">
        <v>1830</v>
      </c>
      <c r="B5" s="192">
        <v>5383.8</v>
      </c>
      <c r="C5" s="192">
        <v>-4064.5714285714298</v>
      </c>
      <c r="D5" s="192">
        <v>8815</v>
      </c>
      <c r="E5" s="192">
        <v>4065</v>
      </c>
      <c r="F5" s="192">
        <v>-40790</v>
      </c>
      <c r="G5" s="192">
        <v>10332</v>
      </c>
      <c r="H5" s="192">
        <v>-33800</v>
      </c>
      <c r="I5" s="192"/>
      <c r="J5" s="192"/>
      <c r="K5" s="193"/>
    </row>
    <row r="6" spans="1:11" x14ac:dyDescent="0.25">
      <c r="A6" s="194" t="s">
        <v>1831</v>
      </c>
      <c r="B6" s="193">
        <v>1470</v>
      </c>
      <c r="C6" s="193">
        <v>1984.57142857143</v>
      </c>
      <c r="D6" s="193">
        <v>4.4530000000000003</v>
      </c>
      <c r="E6" s="193">
        <v>5204</v>
      </c>
      <c r="F6" s="193">
        <v>84910</v>
      </c>
      <c r="G6" s="193">
        <v>131925</v>
      </c>
      <c r="H6" s="193">
        <v>8000</v>
      </c>
      <c r="I6" s="193"/>
      <c r="J6" s="193"/>
      <c r="K6" s="195"/>
    </row>
    <row r="7" spans="1:11" x14ac:dyDescent="0.25">
      <c r="A7" s="194" t="s">
        <v>1832</v>
      </c>
      <c r="B7" s="193">
        <v>831</v>
      </c>
      <c r="C7" s="193">
        <v>808.57142857142901</v>
      </c>
      <c r="D7" s="193">
        <v>3459</v>
      </c>
      <c r="E7" s="193">
        <v>2546</v>
      </c>
      <c r="F7" s="193">
        <v>19400</v>
      </c>
      <c r="G7" s="193">
        <v>100291</v>
      </c>
      <c r="H7" s="193">
        <v>4000</v>
      </c>
      <c r="I7" s="193"/>
      <c r="J7" s="193"/>
      <c r="K7" s="195"/>
    </row>
    <row r="8" spans="1:11" x14ac:dyDescent="0.25">
      <c r="A8" s="191" t="s">
        <v>1833</v>
      </c>
      <c r="B8" s="196">
        <v>6022.8</v>
      </c>
      <c r="C8" s="196">
        <v>-2888.5714285714298</v>
      </c>
      <c r="D8" s="196">
        <v>5360.4530000000004</v>
      </c>
      <c r="E8" s="196">
        <v>6723</v>
      </c>
      <c r="F8" s="196">
        <v>24720</v>
      </c>
      <c r="G8" s="196">
        <v>41966</v>
      </c>
      <c r="H8" s="196">
        <v>-29800</v>
      </c>
      <c r="I8" s="196"/>
      <c r="J8" s="196"/>
      <c r="K8" s="195"/>
    </row>
    <row r="9" spans="1:11" x14ac:dyDescent="0.25">
      <c r="A9" s="191" t="s">
        <v>1834</v>
      </c>
      <c r="B9" s="196">
        <f>'Chi tiết'!$I$259</f>
        <v>418</v>
      </c>
      <c r="C9" s="196">
        <f>'Chi tiết'!$I$260</f>
        <v>820</v>
      </c>
      <c r="D9" s="196">
        <f>'Chi tiết'!$K$259</f>
        <v>680</v>
      </c>
      <c r="E9" s="196">
        <f>'Chi tiết'!$K$260</f>
        <v>5776</v>
      </c>
      <c r="F9" s="196">
        <f>'Chi tiết'!N259</f>
        <v>23140</v>
      </c>
      <c r="G9" s="196">
        <f>'Chi tiết'!$L$260</f>
        <v>46618</v>
      </c>
      <c r="H9" s="196"/>
      <c r="I9" s="196"/>
      <c r="J9" s="196"/>
      <c r="K9" s="197"/>
    </row>
    <row r="10" spans="1:11" x14ac:dyDescent="0.25">
      <c r="A10" s="198" t="s">
        <v>1835</v>
      </c>
      <c r="B10" s="199">
        <f t="shared" ref="B10:H10" si="0">B8-B9</f>
        <v>5604.8</v>
      </c>
      <c r="C10" s="199">
        <f t="shared" si="0"/>
        <v>-3708.5714285714298</v>
      </c>
      <c r="D10" s="199">
        <f t="shared" si="0"/>
        <v>4680.4530000000004</v>
      </c>
      <c r="E10" s="199">
        <f t="shared" si="0"/>
        <v>947</v>
      </c>
      <c r="F10" s="199">
        <f t="shared" si="0"/>
        <v>1580</v>
      </c>
      <c r="G10" s="199">
        <f t="shared" si="0"/>
        <v>-4652</v>
      </c>
      <c r="H10" s="199">
        <f t="shared" si="0"/>
        <v>-29800</v>
      </c>
      <c r="I10" s="199"/>
      <c r="J10" s="199"/>
      <c r="K10" s="200"/>
    </row>
    <row r="11" spans="1:11" ht="19.5" customHeight="1" x14ac:dyDescent="0.3">
      <c r="A11" s="468" t="s">
        <v>1497</v>
      </c>
      <c r="B11" s="469"/>
      <c r="C11" s="469"/>
      <c r="D11" s="469"/>
      <c r="E11" s="469"/>
      <c r="F11" s="469"/>
      <c r="G11" s="469"/>
      <c r="H11" s="469"/>
      <c r="I11" s="469"/>
      <c r="J11" s="469"/>
      <c r="K11" s="470"/>
    </row>
    <row r="12" spans="1:11" x14ac:dyDescent="0.25">
      <c r="A12" s="472"/>
      <c r="B12" s="471" t="s">
        <v>1823</v>
      </c>
      <c r="C12" s="471"/>
      <c r="D12" s="471"/>
      <c r="E12" s="471"/>
      <c r="F12" s="471"/>
      <c r="G12" s="471"/>
      <c r="H12" s="471"/>
      <c r="I12" s="201"/>
      <c r="J12" s="201"/>
      <c r="K12" s="464" t="s">
        <v>13</v>
      </c>
    </row>
    <row r="13" spans="1:11" x14ac:dyDescent="0.25">
      <c r="A13" s="472"/>
      <c r="B13" s="473" t="s">
        <v>1485</v>
      </c>
      <c r="C13" s="473"/>
      <c r="D13" s="473" t="s">
        <v>1836</v>
      </c>
      <c r="E13" s="473"/>
      <c r="F13" s="474" t="s">
        <v>1825</v>
      </c>
      <c r="G13" s="474" t="s">
        <v>1826</v>
      </c>
      <c r="H13" s="474" t="s">
        <v>1827</v>
      </c>
      <c r="I13" s="475" t="s">
        <v>1837</v>
      </c>
      <c r="J13" s="475"/>
      <c r="K13" s="464"/>
    </row>
    <row r="14" spans="1:11" ht="32.25" customHeight="1" x14ac:dyDescent="0.25">
      <c r="A14" s="472"/>
      <c r="B14" s="202" t="s">
        <v>1828</v>
      </c>
      <c r="C14" s="202" t="s">
        <v>1829</v>
      </c>
      <c r="D14" s="202" t="s">
        <v>1828</v>
      </c>
      <c r="E14" s="202" t="s">
        <v>1829</v>
      </c>
      <c r="F14" s="473"/>
      <c r="G14" s="473"/>
      <c r="H14" s="473"/>
      <c r="I14" s="474"/>
      <c r="J14" s="474"/>
      <c r="K14" s="464"/>
    </row>
    <row r="15" spans="1:11" x14ac:dyDescent="0.25">
      <c r="A15" s="191" t="s">
        <v>1838</v>
      </c>
      <c r="B15" s="192"/>
      <c r="C15" s="192">
        <f>3264*4</f>
        <v>13056</v>
      </c>
      <c r="D15" s="192"/>
      <c r="E15" s="192">
        <f>32*384-40</f>
        <v>12248</v>
      </c>
      <c r="F15" s="192"/>
      <c r="G15" s="192">
        <f>612000*0.9</f>
        <v>550800</v>
      </c>
      <c r="H15" s="192">
        <f>125000*0.9</f>
        <v>112500</v>
      </c>
      <c r="I15" s="192">
        <v>109</v>
      </c>
      <c r="J15" s="192"/>
      <c r="K15" s="194" t="s">
        <v>1839</v>
      </c>
    </row>
    <row r="16" spans="1:11" x14ac:dyDescent="0.25">
      <c r="A16" s="191" t="s">
        <v>1840</v>
      </c>
      <c r="B16" s="196"/>
      <c r="C16" s="196">
        <f>'Chi tiết'!$I$265</f>
        <v>4490</v>
      </c>
      <c r="D16" s="196"/>
      <c r="E16" s="196">
        <f>'Chi tiết'!$K$265</f>
        <v>7829</v>
      </c>
      <c r="F16" s="196"/>
      <c r="G16" s="196">
        <f>'Chi tiết'!$L$265</f>
        <v>287409</v>
      </c>
      <c r="H16" s="196">
        <f>'Chi tiết'!M265</f>
        <v>105300</v>
      </c>
      <c r="I16" s="196">
        <v>65.819999999999993</v>
      </c>
      <c r="J16" s="196"/>
      <c r="K16" s="197"/>
    </row>
    <row r="17" spans="1:15" x14ac:dyDescent="0.25">
      <c r="A17" s="198" t="s">
        <v>1833</v>
      </c>
      <c r="B17" s="203"/>
      <c r="C17" s="203">
        <f>C15-C16</f>
        <v>8566</v>
      </c>
      <c r="D17" s="203"/>
      <c r="E17" s="203">
        <f>E15-E16</f>
        <v>4419</v>
      </c>
      <c r="F17" s="203"/>
      <c r="G17" s="203">
        <f>G15-G16</f>
        <v>263391</v>
      </c>
      <c r="H17" s="203">
        <f>H15-H16</f>
        <v>7200</v>
      </c>
      <c r="I17" s="203">
        <f>I15-I16</f>
        <v>43.180000000000007</v>
      </c>
      <c r="J17" s="203"/>
      <c r="K17" s="193"/>
    </row>
    <row r="18" spans="1:15" x14ac:dyDescent="0.25">
      <c r="A18" s="191" t="s">
        <v>1841</v>
      </c>
      <c r="B18" s="204"/>
      <c r="C18" s="205">
        <f>4608*4</f>
        <v>18432</v>
      </c>
      <c r="D18" s="205"/>
      <c r="E18" s="205">
        <v>14761</v>
      </c>
      <c r="F18" s="205"/>
      <c r="G18" s="205">
        <f>175*2*1024*0.9</f>
        <v>322560</v>
      </c>
      <c r="H18" s="205">
        <f>50*1024*0.9</f>
        <v>46080</v>
      </c>
      <c r="I18" s="205">
        <v>50</v>
      </c>
      <c r="J18" s="205"/>
      <c r="K18" s="193"/>
    </row>
    <row r="19" spans="1:15" x14ac:dyDescent="0.25">
      <c r="A19" s="191" t="s">
        <v>1842</v>
      </c>
      <c r="B19" s="203"/>
      <c r="C19" s="196">
        <f>'Chi tiết'!$I$266</f>
        <v>4979</v>
      </c>
      <c r="D19" s="203"/>
      <c r="E19" s="196">
        <f ca="1">'Chi tiết'!$K$266</f>
        <v>12363</v>
      </c>
      <c r="F19" s="203"/>
      <c r="G19" s="196">
        <f>'Chi tiết'!$L$266</f>
        <v>305419</v>
      </c>
      <c r="H19" s="193">
        <f>'Chi tiết'!$M$266</f>
        <v>18477</v>
      </c>
      <c r="I19" s="193">
        <v>37.96</v>
      </c>
      <c r="J19" s="193"/>
      <c r="K19" s="193"/>
    </row>
    <row r="20" spans="1:15" x14ac:dyDescent="0.25">
      <c r="A20" s="198" t="s">
        <v>1843</v>
      </c>
      <c r="B20" s="203"/>
      <c r="C20" s="203">
        <f>C18-C19</f>
        <v>13453</v>
      </c>
      <c r="D20" s="203"/>
      <c r="E20" s="203">
        <f ca="1">E18-E19</f>
        <v>2398</v>
      </c>
      <c r="F20" s="203"/>
      <c r="G20" s="203">
        <f>G18-G19</f>
        <v>17141</v>
      </c>
      <c r="H20" s="203">
        <f>H18-H19</f>
        <v>27603</v>
      </c>
      <c r="I20" s="203">
        <f>I18-I19</f>
        <v>12.04</v>
      </c>
      <c r="J20" s="203"/>
      <c r="K20" s="193"/>
    </row>
    <row r="21" spans="1:15" ht="18.75" x14ac:dyDescent="0.3">
      <c r="A21" s="459" t="s">
        <v>1844</v>
      </c>
      <c r="B21" s="460"/>
      <c r="C21" s="460"/>
      <c r="D21" s="460"/>
      <c r="E21" s="460"/>
      <c r="F21" s="460"/>
      <c r="G21" s="460"/>
      <c r="H21" s="460"/>
      <c r="I21" s="460"/>
      <c r="J21" s="460"/>
      <c r="K21" s="461"/>
    </row>
    <row r="22" spans="1:15" x14ac:dyDescent="0.25">
      <c r="A22" s="472"/>
      <c r="B22" s="471" t="s">
        <v>1823</v>
      </c>
      <c r="C22" s="471"/>
      <c r="D22" s="471"/>
      <c r="E22" s="471"/>
      <c r="F22" s="471"/>
      <c r="G22" s="471"/>
      <c r="H22" s="471"/>
      <c r="I22" s="201"/>
      <c r="J22" s="201"/>
      <c r="K22" s="464" t="s">
        <v>13</v>
      </c>
    </row>
    <row r="23" spans="1:15" x14ac:dyDescent="0.25">
      <c r="A23" s="472"/>
      <c r="B23" s="473" t="s">
        <v>1485</v>
      </c>
      <c r="C23" s="473"/>
      <c r="D23" s="473" t="s">
        <v>1836</v>
      </c>
      <c r="E23" s="473"/>
      <c r="F23" s="474" t="s">
        <v>1825</v>
      </c>
      <c r="G23" s="474" t="s">
        <v>1826</v>
      </c>
      <c r="H23" s="474" t="s">
        <v>1827</v>
      </c>
      <c r="I23" s="475"/>
      <c r="J23" s="475"/>
      <c r="K23" s="464"/>
    </row>
    <row r="24" spans="1:15" x14ac:dyDescent="0.25">
      <c r="A24" s="472"/>
      <c r="B24" s="202" t="s">
        <v>1828</v>
      </c>
      <c r="C24" s="202" t="s">
        <v>1829</v>
      </c>
      <c r="D24" s="202" t="s">
        <v>1828</v>
      </c>
      <c r="E24" s="202" t="s">
        <v>1829</v>
      </c>
      <c r="F24" s="473"/>
      <c r="G24" s="473"/>
      <c r="H24" s="473"/>
      <c r="I24" s="474"/>
      <c r="J24" s="474"/>
      <c r="K24" s="464"/>
    </row>
    <row r="25" spans="1:15" x14ac:dyDescent="0.25">
      <c r="A25" s="191" t="s">
        <v>1845</v>
      </c>
      <c r="B25" s="192">
        <v>689</v>
      </c>
      <c r="C25" s="192">
        <f>25280-B25</f>
        <v>24591</v>
      </c>
      <c r="D25" s="192">
        <v>1984</v>
      </c>
      <c r="E25" s="192">
        <f>37545-D25</f>
        <v>35561</v>
      </c>
      <c r="F25" s="192">
        <v>34992</v>
      </c>
      <c r="G25" s="192">
        <f>1052643-F25</f>
        <v>1017651</v>
      </c>
      <c r="H25" s="192">
        <v>106576</v>
      </c>
      <c r="I25" s="192"/>
      <c r="J25" s="192"/>
      <c r="K25" s="194" t="s">
        <v>1846</v>
      </c>
    </row>
    <row r="26" spans="1:15" x14ac:dyDescent="0.25">
      <c r="A26" s="194" t="s">
        <v>1847</v>
      </c>
      <c r="B26" s="193">
        <f>'Chi tiết'!I261</f>
        <v>0</v>
      </c>
      <c r="C26" s="193">
        <f>'Chi tiết'!$I$262</f>
        <v>10330.129999999999</v>
      </c>
      <c r="D26" s="193">
        <f>'Chi tiết'!K261</f>
        <v>0</v>
      </c>
      <c r="E26" s="193">
        <f>'Chi tiết'!$K$262</f>
        <v>32254</v>
      </c>
      <c r="F26" s="193">
        <f>'Chi tiết'!N261</f>
        <v>10834</v>
      </c>
      <c r="G26" s="193">
        <f>'Chi tiết'!$L$262</f>
        <v>1031612</v>
      </c>
      <c r="H26" s="193">
        <f>'Chi tiết'!M262</f>
        <v>144340</v>
      </c>
      <c r="I26" s="193"/>
      <c r="J26" s="193"/>
      <c r="K26" s="206"/>
    </row>
    <row r="27" spans="1:15" x14ac:dyDescent="0.25">
      <c r="A27" s="207" t="s">
        <v>1835</v>
      </c>
      <c r="B27" s="208">
        <f t="shared" ref="B27:H27" si="1">B25-B26</f>
        <v>689</v>
      </c>
      <c r="C27" s="208">
        <f t="shared" si="1"/>
        <v>14260.87</v>
      </c>
      <c r="D27" s="208">
        <f t="shared" si="1"/>
        <v>1984</v>
      </c>
      <c r="E27" s="208">
        <f t="shared" si="1"/>
        <v>3307</v>
      </c>
      <c r="F27" s="208">
        <f t="shared" si="1"/>
        <v>24158</v>
      </c>
      <c r="G27" s="208">
        <f t="shared" si="1"/>
        <v>-13961</v>
      </c>
      <c r="H27" s="208">
        <f t="shared" si="1"/>
        <v>-37764</v>
      </c>
      <c r="I27" s="208"/>
      <c r="J27" s="208"/>
      <c r="K27" s="208"/>
    </row>
    <row r="28" spans="1:15" ht="18.75" x14ac:dyDescent="0.3">
      <c r="A28" s="476" t="s">
        <v>1848</v>
      </c>
      <c r="B28" s="476"/>
      <c r="C28" s="476"/>
      <c r="D28" s="476"/>
      <c r="E28" s="476"/>
      <c r="F28" s="476"/>
      <c r="G28" s="476"/>
      <c r="H28" s="476"/>
      <c r="I28" s="476"/>
      <c r="J28" s="476"/>
      <c r="K28" s="476"/>
      <c r="L28" s="476"/>
      <c r="M28" s="476"/>
      <c r="N28" s="476"/>
      <c r="O28" s="476"/>
    </row>
    <row r="29" spans="1:15" x14ac:dyDescent="0.25">
      <c r="A29" s="477" t="s">
        <v>1823</v>
      </c>
      <c r="B29" s="477"/>
      <c r="C29" s="477"/>
      <c r="D29" s="477"/>
      <c r="E29" s="477"/>
      <c r="F29" s="477"/>
      <c r="G29" s="477"/>
      <c r="H29" s="477"/>
      <c r="I29" s="477"/>
      <c r="J29" s="477"/>
      <c r="K29" s="477"/>
      <c r="L29" s="477"/>
      <c r="M29" s="477"/>
      <c r="N29" s="477"/>
      <c r="O29" s="477"/>
    </row>
    <row r="30" spans="1:15" ht="15.75" x14ac:dyDescent="0.25">
      <c r="A30" s="483"/>
      <c r="B30" s="478" t="s">
        <v>1828</v>
      </c>
      <c r="C30" s="478"/>
      <c r="D30" s="482" t="s">
        <v>1849</v>
      </c>
      <c r="E30" s="479" t="s">
        <v>1829</v>
      </c>
      <c r="F30" s="479"/>
      <c r="G30" s="479" t="s">
        <v>1488</v>
      </c>
      <c r="H30" s="479" t="s">
        <v>1827</v>
      </c>
      <c r="I30" s="479" t="s">
        <v>1850</v>
      </c>
      <c r="J30" s="480" t="s">
        <v>1851</v>
      </c>
      <c r="K30" s="480"/>
      <c r="L30" s="485" t="s">
        <v>1491</v>
      </c>
      <c r="M30" s="485" t="s">
        <v>1492</v>
      </c>
      <c r="N30" s="481" t="s">
        <v>1852</v>
      </c>
      <c r="O30" s="481"/>
    </row>
    <row r="31" spans="1:15" x14ac:dyDescent="0.25">
      <c r="A31" s="484"/>
      <c r="B31" s="209" t="s">
        <v>1485</v>
      </c>
      <c r="C31" s="209" t="s">
        <v>1805</v>
      </c>
      <c r="D31" s="478"/>
      <c r="E31" s="212" t="s">
        <v>1485</v>
      </c>
      <c r="F31" s="212" t="s">
        <v>1805</v>
      </c>
      <c r="G31" s="479"/>
      <c r="H31" s="479"/>
      <c r="I31" s="479"/>
      <c r="J31" s="210" t="s">
        <v>1485</v>
      </c>
      <c r="K31" s="210" t="s">
        <v>1805</v>
      </c>
      <c r="L31" s="485"/>
      <c r="M31" s="485"/>
      <c r="N31" s="211" t="s">
        <v>1485</v>
      </c>
      <c r="O31" s="211" t="s">
        <v>1805</v>
      </c>
    </row>
    <row r="32" spans="1:15" x14ac:dyDescent="0.25">
      <c r="A32" s="191" t="s">
        <v>1845</v>
      </c>
      <c r="B32" s="213">
        <f>'DA2022'!Q6*96*0.9</f>
        <v>5184</v>
      </c>
      <c r="C32" s="213">
        <f>'DA2022'!Q6*384*0.75</f>
        <v>17280</v>
      </c>
      <c r="D32" s="213">
        <f>('DA2022'!E12*80+'DA2022'!E12*22)*1024</f>
        <v>1880064</v>
      </c>
      <c r="E32" s="214">
        <f>('DA2022'!J4+'DA2022'!H4)*96*0.9</f>
        <v>36720</v>
      </c>
      <c r="F32" s="214">
        <f>('DA2022'!H4+'DA2022'!J4)*384*0.75</f>
        <v>122400</v>
      </c>
      <c r="G32" s="215">
        <f>('DA2022'!H15*'DA2022'!I53+'DA2022'!H15*'DA2022'!J53+'DA2022'!I15*'DA2022'!I54+'DA2022'!I15*'DA2022'!J54)*1024</f>
        <v>6872064</v>
      </c>
      <c r="H32" s="214">
        <f>'DA2022'!E17*1024</f>
        <v>773314.56000000006</v>
      </c>
      <c r="I32" s="214">
        <f>5500*1024</f>
        <v>5632000</v>
      </c>
      <c r="J32" s="216">
        <f>'vật lý free'!N27+'vật lý free'!N28</f>
        <v>20640</v>
      </c>
      <c r="K32" s="216">
        <f>'vật lý free'!O27+'vật lý free'!O28</f>
        <v>79744</v>
      </c>
      <c r="L32" s="217">
        <v>1179197.4399999999</v>
      </c>
      <c r="M32" s="218">
        <v>1100001.28</v>
      </c>
      <c r="N32" s="219">
        <f>SUM('vật lý free'!N22:N26)</f>
        <v>20064</v>
      </c>
      <c r="O32" s="219">
        <f>SUM('vật lý free'!O22:O26)</f>
        <v>56576</v>
      </c>
    </row>
    <row r="33" spans="1:15" x14ac:dyDescent="0.25">
      <c r="A33" s="194" t="s">
        <v>1847</v>
      </c>
      <c r="B33" s="220">
        <f>'Chi tiết'!I263</f>
        <v>0</v>
      </c>
      <c r="C33" s="220">
        <f>'Chi tiết'!K263</f>
        <v>0</v>
      </c>
      <c r="D33" s="220">
        <f>'Chi tiết'!L263</f>
        <v>0</v>
      </c>
      <c r="E33" s="215">
        <f>'Chi tiết'!I264</f>
        <v>13974</v>
      </c>
      <c r="F33" s="215">
        <f>'Chi tiết'!K264</f>
        <v>31456.2</v>
      </c>
      <c r="G33" s="215">
        <f>'Chi tiết'!L264+'Cấp phát vật lý'!T22</f>
        <v>1150242</v>
      </c>
      <c r="H33" s="214">
        <f>'Chi tiết'!M264</f>
        <v>238396</v>
      </c>
      <c r="I33" s="215">
        <f>'Chi tiết'!Q264</f>
        <v>20490</v>
      </c>
      <c r="J33" s="216">
        <f>'vật lý free'!P28+'vật lý free'!P27</f>
        <v>0</v>
      </c>
      <c r="K33" s="216">
        <f>'vật lý free'!Q28+'vật lý free'!Q27</f>
        <v>0</v>
      </c>
      <c r="L33" s="217">
        <f>'Cấp phát vật lý'!T23</f>
        <v>0</v>
      </c>
      <c r="M33" s="217">
        <f>'Cấp phát vật lý'!T24</f>
        <v>0</v>
      </c>
      <c r="N33" s="219">
        <f>SUM('vật lý free'!P22:P26)</f>
        <v>7104</v>
      </c>
      <c r="O33" s="219">
        <f>SUM('vật lý free'!Q22:Q26)</f>
        <v>19456</v>
      </c>
    </row>
    <row r="34" spans="1:15" x14ac:dyDescent="0.25">
      <c r="A34" s="198" t="s">
        <v>1835</v>
      </c>
      <c r="B34" s="221">
        <f t="shared" ref="B34:O34" si="2">B32-B33</f>
        <v>5184</v>
      </c>
      <c r="C34" s="221">
        <f t="shared" si="2"/>
        <v>17280</v>
      </c>
      <c r="D34" s="221">
        <f t="shared" si="2"/>
        <v>1880064</v>
      </c>
      <c r="E34" s="222">
        <f t="shared" si="2"/>
        <v>22746</v>
      </c>
      <c r="F34" s="222">
        <f t="shared" si="2"/>
        <v>90943.8</v>
      </c>
      <c r="G34" s="222">
        <f t="shared" si="2"/>
        <v>5721822</v>
      </c>
      <c r="H34" s="222">
        <f t="shared" si="2"/>
        <v>534918.56000000006</v>
      </c>
      <c r="I34" s="222">
        <f t="shared" si="2"/>
        <v>5611510</v>
      </c>
      <c r="J34" s="223">
        <f t="shared" si="2"/>
        <v>20640</v>
      </c>
      <c r="K34" s="223">
        <f t="shared" si="2"/>
        <v>79744</v>
      </c>
      <c r="L34" s="223">
        <f t="shared" si="2"/>
        <v>1179197.4399999999</v>
      </c>
      <c r="M34" s="223">
        <f t="shared" si="2"/>
        <v>1100001.28</v>
      </c>
      <c r="N34" s="222">
        <f t="shared" si="2"/>
        <v>12960</v>
      </c>
      <c r="O34" s="222">
        <f t="shared" si="2"/>
        <v>37120</v>
      </c>
    </row>
    <row r="35" spans="1:15" x14ac:dyDescent="0.25">
      <c r="A35" s="224"/>
    </row>
    <row r="36" spans="1:15" x14ac:dyDescent="0.25">
      <c r="A36" s="224"/>
    </row>
    <row r="37" spans="1:15" x14ac:dyDescent="0.25">
      <c r="A37" s="224"/>
    </row>
  </sheetData>
  <mergeCells count="46">
    <mergeCell ref="A28:O28"/>
    <mergeCell ref="A29:O29"/>
    <mergeCell ref="B30:C30"/>
    <mergeCell ref="E30:F30"/>
    <mergeCell ref="J30:K30"/>
    <mergeCell ref="N30:O30"/>
    <mergeCell ref="D30:D31"/>
    <mergeCell ref="G30:G31"/>
    <mergeCell ref="H30:H31"/>
    <mergeCell ref="I30:I31"/>
    <mergeCell ref="A30:A31"/>
    <mergeCell ref="L30:L31"/>
    <mergeCell ref="M30:M31"/>
    <mergeCell ref="A21:K21"/>
    <mergeCell ref="B22:H22"/>
    <mergeCell ref="A22:A24"/>
    <mergeCell ref="K22:K24"/>
    <mergeCell ref="B23:C23"/>
    <mergeCell ref="D23:E23"/>
    <mergeCell ref="F23:F24"/>
    <mergeCell ref="G23:G24"/>
    <mergeCell ref="H23:H24"/>
    <mergeCell ref="I23:I24"/>
    <mergeCell ref="J23:J24"/>
    <mergeCell ref="A11:K11"/>
    <mergeCell ref="B12:H12"/>
    <mergeCell ref="A12:A14"/>
    <mergeCell ref="K12:K14"/>
    <mergeCell ref="B13:C13"/>
    <mergeCell ref="D13:E13"/>
    <mergeCell ref="F13:F14"/>
    <mergeCell ref="G13:G14"/>
    <mergeCell ref="H13:H14"/>
    <mergeCell ref="I13:I14"/>
    <mergeCell ref="J13:J14"/>
    <mergeCell ref="A1:K1"/>
    <mergeCell ref="B2:H2"/>
    <mergeCell ref="A2:A4"/>
    <mergeCell ref="K2:K4"/>
    <mergeCell ref="B3:C3"/>
    <mergeCell ref="D3:E3"/>
    <mergeCell ref="F3:F4"/>
    <mergeCell ref="G3:G4"/>
    <mergeCell ref="H3:H4"/>
    <mergeCell ref="I3:I4"/>
    <mergeCell ref="J3:J4"/>
  </mergeCells>
  <printOptions gridLines="1" gridLinesSet="0"/>
  <pageMargins left="0.7" right="0.7" top="0.75" bottom="0.75" header="0.5" footer="0.5"/>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2"/>
  <sheetViews>
    <sheetView workbookViewId="0">
      <selection activeCell="G23" sqref="G23"/>
    </sheetView>
  </sheetViews>
  <sheetFormatPr defaultColWidth="9" defaultRowHeight="15" x14ac:dyDescent="0.25"/>
  <cols>
    <col min="1" max="1" width="15.42578125" style="225" customWidth="1"/>
    <col min="2" max="2" width="12.7109375" style="225" customWidth="1"/>
    <col min="3" max="3" width="39.42578125" style="226" customWidth="1"/>
    <col min="4" max="4" width="16.140625" style="188" customWidth="1"/>
    <col min="5" max="5" width="9" style="225"/>
    <col min="6" max="6" width="22.5703125" style="188" customWidth="1"/>
    <col min="7" max="7" width="13.7109375" style="225" customWidth="1"/>
    <col min="8" max="8" width="12.85546875" style="225" customWidth="1"/>
    <col min="9" max="9" width="9" style="225"/>
    <col min="10" max="10" width="16.140625" style="225" bestFit="1" customWidth="1"/>
    <col min="11" max="11" width="9" style="225"/>
    <col min="12" max="12" width="28.7109375" style="226" customWidth="1"/>
    <col min="13" max="13" width="9" style="225"/>
    <col min="14" max="14" width="25" style="188" customWidth="1"/>
    <col min="15" max="15" width="26.5703125" style="188" customWidth="1"/>
    <col min="16" max="16" width="11.42578125" style="188" customWidth="1"/>
    <col min="17" max="17" width="12" style="188" customWidth="1"/>
    <col min="18" max="16384" width="9" style="188"/>
  </cols>
  <sheetData>
    <row r="1" spans="1:14" s="225" customFormat="1" x14ac:dyDescent="0.25">
      <c r="A1" s="227" t="s">
        <v>1853</v>
      </c>
      <c r="B1" s="228" t="s">
        <v>1854</v>
      </c>
      <c r="C1" s="229" t="s">
        <v>1855</v>
      </c>
      <c r="D1" s="229" t="s">
        <v>1856</v>
      </c>
      <c r="E1" s="229" t="s">
        <v>1805</v>
      </c>
      <c r="F1" s="229" t="s">
        <v>1857</v>
      </c>
      <c r="G1" s="230" t="s">
        <v>1809</v>
      </c>
      <c r="H1" s="230" t="s">
        <v>1858</v>
      </c>
      <c r="I1" s="231" t="s">
        <v>1859</v>
      </c>
      <c r="J1" s="229" t="s">
        <v>1860</v>
      </c>
      <c r="K1" s="232" t="s">
        <v>1861</v>
      </c>
      <c r="L1" s="233" t="s">
        <v>13</v>
      </c>
      <c r="M1" s="232" t="s">
        <v>1862</v>
      </c>
      <c r="N1" s="225" t="s">
        <v>1863</v>
      </c>
    </row>
    <row r="2" spans="1:14" ht="30" x14ac:dyDescent="0.25">
      <c r="A2" s="234" t="s">
        <v>1864</v>
      </c>
      <c r="B2" s="235" t="s">
        <v>1865</v>
      </c>
      <c r="C2" s="236" t="s">
        <v>1866</v>
      </c>
      <c r="D2" s="235" t="s">
        <v>1867</v>
      </c>
      <c r="E2" s="235">
        <v>384</v>
      </c>
      <c r="F2" s="237" t="s">
        <v>1868</v>
      </c>
      <c r="G2" s="238"/>
      <c r="H2" s="238"/>
      <c r="I2" s="239" t="s">
        <v>1869</v>
      </c>
      <c r="J2" s="240"/>
      <c r="K2" s="241" t="s">
        <v>1870</v>
      </c>
      <c r="L2" s="242" t="s">
        <v>1871</v>
      </c>
      <c r="M2" s="243"/>
    </row>
    <row r="3" spans="1:14" ht="30" x14ac:dyDescent="0.25">
      <c r="A3" s="234" t="s">
        <v>1864</v>
      </c>
      <c r="B3" s="235" t="s">
        <v>1872</v>
      </c>
      <c r="C3" s="244" t="s">
        <v>1873</v>
      </c>
      <c r="D3" s="235" t="s">
        <v>1874</v>
      </c>
      <c r="E3" s="235">
        <v>128</v>
      </c>
      <c r="F3" s="237" t="s">
        <v>1868</v>
      </c>
      <c r="G3" s="238"/>
      <c r="H3" s="238"/>
      <c r="I3" s="239" t="s">
        <v>1869</v>
      </c>
      <c r="J3" s="240"/>
      <c r="K3" s="241" t="s">
        <v>1875</v>
      </c>
      <c r="L3" s="242" t="s">
        <v>1871</v>
      </c>
      <c r="M3" s="243"/>
    </row>
    <row r="4" spans="1:14" ht="60" x14ac:dyDescent="0.25">
      <c r="A4" s="234" t="s">
        <v>1864</v>
      </c>
      <c r="B4" s="245" t="s">
        <v>1876</v>
      </c>
      <c r="C4" s="246" t="s">
        <v>1877</v>
      </c>
      <c r="D4" s="245" t="s">
        <v>1874</v>
      </c>
      <c r="E4" s="245">
        <v>128</v>
      </c>
      <c r="F4" s="247" t="s">
        <v>1878</v>
      </c>
      <c r="G4" s="248"/>
      <c r="H4" s="248"/>
      <c r="I4" s="249" t="s">
        <v>1869</v>
      </c>
      <c r="J4" s="250"/>
      <c r="K4" s="251" t="s">
        <v>1875</v>
      </c>
      <c r="L4" s="252" t="s">
        <v>1871</v>
      </c>
      <c r="M4" s="253"/>
    </row>
    <row r="5" spans="1:14" ht="45" x14ac:dyDescent="0.25">
      <c r="A5" s="254" t="s">
        <v>1879</v>
      </c>
      <c r="B5" s="255" t="s">
        <v>1880</v>
      </c>
      <c r="C5" s="256" t="s">
        <v>1881</v>
      </c>
      <c r="D5" s="257" t="s">
        <v>1882</v>
      </c>
      <c r="E5" s="257">
        <v>256</v>
      </c>
      <c r="F5" s="258" t="s">
        <v>1883</v>
      </c>
      <c r="G5" s="259"/>
      <c r="H5" s="259"/>
      <c r="I5" s="260" t="s">
        <v>1869</v>
      </c>
      <c r="J5" s="261"/>
      <c r="K5" s="262" t="s">
        <v>1884</v>
      </c>
      <c r="L5" s="263"/>
      <c r="M5" s="243"/>
    </row>
    <row r="6" spans="1:14" x14ac:dyDescent="0.25">
      <c r="A6" s="502" t="s">
        <v>1885</v>
      </c>
      <c r="B6" s="488" t="s">
        <v>1886</v>
      </c>
      <c r="C6" s="247" t="s">
        <v>1887</v>
      </c>
      <c r="D6" s="500" t="s">
        <v>1882</v>
      </c>
      <c r="E6" s="500">
        <v>128</v>
      </c>
      <c r="F6" s="498" t="s">
        <v>1888</v>
      </c>
      <c r="G6" s="486"/>
      <c r="H6" s="486"/>
      <c r="I6" s="494"/>
      <c r="J6" s="494"/>
      <c r="K6" s="492" t="s">
        <v>1889</v>
      </c>
      <c r="L6" s="490"/>
      <c r="M6" s="496"/>
    </row>
    <row r="7" spans="1:14" ht="30" x14ac:dyDescent="0.25">
      <c r="A7" s="503"/>
      <c r="B7" s="489"/>
      <c r="C7" s="265" t="s">
        <v>1890</v>
      </c>
      <c r="D7" s="501"/>
      <c r="E7" s="501"/>
      <c r="F7" s="499"/>
      <c r="G7" s="487"/>
      <c r="H7" s="487"/>
      <c r="I7" s="495"/>
      <c r="J7" s="495"/>
      <c r="K7" s="493"/>
      <c r="L7" s="491"/>
      <c r="M7" s="497"/>
    </row>
    <row r="8" spans="1:14" ht="30" x14ac:dyDescent="0.25">
      <c r="A8" s="266" t="s">
        <v>1885</v>
      </c>
      <c r="B8" s="267" t="s">
        <v>1891</v>
      </c>
      <c r="C8" s="268" t="s">
        <v>1892</v>
      </c>
      <c r="D8" s="267" t="s">
        <v>1882</v>
      </c>
      <c r="E8" s="267">
        <v>256</v>
      </c>
      <c r="F8" s="269" t="s">
        <v>1893</v>
      </c>
      <c r="G8" s="238"/>
      <c r="H8" s="238"/>
      <c r="I8" s="238"/>
      <c r="J8" s="243"/>
      <c r="K8" s="270" t="s">
        <v>1894</v>
      </c>
      <c r="L8" s="271"/>
      <c r="M8" s="243"/>
    </row>
    <row r="9" spans="1:14" ht="30" x14ac:dyDescent="0.25">
      <c r="A9" s="266" t="s">
        <v>1885</v>
      </c>
      <c r="B9" s="267" t="s">
        <v>1895</v>
      </c>
      <c r="C9" s="268" t="s">
        <v>1896</v>
      </c>
      <c r="D9" s="267" t="s">
        <v>1897</v>
      </c>
      <c r="E9" s="267">
        <v>384</v>
      </c>
      <c r="F9" s="269" t="s">
        <v>1898</v>
      </c>
      <c r="G9" s="238"/>
      <c r="H9" s="238"/>
      <c r="I9" s="238"/>
      <c r="J9" s="243"/>
      <c r="K9" s="270" t="s">
        <v>1875</v>
      </c>
      <c r="L9" s="271"/>
      <c r="M9" s="243"/>
    </row>
    <row r="10" spans="1:14" ht="30" x14ac:dyDescent="0.25">
      <c r="A10" s="266" t="s">
        <v>1899</v>
      </c>
      <c r="B10" s="267" t="s">
        <v>1900</v>
      </c>
      <c r="C10" s="268" t="s">
        <v>1901</v>
      </c>
      <c r="D10" s="267" t="s">
        <v>1902</v>
      </c>
      <c r="E10" s="267">
        <v>256</v>
      </c>
      <c r="F10" s="269" t="s">
        <v>1903</v>
      </c>
      <c r="G10" s="267" t="s">
        <v>1904</v>
      </c>
      <c r="H10" s="238"/>
      <c r="I10" s="267"/>
      <c r="J10" s="243"/>
      <c r="K10" s="270" t="s">
        <v>1905</v>
      </c>
      <c r="L10" s="242" t="s">
        <v>1906</v>
      </c>
      <c r="M10" s="243">
        <v>31</v>
      </c>
    </row>
    <row r="11" spans="1:14" ht="30" x14ac:dyDescent="0.25">
      <c r="A11" s="266" t="s">
        <v>1899</v>
      </c>
      <c r="B11" s="267" t="s">
        <v>1900</v>
      </c>
      <c r="C11" s="268" t="s">
        <v>1901</v>
      </c>
      <c r="D11" s="267" t="s">
        <v>1902</v>
      </c>
      <c r="E11" s="267">
        <v>256</v>
      </c>
      <c r="F11" s="269" t="s">
        <v>1903</v>
      </c>
      <c r="G11" s="267" t="s">
        <v>1907</v>
      </c>
      <c r="H11" s="267" t="s">
        <v>1908</v>
      </c>
      <c r="I11" s="267"/>
      <c r="J11" s="243"/>
      <c r="K11" s="270" t="s">
        <v>1909</v>
      </c>
      <c r="L11" s="242" t="s">
        <v>1910</v>
      </c>
      <c r="M11" s="243">
        <v>28</v>
      </c>
      <c r="N11" s="226" t="s">
        <v>1911</v>
      </c>
    </row>
    <row r="12" spans="1:14" ht="30" x14ac:dyDescent="0.25">
      <c r="A12" s="266" t="s">
        <v>1899</v>
      </c>
      <c r="B12" s="267" t="s">
        <v>1900</v>
      </c>
      <c r="C12" s="268" t="s">
        <v>1901</v>
      </c>
      <c r="D12" s="267" t="s">
        <v>1902</v>
      </c>
      <c r="E12" s="267">
        <v>256</v>
      </c>
      <c r="F12" s="269" t="s">
        <v>1903</v>
      </c>
      <c r="G12" s="267" t="s">
        <v>1912</v>
      </c>
      <c r="H12" s="238"/>
      <c r="I12" s="267"/>
      <c r="J12" s="243"/>
      <c r="K12" s="270" t="s">
        <v>1913</v>
      </c>
      <c r="L12" s="242" t="s">
        <v>1914</v>
      </c>
      <c r="M12" s="243">
        <v>25</v>
      </c>
      <c r="N12" s="226" t="s">
        <v>1915</v>
      </c>
    </row>
    <row r="13" spans="1:14" ht="30" x14ac:dyDescent="0.25">
      <c r="A13" s="266" t="s">
        <v>1899</v>
      </c>
      <c r="B13" s="267" t="s">
        <v>1900</v>
      </c>
      <c r="C13" s="268" t="s">
        <v>1901</v>
      </c>
      <c r="D13" s="267" t="s">
        <v>1902</v>
      </c>
      <c r="E13" s="267">
        <v>256</v>
      </c>
      <c r="F13" s="269" t="s">
        <v>1903</v>
      </c>
      <c r="G13" s="267" t="s">
        <v>1916</v>
      </c>
      <c r="H13" s="238"/>
      <c r="I13" s="267"/>
      <c r="J13" s="243"/>
      <c r="K13" s="270" t="s">
        <v>1917</v>
      </c>
      <c r="L13" s="242" t="s">
        <v>1918</v>
      </c>
      <c r="M13" s="243">
        <v>6</v>
      </c>
      <c r="N13" s="226" t="s">
        <v>1919</v>
      </c>
    </row>
    <row r="14" spans="1:14" ht="60" x14ac:dyDescent="0.25">
      <c r="A14" s="264" t="s">
        <v>1920</v>
      </c>
      <c r="B14" s="272" t="s">
        <v>1921</v>
      </c>
      <c r="C14" s="273" t="s">
        <v>1922</v>
      </c>
      <c r="D14" s="272" t="s">
        <v>1923</v>
      </c>
      <c r="E14" s="272">
        <v>128</v>
      </c>
      <c r="F14" s="273" t="s">
        <v>1924</v>
      </c>
      <c r="G14" s="248"/>
      <c r="H14" s="274"/>
      <c r="I14" s="272" t="s">
        <v>1869</v>
      </c>
      <c r="J14" s="275"/>
      <c r="K14" s="276" t="s">
        <v>1925</v>
      </c>
      <c r="L14" s="252" t="s">
        <v>1926</v>
      </c>
      <c r="M14" s="253">
        <v>15</v>
      </c>
      <c r="N14" s="226"/>
    </row>
    <row r="15" spans="1:14" ht="60" x14ac:dyDescent="0.25">
      <c r="A15" s="277" t="s">
        <v>1920</v>
      </c>
      <c r="B15" s="278" t="s">
        <v>1927</v>
      </c>
      <c r="C15" s="279" t="s">
        <v>1928</v>
      </c>
      <c r="D15" s="280" t="s">
        <v>1929</v>
      </c>
      <c r="E15" s="280">
        <v>128</v>
      </c>
      <c r="F15" s="281" t="s">
        <v>1930</v>
      </c>
      <c r="G15" s="282"/>
      <c r="H15" s="282"/>
      <c r="I15" s="280" t="s">
        <v>1869</v>
      </c>
      <c r="J15" s="283" t="s">
        <v>1931</v>
      </c>
      <c r="K15" s="280" t="s">
        <v>1925</v>
      </c>
      <c r="L15" s="284" t="s">
        <v>1926</v>
      </c>
      <c r="M15" s="283">
        <v>15</v>
      </c>
      <c r="N15" s="226"/>
    </row>
    <row r="16" spans="1:14" ht="60" x14ac:dyDescent="0.25">
      <c r="A16" s="277" t="s">
        <v>1932</v>
      </c>
      <c r="B16" s="278"/>
      <c r="C16" s="279" t="s">
        <v>1933</v>
      </c>
      <c r="D16" s="280" t="s">
        <v>1934</v>
      </c>
      <c r="E16" s="280">
        <v>256</v>
      </c>
      <c r="F16" s="281" t="s">
        <v>1935</v>
      </c>
      <c r="G16" s="282"/>
      <c r="H16" s="282"/>
      <c r="I16" s="280"/>
      <c r="J16" s="283" t="s">
        <v>1936</v>
      </c>
      <c r="K16" s="280">
        <v>2</v>
      </c>
      <c r="L16" s="284" t="s">
        <v>1937</v>
      </c>
      <c r="M16" s="283">
        <v>2</v>
      </c>
      <c r="N16" s="285" t="s">
        <v>1938</v>
      </c>
    </row>
    <row r="17" spans="1:17" ht="51" x14ac:dyDescent="0.25">
      <c r="A17" s="286" t="s">
        <v>1939</v>
      </c>
      <c r="B17" s="287"/>
      <c r="C17" s="133" t="s">
        <v>1940</v>
      </c>
      <c r="D17" s="288" t="s">
        <v>1902</v>
      </c>
      <c r="E17" s="287">
        <f>8*32</f>
        <v>256</v>
      </c>
      <c r="F17" s="287" t="s">
        <v>1888</v>
      </c>
      <c r="G17" s="287"/>
      <c r="H17" s="287"/>
      <c r="I17" s="287"/>
      <c r="J17" s="287"/>
      <c r="K17" s="287">
        <v>3</v>
      </c>
      <c r="L17" s="289" t="s">
        <v>1941</v>
      </c>
      <c r="M17" s="287">
        <v>3</v>
      </c>
    </row>
    <row r="18" spans="1:17" ht="51" x14ac:dyDescent="0.25">
      <c r="A18" s="286" t="s">
        <v>1942</v>
      </c>
      <c r="B18" s="287"/>
      <c r="C18" s="133" t="s">
        <v>1943</v>
      </c>
      <c r="D18" s="288" t="s">
        <v>1902</v>
      </c>
      <c r="E18" s="287">
        <v>128</v>
      </c>
      <c r="F18" s="287" t="s">
        <v>1888</v>
      </c>
      <c r="G18" s="287"/>
      <c r="H18" s="287"/>
      <c r="I18" s="287" t="s">
        <v>1869</v>
      </c>
      <c r="J18" s="287"/>
      <c r="K18" s="287">
        <v>6</v>
      </c>
      <c r="L18" s="289" t="s">
        <v>1944</v>
      </c>
      <c r="M18" s="287"/>
      <c r="N18" s="224"/>
    </row>
    <row r="19" spans="1:17" x14ac:dyDescent="0.25">
      <c r="A19" s="290"/>
      <c r="B19" s="290"/>
      <c r="C19" s="291"/>
      <c r="D19" s="292"/>
      <c r="E19" s="290"/>
      <c r="F19" s="292"/>
      <c r="G19" s="290"/>
      <c r="H19" s="290"/>
      <c r="I19" s="290"/>
      <c r="J19" s="290"/>
      <c r="K19" s="290"/>
      <c r="L19" s="291"/>
      <c r="M19" s="290"/>
    </row>
    <row r="20" spans="1:17" ht="15.75" x14ac:dyDescent="0.25">
      <c r="A20" s="504" t="s">
        <v>1945</v>
      </c>
      <c r="B20" s="504"/>
      <c r="C20" s="504"/>
      <c r="D20" s="504"/>
      <c r="E20" s="504"/>
      <c r="F20" s="504"/>
      <c r="G20" s="504"/>
      <c r="H20" s="504"/>
      <c r="I20" s="504"/>
      <c r="J20" s="504"/>
      <c r="K20" s="504"/>
      <c r="L20" s="504"/>
      <c r="M20" s="504"/>
    </row>
    <row r="21" spans="1:17" x14ac:dyDescent="0.25">
      <c r="A21" s="293" t="s">
        <v>1946</v>
      </c>
      <c r="B21" s="293" t="s">
        <v>1947</v>
      </c>
      <c r="C21" s="294" t="s">
        <v>1948</v>
      </c>
      <c r="D21" s="295" t="s">
        <v>1856</v>
      </c>
      <c r="E21" s="293" t="s">
        <v>1805</v>
      </c>
      <c r="F21" s="229" t="s">
        <v>1857</v>
      </c>
      <c r="G21" s="230" t="s">
        <v>1809</v>
      </c>
      <c r="H21" s="230" t="s">
        <v>1858</v>
      </c>
      <c r="I21" s="231" t="s">
        <v>1859</v>
      </c>
      <c r="J21" s="229" t="s">
        <v>1860</v>
      </c>
      <c r="K21" s="232" t="s">
        <v>1861</v>
      </c>
      <c r="L21" s="233" t="s">
        <v>13</v>
      </c>
      <c r="M21" s="232" t="s">
        <v>1862</v>
      </c>
      <c r="N21" s="296" t="s">
        <v>1949</v>
      </c>
      <c r="O21" s="296" t="s">
        <v>1950</v>
      </c>
      <c r="P21" s="296" t="s">
        <v>1951</v>
      </c>
      <c r="Q21" s="297" t="s">
        <v>1952</v>
      </c>
    </row>
    <row r="22" spans="1:17" ht="30" x14ac:dyDescent="0.25">
      <c r="A22" s="287" t="s">
        <v>1953</v>
      </c>
      <c r="B22" s="287">
        <v>1</v>
      </c>
      <c r="C22" s="69" t="s">
        <v>1954</v>
      </c>
      <c r="D22" s="298">
        <v>96</v>
      </c>
      <c r="E22" s="287">
        <v>256</v>
      </c>
      <c r="F22" s="287" t="s">
        <v>1955</v>
      </c>
      <c r="G22" s="287"/>
      <c r="H22" s="287"/>
      <c r="I22" s="287" t="s">
        <v>1869</v>
      </c>
      <c r="J22" s="287"/>
      <c r="K22" s="287">
        <v>68</v>
      </c>
      <c r="L22" s="289" t="s">
        <v>1956</v>
      </c>
      <c r="M22" s="287">
        <v>4</v>
      </c>
      <c r="N22" s="299">
        <f t="shared" ref="N22:N28" si="0">K22*D22</f>
        <v>6528</v>
      </c>
      <c r="O22" s="299">
        <f t="shared" ref="O22:O28" si="1">K22*E22</f>
        <v>17408</v>
      </c>
      <c r="P22" s="299">
        <f t="shared" ref="P22:Q28" si="2">($M22)*D22</f>
        <v>384</v>
      </c>
      <c r="Q22" s="299">
        <f t="shared" si="2"/>
        <v>1024</v>
      </c>
    </row>
    <row r="23" spans="1:17" ht="30" x14ac:dyDescent="0.25">
      <c r="A23" s="287" t="s">
        <v>1957</v>
      </c>
      <c r="B23" s="287">
        <v>1</v>
      </c>
      <c r="C23" s="300" t="s">
        <v>1954</v>
      </c>
      <c r="D23" s="298">
        <v>96</v>
      </c>
      <c r="E23" s="287">
        <v>256</v>
      </c>
      <c r="F23" s="287" t="s">
        <v>1955</v>
      </c>
      <c r="G23" s="287"/>
      <c r="H23" s="287"/>
      <c r="I23" s="287" t="s">
        <v>1869</v>
      </c>
      <c r="J23" s="287"/>
      <c r="K23" s="287">
        <v>101</v>
      </c>
      <c r="L23" s="289" t="s">
        <v>1958</v>
      </c>
      <c r="M23" s="287">
        <v>50</v>
      </c>
      <c r="N23" s="299">
        <f t="shared" si="0"/>
        <v>9696</v>
      </c>
      <c r="O23" s="299">
        <f t="shared" si="1"/>
        <v>25856</v>
      </c>
      <c r="P23" s="299">
        <f t="shared" si="2"/>
        <v>4800</v>
      </c>
      <c r="Q23" s="299">
        <f t="shared" si="2"/>
        <v>12800</v>
      </c>
    </row>
    <row r="24" spans="1:17" ht="30" x14ac:dyDescent="0.25">
      <c r="A24" s="287" t="s">
        <v>1957</v>
      </c>
      <c r="B24" s="287">
        <v>2</v>
      </c>
      <c r="C24" s="69" t="s">
        <v>1959</v>
      </c>
      <c r="D24" s="266">
        <v>96</v>
      </c>
      <c r="E24" s="287">
        <v>512</v>
      </c>
      <c r="F24" s="287" t="s">
        <v>1955</v>
      </c>
      <c r="G24" s="287"/>
      <c r="H24" s="287"/>
      <c r="I24" s="287" t="s">
        <v>1869</v>
      </c>
      <c r="J24" s="287"/>
      <c r="K24" s="287">
        <v>2</v>
      </c>
      <c r="L24" s="289" t="s">
        <v>1960</v>
      </c>
      <c r="M24" s="287">
        <v>2</v>
      </c>
      <c r="N24" s="299">
        <f t="shared" si="0"/>
        <v>192</v>
      </c>
      <c r="O24" s="299">
        <f t="shared" si="1"/>
        <v>1024</v>
      </c>
      <c r="P24" s="299">
        <f t="shared" si="2"/>
        <v>192</v>
      </c>
      <c r="Q24" s="299">
        <f t="shared" si="2"/>
        <v>1024</v>
      </c>
    </row>
    <row r="25" spans="1:17" ht="45" x14ac:dyDescent="0.25">
      <c r="A25" s="287" t="s">
        <v>1953</v>
      </c>
      <c r="B25" s="287">
        <v>4</v>
      </c>
      <c r="C25" s="69" t="s">
        <v>1961</v>
      </c>
      <c r="D25" s="266">
        <v>96</v>
      </c>
      <c r="E25" s="287">
        <v>384</v>
      </c>
      <c r="F25" s="286" t="s">
        <v>1962</v>
      </c>
      <c r="G25" s="287"/>
      <c r="H25" s="287"/>
      <c r="I25" s="287"/>
      <c r="J25" s="287"/>
      <c r="K25" s="287">
        <v>20</v>
      </c>
      <c r="L25" s="289"/>
      <c r="M25" s="287"/>
      <c r="N25" s="299">
        <f t="shared" si="0"/>
        <v>1920</v>
      </c>
      <c r="O25" s="299">
        <f t="shared" si="1"/>
        <v>7680</v>
      </c>
      <c r="P25" s="299">
        <f t="shared" si="2"/>
        <v>0</v>
      </c>
      <c r="Q25" s="299">
        <f t="shared" si="2"/>
        <v>0</v>
      </c>
    </row>
    <row r="26" spans="1:17" ht="60" x14ac:dyDescent="0.25">
      <c r="A26" s="287" t="s">
        <v>1953</v>
      </c>
      <c r="B26" s="287">
        <v>6</v>
      </c>
      <c r="C26" s="289" t="s">
        <v>1963</v>
      </c>
      <c r="D26" s="266">
        <v>96</v>
      </c>
      <c r="E26" s="287">
        <v>256</v>
      </c>
      <c r="F26" s="286" t="s">
        <v>1964</v>
      </c>
      <c r="G26" s="287"/>
      <c r="H26" s="287"/>
      <c r="I26" s="287" t="s">
        <v>1869</v>
      </c>
      <c r="J26" s="288" t="s">
        <v>1965</v>
      </c>
      <c r="K26" s="287">
        <v>18</v>
      </c>
      <c r="L26" s="289" t="s">
        <v>1966</v>
      </c>
      <c r="M26" s="287">
        <v>18</v>
      </c>
      <c r="N26" s="299">
        <f t="shared" si="0"/>
        <v>1728</v>
      </c>
      <c r="O26" s="299">
        <f t="shared" si="1"/>
        <v>4608</v>
      </c>
      <c r="P26" s="299">
        <f t="shared" si="2"/>
        <v>1728</v>
      </c>
      <c r="Q26" s="299">
        <f t="shared" si="2"/>
        <v>4608</v>
      </c>
    </row>
    <row r="27" spans="1:17" ht="30" x14ac:dyDescent="0.25">
      <c r="A27" s="287" t="s">
        <v>1957</v>
      </c>
      <c r="B27" s="287" t="s">
        <v>1967</v>
      </c>
      <c r="C27" s="69" t="s">
        <v>1968</v>
      </c>
      <c r="D27" s="266">
        <v>96</v>
      </c>
      <c r="E27" s="287">
        <v>256</v>
      </c>
      <c r="F27" s="287" t="s">
        <v>1969</v>
      </c>
      <c r="G27" s="287" t="s">
        <v>838</v>
      </c>
      <c r="H27" s="287"/>
      <c r="I27" s="287"/>
      <c r="J27" s="287"/>
      <c r="K27" s="287">
        <v>22</v>
      </c>
      <c r="L27" s="289"/>
      <c r="M27" s="287"/>
      <c r="N27" s="299">
        <f t="shared" si="0"/>
        <v>2112</v>
      </c>
      <c r="O27" s="299">
        <f t="shared" si="1"/>
        <v>5632</v>
      </c>
      <c r="P27" s="299">
        <f t="shared" si="2"/>
        <v>0</v>
      </c>
      <c r="Q27" s="299">
        <f t="shared" si="2"/>
        <v>0</v>
      </c>
    </row>
    <row r="28" spans="1:17" ht="30" x14ac:dyDescent="0.25">
      <c r="A28" s="287" t="s">
        <v>1957</v>
      </c>
      <c r="B28" s="287" t="s">
        <v>1970</v>
      </c>
      <c r="C28" s="268" t="s">
        <v>1971</v>
      </c>
      <c r="D28" s="267">
        <v>96</v>
      </c>
      <c r="E28" s="301">
        <v>384</v>
      </c>
      <c r="F28" s="267" t="s">
        <v>1955</v>
      </c>
      <c r="G28" s="302" t="s">
        <v>838</v>
      </c>
      <c r="H28" s="302"/>
      <c r="I28" s="302"/>
      <c r="J28" s="302"/>
      <c r="K28" s="302">
        <v>193</v>
      </c>
      <c r="L28" s="303" t="s">
        <v>1972</v>
      </c>
      <c r="M28" s="302"/>
      <c r="N28" s="299">
        <f t="shared" si="0"/>
        <v>18528</v>
      </c>
      <c r="O28" s="299">
        <f t="shared" si="1"/>
        <v>74112</v>
      </c>
      <c r="P28" s="299">
        <f t="shared" si="2"/>
        <v>0</v>
      </c>
      <c r="Q28" s="299">
        <f t="shared" si="2"/>
        <v>0</v>
      </c>
    </row>
    <row r="29" spans="1:17" x14ac:dyDescent="0.25">
      <c r="A29" s="302"/>
      <c r="B29" s="302"/>
      <c r="C29" s="303"/>
      <c r="D29" s="304"/>
      <c r="E29" s="305"/>
      <c r="F29" s="304"/>
      <c r="G29" s="302"/>
      <c r="H29" s="302"/>
      <c r="I29" s="302"/>
      <c r="J29" s="302"/>
      <c r="K29" s="302"/>
      <c r="L29" s="303"/>
      <c r="M29" s="302"/>
      <c r="N29" s="304"/>
      <c r="O29" s="304"/>
      <c r="P29" s="304"/>
      <c r="Q29" s="304"/>
    </row>
    <row r="30" spans="1:17" x14ac:dyDescent="0.25">
      <c r="A30" s="302"/>
      <c r="B30" s="302"/>
      <c r="C30" s="303"/>
      <c r="D30" s="304"/>
      <c r="E30" s="302"/>
      <c r="F30" s="304"/>
      <c r="G30" s="302"/>
      <c r="H30" s="302"/>
      <c r="I30" s="302"/>
      <c r="J30" s="302"/>
      <c r="K30" s="302"/>
      <c r="L30" s="303"/>
      <c r="M30" s="302"/>
      <c r="N30" s="304"/>
      <c r="O30" s="304"/>
      <c r="P30" s="304"/>
      <c r="Q30" s="304"/>
    </row>
    <row r="31" spans="1:17" x14ac:dyDescent="0.25">
      <c r="A31" s="302"/>
      <c r="B31" s="302"/>
      <c r="C31" s="303"/>
      <c r="D31" s="304"/>
      <c r="E31" s="302"/>
      <c r="F31" s="304"/>
      <c r="G31" s="302"/>
      <c r="H31" s="302"/>
      <c r="I31" s="302"/>
      <c r="J31" s="302"/>
      <c r="K31" s="302"/>
      <c r="L31" s="303"/>
      <c r="M31" s="302"/>
      <c r="N31" s="304"/>
      <c r="O31" s="304"/>
      <c r="P31" s="304"/>
      <c r="Q31" s="304"/>
    </row>
    <row r="32" spans="1:17" x14ac:dyDescent="0.25">
      <c r="A32" s="302"/>
      <c r="B32" s="302"/>
      <c r="C32" s="303"/>
      <c r="D32" s="304"/>
      <c r="E32" s="302"/>
      <c r="F32" s="304"/>
      <c r="G32" s="302"/>
      <c r="H32" s="302"/>
      <c r="I32" s="302"/>
      <c r="J32" s="302"/>
      <c r="K32" s="302"/>
      <c r="L32" s="303"/>
      <c r="M32" s="302"/>
      <c r="N32" s="304"/>
      <c r="O32" s="304"/>
      <c r="P32" s="304"/>
      <c r="Q32" s="304"/>
    </row>
    <row r="33" spans="1:17" x14ac:dyDescent="0.25">
      <c r="A33" s="302"/>
      <c r="B33" s="302"/>
      <c r="C33" s="303"/>
      <c r="D33" s="304"/>
      <c r="E33" s="302"/>
      <c r="F33" s="304"/>
      <c r="G33" s="302"/>
      <c r="H33" s="302"/>
      <c r="I33" s="302"/>
      <c r="J33" s="302"/>
      <c r="K33" s="302"/>
      <c r="L33" s="303"/>
      <c r="M33" s="302"/>
      <c r="N33" s="304"/>
      <c r="O33" s="304"/>
      <c r="P33" s="304"/>
      <c r="Q33" s="304"/>
    </row>
    <row r="34" spans="1:17" x14ac:dyDescent="0.25">
      <c r="A34" s="302"/>
      <c r="B34" s="302"/>
      <c r="C34" s="303"/>
      <c r="D34" s="304"/>
      <c r="E34" s="302"/>
      <c r="F34" s="304"/>
      <c r="G34" s="302"/>
      <c r="H34" s="302"/>
      <c r="I34" s="302"/>
      <c r="J34" s="302"/>
      <c r="K34" s="302"/>
      <c r="L34" s="303"/>
      <c r="M34" s="302"/>
      <c r="N34" s="304"/>
      <c r="O34" s="304"/>
      <c r="P34" s="304"/>
      <c r="Q34" s="304"/>
    </row>
    <row r="35" spans="1:17" x14ac:dyDescent="0.25">
      <c r="A35" s="290"/>
      <c r="B35" s="290"/>
      <c r="C35" s="291"/>
      <c r="D35" s="292"/>
      <c r="E35" s="290"/>
      <c r="F35" s="292"/>
      <c r="G35" s="290"/>
      <c r="H35" s="290"/>
      <c r="I35" s="290"/>
      <c r="J35" s="290"/>
      <c r="K35" s="290"/>
      <c r="L35" s="291"/>
      <c r="M35" s="290"/>
    </row>
    <row r="36" spans="1:17" ht="15.75" x14ac:dyDescent="0.25">
      <c r="A36" s="504" t="s">
        <v>1973</v>
      </c>
      <c r="B36" s="504"/>
      <c r="C36" s="504"/>
      <c r="D36" s="504"/>
      <c r="E36" s="504"/>
      <c r="F36" s="504"/>
      <c r="G36" s="504"/>
      <c r="H36" s="504"/>
      <c r="I36" s="504"/>
      <c r="J36" s="504"/>
      <c r="K36" s="504"/>
      <c r="L36" s="504"/>
      <c r="M36" s="504"/>
    </row>
    <row r="37" spans="1:17" x14ac:dyDescent="0.25">
      <c r="A37" s="295" t="s">
        <v>1946</v>
      </c>
      <c r="B37" s="295" t="s">
        <v>1947</v>
      </c>
      <c r="C37" s="306" t="s">
        <v>1948</v>
      </c>
      <c r="D37" s="295" t="s">
        <v>1856</v>
      </c>
      <c r="E37" s="295" t="s">
        <v>1805</v>
      </c>
      <c r="F37" s="297" t="s">
        <v>1857</v>
      </c>
      <c r="G37" s="295" t="s">
        <v>1809</v>
      </c>
      <c r="H37" s="295" t="s">
        <v>1858</v>
      </c>
      <c r="I37" s="295" t="s">
        <v>1859</v>
      </c>
      <c r="J37" s="295" t="s">
        <v>1860</v>
      </c>
      <c r="K37" s="295" t="s">
        <v>1861</v>
      </c>
      <c r="L37" s="306" t="s">
        <v>13</v>
      </c>
      <c r="M37" s="295" t="s">
        <v>1862</v>
      </c>
    </row>
    <row r="38" spans="1:17" x14ac:dyDescent="0.25">
      <c r="A38" s="266" t="s">
        <v>1953</v>
      </c>
      <c r="B38" s="266" t="s">
        <v>1974</v>
      </c>
      <c r="C38" s="307" t="s">
        <v>1975</v>
      </c>
      <c r="D38" s="308"/>
      <c r="E38" s="266">
        <v>128</v>
      </c>
      <c r="F38" s="309" t="s">
        <v>1976</v>
      </c>
      <c r="G38" s="310"/>
      <c r="H38" s="310"/>
      <c r="I38" s="310"/>
      <c r="J38" s="310"/>
      <c r="K38" s="266">
        <v>21</v>
      </c>
      <c r="L38" s="311"/>
      <c r="M38" s="310"/>
    </row>
    <row r="39" spans="1:17" x14ac:dyDescent="0.25">
      <c r="A39" s="266" t="s">
        <v>1953</v>
      </c>
      <c r="B39" s="266" t="s">
        <v>1977</v>
      </c>
      <c r="C39" s="307" t="s">
        <v>1975</v>
      </c>
      <c r="D39" s="308"/>
      <c r="E39" s="266">
        <v>128</v>
      </c>
      <c r="F39" s="309" t="s">
        <v>1976</v>
      </c>
      <c r="G39" s="310"/>
      <c r="H39" s="310"/>
      <c r="J39" s="310"/>
      <c r="K39" s="266">
        <v>19</v>
      </c>
      <c r="L39" s="307" t="s">
        <v>1978</v>
      </c>
      <c r="M39" s="310"/>
    </row>
    <row r="40" spans="1:17" x14ac:dyDescent="0.25">
      <c r="A40" s="266" t="s">
        <v>1953</v>
      </c>
      <c r="B40" s="266" t="s">
        <v>1979</v>
      </c>
      <c r="C40" s="307" t="s">
        <v>1980</v>
      </c>
      <c r="D40" s="308"/>
      <c r="E40" s="266">
        <v>256</v>
      </c>
      <c r="F40" s="309" t="s">
        <v>1976</v>
      </c>
      <c r="G40" s="310"/>
      <c r="H40" s="310"/>
      <c r="I40" s="266" t="s">
        <v>1869</v>
      </c>
      <c r="J40" s="310"/>
      <c r="K40" s="266">
        <v>2</v>
      </c>
      <c r="L40" s="311"/>
      <c r="M40" s="310"/>
    </row>
    <row r="41" spans="1:17" x14ac:dyDescent="0.25">
      <c r="A41" s="266" t="s">
        <v>1953</v>
      </c>
      <c r="B41" s="266" t="s">
        <v>1981</v>
      </c>
      <c r="C41" s="307" t="s">
        <v>1980</v>
      </c>
      <c r="D41" s="308"/>
      <c r="E41" s="266">
        <v>256</v>
      </c>
      <c r="F41" s="309" t="s">
        <v>1976</v>
      </c>
      <c r="G41" s="310"/>
      <c r="H41" s="310"/>
      <c r="I41" s="310"/>
      <c r="J41" s="310"/>
      <c r="K41" s="266">
        <v>19</v>
      </c>
      <c r="L41" s="307" t="s">
        <v>1978</v>
      </c>
      <c r="M41" s="310"/>
    </row>
    <row r="42" spans="1:17" ht="30" x14ac:dyDescent="0.25">
      <c r="A42" s="312" t="s">
        <v>1953</v>
      </c>
      <c r="B42" s="313" t="s">
        <v>1982</v>
      </c>
      <c r="C42" s="314" t="s">
        <v>1983</v>
      </c>
      <c r="D42" s="315"/>
      <c r="E42" s="312">
        <v>256</v>
      </c>
      <c r="F42" s="314" t="s">
        <v>1984</v>
      </c>
      <c r="G42" s="315"/>
      <c r="H42" s="315"/>
      <c r="I42" s="266" t="s">
        <v>1869</v>
      </c>
      <c r="J42" s="315"/>
      <c r="K42" s="312">
        <v>120</v>
      </c>
      <c r="L42" s="315"/>
      <c r="M42" s="315"/>
    </row>
    <row r="43" spans="1:17" x14ac:dyDescent="0.25">
      <c r="A43" s="266" t="s">
        <v>1953</v>
      </c>
      <c r="B43" s="266" t="s">
        <v>1985</v>
      </c>
      <c r="C43" s="307" t="s">
        <v>1986</v>
      </c>
      <c r="D43" s="308"/>
      <c r="E43" s="266">
        <v>384</v>
      </c>
      <c r="F43" s="309" t="s">
        <v>1987</v>
      </c>
      <c r="G43" s="310"/>
      <c r="H43" s="310"/>
      <c r="I43" s="316"/>
      <c r="J43" s="310"/>
      <c r="K43" s="266">
        <v>5</v>
      </c>
      <c r="L43" s="311"/>
      <c r="M43" s="310"/>
    </row>
    <row r="44" spans="1:17" ht="45" x14ac:dyDescent="0.25">
      <c r="A44" s="266" t="s">
        <v>1953</v>
      </c>
      <c r="B44" s="266" t="s">
        <v>1988</v>
      </c>
      <c r="C44" s="307" t="s">
        <v>1989</v>
      </c>
      <c r="D44" s="308">
        <v>192</v>
      </c>
      <c r="E44" s="266">
        <v>256</v>
      </c>
      <c r="F44" s="309" t="s">
        <v>1990</v>
      </c>
      <c r="G44" s="310"/>
      <c r="H44" s="310"/>
      <c r="I44" s="266" t="s">
        <v>1869</v>
      </c>
      <c r="J44" s="266" t="s">
        <v>1991</v>
      </c>
      <c r="K44" s="266">
        <v>12</v>
      </c>
      <c r="L44" s="311" t="s">
        <v>1992</v>
      </c>
      <c r="M44" s="266">
        <v>12</v>
      </c>
    </row>
    <row r="45" spans="1:17" ht="45" x14ac:dyDescent="0.25">
      <c r="A45" s="312" t="s">
        <v>1953</v>
      </c>
      <c r="B45" s="312" t="s">
        <v>1993</v>
      </c>
      <c r="C45" s="314" t="s">
        <v>1994</v>
      </c>
      <c r="D45" s="315">
        <v>256</v>
      </c>
      <c r="E45" s="312">
        <v>256</v>
      </c>
      <c r="F45" s="314" t="s">
        <v>1995</v>
      </c>
      <c r="G45" s="315"/>
      <c r="H45" s="315"/>
      <c r="I45" s="266" t="s">
        <v>1869</v>
      </c>
      <c r="J45" s="266" t="s">
        <v>1991</v>
      </c>
      <c r="K45" s="312">
        <v>11</v>
      </c>
      <c r="L45" s="311" t="s">
        <v>1992</v>
      </c>
      <c r="M45" s="266">
        <v>11</v>
      </c>
    </row>
    <row r="46" spans="1:17" ht="45" x14ac:dyDescent="0.25">
      <c r="A46" s="266" t="s">
        <v>1953</v>
      </c>
      <c r="B46" s="266" t="s">
        <v>1996</v>
      </c>
      <c r="C46" s="307" t="s">
        <v>1997</v>
      </c>
      <c r="D46" s="308">
        <f>96*2</f>
        <v>192</v>
      </c>
      <c r="E46" s="266">
        <v>384</v>
      </c>
      <c r="F46" s="309" t="s">
        <v>1990</v>
      </c>
      <c r="G46" s="310"/>
      <c r="H46" s="310"/>
      <c r="I46" s="266" t="s">
        <v>1869</v>
      </c>
      <c r="J46" s="266" t="s">
        <v>1998</v>
      </c>
      <c r="K46" s="266">
        <v>13</v>
      </c>
      <c r="L46" s="311" t="s">
        <v>1992</v>
      </c>
      <c r="M46" s="266">
        <v>13</v>
      </c>
    </row>
    <row r="47" spans="1:17" ht="45" x14ac:dyDescent="0.25">
      <c r="A47" s="315"/>
      <c r="B47" s="313" t="s">
        <v>1979</v>
      </c>
      <c r="C47" s="314" t="s">
        <v>1999</v>
      </c>
      <c r="D47" s="315"/>
      <c r="E47" s="312">
        <v>256</v>
      </c>
      <c r="F47" s="314" t="s">
        <v>2000</v>
      </c>
      <c r="G47" s="313" t="s">
        <v>2001</v>
      </c>
      <c r="H47" s="315"/>
      <c r="I47" s="266" t="s">
        <v>1869</v>
      </c>
      <c r="J47" s="315"/>
      <c r="K47" s="312">
        <v>215</v>
      </c>
      <c r="L47" s="313" t="s">
        <v>2002</v>
      </c>
      <c r="M47" s="315"/>
    </row>
    <row r="48" spans="1:17" ht="30" x14ac:dyDescent="0.25">
      <c r="A48" s="315"/>
      <c r="B48" s="313" t="s">
        <v>2003</v>
      </c>
      <c r="C48" s="314" t="s">
        <v>2004</v>
      </c>
      <c r="D48" s="315"/>
      <c r="E48" s="312">
        <v>256</v>
      </c>
      <c r="F48" s="314" t="s">
        <v>2000</v>
      </c>
      <c r="G48" s="313" t="s">
        <v>2001</v>
      </c>
      <c r="H48" s="315"/>
      <c r="I48" s="315"/>
      <c r="J48" s="315"/>
      <c r="K48" s="312">
        <v>9</v>
      </c>
      <c r="L48" s="313" t="s">
        <v>2002</v>
      </c>
      <c r="M48" s="315"/>
    </row>
    <row r="49" spans="1:13" ht="45" x14ac:dyDescent="0.25">
      <c r="A49" s="317"/>
      <c r="B49" s="318" t="s">
        <v>2005</v>
      </c>
      <c r="C49" s="319" t="s">
        <v>2006</v>
      </c>
      <c r="D49" s="320"/>
      <c r="E49" s="318">
        <v>256</v>
      </c>
      <c r="F49" s="319" t="s">
        <v>2007</v>
      </c>
      <c r="G49" s="318" t="s">
        <v>2001</v>
      </c>
      <c r="H49" s="320"/>
      <c r="I49" s="320"/>
      <c r="J49" s="320"/>
      <c r="K49" s="321">
        <v>14</v>
      </c>
      <c r="L49" s="318" t="s">
        <v>2002</v>
      </c>
      <c r="M49" s="322"/>
    </row>
    <row r="50" spans="1:13" x14ac:dyDescent="0.25">
      <c r="A50" s="290"/>
      <c r="B50" s="290"/>
      <c r="C50" s="291"/>
      <c r="D50" s="292"/>
      <c r="E50" s="290"/>
      <c r="F50" s="292"/>
      <c r="G50" s="290"/>
      <c r="H50" s="290"/>
      <c r="I50" s="290"/>
      <c r="J50" s="290"/>
      <c r="K50" s="290"/>
      <c r="L50" s="291"/>
      <c r="M50" s="290"/>
    </row>
    <row r="51" spans="1:13" ht="15.75" x14ac:dyDescent="0.25">
      <c r="A51" s="504" t="s">
        <v>2008</v>
      </c>
      <c r="B51" s="504"/>
      <c r="C51" s="504"/>
      <c r="D51" s="504"/>
      <c r="E51" s="504"/>
      <c r="F51" s="504"/>
      <c r="G51" s="504"/>
      <c r="H51" s="504"/>
      <c r="I51" s="504"/>
      <c r="J51" s="504"/>
      <c r="K51" s="504"/>
      <c r="L51" s="504"/>
      <c r="M51" s="504"/>
    </row>
    <row r="52" spans="1:13" ht="30" x14ac:dyDescent="0.25">
      <c r="A52" s="266"/>
      <c r="B52" s="323" t="s">
        <v>1974</v>
      </c>
      <c r="C52" s="307" t="s">
        <v>2009</v>
      </c>
      <c r="D52" s="308"/>
      <c r="E52" s="266">
        <v>128</v>
      </c>
      <c r="F52" s="309" t="s">
        <v>1976</v>
      </c>
      <c r="G52" s="310"/>
      <c r="H52" s="310"/>
      <c r="I52" s="266" t="s">
        <v>1869</v>
      </c>
      <c r="J52" s="310"/>
      <c r="K52" s="266">
        <v>87</v>
      </c>
      <c r="L52" s="311"/>
      <c r="M52" s="310"/>
    </row>
    <row r="53" spans="1:13" ht="30" x14ac:dyDescent="0.25">
      <c r="A53" s="266"/>
      <c r="B53" s="323" t="s">
        <v>1977</v>
      </c>
      <c r="C53" s="307" t="s">
        <v>2010</v>
      </c>
      <c r="D53" s="308"/>
      <c r="E53" s="266">
        <v>256</v>
      </c>
      <c r="F53" s="309" t="s">
        <v>1976</v>
      </c>
      <c r="G53" s="310"/>
      <c r="H53" s="310"/>
      <c r="I53" s="266" t="s">
        <v>1869</v>
      </c>
      <c r="J53" s="310"/>
      <c r="K53" s="266">
        <v>26</v>
      </c>
      <c r="L53" s="311"/>
      <c r="M53" s="310"/>
    </row>
    <row r="54" spans="1:13" x14ac:dyDescent="0.25">
      <c r="A54" s="509"/>
      <c r="B54" s="507" t="s">
        <v>1979</v>
      </c>
      <c r="C54" s="507" t="s">
        <v>2011</v>
      </c>
      <c r="D54" s="505"/>
      <c r="E54" s="509">
        <v>384</v>
      </c>
      <c r="F54" s="324" t="s">
        <v>1987</v>
      </c>
      <c r="G54" s="505"/>
      <c r="H54" s="505"/>
      <c r="I54" s="511"/>
      <c r="J54" s="505"/>
      <c r="K54" s="509">
        <v>10</v>
      </c>
      <c r="L54" s="505"/>
      <c r="M54" s="505"/>
    </row>
    <row r="55" spans="1:13" x14ac:dyDescent="0.25">
      <c r="A55" s="510"/>
      <c r="B55" s="508"/>
      <c r="C55" s="508"/>
      <c r="D55" s="506"/>
      <c r="E55" s="510"/>
      <c r="F55" s="326" t="s">
        <v>2012</v>
      </c>
      <c r="G55" s="506"/>
      <c r="H55" s="506"/>
      <c r="I55" s="512"/>
      <c r="J55" s="506"/>
      <c r="K55" s="510"/>
      <c r="L55" s="506"/>
      <c r="M55" s="506"/>
    </row>
    <row r="56" spans="1:13" x14ac:dyDescent="0.25">
      <c r="A56" s="509"/>
      <c r="B56" s="507" t="s">
        <v>2013</v>
      </c>
      <c r="C56" s="507" t="s">
        <v>2014</v>
      </c>
      <c r="D56" s="505"/>
      <c r="E56" s="509">
        <v>384</v>
      </c>
      <c r="F56" s="324" t="s">
        <v>1987</v>
      </c>
      <c r="G56" s="505"/>
      <c r="H56" s="505"/>
      <c r="I56" s="509" t="s">
        <v>1869</v>
      </c>
      <c r="J56" s="505"/>
      <c r="K56" s="509">
        <v>3</v>
      </c>
      <c r="L56" s="505"/>
      <c r="M56" s="505"/>
    </row>
    <row r="57" spans="1:13" x14ac:dyDescent="0.25">
      <c r="A57" s="510"/>
      <c r="B57" s="508"/>
      <c r="C57" s="508"/>
      <c r="D57" s="506"/>
      <c r="E57" s="510"/>
      <c r="F57" s="326" t="s">
        <v>2015</v>
      </c>
      <c r="G57" s="506"/>
      <c r="H57" s="506"/>
      <c r="I57" s="510"/>
      <c r="J57" s="506"/>
      <c r="K57" s="510"/>
      <c r="L57" s="506"/>
      <c r="M57" s="506"/>
    </row>
    <row r="58" spans="1:13" x14ac:dyDescent="0.25">
      <c r="A58" s="509"/>
      <c r="B58" s="507" t="s">
        <v>1985</v>
      </c>
      <c r="C58" s="314" t="s">
        <v>2016</v>
      </c>
      <c r="D58" s="505"/>
      <c r="E58" s="509">
        <v>512</v>
      </c>
      <c r="F58" s="324" t="s">
        <v>1987</v>
      </c>
      <c r="G58" s="505"/>
      <c r="H58" s="505"/>
      <c r="I58" s="509" t="s">
        <v>1869</v>
      </c>
      <c r="J58" s="505"/>
      <c r="K58" s="509">
        <v>120</v>
      </c>
      <c r="L58" s="505"/>
      <c r="M58" s="505"/>
    </row>
    <row r="59" spans="1:13" x14ac:dyDescent="0.25">
      <c r="A59" s="510"/>
      <c r="B59" s="508"/>
      <c r="C59" s="327" t="s">
        <v>2015</v>
      </c>
      <c r="D59" s="506"/>
      <c r="E59" s="510"/>
      <c r="F59" s="326" t="s">
        <v>2015</v>
      </c>
      <c r="G59" s="506"/>
      <c r="H59" s="506"/>
      <c r="I59" s="510"/>
      <c r="J59" s="506"/>
      <c r="K59" s="510"/>
      <c r="L59" s="506"/>
      <c r="M59" s="506"/>
    </row>
    <row r="60" spans="1:13" x14ac:dyDescent="0.25">
      <c r="A60" s="266"/>
      <c r="B60" s="323" t="s">
        <v>1988</v>
      </c>
      <c r="C60" s="307" t="s">
        <v>2017</v>
      </c>
      <c r="D60" s="308"/>
      <c r="E60" s="266" t="s">
        <v>2018</v>
      </c>
      <c r="F60" s="309" t="s">
        <v>2018</v>
      </c>
      <c r="G60" s="310"/>
      <c r="H60" s="310"/>
      <c r="I60" s="266" t="s">
        <v>2018</v>
      </c>
      <c r="J60" s="266" t="s">
        <v>2018</v>
      </c>
      <c r="K60" s="266">
        <v>38</v>
      </c>
      <c r="L60" s="307" t="s">
        <v>2019</v>
      </c>
      <c r="M60" s="310"/>
    </row>
    <row r="61" spans="1:13" x14ac:dyDescent="0.25">
      <c r="A61" s="266"/>
      <c r="B61" s="323" t="s">
        <v>2020</v>
      </c>
      <c r="C61" s="307" t="s">
        <v>2018</v>
      </c>
      <c r="D61" s="308"/>
      <c r="E61" s="266" t="s">
        <v>2018</v>
      </c>
      <c r="F61" s="309" t="s">
        <v>2018</v>
      </c>
      <c r="G61" s="310"/>
      <c r="H61" s="310"/>
      <c r="I61" s="266" t="s">
        <v>2018</v>
      </c>
      <c r="J61" s="266" t="s">
        <v>2018</v>
      </c>
      <c r="K61" s="266">
        <v>8</v>
      </c>
      <c r="L61" s="307" t="s">
        <v>2019</v>
      </c>
      <c r="M61" s="310"/>
    </row>
    <row r="62" spans="1:13" ht="30" x14ac:dyDescent="0.25">
      <c r="A62" s="266"/>
      <c r="B62" s="298" t="s">
        <v>2021</v>
      </c>
      <c r="C62" s="268" t="s">
        <v>2022</v>
      </c>
      <c r="D62" s="308"/>
      <c r="E62" s="266">
        <v>256</v>
      </c>
      <c r="F62" s="309" t="s">
        <v>2023</v>
      </c>
      <c r="G62" s="310"/>
      <c r="H62" s="310"/>
      <c r="I62" s="310"/>
      <c r="J62" s="310"/>
      <c r="K62" s="266">
        <v>211</v>
      </c>
      <c r="L62" s="311"/>
      <c r="M62" s="310"/>
    </row>
  </sheetData>
  <mergeCells count="50">
    <mergeCell ref="L56:L57"/>
    <mergeCell ref="M56:M57"/>
    <mergeCell ref="A58:A59"/>
    <mergeCell ref="L58:L59"/>
    <mergeCell ref="K58:K59"/>
    <mergeCell ref="J58:J59"/>
    <mergeCell ref="I58:I59"/>
    <mergeCell ref="M58:M59"/>
    <mergeCell ref="G58:G59"/>
    <mergeCell ref="E58:E59"/>
    <mergeCell ref="D58:D59"/>
    <mergeCell ref="B58:B59"/>
    <mergeCell ref="H58:H59"/>
    <mergeCell ref="G56:G57"/>
    <mergeCell ref="H56:H57"/>
    <mergeCell ref="I56:I57"/>
    <mergeCell ref="J56:J57"/>
    <mergeCell ref="K56:K57"/>
    <mergeCell ref="A56:A57"/>
    <mergeCell ref="B56:B57"/>
    <mergeCell ref="C56:C57"/>
    <mergeCell ref="D56:D57"/>
    <mergeCell ref="E56:E57"/>
    <mergeCell ref="A6:A7"/>
    <mergeCell ref="A20:M20"/>
    <mergeCell ref="A36:M36"/>
    <mergeCell ref="A51:M51"/>
    <mergeCell ref="H54:H55"/>
    <mergeCell ref="B54:B55"/>
    <mergeCell ref="L54:L55"/>
    <mergeCell ref="K54:K55"/>
    <mergeCell ref="J54:J55"/>
    <mergeCell ref="I54:I55"/>
    <mergeCell ref="M54:M55"/>
    <mergeCell ref="G54:G55"/>
    <mergeCell ref="E54:E55"/>
    <mergeCell ref="D54:D55"/>
    <mergeCell ref="C54:C55"/>
    <mergeCell ref="A54:A55"/>
    <mergeCell ref="M6:M7"/>
    <mergeCell ref="G6:G7"/>
    <mergeCell ref="F6:F7"/>
    <mergeCell ref="E6:E7"/>
    <mergeCell ref="D6:D7"/>
    <mergeCell ref="H6:H7"/>
    <mergeCell ref="B6:B7"/>
    <mergeCell ref="L6:L7"/>
    <mergeCell ref="K6:K7"/>
    <mergeCell ref="J6:J7"/>
    <mergeCell ref="I6:I7"/>
  </mergeCells>
  <printOptions gridLines="1" gridLinesSet="0"/>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4"/>
  <sheetViews>
    <sheetView workbookViewId="0">
      <selection activeCell="G23" sqref="G23"/>
    </sheetView>
  </sheetViews>
  <sheetFormatPr defaultColWidth="9" defaultRowHeight="15" x14ac:dyDescent="0.25"/>
  <cols>
    <col min="1" max="1" width="6.5703125" style="188" customWidth="1"/>
    <col min="2" max="2" width="27.140625" style="188" customWidth="1"/>
    <col min="3" max="3" width="9" style="188"/>
    <col min="4" max="4" width="10.140625" style="188" bestFit="1"/>
    <col min="5" max="5" width="12.42578125" style="188" customWidth="1"/>
    <col min="6" max="6" width="10.85546875" style="188" customWidth="1"/>
    <col min="7" max="8" width="9" style="188"/>
    <col min="9" max="9" width="8.5703125" style="188" customWidth="1"/>
    <col min="10" max="16" width="9" style="188"/>
    <col min="17" max="17" width="11.140625" style="188" customWidth="1"/>
    <col min="18" max="18" width="14.42578125" style="188" customWidth="1"/>
    <col min="19" max="19" width="52" style="188" customWidth="1"/>
    <col min="20" max="20" width="9" style="188"/>
    <col min="21" max="21" width="13.7109375" style="188" hidden="1" customWidth="1"/>
    <col min="22" max="22" width="12.85546875" style="188" hidden="1" customWidth="1"/>
    <col min="23" max="16384" width="9" style="188"/>
  </cols>
  <sheetData>
    <row r="1" spans="1:16384" ht="27" x14ac:dyDescent="0.25">
      <c r="A1" s="328" t="s">
        <v>0</v>
      </c>
      <c r="B1" s="328" t="s">
        <v>1481</v>
      </c>
      <c r="C1" s="328" t="s">
        <v>2</v>
      </c>
      <c r="D1" s="328" t="s">
        <v>2024</v>
      </c>
      <c r="E1" s="329" t="s">
        <v>2025</v>
      </c>
      <c r="F1" s="328" t="s">
        <v>2026</v>
      </c>
      <c r="G1" s="328" t="s">
        <v>1483</v>
      </c>
      <c r="H1" s="328" t="s">
        <v>1484</v>
      </c>
      <c r="I1" s="328" t="s">
        <v>1485</v>
      </c>
      <c r="J1" s="328" t="s">
        <v>1486</v>
      </c>
      <c r="K1" s="328" t="s">
        <v>1805</v>
      </c>
      <c r="L1" s="328" t="s">
        <v>1806</v>
      </c>
      <c r="M1" s="328" t="s">
        <v>1807</v>
      </c>
      <c r="N1" s="328" t="s">
        <v>1808</v>
      </c>
      <c r="O1" s="328" t="s">
        <v>1809</v>
      </c>
      <c r="P1" s="328" t="s">
        <v>1858</v>
      </c>
      <c r="Q1" s="328" t="s">
        <v>1494</v>
      </c>
      <c r="R1" s="328" t="s">
        <v>2027</v>
      </c>
      <c r="S1" s="328" t="s">
        <v>13</v>
      </c>
    </row>
    <row r="2" spans="1:16384" x14ac:dyDescent="0.25">
      <c r="A2" s="330">
        <v>1</v>
      </c>
      <c r="B2" s="331" t="s">
        <v>1665</v>
      </c>
      <c r="C2" s="330" t="s">
        <v>188</v>
      </c>
      <c r="D2" s="332"/>
      <c r="E2" s="304"/>
      <c r="F2" s="148"/>
      <c r="G2" s="148"/>
      <c r="H2" s="148">
        <v>3</v>
      </c>
      <c r="I2" s="148"/>
      <c r="J2" s="148"/>
      <c r="K2" s="148"/>
      <c r="L2" s="148">
        <f>(8.5*1024+200+5*1024+60+(8.5*1024+200+60)*2)</f>
        <v>32012</v>
      </c>
      <c r="M2" s="333"/>
      <c r="N2" s="148"/>
      <c r="O2" s="332"/>
      <c r="P2" s="332"/>
      <c r="Q2" s="334" t="s">
        <v>2028</v>
      </c>
      <c r="R2" s="335">
        <v>2021</v>
      </c>
      <c r="S2" s="331" t="s">
        <v>2029</v>
      </c>
    </row>
    <row r="3" spans="1:16384" ht="25.5" x14ac:dyDescent="0.25">
      <c r="A3" s="330">
        <v>2</v>
      </c>
      <c r="B3" s="331" t="s">
        <v>2030</v>
      </c>
      <c r="C3" s="330" t="s">
        <v>188</v>
      </c>
      <c r="D3" s="332" t="s">
        <v>168</v>
      </c>
      <c r="E3" s="304"/>
      <c r="F3" s="336" t="s">
        <v>2031</v>
      </c>
      <c r="G3" s="148" t="s">
        <v>1608</v>
      </c>
      <c r="H3" s="148">
        <v>30</v>
      </c>
      <c r="I3" s="148">
        <f>80*H3</f>
        <v>2400</v>
      </c>
      <c r="J3" s="148">
        <f>I3*3</f>
        <v>7200</v>
      </c>
      <c r="K3" s="148">
        <f>256*H3</f>
        <v>7680</v>
      </c>
      <c r="L3" s="148"/>
      <c r="M3" s="333"/>
      <c r="N3" s="148"/>
      <c r="O3" s="332"/>
      <c r="P3" s="332"/>
      <c r="Q3" s="334"/>
      <c r="R3" s="335"/>
      <c r="S3" s="331" t="s">
        <v>2032</v>
      </c>
      <c r="T3" s="337"/>
    </row>
    <row r="4" spans="1:16384" ht="38.25" x14ac:dyDescent="0.25">
      <c r="A4" s="330">
        <v>3</v>
      </c>
      <c r="B4" s="331" t="s">
        <v>2033</v>
      </c>
      <c r="C4" s="330" t="s">
        <v>980</v>
      </c>
      <c r="D4" s="332" t="s">
        <v>985</v>
      </c>
      <c r="E4" s="304"/>
      <c r="F4" s="148" t="s">
        <v>2034</v>
      </c>
      <c r="G4" s="148" t="s">
        <v>1682</v>
      </c>
      <c r="H4" s="148">
        <v>2</v>
      </c>
      <c r="I4" s="148">
        <f>96*H4</f>
        <v>192</v>
      </c>
      <c r="J4" s="148">
        <f>I4*3</f>
        <v>576</v>
      </c>
      <c r="K4" s="148">
        <f>8*32*H4</f>
        <v>512</v>
      </c>
      <c r="L4" s="148"/>
      <c r="M4" s="333"/>
      <c r="N4" s="148"/>
      <c r="O4" s="332"/>
      <c r="P4" s="332"/>
      <c r="Q4" s="334" t="s">
        <v>2035</v>
      </c>
      <c r="R4" s="335"/>
      <c r="S4" s="331" t="s">
        <v>2036</v>
      </c>
    </row>
    <row r="5" spans="1:16384" x14ac:dyDescent="0.25">
      <c r="A5" s="330">
        <v>4</v>
      </c>
      <c r="B5" s="331" t="s">
        <v>2037</v>
      </c>
      <c r="C5" s="330" t="s">
        <v>236</v>
      </c>
      <c r="D5" s="332" t="s">
        <v>845</v>
      </c>
      <c r="E5" s="304"/>
      <c r="F5" s="148" t="s">
        <v>274</v>
      </c>
      <c r="G5" s="148" t="s">
        <v>815</v>
      </c>
      <c r="H5" s="148">
        <v>6</v>
      </c>
      <c r="I5" s="148">
        <v>201</v>
      </c>
      <c r="J5" s="148">
        <v>660</v>
      </c>
      <c r="K5" s="148">
        <f>256*H5</f>
        <v>1536</v>
      </c>
      <c r="L5" s="148"/>
      <c r="M5" s="333"/>
      <c r="N5" s="148"/>
      <c r="O5" s="332">
        <v>150000</v>
      </c>
      <c r="P5" s="332"/>
      <c r="Q5" s="334" t="s">
        <v>2028</v>
      </c>
      <c r="R5" s="335">
        <v>2021</v>
      </c>
      <c r="S5" s="331" t="s">
        <v>2038</v>
      </c>
    </row>
    <row r="6" spans="1:16384" x14ac:dyDescent="0.25">
      <c r="A6" s="330">
        <v>5</v>
      </c>
      <c r="B6" s="331" t="s">
        <v>2039</v>
      </c>
      <c r="C6" s="330" t="s">
        <v>188</v>
      </c>
      <c r="D6" s="332" t="s">
        <v>1159</v>
      </c>
      <c r="E6" s="304"/>
      <c r="F6" s="336">
        <v>45446</v>
      </c>
      <c r="G6" s="148" t="s">
        <v>815</v>
      </c>
      <c r="H6" s="148">
        <v>31</v>
      </c>
      <c r="I6" s="148">
        <v>903</v>
      </c>
      <c r="J6" s="148">
        <v>2710</v>
      </c>
      <c r="K6" s="148">
        <v>7936</v>
      </c>
      <c r="L6" s="148"/>
      <c r="M6" s="333"/>
      <c r="N6" s="148"/>
      <c r="O6" s="332">
        <v>372736</v>
      </c>
      <c r="P6" s="332"/>
      <c r="Q6" s="334" t="s">
        <v>2028</v>
      </c>
      <c r="R6" s="335">
        <v>2021</v>
      </c>
      <c r="S6" s="331" t="s">
        <v>1901</v>
      </c>
    </row>
    <row r="7" spans="1:16384" ht="153" x14ac:dyDescent="0.25">
      <c r="A7" s="330">
        <v>6</v>
      </c>
      <c r="B7" s="331" t="s">
        <v>2040</v>
      </c>
      <c r="C7" s="330" t="s">
        <v>188</v>
      </c>
      <c r="D7" s="332" t="s">
        <v>2041</v>
      </c>
      <c r="E7" s="304"/>
      <c r="F7" s="336"/>
      <c r="G7" s="148" t="s">
        <v>815</v>
      </c>
      <c r="H7" s="148">
        <v>2</v>
      </c>
      <c r="I7" s="148">
        <v>8</v>
      </c>
      <c r="J7" s="148">
        <v>24</v>
      </c>
      <c r="K7" s="148">
        <v>64</v>
      </c>
      <c r="L7" s="148">
        <v>1326</v>
      </c>
      <c r="M7" s="333"/>
      <c r="N7" s="148"/>
      <c r="O7" s="332"/>
      <c r="P7" s="332"/>
      <c r="Q7" s="334"/>
      <c r="R7" s="335"/>
      <c r="S7" s="338" t="s">
        <v>2042</v>
      </c>
      <c r="T7" s="337"/>
    </row>
    <row r="8" spans="1:16384" x14ac:dyDescent="0.25">
      <c r="A8" s="339">
        <v>7</v>
      </c>
      <c r="B8" s="340" t="s">
        <v>2043</v>
      </c>
      <c r="C8" s="339" t="s">
        <v>188</v>
      </c>
      <c r="D8" s="341" t="s">
        <v>213</v>
      </c>
      <c r="E8" s="342"/>
      <c r="F8" s="343"/>
      <c r="G8" s="343" t="s">
        <v>816</v>
      </c>
      <c r="H8" s="343">
        <v>8</v>
      </c>
      <c r="I8" s="343">
        <v>355</v>
      </c>
      <c r="J8" s="343">
        <v>1063</v>
      </c>
      <c r="K8" s="343">
        <v>1599</v>
      </c>
      <c r="L8" s="343">
        <v>28215</v>
      </c>
      <c r="M8" s="344"/>
      <c r="N8" s="343"/>
      <c r="O8" s="341"/>
      <c r="P8" s="341"/>
      <c r="Q8" s="345" t="s">
        <v>2035</v>
      </c>
      <c r="R8" s="346"/>
      <c r="S8" s="340"/>
    </row>
    <row r="9" spans="1:16384" ht="63.75" x14ac:dyDescent="0.25">
      <c r="A9" s="74">
        <v>8</v>
      </c>
      <c r="B9" s="127" t="s">
        <v>2044</v>
      </c>
      <c r="C9" s="74" t="s">
        <v>236</v>
      </c>
      <c r="D9" s="75" t="s">
        <v>845</v>
      </c>
      <c r="E9" s="304"/>
      <c r="F9" s="75"/>
      <c r="G9" s="77" t="s">
        <v>816</v>
      </c>
      <c r="H9" s="73">
        <v>30</v>
      </c>
      <c r="I9" s="73">
        <v>1830</v>
      </c>
      <c r="J9" s="73">
        <v>5490</v>
      </c>
      <c r="K9" s="73">
        <f>128*15+128*15</f>
        <v>3840</v>
      </c>
      <c r="L9" s="73"/>
      <c r="M9" s="73"/>
      <c r="N9" s="73"/>
      <c r="O9" s="74">
        <v>528600</v>
      </c>
      <c r="P9" s="74"/>
      <c r="Q9" s="73" t="s">
        <v>2045</v>
      </c>
      <c r="R9" s="74"/>
      <c r="S9" s="127" t="s">
        <v>2046</v>
      </c>
      <c r="T9" s="121"/>
      <c r="U9" s="347"/>
      <c r="V9" s="117"/>
      <c r="W9" s="117"/>
      <c r="X9" s="117"/>
      <c r="Y9" s="117"/>
      <c r="Z9" s="117"/>
      <c r="AA9" s="117"/>
      <c r="AB9" s="117"/>
      <c r="AC9" s="117"/>
      <c r="AD9" s="117"/>
      <c r="AE9" s="117"/>
      <c r="AF9" s="117"/>
      <c r="AG9" s="117"/>
      <c r="AH9" s="117"/>
      <c r="AI9" s="117"/>
      <c r="AJ9" s="117"/>
      <c r="AK9" s="117"/>
      <c r="AL9" s="117"/>
      <c r="AM9" s="117"/>
      <c r="AN9" s="117"/>
      <c r="AO9" s="117"/>
      <c r="AP9" s="117"/>
      <c r="AQ9" s="117"/>
      <c r="AR9" s="117"/>
      <c r="AS9" s="117"/>
      <c r="AT9" s="117"/>
      <c r="AU9" s="117"/>
      <c r="AV9" s="117"/>
      <c r="AW9" s="117"/>
      <c r="AX9" s="117"/>
      <c r="AY9" s="117"/>
      <c r="AZ9" s="117"/>
      <c r="BA9" s="117"/>
      <c r="BB9" s="117"/>
      <c r="BC9" s="117"/>
      <c r="BD9" s="117"/>
      <c r="BE9" s="117"/>
      <c r="BF9" s="117"/>
      <c r="BG9" s="117"/>
      <c r="BH9" s="117"/>
      <c r="BI9" s="117"/>
      <c r="BJ9" s="117"/>
      <c r="BK9" s="117"/>
      <c r="BL9" s="117"/>
      <c r="BM9" s="117"/>
      <c r="BN9" s="117"/>
      <c r="BO9" s="117"/>
      <c r="BP9" s="117"/>
      <c r="BQ9" s="117"/>
      <c r="BR9" s="117"/>
      <c r="BS9" s="117"/>
      <c r="BT9" s="117"/>
      <c r="BU9" s="117"/>
      <c r="BV9" s="117"/>
      <c r="BW9" s="117"/>
      <c r="BX9" s="117"/>
      <c r="BY9" s="117"/>
      <c r="BZ9" s="117"/>
      <c r="CA9" s="117"/>
      <c r="CB9" s="117"/>
      <c r="CC9" s="117"/>
      <c r="CD9" s="117"/>
      <c r="CE9" s="117"/>
      <c r="CF9" s="117"/>
      <c r="CG9" s="117"/>
      <c r="CH9" s="117"/>
      <c r="CI9" s="117"/>
      <c r="CJ9" s="117"/>
      <c r="CK9" s="117"/>
      <c r="CL9" s="117"/>
      <c r="CM9" s="117"/>
      <c r="CN9" s="117"/>
      <c r="CO9" s="117"/>
      <c r="CP9" s="117"/>
      <c r="CQ9" s="117"/>
      <c r="CR9" s="117"/>
      <c r="CS9" s="117"/>
      <c r="CT9" s="117"/>
      <c r="CU9" s="117"/>
      <c r="CV9" s="117"/>
      <c r="CW9" s="117"/>
      <c r="CX9" s="117"/>
      <c r="CY9" s="117"/>
      <c r="CZ9" s="117"/>
      <c r="DA9" s="117"/>
      <c r="DB9" s="117"/>
      <c r="DC9" s="117"/>
      <c r="DD9" s="117"/>
      <c r="DE9" s="117"/>
      <c r="DF9" s="117"/>
      <c r="DG9" s="117"/>
      <c r="DH9" s="117"/>
      <c r="DI9" s="117"/>
      <c r="DJ9" s="117"/>
      <c r="DK9" s="117"/>
      <c r="DL9" s="117"/>
      <c r="DM9" s="117"/>
      <c r="DN9" s="117"/>
      <c r="DO9" s="117"/>
      <c r="DP9" s="117"/>
      <c r="DQ9" s="117"/>
      <c r="DR9" s="117"/>
      <c r="DS9" s="117"/>
      <c r="DT9" s="117"/>
      <c r="DU9" s="117"/>
      <c r="DV9" s="117"/>
      <c r="DW9" s="117"/>
      <c r="DX9" s="117"/>
      <c r="DY9" s="117"/>
      <c r="DZ9" s="117"/>
      <c r="EA9" s="117"/>
      <c r="EB9" s="117"/>
      <c r="EC9" s="117"/>
      <c r="ED9" s="117"/>
      <c r="EE9" s="117"/>
      <c r="EF9" s="117"/>
      <c r="EG9" s="117"/>
      <c r="EH9" s="117"/>
      <c r="EI9" s="117"/>
      <c r="EJ9" s="117"/>
      <c r="EK9" s="117"/>
      <c r="EL9" s="117"/>
      <c r="EM9" s="117"/>
      <c r="EN9" s="117"/>
      <c r="EO9" s="117"/>
      <c r="EP9" s="117"/>
      <c r="EQ9" s="117"/>
      <c r="ER9" s="117"/>
      <c r="ES9" s="117"/>
      <c r="ET9" s="117"/>
      <c r="EU9" s="117"/>
      <c r="EV9" s="117"/>
      <c r="EW9" s="117"/>
      <c r="EX9" s="117"/>
      <c r="EY9" s="117"/>
      <c r="EZ9" s="117"/>
      <c r="FA9" s="117"/>
      <c r="FB9" s="117"/>
      <c r="FC9" s="117"/>
      <c r="FD9" s="117"/>
      <c r="FE9" s="117"/>
      <c r="FF9" s="117"/>
      <c r="FG9" s="117"/>
      <c r="FH9" s="117"/>
      <c r="FI9" s="117"/>
      <c r="FJ9" s="117"/>
      <c r="FK9" s="117"/>
      <c r="FL9" s="117"/>
      <c r="FM9" s="117"/>
      <c r="FN9" s="117"/>
      <c r="FO9" s="117"/>
      <c r="FP9" s="117"/>
      <c r="FQ9" s="117"/>
      <c r="FR9" s="117"/>
      <c r="FS9" s="117"/>
      <c r="FT9" s="117"/>
      <c r="FU9" s="117"/>
      <c r="FV9" s="117"/>
      <c r="FW9" s="117"/>
      <c r="FX9" s="117"/>
      <c r="FY9" s="117"/>
      <c r="FZ9" s="117"/>
      <c r="GA9" s="117"/>
      <c r="GB9" s="117"/>
      <c r="GC9" s="117"/>
      <c r="GD9" s="117"/>
      <c r="GE9" s="117"/>
      <c r="GF9" s="117"/>
      <c r="GG9" s="117"/>
      <c r="GH9" s="117"/>
      <c r="GI9" s="117"/>
      <c r="GJ9" s="117"/>
      <c r="GK9" s="117"/>
      <c r="GL9" s="117"/>
      <c r="GM9" s="117"/>
      <c r="GN9" s="117"/>
      <c r="GO9" s="117"/>
      <c r="GP9" s="117"/>
      <c r="GQ9" s="117"/>
      <c r="GR9" s="117"/>
      <c r="GS9" s="117"/>
      <c r="GT9" s="117"/>
      <c r="GU9" s="117"/>
      <c r="GV9" s="117"/>
      <c r="GW9" s="117"/>
      <c r="GX9" s="117"/>
      <c r="GY9" s="117"/>
      <c r="GZ9" s="117"/>
      <c r="HA9" s="117"/>
      <c r="HB9" s="117"/>
      <c r="HC9" s="117"/>
      <c r="HD9" s="117"/>
      <c r="HE9" s="117"/>
      <c r="HF9" s="117"/>
      <c r="HG9" s="117"/>
      <c r="HH9" s="117"/>
      <c r="HI9" s="117"/>
      <c r="HJ9" s="117"/>
      <c r="HK9" s="117"/>
      <c r="HL9" s="117"/>
      <c r="HM9" s="117"/>
      <c r="HN9" s="117"/>
      <c r="HO9" s="117"/>
      <c r="HP9" s="117"/>
      <c r="HQ9" s="117"/>
      <c r="HR9" s="117"/>
      <c r="HS9" s="117"/>
      <c r="HT9" s="117"/>
      <c r="HU9" s="117"/>
      <c r="HV9" s="117"/>
      <c r="HW9" s="117"/>
      <c r="HX9" s="117"/>
      <c r="HY9" s="117"/>
      <c r="HZ9" s="117"/>
      <c r="IA9" s="117"/>
      <c r="IB9" s="117"/>
      <c r="IC9" s="117"/>
      <c r="ID9" s="117"/>
      <c r="IE9" s="117"/>
      <c r="IF9" s="117"/>
      <c r="IG9" s="117"/>
      <c r="IH9" s="117"/>
      <c r="II9" s="117"/>
      <c r="IJ9" s="117"/>
      <c r="IK9" s="117"/>
      <c r="IL9" s="117"/>
      <c r="IM9" s="117"/>
      <c r="IN9" s="117"/>
      <c r="IO9" s="117"/>
      <c r="IP9" s="117"/>
      <c r="IQ9" s="117"/>
      <c r="IR9" s="117"/>
      <c r="IS9" s="117"/>
      <c r="IT9" s="117"/>
      <c r="IU9" s="117"/>
      <c r="IV9" s="117"/>
      <c r="IW9" s="117"/>
      <c r="IX9" s="117"/>
      <c r="IY9" s="117"/>
      <c r="IZ9" s="117"/>
      <c r="JA9" s="117"/>
      <c r="JB9" s="117"/>
      <c r="JC9" s="117"/>
      <c r="JD9" s="117"/>
      <c r="JE9" s="117"/>
      <c r="JF9" s="117"/>
      <c r="JG9" s="117"/>
      <c r="JH9" s="117"/>
      <c r="JI9" s="117"/>
      <c r="JJ9" s="117"/>
      <c r="JK9" s="117"/>
      <c r="JL9" s="117"/>
      <c r="JM9" s="117"/>
      <c r="JN9" s="117"/>
      <c r="JO9" s="117"/>
      <c r="JP9" s="117"/>
      <c r="JQ9" s="117"/>
      <c r="JR9" s="117"/>
      <c r="JS9" s="117"/>
      <c r="JT9" s="117"/>
      <c r="JU9" s="117"/>
      <c r="JV9" s="117"/>
      <c r="JW9" s="117"/>
      <c r="JX9" s="117"/>
      <c r="JY9" s="117"/>
      <c r="JZ9" s="117"/>
      <c r="KA9" s="117"/>
      <c r="KB9" s="117"/>
      <c r="KC9" s="117"/>
      <c r="KD9" s="117"/>
      <c r="KE9" s="117"/>
      <c r="KF9" s="117"/>
      <c r="KG9" s="117"/>
      <c r="KH9" s="117"/>
      <c r="KI9" s="117"/>
      <c r="KJ9" s="117"/>
      <c r="KK9" s="117"/>
      <c r="KL9" s="117"/>
      <c r="KM9" s="117"/>
      <c r="KN9" s="117"/>
      <c r="KO9" s="117"/>
      <c r="KP9" s="117"/>
      <c r="KQ9" s="117"/>
      <c r="KR9" s="117"/>
      <c r="KS9" s="117"/>
      <c r="KT9" s="117"/>
      <c r="KU9" s="117"/>
      <c r="KV9" s="117"/>
      <c r="KW9" s="117"/>
      <c r="KX9" s="117"/>
      <c r="KY9" s="117"/>
      <c r="KZ9" s="117"/>
      <c r="LA9" s="117"/>
      <c r="LB9" s="117"/>
      <c r="LC9" s="117"/>
      <c r="LD9" s="117"/>
      <c r="LE9" s="117"/>
      <c r="LF9" s="117"/>
      <c r="LG9" s="117"/>
      <c r="LH9" s="117"/>
      <c r="LI9" s="117"/>
      <c r="LJ9" s="117"/>
      <c r="LK9" s="117"/>
      <c r="LL9" s="117"/>
      <c r="LM9" s="117"/>
      <c r="LN9" s="117"/>
      <c r="LO9" s="117"/>
      <c r="LP9" s="117"/>
      <c r="LQ9" s="117"/>
      <c r="LR9" s="117"/>
      <c r="LS9" s="117"/>
      <c r="LT9" s="117"/>
      <c r="LU9" s="117"/>
      <c r="LV9" s="117"/>
      <c r="LW9" s="117"/>
      <c r="LX9" s="117"/>
      <c r="LY9" s="117"/>
      <c r="LZ9" s="117"/>
      <c r="MA9" s="117"/>
      <c r="MB9" s="117"/>
      <c r="MC9" s="117"/>
      <c r="MD9" s="117"/>
      <c r="ME9" s="117"/>
      <c r="MF9" s="117"/>
      <c r="MG9" s="117"/>
      <c r="MH9" s="117"/>
      <c r="MI9" s="117"/>
      <c r="MJ9" s="117"/>
      <c r="MK9" s="117"/>
      <c r="ML9" s="117"/>
      <c r="MM9" s="117"/>
      <c r="MN9" s="117"/>
      <c r="MO9" s="117"/>
      <c r="MP9" s="117"/>
      <c r="MQ9" s="117"/>
      <c r="MR9" s="117"/>
      <c r="MS9" s="117"/>
      <c r="MT9" s="117"/>
      <c r="MU9" s="117"/>
      <c r="MV9" s="117"/>
      <c r="MW9" s="117"/>
      <c r="MX9" s="117"/>
      <c r="MY9" s="117"/>
      <c r="MZ9" s="117"/>
      <c r="NA9" s="117"/>
      <c r="NB9" s="117"/>
      <c r="NC9" s="117"/>
      <c r="ND9" s="117"/>
      <c r="NE9" s="117"/>
      <c r="NF9" s="117"/>
      <c r="NG9" s="117"/>
      <c r="NH9" s="117"/>
      <c r="NI9" s="117"/>
      <c r="NJ9" s="117"/>
      <c r="NK9" s="117"/>
      <c r="NL9" s="117"/>
      <c r="NM9" s="117"/>
      <c r="NN9" s="117"/>
      <c r="NO9" s="117"/>
      <c r="NP9" s="117"/>
      <c r="NQ9" s="117"/>
      <c r="NR9" s="117"/>
      <c r="NS9" s="117"/>
      <c r="NT9" s="117"/>
      <c r="NU9" s="117"/>
      <c r="NV9" s="117"/>
      <c r="NW9" s="117"/>
      <c r="NX9" s="117"/>
      <c r="NY9" s="117"/>
      <c r="NZ9" s="117"/>
      <c r="OA9" s="117"/>
      <c r="OB9" s="117"/>
      <c r="OC9" s="117"/>
      <c r="OD9" s="117"/>
      <c r="OE9" s="117"/>
      <c r="OF9" s="117"/>
      <c r="OG9" s="117"/>
      <c r="OH9" s="117"/>
      <c r="OI9" s="117"/>
      <c r="OJ9" s="117"/>
      <c r="OK9" s="117"/>
      <c r="OL9" s="117"/>
      <c r="OM9" s="117"/>
      <c r="ON9" s="117"/>
      <c r="OO9" s="117"/>
      <c r="OP9" s="117"/>
      <c r="OQ9" s="117"/>
      <c r="OR9" s="117"/>
      <c r="OS9" s="117"/>
      <c r="OT9" s="117"/>
      <c r="OU9" s="117"/>
      <c r="OV9" s="117"/>
      <c r="OW9" s="117"/>
      <c r="OX9" s="117"/>
      <c r="OY9" s="117"/>
      <c r="OZ9" s="117"/>
      <c r="PA9" s="117"/>
      <c r="PB9" s="117"/>
      <c r="PC9" s="117"/>
      <c r="PD9" s="117"/>
      <c r="PE9" s="117"/>
      <c r="PF9" s="117"/>
      <c r="PG9" s="117"/>
      <c r="PH9" s="117"/>
      <c r="PI9" s="117"/>
      <c r="PJ9" s="117"/>
      <c r="PK9" s="117"/>
      <c r="PL9" s="117"/>
      <c r="PM9" s="117"/>
      <c r="PN9" s="117"/>
      <c r="PO9" s="117"/>
      <c r="PP9" s="117"/>
      <c r="PQ9" s="117"/>
      <c r="PR9" s="117"/>
      <c r="PS9" s="117"/>
      <c r="PT9" s="117"/>
      <c r="PU9" s="117"/>
      <c r="PV9" s="117"/>
      <c r="PW9" s="117"/>
      <c r="PX9" s="117"/>
      <c r="PY9" s="117"/>
      <c r="PZ9" s="117"/>
      <c r="QA9" s="117"/>
      <c r="QB9" s="117"/>
      <c r="QC9" s="117"/>
      <c r="QD9" s="117"/>
      <c r="QE9" s="117"/>
      <c r="QF9" s="117"/>
      <c r="QG9" s="117"/>
      <c r="QH9" s="117"/>
      <c r="QI9" s="117"/>
      <c r="QJ9" s="117"/>
      <c r="QK9" s="117"/>
      <c r="QL9" s="117"/>
      <c r="QM9" s="117"/>
      <c r="QN9" s="117"/>
      <c r="QO9" s="117"/>
      <c r="QP9" s="117"/>
      <c r="QQ9" s="117"/>
      <c r="QR9" s="117"/>
      <c r="QS9" s="117"/>
      <c r="QT9" s="117"/>
      <c r="QU9" s="117"/>
      <c r="QV9" s="117"/>
      <c r="QW9" s="117"/>
      <c r="QX9" s="117"/>
      <c r="QY9" s="117"/>
      <c r="QZ9" s="117"/>
      <c r="RA9" s="117"/>
      <c r="RB9" s="117"/>
      <c r="RC9" s="117"/>
      <c r="RD9" s="117"/>
      <c r="RE9" s="117"/>
      <c r="RF9" s="117"/>
      <c r="RG9" s="117"/>
      <c r="RH9" s="117"/>
      <c r="RI9" s="117"/>
      <c r="RJ9" s="117"/>
      <c r="RK9" s="117"/>
      <c r="RL9" s="117"/>
      <c r="RM9" s="117"/>
      <c r="RN9" s="117"/>
      <c r="RO9" s="117"/>
      <c r="RP9" s="117"/>
      <c r="RQ9" s="117"/>
      <c r="RR9" s="117"/>
      <c r="RS9" s="117"/>
      <c r="RT9" s="117"/>
      <c r="RU9" s="117"/>
      <c r="RV9" s="117"/>
      <c r="RW9" s="117"/>
      <c r="RX9" s="117"/>
      <c r="RY9" s="117"/>
      <c r="RZ9" s="117"/>
      <c r="SA9" s="117"/>
      <c r="SB9" s="117"/>
      <c r="SC9" s="117"/>
      <c r="SD9" s="117"/>
      <c r="SE9" s="117"/>
      <c r="SF9" s="117"/>
      <c r="SG9" s="117"/>
      <c r="SH9" s="117"/>
      <c r="SI9" s="117"/>
      <c r="SJ9" s="117"/>
      <c r="SK9" s="117"/>
      <c r="SL9" s="117"/>
      <c r="SM9" s="117"/>
      <c r="SN9" s="117"/>
      <c r="SO9" s="117"/>
      <c r="SP9" s="117"/>
      <c r="SQ9" s="117"/>
      <c r="SR9" s="117"/>
      <c r="SS9" s="117"/>
      <c r="ST9" s="117"/>
      <c r="SU9" s="117"/>
      <c r="SV9" s="117"/>
      <c r="SW9" s="117"/>
      <c r="SX9" s="117"/>
      <c r="SY9" s="117"/>
      <c r="SZ9" s="117"/>
      <c r="TA9" s="117"/>
      <c r="TB9" s="117"/>
      <c r="TC9" s="117"/>
      <c r="TD9" s="117"/>
      <c r="TE9" s="117"/>
      <c r="TF9" s="117"/>
      <c r="TG9" s="117"/>
      <c r="TH9" s="117"/>
      <c r="TI9" s="117"/>
      <c r="TJ9" s="117"/>
      <c r="TK9" s="117"/>
      <c r="TL9" s="117"/>
      <c r="TM9" s="117"/>
      <c r="TN9" s="117"/>
      <c r="TO9" s="117"/>
      <c r="TP9" s="117"/>
      <c r="TQ9" s="117"/>
      <c r="TR9" s="117"/>
      <c r="TS9" s="117"/>
      <c r="TT9" s="117"/>
      <c r="TU9" s="117"/>
      <c r="TV9" s="117"/>
      <c r="TW9" s="117"/>
      <c r="TX9" s="117"/>
      <c r="TY9" s="117"/>
      <c r="TZ9" s="117"/>
      <c r="UA9" s="117"/>
      <c r="UB9" s="117"/>
      <c r="UC9" s="117"/>
      <c r="UD9" s="117"/>
      <c r="UE9" s="117"/>
      <c r="UF9" s="117"/>
      <c r="UG9" s="117"/>
      <c r="UH9" s="117"/>
      <c r="UI9" s="117"/>
      <c r="UJ9" s="117"/>
      <c r="UK9" s="117"/>
      <c r="UL9" s="117"/>
      <c r="UM9" s="117"/>
      <c r="UN9" s="117"/>
      <c r="UO9" s="117"/>
      <c r="UP9" s="117"/>
      <c r="UQ9" s="117"/>
      <c r="UR9" s="117"/>
      <c r="US9" s="117"/>
      <c r="UT9" s="117"/>
      <c r="UU9" s="117"/>
      <c r="UV9" s="117"/>
      <c r="UW9" s="117"/>
      <c r="UX9" s="117"/>
      <c r="UY9" s="117"/>
      <c r="UZ9" s="117"/>
      <c r="VA9" s="117"/>
      <c r="VB9" s="117"/>
      <c r="VC9" s="117"/>
      <c r="VD9" s="117"/>
      <c r="VE9" s="117"/>
      <c r="VF9" s="117"/>
      <c r="VG9" s="117"/>
      <c r="VH9" s="117"/>
      <c r="VI9" s="117"/>
      <c r="VJ9" s="117"/>
      <c r="VK9" s="117"/>
      <c r="VL9" s="117"/>
      <c r="VM9" s="117"/>
      <c r="VN9" s="117"/>
      <c r="VO9" s="117"/>
      <c r="VP9" s="117"/>
      <c r="VQ9" s="117"/>
      <c r="VR9" s="117"/>
      <c r="VS9" s="117"/>
      <c r="VT9" s="117"/>
      <c r="VU9" s="117"/>
      <c r="VV9" s="117"/>
      <c r="VW9" s="117"/>
      <c r="VX9" s="117"/>
      <c r="VY9" s="117"/>
      <c r="VZ9" s="117"/>
      <c r="WA9" s="117"/>
      <c r="WB9" s="117"/>
      <c r="WC9" s="117"/>
      <c r="WD9" s="117"/>
      <c r="WE9" s="117"/>
      <c r="WF9" s="117"/>
      <c r="WG9" s="117"/>
      <c r="WH9" s="117"/>
      <c r="WI9" s="117"/>
      <c r="WJ9" s="117"/>
      <c r="WK9" s="117"/>
      <c r="WL9" s="117"/>
      <c r="WM9" s="117"/>
      <c r="WN9" s="117"/>
      <c r="WO9" s="117"/>
      <c r="WP9" s="117"/>
      <c r="WQ9" s="117"/>
      <c r="WR9" s="117"/>
      <c r="WS9" s="117"/>
      <c r="WT9" s="117"/>
      <c r="WU9" s="117"/>
      <c r="WV9" s="117"/>
      <c r="WW9" s="117"/>
      <c r="WX9" s="117"/>
      <c r="WY9" s="117"/>
      <c r="WZ9" s="117"/>
      <c r="XA9" s="117"/>
      <c r="XB9" s="117"/>
      <c r="XC9" s="117"/>
      <c r="XD9" s="117"/>
      <c r="XE9" s="117"/>
      <c r="XF9" s="117"/>
      <c r="XG9" s="117"/>
      <c r="XH9" s="117"/>
      <c r="XI9" s="117"/>
      <c r="XJ9" s="117"/>
      <c r="XK9" s="117"/>
      <c r="XL9" s="117"/>
      <c r="XM9" s="117"/>
      <c r="XN9" s="117"/>
      <c r="XO9" s="117"/>
      <c r="XP9" s="117"/>
      <c r="XQ9" s="117"/>
      <c r="XR9" s="117"/>
      <c r="XS9" s="117"/>
      <c r="XT9" s="117"/>
      <c r="XU9" s="117"/>
      <c r="XV9" s="117"/>
      <c r="XW9" s="117"/>
      <c r="XX9" s="117"/>
      <c r="XY9" s="117"/>
      <c r="XZ9" s="117"/>
      <c r="YA9" s="117"/>
      <c r="YB9" s="117"/>
      <c r="YC9" s="117"/>
      <c r="YD9" s="117"/>
      <c r="YE9" s="117"/>
      <c r="YF9" s="117"/>
      <c r="YG9" s="117"/>
      <c r="YH9" s="117"/>
      <c r="YI9" s="117"/>
      <c r="YJ9" s="117"/>
      <c r="YK9" s="117"/>
      <c r="YL9" s="117"/>
      <c r="YM9" s="117"/>
      <c r="YN9" s="117"/>
      <c r="YO9" s="117"/>
      <c r="YP9" s="117"/>
      <c r="YQ9" s="117"/>
      <c r="YR9" s="117"/>
      <c r="YS9" s="117"/>
      <c r="YT9" s="117"/>
      <c r="YU9" s="117"/>
      <c r="YV9" s="117"/>
      <c r="YW9" s="117"/>
      <c r="YX9" s="117"/>
      <c r="YY9" s="117"/>
      <c r="YZ9" s="117"/>
      <c r="ZA9" s="117"/>
      <c r="ZB9" s="117"/>
      <c r="ZC9" s="117"/>
      <c r="ZD9" s="117"/>
      <c r="ZE9" s="117"/>
      <c r="ZF9" s="117"/>
      <c r="ZG9" s="117"/>
      <c r="ZH9" s="117"/>
      <c r="ZI9" s="117"/>
      <c r="ZJ9" s="117"/>
      <c r="ZK9" s="117"/>
      <c r="ZL9" s="117"/>
      <c r="ZM9" s="117"/>
      <c r="ZN9" s="117"/>
      <c r="ZO9" s="117"/>
      <c r="ZP9" s="117"/>
      <c r="ZQ9" s="117"/>
      <c r="ZR9" s="117"/>
      <c r="ZS9" s="117"/>
      <c r="ZT9" s="117"/>
      <c r="ZU9" s="117"/>
      <c r="ZV9" s="117"/>
      <c r="ZW9" s="117"/>
      <c r="ZX9" s="117"/>
      <c r="ZY9" s="117"/>
      <c r="ZZ9" s="117"/>
      <c r="AAA9" s="117"/>
      <c r="AAB9" s="117"/>
      <c r="AAC9" s="117"/>
      <c r="AAD9" s="117"/>
      <c r="AAE9" s="117"/>
      <c r="AAF9" s="117"/>
      <c r="AAG9" s="117"/>
      <c r="AAH9" s="117"/>
      <c r="AAI9" s="117"/>
      <c r="AAJ9" s="117"/>
      <c r="AAK9" s="117"/>
      <c r="AAL9" s="117"/>
      <c r="AAM9" s="117"/>
      <c r="AAN9" s="117"/>
      <c r="AAO9" s="117"/>
      <c r="AAP9" s="117"/>
      <c r="AAQ9" s="117"/>
      <c r="AAR9" s="117"/>
      <c r="AAS9" s="117"/>
      <c r="AAT9" s="117"/>
      <c r="AAU9" s="117"/>
      <c r="AAV9" s="117"/>
      <c r="AAW9" s="117"/>
      <c r="AAX9" s="117"/>
      <c r="AAY9" s="117"/>
      <c r="AAZ9" s="117"/>
      <c r="ABA9" s="117"/>
      <c r="ABB9" s="117"/>
      <c r="ABC9" s="117"/>
      <c r="ABD9" s="117"/>
      <c r="ABE9" s="117"/>
      <c r="ABF9" s="117"/>
      <c r="ABG9" s="117"/>
      <c r="ABH9" s="117"/>
      <c r="ABI9" s="117"/>
      <c r="ABJ9" s="117"/>
      <c r="ABK9" s="117"/>
      <c r="ABL9" s="117"/>
      <c r="ABM9" s="117"/>
      <c r="ABN9" s="117"/>
      <c r="ABO9" s="117"/>
      <c r="ABP9" s="117"/>
      <c r="ABQ9" s="117"/>
      <c r="ABR9" s="117"/>
      <c r="ABS9" s="117"/>
      <c r="ABT9" s="117"/>
      <c r="ABU9" s="117"/>
      <c r="ABV9" s="117"/>
      <c r="ABW9" s="117"/>
      <c r="ABX9" s="117"/>
      <c r="ABY9" s="117"/>
      <c r="ABZ9" s="117"/>
      <c r="ACA9" s="117"/>
      <c r="ACB9" s="117"/>
      <c r="ACC9" s="117"/>
      <c r="ACD9" s="117"/>
      <c r="ACE9" s="117"/>
      <c r="ACF9" s="117"/>
      <c r="ACG9" s="117"/>
      <c r="ACH9" s="117"/>
      <c r="ACI9" s="117"/>
      <c r="ACJ9" s="117"/>
      <c r="ACK9" s="117"/>
      <c r="ACL9" s="117"/>
      <c r="ACM9" s="117"/>
      <c r="ACN9" s="117"/>
      <c r="ACO9" s="117"/>
      <c r="ACP9" s="117"/>
      <c r="ACQ9" s="117"/>
      <c r="ACR9" s="117"/>
      <c r="ACS9" s="117"/>
      <c r="ACT9" s="117"/>
      <c r="ACU9" s="117"/>
      <c r="ACV9" s="117"/>
      <c r="ACW9" s="117"/>
      <c r="ACX9" s="117"/>
      <c r="ACY9" s="117"/>
      <c r="ACZ9" s="117"/>
      <c r="ADA9" s="117"/>
      <c r="ADB9" s="117"/>
      <c r="ADC9" s="117"/>
      <c r="ADD9" s="117"/>
      <c r="ADE9" s="117"/>
      <c r="ADF9" s="117"/>
      <c r="ADG9" s="117"/>
      <c r="ADH9" s="117"/>
      <c r="ADI9" s="117"/>
      <c r="ADJ9" s="117"/>
      <c r="ADK9" s="117"/>
      <c r="ADL9" s="117"/>
      <c r="ADM9" s="117"/>
      <c r="ADN9" s="117"/>
      <c r="ADO9" s="117"/>
      <c r="ADP9" s="117"/>
      <c r="ADQ9" s="117"/>
      <c r="ADR9" s="117"/>
      <c r="ADS9" s="117"/>
      <c r="ADT9" s="117"/>
      <c r="ADU9" s="117"/>
      <c r="ADV9" s="117"/>
      <c r="ADW9" s="117"/>
      <c r="ADX9" s="117"/>
      <c r="ADY9" s="117"/>
      <c r="ADZ9" s="117"/>
      <c r="AEA9" s="117"/>
      <c r="AEB9" s="117"/>
      <c r="AEC9" s="117"/>
      <c r="AED9" s="117"/>
      <c r="AEE9" s="117"/>
      <c r="AEF9" s="117"/>
      <c r="AEG9" s="117"/>
      <c r="AEH9" s="117"/>
      <c r="AEI9" s="117"/>
      <c r="AEJ9" s="117"/>
      <c r="AEK9" s="117"/>
      <c r="AEL9" s="117"/>
      <c r="AEM9" s="117"/>
      <c r="AEN9" s="117"/>
      <c r="AEO9" s="117"/>
      <c r="AEP9" s="117"/>
      <c r="AEQ9" s="117"/>
      <c r="AER9" s="117"/>
      <c r="AES9" s="117"/>
      <c r="AET9" s="117"/>
      <c r="AEU9" s="117"/>
      <c r="AEV9" s="117"/>
      <c r="AEW9" s="117"/>
      <c r="AEX9" s="117"/>
      <c r="AEY9" s="117"/>
      <c r="AEZ9" s="117"/>
      <c r="AFA9" s="117"/>
      <c r="AFB9" s="117"/>
      <c r="AFC9" s="117"/>
      <c r="AFD9" s="117"/>
      <c r="AFE9" s="117"/>
      <c r="AFF9" s="117"/>
      <c r="AFG9" s="117"/>
      <c r="AFH9" s="117"/>
      <c r="AFI9" s="117"/>
      <c r="AFJ9" s="117"/>
      <c r="AFK9" s="117"/>
      <c r="AFL9" s="117"/>
      <c r="AFM9" s="117"/>
      <c r="AFN9" s="117"/>
      <c r="AFO9" s="117"/>
      <c r="AFP9" s="117"/>
      <c r="AFQ9" s="117"/>
      <c r="AFR9" s="117"/>
      <c r="AFS9" s="117"/>
      <c r="AFT9" s="117"/>
      <c r="AFU9" s="117"/>
      <c r="AFV9" s="117"/>
      <c r="AFW9" s="117"/>
      <c r="AFX9" s="117"/>
      <c r="AFY9" s="117"/>
      <c r="AFZ9" s="117"/>
      <c r="AGA9" s="117"/>
      <c r="AGB9" s="117"/>
      <c r="AGC9" s="117"/>
      <c r="AGD9" s="117"/>
      <c r="AGE9" s="117"/>
      <c r="AGF9" s="117"/>
      <c r="AGG9" s="117"/>
      <c r="AGH9" s="117"/>
      <c r="AGI9" s="117"/>
      <c r="AGJ9" s="117"/>
      <c r="AGK9" s="117"/>
      <c r="AGL9" s="117"/>
      <c r="AGM9" s="117"/>
      <c r="AGN9" s="117"/>
      <c r="AGO9" s="117"/>
      <c r="AGP9" s="117"/>
      <c r="AGQ9" s="117"/>
      <c r="AGR9" s="117"/>
      <c r="AGS9" s="117"/>
      <c r="AGT9" s="117"/>
      <c r="AGU9" s="117"/>
      <c r="AGV9" s="117"/>
      <c r="AGW9" s="117"/>
      <c r="AGX9" s="117"/>
      <c r="AGY9" s="117"/>
      <c r="AGZ9" s="117"/>
      <c r="AHA9" s="117"/>
      <c r="AHB9" s="117"/>
      <c r="AHC9" s="117"/>
      <c r="AHD9" s="117"/>
      <c r="AHE9" s="117"/>
      <c r="AHF9" s="117"/>
      <c r="AHG9" s="117"/>
      <c r="AHH9" s="117"/>
      <c r="AHI9" s="117"/>
      <c r="AHJ9" s="117"/>
      <c r="AHK9" s="117"/>
      <c r="AHL9" s="117"/>
      <c r="AHM9" s="117"/>
      <c r="AHN9" s="117"/>
      <c r="AHO9" s="117"/>
      <c r="AHP9" s="117"/>
      <c r="AHQ9" s="117"/>
      <c r="AHR9" s="117"/>
      <c r="AHS9" s="117"/>
      <c r="AHT9" s="117"/>
      <c r="AHU9" s="117"/>
      <c r="AHV9" s="117"/>
      <c r="AHW9" s="117"/>
      <c r="AHX9" s="117"/>
      <c r="AHY9" s="117"/>
      <c r="AHZ9" s="117"/>
      <c r="AIA9" s="117"/>
      <c r="AIB9" s="117"/>
      <c r="AIC9" s="117"/>
      <c r="AID9" s="117"/>
      <c r="AIE9" s="117"/>
      <c r="AIF9" s="117"/>
      <c r="AIG9" s="117"/>
      <c r="AIH9" s="117"/>
      <c r="AII9" s="117"/>
      <c r="AIJ9" s="117"/>
      <c r="AIK9" s="117"/>
      <c r="AIL9" s="117"/>
      <c r="AIM9" s="117"/>
      <c r="AIN9" s="117"/>
      <c r="AIO9" s="117"/>
      <c r="AIP9" s="117"/>
      <c r="AIQ9" s="117"/>
      <c r="AIR9" s="117"/>
      <c r="AIS9" s="117"/>
      <c r="AIT9" s="117"/>
      <c r="AIU9" s="117"/>
      <c r="AIV9" s="117"/>
      <c r="AIW9" s="117"/>
      <c r="AIX9" s="117"/>
      <c r="AIY9" s="117"/>
      <c r="AIZ9" s="117"/>
      <c r="AJA9" s="117"/>
      <c r="AJB9" s="117"/>
      <c r="AJC9" s="117"/>
      <c r="AJD9" s="117"/>
      <c r="AJE9" s="117"/>
      <c r="AJF9" s="117"/>
      <c r="AJG9" s="117"/>
      <c r="AJH9" s="117"/>
      <c r="AJI9" s="117"/>
      <c r="AJJ9" s="117"/>
      <c r="AJK9" s="117"/>
      <c r="AJL9" s="117"/>
      <c r="AJM9" s="117"/>
      <c r="AJN9" s="117"/>
      <c r="AJO9" s="117"/>
      <c r="AJP9" s="117"/>
      <c r="AJQ9" s="117"/>
      <c r="AJR9" s="117"/>
      <c r="AJS9" s="117"/>
      <c r="AJT9" s="117"/>
      <c r="AJU9" s="117"/>
      <c r="AJV9" s="117"/>
      <c r="AJW9" s="117"/>
      <c r="AJX9" s="117"/>
      <c r="AJY9" s="117"/>
      <c r="AJZ9" s="117"/>
      <c r="AKA9" s="117"/>
      <c r="AKB9" s="117"/>
      <c r="AKC9" s="117"/>
      <c r="AKD9" s="117"/>
      <c r="AKE9" s="117"/>
      <c r="AKF9" s="117"/>
      <c r="AKG9" s="117"/>
      <c r="AKH9" s="117"/>
      <c r="AKI9" s="117"/>
      <c r="AKJ9" s="117"/>
      <c r="AKK9" s="117"/>
      <c r="AKL9" s="117"/>
      <c r="AKM9" s="117"/>
      <c r="AKN9" s="117"/>
      <c r="AKO9" s="117"/>
      <c r="AKP9" s="117"/>
      <c r="AKQ9" s="117"/>
      <c r="AKR9" s="117"/>
      <c r="AKS9" s="117"/>
      <c r="AKT9" s="117"/>
      <c r="AKU9" s="117"/>
      <c r="AKV9" s="117"/>
      <c r="AKW9" s="117"/>
      <c r="AKX9" s="117"/>
      <c r="AKY9" s="117"/>
      <c r="AKZ9" s="117"/>
      <c r="ALA9" s="117"/>
      <c r="ALB9" s="117"/>
      <c r="ALC9" s="117"/>
      <c r="ALD9" s="117"/>
      <c r="ALE9" s="117"/>
      <c r="ALF9" s="117"/>
      <c r="ALG9" s="117"/>
      <c r="ALH9" s="117"/>
      <c r="ALI9" s="117"/>
      <c r="ALJ9" s="117"/>
      <c r="ALK9" s="117"/>
      <c r="ALL9" s="117"/>
      <c r="ALM9" s="117"/>
      <c r="ALN9" s="117"/>
      <c r="ALO9" s="117"/>
      <c r="ALP9" s="117"/>
      <c r="ALQ9" s="117"/>
      <c r="ALR9" s="117"/>
      <c r="ALS9" s="117"/>
      <c r="ALT9" s="117"/>
      <c r="ALU9" s="117"/>
      <c r="ALV9" s="117"/>
      <c r="ALW9" s="117"/>
      <c r="ALX9" s="117"/>
      <c r="ALY9" s="117"/>
      <c r="ALZ9" s="117"/>
      <c r="AMA9" s="117"/>
      <c r="AMB9" s="117"/>
      <c r="AMC9" s="117"/>
      <c r="AMD9" s="117"/>
      <c r="AME9" s="117"/>
      <c r="AMF9" s="117"/>
      <c r="AMG9" s="117"/>
      <c r="AMH9" s="117"/>
      <c r="AMI9" s="117"/>
      <c r="AMJ9" s="117"/>
      <c r="AMK9" s="117"/>
      <c r="AML9" s="117"/>
      <c r="AMM9" s="117"/>
      <c r="AMN9" s="117"/>
      <c r="AMO9" s="117"/>
      <c r="AMP9" s="117"/>
      <c r="AMQ9" s="117"/>
      <c r="AMR9" s="117"/>
      <c r="AMS9" s="117"/>
      <c r="AMT9" s="117"/>
      <c r="AMU9" s="117"/>
      <c r="AMV9" s="117"/>
      <c r="AMW9" s="117"/>
      <c r="AMX9" s="117"/>
      <c r="AMY9" s="117"/>
      <c r="AMZ9" s="117"/>
      <c r="ANA9" s="117"/>
      <c r="ANB9" s="117"/>
      <c r="ANC9" s="117"/>
      <c r="AND9" s="117"/>
      <c r="ANE9" s="117"/>
      <c r="ANF9" s="117"/>
      <c r="ANG9" s="117"/>
      <c r="ANH9" s="117"/>
      <c r="ANI9" s="117"/>
      <c r="ANJ9" s="117"/>
      <c r="ANK9" s="117"/>
      <c r="ANL9" s="117"/>
      <c r="ANM9" s="117"/>
      <c r="ANN9" s="117"/>
      <c r="ANO9" s="117"/>
      <c r="ANP9" s="117"/>
      <c r="ANQ9" s="117"/>
      <c r="ANR9" s="117"/>
      <c r="ANS9" s="117"/>
      <c r="ANT9" s="117"/>
      <c r="ANU9" s="117"/>
      <c r="ANV9" s="117"/>
      <c r="ANW9" s="117"/>
      <c r="ANX9" s="117"/>
      <c r="ANY9" s="117"/>
      <c r="ANZ9" s="117"/>
      <c r="AOA9" s="117"/>
      <c r="AOB9" s="117"/>
      <c r="AOC9" s="117"/>
      <c r="AOD9" s="117"/>
      <c r="AOE9" s="117"/>
      <c r="AOF9" s="117"/>
      <c r="AOG9" s="117"/>
      <c r="AOH9" s="117"/>
      <c r="AOI9" s="117"/>
      <c r="AOJ9" s="117"/>
      <c r="AOK9" s="117"/>
      <c r="AOL9" s="117"/>
      <c r="AOM9" s="117"/>
      <c r="AON9" s="117"/>
      <c r="AOO9" s="117"/>
      <c r="AOP9" s="117"/>
      <c r="AOQ9" s="117"/>
      <c r="AOR9" s="117"/>
      <c r="AOS9" s="117"/>
      <c r="AOT9" s="117"/>
      <c r="AOU9" s="117"/>
      <c r="AOV9" s="117"/>
      <c r="AOW9" s="117"/>
      <c r="AOX9" s="117"/>
      <c r="AOY9" s="117"/>
      <c r="AOZ9" s="117"/>
      <c r="APA9" s="117"/>
      <c r="APB9" s="117"/>
      <c r="APC9" s="117"/>
      <c r="APD9" s="117"/>
      <c r="APE9" s="117"/>
      <c r="APF9" s="117"/>
      <c r="APG9" s="117"/>
      <c r="APH9" s="117"/>
      <c r="API9" s="117"/>
      <c r="APJ9" s="117"/>
      <c r="APK9" s="117"/>
      <c r="APL9" s="117"/>
      <c r="APM9" s="117"/>
      <c r="APN9" s="117"/>
      <c r="APO9" s="117"/>
      <c r="APP9" s="117"/>
      <c r="APQ9" s="117"/>
      <c r="APR9" s="117"/>
      <c r="APS9" s="117"/>
      <c r="APT9" s="117"/>
      <c r="APU9" s="117"/>
      <c r="APV9" s="117"/>
      <c r="APW9" s="117"/>
      <c r="APX9" s="117"/>
      <c r="APY9" s="117"/>
      <c r="APZ9" s="117"/>
      <c r="AQA9" s="117"/>
      <c r="AQB9" s="117"/>
      <c r="AQC9" s="117"/>
      <c r="AQD9" s="117"/>
      <c r="AQE9" s="117"/>
      <c r="AQF9" s="117"/>
      <c r="AQG9" s="117"/>
      <c r="AQH9" s="117"/>
      <c r="AQI9" s="117"/>
      <c r="AQJ9" s="117"/>
      <c r="AQK9" s="117"/>
      <c r="AQL9" s="117"/>
      <c r="AQM9" s="117"/>
      <c r="AQN9" s="117"/>
      <c r="AQO9" s="117"/>
      <c r="AQP9" s="117"/>
      <c r="AQQ9" s="117"/>
      <c r="AQR9" s="117"/>
      <c r="AQS9" s="117"/>
      <c r="AQT9" s="117"/>
      <c r="AQU9" s="117"/>
      <c r="AQV9" s="117"/>
      <c r="AQW9" s="117"/>
      <c r="AQX9" s="117"/>
      <c r="AQY9" s="117"/>
      <c r="AQZ9" s="117"/>
      <c r="ARA9" s="117"/>
      <c r="ARB9" s="117"/>
      <c r="ARC9" s="117"/>
      <c r="ARD9" s="117"/>
      <c r="ARE9" s="117"/>
      <c r="ARF9" s="117"/>
      <c r="ARG9" s="117"/>
      <c r="ARH9" s="117"/>
      <c r="ARI9" s="117"/>
      <c r="ARJ9" s="117"/>
      <c r="ARK9" s="117"/>
      <c r="ARL9" s="117"/>
      <c r="ARM9" s="117"/>
      <c r="ARN9" s="117"/>
      <c r="ARO9" s="117"/>
      <c r="ARP9" s="117"/>
      <c r="ARQ9" s="117"/>
      <c r="ARR9" s="117"/>
      <c r="ARS9" s="117"/>
      <c r="ART9" s="117"/>
      <c r="ARU9" s="117"/>
      <c r="ARV9" s="117"/>
      <c r="ARW9" s="117"/>
      <c r="ARX9" s="117"/>
      <c r="ARY9" s="117"/>
      <c r="ARZ9" s="117"/>
      <c r="ASA9" s="117"/>
      <c r="ASB9" s="117"/>
      <c r="ASC9" s="117"/>
      <c r="ASD9" s="117"/>
      <c r="ASE9" s="117"/>
      <c r="ASF9" s="117"/>
      <c r="ASG9" s="117"/>
      <c r="ASH9" s="117"/>
      <c r="ASI9" s="117"/>
      <c r="ASJ9" s="117"/>
      <c r="ASK9" s="117"/>
      <c r="ASL9" s="117"/>
      <c r="ASM9" s="117"/>
      <c r="ASN9" s="117"/>
      <c r="ASO9" s="117"/>
      <c r="ASP9" s="117"/>
      <c r="ASQ9" s="117"/>
      <c r="ASR9" s="117"/>
      <c r="ASS9" s="117"/>
      <c r="AST9" s="117"/>
      <c r="ASU9" s="117"/>
      <c r="ASV9" s="117"/>
      <c r="ASW9" s="117"/>
      <c r="ASX9" s="117"/>
      <c r="ASY9" s="117"/>
      <c r="ASZ9" s="117"/>
      <c r="ATA9" s="117"/>
      <c r="ATB9" s="117"/>
      <c r="ATC9" s="117"/>
      <c r="ATD9" s="117"/>
      <c r="ATE9" s="117"/>
      <c r="ATF9" s="117"/>
      <c r="ATG9" s="117"/>
      <c r="ATH9" s="117"/>
      <c r="ATI9" s="117"/>
      <c r="ATJ9" s="117"/>
      <c r="ATK9" s="117"/>
      <c r="ATL9" s="117"/>
      <c r="ATM9" s="117"/>
      <c r="ATN9" s="117"/>
      <c r="ATO9" s="117"/>
      <c r="ATP9" s="117"/>
      <c r="ATQ9" s="117"/>
      <c r="ATR9" s="117"/>
      <c r="ATS9" s="117"/>
      <c r="ATT9" s="117"/>
      <c r="ATU9" s="117"/>
      <c r="ATV9" s="117"/>
      <c r="ATW9" s="117"/>
      <c r="ATX9" s="117"/>
      <c r="ATY9" s="117"/>
      <c r="ATZ9" s="117"/>
      <c r="AUA9" s="117"/>
      <c r="AUB9" s="117"/>
      <c r="AUC9" s="117"/>
      <c r="AUD9" s="117"/>
      <c r="AUE9" s="117"/>
      <c r="AUF9" s="117"/>
      <c r="AUG9" s="117"/>
      <c r="AUH9" s="117"/>
      <c r="AUI9" s="117"/>
      <c r="AUJ9" s="117"/>
      <c r="AUK9" s="117"/>
      <c r="AUL9" s="117"/>
      <c r="AUM9" s="117"/>
      <c r="AUN9" s="117"/>
      <c r="AUO9" s="117"/>
      <c r="AUP9" s="117"/>
      <c r="AUQ9" s="117"/>
      <c r="AUR9" s="117"/>
      <c r="AUS9" s="117"/>
      <c r="AUT9" s="117"/>
      <c r="AUU9" s="117"/>
      <c r="AUV9" s="117"/>
      <c r="AUW9" s="117"/>
      <c r="AUX9" s="117"/>
      <c r="AUY9" s="117"/>
      <c r="AUZ9" s="117"/>
      <c r="AVA9" s="117"/>
      <c r="AVB9" s="117"/>
      <c r="AVC9" s="117"/>
      <c r="AVD9" s="117"/>
      <c r="AVE9" s="117"/>
      <c r="AVF9" s="117"/>
      <c r="AVG9" s="117"/>
      <c r="AVH9" s="117"/>
      <c r="AVI9" s="117"/>
      <c r="AVJ9" s="117"/>
      <c r="AVK9" s="117"/>
      <c r="AVL9" s="117"/>
      <c r="AVM9" s="117"/>
      <c r="AVN9" s="117"/>
      <c r="AVO9" s="117"/>
      <c r="AVP9" s="117"/>
      <c r="AVQ9" s="117"/>
      <c r="AVR9" s="117"/>
      <c r="AVS9" s="117"/>
      <c r="AVT9" s="117"/>
      <c r="AVU9" s="117"/>
      <c r="AVV9" s="117"/>
      <c r="AVW9" s="117"/>
      <c r="AVX9" s="117"/>
      <c r="AVY9" s="117"/>
      <c r="AVZ9" s="117"/>
      <c r="AWA9" s="117"/>
      <c r="AWB9" s="117"/>
      <c r="AWC9" s="117"/>
      <c r="AWD9" s="117"/>
      <c r="AWE9" s="117"/>
      <c r="AWF9" s="117"/>
      <c r="AWG9" s="117"/>
      <c r="AWH9" s="117"/>
      <c r="AWI9" s="117"/>
      <c r="AWJ9" s="117"/>
      <c r="AWK9" s="117"/>
      <c r="AWL9" s="117"/>
      <c r="AWM9" s="117"/>
      <c r="AWN9" s="117"/>
      <c r="AWO9" s="117"/>
      <c r="AWP9" s="117"/>
      <c r="AWQ9" s="117"/>
      <c r="AWR9" s="117"/>
      <c r="AWS9" s="117"/>
      <c r="AWT9" s="117"/>
      <c r="AWU9" s="117"/>
      <c r="AWV9" s="117"/>
      <c r="AWW9" s="117"/>
      <c r="AWX9" s="117"/>
      <c r="AWY9" s="117"/>
      <c r="AWZ9" s="117"/>
      <c r="AXA9" s="117"/>
      <c r="AXB9" s="117"/>
      <c r="AXC9" s="117"/>
      <c r="AXD9" s="117"/>
      <c r="AXE9" s="117"/>
      <c r="AXF9" s="117"/>
      <c r="AXG9" s="117"/>
      <c r="AXH9" s="117"/>
      <c r="AXI9" s="117"/>
      <c r="AXJ9" s="117"/>
      <c r="AXK9" s="117"/>
      <c r="AXL9" s="117"/>
      <c r="AXM9" s="117"/>
      <c r="AXN9" s="117"/>
      <c r="AXO9" s="117"/>
      <c r="AXP9" s="117"/>
      <c r="AXQ9" s="117"/>
      <c r="AXR9" s="117"/>
      <c r="AXS9" s="117"/>
      <c r="AXT9" s="117"/>
      <c r="AXU9" s="117"/>
      <c r="AXV9" s="117"/>
      <c r="AXW9" s="117"/>
      <c r="AXX9" s="117"/>
      <c r="AXY9" s="117"/>
      <c r="AXZ9" s="117"/>
      <c r="AYA9" s="117"/>
      <c r="AYB9" s="117"/>
      <c r="AYC9" s="117"/>
      <c r="AYD9" s="117"/>
      <c r="AYE9" s="117"/>
      <c r="AYF9" s="117"/>
      <c r="AYG9" s="117"/>
      <c r="AYH9" s="117"/>
      <c r="AYI9" s="117"/>
      <c r="AYJ9" s="117"/>
      <c r="AYK9" s="117"/>
      <c r="AYL9" s="117"/>
      <c r="AYM9" s="117"/>
      <c r="AYN9" s="117"/>
      <c r="AYO9" s="117"/>
      <c r="AYP9" s="117"/>
      <c r="AYQ9" s="117"/>
      <c r="AYR9" s="117"/>
      <c r="AYS9" s="117"/>
      <c r="AYT9" s="117"/>
      <c r="AYU9" s="117"/>
      <c r="AYV9" s="117"/>
      <c r="AYW9" s="117"/>
      <c r="AYX9" s="117"/>
      <c r="AYY9" s="117"/>
      <c r="AYZ9" s="117"/>
      <c r="AZA9" s="117"/>
      <c r="AZB9" s="117"/>
      <c r="AZC9" s="117"/>
      <c r="AZD9" s="117"/>
      <c r="AZE9" s="117"/>
      <c r="AZF9" s="117"/>
      <c r="AZG9" s="117"/>
      <c r="AZH9" s="117"/>
      <c r="AZI9" s="117"/>
      <c r="AZJ9" s="117"/>
      <c r="AZK9" s="117"/>
      <c r="AZL9" s="117"/>
      <c r="AZM9" s="117"/>
      <c r="AZN9" s="117"/>
      <c r="AZO9" s="117"/>
      <c r="AZP9" s="117"/>
      <c r="AZQ9" s="117"/>
      <c r="AZR9" s="117"/>
      <c r="AZS9" s="117"/>
      <c r="AZT9" s="117"/>
      <c r="AZU9" s="117"/>
      <c r="AZV9" s="117"/>
      <c r="AZW9" s="117"/>
      <c r="AZX9" s="117"/>
      <c r="AZY9" s="117"/>
      <c r="AZZ9" s="117"/>
      <c r="BAA9" s="117"/>
      <c r="BAB9" s="117"/>
      <c r="BAC9" s="117"/>
      <c r="BAD9" s="117"/>
      <c r="BAE9" s="117"/>
      <c r="BAF9" s="117"/>
      <c r="BAG9" s="117"/>
      <c r="BAH9" s="117"/>
      <c r="BAI9" s="117"/>
      <c r="BAJ9" s="117"/>
      <c r="BAK9" s="117"/>
      <c r="BAL9" s="117"/>
      <c r="BAM9" s="117"/>
      <c r="BAN9" s="117"/>
      <c r="BAO9" s="117"/>
      <c r="BAP9" s="117"/>
      <c r="BAQ9" s="117"/>
      <c r="BAR9" s="117"/>
      <c r="BAS9" s="117"/>
      <c r="BAT9" s="117"/>
      <c r="BAU9" s="117"/>
      <c r="BAV9" s="117"/>
      <c r="BAW9" s="117"/>
      <c r="BAX9" s="117"/>
      <c r="BAY9" s="117"/>
      <c r="BAZ9" s="117"/>
      <c r="BBA9" s="117"/>
      <c r="BBB9" s="117"/>
      <c r="BBC9" s="117"/>
      <c r="BBD9" s="117"/>
      <c r="BBE9" s="117"/>
      <c r="BBF9" s="117"/>
      <c r="BBG9" s="117"/>
      <c r="BBH9" s="117"/>
      <c r="BBI9" s="117"/>
      <c r="BBJ9" s="117"/>
      <c r="BBK9" s="117"/>
      <c r="BBL9" s="117"/>
      <c r="BBM9" s="117"/>
      <c r="BBN9" s="117"/>
      <c r="BBO9" s="117"/>
      <c r="BBP9" s="117"/>
      <c r="BBQ9" s="117"/>
      <c r="BBR9" s="117"/>
      <c r="BBS9" s="117"/>
      <c r="BBT9" s="117"/>
      <c r="BBU9" s="117"/>
      <c r="BBV9" s="117"/>
      <c r="BBW9" s="117"/>
      <c r="BBX9" s="117"/>
      <c r="BBY9" s="117"/>
      <c r="BBZ9" s="117"/>
      <c r="BCA9" s="117"/>
      <c r="BCB9" s="117"/>
      <c r="BCC9" s="117"/>
      <c r="BCD9" s="117"/>
      <c r="BCE9" s="117"/>
      <c r="BCF9" s="117"/>
      <c r="BCG9" s="117"/>
      <c r="BCH9" s="117"/>
      <c r="BCI9" s="117"/>
      <c r="BCJ9" s="117"/>
      <c r="BCK9" s="117"/>
      <c r="BCL9" s="117"/>
      <c r="BCM9" s="117"/>
      <c r="BCN9" s="117"/>
      <c r="BCO9" s="117"/>
      <c r="BCP9" s="117"/>
      <c r="BCQ9" s="117"/>
      <c r="BCR9" s="117"/>
      <c r="BCS9" s="117"/>
      <c r="BCT9" s="117"/>
      <c r="BCU9" s="117"/>
      <c r="BCV9" s="117"/>
      <c r="BCW9" s="117"/>
      <c r="BCX9" s="117"/>
      <c r="BCY9" s="117"/>
      <c r="BCZ9" s="117"/>
      <c r="BDA9" s="117"/>
      <c r="BDB9" s="117"/>
      <c r="BDC9" s="117"/>
      <c r="BDD9" s="117"/>
      <c r="BDE9" s="117"/>
      <c r="BDF9" s="117"/>
      <c r="BDG9" s="117"/>
      <c r="BDH9" s="117"/>
      <c r="BDI9" s="117"/>
      <c r="BDJ9" s="117"/>
      <c r="BDK9" s="117"/>
      <c r="BDL9" s="117"/>
      <c r="BDM9" s="117"/>
      <c r="BDN9" s="117"/>
      <c r="BDO9" s="117"/>
      <c r="BDP9" s="117"/>
      <c r="BDQ9" s="117"/>
      <c r="BDR9" s="117"/>
      <c r="BDS9" s="117"/>
      <c r="BDT9" s="117"/>
      <c r="BDU9" s="117"/>
      <c r="BDV9" s="117"/>
      <c r="BDW9" s="117"/>
      <c r="BDX9" s="117"/>
      <c r="BDY9" s="117"/>
      <c r="BDZ9" s="117"/>
      <c r="BEA9" s="117"/>
      <c r="BEB9" s="117"/>
      <c r="BEC9" s="117"/>
      <c r="BED9" s="117"/>
      <c r="BEE9" s="117"/>
      <c r="BEF9" s="117"/>
      <c r="BEG9" s="117"/>
      <c r="BEH9" s="117"/>
      <c r="BEI9" s="117"/>
      <c r="BEJ9" s="117"/>
      <c r="BEK9" s="117"/>
      <c r="BEL9" s="117"/>
      <c r="BEM9" s="117"/>
      <c r="BEN9" s="117"/>
      <c r="BEO9" s="117"/>
      <c r="BEP9" s="117"/>
      <c r="BEQ9" s="117"/>
      <c r="BER9" s="117"/>
      <c r="BES9" s="117"/>
      <c r="BET9" s="117"/>
      <c r="BEU9" s="117"/>
      <c r="BEV9" s="117"/>
      <c r="BEW9" s="117"/>
      <c r="BEX9" s="117"/>
      <c r="BEY9" s="117"/>
      <c r="BEZ9" s="117"/>
      <c r="BFA9" s="117"/>
      <c r="BFB9" s="117"/>
      <c r="BFC9" s="117"/>
      <c r="BFD9" s="117"/>
      <c r="BFE9" s="117"/>
      <c r="BFF9" s="117"/>
      <c r="BFG9" s="117"/>
      <c r="BFH9" s="117"/>
      <c r="BFI9" s="117"/>
      <c r="BFJ9" s="117"/>
      <c r="BFK9" s="117"/>
      <c r="BFL9" s="117"/>
      <c r="BFM9" s="117"/>
      <c r="BFN9" s="117"/>
      <c r="BFO9" s="117"/>
      <c r="BFP9" s="117"/>
      <c r="BFQ9" s="117"/>
      <c r="BFR9" s="117"/>
      <c r="BFS9" s="117"/>
      <c r="BFT9" s="117"/>
      <c r="BFU9" s="117"/>
      <c r="BFV9" s="117"/>
      <c r="BFW9" s="117"/>
      <c r="BFX9" s="117"/>
      <c r="BFY9" s="117"/>
      <c r="BFZ9" s="117"/>
      <c r="BGA9" s="117"/>
      <c r="BGB9" s="117"/>
      <c r="BGC9" s="117"/>
      <c r="BGD9" s="117"/>
      <c r="BGE9" s="117"/>
      <c r="BGF9" s="117"/>
      <c r="BGG9" s="117"/>
      <c r="BGH9" s="117"/>
      <c r="BGI9" s="117"/>
      <c r="BGJ9" s="117"/>
      <c r="BGK9" s="117"/>
      <c r="BGL9" s="117"/>
      <c r="BGM9" s="117"/>
      <c r="BGN9" s="117"/>
      <c r="BGO9" s="117"/>
      <c r="BGP9" s="117"/>
      <c r="BGQ9" s="117"/>
      <c r="BGR9" s="117"/>
      <c r="BGS9" s="117"/>
      <c r="BGT9" s="117"/>
      <c r="BGU9" s="117"/>
      <c r="BGV9" s="117"/>
      <c r="BGW9" s="117"/>
      <c r="BGX9" s="117"/>
      <c r="BGY9" s="117"/>
      <c r="BGZ9" s="117"/>
      <c r="BHA9" s="117"/>
      <c r="BHB9" s="117"/>
      <c r="BHC9" s="117"/>
      <c r="BHD9" s="117"/>
      <c r="BHE9" s="117"/>
      <c r="BHF9" s="117"/>
      <c r="BHG9" s="117"/>
      <c r="BHH9" s="117"/>
      <c r="BHI9" s="117"/>
      <c r="BHJ9" s="117"/>
      <c r="BHK9" s="117"/>
      <c r="BHL9" s="117"/>
      <c r="BHM9" s="117"/>
      <c r="BHN9" s="117"/>
      <c r="BHO9" s="117"/>
      <c r="BHP9" s="117"/>
      <c r="BHQ9" s="117"/>
      <c r="BHR9" s="117"/>
      <c r="BHS9" s="117"/>
      <c r="BHT9" s="117"/>
      <c r="BHU9" s="117"/>
      <c r="BHV9" s="117"/>
      <c r="BHW9" s="117"/>
      <c r="BHX9" s="117"/>
      <c r="BHY9" s="117"/>
      <c r="BHZ9" s="117"/>
      <c r="BIA9" s="117"/>
      <c r="BIB9" s="117"/>
      <c r="BIC9" s="117"/>
      <c r="BID9" s="117"/>
      <c r="BIE9" s="117"/>
      <c r="BIF9" s="117"/>
      <c r="BIG9" s="117"/>
      <c r="BIH9" s="117"/>
      <c r="BII9" s="117"/>
      <c r="BIJ9" s="117"/>
      <c r="BIK9" s="117"/>
      <c r="BIL9" s="117"/>
      <c r="BIM9" s="117"/>
      <c r="BIN9" s="117"/>
      <c r="BIO9" s="117"/>
      <c r="BIP9" s="117"/>
      <c r="BIQ9" s="117"/>
      <c r="BIR9" s="117"/>
      <c r="BIS9" s="117"/>
      <c r="BIT9" s="117"/>
      <c r="BIU9" s="117"/>
      <c r="BIV9" s="117"/>
      <c r="BIW9" s="117"/>
      <c r="BIX9" s="117"/>
      <c r="BIY9" s="117"/>
      <c r="BIZ9" s="117"/>
      <c r="BJA9" s="117"/>
      <c r="BJB9" s="117"/>
      <c r="BJC9" s="117"/>
      <c r="BJD9" s="117"/>
      <c r="BJE9" s="117"/>
      <c r="BJF9" s="117"/>
      <c r="BJG9" s="117"/>
      <c r="BJH9" s="117"/>
      <c r="BJI9" s="117"/>
      <c r="BJJ9" s="117"/>
      <c r="BJK9" s="117"/>
      <c r="BJL9" s="117"/>
      <c r="BJM9" s="117"/>
      <c r="BJN9" s="117"/>
      <c r="BJO9" s="117"/>
      <c r="BJP9" s="117"/>
      <c r="BJQ9" s="117"/>
      <c r="BJR9" s="117"/>
      <c r="BJS9" s="117"/>
      <c r="BJT9" s="117"/>
      <c r="BJU9" s="117"/>
      <c r="BJV9" s="117"/>
      <c r="BJW9" s="117"/>
      <c r="BJX9" s="117"/>
      <c r="BJY9" s="117"/>
      <c r="BJZ9" s="117"/>
      <c r="BKA9" s="117"/>
      <c r="BKB9" s="117"/>
      <c r="BKC9" s="117"/>
      <c r="BKD9" s="117"/>
      <c r="BKE9" s="117"/>
      <c r="BKF9" s="117"/>
      <c r="BKG9" s="117"/>
      <c r="BKH9" s="117"/>
      <c r="BKI9" s="117"/>
      <c r="BKJ9" s="117"/>
      <c r="BKK9" s="117"/>
      <c r="BKL9" s="117"/>
      <c r="BKM9" s="117"/>
      <c r="BKN9" s="117"/>
      <c r="BKO9" s="117"/>
      <c r="BKP9" s="117"/>
      <c r="BKQ9" s="117"/>
      <c r="BKR9" s="117"/>
      <c r="BKS9" s="117"/>
      <c r="BKT9" s="117"/>
      <c r="BKU9" s="117"/>
      <c r="BKV9" s="117"/>
      <c r="BKW9" s="117"/>
      <c r="BKX9" s="117"/>
      <c r="BKY9" s="117"/>
      <c r="BKZ9" s="117"/>
      <c r="BLA9" s="117"/>
      <c r="BLB9" s="117"/>
      <c r="BLC9" s="117"/>
      <c r="BLD9" s="117"/>
      <c r="BLE9" s="117"/>
      <c r="BLF9" s="117"/>
      <c r="BLG9" s="117"/>
      <c r="BLH9" s="117"/>
      <c r="BLI9" s="117"/>
      <c r="BLJ9" s="117"/>
      <c r="BLK9" s="117"/>
      <c r="BLL9" s="117"/>
      <c r="BLM9" s="117"/>
      <c r="BLN9" s="117"/>
      <c r="BLO9" s="117"/>
      <c r="BLP9" s="117"/>
      <c r="BLQ9" s="117"/>
      <c r="BLR9" s="117"/>
      <c r="BLS9" s="117"/>
      <c r="BLT9" s="117"/>
      <c r="BLU9" s="117"/>
      <c r="BLV9" s="117"/>
      <c r="BLW9" s="117"/>
      <c r="BLX9" s="117"/>
      <c r="BLY9" s="117"/>
      <c r="BLZ9" s="117"/>
      <c r="BMA9" s="117"/>
      <c r="BMB9" s="117"/>
      <c r="BMC9" s="117"/>
      <c r="BMD9" s="117"/>
      <c r="BME9" s="117"/>
      <c r="BMF9" s="117"/>
      <c r="BMG9" s="117"/>
      <c r="BMH9" s="117"/>
      <c r="BMI9" s="117"/>
      <c r="BMJ9" s="117"/>
      <c r="BMK9" s="117"/>
      <c r="BML9" s="117"/>
      <c r="BMM9" s="117"/>
      <c r="BMN9" s="117"/>
      <c r="BMO9" s="117"/>
      <c r="BMP9" s="117"/>
      <c r="BMQ9" s="117"/>
      <c r="BMR9" s="117"/>
      <c r="BMS9" s="117"/>
      <c r="BMT9" s="117"/>
      <c r="BMU9" s="117"/>
      <c r="BMV9" s="117"/>
      <c r="BMW9" s="117"/>
      <c r="BMX9" s="117"/>
      <c r="BMY9" s="117"/>
      <c r="BMZ9" s="117"/>
      <c r="BNA9" s="117"/>
      <c r="BNB9" s="117"/>
      <c r="BNC9" s="117"/>
      <c r="BND9" s="117"/>
      <c r="BNE9" s="117"/>
      <c r="BNF9" s="117"/>
      <c r="BNG9" s="117"/>
      <c r="BNH9" s="117"/>
      <c r="BNI9" s="117"/>
      <c r="BNJ9" s="117"/>
      <c r="BNK9" s="117"/>
      <c r="BNL9" s="117"/>
      <c r="BNM9" s="117"/>
      <c r="BNN9" s="117"/>
      <c r="BNO9" s="117"/>
      <c r="BNP9" s="117"/>
      <c r="BNQ9" s="117"/>
      <c r="BNR9" s="117"/>
      <c r="BNS9" s="117"/>
      <c r="BNT9" s="117"/>
      <c r="BNU9" s="117"/>
      <c r="BNV9" s="117"/>
      <c r="BNW9" s="117"/>
      <c r="BNX9" s="117"/>
      <c r="BNY9" s="117"/>
      <c r="BNZ9" s="117"/>
      <c r="BOA9" s="117"/>
      <c r="BOB9" s="117"/>
      <c r="BOC9" s="117"/>
      <c r="BOD9" s="117"/>
      <c r="BOE9" s="117"/>
      <c r="BOF9" s="117"/>
      <c r="BOG9" s="117"/>
      <c r="BOH9" s="117"/>
      <c r="BOI9" s="117"/>
      <c r="BOJ9" s="117"/>
      <c r="BOK9" s="117"/>
      <c r="BOL9" s="117"/>
      <c r="BOM9" s="117"/>
      <c r="BON9" s="117"/>
      <c r="BOO9" s="117"/>
      <c r="BOP9" s="117"/>
      <c r="BOQ9" s="117"/>
      <c r="BOR9" s="117"/>
      <c r="BOS9" s="117"/>
      <c r="BOT9" s="117"/>
      <c r="BOU9" s="117"/>
      <c r="BOV9" s="117"/>
      <c r="BOW9" s="117"/>
      <c r="BOX9" s="117"/>
      <c r="BOY9" s="117"/>
      <c r="BOZ9" s="117"/>
      <c r="BPA9" s="117"/>
      <c r="BPB9" s="117"/>
      <c r="BPC9" s="117"/>
      <c r="BPD9" s="117"/>
      <c r="BPE9" s="117"/>
      <c r="BPF9" s="117"/>
      <c r="BPG9" s="117"/>
      <c r="BPH9" s="117"/>
      <c r="BPI9" s="117"/>
      <c r="BPJ9" s="117"/>
      <c r="BPK9" s="117"/>
      <c r="BPL9" s="117"/>
      <c r="BPM9" s="117"/>
      <c r="BPN9" s="117"/>
      <c r="BPO9" s="117"/>
      <c r="BPP9" s="117"/>
      <c r="BPQ9" s="117"/>
      <c r="BPR9" s="117"/>
      <c r="BPS9" s="117"/>
      <c r="BPT9" s="117"/>
      <c r="BPU9" s="117"/>
      <c r="BPV9" s="117"/>
      <c r="BPW9" s="117"/>
      <c r="BPX9" s="117"/>
      <c r="BPY9" s="117"/>
      <c r="BPZ9" s="117"/>
      <c r="BQA9" s="117"/>
      <c r="BQB9" s="117"/>
      <c r="BQC9" s="117"/>
      <c r="BQD9" s="117"/>
      <c r="BQE9" s="117"/>
      <c r="BQF9" s="117"/>
      <c r="BQG9" s="117"/>
      <c r="BQH9" s="117"/>
      <c r="BQI9" s="117"/>
      <c r="BQJ9" s="117"/>
      <c r="BQK9" s="117"/>
      <c r="BQL9" s="117"/>
      <c r="BQM9" s="117"/>
      <c r="BQN9" s="117"/>
      <c r="BQO9" s="117"/>
      <c r="BQP9" s="117"/>
      <c r="BQQ9" s="117"/>
      <c r="BQR9" s="117"/>
      <c r="BQS9" s="117"/>
      <c r="BQT9" s="117"/>
      <c r="BQU9" s="117"/>
      <c r="BQV9" s="117"/>
      <c r="BQW9" s="117"/>
      <c r="BQX9" s="117"/>
      <c r="BQY9" s="117"/>
      <c r="BQZ9" s="117"/>
      <c r="BRA9" s="117"/>
      <c r="BRB9" s="117"/>
      <c r="BRC9" s="117"/>
      <c r="BRD9" s="117"/>
      <c r="BRE9" s="117"/>
      <c r="BRF9" s="117"/>
      <c r="BRG9" s="117"/>
      <c r="BRH9" s="117"/>
      <c r="BRI9" s="117"/>
      <c r="BRJ9" s="117"/>
      <c r="BRK9" s="117"/>
      <c r="BRL9" s="117"/>
      <c r="BRM9" s="117"/>
      <c r="BRN9" s="117"/>
      <c r="BRO9" s="117"/>
      <c r="BRP9" s="117"/>
      <c r="BRQ9" s="117"/>
      <c r="BRR9" s="117"/>
      <c r="BRS9" s="117"/>
      <c r="BRT9" s="117"/>
      <c r="BRU9" s="117"/>
      <c r="BRV9" s="117"/>
      <c r="BRW9" s="117"/>
      <c r="BRX9" s="117"/>
      <c r="BRY9" s="117"/>
      <c r="BRZ9" s="117"/>
      <c r="BSA9" s="117"/>
      <c r="BSB9" s="117"/>
      <c r="BSC9" s="117"/>
      <c r="BSD9" s="117"/>
      <c r="BSE9" s="117"/>
      <c r="BSF9" s="117"/>
      <c r="BSG9" s="117"/>
      <c r="BSH9" s="117"/>
      <c r="BSI9" s="117"/>
      <c r="BSJ9" s="117"/>
      <c r="BSK9" s="117"/>
      <c r="BSL9" s="117"/>
      <c r="BSM9" s="117"/>
      <c r="BSN9" s="117"/>
      <c r="BSO9" s="117"/>
      <c r="BSP9" s="117"/>
      <c r="BSQ9" s="117"/>
      <c r="BSR9" s="117"/>
      <c r="BSS9" s="117"/>
      <c r="BST9" s="117"/>
      <c r="BSU9" s="117"/>
      <c r="BSV9" s="117"/>
      <c r="BSW9" s="117"/>
      <c r="BSX9" s="117"/>
      <c r="BSY9" s="117"/>
      <c r="BSZ9" s="117"/>
      <c r="BTA9" s="117"/>
      <c r="BTB9" s="117"/>
      <c r="BTC9" s="117"/>
      <c r="BTD9" s="117"/>
      <c r="BTE9" s="117"/>
      <c r="BTF9" s="117"/>
      <c r="BTG9" s="117"/>
      <c r="BTH9" s="117"/>
      <c r="BTI9" s="117"/>
      <c r="BTJ9" s="117"/>
      <c r="BTK9" s="117"/>
      <c r="BTL9" s="117"/>
      <c r="BTM9" s="117"/>
      <c r="BTN9" s="117"/>
      <c r="BTO9" s="117"/>
      <c r="BTP9" s="117"/>
      <c r="BTQ9" s="117"/>
      <c r="BTR9" s="117"/>
      <c r="BTS9" s="117"/>
      <c r="BTT9" s="117"/>
      <c r="BTU9" s="117"/>
      <c r="BTV9" s="117"/>
      <c r="BTW9" s="117"/>
      <c r="BTX9" s="117"/>
      <c r="BTY9" s="117"/>
      <c r="BTZ9" s="117"/>
      <c r="BUA9" s="117"/>
      <c r="BUB9" s="117"/>
      <c r="BUC9" s="117"/>
      <c r="BUD9" s="117"/>
      <c r="BUE9" s="117"/>
      <c r="BUF9" s="117"/>
      <c r="BUG9" s="117"/>
      <c r="BUH9" s="117"/>
      <c r="BUI9" s="117"/>
      <c r="BUJ9" s="117"/>
      <c r="BUK9" s="117"/>
      <c r="BUL9" s="117"/>
      <c r="BUM9" s="117"/>
      <c r="BUN9" s="117"/>
      <c r="BUO9" s="117"/>
      <c r="BUP9" s="117"/>
      <c r="BUQ9" s="117"/>
      <c r="BUR9" s="117"/>
      <c r="BUS9" s="117"/>
      <c r="BUT9" s="117"/>
      <c r="BUU9" s="117"/>
      <c r="BUV9" s="117"/>
      <c r="BUW9" s="117"/>
      <c r="BUX9" s="117"/>
      <c r="BUY9" s="117"/>
      <c r="BUZ9" s="117"/>
      <c r="BVA9" s="117"/>
      <c r="BVB9" s="117"/>
      <c r="BVC9" s="117"/>
      <c r="BVD9" s="117"/>
      <c r="BVE9" s="117"/>
      <c r="BVF9" s="117"/>
      <c r="BVG9" s="117"/>
      <c r="BVH9" s="117"/>
      <c r="BVI9" s="117"/>
      <c r="BVJ9" s="117"/>
      <c r="BVK9" s="117"/>
      <c r="BVL9" s="117"/>
      <c r="BVM9" s="117"/>
      <c r="BVN9" s="117"/>
      <c r="BVO9" s="117"/>
      <c r="BVP9" s="117"/>
      <c r="BVQ9" s="117"/>
      <c r="BVR9" s="117"/>
      <c r="BVS9" s="117"/>
      <c r="BVT9" s="117"/>
      <c r="BVU9" s="117"/>
      <c r="BVV9" s="117"/>
      <c r="BVW9" s="117"/>
      <c r="BVX9" s="117"/>
      <c r="BVY9" s="117"/>
      <c r="BVZ9" s="117"/>
      <c r="BWA9" s="117"/>
      <c r="BWB9" s="117"/>
      <c r="BWC9" s="117"/>
      <c r="BWD9" s="117"/>
      <c r="BWE9" s="117"/>
      <c r="BWF9" s="117"/>
      <c r="BWG9" s="117"/>
      <c r="BWH9" s="117"/>
      <c r="BWI9" s="117"/>
      <c r="BWJ9" s="117"/>
      <c r="BWK9" s="117"/>
      <c r="BWL9" s="117"/>
      <c r="BWM9" s="117"/>
      <c r="BWN9" s="117"/>
      <c r="BWO9" s="117"/>
      <c r="BWP9" s="117"/>
      <c r="BWQ9" s="117"/>
      <c r="BWR9" s="117"/>
      <c r="BWS9" s="117"/>
      <c r="BWT9" s="117"/>
      <c r="BWU9" s="117"/>
      <c r="BWV9" s="117"/>
      <c r="BWW9" s="117"/>
      <c r="BWX9" s="117"/>
      <c r="BWY9" s="117"/>
      <c r="BWZ9" s="117"/>
      <c r="BXA9" s="117"/>
      <c r="BXB9" s="117"/>
      <c r="BXC9" s="117"/>
      <c r="BXD9" s="117"/>
      <c r="BXE9" s="117"/>
      <c r="BXF9" s="117"/>
      <c r="BXG9" s="117"/>
      <c r="BXH9" s="117"/>
      <c r="BXI9" s="117"/>
      <c r="BXJ9" s="117"/>
      <c r="BXK9" s="117"/>
      <c r="BXL9" s="117"/>
      <c r="BXM9" s="117"/>
      <c r="BXN9" s="117"/>
      <c r="BXO9" s="117"/>
      <c r="BXP9" s="117"/>
      <c r="BXQ9" s="117"/>
      <c r="BXR9" s="117"/>
      <c r="BXS9" s="117"/>
      <c r="BXT9" s="117"/>
      <c r="BXU9" s="117"/>
      <c r="BXV9" s="117"/>
      <c r="BXW9" s="117"/>
      <c r="BXX9" s="117"/>
      <c r="BXY9" s="117"/>
      <c r="BXZ9" s="117"/>
      <c r="BYA9" s="117"/>
      <c r="BYB9" s="117"/>
      <c r="BYC9" s="117"/>
      <c r="BYD9" s="117"/>
      <c r="BYE9" s="117"/>
      <c r="BYF9" s="117"/>
      <c r="BYG9" s="117"/>
      <c r="BYH9" s="117"/>
      <c r="BYI9" s="117"/>
      <c r="BYJ9" s="117"/>
      <c r="BYK9" s="117"/>
      <c r="BYL9" s="117"/>
      <c r="BYM9" s="117"/>
      <c r="BYN9" s="117"/>
      <c r="BYO9" s="117"/>
      <c r="BYP9" s="117"/>
      <c r="BYQ9" s="117"/>
      <c r="BYR9" s="117"/>
      <c r="BYS9" s="117"/>
      <c r="BYT9" s="117"/>
      <c r="BYU9" s="117"/>
      <c r="BYV9" s="117"/>
      <c r="BYW9" s="117"/>
      <c r="BYX9" s="117"/>
      <c r="BYY9" s="117"/>
      <c r="BYZ9" s="117"/>
      <c r="BZA9" s="117"/>
      <c r="BZB9" s="117"/>
      <c r="BZC9" s="117"/>
      <c r="BZD9" s="117"/>
      <c r="BZE9" s="117"/>
      <c r="BZF9" s="117"/>
      <c r="BZG9" s="117"/>
      <c r="BZH9" s="117"/>
      <c r="BZI9" s="117"/>
      <c r="BZJ9" s="117"/>
      <c r="BZK9" s="117"/>
      <c r="BZL9" s="117"/>
      <c r="BZM9" s="117"/>
      <c r="BZN9" s="117"/>
      <c r="BZO9" s="117"/>
      <c r="BZP9" s="117"/>
      <c r="BZQ9" s="117"/>
      <c r="BZR9" s="117"/>
      <c r="BZS9" s="117"/>
      <c r="BZT9" s="117"/>
      <c r="BZU9" s="117"/>
      <c r="BZV9" s="117"/>
      <c r="BZW9" s="117"/>
      <c r="BZX9" s="117"/>
      <c r="BZY9" s="117"/>
      <c r="BZZ9" s="117"/>
      <c r="CAA9" s="117"/>
      <c r="CAB9" s="117"/>
      <c r="CAC9" s="117"/>
      <c r="CAD9" s="117"/>
      <c r="CAE9" s="117"/>
      <c r="CAF9" s="117"/>
      <c r="CAG9" s="117"/>
      <c r="CAH9" s="117"/>
      <c r="CAI9" s="117"/>
      <c r="CAJ9" s="117"/>
      <c r="CAK9" s="117"/>
      <c r="CAL9" s="117"/>
      <c r="CAM9" s="117"/>
      <c r="CAN9" s="117"/>
      <c r="CAO9" s="117"/>
      <c r="CAP9" s="117"/>
      <c r="CAQ9" s="117"/>
      <c r="CAR9" s="117"/>
      <c r="CAS9" s="117"/>
      <c r="CAT9" s="117"/>
      <c r="CAU9" s="117"/>
      <c r="CAV9" s="117"/>
      <c r="CAW9" s="117"/>
      <c r="CAX9" s="117"/>
      <c r="CAY9" s="117"/>
      <c r="CAZ9" s="117"/>
      <c r="CBA9" s="117"/>
      <c r="CBB9" s="117"/>
      <c r="CBC9" s="117"/>
      <c r="CBD9" s="117"/>
      <c r="CBE9" s="117"/>
      <c r="CBF9" s="117"/>
      <c r="CBG9" s="117"/>
      <c r="CBH9" s="117"/>
      <c r="CBI9" s="117"/>
      <c r="CBJ9" s="117"/>
      <c r="CBK9" s="117"/>
      <c r="CBL9" s="117"/>
      <c r="CBM9" s="117"/>
      <c r="CBN9" s="117"/>
      <c r="CBO9" s="117"/>
      <c r="CBP9" s="117"/>
      <c r="CBQ9" s="117"/>
      <c r="CBR9" s="117"/>
      <c r="CBS9" s="117"/>
      <c r="CBT9" s="117"/>
      <c r="CBU9" s="117"/>
      <c r="CBV9" s="117"/>
      <c r="CBW9" s="117"/>
      <c r="CBX9" s="117"/>
      <c r="CBY9" s="117"/>
      <c r="CBZ9" s="117"/>
      <c r="CCA9" s="117"/>
      <c r="CCB9" s="117"/>
      <c r="CCC9" s="117"/>
      <c r="CCD9" s="117"/>
      <c r="CCE9" s="117"/>
      <c r="CCF9" s="117"/>
      <c r="CCG9" s="117"/>
      <c r="CCH9" s="117"/>
      <c r="CCI9" s="117"/>
      <c r="CCJ9" s="117"/>
      <c r="CCK9" s="117"/>
      <c r="CCL9" s="117"/>
      <c r="CCM9" s="117"/>
      <c r="CCN9" s="117"/>
      <c r="CCO9" s="117"/>
      <c r="CCP9" s="117"/>
      <c r="CCQ9" s="117"/>
      <c r="CCR9" s="117"/>
      <c r="CCS9" s="117"/>
      <c r="CCT9" s="117"/>
      <c r="CCU9" s="117"/>
      <c r="CCV9" s="117"/>
      <c r="CCW9" s="117"/>
      <c r="CCX9" s="117"/>
      <c r="CCY9" s="117"/>
      <c r="CCZ9" s="117"/>
      <c r="CDA9" s="117"/>
      <c r="CDB9" s="117"/>
      <c r="CDC9" s="117"/>
      <c r="CDD9" s="117"/>
      <c r="CDE9" s="117"/>
      <c r="CDF9" s="117"/>
      <c r="CDG9" s="117"/>
      <c r="CDH9" s="117"/>
      <c r="CDI9" s="117"/>
      <c r="CDJ9" s="117"/>
      <c r="CDK9" s="117"/>
      <c r="CDL9" s="117"/>
      <c r="CDM9" s="117"/>
      <c r="CDN9" s="117"/>
      <c r="CDO9" s="117"/>
      <c r="CDP9" s="117"/>
      <c r="CDQ9" s="117"/>
      <c r="CDR9" s="117"/>
      <c r="CDS9" s="117"/>
      <c r="CDT9" s="117"/>
      <c r="CDU9" s="117"/>
      <c r="CDV9" s="117"/>
      <c r="CDW9" s="117"/>
      <c r="CDX9" s="117"/>
      <c r="CDY9" s="117"/>
      <c r="CDZ9" s="117"/>
      <c r="CEA9" s="117"/>
      <c r="CEB9" s="117"/>
      <c r="CEC9" s="117"/>
      <c r="CED9" s="117"/>
      <c r="CEE9" s="117"/>
      <c r="CEF9" s="117"/>
      <c r="CEG9" s="117"/>
      <c r="CEH9" s="117"/>
      <c r="CEI9" s="117"/>
      <c r="CEJ9" s="117"/>
      <c r="CEK9" s="117"/>
      <c r="CEL9" s="117"/>
      <c r="CEM9" s="117"/>
      <c r="CEN9" s="117"/>
      <c r="CEO9" s="117"/>
      <c r="CEP9" s="117"/>
      <c r="CEQ9" s="117"/>
      <c r="CER9" s="117"/>
      <c r="CES9" s="117"/>
      <c r="CET9" s="117"/>
      <c r="CEU9" s="117"/>
      <c r="CEV9" s="117"/>
      <c r="CEW9" s="117"/>
      <c r="CEX9" s="117"/>
      <c r="CEY9" s="117"/>
      <c r="CEZ9" s="117"/>
      <c r="CFA9" s="117"/>
      <c r="CFB9" s="117"/>
      <c r="CFC9" s="117"/>
      <c r="CFD9" s="117"/>
      <c r="CFE9" s="117"/>
      <c r="CFF9" s="117"/>
      <c r="CFG9" s="117"/>
      <c r="CFH9" s="117"/>
      <c r="CFI9" s="117"/>
      <c r="CFJ9" s="117"/>
      <c r="CFK9" s="117"/>
      <c r="CFL9" s="117"/>
      <c r="CFM9" s="117"/>
      <c r="CFN9" s="117"/>
      <c r="CFO9" s="117"/>
      <c r="CFP9" s="117"/>
      <c r="CFQ9" s="117"/>
      <c r="CFR9" s="117"/>
      <c r="CFS9" s="117"/>
      <c r="CFT9" s="117"/>
      <c r="CFU9" s="117"/>
      <c r="CFV9" s="117"/>
      <c r="CFW9" s="117"/>
      <c r="CFX9" s="117"/>
      <c r="CFY9" s="117"/>
      <c r="CFZ9" s="117"/>
      <c r="CGA9" s="117"/>
      <c r="CGB9" s="117"/>
      <c r="CGC9" s="117"/>
      <c r="CGD9" s="117"/>
      <c r="CGE9" s="117"/>
      <c r="CGF9" s="117"/>
      <c r="CGG9" s="117"/>
      <c r="CGH9" s="117"/>
      <c r="CGI9" s="117"/>
      <c r="CGJ9" s="117"/>
      <c r="CGK9" s="117"/>
      <c r="CGL9" s="117"/>
      <c r="CGM9" s="117"/>
      <c r="CGN9" s="117"/>
      <c r="CGO9" s="117"/>
      <c r="CGP9" s="117"/>
      <c r="CGQ9" s="117"/>
      <c r="CGR9" s="117"/>
      <c r="CGS9" s="117"/>
      <c r="CGT9" s="117"/>
      <c r="CGU9" s="117"/>
      <c r="CGV9" s="117"/>
      <c r="CGW9" s="117"/>
      <c r="CGX9" s="117"/>
      <c r="CGY9" s="117"/>
      <c r="CGZ9" s="117"/>
      <c r="CHA9" s="117"/>
      <c r="CHB9" s="117"/>
      <c r="CHC9" s="117"/>
      <c r="CHD9" s="117"/>
      <c r="CHE9" s="117"/>
      <c r="CHF9" s="117"/>
      <c r="CHG9" s="117"/>
      <c r="CHH9" s="117"/>
      <c r="CHI9" s="117"/>
      <c r="CHJ9" s="117"/>
      <c r="CHK9" s="117"/>
      <c r="CHL9" s="117"/>
      <c r="CHM9" s="117"/>
      <c r="CHN9" s="117"/>
      <c r="CHO9" s="117"/>
      <c r="CHP9" s="117"/>
      <c r="CHQ9" s="117"/>
      <c r="CHR9" s="117"/>
      <c r="CHS9" s="117"/>
      <c r="CHT9" s="117"/>
      <c r="CHU9" s="117"/>
      <c r="CHV9" s="117"/>
      <c r="CHW9" s="117"/>
      <c r="CHX9" s="117"/>
      <c r="CHY9" s="117"/>
      <c r="CHZ9" s="117"/>
      <c r="CIA9" s="117"/>
      <c r="CIB9" s="117"/>
      <c r="CIC9" s="117"/>
      <c r="CID9" s="117"/>
      <c r="CIE9" s="117"/>
      <c r="CIF9" s="117"/>
      <c r="CIG9" s="117"/>
      <c r="CIH9" s="117"/>
      <c r="CII9" s="117"/>
      <c r="CIJ9" s="117"/>
      <c r="CIK9" s="117"/>
      <c r="CIL9" s="117"/>
      <c r="CIM9" s="117"/>
      <c r="CIN9" s="117"/>
      <c r="CIO9" s="117"/>
      <c r="CIP9" s="117"/>
      <c r="CIQ9" s="117"/>
      <c r="CIR9" s="117"/>
      <c r="CIS9" s="117"/>
      <c r="CIT9" s="117"/>
      <c r="CIU9" s="117"/>
      <c r="CIV9" s="117"/>
      <c r="CIW9" s="117"/>
      <c r="CIX9" s="117"/>
      <c r="CIY9" s="117"/>
      <c r="CIZ9" s="117"/>
      <c r="CJA9" s="117"/>
      <c r="CJB9" s="117"/>
      <c r="CJC9" s="117"/>
      <c r="CJD9" s="117"/>
      <c r="CJE9" s="117"/>
      <c r="CJF9" s="117"/>
      <c r="CJG9" s="117"/>
      <c r="CJH9" s="117"/>
      <c r="CJI9" s="117"/>
      <c r="CJJ9" s="117"/>
      <c r="CJK9" s="117"/>
      <c r="CJL9" s="117"/>
      <c r="CJM9" s="117"/>
      <c r="CJN9" s="117"/>
      <c r="CJO9" s="117"/>
      <c r="CJP9" s="117"/>
      <c r="CJQ9" s="117"/>
      <c r="CJR9" s="117"/>
      <c r="CJS9" s="117"/>
      <c r="CJT9" s="117"/>
      <c r="CJU9" s="117"/>
      <c r="CJV9" s="117"/>
      <c r="CJW9" s="117"/>
      <c r="CJX9" s="117"/>
      <c r="CJY9" s="117"/>
      <c r="CJZ9" s="117"/>
      <c r="CKA9" s="117"/>
      <c r="CKB9" s="117"/>
      <c r="CKC9" s="117"/>
      <c r="CKD9" s="117"/>
      <c r="CKE9" s="117"/>
      <c r="CKF9" s="117"/>
      <c r="CKG9" s="117"/>
      <c r="CKH9" s="117"/>
      <c r="CKI9" s="117"/>
      <c r="CKJ9" s="117"/>
      <c r="CKK9" s="117"/>
      <c r="CKL9" s="117"/>
      <c r="CKM9" s="117"/>
      <c r="CKN9" s="117"/>
      <c r="CKO9" s="117"/>
      <c r="CKP9" s="117"/>
      <c r="CKQ9" s="117"/>
      <c r="CKR9" s="117"/>
      <c r="CKS9" s="117"/>
      <c r="CKT9" s="117"/>
      <c r="CKU9" s="117"/>
      <c r="CKV9" s="117"/>
      <c r="CKW9" s="117"/>
      <c r="CKX9" s="117"/>
      <c r="CKY9" s="117"/>
      <c r="CKZ9" s="117"/>
      <c r="CLA9" s="117"/>
      <c r="CLB9" s="117"/>
      <c r="CLC9" s="117"/>
      <c r="CLD9" s="117"/>
      <c r="CLE9" s="117"/>
      <c r="CLF9" s="117"/>
      <c r="CLG9" s="117"/>
      <c r="CLH9" s="117"/>
      <c r="CLI9" s="117"/>
      <c r="CLJ9" s="117"/>
      <c r="CLK9" s="117"/>
      <c r="CLL9" s="117"/>
      <c r="CLM9" s="117"/>
      <c r="CLN9" s="117"/>
      <c r="CLO9" s="117"/>
      <c r="CLP9" s="117"/>
      <c r="CLQ9" s="117"/>
      <c r="CLR9" s="117"/>
      <c r="CLS9" s="117"/>
      <c r="CLT9" s="117"/>
      <c r="CLU9" s="117"/>
      <c r="CLV9" s="117"/>
      <c r="CLW9" s="117"/>
      <c r="CLX9" s="117"/>
      <c r="CLY9" s="117"/>
      <c r="CLZ9" s="117"/>
      <c r="CMA9" s="117"/>
      <c r="CMB9" s="117"/>
      <c r="CMC9" s="117"/>
      <c r="CMD9" s="117"/>
      <c r="CME9" s="117"/>
      <c r="CMF9" s="117"/>
      <c r="CMG9" s="117"/>
      <c r="CMH9" s="117"/>
      <c r="CMI9" s="117"/>
      <c r="CMJ9" s="117"/>
      <c r="CMK9" s="117"/>
      <c r="CML9" s="117"/>
      <c r="CMM9" s="117"/>
      <c r="CMN9" s="117"/>
      <c r="CMO9" s="117"/>
      <c r="CMP9" s="117"/>
      <c r="CMQ9" s="117"/>
      <c r="CMR9" s="117"/>
      <c r="CMS9" s="117"/>
      <c r="CMT9" s="117"/>
      <c r="CMU9" s="117"/>
      <c r="CMV9" s="117"/>
      <c r="CMW9" s="117"/>
      <c r="CMX9" s="117"/>
      <c r="CMY9" s="117"/>
      <c r="CMZ9" s="117"/>
      <c r="CNA9" s="117"/>
      <c r="CNB9" s="117"/>
      <c r="CNC9" s="117"/>
      <c r="CND9" s="117"/>
      <c r="CNE9" s="117"/>
      <c r="CNF9" s="117"/>
      <c r="CNG9" s="117"/>
      <c r="CNH9" s="117"/>
      <c r="CNI9" s="117"/>
      <c r="CNJ9" s="117"/>
      <c r="CNK9" s="117"/>
      <c r="CNL9" s="117"/>
      <c r="CNM9" s="117"/>
      <c r="CNN9" s="117"/>
      <c r="CNO9" s="117"/>
      <c r="CNP9" s="117"/>
      <c r="CNQ9" s="117"/>
      <c r="CNR9" s="117"/>
      <c r="CNS9" s="117"/>
      <c r="CNT9" s="117"/>
      <c r="CNU9" s="117"/>
      <c r="CNV9" s="117"/>
      <c r="CNW9" s="117"/>
      <c r="CNX9" s="117"/>
      <c r="CNY9" s="117"/>
      <c r="CNZ9" s="117"/>
      <c r="COA9" s="117"/>
      <c r="COB9" s="117"/>
      <c r="COC9" s="117"/>
      <c r="COD9" s="117"/>
      <c r="COE9" s="117"/>
      <c r="COF9" s="117"/>
      <c r="COG9" s="117"/>
      <c r="COH9" s="117"/>
      <c r="COI9" s="117"/>
      <c r="COJ9" s="117"/>
      <c r="COK9" s="117"/>
      <c r="COL9" s="117"/>
      <c r="COM9" s="117"/>
      <c r="CON9" s="117"/>
      <c r="COO9" s="117"/>
      <c r="COP9" s="117"/>
      <c r="COQ9" s="117"/>
      <c r="COR9" s="117"/>
      <c r="COS9" s="117"/>
      <c r="COT9" s="117"/>
      <c r="COU9" s="117"/>
      <c r="COV9" s="117"/>
      <c r="COW9" s="117"/>
      <c r="COX9" s="117"/>
      <c r="COY9" s="117"/>
      <c r="COZ9" s="117"/>
      <c r="CPA9" s="117"/>
      <c r="CPB9" s="117"/>
      <c r="CPC9" s="117"/>
      <c r="CPD9" s="117"/>
      <c r="CPE9" s="117"/>
      <c r="CPF9" s="117"/>
      <c r="CPG9" s="117"/>
      <c r="CPH9" s="117"/>
      <c r="CPI9" s="117"/>
      <c r="CPJ9" s="117"/>
      <c r="CPK9" s="117"/>
      <c r="CPL9" s="117"/>
      <c r="CPM9" s="117"/>
      <c r="CPN9" s="117"/>
      <c r="CPO9" s="117"/>
      <c r="CPP9" s="117"/>
      <c r="CPQ9" s="117"/>
      <c r="CPR9" s="117"/>
      <c r="CPS9" s="117"/>
      <c r="CPT9" s="117"/>
      <c r="CPU9" s="117"/>
      <c r="CPV9" s="117"/>
      <c r="CPW9" s="117"/>
      <c r="CPX9" s="117"/>
      <c r="CPY9" s="117"/>
      <c r="CPZ9" s="117"/>
      <c r="CQA9" s="117"/>
      <c r="CQB9" s="117"/>
      <c r="CQC9" s="117"/>
      <c r="CQD9" s="117"/>
      <c r="CQE9" s="117"/>
      <c r="CQF9" s="117"/>
      <c r="CQG9" s="117"/>
      <c r="CQH9" s="117"/>
      <c r="CQI9" s="117"/>
      <c r="CQJ9" s="117"/>
      <c r="CQK9" s="117"/>
      <c r="CQL9" s="117"/>
      <c r="CQM9" s="117"/>
      <c r="CQN9" s="117"/>
      <c r="CQO9" s="117"/>
      <c r="CQP9" s="117"/>
      <c r="CQQ9" s="117"/>
      <c r="CQR9" s="117"/>
      <c r="CQS9" s="117"/>
      <c r="CQT9" s="117"/>
      <c r="CQU9" s="117"/>
      <c r="CQV9" s="117"/>
      <c r="CQW9" s="117"/>
      <c r="CQX9" s="117"/>
      <c r="CQY9" s="117"/>
      <c r="CQZ9" s="117"/>
      <c r="CRA9" s="117"/>
      <c r="CRB9" s="117"/>
      <c r="CRC9" s="117"/>
      <c r="CRD9" s="117"/>
      <c r="CRE9" s="117"/>
      <c r="CRF9" s="117"/>
      <c r="CRG9" s="117"/>
      <c r="CRH9" s="117"/>
      <c r="CRI9" s="117"/>
      <c r="CRJ9" s="117"/>
      <c r="CRK9" s="117"/>
      <c r="CRL9" s="117"/>
      <c r="CRM9" s="117"/>
      <c r="CRN9" s="117"/>
      <c r="CRO9" s="117"/>
      <c r="CRP9" s="117"/>
      <c r="CRQ9" s="117"/>
      <c r="CRR9" s="117"/>
      <c r="CRS9" s="117"/>
      <c r="CRT9" s="117"/>
      <c r="CRU9" s="117"/>
      <c r="CRV9" s="117"/>
      <c r="CRW9" s="117"/>
      <c r="CRX9" s="117"/>
      <c r="CRY9" s="117"/>
      <c r="CRZ9" s="117"/>
      <c r="CSA9" s="117"/>
      <c r="CSB9" s="117"/>
      <c r="CSC9" s="117"/>
      <c r="CSD9" s="117"/>
      <c r="CSE9" s="117"/>
      <c r="CSF9" s="117"/>
      <c r="CSG9" s="117"/>
      <c r="CSH9" s="117"/>
      <c r="CSI9" s="117"/>
      <c r="CSJ9" s="117"/>
      <c r="CSK9" s="117"/>
      <c r="CSL9" s="117"/>
      <c r="CSM9" s="117"/>
      <c r="CSN9" s="117"/>
      <c r="CSO9" s="117"/>
      <c r="CSP9" s="117"/>
      <c r="CSQ9" s="117"/>
      <c r="CSR9" s="117"/>
      <c r="CSS9" s="117"/>
      <c r="CST9" s="117"/>
      <c r="CSU9" s="117"/>
      <c r="CSV9" s="117"/>
      <c r="CSW9" s="117"/>
      <c r="CSX9" s="117"/>
      <c r="CSY9" s="117"/>
      <c r="CSZ9" s="117"/>
      <c r="CTA9" s="117"/>
      <c r="CTB9" s="117"/>
      <c r="CTC9" s="117"/>
      <c r="CTD9" s="117"/>
      <c r="CTE9" s="117"/>
      <c r="CTF9" s="117"/>
      <c r="CTG9" s="117"/>
      <c r="CTH9" s="117"/>
      <c r="CTI9" s="117"/>
      <c r="CTJ9" s="117"/>
      <c r="CTK9" s="117"/>
      <c r="CTL9" s="117"/>
      <c r="CTM9" s="117"/>
      <c r="CTN9" s="117"/>
      <c r="CTO9" s="117"/>
      <c r="CTP9" s="117"/>
      <c r="CTQ9" s="117"/>
      <c r="CTR9" s="117"/>
      <c r="CTS9" s="117"/>
      <c r="CTT9" s="117"/>
      <c r="CTU9" s="117"/>
      <c r="CTV9" s="117"/>
      <c r="CTW9" s="117"/>
      <c r="CTX9" s="117"/>
      <c r="CTY9" s="117"/>
      <c r="CTZ9" s="117"/>
      <c r="CUA9" s="117"/>
      <c r="CUB9" s="117"/>
      <c r="CUC9" s="117"/>
      <c r="CUD9" s="117"/>
      <c r="CUE9" s="117"/>
      <c r="CUF9" s="117"/>
      <c r="CUG9" s="117"/>
      <c r="CUH9" s="117"/>
      <c r="CUI9" s="117"/>
      <c r="CUJ9" s="117"/>
      <c r="CUK9" s="117"/>
      <c r="CUL9" s="117"/>
      <c r="CUM9" s="117"/>
      <c r="CUN9" s="117"/>
      <c r="CUO9" s="117"/>
      <c r="CUP9" s="117"/>
      <c r="CUQ9" s="117"/>
      <c r="CUR9" s="117"/>
      <c r="CUS9" s="117"/>
      <c r="CUT9" s="117"/>
      <c r="CUU9" s="117"/>
      <c r="CUV9" s="117"/>
      <c r="CUW9" s="117"/>
      <c r="CUX9" s="117"/>
      <c r="CUY9" s="117"/>
      <c r="CUZ9" s="117"/>
      <c r="CVA9" s="117"/>
      <c r="CVB9" s="117"/>
      <c r="CVC9" s="117"/>
      <c r="CVD9" s="117"/>
      <c r="CVE9" s="117"/>
      <c r="CVF9" s="117"/>
      <c r="CVG9" s="117"/>
      <c r="CVH9" s="117"/>
      <c r="CVI9" s="117"/>
      <c r="CVJ9" s="117"/>
      <c r="CVK9" s="117"/>
      <c r="CVL9" s="117"/>
      <c r="CVM9" s="117"/>
      <c r="CVN9" s="117"/>
      <c r="CVO9" s="117"/>
      <c r="CVP9" s="117"/>
      <c r="CVQ9" s="117"/>
      <c r="CVR9" s="117"/>
      <c r="CVS9" s="117"/>
      <c r="CVT9" s="117"/>
      <c r="CVU9" s="117"/>
      <c r="CVV9" s="117"/>
      <c r="CVW9" s="117"/>
      <c r="CVX9" s="117"/>
      <c r="CVY9" s="117"/>
      <c r="CVZ9" s="117"/>
      <c r="CWA9" s="117"/>
      <c r="CWB9" s="117"/>
      <c r="CWC9" s="117"/>
      <c r="CWD9" s="117"/>
      <c r="CWE9" s="117"/>
      <c r="CWF9" s="117"/>
      <c r="CWG9" s="117"/>
      <c r="CWH9" s="117"/>
      <c r="CWI9" s="117"/>
      <c r="CWJ9" s="117"/>
      <c r="CWK9" s="117"/>
      <c r="CWL9" s="117"/>
      <c r="CWM9" s="117"/>
      <c r="CWN9" s="117"/>
      <c r="CWO9" s="117"/>
      <c r="CWP9" s="117"/>
      <c r="CWQ9" s="117"/>
      <c r="CWR9" s="117"/>
      <c r="CWS9" s="117"/>
      <c r="CWT9" s="117"/>
      <c r="CWU9" s="117"/>
      <c r="CWV9" s="117"/>
      <c r="CWW9" s="117"/>
      <c r="CWX9" s="117"/>
      <c r="CWY9" s="117"/>
      <c r="CWZ9" s="117"/>
      <c r="CXA9" s="117"/>
      <c r="CXB9" s="117"/>
      <c r="CXC9" s="117"/>
      <c r="CXD9" s="117"/>
      <c r="CXE9" s="117"/>
      <c r="CXF9" s="117"/>
      <c r="CXG9" s="117"/>
      <c r="CXH9" s="117"/>
      <c r="CXI9" s="117"/>
      <c r="CXJ9" s="117"/>
      <c r="CXK9" s="117"/>
      <c r="CXL9" s="117"/>
      <c r="CXM9" s="117"/>
      <c r="CXN9" s="117"/>
      <c r="CXO9" s="117"/>
      <c r="CXP9" s="117"/>
      <c r="CXQ9" s="117"/>
      <c r="CXR9" s="117"/>
      <c r="CXS9" s="117"/>
      <c r="CXT9" s="117"/>
      <c r="CXU9" s="117"/>
      <c r="CXV9" s="117"/>
      <c r="CXW9" s="117"/>
      <c r="CXX9" s="117"/>
      <c r="CXY9" s="117"/>
      <c r="CXZ9" s="117"/>
      <c r="CYA9" s="117"/>
      <c r="CYB9" s="117"/>
      <c r="CYC9" s="117"/>
      <c r="CYD9" s="117"/>
      <c r="CYE9" s="117"/>
      <c r="CYF9" s="117"/>
      <c r="CYG9" s="117"/>
      <c r="CYH9" s="117"/>
      <c r="CYI9" s="117"/>
      <c r="CYJ9" s="117"/>
      <c r="CYK9" s="117"/>
      <c r="CYL9" s="117"/>
      <c r="CYM9" s="117"/>
      <c r="CYN9" s="117"/>
      <c r="CYO9" s="117"/>
      <c r="CYP9" s="117"/>
      <c r="CYQ9" s="117"/>
      <c r="CYR9" s="117"/>
      <c r="CYS9" s="117"/>
      <c r="CYT9" s="117"/>
      <c r="CYU9" s="117"/>
      <c r="CYV9" s="117"/>
      <c r="CYW9" s="117"/>
      <c r="CYX9" s="117"/>
      <c r="CYY9" s="117"/>
      <c r="CYZ9" s="117"/>
      <c r="CZA9" s="117"/>
      <c r="CZB9" s="117"/>
      <c r="CZC9" s="117"/>
      <c r="CZD9" s="117"/>
      <c r="CZE9" s="117"/>
      <c r="CZF9" s="117"/>
      <c r="CZG9" s="117"/>
      <c r="CZH9" s="117"/>
      <c r="CZI9" s="117"/>
      <c r="CZJ9" s="117"/>
      <c r="CZK9" s="117"/>
      <c r="CZL9" s="117"/>
      <c r="CZM9" s="117"/>
      <c r="CZN9" s="117"/>
      <c r="CZO9" s="117"/>
      <c r="CZP9" s="117"/>
      <c r="CZQ9" s="117"/>
      <c r="CZR9" s="117"/>
      <c r="CZS9" s="117"/>
      <c r="CZT9" s="117"/>
      <c r="CZU9" s="117"/>
      <c r="CZV9" s="117"/>
      <c r="CZW9" s="117"/>
      <c r="CZX9" s="117"/>
      <c r="CZY9" s="117"/>
      <c r="CZZ9" s="117"/>
      <c r="DAA9" s="117"/>
      <c r="DAB9" s="117"/>
      <c r="DAC9" s="117"/>
      <c r="DAD9" s="117"/>
      <c r="DAE9" s="117"/>
      <c r="DAF9" s="117"/>
      <c r="DAG9" s="117"/>
      <c r="DAH9" s="117"/>
      <c r="DAI9" s="117"/>
      <c r="DAJ9" s="117"/>
      <c r="DAK9" s="117"/>
      <c r="DAL9" s="117"/>
      <c r="DAM9" s="117"/>
      <c r="DAN9" s="117"/>
      <c r="DAO9" s="117"/>
      <c r="DAP9" s="117"/>
      <c r="DAQ9" s="117"/>
      <c r="DAR9" s="117"/>
      <c r="DAS9" s="117"/>
      <c r="DAT9" s="117"/>
      <c r="DAU9" s="117"/>
      <c r="DAV9" s="117"/>
      <c r="DAW9" s="117"/>
      <c r="DAX9" s="117"/>
      <c r="DAY9" s="117"/>
      <c r="DAZ9" s="117"/>
      <c r="DBA9" s="117"/>
      <c r="DBB9" s="117"/>
      <c r="DBC9" s="117"/>
      <c r="DBD9" s="117"/>
      <c r="DBE9" s="117"/>
      <c r="DBF9" s="117"/>
      <c r="DBG9" s="117"/>
      <c r="DBH9" s="117"/>
      <c r="DBI9" s="117"/>
      <c r="DBJ9" s="117"/>
      <c r="DBK9" s="117"/>
      <c r="DBL9" s="117"/>
      <c r="DBM9" s="117"/>
      <c r="DBN9" s="117"/>
      <c r="DBO9" s="117"/>
      <c r="DBP9" s="117"/>
      <c r="DBQ9" s="117"/>
      <c r="DBR9" s="117"/>
      <c r="DBS9" s="117"/>
      <c r="DBT9" s="117"/>
      <c r="DBU9" s="117"/>
      <c r="DBV9" s="117"/>
      <c r="DBW9" s="117"/>
      <c r="DBX9" s="117"/>
      <c r="DBY9" s="117"/>
      <c r="DBZ9" s="117"/>
      <c r="DCA9" s="117"/>
      <c r="DCB9" s="117"/>
      <c r="DCC9" s="117"/>
      <c r="DCD9" s="117"/>
      <c r="DCE9" s="117"/>
      <c r="DCF9" s="117"/>
      <c r="DCG9" s="117"/>
      <c r="DCH9" s="117"/>
      <c r="DCI9" s="117"/>
      <c r="DCJ9" s="117"/>
      <c r="DCK9" s="117"/>
      <c r="DCL9" s="117"/>
      <c r="DCM9" s="117"/>
      <c r="DCN9" s="117"/>
      <c r="DCO9" s="117"/>
      <c r="DCP9" s="117"/>
      <c r="DCQ9" s="117"/>
      <c r="DCR9" s="117"/>
      <c r="DCS9" s="117"/>
      <c r="DCT9" s="117"/>
      <c r="DCU9" s="117"/>
      <c r="DCV9" s="117"/>
      <c r="DCW9" s="117"/>
      <c r="DCX9" s="117"/>
      <c r="DCY9" s="117"/>
      <c r="DCZ9" s="117"/>
      <c r="DDA9" s="117"/>
      <c r="DDB9" s="117"/>
      <c r="DDC9" s="117"/>
      <c r="DDD9" s="117"/>
      <c r="DDE9" s="117"/>
      <c r="DDF9" s="117"/>
      <c r="DDG9" s="117"/>
      <c r="DDH9" s="117"/>
      <c r="DDI9" s="117"/>
      <c r="DDJ9" s="117"/>
      <c r="DDK9" s="117"/>
      <c r="DDL9" s="117"/>
      <c r="DDM9" s="117"/>
      <c r="DDN9" s="117"/>
      <c r="DDO9" s="117"/>
      <c r="DDP9" s="117"/>
      <c r="DDQ9" s="117"/>
      <c r="DDR9" s="117"/>
      <c r="DDS9" s="117"/>
      <c r="DDT9" s="117"/>
      <c r="DDU9" s="117"/>
      <c r="DDV9" s="117"/>
      <c r="DDW9" s="117"/>
      <c r="DDX9" s="117"/>
      <c r="DDY9" s="117"/>
      <c r="DDZ9" s="117"/>
      <c r="DEA9" s="117"/>
      <c r="DEB9" s="117"/>
      <c r="DEC9" s="117"/>
      <c r="DED9" s="117"/>
      <c r="DEE9" s="117"/>
      <c r="DEF9" s="117"/>
      <c r="DEG9" s="117"/>
      <c r="DEH9" s="117"/>
      <c r="DEI9" s="117"/>
      <c r="DEJ9" s="117"/>
      <c r="DEK9" s="117"/>
      <c r="DEL9" s="117"/>
      <c r="DEM9" s="117"/>
      <c r="DEN9" s="117"/>
      <c r="DEO9" s="117"/>
      <c r="DEP9" s="117"/>
      <c r="DEQ9" s="117"/>
      <c r="DER9" s="117"/>
      <c r="DES9" s="117"/>
      <c r="DET9" s="117"/>
      <c r="DEU9" s="117"/>
      <c r="DEV9" s="117"/>
      <c r="DEW9" s="117"/>
      <c r="DEX9" s="117"/>
      <c r="DEY9" s="117"/>
      <c r="DEZ9" s="117"/>
      <c r="DFA9" s="117"/>
      <c r="DFB9" s="117"/>
      <c r="DFC9" s="117"/>
      <c r="DFD9" s="117"/>
      <c r="DFE9" s="117"/>
      <c r="DFF9" s="117"/>
      <c r="DFG9" s="117"/>
      <c r="DFH9" s="117"/>
      <c r="DFI9" s="117"/>
      <c r="DFJ9" s="117"/>
      <c r="DFK9" s="117"/>
      <c r="DFL9" s="117"/>
      <c r="DFM9" s="117"/>
      <c r="DFN9" s="117"/>
      <c r="DFO9" s="117"/>
      <c r="DFP9" s="117"/>
      <c r="DFQ9" s="117"/>
      <c r="DFR9" s="117"/>
      <c r="DFS9" s="117"/>
      <c r="DFT9" s="117"/>
      <c r="DFU9" s="117"/>
      <c r="DFV9" s="117"/>
      <c r="DFW9" s="117"/>
      <c r="DFX9" s="117"/>
      <c r="DFY9" s="117"/>
      <c r="DFZ9" s="117"/>
      <c r="DGA9" s="117"/>
      <c r="DGB9" s="117"/>
      <c r="DGC9" s="117"/>
      <c r="DGD9" s="117"/>
      <c r="DGE9" s="117"/>
      <c r="DGF9" s="117"/>
      <c r="DGG9" s="117"/>
      <c r="DGH9" s="117"/>
      <c r="DGI9" s="117"/>
      <c r="DGJ9" s="117"/>
      <c r="DGK9" s="117"/>
      <c r="DGL9" s="117"/>
      <c r="DGM9" s="117"/>
      <c r="DGN9" s="117"/>
      <c r="DGO9" s="117"/>
      <c r="DGP9" s="117"/>
      <c r="DGQ9" s="117"/>
      <c r="DGR9" s="117"/>
      <c r="DGS9" s="117"/>
      <c r="DGT9" s="117"/>
      <c r="DGU9" s="117"/>
      <c r="DGV9" s="117"/>
      <c r="DGW9" s="117"/>
      <c r="DGX9" s="117"/>
      <c r="DGY9" s="117"/>
      <c r="DGZ9" s="117"/>
      <c r="DHA9" s="117"/>
      <c r="DHB9" s="117"/>
      <c r="DHC9" s="117"/>
      <c r="DHD9" s="117"/>
      <c r="DHE9" s="117"/>
      <c r="DHF9" s="117"/>
      <c r="DHG9" s="117"/>
      <c r="DHH9" s="117"/>
      <c r="DHI9" s="117"/>
      <c r="DHJ9" s="117"/>
      <c r="DHK9" s="117"/>
      <c r="DHL9" s="117"/>
      <c r="DHM9" s="117"/>
      <c r="DHN9" s="117"/>
      <c r="DHO9" s="117"/>
      <c r="DHP9" s="117"/>
      <c r="DHQ9" s="117"/>
      <c r="DHR9" s="117"/>
      <c r="DHS9" s="117"/>
      <c r="DHT9" s="117"/>
      <c r="DHU9" s="117"/>
      <c r="DHV9" s="117"/>
      <c r="DHW9" s="117"/>
      <c r="DHX9" s="117"/>
      <c r="DHY9" s="117"/>
      <c r="DHZ9" s="117"/>
      <c r="DIA9" s="117"/>
      <c r="DIB9" s="117"/>
      <c r="DIC9" s="117"/>
      <c r="DID9" s="117"/>
      <c r="DIE9" s="117"/>
      <c r="DIF9" s="117"/>
      <c r="DIG9" s="117"/>
      <c r="DIH9" s="117"/>
      <c r="DII9" s="117"/>
      <c r="DIJ9" s="117"/>
      <c r="DIK9" s="117"/>
      <c r="DIL9" s="117"/>
      <c r="DIM9" s="117"/>
      <c r="DIN9" s="117"/>
      <c r="DIO9" s="117"/>
      <c r="DIP9" s="117"/>
      <c r="DIQ9" s="117"/>
      <c r="DIR9" s="117"/>
      <c r="DIS9" s="117"/>
      <c r="DIT9" s="117"/>
      <c r="DIU9" s="117"/>
      <c r="DIV9" s="117"/>
      <c r="DIW9" s="117"/>
      <c r="DIX9" s="117"/>
      <c r="DIY9" s="117"/>
      <c r="DIZ9" s="117"/>
      <c r="DJA9" s="117"/>
      <c r="DJB9" s="117"/>
      <c r="DJC9" s="117"/>
      <c r="DJD9" s="117"/>
      <c r="DJE9" s="117"/>
      <c r="DJF9" s="117"/>
      <c r="DJG9" s="117"/>
      <c r="DJH9" s="117"/>
      <c r="DJI9" s="117"/>
      <c r="DJJ9" s="117"/>
      <c r="DJK9" s="117"/>
      <c r="DJL9" s="117"/>
      <c r="DJM9" s="117"/>
      <c r="DJN9" s="117"/>
      <c r="DJO9" s="117"/>
      <c r="DJP9" s="117"/>
      <c r="DJQ9" s="117"/>
      <c r="DJR9" s="117"/>
      <c r="DJS9" s="117"/>
      <c r="DJT9" s="117"/>
      <c r="DJU9" s="117"/>
      <c r="DJV9" s="117"/>
      <c r="DJW9" s="117"/>
      <c r="DJX9" s="117"/>
      <c r="DJY9" s="117"/>
      <c r="DJZ9" s="117"/>
      <c r="DKA9" s="117"/>
      <c r="DKB9" s="117"/>
      <c r="DKC9" s="117"/>
      <c r="DKD9" s="117"/>
      <c r="DKE9" s="117"/>
      <c r="DKF9" s="117"/>
      <c r="DKG9" s="117"/>
      <c r="DKH9" s="117"/>
      <c r="DKI9" s="117"/>
      <c r="DKJ9" s="117"/>
      <c r="DKK9" s="117"/>
      <c r="DKL9" s="117"/>
      <c r="DKM9" s="117"/>
      <c r="DKN9" s="117"/>
      <c r="DKO9" s="117"/>
      <c r="DKP9" s="117"/>
      <c r="DKQ9" s="117"/>
      <c r="DKR9" s="117"/>
      <c r="DKS9" s="117"/>
      <c r="DKT9" s="117"/>
      <c r="DKU9" s="117"/>
      <c r="DKV9" s="117"/>
      <c r="DKW9" s="117"/>
      <c r="DKX9" s="117"/>
      <c r="DKY9" s="117"/>
      <c r="DKZ9" s="117"/>
      <c r="DLA9" s="117"/>
      <c r="DLB9" s="117"/>
      <c r="DLC9" s="117"/>
      <c r="DLD9" s="117"/>
      <c r="DLE9" s="117"/>
      <c r="DLF9" s="117"/>
      <c r="DLG9" s="117"/>
      <c r="DLH9" s="117"/>
      <c r="DLI9" s="117"/>
      <c r="DLJ9" s="117"/>
      <c r="DLK9" s="117"/>
      <c r="DLL9" s="117"/>
      <c r="DLM9" s="117"/>
      <c r="DLN9" s="117"/>
      <c r="DLO9" s="117"/>
      <c r="DLP9" s="117"/>
      <c r="DLQ9" s="117"/>
      <c r="DLR9" s="117"/>
      <c r="DLS9" s="117"/>
      <c r="DLT9" s="117"/>
      <c r="DLU9" s="117"/>
      <c r="DLV9" s="117"/>
      <c r="DLW9" s="117"/>
      <c r="DLX9" s="117"/>
      <c r="DLY9" s="117"/>
      <c r="DLZ9" s="117"/>
      <c r="DMA9" s="117"/>
      <c r="DMB9" s="117"/>
      <c r="DMC9" s="117"/>
      <c r="DMD9" s="117"/>
      <c r="DME9" s="117"/>
      <c r="DMF9" s="117"/>
      <c r="DMG9" s="117"/>
      <c r="DMH9" s="117"/>
      <c r="DMI9" s="117"/>
      <c r="DMJ9" s="117"/>
      <c r="DMK9" s="117"/>
      <c r="DML9" s="117"/>
      <c r="DMM9" s="117"/>
      <c r="DMN9" s="117"/>
      <c r="DMO9" s="117"/>
      <c r="DMP9" s="117"/>
      <c r="DMQ9" s="117"/>
      <c r="DMR9" s="117"/>
      <c r="DMS9" s="117"/>
      <c r="DMT9" s="117"/>
      <c r="DMU9" s="117"/>
      <c r="DMV9" s="117"/>
      <c r="DMW9" s="117"/>
      <c r="DMX9" s="117"/>
      <c r="DMY9" s="117"/>
      <c r="DMZ9" s="117"/>
      <c r="DNA9" s="117"/>
      <c r="DNB9" s="117"/>
      <c r="DNC9" s="117"/>
      <c r="DND9" s="117"/>
      <c r="DNE9" s="117"/>
      <c r="DNF9" s="117"/>
      <c r="DNG9" s="117"/>
      <c r="DNH9" s="117"/>
      <c r="DNI9" s="117"/>
      <c r="DNJ9" s="117"/>
      <c r="DNK9" s="117"/>
      <c r="DNL9" s="117"/>
      <c r="DNM9" s="117"/>
      <c r="DNN9" s="117"/>
      <c r="DNO9" s="117"/>
      <c r="DNP9" s="117"/>
      <c r="DNQ9" s="117"/>
      <c r="DNR9" s="117"/>
      <c r="DNS9" s="117"/>
      <c r="DNT9" s="117"/>
      <c r="DNU9" s="117"/>
      <c r="DNV9" s="117"/>
      <c r="DNW9" s="117"/>
      <c r="DNX9" s="117"/>
      <c r="DNY9" s="117"/>
      <c r="DNZ9" s="117"/>
      <c r="DOA9" s="117"/>
      <c r="DOB9" s="117"/>
      <c r="DOC9" s="117"/>
      <c r="DOD9" s="117"/>
      <c r="DOE9" s="117"/>
      <c r="DOF9" s="117"/>
      <c r="DOG9" s="117"/>
      <c r="DOH9" s="117"/>
      <c r="DOI9" s="117"/>
      <c r="DOJ9" s="117"/>
      <c r="DOK9" s="117"/>
      <c r="DOL9" s="117"/>
      <c r="DOM9" s="117"/>
      <c r="DON9" s="117"/>
      <c r="DOO9" s="117"/>
      <c r="DOP9" s="117"/>
      <c r="DOQ9" s="117"/>
      <c r="DOR9" s="117"/>
      <c r="DOS9" s="117"/>
      <c r="DOT9" s="117"/>
      <c r="DOU9" s="117"/>
      <c r="DOV9" s="117"/>
      <c r="DOW9" s="117"/>
      <c r="DOX9" s="117"/>
      <c r="DOY9" s="117"/>
      <c r="DOZ9" s="117"/>
      <c r="DPA9" s="117"/>
      <c r="DPB9" s="117"/>
      <c r="DPC9" s="117"/>
      <c r="DPD9" s="117"/>
      <c r="DPE9" s="117"/>
      <c r="DPF9" s="117"/>
      <c r="DPG9" s="117"/>
      <c r="DPH9" s="117"/>
      <c r="DPI9" s="117"/>
      <c r="DPJ9" s="117"/>
      <c r="DPK9" s="117"/>
      <c r="DPL9" s="117"/>
      <c r="DPM9" s="117"/>
      <c r="DPN9" s="117"/>
      <c r="DPO9" s="117"/>
      <c r="DPP9" s="117"/>
      <c r="DPQ9" s="117"/>
      <c r="DPR9" s="117"/>
      <c r="DPS9" s="117"/>
      <c r="DPT9" s="117"/>
      <c r="DPU9" s="117"/>
      <c r="DPV9" s="117"/>
      <c r="DPW9" s="117"/>
      <c r="DPX9" s="117"/>
      <c r="DPY9" s="117"/>
      <c r="DPZ9" s="117"/>
      <c r="DQA9" s="117"/>
      <c r="DQB9" s="117"/>
      <c r="DQC9" s="117"/>
      <c r="DQD9" s="117"/>
      <c r="DQE9" s="117"/>
      <c r="DQF9" s="117"/>
      <c r="DQG9" s="117"/>
      <c r="DQH9" s="117"/>
      <c r="DQI9" s="117"/>
      <c r="DQJ9" s="117"/>
      <c r="DQK9" s="117"/>
      <c r="DQL9" s="117"/>
      <c r="DQM9" s="117"/>
      <c r="DQN9" s="117"/>
      <c r="DQO9" s="117"/>
      <c r="DQP9" s="117"/>
      <c r="DQQ9" s="117"/>
      <c r="DQR9" s="117"/>
      <c r="DQS9" s="117"/>
      <c r="DQT9" s="117"/>
      <c r="DQU9" s="117"/>
      <c r="DQV9" s="117"/>
      <c r="DQW9" s="117"/>
      <c r="DQX9" s="117"/>
      <c r="DQY9" s="117"/>
      <c r="DQZ9" s="117"/>
      <c r="DRA9" s="117"/>
      <c r="DRB9" s="117"/>
      <c r="DRC9" s="117"/>
      <c r="DRD9" s="117"/>
      <c r="DRE9" s="117"/>
      <c r="DRF9" s="117"/>
      <c r="DRG9" s="117"/>
      <c r="DRH9" s="117"/>
      <c r="DRI9" s="117"/>
      <c r="DRJ9" s="117"/>
      <c r="DRK9" s="117"/>
      <c r="DRL9" s="117"/>
      <c r="DRM9" s="117"/>
      <c r="DRN9" s="117"/>
      <c r="DRO9" s="117"/>
      <c r="DRP9" s="117"/>
      <c r="DRQ9" s="117"/>
      <c r="DRR9" s="117"/>
      <c r="DRS9" s="117"/>
      <c r="DRT9" s="117"/>
      <c r="DRU9" s="117"/>
      <c r="DRV9" s="117"/>
      <c r="DRW9" s="117"/>
      <c r="DRX9" s="117"/>
      <c r="DRY9" s="117"/>
      <c r="DRZ9" s="117"/>
      <c r="DSA9" s="117"/>
      <c r="DSB9" s="117"/>
      <c r="DSC9" s="117"/>
      <c r="DSD9" s="117"/>
      <c r="DSE9" s="117"/>
      <c r="DSF9" s="117"/>
      <c r="DSG9" s="117"/>
      <c r="DSH9" s="117"/>
      <c r="DSI9" s="117"/>
      <c r="DSJ9" s="117"/>
      <c r="DSK9" s="117"/>
      <c r="DSL9" s="117"/>
      <c r="DSM9" s="117"/>
      <c r="DSN9" s="117"/>
      <c r="DSO9" s="117"/>
      <c r="DSP9" s="117"/>
      <c r="DSQ9" s="117"/>
      <c r="DSR9" s="117"/>
      <c r="DSS9" s="117"/>
      <c r="DST9" s="117"/>
      <c r="DSU9" s="117"/>
      <c r="DSV9" s="117"/>
      <c r="DSW9" s="117"/>
      <c r="DSX9" s="117"/>
      <c r="DSY9" s="117"/>
      <c r="DSZ9" s="117"/>
      <c r="DTA9" s="117"/>
      <c r="DTB9" s="117"/>
      <c r="DTC9" s="117"/>
      <c r="DTD9" s="117"/>
      <c r="DTE9" s="117"/>
      <c r="DTF9" s="117"/>
      <c r="DTG9" s="117"/>
      <c r="DTH9" s="117"/>
      <c r="DTI9" s="117"/>
      <c r="DTJ9" s="117"/>
      <c r="DTK9" s="117"/>
      <c r="DTL9" s="117"/>
      <c r="DTM9" s="117"/>
      <c r="DTN9" s="117"/>
      <c r="DTO9" s="117"/>
      <c r="DTP9" s="117"/>
      <c r="DTQ9" s="117"/>
      <c r="DTR9" s="117"/>
      <c r="DTS9" s="117"/>
      <c r="DTT9" s="117"/>
      <c r="DTU9" s="117"/>
      <c r="DTV9" s="117"/>
      <c r="DTW9" s="117"/>
      <c r="DTX9" s="117"/>
      <c r="DTY9" s="117"/>
      <c r="DTZ9" s="117"/>
      <c r="DUA9" s="117"/>
      <c r="DUB9" s="117"/>
      <c r="DUC9" s="117"/>
      <c r="DUD9" s="117"/>
      <c r="DUE9" s="117"/>
      <c r="DUF9" s="117"/>
      <c r="DUG9" s="117"/>
      <c r="DUH9" s="117"/>
      <c r="DUI9" s="117"/>
      <c r="DUJ9" s="117"/>
      <c r="DUK9" s="117"/>
      <c r="DUL9" s="117"/>
      <c r="DUM9" s="117"/>
      <c r="DUN9" s="117"/>
      <c r="DUO9" s="117"/>
      <c r="DUP9" s="117"/>
      <c r="DUQ9" s="117"/>
      <c r="DUR9" s="117"/>
      <c r="DUS9" s="117"/>
      <c r="DUT9" s="117"/>
      <c r="DUU9" s="117"/>
      <c r="DUV9" s="117"/>
      <c r="DUW9" s="117"/>
      <c r="DUX9" s="117"/>
      <c r="DUY9" s="117"/>
      <c r="DUZ9" s="117"/>
      <c r="DVA9" s="117"/>
      <c r="DVB9" s="117"/>
      <c r="DVC9" s="117"/>
      <c r="DVD9" s="117"/>
      <c r="DVE9" s="117"/>
      <c r="DVF9" s="117"/>
      <c r="DVG9" s="117"/>
      <c r="DVH9" s="117"/>
      <c r="DVI9" s="117"/>
      <c r="DVJ9" s="117"/>
      <c r="DVK9" s="117"/>
      <c r="DVL9" s="117"/>
      <c r="DVM9" s="117"/>
      <c r="DVN9" s="117"/>
      <c r="DVO9" s="117"/>
      <c r="DVP9" s="117"/>
      <c r="DVQ9" s="117"/>
      <c r="DVR9" s="117"/>
      <c r="DVS9" s="117"/>
      <c r="DVT9" s="117"/>
      <c r="DVU9" s="117"/>
      <c r="DVV9" s="117"/>
      <c r="DVW9" s="117"/>
      <c r="DVX9" s="117"/>
      <c r="DVY9" s="117"/>
      <c r="DVZ9" s="117"/>
      <c r="DWA9" s="117"/>
      <c r="DWB9" s="117"/>
      <c r="DWC9" s="117"/>
      <c r="DWD9" s="117"/>
      <c r="DWE9" s="117"/>
      <c r="DWF9" s="117"/>
      <c r="DWG9" s="117"/>
      <c r="DWH9" s="117"/>
      <c r="DWI9" s="117"/>
      <c r="DWJ9" s="117"/>
      <c r="DWK9" s="117"/>
      <c r="DWL9" s="117"/>
      <c r="DWM9" s="117"/>
      <c r="DWN9" s="117"/>
      <c r="DWO9" s="117"/>
      <c r="DWP9" s="117"/>
      <c r="DWQ9" s="117"/>
      <c r="DWR9" s="117"/>
      <c r="DWS9" s="117"/>
      <c r="DWT9" s="117"/>
      <c r="DWU9" s="117"/>
      <c r="DWV9" s="117"/>
      <c r="DWW9" s="117"/>
      <c r="DWX9" s="117"/>
      <c r="DWY9" s="117"/>
      <c r="DWZ9" s="117"/>
      <c r="DXA9" s="117"/>
      <c r="DXB9" s="117"/>
      <c r="DXC9" s="117"/>
      <c r="DXD9" s="117"/>
      <c r="DXE9" s="117"/>
      <c r="DXF9" s="117"/>
      <c r="DXG9" s="117"/>
      <c r="DXH9" s="117"/>
      <c r="DXI9" s="117"/>
      <c r="DXJ9" s="117"/>
      <c r="DXK9" s="117"/>
      <c r="DXL9" s="117"/>
      <c r="DXM9" s="117"/>
      <c r="DXN9" s="117"/>
      <c r="DXO9" s="117"/>
      <c r="DXP9" s="117"/>
      <c r="DXQ9" s="117"/>
      <c r="DXR9" s="117"/>
      <c r="DXS9" s="117"/>
      <c r="DXT9" s="117"/>
      <c r="DXU9" s="117"/>
      <c r="DXV9" s="117"/>
      <c r="DXW9" s="117"/>
      <c r="DXX9" s="117"/>
      <c r="DXY9" s="117"/>
      <c r="DXZ9" s="117"/>
      <c r="DYA9" s="117"/>
      <c r="DYB9" s="117"/>
      <c r="DYC9" s="117"/>
      <c r="DYD9" s="117"/>
      <c r="DYE9" s="117"/>
      <c r="DYF9" s="117"/>
      <c r="DYG9" s="117"/>
      <c r="DYH9" s="117"/>
      <c r="DYI9" s="117"/>
      <c r="DYJ9" s="117"/>
      <c r="DYK9" s="117"/>
      <c r="DYL9" s="117"/>
      <c r="DYM9" s="117"/>
      <c r="DYN9" s="117"/>
      <c r="DYO9" s="117"/>
      <c r="DYP9" s="117"/>
      <c r="DYQ9" s="117"/>
      <c r="DYR9" s="117"/>
      <c r="DYS9" s="117"/>
      <c r="DYT9" s="117"/>
      <c r="DYU9" s="117"/>
      <c r="DYV9" s="117"/>
      <c r="DYW9" s="117"/>
      <c r="DYX9" s="117"/>
      <c r="DYY9" s="117"/>
      <c r="DYZ9" s="117"/>
      <c r="DZA9" s="117"/>
      <c r="DZB9" s="117"/>
      <c r="DZC9" s="117"/>
      <c r="DZD9" s="117"/>
      <c r="DZE9" s="117"/>
      <c r="DZF9" s="117"/>
      <c r="DZG9" s="117"/>
      <c r="DZH9" s="117"/>
      <c r="DZI9" s="117"/>
      <c r="DZJ9" s="117"/>
      <c r="DZK9" s="117"/>
      <c r="DZL9" s="117"/>
      <c r="DZM9" s="117"/>
      <c r="DZN9" s="117"/>
      <c r="DZO9" s="117"/>
      <c r="DZP9" s="117"/>
      <c r="DZQ9" s="117"/>
      <c r="DZR9" s="117"/>
      <c r="DZS9" s="117"/>
      <c r="DZT9" s="117"/>
      <c r="DZU9" s="117"/>
      <c r="DZV9" s="117"/>
      <c r="DZW9" s="117"/>
      <c r="DZX9" s="117"/>
      <c r="DZY9" s="117"/>
      <c r="DZZ9" s="117"/>
      <c r="EAA9" s="117"/>
      <c r="EAB9" s="117"/>
      <c r="EAC9" s="117"/>
      <c r="EAD9" s="117"/>
      <c r="EAE9" s="117"/>
      <c r="EAF9" s="117"/>
      <c r="EAG9" s="117"/>
      <c r="EAH9" s="117"/>
      <c r="EAI9" s="117"/>
      <c r="EAJ9" s="117"/>
      <c r="EAK9" s="117"/>
      <c r="EAL9" s="117"/>
      <c r="EAM9" s="117"/>
      <c r="EAN9" s="117"/>
      <c r="EAO9" s="117"/>
      <c r="EAP9" s="117"/>
      <c r="EAQ9" s="117"/>
      <c r="EAR9" s="117"/>
      <c r="EAS9" s="117"/>
      <c r="EAT9" s="117"/>
      <c r="EAU9" s="117"/>
      <c r="EAV9" s="117"/>
      <c r="EAW9" s="117"/>
      <c r="EAX9" s="117"/>
      <c r="EAY9" s="117"/>
      <c r="EAZ9" s="117"/>
      <c r="EBA9" s="117"/>
      <c r="EBB9" s="117"/>
      <c r="EBC9" s="117"/>
      <c r="EBD9" s="117"/>
      <c r="EBE9" s="117"/>
      <c r="EBF9" s="117"/>
      <c r="EBG9" s="117"/>
      <c r="EBH9" s="117"/>
      <c r="EBI9" s="117"/>
      <c r="EBJ9" s="117"/>
      <c r="EBK9" s="117"/>
      <c r="EBL9" s="117"/>
      <c r="EBM9" s="117"/>
      <c r="EBN9" s="117"/>
      <c r="EBO9" s="117"/>
      <c r="EBP9" s="117"/>
      <c r="EBQ9" s="117"/>
      <c r="EBR9" s="117"/>
      <c r="EBS9" s="117"/>
      <c r="EBT9" s="117"/>
      <c r="EBU9" s="117"/>
      <c r="EBV9" s="117"/>
      <c r="EBW9" s="117"/>
      <c r="EBX9" s="117"/>
      <c r="EBY9" s="117"/>
      <c r="EBZ9" s="117"/>
      <c r="ECA9" s="117"/>
      <c r="ECB9" s="117"/>
      <c r="ECC9" s="117"/>
      <c r="ECD9" s="117"/>
      <c r="ECE9" s="117"/>
      <c r="ECF9" s="117"/>
      <c r="ECG9" s="117"/>
      <c r="ECH9" s="117"/>
      <c r="ECI9" s="117"/>
      <c r="ECJ9" s="117"/>
      <c r="ECK9" s="117"/>
      <c r="ECL9" s="117"/>
      <c r="ECM9" s="117"/>
      <c r="ECN9" s="117"/>
      <c r="ECO9" s="117"/>
      <c r="ECP9" s="117"/>
      <c r="ECQ9" s="117"/>
      <c r="ECR9" s="117"/>
      <c r="ECS9" s="117"/>
      <c r="ECT9" s="117"/>
      <c r="ECU9" s="117"/>
      <c r="ECV9" s="117"/>
      <c r="ECW9" s="117"/>
      <c r="ECX9" s="117"/>
      <c r="ECY9" s="117"/>
      <c r="ECZ9" s="117"/>
      <c r="EDA9" s="117"/>
      <c r="EDB9" s="117"/>
      <c r="EDC9" s="117"/>
      <c r="EDD9" s="117"/>
      <c r="EDE9" s="117"/>
      <c r="EDF9" s="117"/>
      <c r="EDG9" s="117"/>
      <c r="EDH9" s="117"/>
      <c r="EDI9" s="117"/>
      <c r="EDJ9" s="117"/>
      <c r="EDK9" s="117"/>
      <c r="EDL9" s="117"/>
      <c r="EDM9" s="117"/>
      <c r="EDN9" s="117"/>
      <c r="EDO9" s="117"/>
      <c r="EDP9" s="117"/>
      <c r="EDQ9" s="117"/>
      <c r="EDR9" s="117"/>
      <c r="EDS9" s="117"/>
      <c r="EDT9" s="117"/>
      <c r="EDU9" s="117"/>
      <c r="EDV9" s="117"/>
      <c r="EDW9" s="117"/>
      <c r="EDX9" s="117"/>
      <c r="EDY9" s="117"/>
      <c r="EDZ9" s="117"/>
      <c r="EEA9" s="117"/>
      <c r="EEB9" s="117"/>
      <c r="EEC9" s="117"/>
      <c r="EED9" s="117"/>
      <c r="EEE9" s="117"/>
      <c r="EEF9" s="117"/>
      <c r="EEG9" s="117"/>
      <c r="EEH9" s="117"/>
      <c r="EEI9" s="117"/>
      <c r="EEJ9" s="117"/>
      <c r="EEK9" s="117"/>
      <c r="EEL9" s="117"/>
      <c r="EEM9" s="117"/>
      <c r="EEN9" s="117"/>
      <c r="EEO9" s="117"/>
      <c r="EEP9" s="117"/>
      <c r="EEQ9" s="117"/>
      <c r="EER9" s="117"/>
      <c r="EES9" s="117"/>
      <c r="EET9" s="117"/>
      <c r="EEU9" s="117"/>
      <c r="EEV9" s="117"/>
      <c r="EEW9" s="117"/>
      <c r="EEX9" s="117"/>
      <c r="EEY9" s="117"/>
      <c r="EEZ9" s="117"/>
      <c r="EFA9" s="117"/>
      <c r="EFB9" s="117"/>
      <c r="EFC9" s="117"/>
      <c r="EFD9" s="117"/>
      <c r="EFE9" s="117"/>
      <c r="EFF9" s="117"/>
      <c r="EFG9" s="117"/>
      <c r="EFH9" s="117"/>
      <c r="EFI9" s="117"/>
      <c r="EFJ9" s="117"/>
      <c r="EFK9" s="117"/>
      <c r="EFL9" s="117"/>
      <c r="EFM9" s="117"/>
      <c r="EFN9" s="117"/>
      <c r="EFO9" s="117"/>
      <c r="EFP9" s="117"/>
      <c r="EFQ9" s="117"/>
      <c r="EFR9" s="117"/>
      <c r="EFS9" s="117"/>
      <c r="EFT9" s="117"/>
      <c r="EFU9" s="117"/>
      <c r="EFV9" s="117"/>
      <c r="EFW9" s="117"/>
      <c r="EFX9" s="117"/>
      <c r="EFY9" s="117"/>
      <c r="EFZ9" s="117"/>
      <c r="EGA9" s="117"/>
      <c r="EGB9" s="117"/>
      <c r="EGC9" s="117"/>
      <c r="EGD9" s="117"/>
      <c r="EGE9" s="117"/>
      <c r="EGF9" s="117"/>
      <c r="EGG9" s="117"/>
      <c r="EGH9" s="117"/>
      <c r="EGI9" s="117"/>
      <c r="EGJ9" s="117"/>
      <c r="EGK9" s="117"/>
      <c r="EGL9" s="117"/>
      <c r="EGM9" s="117"/>
      <c r="EGN9" s="117"/>
      <c r="EGO9" s="117"/>
      <c r="EGP9" s="117"/>
      <c r="EGQ9" s="117"/>
      <c r="EGR9" s="117"/>
      <c r="EGS9" s="117"/>
      <c r="EGT9" s="117"/>
      <c r="EGU9" s="117"/>
      <c r="EGV9" s="117"/>
      <c r="EGW9" s="117"/>
      <c r="EGX9" s="117"/>
      <c r="EGY9" s="117"/>
      <c r="EGZ9" s="117"/>
      <c r="EHA9" s="117"/>
      <c r="EHB9" s="117"/>
      <c r="EHC9" s="117"/>
      <c r="EHD9" s="117"/>
      <c r="EHE9" s="117"/>
      <c r="EHF9" s="117"/>
      <c r="EHG9" s="117"/>
      <c r="EHH9" s="117"/>
      <c r="EHI9" s="117"/>
      <c r="EHJ9" s="117"/>
      <c r="EHK9" s="117"/>
      <c r="EHL9" s="117"/>
      <c r="EHM9" s="117"/>
      <c r="EHN9" s="117"/>
      <c r="EHO9" s="117"/>
      <c r="EHP9" s="117"/>
      <c r="EHQ9" s="117"/>
      <c r="EHR9" s="117"/>
      <c r="EHS9" s="117"/>
      <c r="EHT9" s="117"/>
      <c r="EHU9" s="117"/>
      <c r="EHV9" s="117"/>
      <c r="EHW9" s="117"/>
      <c r="EHX9" s="117"/>
      <c r="EHY9" s="117"/>
      <c r="EHZ9" s="117"/>
      <c r="EIA9" s="117"/>
      <c r="EIB9" s="117"/>
      <c r="EIC9" s="117"/>
      <c r="EID9" s="117"/>
      <c r="EIE9" s="117"/>
      <c r="EIF9" s="117"/>
      <c r="EIG9" s="117"/>
      <c r="EIH9" s="117"/>
      <c r="EII9" s="117"/>
      <c r="EIJ9" s="117"/>
      <c r="EIK9" s="117"/>
      <c r="EIL9" s="117"/>
      <c r="EIM9" s="117"/>
      <c r="EIN9" s="117"/>
      <c r="EIO9" s="117"/>
      <c r="EIP9" s="117"/>
      <c r="EIQ9" s="117"/>
      <c r="EIR9" s="117"/>
      <c r="EIS9" s="117"/>
      <c r="EIT9" s="117"/>
      <c r="EIU9" s="117"/>
      <c r="EIV9" s="117"/>
      <c r="EIW9" s="117"/>
      <c r="EIX9" s="117"/>
      <c r="EIY9" s="117"/>
      <c r="EIZ9" s="117"/>
      <c r="EJA9" s="117"/>
      <c r="EJB9" s="117"/>
      <c r="EJC9" s="117"/>
      <c r="EJD9" s="117"/>
      <c r="EJE9" s="117"/>
      <c r="EJF9" s="117"/>
      <c r="EJG9" s="117"/>
      <c r="EJH9" s="117"/>
      <c r="EJI9" s="117"/>
      <c r="EJJ9" s="117"/>
      <c r="EJK9" s="117"/>
      <c r="EJL9" s="117"/>
      <c r="EJM9" s="117"/>
      <c r="EJN9" s="117"/>
      <c r="EJO9" s="117"/>
      <c r="EJP9" s="117"/>
      <c r="EJQ9" s="117"/>
      <c r="EJR9" s="117"/>
      <c r="EJS9" s="117"/>
      <c r="EJT9" s="117"/>
      <c r="EJU9" s="117"/>
      <c r="EJV9" s="117"/>
      <c r="EJW9" s="117"/>
      <c r="EJX9" s="117"/>
      <c r="EJY9" s="117"/>
      <c r="EJZ9" s="117"/>
      <c r="EKA9" s="117"/>
      <c r="EKB9" s="117"/>
      <c r="EKC9" s="117"/>
      <c r="EKD9" s="117"/>
      <c r="EKE9" s="117"/>
      <c r="EKF9" s="117"/>
      <c r="EKG9" s="117"/>
      <c r="EKH9" s="117"/>
      <c r="EKI9" s="117"/>
      <c r="EKJ9" s="117"/>
      <c r="EKK9" s="117"/>
      <c r="EKL9" s="117"/>
      <c r="EKM9" s="117"/>
      <c r="EKN9" s="117"/>
      <c r="EKO9" s="117"/>
      <c r="EKP9" s="117"/>
      <c r="EKQ9" s="117"/>
      <c r="EKR9" s="117"/>
      <c r="EKS9" s="117"/>
      <c r="EKT9" s="117"/>
      <c r="EKU9" s="117"/>
      <c r="EKV9" s="117"/>
      <c r="EKW9" s="117"/>
      <c r="EKX9" s="117"/>
      <c r="EKY9" s="117"/>
      <c r="EKZ9" s="117"/>
      <c r="ELA9" s="117"/>
      <c r="ELB9" s="117"/>
      <c r="ELC9" s="117"/>
      <c r="ELD9" s="117"/>
      <c r="ELE9" s="117"/>
      <c r="ELF9" s="117"/>
      <c r="ELG9" s="117"/>
      <c r="ELH9" s="117"/>
      <c r="ELI9" s="117"/>
      <c r="ELJ9" s="117"/>
      <c r="ELK9" s="117"/>
      <c r="ELL9" s="117"/>
      <c r="ELM9" s="117"/>
      <c r="ELN9" s="117"/>
      <c r="ELO9" s="117"/>
      <c r="ELP9" s="117"/>
      <c r="ELQ9" s="117"/>
      <c r="ELR9" s="117"/>
      <c r="ELS9" s="117"/>
      <c r="ELT9" s="117"/>
      <c r="ELU9" s="117"/>
      <c r="ELV9" s="117"/>
      <c r="ELW9" s="117"/>
      <c r="ELX9" s="117"/>
      <c r="ELY9" s="117"/>
      <c r="ELZ9" s="117"/>
      <c r="EMA9" s="117"/>
      <c r="EMB9" s="117"/>
      <c r="EMC9" s="117"/>
      <c r="EMD9" s="117"/>
      <c r="EME9" s="117"/>
      <c r="EMF9" s="117"/>
      <c r="EMG9" s="117"/>
      <c r="EMH9" s="117"/>
      <c r="EMI9" s="117"/>
      <c r="EMJ9" s="117"/>
      <c r="EMK9" s="117"/>
      <c r="EML9" s="117"/>
      <c r="EMM9" s="117"/>
      <c r="EMN9" s="117"/>
      <c r="EMO9" s="117"/>
      <c r="EMP9" s="117"/>
      <c r="EMQ9" s="117"/>
      <c r="EMR9" s="117"/>
      <c r="EMS9" s="117"/>
      <c r="EMT9" s="117"/>
      <c r="EMU9" s="117"/>
      <c r="EMV9" s="117"/>
      <c r="EMW9" s="117"/>
      <c r="EMX9" s="117"/>
      <c r="EMY9" s="117"/>
      <c r="EMZ9" s="117"/>
      <c r="ENA9" s="117"/>
      <c r="ENB9" s="117"/>
      <c r="ENC9" s="117"/>
      <c r="END9" s="117"/>
      <c r="ENE9" s="117"/>
      <c r="ENF9" s="117"/>
      <c r="ENG9" s="117"/>
      <c r="ENH9" s="117"/>
      <c r="ENI9" s="117"/>
      <c r="ENJ9" s="117"/>
      <c r="ENK9" s="117"/>
      <c r="ENL9" s="117"/>
      <c r="ENM9" s="117"/>
      <c r="ENN9" s="117"/>
      <c r="ENO9" s="117"/>
      <c r="ENP9" s="117"/>
      <c r="ENQ9" s="117"/>
      <c r="ENR9" s="117"/>
      <c r="ENS9" s="117"/>
      <c r="ENT9" s="117"/>
      <c r="ENU9" s="117"/>
      <c r="ENV9" s="117"/>
      <c r="ENW9" s="117"/>
      <c r="ENX9" s="117"/>
      <c r="ENY9" s="117"/>
      <c r="ENZ9" s="117"/>
      <c r="EOA9" s="117"/>
      <c r="EOB9" s="117"/>
      <c r="EOC9" s="117"/>
      <c r="EOD9" s="117"/>
      <c r="EOE9" s="117"/>
      <c r="EOF9" s="117"/>
      <c r="EOG9" s="117"/>
      <c r="EOH9" s="117"/>
      <c r="EOI9" s="117"/>
      <c r="EOJ9" s="117"/>
      <c r="EOK9" s="117"/>
      <c r="EOL9" s="117"/>
      <c r="EOM9" s="117"/>
      <c r="EON9" s="117"/>
      <c r="EOO9" s="117"/>
      <c r="EOP9" s="117"/>
      <c r="EOQ9" s="117"/>
      <c r="EOR9" s="117"/>
      <c r="EOS9" s="117"/>
      <c r="EOT9" s="117"/>
      <c r="EOU9" s="117"/>
      <c r="EOV9" s="117"/>
      <c r="EOW9" s="117"/>
      <c r="EOX9" s="117"/>
      <c r="EOY9" s="117"/>
      <c r="EOZ9" s="117"/>
      <c r="EPA9" s="117"/>
      <c r="EPB9" s="117"/>
      <c r="EPC9" s="117"/>
      <c r="EPD9" s="117"/>
      <c r="EPE9" s="117"/>
      <c r="EPF9" s="117"/>
      <c r="EPG9" s="117"/>
      <c r="EPH9" s="117"/>
      <c r="EPI9" s="117"/>
      <c r="EPJ9" s="117"/>
      <c r="EPK9" s="117"/>
      <c r="EPL9" s="117"/>
      <c r="EPM9" s="117"/>
      <c r="EPN9" s="117"/>
      <c r="EPO9" s="117"/>
      <c r="EPP9" s="117"/>
      <c r="EPQ9" s="117"/>
      <c r="EPR9" s="117"/>
      <c r="EPS9" s="117"/>
      <c r="EPT9" s="117"/>
      <c r="EPU9" s="117"/>
      <c r="EPV9" s="117"/>
      <c r="EPW9" s="117"/>
      <c r="EPX9" s="117"/>
      <c r="EPY9" s="117"/>
      <c r="EPZ9" s="117"/>
      <c r="EQA9" s="117"/>
      <c r="EQB9" s="117"/>
      <c r="EQC9" s="117"/>
      <c r="EQD9" s="117"/>
      <c r="EQE9" s="117"/>
      <c r="EQF9" s="117"/>
      <c r="EQG9" s="117"/>
      <c r="EQH9" s="117"/>
      <c r="EQI9" s="117"/>
      <c r="EQJ9" s="117"/>
      <c r="EQK9" s="117"/>
      <c r="EQL9" s="117"/>
      <c r="EQM9" s="117"/>
      <c r="EQN9" s="117"/>
      <c r="EQO9" s="117"/>
      <c r="EQP9" s="117"/>
      <c r="EQQ9" s="117"/>
      <c r="EQR9" s="117"/>
      <c r="EQS9" s="117"/>
      <c r="EQT9" s="117"/>
      <c r="EQU9" s="117"/>
      <c r="EQV9" s="117"/>
      <c r="EQW9" s="117"/>
      <c r="EQX9" s="117"/>
      <c r="EQY9" s="117"/>
      <c r="EQZ9" s="117"/>
      <c r="ERA9" s="117"/>
      <c r="ERB9" s="117"/>
      <c r="ERC9" s="117"/>
      <c r="ERD9" s="117"/>
      <c r="ERE9" s="117"/>
      <c r="ERF9" s="117"/>
      <c r="ERG9" s="117"/>
      <c r="ERH9" s="117"/>
      <c r="ERI9" s="117"/>
      <c r="ERJ9" s="117"/>
      <c r="ERK9" s="117"/>
      <c r="ERL9" s="117"/>
      <c r="ERM9" s="117"/>
      <c r="ERN9" s="117"/>
      <c r="ERO9" s="117"/>
      <c r="ERP9" s="117"/>
      <c r="ERQ9" s="117"/>
      <c r="ERR9" s="117"/>
      <c r="ERS9" s="117"/>
      <c r="ERT9" s="117"/>
      <c r="ERU9" s="117"/>
      <c r="ERV9" s="117"/>
      <c r="ERW9" s="117"/>
      <c r="ERX9" s="117"/>
      <c r="ERY9" s="117"/>
      <c r="ERZ9" s="117"/>
      <c r="ESA9" s="117"/>
      <c r="ESB9" s="117"/>
      <c r="ESC9" s="117"/>
      <c r="ESD9" s="117"/>
      <c r="ESE9" s="117"/>
      <c r="ESF9" s="117"/>
      <c r="ESG9" s="117"/>
      <c r="ESH9" s="117"/>
      <c r="ESI9" s="117"/>
      <c r="ESJ9" s="117"/>
      <c r="ESK9" s="117"/>
      <c r="ESL9" s="117"/>
      <c r="ESM9" s="117"/>
      <c r="ESN9" s="117"/>
      <c r="ESO9" s="117"/>
      <c r="ESP9" s="117"/>
      <c r="ESQ9" s="117"/>
      <c r="ESR9" s="117"/>
      <c r="ESS9" s="117"/>
      <c r="EST9" s="117"/>
      <c r="ESU9" s="117"/>
      <c r="ESV9" s="117"/>
      <c r="ESW9" s="117"/>
      <c r="ESX9" s="117"/>
      <c r="ESY9" s="117"/>
      <c r="ESZ9" s="117"/>
      <c r="ETA9" s="117"/>
      <c r="ETB9" s="117"/>
      <c r="ETC9" s="117"/>
      <c r="ETD9" s="117"/>
      <c r="ETE9" s="117"/>
      <c r="ETF9" s="117"/>
      <c r="ETG9" s="117"/>
      <c r="ETH9" s="117"/>
      <c r="ETI9" s="117"/>
      <c r="ETJ9" s="117"/>
      <c r="ETK9" s="117"/>
      <c r="ETL9" s="117"/>
      <c r="ETM9" s="117"/>
      <c r="ETN9" s="117"/>
      <c r="ETO9" s="117"/>
      <c r="ETP9" s="117"/>
      <c r="ETQ9" s="117"/>
      <c r="ETR9" s="117"/>
      <c r="ETS9" s="117"/>
      <c r="ETT9" s="117"/>
      <c r="ETU9" s="117"/>
      <c r="ETV9" s="117"/>
      <c r="ETW9" s="117"/>
      <c r="ETX9" s="117"/>
      <c r="ETY9" s="117"/>
      <c r="ETZ9" s="117"/>
      <c r="EUA9" s="117"/>
      <c r="EUB9" s="117"/>
      <c r="EUC9" s="117"/>
      <c r="EUD9" s="117"/>
      <c r="EUE9" s="117"/>
      <c r="EUF9" s="117"/>
      <c r="EUG9" s="117"/>
      <c r="EUH9" s="117"/>
      <c r="EUI9" s="117"/>
      <c r="EUJ9" s="117"/>
      <c r="EUK9" s="117"/>
      <c r="EUL9" s="117"/>
      <c r="EUM9" s="117"/>
      <c r="EUN9" s="117"/>
      <c r="EUO9" s="117"/>
      <c r="EUP9" s="117"/>
      <c r="EUQ9" s="117"/>
      <c r="EUR9" s="117"/>
      <c r="EUS9" s="117"/>
      <c r="EUT9" s="117"/>
      <c r="EUU9" s="117"/>
      <c r="EUV9" s="117"/>
      <c r="EUW9" s="117"/>
      <c r="EUX9" s="117"/>
      <c r="EUY9" s="117"/>
      <c r="EUZ9" s="117"/>
      <c r="EVA9" s="117"/>
      <c r="EVB9" s="117"/>
      <c r="EVC9" s="117"/>
      <c r="EVD9" s="117"/>
      <c r="EVE9" s="117"/>
      <c r="EVF9" s="117"/>
      <c r="EVG9" s="117"/>
      <c r="EVH9" s="117"/>
      <c r="EVI9" s="117"/>
      <c r="EVJ9" s="117"/>
      <c r="EVK9" s="117"/>
      <c r="EVL9" s="117"/>
      <c r="EVM9" s="117"/>
      <c r="EVN9" s="117"/>
      <c r="EVO9" s="117"/>
      <c r="EVP9" s="117"/>
      <c r="EVQ9" s="117"/>
      <c r="EVR9" s="117"/>
      <c r="EVS9" s="117"/>
      <c r="EVT9" s="117"/>
      <c r="EVU9" s="117"/>
      <c r="EVV9" s="117"/>
      <c r="EVW9" s="117"/>
      <c r="EVX9" s="117"/>
      <c r="EVY9" s="117"/>
      <c r="EVZ9" s="117"/>
      <c r="EWA9" s="117"/>
      <c r="EWB9" s="117"/>
      <c r="EWC9" s="117"/>
      <c r="EWD9" s="117"/>
      <c r="EWE9" s="117"/>
      <c r="EWF9" s="117"/>
      <c r="EWG9" s="117"/>
      <c r="EWH9" s="117"/>
      <c r="EWI9" s="117"/>
      <c r="EWJ9" s="117"/>
      <c r="EWK9" s="117"/>
      <c r="EWL9" s="117"/>
      <c r="EWM9" s="117"/>
      <c r="EWN9" s="117"/>
      <c r="EWO9" s="117"/>
      <c r="EWP9" s="117"/>
      <c r="EWQ9" s="117"/>
      <c r="EWR9" s="117"/>
      <c r="EWS9" s="117"/>
      <c r="EWT9" s="117"/>
      <c r="EWU9" s="117"/>
      <c r="EWV9" s="117"/>
      <c r="EWW9" s="117"/>
      <c r="EWX9" s="117"/>
      <c r="EWY9" s="117"/>
      <c r="EWZ9" s="117"/>
      <c r="EXA9" s="117"/>
      <c r="EXB9" s="117"/>
      <c r="EXC9" s="117"/>
      <c r="EXD9" s="117"/>
      <c r="EXE9" s="117"/>
      <c r="EXF9" s="117"/>
      <c r="EXG9" s="117"/>
      <c r="EXH9" s="117"/>
      <c r="EXI9" s="117"/>
      <c r="EXJ9" s="117"/>
      <c r="EXK9" s="117"/>
      <c r="EXL9" s="117"/>
      <c r="EXM9" s="117"/>
      <c r="EXN9" s="117"/>
      <c r="EXO9" s="117"/>
      <c r="EXP9" s="117"/>
      <c r="EXQ9" s="117"/>
      <c r="EXR9" s="117"/>
      <c r="EXS9" s="117"/>
      <c r="EXT9" s="117"/>
      <c r="EXU9" s="117"/>
      <c r="EXV9" s="117"/>
      <c r="EXW9" s="117"/>
      <c r="EXX9" s="117"/>
      <c r="EXY9" s="117"/>
      <c r="EXZ9" s="117"/>
      <c r="EYA9" s="117"/>
      <c r="EYB9" s="117"/>
      <c r="EYC9" s="117"/>
      <c r="EYD9" s="117"/>
      <c r="EYE9" s="117"/>
      <c r="EYF9" s="117"/>
      <c r="EYG9" s="117"/>
      <c r="EYH9" s="117"/>
      <c r="EYI9" s="117"/>
      <c r="EYJ9" s="117"/>
      <c r="EYK9" s="117"/>
      <c r="EYL9" s="117"/>
      <c r="EYM9" s="117"/>
      <c r="EYN9" s="117"/>
      <c r="EYO9" s="117"/>
      <c r="EYP9" s="117"/>
      <c r="EYQ9" s="117"/>
      <c r="EYR9" s="117"/>
      <c r="EYS9" s="117"/>
      <c r="EYT9" s="117"/>
      <c r="EYU9" s="117"/>
      <c r="EYV9" s="117"/>
      <c r="EYW9" s="117"/>
      <c r="EYX9" s="117"/>
      <c r="EYY9" s="117"/>
      <c r="EYZ9" s="117"/>
      <c r="EZA9" s="117"/>
      <c r="EZB9" s="117"/>
      <c r="EZC9" s="117"/>
      <c r="EZD9" s="117"/>
      <c r="EZE9" s="117"/>
      <c r="EZF9" s="117"/>
      <c r="EZG9" s="117"/>
      <c r="EZH9" s="117"/>
      <c r="EZI9" s="117"/>
      <c r="EZJ9" s="117"/>
      <c r="EZK9" s="117"/>
      <c r="EZL9" s="117"/>
      <c r="EZM9" s="117"/>
      <c r="EZN9" s="117"/>
      <c r="EZO9" s="117"/>
      <c r="EZP9" s="117"/>
      <c r="EZQ9" s="117"/>
      <c r="EZR9" s="117"/>
      <c r="EZS9" s="117"/>
      <c r="EZT9" s="117"/>
      <c r="EZU9" s="117"/>
      <c r="EZV9" s="117"/>
      <c r="EZW9" s="117"/>
      <c r="EZX9" s="117"/>
      <c r="EZY9" s="117"/>
      <c r="EZZ9" s="117"/>
      <c r="FAA9" s="117"/>
      <c r="FAB9" s="117"/>
      <c r="FAC9" s="117"/>
      <c r="FAD9" s="117"/>
      <c r="FAE9" s="117"/>
      <c r="FAF9" s="117"/>
      <c r="FAG9" s="117"/>
      <c r="FAH9" s="117"/>
      <c r="FAI9" s="117"/>
      <c r="FAJ9" s="117"/>
      <c r="FAK9" s="117"/>
      <c r="FAL9" s="117"/>
      <c r="FAM9" s="117"/>
      <c r="FAN9" s="117"/>
      <c r="FAO9" s="117"/>
      <c r="FAP9" s="117"/>
      <c r="FAQ9" s="117"/>
      <c r="FAR9" s="117"/>
      <c r="FAS9" s="117"/>
      <c r="FAT9" s="117"/>
      <c r="FAU9" s="117"/>
      <c r="FAV9" s="117"/>
      <c r="FAW9" s="117"/>
      <c r="FAX9" s="117"/>
      <c r="FAY9" s="117"/>
      <c r="FAZ9" s="117"/>
      <c r="FBA9" s="117"/>
      <c r="FBB9" s="117"/>
      <c r="FBC9" s="117"/>
      <c r="FBD9" s="117"/>
      <c r="FBE9" s="117"/>
      <c r="FBF9" s="117"/>
      <c r="FBG9" s="117"/>
      <c r="FBH9" s="117"/>
      <c r="FBI9" s="117"/>
      <c r="FBJ9" s="117"/>
      <c r="FBK9" s="117"/>
      <c r="FBL9" s="117"/>
      <c r="FBM9" s="117"/>
      <c r="FBN9" s="117"/>
      <c r="FBO9" s="117"/>
      <c r="FBP9" s="117"/>
      <c r="FBQ9" s="117"/>
      <c r="FBR9" s="117"/>
      <c r="FBS9" s="117"/>
      <c r="FBT9" s="117"/>
      <c r="FBU9" s="117"/>
      <c r="FBV9" s="117"/>
      <c r="FBW9" s="117"/>
      <c r="FBX9" s="117"/>
      <c r="FBY9" s="117"/>
      <c r="FBZ9" s="117"/>
      <c r="FCA9" s="117"/>
      <c r="FCB9" s="117"/>
      <c r="FCC9" s="117"/>
      <c r="FCD9" s="117"/>
      <c r="FCE9" s="117"/>
      <c r="FCF9" s="117"/>
      <c r="FCG9" s="117"/>
      <c r="FCH9" s="117"/>
      <c r="FCI9" s="117"/>
      <c r="FCJ9" s="117"/>
      <c r="FCK9" s="117"/>
      <c r="FCL9" s="117"/>
      <c r="FCM9" s="117"/>
      <c r="FCN9" s="117"/>
      <c r="FCO9" s="117"/>
      <c r="FCP9" s="117"/>
      <c r="FCQ9" s="117"/>
      <c r="FCR9" s="117"/>
      <c r="FCS9" s="117"/>
      <c r="FCT9" s="117"/>
      <c r="FCU9" s="117"/>
      <c r="FCV9" s="117"/>
      <c r="FCW9" s="117"/>
      <c r="FCX9" s="117"/>
      <c r="FCY9" s="117"/>
      <c r="FCZ9" s="117"/>
      <c r="FDA9" s="117"/>
      <c r="FDB9" s="117"/>
      <c r="FDC9" s="117"/>
      <c r="FDD9" s="117"/>
      <c r="FDE9" s="117"/>
      <c r="FDF9" s="117"/>
      <c r="FDG9" s="117"/>
      <c r="FDH9" s="117"/>
      <c r="FDI9" s="117"/>
      <c r="FDJ9" s="117"/>
      <c r="FDK9" s="117"/>
      <c r="FDL9" s="117"/>
      <c r="FDM9" s="117"/>
      <c r="FDN9" s="117"/>
      <c r="FDO9" s="117"/>
      <c r="FDP9" s="117"/>
      <c r="FDQ9" s="117"/>
      <c r="FDR9" s="117"/>
      <c r="FDS9" s="117"/>
      <c r="FDT9" s="117"/>
      <c r="FDU9" s="117"/>
      <c r="FDV9" s="117"/>
      <c r="FDW9" s="117"/>
      <c r="FDX9" s="117"/>
      <c r="FDY9" s="117"/>
      <c r="FDZ9" s="117"/>
      <c r="FEA9" s="117"/>
      <c r="FEB9" s="117"/>
      <c r="FEC9" s="117"/>
      <c r="FED9" s="117"/>
      <c r="FEE9" s="117"/>
      <c r="FEF9" s="117"/>
      <c r="FEG9" s="117"/>
      <c r="FEH9" s="117"/>
      <c r="FEI9" s="117"/>
      <c r="FEJ9" s="117"/>
      <c r="FEK9" s="117"/>
      <c r="FEL9" s="117"/>
      <c r="FEM9" s="117"/>
      <c r="FEN9" s="117"/>
      <c r="FEO9" s="117"/>
      <c r="FEP9" s="117"/>
      <c r="FEQ9" s="117"/>
      <c r="FER9" s="117"/>
      <c r="FES9" s="117"/>
      <c r="FET9" s="117"/>
      <c r="FEU9" s="117"/>
      <c r="FEV9" s="117"/>
      <c r="FEW9" s="117"/>
      <c r="FEX9" s="117"/>
      <c r="FEY9" s="117"/>
      <c r="FEZ9" s="117"/>
      <c r="FFA9" s="117"/>
      <c r="FFB9" s="117"/>
      <c r="FFC9" s="117"/>
      <c r="FFD9" s="117"/>
      <c r="FFE9" s="117"/>
      <c r="FFF9" s="117"/>
      <c r="FFG9" s="117"/>
      <c r="FFH9" s="117"/>
      <c r="FFI9" s="117"/>
      <c r="FFJ9" s="117"/>
      <c r="FFK9" s="117"/>
      <c r="FFL9" s="117"/>
      <c r="FFM9" s="117"/>
      <c r="FFN9" s="117"/>
      <c r="FFO9" s="117"/>
      <c r="FFP9" s="117"/>
      <c r="FFQ9" s="117"/>
      <c r="FFR9" s="117"/>
      <c r="FFS9" s="117"/>
      <c r="FFT9" s="117"/>
      <c r="FFU9" s="117"/>
      <c r="FFV9" s="117"/>
      <c r="FFW9" s="117"/>
      <c r="FFX9" s="117"/>
      <c r="FFY9" s="117"/>
      <c r="FFZ9" s="117"/>
      <c r="FGA9" s="117"/>
      <c r="FGB9" s="117"/>
      <c r="FGC9" s="117"/>
      <c r="FGD9" s="117"/>
      <c r="FGE9" s="117"/>
      <c r="FGF9" s="117"/>
      <c r="FGG9" s="117"/>
      <c r="FGH9" s="117"/>
      <c r="FGI9" s="117"/>
      <c r="FGJ9" s="117"/>
      <c r="FGK9" s="117"/>
      <c r="FGL9" s="117"/>
      <c r="FGM9" s="117"/>
      <c r="FGN9" s="117"/>
      <c r="FGO9" s="117"/>
      <c r="FGP9" s="117"/>
      <c r="FGQ9" s="117"/>
      <c r="FGR9" s="117"/>
      <c r="FGS9" s="117"/>
      <c r="FGT9" s="117"/>
      <c r="FGU9" s="117"/>
      <c r="FGV9" s="117"/>
      <c r="FGW9" s="117"/>
      <c r="FGX9" s="117"/>
      <c r="FGY9" s="117"/>
      <c r="FGZ9" s="117"/>
      <c r="FHA9" s="117"/>
      <c r="FHB9" s="117"/>
      <c r="FHC9" s="117"/>
      <c r="FHD9" s="117"/>
      <c r="FHE9" s="117"/>
      <c r="FHF9" s="117"/>
      <c r="FHG9" s="117"/>
      <c r="FHH9" s="117"/>
      <c r="FHI9" s="117"/>
      <c r="FHJ9" s="117"/>
      <c r="FHK9" s="117"/>
      <c r="FHL9" s="117"/>
      <c r="FHM9" s="117"/>
      <c r="FHN9" s="117"/>
      <c r="FHO9" s="117"/>
      <c r="FHP9" s="117"/>
      <c r="FHQ9" s="117"/>
      <c r="FHR9" s="117"/>
      <c r="FHS9" s="117"/>
      <c r="FHT9" s="117"/>
      <c r="FHU9" s="117"/>
      <c r="FHV9" s="117"/>
      <c r="FHW9" s="117"/>
      <c r="FHX9" s="117"/>
      <c r="FHY9" s="117"/>
      <c r="FHZ9" s="117"/>
      <c r="FIA9" s="117"/>
      <c r="FIB9" s="117"/>
      <c r="FIC9" s="117"/>
      <c r="FID9" s="117"/>
      <c r="FIE9" s="117"/>
      <c r="FIF9" s="117"/>
      <c r="FIG9" s="117"/>
      <c r="FIH9" s="117"/>
      <c r="FII9" s="117"/>
      <c r="FIJ9" s="117"/>
      <c r="FIK9" s="117"/>
      <c r="FIL9" s="117"/>
      <c r="FIM9" s="117"/>
      <c r="FIN9" s="117"/>
      <c r="FIO9" s="117"/>
      <c r="FIP9" s="117"/>
      <c r="FIQ9" s="117"/>
      <c r="FIR9" s="117"/>
      <c r="FIS9" s="117"/>
      <c r="FIT9" s="117"/>
      <c r="FIU9" s="117"/>
      <c r="FIV9" s="117"/>
      <c r="FIW9" s="117"/>
      <c r="FIX9" s="117"/>
      <c r="FIY9" s="117"/>
      <c r="FIZ9" s="117"/>
      <c r="FJA9" s="117"/>
      <c r="FJB9" s="117"/>
      <c r="FJC9" s="117"/>
      <c r="FJD9" s="117"/>
      <c r="FJE9" s="117"/>
      <c r="FJF9" s="117"/>
      <c r="FJG9" s="117"/>
      <c r="FJH9" s="117"/>
      <c r="FJI9" s="117"/>
      <c r="FJJ9" s="117"/>
      <c r="FJK9" s="117"/>
      <c r="FJL9" s="117"/>
      <c r="FJM9" s="117"/>
      <c r="FJN9" s="117"/>
      <c r="FJO9" s="117"/>
      <c r="FJP9" s="117"/>
      <c r="FJQ9" s="117"/>
      <c r="FJR9" s="117"/>
      <c r="FJS9" s="117"/>
      <c r="FJT9" s="117"/>
      <c r="FJU9" s="117"/>
      <c r="FJV9" s="117"/>
      <c r="FJW9" s="117"/>
      <c r="FJX9" s="117"/>
      <c r="FJY9" s="117"/>
      <c r="FJZ9" s="117"/>
      <c r="FKA9" s="117"/>
      <c r="FKB9" s="117"/>
      <c r="FKC9" s="117"/>
      <c r="FKD9" s="117"/>
      <c r="FKE9" s="117"/>
      <c r="FKF9" s="117"/>
      <c r="FKG9" s="117"/>
      <c r="FKH9" s="117"/>
      <c r="FKI9" s="117"/>
      <c r="FKJ9" s="117"/>
      <c r="FKK9" s="117"/>
      <c r="FKL9" s="117"/>
      <c r="FKM9" s="117"/>
      <c r="FKN9" s="117"/>
      <c r="FKO9" s="117"/>
      <c r="FKP9" s="117"/>
      <c r="FKQ9" s="117"/>
      <c r="FKR9" s="117"/>
      <c r="FKS9" s="117"/>
      <c r="FKT9" s="117"/>
      <c r="FKU9" s="117"/>
      <c r="FKV9" s="117"/>
      <c r="FKW9" s="117"/>
      <c r="FKX9" s="117"/>
      <c r="FKY9" s="117"/>
      <c r="FKZ9" s="117"/>
      <c r="FLA9" s="117"/>
      <c r="FLB9" s="117"/>
      <c r="FLC9" s="117"/>
      <c r="FLD9" s="117"/>
      <c r="FLE9" s="117"/>
      <c r="FLF9" s="117"/>
      <c r="FLG9" s="117"/>
      <c r="FLH9" s="117"/>
      <c r="FLI9" s="117"/>
      <c r="FLJ9" s="117"/>
      <c r="FLK9" s="117"/>
      <c r="FLL9" s="117"/>
      <c r="FLM9" s="117"/>
      <c r="FLN9" s="117"/>
      <c r="FLO9" s="117"/>
      <c r="FLP9" s="117"/>
      <c r="FLQ9" s="117"/>
      <c r="FLR9" s="117"/>
      <c r="FLS9" s="117"/>
      <c r="FLT9" s="117"/>
      <c r="FLU9" s="117"/>
      <c r="FLV9" s="117"/>
      <c r="FLW9" s="117"/>
      <c r="FLX9" s="117"/>
      <c r="FLY9" s="117"/>
      <c r="FLZ9" s="117"/>
      <c r="FMA9" s="117"/>
      <c r="FMB9" s="117"/>
      <c r="FMC9" s="117"/>
      <c r="FMD9" s="117"/>
      <c r="FME9" s="117"/>
      <c r="FMF9" s="117"/>
      <c r="FMG9" s="117"/>
      <c r="FMH9" s="117"/>
      <c r="FMI9" s="117"/>
      <c r="FMJ9" s="117"/>
      <c r="FMK9" s="117"/>
      <c r="FML9" s="117"/>
      <c r="FMM9" s="117"/>
      <c r="FMN9" s="117"/>
      <c r="FMO9" s="117"/>
      <c r="FMP9" s="117"/>
      <c r="FMQ9" s="117"/>
      <c r="FMR9" s="117"/>
      <c r="FMS9" s="117"/>
      <c r="FMT9" s="117"/>
      <c r="FMU9" s="117"/>
      <c r="FMV9" s="117"/>
      <c r="FMW9" s="117"/>
      <c r="FMX9" s="117"/>
      <c r="FMY9" s="117"/>
      <c r="FMZ9" s="117"/>
      <c r="FNA9" s="117"/>
      <c r="FNB9" s="117"/>
      <c r="FNC9" s="117"/>
      <c r="FND9" s="117"/>
      <c r="FNE9" s="117"/>
      <c r="FNF9" s="117"/>
      <c r="FNG9" s="117"/>
      <c r="FNH9" s="117"/>
      <c r="FNI9" s="117"/>
      <c r="FNJ9" s="117"/>
      <c r="FNK9" s="117"/>
      <c r="FNL9" s="117"/>
      <c r="FNM9" s="117"/>
      <c r="FNN9" s="117"/>
      <c r="FNO9" s="117"/>
      <c r="FNP9" s="117"/>
      <c r="FNQ9" s="117"/>
      <c r="FNR9" s="117"/>
      <c r="FNS9" s="117"/>
      <c r="FNT9" s="117"/>
      <c r="FNU9" s="117"/>
      <c r="FNV9" s="117"/>
      <c r="FNW9" s="117"/>
      <c r="FNX9" s="117"/>
      <c r="FNY9" s="117"/>
      <c r="FNZ9" s="117"/>
      <c r="FOA9" s="117"/>
      <c r="FOB9" s="117"/>
      <c r="FOC9" s="117"/>
      <c r="FOD9" s="117"/>
      <c r="FOE9" s="117"/>
      <c r="FOF9" s="117"/>
      <c r="FOG9" s="117"/>
      <c r="FOH9" s="117"/>
      <c r="FOI9" s="117"/>
      <c r="FOJ9" s="117"/>
      <c r="FOK9" s="117"/>
      <c r="FOL9" s="117"/>
      <c r="FOM9" s="117"/>
      <c r="FON9" s="117"/>
      <c r="FOO9" s="117"/>
      <c r="FOP9" s="117"/>
      <c r="FOQ9" s="117"/>
      <c r="FOR9" s="117"/>
      <c r="FOS9" s="117"/>
      <c r="FOT9" s="117"/>
      <c r="FOU9" s="117"/>
      <c r="FOV9" s="117"/>
      <c r="FOW9" s="117"/>
      <c r="FOX9" s="117"/>
      <c r="FOY9" s="117"/>
      <c r="FOZ9" s="117"/>
      <c r="FPA9" s="117"/>
      <c r="FPB9" s="117"/>
      <c r="FPC9" s="117"/>
      <c r="FPD9" s="117"/>
      <c r="FPE9" s="117"/>
      <c r="FPF9" s="117"/>
      <c r="FPG9" s="117"/>
      <c r="FPH9" s="117"/>
      <c r="FPI9" s="117"/>
      <c r="FPJ9" s="117"/>
      <c r="FPK9" s="117"/>
      <c r="FPL9" s="117"/>
      <c r="FPM9" s="117"/>
      <c r="FPN9" s="117"/>
      <c r="FPO9" s="117"/>
      <c r="FPP9" s="117"/>
      <c r="FPQ9" s="117"/>
      <c r="FPR9" s="117"/>
      <c r="FPS9" s="117"/>
      <c r="FPT9" s="117"/>
      <c r="FPU9" s="117"/>
      <c r="FPV9" s="117"/>
      <c r="FPW9" s="117"/>
      <c r="FPX9" s="117"/>
      <c r="FPY9" s="117"/>
      <c r="FPZ9" s="117"/>
      <c r="FQA9" s="117"/>
      <c r="FQB9" s="117"/>
      <c r="FQC9" s="117"/>
      <c r="FQD9" s="117"/>
      <c r="FQE9" s="117"/>
      <c r="FQF9" s="117"/>
      <c r="FQG9" s="117"/>
      <c r="FQH9" s="117"/>
      <c r="FQI9" s="117"/>
      <c r="FQJ9" s="117"/>
      <c r="FQK9" s="117"/>
      <c r="FQL9" s="117"/>
      <c r="FQM9" s="117"/>
      <c r="FQN9" s="117"/>
      <c r="FQO9" s="117"/>
      <c r="FQP9" s="117"/>
      <c r="FQQ9" s="117"/>
      <c r="FQR9" s="117"/>
      <c r="FQS9" s="117"/>
      <c r="FQT9" s="117"/>
      <c r="FQU9" s="117"/>
      <c r="FQV9" s="117"/>
      <c r="FQW9" s="117"/>
      <c r="FQX9" s="117"/>
      <c r="FQY9" s="117"/>
      <c r="FQZ9" s="117"/>
      <c r="FRA9" s="117"/>
      <c r="FRB9" s="117"/>
      <c r="FRC9" s="117"/>
      <c r="FRD9" s="117"/>
      <c r="FRE9" s="117"/>
      <c r="FRF9" s="117"/>
      <c r="FRG9" s="117"/>
      <c r="FRH9" s="117"/>
      <c r="FRI9" s="117"/>
      <c r="FRJ9" s="117"/>
      <c r="FRK9" s="117"/>
      <c r="FRL9" s="117"/>
      <c r="FRM9" s="117"/>
      <c r="FRN9" s="117"/>
      <c r="FRO9" s="117"/>
      <c r="FRP9" s="117"/>
      <c r="FRQ9" s="117"/>
      <c r="FRR9" s="117"/>
      <c r="FRS9" s="117"/>
      <c r="FRT9" s="117"/>
      <c r="FRU9" s="117"/>
      <c r="FRV9" s="117"/>
      <c r="FRW9" s="117"/>
      <c r="FRX9" s="117"/>
      <c r="FRY9" s="117"/>
      <c r="FRZ9" s="117"/>
      <c r="FSA9" s="117"/>
      <c r="FSB9" s="117"/>
      <c r="FSC9" s="117"/>
      <c r="FSD9" s="117"/>
      <c r="FSE9" s="117"/>
      <c r="FSF9" s="117"/>
      <c r="FSG9" s="117"/>
      <c r="FSH9" s="117"/>
      <c r="FSI9" s="117"/>
      <c r="FSJ9" s="117"/>
      <c r="FSK9" s="117"/>
      <c r="FSL9" s="117"/>
      <c r="FSM9" s="117"/>
      <c r="FSN9" s="117"/>
      <c r="FSO9" s="117"/>
      <c r="FSP9" s="117"/>
      <c r="FSQ9" s="117"/>
      <c r="FSR9" s="117"/>
      <c r="FSS9" s="117"/>
      <c r="FST9" s="117"/>
      <c r="FSU9" s="117"/>
      <c r="FSV9" s="117"/>
      <c r="FSW9" s="117"/>
      <c r="FSX9" s="117"/>
      <c r="FSY9" s="117"/>
      <c r="FSZ9" s="117"/>
      <c r="FTA9" s="117"/>
      <c r="FTB9" s="117"/>
      <c r="FTC9" s="117"/>
      <c r="FTD9" s="117"/>
      <c r="FTE9" s="117"/>
      <c r="FTF9" s="117"/>
      <c r="FTG9" s="117"/>
      <c r="FTH9" s="117"/>
      <c r="FTI9" s="117"/>
      <c r="FTJ9" s="117"/>
      <c r="FTK9" s="117"/>
      <c r="FTL9" s="117"/>
      <c r="FTM9" s="117"/>
      <c r="FTN9" s="117"/>
      <c r="FTO9" s="117"/>
      <c r="FTP9" s="117"/>
      <c r="FTQ9" s="117"/>
      <c r="FTR9" s="117"/>
      <c r="FTS9" s="117"/>
      <c r="FTT9" s="117"/>
      <c r="FTU9" s="117"/>
      <c r="FTV9" s="117"/>
      <c r="FTW9" s="117"/>
      <c r="FTX9" s="117"/>
      <c r="FTY9" s="117"/>
      <c r="FTZ9" s="117"/>
      <c r="FUA9" s="117"/>
      <c r="FUB9" s="117"/>
      <c r="FUC9" s="117"/>
      <c r="FUD9" s="117"/>
      <c r="FUE9" s="117"/>
      <c r="FUF9" s="117"/>
      <c r="FUG9" s="117"/>
      <c r="FUH9" s="117"/>
      <c r="FUI9" s="117"/>
      <c r="FUJ9" s="117"/>
      <c r="FUK9" s="117"/>
      <c r="FUL9" s="117"/>
      <c r="FUM9" s="117"/>
      <c r="FUN9" s="117"/>
      <c r="FUO9" s="117"/>
      <c r="FUP9" s="117"/>
      <c r="FUQ9" s="117"/>
      <c r="FUR9" s="117"/>
      <c r="FUS9" s="117"/>
      <c r="FUT9" s="117"/>
      <c r="FUU9" s="117"/>
      <c r="FUV9" s="117"/>
      <c r="FUW9" s="117"/>
      <c r="FUX9" s="117"/>
      <c r="FUY9" s="117"/>
      <c r="FUZ9" s="117"/>
      <c r="FVA9" s="117"/>
      <c r="FVB9" s="117"/>
      <c r="FVC9" s="117"/>
      <c r="FVD9" s="117"/>
      <c r="FVE9" s="117"/>
      <c r="FVF9" s="117"/>
      <c r="FVG9" s="117"/>
      <c r="FVH9" s="117"/>
      <c r="FVI9" s="117"/>
      <c r="FVJ9" s="117"/>
      <c r="FVK9" s="117"/>
      <c r="FVL9" s="117"/>
      <c r="FVM9" s="117"/>
      <c r="FVN9" s="117"/>
      <c r="FVO9" s="117"/>
      <c r="FVP9" s="117"/>
      <c r="FVQ9" s="117"/>
      <c r="FVR9" s="117"/>
      <c r="FVS9" s="117"/>
      <c r="FVT9" s="117"/>
      <c r="FVU9" s="117"/>
      <c r="FVV9" s="117"/>
      <c r="FVW9" s="117"/>
      <c r="FVX9" s="117"/>
      <c r="FVY9" s="117"/>
      <c r="FVZ9" s="117"/>
      <c r="FWA9" s="117"/>
      <c r="FWB9" s="117"/>
      <c r="FWC9" s="117"/>
      <c r="FWD9" s="117"/>
      <c r="FWE9" s="117"/>
      <c r="FWF9" s="117"/>
      <c r="FWG9" s="117"/>
      <c r="FWH9" s="117"/>
      <c r="FWI9" s="117"/>
      <c r="FWJ9" s="117"/>
      <c r="FWK9" s="117"/>
      <c r="FWL9" s="117"/>
      <c r="FWM9" s="117"/>
      <c r="FWN9" s="117"/>
      <c r="FWO9" s="117"/>
      <c r="FWP9" s="117"/>
      <c r="FWQ9" s="117"/>
      <c r="FWR9" s="117"/>
      <c r="FWS9" s="117"/>
      <c r="FWT9" s="117"/>
      <c r="FWU9" s="117"/>
      <c r="FWV9" s="117"/>
      <c r="FWW9" s="117"/>
      <c r="FWX9" s="117"/>
      <c r="FWY9" s="117"/>
      <c r="FWZ9" s="117"/>
      <c r="FXA9" s="117"/>
      <c r="FXB9" s="117"/>
      <c r="FXC9" s="117"/>
      <c r="FXD9" s="117"/>
      <c r="FXE9" s="117"/>
      <c r="FXF9" s="117"/>
      <c r="FXG9" s="117"/>
      <c r="FXH9" s="117"/>
      <c r="FXI9" s="117"/>
      <c r="FXJ9" s="117"/>
      <c r="FXK9" s="117"/>
      <c r="FXL9" s="117"/>
      <c r="FXM9" s="117"/>
      <c r="FXN9" s="117"/>
      <c r="FXO9" s="117"/>
      <c r="FXP9" s="117"/>
      <c r="FXQ9" s="117"/>
      <c r="FXR9" s="117"/>
      <c r="FXS9" s="117"/>
      <c r="FXT9" s="117"/>
      <c r="FXU9" s="117"/>
      <c r="FXV9" s="117"/>
      <c r="FXW9" s="117"/>
      <c r="FXX9" s="117"/>
      <c r="FXY9" s="117"/>
      <c r="FXZ9" s="117"/>
      <c r="FYA9" s="117"/>
      <c r="FYB9" s="117"/>
      <c r="FYC9" s="117"/>
      <c r="FYD9" s="117"/>
      <c r="FYE9" s="117"/>
      <c r="FYF9" s="117"/>
      <c r="FYG9" s="117"/>
      <c r="FYH9" s="117"/>
      <c r="FYI9" s="117"/>
      <c r="FYJ9" s="117"/>
      <c r="FYK9" s="117"/>
      <c r="FYL9" s="117"/>
      <c r="FYM9" s="117"/>
      <c r="FYN9" s="117"/>
      <c r="FYO9" s="117"/>
      <c r="FYP9" s="117"/>
      <c r="FYQ9" s="117"/>
      <c r="FYR9" s="117"/>
      <c r="FYS9" s="117"/>
      <c r="FYT9" s="117"/>
      <c r="FYU9" s="117"/>
      <c r="FYV9" s="117"/>
      <c r="FYW9" s="117"/>
      <c r="FYX9" s="117"/>
      <c r="FYY9" s="117"/>
      <c r="FYZ9" s="117"/>
      <c r="FZA9" s="117"/>
      <c r="FZB9" s="117"/>
      <c r="FZC9" s="117"/>
      <c r="FZD9" s="117"/>
      <c r="FZE9" s="117"/>
      <c r="FZF9" s="117"/>
      <c r="FZG9" s="117"/>
      <c r="FZH9" s="117"/>
      <c r="FZI9" s="117"/>
      <c r="FZJ9" s="117"/>
      <c r="FZK9" s="117"/>
      <c r="FZL9" s="117"/>
      <c r="FZM9" s="117"/>
      <c r="FZN9" s="117"/>
      <c r="FZO9" s="117"/>
      <c r="FZP9" s="117"/>
      <c r="FZQ9" s="117"/>
      <c r="FZR9" s="117"/>
      <c r="FZS9" s="117"/>
      <c r="FZT9" s="117"/>
      <c r="FZU9" s="117"/>
      <c r="FZV9" s="117"/>
      <c r="FZW9" s="117"/>
      <c r="FZX9" s="117"/>
      <c r="FZY9" s="117"/>
      <c r="FZZ9" s="117"/>
      <c r="GAA9" s="117"/>
      <c r="GAB9" s="117"/>
      <c r="GAC9" s="117"/>
      <c r="GAD9" s="117"/>
      <c r="GAE9" s="117"/>
      <c r="GAF9" s="117"/>
      <c r="GAG9" s="117"/>
      <c r="GAH9" s="117"/>
      <c r="GAI9" s="117"/>
      <c r="GAJ9" s="117"/>
      <c r="GAK9" s="117"/>
      <c r="GAL9" s="117"/>
      <c r="GAM9" s="117"/>
      <c r="GAN9" s="117"/>
      <c r="GAO9" s="117"/>
      <c r="GAP9" s="117"/>
      <c r="GAQ9" s="117"/>
      <c r="GAR9" s="117"/>
      <c r="GAS9" s="117"/>
      <c r="GAT9" s="117"/>
      <c r="GAU9" s="117"/>
      <c r="GAV9" s="117"/>
      <c r="GAW9" s="117"/>
      <c r="GAX9" s="117"/>
      <c r="GAY9" s="117"/>
      <c r="GAZ9" s="117"/>
      <c r="GBA9" s="117"/>
      <c r="GBB9" s="117"/>
      <c r="GBC9" s="117"/>
      <c r="GBD9" s="117"/>
      <c r="GBE9" s="117"/>
      <c r="GBF9" s="117"/>
      <c r="GBG9" s="117"/>
      <c r="GBH9" s="117"/>
      <c r="GBI9" s="117"/>
      <c r="GBJ9" s="117"/>
      <c r="GBK9" s="117"/>
      <c r="GBL9" s="117"/>
      <c r="GBM9" s="117"/>
      <c r="GBN9" s="117"/>
      <c r="GBO9" s="117"/>
      <c r="GBP9" s="117"/>
      <c r="GBQ9" s="117"/>
      <c r="GBR9" s="117"/>
      <c r="GBS9" s="117"/>
      <c r="GBT9" s="117"/>
      <c r="GBU9" s="117"/>
      <c r="GBV9" s="117"/>
      <c r="GBW9" s="117"/>
      <c r="GBX9" s="117"/>
      <c r="GBY9" s="117"/>
      <c r="GBZ9" s="117"/>
      <c r="GCA9" s="117"/>
      <c r="GCB9" s="117"/>
      <c r="GCC9" s="117"/>
      <c r="GCD9" s="117"/>
      <c r="GCE9" s="117"/>
      <c r="GCF9" s="117"/>
      <c r="GCG9" s="117"/>
      <c r="GCH9" s="117"/>
      <c r="GCI9" s="117"/>
      <c r="GCJ9" s="117"/>
      <c r="GCK9" s="117"/>
      <c r="GCL9" s="117"/>
      <c r="GCM9" s="117"/>
      <c r="GCN9" s="117"/>
      <c r="GCO9" s="117"/>
      <c r="GCP9" s="117"/>
      <c r="GCQ9" s="117"/>
      <c r="GCR9" s="117"/>
      <c r="GCS9" s="117"/>
      <c r="GCT9" s="117"/>
      <c r="GCU9" s="117"/>
      <c r="GCV9" s="117"/>
      <c r="GCW9" s="117"/>
      <c r="GCX9" s="117"/>
      <c r="GCY9" s="117"/>
      <c r="GCZ9" s="117"/>
      <c r="GDA9" s="117"/>
      <c r="GDB9" s="117"/>
      <c r="GDC9" s="117"/>
      <c r="GDD9" s="117"/>
      <c r="GDE9" s="117"/>
      <c r="GDF9" s="117"/>
      <c r="GDG9" s="117"/>
      <c r="GDH9" s="117"/>
      <c r="GDI9" s="117"/>
      <c r="GDJ9" s="117"/>
      <c r="GDK9" s="117"/>
      <c r="GDL9" s="117"/>
      <c r="GDM9" s="117"/>
      <c r="GDN9" s="117"/>
      <c r="GDO9" s="117"/>
      <c r="GDP9" s="117"/>
      <c r="GDQ9" s="117"/>
      <c r="GDR9" s="117"/>
      <c r="GDS9" s="117"/>
      <c r="GDT9" s="117"/>
      <c r="GDU9" s="117"/>
      <c r="GDV9" s="117"/>
      <c r="GDW9" s="117"/>
      <c r="GDX9" s="117"/>
      <c r="GDY9" s="117"/>
      <c r="GDZ9" s="117"/>
      <c r="GEA9" s="117"/>
      <c r="GEB9" s="117"/>
      <c r="GEC9" s="117"/>
      <c r="GED9" s="117"/>
      <c r="GEE9" s="117"/>
      <c r="GEF9" s="117"/>
      <c r="GEG9" s="117"/>
      <c r="GEH9" s="117"/>
      <c r="GEI9" s="117"/>
      <c r="GEJ9" s="117"/>
      <c r="GEK9" s="117"/>
      <c r="GEL9" s="117"/>
      <c r="GEM9" s="117"/>
      <c r="GEN9" s="117"/>
      <c r="GEO9" s="117"/>
      <c r="GEP9" s="117"/>
      <c r="GEQ9" s="117"/>
      <c r="GER9" s="117"/>
      <c r="GES9" s="117"/>
      <c r="GET9" s="117"/>
      <c r="GEU9" s="117"/>
      <c r="GEV9" s="117"/>
      <c r="GEW9" s="117"/>
      <c r="GEX9" s="117"/>
      <c r="GEY9" s="117"/>
      <c r="GEZ9" s="117"/>
      <c r="GFA9" s="117"/>
      <c r="GFB9" s="117"/>
      <c r="GFC9" s="117"/>
      <c r="GFD9" s="117"/>
      <c r="GFE9" s="117"/>
      <c r="GFF9" s="117"/>
      <c r="GFG9" s="117"/>
      <c r="GFH9" s="117"/>
      <c r="GFI9" s="117"/>
      <c r="GFJ9" s="117"/>
      <c r="GFK9" s="117"/>
      <c r="GFL9" s="117"/>
      <c r="GFM9" s="117"/>
      <c r="GFN9" s="117"/>
      <c r="GFO9" s="117"/>
      <c r="GFP9" s="117"/>
      <c r="GFQ9" s="117"/>
      <c r="GFR9" s="117"/>
      <c r="GFS9" s="117"/>
      <c r="GFT9" s="117"/>
      <c r="GFU9" s="117"/>
      <c r="GFV9" s="117"/>
      <c r="GFW9" s="117"/>
      <c r="GFX9" s="117"/>
      <c r="GFY9" s="117"/>
      <c r="GFZ9" s="117"/>
      <c r="GGA9" s="117"/>
      <c r="GGB9" s="117"/>
      <c r="GGC9" s="117"/>
      <c r="GGD9" s="117"/>
      <c r="GGE9" s="117"/>
      <c r="GGF9" s="117"/>
      <c r="GGG9" s="117"/>
      <c r="GGH9" s="117"/>
      <c r="GGI9" s="117"/>
      <c r="GGJ9" s="117"/>
      <c r="GGK9" s="117"/>
      <c r="GGL9" s="117"/>
      <c r="GGM9" s="117"/>
      <c r="GGN9" s="117"/>
      <c r="GGO9" s="117"/>
      <c r="GGP9" s="117"/>
      <c r="GGQ9" s="117"/>
      <c r="GGR9" s="117"/>
      <c r="GGS9" s="117"/>
      <c r="GGT9" s="117"/>
      <c r="GGU9" s="117"/>
      <c r="GGV9" s="117"/>
      <c r="GGW9" s="117"/>
      <c r="GGX9" s="117"/>
      <c r="GGY9" s="117"/>
      <c r="GGZ9" s="117"/>
      <c r="GHA9" s="117"/>
      <c r="GHB9" s="117"/>
      <c r="GHC9" s="117"/>
      <c r="GHD9" s="117"/>
      <c r="GHE9" s="117"/>
      <c r="GHF9" s="117"/>
      <c r="GHG9" s="117"/>
      <c r="GHH9" s="117"/>
      <c r="GHI9" s="117"/>
      <c r="GHJ9" s="117"/>
      <c r="GHK9" s="117"/>
      <c r="GHL9" s="117"/>
      <c r="GHM9" s="117"/>
      <c r="GHN9" s="117"/>
      <c r="GHO9" s="117"/>
      <c r="GHP9" s="117"/>
      <c r="GHQ9" s="117"/>
      <c r="GHR9" s="117"/>
      <c r="GHS9" s="117"/>
      <c r="GHT9" s="117"/>
      <c r="GHU9" s="117"/>
      <c r="GHV9" s="117"/>
      <c r="GHW9" s="117"/>
      <c r="GHX9" s="117"/>
      <c r="GHY9" s="117"/>
      <c r="GHZ9" s="117"/>
      <c r="GIA9" s="117"/>
      <c r="GIB9" s="117"/>
      <c r="GIC9" s="117"/>
      <c r="GID9" s="117"/>
      <c r="GIE9" s="117"/>
      <c r="GIF9" s="117"/>
      <c r="GIG9" s="117"/>
      <c r="GIH9" s="117"/>
      <c r="GII9" s="117"/>
      <c r="GIJ9" s="117"/>
      <c r="GIK9" s="117"/>
      <c r="GIL9" s="117"/>
      <c r="GIM9" s="117"/>
      <c r="GIN9" s="117"/>
      <c r="GIO9" s="117"/>
      <c r="GIP9" s="117"/>
      <c r="GIQ9" s="117"/>
      <c r="GIR9" s="117"/>
      <c r="GIS9" s="117"/>
      <c r="GIT9" s="117"/>
      <c r="GIU9" s="117"/>
      <c r="GIV9" s="117"/>
      <c r="GIW9" s="117"/>
      <c r="GIX9" s="117"/>
      <c r="GIY9" s="117"/>
      <c r="GIZ9" s="117"/>
      <c r="GJA9" s="117"/>
      <c r="GJB9" s="117"/>
      <c r="GJC9" s="117"/>
      <c r="GJD9" s="117"/>
      <c r="GJE9" s="117"/>
      <c r="GJF9" s="117"/>
      <c r="GJG9" s="117"/>
      <c r="GJH9" s="117"/>
      <c r="GJI9" s="117"/>
      <c r="GJJ9" s="117"/>
      <c r="GJK9" s="117"/>
      <c r="GJL9" s="117"/>
      <c r="GJM9" s="117"/>
      <c r="GJN9" s="117"/>
      <c r="GJO9" s="117"/>
      <c r="GJP9" s="117"/>
      <c r="GJQ9" s="117"/>
      <c r="GJR9" s="117"/>
      <c r="GJS9" s="117"/>
      <c r="GJT9" s="117"/>
      <c r="GJU9" s="117"/>
      <c r="GJV9" s="117"/>
      <c r="GJW9" s="117"/>
      <c r="GJX9" s="117"/>
      <c r="GJY9" s="117"/>
      <c r="GJZ9" s="117"/>
      <c r="GKA9" s="117"/>
      <c r="GKB9" s="117"/>
      <c r="GKC9" s="117"/>
      <c r="GKD9" s="117"/>
      <c r="GKE9" s="117"/>
      <c r="GKF9" s="117"/>
      <c r="GKG9" s="117"/>
      <c r="GKH9" s="117"/>
      <c r="GKI9" s="117"/>
      <c r="GKJ9" s="117"/>
      <c r="GKK9" s="117"/>
      <c r="GKL9" s="117"/>
      <c r="GKM9" s="117"/>
      <c r="GKN9" s="117"/>
      <c r="GKO9" s="117"/>
      <c r="GKP9" s="117"/>
      <c r="GKQ9" s="117"/>
      <c r="GKR9" s="117"/>
      <c r="GKS9" s="117"/>
      <c r="GKT9" s="117"/>
      <c r="GKU9" s="117"/>
      <c r="GKV9" s="117"/>
      <c r="GKW9" s="117"/>
      <c r="GKX9" s="117"/>
      <c r="GKY9" s="117"/>
      <c r="GKZ9" s="117"/>
      <c r="GLA9" s="117"/>
      <c r="GLB9" s="117"/>
      <c r="GLC9" s="117"/>
      <c r="GLD9" s="117"/>
      <c r="GLE9" s="117"/>
      <c r="GLF9" s="117"/>
      <c r="GLG9" s="117"/>
      <c r="GLH9" s="117"/>
      <c r="GLI9" s="117"/>
      <c r="GLJ9" s="117"/>
      <c r="GLK9" s="117"/>
      <c r="GLL9" s="117"/>
      <c r="GLM9" s="117"/>
      <c r="GLN9" s="117"/>
      <c r="GLO9" s="117"/>
      <c r="GLP9" s="117"/>
      <c r="GLQ9" s="117"/>
      <c r="GLR9" s="117"/>
      <c r="GLS9" s="117"/>
      <c r="GLT9" s="117"/>
      <c r="GLU9" s="117"/>
      <c r="GLV9" s="117"/>
      <c r="GLW9" s="117"/>
      <c r="GLX9" s="117"/>
      <c r="GLY9" s="117"/>
      <c r="GLZ9" s="117"/>
      <c r="GMA9" s="117"/>
      <c r="GMB9" s="117"/>
      <c r="GMC9" s="117"/>
      <c r="GMD9" s="117"/>
      <c r="GME9" s="117"/>
      <c r="GMF9" s="117"/>
      <c r="GMG9" s="117"/>
      <c r="GMH9" s="117"/>
      <c r="GMI9" s="117"/>
      <c r="GMJ9" s="117"/>
      <c r="GMK9" s="117"/>
      <c r="GML9" s="117"/>
      <c r="GMM9" s="117"/>
      <c r="GMN9" s="117"/>
      <c r="GMO9" s="117"/>
      <c r="GMP9" s="117"/>
      <c r="GMQ9" s="117"/>
      <c r="GMR9" s="117"/>
      <c r="GMS9" s="117"/>
      <c r="GMT9" s="117"/>
      <c r="GMU9" s="117"/>
      <c r="GMV9" s="117"/>
      <c r="GMW9" s="117"/>
      <c r="GMX9" s="117"/>
      <c r="GMY9" s="117"/>
      <c r="GMZ9" s="117"/>
      <c r="GNA9" s="117"/>
      <c r="GNB9" s="117"/>
      <c r="GNC9" s="117"/>
      <c r="GND9" s="117"/>
      <c r="GNE9" s="117"/>
      <c r="GNF9" s="117"/>
      <c r="GNG9" s="117"/>
      <c r="GNH9" s="117"/>
      <c r="GNI9" s="117"/>
      <c r="GNJ9" s="117"/>
      <c r="GNK9" s="117"/>
      <c r="GNL9" s="117"/>
      <c r="GNM9" s="117"/>
      <c r="GNN9" s="117"/>
      <c r="GNO9" s="117"/>
      <c r="GNP9" s="117"/>
      <c r="GNQ9" s="117"/>
      <c r="GNR9" s="117"/>
      <c r="GNS9" s="117"/>
      <c r="GNT9" s="117"/>
      <c r="GNU9" s="117"/>
      <c r="GNV9" s="117"/>
      <c r="GNW9" s="117"/>
      <c r="GNX9" s="117"/>
      <c r="GNY9" s="117"/>
      <c r="GNZ9" s="117"/>
      <c r="GOA9" s="117"/>
      <c r="GOB9" s="117"/>
      <c r="GOC9" s="117"/>
      <c r="GOD9" s="117"/>
      <c r="GOE9" s="117"/>
      <c r="GOF9" s="117"/>
      <c r="GOG9" s="117"/>
      <c r="GOH9" s="117"/>
      <c r="GOI9" s="117"/>
      <c r="GOJ9" s="117"/>
      <c r="GOK9" s="117"/>
      <c r="GOL9" s="117"/>
      <c r="GOM9" s="117"/>
      <c r="GON9" s="117"/>
      <c r="GOO9" s="117"/>
      <c r="GOP9" s="117"/>
      <c r="GOQ9" s="117"/>
      <c r="GOR9" s="117"/>
      <c r="GOS9" s="117"/>
      <c r="GOT9" s="117"/>
      <c r="GOU9" s="117"/>
      <c r="GOV9" s="117"/>
      <c r="GOW9" s="117"/>
      <c r="GOX9" s="117"/>
      <c r="GOY9" s="117"/>
      <c r="GOZ9" s="117"/>
      <c r="GPA9" s="117"/>
      <c r="GPB9" s="117"/>
      <c r="GPC9" s="117"/>
      <c r="GPD9" s="117"/>
      <c r="GPE9" s="117"/>
      <c r="GPF9" s="117"/>
      <c r="GPG9" s="117"/>
      <c r="GPH9" s="117"/>
      <c r="GPI9" s="117"/>
      <c r="GPJ9" s="117"/>
      <c r="GPK9" s="117"/>
      <c r="GPL9" s="117"/>
      <c r="GPM9" s="117"/>
      <c r="GPN9" s="117"/>
      <c r="GPO9" s="117"/>
      <c r="GPP9" s="117"/>
      <c r="GPQ9" s="117"/>
      <c r="GPR9" s="117"/>
      <c r="GPS9" s="117"/>
      <c r="GPT9" s="117"/>
      <c r="GPU9" s="117"/>
      <c r="GPV9" s="117"/>
      <c r="GPW9" s="117"/>
      <c r="GPX9" s="117"/>
      <c r="GPY9" s="117"/>
      <c r="GPZ9" s="117"/>
      <c r="GQA9" s="117"/>
      <c r="GQB9" s="117"/>
      <c r="GQC9" s="117"/>
      <c r="GQD9" s="117"/>
      <c r="GQE9" s="117"/>
      <c r="GQF9" s="117"/>
      <c r="GQG9" s="117"/>
      <c r="GQH9" s="117"/>
      <c r="GQI9" s="117"/>
      <c r="GQJ9" s="117"/>
      <c r="GQK9" s="117"/>
      <c r="GQL9" s="117"/>
      <c r="GQM9" s="117"/>
      <c r="GQN9" s="117"/>
      <c r="GQO9" s="117"/>
      <c r="GQP9" s="117"/>
      <c r="GQQ9" s="117"/>
      <c r="GQR9" s="117"/>
      <c r="GQS9" s="117"/>
      <c r="GQT9" s="117"/>
      <c r="GQU9" s="117"/>
      <c r="GQV9" s="117"/>
      <c r="GQW9" s="117"/>
      <c r="GQX9" s="117"/>
      <c r="GQY9" s="117"/>
      <c r="GQZ9" s="117"/>
      <c r="GRA9" s="117"/>
      <c r="GRB9" s="117"/>
      <c r="GRC9" s="117"/>
      <c r="GRD9" s="117"/>
      <c r="GRE9" s="117"/>
      <c r="GRF9" s="117"/>
      <c r="GRG9" s="117"/>
      <c r="GRH9" s="117"/>
      <c r="GRI9" s="117"/>
      <c r="GRJ9" s="117"/>
      <c r="GRK9" s="117"/>
      <c r="GRL9" s="117"/>
      <c r="GRM9" s="117"/>
      <c r="GRN9" s="117"/>
      <c r="GRO9" s="117"/>
      <c r="GRP9" s="117"/>
      <c r="GRQ9" s="117"/>
      <c r="GRR9" s="117"/>
      <c r="GRS9" s="117"/>
      <c r="GRT9" s="117"/>
      <c r="GRU9" s="117"/>
      <c r="GRV9" s="117"/>
      <c r="GRW9" s="117"/>
      <c r="GRX9" s="117"/>
      <c r="GRY9" s="117"/>
      <c r="GRZ9" s="117"/>
      <c r="GSA9" s="117"/>
      <c r="GSB9" s="117"/>
      <c r="GSC9" s="117"/>
      <c r="GSD9" s="117"/>
      <c r="GSE9" s="117"/>
      <c r="GSF9" s="117"/>
      <c r="GSG9" s="117"/>
      <c r="GSH9" s="117"/>
      <c r="GSI9" s="117"/>
      <c r="GSJ9" s="117"/>
      <c r="GSK9" s="117"/>
      <c r="GSL9" s="117"/>
      <c r="GSM9" s="117"/>
      <c r="GSN9" s="117"/>
      <c r="GSO9" s="117"/>
      <c r="GSP9" s="117"/>
      <c r="GSQ9" s="117"/>
      <c r="GSR9" s="117"/>
      <c r="GSS9" s="117"/>
      <c r="GST9" s="117"/>
      <c r="GSU9" s="117"/>
      <c r="GSV9" s="117"/>
      <c r="GSW9" s="117"/>
      <c r="GSX9" s="117"/>
      <c r="GSY9" s="117"/>
      <c r="GSZ9" s="117"/>
      <c r="GTA9" s="117"/>
      <c r="GTB9" s="117"/>
      <c r="GTC9" s="117"/>
      <c r="GTD9" s="117"/>
      <c r="GTE9" s="117"/>
      <c r="GTF9" s="117"/>
      <c r="GTG9" s="117"/>
      <c r="GTH9" s="117"/>
      <c r="GTI9" s="117"/>
      <c r="GTJ9" s="117"/>
      <c r="GTK9" s="117"/>
      <c r="GTL9" s="117"/>
      <c r="GTM9" s="117"/>
      <c r="GTN9" s="117"/>
      <c r="GTO9" s="117"/>
      <c r="GTP9" s="117"/>
      <c r="GTQ9" s="117"/>
      <c r="GTR9" s="117"/>
      <c r="GTS9" s="117"/>
      <c r="GTT9" s="117"/>
      <c r="GTU9" s="117"/>
      <c r="GTV9" s="117"/>
      <c r="GTW9" s="117"/>
      <c r="GTX9" s="117"/>
      <c r="GTY9" s="117"/>
      <c r="GTZ9" s="117"/>
      <c r="GUA9" s="117"/>
      <c r="GUB9" s="117"/>
      <c r="GUC9" s="117"/>
      <c r="GUD9" s="117"/>
      <c r="GUE9" s="117"/>
      <c r="GUF9" s="117"/>
      <c r="GUG9" s="117"/>
      <c r="GUH9" s="117"/>
      <c r="GUI9" s="117"/>
      <c r="GUJ9" s="117"/>
      <c r="GUK9" s="117"/>
      <c r="GUL9" s="117"/>
      <c r="GUM9" s="117"/>
      <c r="GUN9" s="117"/>
      <c r="GUO9" s="117"/>
      <c r="GUP9" s="117"/>
      <c r="GUQ9" s="117"/>
      <c r="GUR9" s="117"/>
      <c r="GUS9" s="117"/>
      <c r="GUT9" s="117"/>
      <c r="GUU9" s="117"/>
      <c r="GUV9" s="117"/>
      <c r="GUW9" s="117"/>
      <c r="GUX9" s="117"/>
      <c r="GUY9" s="117"/>
      <c r="GUZ9" s="117"/>
      <c r="GVA9" s="117"/>
      <c r="GVB9" s="117"/>
      <c r="GVC9" s="117"/>
      <c r="GVD9" s="117"/>
      <c r="GVE9" s="117"/>
      <c r="GVF9" s="117"/>
      <c r="GVG9" s="117"/>
      <c r="GVH9" s="117"/>
      <c r="GVI9" s="117"/>
      <c r="GVJ9" s="117"/>
      <c r="GVK9" s="117"/>
      <c r="GVL9" s="117"/>
      <c r="GVM9" s="117"/>
      <c r="GVN9" s="117"/>
      <c r="GVO9" s="117"/>
      <c r="GVP9" s="117"/>
      <c r="GVQ9" s="117"/>
      <c r="GVR9" s="117"/>
      <c r="GVS9" s="117"/>
      <c r="GVT9" s="117"/>
      <c r="GVU9" s="117"/>
      <c r="GVV9" s="117"/>
      <c r="GVW9" s="117"/>
      <c r="GVX9" s="117"/>
      <c r="GVY9" s="117"/>
      <c r="GVZ9" s="117"/>
      <c r="GWA9" s="117"/>
      <c r="GWB9" s="117"/>
      <c r="GWC9" s="117"/>
      <c r="GWD9" s="117"/>
      <c r="GWE9" s="117"/>
      <c r="GWF9" s="117"/>
      <c r="GWG9" s="117"/>
      <c r="GWH9" s="117"/>
      <c r="GWI9" s="117"/>
      <c r="GWJ9" s="117"/>
      <c r="GWK9" s="117"/>
      <c r="GWL9" s="117"/>
      <c r="GWM9" s="117"/>
      <c r="GWN9" s="117"/>
      <c r="GWO9" s="117"/>
      <c r="GWP9" s="117"/>
      <c r="GWQ9" s="117"/>
      <c r="GWR9" s="117"/>
      <c r="GWS9" s="117"/>
      <c r="GWT9" s="117"/>
      <c r="GWU9" s="117"/>
      <c r="GWV9" s="117"/>
      <c r="GWW9" s="117"/>
      <c r="GWX9" s="117"/>
      <c r="GWY9" s="117"/>
      <c r="GWZ9" s="117"/>
      <c r="GXA9" s="117"/>
      <c r="GXB9" s="117"/>
      <c r="GXC9" s="117"/>
      <c r="GXD9" s="117"/>
      <c r="GXE9" s="117"/>
      <c r="GXF9" s="117"/>
      <c r="GXG9" s="117"/>
      <c r="GXH9" s="117"/>
      <c r="GXI9" s="117"/>
      <c r="GXJ9" s="117"/>
      <c r="GXK9" s="117"/>
      <c r="GXL9" s="117"/>
      <c r="GXM9" s="117"/>
      <c r="GXN9" s="117"/>
      <c r="GXO9" s="117"/>
      <c r="GXP9" s="117"/>
      <c r="GXQ9" s="117"/>
      <c r="GXR9" s="117"/>
      <c r="GXS9" s="117"/>
      <c r="GXT9" s="117"/>
      <c r="GXU9" s="117"/>
      <c r="GXV9" s="117"/>
      <c r="GXW9" s="117"/>
      <c r="GXX9" s="117"/>
      <c r="GXY9" s="117"/>
      <c r="GXZ9" s="117"/>
      <c r="GYA9" s="117"/>
      <c r="GYB9" s="117"/>
      <c r="GYC9" s="117"/>
      <c r="GYD9" s="117"/>
      <c r="GYE9" s="117"/>
      <c r="GYF9" s="117"/>
      <c r="GYG9" s="117"/>
      <c r="GYH9" s="117"/>
      <c r="GYI9" s="117"/>
      <c r="GYJ9" s="117"/>
      <c r="GYK9" s="117"/>
      <c r="GYL9" s="117"/>
      <c r="GYM9" s="117"/>
      <c r="GYN9" s="117"/>
      <c r="GYO9" s="117"/>
      <c r="GYP9" s="117"/>
      <c r="GYQ9" s="117"/>
      <c r="GYR9" s="117"/>
      <c r="GYS9" s="117"/>
      <c r="GYT9" s="117"/>
      <c r="GYU9" s="117"/>
      <c r="GYV9" s="117"/>
      <c r="GYW9" s="117"/>
      <c r="GYX9" s="117"/>
      <c r="GYY9" s="117"/>
      <c r="GYZ9" s="117"/>
      <c r="GZA9" s="117"/>
      <c r="GZB9" s="117"/>
      <c r="GZC9" s="117"/>
      <c r="GZD9" s="117"/>
      <c r="GZE9" s="117"/>
      <c r="GZF9" s="117"/>
      <c r="GZG9" s="117"/>
      <c r="GZH9" s="117"/>
      <c r="GZI9" s="117"/>
      <c r="GZJ9" s="117"/>
      <c r="GZK9" s="117"/>
      <c r="GZL9" s="117"/>
      <c r="GZM9" s="117"/>
      <c r="GZN9" s="117"/>
      <c r="GZO9" s="117"/>
      <c r="GZP9" s="117"/>
      <c r="GZQ9" s="117"/>
      <c r="GZR9" s="117"/>
      <c r="GZS9" s="117"/>
      <c r="GZT9" s="117"/>
      <c r="GZU9" s="117"/>
      <c r="GZV9" s="117"/>
      <c r="GZW9" s="117"/>
      <c r="GZX9" s="117"/>
      <c r="GZY9" s="117"/>
      <c r="GZZ9" s="117"/>
      <c r="HAA9" s="117"/>
      <c r="HAB9" s="117"/>
      <c r="HAC9" s="117"/>
      <c r="HAD9" s="117"/>
      <c r="HAE9" s="117"/>
      <c r="HAF9" s="117"/>
      <c r="HAG9" s="117"/>
      <c r="HAH9" s="117"/>
      <c r="HAI9" s="117"/>
      <c r="HAJ9" s="117"/>
      <c r="HAK9" s="117"/>
      <c r="HAL9" s="117"/>
      <c r="HAM9" s="117"/>
      <c r="HAN9" s="117"/>
      <c r="HAO9" s="117"/>
      <c r="HAP9" s="117"/>
      <c r="HAQ9" s="117"/>
      <c r="HAR9" s="117"/>
      <c r="HAS9" s="117"/>
      <c r="HAT9" s="117"/>
      <c r="HAU9" s="117"/>
      <c r="HAV9" s="117"/>
      <c r="HAW9" s="117"/>
      <c r="HAX9" s="117"/>
      <c r="HAY9" s="117"/>
      <c r="HAZ9" s="117"/>
      <c r="HBA9" s="117"/>
      <c r="HBB9" s="117"/>
      <c r="HBC9" s="117"/>
      <c r="HBD9" s="117"/>
      <c r="HBE9" s="117"/>
      <c r="HBF9" s="117"/>
      <c r="HBG9" s="117"/>
      <c r="HBH9" s="117"/>
      <c r="HBI9" s="117"/>
      <c r="HBJ9" s="117"/>
      <c r="HBK9" s="117"/>
      <c r="HBL9" s="117"/>
      <c r="HBM9" s="117"/>
      <c r="HBN9" s="117"/>
      <c r="HBO9" s="117"/>
      <c r="HBP9" s="117"/>
      <c r="HBQ9" s="117"/>
      <c r="HBR9" s="117"/>
      <c r="HBS9" s="117"/>
      <c r="HBT9" s="117"/>
      <c r="HBU9" s="117"/>
      <c r="HBV9" s="117"/>
      <c r="HBW9" s="117"/>
      <c r="HBX9" s="117"/>
      <c r="HBY9" s="117"/>
      <c r="HBZ9" s="117"/>
      <c r="HCA9" s="117"/>
      <c r="HCB9" s="117"/>
      <c r="HCC9" s="117"/>
      <c r="HCD9" s="117"/>
      <c r="HCE9" s="117"/>
      <c r="HCF9" s="117"/>
      <c r="HCG9" s="117"/>
      <c r="HCH9" s="117"/>
      <c r="HCI9" s="117"/>
      <c r="HCJ9" s="117"/>
      <c r="HCK9" s="117"/>
      <c r="HCL9" s="117"/>
      <c r="HCM9" s="117"/>
      <c r="HCN9" s="117"/>
      <c r="HCO9" s="117"/>
      <c r="HCP9" s="117"/>
      <c r="HCQ9" s="117"/>
      <c r="HCR9" s="117"/>
      <c r="HCS9" s="117"/>
      <c r="HCT9" s="117"/>
      <c r="HCU9" s="117"/>
      <c r="HCV9" s="117"/>
      <c r="HCW9" s="117"/>
      <c r="HCX9" s="117"/>
      <c r="HCY9" s="117"/>
      <c r="HCZ9" s="117"/>
      <c r="HDA9" s="117"/>
      <c r="HDB9" s="117"/>
      <c r="HDC9" s="117"/>
      <c r="HDD9" s="117"/>
      <c r="HDE9" s="117"/>
      <c r="HDF9" s="117"/>
      <c r="HDG9" s="117"/>
      <c r="HDH9" s="117"/>
      <c r="HDI9" s="117"/>
      <c r="HDJ9" s="117"/>
      <c r="HDK9" s="117"/>
      <c r="HDL9" s="117"/>
      <c r="HDM9" s="117"/>
      <c r="HDN9" s="117"/>
      <c r="HDO9" s="117"/>
      <c r="HDP9" s="117"/>
      <c r="HDQ9" s="117"/>
      <c r="HDR9" s="117"/>
      <c r="HDS9" s="117"/>
      <c r="HDT9" s="117"/>
      <c r="HDU9" s="117"/>
      <c r="HDV9" s="117"/>
      <c r="HDW9" s="117"/>
      <c r="HDX9" s="117"/>
      <c r="HDY9" s="117"/>
      <c r="HDZ9" s="117"/>
      <c r="HEA9" s="117"/>
      <c r="HEB9" s="117"/>
      <c r="HEC9" s="117"/>
      <c r="HED9" s="117"/>
      <c r="HEE9" s="117"/>
      <c r="HEF9" s="117"/>
      <c r="HEG9" s="117"/>
      <c r="HEH9" s="117"/>
      <c r="HEI9" s="117"/>
      <c r="HEJ9" s="117"/>
      <c r="HEK9" s="117"/>
      <c r="HEL9" s="117"/>
      <c r="HEM9" s="117"/>
      <c r="HEN9" s="117"/>
      <c r="HEO9" s="117"/>
      <c r="HEP9" s="117"/>
      <c r="HEQ9" s="117"/>
      <c r="HER9" s="117"/>
      <c r="HES9" s="117"/>
      <c r="HET9" s="117"/>
      <c r="HEU9" s="117"/>
      <c r="HEV9" s="117"/>
      <c r="HEW9" s="117"/>
      <c r="HEX9" s="117"/>
      <c r="HEY9" s="117"/>
      <c r="HEZ9" s="117"/>
      <c r="HFA9" s="117"/>
      <c r="HFB9" s="117"/>
      <c r="HFC9" s="117"/>
      <c r="HFD9" s="117"/>
      <c r="HFE9" s="117"/>
      <c r="HFF9" s="117"/>
      <c r="HFG9" s="117"/>
      <c r="HFH9" s="117"/>
      <c r="HFI9" s="117"/>
      <c r="HFJ9" s="117"/>
      <c r="HFK9" s="117"/>
      <c r="HFL9" s="117"/>
      <c r="HFM9" s="117"/>
      <c r="HFN9" s="117"/>
      <c r="HFO9" s="117"/>
      <c r="HFP9" s="117"/>
      <c r="HFQ9" s="117"/>
      <c r="HFR9" s="117"/>
      <c r="HFS9" s="117"/>
      <c r="HFT9" s="117"/>
      <c r="HFU9" s="117"/>
      <c r="HFV9" s="117"/>
      <c r="HFW9" s="117"/>
      <c r="HFX9" s="117"/>
      <c r="HFY9" s="117"/>
      <c r="HFZ9" s="117"/>
      <c r="HGA9" s="117"/>
      <c r="HGB9" s="117"/>
      <c r="HGC9" s="117"/>
      <c r="HGD9" s="117"/>
      <c r="HGE9" s="117"/>
      <c r="HGF9" s="117"/>
      <c r="HGG9" s="117"/>
      <c r="HGH9" s="117"/>
      <c r="HGI9" s="117"/>
      <c r="HGJ9" s="117"/>
      <c r="HGK9" s="117"/>
      <c r="HGL9" s="117"/>
      <c r="HGM9" s="117"/>
      <c r="HGN9" s="117"/>
      <c r="HGO9" s="117"/>
      <c r="HGP9" s="117"/>
      <c r="HGQ9" s="117"/>
      <c r="HGR9" s="117"/>
      <c r="HGS9" s="117"/>
      <c r="HGT9" s="117"/>
      <c r="HGU9" s="117"/>
      <c r="HGV9" s="117"/>
      <c r="HGW9" s="117"/>
      <c r="HGX9" s="117"/>
      <c r="HGY9" s="117"/>
      <c r="HGZ9" s="117"/>
      <c r="HHA9" s="117"/>
      <c r="HHB9" s="117"/>
      <c r="HHC9" s="117"/>
      <c r="HHD9" s="117"/>
      <c r="HHE9" s="117"/>
      <c r="HHF9" s="117"/>
      <c r="HHG9" s="117"/>
      <c r="HHH9" s="117"/>
      <c r="HHI9" s="117"/>
      <c r="HHJ9" s="117"/>
      <c r="HHK9" s="117"/>
      <c r="HHL9" s="117"/>
      <c r="HHM9" s="117"/>
      <c r="HHN9" s="117"/>
      <c r="HHO9" s="117"/>
      <c r="HHP9" s="117"/>
      <c r="HHQ9" s="117"/>
      <c r="HHR9" s="117"/>
      <c r="HHS9" s="117"/>
      <c r="HHT9" s="117"/>
      <c r="HHU9" s="117"/>
      <c r="HHV9" s="117"/>
      <c r="HHW9" s="117"/>
      <c r="HHX9" s="117"/>
      <c r="HHY9" s="117"/>
      <c r="HHZ9" s="117"/>
      <c r="HIA9" s="117"/>
      <c r="HIB9" s="117"/>
      <c r="HIC9" s="117"/>
      <c r="HID9" s="117"/>
      <c r="HIE9" s="117"/>
      <c r="HIF9" s="117"/>
      <c r="HIG9" s="117"/>
      <c r="HIH9" s="117"/>
      <c r="HII9" s="117"/>
      <c r="HIJ9" s="117"/>
      <c r="HIK9" s="117"/>
      <c r="HIL9" s="117"/>
      <c r="HIM9" s="117"/>
      <c r="HIN9" s="117"/>
      <c r="HIO9" s="117"/>
      <c r="HIP9" s="117"/>
      <c r="HIQ9" s="117"/>
      <c r="HIR9" s="117"/>
      <c r="HIS9" s="117"/>
      <c r="HIT9" s="117"/>
      <c r="HIU9" s="117"/>
      <c r="HIV9" s="117"/>
      <c r="HIW9" s="117"/>
      <c r="HIX9" s="117"/>
      <c r="HIY9" s="117"/>
      <c r="HIZ9" s="117"/>
      <c r="HJA9" s="117"/>
      <c r="HJB9" s="117"/>
      <c r="HJC9" s="117"/>
      <c r="HJD9" s="117"/>
      <c r="HJE9" s="117"/>
      <c r="HJF9" s="117"/>
      <c r="HJG9" s="117"/>
      <c r="HJH9" s="117"/>
      <c r="HJI9" s="117"/>
      <c r="HJJ9" s="117"/>
      <c r="HJK9" s="117"/>
      <c r="HJL9" s="117"/>
      <c r="HJM9" s="117"/>
      <c r="HJN9" s="117"/>
      <c r="HJO9" s="117"/>
      <c r="HJP9" s="117"/>
      <c r="HJQ9" s="117"/>
      <c r="HJR9" s="117"/>
      <c r="HJS9" s="117"/>
      <c r="HJT9" s="117"/>
      <c r="HJU9" s="117"/>
      <c r="HJV9" s="117"/>
      <c r="HJW9" s="117"/>
      <c r="HJX9" s="117"/>
      <c r="HJY9" s="117"/>
      <c r="HJZ9" s="117"/>
      <c r="HKA9" s="117"/>
      <c r="HKB9" s="117"/>
      <c r="HKC9" s="117"/>
      <c r="HKD9" s="117"/>
      <c r="HKE9" s="117"/>
      <c r="HKF9" s="117"/>
      <c r="HKG9" s="117"/>
      <c r="HKH9" s="117"/>
      <c r="HKI9" s="117"/>
      <c r="HKJ9" s="117"/>
      <c r="HKK9" s="117"/>
      <c r="HKL9" s="117"/>
      <c r="HKM9" s="117"/>
      <c r="HKN9" s="117"/>
      <c r="HKO9" s="117"/>
      <c r="HKP9" s="117"/>
      <c r="HKQ9" s="117"/>
      <c r="HKR9" s="117"/>
      <c r="HKS9" s="117"/>
      <c r="HKT9" s="117"/>
      <c r="HKU9" s="117"/>
      <c r="HKV9" s="117"/>
      <c r="HKW9" s="117"/>
      <c r="HKX9" s="117"/>
      <c r="HKY9" s="117"/>
      <c r="HKZ9" s="117"/>
      <c r="HLA9" s="117"/>
      <c r="HLB9" s="117"/>
      <c r="HLC9" s="117"/>
      <c r="HLD9" s="117"/>
      <c r="HLE9" s="117"/>
      <c r="HLF9" s="117"/>
      <c r="HLG9" s="117"/>
      <c r="HLH9" s="117"/>
      <c r="HLI9" s="117"/>
      <c r="HLJ9" s="117"/>
      <c r="HLK9" s="117"/>
      <c r="HLL9" s="117"/>
      <c r="HLM9" s="117"/>
      <c r="HLN9" s="117"/>
      <c r="HLO9" s="117"/>
      <c r="HLP9" s="117"/>
      <c r="HLQ9" s="117"/>
      <c r="HLR9" s="117"/>
      <c r="HLS9" s="117"/>
      <c r="HLT9" s="117"/>
      <c r="HLU9" s="117"/>
      <c r="HLV9" s="117"/>
      <c r="HLW9" s="117"/>
      <c r="HLX9" s="117"/>
      <c r="HLY9" s="117"/>
      <c r="HLZ9" s="117"/>
      <c r="HMA9" s="117"/>
      <c r="HMB9" s="117"/>
      <c r="HMC9" s="117"/>
      <c r="HMD9" s="117"/>
      <c r="HME9" s="117"/>
      <c r="HMF9" s="117"/>
      <c r="HMG9" s="117"/>
      <c r="HMH9" s="117"/>
      <c r="HMI9" s="117"/>
      <c r="HMJ9" s="117"/>
      <c r="HMK9" s="117"/>
      <c r="HML9" s="117"/>
      <c r="HMM9" s="117"/>
      <c r="HMN9" s="117"/>
      <c r="HMO9" s="117"/>
      <c r="HMP9" s="117"/>
      <c r="HMQ9" s="117"/>
      <c r="HMR9" s="117"/>
      <c r="HMS9" s="117"/>
      <c r="HMT9" s="117"/>
      <c r="HMU9" s="117"/>
      <c r="HMV9" s="117"/>
      <c r="HMW9" s="117"/>
      <c r="HMX9" s="117"/>
      <c r="HMY9" s="117"/>
      <c r="HMZ9" s="117"/>
      <c r="HNA9" s="117"/>
      <c r="HNB9" s="117"/>
      <c r="HNC9" s="117"/>
      <c r="HND9" s="117"/>
      <c r="HNE9" s="117"/>
      <c r="HNF9" s="117"/>
      <c r="HNG9" s="117"/>
      <c r="HNH9" s="117"/>
      <c r="HNI9" s="117"/>
      <c r="HNJ9" s="117"/>
      <c r="HNK9" s="117"/>
      <c r="HNL9" s="117"/>
      <c r="HNM9" s="117"/>
      <c r="HNN9" s="117"/>
      <c r="HNO9" s="117"/>
      <c r="HNP9" s="117"/>
      <c r="HNQ9" s="117"/>
      <c r="HNR9" s="117"/>
      <c r="HNS9" s="117"/>
      <c r="HNT9" s="117"/>
      <c r="HNU9" s="117"/>
      <c r="HNV9" s="117"/>
      <c r="HNW9" s="117"/>
      <c r="HNX9" s="117"/>
      <c r="HNY9" s="117"/>
      <c r="HNZ9" s="117"/>
      <c r="HOA9" s="117"/>
      <c r="HOB9" s="117"/>
      <c r="HOC9" s="117"/>
      <c r="HOD9" s="117"/>
      <c r="HOE9" s="117"/>
      <c r="HOF9" s="117"/>
      <c r="HOG9" s="117"/>
      <c r="HOH9" s="117"/>
      <c r="HOI9" s="117"/>
      <c r="HOJ9" s="117"/>
      <c r="HOK9" s="117"/>
      <c r="HOL9" s="117"/>
      <c r="HOM9" s="117"/>
      <c r="HON9" s="117"/>
      <c r="HOO9" s="117"/>
      <c r="HOP9" s="117"/>
      <c r="HOQ9" s="117"/>
      <c r="HOR9" s="117"/>
      <c r="HOS9" s="117"/>
      <c r="HOT9" s="117"/>
      <c r="HOU9" s="117"/>
      <c r="HOV9" s="117"/>
      <c r="HOW9" s="117"/>
      <c r="HOX9" s="117"/>
      <c r="HOY9" s="117"/>
      <c r="HOZ9" s="117"/>
      <c r="HPA9" s="117"/>
      <c r="HPB9" s="117"/>
      <c r="HPC9" s="117"/>
      <c r="HPD9" s="117"/>
      <c r="HPE9" s="117"/>
      <c r="HPF9" s="117"/>
      <c r="HPG9" s="117"/>
      <c r="HPH9" s="117"/>
      <c r="HPI9" s="117"/>
      <c r="HPJ9" s="117"/>
      <c r="HPK9" s="117"/>
      <c r="HPL9" s="117"/>
      <c r="HPM9" s="117"/>
      <c r="HPN9" s="117"/>
      <c r="HPO9" s="117"/>
      <c r="HPP9" s="117"/>
      <c r="HPQ9" s="117"/>
      <c r="HPR9" s="117"/>
      <c r="HPS9" s="117"/>
      <c r="HPT9" s="117"/>
      <c r="HPU9" s="117"/>
      <c r="HPV9" s="117"/>
      <c r="HPW9" s="117"/>
      <c r="HPX9" s="117"/>
      <c r="HPY9" s="117"/>
      <c r="HPZ9" s="117"/>
      <c r="HQA9" s="117"/>
      <c r="HQB9" s="117"/>
      <c r="HQC9" s="117"/>
      <c r="HQD9" s="117"/>
      <c r="HQE9" s="117"/>
      <c r="HQF9" s="117"/>
      <c r="HQG9" s="117"/>
      <c r="HQH9" s="117"/>
      <c r="HQI9" s="117"/>
      <c r="HQJ9" s="117"/>
      <c r="HQK9" s="117"/>
      <c r="HQL9" s="117"/>
      <c r="HQM9" s="117"/>
      <c r="HQN9" s="117"/>
      <c r="HQO9" s="117"/>
      <c r="HQP9" s="117"/>
      <c r="HQQ9" s="117"/>
      <c r="HQR9" s="117"/>
      <c r="HQS9" s="117"/>
      <c r="HQT9" s="117"/>
      <c r="HQU9" s="117"/>
      <c r="HQV9" s="117"/>
      <c r="HQW9" s="117"/>
      <c r="HQX9" s="117"/>
      <c r="HQY9" s="117"/>
      <c r="HQZ9" s="117"/>
      <c r="HRA9" s="117"/>
      <c r="HRB9" s="117"/>
      <c r="HRC9" s="117"/>
      <c r="HRD9" s="117"/>
      <c r="HRE9" s="117"/>
      <c r="HRF9" s="117"/>
      <c r="HRG9" s="117"/>
      <c r="HRH9" s="117"/>
      <c r="HRI9" s="117"/>
      <c r="HRJ9" s="117"/>
      <c r="HRK9" s="117"/>
      <c r="HRL9" s="117"/>
      <c r="HRM9" s="117"/>
      <c r="HRN9" s="117"/>
      <c r="HRO9" s="117"/>
      <c r="HRP9" s="117"/>
      <c r="HRQ9" s="117"/>
      <c r="HRR9" s="117"/>
      <c r="HRS9" s="117"/>
      <c r="HRT9" s="117"/>
      <c r="HRU9" s="117"/>
      <c r="HRV9" s="117"/>
      <c r="HRW9" s="117"/>
      <c r="HRX9" s="117"/>
      <c r="HRY9" s="117"/>
      <c r="HRZ9" s="117"/>
      <c r="HSA9" s="117"/>
      <c r="HSB9" s="117"/>
      <c r="HSC9" s="117"/>
      <c r="HSD9" s="117"/>
      <c r="HSE9" s="117"/>
      <c r="HSF9" s="117"/>
      <c r="HSG9" s="117"/>
      <c r="HSH9" s="117"/>
      <c r="HSI9" s="117"/>
      <c r="HSJ9" s="117"/>
      <c r="HSK9" s="117"/>
      <c r="HSL9" s="117"/>
      <c r="HSM9" s="117"/>
      <c r="HSN9" s="117"/>
      <c r="HSO9" s="117"/>
      <c r="HSP9" s="117"/>
      <c r="HSQ9" s="117"/>
      <c r="HSR9" s="117"/>
      <c r="HSS9" s="117"/>
      <c r="HST9" s="117"/>
      <c r="HSU9" s="117"/>
      <c r="HSV9" s="117"/>
      <c r="HSW9" s="117"/>
      <c r="HSX9" s="117"/>
      <c r="HSY9" s="117"/>
      <c r="HSZ9" s="117"/>
      <c r="HTA9" s="117"/>
      <c r="HTB9" s="117"/>
      <c r="HTC9" s="117"/>
      <c r="HTD9" s="117"/>
      <c r="HTE9" s="117"/>
      <c r="HTF9" s="117"/>
      <c r="HTG9" s="117"/>
      <c r="HTH9" s="117"/>
      <c r="HTI9" s="117"/>
      <c r="HTJ9" s="117"/>
      <c r="HTK9" s="117"/>
      <c r="HTL9" s="117"/>
      <c r="HTM9" s="117"/>
      <c r="HTN9" s="117"/>
      <c r="HTO9" s="117"/>
      <c r="HTP9" s="117"/>
      <c r="HTQ9" s="117"/>
      <c r="HTR9" s="117"/>
      <c r="HTS9" s="117"/>
      <c r="HTT9" s="117"/>
      <c r="HTU9" s="117"/>
      <c r="HTV9" s="117"/>
      <c r="HTW9" s="117"/>
      <c r="HTX9" s="117"/>
      <c r="HTY9" s="117"/>
      <c r="HTZ9" s="117"/>
      <c r="HUA9" s="117"/>
      <c r="HUB9" s="117"/>
      <c r="HUC9" s="117"/>
      <c r="HUD9" s="117"/>
      <c r="HUE9" s="117"/>
      <c r="HUF9" s="117"/>
      <c r="HUG9" s="117"/>
      <c r="HUH9" s="117"/>
      <c r="HUI9" s="117"/>
      <c r="HUJ9" s="117"/>
      <c r="HUK9" s="117"/>
      <c r="HUL9" s="117"/>
      <c r="HUM9" s="117"/>
      <c r="HUN9" s="117"/>
      <c r="HUO9" s="117"/>
      <c r="HUP9" s="117"/>
      <c r="HUQ9" s="117"/>
      <c r="HUR9" s="117"/>
      <c r="HUS9" s="117"/>
      <c r="HUT9" s="117"/>
      <c r="HUU9" s="117"/>
      <c r="HUV9" s="117"/>
      <c r="HUW9" s="117"/>
      <c r="HUX9" s="117"/>
      <c r="HUY9" s="117"/>
      <c r="HUZ9" s="117"/>
      <c r="HVA9" s="117"/>
      <c r="HVB9" s="117"/>
      <c r="HVC9" s="117"/>
      <c r="HVD9" s="117"/>
      <c r="HVE9" s="117"/>
      <c r="HVF9" s="117"/>
      <c r="HVG9" s="117"/>
      <c r="HVH9" s="117"/>
      <c r="HVI9" s="117"/>
      <c r="HVJ9" s="117"/>
      <c r="HVK9" s="117"/>
      <c r="HVL9" s="117"/>
      <c r="HVM9" s="117"/>
      <c r="HVN9" s="117"/>
      <c r="HVO9" s="117"/>
      <c r="HVP9" s="117"/>
      <c r="HVQ9" s="117"/>
      <c r="HVR9" s="117"/>
      <c r="HVS9" s="117"/>
      <c r="HVT9" s="117"/>
      <c r="HVU9" s="117"/>
      <c r="HVV9" s="117"/>
      <c r="HVW9" s="117"/>
      <c r="HVX9" s="117"/>
      <c r="HVY9" s="117"/>
      <c r="HVZ9" s="117"/>
      <c r="HWA9" s="117"/>
      <c r="HWB9" s="117"/>
      <c r="HWC9" s="117"/>
      <c r="HWD9" s="117"/>
      <c r="HWE9" s="117"/>
      <c r="HWF9" s="117"/>
      <c r="HWG9" s="117"/>
      <c r="HWH9" s="117"/>
      <c r="HWI9" s="117"/>
      <c r="HWJ9" s="117"/>
      <c r="HWK9" s="117"/>
      <c r="HWL9" s="117"/>
      <c r="HWM9" s="117"/>
      <c r="HWN9" s="117"/>
      <c r="HWO9" s="117"/>
      <c r="HWP9" s="117"/>
      <c r="HWQ9" s="117"/>
      <c r="HWR9" s="117"/>
      <c r="HWS9" s="117"/>
      <c r="HWT9" s="117"/>
      <c r="HWU9" s="117"/>
      <c r="HWV9" s="117"/>
      <c r="HWW9" s="117"/>
      <c r="HWX9" s="117"/>
      <c r="HWY9" s="117"/>
      <c r="HWZ9" s="117"/>
      <c r="HXA9" s="117"/>
      <c r="HXB9" s="117"/>
      <c r="HXC9" s="117"/>
      <c r="HXD9" s="117"/>
      <c r="HXE9" s="117"/>
      <c r="HXF9" s="117"/>
      <c r="HXG9" s="117"/>
      <c r="HXH9" s="117"/>
      <c r="HXI9" s="117"/>
      <c r="HXJ9" s="117"/>
      <c r="HXK9" s="117"/>
      <c r="HXL9" s="117"/>
      <c r="HXM9" s="117"/>
      <c r="HXN9" s="117"/>
      <c r="HXO9" s="117"/>
      <c r="HXP9" s="117"/>
      <c r="HXQ9" s="117"/>
      <c r="HXR9" s="117"/>
      <c r="HXS9" s="117"/>
      <c r="HXT9" s="117"/>
      <c r="HXU9" s="117"/>
      <c r="HXV9" s="117"/>
      <c r="HXW9" s="117"/>
      <c r="HXX9" s="117"/>
      <c r="HXY9" s="117"/>
      <c r="HXZ9" s="117"/>
      <c r="HYA9" s="117"/>
      <c r="HYB9" s="117"/>
      <c r="HYC9" s="117"/>
      <c r="HYD9" s="117"/>
      <c r="HYE9" s="117"/>
      <c r="HYF9" s="117"/>
      <c r="HYG9" s="117"/>
      <c r="HYH9" s="117"/>
      <c r="HYI9" s="117"/>
      <c r="HYJ9" s="117"/>
      <c r="HYK9" s="117"/>
      <c r="HYL9" s="117"/>
      <c r="HYM9" s="117"/>
      <c r="HYN9" s="117"/>
      <c r="HYO9" s="117"/>
      <c r="HYP9" s="117"/>
      <c r="HYQ9" s="117"/>
      <c r="HYR9" s="117"/>
      <c r="HYS9" s="117"/>
      <c r="HYT9" s="117"/>
      <c r="HYU9" s="117"/>
      <c r="HYV9" s="117"/>
      <c r="HYW9" s="117"/>
      <c r="HYX9" s="117"/>
      <c r="HYY9" s="117"/>
      <c r="HYZ9" s="117"/>
      <c r="HZA9" s="117"/>
      <c r="HZB9" s="117"/>
      <c r="HZC9" s="117"/>
      <c r="HZD9" s="117"/>
      <c r="HZE9" s="117"/>
      <c r="HZF9" s="117"/>
      <c r="HZG9" s="117"/>
      <c r="HZH9" s="117"/>
      <c r="HZI9" s="117"/>
      <c r="HZJ9" s="117"/>
      <c r="HZK9" s="117"/>
      <c r="HZL9" s="117"/>
      <c r="HZM9" s="117"/>
      <c r="HZN9" s="117"/>
      <c r="HZO9" s="117"/>
      <c r="HZP9" s="117"/>
      <c r="HZQ9" s="117"/>
      <c r="HZR9" s="117"/>
      <c r="HZS9" s="117"/>
      <c r="HZT9" s="117"/>
      <c r="HZU9" s="117"/>
      <c r="HZV9" s="117"/>
      <c r="HZW9" s="117"/>
      <c r="HZX9" s="117"/>
      <c r="HZY9" s="117"/>
      <c r="HZZ9" s="117"/>
      <c r="IAA9" s="117"/>
      <c r="IAB9" s="117"/>
      <c r="IAC9" s="117"/>
      <c r="IAD9" s="117"/>
      <c r="IAE9" s="117"/>
      <c r="IAF9" s="117"/>
      <c r="IAG9" s="117"/>
      <c r="IAH9" s="117"/>
      <c r="IAI9" s="117"/>
      <c r="IAJ9" s="117"/>
      <c r="IAK9" s="117"/>
      <c r="IAL9" s="117"/>
      <c r="IAM9" s="117"/>
      <c r="IAN9" s="117"/>
      <c r="IAO9" s="117"/>
      <c r="IAP9" s="117"/>
      <c r="IAQ9" s="117"/>
      <c r="IAR9" s="117"/>
      <c r="IAS9" s="117"/>
      <c r="IAT9" s="117"/>
      <c r="IAU9" s="117"/>
      <c r="IAV9" s="117"/>
      <c r="IAW9" s="117"/>
      <c r="IAX9" s="117"/>
      <c r="IAY9" s="117"/>
      <c r="IAZ9" s="117"/>
      <c r="IBA9" s="117"/>
      <c r="IBB9" s="117"/>
      <c r="IBC9" s="117"/>
      <c r="IBD9" s="117"/>
      <c r="IBE9" s="117"/>
      <c r="IBF9" s="117"/>
      <c r="IBG9" s="117"/>
      <c r="IBH9" s="117"/>
      <c r="IBI9" s="117"/>
      <c r="IBJ9" s="117"/>
      <c r="IBK9" s="117"/>
      <c r="IBL9" s="117"/>
      <c r="IBM9" s="117"/>
      <c r="IBN9" s="117"/>
      <c r="IBO9" s="117"/>
      <c r="IBP9" s="117"/>
      <c r="IBQ9" s="117"/>
      <c r="IBR9" s="117"/>
      <c r="IBS9" s="117"/>
      <c r="IBT9" s="117"/>
      <c r="IBU9" s="117"/>
      <c r="IBV9" s="117"/>
      <c r="IBW9" s="117"/>
      <c r="IBX9" s="117"/>
      <c r="IBY9" s="117"/>
      <c r="IBZ9" s="117"/>
      <c r="ICA9" s="117"/>
      <c r="ICB9" s="117"/>
      <c r="ICC9" s="117"/>
      <c r="ICD9" s="117"/>
      <c r="ICE9" s="117"/>
      <c r="ICF9" s="117"/>
      <c r="ICG9" s="117"/>
      <c r="ICH9" s="117"/>
      <c r="ICI9" s="117"/>
      <c r="ICJ9" s="117"/>
      <c r="ICK9" s="117"/>
      <c r="ICL9" s="117"/>
      <c r="ICM9" s="117"/>
      <c r="ICN9" s="117"/>
      <c r="ICO9" s="117"/>
      <c r="ICP9" s="117"/>
      <c r="ICQ9" s="117"/>
      <c r="ICR9" s="117"/>
      <c r="ICS9" s="117"/>
      <c r="ICT9" s="117"/>
      <c r="ICU9" s="117"/>
      <c r="ICV9" s="117"/>
      <c r="ICW9" s="117"/>
      <c r="ICX9" s="117"/>
      <c r="ICY9" s="117"/>
      <c r="ICZ9" s="117"/>
      <c r="IDA9" s="117"/>
      <c r="IDB9" s="117"/>
      <c r="IDC9" s="117"/>
      <c r="IDD9" s="117"/>
      <c r="IDE9" s="117"/>
      <c r="IDF9" s="117"/>
      <c r="IDG9" s="117"/>
      <c r="IDH9" s="117"/>
      <c r="IDI9" s="117"/>
      <c r="IDJ9" s="117"/>
      <c r="IDK9" s="117"/>
      <c r="IDL9" s="117"/>
      <c r="IDM9" s="117"/>
      <c r="IDN9" s="117"/>
      <c r="IDO9" s="117"/>
      <c r="IDP9" s="117"/>
      <c r="IDQ9" s="117"/>
      <c r="IDR9" s="117"/>
      <c r="IDS9" s="117"/>
      <c r="IDT9" s="117"/>
      <c r="IDU9" s="117"/>
      <c r="IDV9" s="117"/>
      <c r="IDW9" s="117"/>
      <c r="IDX9" s="117"/>
      <c r="IDY9" s="117"/>
      <c r="IDZ9" s="117"/>
      <c r="IEA9" s="117"/>
      <c r="IEB9" s="117"/>
      <c r="IEC9" s="117"/>
      <c r="IED9" s="117"/>
      <c r="IEE9" s="117"/>
      <c r="IEF9" s="117"/>
      <c r="IEG9" s="117"/>
      <c r="IEH9" s="117"/>
      <c r="IEI9" s="117"/>
      <c r="IEJ9" s="117"/>
      <c r="IEK9" s="117"/>
      <c r="IEL9" s="117"/>
      <c r="IEM9" s="117"/>
      <c r="IEN9" s="117"/>
      <c r="IEO9" s="117"/>
      <c r="IEP9" s="117"/>
      <c r="IEQ9" s="117"/>
      <c r="IER9" s="117"/>
      <c r="IES9" s="117"/>
      <c r="IET9" s="117"/>
      <c r="IEU9" s="117"/>
      <c r="IEV9" s="117"/>
      <c r="IEW9" s="117"/>
      <c r="IEX9" s="117"/>
      <c r="IEY9" s="117"/>
      <c r="IEZ9" s="117"/>
      <c r="IFA9" s="117"/>
      <c r="IFB9" s="117"/>
      <c r="IFC9" s="117"/>
      <c r="IFD9" s="117"/>
      <c r="IFE9" s="117"/>
      <c r="IFF9" s="117"/>
      <c r="IFG9" s="117"/>
      <c r="IFH9" s="117"/>
      <c r="IFI9" s="117"/>
      <c r="IFJ9" s="117"/>
      <c r="IFK9" s="117"/>
      <c r="IFL9" s="117"/>
      <c r="IFM9" s="117"/>
      <c r="IFN9" s="117"/>
      <c r="IFO9" s="117"/>
      <c r="IFP9" s="117"/>
      <c r="IFQ9" s="117"/>
      <c r="IFR9" s="117"/>
      <c r="IFS9" s="117"/>
      <c r="IFT9" s="117"/>
      <c r="IFU9" s="117"/>
      <c r="IFV9" s="117"/>
      <c r="IFW9" s="117"/>
      <c r="IFX9" s="117"/>
      <c r="IFY9" s="117"/>
      <c r="IFZ9" s="117"/>
      <c r="IGA9" s="117"/>
      <c r="IGB9" s="117"/>
      <c r="IGC9" s="117"/>
      <c r="IGD9" s="117"/>
      <c r="IGE9" s="117"/>
      <c r="IGF9" s="117"/>
      <c r="IGG9" s="117"/>
      <c r="IGH9" s="117"/>
      <c r="IGI9" s="117"/>
      <c r="IGJ9" s="117"/>
      <c r="IGK9" s="117"/>
      <c r="IGL9" s="117"/>
      <c r="IGM9" s="117"/>
      <c r="IGN9" s="117"/>
      <c r="IGO9" s="117"/>
      <c r="IGP9" s="117"/>
      <c r="IGQ9" s="117"/>
      <c r="IGR9" s="117"/>
      <c r="IGS9" s="117"/>
      <c r="IGT9" s="117"/>
      <c r="IGU9" s="117"/>
      <c r="IGV9" s="117"/>
      <c r="IGW9" s="117"/>
      <c r="IGX9" s="117"/>
      <c r="IGY9" s="117"/>
      <c r="IGZ9" s="117"/>
      <c r="IHA9" s="117"/>
      <c r="IHB9" s="117"/>
      <c r="IHC9" s="117"/>
      <c r="IHD9" s="117"/>
      <c r="IHE9" s="117"/>
      <c r="IHF9" s="117"/>
      <c r="IHG9" s="117"/>
      <c r="IHH9" s="117"/>
      <c r="IHI9" s="117"/>
      <c r="IHJ9" s="117"/>
      <c r="IHK9" s="117"/>
      <c r="IHL9" s="117"/>
      <c r="IHM9" s="117"/>
      <c r="IHN9" s="117"/>
      <c r="IHO9" s="117"/>
      <c r="IHP9" s="117"/>
      <c r="IHQ9" s="117"/>
      <c r="IHR9" s="117"/>
      <c r="IHS9" s="117"/>
      <c r="IHT9" s="117"/>
      <c r="IHU9" s="117"/>
      <c r="IHV9" s="117"/>
      <c r="IHW9" s="117"/>
      <c r="IHX9" s="117"/>
      <c r="IHY9" s="117"/>
      <c r="IHZ9" s="117"/>
      <c r="IIA9" s="117"/>
      <c r="IIB9" s="117"/>
      <c r="IIC9" s="117"/>
      <c r="IID9" s="117"/>
      <c r="IIE9" s="117"/>
      <c r="IIF9" s="117"/>
      <c r="IIG9" s="117"/>
      <c r="IIH9" s="117"/>
      <c r="III9" s="117"/>
      <c r="IIJ9" s="117"/>
      <c r="IIK9" s="117"/>
      <c r="IIL9" s="117"/>
      <c r="IIM9" s="117"/>
      <c r="IIN9" s="117"/>
      <c r="IIO9" s="117"/>
      <c r="IIP9" s="117"/>
      <c r="IIQ9" s="117"/>
      <c r="IIR9" s="117"/>
      <c r="IIS9" s="117"/>
      <c r="IIT9" s="117"/>
      <c r="IIU9" s="117"/>
      <c r="IIV9" s="117"/>
      <c r="IIW9" s="117"/>
      <c r="IIX9" s="117"/>
      <c r="IIY9" s="117"/>
      <c r="IIZ9" s="117"/>
      <c r="IJA9" s="117"/>
      <c r="IJB9" s="117"/>
      <c r="IJC9" s="117"/>
      <c r="IJD9" s="117"/>
      <c r="IJE9" s="117"/>
      <c r="IJF9" s="117"/>
      <c r="IJG9" s="117"/>
      <c r="IJH9" s="117"/>
      <c r="IJI9" s="117"/>
      <c r="IJJ9" s="117"/>
      <c r="IJK9" s="117"/>
      <c r="IJL9" s="117"/>
      <c r="IJM9" s="117"/>
      <c r="IJN9" s="117"/>
      <c r="IJO9" s="117"/>
      <c r="IJP9" s="117"/>
      <c r="IJQ9" s="117"/>
      <c r="IJR9" s="117"/>
      <c r="IJS9" s="117"/>
      <c r="IJT9" s="117"/>
      <c r="IJU9" s="117"/>
      <c r="IJV9" s="117"/>
      <c r="IJW9" s="117"/>
      <c r="IJX9" s="117"/>
      <c r="IJY9" s="117"/>
      <c r="IJZ9" s="117"/>
      <c r="IKA9" s="117"/>
      <c r="IKB9" s="117"/>
      <c r="IKC9" s="117"/>
      <c r="IKD9" s="117"/>
      <c r="IKE9" s="117"/>
      <c r="IKF9" s="117"/>
      <c r="IKG9" s="117"/>
      <c r="IKH9" s="117"/>
      <c r="IKI9" s="117"/>
      <c r="IKJ9" s="117"/>
      <c r="IKK9" s="117"/>
      <c r="IKL9" s="117"/>
      <c r="IKM9" s="117"/>
      <c r="IKN9" s="117"/>
      <c r="IKO9" s="117"/>
      <c r="IKP9" s="117"/>
      <c r="IKQ9" s="117"/>
      <c r="IKR9" s="117"/>
      <c r="IKS9" s="117"/>
      <c r="IKT9" s="117"/>
      <c r="IKU9" s="117"/>
      <c r="IKV9" s="117"/>
      <c r="IKW9" s="117"/>
      <c r="IKX9" s="117"/>
      <c r="IKY9" s="117"/>
      <c r="IKZ9" s="117"/>
      <c r="ILA9" s="117"/>
      <c r="ILB9" s="117"/>
      <c r="ILC9" s="117"/>
      <c r="ILD9" s="117"/>
      <c r="ILE9" s="117"/>
      <c r="ILF9" s="117"/>
      <c r="ILG9" s="117"/>
      <c r="ILH9" s="117"/>
      <c r="ILI9" s="117"/>
      <c r="ILJ9" s="117"/>
      <c r="ILK9" s="117"/>
      <c r="ILL9" s="117"/>
      <c r="ILM9" s="117"/>
      <c r="ILN9" s="117"/>
      <c r="ILO9" s="117"/>
      <c r="ILP9" s="117"/>
      <c r="ILQ9" s="117"/>
      <c r="ILR9" s="117"/>
      <c r="ILS9" s="117"/>
      <c r="ILT9" s="117"/>
      <c r="ILU9" s="117"/>
      <c r="ILV9" s="117"/>
      <c r="ILW9" s="117"/>
      <c r="ILX9" s="117"/>
      <c r="ILY9" s="117"/>
      <c r="ILZ9" s="117"/>
      <c r="IMA9" s="117"/>
      <c r="IMB9" s="117"/>
      <c r="IMC9" s="117"/>
      <c r="IMD9" s="117"/>
      <c r="IME9" s="117"/>
      <c r="IMF9" s="117"/>
      <c r="IMG9" s="117"/>
      <c r="IMH9" s="117"/>
      <c r="IMI9" s="117"/>
      <c r="IMJ9" s="117"/>
      <c r="IMK9" s="117"/>
      <c r="IML9" s="117"/>
      <c r="IMM9" s="117"/>
      <c r="IMN9" s="117"/>
      <c r="IMO9" s="117"/>
      <c r="IMP9" s="117"/>
      <c r="IMQ9" s="117"/>
      <c r="IMR9" s="117"/>
      <c r="IMS9" s="117"/>
      <c r="IMT9" s="117"/>
      <c r="IMU9" s="117"/>
      <c r="IMV9" s="117"/>
      <c r="IMW9" s="117"/>
      <c r="IMX9" s="117"/>
      <c r="IMY9" s="117"/>
      <c r="IMZ9" s="117"/>
      <c r="INA9" s="117"/>
      <c r="INB9" s="117"/>
      <c r="INC9" s="117"/>
      <c r="IND9" s="117"/>
      <c r="INE9" s="117"/>
      <c r="INF9" s="117"/>
      <c r="ING9" s="117"/>
      <c r="INH9" s="117"/>
      <c r="INI9" s="117"/>
      <c r="INJ9" s="117"/>
      <c r="INK9" s="117"/>
      <c r="INL9" s="117"/>
      <c r="INM9" s="117"/>
      <c r="INN9" s="117"/>
      <c r="INO9" s="117"/>
      <c r="INP9" s="117"/>
      <c r="INQ9" s="117"/>
      <c r="INR9" s="117"/>
      <c r="INS9" s="117"/>
      <c r="INT9" s="117"/>
      <c r="INU9" s="117"/>
      <c r="INV9" s="117"/>
      <c r="INW9" s="117"/>
      <c r="INX9" s="117"/>
      <c r="INY9" s="117"/>
      <c r="INZ9" s="117"/>
      <c r="IOA9" s="117"/>
      <c r="IOB9" s="117"/>
      <c r="IOC9" s="117"/>
      <c r="IOD9" s="117"/>
      <c r="IOE9" s="117"/>
      <c r="IOF9" s="117"/>
      <c r="IOG9" s="117"/>
      <c r="IOH9" s="117"/>
      <c r="IOI9" s="117"/>
      <c r="IOJ9" s="117"/>
      <c r="IOK9" s="117"/>
      <c r="IOL9" s="117"/>
      <c r="IOM9" s="117"/>
      <c r="ION9" s="117"/>
      <c r="IOO9" s="117"/>
      <c r="IOP9" s="117"/>
      <c r="IOQ9" s="117"/>
      <c r="IOR9" s="117"/>
      <c r="IOS9" s="117"/>
      <c r="IOT9" s="117"/>
      <c r="IOU9" s="117"/>
      <c r="IOV9" s="117"/>
      <c r="IOW9" s="117"/>
      <c r="IOX9" s="117"/>
      <c r="IOY9" s="117"/>
      <c r="IOZ9" s="117"/>
      <c r="IPA9" s="117"/>
      <c r="IPB9" s="117"/>
      <c r="IPC9" s="117"/>
      <c r="IPD9" s="117"/>
      <c r="IPE9" s="117"/>
      <c r="IPF9" s="117"/>
      <c r="IPG9" s="117"/>
      <c r="IPH9" s="117"/>
      <c r="IPI9" s="117"/>
      <c r="IPJ9" s="117"/>
      <c r="IPK9" s="117"/>
      <c r="IPL9" s="117"/>
      <c r="IPM9" s="117"/>
      <c r="IPN9" s="117"/>
      <c r="IPO9" s="117"/>
      <c r="IPP9" s="117"/>
      <c r="IPQ9" s="117"/>
      <c r="IPR9" s="117"/>
      <c r="IPS9" s="117"/>
      <c r="IPT9" s="117"/>
      <c r="IPU9" s="117"/>
      <c r="IPV9" s="117"/>
      <c r="IPW9" s="117"/>
      <c r="IPX9" s="117"/>
      <c r="IPY9" s="117"/>
      <c r="IPZ9" s="117"/>
      <c r="IQA9" s="117"/>
      <c r="IQB9" s="117"/>
      <c r="IQC9" s="117"/>
      <c r="IQD9" s="117"/>
      <c r="IQE9" s="117"/>
      <c r="IQF9" s="117"/>
      <c r="IQG9" s="117"/>
      <c r="IQH9" s="117"/>
      <c r="IQI9" s="117"/>
      <c r="IQJ9" s="117"/>
      <c r="IQK9" s="117"/>
      <c r="IQL9" s="117"/>
      <c r="IQM9" s="117"/>
      <c r="IQN9" s="117"/>
      <c r="IQO9" s="117"/>
      <c r="IQP9" s="117"/>
      <c r="IQQ9" s="117"/>
      <c r="IQR9" s="117"/>
      <c r="IQS9" s="117"/>
      <c r="IQT9" s="117"/>
      <c r="IQU9" s="117"/>
      <c r="IQV9" s="117"/>
      <c r="IQW9" s="117"/>
      <c r="IQX9" s="117"/>
      <c r="IQY9" s="117"/>
      <c r="IQZ9" s="117"/>
      <c r="IRA9" s="117"/>
      <c r="IRB9" s="117"/>
      <c r="IRC9" s="117"/>
      <c r="IRD9" s="117"/>
      <c r="IRE9" s="117"/>
      <c r="IRF9" s="117"/>
      <c r="IRG9" s="117"/>
      <c r="IRH9" s="117"/>
      <c r="IRI9" s="117"/>
      <c r="IRJ9" s="117"/>
      <c r="IRK9" s="117"/>
      <c r="IRL9" s="117"/>
      <c r="IRM9" s="117"/>
      <c r="IRN9" s="117"/>
      <c r="IRO9" s="117"/>
      <c r="IRP9" s="117"/>
      <c r="IRQ9" s="117"/>
      <c r="IRR9" s="117"/>
      <c r="IRS9" s="117"/>
      <c r="IRT9" s="117"/>
      <c r="IRU9" s="117"/>
      <c r="IRV9" s="117"/>
      <c r="IRW9" s="117"/>
      <c r="IRX9" s="117"/>
      <c r="IRY9" s="117"/>
      <c r="IRZ9" s="117"/>
      <c r="ISA9" s="117"/>
      <c r="ISB9" s="117"/>
      <c r="ISC9" s="117"/>
      <c r="ISD9" s="117"/>
      <c r="ISE9" s="117"/>
      <c r="ISF9" s="117"/>
      <c r="ISG9" s="117"/>
      <c r="ISH9" s="117"/>
      <c r="ISI9" s="117"/>
      <c r="ISJ9" s="117"/>
      <c r="ISK9" s="117"/>
      <c r="ISL9" s="117"/>
      <c r="ISM9" s="117"/>
      <c r="ISN9" s="117"/>
      <c r="ISO9" s="117"/>
      <c r="ISP9" s="117"/>
      <c r="ISQ9" s="117"/>
      <c r="ISR9" s="117"/>
      <c r="ISS9" s="117"/>
      <c r="IST9" s="117"/>
      <c r="ISU9" s="117"/>
      <c r="ISV9" s="117"/>
      <c r="ISW9" s="117"/>
      <c r="ISX9" s="117"/>
      <c r="ISY9" s="117"/>
      <c r="ISZ9" s="117"/>
      <c r="ITA9" s="117"/>
      <c r="ITB9" s="117"/>
      <c r="ITC9" s="117"/>
      <c r="ITD9" s="117"/>
      <c r="ITE9" s="117"/>
      <c r="ITF9" s="117"/>
      <c r="ITG9" s="117"/>
      <c r="ITH9" s="117"/>
      <c r="ITI9" s="117"/>
      <c r="ITJ9" s="117"/>
      <c r="ITK9" s="117"/>
      <c r="ITL9" s="117"/>
      <c r="ITM9" s="117"/>
      <c r="ITN9" s="117"/>
      <c r="ITO9" s="117"/>
      <c r="ITP9" s="117"/>
      <c r="ITQ9" s="117"/>
      <c r="ITR9" s="117"/>
      <c r="ITS9" s="117"/>
      <c r="ITT9" s="117"/>
      <c r="ITU9" s="117"/>
      <c r="ITV9" s="117"/>
      <c r="ITW9" s="117"/>
      <c r="ITX9" s="117"/>
      <c r="ITY9" s="117"/>
      <c r="ITZ9" s="117"/>
      <c r="IUA9" s="117"/>
      <c r="IUB9" s="117"/>
      <c r="IUC9" s="117"/>
      <c r="IUD9" s="117"/>
      <c r="IUE9" s="117"/>
      <c r="IUF9" s="117"/>
      <c r="IUG9" s="117"/>
      <c r="IUH9" s="117"/>
      <c r="IUI9" s="117"/>
      <c r="IUJ9" s="117"/>
      <c r="IUK9" s="117"/>
      <c r="IUL9" s="117"/>
      <c r="IUM9" s="117"/>
      <c r="IUN9" s="117"/>
      <c r="IUO9" s="117"/>
      <c r="IUP9" s="117"/>
      <c r="IUQ9" s="117"/>
      <c r="IUR9" s="117"/>
      <c r="IUS9" s="117"/>
      <c r="IUT9" s="117"/>
      <c r="IUU9" s="117"/>
      <c r="IUV9" s="117"/>
      <c r="IUW9" s="117"/>
      <c r="IUX9" s="117"/>
      <c r="IUY9" s="117"/>
      <c r="IUZ9" s="117"/>
      <c r="IVA9" s="117"/>
      <c r="IVB9" s="117"/>
      <c r="IVC9" s="117"/>
      <c r="IVD9" s="117"/>
      <c r="IVE9" s="117"/>
      <c r="IVF9" s="117"/>
      <c r="IVG9" s="117"/>
      <c r="IVH9" s="117"/>
      <c r="IVI9" s="117"/>
      <c r="IVJ9" s="117"/>
      <c r="IVK9" s="117"/>
      <c r="IVL9" s="117"/>
      <c r="IVM9" s="117"/>
      <c r="IVN9" s="117"/>
      <c r="IVO9" s="117"/>
      <c r="IVP9" s="117"/>
      <c r="IVQ9" s="117"/>
      <c r="IVR9" s="117"/>
      <c r="IVS9" s="117"/>
      <c r="IVT9" s="117"/>
      <c r="IVU9" s="117"/>
      <c r="IVV9" s="117"/>
      <c r="IVW9" s="117"/>
      <c r="IVX9" s="117"/>
      <c r="IVY9" s="117"/>
      <c r="IVZ9" s="117"/>
      <c r="IWA9" s="117"/>
      <c r="IWB9" s="117"/>
      <c r="IWC9" s="117"/>
      <c r="IWD9" s="117"/>
      <c r="IWE9" s="117"/>
      <c r="IWF9" s="117"/>
      <c r="IWG9" s="117"/>
      <c r="IWH9" s="117"/>
      <c r="IWI9" s="117"/>
      <c r="IWJ9" s="117"/>
      <c r="IWK9" s="117"/>
      <c r="IWL9" s="117"/>
      <c r="IWM9" s="117"/>
      <c r="IWN9" s="117"/>
      <c r="IWO9" s="117"/>
      <c r="IWP9" s="117"/>
      <c r="IWQ9" s="117"/>
      <c r="IWR9" s="117"/>
      <c r="IWS9" s="117"/>
      <c r="IWT9" s="117"/>
      <c r="IWU9" s="117"/>
      <c r="IWV9" s="117"/>
      <c r="IWW9" s="117"/>
      <c r="IWX9" s="117"/>
      <c r="IWY9" s="117"/>
      <c r="IWZ9" s="117"/>
      <c r="IXA9" s="117"/>
      <c r="IXB9" s="117"/>
      <c r="IXC9" s="117"/>
      <c r="IXD9" s="117"/>
      <c r="IXE9" s="117"/>
      <c r="IXF9" s="117"/>
      <c r="IXG9" s="117"/>
      <c r="IXH9" s="117"/>
      <c r="IXI9" s="117"/>
      <c r="IXJ9" s="117"/>
      <c r="IXK9" s="117"/>
      <c r="IXL9" s="117"/>
      <c r="IXM9" s="117"/>
      <c r="IXN9" s="117"/>
      <c r="IXO9" s="117"/>
      <c r="IXP9" s="117"/>
      <c r="IXQ9" s="117"/>
      <c r="IXR9" s="117"/>
      <c r="IXS9" s="117"/>
      <c r="IXT9" s="117"/>
      <c r="IXU9" s="117"/>
      <c r="IXV9" s="117"/>
      <c r="IXW9" s="117"/>
      <c r="IXX9" s="117"/>
      <c r="IXY9" s="117"/>
      <c r="IXZ9" s="117"/>
      <c r="IYA9" s="117"/>
      <c r="IYB9" s="117"/>
      <c r="IYC9" s="117"/>
      <c r="IYD9" s="117"/>
      <c r="IYE9" s="117"/>
      <c r="IYF9" s="117"/>
      <c r="IYG9" s="117"/>
      <c r="IYH9" s="117"/>
      <c r="IYI9" s="117"/>
      <c r="IYJ9" s="117"/>
      <c r="IYK9" s="117"/>
      <c r="IYL9" s="117"/>
      <c r="IYM9" s="117"/>
      <c r="IYN9" s="117"/>
      <c r="IYO9" s="117"/>
      <c r="IYP9" s="117"/>
      <c r="IYQ9" s="117"/>
      <c r="IYR9" s="117"/>
      <c r="IYS9" s="117"/>
      <c r="IYT9" s="117"/>
      <c r="IYU9" s="117"/>
      <c r="IYV9" s="117"/>
      <c r="IYW9" s="117"/>
      <c r="IYX9" s="117"/>
      <c r="IYY9" s="117"/>
      <c r="IYZ9" s="117"/>
      <c r="IZA9" s="117"/>
      <c r="IZB9" s="117"/>
      <c r="IZC9" s="117"/>
      <c r="IZD9" s="117"/>
      <c r="IZE9" s="117"/>
      <c r="IZF9" s="117"/>
      <c r="IZG9" s="117"/>
      <c r="IZH9" s="117"/>
      <c r="IZI9" s="117"/>
      <c r="IZJ9" s="117"/>
      <c r="IZK9" s="117"/>
      <c r="IZL9" s="117"/>
      <c r="IZM9" s="117"/>
      <c r="IZN9" s="117"/>
      <c r="IZO9" s="117"/>
      <c r="IZP9" s="117"/>
      <c r="IZQ9" s="117"/>
      <c r="IZR9" s="117"/>
      <c r="IZS9" s="117"/>
      <c r="IZT9" s="117"/>
      <c r="IZU9" s="117"/>
      <c r="IZV9" s="117"/>
      <c r="IZW9" s="117"/>
      <c r="IZX9" s="117"/>
      <c r="IZY9" s="117"/>
      <c r="IZZ9" s="117"/>
      <c r="JAA9" s="117"/>
      <c r="JAB9" s="117"/>
      <c r="JAC9" s="117"/>
      <c r="JAD9" s="117"/>
      <c r="JAE9" s="117"/>
      <c r="JAF9" s="117"/>
      <c r="JAG9" s="117"/>
      <c r="JAH9" s="117"/>
      <c r="JAI9" s="117"/>
      <c r="JAJ9" s="117"/>
      <c r="JAK9" s="117"/>
      <c r="JAL9" s="117"/>
      <c r="JAM9" s="117"/>
      <c r="JAN9" s="117"/>
      <c r="JAO9" s="117"/>
      <c r="JAP9" s="117"/>
      <c r="JAQ9" s="117"/>
      <c r="JAR9" s="117"/>
      <c r="JAS9" s="117"/>
      <c r="JAT9" s="117"/>
      <c r="JAU9" s="117"/>
      <c r="JAV9" s="117"/>
      <c r="JAW9" s="117"/>
      <c r="JAX9" s="117"/>
      <c r="JAY9" s="117"/>
      <c r="JAZ9" s="117"/>
      <c r="JBA9" s="117"/>
      <c r="JBB9" s="117"/>
      <c r="JBC9" s="117"/>
      <c r="JBD9" s="117"/>
      <c r="JBE9" s="117"/>
      <c r="JBF9" s="117"/>
      <c r="JBG9" s="117"/>
      <c r="JBH9" s="117"/>
      <c r="JBI9" s="117"/>
      <c r="JBJ9" s="117"/>
      <c r="JBK9" s="117"/>
      <c r="JBL9" s="117"/>
      <c r="JBM9" s="117"/>
      <c r="JBN9" s="117"/>
      <c r="JBO9" s="117"/>
      <c r="JBP9" s="117"/>
      <c r="JBQ9" s="117"/>
      <c r="JBR9" s="117"/>
      <c r="JBS9" s="117"/>
      <c r="JBT9" s="117"/>
      <c r="JBU9" s="117"/>
      <c r="JBV9" s="117"/>
      <c r="JBW9" s="117"/>
      <c r="JBX9" s="117"/>
      <c r="JBY9" s="117"/>
      <c r="JBZ9" s="117"/>
      <c r="JCA9" s="117"/>
      <c r="JCB9" s="117"/>
      <c r="JCC9" s="117"/>
      <c r="JCD9" s="117"/>
      <c r="JCE9" s="117"/>
      <c r="JCF9" s="117"/>
      <c r="JCG9" s="117"/>
      <c r="JCH9" s="117"/>
      <c r="JCI9" s="117"/>
      <c r="JCJ9" s="117"/>
      <c r="JCK9" s="117"/>
      <c r="JCL9" s="117"/>
      <c r="JCM9" s="117"/>
      <c r="JCN9" s="117"/>
      <c r="JCO9" s="117"/>
      <c r="JCP9" s="117"/>
      <c r="JCQ9" s="117"/>
      <c r="JCR9" s="117"/>
      <c r="JCS9" s="117"/>
      <c r="JCT9" s="117"/>
      <c r="JCU9" s="117"/>
      <c r="JCV9" s="117"/>
      <c r="JCW9" s="117"/>
      <c r="JCX9" s="117"/>
      <c r="JCY9" s="117"/>
      <c r="JCZ9" s="117"/>
      <c r="JDA9" s="117"/>
      <c r="JDB9" s="117"/>
      <c r="JDC9" s="117"/>
      <c r="JDD9" s="117"/>
      <c r="JDE9" s="117"/>
      <c r="JDF9" s="117"/>
      <c r="JDG9" s="117"/>
      <c r="JDH9" s="117"/>
      <c r="JDI9" s="117"/>
      <c r="JDJ9" s="117"/>
      <c r="JDK9" s="117"/>
      <c r="JDL9" s="117"/>
      <c r="JDM9" s="117"/>
      <c r="JDN9" s="117"/>
      <c r="JDO9" s="117"/>
      <c r="JDP9" s="117"/>
      <c r="JDQ9" s="117"/>
      <c r="JDR9" s="117"/>
      <c r="JDS9" s="117"/>
      <c r="JDT9" s="117"/>
      <c r="JDU9" s="117"/>
      <c r="JDV9" s="117"/>
      <c r="JDW9" s="117"/>
      <c r="JDX9" s="117"/>
      <c r="JDY9" s="117"/>
      <c r="JDZ9" s="117"/>
      <c r="JEA9" s="117"/>
      <c r="JEB9" s="117"/>
      <c r="JEC9" s="117"/>
      <c r="JED9" s="117"/>
      <c r="JEE9" s="117"/>
      <c r="JEF9" s="117"/>
      <c r="JEG9" s="117"/>
      <c r="JEH9" s="117"/>
      <c r="JEI9" s="117"/>
      <c r="JEJ9" s="117"/>
      <c r="JEK9" s="117"/>
      <c r="JEL9" s="117"/>
      <c r="JEM9" s="117"/>
      <c r="JEN9" s="117"/>
      <c r="JEO9" s="117"/>
      <c r="JEP9" s="117"/>
      <c r="JEQ9" s="117"/>
      <c r="JER9" s="117"/>
      <c r="JES9" s="117"/>
      <c r="JET9" s="117"/>
      <c r="JEU9" s="117"/>
      <c r="JEV9" s="117"/>
      <c r="JEW9" s="117"/>
      <c r="JEX9" s="117"/>
      <c r="JEY9" s="117"/>
      <c r="JEZ9" s="117"/>
      <c r="JFA9" s="117"/>
      <c r="JFB9" s="117"/>
      <c r="JFC9" s="117"/>
      <c r="JFD9" s="117"/>
      <c r="JFE9" s="117"/>
      <c r="JFF9" s="117"/>
      <c r="JFG9" s="117"/>
      <c r="JFH9" s="117"/>
      <c r="JFI9" s="117"/>
      <c r="JFJ9" s="117"/>
      <c r="JFK9" s="117"/>
      <c r="JFL9" s="117"/>
      <c r="JFM9" s="117"/>
      <c r="JFN9" s="117"/>
      <c r="JFO9" s="117"/>
      <c r="JFP9" s="117"/>
      <c r="JFQ9" s="117"/>
      <c r="JFR9" s="117"/>
      <c r="JFS9" s="117"/>
      <c r="JFT9" s="117"/>
      <c r="JFU9" s="117"/>
      <c r="JFV9" s="117"/>
      <c r="JFW9" s="117"/>
      <c r="JFX9" s="117"/>
      <c r="JFY9" s="117"/>
      <c r="JFZ9" s="117"/>
      <c r="JGA9" s="117"/>
      <c r="JGB9" s="117"/>
      <c r="JGC9" s="117"/>
      <c r="JGD9" s="117"/>
      <c r="JGE9" s="117"/>
      <c r="JGF9" s="117"/>
      <c r="JGG9" s="117"/>
      <c r="JGH9" s="117"/>
      <c r="JGI9" s="117"/>
      <c r="JGJ9" s="117"/>
      <c r="JGK9" s="117"/>
      <c r="JGL9" s="117"/>
      <c r="JGM9" s="117"/>
      <c r="JGN9" s="117"/>
      <c r="JGO9" s="117"/>
      <c r="JGP9" s="117"/>
      <c r="JGQ9" s="117"/>
      <c r="JGR9" s="117"/>
      <c r="JGS9" s="117"/>
      <c r="JGT9" s="117"/>
      <c r="JGU9" s="117"/>
      <c r="JGV9" s="117"/>
      <c r="JGW9" s="117"/>
      <c r="JGX9" s="117"/>
      <c r="JGY9" s="117"/>
      <c r="JGZ9" s="117"/>
      <c r="JHA9" s="117"/>
      <c r="JHB9" s="117"/>
      <c r="JHC9" s="117"/>
      <c r="JHD9" s="117"/>
      <c r="JHE9" s="117"/>
      <c r="JHF9" s="117"/>
      <c r="JHG9" s="117"/>
      <c r="JHH9" s="117"/>
      <c r="JHI9" s="117"/>
      <c r="JHJ9" s="117"/>
      <c r="JHK9" s="117"/>
      <c r="JHL9" s="117"/>
      <c r="JHM9" s="117"/>
      <c r="JHN9" s="117"/>
      <c r="JHO9" s="117"/>
      <c r="JHP9" s="117"/>
      <c r="JHQ9" s="117"/>
      <c r="JHR9" s="117"/>
      <c r="JHS9" s="117"/>
      <c r="JHT9" s="117"/>
      <c r="JHU9" s="117"/>
      <c r="JHV9" s="117"/>
      <c r="JHW9" s="117"/>
      <c r="JHX9" s="117"/>
      <c r="JHY9" s="117"/>
      <c r="JHZ9" s="117"/>
      <c r="JIA9" s="117"/>
      <c r="JIB9" s="117"/>
      <c r="JIC9" s="117"/>
      <c r="JID9" s="117"/>
      <c r="JIE9" s="117"/>
      <c r="JIF9" s="117"/>
      <c r="JIG9" s="117"/>
      <c r="JIH9" s="117"/>
      <c r="JII9" s="117"/>
      <c r="JIJ9" s="117"/>
      <c r="JIK9" s="117"/>
      <c r="JIL9" s="117"/>
      <c r="JIM9" s="117"/>
      <c r="JIN9" s="117"/>
      <c r="JIO9" s="117"/>
      <c r="JIP9" s="117"/>
      <c r="JIQ9" s="117"/>
      <c r="JIR9" s="117"/>
      <c r="JIS9" s="117"/>
      <c r="JIT9" s="117"/>
      <c r="JIU9" s="117"/>
      <c r="JIV9" s="117"/>
      <c r="JIW9" s="117"/>
      <c r="JIX9" s="117"/>
      <c r="JIY9" s="117"/>
      <c r="JIZ9" s="117"/>
      <c r="JJA9" s="117"/>
      <c r="JJB9" s="117"/>
      <c r="JJC9" s="117"/>
      <c r="JJD9" s="117"/>
      <c r="JJE9" s="117"/>
      <c r="JJF9" s="117"/>
      <c r="JJG9" s="117"/>
      <c r="JJH9" s="117"/>
      <c r="JJI9" s="117"/>
      <c r="JJJ9" s="117"/>
      <c r="JJK9" s="117"/>
      <c r="JJL9" s="117"/>
      <c r="JJM9" s="117"/>
      <c r="JJN9" s="117"/>
      <c r="JJO9" s="117"/>
      <c r="JJP9" s="117"/>
      <c r="JJQ9" s="117"/>
      <c r="JJR9" s="117"/>
      <c r="JJS9" s="117"/>
      <c r="JJT9" s="117"/>
      <c r="JJU9" s="117"/>
      <c r="JJV9" s="117"/>
      <c r="JJW9" s="117"/>
      <c r="JJX9" s="117"/>
      <c r="JJY9" s="117"/>
      <c r="JJZ9" s="117"/>
      <c r="JKA9" s="117"/>
      <c r="JKB9" s="117"/>
      <c r="JKC9" s="117"/>
      <c r="JKD9" s="117"/>
      <c r="JKE9" s="117"/>
      <c r="JKF9" s="117"/>
      <c r="JKG9" s="117"/>
      <c r="JKH9" s="117"/>
      <c r="JKI9" s="117"/>
      <c r="JKJ9" s="117"/>
      <c r="JKK9" s="117"/>
      <c r="JKL9" s="117"/>
      <c r="JKM9" s="117"/>
      <c r="JKN9" s="117"/>
      <c r="JKO9" s="117"/>
      <c r="JKP9" s="117"/>
      <c r="JKQ9" s="117"/>
      <c r="JKR9" s="117"/>
      <c r="JKS9" s="117"/>
      <c r="JKT9" s="117"/>
      <c r="JKU9" s="117"/>
      <c r="JKV9" s="117"/>
      <c r="JKW9" s="117"/>
      <c r="JKX9" s="117"/>
      <c r="JKY9" s="117"/>
      <c r="JKZ9" s="117"/>
      <c r="JLA9" s="117"/>
      <c r="JLB9" s="117"/>
      <c r="JLC9" s="117"/>
      <c r="JLD9" s="117"/>
      <c r="JLE9" s="117"/>
      <c r="JLF9" s="117"/>
      <c r="JLG9" s="117"/>
      <c r="JLH9" s="117"/>
      <c r="JLI9" s="117"/>
      <c r="JLJ9" s="117"/>
      <c r="JLK9" s="117"/>
      <c r="JLL9" s="117"/>
      <c r="JLM9" s="117"/>
      <c r="JLN9" s="117"/>
      <c r="JLO9" s="117"/>
      <c r="JLP9" s="117"/>
      <c r="JLQ9" s="117"/>
      <c r="JLR9" s="117"/>
      <c r="JLS9" s="117"/>
      <c r="JLT9" s="117"/>
      <c r="JLU9" s="117"/>
      <c r="JLV9" s="117"/>
      <c r="JLW9" s="117"/>
      <c r="JLX9" s="117"/>
      <c r="JLY9" s="117"/>
      <c r="JLZ9" s="117"/>
      <c r="JMA9" s="117"/>
      <c r="JMB9" s="117"/>
      <c r="JMC9" s="117"/>
      <c r="JMD9" s="117"/>
      <c r="JME9" s="117"/>
      <c r="JMF9" s="117"/>
      <c r="JMG9" s="117"/>
      <c r="JMH9" s="117"/>
      <c r="JMI9" s="117"/>
      <c r="JMJ9" s="117"/>
      <c r="JMK9" s="117"/>
      <c r="JML9" s="117"/>
      <c r="JMM9" s="117"/>
      <c r="JMN9" s="117"/>
      <c r="JMO9" s="117"/>
      <c r="JMP9" s="117"/>
      <c r="JMQ9" s="117"/>
      <c r="JMR9" s="117"/>
      <c r="JMS9" s="117"/>
      <c r="JMT9" s="117"/>
      <c r="JMU9" s="117"/>
      <c r="JMV9" s="117"/>
      <c r="JMW9" s="117"/>
      <c r="JMX9" s="117"/>
      <c r="JMY9" s="117"/>
      <c r="JMZ9" s="117"/>
      <c r="JNA9" s="117"/>
      <c r="JNB9" s="117"/>
      <c r="JNC9" s="117"/>
      <c r="JND9" s="117"/>
      <c r="JNE9" s="117"/>
      <c r="JNF9" s="117"/>
      <c r="JNG9" s="117"/>
      <c r="JNH9" s="117"/>
      <c r="JNI9" s="117"/>
      <c r="JNJ9" s="117"/>
      <c r="JNK9" s="117"/>
      <c r="JNL9" s="117"/>
      <c r="JNM9" s="117"/>
      <c r="JNN9" s="117"/>
      <c r="JNO9" s="117"/>
      <c r="JNP9" s="117"/>
      <c r="JNQ9" s="117"/>
      <c r="JNR9" s="117"/>
      <c r="JNS9" s="117"/>
      <c r="JNT9" s="117"/>
      <c r="JNU9" s="117"/>
      <c r="JNV9" s="117"/>
      <c r="JNW9" s="117"/>
      <c r="JNX9" s="117"/>
      <c r="JNY9" s="117"/>
      <c r="JNZ9" s="117"/>
      <c r="JOA9" s="117"/>
      <c r="JOB9" s="117"/>
      <c r="JOC9" s="117"/>
      <c r="JOD9" s="117"/>
      <c r="JOE9" s="117"/>
      <c r="JOF9" s="117"/>
      <c r="JOG9" s="117"/>
      <c r="JOH9" s="117"/>
      <c r="JOI9" s="117"/>
      <c r="JOJ9" s="117"/>
      <c r="JOK9" s="117"/>
      <c r="JOL9" s="117"/>
      <c r="JOM9" s="117"/>
      <c r="JON9" s="117"/>
      <c r="JOO9" s="117"/>
      <c r="JOP9" s="117"/>
      <c r="JOQ9" s="117"/>
      <c r="JOR9" s="117"/>
      <c r="JOS9" s="117"/>
      <c r="JOT9" s="117"/>
      <c r="JOU9" s="117"/>
      <c r="JOV9" s="117"/>
      <c r="JOW9" s="117"/>
      <c r="JOX9" s="117"/>
      <c r="JOY9" s="117"/>
      <c r="JOZ9" s="117"/>
      <c r="JPA9" s="117"/>
      <c r="JPB9" s="117"/>
      <c r="JPC9" s="117"/>
      <c r="JPD9" s="117"/>
      <c r="JPE9" s="117"/>
      <c r="JPF9" s="117"/>
      <c r="JPG9" s="117"/>
      <c r="JPH9" s="117"/>
      <c r="JPI9" s="117"/>
      <c r="JPJ9" s="117"/>
      <c r="JPK9" s="117"/>
      <c r="JPL9" s="117"/>
      <c r="JPM9" s="117"/>
      <c r="JPN9" s="117"/>
      <c r="JPO9" s="117"/>
      <c r="JPP9" s="117"/>
      <c r="JPQ9" s="117"/>
      <c r="JPR9" s="117"/>
      <c r="JPS9" s="117"/>
      <c r="JPT9" s="117"/>
      <c r="JPU9" s="117"/>
      <c r="JPV9" s="117"/>
      <c r="JPW9" s="117"/>
      <c r="JPX9" s="117"/>
      <c r="JPY9" s="117"/>
      <c r="JPZ9" s="117"/>
      <c r="JQA9" s="117"/>
      <c r="JQB9" s="117"/>
      <c r="JQC9" s="117"/>
      <c r="JQD9" s="117"/>
      <c r="JQE9" s="117"/>
      <c r="JQF9" s="117"/>
      <c r="JQG9" s="117"/>
      <c r="JQH9" s="117"/>
      <c r="JQI9" s="117"/>
      <c r="JQJ9" s="117"/>
      <c r="JQK9" s="117"/>
      <c r="JQL9" s="117"/>
      <c r="JQM9" s="117"/>
      <c r="JQN9" s="117"/>
      <c r="JQO9" s="117"/>
      <c r="JQP9" s="117"/>
      <c r="JQQ9" s="117"/>
      <c r="JQR9" s="117"/>
      <c r="JQS9" s="117"/>
      <c r="JQT9" s="117"/>
      <c r="JQU9" s="117"/>
      <c r="JQV9" s="117"/>
      <c r="JQW9" s="117"/>
      <c r="JQX9" s="117"/>
      <c r="JQY9" s="117"/>
      <c r="JQZ9" s="117"/>
      <c r="JRA9" s="117"/>
      <c r="JRB9" s="117"/>
      <c r="JRC9" s="117"/>
      <c r="JRD9" s="117"/>
      <c r="JRE9" s="117"/>
      <c r="JRF9" s="117"/>
      <c r="JRG9" s="117"/>
      <c r="JRH9" s="117"/>
      <c r="JRI9" s="117"/>
      <c r="JRJ9" s="117"/>
      <c r="JRK9" s="117"/>
      <c r="JRL9" s="117"/>
      <c r="JRM9" s="117"/>
      <c r="JRN9" s="117"/>
      <c r="JRO9" s="117"/>
      <c r="JRP9" s="117"/>
      <c r="JRQ9" s="117"/>
      <c r="JRR9" s="117"/>
      <c r="JRS9" s="117"/>
      <c r="JRT9" s="117"/>
      <c r="JRU9" s="117"/>
      <c r="JRV9" s="117"/>
      <c r="JRW9" s="117"/>
      <c r="JRX9" s="117"/>
      <c r="JRY9" s="117"/>
      <c r="JRZ9" s="117"/>
      <c r="JSA9" s="117"/>
      <c r="JSB9" s="117"/>
      <c r="JSC9" s="117"/>
      <c r="JSD9" s="117"/>
      <c r="JSE9" s="117"/>
      <c r="JSF9" s="117"/>
      <c r="JSG9" s="117"/>
      <c r="JSH9" s="117"/>
      <c r="JSI9" s="117"/>
      <c r="JSJ9" s="117"/>
      <c r="JSK9" s="117"/>
      <c r="JSL9" s="117"/>
      <c r="JSM9" s="117"/>
      <c r="JSN9" s="117"/>
      <c r="JSO9" s="117"/>
      <c r="JSP9" s="117"/>
      <c r="JSQ9" s="117"/>
      <c r="JSR9" s="117"/>
      <c r="JSS9" s="117"/>
      <c r="JST9" s="117"/>
      <c r="JSU9" s="117"/>
      <c r="JSV9" s="117"/>
      <c r="JSW9" s="117"/>
      <c r="JSX9" s="117"/>
      <c r="JSY9" s="117"/>
      <c r="JSZ9" s="117"/>
      <c r="JTA9" s="117"/>
      <c r="JTB9" s="117"/>
      <c r="JTC9" s="117"/>
      <c r="JTD9" s="117"/>
      <c r="JTE9" s="117"/>
      <c r="JTF9" s="117"/>
      <c r="JTG9" s="117"/>
      <c r="JTH9" s="117"/>
      <c r="JTI9" s="117"/>
      <c r="JTJ9" s="117"/>
      <c r="JTK9" s="117"/>
      <c r="JTL9" s="117"/>
      <c r="JTM9" s="117"/>
      <c r="JTN9" s="117"/>
      <c r="JTO9" s="117"/>
      <c r="JTP9" s="117"/>
      <c r="JTQ9" s="117"/>
      <c r="JTR9" s="117"/>
      <c r="JTS9" s="117"/>
      <c r="JTT9" s="117"/>
      <c r="JTU9" s="117"/>
      <c r="JTV9" s="117"/>
      <c r="JTW9" s="117"/>
      <c r="JTX9" s="117"/>
      <c r="JTY9" s="117"/>
      <c r="JTZ9" s="117"/>
      <c r="JUA9" s="117"/>
      <c r="JUB9" s="117"/>
      <c r="JUC9" s="117"/>
      <c r="JUD9" s="117"/>
      <c r="JUE9" s="117"/>
      <c r="JUF9" s="117"/>
      <c r="JUG9" s="117"/>
      <c r="JUH9" s="117"/>
      <c r="JUI9" s="117"/>
      <c r="JUJ9" s="117"/>
      <c r="JUK9" s="117"/>
      <c r="JUL9" s="117"/>
      <c r="JUM9" s="117"/>
      <c r="JUN9" s="117"/>
      <c r="JUO9" s="117"/>
      <c r="JUP9" s="117"/>
      <c r="JUQ9" s="117"/>
      <c r="JUR9" s="117"/>
      <c r="JUS9" s="117"/>
      <c r="JUT9" s="117"/>
      <c r="JUU9" s="117"/>
      <c r="JUV9" s="117"/>
      <c r="JUW9" s="117"/>
      <c r="JUX9" s="117"/>
      <c r="JUY9" s="117"/>
      <c r="JUZ9" s="117"/>
      <c r="JVA9" s="117"/>
      <c r="JVB9" s="117"/>
      <c r="JVC9" s="117"/>
      <c r="JVD9" s="117"/>
      <c r="JVE9" s="117"/>
      <c r="JVF9" s="117"/>
      <c r="JVG9" s="117"/>
      <c r="JVH9" s="117"/>
      <c r="JVI9" s="117"/>
      <c r="JVJ9" s="117"/>
      <c r="JVK9" s="117"/>
      <c r="JVL9" s="117"/>
      <c r="JVM9" s="117"/>
      <c r="JVN9" s="117"/>
      <c r="JVO9" s="117"/>
      <c r="JVP9" s="117"/>
      <c r="JVQ9" s="117"/>
      <c r="JVR9" s="117"/>
      <c r="JVS9" s="117"/>
      <c r="JVT9" s="117"/>
      <c r="JVU9" s="117"/>
      <c r="JVV9" s="117"/>
      <c r="JVW9" s="117"/>
      <c r="JVX9" s="117"/>
      <c r="JVY9" s="117"/>
      <c r="JVZ9" s="117"/>
      <c r="JWA9" s="117"/>
      <c r="JWB9" s="117"/>
      <c r="JWC9" s="117"/>
      <c r="JWD9" s="117"/>
      <c r="JWE9" s="117"/>
      <c r="JWF9" s="117"/>
      <c r="JWG9" s="117"/>
      <c r="JWH9" s="117"/>
      <c r="JWI9" s="117"/>
      <c r="JWJ9" s="117"/>
      <c r="JWK9" s="117"/>
      <c r="JWL9" s="117"/>
      <c r="JWM9" s="117"/>
      <c r="JWN9" s="117"/>
      <c r="JWO9" s="117"/>
      <c r="JWP9" s="117"/>
      <c r="JWQ9" s="117"/>
      <c r="JWR9" s="117"/>
      <c r="JWS9" s="117"/>
      <c r="JWT9" s="117"/>
      <c r="JWU9" s="117"/>
      <c r="JWV9" s="117"/>
      <c r="JWW9" s="117"/>
      <c r="JWX9" s="117"/>
      <c r="JWY9" s="117"/>
      <c r="JWZ9" s="117"/>
      <c r="JXA9" s="117"/>
      <c r="JXB9" s="117"/>
      <c r="JXC9" s="117"/>
      <c r="JXD9" s="117"/>
      <c r="JXE9" s="117"/>
      <c r="JXF9" s="117"/>
      <c r="JXG9" s="117"/>
      <c r="JXH9" s="117"/>
      <c r="JXI9" s="117"/>
      <c r="JXJ9" s="117"/>
      <c r="JXK9" s="117"/>
      <c r="JXL9" s="117"/>
      <c r="JXM9" s="117"/>
      <c r="JXN9" s="117"/>
      <c r="JXO9" s="117"/>
      <c r="JXP9" s="117"/>
      <c r="JXQ9" s="117"/>
      <c r="JXR9" s="117"/>
      <c r="JXS9" s="117"/>
      <c r="JXT9" s="117"/>
      <c r="JXU9" s="117"/>
      <c r="JXV9" s="117"/>
      <c r="JXW9" s="117"/>
      <c r="JXX9" s="117"/>
      <c r="JXY9" s="117"/>
      <c r="JXZ9" s="117"/>
      <c r="JYA9" s="117"/>
      <c r="JYB9" s="117"/>
      <c r="JYC9" s="117"/>
      <c r="JYD9" s="117"/>
      <c r="JYE9" s="117"/>
      <c r="JYF9" s="117"/>
      <c r="JYG9" s="117"/>
      <c r="JYH9" s="117"/>
      <c r="JYI9" s="117"/>
      <c r="JYJ9" s="117"/>
      <c r="JYK9" s="117"/>
      <c r="JYL9" s="117"/>
      <c r="JYM9" s="117"/>
      <c r="JYN9" s="117"/>
      <c r="JYO9" s="117"/>
      <c r="JYP9" s="117"/>
      <c r="JYQ9" s="117"/>
      <c r="JYR9" s="117"/>
      <c r="JYS9" s="117"/>
      <c r="JYT9" s="117"/>
      <c r="JYU9" s="117"/>
      <c r="JYV9" s="117"/>
      <c r="JYW9" s="117"/>
      <c r="JYX9" s="117"/>
      <c r="JYY9" s="117"/>
      <c r="JYZ9" s="117"/>
      <c r="JZA9" s="117"/>
      <c r="JZB9" s="117"/>
      <c r="JZC9" s="117"/>
      <c r="JZD9" s="117"/>
      <c r="JZE9" s="117"/>
      <c r="JZF9" s="117"/>
      <c r="JZG9" s="117"/>
      <c r="JZH9" s="117"/>
      <c r="JZI9" s="117"/>
      <c r="JZJ9" s="117"/>
      <c r="JZK9" s="117"/>
      <c r="JZL9" s="117"/>
      <c r="JZM9" s="117"/>
      <c r="JZN9" s="117"/>
      <c r="JZO9" s="117"/>
      <c r="JZP9" s="117"/>
      <c r="JZQ9" s="117"/>
      <c r="JZR9" s="117"/>
      <c r="JZS9" s="117"/>
      <c r="JZT9" s="117"/>
      <c r="JZU9" s="117"/>
      <c r="JZV9" s="117"/>
      <c r="JZW9" s="117"/>
      <c r="JZX9" s="117"/>
      <c r="JZY9" s="117"/>
      <c r="JZZ9" s="117"/>
      <c r="KAA9" s="117"/>
      <c r="KAB9" s="117"/>
      <c r="KAC9" s="117"/>
      <c r="KAD9" s="117"/>
      <c r="KAE9" s="117"/>
      <c r="KAF9" s="117"/>
      <c r="KAG9" s="117"/>
      <c r="KAH9" s="117"/>
      <c r="KAI9" s="117"/>
      <c r="KAJ9" s="117"/>
      <c r="KAK9" s="117"/>
      <c r="KAL9" s="117"/>
      <c r="KAM9" s="117"/>
      <c r="KAN9" s="117"/>
      <c r="KAO9" s="117"/>
      <c r="KAP9" s="117"/>
      <c r="KAQ9" s="117"/>
      <c r="KAR9" s="117"/>
      <c r="KAS9" s="117"/>
      <c r="KAT9" s="117"/>
      <c r="KAU9" s="117"/>
      <c r="KAV9" s="117"/>
      <c r="KAW9" s="117"/>
      <c r="KAX9" s="117"/>
      <c r="KAY9" s="117"/>
      <c r="KAZ9" s="117"/>
      <c r="KBA9" s="117"/>
      <c r="KBB9" s="117"/>
      <c r="KBC9" s="117"/>
      <c r="KBD9" s="117"/>
      <c r="KBE9" s="117"/>
      <c r="KBF9" s="117"/>
      <c r="KBG9" s="117"/>
      <c r="KBH9" s="117"/>
      <c r="KBI9" s="117"/>
      <c r="KBJ9" s="117"/>
      <c r="KBK9" s="117"/>
      <c r="KBL9" s="117"/>
      <c r="KBM9" s="117"/>
      <c r="KBN9" s="117"/>
      <c r="KBO9" s="117"/>
      <c r="KBP9" s="117"/>
      <c r="KBQ9" s="117"/>
      <c r="KBR9" s="117"/>
      <c r="KBS9" s="117"/>
      <c r="KBT9" s="117"/>
      <c r="KBU9" s="117"/>
      <c r="KBV9" s="117"/>
      <c r="KBW9" s="117"/>
      <c r="KBX9" s="117"/>
      <c r="KBY9" s="117"/>
      <c r="KBZ9" s="117"/>
      <c r="KCA9" s="117"/>
      <c r="KCB9" s="117"/>
      <c r="KCC9" s="117"/>
      <c r="KCD9" s="117"/>
      <c r="KCE9" s="117"/>
      <c r="KCF9" s="117"/>
      <c r="KCG9" s="117"/>
      <c r="KCH9" s="117"/>
      <c r="KCI9" s="117"/>
      <c r="KCJ9" s="117"/>
      <c r="KCK9" s="117"/>
      <c r="KCL9" s="117"/>
      <c r="KCM9" s="117"/>
      <c r="KCN9" s="117"/>
      <c r="KCO9" s="117"/>
      <c r="KCP9" s="117"/>
      <c r="KCQ9" s="117"/>
      <c r="KCR9" s="117"/>
      <c r="KCS9" s="117"/>
      <c r="KCT9" s="117"/>
      <c r="KCU9" s="117"/>
      <c r="KCV9" s="117"/>
      <c r="KCW9" s="117"/>
      <c r="KCX9" s="117"/>
      <c r="KCY9" s="117"/>
      <c r="KCZ9" s="117"/>
      <c r="KDA9" s="117"/>
      <c r="KDB9" s="117"/>
      <c r="KDC9" s="117"/>
      <c r="KDD9" s="117"/>
      <c r="KDE9" s="117"/>
      <c r="KDF9" s="117"/>
      <c r="KDG9" s="117"/>
      <c r="KDH9" s="117"/>
      <c r="KDI9" s="117"/>
      <c r="KDJ9" s="117"/>
      <c r="KDK9" s="117"/>
      <c r="KDL9" s="117"/>
      <c r="KDM9" s="117"/>
      <c r="KDN9" s="117"/>
      <c r="KDO9" s="117"/>
      <c r="KDP9" s="117"/>
      <c r="KDQ9" s="117"/>
      <c r="KDR9" s="117"/>
      <c r="KDS9" s="117"/>
      <c r="KDT9" s="117"/>
      <c r="KDU9" s="117"/>
      <c r="KDV9" s="117"/>
      <c r="KDW9" s="117"/>
      <c r="KDX9" s="117"/>
      <c r="KDY9" s="117"/>
      <c r="KDZ9" s="117"/>
      <c r="KEA9" s="117"/>
      <c r="KEB9" s="117"/>
      <c r="KEC9" s="117"/>
      <c r="KED9" s="117"/>
      <c r="KEE9" s="117"/>
      <c r="KEF9" s="117"/>
      <c r="KEG9" s="117"/>
      <c r="KEH9" s="117"/>
      <c r="KEI9" s="117"/>
      <c r="KEJ9" s="117"/>
      <c r="KEK9" s="117"/>
      <c r="KEL9" s="117"/>
      <c r="KEM9" s="117"/>
      <c r="KEN9" s="117"/>
      <c r="KEO9" s="117"/>
      <c r="KEP9" s="117"/>
      <c r="KEQ9" s="117"/>
      <c r="KER9" s="117"/>
      <c r="KES9" s="117"/>
      <c r="KET9" s="117"/>
      <c r="KEU9" s="117"/>
      <c r="KEV9" s="117"/>
      <c r="KEW9" s="117"/>
      <c r="KEX9" s="117"/>
      <c r="KEY9" s="117"/>
      <c r="KEZ9" s="117"/>
      <c r="KFA9" s="117"/>
      <c r="KFB9" s="117"/>
      <c r="KFC9" s="117"/>
      <c r="KFD9" s="117"/>
      <c r="KFE9" s="117"/>
      <c r="KFF9" s="117"/>
      <c r="KFG9" s="117"/>
      <c r="KFH9" s="117"/>
      <c r="KFI9" s="117"/>
      <c r="KFJ9" s="117"/>
      <c r="KFK9" s="117"/>
      <c r="KFL9" s="117"/>
      <c r="KFM9" s="117"/>
      <c r="KFN9" s="117"/>
      <c r="KFO9" s="117"/>
      <c r="KFP9" s="117"/>
      <c r="KFQ9" s="117"/>
      <c r="KFR9" s="117"/>
      <c r="KFS9" s="117"/>
      <c r="KFT9" s="117"/>
      <c r="KFU9" s="117"/>
      <c r="KFV9" s="117"/>
      <c r="KFW9" s="117"/>
      <c r="KFX9" s="117"/>
      <c r="KFY9" s="117"/>
      <c r="KFZ9" s="117"/>
      <c r="KGA9" s="117"/>
      <c r="KGB9" s="117"/>
      <c r="KGC9" s="117"/>
      <c r="KGD9" s="117"/>
      <c r="KGE9" s="117"/>
      <c r="KGF9" s="117"/>
      <c r="KGG9" s="117"/>
      <c r="KGH9" s="117"/>
      <c r="KGI9" s="117"/>
      <c r="KGJ9" s="117"/>
      <c r="KGK9" s="117"/>
      <c r="KGL9" s="117"/>
      <c r="KGM9" s="117"/>
      <c r="KGN9" s="117"/>
      <c r="KGO9" s="117"/>
      <c r="KGP9" s="117"/>
      <c r="KGQ9" s="117"/>
      <c r="KGR9" s="117"/>
      <c r="KGS9" s="117"/>
      <c r="KGT9" s="117"/>
      <c r="KGU9" s="117"/>
      <c r="KGV9" s="117"/>
      <c r="KGW9" s="117"/>
      <c r="KGX9" s="117"/>
      <c r="KGY9" s="117"/>
      <c r="KGZ9" s="117"/>
      <c r="KHA9" s="117"/>
      <c r="KHB9" s="117"/>
      <c r="KHC9" s="117"/>
      <c r="KHD9" s="117"/>
      <c r="KHE9" s="117"/>
      <c r="KHF9" s="117"/>
      <c r="KHG9" s="117"/>
      <c r="KHH9" s="117"/>
      <c r="KHI9" s="117"/>
      <c r="KHJ9" s="117"/>
      <c r="KHK9" s="117"/>
      <c r="KHL9" s="117"/>
      <c r="KHM9" s="117"/>
      <c r="KHN9" s="117"/>
      <c r="KHO9" s="117"/>
      <c r="KHP9" s="117"/>
      <c r="KHQ9" s="117"/>
      <c r="KHR9" s="117"/>
      <c r="KHS9" s="117"/>
      <c r="KHT9" s="117"/>
      <c r="KHU9" s="117"/>
      <c r="KHV9" s="117"/>
      <c r="KHW9" s="117"/>
      <c r="KHX9" s="117"/>
      <c r="KHY9" s="117"/>
      <c r="KHZ9" s="117"/>
      <c r="KIA9" s="117"/>
      <c r="KIB9" s="117"/>
      <c r="KIC9" s="117"/>
      <c r="KID9" s="117"/>
      <c r="KIE9" s="117"/>
      <c r="KIF9" s="117"/>
      <c r="KIG9" s="117"/>
      <c r="KIH9" s="117"/>
      <c r="KII9" s="117"/>
      <c r="KIJ9" s="117"/>
      <c r="KIK9" s="117"/>
      <c r="KIL9" s="117"/>
      <c r="KIM9" s="117"/>
      <c r="KIN9" s="117"/>
      <c r="KIO9" s="117"/>
      <c r="KIP9" s="117"/>
      <c r="KIQ9" s="117"/>
      <c r="KIR9" s="117"/>
      <c r="KIS9" s="117"/>
      <c r="KIT9" s="117"/>
      <c r="KIU9" s="117"/>
      <c r="KIV9" s="117"/>
      <c r="KIW9" s="117"/>
      <c r="KIX9" s="117"/>
      <c r="KIY9" s="117"/>
      <c r="KIZ9" s="117"/>
      <c r="KJA9" s="117"/>
      <c r="KJB9" s="117"/>
      <c r="KJC9" s="117"/>
      <c r="KJD9" s="117"/>
      <c r="KJE9" s="117"/>
      <c r="KJF9" s="117"/>
      <c r="KJG9" s="117"/>
      <c r="KJH9" s="117"/>
      <c r="KJI9" s="117"/>
      <c r="KJJ9" s="117"/>
      <c r="KJK9" s="117"/>
      <c r="KJL9" s="117"/>
      <c r="KJM9" s="117"/>
      <c r="KJN9" s="117"/>
      <c r="KJO9" s="117"/>
      <c r="KJP9" s="117"/>
      <c r="KJQ9" s="117"/>
      <c r="KJR9" s="117"/>
      <c r="KJS9" s="117"/>
      <c r="KJT9" s="117"/>
      <c r="KJU9" s="117"/>
      <c r="KJV9" s="117"/>
      <c r="KJW9" s="117"/>
      <c r="KJX9" s="117"/>
      <c r="KJY9" s="117"/>
      <c r="KJZ9" s="117"/>
      <c r="KKA9" s="117"/>
      <c r="KKB9" s="117"/>
      <c r="KKC9" s="117"/>
      <c r="KKD9" s="117"/>
      <c r="KKE9" s="117"/>
      <c r="KKF9" s="117"/>
      <c r="KKG9" s="117"/>
      <c r="KKH9" s="117"/>
      <c r="KKI9" s="117"/>
      <c r="KKJ9" s="117"/>
      <c r="KKK9" s="117"/>
      <c r="KKL9" s="117"/>
      <c r="KKM9" s="117"/>
      <c r="KKN9" s="117"/>
      <c r="KKO9" s="117"/>
      <c r="KKP9" s="117"/>
      <c r="KKQ9" s="117"/>
      <c r="KKR9" s="117"/>
      <c r="KKS9" s="117"/>
      <c r="KKT9" s="117"/>
      <c r="KKU9" s="117"/>
      <c r="KKV9" s="117"/>
      <c r="KKW9" s="117"/>
      <c r="KKX9" s="117"/>
      <c r="KKY9" s="117"/>
      <c r="KKZ9" s="117"/>
      <c r="KLA9" s="117"/>
      <c r="KLB9" s="117"/>
      <c r="KLC9" s="117"/>
      <c r="KLD9" s="117"/>
      <c r="KLE9" s="117"/>
      <c r="KLF9" s="117"/>
      <c r="KLG9" s="117"/>
      <c r="KLH9" s="117"/>
      <c r="KLI9" s="117"/>
      <c r="KLJ9" s="117"/>
      <c r="KLK9" s="117"/>
      <c r="KLL9" s="117"/>
      <c r="KLM9" s="117"/>
      <c r="KLN9" s="117"/>
      <c r="KLO9" s="117"/>
      <c r="KLP9" s="117"/>
      <c r="KLQ9" s="117"/>
      <c r="KLR9" s="117"/>
      <c r="KLS9" s="117"/>
      <c r="KLT9" s="117"/>
      <c r="KLU9" s="117"/>
      <c r="KLV9" s="117"/>
      <c r="KLW9" s="117"/>
      <c r="KLX9" s="117"/>
      <c r="KLY9" s="117"/>
      <c r="KLZ9" s="117"/>
      <c r="KMA9" s="117"/>
      <c r="KMB9" s="117"/>
      <c r="KMC9" s="117"/>
      <c r="KMD9" s="117"/>
      <c r="KME9" s="117"/>
      <c r="KMF9" s="117"/>
      <c r="KMG9" s="117"/>
      <c r="KMH9" s="117"/>
      <c r="KMI9" s="117"/>
      <c r="KMJ9" s="117"/>
      <c r="KMK9" s="117"/>
      <c r="KML9" s="117"/>
      <c r="KMM9" s="117"/>
      <c r="KMN9" s="117"/>
      <c r="KMO9" s="117"/>
      <c r="KMP9" s="117"/>
      <c r="KMQ9" s="117"/>
      <c r="KMR9" s="117"/>
      <c r="KMS9" s="117"/>
      <c r="KMT9" s="117"/>
      <c r="KMU9" s="117"/>
      <c r="KMV9" s="117"/>
      <c r="KMW9" s="117"/>
      <c r="KMX9" s="117"/>
      <c r="KMY9" s="117"/>
      <c r="KMZ9" s="117"/>
      <c r="KNA9" s="117"/>
      <c r="KNB9" s="117"/>
      <c r="KNC9" s="117"/>
      <c r="KND9" s="117"/>
      <c r="KNE9" s="117"/>
      <c r="KNF9" s="117"/>
      <c r="KNG9" s="117"/>
      <c r="KNH9" s="117"/>
      <c r="KNI9" s="117"/>
      <c r="KNJ9" s="117"/>
      <c r="KNK9" s="117"/>
      <c r="KNL9" s="117"/>
      <c r="KNM9" s="117"/>
      <c r="KNN9" s="117"/>
      <c r="KNO9" s="117"/>
      <c r="KNP9" s="117"/>
      <c r="KNQ9" s="117"/>
      <c r="KNR9" s="117"/>
      <c r="KNS9" s="117"/>
      <c r="KNT9" s="117"/>
      <c r="KNU9" s="117"/>
      <c r="KNV9" s="117"/>
      <c r="KNW9" s="117"/>
      <c r="KNX9" s="117"/>
      <c r="KNY9" s="117"/>
      <c r="KNZ9" s="117"/>
      <c r="KOA9" s="117"/>
      <c r="KOB9" s="117"/>
      <c r="KOC9" s="117"/>
      <c r="KOD9" s="117"/>
      <c r="KOE9" s="117"/>
      <c r="KOF9" s="117"/>
      <c r="KOG9" s="117"/>
      <c r="KOH9" s="117"/>
      <c r="KOI9" s="117"/>
      <c r="KOJ9" s="117"/>
      <c r="KOK9" s="117"/>
      <c r="KOL9" s="117"/>
      <c r="KOM9" s="117"/>
      <c r="KON9" s="117"/>
      <c r="KOO9" s="117"/>
      <c r="KOP9" s="117"/>
      <c r="KOQ9" s="117"/>
      <c r="KOR9" s="117"/>
      <c r="KOS9" s="117"/>
      <c r="KOT9" s="117"/>
      <c r="KOU9" s="117"/>
      <c r="KOV9" s="117"/>
      <c r="KOW9" s="117"/>
      <c r="KOX9" s="117"/>
      <c r="KOY9" s="117"/>
      <c r="KOZ9" s="117"/>
      <c r="KPA9" s="117"/>
      <c r="KPB9" s="117"/>
      <c r="KPC9" s="117"/>
      <c r="KPD9" s="117"/>
      <c r="KPE9" s="117"/>
      <c r="KPF9" s="117"/>
      <c r="KPG9" s="117"/>
      <c r="KPH9" s="117"/>
      <c r="KPI9" s="117"/>
      <c r="KPJ9" s="117"/>
      <c r="KPK9" s="117"/>
      <c r="KPL9" s="117"/>
      <c r="KPM9" s="117"/>
      <c r="KPN9" s="117"/>
      <c r="KPO9" s="117"/>
      <c r="KPP9" s="117"/>
      <c r="KPQ9" s="117"/>
      <c r="KPR9" s="117"/>
      <c r="KPS9" s="117"/>
      <c r="KPT9" s="117"/>
      <c r="KPU9" s="117"/>
      <c r="KPV9" s="117"/>
      <c r="KPW9" s="117"/>
      <c r="KPX9" s="117"/>
      <c r="KPY9" s="117"/>
      <c r="KPZ9" s="117"/>
      <c r="KQA9" s="117"/>
      <c r="KQB9" s="117"/>
      <c r="KQC9" s="117"/>
      <c r="KQD9" s="117"/>
      <c r="KQE9" s="117"/>
      <c r="KQF9" s="117"/>
      <c r="KQG9" s="117"/>
      <c r="KQH9" s="117"/>
      <c r="KQI9" s="117"/>
      <c r="KQJ9" s="117"/>
      <c r="KQK9" s="117"/>
      <c r="KQL9" s="117"/>
      <c r="KQM9" s="117"/>
      <c r="KQN9" s="117"/>
      <c r="KQO9" s="117"/>
      <c r="KQP9" s="117"/>
      <c r="KQQ9" s="117"/>
      <c r="KQR9" s="117"/>
      <c r="KQS9" s="117"/>
      <c r="KQT9" s="117"/>
      <c r="KQU9" s="117"/>
      <c r="KQV9" s="117"/>
      <c r="KQW9" s="117"/>
      <c r="KQX9" s="117"/>
      <c r="KQY9" s="117"/>
      <c r="KQZ9" s="117"/>
      <c r="KRA9" s="117"/>
      <c r="KRB9" s="117"/>
      <c r="KRC9" s="117"/>
      <c r="KRD9" s="117"/>
      <c r="KRE9" s="117"/>
      <c r="KRF9" s="117"/>
      <c r="KRG9" s="117"/>
      <c r="KRH9" s="117"/>
      <c r="KRI9" s="117"/>
      <c r="KRJ9" s="117"/>
      <c r="KRK9" s="117"/>
      <c r="KRL9" s="117"/>
      <c r="KRM9" s="117"/>
      <c r="KRN9" s="117"/>
      <c r="KRO9" s="117"/>
      <c r="KRP9" s="117"/>
      <c r="KRQ9" s="117"/>
      <c r="KRR9" s="117"/>
      <c r="KRS9" s="117"/>
      <c r="KRT9" s="117"/>
      <c r="KRU9" s="117"/>
      <c r="KRV9" s="117"/>
      <c r="KRW9" s="117"/>
      <c r="KRX9" s="117"/>
      <c r="KRY9" s="117"/>
      <c r="KRZ9" s="117"/>
      <c r="KSA9" s="117"/>
      <c r="KSB9" s="117"/>
      <c r="KSC9" s="117"/>
      <c r="KSD9" s="117"/>
      <c r="KSE9" s="117"/>
      <c r="KSF9" s="117"/>
      <c r="KSG9" s="117"/>
      <c r="KSH9" s="117"/>
      <c r="KSI9" s="117"/>
      <c r="KSJ9" s="117"/>
      <c r="KSK9" s="117"/>
      <c r="KSL9" s="117"/>
      <c r="KSM9" s="117"/>
      <c r="KSN9" s="117"/>
      <c r="KSO9" s="117"/>
      <c r="KSP9" s="117"/>
      <c r="KSQ9" s="117"/>
      <c r="KSR9" s="117"/>
      <c r="KSS9" s="117"/>
      <c r="KST9" s="117"/>
      <c r="KSU9" s="117"/>
      <c r="KSV9" s="117"/>
      <c r="KSW9" s="117"/>
      <c r="KSX9" s="117"/>
      <c r="KSY9" s="117"/>
      <c r="KSZ9" s="117"/>
      <c r="KTA9" s="117"/>
      <c r="KTB9" s="117"/>
      <c r="KTC9" s="117"/>
      <c r="KTD9" s="117"/>
      <c r="KTE9" s="117"/>
      <c r="KTF9" s="117"/>
      <c r="KTG9" s="117"/>
      <c r="KTH9" s="117"/>
      <c r="KTI9" s="117"/>
      <c r="KTJ9" s="117"/>
      <c r="KTK9" s="117"/>
      <c r="KTL9" s="117"/>
      <c r="KTM9" s="117"/>
      <c r="KTN9" s="117"/>
      <c r="KTO9" s="117"/>
      <c r="KTP9" s="117"/>
      <c r="KTQ9" s="117"/>
      <c r="KTR9" s="117"/>
      <c r="KTS9" s="117"/>
      <c r="KTT9" s="117"/>
      <c r="KTU9" s="117"/>
      <c r="KTV9" s="117"/>
      <c r="KTW9" s="117"/>
      <c r="KTX9" s="117"/>
      <c r="KTY9" s="117"/>
      <c r="KTZ9" s="117"/>
      <c r="KUA9" s="117"/>
      <c r="KUB9" s="117"/>
      <c r="KUC9" s="117"/>
      <c r="KUD9" s="117"/>
      <c r="KUE9" s="117"/>
      <c r="KUF9" s="117"/>
      <c r="KUG9" s="117"/>
      <c r="KUH9" s="117"/>
      <c r="KUI9" s="117"/>
      <c r="KUJ9" s="117"/>
      <c r="KUK9" s="117"/>
      <c r="KUL9" s="117"/>
      <c r="KUM9" s="117"/>
      <c r="KUN9" s="117"/>
      <c r="KUO9" s="117"/>
      <c r="KUP9" s="117"/>
      <c r="KUQ9" s="117"/>
      <c r="KUR9" s="117"/>
      <c r="KUS9" s="117"/>
      <c r="KUT9" s="117"/>
      <c r="KUU9" s="117"/>
      <c r="KUV9" s="117"/>
      <c r="KUW9" s="117"/>
      <c r="KUX9" s="117"/>
      <c r="KUY9" s="117"/>
      <c r="KUZ9" s="117"/>
      <c r="KVA9" s="117"/>
      <c r="KVB9" s="117"/>
      <c r="KVC9" s="117"/>
      <c r="KVD9" s="117"/>
      <c r="KVE9" s="117"/>
      <c r="KVF9" s="117"/>
      <c r="KVG9" s="117"/>
      <c r="KVH9" s="117"/>
      <c r="KVI9" s="117"/>
      <c r="KVJ9" s="117"/>
      <c r="KVK9" s="117"/>
      <c r="KVL9" s="117"/>
      <c r="KVM9" s="117"/>
      <c r="KVN9" s="117"/>
      <c r="KVO9" s="117"/>
      <c r="KVP9" s="117"/>
      <c r="KVQ9" s="117"/>
      <c r="KVR9" s="117"/>
      <c r="KVS9" s="117"/>
      <c r="KVT9" s="117"/>
      <c r="KVU9" s="117"/>
      <c r="KVV9" s="117"/>
      <c r="KVW9" s="117"/>
      <c r="KVX9" s="117"/>
      <c r="KVY9" s="117"/>
      <c r="KVZ9" s="117"/>
      <c r="KWA9" s="117"/>
      <c r="KWB9" s="117"/>
      <c r="KWC9" s="117"/>
      <c r="KWD9" s="117"/>
      <c r="KWE9" s="117"/>
      <c r="KWF9" s="117"/>
      <c r="KWG9" s="117"/>
      <c r="KWH9" s="117"/>
      <c r="KWI9" s="117"/>
      <c r="KWJ9" s="117"/>
      <c r="KWK9" s="117"/>
      <c r="KWL9" s="117"/>
      <c r="KWM9" s="117"/>
      <c r="KWN9" s="117"/>
      <c r="KWO9" s="117"/>
      <c r="KWP9" s="117"/>
      <c r="KWQ9" s="117"/>
      <c r="KWR9" s="117"/>
      <c r="KWS9" s="117"/>
      <c r="KWT9" s="117"/>
      <c r="KWU9" s="117"/>
      <c r="KWV9" s="117"/>
      <c r="KWW9" s="117"/>
      <c r="KWX9" s="117"/>
      <c r="KWY9" s="117"/>
      <c r="KWZ9" s="117"/>
      <c r="KXA9" s="117"/>
      <c r="KXB9" s="117"/>
      <c r="KXC9" s="117"/>
      <c r="KXD9" s="117"/>
      <c r="KXE9" s="117"/>
      <c r="KXF9" s="117"/>
      <c r="KXG9" s="117"/>
      <c r="KXH9" s="117"/>
      <c r="KXI9" s="117"/>
      <c r="KXJ9" s="117"/>
      <c r="KXK9" s="117"/>
      <c r="KXL9" s="117"/>
      <c r="KXM9" s="117"/>
      <c r="KXN9" s="117"/>
      <c r="KXO9" s="117"/>
      <c r="KXP9" s="117"/>
      <c r="KXQ9" s="117"/>
      <c r="KXR9" s="117"/>
      <c r="KXS9" s="117"/>
      <c r="KXT9" s="117"/>
      <c r="KXU9" s="117"/>
      <c r="KXV9" s="117"/>
      <c r="KXW9" s="117"/>
      <c r="KXX9" s="117"/>
      <c r="KXY9" s="117"/>
      <c r="KXZ9" s="117"/>
      <c r="KYA9" s="117"/>
      <c r="KYB9" s="117"/>
      <c r="KYC9" s="117"/>
      <c r="KYD9" s="117"/>
      <c r="KYE9" s="117"/>
      <c r="KYF9" s="117"/>
      <c r="KYG9" s="117"/>
      <c r="KYH9" s="117"/>
      <c r="KYI9" s="117"/>
      <c r="KYJ9" s="117"/>
      <c r="KYK9" s="117"/>
      <c r="KYL9" s="117"/>
      <c r="KYM9" s="117"/>
      <c r="KYN9" s="117"/>
      <c r="KYO9" s="117"/>
      <c r="KYP9" s="117"/>
      <c r="KYQ9" s="117"/>
      <c r="KYR9" s="117"/>
      <c r="KYS9" s="117"/>
      <c r="KYT9" s="117"/>
      <c r="KYU9" s="117"/>
      <c r="KYV9" s="117"/>
      <c r="KYW9" s="117"/>
      <c r="KYX9" s="117"/>
      <c r="KYY9" s="117"/>
      <c r="KYZ9" s="117"/>
      <c r="KZA9" s="117"/>
      <c r="KZB9" s="117"/>
      <c r="KZC9" s="117"/>
      <c r="KZD9" s="117"/>
      <c r="KZE9" s="117"/>
      <c r="KZF9" s="117"/>
      <c r="KZG9" s="117"/>
      <c r="KZH9" s="117"/>
      <c r="KZI9" s="117"/>
      <c r="KZJ9" s="117"/>
      <c r="KZK9" s="117"/>
      <c r="KZL9" s="117"/>
      <c r="KZM9" s="117"/>
      <c r="KZN9" s="117"/>
      <c r="KZO9" s="117"/>
      <c r="KZP9" s="117"/>
      <c r="KZQ9" s="117"/>
      <c r="KZR9" s="117"/>
      <c r="KZS9" s="117"/>
      <c r="KZT9" s="117"/>
      <c r="KZU9" s="117"/>
      <c r="KZV9" s="117"/>
      <c r="KZW9" s="117"/>
      <c r="KZX9" s="117"/>
      <c r="KZY9" s="117"/>
      <c r="KZZ9" s="117"/>
      <c r="LAA9" s="117"/>
      <c r="LAB9" s="117"/>
      <c r="LAC9" s="117"/>
      <c r="LAD9" s="117"/>
      <c r="LAE9" s="117"/>
      <c r="LAF9" s="117"/>
      <c r="LAG9" s="117"/>
      <c r="LAH9" s="117"/>
      <c r="LAI9" s="117"/>
      <c r="LAJ9" s="117"/>
      <c r="LAK9" s="117"/>
      <c r="LAL9" s="117"/>
      <c r="LAM9" s="117"/>
      <c r="LAN9" s="117"/>
      <c r="LAO9" s="117"/>
      <c r="LAP9" s="117"/>
      <c r="LAQ9" s="117"/>
      <c r="LAR9" s="117"/>
      <c r="LAS9" s="117"/>
      <c r="LAT9" s="117"/>
      <c r="LAU9" s="117"/>
      <c r="LAV9" s="117"/>
      <c r="LAW9" s="117"/>
      <c r="LAX9" s="117"/>
      <c r="LAY9" s="117"/>
      <c r="LAZ9" s="117"/>
      <c r="LBA9" s="117"/>
      <c r="LBB9" s="117"/>
      <c r="LBC9" s="117"/>
      <c r="LBD9" s="117"/>
      <c r="LBE9" s="117"/>
      <c r="LBF9" s="117"/>
      <c r="LBG9" s="117"/>
      <c r="LBH9" s="117"/>
      <c r="LBI9" s="117"/>
      <c r="LBJ9" s="117"/>
      <c r="LBK9" s="117"/>
      <c r="LBL9" s="117"/>
      <c r="LBM9" s="117"/>
      <c r="LBN9" s="117"/>
      <c r="LBO9" s="117"/>
      <c r="LBP9" s="117"/>
      <c r="LBQ9" s="117"/>
      <c r="LBR9" s="117"/>
      <c r="LBS9" s="117"/>
      <c r="LBT9" s="117"/>
      <c r="LBU9" s="117"/>
      <c r="LBV9" s="117"/>
      <c r="LBW9" s="117"/>
      <c r="LBX9" s="117"/>
      <c r="LBY9" s="117"/>
      <c r="LBZ9" s="117"/>
      <c r="LCA9" s="117"/>
      <c r="LCB9" s="117"/>
      <c r="LCC9" s="117"/>
      <c r="LCD9" s="117"/>
      <c r="LCE9" s="117"/>
      <c r="LCF9" s="117"/>
      <c r="LCG9" s="117"/>
      <c r="LCH9" s="117"/>
      <c r="LCI9" s="117"/>
      <c r="LCJ9" s="117"/>
      <c r="LCK9" s="117"/>
      <c r="LCL9" s="117"/>
      <c r="LCM9" s="117"/>
      <c r="LCN9" s="117"/>
      <c r="LCO9" s="117"/>
      <c r="LCP9" s="117"/>
      <c r="LCQ9" s="117"/>
      <c r="LCR9" s="117"/>
      <c r="LCS9" s="117"/>
      <c r="LCT9" s="117"/>
      <c r="LCU9" s="117"/>
      <c r="LCV9" s="117"/>
      <c r="LCW9" s="117"/>
      <c r="LCX9" s="117"/>
      <c r="LCY9" s="117"/>
      <c r="LCZ9" s="117"/>
      <c r="LDA9" s="117"/>
      <c r="LDB9" s="117"/>
      <c r="LDC9" s="117"/>
      <c r="LDD9" s="117"/>
      <c r="LDE9" s="117"/>
      <c r="LDF9" s="117"/>
      <c r="LDG9" s="117"/>
      <c r="LDH9" s="117"/>
      <c r="LDI9" s="117"/>
      <c r="LDJ9" s="117"/>
      <c r="LDK9" s="117"/>
      <c r="LDL9" s="117"/>
      <c r="LDM9" s="117"/>
      <c r="LDN9" s="117"/>
      <c r="LDO9" s="117"/>
      <c r="LDP9" s="117"/>
      <c r="LDQ9" s="117"/>
      <c r="LDR9" s="117"/>
      <c r="LDS9" s="117"/>
      <c r="LDT9" s="117"/>
      <c r="LDU9" s="117"/>
      <c r="LDV9" s="117"/>
      <c r="LDW9" s="117"/>
      <c r="LDX9" s="117"/>
      <c r="LDY9" s="117"/>
      <c r="LDZ9" s="117"/>
      <c r="LEA9" s="117"/>
      <c r="LEB9" s="117"/>
      <c r="LEC9" s="117"/>
      <c r="LED9" s="117"/>
      <c r="LEE9" s="117"/>
      <c r="LEF9" s="117"/>
      <c r="LEG9" s="117"/>
      <c r="LEH9" s="117"/>
      <c r="LEI9" s="117"/>
      <c r="LEJ9" s="117"/>
      <c r="LEK9" s="117"/>
      <c r="LEL9" s="117"/>
      <c r="LEM9" s="117"/>
      <c r="LEN9" s="117"/>
      <c r="LEO9" s="117"/>
      <c r="LEP9" s="117"/>
      <c r="LEQ9" s="117"/>
      <c r="LER9" s="117"/>
      <c r="LES9" s="117"/>
      <c r="LET9" s="117"/>
      <c r="LEU9" s="117"/>
      <c r="LEV9" s="117"/>
      <c r="LEW9" s="117"/>
      <c r="LEX9" s="117"/>
      <c r="LEY9" s="117"/>
      <c r="LEZ9" s="117"/>
      <c r="LFA9" s="117"/>
      <c r="LFB9" s="117"/>
      <c r="LFC9" s="117"/>
      <c r="LFD9" s="117"/>
      <c r="LFE9" s="117"/>
      <c r="LFF9" s="117"/>
      <c r="LFG9" s="117"/>
      <c r="LFH9" s="117"/>
      <c r="LFI9" s="117"/>
      <c r="LFJ9" s="117"/>
      <c r="LFK9" s="117"/>
      <c r="LFL9" s="117"/>
      <c r="LFM9" s="117"/>
      <c r="LFN9" s="117"/>
      <c r="LFO9" s="117"/>
      <c r="LFP9" s="117"/>
      <c r="LFQ9" s="117"/>
      <c r="LFR9" s="117"/>
      <c r="LFS9" s="117"/>
      <c r="LFT9" s="117"/>
      <c r="LFU9" s="117"/>
      <c r="LFV9" s="117"/>
      <c r="LFW9" s="117"/>
      <c r="LFX9" s="117"/>
      <c r="LFY9" s="117"/>
      <c r="LFZ9" s="117"/>
      <c r="LGA9" s="117"/>
      <c r="LGB9" s="117"/>
      <c r="LGC9" s="117"/>
      <c r="LGD9" s="117"/>
      <c r="LGE9" s="117"/>
      <c r="LGF9" s="117"/>
      <c r="LGG9" s="117"/>
      <c r="LGH9" s="117"/>
      <c r="LGI9" s="117"/>
      <c r="LGJ9" s="117"/>
      <c r="LGK9" s="117"/>
      <c r="LGL9" s="117"/>
      <c r="LGM9" s="117"/>
      <c r="LGN9" s="117"/>
      <c r="LGO9" s="117"/>
      <c r="LGP9" s="117"/>
      <c r="LGQ9" s="117"/>
      <c r="LGR9" s="117"/>
      <c r="LGS9" s="117"/>
      <c r="LGT9" s="117"/>
      <c r="LGU9" s="117"/>
      <c r="LGV9" s="117"/>
      <c r="LGW9" s="117"/>
      <c r="LGX9" s="117"/>
      <c r="LGY9" s="117"/>
      <c r="LGZ9" s="117"/>
      <c r="LHA9" s="117"/>
      <c r="LHB9" s="117"/>
      <c r="LHC9" s="117"/>
      <c r="LHD9" s="117"/>
      <c r="LHE9" s="117"/>
      <c r="LHF9" s="117"/>
      <c r="LHG9" s="117"/>
      <c r="LHH9" s="117"/>
      <c r="LHI9" s="117"/>
      <c r="LHJ9" s="117"/>
      <c r="LHK9" s="117"/>
      <c r="LHL9" s="117"/>
      <c r="LHM9" s="117"/>
      <c r="LHN9" s="117"/>
      <c r="LHO9" s="117"/>
      <c r="LHP9" s="117"/>
      <c r="LHQ9" s="117"/>
      <c r="LHR9" s="117"/>
      <c r="LHS9" s="117"/>
      <c r="LHT9" s="117"/>
      <c r="LHU9" s="117"/>
      <c r="LHV9" s="117"/>
      <c r="LHW9" s="117"/>
      <c r="LHX9" s="117"/>
      <c r="LHY9" s="117"/>
      <c r="LHZ9" s="117"/>
      <c r="LIA9" s="117"/>
      <c r="LIB9" s="117"/>
      <c r="LIC9" s="117"/>
      <c r="LID9" s="117"/>
      <c r="LIE9" s="117"/>
      <c r="LIF9" s="117"/>
      <c r="LIG9" s="117"/>
      <c r="LIH9" s="117"/>
      <c r="LII9" s="117"/>
      <c r="LIJ9" s="117"/>
      <c r="LIK9" s="117"/>
      <c r="LIL9" s="117"/>
      <c r="LIM9" s="117"/>
      <c r="LIN9" s="117"/>
      <c r="LIO9" s="117"/>
      <c r="LIP9" s="117"/>
      <c r="LIQ9" s="117"/>
      <c r="LIR9" s="117"/>
      <c r="LIS9" s="117"/>
      <c r="LIT9" s="117"/>
      <c r="LIU9" s="117"/>
      <c r="LIV9" s="117"/>
      <c r="LIW9" s="117"/>
      <c r="LIX9" s="117"/>
      <c r="LIY9" s="117"/>
      <c r="LIZ9" s="117"/>
      <c r="LJA9" s="117"/>
      <c r="LJB9" s="117"/>
      <c r="LJC9" s="117"/>
      <c r="LJD9" s="117"/>
      <c r="LJE9" s="117"/>
      <c r="LJF9" s="117"/>
      <c r="LJG9" s="117"/>
      <c r="LJH9" s="117"/>
      <c r="LJI9" s="117"/>
      <c r="LJJ9" s="117"/>
      <c r="LJK9" s="117"/>
      <c r="LJL9" s="117"/>
      <c r="LJM9" s="117"/>
      <c r="LJN9" s="117"/>
      <c r="LJO9" s="117"/>
      <c r="LJP9" s="117"/>
      <c r="LJQ9" s="117"/>
      <c r="LJR9" s="117"/>
      <c r="LJS9" s="117"/>
      <c r="LJT9" s="117"/>
      <c r="LJU9" s="117"/>
      <c r="LJV9" s="117"/>
      <c r="LJW9" s="117"/>
      <c r="LJX9" s="117"/>
      <c r="LJY9" s="117"/>
      <c r="LJZ9" s="117"/>
      <c r="LKA9" s="117"/>
      <c r="LKB9" s="117"/>
      <c r="LKC9" s="117"/>
      <c r="LKD9" s="117"/>
      <c r="LKE9" s="117"/>
      <c r="LKF9" s="117"/>
      <c r="LKG9" s="117"/>
      <c r="LKH9" s="117"/>
      <c r="LKI9" s="117"/>
      <c r="LKJ9" s="117"/>
      <c r="LKK9" s="117"/>
      <c r="LKL9" s="117"/>
      <c r="LKM9" s="117"/>
      <c r="LKN9" s="117"/>
      <c r="LKO9" s="117"/>
      <c r="LKP9" s="117"/>
      <c r="LKQ9" s="117"/>
      <c r="LKR9" s="117"/>
      <c r="LKS9" s="117"/>
      <c r="LKT9" s="117"/>
      <c r="LKU9" s="117"/>
      <c r="LKV9" s="117"/>
      <c r="LKW9" s="117"/>
      <c r="LKX9" s="117"/>
      <c r="LKY9" s="117"/>
      <c r="LKZ9" s="117"/>
      <c r="LLA9" s="117"/>
      <c r="LLB9" s="117"/>
      <c r="LLC9" s="117"/>
      <c r="LLD9" s="117"/>
      <c r="LLE9" s="117"/>
      <c r="LLF9" s="117"/>
      <c r="LLG9" s="117"/>
      <c r="LLH9" s="117"/>
      <c r="LLI9" s="117"/>
      <c r="LLJ9" s="117"/>
      <c r="LLK9" s="117"/>
      <c r="LLL9" s="117"/>
      <c r="LLM9" s="117"/>
      <c r="LLN9" s="117"/>
      <c r="LLO9" s="117"/>
      <c r="LLP9" s="117"/>
      <c r="LLQ9" s="117"/>
      <c r="LLR9" s="117"/>
      <c r="LLS9" s="117"/>
      <c r="LLT9" s="117"/>
      <c r="LLU9" s="117"/>
      <c r="LLV9" s="117"/>
      <c r="LLW9" s="117"/>
      <c r="LLX9" s="117"/>
      <c r="LLY9" s="117"/>
      <c r="LLZ9" s="117"/>
      <c r="LMA9" s="117"/>
      <c r="LMB9" s="117"/>
      <c r="LMC9" s="117"/>
      <c r="LMD9" s="117"/>
      <c r="LME9" s="117"/>
      <c r="LMF9" s="117"/>
      <c r="LMG9" s="117"/>
      <c r="LMH9" s="117"/>
      <c r="LMI9" s="117"/>
      <c r="LMJ9" s="117"/>
      <c r="LMK9" s="117"/>
      <c r="LML9" s="117"/>
      <c r="LMM9" s="117"/>
      <c r="LMN9" s="117"/>
      <c r="LMO9" s="117"/>
      <c r="LMP9" s="117"/>
      <c r="LMQ9" s="117"/>
      <c r="LMR9" s="117"/>
      <c r="LMS9" s="117"/>
      <c r="LMT9" s="117"/>
      <c r="LMU9" s="117"/>
      <c r="LMV9" s="117"/>
      <c r="LMW9" s="117"/>
      <c r="LMX9" s="117"/>
      <c r="LMY9" s="117"/>
      <c r="LMZ9" s="117"/>
      <c r="LNA9" s="117"/>
      <c r="LNB9" s="117"/>
      <c r="LNC9" s="117"/>
      <c r="LND9" s="117"/>
      <c r="LNE9" s="117"/>
      <c r="LNF9" s="117"/>
      <c r="LNG9" s="117"/>
      <c r="LNH9" s="117"/>
      <c r="LNI9" s="117"/>
      <c r="LNJ9" s="117"/>
      <c r="LNK9" s="117"/>
      <c r="LNL9" s="117"/>
      <c r="LNM9" s="117"/>
      <c r="LNN9" s="117"/>
      <c r="LNO9" s="117"/>
      <c r="LNP9" s="117"/>
      <c r="LNQ9" s="117"/>
      <c r="LNR9" s="117"/>
      <c r="LNS9" s="117"/>
      <c r="LNT9" s="117"/>
      <c r="LNU9" s="117"/>
      <c r="LNV9" s="117"/>
      <c r="LNW9" s="117"/>
      <c r="LNX9" s="117"/>
      <c r="LNY9" s="117"/>
      <c r="LNZ9" s="117"/>
      <c r="LOA9" s="117"/>
      <c r="LOB9" s="117"/>
      <c r="LOC9" s="117"/>
      <c r="LOD9" s="117"/>
      <c r="LOE9" s="117"/>
      <c r="LOF9" s="117"/>
      <c r="LOG9" s="117"/>
      <c r="LOH9" s="117"/>
      <c r="LOI9" s="117"/>
      <c r="LOJ9" s="117"/>
      <c r="LOK9" s="117"/>
      <c r="LOL9" s="117"/>
      <c r="LOM9" s="117"/>
      <c r="LON9" s="117"/>
      <c r="LOO9" s="117"/>
      <c r="LOP9" s="117"/>
      <c r="LOQ9" s="117"/>
      <c r="LOR9" s="117"/>
      <c r="LOS9" s="117"/>
      <c r="LOT9" s="117"/>
      <c r="LOU9" s="117"/>
      <c r="LOV9" s="117"/>
      <c r="LOW9" s="117"/>
      <c r="LOX9" s="117"/>
      <c r="LOY9" s="117"/>
      <c r="LOZ9" s="117"/>
      <c r="LPA9" s="117"/>
      <c r="LPB9" s="117"/>
      <c r="LPC9" s="117"/>
      <c r="LPD9" s="117"/>
      <c r="LPE9" s="117"/>
      <c r="LPF9" s="117"/>
      <c r="LPG9" s="117"/>
      <c r="LPH9" s="117"/>
      <c r="LPI9" s="117"/>
      <c r="LPJ9" s="117"/>
      <c r="LPK9" s="117"/>
      <c r="LPL9" s="117"/>
      <c r="LPM9" s="117"/>
      <c r="LPN9" s="117"/>
      <c r="LPO9" s="117"/>
      <c r="LPP9" s="117"/>
      <c r="LPQ9" s="117"/>
      <c r="LPR9" s="117"/>
      <c r="LPS9" s="117"/>
      <c r="LPT9" s="117"/>
      <c r="LPU9" s="117"/>
      <c r="LPV9" s="117"/>
      <c r="LPW9" s="117"/>
      <c r="LPX9" s="117"/>
      <c r="LPY9" s="117"/>
      <c r="LPZ9" s="117"/>
      <c r="LQA9" s="117"/>
      <c r="LQB9" s="117"/>
      <c r="LQC9" s="117"/>
      <c r="LQD9" s="117"/>
      <c r="LQE9" s="117"/>
      <c r="LQF9" s="117"/>
      <c r="LQG9" s="117"/>
      <c r="LQH9" s="117"/>
      <c r="LQI9" s="117"/>
      <c r="LQJ9" s="117"/>
      <c r="LQK9" s="117"/>
      <c r="LQL9" s="117"/>
      <c r="LQM9" s="117"/>
      <c r="LQN9" s="117"/>
      <c r="LQO9" s="117"/>
      <c r="LQP9" s="117"/>
      <c r="LQQ9" s="117"/>
      <c r="LQR9" s="117"/>
      <c r="LQS9" s="117"/>
      <c r="LQT9" s="117"/>
      <c r="LQU9" s="117"/>
      <c r="LQV9" s="117"/>
      <c r="LQW9" s="117"/>
      <c r="LQX9" s="117"/>
      <c r="LQY9" s="117"/>
      <c r="LQZ9" s="117"/>
      <c r="LRA9" s="117"/>
      <c r="LRB9" s="117"/>
      <c r="LRC9" s="117"/>
      <c r="LRD9" s="117"/>
      <c r="LRE9" s="117"/>
      <c r="LRF9" s="117"/>
      <c r="LRG9" s="117"/>
      <c r="LRH9" s="117"/>
      <c r="LRI9" s="117"/>
      <c r="LRJ9" s="117"/>
      <c r="LRK9" s="117"/>
      <c r="LRL9" s="117"/>
      <c r="LRM9" s="117"/>
      <c r="LRN9" s="117"/>
      <c r="LRO9" s="117"/>
      <c r="LRP9" s="117"/>
      <c r="LRQ9" s="117"/>
      <c r="LRR9" s="117"/>
      <c r="LRS9" s="117"/>
      <c r="LRT9" s="117"/>
      <c r="LRU9" s="117"/>
      <c r="LRV9" s="117"/>
      <c r="LRW9" s="117"/>
      <c r="LRX9" s="117"/>
      <c r="LRY9" s="117"/>
      <c r="LRZ9" s="117"/>
      <c r="LSA9" s="117"/>
      <c r="LSB9" s="117"/>
      <c r="LSC9" s="117"/>
      <c r="LSD9" s="117"/>
      <c r="LSE9" s="117"/>
      <c r="LSF9" s="117"/>
      <c r="LSG9" s="117"/>
      <c r="LSH9" s="117"/>
      <c r="LSI9" s="117"/>
      <c r="LSJ9" s="117"/>
      <c r="LSK9" s="117"/>
      <c r="LSL9" s="117"/>
      <c r="LSM9" s="117"/>
      <c r="LSN9" s="117"/>
      <c r="LSO9" s="117"/>
      <c r="LSP9" s="117"/>
      <c r="LSQ9" s="117"/>
      <c r="LSR9" s="117"/>
      <c r="LSS9" s="117"/>
      <c r="LST9" s="117"/>
      <c r="LSU9" s="117"/>
      <c r="LSV9" s="117"/>
      <c r="LSW9" s="117"/>
      <c r="LSX9" s="117"/>
      <c r="LSY9" s="117"/>
      <c r="LSZ9" s="117"/>
      <c r="LTA9" s="117"/>
      <c r="LTB9" s="117"/>
      <c r="LTC9" s="117"/>
      <c r="LTD9" s="117"/>
      <c r="LTE9" s="117"/>
      <c r="LTF9" s="117"/>
      <c r="LTG9" s="117"/>
      <c r="LTH9" s="117"/>
      <c r="LTI9" s="117"/>
      <c r="LTJ9" s="117"/>
      <c r="LTK9" s="117"/>
      <c r="LTL9" s="117"/>
      <c r="LTM9" s="117"/>
      <c r="LTN9" s="117"/>
      <c r="LTO9" s="117"/>
      <c r="LTP9" s="117"/>
      <c r="LTQ9" s="117"/>
      <c r="LTR9" s="117"/>
      <c r="LTS9" s="117"/>
      <c r="LTT9" s="117"/>
      <c r="LTU9" s="117"/>
      <c r="LTV9" s="117"/>
      <c r="LTW9" s="117"/>
      <c r="LTX9" s="117"/>
      <c r="LTY9" s="117"/>
      <c r="LTZ9" s="117"/>
      <c r="LUA9" s="117"/>
      <c r="LUB9" s="117"/>
      <c r="LUC9" s="117"/>
      <c r="LUD9" s="117"/>
      <c r="LUE9" s="117"/>
      <c r="LUF9" s="117"/>
      <c r="LUG9" s="117"/>
      <c r="LUH9" s="117"/>
      <c r="LUI9" s="117"/>
      <c r="LUJ9" s="117"/>
      <c r="LUK9" s="117"/>
      <c r="LUL9" s="117"/>
      <c r="LUM9" s="117"/>
      <c r="LUN9" s="117"/>
      <c r="LUO9" s="117"/>
      <c r="LUP9" s="117"/>
      <c r="LUQ9" s="117"/>
      <c r="LUR9" s="117"/>
      <c r="LUS9" s="117"/>
      <c r="LUT9" s="117"/>
      <c r="LUU9" s="117"/>
      <c r="LUV9" s="117"/>
      <c r="LUW9" s="117"/>
      <c r="LUX9" s="117"/>
      <c r="LUY9" s="117"/>
      <c r="LUZ9" s="117"/>
      <c r="LVA9" s="117"/>
      <c r="LVB9" s="117"/>
      <c r="LVC9" s="117"/>
      <c r="LVD9" s="117"/>
      <c r="LVE9" s="117"/>
      <c r="LVF9" s="117"/>
      <c r="LVG9" s="117"/>
      <c r="LVH9" s="117"/>
      <c r="LVI9" s="117"/>
      <c r="LVJ9" s="117"/>
      <c r="LVK9" s="117"/>
      <c r="LVL9" s="117"/>
      <c r="LVM9" s="117"/>
      <c r="LVN9" s="117"/>
      <c r="LVO9" s="117"/>
      <c r="LVP9" s="117"/>
      <c r="LVQ9" s="117"/>
      <c r="LVR9" s="117"/>
      <c r="LVS9" s="117"/>
      <c r="LVT9" s="117"/>
      <c r="LVU9" s="117"/>
      <c r="LVV9" s="117"/>
      <c r="LVW9" s="117"/>
      <c r="LVX9" s="117"/>
      <c r="LVY9" s="117"/>
      <c r="LVZ9" s="117"/>
      <c r="LWA9" s="117"/>
      <c r="LWB9" s="117"/>
      <c r="LWC9" s="117"/>
      <c r="LWD9" s="117"/>
      <c r="LWE9" s="117"/>
      <c r="LWF9" s="117"/>
      <c r="LWG9" s="117"/>
      <c r="LWH9" s="117"/>
      <c r="LWI9" s="117"/>
      <c r="LWJ9" s="117"/>
      <c r="LWK9" s="117"/>
      <c r="LWL9" s="117"/>
      <c r="LWM9" s="117"/>
      <c r="LWN9" s="117"/>
      <c r="LWO9" s="117"/>
      <c r="LWP9" s="117"/>
      <c r="LWQ9" s="117"/>
      <c r="LWR9" s="117"/>
      <c r="LWS9" s="117"/>
      <c r="LWT9" s="117"/>
      <c r="LWU9" s="117"/>
      <c r="LWV9" s="117"/>
      <c r="LWW9" s="117"/>
      <c r="LWX9" s="117"/>
      <c r="LWY9" s="117"/>
      <c r="LWZ9" s="117"/>
      <c r="LXA9" s="117"/>
      <c r="LXB9" s="117"/>
      <c r="LXC9" s="117"/>
      <c r="LXD9" s="117"/>
      <c r="LXE9" s="117"/>
      <c r="LXF9" s="117"/>
      <c r="LXG9" s="117"/>
      <c r="LXH9" s="117"/>
      <c r="LXI9" s="117"/>
      <c r="LXJ9" s="117"/>
      <c r="LXK9" s="117"/>
      <c r="LXL9" s="117"/>
      <c r="LXM9" s="117"/>
      <c r="LXN9" s="117"/>
      <c r="LXO9" s="117"/>
      <c r="LXP9" s="117"/>
      <c r="LXQ9" s="117"/>
      <c r="LXR9" s="117"/>
      <c r="LXS9" s="117"/>
      <c r="LXT9" s="117"/>
      <c r="LXU9" s="117"/>
      <c r="LXV9" s="117"/>
      <c r="LXW9" s="117"/>
      <c r="LXX9" s="117"/>
      <c r="LXY9" s="117"/>
      <c r="LXZ9" s="117"/>
      <c r="LYA9" s="117"/>
      <c r="LYB9" s="117"/>
      <c r="LYC9" s="117"/>
      <c r="LYD9" s="117"/>
      <c r="LYE9" s="117"/>
      <c r="LYF9" s="117"/>
      <c r="LYG9" s="117"/>
      <c r="LYH9" s="117"/>
      <c r="LYI9" s="117"/>
      <c r="LYJ9" s="117"/>
      <c r="LYK9" s="117"/>
      <c r="LYL9" s="117"/>
      <c r="LYM9" s="117"/>
      <c r="LYN9" s="117"/>
      <c r="LYO9" s="117"/>
      <c r="LYP9" s="117"/>
      <c r="LYQ9" s="117"/>
      <c r="LYR9" s="117"/>
      <c r="LYS9" s="117"/>
      <c r="LYT9" s="117"/>
      <c r="LYU9" s="117"/>
      <c r="LYV9" s="117"/>
      <c r="LYW9" s="117"/>
      <c r="LYX9" s="117"/>
      <c r="LYY9" s="117"/>
      <c r="LYZ9" s="117"/>
      <c r="LZA9" s="117"/>
      <c r="LZB9" s="117"/>
      <c r="LZC9" s="117"/>
      <c r="LZD9" s="117"/>
      <c r="LZE9" s="117"/>
      <c r="LZF9" s="117"/>
      <c r="LZG9" s="117"/>
      <c r="LZH9" s="117"/>
      <c r="LZI9" s="117"/>
      <c r="LZJ9" s="117"/>
      <c r="LZK9" s="117"/>
      <c r="LZL9" s="117"/>
      <c r="LZM9" s="117"/>
      <c r="LZN9" s="117"/>
      <c r="LZO9" s="117"/>
      <c r="LZP9" s="117"/>
      <c r="LZQ9" s="117"/>
      <c r="LZR9" s="117"/>
      <c r="LZS9" s="117"/>
      <c r="LZT9" s="117"/>
      <c r="LZU9" s="117"/>
      <c r="LZV9" s="117"/>
      <c r="LZW9" s="117"/>
      <c r="LZX9" s="117"/>
      <c r="LZY9" s="117"/>
      <c r="LZZ9" s="117"/>
      <c r="MAA9" s="117"/>
      <c r="MAB9" s="117"/>
      <c r="MAC9" s="117"/>
      <c r="MAD9" s="117"/>
      <c r="MAE9" s="117"/>
      <c r="MAF9" s="117"/>
      <c r="MAG9" s="117"/>
      <c r="MAH9" s="117"/>
      <c r="MAI9" s="117"/>
      <c r="MAJ9" s="117"/>
      <c r="MAK9" s="117"/>
      <c r="MAL9" s="117"/>
      <c r="MAM9" s="117"/>
      <c r="MAN9" s="117"/>
      <c r="MAO9" s="117"/>
      <c r="MAP9" s="117"/>
      <c r="MAQ9" s="117"/>
      <c r="MAR9" s="117"/>
      <c r="MAS9" s="117"/>
      <c r="MAT9" s="117"/>
      <c r="MAU9" s="117"/>
      <c r="MAV9" s="117"/>
      <c r="MAW9" s="117"/>
      <c r="MAX9" s="117"/>
      <c r="MAY9" s="117"/>
      <c r="MAZ9" s="117"/>
      <c r="MBA9" s="117"/>
      <c r="MBB9" s="117"/>
      <c r="MBC9" s="117"/>
      <c r="MBD9" s="117"/>
      <c r="MBE9" s="117"/>
      <c r="MBF9" s="117"/>
      <c r="MBG9" s="117"/>
      <c r="MBH9" s="117"/>
      <c r="MBI9" s="117"/>
      <c r="MBJ9" s="117"/>
      <c r="MBK9" s="117"/>
      <c r="MBL9" s="117"/>
      <c r="MBM9" s="117"/>
      <c r="MBN9" s="117"/>
      <c r="MBO9" s="117"/>
      <c r="MBP9" s="117"/>
      <c r="MBQ9" s="117"/>
      <c r="MBR9" s="117"/>
      <c r="MBS9" s="117"/>
      <c r="MBT9" s="117"/>
      <c r="MBU9" s="117"/>
      <c r="MBV9" s="117"/>
      <c r="MBW9" s="117"/>
      <c r="MBX9" s="117"/>
      <c r="MBY9" s="117"/>
      <c r="MBZ9" s="117"/>
      <c r="MCA9" s="117"/>
      <c r="MCB9" s="117"/>
      <c r="MCC9" s="117"/>
      <c r="MCD9" s="117"/>
      <c r="MCE9" s="117"/>
      <c r="MCF9" s="117"/>
      <c r="MCG9" s="117"/>
      <c r="MCH9" s="117"/>
      <c r="MCI9" s="117"/>
      <c r="MCJ9" s="117"/>
      <c r="MCK9" s="117"/>
      <c r="MCL9" s="117"/>
      <c r="MCM9" s="117"/>
      <c r="MCN9" s="117"/>
      <c r="MCO9" s="117"/>
      <c r="MCP9" s="117"/>
      <c r="MCQ9" s="117"/>
      <c r="MCR9" s="117"/>
      <c r="MCS9" s="117"/>
      <c r="MCT9" s="117"/>
      <c r="MCU9" s="117"/>
      <c r="MCV9" s="117"/>
      <c r="MCW9" s="117"/>
      <c r="MCX9" s="117"/>
      <c r="MCY9" s="117"/>
      <c r="MCZ9" s="117"/>
      <c r="MDA9" s="117"/>
      <c r="MDB9" s="117"/>
      <c r="MDC9" s="117"/>
      <c r="MDD9" s="117"/>
      <c r="MDE9" s="117"/>
      <c r="MDF9" s="117"/>
      <c r="MDG9" s="117"/>
      <c r="MDH9" s="117"/>
      <c r="MDI9" s="117"/>
      <c r="MDJ9" s="117"/>
      <c r="MDK9" s="117"/>
      <c r="MDL9" s="117"/>
      <c r="MDM9" s="117"/>
      <c r="MDN9" s="117"/>
      <c r="MDO9" s="117"/>
      <c r="MDP9" s="117"/>
      <c r="MDQ9" s="117"/>
      <c r="MDR9" s="117"/>
      <c r="MDS9" s="117"/>
      <c r="MDT9" s="117"/>
      <c r="MDU9" s="117"/>
      <c r="MDV9" s="117"/>
      <c r="MDW9" s="117"/>
      <c r="MDX9" s="117"/>
      <c r="MDY9" s="117"/>
      <c r="MDZ9" s="117"/>
      <c r="MEA9" s="117"/>
      <c r="MEB9" s="117"/>
      <c r="MEC9" s="117"/>
      <c r="MED9" s="117"/>
      <c r="MEE9" s="117"/>
      <c r="MEF9" s="117"/>
      <c r="MEG9" s="117"/>
      <c r="MEH9" s="117"/>
      <c r="MEI9" s="117"/>
      <c r="MEJ9" s="117"/>
      <c r="MEK9" s="117"/>
      <c r="MEL9" s="117"/>
      <c r="MEM9" s="117"/>
      <c r="MEN9" s="117"/>
      <c r="MEO9" s="117"/>
      <c r="MEP9" s="117"/>
      <c r="MEQ9" s="117"/>
      <c r="MER9" s="117"/>
      <c r="MES9" s="117"/>
      <c r="MET9" s="117"/>
      <c r="MEU9" s="117"/>
      <c r="MEV9" s="117"/>
      <c r="MEW9" s="117"/>
      <c r="MEX9" s="117"/>
      <c r="MEY9" s="117"/>
      <c r="MEZ9" s="117"/>
      <c r="MFA9" s="117"/>
      <c r="MFB9" s="117"/>
      <c r="MFC9" s="117"/>
      <c r="MFD9" s="117"/>
      <c r="MFE9" s="117"/>
      <c r="MFF9" s="117"/>
      <c r="MFG9" s="117"/>
      <c r="MFH9" s="117"/>
      <c r="MFI9" s="117"/>
      <c r="MFJ9" s="117"/>
      <c r="MFK9" s="117"/>
      <c r="MFL9" s="117"/>
      <c r="MFM9" s="117"/>
      <c r="MFN9" s="117"/>
      <c r="MFO9" s="117"/>
      <c r="MFP9" s="117"/>
      <c r="MFQ9" s="117"/>
      <c r="MFR9" s="117"/>
      <c r="MFS9" s="117"/>
      <c r="MFT9" s="117"/>
      <c r="MFU9" s="117"/>
      <c r="MFV9" s="117"/>
      <c r="MFW9" s="117"/>
      <c r="MFX9" s="117"/>
      <c r="MFY9" s="117"/>
      <c r="MFZ9" s="117"/>
      <c r="MGA9" s="117"/>
      <c r="MGB9" s="117"/>
      <c r="MGC9" s="117"/>
      <c r="MGD9" s="117"/>
      <c r="MGE9" s="117"/>
      <c r="MGF9" s="117"/>
      <c r="MGG9" s="117"/>
      <c r="MGH9" s="117"/>
      <c r="MGI9" s="117"/>
      <c r="MGJ9" s="117"/>
      <c r="MGK9" s="117"/>
      <c r="MGL9" s="117"/>
      <c r="MGM9" s="117"/>
      <c r="MGN9" s="117"/>
      <c r="MGO9" s="117"/>
      <c r="MGP9" s="117"/>
      <c r="MGQ9" s="117"/>
      <c r="MGR9" s="117"/>
      <c r="MGS9" s="117"/>
      <c r="MGT9" s="117"/>
      <c r="MGU9" s="117"/>
      <c r="MGV9" s="117"/>
      <c r="MGW9" s="117"/>
      <c r="MGX9" s="117"/>
      <c r="MGY9" s="117"/>
      <c r="MGZ9" s="117"/>
      <c r="MHA9" s="117"/>
      <c r="MHB9" s="117"/>
      <c r="MHC9" s="117"/>
      <c r="MHD9" s="117"/>
      <c r="MHE9" s="117"/>
      <c r="MHF9" s="117"/>
      <c r="MHG9" s="117"/>
      <c r="MHH9" s="117"/>
      <c r="MHI9" s="117"/>
      <c r="MHJ9" s="117"/>
      <c r="MHK9" s="117"/>
      <c r="MHL9" s="117"/>
      <c r="MHM9" s="117"/>
      <c r="MHN9" s="117"/>
      <c r="MHO9" s="117"/>
      <c r="MHP9" s="117"/>
      <c r="MHQ9" s="117"/>
      <c r="MHR9" s="117"/>
      <c r="MHS9" s="117"/>
      <c r="MHT9" s="117"/>
      <c r="MHU9" s="117"/>
      <c r="MHV9" s="117"/>
      <c r="MHW9" s="117"/>
      <c r="MHX9" s="117"/>
      <c r="MHY9" s="117"/>
      <c r="MHZ9" s="117"/>
      <c r="MIA9" s="117"/>
      <c r="MIB9" s="117"/>
      <c r="MIC9" s="117"/>
      <c r="MID9" s="117"/>
      <c r="MIE9" s="117"/>
      <c r="MIF9" s="117"/>
      <c r="MIG9" s="117"/>
      <c r="MIH9" s="117"/>
      <c r="MII9" s="117"/>
      <c r="MIJ9" s="117"/>
      <c r="MIK9" s="117"/>
      <c r="MIL9" s="117"/>
      <c r="MIM9" s="117"/>
      <c r="MIN9" s="117"/>
      <c r="MIO9" s="117"/>
      <c r="MIP9" s="117"/>
      <c r="MIQ9" s="117"/>
      <c r="MIR9" s="117"/>
      <c r="MIS9" s="117"/>
      <c r="MIT9" s="117"/>
      <c r="MIU9" s="117"/>
      <c r="MIV9" s="117"/>
      <c r="MIW9" s="117"/>
      <c r="MIX9" s="117"/>
      <c r="MIY9" s="117"/>
      <c r="MIZ9" s="117"/>
      <c r="MJA9" s="117"/>
      <c r="MJB9" s="117"/>
      <c r="MJC9" s="117"/>
      <c r="MJD9" s="117"/>
      <c r="MJE9" s="117"/>
      <c r="MJF9" s="117"/>
      <c r="MJG9" s="117"/>
      <c r="MJH9" s="117"/>
      <c r="MJI9" s="117"/>
      <c r="MJJ9" s="117"/>
      <c r="MJK9" s="117"/>
      <c r="MJL9" s="117"/>
      <c r="MJM9" s="117"/>
      <c r="MJN9" s="117"/>
      <c r="MJO9" s="117"/>
      <c r="MJP9" s="117"/>
      <c r="MJQ9" s="117"/>
      <c r="MJR9" s="117"/>
      <c r="MJS9" s="117"/>
      <c r="MJT9" s="117"/>
      <c r="MJU9" s="117"/>
      <c r="MJV9" s="117"/>
      <c r="MJW9" s="117"/>
      <c r="MJX9" s="117"/>
      <c r="MJY9" s="117"/>
      <c r="MJZ9" s="117"/>
      <c r="MKA9" s="117"/>
      <c r="MKB9" s="117"/>
      <c r="MKC9" s="117"/>
      <c r="MKD9" s="117"/>
      <c r="MKE9" s="117"/>
      <c r="MKF9" s="117"/>
      <c r="MKG9" s="117"/>
      <c r="MKH9" s="117"/>
      <c r="MKI9" s="117"/>
      <c r="MKJ9" s="117"/>
      <c r="MKK9" s="117"/>
      <c r="MKL9" s="117"/>
      <c r="MKM9" s="117"/>
      <c r="MKN9" s="117"/>
      <c r="MKO9" s="117"/>
      <c r="MKP9" s="117"/>
      <c r="MKQ9" s="117"/>
      <c r="MKR9" s="117"/>
      <c r="MKS9" s="117"/>
      <c r="MKT9" s="117"/>
      <c r="MKU9" s="117"/>
      <c r="MKV9" s="117"/>
      <c r="MKW9" s="117"/>
      <c r="MKX9" s="117"/>
      <c r="MKY9" s="117"/>
      <c r="MKZ9" s="117"/>
      <c r="MLA9" s="117"/>
      <c r="MLB9" s="117"/>
      <c r="MLC9" s="117"/>
      <c r="MLD9" s="117"/>
      <c r="MLE9" s="117"/>
      <c r="MLF9" s="117"/>
      <c r="MLG9" s="117"/>
      <c r="MLH9" s="117"/>
      <c r="MLI9" s="117"/>
      <c r="MLJ9" s="117"/>
      <c r="MLK9" s="117"/>
      <c r="MLL9" s="117"/>
      <c r="MLM9" s="117"/>
      <c r="MLN9" s="117"/>
      <c r="MLO9" s="117"/>
      <c r="MLP9" s="117"/>
      <c r="MLQ9" s="117"/>
      <c r="MLR9" s="117"/>
      <c r="MLS9" s="117"/>
      <c r="MLT9" s="117"/>
      <c r="MLU9" s="117"/>
      <c r="MLV9" s="117"/>
      <c r="MLW9" s="117"/>
      <c r="MLX9" s="117"/>
      <c r="MLY9" s="117"/>
      <c r="MLZ9" s="117"/>
      <c r="MMA9" s="117"/>
      <c r="MMB9" s="117"/>
      <c r="MMC9" s="117"/>
      <c r="MMD9" s="117"/>
      <c r="MME9" s="117"/>
      <c r="MMF9" s="117"/>
      <c r="MMG9" s="117"/>
      <c r="MMH9" s="117"/>
      <c r="MMI9" s="117"/>
      <c r="MMJ9" s="117"/>
      <c r="MMK9" s="117"/>
      <c r="MML9" s="117"/>
      <c r="MMM9" s="117"/>
      <c r="MMN9" s="117"/>
      <c r="MMO9" s="117"/>
      <c r="MMP9" s="117"/>
      <c r="MMQ9" s="117"/>
      <c r="MMR9" s="117"/>
      <c r="MMS9" s="117"/>
      <c r="MMT9" s="117"/>
      <c r="MMU9" s="117"/>
      <c r="MMV9" s="117"/>
      <c r="MMW9" s="117"/>
      <c r="MMX9" s="117"/>
      <c r="MMY9" s="117"/>
      <c r="MMZ9" s="117"/>
      <c r="MNA9" s="117"/>
      <c r="MNB9" s="117"/>
      <c r="MNC9" s="117"/>
      <c r="MND9" s="117"/>
      <c r="MNE9" s="117"/>
      <c r="MNF9" s="117"/>
      <c r="MNG9" s="117"/>
      <c r="MNH9" s="117"/>
      <c r="MNI9" s="117"/>
      <c r="MNJ9" s="117"/>
      <c r="MNK9" s="117"/>
      <c r="MNL9" s="117"/>
      <c r="MNM9" s="117"/>
      <c r="MNN9" s="117"/>
      <c r="MNO9" s="117"/>
      <c r="MNP9" s="117"/>
      <c r="MNQ9" s="117"/>
      <c r="MNR9" s="117"/>
      <c r="MNS9" s="117"/>
      <c r="MNT9" s="117"/>
      <c r="MNU9" s="117"/>
      <c r="MNV9" s="117"/>
      <c r="MNW9" s="117"/>
      <c r="MNX9" s="117"/>
      <c r="MNY9" s="117"/>
      <c r="MNZ9" s="117"/>
      <c r="MOA9" s="117"/>
      <c r="MOB9" s="117"/>
      <c r="MOC9" s="117"/>
      <c r="MOD9" s="117"/>
      <c r="MOE9" s="117"/>
      <c r="MOF9" s="117"/>
      <c r="MOG9" s="117"/>
      <c r="MOH9" s="117"/>
      <c r="MOI9" s="117"/>
      <c r="MOJ9" s="117"/>
      <c r="MOK9" s="117"/>
      <c r="MOL9" s="117"/>
      <c r="MOM9" s="117"/>
      <c r="MON9" s="117"/>
      <c r="MOO9" s="117"/>
      <c r="MOP9" s="117"/>
      <c r="MOQ9" s="117"/>
      <c r="MOR9" s="117"/>
      <c r="MOS9" s="117"/>
      <c r="MOT9" s="117"/>
      <c r="MOU9" s="117"/>
      <c r="MOV9" s="117"/>
      <c r="MOW9" s="117"/>
      <c r="MOX9" s="117"/>
      <c r="MOY9" s="117"/>
      <c r="MOZ9" s="117"/>
      <c r="MPA9" s="117"/>
      <c r="MPB9" s="117"/>
      <c r="MPC9" s="117"/>
      <c r="MPD9" s="117"/>
      <c r="MPE9" s="117"/>
      <c r="MPF9" s="117"/>
      <c r="MPG9" s="117"/>
      <c r="MPH9" s="117"/>
      <c r="MPI9" s="117"/>
      <c r="MPJ9" s="117"/>
      <c r="MPK9" s="117"/>
      <c r="MPL9" s="117"/>
      <c r="MPM9" s="117"/>
      <c r="MPN9" s="117"/>
      <c r="MPO9" s="117"/>
      <c r="MPP9" s="117"/>
      <c r="MPQ9" s="117"/>
      <c r="MPR9" s="117"/>
      <c r="MPS9" s="117"/>
      <c r="MPT9" s="117"/>
      <c r="MPU9" s="117"/>
      <c r="MPV9" s="117"/>
      <c r="MPW9" s="117"/>
      <c r="MPX9" s="117"/>
      <c r="MPY9" s="117"/>
      <c r="MPZ9" s="117"/>
      <c r="MQA9" s="117"/>
      <c r="MQB9" s="117"/>
      <c r="MQC9" s="117"/>
      <c r="MQD9" s="117"/>
      <c r="MQE9" s="117"/>
      <c r="MQF9" s="117"/>
      <c r="MQG9" s="117"/>
      <c r="MQH9" s="117"/>
      <c r="MQI9" s="117"/>
      <c r="MQJ9" s="117"/>
      <c r="MQK9" s="117"/>
      <c r="MQL9" s="117"/>
      <c r="MQM9" s="117"/>
      <c r="MQN9" s="117"/>
      <c r="MQO9" s="117"/>
      <c r="MQP9" s="117"/>
      <c r="MQQ9" s="117"/>
      <c r="MQR9" s="117"/>
      <c r="MQS9" s="117"/>
      <c r="MQT9" s="117"/>
      <c r="MQU9" s="117"/>
      <c r="MQV9" s="117"/>
      <c r="MQW9" s="117"/>
      <c r="MQX9" s="117"/>
      <c r="MQY9" s="117"/>
      <c r="MQZ9" s="117"/>
      <c r="MRA9" s="117"/>
      <c r="MRB9" s="117"/>
      <c r="MRC9" s="117"/>
      <c r="MRD9" s="117"/>
      <c r="MRE9" s="117"/>
      <c r="MRF9" s="117"/>
      <c r="MRG9" s="117"/>
      <c r="MRH9" s="117"/>
      <c r="MRI9" s="117"/>
      <c r="MRJ9" s="117"/>
      <c r="MRK9" s="117"/>
      <c r="MRL9" s="117"/>
      <c r="MRM9" s="117"/>
      <c r="MRN9" s="117"/>
      <c r="MRO9" s="117"/>
      <c r="MRP9" s="117"/>
      <c r="MRQ9" s="117"/>
      <c r="MRR9" s="117"/>
      <c r="MRS9" s="117"/>
      <c r="MRT9" s="117"/>
      <c r="MRU9" s="117"/>
      <c r="MRV9" s="117"/>
      <c r="MRW9" s="117"/>
      <c r="MRX9" s="117"/>
      <c r="MRY9" s="117"/>
      <c r="MRZ9" s="117"/>
      <c r="MSA9" s="117"/>
      <c r="MSB9" s="117"/>
      <c r="MSC9" s="117"/>
      <c r="MSD9" s="117"/>
      <c r="MSE9" s="117"/>
      <c r="MSF9" s="117"/>
      <c r="MSG9" s="117"/>
      <c r="MSH9" s="117"/>
      <c r="MSI9" s="117"/>
      <c r="MSJ9" s="117"/>
      <c r="MSK9" s="117"/>
      <c r="MSL9" s="117"/>
      <c r="MSM9" s="117"/>
      <c r="MSN9" s="117"/>
      <c r="MSO9" s="117"/>
      <c r="MSP9" s="117"/>
      <c r="MSQ9" s="117"/>
      <c r="MSR9" s="117"/>
      <c r="MSS9" s="117"/>
      <c r="MST9" s="117"/>
      <c r="MSU9" s="117"/>
      <c r="MSV9" s="117"/>
      <c r="MSW9" s="117"/>
      <c r="MSX9" s="117"/>
      <c r="MSY9" s="117"/>
      <c r="MSZ9" s="117"/>
      <c r="MTA9" s="117"/>
      <c r="MTB9" s="117"/>
      <c r="MTC9" s="117"/>
      <c r="MTD9" s="117"/>
      <c r="MTE9" s="117"/>
      <c r="MTF9" s="117"/>
      <c r="MTG9" s="117"/>
      <c r="MTH9" s="117"/>
      <c r="MTI9" s="117"/>
      <c r="MTJ9" s="117"/>
      <c r="MTK9" s="117"/>
      <c r="MTL9" s="117"/>
      <c r="MTM9" s="117"/>
      <c r="MTN9" s="117"/>
      <c r="MTO9" s="117"/>
      <c r="MTP9" s="117"/>
      <c r="MTQ9" s="117"/>
      <c r="MTR9" s="117"/>
      <c r="MTS9" s="117"/>
      <c r="MTT9" s="117"/>
      <c r="MTU9" s="117"/>
      <c r="MTV9" s="117"/>
      <c r="MTW9" s="117"/>
      <c r="MTX9" s="117"/>
      <c r="MTY9" s="117"/>
      <c r="MTZ9" s="117"/>
      <c r="MUA9" s="117"/>
      <c r="MUB9" s="117"/>
      <c r="MUC9" s="117"/>
      <c r="MUD9" s="117"/>
      <c r="MUE9" s="117"/>
      <c r="MUF9" s="117"/>
      <c r="MUG9" s="117"/>
      <c r="MUH9" s="117"/>
      <c r="MUI9" s="117"/>
      <c r="MUJ9" s="117"/>
      <c r="MUK9" s="117"/>
      <c r="MUL9" s="117"/>
      <c r="MUM9" s="117"/>
      <c r="MUN9" s="117"/>
      <c r="MUO9" s="117"/>
      <c r="MUP9" s="117"/>
      <c r="MUQ9" s="117"/>
      <c r="MUR9" s="117"/>
      <c r="MUS9" s="117"/>
      <c r="MUT9" s="117"/>
      <c r="MUU9" s="117"/>
      <c r="MUV9" s="117"/>
      <c r="MUW9" s="117"/>
      <c r="MUX9" s="117"/>
      <c r="MUY9" s="117"/>
      <c r="MUZ9" s="117"/>
      <c r="MVA9" s="117"/>
      <c r="MVB9" s="117"/>
      <c r="MVC9" s="117"/>
      <c r="MVD9" s="117"/>
      <c r="MVE9" s="117"/>
      <c r="MVF9" s="117"/>
      <c r="MVG9" s="117"/>
      <c r="MVH9" s="117"/>
      <c r="MVI9" s="117"/>
      <c r="MVJ9" s="117"/>
      <c r="MVK9" s="117"/>
      <c r="MVL9" s="117"/>
      <c r="MVM9" s="117"/>
      <c r="MVN9" s="117"/>
      <c r="MVO9" s="117"/>
      <c r="MVP9" s="117"/>
      <c r="MVQ9" s="117"/>
      <c r="MVR9" s="117"/>
      <c r="MVS9" s="117"/>
      <c r="MVT9" s="117"/>
      <c r="MVU9" s="117"/>
      <c r="MVV9" s="117"/>
      <c r="MVW9" s="117"/>
      <c r="MVX9" s="117"/>
      <c r="MVY9" s="117"/>
      <c r="MVZ9" s="117"/>
      <c r="MWA9" s="117"/>
      <c r="MWB9" s="117"/>
      <c r="MWC9" s="117"/>
      <c r="MWD9" s="117"/>
      <c r="MWE9" s="117"/>
      <c r="MWF9" s="117"/>
      <c r="MWG9" s="117"/>
      <c r="MWH9" s="117"/>
      <c r="MWI9" s="117"/>
      <c r="MWJ9" s="117"/>
      <c r="MWK9" s="117"/>
      <c r="MWL9" s="117"/>
      <c r="MWM9" s="117"/>
      <c r="MWN9" s="117"/>
      <c r="MWO9" s="117"/>
      <c r="MWP9" s="117"/>
      <c r="MWQ9" s="117"/>
      <c r="MWR9" s="117"/>
      <c r="MWS9" s="117"/>
      <c r="MWT9" s="117"/>
      <c r="MWU9" s="117"/>
      <c r="MWV9" s="117"/>
      <c r="MWW9" s="117"/>
      <c r="MWX9" s="117"/>
      <c r="MWY9" s="117"/>
      <c r="MWZ9" s="117"/>
      <c r="MXA9" s="117"/>
      <c r="MXB9" s="117"/>
      <c r="MXC9" s="117"/>
      <c r="MXD9" s="117"/>
      <c r="MXE9" s="117"/>
      <c r="MXF9" s="117"/>
      <c r="MXG9" s="117"/>
      <c r="MXH9" s="117"/>
      <c r="MXI9" s="117"/>
      <c r="MXJ9" s="117"/>
      <c r="MXK9" s="117"/>
      <c r="MXL9" s="117"/>
      <c r="MXM9" s="117"/>
      <c r="MXN9" s="117"/>
      <c r="MXO9" s="117"/>
      <c r="MXP9" s="117"/>
      <c r="MXQ9" s="117"/>
      <c r="MXR9" s="117"/>
      <c r="MXS9" s="117"/>
      <c r="MXT9" s="117"/>
      <c r="MXU9" s="117"/>
      <c r="MXV9" s="117"/>
      <c r="MXW9" s="117"/>
      <c r="MXX9" s="117"/>
      <c r="MXY9" s="117"/>
      <c r="MXZ9" s="117"/>
      <c r="MYA9" s="117"/>
      <c r="MYB9" s="117"/>
      <c r="MYC9" s="117"/>
      <c r="MYD9" s="117"/>
      <c r="MYE9" s="117"/>
      <c r="MYF9" s="117"/>
      <c r="MYG9" s="117"/>
      <c r="MYH9" s="117"/>
      <c r="MYI9" s="117"/>
      <c r="MYJ9" s="117"/>
      <c r="MYK9" s="117"/>
      <c r="MYL9" s="117"/>
      <c r="MYM9" s="117"/>
      <c r="MYN9" s="117"/>
      <c r="MYO9" s="117"/>
      <c r="MYP9" s="117"/>
      <c r="MYQ9" s="117"/>
      <c r="MYR9" s="117"/>
      <c r="MYS9" s="117"/>
      <c r="MYT9" s="117"/>
      <c r="MYU9" s="117"/>
      <c r="MYV9" s="117"/>
      <c r="MYW9" s="117"/>
      <c r="MYX9" s="117"/>
      <c r="MYY9" s="117"/>
      <c r="MYZ9" s="117"/>
      <c r="MZA9" s="117"/>
      <c r="MZB9" s="117"/>
      <c r="MZC9" s="117"/>
      <c r="MZD9" s="117"/>
      <c r="MZE9" s="117"/>
      <c r="MZF9" s="117"/>
      <c r="MZG9" s="117"/>
      <c r="MZH9" s="117"/>
      <c r="MZI9" s="117"/>
      <c r="MZJ9" s="117"/>
      <c r="MZK9" s="117"/>
      <c r="MZL9" s="117"/>
      <c r="MZM9" s="117"/>
      <c r="MZN9" s="117"/>
      <c r="MZO9" s="117"/>
      <c r="MZP9" s="117"/>
      <c r="MZQ9" s="117"/>
      <c r="MZR9" s="117"/>
      <c r="MZS9" s="117"/>
      <c r="MZT9" s="117"/>
      <c r="MZU9" s="117"/>
      <c r="MZV9" s="117"/>
      <c r="MZW9" s="117"/>
      <c r="MZX9" s="117"/>
      <c r="MZY9" s="117"/>
      <c r="MZZ9" s="117"/>
      <c r="NAA9" s="117"/>
      <c r="NAB9" s="117"/>
      <c r="NAC9" s="117"/>
      <c r="NAD9" s="117"/>
      <c r="NAE9" s="117"/>
      <c r="NAF9" s="117"/>
      <c r="NAG9" s="117"/>
      <c r="NAH9" s="117"/>
      <c r="NAI9" s="117"/>
      <c r="NAJ9" s="117"/>
      <c r="NAK9" s="117"/>
      <c r="NAL9" s="117"/>
      <c r="NAM9" s="117"/>
      <c r="NAN9" s="117"/>
      <c r="NAO9" s="117"/>
      <c r="NAP9" s="117"/>
      <c r="NAQ9" s="117"/>
      <c r="NAR9" s="117"/>
      <c r="NAS9" s="117"/>
      <c r="NAT9" s="117"/>
      <c r="NAU9" s="117"/>
      <c r="NAV9" s="117"/>
      <c r="NAW9" s="117"/>
      <c r="NAX9" s="117"/>
      <c r="NAY9" s="117"/>
      <c r="NAZ9" s="117"/>
      <c r="NBA9" s="117"/>
      <c r="NBB9" s="117"/>
      <c r="NBC9" s="117"/>
      <c r="NBD9" s="117"/>
      <c r="NBE9" s="117"/>
      <c r="NBF9" s="117"/>
      <c r="NBG9" s="117"/>
      <c r="NBH9" s="117"/>
      <c r="NBI9" s="117"/>
      <c r="NBJ9" s="117"/>
      <c r="NBK9" s="117"/>
      <c r="NBL9" s="117"/>
      <c r="NBM9" s="117"/>
      <c r="NBN9" s="117"/>
      <c r="NBO9" s="117"/>
      <c r="NBP9" s="117"/>
      <c r="NBQ9" s="117"/>
      <c r="NBR9" s="117"/>
      <c r="NBS9" s="117"/>
      <c r="NBT9" s="117"/>
      <c r="NBU9" s="117"/>
      <c r="NBV9" s="117"/>
      <c r="NBW9" s="117"/>
      <c r="NBX9" s="117"/>
      <c r="NBY9" s="117"/>
      <c r="NBZ9" s="117"/>
      <c r="NCA9" s="117"/>
      <c r="NCB9" s="117"/>
      <c r="NCC9" s="117"/>
      <c r="NCD9" s="117"/>
      <c r="NCE9" s="117"/>
      <c r="NCF9" s="117"/>
      <c r="NCG9" s="117"/>
      <c r="NCH9" s="117"/>
      <c r="NCI9" s="117"/>
      <c r="NCJ9" s="117"/>
      <c r="NCK9" s="117"/>
      <c r="NCL9" s="117"/>
      <c r="NCM9" s="117"/>
      <c r="NCN9" s="117"/>
      <c r="NCO9" s="117"/>
      <c r="NCP9" s="117"/>
      <c r="NCQ9" s="117"/>
      <c r="NCR9" s="117"/>
      <c r="NCS9" s="117"/>
      <c r="NCT9" s="117"/>
      <c r="NCU9" s="117"/>
      <c r="NCV9" s="117"/>
      <c r="NCW9" s="117"/>
      <c r="NCX9" s="117"/>
      <c r="NCY9" s="117"/>
      <c r="NCZ9" s="117"/>
      <c r="NDA9" s="117"/>
      <c r="NDB9" s="117"/>
      <c r="NDC9" s="117"/>
      <c r="NDD9" s="117"/>
      <c r="NDE9" s="117"/>
      <c r="NDF9" s="117"/>
      <c r="NDG9" s="117"/>
      <c r="NDH9" s="117"/>
      <c r="NDI9" s="117"/>
      <c r="NDJ9" s="117"/>
      <c r="NDK9" s="117"/>
      <c r="NDL9" s="117"/>
      <c r="NDM9" s="117"/>
      <c r="NDN9" s="117"/>
      <c r="NDO9" s="117"/>
      <c r="NDP9" s="117"/>
      <c r="NDQ9" s="117"/>
      <c r="NDR9" s="117"/>
      <c r="NDS9" s="117"/>
      <c r="NDT9" s="117"/>
      <c r="NDU9" s="117"/>
      <c r="NDV9" s="117"/>
      <c r="NDW9" s="117"/>
      <c r="NDX9" s="117"/>
      <c r="NDY9" s="117"/>
      <c r="NDZ9" s="117"/>
      <c r="NEA9" s="117"/>
      <c r="NEB9" s="117"/>
      <c r="NEC9" s="117"/>
      <c r="NED9" s="117"/>
      <c r="NEE9" s="117"/>
      <c r="NEF9" s="117"/>
      <c r="NEG9" s="117"/>
      <c r="NEH9" s="117"/>
      <c r="NEI9" s="117"/>
      <c r="NEJ9" s="117"/>
      <c r="NEK9" s="117"/>
      <c r="NEL9" s="117"/>
      <c r="NEM9" s="117"/>
      <c r="NEN9" s="117"/>
      <c r="NEO9" s="117"/>
      <c r="NEP9" s="117"/>
      <c r="NEQ9" s="117"/>
      <c r="NER9" s="117"/>
      <c r="NES9" s="117"/>
      <c r="NET9" s="117"/>
      <c r="NEU9" s="117"/>
      <c r="NEV9" s="117"/>
      <c r="NEW9" s="117"/>
      <c r="NEX9" s="117"/>
      <c r="NEY9" s="117"/>
      <c r="NEZ9" s="117"/>
      <c r="NFA9" s="117"/>
      <c r="NFB9" s="117"/>
      <c r="NFC9" s="117"/>
      <c r="NFD9" s="117"/>
      <c r="NFE9" s="117"/>
      <c r="NFF9" s="117"/>
      <c r="NFG9" s="117"/>
      <c r="NFH9" s="117"/>
      <c r="NFI9" s="117"/>
      <c r="NFJ9" s="117"/>
      <c r="NFK9" s="117"/>
      <c r="NFL9" s="117"/>
      <c r="NFM9" s="117"/>
      <c r="NFN9" s="117"/>
      <c r="NFO9" s="117"/>
      <c r="NFP9" s="117"/>
      <c r="NFQ9" s="117"/>
      <c r="NFR9" s="117"/>
      <c r="NFS9" s="117"/>
      <c r="NFT9" s="117"/>
      <c r="NFU9" s="117"/>
      <c r="NFV9" s="117"/>
      <c r="NFW9" s="117"/>
      <c r="NFX9" s="117"/>
      <c r="NFY9" s="117"/>
      <c r="NFZ9" s="117"/>
      <c r="NGA9" s="117"/>
      <c r="NGB9" s="117"/>
      <c r="NGC9" s="117"/>
      <c r="NGD9" s="117"/>
      <c r="NGE9" s="117"/>
      <c r="NGF9" s="117"/>
      <c r="NGG9" s="117"/>
      <c r="NGH9" s="117"/>
      <c r="NGI9" s="117"/>
      <c r="NGJ9" s="117"/>
      <c r="NGK9" s="117"/>
      <c r="NGL9" s="117"/>
      <c r="NGM9" s="117"/>
      <c r="NGN9" s="117"/>
      <c r="NGO9" s="117"/>
      <c r="NGP9" s="117"/>
      <c r="NGQ9" s="117"/>
      <c r="NGR9" s="117"/>
      <c r="NGS9" s="117"/>
      <c r="NGT9" s="117"/>
      <c r="NGU9" s="117"/>
      <c r="NGV9" s="117"/>
      <c r="NGW9" s="117"/>
      <c r="NGX9" s="117"/>
      <c r="NGY9" s="117"/>
      <c r="NGZ9" s="117"/>
      <c r="NHA9" s="117"/>
      <c r="NHB9" s="117"/>
      <c r="NHC9" s="117"/>
      <c r="NHD9" s="117"/>
      <c r="NHE9" s="117"/>
      <c r="NHF9" s="117"/>
      <c r="NHG9" s="117"/>
      <c r="NHH9" s="117"/>
      <c r="NHI9" s="117"/>
      <c r="NHJ9" s="117"/>
      <c r="NHK9" s="117"/>
      <c r="NHL9" s="117"/>
      <c r="NHM9" s="117"/>
      <c r="NHN9" s="117"/>
      <c r="NHO9" s="117"/>
      <c r="NHP9" s="117"/>
      <c r="NHQ9" s="117"/>
      <c r="NHR9" s="117"/>
      <c r="NHS9" s="117"/>
      <c r="NHT9" s="117"/>
      <c r="NHU9" s="117"/>
      <c r="NHV9" s="117"/>
      <c r="NHW9" s="117"/>
      <c r="NHX9" s="117"/>
      <c r="NHY9" s="117"/>
      <c r="NHZ9" s="117"/>
      <c r="NIA9" s="117"/>
      <c r="NIB9" s="117"/>
      <c r="NIC9" s="117"/>
      <c r="NID9" s="117"/>
      <c r="NIE9" s="117"/>
      <c r="NIF9" s="117"/>
      <c r="NIG9" s="117"/>
      <c r="NIH9" s="117"/>
      <c r="NII9" s="117"/>
      <c r="NIJ9" s="117"/>
      <c r="NIK9" s="117"/>
      <c r="NIL9" s="117"/>
      <c r="NIM9" s="117"/>
      <c r="NIN9" s="117"/>
      <c r="NIO9" s="117"/>
      <c r="NIP9" s="117"/>
      <c r="NIQ9" s="117"/>
      <c r="NIR9" s="117"/>
      <c r="NIS9" s="117"/>
      <c r="NIT9" s="117"/>
      <c r="NIU9" s="117"/>
      <c r="NIV9" s="117"/>
      <c r="NIW9" s="117"/>
      <c r="NIX9" s="117"/>
      <c r="NIY9" s="117"/>
      <c r="NIZ9" s="117"/>
      <c r="NJA9" s="117"/>
      <c r="NJB9" s="117"/>
      <c r="NJC9" s="117"/>
      <c r="NJD9" s="117"/>
      <c r="NJE9" s="117"/>
      <c r="NJF9" s="117"/>
      <c r="NJG9" s="117"/>
      <c r="NJH9" s="117"/>
      <c r="NJI9" s="117"/>
      <c r="NJJ9" s="117"/>
      <c r="NJK9" s="117"/>
      <c r="NJL9" s="117"/>
      <c r="NJM9" s="117"/>
      <c r="NJN9" s="117"/>
      <c r="NJO9" s="117"/>
      <c r="NJP9" s="117"/>
      <c r="NJQ9" s="117"/>
      <c r="NJR9" s="117"/>
      <c r="NJS9" s="117"/>
      <c r="NJT9" s="117"/>
      <c r="NJU9" s="117"/>
      <c r="NJV9" s="117"/>
      <c r="NJW9" s="117"/>
      <c r="NJX9" s="117"/>
      <c r="NJY9" s="117"/>
      <c r="NJZ9" s="117"/>
      <c r="NKA9" s="117"/>
      <c r="NKB9" s="117"/>
      <c r="NKC9" s="117"/>
      <c r="NKD9" s="117"/>
      <c r="NKE9" s="117"/>
      <c r="NKF9" s="117"/>
      <c r="NKG9" s="117"/>
      <c r="NKH9" s="117"/>
      <c r="NKI9" s="117"/>
      <c r="NKJ9" s="117"/>
      <c r="NKK9" s="117"/>
      <c r="NKL9" s="117"/>
      <c r="NKM9" s="117"/>
      <c r="NKN9" s="117"/>
      <c r="NKO9" s="117"/>
      <c r="NKP9" s="117"/>
      <c r="NKQ9" s="117"/>
      <c r="NKR9" s="117"/>
      <c r="NKS9" s="117"/>
      <c r="NKT9" s="117"/>
      <c r="NKU9" s="117"/>
      <c r="NKV9" s="117"/>
      <c r="NKW9" s="117"/>
      <c r="NKX9" s="117"/>
      <c r="NKY9" s="117"/>
      <c r="NKZ9" s="117"/>
      <c r="NLA9" s="117"/>
      <c r="NLB9" s="117"/>
      <c r="NLC9" s="117"/>
      <c r="NLD9" s="117"/>
      <c r="NLE9" s="117"/>
      <c r="NLF9" s="117"/>
      <c r="NLG9" s="117"/>
      <c r="NLH9" s="117"/>
      <c r="NLI9" s="117"/>
      <c r="NLJ9" s="117"/>
      <c r="NLK9" s="117"/>
      <c r="NLL9" s="117"/>
      <c r="NLM9" s="117"/>
      <c r="NLN9" s="117"/>
      <c r="NLO9" s="117"/>
      <c r="NLP9" s="117"/>
      <c r="NLQ9" s="117"/>
      <c r="NLR9" s="117"/>
      <c r="NLS9" s="117"/>
      <c r="NLT9" s="117"/>
      <c r="NLU9" s="117"/>
      <c r="NLV9" s="117"/>
      <c r="NLW9" s="117"/>
      <c r="NLX9" s="117"/>
      <c r="NLY9" s="117"/>
      <c r="NLZ9" s="117"/>
      <c r="NMA9" s="117"/>
      <c r="NMB9" s="117"/>
      <c r="NMC9" s="117"/>
      <c r="NMD9" s="117"/>
      <c r="NME9" s="117"/>
      <c r="NMF9" s="117"/>
      <c r="NMG9" s="117"/>
      <c r="NMH9" s="117"/>
      <c r="NMI9" s="117"/>
      <c r="NMJ9" s="117"/>
      <c r="NMK9" s="117"/>
      <c r="NML9" s="117"/>
      <c r="NMM9" s="117"/>
      <c r="NMN9" s="117"/>
      <c r="NMO9" s="117"/>
      <c r="NMP9" s="117"/>
      <c r="NMQ9" s="117"/>
      <c r="NMR9" s="117"/>
      <c r="NMS9" s="117"/>
      <c r="NMT9" s="117"/>
      <c r="NMU9" s="117"/>
      <c r="NMV9" s="117"/>
      <c r="NMW9" s="117"/>
      <c r="NMX9" s="117"/>
      <c r="NMY9" s="117"/>
      <c r="NMZ9" s="117"/>
      <c r="NNA9" s="117"/>
      <c r="NNB9" s="117"/>
      <c r="NNC9" s="117"/>
      <c r="NND9" s="117"/>
      <c r="NNE9" s="117"/>
      <c r="NNF9" s="117"/>
      <c r="NNG9" s="117"/>
      <c r="NNH9" s="117"/>
      <c r="NNI9" s="117"/>
      <c r="NNJ9" s="117"/>
      <c r="NNK9" s="117"/>
      <c r="NNL9" s="117"/>
      <c r="NNM9" s="117"/>
      <c r="NNN9" s="117"/>
      <c r="NNO9" s="117"/>
      <c r="NNP9" s="117"/>
      <c r="NNQ9" s="117"/>
      <c r="NNR9" s="117"/>
      <c r="NNS9" s="117"/>
      <c r="NNT9" s="117"/>
      <c r="NNU9" s="117"/>
      <c r="NNV9" s="117"/>
      <c r="NNW9" s="117"/>
      <c r="NNX9" s="117"/>
      <c r="NNY9" s="117"/>
      <c r="NNZ9" s="117"/>
      <c r="NOA9" s="117"/>
      <c r="NOB9" s="117"/>
      <c r="NOC9" s="117"/>
      <c r="NOD9" s="117"/>
      <c r="NOE9" s="117"/>
      <c r="NOF9" s="117"/>
      <c r="NOG9" s="117"/>
      <c r="NOH9" s="117"/>
      <c r="NOI9" s="117"/>
      <c r="NOJ9" s="117"/>
      <c r="NOK9" s="117"/>
      <c r="NOL9" s="117"/>
      <c r="NOM9" s="117"/>
      <c r="NON9" s="117"/>
      <c r="NOO9" s="117"/>
      <c r="NOP9" s="117"/>
      <c r="NOQ9" s="117"/>
      <c r="NOR9" s="117"/>
      <c r="NOS9" s="117"/>
      <c r="NOT9" s="117"/>
      <c r="NOU9" s="117"/>
      <c r="NOV9" s="117"/>
      <c r="NOW9" s="117"/>
      <c r="NOX9" s="117"/>
      <c r="NOY9" s="117"/>
      <c r="NOZ9" s="117"/>
      <c r="NPA9" s="117"/>
      <c r="NPB9" s="117"/>
      <c r="NPC9" s="117"/>
      <c r="NPD9" s="117"/>
      <c r="NPE9" s="117"/>
      <c r="NPF9" s="117"/>
      <c r="NPG9" s="117"/>
      <c r="NPH9" s="117"/>
      <c r="NPI9" s="117"/>
      <c r="NPJ9" s="117"/>
      <c r="NPK9" s="117"/>
      <c r="NPL9" s="117"/>
      <c r="NPM9" s="117"/>
      <c r="NPN9" s="117"/>
      <c r="NPO9" s="117"/>
      <c r="NPP9" s="117"/>
      <c r="NPQ9" s="117"/>
      <c r="NPR9" s="117"/>
      <c r="NPS9" s="117"/>
      <c r="NPT9" s="117"/>
      <c r="NPU9" s="117"/>
      <c r="NPV9" s="117"/>
      <c r="NPW9" s="117"/>
      <c r="NPX9" s="117"/>
      <c r="NPY9" s="117"/>
      <c r="NPZ9" s="117"/>
      <c r="NQA9" s="117"/>
      <c r="NQB9" s="117"/>
      <c r="NQC9" s="117"/>
      <c r="NQD9" s="117"/>
      <c r="NQE9" s="117"/>
      <c r="NQF9" s="117"/>
      <c r="NQG9" s="117"/>
      <c r="NQH9" s="117"/>
      <c r="NQI9" s="117"/>
      <c r="NQJ9" s="117"/>
      <c r="NQK9" s="117"/>
      <c r="NQL9" s="117"/>
      <c r="NQM9" s="117"/>
      <c r="NQN9" s="117"/>
      <c r="NQO9" s="117"/>
      <c r="NQP9" s="117"/>
      <c r="NQQ9" s="117"/>
      <c r="NQR9" s="117"/>
      <c r="NQS9" s="117"/>
      <c r="NQT9" s="117"/>
      <c r="NQU9" s="117"/>
      <c r="NQV9" s="117"/>
      <c r="NQW9" s="117"/>
      <c r="NQX9" s="117"/>
      <c r="NQY9" s="117"/>
      <c r="NQZ9" s="117"/>
      <c r="NRA9" s="117"/>
      <c r="NRB9" s="117"/>
      <c r="NRC9" s="117"/>
      <c r="NRD9" s="117"/>
      <c r="NRE9" s="117"/>
      <c r="NRF9" s="117"/>
      <c r="NRG9" s="117"/>
      <c r="NRH9" s="117"/>
      <c r="NRI9" s="117"/>
      <c r="NRJ9" s="117"/>
      <c r="NRK9" s="117"/>
      <c r="NRL9" s="117"/>
      <c r="NRM9" s="117"/>
      <c r="NRN9" s="117"/>
      <c r="NRO9" s="117"/>
      <c r="NRP9" s="117"/>
      <c r="NRQ9" s="117"/>
      <c r="NRR9" s="117"/>
      <c r="NRS9" s="117"/>
      <c r="NRT9" s="117"/>
      <c r="NRU9" s="117"/>
      <c r="NRV9" s="117"/>
      <c r="NRW9" s="117"/>
      <c r="NRX9" s="117"/>
      <c r="NRY9" s="117"/>
      <c r="NRZ9" s="117"/>
      <c r="NSA9" s="117"/>
      <c r="NSB9" s="117"/>
      <c r="NSC9" s="117"/>
      <c r="NSD9" s="117"/>
      <c r="NSE9" s="117"/>
      <c r="NSF9" s="117"/>
      <c r="NSG9" s="117"/>
      <c r="NSH9" s="117"/>
      <c r="NSI9" s="117"/>
      <c r="NSJ9" s="117"/>
      <c r="NSK9" s="117"/>
      <c r="NSL9" s="117"/>
      <c r="NSM9" s="117"/>
      <c r="NSN9" s="117"/>
      <c r="NSO9" s="117"/>
      <c r="NSP9" s="117"/>
      <c r="NSQ9" s="117"/>
      <c r="NSR9" s="117"/>
      <c r="NSS9" s="117"/>
      <c r="NST9" s="117"/>
      <c r="NSU9" s="117"/>
      <c r="NSV9" s="117"/>
      <c r="NSW9" s="117"/>
      <c r="NSX9" s="117"/>
      <c r="NSY9" s="117"/>
      <c r="NSZ9" s="117"/>
      <c r="NTA9" s="117"/>
      <c r="NTB9" s="117"/>
      <c r="NTC9" s="117"/>
      <c r="NTD9" s="117"/>
      <c r="NTE9" s="117"/>
      <c r="NTF9" s="117"/>
      <c r="NTG9" s="117"/>
      <c r="NTH9" s="117"/>
      <c r="NTI9" s="117"/>
      <c r="NTJ9" s="117"/>
      <c r="NTK9" s="117"/>
      <c r="NTL9" s="117"/>
      <c r="NTM9" s="117"/>
      <c r="NTN9" s="117"/>
      <c r="NTO9" s="117"/>
      <c r="NTP9" s="117"/>
      <c r="NTQ9" s="117"/>
      <c r="NTR9" s="117"/>
      <c r="NTS9" s="117"/>
      <c r="NTT9" s="117"/>
      <c r="NTU9" s="117"/>
      <c r="NTV9" s="117"/>
      <c r="NTW9" s="117"/>
      <c r="NTX9" s="117"/>
      <c r="NTY9" s="117"/>
      <c r="NTZ9" s="117"/>
      <c r="NUA9" s="117"/>
      <c r="NUB9" s="117"/>
      <c r="NUC9" s="117"/>
      <c r="NUD9" s="117"/>
      <c r="NUE9" s="117"/>
      <c r="NUF9" s="117"/>
      <c r="NUG9" s="117"/>
      <c r="NUH9" s="117"/>
      <c r="NUI9" s="117"/>
      <c r="NUJ9" s="117"/>
      <c r="NUK9" s="117"/>
      <c r="NUL9" s="117"/>
      <c r="NUM9" s="117"/>
      <c r="NUN9" s="117"/>
      <c r="NUO9" s="117"/>
      <c r="NUP9" s="117"/>
      <c r="NUQ9" s="117"/>
      <c r="NUR9" s="117"/>
      <c r="NUS9" s="117"/>
      <c r="NUT9" s="117"/>
      <c r="NUU9" s="117"/>
      <c r="NUV9" s="117"/>
      <c r="NUW9" s="117"/>
      <c r="NUX9" s="117"/>
      <c r="NUY9" s="117"/>
      <c r="NUZ9" s="117"/>
      <c r="NVA9" s="117"/>
      <c r="NVB9" s="117"/>
      <c r="NVC9" s="117"/>
      <c r="NVD9" s="117"/>
      <c r="NVE9" s="117"/>
      <c r="NVF9" s="117"/>
      <c r="NVG9" s="117"/>
      <c r="NVH9" s="117"/>
      <c r="NVI9" s="117"/>
      <c r="NVJ9" s="117"/>
      <c r="NVK9" s="117"/>
      <c r="NVL9" s="117"/>
      <c r="NVM9" s="117"/>
      <c r="NVN9" s="117"/>
      <c r="NVO9" s="117"/>
      <c r="NVP9" s="117"/>
      <c r="NVQ9" s="117"/>
      <c r="NVR9" s="117"/>
      <c r="NVS9" s="117"/>
      <c r="NVT9" s="117"/>
      <c r="NVU9" s="117"/>
      <c r="NVV9" s="117"/>
      <c r="NVW9" s="117"/>
      <c r="NVX9" s="117"/>
      <c r="NVY9" s="117"/>
      <c r="NVZ9" s="117"/>
      <c r="NWA9" s="117"/>
      <c r="NWB9" s="117"/>
      <c r="NWC9" s="117"/>
      <c r="NWD9" s="117"/>
      <c r="NWE9" s="117"/>
      <c r="NWF9" s="117"/>
      <c r="NWG9" s="117"/>
      <c r="NWH9" s="117"/>
      <c r="NWI9" s="117"/>
      <c r="NWJ9" s="117"/>
      <c r="NWK9" s="117"/>
      <c r="NWL9" s="117"/>
      <c r="NWM9" s="117"/>
      <c r="NWN9" s="117"/>
      <c r="NWO9" s="117"/>
      <c r="NWP9" s="117"/>
      <c r="NWQ9" s="117"/>
      <c r="NWR9" s="117"/>
      <c r="NWS9" s="117"/>
      <c r="NWT9" s="117"/>
      <c r="NWU9" s="117"/>
      <c r="NWV9" s="117"/>
      <c r="NWW9" s="117"/>
      <c r="NWX9" s="117"/>
      <c r="NWY9" s="117"/>
      <c r="NWZ9" s="117"/>
      <c r="NXA9" s="117"/>
      <c r="NXB9" s="117"/>
      <c r="NXC9" s="117"/>
      <c r="NXD9" s="117"/>
      <c r="NXE9" s="117"/>
      <c r="NXF9" s="117"/>
      <c r="NXG9" s="117"/>
      <c r="NXH9" s="117"/>
      <c r="NXI9" s="117"/>
      <c r="NXJ9" s="117"/>
      <c r="NXK9" s="117"/>
      <c r="NXL9" s="117"/>
      <c r="NXM9" s="117"/>
      <c r="NXN9" s="117"/>
      <c r="NXO9" s="117"/>
      <c r="NXP9" s="117"/>
      <c r="NXQ9" s="117"/>
      <c r="NXR9" s="117"/>
      <c r="NXS9" s="117"/>
      <c r="NXT9" s="117"/>
      <c r="NXU9" s="117"/>
      <c r="NXV9" s="117"/>
      <c r="NXW9" s="117"/>
      <c r="NXX9" s="117"/>
      <c r="NXY9" s="117"/>
      <c r="NXZ9" s="117"/>
      <c r="NYA9" s="117"/>
      <c r="NYB9" s="117"/>
      <c r="NYC9" s="117"/>
      <c r="NYD9" s="117"/>
      <c r="NYE9" s="117"/>
      <c r="NYF9" s="117"/>
      <c r="NYG9" s="117"/>
      <c r="NYH9" s="117"/>
      <c r="NYI9" s="117"/>
      <c r="NYJ9" s="117"/>
      <c r="NYK9" s="117"/>
      <c r="NYL9" s="117"/>
      <c r="NYM9" s="117"/>
      <c r="NYN9" s="117"/>
      <c r="NYO9" s="117"/>
      <c r="NYP9" s="117"/>
      <c r="NYQ9" s="117"/>
      <c r="NYR9" s="117"/>
      <c r="NYS9" s="117"/>
      <c r="NYT9" s="117"/>
      <c r="NYU9" s="117"/>
      <c r="NYV9" s="117"/>
      <c r="NYW9" s="117"/>
      <c r="NYX9" s="117"/>
      <c r="NYY9" s="117"/>
      <c r="NYZ9" s="117"/>
      <c r="NZA9" s="117"/>
      <c r="NZB9" s="117"/>
      <c r="NZC9" s="117"/>
      <c r="NZD9" s="117"/>
      <c r="NZE9" s="117"/>
      <c r="NZF9" s="117"/>
      <c r="NZG9" s="117"/>
      <c r="NZH9" s="117"/>
      <c r="NZI9" s="117"/>
      <c r="NZJ9" s="117"/>
      <c r="NZK9" s="117"/>
      <c r="NZL9" s="117"/>
      <c r="NZM9" s="117"/>
      <c r="NZN9" s="117"/>
      <c r="NZO9" s="117"/>
      <c r="NZP9" s="117"/>
      <c r="NZQ9" s="117"/>
      <c r="NZR9" s="117"/>
      <c r="NZS9" s="117"/>
      <c r="NZT9" s="117"/>
      <c r="NZU9" s="117"/>
      <c r="NZV9" s="117"/>
      <c r="NZW9" s="117"/>
      <c r="NZX9" s="117"/>
      <c r="NZY9" s="117"/>
      <c r="NZZ9" s="117"/>
      <c r="OAA9" s="117"/>
      <c r="OAB9" s="117"/>
      <c r="OAC9" s="117"/>
      <c r="OAD9" s="117"/>
      <c r="OAE9" s="117"/>
      <c r="OAF9" s="117"/>
      <c r="OAG9" s="117"/>
      <c r="OAH9" s="117"/>
      <c r="OAI9" s="117"/>
      <c r="OAJ9" s="117"/>
      <c r="OAK9" s="117"/>
      <c r="OAL9" s="117"/>
      <c r="OAM9" s="117"/>
      <c r="OAN9" s="117"/>
      <c r="OAO9" s="117"/>
      <c r="OAP9" s="117"/>
      <c r="OAQ9" s="117"/>
      <c r="OAR9" s="117"/>
      <c r="OAS9" s="117"/>
      <c r="OAT9" s="117"/>
      <c r="OAU9" s="117"/>
      <c r="OAV9" s="117"/>
      <c r="OAW9" s="117"/>
      <c r="OAX9" s="117"/>
      <c r="OAY9" s="117"/>
      <c r="OAZ9" s="117"/>
      <c r="OBA9" s="117"/>
      <c r="OBB9" s="117"/>
      <c r="OBC9" s="117"/>
      <c r="OBD9" s="117"/>
      <c r="OBE9" s="117"/>
      <c r="OBF9" s="117"/>
      <c r="OBG9" s="117"/>
      <c r="OBH9" s="117"/>
      <c r="OBI9" s="117"/>
      <c r="OBJ9" s="117"/>
      <c r="OBK9" s="117"/>
      <c r="OBL9" s="117"/>
      <c r="OBM9" s="117"/>
      <c r="OBN9" s="117"/>
      <c r="OBO9" s="117"/>
      <c r="OBP9" s="117"/>
      <c r="OBQ9" s="117"/>
      <c r="OBR9" s="117"/>
      <c r="OBS9" s="117"/>
      <c r="OBT9" s="117"/>
      <c r="OBU9" s="117"/>
      <c r="OBV9" s="117"/>
      <c r="OBW9" s="117"/>
      <c r="OBX9" s="117"/>
      <c r="OBY9" s="117"/>
      <c r="OBZ9" s="117"/>
      <c r="OCA9" s="117"/>
      <c r="OCB9" s="117"/>
      <c r="OCC9" s="117"/>
      <c r="OCD9" s="117"/>
      <c r="OCE9" s="117"/>
      <c r="OCF9" s="117"/>
      <c r="OCG9" s="117"/>
      <c r="OCH9" s="117"/>
      <c r="OCI9" s="117"/>
      <c r="OCJ9" s="117"/>
      <c r="OCK9" s="117"/>
      <c r="OCL9" s="117"/>
      <c r="OCM9" s="117"/>
      <c r="OCN9" s="117"/>
      <c r="OCO9" s="117"/>
      <c r="OCP9" s="117"/>
      <c r="OCQ9" s="117"/>
      <c r="OCR9" s="117"/>
      <c r="OCS9" s="117"/>
      <c r="OCT9" s="117"/>
      <c r="OCU9" s="117"/>
      <c r="OCV9" s="117"/>
      <c r="OCW9" s="117"/>
      <c r="OCX9" s="117"/>
      <c r="OCY9" s="117"/>
      <c r="OCZ9" s="117"/>
      <c r="ODA9" s="117"/>
      <c r="ODB9" s="117"/>
      <c r="ODC9" s="117"/>
      <c r="ODD9" s="117"/>
      <c r="ODE9" s="117"/>
      <c r="ODF9" s="117"/>
      <c r="ODG9" s="117"/>
      <c r="ODH9" s="117"/>
      <c r="ODI9" s="117"/>
      <c r="ODJ9" s="117"/>
      <c r="ODK9" s="117"/>
      <c r="ODL9" s="117"/>
      <c r="ODM9" s="117"/>
      <c r="ODN9" s="117"/>
      <c r="ODO9" s="117"/>
      <c r="ODP9" s="117"/>
      <c r="ODQ9" s="117"/>
      <c r="ODR9" s="117"/>
      <c r="ODS9" s="117"/>
      <c r="ODT9" s="117"/>
      <c r="ODU9" s="117"/>
      <c r="ODV9" s="117"/>
      <c r="ODW9" s="117"/>
      <c r="ODX9" s="117"/>
      <c r="ODY9" s="117"/>
      <c r="ODZ9" s="117"/>
      <c r="OEA9" s="117"/>
      <c r="OEB9" s="117"/>
      <c r="OEC9" s="117"/>
      <c r="OED9" s="117"/>
      <c r="OEE9" s="117"/>
      <c r="OEF9" s="117"/>
      <c r="OEG9" s="117"/>
      <c r="OEH9" s="117"/>
      <c r="OEI9" s="117"/>
      <c r="OEJ9" s="117"/>
      <c r="OEK9" s="117"/>
      <c r="OEL9" s="117"/>
      <c r="OEM9" s="117"/>
      <c r="OEN9" s="117"/>
      <c r="OEO9" s="117"/>
      <c r="OEP9" s="117"/>
      <c r="OEQ9" s="117"/>
      <c r="OER9" s="117"/>
      <c r="OES9" s="117"/>
      <c r="OET9" s="117"/>
      <c r="OEU9" s="117"/>
      <c r="OEV9" s="117"/>
      <c r="OEW9" s="117"/>
      <c r="OEX9" s="117"/>
      <c r="OEY9" s="117"/>
      <c r="OEZ9" s="117"/>
      <c r="OFA9" s="117"/>
      <c r="OFB9" s="117"/>
      <c r="OFC9" s="117"/>
      <c r="OFD9" s="117"/>
      <c r="OFE9" s="117"/>
      <c r="OFF9" s="117"/>
      <c r="OFG9" s="117"/>
      <c r="OFH9" s="117"/>
      <c r="OFI9" s="117"/>
      <c r="OFJ9" s="117"/>
      <c r="OFK9" s="117"/>
      <c r="OFL9" s="117"/>
      <c r="OFM9" s="117"/>
      <c r="OFN9" s="117"/>
      <c r="OFO9" s="117"/>
      <c r="OFP9" s="117"/>
      <c r="OFQ9" s="117"/>
      <c r="OFR9" s="117"/>
      <c r="OFS9" s="117"/>
      <c r="OFT9" s="117"/>
      <c r="OFU9" s="117"/>
      <c r="OFV9" s="117"/>
      <c r="OFW9" s="117"/>
      <c r="OFX9" s="117"/>
      <c r="OFY9" s="117"/>
      <c r="OFZ9" s="117"/>
      <c r="OGA9" s="117"/>
      <c r="OGB9" s="117"/>
      <c r="OGC9" s="117"/>
      <c r="OGD9" s="117"/>
      <c r="OGE9" s="117"/>
      <c r="OGF9" s="117"/>
      <c r="OGG9" s="117"/>
      <c r="OGH9" s="117"/>
      <c r="OGI9" s="117"/>
      <c r="OGJ9" s="117"/>
      <c r="OGK9" s="117"/>
      <c r="OGL9" s="117"/>
      <c r="OGM9" s="117"/>
      <c r="OGN9" s="117"/>
      <c r="OGO9" s="117"/>
      <c r="OGP9" s="117"/>
      <c r="OGQ9" s="117"/>
      <c r="OGR9" s="117"/>
      <c r="OGS9" s="117"/>
      <c r="OGT9" s="117"/>
      <c r="OGU9" s="117"/>
      <c r="OGV9" s="117"/>
      <c r="OGW9" s="117"/>
      <c r="OGX9" s="117"/>
      <c r="OGY9" s="117"/>
      <c r="OGZ9" s="117"/>
      <c r="OHA9" s="117"/>
      <c r="OHB9" s="117"/>
      <c r="OHC9" s="117"/>
      <c r="OHD9" s="117"/>
      <c r="OHE9" s="117"/>
      <c r="OHF9" s="117"/>
      <c r="OHG9" s="117"/>
      <c r="OHH9" s="117"/>
      <c r="OHI9" s="117"/>
      <c r="OHJ9" s="117"/>
      <c r="OHK9" s="117"/>
      <c r="OHL9" s="117"/>
      <c r="OHM9" s="117"/>
      <c r="OHN9" s="117"/>
      <c r="OHO9" s="117"/>
      <c r="OHP9" s="117"/>
      <c r="OHQ9" s="117"/>
      <c r="OHR9" s="117"/>
      <c r="OHS9" s="117"/>
      <c r="OHT9" s="117"/>
      <c r="OHU9" s="117"/>
      <c r="OHV9" s="117"/>
      <c r="OHW9" s="117"/>
      <c r="OHX9" s="117"/>
      <c r="OHY9" s="117"/>
      <c r="OHZ9" s="117"/>
      <c r="OIA9" s="117"/>
      <c r="OIB9" s="117"/>
      <c r="OIC9" s="117"/>
      <c r="OID9" s="117"/>
      <c r="OIE9" s="117"/>
      <c r="OIF9" s="117"/>
      <c r="OIG9" s="117"/>
      <c r="OIH9" s="117"/>
      <c r="OII9" s="117"/>
      <c r="OIJ9" s="117"/>
      <c r="OIK9" s="117"/>
      <c r="OIL9" s="117"/>
      <c r="OIM9" s="117"/>
      <c r="OIN9" s="117"/>
      <c r="OIO9" s="117"/>
      <c r="OIP9" s="117"/>
      <c r="OIQ9" s="117"/>
      <c r="OIR9" s="117"/>
      <c r="OIS9" s="117"/>
      <c r="OIT9" s="117"/>
      <c r="OIU9" s="117"/>
      <c r="OIV9" s="117"/>
      <c r="OIW9" s="117"/>
      <c r="OIX9" s="117"/>
      <c r="OIY9" s="117"/>
      <c r="OIZ9" s="117"/>
      <c r="OJA9" s="117"/>
      <c r="OJB9" s="117"/>
      <c r="OJC9" s="117"/>
      <c r="OJD9" s="117"/>
      <c r="OJE9" s="117"/>
      <c r="OJF9" s="117"/>
      <c r="OJG9" s="117"/>
      <c r="OJH9" s="117"/>
      <c r="OJI9" s="117"/>
      <c r="OJJ9" s="117"/>
      <c r="OJK9" s="117"/>
      <c r="OJL9" s="117"/>
      <c r="OJM9" s="117"/>
      <c r="OJN9" s="117"/>
      <c r="OJO9" s="117"/>
      <c r="OJP9" s="117"/>
      <c r="OJQ9" s="117"/>
      <c r="OJR9" s="117"/>
      <c r="OJS9" s="117"/>
      <c r="OJT9" s="117"/>
      <c r="OJU9" s="117"/>
      <c r="OJV9" s="117"/>
      <c r="OJW9" s="117"/>
      <c r="OJX9" s="117"/>
      <c r="OJY9" s="117"/>
      <c r="OJZ9" s="117"/>
      <c r="OKA9" s="117"/>
      <c r="OKB9" s="117"/>
      <c r="OKC9" s="117"/>
      <c r="OKD9" s="117"/>
      <c r="OKE9" s="117"/>
      <c r="OKF9" s="117"/>
      <c r="OKG9" s="117"/>
      <c r="OKH9" s="117"/>
      <c r="OKI9" s="117"/>
      <c r="OKJ9" s="117"/>
      <c r="OKK9" s="117"/>
      <c r="OKL9" s="117"/>
      <c r="OKM9" s="117"/>
      <c r="OKN9" s="117"/>
      <c r="OKO9" s="117"/>
      <c r="OKP9" s="117"/>
      <c r="OKQ9" s="117"/>
      <c r="OKR9" s="117"/>
      <c r="OKS9" s="117"/>
      <c r="OKT9" s="117"/>
      <c r="OKU9" s="117"/>
      <c r="OKV9" s="117"/>
      <c r="OKW9" s="117"/>
      <c r="OKX9" s="117"/>
      <c r="OKY9" s="117"/>
      <c r="OKZ9" s="117"/>
      <c r="OLA9" s="117"/>
      <c r="OLB9" s="117"/>
      <c r="OLC9" s="117"/>
      <c r="OLD9" s="117"/>
      <c r="OLE9" s="117"/>
      <c r="OLF9" s="117"/>
      <c r="OLG9" s="117"/>
      <c r="OLH9" s="117"/>
      <c r="OLI9" s="117"/>
      <c r="OLJ9" s="117"/>
      <c r="OLK9" s="117"/>
      <c r="OLL9" s="117"/>
      <c r="OLM9" s="117"/>
      <c r="OLN9" s="117"/>
      <c r="OLO9" s="117"/>
      <c r="OLP9" s="117"/>
      <c r="OLQ9" s="117"/>
      <c r="OLR9" s="117"/>
      <c r="OLS9" s="117"/>
      <c r="OLT9" s="117"/>
      <c r="OLU9" s="117"/>
      <c r="OLV9" s="117"/>
      <c r="OLW9" s="117"/>
      <c r="OLX9" s="117"/>
      <c r="OLY9" s="117"/>
      <c r="OLZ9" s="117"/>
      <c r="OMA9" s="117"/>
      <c r="OMB9" s="117"/>
      <c r="OMC9" s="117"/>
      <c r="OMD9" s="117"/>
      <c r="OME9" s="117"/>
      <c r="OMF9" s="117"/>
      <c r="OMG9" s="117"/>
      <c r="OMH9" s="117"/>
      <c r="OMI9" s="117"/>
      <c r="OMJ9" s="117"/>
      <c r="OMK9" s="117"/>
      <c r="OML9" s="117"/>
      <c r="OMM9" s="117"/>
      <c r="OMN9" s="117"/>
      <c r="OMO9" s="117"/>
      <c r="OMP9" s="117"/>
      <c r="OMQ9" s="117"/>
      <c r="OMR9" s="117"/>
      <c r="OMS9" s="117"/>
      <c r="OMT9" s="117"/>
      <c r="OMU9" s="117"/>
      <c r="OMV9" s="117"/>
      <c r="OMW9" s="117"/>
      <c r="OMX9" s="117"/>
      <c r="OMY9" s="117"/>
      <c r="OMZ9" s="117"/>
      <c r="ONA9" s="117"/>
      <c r="ONB9" s="117"/>
      <c r="ONC9" s="117"/>
      <c r="OND9" s="117"/>
      <c r="ONE9" s="117"/>
      <c r="ONF9" s="117"/>
      <c r="ONG9" s="117"/>
      <c r="ONH9" s="117"/>
      <c r="ONI9" s="117"/>
      <c r="ONJ9" s="117"/>
      <c r="ONK9" s="117"/>
      <c r="ONL9" s="117"/>
      <c r="ONM9" s="117"/>
      <c r="ONN9" s="117"/>
      <c r="ONO9" s="117"/>
      <c r="ONP9" s="117"/>
      <c r="ONQ9" s="117"/>
      <c r="ONR9" s="117"/>
      <c r="ONS9" s="117"/>
      <c r="ONT9" s="117"/>
      <c r="ONU9" s="117"/>
      <c r="ONV9" s="117"/>
      <c r="ONW9" s="117"/>
      <c r="ONX9" s="117"/>
      <c r="ONY9" s="117"/>
      <c r="ONZ9" s="117"/>
      <c r="OOA9" s="117"/>
      <c r="OOB9" s="117"/>
      <c r="OOC9" s="117"/>
      <c r="OOD9" s="117"/>
      <c r="OOE9" s="117"/>
      <c r="OOF9" s="117"/>
      <c r="OOG9" s="117"/>
      <c r="OOH9" s="117"/>
      <c r="OOI9" s="117"/>
      <c r="OOJ9" s="117"/>
      <c r="OOK9" s="117"/>
      <c r="OOL9" s="117"/>
      <c r="OOM9" s="117"/>
      <c r="OON9" s="117"/>
      <c r="OOO9" s="117"/>
      <c r="OOP9" s="117"/>
      <c r="OOQ9" s="117"/>
      <c r="OOR9" s="117"/>
      <c r="OOS9" s="117"/>
      <c r="OOT9" s="117"/>
      <c r="OOU9" s="117"/>
      <c r="OOV9" s="117"/>
      <c r="OOW9" s="117"/>
      <c r="OOX9" s="117"/>
      <c r="OOY9" s="117"/>
      <c r="OOZ9" s="117"/>
      <c r="OPA9" s="117"/>
      <c r="OPB9" s="117"/>
      <c r="OPC9" s="117"/>
      <c r="OPD9" s="117"/>
      <c r="OPE9" s="117"/>
      <c r="OPF9" s="117"/>
      <c r="OPG9" s="117"/>
      <c r="OPH9" s="117"/>
      <c r="OPI9" s="117"/>
      <c r="OPJ9" s="117"/>
      <c r="OPK9" s="117"/>
      <c r="OPL9" s="117"/>
      <c r="OPM9" s="117"/>
      <c r="OPN9" s="117"/>
      <c r="OPO9" s="117"/>
      <c r="OPP9" s="117"/>
      <c r="OPQ9" s="117"/>
      <c r="OPR9" s="117"/>
      <c r="OPS9" s="117"/>
      <c r="OPT9" s="117"/>
      <c r="OPU9" s="117"/>
      <c r="OPV9" s="117"/>
      <c r="OPW9" s="117"/>
      <c r="OPX9" s="117"/>
      <c r="OPY9" s="117"/>
      <c r="OPZ9" s="117"/>
      <c r="OQA9" s="117"/>
      <c r="OQB9" s="117"/>
      <c r="OQC9" s="117"/>
      <c r="OQD9" s="117"/>
      <c r="OQE9" s="117"/>
      <c r="OQF9" s="117"/>
      <c r="OQG9" s="117"/>
      <c r="OQH9" s="117"/>
      <c r="OQI9" s="117"/>
      <c r="OQJ9" s="117"/>
      <c r="OQK9" s="117"/>
      <c r="OQL9" s="117"/>
      <c r="OQM9" s="117"/>
      <c r="OQN9" s="117"/>
      <c r="OQO9" s="117"/>
      <c r="OQP9" s="117"/>
      <c r="OQQ9" s="117"/>
      <c r="OQR9" s="117"/>
      <c r="OQS9" s="117"/>
      <c r="OQT9" s="117"/>
      <c r="OQU9" s="117"/>
      <c r="OQV9" s="117"/>
      <c r="OQW9" s="117"/>
      <c r="OQX9" s="117"/>
      <c r="OQY9" s="117"/>
      <c r="OQZ9" s="117"/>
      <c r="ORA9" s="117"/>
      <c r="ORB9" s="117"/>
      <c r="ORC9" s="117"/>
      <c r="ORD9" s="117"/>
      <c r="ORE9" s="117"/>
      <c r="ORF9" s="117"/>
      <c r="ORG9" s="117"/>
      <c r="ORH9" s="117"/>
      <c r="ORI9" s="117"/>
      <c r="ORJ9" s="117"/>
      <c r="ORK9" s="117"/>
      <c r="ORL9" s="117"/>
      <c r="ORM9" s="117"/>
      <c r="ORN9" s="117"/>
      <c r="ORO9" s="117"/>
      <c r="ORP9" s="117"/>
      <c r="ORQ9" s="117"/>
      <c r="ORR9" s="117"/>
      <c r="ORS9" s="117"/>
      <c r="ORT9" s="117"/>
      <c r="ORU9" s="117"/>
      <c r="ORV9" s="117"/>
      <c r="ORW9" s="117"/>
      <c r="ORX9" s="117"/>
      <c r="ORY9" s="117"/>
      <c r="ORZ9" s="117"/>
      <c r="OSA9" s="117"/>
      <c r="OSB9" s="117"/>
      <c r="OSC9" s="117"/>
      <c r="OSD9" s="117"/>
      <c r="OSE9" s="117"/>
      <c r="OSF9" s="117"/>
      <c r="OSG9" s="117"/>
      <c r="OSH9" s="117"/>
      <c r="OSI9" s="117"/>
      <c r="OSJ9" s="117"/>
      <c r="OSK9" s="117"/>
      <c r="OSL9" s="117"/>
      <c r="OSM9" s="117"/>
      <c r="OSN9" s="117"/>
      <c r="OSO9" s="117"/>
      <c r="OSP9" s="117"/>
      <c r="OSQ9" s="117"/>
      <c r="OSR9" s="117"/>
      <c r="OSS9" s="117"/>
      <c r="OST9" s="117"/>
      <c r="OSU9" s="117"/>
      <c r="OSV9" s="117"/>
      <c r="OSW9" s="117"/>
      <c r="OSX9" s="117"/>
      <c r="OSY9" s="117"/>
      <c r="OSZ9" s="117"/>
      <c r="OTA9" s="117"/>
      <c r="OTB9" s="117"/>
      <c r="OTC9" s="117"/>
      <c r="OTD9" s="117"/>
      <c r="OTE9" s="117"/>
      <c r="OTF9" s="117"/>
      <c r="OTG9" s="117"/>
      <c r="OTH9" s="117"/>
      <c r="OTI9" s="117"/>
      <c r="OTJ9" s="117"/>
      <c r="OTK9" s="117"/>
      <c r="OTL9" s="117"/>
      <c r="OTM9" s="117"/>
      <c r="OTN9" s="117"/>
      <c r="OTO9" s="117"/>
      <c r="OTP9" s="117"/>
      <c r="OTQ9" s="117"/>
      <c r="OTR9" s="117"/>
      <c r="OTS9" s="117"/>
      <c r="OTT9" s="117"/>
      <c r="OTU9" s="117"/>
      <c r="OTV9" s="117"/>
      <c r="OTW9" s="117"/>
      <c r="OTX9" s="117"/>
      <c r="OTY9" s="117"/>
      <c r="OTZ9" s="117"/>
      <c r="OUA9" s="117"/>
      <c r="OUB9" s="117"/>
      <c r="OUC9" s="117"/>
      <c r="OUD9" s="117"/>
      <c r="OUE9" s="117"/>
      <c r="OUF9" s="117"/>
      <c r="OUG9" s="117"/>
      <c r="OUH9" s="117"/>
      <c r="OUI9" s="117"/>
      <c r="OUJ9" s="117"/>
      <c r="OUK9" s="117"/>
      <c r="OUL9" s="117"/>
      <c r="OUM9" s="117"/>
      <c r="OUN9" s="117"/>
      <c r="OUO9" s="117"/>
      <c r="OUP9" s="117"/>
      <c r="OUQ9" s="117"/>
      <c r="OUR9" s="117"/>
      <c r="OUS9" s="117"/>
      <c r="OUT9" s="117"/>
      <c r="OUU9" s="117"/>
      <c r="OUV9" s="117"/>
      <c r="OUW9" s="117"/>
      <c r="OUX9" s="117"/>
      <c r="OUY9" s="117"/>
      <c r="OUZ9" s="117"/>
      <c r="OVA9" s="117"/>
      <c r="OVB9" s="117"/>
      <c r="OVC9" s="117"/>
      <c r="OVD9" s="117"/>
      <c r="OVE9" s="117"/>
      <c r="OVF9" s="117"/>
      <c r="OVG9" s="117"/>
      <c r="OVH9" s="117"/>
      <c r="OVI9" s="117"/>
      <c r="OVJ9" s="117"/>
      <c r="OVK9" s="117"/>
      <c r="OVL9" s="117"/>
      <c r="OVM9" s="117"/>
      <c r="OVN9" s="117"/>
      <c r="OVO9" s="117"/>
      <c r="OVP9" s="117"/>
      <c r="OVQ9" s="117"/>
      <c r="OVR9" s="117"/>
      <c r="OVS9" s="117"/>
      <c r="OVT9" s="117"/>
      <c r="OVU9" s="117"/>
      <c r="OVV9" s="117"/>
      <c r="OVW9" s="117"/>
      <c r="OVX9" s="117"/>
      <c r="OVY9" s="117"/>
      <c r="OVZ9" s="117"/>
      <c r="OWA9" s="117"/>
      <c r="OWB9" s="117"/>
      <c r="OWC9" s="117"/>
      <c r="OWD9" s="117"/>
      <c r="OWE9" s="117"/>
      <c r="OWF9" s="117"/>
      <c r="OWG9" s="117"/>
      <c r="OWH9" s="117"/>
      <c r="OWI9" s="117"/>
      <c r="OWJ9" s="117"/>
      <c r="OWK9" s="117"/>
      <c r="OWL9" s="117"/>
      <c r="OWM9" s="117"/>
      <c r="OWN9" s="117"/>
      <c r="OWO9" s="117"/>
      <c r="OWP9" s="117"/>
      <c r="OWQ9" s="117"/>
      <c r="OWR9" s="117"/>
      <c r="OWS9" s="117"/>
      <c r="OWT9" s="117"/>
      <c r="OWU9" s="117"/>
      <c r="OWV9" s="117"/>
      <c r="OWW9" s="117"/>
      <c r="OWX9" s="117"/>
      <c r="OWY9" s="117"/>
      <c r="OWZ9" s="117"/>
      <c r="OXA9" s="117"/>
      <c r="OXB9" s="117"/>
      <c r="OXC9" s="117"/>
      <c r="OXD9" s="117"/>
      <c r="OXE9" s="117"/>
      <c r="OXF9" s="117"/>
      <c r="OXG9" s="117"/>
      <c r="OXH9" s="117"/>
      <c r="OXI9" s="117"/>
      <c r="OXJ9" s="117"/>
      <c r="OXK9" s="117"/>
      <c r="OXL9" s="117"/>
      <c r="OXM9" s="117"/>
      <c r="OXN9" s="117"/>
      <c r="OXO9" s="117"/>
      <c r="OXP9" s="117"/>
      <c r="OXQ9" s="117"/>
      <c r="OXR9" s="117"/>
      <c r="OXS9" s="117"/>
      <c r="OXT9" s="117"/>
      <c r="OXU9" s="117"/>
      <c r="OXV9" s="117"/>
      <c r="OXW9" s="117"/>
      <c r="OXX9" s="117"/>
      <c r="OXY9" s="117"/>
      <c r="OXZ9" s="117"/>
      <c r="OYA9" s="117"/>
      <c r="OYB9" s="117"/>
      <c r="OYC9" s="117"/>
      <c r="OYD9" s="117"/>
      <c r="OYE9" s="117"/>
      <c r="OYF9" s="117"/>
      <c r="OYG9" s="117"/>
      <c r="OYH9" s="117"/>
      <c r="OYI9" s="117"/>
      <c r="OYJ9" s="117"/>
      <c r="OYK9" s="117"/>
      <c r="OYL9" s="117"/>
      <c r="OYM9" s="117"/>
      <c r="OYN9" s="117"/>
      <c r="OYO9" s="117"/>
      <c r="OYP9" s="117"/>
      <c r="OYQ9" s="117"/>
      <c r="OYR9" s="117"/>
      <c r="OYS9" s="117"/>
      <c r="OYT9" s="117"/>
      <c r="OYU9" s="117"/>
      <c r="OYV9" s="117"/>
      <c r="OYW9" s="117"/>
      <c r="OYX9" s="117"/>
      <c r="OYY9" s="117"/>
      <c r="OYZ9" s="117"/>
      <c r="OZA9" s="117"/>
      <c r="OZB9" s="117"/>
      <c r="OZC9" s="117"/>
      <c r="OZD9" s="117"/>
      <c r="OZE9" s="117"/>
      <c r="OZF9" s="117"/>
      <c r="OZG9" s="117"/>
      <c r="OZH9" s="117"/>
      <c r="OZI9" s="117"/>
      <c r="OZJ9" s="117"/>
      <c r="OZK9" s="117"/>
      <c r="OZL9" s="117"/>
      <c r="OZM9" s="117"/>
      <c r="OZN9" s="117"/>
      <c r="OZO9" s="117"/>
      <c r="OZP9" s="117"/>
      <c r="OZQ9" s="117"/>
      <c r="OZR9" s="117"/>
      <c r="OZS9" s="117"/>
      <c r="OZT9" s="117"/>
      <c r="OZU9" s="117"/>
      <c r="OZV9" s="117"/>
      <c r="OZW9" s="117"/>
      <c r="OZX9" s="117"/>
      <c r="OZY9" s="117"/>
      <c r="OZZ9" s="117"/>
      <c r="PAA9" s="117"/>
      <c r="PAB9" s="117"/>
      <c r="PAC9" s="117"/>
      <c r="PAD9" s="117"/>
      <c r="PAE9" s="117"/>
      <c r="PAF9" s="117"/>
      <c r="PAG9" s="117"/>
      <c r="PAH9" s="117"/>
      <c r="PAI9" s="117"/>
      <c r="PAJ9" s="117"/>
      <c r="PAK9" s="117"/>
      <c r="PAL9" s="117"/>
      <c r="PAM9" s="117"/>
      <c r="PAN9" s="117"/>
      <c r="PAO9" s="117"/>
      <c r="PAP9" s="117"/>
      <c r="PAQ9" s="117"/>
      <c r="PAR9" s="117"/>
      <c r="PAS9" s="117"/>
      <c r="PAT9" s="117"/>
      <c r="PAU9" s="117"/>
      <c r="PAV9" s="117"/>
      <c r="PAW9" s="117"/>
      <c r="PAX9" s="117"/>
      <c r="PAY9" s="117"/>
      <c r="PAZ9" s="117"/>
      <c r="PBA9" s="117"/>
      <c r="PBB9" s="117"/>
      <c r="PBC9" s="117"/>
      <c r="PBD9" s="117"/>
      <c r="PBE9" s="117"/>
      <c r="PBF9" s="117"/>
      <c r="PBG9" s="117"/>
      <c r="PBH9" s="117"/>
      <c r="PBI9" s="117"/>
      <c r="PBJ9" s="117"/>
      <c r="PBK9" s="117"/>
      <c r="PBL9" s="117"/>
      <c r="PBM9" s="117"/>
      <c r="PBN9" s="117"/>
      <c r="PBO9" s="117"/>
      <c r="PBP9" s="117"/>
      <c r="PBQ9" s="117"/>
      <c r="PBR9" s="117"/>
      <c r="PBS9" s="117"/>
      <c r="PBT9" s="117"/>
      <c r="PBU9" s="117"/>
      <c r="PBV9" s="117"/>
      <c r="PBW9" s="117"/>
      <c r="PBX9" s="117"/>
      <c r="PBY9" s="117"/>
      <c r="PBZ9" s="117"/>
      <c r="PCA9" s="117"/>
      <c r="PCB9" s="117"/>
      <c r="PCC9" s="117"/>
      <c r="PCD9" s="117"/>
      <c r="PCE9" s="117"/>
      <c r="PCF9" s="117"/>
      <c r="PCG9" s="117"/>
      <c r="PCH9" s="117"/>
      <c r="PCI9" s="117"/>
      <c r="PCJ9" s="117"/>
      <c r="PCK9" s="117"/>
      <c r="PCL9" s="117"/>
      <c r="PCM9" s="117"/>
      <c r="PCN9" s="117"/>
      <c r="PCO9" s="117"/>
      <c r="PCP9" s="117"/>
      <c r="PCQ9" s="117"/>
      <c r="PCR9" s="117"/>
      <c r="PCS9" s="117"/>
      <c r="PCT9" s="117"/>
      <c r="PCU9" s="117"/>
      <c r="PCV9" s="117"/>
      <c r="PCW9" s="117"/>
      <c r="PCX9" s="117"/>
      <c r="PCY9" s="117"/>
      <c r="PCZ9" s="117"/>
      <c r="PDA9" s="117"/>
      <c r="PDB9" s="117"/>
      <c r="PDC9" s="117"/>
      <c r="PDD9" s="117"/>
      <c r="PDE9" s="117"/>
      <c r="PDF9" s="117"/>
      <c r="PDG9" s="117"/>
      <c r="PDH9" s="117"/>
      <c r="PDI9" s="117"/>
      <c r="PDJ9" s="117"/>
      <c r="PDK9" s="117"/>
      <c r="PDL9" s="117"/>
      <c r="PDM9" s="117"/>
      <c r="PDN9" s="117"/>
      <c r="PDO9" s="117"/>
      <c r="PDP9" s="117"/>
      <c r="PDQ9" s="117"/>
      <c r="PDR9" s="117"/>
      <c r="PDS9" s="117"/>
      <c r="PDT9" s="117"/>
      <c r="PDU9" s="117"/>
      <c r="PDV9" s="117"/>
      <c r="PDW9" s="117"/>
      <c r="PDX9" s="117"/>
      <c r="PDY9" s="117"/>
      <c r="PDZ9" s="117"/>
      <c r="PEA9" s="117"/>
      <c r="PEB9" s="117"/>
      <c r="PEC9" s="117"/>
      <c r="PED9" s="117"/>
      <c r="PEE9" s="117"/>
      <c r="PEF9" s="117"/>
      <c r="PEG9" s="117"/>
      <c r="PEH9" s="117"/>
      <c r="PEI9" s="117"/>
      <c r="PEJ9" s="117"/>
      <c r="PEK9" s="117"/>
      <c r="PEL9" s="117"/>
      <c r="PEM9" s="117"/>
      <c r="PEN9" s="117"/>
      <c r="PEO9" s="117"/>
      <c r="PEP9" s="117"/>
      <c r="PEQ9" s="117"/>
      <c r="PER9" s="117"/>
      <c r="PES9" s="117"/>
      <c r="PET9" s="117"/>
      <c r="PEU9" s="117"/>
      <c r="PEV9" s="117"/>
      <c r="PEW9" s="117"/>
      <c r="PEX9" s="117"/>
      <c r="PEY9" s="117"/>
      <c r="PEZ9" s="117"/>
      <c r="PFA9" s="117"/>
      <c r="PFB9" s="117"/>
      <c r="PFC9" s="117"/>
      <c r="PFD9" s="117"/>
      <c r="PFE9" s="117"/>
      <c r="PFF9" s="117"/>
      <c r="PFG9" s="117"/>
      <c r="PFH9" s="117"/>
      <c r="PFI9" s="117"/>
      <c r="PFJ9" s="117"/>
      <c r="PFK9" s="117"/>
      <c r="PFL9" s="117"/>
      <c r="PFM9" s="117"/>
      <c r="PFN9" s="117"/>
      <c r="PFO9" s="117"/>
      <c r="PFP9" s="117"/>
      <c r="PFQ9" s="117"/>
      <c r="PFR9" s="117"/>
      <c r="PFS9" s="117"/>
      <c r="PFT9" s="117"/>
      <c r="PFU9" s="117"/>
      <c r="PFV9" s="117"/>
      <c r="PFW9" s="117"/>
      <c r="PFX9" s="117"/>
      <c r="PFY9" s="117"/>
      <c r="PFZ9" s="117"/>
      <c r="PGA9" s="117"/>
      <c r="PGB9" s="117"/>
      <c r="PGC9" s="117"/>
      <c r="PGD9" s="117"/>
      <c r="PGE9" s="117"/>
      <c r="PGF9" s="117"/>
      <c r="PGG9" s="117"/>
      <c r="PGH9" s="117"/>
      <c r="PGI9" s="117"/>
      <c r="PGJ9" s="117"/>
      <c r="PGK9" s="117"/>
      <c r="PGL9" s="117"/>
      <c r="PGM9" s="117"/>
      <c r="PGN9" s="117"/>
      <c r="PGO9" s="117"/>
      <c r="PGP9" s="117"/>
      <c r="PGQ9" s="117"/>
      <c r="PGR9" s="117"/>
      <c r="PGS9" s="117"/>
      <c r="PGT9" s="117"/>
      <c r="PGU9" s="117"/>
      <c r="PGV9" s="117"/>
      <c r="PGW9" s="117"/>
      <c r="PGX9" s="117"/>
      <c r="PGY9" s="117"/>
      <c r="PGZ9" s="117"/>
      <c r="PHA9" s="117"/>
      <c r="PHB9" s="117"/>
      <c r="PHC9" s="117"/>
      <c r="PHD9" s="117"/>
      <c r="PHE9" s="117"/>
      <c r="PHF9" s="117"/>
      <c r="PHG9" s="117"/>
      <c r="PHH9" s="117"/>
      <c r="PHI9" s="117"/>
      <c r="PHJ9" s="117"/>
      <c r="PHK9" s="117"/>
      <c r="PHL9" s="117"/>
      <c r="PHM9" s="117"/>
      <c r="PHN9" s="117"/>
      <c r="PHO9" s="117"/>
      <c r="PHP9" s="117"/>
      <c r="PHQ9" s="117"/>
      <c r="PHR9" s="117"/>
      <c r="PHS9" s="117"/>
      <c r="PHT9" s="117"/>
      <c r="PHU9" s="117"/>
      <c r="PHV9" s="117"/>
      <c r="PHW9" s="117"/>
      <c r="PHX9" s="117"/>
      <c r="PHY9" s="117"/>
      <c r="PHZ9" s="117"/>
      <c r="PIA9" s="117"/>
      <c r="PIB9" s="117"/>
      <c r="PIC9" s="117"/>
      <c r="PID9" s="117"/>
      <c r="PIE9" s="117"/>
      <c r="PIF9" s="117"/>
      <c r="PIG9" s="117"/>
      <c r="PIH9" s="117"/>
      <c r="PII9" s="117"/>
      <c r="PIJ9" s="117"/>
      <c r="PIK9" s="117"/>
      <c r="PIL9" s="117"/>
      <c r="PIM9" s="117"/>
      <c r="PIN9" s="117"/>
      <c r="PIO9" s="117"/>
      <c r="PIP9" s="117"/>
      <c r="PIQ9" s="117"/>
      <c r="PIR9" s="117"/>
      <c r="PIS9" s="117"/>
      <c r="PIT9" s="117"/>
      <c r="PIU9" s="117"/>
      <c r="PIV9" s="117"/>
      <c r="PIW9" s="117"/>
      <c r="PIX9" s="117"/>
      <c r="PIY9" s="117"/>
      <c r="PIZ9" s="117"/>
      <c r="PJA9" s="117"/>
      <c r="PJB9" s="117"/>
      <c r="PJC9" s="117"/>
      <c r="PJD9" s="117"/>
      <c r="PJE9" s="117"/>
      <c r="PJF9" s="117"/>
      <c r="PJG9" s="117"/>
      <c r="PJH9" s="117"/>
      <c r="PJI9" s="117"/>
      <c r="PJJ9" s="117"/>
      <c r="PJK9" s="117"/>
      <c r="PJL9" s="117"/>
      <c r="PJM9" s="117"/>
      <c r="PJN9" s="117"/>
      <c r="PJO9" s="117"/>
      <c r="PJP9" s="117"/>
      <c r="PJQ9" s="117"/>
      <c r="PJR9" s="117"/>
      <c r="PJS9" s="117"/>
      <c r="PJT9" s="117"/>
      <c r="PJU9" s="117"/>
      <c r="PJV9" s="117"/>
      <c r="PJW9" s="117"/>
      <c r="PJX9" s="117"/>
      <c r="PJY9" s="117"/>
      <c r="PJZ9" s="117"/>
      <c r="PKA9" s="117"/>
      <c r="PKB9" s="117"/>
      <c r="PKC9" s="117"/>
      <c r="PKD9" s="117"/>
      <c r="PKE9" s="117"/>
      <c r="PKF9" s="117"/>
      <c r="PKG9" s="117"/>
      <c r="PKH9" s="117"/>
      <c r="PKI9" s="117"/>
      <c r="PKJ9" s="117"/>
      <c r="PKK9" s="117"/>
      <c r="PKL9" s="117"/>
      <c r="PKM9" s="117"/>
      <c r="PKN9" s="117"/>
      <c r="PKO9" s="117"/>
      <c r="PKP9" s="117"/>
      <c r="PKQ9" s="117"/>
      <c r="PKR9" s="117"/>
      <c r="PKS9" s="117"/>
      <c r="PKT9" s="117"/>
      <c r="PKU9" s="117"/>
      <c r="PKV9" s="117"/>
      <c r="PKW9" s="117"/>
      <c r="PKX9" s="117"/>
      <c r="PKY9" s="117"/>
      <c r="PKZ9" s="117"/>
      <c r="PLA9" s="117"/>
      <c r="PLB9" s="117"/>
      <c r="PLC9" s="117"/>
      <c r="PLD9" s="117"/>
      <c r="PLE9" s="117"/>
      <c r="PLF9" s="117"/>
      <c r="PLG9" s="117"/>
      <c r="PLH9" s="117"/>
      <c r="PLI9" s="117"/>
      <c r="PLJ9" s="117"/>
      <c r="PLK9" s="117"/>
      <c r="PLL9" s="117"/>
      <c r="PLM9" s="117"/>
      <c r="PLN9" s="117"/>
      <c r="PLO9" s="117"/>
      <c r="PLP9" s="117"/>
      <c r="PLQ9" s="117"/>
      <c r="PLR9" s="117"/>
      <c r="PLS9" s="117"/>
      <c r="PLT9" s="117"/>
      <c r="PLU9" s="117"/>
      <c r="PLV9" s="117"/>
      <c r="PLW9" s="117"/>
      <c r="PLX9" s="117"/>
      <c r="PLY9" s="117"/>
      <c r="PLZ9" s="117"/>
      <c r="PMA9" s="117"/>
      <c r="PMB9" s="117"/>
      <c r="PMC9" s="117"/>
      <c r="PMD9" s="117"/>
      <c r="PME9" s="117"/>
      <c r="PMF9" s="117"/>
      <c r="PMG9" s="117"/>
      <c r="PMH9" s="117"/>
      <c r="PMI9" s="117"/>
      <c r="PMJ9" s="117"/>
      <c r="PMK9" s="117"/>
      <c r="PML9" s="117"/>
      <c r="PMM9" s="117"/>
      <c r="PMN9" s="117"/>
      <c r="PMO9" s="117"/>
      <c r="PMP9" s="117"/>
      <c r="PMQ9" s="117"/>
      <c r="PMR9" s="117"/>
      <c r="PMS9" s="117"/>
      <c r="PMT9" s="117"/>
      <c r="PMU9" s="117"/>
      <c r="PMV9" s="117"/>
      <c r="PMW9" s="117"/>
      <c r="PMX9" s="117"/>
      <c r="PMY9" s="117"/>
      <c r="PMZ9" s="117"/>
      <c r="PNA9" s="117"/>
      <c r="PNB9" s="117"/>
      <c r="PNC9" s="117"/>
      <c r="PND9" s="117"/>
      <c r="PNE9" s="117"/>
      <c r="PNF9" s="117"/>
      <c r="PNG9" s="117"/>
      <c r="PNH9" s="117"/>
      <c r="PNI9" s="117"/>
      <c r="PNJ9" s="117"/>
      <c r="PNK9" s="117"/>
      <c r="PNL9" s="117"/>
      <c r="PNM9" s="117"/>
      <c r="PNN9" s="117"/>
      <c r="PNO9" s="117"/>
      <c r="PNP9" s="117"/>
      <c r="PNQ9" s="117"/>
      <c r="PNR9" s="117"/>
      <c r="PNS9" s="117"/>
      <c r="PNT9" s="117"/>
      <c r="PNU9" s="117"/>
      <c r="PNV9" s="117"/>
      <c r="PNW9" s="117"/>
      <c r="PNX9" s="117"/>
      <c r="PNY9" s="117"/>
      <c r="PNZ9" s="117"/>
      <c r="POA9" s="117"/>
      <c r="POB9" s="117"/>
      <c r="POC9" s="117"/>
      <c r="POD9" s="117"/>
      <c r="POE9" s="117"/>
      <c r="POF9" s="117"/>
      <c r="POG9" s="117"/>
      <c r="POH9" s="117"/>
      <c r="POI9" s="117"/>
      <c r="POJ9" s="117"/>
      <c r="POK9" s="117"/>
      <c r="POL9" s="117"/>
      <c r="POM9" s="117"/>
      <c r="PON9" s="117"/>
      <c r="POO9" s="117"/>
      <c r="POP9" s="117"/>
      <c r="POQ9" s="117"/>
      <c r="POR9" s="117"/>
      <c r="POS9" s="117"/>
      <c r="POT9" s="117"/>
      <c r="POU9" s="117"/>
      <c r="POV9" s="117"/>
      <c r="POW9" s="117"/>
      <c r="POX9" s="117"/>
      <c r="POY9" s="117"/>
      <c r="POZ9" s="117"/>
      <c r="PPA9" s="117"/>
      <c r="PPB9" s="117"/>
      <c r="PPC9" s="117"/>
      <c r="PPD9" s="117"/>
      <c r="PPE9" s="117"/>
      <c r="PPF9" s="117"/>
      <c r="PPG9" s="117"/>
      <c r="PPH9" s="117"/>
      <c r="PPI9" s="117"/>
      <c r="PPJ9" s="117"/>
      <c r="PPK9" s="117"/>
      <c r="PPL9" s="117"/>
      <c r="PPM9" s="117"/>
      <c r="PPN9" s="117"/>
      <c r="PPO9" s="117"/>
      <c r="PPP9" s="117"/>
      <c r="PPQ9" s="117"/>
      <c r="PPR9" s="117"/>
      <c r="PPS9" s="117"/>
      <c r="PPT9" s="117"/>
      <c r="PPU9" s="117"/>
      <c r="PPV9" s="117"/>
      <c r="PPW9" s="117"/>
      <c r="PPX9" s="117"/>
      <c r="PPY9" s="117"/>
      <c r="PPZ9" s="117"/>
      <c r="PQA9" s="117"/>
      <c r="PQB9" s="117"/>
      <c r="PQC9" s="117"/>
      <c r="PQD9" s="117"/>
      <c r="PQE9" s="117"/>
      <c r="PQF9" s="117"/>
      <c r="PQG9" s="117"/>
      <c r="PQH9" s="117"/>
      <c r="PQI9" s="117"/>
      <c r="PQJ9" s="117"/>
      <c r="PQK9" s="117"/>
      <c r="PQL9" s="117"/>
      <c r="PQM9" s="117"/>
      <c r="PQN9" s="117"/>
      <c r="PQO9" s="117"/>
      <c r="PQP9" s="117"/>
      <c r="PQQ9" s="117"/>
      <c r="PQR9" s="117"/>
      <c r="PQS9" s="117"/>
      <c r="PQT9" s="117"/>
      <c r="PQU9" s="117"/>
      <c r="PQV9" s="117"/>
      <c r="PQW9" s="117"/>
      <c r="PQX9" s="117"/>
      <c r="PQY9" s="117"/>
      <c r="PQZ9" s="117"/>
      <c r="PRA9" s="117"/>
      <c r="PRB9" s="117"/>
      <c r="PRC9" s="117"/>
      <c r="PRD9" s="117"/>
      <c r="PRE9" s="117"/>
      <c r="PRF9" s="117"/>
      <c r="PRG9" s="117"/>
      <c r="PRH9" s="117"/>
      <c r="PRI9" s="117"/>
      <c r="PRJ9" s="117"/>
      <c r="PRK9" s="117"/>
      <c r="PRL9" s="117"/>
      <c r="PRM9" s="117"/>
      <c r="PRN9" s="117"/>
      <c r="PRO9" s="117"/>
      <c r="PRP9" s="117"/>
      <c r="PRQ9" s="117"/>
      <c r="PRR9" s="117"/>
      <c r="PRS9" s="117"/>
      <c r="PRT9" s="117"/>
      <c r="PRU9" s="117"/>
      <c r="PRV9" s="117"/>
      <c r="PRW9" s="117"/>
      <c r="PRX9" s="117"/>
      <c r="PRY9" s="117"/>
      <c r="PRZ9" s="117"/>
      <c r="PSA9" s="117"/>
      <c r="PSB9" s="117"/>
      <c r="PSC9" s="117"/>
      <c r="PSD9" s="117"/>
      <c r="PSE9" s="117"/>
      <c r="PSF9" s="117"/>
      <c r="PSG9" s="117"/>
      <c r="PSH9" s="117"/>
      <c r="PSI9" s="117"/>
      <c r="PSJ9" s="117"/>
      <c r="PSK9" s="117"/>
      <c r="PSL9" s="117"/>
      <c r="PSM9" s="117"/>
      <c r="PSN9" s="117"/>
      <c r="PSO9" s="117"/>
      <c r="PSP9" s="117"/>
      <c r="PSQ9" s="117"/>
      <c r="PSR9" s="117"/>
      <c r="PSS9" s="117"/>
      <c r="PST9" s="117"/>
      <c r="PSU9" s="117"/>
      <c r="PSV9" s="117"/>
      <c r="PSW9" s="117"/>
      <c r="PSX9" s="117"/>
      <c r="PSY9" s="117"/>
      <c r="PSZ9" s="117"/>
      <c r="PTA9" s="117"/>
      <c r="PTB9" s="117"/>
      <c r="PTC9" s="117"/>
      <c r="PTD9" s="117"/>
      <c r="PTE9" s="117"/>
      <c r="PTF9" s="117"/>
      <c r="PTG9" s="117"/>
      <c r="PTH9" s="117"/>
      <c r="PTI9" s="117"/>
      <c r="PTJ9" s="117"/>
      <c r="PTK9" s="117"/>
      <c r="PTL9" s="117"/>
      <c r="PTM9" s="117"/>
      <c r="PTN9" s="117"/>
      <c r="PTO9" s="117"/>
      <c r="PTP9" s="117"/>
      <c r="PTQ9" s="117"/>
      <c r="PTR9" s="117"/>
      <c r="PTS9" s="117"/>
      <c r="PTT9" s="117"/>
      <c r="PTU9" s="117"/>
      <c r="PTV9" s="117"/>
      <c r="PTW9" s="117"/>
      <c r="PTX9" s="117"/>
      <c r="PTY9" s="117"/>
      <c r="PTZ9" s="117"/>
      <c r="PUA9" s="117"/>
      <c r="PUB9" s="117"/>
      <c r="PUC9" s="117"/>
      <c r="PUD9" s="117"/>
      <c r="PUE9" s="117"/>
      <c r="PUF9" s="117"/>
      <c r="PUG9" s="117"/>
      <c r="PUH9" s="117"/>
      <c r="PUI9" s="117"/>
      <c r="PUJ9" s="117"/>
      <c r="PUK9" s="117"/>
      <c r="PUL9" s="117"/>
      <c r="PUM9" s="117"/>
      <c r="PUN9" s="117"/>
      <c r="PUO9" s="117"/>
      <c r="PUP9" s="117"/>
      <c r="PUQ9" s="117"/>
      <c r="PUR9" s="117"/>
      <c r="PUS9" s="117"/>
      <c r="PUT9" s="117"/>
      <c r="PUU9" s="117"/>
      <c r="PUV9" s="117"/>
      <c r="PUW9" s="117"/>
      <c r="PUX9" s="117"/>
      <c r="PUY9" s="117"/>
      <c r="PUZ9" s="117"/>
      <c r="PVA9" s="117"/>
      <c r="PVB9" s="117"/>
      <c r="PVC9" s="117"/>
      <c r="PVD9" s="117"/>
      <c r="PVE9" s="117"/>
      <c r="PVF9" s="117"/>
      <c r="PVG9" s="117"/>
      <c r="PVH9" s="117"/>
      <c r="PVI9" s="117"/>
      <c r="PVJ9" s="117"/>
      <c r="PVK9" s="117"/>
      <c r="PVL9" s="117"/>
      <c r="PVM9" s="117"/>
      <c r="PVN9" s="117"/>
      <c r="PVO9" s="117"/>
      <c r="PVP9" s="117"/>
      <c r="PVQ9" s="117"/>
      <c r="PVR9" s="117"/>
      <c r="PVS9" s="117"/>
      <c r="PVT9" s="117"/>
      <c r="PVU9" s="117"/>
      <c r="PVV9" s="117"/>
      <c r="PVW9" s="117"/>
      <c r="PVX9" s="117"/>
      <c r="PVY9" s="117"/>
      <c r="PVZ9" s="117"/>
      <c r="PWA9" s="117"/>
      <c r="PWB9" s="117"/>
      <c r="PWC9" s="117"/>
      <c r="PWD9" s="117"/>
      <c r="PWE9" s="117"/>
      <c r="PWF9" s="117"/>
      <c r="PWG9" s="117"/>
      <c r="PWH9" s="117"/>
      <c r="PWI9" s="117"/>
      <c r="PWJ9" s="117"/>
      <c r="PWK9" s="117"/>
      <c r="PWL9" s="117"/>
      <c r="PWM9" s="117"/>
      <c r="PWN9" s="117"/>
      <c r="PWO9" s="117"/>
      <c r="PWP9" s="117"/>
      <c r="PWQ9" s="117"/>
      <c r="PWR9" s="117"/>
      <c r="PWS9" s="117"/>
      <c r="PWT9" s="117"/>
      <c r="PWU9" s="117"/>
      <c r="PWV9" s="117"/>
      <c r="PWW9" s="117"/>
      <c r="PWX9" s="117"/>
      <c r="PWY9" s="117"/>
      <c r="PWZ9" s="117"/>
      <c r="PXA9" s="117"/>
      <c r="PXB9" s="117"/>
      <c r="PXC9" s="117"/>
      <c r="PXD9" s="117"/>
      <c r="PXE9" s="117"/>
      <c r="PXF9" s="117"/>
      <c r="PXG9" s="117"/>
      <c r="PXH9" s="117"/>
      <c r="PXI9" s="117"/>
      <c r="PXJ9" s="117"/>
      <c r="PXK9" s="117"/>
      <c r="PXL9" s="117"/>
      <c r="PXM9" s="117"/>
      <c r="PXN9" s="117"/>
      <c r="PXO9" s="117"/>
      <c r="PXP9" s="117"/>
      <c r="PXQ9" s="117"/>
      <c r="PXR9" s="117"/>
      <c r="PXS9" s="117"/>
      <c r="PXT9" s="117"/>
      <c r="PXU9" s="117"/>
      <c r="PXV9" s="117"/>
      <c r="PXW9" s="117"/>
      <c r="PXX9" s="117"/>
      <c r="PXY9" s="117"/>
      <c r="PXZ9" s="117"/>
      <c r="PYA9" s="117"/>
      <c r="PYB9" s="117"/>
      <c r="PYC9" s="117"/>
      <c r="PYD9" s="117"/>
      <c r="PYE9" s="117"/>
      <c r="PYF9" s="117"/>
      <c r="PYG9" s="117"/>
      <c r="PYH9" s="117"/>
      <c r="PYI9" s="117"/>
      <c r="PYJ9" s="117"/>
      <c r="PYK9" s="117"/>
      <c r="PYL9" s="117"/>
      <c r="PYM9" s="117"/>
      <c r="PYN9" s="117"/>
      <c r="PYO9" s="117"/>
      <c r="PYP9" s="117"/>
      <c r="PYQ9" s="117"/>
      <c r="PYR9" s="117"/>
      <c r="PYS9" s="117"/>
      <c r="PYT9" s="117"/>
      <c r="PYU9" s="117"/>
      <c r="PYV9" s="117"/>
      <c r="PYW9" s="117"/>
      <c r="PYX9" s="117"/>
      <c r="PYY9" s="117"/>
      <c r="PYZ9" s="117"/>
      <c r="PZA9" s="117"/>
      <c r="PZB9" s="117"/>
      <c r="PZC9" s="117"/>
      <c r="PZD9" s="117"/>
      <c r="PZE9" s="117"/>
      <c r="PZF9" s="117"/>
      <c r="PZG9" s="117"/>
      <c r="PZH9" s="117"/>
      <c r="PZI9" s="117"/>
      <c r="PZJ9" s="117"/>
      <c r="PZK9" s="117"/>
      <c r="PZL9" s="117"/>
      <c r="PZM9" s="117"/>
      <c r="PZN9" s="117"/>
      <c r="PZO9" s="117"/>
      <c r="PZP9" s="117"/>
      <c r="PZQ9" s="117"/>
      <c r="PZR9" s="117"/>
      <c r="PZS9" s="117"/>
      <c r="PZT9" s="117"/>
      <c r="PZU9" s="117"/>
      <c r="PZV9" s="117"/>
      <c r="PZW9" s="117"/>
      <c r="PZX9" s="117"/>
      <c r="PZY9" s="117"/>
      <c r="PZZ9" s="117"/>
      <c r="QAA9" s="117"/>
      <c r="QAB9" s="117"/>
      <c r="QAC9" s="117"/>
      <c r="QAD9" s="117"/>
      <c r="QAE9" s="117"/>
      <c r="QAF9" s="117"/>
      <c r="QAG9" s="117"/>
      <c r="QAH9" s="117"/>
      <c r="QAI9" s="117"/>
      <c r="QAJ9" s="117"/>
      <c r="QAK9" s="117"/>
      <c r="QAL9" s="117"/>
      <c r="QAM9" s="117"/>
      <c r="QAN9" s="117"/>
      <c r="QAO9" s="117"/>
      <c r="QAP9" s="117"/>
      <c r="QAQ9" s="117"/>
      <c r="QAR9" s="117"/>
      <c r="QAS9" s="117"/>
      <c r="QAT9" s="117"/>
      <c r="QAU9" s="117"/>
      <c r="QAV9" s="117"/>
      <c r="QAW9" s="117"/>
      <c r="QAX9" s="117"/>
      <c r="QAY9" s="117"/>
      <c r="QAZ9" s="117"/>
      <c r="QBA9" s="117"/>
      <c r="QBB9" s="117"/>
      <c r="QBC9" s="117"/>
      <c r="QBD9" s="117"/>
      <c r="QBE9" s="117"/>
      <c r="QBF9" s="117"/>
      <c r="QBG9" s="117"/>
      <c r="QBH9" s="117"/>
      <c r="QBI9" s="117"/>
      <c r="QBJ9" s="117"/>
      <c r="QBK9" s="117"/>
      <c r="QBL9" s="117"/>
      <c r="QBM9" s="117"/>
      <c r="QBN9" s="117"/>
      <c r="QBO9" s="117"/>
      <c r="QBP9" s="117"/>
      <c r="QBQ9" s="117"/>
      <c r="QBR9" s="117"/>
      <c r="QBS9" s="117"/>
      <c r="QBT9" s="117"/>
      <c r="QBU9" s="117"/>
      <c r="QBV9" s="117"/>
      <c r="QBW9" s="117"/>
      <c r="QBX9" s="117"/>
      <c r="QBY9" s="117"/>
      <c r="QBZ9" s="117"/>
      <c r="QCA9" s="117"/>
      <c r="QCB9" s="117"/>
      <c r="QCC9" s="117"/>
      <c r="QCD9" s="117"/>
      <c r="QCE9" s="117"/>
      <c r="QCF9" s="117"/>
      <c r="QCG9" s="117"/>
      <c r="QCH9" s="117"/>
      <c r="QCI9" s="117"/>
      <c r="QCJ9" s="117"/>
      <c r="QCK9" s="117"/>
      <c r="QCL9" s="117"/>
      <c r="QCM9" s="117"/>
      <c r="QCN9" s="117"/>
      <c r="QCO9" s="117"/>
      <c r="QCP9" s="117"/>
      <c r="QCQ9" s="117"/>
      <c r="QCR9" s="117"/>
      <c r="QCS9" s="117"/>
      <c r="QCT9" s="117"/>
      <c r="QCU9" s="117"/>
      <c r="QCV9" s="117"/>
      <c r="QCW9" s="117"/>
      <c r="QCX9" s="117"/>
      <c r="QCY9" s="117"/>
      <c r="QCZ9" s="117"/>
      <c r="QDA9" s="117"/>
      <c r="QDB9" s="117"/>
      <c r="QDC9" s="117"/>
      <c r="QDD9" s="117"/>
      <c r="QDE9" s="117"/>
      <c r="QDF9" s="117"/>
      <c r="QDG9" s="117"/>
      <c r="QDH9" s="117"/>
      <c r="QDI9" s="117"/>
      <c r="QDJ9" s="117"/>
      <c r="QDK9" s="117"/>
      <c r="QDL9" s="117"/>
      <c r="QDM9" s="117"/>
      <c r="QDN9" s="117"/>
      <c r="QDO9" s="117"/>
      <c r="QDP9" s="117"/>
      <c r="QDQ9" s="117"/>
      <c r="QDR9" s="117"/>
      <c r="QDS9" s="117"/>
      <c r="QDT9" s="117"/>
      <c r="QDU9" s="117"/>
      <c r="QDV9" s="117"/>
      <c r="QDW9" s="117"/>
      <c r="QDX9" s="117"/>
      <c r="QDY9" s="117"/>
      <c r="QDZ9" s="117"/>
      <c r="QEA9" s="117"/>
      <c r="QEB9" s="117"/>
      <c r="QEC9" s="117"/>
      <c r="QED9" s="117"/>
      <c r="QEE9" s="117"/>
      <c r="QEF9" s="117"/>
      <c r="QEG9" s="117"/>
      <c r="QEH9" s="117"/>
      <c r="QEI9" s="117"/>
      <c r="QEJ9" s="117"/>
      <c r="QEK9" s="117"/>
      <c r="QEL9" s="117"/>
      <c r="QEM9" s="117"/>
      <c r="QEN9" s="117"/>
      <c r="QEO9" s="117"/>
      <c r="QEP9" s="117"/>
      <c r="QEQ9" s="117"/>
      <c r="QER9" s="117"/>
      <c r="QES9" s="117"/>
      <c r="QET9" s="117"/>
      <c r="QEU9" s="117"/>
      <c r="QEV9" s="117"/>
      <c r="QEW9" s="117"/>
      <c r="QEX9" s="117"/>
      <c r="QEY9" s="117"/>
      <c r="QEZ9" s="117"/>
      <c r="QFA9" s="117"/>
      <c r="QFB9" s="117"/>
      <c r="QFC9" s="117"/>
      <c r="QFD9" s="117"/>
      <c r="QFE9" s="117"/>
      <c r="QFF9" s="117"/>
      <c r="QFG9" s="117"/>
      <c r="QFH9" s="117"/>
      <c r="QFI9" s="117"/>
      <c r="QFJ9" s="117"/>
      <c r="QFK9" s="117"/>
      <c r="QFL9" s="117"/>
      <c r="QFM9" s="117"/>
      <c r="QFN9" s="117"/>
      <c r="QFO9" s="117"/>
      <c r="QFP9" s="117"/>
      <c r="QFQ9" s="117"/>
      <c r="QFR9" s="117"/>
      <c r="QFS9" s="117"/>
      <c r="QFT9" s="117"/>
      <c r="QFU9" s="117"/>
      <c r="QFV9" s="117"/>
      <c r="QFW9" s="117"/>
      <c r="QFX9" s="117"/>
      <c r="QFY9" s="117"/>
      <c r="QFZ9" s="117"/>
      <c r="QGA9" s="117"/>
      <c r="QGB9" s="117"/>
      <c r="QGC9" s="117"/>
      <c r="QGD9" s="117"/>
      <c r="QGE9" s="117"/>
      <c r="QGF9" s="117"/>
      <c r="QGG9" s="117"/>
      <c r="QGH9" s="117"/>
      <c r="QGI9" s="117"/>
      <c r="QGJ9" s="117"/>
      <c r="QGK9" s="117"/>
      <c r="QGL9" s="117"/>
      <c r="QGM9" s="117"/>
      <c r="QGN9" s="117"/>
      <c r="QGO9" s="117"/>
      <c r="QGP9" s="117"/>
      <c r="QGQ9" s="117"/>
      <c r="QGR9" s="117"/>
      <c r="QGS9" s="117"/>
      <c r="QGT9" s="117"/>
      <c r="QGU9" s="117"/>
      <c r="QGV9" s="117"/>
      <c r="QGW9" s="117"/>
      <c r="QGX9" s="117"/>
      <c r="QGY9" s="117"/>
      <c r="QGZ9" s="117"/>
      <c r="QHA9" s="117"/>
      <c r="QHB9" s="117"/>
      <c r="QHC9" s="117"/>
      <c r="QHD9" s="117"/>
      <c r="QHE9" s="117"/>
      <c r="QHF9" s="117"/>
      <c r="QHG9" s="117"/>
      <c r="QHH9" s="117"/>
      <c r="QHI9" s="117"/>
      <c r="QHJ9" s="117"/>
      <c r="QHK9" s="117"/>
      <c r="QHL9" s="117"/>
      <c r="QHM9" s="117"/>
      <c r="QHN9" s="117"/>
      <c r="QHO9" s="117"/>
      <c r="QHP9" s="117"/>
      <c r="QHQ9" s="117"/>
      <c r="QHR9" s="117"/>
      <c r="QHS9" s="117"/>
      <c r="QHT9" s="117"/>
      <c r="QHU9" s="117"/>
      <c r="QHV9" s="117"/>
      <c r="QHW9" s="117"/>
      <c r="QHX9" s="117"/>
      <c r="QHY9" s="117"/>
      <c r="QHZ9" s="117"/>
      <c r="QIA9" s="117"/>
      <c r="QIB9" s="117"/>
      <c r="QIC9" s="117"/>
      <c r="QID9" s="117"/>
      <c r="QIE9" s="117"/>
      <c r="QIF9" s="117"/>
      <c r="QIG9" s="117"/>
      <c r="QIH9" s="117"/>
      <c r="QII9" s="117"/>
      <c r="QIJ9" s="117"/>
      <c r="QIK9" s="117"/>
      <c r="QIL9" s="117"/>
      <c r="QIM9" s="117"/>
      <c r="QIN9" s="117"/>
      <c r="QIO9" s="117"/>
      <c r="QIP9" s="117"/>
      <c r="QIQ9" s="117"/>
      <c r="QIR9" s="117"/>
      <c r="QIS9" s="117"/>
      <c r="QIT9" s="117"/>
      <c r="QIU9" s="117"/>
      <c r="QIV9" s="117"/>
      <c r="QIW9" s="117"/>
      <c r="QIX9" s="117"/>
      <c r="QIY9" s="117"/>
      <c r="QIZ9" s="117"/>
      <c r="QJA9" s="117"/>
      <c r="QJB9" s="117"/>
      <c r="QJC9" s="117"/>
      <c r="QJD9" s="117"/>
      <c r="QJE9" s="117"/>
      <c r="QJF9" s="117"/>
      <c r="QJG9" s="117"/>
      <c r="QJH9" s="117"/>
      <c r="QJI9" s="117"/>
      <c r="QJJ9" s="117"/>
      <c r="QJK9" s="117"/>
      <c r="QJL9" s="117"/>
      <c r="QJM9" s="117"/>
      <c r="QJN9" s="117"/>
      <c r="QJO9" s="117"/>
      <c r="QJP9" s="117"/>
      <c r="QJQ9" s="117"/>
      <c r="QJR9" s="117"/>
      <c r="QJS9" s="117"/>
      <c r="QJT9" s="117"/>
      <c r="QJU9" s="117"/>
      <c r="QJV9" s="117"/>
      <c r="QJW9" s="117"/>
      <c r="QJX9" s="117"/>
      <c r="QJY9" s="117"/>
      <c r="QJZ9" s="117"/>
      <c r="QKA9" s="117"/>
      <c r="QKB9" s="117"/>
      <c r="QKC9" s="117"/>
      <c r="QKD9" s="117"/>
      <c r="QKE9" s="117"/>
      <c r="QKF9" s="117"/>
      <c r="QKG9" s="117"/>
      <c r="QKH9" s="117"/>
      <c r="QKI9" s="117"/>
      <c r="QKJ9" s="117"/>
      <c r="QKK9" s="117"/>
      <c r="QKL9" s="117"/>
      <c r="QKM9" s="117"/>
      <c r="QKN9" s="117"/>
      <c r="QKO9" s="117"/>
      <c r="QKP9" s="117"/>
      <c r="QKQ9" s="117"/>
      <c r="QKR9" s="117"/>
      <c r="QKS9" s="117"/>
      <c r="QKT9" s="117"/>
      <c r="QKU9" s="117"/>
      <c r="QKV9" s="117"/>
      <c r="QKW9" s="117"/>
      <c r="QKX9" s="117"/>
      <c r="QKY9" s="117"/>
      <c r="QKZ9" s="117"/>
      <c r="QLA9" s="117"/>
      <c r="QLB9" s="117"/>
      <c r="QLC9" s="117"/>
      <c r="QLD9" s="117"/>
      <c r="QLE9" s="117"/>
      <c r="QLF9" s="117"/>
      <c r="QLG9" s="117"/>
      <c r="QLH9" s="117"/>
      <c r="QLI9" s="117"/>
      <c r="QLJ9" s="117"/>
      <c r="QLK9" s="117"/>
      <c r="QLL9" s="117"/>
      <c r="QLM9" s="117"/>
      <c r="QLN9" s="117"/>
      <c r="QLO9" s="117"/>
      <c r="QLP9" s="117"/>
      <c r="QLQ9" s="117"/>
      <c r="QLR9" s="117"/>
      <c r="QLS9" s="117"/>
      <c r="QLT9" s="117"/>
      <c r="QLU9" s="117"/>
      <c r="QLV9" s="117"/>
      <c r="QLW9" s="117"/>
      <c r="QLX9" s="117"/>
      <c r="QLY9" s="117"/>
      <c r="QLZ9" s="117"/>
      <c r="QMA9" s="117"/>
      <c r="QMB9" s="117"/>
      <c r="QMC9" s="117"/>
      <c r="QMD9" s="117"/>
      <c r="QME9" s="117"/>
      <c r="QMF9" s="117"/>
      <c r="QMG9" s="117"/>
      <c r="QMH9" s="117"/>
      <c r="QMI9" s="117"/>
      <c r="QMJ9" s="117"/>
      <c r="QMK9" s="117"/>
      <c r="QML9" s="117"/>
      <c r="QMM9" s="117"/>
      <c r="QMN9" s="117"/>
      <c r="QMO9" s="117"/>
      <c r="QMP9" s="117"/>
      <c r="QMQ9" s="117"/>
      <c r="QMR9" s="117"/>
      <c r="QMS9" s="117"/>
      <c r="QMT9" s="117"/>
      <c r="QMU9" s="117"/>
      <c r="QMV9" s="117"/>
      <c r="QMW9" s="117"/>
      <c r="QMX9" s="117"/>
      <c r="QMY9" s="117"/>
      <c r="QMZ9" s="117"/>
      <c r="QNA9" s="117"/>
      <c r="QNB9" s="117"/>
      <c r="QNC9" s="117"/>
      <c r="QND9" s="117"/>
      <c r="QNE9" s="117"/>
      <c r="QNF9" s="117"/>
      <c r="QNG9" s="117"/>
      <c r="QNH9" s="117"/>
      <c r="QNI9" s="117"/>
      <c r="QNJ9" s="117"/>
      <c r="QNK9" s="117"/>
      <c r="QNL9" s="117"/>
      <c r="QNM9" s="117"/>
      <c r="QNN9" s="117"/>
      <c r="QNO9" s="117"/>
      <c r="QNP9" s="117"/>
      <c r="QNQ9" s="117"/>
      <c r="QNR9" s="117"/>
      <c r="QNS9" s="117"/>
      <c r="QNT9" s="117"/>
      <c r="QNU9" s="117"/>
      <c r="QNV9" s="117"/>
      <c r="QNW9" s="117"/>
      <c r="QNX9" s="117"/>
      <c r="QNY9" s="117"/>
      <c r="QNZ9" s="117"/>
      <c r="QOA9" s="117"/>
      <c r="QOB9" s="117"/>
      <c r="QOC9" s="117"/>
      <c r="QOD9" s="117"/>
      <c r="QOE9" s="117"/>
      <c r="QOF9" s="117"/>
      <c r="QOG9" s="117"/>
      <c r="QOH9" s="117"/>
      <c r="QOI9" s="117"/>
      <c r="QOJ9" s="117"/>
      <c r="QOK9" s="117"/>
      <c r="QOL9" s="117"/>
      <c r="QOM9" s="117"/>
      <c r="QON9" s="117"/>
      <c r="QOO9" s="117"/>
      <c r="QOP9" s="117"/>
      <c r="QOQ9" s="117"/>
      <c r="QOR9" s="117"/>
      <c r="QOS9" s="117"/>
      <c r="QOT9" s="117"/>
      <c r="QOU9" s="117"/>
      <c r="QOV9" s="117"/>
      <c r="QOW9" s="117"/>
      <c r="QOX9" s="117"/>
      <c r="QOY9" s="117"/>
      <c r="QOZ9" s="117"/>
      <c r="QPA9" s="117"/>
      <c r="QPB9" s="117"/>
      <c r="QPC9" s="117"/>
      <c r="QPD9" s="117"/>
      <c r="QPE9" s="117"/>
      <c r="QPF9" s="117"/>
      <c r="QPG9" s="117"/>
      <c r="QPH9" s="117"/>
      <c r="QPI9" s="117"/>
      <c r="QPJ9" s="117"/>
      <c r="QPK9" s="117"/>
      <c r="QPL9" s="117"/>
      <c r="QPM9" s="117"/>
      <c r="QPN9" s="117"/>
      <c r="QPO9" s="117"/>
      <c r="QPP9" s="117"/>
      <c r="QPQ9" s="117"/>
      <c r="QPR9" s="117"/>
      <c r="QPS9" s="117"/>
      <c r="QPT9" s="117"/>
      <c r="QPU9" s="117"/>
      <c r="QPV9" s="117"/>
      <c r="QPW9" s="117"/>
      <c r="QPX9" s="117"/>
      <c r="QPY9" s="117"/>
      <c r="QPZ9" s="117"/>
      <c r="QQA9" s="117"/>
      <c r="QQB9" s="117"/>
      <c r="QQC9" s="117"/>
      <c r="QQD9" s="117"/>
      <c r="QQE9" s="117"/>
      <c r="QQF9" s="117"/>
      <c r="QQG9" s="117"/>
      <c r="QQH9" s="117"/>
      <c r="QQI9" s="117"/>
      <c r="QQJ9" s="117"/>
      <c r="QQK9" s="117"/>
      <c r="QQL9" s="117"/>
      <c r="QQM9" s="117"/>
      <c r="QQN9" s="117"/>
      <c r="QQO9" s="117"/>
      <c r="QQP9" s="117"/>
      <c r="QQQ9" s="117"/>
      <c r="QQR9" s="117"/>
      <c r="QQS9" s="117"/>
      <c r="QQT9" s="117"/>
      <c r="QQU9" s="117"/>
      <c r="QQV9" s="117"/>
      <c r="QQW9" s="117"/>
      <c r="QQX9" s="117"/>
      <c r="QQY9" s="117"/>
      <c r="QQZ9" s="117"/>
      <c r="QRA9" s="117"/>
      <c r="QRB9" s="117"/>
      <c r="QRC9" s="117"/>
      <c r="QRD9" s="117"/>
      <c r="QRE9" s="117"/>
      <c r="QRF9" s="117"/>
      <c r="QRG9" s="117"/>
      <c r="QRH9" s="117"/>
      <c r="QRI9" s="117"/>
      <c r="QRJ9" s="117"/>
      <c r="QRK9" s="117"/>
      <c r="QRL9" s="117"/>
      <c r="QRM9" s="117"/>
      <c r="QRN9" s="117"/>
      <c r="QRO9" s="117"/>
      <c r="QRP9" s="117"/>
      <c r="QRQ9" s="117"/>
      <c r="QRR9" s="117"/>
      <c r="QRS9" s="117"/>
      <c r="QRT9" s="117"/>
      <c r="QRU9" s="117"/>
      <c r="QRV9" s="117"/>
      <c r="QRW9" s="117"/>
      <c r="QRX9" s="117"/>
      <c r="QRY9" s="117"/>
      <c r="QRZ9" s="117"/>
      <c r="QSA9" s="117"/>
      <c r="QSB9" s="117"/>
      <c r="QSC9" s="117"/>
      <c r="QSD9" s="117"/>
      <c r="QSE9" s="117"/>
      <c r="QSF9" s="117"/>
      <c r="QSG9" s="117"/>
      <c r="QSH9" s="117"/>
      <c r="QSI9" s="117"/>
      <c r="QSJ9" s="117"/>
      <c r="QSK9" s="117"/>
      <c r="QSL9" s="117"/>
      <c r="QSM9" s="117"/>
      <c r="QSN9" s="117"/>
      <c r="QSO9" s="117"/>
      <c r="QSP9" s="117"/>
      <c r="QSQ9" s="117"/>
      <c r="QSR9" s="117"/>
      <c r="QSS9" s="117"/>
      <c r="QST9" s="117"/>
      <c r="QSU9" s="117"/>
      <c r="QSV9" s="117"/>
      <c r="QSW9" s="117"/>
      <c r="QSX9" s="117"/>
      <c r="QSY9" s="117"/>
      <c r="QSZ9" s="117"/>
      <c r="QTA9" s="117"/>
      <c r="QTB9" s="117"/>
      <c r="QTC9" s="117"/>
      <c r="QTD9" s="117"/>
      <c r="QTE9" s="117"/>
      <c r="QTF9" s="117"/>
      <c r="QTG9" s="117"/>
      <c r="QTH9" s="117"/>
      <c r="QTI9" s="117"/>
      <c r="QTJ9" s="117"/>
      <c r="QTK9" s="117"/>
      <c r="QTL9" s="117"/>
      <c r="QTM9" s="117"/>
      <c r="QTN9" s="117"/>
      <c r="QTO9" s="117"/>
      <c r="QTP9" s="117"/>
      <c r="QTQ9" s="117"/>
      <c r="QTR9" s="117"/>
      <c r="QTS9" s="117"/>
      <c r="QTT9" s="117"/>
      <c r="QTU9" s="117"/>
      <c r="QTV9" s="117"/>
      <c r="QTW9" s="117"/>
      <c r="QTX9" s="117"/>
      <c r="QTY9" s="117"/>
      <c r="QTZ9" s="117"/>
      <c r="QUA9" s="117"/>
      <c r="QUB9" s="117"/>
      <c r="QUC9" s="117"/>
      <c r="QUD9" s="117"/>
      <c r="QUE9" s="117"/>
      <c r="QUF9" s="117"/>
      <c r="QUG9" s="117"/>
      <c r="QUH9" s="117"/>
      <c r="QUI9" s="117"/>
      <c r="QUJ9" s="117"/>
      <c r="QUK9" s="117"/>
      <c r="QUL9" s="117"/>
      <c r="QUM9" s="117"/>
      <c r="QUN9" s="117"/>
      <c r="QUO9" s="117"/>
      <c r="QUP9" s="117"/>
      <c r="QUQ9" s="117"/>
      <c r="QUR9" s="117"/>
      <c r="QUS9" s="117"/>
      <c r="QUT9" s="117"/>
      <c r="QUU9" s="117"/>
      <c r="QUV9" s="117"/>
      <c r="QUW9" s="117"/>
      <c r="QUX9" s="117"/>
      <c r="QUY9" s="117"/>
      <c r="QUZ9" s="117"/>
      <c r="QVA9" s="117"/>
      <c r="QVB9" s="117"/>
      <c r="QVC9" s="117"/>
      <c r="QVD9" s="117"/>
      <c r="QVE9" s="117"/>
      <c r="QVF9" s="117"/>
      <c r="QVG9" s="117"/>
      <c r="QVH9" s="117"/>
      <c r="QVI9" s="117"/>
      <c r="QVJ9" s="117"/>
      <c r="QVK9" s="117"/>
      <c r="QVL9" s="117"/>
      <c r="QVM9" s="117"/>
      <c r="QVN9" s="117"/>
      <c r="QVO9" s="117"/>
      <c r="QVP9" s="117"/>
      <c r="QVQ9" s="117"/>
      <c r="QVR9" s="117"/>
      <c r="QVS9" s="117"/>
      <c r="QVT9" s="117"/>
      <c r="QVU9" s="117"/>
      <c r="QVV9" s="117"/>
      <c r="QVW9" s="117"/>
      <c r="QVX9" s="117"/>
      <c r="QVY9" s="117"/>
      <c r="QVZ9" s="117"/>
      <c r="QWA9" s="117"/>
      <c r="QWB9" s="117"/>
      <c r="QWC9" s="117"/>
      <c r="QWD9" s="117"/>
      <c r="QWE9" s="117"/>
      <c r="QWF9" s="117"/>
      <c r="QWG9" s="117"/>
      <c r="QWH9" s="117"/>
      <c r="QWI9" s="117"/>
      <c r="QWJ9" s="117"/>
      <c r="QWK9" s="117"/>
      <c r="QWL9" s="117"/>
      <c r="QWM9" s="117"/>
      <c r="QWN9" s="117"/>
      <c r="QWO9" s="117"/>
      <c r="QWP9" s="117"/>
      <c r="QWQ9" s="117"/>
      <c r="QWR9" s="117"/>
      <c r="QWS9" s="117"/>
      <c r="QWT9" s="117"/>
      <c r="QWU9" s="117"/>
      <c r="QWV9" s="117"/>
      <c r="QWW9" s="117"/>
      <c r="QWX9" s="117"/>
      <c r="QWY9" s="117"/>
      <c r="QWZ9" s="117"/>
      <c r="QXA9" s="117"/>
      <c r="QXB9" s="117"/>
      <c r="QXC9" s="117"/>
      <c r="QXD9" s="117"/>
      <c r="QXE9" s="117"/>
      <c r="QXF9" s="117"/>
      <c r="QXG9" s="117"/>
      <c r="QXH9" s="117"/>
      <c r="QXI9" s="117"/>
      <c r="QXJ9" s="117"/>
      <c r="QXK9" s="117"/>
      <c r="QXL9" s="117"/>
      <c r="QXM9" s="117"/>
      <c r="QXN9" s="117"/>
      <c r="QXO9" s="117"/>
      <c r="QXP9" s="117"/>
      <c r="QXQ9" s="117"/>
      <c r="QXR9" s="117"/>
      <c r="QXS9" s="117"/>
      <c r="QXT9" s="117"/>
      <c r="QXU9" s="117"/>
      <c r="QXV9" s="117"/>
      <c r="QXW9" s="117"/>
      <c r="QXX9" s="117"/>
      <c r="QXY9" s="117"/>
      <c r="QXZ9" s="117"/>
      <c r="QYA9" s="117"/>
      <c r="QYB9" s="117"/>
      <c r="QYC9" s="117"/>
      <c r="QYD9" s="117"/>
      <c r="QYE9" s="117"/>
      <c r="QYF9" s="117"/>
      <c r="QYG9" s="117"/>
      <c r="QYH9" s="117"/>
      <c r="QYI9" s="117"/>
      <c r="QYJ9" s="117"/>
      <c r="QYK9" s="117"/>
      <c r="QYL9" s="117"/>
      <c r="QYM9" s="117"/>
      <c r="QYN9" s="117"/>
      <c r="QYO9" s="117"/>
      <c r="QYP9" s="117"/>
      <c r="QYQ9" s="117"/>
      <c r="QYR9" s="117"/>
      <c r="QYS9" s="117"/>
      <c r="QYT9" s="117"/>
      <c r="QYU9" s="117"/>
      <c r="QYV9" s="117"/>
      <c r="QYW9" s="117"/>
      <c r="QYX9" s="117"/>
      <c r="QYY9" s="117"/>
      <c r="QYZ9" s="117"/>
      <c r="QZA9" s="117"/>
      <c r="QZB9" s="117"/>
      <c r="QZC9" s="117"/>
      <c r="QZD9" s="117"/>
      <c r="QZE9" s="117"/>
      <c r="QZF9" s="117"/>
      <c r="QZG9" s="117"/>
      <c r="QZH9" s="117"/>
      <c r="QZI9" s="117"/>
      <c r="QZJ9" s="117"/>
      <c r="QZK9" s="117"/>
      <c r="QZL9" s="117"/>
      <c r="QZM9" s="117"/>
      <c r="QZN9" s="117"/>
      <c r="QZO9" s="117"/>
      <c r="QZP9" s="117"/>
      <c r="QZQ9" s="117"/>
      <c r="QZR9" s="117"/>
      <c r="QZS9" s="117"/>
      <c r="QZT9" s="117"/>
      <c r="QZU9" s="117"/>
      <c r="QZV9" s="117"/>
      <c r="QZW9" s="117"/>
      <c r="QZX9" s="117"/>
      <c r="QZY9" s="117"/>
      <c r="QZZ9" s="117"/>
      <c r="RAA9" s="117"/>
      <c r="RAB9" s="117"/>
      <c r="RAC9" s="117"/>
      <c r="RAD9" s="117"/>
      <c r="RAE9" s="117"/>
      <c r="RAF9" s="117"/>
      <c r="RAG9" s="117"/>
      <c r="RAH9" s="117"/>
      <c r="RAI9" s="117"/>
      <c r="RAJ9" s="117"/>
      <c r="RAK9" s="117"/>
      <c r="RAL9" s="117"/>
      <c r="RAM9" s="117"/>
      <c r="RAN9" s="117"/>
      <c r="RAO9" s="117"/>
      <c r="RAP9" s="117"/>
      <c r="RAQ9" s="117"/>
      <c r="RAR9" s="117"/>
      <c r="RAS9" s="117"/>
      <c r="RAT9" s="117"/>
      <c r="RAU9" s="117"/>
      <c r="RAV9" s="117"/>
      <c r="RAW9" s="117"/>
      <c r="RAX9" s="117"/>
      <c r="RAY9" s="117"/>
      <c r="RAZ9" s="117"/>
      <c r="RBA9" s="117"/>
      <c r="RBB9" s="117"/>
      <c r="RBC9" s="117"/>
      <c r="RBD9" s="117"/>
      <c r="RBE9" s="117"/>
      <c r="RBF9" s="117"/>
      <c r="RBG9" s="117"/>
      <c r="RBH9" s="117"/>
      <c r="RBI9" s="117"/>
      <c r="RBJ9" s="117"/>
      <c r="RBK9" s="117"/>
      <c r="RBL9" s="117"/>
      <c r="RBM9" s="117"/>
      <c r="RBN9" s="117"/>
      <c r="RBO9" s="117"/>
      <c r="RBP9" s="117"/>
      <c r="RBQ9" s="117"/>
      <c r="RBR9" s="117"/>
      <c r="RBS9" s="117"/>
      <c r="RBT9" s="117"/>
      <c r="RBU9" s="117"/>
      <c r="RBV9" s="117"/>
      <c r="RBW9" s="117"/>
      <c r="RBX9" s="117"/>
      <c r="RBY9" s="117"/>
      <c r="RBZ9" s="117"/>
      <c r="RCA9" s="117"/>
      <c r="RCB9" s="117"/>
      <c r="RCC9" s="117"/>
      <c r="RCD9" s="117"/>
      <c r="RCE9" s="117"/>
      <c r="RCF9" s="117"/>
      <c r="RCG9" s="117"/>
      <c r="RCH9" s="117"/>
      <c r="RCI9" s="117"/>
      <c r="RCJ9" s="117"/>
      <c r="RCK9" s="117"/>
      <c r="RCL9" s="117"/>
      <c r="RCM9" s="117"/>
      <c r="RCN9" s="117"/>
      <c r="RCO9" s="117"/>
      <c r="RCP9" s="117"/>
      <c r="RCQ9" s="117"/>
      <c r="RCR9" s="117"/>
      <c r="RCS9" s="117"/>
      <c r="RCT9" s="117"/>
      <c r="RCU9" s="117"/>
      <c r="RCV9" s="117"/>
      <c r="RCW9" s="117"/>
      <c r="RCX9" s="117"/>
      <c r="RCY9" s="117"/>
      <c r="RCZ9" s="117"/>
      <c r="RDA9" s="117"/>
      <c r="RDB9" s="117"/>
      <c r="RDC9" s="117"/>
      <c r="RDD9" s="117"/>
      <c r="RDE9" s="117"/>
      <c r="RDF9" s="117"/>
      <c r="RDG9" s="117"/>
      <c r="RDH9" s="117"/>
      <c r="RDI9" s="117"/>
      <c r="RDJ9" s="117"/>
      <c r="RDK9" s="117"/>
      <c r="RDL9" s="117"/>
      <c r="RDM9" s="117"/>
      <c r="RDN9" s="117"/>
      <c r="RDO9" s="117"/>
      <c r="RDP9" s="117"/>
      <c r="RDQ9" s="117"/>
      <c r="RDR9" s="117"/>
      <c r="RDS9" s="117"/>
      <c r="RDT9" s="117"/>
      <c r="RDU9" s="117"/>
      <c r="RDV9" s="117"/>
      <c r="RDW9" s="117"/>
      <c r="RDX9" s="117"/>
      <c r="RDY9" s="117"/>
      <c r="RDZ9" s="117"/>
      <c r="REA9" s="117"/>
      <c r="REB9" s="117"/>
      <c r="REC9" s="117"/>
      <c r="RED9" s="117"/>
      <c r="REE9" s="117"/>
      <c r="REF9" s="117"/>
      <c r="REG9" s="117"/>
      <c r="REH9" s="117"/>
      <c r="REI9" s="117"/>
      <c r="REJ9" s="117"/>
      <c r="REK9" s="117"/>
      <c r="REL9" s="117"/>
      <c r="REM9" s="117"/>
      <c r="REN9" s="117"/>
      <c r="REO9" s="117"/>
      <c r="REP9" s="117"/>
      <c r="REQ9" s="117"/>
      <c r="RER9" s="117"/>
      <c r="RES9" s="117"/>
      <c r="RET9" s="117"/>
      <c r="REU9" s="117"/>
      <c r="REV9" s="117"/>
      <c r="REW9" s="117"/>
      <c r="REX9" s="117"/>
      <c r="REY9" s="117"/>
      <c r="REZ9" s="117"/>
      <c r="RFA9" s="117"/>
      <c r="RFB9" s="117"/>
      <c r="RFC9" s="117"/>
      <c r="RFD9" s="117"/>
      <c r="RFE9" s="117"/>
      <c r="RFF9" s="117"/>
      <c r="RFG9" s="117"/>
      <c r="RFH9" s="117"/>
      <c r="RFI9" s="117"/>
      <c r="RFJ9" s="117"/>
      <c r="RFK9" s="117"/>
      <c r="RFL9" s="117"/>
      <c r="RFM9" s="117"/>
      <c r="RFN9" s="117"/>
      <c r="RFO9" s="117"/>
      <c r="RFP9" s="117"/>
      <c r="RFQ9" s="117"/>
      <c r="RFR9" s="117"/>
      <c r="RFS9" s="117"/>
      <c r="RFT9" s="117"/>
      <c r="RFU9" s="117"/>
      <c r="RFV9" s="117"/>
      <c r="RFW9" s="117"/>
      <c r="RFX9" s="117"/>
      <c r="RFY9" s="117"/>
      <c r="RFZ9" s="117"/>
      <c r="RGA9" s="117"/>
      <c r="RGB9" s="117"/>
      <c r="RGC9" s="117"/>
      <c r="RGD9" s="117"/>
      <c r="RGE9" s="117"/>
      <c r="RGF9" s="117"/>
      <c r="RGG9" s="117"/>
      <c r="RGH9" s="117"/>
      <c r="RGI9" s="117"/>
      <c r="RGJ9" s="117"/>
      <c r="RGK9" s="117"/>
      <c r="RGL9" s="117"/>
      <c r="RGM9" s="117"/>
      <c r="RGN9" s="117"/>
      <c r="RGO9" s="117"/>
      <c r="RGP9" s="117"/>
      <c r="RGQ9" s="117"/>
      <c r="RGR9" s="117"/>
      <c r="RGS9" s="117"/>
      <c r="RGT9" s="117"/>
      <c r="RGU9" s="117"/>
      <c r="RGV9" s="117"/>
      <c r="RGW9" s="117"/>
      <c r="RGX9" s="117"/>
      <c r="RGY9" s="117"/>
      <c r="RGZ9" s="117"/>
      <c r="RHA9" s="117"/>
      <c r="RHB9" s="117"/>
      <c r="RHC9" s="117"/>
      <c r="RHD9" s="117"/>
      <c r="RHE9" s="117"/>
      <c r="RHF9" s="117"/>
      <c r="RHG9" s="117"/>
      <c r="RHH9" s="117"/>
      <c r="RHI9" s="117"/>
      <c r="RHJ9" s="117"/>
      <c r="RHK9" s="117"/>
      <c r="RHL9" s="117"/>
      <c r="RHM9" s="117"/>
      <c r="RHN9" s="117"/>
      <c r="RHO9" s="117"/>
      <c r="RHP9" s="117"/>
      <c r="RHQ9" s="117"/>
      <c r="RHR9" s="117"/>
      <c r="RHS9" s="117"/>
      <c r="RHT9" s="117"/>
      <c r="RHU9" s="117"/>
      <c r="RHV9" s="117"/>
      <c r="RHW9" s="117"/>
      <c r="RHX9" s="117"/>
      <c r="RHY9" s="117"/>
      <c r="RHZ9" s="117"/>
      <c r="RIA9" s="117"/>
      <c r="RIB9" s="117"/>
      <c r="RIC9" s="117"/>
      <c r="RID9" s="117"/>
      <c r="RIE9" s="117"/>
      <c r="RIF9" s="117"/>
      <c r="RIG9" s="117"/>
      <c r="RIH9" s="117"/>
      <c r="RII9" s="117"/>
      <c r="RIJ9" s="117"/>
      <c r="RIK9" s="117"/>
      <c r="RIL9" s="117"/>
      <c r="RIM9" s="117"/>
      <c r="RIN9" s="117"/>
      <c r="RIO9" s="117"/>
      <c r="RIP9" s="117"/>
      <c r="RIQ9" s="117"/>
      <c r="RIR9" s="117"/>
      <c r="RIS9" s="117"/>
      <c r="RIT9" s="117"/>
      <c r="RIU9" s="117"/>
      <c r="RIV9" s="117"/>
      <c r="RIW9" s="117"/>
      <c r="RIX9" s="117"/>
      <c r="RIY9" s="117"/>
      <c r="RIZ9" s="117"/>
      <c r="RJA9" s="117"/>
      <c r="RJB9" s="117"/>
      <c r="RJC9" s="117"/>
      <c r="RJD9" s="117"/>
      <c r="RJE9" s="117"/>
      <c r="RJF9" s="117"/>
      <c r="RJG9" s="117"/>
      <c r="RJH9" s="117"/>
      <c r="RJI9" s="117"/>
      <c r="RJJ9" s="117"/>
      <c r="RJK9" s="117"/>
      <c r="RJL9" s="117"/>
      <c r="RJM9" s="117"/>
      <c r="RJN9" s="117"/>
      <c r="RJO9" s="117"/>
      <c r="RJP9" s="117"/>
      <c r="RJQ9" s="117"/>
      <c r="RJR9" s="117"/>
      <c r="RJS9" s="117"/>
      <c r="RJT9" s="117"/>
      <c r="RJU9" s="117"/>
      <c r="RJV9" s="117"/>
      <c r="RJW9" s="117"/>
      <c r="RJX9" s="117"/>
      <c r="RJY9" s="117"/>
      <c r="RJZ9" s="117"/>
      <c r="RKA9" s="117"/>
      <c r="RKB9" s="117"/>
      <c r="RKC9" s="117"/>
      <c r="RKD9" s="117"/>
      <c r="RKE9" s="117"/>
      <c r="RKF9" s="117"/>
      <c r="RKG9" s="117"/>
      <c r="RKH9" s="117"/>
      <c r="RKI9" s="117"/>
      <c r="RKJ9" s="117"/>
      <c r="RKK9" s="117"/>
      <c r="RKL9" s="117"/>
      <c r="RKM9" s="117"/>
      <c r="RKN9" s="117"/>
      <c r="RKO9" s="117"/>
      <c r="RKP9" s="117"/>
      <c r="RKQ9" s="117"/>
      <c r="RKR9" s="117"/>
      <c r="RKS9" s="117"/>
      <c r="RKT9" s="117"/>
      <c r="RKU9" s="117"/>
      <c r="RKV9" s="117"/>
      <c r="RKW9" s="117"/>
      <c r="RKX9" s="117"/>
      <c r="RKY9" s="117"/>
      <c r="RKZ9" s="117"/>
      <c r="RLA9" s="117"/>
      <c r="RLB9" s="117"/>
      <c r="RLC9" s="117"/>
      <c r="RLD9" s="117"/>
      <c r="RLE9" s="117"/>
      <c r="RLF9" s="117"/>
      <c r="RLG9" s="117"/>
      <c r="RLH9" s="117"/>
      <c r="RLI9" s="117"/>
      <c r="RLJ9" s="117"/>
      <c r="RLK9" s="117"/>
      <c r="RLL9" s="117"/>
      <c r="RLM9" s="117"/>
      <c r="RLN9" s="117"/>
      <c r="RLO9" s="117"/>
      <c r="RLP9" s="117"/>
      <c r="RLQ9" s="117"/>
      <c r="RLR9" s="117"/>
      <c r="RLS9" s="117"/>
      <c r="RLT9" s="117"/>
      <c r="RLU9" s="117"/>
      <c r="RLV9" s="117"/>
      <c r="RLW9" s="117"/>
      <c r="RLX9" s="117"/>
      <c r="RLY9" s="117"/>
      <c r="RLZ9" s="117"/>
      <c r="RMA9" s="117"/>
      <c r="RMB9" s="117"/>
      <c r="RMC9" s="117"/>
      <c r="RMD9" s="117"/>
      <c r="RME9" s="117"/>
      <c r="RMF9" s="117"/>
      <c r="RMG9" s="117"/>
      <c r="RMH9" s="117"/>
      <c r="RMI9" s="117"/>
      <c r="RMJ9" s="117"/>
      <c r="RMK9" s="117"/>
      <c r="RML9" s="117"/>
      <c r="RMM9" s="117"/>
      <c r="RMN9" s="117"/>
      <c r="RMO9" s="117"/>
      <c r="RMP9" s="117"/>
      <c r="RMQ9" s="117"/>
      <c r="RMR9" s="117"/>
      <c r="RMS9" s="117"/>
      <c r="RMT9" s="117"/>
      <c r="RMU9" s="117"/>
      <c r="RMV9" s="117"/>
      <c r="RMW9" s="117"/>
      <c r="RMX9" s="117"/>
      <c r="RMY9" s="117"/>
      <c r="RMZ9" s="117"/>
      <c r="RNA9" s="117"/>
      <c r="RNB9" s="117"/>
      <c r="RNC9" s="117"/>
      <c r="RND9" s="117"/>
      <c r="RNE9" s="117"/>
      <c r="RNF9" s="117"/>
      <c r="RNG9" s="117"/>
      <c r="RNH9" s="117"/>
      <c r="RNI9" s="117"/>
      <c r="RNJ9" s="117"/>
      <c r="RNK9" s="117"/>
      <c r="RNL9" s="117"/>
      <c r="RNM9" s="117"/>
      <c r="RNN9" s="117"/>
      <c r="RNO9" s="117"/>
      <c r="RNP9" s="117"/>
      <c r="RNQ9" s="117"/>
      <c r="RNR9" s="117"/>
      <c r="RNS9" s="117"/>
      <c r="RNT9" s="117"/>
      <c r="RNU9" s="117"/>
      <c r="RNV9" s="117"/>
      <c r="RNW9" s="117"/>
      <c r="RNX9" s="117"/>
      <c r="RNY9" s="117"/>
      <c r="RNZ9" s="117"/>
      <c r="ROA9" s="117"/>
      <c r="ROB9" s="117"/>
      <c r="ROC9" s="117"/>
      <c r="ROD9" s="117"/>
      <c r="ROE9" s="117"/>
      <c r="ROF9" s="117"/>
      <c r="ROG9" s="117"/>
      <c r="ROH9" s="117"/>
      <c r="ROI9" s="117"/>
      <c r="ROJ9" s="117"/>
      <c r="ROK9" s="117"/>
      <c r="ROL9" s="117"/>
      <c r="ROM9" s="117"/>
      <c r="RON9" s="117"/>
      <c r="ROO9" s="117"/>
      <c r="ROP9" s="117"/>
      <c r="ROQ9" s="117"/>
      <c r="ROR9" s="117"/>
      <c r="ROS9" s="117"/>
      <c r="ROT9" s="117"/>
      <c r="ROU9" s="117"/>
      <c r="ROV9" s="117"/>
      <c r="ROW9" s="117"/>
      <c r="ROX9" s="117"/>
      <c r="ROY9" s="117"/>
      <c r="ROZ9" s="117"/>
      <c r="RPA9" s="117"/>
      <c r="RPB9" s="117"/>
      <c r="RPC9" s="117"/>
      <c r="RPD9" s="117"/>
      <c r="RPE9" s="117"/>
      <c r="RPF9" s="117"/>
      <c r="RPG9" s="117"/>
      <c r="RPH9" s="117"/>
      <c r="RPI9" s="117"/>
      <c r="RPJ9" s="117"/>
      <c r="RPK9" s="117"/>
      <c r="RPL9" s="117"/>
      <c r="RPM9" s="117"/>
      <c r="RPN9" s="117"/>
      <c r="RPO9" s="117"/>
      <c r="RPP9" s="117"/>
      <c r="RPQ9" s="117"/>
      <c r="RPR9" s="117"/>
      <c r="RPS9" s="117"/>
      <c r="RPT9" s="117"/>
      <c r="RPU9" s="117"/>
      <c r="RPV9" s="117"/>
      <c r="RPW9" s="117"/>
      <c r="RPX9" s="117"/>
      <c r="RPY9" s="117"/>
      <c r="RPZ9" s="117"/>
      <c r="RQA9" s="117"/>
      <c r="RQB9" s="117"/>
      <c r="RQC9" s="117"/>
      <c r="RQD9" s="117"/>
      <c r="RQE9" s="117"/>
      <c r="RQF9" s="117"/>
      <c r="RQG9" s="117"/>
      <c r="RQH9" s="117"/>
      <c r="RQI9" s="117"/>
      <c r="RQJ9" s="117"/>
      <c r="RQK9" s="117"/>
      <c r="RQL9" s="117"/>
      <c r="RQM9" s="117"/>
      <c r="RQN9" s="117"/>
      <c r="RQO9" s="117"/>
      <c r="RQP9" s="117"/>
      <c r="RQQ9" s="117"/>
      <c r="RQR9" s="117"/>
      <c r="RQS9" s="117"/>
      <c r="RQT9" s="117"/>
      <c r="RQU9" s="117"/>
      <c r="RQV9" s="117"/>
      <c r="RQW9" s="117"/>
      <c r="RQX9" s="117"/>
      <c r="RQY9" s="117"/>
      <c r="RQZ9" s="117"/>
      <c r="RRA9" s="117"/>
      <c r="RRB9" s="117"/>
      <c r="RRC9" s="117"/>
      <c r="RRD9" s="117"/>
      <c r="RRE9" s="117"/>
      <c r="RRF9" s="117"/>
      <c r="RRG9" s="117"/>
      <c r="RRH9" s="117"/>
      <c r="RRI9" s="117"/>
      <c r="RRJ9" s="117"/>
      <c r="RRK9" s="117"/>
      <c r="RRL9" s="117"/>
      <c r="RRM9" s="117"/>
      <c r="RRN9" s="117"/>
      <c r="RRO9" s="117"/>
      <c r="RRP9" s="117"/>
      <c r="RRQ9" s="117"/>
      <c r="RRR9" s="117"/>
      <c r="RRS9" s="117"/>
      <c r="RRT9" s="117"/>
      <c r="RRU9" s="117"/>
      <c r="RRV9" s="117"/>
      <c r="RRW9" s="117"/>
      <c r="RRX9" s="117"/>
      <c r="RRY9" s="117"/>
      <c r="RRZ9" s="117"/>
      <c r="RSA9" s="117"/>
      <c r="RSB9" s="117"/>
      <c r="RSC9" s="117"/>
      <c r="RSD9" s="117"/>
      <c r="RSE9" s="117"/>
      <c r="RSF9" s="117"/>
      <c r="RSG9" s="117"/>
      <c r="RSH9" s="117"/>
      <c r="RSI9" s="117"/>
      <c r="RSJ9" s="117"/>
      <c r="RSK9" s="117"/>
      <c r="RSL9" s="117"/>
      <c r="RSM9" s="117"/>
      <c r="RSN9" s="117"/>
      <c r="RSO9" s="117"/>
      <c r="RSP9" s="117"/>
      <c r="RSQ9" s="117"/>
      <c r="RSR9" s="117"/>
      <c r="RSS9" s="117"/>
      <c r="RST9" s="117"/>
      <c r="RSU9" s="117"/>
      <c r="RSV9" s="117"/>
      <c r="RSW9" s="117"/>
      <c r="RSX9" s="117"/>
      <c r="RSY9" s="117"/>
      <c r="RSZ9" s="117"/>
      <c r="RTA9" s="117"/>
      <c r="RTB9" s="117"/>
      <c r="RTC9" s="117"/>
      <c r="RTD9" s="117"/>
      <c r="RTE9" s="117"/>
      <c r="RTF9" s="117"/>
      <c r="RTG9" s="117"/>
      <c r="RTH9" s="117"/>
      <c r="RTI9" s="117"/>
      <c r="RTJ9" s="117"/>
      <c r="RTK9" s="117"/>
      <c r="RTL9" s="117"/>
      <c r="RTM9" s="117"/>
      <c r="RTN9" s="117"/>
      <c r="RTO9" s="117"/>
      <c r="RTP9" s="117"/>
      <c r="RTQ9" s="117"/>
      <c r="RTR9" s="117"/>
      <c r="RTS9" s="117"/>
      <c r="RTT9" s="117"/>
      <c r="RTU9" s="117"/>
      <c r="RTV9" s="117"/>
      <c r="RTW9" s="117"/>
      <c r="RTX9" s="117"/>
      <c r="RTY9" s="117"/>
      <c r="RTZ9" s="117"/>
      <c r="RUA9" s="117"/>
      <c r="RUB9" s="117"/>
      <c r="RUC9" s="117"/>
      <c r="RUD9" s="117"/>
      <c r="RUE9" s="117"/>
      <c r="RUF9" s="117"/>
      <c r="RUG9" s="117"/>
      <c r="RUH9" s="117"/>
      <c r="RUI9" s="117"/>
      <c r="RUJ9" s="117"/>
      <c r="RUK9" s="117"/>
      <c r="RUL9" s="117"/>
      <c r="RUM9" s="117"/>
      <c r="RUN9" s="117"/>
      <c r="RUO9" s="117"/>
      <c r="RUP9" s="117"/>
      <c r="RUQ9" s="117"/>
      <c r="RUR9" s="117"/>
      <c r="RUS9" s="117"/>
      <c r="RUT9" s="117"/>
      <c r="RUU9" s="117"/>
      <c r="RUV9" s="117"/>
      <c r="RUW9" s="117"/>
      <c r="RUX9" s="117"/>
      <c r="RUY9" s="117"/>
      <c r="RUZ9" s="117"/>
      <c r="RVA9" s="117"/>
      <c r="RVB9" s="117"/>
      <c r="RVC9" s="117"/>
      <c r="RVD9" s="117"/>
      <c r="RVE9" s="117"/>
      <c r="RVF9" s="117"/>
      <c r="RVG9" s="117"/>
      <c r="RVH9" s="117"/>
      <c r="RVI9" s="117"/>
      <c r="RVJ9" s="117"/>
      <c r="RVK9" s="117"/>
      <c r="RVL9" s="117"/>
      <c r="RVM9" s="117"/>
      <c r="RVN9" s="117"/>
      <c r="RVO9" s="117"/>
      <c r="RVP9" s="117"/>
      <c r="RVQ9" s="117"/>
      <c r="RVR9" s="117"/>
      <c r="RVS9" s="117"/>
      <c r="RVT9" s="117"/>
      <c r="RVU9" s="117"/>
      <c r="RVV9" s="117"/>
      <c r="RVW9" s="117"/>
      <c r="RVX9" s="117"/>
      <c r="RVY9" s="117"/>
      <c r="RVZ9" s="117"/>
      <c r="RWA9" s="117"/>
      <c r="RWB9" s="117"/>
      <c r="RWC9" s="117"/>
      <c r="RWD9" s="117"/>
      <c r="RWE9" s="117"/>
      <c r="RWF9" s="117"/>
      <c r="RWG9" s="117"/>
      <c r="RWH9" s="117"/>
      <c r="RWI9" s="117"/>
      <c r="RWJ9" s="117"/>
      <c r="RWK9" s="117"/>
      <c r="RWL9" s="117"/>
      <c r="RWM9" s="117"/>
      <c r="RWN9" s="117"/>
      <c r="RWO9" s="117"/>
      <c r="RWP9" s="117"/>
      <c r="RWQ9" s="117"/>
      <c r="RWR9" s="117"/>
      <c r="RWS9" s="117"/>
      <c r="RWT9" s="117"/>
      <c r="RWU9" s="117"/>
      <c r="RWV9" s="117"/>
      <c r="RWW9" s="117"/>
      <c r="RWX9" s="117"/>
      <c r="RWY9" s="117"/>
      <c r="RWZ9" s="117"/>
      <c r="RXA9" s="117"/>
      <c r="RXB9" s="117"/>
      <c r="RXC9" s="117"/>
      <c r="RXD9" s="117"/>
      <c r="RXE9" s="117"/>
      <c r="RXF9" s="117"/>
      <c r="RXG9" s="117"/>
      <c r="RXH9" s="117"/>
      <c r="RXI9" s="117"/>
      <c r="RXJ9" s="117"/>
      <c r="RXK9" s="117"/>
      <c r="RXL9" s="117"/>
      <c r="RXM9" s="117"/>
      <c r="RXN9" s="117"/>
      <c r="RXO9" s="117"/>
      <c r="RXP9" s="117"/>
      <c r="RXQ9" s="117"/>
      <c r="RXR9" s="117"/>
      <c r="RXS9" s="117"/>
      <c r="RXT9" s="117"/>
      <c r="RXU9" s="117"/>
      <c r="RXV9" s="117"/>
      <c r="RXW9" s="117"/>
      <c r="RXX9" s="117"/>
      <c r="RXY9" s="117"/>
      <c r="RXZ9" s="117"/>
      <c r="RYA9" s="117"/>
      <c r="RYB9" s="117"/>
      <c r="RYC9" s="117"/>
      <c r="RYD9" s="117"/>
      <c r="RYE9" s="117"/>
      <c r="RYF9" s="117"/>
      <c r="RYG9" s="117"/>
      <c r="RYH9" s="117"/>
      <c r="RYI9" s="117"/>
      <c r="RYJ9" s="117"/>
      <c r="RYK9" s="117"/>
      <c r="RYL9" s="117"/>
      <c r="RYM9" s="117"/>
      <c r="RYN9" s="117"/>
      <c r="RYO9" s="117"/>
      <c r="RYP9" s="117"/>
      <c r="RYQ9" s="117"/>
      <c r="RYR9" s="117"/>
      <c r="RYS9" s="117"/>
      <c r="RYT9" s="117"/>
      <c r="RYU9" s="117"/>
      <c r="RYV9" s="117"/>
      <c r="RYW9" s="117"/>
      <c r="RYX9" s="117"/>
      <c r="RYY9" s="117"/>
      <c r="RYZ9" s="117"/>
      <c r="RZA9" s="117"/>
      <c r="RZB9" s="117"/>
      <c r="RZC9" s="117"/>
      <c r="RZD9" s="117"/>
      <c r="RZE9" s="117"/>
      <c r="RZF9" s="117"/>
      <c r="RZG9" s="117"/>
      <c r="RZH9" s="117"/>
      <c r="RZI9" s="117"/>
      <c r="RZJ9" s="117"/>
      <c r="RZK9" s="117"/>
      <c r="RZL9" s="117"/>
      <c r="RZM9" s="117"/>
      <c r="RZN9" s="117"/>
      <c r="RZO9" s="117"/>
      <c r="RZP9" s="117"/>
      <c r="RZQ9" s="117"/>
      <c r="RZR9" s="117"/>
      <c r="RZS9" s="117"/>
      <c r="RZT9" s="117"/>
      <c r="RZU9" s="117"/>
      <c r="RZV9" s="117"/>
      <c r="RZW9" s="117"/>
      <c r="RZX9" s="117"/>
      <c r="RZY9" s="117"/>
      <c r="RZZ9" s="117"/>
      <c r="SAA9" s="117"/>
      <c r="SAB9" s="117"/>
      <c r="SAC9" s="117"/>
      <c r="SAD9" s="117"/>
      <c r="SAE9" s="117"/>
      <c r="SAF9" s="117"/>
      <c r="SAG9" s="117"/>
      <c r="SAH9" s="117"/>
      <c r="SAI9" s="117"/>
      <c r="SAJ9" s="117"/>
      <c r="SAK9" s="117"/>
      <c r="SAL9" s="117"/>
      <c r="SAM9" s="117"/>
      <c r="SAN9" s="117"/>
      <c r="SAO9" s="117"/>
      <c r="SAP9" s="117"/>
      <c r="SAQ9" s="117"/>
      <c r="SAR9" s="117"/>
      <c r="SAS9" s="117"/>
      <c r="SAT9" s="117"/>
      <c r="SAU9" s="117"/>
      <c r="SAV9" s="117"/>
      <c r="SAW9" s="117"/>
      <c r="SAX9" s="117"/>
      <c r="SAY9" s="117"/>
      <c r="SAZ9" s="117"/>
      <c r="SBA9" s="117"/>
      <c r="SBB9" s="117"/>
      <c r="SBC9" s="117"/>
      <c r="SBD9" s="117"/>
      <c r="SBE9" s="117"/>
      <c r="SBF9" s="117"/>
      <c r="SBG9" s="117"/>
      <c r="SBH9" s="117"/>
      <c r="SBI9" s="117"/>
      <c r="SBJ9" s="117"/>
      <c r="SBK9" s="117"/>
      <c r="SBL9" s="117"/>
      <c r="SBM9" s="117"/>
      <c r="SBN9" s="117"/>
      <c r="SBO9" s="117"/>
      <c r="SBP9" s="117"/>
      <c r="SBQ9" s="117"/>
      <c r="SBR9" s="117"/>
      <c r="SBS9" s="117"/>
      <c r="SBT9" s="117"/>
      <c r="SBU9" s="117"/>
      <c r="SBV9" s="117"/>
      <c r="SBW9" s="117"/>
      <c r="SBX9" s="117"/>
      <c r="SBY9" s="117"/>
      <c r="SBZ9" s="117"/>
      <c r="SCA9" s="117"/>
      <c r="SCB9" s="117"/>
      <c r="SCC9" s="117"/>
      <c r="SCD9" s="117"/>
      <c r="SCE9" s="117"/>
      <c r="SCF9" s="117"/>
      <c r="SCG9" s="117"/>
      <c r="SCH9" s="117"/>
      <c r="SCI9" s="117"/>
      <c r="SCJ9" s="117"/>
      <c r="SCK9" s="117"/>
      <c r="SCL9" s="117"/>
      <c r="SCM9" s="117"/>
      <c r="SCN9" s="117"/>
      <c r="SCO9" s="117"/>
      <c r="SCP9" s="117"/>
      <c r="SCQ9" s="117"/>
      <c r="SCR9" s="117"/>
      <c r="SCS9" s="117"/>
      <c r="SCT9" s="117"/>
      <c r="SCU9" s="117"/>
      <c r="SCV9" s="117"/>
      <c r="SCW9" s="117"/>
      <c r="SCX9" s="117"/>
      <c r="SCY9" s="117"/>
      <c r="SCZ9" s="117"/>
      <c r="SDA9" s="117"/>
      <c r="SDB9" s="117"/>
      <c r="SDC9" s="117"/>
      <c r="SDD9" s="117"/>
      <c r="SDE9" s="117"/>
      <c r="SDF9" s="117"/>
      <c r="SDG9" s="117"/>
      <c r="SDH9" s="117"/>
      <c r="SDI9" s="117"/>
      <c r="SDJ9" s="117"/>
      <c r="SDK9" s="117"/>
      <c r="SDL9" s="117"/>
      <c r="SDM9" s="117"/>
      <c r="SDN9" s="117"/>
      <c r="SDO9" s="117"/>
      <c r="SDP9" s="117"/>
      <c r="SDQ9" s="117"/>
      <c r="SDR9" s="117"/>
      <c r="SDS9" s="117"/>
      <c r="SDT9" s="117"/>
      <c r="SDU9" s="117"/>
      <c r="SDV9" s="117"/>
      <c r="SDW9" s="117"/>
      <c r="SDX9" s="117"/>
      <c r="SDY9" s="117"/>
      <c r="SDZ9" s="117"/>
      <c r="SEA9" s="117"/>
      <c r="SEB9" s="117"/>
      <c r="SEC9" s="117"/>
      <c r="SED9" s="117"/>
      <c r="SEE9" s="117"/>
      <c r="SEF9" s="117"/>
      <c r="SEG9" s="117"/>
      <c r="SEH9" s="117"/>
      <c r="SEI9" s="117"/>
      <c r="SEJ9" s="117"/>
      <c r="SEK9" s="117"/>
      <c r="SEL9" s="117"/>
      <c r="SEM9" s="117"/>
      <c r="SEN9" s="117"/>
      <c r="SEO9" s="117"/>
      <c r="SEP9" s="117"/>
      <c r="SEQ9" s="117"/>
      <c r="SER9" s="117"/>
      <c r="SES9" s="117"/>
      <c r="SET9" s="117"/>
      <c r="SEU9" s="117"/>
      <c r="SEV9" s="117"/>
      <c r="SEW9" s="117"/>
      <c r="SEX9" s="117"/>
      <c r="SEY9" s="117"/>
      <c r="SEZ9" s="117"/>
      <c r="SFA9" s="117"/>
      <c r="SFB9" s="117"/>
      <c r="SFC9" s="117"/>
      <c r="SFD9" s="117"/>
      <c r="SFE9" s="117"/>
      <c r="SFF9" s="117"/>
      <c r="SFG9" s="117"/>
      <c r="SFH9" s="117"/>
      <c r="SFI9" s="117"/>
      <c r="SFJ9" s="117"/>
      <c r="SFK9" s="117"/>
      <c r="SFL9" s="117"/>
      <c r="SFM9" s="117"/>
      <c r="SFN9" s="117"/>
      <c r="SFO9" s="117"/>
      <c r="SFP9" s="117"/>
      <c r="SFQ9" s="117"/>
      <c r="SFR9" s="117"/>
      <c r="SFS9" s="117"/>
      <c r="SFT9" s="117"/>
      <c r="SFU9" s="117"/>
      <c r="SFV9" s="117"/>
      <c r="SFW9" s="117"/>
      <c r="SFX9" s="117"/>
      <c r="SFY9" s="117"/>
      <c r="SFZ9" s="117"/>
      <c r="SGA9" s="117"/>
      <c r="SGB9" s="117"/>
      <c r="SGC9" s="117"/>
      <c r="SGD9" s="117"/>
      <c r="SGE9" s="117"/>
      <c r="SGF9" s="117"/>
      <c r="SGG9" s="117"/>
      <c r="SGH9" s="117"/>
      <c r="SGI9" s="117"/>
      <c r="SGJ9" s="117"/>
      <c r="SGK9" s="117"/>
      <c r="SGL9" s="117"/>
      <c r="SGM9" s="117"/>
      <c r="SGN9" s="117"/>
      <c r="SGO9" s="117"/>
      <c r="SGP9" s="117"/>
      <c r="SGQ9" s="117"/>
      <c r="SGR9" s="117"/>
      <c r="SGS9" s="117"/>
      <c r="SGT9" s="117"/>
      <c r="SGU9" s="117"/>
      <c r="SGV9" s="117"/>
      <c r="SGW9" s="117"/>
      <c r="SGX9" s="117"/>
      <c r="SGY9" s="117"/>
      <c r="SGZ9" s="117"/>
      <c r="SHA9" s="117"/>
      <c r="SHB9" s="117"/>
      <c r="SHC9" s="117"/>
      <c r="SHD9" s="117"/>
      <c r="SHE9" s="117"/>
      <c r="SHF9" s="117"/>
      <c r="SHG9" s="117"/>
      <c r="SHH9" s="117"/>
      <c r="SHI9" s="117"/>
      <c r="SHJ9" s="117"/>
      <c r="SHK9" s="117"/>
      <c r="SHL9" s="117"/>
      <c r="SHM9" s="117"/>
      <c r="SHN9" s="117"/>
      <c r="SHO9" s="117"/>
      <c r="SHP9" s="117"/>
      <c r="SHQ9" s="117"/>
      <c r="SHR9" s="117"/>
      <c r="SHS9" s="117"/>
      <c r="SHT9" s="117"/>
      <c r="SHU9" s="117"/>
      <c r="SHV9" s="117"/>
      <c r="SHW9" s="117"/>
      <c r="SHX9" s="117"/>
      <c r="SHY9" s="117"/>
      <c r="SHZ9" s="117"/>
      <c r="SIA9" s="117"/>
      <c r="SIB9" s="117"/>
      <c r="SIC9" s="117"/>
      <c r="SID9" s="117"/>
      <c r="SIE9" s="117"/>
      <c r="SIF9" s="117"/>
      <c r="SIG9" s="117"/>
      <c r="SIH9" s="117"/>
      <c r="SII9" s="117"/>
      <c r="SIJ9" s="117"/>
      <c r="SIK9" s="117"/>
      <c r="SIL9" s="117"/>
      <c r="SIM9" s="117"/>
      <c r="SIN9" s="117"/>
      <c r="SIO9" s="117"/>
      <c r="SIP9" s="117"/>
      <c r="SIQ9" s="117"/>
      <c r="SIR9" s="117"/>
      <c r="SIS9" s="117"/>
      <c r="SIT9" s="117"/>
      <c r="SIU9" s="117"/>
      <c r="SIV9" s="117"/>
      <c r="SIW9" s="117"/>
      <c r="SIX9" s="117"/>
      <c r="SIY9" s="117"/>
      <c r="SIZ9" s="117"/>
      <c r="SJA9" s="117"/>
      <c r="SJB9" s="117"/>
      <c r="SJC9" s="117"/>
      <c r="SJD9" s="117"/>
      <c r="SJE9" s="117"/>
      <c r="SJF9" s="117"/>
      <c r="SJG9" s="117"/>
      <c r="SJH9" s="117"/>
      <c r="SJI9" s="117"/>
      <c r="SJJ9" s="117"/>
      <c r="SJK9" s="117"/>
      <c r="SJL9" s="117"/>
      <c r="SJM9" s="117"/>
      <c r="SJN9" s="117"/>
      <c r="SJO9" s="117"/>
      <c r="SJP9" s="117"/>
      <c r="SJQ9" s="117"/>
      <c r="SJR9" s="117"/>
      <c r="SJS9" s="117"/>
      <c r="SJT9" s="117"/>
      <c r="SJU9" s="117"/>
      <c r="SJV9" s="117"/>
      <c r="SJW9" s="117"/>
      <c r="SJX9" s="117"/>
      <c r="SJY9" s="117"/>
      <c r="SJZ9" s="117"/>
      <c r="SKA9" s="117"/>
      <c r="SKB9" s="117"/>
      <c r="SKC9" s="117"/>
      <c r="SKD9" s="117"/>
      <c r="SKE9" s="117"/>
      <c r="SKF9" s="117"/>
      <c r="SKG9" s="117"/>
      <c r="SKH9" s="117"/>
      <c r="SKI9" s="117"/>
      <c r="SKJ9" s="117"/>
      <c r="SKK9" s="117"/>
      <c r="SKL9" s="117"/>
      <c r="SKM9" s="117"/>
      <c r="SKN9" s="117"/>
      <c r="SKO9" s="117"/>
      <c r="SKP9" s="117"/>
      <c r="SKQ9" s="117"/>
      <c r="SKR9" s="117"/>
      <c r="SKS9" s="117"/>
      <c r="SKT9" s="117"/>
      <c r="SKU9" s="117"/>
      <c r="SKV9" s="117"/>
      <c r="SKW9" s="117"/>
      <c r="SKX9" s="117"/>
      <c r="SKY9" s="117"/>
      <c r="SKZ9" s="117"/>
      <c r="SLA9" s="117"/>
      <c r="SLB9" s="117"/>
      <c r="SLC9" s="117"/>
      <c r="SLD9" s="117"/>
      <c r="SLE9" s="117"/>
      <c r="SLF9" s="117"/>
      <c r="SLG9" s="117"/>
      <c r="SLH9" s="117"/>
      <c r="SLI9" s="117"/>
      <c r="SLJ9" s="117"/>
      <c r="SLK9" s="117"/>
      <c r="SLL9" s="117"/>
      <c r="SLM9" s="117"/>
      <c r="SLN9" s="117"/>
      <c r="SLO9" s="117"/>
      <c r="SLP9" s="117"/>
      <c r="SLQ9" s="117"/>
      <c r="SLR9" s="117"/>
      <c r="SLS9" s="117"/>
      <c r="SLT9" s="117"/>
      <c r="SLU9" s="117"/>
      <c r="SLV9" s="117"/>
      <c r="SLW9" s="117"/>
      <c r="SLX9" s="117"/>
      <c r="SLY9" s="117"/>
      <c r="SLZ9" s="117"/>
      <c r="SMA9" s="117"/>
      <c r="SMB9" s="117"/>
      <c r="SMC9" s="117"/>
      <c r="SMD9" s="117"/>
      <c r="SME9" s="117"/>
      <c r="SMF9" s="117"/>
      <c r="SMG9" s="117"/>
      <c r="SMH9" s="117"/>
      <c r="SMI9" s="117"/>
      <c r="SMJ9" s="117"/>
      <c r="SMK9" s="117"/>
      <c r="SML9" s="117"/>
      <c r="SMM9" s="117"/>
      <c r="SMN9" s="117"/>
      <c r="SMO9" s="117"/>
      <c r="SMP9" s="117"/>
      <c r="SMQ9" s="117"/>
      <c r="SMR9" s="117"/>
      <c r="SMS9" s="117"/>
      <c r="SMT9" s="117"/>
      <c r="SMU9" s="117"/>
      <c r="SMV9" s="117"/>
      <c r="SMW9" s="117"/>
      <c r="SMX9" s="117"/>
      <c r="SMY9" s="117"/>
      <c r="SMZ9" s="117"/>
      <c r="SNA9" s="117"/>
      <c r="SNB9" s="117"/>
      <c r="SNC9" s="117"/>
      <c r="SND9" s="117"/>
      <c r="SNE9" s="117"/>
      <c r="SNF9" s="117"/>
      <c r="SNG9" s="117"/>
      <c r="SNH9" s="117"/>
      <c r="SNI9" s="117"/>
      <c r="SNJ9" s="117"/>
      <c r="SNK9" s="117"/>
      <c r="SNL9" s="117"/>
      <c r="SNM9" s="117"/>
      <c r="SNN9" s="117"/>
      <c r="SNO9" s="117"/>
      <c r="SNP9" s="117"/>
      <c r="SNQ9" s="117"/>
      <c r="SNR9" s="117"/>
      <c r="SNS9" s="117"/>
      <c r="SNT9" s="117"/>
      <c r="SNU9" s="117"/>
      <c r="SNV9" s="117"/>
      <c r="SNW9" s="117"/>
      <c r="SNX9" s="117"/>
      <c r="SNY9" s="117"/>
      <c r="SNZ9" s="117"/>
      <c r="SOA9" s="117"/>
      <c r="SOB9" s="117"/>
      <c r="SOC9" s="117"/>
      <c r="SOD9" s="117"/>
      <c r="SOE9" s="117"/>
      <c r="SOF9" s="117"/>
      <c r="SOG9" s="117"/>
      <c r="SOH9" s="117"/>
      <c r="SOI9" s="117"/>
      <c r="SOJ9" s="117"/>
      <c r="SOK9" s="117"/>
      <c r="SOL9" s="117"/>
      <c r="SOM9" s="117"/>
      <c r="SON9" s="117"/>
      <c r="SOO9" s="117"/>
      <c r="SOP9" s="117"/>
      <c r="SOQ9" s="117"/>
      <c r="SOR9" s="117"/>
      <c r="SOS9" s="117"/>
      <c r="SOT9" s="117"/>
      <c r="SOU9" s="117"/>
      <c r="SOV9" s="117"/>
      <c r="SOW9" s="117"/>
      <c r="SOX9" s="117"/>
      <c r="SOY9" s="117"/>
      <c r="SOZ9" s="117"/>
      <c r="SPA9" s="117"/>
      <c r="SPB9" s="117"/>
      <c r="SPC9" s="117"/>
      <c r="SPD9" s="117"/>
      <c r="SPE9" s="117"/>
      <c r="SPF9" s="117"/>
      <c r="SPG9" s="117"/>
      <c r="SPH9" s="117"/>
      <c r="SPI9" s="117"/>
      <c r="SPJ9" s="117"/>
      <c r="SPK9" s="117"/>
      <c r="SPL9" s="117"/>
      <c r="SPM9" s="117"/>
      <c r="SPN9" s="117"/>
      <c r="SPO9" s="117"/>
      <c r="SPP9" s="117"/>
      <c r="SPQ9" s="117"/>
      <c r="SPR9" s="117"/>
      <c r="SPS9" s="117"/>
      <c r="SPT9" s="117"/>
      <c r="SPU9" s="117"/>
      <c r="SPV9" s="117"/>
      <c r="SPW9" s="117"/>
      <c r="SPX9" s="117"/>
      <c r="SPY9" s="117"/>
      <c r="SPZ9" s="117"/>
      <c r="SQA9" s="117"/>
      <c r="SQB9" s="117"/>
      <c r="SQC9" s="117"/>
      <c r="SQD9" s="117"/>
      <c r="SQE9" s="117"/>
      <c r="SQF9" s="117"/>
      <c r="SQG9" s="117"/>
      <c r="SQH9" s="117"/>
      <c r="SQI9" s="117"/>
      <c r="SQJ9" s="117"/>
      <c r="SQK9" s="117"/>
      <c r="SQL9" s="117"/>
      <c r="SQM9" s="117"/>
      <c r="SQN9" s="117"/>
      <c r="SQO9" s="117"/>
      <c r="SQP9" s="117"/>
      <c r="SQQ9" s="117"/>
      <c r="SQR9" s="117"/>
      <c r="SQS9" s="117"/>
      <c r="SQT9" s="117"/>
      <c r="SQU9" s="117"/>
      <c r="SQV9" s="117"/>
      <c r="SQW9" s="117"/>
      <c r="SQX9" s="117"/>
      <c r="SQY9" s="117"/>
      <c r="SQZ9" s="117"/>
      <c r="SRA9" s="117"/>
      <c r="SRB9" s="117"/>
      <c r="SRC9" s="117"/>
      <c r="SRD9" s="117"/>
      <c r="SRE9" s="117"/>
      <c r="SRF9" s="117"/>
      <c r="SRG9" s="117"/>
      <c r="SRH9" s="117"/>
      <c r="SRI9" s="117"/>
      <c r="SRJ9" s="117"/>
      <c r="SRK9" s="117"/>
      <c r="SRL9" s="117"/>
      <c r="SRM9" s="117"/>
      <c r="SRN9" s="117"/>
      <c r="SRO9" s="117"/>
      <c r="SRP9" s="117"/>
      <c r="SRQ9" s="117"/>
      <c r="SRR9" s="117"/>
      <c r="SRS9" s="117"/>
      <c r="SRT9" s="117"/>
      <c r="SRU9" s="117"/>
      <c r="SRV9" s="117"/>
      <c r="SRW9" s="117"/>
      <c r="SRX9" s="117"/>
      <c r="SRY9" s="117"/>
      <c r="SRZ9" s="117"/>
      <c r="SSA9" s="117"/>
      <c r="SSB9" s="117"/>
      <c r="SSC9" s="117"/>
      <c r="SSD9" s="117"/>
      <c r="SSE9" s="117"/>
      <c r="SSF9" s="117"/>
      <c r="SSG9" s="117"/>
      <c r="SSH9" s="117"/>
      <c r="SSI9" s="117"/>
      <c r="SSJ9" s="117"/>
      <c r="SSK9" s="117"/>
      <c r="SSL9" s="117"/>
      <c r="SSM9" s="117"/>
      <c r="SSN9" s="117"/>
      <c r="SSO9" s="117"/>
      <c r="SSP9" s="117"/>
      <c r="SSQ9" s="117"/>
      <c r="SSR9" s="117"/>
      <c r="SSS9" s="117"/>
      <c r="SST9" s="117"/>
      <c r="SSU9" s="117"/>
      <c r="SSV9" s="117"/>
      <c r="SSW9" s="117"/>
      <c r="SSX9" s="117"/>
      <c r="SSY9" s="117"/>
      <c r="SSZ9" s="117"/>
      <c r="STA9" s="117"/>
      <c r="STB9" s="117"/>
      <c r="STC9" s="117"/>
      <c r="STD9" s="117"/>
      <c r="STE9" s="117"/>
      <c r="STF9" s="117"/>
      <c r="STG9" s="117"/>
      <c r="STH9" s="117"/>
      <c r="STI9" s="117"/>
      <c r="STJ9" s="117"/>
      <c r="STK9" s="117"/>
      <c r="STL9" s="117"/>
      <c r="STM9" s="117"/>
      <c r="STN9" s="117"/>
      <c r="STO9" s="117"/>
      <c r="STP9" s="117"/>
      <c r="STQ9" s="117"/>
      <c r="STR9" s="117"/>
      <c r="STS9" s="117"/>
      <c r="STT9" s="117"/>
      <c r="STU9" s="117"/>
      <c r="STV9" s="117"/>
      <c r="STW9" s="117"/>
      <c r="STX9" s="117"/>
      <c r="STY9" s="117"/>
      <c r="STZ9" s="117"/>
      <c r="SUA9" s="117"/>
      <c r="SUB9" s="117"/>
      <c r="SUC9" s="117"/>
      <c r="SUD9" s="117"/>
      <c r="SUE9" s="117"/>
      <c r="SUF9" s="117"/>
      <c r="SUG9" s="117"/>
      <c r="SUH9" s="117"/>
      <c r="SUI9" s="117"/>
      <c r="SUJ9" s="117"/>
      <c r="SUK9" s="117"/>
      <c r="SUL9" s="117"/>
      <c r="SUM9" s="117"/>
      <c r="SUN9" s="117"/>
      <c r="SUO9" s="117"/>
      <c r="SUP9" s="117"/>
      <c r="SUQ9" s="117"/>
      <c r="SUR9" s="117"/>
      <c r="SUS9" s="117"/>
      <c r="SUT9" s="117"/>
      <c r="SUU9" s="117"/>
      <c r="SUV9" s="117"/>
      <c r="SUW9" s="117"/>
      <c r="SUX9" s="117"/>
      <c r="SUY9" s="117"/>
      <c r="SUZ9" s="117"/>
      <c r="SVA9" s="117"/>
      <c r="SVB9" s="117"/>
      <c r="SVC9" s="117"/>
      <c r="SVD9" s="117"/>
      <c r="SVE9" s="117"/>
      <c r="SVF9" s="117"/>
      <c r="SVG9" s="117"/>
      <c r="SVH9" s="117"/>
      <c r="SVI9" s="117"/>
      <c r="SVJ9" s="117"/>
      <c r="SVK9" s="117"/>
      <c r="SVL9" s="117"/>
      <c r="SVM9" s="117"/>
      <c r="SVN9" s="117"/>
      <c r="SVO9" s="117"/>
      <c r="SVP9" s="117"/>
      <c r="SVQ9" s="117"/>
      <c r="SVR9" s="117"/>
      <c r="SVS9" s="117"/>
      <c r="SVT9" s="117"/>
      <c r="SVU9" s="117"/>
      <c r="SVV9" s="117"/>
      <c r="SVW9" s="117"/>
      <c r="SVX9" s="117"/>
      <c r="SVY9" s="117"/>
      <c r="SVZ9" s="117"/>
      <c r="SWA9" s="117"/>
      <c r="SWB9" s="117"/>
      <c r="SWC9" s="117"/>
      <c r="SWD9" s="117"/>
      <c r="SWE9" s="117"/>
      <c r="SWF9" s="117"/>
      <c r="SWG9" s="117"/>
      <c r="SWH9" s="117"/>
      <c r="SWI9" s="117"/>
      <c r="SWJ9" s="117"/>
      <c r="SWK9" s="117"/>
      <c r="SWL9" s="117"/>
      <c r="SWM9" s="117"/>
      <c r="SWN9" s="117"/>
      <c r="SWO9" s="117"/>
      <c r="SWP9" s="117"/>
      <c r="SWQ9" s="117"/>
      <c r="SWR9" s="117"/>
      <c r="SWS9" s="117"/>
      <c r="SWT9" s="117"/>
      <c r="SWU9" s="117"/>
      <c r="SWV9" s="117"/>
      <c r="SWW9" s="117"/>
      <c r="SWX9" s="117"/>
      <c r="SWY9" s="117"/>
      <c r="SWZ9" s="117"/>
      <c r="SXA9" s="117"/>
      <c r="SXB9" s="117"/>
      <c r="SXC9" s="117"/>
      <c r="SXD9" s="117"/>
      <c r="SXE9" s="117"/>
      <c r="SXF9" s="117"/>
      <c r="SXG9" s="117"/>
      <c r="SXH9" s="117"/>
      <c r="SXI9" s="117"/>
      <c r="SXJ9" s="117"/>
      <c r="SXK9" s="117"/>
      <c r="SXL9" s="117"/>
      <c r="SXM9" s="117"/>
      <c r="SXN9" s="117"/>
      <c r="SXO9" s="117"/>
      <c r="SXP9" s="117"/>
      <c r="SXQ9" s="117"/>
      <c r="SXR9" s="117"/>
      <c r="SXS9" s="117"/>
      <c r="SXT9" s="117"/>
      <c r="SXU9" s="117"/>
      <c r="SXV9" s="117"/>
      <c r="SXW9" s="117"/>
      <c r="SXX9" s="117"/>
      <c r="SXY9" s="117"/>
      <c r="SXZ9" s="117"/>
      <c r="SYA9" s="117"/>
      <c r="SYB9" s="117"/>
      <c r="SYC9" s="117"/>
      <c r="SYD9" s="117"/>
      <c r="SYE9" s="117"/>
      <c r="SYF9" s="117"/>
      <c r="SYG9" s="117"/>
      <c r="SYH9" s="117"/>
      <c r="SYI9" s="117"/>
      <c r="SYJ9" s="117"/>
      <c r="SYK9" s="117"/>
      <c r="SYL9" s="117"/>
      <c r="SYM9" s="117"/>
      <c r="SYN9" s="117"/>
      <c r="SYO9" s="117"/>
      <c r="SYP9" s="117"/>
      <c r="SYQ9" s="117"/>
      <c r="SYR9" s="117"/>
      <c r="SYS9" s="117"/>
      <c r="SYT9" s="117"/>
      <c r="SYU9" s="117"/>
      <c r="SYV9" s="117"/>
      <c r="SYW9" s="117"/>
      <c r="SYX9" s="117"/>
      <c r="SYY9" s="117"/>
      <c r="SYZ9" s="117"/>
      <c r="SZA9" s="117"/>
      <c r="SZB9" s="117"/>
      <c r="SZC9" s="117"/>
      <c r="SZD9" s="117"/>
      <c r="SZE9" s="117"/>
      <c r="SZF9" s="117"/>
      <c r="SZG9" s="117"/>
      <c r="SZH9" s="117"/>
      <c r="SZI9" s="117"/>
      <c r="SZJ9" s="117"/>
      <c r="SZK9" s="117"/>
      <c r="SZL9" s="117"/>
      <c r="SZM9" s="117"/>
      <c r="SZN9" s="117"/>
      <c r="SZO9" s="117"/>
      <c r="SZP9" s="117"/>
      <c r="SZQ9" s="117"/>
      <c r="SZR9" s="117"/>
      <c r="SZS9" s="117"/>
      <c r="SZT9" s="117"/>
      <c r="SZU9" s="117"/>
      <c r="SZV9" s="117"/>
      <c r="SZW9" s="117"/>
      <c r="SZX9" s="117"/>
      <c r="SZY9" s="117"/>
      <c r="SZZ9" s="117"/>
      <c r="TAA9" s="117"/>
      <c r="TAB9" s="117"/>
      <c r="TAC9" s="117"/>
      <c r="TAD9" s="117"/>
      <c r="TAE9" s="117"/>
      <c r="TAF9" s="117"/>
      <c r="TAG9" s="117"/>
      <c r="TAH9" s="117"/>
      <c r="TAI9" s="117"/>
      <c r="TAJ9" s="117"/>
      <c r="TAK9" s="117"/>
      <c r="TAL9" s="117"/>
      <c r="TAM9" s="117"/>
      <c r="TAN9" s="117"/>
      <c r="TAO9" s="117"/>
      <c r="TAP9" s="117"/>
      <c r="TAQ9" s="117"/>
      <c r="TAR9" s="117"/>
      <c r="TAS9" s="117"/>
      <c r="TAT9" s="117"/>
      <c r="TAU9" s="117"/>
      <c r="TAV9" s="117"/>
      <c r="TAW9" s="117"/>
      <c r="TAX9" s="117"/>
      <c r="TAY9" s="117"/>
      <c r="TAZ9" s="117"/>
      <c r="TBA9" s="117"/>
      <c r="TBB9" s="117"/>
      <c r="TBC9" s="117"/>
      <c r="TBD9" s="117"/>
      <c r="TBE9" s="117"/>
      <c r="TBF9" s="117"/>
      <c r="TBG9" s="117"/>
      <c r="TBH9" s="117"/>
      <c r="TBI9" s="117"/>
      <c r="TBJ9" s="117"/>
      <c r="TBK9" s="117"/>
      <c r="TBL9" s="117"/>
      <c r="TBM9" s="117"/>
      <c r="TBN9" s="117"/>
      <c r="TBO9" s="117"/>
      <c r="TBP9" s="117"/>
      <c r="TBQ9" s="117"/>
      <c r="TBR9" s="117"/>
      <c r="TBS9" s="117"/>
      <c r="TBT9" s="117"/>
      <c r="TBU9" s="117"/>
      <c r="TBV9" s="117"/>
      <c r="TBW9" s="117"/>
      <c r="TBX9" s="117"/>
      <c r="TBY9" s="117"/>
      <c r="TBZ9" s="117"/>
      <c r="TCA9" s="117"/>
      <c r="TCB9" s="117"/>
      <c r="TCC9" s="117"/>
      <c r="TCD9" s="117"/>
      <c r="TCE9" s="117"/>
      <c r="TCF9" s="117"/>
      <c r="TCG9" s="117"/>
      <c r="TCH9" s="117"/>
      <c r="TCI9" s="117"/>
      <c r="TCJ9" s="117"/>
      <c r="TCK9" s="117"/>
      <c r="TCL9" s="117"/>
      <c r="TCM9" s="117"/>
      <c r="TCN9" s="117"/>
      <c r="TCO9" s="117"/>
      <c r="TCP9" s="117"/>
      <c r="TCQ9" s="117"/>
      <c r="TCR9" s="117"/>
      <c r="TCS9" s="117"/>
      <c r="TCT9" s="117"/>
      <c r="TCU9" s="117"/>
      <c r="TCV9" s="117"/>
      <c r="TCW9" s="117"/>
      <c r="TCX9" s="117"/>
      <c r="TCY9" s="117"/>
      <c r="TCZ9" s="117"/>
      <c r="TDA9" s="117"/>
      <c r="TDB9" s="117"/>
      <c r="TDC9" s="117"/>
      <c r="TDD9" s="117"/>
      <c r="TDE9" s="117"/>
      <c r="TDF9" s="117"/>
      <c r="TDG9" s="117"/>
      <c r="TDH9" s="117"/>
      <c r="TDI9" s="117"/>
      <c r="TDJ9" s="117"/>
      <c r="TDK9" s="117"/>
      <c r="TDL9" s="117"/>
      <c r="TDM9" s="117"/>
      <c r="TDN9" s="117"/>
      <c r="TDO9" s="117"/>
      <c r="TDP9" s="117"/>
      <c r="TDQ9" s="117"/>
      <c r="TDR9" s="117"/>
      <c r="TDS9" s="117"/>
      <c r="TDT9" s="117"/>
      <c r="TDU9" s="117"/>
      <c r="TDV9" s="117"/>
      <c r="TDW9" s="117"/>
      <c r="TDX9" s="117"/>
      <c r="TDY9" s="117"/>
      <c r="TDZ9" s="117"/>
      <c r="TEA9" s="117"/>
      <c r="TEB9" s="117"/>
      <c r="TEC9" s="117"/>
      <c r="TED9" s="117"/>
      <c r="TEE9" s="117"/>
      <c r="TEF9" s="117"/>
      <c r="TEG9" s="117"/>
      <c r="TEH9" s="117"/>
      <c r="TEI9" s="117"/>
      <c r="TEJ9" s="117"/>
      <c r="TEK9" s="117"/>
      <c r="TEL9" s="117"/>
      <c r="TEM9" s="117"/>
      <c r="TEN9" s="117"/>
      <c r="TEO9" s="117"/>
      <c r="TEP9" s="117"/>
      <c r="TEQ9" s="117"/>
      <c r="TER9" s="117"/>
      <c r="TES9" s="117"/>
      <c r="TET9" s="117"/>
      <c r="TEU9" s="117"/>
      <c r="TEV9" s="117"/>
      <c r="TEW9" s="117"/>
      <c r="TEX9" s="117"/>
      <c r="TEY9" s="117"/>
      <c r="TEZ9" s="117"/>
      <c r="TFA9" s="117"/>
      <c r="TFB9" s="117"/>
      <c r="TFC9" s="117"/>
      <c r="TFD9" s="117"/>
      <c r="TFE9" s="117"/>
      <c r="TFF9" s="117"/>
      <c r="TFG9" s="117"/>
      <c r="TFH9" s="117"/>
      <c r="TFI9" s="117"/>
      <c r="TFJ9" s="117"/>
      <c r="TFK9" s="117"/>
      <c r="TFL9" s="117"/>
      <c r="TFM9" s="117"/>
      <c r="TFN9" s="117"/>
      <c r="TFO9" s="117"/>
      <c r="TFP9" s="117"/>
      <c r="TFQ9" s="117"/>
      <c r="TFR9" s="117"/>
      <c r="TFS9" s="117"/>
      <c r="TFT9" s="117"/>
      <c r="TFU9" s="117"/>
      <c r="TFV9" s="117"/>
      <c r="TFW9" s="117"/>
      <c r="TFX9" s="117"/>
      <c r="TFY9" s="117"/>
      <c r="TFZ9" s="117"/>
      <c r="TGA9" s="117"/>
      <c r="TGB9" s="117"/>
      <c r="TGC9" s="117"/>
      <c r="TGD9" s="117"/>
      <c r="TGE9" s="117"/>
      <c r="TGF9" s="117"/>
      <c r="TGG9" s="117"/>
      <c r="TGH9" s="117"/>
      <c r="TGI9" s="117"/>
      <c r="TGJ9" s="117"/>
      <c r="TGK9" s="117"/>
      <c r="TGL9" s="117"/>
      <c r="TGM9" s="117"/>
      <c r="TGN9" s="117"/>
      <c r="TGO9" s="117"/>
      <c r="TGP9" s="117"/>
      <c r="TGQ9" s="117"/>
      <c r="TGR9" s="117"/>
      <c r="TGS9" s="117"/>
      <c r="TGT9" s="117"/>
      <c r="TGU9" s="117"/>
      <c r="TGV9" s="117"/>
      <c r="TGW9" s="117"/>
      <c r="TGX9" s="117"/>
      <c r="TGY9" s="117"/>
      <c r="TGZ9" s="117"/>
      <c r="THA9" s="117"/>
      <c r="THB9" s="117"/>
      <c r="THC9" s="117"/>
      <c r="THD9" s="117"/>
      <c r="THE9" s="117"/>
      <c r="THF9" s="117"/>
      <c r="THG9" s="117"/>
      <c r="THH9" s="117"/>
      <c r="THI9" s="117"/>
      <c r="THJ9" s="117"/>
      <c r="THK9" s="117"/>
      <c r="THL9" s="117"/>
      <c r="THM9" s="117"/>
      <c r="THN9" s="117"/>
      <c r="THO9" s="117"/>
      <c r="THP9" s="117"/>
      <c r="THQ9" s="117"/>
      <c r="THR9" s="117"/>
      <c r="THS9" s="117"/>
      <c r="THT9" s="117"/>
      <c r="THU9" s="117"/>
      <c r="THV9" s="117"/>
      <c r="THW9" s="117"/>
      <c r="THX9" s="117"/>
      <c r="THY9" s="117"/>
      <c r="THZ9" s="117"/>
      <c r="TIA9" s="117"/>
      <c r="TIB9" s="117"/>
      <c r="TIC9" s="117"/>
      <c r="TID9" s="117"/>
      <c r="TIE9" s="117"/>
      <c r="TIF9" s="117"/>
      <c r="TIG9" s="117"/>
      <c r="TIH9" s="117"/>
      <c r="TII9" s="117"/>
      <c r="TIJ9" s="117"/>
      <c r="TIK9" s="117"/>
      <c r="TIL9" s="117"/>
      <c r="TIM9" s="117"/>
      <c r="TIN9" s="117"/>
      <c r="TIO9" s="117"/>
      <c r="TIP9" s="117"/>
      <c r="TIQ9" s="117"/>
      <c r="TIR9" s="117"/>
      <c r="TIS9" s="117"/>
      <c r="TIT9" s="117"/>
      <c r="TIU9" s="117"/>
      <c r="TIV9" s="117"/>
      <c r="TIW9" s="117"/>
      <c r="TIX9" s="117"/>
      <c r="TIY9" s="117"/>
      <c r="TIZ9" s="117"/>
      <c r="TJA9" s="117"/>
      <c r="TJB9" s="117"/>
      <c r="TJC9" s="117"/>
      <c r="TJD9" s="117"/>
      <c r="TJE9" s="117"/>
      <c r="TJF9" s="117"/>
      <c r="TJG9" s="117"/>
      <c r="TJH9" s="117"/>
      <c r="TJI9" s="117"/>
      <c r="TJJ9" s="117"/>
      <c r="TJK9" s="117"/>
      <c r="TJL9" s="117"/>
      <c r="TJM9" s="117"/>
      <c r="TJN9" s="117"/>
      <c r="TJO9" s="117"/>
      <c r="TJP9" s="117"/>
      <c r="TJQ9" s="117"/>
      <c r="TJR9" s="117"/>
      <c r="TJS9" s="117"/>
      <c r="TJT9" s="117"/>
      <c r="TJU9" s="117"/>
      <c r="TJV9" s="117"/>
      <c r="TJW9" s="117"/>
      <c r="TJX9" s="117"/>
      <c r="TJY9" s="117"/>
      <c r="TJZ9" s="117"/>
      <c r="TKA9" s="117"/>
      <c r="TKB9" s="117"/>
      <c r="TKC9" s="117"/>
      <c r="TKD9" s="117"/>
      <c r="TKE9" s="117"/>
      <c r="TKF9" s="117"/>
      <c r="TKG9" s="117"/>
      <c r="TKH9" s="117"/>
      <c r="TKI9" s="117"/>
      <c r="TKJ9" s="117"/>
      <c r="TKK9" s="117"/>
      <c r="TKL9" s="117"/>
      <c r="TKM9" s="117"/>
      <c r="TKN9" s="117"/>
      <c r="TKO9" s="117"/>
      <c r="TKP9" s="117"/>
      <c r="TKQ9" s="117"/>
      <c r="TKR9" s="117"/>
      <c r="TKS9" s="117"/>
      <c r="TKT9" s="117"/>
      <c r="TKU9" s="117"/>
      <c r="TKV9" s="117"/>
      <c r="TKW9" s="117"/>
      <c r="TKX9" s="117"/>
      <c r="TKY9" s="117"/>
      <c r="TKZ9" s="117"/>
      <c r="TLA9" s="117"/>
      <c r="TLB9" s="117"/>
      <c r="TLC9" s="117"/>
      <c r="TLD9" s="117"/>
      <c r="TLE9" s="117"/>
      <c r="TLF9" s="117"/>
      <c r="TLG9" s="117"/>
      <c r="TLH9" s="117"/>
      <c r="TLI9" s="117"/>
      <c r="TLJ9" s="117"/>
      <c r="TLK9" s="117"/>
      <c r="TLL9" s="117"/>
      <c r="TLM9" s="117"/>
      <c r="TLN9" s="117"/>
      <c r="TLO9" s="117"/>
      <c r="TLP9" s="117"/>
      <c r="TLQ9" s="117"/>
      <c r="TLR9" s="117"/>
      <c r="TLS9" s="117"/>
      <c r="TLT9" s="117"/>
      <c r="TLU9" s="117"/>
      <c r="TLV9" s="117"/>
      <c r="TLW9" s="117"/>
      <c r="TLX9" s="117"/>
      <c r="TLY9" s="117"/>
      <c r="TLZ9" s="117"/>
      <c r="TMA9" s="117"/>
      <c r="TMB9" s="117"/>
      <c r="TMC9" s="117"/>
      <c r="TMD9" s="117"/>
      <c r="TME9" s="117"/>
      <c r="TMF9" s="117"/>
      <c r="TMG9" s="117"/>
      <c r="TMH9" s="117"/>
      <c r="TMI9" s="117"/>
      <c r="TMJ9" s="117"/>
      <c r="TMK9" s="117"/>
      <c r="TML9" s="117"/>
      <c r="TMM9" s="117"/>
      <c r="TMN9" s="117"/>
      <c r="TMO9" s="117"/>
      <c r="TMP9" s="117"/>
      <c r="TMQ9" s="117"/>
      <c r="TMR9" s="117"/>
      <c r="TMS9" s="117"/>
      <c r="TMT9" s="117"/>
      <c r="TMU9" s="117"/>
      <c r="TMV9" s="117"/>
      <c r="TMW9" s="117"/>
      <c r="TMX9" s="117"/>
      <c r="TMY9" s="117"/>
      <c r="TMZ9" s="117"/>
      <c r="TNA9" s="117"/>
      <c r="TNB9" s="117"/>
      <c r="TNC9" s="117"/>
      <c r="TND9" s="117"/>
      <c r="TNE9" s="117"/>
      <c r="TNF9" s="117"/>
      <c r="TNG9" s="117"/>
      <c r="TNH9" s="117"/>
      <c r="TNI9" s="117"/>
      <c r="TNJ9" s="117"/>
      <c r="TNK9" s="117"/>
      <c r="TNL9" s="117"/>
      <c r="TNM9" s="117"/>
      <c r="TNN9" s="117"/>
      <c r="TNO9" s="117"/>
      <c r="TNP9" s="117"/>
      <c r="TNQ9" s="117"/>
      <c r="TNR9" s="117"/>
      <c r="TNS9" s="117"/>
      <c r="TNT9" s="117"/>
      <c r="TNU9" s="117"/>
      <c r="TNV9" s="117"/>
      <c r="TNW9" s="117"/>
      <c r="TNX9" s="117"/>
      <c r="TNY9" s="117"/>
      <c r="TNZ9" s="117"/>
      <c r="TOA9" s="117"/>
      <c r="TOB9" s="117"/>
      <c r="TOC9" s="117"/>
      <c r="TOD9" s="117"/>
      <c r="TOE9" s="117"/>
      <c r="TOF9" s="117"/>
      <c r="TOG9" s="117"/>
      <c r="TOH9" s="117"/>
      <c r="TOI9" s="117"/>
      <c r="TOJ9" s="117"/>
      <c r="TOK9" s="117"/>
      <c r="TOL9" s="117"/>
      <c r="TOM9" s="117"/>
      <c r="TON9" s="117"/>
      <c r="TOO9" s="117"/>
      <c r="TOP9" s="117"/>
      <c r="TOQ9" s="117"/>
      <c r="TOR9" s="117"/>
      <c r="TOS9" s="117"/>
      <c r="TOT9" s="117"/>
      <c r="TOU9" s="117"/>
      <c r="TOV9" s="117"/>
      <c r="TOW9" s="117"/>
      <c r="TOX9" s="117"/>
      <c r="TOY9" s="117"/>
      <c r="TOZ9" s="117"/>
      <c r="TPA9" s="117"/>
      <c r="TPB9" s="117"/>
      <c r="TPC9" s="117"/>
      <c r="TPD9" s="117"/>
      <c r="TPE9" s="117"/>
      <c r="TPF9" s="117"/>
      <c r="TPG9" s="117"/>
      <c r="TPH9" s="117"/>
      <c r="TPI9" s="117"/>
      <c r="TPJ9" s="117"/>
      <c r="TPK9" s="117"/>
      <c r="TPL9" s="117"/>
      <c r="TPM9" s="117"/>
      <c r="TPN9" s="117"/>
      <c r="TPO9" s="117"/>
      <c r="TPP9" s="117"/>
      <c r="TPQ9" s="117"/>
      <c r="TPR9" s="117"/>
      <c r="TPS9" s="117"/>
      <c r="TPT9" s="117"/>
      <c r="TPU9" s="117"/>
      <c r="TPV9" s="117"/>
      <c r="TPW9" s="117"/>
      <c r="TPX9" s="117"/>
      <c r="TPY9" s="117"/>
      <c r="TPZ9" s="117"/>
      <c r="TQA9" s="117"/>
      <c r="TQB9" s="117"/>
      <c r="TQC9" s="117"/>
      <c r="TQD9" s="117"/>
      <c r="TQE9" s="117"/>
      <c r="TQF9" s="117"/>
      <c r="TQG9" s="117"/>
      <c r="TQH9" s="117"/>
      <c r="TQI9" s="117"/>
      <c r="TQJ9" s="117"/>
      <c r="TQK9" s="117"/>
      <c r="TQL9" s="117"/>
      <c r="TQM9" s="117"/>
      <c r="TQN9" s="117"/>
      <c r="TQO9" s="117"/>
      <c r="TQP9" s="117"/>
      <c r="TQQ9" s="117"/>
      <c r="TQR9" s="117"/>
      <c r="TQS9" s="117"/>
      <c r="TQT9" s="117"/>
      <c r="TQU9" s="117"/>
      <c r="TQV9" s="117"/>
      <c r="TQW9" s="117"/>
      <c r="TQX9" s="117"/>
      <c r="TQY9" s="117"/>
      <c r="TQZ9" s="117"/>
      <c r="TRA9" s="117"/>
      <c r="TRB9" s="117"/>
      <c r="TRC9" s="117"/>
      <c r="TRD9" s="117"/>
      <c r="TRE9" s="117"/>
      <c r="TRF9" s="117"/>
      <c r="TRG9" s="117"/>
      <c r="TRH9" s="117"/>
      <c r="TRI9" s="117"/>
      <c r="TRJ9" s="117"/>
      <c r="TRK9" s="117"/>
      <c r="TRL9" s="117"/>
      <c r="TRM9" s="117"/>
      <c r="TRN9" s="117"/>
      <c r="TRO9" s="117"/>
      <c r="TRP9" s="117"/>
      <c r="TRQ9" s="117"/>
      <c r="TRR9" s="117"/>
      <c r="TRS9" s="117"/>
      <c r="TRT9" s="117"/>
      <c r="TRU9" s="117"/>
      <c r="TRV9" s="117"/>
      <c r="TRW9" s="117"/>
      <c r="TRX9" s="117"/>
      <c r="TRY9" s="117"/>
      <c r="TRZ9" s="117"/>
      <c r="TSA9" s="117"/>
      <c r="TSB9" s="117"/>
      <c r="TSC9" s="117"/>
      <c r="TSD9" s="117"/>
      <c r="TSE9" s="117"/>
      <c r="TSF9" s="117"/>
      <c r="TSG9" s="117"/>
      <c r="TSH9" s="117"/>
      <c r="TSI9" s="117"/>
      <c r="TSJ9" s="117"/>
      <c r="TSK9" s="117"/>
      <c r="TSL9" s="117"/>
      <c r="TSM9" s="117"/>
      <c r="TSN9" s="117"/>
      <c r="TSO9" s="117"/>
      <c r="TSP9" s="117"/>
      <c r="TSQ9" s="117"/>
      <c r="TSR9" s="117"/>
      <c r="TSS9" s="117"/>
      <c r="TST9" s="117"/>
      <c r="TSU9" s="117"/>
      <c r="TSV9" s="117"/>
      <c r="TSW9" s="117"/>
      <c r="TSX9" s="117"/>
      <c r="TSY9" s="117"/>
      <c r="TSZ9" s="117"/>
      <c r="TTA9" s="117"/>
      <c r="TTB9" s="117"/>
      <c r="TTC9" s="117"/>
      <c r="TTD9" s="117"/>
      <c r="TTE9" s="117"/>
      <c r="TTF9" s="117"/>
      <c r="TTG9" s="117"/>
      <c r="TTH9" s="117"/>
      <c r="TTI9" s="117"/>
      <c r="TTJ9" s="117"/>
      <c r="TTK9" s="117"/>
      <c r="TTL9" s="117"/>
      <c r="TTM9" s="117"/>
      <c r="TTN9" s="117"/>
      <c r="TTO9" s="117"/>
      <c r="TTP9" s="117"/>
      <c r="TTQ9" s="117"/>
      <c r="TTR9" s="117"/>
      <c r="TTS9" s="117"/>
      <c r="TTT9" s="117"/>
      <c r="TTU9" s="117"/>
      <c r="TTV9" s="117"/>
      <c r="TTW9" s="117"/>
      <c r="TTX9" s="117"/>
      <c r="TTY9" s="117"/>
      <c r="TTZ9" s="117"/>
      <c r="TUA9" s="117"/>
      <c r="TUB9" s="117"/>
      <c r="TUC9" s="117"/>
      <c r="TUD9" s="117"/>
      <c r="TUE9" s="117"/>
      <c r="TUF9" s="117"/>
      <c r="TUG9" s="117"/>
      <c r="TUH9" s="117"/>
      <c r="TUI9" s="117"/>
      <c r="TUJ9" s="117"/>
      <c r="TUK9" s="117"/>
      <c r="TUL9" s="117"/>
      <c r="TUM9" s="117"/>
      <c r="TUN9" s="117"/>
      <c r="TUO9" s="117"/>
      <c r="TUP9" s="117"/>
      <c r="TUQ9" s="117"/>
      <c r="TUR9" s="117"/>
      <c r="TUS9" s="117"/>
      <c r="TUT9" s="117"/>
      <c r="TUU9" s="117"/>
      <c r="TUV9" s="117"/>
      <c r="TUW9" s="117"/>
      <c r="TUX9" s="117"/>
      <c r="TUY9" s="117"/>
      <c r="TUZ9" s="117"/>
      <c r="TVA9" s="117"/>
      <c r="TVB9" s="117"/>
      <c r="TVC9" s="117"/>
      <c r="TVD9" s="117"/>
      <c r="TVE9" s="117"/>
      <c r="TVF9" s="117"/>
      <c r="TVG9" s="117"/>
      <c r="TVH9" s="117"/>
      <c r="TVI9" s="117"/>
      <c r="TVJ9" s="117"/>
      <c r="TVK9" s="117"/>
      <c r="TVL9" s="117"/>
      <c r="TVM9" s="117"/>
      <c r="TVN9" s="117"/>
      <c r="TVO9" s="117"/>
      <c r="TVP9" s="117"/>
      <c r="TVQ9" s="117"/>
      <c r="TVR9" s="117"/>
      <c r="TVS9" s="117"/>
      <c r="TVT9" s="117"/>
      <c r="TVU9" s="117"/>
      <c r="TVV9" s="117"/>
      <c r="TVW9" s="117"/>
      <c r="TVX9" s="117"/>
      <c r="TVY9" s="117"/>
      <c r="TVZ9" s="117"/>
      <c r="TWA9" s="117"/>
      <c r="TWB9" s="117"/>
      <c r="TWC9" s="117"/>
      <c r="TWD9" s="117"/>
      <c r="TWE9" s="117"/>
      <c r="TWF9" s="117"/>
      <c r="TWG9" s="117"/>
      <c r="TWH9" s="117"/>
      <c r="TWI9" s="117"/>
      <c r="TWJ9" s="117"/>
      <c r="TWK9" s="117"/>
      <c r="TWL9" s="117"/>
      <c r="TWM9" s="117"/>
      <c r="TWN9" s="117"/>
      <c r="TWO9" s="117"/>
      <c r="TWP9" s="117"/>
      <c r="TWQ9" s="117"/>
      <c r="TWR9" s="117"/>
      <c r="TWS9" s="117"/>
      <c r="TWT9" s="117"/>
      <c r="TWU9" s="117"/>
      <c r="TWV9" s="117"/>
      <c r="TWW9" s="117"/>
      <c r="TWX9" s="117"/>
      <c r="TWY9" s="117"/>
      <c r="TWZ9" s="117"/>
      <c r="TXA9" s="117"/>
      <c r="TXB9" s="117"/>
      <c r="TXC9" s="117"/>
      <c r="TXD9" s="117"/>
      <c r="TXE9" s="117"/>
      <c r="TXF9" s="117"/>
      <c r="TXG9" s="117"/>
      <c r="TXH9" s="117"/>
      <c r="TXI9" s="117"/>
      <c r="TXJ9" s="117"/>
      <c r="TXK9" s="117"/>
      <c r="TXL9" s="117"/>
      <c r="TXM9" s="117"/>
      <c r="TXN9" s="117"/>
      <c r="TXO9" s="117"/>
      <c r="TXP9" s="117"/>
      <c r="TXQ9" s="117"/>
      <c r="TXR9" s="117"/>
      <c r="TXS9" s="117"/>
      <c r="TXT9" s="117"/>
      <c r="TXU9" s="117"/>
      <c r="TXV9" s="117"/>
      <c r="TXW9" s="117"/>
      <c r="TXX9" s="117"/>
      <c r="TXY9" s="117"/>
      <c r="TXZ9" s="117"/>
      <c r="TYA9" s="117"/>
      <c r="TYB9" s="117"/>
      <c r="TYC9" s="117"/>
      <c r="TYD9" s="117"/>
      <c r="TYE9" s="117"/>
      <c r="TYF9" s="117"/>
      <c r="TYG9" s="117"/>
      <c r="TYH9" s="117"/>
      <c r="TYI9" s="117"/>
      <c r="TYJ9" s="117"/>
      <c r="TYK9" s="117"/>
      <c r="TYL9" s="117"/>
      <c r="TYM9" s="117"/>
      <c r="TYN9" s="117"/>
      <c r="TYO9" s="117"/>
      <c r="TYP9" s="117"/>
      <c r="TYQ9" s="117"/>
      <c r="TYR9" s="117"/>
      <c r="TYS9" s="117"/>
      <c r="TYT9" s="117"/>
      <c r="TYU9" s="117"/>
      <c r="TYV9" s="117"/>
      <c r="TYW9" s="117"/>
      <c r="TYX9" s="117"/>
      <c r="TYY9" s="117"/>
      <c r="TYZ9" s="117"/>
      <c r="TZA9" s="117"/>
      <c r="TZB9" s="117"/>
      <c r="TZC9" s="117"/>
      <c r="TZD9" s="117"/>
      <c r="TZE9" s="117"/>
      <c r="TZF9" s="117"/>
      <c r="TZG9" s="117"/>
      <c r="TZH9" s="117"/>
      <c r="TZI9" s="117"/>
      <c r="TZJ9" s="117"/>
      <c r="TZK9" s="117"/>
      <c r="TZL9" s="117"/>
      <c r="TZM9" s="117"/>
      <c r="TZN9" s="117"/>
      <c r="TZO9" s="117"/>
      <c r="TZP9" s="117"/>
      <c r="TZQ9" s="117"/>
      <c r="TZR9" s="117"/>
      <c r="TZS9" s="117"/>
      <c r="TZT9" s="117"/>
      <c r="TZU9" s="117"/>
      <c r="TZV9" s="117"/>
      <c r="TZW9" s="117"/>
      <c r="TZX9" s="117"/>
      <c r="TZY9" s="117"/>
      <c r="TZZ9" s="117"/>
      <c r="UAA9" s="117"/>
      <c r="UAB9" s="117"/>
      <c r="UAC9" s="117"/>
      <c r="UAD9" s="117"/>
      <c r="UAE9" s="117"/>
      <c r="UAF9" s="117"/>
      <c r="UAG9" s="117"/>
      <c r="UAH9" s="117"/>
      <c r="UAI9" s="117"/>
      <c r="UAJ9" s="117"/>
      <c r="UAK9" s="117"/>
      <c r="UAL9" s="117"/>
      <c r="UAM9" s="117"/>
      <c r="UAN9" s="117"/>
      <c r="UAO9" s="117"/>
      <c r="UAP9" s="117"/>
      <c r="UAQ9" s="117"/>
      <c r="UAR9" s="117"/>
      <c r="UAS9" s="117"/>
      <c r="UAT9" s="117"/>
      <c r="UAU9" s="117"/>
      <c r="UAV9" s="117"/>
      <c r="UAW9" s="117"/>
      <c r="UAX9" s="117"/>
      <c r="UAY9" s="117"/>
      <c r="UAZ9" s="117"/>
      <c r="UBA9" s="117"/>
      <c r="UBB9" s="117"/>
      <c r="UBC9" s="117"/>
      <c r="UBD9" s="117"/>
      <c r="UBE9" s="117"/>
      <c r="UBF9" s="117"/>
      <c r="UBG9" s="117"/>
      <c r="UBH9" s="117"/>
      <c r="UBI9" s="117"/>
      <c r="UBJ9" s="117"/>
      <c r="UBK9" s="117"/>
      <c r="UBL9" s="117"/>
      <c r="UBM9" s="117"/>
      <c r="UBN9" s="117"/>
      <c r="UBO9" s="117"/>
      <c r="UBP9" s="117"/>
      <c r="UBQ9" s="117"/>
      <c r="UBR9" s="117"/>
      <c r="UBS9" s="117"/>
      <c r="UBT9" s="117"/>
      <c r="UBU9" s="117"/>
      <c r="UBV9" s="117"/>
      <c r="UBW9" s="117"/>
      <c r="UBX9" s="117"/>
      <c r="UBY9" s="117"/>
      <c r="UBZ9" s="117"/>
      <c r="UCA9" s="117"/>
      <c r="UCB9" s="117"/>
      <c r="UCC9" s="117"/>
      <c r="UCD9" s="117"/>
      <c r="UCE9" s="117"/>
      <c r="UCF9" s="117"/>
      <c r="UCG9" s="117"/>
      <c r="UCH9" s="117"/>
      <c r="UCI9" s="117"/>
      <c r="UCJ9" s="117"/>
      <c r="UCK9" s="117"/>
      <c r="UCL9" s="117"/>
      <c r="UCM9" s="117"/>
      <c r="UCN9" s="117"/>
      <c r="UCO9" s="117"/>
      <c r="UCP9" s="117"/>
      <c r="UCQ9" s="117"/>
      <c r="UCR9" s="117"/>
      <c r="UCS9" s="117"/>
      <c r="UCT9" s="117"/>
      <c r="UCU9" s="117"/>
      <c r="UCV9" s="117"/>
      <c r="UCW9" s="117"/>
      <c r="UCX9" s="117"/>
      <c r="UCY9" s="117"/>
      <c r="UCZ9" s="117"/>
      <c r="UDA9" s="117"/>
      <c r="UDB9" s="117"/>
      <c r="UDC9" s="117"/>
      <c r="UDD9" s="117"/>
      <c r="UDE9" s="117"/>
      <c r="UDF9" s="117"/>
      <c r="UDG9" s="117"/>
      <c r="UDH9" s="117"/>
      <c r="UDI9" s="117"/>
      <c r="UDJ9" s="117"/>
      <c r="UDK9" s="117"/>
      <c r="UDL9" s="117"/>
      <c r="UDM9" s="117"/>
      <c r="UDN9" s="117"/>
      <c r="UDO9" s="117"/>
      <c r="UDP9" s="117"/>
      <c r="UDQ9" s="117"/>
      <c r="UDR9" s="117"/>
      <c r="UDS9" s="117"/>
      <c r="UDT9" s="117"/>
      <c r="UDU9" s="117"/>
      <c r="UDV9" s="117"/>
      <c r="UDW9" s="117"/>
      <c r="UDX9" s="117"/>
      <c r="UDY9" s="117"/>
      <c r="UDZ9" s="117"/>
      <c r="UEA9" s="117"/>
      <c r="UEB9" s="117"/>
      <c r="UEC9" s="117"/>
      <c r="UED9" s="117"/>
      <c r="UEE9" s="117"/>
      <c r="UEF9" s="117"/>
      <c r="UEG9" s="117"/>
      <c r="UEH9" s="117"/>
      <c r="UEI9" s="117"/>
      <c r="UEJ9" s="117"/>
      <c r="UEK9" s="117"/>
      <c r="UEL9" s="117"/>
      <c r="UEM9" s="117"/>
      <c r="UEN9" s="117"/>
      <c r="UEO9" s="117"/>
      <c r="UEP9" s="117"/>
      <c r="UEQ9" s="117"/>
      <c r="UER9" s="117"/>
      <c r="UES9" s="117"/>
      <c r="UET9" s="117"/>
      <c r="UEU9" s="117"/>
      <c r="UEV9" s="117"/>
      <c r="UEW9" s="117"/>
      <c r="UEX9" s="117"/>
      <c r="UEY9" s="117"/>
      <c r="UEZ9" s="117"/>
      <c r="UFA9" s="117"/>
      <c r="UFB9" s="117"/>
      <c r="UFC9" s="117"/>
      <c r="UFD9" s="117"/>
      <c r="UFE9" s="117"/>
      <c r="UFF9" s="117"/>
      <c r="UFG9" s="117"/>
      <c r="UFH9" s="117"/>
      <c r="UFI9" s="117"/>
      <c r="UFJ9" s="117"/>
      <c r="UFK9" s="117"/>
      <c r="UFL9" s="117"/>
      <c r="UFM9" s="117"/>
      <c r="UFN9" s="117"/>
      <c r="UFO9" s="117"/>
      <c r="UFP9" s="117"/>
      <c r="UFQ9" s="117"/>
      <c r="UFR9" s="117"/>
      <c r="UFS9" s="117"/>
      <c r="UFT9" s="117"/>
      <c r="UFU9" s="117"/>
      <c r="UFV9" s="117"/>
      <c r="UFW9" s="117"/>
      <c r="UFX9" s="117"/>
      <c r="UFY9" s="117"/>
      <c r="UFZ9" s="117"/>
      <c r="UGA9" s="117"/>
      <c r="UGB9" s="117"/>
      <c r="UGC9" s="117"/>
      <c r="UGD9" s="117"/>
      <c r="UGE9" s="117"/>
      <c r="UGF9" s="117"/>
      <c r="UGG9" s="117"/>
      <c r="UGH9" s="117"/>
      <c r="UGI9" s="117"/>
      <c r="UGJ9" s="117"/>
      <c r="UGK9" s="117"/>
      <c r="UGL9" s="117"/>
      <c r="UGM9" s="117"/>
      <c r="UGN9" s="117"/>
      <c r="UGO9" s="117"/>
      <c r="UGP9" s="117"/>
      <c r="UGQ9" s="117"/>
      <c r="UGR9" s="117"/>
      <c r="UGS9" s="117"/>
      <c r="UGT9" s="117"/>
      <c r="UGU9" s="117"/>
      <c r="UGV9" s="117"/>
      <c r="UGW9" s="117"/>
      <c r="UGX9" s="117"/>
      <c r="UGY9" s="117"/>
      <c r="UGZ9" s="117"/>
      <c r="UHA9" s="117"/>
      <c r="UHB9" s="117"/>
      <c r="UHC9" s="117"/>
      <c r="UHD9" s="117"/>
      <c r="UHE9" s="117"/>
      <c r="UHF9" s="117"/>
      <c r="UHG9" s="117"/>
      <c r="UHH9" s="117"/>
      <c r="UHI9" s="117"/>
      <c r="UHJ9" s="117"/>
      <c r="UHK9" s="117"/>
      <c r="UHL9" s="117"/>
      <c r="UHM9" s="117"/>
      <c r="UHN9" s="117"/>
      <c r="UHO9" s="117"/>
      <c r="UHP9" s="117"/>
      <c r="UHQ9" s="117"/>
      <c r="UHR9" s="117"/>
      <c r="UHS9" s="117"/>
      <c r="UHT9" s="117"/>
      <c r="UHU9" s="117"/>
      <c r="UHV9" s="117"/>
      <c r="UHW9" s="117"/>
      <c r="UHX9" s="117"/>
      <c r="UHY9" s="117"/>
      <c r="UHZ9" s="117"/>
      <c r="UIA9" s="117"/>
      <c r="UIB9" s="117"/>
      <c r="UIC9" s="117"/>
      <c r="UID9" s="117"/>
      <c r="UIE9" s="117"/>
      <c r="UIF9" s="117"/>
      <c r="UIG9" s="117"/>
      <c r="UIH9" s="117"/>
      <c r="UII9" s="117"/>
      <c r="UIJ9" s="117"/>
      <c r="UIK9" s="117"/>
      <c r="UIL9" s="117"/>
      <c r="UIM9" s="117"/>
      <c r="UIN9" s="117"/>
      <c r="UIO9" s="117"/>
      <c r="UIP9" s="117"/>
      <c r="UIQ9" s="117"/>
      <c r="UIR9" s="117"/>
      <c r="UIS9" s="117"/>
      <c r="UIT9" s="117"/>
      <c r="UIU9" s="117"/>
      <c r="UIV9" s="117"/>
      <c r="UIW9" s="117"/>
      <c r="UIX9" s="117"/>
      <c r="UIY9" s="117"/>
      <c r="UIZ9" s="117"/>
      <c r="UJA9" s="117"/>
      <c r="UJB9" s="117"/>
      <c r="UJC9" s="117"/>
      <c r="UJD9" s="117"/>
      <c r="UJE9" s="117"/>
      <c r="UJF9" s="117"/>
      <c r="UJG9" s="117"/>
      <c r="UJH9" s="117"/>
      <c r="UJI9" s="117"/>
      <c r="UJJ9" s="117"/>
      <c r="UJK9" s="117"/>
      <c r="UJL9" s="117"/>
      <c r="UJM9" s="117"/>
      <c r="UJN9" s="117"/>
      <c r="UJO9" s="117"/>
      <c r="UJP9" s="117"/>
      <c r="UJQ9" s="117"/>
      <c r="UJR9" s="117"/>
      <c r="UJS9" s="117"/>
      <c r="UJT9" s="117"/>
      <c r="UJU9" s="117"/>
      <c r="UJV9" s="117"/>
      <c r="UJW9" s="117"/>
      <c r="UJX9" s="117"/>
      <c r="UJY9" s="117"/>
      <c r="UJZ9" s="117"/>
      <c r="UKA9" s="117"/>
      <c r="UKB9" s="117"/>
      <c r="UKC9" s="117"/>
      <c r="UKD9" s="117"/>
      <c r="UKE9" s="117"/>
      <c r="UKF9" s="117"/>
      <c r="UKG9" s="117"/>
      <c r="UKH9" s="117"/>
      <c r="UKI9" s="117"/>
      <c r="UKJ9" s="117"/>
      <c r="UKK9" s="117"/>
      <c r="UKL9" s="117"/>
      <c r="UKM9" s="117"/>
      <c r="UKN9" s="117"/>
      <c r="UKO9" s="117"/>
      <c r="UKP9" s="117"/>
      <c r="UKQ9" s="117"/>
      <c r="UKR9" s="117"/>
      <c r="UKS9" s="117"/>
      <c r="UKT9" s="117"/>
      <c r="UKU9" s="117"/>
      <c r="UKV9" s="117"/>
      <c r="UKW9" s="117"/>
      <c r="UKX9" s="117"/>
      <c r="UKY9" s="117"/>
      <c r="UKZ9" s="117"/>
      <c r="ULA9" s="117"/>
      <c r="ULB9" s="117"/>
      <c r="ULC9" s="117"/>
      <c r="ULD9" s="117"/>
      <c r="ULE9" s="117"/>
      <c r="ULF9" s="117"/>
      <c r="ULG9" s="117"/>
      <c r="ULH9" s="117"/>
      <c r="ULI9" s="117"/>
      <c r="ULJ9" s="117"/>
      <c r="ULK9" s="117"/>
      <c r="ULL9" s="117"/>
      <c r="ULM9" s="117"/>
      <c r="ULN9" s="117"/>
      <c r="ULO9" s="117"/>
      <c r="ULP9" s="117"/>
      <c r="ULQ9" s="117"/>
      <c r="ULR9" s="117"/>
      <c r="ULS9" s="117"/>
      <c r="ULT9" s="117"/>
      <c r="ULU9" s="117"/>
      <c r="ULV9" s="117"/>
      <c r="ULW9" s="117"/>
      <c r="ULX9" s="117"/>
      <c r="ULY9" s="117"/>
      <c r="ULZ9" s="117"/>
      <c r="UMA9" s="117"/>
      <c r="UMB9" s="117"/>
      <c r="UMC9" s="117"/>
      <c r="UMD9" s="117"/>
      <c r="UME9" s="117"/>
      <c r="UMF9" s="117"/>
      <c r="UMG9" s="117"/>
      <c r="UMH9" s="117"/>
      <c r="UMI9" s="117"/>
      <c r="UMJ9" s="117"/>
      <c r="UMK9" s="117"/>
      <c r="UML9" s="117"/>
      <c r="UMM9" s="117"/>
      <c r="UMN9" s="117"/>
      <c r="UMO9" s="117"/>
      <c r="UMP9" s="117"/>
      <c r="UMQ9" s="117"/>
      <c r="UMR9" s="117"/>
      <c r="UMS9" s="117"/>
      <c r="UMT9" s="117"/>
      <c r="UMU9" s="117"/>
      <c r="UMV9" s="117"/>
      <c r="UMW9" s="117"/>
      <c r="UMX9" s="117"/>
      <c r="UMY9" s="117"/>
      <c r="UMZ9" s="117"/>
      <c r="UNA9" s="117"/>
      <c r="UNB9" s="117"/>
      <c r="UNC9" s="117"/>
      <c r="UND9" s="117"/>
      <c r="UNE9" s="117"/>
      <c r="UNF9" s="117"/>
      <c r="UNG9" s="117"/>
      <c r="UNH9" s="117"/>
      <c r="UNI9" s="117"/>
      <c r="UNJ9" s="117"/>
      <c r="UNK9" s="117"/>
      <c r="UNL9" s="117"/>
      <c r="UNM9" s="117"/>
      <c r="UNN9" s="117"/>
      <c r="UNO9" s="117"/>
      <c r="UNP9" s="117"/>
      <c r="UNQ9" s="117"/>
      <c r="UNR9" s="117"/>
      <c r="UNS9" s="117"/>
      <c r="UNT9" s="117"/>
      <c r="UNU9" s="117"/>
      <c r="UNV9" s="117"/>
      <c r="UNW9" s="117"/>
      <c r="UNX9" s="117"/>
      <c r="UNY9" s="117"/>
      <c r="UNZ9" s="117"/>
      <c r="UOA9" s="117"/>
      <c r="UOB9" s="117"/>
      <c r="UOC9" s="117"/>
      <c r="UOD9" s="117"/>
      <c r="UOE9" s="117"/>
      <c r="UOF9" s="117"/>
      <c r="UOG9" s="117"/>
      <c r="UOH9" s="117"/>
      <c r="UOI9" s="117"/>
      <c r="UOJ9" s="117"/>
      <c r="UOK9" s="117"/>
      <c r="UOL9" s="117"/>
      <c r="UOM9" s="117"/>
      <c r="UON9" s="117"/>
      <c r="UOO9" s="117"/>
      <c r="UOP9" s="117"/>
      <c r="UOQ9" s="117"/>
      <c r="UOR9" s="117"/>
      <c r="UOS9" s="117"/>
      <c r="UOT9" s="117"/>
      <c r="UOU9" s="117"/>
      <c r="UOV9" s="117"/>
      <c r="UOW9" s="117"/>
      <c r="UOX9" s="117"/>
      <c r="UOY9" s="117"/>
      <c r="UOZ9" s="117"/>
      <c r="UPA9" s="117"/>
      <c r="UPB9" s="117"/>
      <c r="UPC9" s="117"/>
      <c r="UPD9" s="117"/>
      <c r="UPE9" s="117"/>
      <c r="UPF9" s="117"/>
      <c r="UPG9" s="117"/>
      <c r="UPH9" s="117"/>
      <c r="UPI9" s="117"/>
      <c r="UPJ9" s="117"/>
      <c r="UPK9" s="117"/>
      <c r="UPL9" s="117"/>
      <c r="UPM9" s="117"/>
      <c r="UPN9" s="117"/>
      <c r="UPO9" s="117"/>
      <c r="UPP9" s="117"/>
      <c r="UPQ9" s="117"/>
      <c r="UPR9" s="117"/>
      <c r="UPS9" s="117"/>
      <c r="UPT9" s="117"/>
      <c r="UPU9" s="117"/>
      <c r="UPV9" s="117"/>
      <c r="UPW9" s="117"/>
      <c r="UPX9" s="117"/>
      <c r="UPY9" s="117"/>
      <c r="UPZ9" s="117"/>
      <c r="UQA9" s="117"/>
      <c r="UQB9" s="117"/>
      <c r="UQC9" s="117"/>
      <c r="UQD9" s="117"/>
      <c r="UQE9" s="117"/>
      <c r="UQF9" s="117"/>
      <c r="UQG9" s="117"/>
      <c r="UQH9" s="117"/>
      <c r="UQI9" s="117"/>
      <c r="UQJ9" s="117"/>
      <c r="UQK9" s="117"/>
      <c r="UQL9" s="117"/>
      <c r="UQM9" s="117"/>
      <c r="UQN9" s="117"/>
      <c r="UQO9" s="117"/>
      <c r="UQP9" s="117"/>
      <c r="UQQ9" s="117"/>
      <c r="UQR9" s="117"/>
      <c r="UQS9" s="117"/>
      <c r="UQT9" s="117"/>
      <c r="UQU9" s="117"/>
      <c r="UQV9" s="117"/>
      <c r="UQW9" s="117"/>
      <c r="UQX9" s="117"/>
      <c r="UQY9" s="117"/>
      <c r="UQZ9" s="117"/>
      <c r="URA9" s="117"/>
      <c r="URB9" s="117"/>
      <c r="URC9" s="117"/>
      <c r="URD9" s="117"/>
      <c r="URE9" s="117"/>
      <c r="URF9" s="117"/>
      <c r="URG9" s="117"/>
      <c r="URH9" s="117"/>
      <c r="URI9" s="117"/>
      <c r="URJ9" s="117"/>
      <c r="URK9" s="117"/>
      <c r="URL9" s="117"/>
      <c r="URM9" s="117"/>
      <c r="URN9" s="117"/>
      <c r="URO9" s="117"/>
      <c r="URP9" s="117"/>
      <c r="URQ9" s="117"/>
      <c r="URR9" s="117"/>
      <c r="URS9" s="117"/>
      <c r="URT9" s="117"/>
      <c r="URU9" s="117"/>
      <c r="URV9" s="117"/>
      <c r="URW9" s="117"/>
      <c r="URX9" s="117"/>
      <c r="URY9" s="117"/>
      <c r="URZ9" s="117"/>
      <c r="USA9" s="117"/>
      <c r="USB9" s="117"/>
      <c r="USC9" s="117"/>
      <c r="USD9" s="117"/>
      <c r="USE9" s="117"/>
      <c r="USF9" s="117"/>
      <c r="USG9" s="117"/>
      <c r="USH9" s="117"/>
      <c r="USI9" s="117"/>
      <c r="USJ9" s="117"/>
      <c r="USK9" s="117"/>
      <c r="USL9" s="117"/>
      <c r="USM9" s="117"/>
      <c r="USN9" s="117"/>
      <c r="USO9" s="117"/>
      <c r="USP9" s="117"/>
      <c r="USQ9" s="117"/>
      <c r="USR9" s="117"/>
      <c r="USS9" s="117"/>
      <c r="UST9" s="117"/>
      <c r="USU9" s="117"/>
      <c r="USV9" s="117"/>
      <c r="USW9" s="117"/>
      <c r="USX9" s="117"/>
      <c r="USY9" s="117"/>
      <c r="USZ9" s="117"/>
      <c r="UTA9" s="117"/>
      <c r="UTB9" s="117"/>
      <c r="UTC9" s="117"/>
      <c r="UTD9" s="117"/>
      <c r="UTE9" s="117"/>
      <c r="UTF9" s="117"/>
      <c r="UTG9" s="117"/>
      <c r="UTH9" s="117"/>
      <c r="UTI9" s="117"/>
      <c r="UTJ9" s="117"/>
      <c r="UTK9" s="117"/>
      <c r="UTL9" s="117"/>
      <c r="UTM9" s="117"/>
      <c r="UTN9" s="117"/>
      <c r="UTO9" s="117"/>
      <c r="UTP9" s="117"/>
      <c r="UTQ9" s="117"/>
      <c r="UTR9" s="117"/>
      <c r="UTS9" s="117"/>
      <c r="UTT9" s="117"/>
      <c r="UTU9" s="117"/>
      <c r="UTV9" s="117"/>
      <c r="UTW9" s="117"/>
      <c r="UTX9" s="117"/>
      <c r="UTY9" s="117"/>
      <c r="UTZ9" s="117"/>
      <c r="UUA9" s="117"/>
      <c r="UUB9" s="117"/>
      <c r="UUC9" s="117"/>
      <c r="UUD9" s="117"/>
      <c r="UUE9" s="117"/>
      <c r="UUF9" s="117"/>
      <c r="UUG9" s="117"/>
      <c r="UUH9" s="117"/>
      <c r="UUI9" s="117"/>
      <c r="UUJ9" s="117"/>
      <c r="UUK9" s="117"/>
      <c r="UUL9" s="117"/>
      <c r="UUM9" s="117"/>
      <c r="UUN9" s="117"/>
      <c r="UUO9" s="117"/>
      <c r="UUP9" s="117"/>
      <c r="UUQ9" s="117"/>
      <c r="UUR9" s="117"/>
      <c r="UUS9" s="117"/>
      <c r="UUT9" s="117"/>
      <c r="UUU9" s="117"/>
      <c r="UUV9" s="117"/>
      <c r="UUW9" s="117"/>
      <c r="UUX9" s="117"/>
      <c r="UUY9" s="117"/>
      <c r="UUZ9" s="117"/>
      <c r="UVA9" s="117"/>
      <c r="UVB9" s="117"/>
      <c r="UVC9" s="117"/>
      <c r="UVD9" s="117"/>
      <c r="UVE9" s="117"/>
      <c r="UVF9" s="117"/>
      <c r="UVG9" s="117"/>
      <c r="UVH9" s="117"/>
      <c r="UVI9" s="117"/>
      <c r="UVJ9" s="117"/>
      <c r="UVK9" s="117"/>
      <c r="UVL9" s="117"/>
      <c r="UVM9" s="117"/>
      <c r="UVN9" s="117"/>
      <c r="UVO9" s="117"/>
      <c r="UVP9" s="117"/>
      <c r="UVQ9" s="117"/>
      <c r="UVR9" s="117"/>
      <c r="UVS9" s="117"/>
      <c r="UVT9" s="117"/>
      <c r="UVU9" s="117"/>
      <c r="UVV9" s="117"/>
      <c r="UVW9" s="117"/>
      <c r="UVX9" s="117"/>
      <c r="UVY9" s="117"/>
      <c r="UVZ9" s="117"/>
      <c r="UWA9" s="117"/>
      <c r="UWB9" s="117"/>
      <c r="UWC9" s="117"/>
      <c r="UWD9" s="117"/>
      <c r="UWE9" s="117"/>
      <c r="UWF9" s="117"/>
      <c r="UWG9" s="117"/>
      <c r="UWH9" s="117"/>
      <c r="UWI9" s="117"/>
      <c r="UWJ9" s="117"/>
      <c r="UWK9" s="117"/>
      <c r="UWL9" s="117"/>
      <c r="UWM9" s="117"/>
      <c r="UWN9" s="117"/>
      <c r="UWO9" s="117"/>
      <c r="UWP9" s="117"/>
      <c r="UWQ9" s="117"/>
      <c r="UWR9" s="117"/>
      <c r="UWS9" s="117"/>
      <c r="UWT9" s="117"/>
      <c r="UWU9" s="117"/>
      <c r="UWV9" s="117"/>
      <c r="UWW9" s="117"/>
      <c r="UWX9" s="117"/>
      <c r="UWY9" s="117"/>
      <c r="UWZ9" s="117"/>
      <c r="UXA9" s="117"/>
      <c r="UXB9" s="117"/>
      <c r="UXC9" s="117"/>
      <c r="UXD9" s="117"/>
      <c r="UXE9" s="117"/>
      <c r="UXF9" s="117"/>
      <c r="UXG9" s="117"/>
      <c r="UXH9" s="117"/>
      <c r="UXI9" s="117"/>
      <c r="UXJ9" s="117"/>
      <c r="UXK9" s="117"/>
      <c r="UXL9" s="117"/>
      <c r="UXM9" s="117"/>
      <c r="UXN9" s="117"/>
      <c r="UXO9" s="117"/>
      <c r="UXP9" s="117"/>
      <c r="UXQ9" s="117"/>
      <c r="UXR9" s="117"/>
      <c r="UXS9" s="117"/>
      <c r="UXT9" s="117"/>
      <c r="UXU9" s="117"/>
      <c r="UXV9" s="117"/>
      <c r="UXW9" s="117"/>
      <c r="UXX9" s="117"/>
      <c r="UXY9" s="117"/>
      <c r="UXZ9" s="117"/>
      <c r="UYA9" s="117"/>
      <c r="UYB9" s="117"/>
      <c r="UYC9" s="117"/>
      <c r="UYD9" s="117"/>
      <c r="UYE9" s="117"/>
      <c r="UYF9" s="117"/>
      <c r="UYG9" s="117"/>
      <c r="UYH9" s="117"/>
      <c r="UYI9" s="117"/>
      <c r="UYJ9" s="117"/>
      <c r="UYK9" s="117"/>
      <c r="UYL9" s="117"/>
      <c r="UYM9" s="117"/>
      <c r="UYN9" s="117"/>
      <c r="UYO9" s="117"/>
      <c r="UYP9" s="117"/>
      <c r="UYQ9" s="117"/>
      <c r="UYR9" s="117"/>
      <c r="UYS9" s="117"/>
      <c r="UYT9" s="117"/>
      <c r="UYU9" s="117"/>
      <c r="UYV9" s="117"/>
      <c r="UYW9" s="117"/>
      <c r="UYX9" s="117"/>
      <c r="UYY9" s="117"/>
      <c r="UYZ9" s="117"/>
      <c r="UZA9" s="117"/>
      <c r="UZB9" s="117"/>
      <c r="UZC9" s="117"/>
      <c r="UZD9" s="117"/>
      <c r="UZE9" s="117"/>
      <c r="UZF9" s="117"/>
      <c r="UZG9" s="117"/>
      <c r="UZH9" s="117"/>
      <c r="UZI9" s="117"/>
      <c r="UZJ9" s="117"/>
      <c r="UZK9" s="117"/>
      <c r="UZL9" s="117"/>
      <c r="UZM9" s="117"/>
      <c r="UZN9" s="117"/>
      <c r="UZO9" s="117"/>
      <c r="UZP9" s="117"/>
      <c r="UZQ9" s="117"/>
      <c r="UZR9" s="117"/>
      <c r="UZS9" s="117"/>
      <c r="UZT9" s="117"/>
      <c r="UZU9" s="117"/>
      <c r="UZV9" s="117"/>
      <c r="UZW9" s="117"/>
      <c r="UZX9" s="117"/>
      <c r="UZY9" s="117"/>
      <c r="UZZ9" s="117"/>
      <c r="VAA9" s="117"/>
      <c r="VAB9" s="117"/>
      <c r="VAC9" s="117"/>
      <c r="VAD9" s="117"/>
      <c r="VAE9" s="117"/>
      <c r="VAF9" s="117"/>
      <c r="VAG9" s="117"/>
      <c r="VAH9" s="117"/>
      <c r="VAI9" s="117"/>
      <c r="VAJ9" s="117"/>
      <c r="VAK9" s="117"/>
      <c r="VAL9" s="117"/>
      <c r="VAM9" s="117"/>
      <c r="VAN9" s="117"/>
      <c r="VAO9" s="117"/>
      <c r="VAP9" s="117"/>
      <c r="VAQ9" s="117"/>
      <c r="VAR9" s="117"/>
      <c r="VAS9" s="117"/>
      <c r="VAT9" s="117"/>
      <c r="VAU9" s="117"/>
      <c r="VAV9" s="117"/>
      <c r="VAW9" s="117"/>
      <c r="VAX9" s="117"/>
      <c r="VAY9" s="117"/>
      <c r="VAZ9" s="117"/>
      <c r="VBA9" s="117"/>
      <c r="VBB9" s="117"/>
      <c r="VBC9" s="117"/>
      <c r="VBD9" s="117"/>
      <c r="VBE9" s="117"/>
      <c r="VBF9" s="117"/>
      <c r="VBG9" s="117"/>
      <c r="VBH9" s="117"/>
      <c r="VBI9" s="117"/>
      <c r="VBJ9" s="117"/>
      <c r="VBK9" s="117"/>
      <c r="VBL9" s="117"/>
      <c r="VBM9" s="117"/>
      <c r="VBN9" s="117"/>
      <c r="VBO9" s="117"/>
      <c r="VBP9" s="117"/>
      <c r="VBQ9" s="117"/>
      <c r="VBR9" s="117"/>
      <c r="VBS9" s="117"/>
      <c r="VBT9" s="117"/>
      <c r="VBU9" s="117"/>
      <c r="VBV9" s="117"/>
      <c r="VBW9" s="117"/>
      <c r="VBX9" s="117"/>
      <c r="VBY9" s="117"/>
      <c r="VBZ9" s="117"/>
      <c r="VCA9" s="117"/>
      <c r="VCB9" s="117"/>
      <c r="VCC9" s="117"/>
      <c r="VCD9" s="117"/>
      <c r="VCE9" s="117"/>
      <c r="VCF9" s="117"/>
      <c r="VCG9" s="117"/>
      <c r="VCH9" s="117"/>
      <c r="VCI9" s="117"/>
      <c r="VCJ9" s="117"/>
      <c r="VCK9" s="117"/>
      <c r="VCL9" s="117"/>
      <c r="VCM9" s="117"/>
      <c r="VCN9" s="117"/>
      <c r="VCO9" s="117"/>
      <c r="VCP9" s="117"/>
      <c r="VCQ9" s="117"/>
      <c r="VCR9" s="117"/>
      <c r="VCS9" s="117"/>
      <c r="VCT9" s="117"/>
      <c r="VCU9" s="117"/>
      <c r="VCV9" s="117"/>
      <c r="VCW9" s="117"/>
      <c r="VCX9" s="117"/>
      <c r="VCY9" s="117"/>
      <c r="VCZ9" s="117"/>
      <c r="VDA9" s="117"/>
      <c r="VDB9" s="117"/>
      <c r="VDC9" s="117"/>
      <c r="VDD9" s="117"/>
      <c r="VDE9" s="117"/>
      <c r="VDF9" s="117"/>
      <c r="VDG9" s="117"/>
      <c r="VDH9" s="117"/>
      <c r="VDI9" s="117"/>
      <c r="VDJ9" s="117"/>
      <c r="VDK9" s="117"/>
      <c r="VDL9" s="117"/>
      <c r="VDM9" s="117"/>
      <c r="VDN9" s="117"/>
      <c r="VDO9" s="117"/>
      <c r="VDP9" s="117"/>
      <c r="VDQ9" s="117"/>
      <c r="VDR9" s="117"/>
      <c r="VDS9" s="117"/>
      <c r="VDT9" s="117"/>
      <c r="VDU9" s="117"/>
      <c r="VDV9" s="117"/>
      <c r="VDW9" s="117"/>
      <c r="VDX9" s="117"/>
      <c r="VDY9" s="117"/>
      <c r="VDZ9" s="117"/>
      <c r="VEA9" s="117"/>
      <c r="VEB9" s="117"/>
      <c r="VEC9" s="117"/>
      <c r="VED9" s="117"/>
      <c r="VEE9" s="117"/>
      <c r="VEF9" s="117"/>
      <c r="VEG9" s="117"/>
      <c r="VEH9" s="117"/>
      <c r="VEI9" s="117"/>
      <c r="VEJ9" s="117"/>
      <c r="VEK9" s="117"/>
      <c r="VEL9" s="117"/>
      <c r="VEM9" s="117"/>
      <c r="VEN9" s="117"/>
      <c r="VEO9" s="117"/>
      <c r="VEP9" s="117"/>
      <c r="VEQ9" s="117"/>
      <c r="VER9" s="117"/>
      <c r="VES9" s="117"/>
      <c r="VET9" s="117"/>
      <c r="VEU9" s="117"/>
      <c r="VEV9" s="117"/>
      <c r="VEW9" s="117"/>
      <c r="VEX9" s="117"/>
      <c r="VEY9" s="117"/>
      <c r="VEZ9" s="117"/>
      <c r="VFA9" s="117"/>
      <c r="VFB9" s="117"/>
      <c r="VFC9" s="117"/>
      <c r="VFD9" s="117"/>
      <c r="VFE9" s="117"/>
      <c r="VFF9" s="117"/>
      <c r="VFG9" s="117"/>
      <c r="VFH9" s="117"/>
      <c r="VFI9" s="117"/>
      <c r="VFJ9" s="117"/>
      <c r="VFK9" s="117"/>
      <c r="VFL9" s="117"/>
      <c r="VFM9" s="117"/>
      <c r="VFN9" s="117"/>
      <c r="VFO9" s="117"/>
      <c r="VFP9" s="117"/>
      <c r="VFQ9" s="117"/>
      <c r="VFR9" s="117"/>
      <c r="VFS9" s="117"/>
      <c r="VFT9" s="117"/>
      <c r="VFU9" s="117"/>
      <c r="VFV9" s="117"/>
      <c r="VFW9" s="117"/>
      <c r="VFX9" s="117"/>
      <c r="VFY9" s="117"/>
      <c r="VFZ9" s="117"/>
      <c r="VGA9" s="117"/>
      <c r="VGB9" s="117"/>
      <c r="VGC9" s="117"/>
      <c r="VGD9" s="117"/>
      <c r="VGE9" s="117"/>
      <c r="VGF9" s="117"/>
      <c r="VGG9" s="117"/>
      <c r="VGH9" s="117"/>
      <c r="VGI9" s="117"/>
      <c r="VGJ9" s="117"/>
      <c r="VGK9" s="117"/>
      <c r="VGL9" s="117"/>
      <c r="VGM9" s="117"/>
      <c r="VGN9" s="117"/>
      <c r="VGO9" s="117"/>
      <c r="VGP9" s="117"/>
      <c r="VGQ9" s="117"/>
      <c r="VGR9" s="117"/>
      <c r="VGS9" s="117"/>
      <c r="VGT9" s="117"/>
      <c r="VGU9" s="117"/>
      <c r="VGV9" s="117"/>
      <c r="VGW9" s="117"/>
      <c r="VGX9" s="117"/>
      <c r="VGY9" s="117"/>
      <c r="VGZ9" s="117"/>
      <c r="VHA9" s="117"/>
      <c r="VHB9" s="117"/>
      <c r="VHC9" s="117"/>
      <c r="VHD9" s="117"/>
      <c r="VHE9" s="117"/>
      <c r="VHF9" s="117"/>
      <c r="VHG9" s="117"/>
      <c r="VHH9" s="117"/>
      <c r="VHI9" s="117"/>
      <c r="VHJ9" s="117"/>
      <c r="VHK9" s="117"/>
      <c r="VHL9" s="117"/>
      <c r="VHM9" s="117"/>
      <c r="VHN9" s="117"/>
      <c r="VHO9" s="117"/>
      <c r="VHP9" s="117"/>
      <c r="VHQ9" s="117"/>
      <c r="VHR9" s="117"/>
      <c r="VHS9" s="117"/>
      <c r="VHT9" s="117"/>
      <c r="VHU9" s="117"/>
      <c r="VHV9" s="117"/>
      <c r="VHW9" s="117"/>
      <c r="VHX9" s="117"/>
      <c r="VHY9" s="117"/>
      <c r="VHZ9" s="117"/>
      <c r="VIA9" s="117"/>
      <c r="VIB9" s="117"/>
      <c r="VIC9" s="117"/>
      <c r="VID9" s="117"/>
      <c r="VIE9" s="117"/>
      <c r="VIF9" s="117"/>
      <c r="VIG9" s="117"/>
      <c r="VIH9" s="117"/>
      <c r="VII9" s="117"/>
      <c r="VIJ9" s="117"/>
      <c r="VIK9" s="117"/>
      <c r="VIL9" s="117"/>
      <c r="VIM9" s="117"/>
      <c r="VIN9" s="117"/>
      <c r="VIO9" s="117"/>
      <c r="VIP9" s="117"/>
      <c r="VIQ9" s="117"/>
      <c r="VIR9" s="117"/>
      <c r="VIS9" s="117"/>
      <c r="VIT9" s="117"/>
      <c r="VIU9" s="117"/>
      <c r="VIV9" s="117"/>
      <c r="VIW9" s="117"/>
      <c r="VIX9" s="117"/>
      <c r="VIY9" s="117"/>
      <c r="VIZ9" s="117"/>
      <c r="VJA9" s="117"/>
      <c r="VJB9" s="117"/>
      <c r="VJC9" s="117"/>
      <c r="VJD9" s="117"/>
      <c r="VJE9" s="117"/>
      <c r="VJF9" s="117"/>
      <c r="VJG9" s="117"/>
      <c r="VJH9" s="117"/>
      <c r="VJI9" s="117"/>
      <c r="VJJ9" s="117"/>
      <c r="VJK9" s="117"/>
      <c r="VJL9" s="117"/>
      <c r="VJM9" s="117"/>
      <c r="VJN9" s="117"/>
      <c r="VJO9" s="117"/>
      <c r="VJP9" s="117"/>
      <c r="VJQ9" s="117"/>
      <c r="VJR9" s="117"/>
      <c r="VJS9" s="117"/>
      <c r="VJT9" s="117"/>
      <c r="VJU9" s="117"/>
      <c r="VJV9" s="117"/>
      <c r="VJW9" s="117"/>
      <c r="VJX9" s="117"/>
      <c r="VJY9" s="117"/>
      <c r="VJZ9" s="117"/>
      <c r="VKA9" s="117"/>
      <c r="VKB9" s="117"/>
      <c r="VKC9" s="117"/>
      <c r="VKD9" s="117"/>
      <c r="VKE9" s="117"/>
      <c r="VKF9" s="117"/>
      <c r="VKG9" s="117"/>
      <c r="VKH9" s="117"/>
      <c r="VKI9" s="117"/>
      <c r="VKJ9" s="117"/>
      <c r="VKK9" s="117"/>
      <c r="VKL9" s="117"/>
      <c r="VKM9" s="117"/>
      <c r="VKN9" s="117"/>
      <c r="VKO9" s="117"/>
      <c r="VKP9" s="117"/>
      <c r="VKQ9" s="117"/>
      <c r="VKR9" s="117"/>
      <c r="VKS9" s="117"/>
      <c r="VKT9" s="117"/>
      <c r="VKU9" s="117"/>
      <c r="VKV9" s="117"/>
      <c r="VKW9" s="117"/>
      <c r="VKX9" s="117"/>
      <c r="VKY9" s="117"/>
      <c r="VKZ9" s="117"/>
      <c r="VLA9" s="117"/>
      <c r="VLB9" s="117"/>
      <c r="VLC9" s="117"/>
      <c r="VLD9" s="117"/>
      <c r="VLE9" s="117"/>
      <c r="VLF9" s="117"/>
      <c r="VLG9" s="117"/>
      <c r="VLH9" s="117"/>
      <c r="VLI9" s="117"/>
      <c r="VLJ9" s="117"/>
      <c r="VLK9" s="117"/>
      <c r="VLL9" s="117"/>
      <c r="VLM9" s="117"/>
      <c r="VLN9" s="117"/>
      <c r="VLO9" s="117"/>
      <c r="VLP9" s="117"/>
      <c r="VLQ9" s="117"/>
      <c r="VLR9" s="117"/>
      <c r="VLS9" s="117"/>
      <c r="VLT9" s="117"/>
      <c r="VLU9" s="117"/>
      <c r="VLV9" s="117"/>
      <c r="VLW9" s="117"/>
      <c r="VLX9" s="117"/>
      <c r="VLY9" s="117"/>
      <c r="VLZ9" s="117"/>
      <c r="VMA9" s="117"/>
      <c r="VMB9" s="117"/>
      <c r="VMC9" s="117"/>
      <c r="VMD9" s="117"/>
      <c r="VME9" s="117"/>
      <c r="VMF9" s="117"/>
      <c r="VMG9" s="117"/>
      <c r="VMH9" s="117"/>
      <c r="VMI9" s="117"/>
      <c r="VMJ9" s="117"/>
      <c r="VMK9" s="117"/>
      <c r="VML9" s="117"/>
      <c r="VMM9" s="117"/>
      <c r="VMN9" s="117"/>
      <c r="VMO9" s="117"/>
      <c r="VMP9" s="117"/>
      <c r="VMQ9" s="117"/>
      <c r="VMR9" s="117"/>
      <c r="VMS9" s="117"/>
      <c r="VMT9" s="117"/>
      <c r="VMU9" s="117"/>
      <c r="VMV9" s="117"/>
      <c r="VMW9" s="117"/>
      <c r="VMX9" s="117"/>
      <c r="VMY9" s="117"/>
      <c r="VMZ9" s="117"/>
      <c r="VNA9" s="117"/>
      <c r="VNB9" s="117"/>
      <c r="VNC9" s="117"/>
      <c r="VND9" s="117"/>
      <c r="VNE9" s="117"/>
      <c r="VNF9" s="117"/>
      <c r="VNG9" s="117"/>
      <c r="VNH9" s="117"/>
      <c r="VNI9" s="117"/>
      <c r="VNJ9" s="117"/>
      <c r="VNK9" s="117"/>
      <c r="VNL9" s="117"/>
      <c r="VNM9" s="117"/>
      <c r="VNN9" s="117"/>
      <c r="VNO9" s="117"/>
      <c r="VNP9" s="117"/>
      <c r="VNQ9" s="117"/>
      <c r="VNR9" s="117"/>
      <c r="VNS9" s="117"/>
      <c r="VNT9" s="117"/>
      <c r="VNU9" s="117"/>
      <c r="VNV9" s="117"/>
      <c r="VNW9" s="117"/>
      <c r="VNX9" s="117"/>
      <c r="VNY9" s="117"/>
      <c r="VNZ9" s="117"/>
      <c r="VOA9" s="117"/>
      <c r="VOB9" s="117"/>
      <c r="VOC9" s="117"/>
      <c r="VOD9" s="117"/>
      <c r="VOE9" s="117"/>
      <c r="VOF9" s="117"/>
      <c r="VOG9" s="117"/>
      <c r="VOH9" s="117"/>
      <c r="VOI9" s="117"/>
      <c r="VOJ9" s="117"/>
      <c r="VOK9" s="117"/>
      <c r="VOL9" s="117"/>
      <c r="VOM9" s="117"/>
      <c r="VON9" s="117"/>
      <c r="VOO9" s="117"/>
      <c r="VOP9" s="117"/>
      <c r="VOQ9" s="117"/>
      <c r="VOR9" s="117"/>
      <c r="VOS9" s="117"/>
      <c r="VOT9" s="117"/>
      <c r="VOU9" s="117"/>
      <c r="VOV9" s="117"/>
      <c r="VOW9" s="117"/>
      <c r="VOX9" s="117"/>
      <c r="VOY9" s="117"/>
      <c r="VOZ9" s="117"/>
      <c r="VPA9" s="117"/>
      <c r="VPB9" s="117"/>
      <c r="VPC9" s="117"/>
      <c r="VPD9" s="117"/>
      <c r="VPE9" s="117"/>
      <c r="VPF9" s="117"/>
      <c r="VPG9" s="117"/>
      <c r="VPH9" s="117"/>
      <c r="VPI9" s="117"/>
      <c r="VPJ9" s="117"/>
      <c r="VPK9" s="117"/>
      <c r="VPL9" s="117"/>
      <c r="VPM9" s="117"/>
      <c r="VPN9" s="117"/>
      <c r="VPO9" s="117"/>
      <c r="VPP9" s="117"/>
      <c r="VPQ9" s="117"/>
      <c r="VPR9" s="117"/>
      <c r="VPS9" s="117"/>
      <c r="VPT9" s="117"/>
      <c r="VPU9" s="117"/>
      <c r="VPV9" s="117"/>
      <c r="VPW9" s="117"/>
      <c r="VPX9" s="117"/>
      <c r="VPY9" s="117"/>
      <c r="VPZ9" s="117"/>
      <c r="VQA9" s="117"/>
      <c r="VQB9" s="117"/>
      <c r="VQC9" s="117"/>
      <c r="VQD9" s="117"/>
      <c r="VQE9" s="117"/>
      <c r="VQF9" s="117"/>
      <c r="VQG9" s="117"/>
      <c r="VQH9" s="117"/>
      <c r="VQI9" s="117"/>
      <c r="VQJ9" s="117"/>
      <c r="VQK9" s="117"/>
      <c r="VQL9" s="117"/>
      <c r="VQM9" s="117"/>
      <c r="VQN9" s="117"/>
      <c r="VQO9" s="117"/>
      <c r="VQP9" s="117"/>
      <c r="VQQ9" s="117"/>
      <c r="VQR9" s="117"/>
      <c r="VQS9" s="117"/>
      <c r="VQT9" s="117"/>
      <c r="VQU9" s="117"/>
      <c r="VQV9" s="117"/>
      <c r="VQW9" s="117"/>
      <c r="VQX9" s="117"/>
      <c r="VQY9" s="117"/>
      <c r="VQZ9" s="117"/>
      <c r="VRA9" s="117"/>
      <c r="VRB9" s="117"/>
      <c r="VRC9" s="117"/>
      <c r="VRD9" s="117"/>
      <c r="VRE9" s="117"/>
      <c r="VRF9" s="117"/>
      <c r="VRG9" s="117"/>
      <c r="VRH9" s="117"/>
      <c r="VRI9" s="117"/>
      <c r="VRJ9" s="117"/>
      <c r="VRK9" s="117"/>
      <c r="VRL9" s="117"/>
      <c r="VRM9" s="117"/>
      <c r="VRN9" s="117"/>
      <c r="VRO9" s="117"/>
      <c r="VRP9" s="117"/>
      <c r="VRQ9" s="117"/>
      <c r="VRR9" s="117"/>
      <c r="VRS9" s="117"/>
      <c r="VRT9" s="117"/>
      <c r="VRU9" s="117"/>
      <c r="VRV9" s="117"/>
      <c r="VRW9" s="117"/>
      <c r="VRX9" s="117"/>
      <c r="VRY9" s="117"/>
      <c r="VRZ9" s="117"/>
      <c r="VSA9" s="117"/>
      <c r="VSB9" s="117"/>
      <c r="VSC9" s="117"/>
      <c r="VSD9" s="117"/>
      <c r="VSE9" s="117"/>
      <c r="VSF9" s="117"/>
      <c r="VSG9" s="117"/>
      <c r="VSH9" s="117"/>
      <c r="VSI9" s="117"/>
      <c r="VSJ9" s="117"/>
      <c r="VSK9" s="117"/>
      <c r="VSL9" s="117"/>
      <c r="VSM9" s="117"/>
      <c r="VSN9" s="117"/>
      <c r="VSO9" s="117"/>
      <c r="VSP9" s="117"/>
      <c r="VSQ9" s="117"/>
      <c r="VSR9" s="117"/>
      <c r="VSS9" s="117"/>
      <c r="VST9" s="117"/>
      <c r="VSU9" s="117"/>
      <c r="VSV9" s="117"/>
      <c r="VSW9" s="117"/>
      <c r="VSX9" s="117"/>
      <c r="VSY9" s="117"/>
      <c r="VSZ9" s="117"/>
      <c r="VTA9" s="117"/>
      <c r="VTB9" s="117"/>
      <c r="VTC9" s="117"/>
      <c r="VTD9" s="117"/>
      <c r="VTE9" s="117"/>
      <c r="VTF9" s="117"/>
      <c r="VTG9" s="117"/>
      <c r="VTH9" s="117"/>
      <c r="VTI9" s="117"/>
      <c r="VTJ9" s="117"/>
      <c r="VTK9" s="117"/>
      <c r="VTL9" s="117"/>
      <c r="VTM9" s="117"/>
      <c r="VTN9" s="117"/>
      <c r="VTO9" s="117"/>
      <c r="VTP9" s="117"/>
      <c r="VTQ9" s="117"/>
      <c r="VTR9" s="117"/>
      <c r="VTS9" s="117"/>
      <c r="VTT9" s="117"/>
      <c r="VTU9" s="117"/>
      <c r="VTV9" s="117"/>
      <c r="VTW9" s="117"/>
      <c r="VTX9" s="117"/>
      <c r="VTY9" s="117"/>
      <c r="VTZ9" s="117"/>
      <c r="VUA9" s="117"/>
      <c r="VUB9" s="117"/>
      <c r="VUC9" s="117"/>
      <c r="VUD9" s="117"/>
      <c r="VUE9" s="117"/>
      <c r="VUF9" s="117"/>
      <c r="VUG9" s="117"/>
      <c r="VUH9" s="117"/>
      <c r="VUI9" s="117"/>
      <c r="VUJ9" s="117"/>
      <c r="VUK9" s="117"/>
      <c r="VUL9" s="117"/>
      <c r="VUM9" s="117"/>
      <c r="VUN9" s="117"/>
      <c r="VUO9" s="117"/>
      <c r="VUP9" s="117"/>
      <c r="VUQ9" s="117"/>
      <c r="VUR9" s="117"/>
      <c r="VUS9" s="117"/>
      <c r="VUT9" s="117"/>
      <c r="VUU9" s="117"/>
      <c r="VUV9" s="117"/>
      <c r="VUW9" s="117"/>
      <c r="VUX9" s="117"/>
      <c r="VUY9" s="117"/>
      <c r="VUZ9" s="117"/>
      <c r="VVA9" s="117"/>
      <c r="VVB9" s="117"/>
      <c r="VVC9" s="117"/>
      <c r="VVD9" s="117"/>
      <c r="VVE9" s="117"/>
      <c r="VVF9" s="117"/>
      <c r="VVG9" s="117"/>
      <c r="VVH9" s="117"/>
      <c r="VVI9" s="117"/>
      <c r="VVJ9" s="117"/>
      <c r="VVK9" s="117"/>
      <c r="VVL9" s="117"/>
      <c r="VVM9" s="117"/>
      <c r="VVN9" s="117"/>
      <c r="VVO9" s="117"/>
      <c r="VVP9" s="117"/>
      <c r="VVQ9" s="117"/>
      <c r="VVR9" s="117"/>
      <c r="VVS9" s="117"/>
      <c r="VVT9" s="117"/>
      <c r="VVU9" s="117"/>
      <c r="VVV9" s="117"/>
      <c r="VVW9" s="117"/>
      <c r="VVX9" s="117"/>
      <c r="VVY9" s="117"/>
      <c r="VVZ9" s="117"/>
      <c r="VWA9" s="117"/>
      <c r="VWB9" s="117"/>
      <c r="VWC9" s="117"/>
      <c r="VWD9" s="117"/>
      <c r="VWE9" s="117"/>
      <c r="VWF9" s="117"/>
      <c r="VWG9" s="117"/>
      <c r="VWH9" s="117"/>
      <c r="VWI9" s="117"/>
      <c r="VWJ9" s="117"/>
      <c r="VWK9" s="117"/>
      <c r="VWL9" s="117"/>
      <c r="VWM9" s="117"/>
      <c r="VWN9" s="117"/>
      <c r="VWO9" s="117"/>
      <c r="VWP9" s="117"/>
      <c r="VWQ9" s="117"/>
      <c r="VWR9" s="117"/>
      <c r="VWS9" s="117"/>
      <c r="VWT9" s="117"/>
      <c r="VWU9" s="117"/>
      <c r="VWV9" s="117"/>
      <c r="VWW9" s="117"/>
      <c r="VWX9" s="117"/>
      <c r="VWY9" s="117"/>
      <c r="VWZ9" s="117"/>
      <c r="VXA9" s="117"/>
      <c r="VXB9" s="117"/>
      <c r="VXC9" s="117"/>
      <c r="VXD9" s="117"/>
      <c r="VXE9" s="117"/>
      <c r="VXF9" s="117"/>
      <c r="VXG9" s="117"/>
      <c r="VXH9" s="117"/>
      <c r="VXI9" s="117"/>
      <c r="VXJ9" s="117"/>
      <c r="VXK9" s="117"/>
      <c r="VXL9" s="117"/>
      <c r="VXM9" s="117"/>
      <c r="VXN9" s="117"/>
      <c r="VXO9" s="117"/>
      <c r="VXP9" s="117"/>
      <c r="VXQ9" s="117"/>
      <c r="VXR9" s="117"/>
      <c r="VXS9" s="117"/>
      <c r="VXT9" s="117"/>
      <c r="VXU9" s="117"/>
      <c r="VXV9" s="117"/>
      <c r="VXW9" s="117"/>
      <c r="VXX9" s="117"/>
      <c r="VXY9" s="117"/>
      <c r="VXZ9" s="117"/>
      <c r="VYA9" s="117"/>
      <c r="VYB9" s="117"/>
      <c r="VYC9" s="117"/>
      <c r="VYD9" s="117"/>
      <c r="VYE9" s="117"/>
      <c r="VYF9" s="117"/>
      <c r="VYG9" s="117"/>
      <c r="VYH9" s="117"/>
      <c r="VYI9" s="117"/>
      <c r="VYJ9" s="117"/>
      <c r="VYK9" s="117"/>
      <c r="VYL9" s="117"/>
      <c r="VYM9" s="117"/>
      <c r="VYN9" s="117"/>
      <c r="VYO9" s="117"/>
      <c r="VYP9" s="117"/>
      <c r="VYQ9" s="117"/>
      <c r="VYR9" s="117"/>
      <c r="VYS9" s="117"/>
      <c r="VYT9" s="117"/>
      <c r="VYU9" s="117"/>
      <c r="VYV9" s="117"/>
      <c r="VYW9" s="117"/>
      <c r="VYX9" s="117"/>
      <c r="VYY9" s="117"/>
      <c r="VYZ9" s="117"/>
      <c r="VZA9" s="117"/>
      <c r="VZB9" s="117"/>
      <c r="VZC9" s="117"/>
      <c r="VZD9" s="117"/>
      <c r="VZE9" s="117"/>
      <c r="VZF9" s="117"/>
      <c r="VZG9" s="117"/>
      <c r="VZH9" s="117"/>
      <c r="VZI9" s="117"/>
      <c r="VZJ9" s="117"/>
      <c r="VZK9" s="117"/>
      <c r="VZL9" s="117"/>
      <c r="VZM9" s="117"/>
      <c r="VZN9" s="117"/>
      <c r="VZO9" s="117"/>
      <c r="VZP9" s="117"/>
      <c r="VZQ9" s="117"/>
      <c r="VZR9" s="117"/>
      <c r="VZS9" s="117"/>
      <c r="VZT9" s="117"/>
      <c r="VZU9" s="117"/>
      <c r="VZV9" s="117"/>
      <c r="VZW9" s="117"/>
      <c r="VZX9" s="117"/>
      <c r="VZY9" s="117"/>
      <c r="VZZ9" s="117"/>
      <c r="WAA9" s="117"/>
      <c r="WAB9" s="117"/>
      <c r="WAC9" s="117"/>
      <c r="WAD9" s="117"/>
      <c r="WAE9" s="117"/>
      <c r="WAF9" s="117"/>
      <c r="WAG9" s="117"/>
      <c r="WAH9" s="117"/>
      <c r="WAI9" s="117"/>
      <c r="WAJ9" s="117"/>
      <c r="WAK9" s="117"/>
      <c r="WAL9" s="117"/>
      <c r="WAM9" s="117"/>
      <c r="WAN9" s="117"/>
      <c r="WAO9" s="117"/>
      <c r="WAP9" s="117"/>
      <c r="WAQ9" s="117"/>
      <c r="WAR9" s="117"/>
      <c r="WAS9" s="117"/>
      <c r="WAT9" s="117"/>
      <c r="WAU9" s="117"/>
      <c r="WAV9" s="117"/>
      <c r="WAW9" s="117"/>
      <c r="WAX9" s="117"/>
      <c r="WAY9" s="117"/>
      <c r="WAZ9" s="117"/>
      <c r="WBA9" s="117"/>
      <c r="WBB9" s="117"/>
      <c r="WBC9" s="117"/>
      <c r="WBD9" s="117"/>
      <c r="WBE9" s="117"/>
      <c r="WBF9" s="117"/>
      <c r="WBG9" s="117"/>
      <c r="WBH9" s="117"/>
      <c r="WBI9" s="117"/>
      <c r="WBJ9" s="117"/>
      <c r="WBK9" s="117"/>
      <c r="WBL9" s="117"/>
      <c r="WBM9" s="117"/>
      <c r="WBN9" s="117"/>
      <c r="WBO9" s="117"/>
      <c r="WBP9" s="117"/>
      <c r="WBQ9" s="117"/>
      <c r="WBR9" s="117"/>
      <c r="WBS9" s="117"/>
      <c r="WBT9" s="117"/>
      <c r="WBU9" s="117"/>
      <c r="WBV9" s="117"/>
      <c r="WBW9" s="117"/>
      <c r="WBX9" s="117"/>
      <c r="WBY9" s="117"/>
      <c r="WBZ9" s="117"/>
      <c r="WCA9" s="117"/>
      <c r="WCB9" s="117"/>
      <c r="WCC9" s="117"/>
      <c r="WCD9" s="117"/>
      <c r="WCE9" s="117"/>
      <c r="WCF9" s="117"/>
      <c r="WCG9" s="117"/>
      <c r="WCH9" s="117"/>
      <c r="WCI9" s="117"/>
      <c r="WCJ9" s="117"/>
      <c r="WCK9" s="117"/>
      <c r="WCL9" s="117"/>
      <c r="WCM9" s="117"/>
      <c r="WCN9" s="117"/>
      <c r="WCO9" s="117"/>
      <c r="WCP9" s="117"/>
      <c r="WCQ9" s="117"/>
      <c r="WCR9" s="117"/>
      <c r="WCS9" s="117"/>
      <c r="WCT9" s="117"/>
      <c r="WCU9" s="117"/>
      <c r="WCV9" s="117"/>
      <c r="WCW9" s="117"/>
      <c r="WCX9" s="117"/>
      <c r="WCY9" s="117"/>
      <c r="WCZ9" s="117"/>
      <c r="WDA9" s="117"/>
      <c r="WDB9" s="117"/>
      <c r="WDC9" s="117"/>
      <c r="WDD9" s="117"/>
      <c r="WDE9" s="117"/>
      <c r="WDF9" s="117"/>
      <c r="WDG9" s="117"/>
      <c r="WDH9" s="117"/>
      <c r="WDI9" s="117"/>
      <c r="WDJ9" s="117"/>
      <c r="WDK9" s="117"/>
      <c r="WDL9" s="117"/>
      <c r="WDM9" s="117"/>
      <c r="WDN9" s="117"/>
      <c r="WDO9" s="117"/>
      <c r="WDP9" s="117"/>
      <c r="WDQ9" s="117"/>
      <c r="WDR9" s="117"/>
      <c r="WDS9" s="117"/>
      <c r="WDT9" s="117"/>
      <c r="WDU9" s="117"/>
      <c r="WDV9" s="117"/>
      <c r="WDW9" s="117"/>
      <c r="WDX9" s="117"/>
      <c r="WDY9" s="117"/>
      <c r="WDZ9" s="117"/>
      <c r="WEA9" s="117"/>
      <c r="WEB9" s="117"/>
      <c r="WEC9" s="117"/>
      <c r="WED9" s="117"/>
      <c r="WEE9" s="117"/>
      <c r="WEF9" s="117"/>
      <c r="WEG9" s="117"/>
      <c r="WEH9" s="117"/>
      <c r="WEI9" s="117"/>
      <c r="WEJ9" s="117"/>
      <c r="WEK9" s="117"/>
      <c r="WEL9" s="117"/>
      <c r="WEM9" s="117"/>
      <c r="WEN9" s="117"/>
      <c r="WEO9" s="117"/>
      <c r="WEP9" s="117"/>
      <c r="WEQ9" s="117"/>
      <c r="WER9" s="117"/>
      <c r="WES9" s="117"/>
      <c r="WET9" s="117"/>
      <c r="WEU9" s="117"/>
      <c r="WEV9" s="117"/>
      <c r="WEW9" s="117"/>
      <c r="WEX9" s="117"/>
      <c r="WEY9" s="117"/>
      <c r="WEZ9" s="117"/>
      <c r="WFA9" s="117"/>
      <c r="WFB9" s="117"/>
      <c r="WFC9" s="117"/>
      <c r="WFD9" s="117"/>
      <c r="WFE9" s="117"/>
      <c r="WFF9" s="117"/>
      <c r="WFG9" s="117"/>
      <c r="WFH9" s="117"/>
      <c r="WFI9" s="117"/>
      <c r="WFJ9" s="117"/>
      <c r="WFK9" s="117"/>
      <c r="WFL9" s="117"/>
      <c r="WFM9" s="117"/>
      <c r="WFN9" s="117"/>
      <c r="WFO9" s="117"/>
      <c r="WFP9" s="117"/>
      <c r="WFQ9" s="117"/>
      <c r="WFR9" s="117"/>
      <c r="WFS9" s="117"/>
      <c r="WFT9" s="117"/>
      <c r="WFU9" s="117"/>
      <c r="WFV9" s="117"/>
      <c r="WFW9" s="117"/>
      <c r="WFX9" s="117"/>
      <c r="WFY9" s="117"/>
      <c r="WFZ9" s="117"/>
      <c r="WGA9" s="117"/>
      <c r="WGB9" s="117"/>
      <c r="WGC9" s="117"/>
      <c r="WGD9" s="117"/>
      <c r="WGE9" s="117"/>
      <c r="WGF9" s="117"/>
      <c r="WGG9" s="117"/>
      <c r="WGH9" s="117"/>
      <c r="WGI9" s="117"/>
      <c r="WGJ9" s="117"/>
      <c r="WGK9" s="117"/>
      <c r="WGL9" s="117"/>
      <c r="WGM9" s="117"/>
      <c r="WGN9" s="117"/>
      <c r="WGO9" s="117"/>
      <c r="WGP9" s="117"/>
      <c r="WGQ9" s="117"/>
      <c r="WGR9" s="117"/>
      <c r="WGS9" s="117"/>
      <c r="WGT9" s="117"/>
      <c r="WGU9" s="117"/>
      <c r="WGV9" s="117"/>
      <c r="WGW9" s="117"/>
      <c r="WGX9" s="117"/>
      <c r="WGY9" s="117"/>
      <c r="WGZ9" s="117"/>
      <c r="WHA9" s="117"/>
      <c r="WHB9" s="117"/>
      <c r="WHC9" s="117"/>
      <c r="WHD9" s="117"/>
      <c r="WHE9" s="117"/>
      <c r="WHF9" s="117"/>
      <c r="WHG9" s="117"/>
      <c r="WHH9" s="117"/>
      <c r="WHI9" s="117"/>
      <c r="WHJ9" s="117"/>
      <c r="WHK9" s="117"/>
      <c r="WHL9" s="117"/>
      <c r="WHM9" s="117"/>
      <c r="WHN9" s="117"/>
      <c r="WHO9" s="117"/>
      <c r="WHP9" s="117"/>
      <c r="WHQ9" s="117"/>
      <c r="WHR9" s="117"/>
      <c r="WHS9" s="117"/>
      <c r="WHT9" s="117"/>
      <c r="WHU9" s="117"/>
      <c r="WHV9" s="117"/>
      <c r="WHW9" s="117"/>
      <c r="WHX9" s="117"/>
      <c r="WHY9" s="117"/>
      <c r="WHZ9" s="117"/>
      <c r="WIA9" s="117"/>
      <c r="WIB9" s="117"/>
      <c r="WIC9" s="117"/>
      <c r="WID9" s="117"/>
      <c r="WIE9" s="117"/>
      <c r="WIF9" s="117"/>
      <c r="WIG9" s="117"/>
      <c r="WIH9" s="117"/>
      <c r="WII9" s="117"/>
      <c r="WIJ9" s="117"/>
      <c r="WIK9" s="117"/>
      <c r="WIL9" s="117"/>
      <c r="WIM9" s="117"/>
      <c r="WIN9" s="117"/>
      <c r="WIO9" s="117"/>
      <c r="WIP9" s="117"/>
      <c r="WIQ9" s="117"/>
      <c r="WIR9" s="117"/>
      <c r="WIS9" s="117"/>
      <c r="WIT9" s="117"/>
      <c r="WIU9" s="117"/>
      <c r="WIV9" s="117"/>
      <c r="WIW9" s="117"/>
      <c r="WIX9" s="117"/>
      <c r="WIY9" s="117"/>
      <c r="WIZ9" s="117"/>
      <c r="WJA9" s="117"/>
      <c r="WJB9" s="117"/>
      <c r="WJC9" s="117"/>
      <c r="WJD9" s="117"/>
      <c r="WJE9" s="117"/>
      <c r="WJF9" s="117"/>
      <c r="WJG9" s="117"/>
      <c r="WJH9" s="117"/>
      <c r="WJI9" s="117"/>
      <c r="WJJ9" s="117"/>
      <c r="WJK9" s="117"/>
      <c r="WJL9" s="117"/>
      <c r="WJM9" s="117"/>
      <c r="WJN9" s="117"/>
      <c r="WJO9" s="117"/>
      <c r="WJP9" s="117"/>
      <c r="WJQ9" s="117"/>
      <c r="WJR9" s="117"/>
      <c r="WJS9" s="117"/>
      <c r="WJT9" s="117"/>
      <c r="WJU9" s="117"/>
      <c r="WJV9" s="117"/>
      <c r="WJW9" s="117"/>
      <c r="WJX9" s="117"/>
      <c r="WJY9" s="117"/>
      <c r="WJZ9" s="117"/>
      <c r="WKA9" s="117"/>
      <c r="WKB9" s="117"/>
      <c r="WKC9" s="117"/>
      <c r="WKD9" s="117"/>
      <c r="WKE9" s="117"/>
      <c r="WKF9" s="117"/>
      <c r="WKG9" s="117"/>
      <c r="WKH9" s="117"/>
      <c r="WKI9" s="117"/>
      <c r="WKJ9" s="117"/>
      <c r="WKK9" s="117"/>
      <c r="WKL9" s="117"/>
      <c r="WKM9" s="117"/>
      <c r="WKN9" s="117"/>
      <c r="WKO9" s="117"/>
      <c r="WKP9" s="117"/>
      <c r="WKQ9" s="117"/>
      <c r="WKR9" s="117"/>
      <c r="WKS9" s="117"/>
      <c r="WKT9" s="117"/>
      <c r="WKU9" s="117"/>
      <c r="WKV9" s="117"/>
      <c r="WKW9" s="117"/>
      <c r="WKX9" s="117"/>
      <c r="WKY9" s="117"/>
      <c r="WKZ9" s="117"/>
      <c r="WLA9" s="117"/>
      <c r="WLB9" s="117"/>
      <c r="WLC9" s="117"/>
      <c r="WLD9" s="117"/>
      <c r="WLE9" s="117"/>
      <c r="WLF9" s="117"/>
      <c r="WLG9" s="117"/>
      <c r="WLH9" s="117"/>
      <c r="WLI9" s="117"/>
      <c r="WLJ9" s="117"/>
      <c r="WLK9" s="117"/>
      <c r="WLL9" s="117"/>
      <c r="WLM9" s="117"/>
      <c r="WLN9" s="117"/>
      <c r="WLO9" s="117"/>
      <c r="WLP9" s="117"/>
      <c r="WLQ9" s="117"/>
      <c r="WLR9" s="117"/>
      <c r="WLS9" s="117"/>
      <c r="WLT9" s="117"/>
      <c r="WLU9" s="117"/>
      <c r="WLV9" s="117"/>
      <c r="WLW9" s="117"/>
      <c r="WLX9" s="117"/>
      <c r="WLY9" s="117"/>
      <c r="WLZ9" s="117"/>
      <c r="WMA9" s="117"/>
      <c r="WMB9" s="117"/>
      <c r="WMC9" s="117"/>
      <c r="WMD9" s="117"/>
      <c r="WME9" s="117"/>
      <c r="WMF9" s="117"/>
      <c r="WMG9" s="117"/>
      <c r="WMH9" s="117"/>
      <c r="WMI9" s="117"/>
      <c r="WMJ9" s="117"/>
      <c r="WMK9" s="117"/>
      <c r="WML9" s="117"/>
      <c r="WMM9" s="117"/>
      <c r="WMN9" s="117"/>
      <c r="WMO9" s="117"/>
      <c r="WMP9" s="117"/>
      <c r="WMQ9" s="117"/>
      <c r="WMR9" s="117"/>
      <c r="WMS9" s="117"/>
      <c r="WMT9" s="117"/>
      <c r="WMU9" s="117"/>
      <c r="WMV9" s="117"/>
      <c r="WMW9" s="117"/>
      <c r="WMX9" s="117"/>
      <c r="WMY9" s="117"/>
      <c r="WMZ9" s="117"/>
      <c r="WNA9" s="117"/>
      <c r="WNB9" s="117"/>
      <c r="WNC9" s="117"/>
      <c r="WND9" s="117"/>
      <c r="WNE9" s="117"/>
      <c r="WNF9" s="117"/>
      <c r="WNG9" s="117"/>
      <c r="WNH9" s="117"/>
      <c r="WNI9" s="117"/>
      <c r="WNJ9" s="117"/>
      <c r="WNK9" s="117"/>
      <c r="WNL9" s="117"/>
      <c r="WNM9" s="117"/>
      <c r="WNN9" s="117"/>
      <c r="WNO9" s="117"/>
      <c r="WNP9" s="117"/>
      <c r="WNQ9" s="117"/>
      <c r="WNR9" s="117"/>
      <c r="WNS9" s="117"/>
      <c r="WNT9" s="117"/>
      <c r="WNU9" s="117"/>
      <c r="WNV9" s="117"/>
      <c r="WNW9" s="117"/>
      <c r="WNX9" s="117"/>
      <c r="WNY9" s="117"/>
      <c r="WNZ9" s="117"/>
      <c r="WOA9" s="117"/>
      <c r="WOB9" s="117"/>
      <c r="WOC9" s="117"/>
      <c r="WOD9" s="117"/>
      <c r="WOE9" s="117"/>
      <c r="WOF9" s="117"/>
      <c r="WOG9" s="117"/>
      <c r="WOH9" s="117"/>
      <c r="WOI9" s="117"/>
      <c r="WOJ9" s="117"/>
      <c r="WOK9" s="117"/>
      <c r="WOL9" s="117"/>
      <c r="WOM9" s="117"/>
      <c r="WON9" s="117"/>
      <c r="WOO9" s="117"/>
      <c r="WOP9" s="117"/>
      <c r="WOQ9" s="117"/>
      <c r="WOR9" s="117"/>
      <c r="WOS9" s="117"/>
      <c r="WOT9" s="117"/>
      <c r="WOU9" s="117"/>
      <c r="WOV9" s="117"/>
      <c r="WOW9" s="117"/>
      <c r="WOX9" s="117"/>
      <c r="WOY9" s="117"/>
      <c r="WOZ9" s="117"/>
      <c r="WPA9" s="117"/>
      <c r="WPB9" s="117"/>
      <c r="WPC9" s="117"/>
      <c r="WPD9" s="117"/>
      <c r="WPE9" s="117"/>
      <c r="WPF9" s="117"/>
      <c r="WPG9" s="117"/>
      <c r="WPH9" s="117"/>
      <c r="WPI9" s="117"/>
      <c r="WPJ9" s="117"/>
      <c r="WPK9" s="117"/>
      <c r="WPL9" s="117"/>
      <c r="WPM9" s="117"/>
      <c r="WPN9" s="117"/>
      <c r="WPO9" s="117"/>
      <c r="WPP9" s="117"/>
      <c r="WPQ9" s="117"/>
      <c r="WPR9" s="117"/>
      <c r="WPS9" s="117"/>
      <c r="WPT9" s="117"/>
      <c r="WPU9" s="117"/>
      <c r="WPV9" s="117"/>
      <c r="WPW9" s="117"/>
      <c r="WPX9" s="117"/>
      <c r="WPY9" s="117"/>
      <c r="WPZ9" s="117"/>
      <c r="WQA9" s="117"/>
      <c r="WQB9" s="117"/>
      <c r="WQC9" s="117"/>
      <c r="WQD9" s="117"/>
      <c r="WQE9" s="117"/>
      <c r="WQF9" s="117"/>
      <c r="WQG9" s="117"/>
      <c r="WQH9" s="117"/>
      <c r="WQI9" s="117"/>
      <c r="WQJ9" s="117"/>
      <c r="WQK9" s="117"/>
      <c r="WQL9" s="117"/>
      <c r="WQM9" s="117"/>
      <c r="WQN9" s="117"/>
      <c r="WQO9" s="117"/>
      <c r="WQP9" s="117"/>
      <c r="WQQ9" s="117"/>
      <c r="WQR9" s="117"/>
      <c r="WQS9" s="117"/>
      <c r="WQT9" s="117"/>
      <c r="WQU9" s="117"/>
      <c r="WQV9" s="117"/>
      <c r="WQW9" s="117"/>
      <c r="WQX9" s="117"/>
      <c r="WQY9" s="117"/>
      <c r="WQZ9" s="117"/>
      <c r="WRA9" s="117"/>
      <c r="WRB9" s="117"/>
      <c r="WRC9" s="117"/>
      <c r="WRD9" s="117"/>
      <c r="WRE9" s="117"/>
      <c r="WRF9" s="117"/>
      <c r="WRG9" s="117"/>
      <c r="WRH9" s="117"/>
      <c r="WRI9" s="117"/>
      <c r="WRJ9" s="117"/>
      <c r="WRK9" s="117"/>
      <c r="WRL9" s="117"/>
      <c r="WRM9" s="117"/>
      <c r="WRN9" s="117"/>
      <c r="WRO9" s="117"/>
      <c r="WRP9" s="117"/>
      <c r="WRQ9" s="117"/>
      <c r="WRR9" s="117"/>
      <c r="WRS9" s="117"/>
      <c r="WRT9" s="117"/>
      <c r="WRU9" s="117"/>
      <c r="WRV9" s="117"/>
      <c r="WRW9" s="117"/>
      <c r="WRX9" s="117"/>
      <c r="WRY9" s="117"/>
      <c r="WRZ9" s="117"/>
      <c r="WSA9" s="117"/>
      <c r="WSB9" s="117"/>
      <c r="WSC9" s="117"/>
      <c r="WSD9" s="117"/>
      <c r="WSE9" s="117"/>
      <c r="WSF9" s="117"/>
      <c r="WSG9" s="117"/>
      <c r="WSH9" s="117"/>
      <c r="WSI9" s="117"/>
      <c r="WSJ9" s="117"/>
      <c r="WSK9" s="117"/>
      <c r="WSL9" s="117"/>
      <c r="WSM9" s="117"/>
      <c r="WSN9" s="117"/>
      <c r="WSO9" s="117"/>
      <c r="WSP9" s="117"/>
      <c r="WSQ9" s="117"/>
      <c r="WSR9" s="117"/>
      <c r="WSS9" s="117"/>
      <c r="WST9" s="117"/>
      <c r="WSU9" s="117"/>
      <c r="WSV9" s="117"/>
      <c r="WSW9" s="117"/>
      <c r="WSX9" s="117"/>
      <c r="WSY9" s="117"/>
      <c r="WSZ9" s="117"/>
      <c r="WTA9" s="117"/>
      <c r="WTB9" s="117"/>
      <c r="WTC9" s="117"/>
      <c r="WTD9" s="117"/>
      <c r="WTE9" s="117"/>
      <c r="WTF9" s="117"/>
      <c r="WTG9" s="117"/>
      <c r="WTH9" s="117"/>
      <c r="WTI9" s="117"/>
      <c r="WTJ9" s="117"/>
      <c r="WTK9" s="117"/>
      <c r="WTL9" s="117"/>
      <c r="WTM9" s="117"/>
      <c r="WTN9" s="117"/>
      <c r="WTO9" s="117"/>
      <c r="WTP9" s="117"/>
      <c r="WTQ9" s="117"/>
      <c r="WTR9" s="117"/>
      <c r="WTS9" s="117"/>
      <c r="WTT9" s="117"/>
      <c r="WTU9" s="117"/>
      <c r="WTV9" s="117"/>
      <c r="WTW9" s="117"/>
      <c r="WTX9" s="117"/>
      <c r="WTY9" s="117"/>
      <c r="WTZ9" s="117"/>
      <c r="WUA9" s="117"/>
      <c r="WUB9" s="117"/>
      <c r="WUC9" s="117"/>
      <c r="WUD9" s="117"/>
      <c r="WUE9" s="117"/>
      <c r="WUF9" s="117"/>
      <c r="WUG9" s="117"/>
      <c r="WUH9" s="117"/>
      <c r="WUI9" s="117"/>
      <c r="WUJ9" s="117"/>
      <c r="WUK9" s="117"/>
      <c r="WUL9" s="117"/>
      <c r="WUM9" s="117"/>
      <c r="WUN9" s="117"/>
      <c r="WUO9" s="117"/>
      <c r="WUP9" s="117"/>
      <c r="WUQ9" s="117"/>
      <c r="WUR9" s="117"/>
      <c r="WUS9" s="117"/>
      <c r="WUT9" s="117"/>
      <c r="WUU9" s="117"/>
      <c r="WUV9" s="117"/>
      <c r="WUW9" s="117"/>
      <c r="WUX9" s="117"/>
      <c r="WUY9" s="117"/>
      <c r="WUZ9" s="117"/>
      <c r="WVA9" s="117"/>
      <c r="WVB9" s="117"/>
      <c r="WVC9" s="117"/>
      <c r="WVD9" s="117"/>
      <c r="WVE9" s="117"/>
      <c r="WVF9" s="117"/>
      <c r="WVG9" s="117"/>
      <c r="WVH9" s="117"/>
      <c r="WVI9" s="117"/>
      <c r="WVJ9" s="117"/>
      <c r="WVK9" s="117"/>
      <c r="WVL9" s="117"/>
      <c r="WVM9" s="117"/>
      <c r="WVN9" s="117"/>
      <c r="WVO9" s="117"/>
      <c r="WVP9" s="117"/>
      <c r="WVQ9" s="117"/>
      <c r="WVR9" s="117"/>
      <c r="WVS9" s="117"/>
      <c r="WVT9" s="117"/>
      <c r="WVU9" s="117"/>
      <c r="WVV9" s="117"/>
      <c r="WVW9" s="117"/>
      <c r="WVX9" s="117"/>
      <c r="WVY9" s="117"/>
      <c r="WVZ9" s="117"/>
      <c r="WWA9" s="117"/>
      <c r="WWB9" s="117"/>
      <c r="WWC9" s="117"/>
      <c r="WWD9" s="117"/>
      <c r="WWE9" s="117"/>
      <c r="WWF9" s="117"/>
      <c r="WWG9" s="117"/>
      <c r="WWH9" s="117"/>
      <c r="WWI9" s="117"/>
      <c r="WWJ9" s="117"/>
      <c r="WWK9" s="117"/>
      <c r="WWL9" s="117"/>
      <c r="WWM9" s="117"/>
      <c r="WWN9" s="117"/>
      <c r="WWO9" s="117"/>
      <c r="WWP9" s="117"/>
      <c r="WWQ9" s="117"/>
      <c r="WWR9" s="117"/>
      <c r="WWS9" s="117"/>
      <c r="WWT9" s="117"/>
      <c r="WWU9" s="117"/>
      <c r="WWV9" s="117"/>
      <c r="WWW9" s="117"/>
      <c r="WWX9" s="117"/>
      <c r="WWY9" s="117"/>
      <c r="WWZ9" s="117"/>
      <c r="WXA9" s="117"/>
      <c r="WXB9" s="117"/>
      <c r="WXC9" s="117"/>
      <c r="WXD9" s="117"/>
      <c r="WXE9" s="117"/>
      <c r="WXF9" s="117"/>
      <c r="WXG9" s="117"/>
      <c r="WXH9" s="117"/>
      <c r="WXI9" s="117"/>
      <c r="WXJ9" s="117"/>
      <c r="WXK9" s="117"/>
      <c r="WXL9" s="117"/>
      <c r="WXM9" s="117"/>
      <c r="WXN9" s="117"/>
      <c r="WXO9" s="117"/>
      <c r="WXP9" s="117"/>
      <c r="WXQ9" s="117"/>
      <c r="WXR9" s="117"/>
      <c r="WXS9" s="117"/>
      <c r="WXT9" s="117"/>
      <c r="WXU9" s="117"/>
      <c r="WXV9" s="117"/>
      <c r="WXW9" s="117"/>
      <c r="WXX9" s="117"/>
      <c r="WXY9" s="117"/>
      <c r="WXZ9" s="117"/>
      <c r="WYA9" s="117"/>
      <c r="WYB9" s="117"/>
      <c r="WYC9" s="117"/>
      <c r="WYD9" s="117"/>
      <c r="WYE9" s="117"/>
      <c r="WYF9" s="117"/>
      <c r="WYG9" s="117"/>
      <c r="WYH9" s="117"/>
      <c r="WYI9" s="117"/>
      <c r="WYJ9" s="117"/>
      <c r="WYK9" s="117"/>
      <c r="WYL9" s="117"/>
      <c r="WYM9" s="117"/>
      <c r="WYN9" s="117"/>
      <c r="WYO9" s="117"/>
      <c r="WYP9" s="117"/>
      <c r="WYQ9" s="117"/>
      <c r="WYR9" s="117"/>
      <c r="WYS9" s="117"/>
      <c r="WYT9" s="117"/>
      <c r="WYU9" s="117"/>
      <c r="WYV9" s="117"/>
      <c r="WYW9" s="117"/>
      <c r="WYX9" s="117"/>
      <c r="WYY9" s="117"/>
      <c r="WYZ9" s="117"/>
      <c r="WZA9" s="117"/>
      <c r="WZB9" s="117"/>
      <c r="WZC9" s="117"/>
      <c r="WZD9" s="117"/>
      <c r="WZE9" s="117"/>
      <c r="WZF9" s="117"/>
      <c r="WZG9" s="117"/>
      <c r="WZH9" s="117"/>
      <c r="WZI9" s="117"/>
      <c r="WZJ9" s="117"/>
      <c r="WZK9" s="117"/>
      <c r="WZL9" s="117"/>
      <c r="WZM9" s="117"/>
      <c r="WZN9" s="117"/>
      <c r="WZO9" s="117"/>
      <c r="WZP9" s="117"/>
      <c r="WZQ9" s="117"/>
      <c r="WZR9" s="117"/>
      <c r="WZS9" s="117"/>
      <c r="WZT9" s="117"/>
      <c r="WZU9" s="117"/>
      <c r="WZV9" s="117"/>
      <c r="WZW9" s="117"/>
      <c r="WZX9" s="117"/>
      <c r="WZY9" s="117"/>
      <c r="WZZ9" s="117"/>
      <c r="XAA9" s="117"/>
      <c r="XAB9" s="117"/>
      <c r="XAC9" s="117"/>
      <c r="XAD9" s="117"/>
      <c r="XAE9" s="117"/>
      <c r="XAF9" s="117"/>
      <c r="XAG9" s="117"/>
      <c r="XAH9" s="117"/>
      <c r="XAI9" s="117"/>
      <c r="XAJ9" s="117"/>
      <c r="XAK9" s="117"/>
      <c r="XAL9" s="117"/>
      <c r="XAM9" s="117"/>
      <c r="XAN9" s="117"/>
      <c r="XAO9" s="117"/>
      <c r="XAP9" s="117"/>
      <c r="XAQ9" s="117"/>
      <c r="XAR9" s="117"/>
      <c r="XAS9" s="117"/>
      <c r="XAT9" s="117"/>
      <c r="XAU9" s="117"/>
      <c r="XAV9" s="117"/>
      <c r="XAW9" s="117"/>
      <c r="XAX9" s="117"/>
      <c r="XAY9" s="117"/>
      <c r="XAZ9" s="117"/>
      <c r="XBA9" s="117"/>
      <c r="XBB9" s="117"/>
      <c r="XBC9" s="117"/>
      <c r="XBD9" s="117"/>
      <c r="XBE9" s="117"/>
      <c r="XBF9" s="117"/>
      <c r="XBG9" s="117"/>
      <c r="XBH9" s="117"/>
      <c r="XBI9" s="117"/>
      <c r="XBJ9" s="117"/>
      <c r="XBK9" s="117"/>
      <c r="XBL9" s="117"/>
      <c r="XBM9" s="117"/>
      <c r="XBN9" s="117"/>
      <c r="XBO9" s="117"/>
      <c r="XBP9" s="117"/>
      <c r="XBQ9" s="117"/>
      <c r="XBR9" s="117"/>
      <c r="XBS9" s="117"/>
      <c r="XBT9" s="117"/>
      <c r="XBU9" s="117"/>
      <c r="XBV9" s="117"/>
      <c r="XBW9" s="117"/>
      <c r="XBX9" s="117"/>
      <c r="XBY9" s="117"/>
      <c r="XBZ9" s="117"/>
      <c r="XCA9" s="117"/>
      <c r="XCB9" s="117"/>
      <c r="XCC9" s="117"/>
      <c r="XCD9" s="117"/>
      <c r="XCE9" s="117"/>
      <c r="XCF9" s="117"/>
      <c r="XCG9" s="117"/>
      <c r="XCH9" s="117"/>
      <c r="XCI9" s="117"/>
      <c r="XCJ9" s="117"/>
      <c r="XCK9" s="117"/>
      <c r="XCL9" s="117"/>
      <c r="XCM9" s="117"/>
      <c r="XCN9" s="117"/>
      <c r="XCO9" s="117"/>
      <c r="XCP9" s="117"/>
      <c r="XCQ9" s="117"/>
      <c r="XCR9" s="117"/>
      <c r="XCS9" s="117"/>
      <c r="XCT9" s="117"/>
      <c r="XCU9" s="117"/>
      <c r="XCV9" s="117"/>
      <c r="XCW9" s="117"/>
      <c r="XCX9" s="117"/>
      <c r="XCY9" s="117"/>
      <c r="XCZ9" s="117"/>
      <c r="XDA9" s="117"/>
      <c r="XDB9" s="117"/>
      <c r="XDC9" s="117"/>
      <c r="XDD9" s="117"/>
      <c r="XDE9" s="117"/>
      <c r="XDF9" s="117"/>
      <c r="XDG9" s="117"/>
      <c r="XDH9" s="117"/>
      <c r="XDI9" s="117"/>
      <c r="XDJ9" s="117"/>
      <c r="XDK9" s="117"/>
      <c r="XDL9" s="117"/>
      <c r="XDM9" s="117"/>
      <c r="XDN9" s="117"/>
      <c r="XDO9" s="117"/>
      <c r="XDP9" s="117"/>
      <c r="XDQ9" s="117"/>
      <c r="XDR9" s="117"/>
      <c r="XDS9" s="117"/>
      <c r="XDT9" s="117"/>
      <c r="XDU9" s="117"/>
      <c r="XDV9" s="117"/>
      <c r="XDW9" s="117"/>
      <c r="XDX9" s="117"/>
      <c r="XDY9" s="117"/>
      <c r="XDZ9" s="117"/>
      <c r="XEA9" s="117"/>
      <c r="XEB9" s="117"/>
      <c r="XEC9" s="117"/>
      <c r="XED9" s="117"/>
      <c r="XEE9" s="117"/>
      <c r="XEF9" s="117"/>
      <c r="XEG9" s="117"/>
      <c r="XEH9" s="117"/>
      <c r="XEI9" s="117"/>
      <c r="XEJ9" s="117"/>
      <c r="XEK9" s="117"/>
      <c r="XEL9" s="117"/>
      <c r="XEM9" s="117"/>
      <c r="XEN9" s="117"/>
      <c r="XEO9" s="117"/>
      <c r="XEP9" s="117"/>
      <c r="XEQ9" s="117"/>
      <c r="XER9" s="117"/>
      <c r="XES9" s="117"/>
      <c r="XET9" s="117"/>
      <c r="XEU9" s="117"/>
      <c r="XEV9" s="117"/>
      <c r="XEW9" s="117"/>
      <c r="XEX9" s="117"/>
      <c r="XEY9" s="117"/>
      <c r="XEZ9" s="117"/>
      <c r="XFA9" s="117"/>
      <c r="XFB9" s="117"/>
      <c r="XFC9" s="117"/>
      <c r="XFD9" s="117"/>
    </row>
    <row r="10" spans="1:16384" ht="51" x14ac:dyDescent="0.25">
      <c r="A10" s="348">
        <v>9</v>
      </c>
      <c r="B10" s="349" t="s">
        <v>2047</v>
      </c>
      <c r="C10" s="348" t="s">
        <v>188</v>
      </c>
      <c r="D10" s="350" t="s">
        <v>2048</v>
      </c>
      <c r="E10" s="351"/>
      <c r="F10" s="352"/>
      <c r="G10" s="352" t="s">
        <v>817</v>
      </c>
      <c r="H10" s="352">
        <v>3</v>
      </c>
      <c r="I10" s="352">
        <f>3*2*24</f>
        <v>144</v>
      </c>
      <c r="J10" s="353">
        <f>I10*3</f>
        <v>432</v>
      </c>
      <c r="K10" s="352">
        <f>3*8*32</f>
        <v>768</v>
      </c>
      <c r="L10" s="352">
        <f>3*2*19200</f>
        <v>115200</v>
      </c>
      <c r="M10" s="354"/>
      <c r="N10" s="352"/>
      <c r="O10" s="350"/>
      <c r="P10" s="350"/>
      <c r="Q10" s="355" t="s">
        <v>2035</v>
      </c>
      <c r="R10" s="356"/>
      <c r="S10" s="349" t="s">
        <v>2049</v>
      </c>
    </row>
    <row r="11" spans="1:16384" ht="15.75" x14ac:dyDescent="0.25">
      <c r="A11" s="513" t="s">
        <v>2050</v>
      </c>
      <c r="B11" s="513"/>
      <c r="C11" s="513"/>
      <c r="D11" s="513"/>
      <c r="E11" s="513"/>
      <c r="F11" s="513"/>
      <c r="G11" s="513"/>
      <c r="H11" s="513"/>
      <c r="I11" s="513"/>
      <c r="J11" s="513"/>
      <c r="K11" s="513"/>
      <c r="L11" s="513"/>
      <c r="M11" s="513"/>
      <c r="N11" s="513"/>
      <c r="O11" s="513"/>
      <c r="P11" s="513"/>
      <c r="Q11" s="513"/>
      <c r="R11" s="513"/>
      <c r="S11" s="513"/>
    </row>
    <row r="12" spans="1:16384" ht="25.5" x14ac:dyDescent="0.25">
      <c r="A12" s="357">
        <v>1</v>
      </c>
      <c r="B12" s="358" t="s">
        <v>2051</v>
      </c>
      <c r="C12" s="357" t="s">
        <v>1311</v>
      </c>
      <c r="D12" s="359" t="s">
        <v>1312</v>
      </c>
      <c r="E12" s="360" t="s">
        <v>44</v>
      </c>
      <c r="F12" s="361"/>
      <c r="G12" s="361" t="s">
        <v>818</v>
      </c>
      <c r="H12" s="361">
        <v>1</v>
      </c>
      <c r="I12" s="361">
        <v>32</v>
      </c>
      <c r="J12" s="361">
        <v>96</v>
      </c>
      <c r="K12" s="361">
        <v>96</v>
      </c>
      <c r="L12" s="361">
        <v>8192</v>
      </c>
      <c r="M12" s="362"/>
      <c r="N12" s="361"/>
      <c r="O12" s="359"/>
      <c r="P12" s="359"/>
      <c r="Q12" s="361" t="s">
        <v>2052</v>
      </c>
      <c r="R12" s="357">
        <v>2022</v>
      </c>
      <c r="S12" s="358" t="s">
        <v>2053</v>
      </c>
    </row>
    <row r="13" spans="1:16384" ht="25.5" x14ac:dyDescent="0.25">
      <c r="A13" s="357">
        <v>2</v>
      </c>
      <c r="B13" s="358" t="s">
        <v>2054</v>
      </c>
      <c r="C13" s="357" t="s">
        <v>188</v>
      </c>
      <c r="D13" s="359" t="s">
        <v>432</v>
      </c>
      <c r="E13" s="360" t="s">
        <v>126</v>
      </c>
      <c r="F13" s="361"/>
      <c r="G13" s="361" t="s">
        <v>818</v>
      </c>
      <c r="H13" s="361">
        <v>3</v>
      </c>
      <c r="I13" s="110">
        <v>278</v>
      </c>
      <c r="J13" s="110">
        <v>834</v>
      </c>
      <c r="K13" s="110">
        <v>768</v>
      </c>
      <c r="L13" s="110">
        <v>43300</v>
      </c>
      <c r="M13" s="362"/>
      <c r="N13" s="361"/>
      <c r="O13" s="359"/>
      <c r="P13" s="359"/>
      <c r="Q13" s="361" t="s">
        <v>2052</v>
      </c>
      <c r="R13" s="357">
        <v>2022</v>
      </c>
      <c r="S13" s="358" t="s">
        <v>2055</v>
      </c>
    </row>
    <row r="14" spans="1:16384" x14ac:dyDescent="0.25">
      <c r="A14" s="357"/>
      <c r="B14" s="358"/>
      <c r="C14" s="357"/>
      <c r="D14" s="359"/>
      <c r="E14" s="360"/>
      <c r="F14" s="361"/>
      <c r="G14" s="361"/>
      <c r="H14" s="361"/>
      <c r="I14" s="361"/>
      <c r="J14" s="361"/>
      <c r="K14" s="361"/>
      <c r="L14" s="361"/>
      <c r="M14" s="362"/>
      <c r="N14" s="361"/>
      <c r="O14" s="359"/>
      <c r="P14" s="359"/>
      <c r="Q14" s="361"/>
      <c r="R14" s="357"/>
      <c r="S14" s="358"/>
    </row>
    <row r="15" spans="1:16384" x14ac:dyDescent="0.25">
      <c r="A15" s="357"/>
      <c r="B15" s="358"/>
      <c r="C15" s="357"/>
      <c r="D15" s="359"/>
      <c r="E15" s="360"/>
      <c r="F15" s="361"/>
      <c r="G15" s="361"/>
      <c r="H15" s="361"/>
      <c r="I15" s="361"/>
      <c r="J15" s="361"/>
      <c r="K15" s="361"/>
      <c r="L15" s="361"/>
      <c r="M15" s="362"/>
      <c r="N15" s="361"/>
      <c r="O15" s="359"/>
      <c r="P15" s="359"/>
      <c r="Q15" s="361"/>
      <c r="R15" s="357"/>
      <c r="S15" s="358"/>
    </row>
    <row r="16" spans="1:16384" x14ac:dyDescent="0.25">
      <c r="A16" s="357"/>
      <c r="B16" s="358"/>
      <c r="C16" s="357"/>
      <c r="D16" s="359"/>
      <c r="E16" s="360"/>
      <c r="F16" s="361"/>
      <c r="G16" s="361"/>
      <c r="H16" s="361"/>
      <c r="I16" s="361"/>
      <c r="J16" s="361"/>
      <c r="K16" s="361"/>
      <c r="L16" s="361"/>
      <c r="M16" s="362"/>
      <c r="N16" s="361"/>
      <c r="O16" s="359"/>
      <c r="P16" s="359"/>
      <c r="Q16" s="361"/>
      <c r="R16" s="357"/>
      <c r="S16" s="358"/>
    </row>
    <row r="22" spans="21:22" x14ac:dyDescent="0.25">
      <c r="U22" s="363" t="s">
        <v>2056</v>
      </c>
      <c r="V22" s="363">
        <f>SUMIF($R$2:$R$217,"=2022",L2:L217)</f>
        <v>51492</v>
      </c>
    </row>
    <row r="23" spans="21:22" x14ac:dyDescent="0.25">
      <c r="U23" s="363" t="s">
        <v>2057</v>
      </c>
      <c r="V23" s="363">
        <f>SUMIF($R$2:$R$217,"=2022",O3:O218)</f>
        <v>0</v>
      </c>
    </row>
    <row r="24" spans="21:22" x14ac:dyDescent="0.25">
      <c r="U24" s="363" t="s">
        <v>2058</v>
      </c>
      <c r="V24" s="363">
        <f>SUMIF($R$2:$R$217,"=2022",P3:P218)</f>
        <v>0</v>
      </c>
    </row>
  </sheetData>
  <mergeCells count="1">
    <mergeCell ref="A11:S11"/>
  </mergeCells>
  <printOptions gridLines="1" gridLinesSet="0"/>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43"/>
  <sheetViews>
    <sheetView zoomScale="70" workbookViewId="0">
      <selection activeCell="G23" sqref="G23"/>
    </sheetView>
  </sheetViews>
  <sheetFormatPr defaultColWidth="9" defaultRowHeight="15" x14ac:dyDescent="0.25"/>
  <cols>
    <col min="1" max="1" width="4.28515625" style="364" customWidth="1"/>
    <col min="2" max="2" width="19.140625" style="364" customWidth="1"/>
    <col min="3" max="3" width="9" style="364"/>
    <col min="4" max="4" width="12.5703125" style="364" customWidth="1"/>
    <col min="5" max="5" width="23.5703125" style="364" customWidth="1"/>
    <col min="6" max="6" width="26.85546875" style="364" customWidth="1"/>
    <col min="7" max="7" width="20.85546875" style="364" customWidth="1"/>
    <col min="8" max="8" width="19.7109375" style="364" customWidth="1"/>
    <col min="9" max="11" width="9" style="364"/>
    <col min="12" max="12" width="12.28515625" style="364" customWidth="1"/>
    <col min="13" max="13" width="8.28515625" style="364" customWidth="1"/>
    <col min="14" max="14" width="40.5703125" style="364" hidden="1" customWidth="1"/>
    <col min="15" max="15" width="58.42578125" style="364" hidden="1" customWidth="1"/>
    <col min="16" max="16" width="9" style="364" hidden="1" customWidth="1"/>
    <col min="17" max="17" width="15.7109375" style="364" hidden="1" customWidth="1"/>
    <col min="18" max="19" width="9" style="364" hidden="1" customWidth="1"/>
    <col min="20" max="20" width="61.7109375" style="364" hidden="1" customWidth="1"/>
    <col min="21" max="21" width="9" style="364" hidden="1" customWidth="1"/>
    <col min="22" max="23" width="15.28515625" style="364" hidden="1" customWidth="1"/>
    <col min="24" max="24" width="32.42578125" style="364" customWidth="1"/>
    <col min="25" max="1022" width="9" style="364"/>
    <col min="1023" max="1024" width="11.5703125" style="364" customWidth="1"/>
    <col min="1025" max="16384" width="9" style="364"/>
  </cols>
  <sheetData>
    <row r="1" spans="1:34" x14ac:dyDescent="0.25">
      <c r="A1" s="514" t="s">
        <v>0</v>
      </c>
      <c r="B1" s="514" t="s">
        <v>2059</v>
      </c>
      <c r="C1" s="515" t="s">
        <v>2060</v>
      </c>
      <c r="D1" s="514" t="s">
        <v>2061</v>
      </c>
      <c r="E1" s="515" t="s">
        <v>2062</v>
      </c>
      <c r="F1" s="514" t="s">
        <v>2063</v>
      </c>
      <c r="G1" s="514"/>
      <c r="H1" s="514" t="s">
        <v>2064</v>
      </c>
      <c r="I1" s="515" t="s">
        <v>2065</v>
      </c>
      <c r="J1" s="515"/>
      <c r="K1" s="515" t="s">
        <v>2066</v>
      </c>
      <c r="L1" s="515"/>
      <c r="M1" s="515"/>
      <c r="N1" s="515" t="s">
        <v>2067</v>
      </c>
      <c r="O1" s="515"/>
      <c r="P1" s="515" t="s">
        <v>2068</v>
      </c>
      <c r="Q1" s="515" t="s">
        <v>2069</v>
      </c>
      <c r="R1" s="515" t="s">
        <v>794</v>
      </c>
      <c r="S1" s="515" t="s">
        <v>2070</v>
      </c>
      <c r="T1" s="515" t="s">
        <v>2071</v>
      </c>
      <c r="U1" s="515" t="s">
        <v>2072</v>
      </c>
      <c r="V1" s="515" t="s">
        <v>2073</v>
      </c>
      <c r="W1" s="514" t="s">
        <v>13</v>
      </c>
    </row>
    <row r="2" spans="1:34" ht="25.5" x14ac:dyDescent="0.25">
      <c r="A2" s="514"/>
      <c r="B2" s="514"/>
      <c r="C2" s="514"/>
      <c r="D2" s="514"/>
      <c r="E2" s="515"/>
      <c r="F2" s="366" t="s">
        <v>2074</v>
      </c>
      <c r="G2" s="365" t="s">
        <v>2075</v>
      </c>
      <c r="H2" s="514"/>
      <c r="I2" s="365" t="s">
        <v>1485</v>
      </c>
      <c r="J2" s="365" t="s">
        <v>1805</v>
      </c>
      <c r="K2" s="366" t="s">
        <v>2076</v>
      </c>
      <c r="L2" s="366" t="s">
        <v>2077</v>
      </c>
      <c r="M2" s="366" t="s">
        <v>1807</v>
      </c>
      <c r="N2" s="366" t="s">
        <v>2078</v>
      </c>
      <c r="O2" s="366" t="s">
        <v>2079</v>
      </c>
      <c r="P2" s="515"/>
      <c r="Q2" s="515"/>
      <c r="R2" s="515"/>
      <c r="S2" s="515"/>
      <c r="T2" s="515"/>
      <c r="U2" s="515"/>
      <c r="V2" s="515"/>
      <c r="W2" s="514"/>
    </row>
    <row r="3" spans="1:34" ht="58.35" customHeight="1" x14ac:dyDescent="0.25">
      <c r="A3" s="62">
        <v>1</v>
      </c>
      <c r="B3" s="367" t="s">
        <v>2080</v>
      </c>
      <c r="C3" s="77" t="s">
        <v>2081</v>
      </c>
      <c r="D3" s="77" t="s">
        <v>2082</v>
      </c>
      <c r="E3" s="77" t="s">
        <v>2083</v>
      </c>
      <c r="F3" s="368" t="s">
        <v>2084</v>
      </c>
      <c r="G3" s="77" t="s">
        <v>2085</v>
      </c>
      <c r="H3" s="369" t="s">
        <v>2086</v>
      </c>
      <c r="I3" s="77">
        <v>14</v>
      </c>
      <c r="J3" s="62">
        <v>54</v>
      </c>
      <c r="K3" s="368">
        <v>60</v>
      </c>
      <c r="L3" s="370" t="s">
        <v>2087</v>
      </c>
      <c r="M3" s="368"/>
      <c r="N3" s="369" t="s">
        <v>2088</v>
      </c>
      <c r="O3" s="369" t="s">
        <v>2089</v>
      </c>
      <c r="P3" s="371">
        <v>1</v>
      </c>
      <c r="Q3" s="371" t="s">
        <v>2090</v>
      </c>
      <c r="R3" s="369" t="s">
        <v>2091</v>
      </c>
      <c r="S3" s="372" t="s">
        <v>2092</v>
      </c>
      <c r="T3" s="369" t="s">
        <v>2093</v>
      </c>
      <c r="U3" s="373"/>
      <c r="V3" s="374" t="s">
        <v>2094</v>
      </c>
      <c r="W3" s="375" t="s">
        <v>2095</v>
      </c>
      <c r="X3" s="188" t="s">
        <v>2096</v>
      </c>
    </row>
    <row r="4" spans="1:34" ht="58.35" customHeight="1" x14ac:dyDescent="0.25">
      <c r="A4" s="62">
        <v>2</v>
      </c>
      <c r="B4" s="367" t="s">
        <v>2080</v>
      </c>
      <c r="C4" s="77" t="s">
        <v>2081</v>
      </c>
      <c r="D4" s="77" t="s">
        <v>2082</v>
      </c>
      <c r="E4" s="77" t="s">
        <v>2097</v>
      </c>
      <c r="F4" s="368" t="s">
        <v>2098</v>
      </c>
      <c r="G4" s="77" t="s">
        <v>2099</v>
      </c>
      <c r="H4" s="369" t="s">
        <v>2086</v>
      </c>
      <c r="I4" s="77">
        <v>14</v>
      </c>
      <c r="J4" s="62">
        <v>54</v>
      </c>
      <c r="K4" s="368">
        <v>60</v>
      </c>
      <c r="L4" s="370" t="s">
        <v>2087</v>
      </c>
      <c r="M4" s="368"/>
      <c r="N4" s="369" t="s">
        <v>2088</v>
      </c>
      <c r="O4" s="369" t="s">
        <v>2100</v>
      </c>
      <c r="P4" s="371">
        <v>1</v>
      </c>
      <c r="Q4" s="371" t="s">
        <v>2090</v>
      </c>
      <c r="R4" s="369" t="s">
        <v>2091</v>
      </c>
      <c r="S4" s="372" t="s">
        <v>2092</v>
      </c>
      <c r="T4" s="369" t="s">
        <v>2093</v>
      </c>
      <c r="U4" s="373"/>
      <c r="V4" s="374" t="s">
        <v>2094</v>
      </c>
      <c r="W4" s="375" t="s">
        <v>2095</v>
      </c>
      <c r="X4" s="188" t="s">
        <v>2096</v>
      </c>
      <c r="AH4" s="77"/>
    </row>
    <row r="5" spans="1:34" ht="58.35" customHeight="1" x14ac:dyDescent="0.25">
      <c r="A5" s="62">
        <v>3</v>
      </c>
      <c r="B5" s="367" t="s">
        <v>2080</v>
      </c>
      <c r="C5" s="77" t="s">
        <v>2081</v>
      </c>
      <c r="D5" s="77" t="s">
        <v>2082</v>
      </c>
      <c r="E5" s="77" t="s">
        <v>2101</v>
      </c>
      <c r="F5" s="368" t="s">
        <v>2102</v>
      </c>
      <c r="G5" s="77" t="s">
        <v>2103</v>
      </c>
      <c r="H5" s="369" t="s">
        <v>2086</v>
      </c>
      <c r="I5" s="77">
        <v>14</v>
      </c>
      <c r="J5" s="62">
        <v>54</v>
      </c>
      <c r="K5" s="368">
        <v>60</v>
      </c>
      <c r="L5" s="370" t="s">
        <v>2087</v>
      </c>
      <c r="M5" s="368"/>
      <c r="N5" s="369" t="s">
        <v>2088</v>
      </c>
      <c r="O5" s="369" t="s">
        <v>2089</v>
      </c>
      <c r="P5" s="371">
        <v>1</v>
      </c>
      <c r="Q5" s="371" t="s">
        <v>2090</v>
      </c>
      <c r="R5" s="369" t="s">
        <v>2091</v>
      </c>
      <c r="S5" s="372" t="s">
        <v>2092</v>
      </c>
      <c r="T5" s="369" t="s">
        <v>2093</v>
      </c>
      <c r="U5" s="373"/>
      <c r="V5" s="374" t="s">
        <v>2094</v>
      </c>
      <c r="W5" s="375" t="s">
        <v>2095</v>
      </c>
      <c r="X5" s="188" t="s">
        <v>2096</v>
      </c>
    </row>
    <row r="6" spans="1:34" ht="58.35" customHeight="1" x14ac:dyDescent="0.25">
      <c r="A6" s="62">
        <v>4</v>
      </c>
      <c r="B6" s="367" t="s">
        <v>2080</v>
      </c>
      <c r="C6" s="77" t="s">
        <v>2081</v>
      </c>
      <c r="D6" s="77" t="s">
        <v>2082</v>
      </c>
      <c r="E6" s="77" t="s">
        <v>2104</v>
      </c>
      <c r="F6" s="368" t="s">
        <v>2105</v>
      </c>
      <c r="G6" s="77" t="s">
        <v>2106</v>
      </c>
      <c r="H6" s="369" t="s">
        <v>2086</v>
      </c>
      <c r="I6" s="77">
        <v>14</v>
      </c>
      <c r="J6" s="62">
        <v>54</v>
      </c>
      <c r="K6" s="368">
        <v>60</v>
      </c>
      <c r="L6" s="370" t="s">
        <v>2087</v>
      </c>
      <c r="M6" s="368"/>
      <c r="N6" s="369" t="s">
        <v>2088</v>
      </c>
      <c r="O6" s="369" t="s">
        <v>2100</v>
      </c>
      <c r="P6" s="371">
        <v>1</v>
      </c>
      <c r="Q6" s="371" t="s">
        <v>2090</v>
      </c>
      <c r="R6" s="369" t="s">
        <v>2091</v>
      </c>
      <c r="S6" s="372" t="s">
        <v>2092</v>
      </c>
      <c r="T6" s="369" t="s">
        <v>2093</v>
      </c>
      <c r="U6" s="373"/>
      <c r="V6" s="374" t="s">
        <v>2094</v>
      </c>
      <c r="W6" s="375" t="s">
        <v>2095</v>
      </c>
      <c r="X6" s="188" t="s">
        <v>2096</v>
      </c>
      <c r="AH6" s="77"/>
    </row>
    <row r="7" spans="1:34" ht="69.75" customHeight="1" x14ac:dyDescent="0.25">
      <c r="A7" s="62">
        <v>5</v>
      </c>
      <c r="B7" s="367" t="s">
        <v>2080</v>
      </c>
      <c r="C7" s="77" t="s">
        <v>2081</v>
      </c>
      <c r="D7" s="77" t="s">
        <v>2082</v>
      </c>
      <c r="E7" s="77" t="s">
        <v>2107</v>
      </c>
      <c r="F7" s="368" t="s">
        <v>2108</v>
      </c>
      <c r="G7" s="77" t="s">
        <v>2109</v>
      </c>
      <c r="H7" s="369" t="s">
        <v>2086</v>
      </c>
      <c r="I7" s="77">
        <v>14</v>
      </c>
      <c r="J7" s="62">
        <v>54</v>
      </c>
      <c r="K7" s="368">
        <v>60</v>
      </c>
      <c r="L7" s="370" t="s">
        <v>2087</v>
      </c>
      <c r="M7" s="367"/>
      <c r="N7" s="369" t="s">
        <v>2088</v>
      </c>
      <c r="O7" s="369" t="s">
        <v>2089</v>
      </c>
      <c r="P7" s="371">
        <v>1</v>
      </c>
      <c r="Q7" s="371" t="s">
        <v>2090</v>
      </c>
      <c r="R7" s="369" t="s">
        <v>2091</v>
      </c>
      <c r="S7" s="372" t="s">
        <v>2092</v>
      </c>
      <c r="T7" s="369" t="s">
        <v>2093</v>
      </c>
      <c r="U7" s="373"/>
      <c r="V7" s="374" t="s">
        <v>2094</v>
      </c>
      <c r="W7" s="375" t="s">
        <v>2095</v>
      </c>
      <c r="X7" s="188" t="s">
        <v>2096</v>
      </c>
    </row>
    <row r="8" spans="1:34" ht="41.25" customHeight="1" x14ac:dyDescent="0.25">
      <c r="A8" s="62">
        <v>6</v>
      </c>
      <c r="B8" s="367" t="s">
        <v>2080</v>
      </c>
      <c r="C8" s="77" t="s">
        <v>2081</v>
      </c>
      <c r="D8" s="77" t="s">
        <v>2082</v>
      </c>
      <c r="E8" s="77" t="s">
        <v>2110</v>
      </c>
      <c r="F8" s="368" t="s">
        <v>2111</v>
      </c>
      <c r="G8" s="77" t="s">
        <v>2112</v>
      </c>
      <c r="H8" s="369" t="s">
        <v>2086</v>
      </c>
      <c r="I8" s="77">
        <v>14</v>
      </c>
      <c r="J8" s="62">
        <v>54</v>
      </c>
      <c r="K8" s="368">
        <v>60</v>
      </c>
      <c r="L8" s="370" t="s">
        <v>2087</v>
      </c>
      <c r="M8" s="367"/>
      <c r="N8" s="369" t="s">
        <v>2088</v>
      </c>
      <c r="O8" s="369" t="s">
        <v>2100</v>
      </c>
      <c r="P8" s="371">
        <v>1</v>
      </c>
      <c r="Q8" s="371" t="s">
        <v>2090</v>
      </c>
      <c r="R8" s="369" t="s">
        <v>2091</v>
      </c>
      <c r="S8" s="372" t="s">
        <v>2092</v>
      </c>
      <c r="T8" s="369" t="s">
        <v>2093</v>
      </c>
      <c r="U8" s="373"/>
      <c r="V8" s="374" t="s">
        <v>2094</v>
      </c>
      <c r="W8" s="375" t="s">
        <v>2095</v>
      </c>
      <c r="X8" s="188" t="s">
        <v>2096</v>
      </c>
    </row>
    <row r="9" spans="1:34" ht="45.75" customHeight="1" x14ac:dyDescent="0.25">
      <c r="A9" s="62">
        <v>7</v>
      </c>
      <c r="B9" s="367" t="s">
        <v>2080</v>
      </c>
      <c r="C9" s="77" t="s">
        <v>2081</v>
      </c>
      <c r="D9" s="77" t="s">
        <v>2113</v>
      </c>
      <c r="E9" s="77" t="s">
        <v>2114</v>
      </c>
      <c r="F9" s="368" t="s">
        <v>2115</v>
      </c>
      <c r="G9" s="77" t="s">
        <v>2116</v>
      </c>
      <c r="H9" s="369" t="s">
        <v>2086</v>
      </c>
      <c r="I9" s="77">
        <v>40</v>
      </c>
      <c r="J9" s="62">
        <v>26</v>
      </c>
      <c r="K9" s="368">
        <v>60</v>
      </c>
      <c r="L9" s="370" t="s">
        <v>2087</v>
      </c>
      <c r="M9" s="367">
        <v>5000</v>
      </c>
      <c r="N9" s="369" t="s">
        <v>2088</v>
      </c>
      <c r="O9" s="369" t="s">
        <v>2089</v>
      </c>
      <c r="P9" s="371">
        <v>1</v>
      </c>
      <c r="Q9" s="371" t="s">
        <v>2090</v>
      </c>
      <c r="R9" s="369" t="s">
        <v>2091</v>
      </c>
      <c r="S9" s="372" t="s">
        <v>2092</v>
      </c>
      <c r="T9" s="369" t="s">
        <v>2093</v>
      </c>
      <c r="U9" s="373"/>
      <c r="V9" s="374" t="s">
        <v>2094</v>
      </c>
      <c r="W9" s="375" t="s">
        <v>2095</v>
      </c>
      <c r="X9" s="188" t="s">
        <v>2096</v>
      </c>
    </row>
    <row r="10" spans="1:34" ht="71.25" customHeight="1" x14ac:dyDescent="0.25">
      <c r="A10" s="62">
        <v>8</v>
      </c>
      <c r="B10" s="367" t="s">
        <v>2080</v>
      </c>
      <c r="C10" s="77" t="s">
        <v>2081</v>
      </c>
      <c r="D10" s="77" t="s">
        <v>2113</v>
      </c>
      <c r="E10" s="77" t="s">
        <v>2117</v>
      </c>
      <c r="F10" s="368" t="s">
        <v>2118</v>
      </c>
      <c r="G10" s="77" t="s">
        <v>2119</v>
      </c>
      <c r="H10" s="369" t="s">
        <v>2086</v>
      </c>
      <c r="I10" s="77">
        <v>40</v>
      </c>
      <c r="J10" s="62">
        <v>26</v>
      </c>
      <c r="K10" s="368">
        <v>60</v>
      </c>
      <c r="L10" s="370" t="s">
        <v>2087</v>
      </c>
      <c r="M10" s="367">
        <v>5000</v>
      </c>
      <c r="N10" s="369" t="s">
        <v>2088</v>
      </c>
      <c r="O10" s="369" t="s">
        <v>2100</v>
      </c>
      <c r="P10" s="371">
        <v>1</v>
      </c>
      <c r="Q10" s="371" t="s">
        <v>2090</v>
      </c>
      <c r="R10" s="369" t="s">
        <v>2091</v>
      </c>
      <c r="S10" s="372" t="s">
        <v>2092</v>
      </c>
      <c r="T10" s="369" t="s">
        <v>2093</v>
      </c>
      <c r="U10" s="373"/>
      <c r="V10" s="374" t="s">
        <v>2094</v>
      </c>
      <c r="W10" s="375" t="s">
        <v>2095</v>
      </c>
      <c r="X10" s="188" t="s">
        <v>2096</v>
      </c>
    </row>
    <row r="11" spans="1:34" ht="60" customHeight="1" x14ac:dyDescent="0.25">
      <c r="A11" s="62">
        <v>9</v>
      </c>
      <c r="B11" s="367" t="s">
        <v>2080</v>
      </c>
      <c r="C11" s="77" t="s">
        <v>2081</v>
      </c>
      <c r="D11" s="77" t="s">
        <v>2113</v>
      </c>
      <c r="E11" s="77" t="s">
        <v>2120</v>
      </c>
      <c r="F11" s="368" t="s">
        <v>2121</v>
      </c>
      <c r="G11" s="77" t="s">
        <v>2122</v>
      </c>
      <c r="H11" s="369" t="s">
        <v>2086</v>
      </c>
      <c r="I11" s="77">
        <v>40</v>
      </c>
      <c r="J11" s="62">
        <v>26</v>
      </c>
      <c r="K11" s="368">
        <v>60</v>
      </c>
      <c r="L11" s="370" t="s">
        <v>2087</v>
      </c>
      <c r="M11" s="367">
        <v>5000</v>
      </c>
      <c r="N11" s="369" t="s">
        <v>2088</v>
      </c>
      <c r="O11" s="369" t="s">
        <v>2089</v>
      </c>
      <c r="P11" s="371">
        <v>1</v>
      </c>
      <c r="Q11" s="371" t="s">
        <v>2090</v>
      </c>
      <c r="R11" s="369" t="s">
        <v>2091</v>
      </c>
      <c r="S11" s="372" t="s">
        <v>2092</v>
      </c>
      <c r="T11" s="369" t="s">
        <v>2093</v>
      </c>
      <c r="U11" s="373"/>
      <c r="V11" s="374" t="s">
        <v>2094</v>
      </c>
      <c r="W11" s="375" t="s">
        <v>2095</v>
      </c>
      <c r="X11" s="188" t="s">
        <v>2096</v>
      </c>
    </row>
    <row r="12" spans="1:34" ht="45" customHeight="1" x14ac:dyDescent="0.25">
      <c r="A12" s="62">
        <v>10</v>
      </c>
      <c r="B12" s="367" t="s">
        <v>2080</v>
      </c>
      <c r="C12" s="77" t="s">
        <v>2081</v>
      </c>
      <c r="D12" s="77" t="s">
        <v>2113</v>
      </c>
      <c r="E12" s="77" t="s">
        <v>2123</v>
      </c>
      <c r="F12" s="368" t="s">
        <v>2124</v>
      </c>
      <c r="G12" s="77" t="s">
        <v>2125</v>
      </c>
      <c r="H12" s="369" t="s">
        <v>2086</v>
      </c>
      <c r="I12" s="77">
        <v>40</v>
      </c>
      <c r="J12" s="62">
        <v>26</v>
      </c>
      <c r="K12" s="368">
        <v>60</v>
      </c>
      <c r="L12" s="370" t="s">
        <v>2087</v>
      </c>
      <c r="M12" s="367">
        <v>5000</v>
      </c>
      <c r="N12" s="369" t="s">
        <v>2088</v>
      </c>
      <c r="O12" s="369" t="s">
        <v>2100</v>
      </c>
      <c r="P12" s="371">
        <v>1</v>
      </c>
      <c r="Q12" s="371" t="s">
        <v>2090</v>
      </c>
      <c r="R12" s="369" t="s">
        <v>2091</v>
      </c>
      <c r="S12" s="372" t="s">
        <v>2092</v>
      </c>
      <c r="T12" s="369" t="s">
        <v>2093</v>
      </c>
      <c r="U12" s="373"/>
      <c r="V12" s="374" t="s">
        <v>2094</v>
      </c>
      <c r="W12" s="375" t="s">
        <v>2095</v>
      </c>
      <c r="X12" s="188" t="s">
        <v>2096</v>
      </c>
    </row>
    <row r="13" spans="1:34" ht="50.25" customHeight="1" x14ac:dyDescent="0.25">
      <c r="A13" s="62">
        <v>11</v>
      </c>
      <c r="B13" s="367" t="s">
        <v>2080</v>
      </c>
      <c r="C13" s="77" t="s">
        <v>2081</v>
      </c>
      <c r="D13" s="77" t="s">
        <v>2113</v>
      </c>
      <c r="E13" s="77" t="s">
        <v>2126</v>
      </c>
      <c r="F13" s="368" t="s">
        <v>2127</v>
      </c>
      <c r="G13" s="77" t="s">
        <v>2128</v>
      </c>
      <c r="H13" s="369" t="s">
        <v>2086</v>
      </c>
      <c r="I13" s="77">
        <v>40</v>
      </c>
      <c r="J13" s="62">
        <v>26</v>
      </c>
      <c r="K13" s="368">
        <v>60</v>
      </c>
      <c r="L13" s="370" t="s">
        <v>2087</v>
      </c>
      <c r="M13" s="367">
        <v>5000</v>
      </c>
      <c r="N13" s="369" t="s">
        <v>2088</v>
      </c>
      <c r="O13" s="369" t="s">
        <v>2089</v>
      </c>
      <c r="P13" s="371">
        <v>1</v>
      </c>
      <c r="Q13" s="371" t="s">
        <v>2090</v>
      </c>
      <c r="R13" s="369" t="s">
        <v>2091</v>
      </c>
      <c r="S13" s="372" t="s">
        <v>2092</v>
      </c>
      <c r="T13" s="369" t="s">
        <v>2093</v>
      </c>
      <c r="U13" s="373"/>
      <c r="V13" s="374" t="s">
        <v>2094</v>
      </c>
      <c r="W13" s="375" t="s">
        <v>2095</v>
      </c>
      <c r="X13" s="188" t="s">
        <v>2096</v>
      </c>
    </row>
    <row r="14" spans="1:34" ht="81.75" customHeight="1" x14ac:dyDescent="0.25">
      <c r="A14" s="62">
        <v>12</v>
      </c>
      <c r="B14" s="367" t="s">
        <v>2080</v>
      </c>
      <c r="C14" s="77" t="s">
        <v>2081</v>
      </c>
      <c r="D14" s="77" t="s">
        <v>2113</v>
      </c>
      <c r="E14" s="77" t="s">
        <v>2129</v>
      </c>
      <c r="F14" s="368" t="s">
        <v>2130</v>
      </c>
      <c r="G14" s="77" t="s">
        <v>2131</v>
      </c>
      <c r="H14" s="369" t="s">
        <v>2086</v>
      </c>
      <c r="I14" s="77">
        <v>40</v>
      </c>
      <c r="J14" s="62">
        <v>26</v>
      </c>
      <c r="K14" s="368">
        <v>60</v>
      </c>
      <c r="L14" s="370" t="s">
        <v>2087</v>
      </c>
      <c r="M14" s="367">
        <v>5000</v>
      </c>
      <c r="N14" s="369" t="s">
        <v>2088</v>
      </c>
      <c r="O14" s="369" t="s">
        <v>2100</v>
      </c>
      <c r="P14" s="371">
        <v>1</v>
      </c>
      <c r="Q14" s="371" t="s">
        <v>2090</v>
      </c>
      <c r="R14" s="369" t="s">
        <v>2091</v>
      </c>
      <c r="S14" s="372" t="s">
        <v>2092</v>
      </c>
      <c r="T14" s="369" t="s">
        <v>2093</v>
      </c>
      <c r="U14" s="373"/>
      <c r="V14" s="374" t="s">
        <v>2094</v>
      </c>
      <c r="W14" s="375" t="s">
        <v>2095</v>
      </c>
      <c r="X14" s="188" t="s">
        <v>2096</v>
      </c>
    </row>
    <row r="15" spans="1:34" ht="66.75" customHeight="1" x14ac:dyDescent="0.25">
      <c r="A15" s="62">
        <v>13</v>
      </c>
      <c r="B15" s="367" t="s">
        <v>2080</v>
      </c>
      <c r="C15" s="77" t="s">
        <v>2081</v>
      </c>
      <c r="D15" s="77" t="s">
        <v>2113</v>
      </c>
      <c r="E15" s="77" t="s">
        <v>2132</v>
      </c>
      <c r="F15" s="368" t="s">
        <v>2133</v>
      </c>
      <c r="G15" s="77" t="s">
        <v>2134</v>
      </c>
      <c r="H15" s="369" t="s">
        <v>2086</v>
      </c>
      <c r="I15" s="77">
        <v>40</v>
      </c>
      <c r="J15" s="62">
        <v>26</v>
      </c>
      <c r="K15" s="368">
        <v>60</v>
      </c>
      <c r="L15" s="370" t="s">
        <v>2087</v>
      </c>
      <c r="M15" s="367">
        <v>5000</v>
      </c>
      <c r="N15" s="369" t="s">
        <v>2088</v>
      </c>
      <c r="O15" s="369" t="s">
        <v>2089</v>
      </c>
      <c r="P15" s="371">
        <v>1</v>
      </c>
      <c r="Q15" s="371" t="s">
        <v>2090</v>
      </c>
      <c r="R15" s="369" t="s">
        <v>2091</v>
      </c>
      <c r="S15" s="372" t="s">
        <v>2092</v>
      </c>
      <c r="T15" s="369" t="s">
        <v>2093</v>
      </c>
      <c r="U15" s="373"/>
      <c r="V15" s="374" t="s">
        <v>2094</v>
      </c>
      <c r="W15" s="375" t="s">
        <v>2095</v>
      </c>
      <c r="X15" s="188" t="s">
        <v>2096</v>
      </c>
    </row>
    <row r="16" spans="1:34" ht="66.75" customHeight="1" x14ac:dyDescent="0.25">
      <c r="A16" s="62">
        <v>14</v>
      </c>
      <c r="B16" s="367" t="s">
        <v>2080</v>
      </c>
      <c r="C16" s="77" t="s">
        <v>2081</v>
      </c>
      <c r="D16" s="77" t="s">
        <v>2113</v>
      </c>
      <c r="E16" s="77" t="s">
        <v>2135</v>
      </c>
      <c r="F16" s="368" t="s">
        <v>2136</v>
      </c>
      <c r="G16" s="77" t="s">
        <v>2137</v>
      </c>
      <c r="H16" s="369" t="s">
        <v>2086</v>
      </c>
      <c r="I16" s="77">
        <v>40</v>
      </c>
      <c r="J16" s="62">
        <v>26</v>
      </c>
      <c r="K16" s="368">
        <v>60</v>
      </c>
      <c r="L16" s="370" t="s">
        <v>2087</v>
      </c>
      <c r="M16" s="367">
        <v>5000</v>
      </c>
      <c r="N16" s="369" t="s">
        <v>2088</v>
      </c>
      <c r="O16" s="369" t="s">
        <v>2100</v>
      </c>
      <c r="P16" s="371">
        <v>1</v>
      </c>
      <c r="Q16" s="371" t="s">
        <v>2090</v>
      </c>
      <c r="R16" s="369" t="s">
        <v>2091</v>
      </c>
      <c r="S16" s="372" t="s">
        <v>2092</v>
      </c>
      <c r="T16" s="369" t="s">
        <v>2093</v>
      </c>
      <c r="U16" s="373"/>
      <c r="V16" s="374" t="s">
        <v>2094</v>
      </c>
      <c r="W16" s="375" t="s">
        <v>2095</v>
      </c>
      <c r="X16" s="188" t="s">
        <v>2096</v>
      </c>
    </row>
    <row r="17" spans="1:24" ht="64.5" customHeight="1" x14ac:dyDescent="0.25">
      <c r="A17" s="62">
        <v>15</v>
      </c>
      <c r="B17" s="367" t="s">
        <v>2080</v>
      </c>
      <c r="C17" s="77" t="s">
        <v>2081</v>
      </c>
      <c r="D17" s="77" t="s">
        <v>2113</v>
      </c>
      <c r="E17" s="77" t="s">
        <v>2138</v>
      </c>
      <c r="F17" s="368" t="s">
        <v>2139</v>
      </c>
      <c r="G17" s="77" t="s">
        <v>2140</v>
      </c>
      <c r="H17" s="369" t="s">
        <v>2086</v>
      </c>
      <c r="I17" s="77">
        <v>40</v>
      </c>
      <c r="J17" s="62">
        <v>26</v>
      </c>
      <c r="K17" s="368">
        <v>60</v>
      </c>
      <c r="L17" s="370" t="s">
        <v>2087</v>
      </c>
      <c r="M17" s="367">
        <v>5000</v>
      </c>
      <c r="N17" s="369" t="s">
        <v>2088</v>
      </c>
      <c r="O17" s="369" t="s">
        <v>2089</v>
      </c>
      <c r="P17" s="371">
        <v>1</v>
      </c>
      <c r="Q17" s="371" t="s">
        <v>2090</v>
      </c>
      <c r="R17" s="369" t="s">
        <v>2091</v>
      </c>
      <c r="S17" s="372" t="s">
        <v>2092</v>
      </c>
      <c r="T17" s="369" t="s">
        <v>2093</v>
      </c>
      <c r="U17" s="373"/>
      <c r="V17" s="374" t="s">
        <v>2094</v>
      </c>
      <c r="W17" s="375" t="s">
        <v>2095</v>
      </c>
      <c r="X17" s="188" t="s">
        <v>2096</v>
      </c>
    </row>
    <row r="18" spans="1:24" ht="39.75" customHeight="1" x14ac:dyDescent="0.25">
      <c r="A18" s="62">
        <v>16</v>
      </c>
      <c r="B18" s="367" t="s">
        <v>2080</v>
      </c>
      <c r="C18" s="77" t="s">
        <v>2081</v>
      </c>
      <c r="D18" s="77" t="s">
        <v>2113</v>
      </c>
      <c r="E18" s="77" t="s">
        <v>2141</v>
      </c>
      <c r="F18" s="368" t="s">
        <v>2142</v>
      </c>
      <c r="G18" s="77" t="s">
        <v>2143</v>
      </c>
      <c r="H18" s="369" t="s">
        <v>2086</v>
      </c>
      <c r="I18" s="77">
        <v>40</v>
      </c>
      <c r="J18" s="62">
        <v>26</v>
      </c>
      <c r="K18" s="368">
        <v>60</v>
      </c>
      <c r="L18" s="370" t="s">
        <v>2087</v>
      </c>
      <c r="M18" s="367">
        <v>5000</v>
      </c>
      <c r="N18" s="369" t="s">
        <v>2088</v>
      </c>
      <c r="O18" s="369" t="s">
        <v>2100</v>
      </c>
      <c r="P18" s="371">
        <v>1</v>
      </c>
      <c r="Q18" s="371" t="s">
        <v>2090</v>
      </c>
      <c r="R18" s="369" t="s">
        <v>2091</v>
      </c>
      <c r="S18" s="372" t="s">
        <v>2092</v>
      </c>
      <c r="T18" s="369" t="s">
        <v>2093</v>
      </c>
      <c r="U18" s="373"/>
      <c r="V18" s="374" t="s">
        <v>2094</v>
      </c>
      <c r="W18" s="375" t="s">
        <v>2095</v>
      </c>
      <c r="X18" s="188" t="s">
        <v>2096</v>
      </c>
    </row>
    <row r="19" spans="1:24" ht="60" customHeight="1" x14ac:dyDescent="0.25">
      <c r="A19" s="62">
        <v>17</v>
      </c>
      <c r="B19" s="367" t="s">
        <v>2080</v>
      </c>
      <c r="C19" s="77" t="s">
        <v>2081</v>
      </c>
      <c r="D19" s="77" t="s">
        <v>2113</v>
      </c>
      <c r="E19" s="77" t="s">
        <v>2144</v>
      </c>
      <c r="F19" s="368" t="s">
        <v>2145</v>
      </c>
      <c r="G19" s="77" t="s">
        <v>2146</v>
      </c>
      <c r="H19" s="369" t="s">
        <v>2086</v>
      </c>
      <c r="I19" s="77">
        <v>40</v>
      </c>
      <c r="J19" s="62">
        <v>26</v>
      </c>
      <c r="K19" s="368">
        <v>60</v>
      </c>
      <c r="L19" s="370" t="s">
        <v>2087</v>
      </c>
      <c r="M19" s="367">
        <v>5000</v>
      </c>
      <c r="N19" s="369" t="s">
        <v>2088</v>
      </c>
      <c r="O19" s="369" t="s">
        <v>2089</v>
      </c>
      <c r="P19" s="371">
        <v>1</v>
      </c>
      <c r="Q19" s="371" t="s">
        <v>2090</v>
      </c>
      <c r="R19" s="369" t="s">
        <v>2091</v>
      </c>
      <c r="S19" s="372" t="s">
        <v>2092</v>
      </c>
      <c r="T19" s="369" t="s">
        <v>2093</v>
      </c>
      <c r="U19" s="373"/>
      <c r="V19" s="374" t="s">
        <v>2094</v>
      </c>
      <c r="W19" s="375" t="s">
        <v>2095</v>
      </c>
      <c r="X19" s="188" t="s">
        <v>2096</v>
      </c>
    </row>
    <row r="20" spans="1:24" ht="66.75" customHeight="1" x14ac:dyDescent="0.25">
      <c r="A20" s="62">
        <v>18</v>
      </c>
      <c r="B20" s="367" t="s">
        <v>2080</v>
      </c>
      <c r="C20" s="77" t="s">
        <v>2081</v>
      </c>
      <c r="D20" s="77" t="s">
        <v>2113</v>
      </c>
      <c r="E20" s="77" t="s">
        <v>2147</v>
      </c>
      <c r="F20" s="368" t="s">
        <v>2148</v>
      </c>
      <c r="G20" s="77" t="s">
        <v>2149</v>
      </c>
      <c r="H20" s="369" t="s">
        <v>2086</v>
      </c>
      <c r="I20" s="77">
        <v>40</v>
      </c>
      <c r="J20" s="62">
        <v>26</v>
      </c>
      <c r="K20" s="368">
        <v>60</v>
      </c>
      <c r="L20" s="370" t="s">
        <v>2087</v>
      </c>
      <c r="M20" s="367">
        <v>5000</v>
      </c>
      <c r="N20" s="369" t="s">
        <v>2088</v>
      </c>
      <c r="O20" s="369" t="s">
        <v>2100</v>
      </c>
      <c r="P20" s="371">
        <v>1</v>
      </c>
      <c r="Q20" s="371" t="s">
        <v>2090</v>
      </c>
      <c r="R20" s="369" t="s">
        <v>2091</v>
      </c>
      <c r="S20" s="372" t="s">
        <v>2092</v>
      </c>
      <c r="T20" s="369" t="s">
        <v>2093</v>
      </c>
      <c r="U20" s="373"/>
      <c r="V20" s="374" t="s">
        <v>2094</v>
      </c>
      <c r="W20" s="375" t="s">
        <v>2095</v>
      </c>
      <c r="X20" s="188" t="s">
        <v>2096</v>
      </c>
    </row>
    <row r="21" spans="1:24" ht="48.75" customHeight="1" x14ac:dyDescent="0.25">
      <c r="A21" s="62">
        <v>19</v>
      </c>
      <c r="B21" s="367" t="s">
        <v>2080</v>
      </c>
      <c r="C21" s="77" t="s">
        <v>2081</v>
      </c>
      <c r="D21" s="77" t="s">
        <v>2113</v>
      </c>
      <c r="E21" s="77" t="s">
        <v>2150</v>
      </c>
      <c r="F21" s="368" t="s">
        <v>2151</v>
      </c>
      <c r="G21" s="77" t="s">
        <v>2152</v>
      </c>
      <c r="H21" s="369" t="s">
        <v>2086</v>
      </c>
      <c r="I21" s="77">
        <v>40</v>
      </c>
      <c r="J21" s="62">
        <v>26</v>
      </c>
      <c r="K21" s="368">
        <v>60</v>
      </c>
      <c r="L21" s="370" t="s">
        <v>2087</v>
      </c>
      <c r="M21" s="367">
        <v>5000</v>
      </c>
      <c r="N21" s="369" t="s">
        <v>2088</v>
      </c>
      <c r="O21" s="369" t="s">
        <v>2089</v>
      </c>
      <c r="P21" s="371">
        <v>1</v>
      </c>
      <c r="Q21" s="371" t="s">
        <v>2090</v>
      </c>
      <c r="R21" s="369" t="s">
        <v>2091</v>
      </c>
      <c r="S21" s="372" t="s">
        <v>2092</v>
      </c>
      <c r="T21" s="369" t="s">
        <v>2093</v>
      </c>
      <c r="U21" s="373"/>
      <c r="V21" s="374" t="s">
        <v>2094</v>
      </c>
      <c r="W21" s="375" t="s">
        <v>2095</v>
      </c>
      <c r="X21" s="188" t="s">
        <v>2096</v>
      </c>
    </row>
    <row r="22" spans="1:24" ht="63.75" customHeight="1" x14ac:dyDescent="0.25">
      <c r="A22" s="62">
        <v>20</v>
      </c>
      <c r="B22" s="367" t="s">
        <v>2080</v>
      </c>
      <c r="C22" s="77" t="s">
        <v>2081</v>
      </c>
      <c r="D22" s="77" t="s">
        <v>2113</v>
      </c>
      <c r="E22" s="77" t="s">
        <v>2153</v>
      </c>
      <c r="F22" s="368" t="s">
        <v>2154</v>
      </c>
      <c r="G22" s="77" t="s">
        <v>2155</v>
      </c>
      <c r="H22" s="369" t="s">
        <v>2086</v>
      </c>
      <c r="I22" s="77">
        <v>40</v>
      </c>
      <c r="J22" s="62">
        <v>26</v>
      </c>
      <c r="K22" s="368">
        <v>60</v>
      </c>
      <c r="L22" s="370" t="s">
        <v>2087</v>
      </c>
      <c r="M22" s="367">
        <v>5000</v>
      </c>
      <c r="N22" s="369" t="s">
        <v>2088</v>
      </c>
      <c r="O22" s="369" t="s">
        <v>2100</v>
      </c>
      <c r="P22" s="371">
        <v>1</v>
      </c>
      <c r="Q22" s="371" t="s">
        <v>2090</v>
      </c>
      <c r="R22" s="369" t="s">
        <v>2091</v>
      </c>
      <c r="S22" s="372" t="s">
        <v>2092</v>
      </c>
      <c r="T22" s="369" t="s">
        <v>2093</v>
      </c>
      <c r="U22" s="373"/>
      <c r="V22" s="374" t="s">
        <v>2094</v>
      </c>
      <c r="W22" s="375" t="s">
        <v>2095</v>
      </c>
      <c r="X22" s="188" t="s">
        <v>2096</v>
      </c>
    </row>
    <row r="23" spans="1:24" ht="57" customHeight="1" x14ac:dyDescent="0.25">
      <c r="A23" s="62">
        <v>21</v>
      </c>
      <c r="B23" s="367" t="s">
        <v>2080</v>
      </c>
      <c r="C23" s="77" t="s">
        <v>2081</v>
      </c>
      <c r="D23" s="77" t="s">
        <v>2113</v>
      </c>
      <c r="E23" s="77" t="s">
        <v>2156</v>
      </c>
      <c r="F23" s="368" t="s">
        <v>2157</v>
      </c>
      <c r="G23" s="77" t="s">
        <v>2158</v>
      </c>
      <c r="H23" s="369" t="s">
        <v>2086</v>
      </c>
      <c r="I23" s="77">
        <v>40</v>
      </c>
      <c r="J23" s="62">
        <v>26</v>
      </c>
      <c r="K23" s="368">
        <v>60</v>
      </c>
      <c r="L23" s="370" t="s">
        <v>2087</v>
      </c>
      <c r="M23" s="367">
        <v>5000</v>
      </c>
      <c r="N23" s="369" t="s">
        <v>2088</v>
      </c>
      <c r="O23" s="369" t="s">
        <v>2089</v>
      </c>
      <c r="P23" s="371">
        <v>1</v>
      </c>
      <c r="Q23" s="371" t="s">
        <v>2090</v>
      </c>
      <c r="R23" s="369" t="s">
        <v>2091</v>
      </c>
      <c r="S23" s="372" t="s">
        <v>2092</v>
      </c>
      <c r="T23" s="369" t="s">
        <v>2093</v>
      </c>
      <c r="U23" s="367"/>
      <c r="V23" s="367"/>
      <c r="W23" s="375" t="s">
        <v>2095</v>
      </c>
      <c r="X23" s="188" t="s">
        <v>2096</v>
      </c>
    </row>
    <row r="24" spans="1:24" ht="38.25" customHeight="1" x14ac:dyDescent="0.25">
      <c r="A24" s="62">
        <v>22</v>
      </c>
      <c r="B24" s="367" t="s">
        <v>2080</v>
      </c>
      <c r="C24" s="77" t="s">
        <v>2081</v>
      </c>
      <c r="D24" s="77" t="s">
        <v>2113</v>
      </c>
      <c r="E24" s="77" t="s">
        <v>2159</v>
      </c>
      <c r="F24" s="368" t="s">
        <v>2160</v>
      </c>
      <c r="G24" s="77" t="s">
        <v>2161</v>
      </c>
      <c r="H24" s="369" t="s">
        <v>2086</v>
      </c>
      <c r="I24" s="77">
        <v>40</v>
      </c>
      <c r="J24" s="62">
        <v>26</v>
      </c>
      <c r="K24" s="368">
        <v>60</v>
      </c>
      <c r="L24" s="370" t="s">
        <v>2087</v>
      </c>
      <c r="M24" s="367">
        <v>5000</v>
      </c>
      <c r="N24" s="369" t="s">
        <v>2088</v>
      </c>
      <c r="O24" s="369" t="s">
        <v>2100</v>
      </c>
      <c r="P24" s="371">
        <v>1</v>
      </c>
      <c r="Q24" s="371" t="s">
        <v>2090</v>
      </c>
      <c r="R24" s="369" t="s">
        <v>2091</v>
      </c>
      <c r="S24" s="372" t="s">
        <v>2092</v>
      </c>
      <c r="T24" s="369" t="s">
        <v>2093</v>
      </c>
      <c r="U24" s="367"/>
      <c r="V24" s="367"/>
      <c r="W24" s="375" t="s">
        <v>2095</v>
      </c>
      <c r="X24" s="188" t="s">
        <v>2096</v>
      </c>
    </row>
    <row r="25" spans="1:24" ht="42.75" customHeight="1" x14ac:dyDescent="0.25">
      <c r="A25" s="62">
        <v>23</v>
      </c>
      <c r="B25" s="367" t="s">
        <v>2080</v>
      </c>
      <c r="C25" s="77" t="s">
        <v>2081</v>
      </c>
      <c r="D25" s="77" t="s">
        <v>2113</v>
      </c>
      <c r="E25" s="77" t="s">
        <v>2162</v>
      </c>
      <c r="F25" s="368" t="s">
        <v>2163</v>
      </c>
      <c r="G25" s="77" t="s">
        <v>2164</v>
      </c>
      <c r="H25" s="369" t="s">
        <v>2086</v>
      </c>
      <c r="I25" s="77">
        <v>40</v>
      </c>
      <c r="J25" s="62">
        <v>26</v>
      </c>
      <c r="K25" s="368">
        <v>60</v>
      </c>
      <c r="L25" s="370" t="s">
        <v>2087</v>
      </c>
      <c r="M25" s="367">
        <v>5000</v>
      </c>
      <c r="N25" s="369" t="s">
        <v>2088</v>
      </c>
      <c r="O25" s="369" t="s">
        <v>2089</v>
      </c>
      <c r="P25" s="371">
        <v>1</v>
      </c>
      <c r="Q25" s="371" t="s">
        <v>2090</v>
      </c>
      <c r="R25" s="369" t="s">
        <v>2091</v>
      </c>
      <c r="S25" s="372" t="s">
        <v>2092</v>
      </c>
      <c r="T25" s="369" t="s">
        <v>2093</v>
      </c>
      <c r="U25" s="367"/>
      <c r="V25" s="367"/>
      <c r="W25" s="375" t="s">
        <v>2095</v>
      </c>
      <c r="X25" s="188" t="s">
        <v>2096</v>
      </c>
    </row>
    <row r="26" spans="1:24" ht="45.75" customHeight="1" x14ac:dyDescent="0.25">
      <c r="A26" s="62">
        <v>24</v>
      </c>
      <c r="B26" s="367" t="s">
        <v>2080</v>
      </c>
      <c r="C26" s="77" t="s">
        <v>2081</v>
      </c>
      <c r="D26" s="77" t="s">
        <v>2113</v>
      </c>
      <c r="E26" s="77" t="s">
        <v>2165</v>
      </c>
      <c r="F26" s="368" t="s">
        <v>2166</v>
      </c>
      <c r="G26" s="77" t="s">
        <v>2167</v>
      </c>
      <c r="H26" s="369" t="s">
        <v>2086</v>
      </c>
      <c r="I26" s="77">
        <v>40</v>
      </c>
      <c r="J26" s="62">
        <v>26</v>
      </c>
      <c r="K26" s="368">
        <v>60</v>
      </c>
      <c r="L26" s="370" t="s">
        <v>2087</v>
      </c>
      <c r="M26" s="367">
        <v>5000</v>
      </c>
      <c r="N26" s="369" t="s">
        <v>2088</v>
      </c>
      <c r="O26" s="369" t="s">
        <v>2100</v>
      </c>
      <c r="P26" s="371">
        <v>1</v>
      </c>
      <c r="Q26" s="371" t="s">
        <v>2090</v>
      </c>
      <c r="R26" s="369" t="s">
        <v>2091</v>
      </c>
      <c r="S26" s="372" t="s">
        <v>2092</v>
      </c>
      <c r="T26" s="369" t="s">
        <v>2093</v>
      </c>
      <c r="U26" s="367"/>
      <c r="V26" s="367"/>
      <c r="W26" s="375" t="s">
        <v>2095</v>
      </c>
      <c r="X26" s="188" t="s">
        <v>2096</v>
      </c>
    </row>
    <row r="27" spans="1:24" ht="50.25" customHeight="1" x14ac:dyDescent="0.25">
      <c r="A27" s="62">
        <v>25</v>
      </c>
      <c r="B27" s="367" t="s">
        <v>2080</v>
      </c>
      <c r="C27" s="77" t="s">
        <v>2081</v>
      </c>
      <c r="D27" s="77" t="s">
        <v>2113</v>
      </c>
      <c r="E27" s="77" t="s">
        <v>2168</v>
      </c>
      <c r="F27" s="368" t="s">
        <v>2169</v>
      </c>
      <c r="G27" s="77" t="s">
        <v>2170</v>
      </c>
      <c r="H27" s="369" t="s">
        <v>2086</v>
      </c>
      <c r="I27" s="77">
        <v>40</v>
      </c>
      <c r="J27" s="62">
        <v>26</v>
      </c>
      <c r="K27" s="368">
        <v>60</v>
      </c>
      <c r="L27" s="370" t="s">
        <v>2087</v>
      </c>
      <c r="M27" s="367">
        <v>5000</v>
      </c>
      <c r="N27" s="369" t="s">
        <v>2088</v>
      </c>
      <c r="O27" s="369" t="s">
        <v>2089</v>
      </c>
      <c r="P27" s="371">
        <v>1</v>
      </c>
      <c r="Q27" s="371" t="s">
        <v>2090</v>
      </c>
      <c r="R27" s="369" t="s">
        <v>2091</v>
      </c>
      <c r="S27" s="372" t="s">
        <v>2092</v>
      </c>
      <c r="T27" s="369" t="s">
        <v>2093</v>
      </c>
      <c r="U27" s="367"/>
      <c r="V27" s="367"/>
      <c r="W27" s="375" t="s">
        <v>2095</v>
      </c>
      <c r="X27" s="188" t="s">
        <v>2096</v>
      </c>
    </row>
    <row r="28" spans="1:24" ht="54.75" customHeight="1" x14ac:dyDescent="0.25">
      <c r="A28" s="62">
        <v>26</v>
      </c>
      <c r="B28" s="367" t="s">
        <v>2080</v>
      </c>
      <c r="C28" s="77" t="s">
        <v>2081</v>
      </c>
      <c r="D28" s="77" t="s">
        <v>2113</v>
      </c>
      <c r="E28" s="77" t="s">
        <v>2171</v>
      </c>
      <c r="F28" s="368" t="s">
        <v>2172</v>
      </c>
      <c r="G28" s="77" t="s">
        <v>2173</v>
      </c>
      <c r="H28" s="369" t="s">
        <v>2086</v>
      </c>
      <c r="I28" s="77">
        <v>40</v>
      </c>
      <c r="J28" s="62">
        <v>26</v>
      </c>
      <c r="K28" s="368">
        <v>60</v>
      </c>
      <c r="L28" s="370" t="s">
        <v>2087</v>
      </c>
      <c r="M28" s="367">
        <v>5000</v>
      </c>
      <c r="N28" s="369" t="s">
        <v>2088</v>
      </c>
      <c r="O28" s="369" t="s">
        <v>2100</v>
      </c>
      <c r="P28" s="371">
        <v>1</v>
      </c>
      <c r="Q28" s="371" t="s">
        <v>2090</v>
      </c>
      <c r="R28" s="369" t="s">
        <v>2091</v>
      </c>
      <c r="S28" s="372" t="s">
        <v>2092</v>
      </c>
      <c r="T28" s="369" t="s">
        <v>2093</v>
      </c>
      <c r="U28" s="367"/>
      <c r="V28" s="367"/>
      <c r="W28" s="375" t="s">
        <v>2095</v>
      </c>
      <c r="X28" s="188" t="s">
        <v>2096</v>
      </c>
    </row>
    <row r="29" spans="1:24" ht="44.25" customHeight="1" x14ac:dyDescent="0.25">
      <c r="A29" s="62">
        <v>27</v>
      </c>
      <c r="B29" s="367" t="s">
        <v>2080</v>
      </c>
      <c r="C29" s="77" t="s">
        <v>2081</v>
      </c>
      <c r="D29" s="77" t="s">
        <v>2174</v>
      </c>
      <c r="E29" s="77" t="s">
        <v>2175</v>
      </c>
      <c r="F29" s="368" t="s">
        <v>2176</v>
      </c>
      <c r="G29" s="77" t="s">
        <v>2177</v>
      </c>
      <c r="H29" s="369" t="s">
        <v>2086</v>
      </c>
      <c r="I29" s="77">
        <v>28</v>
      </c>
      <c r="J29" s="62">
        <v>80</v>
      </c>
      <c r="K29" s="368">
        <v>60</v>
      </c>
      <c r="L29" s="370" t="s">
        <v>2178</v>
      </c>
      <c r="M29" s="367"/>
      <c r="N29" s="369" t="s">
        <v>2088</v>
      </c>
      <c r="O29" s="369" t="s">
        <v>2089</v>
      </c>
      <c r="P29" s="371">
        <v>1</v>
      </c>
      <c r="Q29" s="371" t="s">
        <v>2090</v>
      </c>
      <c r="R29" s="369" t="s">
        <v>2091</v>
      </c>
      <c r="S29" s="372" t="s">
        <v>2092</v>
      </c>
      <c r="T29" s="369" t="s">
        <v>2093</v>
      </c>
      <c r="U29" s="367"/>
      <c r="V29" s="367"/>
      <c r="W29" s="375" t="s">
        <v>2095</v>
      </c>
      <c r="X29" s="188" t="s">
        <v>2096</v>
      </c>
    </row>
    <row r="30" spans="1:24" ht="44.25" customHeight="1" x14ac:dyDescent="0.25">
      <c r="A30" s="62">
        <v>28</v>
      </c>
      <c r="B30" s="367" t="s">
        <v>2080</v>
      </c>
      <c r="C30" s="77" t="s">
        <v>2081</v>
      </c>
      <c r="D30" s="77" t="s">
        <v>2174</v>
      </c>
      <c r="E30" s="77" t="s">
        <v>2179</v>
      </c>
      <c r="F30" s="368" t="s">
        <v>2180</v>
      </c>
      <c r="G30" s="77" t="s">
        <v>2181</v>
      </c>
      <c r="H30" s="369" t="s">
        <v>2086</v>
      </c>
      <c r="I30" s="77">
        <v>28</v>
      </c>
      <c r="J30" s="62">
        <v>80</v>
      </c>
      <c r="K30" s="368">
        <v>60</v>
      </c>
      <c r="L30" s="370" t="s">
        <v>2178</v>
      </c>
      <c r="M30" s="367"/>
      <c r="N30" s="369" t="s">
        <v>2088</v>
      </c>
      <c r="O30" s="369" t="s">
        <v>2100</v>
      </c>
      <c r="P30" s="371">
        <v>1</v>
      </c>
      <c r="Q30" s="371" t="s">
        <v>2090</v>
      </c>
      <c r="R30" s="369" t="s">
        <v>2091</v>
      </c>
      <c r="S30" s="372" t="s">
        <v>2092</v>
      </c>
      <c r="T30" s="369" t="s">
        <v>2093</v>
      </c>
      <c r="U30" s="367"/>
      <c r="V30" s="367"/>
      <c r="W30" s="375" t="s">
        <v>2095</v>
      </c>
      <c r="X30" s="188" t="s">
        <v>2096</v>
      </c>
    </row>
    <row r="31" spans="1:24" ht="45" customHeight="1" x14ac:dyDescent="0.25">
      <c r="A31" s="62">
        <v>29</v>
      </c>
      <c r="B31" s="367" t="s">
        <v>2080</v>
      </c>
      <c r="C31" s="77" t="s">
        <v>2081</v>
      </c>
      <c r="D31" s="77" t="s">
        <v>2174</v>
      </c>
      <c r="E31" s="77" t="s">
        <v>2182</v>
      </c>
      <c r="F31" s="368" t="s">
        <v>2183</v>
      </c>
      <c r="G31" s="77" t="s">
        <v>2184</v>
      </c>
      <c r="H31" s="369" t="s">
        <v>2086</v>
      </c>
      <c r="I31" s="77">
        <v>28</v>
      </c>
      <c r="J31" s="62">
        <v>80</v>
      </c>
      <c r="K31" s="368">
        <v>60</v>
      </c>
      <c r="L31" s="370" t="s">
        <v>2178</v>
      </c>
      <c r="M31" s="367"/>
      <c r="N31" s="369" t="s">
        <v>2088</v>
      </c>
      <c r="O31" s="369" t="s">
        <v>2089</v>
      </c>
      <c r="P31" s="371">
        <v>1</v>
      </c>
      <c r="Q31" s="371" t="s">
        <v>2090</v>
      </c>
      <c r="R31" s="369" t="s">
        <v>2091</v>
      </c>
      <c r="S31" s="372" t="s">
        <v>2092</v>
      </c>
      <c r="T31" s="369" t="s">
        <v>2093</v>
      </c>
      <c r="U31" s="367"/>
      <c r="V31" s="367"/>
      <c r="W31" s="375" t="s">
        <v>2095</v>
      </c>
      <c r="X31" s="188" t="s">
        <v>2096</v>
      </c>
    </row>
    <row r="32" spans="1:24" ht="44.25" customHeight="1" x14ac:dyDescent="0.25">
      <c r="A32" s="62">
        <v>30</v>
      </c>
      <c r="B32" s="367" t="s">
        <v>2080</v>
      </c>
      <c r="C32" s="77" t="s">
        <v>2081</v>
      </c>
      <c r="D32" s="77" t="s">
        <v>2174</v>
      </c>
      <c r="E32" s="77" t="s">
        <v>2185</v>
      </c>
      <c r="F32" s="368" t="s">
        <v>2186</v>
      </c>
      <c r="G32" s="77" t="s">
        <v>2187</v>
      </c>
      <c r="H32" s="369" t="s">
        <v>2086</v>
      </c>
      <c r="I32" s="77">
        <v>28</v>
      </c>
      <c r="J32" s="62">
        <v>80</v>
      </c>
      <c r="K32" s="368">
        <v>60</v>
      </c>
      <c r="L32" s="370" t="s">
        <v>2178</v>
      </c>
      <c r="M32" s="367"/>
      <c r="N32" s="369" t="s">
        <v>2088</v>
      </c>
      <c r="O32" s="369" t="s">
        <v>2100</v>
      </c>
      <c r="P32" s="371">
        <v>1</v>
      </c>
      <c r="Q32" s="371" t="s">
        <v>2090</v>
      </c>
      <c r="R32" s="369" t="s">
        <v>2091</v>
      </c>
      <c r="S32" s="372" t="s">
        <v>2092</v>
      </c>
      <c r="T32" s="369" t="s">
        <v>2093</v>
      </c>
      <c r="U32" s="367"/>
      <c r="V32" s="367"/>
      <c r="W32" s="375" t="s">
        <v>2095</v>
      </c>
      <c r="X32" s="188" t="s">
        <v>2096</v>
      </c>
    </row>
    <row r="33" spans="1:24" ht="52.5" customHeight="1" x14ac:dyDescent="0.25">
      <c r="A33" s="62">
        <v>31</v>
      </c>
      <c r="B33" s="367" t="s">
        <v>2080</v>
      </c>
      <c r="C33" s="77" t="s">
        <v>2081</v>
      </c>
      <c r="D33" s="77" t="s">
        <v>2174</v>
      </c>
      <c r="E33" s="77" t="s">
        <v>2188</v>
      </c>
      <c r="F33" s="368" t="s">
        <v>2189</v>
      </c>
      <c r="G33" s="77" t="s">
        <v>2190</v>
      </c>
      <c r="H33" s="369" t="s">
        <v>2086</v>
      </c>
      <c r="I33" s="77">
        <v>28</v>
      </c>
      <c r="J33" s="62">
        <v>80</v>
      </c>
      <c r="K33" s="368">
        <v>60</v>
      </c>
      <c r="L33" s="370" t="s">
        <v>2178</v>
      </c>
      <c r="M33" s="367"/>
      <c r="N33" s="369" t="s">
        <v>2088</v>
      </c>
      <c r="O33" s="369" t="s">
        <v>2089</v>
      </c>
      <c r="P33" s="371">
        <v>1</v>
      </c>
      <c r="Q33" s="371" t="s">
        <v>2090</v>
      </c>
      <c r="R33" s="369" t="s">
        <v>2091</v>
      </c>
      <c r="S33" s="372" t="s">
        <v>2092</v>
      </c>
      <c r="T33" s="369" t="s">
        <v>2093</v>
      </c>
      <c r="U33" s="367"/>
      <c r="V33" s="367"/>
      <c r="W33" s="375" t="s">
        <v>2095</v>
      </c>
      <c r="X33" s="188" t="s">
        <v>2096</v>
      </c>
    </row>
    <row r="34" spans="1:24" ht="59.25" customHeight="1" x14ac:dyDescent="0.25">
      <c r="A34" s="62">
        <v>32</v>
      </c>
      <c r="B34" s="367" t="s">
        <v>2080</v>
      </c>
      <c r="C34" s="77" t="s">
        <v>2081</v>
      </c>
      <c r="D34" s="77" t="s">
        <v>2174</v>
      </c>
      <c r="E34" s="77" t="s">
        <v>2191</v>
      </c>
      <c r="F34" s="368" t="s">
        <v>2192</v>
      </c>
      <c r="G34" s="77" t="s">
        <v>2193</v>
      </c>
      <c r="H34" s="369" t="s">
        <v>2086</v>
      </c>
      <c r="I34" s="77">
        <v>28</v>
      </c>
      <c r="J34" s="62">
        <v>80</v>
      </c>
      <c r="K34" s="368">
        <v>60</v>
      </c>
      <c r="L34" s="370" t="s">
        <v>2178</v>
      </c>
      <c r="M34" s="367"/>
      <c r="N34" s="369" t="s">
        <v>2088</v>
      </c>
      <c r="O34" s="369" t="s">
        <v>2100</v>
      </c>
      <c r="P34" s="371">
        <v>1</v>
      </c>
      <c r="Q34" s="371" t="s">
        <v>2090</v>
      </c>
      <c r="R34" s="369" t="s">
        <v>2091</v>
      </c>
      <c r="S34" s="372" t="s">
        <v>2092</v>
      </c>
      <c r="T34" s="369" t="s">
        <v>2093</v>
      </c>
      <c r="U34" s="367"/>
      <c r="V34" s="367"/>
      <c r="W34" s="375" t="s">
        <v>2095</v>
      </c>
      <c r="X34" s="188" t="s">
        <v>2096</v>
      </c>
    </row>
    <row r="35" spans="1:24" ht="59.25" customHeight="1" x14ac:dyDescent="0.25">
      <c r="A35" s="62">
        <v>33</v>
      </c>
      <c r="B35" s="367" t="s">
        <v>2080</v>
      </c>
      <c r="C35" s="77" t="s">
        <v>2081</v>
      </c>
      <c r="D35" s="77" t="s">
        <v>2194</v>
      </c>
      <c r="E35" s="77" t="s">
        <v>2195</v>
      </c>
      <c r="F35" s="368" t="s">
        <v>2196</v>
      </c>
      <c r="G35" s="77" t="s">
        <v>2197</v>
      </c>
      <c r="H35" s="369" t="s">
        <v>2086</v>
      </c>
      <c r="I35" s="77">
        <v>22</v>
      </c>
      <c r="J35" s="62">
        <v>46</v>
      </c>
      <c r="K35" s="368">
        <v>60</v>
      </c>
      <c r="L35" s="370" t="s">
        <v>2198</v>
      </c>
      <c r="M35" s="367"/>
      <c r="N35" s="369" t="s">
        <v>2088</v>
      </c>
      <c r="O35" s="369" t="s">
        <v>2199</v>
      </c>
      <c r="P35" s="371">
        <v>1</v>
      </c>
      <c r="Q35" s="367" t="s">
        <v>2200</v>
      </c>
      <c r="R35" s="369" t="s">
        <v>2091</v>
      </c>
      <c r="S35" s="372" t="s">
        <v>2092</v>
      </c>
      <c r="T35" s="369" t="s">
        <v>2093</v>
      </c>
      <c r="U35" s="367"/>
      <c r="V35" s="367"/>
      <c r="W35" s="375" t="s">
        <v>2095</v>
      </c>
      <c r="X35" s="188" t="s">
        <v>2096</v>
      </c>
    </row>
    <row r="36" spans="1:24" ht="74.25" customHeight="1" x14ac:dyDescent="0.25">
      <c r="A36" s="62">
        <v>34</v>
      </c>
      <c r="B36" s="367" t="s">
        <v>2080</v>
      </c>
      <c r="C36" s="77" t="s">
        <v>2081</v>
      </c>
      <c r="D36" s="77" t="s">
        <v>2194</v>
      </c>
      <c r="E36" s="77" t="s">
        <v>2201</v>
      </c>
      <c r="F36" s="368" t="s">
        <v>2202</v>
      </c>
      <c r="G36" s="77" t="s">
        <v>2203</v>
      </c>
      <c r="H36" s="369" t="s">
        <v>2086</v>
      </c>
      <c r="I36" s="77">
        <v>22</v>
      </c>
      <c r="J36" s="62">
        <v>46</v>
      </c>
      <c r="K36" s="368">
        <v>60</v>
      </c>
      <c r="L36" s="370" t="s">
        <v>2198</v>
      </c>
      <c r="M36" s="367"/>
      <c r="N36" s="369" t="s">
        <v>2088</v>
      </c>
      <c r="O36" s="369" t="s">
        <v>2204</v>
      </c>
      <c r="P36" s="371">
        <v>1</v>
      </c>
      <c r="Q36" s="367" t="s">
        <v>2200</v>
      </c>
      <c r="R36" s="369" t="s">
        <v>2091</v>
      </c>
      <c r="S36" s="372" t="s">
        <v>2092</v>
      </c>
      <c r="T36" s="369" t="s">
        <v>2093</v>
      </c>
      <c r="U36" s="367"/>
      <c r="V36" s="367"/>
      <c r="W36" s="375" t="s">
        <v>2095</v>
      </c>
      <c r="X36" s="188" t="s">
        <v>2096</v>
      </c>
    </row>
    <row r="37" spans="1:24" ht="89.25" customHeight="1" x14ac:dyDescent="0.25">
      <c r="A37" s="62">
        <v>35</v>
      </c>
      <c r="B37" s="367" t="s">
        <v>2080</v>
      </c>
      <c r="C37" s="77" t="s">
        <v>2081</v>
      </c>
      <c r="D37" s="77" t="s">
        <v>2194</v>
      </c>
      <c r="E37" s="77" t="s">
        <v>2205</v>
      </c>
      <c r="F37" s="368" t="s">
        <v>2206</v>
      </c>
      <c r="G37" s="77" t="s">
        <v>2207</v>
      </c>
      <c r="H37" s="369" t="s">
        <v>2086</v>
      </c>
      <c r="I37" s="77">
        <v>22</v>
      </c>
      <c r="J37" s="62">
        <v>46</v>
      </c>
      <c r="K37" s="368">
        <v>60</v>
      </c>
      <c r="L37" s="370" t="s">
        <v>2198</v>
      </c>
      <c r="M37" s="367"/>
      <c r="N37" s="369" t="s">
        <v>2088</v>
      </c>
      <c r="O37" s="369" t="s">
        <v>2204</v>
      </c>
      <c r="P37" s="371">
        <v>1</v>
      </c>
      <c r="Q37" s="367" t="s">
        <v>2200</v>
      </c>
      <c r="R37" s="369" t="s">
        <v>2091</v>
      </c>
      <c r="S37" s="372" t="s">
        <v>2092</v>
      </c>
      <c r="T37" s="369" t="s">
        <v>2093</v>
      </c>
      <c r="U37" s="367"/>
      <c r="V37" s="367"/>
      <c r="W37" s="375" t="s">
        <v>2095</v>
      </c>
      <c r="X37" s="188" t="s">
        <v>2096</v>
      </c>
    </row>
    <row r="38" spans="1:24" x14ac:dyDescent="0.25">
      <c r="A38" s="376"/>
      <c r="C38" s="154"/>
    </row>
    <row r="39" spans="1:24" x14ac:dyDescent="0.25">
      <c r="A39" s="376"/>
      <c r="C39" s="154"/>
    </row>
    <row r="40" spans="1:24" x14ac:dyDescent="0.25">
      <c r="A40" s="376"/>
      <c r="C40" s="154"/>
    </row>
    <row r="41" spans="1:24" x14ac:dyDescent="0.25">
      <c r="A41" s="376"/>
      <c r="C41" s="154"/>
    </row>
    <row r="42" spans="1:24" x14ac:dyDescent="0.25">
      <c r="A42" s="376"/>
      <c r="C42" s="154"/>
    </row>
    <row r="43" spans="1:24" x14ac:dyDescent="0.25">
      <c r="A43" s="376"/>
      <c r="C43" s="154"/>
    </row>
  </sheetData>
  <mergeCells count="18">
    <mergeCell ref="U1:U2"/>
    <mergeCell ref="V1:V2"/>
    <mergeCell ref="W1:W2"/>
    <mergeCell ref="P1:P2"/>
    <mergeCell ref="Q1:Q2"/>
    <mergeCell ref="R1:R2"/>
    <mergeCell ref="S1:S2"/>
    <mergeCell ref="T1:T2"/>
    <mergeCell ref="F1:G1"/>
    <mergeCell ref="I1:J1"/>
    <mergeCell ref="K1:M1"/>
    <mergeCell ref="N1:O1"/>
    <mergeCell ref="A1:A2"/>
    <mergeCell ref="B1:B2"/>
    <mergeCell ref="C1:C2"/>
    <mergeCell ref="D1:D2"/>
    <mergeCell ref="E1:E2"/>
    <mergeCell ref="H1:H2"/>
  </mergeCells>
  <printOptions gridLines="1" gridLinesSet="0"/>
  <pageMargins left="0.7" right="0.7" top="0.75" bottom="0.75" header="0.5" footer="0.5"/>
  <pageSetup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2"/>
  <sheetViews>
    <sheetView workbookViewId="0"/>
  </sheetViews>
  <sheetFormatPr defaultRowHeight="15" x14ac:dyDescent="0.25"/>
  <cols>
    <col min="2" max="2" width="42.42578125" bestFit="1"/>
    <col min="3" max="3" width="23.85546875" customWidth="1"/>
    <col min="4" max="4" width="25.28515625" customWidth="1"/>
    <col min="5" max="5" width="18.28515625" customWidth="1"/>
    <col min="6" max="6" width="20.28515625" customWidth="1"/>
    <col min="7" max="7" width="22.85546875" customWidth="1"/>
    <col min="9" max="9" width="13.140625" customWidth="1"/>
    <col min="10" max="10" width="22" bestFit="1"/>
    <col min="11" max="11" width="19.140625" customWidth="1"/>
    <col min="15" max="15" width="13.140625" customWidth="1"/>
  </cols>
  <sheetData>
    <row r="1" spans="1:15" ht="15.75" x14ac:dyDescent="0.25">
      <c r="A1" s="516" t="s">
        <v>2208</v>
      </c>
      <c r="B1" s="516"/>
      <c r="C1" s="516"/>
      <c r="D1" s="516"/>
      <c r="E1" s="516"/>
      <c r="F1" s="516"/>
      <c r="G1" s="516"/>
      <c r="H1" s="516"/>
      <c r="I1" s="516"/>
      <c r="J1" s="516"/>
      <c r="K1" s="516"/>
      <c r="L1" s="516"/>
      <c r="M1" s="516"/>
      <c r="N1" s="516"/>
      <c r="O1" s="516"/>
    </row>
    <row r="2" spans="1:15" x14ac:dyDescent="0.25">
      <c r="A2" s="522" t="s">
        <v>2209</v>
      </c>
      <c r="B2" s="522" t="s">
        <v>2210</v>
      </c>
      <c r="C2" s="517" t="s">
        <v>2211</v>
      </c>
      <c r="D2" s="518"/>
      <c r="E2" s="523" t="s">
        <v>2212</v>
      </c>
      <c r="F2" s="525" t="s">
        <v>2213</v>
      </c>
      <c r="G2" s="519" t="s">
        <v>2214</v>
      </c>
      <c r="H2" s="520"/>
      <c r="I2" s="521"/>
      <c r="J2" s="522" t="s">
        <v>2215</v>
      </c>
      <c r="K2" s="522" t="s">
        <v>2216</v>
      </c>
      <c r="L2" s="522" t="s">
        <v>5</v>
      </c>
      <c r="M2" s="522"/>
      <c r="N2" s="522"/>
      <c r="O2" s="522"/>
    </row>
    <row r="3" spans="1:15" x14ac:dyDescent="0.25">
      <c r="A3" s="522"/>
      <c r="B3" s="522"/>
      <c r="C3" s="377" t="s">
        <v>2217</v>
      </c>
      <c r="D3" s="377" t="s">
        <v>2218</v>
      </c>
      <c r="E3" s="524"/>
      <c r="F3" s="526"/>
      <c r="G3" s="378" t="s">
        <v>1856</v>
      </c>
      <c r="H3" s="378" t="s">
        <v>1805</v>
      </c>
      <c r="I3" s="378" t="s">
        <v>1857</v>
      </c>
      <c r="J3" s="522"/>
      <c r="K3" s="522"/>
      <c r="L3" s="522"/>
      <c r="M3" s="522"/>
      <c r="N3" s="522"/>
      <c r="O3" s="522"/>
    </row>
    <row r="4" spans="1:15" x14ac:dyDescent="0.25">
      <c r="A4" s="379">
        <v>1</v>
      </c>
      <c r="B4" s="379" t="s">
        <v>2219</v>
      </c>
      <c r="C4" s="380">
        <v>365000</v>
      </c>
      <c r="D4" s="380"/>
      <c r="E4" s="379">
        <v>31</v>
      </c>
      <c r="F4" s="379" t="s">
        <v>2220</v>
      </c>
      <c r="G4" s="527" t="s">
        <v>2221</v>
      </c>
      <c r="H4" s="527" t="s">
        <v>2222</v>
      </c>
      <c r="I4" s="527" t="s">
        <v>2223</v>
      </c>
      <c r="J4" s="379" t="s">
        <v>2224</v>
      </c>
      <c r="K4" s="379" t="s">
        <v>2225</v>
      </c>
      <c r="L4" s="379" t="s">
        <v>2226</v>
      </c>
      <c r="M4" s="381"/>
      <c r="N4" s="381"/>
      <c r="O4" s="381"/>
    </row>
    <row r="5" spans="1:15" x14ac:dyDescent="0.25">
      <c r="A5" s="379">
        <v>2</v>
      </c>
      <c r="B5" s="379" t="s">
        <v>2227</v>
      </c>
      <c r="C5" s="380">
        <v>612000</v>
      </c>
      <c r="D5" s="380">
        <v>1020000</v>
      </c>
      <c r="E5" s="379">
        <v>48</v>
      </c>
      <c r="F5" s="379" t="s">
        <v>2220</v>
      </c>
      <c r="G5" s="527"/>
      <c r="H5" s="527"/>
      <c r="I5" s="527"/>
      <c r="J5" s="379" t="s">
        <v>2224</v>
      </c>
      <c r="K5" s="379" t="s">
        <v>2228</v>
      </c>
      <c r="L5" s="379" t="s">
        <v>2226</v>
      </c>
      <c r="M5" s="381"/>
      <c r="N5" s="381"/>
      <c r="O5" s="381"/>
    </row>
    <row r="6" spans="1:15" x14ac:dyDescent="0.25">
      <c r="A6" s="379">
        <v>3</v>
      </c>
      <c r="B6" s="379" t="s">
        <v>2229</v>
      </c>
      <c r="C6" s="380">
        <v>7500</v>
      </c>
      <c r="D6" s="380">
        <v>7500</v>
      </c>
      <c r="E6" s="379">
        <v>2</v>
      </c>
      <c r="F6" s="379" t="s">
        <v>2220</v>
      </c>
      <c r="G6" s="527"/>
      <c r="H6" s="527"/>
      <c r="I6" s="527"/>
      <c r="J6" s="379" t="s">
        <v>2224</v>
      </c>
      <c r="K6" s="379" t="s">
        <v>2228</v>
      </c>
      <c r="L6" s="379" t="s">
        <v>2226</v>
      </c>
      <c r="M6" s="381"/>
      <c r="N6" s="381"/>
      <c r="O6" s="381"/>
    </row>
    <row r="7" spans="1:15" x14ac:dyDescent="0.25">
      <c r="A7" s="379">
        <v>4</v>
      </c>
      <c r="B7" s="379" t="s">
        <v>2230</v>
      </c>
      <c r="C7" s="380">
        <v>7500</v>
      </c>
      <c r="D7" s="380">
        <v>7500</v>
      </c>
      <c r="E7" s="379">
        <v>2</v>
      </c>
      <c r="F7" s="379" t="s">
        <v>2220</v>
      </c>
      <c r="G7" s="527"/>
      <c r="H7" s="527"/>
      <c r="I7" s="527"/>
      <c r="J7" s="379" t="s">
        <v>2224</v>
      </c>
      <c r="K7" s="379" t="s">
        <v>2228</v>
      </c>
      <c r="L7" s="379" t="s">
        <v>2226</v>
      </c>
      <c r="M7" s="381"/>
      <c r="N7" s="381"/>
      <c r="O7" s="381"/>
    </row>
    <row r="8" spans="1:15" x14ac:dyDescent="0.25">
      <c r="A8" s="379">
        <v>5</v>
      </c>
      <c r="B8" s="379" t="s">
        <v>2231</v>
      </c>
      <c r="C8" s="380">
        <v>359800</v>
      </c>
      <c r="D8" s="380"/>
      <c r="E8" s="379">
        <v>19</v>
      </c>
      <c r="F8" s="379" t="s">
        <v>2220</v>
      </c>
      <c r="G8" s="527"/>
      <c r="H8" s="527"/>
      <c r="I8" s="527"/>
      <c r="J8" s="379" t="s">
        <v>2224</v>
      </c>
      <c r="K8" s="379" t="s">
        <v>2232</v>
      </c>
      <c r="L8" s="379" t="s">
        <v>2226</v>
      </c>
      <c r="M8" s="381"/>
      <c r="N8" s="381"/>
      <c r="O8" s="381"/>
    </row>
    <row r="9" spans="1:15" x14ac:dyDescent="0.25">
      <c r="A9" s="379">
        <v>6</v>
      </c>
      <c r="B9" s="379" t="s">
        <v>2233</v>
      </c>
      <c r="C9" s="380">
        <v>150000</v>
      </c>
      <c r="D9" s="380"/>
      <c r="E9" s="379">
        <v>6</v>
      </c>
      <c r="F9" s="379" t="s">
        <v>2220</v>
      </c>
      <c r="G9" s="527"/>
      <c r="H9" s="527"/>
      <c r="I9" s="527"/>
      <c r="J9" s="379" t="s">
        <v>2224</v>
      </c>
      <c r="K9" s="379" t="s">
        <v>2232</v>
      </c>
      <c r="L9" s="379" t="s">
        <v>2226</v>
      </c>
      <c r="M9" s="381"/>
      <c r="N9" s="381"/>
      <c r="O9" s="381"/>
    </row>
    <row r="10" spans="1:15" x14ac:dyDescent="0.25">
      <c r="A10" s="379">
        <v>7</v>
      </c>
      <c r="B10" s="379" t="s">
        <v>2234</v>
      </c>
      <c r="C10" s="380">
        <v>10240</v>
      </c>
      <c r="D10" s="380"/>
      <c r="E10" s="379">
        <v>6</v>
      </c>
      <c r="F10" s="379" t="s">
        <v>2220</v>
      </c>
      <c r="G10" s="527"/>
      <c r="H10" s="527"/>
      <c r="I10" s="527"/>
      <c r="J10" s="379" t="s">
        <v>2224</v>
      </c>
      <c r="K10" s="379" t="s">
        <v>2235</v>
      </c>
      <c r="L10" s="379" t="s">
        <v>2226</v>
      </c>
      <c r="M10" s="381"/>
      <c r="N10" s="381"/>
      <c r="O10" s="381"/>
    </row>
    <row r="11" spans="1:15" x14ac:dyDescent="0.25">
      <c r="C11" s="382">
        <f>SUM(C4:C10)</f>
        <v>1512040</v>
      </c>
      <c r="D11" s="382">
        <f>SUM(D4:D10)</f>
        <v>1035000</v>
      </c>
    </row>
    <row r="13" spans="1:15" ht="15.75" x14ac:dyDescent="0.25">
      <c r="A13" s="516" t="s">
        <v>2236</v>
      </c>
      <c r="B13" s="516"/>
      <c r="C13" s="516"/>
      <c r="D13" s="516"/>
      <c r="E13" s="516"/>
      <c r="F13" s="516"/>
      <c r="G13" s="516"/>
      <c r="H13" s="516"/>
      <c r="I13" s="516"/>
      <c r="J13" s="516"/>
      <c r="K13" s="516"/>
      <c r="L13" s="516"/>
      <c r="M13" s="516"/>
      <c r="N13" s="516"/>
      <c r="O13" s="516"/>
    </row>
    <row r="14" spans="1:15" x14ac:dyDescent="0.25">
      <c r="A14" s="528" t="s">
        <v>2209</v>
      </c>
      <c r="B14" s="528" t="s">
        <v>2210</v>
      </c>
      <c r="C14" s="517" t="s">
        <v>2211</v>
      </c>
      <c r="D14" s="518"/>
      <c r="E14" s="534" t="s">
        <v>2212</v>
      </c>
      <c r="F14" s="532" t="s">
        <v>2213</v>
      </c>
      <c r="G14" s="519" t="s">
        <v>2214</v>
      </c>
      <c r="H14" s="520"/>
      <c r="I14" s="521"/>
      <c r="J14" s="528" t="s">
        <v>2215</v>
      </c>
      <c r="K14" s="528" t="s">
        <v>2216</v>
      </c>
      <c r="L14" s="529" t="s">
        <v>5</v>
      </c>
      <c r="M14" s="530"/>
      <c r="N14" s="530"/>
      <c r="O14" s="531"/>
    </row>
    <row r="15" spans="1:15" x14ac:dyDescent="0.25">
      <c r="A15" s="522"/>
      <c r="B15" s="522"/>
      <c r="C15" s="377" t="s">
        <v>2217</v>
      </c>
      <c r="D15" s="377" t="s">
        <v>2218</v>
      </c>
      <c r="E15" s="535"/>
      <c r="F15" s="533"/>
      <c r="G15" s="383" t="s">
        <v>1856</v>
      </c>
      <c r="H15" s="383" t="s">
        <v>1805</v>
      </c>
      <c r="I15" s="383" t="s">
        <v>1857</v>
      </c>
      <c r="J15" s="522"/>
      <c r="K15" s="522"/>
      <c r="L15" s="522"/>
      <c r="M15" s="522"/>
      <c r="N15" s="522"/>
      <c r="O15" s="522"/>
    </row>
    <row r="16" spans="1:15" x14ac:dyDescent="0.25">
      <c r="A16" s="379">
        <v>1</v>
      </c>
      <c r="B16" s="379" t="s">
        <v>2237</v>
      </c>
      <c r="C16" s="380">
        <v>1179197</v>
      </c>
      <c r="D16" s="380">
        <v>1100000</v>
      </c>
      <c r="E16" s="379">
        <v>22</v>
      </c>
      <c r="F16" s="379" t="s">
        <v>2238</v>
      </c>
      <c r="G16" s="379" t="s">
        <v>2239</v>
      </c>
      <c r="H16" s="379" t="s">
        <v>2222</v>
      </c>
      <c r="I16" s="379" t="s">
        <v>2240</v>
      </c>
      <c r="J16" s="379" t="s">
        <v>2224</v>
      </c>
      <c r="K16" s="379" t="s">
        <v>2241</v>
      </c>
      <c r="L16" s="379" t="s">
        <v>2226</v>
      </c>
      <c r="M16" s="381"/>
      <c r="N16" s="381"/>
      <c r="O16" s="381"/>
    </row>
    <row r="18" spans="1:15" ht="15.75" x14ac:dyDescent="0.25">
      <c r="A18" s="516" t="s">
        <v>2242</v>
      </c>
      <c r="B18" s="516"/>
      <c r="C18" s="516"/>
      <c r="D18" s="516"/>
      <c r="E18" s="516"/>
      <c r="F18" s="516"/>
      <c r="G18" s="516"/>
      <c r="H18" s="516"/>
      <c r="I18" s="516"/>
      <c r="J18" s="516"/>
      <c r="K18" s="516"/>
      <c r="L18" s="516"/>
      <c r="M18" s="516"/>
      <c r="N18" s="516"/>
      <c r="O18" s="516"/>
    </row>
    <row r="19" spans="1:15" x14ac:dyDescent="0.25">
      <c r="A19" s="528" t="s">
        <v>2209</v>
      </c>
      <c r="B19" s="528" t="s">
        <v>2210</v>
      </c>
      <c r="C19" s="517" t="s">
        <v>2211</v>
      </c>
      <c r="D19" s="518"/>
      <c r="E19" s="534" t="s">
        <v>2212</v>
      </c>
      <c r="F19" s="532" t="s">
        <v>2213</v>
      </c>
      <c r="G19" s="519" t="s">
        <v>2214</v>
      </c>
      <c r="H19" s="520"/>
      <c r="I19" s="521"/>
      <c r="J19" s="528" t="s">
        <v>2215</v>
      </c>
      <c r="K19" s="528" t="s">
        <v>2216</v>
      </c>
      <c r="L19" s="529" t="s">
        <v>5</v>
      </c>
      <c r="M19" s="530"/>
      <c r="N19" s="530"/>
      <c r="O19" s="531"/>
    </row>
    <row r="20" spans="1:15" x14ac:dyDescent="0.25">
      <c r="A20" s="522"/>
      <c r="B20" s="522"/>
      <c r="C20" s="377" t="s">
        <v>2217</v>
      </c>
      <c r="D20" s="377" t="s">
        <v>2218</v>
      </c>
      <c r="E20" s="535"/>
      <c r="F20" s="533"/>
      <c r="G20" s="383" t="s">
        <v>1856</v>
      </c>
      <c r="H20" s="383" t="s">
        <v>1805</v>
      </c>
      <c r="I20" s="383" t="s">
        <v>1857</v>
      </c>
      <c r="J20" s="522"/>
      <c r="K20" s="522"/>
      <c r="L20" s="522"/>
      <c r="M20" s="522"/>
      <c r="N20" s="522"/>
      <c r="O20" s="522"/>
    </row>
    <row r="21" spans="1:15" x14ac:dyDescent="0.25">
      <c r="A21" s="379">
        <v>1</v>
      </c>
      <c r="B21" s="379" t="s">
        <v>2243</v>
      </c>
      <c r="C21" s="379" t="s">
        <v>2244</v>
      </c>
      <c r="D21" s="379" t="s">
        <v>2244</v>
      </c>
      <c r="E21" s="379">
        <v>193</v>
      </c>
      <c r="F21" s="379" t="s">
        <v>2238</v>
      </c>
      <c r="G21" s="379" t="s">
        <v>2239</v>
      </c>
      <c r="H21" s="379" t="s">
        <v>2222</v>
      </c>
      <c r="I21" s="379" t="s">
        <v>2245</v>
      </c>
      <c r="J21" s="379" t="s">
        <v>2224</v>
      </c>
      <c r="K21" s="381"/>
      <c r="L21" s="536"/>
      <c r="M21" s="537"/>
      <c r="N21" s="537"/>
      <c r="O21" s="538"/>
    </row>
    <row r="23" spans="1:15" ht="15.75" x14ac:dyDescent="0.25">
      <c r="A23" s="516" t="s">
        <v>2246</v>
      </c>
      <c r="B23" s="516"/>
      <c r="C23" s="516"/>
      <c r="D23" s="516"/>
      <c r="E23" s="516"/>
      <c r="F23" s="516"/>
      <c r="G23" s="516"/>
      <c r="H23" s="516"/>
      <c r="I23" s="516"/>
      <c r="J23" s="516"/>
      <c r="K23" s="516"/>
    </row>
    <row r="24" spans="1:15" x14ac:dyDescent="0.25">
      <c r="A24" s="528" t="s">
        <v>2209</v>
      </c>
      <c r="B24" s="528" t="s">
        <v>2210</v>
      </c>
      <c r="C24" s="517" t="s">
        <v>2211</v>
      </c>
      <c r="D24" s="518"/>
      <c r="E24" s="534" t="s">
        <v>2212</v>
      </c>
      <c r="F24" s="532" t="s">
        <v>2213</v>
      </c>
      <c r="G24" s="519" t="s">
        <v>2214</v>
      </c>
      <c r="H24" s="520"/>
      <c r="I24" s="521"/>
      <c r="J24" s="528" t="s">
        <v>2215</v>
      </c>
      <c r="K24" s="528" t="s">
        <v>2216</v>
      </c>
      <c r="L24" s="529" t="s">
        <v>5</v>
      </c>
      <c r="M24" s="530"/>
      <c r="N24" s="530"/>
      <c r="O24" s="531"/>
    </row>
    <row r="25" spans="1:15" x14ac:dyDescent="0.25">
      <c r="A25" s="522"/>
      <c r="B25" s="522"/>
      <c r="C25" s="377" t="s">
        <v>2217</v>
      </c>
      <c r="D25" s="377" t="s">
        <v>2218</v>
      </c>
      <c r="E25" s="535"/>
      <c r="F25" s="533"/>
      <c r="G25" s="383" t="s">
        <v>1856</v>
      </c>
      <c r="H25" s="383" t="s">
        <v>1805</v>
      </c>
      <c r="I25" s="383" t="s">
        <v>1857</v>
      </c>
      <c r="J25" s="522"/>
      <c r="K25" s="522"/>
      <c r="L25" s="522"/>
      <c r="M25" s="522"/>
      <c r="N25" s="522"/>
      <c r="O25" s="522"/>
    </row>
    <row r="26" spans="1:15" x14ac:dyDescent="0.25">
      <c r="A26" s="379">
        <v>1</v>
      </c>
      <c r="B26" s="379" t="s">
        <v>2247</v>
      </c>
      <c r="C26" s="380">
        <v>36000</v>
      </c>
      <c r="D26" s="381"/>
      <c r="E26" s="379">
        <v>11</v>
      </c>
      <c r="F26" s="379" t="s">
        <v>2248</v>
      </c>
      <c r="G26" s="379" t="s">
        <v>2249</v>
      </c>
      <c r="H26" s="379" t="s">
        <v>2222</v>
      </c>
      <c r="I26" s="379" t="s">
        <v>2250</v>
      </c>
      <c r="J26" s="379" t="s">
        <v>2224</v>
      </c>
      <c r="K26" s="379" t="s">
        <v>2225</v>
      </c>
    </row>
    <row r="27" spans="1:15" x14ac:dyDescent="0.25">
      <c r="A27" s="539"/>
      <c r="B27" s="539"/>
      <c r="C27" s="539"/>
      <c r="D27" s="539"/>
      <c r="E27" s="540">
        <v>9</v>
      </c>
      <c r="F27" s="540" t="s">
        <v>2248</v>
      </c>
      <c r="G27" s="540" t="s">
        <v>2249</v>
      </c>
      <c r="H27" s="540" t="s">
        <v>2222</v>
      </c>
      <c r="I27" s="384" t="s">
        <v>2250</v>
      </c>
      <c r="J27" s="539"/>
      <c r="K27" s="539"/>
      <c r="L27" s="539"/>
      <c r="M27" s="539"/>
      <c r="N27" s="539"/>
      <c r="O27" s="539"/>
    </row>
    <row r="28" spans="1:15" x14ac:dyDescent="0.25">
      <c r="A28" s="539"/>
      <c r="B28" s="539"/>
      <c r="C28" s="539"/>
      <c r="D28" s="539"/>
      <c r="E28" s="541"/>
      <c r="F28" s="541"/>
      <c r="G28" s="541"/>
      <c r="H28" s="541"/>
      <c r="I28" s="385" t="s">
        <v>2251</v>
      </c>
      <c r="J28" s="539"/>
      <c r="K28" s="539"/>
      <c r="L28" s="539"/>
      <c r="M28" s="539"/>
      <c r="N28" s="539"/>
      <c r="O28" s="539"/>
    </row>
    <row r="29" spans="1:15" x14ac:dyDescent="0.25">
      <c r="A29" s="379">
        <v>2</v>
      </c>
      <c r="B29" s="379" t="s">
        <v>2252</v>
      </c>
      <c r="C29" s="381"/>
      <c r="D29" s="380">
        <v>3112950</v>
      </c>
      <c r="E29" s="379">
        <v>75</v>
      </c>
      <c r="F29" s="379" t="s">
        <v>2248</v>
      </c>
      <c r="G29" s="379" t="s">
        <v>2249</v>
      </c>
      <c r="H29" s="379" t="s">
        <v>2222</v>
      </c>
      <c r="I29" s="379" t="s">
        <v>2250</v>
      </c>
      <c r="J29" s="379" t="s">
        <v>2224</v>
      </c>
      <c r="K29" s="379" t="s">
        <v>2253</v>
      </c>
    </row>
    <row r="30" spans="1:15" x14ac:dyDescent="0.25">
      <c r="A30" s="379">
        <v>3</v>
      </c>
      <c r="B30" s="379" t="s">
        <v>2254</v>
      </c>
      <c r="C30" s="380">
        <v>4068681</v>
      </c>
      <c r="D30" s="380">
        <v>3800</v>
      </c>
      <c r="E30" s="379">
        <v>112</v>
      </c>
      <c r="F30" s="379" t="s">
        <v>2248</v>
      </c>
      <c r="G30" s="379" t="s">
        <v>2249</v>
      </c>
      <c r="H30" s="379" t="s">
        <v>2222</v>
      </c>
      <c r="I30" s="379" t="s">
        <v>2250</v>
      </c>
      <c r="J30" s="379" t="s">
        <v>2224</v>
      </c>
      <c r="K30" s="379" t="s">
        <v>2241</v>
      </c>
    </row>
    <row r="31" spans="1:15" x14ac:dyDescent="0.25">
      <c r="A31" s="379">
        <v>4</v>
      </c>
      <c r="B31" s="379" t="s">
        <v>2255</v>
      </c>
      <c r="C31" s="380">
        <v>127500</v>
      </c>
      <c r="D31" s="380"/>
      <c r="E31" s="379">
        <v>17</v>
      </c>
      <c r="F31" s="379" t="s">
        <v>2248</v>
      </c>
      <c r="G31" s="379" t="s">
        <v>2249</v>
      </c>
      <c r="H31" s="379" t="s">
        <v>2222</v>
      </c>
      <c r="I31" s="379" t="s">
        <v>2250</v>
      </c>
      <c r="J31" s="379" t="s">
        <v>2224</v>
      </c>
      <c r="K31" s="379" t="s">
        <v>2225</v>
      </c>
    </row>
    <row r="32" spans="1:15" x14ac:dyDescent="0.25">
      <c r="A32" s="540">
        <v>5</v>
      </c>
      <c r="B32" s="540" t="s">
        <v>2256</v>
      </c>
      <c r="C32" s="505"/>
      <c r="D32" s="505"/>
      <c r="E32" s="540">
        <v>14</v>
      </c>
      <c r="F32" s="540" t="s">
        <v>2248</v>
      </c>
      <c r="G32" s="540" t="s">
        <v>2249</v>
      </c>
      <c r="H32" s="540" t="s">
        <v>2222</v>
      </c>
      <c r="I32" s="384" t="s">
        <v>2250</v>
      </c>
      <c r="J32" s="540" t="s">
        <v>2224</v>
      </c>
      <c r="K32" s="540" t="s">
        <v>2257</v>
      </c>
      <c r="L32" s="539"/>
      <c r="M32" s="539"/>
      <c r="N32" s="539"/>
      <c r="O32" s="539"/>
    </row>
    <row r="33" spans="1:15" x14ac:dyDescent="0.25">
      <c r="A33" s="542"/>
      <c r="B33" s="542"/>
      <c r="C33" s="543"/>
      <c r="D33" s="543"/>
      <c r="E33" s="542"/>
      <c r="F33" s="542"/>
      <c r="G33" s="542"/>
      <c r="H33" s="542"/>
      <c r="I33" s="386" t="s">
        <v>2258</v>
      </c>
      <c r="J33" s="542"/>
      <c r="K33" s="542"/>
      <c r="L33" s="539"/>
      <c r="M33" s="539"/>
      <c r="N33" s="539"/>
      <c r="O33" s="539"/>
    </row>
    <row r="34" spans="1:15" x14ac:dyDescent="0.25">
      <c r="A34" s="541"/>
      <c r="B34" s="541"/>
      <c r="C34" s="506"/>
      <c r="D34" s="506"/>
      <c r="E34" s="541"/>
      <c r="F34" s="541"/>
      <c r="G34" s="541"/>
      <c r="H34" s="541"/>
      <c r="I34" s="385" t="s">
        <v>2251</v>
      </c>
      <c r="J34" s="541"/>
      <c r="K34" s="541"/>
      <c r="L34" s="539"/>
      <c r="M34" s="539"/>
      <c r="N34" s="539"/>
      <c r="O34" s="539"/>
    </row>
    <row r="35" spans="1:15" x14ac:dyDescent="0.25">
      <c r="C35" s="382">
        <f>SUM(C26:C34)</f>
        <v>4232181</v>
      </c>
      <c r="D35" s="382">
        <f>SUM(D26:D34)</f>
        <v>3116750</v>
      </c>
    </row>
    <row r="37" spans="1:15" ht="15.75" x14ac:dyDescent="0.25">
      <c r="A37" s="516" t="s">
        <v>2259</v>
      </c>
      <c r="B37" s="516"/>
      <c r="C37" s="516"/>
      <c r="D37" s="516"/>
      <c r="E37" s="516"/>
      <c r="F37" s="516"/>
      <c r="G37" s="516"/>
      <c r="H37" s="516"/>
      <c r="I37" s="516"/>
      <c r="J37" s="516"/>
      <c r="K37" s="516"/>
    </row>
    <row r="38" spans="1:15" x14ac:dyDescent="0.25">
      <c r="A38" s="528" t="s">
        <v>2209</v>
      </c>
      <c r="B38" s="528" t="s">
        <v>2210</v>
      </c>
      <c r="C38" s="517" t="s">
        <v>2211</v>
      </c>
      <c r="D38" s="518"/>
      <c r="E38" s="534" t="s">
        <v>2212</v>
      </c>
      <c r="F38" s="532" t="s">
        <v>2213</v>
      </c>
      <c r="G38" s="519" t="s">
        <v>2214</v>
      </c>
      <c r="H38" s="520"/>
      <c r="I38" s="521"/>
      <c r="J38" s="529" t="s">
        <v>2215</v>
      </c>
      <c r="K38" s="522" t="s">
        <v>2216</v>
      </c>
      <c r="L38" s="544"/>
      <c r="M38" s="544"/>
      <c r="N38" s="544"/>
      <c r="O38" s="544"/>
    </row>
    <row r="39" spans="1:15" x14ac:dyDescent="0.25">
      <c r="A39" s="522"/>
      <c r="B39" s="522"/>
      <c r="C39" s="377" t="s">
        <v>2217</v>
      </c>
      <c r="D39" s="377" t="s">
        <v>2218</v>
      </c>
      <c r="E39" s="535"/>
      <c r="F39" s="533"/>
      <c r="G39" s="383" t="s">
        <v>1856</v>
      </c>
      <c r="H39" s="383" t="s">
        <v>1805</v>
      </c>
      <c r="I39" s="383" t="s">
        <v>1857</v>
      </c>
      <c r="J39" s="545"/>
      <c r="K39" s="522"/>
      <c r="L39" s="544"/>
      <c r="M39" s="544"/>
      <c r="N39" s="544"/>
      <c r="O39" s="544"/>
    </row>
    <row r="40" spans="1:15" x14ac:dyDescent="0.25">
      <c r="A40" s="379">
        <v>1</v>
      </c>
      <c r="B40" s="379" t="s">
        <v>2260</v>
      </c>
      <c r="C40" s="380">
        <v>660000</v>
      </c>
      <c r="D40" s="380">
        <v>2240000</v>
      </c>
      <c r="E40" s="379">
        <v>29</v>
      </c>
      <c r="F40" s="381"/>
      <c r="G40" s="381"/>
      <c r="H40" s="381"/>
      <c r="I40" s="381"/>
      <c r="J40" s="379" t="s">
        <v>2261</v>
      </c>
      <c r="K40" s="385" t="s">
        <v>1159</v>
      </c>
    </row>
    <row r="41" spans="1:15" x14ac:dyDescent="0.25">
      <c r="A41" s="379">
        <v>2</v>
      </c>
      <c r="B41" s="379" t="s">
        <v>2262</v>
      </c>
      <c r="C41" s="380">
        <v>500000</v>
      </c>
      <c r="D41" s="379">
        <v>0</v>
      </c>
      <c r="E41" s="379">
        <v>13</v>
      </c>
      <c r="F41" s="381"/>
      <c r="G41" s="381"/>
      <c r="H41" s="381"/>
      <c r="I41" s="381"/>
      <c r="J41" s="379" t="s">
        <v>2224</v>
      </c>
      <c r="K41" s="379" t="s">
        <v>2263</v>
      </c>
    </row>
    <row r="42" spans="1:15" x14ac:dyDescent="0.25">
      <c r="C42" s="382">
        <f>SUM(C40:C41)</f>
        <v>1160000</v>
      </c>
      <c r="D42" s="382">
        <f>SUM(D40:D41)</f>
        <v>2240000</v>
      </c>
    </row>
  </sheetData>
  <mergeCells count="82">
    <mergeCell ref="A37:K37"/>
    <mergeCell ref="G38:I38"/>
    <mergeCell ref="C38:D38"/>
    <mergeCell ref="L38:O39"/>
    <mergeCell ref="K38:K39"/>
    <mergeCell ref="J38:J39"/>
    <mergeCell ref="F38:F39"/>
    <mergeCell ref="E38:E39"/>
    <mergeCell ref="B38:B39"/>
    <mergeCell ref="A38:A39"/>
    <mergeCell ref="O32:O34"/>
    <mergeCell ref="N32:N34"/>
    <mergeCell ref="A32:A34"/>
    <mergeCell ref="L32:L34"/>
    <mergeCell ref="K32:K34"/>
    <mergeCell ref="J32:J34"/>
    <mergeCell ref="H32:H34"/>
    <mergeCell ref="G32:G34"/>
    <mergeCell ref="F32:F34"/>
    <mergeCell ref="E32:E34"/>
    <mergeCell ref="D32:D34"/>
    <mergeCell ref="C32:C34"/>
    <mergeCell ref="B32:B34"/>
    <mergeCell ref="M32:M34"/>
    <mergeCell ref="A27:A28"/>
    <mergeCell ref="B27:B28"/>
    <mergeCell ref="C27:C28"/>
    <mergeCell ref="H27:H28"/>
    <mergeCell ref="E27:E28"/>
    <mergeCell ref="F27:F28"/>
    <mergeCell ref="G27:G28"/>
    <mergeCell ref="D27:D28"/>
    <mergeCell ref="O27:O28"/>
    <mergeCell ref="N27:N28"/>
    <mergeCell ref="M27:M28"/>
    <mergeCell ref="L27:L28"/>
    <mergeCell ref="K27:K28"/>
    <mergeCell ref="J27:J28"/>
    <mergeCell ref="L21:O21"/>
    <mergeCell ref="A23:K23"/>
    <mergeCell ref="E24:E25"/>
    <mergeCell ref="K24:K25"/>
    <mergeCell ref="J24:J25"/>
    <mergeCell ref="F24:F25"/>
    <mergeCell ref="L24:O25"/>
    <mergeCell ref="B24:B25"/>
    <mergeCell ref="A24:A25"/>
    <mergeCell ref="G24:I24"/>
    <mergeCell ref="C24:D24"/>
    <mergeCell ref="A18:O18"/>
    <mergeCell ref="G19:I19"/>
    <mergeCell ref="C19:D19"/>
    <mergeCell ref="L19:O20"/>
    <mergeCell ref="K19:K20"/>
    <mergeCell ref="J19:J20"/>
    <mergeCell ref="F19:F20"/>
    <mergeCell ref="E19:E20"/>
    <mergeCell ref="B19:B20"/>
    <mergeCell ref="A19:A20"/>
    <mergeCell ref="G4:G10"/>
    <mergeCell ref="H4:H10"/>
    <mergeCell ref="I4:I10"/>
    <mergeCell ref="A13:O13"/>
    <mergeCell ref="A14:A15"/>
    <mergeCell ref="L14:O15"/>
    <mergeCell ref="K14:K15"/>
    <mergeCell ref="J14:J15"/>
    <mergeCell ref="F14:F15"/>
    <mergeCell ref="E14:E15"/>
    <mergeCell ref="B14:B15"/>
    <mergeCell ref="G14:I14"/>
    <mergeCell ref="C14:D14"/>
    <mergeCell ref="A1:O1"/>
    <mergeCell ref="C2:D2"/>
    <mergeCell ref="G2:I2"/>
    <mergeCell ref="A2:A3"/>
    <mergeCell ref="B2:B3"/>
    <mergeCell ref="E2:E3"/>
    <mergeCell ref="F2:F3"/>
    <mergeCell ref="J2:J3"/>
    <mergeCell ref="K2:K3"/>
    <mergeCell ref="L2:O3"/>
  </mergeCells>
  <printOptions gridLines="1" gridLinesSet="0"/>
  <pageMargins left="0.70078740157480324" right="0.70078740157480324" top="0.75196850393700787" bottom="0.75196850393700787" header="0.5" footer="0.5"/>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4"/>
  <sheetViews>
    <sheetView workbookViewId="0"/>
  </sheetViews>
  <sheetFormatPr defaultRowHeight="15" x14ac:dyDescent="0.25"/>
  <cols>
    <col min="1" max="1" width="18.42578125" customWidth="1"/>
    <col min="2" max="2" width="18.7109375" bestFit="1"/>
    <col min="3" max="3" width="13.28515625" customWidth="1"/>
    <col min="4" max="4" width="12.42578125" customWidth="1"/>
    <col min="5" max="5" width="14.140625" customWidth="1"/>
    <col min="6" max="6" width="20.140625" customWidth="1"/>
    <col min="7" max="7" width="17.140625" customWidth="1"/>
    <col min="8" max="8" width="19.42578125" customWidth="1"/>
    <col min="13" max="13" width="55" customWidth="1"/>
    <col min="16" max="16" width="14.7109375" bestFit="1"/>
  </cols>
  <sheetData>
    <row r="1" spans="1:21" x14ac:dyDescent="0.25">
      <c r="A1" s="387" t="s">
        <v>0</v>
      </c>
      <c r="B1" s="387" t="s">
        <v>2264</v>
      </c>
      <c r="C1" s="387" t="s">
        <v>2265</v>
      </c>
      <c r="D1" s="387" t="s">
        <v>2</v>
      </c>
      <c r="E1" s="387" t="s">
        <v>2266</v>
      </c>
      <c r="F1" s="387" t="s">
        <v>2267</v>
      </c>
      <c r="G1" s="387" t="s">
        <v>2268</v>
      </c>
      <c r="H1" s="387" t="s">
        <v>1953</v>
      </c>
      <c r="I1" s="387" t="s">
        <v>2269</v>
      </c>
      <c r="J1" s="387" t="s">
        <v>1957</v>
      </c>
      <c r="K1" s="387" t="s">
        <v>2270</v>
      </c>
      <c r="L1" s="387" t="s">
        <v>2271</v>
      </c>
      <c r="M1" s="387" t="s">
        <v>2272</v>
      </c>
    </row>
    <row r="2" spans="1:21" x14ac:dyDescent="0.25">
      <c r="A2" s="388">
        <v>1.1000000000000001</v>
      </c>
      <c r="B2" s="388" t="s">
        <v>2224</v>
      </c>
      <c r="C2" s="389"/>
      <c r="D2" s="389"/>
      <c r="E2" s="389"/>
      <c r="F2" s="389"/>
      <c r="G2" s="389"/>
      <c r="H2" s="389"/>
      <c r="I2" s="389"/>
      <c r="J2" s="389"/>
      <c r="K2" s="389"/>
      <c r="L2" s="389"/>
      <c r="M2" s="389"/>
    </row>
    <row r="3" spans="1:21" ht="43.5" customHeight="1" x14ac:dyDescent="0.25">
      <c r="A3" s="323">
        <v>1</v>
      </c>
      <c r="B3" s="323" t="s">
        <v>2273</v>
      </c>
      <c r="C3" s="323" t="s">
        <v>2274</v>
      </c>
      <c r="D3" s="323" t="s">
        <v>2224</v>
      </c>
      <c r="E3" s="323" t="s">
        <v>2275</v>
      </c>
      <c r="F3" s="323" t="s">
        <v>2276</v>
      </c>
      <c r="G3" s="323" t="s">
        <v>2276</v>
      </c>
      <c r="H3" s="381"/>
      <c r="I3" s="381"/>
      <c r="J3" s="390" t="s">
        <v>2277</v>
      </c>
      <c r="K3" s="381"/>
      <c r="L3" s="381"/>
      <c r="M3" s="307" t="s">
        <v>2278</v>
      </c>
      <c r="O3" s="391" t="s">
        <v>2279</v>
      </c>
      <c r="P3" s="391" t="s">
        <v>2280</v>
      </c>
      <c r="Q3" s="391" t="s">
        <v>1953</v>
      </c>
      <c r="R3" s="391" t="s">
        <v>1957</v>
      </c>
      <c r="S3" s="391" t="s">
        <v>1485</v>
      </c>
      <c r="T3" s="391" t="s">
        <v>2281</v>
      </c>
      <c r="U3" s="391" t="s">
        <v>1859</v>
      </c>
    </row>
    <row r="4" spans="1:21" ht="15.75" x14ac:dyDescent="0.25">
      <c r="A4" s="507">
        <v>2</v>
      </c>
      <c r="B4" s="507" t="s">
        <v>2282</v>
      </c>
      <c r="C4" s="507" t="s">
        <v>2274</v>
      </c>
      <c r="D4" s="507" t="s">
        <v>2224</v>
      </c>
      <c r="E4" s="507" t="s">
        <v>2283</v>
      </c>
      <c r="F4" s="507" t="s">
        <v>2284</v>
      </c>
      <c r="G4" s="507" t="s">
        <v>2276</v>
      </c>
      <c r="H4" s="507">
        <v>179</v>
      </c>
      <c r="I4" s="505"/>
      <c r="J4" s="547">
        <v>246</v>
      </c>
      <c r="K4" s="505"/>
      <c r="L4" s="505"/>
      <c r="M4" s="313" t="s">
        <v>2285</v>
      </c>
      <c r="O4" s="392" t="s">
        <v>1806</v>
      </c>
      <c r="P4" s="393" t="s">
        <v>2286</v>
      </c>
      <c r="Q4" s="393">
        <v>179</v>
      </c>
      <c r="R4" s="393">
        <v>246</v>
      </c>
      <c r="S4" s="393">
        <v>96</v>
      </c>
      <c r="T4" s="393">
        <v>288</v>
      </c>
      <c r="U4" s="393" t="s">
        <v>2287</v>
      </c>
    </row>
    <row r="5" spans="1:21" ht="15.75" x14ac:dyDescent="0.25">
      <c r="A5" s="546"/>
      <c r="B5" s="546"/>
      <c r="C5" s="546"/>
      <c r="D5" s="546"/>
      <c r="E5" s="546"/>
      <c r="F5" s="546"/>
      <c r="G5" s="546"/>
      <c r="H5" s="546"/>
      <c r="I5" s="543"/>
      <c r="J5" s="548"/>
      <c r="K5" s="543"/>
      <c r="L5" s="543"/>
      <c r="M5" s="394" t="s">
        <v>2288</v>
      </c>
      <c r="O5" s="392" t="s">
        <v>2289</v>
      </c>
      <c r="P5" s="393" t="s">
        <v>2290</v>
      </c>
      <c r="Q5" s="393"/>
      <c r="R5" s="393">
        <v>193</v>
      </c>
      <c r="S5" s="393">
        <v>96</v>
      </c>
      <c r="T5" s="393">
        <v>288</v>
      </c>
      <c r="U5" s="393" t="s">
        <v>2291</v>
      </c>
    </row>
    <row r="6" spans="1:21" ht="15.75" x14ac:dyDescent="0.25">
      <c r="A6" s="508"/>
      <c r="B6" s="508"/>
      <c r="C6" s="508"/>
      <c r="D6" s="508"/>
      <c r="E6" s="508"/>
      <c r="F6" s="508"/>
      <c r="G6" s="508"/>
      <c r="H6" s="508"/>
      <c r="I6" s="506"/>
      <c r="J6" s="549"/>
      <c r="K6" s="506"/>
      <c r="L6" s="506"/>
      <c r="M6" s="325"/>
      <c r="O6" s="392" t="s">
        <v>1808</v>
      </c>
      <c r="P6" s="393" t="s">
        <v>2290</v>
      </c>
      <c r="Q6" s="393">
        <v>60</v>
      </c>
      <c r="R6" s="393">
        <v>0</v>
      </c>
      <c r="S6" s="393">
        <v>96</v>
      </c>
      <c r="T6" s="393">
        <v>288</v>
      </c>
      <c r="U6" s="393" t="s">
        <v>2291</v>
      </c>
    </row>
    <row r="7" spans="1:21" x14ac:dyDescent="0.25">
      <c r="A7" s="507">
        <v>3</v>
      </c>
      <c r="B7" s="507" t="s">
        <v>2292</v>
      </c>
      <c r="C7" s="507" t="s">
        <v>2274</v>
      </c>
      <c r="D7" s="507" t="s">
        <v>2224</v>
      </c>
      <c r="E7" s="507" t="s">
        <v>2293</v>
      </c>
      <c r="F7" s="507" t="s">
        <v>2294</v>
      </c>
      <c r="G7" s="507" t="s">
        <v>2276</v>
      </c>
      <c r="H7" s="507">
        <v>68</v>
      </c>
      <c r="I7" s="505"/>
      <c r="J7" s="547" t="s">
        <v>2295</v>
      </c>
      <c r="K7" s="505"/>
      <c r="L7" s="505"/>
      <c r="M7" s="313" t="s">
        <v>2296</v>
      </c>
    </row>
    <row r="8" spans="1:21" x14ac:dyDescent="0.25">
      <c r="A8" s="508"/>
      <c r="B8" s="508"/>
      <c r="C8" s="508"/>
      <c r="D8" s="508"/>
      <c r="E8" s="508"/>
      <c r="F8" s="508"/>
      <c r="G8" s="508"/>
      <c r="H8" s="508"/>
      <c r="I8" s="506"/>
      <c r="J8" s="549"/>
      <c r="K8" s="506"/>
      <c r="L8" s="506"/>
      <c r="M8" s="325" t="s">
        <v>2297</v>
      </c>
    </row>
    <row r="9" spans="1:21" x14ac:dyDescent="0.25">
      <c r="A9" s="323">
        <v>4</v>
      </c>
      <c r="B9" s="323" t="s">
        <v>2298</v>
      </c>
      <c r="C9" s="323" t="s">
        <v>2274</v>
      </c>
      <c r="D9" s="323" t="s">
        <v>2224</v>
      </c>
      <c r="E9" s="323" t="s">
        <v>2299</v>
      </c>
      <c r="F9" s="323" t="s">
        <v>2276</v>
      </c>
      <c r="G9" s="323" t="s">
        <v>2276</v>
      </c>
      <c r="H9" s="381"/>
      <c r="I9" s="381"/>
      <c r="J9" s="390">
        <v>2</v>
      </c>
      <c r="K9" s="381"/>
      <c r="L9" s="381"/>
      <c r="M9" s="379" t="s">
        <v>2300</v>
      </c>
    </row>
    <row r="10" spans="1:21" x14ac:dyDescent="0.25">
      <c r="A10" s="323">
        <v>5</v>
      </c>
      <c r="B10" s="323" t="s">
        <v>2301</v>
      </c>
      <c r="C10" s="323" t="s">
        <v>2274</v>
      </c>
      <c r="D10" s="323" t="s">
        <v>2224</v>
      </c>
      <c r="E10" s="323" t="s">
        <v>2302</v>
      </c>
      <c r="F10" s="323" t="s">
        <v>2276</v>
      </c>
      <c r="G10" s="323" t="s">
        <v>2276</v>
      </c>
      <c r="H10" s="381"/>
      <c r="I10" s="381"/>
      <c r="J10" s="395">
        <v>20</v>
      </c>
      <c r="K10" s="381"/>
      <c r="L10" s="381"/>
      <c r="M10" s="379" t="s">
        <v>2303</v>
      </c>
    </row>
    <row r="11" spans="1:21" x14ac:dyDescent="0.25">
      <c r="A11" s="323">
        <v>6</v>
      </c>
      <c r="B11" s="323" t="s">
        <v>2304</v>
      </c>
      <c r="C11" s="323" t="s">
        <v>2274</v>
      </c>
      <c r="D11" s="323" t="s">
        <v>2224</v>
      </c>
      <c r="E11" s="323" t="s">
        <v>2305</v>
      </c>
      <c r="F11" s="323" t="s">
        <v>2276</v>
      </c>
      <c r="G11" s="323" t="s">
        <v>2276</v>
      </c>
      <c r="H11" s="379">
        <v>18</v>
      </c>
      <c r="I11" s="381"/>
      <c r="J11" s="396"/>
      <c r="K11" s="381"/>
      <c r="L11" s="381"/>
      <c r="M11" s="379" t="s">
        <v>2306</v>
      </c>
    </row>
    <row r="12" spans="1:21" x14ac:dyDescent="0.25">
      <c r="A12" s="323">
        <v>7</v>
      </c>
      <c r="B12" s="323" t="s">
        <v>2307</v>
      </c>
      <c r="C12" s="323" t="s">
        <v>2274</v>
      </c>
      <c r="D12" s="323" t="s">
        <v>2224</v>
      </c>
      <c r="E12" s="323">
        <v>18</v>
      </c>
      <c r="F12" s="323" t="s">
        <v>2276</v>
      </c>
      <c r="G12" s="323" t="s">
        <v>2276</v>
      </c>
      <c r="H12" s="381"/>
      <c r="I12" s="381"/>
      <c r="J12" s="396"/>
      <c r="K12" s="381"/>
      <c r="L12" s="381"/>
      <c r="M12" s="379" t="s">
        <v>2308</v>
      </c>
    </row>
    <row r="13" spans="1:21" x14ac:dyDescent="0.25">
      <c r="A13" s="323">
        <v>8</v>
      </c>
      <c r="B13" s="323" t="s">
        <v>2309</v>
      </c>
      <c r="C13" s="323" t="s">
        <v>2274</v>
      </c>
      <c r="D13" s="323" t="s">
        <v>2224</v>
      </c>
      <c r="E13" s="323" t="s">
        <v>2276</v>
      </c>
      <c r="F13" s="323" t="s">
        <v>2276</v>
      </c>
      <c r="G13" s="323" t="s">
        <v>2310</v>
      </c>
      <c r="H13" s="381"/>
      <c r="I13" s="381"/>
      <c r="J13" s="381"/>
      <c r="K13" s="381"/>
      <c r="L13" s="381"/>
      <c r="M13" s="379" t="s">
        <v>1957</v>
      </c>
    </row>
    <row r="14" spans="1:21" x14ac:dyDescent="0.25">
      <c r="A14" s="323">
        <v>9</v>
      </c>
      <c r="B14" s="323" t="s">
        <v>2311</v>
      </c>
      <c r="C14" s="323" t="s">
        <v>2312</v>
      </c>
      <c r="D14" s="323" t="s">
        <v>2224</v>
      </c>
      <c r="E14" s="323" t="s">
        <v>2313</v>
      </c>
      <c r="F14" s="323" t="s">
        <v>2276</v>
      </c>
      <c r="G14" s="323" t="s">
        <v>2276</v>
      </c>
      <c r="H14" s="381"/>
      <c r="I14" s="381"/>
      <c r="J14" s="381"/>
      <c r="K14" s="381"/>
      <c r="L14" s="381"/>
      <c r="M14" s="323" t="s">
        <v>2314</v>
      </c>
    </row>
    <row r="15" spans="1:21" x14ac:dyDescent="0.25">
      <c r="A15" s="507">
        <v>10</v>
      </c>
      <c r="B15" s="507" t="s">
        <v>2315</v>
      </c>
      <c r="C15" s="507" t="s">
        <v>2274</v>
      </c>
      <c r="D15" s="507" t="s">
        <v>2224</v>
      </c>
      <c r="E15" s="507">
        <v>9.6</v>
      </c>
      <c r="F15" s="507">
        <v>6</v>
      </c>
      <c r="G15" s="507" t="s">
        <v>2276</v>
      </c>
      <c r="H15" s="505">
        <v>7</v>
      </c>
      <c r="I15" s="505">
        <v>8</v>
      </c>
      <c r="J15" s="505"/>
      <c r="K15" s="505"/>
      <c r="L15" s="505"/>
      <c r="M15" s="313" t="s">
        <v>2316</v>
      </c>
    </row>
    <row r="16" spans="1:21" x14ac:dyDescent="0.25">
      <c r="A16" s="508"/>
      <c r="B16" s="508"/>
      <c r="C16" s="508"/>
      <c r="D16" s="508"/>
      <c r="E16" s="508"/>
      <c r="F16" s="508"/>
      <c r="G16" s="508"/>
      <c r="H16" s="506"/>
      <c r="I16" s="506"/>
      <c r="J16" s="506"/>
      <c r="K16" s="506"/>
      <c r="L16" s="506"/>
      <c r="M16" s="325" t="s">
        <v>2317</v>
      </c>
    </row>
    <row r="17" spans="1:13" x14ac:dyDescent="0.25">
      <c r="A17" s="323">
        <v>11</v>
      </c>
      <c r="B17" s="323" t="s">
        <v>2318</v>
      </c>
      <c r="C17" s="323" t="s">
        <v>2312</v>
      </c>
      <c r="D17" s="323" t="s">
        <v>2224</v>
      </c>
      <c r="E17" s="323">
        <v>755.19</v>
      </c>
      <c r="F17" s="323" t="s">
        <v>2276</v>
      </c>
      <c r="G17" s="323" t="s">
        <v>2276</v>
      </c>
      <c r="H17" s="381"/>
      <c r="I17" s="381"/>
      <c r="J17" s="381"/>
      <c r="K17" s="381"/>
      <c r="L17" s="381"/>
      <c r="M17" s="381" t="s">
        <v>1957</v>
      </c>
    </row>
    <row r="18" spans="1:13" x14ac:dyDescent="0.25">
      <c r="A18" s="323">
        <v>12</v>
      </c>
      <c r="B18" s="323" t="s">
        <v>2319</v>
      </c>
      <c r="C18" s="323" t="s">
        <v>2312</v>
      </c>
      <c r="D18" s="323" t="s">
        <v>2224</v>
      </c>
      <c r="E18" s="323" t="s">
        <v>2276</v>
      </c>
      <c r="F18" s="323" t="s">
        <v>2276</v>
      </c>
      <c r="G18" s="323" t="s">
        <v>2320</v>
      </c>
      <c r="H18" s="381"/>
      <c r="I18" s="381"/>
      <c r="J18" s="381"/>
      <c r="K18" s="381"/>
      <c r="L18" s="381"/>
      <c r="M18" s="323" t="s">
        <v>1957</v>
      </c>
    </row>
    <row r="19" spans="1:13" x14ac:dyDescent="0.25">
      <c r="A19" s="323">
        <v>13</v>
      </c>
      <c r="B19" s="323" t="s">
        <v>2321</v>
      </c>
      <c r="C19" s="323" t="s">
        <v>2312</v>
      </c>
      <c r="D19" s="323" t="s">
        <v>2224</v>
      </c>
      <c r="E19" s="323" t="s">
        <v>2276</v>
      </c>
      <c r="F19" s="323" t="s">
        <v>2276</v>
      </c>
      <c r="G19" s="323" t="s">
        <v>2322</v>
      </c>
      <c r="H19" s="381"/>
      <c r="I19" s="381"/>
      <c r="J19" s="381"/>
      <c r="K19" s="381"/>
      <c r="L19" s="381"/>
      <c r="M19" s="323" t="s">
        <v>1957</v>
      </c>
    </row>
    <row r="24" spans="1:13" x14ac:dyDescent="0.25">
      <c r="A24" s="553" t="s">
        <v>1855</v>
      </c>
      <c r="B24" s="550" t="s">
        <v>1948</v>
      </c>
      <c r="C24" s="551"/>
      <c r="D24" s="551"/>
      <c r="E24" s="551"/>
      <c r="F24" s="551"/>
      <c r="G24" s="551"/>
      <c r="H24" s="552"/>
    </row>
    <row r="25" spans="1:13" x14ac:dyDescent="0.25">
      <c r="A25" s="554"/>
      <c r="B25" s="397" t="s">
        <v>2323</v>
      </c>
      <c r="C25" s="397" t="s">
        <v>1856</v>
      </c>
      <c r="D25" s="397" t="s">
        <v>1805</v>
      </c>
      <c r="E25" s="397" t="s">
        <v>1857</v>
      </c>
      <c r="F25" s="397" t="s">
        <v>2324</v>
      </c>
      <c r="G25" s="397" t="s">
        <v>1859</v>
      </c>
      <c r="H25" s="397" t="s">
        <v>1860</v>
      </c>
    </row>
    <row r="26" spans="1:13" x14ac:dyDescent="0.25">
      <c r="A26" s="398"/>
      <c r="B26" s="398"/>
      <c r="C26" s="398"/>
      <c r="D26" s="398"/>
      <c r="E26" s="398"/>
      <c r="F26" s="398"/>
      <c r="G26" s="398"/>
      <c r="H26" s="398"/>
    </row>
    <row r="27" spans="1:13" x14ac:dyDescent="0.25">
      <c r="A27" s="399" t="s">
        <v>2273</v>
      </c>
      <c r="B27" s="399" t="s">
        <v>2325</v>
      </c>
      <c r="C27" s="399" t="s">
        <v>2239</v>
      </c>
      <c r="D27" s="399" t="s">
        <v>2326</v>
      </c>
      <c r="E27" s="399" t="s">
        <v>1955</v>
      </c>
      <c r="F27" s="399" t="s">
        <v>2327</v>
      </c>
      <c r="G27" s="399" t="s">
        <v>2328</v>
      </c>
      <c r="H27" s="399" t="s">
        <v>2328</v>
      </c>
    </row>
    <row r="28" spans="1:13" x14ac:dyDescent="0.25">
      <c r="A28" s="399" t="s">
        <v>2282</v>
      </c>
      <c r="B28" s="399" t="s">
        <v>2325</v>
      </c>
      <c r="C28" s="399" t="s">
        <v>2239</v>
      </c>
      <c r="D28" s="399" t="s">
        <v>2326</v>
      </c>
      <c r="E28" s="399" t="s">
        <v>1955</v>
      </c>
      <c r="F28" s="399" t="s">
        <v>2327</v>
      </c>
      <c r="G28" s="399" t="s">
        <v>2329</v>
      </c>
      <c r="H28" s="399" t="s">
        <v>2328</v>
      </c>
    </row>
    <row r="29" spans="1:13" x14ac:dyDescent="0.25">
      <c r="A29" s="399" t="s">
        <v>2292</v>
      </c>
      <c r="B29" s="399" t="s">
        <v>2330</v>
      </c>
      <c r="C29" s="399" t="s">
        <v>2239</v>
      </c>
      <c r="D29" s="399" t="s">
        <v>2331</v>
      </c>
      <c r="E29" s="399" t="s">
        <v>1955</v>
      </c>
      <c r="F29" s="399" t="s">
        <v>2327</v>
      </c>
      <c r="G29" s="400" t="s">
        <v>2329</v>
      </c>
      <c r="H29" s="399" t="s">
        <v>2328</v>
      </c>
    </row>
    <row r="30" spans="1:13" x14ac:dyDescent="0.25">
      <c r="A30" s="399" t="s">
        <v>2298</v>
      </c>
      <c r="B30" s="399" t="s">
        <v>2330</v>
      </c>
      <c r="C30" s="399" t="s">
        <v>2239</v>
      </c>
      <c r="D30" s="399" t="s">
        <v>2332</v>
      </c>
      <c r="E30" s="399" t="s">
        <v>1955</v>
      </c>
      <c r="F30" s="399" t="s">
        <v>2327</v>
      </c>
      <c r="G30" s="400" t="s">
        <v>2329</v>
      </c>
      <c r="H30" s="399" t="s">
        <v>2328</v>
      </c>
    </row>
    <row r="31" spans="1:13" x14ac:dyDescent="0.25">
      <c r="A31" s="555" t="s">
        <v>2333</v>
      </c>
      <c r="B31" s="555" t="s">
        <v>2334</v>
      </c>
      <c r="C31" s="555" t="s">
        <v>2239</v>
      </c>
      <c r="D31" s="555" t="s">
        <v>2335</v>
      </c>
      <c r="E31" s="401" t="s">
        <v>1955</v>
      </c>
      <c r="F31" s="555" t="s">
        <v>2327</v>
      </c>
      <c r="G31" s="555" t="s">
        <v>2328</v>
      </c>
      <c r="H31" s="555" t="s">
        <v>2328</v>
      </c>
    </row>
    <row r="32" spans="1:13" x14ac:dyDescent="0.25">
      <c r="A32" s="556"/>
      <c r="B32" s="556"/>
      <c r="C32" s="556"/>
      <c r="D32" s="556"/>
      <c r="E32" s="402" t="s">
        <v>2336</v>
      </c>
      <c r="F32" s="556"/>
      <c r="G32" s="556"/>
      <c r="H32" s="556"/>
    </row>
    <row r="33" spans="1:8" x14ac:dyDescent="0.25">
      <c r="A33" s="555" t="s">
        <v>2301</v>
      </c>
      <c r="B33" s="555" t="s">
        <v>2330</v>
      </c>
      <c r="C33" s="555" t="s">
        <v>2239</v>
      </c>
      <c r="D33" s="401" t="s">
        <v>2337</v>
      </c>
      <c r="E33" s="401" t="s">
        <v>1955</v>
      </c>
      <c r="F33" s="555" t="s">
        <v>2327</v>
      </c>
      <c r="G33" s="555" t="s">
        <v>2328</v>
      </c>
      <c r="H33" s="555" t="s">
        <v>2328</v>
      </c>
    </row>
    <row r="34" spans="1:8" x14ac:dyDescent="0.25">
      <c r="A34" s="556"/>
      <c r="B34" s="556"/>
      <c r="C34" s="556"/>
      <c r="D34" s="402" t="s">
        <v>2338</v>
      </c>
      <c r="E34" s="402" t="s">
        <v>2339</v>
      </c>
      <c r="F34" s="556"/>
      <c r="G34" s="556"/>
      <c r="H34" s="556"/>
    </row>
    <row r="35" spans="1:8" x14ac:dyDescent="0.25">
      <c r="A35" s="555" t="s">
        <v>2340</v>
      </c>
      <c r="B35" s="555" t="s">
        <v>2341</v>
      </c>
      <c r="C35" s="555" t="s">
        <v>2342</v>
      </c>
      <c r="D35" s="555" t="s">
        <v>2338</v>
      </c>
      <c r="E35" s="401" t="s">
        <v>2343</v>
      </c>
      <c r="F35" s="555" t="s">
        <v>2327</v>
      </c>
      <c r="G35" s="555" t="s">
        <v>2328</v>
      </c>
      <c r="H35" s="555" t="s">
        <v>2344</v>
      </c>
    </row>
    <row r="36" spans="1:8" x14ac:dyDescent="0.25">
      <c r="A36" s="556"/>
      <c r="B36" s="556"/>
      <c r="C36" s="556"/>
      <c r="D36" s="556"/>
      <c r="E36" s="402" t="s">
        <v>2339</v>
      </c>
      <c r="F36" s="556"/>
      <c r="G36" s="556"/>
      <c r="H36" s="556"/>
    </row>
    <row r="37" spans="1:8" x14ac:dyDescent="0.25">
      <c r="A37" s="555" t="s">
        <v>2304</v>
      </c>
      <c r="B37" s="555" t="s">
        <v>2341</v>
      </c>
      <c r="C37" s="555" t="s">
        <v>2342</v>
      </c>
      <c r="D37" s="555" t="s">
        <v>2338</v>
      </c>
      <c r="E37" s="401" t="s">
        <v>2345</v>
      </c>
      <c r="F37" s="555" t="s">
        <v>2346</v>
      </c>
      <c r="G37" s="557" t="s">
        <v>2329</v>
      </c>
      <c r="H37" s="555" t="s">
        <v>2344</v>
      </c>
    </row>
    <row r="38" spans="1:8" x14ac:dyDescent="0.25">
      <c r="A38" s="556"/>
      <c r="B38" s="556"/>
      <c r="C38" s="556"/>
      <c r="D38" s="556"/>
      <c r="E38" s="402" t="s">
        <v>2339</v>
      </c>
      <c r="F38" s="556"/>
      <c r="G38" s="558"/>
      <c r="H38" s="556"/>
    </row>
    <row r="39" spans="1:8" x14ac:dyDescent="0.25">
      <c r="A39" s="555" t="s">
        <v>2347</v>
      </c>
      <c r="B39" s="555" t="s">
        <v>2334</v>
      </c>
      <c r="C39" s="555" t="s">
        <v>2239</v>
      </c>
      <c r="D39" s="401" t="s">
        <v>2337</v>
      </c>
      <c r="E39" s="401" t="s">
        <v>1955</v>
      </c>
      <c r="F39" s="555" t="s">
        <v>2327</v>
      </c>
      <c r="G39" s="555" t="s">
        <v>2328</v>
      </c>
      <c r="H39" s="555" t="s">
        <v>2328</v>
      </c>
    </row>
    <row r="40" spans="1:8" x14ac:dyDescent="0.25">
      <c r="A40" s="559"/>
      <c r="B40" s="559"/>
      <c r="C40" s="559"/>
      <c r="D40" s="403" t="s">
        <v>2338</v>
      </c>
      <c r="E40" s="403" t="s">
        <v>2348</v>
      </c>
      <c r="F40" s="559"/>
      <c r="G40" s="559"/>
      <c r="H40" s="559"/>
    </row>
    <row r="41" spans="1:8" x14ac:dyDescent="0.25">
      <c r="A41" s="556"/>
      <c r="B41" s="556"/>
      <c r="C41" s="556"/>
      <c r="D41" s="402"/>
      <c r="E41" s="402" t="s">
        <v>2339</v>
      </c>
      <c r="F41" s="556"/>
      <c r="G41" s="556"/>
      <c r="H41" s="556"/>
    </row>
    <row r="42" spans="1:8" x14ac:dyDescent="0.25">
      <c r="A42" s="555" t="s">
        <v>2349</v>
      </c>
      <c r="B42" s="555" t="s">
        <v>2334</v>
      </c>
      <c r="C42" s="555" t="s">
        <v>2239</v>
      </c>
      <c r="D42" s="555" t="s">
        <v>2338</v>
      </c>
      <c r="E42" s="401" t="s">
        <v>1955</v>
      </c>
      <c r="F42" s="555" t="s">
        <v>2327</v>
      </c>
      <c r="G42" s="555" t="s">
        <v>2328</v>
      </c>
      <c r="H42" s="555" t="s">
        <v>2328</v>
      </c>
    </row>
    <row r="43" spans="1:8" x14ac:dyDescent="0.25">
      <c r="A43" s="559"/>
      <c r="B43" s="559"/>
      <c r="C43" s="559"/>
      <c r="D43" s="559"/>
      <c r="E43" s="403" t="s">
        <v>2350</v>
      </c>
      <c r="F43" s="559"/>
      <c r="G43" s="559"/>
      <c r="H43" s="559"/>
    </row>
    <row r="44" spans="1:8" x14ac:dyDescent="0.25">
      <c r="A44" s="556"/>
      <c r="B44" s="556"/>
      <c r="C44" s="556"/>
      <c r="D44" s="556"/>
      <c r="E44" s="402" t="s">
        <v>2339</v>
      </c>
      <c r="F44" s="556"/>
      <c r="G44" s="556"/>
      <c r="H44" s="556"/>
    </row>
    <row r="45" spans="1:8" x14ac:dyDescent="0.25">
      <c r="A45" s="555" t="s">
        <v>2351</v>
      </c>
      <c r="B45" s="555" t="s">
        <v>2330</v>
      </c>
      <c r="C45" s="555" t="s">
        <v>2239</v>
      </c>
      <c r="D45" s="555" t="s">
        <v>2338</v>
      </c>
      <c r="E45" s="401" t="s">
        <v>1955</v>
      </c>
      <c r="F45" s="555" t="s">
        <v>2327</v>
      </c>
      <c r="G45" s="555" t="s">
        <v>2328</v>
      </c>
      <c r="H45" s="555" t="s">
        <v>2328</v>
      </c>
    </row>
    <row r="46" spans="1:8" x14ac:dyDescent="0.25">
      <c r="A46" s="556"/>
      <c r="B46" s="556"/>
      <c r="C46" s="556"/>
      <c r="D46" s="556"/>
      <c r="E46" s="402" t="s">
        <v>2352</v>
      </c>
      <c r="F46" s="556"/>
      <c r="G46" s="556"/>
      <c r="H46" s="556"/>
    </row>
    <row r="47" spans="1:8" x14ac:dyDescent="0.25">
      <c r="A47" s="560" t="s">
        <v>2353</v>
      </c>
      <c r="B47" s="555" t="s">
        <v>2334</v>
      </c>
      <c r="C47" s="555" t="s">
        <v>2354</v>
      </c>
      <c r="D47" s="555" t="s">
        <v>2335</v>
      </c>
      <c r="E47" s="401" t="s">
        <v>2355</v>
      </c>
      <c r="F47" s="555" t="s">
        <v>2327</v>
      </c>
      <c r="G47" s="555" t="s">
        <v>2328</v>
      </c>
      <c r="H47" s="555" t="s">
        <v>2328</v>
      </c>
    </row>
    <row r="48" spans="1:8" x14ac:dyDescent="0.25">
      <c r="A48" s="561"/>
      <c r="B48" s="559"/>
      <c r="C48" s="559"/>
      <c r="D48" s="559"/>
      <c r="E48" s="403" t="s">
        <v>2356</v>
      </c>
      <c r="F48" s="559"/>
      <c r="G48" s="559"/>
      <c r="H48" s="559"/>
    </row>
    <row r="49" spans="1:10" x14ac:dyDescent="0.25">
      <c r="A49" s="561"/>
      <c r="B49" s="559"/>
      <c r="C49" s="559"/>
      <c r="D49" s="559"/>
      <c r="E49" s="403" t="s">
        <v>2357</v>
      </c>
      <c r="F49" s="559"/>
      <c r="G49" s="559"/>
      <c r="H49" s="559"/>
    </row>
    <row r="50" spans="1:10" x14ac:dyDescent="0.25">
      <c r="A50" s="562"/>
      <c r="B50" s="556"/>
      <c r="C50" s="556"/>
      <c r="D50" s="556"/>
      <c r="E50" s="402" t="s">
        <v>2343</v>
      </c>
      <c r="F50" s="556"/>
      <c r="G50" s="556"/>
      <c r="H50" s="556"/>
    </row>
    <row r="51" spans="1:10" x14ac:dyDescent="0.25">
      <c r="A51" s="404">
        <v>2.2000000000000002</v>
      </c>
      <c r="B51" s="404" t="s">
        <v>2358</v>
      </c>
      <c r="C51" s="405"/>
      <c r="D51" s="405"/>
      <c r="E51" s="406"/>
      <c r="F51" s="406"/>
      <c r="G51" s="406"/>
      <c r="H51" s="406"/>
      <c r="I51" s="406"/>
      <c r="J51" s="406"/>
    </row>
    <row r="52" spans="1:10" x14ac:dyDescent="0.25">
      <c r="I52" s="407" t="s">
        <v>2359</v>
      </c>
      <c r="J52" s="407" t="s">
        <v>2360</v>
      </c>
    </row>
    <row r="53" spans="1:10" ht="45" x14ac:dyDescent="0.25">
      <c r="A53" s="278">
        <v>1</v>
      </c>
      <c r="B53" s="284" t="s">
        <v>2361</v>
      </c>
      <c r="C53" s="284" t="s">
        <v>2362</v>
      </c>
      <c r="D53" s="367" t="s">
        <v>2363</v>
      </c>
      <c r="E53" s="408"/>
      <c r="F53" s="408"/>
      <c r="G53" s="408"/>
      <c r="H53" s="408"/>
      <c r="I53" s="408">
        <f>59*3.8</f>
        <v>224.2</v>
      </c>
      <c r="J53" s="408">
        <f>93*2.4</f>
        <v>223.2</v>
      </c>
    </row>
    <row r="54" spans="1:10" ht="45" x14ac:dyDescent="0.25">
      <c r="A54" s="278">
        <v>2</v>
      </c>
      <c r="B54" s="284" t="s">
        <v>2364</v>
      </c>
      <c r="C54" s="284" t="s">
        <v>2362</v>
      </c>
      <c r="D54" s="409" t="s">
        <v>2365</v>
      </c>
      <c r="E54" s="408"/>
      <c r="F54" s="408"/>
      <c r="G54" s="408"/>
      <c r="H54" s="408"/>
      <c r="I54" s="408">
        <f>59*3.8</f>
        <v>224.2</v>
      </c>
      <c r="J54" s="408">
        <f>93*2.4</f>
        <v>223.2</v>
      </c>
    </row>
  </sheetData>
  <mergeCells count="92">
    <mergeCell ref="G47:G50"/>
    <mergeCell ref="H47:H50"/>
    <mergeCell ref="A47:A50"/>
    <mergeCell ref="B47:B50"/>
    <mergeCell ref="C47:C50"/>
    <mergeCell ref="D47:D50"/>
    <mergeCell ref="F47:F50"/>
    <mergeCell ref="G42:G44"/>
    <mergeCell ref="H42:H44"/>
    <mergeCell ref="A45:A46"/>
    <mergeCell ref="B45:B46"/>
    <mergeCell ref="C45:C46"/>
    <mergeCell ref="D45:D46"/>
    <mergeCell ref="F45:F46"/>
    <mergeCell ref="G45:G46"/>
    <mergeCell ref="H45:H46"/>
    <mergeCell ref="A42:A44"/>
    <mergeCell ref="B42:B44"/>
    <mergeCell ref="C42:C44"/>
    <mergeCell ref="D42:D44"/>
    <mergeCell ref="F42:F44"/>
    <mergeCell ref="G37:G38"/>
    <mergeCell ref="H37:H38"/>
    <mergeCell ref="A39:A41"/>
    <mergeCell ref="B39:B41"/>
    <mergeCell ref="C39:C41"/>
    <mergeCell ref="F39:F41"/>
    <mergeCell ref="G39:G41"/>
    <mergeCell ref="H39:H41"/>
    <mergeCell ref="A37:A38"/>
    <mergeCell ref="B37:B38"/>
    <mergeCell ref="C37:C38"/>
    <mergeCell ref="D37:D38"/>
    <mergeCell ref="F37:F38"/>
    <mergeCell ref="H33:H34"/>
    <mergeCell ref="A35:A36"/>
    <mergeCell ref="B35:B36"/>
    <mergeCell ref="C35:C36"/>
    <mergeCell ref="D35:D36"/>
    <mergeCell ref="F35:F36"/>
    <mergeCell ref="G35:G36"/>
    <mergeCell ref="H35:H36"/>
    <mergeCell ref="A33:A34"/>
    <mergeCell ref="B33:B34"/>
    <mergeCell ref="C33:C34"/>
    <mergeCell ref="F33:F34"/>
    <mergeCell ref="G33:G34"/>
    <mergeCell ref="K15:K16"/>
    <mergeCell ref="L15:L16"/>
    <mergeCell ref="B24:H24"/>
    <mergeCell ref="A24:A25"/>
    <mergeCell ref="A31:A32"/>
    <mergeCell ref="B31:B32"/>
    <mergeCell ref="C31:C32"/>
    <mergeCell ref="D31:D32"/>
    <mergeCell ref="F31:F32"/>
    <mergeCell ref="G31:G32"/>
    <mergeCell ref="H31:H32"/>
    <mergeCell ref="F15:F16"/>
    <mergeCell ref="G15:G16"/>
    <mergeCell ref="H15:H16"/>
    <mergeCell ref="I15:I16"/>
    <mergeCell ref="J15:J16"/>
    <mergeCell ref="A15:A16"/>
    <mergeCell ref="B15:B16"/>
    <mergeCell ref="C15:C16"/>
    <mergeCell ref="D15:D16"/>
    <mergeCell ref="E15:E16"/>
    <mergeCell ref="K4:K6"/>
    <mergeCell ref="L4:L6"/>
    <mergeCell ref="A7:A8"/>
    <mergeCell ref="B7:B8"/>
    <mergeCell ref="C7:C8"/>
    <mergeCell ref="D7:D8"/>
    <mergeCell ref="E7:E8"/>
    <mergeCell ref="F7:F8"/>
    <mergeCell ref="G7:G8"/>
    <mergeCell ref="H7:H8"/>
    <mergeCell ref="I7:I8"/>
    <mergeCell ref="J7:J8"/>
    <mergeCell ref="K7:K8"/>
    <mergeCell ref="L7:L8"/>
    <mergeCell ref="F4:F6"/>
    <mergeCell ref="G4:G6"/>
    <mergeCell ref="H4:H6"/>
    <mergeCell ref="I4:I6"/>
    <mergeCell ref="J4:J6"/>
    <mergeCell ref="A4:A6"/>
    <mergeCell ref="B4:B6"/>
    <mergeCell ref="C4:C6"/>
    <mergeCell ref="D4:D6"/>
    <mergeCell ref="E4:E6"/>
  </mergeCells>
  <printOptions gridLines="1" gridLinesSet="0"/>
  <pageMargins left="0.70078740157480324" right="0.70078740157480324" top="0.75196850393700787" bottom="0.75196850393700787" header="0.5" footer="0.5"/>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95"/>
  <sheetViews>
    <sheetView workbookViewId="0">
      <pane ySplit="1" topLeftCell="A2" activePane="bottomLeft" state="frozen"/>
      <selection pane="bottomLeft"/>
    </sheetView>
  </sheetViews>
  <sheetFormatPr defaultRowHeight="15" x14ac:dyDescent="0.25"/>
  <cols>
    <col min="1" max="1" width="4.28515625" style="410" bestFit="1"/>
    <col min="2" max="2" width="33" style="303" customWidth="1"/>
    <col min="3" max="3" width="21.7109375" style="303" customWidth="1"/>
    <col min="4" max="4" width="22.5703125" style="303" customWidth="1"/>
    <col min="5" max="5" width="12.140625" style="303" customWidth="1"/>
    <col min="6" max="6" width="19.42578125" style="303" bestFit="1"/>
    <col min="7" max="7" width="17.42578125" style="303" customWidth="1"/>
    <col min="8" max="8" width="12.42578125" style="303" customWidth="1"/>
    <col min="9" max="9" width="11.5703125" style="303" customWidth="1"/>
    <col min="10" max="10" width="9.140625" style="303" customWidth="1"/>
    <col min="11" max="11" width="7.85546875" style="303" customWidth="1"/>
    <col min="12" max="12" width="9.5703125" style="303" customWidth="1"/>
    <col min="13" max="13" width="7.42578125" style="303" customWidth="1"/>
    <col min="14" max="14" width="5.5703125" style="303" customWidth="1"/>
    <col min="15" max="15" width="19.85546875" style="303" bestFit="1" customWidth="1"/>
    <col min="16" max="16" width="20.28515625" style="303" customWidth="1"/>
    <col min="17" max="17" width="10.7109375" style="303" customWidth="1"/>
    <col min="18" max="18" width="9.5703125" style="303" customWidth="1"/>
    <col min="19" max="19" width="9" style="303" customWidth="1"/>
    <col min="20" max="21" width="9.140625" style="303"/>
    <col min="22" max="22" width="10.85546875" style="303" customWidth="1"/>
    <col min="23" max="16384" width="9.140625" style="303"/>
  </cols>
  <sheetData>
    <row r="1" spans="1:23" s="410" customFormat="1" ht="97.5" customHeight="1" x14ac:dyDescent="0.25">
      <c r="A1" s="411" t="s">
        <v>0</v>
      </c>
      <c r="B1" s="411" t="s">
        <v>2366</v>
      </c>
      <c r="C1" s="411" t="s">
        <v>2367</v>
      </c>
      <c r="D1" s="411" t="s">
        <v>2060</v>
      </c>
      <c r="E1" s="411" t="s">
        <v>2368</v>
      </c>
      <c r="F1" s="411" t="s">
        <v>2369</v>
      </c>
      <c r="G1" s="411" t="s">
        <v>2370</v>
      </c>
      <c r="H1" s="411" t="s">
        <v>2371</v>
      </c>
      <c r="I1" s="411" t="s">
        <v>2372</v>
      </c>
      <c r="J1" s="411" t="s">
        <v>1485</v>
      </c>
      <c r="K1" s="411" t="s">
        <v>1836</v>
      </c>
      <c r="L1" s="411" t="s">
        <v>2076</v>
      </c>
      <c r="M1" s="411" t="s">
        <v>2077</v>
      </c>
      <c r="N1" s="411" t="s">
        <v>2373</v>
      </c>
      <c r="O1" s="411" t="s">
        <v>2374</v>
      </c>
      <c r="P1" s="411" t="s">
        <v>2079</v>
      </c>
      <c r="Q1" s="411" t="s">
        <v>2375</v>
      </c>
      <c r="R1" s="411" t="s">
        <v>2376</v>
      </c>
      <c r="S1" s="411" t="s">
        <v>2</v>
      </c>
      <c r="T1" s="411" t="s">
        <v>2070</v>
      </c>
      <c r="U1" s="411" t="s">
        <v>2377</v>
      </c>
      <c r="V1" s="411" t="s">
        <v>13</v>
      </c>
      <c r="W1" s="411" t="s">
        <v>2378</v>
      </c>
    </row>
    <row r="2" spans="1:23" ht="39.75" customHeight="1" x14ac:dyDescent="0.25">
      <c r="A2" s="77">
        <v>1</v>
      </c>
      <c r="B2" s="412" t="s">
        <v>2379</v>
      </c>
      <c r="C2" s="412" t="s">
        <v>1497</v>
      </c>
      <c r="D2" s="412" t="s">
        <v>2380</v>
      </c>
      <c r="E2" s="412" t="s">
        <v>2381</v>
      </c>
      <c r="F2" s="412" t="s">
        <v>2382</v>
      </c>
      <c r="G2" s="412" t="s">
        <v>2383</v>
      </c>
      <c r="H2" s="412" t="s">
        <v>1797</v>
      </c>
      <c r="I2" s="412" t="s">
        <v>1797</v>
      </c>
      <c r="J2" s="412">
        <v>8</v>
      </c>
      <c r="K2" s="412">
        <v>64</v>
      </c>
      <c r="L2" s="412">
        <v>60</v>
      </c>
      <c r="M2" s="412">
        <v>1000</v>
      </c>
      <c r="N2" s="412" t="s">
        <v>1797</v>
      </c>
      <c r="O2" s="412" t="s">
        <v>2384</v>
      </c>
      <c r="P2" s="412" t="s">
        <v>2385</v>
      </c>
      <c r="Q2" s="412" t="s">
        <v>2386</v>
      </c>
      <c r="R2" s="412" t="s">
        <v>2387</v>
      </c>
      <c r="S2" s="412" t="s">
        <v>2388</v>
      </c>
      <c r="T2" s="412" t="s">
        <v>2389</v>
      </c>
      <c r="U2" s="412" t="s">
        <v>1797</v>
      </c>
      <c r="V2" s="412" t="s">
        <v>1797</v>
      </c>
    </row>
    <row r="3" spans="1:23" ht="39.75" customHeight="1" x14ac:dyDescent="0.25">
      <c r="A3" s="77">
        <v>2</v>
      </c>
      <c r="B3" s="412" t="s">
        <v>2379</v>
      </c>
      <c r="C3" s="412" t="s">
        <v>1497</v>
      </c>
      <c r="D3" s="412" t="s">
        <v>2380</v>
      </c>
      <c r="E3" s="412" t="s">
        <v>2390</v>
      </c>
      <c r="F3" s="412" t="s">
        <v>2391</v>
      </c>
      <c r="G3" s="412" t="s">
        <v>2392</v>
      </c>
      <c r="H3" s="412" t="s">
        <v>1797</v>
      </c>
      <c r="I3" s="412" t="s">
        <v>1797</v>
      </c>
      <c r="J3" s="412">
        <v>8</v>
      </c>
      <c r="K3" s="412">
        <v>24</v>
      </c>
      <c r="L3" s="412">
        <v>60</v>
      </c>
      <c r="M3" s="412">
        <v>240</v>
      </c>
      <c r="N3" s="412" t="s">
        <v>1797</v>
      </c>
      <c r="O3" s="412" t="s">
        <v>2384</v>
      </c>
      <c r="P3" s="412" t="s">
        <v>2385</v>
      </c>
      <c r="Q3" s="412" t="s">
        <v>2393</v>
      </c>
      <c r="R3" s="412" t="s">
        <v>2387</v>
      </c>
      <c r="S3" s="412" t="s">
        <v>2388</v>
      </c>
      <c r="T3" s="412" t="s">
        <v>2389</v>
      </c>
      <c r="U3" s="412" t="s">
        <v>1797</v>
      </c>
      <c r="V3" s="412" t="s">
        <v>1797</v>
      </c>
    </row>
    <row r="4" spans="1:23" ht="39.75" customHeight="1" x14ac:dyDescent="0.25">
      <c r="A4" s="77">
        <v>3</v>
      </c>
      <c r="B4" s="412" t="s">
        <v>2379</v>
      </c>
      <c r="C4" s="412" t="s">
        <v>1497</v>
      </c>
      <c r="D4" s="412" t="s">
        <v>2380</v>
      </c>
      <c r="E4" s="412" t="s">
        <v>2381</v>
      </c>
      <c r="F4" s="412" t="s">
        <v>2394</v>
      </c>
      <c r="G4" s="412" t="s">
        <v>2395</v>
      </c>
      <c r="H4" s="412" t="s">
        <v>1797</v>
      </c>
      <c r="I4" s="412" t="s">
        <v>1797</v>
      </c>
      <c r="J4" s="412">
        <v>8</v>
      </c>
      <c r="K4" s="412">
        <v>64</v>
      </c>
      <c r="L4" s="412">
        <v>60</v>
      </c>
      <c r="M4" s="412">
        <v>1000</v>
      </c>
      <c r="N4" s="412" t="s">
        <v>1797</v>
      </c>
      <c r="O4" s="412" t="s">
        <v>2088</v>
      </c>
      <c r="P4" s="412" t="s">
        <v>2089</v>
      </c>
      <c r="Q4" s="412" t="s">
        <v>2396</v>
      </c>
      <c r="R4" s="412" t="s">
        <v>2387</v>
      </c>
      <c r="S4" s="412" t="s">
        <v>2388</v>
      </c>
      <c r="T4" s="412" t="s">
        <v>2389</v>
      </c>
      <c r="U4" s="412" t="s">
        <v>1797</v>
      </c>
      <c r="V4" s="412" t="s">
        <v>1797</v>
      </c>
    </row>
    <row r="5" spans="1:23" ht="39.75" customHeight="1" x14ac:dyDescent="0.25">
      <c r="A5" s="77">
        <v>4</v>
      </c>
      <c r="B5" s="412" t="s">
        <v>2379</v>
      </c>
      <c r="C5" s="412" t="s">
        <v>1497</v>
      </c>
      <c r="D5" s="412" t="s">
        <v>2380</v>
      </c>
      <c r="E5" s="412" t="s">
        <v>2381</v>
      </c>
      <c r="F5" s="412" t="s">
        <v>2397</v>
      </c>
      <c r="G5" s="412" t="s">
        <v>2398</v>
      </c>
      <c r="H5" s="412" t="s">
        <v>1797</v>
      </c>
      <c r="I5" s="412" t="s">
        <v>1797</v>
      </c>
      <c r="J5" s="412">
        <v>8</v>
      </c>
      <c r="K5" s="412">
        <v>64</v>
      </c>
      <c r="L5" s="412">
        <v>60</v>
      </c>
      <c r="M5" s="412">
        <v>1000</v>
      </c>
      <c r="N5" s="412" t="s">
        <v>1797</v>
      </c>
      <c r="O5" s="412" t="s">
        <v>2384</v>
      </c>
      <c r="P5" s="412" t="s">
        <v>2385</v>
      </c>
      <c r="Q5" s="412" t="s">
        <v>2399</v>
      </c>
      <c r="R5" s="412" t="s">
        <v>2387</v>
      </c>
      <c r="S5" s="412" t="s">
        <v>2388</v>
      </c>
      <c r="T5" s="412" t="s">
        <v>2389</v>
      </c>
      <c r="U5" s="412" t="s">
        <v>1797</v>
      </c>
      <c r="V5" s="412" t="s">
        <v>1797</v>
      </c>
    </row>
    <row r="6" spans="1:23" ht="39.75" customHeight="1" x14ac:dyDescent="0.25">
      <c r="A6" s="77">
        <v>5</v>
      </c>
      <c r="B6" s="412" t="s">
        <v>2379</v>
      </c>
      <c r="C6" s="412" t="s">
        <v>1497</v>
      </c>
      <c r="D6" s="412" t="s">
        <v>2380</v>
      </c>
      <c r="E6" s="412" t="s">
        <v>2400</v>
      </c>
      <c r="F6" s="412" t="s">
        <v>2401</v>
      </c>
      <c r="G6" s="412" t="s">
        <v>2402</v>
      </c>
      <c r="H6" s="412" t="s">
        <v>1797</v>
      </c>
      <c r="I6" s="412" t="s">
        <v>1797</v>
      </c>
      <c r="J6" s="412">
        <v>24</v>
      </c>
      <c r="K6" s="412">
        <v>48</v>
      </c>
      <c r="L6" s="412">
        <v>60</v>
      </c>
      <c r="M6" s="412">
        <v>600</v>
      </c>
      <c r="N6" s="412" t="s">
        <v>1797</v>
      </c>
      <c r="O6" s="412" t="s">
        <v>2088</v>
      </c>
      <c r="P6" s="412" t="s">
        <v>2100</v>
      </c>
      <c r="Q6" s="412" t="s">
        <v>2403</v>
      </c>
      <c r="R6" s="412" t="s">
        <v>2387</v>
      </c>
      <c r="S6" s="412" t="s">
        <v>2388</v>
      </c>
      <c r="T6" s="412" t="s">
        <v>2389</v>
      </c>
      <c r="U6" s="412" t="s">
        <v>1797</v>
      </c>
      <c r="V6" s="412" t="s">
        <v>1797</v>
      </c>
    </row>
    <row r="7" spans="1:23" ht="39.75" customHeight="1" x14ac:dyDescent="0.25">
      <c r="A7" s="77">
        <v>6</v>
      </c>
      <c r="B7" s="412" t="s">
        <v>2379</v>
      </c>
      <c r="C7" s="412" t="s">
        <v>1497</v>
      </c>
      <c r="D7" s="412" t="s">
        <v>2380</v>
      </c>
      <c r="E7" s="412" t="s">
        <v>2381</v>
      </c>
      <c r="F7" s="412" t="s">
        <v>2404</v>
      </c>
      <c r="G7" s="412" t="s">
        <v>2405</v>
      </c>
      <c r="H7" s="412" t="s">
        <v>1797</v>
      </c>
      <c r="I7" s="412" t="s">
        <v>1797</v>
      </c>
      <c r="J7" s="412">
        <v>8</v>
      </c>
      <c r="K7" s="412">
        <v>64</v>
      </c>
      <c r="L7" s="412">
        <v>60</v>
      </c>
      <c r="M7" s="412">
        <v>1000</v>
      </c>
      <c r="N7" s="412" t="s">
        <v>1797</v>
      </c>
      <c r="O7" s="412" t="s">
        <v>2384</v>
      </c>
      <c r="P7" s="412" t="s">
        <v>2385</v>
      </c>
      <c r="Q7" s="412" t="s">
        <v>2406</v>
      </c>
      <c r="R7" s="412" t="s">
        <v>2387</v>
      </c>
      <c r="S7" s="412" t="s">
        <v>2388</v>
      </c>
      <c r="T7" s="412" t="s">
        <v>2389</v>
      </c>
      <c r="U7" s="412" t="s">
        <v>1797</v>
      </c>
      <c r="V7" s="412" t="s">
        <v>1797</v>
      </c>
    </row>
    <row r="8" spans="1:23" ht="39.75" customHeight="1" x14ac:dyDescent="0.25">
      <c r="A8" s="77">
        <v>7</v>
      </c>
      <c r="B8" s="412" t="s">
        <v>2379</v>
      </c>
      <c r="C8" s="412" t="s">
        <v>1497</v>
      </c>
      <c r="D8" s="412" t="s">
        <v>2380</v>
      </c>
      <c r="E8" s="412" t="s">
        <v>2381</v>
      </c>
      <c r="F8" s="412" t="s">
        <v>2407</v>
      </c>
      <c r="G8" s="412" t="s">
        <v>2408</v>
      </c>
      <c r="H8" s="412" t="s">
        <v>1797</v>
      </c>
      <c r="I8" s="412" t="s">
        <v>1797</v>
      </c>
      <c r="J8" s="412">
        <v>8</v>
      </c>
      <c r="K8" s="412">
        <v>64</v>
      </c>
      <c r="L8" s="412">
        <v>60</v>
      </c>
      <c r="M8" s="412">
        <v>1000</v>
      </c>
      <c r="N8" s="412" t="s">
        <v>1797</v>
      </c>
      <c r="O8" s="412" t="s">
        <v>2409</v>
      </c>
      <c r="P8" s="412" t="s">
        <v>2410</v>
      </c>
      <c r="Q8" s="412" t="s">
        <v>2411</v>
      </c>
      <c r="R8" s="412" t="s">
        <v>2387</v>
      </c>
      <c r="S8" s="412" t="s">
        <v>2388</v>
      </c>
      <c r="T8" s="412" t="s">
        <v>2389</v>
      </c>
      <c r="U8" s="412" t="s">
        <v>1797</v>
      </c>
      <c r="V8" s="412" t="s">
        <v>1797</v>
      </c>
    </row>
    <row r="9" spans="1:23" ht="39.75" customHeight="1" x14ac:dyDescent="0.25">
      <c r="A9" s="77">
        <v>8</v>
      </c>
      <c r="B9" s="412" t="s">
        <v>2379</v>
      </c>
      <c r="C9" s="412" t="s">
        <v>1497</v>
      </c>
      <c r="D9" s="412" t="s">
        <v>2380</v>
      </c>
      <c r="E9" s="412" t="s">
        <v>2412</v>
      </c>
      <c r="F9" s="412" t="s">
        <v>2413</v>
      </c>
      <c r="G9" s="412" t="s">
        <v>2414</v>
      </c>
      <c r="H9" s="412" t="s">
        <v>1797</v>
      </c>
      <c r="I9" s="412" t="s">
        <v>1797</v>
      </c>
      <c r="J9" s="412">
        <v>8</v>
      </c>
      <c r="K9" s="412">
        <v>24</v>
      </c>
      <c r="L9" s="412">
        <v>60</v>
      </c>
      <c r="M9" s="412">
        <v>240</v>
      </c>
      <c r="N9" s="412" t="s">
        <v>1797</v>
      </c>
      <c r="O9" s="412" t="s">
        <v>2088</v>
      </c>
      <c r="P9" s="412" t="s">
        <v>2199</v>
      </c>
      <c r="Q9" s="412" t="s">
        <v>2415</v>
      </c>
      <c r="R9" s="412" t="s">
        <v>2387</v>
      </c>
      <c r="S9" s="412" t="s">
        <v>2388</v>
      </c>
      <c r="T9" s="412" t="s">
        <v>2389</v>
      </c>
      <c r="U9" s="412" t="s">
        <v>1797</v>
      </c>
      <c r="V9" s="412" t="s">
        <v>1797</v>
      </c>
    </row>
    <row r="10" spans="1:23" ht="39.75" customHeight="1" x14ac:dyDescent="0.25">
      <c r="A10" s="77">
        <v>9</v>
      </c>
      <c r="B10" s="412" t="s">
        <v>2379</v>
      </c>
      <c r="C10" s="412" t="s">
        <v>1497</v>
      </c>
      <c r="D10" s="412" t="s">
        <v>2380</v>
      </c>
      <c r="E10" s="412" t="s">
        <v>2412</v>
      </c>
      <c r="F10" s="412" t="s">
        <v>2416</v>
      </c>
      <c r="G10" s="412" t="s">
        <v>2417</v>
      </c>
      <c r="H10" s="412" t="s">
        <v>1797</v>
      </c>
      <c r="I10" s="412" t="s">
        <v>1797</v>
      </c>
      <c r="J10" s="412">
        <v>8</v>
      </c>
      <c r="K10" s="412">
        <v>24</v>
      </c>
      <c r="L10" s="412">
        <v>60</v>
      </c>
      <c r="M10" s="412">
        <v>240</v>
      </c>
      <c r="N10" s="412" t="s">
        <v>1797</v>
      </c>
      <c r="O10" s="412" t="s">
        <v>2088</v>
      </c>
      <c r="P10" s="412" t="s">
        <v>2199</v>
      </c>
      <c r="Q10" s="412" t="s">
        <v>2418</v>
      </c>
      <c r="R10" s="412" t="s">
        <v>2387</v>
      </c>
      <c r="S10" s="412" t="s">
        <v>2388</v>
      </c>
      <c r="T10" s="412" t="s">
        <v>2389</v>
      </c>
      <c r="U10" s="412" t="s">
        <v>1797</v>
      </c>
      <c r="V10" s="412" t="s">
        <v>1797</v>
      </c>
    </row>
    <row r="11" spans="1:23" ht="39.75" customHeight="1" x14ac:dyDescent="0.25">
      <c r="A11" s="77">
        <v>10</v>
      </c>
      <c r="B11" s="412" t="s">
        <v>2379</v>
      </c>
      <c r="C11" s="412" t="s">
        <v>1497</v>
      </c>
      <c r="D11" s="412" t="s">
        <v>2380</v>
      </c>
      <c r="E11" s="412" t="s">
        <v>2381</v>
      </c>
      <c r="F11" s="412" t="s">
        <v>2419</v>
      </c>
      <c r="G11" s="412" t="s">
        <v>2420</v>
      </c>
      <c r="H11" s="412" t="s">
        <v>1797</v>
      </c>
      <c r="I11" s="412" t="s">
        <v>1797</v>
      </c>
      <c r="J11" s="412">
        <v>24</v>
      </c>
      <c r="K11" s="412">
        <v>64</v>
      </c>
      <c r="L11" s="412">
        <v>60</v>
      </c>
      <c r="M11" s="412">
        <v>2000</v>
      </c>
      <c r="N11" s="412" t="s">
        <v>1797</v>
      </c>
      <c r="O11" s="412" t="s">
        <v>2088</v>
      </c>
      <c r="P11" s="412" t="s">
        <v>2100</v>
      </c>
      <c r="Q11" s="412" t="s">
        <v>2421</v>
      </c>
      <c r="R11" s="412" t="s">
        <v>2387</v>
      </c>
      <c r="S11" s="412" t="s">
        <v>2388</v>
      </c>
      <c r="T11" s="412" t="s">
        <v>2389</v>
      </c>
      <c r="U11" s="412" t="s">
        <v>1797</v>
      </c>
      <c r="V11" s="412" t="s">
        <v>1797</v>
      </c>
    </row>
    <row r="12" spans="1:23" ht="39.75" customHeight="1" x14ac:dyDescent="0.25">
      <c r="A12" s="77">
        <v>11</v>
      </c>
      <c r="B12" s="412" t="s">
        <v>2379</v>
      </c>
      <c r="C12" s="412" t="s">
        <v>1497</v>
      </c>
      <c r="D12" s="412" t="s">
        <v>2380</v>
      </c>
      <c r="E12" s="412" t="s">
        <v>2422</v>
      </c>
      <c r="F12" s="412" t="s">
        <v>2423</v>
      </c>
      <c r="G12" s="412" t="s">
        <v>2424</v>
      </c>
      <c r="H12" s="412" t="s">
        <v>1797</v>
      </c>
      <c r="I12" s="412" t="s">
        <v>1797</v>
      </c>
      <c r="J12" s="412">
        <v>24</v>
      </c>
      <c r="K12" s="412">
        <v>64</v>
      </c>
      <c r="L12" s="412">
        <v>60</v>
      </c>
      <c r="M12" s="412">
        <v>2000</v>
      </c>
      <c r="N12" s="412" t="s">
        <v>1797</v>
      </c>
      <c r="O12" s="412" t="s">
        <v>2384</v>
      </c>
      <c r="P12" s="412" t="s">
        <v>2385</v>
      </c>
      <c r="Q12" s="412" t="s">
        <v>2425</v>
      </c>
      <c r="R12" s="412" t="s">
        <v>2387</v>
      </c>
      <c r="S12" s="412" t="s">
        <v>2388</v>
      </c>
      <c r="T12" s="412" t="s">
        <v>2389</v>
      </c>
      <c r="U12" s="412" t="s">
        <v>1797</v>
      </c>
      <c r="V12" s="412" t="s">
        <v>1797</v>
      </c>
    </row>
    <row r="13" spans="1:23" ht="39.75" customHeight="1" x14ac:dyDescent="0.25">
      <c r="A13" s="77">
        <v>12</v>
      </c>
      <c r="B13" s="412" t="s">
        <v>2379</v>
      </c>
      <c r="C13" s="412" t="s">
        <v>1497</v>
      </c>
      <c r="D13" s="412" t="s">
        <v>2380</v>
      </c>
      <c r="E13" s="412" t="s">
        <v>2422</v>
      </c>
      <c r="F13" s="412" t="s">
        <v>2426</v>
      </c>
      <c r="G13" s="412" t="s">
        <v>2427</v>
      </c>
      <c r="H13" s="412" t="s">
        <v>1797</v>
      </c>
      <c r="I13" s="412" t="s">
        <v>1797</v>
      </c>
      <c r="J13" s="412">
        <v>24</v>
      </c>
      <c r="K13" s="412">
        <v>64</v>
      </c>
      <c r="L13" s="412">
        <v>60</v>
      </c>
      <c r="M13" s="412">
        <v>2000</v>
      </c>
      <c r="N13" s="412" t="s">
        <v>1797</v>
      </c>
      <c r="O13" s="412" t="s">
        <v>2088</v>
      </c>
      <c r="P13" s="412" t="s">
        <v>2199</v>
      </c>
      <c r="Q13" s="412" t="s">
        <v>2428</v>
      </c>
      <c r="R13" s="412" t="s">
        <v>2387</v>
      </c>
      <c r="S13" s="412" t="s">
        <v>2388</v>
      </c>
      <c r="T13" s="412" t="s">
        <v>2389</v>
      </c>
      <c r="U13" s="412" t="s">
        <v>1797</v>
      </c>
      <c r="V13" s="412" t="s">
        <v>1797</v>
      </c>
    </row>
    <row r="14" spans="1:23" ht="39.75" customHeight="1" x14ac:dyDescent="0.25">
      <c r="A14" s="77">
        <v>13</v>
      </c>
      <c r="B14" s="412" t="s">
        <v>2379</v>
      </c>
      <c r="C14" s="412" t="s">
        <v>1497</v>
      </c>
      <c r="D14" s="412" t="s">
        <v>2380</v>
      </c>
      <c r="E14" s="412" t="s">
        <v>2422</v>
      </c>
      <c r="F14" s="412" t="s">
        <v>2429</v>
      </c>
      <c r="G14" s="412" t="s">
        <v>2430</v>
      </c>
      <c r="H14" s="412" t="s">
        <v>1797</v>
      </c>
      <c r="I14" s="412" t="s">
        <v>1797</v>
      </c>
      <c r="J14" s="412">
        <v>24</v>
      </c>
      <c r="K14" s="412">
        <v>64</v>
      </c>
      <c r="L14" s="412">
        <v>60</v>
      </c>
      <c r="M14" s="412">
        <v>2000</v>
      </c>
      <c r="N14" s="412" t="s">
        <v>1797</v>
      </c>
      <c r="O14" s="412" t="s">
        <v>2088</v>
      </c>
      <c r="P14" s="412" t="s">
        <v>2199</v>
      </c>
      <c r="Q14" s="412" t="s">
        <v>2431</v>
      </c>
      <c r="R14" s="412" t="s">
        <v>2387</v>
      </c>
      <c r="S14" s="412" t="s">
        <v>2388</v>
      </c>
      <c r="T14" s="412" t="s">
        <v>2389</v>
      </c>
      <c r="U14" s="412" t="s">
        <v>1797</v>
      </c>
      <c r="V14" s="412" t="s">
        <v>1797</v>
      </c>
    </row>
    <row r="15" spans="1:23" ht="39.75" customHeight="1" x14ac:dyDescent="0.25">
      <c r="A15" s="77">
        <v>14</v>
      </c>
      <c r="B15" s="412" t="s">
        <v>2379</v>
      </c>
      <c r="C15" s="412" t="s">
        <v>1497</v>
      </c>
      <c r="D15" s="412" t="s">
        <v>2380</v>
      </c>
      <c r="E15" s="412" t="s">
        <v>2390</v>
      </c>
      <c r="F15" s="412" t="s">
        <v>2391</v>
      </c>
      <c r="G15" s="412" t="s">
        <v>2432</v>
      </c>
      <c r="H15" s="412" t="s">
        <v>1797</v>
      </c>
      <c r="I15" s="412" t="s">
        <v>1797</v>
      </c>
      <c r="J15" s="412">
        <v>8</v>
      </c>
      <c r="K15" s="412">
        <v>24</v>
      </c>
      <c r="L15" s="412">
        <v>60</v>
      </c>
      <c r="M15" s="412">
        <v>240</v>
      </c>
      <c r="N15" s="412" t="s">
        <v>1797</v>
      </c>
      <c r="O15" s="412" t="s">
        <v>2384</v>
      </c>
      <c r="P15" s="412" t="s">
        <v>2385</v>
      </c>
      <c r="Q15" s="412" t="s">
        <v>2433</v>
      </c>
      <c r="R15" s="412" t="s">
        <v>2387</v>
      </c>
      <c r="S15" s="412" t="s">
        <v>2388</v>
      </c>
      <c r="T15" s="412" t="s">
        <v>2389</v>
      </c>
      <c r="U15" s="412" t="s">
        <v>1797</v>
      </c>
      <c r="V15" s="412" t="s">
        <v>1797</v>
      </c>
    </row>
    <row r="16" spans="1:23" ht="39.75" customHeight="1" x14ac:dyDescent="0.25">
      <c r="A16" s="77">
        <v>15</v>
      </c>
      <c r="B16" s="412" t="s">
        <v>2379</v>
      </c>
      <c r="C16" s="412" t="s">
        <v>1497</v>
      </c>
      <c r="D16" s="412" t="s">
        <v>2380</v>
      </c>
      <c r="E16" s="412" t="s">
        <v>2381</v>
      </c>
      <c r="F16" s="412" t="s">
        <v>2419</v>
      </c>
      <c r="G16" s="412" t="s">
        <v>2434</v>
      </c>
      <c r="H16" s="412" t="s">
        <v>1797</v>
      </c>
      <c r="I16" s="412" t="s">
        <v>1797</v>
      </c>
      <c r="J16" s="412">
        <v>24</v>
      </c>
      <c r="K16" s="412">
        <v>64</v>
      </c>
      <c r="L16" s="412">
        <v>60</v>
      </c>
      <c r="M16" s="412">
        <v>2000</v>
      </c>
      <c r="N16" s="412" t="s">
        <v>1797</v>
      </c>
      <c r="O16" s="412" t="s">
        <v>2088</v>
      </c>
      <c r="P16" s="412" t="s">
        <v>2089</v>
      </c>
      <c r="Q16" s="412" t="s">
        <v>2435</v>
      </c>
      <c r="R16" s="412" t="s">
        <v>2387</v>
      </c>
      <c r="S16" s="412" t="s">
        <v>2388</v>
      </c>
      <c r="T16" s="412" t="s">
        <v>2389</v>
      </c>
      <c r="U16" s="412" t="s">
        <v>1797</v>
      </c>
      <c r="V16" s="412" t="s">
        <v>1797</v>
      </c>
    </row>
    <row r="17" spans="1:22" ht="39.75" customHeight="1" x14ac:dyDescent="0.25">
      <c r="A17" s="77">
        <v>16</v>
      </c>
      <c r="B17" s="412" t="s">
        <v>2379</v>
      </c>
      <c r="C17" s="412" t="s">
        <v>1497</v>
      </c>
      <c r="D17" s="412" t="s">
        <v>2380</v>
      </c>
      <c r="E17" s="412" t="s">
        <v>2400</v>
      </c>
      <c r="F17" s="412" t="s">
        <v>2391</v>
      </c>
      <c r="G17" s="412" t="s">
        <v>2436</v>
      </c>
      <c r="H17" s="412" t="s">
        <v>1797</v>
      </c>
      <c r="I17" s="412" t="s">
        <v>1797</v>
      </c>
      <c r="J17" s="412">
        <v>24</v>
      </c>
      <c r="K17" s="412">
        <v>48</v>
      </c>
      <c r="L17" s="412">
        <v>60</v>
      </c>
      <c r="M17" s="412">
        <v>600</v>
      </c>
      <c r="N17" s="412" t="s">
        <v>1797</v>
      </c>
      <c r="O17" s="412" t="s">
        <v>2384</v>
      </c>
      <c r="P17" s="412" t="s">
        <v>2385</v>
      </c>
      <c r="Q17" s="412" t="s">
        <v>2437</v>
      </c>
      <c r="R17" s="412" t="s">
        <v>2387</v>
      </c>
      <c r="S17" s="412" t="s">
        <v>2388</v>
      </c>
      <c r="T17" s="412" t="s">
        <v>2389</v>
      </c>
      <c r="U17" s="412" t="s">
        <v>1797</v>
      </c>
      <c r="V17" s="412" t="s">
        <v>1797</v>
      </c>
    </row>
    <row r="18" spans="1:22" ht="39.75" customHeight="1" x14ac:dyDescent="0.25">
      <c r="A18" s="77">
        <v>17</v>
      </c>
      <c r="B18" s="412" t="s">
        <v>2379</v>
      </c>
      <c r="C18" s="412" t="s">
        <v>1497</v>
      </c>
      <c r="D18" s="412" t="s">
        <v>2380</v>
      </c>
      <c r="E18" s="412" t="s">
        <v>2390</v>
      </c>
      <c r="F18" s="412" t="s">
        <v>2438</v>
      </c>
      <c r="G18" s="412" t="s">
        <v>2439</v>
      </c>
      <c r="H18" s="412" t="s">
        <v>1797</v>
      </c>
      <c r="I18" s="412" t="s">
        <v>1797</v>
      </c>
      <c r="J18" s="412">
        <v>8</v>
      </c>
      <c r="K18" s="412">
        <v>24</v>
      </c>
      <c r="L18" s="412">
        <v>60</v>
      </c>
      <c r="M18" s="412">
        <v>240</v>
      </c>
      <c r="N18" s="412" t="s">
        <v>1797</v>
      </c>
      <c r="O18" s="412" t="s">
        <v>2384</v>
      </c>
      <c r="P18" s="412" t="s">
        <v>2385</v>
      </c>
      <c r="Q18" s="412" t="s">
        <v>2440</v>
      </c>
      <c r="R18" s="412" t="s">
        <v>2387</v>
      </c>
      <c r="S18" s="412" t="s">
        <v>2388</v>
      </c>
      <c r="T18" s="412" t="s">
        <v>2389</v>
      </c>
      <c r="U18" s="412" t="s">
        <v>1797</v>
      </c>
      <c r="V18" s="412" t="s">
        <v>1797</v>
      </c>
    </row>
    <row r="19" spans="1:22" ht="39.75" customHeight="1" x14ac:dyDescent="0.25">
      <c r="A19" s="77">
        <v>18</v>
      </c>
      <c r="B19" s="412" t="s">
        <v>2379</v>
      </c>
      <c r="C19" s="412" t="s">
        <v>1497</v>
      </c>
      <c r="D19" s="412" t="s">
        <v>2380</v>
      </c>
      <c r="E19" s="412" t="s">
        <v>2400</v>
      </c>
      <c r="F19" s="412" t="s">
        <v>2441</v>
      </c>
      <c r="G19" s="412" t="s">
        <v>2442</v>
      </c>
      <c r="H19" s="412" t="s">
        <v>1797</v>
      </c>
      <c r="I19" s="412" t="s">
        <v>1797</v>
      </c>
      <c r="J19" s="412">
        <v>24</v>
      </c>
      <c r="K19" s="412">
        <v>48</v>
      </c>
      <c r="L19" s="412">
        <v>60</v>
      </c>
      <c r="M19" s="412">
        <v>600</v>
      </c>
      <c r="N19" s="412" t="s">
        <v>1797</v>
      </c>
      <c r="O19" s="412" t="s">
        <v>2409</v>
      </c>
      <c r="P19" s="412" t="s">
        <v>2410</v>
      </c>
      <c r="Q19" s="412" t="s">
        <v>2443</v>
      </c>
      <c r="R19" s="412" t="s">
        <v>2387</v>
      </c>
      <c r="S19" s="412" t="s">
        <v>2388</v>
      </c>
      <c r="T19" s="412" t="s">
        <v>2389</v>
      </c>
      <c r="U19" s="412" t="s">
        <v>1797</v>
      </c>
      <c r="V19" s="412" t="s">
        <v>1797</v>
      </c>
    </row>
    <row r="20" spans="1:22" ht="39.75" customHeight="1" x14ac:dyDescent="0.25">
      <c r="A20" s="77">
        <v>19</v>
      </c>
      <c r="B20" s="412" t="s">
        <v>2379</v>
      </c>
      <c r="C20" s="412" t="s">
        <v>1497</v>
      </c>
      <c r="D20" s="412" t="s">
        <v>2380</v>
      </c>
      <c r="E20" s="412" t="s">
        <v>2422</v>
      </c>
      <c r="F20" s="412" t="s">
        <v>2444</v>
      </c>
      <c r="G20" s="412" t="s">
        <v>2445</v>
      </c>
      <c r="H20" s="412" t="s">
        <v>1797</v>
      </c>
      <c r="I20" s="412" t="s">
        <v>1797</v>
      </c>
      <c r="J20" s="412">
        <v>24</v>
      </c>
      <c r="K20" s="412">
        <v>64</v>
      </c>
      <c r="L20" s="412">
        <v>60</v>
      </c>
      <c r="M20" s="412">
        <v>2000</v>
      </c>
      <c r="N20" s="412" t="s">
        <v>1797</v>
      </c>
      <c r="O20" s="412" t="s">
        <v>2384</v>
      </c>
      <c r="P20" s="412" t="s">
        <v>2385</v>
      </c>
      <c r="Q20" s="412" t="s">
        <v>2446</v>
      </c>
      <c r="R20" s="412" t="s">
        <v>2387</v>
      </c>
      <c r="S20" s="412" t="s">
        <v>2388</v>
      </c>
      <c r="T20" s="412" t="s">
        <v>2389</v>
      </c>
      <c r="U20" s="412" t="s">
        <v>1797</v>
      </c>
      <c r="V20" s="412" t="s">
        <v>1797</v>
      </c>
    </row>
    <row r="21" spans="1:22" ht="39.75" customHeight="1" x14ac:dyDescent="0.25">
      <c r="A21" s="77">
        <v>20</v>
      </c>
      <c r="B21" s="412" t="s">
        <v>2379</v>
      </c>
      <c r="C21" s="412" t="s">
        <v>1497</v>
      </c>
      <c r="D21" s="412" t="s">
        <v>2380</v>
      </c>
      <c r="E21" s="412" t="s">
        <v>2390</v>
      </c>
      <c r="F21" s="412" t="s">
        <v>2447</v>
      </c>
      <c r="G21" s="412" t="s">
        <v>2448</v>
      </c>
      <c r="H21" s="412" t="s">
        <v>1797</v>
      </c>
      <c r="I21" s="412" t="s">
        <v>1797</v>
      </c>
      <c r="J21" s="412">
        <v>8</v>
      </c>
      <c r="K21" s="412">
        <v>24</v>
      </c>
      <c r="L21" s="412">
        <v>60</v>
      </c>
      <c r="M21" s="412">
        <v>240</v>
      </c>
      <c r="N21" s="412" t="s">
        <v>1797</v>
      </c>
      <c r="O21" s="412" t="s">
        <v>2384</v>
      </c>
      <c r="P21" s="412" t="s">
        <v>2385</v>
      </c>
      <c r="Q21" s="412" t="s">
        <v>2449</v>
      </c>
      <c r="R21" s="412" t="s">
        <v>2387</v>
      </c>
      <c r="S21" s="412" t="s">
        <v>2388</v>
      </c>
      <c r="T21" s="412" t="s">
        <v>2389</v>
      </c>
      <c r="U21" s="412" t="s">
        <v>1797</v>
      </c>
      <c r="V21" s="412" t="s">
        <v>1797</v>
      </c>
    </row>
    <row r="22" spans="1:22" ht="39.75" customHeight="1" x14ac:dyDescent="0.25">
      <c r="A22" s="77">
        <v>21</v>
      </c>
      <c r="B22" s="412" t="s">
        <v>2379</v>
      </c>
      <c r="C22" s="412" t="s">
        <v>1497</v>
      </c>
      <c r="D22" s="412" t="s">
        <v>2380</v>
      </c>
      <c r="E22" s="412" t="s">
        <v>2390</v>
      </c>
      <c r="F22" s="412" t="s">
        <v>2423</v>
      </c>
      <c r="G22" s="412" t="s">
        <v>2450</v>
      </c>
      <c r="H22" s="412" t="s">
        <v>1797</v>
      </c>
      <c r="I22" s="412" t="s">
        <v>1797</v>
      </c>
      <c r="J22" s="412">
        <v>8</v>
      </c>
      <c r="K22" s="412">
        <v>24</v>
      </c>
      <c r="L22" s="412">
        <v>60</v>
      </c>
      <c r="M22" s="412">
        <v>240</v>
      </c>
      <c r="N22" s="412" t="s">
        <v>1797</v>
      </c>
      <c r="O22" s="412" t="s">
        <v>2384</v>
      </c>
      <c r="P22" s="412" t="s">
        <v>2385</v>
      </c>
      <c r="Q22" s="412" t="s">
        <v>2451</v>
      </c>
      <c r="R22" s="412" t="s">
        <v>2387</v>
      </c>
      <c r="S22" s="412" t="s">
        <v>2388</v>
      </c>
      <c r="T22" s="412" t="s">
        <v>2389</v>
      </c>
      <c r="U22" s="412" t="s">
        <v>1797</v>
      </c>
      <c r="V22" s="412" t="s">
        <v>1797</v>
      </c>
    </row>
    <row r="23" spans="1:22" ht="39.75" customHeight="1" x14ac:dyDescent="0.25">
      <c r="A23" s="77">
        <v>22</v>
      </c>
      <c r="B23" s="412" t="s">
        <v>2379</v>
      </c>
      <c r="C23" s="412" t="s">
        <v>1497</v>
      </c>
      <c r="D23" s="412" t="s">
        <v>2380</v>
      </c>
      <c r="E23" s="412" t="s">
        <v>2390</v>
      </c>
      <c r="F23" s="412" t="s">
        <v>2452</v>
      </c>
      <c r="G23" s="412" t="s">
        <v>2453</v>
      </c>
      <c r="H23" s="412" t="s">
        <v>1797</v>
      </c>
      <c r="I23" s="412" t="s">
        <v>1797</v>
      </c>
      <c r="J23" s="412">
        <v>8</v>
      </c>
      <c r="K23" s="412">
        <v>24</v>
      </c>
      <c r="L23" s="412">
        <v>60</v>
      </c>
      <c r="M23" s="412">
        <v>240</v>
      </c>
      <c r="N23" s="412" t="s">
        <v>1797</v>
      </c>
      <c r="O23" s="412" t="s">
        <v>2384</v>
      </c>
      <c r="P23" s="412" t="s">
        <v>2385</v>
      </c>
      <c r="Q23" s="412" t="s">
        <v>2454</v>
      </c>
      <c r="R23" s="412" t="s">
        <v>2387</v>
      </c>
      <c r="S23" s="412" t="s">
        <v>2388</v>
      </c>
      <c r="T23" s="412" t="s">
        <v>2389</v>
      </c>
      <c r="U23" s="412" t="s">
        <v>1797</v>
      </c>
      <c r="V23" s="412" t="s">
        <v>1797</v>
      </c>
    </row>
    <row r="24" spans="1:22" ht="39.75" customHeight="1" x14ac:dyDescent="0.25">
      <c r="A24" s="77">
        <v>23</v>
      </c>
      <c r="B24" s="412" t="s">
        <v>2379</v>
      </c>
      <c r="C24" s="412" t="s">
        <v>1497</v>
      </c>
      <c r="D24" s="412" t="s">
        <v>2380</v>
      </c>
      <c r="E24" s="412" t="s">
        <v>2390</v>
      </c>
      <c r="F24" s="412" t="s">
        <v>2455</v>
      </c>
      <c r="G24" s="412" t="s">
        <v>2456</v>
      </c>
      <c r="H24" s="412" t="s">
        <v>1797</v>
      </c>
      <c r="I24" s="412" t="s">
        <v>1797</v>
      </c>
      <c r="J24" s="412">
        <v>8</v>
      </c>
      <c r="K24" s="412">
        <v>24</v>
      </c>
      <c r="L24" s="412">
        <v>60</v>
      </c>
      <c r="M24" s="412">
        <v>240</v>
      </c>
      <c r="N24" s="412" t="s">
        <v>1797</v>
      </c>
      <c r="O24" s="412" t="s">
        <v>2384</v>
      </c>
      <c r="P24" s="412" t="s">
        <v>2385</v>
      </c>
      <c r="Q24" s="412" t="s">
        <v>2457</v>
      </c>
      <c r="R24" s="412" t="s">
        <v>2387</v>
      </c>
      <c r="S24" s="412" t="s">
        <v>2388</v>
      </c>
      <c r="T24" s="412" t="s">
        <v>2389</v>
      </c>
      <c r="U24" s="412" t="s">
        <v>1797</v>
      </c>
      <c r="V24" s="412" t="s">
        <v>1797</v>
      </c>
    </row>
    <row r="25" spans="1:22" ht="39.75" customHeight="1" x14ac:dyDescent="0.25">
      <c r="A25" s="77">
        <v>24</v>
      </c>
      <c r="B25" s="412" t="s">
        <v>2379</v>
      </c>
      <c r="C25" s="412" t="s">
        <v>1497</v>
      </c>
      <c r="D25" s="412" t="s">
        <v>2380</v>
      </c>
      <c r="E25" s="412" t="s">
        <v>2422</v>
      </c>
      <c r="F25" s="412" t="s">
        <v>2429</v>
      </c>
      <c r="G25" s="412" t="s">
        <v>2458</v>
      </c>
      <c r="H25" s="412" t="s">
        <v>1797</v>
      </c>
      <c r="I25" s="412" t="s">
        <v>1797</v>
      </c>
      <c r="J25" s="412">
        <v>24</v>
      </c>
      <c r="K25" s="412">
        <v>64</v>
      </c>
      <c r="L25" s="412">
        <v>60</v>
      </c>
      <c r="M25" s="412">
        <v>2000</v>
      </c>
      <c r="N25" s="412" t="s">
        <v>1797</v>
      </c>
      <c r="O25" s="412" t="s">
        <v>2088</v>
      </c>
      <c r="P25" s="412" t="s">
        <v>2199</v>
      </c>
      <c r="Q25" s="412" t="s">
        <v>2459</v>
      </c>
      <c r="R25" s="412" t="s">
        <v>2387</v>
      </c>
      <c r="S25" s="412" t="s">
        <v>2388</v>
      </c>
      <c r="T25" s="412" t="s">
        <v>2389</v>
      </c>
      <c r="U25" s="412" t="s">
        <v>1797</v>
      </c>
      <c r="V25" s="412" t="s">
        <v>1797</v>
      </c>
    </row>
    <row r="26" spans="1:22" ht="39.75" customHeight="1" x14ac:dyDescent="0.25">
      <c r="A26" s="77">
        <v>25</v>
      </c>
      <c r="B26" s="412" t="s">
        <v>2379</v>
      </c>
      <c r="C26" s="412" t="s">
        <v>1497</v>
      </c>
      <c r="D26" s="412" t="s">
        <v>2380</v>
      </c>
      <c r="E26" s="412" t="s">
        <v>2390</v>
      </c>
      <c r="F26" s="412" t="s">
        <v>2404</v>
      </c>
      <c r="G26" s="412" t="s">
        <v>2460</v>
      </c>
      <c r="H26" s="412" t="s">
        <v>1797</v>
      </c>
      <c r="I26" s="412" t="s">
        <v>1797</v>
      </c>
      <c r="J26" s="412">
        <v>8</v>
      </c>
      <c r="K26" s="412">
        <v>24</v>
      </c>
      <c r="L26" s="412">
        <v>60</v>
      </c>
      <c r="M26" s="412">
        <v>240</v>
      </c>
      <c r="N26" s="412" t="s">
        <v>1797</v>
      </c>
      <c r="O26" s="412" t="s">
        <v>2384</v>
      </c>
      <c r="P26" s="412" t="s">
        <v>2385</v>
      </c>
      <c r="Q26" s="412" t="s">
        <v>2461</v>
      </c>
      <c r="R26" s="412" t="s">
        <v>2387</v>
      </c>
      <c r="S26" s="412" t="s">
        <v>2388</v>
      </c>
      <c r="T26" s="412" t="s">
        <v>2389</v>
      </c>
      <c r="U26" s="412" t="s">
        <v>1797</v>
      </c>
      <c r="V26" s="412" t="s">
        <v>1797</v>
      </c>
    </row>
    <row r="27" spans="1:22" ht="39.75" customHeight="1" x14ac:dyDescent="0.25">
      <c r="A27" s="77">
        <v>26</v>
      </c>
      <c r="B27" s="412" t="s">
        <v>2379</v>
      </c>
      <c r="C27" s="412" t="s">
        <v>1497</v>
      </c>
      <c r="D27" s="412" t="s">
        <v>2380</v>
      </c>
      <c r="E27" s="412" t="s">
        <v>2412</v>
      </c>
      <c r="F27" s="412" t="s">
        <v>2462</v>
      </c>
      <c r="G27" s="412" t="s">
        <v>2463</v>
      </c>
      <c r="H27" s="412" t="s">
        <v>1797</v>
      </c>
      <c r="I27" s="412" t="s">
        <v>1797</v>
      </c>
      <c r="J27" s="412">
        <v>8</v>
      </c>
      <c r="K27" s="412">
        <v>24</v>
      </c>
      <c r="L27" s="412">
        <v>60</v>
      </c>
      <c r="M27" s="412">
        <v>240</v>
      </c>
      <c r="N27" s="412" t="s">
        <v>1797</v>
      </c>
      <c r="O27" s="412" t="s">
        <v>2088</v>
      </c>
      <c r="P27" s="412" t="s">
        <v>2199</v>
      </c>
      <c r="Q27" s="412" t="s">
        <v>2464</v>
      </c>
      <c r="R27" s="412" t="s">
        <v>2387</v>
      </c>
      <c r="S27" s="412" t="s">
        <v>2388</v>
      </c>
      <c r="T27" s="412" t="s">
        <v>2389</v>
      </c>
      <c r="U27" s="412" t="s">
        <v>1797</v>
      </c>
      <c r="V27" s="412" t="s">
        <v>1797</v>
      </c>
    </row>
    <row r="28" spans="1:22" ht="39.75" customHeight="1" x14ac:dyDescent="0.25">
      <c r="A28" s="77">
        <v>27</v>
      </c>
      <c r="B28" s="412" t="s">
        <v>2379</v>
      </c>
      <c r="C28" s="412" t="s">
        <v>1497</v>
      </c>
      <c r="D28" s="412" t="s">
        <v>2380</v>
      </c>
      <c r="E28" s="412" t="s">
        <v>2381</v>
      </c>
      <c r="F28" s="412" t="s">
        <v>2465</v>
      </c>
      <c r="G28" s="412" t="s">
        <v>2466</v>
      </c>
      <c r="H28" s="412" t="s">
        <v>1797</v>
      </c>
      <c r="I28" s="412" t="s">
        <v>1797</v>
      </c>
      <c r="J28" s="412">
        <v>24</v>
      </c>
      <c r="K28" s="412">
        <v>64</v>
      </c>
      <c r="L28" s="412">
        <v>60</v>
      </c>
      <c r="M28" s="412">
        <v>2000</v>
      </c>
      <c r="N28" s="412" t="s">
        <v>1797</v>
      </c>
      <c r="O28" s="412" t="s">
        <v>2088</v>
      </c>
      <c r="P28" s="412" t="s">
        <v>2089</v>
      </c>
      <c r="Q28" s="412" t="s">
        <v>2467</v>
      </c>
      <c r="R28" s="412" t="s">
        <v>2387</v>
      </c>
      <c r="S28" s="412" t="s">
        <v>2388</v>
      </c>
      <c r="T28" s="412" t="s">
        <v>2389</v>
      </c>
      <c r="U28" s="412" t="s">
        <v>1797</v>
      </c>
      <c r="V28" s="412" t="s">
        <v>1797</v>
      </c>
    </row>
    <row r="29" spans="1:22" ht="39.75" customHeight="1" x14ac:dyDescent="0.25">
      <c r="A29" s="77">
        <v>28</v>
      </c>
      <c r="B29" s="412" t="s">
        <v>2379</v>
      </c>
      <c r="C29" s="412" t="s">
        <v>1497</v>
      </c>
      <c r="D29" s="412" t="s">
        <v>2380</v>
      </c>
      <c r="E29" s="412" t="s">
        <v>2422</v>
      </c>
      <c r="F29" s="412" t="s">
        <v>2468</v>
      </c>
      <c r="G29" s="412" t="s">
        <v>2469</v>
      </c>
      <c r="H29" s="412" t="s">
        <v>1797</v>
      </c>
      <c r="I29" s="412" t="s">
        <v>1797</v>
      </c>
      <c r="J29" s="412">
        <v>24</v>
      </c>
      <c r="K29" s="412">
        <v>64</v>
      </c>
      <c r="L29" s="412">
        <v>60</v>
      </c>
      <c r="M29" s="412">
        <v>2000</v>
      </c>
      <c r="N29" s="412" t="s">
        <v>1797</v>
      </c>
      <c r="O29" s="412" t="s">
        <v>2088</v>
      </c>
      <c r="P29" s="412" t="s">
        <v>2199</v>
      </c>
      <c r="Q29" s="412" t="s">
        <v>2470</v>
      </c>
      <c r="R29" s="412" t="s">
        <v>2387</v>
      </c>
      <c r="S29" s="412" t="s">
        <v>2388</v>
      </c>
      <c r="T29" s="412" t="s">
        <v>2389</v>
      </c>
      <c r="U29" s="412" t="s">
        <v>1797</v>
      </c>
      <c r="V29" s="412" t="s">
        <v>1797</v>
      </c>
    </row>
    <row r="30" spans="1:22" ht="39.75" customHeight="1" x14ac:dyDescent="0.25">
      <c r="A30" s="77">
        <v>29</v>
      </c>
      <c r="B30" s="412" t="s">
        <v>2379</v>
      </c>
      <c r="C30" s="412" t="s">
        <v>1497</v>
      </c>
      <c r="D30" s="412" t="s">
        <v>2380</v>
      </c>
      <c r="E30" s="412" t="s">
        <v>2390</v>
      </c>
      <c r="F30" s="412" t="s">
        <v>2391</v>
      </c>
      <c r="G30" s="412" t="s">
        <v>2471</v>
      </c>
      <c r="H30" s="412" t="s">
        <v>1797</v>
      </c>
      <c r="I30" s="412" t="s">
        <v>1797</v>
      </c>
      <c r="J30" s="412">
        <v>8</v>
      </c>
      <c r="K30" s="412">
        <v>24</v>
      </c>
      <c r="L30" s="412">
        <v>60</v>
      </c>
      <c r="M30" s="412">
        <v>240</v>
      </c>
      <c r="N30" s="412" t="s">
        <v>1797</v>
      </c>
      <c r="O30" s="412" t="s">
        <v>2384</v>
      </c>
      <c r="P30" s="412" t="s">
        <v>2385</v>
      </c>
      <c r="Q30" s="412" t="s">
        <v>2472</v>
      </c>
      <c r="R30" s="412" t="s">
        <v>2387</v>
      </c>
      <c r="S30" s="412" t="s">
        <v>2388</v>
      </c>
      <c r="T30" s="412" t="s">
        <v>2389</v>
      </c>
      <c r="U30" s="412" t="s">
        <v>1797</v>
      </c>
      <c r="V30" s="412" t="s">
        <v>1797</v>
      </c>
    </row>
    <row r="31" spans="1:22" ht="39.75" customHeight="1" x14ac:dyDescent="0.25">
      <c r="A31" s="77">
        <v>30</v>
      </c>
      <c r="B31" s="412" t="s">
        <v>2379</v>
      </c>
      <c r="C31" s="412" t="s">
        <v>1497</v>
      </c>
      <c r="D31" s="412" t="s">
        <v>2380</v>
      </c>
      <c r="E31" s="412" t="s">
        <v>2412</v>
      </c>
      <c r="F31" s="412" t="s">
        <v>2413</v>
      </c>
      <c r="G31" s="412" t="s">
        <v>2473</v>
      </c>
      <c r="H31" s="412" t="s">
        <v>1797</v>
      </c>
      <c r="I31" s="412" t="s">
        <v>1797</v>
      </c>
      <c r="J31" s="412">
        <v>8</v>
      </c>
      <c r="K31" s="412">
        <v>24</v>
      </c>
      <c r="L31" s="412">
        <v>60</v>
      </c>
      <c r="M31" s="412">
        <v>240</v>
      </c>
      <c r="N31" s="412" t="s">
        <v>1797</v>
      </c>
      <c r="O31" s="412" t="s">
        <v>2088</v>
      </c>
      <c r="P31" s="412" t="s">
        <v>2199</v>
      </c>
      <c r="Q31" s="412" t="s">
        <v>2474</v>
      </c>
      <c r="R31" s="412" t="s">
        <v>2387</v>
      </c>
      <c r="S31" s="412" t="s">
        <v>2388</v>
      </c>
      <c r="T31" s="412" t="s">
        <v>2389</v>
      </c>
      <c r="U31" s="412" t="s">
        <v>1797</v>
      </c>
      <c r="V31" s="412" t="s">
        <v>1797</v>
      </c>
    </row>
    <row r="32" spans="1:22" ht="39.75" customHeight="1" x14ac:dyDescent="0.25">
      <c r="A32" s="77">
        <v>31</v>
      </c>
      <c r="B32" s="412" t="s">
        <v>2379</v>
      </c>
      <c r="C32" s="412" t="s">
        <v>1497</v>
      </c>
      <c r="D32" s="412" t="s">
        <v>2380</v>
      </c>
      <c r="E32" s="412" t="s">
        <v>2412</v>
      </c>
      <c r="F32" s="412" t="s">
        <v>2475</v>
      </c>
      <c r="G32" s="412" t="s">
        <v>2476</v>
      </c>
      <c r="H32" s="412" t="s">
        <v>1797</v>
      </c>
      <c r="I32" s="412" t="s">
        <v>1797</v>
      </c>
      <c r="J32" s="412">
        <v>8</v>
      </c>
      <c r="K32" s="412">
        <v>24</v>
      </c>
      <c r="L32" s="412">
        <v>60</v>
      </c>
      <c r="M32" s="412">
        <v>240</v>
      </c>
      <c r="N32" s="412" t="s">
        <v>1797</v>
      </c>
      <c r="O32" s="412" t="s">
        <v>2384</v>
      </c>
      <c r="P32" s="412" t="s">
        <v>2385</v>
      </c>
      <c r="Q32" s="412" t="s">
        <v>2477</v>
      </c>
      <c r="R32" s="412" t="s">
        <v>2387</v>
      </c>
      <c r="S32" s="412" t="s">
        <v>2388</v>
      </c>
      <c r="T32" s="412" t="s">
        <v>2389</v>
      </c>
      <c r="U32" s="412" t="s">
        <v>1797</v>
      </c>
      <c r="V32" s="412" t="s">
        <v>1797</v>
      </c>
    </row>
    <row r="33" spans="1:22" ht="39.75" customHeight="1" x14ac:dyDescent="0.25">
      <c r="A33" s="77">
        <v>32</v>
      </c>
      <c r="B33" s="412" t="s">
        <v>2379</v>
      </c>
      <c r="C33" s="412" t="s">
        <v>1497</v>
      </c>
      <c r="D33" s="412" t="s">
        <v>2380</v>
      </c>
      <c r="E33" s="412" t="s">
        <v>2381</v>
      </c>
      <c r="F33" s="412" t="s">
        <v>2478</v>
      </c>
      <c r="G33" s="412" t="s">
        <v>2479</v>
      </c>
      <c r="H33" s="412" t="s">
        <v>1797</v>
      </c>
      <c r="I33" s="412" t="s">
        <v>1797</v>
      </c>
      <c r="J33" s="412">
        <v>8</v>
      </c>
      <c r="K33" s="412">
        <v>64</v>
      </c>
      <c r="L33" s="412">
        <v>60</v>
      </c>
      <c r="M33" s="412">
        <v>1000</v>
      </c>
      <c r="N33" s="412" t="s">
        <v>1797</v>
      </c>
      <c r="O33" s="412" t="s">
        <v>2409</v>
      </c>
      <c r="P33" s="412" t="s">
        <v>2410</v>
      </c>
      <c r="Q33" s="412" t="s">
        <v>2480</v>
      </c>
      <c r="R33" s="412" t="s">
        <v>2387</v>
      </c>
      <c r="S33" s="412" t="s">
        <v>2388</v>
      </c>
      <c r="T33" s="412" t="s">
        <v>2389</v>
      </c>
      <c r="U33" s="412" t="s">
        <v>1797</v>
      </c>
      <c r="V33" s="412" t="s">
        <v>1797</v>
      </c>
    </row>
    <row r="34" spans="1:22" ht="39.75" customHeight="1" x14ac:dyDescent="0.25">
      <c r="A34" s="77">
        <v>33</v>
      </c>
      <c r="B34" s="412" t="s">
        <v>2379</v>
      </c>
      <c r="C34" s="412" t="s">
        <v>1497</v>
      </c>
      <c r="D34" s="412" t="s">
        <v>2380</v>
      </c>
      <c r="E34" s="412" t="s">
        <v>2381</v>
      </c>
      <c r="F34" s="412" t="s">
        <v>2481</v>
      </c>
      <c r="G34" s="412" t="s">
        <v>2482</v>
      </c>
      <c r="H34" s="412" t="s">
        <v>1797</v>
      </c>
      <c r="I34" s="412" t="s">
        <v>1797</v>
      </c>
      <c r="J34" s="412">
        <v>8</v>
      </c>
      <c r="K34" s="412">
        <v>64</v>
      </c>
      <c r="L34" s="412">
        <v>60</v>
      </c>
      <c r="M34" s="412">
        <v>1000</v>
      </c>
      <c r="N34" s="412" t="s">
        <v>1797</v>
      </c>
      <c r="O34" s="412" t="s">
        <v>2409</v>
      </c>
      <c r="P34" s="412" t="s">
        <v>2410</v>
      </c>
      <c r="Q34" s="412" t="s">
        <v>2483</v>
      </c>
      <c r="R34" s="412" t="s">
        <v>2387</v>
      </c>
      <c r="S34" s="412" t="s">
        <v>2388</v>
      </c>
      <c r="T34" s="412" t="s">
        <v>2389</v>
      </c>
      <c r="U34" s="412" t="s">
        <v>1797</v>
      </c>
      <c r="V34" s="412" t="s">
        <v>1797</v>
      </c>
    </row>
    <row r="35" spans="1:22" ht="39.75" customHeight="1" x14ac:dyDescent="0.25">
      <c r="A35" s="77">
        <v>34</v>
      </c>
      <c r="B35" s="412" t="s">
        <v>2379</v>
      </c>
      <c r="C35" s="412" t="s">
        <v>1497</v>
      </c>
      <c r="D35" s="412" t="s">
        <v>2380</v>
      </c>
      <c r="E35" s="412" t="s">
        <v>2381</v>
      </c>
      <c r="F35" s="412" t="s">
        <v>2484</v>
      </c>
      <c r="G35" s="412" t="s">
        <v>2485</v>
      </c>
      <c r="H35" s="412" t="s">
        <v>1797</v>
      </c>
      <c r="I35" s="412" t="s">
        <v>1797</v>
      </c>
      <c r="J35" s="412">
        <v>8</v>
      </c>
      <c r="K35" s="412">
        <v>64</v>
      </c>
      <c r="L35" s="412">
        <v>60</v>
      </c>
      <c r="M35" s="412">
        <v>1000</v>
      </c>
      <c r="N35" s="412" t="s">
        <v>1797</v>
      </c>
      <c r="O35" s="412" t="s">
        <v>2409</v>
      </c>
      <c r="P35" s="412" t="s">
        <v>2410</v>
      </c>
      <c r="Q35" s="412" t="s">
        <v>2486</v>
      </c>
      <c r="R35" s="412" t="s">
        <v>2387</v>
      </c>
      <c r="S35" s="412" t="s">
        <v>2388</v>
      </c>
      <c r="T35" s="412" t="s">
        <v>2389</v>
      </c>
      <c r="U35" s="412" t="s">
        <v>1797</v>
      </c>
      <c r="V35" s="412" t="s">
        <v>1797</v>
      </c>
    </row>
    <row r="36" spans="1:22" ht="39.75" customHeight="1" x14ac:dyDescent="0.25">
      <c r="A36" s="77">
        <v>35</v>
      </c>
      <c r="B36" s="412" t="s">
        <v>2379</v>
      </c>
      <c r="C36" s="412" t="s">
        <v>1497</v>
      </c>
      <c r="D36" s="412" t="s">
        <v>2380</v>
      </c>
      <c r="E36" s="412" t="s">
        <v>2487</v>
      </c>
      <c r="F36" s="412" t="s">
        <v>2488</v>
      </c>
      <c r="G36" s="412" t="s">
        <v>2489</v>
      </c>
      <c r="H36" s="412" t="s">
        <v>1797</v>
      </c>
      <c r="I36" s="412" t="s">
        <v>1797</v>
      </c>
      <c r="J36" s="412">
        <v>8</v>
      </c>
      <c r="K36" s="412">
        <v>64</v>
      </c>
      <c r="L36" s="412">
        <v>60</v>
      </c>
      <c r="M36" s="412">
        <v>2000</v>
      </c>
      <c r="N36" s="412" t="s">
        <v>1797</v>
      </c>
      <c r="O36" s="412" t="s">
        <v>2409</v>
      </c>
      <c r="P36" s="412" t="s">
        <v>2410</v>
      </c>
      <c r="Q36" s="412" t="s">
        <v>2490</v>
      </c>
      <c r="R36" s="412" t="s">
        <v>2387</v>
      </c>
      <c r="S36" s="412" t="s">
        <v>2388</v>
      </c>
      <c r="T36" s="412" t="s">
        <v>2389</v>
      </c>
      <c r="U36" s="412" t="s">
        <v>1797</v>
      </c>
      <c r="V36" s="412" t="s">
        <v>1797</v>
      </c>
    </row>
    <row r="37" spans="1:22" ht="39.75" customHeight="1" x14ac:dyDescent="0.25">
      <c r="A37" s="77">
        <v>36</v>
      </c>
      <c r="B37" s="412" t="s">
        <v>2379</v>
      </c>
      <c r="C37" s="412" t="s">
        <v>1497</v>
      </c>
      <c r="D37" s="412" t="s">
        <v>2380</v>
      </c>
      <c r="E37" s="412" t="s">
        <v>2491</v>
      </c>
      <c r="F37" s="412" t="s">
        <v>2492</v>
      </c>
      <c r="G37" s="412" t="s">
        <v>2493</v>
      </c>
      <c r="H37" s="412" t="s">
        <v>1797</v>
      </c>
      <c r="I37" s="412" t="s">
        <v>1797</v>
      </c>
      <c r="J37" s="412">
        <v>8</v>
      </c>
      <c r="K37" s="412">
        <v>24</v>
      </c>
      <c r="L37" s="412">
        <v>60</v>
      </c>
      <c r="M37" s="412">
        <v>200</v>
      </c>
      <c r="N37" s="412" t="s">
        <v>1797</v>
      </c>
      <c r="O37" s="412" t="s">
        <v>2409</v>
      </c>
      <c r="P37" s="412" t="s">
        <v>2410</v>
      </c>
      <c r="Q37" s="412" t="s">
        <v>2494</v>
      </c>
      <c r="R37" s="412" t="s">
        <v>2387</v>
      </c>
      <c r="S37" s="412" t="s">
        <v>2388</v>
      </c>
      <c r="T37" s="412" t="s">
        <v>2389</v>
      </c>
      <c r="U37" s="412" t="s">
        <v>1797</v>
      </c>
      <c r="V37" s="412" t="s">
        <v>1797</v>
      </c>
    </row>
    <row r="38" spans="1:22" ht="39.75" customHeight="1" x14ac:dyDescent="0.25">
      <c r="A38" s="77">
        <v>37</v>
      </c>
      <c r="B38" s="412" t="s">
        <v>2379</v>
      </c>
      <c r="C38" s="412" t="s">
        <v>1497</v>
      </c>
      <c r="D38" s="412" t="s">
        <v>2380</v>
      </c>
      <c r="E38" s="412" t="s">
        <v>2400</v>
      </c>
      <c r="F38" s="412" t="s">
        <v>2495</v>
      </c>
      <c r="G38" s="412" t="s">
        <v>2496</v>
      </c>
      <c r="H38" s="412" t="s">
        <v>1797</v>
      </c>
      <c r="I38" s="412" t="s">
        <v>1797</v>
      </c>
      <c r="J38" s="412">
        <v>24</v>
      </c>
      <c r="K38" s="412">
        <v>48</v>
      </c>
      <c r="L38" s="412">
        <v>60</v>
      </c>
      <c r="M38" s="412">
        <v>2000</v>
      </c>
      <c r="N38" s="412" t="s">
        <v>1797</v>
      </c>
      <c r="O38" s="412" t="s">
        <v>2409</v>
      </c>
      <c r="P38" s="412" t="s">
        <v>2410</v>
      </c>
      <c r="Q38" s="412" t="s">
        <v>2497</v>
      </c>
      <c r="R38" s="412" t="s">
        <v>2387</v>
      </c>
      <c r="S38" s="412" t="s">
        <v>2388</v>
      </c>
      <c r="T38" s="412" t="s">
        <v>2389</v>
      </c>
      <c r="U38" s="412" t="s">
        <v>1797</v>
      </c>
      <c r="V38" s="412" t="s">
        <v>1797</v>
      </c>
    </row>
    <row r="39" spans="1:22" ht="39.75" customHeight="1" x14ac:dyDescent="0.25">
      <c r="A39" s="77">
        <v>38</v>
      </c>
      <c r="B39" s="412" t="s">
        <v>2379</v>
      </c>
      <c r="C39" s="412" t="s">
        <v>1497</v>
      </c>
      <c r="D39" s="412" t="s">
        <v>2380</v>
      </c>
      <c r="E39" s="412" t="s">
        <v>2491</v>
      </c>
      <c r="F39" s="412" t="s">
        <v>2498</v>
      </c>
      <c r="G39" s="412" t="s">
        <v>2499</v>
      </c>
      <c r="H39" s="412" t="s">
        <v>1797</v>
      </c>
      <c r="I39" s="412" t="s">
        <v>1797</v>
      </c>
      <c r="J39" s="412">
        <v>8</v>
      </c>
      <c r="K39" s="412">
        <v>24</v>
      </c>
      <c r="L39" s="412">
        <v>60</v>
      </c>
      <c r="M39" s="412">
        <v>200</v>
      </c>
      <c r="N39" s="412" t="s">
        <v>1797</v>
      </c>
      <c r="O39" s="412" t="s">
        <v>2409</v>
      </c>
      <c r="P39" s="412" t="s">
        <v>2410</v>
      </c>
      <c r="Q39" s="412" t="s">
        <v>2500</v>
      </c>
      <c r="R39" s="412" t="s">
        <v>2387</v>
      </c>
      <c r="S39" s="412" t="s">
        <v>2388</v>
      </c>
      <c r="T39" s="412" t="s">
        <v>2389</v>
      </c>
      <c r="U39" s="412" t="s">
        <v>1797</v>
      </c>
      <c r="V39" s="412" t="s">
        <v>1797</v>
      </c>
    </row>
    <row r="40" spans="1:22" ht="39.75" customHeight="1" x14ac:dyDescent="0.25">
      <c r="A40" s="77">
        <v>39</v>
      </c>
      <c r="B40" s="412" t="s">
        <v>2379</v>
      </c>
      <c r="C40" s="412" t="s">
        <v>1497</v>
      </c>
      <c r="D40" s="412" t="s">
        <v>2380</v>
      </c>
      <c r="E40" s="412" t="s">
        <v>2491</v>
      </c>
      <c r="F40" s="412" t="s">
        <v>2501</v>
      </c>
      <c r="G40" s="412" t="s">
        <v>2502</v>
      </c>
      <c r="H40" s="412" t="s">
        <v>1797</v>
      </c>
      <c r="I40" s="412" t="s">
        <v>1797</v>
      </c>
      <c r="J40" s="412">
        <v>8</v>
      </c>
      <c r="K40" s="412">
        <v>24</v>
      </c>
      <c r="L40" s="412">
        <v>60</v>
      </c>
      <c r="M40" s="412">
        <v>200</v>
      </c>
      <c r="N40" s="412" t="s">
        <v>1797</v>
      </c>
      <c r="O40" s="412" t="s">
        <v>2409</v>
      </c>
      <c r="P40" s="412" t="s">
        <v>2410</v>
      </c>
      <c r="Q40" s="412" t="s">
        <v>2503</v>
      </c>
      <c r="R40" s="412" t="s">
        <v>2387</v>
      </c>
      <c r="S40" s="412" t="s">
        <v>2388</v>
      </c>
      <c r="T40" s="412" t="s">
        <v>2389</v>
      </c>
      <c r="U40" s="412" t="s">
        <v>1797</v>
      </c>
      <c r="V40" s="412" t="s">
        <v>1797</v>
      </c>
    </row>
    <row r="41" spans="1:22" ht="39.75" customHeight="1" x14ac:dyDescent="0.25">
      <c r="A41" s="77">
        <v>40</v>
      </c>
      <c r="B41" s="412" t="s">
        <v>2379</v>
      </c>
      <c r="C41" s="412" t="s">
        <v>1497</v>
      </c>
      <c r="D41" s="412" t="s">
        <v>2380</v>
      </c>
      <c r="E41" s="412" t="s">
        <v>2487</v>
      </c>
      <c r="F41" s="412" t="s">
        <v>2504</v>
      </c>
      <c r="G41" s="412" t="s">
        <v>2505</v>
      </c>
      <c r="H41" s="412" t="s">
        <v>1797</v>
      </c>
      <c r="I41" s="412" t="s">
        <v>1797</v>
      </c>
      <c r="J41" s="412">
        <v>8</v>
      </c>
      <c r="K41" s="412">
        <v>64</v>
      </c>
      <c r="L41" s="412">
        <v>60</v>
      </c>
      <c r="M41" s="412">
        <v>2000</v>
      </c>
      <c r="N41" s="412" t="s">
        <v>1797</v>
      </c>
      <c r="O41" s="412" t="s">
        <v>2409</v>
      </c>
      <c r="P41" s="412" t="s">
        <v>2410</v>
      </c>
      <c r="Q41" s="412" t="s">
        <v>2506</v>
      </c>
      <c r="R41" s="412" t="s">
        <v>2387</v>
      </c>
      <c r="S41" s="412" t="s">
        <v>2388</v>
      </c>
      <c r="T41" s="412" t="s">
        <v>2389</v>
      </c>
      <c r="U41" s="412" t="s">
        <v>1797</v>
      </c>
      <c r="V41" s="412" t="s">
        <v>1797</v>
      </c>
    </row>
    <row r="42" spans="1:22" ht="39.75" customHeight="1" x14ac:dyDescent="0.25">
      <c r="A42" s="77">
        <v>41</v>
      </c>
      <c r="B42" s="412" t="s">
        <v>2379</v>
      </c>
      <c r="C42" s="412" t="s">
        <v>1497</v>
      </c>
      <c r="D42" s="412" t="s">
        <v>2380</v>
      </c>
      <c r="E42" s="412" t="s">
        <v>2491</v>
      </c>
      <c r="F42" s="412" t="s">
        <v>2507</v>
      </c>
      <c r="G42" s="412" t="s">
        <v>2508</v>
      </c>
      <c r="H42" s="412" t="s">
        <v>1797</v>
      </c>
      <c r="I42" s="412" t="s">
        <v>1797</v>
      </c>
      <c r="J42" s="412">
        <v>8</v>
      </c>
      <c r="K42" s="412">
        <v>24</v>
      </c>
      <c r="L42" s="412">
        <v>60</v>
      </c>
      <c r="M42" s="412">
        <v>200</v>
      </c>
      <c r="N42" s="412" t="s">
        <v>1797</v>
      </c>
      <c r="O42" s="412" t="s">
        <v>2409</v>
      </c>
      <c r="P42" s="412" t="s">
        <v>2410</v>
      </c>
      <c r="Q42" s="412" t="s">
        <v>2509</v>
      </c>
      <c r="R42" s="412" t="s">
        <v>2387</v>
      </c>
      <c r="S42" s="412" t="s">
        <v>2388</v>
      </c>
      <c r="T42" s="412" t="s">
        <v>2389</v>
      </c>
      <c r="U42" s="412" t="s">
        <v>1797</v>
      </c>
      <c r="V42" s="412" t="s">
        <v>1797</v>
      </c>
    </row>
    <row r="43" spans="1:22" ht="39.75" customHeight="1" x14ac:dyDescent="0.25">
      <c r="A43" s="77">
        <v>42</v>
      </c>
      <c r="B43" s="412" t="s">
        <v>2379</v>
      </c>
      <c r="C43" s="412" t="s">
        <v>1497</v>
      </c>
      <c r="D43" s="412" t="s">
        <v>2380</v>
      </c>
      <c r="E43" s="412" t="s">
        <v>2487</v>
      </c>
      <c r="F43" s="412" t="s">
        <v>2510</v>
      </c>
      <c r="G43" s="412" t="s">
        <v>2511</v>
      </c>
      <c r="H43" s="412" t="s">
        <v>1797</v>
      </c>
      <c r="I43" s="412" t="s">
        <v>1797</v>
      </c>
      <c r="J43" s="412">
        <v>8</v>
      </c>
      <c r="K43" s="412">
        <v>64</v>
      </c>
      <c r="L43" s="412">
        <v>60</v>
      </c>
      <c r="M43" s="412">
        <v>2000</v>
      </c>
      <c r="N43" s="412" t="s">
        <v>1797</v>
      </c>
      <c r="O43" s="412" t="s">
        <v>2409</v>
      </c>
      <c r="P43" s="412" t="s">
        <v>2410</v>
      </c>
      <c r="Q43" s="412" t="s">
        <v>2512</v>
      </c>
      <c r="R43" s="412" t="s">
        <v>2387</v>
      </c>
      <c r="S43" s="412" t="s">
        <v>2388</v>
      </c>
      <c r="T43" s="412" t="s">
        <v>2389</v>
      </c>
      <c r="U43" s="412" t="s">
        <v>1797</v>
      </c>
      <c r="V43" s="412" t="s">
        <v>1797</v>
      </c>
    </row>
    <row r="44" spans="1:22" ht="39.75" customHeight="1" x14ac:dyDescent="0.25">
      <c r="A44" s="77">
        <v>43</v>
      </c>
      <c r="B44" s="412" t="s">
        <v>2379</v>
      </c>
      <c r="C44" s="412" t="s">
        <v>1497</v>
      </c>
      <c r="D44" s="412" t="s">
        <v>2380</v>
      </c>
      <c r="E44" s="412" t="s">
        <v>2412</v>
      </c>
      <c r="F44" s="412" t="s">
        <v>2462</v>
      </c>
      <c r="G44" s="412" t="s">
        <v>2513</v>
      </c>
      <c r="H44" s="412" t="s">
        <v>1797</v>
      </c>
      <c r="I44" s="412" t="s">
        <v>1797</v>
      </c>
      <c r="J44" s="412">
        <v>8</v>
      </c>
      <c r="K44" s="412">
        <v>24</v>
      </c>
      <c r="L44" s="412">
        <v>60</v>
      </c>
      <c r="M44" s="412">
        <v>240</v>
      </c>
      <c r="N44" s="412" t="s">
        <v>1797</v>
      </c>
      <c r="O44" s="412" t="s">
        <v>2088</v>
      </c>
      <c r="P44" s="412" t="s">
        <v>2199</v>
      </c>
      <c r="Q44" s="412" t="s">
        <v>2514</v>
      </c>
      <c r="R44" s="412" t="s">
        <v>2387</v>
      </c>
      <c r="S44" s="412" t="s">
        <v>2388</v>
      </c>
      <c r="T44" s="412" t="s">
        <v>2389</v>
      </c>
      <c r="U44" s="412" t="s">
        <v>1797</v>
      </c>
      <c r="V44" s="412" t="s">
        <v>1797</v>
      </c>
    </row>
    <row r="45" spans="1:22" ht="39.75" customHeight="1" x14ac:dyDescent="0.25">
      <c r="A45" s="77">
        <v>44</v>
      </c>
      <c r="B45" s="412" t="s">
        <v>2379</v>
      </c>
      <c r="C45" s="412" t="s">
        <v>1497</v>
      </c>
      <c r="D45" s="412" t="s">
        <v>2380</v>
      </c>
      <c r="E45" s="412" t="s">
        <v>2487</v>
      </c>
      <c r="F45" s="412" t="s">
        <v>2515</v>
      </c>
      <c r="G45" s="412" t="s">
        <v>2516</v>
      </c>
      <c r="H45" s="412" t="s">
        <v>1797</v>
      </c>
      <c r="I45" s="412" t="s">
        <v>1797</v>
      </c>
      <c r="J45" s="412">
        <v>8</v>
      </c>
      <c r="K45" s="412">
        <v>64</v>
      </c>
      <c r="L45" s="412">
        <v>60</v>
      </c>
      <c r="M45" s="412">
        <v>2000</v>
      </c>
      <c r="N45" s="412" t="s">
        <v>1797</v>
      </c>
      <c r="O45" s="412" t="s">
        <v>2409</v>
      </c>
      <c r="P45" s="412" t="s">
        <v>2410</v>
      </c>
      <c r="Q45" s="412" t="s">
        <v>2517</v>
      </c>
      <c r="R45" s="412" t="s">
        <v>2387</v>
      </c>
      <c r="S45" s="412" t="s">
        <v>2388</v>
      </c>
      <c r="T45" s="412" t="s">
        <v>2389</v>
      </c>
      <c r="U45" s="412" t="s">
        <v>1797</v>
      </c>
      <c r="V45" s="412" t="s">
        <v>1797</v>
      </c>
    </row>
    <row r="46" spans="1:22" ht="39.75" customHeight="1" x14ac:dyDescent="0.25">
      <c r="A46" s="77">
        <v>45</v>
      </c>
      <c r="B46" s="412" t="s">
        <v>2379</v>
      </c>
      <c r="C46" s="412" t="s">
        <v>1497</v>
      </c>
      <c r="D46" s="412" t="s">
        <v>2380</v>
      </c>
      <c r="E46" s="412" t="s">
        <v>2491</v>
      </c>
      <c r="F46" s="412" t="s">
        <v>2518</v>
      </c>
      <c r="G46" s="412" t="s">
        <v>2519</v>
      </c>
      <c r="H46" s="412" t="s">
        <v>1797</v>
      </c>
      <c r="I46" s="412" t="s">
        <v>1797</v>
      </c>
      <c r="J46" s="412">
        <v>8</v>
      </c>
      <c r="K46" s="412">
        <v>24</v>
      </c>
      <c r="L46" s="412">
        <v>60</v>
      </c>
      <c r="M46" s="412">
        <v>200</v>
      </c>
      <c r="N46" s="412" t="s">
        <v>1797</v>
      </c>
      <c r="O46" s="412" t="s">
        <v>2409</v>
      </c>
      <c r="P46" s="412" t="s">
        <v>2410</v>
      </c>
      <c r="Q46" s="412" t="s">
        <v>2520</v>
      </c>
      <c r="R46" s="412" t="s">
        <v>2387</v>
      </c>
      <c r="S46" s="412" t="s">
        <v>2388</v>
      </c>
      <c r="T46" s="412" t="s">
        <v>2389</v>
      </c>
      <c r="U46" s="412" t="s">
        <v>1797</v>
      </c>
      <c r="V46" s="412" t="s">
        <v>1797</v>
      </c>
    </row>
    <row r="47" spans="1:22" ht="39.75" customHeight="1" x14ac:dyDescent="0.25">
      <c r="A47" s="77">
        <v>46</v>
      </c>
      <c r="B47" s="412" t="s">
        <v>2379</v>
      </c>
      <c r="C47" s="412" t="s">
        <v>1497</v>
      </c>
      <c r="D47" s="412" t="s">
        <v>2380</v>
      </c>
      <c r="E47" s="412" t="s">
        <v>2491</v>
      </c>
      <c r="F47" s="412" t="s">
        <v>2521</v>
      </c>
      <c r="G47" s="412" t="s">
        <v>2522</v>
      </c>
      <c r="H47" s="412" t="s">
        <v>1797</v>
      </c>
      <c r="I47" s="412" t="s">
        <v>1797</v>
      </c>
      <c r="J47" s="412">
        <v>8</v>
      </c>
      <c r="K47" s="412">
        <v>24</v>
      </c>
      <c r="L47" s="412">
        <v>60</v>
      </c>
      <c r="M47" s="412">
        <v>200</v>
      </c>
      <c r="N47" s="412" t="s">
        <v>1797</v>
      </c>
      <c r="O47" s="412" t="s">
        <v>2409</v>
      </c>
      <c r="P47" s="412" t="s">
        <v>2410</v>
      </c>
      <c r="Q47" s="412" t="s">
        <v>2523</v>
      </c>
      <c r="R47" s="412" t="s">
        <v>2387</v>
      </c>
      <c r="S47" s="412" t="s">
        <v>2388</v>
      </c>
      <c r="T47" s="412" t="s">
        <v>2389</v>
      </c>
      <c r="U47" s="412" t="s">
        <v>1797</v>
      </c>
      <c r="V47" s="412" t="s">
        <v>1797</v>
      </c>
    </row>
    <row r="48" spans="1:22" ht="39.75" customHeight="1" x14ac:dyDescent="0.25">
      <c r="A48" s="77">
        <v>47</v>
      </c>
      <c r="B48" s="412" t="s">
        <v>2379</v>
      </c>
      <c r="C48" s="412" t="s">
        <v>1497</v>
      </c>
      <c r="D48" s="412" t="s">
        <v>2380</v>
      </c>
      <c r="E48" s="412" t="s">
        <v>2491</v>
      </c>
      <c r="F48" s="412" t="s">
        <v>2407</v>
      </c>
      <c r="G48" s="412" t="s">
        <v>2524</v>
      </c>
      <c r="H48" s="412" t="s">
        <v>1797</v>
      </c>
      <c r="I48" s="412" t="s">
        <v>1797</v>
      </c>
      <c r="J48" s="412">
        <v>8</v>
      </c>
      <c r="K48" s="412">
        <v>24</v>
      </c>
      <c r="L48" s="412">
        <v>60</v>
      </c>
      <c r="M48" s="412">
        <v>200</v>
      </c>
      <c r="N48" s="412" t="s">
        <v>1797</v>
      </c>
      <c r="O48" s="412" t="s">
        <v>2409</v>
      </c>
      <c r="P48" s="412" t="s">
        <v>2410</v>
      </c>
      <c r="Q48" s="412" t="s">
        <v>2525</v>
      </c>
      <c r="R48" s="412" t="s">
        <v>2387</v>
      </c>
      <c r="S48" s="412" t="s">
        <v>2388</v>
      </c>
      <c r="T48" s="412" t="s">
        <v>2389</v>
      </c>
      <c r="U48" s="412" t="s">
        <v>1797</v>
      </c>
      <c r="V48" s="412" t="s">
        <v>1797</v>
      </c>
    </row>
    <row r="49" spans="1:22" ht="39.75" customHeight="1" x14ac:dyDescent="0.25">
      <c r="A49" s="77">
        <v>48</v>
      </c>
      <c r="B49" s="412" t="s">
        <v>2379</v>
      </c>
      <c r="C49" s="412" t="s">
        <v>1497</v>
      </c>
      <c r="D49" s="412" t="s">
        <v>2380</v>
      </c>
      <c r="E49" s="412" t="s">
        <v>2491</v>
      </c>
      <c r="F49" s="412" t="s">
        <v>2481</v>
      </c>
      <c r="G49" s="412" t="s">
        <v>2526</v>
      </c>
      <c r="H49" s="412" t="s">
        <v>1797</v>
      </c>
      <c r="I49" s="412" t="s">
        <v>1797</v>
      </c>
      <c r="J49" s="412">
        <v>8</v>
      </c>
      <c r="K49" s="412">
        <v>24</v>
      </c>
      <c r="L49" s="412">
        <v>60</v>
      </c>
      <c r="M49" s="412">
        <v>200</v>
      </c>
      <c r="N49" s="412" t="s">
        <v>1797</v>
      </c>
      <c r="O49" s="412" t="s">
        <v>2409</v>
      </c>
      <c r="P49" s="412" t="s">
        <v>2410</v>
      </c>
      <c r="Q49" s="412" t="s">
        <v>2527</v>
      </c>
      <c r="R49" s="412" t="s">
        <v>2387</v>
      </c>
      <c r="S49" s="412" t="s">
        <v>2388</v>
      </c>
      <c r="T49" s="412" t="s">
        <v>2389</v>
      </c>
      <c r="U49" s="412" t="s">
        <v>1797</v>
      </c>
      <c r="V49" s="412" t="s">
        <v>1797</v>
      </c>
    </row>
    <row r="50" spans="1:22" ht="39.75" customHeight="1" x14ac:dyDescent="0.25">
      <c r="A50" s="77">
        <v>49</v>
      </c>
      <c r="B50" s="412" t="s">
        <v>2379</v>
      </c>
      <c r="C50" s="412" t="s">
        <v>1497</v>
      </c>
      <c r="D50" s="412" t="s">
        <v>2380</v>
      </c>
      <c r="E50" s="412" t="s">
        <v>2381</v>
      </c>
      <c r="F50" s="412" t="s">
        <v>2382</v>
      </c>
      <c r="G50" s="412" t="s">
        <v>2528</v>
      </c>
      <c r="H50" s="412" t="s">
        <v>1797</v>
      </c>
      <c r="I50" s="412" t="s">
        <v>1797</v>
      </c>
      <c r="J50" s="412">
        <v>8</v>
      </c>
      <c r="K50" s="412">
        <v>64</v>
      </c>
      <c r="L50" s="412">
        <v>60</v>
      </c>
      <c r="M50" s="412">
        <v>1000</v>
      </c>
      <c r="N50" s="412" t="s">
        <v>1797</v>
      </c>
      <c r="O50" s="412" t="s">
        <v>2384</v>
      </c>
      <c r="P50" s="412" t="s">
        <v>2385</v>
      </c>
      <c r="Q50" s="412" t="s">
        <v>2529</v>
      </c>
      <c r="R50" s="412" t="s">
        <v>2387</v>
      </c>
      <c r="S50" s="412" t="s">
        <v>2388</v>
      </c>
      <c r="T50" s="412" t="s">
        <v>2389</v>
      </c>
      <c r="U50" s="412" t="s">
        <v>1797</v>
      </c>
      <c r="V50" s="412" t="s">
        <v>1797</v>
      </c>
    </row>
    <row r="51" spans="1:22" ht="39.75" customHeight="1" x14ac:dyDescent="0.25">
      <c r="A51" s="77">
        <v>50</v>
      </c>
      <c r="B51" s="412" t="s">
        <v>2379</v>
      </c>
      <c r="C51" s="412" t="s">
        <v>1497</v>
      </c>
      <c r="D51" s="412" t="s">
        <v>2380</v>
      </c>
      <c r="E51" s="412" t="s">
        <v>2491</v>
      </c>
      <c r="F51" s="412" t="s">
        <v>2498</v>
      </c>
      <c r="G51" s="412" t="s">
        <v>2530</v>
      </c>
      <c r="H51" s="412" t="s">
        <v>1797</v>
      </c>
      <c r="I51" s="412" t="s">
        <v>1797</v>
      </c>
      <c r="J51" s="412">
        <v>8</v>
      </c>
      <c r="K51" s="412">
        <v>24</v>
      </c>
      <c r="L51" s="412">
        <v>60</v>
      </c>
      <c r="M51" s="412">
        <v>200</v>
      </c>
      <c r="N51" s="412" t="s">
        <v>1797</v>
      </c>
      <c r="O51" s="412" t="s">
        <v>2409</v>
      </c>
      <c r="P51" s="412" t="s">
        <v>2410</v>
      </c>
      <c r="Q51" s="412" t="s">
        <v>2531</v>
      </c>
      <c r="R51" s="412" t="s">
        <v>2387</v>
      </c>
      <c r="S51" s="412" t="s">
        <v>2388</v>
      </c>
      <c r="T51" s="412" t="s">
        <v>2389</v>
      </c>
      <c r="U51" s="412" t="s">
        <v>1797</v>
      </c>
      <c r="V51" s="412" t="s">
        <v>1797</v>
      </c>
    </row>
    <row r="52" spans="1:22" ht="39.75" customHeight="1" x14ac:dyDescent="0.25">
      <c r="A52" s="77">
        <v>51</v>
      </c>
      <c r="B52" s="412" t="s">
        <v>2379</v>
      </c>
      <c r="C52" s="412" t="s">
        <v>1497</v>
      </c>
      <c r="D52" s="412" t="s">
        <v>2380</v>
      </c>
      <c r="E52" s="412" t="s">
        <v>2491</v>
      </c>
      <c r="F52" s="412" t="s">
        <v>2441</v>
      </c>
      <c r="G52" s="412" t="s">
        <v>2532</v>
      </c>
      <c r="H52" s="412" t="s">
        <v>1797</v>
      </c>
      <c r="I52" s="412" t="s">
        <v>1797</v>
      </c>
      <c r="J52" s="412">
        <v>8</v>
      </c>
      <c r="K52" s="412">
        <v>24</v>
      </c>
      <c r="L52" s="412">
        <v>60</v>
      </c>
      <c r="M52" s="412">
        <v>200</v>
      </c>
      <c r="N52" s="412" t="s">
        <v>1797</v>
      </c>
      <c r="O52" s="412" t="s">
        <v>2409</v>
      </c>
      <c r="P52" s="412" t="s">
        <v>2410</v>
      </c>
      <c r="Q52" s="412" t="s">
        <v>2533</v>
      </c>
      <c r="R52" s="412" t="s">
        <v>2387</v>
      </c>
      <c r="S52" s="412" t="s">
        <v>2388</v>
      </c>
      <c r="T52" s="412" t="s">
        <v>2389</v>
      </c>
      <c r="U52" s="412" t="s">
        <v>1797</v>
      </c>
      <c r="V52" s="412" t="s">
        <v>1797</v>
      </c>
    </row>
    <row r="53" spans="1:22" ht="39.75" customHeight="1" x14ac:dyDescent="0.25">
      <c r="A53" s="77">
        <v>52</v>
      </c>
      <c r="B53" s="412" t="s">
        <v>2379</v>
      </c>
      <c r="C53" s="412" t="s">
        <v>1497</v>
      </c>
      <c r="D53" s="412" t="s">
        <v>2380</v>
      </c>
      <c r="E53" s="412" t="s">
        <v>2400</v>
      </c>
      <c r="F53" s="412" t="s">
        <v>2397</v>
      </c>
      <c r="G53" s="412" t="s">
        <v>2534</v>
      </c>
      <c r="H53" s="412" t="s">
        <v>1797</v>
      </c>
      <c r="I53" s="412" t="s">
        <v>1797</v>
      </c>
      <c r="J53" s="412">
        <v>24</v>
      </c>
      <c r="K53" s="412">
        <v>48</v>
      </c>
      <c r="L53" s="412">
        <v>60</v>
      </c>
      <c r="M53" s="412">
        <v>1300</v>
      </c>
      <c r="N53" s="412" t="s">
        <v>1797</v>
      </c>
      <c r="O53" s="412" t="s">
        <v>2384</v>
      </c>
      <c r="P53" s="412" t="s">
        <v>2385</v>
      </c>
      <c r="Q53" s="412" t="s">
        <v>2535</v>
      </c>
      <c r="R53" s="412" t="s">
        <v>2387</v>
      </c>
      <c r="S53" s="412" t="s">
        <v>2388</v>
      </c>
      <c r="T53" s="412" t="s">
        <v>2389</v>
      </c>
      <c r="U53" s="412" t="s">
        <v>1797</v>
      </c>
      <c r="V53" s="412" t="s">
        <v>1797</v>
      </c>
    </row>
    <row r="54" spans="1:22" ht="39.75" customHeight="1" x14ac:dyDescent="0.25">
      <c r="A54" s="77">
        <v>53</v>
      </c>
      <c r="B54" s="412" t="s">
        <v>2379</v>
      </c>
      <c r="C54" s="412" t="s">
        <v>1497</v>
      </c>
      <c r="D54" s="412" t="s">
        <v>2380</v>
      </c>
      <c r="E54" s="412" t="s">
        <v>2487</v>
      </c>
      <c r="F54" s="412" t="s">
        <v>2536</v>
      </c>
      <c r="G54" s="412" t="s">
        <v>2537</v>
      </c>
      <c r="H54" s="412" t="s">
        <v>1797</v>
      </c>
      <c r="I54" s="412" t="s">
        <v>1797</v>
      </c>
      <c r="J54" s="412">
        <v>8</v>
      </c>
      <c r="K54" s="412">
        <v>64</v>
      </c>
      <c r="L54" s="412">
        <v>60</v>
      </c>
      <c r="M54" s="412">
        <v>2000</v>
      </c>
      <c r="N54" s="412" t="s">
        <v>1797</v>
      </c>
      <c r="O54" s="412" t="s">
        <v>2384</v>
      </c>
      <c r="P54" s="412" t="s">
        <v>2385</v>
      </c>
      <c r="Q54" s="412" t="s">
        <v>2538</v>
      </c>
      <c r="R54" s="412" t="s">
        <v>2387</v>
      </c>
      <c r="S54" s="412" t="s">
        <v>2388</v>
      </c>
      <c r="T54" s="412" t="s">
        <v>2389</v>
      </c>
      <c r="U54" s="412" t="s">
        <v>1797</v>
      </c>
      <c r="V54" s="412" t="s">
        <v>1797</v>
      </c>
    </row>
    <row r="55" spans="1:22" ht="39.75" customHeight="1" x14ac:dyDescent="0.25">
      <c r="A55" s="77">
        <v>54</v>
      </c>
      <c r="B55" s="412" t="s">
        <v>2379</v>
      </c>
      <c r="C55" s="412" t="s">
        <v>1497</v>
      </c>
      <c r="D55" s="412" t="s">
        <v>2380</v>
      </c>
      <c r="E55" s="412" t="s">
        <v>2487</v>
      </c>
      <c r="F55" s="412" t="s">
        <v>2536</v>
      </c>
      <c r="G55" s="412" t="s">
        <v>2539</v>
      </c>
      <c r="H55" s="412" t="s">
        <v>1797</v>
      </c>
      <c r="I55" s="412" t="s">
        <v>1797</v>
      </c>
      <c r="J55" s="412">
        <v>8</v>
      </c>
      <c r="K55" s="412">
        <v>64</v>
      </c>
      <c r="L55" s="412">
        <v>60</v>
      </c>
      <c r="M55" s="412">
        <v>2000</v>
      </c>
      <c r="N55" s="412" t="s">
        <v>1797</v>
      </c>
      <c r="O55" s="412" t="s">
        <v>2384</v>
      </c>
      <c r="P55" s="412" t="s">
        <v>2385</v>
      </c>
      <c r="Q55" s="412" t="s">
        <v>2540</v>
      </c>
      <c r="R55" s="412" t="s">
        <v>2387</v>
      </c>
      <c r="S55" s="412" t="s">
        <v>2388</v>
      </c>
      <c r="T55" s="412" t="s">
        <v>2389</v>
      </c>
      <c r="U55" s="412" t="s">
        <v>1797</v>
      </c>
      <c r="V55" s="412" t="s">
        <v>1797</v>
      </c>
    </row>
    <row r="56" spans="1:22" ht="39.75" customHeight="1" x14ac:dyDescent="0.25">
      <c r="A56" s="77">
        <v>55</v>
      </c>
      <c r="B56" s="412" t="s">
        <v>2379</v>
      </c>
      <c r="C56" s="412" t="s">
        <v>1497</v>
      </c>
      <c r="D56" s="412" t="s">
        <v>2380</v>
      </c>
      <c r="E56" s="412" t="s">
        <v>2400</v>
      </c>
      <c r="F56" s="412" t="s">
        <v>2429</v>
      </c>
      <c r="G56" s="412" t="s">
        <v>2541</v>
      </c>
      <c r="H56" s="412" t="s">
        <v>1797</v>
      </c>
      <c r="I56" s="412" t="s">
        <v>1797</v>
      </c>
      <c r="J56" s="412">
        <v>24</v>
      </c>
      <c r="K56" s="412">
        <v>48</v>
      </c>
      <c r="L56" s="412">
        <v>60</v>
      </c>
      <c r="M56" s="412">
        <v>1300</v>
      </c>
      <c r="N56" s="412" t="s">
        <v>1797</v>
      </c>
      <c r="O56" s="412" t="s">
        <v>2088</v>
      </c>
      <c r="P56" s="412" t="s">
        <v>2100</v>
      </c>
      <c r="Q56" s="412" t="s">
        <v>2542</v>
      </c>
      <c r="R56" s="412" t="s">
        <v>2387</v>
      </c>
      <c r="S56" s="412" t="s">
        <v>2388</v>
      </c>
      <c r="T56" s="412" t="s">
        <v>2389</v>
      </c>
      <c r="U56" s="412" t="s">
        <v>1797</v>
      </c>
      <c r="V56" s="412" t="s">
        <v>1797</v>
      </c>
    </row>
    <row r="57" spans="1:22" ht="39.75" customHeight="1" x14ac:dyDescent="0.25">
      <c r="A57" s="77">
        <v>56</v>
      </c>
      <c r="B57" s="412" t="s">
        <v>2379</v>
      </c>
      <c r="C57" s="412" t="s">
        <v>1497</v>
      </c>
      <c r="D57" s="412" t="s">
        <v>2380</v>
      </c>
      <c r="E57" s="412" t="s">
        <v>2491</v>
      </c>
      <c r="F57" s="412" t="s">
        <v>2543</v>
      </c>
      <c r="G57" s="412" t="s">
        <v>2544</v>
      </c>
      <c r="H57" s="412" t="s">
        <v>1797</v>
      </c>
      <c r="I57" s="412" t="s">
        <v>1797</v>
      </c>
      <c r="J57" s="412">
        <v>8</v>
      </c>
      <c r="K57" s="412">
        <v>24</v>
      </c>
      <c r="L57" s="412">
        <v>60</v>
      </c>
      <c r="M57" s="412">
        <v>200</v>
      </c>
      <c r="N57" s="412" t="s">
        <v>1797</v>
      </c>
      <c r="O57" s="412" t="s">
        <v>2088</v>
      </c>
      <c r="P57" s="412" t="s">
        <v>2100</v>
      </c>
      <c r="Q57" s="412" t="s">
        <v>2545</v>
      </c>
      <c r="R57" s="412" t="s">
        <v>2387</v>
      </c>
      <c r="S57" s="412" t="s">
        <v>2388</v>
      </c>
      <c r="T57" s="412" t="s">
        <v>2389</v>
      </c>
      <c r="U57" s="412" t="s">
        <v>1797</v>
      </c>
      <c r="V57" s="412" t="s">
        <v>1797</v>
      </c>
    </row>
    <row r="58" spans="1:22" ht="39.75" customHeight="1" x14ac:dyDescent="0.25">
      <c r="A58" s="77">
        <v>57</v>
      </c>
      <c r="B58" s="412" t="s">
        <v>2379</v>
      </c>
      <c r="C58" s="412" t="s">
        <v>1497</v>
      </c>
      <c r="D58" s="412" t="s">
        <v>2380</v>
      </c>
      <c r="E58" s="412" t="s">
        <v>2491</v>
      </c>
      <c r="F58" s="412" t="s">
        <v>2543</v>
      </c>
      <c r="G58" s="412" t="s">
        <v>2546</v>
      </c>
      <c r="H58" s="412" t="s">
        <v>1797</v>
      </c>
      <c r="I58" s="412" t="s">
        <v>1797</v>
      </c>
      <c r="J58" s="412">
        <v>8</v>
      </c>
      <c r="K58" s="412">
        <v>24</v>
      </c>
      <c r="L58" s="412">
        <v>60</v>
      </c>
      <c r="M58" s="412">
        <v>200</v>
      </c>
      <c r="N58" s="412" t="s">
        <v>1797</v>
      </c>
      <c r="O58" s="412" t="s">
        <v>2088</v>
      </c>
      <c r="P58" s="412" t="s">
        <v>2100</v>
      </c>
      <c r="Q58" s="412" t="s">
        <v>2547</v>
      </c>
      <c r="R58" s="412" t="s">
        <v>2387</v>
      </c>
      <c r="S58" s="412" t="s">
        <v>2388</v>
      </c>
      <c r="T58" s="412" t="s">
        <v>2389</v>
      </c>
      <c r="U58" s="412" t="s">
        <v>1797</v>
      </c>
      <c r="V58" s="412" t="s">
        <v>1797</v>
      </c>
    </row>
    <row r="59" spans="1:22" ht="39.75" customHeight="1" x14ac:dyDescent="0.25">
      <c r="A59" s="77">
        <v>58</v>
      </c>
      <c r="B59" s="412" t="s">
        <v>2379</v>
      </c>
      <c r="C59" s="412" t="s">
        <v>1497</v>
      </c>
      <c r="D59" s="412" t="s">
        <v>2380</v>
      </c>
      <c r="E59" s="412" t="s">
        <v>2491</v>
      </c>
      <c r="F59" s="412" t="s">
        <v>2426</v>
      </c>
      <c r="G59" s="412" t="s">
        <v>2548</v>
      </c>
      <c r="H59" s="412" t="s">
        <v>1797</v>
      </c>
      <c r="I59" s="412" t="s">
        <v>1797</v>
      </c>
      <c r="J59" s="412">
        <v>8</v>
      </c>
      <c r="K59" s="412">
        <v>24</v>
      </c>
      <c r="L59" s="412">
        <v>60</v>
      </c>
      <c r="M59" s="412">
        <v>200</v>
      </c>
      <c r="N59" s="412" t="s">
        <v>1797</v>
      </c>
      <c r="O59" s="412" t="s">
        <v>2088</v>
      </c>
      <c r="P59" s="412" t="s">
        <v>2089</v>
      </c>
      <c r="Q59" s="412" t="s">
        <v>2549</v>
      </c>
      <c r="R59" s="412" t="s">
        <v>2387</v>
      </c>
      <c r="S59" s="412" t="s">
        <v>2388</v>
      </c>
      <c r="T59" s="412" t="s">
        <v>2389</v>
      </c>
      <c r="U59" s="412" t="s">
        <v>1797</v>
      </c>
      <c r="V59" s="412" t="s">
        <v>1797</v>
      </c>
    </row>
    <row r="60" spans="1:22" ht="39.75" customHeight="1" x14ac:dyDescent="0.25">
      <c r="A60" s="77">
        <v>59</v>
      </c>
      <c r="B60" s="412" t="s">
        <v>2379</v>
      </c>
      <c r="C60" s="412" t="s">
        <v>1497</v>
      </c>
      <c r="D60" s="412" t="s">
        <v>2380</v>
      </c>
      <c r="E60" s="412" t="s">
        <v>2491</v>
      </c>
      <c r="F60" s="412" t="s">
        <v>2468</v>
      </c>
      <c r="G60" s="412" t="s">
        <v>2550</v>
      </c>
      <c r="H60" s="412" t="s">
        <v>1797</v>
      </c>
      <c r="I60" s="412" t="s">
        <v>1797</v>
      </c>
      <c r="J60" s="412">
        <v>8</v>
      </c>
      <c r="K60" s="412">
        <v>24</v>
      </c>
      <c r="L60" s="412">
        <v>60</v>
      </c>
      <c r="M60" s="412">
        <v>200</v>
      </c>
      <c r="N60" s="412" t="s">
        <v>1797</v>
      </c>
      <c r="O60" s="412" t="s">
        <v>2088</v>
      </c>
      <c r="P60" s="412" t="s">
        <v>2089</v>
      </c>
      <c r="Q60" s="412" t="s">
        <v>2551</v>
      </c>
      <c r="R60" s="412" t="s">
        <v>2387</v>
      </c>
      <c r="S60" s="412" t="s">
        <v>2388</v>
      </c>
      <c r="T60" s="412" t="s">
        <v>2389</v>
      </c>
      <c r="U60" s="412" t="s">
        <v>1797</v>
      </c>
      <c r="V60" s="412" t="s">
        <v>1797</v>
      </c>
    </row>
    <row r="61" spans="1:22" ht="39.75" customHeight="1" x14ac:dyDescent="0.25">
      <c r="A61" s="77">
        <v>60</v>
      </c>
      <c r="B61" s="412" t="s">
        <v>2379</v>
      </c>
      <c r="C61" s="412" t="s">
        <v>1497</v>
      </c>
      <c r="D61" s="412" t="s">
        <v>2380</v>
      </c>
      <c r="E61" s="412" t="s">
        <v>2491</v>
      </c>
      <c r="F61" s="412" t="s">
        <v>2413</v>
      </c>
      <c r="G61" s="412" t="s">
        <v>2552</v>
      </c>
      <c r="H61" s="412" t="s">
        <v>1797</v>
      </c>
      <c r="I61" s="412" t="s">
        <v>1797</v>
      </c>
      <c r="J61" s="412">
        <v>8</v>
      </c>
      <c r="K61" s="412">
        <v>24</v>
      </c>
      <c r="L61" s="412">
        <v>60</v>
      </c>
      <c r="M61" s="412">
        <v>200</v>
      </c>
      <c r="N61" s="412" t="s">
        <v>1797</v>
      </c>
      <c r="O61" s="412" t="s">
        <v>2088</v>
      </c>
      <c r="P61" s="412" t="s">
        <v>2089</v>
      </c>
      <c r="Q61" s="412" t="s">
        <v>2553</v>
      </c>
      <c r="R61" s="412" t="s">
        <v>2387</v>
      </c>
      <c r="S61" s="412" t="s">
        <v>2388</v>
      </c>
      <c r="T61" s="412" t="s">
        <v>2389</v>
      </c>
      <c r="U61" s="412" t="s">
        <v>1797</v>
      </c>
      <c r="V61" s="412" t="s">
        <v>1797</v>
      </c>
    </row>
    <row r="62" spans="1:22" ht="39.75" customHeight="1" x14ac:dyDescent="0.25">
      <c r="M62" s="413" t="s">
        <v>2554</v>
      </c>
    </row>
    <row r="63" spans="1:22" ht="39.75" customHeight="1" x14ac:dyDescent="0.25">
      <c r="M63" s="413" t="s">
        <v>2555</v>
      </c>
    </row>
    <row r="64" spans="1:22" ht="39.75" customHeight="1" x14ac:dyDescent="0.25">
      <c r="A64" s="77"/>
      <c r="B64" s="412" t="s">
        <v>2556</v>
      </c>
      <c r="C64" s="412" t="s">
        <v>2557</v>
      </c>
      <c r="D64" s="412" t="s">
        <v>2558</v>
      </c>
      <c r="E64" s="412" t="s">
        <v>2559</v>
      </c>
      <c r="F64" s="412" t="s">
        <v>2560</v>
      </c>
      <c r="G64" s="412" t="s">
        <v>2561</v>
      </c>
      <c r="H64" s="412" t="s">
        <v>1797</v>
      </c>
      <c r="I64" s="412" t="s">
        <v>2562</v>
      </c>
      <c r="J64" s="412">
        <v>32</v>
      </c>
      <c r="K64" s="412">
        <v>64</v>
      </c>
      <c r="L64" s="412">
        <v>100</v>
      </c>
      <c r="M64" s="412" t="s">
        <v>2563</v>
      </c>
      <c r="N64" s="412" t="s">
        <v>1797</v>
      </c>
      <c r="O64" s="412" t="s">
        <v>2564</v>
      </c>
      <c r="P64" s="412" t="s">
        <v>2565</v>
      </c>
      <c r="Q64" s="412"/>
      <c r="R64" s="412"/>
      <c r="S64" s="412" t="s">
        <v>2388</v>
      </c>
      <c r="T64" s="412" t="s">
        <v>1090</v>
      </c>
      <c r="U64" s="412"/>
      <c r="V64" s="412"/>
    </row>
    <row r="65" spans="1:24" ht="39.75" customHeight="1" x14ac:dyDescent="0.25">
      <c r="A65" s="77"/>
      <c r="B65" s="412" t="s">
        <v>2556</v>
      </c>
      <c r="C65" s="412" t="s">
        <v>2557</v>
      </c>
      <c r="D65" s="412" t="s">
        <v>2558</v>
      </c>
      <c r="E65" s="412" t="s">
        <v>2559</v>
      </c>
      <c r="F65" s="412" t="s">
        <v>2566</v>
      </c>
      <c r="G65" s="412" t="s">
        <v>2567</v>
      </c>
      <c r="H65" s="412" t="s">
        <v>1797</v>
      </c>
      <c r="I65" s="412" t="s">
        <v>2562</v>
      </c>
      <c r="J65" s="412">
        <v>32</v>
      </c>
      <c r="K65" s="412">
        <v>64</v>
      </c>
      <c r="L65" s="412">
        <v>100</v>
      </c>
      <c r="M65" s="412" t="s">
        <v>2563</v>
      </c>
      <c r="N65" s="412" t="s">
        <v>1797</v>
      </c>
      <c r="O65" s="412" t="s">
        <v>2568</v>
      </c>
      <c r="P65" s="412" t="s">
        <v>2569</v>
      </c>
      <c r="Q65" s="412"/>
      <c r="R65" s="412"/>
      <c r="S65" s="412" t="s">
        <v>2388</v>
      </c>
      <c r="T65" s="412" t="s">
        <v>1090</v>
      </c>
      <c r="U65" s="412"/>
      <c r="V65" s="412"/>
      <c r="X65" s="414"/>
    </row>
    <row r="66" spans="1:24" ht="39.75" customHeight="1" x14ac:dyDescent="0.25">
      <c r="A66" s="77"/>
      <c r="B66" s="412" t="s">
        <v>2556</v>
      </c>
      <c r="C66" s="412" t="s">
        <v>2557</v>
      </c>
      <c r="D66" s="412" t="s">
        <v>2558</v>
      </c>
      <c r="E66" s="412" t="s">
        <v>2559</v>
      </c>
      <c r="F66" s="412" t="s">
        <v>2570</v>
      </c>
      <c r="G66" s="412" t="s">
        <v>2571</v>
      </c>
      <c r="H66" s="412" t="s">
        <v>1797</v>
      </c>
      <c r="I66" s="412" t="s">
        <v>2562</v>
      </c>
      <c r="J66" s="412">
        <v>32</v>
      </c>
      <c r="K66" s="412">
        <v>64</v>
      </c>
      <c r="L66" s="412">
        <v>100</v>
      </c>
      <c r="M66" s="412" t="s">
        <v>2563</v>
      </c>
      <c r="N66" s="412" t="s">
        <v>1797</v>
      </c>
      <c r="O66" s="412" t="s">
        <v>2572</v>
      </c>
      <c r="P66" s="412" t="s">
        <v>2573</v>
      </c>
      <c r="Q66" s="412"/>
      <c r="R66" s="412"/>
      <c r="S66" s="412" t="s">
        <v>2388</v>
      </c>
      <c r="T66" s="412" t="s">
        <v>1090</v>
      </c>
      <c r="U66" s="412"/>
      <c r="V66" s="412"/>
      <c r="X66" s="414"/>
    </row>
    <row r="67" spans="1:24" ht="39.75" customHeight="1" x14ac:dyDescent="0.25">
      <c r="A67" s="77"/>
      <c r="B67" s="412" t="s">
        <v>2556</v>
      </c>
      <c r="C67" s="412" t="s">
        <v>2557</v>
      </c>
      <c r="D67" s="412" t="s">
        <v>2558</v>
      </c>
      <c r="E67" s="412" t="s">
        <v>2559</v>
      </c>
      <c r="F67" s="412" t="s">
        <v>2574</v>
      </c>
      <c r="G67" s="412" t="s">
        <v>2575</v>
      </c>
      <c r="H67" s="412" t="s">
        <v>1797</v>
      </c>
      <c r="I67" s="412" t="s">
        <v>2562</v>
      </c>
      <c r="J67" s="412">
        <v>32</v>
      </c>
      <c r="K67" s="412">
        <v>64</v>
      </c>
      <c r="L67" s="412">
        <v>100</v>
      </c>
      <c r="M67" s="412" t="s">
        <v>2563</v>
      </c>
      <c r="N67" s="412" t="s">
        <v>1797</v>
      </c>
      <c r="O67" s="412" t="s">
        <v>2576</v>
      </c>
      <c r="P67" s="412" t="s">
        <v>2577</v>
      </c>
      <c r="Q67" s="412"/>
      <c r="R67" s="412"/>
      <c r="S67" s="412" t="s">
        <v>2388</v>
      </c>
      <c r="T67" s="412" t="s">
        <v>1090</v>
      </c>
      <c r="U67" s="412"/>
      <c r="V67" s="412"/>
      <c r="X67" s="414"/>
    </row>
    <row r="68" spans="1:24" ht="39.75" customHeight="1" x14ac:dyDescent="0.25">
      <c r="A68" s="77"/>
      <c r="B68" s="412" t="s">
        <v>2556</v>
      </c>
      <c r="C68" s="412" t="s">
        <v>2557</v>
      </c>
      <c r="D68" s="412" t="s">
        <v>2558</v>
      </c>
      <c r="E68" s="412" t="s">
        <v>2559</v>
      </c>
      <c r="F68" s="412" t="s">
        <v>2578</v>
      </c>
      <c r="G68" s="412" t="s">
        <v>2579</v>
      </c>
      <c r="H68" s="412" t="s">
        <v>1797</v>
      </c>
      <c r="I68" s="412" t="s">
        <v>2562</v>
      </c>
      <c r="J68" s="412">
        <v>32</v>
      </c>
      <c r="K68" s="412">
        <v>64</v>
      </c>
      <c r="L68" s="412">
        <v>100</v>
      </c>
      <c r="M68" s="412" t="s">
        <v>2563</v>
      </c>
      <c r="N68" s="412" t="s">
        <v>1797</v>
      </c>
      <c r="O68" s="412" t="s">
        <v>2580</v>
      </c>
      <c r="P68" s="412" t="s">
        <v>2581</v>
      </c>
      <c r="Q68" s="412"/>
      <c r="R68" s="412"/>
      <c r="S68" s="412" t="s">
        <v>2388</v>
      </c>
      <c r="T68" s="412" t="s">
        <v>1090</v>
      </c>
      <c r="U68" s="412"/>
      <c r="V68" s="412"/>
      <c r="X68" s="414"/>
    </row>
    <row r="69" spans="1:24" ht="39.75" customHeight="1" x14ac:dyDescent="0.25">
      <c r="A69" s="77"/>
      <c r="B69" s="412" t="s">
        <v>2556</v>
      </c>
      <c r="C69" s="412" t="s">
        <v>2557</v>
      </c>
      <c r="D69" s="412" t="s">
        <v>2558</v>
      </c>
      <c r="E69" s="412" t="s">
        <v>2559</v>
      </c>
      <c r="F69" s="412" t="s">
        <v>2582</v>
      </c>
      <c r="G69" s="412" t="s">
        <v>2583</v>
      </c>
      <c r="H69" s="412" t="s">
        <v>1797</v>
      </c>
      <c r="I69" s="412" t="s">
        <v>2562</v>
      </c>
      <c r="J69" s="412">
        <v>32</v>
      </c>
      <c r="K69" s="412">
        <v>64</v>
      </c>
      <c r="L69" s="412">
        <v>100</v>
      </c>
      <c r="M69" s="412" t="s">
        <v>2563</v>
      </c>
      <c r="N69" s="412" t="s">
        <v>1797</v>
      </c>
      <c r="O69" s="412" t="s">
        <v>2564</v>
      </c>
      <c r="P69" s="412" t="s">
        <v>2565</v>
      </c>
      <c r="Q69" s="412"/>
      <c r="R69" s="412"/>
      <c r="S69" s="412" t="s">
        <v>2388</v>
      </c>
      <c r="T69" s="412" t="s">
        <v>1090</v>
      </c>
      <c r="U69" s="412"/>
      <c r="V69" s="412"/>
      <c r="X69" s="414"/>
    </row>
    <row r="70" spans="1:24" ht="39.75" customHeight="1" x14ac:dyDescent="0.25">
      <c r="A70" s="77"/>
      <c r="B70" s="412" t="s">
        <v>2556</v>
      </c>
      <c r="C70" s="412" t="s">
        <v>2557</v>
      </c>
      <c r="D70" s="412" t="s">
        <v>2558</v>
      </c>
      <c r="E70" s="412" t="s">
        <v>2559</v>
      </c>
      <c r="F70" s="412" t="s">
        <v>2584</v>
      </c>
      <c r="G70" s="412" t="s">
        <v>2585</v>
      </c>
      <c r="H70" s="412" t="s">
        <v>1797</v>
      </c>
      <c r="I70" s="412" t="s">
        <v>2562</v>
      </c>
      <c r="J70" s="412">
        <v>32</v>
      </c>
      <c r="K70" s="412">
        <v>64</v>
      </c>
      <c r="L70" s="412">
        <v>100</v>
      </c>
      <c r="M70" s="412" t="s">
        <v>2563</v>
      </c>
      <c r="N70" s="412" t="s">
        <v>1797</v>
      </c>
      <c r="O70" s="412" t="s">
        <v>2568</v>
      </c>
      <c r="P70" s="412" t="s">
        <v>2569</v>
      </c>
      <c r="Q70" s="412"/>
      <c r="R70" s="412"/>
      <c r="S70" s="412" t="s">
        <v>2388</v>
      </c>
      <c r="T70" s="412" t="s">
        <v>1090</v>
      </c>
      <c r="U70" s="412"/>
      <c r="V70" s="412"/>
      <c r="X70" s="414"/>
    </row>
    <row r="71" spans="1:24" ht="39.75" customHeight="1" x14ac:dyDescent="0.25">
      <c r="A71" s="77"/>
      <c r="B71" s="412" t="s">
        <v>2556</v>
      </c>
      <c r="C71" s="412" t="s">
        <v>2557</v>
      </c>
      <c r="D71" s="412" t="s">
        <v>2558</v>
      </c>
      <c r="E71" s="412" t="s">
        <v>2559</v>
      </c>
      <c r="F71" s="412" t="s">
        <v>2586</v>
      </c>
      <c r="G71" s="412" t="s">
        <v>2587</v>
      </c>
      <c r="H71" s="412" t="s">
        <v>1797</v>
      </c>
      <c r="I71" s="412" t="s">
        <v>2562</v>
      </c>
      <c r="J71" s="412">
        <v>32</v>
      </c>
      <c r="K71" s="412">
        <v>64</v>
      </c>
      <c r="L71" s="412">
        <v>100</v>
      </c>
      <c r="M71" s="412" t="s">
        <v>2563</v>
      </c>
      <c r="N71" s="412" t="s">
        <v>1797</v>
      </c>
      <c r="O71" s="412" t="s">
        <v>2572</v>
      </c>
      <c r="P71" s="412" t="s">
        <v>2573</v>
      </c>
      <c r="Q71" s="412"/>
      <c r="R71" s="412"/>
      <c r="S71" s="412" t="s">
        <v>2388</v>
      </c>
      <c r="T71" s="412" t="s">
        <v>1090</v>
      </c>
      <c r="U71" s="412"/>
      <c r="V71" s="412"/>
      <c r="X71" s="414"/>
    </row>
    <row r="72" spans="1:24" ht="39.75" customHeight="1" x14ac:dyDescent="0.25">
      <c r="A72" s="77"/>
      <c r="B72" s="412" t="s">
        <v>2556</v>
      </c>
      <c r="C72" s="412" t="s">
        <v>2557</v>
      </c>
      <c r="D72" s="412" t="s">
        <v>2558</v>
      </c>
      <c r="E72" s="412" t="s">
        <v>2559</v>
      </c>
      <c r="F72" s="412" t="s">
        <v>2588</v>
      </c>
      <c r="G72" s="412" t="s">
        <v>2589</v>
      </c>
      <c r="H72" s="412" t="s">
        <v>1797</v>
      </c>
      <c r="I72" s="412" t="s">
        <v>2562</v>
      </c>
      <c r="J72" s="412">
        <v>32</v>
      </c>
      <c r="K72" s="412">
        <v>64</v>
      </c>
      <c r="L72" s="412">
        <v>100</v>
      </c>
      <c r="M72" s="412" t="s">
        <v>2563</v>
      </c>
      <c r="N72" s="412" t="s">
        <v>1797</v>
      </c>
      <c r="O72" s="412" t="s">
        <v>2576</v>
      </c>
      <c r="P72" s="412" t="s">
        <v>2577</v>
      </c>
      <c r="Q72" s="412"/>
      <c r="R72" s="412"/>
      <c r="S72" s="412" t="s">
        <v>2388</v>
      </c>
      <c r="T72" s="412" t="s">
        <v>1090</v>
      </c>
      <c r="U72" s="412"/>
      <c r="V72" s="412"/>
      <c r="X72" s="414"/>
    </row>
    <row r="73" spans="1:24" ht="39.75" customHeight="1" x14ac:dyDescent="0.25">
      <c r="A73" s="77"/>
      <c r="B73" s="412" t="s">
        <v>2556</v>
      </c>
      <c r="C73" s="412" t="s">
        <v>2557</v>
      </c>
      <c r="D73" s="412" t="s">
        <v>2558</v>
      </c>
      <c r="E73" s="412" t="s">
        <v>2559</v>
      </c>
      <c r="F73" s="412" t="s">
        <v>2590</v>
      </c>
      <c r="G73" s="412" t="s">
        <v>2591</v>
      </c>
      <c r="H73" s="412" t="s">
        <v>1797</v>
      </c>
      <c r="I73" s="412" t="s">
        <v>2562</v>
      </c>
      <c r="J73" s="412">
        <v>32</v>
      </c>
      <c r="K73" s="412">
        <v>64</v>
      </c>
      <c r="L73" s="412">
        <v>100</v>
      </c>
      <c r="M73" s="412" t="s">
        <v>2563</v>
      </c>
      <c r="N73" s="412" t="s">
        <v>1797</v>
      </c>
      <c r="O73" s="412" t="s">
        <v>2580</v>
      </c>
      <c r="P73" s="412" t="s">
        <v>2581</v>
      </c>
      <c r="Q73" s="412"/>
      <c r="R73" s="412"/>
      <c r="S73" s="412" t="s">
        <v>2388</v>
      </c>
      <c r="T73" s="412" t="s">
        <v>1090</v>
      </c>
      <c r="U73" s="412"/>
      <c r="V73" s="412"/>
      <c r="X73" s="414"/>
    </row>
    <row r="74" spans="1:24" ht="39.75" customHeight="1" x14ac:dyDescent="0.25">
      <c r="A74" s="77"/>
      <c r="B74" s="412" t="s">
        <v>2556</v>
      </c>
      <c r="C74" s="412" t="s">
        <v>2557</v>
      </c>
      <c r="D74" s="412" t="s">
        <v>2558</v>
      </c>
      <c r="E74" s="412" t="s">
        <v>2559</v>
      </c>
      <c r="F74" s="412" t="s">
        <v>2592</v>
      </c>
      <c r="G74" s="412" t="s">
        <v>2593</v>
      </c>
      <c r="H74" s="412" t="s">
        <v>1797</v>
      </c>
      <c r="I74" s="412" t="s">
        <v>2562</v>
      </c>
      <c r="J74" s="412">
        <v>32</v>
      </c>
      <c r="K74" s="412">
        <v>64</v>
      </c>
      <c r="L74" s="412">
        <v>100</v>
      </c>
      <c r="M74" s="412" t="s">
        <v>2563</v>
      </c>
      <c r="N74" s="412" t="s">
        <v>1797</v>
      </c>
      <c r="O74" s="412" t="s">
        <v>2564</v>
      </c>
      <c r="P74" s="412" t="s">
        <v>2565</v>
      </c>
      <c r="Q74" s="412"/>
      <c r="R74" s="412"/>
      <c r="S74" s="412" t="s">
        <v>2388</v>
      </c>
      <c r="T74" s="412" t="s">
        <v>1090</v>
      </c>
      <c r="U74" s="412"/>
      <c r="V74" s="412"/>
      <c r="X74" s="414"/>
    </row>
    <row r="75" spans="1:24" ht="39.75" customHeight="1" x14ac:dyDescent="0.25">
      <c r="A75" s="77"/>
      <c r="B75" s="412" t="s">
        <v>2556</v>
      </c>
      <c r="C75" s="412" t="s">
        <v>2557</v>
      </c>
      <c r="D75" s="412" t="s">
        <v>2558</v>
      </c>
      <c r="E75" s="412" t="s">
        <v>2559</v>
      </c>
      <c r="F75" s="412" t="s">
        <v>2594</v>
      </c>
      <c r="G75" s="412" t="s">
        <v>2595</v>
      </c>
      <c r="H75" s="412" t="s">
        <v>1797</v>
      </c>
      <c r="I75" s="412" t="s">
        <v>2562</v>
      </c>
      <c r="J75" s="412">
        <v>32</v>
      </c>
      <c r="K75" s="412">
        <v>64</v>
      </c>
      <c r="L75" s="412">
        <v>100</v>
      </c>
      <c r="M75" s="412" t="s">
        <v>2563</v>
      </c>
      <c r="N75" s="412" t="s">
        <v>1797</v>
      </c>
      <c r="O75" s="412" t="s">
        <v>2568</v>
      </c>
      <c r="P75" s="412" t="s">
        <v>2569</v>
      </c>
      <c r="Q75" s="412"/>
      <c r="R75" s="412"/>
      <c r="S75" s="412" t="s">
        <v>2388</v>
      </c>
      <c r="T75" s="412" t="s">
        <v>1090</v>
      </c>
      <c r="U75" s="412"/>
      <c r="V75" s="412"/>
      <c r="X75" s="414"/>
    </row>
    <row r="76" spans="1:24" ht="39.75" customHeight="1" x14ac:dyDescent="0.25">
      <c r="A76" s="77"/>
      <c r="B76" s="412" t="s">
        <v>2556</v>
      </c>
      <c r="C76" s="412" t="s">
        <v>2557</v>
      </c>
      <c r="D76" s="412" t="s">
        <v>2558</v>
      </c>
      <c r="E76" s="412" t="s">
        <v>2559</v>
      </c>
      <c r="F76" s="412" t="s">
        <v>2596</v>
      </c>
      <c r="G76" s="412" t="s">
        <v>2597</v>
      </c>
      <c r="H76" s="412" t="s">
        <v>1797</v>
      </c>
      <c r="I76" s="412" t="s">
        <v>2562</v>
      </c>
      <c r="J76" s="412">
        <v>32</v>
      </c>
      <c r="K76" s="412">
        <v>64</v>
      </c>
      <c r="L76" s="412">
        <v>100</v>
      </c>
      <c r="M76" s="412" t="s">
        <v>2563</v>
      </c>
      <c r="N76" s="412" t="s">
        <v>1797</v>
      </c>
      <c r="O76" s="412" t="s">
        <v>2572</v>
      </c>
      <c r="P76" s="412" t="s">
        <v>2573</v>
      </c>
      <c r="Q76" s="412"/>
      <c r="R76" s="412"/>
      <c r="S76" s="412" t="s">
        <v>2388</v>
      </c>
      <c r="T76" s="412" t="s">
        <v>1090</v>
      </c>
      <c r="U76" s="412"/>
      <c r="V76" s="412"/>
      <c r="X76" s="414"/>
    </row>
    <row r="77" spans="1:24" ht="39.75" customHeight="1" x14ac:dyDescent="0.25">
      <c r="A77" s="77"/>
      <c r="B77" s="412" t="s">
        <v>2556</v>
      </c>
      <c r="C77" s="412" t="s">
        <v>2557</v>
      </c>
      <c r="D77" s="412" t="s">
        <v>2558</v>
      </c>
      <c r="E77" s="412" t="s">
        <v>2559</v>
      </c>
      <c r="F77" s="412" t="s">
        <v>2598</v>
      </c>
      <c r="G77" s="412" t="s">
        <v>2599</v>
      </c>
      <c r="H77" s="412" t="s">
        <v>1797</v>
      </c>
      <c r="I77" s="412" t="s">
        <v>2562</v>
      </c>
      <c r="J77" s="412">
        <v>32</v>
      </c>
      <c r="K77" s="412">
        <v>64</v>
      </c>
      <c r="L77" s="412">
        <v>100</v>
      </c>
      <c r="M77" s="412" t="s">
        <v>2563</v>
      </c>
      <c r="N77" s="412" t="s">
        <v>1797</v>
      </c>
      <c r="O77" s="412" t="s">
        <v>2576</v>
      </c>
      <c r="P77" s="412" t="s">
        <v>2577</v>
      </c>
      <c r="Q77" s="412"/>
      <c r="R77" s="412"/>
      <c r="S77" s="412" t="s">
        <v>2388</v>
      </c>
      <c r="T77" s="412" t="s">
        <v>1090</v>
      </c>
      <c r="U77" s="412"/>
      <c r="V77" s="412"/>
      <c r="X77" s="414"/>
    </row>
    <row r="78" spans="1:24" ht="39.75" customHeight="1" x14ac:dyDescent="0.25">
      <c r="A78" s="77"/>
      <c r="B78" s="412" t="s">
        <v>2556</v>
      </c>
      <c r="C78" s="412" t="s">
        <v>2557</v>
      </c>
      <c r="D78" s="412" t="s">
        <v>2558</v>
      </c>
      <c r="E78" s="412" t="s">
        <v>2559</v>
      </c>
      <c r="F78" s="412" t="s">
        <v>2600</v>
      </c>
      <c r="G78" s="412" t="s">
        <v>2601</v>
      </c>
      <c r="H78" s="412" t="s">
        <v>1797</v>
      </c>
      <c r="I78" s="412" t="s">
        <v>2562</v>
      </c>
      <c r="J78" s="412">
        <v>32</v>
      </c>
      <c r="K78" s="412">
        <v>64</v>
      </c>
      <c r="L78" s="412">
        <v>100</v>
      </c>
      <c r="M78" s="412" t="s">
        <v>2563</v>
      </c>
      <c r="N78" s="412" t="s">
        <v>1797</v>
      </c>
      <c r="O78" s="412" t="s">
        <v>2580</v>
      </c>
      <c r="P78" s="412" t="s">
        <v>2581</v>
      </c>
      <c r="Q78" s="412"/>
      <c r="R78" s="412"/>
      <c r="S78" s="412" t="s">
        <v>2388</v>
      </c>
      <c r="T78" s="412" t="s">
        <v>1090</v>
      </c>
      <c r="U78" s="412"/>
      <c r="V78" s="412"/>
      <c r="X78" s="414"/>
    </row>
    <row r="79" spans="1:24" ht="39.75" customHeight="1" x14ac:dyDescent="0.25">
      <c r="A79" s="77"/>
      <c r="B79" s="412" t="s">
        <v>2556</v>
      </c>
      <c r="C79" s="412" t="s">
        <v>2557</v>
      </c>
      <c r="D79" s="412" t="s">
        <v>2558</v>
      </c>
      <c r="E79" s="412" t="s">
        <v>2559</v>
      </c>
      <c r="F79" s="412" t="s">
        <v>2602</v>
      </c>
      <c r="G79" s="412" t="s">
        <v>2603</v>
      </c>
      <c r="H79" s="412" t="s">
        <v>1797</v>
      </c>
      <c r="I79" s="412" t="s">
        <v>2562</v>
      </c>
      <c r="J79" s="412">
        <v>32</v>
      </c>
      <c r="K79" s="412">
        <v>64</v>
      </c>
      <c r="L79" s="412">
        <v>100</v>
      </c>
      <c r="M79" s="412" t="s">
        <v>2563</v>
      </c>
      <c r="N79" s="412" t="s">
        <v>1797</v>
      </c>
      <c r="O79" s="412" t="s">
        <v>2564</v>
      </c>
      <c r="P79" s="412" t="s">
        <v>2565</v>
      </c>
      <c r="Q79" s="412"/>
      <c r="R79" s="412"/>
      <c r="S79" s="412" t="s">
        <v>2388</v>
      </c>
      <c r="T79" s="412" t="s">
        <v>1090</v>
      </c>
      <c r="U79" s="412"/>
      <c r="V79" s="412"/>
      <c r="X79" s="414"/>
    </row>
    <row r="80" spans="1:24" ht="39.75" customHeight="1" x14ac:dyDescent="0.25">
      <c r="A80" s="77"/>
      <c r="B80" s="412" t="s">
        <v>2556</v>
      </c>
      <c r="C80" s="412" t="s">
        <v>2557</v>
      </c>
      <c r="D80" s="412" t="s">
        <v>2558</v>
      </c>
      <c r="E80" s="412" t="s">
        <v>2559</v>
      </c>
      <c r="F80" s="412" t="s">
        <v>2604</v>
      </c>
      <c r="G80" s="412" t="s">
        <v>2605</v>
      </c>
      <c r="H80" s="412" t="s">
        <v>1797</v>
      </c>
      <c r="I80" s="412" t="s">
        <v>2562</v>
      </c>
      <c r="J80" s="412">
        <v>32</v>
      </c>
      <c r="K80" s="412">
        <v>64</v>
      </c>
      <c r="L80" s="412">
        <v>100</v>
      </c>
      <c r="M80" s="412" t="s">
        <v>2563</v>
      </c>
      <c r="N80" s="412" t="s">
        <v>1797</v>
      </c>
      <c r="O80" s="412" t="s">
        <v>2568</v>
      </c>
      <c r="P80" s="412" t="s">
        <v>2569</v>
      </c>
      <c r="Q80" s="412"/>
      <c r="R80" s="412"/>
      <c r="S80" s="412" t="s">
        <v>2388</v>
      </c>
      <c r="T80" s="412" t="s">
        <v>1090</v>
      </c>
      <c r="U80" s="412"/>
      <c r="V80" s="412"/>
      <c r="X80" s="414"/>
    </row>
    <row r="81" spans="1:24" ht="39.75" customHeight="1" x14ac:dyDescent="0.25">
      <c r="A81" s="77"/>
      <c r="B81" s="412" t="s">
        <v>2556</v>
      </c>
      <c r="C81" s="412" t="s">
        <v>2557</v>
      </c>
      <c r="D81" s="412" t="s">
        <v>2558</v>
      </c>
      <c r="E81" s="412" t="s">
        <v>2559</v>
      </c>
      <c r="F81" s="412" t="s">
        <v>2606</v>
      </c>
      <c r="G81" s="412" t="s">
        <v>2607</v>
      </c>
      <c r="H81" s="412" t="s">
        <v>1797</v>
      </c>
      <c r="I81" s="412" t="s">
        <v>2562</v>
      </c>
      <c r="J81" s="412">
        <v>32</v>
      </c>
      <c r="K81" s="412">
        <v>64</v>
      </c>
      <c r="L81" s="412">
        <v>100</v>
      </c>
      <c r="M81" s="412" t="s">
        <v>2563</v>
      </c>
      <c r="N81" s="412" t="s">
        <v>1797</v>
      </c>
      <c r="O81" s="412" t="s">
        <v>2572</v>
      </c>
      <c r="P81" s="412" t="s">
        <v>2573</v>
      </c>
      <c r="Q81" s="412"/>
      <c r="R81" s="412"/>
      <c r="S81" s="412" t="s">
        <v>2388</v>
      </c>
      <c r="T81" s="412" t="s">
        <v>1090</v>
      </c>
      <c r="U81" s="412"/>
      <c r="V81" s="412"/>
      <c r="X81" s="414"/>
    </row>
    <row r="82" spans="1:24" ht="39.75" customHeight="1" x14ac:dyDescent="0.25">
      <c r="A82" s="77"/>
      <c r="B82" s="412" t="s">
        <v>2556</v>
      </c>
      <c r="C82" s="412" t="s">
        <v>2557</v>
      </c>
      <c r="D82" s="412" t="s">
        <v>2558</v>
      </c>
      <c r="E82" s="412" t="s">
        <v>2559</v>
      </c>
      <c r="F82" s="412" t="s">
        <v>2608</v>
      </c>
      <c r="G82" s="412" t="s">
        <v>2609</v>
      </c>
      <c r="H82" s="412" t="s">
        <v>1797</v>
      </c>
      <c r="I82" s="412" t="s">
        <v>2562</v>
      </c>
      <c r="J82" s="412">
        <v>32</v>
      </c>
      <c r="K82" s="412">
        <v>64</v>
      </c>
      <c r="L82" s="412">
        <v>100</v>
      </c>
      <c r="M82" s="412" t="s">
        <v>2563</v>
      </c>
      <c r="N82" s="412" t="s">
        <v>1797</v>
      </c>
      <c r="O82" s="412" t="s">
        <v>2576</v>
      </c>
      <c r="P82" s="412" t="s">
        <v>2577</v>
      </c>
      <c r="Q82" s="412"/>
      <c r="R82" s="412"/>
      <c r="S82" s="412" t="s">
        <v>2388</v>
      </c>
      <c r="T82" s="412" t="s">
        <v>1090</v>
      </c>
      <c r="U82" s="412"/>
      <c r="V82" s="412"/>
      <c r="X82" s="414"/>
    </row>
    <row r="83" spans="1:24" ht="39.75" customHeight="1" x14ac:dyDescent="0.25">
      <c r="A83" s="77"/>
      <c r="B83" s="412" t="s">
        <v>2556</v>
      </c>
      <c r="C83" s="412" t="s">
        <v>2557</v>
      </c>
      <c r="D83" s="412" t="s">
        <v>2558</v>
      </c>
      <c r="E83" s="412" t="s">
        <v>2559</v>
      </c>
      <c r="F83" s="412" t="s">
        <v>2610</v>
      </c>
      <c r="G83" s="412" t="s">
        <v>2611</v>
      </c>
      <c r="H83" s="412" t="s">
        <v>1797</v>
      </c>
      <c r="I83" s="412" t="s">
        <v>2562</v>
      </c>
      <c r="J83" s="412">
        <v>32</v>
      </c>
      <c r="K83" s="412">
        <v>64</v>
      </c>
      <c r="L83" s="412">
        <v>100</v>
      </c>
      <c r="M83" s="412" t="s">
        <v>2563</v>
      </c>
      <c r="N83" s="412" t="s">
        <v>1797</v>
      </c>
      <c r="O83" s="412" t="s">
        <v>2580</v>
      </c>
      <c r="P83" s="412" t="s">
        <v>2581</v>
      </c>
      <c r="Q83" s="412"/>
      <c r="R83" s="412"/>
      <c r="S83" s="412" t="s">
        <v>2388</v>
      </c>
      <c r="T83" s="412" t="s">
        <v>1090</v>
      </c>
      <c r="U83" s="412"/>
      <c r="V83" s="412"/>
      <c r="X83" s="414"/>
    </row>
    <row r="84" spans="1:24" ht="39.75" customHeight="1" x14ac:dyDescent="0.25">
      <c r="A84" s="77"/>
      <c r="B84" s="412" t="s">
        <v>2556</v>
      </c>
      <c r="C84" s="412" t="s">
        <v>2557</v>
      </c>
      <c r="D84" s="412" t="s">
        <v>2558</v>
      </c>
      <c r="E84" s="412" t="s">
        <v>2559</v>
      </c>
      <c r="F84" s="412" t="s">
        <v>2612</v>
      </c>
      <c r="G84" s="412" t="s">
        <v>2613</v>
      </c>
      <c r="H84" s="412" t="s">
        <v>1797</v>
      </c>
      <c r="I84" s="412" t="s">
        <v>2562</v>
      </c>
      <c r="J84" s="412">
        <v>32</v>
      </c>
      <c r="K84" s="412">
        <v>64</v>
      </c>
      <c r="L84" s="412">
        <v>100</v>
      </c>
      <c r="M84" s="412" t="s">
        <v>2563</v>
      </c>
      <c r="N84" s="412" t="s">
        <v>1797</v>
      </c>
      <c r="O84" s="412" t="s">
        <v>2564</v>
      </c>
      <c r="P84" s="412" t="s">
        <v>2565</v>
      </c>
      <c r="Q84" s="412"/>
      <c r="R84" s="412"/>
      <c r="S84" s="412" t="s">
        <v>2388</v>
      </c>
      <c r="T84" s="412" t="s">
        <v>1090</v>
      </c>
      <c r="U84" s="412"/>
      <c r="V84" s="412"/>
      <c r="X84" s="414"/>
    </row>
    <row r="85" spans="1:24" ht="39.75" customHeight="1" x14ac:dyDescent="0.25">
      <c r="A85" s="77"/>
      <c r="B85" s="412" t="s">
        <v>2556</v>
      </c>
      <c r="C85" s="412" t="s">
        <v>2557</v>
      </c>
      <c r="D85" s="412" t="s">
        <v>2558</v>
      </c>
      <c r="E85" s="412" t="s">
        <v>2559</v>
      </c>
      <c r="F85" s="412" t="s">
        <v>2614</v>
      </c>
      <c r="G85" s="412" t="s">
        <v>2615</v>
      </c>
      <c r="H85" s="412" t="s">
        <v>1797</v>
      </c>
      <c r="I85" s="412" t="s">
        <v>2562</v>
      </c>
      <c r="J85" s="412">
        <v>32</v>
      </c>
      <c r="K85" s="412">
        <v>64</v>
      </c>
      <c r="L85" s="412">
        <v>100</v>
      </c>
      <c r="M85" s="412" t="s">
        <v>2563</v>
      </c>
      <c r="N85" s="412" t="s">
        <v>1797</v>
      </c>
      <c r="O85" s="412" t="s">
        <v>2568</v>
      </c>
      <c r="P85" s="412" t="s">
        <v>2569</v>
      </c>
      <c r="Q85" s="412"/>
      <c r="R85" s="412"/>
      <c r="S85" s="412" t="s">
        <v>2388</v>
      </c>
      <c r="T85" s="412" t="s">
        <v>1090</v>
      </c>
      <c r="U85" s="412"/>
      <c r="V85" s="412"/>
      <c r="X85" s="414"/>
    </row>
    <row r="86" spans="1:24" ht="39.75" customHeight="1" x14ac:dyDescent="0.25">
      <c r="A86" s="77"/>
      <c r="B86" s="412" t="s">
        <v>2556</v>
      </c>
      <c r="C86" s="412" t="s">
        <v>2557</v>
      </c>
      <c r="D86" s="412" t="s">
        <v>2558</v>
      </c>
      <c r="E86" s="412" t="s">
        <v>2559</v>
      </c>
      <c r="F86" s="412" t="s">
        <v>2616</v>
      </c>
      <c r="G86" s="412" t="s">
        <v>2617</v>
      </c>
      <c r="H86" s="412" t="s">
        <v>1797</v>
      </c>
      <c r="I86" s="412" t="s">
        <v>2562</v>
      </c>
      <c r="J86" s="412">
        <v>32</v>
      </c>
      <c r="K86" s="412">
        <v>64</v>
      </c>
      <c r="L86" s="412">
        <v>100</v>
      </c>
      <c r="M86" s="412" t="s">
        <v>2563</v>
      </c>
      <c r="N86" s="412" t="s">
        <v>1797</v>
      </c>
      <c r="O86" s="412" t="s">
        <v>2572</v>
      </c>
      <c r="P86" s="412" t="s">
        <v>2573</v>
      </c>
      <c r="Q86" s="412"/>
      <c r="R86" s="412"/>
      <c r="S86" s="412" t="s">
        <v>2388</v>
      </c>
      <c r="T86" s="412" t="s">
        <v>1090</v>
      </c>
      <c r="U86" s="412"/>
      <c r="V86" s="412"/>
      <c r="X86" s="414"/>
    </row>
    <row r="87" spans="1:24" ht="39.75" customHeight="1" x14ac:dyDescent="0.25">
      <c r="A87" s="77"/>
      <c r="B87" s="412" t="s">
        <v>2556</v>
      </c>
      <c r="C87" s="412" t="s">
        <v>2557</v>
      </c>
      <c r="D87" s="412" t="s">
        <v>2558</v>
      </c>
      <c r="E87" s="412" t="s">
        <v>2559</v>
      </c>
      <c r="F87" s="412" t="s">
        <v>2618</v>
      </c>
      <c r="G87" s="412" t="s">
        <v>2619</v>
      </c>
      <c r="H87" s="412" t="s">
        <v>1797</v>
      </c>
      <c r="I87" s="412" t="s">
        <v>2562</v>
      </c>
      <c r="J87" s="412">
        <v>32</v>
      </c>
      <c r="K87" s="412">
        <v>64</v>
      </c>
      <c r="L87" s="412">
        <v>100</v>
      </c>
      <c r="M87" s="412" t="s">
        <v>2563</v>
      </c>
      <c r="N87" s="412" t="s">
        <v>1797</v>
      </c>
      <c r="O87" s="412" t="s">
        <v>2576</v>
      </c>
      <c r="P87" s="412" t="s">
        <v>2577</v>
      </c>
      <c r="Q87" s="412"/>
      <c r="R87" s="412"/>
      <c r="S87" s="412" t="s">
        <v>2388</v>
      </c>
      <c r="T87" s="412" t="s">
        <v>1090</v>
      </c>
      <c r="U87" s="412"/>
      <c r="V87" s="412"/>
      <c r="X87" s="414"/>
    </row>
    <row r="88" spans="1:24" ht="39.75" customHeight="1" x14ac:dyDescent="0.25">
      <c r="A88" s="77"/>
      <c r="B88" s="412" t="s">
        <v>2556</v>
      </c>
      <c r="C88" s="412" t="s">
        <v>2557</v>
      </c>
      <c r="D88" s="412" t="s">
        <v>2558</v>
      </c>
      <c r="E88" s="412" t="s">
        <v>2559</v>
      </c>
      <c r="F88" s="412" t="s">
        <v>2620</v>
      </c>
      <c r="G88" s="412" t="s">
        <v>2621</v>
      </c>
      <c r="H88" s="412" t="s">
        <v>1797</v>
      </c>
      <c r="I88" s="412" t="s">
        <v>2562</v>
      </c>
      <c r="J88" s="412">
        <v>32</v>
      </c>
      <c r="K88" s="412">
        <v>64</v>
      </c>
      <c r="L88" s="412">
        <v>100</v>
      </c>
      <c r="M88" s="412" t="s">
        <v>2563</v>
      </c>
      <c r="N88" s="412" t="s">
        <v>1797</v>
      </c>
      <c r="O88" s="412" t="s">
        <v>2580</v>
      </c>
      <c r="P88" s="412" t="s">
        <v>2581</v>
      </c>
      <c r="Q88" s="412"/>
      <c r="R88" s="412"/>
      <c r="S88" s="412" t="s">
        <v>2388</v>
      </c>
      <c r="T88" s="412" t="s">
        <v>1090</v>
      </c>
      <c r="U88" s="412"/>
      <c r="V88" s="412"/>
      <c r="X88" s="414"/>
    </row>
    <row r="89" spans="1:24" ht="39.75" customHeight="1" x14ac:dyDescent="0.25">
      <c r="A89" s="77"/>
      <c r="B89" s="412" t="s">
        <v>2556</v>
      </c>
      <c r="C89" s="412" t="s">
        <v>2557</v>
      </c>
      <c r="D89" s="412" t="s">
        <v>2558</v>
      </c>
      <c r="E89" s="412" t="s">
        <v>2559</v>
      </c>
      <c r="F89" s="412" t="s">
        <v>2622</v>
      </c>
      <c r="G89" s="412" t="s">
        <v>2623</v>
      </c>
      <c r="H89" s="412" t="s">
        <v>1797</v>
      </c>
      <c r="I89" s="412" t="s">
        <v>2562</v>
      </c>
      <c r="J89" s="412">
        <v>32</v>
      </c>
      <c r="K89" s="412">
        <v>64</v>
      </c>
      <c r="L89" s="412">
        <v>100</v>
      </c>
      <c r="M89" s="412" t="s">
        <v>2563</v>
      </c>
      <c r="N89" s="412" t="s">
        <v>1797</v>
      </c>
      <c r="O89" s="412" t="s">
        <v>2564</v>
      </c>
      <c r="P89" s="412" t="s">
        <v>2565</v>
      </c>
      <c r="Q89" s="412"/>
      <c r="R89" s="412"/>
      <c r="S89" s="412" t="s">
        <v>2388</v>
      </c>
      <c r="T89" s="412" t="s">
        <v>1090</v>
      </c>
      <c r="U89" s="412"/>
      <c r="V89" s="412"/>
      <c r="X89" s="414"/>
    </row>
    <row r="90" spans="1:24" ht="39.75" customHeight="1" x14ac:dyDescent="0.25">
      <c r="A90" s="77"/>
      <c r="B90" s="412" t="s">
        <v>2556</v>
      </c>
      <c r="C90" s="412" t="s">
        <v>2557</v>
      </c>
      <c r="D90" s="412" t="s">
        <v>2558</v>
      </c>
      <c r="E90" s="412" t="s">
        <v>2559</v>
      </c>
      <c r="F90" s="412" t="s">
        <v>2624</v>
      </c>
      <c r="G90" s="412" t="s">
        <v>2625</v>
      </c>
      <c r="H90" s="412" t="s">
        <v>1797</v>
      </c>
      <c r="I90" s="412" t="s">
        <v>2562</v>
      </c>
      <c r="J90" s="412">
        <v>32</v>
      </c>
      <c r="K90" s="412">
        <v>64</v>
      </c>
      <c r="L90" s="412">
        <v>100</v>
      </c>
      <c r="M90" s="412" t="s">
        <v>2563</v>
      </c>
      <c r="N90" s="412" t="s">
        <v>1797</v>
      </c>
      <c r="O90" s="412" t="s">
        <v>2568</v>
      </c>
      <c r="P90" s="412" t="s">
        <v>2569</v>
      </c>
      <c r="Q90" s="412"/>
      <c r="R90" s="412"/>
      <c r="S90" s="412" t="s">
        <v>2388</v>
      </c>
      <c r="T90" s="412" t="s">
        <v>1090</v>
      </c>
      <c r="U90" s="412"/>
      <c r="V90" s="412"/>
      <c r="X90" s="414"/>
    </row>
    <row r="91" spans="1:24" ht="39.75" customHeight="1" x14ac:dyDescent="0.25">
      <c r="A91" s="77"/>
      <c r="B91" s="412" t="s">
        <v>2556</v>
      </c>
      <c r="C91" s="412" t="s">
        <v>2557</v>
      </c>
      <c r="D91" s="412" t="s">
        <v>2558</v>
      </c>
      <c r="E91" s="412" t="s">
        <v>2559</v>
      </c>
      <c r="F91" s="412" t="s">
        <v>2626</v>
      </c>
      <c r="G91" s="412" t="s">
        <v>2627</v>
      </c>
      <c r="H91" s="412" t="s">
        <v>1797</v>
      </c>
      <c r="I91" s="412" t="s">
        <v>2562</v>
      </c>
      <c r="J91" s="412">
        <v>32</v>
      </c>
      <c r="K91" s="412">
        <v>64</v>
      </c>
      <c r="L91" s="412">
        <v>100</v>
      </c>
      <c r="M91" s="412" t="s">
        <v>2563</v>
      </c>
      <c r="N91" s="412" t="s">
        <v>1797</v>
      </c>
      <c r="O91" s="412" t="s">
        <v>2572</v>
      </c>
      <c r="P91" s="412" t="s">
        <v>2573</v>
      </c>
      <c r="Q91" s="412"/>
      <c r="R91" s="412"/>
      <c r="S91" s="412" t="s">
        <v>2388</v>
      </c>
      <c r="T91" s="412" t="s">
        <v>1090</v>
      </c>
      <c r="U91" s="412"/>
      <c r="V91" s="412"/>
      <c r="X91" s="414"/>
    </row>
    <row r="92" spans="1:24" ht="39.75" customHeight="1" x14ac:dyDescent="0.25">
      <c r="A92" s="77"/>
      <c r="B92" s="412" t="s">
        <v>2556</v>
      </c>
      <c r="C92" s="412" t="s">
        <v>2557</v>
      </c>
      <c r="D92" s="412" t="s">
        <v>2558</v>
      </c>
      <c r="E92" s="412" t="s">
        <v>2559</v>
      </c>
      <c r="F92" s="412" t="s">
        <v>2628</v>
      </c>
      <c r="G92" s="412" t="s">
        <v>2629</v>
      </c>
      <c r="H92" s="412" t="s">
        <v>2630</v>
      </c>
      <c r="I92" s="412" t="s">
        <v>2562</v>
      </c>
      <c r="J92" s="412">
        <v>32</v>
      </c>
      <c r="K92" s="412">
        <v>64</v>
      </c>
      <c r="L92" s="412">
        <v>100</v>
      </c>
      <c r="M92" s="412" t="s">
        <v>2563</v>
      </c>
      <c r="N92" s="412" t="s">
        <v>1797</v>
      </c>
      <c r="O92" s="412" t="s">
        <v>2576</v>
      </c>
      <c r="P92" s="412" t="s">
        <v>2577</v>
      </c>
      <c r="Q92" s="412"/>
      <c r="R92" s="412"/>
      <c r="S92" s="412" t="s">
        <v>2388</v>
      </c>
      <c r="T92" s="412" t="s">
        <v>1090</v>
      </c>
      <c r="U92" s="412"/>
      <c r="V92" s="412"/>
      <c r="X92" s="414"/>
    </row>
    <row r="93" spans="1:24" ht="39.75" customHeight="1" x14ac:dyDescent="0.25">
      <c r="A93" s="77"/>
      <c r="B93" s="412" t="s">
        <v>2556</v>
      </c>
      <c r="C93" s="412" t="s">
        <v>2557</v>
      </c>
      <c r="D93" s="412" t="s">
        <v>2558</v>
      </c>
      <c r="E93" s="412" t="s">
        <v>2559</v>
      </c>
      <c r="F93" s="412" t="s">
        <v>2631</v>
      </c>
      <c r="G93" s="412" t="s">
        <v>2632</v>
      </c>
      <c r="H93" s="412" t="s">
        <v>2633</v>
      </c>
      <c r="I93" s="412" t="s">
        <v>2562</v>
      </c>
      <c r="J93" s="412">
        <v>32</v>
      </c>
      <c r="K93" s="412">
        <v>64</v>
      </c>
      <c r="L93" s="412">
        <v>100</v>
      </c>
      <c r="M93" s="412" t="s">
        <v>2563</v>
      </c>
      <c r="N93" s="412" t="s">
        <v>1797</v>
      </c>
      <c r="O93" s="412" t="s">
        <v>2580</v>
      </c>
      <c r="P93" s="412" t="s">
        <v>2581</v>
      </c>
      <c r="Q93" s="412"/>
      <c r="R93" s="412"/>
      <c r="S93" s="412" t="s">
        <v>2388</v>
      </c>
      <c r="T93" s="412" t="s">
        <v>1090</v>
      </c>
      <c r="U93" s="412"/>
      <c r="V93" s="412"/>
      <c r="X93" s="414"/>
    </row>
    <row r="94" spans="1:24" ht="39.75" customHeight="1" x14ac:dyDescent="0.25">
      <c r="A94" s="77"/>
      <c r="B94" s="412" t="s">
        <v>2556</v>
      </c>
      <c r="C94" s="412" t="s">
        <v>2557</v>
      </c>
      <c r="D94" s="412" t="s">
        <v>2558</v>
      </c>
      <c r="E94" s="412" t="s">
        <v>2559</v>
      </c>
      <c r="F94" s="412" t="s">
        <v>2634</v>
      </c>
      <c r="G94" s="412" t="s">
        <v>2635</v>
      </c>
      <c r="H94" s="412" t="s">
        <v>2636</v>
      </c>
      <c r="I94" s="412" t="s">
        <v>2562</v>
      </c>
      <c r="J94" s="412">
        <v>32</v>
      </c>
      <c r="K94" s="412">
        <v>64</v>
      </c>
      <c r="L94" s="412">
        <v>100</v>
      </c>
      <c r="M94" s="412" t="s">
        <v>2563</v>
      </c>
      <c r="N94" s="412" t="s">
        <v>1797</v>
      </c>
      <c r="O94" s="412" t="s">
        <v>2564</v>
      </c>
      <c r="P94" s="412" t="s">
        <v>2565</v>
      </c>
      <c r="Q94" s="412"/>
      <c r="R94" s="412"/>
      <c r="S94" s="412" t="s">
        <v>2388</v>
      </c>
      <c r="T94" s="412" t="s">
        <v>1090</v>
      </c>
      <c r="U94" s="412"/>
      <c r="V94" s="412"/>
      <c r="X94" s="414"/>
    </row>
    <row r="95" spans="1:24" ht="39.75" customHeight="1" x14ac:dyDescent="0.25">
      <c r="A95" s="77"/>
      <c r="B95" s="412" t="s">
        <v>2556</v>
      </c>
      <c r="C95" s="412" t="s">
        <v>2557</v>
      </c>
      <c r="D95" s="412" t="s">
        <v>2558</v>
      </c>
      <c r="E95" s="412" t="s">
        <v>2559</v>
      </c>
      <c r="F95" s="412" t="s">
        <v>2637</v>
      </c>
      <c r="G95" s="412" t="s">
        <v>2638</v>
      </c>
      <c r="H95" s="412" t="s">
        <v>1797</v>
      </c>
      <c r="I95" s="412" t="s">
        <v>2562</v>
      </c>
      <c r="J95" s="412">
        <v>20</v>
      </c>
      <c r="K95" s="412">
        <v>32</v>
      </c>
      <c r="L95" s="412">
        <v>100</v>
      </c>
      <c r="M95" s="412" t="s">
        <v>2639</v>
      </c>
      <c r="N95" s="412" t="s">
        <v>1797</v>
      </c>
      <c r="O95" s="412" t="s">
        <v>2568</v>
      </c>
      <c r="P95" s="412" t="s">
        <v>2569</v>
      </c>
      <c r="Q95" s="412"/>
      <c r="R95" s="412"/>
      <c r="S95" s="412" t="s">
        <v>2388</v>
      </c>
      <c r="T95" s="412" t="s">
        <v>1090</v>
      </c>
      <c r="U95" s="412"/>
      <c r="V95" s="412"/>
      <c r="X95" s="414"/>
    </row>
    <row r="96" spans="1:24" ht="39.75" customHeight="1" x14ac:dyDescent="0.25">
      <c r="A96" s="77"/>
      <c r="B96" s="412" t="s">
        <v>2556</v>
      </c>
      <c r="C96" s="412" t="s">
        <v>2557</v>
      </c>
      <c r="D96" s="412" t="s">
        <v>2558</v>
      </c>
      <c r="E96" s="412" t="s">
        <v>2559</v>
      </c>
      <c r="F96" s="412" t="s">
        <v>2640</v>
      </c>
      <c r="G96" s="412" t="s">
        <v>2641</v>
      </c>
      <c r="H96" s="412" t="s">
        <v>1797</v>
      </c>
      <c r="I96" s="412" t="s">
        <v>2562</v>
      </c>
      <c r="J96" s="412">
        <v>20</v>
      </c>
      <c r="K96" s="412">
        <v>32</v>
      </c>
      <c r="L96" s="412">
        <v>100</v>
      </c>
      <c r="M96" s="412" t="s">
        <v>2639</v>
      </c>
      <c r="N96" s="412" t="s">
        <v>1797</v>
      </c>
      <c r="O96" s="412" t="s">
        <v>2572</v>
      </c>
      <c r="P96" s="412" t="s">
        <v>2573</v>
      </c>
      <c r="Q96" s="412"/>
      <c r="R96" s="412"/>
      <c r="S96" s="412" t="s">
        <v>2388</v>
      </c>
      <c r="T96" s="412" t="s">
        <v>1090</v>
      </c>
      <c r="U96" s="412"/>
      <c r="V96" s="412"/>
      <c r="X96" s="414"/>
    </row>
    <row r="97" spans="1:24" ht="39.75" customHeight="1" x14ac:dyDescent="0.25">
      <c r="A97" s="77"/>
      <c r="B97" s="412" t="s">
        <v>2556</v>
      </c>
      <c r="C97" s="412" t="s">
        <v>2557</v>
      </c>
      <c r="D97" s="412" t="s">
        <v>2558</v>
      </c>
      <c r="E97" s="412" t="s">
        <v>2559</v>
      </c>
      <c r="F97" s="412" t="s">
        <v>2642</v>
      </c>
      <c r="G97" s="412" t="s">
        <v>2643</v>
      </c>
      <c r="H97" s="412" t="s">
        <v>1797</v>
      </c>
      <c r="I97" s="412" t="s">
        <v>2562</v>
      </c>
      <c r="J97" s="412">
        <v>20</v>
      </c>
      <c r="K97" s="412">
        <v>32</v>
      </c>
      <c r="L97" s="412">
        <v>100</v>
      </c>
      <c r="M97" s="412" t="s">
        <v>2639</v>
      </c>
      <c r="N97" s="412" t="s">
        <v>1797</v>
      </c>
      <c r="O97" s="412" t="s">
        <v>2576</v>
      </c>
      <c r="P97" s="412" t="s">
        <v>2577</v>
      </c>
      <c r="Q97" s="412"/>
      <c r="R97" s="412"/>
      <c r="S97" s="412" t="s">
        <v>2388</v>
      </c>
      <c r="T97" s="412" t="s">
        <v>1090</v>
      </c>
      <c r="U97" s="412"/>
      <c r="V97" s="412"/>
      <c r="X97" s="414"/>
    </row>
    <row r="98" spans="1:24" ht="39.75" customHeight="1" x14ac:dyDescent="0.25">
      <c r="A98" s="77"/>
      <c r="B98" s="412" t="s">
        <v>2556</v>
      </c>
      <c r="C98" s="412" t="s">
        <v>2557</v>
      </c>
      <c r="D98" s="412" t="s">
        <v>2558</v>
      </c>
      <c r="E98" s="412" t="s">
        <v>2559</v>
      </c>
      <c r="F98" s="412" t="s">
        <v>2644</v>
      </c>
      <c r="G98" s="412" t="s">
        <v>2645</v>
      </c>
      <c r="H98" s="412" t="s">
        <v>1797</v>
      </c>
      <c r="I98" s="412" t="s">
        <v>2562</v>
      </c>
      <c r="J98" s="412">
        <v>20</v>
      </c>
      <c r="K98" s="412">
        <v>32</v>
      </c>
      <c r="L98" s="412">
        <v>100</v>
      </c>
      <c r="M98" s="412" t="s">
        <v>2639</v>
      </c>
      <c r="N98" s="412" t="s">
        <v>1797</v>
      </c>
      <c r="O98" s="412" t="s">
        <v>2580</v>
      </c>
      <c r="P98" s="412" t="s">
        <v>2581</v>
      </c>
      <c r="Q98" s="412"/>
      <c r="R98" s="412"/>
      <c r="S98" s="412" t="s">
        <v>2388</v>
      </c>
      <c r="T98" s="412" t="s">
        <v>1090</v>
      </c>
      <c r="U98" s="412"/>
      <c r="V98" s="412"/>
      <c r="X98" s="414"/>
    </row>
    <row r="99" spans="1:24" ht="39.75" customHeight="1" x14ac:dyDescent="0.25">
      <c r="A99" s="77"/>
      <c r="B99" s="412" t="s">
        <v>2556</v>
      </c>
      <c r="C99" s="412" t="s">
        <v>2557</v>
      </c>
      <c r="D99" s="412" t="s">
        <v>2558</v>
      </c>
      <c r="E99" s="412" t="s">
        <v>2559</v>
      </c>
      <c r="F99" s="412" t="s">
        <v>2646</v>
      </c>
      <c r="G99" s="412" t="s">
        <v>2647</v>
      </c>
      <c r="H99" s="412" t="s">
        <v>1797</v>
      </c>
      <c r="I99" s="412" t="s">
        <v>2562</v>
      </c>
      <c r="J99" s="412">
        <v>20</v>
      </c>
      <c r="K99" s="412">
        <v>32</v>
      </c>
      <c r="L99" s="412">
        <v>100</v>
      </c>
      <c r="M99" s="412" t="s">
        <v>2639</v>
      </c>
      <c r="N99" s="412" t="s">
        <v>1797</v>
      </c>
      <c r="O99" s="412" t="s">
        <v>2564</v>
      </c>
      <c r="P99" s="412" t="s">
        <v>2565</v>
      </c>
      <c r="Q99" s="412"/>
      <c r="R99" s="412"/>
      <c r="S99" s="412" t="s">
        <v>2388</v>
      </c>
      <c r="T99" s="412" t="s">
        <v>1090</v>
      </c>
      <c r="U99" s="412"/>
      <c r="V99" s="412"/>
      <c r="X99" s="414"/>
    </row>
    <row r="100" spans="1:24" ht="39.75" customHeight="1" x14ac:dyDescent="0.25">
      <c r="A100" s="77"/>
      <c r="B100" s="412" t="s">
        <v>2556</v>
      </c>
      <c r="C100" s="412" t="s">
        <v>2557</v>
      </c>
      <c r="D100" s="412" t="s">
        <v>2558</v>
      </c>
      <c r="E100" s="412" t="s">
        <v>2559</v>
      </c>
      <c r="F100" s="412" t="s">
        <v>2648</v>
      </c>
      <c r="G100" s="412" t="s">
        <v>2649</v>
      </c>
      <c r="H100" s="412" t="s">
        <v>1797</v>
      </c>
      <c r="I100" s="412" t="s">
        <v>2562</v>
      </c>
      <c r="J100" s="412">
        <v>20</v>
      </c>
      <c r="K100" s="412">
        <v>32</v>
      </c>
      <c r="L100" s="412">
        <v>100</v>
      </c>
      <c r="M100" s="412" t="s">
        <v>2639</v>
      </c>
      <c r="N100" s="412" t="s">
        <v>1797</v>
      </c>
      <c r="O100" s="412" t="s">
        <v>2568</v>
      </c>
      <c r="P100" s="412" t="s">
        <v>2569</v>
      </c>
      <c r="Q100" s="412"/>
      <c r="R100" s="412"/>
      <c r="S100" s="412" t="s">
        <v>2388</v>
      </c>
      <c r="T100" s="412" t="s">
        <v>1090</v>
      </c>
      <c r="U100" s="412"/>
      <c r="V100" s="412"/>
      <c r="X100" s="414"/>
    </row>
    <row r="101" spans="1:24" ht="39.75" customHeight="1" x14ac:dyDescent="0.25">
      <c r="A101" s="77"/>
      <c r="B101" s="412" t="s">
        <v>2556</v>
      </c>
      <c r="C101" s="412" t="s">
        <v>2557</v>
      </c>
      <c r="D101" s="412" t="s">
        <v>2558</v>
      </c>
      <c r="E101" s="412" t="s">
        <v>2559</v>
      </c>
      <c r="F101" s="412" t="s">
        <v>2650</v>
      </c>
      <c r="G101" s="412" t="s">
        <v>2651</v>
      </c>
      <c r="H101" s="412" t="s">
        <v>1797</v>
      </c>
      <c r="I101" s="412" t="s">
        <v>2562</v>
      </c>
      <c r="J101" s="412">
        <v>20</v>
      </c>
      <c r="K101" s="412">
        <v>32</v>
      </c>
      <c r="L101" s="412">
        <v>100</v>
      </c>
      <c r="M101" s="412" t="s">
        <v>2639</v>
      </c>
      <c r="N101" s="412" t="s">
        <v>1797</v>
      </c>
      <c r="O101" s="412" t="s">
        <v>2572</v>
      </c>
      <c r="P101" s="412" t="s">
        <v>2573</v>
      </c>
      <c r="Q101" s="412"/>
      <c r="R101" s="412"/>
      <c r="S101" s="412" t="s">
        <v>2388</v>
      </c>
      <c r="T101" s="412" t="s">
        <v>1090</v>
      </c>
      <c r="U101" s="412"/>
      <c r="V101" s="412"/>
      <c r="X101" s="414"/>
    </row>
    <row r="102" spans="1:24" ht="39.75" customHeight="1" x14ac:dyDescent="0.25">
      <c r="A102" s="77"/>
      <c r="B102" s="412" t="s">
        <v>2556</v>
      </c>
      <c r="C102" s="412" t="s">
        <v>2557</v>
      </c>
      <c r="D102" s="412" t="s">
        <v>2558</v>
      </c>
      <c r="E102" s="412" t="s">
        <v>2559</v>
      </c>
      <c r="F102" s="412" t="s">
        <v>2652</v>
      </c>
      <c r="G102" s="412" t="s">
        <v>2653</v>
      </c>
      <c r="H102" s="412" t="s">
        <v>1797</v>
      </c>
      <c r="I102" s="412" t="s">
        <v>2562</v>
      </c>
      <c r="J102" s="412">
        <v>20</v>
      </c>
      <c r="K102" s="412">
        <v>32</v>
      </c>
      <c r="L102" s="412">
        <v>100</v>
      </c>
      <c r="M102" s="412" t="s">
        <v>2639</v>
      </c>
      <c r="N102" s="412" t="s">
        <v>1797</v>
      </c>
      <c r="O102" s="412" t="s">
        <v>2576</v>
      </c>
      <c r="P102" s="412" t="s">
        <v>2577</v>
      </c>
      <c r="Q102" s="412"/>
      <c r="R102" s="412"/>
      <c r="S102" s="412" t="s">
        <v>2388</v>
      </c>
      <c r="T102" s="412" t="s">
        <v>1090</v>
      </c>
      <c r="U102" s="412"/>
      <c r="V102" s="412"/>
      <c r="X102" s="414"/>
    </row>
    <row r="103" spans="1:24" ht="39.75" customHeight="1" x14ac:dyDescent="0.25">
      <c r="A103" s="77"/>
      <c r="B103" s="412" t="s">
        <v>2556</v>
      </c>
      <c r="C103" s="412" t="s">
        <v>2557</v>
      </c>
      <c r="D103" s="412" t="s">
        <v>2558</v>
      </c>
      <c r="E103" s="412" t="s">
        <v>2559</v>
      </c>
      <c r="F103" s="412" t="s">
        <v>2654</v>
      </c>
      <c r="G103" s="412" t="s">
        <v>2655</v>
      </c>
      <c r="H103" s="412" t="s">
        <v>1797</v>
      </c>
      <c r="I103" s="412" t="s">
        <v>2562</v>
      </c>
      <c r="J103" s="412">
        <v>20</v>
      </c>
      <c r="K103" s="412">
        <v>32</v>
      </c>
      <c r="L103" s="412">
        <v>100</v>
      </c>
      <c r="M103" s="412" t="s">
        <v>2639</v>
      </c>
      <c r="N103" s="412" t="s">
        <v>1797</v>
      </c>
      <c r="O103" s="412" t="s">
        <v>2580</v>
      </c>
      <c r="P103" s="412" t="s">
        <v>2581</v>
      </c>
      <c r="Q103" s="412"/>
      <c r="R103" s="412"/>
      <c r="S103" s="412" t="s">
        <v>2388</v>
      </c>
      <c r="T103" s="412" t="s">
        <v>1090</v>
      </c>
      <c r="U103" s="412"/>
      <c r="V103" s="412"/>
      <c r="X103" s="414"/>
    </row>
    <row r="104" spans="1:24" ht="39.75" customHeight="1" x14ac:dyDescent="0.25">
      <c r="A104" s="77"/>
      <c r="B104" s="412" t="s">
        <v>2556</v>
      </c>
      <c r="C104" s="412" t="s">
        <v>2557</v>
      </c>
      <c r="D104" s="412" t="s">
        <v>2558</v>
      </c>
      <c r="E104" s="412" t="s">
        <v>2559</v>
      </c>
      <c r="F104" s="412" t="s">
        <v>2656</v>
      </c>
      <c r="G104" s="412" t="s">
        <v>2657</v>
      </c>
      <c r="H104" s="412" t="s">
        <v>1797</v>
      </c>
      <c r="I104" s="412" t="s">
        <v>2562</v>
      </c>
      <c r="J104" s="412">
        <v>22</v>
      </c>
      <c r="K104" s="412">
        <v>38</v>
      </c>
      <c r="L104" s="412">
        <v>100</v>
      </c>
      <c r="M104" s="412" t="s">
        <v>2658</v>
      </c>
      <c r="N104" s="412" t="s">
        <v>1797</v>
      </c>
      <c r="O104" s="412" t="s">
        <v>2564</v>
      </c>
      <c r="P104" s="412" t="s">
        <v>2565</v>
      </c>
      <c r="Q104" s="412"/>
      <c r="R104" s="412"/>
      <c r="S104" s="412" t="s">
        <v>2388</v>
      </c>
      <c r="T104" s="412" t="s">
        <v>1090</v>
      </c>
      <c r="U104" s="412"/>
      <c r="V104" s="412"/>
      <c r="X104" s="414"/>
    </row>
    <row r="105" spans="1:24" ht="39.75" customHeight="1" x14ac:dyDescent="0.25">
      <c r="A105" s="77"/>
      <c r="B105" s="412" t="s">
        <v>2556</v>
      </c>
      <c r="C105" s="412" t="s">
        <v>2557</v>
      </c>
      <c r="D105" s="412" t="s">
        <v>2558</v>
      </c>
      <c r="E105" s="412" t="s">
        <v>2559</v>
      </c>
      <c r="F105" s="412" t="s">
        <v>2659</v>
      </c>
      <c r="G105" s="412" t="s">
        <v>2660</v>
      </c>
      <c r="H105" s="412" t="s">
        <v>1797</v>
      </c>
      <c r="I105" s="412" t="s">
        <v>2562</v>
      </c>
      <c r="J105" s="412">
        <v>22</v>
      </c>
      <c r="K105" s="412">
        <v>38</v>
      </c>
      <c r="L105" s="412">
        <v>100</v>
      </c>
      <c r="M105" s="412" t="s">
        <v>2658</v>
      </c>
      <c r="N105" s="412" t="s">
        <v>1797</v>
      </c>
      <c r="O105" s="412" t="s">
        <v>2568</v>
      </c>
      <c r="P105" s="412" t="s">
        <v>2569</v>
      </c>
      <c r="Q105" s="412"/>
      <c r="R105" s="412"/>
      <c r="S105" s="412" t="s">
        <v>2388</v>
      </c>
      <c r="T105" s="412" t="s">
        <v>1090</v>
      </c>
      <c r="U105" s="412"/>
      <c r="V105" s="412"/>
      <c r="X105" s="414"/>
    </row>
    <row r="106" spans="1:24" ht="39.75" customHeight="1" x14ac:dyDescent="0.25">
      <c r="A106" s="77"/>
      <c r="B106" s="412" t="s">
        <v>2556</v>
      </c>
      <c r="C106" s="412" t="s">
        <v>2557</v>
      </c>
      <c r="D106" s="412" t="s">
        <v>2558</v>
      </c>
      <c r="E106" s="412" t="s">
        <v>2559</v>
      </c>
      <c r="F106" s="412" t="s">
        <v>2661</v>
      </c>
      <c r="G106" s="412" t="s">
        <v>2662</v>
      </c>
      <c r="H106" s="412" t="s">
        <v>1797</v>
      </c>
      <c r="I106" s="412" t="s">
        <v>2562</v>
      </c>
      <c r="J106" s="412">
        <v>22</v>
      </c>
      <c r="K106" s="412">
        <v>38</v>
      </c>
      <c r="L106" s="412">
        <v>100</v>
      </c>
      <c r="M106" s="412" t="s">
        <v>2658</v>
      </c>
      <c r="N106" s="412" t="s">
        <v>1797</v>
      </c>
      <c r="O106" s="412" t="s">
        <v>2572</v>
      </c>
      <c r="P106" s="412" t="s">
        <v>2573</v>
      </c>
      <c r="Q106" s="412"/>
      <c r="R106" s="412"/>
      <c r="S106" s="412" t="s">
        <v>2388</v>
      </c>
      <c r="T106" s="412" t="s">
        <v>1090</v>
      </c>
      <c r="U106" s="412"/>
      <c r="V106" s="412"/>
      <c r="X106" s="414"/>
    </row>
    <row r="107" spans="1:24" ht="39.75" customHeight="1" x14ac:dyDescent="0.25">
      <c r="B107" s="412" t="s">
        <v>2663</v>
      </c>
      <c r="C107" s="415" t="s">
        <v>2557</v>
      </c>
      <c r="D107" s="279" t="s">
        <v>2664</v>
      </c>
      <c r="E107" s="416" t="s">
        <v>2559</v>
      </c>
      <c r="F107" s="417" t="s">
        <v>2665</v>
      </c>
      <c r="G107" s="373" t="s">
        <v>2666</v>
      </c>
      <c r="I107" s="78" t="s">
        <v>2562</v>
      </c>
      <c r="J107" s="373">
        <v>4</v>
      </c>
      <c r="K107" s="373">
        <v>8</v>
      </c>
      <c r="L107" s="416">
        <v>100</v>
      </c>
      <c r="M107" s="373" t="s">
        <v>2667</v>
      </c>
      <c r="O107" s="373" t="s">
        <v>2564</v>
      </c>
      <c r="P107" s="373" t="s">
        <v>2565</v>
      </c>
      <c r="S107" s="303" t="s">
        <v>2668</v>
      </c>
      <c r="T107" s="303" t="s">
        <v>2669</v>
      </c>
    </row>
    <row r="108" spans="1:24" ht="39.75" customHeight="1" x14ac:dyDescent="0.25">
      <c r="B108" s="412" t="s">
        <v>2663</v>
      </c>
      <c r="C108" s="415" t="s">
        <v>2557</v>
      </c>
      <c r="D108" s="279" t="s">
        <v>2664</v>
      </c>
      <c r="E108" s="416" t="s">
        <v>2559</v>
      </c>
      <c r="F108" s="417" t="s">
        <v>2670</v>
      </c>
      <c r="G108" s="373" t="s">
        <v>2671</v>
      </c>
      <c r="I108" s="78" t="s">
        <v>2562</v>
      </c>
      <c r="J108" s="373">
        <v>4</v>
      </c>
      <c r="K108" s="373">
        <v>8</v>
      </c>
      <c r="L108" s="416">
        <v>100</v>
      </c>
      <c r="M108" s="373" t="s">
        <v>2667</v>
      </c>
      <c r="O108" s="373" t="s">
        <v>2568</v>
      </c>
      <c r="P108" s="373" t="s">
        <v>2569</v>
      </c>
      <c r="S108" s="303" t="s">
        <v>2668</v>
      </c>
      <c r="T108" s="303" t="s">
        <v>2669</v>
      </c>
    </row>
    <row r="109" spans="1:24" ht="39.75" customHeight="1" x14ac:dyDescent="0.25">
      <c r="B109" s="418" t="s">
        <v>2672</v>
      </c>
      <c r="C109" s="412" t="s">
        <v>2080</v>
      </c>
      <c r="D109" s="412" t="s">
        <v>880</v>
      </c>
      <c r="E109" s="412" t="s">
        <v>2673</v>
      </c>
      <c r="F109" s="412" t="s">
        <v>2674</v>
      </c>
      <c r="G109" s="412" t="s">
        <v>2675</v>
      </c>
      <c r="H109" s="412" t="s">
        <v>2676</v>
      </c>
      <c r="I109" s="373" t="s">
        <v>2562</v>
      </c>
      <c r="J109" s="412">
        <v>4</v>
      </c>
      <c r="K109" s="412">
        <v>40</v>
      </c>
      <c r="L109" s="412">
        <v>60</v>
      </c>
      <c r="M109" s="412" t="s">
        <v>2677</v>
      </c>
      <c r="O109" s="412" t="s">
        <v>2384</v>
      </c>
      <c r="P109" s="412" t="s">
        <v>2385</v>
      </c>
    </row>
    <row r="110" spans="1:24" ht="39.75" customHeight="1" x14ac:dyDescent="0.25">
      <c r="B110" s="418" t="s">
        <v>2672</v>
      </c>
      <c r="C110" s="412" t="s">
        <v>2080</v>
      </c>
      <c r="D110" s="412" t="s">
        <v>880</v>
      </c>
      <c r="E110" s="412" t="s">
        <v>2673</v>
      </c>
      <c r="F110" s="412" t="s">
        <v>2678</v>
      </c>
      <c r="G110" s="412" t="s">
        <v>2679</v>
      </c>
      <c r="H110" s="412" t="s">
        <v>2680</v>
      </c>
      <c r="I110" s="373" t="s">
        <v>2562</v>
      </c>
      <c r="J110" s="412">
        <v>4</v>
      </c>
      <c r="K110" s="412">
        <v>40</v>
      </c>
      <c r="L110" s="412">
        <v>60</v>
      </c>
      <c r="M110" s="412" t="s">
        <v>2677</v>
      </c>
      <c r="O110" s="412" t="s">
        <v>2409</v>
      </c>
      <c r="P110" s="412" t="s">
        <v>2410</v>
      </c>
    </row>
    <row r="111" spans="1:24" ht="39.75" customHeight="1" x14ac:dyDescent="0.25">
      <c r="F111" s="82" t="s">
        <v>2681</v>
      </c>
      <c r="G111" s="419" t="s">
        <v>2682</v>
      </c>
      <c r="I111" s="420" t="s">
        <v>2683</v>
      </c>
      <c r="J111" s="303">
        <v>96</v>
      </c>
      <c r="K111" s="303">
        <v>128</v>
      </c>
    </row>
    <row r="112" spans="1:24" ht="39.75" customHeight="1" x14ac:dyDescent="0.25">
      <c r="F112" s="82" t="s">
        <v>2684</v>
      </c>
      <c r="G112" s="419" t="s">
        <v>2685</v>
      </c>
      <c r="I112" s="420" t="s">
        <v>2683</v>
      </c>
      <c r="J112" s="303">
        <v>96</v>
      </c>
      <c r="K112" s="303">
        <v>128</v>
      </c>
    </row>
    <row r="113" spans="6:11" ht="39.75" customHeight="1" x14ac:dyDescent="0.25">
      <c r="F113" s="82" t="s">
        <v>2686</v>
      </c>
      <c r="G113" s="419" t="s">
        <v>2687</v>
      </c>
      <c r="I113" s="420" t="s">
        <v>2683</v>
      </c>
      <c r="J113" s="303">
        <v>96</v>
      </c>
      <c r="K113" s="303">
        <v>128</v>
      </c>
    </row>
    <row r="114" spans="6:11" ht="39.75" customHeight="1" x14ac:dyDescent="0.25">
      <c r="F114" s="82" t="s">
        <v>2688</v>
      </c>
      <c r="G114" s="419" t="s">
        <v>2689</v>
      </c>
      <c r="I114" s="420" t="s">
        <v>2683</v>
      </c>
      <c r="J114" s="303">
        <v>96</v>
      </c>
      <c r="K114" s="303">
        <v>128</v>
      </c>
    </row>
    <row r="115" spans="6:11" ht="39.75" customHeight="1" x14ac:dyDescent="0.25">
      <c r="F115" s="82" t="s">
        <v>2690</v>
      </c>
      <c r="G115" s="419" t="s">
        <v>2691</v>
      </c>
      <c r="I115" s="420" t="s">
        <v>2683</v>
      </c>
      <c r="J115" s="303">
        <v>96</v>
      </c>
      <c r="K115" s="303">
        <v>128</v>
      </c>
    </row>
    <row r="116" spans="6:11" ht="39.75" customHeight="1" x14ac:dyDescent="0.25">
      <c r="F116" s="82" t="s">
        <v>2692</v>
      </c>
      <c r="G116" s="419" t="s">
        <v>2693</v>
      </c>
      <c r="I116" s="420" t="s">
        <v>2683</v>
      </c>
      <c r="J116" s="303">
        <v>96</v>
      </c>
      <c r="K116" s="303">
        <v>128</v>
      </c>
    </row>
    <row r="117" spans="6:11" ht="39.75" customHeight="1" x14ac:dyDescent="0.25">
      <c r="F117" s="82" t="s">
        <v>2694</v>
      </c>
      <c r="G117" s="419" t="s">
        <v>2695</v>
      </c>
      <c r="I117" s="420" t="s">
        <v>2683</v>
      </c>
      <c r="J117" s="303">
        <v>96</v>
      </c>
      <c r="K117" s="303">
        <v>128</v>
      </c>
    </row>
    <row r="118" spans="6:11" ht="39.75" customHeight="1" x14ac:dyDescent="0.25">
      <c r="F118" s="82" t="s">
        <v>2696</v>
      </c>
      <c r="G118" s="419" t="s">
        <v>2697</v>
      </c>
      <c r="I118" s="420" t="s">
        <v>2683</v>
      </c>
      <c r="J118" s="303">
        <v>96</v>
      </c>
      <c r="K118" s="303">
        <v>128</v>
      </c>
    </row>
    <row r="119" spans="6:11" ht="39.75" customHeight="1" x14ac:dyDescent="0.25">
      <c r="F119" s="82" t="s">
        <v>2698</v>
      </c>
      <c r="G119" s="419" t="s">
        <v>2699</v>
      </c>
      <c r="I119" s="420" t="s">
        <v>2683</v>
      </c>
      <c r="J119" s="303">
        <v>96</v>
      </c>
      <c r="K119" s="303">
        <v>128</v>
      </c>
    </row>
    <row r="120" spans="6:11" ht="39.75" customHeight="1" x14ac:dyDescent="0.25">
      <c r="F120" s="82" t="s">
        <v>2700</v>
      </c>
      <c r="G120" s="419" t="s">
        <v>2701</v>
      </c>
      <c r="I120" s="420" t="s">
        <v>2683</v>
      </c>
      <c r="J120" s="303">
        <v>96</v>
      </c>
      <c r="K120" s="303">
        <v>128</v>
      </c>
    </row>
    <row r="121" spans="6:11" ht="39.75" customHeight="1" x14ac:dyDescent="0.25">
      <c r="F121" s="82" t="s">
        <v>2702</v>
      </c>
      <c r="G121" s="419" t="s">
        <v>2703</v>
      </c>
      <c r="I121" s="420" t="s">
        <v>2683</v>
      </c>
      <c r="J121" s="303">
        <v>96</v>
      </c>
      <c r="K121" s="303">
        <v>128</v>
      </c>
    </row>
    <row r="122" spans="6:11" ht="39.75" customHeight="1" x14ac:dyDescent="0.25">
      <c r="F122" s="82" t="s">
        <v>2704</v>
      </c>
      <c r="G122" s="419" t="s">
        <v>2705</v>
      </c>
      <c r="I122" s="420" t="s">
        <v>2683</v>
      </c>
      <c r="J122" s="303">
        <v>96</v>
      </c>
      <c r="K122" s="303">
        <v>128</v>
      </c>
    </row>
    <row r="123" spans="6:11" ht="39.75" customHeight="1" x14ac:dyDescent="0.25">
      <c r="F123" s="82" t="s">
        <v>2706</v>
      </c>
      <c r="G123" s="419" t="s">
        <v>2707</v>
      </c>
      <c r="I123" s="420" t="s">
        <v>2683</v>
      </c>
      <c r="J123" s="303">
        <v>96</v>
      </c>
      <c r="K123" s="303">
        <v>128</v>
      </c>
    </row>
    <row r="124" spans="6:11" ht="39.75" customHeight="1" x14ac:dyDescent="0.25">
      <c r="F124" s="82" t="s">
        <v>2708</v>
      </c>
      <c r="G124" s="419" t="s">
        <v>2709</v>
      </c>
      <c r="I124" s="420" t="s">
        <v>2683</v>
      </c>
      <c r="J124" s="303">
        <v>96</v>
      </c>
      <c r="K124" s="303">
        <v>128</v>
      </c>
    </row>
    <row r="125" spans="6:11" ht="39.75" customHeight="1" x14ac:dyDescent="0.25">
      <c r="F125" s="82" t="s">
        <v>2710</v>
      </c>
      <c r="G125" s="419" t="s">
        <v>2711</v>
      </c>
      <c r="I125" s="420" t="s">
        <v>2683</v>
      </c>
      <c r="J125" s="303">
        <v>96</v>
      </c>
      <c r="K125" s="303">
        <v>128</v>
      </c>
    </row>
    <row r="126" spans="6:11" ht="39.75" customHeight="1" x14ac:dyDescent="0.25">
      <c r="F126" s="82" t="s">
        <v>2712</v>
      </c>
      <c r="G126" s="419" t="s">
        <v>2713</v>
      </c>
      <c r="I126" s="420" t="s">
        <v>2683</v>
      </c>
      <c r="J126" s="303">
        <v>96</v>
      </c>
      <c r="K126" s="303">
        <v>128</v>
      </c>
    </row>
    <row r="127" spans="6:11" ht="39.75" customHeight="1" x14ac:dyDescent="0.25">
      <c r="F127" s="82" t="s">
        <v>2714</v>
      </c>
      <c r="G127" s="419" t="s">
        <v>2715</v>
      </c>
      <c r="I127" s="420" t="s">
        <v>2683</v>
      </c>
      <c r="J127" s="303">
        <v>96</v>
      </c>
      <c r="K127" s="303">
        <v>128</v>
      </c>
    </row>
    <row r="128" spans="6:11" ht="39.75" customHeight="1" x14ac:dyDescent="0.25">
      <c r="F128" s="82" t="s">
        <v>2716</v>
      </c>
      <c r="G128" s="419" t="s">
        <v>2717</v>
      </c>
      <c r="I128" s="420" t="s">
        <v>2683</v>
      </c>
      <c r="J128" s="303">
        <v>96</v>
      </c>
      <c r="K128" s="303">
        <v>128</v>
      </c>
    </row>
    <row r="129" spans="6:11" ht="39.75" customHeight="1" x14ac:dyDescent="0.25">
      <c r="F129" s="82" t="s">
        <v>2718</v>
      </c>
      <c r="G129" s="419" t="s">
        <v>2719</v>
      </c>
      <c r="I129" s="420" t="s">
        <v>2683</v>
      </c>
      <c r="J129" s="303">
        <v>96</v>
      </c>
      <c r="K129" s="303">
        <v>128</v>
      </c>
    </row>
    <row r="130" spans="6:11" ht="39.75" customHeight="1" x14ac:dyDescent="0.25">
      <c r="F130" s="82" t="s">
        <v>2720</v>
      </c>
      <c r="G130" s="419" t="s">
        <v>2721</v>
      </c>
      <c r="I130" s="420" t="s">
        <v>2683</v>
      </c>
      <c r="J130" s="303">
        <v>96</v>
      </c>
      <c r="K130" s="303">
        <v>128</v>
      </c>
    </row>
    <row r="131" spans="6:11" ht="39.75" customHeight="1" x14ac:dyDescent="0.25">
      <c r="F131" s="82" t="s">
        <v>2722</v>
      </c>
      <c r="G131" s="419" t="s">
        <v>2723</v>
      </c>
      <c r="I131" s="420" t="s">
        <v>2683</v>
      </c>
      <c r="J131" s="303">
        <v>96</v>
      </c>
      <c r="K131" s="303">
        <v>128</v>
      </c>
    </row>
    <row r="132" spans="6:11" ht="39.75" customHeight="1" x14ac:dyDescent="0.25">
      <c r="F132" s="82" t="s">
        <v>2724</v>
      </c>
      <c r="G132" s="419" t="s">
        <v>2725</v>
      </c>
      <c r="I132" s="420" t="s">
        <v>2683</v>
      </c>
      <c r="J132" s="303">
        <v>96</v>
      </c>
      <c r="K132" s="303">
        <v>128</v>
      </c>
    </row>
    <row r="133" spans="6:11" ht="39.75" customHeight="1" x14ac:dyDescent="0.25">
      <c r="F133" s="82" t="s">
        <v>2726</v>
      </c>
      <c r="G133" s="419" t="s">
        <v>2727</v>
      </c>
      <c r="I133" s="420" t="s">
        <v>2683</v>
      </c>
      <c r="J133" s="303">
        <v>96</v>
      </c>
      <c r="K133" s="303">
        <v>128</v>
      </c>
    </row>
    <row r="134" spans="6:11" ht="39.75" customHeight="1" x14ac:dyDescent="0.25">
      <c r="F134" s="82" t="s">
        <v>2728</v>
      </c>
      <c r="G134" s="419" t="s">
        <v>2729</v>
      </c>
      <c r="I134" s="420" t="s">
        <v>2683</v>
      </c>
      <c r="J134" s="303">
        <v>96</v>
      </c>
      <c r="K134" s="303">
        <v>128</v>
      </c>
    </row>
    <row r="135" spans="6:11" ht="39.75" customHeight="1" x14ac:dyDescent="0.25">
      <c r="F135" s="82" t="s">
        <v>2730</v>
      </c>
      <c r="G135" s="419" t="s">
        <v>2731</v>
      </c>
      <c r="I135" s="420" t="s">
        <v>2683</v>
      </c>
      <c r="J135" s="303">
        <v>96</v>
      </c>
      <c r="K135" s="303">
        <v>128</v>
      </c>
    </row>
    <row r="136" spans="6:11" ht="39.75" customHeight="1" x14ac:dyDescent="0.25">
      <c r="F136" s="82" t="s">
        <v>2732</v>
      </c>
      <c r="G136" s="419" t="s">
        <v>2733</v>
      </c>
      <c r="I136" s="420" t="s">
        <v>2683</v>
      </c>
      <c r="J136" s="303">
        <v>96</v>
      </c>
      <c r="K136" s="303">
        <v>128</v>
      </c>
    </row>
    <row r="137" spans="6:11" ht="39.75" customHeight="1" x14ac:dyDescent="0.25">
      <c r="F137" s="82" t="s">
        <v>2734</v>
      </c>
      <c r="G137" s="419" t="s">
        <v>2735</v>
      </c>
      <c r="I137" s="420" t="s">
        <v>2683</v>
      </c>
      <c r="J137" s="303">
        <v>96</v>
      </c>
      <c r="K137" s="303">
        <v>128</v>
      </c>
    </row>
    <row r="138" spans="6:11" ht="39.75" customHeight="1" x14ac:dyDescent="0.25">
      <c r="F138" s="82" t="s">
        <v>2736</v>
      </c>
      <c r="G138" s="419" t="s">
        <v>2737</v>
      </c>
      <c r="I138" s="420" t="s">
        <v>2683</v>
      </c>
      <c r="J138" s="303">
        <v>96</v>
      </c>
      <c r="K138" s="303">
        <v>128</v>
      </c>
    </row>
    <row r="139" spans="6:11" ht="39.75" customHeight="1" x14ac:dyDescent="0.25">
      <c r="F139" s="82" t="s">
        <v>2738</v>
      </c>
      <c r="G139" s="419" t="s">
        <v>2739</v>
      </c>
      <c r="I139" s="420" t="s">
        <v>2683</v>
      </c>
      <c r="J139" s="303">
        <v>96</v>
      </c>
      <c r="K139" s="303">
        <v>128</v>
      </c>
    </row>
    <row r="140" spans="6:11" ht="39.75" customHeight="1" x14ac:dyDescent="0.25">
      <c r="F140" s="82" t="s">
        <v>2740</v>
      </c>
      <c r="G140" s="419" t="s">
        <v>2741</v>
      </c>
      <c r="I140" s="420" t="s">
        <v>2683</v>
      </c>
      <c r="J140" s="303">
        <v>96</v>
      </c>
      <c r="K140" s="303">
        <v>128</v>
      </c>
    </row>
    <row r="141" spans="6:11" ht="39.75" customHeight="1" x14ac:dyDescent="0.25">
      <c r="F141" s="82" t="s">
        <v>2742</v>
      </c>
      <c r="G141" s="419" t="s">
        <v>2743</v>
      </c>
      <c r="I141" s="420" t="s">
        <v>2683</v>
      </c>
      <c r="J141" s="303">
        <v>96</v>
      </c>
      <c r="K141" s="303">
        <v>128</v>
      </c>
    </row>
    <row r="142" spans="6:11" ht="39.75" customHeight="1" x14ac:dyDescent="0.25">
      <c r="F142" s="82" t="s">
        <v>2744</v>
      </c>
      <c r="G142" s="419" t="s">
        <v>2745</v>
      </c>
      <c r="I142" s="420" t="s">
        <v>2683</v>
      </c>
      <c r="J142" s="303">
        <v>96</v>
      </c>
      <c r="K142" s="303">
        <v>128</v>
      </c>
    </row>
    <row r="143" spans="6:11" ht="39.75" customHeight="1" x14ac:dyDescent="0.25">
      <c r="F143" s="82" t="s">
        <v>2746</v>
      </c>
      <c r="G143" s="419" t="s">
        <v>2747</v>
      </c>
      <c r="I143" s="420" t="s">
        <v>2683</v>
      </c>
      <c r="J143" s="303">
        <v>96</v>
      </c>
      <c r="K143" s="303">
        <v>128</v>
      </c>
    </row>
    <row r="144" spans="6:11" ht="39.75" customHeight="1" x14ac:dyDescent="0.25">
      <c r="F144" s="82" t="s">
        <v>2748</v>
      </c>
      <c r="G144" s="419" t="s">
        <v>2749</v>
      </c>
      <c r="I144" s="420" t="s">
        <v>2683</v>
      </c>
      <c r="J144" s="303">
        <v>96</v>
      </c>
      <c r="K144" s="303">
        <v>128</v>
      </c>
    </row>
    <row r="145" spans="6:11" ht="39.75" customHeight="1" x14ac:dyDescent="0.25">
      <c r="F145" s="82" t="s">
        <v>2750</v>
      </c>
      <c r="G145" s="419" t="s">
        <v>2751</v>
      </c>
      <c r="I145" s="420" t="s">
        <v>2683</v>
      </c>
      <c r="J145" s="303">
        <v>96</v>
      </c>
      <c r="K145" s="303">
        <v>128</v>
      </c>
    </row>
    <row r="146" spans="6:11" ht="39.75" customHeight="1" x14ac:dyDescent="0.25">
      <c r="F146" s="82" t="s">
        <v>2752</v>
      </c>
      <c r="G146" s="419" t="s">
        <v>2753</v>
      </c>
      <c r="I146" s="420" t="s">
        <v>2683</v>
      </c>
      <c r="J146" s="303">
        <v>96</v>
      </c>
      <c r="K146" s="303">
        <v>128</v>
      </c>
    </row>
    <row r="147" spans="6:11" ht="39.75" customHeight="1" x14ac:dyDescent="0.25">
      <c r="F147" s="82" t="s">
        <v>2754</v>
      </c>
      <c r="G147" s="419" t="s">
        <v>2755</v>
      </c>
      <c r="I147" s="420" t="s">
        <v>2683</v>
      </c>
      <c r="J147" s="303">
        <v>96</v>
      </c>
      <c r="K147" s="303">
        <v>128</v>
      </c>
    </row>
    <row r="148" spans="6:11" ht="39.75" customHeight="1" x14ac:dyDescent="0.25">
      <c r="F148" s="82" t="s">
        <v>2756</v>
      </c>
      <c r="G148" s="419" t="s">
        <v>2757</v>
      </c>
      <c r="I148" s="420" t="s">
        <v>2683</v>
      </c>
      <c r="J148" s="303">
        <v>96</v>
      </c>
      <c r="K148" s="303">
        <v>128</v>
      </c>
    </row>
    <row r="149" spans="6:11" ht="39.75" customHeight="1" x14ac:dyDescent="0.25">
      <c r="F149" s="82" t="s">
        <v>2758</v>
      </c>
      <c r="G149" s="419" t="s">
        <v>2759</v>
      </c>
      <c r="I149" s="420" t="s">
        <v>2683</v>
      </c>
      <c r="J149" s="303">
        <v>96</v>
      </c>
      <c r="K149" s="303">
        <v>128</v>
      </c>
    </row>
    <row r="150" spans="6:11" ht="39.75" customHeight="1" x14ac:dyDescent="0.25">
      <c r="F150" s="82" t="s">
        <v>2760</v>
      </c>
      <c r="G150" s="419" t="s">
        <v>2761</v>
      </c>
      <c r="I150" s="420" t="s">
        <v>2683</v>
      </c>
      <c r="J150" s="303">
        <v>96</v>
      </c>
      <c r="K150" s="303">
        <v>128</v>
      </c>
    </row>
    <row r="151" spans="6:11" ht="39.75" customHeight="1" x14ac:dyDescent="0.25">
      <c r="F151" s="82" t="s">
        <v>2762</v>
      </c>
      <c r="G151" s="419" t="s">
        <v>2763</v>
      </c>
      <c r="I151" s="420" t="s">
        <v>2683</v>
      </c>
      <c r="J151" s="303">
        <v>96</v>
      </c>
      <c r="K151" s="303">
        <v>128</v>
      </c>
    </row>
    <row r="152" spans="6:11" ht="39.75" customHeight="1" x14ac:dyDescent="0.25">
      <c r="F152" s="82" t="s">
        <v>2764</v>
      </c>
      <c r="G152" s="419" t="s">
        <v>2765</v>
      </c>
      <c r="I152" s="420" t="s">
        <v>2683</v>
      </c>
      <c r="J152" s="303">
        <v>96</v>
      </c>
      <c r="K152" s="303">
        <v>128</v>
      </c>
    </row>
    <row r="153" spans="6:11" ht="39.75" customHeight="1" x14ac:dyDescent="0.25">
      <c r="F153" s="82" t="s">
        <v>2766</v>
      </c>
      <c r="G153" s="419" t="s">
        <v>2767</v>
      </c>
      <c r="I153" s="420" t="s">
        <v>2683</v>
      </c>
      <c r="J153" s="303">
        <v>96</v>
      </c>
      <c r="K153" s="303">
        <v>128</v>
      </c>
    </row>
    <row r="154" spans="6:11" ht="39.75" customHeight="1" x14ac:dyDescent="0.25">
      <c r="F154" s="82" t="s">
        <v>2768</v>
      </c>
      <c r="G154" s="419" t="s">
        <v>2769</v>
      </c>
      <c r="I154" s="420" t="s">
        <v>2683</v>
      </c>
      <c r="J154" s="303">
        <v>96</v>
      </c>
      <c r="K154" s="303">
        <v>128</v>
      </c>
    </row>
    <row r="155" spans="6:11" ht="39.75" customHeight="1" x14ac:dyDescent="0.25">
      <c r="F155" s="82" t="s">
        <v>2770</v>
      </c>
      <c r="G155" s="419" t="s">
        <v>2771</v>
      </c>
      <c r="I155" s="420" t="s">
        <v>2683</v>
      </c>
      <c r="J155" s="303">
        <v>96</v>
      </c>
      <c r="K155" s="303">
        <v>128</v>
      </c>
    </row>
    <row r="156" spans="6:11" ht="39.75" customHeight="1" x14ac:dyDescent="0.25">
      <c r="F156" s="82" t="s">
        <v>2772</v>
      </c>
      <c r="G156" s="419" t="s">
        <v>2773</v>
      </c>
      <c r="I156" s="420" t="s">
        <v>2683</v>
      </c>
      <c r="J156" s="303">
        <v>96</v>
      </c>
      <c r="K156" s="303">
        <v>128</v>
      </c>
    </row>
    <row r="157" spans="6:11" ht="39.75" customHeight="1" x14ac:dyDescent="0.25">
      <c r="F157" s="82" t="s">
        <v>2774</v>
      </c>
      <c r="G157" s="419" t="s">
        <v>2775</v>
      </c>
      <c r="I157" s="420" t="s">
        <v>2683</v>
      </c>
      <c r="J157" s="303">
        <v>96</v>
      </c>
      <c r="K157" s="303">
        <v>128</v>
      </c>
    </row>
    <row r="158" spans="6:11" ht="39.75" customHeight="1" x14ac:dyDescent="0.25">
      <c r="F158" s="82" t="s">
        <v>2776</v>
      </c>
      <c r="G158" s="419" t="s">
        <v>2777</v>
      </c>
      <c r="I158" s="420" t="s">
        <v>2683</v>
      </c>
      <c r="J158" s="303">
        <v>96</v>
      </c>
      <c r="K158" s="303">
        <v>128</v>
      </c>
    </row>
    <row r="159" spans="6:11" ht="39.75" customHeight="1" x14ac:dyDescent="0.25">
      <c r="F159" s="82" t="s">
        <v>2778</v>
      </c>
      <c r="G159" s="419" t="s">
        <v>2779</v>
      </c>
      <c r="I159" s="420" t="s">
        <v>2683</v>
      </c>
      <c r="J159" s="303">
        <v>96</v>
      </c>
      <c r="K159" s="303">
        <v>128</v>
      </c>
    </row>
    <row r="160" spans="6:11" ht="39.75" customHeight="1" x14ac:dyDescent="0.25">
      <c r="F160" s="82" t="s">
        <v>2780</v>
      </c>
      <c r="G160" s="419" t="s">
        <v>2781</v>
      </c>
      <c r="I160" s="420" t="s">
        <v>2683</v>
      </c>
      <c r="J160" s="303">
        <v>96</v>
      </c>
      <c r="K160" s="303">
        <v>128</v>
      </c>
    </row>
    <row r="161" spans="2:21" ht="39.75" customHeight="1" x14ac:dyDescent="0.25">
      <c r="F161" s="82" t="s">
        <v>2782</v>
      </c>
      <c r="G161" s="419" t="s">
        <v>2783</v>
      </c>
      <c r="I161" s="420" t="s">
        <v>2683</v>
      </c>
      <c r="J161" s="303">
        <v>96</v>
      </c>
      <c r="K161" s="303">
        <v>128</v>
      </c>
    </row>
    <row r="162" spans="2:21" ht="39.75" customHeight="1" x14ac:dyDescent="0.25">
      <c r="B162" s="418" t="s">
        <v>2784</v>
      </c>
      <c r="C162" s="78" t="s">
        <v>2080</v>
      </c>
      <c r="D162" s="78" t="s">
        <v>2785</v>
      </c>
      <c r="E162" s="78" t="s">
        <v>2673</v>
      </c>
      <c r="F162" s="78" t="s">
        <v>2786</v>
      </c>
      <c r="G162" s="421" t="s">
        <v>2787</v>
      </c>
      <c r="I162" s="78" t="s">
        <v>2562</v>
      </c>
      <c r="J162" s="78">
        <v>24</v>
      </c>
      <c r="K162" s="78">
        <v>48</v>
      </c>
      <c r="L162" s="78">
        <v>60</v>
      </c>
      <c r="M162" s="78" t="s">
        <v>2788</v>
      </c>
      <c r="O162" s="78" t="s">
        <v>2384</v>
      </c>
      <c r="P162" s="78" t="s">
        <v>2385</v>
      </c>
      <c r="T162" s="303" t="s">
        <v>437</v>
      </c>
      <c r="U162" s="303" t="s">
        <v>461</v>
      </c>
    </row>
    <row r="163" spans="2:21" ht="39.75" customHeight="1" x14ac:dyDescent="0.25">
      <c r="B163" s="418" t="s">
        <v>2784</v>
      </c>
      <c r="C163" s="78" t="s">
        <v>2080</v>
      </c>
      <c r="D163" s="78" t="s">
        <v>2785</v>
      </c>
      <c r="E163" s="78" t="s">
        <v>2673</v>
      </c>
      <c r="F163" s="78" t="s">
        <v>2789</v>
      </c>
      <c r="G163" s="421" t="s">
        <v>2790</v>
      </c>
      <c r="I163" s="78" t="s">
        <v>2562</v>
      </c>
      <c r="J163" s="78">
        <v>24</v>
      </c>
      <c r="K163" s="78">
        <v>48</v>
      </c>
      <c r="L163" s="78">
        <v>60</v>
      </c>
      <c r="M163" s="78" t="s">
        <v>2791</v>
      </c>
      <c r="O163" s="78" t="s">
        <v>2409</v>
      </c>
      <c r="P163" s="78" t="s">
        <v>2410</v>
      </c>
      <c r="T163" s="303" t="s">
        <v>437</v>
      </c>
      <c r="U163" s="303" t="s">
        <v>461</v>
      </c>
    </row>
    <row r="164" spans="2:21" ht="39.75" customHeight="1" x14ac:dyDescent="0.25"/>
    <row r="165" spans="2:21" ht="39.75" customHeight="1" x14ac:dyDescent="0.25"/>
    <row r="166" spans="2:21" ht="39.75" customHeight="1" x14ac:dyDescent="0.25"/>
    <row r="167" spans="2:21" ht="39.75" customHeight="1" x14ac:dyDescent="0.25"/>
    <row r="168" spans="2:21" ht="39.75" customHeight="1" x14ac:dyDescent="0.25"/>
    <row r="169" spans="2:21" ht="39.75" customHeight="1" x14ac:dyDescent="0.25"/>
    <row r="170" spans="2:21" ht="39.75" customHeight="1" x14ac:dyDescent="0.25"/>
    <row r="171" spans="2:21" ht="39.75" customHeight="1" x14ac:dyDescent="0.25"/>
    <row r="172" spans="2:21" ht="39.75" customHeight="1" x14ac:dyDescent="0.25"/>
    <row r="173" spans="2:21" ht="39.75" customHeight="1" x14ac:dyDescent="0.25"/>
    <row r="174" spans="2:21" ht="39.75" customHeight="1" x14ac:dyDescent="0.25"/>
    <row r="175" spans="2:21" ht="39.75" customHeight="1" x14ac:dyDescent="0.25"/>
    <row r="176" spans="2:21" ht="39.75" customHeight="1" x14ac:dyDescent="0.25"/>
    <row r="177" ht="39.75" customHeight="1" x14ac:dyDescent="0.25"/>
    <row r="178" ht="39.75" customHeight="1" x14ac:dyDescent="0.25"/>
    <row r="179" ht="39.75" customHeight="1" x14ac:dyDescent="0.25"/>
    <row r="180" ht="39.75" customHeight="1" x14ac:dyDescent="0.25"/>
    <row r="181" ht="39.75" customHeight="1" x14ac:dyDescent="0.25"/>
    <row r="182" ht="39.75" customHeight="1" x14ac:dyDescent="0.25"/>
    <row r="183" ht="39.75" customHeight="1" x14ac:dyDescent="0.25"/>
    <row r="184" ht="39.75" customHeight="1" x14ac:dyDescent="0.25"/>
    <row r="185" ht="39.75" customHeight="1" x14ac:dyDescent="0.25"/>
    <row r="186" ht="39.75" customHeight="1" x14ac:dyDescent="0.25"/>
    <row r="187" ht="39.75" customHeight="1" x14ac:dyDescent="0.25"/>
    <row r="188" ht="39.75" customHeight="1" x14ac:dyDescent="0.25"/>
    <row r="189" ht="39.75" customHeight="1" x14ac:dyDescent="0.25"/>
    <row r="190" ht="39.75" customHeight="1" x14ac:dyDescent="0.25"/>
    <row r="191" ht="39.75" customHeight="1" x14ac:dyDescent="0.25"/>
    <row r="192" ht="39.75" customHeight="1" x14ac:dyDescent="0.25"/>
    <row r="193" ht="39.75" customHeight="1" x14ac:dyDescent="0.25"/>
    <row r="194" ht="39.75" customHeight="1" x14ac:dyDescent="0.25"/>
    <row r="195" ht="39.75" customHeight="1" x14ac:dyDescent="0.25"/>
    <row r="196" ht="39.75" customHeight="1" x14ac:dyDescent="0.25"/>
    <row r="197" ht="39.75" customHeight="1" x14ac:dyDescent="0.25"/>
    <row r="198" ht="39.75" customHeight="1" x14ac:dyDescent="0.25"/>
    <row r="199" ht="39.75" customHeight="1" x14ac:dyDescent="0.25"/>
    <row r="200" ht="39.75" customHeight="1" x14ac:dyDescent="0.25"/>
    <row r="201" ht="39.75" customHeight="1" x14ac:dyDescent="0.25"/>
    <row r="202" ht="39.75" customHeight="1" x14ac:dyDescent="0.25"/>
    <row r="203" ht="39.75" customHeight="1" x14ac:dyDescent="0.25"/>
    <row r="204" ht="39.75" customHeight="1" x14ac:dyDescent="0.25"/>
    <row r="205" ht="39.75" customHeight="1" x14ac:dyDescent="0.25"/>
    <row r="206" ht="39.75" customHeight="1" x14ac:dyDescent="0.25"/>
    <row r="207" ht="39.75" customHeight="1" x14ac:dyDescent="0.25"/>
    <row r="208" ht="39.75" customHeight="1" x14ac:dyDescent="0.25"/>
    <row r="209" ht="39.75" customHeight="1" x14ac:dyDescent="0.25"/>
    <row r="210" ht="39.75" customHeight="1" x14ac:dyDescent="0.25"/>
    <row r="211" ht="39.75" customHeight="1" x14ac:dyDescent="0.25"/>
    <row r="212" ht="39.75" customHeight="1" x14ac:dyDescent="0.25"/>
    <row r="213" ht="39.75" customHeight="1" x14ac:dyDescent="0.25"/>
    <row r="214" ht="39.75" customHeight="1" x14ac:dyDescent="0.25"/>
    <row r="215" ht="39.75" customHeight="1" x14ac:dyDescent="0.25"/>
    <row r="216" ht="39.75" customHeight="1" x14ac:dyDescent="0.25"/>
    <row r="217" ht="39.75" customHeight="1" x14ac:dyDescent="0.25"/>
    <row r="218" ht="39.75" customHeight="1" x14ac:dyDescent="0.25"/>
    <row r="219" ht="39.75" customHeight="1" x14ac:dyDescent="0.25"/>
    <row r="220" ht="39.75" customHeight="1" x14ac:dyDescent="0.25"/>
    <row r="221" ht="39.75" customHeight="1" x14ac:dyDescent="0.25"/>
    <row r="222" ht="39.75" customHeight="1" x14ac:dyDescent="0.25"/>
    <row r="223" ht="39.75" customHeight="1" x14ac:dyDescent="0.25"/>
    <row r="224" ht="39.75" customHeight="1" x14ac:dyDescent="0.25"/>
    <row r="225" ht="39.75" customHeight="1" x14ac:dyDescent="0.25"/>
    <row r="226" ht="39.75" customHeight="1" x14ac:dyDescent="0.25"/>
    <row r="227" ht="39.75" customHeight="1" x14ac:dyDescent="0.25"/>
    <row r="228" ht="39.75" customHeight="1" x14ac:dyDescent="0.25"/>
    <row r="229" ht="39.75" customHeight="1" x14ac:dyDescent="0.25"/>
    <row r="230" ht="39.75" customHeight="1" x14ac:dyDescent="0.25"/>
    <row r="231" ht="39.75" customHeight="1" x14ac:dyDescent="0.25"/>
    <row r="232" ht="39.75" customHeight="1" x14ac:dyDescent="0.25"/>
    <row r="233" ht="39.75" customHeight="1" x14ac:dyDescent="0.25"/>
    <row r="234" ht="39.75" customHeight="1" x14ac:dyDescent="0.25"/>
    <row r="235" ht="39.75" customHeight="1" x14ac:dyDescent="0.25"/>
    <row r="236" ht="39.75" customHeight="1" x14ac:dyDescent="0.25"/>
    <row r="237" ht="39.75" customHeight="1" x14ac:dyDescent="0.25"/>
    <row r="238" ht="39.75" customHeight="1" x14ac:dyDescent="0.25"/>
    <row r="239" ht="39.75" customHeight="1" x14ac:dyDescent="0.25"/>
    <row r="240" ht="39.75" customHeight="1" x14ac:dyDescent="0.25"/>
    <row r="241" ht="39.75" customHeight="1" x14ac:dyDescent="0.25"/>
    <row r="242" ht="39.75" customHeight="1" x14ac:dyDescent="0.25"/>
    <row r="243" ht="39.75" customHeight="1" x14ac:dyDescent="0.25"/>
    <row r="244" ht="39.75" customHeight="1" x14ac:dyDescent="0.25"/>
    <row r="245" ht="39.75" customHeight="1" x14ac:dyDescent="0.25"/>
    <row r="246" ht="39.75" customHeight="1" x14ac:dyDescent="0.25"/>
    <row r="247" ht="39.75" customHeight="1" x14ac:dyDescent="0.25"/>
    <row r="248" ht="39.75" customHeight="1" x14ac:dyDescent="0.25"/>
    <row r="249" ht="39.75" customHeight="1" x14ac:dyDescent="0.25"/>
    <row r="250" ht="39.75" customHeight="1" x14ac:dyDescent="0.25"/>
    <row r="251" ht="39.75" customHeight="1" x14ac:dyDescent="0.25"/>
    <row r="252" ht="39.75" customHeight="1" x14ac:dyDescent="0.25"/>
    <row r="253" ht="39.75" customHeight="1" x14ac:dyDescent="0.25"/>
    <row r="254" ht="39.75" customHeight="1" x14ac:dyDescent="0.25"/>
    <row r="255" ht="39.75" customHeight="1" x14ac:dyDescent="0.25"/>
    <row r="256" ht="39.75" customHeight="1" x14ac:dyDescent="0.25"/>
    <row r="257" ht="39.75" customHeight="1" x14ac:dyDescent="0.25"/>
    <row r="258" ht="39.75" customHeight="1" x14ac:dyDescent="0.25"/>
    <row r="259" ht="39.75" customHeight="1" x14ac:dyDescent="0.25"/>
    <row r="260" ht="39.75" customHeight="1" x14ac:dyDescent="0.25"/>
    <row r="261" ht="39.75" customHeight="1" x14ac:dyDescent="0.25"/>
    <row r="262" ht="39.75" customHeight="1" x14ac:dyDescent="0.25"/>
    <row r="263" ht="39.75" customHeight="1" x14ac:dyDescent="0.25"/>
    <row r="264" ht="39.75" customHeight="1" x14ac:dyDescent="0.25"/>
    <row r="265" ht="39.75" customHeight="1" x14ac:dyDescent="0.25"/>
    <row r="266" ht="39.75" customHeight="1" x14ac:dyDescent="0.25"/>
    <row r="267" ht="39.75" customHeight="1" x14ac:dyDescent="0.25"/>
    <row r="268" ht="39.75" customHeight="1" x14ac:dyDescent="0.25"/>
    <row r="269" ht="39.75" customHeight="1" x14ac:dyDescent="0.25"/>
    <row r="270" ht="39.75" customHeight="1" x14ac:dyDescent="0.25"/>
    <row r="271" ht="39.75" customHeight="1" x14ac:dyDescent="0.25"/>
    <row r="272" ht="39.75" customHeight="1" x14ac:dyDescent="0.25"/>
    <row r="273" ht="39.75" customHeight="1" x14ac:dyDescent="0.25"/>
    <row r="274" ht="39.75" customHeight="1" x14ac:dyDescent="0.25"/>
    <row r="275" ht="39.75" customHeight="1" x14ac:dyDescent="0.25"/>
    <row r="276" ht="39.75" customHeight="1" x14ac:dyDescent="0.25"/>
    <row r="277" ht="39.75" customHeight="1" x14ac:dyDescent="0.25"/>
    <row r="278" ht="39.75" customHeight="1" x14ac:dyDescent="0.25"/>
    <row r="279" ht="39.75" customHeight="1" x14ac:dyDescent="0.25"/>
    <row r="280" ht="39.75" customHeight="1" x14ac:dyDescent="0.25"/>
    <row r="281" ht="39.75" customHeight="1" x14ac:dyDescent="0.25"/>
    <row r="282" ht="39.75" customHeight="1" x14ac:dyDescent="0.25"/>
    <row r="283" ht="39.75" customHeight="1" x14ac:dyDescent="0.25"/>
    <row r="284" ht="39.75" customHeight="1" x14ac:dyDescent="0.25"/>
    <row r="285" ht="39.75" customHeight="1" x14ac:dyDescent="0.25"/>
    <row r="286" ht="39.75" customHeight="1" x14ac:dyDescent="0.25"/>
    <row r="287" ht="39.75" customHeight="1" x14ac:dyDescent="0.25"/>
    <row r="288" ht="39.75" customHeight="1" x14ac:dyDescent="0.25"/>
    <row r="289" ht="39.75" customHeight="1" x14ac:dyDescent="0.25"/>
    <row r="290" ht="39.75" customHeight="1" x14ac:dyDescent="0.25"/>
    <row r="291" ht="39.75" customHeight="1" x14ac:dyDescent="0.25"/>
    <row r="292" ht="39.75" customHeight="1" x14ac:dyDescent="0.25"/>
    <row r="293" ht="39.75" customHeight="1" x14ac:dyDescent="0.25"/>
    <row r="294" ht="39.75" customHeight="1" x14ac:dyDescent="0.25"/>
    <row r="295" ht="39.75" customHeight="1" x14ac:dyDescent="0.25"/>
  </sheetData>
  <printOptions gridLines="1" gridLinesSet="0"/>
  <pageMargins left="0.70078740157480324" right="0.70078740157480324" top="0.75196850393700787" bottom="0.75196850393700787"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435"/>
  <sheetViews>
    <sheetView workbookViewId="0">
      <pane ySplit="1" topLeftCell="A2" activePane="bottomLeft" state="frozen"/>
      <selection pane="bottomLeft"/>
    </sheetView>
  </sheetViews>
  <sheetFormatPr defaultRowHeight="15" x14ac:dyDescent="0.25"/>
  <cols>
    <col min="1" max="1" width="15.42578125" style="422" customWidth="1"/>
    <col min="2" max="2" width="16.28515625" style="422" bestFit="1"/>
    <col min="3" max="3" width="19.140625" style="422" customWidth="1"/>
    <col min="4" max="4" width="10.42578125" style="422" customWidth="1"/>
    <col min="5" max="5" width="12.5703125" style="422" customWidth="1"/>
    <col min="6" max="12" width="9.140625" style="422"/>
    <col min="13" max="13" width="9.42578125" style="422" bestFit="1"/>
    <col min="14" max="16" width="9.140625" style="422"/>
    <col min="17" max="17" width="12.140625" style="422" bestFit="1"/>
    <col min="18" max="25" width="9.140625" style="408"/>
    <col min="26" max="26" width="12.85546875" style="408" customWidth="1"/>
    <col min="27" max="27" width="9.140625" style="408"/>
    <col min="28" max="30" width="11.5703125" style="408" customWidth="1"/>
    <col min="31" max="16384" width="9.140625" style="408"/>
  </cols>
  <sheetData>
    <row r="1" spans="1:34" x14ac:dyDescent="0.25">
      <c r="A1" s="423" t="s">
        <v>2792</v>
      </c>
      <c r="B1" s="423" t="s">
        <v>2793</v>
      </c>
      <c r="C1" s="423" t="s">
        <v>2794</v>
      </c>
      <c r="D1" s="423" t="s">
        <v>2795</v>
      </c>
      <c r="E1" s="423" t="s">
        <v>2</v>
      </c>
      <c r="F1" s="423" t="s">
        <v>1485</v>
      </c>
      <c r="G1" s="423" t="s">
        <v>1836</v>
      </c>
      <c r="H1" s="423" t="s">
        <v>2796</v>
      </c>
      <c r="I1" s="422" t="s">
        <v>2373</v>
      </c>
      <c r="J1" s="423" t="s">
        <v>2797</v>
      </c>
      <c r="K1" s="423" t="s">
        <v>2374</v>
      </c>
      <c r="L1" s="423" t="s">
        <v>2079</v>
      </c>
      <c r="M1" s="423" t="s">
        <v>2798</v>
      </c>
      <c r="N1" s="422" t="s">
        <v>830</v>
      </c>
      <c r="O1" s="422" t="s">
        <v>2799</v>
      </c>
      <c r="P1" s="422" t="s">
        <v>13</v>
      </c>
      <c r="Q1" s="423" t="s">
        <v>2378</v>
      </c>
      <c r="R1" s="424" t="s">
        <v>2375</v>
      </c>
      <c r="S1" s="424" t="s">
        <v>2800</v>
      </c>
      <c r="T1" s="424" t="s">
        <v>2801</v>
      </c>
      <c r="U1" s="424" t="s">
        <v>2061</v>
      </c>
      <c r="V1" s="424" t="s">
        <v>2802</v>
      </c>
      <c r="W1" s="424" t="s">
        <v>2803</v>
      </c>
      <c r="X1" s="424" t="s">
        <v>2804</v>
      </c>
      <c r="Y1" s="424" t="s">
        <v>2805</v>
      </c>
      <c r="Z1" s="424" t="s">
        <v>2806</v>
      </c>
      <c r="AA1" s="424" t="s">
        <v>2807</v>
      </c>
      <c r="AB1" s="424" t="s">
        <v>2808</v>
      </c>
      <c r="AC1" s="424" t="s">
        <v>2809</v>
      </c>
      <c r="AD1" s="424" t="s">
        <v>2810</v>
      </c>
      <c r="AE1" s="424" t="s">
        <v>2811</v>
      </c>
      <c r="AF1" s="424" t="s">
        <v>2812</v>
      </c>
      <c r="AG1" s="424" t="s">
        <v>2813</v>
      </c>
      <c r="AH1" s="424" t="s">
        <v>2814</v>
      </c>
    </row>
    <row r="2" spans="1:34" x14ac:dyDescent="0.25">
      <c r="A2" s="423" t="s">
        <v>2815</v>
      </c>
      <c r="B2" s="423" t="s">
        <v>2816</v>
      </c>
      <c r="C2" s="423" t="s">
        <v>703</v>
      </c>
      <c r="D2" s="423" t="s">
        <v>2817</v>
      </c>
      <c r="E2" s="423" t="s">
        <v>2818</v>
      </c>
      <c r="F2" s="423">
        <v>56</v>
      </c>
      <c r="G2" s="423">
        <v>252</v>
      </c>
      <c r="H2" s="423">
        <v>324</v>
      </c>
      <c r="J2" s="423"/>
      <c r="K2" s="423"/>
      <c r="L2" s="423"/>
      <c r="M2" s="423"/>
      <c r="Q2" s="423"/>
      <c r="R2" s="424" t="s">
        <v>2819</v>
      </c>
      <c r="S2" s="424" t="s">
        <v>2820</v>
      </c>
      <c r="T2" s="424" t="s">
        <v>2821</v>
      </c>
      <c r="U2" s="424" t="s">
        <v>2822</v>
      </c>
      <c r="V2" s="424" t="s">
        <v>2823</v>
      </c>
      <c r="W2" s="424" t="s">
        <v>2824</v>
      </c>
      <c r="X2" s="424" t="s">
        <v>2825</v>
      </c>
      <c r="Y2" s="424" t="s">
        <v>2279</v>
      </c>
      <c r="Z2" s="424" t="s">
        <v>2826</v>
      </c>
      <c r="AA2" s="424" t="s">
        <v>2827</v>
      </c>
      <c r="AB2" s="424" t="s">
        <v>2828</v>
      </c>
      <c r="AC2" s="424" t="s">
        <v>1953</v>
      </c>
      <c r="AD2" s="424" t="s">
        <v>2829</v>
      </c>
      <c r="AE2" s="424" t="s">
        <v>2830</v>
      </c>
      <c r="AF2" s="424"/>
      <c r="AG2" s="424"/>
      <c r="AH2" s="424"/>
    </row>
    <row r="3" spans="1:34" x14ac:dyDescent="0.25">
      <c r="A3" s="423" t="s">
        <v>2815</v>
      </c>
      <c r="B3" s="423" t="s">
        <v>2831</v>
      </c>
      <c r="C3" s="423" t="s">
        <v>703</v>
      </c>
      <c r="D3" s="423" t="s">
        <v>2817</v>
      </c>
      <c r="E3" s="423" t="s">
        <v>2818</v>
      </c>
      <c r="F3" s="423">
        <v>56</v>
      </c>
      <c r="G3" s="423">
        <v>252</v>
      </c>
      <c r="H3" s="423">
        <v>324</v>
      </c>
      <c r="J3" s="423"/>
      <c r="K3" s="423"/>
      <c r="L3" s="423"/>
      <c r="M3" s="423"/>
      <c r="Q3" s="423"/>
      <c r="R3" s="424" t="s">
        <v>2832</v>
      </c>
      <c r="S3" s="424" t="s">
        <v>2820</v>
      </c>
      <c r="T3" s="424" t="s">
        <v>2821</v>
      </c>
      <c r="U3" s="424" t="s">
        <v>2822</v>
      </c>
      <c r="V3" s="424" t="s">
        <v>2823</v>
      </c>
      <c r="W3" s="424" t="s">
        <v>2824</v>
      </c>
      <c r="X3" s="424" t="s">
        <v>2825</v>
      </c>
      <c r="Y3" s="424" t="s">
        <v>2279</v>
      </c>
      <c r="Z3" s="424" t="s">
        <v>2826</v>
      </c>
      <c r="AA3" s="424" t="s">
        <v>2827</v>
      </c>
      <c r="AB3" s="424" t="s">
        <v>2833</v>
      </c>
      <c r="AC3" s="424" t="s">
        <v>1953</v>
      </c>
      <c r="AD3" s="424" t="s">
        <v>2829</v>
      </c>
      <c r="AE3" s="424" t="s">
        <v>2834</v>
      </c>
      <c r="AF3" s="424"/>
      <c r="AG3" s="424"/>
      <c r="AH3" s="424"/>
    </row>
    <row r="4" spans="1:34" x14ac:dyDescent="0.25">
      <c r="A4" s="423" t="s">
        <v>2815</v>
      </c>
      <c r="B4" s="423" t="s">
        <v>2835</v>
      </c>
      <c r="C4" s="423" t="s">
        <v>703</v>
      </c>
      <c r="D4" s="423" t="s">
        <v>2817</v>
      </c>
      <c r="E4" s="423" t="s">
        <v>2818</v>
      </c>
      <c r="F4" s="423">
        <v>48</v>
      </c>
      <c r="G4" s="423">
        <v>189</v>
      </c>
      <c r="H4" s="423">
        <v>324</v>
      </c>
      <c r="J4" s="423"/>
      <c r="K4" s="423"/>
      <c r="L4" s="423"/>
      <c r="M4" s="423"/>
      <c r="Q4" s="423"/>
      <c r="R4" s="424" t="s">
        <v>2836</v>
      </c>
      <c r="S4" s="424" t="s">
        <v>2820</v>
      </c>
      <c r="T4" s="424" t="s">
        <v>2821</v>
      </c>
      <c r="U4" s="424" t="s">
        <v>2822</v>
      </c>
      <c r="V4" s="424" t="s">
        <v>2823</v>
      </c>
      <c r="W4" s="424" t="s">
        <v>2824</v>
      </c>
      <c r="X4" s="424" t="s">
        <v>2825</v>
      </c>
      <c r="Y4" s="424" t="s">
        <v>2279</v>
      </c>
      <c r="Z4" s="424" t="s">
        <v>2826</v>
      </c>
      <c r="AA4" s="424" t="s">
        <v>2827</v>
      </c>
      <c r="AB4" s="424" t="s">
        <v>2837</v>
      </c>
      <c r="AC4" s="424" t="s">
        <v>1953</v>
      </c>
      <c r="AD4" s="424" t="s">
        <v>2829</v>
      </c>
      <c r="AE4" s="424" t="s">
        <v>2830</v>
      </c>
      <c r="AF4" s="424"/>
      <c r="AG4" s="424"/>
      <c r="AH4" s="424"/>
    </row>
    <row r="5" spans="1:34" x14ac:dyDescent="0.25">
      <c r="A5" s="423" t="s">
        <v>2815</v>
      </c>
      <c r="B5" s="423" t="s">
        <v>2838</v>
      </c>
      <c r="C5" s="423" t="s">
        <v>703</v>
      </c>
      <c r="D5" s="423" t="s">
        <v>2817</v>
      </c>
      <c r="E5" s="423" t="s">
        <v>2818</v>
      </c>
      <c r="F5" s="423">
        <v>48</v>
      </c>
      <c r="G5" s="423">
        <v>189</v>
      </c>
      <c r="H5" s="423">
        <v>324</v>
      </c>
      <c r="J5" s="423"/>
      <c r="K5" s="423"/>
      <c r="L5" s="423"/>
      <c r="M5" s="423"/>
      <c r="Q5" s="423"/>
      <c r="R5" s="424" t="s">
        <v>2839</v>
      </c>
      <c r="S5" s="424" t="s">
        <v>2820</v>
      </c>
      <c r="T5" s="424" t="s">
        <v>2821</v>
      </c>
      <c r="U5" s="424" t="s">
        <v>2822</v>
      </c>
      <c r="V5" s="424" t="s">
        <v>2823</v>
      </c>
      <c r="W5" s="424" t="s">
        <v>2824</v>
      </c>
      <c r="X5" s="424" t="s">
        <v>2825</v>
      </c>
      <c r="Y5" s="424" t="s">
        <v>2279</v>
      </c>
      <c r="Z5" s="424" t="s">
        <v>2826</v>
      </c>
      <c r="AA5" s="424" t="s">
        <v>2827</v>
      </c>
      <c r="AB5" s="424" t="s">
        <v>2840</v>
      </c>
      <c r="AC5" s="424" t="s">
        <v>1953</v>
      </c>
      <c r="AD5" s="424" t="s">
        <v>2829</v>
      </c>
      <c r="AE5" s="424" t="s">
        <v>2830</v>
      </c>
      <c r="AF5" s="424"/>
      <c r="AG5" s="424"/>
      <c r="AH5" s="424"/>
    </row>
    <row r="6" spans="1:34" x14ac:dyDescent="0.25">
      <c r="A6" s="423" t="s">
        <v>2815</v>
      </c>
      <c r="B6" s="423" t="s">
        <v>2841</v>
      </c>
      <c r="C6" s="423" t="s">
        <v>703</v>
      </c>
      <c r="D6" s="423" t="s">
        <v>2817</v>
      </c>
      <c r="E6" s="423" t="s">
        <v>2818</v>
      </c>
      <c r="F6" s="423">
        <v>48</v>
      </c>
      <c r="G6" s="423">
        <v>189</v>
      </c>
      <c r="H6" s="423">
        <v>324</v>
      </c>
      <c r="J6" s="423"/>
      <c r="K6" s="423"/>
      <c r="L6" s="423"/>
      <c r="M6" s="423"/>
      <c r="Q6" s="423"/>
      <c r="R6" s="424" t="s">
        <v>2842</v>
      </c>
      <c r="S6" s="424" t="s">
        <v>2820</v>
      </c>
      <c r="T6" s="424" t="s">
        <v>2821</v>
      </c>
      <c r="U6" s="424" t="s">
        <v>2822</v>
      </c>
      <c r="V6" s="424" t="s">
        <v>2823</v>
      </c>
      <c r="W6" s="424" t="s">
        <v>2824</v>
      </c>
      <c r="X6" s="424" t="s">
        <v>2825</v>
      </c>
      <c r="Y6" s="424" t="s">
        <v>2279</v>
      </c>
      <c r="Z6" s="424" t="s">
        <v>2826</v>
      </c>
      <c r="AA6" s="424" t="s">
        <v>2827</v>
      </c>
      <c r="AB6" s="424" t="s">
        <v>2843</v>
      </c>
      <c r="AC6" s="424" t="s">
        <v>1953</v>
      </c>
      <c r="AD6" s="424" t="s">
        <v>2829</v>
      </c>
      <c r="AE6" s="424" t="s">
        <v>2834</v>
      </c>
      <c r="AF6" s="424"/>
      <c r="AG6" s="424"/>
      <c r="AH6" s="424"/>
    </row>
    <row r="7" spans="1:34" x14ac:dyDescent="0.25">
      <c r="A7" s="423" t="s">
        <v>2815</v>
      </c>
      <c r="B7" s="423" t="s">
        <v>2844</v>
      </c>
      <c r="C7" s="423" t="s">
        <v>703</v>
      </c>
      <c r="D7" s="423" t="s">
        <v>2817</v>
      </c>
      <c r="E7" s="423" t="s">
        <v>2818</v>
      </c>
      <c r="F7" s="423">
        <v>32</v>
      </c>
      <c r="G7" s="423">
        <v>63</v>
      </c>
      <c r="H7" s="423">
        <v>344</v>
      </c>
      <c r="J7" s="423"/>
      <c r="K7" s="423"/>
      <c r="L7" s="423"/>
      <c r="M7" s="423"/>
      <c r="Q7" s="423"/>
      <c r="R7" s="424" t="s">
        <v>2845</v>
      </c>
      <c r="S7" s="424" t="s">
        <v>2846</v>
      </c>
      <c r="T7" s="424" t="s">
        <v>2847</v>
      </c>
      <c r="U7" s="424" t="s">
        <v>2822</v>
      </c>
      <c r="V7" s="424" t="s">
        <v>2823</v>
      </c>
      <c r="W7" s="424">
        <v>0</v>
      </c>
      <c r="X7" s="424" t="s">
        <v>2825</v>
      </c>
      <c r="Y7" s="424" t="s">
        <v>2279</v>
      </c>
      <c r="Z7" s="424" t="s">
        <v>2848</v>
      </c>
      <c r="AA7" s="424" t="s">
        <v>2849</v>
      </c>
      <c r="AB7" s="424" t="s">
        <v>2850</v>
      </c>
      <c r="AC7" s="424" t="s">
        <v>1953</v>
      </c>
      <c r="AD7" s="424" t="s">
        <v>2851</v>
      </c>
      <c r="AE7" s="424" t="s">
        <v>2852</v>
      </c>
      <c r="AF7" s="424"/>
      <c r="AG7" s="424"/>
      <c r="AH7" s="424"/>
    </row>
    <row r="8" spans="1:34" x14ac:dyDescent="0.25">
      <c r="A8" s="423" t="s">
        <v>2815</v>
      </c>
      <c r="B8" s="423" t="s">
        <v>2853</v>
      </c>
      <c r="C8" s="423" t="s">
        <v>703</v>
      </c>
      <c r="D8" s="423" t="s">
        <v>2817</v>
      </c>
      <c r="E8" s="423" t="s">
        <v>2818</v>
      </c>
      <c r="F8" s="423">
        <v>32</v>
      </c>
      <c r="G8" s="423">
        <v>63</v>
      </c>
      <c r="H8" s="423">
        <v>344</v>
      </c>
      <c r="J8" s="423"/>
      <c r="K8" s="423"/>
      <c r="L8" s="423"/>
      <c r="M8" s="423"/>
      <c r="Q8" s="423"/>
      <c r="R8" s="424" t="s">
        <v>2854</v>
      </c>
      <c r="S8" s="424" t="s">
        <v>2846</v>
      </c>
      <c r="T8" s="424" t="s">
        <v>2847</v>
      </c>
      <c r="U8" s="424" t="s">
        <v>2822</v>
      </c>
      <c r="V8" s="424" t="s">
        <v>2823</v>
      </c>
      <c r="W8" s="424">
        <v>0</v>
      </c>
      <c r="X8" s="424" t="s">
        <v>2825</v>
      </c>
      <c r="Y8" s="424" t="s">
        <v>2279</v>
      </c>
      <c r="Z8" s="424" t="s">
        <v>2848</v>
      </c>
      <c r="AA8" s="424" t="s">
        <v>2855</v>
      </c>
      <c r="AB8" s="424" t="s">
        <v>2856</v>
      </c>
      <c r="AC8" s="424" t="s">
        <v>1953</v>
      </c>
      <c r="AD8" s="424" t="s">
        <v>2851</v>
      </c>
      <c r="AE8" s="424" t="s">
        <v>2857</v>
      </c>
      <c r="AF8" s="424"/>
      <c r="AG8" s="424"/>
      <c r="AH8" s="424"/>
    </row>
    <row r="9" spans="1:34" x14ac:dyDescent="0.25">
      <c r="A9" s="423" t="s">
        <v>2815</v>
      </c>
      <c r="B9" s="423" t="s">
        <v>2858</v>
      </c>
      <c r="C9" s="423" t="s">
        <v>703</v>
      </c>
      <c r="D9" s="423" t="s">
        <v>2817</v>
      </c>
      <c r="E9" s="423" t="s">
        <v>2818</v>
      </c>
      <c r="F9" s="423">
        <v>32</v>
      </c>
      <c r="G9" s="423">
        <v>63</v>
      </c>
      <c r="H9" s="423">
        <v>344</v>
      </c>
      <c r="J9" s="423"/>
      <c r="K9" s="423"/>
      <c r="L9" s="423"/>
      <c r="M9" s="423"/>
      <c r="Q9" s="423"/>
      <c r="R9" s="424" t="s">
        <v>2859</v>
      </c>
      <c r="S9" s="424" t="s">
        <v>2846</v>
      </c>
      <c r="T9" s="424" t="s">
        <v>2847</v>
      </c>
      <c r="U9" s="424" t="s">
        <v>2822</v>
      </c>
      <c r="V9" s="424" t="s">
        <v>2823</v>
      </c>
      <c r="W9" s="424">
        <v>0</v>
      </c>
      <c r="X9" s="424" t="s">
        <v>2825</v>
      </c>
      <c r="Y9" s="424" t="s">
        <v>2279</v>
      </c>
      <c r="Z9" s="424" t="s">
        <v>2848</v>
      </c>
      <c r="AA9" s="424" t="s">
        <v>2849</v>
      </c>
      <c r="AB9" s="424" t="s">
        <v>2860</v>
      </c>
      <c r="AC9" s="424" t="s">
        <v>1953</v>
      </c>
      <c r="AD9" s="424" t="s">
        <v>2851</v>
      </c>
      <c r="AE9" s="424" t="s">
        <v>2861</v>
      </c>
      <c r="AF9" s="424"/>
      <c r="AG9" s="424"/>
      <c r="AH9" s="424"/>
    </row>
    <row r="10" spans="1:34" x14ac:dyDescent="0.25">
      <c r="A10" s="423" t="s">
        <v>2815</v>
      </c>
      <c r="B10" s="423" t="s">
        <v>2862</v>
      </c>
      <c r="C10" s="423" t="s">
        <v>703</v>
      </c>
      <c r="D10" s="423" t="s">
        <v>2817</v>
      </c>
      <c r="E10" s="423" t="s">
        <v>2818</v>
      </c>
      <c r="F10" s="423">
        <v>32</v>
      </c>
      <c r="G10" s="423">
        <v>189</v>
      </c>
      <c r="H10" s="423">
        <v>324</v>
      </c>
      <c r="J10" s="423"/>
      <c r="K10" s="423"/>
      <c r="L10" s="423"/>
      <c r="M10" s="423"/>
      <c r="Q10" s="423"/>
      <c r="R10" s="424" t="s">
        <v>2863</v>
      </c>
      <c r="S10" s="424" t="s">
        <v>2820</v>
      </c>
      <c r="T10" s="424" t="s">
        <v>2821</v>
      </c>
      <c r="U10" s="424" t="s">
        <v>2822</v>
      </c>
      <c r="V10" s="424" t="s">
        <v>2823</v>
      </c>
      <c r="W10" s="424" t="s">
        <v>2824</v>
      </c>
      <c r="X10" s="424" t="s">
        <v>2825</v>
      </c>
      <c r="Y10" s="424" t="s">
        <v>2279</v>
      </c>
      <c r="Z10" s="424" t="s">
        <v>2826</v>
      </c>
      <c r="AA10" s="424" t="s">
        <v>2827</v>
      </c>
      <c r="AB10" s="424" t="s">
        <v>2864</v>
      </c>
      <c r="AC10" s="424" t="s">
        <v>1953</v>
      </c>
      <c r="AD10" s="424" t="s">
        <v>2829</v>
      </c>
      <c r="AE10" s="424" t="s">
        <v>2834</v>
      </c>
      <c r="AF10" s="424"/>
      <c r="AG10" s="424"/>
      <c r="AH10" s="424"/>
    </row>
    <row r="11" spans="1:34" x14ac:dyDescent="0.25">
      <c r="A11" s="423" t="s">
        <v>2815</v>
      </c>
      <c r="B11" s="423" t="s">
        <v>2865</v>
      </c>
      <c r="C11" s="423" t="s">
        <v>703</v>
      </c>
      <c r="D11" s="423" t="s">
        <v>2817</v>
      </c>
      <c r="E11" s="423" t="s">
        <v>2818</v>
      </c>
      <c r="F11" s="423">
        <v>32</v>
      </c>
      <c r="G11" s="423">
        <v>189</v>
      </c>
      <c r="H11" s="423">
        <v>324</v>
      </c>
      <c r="J11" s="423"/>
      <c r="K11" s="423"/>
      <c r="L11" s="423"/>
      <c r="M11" s="423"/>
      <c r="Q11" s="423"/>
      <c r="R11" s="424" t="s">
        <v>2866</v>
      </c>
      <c r="S11" s="424" t="s">
        <v>2820</v>
      </c>
      <c r="T11" s="424" t="s">
        <v>2821</v>
      </c>
      <c r="U11" s="424" t="s">
        <v>2822</v>
      </c>
      <c r="V11" s="424" t="s">
        <v>2823</v>
      </c>
      <c r="W11" s="424" t="s">
        <v>2824</v>
      </c>
      <c r="X11" s="424" t="s">
        <v>2825</v>
      </c>
      <c r="Y11" s="424" t="s">
        <v>2279</v>
      </c>
      <c r="Z11" s="424" t="s">
        <v>2826</v>
      </c>
      <c r="AA11" s="424" t="s">
        <v>2827</v>
      </c>
      <c r="AB11" s="424" t="s">
        <v>2867</v>
      </c>
      <c r="AC11" s="424" t="s">
        <v>1953</v>
      </c>
      <c r="AD11" s="424" t="s">
        <v>2829</v>
      </c>
      <c r="AE11" s="424" t="s">
        <v>2830</v>
      </c>
      <c r="AF11" s="424"/>
      <c r="AG11" s="424"/>
      <c r="AH11" s="424"/>
    </row>
    <row r="12" spans="1:34" x14ac:dyDescent="0.25">
      <c r="A12" s="423" t="s">
        <v>2815</v>
      </c>
      <c r="B12" s="423" t="s">
        <v>2868</v>
      </c>
      <c r="C12" s="423" t="s">
        <v>703</v>
      </c>
      <c r="D12" s="423" t="s">
        <v>2817</v>
      </c>
      <c r="E12" s="423" t="s">
        <v>2818</v>
      </c>
      <c r="F12" s="423">
        <v>32</v>
      </c>
      <c r="G12" s="423">
        <v>63</v>
      </c>
      <c r="H12" s="423">
        <v>344</v>
      </c>
      <c r="J12" s="423"/>
      <c r="K12" s="423"/>
      <c r="L12" s="423"/>
      <c r="M12" s="423"/>
      <c r="Q12" s="423"/>
      <c r="R12" s="424" t="s">
        <v>2869</v>
      </c>
      <c r="S12" s="424" t="s">
        <v>2846</v>
      </c>
      <c r="T12" s="424" t="s">
        <v>2870</v>
      </c>
      <c r="U12" s="424" t="s">
        <v>2822</v>
      </c>
      <c r="V12" s="424" t="s">
        <v>2871</v>
      </c>
      <c r="W12" s="424">
        <v>0</v>
      </c>
      <c r="X12" s="424" t="s">
        <v>2825</v>
      </c>
      <c r="Y12" s="424" t="s">
        <v>2279</v>
      </c>
      <c r="Z12" s="424" t="s">
        <v>2872</v>
      </c>
      <c r="AA12" s="424" t="s">
        <v>2873</v>
      </c>
      <c r="AB12" s="424" t="s">
        <v>2874</v>
      </c>
      <c r="AC12" s="424" t="s">
        <v>1953</v>
      </c>
      <c r="AD12" s="424" t="s">
        <v>2875</v>
      </c>
      <c r="AE12" s="424" t="s">
        <v>2876</v>
      </c>
      <c r="AF12" s="424"/>
      <c r="AG12" s="424"/>
      <c r="AH12" s="424"/>
    </row>
    <row r="13" spans="1:34" x14ac:dyDescent="0.25">
      <c r="A13" s="423" t="s">
        <v>2815</v>
      </c>
      <c r="B13" s="423" t="s">
        <v>2877</v>
      </c>
      <c r="C13" s="423" t="s">
        <v>703</v>
      </c>
      <c r="D13" s="423" t="s">
        <v>2817</v>
      </c>
      <c r="E13" s="423" t="s">
        <v>2818</v>
      </c>
      <c r="F13" s="423">
        <v>32</v>
      </c>
      <c r="G13" s="423">
        <v>63</v>
      </c>
      <c r="H13" s="423">
        <v>344</v>
      </c>
      <c r="J13" s="423"/>
      <c r="K13" s="423"/>
      <c r="L13" s="423"/>
      <c r="M13" s="423"/>
      <c r="Q13" s="423"/>
      <c r="R13" s="424" t="s">
        <v>2878</v>
      </c>
      <c r="S13" s="424" t="s">
        <v>2846</v>
      </c>
      <c r="T13" s="424" t="s">
        <v>2870</v>
      </c>
      <c r="U13" s="424" t="s">
        <v>2822</v>
      </c>
      <c r="V13" s="424" t="s">
        <v>2871</v>
      </c>
      <c r="W13" s="424">
        <v>0</v>
      </c>
      <c r="X13" s="424" t="s">
        <v>2825</v>
      </c>
      <c r="Y13" s="424" t="s">
        <v>2279</v>
      </c>
      <c r="Z13" s="424" t="s">
        <v>2872</v>
      </c>
      <c r="AA13" s="424" t="s">
        <v>2873</v>
      </c>
      <c r="AB13" s="424" t="s">
        <v>2879</v>
      </c>
      <c r="AC13" s="424" t="s">
        <v>1953</v>
      </c>
      <c r="AD13" s="424" t="s">
        <v>2875</v>
      </c>
      <c r="AE13" s="424" t="s">
        <v>2880</v>
      </c>
      <c r="AF13" s="424"/>
      <c r="AG13" s="424"/>
      <c r="AH13" s="424"/>
    </row>
    <row r="14" spans="1:34" x14ac:dyDescent="0.25">
      <c r="A14" s="423" t="s">
        <v>2815</v>
      </c>
      <c r="B14" s="423" t="s">
        <v>2881</v>
      </c>
      <c r="C14" s="423" t="s">
        <v>703</v>
      </c>
      <c r="D14" s="423" t="s">
        <v>2817</v>
      </c>
      <c r="E14" s="423" t="s">
        <v>2818</v>
      </c>
      <c r="F14" s="423">
        <v>32</v>
      </c>
      <c r="G14" s="423">
        <v>63</v>
      </c>
      <c r="H14" s="423">
        <v>344</v>
      </c>
      <c r="J14" s="423"/>
      <c r="K14" s="423"/>
      <c r="L14" s="423"/>
      <c r="M14" s="423"/>
      <c r="Q14" s="423"/>
      <c r="R14" s="424" t="s">
        <v>2882</v>
      </c>
      <c r="S14" s="424" t="s">
        <v>2846</v>
      </c>
      <c r="T14" s="424" t="s">
        <v>2870</v>
      </c>
      <c r="U14" s="424" t="s">
        <v>2822</v>
      </c>
      <c r="V14" s="424" t="s">
        <v>2871</v>
      </c>
      <c r="W14" s="424">
        <v>0</v>
      </c>
      <c r="X14" s="424" t="s">
        <v>2825</v>
      </c>
      <c r="Y14" s="424" t="s">
        <v>2279</v>
      </c>
      <c r="Z14" s="424" t="s">
        <v>2872</v>
      </c>
      <c r="AA14" s="424" t="s">
        <v>2873</v>
      </c>
      <c r="AB14" s="424" t="s">
        <v>2883</v>
      </c>
      <c r="AC14" s="424" t="s">
        <v>1953</v>
      </c>
      <c r="AD14" s="424" t="s">
        <v>2875</v>
      </c>
      <c r="AE14" s="424" t="s">
        <v>2876</v>
      </c>
      <c r="AF14" s="424"/>
      <c r="AG14" s="424"/>
      <c r="AH14" s="424"/>
    </row>
    <row r="15" spans="1:34" x14ac:dyDescent="0.25">
      <c r="A15" s="423" t="s">
        <v>2884</v>
      </c>
      <c r="B15" s="423" t="s">
        <v>2885</v>
      </c>
      <c r="C15" s="423" t="s">
        <v>988</v>
      </c>
      <c r="D15" s="423" t="s">
        <v>2886</v>
      </c>
      <c r="E15" s="423" t="s">
        <v>2818</v>
      </c>
      <c r="F15" s="423">
        <v>6</v>
      </c>
      <c r="G15" s="423">
        <v>33</v>
      </c>
      <c r="H15" s="423">
        <v>500</v>
      </c>
      <c r="J15" s="423"/>
      <c r="K15" s="423"/>
      <c r="L15" s="423"/>
      <c r="M15" s="423"/>
      <c r="Q15" s="423"/>
      <c r="R15" s="424" t="s">
        <v>2887</v>
      </c>
      <c r="S15" s="424" t="s">
        <v>2846</v>
      </c>
      <c r="T15" s="424" t="s">
        <v>2870</v>
      </c>
      <c r="U15" s="424" t="s">
        <v>2888</v>
      </c>
      <c r="V15" s="424" t="s">
        <v>988</v>
      </c>
      <c r="W15" s="424">
        <v>0</v>
      </c>
      <c r="X15" s="424" t="s">
        <v>2224</v>
      </c>
      <c r="Y15" s="424" t="s">
        <v>2279</v>
      </c>
      <c r="Z15" s="424" t="s">
        <v>2889</v>
      </c>
      <c r="AA15" s="424" t="s">
        <v>2890</v>
      </c>
      <c r="AB15" s="424" t="s">
        <v>2891</v>
      </c>
      <c r="AC15" s="424" t="s">
        <v>1953</v>
      </c>
      <c r="AD15" s="424" t="s">
        <v>2892</v>
      </c>
      <c r="AE15" s="424" t="s">
        <v>2893</v>
      </c>
      <c r="AF15" s="424"/>
      <c r="AG15" s="424"/>
      <c r="AH15" s="424"/>
    </row>
    <row r="16" spans="1:34" x14ac:dyDescent="0.25">
      <c r="A16" s="423" t="s">
        <v>2884</v>
      </c>
      <c r="B16" s="423" t="s">
        <v>2894</v>
      </c>
      <c r="C16" s="423" t="s">
        <v>988</v>
      </c>
      <c r="D16" s="423" t="s">
        <v>2886</v>
      </c>
      <c r="E16" s="423" t="s">
        <v>2818</v>
      </c>
      <c r="F16" s="423">
        <v>6</v>
      </c>
      <c r="G16" s="423">
        <v>33</v>
      </c>
      <c r="H16" s="423">
        <v>100</v>
      </c>
      <c r="J16" s="423"/>
      <c r="K16" s="423"/>
      <c r="L16" s="423"/>
      <c r="M16" s="423"/>
      <c r="Q16" s="423"/>
      <c r="R16" s="424" t="s">
        <v>2895</v>
      </c>
      <c r="S16" s="424" t="s">
        <v>2846</v>
      </c>
      <c r="T16" s="424" t="s">
        <v>2870</v>
      </c>
      <c r="U16" s="424" t="s">
        <v>2888</v>
      </c>
      <c r="V16" s="424" t="s">
        <v>988</v>
      </c>
      <c r="W16" s="424">
        <v>0</v>
      </c>
      <c r="X16" s="424" t="s">
        <v>2224</v>
      </c>
      <c r="Y16" s="424" t="s">
        <v>2279</v>
      </c>
      <c r="Z16" s="424" t="s">
        <v>2872</v>
      </c>
      <c r="AA16" s="424" t="s">
        <v>2873</v>
      </c>
      <c r="AB16" s="424" t="s">
        <v>2896</v>
      </c>
      <c r="AC16" s="424" t="s">
        <v>1953</v>
      </c>
      <c r="AD16" s="424" t="s">
        <v>2892</v>
      </c>
      <c r="AE16" s="424" t="s">
        <v>2897</v>
      </c>
      <c r="AF16" s="424"/>
      <c r="AG16" s="424"/>
      <c r="AH16" s="424"/>
    </row>
    <row r="17" spans="1:34" x14ac:dyDescent="0.25">
      <c r="A17" s="423" t="s">
        <v>2884</v>
      </c>
      <c r="B17" s="423" t="s">
        <v>2898</v>
      </c>
      <c r="C17" s="423" t="s">
        <v>988</v>
      </c>
      <c r="D17" s="423" t="s">
        <v>2886</v>
      </c>
      <c r="E17" s="423" t="s">
        <v>2818</v>
      </c>
      <c r="F17" s="423">
        <v>6</v>
      </c>
      <c r="G17" s="423">
        <v>33</v>
      </c>
      <c r="H17" s="423">
        <v>100</v>
      </c>
      <c r="J17" s="423"/>
      <c r="K17" s="423"/>
      <c r="L17" s="423"/>
      <c r="M17" s="423"/>
      <c r="Q17" s="423"/>
      <c r="R17" s="424" t="s">
        <v>2899</v>
      </c>
      <c r="S17" s="424" t="s">
        <v>2846</v>
      </c>
      <c r="T17" s="424" t="s">
        <v>2870</v>
      </c>
      <c r="U17" s="424" t="s">
        <v>2888</v>
      </c>
      <c r="V17" s="424" t="s">
        <v>988</v>
      </c>
      <c r="W17" s="424">
        <v>0</v>
      </c>
      <c r="X17" s="424" t="s">
        <v>2224</v>
      </c>
      <c r="Y17" s="424" t="s">
        <v>2279</v>
      </c>
      <c r="Z17" s="424" t="s">
        <v>2848</v>
      </c>
      <c r="AA17" s="424" t="s">
        <v>2855</v>
      </c>
      <c r="AB17" s="424" t="s">
        <v>2900</v>
      </c>
      <c r="AC17" s="424" t="s">
        <v>1953</v>
      </c>
      <c r="AD17" s="424" t="s">
        <v>2851</v>
      </c>
      <c r="AE17" s="424" t="s">
        <v>2901</v>
      </c>
      <c r="AF17" s="424"/>
      <c r="AG17" s="424"/>
      <c r="AH17" s="424"/>
    </row>
    <row r="18" spans="1:34" x14ac:dyDescent="0.25">
      <c r="A18" s="423" t="s">
        <v>2884</v>
      </c>
      <c r="B18" s="423" t="s">
        <v>2902</v>
      </c>
      <c r="C18" s="423" t="s">
        <v>988</v>
      </c>
      <c r="D18" s="423" t="s">
        <v>2886</v>
      </c>
      <c r="E18" s="423" t="s">
        <v>2818</v>
      </c>
      <c r="F18" s="423">
        <v>6</v>
      </c>
      <c r="G18" s="423">
        <v>33</v>
      </c>
      <c r="H18" s="423">
        <v>100</v>
      </c>
      <c r="J18" s="423"/>
      <c r="K18" s="423"/>
      <c r="L18" s="423"/>
      <c r="M18" s="423"/>
      <c r="Q18" s="423"/>
      <c r="R18" s="424" t="s">
        <v>2903</v>
      </c>
      <c r="S18" s="424" t="s">
        <v>2846</v>
      </c>
      <c r="T18" s="424" t="s">
        <v>2870</v>
      </c>
      <c r="U18" s="424" t="s">
        <v>2888</v>
      </c>
      <c r="V18" s="424" t="s">
        <v>988</v>
      </c>
      <c r="W18" s="424">
        <v>0</v>
      </c>
      <c r="X18" s="424" t="s">
        <v>2224</v>
      </c>
      <c r="Y18" s="424" t="s">
        <v>2279</v>
      </c>
      <c r="Z18" s="424" t="s">
        <v>2848</v>
      </c>
      <c r="AA18" s="424" t="s">
        <v>2855</v>
      </c>
      <c r="AB18" s="424" t="s">
        <v>2904</v>
      </c>
      <c r="AC18" s="424" t="s">
        <v>1953</v>
      </c>
      <c r="AD18" s="424" t="s">
        <v>2851</v>
      </c>
      <c r="AE18" s="424" t="s">
        <v>2901</v>
      </c>
      <c r="AF18" s="424"/>
      <c r="AG18" s="424"/>
      <c r="AH18" s="424"/>
    </row>
    <row r="19" spans="1:34" x14ac:dyDescent="0.25">
      <c r="A19" s="423" t="s">
        <v>2884</v>
      </c>
      <c r="B19" s="423" t="s">
        <v>2905</v>
      </c>
      <c r="C19" s="423" t="s">
        <v>988</v>
      </c>
      <c r="D19" s="423" t="s">
        <v>2886</v>
      </c>
      <c r="E19" s="423" t="s">
        <v>2818</v>
      </c>
      <c r="F19" s="423">
        <v>9</v>
      </c>
      <c r="G19" s="423">
        <v>52</v>
      </c>
      <c r="H19" s="423">
        <v>100</v>
      </c>
      <c r="J19" s="423"/>
      <c r="K19" s="423"/>
      <c r="L19" s="423"/>
      <c r="M19" s="423"/>
      <c r="Q19" s="423"/>
      <c r="R19" s="424" t="s">
        <v>2906</v>
      </c>
      <c r="S19" s="424" t="s">
        <v>2846</v>
      </c>
      <c r="T19" s="424" t="s">
        <v>2870</v>
      </c>
      <c r="U19" s="424" t="s">
        <v>2888</v>
      </c>
      <c r="V19" s="424" t="s">
        <v>988</v>
      </c>
      <c r="W19" s="424">
        <v>0</v>
      </c>
      <c r="X19" s="424" t="s">
        <v>2224</v>
      </c>
      <c r="Y19" s="424" t="s">
        <v>2279</v>
      </c>
      <c r="Z19" s="424" t="s">
        <v>2872</v>
      </c>
      <c r="AA19" s="424" t="s">
        <v>2873</v>
      </c>
      <c r="AB19" s="424" t="s">
        <v>2907</v>
      </c>
      <c r="AC19" s="424" t="s">
        <v>1953</v>
      </c>
      <c r="AD19" s="424" t="s">
        <v>2892</v>
      </c>
      <c r="AE19" s="424" t="s">
        <v>2897</v>
      </c>
      <c r="AF19" s="424"/>
      <c r="AG19" s="424"/>
      <c r="AH19" s="424"/>
    </row>
    <row r="20" spans="1:34" x14ac:dyDescent="0.25">
      <c r="A20" s="423" t="s">
        <v>2884</v>
      </c>
      <c r="B20" s="423" t="s">
        <v>2908</v>
      </c>
      <c r="C20" s="423" t="s">
        <v>988</v>
      </c>
      <c r="D20" s="423" t="s">
        <v>2886</v>
      </c>
      <c r="E20" s="423" t="s">
        <v>2818</v>
      </c>
      <c r="F20" s="423">
        <v>9</v>
      </c>
      <c r="G20" s="423">
        <v>52</v>
      </c>
      <c r="H20" s="423">
        <v>100</v>
      </c>
      <c r="J20" s="423"/>
      <c r="K20" s="423"/>
      <c r="L20" s="423"/>
      <c r="M20" s="423"/>
      <c r="Q20" s="423"/>
      <c r="R20" s="424" t="s">
        <v>2909</v>
      </c>
      <c r="S20" s="424" t="s">
        <v>2846</v>
      </c>
      <c r="T20" s="424" t="s">
        <v>2870</v>
      </c>
      <c r="U20" s="424" t="s">
        <v>2888</v>
      </c>
      <c r="V20" s="424" t="s">
        <v>988</v>
      </c>
      <c r="W20" s="424">
        <v>0</v>
      </c>
      <c r="X20" s="424" t="s">
        <v>2224</v>
      </c>
      <c r="Y20" s="424" t="s">
        <v>2279</v>
      </c>
      <c r="Z20" s="424" t="s">
        <v>2872</v>
      </c>
      <c r="AA20" s="424" t="s">
        <v>2873</v>
      </c>
      <c r="AB20" s="424" t="s">
        <v>2910</v>
      </c>
      <c r="AC20" s="424" t="s">
        <v>1953</v>
      </c>
      <c r="AD20" s="424" t="s">
        <v>2892</v>
      </c>
      <c r="AE20" s="424" t="s">
        <v>2897</v>
      </c>
      <c r="AF20" s="424"/>
      <c r="AG20" s="424"/>
      <c r="AH20" s="424"/>
    </row>
    <row r="21" spans="1:34" x14ac:dyDescent="0.25">
      <c r="A21" s="423" t="s">
        <v>2884</v>
      </c>
      <c r="B21" s="423" t="s">
        <v>2911</v>
      </c>
      <c r="C21" s="423" t="s">
        <v>988</v>
      </c>
      <c r="D21" s="423" t="s">
        <v>2886</v>
      </c>
      <c r="E21" s="423" t="s">
        <v>2818</v>
      </c>
      <c r="F21" s="423">
        <v>9</v>
      </c>
      <c r="G21" s="423">
        <v>52</v>
      </c>
      <c r="H21" s="423">
        <v>100</v>
      </c>
      <c r="J21" s="423"/>
      <c r="K21" s="423"/>
      <c r="L21" s="423"/>
      <c r="M21" s="423"/>
      <c r="Q21" s="423"/>
      <c r="R21" s="424" t="s">
        <v>2912</v>
      </c>
      <c r="S21" s="424" t="s">
        <v>2846</v>
      </c>
      <c r="T21" s="424" t="s">
        <v>2870</v>
      </c>
      <c r="U21" s="424" t="s">
        <v>2888</v>
      </c>
      <c r="V21" s="424" t="s">
        <v>988</v>
      </c>
      <c r="W21" s="424">
        <v>0</v>
      </c>
      <c r="X21" s="424" t="s">
        <v>2224</v>
      </c>
      <c r="Y21" s="424" t="s">
        <v>2279</v>
      </c>
      <c r="Z21" s="424" t="s">
        <v>2848</v>
      </c>
      <c r="AA21" s="424" t="s">
        <v>2855</v>
      </c>
      <c r="AB21" s="424" t="s">
        <v>2913</v>
      </c>
      <c r="AC21" s="424" t="s">
        <v>1953</v>
      </c>
      <c r="AD21" s="424" t="s">
        <v>2851</v>
      </c>
      <c r="AE21" s="424" t="s">
        <v>2901</v>
      </c>
      <c r="AF21" s="424"/>
      <c r="AG21" s="424"/>
      <c r="AH21" s="424"/>
    </row>
    <row r="22" spans="1:34" x14ac:dyDescent="0.25">
      <c r="A22" s="423" t="s">
        <v>2884</v>
      </c>
      <c r="B22" s="423" t="s">
        <v>2914</v>
      </c>
      <c r="C22" s="423" t="s">
        <v>988</v>
      </c>
      <c r="D22" s="423" t="s">
        <v>2886</v>
      </c>
      <c r="E22" s="423" t="s">
        <v>2818</v>
      </c>
      <c r="F22" s="423">
        <v>9</v>
      </c>
      <c r="G22" s="423">
        <v>18</v>
      </c>
      <c r="H22" s="423">
        <v>100</v>
      </c>
      <c r="J22" s="423"/>
      <c r="K22" s="423"/>
      <c r="L22" s="423"/>
      <c r="M22" s="423"/>
      <c r="Q22" s="423"/>
      <c r="R22" s="424" t="s">
        <v>2915</v>
      </c>
      <c r="S22" s="424" t="s">
        <v>2846</v>
      </c>
      <c r="T22" s="424" t="s">
        <v>2870</v>
      </c>
      <c r="U22" s="424" t="s">
        <v>2888</v>
      </c>
      <c r="V22" s="424" t="s">
        <v>988</v>
      </c>
      <c r="W22" s="424">
        <v>0</v>
      </c>
      <c r="X22" s="424" t="s">
        <v>2224</v>
      </c>
      <c r="Y22" s="424" t="s">
        <v>2279</v>
      </c>
      <c r="Z22" s="424" t="s">
        <v>2872</v>
      </c>
      <c r="AA22" s="424" t="s">
        <v>2873</v>
      </c>
      <c r="AB22" s="424" t="s">
        <v>2916</v>
      </c>
      <c r="AC22" s="424" t="s">
        <v>1953</v>
      </c>
      <c r="AD22" s="424" t="s">
        <v>2892</v>
      </c>
      <c r="AE22" s="424" t="s">
        <v>2897</v>
      </c>
      <c r="AF22" s="424"/>
      <c r="AG22" s="424"/>
      <c r="AH22" s="424"/>
    </row>
    <row r="23" spans="1:34" x14ac:dyDescent="0.25">
      <c r="A23" s="423" t="s">
        <v>2884</v>
      </c>
      <c r="B23" s="423" t="s">
        <v>2917</v>
      </c>
      <c r="C23" s="423" t="s">
        <v>988</v>
      </c>
      <c r="D23" s="423" t="s">
        <v>2886</v>
      </c>
      <c r="E23" s="423" t="s">
        <v>2818</v>
      </c>
      <c r="F23" s="423">
        <v>9</v>
      </c>
      <c r="G23" s="423">
        <v>18</v>
      </c>
      <c r="H23" s="423">
        <v>100</v>
      </c>
      <c r="J23" s="423"/>
      <c r="K23" s="423"/>
      <c r="L23" s="423"/>
      <c r="M23" s="423"/>
      <c r="Q23" s="423"/>
      <c r="R23" s="424" t="s">
        <v>2918</v>
      </c>
      <c r="S23" s="424" t="s">
        <v>2846</v>
      </c>
      <c r="T23" s="424" t="s">
        <v>2870</v>
      </c>
      <c r="U23" s="424" t="s">
        <v>2888</v>
      </c>
      <c r="V23" s="424" t="s">
        <v>988</v>
      </c>
      <c r="W23" s="424">
        <v>0</v>
      </c>
      <c r="X23" s="424" t="s">
        <v>2224</v>
      </c>
      <c r="Y23" s="424" t="s">
        <v>2279</v>
      </c>
      <c r="Z23" s="424" t="s">
        <v>2848</v>
      </c>
      <c r="AA23" s="424" t="s">
        <v>2855</v>
      </c>
      <c r="AB23" s="424" t="s">
        <v>2900</v>
      </c>
      <c r="AC23" s="424" t="s">
        <v>1953</v>
      </c>
      <c r="AD23" s="424" t="s">
        <v>2851</v>
      </c>
      <c r="AE23" s="424" t="s">
        <v>2901</v>
      </c>
      <c r="AF23" s="424"/>
      <c r="AG23" s="424"/>
      <c r="AH23" s="424"/>
    </row>
    <row r="24" spans="1:34" x14ac:dyDescent="0.25">
      <c r="A24" s="423" t="s">
        <v>2884</v>
      </c>
      <c r="B24" s="423" t="s">
        <v>2919</v>
      </c>
      <c r="C24" s="423" t="s">
        <v>988</v>
      </c>
      <c r="D24" s="423" t="s">
        <v>2886</v>
      </c>
      <c r="E24" s="423" t="s">
        <v>2818</v>
      </c>
      <c r="F24" s="423">
        <v>9</v>
      </c>
      <c r="G24" s="423">
        <v>18</v>
      </c>
      <c r="H24" s="423">
        <v>100</v>
      </c>
      <c r="J24" s="423"/>
      <c r="K24" s="423"/>
      <c r="L24" s="423"/>
      <c r="M24" s="423"/>
      <c r="Q24" s="423"/>
      <c r="R24" s="424" t="s">
        <v>2920</v>
      </c>
      <c r="S24" s="424" t="s">
        <v>2846</v>
      </c>
      <c r="T24" s="424" t="s">
        <v>2870</v>
      </c>
      <c r="U24" s="424" t="s">
        <v>2888</v>
      </c>
      <c r="V24" s="424" t="s">
        <v>988</v>
      </c>
      <c r="W24" s="424">
        <v>0</v>
      </c>
      <c r="X24" s="424" t="s">
        <v>2224</v>
      </c>
      <c r="Y24" s="424" t="s">
        <v>2279</v>
      </c>
      <c r="Z24" s="424" t="s">
        <v>2848</v>
      </c>
      <c r="AA24" s="424" t="s">
        <v>2855</v>
      </c>
      <c r="AB24" s="424" t="s">
        <v>2921</v>
      </c>
      <c r="AC24" s="424" t="s">
        <v>1953</v>
      </c>
      <c r="AD24" s="424" t="s">
        <v>2851</v>
      </c>
      <c r="AE24" s="424" t="s">
        <v>2901</v>
      </c>
      <c r="AF24" s="424"/>
      <c r="AG24" s="424"/>
      <c r="AH24" s="424"/>
    </row>
    <row r="25" spans="1:34" x14ac:dyDescent="0.25">
      <c r="A25" s="423" t="s">
        <v>1654</v>
      </c>
      <c r="B25" s="423" t="s">
        <v>2922</v>
      </c>
      <c r="C25" s="423" t="s">
        <v>988</v>
      </c>
      <c r="D25" s="423" t="s">
        <v>2886</v>
      </c>
      <c r="E25" s="423" t="s">
        <v>2818</v>
      </c>
      <c r="F25" s="423">
        <v>8</v>
      </c>
      <c r="G25" s="423">
        <v>16</v>
      </c>
      <c r="H25" s="423">
        <v>60</v>
      </c>
      <c r="J25" s="423"/>
      <c r="K25" s="423"/>
      <c r="L25" s="423"/>
      <c r="M25" s="423"/>
      <c r="Q25" s="423"/>
      <c r="R25" s="424" t="s">
        <v>2923</v>
      </c>
      <c r="S25" s="424" t="s">
        <v>2846</v>
      </c>
      <c r="T25" s="424" t="s">
        <v>2870</v>
      </c>
      <c r="U25" s="424">
        <v>0</v>
      </c>
      <c r="V25" s="424" t="s">
        <v>2924</v>
      </c>
      <c r="W25" s="424">
        <v>0</v>
      </c>
      <c r="X25" s="424">
        <v>0</v>
      </c>
      <c r="Y25" s="424" t="s">
        <v>2279</v>
      </c>
      <c r="Z25" s="424" t="s">
        <v>2872</v>
      </c>
      <c r="AA25" s="424" t="s">
        <v>2873</v>
      </c>
      <c r="AB25" s="424" t="s">
        <v>2925</v>
      </c>
      <c r="AC25" s="424" t="s">
        <v>1953</v>
      </c>
      <c r="AD25" s="424" t="s">
        <v>2892</v>
      </c>
      <c r="AE25" s="424" t="s">
        <v>2926</v>
      </c>
      <c r="AF25" s="424"/>
      <c r="AG25" s="424"/>
      <c r="AH25" s="424"/>
    </row>
    <row r="26" spans="1:34" x14ac:dyDescent="0.25">
      <c r="A26" s="423" t="s">
        <v>1654</v>
      </c>
      <c r="B26" s="423" t="s">
        <v>2927</v>
      </c>
      <c r="C26" s="423" t="s">
        <v>988</v>
      </c>
      <c r="D26" s="423" t="s">
        <v>2886</v>
      </c>
      <c r="E26" s="423" t="s">
        <v>2818</v>
      </c>
      <c r="F26" s="423">
        <v>8</v>
      </c>
      <c r="G26" s="423">
        <v>16</v>
      </c>
      <c r="H26" s="423">
        <v>60</v>
      </c>
      <c r="J26" s="423"/>
      <c r="K26" s="423"/>
      <c r="L26" s="423"/>
      <c r="M26" s="423"/>
      <c r="Q26" s="423"/>
      <c r="R26" s="424" t="s">
        <v>2928</v>
      </c>
      <c r="S26" s="424" t="s">
        <v>2846</v>
      </c>
      <c r="T26" s="424" t="s">
        <v>2870</v>
      </c>
      <c r="U26" s="424">
        <v>0</v>
      </c>
      <c r="V26" s="424" t="s">
        <v>2092</v>
      </c>
      <c r="W26" s="424">
        <v>0</v>
      </c>
      <c r="X26" s="424">
        <v>0</v>
      </c>
      <c r="Y26" s="424" t="s">
        <v>2279</v>
      </c>
      <c r="Z26" s="424" t="s">
        <v>2889</v>
      </c>
      <c r="AA26" s="424" t="s">
        <v>2890</v>
      </c>
      <c r="AB26" s="424" t="s">
        <v>2929</v>
      </c>
      <c r="AC26" s="424" t="s">
        <v>1953</v>
      </c>
      <c r="AD26" s="424" t="s">
        <v>2892</v>
      </c>
      <c r="AE26" s="424" t="s">
        <v>2930</v>
      </c>
      <c r="AF26" s="424"/>
      <c r="AG26" s="424"/>
      <c r="AH26" s="424"/>
    </row>
    <row r="27" spans="1:34" x14ac:dyDescent="0.25">
      <c r="A27" s="423" t="s">
        <v>1654</v>
      </c>
      <c r="B27" s="423" t="s">
        <v>2931</v>
      </c>
      <c r="C27" s="423" t="s">
        <v>988</v>
      </c>
      <c r="D27" s="423" t="s">
        <v>2886</v>
      </c>
      <c r="E27" s="423" t="s">
        <v>2818</v>
      </c>
      <c r="F27" s="423">
        <v>8</v>
      </c>
      <c r="G27" s="423">
        <v>16</v>
      </c>
      <c r="H27" s="423">
        <v>60</v>
      </c>
      <c r="J27" s="423"/>
      <c r="K27" s="423"/>
      <c r="L27" s="423"/>
      <c r="M27" s="423"/>
      <c r="Q27" s="423"/>
      <c r="R27" s="424" t="s">
        <v>2932</v>
      </c>
      <c r="S27" s="424" t="s">
        <v>2846</v>
      </c>
      <c r="T27" s="424" t="s">
        <v>2870</v>
      </c>
      <c r="U27" s="424">
        <v>0</v>
      </c>
      <c r="V27" s="424" t="s">
        <v>2924</v>
      </c>
      <c r="W27" s="424">
        <v>0</v>
      </c>
      <c r="X27" s="424">
        <v>0</v>
      </c>
      <c r="Y27" s="424" t="s">
        <v>2279</v>
      </c>
      <c r="Z27" s="424" t="s">
        <v>2872</v>
      </c>
      <c r="AA27" s="424" t="s">
        <v>2873</v>
      </c>
      <c r="AB27" s="424" t="s">
        <v>2933</v>
      </c>
      <c r="AC27" s="424" t="s">
        <v>1953</v>
      </c>
      <c r="AD27" s="424" t="s">
        <v>2892</v>
      </c>
      <c r="AE27" s="424" t="s">
        <v>2926</v>
      </c>
      <c r="AF27" s="424"/>
      <c r="AG27" s="424"/>
      <c r="AH27" s="424"/>
    </row>
    <row r="28" spans="1:34" x14ac:dyDescent="0.25">
      <c r="A28" s="423" t="s">
        <v>1654</v>
      </c>
      <c r="B28" s="423" t="s">
        <v>2934</v>
      </c>
      <c r="C28" s="423" t="s">
        <v>988</v>
      </c>
      <c r="D28" s="423" t="s">
        <v>2886</v>
      </c>
      <c r="E28" s="423" t="s">
        <v>2818</v>
      </c>
      <c r="F28" s="423">
        <v>8</v>
      </c>
      <c r="G28" s="423">
        <v>16</v>
      </c>
      <c r="H28" s="423">
        <v>60</v>
      </c>
      <c r="J28" s="423"/>
      <c r="K28" s="423"/>
      <c r="L28" s="423"/>
      <c r="M28" s="423"/>
      <c r="Q28" s="423"/>
      <c r="R28" s="424" t="s">
        <v>2935</v>
      </c>
      <c r="S28" s="424" t="s">
        <v>2846</v>
      </c>
      <c r="T28" s="424" t="s">
        <v>2870</v>
      </c>
      <c r="U28" s="424">
        <v>0</v>
      </c>
      <c r="V28" s="424" t="s">
        <v>2924</v>
      </c>
      <c r="W28" s="424">
        <v>0</v>
      </c>
      <c r="X28" s="424">
        <v>0</v>
      </c>
      <c r="Y28" s="424" t="s">
        <v>2279</v>
      </c>
      <c r="Z28" s="424" t="s">
        <v>2872</v>
      </c>
      <c r="AA28" s="424" t="s">
        <v>2873</v>
      </c>
      <c r="AB28" s="424" t="s">
        <v>2936</v>
      </c>
      <c r="AC28" s="424" t="s">
        <v>1953</v>
      </c>
      <c r="AD28" s="424" t="s">
        <v>2892</v>
      </c>
      <c r="AE28" s="424" t="s">
        <v>2926</v>
      </c>
      <c r="AF28" s="424"/>
      <c r="AG28" s="424"/>
      <c r="AH28" s="424"/>
    </row>
    <row r="29" spans="1:34" x14ac:dyDescent="0.25">
      <c r="A29" s="423" t="s">
        <v>1654</v>
      </c>
      <c r="B29" s="423" t="s">
        <v>2937</v>
      </c>
      <c r="C29" s="423" t="s">
        <v>988</v>
      </c>
      <c r="D29" s="423" t="s">
        <v>2886</v>
      </c>
      <c r="E29" s="423" t="s">
        <v>2818</v>
      </c>
      <c r="F29" s="423">
        <v>8</v>
      </c>
      <c r="G29" s="423">
        <v>16</v>
      </c>
      <c r="H29" s="423">
        <v>60</v>
      </c>
      <c r="J29" s="423"/>
      <c r="K29" s="423"/>
      <c r="L29" s="423"/>
      <c r="M29" s="423"/>
      <c r="Q29" s="423"/>
      <c r="R29" s="424" t="s">
        <v>2938</v>
      </c>
      <c r="S29" s="424" t="s">
        <v>2846</v>
      </c>
      <c r="T29" s="424" t="s">
        <v>2870</v>
      </c>
      <c r="U29" s="424">
        <v>0</v>
      </c>
      <c r="V29" s="424" t="s">
        <v>2092</v>
      </c>
      <c r="W29" s="424">
        <v>0</v>
      </c>
      <c r="X29" s="424">
        <v>0</v>
      </c>
      <c r="Y29" s="424" t="s">
        <v>2279</v>
      </c>
      <c r="Z29" s="424" t="s">
        <v>2889</v>
      </c>
      <c r="AA29" s="424" t="s">
        <v>2890</v>
      </c>
      <c r="AB29" s="424" t="s">
        <v>2939</v>
      </c>
      <c r="AC29" s="424" t="s">
        <v>1953</v>
      </c>
      <c r="AD29" s="424" t="s">
        <v>2892</v>
      </c>
      <c r="AE29" s="424" t="s">
        <v>2940</v>
      </c>
      <c r="AF29" s="424"/>
      <c r="AG29" s="424"/>
      <c r="AH29" s="424"/>
    </row>
    <row r="30" spans="1:34" x14ac:dyDescent="0.25">
      <c r="A30" s="423" t="s">
        <v>1654</v>
      </c>
      <c r="B30" s="423" t="s">
        <v>2941</v>
      </c>
      <c r="C30" s="423" t="s">
        <v>988</v>
      </c>
      <c r="D30" s="423" t="s">
        <v>2886</v>
      </c>
      <c r="E30" s="423" t="s">
        <v>2818</v>
      </c>
      <c r="F30" s="423">
        <v>8</v>
      </c>
      <c r="G30" s="423">
        <v>16</v>
      </c>
      <c r="H30" s="423">
        <v>60</v>
      </c>
      <c r="J30" s="423"/>
      <c r="K30" s="423"/>
      <c r="L30" s="423"/>
      <c r="M30" s="423"/>
      <c r="Q30" s="423"/>
      <c r="R30" s="424" t="s">
        <v>2942</v>
      </c>
      <c r="S30" s="424" t="s">
        <v>2846</v>
      </c>
      <c r="T30" s="424" t="s">
        <v>2870</v>
      </c>
      <c r="U30" s="424">
        <v>0</v>
      </c>
      <c r="V30" s="424" t="s">
        <v>2924</v>
      </c>
      <c r="W30" s="424">
        <v>0</v>
      </c>
      <c r="X30" s="424">
        <v>0</v>
      </c>
      <c r="Y30" s="424" t="s">
        <v>2279</v>
      </c>
      <c r="Z30" s="424" t="s">
        <v>2872</v>
      </c>
      <c r="AA30" s="424" t="s">
        <v>2873</v>
      </c>
      <c r="AB30" s="424" t="s">
        <v>2943</v>
      </c>
      <c r="AC30" s="424" t="s">
        <v>1953</v>
      </c>
      <c r="AD30" s="424" t="s">
        <v>2892</v>
      </c>
      <c r="AE30" s="424" t="s">
        <v>2944</v>
      </c>
      <c r="AF30" s="424"/>
      <c r="AG30" s="424"/>
      <c r="AH30" s="424"/>
    </row>
    <row r="31" spans="1:34" x14ac:dyDescent="0.25">
      <c r="A31" s="423" t="s">
        <v>1654</v>
      </c>
      <c r="B31" s="423" t="s">
        <v>2945</v>
      </c>
      <c r="C31" s="423" t="s">
        <v>988</v>
      </c>
      <c r="D31" s="423" t="s">
        <v>2886</v>
      </c>
      <c r="E31" s="423" t="s">
        <v>2818</v>
      </c>
      <c r="F31" s="423">
        <v>8</v>
      </c>
      <c r="G31" s="423">
        <v>16</v>
      </c>
      <c r="H31" s="423">
        <v>60</v>
      </c>
      <c r="J31" s="423"/>
      <c r="K31" s="423"/>
      <c r="L31" s="423"/>
      <c r="M31" s="423"/>
      <c r="Q31" s="423"/>
      <c r="R31" s="424" t="s">
        <v>2946</v>
      </c>
      <c r="S31" s="424" t="s">
        <v>2846</v>
      </c>
      <c r="T31" s="424" t="s">
        <v>2870</v>
      </c>
      <c r="U31" s="424">
        <v>0</v>
      </c>
      <c r="V31" s="424" t="s">
        <v>2092</v>
      </c>
      <c r="W31" s="424">
        <v>0</v>
      </c>
      <c r="X31" s="424">
        <v>0</v>
      </c>
      <c r="Y31" s="424" t="s">
        <v>2279</v>
      </c>
      <c r="Z31" s="424" t="s">
        <v>2889</v>
      </c>
      <c r="AA31" s="424" t="s">
        <v>2890</v>
      </c>
      <c r="AB31" s="424" t="s">
        <v>2947</v>
      </c>
      <c r="AC31" s="424" t="s">
        <v>1953</v>
      </c>
      <c r="AD31" s="424" t="s">
        <v>2892</v>
      </c>
      <c r="AE31" s="424" t="s">
        <v>2930</v>
      </c>
      <c r="AF31" s="424"/>
      <c r="AG31" s="424"/>
      <c r="AH31" s="424"/>
    </row>
    <row r="32" spans="1:34" x14ac:dyDescent="0.25">
      <c r="A32" s="423" t="s">
        <v>1654</v>
      </c>
      <c r="B32" s="423" t="s">
        <v>2948</v>
      </c>
      <c r="C32" s="423" t="s">
        <v>988</v>
      </c>
      <c r="D32" s="423" t="s">
        <v>2886</v>
      </c>
      <c r="E32" s="423" t="s">
        <v>2818</v>
      </c>
      <c r="F32" s="423">
        <v>8</v>
      </c>
      <c r="G32" s="423">
        <v>16</v>
      </c>
      <c r="H32" s="423">
        <v>60</v>
      </c>
      <c r="J32" s="423"/>
      <c r="K32" s="423"/>
      <c r="L32" s="423"/>
      <c r="M32" s="423"/>
      <c r="Q32" s="423"/>
      <c r="R32" s="424" t="s">
        <v>2949</v>
      </c>
      <c r="S32" s="424" t="s">
        <v>2846</v>
      </c>
      <c r="T32" s="424" t="s">
        <v>2870</v>
      </c>
      <c r="U32" s="424">
        <v>0</v>
      </c>
      <c r="V32" s="424" t="s">
        <v>2092</v>
      </c>
      <c r="W32" s="424">
        <v>0</v>
      </c>
      <c r="X32" s="424">
        <v>0</v>
      </c>
      <c r="Y32" s="424" t="s">
        <v>2279</v>
      </c>
      <c r="Z32" s="424" t="s">
        <v>2889</v>
      </c>
      <c r="AA32" s="424" t="s">
        <v>2890</v>
      </c>
      <c r="AB32" s="424" t="s">
        <v>2939</v>
      </c>
      <c r="AC32" s="424" t="s">
        <v>1953</v>
      </c>
      <c r="AD32" s="424" t="s">
        <v>2892</v>
      </c>
      <c r="AE32" s="424" t="s">
        <v>2940</v>
      </c>
      <c r="AF32" s="424"/>
      <c r="AG32" s="424"/>
      <c r="AH32" s="424"/>
    </row>
    <row r="33" spans="1:34" x14ac:dyDescent="0.25">
      <c r="A33" s="423" t="s">
        <v>1654</v>
      </c>
      <c r="B33" s="423" t="s">
        <v>2950</v>
      </c>
      <c r="C33" s="423" t="s">
        <v>988</v>
      </c>
      <c r="D33" s="423" t="s">
        <v>2886</v>
      </c>
      <c r="E33" s="423" t="s">
        <v>2818</v>
      </c>
      <c r="F33" s="423">
        <v>8</v>
      </c>
      <c r="G33" s="423">
        <v>16</v>
      </c>
      <c r="H33" s="423">
        <v>60</v>
      </c>
      <c r="J33" s="423"/>
      <c r="K33" s="423"/>
      <c r="L33" s="423"/>
      <c r="M33" s="423"/>
      <c r="Q33" s="423"/>
      <c r="R33" s="424" t="s">
        <v>2951</v>
      </c>
      <c r="S33" s="424" t="s">
        <v>2846</v>
      </c>
      <c r="T33" s="424" t="s">
        <v>2870</v>
      </c>
      <c r="U33" s="424">
        <v>0</v>
      </c>
      <c r="V33" s="424" t="s">
        <v>2924</v>
      </c>
      <c r="W33" s="424">
        <v>0</v>
      </c>
      <c r="X33" s="424">
        <v>0</v>
      </c>
      <c r="Y33" s="424" t="s">
        <v>2279</v>
      </c>
      <c r="Z33" s="424" t="s">
        <v>2872</v>
      </c>
      <c r="AA33" s="424" t="s">
        <v>2873</v>
      </c>
      <c r="AB33" s="424" t="s">
        <v>2943</v>
      </c>
      <c r="AC33" s="424" t="s">
        <v>1953</v>
      </c>
      <c r="AD33" s="424" t="s">
        <v>2892</v>
      </c>
      <c r="AE33" s="424" t="s">
        <v>2944</v>
      </c>
      <c r="AF33" s="424"/>
      <c r="AG33" s="424"/>
      <c r="AH33" s="424"/>
    </row>
    <row r="34" spans="1:34" x14ac:dyDescent="0.25">
      <c r="A34" s="423" t="s">
        <v>1654</v>
      </c>
      <c r="B34" s="423" t="s">
        <v>2952</v>
      </c>
      <c r="C34" s="423" t="s">
        <v>988</v>
      </c>
      <c r="D34" s="423" t="s">
        <v>2886</v>
      </c>
      <c r="E34" s="423" t="s">
        <v>2818</v>
      </c>
      <c r="F34" s="423">
        <v>8</v>
      </c>
      <c r="G34" s="423">
        <v>16</v>
      </c>
      <c r="H34" s="423">
        <v>60</v>
      </c>
      <c r="J34" s="423"/>
      <c r="K34" s="423"/>
      <c r="L34" s="423"/>
      <c r="M34" s="423"/>
      <c r="Q34" s="423"/>
      <c r="R34" s="424" t="s">
        <v>2953</v>
      </c>
      <c r="S34" s="424" t="s">
        <v>2846</v>
      </c>
      <c r="T34" s="424" t="s">
        <v>2870</v>
      </c>
      <c r="U34" s="424">
        <v>0</v>
      </c>
      <c r="V34" s="424" t="s">
        <v>2924</v>
      </c>
      <c r="W34" s="424">
        <v>0</v>
      </c>
      <c r="X34" s="424">
        <v>0</v>
      </c>
      <c r="Y34" s="424" t="s">
        <v>2279</v>
      </c>
      <c r="Z34" s="424" t="s">
        <v>2872</v>
      </c>
      <c r="AA34" s="424" t="s">
        <v>2873</v>
      </c>
      <c r="AB34" s="424" t="s">
        <v>2954</v>
      </c>
      <c r="AC34" s="424" t="s">
        <v>1953</v>
      </c>
      <c r="AD34" s="424" t="s">
        <v>2892</v>
      </c>
      <c r="AE34" s="424" t="s">
        <v>2944</v>
      </c>
      <c r="AF34" s="424"/>
      <c r="AG34" s="424"/>
      <c r="AH34" s="424"/>
    </row>
    <row r="35" spans="1:34" x14ac:dyDescent="0.25">
      <c r="A35" s="423" t="s">
        <v>1654</v>
      </c>
      <c r="B35" s="423" t="s">
        <v>2955</v>
      </c>
      <c r="C35" s="423" t="s">
        <v>988</v>
      </c>
      <c r="D35" s="423" t="s">
        <v>2886</v>
      </c>
      <c r="E35" s="423" t="s">
        <v>2818</v>
      </c>
      <c r="F35" s="423">
        <v>8</v>
      </c>
      <c r="G35" s="423">
        <v>16</v>
      </c>
      <c r="H35" s="423">
        <v>60</v>
      </c>
      <c r="J35" s="423"/>
      <c r="K35" s="423"/>
      <c r="L35" s="423"/>
      <c r="M35" s="423"/>
      <c r="Q35" s="423"/>
      <c r="R35" s="424" t="s">
        <v>2956</v>
      </c>
      <c r="S35" s="424" t="s">
        <v>2846</v>
      </c>
      <c r="T35" s="424" t="s">
        <v>2870</v>
      </c>
      <c r="U35" s="424">
        <v>0</v>
      </c>
      <c r="V35" s="424" t="s">
        <v>2092</v>
      </c>
      <c r="W35" s="424">
        <v>0</v>
      </c>
      <c r="X35" s="424">
        <v>0</v>
      </c>
      <c r="Y35" s="424" t="s">
        <v>2279</v>
      </c>
      <c r="Z35" s="424" t="s">
        <v>2889</v>
      </c>
      <c r="AA35" s="424" t="s">
        <v>2890</v>
      </c>
      <c r="AB35" s="424" t="s">
        <v>2947</v>
      </c>
      <c r="AC35" s="424" t="s">
        <v>1953</v>
      </c>
      <c r="AD35" s="424" t="s">
        <v>2892</v>
      </c>
      <c r="AE35" s="424" t="s">
        <v>2930</v>
      </c>
      <c r="AF35" s="424"/>
      <c r="AG35" s="424"/>
      <c r="AH35" s="424"/>
    </row>
    <row r="36" spans="1:34" x14ac:dyDescent="0.25">
      <c r="A36" s="423" t="s">
        <v>1654</v>
      </c>
      <c r="B36" s="423" t="s">
        <v>2957</v>
      </c>
      <c r="C36" s="423" t="s">
        <v>988</v>
      </c>
      <c r="D36" s="423" t="s">
        <v>2886</v>
      </c>
      <c r="E36" s="423" t="s">
        <v>2818</v>
      </c>
      <c r="F36" s="423">
        <v>8</v>
      </c>
      <c r="G36" s="423">
        <v>16</v>
      </c>
      <c r="H36" s="423">
        <v>60</v>
      </c>
      <c r="J36" s="423"/>
      <c r="K36" s="423"/>
      <c r="L36" s="423"/>
      <c r="M36" s="423"/>
      <c r="Q36" s="423"/>
      <c r="R36" s="424" t="s">
        <v>2958</v>
      </c>
      <c r="S36" s="424" t="s">
        <v>2846</v>
      </c>
      <c r="T36" s="424" t="s">
        <v>2870</v>
      </c>
      <c r="U36" s="424">
        <v>0</v>
      </c>
      <c r="V36" s="424" t="s">
        <v>2924</v>
      </c>
      <c r="W36" s="424">
        <v>0</v>
      </c>
      <c r="X36" s="424">
        <v>0</v>
      </c>
      <c r="Y36" s="424" t="s">
        <v>2279</v>
      </c>
      <c r="Z36" s="424" t="s">
        <v>2872</v>
      </c>
      <c r="AA36" s="424" t="s">
        <v>2873</v>
      </c>
      <c r="AB36" s="424" t="s">
        <v>2933</v>
      </c>
      <c r="AC36" s="424" t="s">
        <v>1953</v>
      </c>
      <c r="AD36" s="424" t="s">
        <v>2892</v>
      </c>
      <c r="AE36" s="424" t="s">
        <v>2926</v>
      </c>
      <c r="AF36" s="424"/>
      <c r="AG36" s="424"/>
      <c r="AH36" s="424"/>
    </row>
    <row r="37" spans="1:34" x14ac:dyDescent="0.25">
      <c r="A37" s="423" t="s">
        <v>1654</v>
      </c>
      <c r="B37" s="423" t="s">
        <v>2959</v>
      </c>
      <c r="C37" s="423" t="s">
        <v>988</v>
      </c>
      <c r="D37" s="423" t="s">
        <v>2886</v>
      </c>
      <c r="E37" s="423" t="s">
        <v>2818</v>
      </c>
      <c r="F37" s="423">
        <v>8</v>
      </c>
      <c r="G37" s="423">
        <v>16</v>
      </c>
      <c r="H37" s="423">
        <v>60</v>
      </c>
      <c r="J37" s="423"/>
      <c r="K37" s="423"/>
      <c r="L37" s="423"/>
      <c r="M37" s="423"/>
      <c r="Q37" s="423"/>
      <c r="R37" s="424" t="s">
        <v>2960</v>
      </c>
      <c r="S37" s="424" t="s">
        <v>2846</v>
      </c>
      <c r="T37" s="424" t="s">
        <v>2870</v>
      </c>
      <c r="U37" s="424">
        <v>0</v>
      </c>
      <c r="V37" s="424" t="s">
        <v>2092</v>
      </c>
      <c r="W37" s="424">
        <v>0</v>
      </c>
      <c r="X37" s="424">
        <v>0</v>
      </c>
      <c r="Y37" s="424" t="s">
        <v>2279</v>
      </c>
      <c r="Z37" s="424" t="s">
        <v>2872</v>
      </c>
      <c r="AA37" s="424" t="s">
        <v>2873</v>
      </c>
      <c r="AB37" s="424" t="s">
        <v>2961</v>
      </c>
      <c r="AC37" s="424" t="s">
        <v>1953</v>
      </c>
      <c r="AD37" s="424" t="s">
        <v>2892</v>
      </c>
      <c r="AE37" s="424" t="s">
        <v>2962</v>
      </c>
      <c r="AF37" s="424"/>
      <c r="AG37" s="424"/>
      <c r="AH37" s="424"/>
    </row>
    <row r="38" spans="1:34" x14ac:dyDescent="0.25">
      <c r="A38" s="423" t="s">
        <v>1654</v>
      </c>
      <c r="B38" s="423" t="s">
        <v>2963</v>
      </c>
      <c r="C38" s="423" t="s">
        <v>988</v>
      </c>
      <c r="D38" s="423" t="s">
        <v>2886</v>
      </c>
      <c r="E38" s="423" t="s">
        <v>2818</v>
      </c>
      <c r="F38" s="423">
        <v>8</v>
      </c>
      <c r="G38" s="423">
        <v>8</v>
      </c>
      <c r="H38" s="423">
        <v>60</v>
      </c>
      <c r="J38" s="423"/>
      <c r="K38" s="423"/>
      <c r="L38" s="423"/>
      <c r="M38" s="423"/>
      <c r="Q38" s="423"/>
      <c r="R38" s="424" t="s">
        <v>2964</v>
      </c>
      <c r="S38" s="424" t="s">
        <v>2846</v>
      </c>
      <c r="T38" s="424" t="s">
        <v>2870</v>
      </c>
      <c r="U38" s="424">
        <v>0</v>
      </c>
      <c r="V38" s="424" t="s">
        <v>2092</v>
      </c>
      <c r="W38" s="424">
        <v>0</v>
      </c>
      <c r="X38" s="424">
        <v>0</v>
      </c>
      <c r="Y38" s="424" t="s">
        <v>2279</v>
      </c>
      <c r="Z38" s="424" t="s">
        <v>2889</v>
      </c>
      <c r="AA38" s="424" t="s">
        <v>2890</v>
      </c>
      <c r="AB38" s="424" t="s">
        <v>2947</v>
      </c>
      <c r="AC38" s="424" t="s">
        <v>1953</v>
      </c>
      <c r="AD38" s="424" t="s">
        <v>2892</v>
      </c>
      <c r="AE38" s="424" t="s">
        <v>2930</v>
      </c>
      <c r="AF38" s="424"/>
      <c r="AG38" s="424"/>
      <c r="AH38" s="424"/>
    </row>
    <row r="39" spans="1:34" x14ac:dyDescent="0.25">
      <c r="A39" s="423" t="s">
        <v>1654</v>
      </c>
      <c r="B39" s="423" t="s">
        <v>2965</v>
      </c>
      <c r="C39" s="423" t="s">
        <v>988</v>
      </c>
      <c r="D39" s="423" t="s">
        <v>2886</v>
      </c>
      <c r="E39" s="423" t="s">
        <v>2818</v>
      </c>
      <c r="F39" s="423">
        <v>8</v>
      </c>
      <c r="G39" s="423">
        <v>16</v>
      </c>
      <c r="H39" s="423">
        <v>60</v>
      </c>
      <c r="J39" s="423"/>
      <c r="K39" s="423"/>
      <c r="L39" s="423"/>
      <c r="M39" s="423"/>
      <c r="Q39" s="423"/>
      <c r="R39" s="424" t="s">
        <v>2966</v>
      </c>
      <c r="S39" s="424" t="s">
        <v>2846</v>
      </c>
      <c r="T39" s="424" t="s">
        <v>2870</v>
      </c>
      <c r="U39" s="424">
        <v>0</v>
      </c>
      <c r="V39" s="424" t="s">
        <v>2924</v>
      </c>
      <c r="W39" s="424">
        <v>0</v>
      </c>
      <c r="X39" s="424">
        <v>0</v>
      </c>
      <c r="Y39" s="424" t="s">
        <v>2279</v>
      </c>
      <c r="Z39" s="424" t="s">
        <v>2872</v>
      </c>
      <c r="AA39" s="424" t="s">
        <v>2873</v>
      </c>
      <c r="AB39" s="424" t="s">
        <v>2967</v>
      </c>
      <c r="AC39" s="424" t="s">
        <v>1953</v>
      </c>
      <c r="AD39" s="424" t="s">
        <v>2892</v>
      </c>
      <c r="AE39" s="424" t="s">
        <v>2968</v>
      </c>
      <c r="AF39" s="424"/>
      <c r="AG39" s="424"/>
      <c r="AH39" s="424"/>
    </row>
    <row r="40" spans="1:34" x14ac:dyDescent="0.25">
      <c r="A40" s="423" t="s">
        <v>1654</v>
      </c>
      <c r="B40" s="423" t="s">
        <v>2969</v>
      </c>
      <c r="C40" s="423" t="s">
        <v>988</v>
      </c>
      <c r="D40" s="423" t="s">
        <v>2886</v>
      </c>
      <c r="E40" s="423" t="s">
        <v>2818</v>
      </c>
      <c r="F40" s="423">
        <v>8</v>
      </c>
      <c r="G40" s="423">
        <v>16</v>
      </c>
      <c r="H40" s="423">
        <v>60</v>
      </c>
      <c r="J40" s="423"/>
      <c r="K40" s="423"/>
      <c r="L40" s="423"/>
      <c r="M40" s="423"/>
      <c r="Q40" s="423"/>
      <c r="R40" s="424" t="s">
        <v>2970</v>
      </c>
      <c r="S40" s="424" t="s">
        <v>2846</v>
      </c>
      <c r="T40" s="424" t="s">
        <v>2870</v>
      </c>
      <c r="U40" s="424">
        <v>0</v>
      </c>
      <c r="V40" s="424" t="s">
        <v>2924</v>
      </c>
      <c r="W40" s="424">
        <v>0</v>
      </c>
      <c r="X40" s="424">
        <v>0</v>
      </c>
      <c r="Y40" s="424" t="s">
        <v>2279</v>
      </c>
      <c r="Z40" s="424" t="s">
        <v>2872</v>
      </c>
      <c r="AA40" s="424" t="s">
        <v>2873</v>
      </c>
      <c r="AB40" s="424" t="s">
        <v>2936</v>
      </c>
      <c r="AC40" s="424" t="s">
        <v>1953</v>
      </c>
      <c r="AD40" s="424" t="s">
        <v>2892</v>
      </c>
      <c r="AE40" s="424" t="s">
        <v>2926</v>
      </c>
      <c r="AF40" s="424"/>
      <c r="AG40" s="424"/>
      <c r="AH40" s="424"/>
    </row>
    <row r="41" spans="1:34" x14ac:dyDescent="0.25">
      <c r="A41" s="423" t="s">
        <v>1654</v>
      </c>
      <c r="B41" s="423" t="s">
        <v>2971</v>
      </c>
      <c r="C41" s="423" t="s">
        <v>988</v>
      </c>
      <c r="D41" s="423" t="s">
        <v>2886</v>
      </c>
      <c r="E41" s="423" t="s">
        <v>2818</v>
      </c>
      <c r="F41" s="423">
        <v>8</v>
      </c>
      <c r="G41" s="423">
        <v>16</v>
      </c>
      <c r="H41" s="423">
        <v>60</v>
      </c>
      <c r="J41" s="423"/>
      <c r="K41" s="423"/>
      <c r="L41" s="423"/>
      <c r="M41" s="423"/>
      <c r="Q41" s="423"/>
      <c r="R41" s="424" t="s">
        <v>2972</v>
      </c>
      <c r="S41" s="424" t="s">
        <v>2846</v>
      </c>
      <c r="T41" s="424" t="s">
        <v>2870</v>
      </c>
      <c r="U41" s="424">
        <v>0</v>
      </c>
      <c r="V41" s="424" t="s">
        <v>2973</v>
      </c>
      <c r="W41" s="424" t="s">
        <v>2974</v>
      </c>
      <c r="X41" s="424" t="e">
        <v>#N/A</v>
      </c>
      <c r="Y41" s="424" t="s">
        <v>2279</v>
      </c>
      <c r="Z41" s="424" t="s">
        <v>2889</v>
      </c>
      <c r="AA41" s="424" t="s">
        <v>2890</v>
      </c>
      <c r="AB41" s="424" t="s">
        <v>2947</v>
      </c>
      <c r="AC41" s="424" t="s">
        <v>1953</v>
      </c>
      <c r="AD41" s="424" t="s">
        <v>2892</v>
      </c>
      <c r="AE41" s="424" t="s">
        <v>2930</v>
      </c>
      <c r="AF41" s="424"/>
      <c r="AG41" s="424"/>
      <c r="AH41" s="424"/>
    </row>
    <row r="42" spans="1:34" x14ac:dyDescent="0.25">
      <c r="A42" s="423" t="s">
        <v>2975</v>
      </c>
      <c r="B42" s="423" t="s">
        <v>2976</v>
      </c>
      <c r="C42" s="423" t="s">
        <v>988</v>
      </c>
      <c r="D42" s="423" t="s">
        <v>2886</v>
      </c>
      <c r="E42" s="423" t="s">
        <v>2818</v>
      </c>
      <c r="F42" s="423" t="s">
        <v>2977</v>
      </c>
      <c r="G42" s="423">
        <v>192</v>
      </c>
      <c r="H42" s="423">
        <v>500</v>
      </c>
      <c r="J42" s="423"/>
      <c r="K42" s="423"/>
      <c r="L42" s="423"/>
      <c r="M42" s="423"/>
      <c r="Q42" s="423"/>
      <c r="R42" s="424" t="s">
        <v>2978</v>
      </c>
      <c r="S42" s="424" t="s">
        <v>2820</v>
      </c>
      <c r="T42" s="424" t="s">
        <v>2821</v>
      </c>
      <c r="U42" s="424" t="s">
        <v>2979</v>
      </c>
      <c r="V42" s="424" t="s">
        <v>2823</v>
      </c>
      <c r="W42" s="424" t="s">
        <v>2824</v>
      </c>
      <c r="X42" s="424" t="s">
        <v>2825</v>
      </c>
      <c r="Y42" s="424" t="s">
        <v>2279</v>
      </c>
      <c r="Z42" s="424" t="s">
        <v>2826</v>
      </c>
      <c r="AA42" s="424" t="s">
        <v>2827</v>
      </c>
      <c r="AB42" s="424" t="s">
        <v>2980</v>
      </c>
      <c r="AC42" s="424" t="s">
        <v>1953</v>
      </c>
      <c r="AD42" s="424" t="s">
        <v>2829</v>
      </c>
      <c r="AE42" s="424" t="s">
        <v>2981</v>
      </c>
      <c r="AF42" s="424"/>
      <c r="AG42" s="424"/>
      <c r="AH42" s="424"/>
    </row>
    <row r="43" spans="1:34" x14ac:dyDescent="0.25">
      <c r="A43" s="423" t="s">
        <v>2975</v>
      </c>
      <c r="B43" s="423" t="s">
        <v>2982</v>
      </c>
      <c r="C43" s="423" t="s">
        <v>988</v>
      </c>
      <c r="D43" s="423" t="s">
        <v>2886</v>
      </c>
      <c r="E43" s="423" t="s">
        <v>2818</v>
      </c>
      <c r="F43" s="423" t="s">
        <v>2977</v>
      </c>
      <c r="G43" s="423">
        <v>192</v>
      </c>
      <c r="H43" s="423">
        <v>500</v>
      </c>
      <c r="J43" s="423"/>
      <c r="K43" s="423"/>
      <c r="L43" s="423"/>
      <c r="M43" s="423"/>
      <c r="Q43" s="423"/>
      <c r="R43" s="424" t="s">
        <v>2983</v>
      </c>
      <c r="S43" s="424" t="s">
        <v>2820</v>
      </c>
      <c r="T43" s="424" t="s">
        <v>2821</v>
      </c>
      <c r="U43" s="424" t="s">
        <v>2979</v>
      </c>
      <c r="V43" s="424" t="s">
        <v>2823</v>
      </c>
      <c r="W43" s="424" t="s">
        <v>2824</v>
      </c>
      <c r="X43" s="424" t="s">
        <v>2825</v>
      </c>
      <c r="Y43" s="424" t="s">
        <v>2279</v>
      </c>
      <c r="Z43" s="424" t="s">
        <v>2826</v>
      </c>
      <c r="AA43" s="424" t="s">
        <v>2827</v>
      </c>
      <c r="AB43" s="424" t="s">
        <v>2984</v>
      </c>
      <c r="AC43" s="424" t="s">
        <v>1953</v>
      </c>
      <c r="AD43" s="424" t="s">
        <v>2829</v>
      </c>
      <c r="AE43" s="424" t="s">
        <v>2981</v>
      </c>
      <c r="AF43" s="424"/>
      <c r="AG43" s="424"/>
      <c r="AH43" s="424"/>
    </row>
    <row r="44" spans="1:34" x14ac:dyDescent="0.25">
      <c r="A44" s="423" t="s">
        <v>2975</v>
      </c>
      <c r="B44" s="423" t="s">
        <v>2985</v>
      </c>
      <c r="C44" s="423" t="s">
        <v>988</v>
      </c>
      <c r="D44" s="423" t="s">
        <v>2886</v>
      </c>
      <c r="E44" s="423" t="s">
        <v>2818</v>
      </c>
      <c r="F44" s="423" t="s">
        <v>2977</v>
      </c>
      <c r="G44" s="423">
        <v>192</v>
      </c>
      <c r="H44" s="423">
        <v>500</v>
      </c>
      <c r="J44" s="423"/>
      <c r="K44" s="423"/>
      <c r="L44" s="423"/>
      <c r="M44" s="423"/>
      <c r="Q44" s="423"/>
      <c r="R44" s="424" t="s">
        <v>2986</v>
      </c>
      <c r="S44" s="424" t="s">
        <v>2820</v>
      </c>
      <c r="T44" s="424" t="s">
        <v>2821</v>
      </c>
      <c r="U44" s="424" t="s">
        <v>2979</v>
      </c>
      <c r="V44" s="424" t="s">
        <v>2823</v>
      </c>
      <c r="W44" s="424" t="s">
        <v>2824</v>
      </c>
      <c r="X44" s="424" t="s">
        <v>2825</v>
      </c>
      <c r="Y44" s="424" t="s">
        <v>2279</v>
      </c>
      <c r="Z44" s="424" t="s">
        <v>2826</v>
      </c>
      <c r="AA44" s="424" t="s">
        <v>2827</v>
      </c>
      <c r="AB44" s="424" t="s">
        <v>2987</v>
      </c>
      <c r="AC44" s="424" t="s">
        <v>1953</v>
      </c>
      <c r="AD44" s="424" t="s">
        <v>2829</v>
      </c>
      <c r="AE44" s="424" t="s">
        <v>2981</v>
      </c>
      <c r="AF44" s="424"/>
      <c r="AG44" s="424"/>
      <c r="AH44" s="424"/>
    </row>
    <row r="45" spans="1:34" x14ac:dyDescent="0.25">
      <c r="A45" s="423" t="s">
        <v>2975</v>
      </c>
      <c r="B45" s="423" t="s">
        <v>2988</v>
      </c>
      <c r="C45" s="423" t="s">
        <v>988</v>
      </c>
      <c r="D45" s="423" t="s">
        <v>2886</v>
      </c>
      <c r="E45" s="423" t="s">
        <v>2818</v>
      </c>
      <c r="F45" s="423" t="s">
        <v>2977</v>
      </c>
      <c r="G45" s="423">
        <v>192</v>
      </c>
      <c r="H45" s="423">
        <v>500</v>
      </c>
      <c r="J45" s="423"/>
      <c r="K45" s="423"/>
      <c r="L45" s="423"/>
      <c r="M45" s="423"/>
      <c r="Q45" s="423"/>
      <c r="R45" s="424" t="s">
        <v>2989</v>
      </c>
      <c r="S45" s="424" t="s">
        <v>2820</v>
      </c>
      <c r="T45" s="424" t="s">
        <v>2821</v>
      </c>
      <c r="U45" s="424" t="s">
        <v>2979</v>
      </c>
      <c r="V45" s="424" t="s">
        <v>2823</v>
      </c>
      <c r="W45" s="424" t="s">
        <v>2824</v>
      </c>
      <c r="X45" s="424" t="s">
        <v>2825</v>
      </c>
      <c r="Y45" s="424" t="s">
        <v>2279</v>
      </c>
      <c r="Z45" s="424" t="s">
        <v>2826</v>
      </c>
      <c r="AA45" s="424" t="s">
        <v>2827</v>
      </c>
      <c r="AB45" s="424" t="s">
        <v>2990</v>
      </c>
      <c r="AC45" s="424" t="s">
        <v>1953</v>
      </c>
      <c r="AD45" s="424" t="s">
        <v>2829</v>
      </c>
      <c r="AE45" s="424" t="s">
        <v>2991</v>
      </c>
      <c r="AF45" s="424"/>
      <c r="AG45" s="424"/>
      <c r="AH45" s="424"/>
    </row>
    <row r="46" spans="1:34" x14ac:dyDescent="0.25">
      <c r="A46" s="423" t="s">
        <v>2975</v>
      </c>
      <c r="B46" s="423" t="s">
        <v>2992</v>
      </c>
      <c r="C46" s="423" t="s">
        <v>988</v>
      </c>
      <c r="D46" s="423" t="s">
        <v>2886</v>
      </c>
      <c r="E46" s="423" t="s">
        <v>2818</v>
      </c>
      <c r="F46" s="423" t="s">
        <v>2977</v>
      </c>
      <c r="G46" s="423">
        <v>192</v>
      </c>
      <c r="H46" s="423">
        <v>500</v>
      </c>
      <c r="J46" s="423"/>
      <c r="K46" s="423"/>
      <c r="L46" s="423"/>
      <c r="M46" s="423"/>
      <c r="Q46" s="423"/>
      <c r="R46" s="424" t="s">
        <v>2993</v>
      </c>
      <c r="S46" s="424" t="s">
        <v>2820</v>
      </c>
      <c r="T46" s="424" t="s">
        <v>2821</v>
      </c>
      <c r="U46" s="424" t="s">
        <v>2979</v>
      </c>
      <c r="V46" s="424" t="s">
        <v>2823</v>
      </c>
      <c r="W46" s="424" t="s">
        <v>2824</v>
      </c>
      <c r="X46" s="424" t="s">
        <v>2825</v>
      </c>
      <c r="Y46" s="424" t="s">
        <v>2279</v>
      </c>
      <c r="Z46" s="424" t="s">
        <v>2826</v>
      </c>
      <c r="AA46" s="424" t="s">
        <v>2827</v>
      </c>
      <c r="AB46" s="424" t="s">
        <v>2994</v>
      </c>
      <c r="AC46" s="424" t="s">
        <v>1953</v>
      </c>
      <c r="AD46" s="424" t="s">
        <v>2829</v>
      </c>
      <c r="AE46" s="424" t="s">
        <v>2991</v>
      </c>
      <c r="AF46" s="424"/>
      <c r="AG46" s="424"/>
      <c r="AH46" s="424"/>
    </row>
    <row r="47" spans="1:34" x14ac:dyDescent="0.25">
      <c r="A47" s="423" t="s">
        <v>2975</v>
      </c>
      <c r="B47" s="423" t="s">
        <v>2995</v>
      </c>
      <c r="C47" s="423" t="s">
        <v>988</v>
      </c>
      <c r="D47" s="423" t="s">
        <v>2886</v>
      </c>
      <c r="E47" s="423" t="s">
        <v>2818</v>
      </c>
      <c r="F47" s="423" t="s">
        <v>2996</v>
      </c>
      <c r="G47" s="423">
        <v>192</v>
      </c>
      <c r="H47" s="423">
        <v>500</v>
      </c>
      <c r="J47" s="423"/>
      <c r="K47" s="423"/>
      <c r="L47" s="423"/>
      <c r="M47" s="423"/>
      <c r="Q47" s="423"/>
      <c r="R47" s="424" t="s">
        <v>2997</v>
      </c>
      <c r="S47" s="424" t="s">
        <v>2820</v>
      </c>
      <c r="T47" s="424" t="s">
        <v>2821</v>
      </c>
      <c r="U47" s="424" t="s">
        <v>2979</v>
      </c>
      <c r="V47" s="424" t="s">
        <v>2823</v>
      </c>
      <c r="W47" s="424" t="s">
        <v>2824</v>
      </c>
      <c r="X47" s="424" t="s">
        <v>2825</v>
      </c>
      <c r="Y47" s="424" t="s">
        <v>2279</v>
      </c>
      <c r="Z47" s="424" t="s">
        <v>2826</v>
      </c>
      <c r="AA47" s="424" t="s">
        <v>2827</v>
      </c>
      <c r="AB47" s="424" t="s">
        <v>2998</v>
      </c>
      <c r="AC47" s="424" t="s">
        <v>1953</v>
      </c>
      <c r="AD47" s="424" t="s">
        <v>2829</v>
      </c>
      <c r="AE47" s="424" t="s">
        <v>2981</v>
      </c>
      <c r="AF47" s="424"/>
      <c r="AG47" s="424"/>
      <c r="AH47" s="424"/>
    </row>
    <row r="48" spans="1:34" x14ac:dyDescent="0.25">
      <c r="A48" s="423" t="s">
        <v>2975</v>
      </c>
      <c r="B48" s="423" t="s">
        <v>2999</v>
      </c>
      <c r="C48" s="423" t="s">
        <v>988</v>
      </c>
      <c r="D48" s="423" t="s">
        <v>2886</v>
      </c>
      <c r="E48" s="423" t="s">
        <v>2818</v>
      </c>
      <c r="F48" s="423" t="s">
        <v>2996</v>
      </c>
      <c r="G48" s="423">
        <v>192</v>
      </c>
      <c r="H48" s="423">
        <v>500</v>
      </c>
      <c r="J48" s="423"/>
      <c r="K48" s="423"/>
      <c r="L48" s="423"/>
      <c r="M48" s="423"/>
      <c r="Q48" s="423"/>
      <c r="R48" s="424" t="s">
        <v>3000</v>
      </c>
      <c r="S48" s="424" t="s">
        <v>2820</v>
      </c>
      <c r="T48" s="424" t="s">
        <v>2821</v>
      </c>
      <c r="U48" s="424" t="s">
        <v>2979</v>
      </c>
      <c r="V48" s="424" t="s">
        <v>2823</v>
      </c>
      <c r="W48" s="424" t="s">
        <v>2824</v>
      </c>
      <c r="X48" s="424" t="s">
        <v>2825</v>
      </c>
      <c r="Y48" s="424" t="s">
        <v>2279</v>
      </c>
      <c r="Z48" s="424" t="s">
        <v>2826</v>
      </c>
      <c r="AA48" s="424" t="s">
        <v>2827</v>
      </c>
      <c r="AB48" s="424" t="s">
        <v>3001</v>
      </c>
      <c r="AC48" s="424" t="s">
        <v>1953</v>
      </c>
      <c r="AD48" s="424" t="s">
        <v>2829</v>
      </c>
      <c r="AE48" s="424" t="s">
        <v>2991</v>
      </c>
      <c r="AF48" s="424"/>
      <c r="AG48" s="424"/>
      <c r="AH48" s="424"/>
    </row>
    <row r="49" spans="1:34" x14ac:dyDescent="0.25">
      <c r="A49" s="423" t="s">
        <v>2975</v>
      </c>
      <c r="B49" s="423" t="s">
        <v>3002</v>
      </c>
      <c r="C49" s="423" t="s">
        <v>988</v>
      </c>
      <c r="D49" s="423" t="s">
        <v>2886</v>
      </c>
      <c r="E49" s="423" t="s">
        <v>2818</v>
      </c>
      <c r="F49" s="423" t="s">
        <v>2977</v>
      </c>
      <c r="G49" s="423">
        <v>256</v>
      </c>
      <c r="H49" s="423">
        <v>500</v>
      </c>
      <c r="J49" s="423"/>
      <c r="K49" s="423"/>
      <c r="L49" s="423"/>
      <c r="M49" s="423"/>
      <c r="Q49" s="423"/>
      <c r="R49" s="424" t="s">
        <v>3003</v>
      </c>
      <c r="S49" s="424" t="s">
        <v>2820</v>
      </c>
      <c r="T49" s="424" t="s">
        <v>2821</v>
      </c>
      <c r="U49" s="424" t="s">
        <v>2979</v>
      </c>
      <c r="V49" s="424" t="s">
        <v>2823</v>
      </c>
      <c r="W49" s="424" t="s">
        <v>2824</v>
      </c>
      <c r="X49" s="424" t="s">
        <v>2825</v>
      </c>
      <c r="Y49" s="424" t="s">
        <v>2279</v>
      </c>
      <c r="Z49" s="424" t="s">
        <v>2826</v>
      </c>
      <c r="AA49" s="424" t="s">
        <v>2827</v>
      </c>
      <c r="AB49" s="424" t="s">
        <v>3004</v>
      </c>
      <c r="AC49" s="424" t="s">
        <v>1953</v>
      </c>
      <c r="AD49" s="424" t="s">
        <v>2829</v>
      </c>
      <c r="AE49" s="424" t="s">
        <v>2981</v>
      </c>
      <c r="AF49" s="424"/>
      <c r="AG49" s="424"/>
      <c r="AH49" s="424"/>
    </row>
    <row r="50" spans="1:34" x14ac:dyDescent="0.25">
      <c r="A50" s="423" t="s">
        <v>2975</v>
      </c>
      <c r="B50" s="423" t="s">
        <v>3005</v>
      </c>
      <c r="C50" s="423" t="s">
        <v>988</v>
      </c>
      <c r="D50" s="423" t="s">
        <v>2886</v>
      </c>
      <c r="E50" s="423" t="s">
        <v>2818</v>
      </c>
      <c r="F50" s="423" t="s">
        <v>2977</v>
      </c>
      <c r="G50" s="423">
        <v>256</v>
      </c>
      <c r="H50" s="423">
        <v>500</v>
      </c>
      <c r="J50" s="423"/>
      <c r="K50" s="423"/>
      <c r="L50" s="423"/>
      <c r="M50" s="423"/>
      <c r="Q50" s="423"/>
      <c r="R50" s="424" t="s">
        <v>3006</v>
      </c>
      <c r="S50" s="424" t="s">
        <v>2820</v>
      </c>
      <c r="T50" s="424" t="s">
        <v>2821</v>
      </c>
      <c r="U50" s="424" t="s">
        <v>2979</v>
      </c>
      <c r="V50" s="424" t="s">
        <v>2823</v>
      </c>
      <c r="W50" s="424" t="s">
        <v>2824</v>
      </c>
      <c r="X50" s="424" t="s">
        <v>2825</v>
      </c>
      <c r="Y50" s="424" t="s">
        <v>2279</v>
      </c>
      <c r="Z50" s="424" t="s">
        <v>2826</v>
      </c>
      <c r="AA50" s="424" t="s">
        <v>2827</v>
      </c>
      <c r="AB50" s="424" t="s">
        <v>3007</v>
      </c>
      <c r="AC50" s="424" t="s">
        <v>1953</v>
      </c>
      <c r="AD50" s="424" t="s">
        <v>2829</v>
      </c>
      <c r="AE50" s="424" t="s">
        <v>2981</v>
      </c>
      <c r="AF50" s="424"/>
      <c r="AG50" s="424"/>
      <c r="AH50" s="424"/>
    </row>
    <row r="51" spans="1:34" x14ac:dyDescent="0.25">
      <c r="A51" s="423" t="s">
        <v>2975</v>
      </c>
      <c r="B51" s="423" t="s">
        <v>3008</v>
      </c>
      <c r="C51" s="423" t="s">
        <v>988</v>
      </c>
      <c r="D51" s="423" t="s">
        <v>2886</v>
      </c>
      <c r="E51" s="423" t="s">
        <v>2818</v>
      </c>
      <c r="F51" s="423" t="s">
        <v>2977</v>
      </c>
      <c r="G51" s="423">
        <v>256</v>
      </c>
      <c r="H51" s="423">
        <v>500</v>
      </c>
      <c r="J51" s="423"/>
      <c r="K51" s="423"/>
      <c r="L51" s="423"/>
      <c r="M51" s="423"/>
      <c r="Q51" s="423"/>
      <c r="R51" s="424" t="s">
        <v>3009</v>
      </c>
      <c r="S51" s="424" t="s">
        <v>2820</v>
      </c>
      <c r="T51" s="424" t="s">
        <v>2821</v>
      </c>
      <c r="U51" s="424">
        <v>0</v>
      </c>
      <c r="V51" s="424" t="s">
        <v>2823</v>
      </c>
      <c r="W51" s="424" t="s">
        <v>2824</v>
      </c>
      <c r="X51" s="424" t="s">
        <v>2825</v>
      </c>
      <c r="Y51" s="424" t="s">
        <v>2279</v>
      </c>
      <c r="Z51" s="424" t="s">
        <v>2826</v>
      </c>
      <c r="AA51" s="424" t="s">
        <v>2827</v>
      </c>
      <c r="AB51" s="424" t="s">
        <v>3010</v>
      </c>
      <c r="AC51" s="424" t="s">
        <v>1953</v>
      </c>
      <c r="AD51" s="424" t="s">
        <v>2829</v>
      </c>
      <c r="AE51" s="424" t="s">
        <v>2991</v>
      </c>
      <c r="AF51" s="424"/>
      <c r="AG51" s="424"/>
      <c r="AH51" s="424"/>
    </row>
    <row r="52" spans="1:34" x14ac:dyDescent="0.25">
      <c r="A52" s="423" t="s">
        <v>2975</v>
      </c>
      <c r="B52" s="423" t="s">
        <v>3011</v>
      </c>
      <c r="C52" s="423" t="s">
        <v>988</v>
      </c>
      <c r="D52" s="423" t="s">
        <v>2886</v>
      </c>
      <c r="E52" s="423" t="s">
        <v>2818</v>
      </c>
      <c r="F52" s="423" t="s">
        <v>2977</v>
      </c>
      <c r="G52" s="423">
        <v>256</v>
      </c>
      <c r="H52" s="423">
        <v>500</v>
      </c>
      <c r="J52" s="423"/>
      <c r="K52" s="423"/>
      <c r="L52" s="423"/>
      <c r="M52" s="423"/>
      <c r="Q52" s="423"/>
      <c r="R52" s="424" t="s">
        <v>3012</v>
      </c>
      <c r="S52" s="424" t="s">
        <v>2820</v>
      </c>
      <c r="T52" s="424" t="s">
        <v>2821</v>
      </c>
      <c r="U52" s="424">
        <v>0</v>
      </c>
      <c r="V52" s="424" t="s">
        <v>2823</v>
      </c>
      <c r="W52" s="424" t="s">
        <v>2824</v>
      </c>
      <c r="X52" s="424" t="s">
        <v>2825</v>
      </c>
      <c r="Y52" s="424" t="s">
        <v>2279</v>
      </c>
      <c r="Z52" s="424" t="s">
        <v>2826</v>
      </c>
      <c r="AA52" s="424" t="s">
        <v>2827</v>
      </c>
      <c r="AB52" s="424" t="s">
        <v>3013</v>
      </c>
      <c r="AC52" s="424" t="s">
        <v>1953</v>
      </c>
      <c r="AD52" s="424" t="s">
        <v>2829</v>
      </c>
      <c r="AE52" s="424" t="s">
        <v>2991</v>
      </c>
      <c r="AF52" s="424"/>
      <c r="AG52" s="424"/>
      <c r="AH52" s="424"/>
    </row>
    <row r="53" spans="1:34" x14ac:dyDescent="0.25">
      <c r="A53" s="423" t="s">
        <v>2975</v>
      </c>
      <c r="B53" s="423" t="s">
        <v>3014</v>
      </c>
      <c r="C53" s="423" t="s">
        <v>988</v>
      </c>
      <c r="D53" s="423" t="s">
        <v>2886</v>
      </c>
      <c r="E53" s="423" t="s">
        <v>2818</v>
      </c>
      <c r="F53" s="423" t="s">
        <v>2996</v>
      </c>
      <c r="G53" s="423">
        <v>256</v>
      </c>
      <c r="H53" s="423">
        <v>500</v>
      </c>
      <c r="J53" s="423"/>
      <c r="K53" s="423"/>
      <c r="L53" s="423"/>
      <c r="M53" s="423"/>
      <c r="Q53" s="423"/>
      <c r="R53" s="424" t="s">
        <v>3015</v>
      </c>
      <c r="S53" s="424" t="s">
        <v>2820</v>
      </c>
      <c r="T53" s="424" t="s">
        <v>2821</v>
      </c>
      <c r="U53" s="424">
        <v>0</v>
      </c>
      <c r="V53" s="424" t="s">
        <v>2823</v>
      </c>
      <c r="W53" s="424" t="s">
        <v>2824</v>
      </c>
      <c r="X53" s="424" t="s">
        <v>2825</v>
      </c>
      <c r="Y53" s="424" t="s">
        <v>2279</v>
      </c>
      <c r="Z53" s="424" t="s">
        <v>2826</v>
      </c>
      <c r="AA53" s="424" t="s">
        <v>2827</v>
      </c>
      <c r="AB53" s="424" t="s">
        <v>3016</v>
      </c>
      <c r="AC53" s="424" t="s">
        <v>1953</v>
      </c>
      <c r="AD53" s="424" t="s">
        <v>2829</v>
      </c>
      <c r="AE53" s="424" t="s">
        <v>3017</v>
      </c>
      <c r="AF53" s="424"/>
      <c r="AG53" s="424"/>
      <c r="AH53" s="424"/>
    </row>
    <row r="54" spans="1:34" x14ac:dyDescent="0.25">
      <c r="A54" s="423" t="s">
        <v>2975</v>
      </c>
      <c r="B54" s="423" t="s">
        <v>3018</v>
      </c>
      <c r="C54" s="423" t="s">
        <v>988</v>
      </c>
      <c r="D54" s="423" t="s">
        <v>2886</v>
      </c>
      <c r="E54" s="423" t="s">
        <v>2818</v>
      </c>
      <c r="F54" s="423" t="s">
        <v>2996</v>
      </c>
      <c r="G54" s="423">
        <v>256</v>
      </c>
      <c r="H54" s="423">
        <v>500</v>
      </c>
      <c r="J54" s="423"/>
      <c r="K54" s="423"/>
      <c r="L54" s="423"/>
      <c r="M54" s="423"/>
      <c r="Q54" s="423"/>
      <c r="R54" s="424" t="s">
        <v>3019</v>
      </c>
      <c r="S54" s="424" t="s">
        <v>2820</v>
      </c>
      <c r="T54" s="424" t="s">
        <v>2821</v>
      </c>
      <c r="U54" s="424">
        <v>0</v>
      </c>
      <c r="V54" s="424" t="s">
        <v>2823</v>
      </c>
      <c r="W54" s="424" t="s">
        <v>2824</v>
      </c>
      <c r="X54" s="424" t="s">
        <v>2825</v>
      </c>
      <c r="Y54" s="424" t="s">
        <v>2279</v>
      </c>
      <c r="Z54" s="424" t="s">
        <v>2826</v>
      </c>
      <c r="AA54" s="424" t="s">
        <v>2827</v>
      </c>
      <c r="AB54" s="424" t="s">
        <v>3020</v>
      </c>
      <c r="AC54" s="424" t="s">
        <v>1953</v>
      </c>
      <c r="AD54" s="424" t="s">
        <v>2829</v>
      </c>
      <c r="AE54" s="424" t="s">
        <v>3017</v>
      </c>
      <c r="AF54" s="424"/>
      <c r="AG54" s="424"/>
      <c r="AH54" s="424"/>
    </row>
    <row r="55" spans="1:34" x14ac:dyDescent="0.25">
      <c r="A55" s="423" t="s">
        <v>2975</v>
      </c>
      <c r="B55" s="423" t="s">
        <v>3021</v>
      </c>
      <c r="C55" s="423" t="s">
        <v>988</v>
      </c>
      <c r="D55" s="423" t="s">
        <v>2886</v>
      </c>
      <c r="E55" s="423" t="s">
        <v>2818</v>
      </c>
      <c r="F55" s="423" t="s">
        <v>2996</v>
      </c>
      <c r="G55" s="423">
        <v>256</v>
      </c>
      <c r="H55" s="423">
        <v>500</v>
      </c>
      <c r="J55" s="423"/>
      <c r="K55" s="423"/>
      <c r="L55" s="423"/>
      <c r="M55" s="423"/>
      <c r="Q55" s="423"/>
      <c r="R55" s="424" t="s">
        <v>3022</v>
      </c>
      <c r="S55" s="424" t="s">
        <v>2820</v>
      </c>
      <c r="T55" s="424" t="s">
        <v>2821</v>
      </c>
      <c r="U55" s="424">
        <v>0</v>
      </c>
      <c r="V55" s="424" t="s">
        <v>2823</v>
      </c>
      <c r="W55" s="424" t="s">
        <v>2824</v>
      </c>
      <c r="X55" s="424" t="s">
        <v>2825</v>
      </c>
      <c r="Y55" s="424" t="s">
        <v>2279</v>
      </c>
      <c r="Z55" s="424" t="s">
        <v>2826</v>
      </c>
      <c r="AA55" s="424" t="s">
        <v>2827</v>
      </c>
      <c r="AB55" s="424" t="s">
        <v>3023</v>
      </c>
      <c r="AC55" s="424" t="s">
        <v>1953</v>
      </c>
      <c r="AD55" s="424" t="s">
        <v>2829</v>
      </c>
      <c r="AE55" s="424" t="s">
        <v>3017</v>
      </c>
      <c r="AF55" s="424"/>
      <c r="AG55" s="424"/>
      <c r="AH55" s="424"/>
    </row>
    <row r="56" spans="1:34" x14ac:dyDescent="0.25">
      <c r="A56" s="423" t="s">
        <v>2975</v>
      </c>
      <c r="B56" s="423" t="s">
        <v>3024</v>
      </c>
      <c r="C56" s="423" t="s">
        <v>988</v>
      </c>
      <c r="D56" s="423" t="s">
        <v>2886</v>
      </c>
      <c r="E56" s="423" t="s">
        <v>2818</v>
      </c>
      <c r="F56" s="423" t="s">
        <v>2996</v>
      </c>
      <c r="G56" s="423">
        <v>256</v>
      </c>
      <c r="H56" s="423">
        <v>500</v>
      </c>
      <c r="J56" s="423"/>
      <c r="K56" s="423"/>
      <c r="L56" s="423"/>
      <c r="M56" s="423"/>
      <c r="Q56" s="423"/>
      <c r="R56" s="424" t="s">
        <v>3025</v>
      </c>
      <c r="S56" s="424" t="s">
        <v>2820</v>
      </c>
      <c r="T56" s="424" t="s">
        <v>2821</v>
      </c>
      <c r="U56" s="424">
        <v>0</v>
      </c>
      <c r="V56" s="424" t="s">
        <v>2823</v>
      </c>
      <c r="W56" s="424" t="s">
        <v>2824</v>
      </c>
      <c r="X56" s="424" t="s">
        <v>2825</v>
      </c>
      <c r="Y56" s="424" t="s">
        <v>2279</v>
      </c>
      <c r="Z56" s="424" t="s">
        <v>2826</v>
      </c>
      <c r="AA56" s="424" t="s">
        <v>2827</v>
      </c>
      <c r="AB56" s="424" t="s">
        <v>3026</v>
      </c>
      <c r="AC56" s="424" t="s">
        <v>1953</v>
      </c>
      <c r="AD56" s="424" t="s">
        <v>2829</v>
      </c>
      <c r="AE56" s="424" t="s">
        <v>3017</v>
      </c>
      <c r="AF56" s="424"/>
      <c r="AG56" s="424"/>
      <c r="AH56" s="424"/>
    </row>
    <row r="57" spans="1:34" x14ac:dyDescent="0.25">
      <c r="A57" s="423" t="s">
        <v>2975</v>
      </c>
      <c r="B57" s="423" t="s">
        <v>3027</v>
      </c>
      <c r="C57" s="423" t="s">
        <v>988</v>
      </c>
      <c r="D57" s="423" t="s">
        <v>2886</v>
      </c>
      <c r="E57" s="423" t="s">
        <v>2818</v>
      </c>
      <c r="F57" s="423" t="s">
        <v>2996</v>
      </c>
      <c r="G57" s="423">
        <v>256</v>
      </c>
      <c r="H57" s="423">
        <v>500</v>
      </c>
      <c r="J57" s="423"/>
      <c r="K57" s="423"/>
      <c r="L57" s="423"/>
      <c r="M57" s="423"/>
      <c r="Q57" s="423"/>
      <c r="R57" s="424" t="s">
        <v>3028</v>
      </c>
      <c r="S57" s="424" t="s">
        <v>2820</v>
      </c>
      <c r="T57" s="424" t="s">
        <v>2821</v>
      </c>
      <c r="U57" s="424">
        <v>0</v>
      </c>
      <c r="V57" s="424" t="s">
        <v>2823</v>
      </c>
      <c r="W57" s="424" t="s">
        <v>2824</v>
      </c>
      <c r="X57" s="424" t="s">
        <v>2825</v>
      </c>
      <c r="Y57" s="424" t="s">
        <v>2279</v>
      </c>
      <c r="Z57" s="424" t="s">
        <v>2826</v>
      </c>
      <c r="AA57" s="424" t="s">
        <v>2827</v>
      </c>
      <c r="AB57" s="424" t="s">
        <v>3029</v>
      </c>
      <c r="AC57" s="424" t="s">
        <v>1953</v>
      </c>
      <c r="AD57" s="424" t="s">
        <v>2829</v>
      </c>
      <c r="AE57" s="424" t="s">
        <v>3030</v>
      </c>
      <c r="AF57" s="424"/>
      <c r="AG57" s="424"/>
      <c r="AH57" s="424"/>
    </row>
    <row r="58" spans="1:34" x14ac:dyDescent="0.25">
      <c r="A58" s="423" t="s">
        <v>2975</v>
      </c>
      <c r="B58" s="423" t="s">
        <v>3031</v>
      </c>
      <c r="C58" s="423" t="s">
        <v>988</v>
      </c>
      <c r="D58" s="423" t="s">
        <v>2886</v>
      </c>
      <c r="E58" s="423" t="s">
        <v>2818</v>
      </c>
      <c r="F58" s="423" t="s">
        <v>2996</v>
      </c>
      <c r="G58" s="423">
        <v>256</v>
      </c>
      <c r="H58" s="423">
        <v>500</v>
      </c>
      <c r="J58" s="423"/>
      <c r="K58" s="423"/>
      <c r="L58" s="423"/>
      <c r="M58" s="423"/>
      <c r="Q58" s="423"/>
      <c r="R58" s="424" t="s">
        <v>3032</v>
      </c>
      <c r="S58" s="424" t="s">
        <v>2820</v>
      </c>
      <c r="T58" s="424" t="s">
        <v>2821</v>
      </c>
      <c r="U58" s="424">
        <v>0</v>
      </c>
      <c r="V58" s="424" t="s">
        <v>2823</v>
      </c>
      <c r="W58" s="424" t="s">
        <v>2824</v>
      </c>
      <c r="X58" s="424" t="s">
        <v>2825</v>
      </c>
      <c r="Y58" s="424" t="s">
        <v>2279</v>
      </c>
      <c r="Z58" s="424" t="s">
        <v>2826</v>
      </c>
      <c r="AA58" s="424" t="s">
        <v>2827</v>
      </c>
      <c r="AB58" s="424" t="s">
        <v>3033</v>
      </c>
      <c r="AC58" s="424" t="s">
        <v>1953</v>
      </c>
      <c r="AD58" s="424" t="s">
        <v>2829</v>
      </c>
      <c r="AE58" s="424" t="s">
        <v>3030</v>
      </c>
      <c r="AF58" s="424"/>
      <c r="AG58" s="424"/>
      <c r="AH58" s="424"/>
    </row>
    <row r="59" spans="1:34" x14ac:dyDescent="0.25">
      <c r="A59" s="423" t="s">
        <v>2975</v>
      </c>
      <c r="B59" s="423" t="s">
        <v>3034</v>
      </c>
      <c r="C59" s="423" t="s">
        <v>988</v>
      </c>
      <c r="D59" s="423" t="s">
        <v>2886</v>
      </c>
      <c r="E59" s="423" t="s">
        <v>2818</v>
      </c>
      <c r="F59" s="423" t="s">
        <v>2996</v>
      </c>
      <c r="G59" s="423">
        <v>256</v>
      </c>
      <c r="H59" s="423">
        <v>500</v>
      </c>
      <c r="J59" s="423"/>
      <c r="K59" s="423"/>
      <c r="L59" s="423"/>
      <c r="M59" s="423"/>
      <c r="Q59" s="423"/>
      <c r="R59" s="424" t="s">
        <v>3035</v>
      </c>
      <c r="S59" s="424" t="s">
        <v>2820</v>
      </c>
      <c r="T59" s="424" t="s">
        <v>2821</v>
      </c>
      <c r="U59" s="424">
        <v>0</v>
      </c>
      <c r="V59" s="424" t="s">
        <v>2823</v>
      </c>
      <c r="W59" s="424" t="s">
        <v>2824</v>
      </c>
      <c r="X59" s="424" t="s">
        <v>2825</v>
      </c>
      <c r="Y59" s="424" t="s">
        <v>2279</v>
      </c>
      <c r="Z59" s="424" t="s">
        <v>2826</v>
      </c>
      <c r="AA59" s="424" t="s">
        <v>2827</v>
      </c>
      <c r="AB59" s="424" t="s">
        <v>3036</v>
      </c>
      <c r="AC59" s="424" t="s">
        <v>1953</v>
      </c>
      <c r="AD59" s="424" t="s">
        <v>2829</v>
      </c>
      <c r="AE59" s="424" t="s">
        <v>3030</v>
      </c>
      <c r="AF59" s="424"/>
      <c r="AG59" s="424"/>
      <c r="AH59" s="424"/>
    </row>
    <row r="60" spans="1:34" x14ac:dyDescent="0.25">
      <c r="A60" s="423" t="s">
        <v>2975</v>
      </c>
      <c r="B60" s="423" t="s">
        <v>3037</v>
      </c>
      <c r="C60" s="423" t="s">
        <v>988</v>
      </c>
      <c r="D60" s="423" t="s">
        <v>2886</v>
      </c>
      <c r="E60" s="423" t="s">
        <v>2818</v>
      </c>
      <c r="F60" s="423" t="s">
        <v>2996</v>
      </c>
      <c r="G60" s="423">
        <v>256</v>
      </c>
      <c r="H60" s="423">
        <v>500</v>
      </c>
      <c r="J60" s="423"/>
      <c r="K60" s="423"/>
      <c r="L60" s="423"/>
      <c r="M60" s="423"/>
      <c r="Q60" s="423"/>
      <c r="R60" s="424" t="s">
        <v>3038</v>
      </c>
      <c r="S60" s="424" t="s">
        <v>2820</v>
      </c>
      <c r="T60" s="424" t="s">
        <v>2821</v>
      </c>
      <c r="U60" s="424">
        <v>0</v>
      </c>
      <c r="V60" s="424" t="s">
        <v>2823</v>
      </c>
      <c r="W60" s="424" t="s">
        <v>2824</v>
      </c>
      <c r="X60" s="424" t="s">
        <v>2825</v>
      </c>
      <c r="Y60" s="424" t="s">
        <v>2279</v>
      </c>
      <c r="Z60" s="424" t="s">
        <v>2826</v>
      </c>
      <c r="AA60" s="424" t="s">
        <v>2827</v>
      </c>
      <c r="AB60" s="424" t="s">
        <v>3039</v>
      </c>
      <c r="AC60" s="424" t="s">
        <v>1953</v>
      </c>
      <c r="AD60" s="424" t="s">
        <v>2829</v>
      </c>
      <c r="AE60" s="424" t="s">
        <v>3030</v>
      </c>
      <c r="AF60" s="424"/>
      <c r="AG60" s="424"/>
      <c r="AH60" s="424"/>
    </row>
    <row r="61" spans="1:34" x14ac:dyDescent="0.25">
      <c r="A61" s="423" t="s">
        <v>2975</v>
      </c>
      <c r="B61" s="423" t="s">
        <v>3040</v>
      </c>
      <c r="C61" s="423" t="s">
        <v>988</v>
      </c>
      <c r="D61" s="423" t="s">
        <v>2886</v>
      </c>
      <c r="E61" s="423" t="s">
        <v>2818</v>
      </c>
      <c r="F61" s="423" t="s">
        <v>2996</v>
      </c>
      <c r="G61" s="423">
        <v>256</v>
      </c>
      <c r="H61" s="423">
        <v>500</v>
      </c>
      <c r="J61" s="423"/>
      <c r="K61" s="423"/>
      <c r="L61" s="423"/>
      <c r="M61" s="423"/>
      <c r="Q61" s="423"/>
      <c r="R61" s="424" t="s">
        <v>3041</v>
      </c>
      <c r="S61" s="424" t="s">
        <v>2820</v>
      </c>
      <c r="T61" s="424" t="s">
        <v>2821</v>
      </c>
      <c r="U61" s="424">
        <v>0</v>
      </c>
      <c r="V61" s="424" t="s">
        <v>2823</v>
      </c>
      <c r="W61" s="424" t="s">
        <v>2824</v>
      </c>
      <c r="X61" s="424" t="s">
        <v>2825</v>
      </c>
      <c r="Y61" s="424" t="s">
        <v>2279</v>
      </c>
      <c r="Z61" s="424" t="s">
        <v>2826</v>
      </c>
      <c r="AA61" s="424" t="s">
        <v>2827</v>
      </c>
      <c r="AB61" s="424" t="s">
        <v>3042</v>
      </c>
      <c r="AC61" s="424" t="s">
        <v>1953</v>
      </c>
      <c r="AD61" s="424" t="s">
        <v>2829</v>
      </c>
      <c r="AE61" s="424" t="s">
        <v>3030</v>
      </c>
      <c r="AF61" s="424"/>
      <c r="AG61" s="424"/>
      <c r="AH61" s="424"/>
    </row>
    <row r="62" spans="1:34" x14ac:dyDescent="0.25">
      <c r="A62" s="423" t="s">
        <v>2975</v>
      </c>
      <c r="B62" s="423" t="s">
        <v>3043</v>
      </c>
      <c r="C62" s="423" t="s">
        <v>988</v>
      </c>
      <c r="D62" s="423" t="s">
        <v>2886</v>
      </c>
      <c r="E62" s="423" t="s">
        <v>2818</v>
      </c>
      <c r="F62" s="423" t="s">
        <v>2996</v>
      </c>
      <c r="G62" s="423">
        <v>192</v>
      </c>
      <c r="H62" s="423">
        <v>500</v>
      </c>
      <c r="J62" s="423"/>
      <c r="K62" s="423"/>
      <c r="L62" s="423"/>
      <c r="M62" s="423"/>
      <c r="Q62" s="423"/>
      <c r="R62" s="424" t="s">
        <v>3044</v>
      </c>
      <c r="S62" s="424" t="s">
        <v>2820</v>
      </c>
      <c r="T62" s="424" t="s">
        <v>2821</v>
      </c>
      <c r="U62" s="424">
        <v>0</v>
      </c>
      <c r="V62" s="424" t="s">
        <v>2823</v>
      </c>
      <c r="W62" s="424" t="s">
        <v>2824</v>
      </c>
      <c r="X62" s="424" t="s">
        <v>2825</v>
      </c>
      <c r="Y62" s="424" t="s">
        <v>2279</v>
      </c>
      <c r="Z62" s="424" t="s">
        <v>2826</v>
      </c>
      <c r="AA62" s="424" t="s">
        <v>2827</v>
      </c>
      <c r="AB62" s="424" t="s">
        <v>3045</v>
      </c>
      <c r="AC62" s="424" t="s">
        <v>1953</v>
      </c>
      <c r="AD62" s="424" t="s">
        <v>2829</v>
      </c>
      <c r="AE62" s="424" t="s">
        <v>3017</v>
      </c>
      <c r="AF62" s="424"/>
      <c r="AG62" s="424"/>
      <c r="AH62" s="424"/>
    </row>
    <row r="63" spans="1:34" x14ac:dyDescent="0.25">
      <c r="A63" s="423" t="s">
        <v>2975</v>
      </c>
      <c r="B63" s="423" t="s">
        <v>3046</v>
      </c>
      <c r="C63" s="423" t="s">
        <v>988</v>
      </c>
      <c r="D63" s="423" t="s">
        <v>2886</v>
      </c>
      <c r="E63" s="423" t="s">
        <v>2818</v>
      </c>
      <c r="F63" s="423" t="s">
        <v>2996</v>
      </c>
      <c r="G63" s="423">
        <v>192</v>
      </c>
      <c r="H63" s="423">
        <v>500</v>
      </c>
      <c r="J63" s="423"/>
      <c r="K63" s="423"/>
      <c r="L63" s="423"/>
      <c r="M63" s="423"/>
      <c r="Q63" s="423"/>
      <c r="R63" s="424" t="s">
        <v>3047</v>
      </c>
      <c r="S63" s="424" t="s">
        <v>2820</v>
      </c>
      <c r="T63" s="424" t="s">
        <v>2821</v>
      </c>
      <c r="U63" s="424">
        <v>0</v>
      </c>
      <c r="V63" s="424" t="s">
        <v>2823</v>
      </c>
      <c r="W63" s="424" t="s">
        <v>2824</v>
      </c>
      <c r="X63" s="424" t="s">
        <v>2825</v>
      </c>
      <c r="Y63" s="424" t="s">
        <v>2279</v>
      </c>
      <c r="Z63" s="424" t="s">
        <v>2826</v>
      </c>
      <c r="AA63" s="424" t="s">
        <v>2827</v>
      </c>
      <c r="AB63" s="424" t="s">
        <v>3048</v>
      </c>
      <c r="AC63" s="424" t="s">
        <v>1953</v>
      </c>
      <c r="AD63" s="424" t="s">
        <v>2829</v>
      </c>
      <c r="AE63" s="424" t="s">
        <v>3030</v>
      </c>
      <c r="AF63" s="424"/>
      <c r="AG63" s="424"/>
      <c r="AH63" s="424"/>
    </row>
    <row r="64" spans="1:34" x14ac:dyDescent="0.25">
      <c r="A64" s="423" t="s">
        <v>2975</v>
      </c>
      <c r="B64" s="423" t="s">
        <v>3049</v>
      </c>
      <c r="C64" s="423" t="s">
        <v>988</v>
      </c>
      <c r="D64" s="423" t="s">
        <v>2886</v>
      </c>
      <c r="E64" s="423" t="s">
        <v>2818</v>
      </c>
      <c r="F64" s="423" t="s">
        <v>2996</v>
      </c>
      <c r="G64" s="423">
        <v>192</v>
      </c>
      <c r="H64" s="423">
        <v>500</v>
      </c>
      <c r="J64" s="423"/>
      <c r="K64" s="423"/>
      <c r="L64" s="423"/>
      <c r="M64" s="423"/>
      <c r="Q64" s="423"/>
      <c r="R64" s="424" t="s">
        <v>3050</v>
      </c>
      <c r="S64" s="424" t="s">
        <v>2820</v>
      </c>
      <c r="T64" s="424" t="s">
        <v>2821</v>
      </c>
      <c r="U64" s="424">
        <v>0</v>
      </c>
      <c r="V64" s="424" t="s">
        <v>2823</v>
      </c>
      <c r="W64" s="424" t="s">
        <v>2824</v>
      </c>
      <c r="X64" s="424" t="s">
        <v>2825</v>
      </c>
      <c r="Y64" s="424" t="s">
        <v>2279</v>
      </c>
      <c r="Z64" s="424" t="s">
        <v>2826</v>
      </c>
      <c r="AA64" s="424" t="s">
        <v>2827</v>
      </c>
      <c r="AB64" s="424" t="s">
        <v>3051</v>
      </c>
      <c r="AC64" s="424" t="s">
        <v>1953</v>
      </c>
      <c r="AD64" s="424" t="s">
        <v>2829</v>
      </c>
      <c r="AE64" s="424" t="s">
        <v>3030</v>
      </c>
      <c r="AF64" s="424"/>
      <c r="AG64" s="424"/>
      <c r="AH64" s="424"/>
    </row>
    <row r="65" spans="1:34" x14ac:dyDescent="0.25">
      <c r="A65" s="423" t="s">
        <v>2975</v>
      </c>
      <c r="B65" s="423" t="s">
        <v>3052</v>
      </c>
      <c r="C65" s="423" t="s">
        <v>988</v>
      </c>
      <c r="D65" s="423" t="s">
        <v>2886</v>
      </c>
      <c r="E65" s="423" t="s">
        <v>2818</v>
      </c>
      <c r="F65" s="423">
        <v>16</v>
      </c>
      <c r="G65" s="423">
        <v>64</v>
      </c>
      <c r="H65" s="423">
        <v>120</v>
      </c>
      <c r="J65" s="423"/>
      <c r="K65" s="423"/>
      <c r="L65" s="423"/>
      <c r="M65" s="423"/>
      <c r="Q65" s="423"/>
      <c r="R65" s="424" t="s">
        <v>3053</v>
      </c>
      <c r="S65" s="424" t="s">
        <v>2846</v>
      </c>
      <c r="T65" s="424" t="s">
        <v>2870</v>
      </c>
      <c r="U65" s="424">
        <v>0</v>
      </c>
      <c r="V65" s="424" t="s">
        <v>3054</v>
      </c>
      <c r="W65" s="424" t="s">
        <v>3055</v>
      </c>
      <c r="X65" s="424" t="s">
        <v>2825</v>
      </c>
      <c r="Y65" s="424" t="s">
        <v>2279</v>
      </c>
      <c r="Z65" s="424" t="s">
        <v>2872</v>
      </c>
      <c r="AA65" s="424" t="s">
        <v>2873</v>
      </c>
      <c r="AB65" s="424" t="s">
        <v>3056</v>
      </c>
      <c r="AC65" s="424" t="s">
        <v>1953</v>
      </c>
      <c r="AD65" s="424" t="s">
        <v>2875</v>
      </c>
      <c r="AE65" s="424" t="s">
        <v>2880</v>
      </c>
      <c r="AF65" s="424"/>
      <c r="AG65" s="424"/>
      <c r="AH65" s="424"/>
    </row>
    <row r="66" spans="1:34" x14ac:dyDescent="0.25">
      <c r="A66" s="423" t="s">
        <v>2975</v>
      </c>
      <c r="B66" s="423" t="s">
        <v>3057</v>
      </c>
      <c r="C66" s="423" t="s">
        <v>988</v>
      </c>
      <c r="D66" s="423" t="s">
        <v>2886</v>
      </c>
      <c r="E66" s="423" t="s">
        <v>2818</v>
      </c>
      <c r="F66" s="423">
        <v>16</v>
      </c>
      <c r="G66" s="423">
        <v>64</v>
      </c>
      <c r="H66" s="423">
        <v>120</v>
      </c>
      <c r="J66" s="423"/>
      <c r="K66" s="423"/>
      <c r="L66" s="423"/>
      <c r="M66" s="423"/>
      <c r="Q66" s="423"/>
      <c r="R66" s="424" t="s">
        <v>3058</v>
      </c>
      <c r="S66" s="424" t="s">
        <v>2846</v>
      </c>
      <c r="T66" s="424" t="s">
        <v>2870</v>
      </c>
      <c r="U66" s="424">
        <v>0</v>
      </c>
      <c r="V66" s="424" t="s">
        <v>3054</v>
      </c>
      <c r="W66" s="424" t="s">
        <v>3055</v>
      </c>
      <c r="X66" s="424" t="s">
        <v>2825</v>
      </c>
      <c r="Y66" s="424" t="s">
        <v>2279</v>
      </c>
      <c r="Z66" s="424" t="s">
        <v>2872</v>
      </c>
      <c r="AA66" s="424" t="s">
        <v>2873</v>
      </c>
      <c r="AB66" s="424" t="s">
        <v>3059</v>
      </c>
      <c r="AC66" s="424" t="s">
        <v>1953</v>
      </c>
      <c r="AD66" s="424" t="s">
        <v>2875</v>
      </c>
      <c r="AE66" s="424" t="s">
        <v>3060</v>
      </c>
      <c r="AF66" s="424"/>
      <c r="AG66" s="424"/>
      <c r="AH66" s="424"/>
    </row>
    <row r="67" spans="1:34" x14ac:dyDescent="0.25">
      <c r="A67" s="423" t="s">
        <v>2975</v>
      </c>
      <c r="B67" s="423" t="s">
        <v>3061</v>
      </c>
      <c r="C67" s="423" t="s">
        <v>988</v>
      </c>
      <c r="D67" s="423" t="s">
        <v>2886</v>
      </c>
      <c r="E67" s="423" t="s">
        <v>2818</v>
      </c>
      <c r="F67" s="423">
        <v>16</v>
      </c>
      <c r="G67" s="423">
        <v>64</v>
      </c>
      <c r="H67" s="423">
        <v>120</v>
      </c>
      <c r="J67" s="423"/>
      <c r="K67" s="423"/>
      <c r="L67" s="423"/>
      <c r="M67" s="423"/>
      <c r="Q67" s="423"/>
      <c r="R67" s="424" t="s">
        <v>3062</v>
      </c>
      <c r="S67" s="424" t="s">
        <v>2846</v>
      </c>
      <c r="T67" s="424" t="s">
        <v>2870</v>
      </c>
      <c r="U67" s="424">
        <v>0</v>
      </c>
      <c r="V67" s="424" t="s">
        <v>3054</v>
      </c>
      <c r="W67" s="424" t="s">
        <v>3055</v>
      </c>
      <c r="X67" s="424" t="s">
        <v>2825</v>
      </c>
      <c r="Y67" s="424" t="s">
        <v>2279</v>
      </c>
      <c r="Z67" s="424" t="s">
        <v>2872</v>
      </c>
      <c r="AA67" s="424" t="s">
        <v>2873</v>
      </c>
      <c r="AB67" s="424" t="s">
        <v>2879</v>
      </c>
      <c r="AC67" s="424" t="s">
        <v>1953</v>
      </c>
      <c r="AD67" s="424" t="s">
        <v>2875</v>
      </c>
      <c r="AE67" s="424" t="s">
        <v>2880</v>
      </c>
      <c r="AF67" s="424"/>
      <c r="AG67" s="424"/>
      <c r="AH67" s="424"/>
    </row>
    <row r="68" spans="1:34" x14ac:dyDescent="0.25">
      <c r="A68" s="423" t="s">
        <v>2975</v>
      </c>
      <c r="B68" s="423" t="s">
        <v>3063</v>
      </c>
      <c r="C68" s="423" t="s">
        <v>988</v>
      </c>
      <c r="D68" s="423" t="s">
        <v>2886</v>
      </c>
      <c r="E68" s="423" t="s">
        <v>2818</v>
      </c>
      <c r="F68" s="423">
        <v>16</v>
      </c>
      <c r="G68" s="423">
        <v>64</v>
      </c>
      <c r="H68" s="423">
        <v>120</v>
      </c>
      <c r="J68" s="423"/>
      <c r="K68" s="423"/>
      <c r="L68" s="423"/>
      <c r="M68" s="423"/>
      <c r="Q68" s="423"/>
      <c r="R68" s="424" t="s">
        <v>3064</v>
      </c>
      <c r="S68" s="424" t="s">
        <v>2846</v>
      </c>
      <c r="T68" s="424" t="s">
        <v>2870</v>
      </c>
      <c r="U68" s="424">
        <v>0</v>
      </c>
      <c r="V68" s="424" t="s">
        <v>3054</v>
      </c>
      <c r="W68" s="424" t="s">
        <v>3055</v>
      </c>
      <c r="X68" s="424" t="s">
        <v>2825</v>
      </c>
      <c r="Y68" s="424" t="s">
        <v>2279</v>
      </c>
      <c r="Z68" s="424" t="s">
        <v>2872</v>
      </c>
      <c r="AA68" s="424" t="s">
        <v>2873</v>
      </c>
      <c r="AB68" s="424" t="s">
        <v>3065</v>
      </c>
      <c r="AC68" s="424" t="s">
        <v>1953</v>
      </c>
      <c r="AD68" s="424" t="s">
        <v>2875</v>
      </c>
      <c r="AE68" s="424" t="s">
        <v>3060</v>
      </c>
      <c r="AF68" s="424"/>
      <c r="AG68" s="424"/>
      <c r="AH68" s="424"/>
    </row>
    <row r="69" spans="1:34" x14ac:dyDescent="0.25">
      <c r="A69" s="423" t="s">
        <v>2975</v>
      </c>
      <c r="B69" s="423" t="s">
        <v>3066</v>
      </c>
      <c r="C69" s="423" t="s">
        <v>988</v>
      </c>
      <c r="D69" s="423" t="s">
        <v>2886</v>
      </c>
      <c r="E69" s="423" t="s">
        <v>2818</v>
      </c>
      <c r="F69" s="423">
        <v>16</v>
      </c>
      <c r="G69" s="423">
        <v>64</v>
      </c>
      <c r="H69" s="423">
        <v>120</v>
      </c>
      <c r="J69" s="423"/>
      <c r="K69" s="423"/>
      <c r="L69" s="423"/>
      <c r="M69" s="423"/>
      <c r="Q69" s="423"/>
      <c r="R69" s="424" t="s">
        <v>3067</v>
      </c>
      <c r="S69" s="424" t="s">
        <v>2846</v>
      </c>
      <c r="T69" s="424" t="s">
        <v>2870</v>
      </c>
      <c r="U69" s="424">
        <v>0</v>
      </c>
      <c r="V69" s="424" t="s">
        <v>3054</v>
      </c>
      <c r="W69" s="424" t="s">
        <v>3055</v>
      </c>
      <c r="X69" s="424" t="s">
        <v>2825</v>
      </c>
      <c r="Y69" s="424" t="s">
        <v>2279</v>
      </c>
      <c r="Z69" s="424" t="s">
        <v>2872</v>
      </c>
      <c r="AA69" s="424" t="s">
        <v>2873</v>
      </c>
      <c r="AB69" s="424" t="s">
        <v>3068</v>
      </c>
      <c r="AC69" s="424" t="s">
        <v>1953</v>
      </c>
      <c r="AD69" s="424" t="s">
        <v>2875</v>
      </c>
      <c r="AE69" s="424" t="s">
        <v>2880</v>
      </c>
      <c r="AF69" s="424"/>
      <c r="AG69" s="424"/>
      <c r="AH69" s="424"/>
    </row>
    <row r="70" spans="1:34" x14ac:dyDescent="0.25">
      <c r="A70" s="423" t="s">
        <v>2975</v>
      </c>
      <c r="B70" s="423" t="s">
        <v>3069</v>
      </c>
      <c r="C70" s="423" t="s">
        <v>988</v>
      </c>
      <c r="D70" s="423" t="s">
        <v>2886</v>
      </c>
      <c r="E70" s="423" t="s">
        <v>2818</v>
      </c>
      <c r="F70" s="423">
        <v>16</v>
      </c>
      <c r="G70" s="423">
        <v>64</v>
      </c>
      <c r="H70" s="423">
        <v>120</v>
      </c>
      <c r="J70" s="423"/>
      <c r="K70" s="423"/>
      <c r="L70" s="423"/>
      <c r="M70" s="423"/>
      <c r="Q70" s="423"/>
      <c r="R70" s="424" t="s">
        <v>3070</v>
      </c>
      <c r="S70" s="424" t="s">
        <v>2846</v>
      </c>
      <c r="T70" s="424" t="s">
        <v>2870</v>
      </c>
      <c r="U70" s="424">
        <v>0</v>
      </c>
      <c r="V70" s="424" t="s">
        <v>3054</v>
      </c>
      <c r="W70" s="424" t="s">
        <v>3055</v>
      </c>
      <c r="X70" s="424" t="s">
        <v>2825</v>
      </c>
      <c r="Y70" s="424" t="s">
        <v>2279</v>
      </c>
      <c r="Z70" s="424" t="s">
        <v>2872</v>
      </c>
      <c r="AA70" s="424" t="s">
        <v>2873</v>
      </c>
      <c r="AB70" s="424" t="s">
        <v>3071</v>
      </c>
      <c r="AC70" s="424" t="s">
        <v>1953</v>
      </c>
      <c r="AD70" s="424" t="s">
        <v>2875</v>
      </c>
      <c r="AE70" s="424" t="s">
        <v>2876</v>
      </c>
      <c r="AF70" s="424"/>
      <c r="AG70" s="424"/>
      <c r="AH70" s="424"/>
    </row>
    <row r="71" spans="1:34" x14ac:dyDescent="0.25">
      <c r="A71" s="423" t="s">
        <v>2975</v>
      </c>
      <c r="B71" s="423" t="s">
        <v>3072</v>
      </c>
      <c r="C71" s="423" t="s">
        <v>988</v>
      </c>
      <c r="D71" s="423" t="s">
        <v>2886</v>
      </c>
      <c r="E71" s="423" t="s">
        <v>2818</v>
      </c>
      <c r="F71" s="423">
        <v>16</v>
      </c>
      <c r="G71" s="423">
        <v>64</v>
      </c>
      <c r="H71" s="423">
        <v>120</v>
      </c>
      <c r="J71" s="423"/>
      <c r="K71" s="423"/>
      <c r="L71" s="423"/>
      <c r="M71" s="423"/>
      <c r="Q71" s="423"/>
      <c r="R71" s="424" t="s">
        <v>3073</v>
      </c>
      <c r="S71" s="424" t="s">
        <v>2846</v>
      </c>
      <c r="T71" s="424" t="s">
        <v>2870</v>
      </c>
      <c r="U71" s="424">
        <v>0</v>
      </c>
      <c r="V71" s="424" t="s">
        <v>3054</v>
      </c>
      <c r="W71" s="424" t="s">
        <v>3074</v>
      </c>
      <c r="X71" s="424" t="s">
        <v>2825</v>
      </c>
      <c r="Y71" s="424" t="s">
        <v>2279</v>
      </c>
      <c r="Z71" s="424" t="s">
        <v>2872</v>
      </c>
      <c r="AA71" s="424" t="s">
        <v>2873</v>
      </c>
      <c r="AB71" s="424" t="s">
        <v>3075</v>
      </c>
      <c r="AC71" s="424" t="s">
        <v>1953</v>
      </c>
      <c r="AD71" s="424" t="s">
        <v>2892</v>
      </c>
      <c r="AE71" s="424" t="s">
        <v>2968</v>
      </c>
      <c r="AF71" s="424"/>
      <c r="AG71" s="424"/>
      <c r="AH71" s="424"/>
    </row>
    <row r="72" spans="1:34" x14ac:dyDescent="0.25">
      <c r="A72" s="423" t="s">
        <v>2975</v>
      </c>
      <c r="B72" s="423" t="s">
        <v>3076</v>
      </c>
      <c r="C72" s="423" t="s">
        <v>988</v>
      </c>
      <c r="D72" s="423" t="s">
        <v>2886</v>
      </c>
      <c r="E72" s="423" t="s">
        <v>2818</v>
      </c>
      <c r="F72" s="423">
        <v>16</v>
      </c>
      <c r="G72" s="423">
        <v>64</v>
      </c>
      <c r="H72" s="423">
        <v>120</v>
      </c>
      <c r="J72" s="423"/>
      <c r="K72" s="423"/>
      <c r="L72" s="423"/>
      <c r="M72" s="423"/>
      <c r="Q72" s="423"/>
      <c r="R72" s="424" t="s">
        <v>3077</v>
      </c>
      <c r="S72" s="424" t="s">
        <v>2846</v>
      </c>
      <c r="T72" s="424" t="s">
        <v>2870</v>
      </c>
      <c r="U72" s="424">
        <v>0</v>
      </c>
      <c r="V72" s="424" t="s">
        <v>3054</v>
      </c>
      <c r="W72" s="424" t="s">
        <v>3074</v>
      </c>
      <c r="X72" s="424" t="s">
        <v>2825</v>
      </c>
      <c r="Y72" s="424" t="s">
        <v>2279</v>
      </c>
      <c r="Z72" s="424" t="s">
        <v>2872</v>
      </c>
      <c r="AA72" s="424" t="s">
        <v>2873</v>
      </c>
      <c r="AB72" s="424" t="s">
        <v>2925</v>
      </c>
      <c r="AC72" s="424" t="s">
        <v>1953</v>
      </c>
      <c r="AD72" s="424" t="s">
        <v>2892</v>
      </c>
      <c r="AE72" s="424" t="s">
        <v>2926</v>
      </c>
      <c r="AF72" s="424"/>
      <c r="AG72" s="424"/>
      <c r="AH72" s="424"/>
    </row>
    <row r="73" spans="1:34" x14ac:dyDescent="0.25">
      <c r="A73" s="423" t="s">
        <v>2975</v>
      </c>
      <c r="B73" s="423" t="s">
        <v>3078</v>
      </c>
      <c r="C73" s="423" t="s">
        <v>988</v>
      </c>
      <c r="D73" s="423" t="s">
        <v>2886</v>
      </c>
      <c r="E73" s="423" t="s">
        <v>2818</v>
      </c>
      <c r="F73" s="423">
        <v>16</v>
      </c>
      <c r="G73" s="423">
        <v>64</v>
      </c>
      <c r="H73" s="423">
        <v>120</v>
      </c>
      <c r="J73" s="423"/>
      <c r="K73" s="423"/>
      <c r="L73" s="423"/>
      <c r="M73" s="423"/>
      <c r="Q73" s="423"/>
      <c r="R73" s="424" t="s">
        <v>3079</v>
      </c>
      <c r="S73" s="424" t="s">
        <v>2846</v>
      </c>
      <c r="T73" s="424" t="s">
        <v>2870</v>
      </c>
      <c r="U73" s="424">
        <v>0</v>
      </c>
      <c r="V73" s="424" t="s">
        <v>3054</v>
      </c>
      <c r="W73" s="424" t="s">
        <v>3074</v>
      </c>
      <c r="X73" s="424" t="s">
        <v>2825</v>
      </c>
      <c r="Y73" s="424" t="s">
        <v>2279</v>
      </c>
      <c r="Z73" s="424" t="s">
        <v>2872</v>
      </c>
      <c r="AA73" s="424" t="s">
        <v>2873</v>
      </c>
      <c r="AB73" s="424" t="s">
        <v>3080</v>
      </c>
      <c r="AC73" s="424" t="s">
        <v>1953</v>
      </c>
      <c r="AD73" s="424" t="s">
        <v>2892</v>
      </c>
      <c r="AE73" s="424" t="s">
        <v>3081</v>
      </c>
      <c r="AF73" s="424"/>
      <c r="AG73" s="424"/>
      <c r="AH73" s="424"/>
    </row>
    <row r="74" spans="1:34" x14ac:dyDescent="0.25">
      <c r="A74" s="423" t="s">
        <v>2975</v>
      </c>
      <c r="B74" s="423" t="s">
        <v>3082</v>
      </c>
      <c r="C74" s="423" t="s">
        <v>988</v>
      </c>
      <c r="D74" s="423" t="s">
        <v>2886</v>
      </c>
      <c r="E74" s="423" t="s">
        <v>2818</v>
      </c>
      <c r="F74" s="423">
        <v>16</v>
      </c>
      <c r="G74" s="423">
        <v>64</v>
      </c>
      <c r="H74" s="423">
        <v>120</v>
      </c>
      <c r="J74" s="423"/>
      <c r="K74" s="423"/>
      <c r="L74" s="423"/>
      <c r="M74" s="423"/>
      <c r="Q74" s="423"/>
      <c r="R74" s="424" t="s">
        <v>3083</v>
      </c>
      <c r="S74" s="424" t="s">
        <v>2846</v>
      </c>
      <c r="T74" s="424" t="s">
        <v>2870</v>
      </c>
      <c r="U74" s="424">
        <v>0</v>
      </c>
      <c r="V74" s="424" t="s">
        <v>3054</v>
      </c>
      <c r="W74" s="424" t="s">
        <v>2871</v>
      </c>
      <c r="X74" s="424" t="s">
        <v>2825</v>
      </c>
      <c r="Y74" s="424" t="s">
        <v>2279</v>
      </c>
      <c r="Z74" s="424" t="s">
        <v>2872</v>
      </c>
      <c r="AA74" s="424" t="s">
        <v>2873</v>
      </c>
      <c r="AB74" s="424" t="s">
        <v>3084</v>
      </c>
      <c r="AC74" s="424" t="s">
        <v>1953</v>
      </c>
      <c r="AD74" s="424" t="s">
        <v>2892</v>
      </c>
      <c r="AE74" s="424" t="s">
        <v>2944</v>
      </c>
      <c r="AF74" s="424"/>
      <c r="AG74" s="424"/>
      <c r="AH74" s="424"/>
    </row>
    <row r="75" spans="1:34" x14ac:dyDescent="0.25">
      <c r="A75" s="423" t="s">
        <v>2975</v>
      </c>
      <c r="B75" s="423" t="s">
        <v>3085</v>
      </c>
      <c r="C75" s="423" t="s">
        <v>988</v>
      </c>
      <c r="D75" s="423" t="s">
        <v>2886</v>
      </c>
      <c r="E75" s="423" t="s">
        <v>2818</v>
      </c>
      <c r="F75" s="423">
        <v>16</v>
      </c>
      <c r="G75" s="423">
        <v>64</v>
      </c>
      <c r="H75" s="423">
        <v>120</v>
      </c>
      <c r="J75" s="423"/>
      <c r="K75" s="423"/>
      <c r="L75" s="423"/>
      <c r="M75" s="423"/>
      <c r="Q75" s="423"/>
      <c r="R75" s="424" t="s">
        <v>3086</v>
      </c>
      <c r="S75" s="424" t="s">
        <v>2846</v>
      </c>
      <c r="T75" s="424" t="s">
        <v>2870</v>
      </c>
      <c r="U75" s="424">
        <v>0</v>
      </c>
      <c r="V75" s="424" t="s">
        <v>3054</v>
      </c>
      <c r="W75" s="424" t="s">
        <v>3074</v>
      </c>
      <c r="X75" s="424" t="s">
        <v>2825</v>
      </c>
      <c r="Y75" s="424" t="s">
        <v>2279</v>
      </c>
      <c r="Z75" s="424" t="s">
        <v>2872</v>
      </c>
      <c r="AA75" s="424" t="s">
        <v>2873</v>
      </c>
      <c r="AB75" s="424" t="s">
        <v>3087</v>
      </c>
      <c r="AC75" s="424" t="s">
        <v>1953</v>
      </c>
      <c r="AD75" s="424" t="s">
        <v>2892</v>
      </c>
      <c r="AE75" s="424" t="s">
        <v>2968</v>
      </c>
      <c r="AF75" s="424"/>
      <c r="AG75" s="424"/>
      <c r="AH75" s="424"/>
    </row>
    <row r="76" spans="1:34" x14ac:dyDescent="0.25">
      <c r="A76" s="423" t="s">
        <v>2975</v>
      </c>
      <c r="B76" s="423" t="s">
        <v>3088</v>
      </c>
      <c r="C76" s="423" t="s">
        <v>988</v>
      </c>
      <c r="D76" s="423" t="s">
        <v>2886</v>
      </c>
      <c r="E76" s="423" t="s">
        <v>2818</v>
      </c>
      <c r="F76" s="423">
        <v>16</v>
      </c>
      <c r="G76" s="423">
        <v>64</v>
      </c>
      <c r="H76" s="423">
        <v>120</v>
      </c>
      <c r="J76" s="423"/>
      <c r="K76" s="423"/>
      <c r="L76" s="423"/>
      <c r="M76" s="423"/>
      <c r="Q76" s="423"/>
      <c r="R76" s="424" t="s">
        <v>3089</v>
      </c>
      <c r="S76" s="424" t="s">
        <v>2846</v>
      </c>
      <c r="T76" s="424" t="s">
        <v>2870</v>
      </c>
      <c r="U76" s="424">
        <v>0</v>
      </c>
      <c r="V76" s="424" t="s">
        <v>3054</v>
      </c>
      <c r="W76" s="424" t="s">
        <v>3074</v>
      </c>
      <c r="X76" s="424" t="s">
        <v>2825</v>
      </c>
      <c r="Y76" s="424" t="s">
        <v>2279</v>
      </c>
      <c r="Z76" s="424" t="s">
        <v>2872</v>
      </c>
      <c r="AA76" s="424" t="s">
        <v>2873</v>
      </c>
      <c r="AB76" s="424" t="s">
        <v>2967</v>
      </c>
      <c r="AC76" s="424" t="s">
        <v>1953</v>
      </c>
      <c r="AD76" s="424" t="s">
        <v>2892</v>
      </c>
      <c r="AE76" s="424" t="s">
        <v>2968</v>
      </c>
      <c r="AF76" s="424"/>
      <c r="AG76" s="424"/>
      <c r="AH76" s="424"/>
    </row>
    <row r="77" spans="1:34" x14ac:dyDescent="0.25">
      <c r="A77" s="423" t="s">
        <v>2975</v>
      </c>
      <c r="B77" s="423" t="s">
        <v>3090</v>
      </c>
      <c r="C77" s="423" t="s">
        <v>988</v>
      </c>
      <c r="D77" s="423" t="s">
        <v>2886</v>
      </c>
      <c r="E77" s="423" t="s">
        <v>2818</v>
      </c>
      <c r="F77" s="423">
        <v>16</v>
      </c>
      <c r="G77" s="423">
        <v>64</v>
      </c>
      <c r="H77" s="423">
        <v>120</v>
      </c>
      <c r="J77" s="423"/>
      <c r="K77" s="423"/>
      <c r="L77" s="423"/>
      <c r="M77" s="423"/>
      <c r="Q77" s="423"/>
      <c r="R77" s="424" t="s">
        <v>3091</v>
      </c>
      <c r="S77" s="424" t="s">
        <v>2846</v>
      </c>
      <c r="T77" s="424" t="s">
        <v>2870</v>
      </c>
      <c r="U77" s="424">
        <v>0</v>
      </c>
      <c r="V77" s="424" t="s">
        <v>3054</v>
      </c>
      <c r="W77" s="424" t="s">
        <v>3074</v>
      </c>
      <c r="X77" s="424" t="s">
        <v>2825</v>
      </c>
      <c r="Y77" s="424" t="s">
        <v>2279</v>
      </c>
      <c r="Z77" s="424" t="s">
        <v>2872</v>
      </c>
      <c r="AA77" s="424" t="s">
        <v>2873</v>
      </c>
      <c r="AB77" s="424" t="s">
        <v>3092</v>
      </c>
      <c r="AC77" s="424" t="s">
        <v>1953</v>
      </c>
      <c r="AD77" s="424" t="s">
        <v>2892</v>
      </c>
      <c r="AE77" s="424" t="s">
        <v>2968</v>
      </c>
      <c r="AF77" s="424"/>
      <c r="AG77" s="424"/>
      <c r="AH77" s="424"/>
    </row>
    <row r="78" spans="1:34" x14ac:dyDescent="0.25">
      <c r="A78" s="423" t="s">
        <v>2975</v>
      </c>
      <c r="B78" s="423" t="s">
        <v>3093</v>
      </c>
      <c r="C78" s="423" t="s">
        <v>988</v>
      </c>
      <c r="D78" s="423" t="s">
        <v>2886</v>
      </c>
      <c r="E78" s="423" t="s">
        <v>2818</v>
      </c>
      <c r="F78" s="423">
        <v>16</v>
      </c>
      <c r="G78" s="423">
        <v>64</v>
      </c>
      <c r="H78" s="423">
        <v>120</v>
      </c>
      <c r="J78" s="423"/>
      <c r="K78" s="423"/>
      <c r="L78" s="423"/>
      <c r="M78" s="423"/>
      <c r="Q78" s="423"/>
      <c r="R78" s="424" t="s">
        <v>3094</v>
      </c>
      <c r="S78" s="424" t="s">
        <v>2846</v>
      </c>
      <c r="T78" s="424" t="s">
        <v>2870</v>
      </c>
      <c r="U78" s="424">
        <v>0</v>
      </c>
      <c r="V78" s="424" t="s">
        <v>3054</v>
      </c>
      <c r="W78" s="424" t="s">
        <v>3055</v>
      </c>
      <c r="X78" s="424" t="s">
        <v>2825</v>
      </c>
      <c r="Y78" s="424" t="s">
        <v>2279</v>
      </c>
      <c r="Z78" s="424" t="s">
        <v>2872</v>
      </c>
      <c r="AA78" s="424" t="s">
        <v>2873</v>
      </c>
      <c r="AB78" s="424" t="s">
        <v>3095</v>
      </c>
      <c r="AC78" s="424" t="s">
        <v>1953</v>
      </c>
      <c r="AD78" s="424" t="s">
        <v>2875</v>
      </c>
      <c r="AE78" s="424" t="s">
        <v>3096</v>
      </c>
      <c r="AF78" s="424"/>
      <c r="AG78" s="424"/>
      <c r="AH78" s="424"/>
    </row>
    <row r="79" spans="1:34" x14ac:dyDescent="0.25">
      <c r="A79" s="423" t="s">
        <v>2975</v>
      </c>
      <c r="B79" s="423" t="s">
        <v>3097</v>
      </c>
      <c r="C79" s="423" t="s">
        <v>988</v>
      </c>
      <c r="D79" s="423" t="s">
        <v>2886</v>
      </c>
      <c r="E79" s="423" t="s">
        <v>2818</v>
      </c>
      <c r="F79" s="423">
        <v>16</v>
      </c>
      <c r="G79" s="423">
        <v>64</v>
      </c>
      <c r="H79" s="423">
        <v>120</v>
      </c>
      <c r="J79" s="423"/>
      <c r="K79" s="423"/>
      <c r="L79" s="423"/>
      <c r="M79" s="423"/>
      <c r="Q79" s="423"/>
      <c r="R79" s="424" t="s">
        <v>3098</v>
      </c>
      <c r="S79" s="424" t="s">
        <v>2846</v>
      </c>
      <c r="T79" s="424" t="s">
        <v>2870</v>
      </c>
      <c r="U79" s="424">
        <v>0</v>
      </c>
      <c r="V79" s="424" t="s">
        <v>3054</v>
      </c>
      <c r="W79" s="424" t="s">
        <v>3055</v>
      </c>
      <c r="X79" s="424" t="s">
        <v>2825</v>
      </c>
      <c r="Y79" s="424" t="s">
        <v>2279</v>
      </c>
      <c r="Z79" s="424" t="s">
        <v>2872</v>
      </c>
      <c r="AA79" s="424" t="s">
        <v>2873</v>
      </c>
      <c r="AB79" s="424" t="s">
        <v>3099</v>
      </c>
      <c r="AC79" s="424" t="s">
        <v>1953</v>
      </c>
      <c r="AD79" s="424" t="s">
        <v>2875</v>
      </c>
      <c r="AE79" s="424" t="s">
        <v>2876</v>
      </c>
      <c r="AF79" s="424"/>
      <c r="AG79" s="424"/>
      <c r="AH79" s="424"/>
    </row>
    <row r="80" spans="1:34" x14ac:dyDescent="0.25">
      <c r="A80" s="423" t="s">
        <v>2975</v>
      </c>
      <c r="B80" s="423" t="s">
        <v>3100</v>
      </c>
      <c r="C80" s="423" t="s">
        <v>988</v>
      </c>
      <c r="D80" s="423" t="s">
        <v>2886</v>
      </c>
      <c r="E80" s="423" t="s">
        <v>2818</v>
      </c>
      <c r="F80" s="423">
        <v>16</v>
      </c>
      <c r="G80" s="423">
        <v>64</v>
      </c>
      <c r="H80" s="423">
        <v>120</v>
      </c>
      <c r="J80" s="423"/>
      <c r="K80" s="423"/>
      <c r="L80" s="423"/>
      <c r="M80" s="423"/>
      <c r="Q80" s="423"/>
      <c r="R80" s="424" t="s">
        <v>3101</v>
      </c>
      <c r="S80" s="424" t="s">
        <v>2846</v>
      </c>
      <c r="T80" s="424" t="s">
        <v>2870</v>
      </c>
      <c r="U80" s="424">
        <v>0</v>
      </c>
      <c r="V80" s="424" t="s">
        <v>3054</v>
      </c>
      <c r="W80" s="424" t="s">
        <v>3055</v>
      </c>
      <c r="X80" s="424" t="s">
        <v>2825</v>
      </c>
      <c r="Y80" s="424" t="s">
        <v>2279</v>
      </c>
      <c r="Z80" s="424" t="s">
        <v>2872</v>
      </c>
      <c r="AA80" s="424" t="s">
        <v>2873</v>
      </c>
      <c r="AB80" s="424" t="s">
        <v>3102</v>
      </c>
      <c r="AC80" s="424" t="s">
        <v>1953</v>
      </c>
      <c r="AD80" s="424" t="s">
        <v>2875</v>
      </c>
      <c r="AE80" s="424" t="s">
        <v>3096</v>
      </c>
      <c r="AF80" s="424"/>
      <c r="AG80" s="424"/>
      <c r="AH80" s="424"/>
    </row>
    <row r="81" spans="1:34" x14ac:dyDescent="0.25">
      <c r="A81" s="423" t="s">
        <v>2975</v>
      </c>
      <c r="B81" s="423" t="s">
        <v>3103</v>
      </c>
      <c r="C81" s="423" t="s">
        <v>988</v>
      </c>
      <c r="D81" s="423" t="s">
        <v>2886</v>
      </c>
      <c r="E81" s="423" t="s">
        <v>2818</v>
      </c>
      <c r="F81" s="423">
        <v>16</v>
      </c>
      <c r="G81" s="423">
        <v>64</v>
      </c>
      <c r="H81" s="423">
        <v>120</v>
      </c>
      <c r="J81" s="423"/>
      <c r="K81" s="423"/>
      <c r="L81" s="423"/>
      <c r="M81" s="423"/>
      <c r="Q81" s="423"/>
      <c r="R81" s="424" t="s">
        <v>3104</v>
      </c>
      <c r="S81" s="424" t="s">
        <v>2846</v>
      </c>
      <c r="T81" s="424" t="s">
        <v>2870</v>
      </c>
      <c r="U81" s="424">
        <v>0</v>
      </c>
      <c r="V81" s="424" t="s">
        <v>3054</v>
      </c>
      <c r="W81" s="424" t="s">
        <v>3055</v>
      </c>
      <c r="X81" s="424" t="s">
        <v>2825</v>
      </c>
      <c r="Y81" s="424" t="s">
        <v>2279</v>
      </c>
      <c r="Z81" s="424" t="s">
        <v>2872</v>
      </c>
      <c r="AA81" s="424" t="s">
        <v>2873</v>
      </c>
      <c r="AB81" s="424" t="s">
        <v>3071</v>
      </c>
      <c r="AC81" s="424" t="s">
        <v>1953</v>
      </c>
      <c r="AD81" s="424" t="s">
        <v>2875</v>
      </c>
      <c r="AE81" s="424" t="s">
        <v>2876</v>
      </c>
      <c r="AF81" s="424"/>
      <c r="AG81" s="424"/>
      <c r="AH81" s="424"/>
    </row>
    <row r="82" spans="1:34" x14ac:dyDescent="0.25">
      <c r="A82" s="423" t="s">
        <v>2975</v>
      </c>
      <c r="B82" s="423" t="s">
        <v>3105</v>
      </c>
      <c r="C82" s="423" t="s">
        <v>988</v>
      </c>
      <c r="D82" s="423" t="s">
        <v>2886</v>
      </c>
      <c r="E82" s="423" t="s">
        <v>2818</v>
      </c>
      <c r="F82" s="423">
        <v>16</v>
      </c>
      <c r="G82" s="423">
        <v>64</v>
      </c>
      <c r="H82" s="423">
        <v>120</v>
      </c>
      <c r="J82" s="423"/>
      <c r="K82" s="423"/>
      <c r="L82" s="423"/>
      <c r="M82" s="423"/>
      <c r="Q82" s="423"/>
      <c r="R82" s="424" t="s">
        <v>3106</v>
      </c>
      <c r="S82" s="424" t="s">
        <v>2846</v>
      </c>
      <c r="T82" s="424" t="s">
        <v>2870</v>
      </c>
      <c r="U82" s="424">
        <v>0</v>
      </c>
      <c r="V82" s="424" t="s">
        <v>3054</v>
      </c>
      <c r="W82" s="424" t="s">
        <v>3055</v>
      </c>
      <c r="X82" s="424" t="s">
        <v>2825</v>
      </c>
      <c r="Y82" s="424" t="s">
        <v>2279</v>
      </c>
      <c r="Z82" s="424" t="s">
        <v>2872</v>
      </c>
      <c r="AA82" s="424" t="s">
        <v>2873</v>
      </c>
      <c r="AB82" s="424" t="s">
        <v>3107</v>
      </c>
      <c r="AC82" s="424" t="s">
        <v>1953</v>
      </c>
      <c r="AD82" s="424" t="s">
        <v>2875</v>
      </c>
      <c r="AE82" s="424" t="s">
        <v>3096</v>
      </c>
      <c r="AF82" s="424"/>
      <c r="AG82" s="424"/>
      <c r="AH82" s="424"/>
    </row>
    <row r="83" spans="1:34" x14ac:dyDescent="0.25">
      <c r="A83" s="423" t="s">
        <v>2975</v>
      </c>
      <c r="B83" s="423" t="s">
        <v>3108</v>
      </c>
      <c r="C83" s="423" t="s">
        <v>988</v>
      </c>
      <c r="D83" s="423" t="s">
        <v>2886</v>
      </c>
      <c r="E83" s="423" t="s">
        <v>2818</v>
      </c>
      <c r="F83" s="423">
        <v>16</v>
      </c>
      <c r="G83" s="423">
        <v>64</v>
      </c>
      <c r="H83" s="423">
        <v>120</v>
      </c>
      <c r="J83" s="423"/>
      <c r="K83" s="423"/>
      <c r="L83" s="423"/>
      <c r="M83" s="423"/>
      <c r="Q83" s="423"/>
      <c r="R83" s="424" t="s">
        <v>3109</v>
      </c>
      <c r="S83" s="424" t="s">
        <v>2846</v>
      </c>
      <c r="T83" s="424" t="s">
        <v>2870</v>
      </c>
      <c r="U83" s="424">
        <v>0</v>
      </c>
      <c r="V83" s="424" t="s">
        <v>3054</v>
      </c>
      <c r="W83" s="424" t="s">
        <v>3055</v>
      </c>
      <c r="X83" s="424" t="s">
        <v>2825</v>
      </c>
      <c r="Y83" s="424" t="s">
        <v>2279</v>
      </c>
      <c r="Z83" s="424" t="s">
        <v>2872</v>
      </c>
      <c r="AA83" s="424" t="s">
        <v>2873</v>
      </c>
      <c r="AB83" s="424" t="s">
        <v>3110</v>
      </c>
      <c r="AC83" s="424" t="s">
        <v>1953</v>
      </c>
      <c r="AD83" s="424" t="s">
        <v>2875</v>
      </c>
      <c r="AE83" s="424" t="s">
        <v>2876</v>
      </c>
      <c r="AF83" s="424"/>
      <c r="AG83" s="424"/>
      <c r="AH83" s="424"/>
    </row>
    <row r="84" spans="1:34" x14ac:dyDescent="0.25">
      <c r="A84" s="423" t="s">
        <v>2975</v>
      </c>
      <c r="B84" s="423" t="s">
        <v>3111</v>
      </c>
      <c r="C84" s="423" t="s">
        <v>988</v>
      </c>
      <c r="D84" s="423" t="s">
        <v>2886</v>
      </c>
      <c r="E84" s="423" t="s">
        <v>2818</v>
      </c>
      <c r="F84" s="423">
        <v>16</v>
      </c>
      <c r="G84" s="423">
        <v>64</v>
      </c>
      <c r="H84" s="423">
        <v>120</v>
      </c>
      <c r="J84" s="423"/>
      <c r="K84" s="423"/>
      <c r="L84" s="423"/>
      <c r="M84" s="423"/>
      <c r="Q84" s="423"/>
      <c r="R84" s="424" t="s">
        <v>3112</v>
      </c>
      <c r="S84" s="424" t="s">
        <v>2846</v>
      </c>
      <c r="T84" s="424" t="s">
        <v>2870</v>
      </c>
      <c r="U84" s="424">
        <v>0</v>
      </c>
      <c r="V84" s="424" t="s">
        <v>3054</v>
      </c>
      <c r="W84" s="424" t="s">
        <v>3055</v>
      </c>
      <c r="X84" s="424" t="s">
        <v>2825</v>
      </c>
      <c r="Y84" s="424" t="s">
        <v>2279</v>
      </c>
      <c r="Z84" s="424" t="s">
        <v>2872</v>
      </c>
      <c r="AA84" s="424" t="s">
        <v>2873</v>
      </c>
      <c r="AB84" s="424" t="s">
        <v>3113</v>
      </c>
      <c r="AC84" s="424" t="s">
        <v>1953</v>
      </c>
      <c r="AD84" s="424" t="s">
        <v>2875</v>
      </c>
      <c r="AE84" s="424" t="s">
        <v>3114</v>
      </c>
      <c r="AF84" s="424"/>
      <c r="AG84" s="424"/>
      <c r="AH84" s="424"/>
    </row>
    <row r="85" spans="1:34" x14ac:dyDescent="0.25">
      <c r="A85" s="423" t="s">
        <v>2975</v>
      </c>
      <c r="B85" s="423" t="s">
        <v>3115</v>
      </c>
      <c r="C85" s="423" t="s">
        <v>988</v>
      </c>
      <c r="D85" s="423" t="s">
        <v>2886</v>
      </c>
      <c r="E85" s="423" t="s">
        <v>2818</v>
      </c>
      <c r="F85" s="423">
        <v>16</v>
      </c>
      <c r="G85" s="423">
        <v>64</v>
      </c>
      <c r="H85" s="423">
        <v>120</v>
      </c>
      <c r="J85" s="423"/>
      <c r="K85" s="423"/>
      <c r="L85" s="423"/>
      <c r="M85" s="423"/>
      <c r="Q85" s="423"/>
      <c r="R85" s="424" t="s">
        <v>3116</v>
      </c>
      <c r="S85" s="424" t="s">
        <v>2846</v>
      </c>
      <c r="T85" s="424" t="s">
        <v>2870</v>
      </c>
      <c r="U85" s="424">
        <v>0</v>
      </c>
      <c r="V85" s="424" t="s">
        <v>3054</v>
      </c>
      <c r="W85" s="424" t="s">
        <v>3055</v>
      </c>
      <c r="X85" s="424" t="s">
        <v>2825</v>
      </c>
      <c r="Y85" s="424" t="s">
        <v>2279</v>
      </c>
      <c r="Z85" s="424" t="s">
        <v>2872</v>
      </c>
      <c r="AA85" s="424" t="s">
        <v>2873</v>
      </c>
      <c r="AB85" s="424" t="s">
        <v>3117</v>
      </c>
      <c r="AC85" s="424" t="s">
        <v>1953</v>
      </c>
      <c r="AD85" s="424" t="s">
        <v>2875</v>
      </c>
      <c r="AE85" s="424" t="s">
        <v>3060</v>
      </c>
      <c r="AF85" s="424"/>
      <c r="AG85" s="424"/>
      <c r="AH85" s="424"/>
    </row>
    <row r="86" spans="1:34" x14ac:dyDescent="0.25">
      <c r="A86" s="423" t="s">
        <v>2975</v>
      </c>
      <c r="B86" s="423" t="s">
        <v>3118</v>
      </c>
      <c r="C86" s="423" t="s">
        <v>988</v>
      </c>
      <c r="D86" s="423" t="s">
        <v>2886</v>
      </c>
      <c r="E86" s="423" t="s">
        <v>2818</v>
      </c>
      <c r="F86" s="423">
        <v>16</v>
      </c>
      <c r="G86" s="423">
        <v>64</v>
      </c>
      <c r="H86" s="423">
        <v>120</v>
      </c>
      <c r="J86" s="423"/>
      <c r="K86" s="423"/>
      <c r="L86" s="423"/>
      <c r="M86" s="423"/>
      <c r="Q86" s="423"/>
      <c r="R86" s="424" t="s">
        <v>3119</v>
      </c>
      <c r="S86" s="424" t="s">
        <v>2846</v>
      </c>
      <c r="T86" s="424" t="s">
        <v>2870</v>
      </c>
      <c r="U86" s="424">
        <v>0</v>
      </c>
      <c r="V86" s="424" t="s">
        <v>3054</v>
      </c>
      <c r="W86" s="424" t="s">
        <v>3055</v>
      </c>
      <c r="X86" s="424" t="s">
        <v>2825</v>
      </c>
      <c r="Y86" s="424" t="s">
        <v>2279</v>
      </c>
      <c r="Z86" s="424" t="s">
        <v>2872</v>
      </c>
      <c r="AA86" s="424" t="s">
        <v>2873</v>
      </c>
      <c r="AB86" s="424" t="s">
        <v>3120</v>
      </c>
      <c r="AC86" s="424" t="s">
        <v>1953</v>
      </c>
      <c r="AD86" s="424" t="s">
        <v>2875</v>
      </c>
      <c r="AE86" s="424" t="s">
        <v>2880</v>
      </c>
      <c r="AF86" s="424"/>
      <c r="AG86" s="424"/>
      <c r="AH86" s="424"/>
    </row>
    <row r="87" spans="1:34" x14ac:dyDescent="0.25">
      <c r="A87" s="423" t="s">
        <v>2975</v>
      </c>
      <c r="B87" s="423" t="s">
        <v>3121</v>
      </c>
      <c r="C87" s="423" t="s">
        <v>988</v>
      </c>
      <c r="D87" s="423" t="s">
        <v>2886</v>
      </c>
      <c r="E87" s="423" t="s">
        <v>2818</v>
      </c>
      <c r="F87" s="423">
        <v>16</v>
      </c>
      <c r="G87" s="423">
        <v>64</v>
      </c>
      <c r="H87" s="423">
        <v>120</v>
      </c>
      <c r="J87" s="423"/>
      <c r="K87" s="423"/>
      <c r="L87" s="423"/>
      <c r="M87" s="423"/>
      <c r="Q87" s="423"/>
      <c r="R87" s="424" t="s">
        <v>3122</v>
      </c>
      <c r="S87" s="424" t="s">
        <v>2846</v>
      </c>
      <c r="T87" s="424" t="s">
        <v>2870</v>
      </c>
      <c r="U87" s="424">
        <v>0</v>
      </c>
      <c r="V87" s="424" t="s">
        <v>3054</v>
      </c>
      <c r="W87" s="424" t="s">
        <v>3055</v>
      </c>
      <c r="X87" s="424" t="s">
        <v>2825</v>
      </c>
      <c r="Y87" s="424" t="s">
        <v>2279</v>
      </c>
      <c r="Z87" s="424" t="s">
        <v>2872</v>
      </c>
      <c r="AA87" s="424" t="s">
        <v>2873</v>
      </c>
      <c r="AB87" s="424" t="s">
        <v>3123</v>
      </c>
      <c r="AC87" s="424" t="s">
        <v>1953</v>
      </c>
      <c r="AD87" s="424" t="s">
        <v>2875</v>
      </c>
      <c r="AE87" s="424" t="s">
        <v>3060</v>
      </c>
      <c r="AF87" s="424"/>
      <c r="AG87" s="424"/>
      <c r="AH87" s="424"/>
    </row>
    <row r="88" spans="1:34" x14ac:dyDescent="0.25">
      <c r="A88" s="423" t="s">
        <v>2975</v>
      </c>
      <c r="B88" s="423" t="s">
        <v>3124</v>
      </c>
      <c r="C88" s="423" t="s">
        <v>988</v>
      </c>
      <c r="D88" s="423" t="s">
        <v>2886</v>
      </c>
      <c r="E88" s="423" t="s">
        <v>2818</v>
      </c>
      <c r="F88" s="423">
        <v>16</v>
      </c>
      <c r="G88" s="423">
        <v>64</v>
      </c>
      <c r="H88" s="423">
        <v>120</v>
      </c>
      <c r="J88" s="423"/>
      <c r="K88" s="423"/>
      <c r="L88" s="423"/>
      <c r="M88" s="423"/>
      <c r="Q88" s="423"/>
      <c r="R88" s="424" t="s">
        <v>3125</v>
      </c>
      <c r="S88" s="424" t="s">
        <v>2846</v>
      </c>
      <c r="T88" s="424" t="s">
        <v>2870</v>
      </c>
      <c r="U88" s="424">
        <v>0</v>
      </c>
      <c r="V88" s="424" t="s">
        <v>3054</v>
      </c>
      <c r="W88" s="424" t="s">
        <v>3055</v>
      </c>
      <c r="X88" s="424" t="s">
        <v>2825</v>
      </c>
      <c r="Y88" s="424" t="s">
        <v>2279</v>
      </c>
      <c r="Z88" s="424" t="s">
        <v>2872</v>
      </c>
      <c r="AA88" s="424" t="s">
        <v>2873</v>
      </c>
      <c r="AB88" s="424" t="s">
        <v>3126</v>
      </c>
      <c r="AC88" s="424" t="s">
        <v>1953</v>
      </c>
      <c r="AD88" s="424" t="s">
        <v>2875</v>
      </c>
      <c r="AE88" s="424" t="s">
        <v>2880</v>
      </c>
      <c r="AF88" s="424"/>
      <c r="AG88" s="424"/>
      <c r="AH88" s="424"/>
    </row>
    <row r="89" spans="1:34" x14ac:dyDescent="0.25">
      <c r="A89" s="423" t="s">
        <v>2975</v>
      </c>
      <c r="B89" s="423" t="s">
        <v>3127</v>
      </c>
      <c r="C89" s="423" t="s">
        <v>988</v>
      </c>
      <c r="D89" s="423" t="s">
        <v>2886</v>
      </c>
      <c r="E89" s="423" t="s">
        <v>2818</v>
      </c>
      <c r="F89" s="423">
        <v>16</v>
      </c>
      <c r="G89" s="423">
        <v>64</v>
      </c>
      <c r="H89" s="423">
        <v>120</v>
      </c>
      <c r="J89" s="423"/>
      <c r="K89" s="423"/>
      <c r="L89" s="423"/>
      <c r="M89" s="423"/>
      <c r="Q89" s="423"/>
      <c r="R89" s="424" t="s">
        <v>3128</v>
      </c>
      <c r="S89" s="424" t="s">
        <v>2846</v>
      </c>
      <c r="T89" s="424" t="s">
        <v>2870</v>
      </c>
      <c r="U89" s="424">
        <v>0</v>
      </c>
      <c r="V89" s="424" t="s">
        <v>3054</v>
      </c>
      <c r="W89" s="424" t="s">
        <v>3055</v>
      </c>
      <c r="X89" s="424" t="s">
        <v>2825</v>
      </c>
      <c r="Y89" s="424" t="s">
        <v>2279</v>
      </c>
      <c r="Z89" s="424" t="s">
        <v>2872</v>
      </c>
      <c r="AA89" s="424" t="s">
        <v>2873</v>
      </c>
      <c r="AB89" s="424" t="s">
        <v>3126</v>
      </c>
      <c r="AC89" s="424" t="s">
        <v>1953</v>
      </c>
      <c r="AD89" s="424" t="s">
        <v>2875</v>
      </c>
      <c r="AE89" s="424" t="s">
        <v>2880</v>
      </c>
      <c r="AF89" s="424"/>
      <c r="AG89" s="424"/>
      <c r="AH89" s="424"/>
    </row>
    <row r="90" spans="1:34" x14ac:dyDescent="0.25">
      <c r="A90" s="423" t="s">
        <v>2975</v>
      </c>
      <c r="B90" s="423" t="s">
        <v>3129</v>
      </c>
      <c r="C90" s="423" t="s">
        <v>988</v>
      </c>
      <c r="D90" s="423" t="s">
        <v>2886</v>
      </c>
      <c r="E90" s="423" t="s">
        <v>2818</v>
      </c>
      <c r="F90" s="423">
        <v>16</v>
      </c>
      <c r="G90" s="423">
        <v>64</v>
      </c>
      <c r="H90" s="423">
        <v>120</v>
      </c>
      <c r="J90" s="423"/>
      <c r="K90" s="423"/>
      <c r="L90" s="423"/>
      <c r="M90" s="423"/>
      <c r="Q90" s="423"/>
      <c r="R90" s="424" t="s">
        <v>3130</v>
      </c>
      <c r="S90" s="424" t="s">
        <v>2846</v>
      </c>
      <c r="T90" s="424" t="s">
        <v>2870</v>
      </c>
      <c r="U90" s="424">
        <v>0</v>
      </c>
      <c r="V90" s="424" t="s">
        <v>3054</v>
      </c>
      <c r="W90" s="424" t="s">
        <v>3055</v>
      </c>
      <c r="X90" s="424" t="s">
        <v>2825</v>
      </c>
      <c r="Y90" s="424" t="s">
        <v>2279</v>
      </c>
      <c r="Z90" s="424" t="s">
        <v>2872</v>
      </c>
      <c r="AA90" s="424" t="s">
        <v>2873</v>
      </c>
      <c r="AB90" s="424" t="s">
        <v>3071</v>
      </c>
      <c r="AC90" s="424" t="s">
        <v>1953</v>
      </c>
      <c r="AD90" s="424" t="s">
        <v>2875</v>
      </c>
      <c r="AE90" s="424" t="s">
        <v>2876</v>
      </c>
      <c r="AF90" s="424"/>
      <c r="AG90" s="424"/>
      <c r="AH90" s="424"/>
    </row>
    <row r="91" spans="1:34" x14ac:dyDescent="0.25">
      <c r="A91" s="423" t="s">
        <v>2975</v>
      </c>
      <c r="B91" s="423" t="s">
        <v>3131</v>
      </c>
      <c r="C91" s="423" t="s">
        <v>988</v>
      </c>
      <c r="D91" s="423" t="s">
        <v>2886</v>
      </c>
      <c r="E91" s="423" t="s">
        <v>2818</v>
      </c>
      <c r="F91" s="423">
        <v>16</v>
      </c>
      <c r="G91" s="423">
        <v>64</v>
      </c>
      <c r="H91" s="423">
        <v>120</v>
      </c>
      <c r="J91" s="423"/>
      <c r="K91" s="423"/>
      <c r="L91" s="423"/>
      <c r="M91" s="423"/>
      <c r="Q91" s="423"/>
      <c r="R91" s="424" t="s">
        <v>3132</v>
      </c>
      <c r="S91" s="424" t="s">
        <v>2846</v>
      </c>
      <c r="T91" s="424" t="s">
        <v>2870</v>
      </c>
      <c r="U91" s="424">
        <v>0</v>
      </c>
      <c r="V91" s="424" t="s">
        <v>3054</v>
      </c>
      <c r="W91" s="424" t="s">
        <v>3055</v>
      </c>
      <c r="X91" s="424" t="s">
        <v>2825</v>
      </c>
      <c r="Y91" s="424" t="s">
        <v>2279</v>
      </c>
      <c r="Z91" s="424" t="s">
        <v>2872</v>
      </c>
      <c r="AA91" s="424" t="s">
        <v>2873</v>
      </c>
      <c r="AB91" s="424" t="s">
        <v>3126</v>
      </c>
      <c r="AC91" s="424" t="s">
        <v>1953</v>
      </c>
      <c r="AD91" s="424" t="s">
        <v>2875</v>
      </c>
      <c r="AE91" s="424" t="s">
        <v>2880</v>
      </c>
      <c r="AF91" s="424"/>
      <c r="AG91" s="424"/>
      <c r="AH91" s="424"/>
    </row>
    <row r="92" spans="1:34" x14ac:dyDescent="0.25">
      <c r="A92" s="423" t="s">
        <v>2975</v>
      </c>
      <c r="B92" s="423" t="s">
        <v>3133</v>
      </c>
      <c r="C92" s="423" t="s">
        <v>988</v>
      </c>
      <c r="D92" s="423" t="s">
        <v>2886</v>
      </c>
      <c r="E92" s="423" t="s">
        <v>2818</v>
      </c>
      <c r="F92" s="423">
        <v>16</v>
      </c>
      <c r="G92" s="423">
        <v>64</v>
      </c>
      <c r="H92" s="423">
        <v>120</v>
      </c>
      <c r="J92" s="423"/>
      <c r="K92" s="423"/>
      <c r="L92" s="423"/>
      <c r="M92" s="423"/>
      <c r="Q92" s="423"/>
      <c r="R92" s="424" t="s">
        <v>3134</v>
      </c>
      <c r="S92" s="424" t="s">
        <v>2846</v>
      </c>
      <c r="T92" s="424" t="s">
        <v>2870</v>
      </c>
      <c r="U92" s="424">
        <v>0</v>
      </c>
      <c r="V92" s="424" t="s">
        <v>3054</v>
      </c>
      <c r="W92" s="424" t="s">
        <v>3055</v>
      </c>
      <c r="X92" s="424" t="s">
        <v>2825</v>
      </c>
      <c r="Y92" s="424" t="s">
        <v>2279</v>
      </c>
      <c r="Z92" s="424" t="s">
        <v>2872</v>
      </c>
      <c r="AA92" s="424" t="s">
        <v>2873</v>
      </c>
      <c r="AB92" s="424" t="s">
        <v>3135</v>
      </c>
      <c r="AC92" s="424" t="s">
        <v>1953</v>
      </c>
      <c r="AD92" s="424" t="s">
        <v>2875</v>
      </c>
      <c r="AE92" s="424" t="s">
        <v>3060</v>
      </c>
      <c r="AF92" s="424"/>
      <c r="AG92" s="424"/>
      <c r="AH92" s="424"/>
    </row>
    <row r="93" spans="1:34" x14ac:dyDescent="0.25">
      <c r="A93" s="423" t="s">
        <v>2975</v>
      </c>
      <c r="B93" s="423" t="s">
        <v>3136</v>
      </c>
      <c r="C93" s="423" t="s">
        <v>988</v>
      </c>
      <c r="D93" s="423" t="s">
        <v>2886</v>
      </c>
      <c r="E93" s="423" t="s">
        <v>2818</v>
      </c>
      <c r="F93" s="423">
        <v>16</v>
      </c>
      <c r="G93" s="423">
        <v>64</v>
      </c>
      <c r="H93" s="423">
        <v>120</v>
      </c>
      <c r="J93" s="423"/>
      <c r="K93" s="423"/>
      <c r="L93" s="423"/>
      <c r="M93" s="423"/>
      <c r="Q93" s="423"/>
      <c r="R93" s="424" t="s">
        <v>3137</v>
      </c>
      <c r="S93" s="424" t="s">
        <v>2846</v>
      </c>
      <c r="T93" s="424" t="s">
        <v>2870</v>
      </c>
      <c r="U93" s="424">
        <v>0</v>
      </c>
      <c r="V93" s="424" t="s">
        <v>3054</v>
      </c>
      <c r="W93" s="424" t="s">
        <v>3055</v>
      </c>
      <c r="X93" s="424" t="s">
        <v>2825</v>
      </c>
      <c r="Y93" s="424" t="s">
        <v>2279</v>
      </c>
      <c r="Z93" s="424" t="s">
        <v>2872</v>
      </c>
      <c r="AA93" s="424" t="s">
        <v>2873</v>
      </c>
      <c r="AB93" s="424" t="s">
        <v>3138</v>
      </c>
      <c r="AC93" s="424" t="s">
        <v>1953</v>
      </c>
      <c r="AD93" s="424" t="s">
        <v>2875</v>
      </c>
      <c r="AE93" s="424" t="s">
        <v>2880</v>
      </c>
      <c r="AF93" s="424"/>
      <c r="AG93" s="424"/>
      <c r="AH93" s="424"/>
    </row>
    <row r="94" spans="1:34" x14ac:dyDescent="0.25">
      <c r="A94" s="423" t="s">
        <v>2975</v>
      </c>
      <c r="B94" s="423" t="s">
        <v>3139</v>
      </c>
      <c r="C94" s="423" t="s">
        <v>988</v>
      </c>
      <c r="D94" s="423" t="s">
        <v>2886</v>
      </c>
      <c r="E94" s="423" t="s">
        <v>2818</v>
      </c>
      <c r="F94" s="423">
        <v>16</v>
      </c>
      <c r="G94" s="423">
        <v>64</v>
      </c>
      <c r="H94" s="423">
        <v>120</v>
      </c>
      <c r="J94" s="423"/>
      <c r="K94" s="423"/>
      <c r="L94" s="423"/>
      <c r="M94" s="423"/>
      <c r="Q94" s="423"/>
      <c r="R94" s="424" t="s">
        <v>3140</v>
      </c>
      <c r="S94" s="424" t="s">
        <v>2846</v>
      </c>
      <c r="T94" s="424" t="s">
        <v>2870</v>
      </c>
      <c r="U94" s="424">
        <v>0</v>
      </c>
      <c r="V94" s="424" t="s">
        <v>3054</v>
      </c>
      <c r="W94" s="424" t="s">
        <v>3055</v>
      </c>
      <c r="X94" s="424" t="s">
        <v>2825</v>
      </c>
      <c r="Y94" s="424" t="s">
        <v>2279</v>
      </c>
      <c r="Z94" s="424" t="s">
        <v>2872</v>
      </c>
      <c r="AA94" s="424" t="s">
        <v>2873</v>
      </c>
      <c r="AB94" s="424" t="s">
        <v>3141</v>
      </c>
      <c r="AC94" s="424" t="s">
        <v>1953</v>
      </c>
      <c r="AD94" s="424" t="s">
        <v>2875</v>
      </c>
      <c r="AE94" s="424" t="s">
        <v>3060</v>
      </c>
      <c r="AF94" s="424"/>
      <c r="AG94" s="424"/>
      <c r="AH94" s="424"/>
    </row>
    <row r="95" spans="1:34" x14ac:dyDescent="0.25">
      <c r="A95" s="423" t="s">
        <v>2975</v>
      </c>
      <c r="B95" s="423" t="s">
        <v>3142</v>
      </c>
      <c r="C95" s="423" t="s">
        <v>988</v>
      </c>
      <c r="D95" s="423" t="s">
        <v>2886</v>
      </c>
      <c r="E95" s="423" t="s">
        <v>2818</v>
      </c>
      <c r="F95" s="423">
        <v>16</v>
      </c>
      <c r="G95" s="423">
        <v>64</v>
      </c>
      <c r="H95" s="423">
        <v>120</v>
      </c>
      <c r="J95" s="423"/>
      <c r="K95" s="423"/>
      <c r="L95" s="423"/>
      <c r="M95" s="423"/>
      <c r="Q95" s="423"/>
      <c r="R95" s="424" t="s">
        <v>3143</v>
      </c>
      <c r="S95" s="424" t="s">
        <v>2846</v>
      </c>
      <c r="T95" s="424" t="s">
        <v>2870</v>
      </c>
      <c r="U95" s="424">
        <v>0</v>
      </c>
      <c r="V95" s="424" t="s">
        <v>3054</v>
      </c>
      <c r="W95" s="424" t="s">
        <v>3055</v>
      </c>
      <c r="X95" s="424" t="s">
        <v>2825</v>
      </c>
      <c r="Y95" s="424" t="s">
        <v>2279</v>
      </c>
      <c r="Z95" s="424" t="s">
        <v>2872</v>
      </c>
      <c r="AA95" s="424" t="s">
        <v>2873</v>
      </c>
      <c r="AB95" s="424" t="s">
        <v>3056</v>
      </c>
      <c r="AC95" s="424" t="s">
        <v>1953</v>
      </c>
      <c r="AD95" s="424" t="s">
        <v>2875</v>
      </c>
      <c r="AE95" s="424" t="s">
        <v>2880</v>
      </c>
      <c r="AF95" s="424"/>
      <c r="AG95" s="424"/>
      <c r="AH95" s="424"/>
    </row>
    <row r="96" spans="1:34" x14ac:dyDescent="0.25">
      <c r="A96" s="423" t="s">
        <v>2975</v>
      </c>
      <c r="B96" s="423" t="s">
        <v>3144</v>
      </c>
      <c r="C96" s="423" t="s">
        <v>988</v>
      </c>
      <c r="D96" s="423" t="s">
        <v>2886</v>
      </c>
      <c r="E96" s="423" t="s">
        <v>2818</v>
      </c>
      <c r="F96" s="423">
        <v>16</v>
      </c>
      <c r="G96" s="423">
        <v>64</v>
      </c>
      <c r="H96" s="423">
        <v>120</v>
      </c>
      <c r="J96" s="423"/>
      <c r="K96" s="423"/>
      <c r="L96" s="423"/>
      <c r="M96" s="423"/>
      <c r="Q96" s="423"/>
      <c r="R96" s="424" t="s">
        <v>3145</v>
      </c>
      <c r="S96" s="424" t="s">
        <v>2846</v>
      </c>
      <c r="T96" s="424" t="s">
        <v>2870</v>
      </c>
      <c r="U96" s="424">
        <v>0</v>
      </c>
      <c r="V96" s="424" t="s">
        <v>3054</v>
      </c>
      <c r="W96" s="424" t="s">
        <v>3055</v>
      </c>
      <c r="X96" s="424" t="s">
        <v>2825</v>
      </c>
      <c r="Y96" s="424" t="s">
        <v>2279</v>
      </c>
      <c r="Z96" s="424" t="s">
        <v>2872</v>
      </c>
      <c r="AA96" s="424" t="s">
        <v>2873</v>
      </c>
      <c r="AB96" s="424" t="s">
        <v>3099</v>
      </c>
      <c r="AC96" s="424" t="s">
        <v>1953</v>
      </c>
      <c r="AD96" s="424" t="s">
        <v>2875</v>
      </c>
      <c r="AE96" s="424" t="s">
        <v>2876</v>
      </c>
      <c r="AF96" s="424"/>
      <c r="AG96" s="424"/>
      <c r="AH96" s="424"/>
    </row>
    <row r="97" spans="1:34" x14ac:dyDescent="0.25">
      <c r="A97" s="423" t="s">
        <v>2975</v>
      </c>
      <c r="B97" s="423" t="s">
        <v>3146</v>
      </c>
      <c r="C97" s="423" t="s">
        <v>988</v>
      </c>
      <c r="D97" s="423" t="s">
        <v>2886</v>
      </c>
      <c r="E97" s="423" t="s">
        <v>2818</v>
      </c>
      <c r="F97" s="423">
        <v>16</v>
      </c>
      <c r="G97" s="423">
        <v>64</v>
      </c>
      <c r="H97" s="423">
        <v>120</v>
      </c>
      <c r="J97" s="423"/>
      <c r="K97" s="423"/>
      <c r="L97" s="423"/>
      <c r="M97" s="423"/>
      <c r="Q97" s="423"/>
      <c r="R97" s="424" t="s">
        <v>3147</v>
      </c>
      <c r="S97" s="424" t="s">
        <v>2846</v>
      </c>
      <c r="T97" s="424" t="s">
        <v>2870</v>
      </c>
      <c r="U97" s="424">
        <v>0</v>
      </c>
      <c r="V97" s="424" t="s">
        <v>3054</v>
      </c>
      <c r="W97" s="424" t="s">
        <v>3055</v>
      </c>
      <c r="X97" s="424" t="s">
        <v>2825</v>
      </c>
      <c r="Y97" s="424" t="s">
        <v>2279</v>
      </c>
      <c r="Z97" s="424" t="s">
        <v>2872</v>
      </c>
      <c r="AA97" s="424" t="s">
        <v>2873</v>
      </c>
      <c r="AB97" s="424" t="s">
        <v>3068</v>
      </c>
      <c r="AC97" s="424" t="s">
        <v>1953</v>
      </c>
      <c r="AD97" s="424" t="s">
        <v>2875</v>
      </c>
      <c r="AE97" s="424" t="s">
        <v>2880</v>
      </c>
      <c r="AF97" s="424"/>
      <c r="AG97" s="424"/>
      <c r="AH97" s="424"/>
    </row>
    <row r="98" spans="1:34" x14ac:dyDescent="0.25">
      <c r="A98" s="423" t="s">
        <v>2975</v>
      </c>
      <c r="B98" s="423" t="s">
        <v>3148</v>
      </c>
      <c r="C98" s="423" t="s">
        <v>988</v>
      </c>
      <c r="D98" s="423" t="s">
        <v>2886</v>
      </c>
      <c r="E98" s="423" t="s">
        <v>2818</v>
      </c>
      <c r="F98" s="423">
        <v>16</v>
      </c>
      <c r="G98" s="423">
        <v>64</v>
      </c>
      <c r="H98" s="423">
        <v>120</v>
      </c>
      <c r="J98" s="423"/>
      <c r="K98" s="423"/>
      <c r="L98" s="423"/>
      <c r="M98" s="423"/>
      <c r="Q98" s="423"/>
      <c r="R98" s="424" t="s">
        <v>3149</v>
      </c>
      <c r="S98" s="424" t="s">
        <v>2846</v>
      </c>
      <c r="T98" s="424" t="s">
        <v>2870</v>
      </c>
      <c r="U98" s="424">
        <v>0</v>
      </c>
      <c r="V98" s="424" t="s">
        <v>3054</v>
      </c>
      <c r="W98" s="424" t="s">
        <v>3055</v>
      </c>
      <c r="X98" s="424" t="s">
        <v>2825</v>
      </c>
      <c r="Y98" s="424" t="s">
        <v>2279</v>
      </c>
      <c r="Z98" s="424" t="s">
        <v>2872</v>
      </c>
      <c r="AA98" s="424" t="s">
        <v>2873</v>
      </c>
      <c r="AB98" s="424" t="s">
        <v>3065</v>
      </c>
      <c r="AC98" s="424" t="s">
        <v>1953</v>
      </c>
      <c r="AD98" s="424" t="s">
        <v>2875</v>
      </c>
      <c r="AE98" s="424" t="s">
        <v>3060</v>
      </c>
      <c r="AF98" s="424"/>
      <c r="AG98" s="424"/>
      <c r="AH98" s="424"/>
    </row>
    <row r="99" spans="1:34" x14ac:dyDescent="0.25">
      <c r="A99" s="423" t="s">
        <v>2975</v>
      </c>
      <c r="B99" s="423" t="s">
        <v>3150</v>
      </c>
      <c r="C99" s="423" t="s">
        <v>988</v>
      </c>
      <c r="D99" s="423" t="s">
        <v>2886</v>
      </c>
      <c r="E99" s="423" t="s">
        <v>2818</v>
      </c>
      <c r="F99" s="423">
        <v>16</v>
      </c>
      <c r="G99" s="423">
        <v>64</v>
      </c>
      <c r="H99" s="423">
        <v>120</v>
      </c>
      <c r="J99" s="423"/>
      <c r="K99" s="423"/>
      <c r="L99" s="423"/>
      <c r="M99" s="423"/>
      <c r="Q99" s="423"/>
      <c r="R99" s="424" t="s">
        <v>3151</v>
      </c>
      <c r="S99" s="424" t="s">
        <v>2846</v>
      </c>
      <c r="T99" s="424" t="s">
        <v>3152</v>
      </c>
      <c r="U99" s="424">
        <v>0</v>
      </c>
      <c r="V99" s="424" t="s">
        <v>2823</v>
      </c>
      <c r="W99" s="424" t="s">
        <v>2974</v>
      </c>
      <c r="X99" s="424" t="s">
        <v>2825</v>
      </c>
      <c r="Y99" s="424" t="s">
        <v>2279</v>
      </c>
      <c r="Z99" s="424" t="s">
        <v>2848</v>
      </c>
      <c r="AA99" s="424" t="s">
        <v>2849</v>
      </c>
      <c r="AB99" s="424" t="s">
        <v>3153</v>
      </c>
      <c r="AC99" s="424" t="s">
        <v>1953</v>
      </c>
      <c r="AD99" s="424" t="s">
        <v>2851</v>
      </c>
      <c r="AE99" s="424" t="s">
        <v>3154</v>
      </c>
      <c r="AF99" s="424"/>
      <c r="AG99" s="424"/>
      <c r="AH99" s="424"/>
    </row>
    <row r="100" spans="1:34" x14ac:dyDescent="0.25">
      <c r="A100" s="423" t="s">
        <v>2975</v>
      </c>
      <c r="B100" s="423" t="s">
        <v>3155</v>
      </c>
      <c r="C100" s="423" t="s">
        <v>988</v>
      </c>
      <c r="D100" s="423" t="s">
        <v>2886</v>
      </c>
      <c r="E100" s="423" t="s">
        <v>2818</v>
      </c>
      <c r="F100" s="423">
        <v>16</v>
      </c>
      <c r="G100" s="423">
        <v>64</v>
      </c>
      <c r="H100" s="423">
        <v>120</v>
      </c>
      <c r="J100" s="423"/>
      <c r="K100" s="423"/>
      <c r="L100" s="423"/>
      <c r="M100" s="423"/>
      <c r="Q100" s="423"/>
      <c r="R100" s="424" t="s">
        <v>3156</v>
      </c>
      <c r="S100" s="424" t="s">
        <v>2846</v>
      </c>
      <c r="T100" s="424" t="s">
        <v>3152</v>
      </c>
      <c r="U100" s="424">
        <v>0</v>
      </c>
      <c r="V100" s="424" t="s">
        <v>2823</v>
      </c>
      <c r="W100" s="424" t="s">
        <v>3074</v>
      </c>
      <c r="X100" s="424" t="s">
        <v>2825</v>
      </c>
      <c r="Y100" s="424" t="s">
        <v>2279</v>
      </c>
      <c r="Z100" s="424" t="s">
        <v>2848</v>
      </c>
      <c r="AA100" s="424" t="s">
        <v>2849</v>
      </c>
      <c r="AB100" s="424" t="s">
        <v>3157</v>
      </c>
      <c r="AC100" s="424" t="s">
        <v>1953</v>
      </c>
      <c r="AD100" s="424" t="s">
        <v>2851</v>
      </c>
      <c r="AE100" s="424" t="s">
        <v>3158</v>
      </c>
      <c r="AF100" s="424"/>
      <c r="AG100" s="424"/>
      <c r="AH100" s="424"/>
    </row>
    <row r="101" spans="1:34" x14ac:dyDescent="0.25">
      <c r="A101" s="423" t="s">
        <v>2975</v>
      </c>
      <c r="B101" s="423" t="s">
        <v>3159</v>
      </c>
      <c r="C101" s="423" t="s">
        <v>988</v>
      </c>
      <c r="D101" s="423" t="s">
        <v>2886</v>
      </c>
      <c r="E101" s="423" t="s">
        <v>2818</v>
      </c>
      <c r="F101" s="423">
        <v>16</v>
      </c>
      <c r="G101" s="423">
        <v>64</v>
      </c>
      <c r="H101" s="423">
        <v>120</v>
      </c>
      <c r="J101" s="423"/>
      <c r="K101" s="423"/>
      <c r="L101" s="423"/>
      <c r="M101" s="423"/>
      <c r="Q101" s="423"/>
      <c r="R101" s="424" t="s">
        <v>3160</v>
      </c>
      <c r="S101" s="424" t="s">
        <v>2846</v>
      </c>
      <c r="T101" s="424" t="s">
        <v>3152</v>
      </c>
      <c r="U101" s="424">
        <v>0</v>
      </c>
      <c r="V101" s="424" t="s">
        <v>2823</v>
      </c>
      <c r="W101" s="424" t="s">
        <v>3055</v>
      </c>
      <c r="X101" s="424" t="s">
        <v>2825</v>
      </c>
      <c r="Y101" s="424" t="s">
        <v>2279</v>
      </c>
      <c r="Z101" s="424" t="s">
        <v>2848</v>
      </c>
      <c r="AA101" s="424" t="s">
        <v>2855</v>
      </c>
      <c r="AB101" s="424" t="s">
        <v>3161</v>
      </c>
      <c r="AC101" s="424" t="s">
        <v>1953</v>
      </c>
      <c r="AD101" s="424" t="s">
        <v>2851</v>
      </c>
      <c r="AE101" s="424" t="s">
        <v>2857</v>
      </c>
      <c r="AF101" s="424"/>
      <c r="AG101" s="424"/>
      <c r="AH101" s="424"/>
    </row>
    <row r="102" spans="1:34" x14ac:dyDescent="0.25">
      <c r="A102" s="423" t="s">
        <v>2975</v>
      </c>
      <c r="B102" s="423" t="s">
        <v>3162</v>
      </c>
      <c r="C102" s="423" t="s">
        <v>988</v>
      </c>
      <c r="D102" s="423" t="s">
        <v>2886</v>
      </c>
      <c r="E102" s="423" t="s">
        <v>2818</v>
      </c>
      <c r="F102" s="423">
        <v>16</v>
      </c>
      <c r="G102" s="423">
        <v>64</v>
      </c>
      <c r="H102" s="423">
        <v>120</v>
      </c>
      <c r="J102" s="423"/>
      <c r="K102" s="423"/>
      <c r="L102" s="423"/>
      <c r="M102" s="423"/>
      <c r="Q102" s="423"/>
      <c r="R102" s="424" t="s">
        <v>3163</v>
      </c>
      <c r="S102" s="424" t="s">
        <v>2846</v>
      </c>
      <c r="T102" s="424" t="s">
        <v>3152</v>
      </c>
      <c r="U102" s="424">
        <v>0</v>
      </c>
      <c r="V102" s="424" t="s">
        <v>2823</v>
      </c>
      <c r="W102" s="424" t="s">
        <v>3055</v>
      </c>
      <c r="X102" s="424" t="s">
        <v>2825</v>
      </c>
      <c r="Y102" s="424" t="s">
        <v>2279</v>
      </c>
      <c r="Z102" s="424" t="s">
        <v>2848</v>
      </c>
      <c r="AA102" s="424" t="s">
        <v>2849</v>
      </c>
      <c r="AB102" s="424" t="s">
        <v>3164</v>
      </c>
      <c r="AC102" s="424" t="s">
        <v>1953</v>
      </c>
      <c r="AD102" s="424" t="s">
        <v>2851</v>
      </c>
      <c r="AE102" s="424" t="s">
        <v>2901</v>
      </c>
      <c r="AF102" s="424"/>
      <c r="AG102" s="424"/>
      <c r="AH102" s="424"/>
    </row>
    <row r="103" spans="1:34" x14ac:dyDescent="0.25">
      <c r="A103" s="423" t="s">
        <v>2975</v>
      </c>
      <c r="B103" s="423" t="s">
        <v>3165</v>
      </c>
      <c r="C103" s="423" t="s">
        <v>988</v>
      </c>
      <c r="D103" s="423" t="s">
        <v>2886</v>
      </c>
      <c r="E103" s="423" t="s">
        <v>2818</v>
      </c>
      <c r="F103" s="423">
        <v>16</v>
      </c>
      <c r="G103" s="423">
        <v>64</v>
      </c>
      <c r="H103" s="423">
        <v>120</v>
      </c>
      <c r="J103" s="423"/>
      <c r="K103" s="423"/>
      <c r="L103" s="423"/>
      <c r="M103" s="423"/>
      <c r="Q103" s="423"/>
      <c r="R103" s="424" t="s">
        <v>3166</v>
      </c>
      <c r="S103" s="424" t="s">
        <v>2846</v>
      </c>
      <c r="T103" s="424" t="s">
        <v>3152</v>
      </c>
      <c r="U103" s="424">
        <v>0</v>
      </c>
      <c r="V103" s="424" t="s">
        <v>2823</v>
      </c>
      <c r="W103" s="424" t="s">
        <v>3055</v>
      </c>
      <c r="X103" s="424" t="s">
        <v>2825</v>
      </c>
      <c r="Y103" s="424" t="s">
        <v>2279</v>
      </c>
      <c r="Z103" s="424" t="s">
        <v>2848</v>
      </c>
      <c r="AA103" s="424" t="s">
        <v>2855</v>
      </c>
      <c r="AB103" s="424" t="s">
        <v>3167</v>
      </c>
      <c r="AC103" s="424" t="s">
        <v>1953</v>
      </c>
      <c r="AD103" s="424" t="s">
        <v>2851</v>
      </c>
      <c r="AE103" s="424" t="s">
        <v>3168</v>
      </c>
      <c r="AF103" s="424"/>
      <c r="AG103" s="424"/>
      <c r="AH103" s="424"/>
    </row>
    <row r="104" spans="1:34" x14ac:dyDescent="0.25">
      <c r="A104" s="423" t="s">
        <v>3169</v>
      </c>
      <c r="B104" s="423" t="s">
        <v>3170</v>
      </c>
      <c r="C104" s="423" t="s">
        <v>988</v>
      </c>
      <c r="D104" s="423" t="s">
        <v>2886</v>
      </c>
      <c r="E104" s="423" t="s">
        <v>2818</v>
      </c>
      <c r="F104" s="423">
        <v>24</v>
      </c>
      <c r="G104" s="423">
        <v>64</v>
      </c>
      <c r="H104" s="423">
        <v>500</v>
      </c>
      <c r="J104" s="423"/>
      <c r="K104" s="423"/>
      <c r="L104" s="423"/>
      <c r="M104" s="423"/>
      <c r="Q104" s="423"/>
      <c r="R104" s="424" t="s">
        <v>3171</v>
      </c>
      <c r="S104" s="424" t="s">
        <v>2846</v>
      </c>
      <c r="T104" s="424" t="s">
        <v>2870</v>
      </c>
      <c r="U104" s="424">
        <v>0</v>
      </c>
      <c r="V104" s="424">
        <v>0</v>
      </c>
      <c r="W104" s="424">
        <v>0</v>
      </c>
      <c r="X104" s="424" t="s">
        <v>2224</v>
      </c>
      <c r="Y104" s="424" t="s">
        <v>2279</v>
      </c>
      <c r="Z104" s="424" t="s">
        <v>2848</v>
      </c>
      <c r="AA104" s="424" t="s">
        <v>2855</v>
      </c>
      <c r="AB104" s="424" t="s">
        <v>3172</v>
      </c>
      <c r="AC104" s="424" t="s">
        <v>1953</v>
      </c>
      <c r="AD104" s="424" t="s">
        <v>2851</v>
      </c>
      <c r="AE104" s="424" t="s">
        <v>3173</v>
      </c>
      <c r="AF104" s="424"/>
      <c r="AG104" s="424"/>
      <c r="AH104" s="424"/>
    </row>
    <row r="105" spans="1:34" x14ac:dyDescent="0.25">
      <c r="A105" s="423" t="s">
        <v>3169</v>
      </c>
      <c r="B105" s="423" t="s">
        <v>3174</v>
      </c>
      <c r="C105" s="423" t="s">
        <v>988</v>
      </c>
      <c r="D105" s="423" t="s">
        <v>2886</v>
      </c>
      <c r="E105" s="423" t="s">
        <v>2818</v>
      </c>
      <c r="F105" s="423">
        <v>24</v>
      </c>
      <c r="G105" s="423">
        <v>64</v>
      </c>
      <c r="H105" s="423">
        <v>500</v>
      </c>
      <c r="J105" s="423"/>
      <c r="K105" s="423"/>
      <c r="L105" s="423"/>
      <c r="M105" s="423"/>
      <c r="Q105" s="423"/>
      <c r="R105" s="424" t="s">
        <v>3175</v>
      </c>
      <c r="S105" s="424" t="s">
        <v>2846</v>
      </c>
      <c r="T105" s="424" t="s">
        <v>2870</v>
      </c>
      <c r="U105" s="424">
        <v>0</v>
      </c>
      <c r="V105" s="424" t="s">
        <v>3176</v>
      </c>
      <c r="W105" s="424" t="s">
        <v>3074</v>
      </c>
      <c r="X105" s="424" t="s">
        <v>2224</v>
      </c>
      <c r="Y105" s="424" t="s">
        <v>2279</v>
      </c>
      <c r="Z105" s="424" t="s">
        <v>2848</v>
      </c>
      <c r="AA105" s="424" t="s">
        <v>2855</v>
      </c>
      <c r="AB105" s="424" t="s">
        <v>3172</v>
      </c>
      <c r="AC105" s="424" t="s">
        <v>1953</v>
      </c>
      <c r="AD105" s="424" t="s">
        <v>2851</v>
      </c>
      <c r="AE105" s="424" t="s">
        <v>3173</v>
      </c>
      <c r="AF105" s="424"/>
      <c r="AG105" s="424"/>
      <c r="AH105" s="424"/>
    </row>
    <row r="106" spans="1:34" x14ac:dyDescent="0.25">
      <c r="A106" s="423" t="s">
        <v>3169</v>
      </c>
      <c r="B106" s="423" t="s">
        <v>3177</v>
      </c>
      <c r="C106" s="423" t="s">
        <v>988</v>
      </c>
      <c r="D106" s="423" t="s">
        <v>2886</v>
      </c>
      <c r="E106" s="423" t="s">
        <v>2818</v>
      </c>
      <c r="F106" s="423">
        <v>24</v>
      </c>
      <c r="G106" s="423">
        <v>64</v>
      </c>
      <c r="H106" s="423">
        <v>500</v>
      </c>
      <c r="J106" s="423"/>
      <c r="K106" s="423"/>
      <c r="L106" s="423"/>
      <c r="M106" s="423"/>
      <c r="Q106" s="423"/>
      <c r="R106" s="424" t="s">
        <v>3178</v>
      </c>
      <c r="S106" s="424" t="s">
        <v>2846</v>
      </c>
      <c r="T106" s="424" t="s">
        <v>2870</v>
      </c>
      <c r="U106" s="424">
        <v>0</v>
      </c>
      <c r="V106" s="424" t="s">
        <v>3176</v>
      </c>
      <c r="W106" s="424" t="s">
        <v>2871</v>
      </c>
      <c r="X106" s="424" t="s">
        <v>2224</v>
      </c>
      <c r="Y106" s="424" t="s">
        <v>2279</v>
      </c>
      <c r="Z106" s="424" t="s">
        <v>2848</v>
      </c>
      <c r="AA106" s="424" t="s">
        <v>2855</v>
      </c>
      <c r="AB106" s="424" t="s">
        <v>3179</v>
      </c>
      <c r="AC106" s="424" t="s">
        <v>1953</v>
      </c>
      <c r="AD106" s="424" t="s">
        <v>2851</v>
      </c>
      <c r="AE106" s="424" t="s">
        <v>2901</v>
      </c>
      <c r="AF106" s="424"/>
      <c r="AG106" s="424"/>
      <c r="AH106" s="424"/>
    </row>
    <row r="107" spans="1:34" x14ac:dyDescent="0.25">
      <c r="A107" s="423" t="s">
        <v>3169</v>
      </c>
      <c r="B107" s="423" t="s">
        <v>3180</v>
      </c>
      <c r="C107" s="423" t="s">
        <v>988</v>
      </c>
      <c r="D107" s="423" t="s">
        <v>2886</v>
      </c>
      <c r="E107" s="423" t="s">
        <v>2818</v>
      </c>
      <c r="F107" s="423">
        <v>24</v>
      </c>
      <c r="G107" s="423">
        <v>64</v>
      </c>
      <c r="H107" s="423">
        <v>500</v>
      </c>
      <c r="J107" s="423"/>
      <c r="K107" s="423"/>
      <c r="L107" s="423"/>
      <c r="M107" s="423"/>
      <c r="Q107" s="423"/>
      <c r="R107" s="424" t="s">
        <v>3181</v>
      </c>
      <c r="S107" s="424" t="s">
        <v>2846</v>
      </c>
      <c r="T107" s="424" t="s">
        <v>2870</v>
      </c>
      <c r="U107" s="424">
        <v>0</v>
      </c>
      <c r="V107" s="424" t="s">
        <v>3176</v>
      </c>
      <c r="W107" s="424" t="s">
        <v>2871</v>
      </c>
      <c r="X107" s="424" t="s">
        <v>2224</v>
      </c>
      <c r="Y107" s="424" t="s">
        <v>2279</v>
      </c>
      <c r="Z107" s="424" t="s">
        <v>2848</v>
      </c>
      <c r="AA107" s="424" t="s">
        <v>2855</v>
      </c>
      <c r="AB107" s="424" t="s">
        <v>3182</v>
      </c>
      <c r="AC107" s="424" t="s">
        <v>1953</v>
      </c>
      <c r="AD107" s="424" t="s">
        <v>2851</v>
      </c>
      <c r="AE107" s="424" t="s">
        <v>2901</v>
      </c>
      <c r="AF107" s="424"/>
      <c r="AG107" s="424"/>
      <c r="AH107" s="424"/>
    </row>
    <row r="108" spans="1:34" x14ac:dyDescent="0.25">
      <c r="A108" s="423" t="s">
        <v>3169</v>
      </c>
      <c r="B108" s="423" t="s">
        <v>3183</v>
      </c>
      <c r="C108" s="423" t="s">
        <v>988</v>
      </c>
      <c r="D108" s="423" t="s">
        <v>2886</v>
      </c>
      <c r="E108" s="423" t="s">
        <v>2818</v>
      </c>
      <c r="F108" s="423">
        <v>24</v>
      </c>
      <c r="G108" s="423">
        <v>64</v>
      </c>
      <c r="H108" s="423">
        <v>500</v>
      </c>
      <c r="J108" s="423"/>
      <c r="K108" s="423"/>
      <c r="L108" s="423"/>
      <c r="M108" s="423"/>
      <c r="Q108" s="423"/>
      <c r="R108" s="424" t="s">
        <v>3184</v>
      </c>
      <c r="S108" s="424" t="s">
        <v>2846</v>
      </c>
      <c r="T108" s="424" t="s">
        <v>2870</v>
      </c>
      <c r="U108" s="424">
        <v>0</v>
      </c>
      <c r="V108" s="424" t="s">
        <v>3176</v>
      </c>
      <c r="W108" s="424" t="s">
        <v>3074</v>
      </c>
      <c r="X108" s="424" t="s">
        <v>2224</v>
      </c>
      <c r="Y108" s="424" t="s">
        <v>2279</v>
      </c>
      <c r="Z108" s="424" t="s">
        <v>2848</v>
      </c>
      <c r="AA108" s="424" t="s">
        <v>2855</v>
      </c>
      <c r="AB108" s="424" t="s">
        <v>3172</v>
      </c>
      <c r="AC108" s="424" t="s">
        <v>1953</v>
      </c>
      <c r="AD108" s="424" t="s">
        <v>2851</v>
      </c>
      <c r="AE108" s="424" t="s">
        <v>3173</v>
      </c>
      <c r="AF108" s="424"/>
      <c r="AG108" s="424"/>
      <c r="AH108" s="424"/>
    </row>
    <row r="109" spans="1:34" x14ac:dyDescent="0.25">
      <c r="A109" s="423" t="s">
        <v>3169</v>
      </c>
      <c r="B109" s="423" t="s">
        <v>3185</v>
      </c>
      <c r="C109" s="423" t="s">
        <v>988</v>
      </c>
      <c r="D109" s="423" t="s">
        <v>2886</v>
      </c>
      <c r="E109" s="423" t="s">
        <v>2818</v>
      </c>
      <c r="F109" s="423">
        <v>24</v>
      </c>
      <c r="G109" s="423">
        <v>64</v>
      </c>
      <c r="H109" s="423">
        <v>500</v>
      </c>
      <c r="J109" s="423"/>
      <c r="K109" s="423"/>
      <c r="L109" s="423"/>
      <c r="M109" s="423"/>
      <c r="Q109" s="423"/>
      <c r="R109" s="424" t="s">
        <v>3186</v>
      </c>
      <c r="S109" s="424" t="s">
        <v>2846</v>
      </c>
      <c r="T109" s="424" t="s">
        <v>2870</v>
      </c>
      <c r="U109" s="424">
        <v>0</v>
      </c>
      <c r="V109" s="424" t="s">
        <v>3176</v>
      </c>
      <c r="W109" s="424" t="s">
        <v>3074</v>
      </c>
      <c r="X109" s="424" t="s">
        <v>2224</v>
      </c>
      <c r="Y109" s="424" t="s">
        <v>2279</v>
      </c>
      <c r="Z109" s="424" t="s">
        <v>2848</v>
      </c>
      <c r="AA109" s="424" t="s">
        <v>2855</v>
      </c>
      <c r="AB109" s="424" t="s">
        <v>3187</v>
      </c>
      <c r="AC109" s="424" t="s">
        <v>1953</v>
      </c>
      <c r="AD109" s="424" t="s">
        <v>2851</v>
      </c>
      <c r="AE109" s="424" t="s">
        <v>3173</v>
      </c>
      <c r="AF109" s="424"/>
      <c r="AG109" s="424"/>
      <c r="AH109" s="424"/>
    </row>
    <row r="110" spans="1:34" x14ac:dyDescent="0.25">
      <c r="A110" s="423" t="s">
        <v>3169</v>
      </c>
      <c r="B110" s="423" t="s">
        <v>3188</v>
      </c>
      <c r="C110" s="423" t="s">
        <v>988</v>
      </c>
      <c r="D110" s="423" t="s">
        <v>2886</v>
      </c>
      <c r="E110" s="423" t="s">
        <v>2818</v>
      </c>
      <c r="F110" s="423">
        <v>24</v>
      </c>
      <c r="G110" s="423">
        <v>64</v>
      </c>
      <c r="H110" s="423">
        <v>500</v>
      </c>
      <c r="J110" s="423"/>
      <c r="K110" s="423"/>
      <c r="L110" s="423"/>
      <c r="M110" s="423"/>
      <c r="Q110" s="423"/>
      <c r="R110" s="424" t="s">
        <v>3189</v>
      </c>
      <c r="S110" s="424" t="s">
        <v>2846</v>
      </c>
      <c r="T110" s="424" t="s">
        <v>2870</v>
      </c>
      <c r="U110" s="424">
        <v>0</v>
      </c>
      <c r="V110" s="424" t="s">
        <v>3176</v>
      </c>
      <c r="W110" s="424" t="s">
        <v>2871</v>
      </c>
      <c r="X110" s="424" t="s">
        <v>2224</v>
      </c>
      <c r="Y110" s="424" t="s">
        <v>2279</v>
      </c>
      <c r="Z110" s="424" t="s">
        <v>2848</v>
      </c>
      <c r="AA110" s="424" t="s">
        <v>2855</v>
      </c>
      <c r="AB110" s="424" t="s">
        <v>3182</v>
      </c>
      <c r="AC110" s="424" t="s">
        <v>1953</v>
      </c>
      <c r="AD110" s="424" t="s">
        <v>2851</v>
      </c>
      <c r="AE110" s="424" t="s">
        <v>2901</v>
      </c>
      <c r="AF110" s="424"/>
      <c r="AG110" s="424"/>
      <c r="AH110" s="424"/>
    </row>
    <row r="111" spans="1:34" x14ac:dyDescent="0.25">
      <c r="A111" s="423" t="s">
        <v>3169</v>
      </c>
      <c r="B111" s="423" t="s">
        <v>3190</v>
      </c>
      <c r="C111" s="423" t="s">
        <v>988</v>
      </c>
      <c r="D111" s="423" t="s">
        <v>2886</v>
      </c>
      <c r="E111" s="423" t="s">
        <v>2818</v>
      </c>
      <c r="F111" s="423">
        <v>24</v>
      </c>
      <c r="G111" s="423">
        <v>64</v>
      </c>
      <c r="H111" s="423">
        <v>500</v>
      </c>
      <c r="J111" s="423"/>
      <c r="K111" s="423"/>
      <c r="L111" s="423"/>
      <c r="M111" s="423"/>
      <c r="Q111" s="423"/>
      <c r="R111" s="424" t="s">
        <v>3191</v>
      </c>
      <c r="S111" s="424" t="s">
        <v>2846</v>
      </c>
      <c r="T111" s="424" t="s">
        <v>2870</v>
      </c>
      <c r="U111" s="424">
        <v>0</v>
      </c>
      <c r="V111" s="424" t="s">
        <v>3176</v>
      </c>
      <c r="W111" s="424" t="s">
        <v>3054</v>
      </c>
      <c r="X111" s="424" t="s">
        <v>2224</v>
      </c>
      <c r="Y111" s="424" t="s">
        <v>2279</v>
      </c>
      <c r="Z111" s="424" t="s">
        <v>2848</v>
      </c>
      <c r="AA111" s="424" t="s">
        <v>2855</v>
      </c>
      <c r="AB111" s="424" t="s">
        <v>2900</v>
      </c>
      <c r="AC111" s="424" t="s">
        <v>1953</v>
      </c>
      <c r="AD111" s="424" t="s">
        <v>2851</v>
      </c>
      <c r="AE111" s="424" t="s">
        <v>2901</v>
      </c>
      <c r="AF111" s="424"/>
      <c r="AG111" s="424"/>
      <c r="AH111" s="424"/>
    </row>
    <row r="112" spans="1:34" x14ac:dyDescent="0.25">
      <c r="A112" s="423" t="s">
        <v>3169</v>
      </c>
      <c r="B112" s="423" t="s">
        <v>3192</v>
      </c>
      <c r="C112" s="423" t="s">
        <v>988</v>
      </c>
      <c r="D112" s="423" t="s">
        <v>2886</v>
      </c>
      <c r="E112" s="423" t="s">
        <v>2818</v>
      </c>
      <c r="F112" s="423">
        <v>24</v>
      </c>
      <c r="G112" s="423">
        <v>64</v>
      </c>
      <c r="H112" s="423">
        <v>500</v>
      </c>
      <c r="J112" s="423"/>
      <c r="K112" s="423"/>
      <c r="L112" s="423"/>
      <c r="M112" s="423"/>
      <c r="Q112" s="423"/>
      <c r="R112" s="424" t="s">
        <v>3193</v>
      </c>
      <c r="S112" s="424" t="s">
        <v>2846</v>
      </c>
      <c r="T112" s="424" t="s">
        <v>2870</v>
      </c>
      <c r="U112" s="424">
        <v>0</v>
      </c>
      <c r="V112" s="424" t="s">
        <v>3176</v>
      </c>
      <c r="W112" s="424" t="s">
        <v>3176</v>
      </c>
      <c r="X112" s="424" t="s">
        <v>2224</v>
      </c>
      <c r="Y112" s="424" t="s">
        <v>2279</v>
      </c>
      <c r="Z112" s="424" t="s">
        <v>2848</v>
      </c>
      <c r="AA112" s="424" t="s">
        <v>2855</v>
      </c>
      <c r="AB112" s="424" t="s">
        <v>3194</v>
      </c>
      <c r="AC112" s="424" t="s">
        <v>1953</v>
      </c>
      <c r="AD112" s="424" t="s">
        <v>2851</v>
      </c>
      <c r="AE112" s="424" t="s">
        <v>2901</v>
      </c>
      <c r="AF112" s="424"/>
      <c r="AG112" s="424"/>
      <c r="AH112" s="424"/>
    </row>
    <row r="113" spans="1:34" x14ac:dyDescent="0.25">
      <c r="A113" s="423" t="s">
        <v>3169</v>
      </c>
      <c r="B113" s="423" t="s">
        <v>3195</v>
      </c>
      <c r="C113" s="423" t="s">
        <v>988</v>
      </c>
      <c r="D113" s="423" t="s">
        <v>2886</v>
      </c>
      <c r="E113" s="423" t="s">
        <v>2818</v>
      </c>
      <c r="F113" s="423">
        <v>32</v>
      </c>
      <c r="G113" s="423">
        <v>64</v>
      </c>
      <c r="H113" s="423">
        <v>500</v>
      </c>
      <c r="J113" s="423"/>
      <c r="K113" s="423"/>
      <c r="L113" s="423"/>
      <c r="M113" s="423"/>
      <c r="Q113" s="423"/>
      <c r="R113" s="424" t="s">
        <v>3195</v>
      </c>
      <c r="S113" s="424" t="s">
        <v>2820</v>
      </c>
      <c r="T113" s="424" t="s">
        <v>3196</v>
      </c>
      <c r="U113" s="424">
        <v>0</v>
      </c>
      <c r="V113" s="424" t="s">
        <v>2824</v>
      </c>
      <c r="W113" s="424" t="s">
        <v>2824</v>
      </c>
      <c r="X113" s="424" t="s">
        <v>2224</v>
      </c>
      <c r="Y113" s="424" t="s">
        <v>2279</v>
      </c>
      <c r="Z113" s="424" t="s">
        <v>2889</v>
      </c>
      <c r="AA113" s="424" t="s">
        <v>3197</v>
      </c>
      <c r="AB113" s="424" t="s">
        <v>3198</v>
      </c>
      <c r="AC113" s="424" t="s">
        <v>1953</v>
      </c>
      <c r="AD113" s="424" t="s">
        <v>2851</v>
      </c>
      <c r="AE113" s="424" t="s">
        <v>3199</v>
      </c>
      <c r="AF113" s="424"/>
      <c r="AG113" s="424"/>
      <c r="AH113" s="424"/>
    </row>
    <row r="114" spans="1:34" x14ac:dyDescent="0.25">
      <c r="A114" s="423" t="s">
        <v>3169</v>
      </c>
      <c r="B114" s="423" t="s">
        <v>3200</v>
      </c>
      <c r="C114" s="423" t="s">
        <v>988</v>
      </c>
      <c r="D114" s="423" t="s">
        <v>2886</v>
      </c>
      <c r="E114" s="423" t="s">
        <v>2818</v>
      </c>
      <c r="F114" s="423">
        <v>32</v>
      </c>
      <c r="G114" s="423">
        <v>64</v>
      </c>
      <c r="H114" s="423">
        <v>500</v>
      </c>
      <c r="J114" s="423"/>
      <c r="K114" s="423"/>
      <c r="L114" s="423"/>
      <c r="M114" s="423"/>
      <c r="Q114" s="423"/>
      <c r="R114" s="424" t="s">
        <v>3201</v>
      </c>
      <c r="S114" s="424" t="s">
        <v>2820</v>
      </c>
      <c r="T114" s="424" t="s">
        <v>3196</v>
      </c>
      <c r="U114" s="424">
        <v>0</v>
      </c>
      <c r="V114" s="424" t="s">
        <v>2824</v>
      </c>
      <c r="W114" s="424" t="s">
        <v>2824</v>
      </c>
      <c r="X114" s="424" t="s">
        <v>2224</v>
      </c>
      <c r="Y114" s="424" t="s">
        <v>2279</v>
      </c>
      <c r="Z114" s="424" t="s">
        <v>2889</v>
      </c>
      <c r="AA114" s="424" t="s">
        <v>3197</v>
      </c>
      <c r="AB114" s="424" t="s">
        <v>3202</v>
      </c>
      <c r="AC114" s="424" t="s">
        <v>1953</v>
      </c>
      <c r="AD114" s="424" t="s">
        <v>2851</v>
      </c>
      <c r="AE114" s="424" t="s">
        <v>3203</v>
      </c>
      <c r="AF114" s="424"/>
      <c r="AG114" s="424"/>
      <c r="AH114" s="424"/>
    </row>
    <row r="115" spans="1:34" x14ac:dyDescent="0.25">
      <c r="A115" s="423" t="s">
        <v>3169</v>
      </c>
      <c r="B115" s="423" t="s">
        <v>3204</v>
      </c>
      <c r="C115" s="423" t="s">
        <v>988</v>
      </c>
      <c r="D115" s="423" t="s">
        <v>2886</v>
      </c>
      <c r="E115" s="423" t="s">
        <v>2818</v>
      </c>
      <c r="F115" s="423">
        <v>32</v>
      </c>
      <c r="G115" s="423">
        <v>64</v>
      </c>
      <c r="H115" s="423">
        <v>500</v>
      </c>
      <c r="J115" s="423"/>
      <c r="K115" s="423"/>
      <c r="L115" s="423"/>
      <c r="M115" s="423"/>
      <c r="Q115" s="423"/>
      <c r="R115" s="424" t="s">
        <v>3204</v>
      </c>
      <c r="S115" s="424" t="s">
        <v>2820</v>
      </c>
      <c r="T115" s="424" t="s">
        <v>3196</v>
      </c>
      <c r="U115" s="424">
        <v>0</v>
      </c>
      <c r="V115" s="424" t="s">
        <v>2824</v>
      </c>
      <c r="W115" s="424" t="s">
        <v>2824</v>
      </c>
      <c r="X115" s="424" t="s">
        <v>2224</v>
      </c>
      <c r="Y115" s="424" t="s">
        <v>2279</v>
      </c>
      <c r="Z115" s="424" t="s">
        <v>2889</v>
      </c>
      <c r="AA115" s="424" t="s">
        <v>3197</v>
      </c>
      <c r="AB115" s="424" t="s">
        <v>3205</v>
      </c>
      <c r="AC115" s="424" t="s">
        <v>1953</v>
      </c>
      <c r="AD115" s="424" t="s">
        <v>2851</v>
      </c>
      <c r="AE115" s="424" t="s">
        <v>3206</v>
      </c>
      <c r="AF115" s="424"/>
      <c r="AG115" s="424"/>
      <c r="AH115" s="424"/>
    </row>
    <row r="116" spans="1:34" x14ac:dyDescent="0.25">
      <c r="A116" s="423" t="s">
        <v>3169</v>
      </c>
      <c r="B116" s="423" t="s">
        <v>3207</v>
      </c>
      <c r="C116" s="423" t="s">
        <v>988</v>
      </c>
      <c r="D116" s="423" t="s">
        <v>2886</v>
      </c>
      <c r="E116" s="423" t="s">
        <v>2818</v>
      </c>
      <c r="F116" s="423">
        <v>32</v>
      </c>
      <c r="G116" s="423">
        <v>282</v>
      </c>
      <c r="H116" s="423">
        <v>500</v>
      </c>
      <c r="J116" s="423"/>
      <c r="K116" s="423"/>
      <c r="L116" s="423"/>
      <c r="M116" s="423"/>
      <c r="Q116" s="423"/>
      <c r="R116" s="424" t="s">
        <v>3207</v>
      </c>
      <c r="S116" s="424" t="s">
        <v>2820</v>
      </c>
      <c r="T116" s="424" t="s">
        <v>3196</v>
      </c>
      <c r="U116" s="424">
        <v>0</v>
      </c>
      <c r="V116" s="424" t="s">
        <v>2824</v>
      </c>
      <c r="W116" s="424" t="s">
        <v>2824</v>
      </c>
      <c r="X116" s="424" t="s">
        <v>2224</v>
      </c>
      <c r="Y116" s="424" t="s">
        <v>2279</v>
      </c>
      <c r="Z116" s="424" t="s">
        <v>2889</v>
      </c>
      <c r="AA116" s="424" t="s">
        <v>3197</v>
      </c>
      <c r="AB116" s="424" t="s">
        <v>3208</v>
      </c>
      <c r="AC116" s="424" t="s">
        <v>1953</v>
      </c>
      <c r="AD116" s="424" t="s">
        <v>2851</v>
      </c>
      <c r="AE116" s="424" t="s">
        <v>3203</v>
      </c>
      <c r="AF116" s="424"/>
      <c r="AG116" s="424"/>
      <c r="AH116" s="424"/>
    </row>
    <row r="117" spans="1:34" x14ac:dyDescent="0.25">
      <c r="A117" s="423" t="s">
        <v>3169</v>
      </c>
      <c r="B117" s="423" t="s">
        <v>3209</v>
      </c>
      <c r="C117" s="423" t="s">
        <v>988</v>
      </c>
      <c r="D117" s="423" t="s">
        <v>2886</v>
      </c>
      <c r="E117" s="423" t="s">
        <v>2818</v>
      </c>
      <c r="F117" s="423">
        <v>32</v>
      </c>
      <c r="G117" s="423">
        <v>282</v>
      </c>
      <c r="H117" s="423">
        <v>500</v>
      </c>
      <c r="J117" s="423"/>
      <c r="K117" s="423"/>
      <c r="L117" s="423"/>
      <c r="M117" s="423"/>
      <c r="Q117" s="423"/>
      <c r="R117" s="424" t="s">
        <v>3210</v>
      </c>
      <c r="S117" s="424" t="s">
        <v>2820</v>
      </c>
      <c r="T117" s="424" t="s">
        <v>3196</v>
      </c>
      <c r="U117" s="424">
        <v>0</v>
      </c>
      <c r="V117" s="424" t="s">
        <v>2824</v>
      </c>
      <c r="W117" s="424" t="s">
        <v>2824</v>
      </c>
      <c r="X117" s="424" t="s">
        <v>2224</v>
      </c>
      <c r="Y117" s="424" t="s">
        <v>2279</v>
      </c>
      <c r="Z117" s="424" t="s">
        <v>2889</v>
      </c>
      <c r="AA117" s="424" t="s">
        <v>3197</v>
      </c>
      <c r="AB117" s="424" t="s">
        <v>3211</v>
      </c>
      <c r="AC117" s="424" t="s">
        <v>1953</v>
      </c>
      <c r="AD117" s="424" t="s">
        <v>2851</v>
      </c>
      <c r="AE117" s="424" t="s">
        <v>3206</v>
      </c>
      <c r="AF117" s="424"/>
      <c r="AG117" s="424"/>
      <c r="AH117" s="424"/>
    </row>
    <row r="118" spans="1:34" x14ac:dyDescent="0.25">
      <c r="A118" s="423" t="s">
        <v>3169</v>
      </c>
      <c r="B118" s="423" t="s">
        <v>3212</v>
      </c>
      <c r="C118" s="423" t="s">
        <v>988</v>
      </c>
      <c r="D118" s="423" t="s">
        <v>2886</v>
      </c>
      <c r="E118" s="423" t="s">
        <v>2818</v>
      </c>
      <c r="F118" s="423">
        <v>32</v>
      </c>
      <c r="G118" s="423">
        <v>188</v>
      </c>
      <c r="H118" s="423">
        <v>500</v>
      </c>
      <c r="J118" s="423"/>
      <c r="K118" s="423"/>
      <c r="L118" s="423"/>
      <c r="M118" s="423"/>
      <c r="Q118" s="423"/>
      <c r="R118" s="424" t="s">
        <v>3213</v>
      </c>
      <c r="S118" s="424" t="s">
        <v>2820</v>
      </c>
      <c r="T118" s="424" t="s">
        <v>3214</v>
      </c>
      <c r="U118" s="424">
        <v>0</v>
      </c>
      <c r="V118" s="424" t="s">
        <v>2824</v>
      </c>
      <c r="W118" s="424" t="s">
        <v>2824</v>
      </c>
      <c r="X118" s="424" t="s">
        <v>2224</v>
      </c>
      <c r="Y118" s="424" t="s">
        <v>2279</v>
      </c>
      <c r="Z118" s="424" t="s">
        <v>2889</v>
      </c>
      <c r="AA118" s="424" t="s">
        <v>3197</v>
      </c>
      <c r="AB118" s="424" t="s">
        <v>3215</v>
      </c>
      <c r="AC118" s="424" t="s">
        <v>1953</v>
      </c>
      <c r="AD118" s="424" t="s">
        <v>2829</v>
      </c>
      <c r="AE118" s="424" t="s">
        <v>3216</v>
      </c>
      <c r="AF118" s="424"/>
      <c r="AG118" s="424"/>
      <c r="AH118" s="424"/>
    </row>
    <row r="119" spans="1:34" x14ac:dyDescent="0.25">
      <c r="A119" s="423" t="s">
        <v>3169</v>
      </c>
      <c r="B119" s="423" t="s">
        <v>3217</v>
      </c>
      <c r="C119" s="423" t="s">
        <v>988</v>
      </c>
      <c r="D119" s="423" t="s">
        <v>2886</v>
      </c>
      <c r="E119" s="423" t="s">
        <v>2818</v>
      </c>
      <c r="F119" s="423">
        <v>32</v>
      </c>
      <c r="G119" s="423">
        <v>188</v>
      </c>
      <c r="H119" s="423">
        <v>500</v>
      </c>
      <c r="J119" s="423"/>
      <c r="K119" s="423"/>
      <c r="L119" s="423"/>
      <c r="M119" s="423"/>
      <c r="Q119" s="423"/>
      <c r="R119" s="424" t="s">
        <v>3218</v>
      </c>
      <c r="S119" s="424" t="s">
        <v>2820</v>
      </c>
      <c r="T119" s="424" t="s">
        <v>3214</v>
      </c>
      <c r="U119" s="424">
        <v>0</v>
      </c>
      <c r="V119" s="424" t="s">
        <v>2824</v>
      </c>
      <c r="W119" s="424" t="s">
        <v>2824</v>
      </c>
      <c r="X119" s="424" t="s">
        <v>2224</v>
      </c>
      <c r="Y119" s="424" t="s">
        <v>2279</v>
      </c>
      <c r="Z119" s="424" t="s">
        <v>2889</v>
      </c>
      <c r="AA119" s="424" t="s">
        <v>3197</v>
      </c>
      <c r="AB119" s="424" t="s">
        <v>3219</v>
      </c>
      <c r="AC119" s="424" t="s">
        <v>1953</v>
      </c>
      <c r="AD119" s="424" t="s">
        <v>2829</v>
      </c>
      <c r="AE119" s="424" t="s">
        <v>3216</v>
      </c>
      <c r="AF119" s="424"/>
      <c r="AG119" s="424"/>
      <c r="AH119" s="424"/>
    </row>
    <row r="120" spans="1:34" x14ac:dyDescent="0.25">
      <c r="A120" s="423" t="s">
        <v>3169</v>
      </c>
      <c r="B120" s="423" t="s">
        <v>3220</v>
      </c>
      <c r="C120" s="423" t="s">
        <v>988</v>
      </c>
      <c r="D120" s="423" t="s">
        <v>2886</v>
      </c>
      <c r="E120" s="423" t="s">
        <v>2818</v>
      </c>
      <c r="F120" s="423">
        <v>32</v>
      </c>
      <c r="G120" s="423">
        <v>188</v>
      </c>
      <c r="H120" s="423">
        <v>500</v>
      </c>
      <c r="J120" s="423"/>
      <c r="K120" s="423"/>
      <c r="L120" s="423"/>
      <c r="M120" s="423"/>
      <c r="Q120" s="423"/>
      <c r="R120" s="424" t="s">
        <v>3221</v>
      </c>
      <c r="S120" s="424" t="s">
        <v>2820</v>
      </c>
      <c r="T120" s="424" t="s">
        <v>3214</v>
      </c>
      <c r="U120" s="424">
        <v>0</v>
      </c>
      <c r="V120" s="424" t="s">
        <v>2824</v>
      </c>
      <c r="W120" s="424" t="s">
        <v>2824</v>
      </c>
      <c r="X120" s="424" t="s">
        <v>2224</v>
      </c>
      <c r="Y120" s="424" t="s">
        <v>2279</v>
      </c>
      <c r="Z120" s="424" t="s">
        <v>2889</v>
      </c>
      <c r="AA120" s="424" t="s">
        <v>3197</v>
      </c>
      <c r="AB120" s="424" t="s">
        <v>3222</v>
      </c>
      <c r="AC120" s="424" t="s">
        <v>1953</v>
      </c>
      <c r="AD120" s="424" t="s">
        <v>2829</v>
      </c>
      <c r="AE120" s="424" t="s">
        <v>3216</v>
      </c>
      <c r="AF120" s="424"/>
      <c r="AG120" s="424"/>
      <c r="AH120" s="424"/>
    </row>
    <row r="121" spans="1:34" x14ac:dyDescent="0.25">
      <c r="A121" s="423" t="s">
        <v>3169</v>
      </c>
      <c r="B121" s="423" t="s">
        <v>3223</v>
      </c>
      <c r="C121" s="423" t="s">
        <v>988</v>
      </c>
      <c r="D121" s="423" t="s">
        <v>2886</v>
      </c>
      <c r="E121" s="423" t="s">
        <v>2818</v>
      </c>
      <c r="F121" s="423">
        <v>32</v>
      </c>
      <c r="G121" s="423">
        <v>188</v>
      </c>
      <c r="H121" s="423">
        <v>500</v>
      </c>
      <c r="J121" s="423"/>
      <c r="K121" s="423"/>
      <c r="L121" s="423"/>
      <c r="M121" s="423"/>
      <c r="Q121" s="423"/>
      <c r="R121" s="424" t="s">
        <v>3224</v>
      </c>
      <c r="S121" s="424" t="s">
        <v>2820</v>
      </c>
      <c r="T121" s="424" t="s">
        <v>3214</v>
      </c>
      <c r="U121" s="424">
        <v>0</v>
      </c>
      <c r="V121" s="424" t="s">
        <v>2824</v>
      </c>
      <c r="W121" s="424" t="s">
        <v>2824</v>
      </c>
      <c r="X121" s="424">
        <v>0</v>
      </c>
      <c r="Y121" s="424" t="s">
        <v>2279</v>
      </c>
      <c r="Z121" s="424" t="s">
        <v>2889</v>
      </c>
      <c r="AA121" s="424" t="s">
        <v>3197</v>
      </c>
      <c r="AB121" s="424" t="s">
        <v>3225</v>
      </c>
      <c r="AC121" s="424" t="s">
        <v>1953</v>
      </c>
      <c r="AD121" s="424" t="s">
        <v>2829</v>
      </c>
      <c r="AE121" s="424" t="s">
        <v>3216</v>
      </c>
      <c r="AF121" s="424"/>
      <c r="AG121" s="424"/>
      <c r="AH121" s="424"/>
    </row>
    <row r="122" spans="1:34" x14ac:dyDescent="0.25">
      <c r="A122" s="423" t="s">
        <v>3169</v>
      </c>
      <c r="B122" s="423" t="s">
        <v>3226</v>
      </c>
      <c r="C122" s="423" t="s">
        <v>988</v>
      </c>
      <c r="D122" s="423" t="s">
        <v>2886</v>
      </c>
      <c r="E122" s="423" t="s">
        <v>2818</v>
      </c>
      <c r="F122" s="423">
        <v>32</v>
      </c>
      <c r="G122" s="423">
        <v>188</v>
      </c>
      <c r="H122" s="423">
        <v>500</v>
      </c>
      <c r="J122" s="423"/>
      <c r="K122" s="423"/>
      <c r="L122" s="423"/>
      <c r="M122" s="423"/>
      <c r="Q122" s="423"/>
      <c r="R122" s="424" t="s">
        <v>3227</v>
      </c>
      <c r="S122" s="424" t="s">
        <v>2820</v>
      </c>
      <c r="T122" s="424" t="s">
        <v>3214</v>
      </c>
      <c r="U122" s="424">
        <v>0</v>
      </c>
      <c r="V122" s="424" t="s">
        <v>2824</v>
      </c>
      <c r="W122" s="424" t="s">
        <v>2824</v>
      </c>
      <c r="X122" s="424" t="s">
        <v>2224</v>
      </c>
      <c r="Y122" s="424" t="s">
        <v>2279</v>
      </c>
      <c r="Z122" s="424" t="s">
        <v>2889</v>
      </c>
      <c r="AA122" s="424" t="s">
        <v>3197</v>
      </c>
      <c r="AB122" s="424" t="s">
        <v>3228</v>
      </c>
      <c r="AC122" s="424" t="s">
        <v>1953</v>
      </c>
      <c r="AD122" s="424" t="s">
        <v>2829</v>
      </c>
      <c r="AE122" s="424" t="s">
        <v>3229</v>
      </c>
      <c r="AF122" s="424"/>
      <c r="AG122" s="424"/>
      <c r="AH122" s="424"/>
    </row>
    <row r="123" spans="1:34" x14ac:dyDescent="0.25">
      <c r="A123" s="423" t="s">
        <v>3169</v>
      </c>
      <c r="B123" s="423" t="s">
        <v>3230</v>
      </c>
      <c r="C123" s="423" t="s">
        <v>988</v>
      </c>
      <c r="D123" s="423" t="s">
        <v>2886</v>
      </c>
      <c r="E123" s="423" t="s">
        <v>2818</v>
      </c>
      <c r="F123" s="423">
        <v>32</v>
      </c>
      <c r="G123" s="423">
        <v>188</v>
      </c>
      <c r="H123" s="423">
        <v>500</v>
      </c>
      <c r="J123" s="423"/>
      <c r="K123" s="423"/>
      <c r="L123" s="423"/>
      <c r="M123" s="423"/>
      <c r="Q123" s="423"/>
      <c r="R123" s="424" t="s">
        <v>3231</v>
      </c>
      <c r="S123" s="424" t="s">
        <v>2820</v>
      </c>
      <c r="T123" s="424" t="s">
        <v>3214</v>
      </c>
      <c r="U123" s="424">
        <v>0</v>
      </c>
      <c r="V123" s="424" t="s">
        <v>2824</v>
      </c>
      <c r="W123" s="424" t="s">
        <v>2824</v>
      </c>
      <c r="X123" s="424" t="s">
        <v>2224</v>
      </c>
      <c r="Y123" s="424" t="s">
        <v>2279</v>
      </c>
      <c r="Z123" s="424" t="s">
        <v>2889</v>
      </c>
      <c r="AA123" s="424" t="s">
        <v>3197</v>
      </c>
      <c r="AB123" s="424" t="s">
        <v>3232</v>
      </c>
      <c r="AC123" s="424" t="s">
        <v>1953</v>
      </c>
      <c r="AD123" s="424" t="s">
        <v>2829</v>
      </c>
      <c r="AE123" s="424" t="s">
        <v>3229</v>
      </c>
      <c r="AF123" s="424"/>
      <c r="AG123" s="424"/>
      <c r="AH123" s="424"/>
    </row>
    <row r="124" spans="1:34" x14ac:dyDescent="0.25">
      <c r="A124" s="423" t="s">
        <v>3169</v>
      </c>
      <c r="B124" s="423" t="s">
        <v>3233</v>
      </c>
      <c r="C124" s="423" t="s">
        <v>988</v>
      </c>
      <c r="D124" s="423" t="s">
        <v>2886</v>
      </c>
      <c r="E124" s="423" t="s">
        <v>2818</v>
      </c>
      <c r="F124" s="423">
        <v>32</v>
      </c>
      <c r="G124" s="423">
        <v>188</v>
      </c>
      <c r="H124" s="423">
        <v>500</v>
      </c>
      <c r="J124" s="423"/>
      <c r="K124" s="423"/>
      <c r="L124" s="423"/>
      <c r="M124" s="423"/>
      <c r="Q124" s="423"/>
      <c r="R124" s="424" t="s">
        <v>3234</v>
      </c>
      <c r="S124" s="424" t="s">
        <v>2820</v>
      </c>
      <c r="T124" s="424" t="s">
        <v>3214</v>
      </c>
      <c r="U124" s="424">
        <v>0</v>
      </c>
      <c r="V124" s="424" t="s">
        <v>2824</v>
      </c>
      <c r="W124" s="424" t="s">
        <v>2824</v>
      </c>
      <c r="X124" s="424" t="s">
        <v>2224</v>
      </c>
      <c r="Y124" s="424" t="s">
        <v>2279</v>
      </c>
      <c r="Z124" s="424" t="s">
        <v>2889</v>
      </c>
      <c r="AA124" s="424" t="s">
        <v>3197</v>
      </c>
      <c r="AB124" s="424" t="s">
        <v>3235</v>
      </c>
      <c r="AC124" s="424" t="s">
        <v>1953</v>
      </c>
      <c r="AD124" s="424" t="s">
        <v>2829</v>
      </c>
      <c r="AE124" s="424" t="s">
        <v>3229</v>
      </c>
      <c r="AF124" s="424"/>
      <c r="AG124" s="424"/>
      <c r="AH124" s="424"/>
    </row>
    <row r="125" spans="1:34" x14ac:dyDescent="0.25">
      <c r="A125" s="423" t="s">
        <v>3169</v>
      </c>
      <c r="B125" s="423" t="s">
        <v>3236</v>
      </c>
      <c r="C125" s="423" t="s">
        <v>988</v>
      </c>
      <c r="D125" s="423" t="s">
        <v>2886</v>
      </c>
      <c r="E125" s="423" t="s">
        <v>2818</v>
      </c>
      <c r="F125" s="423">
        <v>32</v>
      </c>
      <c r="G125" s="423">
        <v>188</v>
      </c>
      <c r="H125" s="423">
        <v>500</v>
      </c>
      <c r="J125" s="423"/>
      <c r="K125" s="423"/>
      <c r="L125" s="423"/>
      <c r="M125" s="423"/>
      <c r="Q125" s="423"/>
      <c r="R125" s="424" t="s">
        <v>3237</v>
      </c>
      <c r="S125" s="424" t="s">
        <v>2820</v>
      </c>
      <c r="T125" s="424" t="s">
        <v>3238</v>
      </c>
      <c r="U125" s="424">
        <v>0</v>
      </c>
      <c r="V125" s="424" t="s">
        <v>2824</v>
      </c>
      <c r="W125" s="424" t="s">
        <v>2824</v>
      </c>
      <c r="X125" s="424" t="s">
        <v>2224</v>
      </c>
      <c r="Y125" s="424" t="s">
        <v>2279</v>
      </c>
      <c r="Z125" s="424" t="s">
        <v>2889</v>
      </c>
      <c r="AA125" s="424" t="s">
        <v>3197</v>
      </c>
      <c r="AB125" s="424" t="s">
        <v>3239</v>
      </c>
      <c r="AC125" s="424" t="s">
        <v>1953</v>
      </c>
      <c r="AD125" s="424" t="s">
        <v>2829</v>
      </c>
      <c r="AE125" s="424" t="s">
        <v>3229</v>
      </c>
      <c r="AF125" s="424"/>
      <c r="AG125" s="424"/>
      <c r="AH125" s="424"/>
    </row>
    <row r="126" spans="1:34" x14ac:dyDescent="0.25">
      <c r="A126" s="423" t="s">
        <v>3169</v>
      </c>
      <c r="B126" s="423" t="s">
        <v>3240</v>
      </c>
      <c r="C126" s="423" t="s">
        <v>988</v>
      </c>
      <c r="D126" s="423" t="s">
        <v>2886</v>
      </c>
      <c r="E126" s="423" t="s">
        <v>2818</v>
      </c>
      <c r="F126" s="423">
        <v>32</v>
      </c>
      <c r="G126" s="423">
        <v>188</v>
      </c>
      <c r="H126" s="423">
        <v>500</v>
      </c>
      <c r="J126" s="423"/>
      <c r="K126" s="423"/>
      <c r="L126" s="423"/>
      <c r="M126" s="423"/>
      <c r="Q126" s="423"/>
      <c r="R126" s="424" t="s">
        <v>3241</v>
      </c>
      <c r="S126" s="424" t="s">
        <v>2820</v>
      </c>
      <c r="T126" s="424" t="s">
        <v>3214</v>
      </c>
      <c r="U126" s="424">
        <v>0</v>
      </c>
      <c r="V126" s="424" t="s">
        <v>2824</v>
      </c>
      <c r="W126" s="424" t="s">
        <v>2824</v>
      </c>
      <c r="X126" s="424" t="s">
        <v>2224</v>
      </c>
      <c r="Y126" s="424" t="s">
        <v>2279</v>
      </c>
      <c r="Z126" s="424" t="s">
        <v>2889</v>
      </c>
      <c r="AA126" s="424" t="s">
        <v>3197</v>
      </c>
      <c r="AB126" s="424" t="s">
        <v>3242</v>
      </c>
      <c r="AC126" s="424" t="s">
        <v>1953</v>
      </c>
      <c r="AD126" s="424" t="s">
        <v>2829</v>
      </c>
      <c r="AE126" s="424" t="s">
        <v>3243</v>
      </c>
      <c r="AF126" s="424"/>
      <c r="AG126" s="424"/>
      <c r="AH126" s="424"/>
    </row>
    <row r="127" spans="1:34" x14ac:dyDescent="0.25">
      <c r="A127" s="423" t="s">
        <v>3169</v>
      </c>
      <c r="B127" s="423" t="s">
        <v>3244</v>
      </c>
      <c r="C127" s="423" t="s">
        <v>988</v>
      </c>
      <c r="D127" s="423" t="s">
        <v>2886</v>
      </c>
      <c r="E127" s="423" t="s">
        <v>2818</v>
      </c>
      <c r="F127" s="423">
        <v>32</v>
      </c>
      <c r="G127" s="423">
        <v>188</v>
      </c>
      <c r="H127" s="423">
        <v>500</v>
      </c>
      <c r="J127" s="423"/>
      <c r="K127" s="423"/>
      <c r="L127" s="423"/>
      <c r="M127" s="423"/>
      <c r="Q127" s="423"/>
      <c r="R127" s="424" t="s">
        <v>3245</v>
      </c>
      <c r="S127" s="424" t="s">
        <v>2820</v>
      </c>
      <c r="T127" s="424" t="s">
        <v>3214</v>
      </c>
      <c r="U127" s="424">
        <v>0</v>
      </c>
      <c r="V127" s="424" t="s">
        <v>2824</v>
      </c>
      <c r="W127" s="424" t="s">
        <v>2824</v>
      </c>
      <c r="X127" s="424" t="s">
        <v>2224</v>
      </c>
      <c r="Y127" s="424" t="s">
        <v>2279</v>
      </c>
      <c r="Z127" s="424" t="s">
        <v>2889</v>
      </c>
      <c r="AA127" s="424" t="s">
        <v>3197</v>
      </c>
      <c r="AB127" s="424" t="s">
        <v>3246</v>
      </c>
      <c r="AC127" s="424" t="s">
        <v>1953</v>
      </c>
      <c r="AD127" s="424" t="s">
        <v>2829</v>
      </c>
      <c r="AE127" s="424" t="s">
        <v>3243</v>
      </c>
      <c r="AF127" s="424"/>
      <c r="AG127" s="424"/>
      <c r="AH127" s="424"/>
    </row>
    <row r="128" spans="1:34" x14ac:dyDescent="0.25">
      <c r="A128" s="423" t="s">
        <v>3169</v>
      </c>
      <c r="B128" s="423" t="s">
        <v>3247</v>
      </c>
      <c r="C128" s="423" t="s">
        <v>988</v>
      </c>
      <c r="D128" s="423" t="s">
        <v>2886</v>
      </c>
      <c r="E128" s="423" t="s">
        <v>2818</v>
      </c>
      <c r="F128" s="423">
        <v>32</v>
      </c>
      <c r="G128" s="423">
        <v>188</v>
      </c>
      <c r="H128" s="423">
        <v>500</v>
      </c>
      <c r="J128" s="423"/>
      <c r="K128" s="423"/>
      <c r="L128" s="423"/>
      <c r="M128" s="423"/>
      <c r="Q128" s="423"/>
      <c r="R128" s="424" t="s">
        <v>3248</v>
      </c>
      <c r="S128" s="424" t="s">
        <v>2820</v>
      </c>
      <c r="T128" s="424" t="s">
        <v>3214</v>
      </c>
      <c r="U128" s="424">
        <v>0</v>
      </c>
      <c r="V128" s="424" t="s">
        <v>2824</v>
      </c>
      <c r="W128" s="424" t="s">
        <v>2824</v>
      </c>
      <c r="X128" s="424" t="s">
        <v>2224</v>
      </c>
      <c r="Y128" s="424" t="s">
        <v>2279</v>
      </c>
      <c r="Z128" s="424" t="s">
        <v>2889</v>
      </c>
      <c r="AA128" s="424" t="s">
        <v>3197</v>
      </c>
      <c r="AB128" s="424" t="s">
        <v>3249</v>
      </c>
      <c r="AC128" s="424" t="s">
        <v>1953</v>
      </c>
      <c r="AD128" s="424" t="s">
        <v>2829</v>
      </c>
      <c r="AE128" s="424" t="s">
        <v>3243</v>
      </c>
      <c r="AF128" s="424"/>
      <c r="AG128" s="424"/>
      <c r="AH128" s="424"/>
    </row>
    <row r="129" spans="1:34" x14ac:dyDescent="0.25">
      <c r="A129" s="423" t="s">
        <v>3250</v>
      </c>
      <c r="B129" s="423" t="s">
        <v>3251</v>
      </c>
      <c r="C129" s="423" t="s">
        <v>1705</v>
      </c>
      <c r="D129" s="423" t="s">
        <v>3252</v>
      </c>
      <c r="E129" s="423" t="s">
        <v>2818</v>
      </c>
      <c r="F129" s="423">
        <v>16</v>
      </c>
      <c r="G129" s="423" t="s">
        <v>3253</v>
      </c>
      <c r="H129" s="423"/>
      <c r="J129" s="423"/>
      <c r="K129" s="423"/>
      <c r="L129" s="423"/>
      <c r="M129" s="423"/>
      <c r="Q129" s="423"/>
      <c r="R129" s="424" t="s">
        <v>3254</v>
      </c>
      <c r="S129" s="424" t="s">
        <v>2846</v>
      </c>
      <c r="T129" s="424" t="s">
        <v>2847</v>
      </c>
      <c r="U129" s="424">
        <v>0</v>
      </c>
      <c r="V129" s="424" t="s">
        <v>2973</v>
      </c>
      <c r="W129" s="424" t="s">
        <v>3055</v>
      </c>
      <c r="X129" s="424" t="s">
        <v>2825</v>
      </c>
      <c r="Y129" s="424" t="s">
        <v>2279</v>
      </c>
      <c r="Z129" s="424" t="s">
        <v>2848</v>
      </c>
      <c r="AA129" s="424" t="s">
        <v>2855</v>
      </c>
      <c r="AB129" s="424" t="s">
        <v>3255</v>
      </c>
      <c r="AC129" s="424" t="s">
        <v>1953</v>
      </c>
      <c r="AD129" s="424" t="s">
        <v>2851</v>
      </c>
      <c r="AE129" s="424" t="s">
        <v>3168</v>
      </c>
      <c r="AF129" s="424"/>
      <c r="AG129" s="424"/>
      <c r="AH129" s="424"/>
    </row>
    <row r="130" spans="1:34" x14ac:dyDescent="0.25">
      <c r="A130" s="423" t="s">
        <v>3250</v>
      </c>
      <c r="B130" s="423" t="s">
        <v>3256</v>
      </c>
      <c r="C130" s="423" t="s">
        <v>1705</v>
      </c>
      <c r="D130" s="423" t="s">
        <v>3252</v>
      </c>
      <c r="E130" s="423" t="s">
        <v>2818</v>
      </c>
      <c r="F130" s="423">
        <v>16</v>
      </c>
      <c r="G130" s="423" t="s">
        <v>3257</v>
      </c>
      <c r="H130" s="423"/>
      <c r="J130" s="423"/>
      <c r="K130" s="423"/>
      <c r="L130" s="423"/>
      <c r="M130" s="423"/>
      <c r="Q130" s="423"/>
      <c r="R130" s="424" t="s">
        <v>3258</v>
      </c>
      <c r="S130" s="424" t="s">
        <v>2820</v>
      </c>
      <c r="T130" s="424" t="s">
        <v>3259</v>
      </c>
      <c r="U130" s="424">
        <v>0</v>
      </c>
      <c r="V130" s="424" t="s">
        <v>2973</v>
      </c>
      <c r="W130" s="424" t="s">
        <v>2092</v>
      </c>
      <c r="X130" s="424" t="s">
        <v>2825</v>
      </c>
      <c r="Y130" s="424" t="s">
        <v>2279</v>
      </c>
      <c r="Z130" s="424" t="s">
        <v>3260</v>
      </c>
      <c r="AA130" s="424" t="s">
        <v>3261</v>
      </c>
      <c r="AB130" s="424" t="s">
        <v>3262</v>
      </c>
      <c r="AC130" s="424" t="s">
        <v>3263</v>
      </c>
      <c r="AD130" s="424" t="s">
        <v>3264</v>
      </c>
      <c r="AE130" s="424" t="s">
        <v>3265</v>
      </c>
      <c r="AF130" s="424"/>
      <c r="AG130" s="424"/>
      <c r="AH130" s="424"/>
    </row>
    <row r="131" spans="1:34" x14ac:dyDescent="0.25">
      <c r="A131" s="423" t="s">
        <v>3250</v>
      </c>
      <c r="B131" s="423" t="s">
        <v>3266</v>
      </c>
      <c r="C131" s="423" t="s">
        <v>1705</v>
      </c>
      <c r="D131" s="423" t="s">
        <v>3252</v>
      </c>
      <c r="E131" s="423" t="s">
        <v>2818</v>
      </c>
      <c r="F131" s="423">
        <v>6</v>
      </c>
      <c r="G131" s="423" t="s">
        <v>3267</v>
      </c>
      <c r="H131" s="423"/>
      <c r="J131" s="423"/>
      <c r="K131" s="423"/>
      <c r="L131" s="423"/>
      <c r="M131" s="423"/>
      <c r="Q131" s="423"/>
      <c r="R131" s="424" t="s">
        <v>3266</v>
      </c>
      <c r="S131" s="424" t="s">
        <v>2846</v>
      </c>
      <c r="T131" s="424" t="s">
        <v>3268</v>
      </c>
      <c r="U131" s="424">
        <v>0</v>
      </c>
      <c r="V131" s="424" t="s">
        <v>3269</v>
      </c>
      <c r="W131" s="424" t="s">
        <v>3074</v>
      </c>
      <c r="X131" s="424" t="s">
        <v>2825</v>
      </c>
      <c r="Y131" s="424" t="s">
        <v>2279</v>
      </c>
      <c r="Z131" s="424" t="s">
        <v>3270</v>
      </c>
      <c r="AA131" s="424" t="s">
        <v>3271</v>
      </c>
      <c r="AB131" s="424" t="s">
        <v>3272</v>
      </c>
      <c r="AC131" s="424" t="s">
        <v>1953</v>
      </c>
      <c r="AD131" s="424" t="s">
        <v>2851</v>
      </c>
      <c r="AE131" s="424" t="s">
        <v>3206</v>
      </c>
      <c r="AF131" s="424"/>
      <c r="AG131" s="424"/>
      <c r="AH131" s="424"/>
    </row>
    <row r="132" spans="1:34" x14ac:dyDescent="0.25">
      <c r="A132" s="423" t="s">
        <v>3250</v>
      </c>
      <c r="B132" s="423" t="s">
        <v>3273</v>
      </c>
      <c r="C132" s="423" t="s">
        <v>1705</v>
      </c>
      <c r="D132" s="423" t="s">
        <v>3252</v>
      </c>
      <c r="E132" s="423" t="s">
        <v>2818</v>
      </c>
      <c r="F132" s="423">
        <v>6</v>
      </c>
      <c r="G132" s="423" t="s">
        <v>3267</v>
      </c>
      <c r="H132" s="423"/>
      <c r="J132" s="423"/>
      <c r="K132" s="423"/>
      <c r="L132" s="423"/>
      <c r="M132" s="423"/>
      <c r="Q132" s="423"/>
      <c r="R132" s="424" t="s">
        <v>3273</v>
      </c>
      <c r="S132" s="424" t="s">
        <v>2846</v>
      </c>
      <c r="T132" s="424" t="s">
        <v>3268</v>
      </c>
      <c r="U132" s="424">
        <v>0</v>
      </c>
      <c r="V132" s="424" t="s">
        <v>3269</v>
      </c>
      <c r="W132" s="424" t="s">
        <v>3074</v>
      </c>
      <c r="X132" s="424" t="s">
        <v>2825</v>
      </c>
      <c r="Y132" s="424" t="s">
        <v>2279</v>
      </c>
      <c r="Z132" s="424" t="s">
        <v>3260</v>
      </c>
      <c r="AA132" s="424" t="s">
        <v>3274</v>
      </c>
      <c r="AB132" s="424" t="s">
        <v>3275</v>
      </c>
      <c r="AC132" s="424" t="s">
        <v>1953</v>
      </c>
      <c r="AD132" s="424" t="s">
        <v>2851</v>
      </c>
      <c r="AE132" s="424" t="s">
        <v>3276</v>
      </c>
      <c r="AF132" s="424"/>
      <c r="AG132" s="424"/>
      <c r="AH132" s="424"/>
    </row>
    <row r="133" spans="1:34" x14ac:dyDescent="0.25">
      <c r="A133" s="423" t="s">
        <v>3250</v>
      </c>
      <c r="B133" s="423" t="s">
        <v>3277</v>
      </c>
      <c r="C133" s="423" t="s">
        <v>1705</v>
      </c>
      <c r="D133" s="423" t="s">
        <v>3252</v>
      </c>
      <c r="E133" s="423" t="s">
        <v>2818</v>
      </c>
      <c r="F133" s="423">
        <v>6</v>
      </c>
      <c r="G133" s="423" t="s">
        <v>3267</v>
      </c>
      <c r="H133" s="423"/>
      <c r="J133" s="423"/>
      <c r="K133" s="423"/>
      <c r="L133" s="423"/>
      <c r="M133" s="423"/>
      <c r="Q133" s="423"/>
      <c r="R133" s="424" t="s">
        <v>3277</v>
      </c>
      <c r="S133" s="424" t="s">
        <v>2846</v>
      </c>
      <c r="T133" s="424" t="s">
        <v>3268</v>
      </c>
      <c r="U133" s="424">
        <v>0</v>
      </c>
      <c r="V133" s="424" t="s">
        <v>3269</v>
      </c>
      <c r="W133" s="424" t="s">
        <v>3074</v>
      </c>
      <c r="X133" s="424" t="s">
        <v>2825</v>
      </c>
      <c r="Y133" s="424" t="s">
        <v>2279</v>
      </c>
      <c r="Z133" s="424" t="s">
        <v>3260</v>
      </c>
      <c r="AA133" s="424" t="s">
        <v>3197</v>
      </c>
      <c r="AB133" s="424" t="s">
        <v>3278</v>
      </c>
      <c r="AC133" s="424" t="s">
        <v>1953</v>
      </c>
      <c r="AD133" s="424" t="s">
        <v>2851</v>
      </c>
      <c r="AE133" s="424" t="s">
        <v>3279</v>
      </c>
      <c r="AF133" s="424"/>
      <c r="AG133" s="424"/>
      <c r="AH133" s="424"/>
    </row>
    <row r="134" spans="1:34" x14ac:dyDescent="0.25">
      <c r="A134" s="423" t="s">
        <v>3250</v>
      </c>
      <c r="B134" s="423" t="s">
        <v>3280</v>
      </c>
      <c r="C134" s="423" t="s">
        <v>1705</v>
      </c>
      <c r="D134" s="423" t="s">
        <v>3252</v>
      </c>
      <c r="E134" s="423" t="s">
        <v>2818</v>
      </c>
      <c r="F134" s="423">
        <v>32</v>
      </c>
      <c r="G134" s="423" t="s">
        <v>3281</v>
      </c>
      <c r="H134" s="423"/>
      <c r="J134" s="423"/>
      <c r="K134" s="423"/>
      <c r="L134" s="423"/>
      <c r="M134" s="423"/>
      <c r="Q134" s="423"/>
      <c r="R134" s="424" t="s">
        <v>3282</v>
      </c>
      <c r="S134" s="424" t="s">
        <v>2846</v>
      </c>
      <c r="T134" s="424" t="s">
        <v>2847</v>
      </c>
      <c r="U134" s="424">
        <v>0</v>
      </c>
      <c r="V134" s="424" t="s">
        <v>3283</v>
      </c>
      <c r="W134" s="424" t="s">
        <v>3074</v>
      </c>
      <c r="X134" s="424" t="s">
        <v>2825</v>
      </c>
      <c r="Y134" s="424" t="s">
        <v>2279</v>
      </c>
      <c r="Z134" s="424" t="s">
        <v>2848</v>
      </c>
      <c r="AA134" s="424" t="s">
        <v>2849</v>
      </c>
      <c r="AB134" s="424" t="s">
        <v>3284</v>
      </c>
      <c r="AC134" s="424" t="s">
        <v>1953</v>
      </c>
      <c r="AD134" s="424" t="s">
        <v>2851</v>
      </c>
      <c r="AE134" s="424" t="s">
        <v>2861</v>
      </c>
      <c r="AF134" s="424"/>
      <c r="AG134" s="424"/>
      <c r="AH134" s="424"/>
    </row>
    <row r="135" spans="1:34" x14ac:dyDescent="0.25">
      <c r="A135" s="423" t="s">
        <v>3250</v>
      </c>
      <c r="B135" s="423" t="s">
        <v>3285</v>
      </c>
      <c r="C135" s="423" t="s">
        <v>1705</v>
      </c>
      <c r="D135" s="423" t="s">
        <v>3252</v>
      </c>
      <c r="E135" s="423" t="s">
        <v>2818</v>
      </c>
      <c r="F135" s="423">
        <v>32</v>
      </c>
      <c r="G135" s="423" t="s">
        <v>3281</v>
      </c>
      <c r="H135" s="423"/>
      <c r="J135" s="423"/>
      <c r="K135" s="423"/>
      <c r="L135" s="423"/>
      <c r="M135" s="423"/>
      <c r="Q135" s="423"/>
      <c r="R135" s="424" t="s">
        <v>3285</v>
      </c>
      <c r="S135" s="424" t="s">
        <v>2846</v>
      </c>
      <c r="T135" s="424" t="s">
        <v>2847</v>
      </c>
      <c r="U135" s="424">
        <v>0</v>
      </c>
      <c r="V135" s="424" t="s">
        <v>3283</v>
      </c>
      <c r="W135" s="424" t="s">
        <v>3074</v>
      </c>
      <c r="X135" s="424" t="s">
        <v>2825</v>
      </c>
      <c r="Y135" s="424" t="s">
        <v>2279</v>
      </c>
      <c r="Z135" s="424" t="s">
        <v>2848</v>
      </c>
      <c r="AA135" s="424" t="s">
        <v>2849</v>
      </c>
      <c r="AB135" s="424" t="s">
        <v>3286</v>
      </c>
      <c r="AC135" s="424" t="s">
        <v>1953</v>
      </c>
      <c r="AD135" s="424" t="s">
        <v>2851</v>
      </c>
      <c r="AE135" s="424" t="s">
        <v>3287</v>
      </c>
      <c r="AF135" s="424"/>
      <c r="AG135" s="424"/>
      <c r="AH135" s="424"/>
    </row>
    <row r="136" spans="1:34" x14ac:dyDescent="0.25">
      <c r="A136" s="423" t="s">
        <v>3288</v>
      </c>
      <c r="B136" s="423" t="s">
        <v>3289</v>
      </c>
      <c r="C136" s="423" t="s">
        <v>1705</v>
      </c>
      <c r="D136" s="423" t="s">
        <v>3252</v>
      </c>
      <c r="E136" s="423" t="s">
        <v>2818</v>
      </c>
      <c r="F136" s="423">
        <v>4</v>
      </c>
      <c r="G136" s="423" t="s">
        <v>3290</v>
      </c>
      <c r="H136" s="423"/>
      <c r="J136" s="423"/>
      <c r="K136" s="423"/>
      <c r="L136" s="423"/>
      <c r="M136" s="423"/>
      <c r="Q136" s="423"/>
      <c r="R136" s="424" t="s">
        <v>3289</v>
      </c>
      <c r="S136" s="424" t="s">
        <v>2846</v>
      </c>
      <c r="T136" s="424" t="s">
        <v>3291</v>
      </c>
      <c r="U136" s="424">
        <v>0</v>
      </c>
      <c r="V136" s="424" t="s">
        <v>3269</v>
      </c>
      <c r="W136" s="424" t="s">
        <v>3176</v>
      </c>
      <c r="X136" s="424" t="s">
        <v>2825</v>
      </c>
      <c r="Y136" s="424" t="s">
        <v>2279</v>
      </c>
      <c r="Z136" s="424" t="s">
        <v>3260</v>
      </c>
      <c r="AA136" s="424" t="s">
        <v>3197</v>
      </c>
      <c r="AB136" s="424" t="s">
        <v>3292</v>
      </c>
      <c r="AC136" s="424" t="s">
        <v>1953</v>
      </c>
      <c r="AD136" s="424" t="s">
        <v>2851</v>
      </c>
      <c r="AE136" s="424" t="s">
        <v>3293</v>
      </c>
      <c r="AF136" s="424"/>
      <c r="AG136" s="424"/>
      <c r="AH136" s="424"/>
    </row>
    <row r="137" spans="1:34" x14ac:dyDescent="0.25">
      <c r="A137" s="423" t="s">
        <v>3294</v>
      </c>
      <c r="B137" s="423" t="s">
        <v>3295</v>
      </c>
      <c r="C137" s="423" t="s">
        <v>1705</v>
      </c>
      <c r="D137" s="423" t="s">
        <v>3252</v>
      </c>
      <c r="E137" s="423" t="s">
        <v>2818</v>
      </c>
      <c r="F137" s="423">
        <v>32</v>
      </c>
      <c r="G137" s="423" t="s">
        <v>3296</v>
      </c>
      <c r="H137" s="423"/>
      <c r="J137" s="423"/>
      <c r="K137" s="423"/>
      <c r="L137" s="423"/>
      <c r="M137" s="423"/>
      <c r="Q137" s="423"/>
      <c r="R137" s="424" t="s">
        <v>3297</v>
      </c>
      <c r="S137" s="424" t="s">
        <v>2820</v>
      </c>
      <c r="T137" s="424" t="s">
        <v>3268</v>
      </c>
      <c r="U137" s="424">
        <v>0</v>
      </c>
      <c r="V137" s="424" t="s">
        <v>2824</v>
      </c>
      <c r="W137" s="424" t="s">
        <v>2824</v>
      </c>
      <c r="X137" s="424" t="s">
        <v>3298</v>
      </c>
      <c r="Y137" s="424" t="s">
        <v>2279</v>
      </c>
      <c r="Z137" s="424" t="s">
        <v>3260</v>
      </c>
      <c r="AA137" s="424" t="s">
        <v>3271</v>
      </c>
      <c r="AB137" s="424" t="s">
        <v>3299</v>
      </c>
      <c r="AC137" s="424" t="s">
        <v>1953</v>
      </c>
      <c r="AD137" s="424" t="s">
        <v>3300</v>
      </c>
      <c r="AE137" s="424" t="s">
        <v>3301</v>
      </c>
      <c r="AF137" s="424"/>
      <c r="AG137" s="424"/>
      <c r="AH137" s="424"/>
    </row>
    <row r="138" spans="1:34" x14ac:dyDescent="0.25">
      <c r="A138" s="423" t="s">
        <v>3294</v>
      </c>
      <c r="B138" s="423" t="s">
        <v>3302</v>
      </c>
      <c r="C138" s="423" t="s">
        <v>1705</v>
      </c>
      <c r="D138" s="423" t="s">
        <v>3252</v>
      </c>
      <c r="E138" s="423" t="s">
        <v>2818</v>
      </c>
      <c r="F138" s="423">
        <v>8</v>
      </c>
      <c r="G138" s="423" t="s">
        <v>3303</v>
      </c>
      <c r="H138" s="423"/>
      <c r="J138" s="423"/>
      <c r="K138" s="423"/>
      <c r="L138" s="423"/>
      <c r="M138" s="423"/>
      <c r="Q138" s="423"/>
      <c r="R138" s="424" t="s">
        <v>3304</v>
      </c>
      <c r="S138" s="424" t="s">
        <v>2820</v>
      </c>
      <c r="T138" s="424" t="s">
        <v>3268</v>
      </c>
      <c r="U138" s="424">
        <v>0</v>
      </c>
      <c r="V138" s="424" t="s">
        <v>2824</v>
      </c>
      <c r="W138" s="424" t="s">
        <v>2824</v>
      </c>
      <c r="X138" s="424" t="s">
        <v>3298</v>
      </c>
      <c r="Y138" s="424" t="s">
        <v>2279</v>
      </c>
      <c r="Z138" s="424" t="s">
        <v>3305</v>
      </c>
      <c r="AA138" s="424" t="s">
        <v>3306</v>
      </c>
      <c r="AB138" s="424" t="s">
        <v>3307</v>
      </c>
      <c r="AC138" s="424" t="s">
        <v>1953</v>
      </c>
      <c r="AD138" s="424" t="s">
        <v>3300</v>
      </c>
      <c r="AE138" s="424" t="s">
        <v>3301</v>
      </c>
      <c r="AF138" s="424"/>
      <c r="AG138" s="424"/>
      <c r="AH138" s="424"/>
    </row>
    <row r="139" spans="1:34" x14ac:dyDescent="0.25">
      <c r="A139" s="423" t="s">
        <v>3294</v>
      </c>
      <c r="B139" s="423" t="s">
        <v>3308</v>
      </c>
      <c r="C139" s="423" t="s">
        <v>1705</v>
      </c>
      <c r="D139" s="423" t="s">
        <v>3252</v>
      </c>
      <c r="E139" s="423" t="s">
        <v>2818</v>
      </c>
      <c r="F139" s="423">
        <v>8</v>
      </c>
      <c r="G139" s="423" t="s">
        <v>3309</v>
      </c>
      <c r="H139" s="423"/>
      <c r="J139" s="423"/>
      <c r="K139" s="423"/>
      <c r="L139" s="423"/>
      <c r="M139" s="423"/>
      <c r="Q139" s="423"/>
      <c r="R139" s="424" t="s">
        <v>3310</v>
      </c>
      <c r="S139" s="424" t="s">
        <v>2846</v>
      </c>
      <c r="T139" s="424" t="s">
        <v>2847</v>
      </c>
      <c r="U139" s="424">
        <v>0</v>
      </c>
      <c r="V139" s="424" t="s">
        <v>2824</v>
      </c>
      <c r="W139" s="424" t="s">
        <v>3054</v>
      </c>
      <c r="X139" s="424" t="s">
        <v>3298</v>
      </c>
      <c r="Y139" s="424" t="s">
        <v>2279</v>
      </c>
      <c r="Z139" s="424" t="s">
        <v>2889</v>
      </c>
      <c r="AA139" s="424" t="s">
        <v>3311</v>
      </c>
      <c r="AB139" s="424" t="s">
        <v>3312</v>
      </c>
      <c r="AC139" s="424" t="s">
        <v>1953</v>
      </c>
      <c r="AD139" s="424" t="s">
        <v>2851</v>
      </c>
      <c r="AE139" s="424" t="s">
        <v>3313</v>
      </c>
      <c r="AF139" s="424"/>
      <c r="AG139" s="424"/>
      <c r="AH139" s="424"/>
    </row>
    <row r="140" spans="1:34" x14ac:dyDescent="0.25">
      <c r="A140" s="423" t="s">
        <v>3294</v>
      </c>
      <c r="B140" s="423" t="s">
        <v>3314</v>
      </c>
      <c r="C140" s="423" t="s">
        <v>1705</v>
      </c>
      <c r="D140" s="423" t="s">
        <v>3252</v>
      </c>
      <c r="E140" s="423" t="s">
        <v>2818</v>
      </c>
      <c r="F140" s="423">
        <v>8</v>
      </c>
      <c r="G140" s="423" t="s">
        <v>3309</v>
      </c>
      <c r="H140" s="423"/>
      <c r="J140" s="423"/>
      <c r="K140" s="423"/>
      <c r="L140" s="423"/>
      <c r="M140" s="423"/>
      <c r="Q140" s="423"/>
      <c r="R140" s="424" t="s">
        <v>3315</v>
      </c>
      <c r="S140" s="424" t="s">
        <v>2846</v>
      </c>
      <c r="T140" s="424" t="s">
        <v>2847</v>
      </c>
      <c r="U140" s="424">
        <v>0</v>
      </c>
      <c r="V140" s="424" t="s">
        <v>2824</v>
      </c>
      <c r="W140" s="424" t="s">
        <v>3176</v>
      </c>
      <c r="X140" s="424" t="s">
        <v>3298</v>
      </c>
      <c r="Y140" s="424" t="s">
        <v>2279</v>
      </c>
      <c r="Z140" s="424" t="s">
        <v>3260</v>
      </c>
      <c r="AA140" s="424" t="s">
        <v>3197</v>
      </c>
      <c r="AB140" s="424" t="s">
        <v>3316</v>
      </c>
      <c r="AC140" s="424" t="s">
        <v>1953</v>
      </c>
      <c r="AD140" s="424" t="s">
        <v>2851</v>
      </c>
      <c r="AE140" s="424" t="s">
        <v>3317</v>
      </c>
      <c r="AF140" s="424"/>
      <c r="AG140" s="424"/>
      <c r="AH140" s="424"/>
    </row>
    <row r="141" spans="1:34" x14ac:dyDescent="0.25">
      <c r="A141" s="423" t="s">
        <v>3294</v>
      </c>
      <c r="B141" s="423" t="s">
        <v>3318</v>
      </c>
      <c r="C141" s="423" t="s">
        <v>1705</v>
      </c>
      <c r="D141" s="423" t="s">
        <v>3252</v>
      </c>
      <c r="E141" s="423" t="s">
        <v>2818</v>
      </c>
      <c r="F141" s="423">
        <v>16</v>
      </c>
      <c r="G141" s="423" t="s">
        <v>3253</v>
      </c>
      <c r="H141" s="423"/>
      <c r="J141" s="423"/>
      <c r="K141" s="423"/>
      <c r="L141" s="423"/>
      <c r="M141" s="423"/>
      <c r="Q141" s="423"/>
      <c r="R141" s="424" t="s">
        <v>3319</v>
      </c>
      <c r="S141" s="424" t="s">
        <v>2846</v>
      </c>
      <c r="T141" s="424" t="s">
        <v>2847</v>
      </c>
      <c r="U141" s="424">
        <v>0</v>
      </c>
      <c r="V141" s="424" t="s">
        <v>2973</v>
      </c>
      <c r="W141" s="424" t="s">
        <v>3176</v>
      </c>
      <c r="X141" s="424" t="s">
        <v>3298</v>
      </c>
      <c r="Y141" s="424" t="s">
        <v>2279</v>
      </c>
      <c r="Z141" s="424" t="s">
        <v>3260</v>
      </c>
      <c r="AA141" s="424" t="s">
        <v>3197</v>
      </c>
      <c r="AB141" s="424" t="s">
        <v>3320</v>
      </c>
      <c r="AC141" s="424" t="s">
        <v>1953</v>
      </c>
      <c r="AD141" s="424" t="s">
        <v>2851</v>
      </c>
      <c r="AE141" s="424" t="s">
        <v>3293</v>
      </c>
      <c r="AF141" s="424"/>
      <c r="AG141" s="424"/>
      <c r="AH141" s="424"/>
    </row>
    <row r="142" spans="1:34" x14ac:dyDescent="0.25">
      <c r="A142" s="423" t="s">
        <v>3294</v>
      </c>
      <c r="B142" s="423" t="s">
        <v>3321</v>
      </c>
      <c r="C142" s="423" t="s">
        <v>1705</v>
      </c>
      <c r="D142" s="423" t="s">
        <v>3252</v>
      </c>
      <c r="E142" s="423" t="s">
        <v>2818</v>
      </c>
      <c r="F142" s="423">
        <v>16</v>
      </c>
      <c r="G142" s="423" t="s">
        <v>3253</v>
      </c>
      <c r="H142" s="423"/>
      <c r="J142" s="423"/>
      <c r="K142" s="423"/>
      <c r="L142" s="423"/>
      <c r="M142" s="423"/>
      <c r="Q142" s="423"/>
      <c r="R142" s="424" t="s">
        <v>3322</v>
      </c>
      <c r="S142" s="424" t="s">
        <v>2846</v>
      </c>
      <c r="T142" s="424" t="s">
        <v>2847</v>
      </c>
      <c r="U142" s="424">
        <v>0</v>
      </c>
      <c r="V142" s="424" t="s">
        <v>2973</v>
      </c>
      <c r="W142" s="424" t="s">
        <v>3176</v>
      </c>
      <c r="X142" s="424" t="s">
        <v>3298</v>
      </c>
      <c r="Y142" s="424" t="s">
        <v>2279</v>
      </c>
      <c r="Z142" s="424" t="s">
        <v>3260</v>
      </c>
      <c r="AA142" s="424" t="s">
        <v>3197</v>
      </c>
      <c r="AB142" s="424" t="s">
        <v>3323</v>
      </c>
      <c r="AC142" s="424" t="s">
        <v>1953</v>
      </c>
      <c r="AD142" s="424" t="s">
        <v>2851</v>
      </c>
      <c r="AE142" s="424" t="s">
        <v>3324</v>
      </c>
      <c r="AF142" s="424"/>
      <c r="AG142" s="424"/>
      <c r="AH142" s="424"/>
    </row>
    <row r="143" spans="1:34" x14ac:dyDescent="0.25">
      <c r="A143" s="423" t="s">
        <v>3294</v>
      </c>
      <c r="B143" s="423" t="s">
        <v>3325</v>
      </c>
      <c r="C143" s="423" t="s">
        <v>1705</v>
      </c>
      <c r="D143" s="423" t="s">
        <v>3252</v>
      </c>
      <c r="E143" s="423" t="s">
        <v>2818</v>
      </c>
      <c r="F143" s="423">
        <v>24</v>
      </c>
      <c r="G143" s="423" t="s">
        <v>3326</v>
      </c>
      <c r="H143" s="423"/>
      <c r="J143" s="423"/>
      <c r="K143" s="423"/>
      <c r="L143" s="423"/>
      <c r="M143" s="423"/>
      <c r="Q143" s="423"/>
      <c r="R143" s="424" t="s">
        <v>3325</v>
      </c>
      <c r="S143" s="424" t="s">
        <v>2846</v>
      </c>
      <c r="T143" s="424" t="s">
        <v>3268</v>
      </c>
      <c r="U143" s="424">
        <v>0</v>
      </c>
      <c r="V143" s="424" t="s">
        <v>3269</v>
      </c>
      <c r="W143" s="424" t="s">
        <v>2871</v>
      </c>
      <c r="X143" s="424" t="s">
        <v>3298</v>
      </c>
      <c r="Y143" s="424" t="s">
        <v>2279</v>
      </c>
      <c r="Z143" s="424" t="s">
        <v>3260</v>
      </c>
      <c r="AA143" s="424" t="s">
        <v>3327</v>
      </c>
      <c r="AB143" s="424" t="s">
        <v>3328</v>
      </c>
      <c r="AC143" s="424" t="s">
        <v>1953</v>
      </c>
      <c r="AD143" s="424" t="s">
        <v>3329</v>
      </c>
      <c r="AE143" s="424" t="s">
        <v>3330</v>
      </c>
      <c r="AF143" s="424"/>
      <c r="AG143" s="424"/>
      <c r="AH143" s="424"/>
    </row>
    <row r="144" spans="1:34" x14ac:dyDescent="0.25">
      <c r="A144" s="423" t="s">
        <v>3294</v>
      </c>
      <c r="B144" s="423" t="s">
        <v>3331</v>
      </c>
      <c r="C144" s="423" t="s">
        <v>1705</v>
      </c>
      <c r="D144" s="423" t="s">
        <v>3252</v>
      </c>
      <c r="E144" s="423" t="s">
        <v>2818</v>
      </c>
      <c r="F144" s="423">
        <v>24</v>
      </c>
      <c r="G144" s="423" t="s">
        <v>3326</v>
      </c>
      <c r="H144" s="423"/>
      <c r="J144" s="423"/>
      <c r="K144" s="423"/>
      <c r="L144" s="423"/>
      <c r="M144" s="423"/>
      <c r="Q144" s="423"/>
      <c r="R144" s="424" t="s">
        <v>3331</v>
      </c>
      <c r="S144" s="424" t="s">
        <v>2846</v>
      </c>
      <c r="T144" s="424" t="s">
        <v>3268</v>
      </c>
      <c r="U144" s="424">
        <v>0</v>
      </c>
      <c r="V144" s="424" t="s">
        <v>3269</v>
      </c>
      <c r="W144" s="424" t="s">
        <v>2974</v>
      </c>
      <c r="X144" s="424" t="s">
        <v>3298</v>
      </c>
      <c r="Y144" s="424" t="s">
        <v>2279</v>
      </c>
      <c r="Z144" s="424" t="s">
        <v>3260</v>
      </c>
      <c r="AA144" s="424" t="s">
        <v>3327</v>
      </c>
      <c r="AB144" s="424" t="s">
        <v>3332</v>
      </c>
      <c r="AC144" s="424" t="s">
        <v>1953</v>
      </c>
      <c r="AD144" s="424" t="s">
        <v>3329</v>
      </c>
      <c r="AE144" s="424" t="s">
        <v>3333</v>
      </c>
      <c r="AF144" s="424"/>
      <c r="AG144" s="424"/>
      <c r="AH144" s="424"/>
    </row>
    <row r="145" spans="1:34" x14ac:dyDescent="0.25">
      <c r="A145" s="423" t="s">
        <v>3294</v>
      </c>
      <c r="B145" s="423" t="s">
        <v>3334</v>
      </c>
      <c r="C145" s="423" t="s">
        <v>1705</v>
      </c>
      <c r="D145" s="423" t="s">
        <v>3252</v>
      </c>
      <c r="E145" s="423" t="s">
        <v>2818</v>
      </c>
      <c r="F145" s="423">
        <v>8</v>
      </c>
      <c r="G145" s="423">
        <v>8</v>
      </c>
      <c r="H145" s="423"/>
      <c r="J145" s="423"/>
      <c r="K145" s="423"/>
      <c r="L145" s="423"/>
      <c r="M145" s="423"/>
      <c r="Q145" s="423"/>
      <c r="R145" s="424" t="s">
        <v>3334</v>
      </c>
      <c r="S145" s="424" t="s">
        <v>2846</v>
      </c>
      <c r="T145" s="424" t="s">
        <v>3268</v>
      </c>
      <c r="U145" s="424">
        <v>0</v>
      </c>
      <c r="V145" s="424" t="s">
        <v>3269</v>
      </c>
      <c r="W145" s="424" t="s">
        <v>3074</v>
      </c>
      <c r="X145" s="424" t="s">
        <v>3298</v>
      </c>
      <c r="Y145" s="424" t="s">
        <v>2279</v>
      </c>
      <c r="Z145" s="424" t="s">
        <v>3260</v>
      </c>
      <c r="AA145" s="424" t="s">
        <v>3197</v>
      </c>
      <c r="AB145" s="424" t="s">
        <v>3335</v>
      </c>
      <c r="AC145" s="424" t="s">
        <v>1953</v>
      </c>
      <c r="AD145" s="424" t="s">
        <v>2851</v>
      </c>
      <c r="AE145" s="424" t="s">
        <v>3279</v>
      </c>
      <c r="AF145" s="424"/>
      <c r="AG145" s="424"/>
      <c r="AH145" s="424"/>
    </row>
    <row r="146" spans="1:34" x14ac:dyDescent="0.25">
      <c r="A146" s="423" t="s">
        <v>3294</v>
      </c>
      <c r="B146" s="423" t="s">
        <v>3336</v>
      </c>
      <c r="C146" s="423" t="s">
        <v>1705</v>
      </c>
      <c r="D146" s="423" t="s">
        <v>3252</v>
      </c>
      <c r="E146" s="423" t="s">
        <v>2818</v>
      </c>
      <c r="F146" s="423">
        <v>8</v>
      </c>
      <c r="G146" s="423">
        <v>8</v>
      </c>
      <c r="H146" s="423"/>
      <c r="J146" s="423"/>
      <c r="K146" s="423"/>
      <c r="L146" s="423"/>
      <c r="M146" s="423"/>
      <c r="Q146" s="423"/>
      <c r="R146" s="424" t="s">
        <v>3336</v>
      </c>
      <c r="S146" s="424" t="s">
        <v>2846</v>
      </c>
      <c r="T146" s="424" t="s">
        <v>3268</v>
      </c>
      <c r="U146" s="424">
        <v>0</v>
      </c>
      <c r="V146" s="424" t="s">
        <v>3269</v>
      </c>
      <c r="W146" s="424" t="s">
        <v>3074</v>
      </c>
      <c r="X146" s="424" t="s">
        <v>3298</v>
      </c>
      <c r="Y146" s="424" t="s">
        <v>2279</v>
      </c>
      <c r="Z146" s="424" t="s">
        <v>3260</v>
      </c>
      <c r="AA146" s="424" t="s">
        <v>3274</v>
      </c>
      <c r="AB146" s="424" t="s">
        <v>3337</v>
      </c>
      <c r="AC146" s="424" t="s">
        <v>1953</v>
      </c>
      <c r="AD146" s="424" t="s">
        <v>2851</v>
      </c>
      <c r="AE146" s="424" t="s">
        <v>3199</v>
      </c>
      <c r="AF146" s="424"/>
      <c r="AG146" s="424"/>
      <c r="AH146" s="424"/>
    </row>
    <row r="147" spans="1:34" x14ac:dyDescent="0.25">
      <c r="A147" s="423" t="s">
        <v>3338</v>
      </c>
      <c r="B147" s="423" t="s">
        <v>3339</v>
      </c>
      <c r="C147" s="423" t="s">
        <v>1705</v>
      </c>
      <c r="D147" s="423" t="s">
        <v>3252</v>
      </c>
      <c r="E147" s="423" t="s">
        <v>2818</v>
      </c>
      <c r="F147" s="423">
        <v>6</v>
      </c>
      <c r="G147" s="423" t="s">
        <v>3267</v>
      </c>
      <c r="H147" s="423"/>
      <c r="J147" s="423"/>
      <c r="K147" s="423"/>
      <c r="L147" s="423"/>
      <c r="M147" s="423"/>
      <c r="Q147" s="423"/>
      <c r="R147" s="424" t="s">
        <v>3339</v>
      </c>
      <c r="S147" s="424" t="s">
        <v>2846</v>
      </c>
      <c r="T147" s="424" t="s">
        <v>3268</v>
      </c>
      <c r="U147" s="424">
        <v>0</v>
      </c>
      <c r="V147" s="424" t="s">
        <v>3269</v>
      </c>
      <c r="W147" s="424" t="s">
        <v>3176</v>
      </c>
      <c r="X147" s="424" t="s">
        <v>3298</v>
      </c>
      <c r="Y147" s="424" t="s">
        <v>2279</v>
      </c>
      <c r="Z147" s="424" t="s">
        <v>3260</v>
      </c>
      <c r="AA147" s="424" t="s">
        <v>3274</v>
      </c>
      <c r="AB147" s="424" t="s">
        <v>3340</v>
      </c>
      <c r="AC147" s="424" t="s">
        <v>1953</v>
      </c>
      <c r="AD147" s="424" t="s">
        <v>2851</v>
      </c>
      <c r="AE147" s="424" t="s">
        <v>3341</v>
      </c>
      <c r="AF147" s="424"/>
      <c r="AG147" s="424"/>
      <c r="AH147" s="424"/>
    </row>
    <row r="148" spans="1:34" x14ac:dyDescent="0.25">
      <c r="A148" s="423" t="s">
        <v>3338</v>
      </c>
      <c r="B148" s="423" t="s">
        <v>3342</v>
      </c>
      <c r="C148" s="423" t="s">
        <v>1705</v>
      </c>
      <c r="D148" s="423" t="s">
        <v>3252</v>
      </c>
      <c r="E148" s="423" t="s">
        <v>2818</v>
      </c>
      <c r="F148" s="423">
        <v>6</v>
      </c>
      <c r="G148" s="423" t="s">
        <v>3267</v>
      </c>
      <c r="H148" s="423"/>
      <c r="J148" s="423"/>
      <c r="K148" s="423"/>
      <c r="L148" s="423"/>
      <c r="M148" s="423"/>
      <c r="Q148" s="423"/>
      <c r="R148" s="424" t="s">
        <v>3342</v>
      </c>
      <c r="S148" s="424" t="s">
        <v>2846</v>
      </c>
      <c r="T148" s="424" t="s">
        <v>3268</v>
      </c>
      <c r="U148" s="424">
        <v>0</v>
      </c>
      <c r="V148" s="424" t="s">
        <v>3269</v>
      </c>
      <c r="W148" s="424" t="s">
        <v>3176</v>
      </c>
      <c r="X148" s="424" t="s">
        <v>3298</v>
      </c>
      <c r="Y148" s="424" t="s">
        <v>2279</v>
      </c>
      <c r="Z148" s="424" t="s">
        <v>3260</v>
      </c>
      <c r="AA148" s="424" t="s">
        <v>3274</v>
      </c>
      <c r="AB148" s="424" t="s">
        <v>3343</v>
      </c>
      <c r="AC148" s="424" t="s">
        <v>1953</v>
      </c>
      <c r="AD148" s="424" t="s">
        <v>2851</v>
      </c>
      <c r="AE148" s="424" t="s">
        <v>3341</v>
      </c>
      <c r="AF148" s="424"/>
      <c r="AG148" s="424"/>
      <c r="AH148" s="424"/>
    </row>
    <row r="149" spans="1:34" x14ac:dyDescent="0.25">
      <c r="A149" s="423" t="s">
        <v>1583</v>
      </c>
      <c r="B149" s="423" t="s">
        <v>3344</v>
      </c>
      <c r="C149" s="423" t="s">
        <v>1705</v>
      </c>
      <c r="D149" s="423" t="s">
        <v>3252</v>
      </c>
      <c r="E149" s="423" t="s">
        <v>2818</v>
      </c>
      <c r="F149" s="423">
        <v>21</v>
      </c>
      <c r="G149" s="423" t="s">
        <v>3345</v>
      </c>
      <c r="H149" s="423"/>
      <c r="J149" s="423"/>
      <c r="K149" s="423"/>
      <c r="L149" s="423"/>
      <c r="M149" s="423"/>
      <c r="Q149" s="423"/>
      <c r="R149" s="424" t="s">
        <v>3346</v>
      </c>
      <c r="S149" s="424" t="s">
        <v>2846</v>
      </c>
      <c r="T149" s="424" t="s">
        <v>2870</v>
      </c>
      <c r="U149" s="424">
        <v>0</v>
      </c>
      <c r="V149" s="424" t="s">
        <v>3074</v>
      </c>
      <c r="W149" s="424" t="s">
        <v>3074</v>
      </c>
      <c r="X149" s="424" t="s">
        <v>3298</v>
      </c>
      <c r="Y149" s="424" t="s">
        <v>2279</v>
      </c>
      <c r="Z149" s="424" t="s">
        <v>2872</v>
      </c>
      <c r="AA149" s="424" t="s">
        <v>3197</v>
      </c>
      <c r="AB149" s="424" t="s">
        <v>3347</v>
      </c>
      <c r="AC149" s="424" t="s">
        <v>1953</v>
      </c>
      <c r="AD149" s="424" t="s">
        <v>2892</v>
      </c>
      <c r="AE149" s="424" t="s">
        <v>3348</v>
      </c>
      <c r="AF149" s="424"/>
      <c r="AG149" s="424"/>
      <c r="AH149" s="424"/>
    </row>
    <row r="150" spans="1:34" x14ac:dyDescent="0.25">
      <c r="A150" s="423" t="s">
        <v>1583</v>
      </c>
      <c r="B150" s="423" t="s">
        <v>3349</v>
      </c>
      <c r="C150" s="423" t="s">
        <v>1705</v>
      </c>
      <c r="D150" s="423" t="s">
        <v>3252</v>
      </c>
      <c r="E150" s="423" t="s">
        <v>2818</v>
      </c>
      <c r="F150" s="423">
        <v>21</v>
      </c>
      <c r="G150" s="423" t="s">
        <v>3345</v>
      </c>
      <c r="H150" s="423"/>
      <c r="J150" s="423"/>
      <c r="K150" s="423"/>
      <c r="L150" s="423"/>
      <c r="M150" s="423"/>
      <c r="Q150" s="423"/>
      <c r="R150" s="424" t="s">
        <v>3350</v>
      </c>
      <c r="S150" s="424" t="s">
        <v>2846</v>
      </c>
      <c r="T150" s="424" t="s">
        <v>2870</v>
      </c>
      <c r="U150" s="424">
        <v>0</v>
      </c>
      <c r="V150" s="424" t="s">
        <v>3074</v>
      </c>
      <c r="W150" s="424" t="s">
        <v>3074</v>
      </c>
      <c r="X150" s="424" t="s">
        <v>3298</v>
      </c>
      <c r="Y150" s="424" t="s">
        <v>2279</v>
      </c>
      <c r="Z150" s="424" t="s">
        <v>2872</v>
      </c>
      <c r="AA150" s="424" t="s">
        <v>3197</v>
      </c>
      <c r="AB150" s="424" t="s">
        <v>3351</v>
      </c>
      <c r="AC150" s="424" t="s">
        <v>1953</v>
      </c>
      <c r="AD150" s="424" t="s">
        <v>2892</v>
      </c>
      <c r="AE150" s="424" t="s">
        <v>3348</v>
      </c>
      <c r="AF150" s="424"/>
      <c r="AG150" s="424"/>
      <c r="AH150" s="424"/>
    </row>
    <row r="151" spans="1:34" x14ac:dyDescent="0.25">
      <c r="A151" s="423" t="s">
        <v>3352</v>
      </c>
      <c r="B151" s="423" t="s">
        <v>3251</v>
      </c>
      <c r="C151" s="423" t="s">
        <v>1705</v>
      </c>
      <c r="D151" s="423" t="s">
        <v>3252</v>
      </c>
      <c r="E151" s="423" t="s">
        <v>2818</v>
      </c>
      <c r="F151" s="423">
        <v>16</v>
      </c>
      <c r="G151" s="423" t="s">
        <v>3253</v>
      </c>
      <c r="H151" s="423"/>
      <c r="J151" s="423"/>
      <c r="K151" s="423"/>
      <c r="L151" s="423"/>
      <c r="M151" s="423"/>
      <c r="Q151" s="423"/>
      <c r="R151" s="424" t="s">
        <v>3254</v>
      </c>
      <c r="S151" s="424" t="s">
        <v>2846</v>
      </c>
      <c r="T151" s="424" t="s">
        <v>2847</v>
      </c>
      <c r="U151" s="424">
        <v>0</v>
      </c>
      <c r="V151" s="424" t="s">
        <v>2973</v>
      </c>
      <c r="W151" s="424" t="s">
        <v>3055</v>
      </c>
      <c r="X151" s="424" t="s">
        <v>2825</v>
      </c>
      <c r="Y151" s="424" t="s">
        <v>2279</v>
      </c>
      <c r="Z151" s="424" t="s">
        <v>2848</v>
      </c>
      <c r="AA151" s="424" t="s">
        <v>2855</v>
      </c>
      <c r="AB151" s="424" t="s">
        <v>3255</v>
      </c>
      <c r="AC151" s="424" t="s">
        <v>1953</v>
      </c>
      <c r="AD151" s="424" t="s">
        <v>2851</v>
      </c>
      <c r="AE151" s="424" t="s">
        <v>3168</v>
      </c>
      <c r="AF151" s="424"/>
      <c r="AG151" s="424"/>
      <c r="AH151" s="424"/>
    </row>
    <row r="152" spans="1:34" x14ac:dyDescent="0.25">
      <c r="A152" s="423" t="s">
        <v>3352</v>
      </c>
      <c r="B152" s="423" t="s">
        <v>3353</v>
      </c>
      <c r="C152" s="423" t="s">
        <v>1705</v>
      </c>
      <c r="D152" s="423" t="s">
        <v>3252</v>
      </c>
      <c r="E152" s="423" t="s">
        <v>2818</v>
      </c>
      <c r="F152" s="423">
        <v>16</v>
      </c>
      <c r="G152" s="423" t="s">
        <v>3354</v>
      </c>
      <c r="H152" s="423"/>
      <c r="J152" s="423"/>
      <c r="K152" s="423"/>
      <c r="L152" s="423"/>
      <c r="M152" s="423"/>
      <c r="Q152" s="423"/>
      <c r="R152" s="424" t="s">
        <v>3355</v>
      </c>
      <c r="S152" s="424" t="s">
        <v>2846</v>
      </c>
      <c r="T152" s="424" t="s">
        <v>3356</v>
      </c>
      <c r="U152" s="424">
        <v>0</v>
      </c>
      <c r="V152" s="424" t="s">
        <v>2973</v>
      </c>
      <c r="W152" s="424" t="s">
        <v>2974</v>
      </c>
      <c r="X152" s="424" t="s">
        <v>2825</v>
      </c>
      <c r="Y152" s="424" t="s">
        <v>2279</v>
      </c>
      <c r="Z152" s="424" t="s">
        <v>2848</v>
      </c>
      <c r="AA152" s="424" t="s">
        <v>2849</v>
      </c>
      <c r="AB152" s="424" t="s">
        <v>3357</v>
      </c>
      <c r="AC152" s="424" t="s">
        <v>1953</v>
      </c>
      <c r="AD152" s="424" t="s">
        <v>2851</v>
      </c>
      <c r="AE152" s="424" t="s">
        <v>3154</v>
      </c>
      <c r="AF152" s="424"/>
      <c r="AG152" s="424"/>
      <c r="AH152" s="424"/>
    </row>
    <row r="153" spans="1:34" x14ac:dyDescent="0.25">
      <c r="A153" s="423" t="s">
        <v>3352</v>
      </c>
      <c r="B153" s="423" t="s">
        <v>3358</v>
      </c>
      <c r="C153" s="423" t="s">
        <v>1705</v>
      </c>
      <c r="D153" s="423" t="s">
        <v>3252</v>
      </c>
      <c r="E153" s="423" t="s">
        <v>2818</v>
      </c>
      <c r="F153" s="423">
        <v>8</v>
      </c>
      <c r="G153" s="423" t="s">
        <v>3253</v>
      </c>
      <c r="H153" s="423"/>
      <c r="J153" s="423"/>
      <c r="K153" s="423"/>
      <c r="L153" s="423"/>
      <c r="M153" s="423"/>
      <c r="Q153" s="423"/>
      <c r="R153" s="424" t="s">
        <v>3358</v>
      </c>
      <c r="S153" s="424" t="s">
        <v>2846</v>
      </c>
      <c r="T153" s="424" t="s">
        <v>2847</v>
      </c>
      <c r="U153" s="424">
        <v>0</v>
      </c>
      <c r="V153" s="424" t="s">
        <v>2973</v>
      </c>
      <c r="W153" s="424" t="s">
        <v>3055</v>
      </c>
      <c r="X153" s="424" t="s">
        <v>2825</v>
      </c>
      <c r="Y153" s="424" t="s">
        <v>2279</v>
      </c>
      <c r="Z153" s="424" t="s">
        <v>2848</v>
      </c>
      <c r="AA153" s="424" t="s">
        <v>2855</v>
      </c>
      <c r="AB153" s="424" t="s">
        <v>3359</v>
      </c>
      <c r="AC153" s="424" t="s">
        <v>1953</v>
      </c>
      <c r="AD153" s="424" t="s">
        <v>2851</v>
      </c>
      <c r="AE153" s="424" t="s">
        <v>3168</v>
      </c>
      <c r="AF153" s="424"/>
      <c r="AG153" s="424"/>
      <c r="AH153" s="424"/>
    </row>
    <row r="154" spans="1:34" x14ac:dyDescent="0.25">
      <c r="A154" s="423" t="s">
        <v>3360</v>
      </c>
      <c r="B154" s="423" t="s">
        <v>3289</v>
      </c>
      <c r="C154" s="423" t="s">
        <v>1705</v>
      </c>
      <c r="D154" s="423" t="s">
        <v>3252</v>
      </c>
      <c r="E154" s="423" t="s">
        <v>2818</v>
      </c>
      <c r="F154" s="423">
        <v>4</v>
      </c>
      <c r="G154" s="423" t="s">
        <v>3290</v>
      </c>
      <c r="H154" s="423"/>
      <c r="J154" s="423"/>
      <c r="K154" s="423"/>
      <c r="L154" s="423"/>
      <c r="M154" s="423"/>
      <c r="Q154" s="423"/>
      <c r="R154" s="424" t="s">
        <v>3289</v>
      </c>
      <c r="S154" s="424" t="s">
        <v>2846</v>
      </c>
      <c r="T154" s="424" t="s">
        <v>3291</v>
      </c>
      <c r="U154" s="424">
        <v>0</v>
      </c>
      <c r="V154" s="424" t="s">
        <v>3269</v>
      </c>
      <c r="W154" s="424" t="s">
        <v>3176</v>
      </c>
      <c r="X154" s="424" t="s">
        <v>2825</v>
      </c>
      <c r="Y154" s="424" t="s">
        <v>2279</v>
      </c>
      <c r="Z154" s="424" t="s">
        <v>3260</v>
      </c>
      <c r="AA154" s="424" t="s">
        <v>3197</v>
      </c>
      <c r="AB154" s="424" t="s">
        <v>3292</v>
      </c>
      <c r="AC154" s="424" t="s">
        <v>1953</v>
      </c>
      <c r="AD154" s="424" t="s">
        <v>2851</v>
      </c>
      <c r="AE154" s="424" t="s">
        <v>3293</v>
      </c>
      <c r="AF154" s="424"/>
      <c r="AG154" s="424"/>
      <c r="AH154" s="424"/>
    </row>
    <row r="155" spans="1:34" x14ac:dyDescent="0.25">
      <c r="A155" s="423" t="s">
        <v>3360</v>
      </c>
      <c r="B155" s="423" t="s">
        <v>3361</v>
      </c>
      <c r="C155" s="423" t="s">
        <v>1705</v>
      </c>
      <c r="D155" s="423" t="s">
        <v>3252</v>
      </c>
      <c r="E155" s="423" t="s">
        <v>2818</v>
      </c>
      <c r="F155" s="423">
        <v>12</v>
      </c>
      <c r="G155" s="423" t="s">
        <v>3354</v>
      </c>
      <c r="H155" s="423"/>
      <c r="J155" s="423"/>
      <c r="K155" s="423"/>
      <c r="L155" s="423"/>
      <c r="M155" s="423"/>
      <c r="Q155" s="423"/>
      <c r="R155" s="424" t="s">
        <v>3361</v>
      </c>
      <c r="S155" s="424" t="s">
        <v>2846</v>
      </c>
      <c r="T155" s="424" t="s">
        <v>3291</v>
      </c>
      <c r="U155" s="424">
        <v>0</v>
      </c>
      <c r="V155" s="424" t="s">
        <v>3269</v>
      </c>
      <c r="W155" s="424" t="s">
        <v>3176</v>
      </c>
      <c r="X155" s="424" t="s">
        <v>2825</v>
      </c>
      <c r="Y155" s="424" t="s">
        <v>2279</v>
      </c>
      <c r="Z155" s="424" t="s">
        <v>3260</v>
      </c>
      <c r="AA155" s="424" t="s">
        <v>3197</v>
      </c>
      <c r="AB155" s="424" t="s">
        <v>3362</v>
      </c>
      <c r="AC155" s="424" t="s">
        <v>1953</v>
      </c>
      <c r="AD155" s="424" t="s">
        <v>2851</v>
      </c>
      <c r="AE155" s="424" t="s">
        <v>3324</v>
      </c>
      <c r="AF155" s="424"/>
      <c r="AG155" s="424"/>
      <c r="AH155" s="424"/>
    </row>
    <row r="156" spans="1:34" x14ac:dyDescent="0.25">
      <c r="A156" s="423" t="s">
        <v>3360</v>
      </c>
      <c r="B156" s="423" t="s">
        <v>3363</v>
      </c>
      <c r="C156" s="423" t="s">
        <v>1705</v>
      </c>
      <c r="D156" s="423" t="s">
        <v>3252</v>
      </c>
      <c r="E156" s="423" t="s">
        <v>2818</v>
      </c>
      <c r="F156" s="423">
        <v>8</v>
      </c>
      <c r="G156" s="423" t="s">
        <v>3354</v>
      </c>
      <c r="H156" s="423"/>
      <c r="J156" s="423"/>
      <c r="K156" s="423"/>
      <c r="L156" s="423"/>
      <c r="M156" s="423"/>
      <c r="Q156" s="423"/>
      <c r="R156" s="424" t="s">
        <v>3363</v>
      </c>
      <c r="S156" s="424" t="s">
        <v>2846</v>
      </c>
      <c r="T156" s="424" t="s">
        <v>3291</v>
      </c>
      <c r="U156" s="424">
        <v>0</v>
      </c>
      <c r="V156" s="424" t="s">
        <v>3269</v>
      </c>
      <c r="W156" s="424" t="s">
        <v>3054</v>
      </c>
      <c r="X156" s="424" t="s">
        <v>2825</v>
      </c>
      <c r="Y156" s="424" t="s">
        <v>2279</v>
      </c>
      <c r="Z156" s="424" t="s">
        <v>3260</v>
      </c>
      <c r="AA156" s="424" t="s">
        <v>3327</v>
      </c>
      <c r="AB156" s="424" t="s">
        <v>3364</v>
      </c>
      <c r="AC156" s="424" t="s">
        <v>1953</v>
      </c>
      <c r="AD156" s="424" t="s">
        <v>3329</v>
      </c>
      <c r="AE156" s="424" t="s">
        <v>3365</v>
      </c>
      <c r="AF156" s="424"/>
      <c r="AG156" s="424"/>
      <c r="AH156" s="424"/>
    </row>
    <row r="157" spans="1:34" x14ac:dyDescent="0.25">
      <c r="A157" s="423" t="s">
        <v>3360</v>
      </c>
      <c r="B157" s="423" t="s">
        <v>3366</v>
      </c>
      <c r="C157" s="423" t="s">
        <v>1705</v>
      </c>
      <c r="D157" s="423" t="s">
        <v>3252</v>
      </c>
      <c r="E157" s="423" t="s">
        <v>2818</v>
      </c>
      <c r="F157" s="423">
        <v>12</v>
      </c>
      <c r="G157" s="423" t="s">
        <v>3309</v>
      </c>
      <c r="H157" s="423"/>
      <c r="J157" s="423"/>
      <c r="K157" s="423"/>
      <c r="L157" s="423"/>
      <c r="M157" s="423"/>
      <c r="Q157" s="423"/>
      <c r="R157" s="424" t="s">
        <v>3366</v>
      </c>
      <c r="S157" s="424" t="s">
        <v>2846</v>
      </c>
      <c r="T157" s="424" t="s">
        <v>3268</v>
      </c>
      <c r="U157" s="424">
        <v>0</v>
      </c>
      <c r="V157" s="424" t="s">
        <v>3269</v>
      </c>
      <c r="W157" s="424" t="s">
        <v>3054</v>
      </c>
      <c r="X157" s="424" t="s">
        <v>2825</v>
      </c>
      <c r="Y157" s="424" t="s">
        <v>2279</v>
      </c>
      <c r="Z157" s="424" t="s">
        <v>2889</v>
      </c>
      <c r="AA157" s="424" t="s">
        <v>3311</v>
      </c>
      <c r="AB157" s="424" t="s">
        <v>3312</v>
      </c>
      <c r="AC157" s="424" t="s">
        <v>1953</v>
      </c>
      <c r="AD157" s="424" t="s">
        <v>2851</v>
      </c>
      <c r="AE157" s="424" t="s">
        <v>3313</v>
      </c>
      <c r="AF157" s="424"/>
      <c r="AG157" s="424"/>
      <c r="AH157" s="424"/>
    </row>
    <row r="158" spans="1:34" x14ac:dyDescent="0.25">
      <c r="A158" s="423" t="s">
        <v>1644</v>
      </c>
      <c r="B158" s="423" t="s">
        <v>3367</v>
      </c>
      <c r="C158" s="423" t="s">
        <v>1705</v>
      </c>
      <c r="D158" s="423" t="s">
        <v>3252</v>
      </c>
      <c r="E158" s="423" t="s">
        <v>2818</v>
      </c>
      <c r="F158" s="423">
        <v>57</v>
      </c>
      <c r="G158" s="423" t="s">
        <v>3368</v>
      </c>
      <c r="H158" s="423"/>
      <c r="J158" s="423"/>
      <c r="K158" s="423"/>
      <c r="L158" s="423"/>
      <c r="M158" s="423"/>
      <c r="Q158" s="423"/>
      <c r="R158" s="424" t="s">
        <v>3369</v>
      </c>
      <c r="S158" s="424" t="s">
        <v>2846</v>
      </c>
      <c r="T158" s="424" t="s">
        <v>2870</v>
      </c>
      <c r="U158" s="424">
        <v>0</v>
      </c>
      <c r="V158" s="424" t="s">
        <v>3054</v>
      </c>
      <c r="W158" s="424" t="s">
        <v>3055</v>
      </c>
      <c r="X158" s="424" t="s">
        <v>2825</v>
      </c>
      <c r="Y158" s="424" t="s">
        <v>2279</v>
      </c>
      <c r="Z158" s="424" t="s">
        <v>2872</v>
      </c>
      <c r="AA158" s="424" t="s">
        <v>2873</v>
      </c>
      <c r="AB158" s="424" t="s">
        <v>3102</v>
      </c>
      <c r="AC158" s="424" t="s">
        <v>1953</v>
      </c>
      <c r="AD158" s="424" t="s">
        <v>2875</v>
      </c>
      <c r="AE158" s="424" t="s">
        <v>3096</v>
      </c>
      <c r="AF158" s="424"/>
      <c r="AG158" s="424"/>
      <c r="AH158" s="424"/>
    </row>
    <row r="159" spans="1:34" x14ac:dyDescent="0.25">
      <c r="A159" s="423" t="s">
        <v>1644</v>
      </c>
      <c r="B159" s="423" t="s">
        <v>3370</v>
      </c>
      <c r="C159" s="423" t="s">
        <v>1705</v>
      </c>
      <c r="D159" s="423" t="s">
        <v>3252</v>
      </c>
      <c r="E159" s="423" t="s">
        <v>2818</v>
      </c>
      <c r="F159" s="423">
        <v>57</v>
      </c>
      <c r="G159" s="423" t="s">
        <v>3368</v>
      </c>
      <c r="H159" s="423"/>
      <c r="J159" s="423"/>
      <c r="K159" s="423"/>
      <c r="L159" s="423"/>
      <c r="M159" s="423"/>
      <c r="Q159" s="423"/>
      <c r="R159" s="424" t="s">
        <v>3371</v>
      </c>
      <c r="S159" s="424" t="s">
        <v>2846</v>
      </c>
      <c r="T159" s="424" t="s">
        <v>2870</v>
      </c>
      <c r="U159" s="424">
        <v>0</v>
      </c>
      <c r="V159" s="424" t="s">
        <v>3054</v>
      </c>
      <c r="W159" s="424" t="s">
        <v>3055</v>
      </c>
      <c r="X159" s="424" t="s">
        <v>2825</v>
      </c>
      <c r="Y159" s="424" t="s">
        <v>2279</v>
      </c>
      <c r="Z159" s="424" t="s">
        <v>2872</v>
      </c>
      <c r="AA159" s="424" t="s">
        <v>2873</v>
      </c>
      <c r="AB159" s="424" t="s">
        <v>3372</v>
      </c>
      <c r="AC159" s="424" t="s">
        <v>1953</v>
      </c>
      <c r="AD159" s="424" t="s">
        <v>2875</v>
      </c>
      <c r="AE159" s="424" t="s">
        <v>3096</v>
      </c>
      <c r="AF159" s="424"/>
      <c r="AG159" s="424"/>
      <c r="AH159" s="424"/>
    </row>
    <row r="160" spans="1:34" x14ac:dyDescent="0.25">
      <c r="A160" s="423" t="s">
        <v>1644</v>
      </c>
      <c r="B160" s="423" t="s">
        <v>3373</v>
      </c>
      <c r="C160" s="423" t="s">
        <v>1705</v>
      </c>
      <c r="D160" s="423" t="s">
        <v>3252</v>
      </c>
      <c r="E160" s="423" t="s">
        <v>2818</v>
      </c>
      <c r="F160" s="423">
        <v>57</v>
      </c>
      <c r="G160" s="423" t="s">
        <v>3368</v>
      </c>
      <c r="H160" s="423"/>
      <c r="J160" s="423"/>
      <c r="K160" s="423"/>
      <c r="L160" s="423"/>
      <c r="M160" s="423"/>
      <c r="Q160" s="423"/>
      <c r="R160" s="424" t="s">
        <v>3374</v>
      </c>
      <c r="S160" s="424" t="s">
        <v>2846</v>
      </c>
      <c r="T160" s="424" t="s">
        <v>2870</v>
      </c>
      <c r="U160" s="424">
        <v>0</v>
      </c>
      <c r="V160" s="424" t="s">
        <v>3054</v>
      </c>
      <c r="W160" s="424" t="s">
        <v>3055</v>
      </c>
      <c r="X160" s="424" t="s">
        <v>2825</v>
      </c>
      <c r="Y160" s="424" t="s">
        <v>2279</v>
      </c>
      <c r="Z160" s="424" t="s">
        <v>2872</v>
      </c>
      <c r="AA160" s="424" t="s">
        <v>2873</v>
      </c>
      <c r="AB160" s="424" t="s">
        <v>3068</v>
      </c>
      <c r="AC160" s="424" t="s">
        <v>1953</v>
      </c>
      <c r="AD160" s="424" t="s">
        <v>2875</v>
      </c>
      <c r="AE160" s="424" t="s">
        <v>2880</v>
      </c>
      <c r="AF160" s="424"/>
      <c r="AG160" s="424"/>
      <c r="AH160" s="424"/>
    </row>
    <row r="161" spans="1:34" x14ac:dyDescent="0.25">
      <c r="A161" s="423" t="s">
        <v>1644</v>
      </c>
      <c r="B161" s="423" t="s">
        <v>3375</v>
      </c>
      <c r="C161" s="423" t="s">
        <v>1705</v>
      </c>
      <c r="D161" s="423" t="s">
        <v>3252</v>
      </c>
      <c r="E161" s="423" t="s">
        <v>2818</v>
      </c>
      <c r="F161" s="423">
        <v>57</v>
      </c>
      <c r="G161" s="423" t="s">
        <v>3368</v>
      </c>
      <c r="H161" s="423"/>
      <c r="J161" s="423"/>
      <c r="K161" s="423"/>
      <c r="L161" s="423"/>
      <c r="M161" s="423"/>
      <c r="Q161" s="423"/>
      <c r="R161" s="424" t="s">
        <v>3376</v>
      </c>
      <c r="S161" s="424" t="s">
        <v>2846</v>
      </c>
      <c r="T161" s="424" t="s">
        <v>2870</v>
      </c>
      <c r="U161" s="424">
        <v>0</v>
      </c>
      <c r="V161" s="424" t="s">
        <v>3054</v>
      </c>
      <c r="W161" s="424" t="s">
        <v>3055</v>
      </c>
      <c r="X161" s="424" t="s">
        <v>2825</v>
      </c>
      <c r="Y161" s="424" t="s">
        <v>2279</v>
      </c>
      <c r="Z161" s="424" t="s">
        <v>2872</v>
      </c>
      <c r="AA161" s="424" t="s">
        <v>2873</v>
      </c>
      <c r="AB161" s="424" t="s">
        <v>3377</v>
      </c>
      <c r="AC161" s="424" t="s">
        <v>1953</v>
      </c>
      <c r="AD161" s="424" t="s">
        <v>2875</v>
      </c>
      <c r="AE161" s="424" t="s">
        <v>3096</v>
      </c>
      <c r="AF161" s="424"/>
      <c r="AG161" s="424"/>
      <c r="AH161" s="424"/>
    </row>
    <row r="162" spans="1:34" x14ac:dyDescent="0.25">
      <c r="A162" s="423" t="s">
        <v>1644</v>
      </c>
      <c r="B162" s="423" t="s">
        <v>3378</v>
      </c>
      <c r="C162" s="423" t="s">
        <v>1705</v>
      </c>
      <c r="D162" s="423" t="s">
        <v>3252</v>
      </c>
      <c r="E162" s="423" t="s">
        <v>2818</v>
      </c>
      <c r="F162" s="423">
        <v>57</v>
      </c>
      <c r="G162" s="423" t="s">
        <v>3368</v>
      </c>
      <c r="H162" s="423"/>
      <c r="J162" s="423"/>
      <c r="K162" s="423"/>
      <c r="L162" s="423"/>
      <c r="M162" s="423"/>
      <c r="Q162" s="423"/>
      <c r="R162" s="424" t="s">
        <v>3379</v>
      </c>
      <c r="S162" s="424" t="s">
        <v>2846</v>
      </c>
      <c r="T162" s="424" t="s">
        <v>2870</v>
      </c>
      <c r="U162" s="424">
        <v>0</v>
      </c>
      <c r="V162" s="424" t="s">
        <v>3054</v>
      </c>
      <c r="W162" s="424" t="s">
        <v>3055</v>
      </c>
      <c r="X162" s="424" t="s">
        <v>2825</v>
      </c>
      <c r="Y162" s="424" t="s">
        <v>2279</v>
      </c>
      <c r="Z162" s="424" t="s">
        <v>2872</v>
      </c>
      <c r="AA162" s="424" t="s">
        <v>2873</v>
      </c>
      <c r="AB162" s="424" t="s">
        <v>3380</v>
      </c>
      <c r="AC162" s="424" t="s">
        <v>1953</v>
      </c>
      <c r="AD162" s="424" t="s">
        <v>2875</v>
      </c>
      <c r="AE162" s="424" t="s">
        <v>2880</v>
      </c>
      <c r="AF162" s="424"/>
      <c r="AG162" s="424"/>
      <c r="AH162" s="424"/>
    </row>
    <row r="163" spans="1:34" x14ac:dyDescent="0.25">
      <c r="A163" s="423" t="s">
        <v>1644</v>
      </c>
      <c r="B163" s="423" t="s">
        <v>3381</v>
      </c>
      <c r="C163" s="423" t="s">
        <v>1705</v>
      </c>
      <c r="D163" s="423" t="s">
        <v>3252</v>
      </c>
      <c r="E163" s="423" t="s">
        <v>2818</v>
      </c>
      <c r="F163" s="423">
        <v>57</v>
      </c>
      <c r="G163" s="423" t="s">
        <v>3368</v>
      </c>
      <c r="H163" s="423"/>
      <c r="J163" s="423"/>
      <c r="K163" s="423"/>
      <c r="L163" s="423"/>
      <c r="M163" s="423"/>
      <c r="Q163" s="423"/>
      <c r="R163" s="424" t="s">
        <v>3382</v>
      </c>
      <c r="S163" s="424" t="s">
        <v>2846</v>
      </c>
      <c r="T163" s="424" t="s">
        <v>2870</v>
      </c>
      <c r="U163" s="424">
        <v>0</v>
      </c>
      <c r="V163" s="424" t="s">
        <v>3054</v>
      </c>
      <c r="W163" s="424" t="s">
        <v>3055</v>
      </c>
      <c r="X163" s="424" t="s">
        <v>2825</v>
      </c>
      <c r="Y163" s="424" t="s">
        <v>2279</v>
      </c>
      <c r="Z163" s="424" t="s">
        <v>2872</v>
      </c>
      <c r="AA163" s="424" t="s">
        <v>2873</v>
      </c>
      <c r="AB163" s="424" t="s">
        <v>3377</v>
      </c>
      <c r="AC163" s="424" t="s">
        <v>1953</v>
      </c>
      <c r="AD163" s="424" t="s">
        <v>2875</v>
      </c>
      <c r="AE163" s="424" t="s">
        <v>3096</v>
      </c>
      <c r="AF163" s="424"/>
      <c r="AG163" s="424"/>
      <c r="AH163" s="424"/>
    </row>
    <row r="164" spans="1:34" x14ac:dyDescent="0.25">
      <c r="A164" s="423" t="s">
        <v>1644</v>
      </c>
      <c r="B164" s="423" t="s">
        <v>3383</v>
      </c>
      <c r="C164" s="423" t="s">
        <v>1705</v>
      </c>
      <c r="D164" s="423" t="s">
        <v>3252</v>
      </c>
      <c r="E164" s="423" t="s">
        <v>2818</v>
      </c>
      <c r="F164" s="423">
        <v>12</v>
      </c>
      <c r="G164" s="423" t="s">
        <v>3384</v>
      </c>
      <c r="H164" s="423"/>
      <c r="J164" s="423"/>
      <c r="K164" s="423"/>
      <c r="L164" s="423"/>
      <c r="M164" s="423"/>
      <c r="Q164" s="423"/>
      <c r="R164" s="424" t="s">
        <v>3385</v>
      </c>
      <c r="S164" s="424" t="s">
        <v>2846</v>
      </c>
      <c r="T164" s="424" t="s">
        <v>3356</v>
      </c>
      <c r="U164" s="424">
        <v>0</v>
      </c>
      <c r="V164" s="424" t="s">
        <v>3074</v>
      </c>
      <c r="W164" s="424" t="s">
        <v>3074</v>
      </c>
      <c r="X164" s="424" t="s">
        <v>2825</v>
      </c>
      <c r="Y164" s="424" t="s">
        <v>2279</v>
      </c>
      <c r="Z164" s="424" t="s">
        <v>2872</v>
      </c>
      <c r="AA164" s="424" t="s">
        <v>3197</v>
      </c>
      <c r="AB164" s="424" t="s">
        <v>3386</v>
      </c>
      <c r="AC164" s="424" t="s">
        <v>1953</v>
      </c>
      <c r="AD164" s="424" t="s">
        <v>2892</v>
      </c>
      <c r="AE164" s="424" t="s">
        <v>3387</v>
      </c>
      <c r="AF164" s="424"/>
      <c r="AG164" s="424"/>
      <c r="AH164" s="424"/>
    </row>
    <row r="165" spans="1:34" x14ac:dyDescent="0.25">
      <c r="A165" s="423" t="s">
        <v>1644</v>
      </c>
      <c r="B165" s="423" t="s">
        <v>3388</v>
      </c>
      <c r="C165" s="423" t="s">
        <v>1705</v>
      </c>
      <c r="D165" s="423" t="s">
        <v>3252</v>
      </c>
      <c r="E165" s="423" t="s">
        <v>2818</v>
      </c>
      <c r="F165" s="423">
        <v>12</v>
      </c>
      <c r="G165" s="423" t="s">
        <v>3384</v>
      </c>
      <c r="H165" s="423"/>
      <c r="J165" s="423"/>
      <c r="K165" s="423"/>
      <c r="L165" s="423"/>
      <c r="M165" s="423"/>
      <c r="Q165" s="423"/>
      <c r="R165" s="424" t="s">
        <v>3389</v>
      </c>
      <c r="S165" s="424" t="s">
        <v>2846</v>
      </c>
      <c r="T165" s="424" t="s">
        <v>3356</v>
      </c>
      <c r="U165" s="424">
        <v>0</v>
      </c>
      <c r="V165" s="424" t="s">
        <v>3074</v>
      </c>
      <c r="W165" s="424" t="s">
        <v>3074</v>
      </c>
      <c r="X165" s="424" t="s">
        <v>2825</v>
      </c>
      <c r="Y165" s="424" t="s">
        <v>2279</v>
      </c>
      <c r="Z165" s="424" t="s">
        <v>2872</v>
      </c>
      <c r="AA165" s="424" t="s">
        <v>3197</v>
      </c>
      <c r="AB165" s="424" t="s">
        <v>3351</v>
      </c>
      <c r="AC165" s="424" t="s">
        <v>1953</v>
      </c>
      <c r="AD165" s="424" t="s">
        <v>2892</v>
      </c>
      <c r="AE165" s="424" t="s">
        <v>3348</v>
      </c>
      <c r="AF165" s="424"/>
      <c r="AG165" s="424"/>
      <c r="AH165" s="424"/>
    </row>
    <row r="166" spans="1:34" x14ac:dyDescent="0.25">
      <c r="A166" s="423" t="s">
        <v>1644</v>
      </c>
      <c r="B166" s="423" t="s">
        <v>3390</v>
      </c>
      <c r="C166" s="423" t="s">
        <v>1705</v>
      </c>
      <c r="D166" s="423" t="s">
        <v>3252</v>
      </c>
      <c r="E166" s="423" t="s">
        <v>2818</v>
      </c>
      <c r="F166" s="423">
        <v>12</v>
      </c>
      <c r="G166" s="423" t="s">
        <v>3384</v>
      </c>
      <c r="H166" s="423"/>
      <c r="J166" s="423"/>
      <c r="K166" s="423"/>
      <c r="L166" s="423"/>
      <c r="M166" s="423"/>
      <c r="Q166" s="423"/>
      <c r="R166" s="424" t="s">
        <v>3391</v>
      </c>
      <c r="S166" s="424" t="s">
        <v>2846</v>
      </c>
      <c r="T166" s="424" t="s">
        <v>3356</v>
      </c>
      <c r="U166" s="424">
        <v>0</v>
      </c>
      <c r="V166" s="424" t="s">
        <v>3074</v>
      </c>
      <c r="W166" s="424" t="s">
        <v>3074</v>
      </c>
      <c r="X166" s="424" t="s">
        <v>2825</v>
      </c>
      <c r="Y166" s="424" t="s">
        <v>2279</v>
      </c>
      <c r="Z166" s="424" t="s">
        <v>2872</v>
      </c>
      <c r="AA166" s="424" t="s">
        <v>3197</v>
      </c>
      <c r="AB166" s="424" t="s">
        <v>3392</v>
      </c>
      <c r="AC166" s="424" t="s">
        <v>1953</v>
      </c>
      <c r="AD166" s="424" t="s">
        <v>2892</v>
      </c>
      <c r="AE166" s="424" t="s">
        <v>3348</v>
      </c>
      <c r="AF166" s="424"/>
      <c r="AG166" s="424"/>
      <c r="AH166" s="424"/>
    </row>
    <row r="167" spans="1:34" x14ac:dyDescent="0.25">
      <c r="A167" s="423" t="s">
        <v>1644</v>
      </c>
      <c r="B167" s="423" t="s">
        <v>3393</v>
      </c>
      <c r="C167" s="423" t="s">
        <v>1705</v>
      </c>
      <c r="D167" s="423" t="s">
        <v>3252</v>
      </c>
      <c r="E167" s="423" t="s">
        <v>2818</v>
      </c>
      <c r="F167" s="423">
        <v>12</v>
      </c>
      <c r="G167" s="423" t="s">
        <v>3384</v>
      </c>
      <c r="H167" s="423"/>
      <c r="J167" s="423"/>
      <c r="K167" s="423"/>
      <c r="L167" s="423"/>
      <c r="M167" s="423"/>
      <c r="Q167" s="423"/>
      <c r="R167" s="424" t="s">
        <v>3394</v>
      </c>
      <c r="S167" s="424" t="s">
        <v>2846</v>
      </c>
      <c r="T167" s="424" t="s">
        <v>3356</v>
      </c>
      <c r="U167" s="424">
        <v>0</v>
      </c>
      <c r="V167" s="424" t="s">
        <v>3074</v>
      </c>
      <c r="W167" s="424" t="s">
        <v>3074</v>
      </c>
      <c r="X167" s="424" t="s">
        <v>2825</v>
      </c>
      <c r="Y167" s="424" t="s">
        <v>2279</v>
      </c>
      <c r="Z167" s="424" t="s">
        <v>2872</v>
      </c>
      <c r="AA167" s="424" t="s">
        <v>3197</v>
      </c>
      <c r="AB167" s="424" t="s">
        <v>3351</v>
      </c>
      <c r="AC167" s="424" t="s">
        <v>1953</v>
      </c>
      <c r="AD167" s="424" t="s">
        <v>2892</v>
      </c>
      <c r="AE167" s="424" t="s">
        <v>3348</v>
      </c>
      <c r="AF167" s="424"/>
      <c r="AG167" s="424"/>
      <c r="AH167" s="424"/>
    </row>
    <row r="168" spans="1:34" x14ac:dyDescent="0.25">
      <c r="A168" s="423" t="s">
        <v>1644</v>
      </c>
      <c r="B168" s="423" t="s">
        <v>3395</v>
      </c>
      <c r="C168" s="423" t="s">
        <v>1705</v>
      </c>
      <c r="D168" s="423" t="s">
        <v>3252</v>
      </c>
      <c r="E168" s="423" t="s">
        <v>2818</v>
      </c>
      <c r="F168" s="423">
        <v>12</v>
      </c>
      <c r="G168" s="423" t="s">
        <v>3384</v>
      </c>
      <c r="H168" s="423"/>
      <c r="J168" s="423"/>
      <c r="K168" s="423"/>
      <c r="L168" s="423"/>
      <c r="M168" s="423"/>
      <c r="Q168" s="423"/>
      <c r="R168" s="424" t="s">
        <v>3396</v>
      </c>
      <c r="S168" s="424" t="s">
        <v>2846</v>
      </c>
      <c r="T168" s="424" t="s">
        <v>3356</v>
      </c>
      <c r="U168" s="424">
        <v>0</v>
      </c>
      <c r="V168" s="424" t="s">
        <v>3074</v>
      </c>
      <c r="W168" s="424" t="s">
        <v>3074</v>
      </c>
      <c r="X168" s="424" t="s">
        <v>2825</v>
      </c>
      <c r="Y168" s="424" t="s">
        <v>2279</v>
      </c>
      <c r="Z168" s="424" t="s">
        <v>2872</v>
      </c>
      <c r="AA168" s="424" t="s">
        <v>3197</v>
      </c>
      <c r="AB168" s="424" t="s">
        <v>3392</v>
      </c>
      <c r="AC168" s="424" t="s">
        <v>1953</v>
      </c>
      <c r="AD168" s="424" t="s">
        <v>2892</v>
      </c>
      <c r="AE168" s="424" t="s">
        <v>3348</v>
      </c>
      <c r="AF168" s="424"/>
      <c r="AG168" s="424"/>
      <c r="AH168" s="424"/>
    </row>
    <row r="169" spans="1:34" x14ac:dyDescent="0.25">
      <c r="A169" s="423" t="s">
        <v>1644</v>
      </c>
      <c r="B169" s="423" t="s">
        <v>3397</v>
      </c>
      <c r="C169" s="423" t="s">
        <v>1705</v>
      </c>
      <c r="D169" s="423" t="s">
        <v>3252</v>
      </c>
      <c r="E169" s="423" t="s">
        <v>2818</v>
      </c>
      <c r="F169" s="423">
        <v>12</v>
      </c>
      <c r="G169" s="423" t="s">
        <v>3384</v>
      </c>
      <c r="H169" s="423"/>
      <c r="J169" s="423"/>
      <c r="K169" s="423"/>
      <c r="L169" s="423"/>
      <c r="M169" s="423"/>
      <c r="Q169" s="423"/>
      <c r="R169" s="424" t="s">
        <v>3398</v>
      </c>
      <c r="S169" s="424" t="s">
        <v>2846</v>
      </c>
      <c r="T169" s="424" t="s">
        <v>3356</v>
      </c>
      <c r="U169" s="424">
        <v>0</v>
      </c>
      <c r="V169" s="424" t="s">
        <v>3074</v>
      </c>
      <c r="W169" s="424" t="s">
        <v>3074</v>
      </c>
      <c r="X169" s="424" t="s">
        <v>2825</v>
      </c>
      <c r="Y169" s="424" t="s">
        <v>2279</v>
      </c>
      <c r="Z169" s="424" t="s">
        <v>2872</v>
      </c>
      <c r="AA169" s="424" t="s">
        <v>3197</v>
      </c>
      <c r="AB169" s="424" t="s">
        <v>3399</v>
      </c>
      <c r="AC169" s="424" t="s">
        <v>1953</v>
      </c>
      <c r="AD169" s="424" t="s">
        <v>2892</v>
      </c>
      <c r="AE169" s="424" t="s">
        <v>3387</v>
      </c>
      <c r="AF169" s="424"/>
      <c r="AG169" s="424"/>
      <c r="AH169" s="424"/>
    </row>
    <row r="170" spans="1:34" x14ac:dyDescent="0.25">
      <c r="A170" s="423" t="s">
        <v>1644</v>
      </c>
      <c r="B170" s="423" t="s">
        <v>3400</v>
      </c>
      <c r="C170" s="423" t="s">
        <v>1705</v>
      </c>
      <c r="D170" s="423" t="s">
        <v>3252</v>
      </c>
      <c r="E170" s="423" t="s">
        <v>2818</v>
      </c>
      <c r="F170" s="423">
        <v>12</v>
      </c>
      <c r="G170" s="423" t="s">
        <v>3384</v>
      </c>
      <c r="H170" s="423"/>
      <c r="J170" s="423"/>
      <c r="K170" s="423"/>
      <c r="L170" s="423"/>
      <c r="M170" s="423"/>
      <c r="Q170" s="423"/>
      <c r="R170" s="424" t="s">
        <v>3401</v>
      </c>
      <c r="S170" s="424" t="s">
        <v>2846</v>
      </c>
      <c r="T170" s="424" t="s">
        <v>3356</v>
      </c>
      <c r="U170" s="424">
        <v>0</v>
      </c>
      <c r="V170" s="424" t="s">
        <v>3074</v>
      </c>
      <c r="W170" s="424" t="s">
        <v>3074</v>
      </c>
      <c r="X170" s="424" t="s">
        <v>2825</v>
      </c>
      <c r="Y170" s="424" t="s">
        <v>2279</v>
      </c>
      <c r="Z170" s="424" t="s">
        <v>2872</v>
      </c>
      <c r="AA170" s="424" t="s">
        <v>3197</v>
      </c>
      <c r="AB170" s="424" t="s">
        <v>3392</v>
      </c>
      <c r="AC170" s="424" t="s">
        <v>1953</v>
      </c>
      <c r="AD170" s="424" t="s">
        <v>2892</v>
      </c>
      <c r="AE170" s="424" t="s">
        <v>3348</v>
      </c>
      <c r="AF170" s="424"/>
      <c r="AG170" s="424"/>
      <c r="AH170" s="424"/>
    </row>
    <row r="171" spans="1:34" x14ac:dyDescent="0.25">
      <c r="A171" s="423" t="s">
        <v>1644</v>
      </c>
      <c r="B171" s="423" t="s">
        <v>3402</v>
      </c>
      <c r="C171" s="423" t="s">
        <v>1705</v>
      </c>
      <c r="D171" s="423" t="s">
        <v>3252</v>
      </c>
      <c r="E171" s="423" t="s">
        <v>2818</v>
      </c>
      <c r="F171" s="423">
        <v>12</v>
      </c>
      <c r="G171" s="423" t="s">
        <v>3384</v>
      </c>
      <c r="H171" s="423"/>
      <c r="J171" s="423"/>
      <c r="K171" s="423"/>
      <c r="L171" s="423"/>
      <c r="M171" s="423"/>
      <c r="Q171" s="423"/>
      <c r="R171" s="424" t="s">
        <v>3403</v>
      </c>
      <c r="S171" s="424" t="s">
        <v>2846</v>
      </c>
      <c r="T171" s="424" t="s">
        <v>3356</v>
      </c>
      <c r="U171" s="424">
        <v>0</v>
      </c>
      <c r="V171" s="424" t="s">
        <v>3074</v>
      </c>
      <c r="W171" s="424" t="s">
        <v>3074</v>
      </c>
      <c r="X171" s="424" t="s">
        <v>2825</v>
      </c>
      <c r="Y171" s="424" t="s">
        <v>2279</v>
      </c>
      <c r="Z171" s="424" t="s">
        <v>2872</v>
      </c>
      <c r="AA171" s="424" t="s">
        <v>3197</v>
      </c>
      <c r="AB171" s="424" t="s">
        <v>3351</v>
      </c>
      <c r="AC171" s="424" t="s">
        <v>1953</v>
      </c>
      <c r="AD171" s="424" t="s">
        <v>2892</v>
      </c>
      <c r="AE171" s="424" t="s">
        <v>3348</v>
      </c>
      <c r="AF171" s="424"/>
      <c r="AG171" s="424"/>
      <c r="AH171" s="424"/>
    </row>
    <row r="172" spans="1:34" x14ac:dyDescent="0.25">
      <c r="A172" s="423" t="s">
        <v>1644</v>
      </c>
      <c r="B172" s="423" t="s">
        <v>3404</v>
      </c>
      <c r="C172" s="423" t="s">
        <v>1705</v>
      </c>
      <c r="D172" s="423" t="s">
        <v>3252</v>
      </c>
      <c r="E172" s="423" t="s">
        <v>2818</v>
      </c>
      <c r="F172" s="423">
        <v>12</v>
      </c>
      <c r="G172" s="423" t="s">
        <v>3384</v>
      </c>
      <c r="H172" s="423"/>
      <c r="J172" s="423"/>
      <c r="K172" s="423"/>
      <c r="L172" s="423"/>
      <c r="M172" s="423"/>
      <c r="Q172" s="423"/>
      <c r="R172" s="424" t="s">
        <v>3405</v>
      </c>
      <c r="S172" s="424" t="s">
        <v>2846</v>
      </c>
      <c r="T172" s="424" t="s">
        <v>3356</v>
      </c>
      <c r="U172" s="424">
        <v>0</v>
      </c>
      <c r="V172" s="424" t="s">
        <v>3074</v>
      </c>
      <c r="W172" s="424" t="s">
        <v>3074</v>
      </c>
      <c r="X172" s="424" t="s">
        <v>2825</v>
      </c>
      <c r="Y172" s="424" t="s">
        <v>2279</v>
      </c>
      <c r="Z172" s="424" t="s">
        <v>2872</v>
      </c>
      <c r="AA172" s="424" t="s">
        <v>3197</v>
      </c>
      <c r="AB172" s="424" t="s">
        <v>3386</v>
      </c>
      <c r="AC172" s="424" t="s">
        <v>1953</v>
      </c>
      <c r="AD172" s="424" t="s">
        <v>2892</v>
      </c>
      <c r="AE172" s="424" t="s">
        <v>3387</v>
      </c>
      <c r="AF172" s="424"/>
      <c r="AG172" s="424"/>
      <c r="AH172" s="424"/>
    </row>
    <row r="173" spans="1:34" x14ac:dyDescent="0.25">
      <c r="A173" s="423" t="s">
        <v>1644</v>
      </c>
      <c r="B173" s="423" t="s">
        <v>3406</v>
      </c>
      <c r="C173" s="423" t="s">
        <v>1705</v>
      </c>
      <c r="D173" s="423" t="s">
        <v>3252</v>
      </c>
      <c r="E173" s="423" t="s">
        <v>2818</v>
      </c>
      <c r="F173" s="423">
        <v>12</v>
      </c>
      <c r="G173" s="423" t="s">
        <v>3384</v>
      </c>
      <c r="H173" s="423"/>
      <c r="J173" s="423"/>
      <c r="K173" s="423"/>
      <c r="L173" s="423"/>
      <c r="M173" s="423"/>
      <c r="Q173" s="423"/>
      <c r="R173" s="424" t="s">
        <v>3407</v>
      </c>
      <c r="S173" s="424" t="s">
        <v>2846</v>
      </c>
      <c r="T173" s="424" t="s">
        <v>3356</v>
      </c>
      <c r="U173" s="424">
        <v>0</v>
      </c>
      <c r="V173" s="424" t="s">
        <v>3074</v>
      </c>
      <c r="W173" s="424" t="s">
        <v>3074</v>
      </c>
      <c r="X173" s="424" t="s">
        <v>2825</v>
      </c>
      <c r="Y173" s="424" t="s">
        <v>2279</v>
      </c>
      <c r="Z173" s="424" t="s">
        <v>2872</v>
      </c>
      <c r="AA173" s="424" t="s">
        <v>3197</v>
      </c>
      <c r="AB173" s="424" t="s">
        <v>3408</v>
      </c>
      <c r="AC173" s="424" t="s">
        <v>1953</v>
      </c>
      <c r="AD173" s="424" t="s">
        <v>2892</v>
      </c>
      <c r="AE173" s="424" t="s">
        <v>3348</v>
      </c>
      <c r="AF173" s="424"/>
      <c r="AG173" s="424"/>
      <c r="AH173" s="424"/>
    </row>
    <row r="174" spans="1:34" x14ac:dyDescent="0.25">
      <c r="A174" s="423" t="s">
        <v>1644</v>
      </c>
      <c r="B174" s="423" t="s">
        <v>3409</v>
      </c>
      <c r="C174" s="423" t="s">
        <v>1705</v>
      </c>
      <c r="D174" s="423" t="s">
        <v>3252</v>
      </c>
      <c r="E174" s="423" t="s">
        <v>2818</v>
      </c>
      <c r="F174" s="423">
        <v>12</v>
      </c>
      <c r="G174" s="423" t="s">
        <v>3384</v>
      </c>
      <c r="H174" s="423"/>
      <c r="J174" s="423"/>
      <c r="K174" s="423"/>
      <c r="L174" s="423"/>
      <c r="M174" s="423"/>
      <c r="Q174" s="423"/>
      <c r="R174" s="424" t="s">
        <v>3410</v>
      </c>
      <c r="S174" s="424" t="s">
        <v>2846</v>
      </c>
      <c r="T174" s="424" t="s">
        <v>3356</v>
      </c>
      <c r="U174" s="424">
        <v>0</v>
      </c>
      <c r="V174" s="424" t="s">
        <v>3074</v>
      </c>
      <c r="W174" s="424" t="s">
        <v>3074</v>
      </c>
      <c r="X174" s="424" t="s">
        <v>2825</v>
      </c>
      <c r="Y174" s="424" t="s">
        <v>2279</v>
      </c>
      <c r="Z174" s="424" t="s">
        <v>2872</v>
      </c>
      <c r="AA174" s="424" t="s">
        <v>3197</v>
      </c>
      <c r="AB174" s="424" t="s">
        <v>3411</v>
      </c>
      <c r="AC174" s="424" t="s">
        <v>1953</v>
      </c>
      <c r="AD174" s="424" t="s">
        <v>2892</v>
      </c>
      <c r="AE174" s="424" t="s">
        <v>3387</v>
      </c>
      <c r="AF174" s="424"/>
      <c r="AG174" s="424"/>
      <c r="AH174" s="424"/>
    </row>
    <row r="175" spans="1:34" x14ac:dyDescent="0.25">
      <c r="A175" s="423" t="s">
        <v>1644</v>
      </c>
      <c r="B175" s="423" t="s">
        <v>3412</v>
      </c>
      <c r="C175" s="423" t="s">
        <v>1705</v>
      </c>
      <c r="D175" s="423" t="s">
        <v>3252</v>
      </c>
      <c r="E175" s="423" t="s">
        <v>2818</v>
      </c>
      <c r="F175" s="423">
        <v>12</v>
      </c>
      <c r="G175" s="423" t="s">
        <v>3384</v>
      </c>
      <c r="H175" s="423"/>
      <c r="J175" s="423"/>
      <c r="K175" s="423"/>
      <c r="L175" s="423"/>
      <c r="M175" s="423"/>
      <c r="Q175" s="423"/>
      <c r="R175" s="424" t="s">
        <v>3413</v>
      </c>
      <c r="S175" s="424" t="s">
        <v>2846</v>
      </c>
      <c r="T175" s="424" t="s">
        <v>3356</v>
      </c>
      <c r="U175" s="424">
        <v>0</v>
      </c>
      <c r="V175" s="424" t="s">
        <v>3074</v>
      </c>
      <c r="W175" s="424" t="s">
        <v>3074</v>
      </c>
      <c r="X175" s="424" t="s">
        <v>2825</v>
      </c>
      <c r="Y175" s="424" t="s">
        <v>2279</v>
      </c>
      <c r="Z175" s="424" t="s">
        <v>2872</v>
      </c>
      <c r="AA175" s="424" t="s">
        <v>3197</v>
      </c>
      <c r="AB175" s="424" t="s">
        <v>3351</v>
      </c>
      <c r="AC175" s="424" t="s">
        <v>1953</v>
      </c>
      <c r="AD175" s="424" t="s">
        <v>2892</v>
      </c>
      <c r="AE175" s="424" t="s">
        <v>3348</v>
      </c>
      <c r="AF175" s="424"/>
      <c r="AG175" s="424"/>
      <c r="AH175" s="424"/>
    </row>
    <row r="176" spans="1:34" x14ac:dyDescent="0.25">
      <c r="A176" s="423" t="s">
        <v>1644</v>
      </c>
      <c r="B176" s="423" t="s">
        <v>3414</v>
      </c>
      <c r="C176" s="423" t="s">
        <v>1705</v>
      </c>
      <c r="D176" s="423" t="s">
        <v>3252</v>
      </c>
      <c r="E176" s="423" t="s">
        <v>2818</v>
      </c>
      <c r="F176" s="423">
        <v>16</v>
      </c>
      <c r="G176" s="423" t="s">
        <v>3415</v>
      </c>
      <c r="H176" s="423"/>
      <c r="J176" s="423"/>
      <c r="K176" s="423"/>
      <c r="L176" s="423"/>
      <c r="M176" s="423"/>
      <c r="Q176" s="423"/>
      <c r="R176" s="424" t="s">
        <v>3414</v>
      </c>
      <c r="S176" s="424" t="s">
        <v>2846</v>
      </c>
      <c r="T176" s="424" t="s">
        <v>3416</v>
      </c>
      <c r="U176" s="424">
        <v>0</v>
      </c>
      <c r="V176" s="424" t="s">
        <v>3269</v>
      </c>
      <c r="W176" s="424" t="s">
        <v>2974</v>
      </c>
      <c r="X176" s="424" t="s">
        <v>2825</v>
      </c>
      <c r="Y176" s="424" t="s">
        <v>2279</v>
      </c>
      <c r="Z176" s="424" t="s">
        <v>2848</v>
      </c>
      <c r="AA176" s="424" t="s">
        <v>2849</v>
      </c>
      <c r="AB176" s="424" t="s">
        <v>3417</v>
      </c>
      <c r="AC176" s="424" t="s">
        <v>1953</v>
      </c>
      <c r="AD176" s="424" t="s">
        <v>2851</v>
      </c>
      <c r="AE176" s="424" t="s">
        <v>3418</v>
      </c>
      <c r="AF176" s="424"/>
      <c r="AG176" s="424"/>
      <c r="AH176" s="424"/>
    </row>
    <row r="177" spans="1:34" x14ac:dyDescent="0.25">
      <c r="A177" s="423" t="s">
        <v>1644</v>
      </c>
      <c r="B177" s="423" t="s">
        <v>3419</v>
      </c>
      <c r="C177" s="423" t="s">
        <v>1705</v>
      </c>
      <c r="D177" s="423" t="s">
        <v>3252</v>
      </c>
      <c r="E177" s="423" t="s">
        <v>2818</v>
      </c>
      <c r="F177" s="423">
        <v>12</v>
      </c>
      <c r="G177" s="423" t="s">
        <v>3326</v>
      </c>
      <c r="H177" s="423"/>
      <c r="J177" s="423"/>
      <c r="K177" s="423"/>
      <c r="L177" s="423"/>
      <c r="M177" s="423"/>
      <c r="Q177" s="423"/>
      <c r="R177" s="424" t="s">
        <v>3419</v>
      </c>
      <c r="S177" s="424" t="s">
        <v>2846</v>
      </c>
      <c r="T177" s="424" t="s">
        <v>3420</v>
      </c>
      <c r="U177" s="424">
        <v>0</v>
      </c>
      <c r="V177" s="424" t="s">
        <v>3269</v>
      </c>
      <c r="W177" s="424" t="s">
        <v>3055</v>
      </c>
      <c r="X177" s="424" t="s">
        <v>2825</v>
      </c>
      <c r="Y177" s="424" t="s">
        <v>2279</v>
      </c>
      <c r="Z177" s="424" t="s">
        <v>2848</v>
      </c>
      <c r="AA177" s="424" t="s">
        <v>2855</v>
      </c>
      <c r="AB177" s="424" t="s">
        <v>3421</v>
      </c>
      <c r="AC177" s="424" t="s">
        <v>1953</v>
      </c>
      <c r="AD177" s="424" t="s">
        <v>2851</v>
      </c>
      <c r="AE177" s="424" t="s">
        <v>3168</v>
      </c>
      <c r="AF177" s="424"/>
      <c r="AG177" s="424"/>
      <c r="AH177" s="424"/>
    </row>
    <row r="178" spans="1:34" x14ac:dyDescent="0.25">
      <c r="A178" s="423" t="s">
        <v>1644</v>
      </c>
      <c r="B178" s="423" t="s">
        <v>3422</v>
      </c>
      <c r="C178" s="423" t="s">
        <v>1705</v>
      </c>
      <c r="D178" s="423" t="s">
        <v>3252</v>
      </c>
      <c r="E178" s="423" t="s">
        <v>2818</v>
      </c>
      <c r="F178" s="423">
        <v>16</v>
      </c>
      <c r="G178" s="423" t="s">
        <v>3415</v>
      </c>
      <c r="H178" s="423"/>
      <c r="J178" s="423"/>
      <c r="K178" s="423"/>
      <c r="L178" s="423"/>
      <c r="M178" s="423"/>
      <c r="Q178" s="423"/>
      <c r="R178" s="424" t="s">
        <v>3422</v>
      </c>
      <c r="S178" s="424" t="s">
        <v>2846</v>
      </c>
      <c r="T178" s="424" t="s">
        <v>3416</v>
      </c>
      <c r="U178" s="424">
        <v>0</v>
      </c>
      <c r="V178" s="424" t="s">
        <v>3269</v>
      </c>
      <c r="W178" s="424" t="s">
        <v>2974</v>
      </c>
      <c r="X178" s="424" t="s">
        <v>2825</v>
      </c>
      <c r="Y178" s="424" t="s">
        <v>2279</v>
      </c>
      <c r="Z178" s="424" t="s">
        <v>2848</v>
      </c>
      <c r="AA178" s="424" t="s">
        <v>2849</v>
      </c>
      <c r="AB178" s="424" t="s">
        <v>3423</v>
      </c>
      <c r="AC178" s="424" t="s">
        <v>1953</v>
      </c>
      <c r="AD178" s="424" t="s">
        <v>2851</v>
      </c>
      <c r="AE178" s="424" t="s">
        <v>2901</v>
      </c>
      <c r="AF178" s="424"/>
      <c r="AG178" s="424"/>
      <c r="AH178" s="424"/>
    </row>
    <row r="179" spans="1:34" x14ac:dyDescent="0.25">
      <c r="A179" s="423" t="s">
        <v>1644</v>
      </c>
      <c r="B179" s="423" t="s">
        <v>3424</v>
      </c>
      <c r="C179" s="423" t="s">
        <v>1705</v>
      </c>
      <c r="D179" s="423" t="s">
        <v>3252</v>
      </c>
      <c r="E179" s="423" t="s">
        <v>2818</v>
      </c>
      <c r="F179" s="423">
        <v>12</v>
      </c>
      <c r="G179" s="423" t="s">
        <v>3326</v>
      </c>
      <c r="H179" s="423"/>
      <c r="J179" s="423"/>
      <c r="K179" s="423"/>
      <c r="L179" s="423"/>
      <c r="M179" s="423"/>
      <c r="Q179" s="423"/>
      <c r="R179" s="424" t="s">
        <v>3424</v>
      </c>
      <c r="S179" s="424" t="s">
        <v>2846</v>
      </c>
      <c r="T179" s="424" t="s">
        <v>3420</v>
      </c>
      <c r="U179" s="424">
        <v>0</v>
      </c>
      <c r="V179" s="424" t="s">
        <v>3269</v>
      </c>
      <c r="W179" s="424" t="s">
        <v>3054</v>
      </c>
      <c r="X179" s="424" t="s">
        <v>2825</v>
      </c>
      <c r="Y179" s="424" t="s">
        <v>2279</v>
      </c>
      <c r="Z179" s="424" t="s">
        <v>3260</v>
      </c>
      <c r="AA179" s="424" t="s">
        <v>3327</v>
      </c>
      <c r="AB179" s="424" t="s">
        <v>3425</v>
      </c>
      <c r="AC179" s="424" t="s">
        <v>1953</v>
      </c>
      <c r="AD179" s="424" t="s">
        <v>3329</v>
      </c>
      <c r="AE179" s="424" t="s">
        <v>3330</v>
      </c>
      <c r="AF179" s="424"/>
      <c r="AG179" s="424"/>
      <c r="AH179" s="424"/>
    </row>
    <row r="180" spans="1:34" x14ac:dyDescent="0.25">
      <c r="A180" s="423" t="s">
        <v>1644</v>
      </c>
      <c r="B180" s="423" t="s">
        <v>3426</v>
      </c>
      <c r="C180" s="423" t="s">
        <v>1705</v>
      </c>
      <c r="D180" s="423" t="s">
        <v>3252</v>
      </c>
      <c r="E180" s="423" t="s">
        <v>2818</v>
      </c>
      <c r="F180" s="423">
        <v>16</v>
      </c>
      <c r="G180" s="423" t="s">
        <v>3427</v>
      </c>
      <c r="H180" s="423"/>
      <c r="J180" s="423"/>
      <c r="K180" s="423"/>
      <c r="L180" s="423"/>
      <c r="M180" s="423"/>
      <c r="Q180" s="423"/>
      <c r="R180" s="424" t="s">
        <v>3428</v>
      </c>
      <c r="S180" s="424" t="s">
        <v>2846</v>
      </c>
      <c r="T180" s="424" t="s">
        <v>3356</v>
      </c>
      <c r="U180" s="424">
        <v>0</v>
      </c>
      <c r="V180" s="424" t="s">
        <v>3269</v>
      </c>
      <c r="W180" s="424" t="s">
        <v>3074</v>
      </c>
      <c r="X180" s="424" t="s">
        <v>2825</v>
      </c>
      <c r="Y180" s="424" t="s">
        <v>2279</v>
      </c>
      <c r="Z180" s="424" t="s">
        <v>2848</v>
      </c>
      <c r="AA180" s="424" t="s">
        <v>2849</v>
      </c>
      <c r="AB180" s="424" t="s">
        <v>3429</v>
      </c>
      <c r="AC180" s="424" t="s">
        <v>1953</v>
      </c>
      <c r="AD180" s="424" t="s">
        <v>2851</v>
      </c>
      <c r="AE180" s="424" t="s">
        <v>2861</v>
      </c>
      <c r="AF180" s="424"/>
      <c r="AG180" s="424"/>
      <c r="AH180" s="424"/>
    </row>
    <row r="181" spans="1:34" x14ac:dyDescent="0.25">
      <c r="A181" s="423" t="s">
        <v>1644</v>
      </c>
      <c r="B181" s="423" t="s">
        <v>3430</v>
      </c>
      <c r="C181" s="423" t="s">
        <v>1705</v>
      </c>
      <c r="D181" s="423" t="s">
        <v>3252</v>
      </c>
      <c r="E181" s="423" t="s">
        <v>2818</v>
      </c>
      <c r="F181" s="423">
        <v>16</v>
      </c>
      <c r="G181" s="423" t="s">
        <v>3427</v>
      </c>
      <c r="H181" s="423"/>
      <c r="J181" s="423"/>
      <c r="K181" s="423"/>
      <c r="L181" s="423"/>
      <c r="M181" s="423"/>
      <c r="Q181" s="423"/>
      <c r="R181" s="424" t="s">
        <v>3431</v>
      </c>
      <c r="S181" s="424" t="s">
        <v>2846</v>
      </c>
      <c r="T181" s="424" t="s">
        <v>3356</v>
      </c>
      <c r="U181" s="424">
        <v>0</v>
      </c>
      <c r="V181" s="424" t="s">
        <v>3269</v>
      </c>
      <c r="W181" s="424" t="s">
        <v>3074</v>
      </c>
      <c r="X181" s="424" t="s">
        <v>2825</v>
      </c>
      <c r="Y181" s="424" t="s">
        <v>2279</v>
      </c>
      <c r="Z181" s="424" t="s">
        <v>2848</v>
      </c>
      <c r="AA181" s="424" t="s">
        <v>2849</v>
      </c>
      <c r="AB181" s="424" t="s">
        <v>3432</v>
      </c>
      <c r="AC181" s="424" t="s">
        <v>1953</v>
      </c>
      <c r="AD181" s="424" t="s">
        <v>2851</v>
      </c>
      <c r="AE181" s="424" t="s">
        <v>2861</v>
      </c>
      <c r="AF181" s="424"/>
      <c r="AG181" s="424"/>
      <c r="AH181" s="424"/>
    </row>
    <row r="182" spans="1:34" x14ac:dyDescent="0.25">
      <c r="A182" s="423" t="s">
        <v>1644</v>
      </c>
      <c r="B182" s="423" t="s">
        <v>3433</v>
      </c>
      <c r="C182" s="423" t="s">
        <v>1705</v>
      </c>
      <c r="D182" s="423" t="s">
        <v>3252</v>
      </c>
      <c r="E182" s="423" t="s">
        <v>2818</v>
      </c>
      <c r="F182" s="423">
        <v>16</v>
      </c>
      <c r="G182" s="423" t="s">
        <v>3427</v>
      </c>
      <c r="H182" s="423"/>
      <c r="J182" s="423"/>
      <c r="K182" s="423"/>
      <c r="L182" s="423"/>
      <c r="M182" s="423"/>
      <c r="Q182" s="423"/>
      <c r="R182" s="424" t="s">
        <v>3434</v>
      </c>
      <c r="S182" s="424" t="s">
        <v>2846</v>
      </c>
      <c r="T182" s="424" t="s">
        <v>3356</v>
      </c>
      <c r="U182" s="424">
        <v>0</v>
      </c>
      <c r="V182" s="424" t="s">
        <v>3269</v>
      </c>
      <c r="W182" s="424" t="s">
        <v>3074</v>
      </c>
      <c r="X182" s="424" t="s">
        <v>2825</v>
      </c>
      <c r="Y182" s="424" t="s">
        <v>2279</v>
      </c>
      <c r="Z182" s="424" t="s">
        <v>2848</v>
      </c>
      <c r="AA182" s="424" t="s">
        <v>2849</v>
      </c>
      <c r="AB182" s="424" t="s">
        <v>3435</v>
      </c>
      <c r="AC182" s="424" t="s">
        <v>1953</v>
      </c>
      <c r="AD182" s="424" t="s">
        <v>2851</v>
      </c>
      <c r="AE182" s="424" t="s">
        <v>3436</v>
      </c>
      <c r="AF182" s="424"/>
      <c r="AG182" s="424"/>
      <c r="AH182" s="424"/>
    </row>
    <row r="183" spans="1:34" x14ac:dyDescent="0.25">
      <c r="A183" s="423" t="s">
        <v>1644</v>
      </c>
      <c r="B183" s="423" t="s">
        <v>3437</v>
      </c>
      <c r="C183" s="423" t="s">
        <v>1705</v>
      </c>
      <c r="D183" s="423" t="s">
        <v>3252</v>
      </c>
      <c r="E183" s="423" t="s">
        <v>2818</v>
      </c>
      <c r="F183" s="423">
        <v>16</v>
      </c>
      <c r="G183" s="423" t="s">
        <v>3427</v>
      </c>
      <c r="H183" s="423"/>
      <c r="J183" s="423"/>
      <c r="K183" s="423"/>
      <c r="L183" s="423"/>
      <c r="M183" s="423"/>
      <c r="Q183" s="423"/>
      <c r="R183" s="424" t="s">
        <v>3438</v>
      </c>
      <c r="S183" s="424" t="s">
        <v>2846</v>
      </c>
      <c r="T183" s="424" t="s">
        <v>3356</v>
      </c>
      <c r="U183" s="424">
        <v>0</v>
      </c>
      <c r="V183" s="424" t="s">
        <v>3269</v>
      </c>
      <c r="W183" s="424" t="s">
        <v>3074</v>
      </c>
      <c r="X183" s="424" t="s">
        <v>2825</v>
      </c>
      <c r="Y183" s="424" t="s">
        <v>2279</v>
      </c>
      <c r="Z183" s="424" t="s">
        <v>2848</v>
      </c>
      <c r="AA183" s="424" t="s">
        <v>2849</v>
      </c>
      <c r="AB183" s="424" t="s">
        <v>3439</v>
      </c>
      <c r="AC183" s="424" t="s">
        <v>1953</v>
      </c>
      <c r="AD183" s="424" t="s">
        <v>2851</v>
      </c>
      <c r="AE183" s="424" t="s">
        <v>3440</v>
      </c>
      <c r="AF183" s="424"/>
      <c r="AG183" s="424"/>
      <c r="AH183" s="424"/>
    </row>
    <row r="184" spans="1:34" x14ac:dyDescent="0.25">
      <c r="A184" s="423" t="s">
        <v>1644</v>
      </c>
      <c r="B184" s="423" t="s">
        <v>3441</v>
      </c>
      <c r="C184" s="423" t="s">
        <v>1705</v>
      </c>
      <c r="D184" s="423" t="s">
        <v>3252</v>
      </c>
      <c r="E184" s="423" t="s">
        <v>2818</v>
      </c>
      <c r="F184" s="423">
        <v>16</v>
      </c>
      <c r="G184" s="423" t="s">
        <v>3427</v>
      </c>
      <c r="H184" s="423"/>
      <c r="J184" s="423"/>
      <c r="K184" s="423"/>
      <c r="L184" s="423"/>
      <c r="M184" s="423"/>
      <c r="Q184" s="423"/>
      <c r="R184" s="424" t="s">
        <v>3442</v>
      </c>
      <c r="S184" s="424" t="s">
        <v>2846</v>
      </c>
      <c r="T184" s="424" t="s">
        <v>3356</v>
      </c>
      <c r="U184" s="424">
        <v>0</v>
      </c>
      <c r="V184" s="424" t="s">
        <v>3269</v>
      </c>
      <c r="W184" s="424" t="s">
        <v>3074</v>
      </c>
      <c r="X184" s="424" t="s">
        <v>2825</v>
      </c>
      <c r="Y184" s="424" t="s">
        <v>2279</v>
      </c>
      <c r="Z184" s="424" t="s">
        <v>2848</v>
      </c>
      <c r="AA184" s="424" t="s">
        <v>2849</v>
      </c>
      <c r="AB184" s="424" t="s">
        <v>3443</v>
      </c>
      <c r="AC184" s="424" t="s">
        <v>1953</v>
      </c>
      <c r="AD184" s="424" t="s">
        <v>2851</v>
      </c>
      <c r="AE184" s="424" t="s">
        <v>3444</v>
      </c>
      <c r="AF184" s="424"/>
      <c r="AG184" s="424"/>
      <c r="AH184" s="424"/>
    </row>
    <row r="185" spans="1:34" x14ac:dyDescent="0.25">
      <c r="A185" s="423" t="s">
        <v>1644</v>
      </c>
      <c r="B185" s="423" t="s">
        <v>3445</v>
      </c>
      <c r="C185" s="423" t="s">
        <v>1705</v>
      </c>
      <c r="D185" s="423" t="s">
        <v>3252</v>
      </c>
      <c r="E185" s="423" t="s">
        <v>2818</v>
      </c>
      <c r="F185" s="423">
        <v>16</v>
      </c>
      <c r="G185" s="423" t="s">
        <v>3427</v>
      </c>
      <c r="H185" s="423"/>
      <c r="J185" s="423"/>
      <c r="K185" s="423"/>
      <c r="L185" s="423"/>
      <c r="M185" s="423"/>
      <c r="Q185" s="423"/>
      <c r="R185" s="424" t="s">
        <v>3446</v>
      </c>
      <c r="S185" s="424" t="s">
        <v>2846</v>
      </c>
      <c r="T185" s="424" t="s">
        <v>3356</v>
      </c>
      <c r="U185" s="424">
        <v>0</v>
      </c>
      <c r="V185" s="424" t="s">
        <v>3269</v>
      </c>
      <c r="W185" s="424" t="s">
        <v>3074</v>
      </c>
      <c r="X185" s="424" t="s">
        <v>2825</v>
      </c>
      <c r="Y185" s="424" t="s">
        <v>2279</v>
      </c>
      <c r="Z185" s="424" t="s">
        <v>2848</v>
      </c>
      <c r="AA185" s="424" t="s">
        <v>2849</v>
      </c>
      <c r="AB185" s="424" t="s">
        <v>3447</v>
      </c>
      <c r="AC185" s="424" t="s">
        <v>1953</v>
      </c>
      <c r="AD185" s="424" t="s">
        <v>2851</v>
      </c>
      <c r="AE185" s="424" t="s">
        <v>3440</v>
      </c>
      <c r="AF185" s="424"/>
      <c r="AG185" s="424"/>
      <c r="AH185" s="424"/>
    </row>
    <row r="186" spans="1:34" x14ac:dyDescent="0.25">
      <c r="A186" s="423" t="s">
        <v>1644</v>
      </c>
      <c r="B186" s="423" t="s">
        <v>3448</v>
      </c>
      <c r="C186" s="423" t="s">
        <v>1705</v>
      </c>
      <c r="D186" s="423" t="s">
        <v>3252</v>
      </c>
      <c r="E186" s="423" t="s">
        <v>2818</v>
      </c>
      <c r="F186" s="423">
        <v>16</v>
      </c>
      <c r="G186" s="423" t="s">
        <v>3427</v>
      </c>
      <c r="H186" s="423"/>
      <c r="J186" s="423"/>
      <c r="K186" s="423"/>
      <c r="L186" s="423"/>
      <c r="M186" s="423"/>
      <c r="Q186" s="423"/>
      <c r="R186" s="424" t="s">
        <v>3449</v>
      </c>
      <c r="S186" s="424" t="s">
        <v>2846</v>
      </c>
      <c r="T186" s="424" t="s">
        <v>3356</v>
      </c>
      <c r="U186" s="424">
        <v>0</v>
      </c>
      <c r="V186" s="424" t="s">
        <v>3269</v>
      </c>
      <c r="W186" s="424" t="s">
        <v>3074</v>
      </c>
      <c r="X186" s="424" t="s">
        <v>2825</v>
      </c>
      <c r="Y186" s="424" t="s">
        <v>2279</v>
      </c>
      <c r="Z186" s="424" t="s">
        <v>2848</v>
      </c>
      <c r="AA186" s="424" t="s">
        <v>2849</v>
      </c>
      <c r="AB186" s="424" t="s">
        <v>3450</v>
      </c>
      <c r="AC186" s="424" t="s">
        <v>1953</v>
      </c>
      <c r="AD186" s="424" t="s">
        <v>2851</v>
      </c>
      <c r="AE186" s="424" t="s">
        <v>3440</v>
      </c>
      <c r="AF186" s="424"/>
      <c r="AG186" s="424"/>
      <c r="AH186" s="424"/>
    </row>
    <row r="187" spans="1:34" x14ac:dyDescent="0.25">
      <c r="A187" s="423" t="s">
        <v>1644</v>
      </c>
      <c r="B187" s="423" t="s">
        <v>3451</v>
      </c>
      <c r="C187" s="423" t="s">
        <v>1705</v>
      </c>
      <c r="D187" s="423" t="s">
        <v>3252</v>
      </c>
      <c r="E187" s="423" t="s">
        <v>2818</v>
      </c>
      <c r="F187" s="423">
        <v>16</v>
      </c>
      <c r="G187" s="423" t="s">
        <v>3427</v>
      </c>
      <c r="H187" s="423"/>
      <c r="J187" s="423"/>
      <c r="K187" s="423"/>
      <c r="L187" s="423"/>
      <c r="M187" s="423"/>
      <c r="Q187" s="423"/>
      <c r="R187" s="424" t="s">
        <v>3452</v>
      </c>
      <c r="S187" s="424" t="s">
        <v>2846</v>
      </c>
      <c r="T187" s="424" t="s">
        <v>3356</v>
      </c>
      <c r="U187" s="424">
        <v>0</v>
      </c>
      <c r="V187" s="424" t="s">
        <v>3269</v>
      </c>
      <c r="W187" s="424" t="s">
        <v>3074</v>
      </c>
      <c r="X187" s="424" t="s">
        <v>2825</v>
      </c>
      <c r="Y187" s="424" t="s">
        <v>2279</v>
      </c>
      <c r="Z187" s="424" t="s">
        <v>2848</v>
      </c>
      <c r="AA187" s="424" t="s">
        <v>2849</v>
      </c>
      <c r="AB187" s="424" t="s">
        <v>3435</v>
      </c>
      <c r="AC187" s="424" t="s">
        <v>1953</v>
      </c>
      <c r="AD187" s="424" t="s">
        <v>2851</v>
      </c>
      <c r="AE187" s="424" t="s">
        <v>3436</v>
      </c>
      <c r="AF187" s="424"/>
      <c r="AG187" s="424"/>
      <c r="AH187" s="424"/>
    </row>
    <row r="188" spans="1:34" x14ac:dyDescent="0.25">
      <c r="A188" s="423" t="s">
        <v>1644</v>
      </c>
      <c r="B188" s="423" t="s">
        <v>3453</v>
      </c>
      <c r="C188" s="423" t="s">
        <v>1705</v>
      </c>
      <c r="D188" s="423" t="s">
        <v>3252</v>
      </c>
      <c r="E188" s="423" t="s">
        <v>2818</v>
      </c>
      <c r="F188" s="423">
        <v>16</v>
      </c>
      <c r="G188" s="423" t="s">
        <v>3427</v>
      </c>
      <c r="H188" s="423"/>
      <c r="J188" s="423"/>
      <c r="K188" s="423"/>
      <c r="L188" s="423"/>
      <c r="M188" s="423"/>
      <c r="Q188" s="423"/>
      <c r="R188" s="424" t="s">
        <v>3454</v>
      </c>
      <c r="S188" s="424" t="s">
        <v>2846</v>
      </c>
      <c r="T188" s="424" t="s">
        <v>3356</v>
      </c>
      <c r="U188" s="424">
        <v>0</v>
      </c>
      <c r="V188" s="424" t="s">
        <v>2824</v>
      </c>
      <c r="W188" s="424" t="s">
        <v>3074</v>
      </c>
      <c r="X188" s="424" t="s">
        <v>2825</v>
      </c>
      <c r="Y188" s="424" t="s">
        <v>2279</v>
      </c>
      <c r="Z188" s="424" t="s">
        <v>2848</v>
      </c>
      <c r="AA188" s="424" t="s">
        <v>2849</v>
      </c>
      <c r="AB188" s="424" t="s">
        <v>3455</v>
      </c>
      <c r="AC188" s="424" t="s">
        <v>1953</v>
      </c>
      <c r="AD188" s="424" t="s">
        <v>2851</v>
      </c>
      <c r="AE188" s="424" t="s">
        <v>3444</v>
      </c>
      <c r="AF188" s="424"/>
      <c r="AG188" s="424"/>
      <c r="AH188" s="424"/>
    </row>
    <row r="189" spans="1:34" x14ac:dyDescent="0.25">
      <c r="A189" s="423" t="s">
        <v>1644</v>
      </c>
      <c r="B189" s="423" t="s">
        <v>3456</v>
      </c>
      <c r="C189" s="423" t="s">
        <v>1705</v>
      </c>
      <c r="D189" s="423" t="s">
        <v>3252</v>
      </c>
      <c r="E189" s="423" t="s">
        <v>2818</v>
      </c>
      <c r="F189" s="423">
        <v>16</v>
      </c>
      <c r="G189" s="423" t="s">
        <v>3427</v>
      </c>
      <c r="H189" s="423"/>
      <c r="J189" s="423"/>
      <c r="K189" s="423"/>
      <c r="L189" s="423"/>
      <c r="M189" s="423"/>
      <c r="Q189" s="423"/>
      <c r="R189" s="424" t="s">
        <v>3457</v>
      </c>
      <c r="S189" s="424" t="s">
        <v>2846</v>
      </c>
      <c r="T189" s="424" t="s">
        <v>3356</v>
      </c>
      <c r="U189" s="424">
        <v>0</v>
      </c>
      <c r="V189" s="424" t="s">
        <v>2824</v>
      </c>
      <c r="W189" s="424" t="s">
        <v>3074</v>
      </c>
      <c r="X189" s="424" t="s">
        <v>2825</v>
      </c>
      <c r="Y189" s="424" t="s">
        <v>2279</v>
      </c>
      <c r="Z189" s="424" t="s">
        <v>2848</v>
      </c>
      <c r="AA189" s="424" t="s">
        <v>2849</v>
      </c>
      <c r="AB189" s="424" t="s">
        <v>3458</v>
      </c>
      <c r="AC189" s="424" t="s">
        <v>1953</v>
      </c>
      <c r="AD189" s="424" t="s">
        <v>2851</v>
      </c>
      <c r="AE189" s="424" t="s">
        <v>2861</v>
      </c>
      <c r="AF189" s="424"/>
      <c r="AG189" s="424"/>
      <c r="AH189" s="424"/>
    </row>
    <row r="190" spans="1:34" x14ac:dyDescent="0.25">
      <c r="A190" s="423" t="s">
        <v>1644</v>
      </c>
      <c r="B190" s="423" t="s">
        <v>3459</v>
      </c>
      <c r="C190" s="423" t="s">
        <v>1705</v>
      </c>
      <c r="D190" s="423" t="s">
        <v>3252</v>
      </c>
      <c r="E190" s="423" t="s">
        <v>2818</v>
      </c>
      <c r="F190" s="423">
        <v>16</v>
      </c>
      <c r="G190" s="423" t="s">
        <v>3427</v>
      </c>
      <c r="H190" s="423"/>
      <c r="J190" s="423"/>
      <c r="K190" s="423"/>
      <c r="L190" s="423"/>
      <c r="M190" s="423"/>
      <c r="Q190" s="423"/>
      <c r="R190" s="424" t="s">
        <v>3460</v>
      </c>
      <c r="S190" s="424" t="s">
        <v>2846</v>
      </c>
      <c r="T190" s="424" t="s">
        <v>3356</v>
      </c>
      <c r="U190" s="424">
        <v>0</v>
      </c>
      <c r="V190" s="424" t="s">
        <v>2824</v>
      </c>
      <c r="W190" s="424" t="s">
        <v>3055</v>
      </c>
      <c r="X190" s="424" t="s">
        <v>2825</v>
      </c>
      <c r="Y190" s="424" t="s">
        <v>2279</v>
      </c>
      <c r="Z190" s="424" t="s">
        <v>2889</v>
      </c>
      <c r="AA190" s="424" t="s">
        <v>2890</v>
      </c>
      <c r="AB190" s="424" t="s">
        <v>3461</v>
      </c>
      <c r="AC190" s="424" t="s">
        <v>1953</v>
      </c>
      <c r="AD190" s="424" t="s">
        <v>2851</v>
      </c>
      <c r="AE190" s="424" t="s">
        <v>3462</v>
      </c>
      <c r="AF190" s="424"/>
      <c r="AG190" s="424"/>
      <c r="AH190" s="424"/>
    </row>
    <row r="191" spans="1:34" x14ac:dyDescent="0.25">
      <c r="A191" s="423" t="s">
        <v>1644</v>
      </c>
      <c r="B191" s="423" t="s">
        <v>3463</v>
      </c>
      <c r="C191" s="423" t="s">
        <v>1705</v>
      </c>
      <c r="D191" s="423" t="s">
        <v>3252</v>
      </c>
      <c r="E191" s="423" t="s">
        <v>2818</v>
      </c>
      <c r="F191" s="423">
        <v>16</v>
      </c>
      <c r="G191" s="423" t="s">
        <v>3427</v>
      </c>
      <c r="H191" s="423"/>
      <c r="J191" s="423"/>
      <c r="K191" s="423"/>
      <c r="L191" s="423"/>
      <c r="M191" s="423"/>
      <c r="Q191" s="423"/>
      <c r="R191" s="424" t="s">
        <v>3464</v>
      </c>
      <c r="S191" s="424" t="s">
        <v>2846</v>
      </c>
      <c r="T191" s="424" t="s">
        <v>3356</v>
      </c>
      <c r="U191" s="424">
        <v>0</v>
      </c>
      <c r="V191" s="424" t="s">
        <v>2824</v>
      </c>
      <c r="W191" s="424" t="s">
        <v>3074</v>
      </c>
      <c r="X191" s="424" t="s">
        <v>2825</v>
      </c>
      <c r="Y191" s="424" t="s">
        <v>2279</v>
      </c>
      <c r="Z191" s="424" t="s">
        <v>2848</v>
      </c>
      <c r="AA191" s="424" t="s">
        <v>2849</v>
      </c>
      <c r="AB191" s="424" t="s">
        <v>3435</v>
      </c>
      <c r="AC191" s="424" t="s">
        <v>1953</v>
      </c>
      <c r="AD191" s="424" t="s">
        <v>2851</v>
      </c>
      <c r="AE191" s="424" t="s">
        <v>3436</v>
      </c>
      <c r="AF191" s="424"/>
      <c r="AG191" s="424"/>
      <c r="AH191" s="424"/>
    </row>
    <row r="192" spans="1:34" x14ac:dyDescent="0.25">
      <c r="A192" s="423" t="s">
        <v>1644</v>
      </c>
      <c r="B192" s="423" t="s">
        <v>3465</v>
      </c>
      <c r="C192" s="423" t="s">
        <v>1705</v>
      </c>
      <c r="D192" s="423" t="s">
        <v>3252</v>
      </c>
      <c r="E192" s="423" t="s">
        <v>2818</v>
      </c>
      <c r="F192" s="423">
        <v>12</v>
      </c>
      <c r="G192" s="423" t="s">
        <v>3415</v>
      </c>
      <c r="H192" s="423"/>
      <c r="J192" s="423"/>
      <c r="K192" s="423"/>
      <c r="L192" s="423"/>
      <c r="M192" s="423"/>
      <c r="Q192" s="423"/>
      <c r="R192" s="424" t="s">
        <v>3465</v>
      </c>
      <c r="S192" s="424" t="s">
        <v>2846</v>
      </c>
      <c r="T192" s="424" t="s">
        <v>3416</v>
      </c>
      <c r="U192" s="424">
        <v>0</v>
      </c>
      <c r="V192" s="424" t="s">
        <v>3269</v>
      </c>
      <c r="W192" s="424" t="s">
        <v>2974</v>
      </c>
      <c r="X192" s="424" t="s">
        <v>2825</v>
      </c>
      <c r="Y192" s="424" t="s">
        <v>2279</v>
      </c>
      <c r="Z192" s="424" t="s">
        <v>2848</v>
      </c>
      <c r="AA192" s="424" t="s">
        <v>2849</v>
      </c>
      <c r="AB192" s="424" t="s">
        <v>3466</v>
      </c>
      <c r="AC192" s="424" t="s">
        <v>1953</v>
      </c>
      <c r="AD192" s="424" t="s">
        <v>2851</v>
      </c>
      <c r="AE192" s="424" t="s">
        <v>3467</v>
      </c>
      <c r="AF192" s="424"/>
      <c r="AG192" s="424"/>
      <c r="AH192" s="424"/>
    </row>
    <row r="193" spans="1:34" x14ac:dyDescent="0.25">
      <c r="A193" s="423" t="s">
        <v>1644</v>
      </c>
      <c r="B193" s="423" t="s">
        <v>3468</v>
      </c>
      <c r="C193" s="423" t="s">
        <v>1705</v>
      </c>
      <c r="D193" s="423" t="s">
        <v>3252</v>
      </c>
      <c r="E193" s="423" t="s">
        <v>2818</v>
      </c>
      <c r="F193" s="423">
        <v>24</v>
      </c>
      <c r="G193" s="423" t="s">
        <v>3415</v>
      </c>
      <c r="H193" s="423"/>
      <c r="J193" s="423"/>
      <c r="K193" s="423"/>
      <c r="L193" s="423"/>
      <c r="M193" s="423"/>
      <c r="Q193" s="423"/>
      <c r="R193" s="424" t="s">
        <v>3468</v>
      </c>
      <c r="S193" s="424" t="s">
        <v>2846</v>
      </c>
      <c r="T193" s="424" t="s">
        <v>3416</v>
      </c>
      <c r="U193" s="424">
        <v>0</v>
      </c>
      <c r="V193" s="424" t="s">
        <v>3269</v>
      </c>
      <c r="W193" s="424" t="s">
        <v>3074</v>
      </c>
      <c r="X193" s="424" t="s">
        <v>2825</v>
      </c>
      <c r="Y193" s="424" t="s">
        <v>2279</v>
      </c>
      <c r="Z193" s="424" t="s">
        <v>3260</v>
      </c>
      <c r="AA193" s="424" t="s">
        <v>3197</v>
      </c>
      <c r="AB193" s="424" t="s">
        <v>3469</v>
      </c>
      <c r="AC193" s="424" t="s">
        <v>1953</v>
      </c>
      <c r="AD193" s="424" t="s">
        <v>2851</v>
      </c>
      <c r="AE193" s="424" t="s">
        <v>3279</v>
      </c>
      <c r="AF193" s="424"/>
      <c r="AG193" s="424"/>
      <c r="AH193" s="424"/>
    </row>
    <row r="194" spans="1:34" x14ac:dyDescent="0.25">
      <c r="A194" s="423" t="s">
        <v>1644</v>
      </c>
      <c r="B194" s="423" t="s">
        <v>3470</v>
      </c>
      <c r="C194" s="423" t="s">
        <v>1705</v>
      </c>
      <c r="D194" s="423" t="s">
        <v>3252</v>
      </c>
      <c r="E194" s="423" t="s">
        <v>2818</v>
      </c>
      <c r="F194" s="423">
        <v>24</v>
      </c>
      <c r="G194" s="423" t="s">
        <v>3415</v>
      </c>
      <c r="H194" s="423"/>
      <c r="J194" s="423"/>
      <c r="K194" s="423"/>
      <c r="L194" s="423"/>
      <c r="M194" s="423"/>
      <c r="Q194" s="423"/>
      <c r="R194" s="424" t="s">
        <v>3470</v>
      </c>
      <c r="S194" s="424" t="s">
        <v>2846</v>
      </c>
      <c r="T194" s="424" t="s">
        <v>3416</v>
      </c>
      <c r="U194" s="424">
        <v>0</v>
      </c>
      <c r="V194" s="424" t="s">
        <v>3269</v>
      </c>
      <c r="W194" s="424" t="s">
        <v>2871</v>
      </c>
      <c r="X194" s="424" t="s">
        <v>2825</v>
      </c>
      <c r="Y194" s="424" t="s">
        <v>2279</v>
      </c>
      <c r="Z194" s="424" t="s">
        <v>2848</v>
      </c>
      <c r="AA194" s="424" t="s">
        <v>2855</v>
      </c>
      <c r="AB194" s="424" t="s">
        <v>3471</v>
      </c>
      <c r="AC194" s="424" t="s">
        <v>1953</v>
      </c>
      <c r="AD194" s="424" t="s">
        <v>2851</v>
      </c>
      <c r="AE194" s="424" t="s">
        <v>2901</v>
      </c>
      <c r="AF194" s="424"/>
      <c r="AG194" s="424"/>
      <c r="AH194" s="424"/>
    </row>
    <row r="195" spans="1:34" x14ac:dyDescent="0.25">
      <c r="A195" s="423" t="s">
        <v>1644</v>
      </c>
      <c r="B195" s="423" t="s">
        <v>3472</v>
      </c>
      <c r="C195" s="423" t="s">
        <v>1705</v>
      </c>
      <c r="D195" s="423" t="s">
        <v>3252</v>
      </c>
      <c r="E195" s="423" t="s">
        <v>2818</v>
      </c>
      <c r="F195" s="423">
        <v>24</v>
      </c>
      <c r="G195" s="423" t="s">
        <v>3415</v>
      </c>
      <c r="H195" s="423"/>
      <c r="J195" s="423"/>
      <c r="K195" s="423"/>
      <c r="L195" s="423"/>
      <c r="M195" s="423"/>
      <c r="Q195" s="423"/>
      <c r="R195" s="424" t="s">
        <v>3472</v>
      </c>
      <c r="S195" s="424" t="s">
        <v>2846</v>
      </c>
      <c r="T195" s="424" t="s">
        <v>3416</v>
      </c>
      <c r="U195" s="424">
        <v>0</v>
      </c>
      <c r="V195" s="424" t="s">
        <v>3269</v>
      </c>
      <c r="W195" s="424" t="s">
        <v>3074</v>
      </c>
      <c r="X195" s="424" t="s">
        <v>2825</v>
      </c>
      <c r="Y195" s="424" t="s">
        <v>2279</v>
      </c>
      <c r="Z195" s="424" t="s">
        <v>3260</v>
      </c>
      <c r="AA195" s="424" t="s">
        <v>3274</v>
      </c>
      <c r="AB195" s="424" t="s">
        <v>3473</v>
      </c>
      <c r="AC195" s="424" t="s">
        <v>1953</v>
      </c>
      <c r="AD195" s="424" t="s">
        <v>2851</v>
      </c>
      <c r="AE195" s="424" t="s">
        <v>3199</v>
      </c>
      <c r="AF195" s="424"/>
      <c r="AG195" s="424"/>
      <c r="AH195" s="424"/>
    </row>
    <row r="196" spans="1:34" x14ac:dyDescent="0.25">
      <c r="A196" s="423" t="s">
        <v>1644</v>
      </c>
      <c r="B196" s="423" t="s">
        <v>3474</v>
      </c>
      <c r="C196" s="423" t="s">
        <v>1705</v>
      </c>
      <c r="D196" s="423" t="s">
        <v>3252</v>
      </c>
      <c r="E196" s="423" t="s">
        <v>2818</v>
      </c>
      <c r="F196" s="423">
        <v>24</v>
      </c>
      <c r="G196" s="423" t="s">
        <v>3415</v>
      </c>
      <c r="H196" s="423"/>
      <c r="J196" s="423"/>
      <c r="K196" s="423"/>
      <c r="L196" s="423"/>
      <c r="M196" s="423"/>
      <c r="Q196" s="423"/>
      <c r="R196" s="424" t="s">
        <v>3474</v>
      </c>
      <c r="S196" s="424" t="s">
        <v>2846</v>
      </c>
      <c r="T196" s="424" t="s">
        <v>3416</v>
      </c>
      <c r="U196" s="424">
        <v>0</v>
      </c>
      <c r="V196" s="424" t="s">
        <v>3269</v>
      </c>
      <c r="W196" s="424" t="s">
        <v>3074</v>
      </c>
      <c r="X196" s="424" t="s">
        <v>2825</v>
      </c>
      <c r="Y196" s="424" t="s">
        <v>2279</v>
      </c>
      <c r="Z196" s="424" t="s">
        <v>2848</v>
      </c>
      <c r="AA196" s="424" t="s">
        <v>2855</v>
      </c>
      <c r="AB196" s="424" t="s">
        <v>3475</v>
      </c>
      <c r="AC196" s="424" t="s">
        <v>1953</v>
      </c>
      <c r="AD196" s="424" t="s">
        <v>2851</v>
      </c>
      <c r="AE196" s="424" t="s">
        <v>3173</v>
      </c>
      <c r="AF196" s="424"/>
      <c r="AG196" s="424"/>
      <c r="AH196" s="424"/>
    </row>
    <row r="197" spans="1:34" x14ac:dyDescent="0.25">
      <c r="A197" s="423" t="s">
        <v>1644</v>
      </c>
      <c r="B197" s="423" t="s">
        <v>3476</v>
      </c>
      <c r="C197" s="423" t="s">
        <v>1705</v>
      </c>
      <c r="D197" s="423" t="s">
        <v>3252</v>
      </c>
      <c r="E197" s="423" t="s">
        <v>2818</v>
      </c>
      <c r="F197" s="423">
        <v>24</v>
      </c>
      <c r="G197" s="423" t="s">
        <v>3415</v>
      </c>
      <c r="H197" s="423"/>
      <c r="J197" s="423"/>
      <c r="K197" s="423"/>
      <c r="L197" s="423"/>
      <c r="M197" s="423"/>
      <c r="Q197" s="423"/>
      <c r="R197" s="424" t="s">
        <v>3476</v>
      </c>
      <c r="S197" s="424" t="s">
        <v>2846</v>
      </c>
      <c r="T197" s="424" t="s">
        <v>3416</v>
      </c>
      <c r="U197" s="424">
        <v>0</v>
      </c>
      <c r="V197" s="424" t="s">
        <v>3269</v>
      </c>
      <c r="W197" s="424" t="s">
        <v>2871</v>
      </c>
      <c r="X197" s="424" t="s">
        <v>2825</v>
      </c>
      <c r="Y197" s="424" t="s">
        <v>2279</v>
      </c>
      <c r="Z197" s="424" t="s">
        <v>2848</v>
      </c>
      <c r="AA197" s="424" t="s">
        <v>2855</v>
      </c>
      <c r="AB197" s="424" t="s">
        <v>3471</v>
      </c>
      <c r="AC197" s="424" t="s">
        <v>1953</v>
      </c>
      <c r="AD197" s="424" t="s">
        <v>2851</v>
      </c>
      <c r="AE197" s="424" t="s">
        <v>2901</v>
      </c>
      <c r="AF197" s="424"/>
      <c r="AG197" s="424"/>
      <c r="AH197" s="424"/>
    </row>
    <row r="198" spans="1:34" x14ac:dyDescent="0.25">
      <c r="A198" s="423" t="s">
        <v>1644</v>
      </c>
      <c r="B198" s="423" t="s">
        <v>3477</v>
      </c>
      <c r="C198" s="423" t="s">
        <v>1705</v>
      </c>
      <c r="D198" s="423" t="s">
        <v>3252</v>
      </c>
      <c r="E198" s="423" t="s">
        <v>2818</v>
      </c>
      <c r="F198" s="423">
        <v>24</v>
      </c>
      <c r="G198" s="423" t="s">
        <v>3415</v>
      </c>
      <c r="H198" s="423"/>
      <c r="J198" s="423"/>
      <c r="K198" s="423"/>
      <c r="L198" s="423"/>
      <c r="M198" s="423"/>
      <c r="Q198" s="423"/>
      <c r="R198" s="424" t="s">
        <v>3477</v>
      </c>
      <c r="S198" s="424" t="s">
        <v>2846</v>
      </c>
      <c r="T198" s="424" t="s">
        <v>3416</v>
      </c>
      <c r="U198" s="424">
        <v>0</v>
      </c>
      <c r="V198" s="424" t="s">
        <v>3269</v>
      </c>
      <c r="W198" s="424" t="s">
        <v>3074</v>
      </c>
      <c r="X198" s="424" t="s">
        <v>2825</v>
      </c>
      <c r="Y198" s="424" t="s">
        <v>2279</v>
      </c>
      <c r="Z198" s="424" t="s">
        <v>3260</v>
      </c>
      <c r="AA198" s="424" t="s">
        <v>3274</v>
      </c>
      <c r="AB198" s="424" t="s">
        <v>3478</v>
      </c>
      <c r="AC198" s="424" t="s">
        <v>1953</v>
      </c>
      <c r="AD198" s="424" t="s">
        <v>2851</v>
      </c>
      <c r="AE198" s="424" t="s">
        <v>3206</v>
      </c>
      <c r="AF198" s="424"/>
      <c r="AG198" s="424"/>
      <c r="AH198" s="424"/>
    </row>
    <row r="199" spans="1:34" x14ac:dyDescent="0.25">
      <c r="A199" s="423" t="s">
        <v>1644</v>
      </c>
      <c r="B199" s="423" t="s">
        <v>3479</v>
      </c>
      <c r="C199" s="423" t="s">
        <v>1705</v>
      </c>
      <c r="D199" s="423" t="s">
        <v>3252</v>
      </c>
      <c r="E199" s="423" t="s">
        <v>2818</v>
      </c>
      <c r="F199" s="423">
        <v>4</v>
      </c>
      <c r="G199" s="423" t="s">
        <v>3290</v>
      </c>
      <c r="H199" s="423"/>
      <c r="J199" s="423"/>
      <c r="K199" s="423"/>
      <c r="L199" s="423"/>
      <c r="M199" s="423"/>
      <c r="Q199" s="423"/>
      <c r="R199" s="424" t="s">
        <v>3479</v>
      </c>
      <c r="S199" s="424" t="s">
        <v>2846</v>
      </c>
      <c r="T199" s="424" t="s">
        <v>3291</v>
      </c>
      <c r="U199" s="424">
        <v>0</v>
      </c>
      <c r="V199" s="424" t="s">
        <v>3269</v>
      </c>
      <c r="W199" s="424" t="s">
        <v>3074</v>
      </c>
      <c r="X199" s="424" t="s">
        <v>2825</v>
      </c>
      <c r="Y199" s="424" t="s">
        <v>2279</v>
      </c>
      <c r="Z199" s="424" t="s">
        <v>3260</v>
      </c>
      <c r="AA199" s="424" t="s">
        <v>3197</v>
      </c>
      <c r="AB199" s="424" t="s">
        <v>3480</v>
      </c>
      <c r="AC199" s="424" t="s">
        <v>1953</v>
      </c>
      <c r="AD199" s="424" t="s">
        <v>2851</v>
      </c>
      <c r="AE199" s="424" t="s">
        <v>3481</v>
      </c>
      <c r="AF199" s="424"/>
      <c r="AG199" s="424"/>
      <c r="AH199" s="424"/>
    </row>
    <row r="200" spans="1:34" x14ac:dyDescent="0.25">
      <c r="A200" s="423" t="s">
        <v>1644</v>
      </c>
      <c r="B200" s="423" t="s">
        <v>3482</v>
      </c>
      <c r="C200" s="423" t="s">
        <v>1705</v>
      </c>
      <c r="D200" s="423" t="s">
        <v>3252</v>
      </c>
      <c r="E200" s="423" t="s">
        <v>2818</v>
      </c>
      <c r="F200" s="423">
        <v>12</v>
      </c>
      <c r="G200" s="423" t="s">
        <v>3415</v>
      </c>
      <c r="H200" s="423"/>
      <c r="J200" s="423"/>
      <c r="K200" s="423"/>
      <c r="L200" s="423"/>
      <c r="M200" s="423"/>
      <c r="Q200" s="423"/>
      <c r="R200" s="424" t="s">
        <v>3482</v>
      </c>
      <c r="S200" s="424" t="s">
        <v>2846</v>
      </c>
      <c r="T200" s="424" t="s">
        <v>3416</v>
      </c>
      <c r="U200" s="424">
        <v>0</v>
      </c>
      <c r="V200" s="424" t="s">
        <v>3269</v>
      </c>
      <c r="W200" s="424" t="s">
        <v>2974</v>
      </c>
      <c r="X200" s="424" t="s">
        <v>2825</v>
      </c>
      <c r="Y200" s="424" t="s">
        <v>2279</v>
      </c>
      <c r="Z200" s="424" t="s">
        <v>2848</v>
      </c>
      <c r="AA200" s="424" t="s">
        <v>2849</v>
      </c>
      <c r="AB200" s="424" t="s">
        <v>3417</v>
      </c>
      <c r="AC200" s="424" t="s">
        <v>1953</v>
      </c>
      <c r="AD200" s="424" t="s">
        <v>2851</v>
      </c>
      <c r="AE200" s="424" t="s">
        <v>3418</v>
      </c>
      <c r="AF200" s="424"/>
      <c r="AG200" s="424"/>
      <c r="AH200" s="424"/>
    </row>
    <row r="201" spans="1:34" x14ac:dyDescent="0.25">
      <c r="A201" s="423" t="s">
        <v>1644</v>
      </c>
      <c r="B201" s="423" t="s">
        <v>3483</v>
      </c>
      <c r="C201" s="423" t="s">
        <v>1705</v>
      </c>
      <c r="D201" s="423" t="s">
        <v>3252</v>
      </c>
      <c r="E201" s="423" t="s">
        <v>2818</v>
      </c>
      <c r="F201" s="423">
        <v>8</v>
      </c>
      <c r="G201" s="423" t="s">
        <v>3354</v>
      </c>
      <c r="H201" s="423"/>
      <c r="J201" s="423"/>
      <c r="K201" s="423"/>
      <c r="L201" s="423"/>
      <c r="M201" s="423"/>
      <c r="Q201" s="423"/>
      <c r="R201" s="424" t="s">
        <v>3483</v>
      </c>
      <c r="S201" s="424" t="s">
        <v>2846</v>
      </c>
      <c r="T201" s="424" t="s">
        <v>3291</v>
      </c>
      <c r="U201" s="424">
        <v>0</v>
      </c>
      <c r="V201" s="424" t="s">
        <v>3269</v>
      </c>
      <c r="W201" s="424" t="s">
        <v>3074</v>
      </c>
      <c r="X201" s="424" t="s">
        <v>2825</v>
      </c>
      <c r="Y201" s="424" t="s">
        <v>2279</v>
      </c>
      <c r="Z201" s="424" t="s">
        <v>3260</v>
      </c>
      <c r="AA201" s="424" t="s">
        <v>3197</v>
      </c>
      <c r="AB201" s="424" t="s">
        <v>3484</v>
      </c>
      <c r="AC201" s="424" t="s">
        <v>1953</v>
      </c>
      <c r="AD201" s="424" t="s">
        <v>2851</v>
      </c>
      <c r="AE201" s="424" t="s">
        <v>3279</v>
      </c>
      <c r="AF201" s="424"/>
      <c r="AG201" s="424"/>
      <c r="AH201" s="424"/>
    </row>
    <row r="202" spans="1:34" x14ac:dyDescent="0.25">
      <c r="A202" s="423" t="s">
        <v>1644</v>
      </c>
      <c r="B202" s="423" t="s">
        <v>3485</v>
      </c>
      <c r="C202" s="423" t="s">
        <v>1705</v>
      </c>
      <c r="D202" s="423" t="s">
        <v>3252</v>
      </c>
      <c r="E202" s="423" t="s">
        <v>2818</v>
      </c>
      <c r="F202" s="423">
        <v>8</v>
      </c>
      <c r="G202" s="423" t="s">
        <v>3354</v>
      </c>
      <c r="H202" s="423"/>
      <c r="J202" s="423"/>
      <c r="K202" s="423"/>
      <c r="L202" s="423"/>
      <c r="M202" s="423"/>
      <c r="Q202" s="423"/>
      <c r="R202" s="424" t="s">
        <v>3485</v>
      </c>
      <c r="S202" s="424" t="s">
        <v>2846</v>
      </c>
      <c r="T202" s="424" t="s">
        <v>3291</v>
      </c>
      <c r="U202" s="424">
        <v>0</v>
      </c>
      <c r="V202" s="424" t="s">
        <v>3269</v>
      </c>
      <c r="W202" s="424" t="s">
        <v>3176</v>
      </c>
      <c r="X202" s="424" t="s">
        <v>2825</v>
      </c>
      <c r="Y202" s="424" t="s">
        <v>2279</v>
      </c>
      <c r="Z202" s="424" t="s">
        <v>2848</v>
      </c>
      <c r="AA202" s="424" t="s">
        <v>2855</v>
      </c>
      <c r="AB202" s="424" t="s">
        <v>3486</v>
      </c>
      <c r="AC202" s="424" t="s">
        <v>1953</v>
      </c>
      <c r="AD202" s="424" t="s">
        <v>2851</v>
      </c>
      <c r="AE202" s="424" t="s">
        <v>2901</v>
      </c>
      <c r="AF202" s="424"/>
      <c r="AG202" s="424"/>
      <c r="AH202" s="424"/>
    </row>
    <row r="203" spans="1:34" x14ac:dyDescent="0.25">
      <c r="A203" s="423" t="s">
        <v>1644</v>
      </c>
      <c r="B203" s="423" t="s">
        <v>3487</v>
      </c>
      <c r="C203" s="423" t="s">
        <v>1705</v>
      </c>
      <c r="D203" s="423" t="s">
        <v>3252</v>
      </c>
      <c r="E203" s="423" t="s">
        <v>2818</v>
      </c>
      <c r="F203" s="423">
        <v>12</v>
      </c>
      <c r="G203" s="423" t="s">
        <v>3415</v>
      </c>
      <c r="H203" s="423"/>
      <c r="J203" s="423"/>
      <c r="K203" s="423"/>
      <c r="L203" s="423"/>
      <c r="M203" s="423"/>
      <c r="Q203" s="423"/>
      <c r="R203" s="424" t="s">
        <v>3487</v>
      </c>
      <c r="S203" s="424" t="s">
        <v>2846</v>
      </c>
      <c r="T203" s="424" t="s">
        <v>3416</v>
      </c>
      <c r="U203" s="424">
        <v>0</v>
      </c>
      <c r="V203" s="424" t="s">
        <v>3269</v>
      </c>
      <c r="W203" s="424" t="s">
        <v>3055</v>
      </c>
      <c r="X203" s="424" t="s">
        <v>2825</v>
      </c>
      <c r="Y203" s="424" t="s">
        <v>2279</v>
      </c>
      <c r="Z203" s="424" t="s">
        <v>2848</v>
      </c>
      <c r="AA203" s="424" t="s">
        <v>2855</v>
      </c>
      <c r="AB203" s="424" t="s">
        <v>3359</v>
      </c>
      <c r="AC203" s="424" t="s">
        <v>1953</v>
      </c>
      <c r="AD203" s="424" t="s">
        <v>2851</v>
      </c>
      <c r="AE203" s="424" t="s">
        <v>3168</v>
      </c>
      <c r="AF203" s="424"/>
      <c r="AG203" s="424"/>
      <c r="AH203" s="424"/>
    </row>
    <row r="204" spans="1:34" x14ac:dyDescent="0.25">
      <c r="A204" s="423" t="s">
        <v>1644</v>
      </c>
      <c r="B204" s="423" t="s">
        <v>3488</v>
      </c>
      <c r="C204" s="423" t="s">
        <v>1705</v>
      </c>
      <c r="D204" s="423" t="s">
        <v>3252</v>
      </c>
      <c r="E204" s="423" t="s">
        <v>2818</v>
      </c>
      <c r="F204" s="423">
        <v>12</v>
      </c>
      <c r="G204" s="423" t="s">
        <v>3415</v>
      </c>
      <c r="H204" s="423"/>
      <c r="J204" s="423"/>
      <c r="K204" s="423"/>
      <c r="L204" s="423"/>
      <c r="M204" s="423"/>
      <c r="Q204" s="423"/>
      <c r="R204" s="424" t="s">
        <v>3488</v>
      </c>
      <c r="S204" s="424" t="s">
        <v>2846</v>
      </c>
      <c r="T204" s="424" t="s">
        <v>3416</v>
      </c>
      <c r="U204" s="424">
        <v>0</v>
      </c>
      <c r="V204" s="424" t="s">
        <v>3269</v>
      </c>
      <c r="W204" s="424" t="s">
        <v>2871</v>
      </c>
      <c r="X204" s="424" t="s">
        <v>2825</v>
      </c>
      <c r="Y204" s="424" t="s">
        <v>2279</v>
      </c>
      <c r="Z204" s="424" t="s">
        <v>2848</v>
      </c>
      <c r="AA204" s="424" t="s">
        <v>2855</v>
      </c>
      <c r="AB204" s="424" t="s">
        <v>3489</v>
      </c>
      <c r="AC204" s="424" t="s">
        <v>1953</v>
      </c>
      <c r="AD204" s="424" t="s">
        <v>2851</v>
      </c>
      <c r="AE204" s="424" t="s">
        <v>2901</v>
      </c>
      <c r="AF204" s="424"/>
      <c r="AG204" s="424"/>
      <c r="AH204" s="424"/>
    </row>
    <row r="205" spans="1:34" x14ac:dyDescent="0.25">
      <c r="A205" s="423" t="s">
        <v>1644</v>
      </c>
      <c r="B205" s="423" t="s">
        <v>3490</v>
      </c>
      <c r="C205" s="423" t="s">
        <v>1705</v>
      </c>
      <c r="D205" s="423" t="s">
        <v>3252</v>
      </c>
      <c r="E205" s="423" t="s">
        <v>2818</v>
      </c>
      <c r="F205" s="423">
        <v>48</v>
      </c>
      <c r="G205" s="423" t="s">
        <v>3491</v>
      </c>
      <c r="H205" s="423"/>
      <c r="J205" s="423"/>
      <c r="K205" s="423"/>
      <c r="L205" s="423"/>
      <c r="M205" s="423"/>
      <c r="Q205" s="423"/>
      <c r="R205" s="424" t="s">
        <v>3490</v>
      </c>
      <c r="S205" s="424" t="s">
        <v>2820</v>
      </c>
      <c r="T205" s="424" t="s">
        <v>3492</v>
      </c>
      <c r="U205" s="424">
        <v>0</v>
      </c>
      <c r="V205" s="424" t="s">
        <v>3493</v>
      </c>
      <c r="W205" s="424" t="s">
        <v>3493</v>
      </c>
      <c r="X205" s="424" t="s">
        <v>2825</v>
      </c>
      <c r="Y205" s="424" t="s">
        <v>2279</v>
      </c>
      <c r="Z205" s="424" t="s">
        <v>2872</v>
      </c>
      <c r="AA205" s="424" t="s">
        <v>2873</v>
      </c>
      <c r="AB205" s="424" t="s">
        <v>3494</v>
      </c>
      <c r="AC205" s="424" t="s">
        <v>1953</v>
      </c>
      <c r="AD205" s="424" t="s">
        <v>2892</v>
      </c>
      <c r="AE205" s="424" t="s">
        <v>3495</v>
      </c>
      <c r="AF205" s="424"/>
      <c r="AG205" s="424"/>
      <c r="AH205" s="424"/>
    </row>
    <row r="206" spans="1:34" x14ac:dyDescent="0.25">
      <c r="A206" s="423" t="s">
        <v>1644</v>
      </c>
      <c r="B206" s="423" t="s">
        <v>3496</v>
      </c>
      <c r="C206" s="423" t="s">
        <v>1705</v>
      </c>
      <c r="D206" s="423" t="s">
        <v>3252</v>
      </c>
      <c r="E206" s="423" t="s">
        <v>2818</v>
      </c>
      <c r="F206" s="423">
        <v>48</v>
      </c>
      <c r="G206" s="423" t="s">
        <v>3491</v>
      </c>
      <c r="H206" s="423"/>
      <c r="J206" s="423"/>
      <c r="K206" s="423"/>
      <c r="L206" s="423"/>
      <c r="M206" s="423"/>
      <c r="Q206" s="423"/>
      <c r="R206" s="424" t="s">
        <v>3496</v>
      </c>
      <c r="S206" s="424" t="s">
        <v>2820</v>
      </c>
      <c r="T206" s="424" t="s">
        <v>3492</v>
      </c>
      <c r="U206" s="424">
        <v>0</v>
      </c>
      <c r="V206" s="424" t="s">
        <v>3493</v>
      </c>
      <c r="W206" s="424" t="s">
        <v>3493</v>
      </c>
      <c r="X206" s="424" t="s">
        <v>2825</v>
      </c>
      <c r="Y206" s="424" t="s">
        <v>2279</v>
      </c>
      <c r="Z206" s="424" t="s">
        <v>2872</v>
      </c>
      <c r="AA206" s="424" t="s">
        <v>2873</v>
      </c>
      <c r="AB206" s="424" t="s">
        <v>3497</v>
      </c>
      <c r="AC206" s="424" t="s">
        <v>1953</v>
      </c>
      <c r="AD206" s="424" t="s">
        <v>2892</v>
      </c>
      <c r="AE206" s="424" t="s">
        <v>3498</v>
      </c>
      <c r="AF206" s="424"/>
      <c r="AG206" s="424"/>
      <c r="AH206" s="424"/>
    </row>
    <row r="207" spans="1:34" x14ac:dyDescent="0.25">
      <c r="A207" s="423" t="s">
        <v>1644</v>
      </c>
      <c r="B207" s="423" t="s">
        <v>3499</v>
      </c>
      <c r="C207" s="423" t="s">
        <v>1705</v>
      </c>
      <c r="D207" s="423" t="s">
        <v>3252</v>
      </c>
      <c r="E207" s="423" t="s">
        <v>2818</v>
      </c>
      <c r="F207" s="423">
        <v>48</v>
      </c>
      <c r="G207" s="423" t="s">
        <v>3491</v>
      </c>
      <c r="H207" s="423"/>
      <c r="J207" s="423"/>
      <c r="K207" s="423"/>
      <c r="L207" s="423"/>
      <c r="M207" s="423"/>
      <c r="Q207" s="423"/>
      <c r="R207" s="424" t="s">
        <v>3499</v>
      </c>
      <c r="S207" s="424" t="s">
        <v>2820</v>
      </c>
      <c r="T207" s="424" t="s">
        <v>3492</v>
      </c>
      <c r="U207" s="424">
        <v>0</v>
      </c>
      <c r="V207" s="424" t="s">
        <v>3493</v>
      </c>
      <c r="W207" s="424" t="s">
        <v>3493</v>
      </c>
      <c r="X207" s="424" t="s">
        <v>2825</v>
      </c>
      <c r="Y207" s="424" t="s">
        <v>2279</v>
      </c>
      <c r="Z207" s="424" t="s">
        <v>2872</v>
      </c>
      <c r="AA207" s="424" t="s">
        <v>2873</v>
      </c>
      <c r="AB207" s="424" t="s">
        <v>3500</v>
      </c>
      <c r="AC207" s="424" t="s">
        <v>1953</v>
      </c>
      <c r="AD207" s="424" t="s">
        <v>2892</v>
      </c>
      <c r="AE207" s="424" t="s">
        <v>3498</v>
      </c>
      <c r="AF207" s="424"/>
      <c r="AG207" s="424"/>
      <c r="AH207" s="424"/>
    </row>
    <row r="208" spans="1:34" x14ac:dyDescent="0.25">
      <c r="A208" s="423" t="s">
        <v>1644</v>
      </c>
      <c r="B208" s="423" t="s">
        <v>3501</v>
      </c>
      <c r="C208" s="423" t="s">
        <v>1705</v>
      </c>
      <c r="D208" s="423" t="s">
        <v>3252</v>
      </c>
      <c r="E208" s="423" t="s">
        <v>2818</v>
      </c>
      <c r="F208" s="423">
        <v>48</v>
      </c>
      <c r="G208" s="423" t="s">
        <v>3502</v>
      </c>
      <c r="H208" s="423"/>
      <c r="J208" s="423"/>
      <c r="K208" s="423"/>
      <c r="L208" s="423"/>
      <c r="M208" s="423"/>
      <c r="Q208" s="423"/>
      <c r="R208" s="424" t="s">
        <v>3503</v>
      </c>
      <c r="S208" s="424" t="s">
        <v>2820</v>
      </c>
      <c r="T208" s="424" t="s">
        <v>3268</v>
      </c>
      <c r="U208" s="424">
        <v>0</v>
      </c>
      <c r="V208" s="424" t="s">
        <v>2824</v>
      </c>
      <c r="W208" s="424" t="s">
        <v>2824</v>
      </c>
      <c r="X208" s="424" t="s">
        <v>2825</v>
      </c>
      <c r="Y208" s="424" t="s">
        <v>2279</v>
      </c>
      <c r="Z208" s="424" t="s">
        <v>3260</v>
      </c>
      <c r="AA208" s="424" t="s">
        <v>3271</v>
      </c>
      <c r="AB208" s="424" t="s">
        <v>3504</v>
      </c>
      <c r="AC208" s="424" t="s">
        <v>1953</v>
      </c>
      <c r="AD208" s="424" t="s">
        <v>3300</v>
      </c>
      <c r="AE208" s="424" t="s">
        <v>3505</v>
      </c>
      <c r="AF208" s="424"/>
      <c r="AG208" s="424"/>
      <c r="AH208" s="424"/>
    </row>
    <row r="209" spans="1:34" x14ac:dyDescent="0.25">
      <c r="A209" s="423" t="s">
        <v>1644</v>
      </c>
      <c r="B209" s="423" t="s">
        <v>3506</v>
      </c>
      <c r="C209" s="423" t="s">
        <v>1705</v>
      </c>
      <c r="D209" s="423" t="s">
        <v>3252</v>
      </c>
      <c r="E209" s="423" t="s">
        <v>2818</v>
      </c>
      <c r="F209" s="423">
        <v>48</v>
      </c>
      <c r="G209" s="423" t="s">
        <v>3502</v>
      </c>
      <c r="H209" s="423"/>
      <c r="J209" s="423"/>
      <c r="K209" s="423"/>
      <c r="L209" s="423"/>
      <c r="M209" s="423"/>
      <c r="Q209" s="423"/>
      <c r="R209" s="424" t="s">
        <v>3507</v>
      </c>
      <c r="S209" s="424" t="s">
        <v>2820</v>
      </c>
      <c r="T209" s="424" t="s">
        <v>3268</v>
      </c>
      <c r="U209" s="424">
        <v>0</v>
      </c>
      <c r="V209" s="424" t="s">
        <v>2824</v>
      </c>
      <c r="W209" s="424" t="s">
        <v>2824</v>
      </c>
      <c r="X209" s="424" t="s">
        <v>2825</v>
      </c>
      <c r="Y209" s="424" t="s">
        <v>2279</v>
      </c>
      <c r="Z209" s="424" t="s">
        <v>3270</v>
      </c>
      <c r="AA209" s="424" t="s">
        <v>3271</v>
      </c>
      <c r="AB209" s="424" t="s">
        <v>3508</v>
      </c>
      <c r="AC209" s="424" t="s">
        <v>1953</v>
      </c>
      <c r="AD209" s="424" t="s">
        <v>3300</v>
      </c>
      <c r="AE209" s="424" t="s">
        <v>3509</v>
      </c>
      <c r="AF209" s="424"/>
      <c r="AG209" s="424"/>
      <c r="AH209" s="424"/>
    </row>
    <row r="210" spans="1:34" x14ac:dyDescent="0.25">
      <c r="A210" s="423" t="s">
        <v>1644</v>
      </c>
      <c r="B210" s="423" t="s">
        <v>3251</v>
      </c>
      <c r="C210" s="423" t="s">
        <v>1705</v>
      </c>
      <c r="D210" s="423" t="s">
        <v>3252</v>
      </c>
      <c r="E210" s="423" t="s">
        <v>2818</v>
      </c>
      <c r="F210" s="423">
        <v>16</v>
      </c>
      <c r="G210" s="423" t="s">
        <v>3253</v>
      </c>
      <c r="H210" s="423"/>
      <c r="J210" s="423"/>
      <c r="K210" s="423"/>
      <c r="L210" s="423"/>
      <c r="M210" s="423"/>
      <c r="Q210" s="423"/>
      <c r="R210" s="424" t="s">
        <v>3254</v>
      </c>
      <c r="S210" s="424" t="s">
        <v>2846</v>
      </c>
      <c r="T210" s="424" t="s">
        <v>2847</v>
      </c>
      <c r="U210" s="424">
        <v>0</v>
      </c>
      <c r="V210" s="424" t="s">
        <v>2973</v>
      </c>
      <c r="W210" s="424" t="s">
        <v>3055</v>
      </c>
      <c r="X210" s="424" t="s">
        <v>2825</v>
      </c>
      <c r="Y210" s="424" t="s">
        <v>2279</v>
      </c>
      <c r="Z210" s="424" t="s">
        <v>2848</v>
      </c>
      <c r="AA210" s="424" t="s">
        <v>2855</v>
      </c>
      <c r="AB210" s="424" t="s">
        <v>3255</v>
      </c>
      <c r="AC210" s="424" t="s">
        <v>1953</v>
      </c>
      <c r="AD210" s="424" t="s">
        <v>2851</v>
      </c>
      <c r="AE210" s="424" t="s">
        <v>3168</v>
      </c>
      <c r="AF210" s="424"/>
      <c r="AG210" s="424"/>
      <c r="AH210" s="424"/>
    </row>
    <row r="211" spans="1:34" x14ac:dyDescent="0.25">
      <c r="A211" s="423" t="s">
        <v>3510</v>
      </c>
      <c r="B211" s="423" t="s">
        <v>3251</v>
      </c>
      <c r="C211" s="423" t="s">
        <v>1705</v>
      </c>
      <c r="D211" s="423" t="s">
        <v>3252</v>
      </c>
      <c r="E211" s="423" t="s">
        <v>2818</v>
      </c>
      <c r="F211" s="423">
        <v>16</v>
      </c>
      <c r="G211" s="423" t="s">
        <v>3253</v>
      </c>
      <c r="H211" s="423"/>
      <c r="J211" s="423"/>
      <c r="K211" s="423"/>
      <c r="L211" s="423"/>
      <c r="M211" s="423"/>
      <c r="Q211" s="423"/>
      <c r="R211" s="424" t="s">
        <v>3254</v>
      </c>
      <c r="S211" s="424" t="s">
        <v>2846</v>
      </c>
      <c r="T211" s="424" t="s">
        <v>2847</v>
      </c>
      <c r="U211" s="424">
        <v>0</v>
      </c>
      <c r="V211" s="424" t="s">
        <v>2973</v>
      </c>
      <c r="W211" s="424" t="s">
        <v>3055</v>
      </c>
      <c r="X211" s="424" t="s">
        <v>2825</v>
      </c>
      <c r="Y211" s="424" t="s">
        <v>2279</v>
      </c>
      <c r="Z211" s="424" t="s">
        <v>2848</v>
      </c>
      <c r="AA211" s="424" t="s">
        <v>2855</v>
      </c>
      <c r="AB211" s="424" t="s">
        <v>3255</v>
      </c>
      <c r="AC211" s="424" t="s">
        <v>1953</v>
      </c>
      <c r="AD211" s="424" t="s">
        <v>2851</v>
      </c>
      <c r="AE211" s="424" t="s">
        <v>3168</v>
      </c>
      <c r="AF211" s="424"/>
      <c r="AG211" s="424"/>
      <c r="AH211" s="424"/>
    </row>
    <row r="212" spans="1:34" x14ac:dyDescent="0.25">
      <c r="A212" s="423" t="s">
        <v>3510</v>
      </c>
      <c r="B212" s="423" t="s">
        <v>3358</v>
      </c>
      <c r="C212" s="423" t="s">
        <v>1705</v>
      </c>
      <c r="D212" s="423" t="s">
        <v>3252</v>
      </c>
      <c r="E212" s="423" t="s">
        <v>2818</v>
      </c>
      <c r="F212" s="423">
        <v>8</v>
      </c>
      <c r="G212" s="423" t="s">
        <v>3253</v>
      </c>
      <c r="H212" s="423"/>
      <c r="J212" s="423"/>
      <c r="K212" s="423"/>
      <c r="L212" s="423"/>
      <c r="M212" s="423"/>
      <c r="Q212" s="423"/>
      <c r="R212" s="424" t="s">
        <v>3358</v>
      </c>
      <c r="S212" s="424" t="s">
        <v>2846</v>
      </c>
      <c r="T212" s="424" t="s">
        <v>2847</v>
      </c>
      <c r="U212" s="424">
        <v>0</v>
      </c>
      <c r="V212" s="424" t="s">
        <v>2973</v>
      </c>
      <c r="W212" s="424" t="s">
        <v>3055</v>
      </c>
      <c r="X212" s="424" t="s">
        <v>2825</v>
      </c>
      <c r="Y212" s="424" t="s">
        <v>2279</v>
      </c>
      <c r="Z212" s="424" t="s">
        <v>2848</v>
      </c>
      <c r="AA212" s="424" t="s">
        <v>2855</v>
      </c>
      <c r="AB212" s="424" t="s">
        <v>3359</v>
      </c>
      <c r="AC212" s="424" t="s">
        <v>1953</v>
      </c>
      <c r="AD212" s="424" t="s">
        <v>2851</v>
      </c>
      <c r="AE212" s="424" t="s">
        <v>3168</v>
      </c>
      <c r="AF212" s="424"/>
      <c r="AG212" s="424"/>
      <c r="AH212" s="424"/>
    </row>
    <row r="213" spans="1:34" x14ac:dyDescent="0.25">
      <c r="A213" s="423" t="s">
        <v>3511</v>
      </c>
      <c r="B213" s="423" t="s">
        <v>3512</v>
      </c>
      <c r="C213" s="423" t="s">
        <v>1705</v>
      </c>
      <c r="D213" s="423" t="s">
        <v>3252</v>
      </c>
      <c r="E213" s="423" t="s">
        <v>2818</v>
      </c>
      <c r="F213" s="423">
        <v>12</v>
      </c>
      <c r="G213" s="423" t="s">
        <v>3513</v>
      </c>
      <c r="H213" s="423"/>
      <c r="J213" s="423"/>
      <c r="K213" s="423"/>
      <c r="L213" s="423"/>
      <c r="M213" s="423"/>
      <c r="Q213" s="423"/>
      <c r="R213" s="424" t="s">
        <v>3512</v>
      </c>
      <c r="S213" s="424" t="s">
        <v>2846</v>
      </c>
      <c r="T213" s="424" t="s">
        <v>3291</v>
      </c>
      <c r="U213" s="424">
        <v>0</v>
      </c>
      <c r="V213" s="424" t="s">
        <v>3269</v>
      </c>
      <c r="W213" s="424" t="s">
        <v>3074</v>
      </c>
      <c r="X213" s="424" t="s">
        <v>2825</v>
      </c>
      <c r="Y213" s="424" t="s">
        <v>2279</v>
      </c>
      <c r="Z213" s="424" t="s">
        <v>3260</v>
      </c>
      <c r="AA213" s="424" t="s">
        <v>3197</v>
      </c>
      <c r="AB213" s="424" t="s">
        <v>3278</v>
      </c>
      <c r="AC213" s="424" t="s">
        <v>1953</v>
      </c>
      <c r="AD213" s="424" t="s">
        <v>2851</v>
      </c>
      <c r="AE213" s="424" t="s">
        <v>3279</v>
      </c>
      <c r="AF213" s="424"/>
      <c r="AG213" s="424"/>
      <c r="AH213" s="424"/>
    </row>
    <row r="214" spans="1:34" x14ac:dyDescent="0.25">
      <c r="A214" s="423" t="s">
        <v>3511</v>
      </c>
      <c r="B214" s="423" t="s">
        <v>3251</v>
      </c>
      <c r="C214" s="423" t="s">
        <v>1705</v>
      </c>
      <c r="D214" s="423" t="s">
        <v>3252</v>
      </c>
      <c r="E214" s="423" t="s">
        <v>2818</v>
      </c>
      <c r="F214" s="423">
        <v>16</v>
      </c>
      <c r="G214" s="423" t="s">
        <v>3253</v>
      </c>
      <c r="H214" s="423"/>
      <c r="J214" s="423"/>
      <c r="K214" s="423"/>
      <c r="L214" s="423"/>
      <c r="M214" s="423"/>
      <c r="Q214" s="423"/>
      <c r="R214" s="424" t="s">
        <v>3254</v>
      </c>
      <c r="S214" s="424" t="s">
        <v>2846</v>
      </c>
      <c r="T214" s="424" t="s">
        <v>2847</v>
      </c>
      <c r="U214" s="424">
        <v>0</v>
      </c>
      <c r="V214" s="424" t="s">
        <v>2973</v>
      </c>
      <c r="W214" s="424" t="s">
        <v>3055</v>
      </c>
      <c r="X214" s="424" t="s">
        <v>2825</v>
      </c>
      <c r="Y214" s="424" t="s">
        <v>2279</v>
      </c>
      <c r="Z214" s="424" t="s">
        <v>2848</v>
      </c>
      <c r="AA214" s="424" t="s">
        <v>2855</v>
      </c>
      <c r="AB214" s="424" t="s">
        <v>3255</v>
      </c>
      <c r="AC214" s="424" t="s">
        <v>1953</v>
      </c>
      <c r="AD214" s="424" t="s">
        <v>2851</v>
      </c>
      <c r="AE214" s="424" t="s">
        <v>3168</v>
      </c>
      <c r="AF214" s="424"/>
      <c r="AG214" s="424"/>
      <c r="AH214" s="424"/>
    </row>
    <row r="215" spans="1:34" x14ac:dyDescent="0.25">
      <c r="A215" s="423" t="s">
        <v>3511</v>
      </c>
      <c r="B215" s="423" t="s">
        <v>3514</v>
      </c>
      <c r="C215" s="423" t="s">
        <v>1705</v>
      </c>
      <c r="D215" s="423" t="s">
        <v>3252</v>
      </c>
      <c r="E215" s="423" t="s">
        <v>2818</v>
      </c>
      <c r="F215" s="423">
        <v>48</v>
      </c>
      <c r="G215" s="423" t="s">
        <v>3515</v>
      </c>
      <c r="H215" s="423"/>
      <c r="J215" s="423"/>
      <c r="K215" s="423"/>
      <c r="L215" s="423"/>
      <c r="M215" s="423"/>
      <c r="Q215" s="423"/>
      <c r="R215" s="424" t="s">
        <v>3516</v>
      </c>
      <c r="S215" s="424" t="s">
        <v>2820</v>
      </c>
      <c r="T215" s="424" t="s">
        <v>3268</v>
      </c>
      <c r="U215" s="424">
        <v>0</v>
      </c>
      <c r="V215" s="424" t="s">
        <v>2824</v>
      </c>
      <c r="W215" s="424" t="s">
        <v>2824</v>
      </c>
      <c r="X215" s="424" t="s">
        <v>2825</v>
      </c>
      <c r="Y215" s="424" t="s">
        <v>2279</v>
      </c>
      <c r="Z215" s="424" t="s">
        <v>3260</v>
      </c>
      <c r="AA215" s="424" t="s">
        <v>3327</v>
      </c>
      <c r="AB215" s="424" t="s">
        <v>3517</v>
      </c>
      <c r="AC215" s="424" t="s">
        <v>1953</v>
      </c>
      <c r="AD215" s="424" t="s">
        <v>3329</v>
      </c>
      <c r="AE215" s="424" t="s">
        <v>3330</v>
      </c>
      <c r="AF215" s="424"/>
      <c r="AG215" s="424"/>
      <c r="AH215" s="424"/>
    </row>
    <row r="216" spans="1:34" x14ac:dyDescent="0.25">
      <c r="A216" s="423" t="s">
        <v>3511</v>
      </c>
      <c r="B216" s="423" t="s">
        <v>3518</v>
      </c>
      <c r="C216" s="423" t="s">
        <v>1705</v>
      </c>
      <c r="D216" s="423" t="s">
        <v>3252</v>
      </c>
      <c r="E216" s="423" t="s">
        <v>2818</v>
      </c>
      <c r="F216" s="423">
        <v>48</v>
      </c>
      <c r="G216" s="423" t="s">
        <v>3519</v>
      </c>
      <c r="H216" s="423"/>
      <c r="J216" s="423"/>
      <c r="K216" s="423"/>
      <c r="L216" s="423"/>
      <c r="M216" s="423"/>
      <c r="Q216" s="423"/>
      <c r="R216" s="424" t="s">
        <v>3520</v>
      </c>
      <c r="S216" s="424" t="s">
        <v>2820</v>
      </c>
      <c r="T216" s="424" t="s">
        <v>3268</v>
      </c>
      <c r="U216" s="424">
        <v>0</v>
      </c>
      <c r="V216" s="424" t="s">
        <v>2824</v>
      </c>
      <c r="W216" s="424" t="s">
        <v>2824</v>
      </c>
      <c r="X216" s="424" t="s">
        <v>2825</v>
      </c>
      <c r="Y216" s="424" t="s">
        <v>2279</v>
      </c>
      <c r="Z216" s="424" t="s">
        <v>3260</v>
      </c>
      <c r="AA216" s="424" t="s">
        <v>3327</v>
      </c>
      <c r="AB216" s="424" t="s">
        <v>3521</v>
      </c>
      <c r="AC216" s="424" t="s">
        <v>1953</v>
      </c>
      <c r="AD216" s="424" t="s">
        <v>3329</v>
      </c>
      <c r="AE216" s="424" t="s">
        <v>3330</v>
      </c>
      <c r="AF216" s="424"/>
      <c r="AG216" s="424"/>
      <c r="AH216" s="424"/>
    </row>
    <row r="217" spans="1:34" x14ac:dyDescent="0.25">
      <c r="A217" s="423" t="s">
        <v>3511</v>
      </c>
      <c r="B217" s="423" t="s">
        <v>3522</v>
      </c>
      <c r="C217" s="423" t="s">
        <v>1705</v>
      </c>
      <c r="D217" s="423" t="s">
        <v>3252</v>
      </c>
      <c r="E217" s="423" t="s">
        <v>2818</v>
      </c>
      <c r="F217" s="423">
        <v>48</v>
      </c>
      <c r="G217" s="423" t="s">
        <v>3523</v>
      </c>
      <c r="H217" s="423"/>
      <c r="J217" s="423"/>
      <c r="K217" s="423"/>
      <c r="L217" s="423"/>
      <c r="M217" s="423"/>
      <c r="Q217" s="423"/>
      <c r="R217" s="424" t="s">
        <v>3524</v>
      </c>
      <c r="S217" s="424" t="s">
        <v>2820</v>
      </c>
      <c r="T217" s="424" t="s">
        <v>3268</v>
      </c>
      <c r="U217" s="424">
        <v>0</v>
      </c>
      <c r="V217" s="424" t="s">
        <v>2824</v>
      </c>
      <c r="W217" s="424" t="s">
        <v>2824</v>
      </c>
      <c r="X217" s="424" t="s">
        <v>2825</v>
      </c>
      <c r="Y217" s="424" t="s">
        <v>2279</v>
      </c>
      <c r="Z217" s="424" t="s">
        <v>3260</v>
      </c>
      <c r="AA217" s="424" t="s">
        <v>3327</v>
      </c>
      <c r="AB217" s="424" t="s">
        <v>3525</v>
      </c>
      <c r="AC217" s="424" t="s">
        <v>1953</v>
      </c>
      <c r="AD217" s="424" t="s">
        <v>3329</v>
      </c>
      <c r="AE217" s="424" t="s">
        <v>3333</v>
      </c>
      <c r="AF217" s="424"/>
      <c r="AG217" s="424"/>
      <c r="AH217" s="424"/>
    </row>
    <row r="218" spans="1:34" x14ac:dyDescent="0.25">
      <c r="A218" s="423" t="s">
        <v>3511</v>
      </c>
      <c r="B218" s="423" t="s">
        <v>3526</v>
      </c>
      <c r="C218" s="423" t="s">
        <v>1705</v>
      </c>
      <c r="D218" s="423" t="s">
        <v>3252</v>
      </c>
      <c r="E218" s="423" t="s">
        <v>2818</v>
      </c>
      <c r="F218" s="423">
        <v>48</v>
      </c>
      <c r="G218" s="423" t="s">
        <v>3515</v>
      </c>
      <c r="H218" s="423"/>
      <c r="J218" s="423"/>
      <c r="K218" s="423"/>
      <c r="L218" s="423"/>
      <c r="M218" s="423"/>
      <c r="Q218" s="423"/>
      <c r="R218" s="424" t="s">
        <v>3527</v>
      </c>
      <c r="S218" s="424" t="s">
        <v>2820</v>
      </c>
      <c r="T218" s="424" t="s">
        <v>3268</v>
      </c>
      <c r="U218" s="424">
        <v>0</v>
      </c>
      <c r="V218" s="424" t="s">
        <v>2824</v>
      </c>
      <c r="W218" s="424" t="s">
        <v>2824</v>
      </c>
      <c r="X218" s="424" t="s">
        <v>2825</v>
      </c>
      <c r="Y218" s="424" t="s">
        <v>2279</v>
      </c>
      <c r="Z218" s="424" t="s">
        <v>3260</v>
      </c>
      <c r="AA218" s="424" t="s">
        <v>3327</v>
      </c>
      <c r="AB218" s="424" t="s">
        <v>3528</v>
      </c>
      <c r="AC218" s="424" t="s">
        <v>1953</v>
      </c>
      <c r="AD218" s="424" t="s">
        <v>3329</v>
      </c>
      <c r="AE218" s="424" t="s">
        <v>3333</v>
      </c>
      <c r="AF218" s="424"/>
      <c r="AG218" s="424"/>
      <c r="AH218" s="424"/>
    </row>
    <row r="219" spans="1:34" x14ac:dyDescent="0.25">
      <c r="A219" s="423" t="s">
        <v>3511</v>
      </c>
      <c r="B219" s="423" t="s">
        <v>3529</v>
      </c>
      <c r="C219" s="423" t="s">
        <v>1705</v>
      </c>
      <c r="D219" s="423" t="s">
        <v>3252</v>
      </c>
      <c r="E219" s="423" t="s">
        <v>2818</v>
      </c>
      <c r="F219" s="423">
        <v>8</v>
      </c>
      <c r="G219" s="423" t="s">
        <v>3530</v>
      </c>
      <c r="H219" s="423"/>
      <c r="J219" s="423"/>
      <c r="K219" s="423"/>
      <c r="L219" s="423"/>
      <c r="M219" s="423"/>
      <c r="Q219" s="423"/>
      <c r="R219" s="424" t="s">
        <v>3529</v>
      </c>
      <c r="S219" s="424" t="s">
        <v>2846</v>
      </c>
      <c r="T219" s="424" t="s">
        <v>3420</v>
      </c>
      <c r="U219" s="424">
        <v>0</v>
      </c>
      <c r="V219" s="424" t="s">
        <v>3269</v>
      </c>
      <c r="W219" s="424" t="s">
        <v>3176</v>
      </c>
      <c r="X219" s="424" t="s">
        <v>2825</v>
      </c>
      <c r="Y219" s="424" t="s">
        <v>2279</v>
      </c>
      <c r="Z219" s="424" t="s">
        <v>3260</v>
      </c>
      <c r="AA219" s="424" t="s">
        <v>3197</v>
      </c>
      <c r="AB219" s="424" t="s">
        <v>3531</v>
      </c>
      <c r="AC219" s="424" t="s">
        <v>1953</v>
      </c>
      <c r="AD219" s="424" t="s">
        <v>2851</v>
      </c>
      <c r="AE219" s="424" t="s">
        <v>3293</v>
      </c>
      <c r="AF219" s="424"/>
      <c r="AG219" s="424"/>
      <c r="AH219" s="424"/>
    </row>
    <row r="220" spans="1:34" x14ac:dyDescent="0.25">
      <c r="A220" s="423" t="s">
        <v>3511</v>
      </c>
      <c r="B220" s="423" t="s">
        <v>3532</v>
      </c>
      <c r="C220" s="423" t="s">
        <v>1705</v>
      </c>
      <c r="D220" s="423" t="s">
        <v>3252</v>
      </c>
      <c r="E220" s="423" t="s">
        <v>2818</v>
      </c>
      <c r="F220" s="423">
        <v>8</v>
      </c>
      <c r="G220" s="423" t="s">
        <v>3530</v>
      </c>
      <c r="H220" s="423"/>
      <c r="J220" s="423"/>
      <c r="K220" s="423"/>
      <c r="L220" s="423"/>
      <c r="M220" s="423"/>
      <c r="Q220" s="423"/>
      <c r="R220" s="424" t="s">
        <v>3532</v>
      </c>
      <c r="S220" s="424" t="s">
        <v>2846</v>
      </c>
      <c r="T220" s="424" t="s">
        <v>3420</v>
      </c>
      <c r="U220" s="424">
        <v>0</v>
      </c>
      <c r="V220" s="424" t="s">
        <v>3269</v>
      </c>
      <c r="W220" s="424" t="s">
        <v>3176</v>
      </c>
      <c r="X220" s="424" t="s">
        <v>2825</v>
      </c>
      <c r="Y220" s="424" t="s">
        <v>2279</v>
      </c>
      <c r="Z220" s="424" t="s">
        <v>3260</v>
      </c>
      <c r="AA220" s="424" t="s">
        <v>3197</v>
      </c>
      <c r="AB220" s="424" t="s">
        <v>3533</v>
      </c>
      <c r="AC220" s="424" t="s">
        <v>1953</v>
      </c>
      <c r="AD220" s="424" t="s">
        <v>2851</v>
      </c>
      <c r="AE220" s="424" t="s">
        <v>3293</v>
      </c>
      <c r="AF220" s="424"/>
      <c r="AG220" s="424"/>
      <c r="AH220" s="424"/>
    </row>
    <row r="221" spans="1:34" x14ac:dyDescent="0.25">
      <c r="A221" s="423" t="s">
        <v>3534</v>
      </c>
      <c r="B221" s="423" t="s">
        <v>3289</v>
      </c>
      <c r="C221" s="423" t="s">
        <v>1705</v>
      </c>
      <c r="D221" s="423" t="s">
        <v>3252</v>
      </c>
      <c r="E221" s="423" t="s">
        <v>2818</v>
      </c>
      <c r="F221" s="423">
        <v>4</v>
      </c>
      <c r="G221" s="423" t="s">
        <v>3290</v>
      </c>
      <c r="H221" s="423"/>
      <c r="J221" s="423"/>
      <c r="K221" s="423"/>
      <c r="L221" s="423"/>
      <c r="M221" s="423"/>
      <c r="Q221" s="423"/>
      <c r="R221" s="424" t="s">
        <v>3289</v>
      </c>
      <c r="S221" s="424" t="s">
        <v>2846</v>
      </c>
      <c r="T221" s="424" t="s">
        <v>3291</v>
      </c>
      <c r="U221" s="424">
        <v>0</v>
      </c>
      <c r="V221" s="424" t="s">
        <v>3269</v>
      </c>
      <c r="W221" s="424" t="s">
        <v>3176</v>
      </c>
      <c r="X221" s="424" t="s">
        <v>2825</v>
      </c>
      <c r="Y221" s="424" t="s">
        <v>2279</v>
      </c>
      <c r="Z221" s="424" t="s">
        <v>3260</v>
      </c>
      <c r="AA221" s="424" t="s">
        <v>3197</v>
      </c>
      <c r="AB221" s="424" t="s">
        <v>3292</v>
      </c>
      <c r="AC221" s="424" t="s">
        <v>1953</v>
      </c>
      <c r="AD221" s="424" t="s">
        <v>2851</v>
      </c>
      <c r="AE221" s="424" t="s">
        <v>3293</v>
      </c>
      <c r="AF221" s="424"/>
      <c r="AG221" s="424"/>
      <c r="AH221" s="424"/>
    </row>
    <row r="222" spans="1:34" x14ac:dyDescent="0.25">
      <c r="A222" s="423" t="s">
        <v>3534</v>
      </c>
      <c r="B222" s="423" t="s">
        <v>3535</v>
      </c>
      <c r="C222" s="423" t="s">
        <v>1705</v>
      </c>
      <c r="D222" s="423" t="s">
        <v>3252</v>
      </c>
      <c r="E222" s="423" t="s">
        <v>2818</v>
      </c>
      <c r="F222" s="423">
        <v>8</v>
      </c>
      <c r="G222" s="423" t="s">
        <v>3354</v>
      </c>
      <c r="H222" s="423"/>
      <c r="J222" s="423"/>
      <c r="K222" s="423"/>
      <c r="L222" s="423"/>
      <c r="M222" s="423"/>
      <c r="Q222" s="423"/>
      <c r="R222" s="424" t="s">
        <v>3535</v>
      </c>
      <c r="S222" s="424" t="s">
        <v>2846</v>
      </c>
      <c r="T222" s="424" t="s">
        <v>3291</v>
      </c>
      <c r="U222" s="424">
        <v>0</v>
      </c>
      <c r="V222" s="424" t="s">
        <v>3269</v>
      </c>
      <c r="W222" s="424" t="s">
        <v>2974</v>
      </c>
      <c r="X222" s="424" t="s">
        <v>2825</v>
      </c>
      <c r="Y222" s="424" t="s">
        <v>2279</v>
      </c>
      <c r="Z222" s="424" t="s">
        <v>3260</v>
      </c>
      <c r="AA222" s="424" t="s">
        <v>3327</v>
      </c>
      <c r="AB222" s="424" t="s">
        <v>3536</v>
      </c>
      <c r="AC222" s="424" t="s">
        <v>1953</v>
      </c>
      <c r="AD222" s="424" t="s">
        <v>3329</v>
      </c>
      <c r="AE222" s="424" t="s">
        <v>3330</v>
      </c>
      <c r="AF222" s="424"/>
      <c r="AG222" s="424"/>
      <c r="AH222" s="424"/>
    </row>
    <row r="223" spans="1:34" x14ac:dyDescent="0.25">
      <c r="A223" s="423" t="s">
        <v>3534</v>
      </c>
      <c r="B223" s="423" t="s">
        <v>3537</v>
      </c>
      <c r="C223" s="423" t="s">
        <v>1705</v>
      </c>
      <c r="D223" s="423" t="s">
        <v>3252</v>
      </c>
      <c r="E223" s="423" t="s">
        <v>2818</v>
      </c>
      <c r="F223" s="423">
        <v>16</v>
      </c>
      <c r="G223" s="423" t="s">
        <v>3326</v>
      </c>
      <c r="H223" s="423"/>
      <c r="J223" s="423"/>
      <c r="K223" s="423"/>
      <c r="L223" s="423"/>
      <c r="M223" s="423"/>
      <c r="Q223" s="423"/>
      <c r="R223" s="424" t="s">
        <v>3538</v>
      </c>
      <c r="S223" s="424" t="s">
        <v>2846</v>
      </c>
      <c r="T223" s="424" t="s">
        <v>3152</v>
      </c>
      <c r="U223" s="424">
        <v>0</v>
      </c>
      <c r="V223" s="424" t="s">
        <v>2973</v>
      </c>
      <c r="W223" s="424" t="s">
        <v>2974</v>
      </c>
      <c r="X223" s="424" t="s">
        <v>2825</v>
      </c>
      <c r="Y223" s="424" t="s">
        <v>2279</v>
      </c>
      <c r="Z223" s="424" t="s">
        <v>2848</v>
      </c>
      <c r="AA223" s="424" t="s">
        <v>2849</v>
      </c>
      <c r="AB223" s="424" t="s">
        <v>3539</v>
      </c>
      <c r="AC223" s="424" t="s">
        <v>1953</v>
      </c>
      <c r="AD223" s="424" t="s">
        <v>2851</v>
      </c>
      <c r="AE223" s="424" t="s">
        <v>3467</v>
      </c>
      <c r="AF223" s="424"/>
      <c r="AG223" s="424"/>
      <c r="AH223" s="424"/>
    </row>
    <row r="224" spans="1:34" x14ac:dyDescent="0.25">
      <c r="A224" s="423" t="s">
        <v>3540</v>
      </c>
      <c r="B224" s="423" t="s">
        <v>3541</v>
      </c>
      <c r="C224" s="423" t="s">
        <v>1705</v>
      </c>
      <c r="D224" s="423" t="s">
        <v>3252</v>
      </c>
      <c r="E224" s="423" t="s">
        <v>2818</v>
      </c>
      <c r="F224" s="423">
        <v>30</v>
      </c>
      <c r="G224" s="423" t="s">
        <v>3542</v>
      </c>
      <c r="H224" s="423"/>
      <c r="J224" s="423"/>
      <c r="K224" s="423"/>
      <c r="L224" s="423"/>
      <c r="M224" s="423"/>
      <c r="Q224" s="423"/>
      <c r="R224" s="424" t="s">
        <v>3541</v>
      </c>
      <c r="S224" s="424" t="s">
        <v>2846</v>
      </c>
      <c r="T224" s="424" t="s">
        <v>3356</v>
      </c>
      <c r="U224" s="424">
        <v>0</v>
      </c>
      <c r="V224" s="424" t="s">
        <v>3269</v>
      </c>
      <c r="W224" s="424" t="s">
        <v>2871</v>
      </c>
      <c r="X224" s="424" t="s">
        <v>2825</v>
      </c>
      <c r="Y224" s="424" t="s">
        <v>2279</v>
      </c>
      <c r="Z224" s="424" t="s">
        <v>2848</v>
      </c>
      <c r="AA224" s="424" t="s">
        <v>2849</v>
      </c>
      <c r="AB224" s="424" t="s">
        <v>2850</v>
      </c>
      <c r="AC224" s="424" t="s">
        <v>1953</v>
      </c>
      <c r="AD224" s="424" t="s">
        <v>2851</v>
      </c>
      <c r="AE224" s="424" t="s">
        <v>2852</v>
      </c>
      <c r="AF224" s="424"/>
      <c r="AG224" s="424"/>
      <c r="AH224" s="424"/>
    </row>
    <row r="225" spans="1:34" x14ac:dyDescent="0.25">
      <c r="A225" s="423" t="s">
        <v>3540</v>
      </c>
      <c r="B225" s="423" t="s">
        <v>3543</v>
      </c>
      <c r="C225" s="423" t="s">
        <v>1705</v>
      </c>
      <c r="D225" s="423" t="s">
        <v>3252</v>
      </c>
      <c r="E225" s="423" t="s">
        <v>2818</v>
      </c>
      <c r="F225" s="423">
        <v>30</v>
      </c>
      <c r="G225" s="423" t="s">
        <v>3542</v>
      </c>
      <c r="H225" s="423"/>
      <c r="J225" s="423"/>
      <c r="K225" s="423"/>
      <c r="L225" s="423"/>
      <c r="M225" s="423"/>
      <c r="Q225" s="423"/>
      <c r="R225" s="424" t="s">
        <v>3543</v>
      </c>
      <c r="S225" s="424" t="s">
        <v>2846</v>
      </c>
      <c r="T225" s="424" t="s">
        <v>3356</v>
      </c>
      <c r="U225" s="424">
        <v>0</v>
      </c>
      <c r="V225" s="424" t="s">
        <v>3269</v>
      </c>
      <c r="W225" s="424" t="s">
        <v>3074</v>
      </c>
      <c r="X225" s="424" t="s">
        <v>2825</v>
      </c>
      <c r="Y225" s="424" t="s">
        <v>2279</v>
      </c>
      <c r="Z225" s="424" t="s">
        <v>2848</v>
      </c>
      <c r="AA225" s="424" t="s">
        <v>2849</v>
      </c>
      <c r="AB225" s="424" t="s">
        <v>3544</v>
      </c>
      <c r="AC225" s="424" t="s">
        <v>1953</v>
      </c>
      <c r="AD225" s="424" t="s">
        <v>2851</v>
      </c>
      <c r="AE225" s="424" t="s">
        <v>3545</v>
      </c>
      <c r="AF225" s="424"/>
      <c r="AG225" s="424"/>
      <c r="AH225" s="424"/>
    </row>
    <row r="226" spans="1:34" x14ac:dyDescent="0.25">
      <c r="A226" s="423" t="s">
        <v>3540</v>
      </c>
      <c r="B226" s="423" t="s">
        <v>3546</v>
      </c>
      <c r="C226" s="423" t="s">
        <v>1705</v>
      </c>
      <c r="D226" s="423" t="s">
        <v>3252</v>
      </c>
      <c r="E226" s="423" t="s">
        <v>2818</v>
      </c>
      <c r="F226" s="423">
        <v>30</v>
      </c>
      <c r="G226" s="423" t="s">
        <v>3253</v>
      </c>
      <c r="H226" s="423"/>
      <c r="J226" s="423"/>
      <c r="K226" s="423"/>
      <c r="L226" s="423"/>
      <c r="M226" s="423"/>
      <c r="Q226" s="423"/>
      <c r="R226" s="424" t="s">
        <v>3546</v>
      </c>
      <c r="S226" s="424" t="s">
        <v>2846</v>
      </c>
      <c r="T226" s="424" t="s">
        <v>3268</v>
      </c>
      <c r="U226" s="424">
        <v>0</v>
      </c>
      <c r="V226" s="424" t="s">
        <v>3269</v>
      </c>
      <c r="W226" s="424" t="s">
        <v>3176</v>
      </c>
      <c r="X226" s="424" t="s">
        <v>2825</v>
      </c>
      <c r="Y226" s="424" t="s">
        <v>2279</v>
      </c>
      <c r="Z226" s="424" t="s">
        <v>3260</v>
      </c>
      <c r="AA226" s="424" t="s">
        <v>3197</v>
      </c>
      <c r="AB226" s="424" t="s">
        <v>3362</v>
      </c>
      <c r="AC226" s="424" t="s">
        <v>1953</v>
      </c>
      <c r="AD226" s="424" t="s">
        <v>2851</v>
      </c>
      <c r="AE226" s="424" t="s">
        <v>3324</v>
      </c>
      <c r="AF226" s="424"/>
      <c r="AG226" s="424"/>
      <c r="AH226" s="424"/>
    </row>
    <row r="227" spans="1:34" x14ac:dyDescent="0.25">
      <c r="A227" s="423" t="s">
        <v>3540</v>
      </c>
      <c r="B227" s="423" t="s">
        <v>3547</v>
      </c>
      <c r="C227" s="423" t="s">
        <v>1705</v>
      </c>
      <c r="D227" s="423" t="s">
        <v>3252</v>
      </c>
      <c r="E227" s="423" t="s">
        <v>2818</v>
      </c>
      <c r="F227" s="423">
        <v>30</v>
      </c>
      <c r="G227" s="423" t="s">
        <v>3253</v>
      </c>
      <c r="H227" s="423"/>
      <c r="J227" s="423"/>
      <c r="K227" s="423"/>
      <c r="L227" s="423"/>
      <c r="M227" s="423"/>
      <c r="Q227" s="423"/>
      <c r="R227" s="424" t="s">
        <v>3547</v>
      </c>
      <c r="S227" s="424" t="s">
        <v>2846</v>
      </c>
      <c r="T227" s="424" t="s">
        <v>3268</v>
      </c>
      <c r="U227" s="424">
        <v>0</v>
      </c>
      <c r="V227" s="424" t="s">
        <v>3269</v>
      </c>
      <c r="W227" s="424" t="s">
        <v>3176</v>
      </c>
      <c r="X227" s="424" t="s">
        <v>2825</v>
      </c>
      <c r="Y227" s="424" t="s">
        <v>2279</v>
      </c>
      <c r="Z227" s="424" t="s">
        <v>3260</v>
      </c>
      <c r="AA227" s="424" t="s">
        <v>3197</v>
      </c>
      <c r="AB227" s="424" t="s">
        <v>3316</v>
      </c>
      <c r="AC227" s="424" t="s">
        <v>1953</v>
      </c>
      <c r="AD227" s="424" t="s">
        <v>2851</v>
      </c>
      <c r="AE227" s="424" t="s">
        <v>3317</v>
      </c>
      <c r="AF227" s="424"/>
      <c r="AG227" s="424"/>
      <c r="AH227" s="424"/>
    </row>
    <row r="228" spans="1:34" x14ac:dyDescent="0.25">
      <c r="A228" s="423" t="s">
        <v>3540</v>
      </c>
      <c r="B228" s="423" t="s">
        <v>3548</v>
      </c>
      <c r="C228" s="423" t="s">
        <v>1705</v>
      </c>
      <c r="D228" s="423" t="s">
        <v>3252</v>
      </c>
      <c r="E228" s="423" t="s">
        <v>2818</v>
      </c>
      <c r="F228" s="423">
        <v>30</v>
      </c>
      <c r="G228" s="423" t="s">
        <v>3253</v>
      </c>
      <c r="H228" s="423"/>
      <c r="J228" s="423"/>
      <c r="K228" s="423"/>
      <c r="L228" s="423"/>
      <c r="M228" s="423"/>
      <c r="Q228" s="423"/>
      <c r="R228" s="424" t="s">
        <v>3548</v>
      </c>
      <c r="S228" s="424" t="s">
        <v>2846</v>
      </c>
      <c r="T228" s="424" t="s">
        <v>3268</v>
      </c>
      <c r="U228" s="424">
        <v>0</v>
      </c>
      <c r="V228" s="424" t="s">
        <v>3269</v>
      </c>
      <c r="W228" s="424" t="s">
        <v>3176</v>
      </c>
      <c r="X228" s="424" t="s">
        <v>2825</v>
      </c>
      <c r="Y228" s="424" t="s">
        <v>2279</v>
      </c>
      <c r="Z228" s="424" t="s">
        <v>3260</v>
      </c>
      <c r="AA228" s="424" t="s">
        <v>3197</v>
      </c>
      <c r="AB228" s="424" t="s">
        <v>3549</v>
      </c>
      <c r="AC228" s="424" t="s">
        <v>1953</v>
      </c>
      <c r="AD228" s="424" t="s">
        <v>2851</v>
      </c>
      <c r="AE228" s="424" t="s">
        <v>3550</v>
      </c>
      <c r="AF228" s="424"/>
      <c r="AG228" s="424"/>
      <c r="AH228" s="424"/>
    </row>
    <row r="229" spans="1:34" x14ac:dyDescent="0.25">
      <c r="A229" s="423" t="s">
        <v>3540</v>
      </c>
      <c r="B229" s="423" t="s">
        <v>3551</v>
      </c>
      <c r="C229" s="423" t="s">
        <v>1705</v>
      </c>
      <c r="D229" s="423" t="s">
        <v>3252</v>
      </c>
      <c r="E229" s="423" t="s">
        <v>2818</v>
      </c>
      <c r="F229" s="423">
        <v>30</v>
      </c>
      <c r="G229" s="423" t="s">
        <v>3552</v>
      </c>
      <c r="H229" s="423"/>
      <c r="J229" s="423"/>
      <c r="K229" s="423"/>
      <c r="L229" s="423"/>
      <c r="M229" s="423"/>
      <c r="Q229" s="423"/>
      <c r="R229" s="424" t="s">
        <v>3551</v>
      </c>
      <c r="S229" s="424" t="s">
        <v>2846</v>
      </c>
      <c r="T229" s="424" t="s">
        <v>3356</v>
      </c>
      <c r="U229" s="424">
        <v>0</v>
      </c>
      <c r="V229" s="424" t="s">
        <v>3269</v>
      </c>
      <c r="W229" s="424" t="s">
        <v>2871</v>
      </c>
      <c r="X229" s="424" t="s">
        <v>2825</v>
      </c>
      <c r="Y229" s="424" t="s">
        <v>2279</v>
      </c>
      <c r="Z229" s="424" t="s">
        <v>2848</v>
      </c>
      <c r="AA229" s="424" t="s">
        <v>2849</v>
      </c>
      <c r="AB229" s="424" t="s">
        <v>2850</v>
      </c>
      <c r="AC229" s="424" t="s">
        <v>1953</v>
      </c>
      <c r="AD229" s="424" t="s">
        <v>2851</v>
      </c>
      <c r="AE229" s="424" t="s">
        <v>2852</v>
      </c>
      <c r="AF229" s="424"/>
      <c r="AG229" s="424"/>
      <c r="AH229" s="424"/>
    </row>
    <row r="230" spans="1:34" x14ac:dyDescent="0.25">
      <c r="A230" s="423" t="s">
        <v>3540</v>
      </c>
      <c r="B230" s="423" t="s">
        <v>3553</v>
      </c>
      <c r="C230" s="423" t="s">
        <v>1705</v>
      </c>
      <c r="D230" s="423" t="s">
        <v>3252</v>
      </c>
      <c r="E230" s="423" t="s">
        <v>2818</v>
      </c>
      <c r="F230" s="423">
        <v>30</v>
      </c>
      <c r="G230" s="423" t="s">
        <v>3253</v>
      </c>
      <c r="H230" s="423"/>
      <c r="J230" s="423"/>
      <c r="K230" s="423"/>
      <c r="L230" s="423"/>
      <c r="M230" s="423"/>
      <c r="Q230" s="423"/>
      <c r="R230" s="424" t="s">
        <v>3553</v>
      </c>
      <c r="S230" s="424" t="s">
        <v>2846</v>
      </c>
      <c r="T230" s="424" t="s">
        <v>3268</v>
      </c>
      <c r="U230" s="424">
        <v>0</v>
      </c>
      <c r="V230" s="424" t="s">
        <v>3269</v>
      </c>
      <c r="W230" s="424" t="s">
        <v>3176</v>
      </c>
      <c r="X230" s="424" t="s">
        <v>2825</v>
      </c>
      <c r="Y230" s="424" t="s">
        <v>2279</v>
      </c>
      <c r="Z230" s="424" t="s">
        <v>3260</v>
      </c>
      <c r="AA230" s="424" t="s">
        <v>3197</v>
      </c>
      <c r="AB230" s="424" t="s">
        <v>3554</v>
      </c>
      <c r="AC230" s="424" t="s">
        <v>1953</v>
      </c>
      <c r="AD230" s="424" t="s">
        <v>2851</v>
      </c>
      <c r="AE230" s="424" t="s">
        <v>3317</v>
      </c>
      <c r="AF230" s="424"/>
      <c r="AG230" s="424"/>
      <c r="AH230" s="424"/>
    </row>
    <row r="231" spans="1:34" x14ac:dyDescent="0.25">
      <c r="A231" s="423" t="s">
        <v>3540</v>
      </c>
      <c r="B231" s="423" t="s">
        <v>3555</v>
      </c>
      <c r="C231" s="423" t="s">
        <v>1705</v>
      </c>
      <c r="D231" s="423" t="s">
        <v>3252</v>
      </c>
      <c r="E231" s="423" t="s">
        <v>2818</v>
      </c>
      <c r="F231" s="423">
        <v>30</v>
      </c>
      <c r="G231" s="423" t="s">
        <v>3253</v>
      </c>
      <c r="H231" s="423"/>
      <c r="J231" s="423"/>
      <c r="K231" s="423"/>
      <c r="L231" s="423"/>
      <c r="M231" s="423"/>
      <c r="Q231" s="423"/>
      <c r="R231" s="424" t="s">
        <v>3555</v>
      </c>
      <c r="S231" s="424" t="s">
        <v>2846</v>
      </c>
      <c r="T231" s="424" t="s">
        <v>3268</v>
      </c>
      <c r="U231" s="424">
        <v>0</v>
      </c>
      <c r="V231" s="424" t="s">
        <v>3269</v>
      </c>
      <c r="W231" s="424" t="s">
        <v>3074</v>
      </c>
      <c r="X231" s="424" t="s">
        <v>2825</v>
      </c>
      <c r="Y231" s="424" t="s">
        <v>2279</v>
      </c>
      <c r="Z231" s="424" t="s">
        <v>3260</v>
      </c>
      <c r="AA231" s="424" t="s">
        <v>3274</v>
      </c>
      <c r="AB231" s="424" t="s">
        <v>3556</v>
      </c>
      <c r="AC231" s="424" t="s">
        <v>1953</v>
      </c>
      <c r="AD231" s="424" t="s">
        <v>2851</v>
      </c>
      <c r="AE231" s="424" t="s">
        <v>3557</v>
      </c>
      <c r="AF231" s="424"/>
      <c r="AG231" s="424"/>
      <c r="AH231" s="424"/>
    </row>
    <row r="232" spans="1:34" x14ac:dyDescent="0.25">
      <c r="A232" s="423" t="s">
        <v>3540</v>
      </c>
      <c r="B232" s="423" t="s">
        <v>3558</v>
      </c>
      <c r="C232" s="423" t="s">
        <v>1705</v>
      </c>
      <c r="D232" s="423" t="s">
        <v>3252</v>
      </c>
      <c r="E232" s="423" t="s">
        <v>2818</v>
      </c>
      <c r="F232" s="423">
        <v>30</v>
      </c>
      <c r="G232" s="423" t="s">
        <v>3253</v>
      </c>
      <c r="H232" s="423"/>
      <c r="J232" s="423"/>
      <c r="K232" s="423"/>
      <c r="L232" s="423"/>
      <c r="M232" s="423"/>
      <c r="Q232" s="423"/>
      <c r="R232" s="424" t="s">
        <v>3558</v>
      </c>
      <c r="S232" s="424" t="s">
        <v>2846</v>
      </c>
      <c r="T232" s="424" t="s">
        <v>3268</v>
      </c>
      <c r="U232" s="424">
        <v>0</v>
      </c>
      <c r="V232" s="424" t="s">
        <v>3269</v>
      </c>
      <c r="W232" s="424" t="s">
        <v>3055</v>
      </c>
      <c r="X232" s="424" t="s">
        <v>2825</v>
      </c>
      <c r="Y232" s="424" t="s">
        <v>2279</v>
      </c>
      <c r="Z232" s="424" t="s">
        <v>3260</v>
      </c>
      <c r="AA232" s="424" t="s">
        <v>3327</v>
      </c>
      <c r="AB232" s="424" t="s">
        <v>3559</v>
      </c>
      <c r="AC232" s="424" t="s">
        <v>1953</v>
      </c>
      <c r="AD232" s="424" t="s">
        <v>3329</v>
      </c>
      <c r="AE232" s="424" t="s">
        <v>3365</v>
      </c>
      <c r="AF232" s="424"/>
      <c r="AG232" s="424"/>
      <c r="AH232" s="424"/>
    </row>
    <row r="233" spans="1:34" x14ac:dyDescent="0.25">
      <c r="A233" s="423" t="s">
        <v>3540</v>
      </c>
      <c r="B233" s="423" t="s">
        <v>3560</v>
      </c>
      <c r="C233" s="423" t="s">
        <v>1705</v>
      </c>
      <c r="D233" s="423" t="s">
        <v>3252</v>
      </c>
      <c r="E233" s="423" t="s">
        <v>2818</v>
      </c>
      <c r="F233" s="423">
        <v>30</v>
      </c>
      <c r="G233" s="423" t="s">
        <v>3253</v>
      </c>
      <c r="H233" s="423"/>
      <c r="J233" s="423"/>
      <c r="K233" s="423"/>
      <c r="L233" s="423"/>
      <c r="M233" s="423"/>
      <c r="Q233" s="423"/>
      <c r="R233" s="424" t="s">
        <v>3560</v>
      </c>
      <c r="S233" s="424" t="s">
        <v>2846</v>
      </c>
      <c r="T233" s="424" t="s">
        <v>3268</v>
      </c>
      <c r="U233" s="424">
        <v>0</v>
      </c>
      <c r="V233" s="424" t="s">
        <v>3269</v>
      </c>
      <c r="W233" s="424" t="s">
        <v>3176</v>
      </c>
      <c r="X233" s="424" t="s">
        <v>2825</v>
      </c>
      <c r="Y233" s="424" t="s">
        <v>2279</v>
      </c>
      <c r="Z233" s="424" t="s">
        <v>3260</v>
      </c>
      <c r="AA233" s="424" t="s">
        <v>3197</v>
      </c>
      <c r="AB233" s="424" t="s">
        <v>3561</v>
      </c>
      <c r="AC233" s="424" t="s">
        <v>1953</v>
      </c>
      <c r="AD233" s="424" t="s">
        <v>2851</v>
      </c>
      <c r="AE233" s="424" t="s">
        <v>3550</v>
      </c>
      <c r="AF233" s="424"/>
      <c r="AG233" s="424"/>
      <c r="AH233" s="424"/>
    </row>
    <row r="234" spans="1:34" x14ac:dyDescent="0.25">
      <c r="A234" s="423" t="s">
        <v>3540</v>
      </c>
      <c r="B234" s="423" t="s">
        <v>3562</v>
      </c>
      <c r="C234" s="423" t="s">
        <v>1705</v>
      </c>
      <c r="D234" s="423" t="s">
        <v>3252</v>
      </c>
      <c r="E234" s="423" t="s">
        <v>2818</v>
      </c>
      <c r="F234" s="423">
        <v>30</v>
      </c>
      <c r="G234" s="423" t="s">
        <v>3253</v>
      </c>
      <c r="H234" s="423"/>
      <c r="J234" s="423"/>
      <c r="K234" s="423"/>
      <c r="L234" s="423"/>
      <c r="M234" s="423"/>
      <c r="Q234" s="423"/>
      <c r="R234" s="424" t="s">
        <v>3562</v>
      </c>
      <c r="S234" s="424" t="s">
        <v>2846</v>
      </c>
      <c r="T234" s="424" t="s">
        <v>3268</v>
      </c>
      <c r="U234" s="424">
        <v>0</v>
      </c>
      <c r="V234" s="424" t="s">
        <v>3269</v>
      </c>
      <c r="W234" s="424" t="s">
        <v>3176</v>
      </c>
      <c r="X234" s="424" t="s">
        <v>2825</v>
      </c>
      <c r="Y234" s="424" t="s">
        <v>2279</v>
      </c>
      <c r="Z234" s="424" t="s">
        <v>3260</v>
      </c>
      <c r="AA234" s="424" t="s">
        <v>3197</v>
      </c>
      <c r="AB234" s="424" t="s">
        <v>3320</v>
      </c>
      <c r="AC234" s="424" t="s">
        <v>1953</v>
      </c>
      <c r="AD234" s="424" t="s">
        <v>2851</v>
      </c>
      <c r="AE234" s="424" t="s">
        <v>3293</v>
      </c>
      <c r="AF234" s="424"/>
      <c r="AG234" s="424"/>
      <c r="AH234" s="424"/>
    </row>
    <row r="235" spans="1:34" x14ac:dyDescent="0.25">
      <c r="A235" s="423" t="s">
        <v>3540</v>
      </c>
      <c r="B235" s="423" t="s">
        <v>3563</v>
      </c>
      <c r="C235" s="423" t="s">
        <v>1705</v>
      </c>
      <c r="D235" s="423" t="s">
        <v>3252</v>
      </c>
      <c r="E235" s="423" t="s">
        <v>2818</v>
      </c>
      <c r="F235" s="423">
        <v>30</v>
      </c>
      <c r="G235" s="423" t="s">
        <v>3253</v>
      </c>
      <c r="H235" s="423"/>
      <c r="J235" s="423"/>
      <c r="K235" s="423"/>
      <c r="L235" s="423"/>
      <c r="M235" s="423"/>
      <c r="Q235" s="423"/>
      <c r="R235" s="424" t="s">
        <v>3563</v>
      </c>
      <c r="S235" s="424" t="s">
        <v>2846</v>
      </c>
      <c r="T235" s="424" t="s">
        <v>3268</v>
      </c>
      <c r="U235" s="424">
        <v>0</v>
      </c>
      <c r="V235" s="424" t="s">
        <v>3269</v>
      </c>
      <c r="W235" s="424" t="s">
        <v>3074</v>
      </c>
      <c r="X235" s="424" t="s">
        <v>2825</v>
      </c>
      <c r="Y235" s="424" t="s">
        <v>2279</v>
      </c>
      <c r="Z235" s="424" t="s">
        <v>3260</v>
      </c>
      <c r="AA235" s="424" t="s">
        <v>3197</v>
      </c>
      <c r="AB235" s="424" t="s">
        <v>3564</v>
      </c>
      <c r="AC235" s="424" t="s">
        <v>1953</v>
      </c>
      <c r="AD235" s="424" t="s">
        <v>2851</v>
      </c>
      <c r="AE235" s="424" t="s">
        <v>3550</v>
      </c>
      <c r="AF235" s="424"/>
      <c r="AG235" s="424"/>
      <c r="AH235" s="424"/>
    </row>
    <row r="236" spans="1:34" x14ac:dyDescent="0.25">
      <c r="A236" s="423" t="s">
        <v>3540</v>
      </c>
      <c r="B236" s="423" t="s">
        <v>3565</v>
      </c>
      <c r="C236" s="423" t="s">
        <v>1705</v>
      </c>
      <c r="D236" s="423" t="s">
        <v>3252</v>
      </c>
      <c r="E236" s="423" t="s">
        <v>2818</v>
      </c>
      <c r="F236" s="423">
        <v>30</v>
      </c>
      <c r="G236" s="423" t="s">
        <v>3253</v>
      </c>
      <c r="H236" s="423"/>
      <c r="J236" s="423"/>
      <c r="K236" s="423"/>
      <c r="L236" s="423"/>
      <c r="M236" s="423"/>
      <c r="Q236" s="423"/>
      <c r="R236" s="424" t="s">
        <v>3565</v>
      </c>
      <c r="S236" s="424" t="s">
        <v>2846</v>
      </c>
      <c r="T236" s="424" t="s">
        <v>3268</v>
      </c>
      <c r="U236" s="424">
        <v>0</v>
      </c>
      <c r="V236" s="424" t="s">
        <v>3269</v>
      </c>
      <c r="W236" s="424" t="s">
        <v>3055</v>
      </c>
      <c r="X236" s="424" t="s">
        <v>2825</v>
      </c>
      <c r="Y236" s="424" t="s">
        <v>2279</v>
      </c>
      <c r="Z236" s="424" t="s">
        <v>3260</v>
      </c>
      <c r="AA236" s="424" t="s">
        <v>3327</v>
      </c>
      <c r="AB236" s="424" t="s">
        <v>3566</v>
      </c>
      <c r="AC236" s="424" t="s">
        <v>1953</v>
      </c>
      <c r="AD236" s="424" t="s">
        <v>3329</v>
      </c>
      <c r="AE236" s="424" t="s">
        <v>3365</v>
      </c>
      <c r="AF236" s="424"/>
      <c r="AG236" s="424"/>
      <c r="AH236" s="424"/>
    </row>
    <row r="237" spans="1:34" x14ac:dyDescent="0.25">
      <c r="A237" s="423" t="s">
        <v>3540</v>
      </c>
      <c r="B237" s="423" t="s">
        <v>3567</v>
      </c>
      <c r="C237" s="423" t="s">
        <v>1705</v>
      </c>
      <c r="D237" s="423" t="s">
        <v>3252</v>
      </c>
      <c r="E237" s="423" t="s">
        <v>2818</v>
      </c>
      <c r="F237" s="423">
        <v>30</v>
      </c>
      <c r="G237" s="423" t="s">
        <v>3253</v>
      </c>
      <c r="H237" s="423"/>
      <c r="J237" s="423"/>
      <c r="K237" s="423"/>
      <c r="L237" s="423"/>
      <c r="M237" s="423"/>
      <c r="Q237" s="423"/>
      <c r="R237" s="424" t="s">
        <v>3567</v>
      </c>
      <c r="S237" s="424" t="s">
        <v>2846</v>
      </c>
      <c r="T237" s="424" t="s">
        <v>3268</v>
      </c>
      <c r="U237" s="424">
        <v>0</v>
      </c>
      <c r="V237" s="424" t="s">
        <v>3269</v>
      </c>
      <c r="W237" s="424" t="s">
        <v>3074</v>
      </c>
      <c r="X237" s="424" t="s">
        <v>2825</v>
      </c>
      <c r="Y237" s="424" t="s">
        <v>2279</v>
      </c>
      <c r="Z237" s="424" t="s">
        <v>3260</v>
      </c>
      <c r="AA237" s="424" t="s">
        <v>3274</v>
      </c>
      <c r="AB237" s="424" t="s">
        <v>3473</v>
      </c>
      <c r="AC237" s="424" t="s">
        <v>1953</v>
      </c>
      <c r="AD237" s="424" t="s">
        <v>2851</v>
      </c>
      <c r="AE237" s="424" t="s">
        <v>3199</v>
      </c>
      <c r="AF237" s="424"/>
      <c r="AG237" s="424"/>
      <c r="AH237" s="424"/>
    </row>
    <row r="238" spans="1:34" x14ac:dyDescent="0.25">
      <c r="A238" s="423" t="s">
        <v>3540</v>
      </c>
      <c r="B238" s="423" t="s">
        <v>3568</v>
      </c>
      <c r="C238" s="423" t="s">
        <v>1705</v>
      </c>
      <c r="D238" s="423" t="s">
        <v>3252</v>
      </c>
      <c r="E238" s="423" t="s">
        <v>2818</v>
      </c>
      <c r="F238" s="423">
        <v>30</v>
      </c>
      <c r="G238" s="423" t="s">
        <v>3253</v>
      </c>
      <c r="H238" s="423"/>
      <c r="J238" s="423"/>
      <c r="K238" s="423"/>
      <c r="L238" s="423"/>
      <c r="M238" s="423"/>
      <c r="Q238" s="423"/>
      <c r="R238" s="424" t="s">
        <v>3568</v>
      </c>
      <c r="S238" s="424" t="s">
        <v>2846</v>
      </c>
      <c r="T238" s="424" t="s">
        <v>3268</v>
      </c>
      <c r="U238" s="424">
        <v>0</v>
      </c>
      <c r="V238" s="424" t="s">
        <v>3269</v>
      </c>
      <c r="W238" s="424" t="s">
        <v>3074</v>
      </c>
      <c r="X238" s="424" t="s">
        <v>2825</v>
      </c>
      <c r="Y238" s="424" t="s">
        <v>2279</v>
      </c>
      <c r="Z238" s="424" t="s">
        <v>3260</v>
      </c>
      <c r="AA238" s="424" t="s">
        <v>3274</v>
      </c>
      <c r="AB238" s="424" t="s">
        <v>3569</v>
      </c>
      <c r="AC238" s="424" t="s">
        <v>1953</v>
      </c>
      <c r="AD238" s="424" t="s">
        <v>2851</v>
      </c>
      <c r="AE238" s="424" t="s">
        <v>3557</v>
      </c>
      <c r="AF238" s="424"/>
      <c r="AG238" s="424"/>
      <c r="AH238" s="424"/>
    </row>
    <row r="239" spans="1:34" x14ac:dyDescent="0.25">
      <c r="A239" s="423" t="s">
        <v>3540</v>
      </c>
      <c r="B239" s="423" t="s">
        <v>3570</v>
      </c>
      <c r="C239" s="423" t="s">
        <v>1705</v>
      </c>
      <c r="D239" s="423" t="s">
        <v>3252</v>
      </c>
      <c r="E239" s="423" t="s">
        <v>2818</v>
      </c>
      <c r="F239" s="423">
        <v>30</v>
      </c>
      <c r="G239" s="423" t="s">
        <v>3253</v>
      </c>
      <c r="H239" s="423"/>
      <c r="J239" s="423"/>
      <c r="K239" s="423"/>
      <c r="L239" s="423"/>
      <c r="M239" s="423"/>
      <c r="Q239" s="423"/>
      <c r="R239" s="424" t="s">
        <v>3570</v>
      </c>
      <c r="S239" s="424" t="s">
        <v>2846</v>
      </c>
      <c r="T239" s="424" t="s">
        <v>3268</v>
      </c>
      <c r="U239" s="424">
        <v>0</v>
      </c>
      <c r="V239" s="424" t="s">
        <v>3269</v>
      </c>
      <c r="W239" s="424" t="s">
        <v>3176</v>
      </c>
      <c r="X239" s="424" t="s">
        <v>2825</v>
      </c>
      <c r="Y239" s="424" t="s">
        <v>2279</v>
      </c>
      <c r="Z239" s="424" t="s">
        <v>3260</v>
      </c>
      <c r="AA239" s="424" t="s">
        <v>3197</v>
      </c>
      <c r="AB239" s="424" t="s">
        <v>3571</v>
      </c>
      <c r="AC239" s="424" t="s">
        <v>1953</v>
      </c>
      <c r="AD239" s="424" t="s">
        <v>2851</v>
      </c>
      <c r="AE239" s="424" t="s">
        <v>3324</v>
      </c>
      <c r="AF239" s="424"/>
      <c r="AG239" s="424"/>
      <c r="AH239" s="424"/>
    </row>
    <row r="240" spans="1:34" x14ac:dyDescent="0.25">
      <c r="A240" s="423" t="s">
        <v>3540</v>
      </c>
      <c r="B240" s="423" t="s">
        <v>3572</v>
      </c>
      <c r="C240" s="423" t="s">
        <v>1705</v>
      </c>
      <c r="D240" s="423" t="s">
        <v>3252</v>
      </c>
      <c r="E240" s="423" t="s">
        <v>2818</v>
      </c>
      <c r="F240" s="423">
        <v>30</v>
      </c>
      <c r="G240" s="423" t="s">
        <v>3253</v>
      </c>
      <c r="H240" s="423"/>
      <c r="J240" s="423"/>
      <c r="K240" s="423"/>
      <c r="L240" s="423"/>
      <c r="M240" s="423"/>
      <c r="Q240" s="423"/>
      <c r="R240" s="424" t="s">
        <v>3572</v>
      </c>
      <c r="S240" s="424" t="s">
        <v>2846</v>
      </c>
      <c r="T240" s="424" t="s">
        <v>3268</v>
      </c>
      <c r="U240" s="424">
        <v>0</v>
      </c>
      <c r="V240" s="424" t="s">
        <v>3269</v>
      </c>
      <c r="W240" s="424" t="s">
        <v>3074</v>
      </c>
      <c r="X240" s="424" t="s">
        <v>2825</v>
      </c>
      <c r="Y240" s="424" t="s">
        <v>2279</v>
      </c>
      <c r="Z240" s="424" t="s">
        <v>3260</v>
      </c>
      <c r="AA240" s="424" t="s">
        <v>3274</v>
      </c>
      <c r="AB240" s="424" t="s">
        <v>3573</v>
      </c>
      <c r="AC240" s="424" t="s">
        <v>1953</v>
      </c>
      <c r="AD240" s="424" t="s">
        <v>2851</v>
      </c>
      <c r="AE240" s="424" t="s">
        <v>3276</v>
      </c>
      <c r="AF240" s="424"/>
      <c r="AG240" s="424"/>
      <c r="AH240" s="424"/>
    </row>
    <row r="241" spans="1:34" x14ac:dyDescent="0.25">
      <c r="A241" s="423" t="s">
        <v>3574</v>
      </c>
      <c r="B241" s="423" t="s">
        <v>3251</v>
      </c>
      <c r="C241" s="423" t="s">
        <v>1705</v>
      </c>
      <c r="D241" s="423" t="s">
        <v>3252</v>
      </c>
      <c r="E241" s="423" t="s">
        <v>2818</v>
      </c>
      <c r="F241" s="423">
        <v>16</v>
      </c>
      <c r="G241" s="423" t="s">
        <v>3253</v>
      </c>
      <c r="H241" s="423"/>
      <c r="J241" s="423"/>
      <c r="K241" s="423"/>
      <c r="L241" s="423"/>
      <c r="M241" s="423"/>
      <c r="Q241" s="423"/>
      <c r="R241" s="424" t="s">
        <v>3254</v>
      </c>
      <c r="S241" s="424" t="s">
        <v>2846</v>
      </c>
      <c r="T241" s="424" t="s">
        <v>2847</v>
      </c>
      <c r="U241" s="424">
        <v>0</v>
      </c>
      <c r="V241" s="424" t="s">
        <v>2973</v>
      </c>
      <c r="W241" s="424" t="s">
        <v>3055</v>
      </c>
      <c r="X241" s="424" t="s">
        <v>2825</v>
      </c>
      <c r="Y241" s="424" t="s">
        <v>2279</v>
      </c>
      <c r="Z241" s="424" t="s">
        <v>2848</v>
      </c>
      <c r="AA241" s="424" t="s">
        <v>2855</v>
      </c>
      <c r="AB241" s="424" t="s">
        <v>3255</v>
      </c>
      <c r="AC241" s="424" t="s">
        <v>1953</v>
      </c>
      <c r="AD241" s="424" t="s">
        <v>2851</v>
      </c>
      <c r="AE241" s="424" t="s">
        <v>3168</v>
      </c>
      <c r="AF241" s="424"/>
      <c r="AG241" s="424"/>
      <c r="AH241" s="424"/>
    </row>
    <row r="242" spans="1:34" x14ac:dyDescent="0.25">
      <c r="A242" s="423" t="s">
        <v>3574</v>
      </c>
      <c r="B242" s="423" t="s">
        <v>3575</v>
      </c>
      <c r="C242" s="423" t="s">
        <v>1705</v>
      </c>
      <c r="D242" s="423" t="s">
        <v>3252</v>
      </c>
      <c r="E242" s="423" t="s">
        <v>2818</v>
      </c>
      <c r="F242" s="423">
        <v>8</v>
      </c>
      <c r="G242" s="423" t="s">
        <v>3309</v>
      </c>
      <c r="H242" s="423"/>
      <c r="J242" s="423"/>
      <c r="K242" s="423"/>
      <c r="L242" s="423"/>
      <c r="M242" s="423"/>
      <c r="Q242" s="423"/>
      <c r="R242" s="424" t="s">
        <v>3576</v>
      </c>
      <c r="S242" s="424" t="s">
        <v>2846</v>
      </c>
      <c r="T242" s="424" t="s">
        <v>2847</v>
      </c>
      <c r="U242" s="424">
        <v>0</v>
      </c>
      <c r="V242" s="424" t="s">
        <v>2973</v>
      </c>
      <c r="W242" s="424" t="s">
        <v>2974</v>
      </c>
      <c r="X242" s="424" t="s">
        <v>2825</v>
      </c>
      <c r="Y242" s="424" t="s">
        <v>2279</v>
      </c>
      <c r="Z242" s="424" t="s">
        <v>2848</v>
      </c>
      <c r="AA242" s="424" t="s">
        <v>2849</v>
      </c>
      <c r="AB242" s="424" t="s">
        <v>3577</v>
      </c>
      <c r="AC242" s="424" t="s">
        <v>1953</v>
      </c>
      <c r="AD242" s="424" t="s">
        <v>2851</v>
      </c>
      <c r="AE242" s="424" t="s">
        <v>2901</v>
      </c>
      <c r="AF242" s="424"/>
      <c r="AG242" s="424"/>
      <c r="AH242" s="424"/>
    </row>
    <row r="243" spans="1:34" x14ac:dyDescent="0.25">
      <c r="A243" s="423" t="s">
        <v>3578</v>
      </c>
      <c r="B243" s="423" t="s">
        <v>3579</v>
      </c>
      <c r="C243" s="423" t="s">
        <v>1705</v>
      </c>
      <c r="D243" s="423" t="s">
        <v>3252</v>
      </c>
      <c r="E243" s="423" t="s">
        <v>2818</v>
      </c>
      <c r="F243" s="423">
        <v>24</v>
      </c>
      <c r="G243" s="423" t="s">
        <v>3542</v>
      </c>
      <c r="H243" s="423"/>
      <c r="J243" s="423"/>
      <c r="K243" s="423"/>
      <c r="L243" s="423"/>
      <c r="M243" s="423"/>
      <c r="Q243" s="423"/>
      <c r="R243" s="424" t="s">
        <v>3580</v>
      </c>
      <c r="S243" s="424" t="s">
        <v>2846</v>
      </c>
      <c r="T243" s="424" t="s">
        <v>3356</v>
      </c>
      <c r="U243" s="424">
        <v>0</v>
      </c>
      <c r="V243" s="424" t="s">
        <v>2824</v>
      </c>
      <c r="W243" s="424" t="s">
        <v>3055</v>
      </c>
      <c r="X243" s="424" t="s">
        <v>2825</v>
      </c>
      <c r="Y243" s="424" t="s">
        <v>2279</v>
      </c>
      <c r="Z243" s="424" t="s">
        <v>2889</v>
      </c>
      <c r="AA243" s="424" t="s">
        <v>2890</v>
      </c>
      <c r="AB243" s="424" t="s">
        <v>3581</v>
      </c>
      <c r="AC243" s="424" t="s">
        <v>1953</v>
      </c>
      <c r="AD243" s="424" t="s">
        <v>2851</v>
      </c>
      <c r="AE243" s="424" t="s">
        <v>3462</v>
      </c>
      <c r="AF243" s="424"/>
      <c r="AG243" s="424"/>
      <c r="AH243" s="424"/>
    </row>
    <row r="244" spans="1:34" x14ac:dyDescent="0.25">
      <c r="A244" s="423" t="s">
        <v>3578</v>
      </c>
      <c r="B244" s="423" t="s">
        <v>3582</v>
      </c>
      <c r="C244" s="423" t="s">
        <v>1705</v>
      </c>
      <c r="D244" s="423" t="s">
        <v>3252</v>
      </c>
      <c r="E244" s="423" t="s">
        <v>2818</v>
      </c>
      <c r="F244" s="423">
        <v>24</v>
      </c>
      <c r="G244" s="423" t="s">
        <v>3542</v>
      </c>
      <c r="H244" s="423"/>
      <c r="J244" s="423"/>
      <c r="K244" s="423"/>
      <c r="L244" s="423"/>
      <c r="M244" s="423"/>
      <c r="Q244" s="423"/>
      <c r="R244" s="424" t="s">
        <v>3583</v>
      </c>
      <c r="S244" s="424" t="s">
        <v>2846</v>
      </c>
      <c r="T244" s="424" t="s">
        <v>3356</v>
      </c>
      <c r="U244" s="424">
        <v>0</v>
      </c>
      <c r="V244" s="424" t="s">
        <v>2973</v>
      </c>
      <c r="W244" s="424" t="s">
        <v>2974</v>
      </c>
      <c r="X244" s="424" t="s">
        <v>2825</v>
      </c>
      <c r="Y244" s="424" t="s">
        <v>2279</v>
      </c>
      <c r="Z244" s="424" t="s">
        <v>2848</v>
      </c>
      <c r="AA244" s="424" t="s">
        <v>2849</v>
      </c>
      <c r="AB244" s="424" t="s">
        <v>3584</v>
      </c>
      <c r="AC244" s="424" t="s">
        <v>1953</v>
      </c>
      <c r="AD244" s="424" t="s">
        <v>2851</v>
      </c>
      <c r="AE244" s="424" t="s">
        <v>3418</v>
      </c>
      <c r="AF244" s="424"/>
      <c r="AG244" s="424"/>
      <c r="AH244" s="424"/>
    </row>
    <row r="245" spans="1:34" x14ac:dyDescent="0.25">
      <c r="A245" s="423" t="s">
        <v>3578</v>
      </c>
      <c r="B245" s="423" t="s">
        <v>3585</v>
      </c>
      <c r="C245" s="423" t="s">
        <v>1705</v>
      </c>
      <c r="D245" s="423" t="s">
        <v>3252</v>
      </c>
      <c r="E245" s="423" t="s">
        <v>2818</v>
      </c>
      <c r="F245" s="423">
        <v>24</v>
      </c>
      <c r="G245" s="423" t="s">
        <v>3542</v>
      </c>
      <c r="H245" s="423"/>
      <c r="J245" s="423"/>
      <c r="K245" s="423"/>
      <c r="L245" s="423"/>
      <c r="M245" s="423"/>
      <c r="Q245" s="423"/>
      <c r="R245" s="424" t="s">
        <v>3586</v>
      </c>
      <c r="S245" s="424" t="s">
        <v>2846</v>
      </c>
      <c r="T245" s="424" t="s">
        <v>3356</v>
      </c>
      <c r="U245" s="424">
        <v>0</v>
      </c>
      <c r="V245" s="424" t="s">
        <v>2973</v>
      </c>
      <c r="W245" s="424" t="s">
        <v>3054</v>
      </c>
      <c r="X245" s="424" t="s">
        <v>2825</v>
      </c>
      <c r="Y245" s="424" t="s">
        <v>2279</v>
      </c>
      <c r="Z245" s="424" t="s">
        <v>2848</v>
      </c>
      <c r="AA245" s="424" t="s">
        <v>2855</v>
      </c>
      <c r="AB245" s="424" t="s">
        <v>2900</v>
      </c>
      <c r="AC245" s="424" t="s">
        <v>1953</v>
      </c>
      <c r="AD245" s="424" t="s">
        <v>2851</v>
      </c>
      <c r="AE245" s="424" t="s">
        <v>2901</v>
      </c>
      <c r="AF245" s="424"/>
      <c r="AG245" s="424"/>
      <c r="AH245" s="424"/>
    </row>
    <row r="246" spans="1:34" x14ac:dyDescent="0.25">
      <c r="A246" s="423" t="s">
        <v>3578</v>
      </c>
      <c r="B246" s="423" t="s">
        <v>3587</v>
      </c>
      <c r="C246" s="423" t="s">
        <v>1705</v>
      </c>
      <c r="D246" s="423" t="s">
        <v>3252</v>
      </c>
      <c r="E246" s="423" t="s">
        <v>2818</v>
      </c>
      <c r="F246" s="423">
        <v>24</v>
      </c>
      <c r="G246" s="423" t="s">
        <v>3542</v>
      </c>
      <c r="H246" s="423"/>
      <c r="J246" s="423"/>
      <c r="K246" s="423"/>
      <c r="L246" s="423"/>
      <c r="M246" s="423"/>
      <c r="Q246" s="423"/>
      <c r="R246" s="424" t="s">
        <v>3587</v>
      </c>
      <c r="S246" s="424" t="s">
        <v>2846</v>
      </c>
      <c r="T246" s="424" t="s">
        <v>3356</v>
      </c>
      <c r="U246" s="424">
        <v>0</v>
      </c>
      <c r="V246" s="424" t="s">
        <v>2973</v>
      </c>
      <c r="W246" s="424" t="s">
        <v>3074</v>
      </c>
      <c r="X246" s="424" t="s">
        <v>2825</v>
      </c>
      <c r="Y246" s="424" t="s">
        <v>2279</v>
      </c>
      <c r="Z246" s="424" t="s">
        <v>2848</v>
      </c>
      <c r="AA246" s="424" t="s">
        <v>2849</v>
      </c>
      <c r="AB246" s="424" t="s">
        <v>3443</v>
      </c>
      <c r="AC246" s="424" t="s">
        <v>1953</v>
      </c>
      <c r="AD246" s="424" t="s">
        <v>2851</v>
      </c>
      <c r="AE246" s="424" t="s">
        <v>3444</v>
      </c>
      <c r="AF246" s="424"/>
      <c r="AG246" s="424"/>
      <c r="AH246" s="424"/>
    </row>
    <row r="247" spans="1:34" x14ac:dyDescent="0.25">
      <c r="A247" s="423" t="s">
        <v>3578</v>
      </c>
      <c r="B247" s="423" t="s">
        <v>3588</v>
      </c>
      <c r="C247" s="423" t="s">
        <v>1705</v>
      </c>
      <c r="D247" s="423" t="s">
        <v>3252</v>
      </c>
      <c r="E247" s="423" t="s">
        <v>2818</v>
      </c>
      <c r="F247" s="423">
        <v>32</v>
      </c>
      <c r="G247" s="423" t="s">
        <v>3542</v>
      </c>
      <c r="H247" s="423"/>
      <c r="J247" s="423"/>
      <c r="K247" s="423"/>
      <c r="L247" s="423"/>
      <c r="M247" s="423"/>
      <c r="Q247" s="423"/>
      <c r="R247" s="424" t="s">
        <v>3589</v>
      </c>
      <c r="S247" s="424" t="s">
        <v>2846</v>
      </c>
      <c r="T247" s="424" t="s">
        <v>3356</v>
      </c>
      <c r="U247" s="424">
        <v>0</v>
      </c>
      <c r="V247" s="424" t="s">
        <v>2973</v>
      </c>
      <c r="W247" s="424" t="s">
        <v>3055</v>
      </c>
      <c r="X247" s="424" t="s">
        <v>2825</v>
      </c>
      <c r="Y247" s="424" t="s">
        <v>2279</v>
      </c>
      <c r="Z247" s="424" t="s">
        <v>2848</v>
      </c>
      <c r="AA247" s="424" t="s">
        <v>2849</v>
      </c>
      <c r="AB247" s="424" t="s">
        <v>3590</v>
      </c>
      <c r="AC247" s="424" t="s">
        <v>1953</v>
      </c>
      <c r="AD247" s="424" t="s">
        <v>2851</v>
      </c>
      <c r="AE247" s="424" t="s">
        <v>2901</v>
      </c>
      <c r="AF247" s="424"/>
      <c r="AG247" s="424"/>
      <c r="AH247" s="424"/>
    </row>
    <row r="248" spans="1:34" x14ac:dyDescent="0.25">
      <c r="A248" s="423" t="s">
        <v>3578</v>
      </c>
      <c r="B248" s="423" t="s">
        <v>3591</v>
      </c>
      <c r="C248" s="423" t="s">
        <v>1705</v>
      </c>
      <c r="D248" s="423" t="s">
        <v>3252</v>
      </c>
      <c r="E248" s="423" t="s">
        <v>2818</v>
      </c>
      <c r="F248" s="423">
        <v>16</v>
      </c>
      <c r="G248" s="423" t="s">
        <v>3592</v>
      </c>
      <c r="H248" s="423"/>
      <c r="J248" s="423"/>
      <c r="K248" s="423"/>
      <c r="L248" s="423"/>
      <c r="M248" s="423"/>
      <c r="Q248" s="423"/>
      <c r="R248" s="424" t="s">
        <v>3593</v>
      </c>
      <c r="S248" s="424" t="s">
        <v>2846</v>
      </c>
      <c r="T248" s="424" t="s">
        <v>2847</v>
      </c>
      <c r="U248" s="424">
        <v>0</v>
      </c>
      <c r="V248" s="424" t="s">
        <v>2973</v>
      </c>
      <c r="W248" s="424" t="s">
        <v>3054</v>
      </c>
      <c r="X248" s="424" t="s">
        <v>2825</v>
      </c>
      <c r="Y248" s="424" t="s">
        <v>2279</v>
      </c>
      <c r="Z248" s="424" t="s">
        <v>2889</v>
      </c>
      <c r="AA248" s="424" t="s">
        <v>3311</v>
      </c>
      <c r="AB248" s="424" t="s">
        <v>3594</v>
      </c>
      <c r="AC248" s="424" t="s">
        <v>1953</v>
      </c>
      <c r="AD248" s="424" t="s">
        <v>2851</v>
      </c>
      <c r="AE248" s="424" t="s">
        <v>3595</v>
      </c>
      <c r="AF248" s="424"/>
      <c r="AG248" s="424"/>
      <c r="AH248" s="424"/>
    </row>
    <row r="249" spans="1:34" x14ac:dyDescent="0.25">
      <c r="A249" s="423" t="s">
        <v>3578</v>
      </c>
      <c r="B249" s="423" t="s">
        <v>3596</v>
      </c>
      <c r="C249" s="423" t="s">
        <v>1705</v>
      </c>
      <c r="D249" s="423" t="s">
        <v>3252</v>
      </c>
      <c r="E249" s="423" t="s">
        <v>2818</v>
      </c>
      <c r="F249" s="423">
        <v>16</v>
      </c>
      <c r="G249" s="423" t="s">
        <v>3597</v>
      </c>
      <c r="H249" s="423"/>
      <c r="J249" s="423"/>
      <c r="K249" s="423"/>
      <c r="L249" s="423"/>
      <c r="M249" s="423"/>
      <c r="Q249" s="423"/>
      <c r="R249" s="424" t="s">
        <v>3598</v>
      </c>
      <c r="S249" s="424" t="s">
        <v>2846</v>
      </c>
      <c r="T249" s="424" t="s">
        <v>2847</v>
      </c>
      <c r="U249" s="424">
        <v>0</v>
      </c>
      <c r="V249" s="424" t="s">
        <v>3269</v>
      </c>
      <c r="W249" s="424" t="s">
        <v>3074</v>
      </c>
      <c r="X249" s="424" t="s">
        <v>2825</v>
      </c>
      <c r="Y249" s="424" t="s">
        <v>2279</v>
      </c>
      <c r="Z249" s="424" t="s">
        <v>2848</v>
      </c>
      <c r="AA249" s="424" t="s">
        <v>2849</v>
      </c>
      <c r="AB249" s="424" t="s">
        <v>3599</v>
      </c>
      <c r="AC249" s="424" t="s">
        <v>1953</v>
      </c>
      <c r="AD249" s="424" t="s">
        <v>2851</v>
      </c>
      <c r="AE249" s="424" t="s">
        <v>2861</v>
      </c>
      <c r="AF249" s="424"/>
      <c r="AG249" s="424"/>
      <c r="AH249" s="424"/>
    </row>
    <row r="250" spans="1:34" x14ac:dyDescent="0.25">
      <c r="A250" s="423" t="s">
        <v>3578</v>
      </c>
      <c r="B250" s="423" t="s">
        <v>3600</v>
      </c>
      <c r="C250" s="423" t="s">
        <v>1705</v>
      </c>
      <c r="D250" s="423" t="s">
        <v>3252</v>
      </c>
      <c r="E250" s="423" t="s">
        <v>2818</v>
      </c>
      <c r="F250" s="423">
        <v>16</v>
      </c>
      <c r="G250" s="423" t="s">
        <v>3597</v>
      </c>
      <c r="H250" s="423"/>
      <c r="J250" s="423"/>
      <c r="K250" s="423"/>
      <c r="L250" s="423"/>
      <c r="M250" s="423"/>
      <c r="Q250" s="423"/>
      <c r="R250" s="424" t="s">
        <v>3601</v>
      </c>
      <c r="S250" s="424" t="s">
        <v>2846</v>
      </c>
      <c r="T250" s="424" t="s">
        <v>2847</v>
      </c>
      <c r="U250" s="424">
        <v>0</v>
      </c>
      <c r="V250" s="424" t="s">
        <v>3269</v>
      </c>
      <c r="W250" s="424" t="s">
        <v>3074</v>
      </c>
      <c r="X250" s="424" t="s">
        <v>2825</v>
      </c>
      <c r="Y250" s="424" t="s">
        <v>2279</v>
      </c>
      <c r="Z250" s="424" t="s">
        <v>2848</v>
      </c>
      <c r="AA250" s="424" t="s">
        <v>2849</v>
      </c>
      <c r="AB250" s="424" t="s">
        <v>3443</v>
      </c>
      <c r="AC250" s="424" t="s">
        <v>1953</v>
      </c>
      <c r="AD250" s="424" t="s">
        <v>2851</v>
      </c>
      <c r="AE250" s="424" t="s">
        <v>3444</v>
      </c>
      <c r="AF250" s="424"/>
      <c r="AG250" s="424"/>
      <c r="AH250" s="424"/>
    </row>
    <row r="251" spans="1:34" x14ac:dyDescent="0.25">
      <c r="A251" s="423" t="s">
        <v>3578</v>
      </c>
      <c r="B251" s="423" t="s">
        <v>3602</v>
      </c>
      <c r="C251" s="423" t="s">
        <v>1705</v>
      </c>
      <c r="D251" s="423" t="s">
        <v>3252</v>
      </c>
      <c r="E251" s="423" t="s">
        <v>2818</v>
      </c>
      <c r="F251" s="423">
        <v>16</v>
      </c>
      <c r="G251" s="423" t="s">
        <v>3597</v>
      </c>
      <c r="H251" s="423"/>
      <c r="J251" s="423"/>
      <c r="K251" s="423"/>
      <c r="L251" s="423"/>
      <c r="M251" s="423"/>
      <c r="Q251" s="423"/>
      <c r="R251" s="424" t="s">
        <v>3603</v>
      </c>
      <c r="S251" s="424" t="s">
        <v>2846</v>
      </c>
      <c r="T251" s="424" t="s">
        <v>2847</v>
      </c>
      <c r="U251" s="424">
        <v>0</v>
      </c>
      <c r="V251" s="424" t="s">
        <v>3269</v>
      </c>
      <c r="W251" s="424" t="s">
        <v>3074</v>
      </c>
      <c r="X251" s="424" t="s">
        <v>2825</v>
      </c>
      <c r="Y251" s="424" t="s">
        <v>2279</v>
      </c>
      <c r="Z251" s="424" t="s">
        <v>2848</v>
      </c>
      <c r="AA251" s="424" t="s">
        <v>2849</v>
      </c>
      <c r="AB251" s="424" t="s">
        <v>3458</v>
      </c>
      <c r="AC251" s="424" t="s">
        <v>1953</v>
      </c>
      <c r="AD251" s="424" t="s">
        <v>2851</v>
      </c>
      <c r="AE251" s="424" t="s">
        <v>2861</v>
      </c>
      <c r="AF251" s="424"/>
      <c r="AG251" s="424"/>
      <c r="AH251" s="424"/>
    </row>
    <row r="252" spans="1:34" x14ac:dyDescent="0.25">
      <c r="A252" s="423" t="s">
        <v>3578</v>
      </c>
      <c r="B252" s="423" t="s">
        <v>3604</v>
      </c>
      <c r="C252" s="423" t="s">
        <v>1705</v>
      </c>
      <c r="D252" s="423" t="s">
        <v>3252</v>
      </c>
      <c r="E252" s="423" t="s">
        <v>2818</v>
      </c>
      <c r="F252" s="423">
        <v>16</v>
      </c>
      <c r="G252" s="423" t="s">
        <v>3597</v>
      </c>
      <c r="H252" s="423"/>
      <c r="J252" s="423"/>
      <c r="K252" s="423"/>
      <c r="L252" s="423"/>
      <c r="M252" s="423"/>
      <c r="Q252" s="423"/>
      <c r="R252" s="424" t="s">
        <v>3605</v>
      </c>
      <c r="S252" s="424" t="s">
        <v>2846</v>
      </c>
      <c r="T252" s="424" t="s">
        <v>2847</v>
      </c>
      <c r="U252" s="424">
        <v>0</v>
      </c>
      <c r="V252" s="424" t="s">
        <v>3269</v>
      </c>
      <c r="W252" s="424" t="s">
        <v>3074</v>
      </c>
      <c r="X252" s="424" t="s">
        <v>2825</v>
      </c>
      <c r="Y252" s="424" t="s">
        <v>2279</v>
      </c>
      <c r="Z252" s="424" t="s">
        <v>2848</v>
      </c>
      <c r="AA252" s="424" t="s">
        <v>2849</v>
      </c>
      <c r="AB252" s="424" t="s">
        <v>3429</v>
      </c>
      <c r="AC252" s="424" t="s">
        <v>1953</v>
      </c>
      <c r="AD252" s="424" t="s">
        <v>2851</v>
      </c>
      <c r="AE252" s="424" t="s">
        <v>2861</v>
      </c>
      <c r="AF252" s="424"/>
      <c r="AG252" s="424"/>
      <c r="AH252" s="424"/>
    </row>
    <row r="253" spans="1:34" x14ac:dyDescent="0.25">
      <c r="A253" s="423" t="s">
        <v>3578</v>
      </c>
      <c r="B253" s="423" t="s">
        <v>3606</v>
      </c>
      <c r="C253" s="423" t="s">
        <v>1705</v>
      </c>
      <c r="D253" s="423" t="s">
        <v>3252</v>
      </c>
      <c r="E253" s="423" t="s">
        <v>2818</v>
      </c>
      <c r="F253" s="423">
        <v>16</v>
      </c>
      <c r="G253" s="423" t="s">
        <v>3597</v>
      </c>
      <c r="H253" s="423"/>
      <c r="J253" s="423"/>
      <c r="K253" s="423"/>
      <c r="L253" s="423"/>
      <c r="M253" s="423"/>
      <c r="Q253" s="423"/>
      <c r="R253" s="424" t="s">
        <v>3607</v>
      </c>
      <c r="S253" s="424" t="s">
        <v>2846</v>
      </c>
      <c r="T253" s="424" t="s">
        <v>2847</v>
      </c>
      <c r="U253" s="424">
        <v>0</v>
      </c>
      <c r="V253" s="424" t="s">
        <v>3269</v>
      </c>
      <c r="W253" s="424" t="s">
        <v>3074</v>
      </c>
      <c r="X253" s="424" t="s">
        <v>2825</v>
      </c>
      <c r="Y253" s="424" t="s">
        <v>2279</v>
      </c>
      <c r="Z253" s="424" t="s">
        <v>2848</v>
      </c>
      <c r="AA253" s="424" t="s">
        <v>2849</v>
      </c>
      <c r="AB253" s="424" t="s">
        <v>3608</v>
      </c>
      <c r="AC253" s="424" t="s">
        <v>1953</v>
      </c>
      <c r="AD253" s="424" t="s">
        <v>2851</v>
      </c>
      <c r="AE253" s="424" t="s">
        <v>3158</v>
      </c>
      <c r="AF253" s="424"/>
      <c r="AG253" s="424"/>
      <c r="AH253" s="424"/>
    </row>
    <row r="254" spans="1:34" x14ac:dyDescent="0.25">
      <c r="A254" s="423" t="s">
        <v>3578</v>
      </c>
      <c r="B254" s="423" t="s">
        <v>3609</v>
      </c>
      <c r="C254" s="423" t="s">
        <v>1705</v>
      </c>
      <c r="D254" s="423" t="s">
        <v>3252</v>
      </c>
      <c r="E254" s="423" t="s">
        <v>2818</v>
      </c>
      <c r="F254" s="423">
        <v>16</v>
      </c>
      <c r="G254" s="423" t="s">
        <v>3597</v>
      </c>
      <c r="H254" s="423"/>
      <c r="J254" s="423"/>
      <c r="K254" s="423"/>
      <c r="L254" s="423"/>
      <c r="M254" s="423"/>
      <c r="Q254" s="423"/>
      <c r="R254" s="424" t="s">
        <v>3610</v>
      </c>
      <c r="S254" s="424" t="s">
        <v>2846</v>
      </c>
      <c r="T254" s="424" t="s">
        <v>2847</v>
      </c>
      <c r="U254" s="424">
        <v>0</v>
      </c>
      <c r="V254" s="424" t="s">
        <v>3269</v>
      </c>
      <c r="W254" s="424" t="s">
        <v>3074</v>
      </c>
      <c r="X254" s="424" t="s">
        <v>2825</v>
      </c>
      <c r="Y254" s="424" t="s">
        <v>2279</v>
      </c>
      <c r="Z254" s="424" t="s">
        <v>2848</v>
      </c>
      <c r="AA254" s="424" t="s">
        <v>2849</v>
      </c>
      <c r="AB254" s="424" t="s">
        <v>3455</v>
      </c>
      <c r="AC254" s="424" t="s">
        <v>1953</v>
      </c>
      <c r="AD254" s="424" t="s">
        <v>2851</v>
      </c>
      <c r="AE254" s="424" t="s">
        <v>3444</v>
      </c>
      <c r="AF254" s="424"/>
      <c r="AG254" s="424"/>
      <c r="AH254" s="424"/>
    </row>
    <row r="255" spans="1:34" x14ac:dyDescent="0.25">
      <c r="A255" s="423" t="s">
        <v>3578</v>
      </c>
      <c r="B255" s="423" t="s">
        <v>3611</v>
      </c>
      <c r="C255" s="423" t="s">
        <v>1705</v>
      </c>
      <c r="D255" s="423" t="s">
        <v>3252</v>
      </c>
      <c r="E255" s="423" t="s">
        <v>2818</v>
      </c>
      <c r="F255" s="423">
        <v>16</v>
      </c>
      <c r="G255" s="423" t="s">
        <v>3597</v>
      </c>
      <c r="H255" s="423"/>
      <c r="J255" s="423"/>
      <c r="K255" s="423"/>
      <c r="L255" s="423"/>
      <c r="M255" s="423"/>
      <c r="Q255" s="423"/>
      <c r="R255" s="424" t="s">
        <v>3612</v>
      </c>
      <c r="S255" s="424" t="s">
        <v>2846</v>
      </c>
      <c r="T255" s="424" t="s">
        <v>2847</v>
      </c>
      <c r="U255" s="424">
        <v>0</v>
      </c>
      <c r="V255" s="424" t="s">
        <v>3269</v>
      </c>
      <c r="W255" s="424" t="s">
        <v>3074</v>
      </c>
      <c r="X255" s="424" t="s">
        <v>2825</v>
      </c>
      <c r="Y255" s="424" t="s">
        <v>2279</v>
      </c>
      <c r="Z255" s="424" t="s">
        <v>2848</v>
      </c>
      <c r="AA255" s="424" t="s">
        <v>2849</v>
      </c>
      <c r="AB255" s="424" t="s">
        <v>3613</v>
      </c>
      <c r="AC255" s="424" t="s">
        <v>1953</v>
      </c>
      <c r="AD255" s="424" t="s">
        <v>2851</v>
      </c>
      <c r="AE255" s="424" t="s">
        <v>3440</v>
      </c>
      <c r="AF255" s="424"/>
      <c r="AG255" s="424"/>
      <c r="AH255" s="424"/>
    </row>
    <row r="256" spans="1:34" x14ac:dyDescent="0.25">
      <c r="A256" s="423" t="s">
        <v>3578</v>
      </c>
      <c r="B256" s="423" t="s">
        <v>3614</v>
      </c>
      <c r="C256" s="423" t="s">
        <v>1705</v>
      </c>
      <c r="D256" s="423" t="s">
        <v>3252</v>
      </c>
      <c r="E256" s="423" t="s">
        <v>2818</v>
      </c>
      <c r="F256" s="423">
        <v>16</v>
      </c>
      <c r="G256" s="423" t="s">
        <v>3597</v>
      </c>
      <c r="H256" s="423"/>
      <c r="J256" s="423"/>
      <c r="K256" s="423"/>
      <c r="L256" s="423"/>
      <c r="M256" s="423"/>
      <c r="Q256" s="423"/>
      <c r="R256" s="424" t="s">
        <v>3615</v>
      </c>
      <c r="S256" s="424" t="s">
        <v>2846</v>
      </c>
      <c r="T256" s="424" t="s">
        <v>2847</v>
      </c>
      <c r="U256" s="424">
        <v>0</v>
      </c>
      <c r="V256" s="424" t="s">
        <v>3269</v>
      </c>
      <c r="W256" s="424" t="s">
        <v>3074</v>
      </c>
      <c r="X256" s="424" t="s">
        <v>2825</v>
      </c>
      <c r="Y256" s="424" t="s">
        <v>2279</v>
      </c>
      <c r="Z256" s="424" t="s">
        <v>2848</v>
      </c>
      <c r="AA256" s="424" t="s">
        <v>2849</v>
      </c>
      <c r="AB256" s="424" t="s">
        <v>3616</v>
      </c>
      <c r="AC256" s="424" t="s">
        <v>1953</v>
      </c>
      <c r="AD256" s="424" t="s">
        <v>2851</v>
      </c>
      <c r="AE256" s="424" t="s">
        <v>3444</v>
      </c>
      <c r="AF256" s="424"/>
      <c r="AG256" s="424"/>
      <c r="AH256" s="424"/>
    </row>
    <row r="257" spans="1:34" x14ac:dyDescent="0.25">
      <c r="A257" s="423" t="s">
        <v>3578</v>
      </c>
      <c r="B257" s="423" t="s">
        <v>3617</v>
      </c>
      <c r="C257" s="423" t="s">
        <v>1705</v>
      </c>
      <c r="D257" s="423" t="s">
        <v>3252</v>
      </c>
      <c r="E257" s="423" t="s">
        <v>2818</v>
      </c>
      <c r="F257" s="423">
        <v>16</v>
      </c>
      <c r="G257" s="423" t="s">
        <v>3597</v>
      </c>
      <c r="H257" s="423"/>
      <c r="J257" s="423"/>
      <c r="K257" s="423"/>
      <c r="L257" s="423"/>
      <c r="M257" s="423"/>
      <c r="Q257" s="423"/>
      <c r="R257" s="424" t="s">
        <v>3618</v>
      </c>
      <c r="S257" s="424" t="s">
        <v>2846</v>
      </c>
      <c r="T257" s="424" t="s">
        <v>2847</v>
      </c>
      <c r="U257" s="424">
        <v>0</v>
      </c>
      <c r="V257" s="424" t="s">
        <v>3269</v>
      </c>
      <c r="W257" s="424" t="s">
        <v>3074</v>
      </c>
      <c r="X257" s="424" t="s">
        <v>2825</v>
      </c>
      <c r="Y257" s="424" t="s">
        <v>2279</v>
      </c>
      <c r="Z257" s="424" t="s">
        <v>2848</v>
      </c>
      <c r="AA257" s="424" t="s">
        <v>2849</v>
      </c>
      <c r="AB257" s="424" t="s">
        <v>3439</v>
      </c>
      <c r="AC257" s="424" t="s">
        <v>1953</v>
      </c>
      <c r="AD257" s="424" t="s">
        <v>2851</v>
      </c>
      <c r="AE257" s="424" t="s">
        <v>3440</v>
      </c>
      <c r="AF257" s="424"/>
      <c r="AG257" s="424"/>
      <c r="AH257" s="424"/>
    </row>
    <row r="258" spans="1:34" x14ac:dyDescent="0.25">
      <c r="A258" s="423" t="s">
        <v>3578</v>
      </c>
      <c r="B258" s="423" t="s">
        <v>3619</v>
      </c>
      <c r="C258" s="423" t="s">
        <v>1705</v>
      </c>
      <c r="D258" s="423" t="s">
        <v>3252</v>
      </c>
      <c r="E258" s="423" t="s">
        <v>2818</v>
      </c>
      <c r="F258" s="423">
        <v>16</v>
      </c>
      <c r="G258" s="423" t="s">
        <v>3597</v>
      </c>
      <c r="H258" s="423"/>
      <c r="J258" s="423"/>
      <c r="K258" s="423"/>
      <c r="L258" s="423"/>
      <c r="M258" s="423"/>
      <c r="Q258" s="423"/>
      <c r="R258" s="424" t="s">
        <v>3620</v>
      </c>
      <c r="S258" s="424" t="s">
        <v>2846</v>
      </c>
      <c r="T258" s="424" t="s">
        <v>2847</v>
      </c>
      <c r="U258" s="424">
        <v>0</v>
      </c>
      <c r="V258" s="424" t="s">
        <v>3269</v>
      </c>
      <c r="W258" s="424" t="s">
        <v>3074</v>
      </c>
      <c r="X258" s="424" t="s">
        <v>2825</v>
      </c>
      <c r="Y258" s="424" t="s">
        <v>2279</v>
      </c>
      <c r="Z258" s="424" t="s">
        <v>2848</v>
      </c>
      <c r="AA258" s="424" t="s">
        <v>2849</v>
      </c>
      <c r="AB258" s="424" t="s">
        <v>3435</v>
      </c>
      <c r="AC258" s="424" t="s">
        <v>1953</v>
      </c>
      <c r="AD258" s="424" t="s">
        <v>2851</v>
      </c>
      <c r="AE258" s="424" t="s">
        <v>3436</v>
      </c>
      <c r="AF258" s="424"/>
      <c r="AG258" s="424"/>
      <c r="AH258" s="424"/>
    </row>
    <row r="259" spans="1:34" x14ac:dyDescent="0.25">
      <c r="A259" s="423" t="s">
        <v>3578</v>
      </c>
      <c r="B259" s="423" t="s">
        <v>3621</v>
      </c>
      <c r="C259" s="423" t="s">
        <v>1705</v>
      </c>
      <c r="D259" s="423" t="s">
        <v>3252</v>
      </c>
      <c r="E259" s="423" t="s">
        <v>2818</v>
      </c>
      <c r="F259" s="423">
        <v>16</v>
      </c>
      <c r="G259" s="423" t="s">
        <v>3597</v>
      </c>
      <c r="H259" s="423"/>
      <c r="J259" s="423"/>
      <c r="K259" s="423"/>
      <c r="L259" s="423"/>
      <c r="M259" s="423"/>
      <c r="Q259" s="423"/>
      <c r="R259" s="424" t="s">
        <v>3622</v>
      </c>
      <c r="S259" s="424" t="s">
        <v>2846</v>
      </c>
      <c r="T259" s="424" t="s">
        <v>2847</v>
      </c>
      <c r="U259" s="424">
        <v>0</v>
      </c>
      <c r="V259" s="424" t="s">
        <v>3269</v>
      </c>
      <c r="W259" s="424" t="s">
        <v>3074</v>
      </c>
      <c r="X259" s="424" t="s">
        <v>2825</v>
      </c>
      <c r="Y259" s="424" t="s">
        <v>2279</v>
      </c>
      <c r="Z259" s="424" t="s">
        <v>2848</v>
      </c>
      <c r="AA259" s="424" t="s">
        <v>2849</v>
      </c>
      <c r="AB259" s="424" t="s">
        <v>3429</v>
      </c>
      <c r="AC259" s="424" t="s">
        <v>1953</v>
      </c>
      <c r="AD259" s="424" t="s">
        <v>2851</v>
      </c>
      <c r="AE259" s="424" t="s">
        <v>2861</v>
      </c>
      <c r="AF259" s="424"/>
      <c r="AG259" s="424"/>
      <c r="AH259" s="424"/>
    </row>
    <row r="260" spans="1:34" x14ac:dyDescent="0.25">
      <c r="A260" s="423" t="s">
        <v>3578</v>
      </c>
      <c r="B260" s="423" t="s">
        <v>3623</v>
      </c>
      <c r="C260" s="423" t="s">
        <v>1705</v>
      </c>
      <c r="D260" s="423" t="s">
        <v>3252</v>
      </c>
      <c r="E260" s="423" t="s">
        <v>2818</v>
      </c>
      <c r="F260" s="423">
        <v>16</v>
      </c>
      <c r="G260" s="423" t="s">
        <v>3597</v>
      </c>
      <c r="H260" s="423"/>
      <c r="J260" s="423"/>
      <c r="K260" s="423"/>
      <c r="L260" s="423"/>
      <c r="M260" s="423"/>
      <c r="Q260" s="423"/>
      <c r="R260" s="424" t="s">
        <v>3624</v>
      </c>
      <c r="S260" s="424" t="s">
        <v>2846</v>
      </c>
      <c r="T260" s="424" t="s">
        <v>2847</v>
      </c>
      <c r="U260" s="424">
        <v>0</v>
      </c>
      <c r="V260" s="424" t="s">
        <v>3269</v>
      </c>
      <c r="W260" s="424" t="s">
        <v>3074</v>
      </c>
      <c r="X260" s="424" t="s">
        <v>2825</v>
      </c>
      <c r="Y260" s="424" t="s">
        <v>2279</v>
      </c>
      <c r="Z260" s="424" t="s">
        <v>2848</v>
      </c>
      <c r="AA260" s="424" t="s">
        <v>2849</v>
      </c>
      <c r="AB260" s="424" t="s">
        <v>3613</v>
      </c>
      <c r="AC260" s="424" t="s">
        <v>1953</v>
      </c>
      <c r="AD260" s="424" t="s">
        <v>2851</v>
      </c>
      <c r="AE260" s="424" t="s">
        <v>3440</v>
      </c>
      <c r="AF260" s="424"/>
      <c r="AG260" s="424"/>
      <c r="AH260" s="424"/>
    </row>
    <row r="261" spans="1:34" x14ac:dyDescent="0.25">
      <c r="A261" s="423" t="s">
        <v>3578</v>
      </c>
      <c r="B261" s="423" t="s">
        <v>3625</v>
      </c>
      <c r="C261" s="423" t="s">
        <v>1705</v>
      </c>
      <c r="D261" s="423" t="s">
        <v>3252</v>
      </c>
      <c r="E261" s="423" t="s">
        <v>2818</v>
      </c>
      <c r="F261" s="423">
        <v>48</v>
      </c>
      <c r="G261" s="423" t="s">
        <v>3626</v>
      </c>
      <c r="H261" s="423"/>
      <c r="J261" s="423"/>
      <c r="K261" s="423"/>
      <c r="L261" s="423"/>
      <c r="M261" s="423"/>
      <c r="Q261" s="423"/>
      <c r="R261" s="424" t="s">
        <v>3627</v>
      </c>
      <c r="S261" s="424" t="s">
        <v>2820</v>
      </c>
      <c r="T261" s="424" t="s">
        <v>3268</v>
      </c>
      <c r="U261" s="424">
        <v>0</v>
      </c>
      <c r="V261" s="424" t="s">
        <v>2824</v>
      </c>
      <c r="W261" s="424" t="s">
        <v>2824</v>
      </c>
      <c r="X261" s="424" t="s">
        <v>2825</v>
      </c>
      <c r="Y261" s="424" t="s">
        <v>2279</v>
      </c>
      <c r="Z261" s="424" t="s">
        <v>3260</v>
      </c>
      <c r="AA261" s="424" t="s">
        <v>3327</v>
      </c>
      <c r="AB261" s="424" t="s">
        <v>3628</v>
      </c>
      <c r="AC261" s="424" t="s">
        <v>1953</v>
      </c>
      <c r="AD261" s="424" t="s">
        <v>3329</v>
      </c>
      <c r="AE261" s="424" t="s">
        <v>3365</v>
      </c>
      <c r="AF261" s="424"/>
      <c r="AG261" s="424"/>
      <c r="AH261" s="424"/>
    </row>
    <row r="262" spans="1:34" x14ac:dyDescent="0.25">
      <c r="A262" s="423" t="s">
        <v>3578</v>
      </c>
      <c r="B262" s="423" t="s">
        <v>3629</v>
      </c>
      <c r="C262" s="423" t="s">
        <v>1705</v>
      </c>
      <c r="D262" s="423" t="s">
        <v>3252</v>
      </c>
      <c r="E262" s="423" t="s">
        <v>2818</v>
      </c>
      <c r="F262" s="423">
        <v>48</v>
      </c>
      <c r="G262" s="423" t="s">
        <v>3626</v>
      </c>
      <c r="H262" s="423"/>
      <c r="J262" s="423"/>
      <c r="K262" s="423"/>
      <c r="L262" s="423"/>
      <c r="M262" s="423"/>
      <c r="Q262" s="423"/>
      <c r="R262" s="424" t="s">
        <v>3630</v>
      </c>
      <c r="S262" s="424" t="s">
        <v>2820</v>
      </c>
      <c r="T262" s="424" t="s">
        <v>3268</v>
      </c>
      <c r="U262" s="424">
        <v>0</v>
      </c>
      <c r="V262" s="424" t="s">
        <v>2824</v>
      </c>
      <c r="W262" s="424" t="s">
        <v>2824</v>
      </c>
      <c r="X262" s="424" t="s">
        <v>2825</v>
      </c>
      <c r="Y262" s="424" t="s">
        <v>2279</v>
      </c>
      <c r="Z262" s="424" t="s">
        <v>3260</v>
      </c>
      <c r="AA262" s="424" t="s">
        <v>3327</v>
      </c>
      <c r="AB262" s="424" t="s">
        <v>3631</v>
      </c>
      <c r="AC262" s="424" t="s">
        <v>1953</v>
      </c>
      <c r="AD262" s="424" t="s">
        <v>3329</v>
      </c>
      <c r="AE262" s="424" t="s">
        <v>3632</v>
      </c>
      <c r="AF262" s="424"/>
      <c r="AG262" s="424"/>
      <c r="AH262" s="424"/>
    </row>
    <row r="263" spans="1:34" x14ac:dyDescent="0.25">
      <c r="A263" s="423" t="s">
        <v>3578</v>
      </c>
      <c r="B263" s="423" t="s">
        <v>3633</v>
      </c>
      <c r="C263" s="423" t="s">
        <v>1705</v>
      </c>
      <c r="D263" s="423" t="s">
        <v>3252</v>
      </c>
      <c r="E263" s="423" t="s">
        <v>2818</v>
      </c>
      <c r="F263" s="423">
        <v>48</v>
      </c>
      <c r="G263" s="423" t="s">
        <v>3634</v>
      </c>
      <c r="H263" s="423"/>
      <c r="J263" s="423"/>
      <c r="K263" s="423"/>
      <c r="L263" s="423"/>
      <c r="M263" s="423"/>
      <c r="Q263" s="423"/>
      <c r="R263" s="424" t="s">
        <v>3635</v>
      </c>
      <c r="S263" s="424" t="s">
        <v>2820</v>
      </c>
      <c r="T263" s="424" t="s">
        <v>3268</v>
      </c>
      <c r="U263" s="424">
        <v>0</v>
      </c>
      <c r="V263" s="424" t="s">
        <v>2823</v>
      </c>
      <c r="W263" s="424" t="s">
        <v>2824</v>
      </c>
      <c r="X263" s="424" t="s">
        <v>2825</v>
      </c>
      <c r="Y263" s="424" t="s">
        <v>2279</v>
      </c>
      <c r="Z263" s="424" t="s">
        <v>2826</v>
      </c>
      <c r="AA263" s="424" t="s">
        <v>3636</v>
      </c>
      <c r="AB263" s="424" t="s">
        <v>3637</v>
      </c>
      <c r="AC263" s="424" t="s">
        <v>1953</v>
      </c>
      <c r="AD263" s="424" t="s">
        <v>2829</v>
      </c>
      <c r="AE263" s="424" t="s">
        <v>3638</v>
      </c>
      <c r="AF263" s="424"/>
      <c r="AG263" s="424"/>
      <c r="AH263" s="424"/>
    </row>
    <row r="264" spans="1:34" x14ac:dyDescent="0.25">
      <c r="A264" s="423" t="s">
        <v>3578</v>
      </c>
      <c r="B264" s="423" t="s">
        <v>3639</v>
      </c>
      <c r="C264" s="423" t="s">
        <v>1705</v>
      </c>
      <c r="D264" s="423" t="s">
        <v>3252</v>
      </c>
      <c r="E264" s="423" t="s">
        <v>2818</v>
      </c>
      <c r="F264" s="423">
        <v>48</v>
      </c>
      <c r="G264" s="423" t="s">
        <v>3640</v>
      </c>
      <c r="H264" s="423"/>
      <c r="J264" s="423"/>
      <c r="K264" s="423"/>
      <c r="L264" s="423"/>
      <c r="M264" s="423"/>
      <c r="Q264" s="423"/>
      <c r="R264" s="424" t="s">
        <v>3641</v>
      </c>
      <c r="S264" s="424" t="s">
        <v>2820</v>
      </c>
      <c r="T264" s="424" t="s">
        <v>3268</v>
      </c>
      <c r="U264" s="424">
        <v>0</v>
      </c>
      <c r="V264" s="424" t="s">
        <v>2823</v>
      </c>
      <c r="W264" s="424" t="s">
        <v>2824</v>
      </c>
      <c r="X264" s="424" t="s">
        <v>2825</v>
      </c>
      <c r="Y264" s="424" t="s">
        <v>2279</v>
      </c>
      <c r="Z264" s="424" t="s">
        <v>2826</v>
      </c>
      <c r="AA264" s="424" t="s">
        <v>3636</v>
      </c>
      <c r="AB264" s="424" t="s">
        <v>3642</v>
      </c>
      <c r="AC264" s="424" t="s">
        <v>1953</v>
      </c>
      <c r="AD264" s="424" t="s">
        <v>2829</v>
      </c>
      <c r="AE264" s="424" t="s">
        <v>3638</v>
      </c>
      <c r="AF264" s="424"/>
      <c r="AG264" s="424"/>
      <c r="AH264" s="424"/>
    </row>
    <row r="265" spans="1:34" x14ac:dyDescent="0.25">
      <c r="A265" s="423" t="s">
        <v>3643</v>
      </c>
      <c r="B265" s="423" t="s">
        <v>3644</v>
      </c>
      <c r="C265" s="423" t="s">
        <v>1705</v>
      </c>
      <c r="D265" s="423" t="s">
        <v>3252</v>
      </c>
      <c r="E265" s="423" t="s">
        <v>2818</v>
      </c>
      <c r="F265" s="423">
        <v>24</v>
      </c>
      <c r="G265" s="423" t="s">
        <v>3645</v>
      </c>
      <c r="H265" s="423"/>
      <c r="J265" s="423"/>
      <c r="K265" s="423"/>
      <c r="L265" s="423"/>
      <c r="M265" s="423"/>
      <c r="Q265" s="423"/>
      <c r="R265" s="424" t="s">
        <v>3646</v>
      </c>
      <c r="S265" s="424" t="s">
        <v>2820</v>
      </c>
      <c r="T265" s="424" t="s">
        <v>3268</v>
      </c>
      <c r="U265" s="424">
        <v>0</v>
      </c>
      <c r="V265" s="424" t="s">
        <v>3283</v>
      </c>
      <c r="W265" s="424" t="s">
        <v>3283</v>
      </c>
      <c r="X265" s="424" t="s">
        <v>2825</v>
      </c>
      <c r="Y265" s="424" t="s">
        <v>2279</v>
      </c>
      <c r="Z265" s="424" t="s">
        <v>3260</v>
      </c>
      <c r="AA265" s="424" t="s">
        <v>3647</v>
      </c>
      <c r="AB265" s="424" t="s">
        <v>3648</v>
      </c>
      <c r="AC265" s="424" t="s">
        <v>3649</v>
      </c>
      <c r="AD265" s="424" t="s">
        <v>3650</v>
      </c>
      <c r="AE265" s="424" t="s">
        <v>3651</v>
      </c>
      <c r="AF265" s="424"/>
      <c r="AG265" s="424"/>
      <c r="AH265" s="424"/>
    </row>
    <row r="266" spans="1:34" x14ac:dyDescent="0.25">
      <c r="A266" s="423" t="s">
        <v>3643</v>
      </c>
      <c r="B266" s="423" t="s">
        <v>3652</v>
      </c>
      <c r="C266" s="423" t="s">
        <v>1705</v>
      </c>
      <c r="D266" s="423" t="s">
        <v>3252</v>
      </c>
      <c r="E266" s="423" t="s">
        <v>2818</v>
      </c>
      <c r="F266" s="423">
        <v>24</v>
      </c>
      <c r="G266" s="423" t="s">
        <v>3653</v>
      </c>
      <c r="H266" s="423"/>
      <c r="J266" s="423"/>
      <c r="K266" s="423"/>
      <c r="L266" s="423"/>
      <c r="M266" s="423"/>
      <c r="Q266" s="423"/>
      <c r="R266" s="424" t="s">
        <v>3654</v>
      </c>
      <c r="S266" s="424" t="s">
        <v>2820</v>
      </c>
      <c r="T266" s="424" t="s">
        <v>3268</v>
      </c>
      <c r="U266" s="424">
        <v>0</v>
      </c>
      <c r="V266" s="424" t="s">
        <v>3283</v>
      </c>
      <c r="W266" s="424" t="s">
        <v>3283</v>
      </c>
      <c r="X266" s="424" t="s">
        <v>2825</v>
      </c>
      <c r="Y266" s="424" t="s">
        <v>2279</v>
      </c>
      <c r="Z266" s="424" t="s">
        <v>3260</v>
      </c>
      <c r="AA266" s="424" t="s">
        <v>3647</v>
      </c>
      <c r="AB266" s="424" t="s">
        <v>3655</v>
      </c>
      <c r="AC266" s="424" t="s">
        <v>3649</v>
      </c>
      <c r="AD266" s="424" t="s">
        <v>3650</v>
      </c>
      <c r="AE266" s="424" t="s">
        <v>3651</v>
      </c>
      <c r="AF266" s="424"/>
      <c r="AG266" s="424"/>
      <c r="AH266" s="424"/>
    </row>
    <row r="267" spans="1:34" x14ac:dyDescent="0.25">
      <c r="A267" s="423" t="s">
        <v>3643</v>
      </c>
      <c r="B267" s="423" t="s">
        <v>3656</v>
      </c>
      <c r="C267" s="423" t="s">
        <v>1705</v>
      </c>
      <c r="D267" s="423" t="s">
        <v>3252</v>
      </c>
      <c r="E267" s="423" t="s">
        <v>2818</v>
      </c>
      <c r="F267" s="423">
        <v>32</v>
      </c>
      <c r="G267" s="423" t="s">
        <v>3657</v>
      </c>
      <c r="H267" s="423"/>
      <c r="J267" s="423"/>
      <c r="K267" s="423"/>
      <c r="L267" s="423"/>
      <c r="M267" s="423"/>
      <c r="Q267" s="423"/>
      <c r="R267" s="424" t="s">
        <v>3658</v>
      </c>
      <c r="S267" s="424" t="s">
        <v>2820</v>
      </c>
      <c r="T267" s="424" t="s">
        <v>3268</v>
      </c>
      <c r="U267" s="424">
        <v>0</v>
      </c>
      <c r="V267" s="424" t="s">
        <v>2824</v>
      </c>
      <c r="W267" s="424" t="s">
        <v>2824</v>
      </c>
      <c r="X267" s="424" t="s">
        <v>2825</v>
      </c>
      <c r="Y267" s="424" t="s">
        <v>2279</v>
      </c>
      <c r="Z267" s="424" t="s">
        <v>3260</v>
      </c>
      <c r="AA267" s="424" t="s">
        <v>3271</v>
      </c>
      <c r="AB267" s="424" t="s">
        <v>3659</v>
      </c>
      <c r="AC267" s="424" t="s">
        <v>1953</v>
      </c>
      <c r="AD267" s="424" t="s">
        <v>3329</v>
      </c>
      <c r="AE267" s="424" t="s">
        <v>3660</v>
      </c>
      <c r="AF267" s="424"/>
      <c r="AG267" s="424"/>
      <c r="AH267" s="424"/>
    </row>
    <row r="268" spans="1:34" x14ac:dyDescent="0.25">
      <c r="A268" s="423" t="s">
        <v>3643</v>
      </c>
      <c r="B268" s="423" t="s">
        <v>3661</v>
      </c>
      <c r="C268" s="423" t="s">
        <v>1705</v>
      </c>
      <c r="D268" s="423" t="s">
        <v>3252</v>
      </c>
      <c r="E268" s="423" t="s">
        <v>2818</v>
      </c>
      <c r="F268" s="423">
        <v>32</v>
      </c>
      <c r="G268" s="423" t="s">
        <v>3657</v>
      </c>
      <c r="H268" s="423"/>
      <c r="J268" s="423"/>
      <c r="K268" s="423"/>
      <c r="L268" s="423"/>
      <c r="M268" s="423"/>
      <c r="Q268" s="423"/>
      <c r="R268" s="424" t="s">
        <v>3662</v>
      </c>
      <c r="S268" s="424" t="s">
        <v>2820</v>
      </c>
      <c r="T268" s="424" t="s">
        <v>3268</v>
      </c>
      <c r="U268" s="424">
        <v>0</v>
      </c>
      <c r="V268" s="424" t="s">
        <v>2824</v>
      </c>
      <c r="W268" s="424" t="s">
        <v>2824</v>
      </c>
      <c r="X268" s="424" t="s">
        <v>2825</v>
      </c>
      <c r="Y268" s="424" t="s">
        <v>2279</v>
      </c>
      <c r="Z268" s="424" t="s">
        <v>3260</v>
      </c>
      <c r="AA268" s="424" t="s">
        <v>3271</v>
      </c>
      <c r="AB268" s="424" t="s">
        <v>3663</v>
      </c>
      <c r="AC268" s="424" t="s">
        <v>1953</v>
      </c>
      <c r="AD268" s="424" t="s">
        <v>3329</v>
      </c>
      <c r="AE268" s="424" t="s">
        <v>3660</v>
      </c>
      <c r="AF268" s="424"/>
      <c r="AG268" s="424"/>
      <c r="AH268" s="424"/>
    </row>
    <row r="269" spans="1:34" x14ac:dyDescent="0.25">
      <c r="A269" s="423" t="s">
        <v>3643</v>
      </c>
      <c r="B269" s="423" t="s">
        <v>3664</v>
      </c>
      <c r="C269" s="423" t="s">
        <v>1705</v>
      </c>
      <c r="D269" s="423" t="s">
        <v>3252</v>
      </c>
      <c r="E269" s="423" t="s">
        <v>2818</v>
      </c>
      <c r="F269" s="423">
        <v>32</v>
      </c>
      <c r="G269" s="423" t="s">
        <v>3657</v>
      </c>
      <c r="H269" s="423"/>
      <c r="J269" s="423"/>
      <c r="K269" s="423"/>
      <c r="L269" s="423"/>
      <c r="M269" s="423"/>
      <c r="Q269" s="423"/>
      <c r="R269" s="424" t="s">
        <v>3665</v>
      </c>
      <c r="S269" s="424" t="s">
        <v>2820</v>
      </c>
      <c r="T269" s="424" t="s">
        <v>3268</v>
      </c>
      <c r="U269" s="424">
        <v>0</v>
      </c>
      <c r="V269" s="424" t="s">
        <v>2824</v>
      </c>
      <c r="W269" s="424" t="s">
        <v>2824</v>
      </c>
      <c r="X269" s="424" t="s">
        <v>2825</v>
      </c>
      <c r="Y269" s="424" t="s">
        <v>2279</v>
      </c>
      <c r="Z269" s="424" t="s">
        <v>3260</v>
      </c>
      <c r="AA269" s="424" t="s">
        <v>3271</v>
      </c>
      <c r="AB269" s="424" t="s">
        <v>3666</v>
      </c>
      <c r="AC269" s="424" t="s">
        <v>1953</v>
      </c>
      <c r="AD269" s="424" t="s">
        <v>3329</v>
      </c>
      <c r="AE269" s="424" t="s">
        <v>3660</v>
      </c>
      <c r="AF269" s="424"/>
      <c r="AG269" s="424"/>
      <c r="AH269" s="424"/>
    </row>
    <row r="270" spans="1:34" x14ac:dyDescent="0.25">
      <c r="A270" s="423" t="s">
        <v>3667</v>
      </c>
      <c r="B270" s="423" t="s">
        <v>3251</v>
      </c>
      <c r="C270" s="423" t="s">
        <v>1705</v>
      </c>
      <c r="D270" s="423" t="s">
        <v>3252</v>
      </c>
      <c r="E270" s="423" t="s">
        <v>2818</v>
      </c>
      <c r="F270" s="423">
        <v>16</v>
      </c>
      <c r="G270" s="423" t="s">
        <v>3253</v>
      </c>
      <c r="H270" s="423"/>
      <c r="J270" s="423"/>
      <c r="K270" s="423"/>
      <c r="L270" s="423"/>
      <c r="M270" s="423"/>
      <c r="Q270" s="423"/>
      <c r="R270" s="424" t="s">
        <v>3254</v>
      </c>
      <c r="S270" s="424" t="s">
        <v>2846</v>
      </c>
      <c r="T270" s="424" t="s">
        <v>2847</v>
      </c>
      <c r="U270" s="424">
        <v>0</v>
      </c>
      <c r="V270" s="424" t="s">
        <v>2973</v>
      </c>
      <c r="W270" s="424" t="s">
        <v>3055</v>
      </c>
      <c r="X270" s="424" t="s">
        <v>2825</v>
      </c>
      <c r="Y270" s="424" t="s">
        <v>2279</v>
      </c>
      <c r="Z270" s="424" t="s">
        <v>2848</v>
      </c>
      <c r="AA270" s="424" t="s">
        <v>2855</v>
      </c>
      <c r="AB270" s="424" t="s">
        <v>3255</v>
      </c>
      <c r="AC270" s="424" t="s">
        <v>1953</v>
      </c>
      <c r="AD270" s="424" t="s">
        <v>2851</v>
      </c>
      <c r="AE270" s="424" t="s">
        <v>3168</v>
      </c>
      <c r="AF270" s="424"/>
      <c r="AG270" s="424"/>
      <c r="AH270" s="424"/>
    </row>
    <row r="271" spans="1:34" x14ac:dyDescent="0.25">
      <c r="A271" s="423" t="s">
        <v>3667</v>
      </c>
      <c r="B271" s="423" t="s">
        <v>3537</v>
      </c>
      <c r="C271" s="423" t="s">
        <v>1705</v>
      </c>
      <c r="D271" s="423" t="s">
        <v>3252</v>
      </c>
      <c r="E271" s="423" t="s">
        <v>2818</v>
      </c>
      <c r="F271" s="423">
        <v>16</v>
      </c>
      <c r="G271" s="423" t="s">
        <v>3326</v>
      </c>
      <c r="H271" s="423"/>
      <c r="J271" s="423"/>
      <c r="K271" s="423"/>
      <c r="L271" s="423"/>
      <c r="M271" s="423"/>
      <c r="Q271" s="423"/>
      <c r="R271" s="424" t="s">
        <v>3538</v>
      </c>
      <c r="S271" s="424" t="s">
        <v>2846</v>
      </c>
      <c r="T271" s="424" t="s">
        <v>3152</v>
      </c>
      <c r="U271" s="424">
        <v>0</v>
      </c>
      <c r="V271" s="424" t="s">
        <v>2973</v>
      </c>
      <c r="W271" s="424" t="s">
        <v>2974</v>
      </c>
      <c r="X271" s="424" t="s">
        <v>2825</v>
      </c>
      <c r="Y271" s="424" t="s">
        <v>2279</v>
      </c>
      <c r="Z271" s="424" t="s">
        <v>2848</v>
      </c>
      <c r="AA271" s="424" t="s">
        <v>2849</v>
      </c>
      <c r="AB271" s="424" t="s">
        <v>3539</v>
      </c>
      <c r="AC271" s="424" t="s">
        <v>1953</v>
      </c>
      <c r="AD271" s="424" t="s">
        <v>2851</v>
      </c>
      <c r="AE271" s="424" t="s">
        <v>3467</v>
      </c>
      <c r="AF271" s="424"/>
      <c r="AG271" s="424"/>
      <c r="AH271" s="424"/>
    </row>
    <row r="272" spans="1:34" x14ac:dyDescent="0.25">
      <c r="A272" s="423" t="s">
        <v>3667</v>
      </c>
      <c r="B272" s="423" t="s">
        <v>3668</v>
      </c>
      <c r="C272" s="423" t="s">
        <v>1705</v>
      </c>
      <c r="D272" s="423" t="s">
        <v>3252</v>
      </c>
      <c r="E272" s="423" t="s">
        <v>2818</v>
      </c>
      <c r="F272" s="423">
        <v>16</v>
      </c>
      <c r="G272" s="423" t="s">
        <v>3592</v>
      </c>
      <c r="H272" s="423"/>
      <c r="J272" s="423"/>
      <c r="K272" s="423"/>
      <c r="L272" s="423"/>
      <c r="M272" s="423"/>
      <c r="Q272" s="423"/>
      <c r="R272" s="424" t="s">
        <v>3669</v>
      </c>
      <c r="S272" s="424" t="s">
        <v>2846</v>
      </c>
      <c r="T272" s="424" t="s">
        <v>2847</v>
      </c>
      <c r="U272" s="424">
        <v>0</v>
      </c>
      <c r="V272" s="424" t="s">
        <v>2973</v>
      </c>
      <c r="W272" s="424" t="s">
        <v>3054</v>
      </c>
      <c r="X272" s="424" t="s">
        <v>2825</v>
      </c>
      <c r="Y272" s="424" t="s">
        <v>2279</v>
      </c>
      <c r="Z272" s="424" t="s">
        <v>2889</v>
      </c>
      <c r="AA272" s="424" t="s">
        <v>3311</v>
      </c>
      <c r="AB272" s="424" t="s">
        <v>3594</v>
      </c>
      <c r="AC272" s="424" t="s">
        <v>1953</v>
      </c>
      <c r="AD272" s="424" t="s">
        <v>2851</v>
      </c>
      <c r="AE272" s="424" t="s">
        <v>3595</v>
      </c>
      <c r="AF272" s="424"/>
      <c r="AG272" s="424"/>
      <c r="AH272" s="424"/>
    </row>
    <row r="273" spans="1:34" x14ac:dyDescent="0.25">
      <c r="A273" s="423" t="s">
        <v>3670</v>
      </c>
      <c r="B273" s="423" t="s">
        <v>3512</v>
      </c>
      <c r="C273" s="423" t="s">
        <v>1705</v>
      </c>
      <c r="D273" s="423" t="s">
        <v>3252</v>
      </c>
      <c r="E273" s="423" t="s">
        <v>2818</v>
      </c>
      <c r="F273" s="423">
        <v>12</v>
      </c>
      <c r="G273" s="423" t="s">
        <v>3513</v>
      </c>
      <c r="H273" s="423"/>
      <c r="J273" s="423"/>
      <c r="K273" s="423"/>
      <c r="L273" s="423"/>
      <c r="M273" s="423"/>
      <c r="Q273" s="423"/>
      <c r="R273" s="424" t="s">
        <v>3512</v>
      </c>
      <c r="S273" s="424" t="s">
        <v>2846</v>
      </c>
      <c r="T273" s="424" t="s">
        <v>3291</v>
      </c>
      <c r="U273" s="424">
        <v>0</v>
      </c>
      <c r="V273" s="424" t="s">
        <v>3269</v>
      </c>
      <c r="W273" s="424" t="s">
        <v>3074</v>
      </c>
      <c r="X273" s="424" t="s">
        <v>2825</v>
      </c>
      <c r="Y273" s="424" t="s">
        <v>2279</v>
      </c>
      <c r="Z273" s="424" t="s">
        <v>3260</v>
      </c>
      <c r="AA273" s="424" t="s">
        <v>3197</v>
      </c>
      <c r="AB273" s="424" t="s">
        <v>3278</v>
      </c>
      <c r="AC273" s="424" t="s">
        <v>1953</v>
      </c>
      <c r="AD273" s="424" t="s">
        <v>2851</v>
      </c>
      <c r="AE273" s="424" t="s">
        <v>3279</v>
      </c>
      <c r="AF273" s="424"/>
      <c r="AG273" s="424"/>
      <c r="AH273" s="424"/>
    </row>
    <row r="274" spans="1:34" x14ac:dyDescent="0.25">
      <c r="A274" s="423" t="s">
        <v>3670</v>
      </c>
      <c r="B274" s="423" t="s">
        <v>3671</v>
      </c>
      <c r="C274" s="423" t="s">
        <v>1705</v>
      </c>
      <c r="D274" s="423" t="s">
        <v>3252</v>
      </c>
      <c r="E274" s="423" t="s">
        <v>2818</v>
      </c>
      <c r="F274" s="423">
        <v>12</v>
      </c>
      <c r="G274" s="423" t="s">
        <v>3513</v>
      </c>
      <c r="H274" s="423"/>
      <c r="J274" s="423"/>
      <c r="K274" s="423"/>
      <c r="L274" s="423"/>
      <c r="M274" s="423"/>
      <c r="Q274" s="423"/>
      <c r="R274" s="424" t="s">
        <v>3671</v>
      </c>
      <c r="S274" s="424" t="s">
        <v>2846</v>
      </c>
      <c r="T274" s="424" t="s">
        <v>3672</v>
      </c>
      <c r="U274" s="424">
        <v>0</v>
      </c>
      <c r="V274" s="424" t="s">
        <v>3269</v>
      </c>
      <c r="W274" s="424" t="s">
        <v>3176</v>
      </c>
      <c r="X274" s="424" t="s">
        <v>2825</v>
      </c>
      <c r="Y274" s="424" t="s">
        <v>2279</v>
      </c>
      <c r="Z274" s="424" t="s">
        <v>3260</v>
      </c>
      <c r="AA274" s="424" t="s">
        <v>3197</v>
      </c>
      <c r="AB274" s="424" t="s">
        <v>3673</v>
      </c>
      <c r="AC274" s="424" t="s">
        <v>1953</v>
      </c>
      <c r="AD274" s="424" t="s">
        <v>2851</v>
      </c>
      <c r="AE274" s="424" t="s">
        <v>3674</v>
      </c>
      <c r="AF274" s="424"/>
      <c r="AG274" s="424"/>
      <c r="AH274" s="424"/>
    </row>
    <row r="275" spans="1:34" x14ac:dyDescent="0.25">
      <c r="A275" s="423" t="s">
        <v>3670</v>
      </c>
      <c r="B275" s="423" t="s">
        <v>3675</v>
      </c>
      <c r="C275" s="423" t="s">
        <v>1705</v>
      </c>
      <c r="D275" s="423" t="s">
        <v>3252</v>
      </c>
      <c r="E275" s="423" t="s">
        <v>2818</v>
      </c>
      <c r="F275" s="423">
        <v>8</v>
      </c>
      <c r="G275" s="423" t="s">
        <v>3530</v>
      </c>
      <c r="H275" s="423"/>
      <c r="J275" s="423"/>
      <c r="K275" s="423"/>
      <c r="L275" s="423"/>
      <c r="M275" s="423"/>
      <c r="Q275" s="423"/>
      <c r="R275" s="424" t="s">
        <v>3675</v>
      </c>
      <c r="S275" s="424" t="s">
        <v>2846</v>
      </c>
      <c r="T275" s="424" t="s">
        <v>3268</v>
      </c>
      <c r="U275" s="424">
        <v>0</v>
      </c>
      <c r="V275" s="424" t="s">
        <v>3269</v>
      </c>
      <c r="W275" s="424" t="s">
        <v>3074</v>
      </c>
      <c r="X275" s="424" t="s">
        <v>2825</v>
      </c>
      <c r="Y275" s="424" t="s">
        <v>2279</v>
      </c>
      <c r="Z275" s="424" t="s">
        <v>3260</v>
      </c>
      <c r="AA275" s="424" t="s">
        <v>3197</v>
      </c>
      <c r="AB275" s="424" t="s">
        <v>3676</v>
      </c>
      <c r="AC275" s="424" t="s">
        <v>1953</v>
      </c>
      <c r="AD275" s="424" t="s">
        <v>2851</v>
      </c>
      <c r="AE275" s="424" t="s">
        <v>3279</v>
      </c>
      <c r="AF275" s="424"/>
      <c r="AG275" s="424"/>
      <c r="AH275" s="424"/>
    </row>
    <row r="276" spans="1:34" x14ac:dyDescent="0.25">
      <c r="A276" s="423" t="s">
        <v>3670</v>
      </c>
      <c r="B276" s="423" t="s">
        <v>3677</v>
      </c>
      <c r="C276" s="423" t="s">
        <v>1705</v>
      </c>
      <c r="D276" s="423" t="s">
        <v>3252</v>
      </c>
      <c r="E276" s="423" t="s">
        <v>2818</v>
      </c>
      <c r="F276" s="423">
        <v>8</v>
      </c>
      <c r="G276" s="423" t="s">
        <v>3592</v>
      </c>
      <c r="H276" s="423"/>
      <c r="J276" s="423"/>
      <c r="K276" s="423"/>
      <c r="L276" s="423"/>
      <c r="M276" s="423"/>
      <c r="Q276" s="423"/>
      <c r="R276" s="424" t="s">
        <v>3678</v>
      </c>
      <c r="S276" s="424" t="s">
        <v>2846</v>
      </c>
      <c r="T276" s="424" t="s">
        <v>3268</v>
      </c>
      <c r="U276" s="424">
        <v>0</v>
      </c>
      <c r="V276" s="424" t="s">
        <v>3269</v>
      </c>
      <c r="W276" s="424" t="s">
        <v>3074</v>
      </c>
      <c r="X276" s="424" t="s">
        <v>2825</v>
      </c>
      <c r="Y276" s="424" t="s">
        <v>2279</v>
      </c>
      <c r="Z276" s="424" t="s">
        <v>3260</v>
      </c>
      <c r="AA276" s="424" t="s">
        <v>3197</v>
      </c>
      <c r="AB276" s="424" t="s">
        <v>3679</v>
      </c>
      <c r="AC276" s="424" t="s">
        <v>1953</v>
      </c>
      <c r="AD276" s="424" t="s">
        <v>2851</v>
      </c>
      <c r="AE276" s="424" t="s">
        <v>3279</v>
      </c>
      <c r="AF276" s="424"/>
      <c r="AG276" s="424"/>
      <c r="AH276" s="424"/>
    </row>
    <row r="277" spans="1:34" x14ac:dyDescent="0.25">
      <c r="A277" s="423" t="s">
        <v>3680</v>
      </c>
      <c r="B277" s="423" t="s">
        <v>3251</v>
      </c>
      <c r="C277" s="423" t="s">
        <v>1705</v>
      </c>
      <c r="D277" s="423" t="s">
        <v>3252</v>
      </c>
      <c r="E277" s="423" t="s">
        <v>2818</v>
      </c>
      <c r="F277" s="423">
        <v>16</v>
      </c>
      <c r="G277" s="423" t="s">
        <v>3253</v>
      </c>
      <c r="H277" s="423"/>
      <c r="J277" s="423"/>
      <c r="K277" s="423"/>
      <c r="L277" s="423"/>
      <c r="M277" s="423"/>
      <c r="Q277" s="423"/>
      <c r="R277" s="424" t="s">
        <v>3254</v>
      </c>
      <c r="S277" s="424" t="s">
        <v>2846</v>
      </c>
      <c r="T277" s="424" t="s">
        <v>2847</v>
      </c>
      <c r="U277" s="424">
        <v>0</v>
      </c>
      <c r="V277" s="424" t="s">
        <v>2973</v>
      </c>
      <c r="W277" s="424" t="s">
        <v>3055</v>
      </c>
      <c r="X277" s="424" t="s">
        <v>2825</v>
      </c>
      <c r="Y277" s="424" t="s">
        <v>2279</v>
      </c>
      <c r="Z277" s="424" t="s">
        <v>2848</v>
      </c>
      <c r="AA277" s="424" t="s">
        <v>2855</v>
      </c>
      <c r="AB277" s="424" t="s">
        <v>3255</v>
      </c>
      <c r="AC277" s="424" t="s">
        <v>1953</v>
      </c>
      <c r="AD277" s="424" t="s">
        <v>2851</v>
      </c>
      <c r="AE277" s="424" t="s">
        <v>3168</v>
      </c>
      <c r="AF277" s="424"/>
      <c r="AG277" s="424"/>
      <c r="AH277" s="424"/>
    </row>
    <row r="278" spans="1:34" x14ac:dyDescent="0.25">
      <c r="A278" s="423" t="s">
        <v>3680</v>
      </c>
      <c r="B278" s="423" t="s">
        <v>3681</v>
      </c>
      <c r="C278" s="423" t="s">
        <v>1705</v>
      </c>
      <c r="D278" s="423" t="s">
        <v>3252</v>
      </c>
      <c r="E278" s="423" t="s">
        <v>2818</v>
      </c>
      <c r="F278" s="423">
        <v>6</v>
      </c>
      <c r="G278" s="423" t="s">
        <v>3354</v>
      </c>
      <c r="H278" s="423"/>
      <c r="J278" s="423"/>
      <c r="K278" s="423"/>
      <c r="L278" s="423"/>
      <c r="M278" s="423"/>
      <c r="Q278" s="423"/>
      <c r="R278" s="424" t="s">
        <v>3682</v>
      </c>
      <c r="S278" s="424" t="s">
        <v>2846</v>
      </c>
      <c r="T278" s="424" t="s">
        <v>3356</v>
      </c>
      <c r="U278" s="424">
        <v>0</v>
      </c>
      <c r="V278" s="424" t="s">
        <v>2924</v>
      </c>
      <c r="W278" s="424" t="s">
        <v>3074</v>
      </c>
      <c r="X278" s="424" t="s">
        <v>2825</v>
      </c>
      <c r="Y278" s="424" t="s">
        <v>2279</v>
      </c>
      <c r="Z278" s="424" t="s">
        <v>2848</v>
      </c>
      <c r="AA278" s="424" t="s">
        <v>2855</v>
      </c>
      <c r="AB278" s="424" t="s">
        <v>3683</v>
      </c>
      <c r="AC278" s="424" t="s">
        <v>1953</v>
      </c>
      <c r="AD278" s="424" t="s">
        <v>2851</v>
      </c>
      <c r="AE278" s="424" t="s">
        <v>3173</v>
      </c>
      <c r="AF278" s="424"/>
      <c r="AG278" s="424"/>
      <c r="AH278" s="424"/>
    </row>
    <row r="279" spans="1:34" x14ac:dyDescent="0.25">
      <c r="A279" s="423" t="s">
        <v>3680</v>
      </c>
      <c r="B279" s="423" t="s">
        <v>3668</v>
      </c>
      <c r="C279" s="423" t="s">
        <v>1705</v>
      </c>
      <c r="D279" s="423" t="s">
        <v>3252</v>
      </c>
      <c r="E279" s="423" t="s">
        <v>2818</v>
      </c>
      <c r="F279" s="423">
        <v>16</v>
      </c>
      <c r="G279" s="423" t="s">
        <v>3592</v>
      </c>
      <c r="H279" s="423"/>
      <c r="J279" s="423"/>
      <c r="K279" s="423"/>
      <c r="L279" s="423"/>
      <c r="M279" s="423"/>
      <c r="Q279" s="423"/>
      <c r="R279" s="424" t="s">
        <v>3669</v>
      </c>
      <c r="S279" s="424" t="s">
        <v>2846</v>
      </c>
      <c r="T279" s="424" t="s">
        <v>2847</v>
      </c>
      <c r="U279" s="424">
        <v>0</v>
      </c>
      <c r="V279" s="424" t="s">
        <v>2973</v>
      </c>
      <c r="W279" s="424" t="s">
        <v>3054</v>
      </c>
      <c r="X279" s="424" t="s">
        <v>2825</v>
      </c>
      <c r="Y279" s="424" t="s">
        <v>2279</v>
      </c>
      <c r="Z279" s="424" t="s">
        <v>2889</v>
      </c>
      <c r="AA279" s="424" t="s">
        <v>3311</v>
      </c>
      <c r="AB279" s="424" t="s">
        <v>3594</v>
      </c>
      <c r="AC279" s="424" t="s">
        <v>1953</v>
      </c>
      <c r="AD279" s="424" t="s">
        <v>2851</v>
      </c>
      <c r="AE279" s="424" t="s">
        <v>3595</v>
      </c>
      <c r="AF279" s="424"/>
      <c r="AG279" s="424"/>
      <c r="AH279" s="424"/>
    </row>
    <row r="280" spans="1:34" x14ac:dyDescent="0.25">
      <c r="A280" s="423" t="s">
        <v>3684</v>
      </c>
      <c r="B280" s="423" t="s">
        <v>3685</v>
      </c>
      <c r="C280" s="423" t="s">
        <v>1705</v>
      </c>
      <c r="D280" s="423" t="s">
        <v>3252</v>
      </c>
      <c r="E280" s="423" t="s">
        <v>2818</v>
      </c>
      <c r="F280" s="423">
        <v>8</v>
      </c>
      <c r="G280" s="423" t="s">
        <v>3354</v>
      </c>
      <c r="H280" s="423"/>
      <c r="J280" s="423"/>
      <c r="K280" s="423"/>
      <c r="L280" s="423"/>
      <c r="M280" s="423"/>
      <c r="Q280" s="423"/>
      <c r="R280" s="424" t="s">
        <v>3685</v>
      </c>
      <c r="S280" s="424" t="s">
        <v>2846</v>
      </c>
      <c r="T280" s="424" t="s">
        <v>3291</v>
      </c>
      <c r="U280" s="424">
        <v>0</v>
      </c>
      <c r="V280" s="424" t="s">
        <v>3269</v>
      </c>
      <c r="W280" s="424" t="s">
        <v>3054</v>
      </c>
      <c r="X280" s="424" t="s">
        <v>2825</v>
      </c>
      <c r="Y280" s="424" t="s">
        <v>2279</v>
      </c>
      <c r="Z280" s="424" t="s">
        <v>2889</v>
      </c>
      <c r="AA280" s="424" t="s">
        <v>3311</v>
      </c>
      <c r="AB280" s="424" t="s">
        <v>3594</v>
      </c>
      <c r="AC280" s="424" t="s">
        <v>1953</v>
      </c>
      <c r="AD280" s="424" t="s">
        <v>2851</v>
      </c>
      <c r="AE280" s="424" t="s">
        <v>3595</v>
      </c>
      <c r="AF280" s="424"/>
      <c r="AG280" s="424"/>
      <c r="AH280" s="424"/>
    </row>
    <row r="281" spans="1:34" x14ac:dyDescent="0.25">
      <c r="A281" s="423" t="s">
        <v>3684</v>
      </c>
      <c r="B281" s="423" t="s">
        <v>3686</v>
      </c>
      <c r="C281" s="423" t="s">
        <v>1705</v>
      </c>
      <c r="D281" s="423" t="s">
        <v>3252</v>
      </c>
      <c r="E281" s="423" t="s">
        <v>2818</v>
      </c>
      <c r="F281" s="423">
        <v>8</v>
      </c>
      <c r="G281" s="423" t="s">
        <v>3354</v>
      </c>
      <c r="H281" s="423"/>
      <c r="J281" s="423"/>
      <c r="K281" s="423"/>
      <c r="L281" s="423"/>
      <c r="M281" s="423"/>
      <c r="Q281" s="423"/>
      <c r="R281" s="424" t="s">
        <v>3686</v>
      </c>
      <c r="S281" s="424" t="s">
        <v>2846</v>
      </c>
      <c r="T281" s="424" t="s">
        <v>3291</v>
      </c>
      <c r="U281" s="424">
        <v>0</v>
      </c>
      <c r="V281" s="424" t="s">
        <v>3269</v>
      </c>
      <c r="W281" s="424" t="s">
        <v>3176</v>
      </c>
      <c r="X281" s="424" t="s">
        <v>2825</v>
      </c>
      <c r="Y281" s="424" t="s">
        <v>2279</v>
      </c>
      <c r="Z281" s="424" t="s">
        <v>3260</v>
      </c>
      <c r="AA281" s="424" t="s">
        <v>3197</v>
      </c>
      <c r="AB281" s="424" t="s">
        <v>3687</v>
      </c>
      <c r="AC281" s="424" t="s">
        <v>1953</v>
      </c>
      <c r="AD281" s="424" t="s">
        <v>2851</v>
      </c>
      <c r="AE281" s="424" t="s">
        <v>3317</v>
      </c>
      <c r="AF281" s="424"/>
      <c r="AG281" s="424"/>
      <c r="AH281" s="424"/>
    </row>
    <row r="282" spans="1:34" x14ac:dyDescent="0.25">
      <c r="A282" s="423" t="s">
        <v>3684</v>
      </c>
      <c r="B282" s="423" t="s">
        <v>3688</v>
      </c>
      <c r="C282" s="423" t="s">
        <v>1705</v>
      </c>
      <c r="D282" s="423" t="s">
        <v>3252</v>
      </c>
      <c r="E282" s="423" t="s">
        <v>2818</v>
      </c>
      <c r="F282" s="423">
        <v>8</v>
      </c>
      <c r="G282" s="423" t="s">
        <v>3689</v>
      </c>
      <c r="H282" s="423"/>
      <c r="J282" s="423"/>
      <c r="K282" s="423"/>
      <c r="L282" s="423"/>
      <c r="M282" s="423"/>
      <c r="Q282" s="423"/>
      <c r="R282" s="424" t="s">
        <v>3688</v>
      </c>
      <c r="S282" s="424" t="s">
        <v>2846</v>
      </c>
      <c r="T282" s="424" t="s">
        <v>3291</v>
      </c>
      <c r="U282" s="424">
        <v>0</v>
      </c>
      <c r="V282" s="424" t="s">
        <v>3269</v>
      </c>
      <c r="W282" s="424" t="s">
        <v>3176</v>
      </c>
      <c r="X282" s="424" t="s">
        <v>2825</v>
      </c>
      <c r="Y282" s="424" t="s">
        <v>2279</v>
      </c>
      <c r="Z282" s="424" t="s">
        <v>3260</v>
      </c>
      <c r="AA282" s="424" t="s">
        <v>3197</v>
      </c>
      <c r="AB282" s="424" t="s">
        <v>3673</v>
      </c>
      <c r="AC282" s="424" t="s">
        <v>1953</v>
      </c>
      <c r="AD282" s="424" t="s">
        <v>2851</v>
      </c>
      <c r="AE282" s="424" t="s">
        <v>3674</v>
      </c>
      <c r="AF282" s="424"/>
      <c r="AG282" s="424"/>
      <c r="AH282" s="424"/>
    </row>
    <row r="283" spans="1:34" x14ac:dyDescent="0.25">
      <c r="A283" s="423" t="s">
        <v>1564</v>
      </c>
      <c r="B283" s="423" t="s">
        <v>3690</v>
      </c>
      <c r="C283" s="423" t="s">
        <v>1705</v>
      </c>
      <c r="D283" s="423" t="s">
        <v>3252</v>
      </c>
      <c r="E283" s="423" t="s">
        <v>2818</v>
      </c>
      <c r="F283" s="423">
        <v>24</v>
      </c>
      <c r="G283" s="423" t="s">
        <v>3691</v>
      </c>
      <c r="H283" s="423"/>
      <c r="J283" s="423"/>
      <c r="K283" s="423"/>
      <c r="L283" s="423"/>
      <c r="M283" s="423"/>
      <c r="Q283" s="423"/>
      <c r="R283" s="424" t="s">
        <v>3692</v>
      </c>
      <c r="S283" s="424" t="s">
        <v>2846</v>
      </c>
      <c r="T283" s="424" t="s">
        <v>3693</v>
      </c>
      <c r="U283" s="424">
        <v>0</v>
      </c>
      <c r="V283" s="424" t="s">
        <v>3694</v>
      </c>
      <c r="W283" s="424" t="s">
        <v>2924</v>
      </c>
      <c r="X283" s="424" t="s">
        <v>3298</v>
      </c>
      <c r="Y283" s="424" t="s">
        <v>2279</v>
      </c>
      <c r="Z283" s="424" t="s">
        <v>2872</v>
      </c>
      <c r="AA283" s="424" t="s">
        <v>2873</v>
      </c>
      <c r="AB283" s="424" t="s">
        <v>3695</v>
      </c>
      <c r="AC283" s="424" t="s">
        <v>1953</v>
      </c>
      <c r="AD283" s="424" t="s">
        <v>2875</v>
      </c>
      <c r="AE283" s="424" t="s">
        <v>3696</v>
      </c>
      <c r="AF283" s="424"/>
      <c r="AG283" s="424"/>
      <c r="AH283" s="424"/>
    </row>
    <row r="284" spans="1:34" x14ac:dyDescent="0.25">
      <c r="A284" s="423" t="s">
        <v>1564</v>
      </c>
      <c r="B284" s="423" t="s">
        <v>3697</v>
      </c>
      <c r="C284" s="423" t="s">
        <v>1705</v>
      </c>
      <c r="D284" s="423" t="s">
        <v>3252</v>
      </c>
      <c r="E284" s="423" t="s">
        <v>2818</v>
      </c>
      <c r="F284" s="423">
        <v>12</v>
      </c>
      <c r="G284" s="423" t="s">
        <v>3691</v>
      </c>
      <c r="H284" s="423"/>
      <c r="J284" s="423"/>
      <c r="K284" s="423"/>
      <c r="L284" s="423"/>
      <c r="M284" s="423"/>
      <c r="Q284" s="423"/>
      <c r="R284" s="424" t="s">
        <v>3698</v>
      </c>
      <c r="S284" s="424" t="s">
        <v>2846</v>
      </c>
      <c r="T284" s="424" t="s">
        <v>3693</v>
      </c>
      <c r="U284" s="424">
        <v>0</v>
      </c>
      <c r="V284" s="424" t="s">
        <v>3694</v>
      </c>
      <c r="W284" s="424" t="s">
        <v>2871</v>
      </c>
      <c r="X284" s="424" t="s">
        <v>3298</v>
      </c>
      <c r="Y284" s="424" t="s">
        <v>2279</v>
      </c>
      <c r="Z284" s="424" t="s">
        <v>2872</v>
      </c>
      <c r="AA284" s="424" t="s">
        <v>2873</v>
      </c>
      <c r="AB284" s="424" t="s">
        <v>3699</v>
      </c>
      <c r="AC284" s="424" t="s">
        <v>1953</v>
      </c>
      <c r="AD284" s="424" t="s">
        <v>2875</v>
      </c>
      <c r="AE284" s="424" t="s">
        <v>3700</v>
      </c>
      <c r="AF284" s="424"/>
      <c r="AG284" s="424"/>
      <c r="AH284" s="424"/>
    </row>
    <row r="285" spans="1:34" x14ac:dyDescent="0.25">
      <c r="A285" s="423" t="s">
        <v>1564</v>
      </c>
      <c r="B285" s="423" t="s">
        <v>3701</v>
      </c>
      <c r="C285" s="423" t="s">
        <v>1705</v>
      </c>
      <c r="D285" s="423" t="s">
        <v>3252</v>
      </c>
      <c r="E285" s="423" t="s">
        <v>2818</v>
      </c>
      <c r="F285" s="423">
        <v>24</v>
      </c>
      <c r="G285" s="423" t="s">
        <v>3691</v>
      </c>
      <c r="H285" s="423"/>
      <c r="J285" s="423"/>
      <c r="K285" s="423"/>
      <c r="L285" s="423"/>
      <c r="M285" s="423"/>
      <c r="Q285" s="423"/>
      <c r="R285" s="424" t="s">
        <v>3702</v>
      </c>
      <c r="S285" s="424" t="s">
        <v>2846</v>
      </c>
      <c r="T285" s="424" t="s">
        <v>3693</v>
      </c>
      <c r="U285" s="424">
        <v>0</v>
      </c>
      <c r="V285" s="424" t="s">
        <v>3694</v>
      </c>
      <c r="W285" s="424" t="s">
        <v>2924</v>
      </c>
      <c r="X285" s="424" t="s">
        <v>3298</v>
      </c>
      <c r="Y285" s="424" t="s">
        <v>2279</v>
      </c>
      <c r="Z285" s="424" t="s">
        <v>2889</v>
      </c>
      <c r="AA285" s="424" t="s">
        <v>3703</v>
      </c>
      <c r="AB285" s="424" t="s">
        <v>3704</v>
      </c>
      <c r="AC285" s="424" t="s">
        <v>1953</v>
      </c>
      <c r="AD285" s="424" t="s">
        <v>2875</v>
      </c>
      <c r="AE285" s="424" t="s">
        <v>3705</v>
      </c>
      <c r="AF285" s="424"/>
      <c r="AG285" s="424"/>
      <c r="AH285" s="424"/>
    </row>
    <row r="286" spans="1:34" x14ac:dyDescent="0.25">
      <c r="A286" s="423" t="s">
        <v>1564</v>
      </c>
      <c r="B286" s="423" t="s">
        <v>3706</v>
      </c>
      <c r="C286" s="423" t="s">
        <v>1705</v>
      </c>
      <c r="D286" s="423" t="s">
        <v>3252</v>
      </c>
      <c r="E286" s="423" t="s">
        <v>2818</v>
      </c>
      <c r="F286" s="423">
        <v>12</v>
      </c>
      <c r="G286" s="423" t="s">
        <v>3691</v>
      </c>
      <c r="H286" s="423"/>
      <c r="J286" s="423"/>
      <c r="K286" s="423"/>
      <c r="L286" s="423"/>
      <c r="M286" s="423"/>
      <c r="Q286" s="423"/>
      <c r="R286" s="424" t="s">
        <v>3707</v>
      </c>
      <c r="S286" s="424" t="s">
        <v>2846</v>
      </c>
      <c r="T286" s="424" t="s">
        <v>3693</v>
      </c>
      <c r="U286" s="424">
        <v>0</v>
      </c>
      <c r="V286" s="424" t="s">
        <v>3694</v>
      </c>
      <c r="W286" s="424" t="s">
        <v>2871</v>
      </c>
      <c r="X286" s="424" t="s">
        <v>3298</v>
      </c>
      <c r="Y286" s="424" t="s">
        <v>2279</v>
      </c>
      <c r="Z286" s="424" t="s">
        <v>2889</v>
      </c>
      <c r="AA286" s="424" t="s">
        <v>3703</v>
      </c>
      <c r="AB286" s="424" t="s">
        <v>3708</v>
      </c>
      <c r="AC286" s="424" t="s">
        <v>1953</v>
      </c>
      <c r="AD286" s="424" t="s">
        <v>2875</v>
      </c>
      <c r="AE286" s="424" t="s">
        <v>3709</v>
      </c>
      <c r="AF286" s="424"/>
      <c r="AG286" s="424"/>
      <c r="AH286" s="424"/>
    </row>
    <row r="287" spans="1:34" x14ac:dyDescent="0.25">
      <c r="A287" s="423" t="s">
        <v>1564</v>
      </c>
      <c r="B287" s="423" t="s">
        <v>3710</v>
      </c>
      <c r="C287" s="423" t="s">
        <v>1705</v>
      </c>
      <c r="D287" s="423" t="s">
        <v>3252</v>
      </c>
      <c r="E287" s="423" t="s">
        <v>2818</v>
      </c>
      <c r="F287" s="423">
        <v>2</v>
      </c>
      <c r="G287" s="423" t="s">
        <v>3711</v>
      </c>
      <c r="H287" s="423"/>
      <c r="J287" s="423"/>
      <c r="K287" s="423"/>
      <c r="L287" s="423"/>
      <c r="M287" s="423"/>
      <c r="Q287" s="423"/>
      <c r="R287" s="424" t="s">
        <v>3710</v>
      </c>
      <c r="S287" s="424" t="s">
        <v>2846</v>
      </c>
      <c r="T287" s="424" t="s">
        <v>3268</v>
      </c>
      <c r="U287" s="424">
        <v>0</v>
      </c>
      <c r="V287" s="424" t="s">
        <v>3269</v>
      </c>
      <c r="W287" s="424" t="s">
        <v>3055</v>
      </c>
      <c r="X287" s="424" t="s">
        <v>3298</v>
      </c>
      <c r="Y287" s="424" t="s">
        <v>2279</v>
      </c>
      <c r="Z287" s="424" t="s">
        <v>2848</v>
      </c>
      <c r="AA287" s="424" t="s">
        <v>2855</v>
      </c>
      <c r="AB287" s="424" t="s">
        <v>3167</v>
      </c>
      <c r="AC287" s="424" t="s">
        <v>1953</v>
      </c>
      <c r="AD287" s="424" t="s">
        <v>2851</v>
      </c>
      <c r="AE287" s="424" t="s">
        <v>3168</v>
      </c>
      <c r="AF287" s="424"/>
      <c r="AG287" s="424"/>
      <c r="AH287" s="424"/>
    </row>
    <row r="288" spans="1:34" x14ac:dyDescent="0.25">
      <c r="A288" s="423" t="s">
        <v>1564</v>
      </c>
      <c r="B288" s="423" t="s">
        <v>3712</v>
      </c>
      <c r="C288" s="423" t="s">
        <v>1705</v>
      </c>
      <c r="D288" s="423" t="s">
        <v>3252</v>
      </c>
      <c r="E288" s="423" t="s">
        <v>2818</v>
      </c>
      <c r="F288" s="423">
        <v>12</v>
      </c>
      <c r="G288" s="423" t="s">
        <v>3253</v>
      </c>
      <c r="H288" s="423"/>
      <c r="J288" s="423"/>
      <c r="K288" s="423"/>
      <c r="L288" s="423"/>
      <c r="M288" s="423"/>
      <c r="Q288" s="423"/>
      <c r="R288" s="424" t="s">
        <v>3713</v>
      </c>
      <c r="S288" s="424" t="s">
        <v>2846</v>
      </c>
      <c r="T288" s="424" t="s">
        <v>2870</v>
      </c>
      <c r="U288" s="424">
        <v>0</v>
      </c>
      <c r="V288" s="424" t="s">
        <v>3269</v>
      </c>
      <c r="W288" s="424" t="s">
        <v>2871</v>
      </c>
      <c r="X288" s="424" t="s">
        <v>3298</v>
      </c>
      <c r="Y288" s="424" t="s">
        <v>2279</v>
      </c>
      <c r="Z288" s="424" t="s">
        <v>2872</v>
      </c>
      <c r="AA288" s="424" t="s">
        <v>2873</v>
      </c>
      <c r="AB288" s="424" t="s">
        <v>3714</v>
      </c>
      <c r="AC288" s="424" t="s">
        <v>1953</v>
      </c>
      <c r="AD288" s="424" t="s">
        <v>2892</v>
      </c>
      <c r="AE288" s="424" t="s">
        <v>2897</v>
      </c>
      <c r="AF288" s="424"/>
      <c r="AG288" s="424"/>
      <c r="AH288" s="424"/>
    </row>
    <row r="289" spans="1:34" x14ac:dyDescent="0.25">
      <c r="A289" s="423" t="s">
        <v>1564</v>
      </c>
      <c r="B289" s="423" t="s">
        <v>3715</v>
      </c>
      <c r="C289" s="423" t="s">
        <v>1705</v>
      </c>
      <c r="D289" s="423" t="s">
        <v>3252</v>
      </c>
      <c r="E289" s="423" t="s">
        <v>2818</v>
      </c>
      <c r="F289" s="423">
        <v>12</v>
      </c>
      <c r="G289" s="423" t="s">
        <v>3253</v>
      </c>
      <c r="H289" s="423"/>
      <c r="J289" s="423"/>
      <c r="K289" s="423"/>
      <c r="L289" s="423"/>
      <c r="M289" s="423"/>
      <c r="Q289" s="423"/>
      <c r="R289" s="424" t="s">
        <v>3716</v>
      </c>
      <c r="S289" s="424" t="s">
        <v>2846</v>
      </c>
      <c r="T289" s="424" t="s">
        <v>2870</v>
      </c>
      <c r="U289" s="424">
        <v>0</v>
      </c>
      <c r="V289" s="424" t="s">
        <v>3269</v>
      </c>
      <c r="W289" s="424" t="s">
        <v>3176</v>
      </c>
      <c r="X289" s="424" t="s">
        <v>3298</v>
      </c>
      <c r="Y289" s="424" t="s">
        <v>2279</v>
      </c>
      <c r="Z289" s="424" t="s">
        <v>2848</v>
      </c>
      <c r="AA289" s="424" t="s">
        <v>2855</v>
      </c>
      <c r="AB289" s="424" t="s">
        <v>2904</v>
      </c>
      <c r="AC289" s="424" t="s">
        <v>1953</v>
      </c>
      <c r="AD289" s="424" t="s">
        <v>2851</v>
      </c>
      <c r="AE289" s="424" t="s">
        <v>2901</v>
      </c>
      <c r="AF289" s="424"/>
      <c r="AG289" s="424"/>
      <c r="AH289" s="424"/>
    </row>
    <row r="290" spans="1:34" x14ac:dyDescent="0.25">
      <c r="A290" s="423" t="s">
        <v>1564</v>
      </c>
      <c r="B290" s="423" t="s">
        <v>3717</v>
      </c>
      <c r="C290" s="423" t="s">
        <v>1705</v>
      </c>
      <c r="D290" s="423" t="s">
        <v>3252</v>
      </c>
      <c r="E290" s="423" t="s">
        <v>2818</v>
      </c>
      <c r="F290" s="423">
        <v>12</v>
      </c>
      <c r="G290" s="423" t="s">
        <v>3253</v>
      </c>
      <c r="H290" s="423"/>
      <c r="J290" s="423"/>
      <c r="K290" s="423"/>
      <c r="L290" s="423"/>
      <c r="M290" s="423"/>
      <c r="Q290" s="423"/>
      <c r="R290" s="424" t="s">
        <v>3717</v>
      </c>
      <c r="S290" s="424" t="s">
        <v>2846</v>
      </c>
      <c r="T290" s="424" t="s">
        <v>3268</v>
      </c>
      <c r="U290" s="424">
        <v>0</v>
      </c>
      <c r="V290" s="424" t="s">
        <v>3269</v>
      </c>
      <c r="W290" s="424" t="s">
        <v>2974</v>
      </c>
      <c r="X290" s="424" t="s">
        <v>3298</v>
      </c>
      <c r="Y290" s="424" t="s">
        <v>2279</v>
      </c>
      <c r="Z290" s="424" t="s">
        <v>2848</v>
      </c>
      <c r="AA290" s="424" t="s">
        <v>2849</v>
      </c>
      <c r="AB290" s="424" t="s">
        <v>3718</v>
      </c>
      <c r="AC290" s="424" t="s">
        <v>1953</v>
      </c>
      <c r="AD290" s="424" t="s">
        <v>2851</v>
      </c>
      <c r="AE290" s="424" t="s">
        <v>3719</v>
      </c>
      <c r="AF290" s="424"/>
      <c r="AG290" s="424"/>
      <c r="AH290" s="424"/>
    </row>
    <row r="291" spans="1:34" x14ac:dyDescent="0.25">
      <c r="A291" s="423" t="s">
        <v>1564</v>
      </c>
      <c r="B291" s="423" t="s">
        <v>3720</v>
      </c>
      <c r="C291" s="423" t="s">
        <v>1705</v>
      </c>
      <c r="D291" s="423" t="s">
        <v>3252</v>
      </c>
      <c r="E291" s="423" t="s">
        <v>2818</v>
      </c>
      <c r="F291" s="423">
        <v>12</v>
      </c>
      <c r="G291" s="423" t="s">
        <v>3253</v>
      </c>
      <c r="H291" s="423"/>
      <c r="J291" s="423"/>
      <c r="K291" s="423"/>
      <c r="L291" s="423"/>
      <c r="M291" s="423"/>
      <c r="Q291" s="423"/>
      <c r="R291" s="424" t="s">
        <v>3720</v>
      </c>
      <c r="S291" s="424" t="s">
        <v>2846</v>
      </c>
      <c r="T291" s="424" t="s">
        <v>3268</v>
      </c>
      <c r="U291" s="424">
        <v>0</v>
      </c>
      <c r="V291" s="424" t="s">
        <v>3269</v>
      </c>
      <c r="W291" s="424" t="s">
        <v>3055</v>
      </c>
      <c r="X291" s="424" t="s">
        <v>3298</v>
      </c>
      <c r="Y291" s="424" t="s">
        <v>2279</v>
      </c>
      <c r="Z291" s="424" t="s">
        <v>2848</v>
      </c>
      <c r="AA291" s="424" t="s">
        <v>2849</v>
      </c>
      <c r="AB291" s="424" t="s">
        <v>3721</v>
      </c>
      <c r="AC291" s="424" t="s">
        <v>1953</v>
      </c>
      <c r="AD291" s="424" t="s">
        <v>2851</v>
      </c>
      <c r="AE291" s="424" t="s">
        <v>3173</v>
      </c>
      <c r="AF291" s="424"/>
      <c r="AG291" s="424"/>
      <c r="AH291" s="424"/>
    </row>
    <row r="292" spans="1:34" x14ac:dyDescent="0.25">
      <c r="A292" s="423" t="s">
        <v>1564</v>
      </c>
      <c r="B292" s="423" t="s">
        <v>3722</v>
      </c>
      <c r="C292" s="423" t="s">
        <v>1705</v>
      </c>
      <c r="D292" s="423" t="s">
        <v>3252</v>
      </c>
      <c r="E292" s="423" t="s">
        <v>2818</v>
      </c>
      <c r="F292" s="423">
        <v>12</v>
      </c>
      <c r="G292" s="423" t="s">
        <v>3723</v>
      </c>
      <c r="H292" s="423"/>
      <c r="J292" s="423"/>
      <c r="K292" s="423"/>
      <c r="L292" s="423"/>
      <c r="M292" s="423"/>
      <c r="Q292" s="423"/>
      <c r="R292" s="424" t="s">
        <v>3724</v>
      </c>
      <c r="S292" s="424" t="s">
        <v>2846</v>
      </c>
      <c r="T292" s="424" t="s">
        <v>3356</v>
      </c>
      <c r="U292" s="424">
        <v>0</v>
      </c>
      <c r="V292" s="424" t="s">
        <v>3176</v>
      </c>
      <c r="W292" s="424" t="s">
        <v>3074</v>
      </c>
      <c r="X292" s="424" t="s">
        <v>3298</v>
      </c>
      <c r="Y292" s="424" t="s">
        <v>2279</v>
      </c>
      <c r="Z292" s="424" t="s">
        <v>2872</v>
      </c>
      <c r="AA292" s="424" t="s">
        <v>3197</v>
      </c>
      <c r="AB292" s="424" t="s">
        <v>3347</v>
      </c>
      <c r="AC292" s="424" t="s">
        <v>1953</v>
      </c>
      <c r="AD292" s="424" t="s">
        <v>2892</v>
      </c>
      <c r="AE292" s="424" t="s">
        <v>3348</v>
      </c>
      <c r="AF292" s="424"/>
      <c r="AG292" s="424"/>
      <c r="AH292" s="424"/>
    </row>
    <row r="293" spans="1:34" x14ac:dyDescent="0.25">
      <c r="A293" s="423" t="s">
        <v>1564</v>
      </c>
      <c r="B293" s="423" t="s">
        <v>3725</v>
      </c>
      <c r="C293" s="423" t="s">
        <v>1705</v>
      </c>
      <c r="D293" s="423" t="s">
        <v>3252</v>
      </c>
      <c r="E293" s="423" t="s">
        <v>2818</v>
      </c>
      <c r="F293" s="423">
        <v>12</v>
      </c>
      <c r="G293" s="423" t="s">
        <v>3723</v>
      </c>
      <c r="H293" s="423"/>
      <c r="J293" s="423"/>
      <c r="K293" s="423"/>
      <c r="L293" s="423"/>
      <c r="M293" s="423"/>
      <c r="Q293" s="423"/>
      <c r="R293" s="424" t="s">
        <v>3726</v>
      </c>
      <c r="S293" s="424" t="s">
        <v>2846</v>
      </c>
      <c r="T293" s="424" t="s">
        <v>3356</v>
      </c>
      <c r="U293" s="424">
        <v>0</v>
      </c>
      <c r="V293" s="424" t="s">
        <v>3176</v>
      </c>
      <c r="W293" s="424" t="s">
        <v>3074</v>
      </c>
      <c r="X293" s="424" t="s">
        <v>3298</v>
      </c>
      <c r="Y293" s="424" t="s">
        <v>2279</v>
      </c>
      <c r="Z293" s="424" t="s">
        <v>2872</v>
      </c>
      <c r="AA293" s="424" t="s">
        <v>3197</v>
      </c>
      <c r="AB293" s="424" t="s">
        <v>3351</v>
      </c>
      <c r="AC293" s="424" t="s">
        <v>1953</v>
      </c>
      <c r="AD293" s="424" t="s">
        <v>2892</v>
      </c>
      <c r="AE293" s="424" t="s">
        <v>3348</v>
      </c>
      <c r="AF293" s="424"/>
      <c r="AG293" s="424"/>
      <c r="AH293" s="424"/>
    </row>
    <row r="294" spans="1:34" x14ac:dyDescent="0.25">
      <c r="A294" s="423" t="s">
        <v>1564</v>
      </c>
      <c r="B294" s="423" t="s">
        <v>3727</v>
      </c>
      <c r="C294" s="423" t="s">
        <v>1705</v>
      </c>
      <c r="D294" s="423" t="s">
        <v>3252</v>
      </c>
      <c r="E294" s="423" t="s">
        <v>2818</v>
      </c>
      <c r="F294" s="423">
        <v>12</v>
      </c>
      <c r="G294" s="423" t="s">
        <v>3723</v>
      </c>
      <c r="H294" s="423"/>
      <c r="J294" s="423"/>
      <c r="K294" s="423"/>
      <c r="L294" s="423"/>
      <c r="M294" s="423"/>
      <c r="Q294" s="423"/>
      <c r="R294" s="424" t="s">
        <v>3728</v>
      </c>
      <c r="S294" s="424" t="s">
        <v>2846</v>
      </c>
      <c r="T294" s="424" t="s">
        <v>3356</v>
      </c>
      <c r="U294" s="424">
        <v>0</v>
      </c>
      <c r="V294" s="424" t="s">
        <v>3176</v>
      </c>
      <c r="W294" s="424" t="s">
        <v>3074</v>
      </c>
      <c r="X294" s="424" t="s">
        <v>3298</v>
      </c>
      <c r="Y294" s="424" t="s">
        <v>2279</v>
      </c>
      <c r="Z294" s="424" t="s">
        <v>2889</v>
      </c>
      <c r="AA294" s="424" t="s">
        <v>3197</v>
      </c>
      <c r="AB294" s="424" t="s">
        <v>3729</v>
      </c>
      <c r="AC294" s="424" t="s">
        <v>1953</v>
      </c>
      <c r="AD294" s="424" t="s">
        <v>2829</v>
      </c>
      <c r="AE294" s="424" t="s">
        <v>3216</v>
      </c>
      <c r="AF294" s="424"/>
      <c r="AG294" s="424"/>
      <c r="AH294" s="424"/>
    </row>
    <row r="295" spans="1:34" x14ac:dyDescent="0.25">
      <c r="A295" s="423" t="s">
        <v>1564</v>
      </c>
      <c r="B295" s="423" t="s">
        <v>3730</v>
      </c>
      <c r="C295" s="423" t="s">
        <v>1705</v>
      </c>
      <c r="D295" s="423" t="s">
        <v>3252</v>
      </c>
      <c r="E295" s="423" t="s">
        <v>2818</v>
      </c>
      <c r="F295" s="423">
        <v>12</v>
      </c>
      <c r="G295" s="423" t="s">
        <v>3723</v>
      </c>
      <c r="H295" s="423"/>
      <c r="J295" s="423"/>
      <c r="K295" s="423"/>
      <c r="L295" s="423"/>
      <c r="M295" s="423"/>
      <c r="Q295" s="423"/>
      <c r="R295" s="424" t="s">
        <v>3731</v>
      </c>
      <c r="S295" s="424" t="s">
        <v>2846</v>
      </c>
      <c r="T295" s="424" t="s">
        <v>3356</v>
      </c>
      <c r="U295" s="424">
        <v>0</v>
      </c>
      <c r="V295" s="424" t="s">
        <v>3176</v>
      </c>
      <c r="W295" s="424" t="s">
        <v>3074</v>
      </c>
      <c r="X295" s="424" t="s">
        <v>3298</v>
      </c>
      <c r="Y295" s="424" t="s">
        <v>2279</v>
      </c>
      <c r="Z295" s="424" t="s">
        <v>2889</v>
      </c>
      <c r="AA295" s="424" t="s">
        <v>3197</v>
      </c>
      <c r="AB295" s="424" t="s">
        <v>3732</v>
      </c>
      <c r="AC295" s="424" t="s">
        <v>1953</v>
      </c>
      <c r="AD295" s="424" t="s">
        <v>2829</v>
      </c>
      <c r="AE295" s="424" t="s">
        <v>3243</v>
      </c>
      <c r="AF295" s="424"/>
      <c r="AG295" s="424"/>
      <c r="AH295" s="424"/>
    </row>
    <row r="296" spans="1:34" x14ac:dyDescent="0.25">
      <c r="A296" s="423" t="s">
        <v>1564</v>
      </c>
      <c r="B296" s="423" t="s">
        <v>3733</v>
      </c>
      <c r="C296" s="423" t="s">
        <v>1705</v>
      </c>
      <c r="D296" s="423" t="s">
        <v>3252</v>
      </c>
      <c r="E296" s="423" t="s">
        <v>2818</v>
      </c>
      <c r="F296" s="423">
        <v>12</v>
      </c>
      <c r="G296" s="423" t="s">
        <v>3723</v>
      </c>
      <c r="H296" s="423"/>
      <c r="J296" s="423"/>
      <c r="K296" s="423"/>
      <c r="L296" s="423"/>
      <c r="M296" s="423"/>
      <c r="Q296" s="423"/>
      <c r="R296" s="424" t="s">
        <v>3734</v>
      </c>
      <c r="S296" s="424" t="s">
        <v>2846</v>
      </c>
      <c r="T296" s="424" t="s">
        <v>3356</v>
      </c>
      <c r="U296" s="424">
        <v>0</v>
      </c>
      <c r="V296" s="424" t="s">
        <v>3176</v>
      </c>
      <c r="W296" s="424" t="s">
        <v>3074</v>
      </c>
      <c r="X296" s="424" t="s">
        <v>3298</v>
      </c>
      <c r="Y296" s="424" t="s">
        <v>2279</v>
      </c>
      <c r="Z296" s="424" t="s">
        <v>2872</v>
      </c>
      <c r="AA296" s="424" t="s">
        <v>3197</v>
      </c>
      <c r="AB296" s="424" t="s">
        <v>3347</v>
      </c>
      <c r="AC296" s="424" t="s">
        <v>1953</v>
      </c>
      <c r="AD296" s="424" t="s">
        <v>2892</v>
      </c>
      <c r="AE296" s="424" t="s">
        <v>3348</v>
      </c>
      <c r="AF296" s="424"/>
      <c r="AG296" s="424"/>
      <c r="AH296" s="424"/>
    </row>
    <row r="297" spans="1:34" x14ac:dyDescent="0.25">
      <c r="A297" s="423" t="s">
        <v>1564</v>
      </c>
      <c r="B297" s="423" t="s">
        <v>3735</v>
      </c>
      <c r="C297" s="423" t="s">
        <v>1705</v>
      </c>
      <c r="D297" s="423" t="s">
        <v>3252</v>
      </c>
      <c r="E297" s="423" t="s">
        <v>2818</v>
      </c>
      <c r="F297" s="423">
        <v>12</v>
      </c>
      <c r="G297" s="423" t="s">
        <v>3723</v>
      </c>
      <c r="H297" s="423"/>
      <c r="J297" s="423"/>
      <c r="K297" s="423"/>
      <c r="L297" s="423"/>
      <c r="M297" s="423"/>
      <c r="Q297" s="423"/>
      <c r="R297" s="424" t="s">
        <v>3736</v>
      </c>
      <c r="S297" s="424" t="s">
        <v>2846</v>
      </c>
      <c r="T297" s="424" t="s">
        <v>3356</v>
      </c>
      <c r="U297" s="424">
        <v>0</v>
      </c>
      <c r="V297" s="424" t="s">
        <v>3176</v>
      </c>
      <c r="W297" s="424" t="s">
        <v>3074</v>
      </c>
      <c r="X297" s="424" t="s">
        <v>3298</v>
      </c>
      <c r="Y297" s="424" t="s">
        <v>2279</v>
      </c>
      <c r="Z297" s="424" t="s">
        <v>2872</v>
      </c>
      <c r="AA297" s="424" t="s">
        <v>3197</v>
      </c>
      <c r="AB297" s="424" t="s">
        <v>3351</v>
      </c>
      <c r="AC297" s="424" t="s">
        <v>1953</v>
      </c>
      <c r="AD297" s="424" t="s">
        <v>2892</v>
      </c>
      <c r="AE297" s="424" t="s">
        <v>3348</v>
      </c>
      <c r="AF297" s="424"/>
      <c r="AG297" s="424"/>
      <c r="AH297" s="424"/>
    </row>
    <row r="298" spans="1:34" x14ac:dyDescent="0.25">
      <c r="A298" s="423" t="s">
        <v>1564</v>
      </c>
      <c r="B298" s="423" t="s">
        <v>3737</v>
      </c>
      <c r="C298" s="423" t="s">
        <v>1705</v>
      </c>
      <c r="D298" s="423" t="s">
        <v>3252</v>
      </c>
      <c r="E298" s="423" t="s">
        <v>2818</v>
      </c>
      <c r="F298" s="423">
        <v>12</v>
      </c>
      <c r="G298" s="423" t="s">
        <v>3723</v>
      </c>
      <c r="H298" s="423"/>
      <c r="J298" s="423"/>
      <c r="K298" s="423"/>
      <c r="L298" s="423"/>
      <c r="M298" s="423"/>
      <c r="Q298" s="423"/>
      <c r="R298" s="424" t="s">
        <v>3738</v>
      </c>
      <c r="S298" s="424" t="s">
        <v>2846</v>
      </c>
      <c r="T298" s="424" t="s">
        <v>3356</v>
      </c>
      <c r="U298" s="424">
        <v>0</v>
      </c>
      <c r="V298" s="424" t="s">
        <v>3176</v>
      </c>
      <c r="W298" s="424" t="s">
        <v>3074</v>
      </c>
      <c r="X298" s="424" t="s">
        <v>3298</v>
      </c>
      <c r="Y298" s="424" t="s">
        <v>2279</v>
      </c>
      <c r="Z298" s="424" t="s">
        <v>2889</v>
      </c>
      <c r="AA298" s="424" t="s">
        <v>3197</v>
      </c>
      <c r="AB298" s="424" t="s">
        <v>3739</v>
      </c>
      <c r="AC298" s="424" t="s">
        <v>1953</v>
      </c>
      <c r="AD298" s="424" t="s">
        <v>2829</v>
      </c>
      <c r="AE298" s="424" t="s">
        <v>3243</v>
      </c>
      <c r="AF298" s="424"/>
      <c r="AG298" s="424"/>
      <c r="AH298" s="424"/>
    </row>
    <row r="299" spans="1:34" x14ac:dyDescent="0.25">
      <c r="A299" s="423" t="s">
        <v>1564</v>
      </c>
      <c r="B299" s="423" t="s">
        <v>3740</v>
      </c>
      <c r="C299" s="423" t="s">
        <v>1705</v>
      </c>
      <c r="D299" s="423" t="s">
        <v>3252</v>
      </c>
      <c r="E299" s="423" t="s">
        <v>2818</v>
      </c>
      <c r="F299" s="423">
        <v>12</v>
      </c>
      <c r="G299" s="423" t="s">
        <v>3723</v>
      </c>
      <c r="H299" s="423"/>
      <c r="J299" s="423"/>
      <c r="K299" s="423"/>
      <c r="L299" s="423"/>
      <c r="M299" s="423"/>
      <c r="Q299" s="423"/>
      <c r="R299" s="424" t="s">
        <v>3741</v>
      </c>
      <c r="S299" s="424" t="s">
        <v>2846</v>
      </c>
      <c r="T299" s="424" t="s">
        <v>3356</v>
      </c>
      <c r="U299" s="424">
        <v>0</v>
      </c>
      <c r="V299" s="424" t="s">
        <v>3176</v>
      </c>
      <c r="W299" s="424" t="s">
        <v>3074</v>
      </c>
      <c r="X299" s="424" t="s">
        <v>3298</v>
      </c>
      <c r="Y299" s="424" t="s">
        <v>2279</v>
      </c>
      <c r="Z299" s="424" t="s">
        <v>2889</v>
      </c>
      <c r="AA299" s="424" t="s">
        <v>3197</v>
      </c>
      <c r="AB299" s="424" t="s">
        <v>3742</v>
      </c>
      <c r="AC299" s="424" t="s">
        <v>1953</v>
      </c>
      <c r="AD299" s="424" t="s">
        <v>2829</v>
      </c>
      <c r="AE299" s="424" t="s">
        <v>3229</v>
      </c>
      <c r="AF299" s="424"/>
      <c r="AG299" s="424"/>
      <c r="AH299" s="424"/>
    </row>
    <row r="300" spans="1:34" x14ac:dyDescent="0.25">
      <c r="A300" s="423" t="s">
        <v>1564</v>
      </c>
      <c r="B300" s="423" t="s">
        <v>3743</v>
      </c>
      <c r="C300" s="423" t="s">
        <v>1705</v>
      </c>
      <c r="D300" s="423" t="s">
        <v>3252</v>
      </c>
      <c r="E300" s="423" t="s">
        <v>2818</v>
      </c>
      <c r="F300" s="423">
        <v>12</v>
      </c>
      <c r="G300" s="423" t="s">
        <v>3723</v>
      </c>
      <c r="H300" s="423"/>
      <c r="J300" s="423"/>
      <c r="K300" s="423"/>
      <c r="L300" s="423"/>
      <c r="M300" s="423"/>
      <c r="Q300" s="423"/>
      <c r="R300" s="424" t="s">
        <v>3744</v>
      </c>
      <c r="S300" s="424" t="s">
        <v>2846</v>
      </c>
      <c r="T300" s="424" t="s">
        <v>3356</v>
      </c>
      <c r="U300" s="424">
        <v>0</v>
      </c>
      <c r="V300" s="424" t="s">
        <v>3176</v>
      </c>
      <c r="W300" s="424" t="s">
        <v>3074</v>
      </c>
      <c r="X300" s="424" t="s">
        <v>3298</v>
      </c>
      <c r="Y300" s="424" t="s">
        <v>2279</v>
      </c>
      <c r="Z300" s="424" t="s">
        <v>2872</v>
      </c>
      <c r="AA300" s="424" t="s">
        <v>3197</v>
      </c>
      <c r="AB300" s="424" t="s">
        <v>3347</v>
      </c>
      <c r="AC300" s="424" t="s">
        <v>1953</v>
      </c>
      <c r="AD300" s="424" t="s">
        <v>2892</v>
      </c>
      <c r="AE300" s="424" t="s">
        <v>3348</v>
      </c>
      <c r="AF300" s="424"/>
      <c r="AG300" s="424"/>
      <c r="AH300" s="424"/>
    </row>
    <row r="301" spans="1:34" x14ac:dyDescent="0.25">
      <c r="A301" s="423" t="s">
        <v>1564</v>
      </c>
      <c r="B301" s="423" t="s">
        <v>3745</v>
      </c>
      <c r="C301" s="423" t="s">
        <v>1705</v>
      </c>
      <c r="D301" s="423" t="s">
        <v>3252</v>
      </c>
      <c r="E301" s="423" t="s">
        <v>2818</v>
      </c>
      <c r="F301" s="423">
        <v>12</v>
      </c>
      <c r="G301" s="423" t="s">
        <v>3723</v>
      </c>
      <c r="H301" s="423"/>
      <c r="J301" s="423"/>
      <c r="K301" s="423"/>
      <c r="L301" s="423"/>
      <c r="M301" s="423"/>
      <c r="Q301" s="423"/>
      <c r="R301" s="424" t="s">
        <v>3746</v>
      </c>
      <c r="S301" s="424" t="s">
        <v>2846</v>
      </c>
      <c r="T301" s="424" t="s">
        <v>3356</v>
      </c>
      <c r="U301" s="424">
        <v>0</v>
      </c>
      <c r="V301" s="424" t="s">
        <v>3176</v>
      </c>
      <c r="W301" s="424" t="s">
        <v>3074</v>
      </c>
      <c r="X301" s="424" t="s">
        <v>3298</v>
      </c>
      <c r="Y301" s="424" t="s">
        <v>2279</v>
      </c>
      <c r="Z301" s="424" t="s">
        <v>2872</v>
      </c>
      <c r="AA301" s="424" t="s">
        <v>3197</v>
      </c>
      <c r="AB301" s="424" t="s">
        <v>3351</v>
      </c>
      <c r="AC301" s="424" t="s">
        <v>1953</v>
      </c>
      <c r="AD301" s="424" t="s">
        <v>2892</v>
      </c>
      <c r="AE301" s="424" t="s">
        <v>3348</v>
      </c>
      <c r="AF301" s="424"/>
      <c r="AG301" s="424"/>
      <c r="AH301" s="424"/>
    </row>
    <row r="302" spans="1:34" x14ac:dyDescent="0.25">
      <c r="A302" s="423" t="s">
        <v>1564</v>
      </c>
      <c r="B302" s="423" t="s">
        <v>3747</v>
      </c>
      <c r="C302" s="423" t="s">
        <v>1705</v>
      </c>
      <c r="D302" s="423" t="s">
        <v>3252</v>
      </c>
      <c r="E302" s="423" t="s">
        <v>2818</v>
      </c>
      <c r="F302" s="423">
        <v>12</v>
      </c>
      <c r="G302" s="423" t="s">
        <v>3723</v>
      </c>
      <c r="H302" s="423"/>
      <c r="J302" s="423"/>
      <c r="K302" s="423"/>
      <c r="L302" s="423"/>
      <c r="M302" s="423"/>
      <c r="Q302" s="423"/>
      <c r="R302" s="424" t="s">
        <v>3748</v>
      </c>
      <c r="S302" s="424" t="s">
        <v>2846</v>
      </c>
      <c r="T302" s="424" t="s">
        <v>3356</v>
      </c>
      <c r="U302" s="424">
        <v>0</v>
      </c>
      <c r="V302" s="424" t="s">
        <v>3176</v>
      </c>
      <c r="W302" s="424" t="s">
        <v>3074</v>
      </c>
      <c r="X302" s="424" t="s">
        <v>3298</v>
      </c>
      <c r="Y302" s="424" t="s">
        <v>2279</v>
      </c>
      <c r="Z302" s="424" t="s">
        <v>2889</v>
      </c>
      <c r="AA302" s="424" t="s">
        <v>3197</v>
      </c>
      <c r="AB302" s="424" t="s">
        <v>3749</v>
      </c>
      <c r="AC302" s="424" t="s">
        <v>1953</v>
      </c>
      <c r="AD302" s="424" t="s">
        <v>2829</v>
      </c>
      <c r="AE302" s="424" t="s">
        <v>3243</v>
      </c>
      <c r="AF302" s="424"/>
      <c r="AG302" s="424"/>
      <c r="AH302" s="424"/>
    </row>
    <row r="303" spans="1:34" x14ac:dyDescent="0.25">
      <c r="A303" s="423" t="s">
        <v>1564</v>
      </c>
      <c r="B303" s="423" t="s">
        <v>3750</v>
      </c>
      <c r="C303" s="423" t="s">
        <v>1705</v>
      </c>
      <c r="D303" s="423" t="s">
        <v>3252</v>
      </c>
      <c r="E303" s="423" t="s">
        <v>2818</v>
      </c>
      <c r="F303" s="423">
        <v>12</v>
      </c>
      <c r="G303" s="423" t="s">
        <v>3723</v>
      </c>
      <c r="H303" s="423"/>
      <c r="J303" s="423"/>
      <c r="K303" s="423"/>
      <c r="L303" s="423"/>
      <c r="M303" s="423"/>
      <c r="Q303" s="423"/>
      <c r="R303" s="424" t="s">
        <v>3751</v>
      </c>
      <c r="S303" s="424" t="s">
        <v>2846</v>
      </c>
      <c r="T303" s="424" t="s">
        <v>3356</v>
      </c>
      <c r="U303" s="424">
        <v>0</v>
      </c>
      <c r="V303" s="424" t="s">
        <v>3176</v>
      </c>
      <c r="W303" s="424" t="s">
        <v>3074</v>
      </c>
      <c r="X303" s="424" t="s">
        <v>3298</v>
      </c>
      <c r="Y303" s="424" t="s">
        <v>2279</v>
      </c>
      <c r="Z303" s="424" t="s">
        <v>2872</v>
      </c>
      <c r="AA303" s="424" t="s">
        <v>3197</v>
      </c>
      <c r="AB303" s="424" t="s">
        <v>3752</v>
      </c>
      <c r="AC303" s="424" t="s">
        <v>1953</v>
      </c>
      <c r="AD303" s="424" t="s">
        <v>2829</v>
      </c>
      <c r="AE303" s="424" t="s">
        <v>3216</v>
      </c>
      <c r="AF303" s="424"/>
      <c r="AG303" s="424"/>
      <c r="AH303" s="424"/>
    </row>
    <row r="304" spans="1:34" x14ac:dyDescent="0.25">
      <c r="A304" s="423" t="s">
        <v>1564</v>
      </c>
      <c r="B304" s="423" t="s">
        <v>3753</v>
      </c>
      <c r="C304" s="423" t="s">
        <v>1705</v>
      </c>
      <c r="D304" s="423" t="s">
        <v>3252</v>
      </c>
      <c r="E304" s="423" t="s">
        <v>2818</v>
      </c>
      <c r="F304" s="423">
        <v>12</v>
      </c>
      <c r="G304" s="423" t="s">
        <v>3723</v>
      </c>
      <c r="H304" s="423"/>
      <c r="J304" s="423"/>
      <c r="K304" s="423"/>
      <c r="L304" s="423"/>
      <c r="M304" s="423"/>
      <c r="Q304" s="423"/>
      <c r="R304" s="424" t="s">
        <v>3754</v>
      </c>
      <c r="S304" s="424" t="s">
        <v>2846</v>
      </c>
      <c r="T304" s="424" t="s">
        <v>3356</v>
      </c>
      <c r="U304" s="424">
        <v>0</v>
      </c>
      <c r="V304" s="424" t="s">
        <v>3176</v>
      </c>
      <c r="W304" s="424" t="s">
        <v>3074</v>
      </c>
      <c r="X304" s="424" t="s">
        <v>3298</v>
      </c>
      <c r="Y304" s="424" t="s">
        <v>2279</v>
      </c>
      <c r="Z304" s="424" t="s">
        <v>2872</v>
      </c>
      <c r="AA304" s="424" t="s">
        <v>3197</v>
      </c>
      <c r="AB304" s="424" t="s">
        <v>3755</v>
      </c>
      <c r="AC304" s="424" t="s">
        <v>1953</v>
      </c>
      <c r="AD304" s="424" t="s">
        <v>2892</v>
      </c>
      <c r="AE304" s="424" t="s">
        <v>3387</v>
      </c>
      <c r="AF304" s="424"/>
      <c r="AG304" s="424"/>
      <c r="AH304" s="424"/>
    </row>
    <row r="305" spans="1:34" x14ac:dyDescent="0.25">
      <c r="A305" s="423" t="s">
        <v>1564</v>
      </c>
      <c r="B305" s="423" t="s">
        <v>3756</v>
      </c>
      <c r="C305" s="423" t="s">
        <v>1705</v>
      </c>
      <c r="D305" s="423" t="s">
        <v>3252</v>
      </c>
      <c r="E305" s="423" t="s">
        <v>2818</v>
      </c>
      <c r="F305" s="423">
        <v>12</v>
      </c>
      <c r="G305" s="423" t="s">
        <v>3723</v>
      </c>
      <c r="H305" s="423"/>
      <c r="J305" s="423"/>
      <c r="K305" s="423"/>
      <c r="L305" s="423"/>
      <c r="M305" s="423"/>
      <c r="Q305" s="423"/>
      <c r="R305" s="424" t="s">
        <v>3757</v>
      </c>
      <c r="S305" s="424" t="s">
        <v>2846</v>
      </c>
      <c r="T305" s="424" t="s">
        <v>3356</v>
      </c>
      <c r="U305" s="424">
        <v>0</v>
      </c>
      <c r="V305" s="424" t="s">
        <v>3176</v>
      </c>
      <c r="W305" s="424" t="s">
        <v>3074</v>
      </c>
      <c r="X305" s="424" t="s">
        <v>3298</v>
      </c>
      <c r="Y305" s="424" t="s">
        <v>2279</v>
      </c>
      <c r="Z305" s="424" t="s">
        <v>2872</v>
      </c>
      <c r="AA305" s="424" t="s">
        <v>3197</v>
      </c>
      <c r="AB305" s="424" t="s">
        <v>3758</v>
      </c>
      <c r="AC305" s="424" t="s">
        <v>1953</v>
      </c>
      <c r="AD305" s="424" t="s">
        <v>2892</v>
      </c>
      <c r="AE305" s="424" t="s">
        <v>3348</v>
      </c>
      <c r="AF305" s="424"/>
      <c r="AG305" s="424"/>
      <c r="AH305" s="424"/>
    </row>
    <row r="306" spans="1:34" x14ac:dyDescent="0.25">
      <c r="A306" s="423" t="s">
        <v>1564</v>
      </c>
      <c r="B306" s="423" t="s">
        <v>3759</v>
      </c>
      <c r="C306" s="423" t="s">
        <v>1705</v>
      </c>
      <c r="D306" s="423" t="s">
        <v>3252</v>
      </c>
      <c r="E306" s="423" t="s">
        <v>2818</v>
      </c>
      <c r="F306" s="423">
        <v>12</v>
      </c>
      <c r="G306" s="423" t="s">
        <v>3723</v>
      </c>
      <c r="H306" s="423"/>
      <c r="J306" s="423"/>
      <c r="K306" s="423"/>
      <c r="L306" s="423"/>
      <c r="M306" s="423"/>
      <c r="Q306" s="423"/>
      <c r="R306" s="424" t="s">
        <v>3760</v>
      </c>
      <c r="S306" s="424" t="s">
        <v>2846</v>
      </c>
      <c r="T306" s="424" t="s">
        <v>3356</v>
      </c>
      <c r="U306" s="424">
        <v>0</v>
      </c>
      <c r="V306" s="424" t="s">
        <v>3176</v>
      </c>
      <c r="W306" s="424" t="s">
        <v>3074</v>
      </c>
      <c r="X306" s="424" t="s">
        <v>3298</v>
      </c>
      <c r="Y306" s="424" t="s">
        <v>2279</v>
      </c>
      <c r="Z306" s="424" t="s">
        <v>2889</v>
      </c>
      <c r="AA306" s="424" t="s">
        <v>3197</v>
      </c>
      <c r="AB306" s="424" t="s">
        <v>3761</v>
      </c>
      <c r="AC306" s="424" t="s">
        <v>1953</v>
      </c>
      <c r="AD306" s="424" t="s">
        <v>2829</v>
      </c>
      <c r="AE306" s="424" t="s">
        <v>3229</v>
      </c>
      <c r="AF306" s="424"/>
      <c r="AG306" s="424"/>
      <c r="AH306" s="424"/>
    </row>
    <row r="307" spans="1:34" x14ac:dyDescent="0.25">
      <c r="A307" s="423" t="s">
        <v>1564</v>
      </c>
      <c r="B307" s="423" t="s">
        <v>3762</v>
      </c>
      <c r="C307" s="423" t="s">
        <v>1705</v>
      </c>
      <c r="D307" s="423" t="s">
        <v>3252</v>
      </c>
      <c r="E307" s="423" t="s">
        <v>2818</v>
      </c>
      <c r="F307" s="423">
        <v>12</v>
      </c>
      <c r="G307" s="423" t="s">
        <v>3723</v>
      </c>
      <c r="H307" s="423"/>
      <c r="J307" s="423"/>
      <c r="K307" s="423"/>
      <c r="L307" s="423"/>
      <c r="M307" s="423"/>
      <c r="Q307" s="423"/>
      <c r="R307" s="424" t="s">
        <v>3763</v>
      </c>
      <c r="S307" s="424" t="s">
        <v>2846</v>
      </c>
      <c r="T307" s="424" t="s">
        <v>3356</v>
      </c>
      <c r="U307" s="424">
        <v>0</v>
      </c>
      <c r="V307" s="424" t="s">
        <v>3176</v>
      </c>
      <c r="W307" s="424" t="s">
        <v>3074</v>
      </c>
      <c r="X307" s="424" t="s">
        <v>3298</v>
      </c>
      <c r="Y307" s="424" t="s">
        <v>2279</v>
      </c>
      <c r="Z307" s="424" t="s">
        <v>2889</v>
      </c>
      <c r="AA307" s="424" t="s">
        <v>3197</v>
      </c>
      <c r="AB307" s="424" t="s">
        <v>3742</v>
      </c>
      <c r="AC307" s="424" t="s">
        <v>1953</v>
      </c>
      <c r="AD307" s="424" t="s">
        <v>2829</v>
      </c>
      <c r="AE307" s="424" t="s">
        <v>3229</v>
      </c>
      <c r="AF307" s="424"/>
      <c r="AG307" s="424"/>
      <c r="AH307" s="424"/>
    </row>
    <row r="308" spans="1:34" x14ac:dyDescent="0.25">
      <c r="A308" s="423" t="s">
        <v>1564</v>
      </c>
      <c r="B308" s="423" t="s">
        <v>3764</v>
      </c>
      <c r="C308" s="423" t="s">
        <v>1705</v>
      </c>
      <c r="D308" s="423" t="s">
        <v>3252</v>
      </c>
      <c r="E308" s="423" t="s">
        <v>2818</v>
      </c>
      <c r="F308" s="423">
        <v>6</v>
      </c>
      <c r="G308" s="423" t="s">
        <v>3711</v>
      </c>
      <c r="H308" s="423"/>
      <c r="J308" s="423"/>
      <c r="K308" s="423"/>
      <c r="L308" s="423"/>
      <c r="M308" s="423"/>
      <c r="Q308" s="423"/>
      <c r="R308" s="424" t="s">
        <v>3764</v>
      </c>
      <c r="S308" s="424" t="s">
        <v>2846</v>
      </c>
      <c r="T308" s="424" t="s">
        <v>3268</v>
      </c>
      <c r="U308" s="424">
        <v>0</v>
      </c>
      <c r="V308" s="424" t="s">
        <v>3269</v>
      </c>
      <c r="W308" s="424" t="s">
        <v>2974</v>
      </c>
      <c r="X308" s="424" t="s">
        <v>3298</v>
      </c>
      <c r="Y308" s="424" t="s">
        <v>2279</v>
      </c>
      <c r="Z308" s="424" t="s">
        <v>2848</v>
      </c>
      <c r="AA308" s="424" t="s">
        <v>2849</v>
      </c>
      <c r="AB308" s="424" t="s">
        <v>3765</v>
      </c>
      <c r="AC308" s="424" t="s">
        <v>1953</v>
      </c>
      <c r="AD308" s="424" t="s">
        <v>2851</v>
      </c>
      <c r="AE308" s="424" t="s">
        <v>3467</v>
      </c>
      <c r="AF308" s="424"/>
      <c r="AG308" s="424"/>
      <c r="AH308" s="424"/>
    </row>
    <row r="309" spans="1:34" x14ac:dyDescent="0.25">
      <c r="A309" s="423" t="s">
        <v>1564</v>
      </c>
      <c r="B309" s="423" t="s">
        <v>3766</v>
      </c>
      <c r="C309" s="423" t="s">
        <v>1705</v>
      </c>
      <c r="D309" s="423" t="s">
        <v>3252</v>
      </c>
      <c r="E309" s="423" t="s">
        <v>2818</v>
      </c>
      <c r="F309" s="423">
        <v>4</v>
      </c>
      <c r="G309" s="423" t="s">
        <v>3711</v>
      </c>
      <c r="H309" s="423"/>
      <c r="J309" s="423"/>
      <c r="K309" s="423"/>
      <c r="L309" s="423"/>
      <c r="M309" s="423"/>
      <c r="Q309" s="423"/>
      <c r="R309" s="424" t="s">
        <v>3766</v>
      </c>
      <c r="S309" s="424" t="s">
        <v>2846</v>
      </c>
      <c r="T309" s="424" t="s">
        <v>3268</v>
      </c>
      <c r="U309" s="424">
        <v>0</v>
      </c>
      <c r="V309" s="424" t="s">
        <v>3269</v>
      </c>
      <c r="W309" s="424" t="s">
        <v>2974</v>
      </c>
      <c r="X309" s="424" t="s">
        <v>3298</v>
      </c>
      <c r="Y309" s="424" t="s">
        <v>2279</v>
      </c>
      <c r="Z309" s="424" t="s">
        <v>2848</v>
      </c>
      <c r="AA309" s="424" t="s">
        <v>2849</v>
      </c>
      <c r="AB309" s="424" t="s">
        <v>3577</v>
      </c>
      <c r="AC309" s="424" t="s">
        <v>1953</v>
      </c>
      <c r="AD309" s="424" t="s">
        <v>2851</v>
      </c>
      <c r="AE309" s="424" t="s">
        <v>2901</v>
      </c>
      <c r="AF309" s="424"/>
      <c r="AG309" s="424"/>
      <c r="AH309" s="424"/>
    </row>
    <row r="310" spans="1:34" x14ac:dyDescent="0.25">
      <c r="A310" s="423" t="s">
        <v>1564</v>
      </c>
      <c r="B310" s="423" t="s">
        <v>3690</v>
      </c>
      <c r="C310" s="423" t="s">
        <v>1705</v>
      </c>
      <c r="D310" s="423" t="s">
        <v>3252</v>
      </c>
      <c r="E310" s="423" t="s">
        <v>2818</v>
      </c>
      <c r="F310" s="423">
        <v>24</v>
      </c>
      <c r="G310" s="423" t="s">
        <v>3691</v>
      </c>
      <c r="H310" s="423"/>
      <c r="J310" s="423"/>
      <c r="K310" s="423"/>
      <c r="L310" s="423"/>
      <c r="M310" s="423"/>
      <c r="Q310" s="423"/>
      <c r="R310" s="424" t="s">
        <v>3692</v>
      </c>
      <c r="S310" s="424" t="s">
        <v>2846</v>
      </c>
      <c r="T310" s="424" t="s">
        <v>3693</v>
      </c>
      <c r="U310" s="424">
        <v>0</v>
      </c>
      <c r="V310" s="424" t="s">
        <v>3694</v>
      </c>
      <c r="W310" s="424" t="s">
        <v>2924</v>
      </c>
      <c r="X310" s="424" t="s">
        <v>3298</v>
      </c>
      <c r="Y310" s="424" t="s">
        <v>2279</v>
      </c>
      <c r="Z310" s="424" t="s">
        <v>2872</v>
      </c>
      <c r="AA310" s="424" t="s">
        <v>2873</v>
      </c>
      <c r="AB310" s="424" t="s">
        <v>3695</v>
      </c>
      <c r="AC310" s="424" t="s">
        <v>1953</v>
      </c>
      <c r="AD310" s="424" t="s">
        <v>2875</v>
      </c>
      <c r="AE310" s="424" t="s">
        <v>3696</v>
      </c>
      <c r="AF310" s="424"/>
      <c r="AG310" s="424"/>
      <c r="AH310" s="424"/>
    </row>
    <row r="311" spans="1:34" x14ac:dyDescent="0.25">
      <c r="A311" s="423" t="s">
        <v>1564</v>
      </c>
      <c r="B311" s="423" t="s">
        <v>3701</v>
      </c>
      <c r="C311" s="423" t="s">
        <v>1705</v>
      </c>
      <c r="D311" s="423" t="s">
        <v>3252</v>
      </c>
      <c r="E311" s="423" t="s">
        <v>2818</v>
      </c>
      <c r="F311" s="423">
        <v>24</v>
      </c>
      <c r="G311" s="423" t="s">
        <v>3691</v>
      </c>
      <c r="H311" s="423"/>
      <c r="J311" s="423"/>
      <c r="K311" s="423"/>
      <c r="L311" s="423"/>
      <c r="M311" s="423"/>
      <c r="Q311" s="423"/>
      <c r="R311" s="424" t="s">
        <v>3702</v>
      </c>
      <c r="S311" s="424" t="s">
        <v>2846</v>
      </c>
      <c r="T311" s="424" t="s">
        <v>3693</v>
      </c>
      <c r="U311" s="424">
        <v>0</v>
      </c>
      <c r="V311" s="424" t="s">
        <v>3694</v>
      </c>
      <c r="W311" s="424" t="s">
        <v>2924</v>
      </c>
      <c r="X311" s="424" t="s">
        <v>3298</v>
      </c>
      <c r="Y311" s="424" t="s">
        <v>2279</v>
      </c>
      <c r="Z311" s="424" t="s">
        <v>2889</v>
      </c>
      <c r="AA311" s="424" t="s">
        <v>3703</v>
      </c>
      <c r="AB311" s="424" t="s">
        <v>3704</v>
      </c>
      <c r="AC311" s="424" t="s">
        <v>1953</v>
      </c>
      <c r="AD311" s="424" t="s">
        <v>2875</v>
      </c>
      <c r="AE311" s="424" t="s">
        <v>3705</v>
      </c>
      <c r="AF311" s="424"/>
      <c r="AG311" s="424"/>
      <c r="AH311" s="424"/>
    </row>
    <row r="312" spans="1:34" x14ac:dyDescent="0.25">
      <c r="A312" s="423" t="s">
        <v>3767</v>
      </c>
      <c r="B312" s="423" t="s">
        <v>3768</v>
      </c>
      <c r="C312" s="423" t="s">
        <v>1705</v>
      </c>
      <c r="D312" s="423" t="s">
        <v>3252</v>
      </c>
      <c r="E312" s="423" t="s">
        <v>2818</v>
      </c>
      <c r="F312" s="423">
        <v>48</v>
      </c>
      <c r="G312" s="423" t="s">
        <v>3769</v>
      </c>
      <c r="H312" s="423"/>
      <c r="J312" s="423"/>
      <c r="K312" s="423"/>
      <c r="L312" s="423"/>
      <c r="M312" s="423"/>
      <c r="Q312" s="423"/>
      <c r="R312" s="424" t="s">
        <v>3770</v>
      </c>
      <c r="S312" s="424" t="s">
        <v>2820</v>
      </c>
      <c r="T312" s="424" t="s">
        <v>3268</v>
      </c>
      <c r="U312" s="424">
        <v>0</v>
      </c>
      <c r="V312" s="424" t="s">
        <v>2824</v>
      </c>
      <c r="W312" s="424" t="s">
        <v>2824</v>
      </c>
      <c r="X312" s="424" t="s">
        <v>2825</v>
      </c>
      <c r="Y312" s="424" t="s">
        <v>2279</v>
      </c>
      <c r="Z312" s="424" t="s">
        <v>2889</v>
      </c>
      <c r="AA312" s="424" t="s">
        <v>3771</v>
      </c>
      <c r="AB312" s="424" t="s">
        <v>3772</v>
      </c>
      <c r="AC312" s="424" t="s">
        <v>1953</v>
      </c>
      <c r="AD312" s="424" t="s">
        <v>3329</v>
      </c>
      <c r="AE312" s="424" t="s">
        <v>3773</v>
      </c>
      <c r="AF312" s="424"/>
      <c r="AG312" s="424"/>
      <c r="AH312" s="424"/>
    </row>
    <row r="313" spans="1:34" x14ac:dyDescent="0.25">
      <c r="A313" s="423" t="s">
        <v>3767</v>
      </c>
      <c r="B313" s="423" t="s">
        <v>3774</v>
      </c>
      <c r="C313" s="423" t="s">
        <v>1705</v>
      </c>
      <c r="D313" s="423" t="s">
        <v>3252</v>
      </c>
      <c r="E313" s="423" t="s">
        <v>2818</v>
      </c>
      <c r="F313" s="423">
        <v>48</v>
      </c>
      <c r="G313" s="423" t="s">
        <v>3775</v>
      </c>
      <c r="H313" s="423"/>
      <c r="J313" s="423"/>
      <c r="K313" s="423"/>
      <c r="L313" s="423"/>
      <c r="M313" s="423"/>
      <c r="Q313" s="423"/>
      <c r="R313" s="424" t="s">
        <v>3776</v>
      </c>
      <c r="S313" s="424" t="s">
        <v>2820</v>
      </c>
      <c r="T313" s="424" t="s">
        <v>3777</v>
      </c>
      <c r="U313" s="424">
        <v>0</v>
      </c>
      <c r="V313" s="424" t="s">
        <v>2824</v>
      </c>
      <c r="W313" s="424" t="s">
        <v>2824</v>
      </c>
      <c r="X313" s="424" t="s">
        <v>2825</v>
      </c>
      <c r="Y313" s="424" t="s">
        <v>2279</v>
      </c>
      <c r="Z313" s="424" t="s">
        <v>2889</v>
      </c>
      <c r="AA313" s="424" t="s">
        <v>3771</v>
      </c>
      <c r="AB313" s="424" t="s">
        <v>3778</v>
      </c>
      <c r="AC313" s="424" t="s">
        <v>1953</v>
      </c>
      <c r="AD313" s="424" t="s">
        <v>3329</v>
      </c>
      <c r="AE313" s="424" t="s">
        <v>3773</v>
      </c>
      <c r="AF313" s="424"/>
      <c r="AG313" s="424"/>
      <c r="AH313" s="424"/>
    </row>
    <row r="314" spans="1:34" x14ac:dyDescent="0.25">
      <c r="A314" s="423" t="s">
        <v>3767</v>
      </c>
      <c r="B314" s="423" t="s">
        <v>3779</v>
      </c>
      <c r="C314" s="423" t="s">
        <v>1705</v>
      </c>
      <c r="D314" s="423" t="s">
        <v>3252</v>
      </c>
      <c r="E314" s="423" t="s">
        <v>2818</v>
      </c>
      <c r="F314" s="423">
        <v>48</v>
      </c>
      <c r="G314" s="423" t="s">
        <v>3775</v>
      </c>
      <c r="H314" s="423"/>
      <c r="J314" s="423"/>
      <c r="K314" s="423"/>
      <c r="L314" s="423"/>
      <c r="M314" s="423"/>
      <c r="Q314" s="423"/>
      <c r="R314" s="424" t="s">
        <v>3780</v>
      </c>
      <c r="S314" s="424" t="s">
        <v>2820</v>
      </c>
      <c r="T314" s="424" t="s">
        <v>3268</v>
      </c>
      <c r="U314" s="424">
        <v>0</v>
      </c>
      <c r="V314" s="424" t="s">
        <v>2824</v>
      </c>
      <c r="W314" s="424" t="s">
        <v>2824</v>
      </c>
      <c r="X314" s="424" t="s">
        <v>2825</v>
      </c>
      <c r="Y314" s="424" t="s">
        <v>2279</v>
      </c>
      <c r="Z314" s="424" t="s">
        <v>2889</v>
      </c>
      <c r="AA314" s="424" t="s">
        <v>3771</v>
      </c>
      <c r="AB314" s="424" t="s">
        <v>3781</v>
      </c>
      <c r="AC314" s="424" t="s">
        <v>1953</v>
      </c>
      <c r="AD314" s="424" t="s">
        <v>3329</v>
      </c>
      <c r="AE314" s="424" t="s">
        <v>3773</v>
      </c>
      <c r="AF314" s="424"/>
      <c r="AG314" s="424"/>
      <c r="AH314" s="424"/>
    </row>
    <row r="315" spans="1:34" x14ac:dyDescent="0.25">
      <c r="A315" s="423" t="s">
        <v>3767</v>
      </c>
      <c r="B315" s="423" t="s">
        <v>3782</v>
      </c>
      <c r="C315" s="423" t="s">
        <v>1705</v>
      </c>
      <c r="D315" s="423" t="s">
        <v>3252</v>
      </c>
      <c r="E315" s="423" t="s">
        <v>2818</v>
      </c>
      <c r="F315" s="423">
        <v>12</v>
      </c>
      <c r="G315" s="423" t="s">
        <v>3542</v>
      </c>
      <c r="H315" s="423"/>
      <c r="J315" s="423"/>
      <c r="K315" s="423"/>
      <c r="L315" s="423"/>
      <c r="M315" s="423"/>
      <c r="Q315" s="423"/>
      <c r="R315" s="424" t="s">
        <v>3783</v>
      </c>
      <c r="S315" s="424" t="s">
        <v>2846</v>
      </c>
      <c r="T315" s="424" t="s">
        <v>3356</v>
      </c>
      <c r="U315" s="424">
        <v>0</v>
      </c>
      <c r="V315" s="424" t="s">
        <v>3176</v>
      </c>
      <c r="W315" s="424" t="s">
        <v>3074</v>
      </c>
      <c r="X315" s="424" t="s">
        <v>2825</v>
      </c>
      <c r="Y315" s="424" t="s">
        <v>2279</v>
      </c>
      <c r="Z315" s="424" t="s">
        <v>2872</v>
      </c>
      <c r="AA315" s="424" t="s">
        <v>3197</v>
      </c>
      <c r="AB315" s="424" t="s">
        <v>3784</v>
      </c>
      <c r="AC315" s="424" t="s">
        <v>1953</v>
      </c>
      <c r="AD315" s="424" t="s">
        <v>2892</v>
      </c>
      <c r="AE315" s="424" t="s">
        <v>3387</v>
      </c>
      <c r="AF315" s="424"/>
      <c r="AG315" s="424"/>
      <c r="AH315" s="424"/>
    </row>
    <row r="316" spans="1:34" x14ac:dyDescent="0.25">
      <c r="A316" s="423" t="s">
        <v>3767</v>
      </c>
      <c r="B316" s="423" t="s">
        <v>3785</v>
      </c>
      <c r="C316" s="423" t="s">
        <v>1705</v>
      </c>
      <c r="D316" s="423" t="s">
        <v>3252</v>
      </c>
      <c r="E316" s="423" t="s">
        <v>2818</v>
      </c>
      <c r="F316" s="423">
        <v>12</v>
      </c>
      <c r="G316" s="423" t="s">
        <v>3542</v>
      </c>
      <c r="H316" s="423"/>
      <c r="J316" s="423"/>
      <c r="K316" s="423"/>
      <c r="L316" s="423"/>
      <c r="M316" s="423"/>
      <c r="Q316" s="423"/>
      <c r="R316" s="424" t="s">
        <v>3786</v>
      </c>
      <c r="S316" s="424" t="s">
        <v>2846</v>
      </c>
      <c r="T316" s="424" t="s">
        <v>3356</v>
      </c>
      <c r="U316" s="424">
        <v>0</v>
      </c>
      <c r="V316" s="424" t="s">
        <v>3176</v>
      </c>
      <c r="W316" s="424" t="s">
        <v>3074</v>
      </c>
      <c r="X316" s="424" t="s">
        <v>2825</v>
      </c>
      <c r="Y316" s="424" t="s">
        <v>2279</v>
      </c>
      <c r="Z316" s="424" t="s">
        <v>2872</v>
      </c>
      <c r="AA316" s="424" t="s">
        <v>3197</v>
      </c>
      <c r="AB316" s="424" t="s">
        <v>3758</v>
      </c>
      <c r="AC316" s="424" t="s">
        <v>1953</v>
      </c>
      <c r="AD316" s="424" t="s">
        <v>2892</v>
      </c>
      <c r="AE316" s="424" t="s">
        <v>3348</v>
      </c>
      <c r="AF316" s="424"/>
      <c r="AG316" s="424"/>
      <c r="AH316" s="424"/>
    </row>
    <row r="317" spans="1:34" x14ac:dyDescent="0.25">
      <c r="A317" s="423" t="s">
        <v>3767</v>
      </c>
      <c r="B317" s="423" t="s">
        <v>3787</v>
      </c>
      <c r="C317" s="423" t="s">
        <v>1705</v>
      </c>
      <c r="D317" s="423" t="s">
        <v>3252</v>
      </c>
      <c r="E317" s="423" t="s">
        <v>2818</v>
      </c>
      <c r="F317" s="423">
        <v>12</v>
      </c>
      <c r="G317" s="423" t="s">
        <v>3542</v>
      </c>
      <c r="H317" s="423"/>
      <c r="J317" s="423"/>
      <c r="K317" s="423"/>
      <c r="L317" s="423"/>
      <c r="M317" s="423"/>
      <c r="Q317" s="423"/>
      <c r="R317" s="424" t="s">
        <v>3788</v>
      </c>
      <c r="S317" s="424" t="s">
        <v>2846</v>
      </c>
      <c r="T317" s="424" t="s">
        <v>3356</v>
      </c>
      <c r="U317" s="424">
        <v>0</v>
      </c>
      <c r="V317" s="424" t="s">
        <v>3176</v>
      </c>
      <c r="W317" s="424" t="s">
        <v>3074</v>
      </c>
      <c r="X317" s="424" t="s">
        <v>2825</v>
      </c>
      <c r="Y317" s="424" t="s">
        <v>2279</v>
      </c>
      <c r="Z317" s="424" t="s">
        <v>2872</v>
      </c>
      <c r="AA317" s="424" t="s">
        <v>3197</v>
      </c>
      <c r="AB317" s="424" t="s">
        <v>3347</v>
      </c>
      <c r="AC317" s="424" t="s">
        <v>1953</v>
      </c>
      <c r="AD317" s="424" t="s">
        <v>2892</v>
      </c>
      <c r="AE317" s="424" t="s">
        <v>3348</v>
      </c>
      <c r="AF317" s="424"/>
      <c r="AG317" s="424"/>
      <c r="AH317" s="424"/>
    </row>
    <row r="318" spans="1:34" x14ac:dyDescent="0.25">
      <c r="A318" s="423" t="s">
        <v>3767</v>
      </c>
      <c r="B318" s="423" t="s">
        <v>3789</v>
      </c>
      <c r="C318" s="423" t="s">
        <v>1705</v>
      </c>
      <c r="D318" s="423" t="s">
        <v>3252</v>
      </c>
      <c r="E318" s="423" t="s">
        <v>2818</v>
      </c>
      <c r="F318" s="423">
        <v>12</v>
      </c>
      <c r="G318" s="423" t="s">
        <v>3542</v>
      </c>
      <c r="H318" s="423"/>
      <c r="J318" s="423"/>
      <c r="K318" s="423"/>
      <c r="L318" s="423"/>
      <c r="M318" s="423"/>
      <c r="Q318" s="423"/>
      <c r="R318" s="424" t="s">
        <v>3790</v>
      </c>
      <c r="S318" s="424" t="s">
        <v>2846</v>
      </c>
      <c r="T318" s="424" t="s">
        <v>3356</v>
      </c>
      <c r="U318" s="424">
        <v>0</v>
      </c>
      <c r="V318" s="424" t="s">
        <v>3176</v>
      </c>
      <c r="W318" s="424" t="s">
        <v>3074</v>
      </c>
      <c r="X318" s="424" t="s">
        <v>2825</v>
      </c>
      <c r="Y318" s="424" t="s">
        <v>2279</v>
      </c>
      <c r="Z318" s="424" t="s">
        <v>2872</v>
      </c>
      <c r="AA318" s="424" t="s">
        <v>3197</v>
      </c>
      <c r="AB318" s="424" t="s">
        <v>3399</v>
      </c>
      <c r="AC318" s="424" t="s">
        <v>1953</v>
      </c>
      <c r="AD318" s="424" t="s">
        <v>2892</v>
      </c>
      <c r="AE318" s="424" t="s">
        <v>3387</v>
      </c>
      <c r="AF318" s="424"/>
      <c r="AG318" s="424"/>
      <c r="AH318" s="424"/>
    </row>
    <row r="319" spans="1:34" x14ac:dyDescent="0.25">
      <c r="A319" s="423" t="s">
        <v>3767</v>
      </c>
      <c r="B319" s="423" t="s">
        <v>3791</v>
      </c>
      <c r="C319" s="423" t="s">
        <v>1705</v>
      </c>
      <c r="D319" s="423" t="s">
        <v>3252</v>
      </c>
      <c r="E319" s="423" t="s">
        <v>2818</v>
      </c>
      <c r="F319" s="423">
        <v>12</v>
      </c>
      <c r="G319" s="423" t="s">
        <v>3542</v>
      </c>
      <c r="H319" s="423"/>
      <c r="J319" s="423"/>
      <c r="K319" s="423"/>
      <c r="L319" s="423"/>
      <c r="M319" s="423"/>
      <c r="Q319" s="423"/>
      <c r="R319" s="424" t="s">
        <v>3792</v>
      </c>
      <c r="S319" s="424" t="s">
        <v>2846</v>
      </c>
      <c r="T319" s="424" t="s">
        <v>3356</v>
      </c>
      <c r="U319" s="424">
        <v>0</v>
      </c>
      <c r="V319" s="424" t="s">
        <v>3176</v>
      </c>
      <c r="W319" s="424" t="s">
        <v>3074</v>
      </c>
      <c r="X319" s="424" t="s">
        <v>2825</v>
      </c>
      <c r="Y319" s="424" t="s">
        <v>2279</v>
      </c>
      <c r="Z319" s="424" t="s">
        <v>2872</v>
      </c>
      <c r="AA319" s="424" t="s">
        <v>3197</v>
      </c>
      <c r="AB319" s="424" t="s">
        <v>3392</v>
      </c>
      <c r="AC319" s="424" t="s">
        <v>1953</v>
      </c>
      <c r="AD319" s="424" t="s">
        <v>2892</v>
      </c>
      <c r="AE319" s="424" t="s">
        <v>3348</v>
      </c>
      <c r="AF319" s="424"/>
      <c r="AG319" s="424"/>
      <c r="AH319" s="424"/>
    </row>
    <row r="320" spans="1:34" x14ac:dyDescent="0.25">
      <c r="A320" s="423" t="s">
        <v>3767</v>
      </c>
      <c r="B320" s="423" t="s">
        <v>3793</v>
      </c>
      <c r="C320" s="423" t="s">
        <v>1705</v>
      </c>
      <c r="D320" s="423" t="s">
        <v>3252</v>
      </c>
      <c r="E320" s="423" t="s">
        <v>2818</v>
      </c>
      <c r="F320" s="423">
        <v>12</v>
      </c>
      <c r="G320" s="423" t="s">
        <v>3542</v>
      </c>
      <c r="H320" s="423"/>
      <c r="J320" s="423"/>
      <c r="K320" s="423"/>
      <c r="L320" s="423"/>
      <c r="M320" s="423"/>
      <c r="Q320" s="423"/>
      <c r="R320" s="424" t="s">
        <v>3794</v>
      </c>
      <c r="S320" s="424" t="s">
        <v>2846</v>
      </c>
      <c r="T320" s="424" t="s">
        <v>3356</v>
      </c>
      <c r="U320" s="424">
        <v>0</v>
      </c>
      <c r="V320" s="424" t="s">
        <v>3176</v>
      </c>
      <c r="W320" s="424" t="s">
        <v>3074</v>
      </c>
      <c r="X320" s="424" t="s">
        <v>2825</v>
      </c>
      <c r="Y320" s="424" t="s">
        <v>2279</v>
      </c>
      <c r="Z320" s="424" t="s">
        <v>2872</v>
      </c>
      <c r="AA320" s="424" t="s">
        <v>3197</v>
      </c>
      <c r="AB320" s="424" t="s">
        <v>3758</v>
      </c>
      <c r="AC320" s="424" t="s">
        <v>1953</v>
      </c>
      <c r="AD320" s="424" t="s">
        <v>2892</v>
      </c>
      <c r="AE320" s="424" t="s">
        <v>3348</v>
      </c>
      <c r="AF320" s="424"/>
      <c r="AG320" s="424"/>
      <c r="AH320" s="424"/>
    </row>
    <row r="321" spans="1:34" x14ac:dyDescent="0.25">
      <c r="A321" s="423" t="s">
        <v>3767</v>
      </c>
      <c r="B321" s="423" t="s">
        <v>3795</v>
      </c>
      <c r="C321" s="423" t="s">
        <v>1705</v>
      </c>
      <c r="D321" s="423" t="s">
        <v>3252</v>
      </c>
      <c r="E321" s="423" t="s">
        <v>2818</v>
      </c>
      <c r="F321" s="423">
        <v>12</v>
      </c>
      <c r="G321" s="423" t="s">
        <v>3542</v>
      </c>
      <c r="H321" s="423"/>
      <c r="J321" s="423"/>
      <c r="K321" s="423"/>
      <c r="L321" s="423"/>
      <c r="M321" s="423"/>
      <c r="Q321" s="423"/>
      <c r="R321" s="424" t="s">
        <v>3796</v>
      </c>
      <c r="S321" s="424" t="s">
        <v>2846</v>
      </c>
      <c r="T321" s="424" t="s">
        <v>3356</v>
      </c>
      <c r="U321" s="424">
        <v>0</v>
      </c>
      <c r="V321" s="424" t="s">
        <v>3176</v>
      </c>
      <c r="W321" s="424" t="s">
        <v>3074</v>
      </c>
      <c r="X321" s="424" t="s">
        <v>2825</v>
      </c>
      <c r="Y321" s="424" t="s">
        <v>2279</v>
      </c>
      <c r="Z321" s="424" t="s">
        <v>2872</v>
      </c>
      <c r="AA321" s="424" t="s">
        <v>3197</v>
      </c>
      <c r="AB321" s="424" t="s">
        <v>3784</v>
      </c>
      <c r="AC321" s="424" t="s">
        <v>1953</v>
      </c>
      <c r="AD321" s="424" t="s">
        <v>2892</v>
      </c>
      <c r="AE321" s="424" t="s">
        <v>3387</v>
      </c>
      <c r="AF321" s="424"/>
      <c r="AG321" s="424"/>
      <c r="AH321" s="424"/>
    </row>
    <row r="322" spans="1:34" x14ac:dyDescent="0.25">
      <c r="A322" s="423" t="s">
        <v>3767</v>
      </c>
      <c r="B322" s="423" t="s">
        <v>3797</v>
      </c>
      <c r="C322" s="423" t="s">
        <v>1705</v>
      </c>
      <c r="D322" s="423" t="s">
        <v>3252</v>
      </c>
      <c r="E322" s="423" t="s">
        <v>2818</v>
      </c>
      <c r="F322" s="423">
        <v>12</v>
      </c>
      <c r="G322" s="423" t="s">
        <v>3542</v>
      </c>
      <c r="H322" s="423"/>
      <c r="J322" s="423"/>
      <c r="K322" s="423"/>
      <c r="L322" s="423"/>
      <c r="M322" s="423"/>
      <c r="Q322" s="423"/>
      <c r="R322" s="424" t="s">
        <v>3798</v>
      </c>
      <c r="S322" s="424" t="s">
        <v>2846</v>
      </c>
      <c r="T322" s="424" t="s">
        <v>3356</v>
      </c>
      <c r="U322" s="424">
        <v>0</v>
      </c>
      <c r="V322" s="424" t="s">
        <v>3176</v>
      </c>
      <c r="W322" s="424" t="s">
        <v>3074</v>
      </c>
      <c r="X322" s="424" t="s">
        <v>2825</v>
      </c>
      <c r="Y322" s="424" t="s">
        <v>2279</v>
      </c>
      <c r="Z322" s="424" t="s">
        <v>2872</v>
      </c>
      <c r="AA322" s="424" t="s">
        <v>3197</v>
      </c>
      <c r="AB322" s="424" t="s">
        <v>3408</v>
      </c>
      <c r="AC322" s="424" t="s">
        <v>1953</v>
      </c>
      <c r="AD322" s="424" t="s">
        <v>2892</v>
      </c>
      <c r="AE322" s="424" t="s">
        <v>3348</v>
      </c>
      <c r="AF322" s="424"/>
      <c r="AG322" s="424"/>
      <c r="AH322" s="424"/>
    </row>
    <row r="323" spans="1:34" x14ac:dyDescent="0.25">
      <c r="A323" s="423" t="s">
        <v>3767</v>
      </c>
      <c r="B323" s="423" t="s">
        <v>3799</v>
      </c>
      <c r="C323" s="423" t="s">
        <v>1705</v>
      </c>
      <c r="D323" s="423" t="s">
        <v>3252</v>
      </c>
      <c r="E323" s="423" t="s">
        <v>2818</v>
      </c>
      <c r="F323" s="423">
        <v>12</v>
      </c>
      <c r="G323" s="423" t="s">
        <v>3542</v>
      </c>
      <c r="H323" s="423"/>
      <c r="J323" s="423"/>
      <c r="K323" s="423"/>
      <c r="L323" s="423"/>
      <c r="M323" s="423"/>
      <c r="Q323" s="423"/>
      <c r="R323" s="424" t="s">
        <v>3800</v>
      </c>
      <c r="S323" s="424" t="s">
        <v>2846</v>
      </c>
      <c r="T323" s="424" t="s">
        <v>3356</v>
      </c>
      <c r="U323" s="424">
        <v>0</v>
      </c>
      <c r="V323" s="424" t="s">
        <v>3176</v>
      </c>
      <c r="W323" s="424" t="s">
        <v>3074</v>
      </c>
      <c r="X323" s="424" t="s">
        <v>2825</v>
      </c>
      <c r="Y323" s="424" t="s">
        <v>2279</v>
      </c>
      <c r="Z323" s="424" t="s">
        <v>2872</v>
      </c>
      <c r="AA323" s="424" t="s">
        <v>3197</v>
      </c>
      <c r="AB323" s="424" t="s">
        <v>3755</v>
      </c>
      <c r="AC323" s="424" t="s">
        <v>1953</v>
      </c>
      <c r="AD323" s="424" t="s">
        <v>2892</v>
      </c>
      <c r="AE323" s="424" t="s">
        <v>3387</v>
      </c>
      <c r="AF323" s="424"/>
      <c r="AG323" s="424"/>
      <c r="AH323" s="424"/>
    </row>
    <row r="324" spans="1:34" x14ac:dyDescent="0.25">
      <c r="A324" s="423" t="s">
        <v>3767</v>
      </c>
      <c r="B324" s="423" t="s">
        <v>3801</v>
      </c>
      <c r="C324" s="423" t="s">
        <v>1705</v>
      </c>
      <c r="D324" s="423" t="s">
        <v>3252</v>
      </c>
      <c r="E324" s="423" t="s">
        <v>2818</v>
      </c>
      <c r="F324" s="423">
        <v>12</v>
      </c>
      <c r="G324" s="423" t="s">
        <v>3542</v>
      </c>
      <c r="H324" s="423"/>
      <c r="J324" s="423"/>
      <c r="K324" s="423"/>
      <c r="L324" s="423"/>
      <c r="M324" s="423"/>
      <c r="Q324" s="423"/>
      <c r="R324" s="424" t="s">
        <v>3802</v>
      </c>
      <c r="S324" s="424" t="s">
        <v>2846</v>
      </c>
      <c r="T324" s="424" t="s">
        <v>3356</v>
      </c>
      <c r="U324" s="424">
        <v>0</v>
      </c>
      <c r="V324" s="424" t="s">
        <v>3176</v>
      </c>
      <c r="W324" s="424" t="s">
        <v>3074</v>
      </c>
      <c r="X324" s="424" t="s">
        <v>2825</v>
      </c>
      <c r="Y324" s="424" t="s">
        <v>2279</v>
      </c>
      <c r="Z324" s="424" t="s">
        <v>2872</v>
      </c>
      <c r="AA324" s="424" t="s">
        <v>3197</v>
      </c>
      <c r="AB324" s="424" t="s">
        <v>3803</v>
      </c>
      <c r="AC324" s="424" t="s">
        <v>1953</v>
      </c>
      <c r="AD324" s="424" t="s">
        <v>2892</v>
      </c>
      <c r="AE324" s="424" t="s">
        <v>3348</v>
      </c>
      <c r="AF324" s="424"/>
      <c r="AG324" s="424"/>
      <c r="AH324" s="424"/>
    </row>
    <row r="325" spans="1:34" x14ac:dyDescent="0.25">
      <c r="A325" s="423" t="s">
        <v>3767</v>
      </c>
      <c r="B325" s="423" t="s">
        <v>3804</v>
      </c>
      <c r="C325" s="423" t="s">
        <v>1705</v>
      </c>
      <c r="D325" s="423" t="s">
        <v>3252</v>
      </c>
      <c r="E325" s="423" t="s">
        <v>2818</v>
      </c>
      <c r="F325" s="423">
        <v>12</v>
      </c>
      <c r="G325" s="423" t="s">
        <v>3542</v>
      </c>
      <c r="H325" s="423"/>
      <c r="J325" s="423"/>
      <c r="K325" s="423"/>
      <c r="L325" s="423"/>
      <c r="M325" s="423"/>
      <c r="Q325" s="423"/>
      <c r="R325" s="424" t="s">
        <v>3805</v>
      </c>
      <c r="S325" s="424" t="s">
        <v>2846</v>
      </c>
      <c r="T325" s="424" t="s">
        <v>3356</v>
      </c>
      <c r="U325" s="424">
        <v>0</v>
      </c>
      <c r="V325" s="424" t="s">
        <v>3176</v>
      </c>
      <c r="W325" s="424" t="s">
        <v>3074</v>
      </c>
      <c r="X325" s="424" t="s">
        <v>2825</v>
      </c>
      <c r="Y325" s="424" t="s">
        <v>2279</v>
      </c>
      <c r="Z325" s="424" t="s">
        <v>2872</v>
      </c>
      <c r="AA325" s="424" t="s">
        <v>3197</v>
      </c>
      <c r="AB325" s="424" t="s">
        <v>3784</v>
      </c>
      <c r="AC325" s="424" t="s">
        <v>1953</v>
      </c>
      <c r="AD325" s="424" t="s">
        <v>2892</v>
      </c>
      <c r="AE325" s="424" t="s">
        <v>3387</v>
      </c>
      <c r="AF325" s="424"/>
      <c r="AG325" s="424"/>
      <c r="AH325" s="424"/>
    </row>
    <row r="326" spans="1:34" x14ac:dyDescent="0.25">
      <c r="A326" s="423" t="s">
        <v>3767</v>
      </c>
      <c r="B326" s="423" t="s">
        <v>3806</v>
      </c>
      <c r="C326" s="423" t="s">
        <v>1705</v>
      </c>
      <c r="D326" s="423" t="s">
        <v>3252</v>
      </c>
      <c r="E326" s="423" t="s">
        <v>2818</v>
      </c>
      <c r="F326" s="423">
        <v>12</v>
      </c>
      <c r="G326" s="423" t="s">
        <v>3542</v>
      </c>
      <c r="H326" s="423"/>
      <c r="J326" s="423"/>
      <c r="K326" s="423"/>
      <c r="L326" s="423"/>
      <c r="M326" s="423"/>
      <c r="Q326" s="423"/>
      <c r="R326" s="424" t="s">
        <v>3807</v>
      </c>
      <c r="S326" s="424" t="s">
        <v>2846</v>
      </c>
      <c r="T326" s="424" t="s">
        <v>3356</v>
      </c>
      <c r="U326" s="424">
        <v>0</v>
      </c>
      <c r="V326" s="424" t="s">
        <v>3176</v>
      </c>
      <c r="W326" s="424" t="s">
        <v>3074</v>
      </c>
      <c r="X326" s="424" t="s">
        <v>2825</v>
      </c>
      <c r="Y326" s="424" t="s">
        <v>2279</v>
      </c>
      <c r="Z326" s="424" t="s">
        <v>2872</v>
      </c>
      <c r="AA326" s="424" t="s">
        <v>3197</v>
      </c>
      <c r="AB326" s="424" t="s">
        <v>3758</v>
      </c>
      <c r="AC326" s="424" t="s">
        <v>1953</v>
      </c>
      <c r="AD326" s="424" t="s">
        <v>2892</v>
      </c>
      <c r="AE326" s="424" t="s">
        <v>3348</v>
      </c>
      <c r="AF326" s="424"/>
      <c r="AG326" s="424"/>
      <c r="AH326" s="424"/>
    </row>
    <row r="327" spans="1:34" x14ac:dyDescent="0.25">
      <c r="A327" s="423" t="s">
        <v>3767</v>
      </c>
      <c r="B327" s="423" t="s">
        <v>3808</v>
      </c>
      <c r="C327" s="423" t="s">
        <v>1705</v>
      </c>
      <c r="D327" s="423" t="s">
        <v>3252</v>
      </c>
      <c r="E327" s="423" t="s">
        <v>2818</v>
      </c>
      <c r="F327" s="423">
        <v>20</v>
      </c>
      <c r="G327" s="423" t="s">
        <v>3427</v>
      </c>
      <c r="H327" s="423"/>
      <c r="J327" s="423"/>
      <c r="K327" s="423"/>
      <c r="L327" s="423"/>
      <c r="M327" s="423"/>
      <c r="Q327" s="423"/>
      <c r="R327" s="424" t="s">
        <v>3808</v>
      </c>
      <c r="S327" s="424" t="s">
        <v>2846</v>
      </c>
      <c r="T327" s="424" t="s">
        <v>3416</v>
      </c>
      <c r="U327" s="424">
        <v>0</v>
      </c>
      <c r="V327" s="424" t="s">
        <v>3269</v>
      </c>
      <c r="W327" s="424" t="s">
        <v>2974</v>
      </c>
      <c r="X327" s="424" t="s">
        <v>2825</v>
      </c>
      <c r="Y327" s="424" t="s">
        <v>2279</v>
      </c>
      <c r="Z327" s="424" t="s">
        <v>2848</v>
      </c>
      <c r="AA327" s="424" t="s">
        <v>2849</v>
      </c>
      <c r="AB327" s="424" t="s">
        <v>3809</v>
      </c>
      <c r="AC327" s="424" t="s">
        <v>1953</v>
      </c>
      <c r="AD327" s="424" t="s">
        <v>2851</v>
      </c>
      <c r="AE327" s="424" t="s">
        <v>3418</v>
      </c>
      <c r="AF327" s="424"/>
      <c r="AG327" s="424"/>
      <c r="AH327" s="424"/>
    </row>
    <row r="328" spans="1:34" x14ac:dyDescent="0.25">
      <c r="A328" s="423" t="s">
        <v>3767</v>
      </c>
      <c r="B328" s="423" t="s">
        <v>3810</v>
      </c>
      <c r="C328" s="423" t="s">
        <v>1705</v>
      </c>
      <c r="D328" s="423" t="s">
        <v>3252</v>
      </c>
      <c r="E328" s="423" t="s">
        <v>2818</v>
      </c>
      <c r="F328" s="423">
        <v>32</v>
      </c>
      <c r="G328" s="423" t="s">
        <v>3597</v>
      </c>
      <c r="H328" s="423"/>
      <c r="J328" s="423"/>
      <c r="K328" s="423"/>
      <c r="L328" s="423"/>
      <c r="M328" s="423"/>
      <c r="Q328" s="423"/>
      <c r="R328" s="424" t="s">
        <v>3810</v>
      </c>
      <c r="S328" s="424" t="s">
        <v>2846</v>
      </c>
      <c r="T328" s="424" t="s">
        <v>3268</v>
      </c>
      <c r="U328" s="424">
        <v>0</v>
      </c>
      <c r="V328" s="424" t="s">
        <v>3269</v>
      </c>
      <c r="W328" s="424" t="s">
        <v>2974</v>
      </c>
      <c r="X328" s="424" t="s">
        <v>2825</v>
      </c>
      <c r="Y328" s="424" t="s">
        <v>2279</v>
      </c>
      <c r="Z328" s="424" t="s">
        <v>3260</v>
      </c>
      <c r="AA328" s="424" t="s">
        <v>3327</v>
      </c>
      <c r="AB328" s="424" t="s">
        <v>3811</v>
      </c>
      <c r="AC328" s="424" t="s">
        <v>1953</v>
      </c>
      <c r="AD328" s="424" t="s">
        <v>3329</v>
      </c>
      <c r="AE328" s="424" t="s">
        <v>3333</v>
      </c>
      <c r="AF328" s="424"/>
      <c r="AG328" s="424"/>
      <c r="AH328" s="424"/>
    </row>
    <row r="329" spans="1:34" x14ac:dyDescent="0.25">
      <c r="A329" s="423" t="s">
        <v>3767</v>
      </c>
      <c r="B329" s="423" t="s">
        <v>3812</v>
      </c>
      <c r="C329" s="423" t="s">
        <v>1705</v>
      </c>
      <c r="D329" s="423" t="s">
        <v>3252</v>
      </c>
      <c r="E329" s="423" t="s">
        <v>2818</v>
      </c>
      <c r="F329" s="423">
        <v>36</v>
      </c>
      <c r="G329" s="423" t="s">
        <v>3542</v>
      </c>
      <c r="H329" s="423"/>
      <c r="J329" s="423"/>
      <c r="K329" s="423"/>
      <c r="L329" s="423"/>
      <c r="M329" s="423"/>
      <c r="Q329" s="423"/>
      <c r="R329" s="424" t="s">
        <v>3812</v>
      </c>
      <c r="S329" s="424" t="s">
        <v>2846</v>
      </c>
      <c r="T329" s="424" t="s">
        <v>3416</v>
      </c>
      <c r="U329" s="424">
        <v>0</v>
      </c>
      <c r="V329" s="424" t="s">
        <v>3269</v>
      </c>
      <c r="W329" s="424" t="s">
        <v>3054</v>
      </c>
      <c r="X329" s="424" t="s">
        <v>2825</v>
      </c>
      <c r="Y329" s="424" t="s">
        <v>2279</v>
      </c>
      <c r="Z329" s="424" t="s">
        <v>2848</v>
      </c>
      <c r="AA329" s="424" t="s">
        <v>2855</v>
      </c>
      <c r="AB329" s="424" t="s">
        <v>3813</v>
      </c>
      <c r="AC329" s="424" t="s">
        <v>1953</v>
      </c>
      <c r="AD329" s="424" t="s">
        <v>2851</v>
      </c>
      <c r="AE329" s="424" t="s">
        <v>2901</v>
      </c>
      <c r="AF329" s="424"/>
      <c r="AG329" s="424"/>
      <c r="AH329" s="424"/>
    </row>
    <row r="330" spans="1:34" x14ac:dyDescent="0.25">
      <c r="A330" s="423" t="s">
        <v>3767</v>
      </c>
      <c r="B330" s="423" t="s">
        <v>3814</v>
      </c>
      <c r="C330" s="423" t="s">
        <v>1705</v>
      </c>
      <c r="D330" s="423" t="s">
        <v>3252</v>
      </c>
      <c r="E330" s="423" t="s">
        <v>2818</v>
      </c>
      <c r="F330" s="423">
        <v>20</v>
      </c>
      <c r="G330" s="423" t="s">
        <v>3253</v>
      </c>
      <c r="H330" s="423"/>
      <c r="J330" s="423"/>
      <c r="K330" s="423"/>
      <c r="L330" s="423"/>
      <c r="M330" s="423"/>
      <c r="Q330" s="423"/>
      <c r="R330" s="424" t="s">
        <v>3814</v>
      </c>
      <c r="S330" s="424" t="s">
        <v>2846</v>
      </c>
      <c r="T330" s="424" t="s">
        <v>3268</v>
      </c>
      <c r="U330" s="424">
        <v>0</v>
      </c>
      <c r="V330" s="424" t="s">
        <v>3269</v>
      </c>
      <c r="W330" s="424" t="s">
        <v>2871</v>
      </c>
      <c r="X330" s="424" t="s">
        <v>2825</v>
      </c>
      <c r="Y330" s="424" t="s">
        <v>2279</v>
      </c>
      <c r="Z330" s="424" t="s">
        <v>3260</v>
      </c>
      <c r="AA330" s="424" t="s">
        <v>3197</v>
      </c>
      <c r="AB330" s="424" t="s">
        <v>3815</v>
      </c>
      <c r="AC330" s="424" t="s">
        <v>1953</v>
      </c>
      <c r="AD330" s="424" t="s">
        <v>2851</v>
      </c>
      <c r="AE330" s="424" t="s">
        <v>3550</v>
      </c>
      <c r="AF330" s="424"/>
      <c r="AG330" s="424"/>
      <c r="AH330" s="424"/>
    </row>
    <row r="331" spans="1:34" x14ac:dyDescent="0.25">
      <c r="A331" s="423" t="s">
        <v>3767</v>
      </c>
      <c r="B331" s="423" t="s">
        <v>3816</v>
      </c>
      <c r="C331" s="423" t="s">
        <v>1705</v>
      </c>
      <c r="D331" s="423" t="s">
        <v>3252</v>
      </c>
      <c r="E331" s="423" t="s">
        <v>2818</v>
      </c>
      <c r="F331" s="423">
        <v>20</v>
      </c>
      <c r="G331" s="423" t="s">
        <v>3427</v>
      </c>
      <c r="H331" s="423"/>
      <c r="J331" s="423"/>
      <c r="K331" s="423"/>
      <c r="L331" s="423"/>
      <c r="M331" s="423"/>
      <c r="Q331" s="423"/>
      <c r="R331" s="424" t="s">
        <v>3816</v>
      </c>
      <c r="S331" s="424" t="s">
        <v>2846</v>
      </c>
      <c r="T331" s="424" t="s">
        <v>3416</v>
      </c>
      <c r="U331" s="424">
        <v>0</v>
      </c>
      <c r="V331" s="424" t="s">
        <v>3269</v>
      </c>
      <c r="W331" s="424" t="s">
        <v>2974</v>
      </c>
      <c r="X331" s="424" t="s">
        <v>2825</v>
      </c>
      <c r="Y331" s="424" t="s">
        <v>2279</v>
      </c>
      <c r="Z331" s="424" t="s">
        <v>2848</v>
      </c>
      <c r="AA331" s="424" t="s">
        <v>2849</v>
      </c>
      <c r="AB331" s="424" t="s">
        <v>3423</v>
      </c>
      <c r="AC331" s="424" t="s">
        <v>1953</v>
      </c>
      <c r="AD331" s="424" t="s">
        <v>2851</v>
      </c>
      <c r="AE331" s="424" t="s">
        <v>2901</v>
      </c>
      <c r="AF331" s="424"/>
      <c r="AG331" s="424"/>
      <c r="AH331" s="424"/>
    </row>
    <row r="332" spans="1:34" x14ac:dyDescent="0.25">
      <c r="A332" s="423" t="s">
        <v>3767</v>
      </c>
      <c r="B332" s="423" t="s">
        <v>3817</v>
      </c>
      <c r="C332" s="423" t="s">
        <v>1705</v>
      </c>
      <c r="D332" s="423" t="s">
        <v>3252</v>
      </c>
      <c r="E332" s="423" t="s">
        <v>2818</v>
      </c>
      <c r="F332" s="423">
        <v>20</v>
      </c>
      <c r="G332" s="423" t="s">
        <v>3427</v>
      </c>
      <c r="H332" s="423"/>
      <c r="J332" s="423"/>
      <c r="K332" s="423"/>
      <c r="L332" s="423"/>
      <c r="M332" s="423"/>
      <c r="Q332" s="423"/>
      <c r="R332" s="424" t="s">
        <v>3817</v>
      </c>
      <c r="S332" s="424" t="s">
        <v>2846</v>
      </c>
      <c r="T332" s="424" t="s">
        <v>3416</v>
      </c>
      <c r="U332" s="424">
        <v>0</v>
      </c>
      <c r="V332" s="424" t="s">
        <v>3269</v>
      </c>
      <c r="W332" s="424" t="s">
        <v>2974</v>
      </c>
      <c r="X332" s="424" t="s">
        <v>2825</v>
      </c>
      <c r="Y332" s="424" t="s">
        <v>2279</v>
      </c>
      <c r="Z332" s="424" t="s">
        <v>2848</v>
      </c>
      <c r="AA332" s="424" t="s">
        <v>2849</v>
      </c>
      <c r="AB332" s="424" t="s">
        <v>3765</v>
      </c>
      <c r="AC332" s="424" t="s">
        <v>1953</v>
      </c>
      <c r="AD332" s="424" t="s">
        <v>2851</v>
      </c>
      <c r="AE332" s="424" t="s">
        <v>3467</v>
      </c>
      <c r="AF332" s="424"/>
      <c r="AG332" s="424"/>
      <c r="AH332" s="424"/>
    </row>
    <row r="333" spans="1:34" x14ac:dyDescent="0.25">
      <c r="A333" s="423" t="s">
        <v>3767</v>
      </c>
      <c r="B333" s="423" t="s">
        <v>3818</v>
      </c>
      <c r="C333" s="423" t="s">
        <v>1705</v>
      </c>
      <c r="D333" s="423" t="s">
        <v>3252</v>
      </c>
      <c r="E333" s="423" t="s">
        <v>2818</v>
      </c>
      <c r="F333" s="423">
        <v>20</v>
      </c>
      <c r="G333" s="423" t="s">
        <v>3253</v>
      </c>
      <c r="H333" s="423"/>
      <c r="J333" s="423"/>
      <c r="K333" s="423"/>
      <c r="L333" s="423"/>
      <c r="M333" s="423"/>
      <c r="Q333" s="423"/>
      <c r="R333" s="424" t="s">
        <v>3818</v>
      </c>
      <c r="S333" s="424" t="s">
        <v>2846</v>
      </c>
      <c r="T333" s="424" t="s">
        <v>3268</v>
      </c>
      <c r="U333" s="424">
        <v>0</v>
      </c>
      <c r="V333" s="424" t="s">
        <v>3269</v>
      </c>
      <c r="W333" s="424" t="s">
        <v>3176</v>
      </c>
      <c r="X333" s="424" t="s">
        <v>2825</v>
      </c>
      <c r="Y333" s="424" t="s">
        <v>2279</v>
      </c>
      <c r="Z333" s="424" t="s">
        <v>3260</v>
      </c>
      <c r="AA333" s="424" t="s">
        <v>3197</v>
      </c>
      <c r="AB333" s="424" t="s">
        <v>3819</v>
      </c>
      <c r="AC333" s="424" t="s">
        <v>1953</v>
      </c>
      <c r="AD333" s="424" t="s">
        <v>2851</v>
      </c>
      <c r="AE333" s="424" t="s">
        <v>3324</v>
      </c>
      <c r="AF333" s="424"/>
      <c r="AG333" s="424"/>
      <c r="AH333" s="424"/>
    </row>
    <row r="334" spans="1:34" x14ac:dyDescent="0.25">
      <c r="A334" s="423" t="s">
        <v>3767</v>
      </c>
      <c r="B334" s="423" t="s">
        <v>3820</v>
      </c>
      <c r="C334" s="423" t="s">
        <v>1705</v>
      </c>
      <c r="D334" s="423" t="s">
        <v>3252</v>
      </c>
      <c r="E334" s="423" t="s">
        <v>2818</v>
      </c>
      <c r="F334" s="423">
        <v>20</v>
      </c>
      <c r="G334" s="423" t="s">
        <v>3427</v>
      </c>
      <c r="H334" s="423"/>
      <c r="J334" s="423"/>
      <c r="K334" s="423"/>
      <c r="L334" s="423"/>
      <c r="M334" s="423"/>
      <c r="Q334" s="423"/>
      <c r="R334" s="424" t="s">
        <v>3820</v>
      </c>
      <c r="S334" s="424" t="s">
        <v>2846</v>
      </c>
      <c r="T334" s="424" t="s">
        <v>3416</v>
      </c>
      <c r="U334" s="424">
        <v>0</v>
      </c>
      <c r="V334" s="424" t="s">
        <v>3269</v>
      </c>
      <c r="W334" s="424" t="s">
        <v>3176</v>
      </c>
      <c r="X334" s="424" t="s">
        <v>2825</v>
      </c>
      <c r="Y334" s="424" t="s">
        <v>2279</v>
      </c>
      <c r="Z334" s="424" t="s">
        <v>2848</v>
      </c>
      <c r="AA334" s="424" t="s">
        <v>2855</v>
      </c>
      <c r="AB334" s="424" t="s">
        <v>3194</v>
      </c>
      <c r="AC334" s="424" t="s">
        <v>1953</v>
      </c>
      <c r="AD334" s="424" t="s">
        <v>2851</v>
      </c>
      <c r="AE334" s="424" t="s">
        <v>2901</v>
      </c>
      <c r="AF334" s="424"/>
      <c r="AG334" s="424"/>
      <c r="AH334" s="424"/>
    </row>
    <row r="335" spans="1:34" x14ac:dyDescent="0.25">
      <c r="A335" s="423" t="s">
        <v>3767</v>
      </c>
      <c r="B335" s="423" t="s">
        <v>3821</v>
      </c>
      <c r="C335" s="423" t="s">
        <v>1705</v>
      </c>
      <c r="D335" s="423" t="s">
        <v>3252</v>
      </c>
      <c r="E335" s="423" t="s">
        <v>2818</v>
      </c>
      <c r="F335" s="423">
        <v>20</v>
      </c>
      <c r="G335" s="423" t="s">
        <v>3253</v>
      </c>
      <c r="H335" s="423"/>
      <c r="J335" s="423"/>
      <c r="K335" s="423"/>
      <c r="L335" s="423"/>
      <c r="M335" s="423"/>
      <c r="Q335" s="423"/>
      <c r="R335" s="424" t="s">
        <v>3821</v>
      </c>
      <c r="S335" s="424" t="s">
        <v>2846</v>
      </c>
      <c r="T335" s="424" t="s">
        <v>3268</v>
      </c>
      <c r="U335" s="424">
        <v>0</v>
      </c>
      <c r="V335" s="424" t="s">
        <v>3269</v>
      </c>
      <c r="W335" s="424" t="s">
        <v>2871</v>
      </c>
      <c r="X335" s="424" t="s">
        <v>2825</v>
      </c>
      <c r="Y335" s="424" t="s">
        <v>2279</v>
      </c>
      <c r="Z335" s="424" t="s">
        <v>2848</v>
      </c>
      <c r="AA335" s="424" t="s">
        <v>2855</v>
      </c>
      <c r="AB335" s="424" t="s">
        <v>3822</v>
      </c>
      <c r="AC335" s="424" t="s">
        <v>1953</v>
      </c>
      <c r="AD335" s="424" t="s">
        <v>2851</v>
      </c>
      <c r="AE335" s="424" t="s">
        <v>2901</v>
      </c>
      <c r="AF335" s="424"/>
      <c r="AG335" s="424"/>
      <c r="AH335" s="424"/>
    </row>
    <row r="336" spans="1:34" x14ac:dyDescent="0.25">
      <c r="A336" s="423" t="s">
        <v>3767</v>
      </c>
      <c r="B336" s="423" t="s">
        <v>3823</v>
      </c>
      <c r="C336" s="423" t="s">
        <v>1705</v>
      </c>
      <c r="D336" s="423" t="s">
        <v>3252</v>
      </c>
      <c r="E336" s="423" t="s">
        <v>2818</v>
      </c>
      <c r="F336" s="423">
        <v>20</v>
      </c>
      <c r="G336" s="423" t="s">
        <v>3427</v>
      </c>
      <c r="H336" s="423"/>
      <c r="J336" s="423"/>
      <c r="K336" s="423"/>
      <c r="L336" s="423"/>
      <c r="M336" s="423"/>
      <c r="Q336" s="423"/>
      <c r="R336" s="424" t="s">
        <v>3823</v>
      </c>
      <c r="S336" s="424" t="s">
        <v>2846</v>
      </c>
      <c r="T336" s="424" t="s">
        <v>3416</v>
      </c>
      <c r="U336" s="424">
        <v>0</v>
      </c>
      <c r="V336" s="424" t="s">
        <v>3269</v>
      </c>
      <c r="W336" s="424" t="s">
        <v>2974</v>
      </c>
      <c r="X336" s="424" t="s">
        <v>2825</v>
      </c>
      <c r="Y336" s="424" t="s">
        <v>2279</v>
      </c>
      <c r="Z336" s="424" t="s">
        <v>2848</v>
      </c>
      <c r="AA336" s="424" t="s">
        <v>2849</v>
      </c>
      <c r="AB336" s="424" t="s">
        <v>3765</v>
      </c>
      <c r="AC336" s="424" t="s">
        <v>1953</v>
      </c>
      <c r="AD336" s="424" t="s">
        <v>2851</v>
      </c>
      <c r="AE336" s="424" t="s">
        <v>3467</v>
      </c>
      <c r="AF336" s="424"/>
      <c r="AG336" s="424"/>
      <c r="AH336" s="424"/>
    </row>
    <row r="337" spans="1:34" x14ac:dyDescent="0.25">
      <c r="A337" s="423" t="s">
        <v>3767</v>
      </c>
      <c r="B337" s="423" t="s">
        <v>3824</v>
      </c>
      <c r="C337" s="423" t="s">
        <v>1705</v>
      </c>
      <c r="D337" s="423" t="s">
        <v>3252</v>
      </c>
      <c r="E337" s="423" t="s">
        <v>2818</v>
      </c>
      <c r="F337" s="423">
        <v>20</v>
      </c>
      <c r="G337" s="423" t="s">
        <v>3427</v>
      </c>
      <c r="H337" s="423"/>
      <c r="J337" s="423"/>
      <c r="K337" s="423"/>
      <c r="L337" s="423"/>
      <c r="M337" s="423"/>
      <c r="Q337" s="423"/>
      <c r="R337" s="424" t="s">
        <v>3824</v>
      </c>
      <c r="S337" s="424" t="s">
        <v>2846</v>
      </c>
      <c r="T337" s="424" t="s">
        <v>3416</v>
      </c>
      <c r="U337" s="424">
        <v>0</v>
      </c>
      <c r="V337" s="424" t="s">
        <v>3269</v>
      </c>
      <c r="W337" s="424" t="s">
        <v>2974</v>
      </c>
      <c r="X337" s="424" t="s">
        <v>2825</v>
      </c>
      <c r="Y337" s="424" t="s">
        <v>2279</v>
      </c>
      <c r="Z337" s="424" t="s">
        <v>2848</v>
      </c>
      <c r="AA337" s="424" t="s">
        <v>2849</v>
      </c>
      <c r="AB337" s="424" t="s">
        <v>3466</v>
      </c>
      <c r="AC337" s="424" t="s">
        <v>1953</v>
      </c>
      <c r="AD337" s="424" t="s">
        <v>2851</v>
      </c>
      <c r="AE337" s="424" t="s">
        <v>3467</v>
      </c>
      <c r="AF337" s="424"/>
      <c r="AG337" s="424"/>
      <c r="AH337" s="424"/>
    </row>
    <row r="338" spans="1:34" x14ac:dyDescent="0.25">
      <c r="A338" s="423" t="s">
        <v>3767</v>
      </c>
      <c r="B338" s="423" t="s">
        <v>3825</v>
      </c>
      <c r="C338" s="423" t="s">
        <v>1705</v>
      </c>
      <c r="D338" s="423" t="s">
        <v>3252</v>
      </c>
      <c r="E338" s="423" t="s">
        <v>2818</v>
      </c>
      <c r="F338" s="423">
        <v>20</v>
      </c>
      <c r="G338" s="423" t="s">
        <v>3253</v>
      </c>
      <c r="H338" s="423"/>
      <c r="J338" s="423"/>
      <c r="K338" s="423"/>
      <c r="L338" s="423"/>
      <c r="M338" s="423"/>
      <c r="Q338" s="423"/>
      <c r="R338" s="424" t="s">
        <v>3825</v>
      </c>
      <c r="S338" s="424" t="s">
        <v>2846</v>
      </c>
      <c r="T338" s="424" t="s">
        <v>3268</v>
      </c>
      <c r="U338" s="424">
        <v>0</v>
      </c>
      <c r="V338" s="424" t="s">
        <v>3269</v>
      </c>
      <c r="W338" s="424" t="s">
        <v>3074</v>
      </c>
      <c r="X338" s="424" t="s">
        <v>2825</v>
      </c>
      <c r="Y338" s="424" t="s">
        <v>2279</v>
      </c>
      <c r="Z338" s="424" t="s">
        <v>3260</v>
      </c>
      <c r="AA338" s="424" t="s">
        <v>3197</v>
      </c>
      <c r="AB338" s="424" t="s">
        <v>3826</v>
      </c>
      <c r="AC338" s="424" t="s">
        <v>1953</v>
      </c>
      <c r="AD338" s="424" t="s">
        <v>2851</v>
      </c>
      <c r="AE338" s="424" t="s">
        <v>3550</v>
      </c>
      <c r="AF338" s="424"/>
      <c r="AG338" s="424"/>
      <c r="AH338" s="424"/>
    </row>
    <row r="339" spans="1:34" x14ac:dyDescent="0.25">
      <c r="A339" s="423" t="s">
        <v>3767</v>
      </c>
      <c r="B339" s="423" t="s">
        <v>3827</v>
      </c>
      <c r="C339" s="423" t="s">
        <v>1705</v>
      </c>
      <c r="D339" s="423" t="s">
        <v>3252</v>
      </c>
      <c r="E339" s="423" t="s">
        <v>2818</v>
      </c>
      <c r="F339" s="423">
        <v>36</v>
      </c>
      <c r="G339" s="423" t="s">
        <v>3597</v>
      </c>
      <c r="H339" s="423"/>
      <c r="J339" s="423"/>
      <c r="K339" s="423"/>
      <c r="L339" s="423"/>
      <c r="M339" s="423"/>
      <c r="Q339" s="423"/>
      <c r="R339" s="424" t="s">
        <v>3827</v>
      </c>
      <c r="S339" s="424" t="s">
        <v>2846</v>
      </c>
      <c r="T339" s="424" t="s">
        <v>3268</v>
      </c>
      <c r="U339" s="424">
        <v>0</v>
      </c>
      <c r="V339" s="424" t="s">
        <v>3269</v>
      </c>
      <c r="W339" s="424" t="s">
        <v>2974</v>
      </c>
      <c r="X339" s="424" t="s">
        <v>2825</v>
      </c>
      <c r="Y339" s="424" t="s">
        <v>2279</v>
      </c>
      <c r="Z339" s="424" t="s">
        <v>3260</v>
      </c>
      <c r="AA339" s="424" t="s">
        <v>3327</v>
      </c>
      <c r="AB339" s="424" t="s">
        <v>3828</v>
      </c>
      <c r="AC339" s="424" t="s">
        <v>1953</v>
      </c>
      <c r="AD339" s="424" t="s">
        <v>3329</v>
      </c>
      <c r="AE339" s="424" t="s">
        <v>3330</v>
      </c>
      <c r="AF339" s="424"/>
      <c r="AG339" s="424"/>
      <c r="AH339" s="424"/>
    </row>
    <row r="340" spans="1:34" x14ac:dyDescent="0.25">
      <c r="A340" s="423" t="s">
        <v>3767</v>
      </c>
      <c r="B340" s="423" t="s">
        <v>3829</v>
      </c>
      <c r="C340" s="423" t="s">
        <v>1705</v>
      </c>
      <c r="D340" s="423" t="s">
        <v>3252</v>
      </c>
      <c r="E340" s="423" t="s">
        <v>2818</v>
      </c>
      <c r="F340" s="423">
        <v>36</v>
      </c>
      <c r="G340" s="423" t="s">
        <v>3597</v>
      </c>
      <c r="H340" s="423"/>
      <c r="J340" s="423"/>
      <c r="K340" s="423"/>
      <c r="L340" s="423"/>
      <c r="M340" s="423"/>
      <c r="Q340" s="423"/>
      <c r="R340" s="424" t="s">
        <v>3829</v>
      </c>
      <c r="S340" s="424" t="s">
        <v>2846</v>
      </c>
      <c r="T340" s="424" t="s">
        <v>3268</v>
      </c>
      <c r="U340" s="424">
        <v>0</v>
      </c>
      <c r="V340" s="424" t="s">
        <v>3269</v>
      </c>
      <c r="W340" s="424" t="s">
        <v>3054</v>
      </c>
      <c r="X340" s="424" t="s">
        <v>2825</v>
      </c>
      <c r="Y340" s="424" t="s">
        <v>2279</v>
      </c>
      <c r="Z340" s="424" t="s">
        <v>3260</v>
      </c>
      <c r="AA340" s="424" t="s">
        <v>3327</v>
      </c>
      <c r="AB340" s="424" t="s">
        <v>3830</v>
      </c>
      <c r="AC340" s="424" t="s">
        <v>1953</v>
      </c>
      <c r="AD340" s="424" t="s">
        <v>3329</v>
      </c>
      <c r="AE340" s="424" t="s">
        <v>3333</v>
      </c>
      <c r="AF340" s="424"/>
      <c r="AG340" s="424"/>
      <c r="AH340" s="424"/>
    </row>
    <row r="341" spans="1:34" x14ac:dyDescent="0.25">
      <c r="A341" s="423" t="s">
        <v>3767</v>
      </c>
      <c r="B341" s="423" t="s">
        <v>3831</v>
      </c>
      <c r="C341" s="423" t="s">
        <v>1705</v>
      </c>
      <c r="D341" s="423" t="s">
        <v>3252</v>
      </c>
      <c r="E341" s="423" t="s">
        <v>2818</v>
      </c>
      <c r="F341" s="423">
        <v>36</v>
      </c>
      <c r="G341" s="423" t="s">
        <v>3597</v>
      </c>
      <c r="H341" s="423"/>
      <c r="J341" s="423"/>
      <c r="K341" s="423"/>
      <c r="L341" s="423"/>
      <c r="M341" s="423"/>
      <c r="Q341" s="423"/>
      <c r="R341" s="424" t="s">
        <v>3831</v>
      </c>
      <c r="S341" s="424" t="s">
        <v>2846</v>
      </c>
      <c r="T341" s="424" t="s">
        <v>3268</v>
      </c>
      <c r="U341" s="424">
        <v>0</v>
      </c>
      <c r="V341" s="424" t="s">
        <v>3269</v>
      </c>
      <c r="W341" s="424" t="s">
        <v>2871</v>
      </c>
      <c r="X341" s="424" t="s">
        <v>2825</v>
      </c>
      <c r="Y341" s="424" t="s">
        <v>2279</v>
      </c>
      <c r="Z341" s="424" t="s">
        <v>3260</v>
      </c>
      <c r="AA341" s="424" t="s">
        <v>3327</v>
      </c>
      <c r="AB341" s="424" t="s">
        <v>3832</v>
      </c>
      <c r="AC341" s="424" t="s">
        <v>1953</v>
      </c>
      <c r="AD341" s="424" t="s">
        <v>3329</v>
      </c>
      <c r="AE341" s="424" t="s">
        <v>3330</v>
      </c>
      <c r="AF341" s="424"/>
      <c r="AG341" s="424"/>
      <c r="AH341" s="424"/>
    </row>
    <row r="342" spans="1:34" x14ac:dyDescent="0.25">
      <c r="A342" s="423" t="s">
        <v>3767</v>
      </c>
      <c r="B342" s="423" t="s">
        <v>3833</v>
      </c>
      <c r="C342" s="423" t="s">
        <v>1705</v>
      </c>
      <c r="D342" s="423" t="s">
        <v>3252</v>
      </c>
      <c r="E342" s="423" t="s">
        <v>2818</v>
      </c>
      <c r="F342" s="423">
        <v>16</v>
      </c>
      <c r="G342" s="423" t="s">
        <v>3253</v>
      </c>
      <c r="H342" s="423"/>
      <c r="J342" s="423"/>
      <c r="K342" s="423"/>
      <c r="L342" s="423"/>
      <c r="M342" s="423"/>
      <c r="Q342" s="423"/>
      <c r="R342" s="424" t="s">
        <v>3833</v>
      </c>
      <c r="S342" s="424" t="s">
        <v>2846</v>
      </c>
      <c r="T342" s="424" t="s">
        <v>3268</v>
      </c>
      <c r="U342" s="424">
        <v>0</v>
      </c>
      <c r="V342" s="424" t="s">
        <v>3269</v>
      </c>
      <c r="W342" s="424" t="s">
        <v>3176</v>
      </c>
      <c r="X342" s="424" t="s">
        <v>2825</v>
      </c>
      <c r="Y342" s="424" t="s">
        <v>2279</v>
      </c>
      <c r="Z342" s="424" t="s">
        <v>3260</v>
      </c>
      <c r="AA342" s="424" t="s">
        <v>3197</v>
      </c>
      <c r="AB342" s="424" t="s">
        <v>3687</v>
      </c>
      <c r="AC342" s="424" t="s">
        <v>1953</v>
      </c>
      <c r="AD342" s="424" t="s">
        <v>2851</v>
      </c>
      <c r="AE342" s="424" t="s">
        <v>3317</v>
      </c>
      <c r="AF342" s="424"/>
      <c r="AG342" s="424"/>
      <c r="AH342" s="424"/>
    </row>
    <row r="343" spans="1:34" x14ac:dyDescent="0.25">
      <c r="A343" s="423" t="s">
        <v>3834</v>
      </c>
      <c r="B343" s="423" t="s">
        <v>3835</v>
      </c>
      <c r="C343" s="423" t="s">
        <v>1705</v>
      </c>
      <c r="D343" s="423" t="s">
        <v>3252</v>
      </c>
      <c r="E343" s="423" t="s">
        <v>2818</v>
      </c>
      <c r="F343" s="423">
        <v>8</v>
      </c>
      <c r="G343" s="423" t="s">
        <v>3354</v>
      </c>
      <c r="H343" s="423"/>
      <c r="J343" s="423"/>
      <c r="K343" s="423"/>
      <c r="L343" s="423"/>
      <c r="M343" s="423"/>
      <c r="Q343" s="423"/>
      <c r="R343" s="424" t="s">
        <v>3835</v>
      </c>
      <c r="S343" s="424" t="s">
        <v>2846</v>
      </c>
      <c r="T343" s="424" t="s">
        <v>3291</v>
      </c>
      <c r="U343" s="424">
        <v>0</v>
      </c>
      <c r="V343" s="424" t="s">
        <v>3269</v>
      </c>
      <c r="W343" s="424" t="s">
        <v>3176</v>
      </c>
      <c r="X343" s="424" t="s">
        <v>2825</v>
      </c>
      <c r="Y343" s="424" t="s">
        <v>2279</v>
      </c>
      <c r="Z343" s="424" t="s">
        <v>3260</v>
      </c>
      <c r="AA343" s="424" t="s">
        <v>3197</v>
      </c>
      <c r="AB343" s="424" t="s">
        <v>3836</v>
      </c>
      <c r="AC343" s="424" t="s">
        <v>1953</v>
      </c>
      <c r="AD343" s="424" t="s">
        <v>2851</v>
      </c>
      <c r="AE343" s="424" t="s">
        <v>3293</v>
      </c>
      <c r="AF343" s="424"/>
      <c r="AG343" s="424"/>
      <c r="AH343" s="424"/>
    </row>
    <row r="344" spans="1:34" x14ac:dyDescent="0.25">
      <c r="A344" s="423" t="s">
        <v>3834</v>
      </c>
      <c r="B344" s="423" t="s">
        <v>3837</v>
      </c>
      <c r="C344" s="423" t="s">
        <v>1705</v>
      </c>
      <c r="D344" s="423" t="s">
        <v>3252</v>
      </c>
      <c r="E344" s="423" t="s">
        <v>2818</v>
      </c>
      <c r="F344" s="423">
        <v>8</v>
      </c>
      <c r="G344" s="423" t="s">
        <v>3354</v>
      </c>
      <c r="H344" s="423"/>
      <c r="J344" s="423"/>
      <c r="K344" s="423"/>
      <c r="L344" s="423"/>
      <c r="M344" s="423"/>
      <c r="Q344" s="423"/>
      <c r="R344" s="424" t="s">
        <v>3837</v>
      </c>
      <c r="S344" s="424" t="s">
        <v>2846</v>
      </c>
      <c r="T344" s="424" t="s">
        <v>3291</v>
      </c>
      <c r="U344" s="424">
        <v>0</v>
      </c>
      <c r="V344" s="424" t="s">
        <v>3269</v>
      </c>
      <c r="W344" s="424" t="s">
        <v>2871</v>
      </c>
      <c r="X344" s="424" t="s">
        <v>2825</v>
      </c>
      <c r="Y344" s="424" t="s">
        <v>2279</v>
      </c>
      <c r="Z344" s="424" t="s">
        <v>3260</v>
      </c>
      <c r="AA344" s="424" t="s">
        <v>3197</v>
      </c>
      <c r="AB344" s="424" t="s">
        <v>3815</v>
      </c>
      <c r="AC344" s="424" t="s">
        <v>1953</v>
      </c>
      <c r="AD344" s="424" t="s">
        <v>2851</v>
      </c>
      <c r="AE344" s="424" t="s">
        <v>3550</v>
      </c>
      <c r="AF344" s="424"/>
      <c r="AG344" s="424"/>
      <c r="AH344" s="424"/>
    </row>
    <row r="345" spans="1:34" x14ac:dyDescent="0.25">
      <c r="A345" s="423" t="s">
        <v>3834</v>
      </c>
      <c r="B345" s="423" t="s">
        <v>3363</v>
      </c>
      <c r="C345" s="423" t="s">
        <v>1705</v>
      </c>
      <c r="D345" s="423" t="s">
        <v>3252</v>
      </c>
      <c r="E345" s="423" t="s">
        <v>2818</v>
      </c>
      <c r="F345" s="423">
        <v>8</v>
      </c>
      <c r="G345" s="423" t="s">
        <v>3354</v>
      </c>
      <c r="H345" s="423"/>
      <c r="J345" s="423"/>
      <c r="K345" s="423"/>
      <c r="L345" s="423"/>
      <c r="M345" s="423"/>
      <c r="Q345" s="423"/>
      <c r="R345" s="424" t="s">
        <v>3363</v>
      </c>
      <c r="S345" s="424" t="s">
        <v>2846</v>
      </c>
      <c r="T345" s="424" t="s">
        <v>3291</v>
      </c>
      <c r="U345" s="424">
        <v>0</v>
      </c>
      <c r="V345" s="424" t="s">
        <v>3269</v>
      </c>
      <c r="W345" s="424" t="s">
        <v>3054</v>
      </c>
      <c r="X345" s="424" t="s">
        <v>2825</v>
      </c>
      <c r="Y345" s="424" t="s">
        <v>2279</v>
      </c>
      <c r="Z345" s="424" t="s">
        <v>3260</v>
      </c>
      <c r="AA345" s="424" t="s">
        <v>3327</v>
      </c>
      <c r="AB345" s="424" t="s">
        <v>3364</v>
      </c>
      <c r="AC345" s="424" t="s">
        <v>1953</v>
      </c>
      <c r="AD345" s="424" t="s">
        <v>3329</v>
      </c>
      <c r="AE345" s="424" t="s">
        <v>3365</v>
      </c>
      <c r="AF345" s="424"/>
      <c r="AG345" s="424"/>
      <c r="AH345" s="424"/>
    </row>
    <row r="346" spans="1:34" x14ac:dyDescent="0.25">
      <c r="A346" s="423" t="s">
        <v>3834</v>
      </c>
      <c r="B346" s="423" t="s">
        <v>3838</v>
      </c>
      <c r="C346" s="423" t="s">
        <v>1705</v>
      </c>
      <c r="D346" s="423" t="s">
        <v>3252</v>
      </c>
      <c r="E346" s="423" t="s">
        <v>2818</v>
      </c>
      <c r="F346" s="423">
        <v>22</v>
      </c>
      <c r="G346" s="423" t="s">
        <v>3839</v>
      </c>
      <c r="H346" s="423"/>
      <c r="J346" s="423"/>
      <c r="K346" s="423"/>
      <c r="L346" s="423"/>
      <c r="M346" s="423"/>
      <c r="Q346" s="423"/>
      <c r="R346" s="424" t="s">
        <v>3840</v>
      </c>
      <c r="S346" s="424" t="s">
        <v>2846</v>
      </c>
      <c r="T346" s="424" t="s">
        <v>3356</v>
      </c>
      <c r="U346" s="424">
        <v>0</v>
      </c>
      <c r="V346" s="424" t="s">
        <v>3176</v>
      </c>
      <c r="W346" s="424" t="s">
        <v>3074</v>
      </c>
      <c r="X346" s="424" t="s">
        <v>2825</v>
      </c>
      <c r="Y346" s="424" t="s">
        <v>2279</v>
      </c>
      <c r="Z346" s="424" t="s">
        <v>2872</v>
      </c>
      <c r="AA346" s="424" t="s">
        <v>3197</v>
      </c>
      <c r="AB346" s="424" t="s">
        <v>3347</v>
      </c>
      <c r="AC346" s="424" t="s">
        <v>1953</v>
      </c>
      <c r="AD346" s="424" t="s">
        <v>2892</v>
      </c>
      <c r="AE346" s="424" t="s">
        <v>3348</v>
      </c>
      <c r="AF346" s="424"/>
      <c r="AG346" s="424"/>
      <c r="AH346" s="424"/>
    </row>
    <row r="347" spans="1:34" x14ac:dyDescent="0.25">
      <c r="A347" s="423" t="s">
        <v>3834</v>
      </c>
      <c r="B347" s="423" t="s">
        <v>3841</v>
      </c>
      <c r="C347" s="423" t="s">
        <v>1705</v>
      </c>
      <c r="D347" s="423" t="s">
        <v>3252</v>
      </c>
      <c r="E347" s="423" t="s">
        <v>2818</v>
      </c>
      <c r="F347" s="423">
        <v>22</v>
      </c>
      <c r="G347" s="423" t="s">
        <v>3839</v>
      </c>
      <c r="H347" s="423"/>
      <c r="J347" s="423"/>
      <c r="K347" s="423"/>
      <c r="L347" s="423"/>
      <c r="M347" s="423"/>
      <c r="Q347" s="423"/>
      <c r="R347" s="424" t="s">
        <v>3842</v>
      </c>
      <c r="S347" s="424" t="s">
        <v>2846</v>
      </c>
      <c r="T347" s="424" t="s">
        <v>3356</v>
      </c>
      <c r="U347" s="424">
        <v>0</v>
      </c>
      <c r="V347" s="424" t="s">
        <v>3176</v>
      </c>
      <c r="W347" s="424" t="s">
        <v>3074</v>
      </c>
      <c r="X347" s="424" t="s">
        <v>2825</v>
      </c>
      <c r="Y347" s="424" t="s">
        <v>2279</v>
      </c>
      <c r="Z347" s="424" t="s">
        <v>2872</v>
      </c>
      <c r="AA347" s="424" t="s">
        <v>3197</v>
      </c>
      <c r="AB347" s="424" t="s">
        <v>3386</v>
      </c>
      <c r="AC347" s="424" t="s">
        <v>1953</v>
      </c>
      <c r="AD347" s="424" t="s">
        <v>2892</v>
      </c>
      <c r="AE347" s="424" t="s">
        <v>3387</v>
      </c>
      <c r="AF347" s="424"/>
      <c r="AG347" s="424"/>
      <c r="AH347" s="424"/>
    </row>
    <row r="348" spans="1:34" x14ac:dyDescent="0.25">
      <c r="A348" s="423" t="s">
        <v>3834</v>
      </c>
      <c r="B348" s="423" t="s">
        <v>3843</v>
      </c>
      <c r="C348" s="423" t="s">
        <v>1705</v>
      </c>
      <c r="D348" s="423" t="s">
        <v>3252</v>
      </c>
      <c r="E348" s="423" t="s">
        <v>2818</v>
      </c>
      <c r="F348" s="423">
        <v>22</v>
      </c>
      <c r="G348" s="423" t="s">
        <v>3839</v>
      </c>
      <c r="H348" s="423"/>
      <c r="J348" s="423"/>
      <c r="K348" s="423"/>
      <c r="L348" s="423"/>
      <c r="M348" s="423"/>
      <c r="Q348" s="423"/>
      <c r="R348" s="424" t="s">
        <v>3844</v>
      </c>
      <c r="S348" s="424" t="s">
        <v>2846</v>
      </c>
      <c r="T348" s="424" t="s">
        <v>3356</v>
      </c>
      <c r="U348" s="424">
        <v>0</v>
      </c>
      <c r="V348" s="424" t="s">
        <v>3176</v>
      </c>
      <c r="W348" s="424" t="s">
        <v>3074</v>
      </c>
      <c r="X348" s="424" t="s">
        <v>2825</v>
      </c>
      <c r="Y348" s="424" t="s">
        <v>2279</v>
      </c>
      <c r="Z348" s="424" t="s">
        <v>2872</v>
      </c>
      <c r="AA348" s="424" t="s">
        <v>3197</v>
      </c>
      <c r="AB348" s="424" t="s">
        <v>3386</v>
      </c>
      <c r="AC348" s="424" t="s">
        <v>1953</v>
      </c>
      <c r="AD348" s="424" t="s">
        <v>2892</v>
      </c>
      <c r="AE348" s="424" t="s">
        <v>3387</v>
      </c>
      <c r="AF348" s="424"/>
      <c r="AG348" s="424"/>
      <c r="AH348" s="424"/>
    </row>
    <row r="349" spans="1:34" x14ac:dyDescent="0.25">
      <c r="A349" s="423" t="s">
        <v>3834</v>
      </c>
      <c r="B349" s="423" t="s">
        <v>3845</v>
      </c>
      <c r="C349" s="423" t="s">
        <v>1705</v>
      </c>
      <c r="D349" s="423" t="s">
        <v>3252</v>
      </c>
      <c r="E349" s="423" t="s">
        <v>2818</v>
      </c>
      <c r="F349" s="423">
        <v>22</v>
      </c>
      <c r="G349" s="423" t="s">
        <v>3839</v>
      </c>
      <c r="H349" s="423"/>
      <c r="J349" s="423"/>
      <c r="K349" s="423"/>
      <c r="L349" s="423"/>
      <c r="M349" s="423"/>
      <c r="Q349" s="423"/>
      <c r="R349" s="424" t="s">
        <v>3846</v>
      </c>
      <c r="S349" s="424" t="s">
        <v>2846</v>
      </c>
      <c r="T349" s="424" t="s">
        <v>3356</v>
      </c>
      <c r="U349" s="424">
        <v>0</v>
      </c>
      <c r="V349" s="424" t="s">
        <v>3176</v>
      </c>
      <c r="W349" s="424" t="s">
        <v>3074</v>
      </c>
      <c r="X349" s="424" t="s">
        <v>2825</v>
      </c>
      <c r="Y349" s="424" t="s">
        <v>2279</v>
      </c>
      <c r="Z349" s="424" t="s">
        <v>2872</v>
      </c>
      <c r="AA349" s="424" t="s">
        <v>3197</v>
      </c>
      <c r="AB349" s="424" t="s">
        <v>3758</v>
      </c>
      <c r="AC349" s="424" t="s">
        <v>1953</v>
      </c>
      <c r="AD349" s="424" t="s">
        <v>2892</v>
      </c>
      <c r="AE349" s="424" t="s">
        <v>3348</v>
      </c>
      <c r="AF349" s="424"/>
      <c r="AG349" s="424"/>
      <c r="AH349" s="424"/>
    </row>
    <row r="350" spans="1:34" x14ac:dyDescent="0.25">
      <c r="A350" s="423" t="s">
        <v>3834</v>
      </c>
      <c r="B350" s="423" t="s">
        <v>3847</v>
      </c>
      <c r="C350" s="423" t="s">
        <v>1705</v>
      </c>
      <c r="D350" s="423" t="s">
        <v>3252</v>
      </c>
      <c r="E350" s="423" t="s">
        <v>2818</v>
      </c>
      <c r="F350" s="423">
        <v>22</v>
      </c>
      <c r="G350" s="423" t="s">
        <v>3839</v>
      </c>
      <c r="H350" s="423"/>
      <c r="J350" s="423"/>
      <c r="K350" s="423"/>
      <c r="L350" s="423"/>
      <c r="M350" s="423"/>
      <c r="Q350" s="423"/>
      <c r="R350" s="424" t="s">
        <v>3848</v>
      </c>
      <c r="S350" s="424" t="s">
        <v>2846</v>
      </c>
      <c r="T350" s="424" t="s">
        <v>3356</v>
      </c>
      <c r="U350" s="424">
        <v>0</v>
      </c>
      <c r="V350" s="424" t="s">
        <v>3176</v>
      </c>
      <c r="W350" s="424" t="s">
        <v>3074</v>
      </c>
      <c r="X350" s="424" t="s">
        <v>2825</v>
      </c>
      <c r="Y350" s="424" t="s">
        <v>2279</v>
      </c>
      <c r="Z350" s="424" t="s">
        <v>2872</v>
      </c>
      <c r="AA350" s="424" t="s">
        <v>3197</v>
      </c>
      <c r="AB350" s="424" t="s">
        <v>3408</v>
      </c>
      <c r="AC350" s="424" t="s">
        <v>1953</v>
      </c>
      <c r="AD350" s="424" t="s">
        <v>2892</v>
      </c>
      <c r="AE350" s="424" t="s">
        <v>3348</v>
      </c>
      <c r="AF350" s="424"/>
      <c r="AG350" s="424"/>
      <c r="AH350" s="424"/>
    </row>
    <row r="351" spans="1:34" x14ac:dyDescent="0.25">
      <c r="A351" s="423" t="s">
        <v>3834</v>
      </c>
      <c r="B351" s="423" t="s">
        <v>3849</v>
      </c>
      <c r="C351" s="423" t="s">
        <v>1705</v>
      </c>
      <c r="D351" s="423" t="s">
        <v>3252</v>
      </c>
      <c r="E351" s="423" t="s">
        <v>2818</v>
      </c>
      <c r="F351" s="423">
        <v>22</v>
      </c>
      <c r="G351" s="423" t="s">
        <v>3839</v>
      </c>
      <c r="H351" s="423"/>
      <c r="J351" s="423"/>
      <c r="K351" s="423"/>
      <c r="L351" s="423"/>
      <c r="M351" s="423"/>
      <c r="Q351" s="423"/>
      <c r="R351" s="424" t="s">
        <v>3850</v>
      </c>
      <c r="S351" s="424" t="s">
        <v>2846</v>
      </c>
      <c r="T351" s="424" t="s">
        <v>3356</v>
      </c>
      <c r="U351" s="424">
        <v>0</v>
      </c>
      <c r="V351" s="424" t="s">
        <v>3176</v>
      </c>
      <c r="W351" s="424" t="s">
        <v>3074</v>
      </c>
      <c r="X351" s="424" t="s">
        <v>2825</v>
      </c>
      <c r="Y351" s="424" t="s">
        <v>2279</v>
      </c>
      <c r="Z351" s="424" t="s">
        <v>2872</v>
      </c>
      <c r="AA351" s="424" t="s">
        <v>3197</v>
      </c>
      <c r="AB351" s="424" t="s">
        <v>3408</v>
      </c>
      <c r="AC351" s="424" t="s">
        <v>1953</v>
      </c>
      <c r="AD351" s="424" t="s">
        <v>2892</v>
      </c>
      <c r="AE351" s="424" t="s">
        <v>3348</v>
      </c>
      <c r="AF351" s="424"/>
      <c r="AG351" s="424"/>
      <c r="AH351" s="424"/>
    </row>
    <row r="352" spans="1:34" x14ac:dyDescent="0.25">
      <c r="A352" s="423" t="s">
        <v>3834</v>
      </c>
      <c r="B352" s="423" t="s">
        <v>3251</v>
      </c>
      <c r="C352" s="423" t="s">
        <v>1705</v>
      </c>
      <c r="D352" s="423" t="s">
        <v>3252</v>
      </c>
      <c r="E352" s="423" t="s">
        <v>2818</v>
      </c>
      <c r="F352" s="423">
        <v>16</v>
      </c>
      <c r="G352" s="423" t="s">
        <v>3253</v>
      </c>
      <c r="H352" s="423"/>
      <c r="J352" s="423"/>
      <c r="K352" s="423"/>
      <c r="L352" s="423"/>
      <c r="M352" s="423"/>
      <c r="Q352" s="423"/>
      <c r="R352" s="424" t="s">
        <v>3254</v>
      </c>
      <c r="S352" s="424" t="s">
        <v>2846</v>
      </c>
      <c r="T352" s="424" t="s">
        <v>2847</v>
      </c>
      <c r="U352" s="424">
        <v>0</v>
      </c>
      <c r="V352" s="424" t="s">
        <v>2973</v>
      </c>
      <c r="W352" s="424" t="s">
        <v>3055</v>
      </c>
      <c r="X352" s="424" t="s">
        <v>2825</v>
      </c>
      <c r="Y352" s="424" t="s">
        <v>2279</v>
      </c>
      <c r="Z352" s="424" t="s">
        <v>2848</v>
      </c>
      <c r="AA352" s="424" t="s">
        <v>2855</v>
      </c>
      <c r="AB352" s="424" t="s">
        <v>3255</v>
      </c>
      <c r="AC352" s="424" t="s">
        <v>1953</v>
      </c>
      <c r="AD352" s="424" t="s">
        <v>2851</v>
      </c>
      <c r="AE352" s="424" t="s">
        <v>3168</v>
      </c>
      <c r="AF352" s="424"/>
      <c r="AG352" s="424"/>
      <c r="AH352" s="424"/>
    </row>
    <row r="353" spans="1:34" x14ac:dyDescent="0.25">
      <c r="A353" s="423" t="s">
        <v>3834</v>
      </c>
      <c r="B353" s="423" t="s">
        <v>3851</v>
      </c>
      <c r="C353" s="423" t="s">
        <v>1705</v>
      </c>
      <c r="D353" s="423" t="s">
        <v>3252</v>
      </c>
      <c r="E353" s="423" t="s">
        <v>2818</v>
      </c>
      <c r="F353" s="423">
        <v>16</v>
      </c>
      <c r="G353" s="423" t="s">
        <v>3253</v>
      </c>
      <c r="H353" s="423"/>
      <c r="J353" s="423"/>
      <c r="K353" s="423"/>
      <c r="L353" s="423"/>
      <c r="M353" s="423"/>
      <c r="Q353" s="423"/>
      <c r="R353" s="424" t="s">
        <v>3851</v>
      </c>
      <c r="S353" s="424" t="s">
        <v>2846</v>
      </c>
      <c r="T353" s="424" t="s">
        <v>3268</v>
      </c>
      <c r="U353" s="424">
        <v>0</v>
      </c>
      <c r="V353" s="424" t="s">
        <v>3269</v>
      </c>
      <c r="W353" s="424" t="s">
        <v>3176</v>
      </c>
      <c r="X353" s="424" t="s">
        <v>2825</v>
      </c>
      <c r="Y353" s="424" t="s">
        <v>2279</v>
      </c>
      <c r="Z353" s="424" t="s">
        <v>3260</v>
      </c>
      <c r="AA353" s="424" t="s">
        <v>3197</v>
      </c>
      <c r="AB353" s="424" t="s">
        <v>3852</v>
      </c>
      <c r="AC353" s="424" t="s">
        <v>1953</v>
      </c>
      <c r="AD353" s="424" t="s">
        <v>2851</v>
      </c>
      <c r="AE353" s="424" t="s">
        <v>3853</v>
      </c>
      <c r="AF353" s="424"/>
      <c r="AG353" s="424"/>
      <c r="AH353" s="424"/>
    </row>
    <row r="354" spans="1:34" x14ac:dyDescent="0.25">
      <c r="A354" s="423" t="s">
        <v>3834</v>
      </c>
      <c r="B354" s="423" t="s">
        <v>3854</v>
      </c>
      <c r="C354" s="423" t="s">
        <v>1705</v>
      </c>
      <c r="D354" s="423" t="s">
        <v>3252</v>
      </c>
      <c r="E354" s="423" t="s">
        <v>2818</v>
      </c>
      <c r="F354" s="423">
        <v>16</v>
      </c>
      <c r="G354" s="423" t="s">
        <v>3253</v>
      </c>
      <c r="H354" s="423"/>
      <c r="J354" s="423"/>
      <c r="K354" s="423"/>
      <c r="L354" s="423"/>
      <c r="M354" s="423"/>
      <c r="Q354" s="423"/>
      <c r="R354" s="424" t="s">
        <v>3854</v>
      </c>
      <c r="S354" s="424" t="s">
        <v>2846</v>
      </c>
      <c r="T354" s="424" t="s">
        <v>3268</v>
      </c>
      <c r="U354" s="424">
        <v>0</v>
      </c>
      <c r="V354" s="424" t="s">
        <v>3269</v>
      </c>
      <c r="W354" s="424" t="s">
        <v>3054</v>
      </c>
      <c r="X354" s="424" t="s">
        <v>2825</v>
      </c>
      <c r="Y354" s="424" t="s">
        <v>2279</v>
      </c>
      <c r="Z354" s="424" t="s">
        <v>3260</v>
      </c>
      <c r="AA354" s="424" t="s">
        <v>3327</v>
      </c>
      <c r="AB354" s="424" t="s">
        <v>3855</v>
      </c>
      <c r="AC354" s="424" t="s">
        <v>1953</v>
      </c>
      <c r="AD354" s="424" t="s">
        <v>3329</v>
      </c>
      <c r="AE354" s="424" t="s">
        <v>3330</v>
      </c>
      <c r="AF354" s="424"/>
      <c r="AG354" s="424"/>
      <c r="AH354" s="424"/>
    </row>
    <row r="355" spans="1:34" x14ac:dyDescent="0.25">
      <c r="A355" s="423" t="s">
        <v>3834</v>
      </c>
      <c r="B355" s="423" t="s">
        <v>3856</v>
      </c>
      <c r="C355" s="423" t="s">
        <v>1705</v>
      </c>
      <c r="D355" s="423" t="s">
        <v>3252</v>
      </c>
      <c r="E355" s="423" t="s">
        <v>2818</v>
      </c>
      <c r="F355" s="423">
        <v>16</v>
      </c>
      <c r="G355" s="423" t="s">
        <v>3253</v>
      </c>
      <c r="H355" s="423"/>
      <c r="J355" s="423"/>
      <c r="K355" s="423"/>
      <c r="L355" s="423"/>
      <c r="M355" s="423"/>
      <c r="Q355" s="423"/>
      <c r="R355" s="424" t="s">
        <v>3856</v>
      </c>
      <c r="S355" s="424" t="s">
        <v>2846</v>
      </c>
      <c r="T355" s="424" t="s">
        <v>3268</v>
      </c>
      <c r="U355" s="424">
        <v>0</v>
      </c>
      <c r="V355" s="424" t="s">
        <v>3269</v>
      </c>
      <c r="W355" s="424" t="s">
        <v>3074</v>
      </c>
      <c r="X355" s="424" t="s">
        <v>2825</v>
      </c>
      <c r="Y355" s="424" t="s">
        <v>2279</v>
      </c>
      <c r="Z355" s="424" t="s">
        <v>3260</v>
      </c>
      <c r="AA355" s="424" t="s">
        <v>3197</v>
      </c>
      <c r="AB355" s="424" t="s">
        <v>3857</v>
      </c>
      <c r="AC355" s="424" t="s">
        <v>1953</v>
      </c>
      <c r="AD355" s="424" t="s">
        <v>2851</v>
      </c>
      <c r="AE355" s="424" t="s">
        <v>3481</v>
      </c>
      <c r="AF355" s="424"/>
      <c r="AG355" s="424"/>
      <c r="AH355" s="424"/>
    </row>
    <row r="356" spans="1:34" x14ac:dyDescent="0.25">
      <c r="A356" s="423" t="s">
        <v>3834</v>
      </c>
      <c r="B356" s="423" t="s">
        <v>3858</v>
      </c>
      <c r="C356" s="423" t="s">
        <v>1705</v>
      </c>
      <c r="D356" s="423" t="s">
        <v>3252</v>
      </c>
      <c r="E356" s="423" t="s">
        <v>2818</v>
      </c>
      <c r="F356" s="423">
        <v>4</v>
      </c>
      <c r="G356" s="423" t="s">
        <v>3267</v>
      </c>
      <c r="H356" s="423"/>
      <c r="J356" s="423"/>
      <c r="K356" s="423"/>
      <c r="L356" s="423"/>
      <c r="M356" s="423"/>
      <c r="Q356" s="423"/>
      <c r="R356" s="424" t="s">
        <v>3858</v>
      </c>
      <c r="S356" s="424" t="s">
        <v>2846</v>
      </c>
      <c r="T356" s="424" t="s">
        <v>3268</v>
      </c>
      <c r="U356" s="424">
        <v>0</v>
      </c>
      <c r="V356" s="424" t="s">
        <v>3269</v>
      </c>
      <c r="W356" s="424" t="s">
        <v>3074</v>
      </c>
      <c r="X356" s="424" t="s">
        <v>2825</v>
      </c>
      <c r="Y356" s="424" t="s">
        <v>2279</v>
      </c>
      <c r="Z356" s="424" t="s">
        <v>3260</v>
      </c>
      <c r="AA356" s="424" t="s">
        <v>3274</v>
      </c>
      <c r="AB356" s="424" t="s">
        <v>3556</v>
      </c>
      <c r="AC356" s="424" t="s">
        <v>1953</v>
      </c>
      <c r="AD356" s="424" t="s">
        <v>2851</v>
      </c>
      <c r="AE356" s="424" t="s">
        <v>3557</v>
      </c>
      <c r="AF356" s="424"/>
      <c r="AG356" s="424"/>
      <c r="AH356" s="424"/>
    </row>
    <row r="357" spans="1:34" x14ac:dyDescent="0.25">
      <c r="A357" s="423" t="s">
        <v>3834</v>
      </c>
      <c r="B357" s="423" t="s">
        <v>3859</v>
      </c>
      <c r="C357" s="423" t="s">
        <v>1705</v>
      </c>
      <c r="D357" s="423" t="s">
        <v>3252</v>
      </c>
      <c r="E357" s="423" t="s">
        <v>2818</v>
      </c>
      <c r="F357" s="423">
        <v>8</v>
      </c>
      <c r="G357" s="423" t="s">
        <v>3427</v>
      </c>
      <c r="H357" s="423"/>
      <c r="J357" s="423"/>
      <c r="K357" s="423"/>
      <c r="L357" s="423"/>
      <c r="M357" s="423"/>
      <c r="Q357" s="423"/>
      <c r="R357" s="424" t="s">
        <v>3860</v>
      </c>
      <c r="S357" s="424" t="s">
        <v>2846</v>
      </c>
      <c r="T357" s="424" t="s">
        <v>3291</v>
      </c>
      <c r="U357" s="424">
        <v>0</v>
      </c>
      <c r="V357" s="424" t="s">
        <v>3269</v>
      </c>
      <c r="W357" s="424" t="s">
        <v>3176</v>
      </c>
      <c r="X357" s="424" t="s">
        <v>2825</v>
      </c>
      <c r="Y357" s="424" t="s">
        <v>2279</v>
      </c>
      <c r="Z357" s="424" t="s">
        <v>3260</v>
      </c>
      <c r="AA357" s="424" t="s">
        <v>3274</v>
      </c>
      <c r="AB357" s="424" t="s">
        <v>3343</v>
      </c>
      <c r="AC357" s="424" t="s">
        <v>1953</v>
      </c>
      <c r="AD357" s="424" t="s">
        <v>2851</v>
      </c>
      <c r="AE357" s="424" t="s">
        <v>3341</v>
      </c>
      <c r="AF357" s="424"/>
      <c r="AG357" s="424"/>
      <c r="AH357" s="424"/>
    </row>
    <row r="358" spans="1:34" x14ac:dyDescent="0.25">
      <c r="A358" s="423" t="s">
        <v>3834</v>
      </c>
      <c r="B358" s="423" t="s">
        <v>3861</v>
      </c>
      <c r="C358" s="423" t="s">
        <v>1705</v>
      </c>
      <c r="D358" s="423" t="s">
        <v>3252</v>
      </c>
      <c r="E358" s="423" t="s">
        <v>2818</v>
      </c>
      <c r="F358" s="423">
        <v>8</v>
      </c>
      <c r="G358" s="423" t="s">
        <v>3427</v>
      </c>
      <c r="H358" s="423"/>
      <c r="J358" s="423"/>
      <c r="K358" s="423"/>
      <c r="L358" s="423"/>
      <c r="M358" s="423"/>
      <c r="Q358" s="423"/>
      <c r="R358" s="424" t="s">
        <v>3862</v>
      </c>
      <c r="S358" s="424" t="s">
        <v>2846</v>
      </c>
      <c r="T358" s="424" t="s">
        <v>3291</v>
      </c>
      <c r="U358" s="424">
        <v>0</v>
      </c>
      <c r="V358" s="424" t="s">
        <v>3269</v>
      </c>
      <c r="W358" s="424" t="s">
        <v>3176</v>
      </c>
      <c r="X358" s="424" t="s">
        <v>2825</v>
      </c>
      <c r="Y358" s="424" t="s">
        <v>2279</v>
      </c>
      <c r="Z358" s="424" t="s">
        <v>3260</v>
      </c>
      <c r="AA358" s="424" t="s">
        <v>3274</v>
      </c>
      <c r="AB358" s="424" t="s">
        <v>3340</v>
      </c>
      <c r="AC358" s="424" t="s">
        <v>1953</v>
      </c>
      <c r="AD358" s="424" t="s">
        <v>2851</v>
      </c>
      <c r="AE358" s="424" t="s">
        <v>3341</v>
      </c>
      <c r="AF358" s="424"/>
      <c r="AG358" s="424"/>
      <c r="AH358" s="424"/>
    </row>
    <row r="359" spans="1:34" x14ac:dyDescent="0.25">
      <c r="A359" s="423" t="s">
        <v>3834</v>
      </c>
      <c r="B359" s="423" t="s">
        <v>3863</v>
      </c>
      <c r="C359" s="423" t="s">
        <v>1705</v>
      </c>
      <c r="D359" s="423" t="s">
        <v>3252</v>
      </c>
      <c r="E359" s="423" t="s">
        <v>2818</v>
      </c>
      <c r="F359" s="423">
        <v>16</v>
      </c>
      <c r="G359" s="423" t="s">
        <v>3309</v>
      </c>
      <c r="H359" s="423"/>
      <c r="J359" s="423"/>
      <c r="K359" s="423"/>
      <c r="L359" s="423"/>
      <c r="M359" s="423"/>
      <c r="Q359" s="423"/>
      <c r="R359" s="424" t="s">
        <v>3863</v>
      </c>
      <c r="S359" s="424" t="s">
        <v>2846</v>
      </c>
      <c r="T359" s="424" t="s">
        <v>2847</v>
      </c>
      <c r="U359" s="424">
        <v>0</v>
      </c>
      <c r="V359" s="424" t="s">
        <v>3283</v>
      </c>
      <c r="W359" s="424" t="s">
        <v>3074</v>
      </c>
      <c r="X359" s="424" t="s">
        <v>2825</v>
      </c>
      <c r="Y359" s="424" t="s">
        <v>2279</v>
      </c>
      <c r="Z359" s="424" t="s">
        <v>2848</v>
      </c>
      <c r="AA359" s="424" t="s">
        <v>2849</v>
      </c>
      <c r="AB359" s="424" t="s">
        <v>3439</v>
      </c>
      <c r="AC359" s="424" t="s">
        <v>1953</v>
      </c>
      <c r="AD359" s="424" t="s">
        <v>2851</v>
      </c>
      <c r="AE359" s="424" t="s">
        <v>3440</v>
      </c>
      <c r="AF359" s="424"/>
      <c r="AG359" s="424"/>
      <c r="AH359" s="424"/>
    </row>
    <row r="360" spans="1:34" x14ac:dyDescent="0.25">
      <c r="A360" s="423" t="s">
        <v>3864</v>
      </c>
      <c r="B360" s="423" t="s">
        <v>3865</v>
      </c>
      <c r="C360" s="423" t="s">
        <v>1705</v>
      </c>
      <c r="D360" s="423" t="s">
        <v>3252</v>
      </c>
      <c r="E360" s="423" t="s">
        <v>2818</v>
      </c>
      <c r="F360" s="423">
        <v>12</v>
      </c>
      <c r="G360" s="423" t="s">
        <v>3866</v>
      </c>
      <c r="H360" s="423"/>
      <c r="J360" s="423"/>
      <c r="K360" s="423"/>
      <c r="L360" s="423"/>
      <c r="M360" s="423"/>
      <c r="Q360" s="423"/>
      <c r="R360" s="424" t="s">
        <v>3865</v>
      </c>
      <c r="S360" s="424" t="s">
        <v>2846</v>
      </c>
      <c r="T360" s="424" t="s">
        <v>3268</v>
      </c>
      <c r="U360" s="424">
        <v>0</v>
      </c>
      <c r="V360" s="424" t="s">
        <v>3269</v>
      </c>
      <c r="W360" s="424" t="s">
        <v>3074</v>
      </c>
      <c r="X360" s="424" t="s">
        <v>2825</v>
      </c>
      <c r="Y360" s="424" t="s">
        <v>2279</v>
      </c>
      <c r="Z360" s="424" t="s">
        <v>3260</v>
      </c>
      <c r="AA360" s="424" t="s">
        <v>3197</v>
      </c>
      <c r="AB360" s="424" t="s">
        <v>3867</v>
      </c>
      <c r="AC360" s="424" t="s">
        <v>1953</v>
      </c>
      <c r="AD360" s="424" t="s">
        <v>2851</v>
      </c>
      <c r="AE360" s="424" t="s">
        <v>3481</v>
      </c>
      <c r="AF360" s="424"/>
      <c r="AG360" s="424"/>
      <c r="AH360" s="424"/>
    </row>
    <row r="361" spans="1:34" x14ac:dyDescent="0.25">
      <c r="A361" s="423" t="s">
        <v>3864</v>
      </c>
      <c r="B361" s="423" t="s">
        <v>3868</v>
      </c>
      <c r="C361" s="423" t="s">
        <v>1705</v>
      </c>
      <c r="D361" s="423" t="s">
        <v>3252</v>
      </c>
      <c r="E361" s="423" t="s">
        <v>2818</v>
      </c>
      <c r="F361" s="423">
        <v>12</v>
      </c>
      <c r="G361" s="423" t="s">
        <v>3866</v>
      </c>
      <c r="H361" s="423"/>
      <c r="J361" s="423"/>
      <c r="K361" s="423"/>
      <c r="L361" s="423"/>
      <c r="M361" s="423"/>
      <c r="Q361" s="423"/>
      <c r="R361" s="424" t="s">
        <v>3868</v>
      </c>
      <c r="S361" s="424" t="s">
        <v>2846</v>
      </c>
      <c r="T361" s="424" t="s">
        <v>3268</v>
      </c>
      <c r="U361" s="424">
        <v>0</v>
      </c>
      <c r="V361" s="424" t="s">
        <v>3269</v>
      </c>
      <c r="W361" s="424" t="s">
        <v>3055</v>
      </c>
      <c r="X361" s="424" t="s">
        <v>2825</v>
      </c>
      <c r="Y361" s="424" t="s">
        <v>2279</v>
      </c>
      <c r="Z361" s="424" t="s">
        <v>2848</v>
      </c>
      <c r="AA361" s="424" t="s">
        <v>2855</v>
      </c>
      <c r="AB361" s="424" t="s">
        <v>3421</v>
      </c>
      <c r="AC361" s="424" t="s">
        <v>1953</v>
      </c>
      <c r="AD361" s="424" t="s">
        <v>2851</v>
      </c>
      <c r="AE361" s="424" t="s">
        <v>3168</v>
      </c>
      <c r="AF361" s="424"/>
      <c r="AG361" s="424"/>
      <c r="AH361" s="424"/>
    </row>
    <row r="362" spans="1:34" x14ac:dyDescent="0.25">
      <c r="A362" s="423" t="s">
        <v>3864</v>
      </c>
      <c r="B362" s="423" t="s">
        <v>3869</v>
      </c>
      <c r="C362" s="423" t="s">
        <v>1705</v>
      </c>
      <c r="D362" s="423" t="s">
        <v>3252</v>
      </c>
      <c r="E362" s="423" t="s">
        <v>2818</v>
      </c>
      <c r="F362" s="423">
        <v>10</v>
      </c>
      <c r="G362" s="423" t="s">
        <v>3253</v>
      </c>
      <c r="H362" s="423"/>
      <c r="J362" s="423"/>
      <c r="K362" s="423"/>
      <c r="L362" s="423"/>
      <c r="M362" s="423"/>
      <c r="Q362" s="423"/>
      <c r="R362" s="424" t="s">
        <v>3870</v>
      </c>
      <c r="S362" s="424" t="s">
        <v>2846</v>
      </c>
      <c r="T362" s="424" t="s">
        <v>2847</v>
      </c>
      <c r="U362" s="424">
        <v>0</v>
      </c>
      <c r="V362" s="424" t="s">
        <v>3871</v>
      </c>
      <c r="W362" s="424" t="s">
        <v>3074</v>
      </c>
      <c r="X362" s="424" t="s">
        <v>2825</v>
      </c>
      <c r="Y362" s="424" t="s">
        <v>2279</v>
      </c>
      <c r="Z362" s="424" t="s">
        <v>2848</v>
      </c>
      <c r="AA362" s="424" t="s">
        <v>2849</v>
      </c>
      <c r="AB362" s="424" t="s">
        <v>3455</v>
      </c>
      <c r="AC362" s="424" t="s">
        <v>1953</v>
      </c>
      <c r="AD362" s="424" t="s">
        <v>2851</v>
      </c>
      <c r="AE362" s="424" t="s">
        <v>3444</v>
      </c>
      <c r="AF362" s="424"/>
      <c r="AG362" s="424"/>
      <c r="AH362" s="424"/>
    </row>
    <row r="363" spans="1:34" x14ac:dyDescent="0.25">
      <c r="A363" s="423" t="s">
        <v>3864</v>
      </c>
      <c r="B363" s="423" t="s">
        <v>3872</v>
      </c>
      <c r="C363" s="423" t="s">
        <v>1705</v>
      </c>
      <c r="D363" s="423" t="s">
        <v>3252</v>
      </c>
      <c r="E363" s="423" t="s">
        <v>2818</v>
      </c>
      <c r="F363" s="423">
        <v>10</v>
      </c>
      <c r="G363" s="423" t="s">
        <v>3253</v>
      </c>
      <c r="H363" s="423"/>
      <c r="J363" s="423"/>
      <c r="K363" s="423"/>
      <c r="L363" s="423"/>
      <c r="M363" s="423"/>
      <c r="Q363" s="423"/>
      <c r="R363" s="424" t="s">
        <v>3873</v>
      </c>
      <c r="S363" s="424" t="s">
        <v>2846</v>
      </c>
      <c r="T363" s="424" t="s">
        <v>2847</v>
      </c>
      <c r="U363" s="424">
        <v>0</v>
      </c>
      <c r="V363" s="424" t="s">
        <v>3871</v>
      </c>
      <c r="W363" s="424" t="s">
        <v>3055</v>
      </c>
      <c r="X363" s="424" t="s">
        <v>2825</v>
      </c>
      <c r="Y363" s="424" t="s">
        <v>2279</v>
      </c>
      <c r="Z363" s="424" t="s">
        <v>2889</v>
      </c>
      <c r="AA363" s="424" t="s">
        <v>2890</v>
      </c>
      <c r="AB363" s="424" t="s">
        <v>3581</v>
      </c>
      <c r="AC363" s="424" t="s">
        <v>1953</v>
      </c>
      <c r="AD363" s="424" t="s">
        <v>2851</v>
      </c>
      <c r="AE363" s="424" t="s">
        <v>3462</v>
      </c>
      <c r="AF363" s="424"/>
      <c r="AG363" s="424"/>
      <c r="AH363" s="424"/>
    </row>
    <row r="364" spans="1:34" x14ac:dyDescent="0.25">
      <c r="A364" s="423" t="s">
        <v>3864</v>
      </c>
      <c r="B364" s="423" t="s">
        <v>3874</v>
      </c>
      <c r="C364" s="423" t="s">
        <v>1705</v>
      </c>
      <c r="D364" s="423" t="s">
        <v>3252</v>
      </c>
      <c r="E364" s="423" t="s">
        <v>2818</v>
      </c>
      <c r="F364" s="423">
        <v>10</v>
      </c>
      <c r="G364" s="423" t="s">
        <v>3866</v>
      </c>
      <c r="H364" s="423"/>
      <c r="J364" s="423"/>
      <c r="K364" s="423"/>
      <c r="L364" s="423"/>
      <c r="M364" s="423"/>
      <c r="Q364" s="423"/>
      <c r="R364" s="424" t="s">
        <v>3874</v>
      </c>
      <c r="S364" s="424" t="s">
        <v>2846</v>
      </c>
      <c r="T364" s="424" t="s">
        <v>3268</v>
      </c>
      <c r="U364" s="424">
        <v>0</v>
      </c>
      <c r="V364" s="424" t="s">
        <v>3269</v>
      </c>
      <c r="W364" s="424" t="s">
        <v>3055</v>
      </c>
      <c r="X364" s="424" t="s">
        <v>2825</v>
      </c>
      <c r="Y364" s="424" t="s">
        <v>2279</v>
      </c>
      <c r="Z364" s="424" t="s">
        <v>3260</v>
      </c>
      <c r="AA364" s="424" t="s">
        <v>3327</v>
      </c>
      <c r="AB364" s="424" t="s">
        <v>3559</v>
      </c>
      <c r="AC364" s="424" t="s">
        <v>1953</v>
      </c>
      <c r="AD364" s="424" t="s">
        <v>3329</v>
      </c>
      <c r="AE364" s="424" t="s">
        <v>3365</v>
      </c>
      <c r="AF364" s="424"/>
      <c r="AG364" s="424"/>
      <c r="AH364" s="424"/>
    </row>
    <row r="365" spans="1:34" x14ac:dyDescent="0.25">
      <c r="A365" s="423" t="s">
        <v>3875</v>
      </c>
      <c r="B365" s="423" t="s">
        <v>3363</v>
      </c>
      <c r="C365" s="423" t="s">
        <v>1705</v>
      </c>
      <c r="D365" s="423" t="s">
        <v>3252</v>
      </c>
      <c r="E365" s="423" t="s">
        <v>2818</v>
      </c>
      <c r="F365" s="423">
        <v>8</v>
      </c>
      <c r="G365" s="423" t="s">
        <v>3354</v>
      </c>
      <c r="H365" s="423"/>
      <c r="J365" s="423"/>
      <c r="K365" s="423"/>
      <c r="L365" s="423"/>
      <c r="M365" s="423"/>
      <c r="Q365" s="423"/>
      <c r="R365" s="424" t="s">
        <v>3363</v>
      </c>
      <c r="S365" s="424" t="s">
        <v>2846</v>
      </c>
      <c r="T365" s="424" t="s">
        <v>3291</v>
      </c>
      <c r="U365" s="424">
        <v>0</v>
      </c>
      <c r="V365" s="424" t="s">
        <v>3269</v>
      </c>
      <c r="W365" s="424" t="s">
        <v>3054</v>
      </c>
      <c r="X365" s="424" t="s">
        <v>2825</v>
      </c>
      <c r="Y365" s="424" t="s">
        <v>2279</v>
      </c>
      <c r="Z365" s="424" t="s">
        <v>3260</v>
      </c>
      <c r="AA365" s="424" t="s">
        <v>3327</v>
      </c>
      <c r="AB365" s="424" t="s">
        <v>3364</v>
      </c>
      <c r="AC365" s="424" t="s">
        <v>1953</v>
      </c>
      <c r="AD365" s="424" t="s">
        <v>3329</v>
      </c>
      <c r="AE365" s="424" t="s">
        <v>3365</v>
      </c>
      <c r="AF365" s="424"/>
      <c r="AG365" s="424"/>
      <c r="AH365" s="424"/>
    </row>
    <row r="366" spans="1:34" x14ac:dyDescent="0.25">
      <c r="A366" s="423" t="s">
        <v>3875</v>
      </c>
      <c r="B366" s="423" t="s">
        <v>3251</v>
      </c>
      <c r="C366" s="423" t="s">
        <v>1705</v>
      </c>
      <c r="D366" s="423" t="s">
        <v>3252</v>
      </c>
      <c r="E366" s="423" t="s">
        <v>2818</v>
      </c>
      <c r="F366" s="423">
        <v>16</v>
      </c>
      <c r="G366" s="423" t="s">
        <v>3253</v>
      </c>
      <c r="H366" s="423"/>
      <c r="J366" s="423"/>
      <c r="K366" s="423"/>
      <c r="L366" s="423"/>
      <c r="M366" s="423"/>
      <c r="Q366" s="423"/>
      <c r="R366" s="424" t="s">
        <v>3254</v>
      </c>
      <c r="S366" s="424" t="s">
        <v>2846</v>
      </c>
      <c r="T366" s="424" t="s">
        <v>2847</v>
      </c>
      <c r="U366" s="424">
        <v>0</v>
      </c>
      <c r="V366" s="424" t="s">
        <v>2973</v>
      </c>
      <c r="W366" s="424" t="s">
        <v>3055</v>
      </c>
      <c r="X366" s="424" t="s">
        <v>2825</v>
      </c>
      <c r="Y366" s="424" t="s">
        <v>2279</v>
      </c>
      <c r="Z366" s="424" t="s">
        <v>2848</v>
      </c>
      <c r="AA366" s="424" t="s">
        <v>2855</v>
      </c>
      <c r="AB366" s="424" t="s">
        <v>3255</v>
      </c>
      <c r="AC366" s="424" t="s">
        <v>1953</v>
      </c>
      <c r="AD366" s="424" t="s">
        <v>2851</v>
      </c>
      <c r="AE366" s="424" t="s">
        <v>3168</v>
      </c>
      <c r="AF366" s="424"/>
      <c r="AG366" s="424"/>
      <c r="AH366" s="424"/>
    </row>
    <row r="367" spans="1:34" x14ac:dyDescent="0.25">
      <c r="A367" s="423" t="s">
        <v>3875</v>
      </c>
      <c r="B367" s="423" t="s">
        <v>3876</v>
      </c>
      <c r="C367" s="423" t="s">
        <v>1705</v>
      </c>
      <c r="D367" s="423" t="s">
        <v>3252</v>
      </c>
      <c r="E367" s="423" t="s">
        <v>2818</v>
      </c>
      <c r="F367" s="423">
        <v>8</v>
      </c>
      <c r="G367" s="423" t="s">
        <v>3530</v>
      </c>
      <c r="H367" s="423"/>
      <c r="J367" s="423"/>
      <c r="K367" s="423"/>
      <c r="L367" s="423"/>
      <c r="M367" s="423"/>
      <c r="Q367" s="423"/>
      <c r="R367" s="424" t="s">
        <v>3876</v>
      </c>
      <c r="S367" s="424" t="s">
        <v>2846</v>
      </c>
      <c r="T367" s="424" t="s">
        <v>2847</v>
      </c>
      <c r="U367" s="424">
        <v>0</v>
      </c>
      <c r="V367" s="424" t="s">
        <v>3283</v>
      </c>
      <c r="W367" s="424" t="s">
        <v>3074</v>
      </c>
      <c r="X367" s="424" t="s">
        <v>2825</v>
      </c>
      <c r="Y367" s="424" t="s">
        <v>2279</v>
      </c>
      <c r="Z367" s="424" t="s">
        <v>2848</v>
      </c>
      <c r="AA367" s="424" t="s">
        <v>2849</v>
      </c>
      <c r="AB367" s="424" t="s">
        <v>3877</v>
      </c>
      <c r="AC367" s="424" t="s">
        <v>1953</v>
      </c>
      <c r="AD367" s="424" t="s">
        <v>2851</v>
      </c>
      <c r="AE367" s="424" t="s">
        <v>3440</v>
      </c>
      <c r="AF367" s="424"/>
      <c r="AG367" s="424"/>
      <c r="AH367" s="424"/>
    </row>
    <row r="368" spans="1:34" x14ac:dyDescent="0.25">
      <c r="A368" s="423" t="s">
        <v>3875</v>
      </c>
      <c r="B368" s="423" t="s">
        <v>3878</v>
      </c>
      <c r="C368" s="423" t="s">
        <v>1705</v>
      </c>
      <c r="D368" s="423" t="s">
        <v>3252</v>
      </c>
      <c r="E368" s="423" t="s">
        <v>2818</v>
      </c>
      <c r="F368" s="423">
        <v>8</v>
      </c>
      <c r="G368" s="423" t="s">
        <v>3530</v>
      </c>
      <c r="H368" s="423"/>
      <c r="J368" s="423"/>
      <c r="K368" s="423"/>
      <c r="L368" s="423"/>
      <c r="M368" s="423"/>
      <c r="Q368" s="423"/>
      <c r="R368" s="424" t="s">
        <v>3878</v>
      </c>
      <c r="S368" s="424" t="s">
        <v>2846</v>
      </c>
      <c r="T368" s="424" t="s">
        <v>2847</v>
      </c>
      <c r="U368" s="424">
        <v>0</v>
      </c>
      <c r="V368" s="424" t="s">
        <v>3283</v>
      </c>
      <c r="W368" s="424" t="s">
        <v>3074</v>
      </c>
      <c r="X368" s="424" t="s">
        <v>2825</v>
      </c>
      <c r="Y368" s="424" t="s">
        <v>2279</v>
      </c>
      <c r="Z368" s="424" t="s">
        <v>2848</v>
      </c>
      <c r="AA368" s="424" t="s">
        <v>2849</v>
      </c>
      <c r="AB368" s="424" t="s">
        <v>3879</v>
      </c>
      <c r="AC368" s="424" t="s">
        <v>1953</v>
      </c>
      <c r="AD368" s="424" t="s">
        <v>2851</v>
      </c>
      <c r="AE368" s="424" t="s">
        <v>3436</v>
      </c>
      <c r="AF368" s="424"/>
      <c r="AG368" s="424"/>
      <c r="AH368" s="424"/>
    </row>
    <row r="369" spans="1:34" x14ac:dyDescent="0.25">
      <c r="A369" s="423" t="s">
        <v>3875</v>
      </c>
      <c r="B369" s="423" t="s">
        <v>3880</v>
      </c>
      <c r="C369" s="423" t="s">
        <v>1705</v>
      </c>
      <c r="D369" s="423" t="s">
        <v>3252</v>
      </c>
      <c r="E369" s="423" t="s">
        <v>2818</v>
      </c>
      <c r="F369" s="423">
        <v>8</v>
      </c>
      <c r="G369" s="423" t="s">
        <v>3530</v>
      </c>
      <c r="H369" s="423"/>
      <c r="J369" s="423"/>
      <c r="K369" s="423"/>
      <c r="L369" s="423"/>
      <c r="M369" s="423"/>
      <c r="Q369" s="423"/>
      <c r="R369" s="424" t="s">
        <v>3880</v>
      </c>
      <c r="S369" s="424" t="s">
        <v>2846</v>
      </c>
      <c r="T369" s="424" t="s">
        <v>2847</v>
      </c>
      <c r="U369" s="424">
        <v>0</v>
      </c>
      <c r="V369" s="424" t="s">
        <v>3283</v>
      </c>
      <c r="W369" s="424" t="s">
        <v>3074</v>
      </c>
      <c r="X369" s="424" t="s">
        <v>2825</v>
      </c>
      <c r="Y369" s="424" t="s">
        <v>2279</v>
      </c>
      <c r="Z369" s="424" t="s">
        <v>2848</v>
      </c>
      <c r="AA369" s="424" t="s">
        <v>2849</v>
      </c>
      <c r="AB369" s="424" t="s">
        <v>3616</v>
      </c>
      <c r="AC369" s="424" t="s">
        <v>1953</v>
      </c>
      <c r="AD369" s="424" t="s">
        <v>2851</v>
      </c>
      <c r="AE369" s="424" t="s">
        <v>3444</v>
      </c>
      <c r="AF369" s="424"/>
      <c r="AG369" s="424"/>
      <c r="AH369" s="424"/>
    </row>
    <row r="370" spans="1:34" x14ac:dyDescent="0.25">
      <c r="A370" s="423" t="s">
        <v>3881</v>
      </c>
      <c r="B370" s="423" t="s">
        <v>3882</v>
      </c>
      <c r="C370" s="423" t="s">
        <v>3883</v>
      </c>
      <c r="D370" s="423" t="s">
        <v>3884</v>
      </c>
      <c r="E370" s="423" t="s">
        <v>2818</v>
      </c>
      <c r="F370" s="423">
        <v>32</v>
      </c>
      <c r="G370" s="423">
        <v>64</v>
      </c>
      <c r="H370" s="423">
        <v>300</v>
      </c>
      <c r="J370" s="423"/>
      <c r="K370" s="423"/>
      <c r="L370" s="423"/>
      <c r="M370" s="423"/>
      <c r="Q370" s="423"/>
      <c r="R370" s="424" t="s">
        <v>3885</v>
      </c>
      <c r="S370" s="424" t="s">
        <v>2846</v>
      </c>
      <c r="T370" s="424" t="s">
        <v>3886</v>
      </c>
      <c r="U370" s="424">
        <v>0</v>
      </c>
      <c r="V370" s="424" t="s">
        <v>3283</v>
      </c>
      <c r="W370" s="424" t="s">
        <v>3074</v>
      </c>
      <c r="X370" s="424" t="s">
        <v>2825</v>
      </c>
      <c r="Y370" s="424" t="s">
        <v>2279</v>
      </c>
      <c r="Z370" s="424" t="s">
        <v>2848</v>
      </c>
      <c r="AA370" s="424" t="s">
        <v>2849</v>
      </c>
      <c r="AB370" s="424" t="s">
        <v>3877</v>
      </c>
      <c r="AC370" s="424" t="s">
        <v>1953</v>
      </c>
      <c r="AD370" s="424" t="s">
        <v>2851</v>
      </c>
      <c r="AE370" s="424" t="s">
        <v>3440</v>
      </c>
      <c r="AF370" s="424"/>
      <c r="AG370" s="424"/>
      <c r="AH370" s="424"/>
    </row>
    <row r="371" spans="1:34" x14ac:dyDescent="0.25">
      <c r="A371" s="423" t="s">
        <v>3881</v>
      </c>
      <c r="B371" s="423" t="s">
        <v>3887</v>
      </c>
      <c r="C371" s="423" t="s">
        <v>3883</v>
      </c>
      <c r="D371" s="423" t="s">
        <v>3884</v>
      </c>
      <c r="E371" s="423" t="s">
        <v>2818</v>
      </c>
      <c r="F371" s="423">
        <v>8</v>
      </c>
      <c r="G371" s="423">
        <v>32</v>
      </c>
      <c r="H371" s="423">
        <v>300</v>
      </c>
      <c r="J371" s="423"/>
      <c r="K371" s="423"/>
      <c r="L371" s="423"/>
      <c r="M371" s="423"/>
      <c r="Q371" s="423"/>
      <c r="R371" s="424" t="s">
        <v>3887</v>
      </c>
      <c r="S371" s="424" t="s">
        <v>2846</v>
      </c>
      <c r="T371" s="424" t="s">
        <v>2847</v>
      </c>
      <c r="U371" s="424">
        <v>0</v>
      </c>
      <c r="V371" s="424" t="s">
        <v>2973</v>
      </c>
      <c r="W371" s="424" t="s">
        <v>3074</v>
      </c>
      <c r="X371" s="424" t="s">
        <v>2825</v>
      </c>
      <c r="Y371" s="424" t="s">
        <v>2279</v>
      </c>
      <c r="Z371" s="424" t="s">
        <v>2848</v>
      </c>
      <c r="AA371" s="424" t="s">
        <v>2849</v>
      </c>
      <c r="AB371" s="424" t="s">
        <v>3888</v>
      </c>
      <c r="AC371" s="424" t="s">
        <v>1953</v>
      </c>
      <c r="AD371" s="424" t="s">
        <v>2851</v>
      </c>
      <c r="AE371" s="424" t="s">
        <v>2861</v>
      </c>
      <c r="AF371" s="424"/>
      <c r="AG371" s="424"/>
      <c r="AH371" s="424"/>
    </row>
    <row r="372" spans="1:34" x14ac:dyDescent="0.25">
      <c r="A372" s="423" t="s">
        <v>3889</v>
      </c>
      <c r="B372" s="423" t="s">
        <v>3890</v>
      </c>
      <c r="C372" s="423" t="s">
        <v>486</v>
      </c>
      <c r="D372" s="423" t="s">
        <v>3891</v>
      </c>
      <c r="E372" s="423" t="s">
        <v>2818</v>
      </c>
      <c r="F372" s="423">
        <v>16</v>
      </c>
      <c r="G372" s="423">
        <v>16</v>
      </c>
      <c r="H372" s="423">
        <v>296</v>
      </c>
      <c r="J372" s="423"/>
      <c r="K372" s="423"/>
      <c r="L372" s="423"/>
      <c r="M372" s="423"/>
      <c r="Q372" s="423"/>
      <c r="R372" s="424" t="s">
        <v>3892</v>
      </c>
      <c r="S372" s="424" t="s">
        <v>2846</v>
      </c>
      <c r="T372" s="424" t="s">
        <v>2847</v>
      </c>
      <c r="U372" s="424">
        <v>0</v>
      </c>
      <c r="V372" s="424" t="s">
        <v>3269</v>
      </c>
      <c r="W372" s="424" t="s">
        <v>2871</v>
      </c>
      <c r="X372" s="424" t="s">
        <v>2825</v>
      </c>
      <c r="Y372" s="424" t="s">
        <v>2279</v>
      </c>
      <c r="Z372" s="424" t="s">
        <v>2872</v>
      </c>
      <c r="AA372" s="424" t="s">
        <v>2873</v>
      </c>
      <c r="AB372" s="424" t="s">
        <v>3893</v>
      </c>
      <c r="AC372" s="424" t="s">
        <v>1953</v>
      </c>
      <c r="AD372" s="424" t="s">
        <v>2892</v>
      </c>
      <c r="AE372" s="424" t="s">
        <v>2897</v>
      </c>
      <c r="AF372" s="424"/>
      <c r="AG372" s="424"/>
      <c r="AH372" s="424"/>
    </row>
    <row r="373" spans="1:34" x14ac:dyDescent="0.25">
      <c r="A373" s="423" t="s">
        <v>3889</v>
      </c>
      <c r="B373" s="423" t="s">
        <v>3894</v>
      </c>
      <c r="C373" s="423" t="s">
        <v>486</v>
      </c>
      <c r="D373" s="423" t="s">
        <v>3891</v>
      </c>
      <c r="E373" s="423" t="s">
        <v>2818</v>
      </c>
      <c r="F373" s="423">
        <v>16</v>
      </c>
      <c r="G373" s="423">
        <v>16</v>
      </c>
      <c r="H373" s="423">
        <v>296</v>
      </c>
      <c r="J373" s="423"/>
      <c r="K373" s="423"/>
      <c r="L373" s="423"/>
      <c r="M373" s="423"/>
      <c r="Q373" s="423"/>
      <c r="R373" s="424" t="s">
        <v>3895</v>
      </c>
      <c r="S373" s="424" t="s">
        <v>2846</v>
      </c>
      <c r="T373" s="424" t="s">
        <v>2847</v>
      </c>
      <c r="U373" s="424">
        <v>0</v>
      </c>
      <c r="V373" s="424" t="s">
        <v>3269</v>
      </c>
      <c r="W373" s="424" t="s">
        <v>2871</v>
      </c>
      <c r="X373" s="424" t="s">
        <v>2825</v>
      </c>
      <c r="Y373" s="424" t="s">
        <v>2279</v>
      </c>
      <c r="Z373" s="424" t="s">
        <v>2848</v>
      </c>
      <c r="AA373" s="424" t="s">
        <v>2855</v>
      </c>
      <c r="AB373" s="424" t="s">
        <v>3896</v>
      </c>
      <c r="AC373" s="424" t="s">
        <v>1953</v>
      </c>
      <c r="AD373" s="424" t="s">
        <v>2851</v>
      </c>
      <c r="AE373" s="424" t="s">
        <v>2901</v>
      </c>
      <c r="AF373" s="424"/>
      <c r="AG373" s="424"/>
      <c r="AH373" s="424"/>
    </row>
    <row r="374" spans="1:34" x14ac:dyDescent="0.25">
      <c r="A374" s="423" t="s">
        <v>3889</v>
      </c>
      <c r="B374" s="423" t="s">
        <v>3897</v>
      </c>
      <c r="C374" s="423" t="s">
        <v>486</v>
      </c>
      <c r="D374" s="423" t="s">
        <v>3891</v>
      </c>
      <c r="E374" s="423" t="s">
        <v>2818</v>
      </c>
      <c r="F374" s="423">
        <v>16</v>
      </c>
      <c r="G374" s="423">
        <v>48</v>
      </c>
      <c r="H374" s="423">
        <v>150</v>
      </c>
      <c r="J374" s="423"/>
      <c r="K374" s="423"/>
      <c r="L374" s="423"/>
      <c r="M374" s="423"/>
      <c r="Q374" s="423"/>
      <c r="R374" s="424" t="s">
        <v>3897</v>
      </c>
      <c r="S374" s="424" t="s">
        <v>2846</v>
      </c>
      <c r="T374" s="424" t="s">
        <v>3898</v>
      </c>
      <c r="U374" s="424">
        <v>0</v>
      </c>
      <c r="V374" s="424" t="s">
        <v>3899</v>
      </c>
      <c r="W374" s="424" t="s">
        <v>3074</v>
      </c>
      <c r="X374" s="424">
        <v>0</v>
      </c>
      <c r="Y374" s="424" t="s">
        <v>2279</v>
      </c>
      <c r="Z374" s="424" t="s">
        <v>2848</v>
      </c>
      <c r="AA374" s="424" t="s">
        <v>2849</v>
      </c>
      <c r="AB374" s="424" t="s">
        <v>3435</v>
      </c>
      <c r="AC374" s="424" t="s">
        <v>1953</v>
      </c>
      <c r="AD374" s="424" t="s">
        <v>2851</v>
      </c>
      <c r="AE374" s="424" t="s">
        <v>3436</v>
      </c>
      <c r="AF374" s="424"/>
      <c r="AG374" s="424"/>
      <c r="AH374" s="424"/>
    </row>
    <row r="375" spans="1:34" x14ac:dyDescent="0.25">
      <c r="A375" s="423" t="s">
        <v>3889</v>
      </c>
      <c r="B375" s="423" t="s">
        <v>3900</v>
      </c>
      <c r="C375" s="423" t="s">
        <v>486</v>
      </c>
      <c r="D375" s="423" t="s">
        <v>3891</v>
      </c>
      <c r="E375" s="423" t="s">
        <v>2818</v>
      </c>
      <c r="F375" s="423">
        <v>16</v>
      </c>
      <c r="G375" s="423">
        <v>48</v>
      </c>
      <c r="H375" s="423">
        <v>250</v>
      </c>
      <c r="J375" s="423"/>
      <c r="K375" s="423"/>
      <c r="L375" s="423"/>
      <c r="M375" s="423"/>
      <c r="Q375" s="423"/>
      <c r="R375" s="424" t="s">
        <v>3900</v>
      </c>
      <c r="S375" s="424" t="s">
        <v>2846</v>
      </c>
      <c r="T375" s="424" t="s">
        <v>3898</v>
      </c>
      <c r="U375" s="424">
        <v>0</v>
      </c>
      <c r="V375" s="424" t="s">
        <v>3899</v>
      </c>
      <c r="W375" s="424" t="s">
        <v>3054</v>
      </c>
      <c r="X375" s="424">
        <v>0</v>
      </c>
      <c r="Y375" s="424" t="s">
        <v>2279</v>
      </c>
      <c r="Z375" s="424" t="s">
        <v>3260</v>
      </c>
      <c r="AA375" s="424" t="s">
        <v>3271</v>
      </c>
      <c r="AB375" s="424" t="s">
        <v>3901</v>
      </c>
      <c r="AC375" s="424" t="s">
        <v>1953</v>
      </c>
      <c r="AD375" s="424" t="s">
        <v>2851</v>
      </c>
      <c r="AE375" s="424" t="s">
        <v>3902</v>
      </c>
      <c r="AF375" s="424"/>
      <c r="AG375" s="424"/>
      <c r="AH375" s="424"/>
    </row>
    <row r="376" spans="1:34" x14ac:dyDescent="0.25">
      <c r="A376" s="423" t="s">
        <v>3903</v>
      </c>
      <c r="B376" s="423" t="s">
        <v>3904</v>
      </c>
      <c r="C376" s="423" t="s">
        <v>486</v>
      </c>
      <c r="D376" s="423" t="s">
        <v>3891</v>
      </c>
      <c r="E376" s="423" t="s">
        <v>2818</v>
      </c>
      <c r="F376" s="423">
        <v>4</v>
      </c>
      <c r="G376" s="423">
        <v>8</v>
      </c>
      <c r="H376" s="423">
        <v>160</v>
      </c>
      <c r="J376" s="423"/>
      <c r="K376" s="423"/>
      <c r="L376" s="423"/>
      <c r="M376" s="423"/>
      <c r="Q376" s="423"/>
      <c r="R376" s="424" t="s">
        <v>3905</v>
      </c>
      <c r="S376" s="424" t="s">
        <v>2846</v>
      </c>
      <c r="T376" s="424" t="s">
        <v>3906</v>
      </c>
      <c r="U376" s="424">
        <v>0</v>
      </c>
      <c r="V376" s="424" t="s">
        <v>132</v>
      </c>
      <c r="W376" s="424" t="s">
        <v>3694</v>
      </c>
      <c r="X376" s="424" t="s">
        <v>3907</v>
      </c>
      <c r="Y376" s="424" t="s">
        <v>3908</v>
      </c>
      <c r="Z376" s="424" t="s">
        <v>2872</v>
      </c>
      <c r="AA376" s="424" t="s">
        <v>3197</v>
      </c>
      <c r="AB376" s="424" t="s">
        <v>3909</v>
      </c>
      <c r="AC376" s="424" t="s">
        <v>3910</v>
      </c>
      <c r="AD376" s="424" t="s">
        <v>3911</v>
      </c>
      <c r="AE376" s="424" t="s">
        <v>3912</v>
      </c>
      <c r="AF376" s="424"/>
      <c r="AG376" s="424"/>
      <c r="AH376" s="424"/>
    </row>
    <row r="377" spans="1:34" x14ac:dyDescent="0.25">
      <c r="A377" s="423" t="s">
        <v>3903</v>
      </c>
      <c r="B377" s="423" t="s">
        <v>3913</v>
      </c>
      <c r="C377" s="423" t="s">
        <v>486</v>
      </c>
      <c r="D377" s="423" t="s">
        <v>3891</v>
      </c>
      <c r="E377" s="423" t="s">
        <v>2818</v>
      </c>
      <c r="F377" s="423">
        <v>4</v>
      </c>
      <c r="G377" s="423">
        <v>8</v>
      </c>
      <c r="H377" s="423">
        <v>160</v>
      </c>
      <c r="J377" s="423"/>
      <c r="K377" s="423"/>
      <c r="L377" s="423"/>
      <c r="M377" s="423"/>
      <c r="Q377" s="423"/>
      <c r="R377" s="424" t="s">
        <v>3914</v>
      </c>
      <c r="S377" s="424" t="s">
        <v>2846</v>
      </c>
      <c r="T377" s="424" t="s">
        <v>3906</v>
      </c>
      <c r="U377" s="424">
        <v>0</v>
      </c>
      <c r="V377" s="424" t="s">
        <v>132</v>
      </c>
      <c r="W377" s="424" t="s">
        <v>3694</v>
      </c>
      <c r="X377" s="424" t="s">
        <v>3907</v>
      </c>
      <c r="Y377" s="424" t="s">
        <v>3908</v>
      </c>
      <c r="Z377" s="424" t="s">
        <v>2872</v>
      </c>
      <c r="AA377" s="424" t="s">
        <v>3197</v>
      </c>
      <c r="AB377" s="424" t="s">
        <v>3915</v>
      </c>
      <c r="AC377" s="424" t="s">
        <v>3910</v>
      </c>
      <c r="AD377" s="424" t="s">
        <v>3911</v>
      </c>
      <c r="AE377" s="424" t="s">
        <v>3916</v>
      </c>
      <c r="AF377" s="424"/>
      <c r="AG377" s="424"/>
      <c r="AH377" s="424"/>
    </row>
    <row r="378" spans="1:34" x14ac:dyDescent="0.25">
      <c r="A378" s="423" t="s">
        <v>3903</v>
      </c>
      <c r="B378" s="423" t="s">
        <v>3917</v>
      </c>
      <c r="C378" s="423" t="s">
        <v>486</v>
      </c>
      <c r="D378" s="423" t="s">
        <v>3891</v>
      </c>
      <c r="E378" s="423" t="s">
        <v>2818</v>
      </c>
      <c r="F378" s="423">
        <v>4</v>
      </c>
      <c r="G378" s="423">
        <v>8</v>
      </c>
      <c r="H378" s="423">
        <v>260</v>
      </c>
      <c r="J378" s="423"/>
      <c r="K378" s="423"/>
      <c r="L378" s="423"/>
      <c r="M378" s="423"/>
      <c r="Q378" s="423"/>
      <c r="R378" s="424" t="s">
        <v>3918</v>
      </c>
      <c r="S378" s="424" t="s">
        <v>2846</v>
      </c>
      <c r="T378" s="424" t="s">
        <v>3906</v>
      </c>
      <c r="U378" s="424">
        <v>0</v>
      </c>
      <c r="V378" s="424" t="s">
        <v>132</v>
      </c>
      <c r="W378" s="424" t="s">
        <v>3694</v>
      </c>
      <c r="X378" s="424">
        <v>0</v>
      </c>
      <c r="Y378" s="424" t="s">
        <v>3908</v>
      </c>
      <c r="Z378" s="424" t="s">
        <v>2872</v>
      </c>
      <c r="AA378" s="424" t="s">
        <v>3197</v>
      </c>
      <c r="AB378" s="424" t="s">
        <v>3919</v>
      </c>
      <c r="AC378" s="424" t="s">
        <v>3910</v>
      </c>
      <c r="AD378" s="424" t="s">
        <v>3911</v>
      </c>
      <c r="AE378" s="424" t="s">
        <v>3916</v>
      </c>
      <c r="AF378" s="424"/>
      <c r="AG378" s="424"/>
      <c r="AH378" s="424"/>
    </row>
    <row r="379" spans="1:34" x14ac:dyDescent="0.25">
      <c r="A379" s="423" t="s">
        <v>3903</v>
      </c>
      <c r="B379" s="423" t="s">
        <v>3920</v>
      </c>
      <c r="C379" s="423" t="s">
        <v>486</v>
      </c>
      <c r="D379" s="423" t="s">
        <v>3891</v>
      </c>
      <c r="E379" s="423" t="s">
        <v>2818</v>
      </c>
      <c r="F379" s="423">
        <v>4</v>
      </c>
      <c r="G379" s="423">
        <v>8</v>
      </c>
      <c r="H379" s="423">
        <v>260</v>
      </c>
      <c r="J379" s="423"/>
      <c r="K379" s="423"/>
      <c r="L379" s="423"/>
      <c r="M379" s="423"/>
      <c r="Q379" s="423"/>
      <c r="R379" s="424" t="s">
        <v>3921</v>
      </c>
      <c r="S379" s="424" t="s">
        <v>2846</v>
      </c>
      <c r="T379" s="424" t="s">
        <v>3906</v>
      </c>
      <c r="U379" s="424">
        <v>0</v>
      </c>
      <c r="V379" s="424" t="s">
        <v>132</v>
      </c>
      <c r="W379" s="424" t="s">
        <v>3694</v>
      </c>
      <c r="X379" s="424">
        <v>0</v>
      </c>
      <c r="Y379" s="424" t="s">
        <v>3908</v>
      </c>
      <c r="Z379" s="424" t="s">
        <v>2872</v>
      </c>
      <c r="AA379" s="424" t="s">
        <v>3197</v>
      </c>
      <c r="AB379" s="424" t="s">
        <v>3922</v>
      </c>
      <c r="AC379" s="424" t="s">
        <v>3910</v>
      </c>
      <c r="AD379" s="424" t="s">
        <v>3911</v>
      </c>
      <c r="AE379" s="424" t="s">
        <v>3923</v>
      </c>
      <c r="AF379" s="424"/>
      <c r="AG379" s="424"/>
      <c r="AH379" s="424"/>
    </row>
    <row r="380" spans="1:34" x14ac:dyDescent="0.25">
      <c r="A380" s="423" t="s">
        <v>3924</v>
      </c>
      <c r="B380" s="423" t="s">
        <v>3925</v>
      </c>
      <c r="C380" s="423" t="s">
        <v>486</v>
      </c>
      <c r="D380" s="423" t="s">
        <v>3891</v>
      </c>
      <c r="E380" s="423" t="s">
        <v>2818</v>
      </c>
      <c r="F380" s="423">
        <v>32</v>
      </c>
      <c r="G380" s="423" t="s">
        <v>3926</v>
      </c>
      <c r="H380" s="423">
        <v>250</v>
      </c>
      <c r="J380" s="423"/>
      <c r="K380" s="423"/>
      <c r="L380" s="423"/>
      <c r="M380" s="423"/>
      <c r="Q380" s="423"/>
      <c r="R380" s="424" t="s">
        <v>3925</v>
      </c>
      <c r="S380" s="424" t="s">
        <v>2846</v>
      </c>
      <c r="T380" s="424" t="s">
        <v>3152</v>
      </c>
      <c r="U380" s="424">
        <v>0</v>
      </c>
      <c r="V380" s="424" t="s">
        <v>2973</v>
      </c>
      <c r="W380" s="424" t="s">
        <v>3054</v>
      </c>
      <c r="X380" s="424" t="s">
        <v>3298</v>
      </c>
      <c r="Y380" s="424" t="s">
        <v>2279</v>
      </c>
      <c r="Z380" s="424" t="s">
        <v>2848</v>
      </c>
      <c r="AA380" s="424" t="s">
        <v>3927</v>
      </c>
      <c r="AB380" s="424" t="s">
        <v>3928</v>
      </c>
      <c r="AC380" s="424" t="s">
        <v>1953</v>
      </c>
      <c r="AD380" s="424" t="s">
        <v>2851</v>
      </c>
      <c r="AE380" s="424" t="s">
        <v>3719</v>
      </c>
      <c r="AF380" s="424"/>
      <c r="AG380" s="424"/>
      <c r="AH380" s="424"/>
    </row>
    <row r="381" spans="1:34" x14ac:dyDescent="0.25">
      <c r="A381" s="423" t="s">
        <v>3924</v>
      </c>
      <c r="B381" s="423" t="s">
        <v>3929</v>
      </c>
      <c r="C381" s="423" t="s">
        <v>486</v>
      </c>
      <c r="D381" s="423" t="s">
        <v>3891</v>
      </c>
      <c r="E381" s="423" t="s">
        <v>2818</v>
      </c>
      <c r="F381" s="423">
        <v>32</v>
      </c>
      <c r="G381" s="423">
        <v>32</v>
      </c>
      <c r="H381" s="423">
        <v>200</v>
      </c>
      <c r="J381" s="423"/>
      <c r="K381" s="423"/>
      <c r="L381" s="423"/>
      <c r="M381" s="423"/>
      <c r="Q381" s="423"/>
      <c r="R381" s="424" t="s">
        <v>3930</v>
      </c>
      <c r="S381" s="424" t="s">
        <v>2846</v>
      </c>
      <c r="T381" s="424" t="s">
        <v>3152</v>
      </c>
      <c r="U381" s="424">
        <v>0</v>
      </c>
      <c r="V381" s="424" t="s">
        <v>2973</v>
      </c>
      <c r="W381" s="424" t="s">
        <v>2871</v>
      </c>
      <c r="X381" s="424" t="s">
        <v>3298</v>
      </c>
      <c r="Y381" s="424" t="s">
        <v>2279</v>
      </c>
      <c r="Z381" s="424" t="s">
        <v>2848</v>
      </c>
      <c r="AA381" s="424" t="s">
        <v>2849</v>
      </c>
      <c r="AB381" s="424" t="s">
        <v>3931</v>
      </c>
      <c r="AC381" s="424" t="s">
        <v>1953</v>
      </c>
      <c r="AD381" s="424" t="s">
        <v>2851</v>
      </c>
      <c r="AE381" s="424" t="s">
        <v>3545</v>
      </c>
      <c r="AF381" s="424"/>
      <c r="AG381" s="424"/>
      <c r="AH381" s="424"/>
    </row>
    <row r="382" spans="1:34" x14ac:dyDescent="0.25">
      <c r="A382" s="423" t="s">
        <v>3924</v>
      </c>
      <c r="B382" s="423" t="s">
        <v>3932</v>
      </c>
      <c r="C382" s="423" t="s">
        <v>486</v>
      </c>
      <c r="D382" s="423" t="s">
        <v>3891</v>
      </c>
      <c r="E382" s="423" t="s">
        <v>2818</v>
      </c>
      <c r="F382" s="423">
        <v>32</v>
      </c>
      <c r="G382" s="423">
        <v>64</v>
      </c>
      <c r="H382" s="423">
        <v>700</v>
      </c>
      <c r="J382" s="423"/>
      <c r="K382" s="423"/>
      <c r="L382" s="423"/>
      <c r="M382" s="423"/>
      <c r="Q382" s="423"/>
      <c r="R382" s="424" t="s">
        <v>3933</v>
      </c>
      <c r="S382" s="424" t="s">
        <v>2846</v>
      </c>
      <c r="T382" s="424" t="s">
        <v>3152</v>
      </c>
      <c r="U382" s="424">
        <v>0</v>
      </c>
      <c r="V382" s="424" t="s">
        <v>2824</v>
      </c>
      <c r="W382" s="424" t="s">
        <v>3055</v>
      </c>
      <c r="X382" s="424" t="s">
        <v>2825</v>
      </c>
      <c r="Y382" s="424" t="s">
        <v>2279</v>
      </c>
      <c r="Z382" s="424" t="s">
        <v>2848</v>
      </c>
      <c r="AA382" s="424" t="s">
        <v>2855</v>
      </c>
      <c r="AB382" s="424" t="s">
        <v>3934</v>
      </c>
      <c r="AC382" s="424" t="s">
        <v>1953</v>
      </c>
      <c r="AD382" s="424" t="s">
        <v>2851</v>
      </c>
      <c r="AE382" s="424" t="s">
        <v>2857</v>
      </c>
      <c r="AF382" s="424"/>
      <c r="AG382" s="424"/>
      <c r="AH382" s="424"/>
    </row>
    <row r="383" spans="1:34" x14ac:dyDescent="0.25">
      <c r="A383" s="423" t="s">
        <v>3924</v>
      </c>
      <c r="B383" s="423" t="s">
        <v>3935</v>
      </c>
      <c r="C383" s="423" t="s">
        <v>486</v>
      </c>
      <c r="D383" s="423" t="s">
        <v>3891</v>
      </c>
      <c r="E383" s="423" t="s">
        <v>2818</v>
      </c>
      <c r="F383" s="423">
        <v>24</v>
      </c>
      <c r="G383" s="423">
        <v>62</v>
      </c>
      <c r="H383" s="423">
        <v>150</v>
      </c>
      <c r="J383" s="423"/>
      <c r="K383" s="423"/>
      <c r="L383" s="423"/>
      <c r="M383" s="423"/>
      <c r="Q383" s="423"/>
      <c r="R383" s="424" t="s">
        <v>3936</v>
      </c>
      <c r="S383" s="424" t="s">
        <v>2846</v>
      </c>
      <c r="T383" s="424" t="s">
        <v>3152</v>
      </c>
      <c r="U383" s="424">
        <v>0</v>
      </c>
      <c r="V383" s="424" t="s">
        <v>2824</v>
      </c>
      <c r="W383" s="424" t="s">
        <v>3055</v>
      </c>
      <c r="X383" s="424" t="s">
        <v>2825</v>
      </c>
      <c r="Y383" s="424" t="s">
        <v>2279</v>
      </c>
      <c r="Z383" s="424" t="s">
        <v>2848</v>
      </c>
      <c r="AA383" s="424" t="s">
        <v>2855</v>
      </c>
      <c r="AB383" s="424" t="s">
        <v>3937</v>
      </c>
      <c r="AC383" s="424" t="s">
        <v>1953</v>
      </c>
      <c r="AD383" s="424" t="s">
        <v>2851</v>
      </c>
      <c r="AE383" s="424" t="s">
        <v>2857</v>
      </c>
      <c r="AF383" s="424"/>
      <c r="AG383" s="424"/>
      <c r="AH383" s="424"/>
    </row>
    <row r="384" spans="1:34" x14ac:dyDescent="0.25">
      <c r="A384" s="423" t="s">
        <v>3924</v>
      </c>
      <c r="B384" s="423" t="s">
        <v>3321</v>
      </c>
      <c r="C384" s="423" t="s">
        <v>486</v>
      </c>
      <c r="D384" s="423" t="s">
        <v>3891</v>
      </c>
      <c r="E384" s="423" t="s">
        <v>2818</v>
      </c>
      <c r="F384" s="423">
        <v>16</v>
      </c>
      <c r="G384" s="423">
        <v>32</v>
      </c>
      <c r="H384" s="423">
        <v>200</v>
      </c>
      <c r="J384" s="423"/>
      <c r="K384" s="423"/>
      <c r="L384" s="423"/>
      <c r="M384" s="423"/>
      <c r="Q384" s="423"/>
      <c r="R384" s="424" t="s">
        <v>3322</v>
      </c>
      <c r="S384" s="424" t="s">
        <v>2846</v>
      </c>
      <c r="T384" s="424" t="s">
        <v>2847</v>
      </c>
      <c r="U384" s="424">
        <v>0</v>
      </c>
      <c r="V384" s="424" t="s">
        <v>2973</v>
      </c>
      <c r="W384" s="424" t="s">
        <v>3176</v>
      </c>
      <c r="X384" s="424" t="s">
        <v>3298</v>
      </c>
      <c r="Y384" s="424" t="s">
        <v>2279</v>
      </c>
      <c r="Z384" s="424" t="s">
        <v>3260</v>
      </c>
      <c r="AA384" s="424" t="s">
        <v>3197</v>
      </c>
      <c r="AB384" s="424" t="s">
        <v>3323</v>
      </c>
      <c r="AC384" s="424" t="s">
        <v>1953</v>
      </c>
      <c r="AD384" s="424" t="s">
        <v>2851</v>
      </c>
      <c r="AE384" s="424" t="s">
        <v>3324</v>
      </c>
      <c r="AF384" s="424"/>
      <c r="AG384" s="424"/>
      <c r="AH384" s="424"/>
    </row>
    <row r="385" spans="1:34" x14ac:dyDescent="0.25">
      <c r="A385" s="423" t="s">
        <v>1632</v>
      </c>
      <c r="B385" s="423" t="s">
        <v>3938</v>
      </c>
      <c r="C385" s="423" t="s">
        <v>486</v>
      </c>
      <c r="D385" s="423" t="s">
        <v>3891</v>
      </c>
      <c r="E385" s="423" t="s">
        <v>2818</v>
      </c>
      <c r="F385" s="423">
        <v>8</v>
      </c>
      <c r="G385" s="423">
        <v>16</v>
      </c>
      <c r="H385" s="423">
        <v>256</v>
      </c>
      <c r="J385" s="423"/>
      <c r="K385" s="423"/>
      <c r="L385" s="423"/>
      <c r="M385" s="423"/>
      <c r="Q385" s="423"/>
      <c r="R385" s="424" t="e">
        <v>#N/A</v>
      </c>
      <c r="S385" s="424" t="e">
        <v>#N/A</v>
      </c>
      <c r="T385" s="424" t="e">
        <v>#N/A</v>
      </c>
      <c r="U385" s="424">
        <v>0</v>
      </c>
      <c r="V385" s="424" t="e">
        <v>#N/A</v>
      </c>
      <c r="W385" s="424" t="e">
        <v>#N/A</v>
      </c>
      <c r="X385" s="424" t="e">
        <v>#N/A</v>
      </c>
      <c r="Y385" s="424" t="e">
        <v>#N/A</v>
      </c>
      <c r="Z385" s="424" t="e">
        <v>#N/A</v>
      </c>
      <c r="AA385" s="424" t="e">
        <v>#N/A</v>
      </c>
      <c r="AB385" s="424" t="e">
        <v>#N/A</v>
      </c>
      <c r="AC385" s="424" t="e">
        <v>#N/A</v>
      </c>
      <c r="AD385" s="424" t="e">
        <v>#N/A</v>
      </c>
      <c r="AE385" s="424" t="e">
        <v>#N/A</v>
      </c>
      <c r="AF385" s="424"/>
      <c r="AG385" s="424"/>
      <c r="AH385" s="424"/>
    </row>
    <row r="386" spans="1:34" x14ac:dyDescent="0.25">
      <c r="A386" s="423" t="s">
        <v>1632</v>
      </c>
      <c r="B386" s="423" t="s">
        <v>3939</v>
      </c>
      <c r="C386" s="423" t="s">
        <v>486</v>
      </c>
      <c r="D386" s="423" t="s">
        <v>3891</v>
      </c>
      <c r="E386" s="423" t="s">
        <v>2818</v>
      </c>
      <c r="F386" s="423">
        <v>8</v>
      </c>
      <c r="G386" s="423">
        <v>16</v>
      </c>
      <c r="H386" s="423">
        <v>256</v>
      </c>
      <c r="J386" s="423"/>
      <c r="K386" s="423"/>
      <c r="L386" s="423"/>
      <c r="M386" s="423"/>
      <c r="Q386" s="423"/>
      <c r="R386" s="424" t="e">
        <v>#N/A</v>
      </c>
      <c r="S386" s="424" t="e">
        <v>#N/A</v>
      </c>
      <c r="T386" s="424" t="e">
        <v>#N/A</v>
      </c>
      <c r="U386" s="424">
        <v>0</v>
      </c>
      <c r="V386" s="424" t="e">
        <v>#N/A</v>
      </c>
      <c r="W386" s="424" t="e">
        <v>#N/A</v>
      </c>
      <c r="X386" s="424" t="e">
        <v>#N/A</v>
      </c>
      <c r="Y386" s="424" t="e">
        <v>#N/A</v>
      </c>
      <c r="Z386" s="424" t="e">
        <v>#N/A</v>
      </c>
      <c r="AA386" s="424" t="e">
        <v>#N/A</v>
      </c>
      <c r="AB386" s="424" t="e">
        <v>#N/A</v>
      </c>
      <c r="AC386" s="424" t="e">
        <v>#N/A</v>
      </c>
      <c r="AD386" s="424" t="e">
        <v>#N/A</v>
      </c>
      <c r="AE386" s="424" t="e">
        <v>#N/A</v>
      </c>
      <c r="AF386" s="424"/>
      <c r="AG386" s="424"/>
      <c r="AH386" s="424"/>
    </row>
    <row r="387" spans="1:34" x14ac:dyDescent="0.25">
      <c r="A387" s="423" t="s">
        <v>1632</v>
      </c>
      <c r="B387" s="423" t="s">
        <v>3940</v>
      </c>
      <c r="C387" s="423" t="s">
        <v>486</v>
      </c>
      <c r="D387" s="423" t="s">
        <v>3891</v>
      </c>
      <c r="E387" s="423" t="s">
        <v>2818</v>
      </c>
      <c r="F387" s="423">
        <v>8</v>
      </c>
      <c r="G387" s="423">
        <v>16</v>
      </c>
      <c r="H387" s="423">
        <v>256</v>
      </c>
      <c r="J387" s="423"/>
      <c r="K387" s="423"/>
      <c r="L387" s="423"/>
      <c r="M387" s="423"/>
      <c r="Q387" s="423"/>
      <c r="R387" s="424" t="e">
        <v>#N/A</v>
      </c>
      <c r="S387" s="424" t="e">
        <v>#N/A</v>
      </c>
      <c r="T387" s="424" t="e">
        <v>#N/A</v>
      </c>
      <c r="U387" s="424">
        <v>0</v>
      </c>
      <c r="V387" s="424" t="e">
        <v>#N/A</v>
      </c>
      <c r="W387" s="424" t="e">
        <v>#N/A</v>
      </c>
      <c r="X387" s="424" t="e">
        <v>#N/A</v>
      </c>
      <c r="Y387" s="424" t="e">
        <v>#N/A</v>
      </c>
      <c r="Z387" s="424" t="e">
        <v>#N/A</v>
      </c>
      <c r="AA387" s="424" t="e">
        <v>#N/A</v>
      </c>
      <c r="AB387" s="424" t="e">
        <v>#N/A</v>
      </c>
      <c r="AC387" s="424" t="e">
        <v>#N/A</v>
      </c>
      <c r="AD387" s="424" t="e">
        <v>#N/A</v>
      </c>
      <c r="AE387" s="424" t="e">
        <v>#N/A</v>
      </c>
      <c r="AF387" s="424"/>
      <c r="AG387" s="424"/>
      <c r="AH387" s="424"/>
    </row>
    <row r="388" spans="1:34" x14ac:dyDescent="0.25">
      <c r="A388" s="423" t="s">
        <v>1632</v>
      </c>
      <c r="B388" s="423" t="s">
        <v>3941</v>
      </c>
      <c r="C388" s="423" t="s">
        <v>486</v>
      </c>
      <c r="D388" s="423" t="s">
        <v>3891</v>
      </c>
      <c r="E388" s="423" t="s">
        <v>2818</v>
      </c>
      <c r="F388" s="423">
        <v>12</v>
      </c>
      <c r="G388" s="423">
        <v>84</v>
      </c>
      <c r="H388" s="423">
        <v>250</v>
      </c>
      <c r="J388" s="423"/>
      <c r="K388" s="423"/>
      <c r="L388" s="423"/>
      <c r="M388" s="423"/>
      <c r="Q388" s="423"/>
      <c r="R388" s="424" t="e">
        <v>#N/A</v>
      </c>
      <c r="S388" s="424" t="e">
        <v>#N/A</v>
      </c>
      <c r="T388" s="424" t="e">
        <v>#N/A</v>
      </c>
      <c r="U388" s="424">
        <v>0</v>
      </c>
      <c r="V388" s="424" t="e">
        <v>#N/A</v>
      </c>
      <c r="W388" s="424" t="e">
        <v>#N/A</v>
      </c>
      <c r="X388" s="424" t="e">
        <v>#N/A</v>
      </c>
      <c r="Y388" s="424" t="e">
        <v>#N/A</v>
      </c>
      <c r="Z388" s="424" t="e">
        <v>#N/A</v>
      </c>
      <c r="AA388" s="424" t="e">
        <v>#N/A</v>
      </c>
      <c r="AB388" s="424" t="e">
        <v>#N/A</v>
      </c>
      <c r="AC388" s="424" t="e">
        <v>#N/A</v>
      </c>
      <c r="AD388" s="424" t="e">
        <v>#N/A</v>
      </c>
      <c r="AE388" s="424" t="e">
        <v>#N/A</v>
      </c>
      <c r="AF388" s="424"/>
      <c r="AG388" s="424"/>
      <c r="AH388" s="424"/>
    </row>
    <row r="389" spans="1:34" x14ac:dyDescent="0.25">
      <c r="A389" s="423" t="s">
        <v>1632</v>
      </c>
      <c r="B389" s="423" t="s">
        <v>3942</v>
      </c>
      <c r="C389" s="423" t="s">
        <v>486</v>
      </c>
      <c r="D389" s="423" t="s">
        <v>3891</v>
      </c>
      <c r="E389" s="423" t="s">
        <v>2818</v>
      </c>
      <c r="F389" s="423">
        <v>12</v>
      </c>
      <c r="G389" s="423">
        <v>84</v>
      </c>
      <c r="H389" s="423">
        <v>250</v>
      </c>
      <c r="J389" s="423"/>
      <c r="K389" s="423"/>
      <c r="L389" s="423"/>
      <c r="M389" s="423"/>
      <c r="Q389" s="423"/>
      <c r="R389" s="424" t="e">
        <v>#N/A</v>
      </c>
      <c r="S389" s="424" t="e">
        <v>#N/A</v>
      </c>
      <c r="T389" s="424" t="e">
        <v>#N/A</v>
      </c>
      <c r="U389" s="424">
        <v>0</v>
      </c>
      <c r="V389" s="424" t="e">
        <v>#N/A</v>
      </c>
      <c r="W389" s="424" t="e">
        <v>#N/A</v>
      </c>
      <c r="X389" s="424" t="e">
        <v>#N/A</v>
      </c>
      <c r="Y389" s="424" t="e">
        <v>#N/A</v>
      </c>
      <c r="Z389" s="424" t="e">
        <v>#N/A</v>
      </c>
      <c r="AA389" s="424" t="e">
        <v>#N/A</v>
      </c>
      <c r="AB389" s="424" t="e">
        <v>#N/A</v>
      </c>
      <c r="AC389" s="424" t="e">
        <v>#N/A</v>
      </c>
      <c r="AD389" s="424" t="e">
        <v>#N/A</v>
      </c>
      <c r="AE389" s="424" t="e">
        <v>#N/A</v>
      </c>
      <c r="AF389" s="424"/>
      <c r="AG389" s="424"/>
      <c r="AH389" s="424"/>
    </row>
    <row r="390" spans="1:34" x14ac:dyDescent="0.25">
      <c r="A390" s="423" t="s">
        <v>1632</v>
      </c>
      <c r="B390" s="423" t="s">
        <v>3943</v>
      </c>
      <c r="C390" s="423" t="s">
        <v>486</v>
      </c>
      <c r="D390" s="423" t="s">
        <v>3891</v>
      </c>
      <c r="E390" s="423" t="s">
        <v>2818</v>
      </c>
      <c r="F390" s="423">
        <v>12</v>
      </c>
      <c r="G390" s="423">
        <v>84</v>
      </c>
      <c r="H390" s="423">
        <v>250</v>
      </c>
      <c r="J390" s="423"/>
      <c r="K390" s="423"/>
      <c r="L390" s="423"/>
      <c r="M390" s="423"/>
      <c r="Q390" s="423"/>
      <c r="R390" s="424" t="e">
        <v>#N/A</v>
      </c>
      <c r="S390" s="424" t="e">
        <v>#N/A</v>
      </c>
      <c r="T390" s="424" t="e">
        <v>#N/A</v>
      </c>
      <c r="U390" s="424">
        <v>0</v>
      </c>
      <c r="V390" s="424" t="e">
        <v>#N/A</v>
      </c>
      <c r="W390" s="424" t="e">
        <v>#N/A</v>
      </c>
      <c r="X390" s="424" t="e">
        <v>#N/A</v>
      </c>
      <c r="Y390" s="424" t="e">
        <v>#N/A</v>
      </c>
      <c r="Z390" s="424" t="e">
        <v>#N/A</v>
      </c>
      <c r="AA390" s="424" t="e">
        <v>#N/A</v>
      </c>
      <c r="AB390" s="424" t="e">
        <v>#N/A</v>
      </c>
      <c r="AC390" s="424" t="e">
        <v>#N/A</v>
      </c>
      <c r="AD390" s="424" t="e">
        <v>#N/A</v>
      </c>
      <c r="AE390" s="424" t="e">
        <v>#N/A</v>
      </c>
      <c r="AF390" s="424"/>
      <c r="AG390" s="424"/>
      <c r="AH390" s="424"/>
    </row>
    <row r="391" spans="1:34" x14ac:dyDescent="0.25">
      <c r="A391" s="423" t="s">
        <v>1632</v>
      </c>
      <c r="B391" s="423" t="s">
        <v>3944</v>
      </c>
      <c r="C391" s="423" t="s">
        <v>486</v>
      </c>
      <c r="D391" s="423" t="s">
        <v>3891</v>
      </c>
      <c r="E391" s="423" t="s">
        <v>2818</v>
      </c>
      <c r="F391" s="423">
        <v>12</v>
      </c>
      <c r="G391" s="423">
        <v>38</v>
      </c>
      <c r="H391" s="423">
        <v>1.87</v>
      </c>
      <c r="J391" s="423"/>
      <c r="K391" s="423"/>
      <c r="L391" s="423"/>
      <c r="M391" s="423"/>
      <c r="Q391" s="423"/>
      <c r="R391" s="424" t="s">
        <v>3945</v>
      </c>
      <c r="S391" s="424" t="s">
        <v>2846</v>
      </c>
      <c r="T391" s="424" t="s">
        <v>3946</v>
      </c>
      <c r="U391" s="424">
        <v>0</v>
      </c>
      <c r="V391" s="424" t="s">
        <v>759</v>
      </c>
      <c r="W391" s="424" t="s">
        <v>3055</v>
      </c>
      <c r="X391" s="424" t="s">
        <v>3907</v>
      </c>
      <c r="Y391" s="424" t="s">
        <v>2279</v>
      </c>
      <c r="Z391" s="424" t="s">
        <v>2872</v>
      </c>
      <c r="AA391" s="424" t="s">
        <v>2873</v>
      </c>
      <c r="AB391" s="424" t="s">
        <v>3947</v>
      </c>
      <c r="AC391" s="424" t="s">
        <v>1953</v>
      </c>
      <c r="AD391" s="424" t="s">
        <v>2875</v>
      </c>
      <c r="AE391" s="424" t="s">
        <v>3096</v>
      </c>
      <c r="AF391" s="424"/>
      <c r="AG391" s="424"/>
      <c r="AH391" s="424"/>
    </row>
    <row r="392" spans="1:34" x14ac:dyDescent="0.25">
      <c r="A392" s="423" t="s">
        <v>1632</v>
      </c>
      <c r="B392" s="423" t="s">
        <v>3948</v>
      </c>
      <c r="C392" s="423" t="s">
        <v>486</v>
      </c>
      <c r="D392" s="423" t="s">
        <v>3891</v>
      </c>
      <c r="E392" s="423" t="s">
        <v>2818</v>
      </c>
      <c r="F392" s="423">
        <v>12</v>
      </c>
      <c r="G392" s="423">
        <v>38</v>
      </c>
      <c r="H392" s="423">
        <v>1.87</v>
      </c>
      <c r="J392" s="423"/>
      <c r="K392" s="423"/>
      <c r="L392" s="423"/>
      <c r="M392" s="423"/>
      <c r="Q392" s="423"/>
      <c r="R392" s="424" t="s">
        <v>3949</v>
      </c>
      <c r="S392" s="424" t="s">
        <v>2846</v>
      </c>
      <c r="T392" s="424" t="s">
        <v>3946</v>
      </c>
      <c r="U392" s="424">
        <v>0</v>
      </c>
      <c r="V392" s="424" t="s">
        <v>759</v>
      </c>
      <c r="W392" s="424" t="s">
        <v>3055</v>
      </c>
      <c r="X392" s="424" t="s">
        <v>3907</v>
      </c>
      <c r="Y392" s="424" t="s">
        <v>2279</v>
      </c>
      <c r="Z392" s="424" t="s">
        <v>2872</v>
      </c>
      <c r="AA392" s="424" t="s">
        <v>2873</v>
      </c>
      <c r="AB392" s="424" t="s">
        <v>3950</v>
      </c>
      <c r="AC392" s="424" t="s">
        <v>1953</v>
      </c>
      <c r="AD392" s="424" t="s">
        <v>2875</v>
      </c>
      <c r="AE392" s="424" t="s">
        <v>2876</v>
      </c>
      <c r="AF392" s="424"/>
      <c r="AG392" s="424"/>
      <c r="AH392" s="424"/>
    </row>
    <row r="393" spans="1:34" x14ac:dyDescent="0.25">
      <c r="A393" s="423" t="s">
        <v>1632</v>
      </c>
      <c r="B393" s="423" t="s">
        <v>3951</v>
      </c>
      <c r="C393" s="423" t="s">
        <v>486</v>
      </c>
      <c r="D393" s="423" t="s">
        <v>3891</v>
      </c>
      <c r="E393" s="423" t="s">
        <v>2818</v>
      </c>
      <c r="F393" s="423">
        <v>12</v>
      </c>
      <c r="G393" s="423">
        <v>38</v>
      </c>
      <c r="H393" s="423">
        <v>1.87</v>
      </c>
      <c r="J393" s="423"/>
      <c r="K393" s="423"/>
      <c r="L393" s="423"/>
      <c r="M393" s="423"/>
      <c r="Q393" s="423"/>
      <c r="R393" s="424" t="s">
        <v>3952</v>
      </c>
      <c r="S393" s="424" t="s">
        <v>2846</v>
      </c>
      <c r="T393" s="424" t="s">
        <v>2870</v>
      </c>
      <c r="U393" s="424">
        <v>0</v>
      </c>
      <c r="V393" s="424" t="s">
        <v>759</v>
      </c>
      <c r="W393" s="424" t="s">
        <v>3055</v>
      </c>
      <c r="X393" s="424">
        <v>0</v>
      </c>
      <c r="Y393" s="424" t="s">
        <v>2279</v>
      </c>
      <c r="Z393" s="424" t="s">
        <v>2872</v>
      </c>
      <c r="AA393" s="424" t="s">
        <v>2873</v>
      </c>
      <c r="AB393" s="424" t="s">
        <v>3138</v>
      </c>
      <c r="AC393" s="424" t="s">
        <v>1953</v>
      </c>
      <c r="AD393" s="424" t="s">
        <v>2875</v>
      </c>
      <c r="AE393" s="424" t="s">
        <v>2880</v>
      </c>
      <c r="AF393" s="424"/>
      <c r="AG393" s="424"/>
      <c r="AH393" s="424"/>
    </row>
    <row r="394" spans="1:34" x14ac:dyDescent="0.25">
      <c r="A394" s="423" t="s">
        <v>1632</v>
      </c>
      <c r="B394" s="423" t="s">
        <v>3953</v>
      </c>
      <c r="C394" s="423" t="s">
        <v>486</v>
      </c>
      <c r="D394" s="423" t="s">
        <v>3891</v>
      </c>
      <c r="E394" s="423" t="s">
        <v>2818</v>
      </c>
      <c r="F394" s="423">
        <v>18</v>
      </c>
      <c r="G394" s="423">
        <v>32</v>
      </c>
      <c r="H394" s="423">
        <v>1.29</v>
      </c>
      <c r="J394" s="423"/>
      <c r="K394" s="423"/>
      <c r="L394" s="423"/>
      <c r="M394" s="423"/>
      <c r="Q394" s="423"/>
      <c r="R394" s="424" t="s">
        <v>3953</v>
      </c>
      <c r="S394" s="424" t="s">
        <v>2846</v>
      </c>
      <c r="T394" s="424" t="s">
        <v>3954</v>
      </c>
      <c r="U394" s="424">
        <v>0</v>
      </c>
      <c r="V394" s="424" t="s">
        <v>759</v>
      </c>
      <c r="W394" s="424">
        <v>0</v>
      </c>
      <c r="X394" s="424" t="s">
        <v>2825</v>
      </c>
      <c r="Y394" s="424" t="s">
        <v>2279</v>
      </c>
      <c r="Z394" s="424">
        <v>0</v>
      </c>
      <c r="AA394" s="424">
        <v>0</v>
      </c>
      <c r="AB394" s="424">
        <v>0</v>
      </c>
      <c r="AC394" s="424">
        <v>0</v>
      </c>
      <c r="AD394" s="424">
        <v>0</v>
      </c>
      <c r="AE394" s="424">
        <v>0</v>
      </c>
      <c r="AF394" s="424"/>
      <c r="AG394" s="424"/>
      <c r="AH394" s="424"/>
    </row>
    <row r="395" spans="1:34" x14ac:dyDescent="0.25">
      <c r="A395" s="423" t="s">
        <v>1632</v>
      </c>
      <c r="B395" s="423" t="s">
        <v>3955</v>
      </c>
      <c r="C395" s="423" t="s">
        <v>486</v>
      </c>
      <c r="D395" s="423" t="s">
        <v>3891</v>
      </c>
      <c r="E395" s="423" t="s">
        <v>2818</v>
      </c>
      <c r="F395" s="423">
        <v>18</v>
      </c>
      <c r="G395" s="423">
        <v>32</v>
      </c>
      <c r="H395" s="423">
        <v>1.29</v>
      </c>
      <c r="J395" s="423"/>
      <c r="K395" s="423"/>
      <c r="L395" s="423"/>
      <c r="M395" s="423"/>
      <c r="Q395" s="423"/>
      <c r="R395" s="424" t="s">
        <v>3955</v>
      </c>
      <c r="S395" s="424" t="s">
        <v>2846</v>
      </c>
      <c r="T395" s="424" t="s">
        <v>3954</v>
      </c>
      <c r="U395" s="424">
        <v>0</v>
      </c>
      <c r="V395" s="424" t="s">
        <v>759</v>
      </c>
      <c r="W395" s="424">
        <v>0</v>
      </c>
      <c r="X395" s="424" t="s">
        <v>2825</v>
      </c>
      <c r="Y395" s="424" t="s">
        <v>2279</v>
      </c>
      <c r="Z395" s="424">
        <v>0</v>
      </c>
      <c r="AA395" s="424">
        <v>0</v>
      </c>
      <c r="AB395" s="424">
        <v>0</v>
      </c>
      <c r="AC395" s="424">
        <v>0</v>
      </c>
      <c r="AD395" s="424">
        <v>0</v>
      </c>
      <c r="AE395" s="424">
        <v>0</v>
      </c>
      <c r="AF395" s="424"/>
      <c r="AG395" s="424"/>
      <c r="AH395" s="424"/>
    </row>
    <row r="396" spans="1:34" x14ac:dyDescent="0.25">
      <c r="A396" s="423" t="s">
        <v>1632</v>
      </c>
      <c r="B396" s="423" t="s">
        <v>3956</v>
      </c>
      <c r="C396" s="423" t="s">
        <v>486</v>
      </c>
      <c r="D396" s="423" t="s">
        <v>3891</v>
      </c>
      <c r="E396" s="423" t="s">
        <v>2818</v>
      </c>
      <c r="F396" s="423">
        <v>18</v>
      </c>
      <c r="G396" s="423">
        <v>32</v>
      </c>
      <c r="H396" s="423">
        <v>380</v>
      </c>
      <c r="J396" s="423"/>
      <c r="K396" s="423"/>
      <c r="L396" s="423"/>
      <c r="M396" s="423"/>
      <c r="Q396" s="423"/>
      <c r="R396" s="424" t="s">
        <v>3956</v>
      </c>
      <c r="S396" s="424" t="s">
        <v>2846</v>
      </c>
      <c r="T396" s="424" t="s">
        <v>3957</v>
      </c>
      <c r="U396" s="424">
        <v>0</v>
      </c>
      <c r="V396" s="424" t="s">
        <v>759</v>
      </c>
      <c r="W396" s="424" t="s">
        <v>3074</v>
      </c>
      <c r="X396" s="424" t="s">
        <v>2825</v>
      </c>
      <c r="Y396" s="424" t="s">
        <v>2279</v>
      </c>
      <c r="Z396" s="424" t="s">
        <v>3260</v>
      </c>
      <c r="AA396" s="424" t="s">
        <v>3197</v>
      </c>
      <c r="AB396" s="424" t="s">
        <v>3958</v>
      </c>
      <c r="AC396" s="424" t="s">
        <v>1953</v>
      </c>
      <c r="AD396" s="424" t="s">
        <v>2851</v>
      </c>
      <c r="AE396" s="424" t="s">
        <v>3279</v>
      </c>
      <c r="AF396" s="424"/>
      <c r="AG396" s="424"/>
      <c r="AH396" s="424"/>
    </row>
    <row r="397" spans="1:34" x14ac:dyDescent="0.25">
      <c r="A397" s="423" t="s">
        <v>1632</v>
      </c>
      <c r="B397" s="423" t="s">
        <v>3959</v>
      </c>
      <c r="C397" s="423" t="s">
        <v>486</v>
      </c>
      <c r="D397" s="423" t="s">
        <v>3891</v>
      </c>
      <c r="E397" s="423" t="s">
        <v>2818</v>
      </c>
      <c r="F397" s="423">
        <v>18</v>
      </c>
      <c r="G397" s="423">
        <v>32</v>
      </c>
      <c r="H397" s="423">
        <v>380</v>
      </c>
      <c r="J397" s="423"/>
      <c r="K397" s="423"/>
      <c r="L397" s="423"/>
      <c r="M397" s="423"/>
      <c r="Q397" s="423"/>
      <c r="R397" s="424" t="s">
        <v>3959</v>
      </c>
      <c r="S397" s="424" t="s">
        <v>2846</v>
      </c>
      <c r="T397" s="424" t="s">
        <v>3957</v>
      </c>
      <c r="U397" s="424">
        <v>0</v>
      </c>
      <c r="V397" s="424" t="s">
        <v>759</v>
      </c>
      <c r="W397" s="424" t="s">
        <v>3074</v>
      </c>
      <c r="X397" s="424" t="s">
        <v>2825</v>
      </c>
      <c r="Y397" s="424" t="s">
        <v>2279</v>
      </c>
      <c r="Z397" s="424" t="s">
        <v>3260</v>
      </c>
      <c r="AA397" s="424" t="s">
        <v>3274</v>
      </c>
      <c r="AB397" s="424" t="s">
        <v>3960</v>
      </c>
      <c r="AC397" s="424" t="s">
        <v>1953</v>
      </c>
      <c r="AD397" s="424" t="s">
        <v>2851</v>
      </c>
      <c r="AE397" s="424" t="s">
        <v>3557</v>
      </c>
      <c r="AF397" s="424"/>
      <c r="AG397" s="424"/>
      <c r="AH397" s="424"/>
    </row>
    <row r="398" spans="1:34" x14ac:dyDescent="0.25">
      <c r="A398" s="423" t="s">
        <v>1632</v>
      </c>
      <c r="B398" s="423" t="s">
        <v>3961</v>
      </c>
      <c r="C398" s="423" t="s">
        <v>486</v>
      </c>
      <c r="D398" s="423" t="s">
        <v>3891</v>
      </c>
      <c r="E398" s="423" t="s">
        <v>2818</v>
      </c>
      <c r="F398" s="423">
        <v>18</v>
      </c>
      <c r="G398" s="423">
        <v>32</v>
      </c>
      <c r="H398" s="423">
        <v>380</v>
      </c>
      <c r="J398" s="423"/>
      <c r="K398" s="423"/>
      <c r="L398" s="423"/>
      <c r="M398" s="423"/>
      <c r="Q398" s="423"/>
      <c r="R398" s="424" t="s">
        <v>3961</v>
      </c>
      <c r="S398" s="424" t="s">
        <v>2846</v>
      </c>
      <c r="T398" s="424" t="s">
        <v>3957</v>
      </c>
      <c r="U398" s="424">
        <v>0</v>
      </c>
      <c r="V398" s="424" t="s">
        <v>759</v>
      </c>
      <c r="W398" s="424" t="s">
        <v>3074</v>
      </c>
      <c r="X398" s="424" t="s">
        <v>2825</v>
      </c>
      <c r="Y398" s="424" t="s">
        <v>2279</v>
      </c>
      <c r="Z398" s="424" t="s">
        <v>3260</v>
      </c>
      <c r="AA398" s="424" t="s">
        <v>3197</v>
      </c>
      <c r="AB398" s="424" t="s">
        <v>3469</v>
      </c>
      <c r="AC398" s="424" t="s">
        <v>1953</v>
      </c>
      <c r="AD398" s="424" t="s">
        <v>2851</v>
      </c>
      <c r="AE398" s="424" t="s">
        <v>3279</v>
      </c>
      <c r="AF398" s="424"/>
      <c r="AG398" s="424"/>
      <c r="AH398" s="424"/>
    </row>
    <row r="399" spans="1:34" x14ac:dyDescent="0.25">
      <c r="A399" s="423" t="s">
        <v>1632</v>
      </c>
      <c r="B399" s="423" t="s">
        <v>3962</v>
      </c>
      <c r="C399" s="423" t="s">
        <v>486</v>
      </c>
      <c r="D399" s="423" t="s">
        <v>3891</v>
      </c>
      <c r="E399" s="423" t="s">
        <v>2818</v>
      </c>
      <c r="F399" s="423">
        <v>18</v>
      </c>
      <c r="G399" s="423">
        <v>32</v>
      </c>
      <c r="H399" s="423">
        <v>380</v>
      </c>
      <c r="J399" s="423"/>
      <c r="K399" s="423"/>
      <c r="L399" s="423"/>
      <c r="M399" s="423"/>
      <c r="Q399" s="423"/>
      <c r="R399" s="424" t="s">
        <v>3963</v>
      </c>
      <c r="S399" s="424" t="s">
        <v>2846</v>
      </c>
      <c r="T399" s="424" t="s">
        <v>3946</v>
      </c>
      <c r="U399" s="424">
        <v>0</v>
      </c>
      <c r="V399" s="424" t="s">
        <v>759</v>
      </c>
      <c r="W399" s="424" t="s">
        <v>3074</v>
      </c>
      <c r="X399" s="424" t="s">
        <v>3907</v>
      </c>
      <c r="Y399" s="424" t="s">
        <v>2279</v>
      </c>
      <c r="Z399" s="424" t="s">
        <v>3260</v>
      </c>
      <c r="AA399" s="424" t="s">
        <v>3197</v>
      </c>
      <c r="AB399" s="424" t="s">
        <v>3964</v>
      </c>
      <c r="AC399" s="424" t="s">
        <v>1953</v>
      </c>
      <c r="AD399" s="424" t="s">
        <v>2851</v>
      </c>
      <c r="AE399" s="424" t="s">
        <v>3279</v>
      </c>
      <c r="AF399" s="424"/>
      <c r="AG399" s="424"/>
      <c r="AH399" s="424"/>
    </row>
    <row r="400" spans="1:34" x14ac:dyDescent="0.25">
      <c r="A400" s="423" t="s">
        <v>1632</v>
      </c>
      <c r="B400" s="423" t="s">
        <v>3965</v>
      </c>
      <c r="C400" s="423" t="s">
        <v>486</v>
      </c>
      <c r="D400" s="423" t="s">
        <v>3891</v>
      </c>
      <c r="E400" s="423" t="s">
        <v>2818</v>
      </c>
      <c r="F400" s="423">
        <v>18</v>
      </c>
      <c r="G400" s="423">
        <v>32</v>
      </c>
      <c r="H400" s="423">
        <v>380</v>
      </c>
      <c r="J400" s="423"/>
      <c r="K400" s="423"/>
      <c r="L400" s="423"/>
      <c r="M400" s="423"/>
      <c r="Q400" s="423"/>
      <c r="R400" s="424" t="s">
        <v>3966</v>
      </c>
      <c r="S400" s="424" t="s">
        <v>2846</v>
      </c>
      <c r="T400" s="424" t="s">
        <v>3946</v>
      </c>
      <c r="U400" s="424">
        <v>0</v>
      </c>
      <c r="V400" s="424" t="s">
        <v>759</v>
      </c>
      <c r="W400" s="424" t="s">
        <v>3074</v>
      </c>
      <c r="X400" s="424" t="s">
        <v>3907</v>
      </c>
      <c r="Y400" s="424" t="s">
        <v>2279</v>
      </c>
      <c r="Z400" s="424" t="s">
        <v>3260</v>
      </c>
      <c r="AA400" s="424" t="s">
        <v>3197</v>
      </c>
      <c r="AB400" s="424" t="s">
        <v>3967</v>
      </c>
      <c r="AC400" s="424" t="s">
        <v>1953</v>
      </c>
      <c r="AD400" s="424" t="s">
        <v>2851</v>
      </c>
      <c r="AE400" s="424" t="s">
        <v>3279</v>
      </c>
      <c r="AF400" s="424"/>
      <c r="AG400" s="424"/>
      <c r="AH400" s="424"/>
    </row>
    <row r="401" spans="1:34" x14ac:dyDescent="0.25">
      <c r="A401" s="423" t="s">
        <v>1632</v>
      </c>
      <c r="B401" s="423" t="s">
        <v>3968</v>
      </c>
      <c r="C401" s="423" t="s">
        <v>486</v>
      </c>
      <c r="D401" s="423" t="s">
        <v>3891</v>
      </c>
      <c r="E401" s="423" t="s">
        <v>2818</v>
      </c>
      <c r="F401" s="423">
        <v>18</v>
      </c>
      <c r="G401" s="423">
        <v>32</v>
      </c>
      <c r="H401" s="423">
        <v>380</v>
      </c>
      <c r="J401" s="423"/>
      <c r="K401" s="423"/>
      <c r="L401" s="423"/>
      <c r="M401" s="423"/>
      <c r="Q401" s="423"/>
      <c r="R401" s="424" t="s">
        <v>3969</v>
      </c>
      <c r="S401" s="424" t="s">
        <v>2846</v>
      </c>
      <c r="T401" s="424" t="s">
        <v>3946</v>
      </c>
      <c r="U401" s="424">
        <v>0</v>
      </c>
      <c r="V401" s="424" t="s">
        <v>759</v>
      </c>
      <c r="W401" s="424" t="s">
        <v>3074</v>
      </c>
      <c r="X401" s="424" t="s">
        <v>3907</v>
      </c>
      <c r="Y401" s="424" t="s">
        <v>2279</v>
      </c>
      <c r="Z401" s="424" t="s">
        <v>3260</v>
      </c>
      <c r="AA401" s="424" t="s">
        <v>3197</v>
      </c>
      <c r="AB401" s="424" t="s">
        <v>3484</v>
      </c>
      <c r="AC401" s="424" t="s">
        <v>1953</v>
      </c>
      <c r="AD401" s="424" t="s">
        <v>2851</v>
      </c>
      <c r="AE401" s="424" t="s">
        <v>3279</v>
      </c>
      <c r="AF401" s="424"/>
      <c r="AG401" s="424"/>
      <c r="AH401" s="424"/>
    </row>
    <row r="402" spans="1:34" x14ac:dyDescent="0.25">
      <c r="A402" s="423" t="s">
        <v>1632</v>
      </c>
      <c r="B402" s="423" t="s">
        <v>3970</v>
      </c>
      <c r="C402" s="423" t="s">
        <v>486</v>
      </c>
      <c r="D402" s="423" t="s">
        <v>3891</v>
      </c>
      <c r="E402" s="423" t="s">
        <v>2818</v>
      </c>
      <c r="F402" s="423">
        <v>18</v>
      </c>
      <c r="G402" s="423">
        <v>32</v>
      </c>
      <c r="H402" s="423">
        <v>1.778</v>
      </c>
      <c r="J402" s="423"/>
      <c r="K402" s="423"/>
      <c r="L402" s="423"/>
      <c r="M402" s="423"/>
      <c r="Q402" s="423"/>
      <c r="R402" s="424" t="s">
        <v>3971</v>
      </c>
      <c r="S402" s="424" t="s">
        <v>2820</v>
      </c>
      <c r="T402" s="424" t="s">
        <v>3957</v>
      </c>
      <c r="U402" s="424">
        <v>0</v>
      </c>
      <c r="V402" s="424" t="s">
        <v>759</v>
      </c>
      <c r="W402" s="424" t="s">
        <v>2824</v>
      </c>
      <c r="X402" s="424" t="s">
        <v>2825</v>
      </c>
      <c r="Y402" s="424" t="s">
        <v>2279</v>
      </c>
      <c r="Z402" s="424" t="s">
        <v>2889</v>
      </c>
      <c r="AA402" s="424" t="s">
        <v>3327</v>
      </c>
      <c r="AB402" s="424" t="s">
        <v>3972</v>
      </c>
      <c r="AC402" s="424" t="s">
        <v>1953</v>
      </c>
      <c r="AD402" s="424" t="s">
        <v>3329</v>
      </c>
      <c r="AE402" s="424" t="s">
        <v>3973</v>
      </c>
      <c r="AF402" s="424"/>
      <c r="AG402" s="424"/>
      <c r="AH402" s="424"/>
    </row>
    <row r="403" spans="1:34" x14ac:dyDescent="0.25">
      <c r="A403" s="423" t="s">
        <v>1632</v>
      </c>
      <c r="B403" s="423" t="s">
        <v>3974</v>
      </c>
      <c r="C403" s="423" t="s">
        <v>486</v>
      </c>
      <c r="D403" s="423" t="s">
        <v>3891</v>
      </c>
      <c r="E403" s="423" t="s">
        <v>2818</v>
      </c>
      <c r="F403" s="423">
        <v>18</v>
      </c>
      <c r="G403" s="423">
        <v>32</v>
      </c>
      <c r="H403" s="423">
        <v>1.778</v>
      </c>
      <c r="J403" s="423"/>
      <c r="K403" s="423"/>
      <c r="L403" s="423"/>
      <c r="M403" s="423"/>
      <c r="Q403" s="423"/>
      <c r="R403" s="424" t="s">
        <v>3975</v>
      </c>
      <c r="S403" s="424" t="s">
        <v>2820</v>
      </c>
      <c r="T403" s="424" t="s">
        <v>3957</v>
      </c>
      <c r="U403" s="424">
        <v>0</v>
      </c>
      <c r="V403" s="424" t="s">
        <v>759</v>
      </c>
      <c r="W403" s="424" t="s">
        <v>2824</v>
      </c>
      <c r="X403" s="424" t="s">
        <v>2825</v>
      </c>
      <c r="Y403" s="424" t="s">
        <v>2279</v>
      </c>
      <c r="Z403" s="424" t="s">
        <v>2889</v>
      </c>
      <c r="AA403" s="424" t="s">
        <v>3327</v>
      </c>
      <c r="AB403" s="424" t="s">
        <v>3976</v>
      </c>
      <c r="AC403" s="424" t="s">
        <v>1953</v>
      </c>
      <c r="AD403" s="424" t="s">
        <v>3329</v>
      </c>
      <c r="AE403" s="424" t="s">
        <v>3977</v>
      </c>
      <c r="AF403" s="424"/>
      <c r="AG403" s="424"/>
      <c r="AH403" s="424"/>
    </row>
    <row r="404" spans="1:34" x14ac:dyDescent="0.25">
      <c r="A404" s="423" t="s">
        <v>3978</v>
      </c>
    </row>
    <row r="405" spans="1:34" x14ac:dyDescent="0.25">
      <c r="A405" s="423" t="s">
        <v>3979</v>
      </c>
      <c r="B405" s="423" t="s">
        <v>3980</v>
      </c>
      <c r="C405" s="423" t="s">
        <v>486</v>
      </c>
      <c r="D405" s="423" t="s">
        <v>3891</v>
      </c>
      <c r="E405" s="423" t="s">
        <v>2818</v>
      </c>
      <c r="F405" s="423">
        <v>24</v>
      </c>
      <c r="G405" s="423">
        <v>128</v>
      </c>
      <c r="H405" s="423">
        <v>1024</v>
      </c>
      <c r="J405" s="423"/>
      <c r="K405" s="423"/>
      <c r="L405" s="423"/>
      <c r="M405" s="423"/>
      <c r="Q405" s="423"/>
      <c r="R405" s="424" t="s">
        <v>3980</v>
      </c>
      <c r="S405" s="424" t="s">
        <v>2820</v>
      </c>
      <c r="T405" s="424" t="s">
        <v>3981</v>
      </c>
      <c r="U405" s="424">
        <v>0</v>
      </c>
      <c r="V405" s="424" t="s">
        <v>3982</v>
      </c>
      <c r="W405" s="424" t="s">
        <v>3982</v>
      </c>
      <c r="X405" s="424" t="s">
        <v>2825</v>
      </c>
      <c r="Y405" s="424" t="s">
        <v>3983</v>
      </c>
      <c r="Z405" s="424" t="s">
        <v>2872</v>
      </c>
      <c r="AA405" s="424" t="s">
        <v>2873</v>
      </c>
      <c r="AB405" s="424" t="s">
        <v>3984</v>
      </c>
      <c r="AC405" s="424" t="s">
        <v>3263</v>
      </c>
      <c r="AD405" s="424" t="s">
        <v>3985</v>
      </c>
      <c r="AE405" s="424" t="s">
        <v>3986</v>
      </c>
      <c r="AF405" s="424"/>
      <c r="AG405" s="424"/>
      <c r="AH405" s="424"/>
    </row>
    <row r="406" spans="1:34" x14ac:dyDescent="0.25">
      <c r="A406" s="423" t="s">
        <v>3978</v>
      </c>
    </row>
    <row r="407" spans="1:34" x14ac:dyDescent="0.25">
      <c r="A407" s="423" t="s">
        <v>3979</v>
      </c>
      <c r="B407" s="423" t="s">
        <v>3987</v>
      </c>
      <c r="C407" s="423" t="s">
        <v>486</v>
      </c>
      <c r="D407" s="423" t="s">
        <v>3891</v>
      </c>
      <c r="E407" s="423" t="s">
        <v>2818</v>
      </c>
      <c r="F407" s="423">
        <v>24</v>
      </c>
      <c r="G407" s="423">
        <v>128</v>
      </c>
      <c r="H407" s="423">
        <v>1024</v>
      </c>
      <c r="J407" s="423"/>
      <c r="K407" s="423"/>
      <c r="L407" s="423"/>
      <c r="M407" s="423"/>
      <c r="Q407" s="423"/>
      <c r="R407" s="424" t="s">
        <v>3987</v>
      </c>
      <c r="S407" s="424" t="s">
        <v>2820</v>
      </c>
      <c r="T407" s="424" t="s">
        <v>3981</v>
      </c>
      <c r="U407" s="424">
        <v>0</v>
      </c>
      <c r="V407" s="424" t="s">
        <v>3982</v>
      </c>
      <c r="W407" s="424" t="s">
        <v>3982</v>
      </c>
      <c r="X407" s="424" t="s">
        <v>2825</v>
      </c>
      <c r="Y407" s="424" t="s">
        <v>3983</v>
      </c>
      <c r="Z407" s="424" t="s">
        <v>2872</v>
      </c>
      <c r="AA407" s="424" t="s">
        <v>2873</v>
      </c>
      <c r="AB407" s="424" t="s">
        <v>3988</v>
      </c>
      <c r="AC407" s="424" t="s">
        <v>3263</v>
      </c>
      <c r="AD407" s="424" t="s">
        <v>3985</v>
      </c>
      <c r="AE407" s="424" t="s">
        <v>3989</v>
      </c>
      <c r="AF407" s="424"/>
      <c r="AG407" s="424"/>
      <c r="AH407" s="424"/>
    </row>
    <row r="408" spans="1:34" x14ac:dyDescent="0.25">
      <c r="A408" s="423" t="s">
        <v>3990</v>
      </c>
      <c r="B408" s="423" t="s">
        <v>3991</v>
      </c>
      <c r="C408" s="423" t="s">
        <v>486</v>
      </c>
      <c r="D408" s="423" t="s">
        <v>3891</v>
      </c>
      <c r="E408" s="423" t="s">
        <v>2818</v>
      </c>
      <c r="F408" s="423">
        <v>24</v>
      </c>
      <c r="G408" s="423">
        <v>128</v>
      </c>
      <c r="H408" s="423">
        <v>1024</v>
      </c>
      <c r="J408" s="423"/>
      <c r="K408" s="423"/>
      <c r="L408" s="423"/>
      <c r="M408" s="423"/>
      <c r="Q408" s="423"/>
      <c r="R408" s="424" t="s">
        <v>3991</v>
      </c>
      <c r="S408" s="424" t="s">
        <v>2820</v>
      </c>
      <c r="T408" s="424" t="s">
        <v>3981</v>
      </c>
      <c r="U408" s="424">
        <v>0</v>
      </c>
      <c r="V408" s="424" t="s">
        <v>3982</v>
      </c>
      <c r="W408" s="424" t="s">
        <v>3982</v>
      </c>
      <c r="X408" s="424" t="s">
        <v>2825</v>
      </c>
      <c r="Y408" s="424" t="s">
        <v>3983</v>
      </c>
      <c r="Z408" s="424" t="s">
        <v>2872</v>
      </c>
      <c r="AA408" s="424" t="s">
        <v>2873</v>
      </c>
      <c r="AB408" s="424" t="s">
        <v>3992</v>
      </c>
      <c r="AC408" s="424" t="s">
        <v>3263</v>
      </c>
      <c r="AD408" s="424" t="s">
        <v>3985</v>
      </c>
      <c r="AE408" s="424" t="s">
        <v>3986</v>
      </c>
      <c r="AF408" s="424"/>
      <c r="AG408" s="424"/>
      <c r="AH408" s="424"/>
    </row>
    <row r="409" spans="1:34" x14ac:dyDescent="0.25">
      <c r="A409" s="423" t="s">
        <v>3990</v>
      </c>
      <c r="B409" s="423" t="s">
        <v>3993</v>
      </c>
      <c r="C409" s="423" t="s">
        <v>486</v>
      </c>
      <c r="D409" s="423" t="s">
        <v>3891</v>
      </c>
      <c r="E409" s="423" t="s">
        <v>2818</v>
      </c>
      <c r="F409" s="423">
        <v>24</v>
      </c>
      <c r="G409" s="423">
        <v>128</v>
      </c>
      <c r="H409" s="423">
        <v>1024</v>
      </c>
      <c r="J409" s="423"/>
      <c r="K409" s="423"/>
      <c r="L409" s="423"/>
      <c r="M409" s="423"/>
      <c r="Q409" s="423"/>
      <c r="R409" s="424" t="s">
        <v>3993</v>
      </c>
      <c r="S409" s="424" t="s">
        <v>2820</v>
      </c>
      <c r="T409" s="424" t="s">
        <v>3981</v>
      </c>
      <c r="U409" s="424">
        <v>0</v>
      </c>
      <c r="V409" s="424" t="s">
        <v>3982</v>
      </c>
      <c r="W409" s="424" t="s">
        <v>3982</v>
      </c>
      <c r="X409" s="424" t="s">
        <v>2825</v>
      </c>
      <c r="Y409" s="424" t="s">
        <v>3983</v>
      </c>
      <c r="Z409" s="424" t="s">
        <v>2872</v>
      </c>
      <c r="AA409" s="424" t="s">
        <v>2873</v>
      </c>
      <c r="AB409" s="424" t="s">
        <v>3994</v>
      </c>
      <c r="AC409" s="424" t="s">
        <v>3263</v>
      </c>
      <c r="AD409" s="424" t="s">
        <v>3985</v>
      </c>
      <c r="AE409" s="424" t="s">
        <v>3989</v>
      </c>
      <c r="AF409" s="424"/>
      <c r="AG409" s="424"/>
      <c r="AH409" s="424"/>
    </row>
    <row r="410" spans="1:34" x14ac:dyDescent="0.25">
      <c r="A410" s="423" t="s">
        <v>3995</v>
      </c>
      <c r="B410" s="423" t="s">
        <v>3996</v>
      </c>
      <c r="C410" s="423" t="s">
        <v>486</v>
      </c>
      <c r="D410" s="423" t="s">
        <v>3891</v>
      </c>
      <c r="E410" s="423" t="s">
        <v>2818</v>
      </c>
      <c r="F410" s="423">
        <v>16</v>
      </c>
      <c r="G410" s="423">
        <v>16</v>
      </c>
      <c r="H410" s="423">
        <v>150</v>
      </c>
      <c r="J410" s="423"/>
      <c r="K410" s="423"/>
      <c r="L410" s="423"/>
      <c r="M410" s="423"/>
      <c r="Q410" s="423"/>
      <c r="R410" s="424" t="s">
        <v>3997</v>
      </c>
      <c r="S410" s="424" t="s">
        <v>2820</v>
      </c>
      <c r="T410" s="424" t="s">
        <v>3998</v>
      </c>
      <c r="U410" s="424">
        <v>0</v>
      </c>
      <c r="V410" s="424" t="s">
        <v>2973</v>
      </c>
      <c r="W410" s="424" t="s">
        <v>2092</v>
      </c>
      <c r="X410" s="424" t="s">
        <v>2825</v>
      </c>
      <c r="Y410" s="424" t="s">
        <v>2279</v>
      </c>
      <c r="Z410" s="424" t="s">
        <v>3260</v>
      </c>
      <c r="AA410" s="424" t="s">
        <v>3261</v>
      </c>
      <c r="AB410" s="424" t="s">
        <v>3999</v>
      </c>
      <c r="AC410" s="424" t="s">
        <v>3263</v>
      </c>
      <c r="AD410" s="424" t="s">
        <v>3985</v>
      </c>
      <c r="AE410" s="424" t="s">
        <v>4000</v>
      </c>
      <c r="AF410" s="424"/>
      <c r="AG410" s="424"/>
      <c r="AH410" s="424"/>
    </row>
    <row r="411" spans="1:34" x14ac:dyDescent="0.25">
      <c r="A411" s="423" t="s">
        <v>3995</v>
      </c>
      <c r="B411" s="423" t="s">
        <v>4001</v>
      </c>
      <c r="C411" s="423" t="s">
        <v>486</v>
      </c>
      <c r="D411" s="423" t="s">
        <v>3891</v>
      </c>
      <c r="E411" s="423" t="s">
        <v>2818</v>
      </c>
      <c r="F411" s="423">
        <v>16</v>
      </c>
      <c r="G411" s="423">
        <v>16</v>
      </c>
      <c r="H411" s="423">
        <v>150</v>
      </c>
      <c r="J411" s="423"/>
      <c r="K411" s="423"/>
      <c r="L411" s="423"/>
      <c r="M411" s="423"/>
      <c r="Q411" s="423"/>
      <c r="R411" s="424" t="s">
        <v>4002</v>
      </c>
      <c r="S411" s="424" t="s">
        <v>2820</v>
      </c>
      <c r="T411" s="424" t="s">
        <v>4003</v>
      </c>
      <c r="U411" s="424">
        <v>0</v>
      </c>
      <c r="V411" s="424" t="s">
        <v>2973</v>
      </c>
      <c r="W411" s="424" t="s">
        <v>2092</v>
      </c>
      <c r="X411" s="424" t="s">
        <v>2825</v>
      </c>
      <c r="Y411" s="424" t="s">
        <v>2279</v>
      </c>
      <c r="Z411" s="424" t="s">
        <v>3260</v>
      </c>
      <c r="AA411" s="424" t="s">
        <v>3261</v>
      </c>
      <c r="AB411" s="424" t="s">
        <v>4004</v>
      </c>
      <c r="AC411" s="424" t="s">
        <v>3263</v>
      </c>
      <c r="AD411" s="424" t="s">
        <v>3985</v>
      </c>
      <c r="AE411" s="424" t="s">
        <v>4000</v>
      </c>
      <c r="AF411" s="424"/>
      <c r="AG411" s="424"/>
      <c r="AH411" s="424"/>
    </row>
    <row r="412" spans="1:34" x14ac:dyDescent="0.25">
      <c r="A412" s="423" t="s">
        <v>4005</v>
      </c>
      <c r="B412" s="423" t="s">
        <v>4006</v>
      </c>
      <c r="C412" s="423" t="s">
        <v>486</v>
      </c>
      <c r="D412" s="423" t="s">
        <v>3891</v>
      </c>
      <c r="E412" s="423" t="s">
        <v>2818</v>
      </c>
      <c r="F412" s="423">
        <v>16</v>
      </c>
      <c r="G412" s="423">
        <v>16</v>
      </c>
      <c r="H412" s="423">
        <v>150</v>
      </c>
      <c r="J412" s="423"/>
      <c r="K412" s="423"/>
      <c r="L412" s="423"/>
      <c r="M412" s="423"/>
      <c r="Q412" s="423"/>
      <c r="R412" s="424" t="s">
        <v>4007</v>
      </c>
      <c r="S412" s="424" t="s">
        <v>2820</v>
      </c>
      <c r="T412" s="424" t="s">
        <v>4003</v>
      </c>
      <c r="U412" s="424">
        <v>0</v>
      </c>
      <c r="V412" s="424" t="s">
        <v>2973</v>
      </c>
      <c r="W412" s="424" t="s">
        <v>2092</v>
      </c>
      <c r="X412" s="424" t="s">
        <v>2825</v>
      </c>
      <c r="Y412" s="424" t="s">
        <v>2279</v>
      </c>
      <c r="Z412" s="424" t="s">
        <v>3260</v>
      </c>
      <c r="AA412" s="424" t="s">
        <v>3261</v>
      </c>
      <c r="AB412" s="424" t="s">
        <v>4008</v>
      </c>
      <c r="AC412" s="424" t="s">
        <v>3263</v>
      </c>
      <c r="AD412" s="424" t="s">
        <v>3985</v>
      </c>
      <c r="AE412" s="424" t="s">
        <v>4000</v>
      </c>
      <c r="AF412" s="424"/>
      <c r="AG412" s="424"/>
      <c r="AH412" s="424"/>
    </row>
    <row r="413" spans="1:34" x14ac:dyDescent="0.25">
      <c r="A413" s="423" t="s">
        <v>4009</v>
      </c>
      <c r="B413" s="423" t="s">
        <v>4010</v>
      </c>
      <c r="C413" s="423" t="s">
        <v>486</v>
      </c>
      <c r="D413" s="423" t="s">
        <v>3891</v>
      </c>
      <c r="E413" s="423" t="s">
        <v>2818</v>
      </c>
      <c r="F413" s="423">
        <v>16</v>
      </c>
      <c r="G413" s="423">
        <v>16</v>
      </c>
      <c r="H413" s="423">
        <v>500</v>
      </c>
      <c r="J413" s="423"/>
      <c r="K413" s="423"/>
      <c r="L413" s="423"/>
      <c r="M413" s="423"/>
      <c r="Q413" s="423"/>
      <c r="R413" s="424" t="s">
        <v>4010</v>
      </c>
      <c r="S413" s="424" t="s">
        <v>2846</v>
      </c>
      <c r="T413" s="424" t="s">
        <v>4011</v>
      </c>
      <c r="U413" s="424">
        <v>0</v>
      </c>
      <c r="V413" s="424" t="s">
        <v>2973</v>
      </c>
      <c r="W413" s="424">
        <v>0</v>
      </c>
      <c r="X413" s="424" t="s">
        <v>2825</v>
      </c>
      <c r="Y413" s="424" t="s">
        <v>2279</v>
      </c>
      <c r="Z413" s="424">
        <v>0</v>
      </c>
      <c r="AA413" s="424">
        <v>0</v>
      </c>
      <c r="AB413" s="424">
        <v>0</v>
      </c>
      <c r="AC413" s="424">
        <v>0</v>
      </c>
      <c r="AD413" s="424">
        <v>0</v>
      </c>
      <c r="AE413" s="424">
        <v>0</v>
      </c>
      <c r="AF413" s="424"/>
      <c r="AG413" s="424"/>
      <c r="AH413" s="424"/>
    </row>
    <row r="414" spans="1:34" x14ac:dyDescent="0.25">
      <c r="A414" s="423" t="s">
        <v>4009</v>
      </c>
      <c r="B414" s="423" t="s">
        <v>4012</v>
      </c>
      <c r="C414" s="423" t="s">
        <v>486</v>
      </c>
      <c r="D414" s="423" t="s">
        <v>3891</v>
      </c>
      <c r="E414" s="423" t="s">
        <v>2818</v>
      </c>
      <c r="F414" s="423">
        <v>16</v>
      </c>
      <c r="G414" s="423">
        <v>16</v>
      </c>
      <c r="H414" s="423">
        <v>500</v>
      </c>
      <c r="J414" s="423"/>
      <c r="K414" s="423"/>
      <c r="L414" s="423"/>
      <c r="M414" s="423"/>
      <c r="Q414" s="423"/>
      <c r="R414" s="424" t="s">
        <v>4013</v>
      </c>
      <c r="S414" s="424" t="s">
        <v>2820</v>
      </c>
      <c r="T414" s="424" t="s">
        <v>4014</v>
      </c>
      <c r="U414" s="424">
        <v>0</v>
      </c>
      <c r="V414" s="424" t="s">
        <v>2973</v>
      </c>
      <c r="W414" s="424" t="s">
        <v>2092</v>
      </c>
      <c r="X414" s="424" t="s">
        <v>2825</v>
      </c>
      <c r="Y414" s="424" t="s">
        <v>2279</v>
      </c>
      <c r="Z414" s="424" t="s">
        <v>3305</v>
      </c>
      <c r="AA414" s="424" t="s">
        <v>4015</v>
      </c>
      <c r="AB414" s="424" t="s">
        <v>4016</v>
      </c>
      <c r="AC414" s="424" t="s">
        <v>3263</v>
      </c>
      <c r="AD414" s="424" t="s">
        <v>3985</v>
      </c>
      <c r="AE414" s="424" t="s">
        <v>4017</v>
      </c>
      <c r="AF414" s="424"/>
      <c r="AG414" s="424"/>
      <c r="AH414" s="424"/>
    </row>
    <row r="415" spans="1:34" x14ac:dyDescent="0.25">
      <c r="A415" s="423" t="s">
        <v>4018</v>
      </c>
      <c r="B415" s="423" t="s">
        <v>4019</v>
      </c>
      <c r="C415" s="423" t="s">
        <v>486</v>
      </c>
      <c r="D415" s="423" t="s">
        <v>3891</v>
      </c>
      <c r="E415" s="423" t="s">
        <v>2818</v>
      </c>
      <c r="F415" s="423">
        <v>16</v>
      </c>
      <c r="G415" s="423">
        <v>16</v>
      </c>
      <c r="H415" s="423">
        <v>150</v>
      </c>
      <c r="J415" s="423"/>
      <c r="K415" s="423"/>
      <c r="L415" s="423"/>
      <c r="M415" s="423"/>
      <c r="Q415" s="423"/>
      <c r="R415" s="424" t="s">
        <v>4020</v>
      </c>
      <c r="S415" s="424" t="s">
        <v>2820</v>
      </c>
      <c r="T415" s="424" t="s">
        <v>2821</v>
      </c>
      <c r="U415" s="424">
        <v>0</v>
      </c>
      <c r="V415" s="424" t="s">
        <v>2973</v>
      </c>
      <c r="W415" s="424" t="s">
        <v>2092</v>
      </c>
      <c r="X415" s="424">
        <v>0</v>
      </c>
      <c r="Y415" s="424" t="s">
        <v>2279</v>
      </c>
      <c r="Z415" s="424" t="s">
        <v>2889</v>
      </c>
      <c r="AA415" s="424" t="s">
        <v>4021</v>
      </c>
      <c r="AB415" s="424" t="s">
        <v>4022</v>
      </c>
      <c r="AC415" s="424" t="s">
        <v>3263</v>
      </c>
      <c r="AD415" s="424" t="s">
        <v>3985</v>
      </c>
      <c r="AE415" s="424" t="s">
        <v>3989</v>
      </c>
      <c r="AF415" s="424"/>
      <c r="AG415" s="424"/>
      <c r="AH415" s="424"/>
    </row>
    <row r="416" spans="1:34" x14ac:dyDescent="0.25">
      <c r="A416" s="423" t="s">
        <v>4023</v>
      </c>
      <c r="B416" s="423" t="s">
        <v>4024</v>
      </c>
      <c r="C416" s="423" t="s">
        <v>486</v>
      </c>
      <c r="D416" s="423" t="s">
        <v>3891</v>
      </c>
      <c r="E416" s="423" t="s">
        <v>2818</v>
      </c>
      <c r="F416" s="423">
        <v>10</v>
      </c>
      <c r="G416" s="423">
        <v>25.4</v>
      </c>
      <c r="H416" s="423">
        <v>371.8</v>
      </c>
      <c r="J416" s="423"/>
      <c r="K416" s="423"/>
      <c r="L416" s="423"/>
      <c r="M416" s="423"/>
      <c r="Q416" s="423"/>
      <c r="R416" s="424" t="s">
        <v>4024</v>
      </c>
      <c r="S416" s="424" t="s">
        <v>2846</v>
      </c>
      <c r="T416" s="424" t="s">
        <v>3906</v>
      </c>
      <c r="U416" s="424">
        <v>0</v>
      </c>
      <c r="V416" s="424" t="s">
        <v>486</v>
      </c>
      <c r="W416" s="424" t="s">
        <v>3982</v>
      </c>
      <c r="X416" s="424">
        <v>0</v>
      </c>
      <c r="Y416" s="424" t="s">
        <v>3908</v>
      </c>
      <c r="Z416" s="424" t="s">
        <v>2889</v>
      </c>
      <c r="AA416" s="424" t="s">
        <v>3703</v>
      </c>
      <c r="AB416" s="424" t="s">
        <v>4025</v>
      </c>
      <c r="AC416" s="424" t="s">
        <v>3263</v>
      </c>
      <c r="AD416" s="424" t="s">
        <v>3985</v>
      </c>
      <c r="AE416" s="424" t="s">
        <v>3989</v>
      </c>
      <c r="AF416" s="424"/>
      <c r="AG416" s="424"/>
      <c r="AH416" s="424"/>
    </row>
    <row r="417" spans="1:34" x14ac:dyDescent="0.25">
      <c r="A417" s="423" t="s">
        <v>4023</v>
      </c>
      <c r="B417" s="423" t="s">
        <v>4026</v>
      </c>
      <c r="C417" s="423" t="s">
        <v>486</v>
      </c>
      <c r="D417" s="423" t="s">
        <v>3891</v>
      </c>
      <c r="E417" s="423" t="s">
        <v>2818</v>
      </c>
      <c r="F417" s="423">
        <v>10</v>
      </c>
      <c r="G417" s="423">
        <v>25.3</v>
      </c>
      <c r="H417" s="423">
        <v>304.8</v>
      </c>
      <c r="J417" s="423"/>
      <c r="K417" s="423"/>
      <c r="L417" s="423"/>
      <c r="M417" s="423"/>
      <c r="Q417" s="423"/>
      <c r="R417" s="424" t="s">
        <v>4026</v>
      </c>
      <c r="S417" s="424" t="s">
        <v>2846</v>
      </c>
      <c r="T417" s="424" t="s">
        <v>3906</v>
      </c>
      <c r="U417" s="424">
        <v>0</v>
      </c>
      <c r="V417" s="424" t="s">
        <v>486</v>
      </c>
      <c r="W417" s="424" t="s">
        <v>3982</v>
      </c>
      <c r="X417" s="424">
        <v>0</v>
      </c>
      <c r="Y417" s="424" t="s">
        <v>2279</v>
      </c>
      <c r="Z417" s="424" t="s">
        <v>2889</v>
      </c>
      <c r="AA417" s="424" t="s">
        <v>3703</v>
      </c>
      <c r="AB417" s="424" t="s">
        <v>4027</v>
      </c>
      <c r="AC417" s="424" t="s">
        <v>3263</v>
      </c>
      <c r="AD417" s="424" t="s">
        <v>3985</v>
      </c>
      <c r="AE417" s="424" t="s">
        <v>3986</v>
      </c>
      <c r="AF417" s="424"/>
      <c r="AG417" s="424"/>
      <c r="AH417" s="424"/>
    </row>
    <row r="418" spans="1:34" x14ac:dyDescent="0.25">
      <c r="A418" s="423" t="s">
        <v>4023</v>
      </c>
      <c r="B418" s="423" t="s">
        <v>4028</v>
      </c>
      <c r="C418" s="423" t="s">
        <v>486</v>
      </c>
      <c r="D418" s="423" t="s">
        <v>3891</v>
      </c>
      <c r="E418" s="423" t="s">
        <v>2818</v>
      </c>
      <c r="F418" s="423">
        <v>8</v>
      </c>
      <c r="G418" s="423">
        <v>37.1</v>
      </c>
      <c r="H418" s="423">
        <v>504.7</v>
      </c>
      <c r="J418" s="423"/>
      <c r="K418" s="423"/>
      <c r="L418" s="423"/>
      <c r="M418" s="423"/>
      <c r="Q418" s="423"/>
      <c r="R418" s="424" t="s">
        <v>4028</v>
      </c>
      <c r="S418" s="424" t="s">
        <v>2846</v>
      </c>
      <c r="T418" s="424" t="s">
        <v>3906</v>
      </c>
      <c r="U418" s="424">
        <v>0</v>
      </c>
      <c r="V418" s="424" t="s">
        <v>486</v>
      </c>
      <c r="W418" s="424" t="s">
        <v>3982</v>
      </c>
      <c r="X418" s="424">
        <v>0</v>
      </c>
      <c r="Y418" s="424" t="s">
        <v>2279</v>
      </c>
      <c r="Z418" s="424" t="s">
        <v>2889</v>
      </c>
      <c r="AA418" s="424" t="s">
        <v>3703</v>
      </c>
      <c r="AB418" s="424" t="s">
        <v>4025</v>
      </c>
      <c r="AC418" s="424" t="s">
        <v>3263</v>
      </c>
      <c r="AD418" s="424" t="s">
        <v>3985</v>
      </c>
      <c r="AE418" s="424" t="s">
        <v>3989</v>
      </c>
      <c r="AF418" s="424"/>
      <c r="AG418" s="424"/>
      <c r="AH418" s="424"/>
    </row>
    <row r="419" spans="1:34" x14ac:dyDescent="0.25">
      <c r="A419" s="423" t="s">
        <v>4023</v>
      </c>
      <c r="B419" s="423" t="s">
        <v>4029</v>
      </c>
      <c r="C419" s="423" t="s">
        <v>486</v>
      </c>
      <c r="D419" s="423" t="s">
        <v>3891</v>
      </c>
      <c r="E419" s="423" t="s">
        <v>2818</v>
      </c>
      <c r="F419" s="423">
        <v>8</v>
      </c>
      <c r="G419" s="423">
        <v>37.200000000000003</v>
      </c>
      <c r="H419" s="423">
        <v>504.7</v>
      </c>
      <c r="J419" s="423"/>
      <c r="K419" s="423"/>
      <c r="L419" s="423"/>
      <c r="M419" s="423"/>
      <c r="Q419" s="423"/>
      <c r="R419" s="424" t="s">
        <v>4029</v>
      </c>
      <c r="S419" s="424" t="s">
        <v>2846</v>
      </c>
      <c r="T419" s="424" t="s">
        <v>3906</v>
      </c>
      <c r="U419" s="424">
        <v>0</v>
      </c>
      <c r="V419" s="424" t="s">
        <v>486</v>
      </c>
      <c r="W419" s="424" t="s">
        <v>3982</v>
      </c>
      <c r="X419" s="424">
        <v>0</v>
      </c>
      <c r="Y419" s="424" t="s">
        <v>2279</v>
      </c>
      <c r="Z419" s="424" t="s">
        <v>2889</v>
      </c>
      <c r="AA419" s="424" t="s">
        <v>3703</v>
      </c>
      <c r="AB419" s="424" t="s">
        <v>4027</v>
      </c>
      <c r="AC419" s="424" t="s">
        <v>3263</v>
      </c>
      <c r="AD419" s="424" t="s">
        <v>3985</v>
      </c>
      <c r="AE419" s="424" t="s">
        <v>3986</v>
      </c>
      <c r="AF419" s="424"/>
      <c r="AG419" s="424"/>
      <c r="AH419" s="424"/>
    </row>
    <row r="420" spans="1:34" x14ac:dyDescent="0.25">
      <c r="A420" s="423" t="s">
        <v>4023</v>
      </c>
      <c r="B420" s="423" t="s">
        <v>4030</v>
      </c>
      <c r="C420" s="423" t="s">
        <v>486</v>
      </c>
      <c r="D420" s="423" t="s">
        <v>3891</v>
      </c>
      <c r="E420" s="423" t="s">
        <v>2818</v>
      </c>
      <c r="F420" s="423">
        <v>8</v>
      </c>
      <c r="G420" s="423">
        <v>27.3</v>
      </c>
      <c r="H420" s="423">
        <v>504.7</v>
      </c>
      <c r="J420" s="423"/>
      <c r="K420" s="423"/>
      <c r="L420" s="423"/>
      <c r="M420" s="423"/>
      <c r="Q420" s="423"/>
      <c r="R420" s="424" t="s">
        <v>4030</v>
      </c>
      <c r="S420" s="424" t="s">
        <v>2846</v>
      </c>
      <c r="T420" s="424" t="s">
        <v>3906</v>
      </c>
      <c r="U420" s="424">
        <v>0</v>
      </c>
      <c r="V420" s="424" t="s">
        <v>486</v>
      </c>
      <c r="W420" s="424" t="s">
        <v>3982</v>
      </c>
      <c r="X420" s="424">
        <v>0</v>
      </c>
      <c r="Y420" s="424" t="s">
        <v>2279</v>
      </c>
      <c r="Z420" s="424" t="s">
        <v>2889</v>
      </c>
      <c r="AA420" s="424" t="s">
        <v>3703</v>
      </c>
      <c r="AB420" s="424" t="s">
        <v>4031</v>
      </c>
      <c r="AC420" s="424" t="s">
        <v>3263</v>
      </c>
      <c r="AD420" s="424" t="s">
        <v>3985</v>
      </c>
      <c r="AE420" s="424" t="s">
        <v>3986</v>
      </c>
      <c r="AF420" s="424"/>
      <c r="AG420" s="424"/>
      <c r="AH420" s="424"/>
    </row>
    <row r="421" spans="1:34" x14ac:dyDescent="0.25">
      <c r="A421" s="423" t="s">
        <v>4023</v>
      </c>
      <c r="B421" s="423" t="s">
        <v>4032</v>
      </c>
      <c r="C421" s="423" t="s">
        <v>486</v>
      </c>
      <c r="D421" s="423" t="s">
        <v>3891</v>
      </c>
      <c r="E421" s="423" t="s">
        <v>2818</v>
      </c>
      <c r="F421" s="423">
        <v>14</v>
      </c>
      <c r="G421" s="423">
        <v>17.5</v>
      </c>
      <c r="H421" s="423">
        <v>180.9</v>
      </c>
      <c r="J421" s="423"/>
      <c r="K421" s="423"/>
      <c r="L421" s="423"/>
      <c r="M421" s="423"/>
      <c r="Q421" s="423"/>
      <c r="R421" s="424" t="s">
        <v>4032</v>
      </c>
      <c r="S421" s="424" t="s">
        <v>2846</v>
      </c>
      <c r="T421" s="424" t="s">
        <v>3906</v>
      </c>
      <c r="U421" s="424">
        <v>0</v>
      </c>
      <c r="V421" s="424" t="s">
        <v>486</v>
      </c>
      <c r="W421" s="424" t="s">
        <v>3982</v>
      </c>
      <c r="X421" s="424">
        <v>0</v>
      </c>
      <c r="Y421" s="424" t="s">
        <v>2279</v>
      </c>
      <c r="Z421" s="424" t="s">
        <v>2889</v>
      </c>
      <c r="AA421" s="424" t="s">
        <v>3703</v>
      </c>
      <c r="AB421" s="424" t="s">
        <v>4027</v>
      </c>
      <c r="AC421" s="424" t="s">
        <v>3263</v>
      </c>
      <c r="AD421" s="424" t="s">
        <v>3985</v>
      </c>
      <c r="AE421" s="424" t="s">
        <v>3986</v>
      </c>
      <c r="AF421" s="424"/>
      <c r="AG421" s="424"/>
      <c r="AH421" s="424"/>
    </row>
    <row r="422" spans="1:34" x14ac:dyDescent="0.25">
      <c r="A422" s="423" t="s">
        <v>4023</v>
      </c>
      <c r="B422" s="423" t="s">
        <v>4033</v>
      </c>
      <c r="C422" s="423" t="s">
        <v>486</v>
      </c>
      <c r="D422" s="423" t="s">
        <v>3891</v>
      </c>
      <c r="E422" s="423" t="s">
        <v>2818</v>
      </c>
      <c r="F422" s="423">
        <v>14</v>
      </c>
      <c r="G422" s="423">
        <v>17.5</v>
      </c>
      <c r="H422" s="423">
        <v>180.9</v>
      </c>
      <c r="J422" s="423"/>
      <c r="K422" s="423"/>
      <c r="L422" s="423"/>
      <c r="M422" s="423"/>
      <c r="Q422" s="423"/>
      <c r="R422" s="424" t="s">
        <v>4033</v>
      </c>
      <c r="S422" s="424" t="s">
        <v>2846</v>
      </c>
      <c r="T422" s="424" t="s">
        <v>3906</v>
      </c>
      <c r="U422" s="424">
        <v>0</v>
      </c>
      <c r="V422" s="424" t="s">
        <v>486</v>
      </c>
      <c r="W422" s="424" t="s">
        <v>3982</v>
      </c>
      <c r="X422" s="424">
        <v>0</v>
      </c>
      <c r="Y422" s="424" t="s">
        <v>2279</v>
      </c>
      <c r="Z422" s="424" t="s">
        <v>2889</v>
      </c>
      <c r="AA422" s="424" t="s">
        <v>3703</v>
      </c>
      <c r="AB422" s="424" t="s">
        <v>4031</v>
      </c>
      <c r="AC422" s="424" t="s">
        <v>3263</v>
      </c>
      <c r="AD422" s="424" t="s">
        <v>3985</v>
      </c>
      <c r="AE422" s="424" t="s">
        <v>3986</v>
      </c>
      <c r="AF422" s="424"/>
      <c r="AG422" s="424"/>
      <c r="AH422" s="424"/>
    </row>
    <row r="423" spans="1:34" x14ac:dyDescent="0.25">
      <c r="A423" s="423" t="s">
        <v>4023</v>
      </c>
      <c r="B423" s="423" t="s">
        <v>4034</v>
      </c>
      <c r="C423" s="423" t="s">
        <v>486</v>
      </c>
      <c r="D423" s="423" t="s">
        <v>3891</v>
      </c>
      <c r="E423" s="423" t="s">
        <v>2818</v>
      </c>
      <c r="F423" s="423">
        <v>8</v>
      </c>
      <c r="G423" s="423">
        <v>21.4</v>
      </c>
      <c r="H423" s="423">
        <v>659.7</v>
      </c>
      <c r="J423" s="423"/>
      <c r="K423" s="423"/>
      <c r="L423" s="423"/>
      <c r="M423" s="423"/>
      <c r="Q423" s="423"/>
      <c r="R423" s="424" t="s">
        <v>4034</v>
      </c>
      <c r="S423" s="424" t="s">
        <v>2846</v>
      </c>
      <c r="T423" s="424" t="s">
        <v>3906</v>
      </c>
      <c r="U423" s="424">
        <v>0</v>
      </c>
      <c r="V423" s="424" t="s">
        <v>486</v>
      </c>
      <c r="W423" s="424" t="s">
        <v>3982</v>
      </c>
      <c r="X423" s="424">
        <v>0</v>
      </c>
      <c r="Y423" s="424" t="s">
        <v>2279</v>
      </c>
      <c r="Z423" s="424" t="s">
        <v>2889</v>
      </c>
      <c r="AA423" s="424" t="s">
        <v>3703</v>
      </c>
      <c r="AB423" s="424" t="s">
        <v>4025</v>
      </c>
      <c r="AC423" s="424" t="s">
        <v>3263</v>
      </c>
      <c r="AD423" s="424" t="s">
        <v>3985</v>
      </c>
      <c r="AE423" s="424" t="s">
        <v>3989</v>
      </c>
      <c r="AF423" s="424"/>
      <c r="AG423" s="424"/>
      <c r="AH423" s="424"/>
    </row>
    <row r="424" spans="1:34" x14ac:dyDescent="0.25">
      <c r="A424" s="423" t="s">
        <v>4023</v>
      </c>
      <c r="B424" s="423" t="s">
        <v>4035</v>
      </c>
      <c r="C424" s="423" t="s">
        <v>486</v>
      </c>
      <c r="D424" s="423" t="s">
        <v>3891</v>
      </c>
      <c r="E424" s="423" t="s">
        <v>2818</v>
      </c>
      <c r="F424" s="423">
        <v>8</v>
      </c>
      <c r="G424" s="423">
        <v>21.4</v>
      </c>
      <c r="H424" s="423">
        <v>559.70000000000005</v>
      </c>
      <c r="J424" s="423"/>
      <c r="K424" s="423"/>
      <c r="L424" s="423"/>
      <c r="M424" s="423"/>
      <c r="Q424" s="423"/>
      <c r="R424" s="424" t="s">
        <v>4035</v>
      </c>
      <c r="S424" s="424" t="s">
        <v>2846</v>
      </c>
      <c r="T424" s="424" t="s">
        <v>3906</v>
      </c>
      <c r="U424" s="424">
        <v>0</v>
      </c>
      <c r="V424" s="424" t="s">
        <v>486</v>
      </c>
      <c r="W424" s="424" t="s">
        <v>3982</v>
      </c>
      <c r="X424" s="424">
        <v>0</v>
      </c>
      <c r="Y424" s="424" t="s">
        <v>2279</v>
      </c>
      <c r="Z424" s="424" t="s">
        <v>2889</v>
      </c>
      <c r="AA424" s="424" t="s">
        <v>3703</v>
      </c>
      <c r="AB424" s="424" t="s">
        <v>4027</v>
      </c>
      <c r="AC424" s="424" t="s">
        <v>3263</v>
      </c>
      <c r="AD424" s="424" t="s">
        <v>3985</v>
      </c>
      <c r="AE424" s="424" t="s">
        <v>3986</v>
      </c>
      <c r="AF424" s="424"/>
      <c r="AG424" s="424"/>
      <c r="AH424" s="424"/>
    </row>
    <row r="425" spans="1:34" x14ac:dyDescent="0.25">
      <c r="A425" s="423" t="s">
        <v>4023</v>
      </c>
      <c r="B425" s="423" t="s">
        <v>4036</v>
      </c>
      <c r="C425" s="423" t="s">
        <v>486</v>
      </c>
      <c r="D425" s="423" t="s">
        <v>3891</v>
      </c>
      <c r="E425" s="423" t="s">
        <v>2818</v>
      </c>
      <c r="F425" s="423">
        <v>8</v>
      </c>
      <c r="G425" s="423">
        <v>21.4</v>
      </c>
      <c r="H425" s="423">
        <v>659.7</v>
      </c>
      <c r="J425" s="423"/>
      <c r="K425" s="423"/>
      <c r="L425" s="423"/>
      <c r="M425" s="423"/>
      <c r="Q425" s="423"/>
      <c r="R425" s="424" t="s">
        <v>4036</v>
      </c>
      <c r="S425" s="424" t="s">
        <v>2846</v>
      </c>
      <c r="T425" s="424" t="s">
        <v>3906</v>
      </c>
      <c r="U425" s="424">
        <v>0</v>
      </c>
      <c r="V425" s="424" t="s">
        <v>486</v>
      </c>
      <c r="W425" s="424" t="s">
        <v>3982</v>
      </c>
      <c r="X425" s="424">
        <v>0</v>
      </c>
      <c r="Y425" s="424" t="s">
        <v>2279</v>
      </c>
      <c r="Z425" s="424" t="s">
        <v>2889</v>
      </c>
      <c r="AA425" s="424" t="s">
        <v>3703</v>
      </c>
      <c r="AB425" s="424" t="s">
        <v>4031</v>
      </c>
      <c r="AC425" s="424" t="s">
        <v>3263</v>
      </c>
      <c r="AD425" s="424" t="s">
        <v>3985</v>
      </c>
      <c r="AE425" s="424" t="s">
        <v>3986</v>
      </c>
      <c r="AF425" s="424"/>
      <c r="AG425" s="424"/>
      <c r="AH425" s="424"/>
    </row>
    <row r="426" spans="1:34" x14ac:dyDescent="0.25">
      <c r="A426" s="423" t="s">
        <v>4037</v>
      </c>
      <c r="B426" s="423" t="s">
        <v>4038</v>
      </c>
      <c r="C426" s="423" t="s">
        <v>486</v>
      </c>
      <c r="D426" s="423" t="s">
        <v>3891</v>
      </c>
      <c r="E426" s="423" t="s">
        <v>2818</v>
      </c>
      <c r="F426" s="423">
        <v>16</v>
      </c>
      <c r="G426" s="423">
        <v>32</v>
      </c>
      <c r="H426" s="423">
        <v>200</v>
      </c>
      <c r="J426" s="423"/>
      <c r="K426" s="423"/>
      <c r="L426" s="423"/>
      <c r="M426" s="423"/>
      <c r="Q426" s="423"/>
      <c r="R426" s="424" t="s">
        <v>4038</v>
      </c>
      <c r="S426" s="424" t="s">
        <v>2846</v>
      </c>
      <c r="T426" s="424" t="s">
        <v>4039</v>
      </c>
      <c r="U426" s="424">
        <v>0</v>
      </c>
      <c r="V426" s="424" t="s">
        <v>486</v>
      </c>
      <c r="W426" s="424" t="s">
        <v>3982</v>
      </c>
      <c r="X426" s="424">
        <v>0</v>
      </c>
      <c r="Y426" s="424" t="s">
        <v>3908</v>
      </c>
      <c r="Z426" s="424" t="s">
        <v>2889</v>
      </c>
      <c r="AA426" s="424" t="s">
        <v>3311</v>
      </c>
      <c r="AB426" s="424" t="s">
        <v>4040</v>
      </c>
      <c r="AC426" s="424" t="s">
        <v>3263</v>
      </c>
      <c r="AD426" s="424" t="s">
        <v>3985</v>
      </c>
      <c r="AE426" s="424" t="s">
        <v>4041</v>
      </c>
      <c r="AF426" s="424"/>
      <c r="AG426" s="424"/>
      <c r="AH426" s="424"/>
    </row>
    <row r="427" spans="1:34" x14ac:dyDescent="0.25">
      <c r="A427" s="423" t="s">
        <v>4037</v>
      </c>
      <c r="B427" s="423" t="s">
        <v>4042</v>
      </c>
      <c r="C427" s="423" t="s">
        <v>486</v>
      </c>
      <c r="D427" s="423" t="s">
        <v>3891</v>
      </c>
      <c r="E427" s="423" t="s">
        <v>2818</v>
      </c>
      <c r="F427" s="423">
        <v>8</v>
      </c>
      <c r="G427" s="423">
        <v>40</v>
      </c>
      <c r="H427" s="423">
        <v>100</v>
      </c>
      <c r="J427" s="423"/>
      <c r="K427" s="423"/>
      <c r="L427" s="423"/>
      <c r="M427" s="423"/>
      <c r="Q427" s="423"/>
      <c r="R427" s="424" t="s">
        <v>4042</v>
      </c>
      <c r="S427" s="424" t="s">
        <v>2846</v>
      </c>
      <c r="T427" s="424" t="s">
        <v>3906</v>
      </c>
      <c r="U427" s="424">
        <v>0</v>
      </c>
      <c r="V427" s="424" t="s">
        <v>4043</v>
      </c>
      <c r="W427" s="424" t="s">
        <v>3982</v>
      </c>
      <c r="X427" s="424" t="s">
        <v>2224</v>
      </c>
      <c r="Y427" s="424" t="s">
        <v>3908</v>
      </c>
      <c r="Z427" s="424" t="s">
        <v>2889</v>
      </c>
      <c r="AA427" s="424" t="s">
        <v>3311</v>
      </c>
      <c r="AB427" s="424" t="s">
        <v>4044</v>
      </c>
      <c r="AC427" s="424" t="s">
        <v>3263</v>
      </c>
      <c r="AD427" s="424" t="s">
        <v>3985</v>
      </c>
      <c r="AE427" s="424" t="s">
        <v>4041</v>
      </c>
      <c r="AF427" s="424"/>
      <c r="AG427" s="424"/>
      <c r="AH427" s="424"/>
    </row>
    <row r="428" spans="1:34" x14ac:dyDescent="0.25">
      <c r="A428" s="423" t="s">
        <v>4037</v>
      </c>
      <c r="B428" s="423" t="s">
        <v>4045</v>
      </c>
      <c r="C428" s="423" t="s">
        <v>486</v>
      </c>
      <c r="D428" s="423" t="s">
        <v>3891</v>
      </c>
      <c r="E428" s="423" t="s">
        <v>2818</v>
      </c>
      <c r="F428" s="423">
        <v>8</v>
      </c>
      <c r="G428" s="423">
        <v>40</v>
      </c>
      <c r="H428" s="423">
        <v>100</v>
      </c>
      <c r="J428" s="423"/>
      <c r="K428" s="423"/>
      <c r="L428" s="423"/>
      <c r="M428" s="423"/>
      <c r="Q428" s="423"/>
      <c r="R428" s="424" t="s">
        <v>4045</v>
      </c>
      <c r="S428" s="424" t="s">
        <v>2846</v>
      </c>
      <c r="T428" s="424" t="s">
        <v>3906</v>
      </c>
      <c r="U428" s="424">
        <v>0</v>
      </c>
      <c r="V428" s="424" t="s">
        <v>4043</v>
      </c>
      <c r="W428" s="424" t="s">
        <v>3982</v>
      </c>
      <c r="X428" s="424" t="s">
        <v>2224</v>
      </c>
      <c r="Y428" s="424" t="s">
        <v>3908</v>
      </c>
      <c r="Z428" s="424" t="s">
        <v>2889</v>
      </c>
      <c r="AA428" s="424" t="s">
        <v>3311</v>
      </c>
      <c r="AB428" s="424" t="s">
        <v>4040</v>
      </c>
      <c r="AC428" s="424" t="s">
        <v>3263</v>
      </c>
      <c r="AD428" s="424" t="s">
        <v>3985</v>
      </c>
      <c r="AE428" s="424" t="s">
        <v>4041</v>
      </c>
      <c r="AF428" s="424"/>
      <c r="AG428" s="424"/>
      <c r="AH428" s="424"/>
    </row>
    <row r="429" spans="1:34" x14ac:dyDescent="0.25">
      <c r="A429" s="423" t="s">
        <v>4037</v>
      </c>
      <c r="B429" s="423" t="s">
        <v>4046</v>
      </c>
      <c r="C429" s="423" t="s">
        <v>486</v>
      </c>
      <c r="D429" s="423" t="s">
        <v>3891</v>
      </c>
      <c r="E429" s="423" t="s">
        <v>2818</v>
      </c>
      <c r="F429" s="423">
        <v>16</v>
      </c>
      <c r="G429" s="423">
        <v>32</v>
      </c>
      <c r="H429" s="423">
        <v>200</v>
      </c>
      <c r="J429" s="423"/>
      <c r="K429" s="423"/>
      <c r="L429" s="423"/>
      <c r="M429" s="423"/>
      <c r="Q429" s="423"/>
      <c r="R429" s="424" t="s">
        <v>4046</v>
      </c>
      <c r="S429" s="424" t="s">
        <v>2846</v>
      </c>
      <c r="T429" s="424" t="s">
        <v>4039</v>
      </c>
      <c r="U429" s="424">
        <v>0</v>
      </c>
      <c r="V429" s="424" t="s">
        <v>486</v>
      </c>
      <c r="W429" s="424" t="s">
        <v>3982</v>
      </c>
      <c r="X429" s="424">
        <v>0</v>
      </c>
      <c r="Y429" s="424" t="s">
        <v>3908</v>
      </c>
      <c r="Z429" s="424" t="s">
        <v>2889</v>
      </c>
      <c r="AA429" s="424" t="s">
        <v>2890</v>
      </c>
      <c r="AB429" s="424" t="s">
        <v>4047</v>
      </c>
      <c r="AC429" s="424" t="s">
        <v>3263</v>
      </c>
      <c r="AD429" s="424" t="s">
        <v>3985</v>
      </c>
      <c r="AE429" s="424" t="s">
        <v>4041</v>
      </c>
      <c r="AF429" s="424"/>
      <c r="AG429" s="424"/>
      <c r="AH429" s="424"/>
    </row>
    <row r="430" spans="1:34" x14ac:dyDescent="0.25">
      <c r="A430" s="423" t="s">
        <v>4037</v>
      </c>
      <c r="B430" s="423" t="s">
        <v>4048</v>
      </c>
      <c r="C430" s="423" t="s">
        <v>486</v>
      </c>
      <c r="D430" s="423" t="s">
        <v>3891</v>
      </c>
      <c r="E430" s="423" t="s">
        <v>2818</v>
      </c>
      <c r="F430" s="423">
        <v>16</v>
      </c>
      <c r="G430" s="423">
        <v>32</v>
      </c>
      <c r="H430" s="423">
        <v>200</v>
      </c>
      <c r="J430" s="423"/>
      <c r="K430" s="423"/>
      <c r="L430" s="423"/>
      <c r="M430" s="423"/>
      <c r="Q430" s="423"/>
      <c r="R430" s="424" t="s">
        <v>4048</v>
      </c>
      <c r="S430" s="424" t="s">
        <v>2846</v>
      </c>
      <c r="T430" s="424" t="s">
        <v>4039</v>
      </c>
      <c r="U430" s="424">
        <v>0</v>
      </c>
      <c r="V430" s="424" t="s">
        <v>486</v>
      </c>
      <c r="W430" s="424" t="s">
        <v>3982</v>
      </c>
      <c r="X430" s="424">
        <v>0</v>
      </c>
      <c r="Y430" s="424" t="s">
        <v>3908</v>
      </c>
      <c r="Z430" s="424" t="s">
        <v>2889</v>
      </c>
      <c r="AA430" s="424" t="s">
        <v>2890</v>
      </c>
      <c r="AB430" s="424" t="s">
        <v>4049</v>
      </c>
      <c r="AC430" s="424" t="s">
        <v>3263</v>
      </c>
      <c r="AD430" s="424" t="s">
        <v>3985</v>
      </c>
      <c r="AE430" s="424" t="s">
        <v>4041</v>
      </c>
      <c r="AF430" s="424"/>
      <c r="AG430" s="424"/>
      <c r="AH430" s="424"/>
    </row>
    <row r="431" spans="1:34" x14ac:dyDescent="0.25">
      <c r="A431" s="423" t="s">
        <v>4037</v>
      </c>
      <c r="B431" s="423" t="s">
        <v>4050</v>
      </c>
      <c r="C431" s="423" t="s">
        <v>486</v>
      </c>
      <c r="D431" s="423" t="s">
        <v>3891</v>
      </c>
      <c r="E431" s="423" t="s">
        <v>2818</v>
      </c>
      <c r="F431" s="423">
        <v>8</v>
      </c>
      <c r="G431" s="423">
        <v>32</v>
      </c>
      <c r="H431" s="423">
        <v>1000</v>
      </c>
      <c r="J431" s="423"/>
      <c r="K431" s="423"/>
      <c r="L431" s="423"/>
      <c r="M431" s="423"/>
      <c r="Q431" s="423"/>
      <c r="R431" s="424" t="s">
        <v>4050</v>
      </c>
      <c r="S431" s="424" t="s">
        <v>2820</v>
      </c>
      <c r="T431" s="424" t="s">
        <v>4051</v>
      </c>
      <c r="U431" s="424">
        <v>0</v>
      </c>
      <c r="V431" s="424" t="s">
        <v>486</v>
      </c>
      <c r="W431" s="424" t="s">
        <v>132</v>
      </c>
      <c r="X431" s="424" t="s">
        <v>2224</v>
      </c>
      <c r="Y431" s="424" t="s">
        <v>2279</v>
      </c>
      <c r="Z431" s="424" t="s">
        <v>4052</v>
      </c>
      <c r="AA431" s="424" t="s">
        <v>4053</v>
      </c>
      <c r="AB431" s="424" t="s">
        <v>4054</v>
      </c>
      <c r="AC431" s="424" t="s">
        <v>3263</v>
      </c>
      <c r="AD431" s="424" t="s">
        <v>3985</v>
      </c>
      <c r="AE431" s="424" t="s">
        <v>4055</v>
      </c>
      <c r="AF431" s="424"/>
      <c r="AG431" s="424"/>
      <c r="AH431" s="424"/>
    </row>
    <row r="432" spans="1:34" x14ac:dyDescent="0.25">
      <c r="A432" s="423" t="s">
        <v>4037</v>
      </c>
      <c r="B432" s="423" t="s">
        <v>4056</v>
      </c>
      <c r="C432" s="423" t="s">
        <v>486</v>
      </c>
      <c r="D432" s="423" t="s">
        <v>3891</v>
      </c>
      <c r="E432" s="423" t="s">
        <v>2818</v>
      </c>
      <c r="F432" s="423">
        <v>8</v>
      </c>
      <c r="G432" s="423">
        <v>32</v>
      </c>
      <c r="H432" s="423">
        <v>1000</v>
      </c>
      <c r="J432" s="423"/>
      <c r="K432" s="423"/>
      <c r="L432" s="423"/>
      <c r="M432" s="423"/>
      <c r="Q432" s="423"/>
      <c r="R432" s="424" t="s">
        <v>4056</v>
      </c>
      <c r="S432" s="424" t="s">
        <v>2820</v>
      </c>
      <c r="T432" s="424" t="s">
        <v>4057</v>
      </c>
      <c r="U432" s="424">
        <v>0</v>
      </c>
      <c r="V432" s="424" t="s">
        <v>486</v>
      </c>
      <c r="W432" s="424" t="s">
        <v>132</v>
      </c>
      <c r="X432" s="424" t="s">
        <v>2224</v>
      </c>
      <c r="Y432" s="424" t="s">
        <v>2279</v>
      </c>
      <c r="Z432" s="424" t="s">
        <v>4052</v>
      </c>
      <c r="AA432" s="424" t="s">
        <v>4053</v>
      </c>
      <c r="AB432" s="424" t="s">
        <v>4058</v>
      </c>
      <c r="AC432" s="424" t="s">
        <v>3263</v>
      </c>
      <c r="AD432" s="424" t="s">
        <v>3985</v>
      </c>
      <c r="AE432" s="424" t="s">
        <v>4041</v>
      </c>
      <c r="AF432" s="424"/>
      <c r="AG432" s="424"/>
      <c r="AH432" s="424"/>
    </row>
    <row r="433" spans="1:34" x14ac:dyDescent="0.25">
      <c r="A433" s="423" t="s">
        <v>4037</v>
      </c>
      <c r="B433" s="423" t="s">
        <v>4059</v>
      </c>
      <c r="C433" s="423" t="s">
        <v>486</v>
      </c>
      <c r="D433" s="423" t="s">
        <v>3891</v>
      </c>
      <c r="E433" s="423" t="s">
        <v>2818</v>
      </c>
      <c r="F433" s="423">
        <v>4</v>
      </c>
      <c r="G433" s="423">
        <v>8</v>
      </c>
      <c r="H433" s="423">
        <v>150</v>
      </c>
      <c r="J433" s="423"/>
      <c r="K433" s="423"/>
      <c r="L433" s="423"/>
      <c r="M433" s="423"/>
      <c r="Q433" s="423"/>
      <c r="R433" s="424" t="s">
        <v>4059</v>
      </c>
      <c r="S433" s="424" t="s">
        <v>2846</v>
      </c>
      <c r="T433" s="424" t="s">
        <v>3906</v>
      </c>
      <c r="U433" s="424">
        <v>0</v>
      </c>
      <c r="V433" s="424" t="s">
        <v>4043</v>
      </c>
      <c r="W433" s="424" t="s">
        <v>3982</v>
      </c>
      <c r="X433" s="424">
        <v>0</v>
      </c>
      <c r="Y433" s="424" t="s">
        <v>3908</v>
      </c>
      <c r="Z433" s="424" t="s">
        <v>2889</v>
      </c>
      <c r="AA433" s="424" t="s">
        <v>2890</v>
      </c>
      <c r="AB433" s="424" t="s">
        <v>4060</v>
      </c>
      <c r="AC433" s="424" t="s">
        <v>3263</v>
      </c>
      <c r="AD433" s="424" t="s">
        <v>3985</v>
      </c>
      <c r="AE433" s="424" t="s">
        <v>4041</v>
      </c>
      <c r="AF433" s="424"/>
      <c r="AG433" s="424"/>
      <c r="AH433" s="424"/>
    </row>
    <row r="434" spans="1:34" x14ac:dyDescent="0.25">
      <c r="A434" s="423" t="s">
        <v>4037</v>
      </c>
      <c r="B434" s="423" t="s">
        <v>4061</v>
      </c>
      <c r="C434" s="423" t="s">
        <v>486</v>
      </c>
      <c r="D434" s="423" t="s">
        <v>3891</v>
      </c>
      <c r="E434" s="423" t="s">
        <v>2818</v>
      </c>
      <c r="F434" s="423">
        <v>12</v>
      </c>
      <c r="G434" s="423">
        <v>24</v>
      </c>
      <c r="H434" s="423">
        <v>100</v>
      </c>
      <c r="J434" s="423"/>
      <c r="K434" s="423"/>
      <c r="L434" s="423"/>
      <c r="M434" s="423"/>
      <c r="Q434" s="423"/>
      <c r="R434" s="424" t="s">
        <v>4061</v>
      </c>
      <c r="S434" s="424" t="s">
        <v>2846</v>
      </c>
      <c r="T434" s="424" t="s">
        <v>3906</v>
      </c>
      <c r="U434" s="424">
        <v>0</v>
      </c>
      <c r="V434" s="424" t="s">
        <v>4043</v>
      </c>
      <c r="W434" s="424" t="s">
        <v>3982</v>
      </c>
      <c r="X434" s="424" t="s">
        <v>3907</v>
      </c>
      <c r="Y434" s="424" t="s">
        <v>3908</v>
      </c>
      <c r="Z434" s="424" t="s">
        <v>2889</v>
      </c>
      <c r="AA434" s="424" t="s">
        <v>2890</v>
      </c>
      <c r="AB434" s="424" t="s">
        <v>4060</v>
      </c>
      <c r="AC434" s="424" t="s">
        <v>3263</v>
      </c>
      <c r="AD434" s="424" t="s">
        <v>3985</v>
      </c>
      <c r="AE434" s="424" t="s">
        <v>4041</v>
      </c>
      <c r="AF434" s="424"/>
      <c r="AG434" s="424"/>
      <c r="AH434" s="424"/>
    </row>
    <row r="435" spans="1:34" x14ac:dyDescent="0.25">
      <c r="A435" s="423" t="s">
        <v>4037</v>
      </c>
      <c r="B435" s="423" t="s">
        <v>4062</v>
      </c>
      <c r="C435" s="423" t="s">
        <v>486</v>
      </c>
      <c r="D435" s="423" t="s">
        <v>3891</v>
      </c>
      <c r="E435" s="423" t="s">
        <v>2818</v>
      </c>
      <c r="F435" s="423">
        <v>12</v>
      </c>
      <c r="G435" s="423">
        <v>24</v>
      </c>
      <c r="H435" s="423">
        <v>100</v>
      </c>
      <c r="J435" s="423"/>
      <c r="K435" s="423"/>
      <c r="L435" s="423"/>
      <c r="M435" s="423"/>
      <c r="Q435" s="423"/>
      <c r="R435" s="424" t="s">
        <v>4062</v>
      </c>
      <c r="S435" s="424" t="s">
        <v>2846</v>
      </c>
      <c r="T435" s="424" t="s">
        <v>3906</v>
      </c>
      <c r="U435" s="424">
        <v>0</v>
      </c>
      <c r="V435" s="424" t="s">
        <v>4043</v>
      </c>
      <c r="W435" s="424" t="s">
        <v>3982</v>
      </c>
      <c r="X435" s="424" t="s">
        <v>2224</v>
      </c>
      <c r="Y435" s="424" t="s">
        <v>3908</v>
      </c>
      <c r="Z435" s="424" t="s">
        <v>2889</v>
      </c>
      <c r="AA435" s="424" t="s">
        <v>2890</v>
      </c>
      <c r="AB435" s="424" t="s">
        <v>4063</v>
      </c>
      <c r="AC435" s="424" t="s">
        <v>3263</v>
      </c>
      <c r="AD435" s="424" t="s">
        <v>3985</v>
      </c>
      <c r="AE435" s="424" t="s">
        <v>4041</v>
      </c>
      <c r="AF435" s="424"/>
      <c r="AG435" s="424"/>
      <c r="AH435" s="424"/>
    </row>
    <row r="436" spans="1:34" x14ac:dyDescent="0.25">
      <c r="A436" s="423" t="s">
        <v>4037</v>
      </c>
      <c r="B436" s="423" t="s">
        <v>4064</v>
      </c>
      <c r="C436" s="423" t="s">
        <v>486</v>
      </c>
      <c r="D436" s="423" t="s">
        <v>3891</v>
      </c>
      <c r="E436" s="423" t="s">
        <v>2818</v>
      </c>
      <c r="F436" s="423">
        <v>8</v>
      </c>
      <c r="G436" s="423">
        <v>12</v>
      </c>
      <c r="H436" s="423">
        <v>2500</v>
      </c>
      <c r="J436" s="423"/>
      <c r="K436" s="423"/>
      <c r="L436" s="423"/>
      <c r="M436" s="423"/>
      <c r="Q436" s="423"/>
      <c r="R436" s="424" t="s">
        <v>4064</v>
      </c>
      <c r="S436" s="424" t="s">
        <v>2846</v>
      </c>
      <c r="T436" s="424" t="s">
        <v>4065</v>
      </c>
      <c r="U436" s="424">
        <v>0</v>
      </c>
      <c r="V436" s="424" t="s">
        <v>486</v>
      </c>
      <c r="W436" s="424" t="s">
        <v>3982</v>
      </c>
      <c r="X436" s="424" t="s">
        <v>2224</v>
      </c>
      <c r="Y436" s="424" t="s">
        <v>3908</v>
      </c>
      <c r="Z436" s="424" t="s">
        <v>2889</v>
      </c>
      <c r="AA436" s="424" t="s">
        <v>2890</v>
      </c>
      <c r="AB436" s="424" t="s">
        <v>4047</v>
      </c>
      <c r="AC436" s="424" t="s">
        <v>3263</v>
      </c>
      <c r="AD436" s="424" t="s">
        <v>3985</v>
      </c>
      <c r="AE436" s="424" t="s">
        <v>4041</v>
      </c>
      <c r="AF436" s="424"/>
      <c r="AG436" s="424"/>
      <c r="AH436" s="424"/>
    </row>
    <row r="437" spans="1:34" x14ac:dyDescent="0.25">
      <c r="A437" s="423" t="s">
        <v>4037</v>
      </c>
      <c r="B437" s="423" t="s">
        <v>4066</v>
      </c>
      <c r="C437" s="423" t="s">
        <v>486</v>
      </c>
      <c r="D437" s="423" t="s">
        <v>3891</v>
      </c>
      <c r="E437" s="423" t="s">
        <v>2818</v>
      </c>
      <c r="F437" s="423">
        <v>12</v>
      </c>
      <c r="G437" s="423">
        <v>16</v>
      </c>
      <c r="H437" s="423">
        <v>200</v>
      </c>
      <c r="J437" s="423"/>
      <c r="K437" s="423"/>
      <c r="L437" s="423"/>
      <c r="M437" s="423"/>
      <c r="Q437" s="423"/>
      <c r="R437" s="424" t="s">
        <v>4066</v>
      </c>
      <c r="S437" s="424" t="s">
        <v>2846</v>
      </c>
      <c r="T437" s="424" t="s">
        <v>3906</v>
      </c>
      <c r="U437" s="424">
        <v>0</v>
      </c>
      <c r="V437" s="424" t="s">
        <v>486</v>
      </c>
      <c r="W437" s="424" t="s">
        <v>3982</v>
      </c>
      <c r="X437" s="424" t="s">
        <v>2224</v>
      </c>
      <c r="Y437" s="424" t="s">
        <v>3908</v>
      </c>
      <c r="Z437" s="424" t="s">
        <v>2889</v>
      </c>
      <c r="AA437" s="424" t="s">
        <v>2890</v>
      </c>
      <c r="AB437" s="424" t="s">
        <v>4047</v>
      </c>
      <c r="AC437" s="424" t="s">
        <v>3263</v>
      </c>
      <c r="AD437" s="424" t="s">
        <v>3985</v>
      </c>
      <c r="AE437" s="424" t="s">
        <v>4041</v>
      </c>
      <c r="AF437" s="424"/>
      <c r="AG437" s="424"/>
      <c r="AH437" s="424"/>
    </row>
    <row r="438" spans="1:34" x14ac:dyDescent="0.25">
      <c r="A438" s="423" t="s">
        <v>4037</v>
      </c>
      <c r="B438" s="423" t="s">
        <v>4067</v>
      </c>
      <c r="C438" s="423" t="s">
        <v>486</v>
      </c>
      <c r="D438" s="423" t="s">
        <v>3891</v>
      </c>
      <c r="E438" s="423" t="s">
        <v>2818</v>
      </c>
      <c r="F438" s="423">
        <v>8</v>
      </c>
      <c r="G438" s="423">
        <v>16</v>
      </c>
      <c r="H438" s="423">
        <v>200</v>
      </c>
      <c r="J438" s="423"/>
      <c r="K438" s="423"/>
      <c r="L438" s="423"/>
      <c r="M438" s="423"/>
      <c r="Q438" s="423"/>
      <c r="R438" s="424" t="s">
        <v>4067</v>
      </c>
      <c r="S438" s="424" t="s">
        <v>2846</v>
      </c>
      <c r="T438" s="424" t="s">
        <v>3906</v>
      </c>
      <c r="U438" s="424">
        <v>0</v>
      </c>
      <c r="V438" s="424" t="s">
        <v>486</v>
      </c>
      <c r="W438" s="424" t="s">
        <v>3982</v>
      </c>
      <c r="X438" s="424" t="s">
        <v>2224</v>
      </c>
      <c r="Y438" s="424" t="s">
        <v>3908</v>
      </c>
      <c r="Z438" s="424" t="s">
        <v>2889</v>
      </c>
      <c r="AA438" s="424" t="s">
        <v>2890</v>
      </c>
      <c r="AB438" s="424" t="s">
        <v>4049</v>
      </c>
      <c r="AC438" s="424" t="s">
        <v>3263</v>
      </c>
      <c r="AD438" s="424" t="s">
        <v>3985</v>
      </c>
      <c r="AE438" s="424" t="s">
        <v>4041</v>
      </c>
      <c r="AF438" s="424"/>
      <c r="AG438" s="424"/>
      <c r="AH438" s="424"/>
    </row>
    <row r="439" spans="1:34" x14ac:dyDescent="0.25">
      <c r="A439" s="423" t="s">
        <v>4037</v>
      </c>
      <c r="B439" s="423" t="s">
        <v>4068</v>
      </c>
      <c r="C439" s="423" t="s">
        <v>486</v>
      </c>
      <c r="D439" s="423" t="s">
        <v>3891</v>
      </c>
      <c r="E439" s="423" t="s">
        <v>2818</v>
      </c>
      <c r="F439" s="423">
        <v>12</v>
      </c>
      <c r="G439" s="423">
        <v>16</v>
      </c>
      <c r="H439" s="423">
        <v>200</v>
      </c>
      <c r="J439" s="423"/>
      <c r="K439" s="423"/>
      <c r="L439" s="423"/>
      <c r="M439" s="423"/>
      <c r="Q439" s="423"/>
      <c r="R439" s="424" t="s">
        <v>4068</v>
      </c>
      <c r="S439" s="424" t="s">
        <v>2846</v>
      </c>
      <c r="T439" s="424" t="s">
        <v>3906</v>
      </c>
      <c r="U439" s="424">
        <v>0</v>
      </c>
      <c r="V439" s="424" t="s">
        <v>486</v>
      </c>
      <c r="W439" s="424" t="s">
        <v>3982</v>
      </c>
      <c r="X439" s="424" t="s">
        <v>2224</v>
      </c>
      <c r="Y439" s="424" t="s">
        <v>3908</v>
      </c>
      <c r="Z439" s="424" t="s">
        <v>2889</v>
      </c>
      <c r="AA439" s="424" t="s">
        <v>2890</v>
      </c>
      <c r="AB439" s="424" t="s">
        <v>4049</v>
      </c>
      <c r="AC439" s="424" t="s">
        <v>3263</v>
      </c>
      <c r="AD439" s="424" t="s">
        <v>3985</v>
      </c>
      <c r="AE439" s="424" t="s">
        <v>4041</v>
      </c>
      <c r="AF439" s="424"/>
      <c r="AG439" s="424"/>
      <c r="AH439" s="424"/>
    </row>
    <row r="440" spans="1:34" x14ac:dyDescent="0.25">
      <c r="A440" s="423" t="s">
        <v>4037</v>
      </c>
      <c r="B440" s="423" t="s">
        <v>4069</v>
      </c>
      <c r="C440" s="423" t="s">
        <v>486</v>
      </c>
      <c r="D440" s="423" t="s">
        <v>3891</v>
      </c>
      <c r="E440" s="423" t="s">
        <v>2818</v>
      </c>
      <c r="F440" s="423">
        <v>16</v>
      </c>
      <c r="G440" s="423">
        <v>16</v>
      </c>
      <c r="H440" s="423">
        <v>200</v>
      </c>
      <c r="J440" s="423"/>
      <c r="K440" s="423"/>
      <c r="L440" s="423"/>
      <c r="M440" s="423"/>
      <c r="Q440" s="423"/>
      <c r="R440" s="424" t="s">
        <v>4069</v>
      </c>
      <c r="S440" s="424" t="s">
        <v>2846</v>
      </c>
      <c r="T440" s="424" t="s">
        <v>3906</v>
      </c>
      <c r="U440" s="424">
        <v>0</v>
      </c>
      <c r="V440" s="424" t="s">
        <v>486</v>
      </c>
      <c r="W440" s="424" t="s">
        <v>3982</v>
      </c>
      <c r="X440" s="424" t="s">
        <v>2224</v>
      </c>
      <c r="Y440" s="424" t="s">
        <v>3908</v>
      </c>
      <c r="Z440" s="424" t="s">
        <v>2889</v>
      </c>
      <c r="AA440" s="424" t="s">
        <v>2890</v>
      </c>
      <c r="AB440" s="424" t="s">
        <v>4060</v>
      </c>
      <c r="AC440" s="424" t="s">
        <v>3263</v>
      </c>
      <c r="AD440" s="424" t="s">
        <v>3985</v>
      </c>
      <c r="AE440" s="424" t="s">
        <v>4041</v>
      </c>
      <c r="AF440" s="424"/>
      <c r="AG440" s="424"/>
      <c r="AH440" s="424"/>
    </row>
    <row r="441" spans="1:34" x14ac:dyDescent="0.25">
      <c r="A441" s="423" t="s">
        <v>4037</v>
      </c>
      <c r="B441" s="423" t="s">
        <v>4070</v>
      </c>
      <c r="C441" s="423" t="s">
        <v>486</v>
      </c>
      <c r="D441" s="423" t="s">
        <v>3891</v>
      </c>
      <c r="E441" s="423" t="s">
        <v>2818</v>
      </c>
      <c r="F441" s="423">
        <v>8</v>
      </c>
      <c r="G441" s="423">
        <v>16</v>
      </c>
      <c r="H441" s="423">
        <v>200</v>
      </c>
      <c r="J441" s="423"/>
      <c r="K441" s="423"/>
      <c r="L441" s="423"/>
      <c r="M441" s="423"/>
      <c r="Q441" s="423"/>
      <c r="R441" s="424" t="s">
        <v>4070</v>
      </c>
      <c r="S441" s="424" t="s">
        <v>2846</v>
      </c>
      <c r="T441" s="424" t="s">
        <v>3906</v>
      </c>
      <c r="U441" s="424">
        <v>0</v>
      </c>
      <c r="V441" s="424" t="s">
        <v>486</v>
      </c>
      <c r="W441" s="424" t="s">
        <v>3982</v>
      </c>
      <c r="X441" s="424" t="s">
        <v>2224</v>
      </c>
      <c r="Y441" s="424" t="s">
        <v>3908</v>
      </c>
      <c r="Z441" s="424" t="s">
        <v>2889</v>
      </c>
      <c r="AA441" s="424" t="s">
        <v>2890</v>
      </c>
      <c r="AB441" s="424" t="s">
        <v>4063</v>
      </c>
      <c r="AC441" s="424" t="s">
        <v>3263</v>
      </c>
      <c r="AD441" s="424" t="s">
        <v>3985</v>
      </c>
      <c r="AE441" s="424" t="s">
        <v>4041</v>
      </c>
      <c r="AF441" s="424"/>
      <c r="AG441" s="424"/>
      <c r="AH441" s="424"/>
    </row>
    <row r="442" spans="1:34" x14ac:dyDescent="0.25">
      <c r="A442" s="423" t="s">
        <v>4037</v>
      </c>
      <c r="B442" s="423" t="s">
        <v>4071</v>
      </c>
      <c r="C442" s="423" t="s">
        <v>486</v>
      </c>
      <c r="D442" s="423" t="s">
        <v>3891</v>
      </c>
      <c r="E442" s="423" t="s">
        <v>2818</v>
      </c>
      <c r="F442" s="423">
        <v>4</v>
      </c>
      <c r="G442" s="423">
        <v>8</v>
      </c>
      <c r="H442" s="423">
        <v>200</v>
      </c>
      <c r="J442" s="423"/>
      <c r="K442" s="423"/>
      <c r="L442" s="423"/>
      <c r="M442" s="423"/>
      <c r="Q442" s="423"/>
      <c r="R442" s="424" t="s">
        <v>4071</v>
      </c>
      <c r="S442" s="424" t="s">
        <v>2846</v>
      </c>
      <c r="T442" s="424" t="s">
        <v>3906</v>
      </c>
      <c r="U442" s="424">
        <v>0</v>
      </c>
      <c r="V442" s="424" t="s">
        <v>486</v>
      </c>
      <c r="W442" s="424" t="s">
        <v>3982</v>
      </c>
      <c r="X442" s="424">
        <v>0</v>
      </c>
      <c r="Y442" s="424" t="s">
        <v>3908</v>
      </c>
      <c r="Z442" s="424" t="s">
        <v>2889</v>
      </c>
      <c r="AA442" s="424" t="s">
        <v>2890</v>
      </c>
      <c r="AB442" s="424" t="s">
        <v>4063</v>
      </c>
      <c r="AC442" s="424" t="s">
        <v>3263</v>
      </c>
      <c r="AD442" s="424" t="s">
        <v>3985</v>
      </c>
      <c r="AE442" s="424" t="s">
        <v>4041</v>
      </c>
      <c r="AF442" s="424"/>
      <c r="AG442" s="424"/>
      <c r="AH442" s="424"/>
    </row>
    <row r="443" spans="1:34" x14ac:dyDescent="0.25">
      <c r="A443" s="423" t="s">
        <v>4037</v>
      </c>
      <c r="B443" s="423" t="s">
        <v>4072</v>
      </c>
      <c r="C443" s="423" t="s">
        <v>486</v>
      </c>
      <c r="D443" s="423" t="s">
        <v>3891</v>
      </c>
      <c r="E443" s="423" t="s">
        <v>2818</v>
      </c>
      <c r="F443" s="423">
        <v>4</v>
      </c>
      <c r="G443" s="423">
        <v>8</v>
      </c>
      <c r="H443" s="423">
        <v>2500</v>
      </c>
      <c r="J443" s="423"/>
      <c r="K443" s="423"/>
      <c r="L443" s="423"/>
      <c r="M443" s="423"/>
      <c r="Q443" s="423"/>
      <c r="R443" s="424" t="s">
        <v>4072</v>
      </c>
      <c r="S443" s="424" t="s">
        <v>2846</v>
      </c>
      <c r="T443" s="424" t="s">
        <v>3906</v>
      </c>
      <c r="U443" s="424">
        <v>0</v>
      </c>
      <c r="V443" s="424" t="s">
        <v>486</v>
      </c>
      <c r="W443" s="424" t="s">
        <v>3982</v>
      </c>
      <c r="X443" s="424" t="s">
        <v>2224</v>
      </c>
      <c r="Y443" s="424" t="s">
        <v>3908</v>
      </c>
      <c r="Z443" s="424" t="s">
        <v>2889</v>
      </c>
      <c r="AA443" s="424" t="s">
        <v>2890</v>
      </c>
      <c r="AB443" s="424" t="s">
        <v>4063</v>
      </c>
      <c r="AC443" s="424" t="s">
        <v>3263</v>
      </c>
      <c r="AD443" s="424" t="s">
        <v>3985</v>
      </c>
      <c r="AE443" s="424" t="s">
        <v>4041</v>
      </c>
      <c r="AF443" s="424"/>
      <c r="AG443" s="424"/>
      <c r="AH443" s="424"/>
    </row>
    <row r="444" spans="1:34" x14ac:dyDescent="0.25">
      <c r="A444" s="423" t="s">
        <v>4037</v>
      </c>
      <c r="B444" s="423" t="s">
        <v>4073</v>
      </c>
      <c r="C444" s="423" t="s">
        <v>486</v>
      </c>
      <c r="D444" s="423" t="s">
        <v>3891</v>
      </c>
      <c r="E444" s="423" t="s">
        <v>2818</v>
      </c>
      <c r="F444" s="423">
        <v>8</v>
      </c>
      <c r="G444" s="423">
        <v>8</v>
      </c>
      <c r="H444" s="423">
        <v>200</v>
      </c>
      <c r="J444" s="423"/>
      <c r="K444" s="423"/>
      <c r="L444" s="423"/>
      <c r="M444" s="423"/>
      <c r="Q444" s="423"/>
      <c r="R444" s="424" t="s">
        <v>4073</v>
      </c>
      <c r="S444" s="424" t="s">
        <v>2846</v>
      </c>
      <c r="T444" s="424" t="s">
        <v>3906</v>
      </c>
      <c r="U444" s="424">
        <v>0</v>
      </c>
      <c r="V444" s="424" t="s">
        <v>4043</v>
      </c>
      <c r="W444" s="424" t="s">
        <v>3982</v>
      </c>
      <c r="X444" s="424" t="s">
        <v>2224</v>
      </c>
      <c r="Y444" s="424" t="s">
        <v>3908</v>
      </c>
      <c r="Z444" s="424" t="s">
        <v>2889</v>
      </c>
      <c r="AA444" s="424" t="s">
        <v>2890</v>
      </c>
      <c r="AB444" s="424" t="s">
        <v>4060</v>
      </c>
      <c r="AC444" s="424" t="s">
        <v>3263</v>
      </c>
      <c r="AD444" s="424" t="s">
        <v>3985</v>
      </c>
      <c r="AE444" s="424" t="s">
        <v>4041</v>
      </c>
      <c r="AF444" s="424"/>
      <c r="AG444" s="424"/>
      <c r="AH444" s="424"/>
    </row>
    <row r="445" spans="1:34" x14ac:dyDescent="0.25">
      <c r="A445" s="423" t="s">
        <v>4037</v>
      </c>
      <c r="B445" s="423" t="s">
        <v>4074</v>
      </c>
      <c r="C445" s="423" t="s">
        <v>486</v>
      </c>
      <c r="D445" s="423" t="s">
        <v>3891</v>
      </c>
      <c r="E445" s="423" t="s">
        <v>2818</v>
      </c>
      <c r="F445" s="423">
        <v>8</v>
      </c>
      <c r="G445" s="423">
        <v>16</v>
      </c>
      <c r="H445" s="423">
        <v>200</v>
      </c>
      <c r="J445" s="423"/>
      <c r="K445" s="423"/>
      <c r="L445" s="423"/>
      <c r="M445" s="423"/>
      <c r="Q445" s="423"/>
      <c r="R445" s="424" t="s">
        <v>4074</v>
      </c>
      <c r="S445" s="424" t="s">
        <v>2846</v>
      </c>
      <c r="T445" s="424" t="s">
        <v>3906</v>
      </c>
      <c r="U445" s="424">
        <v>0</v>
      </c>
      <c r="V445" s="424" t="s">
        <v>4043</v>
      </c>
      <c r="W445" s="424" t="s">
        <v>3982</v>
      </c>
      <c r="X445" s="424" t="s">
        <v>2224</v>
      </c>
      <c r="Y445" s="424" t="s">
        <v>3908</v>
      </c>
      <c r="Z445" s="424" t="s">
        <v>2889</v>
      </c>
      <c r="AA445" s="424" t="s">
        <v>3311</v>
      </c>
      <c r="AB445" s="424" t="s">
        <v>4040</v>
      </c>
      <c r="AC445" s="424" t="s">
        <v>3263</v>
      </c>
      <c r="AD445" s="424" t="s">
        <v>3985</v>
      </c>
      <c r="AE445" s="424" t="s">
        <v>4041</v>
      </c>
      <c r="AF445" s="424"/>
      <c r="AG445" s="424"/>
      <c r="AH445" s="424"/>
    </row>
    <row r="446" spans="1:34" x14ac:dyDescent="0.25">
      <c r="A446" s="423" t="s">
        <v>4075</v>
      </c>
      <c r="B446" s="423" t="s">
        <v>4076</v>
      </c>
      <c r="C446" s="423" t="s">
        <v>486</v>
      </c>
      <c r="D446" s="423" t="s">
        <v>3891</v>
      </c>
      <c r="E446" s="423" t="s">
        <v>2818</v>
      </c>
      <c r="F446" s="423">
        <v>32</v>
      </c>
      <c r="G446" s="423">
        <v>35</v>
      </c>
      <c r="H446" s="423">
        <v>3000</v>
      </c>
      <c r="J446" s="423"/>
      <c r="K446" s="423"/>
      <c r="L446" s="423"/>
      <c r="M446" s="423"/>
      <c r="Q446" s="423"/>
      <c r="R446" s="424" t="s">
        <v>4077</v>
      </c>
      <c r="S446" s="424" t="s">
        <v>2846</v>
      </c>
      <c r="T446" s="424" t="s">
        <v>2870</v>
      </c>
      <c r="U446" s="424">
        <v>0</v>
      </c>
      <c r="V446" s="424" t="s">
        <v>486</v>
      </c>
      <c r="W446" s="424" t="s">
        <v>2924</v>
      </c>
      <c r="X446" s="424">
        <v>0</v>
      </c>
      <c r="Y446" s="424" t="s">
        <v>2279</v>
      </c>
      <c r="Z446" s="424" t="s">
        <v>2872</v>
      </c>
      <c r="AA446" s="424" t="s">
        <v>2873</v>
      </c>
      <c r="AB446" s="424" t="s">
        <v>4078</v>
      </c>
      <c r="AC446" s="424" t="s">
        <v>1953</v>
      </c>
      <c r="AD446" s="424" t="s">
        <v>2875</v>
      </c>
      <c r="AE446" s="424" t="s">
        <v>3696</v>
      </c>
      <c r="AF446" s="424"/>
      <c r="AG446" s="424"/>
      <c r="AH446" s="424"/>
    </row>
    <row r="447" spans="1:34" x14ac:dyDescent="0.25">
      <c r="A447" s="423" t="s">
        <v>4075</v>
      </c>
      <c r="B447" s="423" t="s">
        <v>4079</v>
      </c>
      <c r="C447" s="423" t="s">
        <v>486</v>
      </c>
      <c r="D447" s="423" t="s">
        <v>3891</v>
      </c>
      <c r="E447" s="423" t="s">
        <v>2818</v>
      </c>
      <c r="F447" s="423">
        <v>32</v>
      </c>
      <c r="G447" s="423">
        <v>35</v>
      </c>
      <c r="H447" s="423">
        <v>3000</v>
      </c>
      <c r="J447" s="423"/>
      <c r="K447" s="423"/>
      <c r="L447" s="423"/>
      <c r="M447" s="423"/>
      <c r="Q447" s="423"/>
      <c r="R447" s="424" t="s">
        <v>4080</v>
      </c>
      <c r="S447" s="424" t="s">
        <v>2846</v>
      </c>
      <c r="T447" s="424" t="s">
        <v>2870</v>
      </c>
      <c r="U447" s="424">
        <v>0</v>
      </c>
      <c r="V447" s="424" t="s">
        <v>486</v>
      </c>
      <c r="W447" s="424" t="s">
        <v>2871</v>
      </c>
      <c r="X447" s="424">
        <v>0</v>
      </c>
      <c r="Y447" s="424" t="s">
        <v>2279</v>
      </c>
      <c r="Z447" s="424" t="s">
        <v>2872</v>
      </c>
      <c r="AA447" s="424" t="s">
        <v>2873</v>
      </c>
      <c r="AB447" s="424" t="s">
        <v>4081</v>
      </c>
      <c r="AC447" s="424" t="s">
        <v>1953</v>
      </c>
      <c r="AD447" s="424" t="s">
        <v>2875</v>
      </c>
      <c r="AE447" s="424" t="s">
        <v>3700</v>
      </c>
      <c r="AF447" s="424"/>
      <c r="AG447" s="424"/>
      <c r="AH447" s="424"/>
    </row>
    <row r="448" spans="1:34" x14ac:dyDescent="0.25">
      <c r="A448" s="423" t="s">
        <v>4075</v>
      </c>
      <c r="B448" s="423" t="s">
        <v>4082</v>
      </c>
      <c r="C448" s="423" t="s">
        <v>486</v>
      </c>
      <c r="D448" s="423" t="s">
        <v>3891</v>
      </c>
      <c r="E448" s="423" t="s">
        <v>2818</v>
      </c>
      <c r="F448" s="423">
        <v>32</v>
      </c>
      <c r="G448" s="423">
        <v>35</v>
      </c>
      <c r="H448" s="423">
        <v>3000</v>
      </c>
      <c r="J448" s="423"/>
      <c r="K448" s="423"/>
      <c r="L448" s="423"/>
      <c r="M448" s="423"/>
      <c r="Q448" s="423"/>
      <c r="R448" s="424" t="s">
        <v>4083</v>
      </c>
      <c r="S448" s="424" t="s">
        <v>2846</v>
      </c>
      <c r="T448" s="424" t="s">
        <v>2870</v>
      </c>
      <c r="U448" s="424">
        <v>0</v>
      </c>
      <c r="V448" s="424" t="s">
        <v>486</v>
      </c>
      <c r="W448" s="424" t="s">
        <v>2924</v>
      </c>
      <c r="X448" s="424">
        <v>0</v>
      </c>
      <c r="Y448" s="424" t="s">
        <v>2279</v>
      </c>
      <c r="Z448" s="424" t="s">
        <v>2889</v>
      </c>
      <c r="AA448" s="424" t="s">
        <v>3703</v>
      </c>
      <c r="AB448" s="424" t="s">
        <v>4084</v>
      </c>
      <c r="AC448" s="424" t="s">
        <v>1953</v>
      </c>
      <c r="AD448" s="424" t="s">
        <v>2875</v>
      </c>
      <c r="AE448" s="424" t="s">
        <v>4085</v>
      </c>
      <c r="AF448" s="424"/>
      <c r="AG448" s="424"/>
      <c r="AH448" s="424"/>
    </row>
    <row r="449" spans="1:34" x14ac:dyDescent="0.25">
      <c r="A449" s="423" t="s">
        <v>4075</v>
      </c>
      <c r="B449" s="423" t="s">
        <v>4086</v>
      </c>
      <c r="C449" s="423" t="s">
        <v>486</v>
      </c>
      <c r="D449" s="423" t="s">
        <v>3891</v>
      </c>
      <c r="E449" s="423" t="s">
        <v>2818</v>
      </c>
      <c r="F449" s="423">
        <v>32</v>
      </c>
      <c r="G449" s="423">
        <v>35</v>
      </c>
      <c r="H449" s="423">
        <v>3000</v>
      </c>
      <c r="J449" s="423"/>
      <c r="K449" s="423"/>
      <c r="L449" s="423"/>
      <c r="M449" s="423"/>
      <c r="Q449" s="423"/>
      <c r="R449" s="424" t="s">
        <v>4087</v>
      </c>
      <c r="S449" s="424" t="s">
        <v>2846</v>
      </c>
      <c r="T449" s="424" t="s">
        <v>2870</v>
      </c>
      <c r="U449" s="424">
        <v>0</v>
      </c>
      <c r="V449" s="424" t="s">
        <v>486</v>
      </c>
      <c r="W449" s="424" t="s">
        <v>2871</v>
      </c>
      <c r="X449" s="424">
        <v>0</v>
      </c>
      <c r="Y449" s="424" t="s">
        <v>2279</v>
      </c>
      <c r="Z449" s="424" t="s">
        <v>2889</v>
      </c>
      <c r="AA449" s="424" t="s">
        <v>3703</v>
      </c>
      <c r="AB449" s="424" t="s">
        <v>4088</v>
      </c>
      <c r="AC449" s="424" t="s">
        <v>1953</v>
      </c>
      <c r="AD449" s="424" t="s">
        <v>2875</v>
      </c>
      <c r="AE449" s="424" t="s">
        <v>3709</v>
      </c>
      <c r="AF449" s="424"/>
      <c r="AG449" s="424"/>
      <c r="AH449" s="424"/>
    </row>
    <row r="450" spans="1:34" x14ac:dyDescent="0.25">
      <c r="A450" s="423" t="s">
        <v>4075</v>
      </c>
      <c r="B450" s="423" t="s">
        <v>4089</v>
      </c>
      <c r="C450" s="423" t="s">
        <v>486</v>
      </c>
      <c r="D450" s="423" t="s">
        <v>3891</v>
      </c>
      <c r="E450" s="423" t="s">
        <v>2818</v>
      </c>
      <c r="F450" s="423">
        <v>32</v>
      </c>
      <c r="G450" s="423">
        <v>35</v>
      </c>
      <c r="H450" s="423">
        <v>3000</v>
      </c>
      <c r="J450" s="423"/>
      <c r="K450" s="423"/>
      <c r="L450" s="423"/>
      <c r="M450" s="423"/>
      <c r="Q450" s="423"/>
      <c r="R450" s="424" t="s">
        <v>4090</v>
      </c>
      <c r="S450" s="424" t="s">
        <v>2846</v>
      </c>
      <c r="T450" s="424" t="s">
        <v>2870</v>
      </c>
      <c r="U450" s="424">
        <v>0</v>
      </c>
      <c r="V450" s="424" t="s">
        <v>486</v>
      </c>
      <c r="W450" s="424" t="s">
        <v>2871</v>
      </c>
      <c r="X450" s="424">
        <v>0</v>
      </c>
      <c r="Y450" s="424" t="s">
        <v>2279</v>
      </c>
      <c r="Z450" s="424" t="s">
        <v>2889</v>
      </c>
      <c r="AA450" s="424" t="s">
        <v>3703</v>
      </c>
      <c r="AB450" s="424" t="s">
        <v>4091</v>
      </c>
      <c r="AC450" s="424" t="s">
        <v>1953</v>
      </c>
      <c r="AD450" s="424" t="s">
        <v>2875</v>
      </c>
      <c r="AE450" s="424" t="s">
        <v>3709</v>
      </c>
      <c r="AF450" s="424"/>
      <c r="AG450" s="424"/>
      <c r="AH450" s="424"/>
    </row>
    <row r="451" spans="1:34" x14ac:dyDescent="0.25">
      <c r="A451" s="423" t="s">
        <v>4075</v>
      </c>
      <c r="B451" s="423" t="s">
        <v>4092</v>
      </c>
      <c r="C451" s="423" t="s">
        <v>486</v>
      </c>
      <c r="D451" s="423" t="s">
        <v>3891</v>
      </c>
      <c r="E451" s="423" t="s">
        <v>2818</v>
      </c>
      <c r="F451" s="423">
        <v>6</v>
      </c>
      <c r="G451" s="423">
        <v>33</v>
      </c>
      <c r="H451" s="423">
        <v>900</v>
      </c>
      <c r="J451" s="423"/>
      <c r="K451" s="423"/>
      <c r="L451" s="423"/>
      <c r="M451" s="423"/>
      <c r="Q451" s="423"/>
      <c r="R451" s="424" t="s">
        <v>4093</v>
      </c>
      <c r="S451" s="424" t="s">
        <v>2846</v>
      </c>
      <c r="T451" s="424" t="s">
        <v>2870</v>
      </c>
      <c r="U451" s="424">
        <v>0</v>
      </c>
      <c r="V451" s="424" t="s">
        <v>486</v>
      </c>
      <c r="W451" s="424" t="s">
        <v>2924</v>
      </c>
      <c r="X451" s="424">
        <v>0</v>
      </c>
      <c r="Y451" s="424" t="s">
        <v>2279</v>
      </c>
      <c r="Z451" s="424" t="s">
        <v>2872</v>
      </c>
      <c r="AA451" s="424" t="s">
        <v>2873</v>
      </c>
      <c r="AB451" s="424" t="s">
        <v>4078</v>
      </c>
      <c r="AC451" s="424" t="s">
        <v>1953</v>
      </c>
      <c r="AD451" s="424" t="s">
        <v>2875</v>
      </c>
      <c r="AE451" s="424" t="s">
        <v>3696</v>
      </c>
      <c r="AF451" s="424"/>
      <c r="AG451" s="424"/>
      <c r="AH451" s="424"/>
    </row>
    <row r="452" spans="1:34" x14ac:dyDescent="0.25">
      <c r="A452" s="423" t="s">
        <v>4075</v>
      </c>
      <c r="B452" s="423" t="s">
        <v>4094</v>
      </c>
      <c r="C452" s="423" t="s">
        <v>486</v>
      </c>
      <c r="D452" s="423" t="s">
        <v>3891</v>
      </c>
      <c r="E452" s="423" t="s">
        <v>2818</v>
      </c>
      <c r="F452" s="423">
        <v>6</v>
      </c>
      <c r="G452" s="423">
        <v>33</v>
      </c>
      <c r="H452" s="423">
        <v>900</v>
      </c>
      <c r="J452" s="423"/>
      <c r="K452" s="423"/>
      <c r="L452" s="423"/>
      <c r="M452" s="423"/>
      <c r="Q452" s="423"/>
      <c r="R452" s="424" t="s">
        <v>4095</v>
      </c>
      <c r="S452" s="424" t="s">
        <v>2846</v>
      </c>
      <c r="T452" s="424" t="s">
        <v>2870</v>
      </c>
      <c r="U452" s="424">
        <v>0</v>
      </c>
      <c r="V452" s="424" t="s">
        <v>486</v>
      </c>
      <c r="W452" s="424" t="s">
        <v>2871</v>
      </c>
      <c r="X452" s="424">
        <v>0</v>
      </c>
      <c r="Y452" s="424" t="s">
        <v>2279</v>
      </c>
      <c r="Z452" s="424" t="s">
        <v>2872</v>
      </c>
      <c r="AA452" s="424" t="s">
        <v>2873</v>
      </c>
      <c r="AB452" s="424" t="s">
        <v>4096</v>
      </c>
      <c r="AC452" s="424" t="s">
        <v>1953</v>
      </c>
      <c r="AD452" s="424" t="s">
        <v>2875</v>
      </c>
      <c r="AE452" s="424" t="s">
        <v>4097</v>
      </c>
      <c r="AF452" s="424"/>
      <c r="AG452" s="424"/>
      <c r="AH452" s="424"/>
    </row>
    <row r="453" spans="1:34" x14ac:dyDescent="0.25">
      <c r="A453" s="423" t="s">
        <v>4075</v>
      </c>
      <c r="B453" s="423" t="s">
        <v>4098</v>
      </c>
      <c r="C453" s="423" t="s">
        <v>486</v>
      </c>
      <c r="D453" s="423" t="s">
        <v>3891</v>
      </c>
      <c r="E453" s="423" t="s">
        <v>2818</v>
      </c>
      <c r="F453" s="423">
        <v>6</v>
      </c>
      <c r="G453" s="423">
        <v>33</v>
      </c>
      <c r="H453" s="423">
        <v>900</v>
      </c>
      <c r="J453" s="423"/>
      <c r="K453" s="423"/>
      <c r="L453" s="423"/>
      <c r="M453" s="423"/>
      <c r="Q453" s="423"/>
      <c r="R453" s="424" t="s">
        <v>4099</v>
      </c>
      <c r="S453" s="424" t="s">
        <v>2846</v>
      </c>
      <c r="T453" s="424" t="s">
        <v>2870</v>
      </c>
      <c r="U453" s="424">
        <v>0</v>
      </c>
      <c r="V453" s="424" t="s">
        <v>486</v>
      </c>
      <c r="W453" s="424" t="s">
        <v>2924</v>
      </c>
      <c r="X453" s="424">
        <v>0</v>
      </c>
      <c r="Y453" s="424" t="s">
        <v>2279</v>
      </c>
      <c r="Z453" s="424" t="s">
        <v>2889</v>
      </c>
      <c r="AA453" s="424" t="s">
        <v>3703</v>
      </c>
      <c r="AB453" s="424" t="s">
        <v>4100</v>
      </c>
      <c r="AC453" s="424" t="s">
        <v>1953</v>
      </c>
      <c r="AD453" s="424" t="s">
        <v>2875</v>
      </c>
      <c r="AE453" s="424" t="s">
        <v>3705</v>
      </c>
      <c r="AF453" s="424"/>
      <c r="AG453" s="424"/>
      <c r="AH453" s="424"/>
    </row>
    <row r="454" spans="1:34" x14ac:dyDescent="0.25">
      <c r="A454" s="423" t="s">
        <v>4075</v>
      </c>
      <c r="B454" s="423" t="s">
        <v>4101</v>
      </c>
      <c r="C454" s="423" t="s">
        <v>486</v>
      </c>
      <c r="D454" s="423" t="s">
        <v>3891</v>
      </c>
      <c r="E454" s="423" t="s">
        <v>2818</v>
      </c>
      <c r="F454" s="423">
        <v>96</v>
      </c>
      <c r="G454" s="423">
        <v>256</v>
      </c>
      <c r="H454" s="423">
        <v>3500</v>
      </c>
      <c r="J454" s="423"/>
      <c r="K454" s="423"/>
      <c r="L454" s="423"/>
      <c r="M454" s="423"/>
      <c r="Q454" s="423"/>
      <c r="R454" s="424" t="s">
        <v>4101</v>
      </c>
      <c r="S454" s="424" t="s">
        <v>2820</v>
      </c>
      <c r="T454" s="424" t="s">
        <v>4102</v>
      </c>
      <c r="U454" s="424">
        <v>0</v>
      </c>
      <c r="V454" s="424" t="s">
        <v>213</v>
      </c>
      <c r="W454" s="424" t="s">
        <v>2824</v>
      </c>
      <c r="X454" s="424">
        <v>0</v>
      </c>
      <c r="Y454" s="424" t="s">
        <v>2279</v>
      </c>
      <c r="Z454" s="424" t="s">
        <v>2889</v>
      </c>
      <c r="AA454" s="424" t="s">
        <v>3703</v>
      </c>
      <c r="AB454" s="424" t="s">
        <v>4103</v>
      </c>
      <c r="AC454" s="424" t="s">
        <v>1953</v>
      </c>
      <c r="AD454" s="424" t="s">
        <v>2875</v>
      </c>
      <c r="AE454" s="424" t="s">
        <v>4104</v>
      </c>
      <c r="AF454" s="424"/>
      <c r="AG454" s="424"/>
      <c r="AH454" s="424"/>
    </row>
    <row r="455" spans="1:34" x14ac:dyDescent="0.25">
      <c r="A455" s="423" t="s">
        <v>4075</v>
      </c>
      <c r="B455" s="423" t="s">
        <v>4105</v>
      </c>
      <c r="C455" s="423" t="s">
        <v>486</v>
      </c>
      <c r="D455" s="423" t="s">
        <v>3891</v>
      </c>
      <c r="E455" s="423" t="s">
        <v>2818</v>
      </c>
      <c r="F455" s="423">
        <v>96</v>
      </c>
      <c r="G455" s="423">
        <v>256</v>
      </c>
      <c r="H455" s="423">
        <v>3500</v>
      </c>
      <c r="J455" s="423"/>
      <c r="K455" s="423"/>
      <c r="L455" s="423"/>
      <c r="M455" s="423"/>
      <c r="Q455" s="423"/>
      <c r="R455" s="424" t="s">
        <v>4105</v>
      </c>
      <c r="S455" s="424" t="s">
        <v>2820</v>
      </c>
      <c r="T455" s="424" t="s">
        <v>4102</v>
      </c>
      <c r="U455" s="424">
        <v>0</v>
      </c>
      <c r="V455" s="424" t="s">
        <v>213</v>
      </c>
      <c r="W455" s="424" t="s">
        <v>2824</v>
      </c>
      <c r="X455" s="424">
        <v>0</v>
      </c>
      <c r="Y455" s="424" t="s">
        <v>2279</v>
      </c>
      <c r="Z455" s="424" t="s">
        <v>2889</v>
      </c>
      <c r="AA455" s="424" t="s">
        <v>3703</v>
      </c>
      <c r="AB455" s="424" t="s">
        <v>4106</v>
      </c>
      <c r="AC455" s="424" t="s">
        <v>1953</v>
      </c>
      <c r="AD455" s="424" t="s">
        <v>2875</v>
      </c>
      <c r="AE455" s="424" t="s">
        <v>4107</v>
      </c>
      <c r="AF455" s="424"/>
      <c r="AG455" s="424"/>
      <c r="AH455" s="424"/>
    </row>
    <row r="456" spans="1:34" x14ac:dyDescent="0.25">
      <c r="A456" s="423" t="s">
        <v>4075</v>
      </c>
      <c r="B456" s="423" t="s">
        <v>4108</v>
      </c>
      <c r="C456" s="423" t="s">
        <v>486</v>
      </c>
      <c r="D456" s="423" t="s">
        <v>3891</v>
      </c>
      <c r="E456" s="423" t="s">
        <v>2818</v>
      </c>
      <c r="F456" s="423">
        <v>96</v>
      </c>
      <c r="G456" s="423">
        <v>256</v>
      </c>
      <c r="H456" s="423">
        <v>3500</v>
      </c>
      <c r="J456" s="423"/>
      <c r="K456" s="423"/>
      <c r="L456" s="423"/>
      <c r="M456" s="423"/>
      <c r="Q456" s="423"/>
      <c r="R456" s="424" t="s">
        <v>4108</v>
      </c>
      <c r="S456" s="424" t="s">
        <v>2820</v>
      </c>
      <c r="T456" s="424" t="s">
        <v>4102</v>
      </c>
      <c r="U456" s="424">
        <v>0</v>
      </c>
      <c r="V456" s="424" t="s">
        <v>213</v>
      </c>
      <c r="W456" s="424" t="s">
        <v>2824</v>
      </c>
      <c r="X456" s="424">
        <v>0</v>
      </c>
      <c r="Y456" s="424" t="s">
        <v>2279</v>
      </c>
      <c r="Z456" s="424" t="s">
        <v>2889</v>
      </c>
      <c r="AA456" s="424" t="s">
        <v>3703</v>
      </c>
      <c r="AB456" s="424" t="s">
        <v>4109</v>
      </c>
      <c r="AC456" s="424" t="s">
        <v>1953</v>
      </c>
      <c r="AD456" s="424" t="s">
        <v>2875</v>
      </c>
      <c r="AE456" s="424" t="s">
        <v>4104</v>
      </c>
      <c r="AF456" s="424"/>
      <c r="AG456" s="424"/>
      <c r="AH456" s="424"/>
    </row>
    <row r="457" spans="1:34" x14ac:dyDescent="0.25">
      <c r="A457" s="423" t="s">
        <v>4075</v>
      </c>
      <c r="B457" s="423" t="s">
        <v>4110</v>
      </c>
      <c r="C457" s="423" t="s">
        <v>486</v>
      </c>
      <c r="D457" s="423" t="s">
        <v>3891</v>
      </c>
      <c r="E457" s="423" t="s">
        <v>2818</v>
      </c>
      <c r="F457" s="423">
        <v>96</v>
      </c>
      <c r="G457" s="423">
        <v>256</v>
      </c>
      <c r="H457" s="423">
        <v>3500</v>
      </c>
      <c r="J457" s="423"/>
      <c r="K457" s="423"/>
      <c r="L457" s="423"/>
      <c r="M457" s="423"/>
      <c r="Q457" s="423"/>
      <c r="R457" s="424" t="s">
        <v>4110</v>
      </c>
      <c r="S457" s="424" t="s">
        <v>2820</v>
      </c>
      <c r="T457" s="424" t="s">
        <v>4102</v>
      </c>
      <c r="U457" s="424">
        <v>0</v>
      </c>
      <c r="V457" s="424" t="s">
        <v>213</v>
      </c>
      <c r="W457" s="424" t="s">
        <v>2824</v>
      </c>
      <c r="X457" s="424">
        <v>0</v>
      </c>
      <c r="Y457" s="424" t="s">
        <v>2279</v>
      </c>
      <c r="Z457" s="424" t="s">
        <v>2889</v>
      </c>
      <c r="AA457" s="424" t="s">
        <v>3703</v>
      </c>
      <c r="AB457" s="424" t="s">
        <v>4111</v>
      </c>
      <c r="AC457" s="424" t="s">
        <v>1953</v>
      </c>
      <c r="AD457" s="424" t="s">
        <v>2875</v>
      </c>
      <c r="AE457" s="424" t="s">
        <v>4107</v>
      </c>
      <c r="AF457" s="424"/>
      <c r="AG457" s="424"/>
      <c r="AH457" s="424"/>
    </row>
    <row r="458" spans="1:34" x14ac:dyDescent="0.25">
      <c r="A458" s="423" t="s">
        <v>4075</v>
      </c>
      <c r="B458" s="423" t="s">
        <v>4112</v>
      </c>
      <c r="C458" s="423" t="s">
        <v>486</v>
      </c>
      <c r="D458" s="423" t="s">
        <v>3891</v>
      </c>
      <c r="E458" s="423" t="s">
        <v>2818</v>
      </c>
      <c r="F458" s="423">
        <v>96</v>
      </c>
      <c r="G458" s="423">
        <v>256</v>
      </c>
      <c r="H458" s="423">
        <v>3500</v>
      </c>
      <c r="J458" s="423"/>
      <c r="K458" s="423"/>
      <c r="L458" s="423"/>
      <c r="M458" s="423"/>
      <c r="Q458" s="423"/>
      <c r="R458" s="424" t="s">
        <v>4112</v>
      </c>
      <c r="S458" s="424" t="s">
        <v>2820</v>
      </c>
      <c r="T458" s="424" t="s">
        <v>4102</v>
      </c>
      <c r="U458" s="424">
        <v>0</v>
      </c>
      <c r="V458" s="424" t="s">
        <v>213</v>
      </c>
      <c r="W458" s="424" t="s">
        <v>2824</v>
      </c>
      <c r="X458" s="424">
        <v>0</v>
      </c>
      <c r="Y458" s="424" t="s">
        <v>2279</v>
      </c>
      <c r="Z458" s="424" t="s">
        <v>2889</v>
      </c>
      <c r="AA458" s="424" t="s">
        <v>3703</v>
      </c>
      <c r="AB458" s="424" t="s">
        <v>4113</v>
      </c>
      <c r="AC458" s="424" t="s">
        <v>1953</v>
      </c>
      <c r="AD458" s="424" t="s">
        <v>2875</v>
      </c>
      <c r="AE458" s="424" t="s">
        <v>4104</v>
      </c>
      <c r="AF458" s="424"/>
      <c r="AG458" s="424"/>
      <c r="AH458" s="424"/>
    </row>
    <row r="459" spans="1:34" x14ac:dyDescent="0.25">
      <c r="A459" s="423" t="s">
        <v>4075</v>
      </c>
      <c r="B459" s="423" t="s">
        <v>4114</v>
      </c>
      <c r="C459" s="423" t="s">
        <v>486</v>
      </c>
      <c r="D459" s="423" t="s">
        <v>3891</v>
      </c>
      <c r="E459" s="423" t="s">
        <v>2818</v>
      </c>
      <c r="F459" s="423">
        <v>96</v>
      </c>
      <c r="G459" s="423">
        <v>256</v>
      </c>
      <c r="H459" s="423">
        <v>3500</v>
      </c>
      <c r="J459" s="423"/>
      <c r="K459" s="423"/>
      <c r="L459" s="423"/>
      <c r="M459" s="423"/>
      <c r="Q459" s="423"/>
      <c r="R459" s="424" t="s">
        <v>4114</v>
      </c>
      <c r="S459" s="424" t="s">
        <v>2820</v>
      </c>
      <c r="T459" s="424" t="s">
        <v>4102</v>
      </c>
      <c r="U459" s="424">
        <v>0</v>
      </c>
      <c r="V459" s="424" t="s">
        <v>213</v>
      </c>
      <c r="W459" s="424" t="s">
        <v>2824</v>
      </c>
      <c r="X459" s="424">
        <v>0</v>
      </c>
      <c r="Y459" s="424" t="s">
        <v>2279</v>
      </c>
      <c r="Z459" s="424" t="s">
        <v>2889</v>
      </c>
      <c r="AA459" s="424" t="s">
        <v>3703</v>
      </c>
      <c r="AB459" s="424" t="s">
        <v>4115</v>
      </c>
      <c r="AC459" s="424" t="s">
        <v>1953</v>
      </c>
      <c r="AD459" s="424" t="s">
        <v>2875</v>
      </c>
      <c r="AE459" s="424" t="s">
        <v>4107</v>
      </c>
      <c r="AF459" s="424"/>
      <c r="AG459" s="424"/>
      <c r="AH459" s="424"/>
    </row>
    <row r="460" spans="1:34" x14ac:dyDescent="0.25">
      <c r="A460" s="423" t="s">
        <v>4075</v>
      </c>
      <c r="B460" s="423" t="s">
        <v>4116</v>
      </c>
      <c r="C460" s="423" t="s">
        <v>486</v>
      </c>
      <c r="D460" s="423" t="s">
        <v>3891</v>
      </c>
      <c r="E460" s="423" t="s">
        <v>2818</v>
      </c>
      <c r="F460" s="423">
        <v>96</v>
      </c>
      <c r="G460" s="423">
        <v>256</v>
      </c>
      <c r="H460" s="423">
        <v>3500</v>
      </c>
      <c r="J460" s="423"/>
      <c r="K460" s="423"/>
      <c r="L460" s="423"/>
      <c r="M460" s="423"/>
      <c r="Q460" s="423"/>
      <c r="R460" s="424" t="s">
        <v>4116</v>
      </c>
      <c r="S460" s="424" t="s">
        <v>2820</v>
      </c>
      <c r="T460" s="424" t="s">
        <v>4102</v>
      </c>
      <c r="U460" s="424">
        <v>0</v>
      </c>
      <c r="V460" s="424" t="s">
        <v>213</v>
      </c>
      <c r="W460" s="424" t="s">
        <v>2824</v>
      </c>
      <c r="X460" s="424">
        <v>0</v>
      </c>
      <c r="Y460" s="424" t="s">
        <v>2279</v>
      </c>
      <c r="Z460" s="424" t="s">
        <v>2889</v>
      </c>
      <c r="AA460" s="424" t="s">
        <v>3703</v>
      </c>
      <c r="AB460" s="424" t="s">
        <v>4117</v>
      </c>
      <c r="AC460" s="424" t="s">
        <v>1953</v>
      </c>
      <c r="AD460" s="424" t="s">
        <v>2875</v>
      </c>
      <c r="AE460" s="424" t="s">
        <v>4104</v>
      </c>
      <c r="AF460" s="424"/>
      <c r="AG460" s="424"/>
      <c r="AH460" s="424"/>
    </row>
    <row r="461" spans="1:34" x14ac:dyDescent="0.25">
      <c r="A461" s="423" t="s">
        <v>4075</v>
      </c>
      <c r="B461" s="423" t="s">
        <v>4118</v>
      </c>
      <c r="C461" s="423" t="s">
        <v>486</v>
      </c>
      <c r="D461" s="423" t="s">
        <v>3891</v>
      </c>
      <c r="E461" s="423" t="s">
        <v>2818</v>
      </c>
      <c r="F461" s="423">
        <v>96</v>
      </c>
      <c r="G461" s="423">
        <v>256</v>
      </c>
      <c r="H461" s="423">
        <v>3500</v>
      </c>
      <c r="J461" s="423"/>
      <c r="K461" s="423"/>
      <c r="L461" s="423"/>
      <c r="M461" s="423"/>
      <c r="Q461" s="423"/>
      <c r="R461" s="424" t="s">
        <v>4118</v>
      </c>
      <c r="S461" s="424" t="s">
        <v>2820</v>
      </c>
      <c r="T461" s="424" t="s">
        <v>4102</v>
      </c>
      <c r="U461" s="424">
        <v>0</v>
      </c>
      <c r="V461" s="424" t="s">
        <v>213</v>
      </c>
      <c r="W461" s="424" t="s">
        <v>2824</v>
      </c>
      <c r="X461" s="424">
        <v>0</v>
      </c>
      <c r="Y461" s="424" t="s">
        <v>2279</v>
      </c>
      <c r="Z461" s="424" t="s">
        <v>2889</v>
      </c>
      <c r="AA461" s="424" t="s">
        <v>3703</v>
      </c>
      <c r="AB461" s="424" t="s">
        <v>4119</v>
      </c>
      <c r="AC461" s="424" t="s">
        <v>1953</v>
      </c>
      <c r="AD461" s="424" t="s">
        <v>2875</v>
      </c>
      <c r="AE461" s="424" t="s">
        <v>4107</v>
      </c>
      <c r="AF461" s="424"/>
      <c r="AG461" s="424"/>
      <c r="AH461" s="424"/>
    </row>
    <row r="462" spans="1:34" x14ac:dyDescent="0.25">
      <c r="A462" s="423" t="s">
        <v>4075</v>
      </c>
      <c r="B462" s="423" t="s">
        <v>4120</v>
      </c>
      <c r="C462" s="423" t="s">
        <v>486</v>
      </c>
      <c r="D462" s="423" t="s">
        <v>3891</v>
      </c>
      <c r="E462" s="423" t="s">
        <v>2818</v>
      </c>
      <c r="F462" s="423">
        <v>32</v>
      </c>
      <c r="G462" s="423">
        <v>34</v>
      </c>
      <c r="H462" s="423">
        <v>850</v>
      </c>
      <c r="J462" s="423"/>
      <c r="K462" s="423"/>
      <c r="L462" s="423"/>
      <c r="M462" s="423"/>
      <c r="Q462" s="423"/>
      <c r="R462" s="424" t="s">
        <v>4121</v>
      </c>
      <c r="S462" s="424" t="s">
        <v>2846</v>
      </c>
      <c r="T462" s="424" t="s">
        <v>2870</v>
      </c>
      <c r="U462" s="424">
        <v>0</v>
      </c>
      <c r="V462" s="424" t="s">
        <v>486</v>
      </c>
      <c r="W462" s="424" t="s">
        <v>2871</v>
      </c>
      <c r="X462" s="424">
        <v>0</v>
      </c>
      <c r="Y462" s="424" t="s">
        <v>2279</v>
      </c>
      <c r="Z462" s="424" t="s">
        <v>2872</v>
      </c>
      <c r="AA462" s="424" t="s">
        <v>2873</v>
      </c>
      <c r="AB462" s="424" t="s">
        <v>4122</v>
      </c>
      <c r="AC462" s="424" t="s">
        <v>1953</v>
      </c>
      <c r="AD462" s="424" t="s">
        <v>2875</v>
      </c>
      <c r="AE462" s="424" t="s">
        <v>4097</v>
      </c>
      <c r="AF462" s="424"/>
      <c r="AG462" s="424"/>
      <c r="AH462" s="424"/>
    </row>
    <row r="463" spans="1:34" x14ac:dyDescent="0.25">
      <c r="A463" s="423" t="s">
        <v>4075</v>
      </c>
      <c r="B463" s="423" t="s">
        <v>4123</v>
      </c>
      <c r="C463" s="423" t="s">
        <v>486</v>
      </c>
      <c r="D463" s="423" t="s">
        <v>3891</v>
      </c>
      <c r="E463" s="423" t="s">
        <v>2818</v>
      </c>
      <c r="F463" s="423">
        <v>32</v>
      </c>
      <c r="G463" s="423">
        <v>34</v>
      </c>
      <c r="H463" s="423">
        <v>850</v>
      </c>
      <c r="J463" s="423"/>
      <c r="K463" s="423"/>
      <c r="L463" s="423"/>
      <c r="M463" s="423"/>
      <c r="Q463" s="423"/>
      <c r="R463" s="424" t="s">
        <v>4124</v>
      </c>
      <c r="S463" s="424" t="s">
        <v>2846</v>
      </c>
      <c r="T463" s="424" t="s">
        <v>2870</v>
      </c>
      <c r="U463" s="424">
        <v>0</v>
      </c>
      <c r="V463" s="424" t="s">
        <v>486</v>
      </c>
      <c r="W463" s="424" t="s">
        <v>2924</v>
      </c>
      <c r="X463" s="424">
        <v>0</v>
      </c>
      <c r="Y463" s="424" t="s">
        <v>2279</v>
      </c>
      <c r="Z463" s="424" t="s">
        <v>2889</v>
      </c>
      <c r="AA463" s="424" t="s">
        <v>3703</v>
      </c>
      <c r="AB463" s="424" t="s">
        <v>4125</v>
      </c>
      <c r="AC463" s="424" t="s">
        <v>1953</v>
      </c>
      <c r="AD463" s="424" t="s">
        <v>2875</v>
      </c>
      <c r="AE463" s="424" t="s">
        <v>4126</v>
      </c>
      <c r="AF463" s="424"/>
      <c r="AG463" s="424"/>
      <c r="AH463" s="424"/>
    </row>
    <row r="464" spans="1:34" x14ac:dyDescent="0.25">
      <c r="A464" s="423" t="s">
        <v>4075</v>
      </c>
      <c r="B464" s="423" t="s">
        <v>4127</v>
      </c>
      <c r="C464" s="423" t="s">
        <v>486</v>
      </c>
      <c r="D464" s="423" t="s">
        <v>3891</v>
      </c>
      <c r="E464" s="423" t="s">
        <v>2818</v>
      </c>
      <c r="F464" s="423">
        <v>32</v>
      </c>
      <c r="G464" s="423">
        <v>34</v>
      </c>
      <c r="H464" s="423">
        <v>850</v>
      </c>
      <c r="J464" s="423"/>
      <c r="K464" s="423"/>
      <c r="L464" s="423"/>
      <c r="M464" s="423"/>
      <c r="Q464" s="423"/>
      <c r="R464" s="424" t="s">
        <v>4128</v>
      </c>
      <c r="S464" s="424" t="s">
        <v>2846</v>
      </c>
      <c r="T464" s="424" t="s">
        <v>2870</v>
      </c>
      <c r="U464" s="424">
        <v>0</v>
      </c>
      <c r="V464" s="424" t="s">
        <v>486</v>
      </c>
      <c r="W464" s="424" t="s">
        <v>2871</v>
      </c>
      <c r="X464" s="424">
        <v>0</v>
      </c>
      <c r="Y464" s="424" t="s">
        <v>2279</v>
      </c>
      <c r="Z464" s="424" t="s">
        <v>2889</v>
      </c>
      <c r="AA464" s="424" t="s">
        <v>3703</v>
      </c>
      <c r="AB464" s="424" t="s">
        <v>4129</v>
      </c>
      <c r="AC464" s="424" t="s">
        <v>1953</v>
      </c>
      <c r="AD464" s="424" t="s">
        <v>2875</v>
      </c>
      <c r="AE464" s="424" t="s">
        <v>4130</v>
      </c>
      <c r="AF464" s="424"/>
      <c r="AG464" s="424"/>
      <c r="AH464" s="424"/>
    </row>
    <row r="465" spans="1:34" x14ac:dyDescent="0.25">
      <c r="A465" s="423" t="s">
        <v>4075</v>
      </c>
      <c r="B465" s="423" t="s">
        <v>4131</v>
      </c>
      <c r="C465" s="423" t="s">
        <v>486</v>
      </c>
      <c r="D465" s="423" t="s">
        <v>3891</v>
      </c>
      <c r="E465" s="423" t="s">
        <v>2818</v>
      </c>
      <c r="F465" s="423">
        <v>32</v>
      </c>
      <c r="G465" s="423">
        <v>34</v>
      </c>
      <c r="H465" s="423">
        <v>850</v>
      </c>
      <c r="J465" s="423"/>
      <c r="K465" s="423"/>
      <c r="L465" s="423"/>
      <c r="M465" s="423"/>
      <c r="Q465" s="423"/>
      <c r="R465" s="424" t="s">
        <v>4132</v>
      </c>
      <c r="S465" s="424" t="s">
        <v>2846</v>
      </c>
      <c r="T465" s="424" t="s">
        <v>2870</v>
      </c>
      <c r="U465" s="424">
        <v>0</v>
      </c>
      <c r="V465" s="424" t="s">
        <v>486</v>
      </c>
      <c r="W465" s="424" t="s">
        <v>2871</v>
      </c>
      <c r="X465" s="424">
        <v>0</v>
      </c>
      <c r="Y465" s="424" t="s">
        <v>2279</v>
      </c>
      <c r="Z465" s="424" t="s">
        <v>2889</v>
      </c>
      <c r="AA465" s="424" t="s">
        <v>3703</v>
      </c>
      <c r="AB465" s="424" t="s">
        <v>4133</v>
      </c>
      <c r="AC465" s="424" t="s">
        <v>1953</v>
      </c>
      <c r="AD465" s="424" t="s">
        <v>2875</v>
      </c>
      <c r="AE465" s="424" t="s">
        <v>3709</v>
      </c>
      <c r="AF465" s="424"/>
      <c r="AG465" s="424"/>
      <c r="AH465" s="424"/>
    </row>
    <row r="466" spans="1:34" x14ac:dyDescent="0.25">
      <c r="A466" s="423" t="s">
        <v>4075</v>
      </c>
      <c r="B466" s="423" t="s">
        <v>4134</v>
      </c>
      <c r="C466" s="423" t="s">
        <v>486</v>
      </c>
      <c r="D466" s="423" t="s">
        <v>3891</v>
      </c>
      <c r="E466" s="423" t="s">
        <v>2818</v>
      </c>
      <c r="F466" s="423">
        <v>32</v>
      </c>
      <c r="G466" s="423">
        <v>34</v>
      </c>
      <c r="H466" s="423">
        <v>850</v>
      </c>
      <c r="J466" s="423"/>
      <c r="K466" s="423"/>
      <c r="L466" s="423"/>
      <c r="M466" s="423"/>
      <c r="Q466" s="423"/>
      <c r="R466" s="424" t="s">
        <v>4135</v>
      </c>
      <c r="S466" s="424" t="s">
        <v>2846</v>
      </c>
      <c r="T466" s="424" t="s">
        <v>2870</v>
      </c>
      <c r="U466" s="424">
        <v>0</v>
      </c>
      <c r="V466" s="424" t="s">
        <v>486</v>
      </c>
      <c r="W466" s="424" t="s">
        <v>2871</v>
      </c>
      <c r="X466" s="424">
        <v>0</v>
      </c>
      <c r="Y466" s="424" t="s">
        <v>2279</v>
      </c>
      <c r="Z466" s="424" t="s">
        <v>2872</v>
      </c>
      <c r="AA466" s="424" t="s">
        <v>2873</v>
      </c>
      <c r="AB466" s="424" t="s">
        <v>4136</v>
      </c>
      <c r="AC466" s="424" t="s">
        <v>1953</v>
      </c>
      <c r="AD466" s="424" t="s">
        <v>2875</v>
      </c>
      <c r="AE466" s="424" t="s">
        <v>3700</v>
      </c>
      <c r="AF466" s="424"/>
      <c r="AG466" s="424"/>
      <c r="AH466" s="424"/>
    </row>
    <row r="467" spans="1:34" x14ac:dyDescent="0.25">
      <c r="A467" s="423" t="s">
        <v>4137</v>
      </c>
      <c r="B467" s="423" t="s">
        <v>4138</v>
      </c>
      <c r="C467" s="423" t="s">
        <v>668</v>
      </c>
      <c r="D467" s="423" t="s">
        <v>4139</v>
      </c>
      <c r="E467" s="423" t="s">
        <v>2818</v>
      </c>
      <c r="F467" s="423">
        <v>24</v>
      </c>
      <c r="G467" s="423">
        <v>38</v>
      </c>
      <c r="H467" s="423">
        <v>1098</v>
      </c>
      <c r="J467" s="423"/>
      <c r="K467" s="423"/>
      <c r="L467" s="423"/>
      <c r="M467" s="423"/>
      <c r="Q467" s="423"/>
      <c r="R467" s="424" t="s">
        <v>4140</v>
      </c>
      <c r="S467" s="424" t="s">
        <v>2846</v>
      </c>
      <c r="T467" s="424" t="s">
        <v>3356</v>
      </c>
      <c r="U467" s="424">
        <v>0</v>
      </c>
      <c r="V467" s="424" t="s">
        <v>3074</v>
      </c>
      <c r="W467" s="424" t="s">
        <v>3074</v>
      </c>
      <c r="X467" s="424">
        <v>0</v>
      </c>
      <c r="Y467" s="424" t="s">
        <v>2279</v>
      </c>
      <c r="Z467" s="424" t="s">
        <v>2872</v>
      </c>
      <c r="AA467" s="424" t="s">
        <v>3197</v>
      </c>
      <c r="AB467" s="424" t="s">
        <v>3755</v>
      </c>
      <c r="AC467" s="424" t="s">
        <v>1953</v>
      </c>
      <c r="AD467" s="424" t="s">
        <v>2892</v>
      </c>
      <c r="AE467" s="424" t="s">
        <v>3387</v>
      </c>
      <c r="AF467" s="424"/>
      <c r="AG467" s="424"/>
      <c r="AH467" s="424"/>
    </row>
    <row r="468" spans="1:34" x14ac:dyDescent="0.25">
      <c r="A468" s="423" t="s">
        <v>4137</v>
      </c>
      <c r="B468" s="423" t="s">
        <v>4141</v>
      </c>
      <c r="C468" s="423" t="s">
        <v>668</v>
      </c>
      <c r="D468" s="423" t="s">
        <v>4139</v>
      </c>
      <c r="E468" s="423" t="s">
        <v>2818</v>
      </c>
      <c r="F468" s="423">
        <v>24</v>
      </c>
      <c r="G468" s="423">
        <v>38</v>
      </c>
      <c r="H468" s="423">
        <v>1098</v>
      </c>
      <c r="J468" s="423"/>
      <c r="K468" s="423"/>
      <c r="L468" s="423"/>
      <c r="M468" s="423"/>
      <c r="Q468" s="423"/>
      <c r="R468" s="424" t="s">
        <v>4142</v>
      </c>
      <c r="S468" s="424" t="s">
        <v>2846</v>
      </c>
      <c r="T468" s="424" t="s">
        <v>3356</v>
      </c>
      <c r="U468" s="424">
        <v>0</v>
      </c>
      <c r="V468" s="424" t="s">
        <v>3074</v>
      </c>
      <c r="W468" s="424" t="s">
        <v>3074</v>
      </c>
      <c r="X468" s="424">
        <v>0</v>
      </c>
      <c r="Y468" s="424" t="s">
        <v>2279</v>
      </c>
      <c r="Z468" s="424" t="s">
        <v>2872</v>
      </c>
      <c r="AA468" s="424" t="s">
        <v>3197</v>
      </c>
      <c r="AB468" s="424" t="s">
        <v>3386</v>
      </c>
      <c r="AC468" s="424" t="s">
        <v>1953</v>
      </c>
      <c r="AD468" s="424" t="s">
        <v>2892</v>
      </c>
      <c r="AE468" s="424" t="s">
        <v>3387</v>
      </c>
      <c r="AF468" s="424"/>
      <c r="AG468" s="424"/>
      <c r="AH468" s="424"/>
    </row>
    <row r="469" spans="1:34" x14ac:dyDescent="0.25">
      <c r="A469" s="423" t="s">
        <v>4137</v>
      </c>
      <c r="B469" s="423" t="s">
        <v>4143</v>
      </c>
      <c r="C469" s="423" t="s">
        <v>668</v>
      </c>
      <c r="D469" s="423" t="s">
        <v>4139</v>
      </c>
      <c r="E469" s="423" t="s">
        <v>2818</v>
      </c>
      <c r="F469" s="423">
        <v>15</v>
      </c>
      <c r="G469" s="423">
        <v>45</v>
      </c>
      <c r="H469" s="423">
        <v>100</v>
      </c>
      <c r="J469" s="423"/>
      <c r="K469" s="423"/>
      <c r="L469" s="423"/>
      <c r="M469" s="423"/>
      <c r="Q469" s="423"/>
      <c r="R469" s="424" t="s">
        <v>4144</v>
      </c>
      <c r="S469" s="424" t="s">
        <v>2846</v>
      </c>
      <c r="T469" s="424" t="s">
        <v>3356</v>
      </c>
      <c r="U469" s="424">
        <v>0</v>
      </c>
      <c r="V469" s="424" t="s">
        <v>33</v>
      </c>
      <c r="W469" s="424" t="s">
        <v>3074</v>
      </c>
      <c r="X469" s="424" t="s">
        <v>2825</v>
      </c>
      <c r="Y469" s="424" t="s">
        <v>2279</v>
      </c>
      <c r="Z469" s="424" t="s">
        <v>2889</v>
      </c>
      <c r="AA469" s="424" t="s">
        <v>3197</v>
      </c>
      <c r="AB469" s="424" t="s">
        <v>3749</v>
      </c>
      <c r="AC469" s="424" t="s">
        <v>1953</v>
      </c>
      <c r="AD469" s="424" t="s">
        <v>2829</v>
      </c>
      <c r="AE469" s="424" t="s">
        <v>3243</v>
      </c>
      <c r="AF469" s="424"/>
      <c r="AG469" s="424"/>
      <c r="AH469" s="424"/>
    </row>
    <row r="470" spans="1:34" x14ac:dyDescent="0.25">
      <c r="A470" s="423" t="s">
        <v>4137</v>
      </c>
      <c r="B470" s="423" t="s">
        <v>4145</v>
      </c>
      <c r="C470" s="423" t="s">
        <v>668</v>
      </c>
      <c r="D470" s="423" t="s">
        <v>4139</v>
      </c>
      <c r="E470" s="423" t="s">
        <v>2818</v>
      </c>
      <c r="F470" s="423">
        <v>15</v>
      </c>
      <c r="G470" s="423">
        <v>45</v>
      </c>
      <c r="H470" s="423">
        <v>100</v>
      </c>
      <c r="J470" s="423"/>
      <c r="K470" s="423"/>
      <c r="L470" s="423"/>
      <c r="M470" s="423"/>
      <c r="Q470" s="423"/>
      <c r="R470" s="424" t="s">
        <v>4146</v>
      </c>
      <c r="S470" s="424" t="s">
        <v>2846</v>
      </c>
      <c r="T470" s="424" t="s">
        <v>3356</v>
      </c>
      <c r="U470" s="424">
        <v>0</v>
      </c>
      <c r="V470" s="424" t="s">
        <v>33</v>
      </c>
      <c r="W470" s="424" t="s">
        <v>3074</v>
      </c>
      <c r="X470" s="424" t="s">
        <v>2825</v>
      </c>
      <c r="Y470" s="424" t="s">
        <v>2279</v>
      </c>
      <c r="Z470" s="424" t="s">
        <v>2872</v>
      </c>
      <c r="AA470" s="424" t="s">
        <v>3197</v>
      </c>
      <c r="AB470" s="424" t="s">
        <v>3411</v>
      </c>
      <c r="AC470" s="424" t="s">
        <v>1953</v>
      </c>
      <c r="AD470" s="424" t="s">
        <v>2892</v>
      </c>
      <c r="AE470" s="424" t="s">
        <v>3387</v>
      </c>
      <c r="AF470" s="424"/>
      <c r="AG470" s="424"/>
      <c r="AH470" s="424"/>
    </row>
    <row r="471" spans="1:34" x14ac:dyDescent="0.25">
      <c r="A471" s="423" t="s">
        <v>4137</v>
      </c>
      <c r="B471" s="423" t="s">
        <v>4147</v>
      </c>
      <c r="C471" s="423" t="s">
        <v>668</v>
      </c>
      <c r="D471" s="423" t="s">
        <v>4139</v>
      </c>
      <c r="E471" s="423" t="s">
        <v>2818</v>
      </c>
      <c r="F471" s="423">
        <v>15</v>
      </c>
      <c r="G471" s="423">
        <v>45</v>
      </c>
      <c r="H471" s="423">
        <v>100</v>
      </c>
      <c r="J471" s="423"/>
      <c r="K471" s="423"/>
      <c r="L471" s="423"/>
      <c r="M471" s="423"/>
      <c r="Q471" s="423"/>
      <c r="R471" s="424" t="s">
        <v>4148</v>
      </c>
      <c r="S471" s="424" t="s">
        <v>2846</v>
      </c>
      <c r="T471" s="424" t="s">
        <v>3356</v>
      </c>
      <c r="U471" s="424">
        <v>0</v>
      </c>
      <c r="V471" s="424" t="s">
        <v>33</v>
      </c>
      <c r="W471" s="424" t="s">
        <v>3074</v>
      </c>
      <c r="X471" s="424" t="s">
        <v>2825</v>
      </c>
      <c r="Y471" s="424" t="s">
        <v>2279</v>
      </c>
      <c r="Z471" s="424" t="s">
        <v>2889</v>
      </c>
      <c r="AA471" s="424" t="s">
        <v>3197</v>
      </c>
      <c r="AB471" s="424" t="s">
        <v>3732</v>
      </c>
      <c r="AC471" s="424" t="s">
        <v>1953</v>
      </c>
      <c r="AD471" s="424" t="s">
        <v>2829</v>
      </c>
      <c r="AE471" s="424" t="s">
        <v>3243</v>
      </c>
      <c r="AF471" s="424"/>
      <c r="AG471" s="424"/>
      <c r="AH471" s="424"/>
    </row>
    <row r="472" spans="1:34" x14ac:dyDescent="0.25">
      <c r="A472" s="423" t="s">
        <v>4149</v>
      </c>
      <c r="B472" s="423" t="s">
        <v>4150</v>
      </c>
      <c r="C472" s="423" t="s">
        <v>668</v>
      </c>
      <c r="D472" s="423" t="s">
        <v>4139</v>
      </c>
      <c r="E472" s="423" t="s">
        <v>2818</v>
      </c>
      <c r="F472" s="423">
        <v>12</v>
      </c>
      <c r="G472" s="423">
        <v>24</v>
      </c>
      <c r="H472" s="423">
        <v>296</v>
      </c>
      <c r="J472" s="423"/>
      <c r="K472" s="423"/>
      <c r="L472" s="423"/>
      <c r="M472" s="423"/>
      <c r="Q472" s="423"/>
      <c r="R472" s="424" t="s">
        <v>4150</v>
      </c>
      <c r="S472" s="424" t="s">
        <v>2846</v>
      </c>
      <c r="T472" s="424" t="s">
        <v>4151</v>
      </c>
      <c r="U472" s="424">
        <v>0</v>
      </c>
      <c r="V472" s="424" t="s">
        <v>580</v>
      </c>
      <c r="W472" s="424">
        <v>0</v>
      </c>
      <c r="X472" s="424" t="s">
        <v>2825</v>
      </c>
      <c r="Y472" s="424" t="s">
        <v>2279</v>
      </c>
      <c r="Z472" s="424">
        <v>0</v>
      </c>
      <c r="AA472" s="424">
        <v>0</v>
      </c>
      <c r="AB472" s="424">
        <v>0</v>
      </c>
      <c r="AC472" s="424">
        <v>0</v>
      </c>
      <c r="AD472" s="424">
        <v>0</v>
      </c>
      <c r="AE472" s="424">
        <v>0</v>
      </c>
      <c r="AF472" s="424"/>
      <c r="AG472" s="424"/>
      <c r="AH472" s="424"/>
    </row>
    <row r="473" spans="1:34" x14ac:dyDescent="0.25">
      <c r="A473" s="423" t="s">
        <v>4149</v>
      </c>
      <c r="B473" s="423" t="s">
        <v>4152</v>
      </c>
      <c r="C473" s="423" t="s">
        <v>668</v>
      </c>
      <c r="D473" s="423" t="s">
        <v>4139</v>
      </c>
      <c r="E473" s="423" t="s">
        <v>2818</v>
      </c>
      <c r="F473" s="423">
        <v>12</v>
      </c>
      <c r="G473" s="423">
        <v>24</v>
      </c>
      <c r="H473" s="423">
        <v>296</v>
      </c>
      <c r="J473" s="423"/>
      <c r="K473" s="423"/>
      <c r="L473" s="423"/>
      <c r="M473" s="423"/>
      <c r="Q473" s="423"/>
      <c r="R473" s="424" t="s">
        <v>4152</v>
      </c>
      <c r="S473" s="424" t="s">
        <v>2846</v>
      </c>
      <c r="T473" s="424" t="s">
        <v>4151</v>
      </c>
      <c r="U473" s="424">
        <v>0</v>
      </c>
      <c r="V473" s="424" t="s">
        <v>580</v>
      </c>
      <c r="W473" s="424">
        <v>0</v>
      </c>
      <c r="X473" s="424" t="s">
        <v>2825</v>
      </c>
      <c r="Y473" s="424" t="s">
        <v>2279</v>
      </c>
      <c r="Z473" s="424">
        <v>0</v>
      </c>
      <c r="AA473" s="424">
        <v>0</v>
      </c>
      <c r="AB473" s="424">
        <v>0</v>
      </c>
      <c r="AC473" s="424">
        <v>0</v>
      </c>
      <c r="AD473" s="424">
        <v>0</v>
      </c>
      <c r="AE473" s="424">
        <v>0</v>
      </c>
      <c r="AF473" s="424"/>
      <c r="AG473" s="424"/>
      <c r="AH473" s="424"/>
    </row>
    <row r="474" spans="1:34" x14ac:dyDescent="0.25">
      <c r="A474" s="423" t="s">
        <v>4149</v>
      </c>
      <c r="B474" s="423" t="s">
        <v>4153</v>
      </c>
      <c r="C474" s="423" t="s">
        <v>668</v>
      </c>
      <c r="D474" s="423" t="s">
        <v>4139</v>
      </c>
      <c r="E474" s="423" t="s">
        <v>2818</v>
      </c>
      <c r="F474" s="423">
        <v>32</v>
      </c>
      <c r="G474" s="423">
        <v>32</v>
      </c>
      <c r="H474" s="423">
        <v>788</v>
      </c>
      <c r="J474" s="423"/>
      <c r="K474" s="423"/>
      <c r="L474" s="423"/>
      <c r="M474" s="423"/>
      <c r="Q474" s="423"/>
      <c r="R474" s="424" t="s">
        <v>4153</v>
      </c>
      <c r="S474" s="424" t="s">
        <v>2846</v>
      </c>
      <c r="T474" s="424" t="s">
        <v>4151</v>
      </c>
      <c r="U474" s="424">
        <v>0</v>
      </c>
      <c r="V474" s="424" t="s">
        <v>580</v>
      </c>
      <c r="W474" s="424">
        <v>0</v>
      </c>
      <c r="X474" s="424" t="s">
        <v>2825</v>
      </c>
      <c r="Y474" s="424" t="s">
        <v>2279</v>
      </c>
      <c r="Z474" s="424">
        <v>0</v>
      </c>
      <c r="AA474" s="424">
        <v>0</v>
      </c>
      <c r="AB474" s="424">
        <v>0</v>
      </c>
      <c r="AC474" s="424">
        <v>0</v>
      </c>
      <c r="AD474" s="424">
        <v>0</v>
      </c>
      <c r="AE474" s="424">
        <v>0</v>
      </c>
      <c r="AF474" s="424"/>
      <c r="AG474" s="424"/>
      <c r="AH474" s="424"/>
    </row>
    <row r="475" spans="1:34" x14ac:dyDescent="0.25">
      <c r="A475" s="423" t="s">
        <v>4149</v>
      </c>
      <c r="B475" s="423" t="s">
        <v>4154</v>
      </c>
      <c r="C475" s="423" t="s">
        <v>668</v>
      </c>
      <c r="D475" s="423" t="s">
        <v>4139</v>
      </c>
      <c r="E475" s="423" t="s">
        <v>2818</v>
      </c>
      <c r="F475" s="423">
        <v>32</v>
      </c>
      <c r="G475" s="423">
        <v>32</v>
      </c>
      <c r="H475" s="423">
        <v>788</v>
      </c>
      <c r="J475" s="423"/>
      <c r="K475" s="423"/>
      <c r="L475" s="423"/>
      <c r="M475" s="423"/>
      <c r="Q475" s="423"/>
      <c r="R475" s="424" t="s">
        <v>4154</v>
      </c>
      <c r="S475" s="424" t="s">
        <v>2846</v>
      </c>
      <c r="T475" s="424" t="s">
        <v>4155</v>
      </c>
      <c r="U475" s="424">
        <v>0</v>
      </c>
      <c r="V475" s="424" t="s">
        <v>580</v>
      </c>
      <c r="W475" s="424">
        <v>0</v>
      </c>
      <c r="X475" s="424" t="s">
        <v>2825</v>
      </c>
      <c r="Y475" s="424" t="s">
        <v>2279</v>
      </c>
      <c r="Z475" s="424">
        <v>0</v>
      </c>
      <c r="AA475" s="424">
        <v>0</v>
      </c>
      <c r="AB475" s="424">
        <v>0</v>
      </c>
      <c r="AC475" s="424">
        <v>0</v>
      </c>
      <c r="AD475" s="424">
        <v>0</v>
      </c>
      <c r="AE475" s="424">
        <v>0</v>
      </c>
      <c r="AF475" s="424"/>
      <c r="AG475" s="424"/>
      <c r="AH475" s="424"/>
    </row>
    <row r="476" spans="1:34" x14ac:dyDescent="0.25">
      <c r="A476" s="423" t="s">
        <v>4149</v>
      </c>
      <c r="B476" s="423" t="s">
        <v>4156</v>
      </c>
      <c r="C476" s="423" t="s">
        <v>668</v>
      </c>
      <c r="D476" s="423" t="s">
        <v>4139</v>
      </c>
      <c r="E476" s="423" t="s">
        <v>2818</v>
      </c>
      <c r="F476" s="423">
        <v>48</v>
      </c>
      <c r="G476" s="423">
        <v>257</v>
      </c>
      <c r="H476" s="423">
        <v>300</v>
      </c>
      <c r="J476" s="423"/>
      <c r="K476" s="423"/>
      <c r="L476" s="423"/>
      <c r="M476" s="423"/>
      <c r="Q476" s="423"/>
      <c r="R476" s="424" t="s">
        <v>4156</v>
      </c>
      <c r="S476" s="424" t="s">
        <v>2846</v>
      </c>
      <c r="T476" s="424" t="s">
        <v>4157</v>
      </c>
      <c r="U476" s="424">
        <v>0</v>
      </c>
      <c r="V476" s="424" t="s">
        <v>580</v>
      </c>
      <c r="W476" s="424">
        <v>0</v>
      </c>
      <c r="X476" s="424" t="s">
        <v>2224</v>
      </c>
      <c r="Y476" s="424" t="s">
        <v>2279</v>
      </c>
      <c r="Z476" s="424">
        <v>0</v>
      </c>
      <c r="AA476" s="424">
        <v>0</v>
      </c>
      <c r="AB476" s="424">
        <v>0</v>
      </c>
      <c r="AC476" s="424">
        <v>0</v>
      </c>
      <c r="AD476" s="424">
        <v>0</v>
      </c>
      <c r="AE476" s="424">
        <v>0</v>
      </c>
      <c r="AF476" s="424"/>
      <c r="AG476" s="424"/>
      <c r="AH476" s="424"/>
    </row>
    <row r="477" spans="1:34" x14ac:dyDescent="0.25">
      <c r="A477" s="423" t="s">
        <v>4149</v>
      </c>
      <c r="B477" s="423" t="s">
        <v>4158</v>
      </c>
      <c r="C477" s="423" t="s">
        <v>668</v>
      </c>
      <c r="D477" s="423" t="s">
        <v>4139</v>
      </c>
      <c r="E477" s="423" t="s">
        <v>2818</v>
      </c>
      <c r="F477" s="423">
        <v>48</v>
      </c>
      <c r="G477" s="423">
        <v>257</v>
      </c>
      <c r="H477" s="423">
        <v>300</v>
      </c>
      <c r="J477" s="423"/>
      <c r="K477" s="423"/>
      <c r="L477" s="423"/>
      <c r="M477" s="423"/>
      <c r="Q477" s="423"/>
      <c r="R477" s="424" t="s">
        <v>4158</v>
      </c>
      <c r="S477" s="424" t="s">
        <v>2846</v>
      </c>
      <c r="T477" s="424" t="s">
        <v>4159</v>
      </c>
      <c r="U477" s="424">
        <v>0</v>
      </c>
      <c r="V477" s="424" t="s">
        <v>2824</v>
      </c>
      <c r="W477" s="424">
        <v>0</v>
      </c>
      <c r="X477" s="424">
        <v>0</v>
      </c>
      <c r="Y477" s="424" t="s">
        <v>2279</v>
      </c>
      <c r="Z477" s="424">
        <v>0</v>
      </c>
      <c r="AA477" s="424">
        <v>0</v>
      </c>
      <c r="AB477" s="424">
        <v>0</v>
      </c>
      <c r="AC477" s="424">
        <v>0</v>
      </c>
      <c r="AD477" s="424">
        <v>0</v>
      </c>
      <c r="AE477" s="424">
        <v>0</v>
      </c>
      <c r="AF477" s="424"/>
      <c r="AG477" s="424"/>
      <c r="AH477" s="424"/>
    </row>
    <row r="478" spans="1:34" x14ac:dyDescent="0.25">
      <c r="A478" s="423" t="s">
        <v>4160</v>
      </c>
      <c r="B478" s="423" t="s">
        <v>4161</v>
      </c>
      <c r="C478" s="423" t="s">
        <v>668</v>
      </c>
      <c r="D478" s="423" t="s">
        <v>4139</v>
      </c>
      <c r="E478" s="423" t="s">
        <v>2818</v>
      </c>
      <c r="F478" s="423">
        <v>14</v>
      </c>
      <c r="G478" s="423">
        <v>32</v>
      </c>
      <c r="H478" s="423">
        <v>279</v>
      </c>
      <c r="J478" s="423"/>
      <c r="K478" s="423"/>
      <c r="L478" s="423"/>
      <c r="M478" s="423"/>
      <c r="Q478" s="423"/>
      <c r="R478" s="424" t="s">
        <v>4162</v>
      </c>
      <c r="S478" s="424" t="s">
        <v>2820</v>
      </c>
      <c r="T478" s="424" t="s">
        <v>3957</v>
      </c>
      <c r="U478" s="424">
        <v>0</v>
      </c>
      <c r="V478" s="424" t="s">
        <v>2824</v>
      </c>
      <c r="W478" s="424" t="s">
        <v>2824</v>
      </c>
      <c r="X478" s="424" t="s">
        <v>2825</v>
      </c>
      <c r="Y478" s="424" t="s">
        <v>2279</v>
      </c>
      <c r="Z478" s="424" t="s">
        <v>2889</v>
      </c>
      <c r="AA478" s="424" t="s">
        <v>4163</v>
      </c>
      <c r="AB478" s="424" t="s">
        <v>4164</v>
      </c>
      <c r="AC478" s="424" t="s">
        <v>1953</v>
      </c>
      <c r="AD478" s="424" t="s">
        <v>3300</v>
      </c>
      <c r="AE478" s="424" t="s">
        <v>4165</v>
      </c>
      <c r="AF478" s="424"/>
      <c r="AG478" s="424"/>
      <c r="AH478" s="424"/>
    </row>
    <row r="479" spans="1:34" x14ac:dyDescent="0.25">
      <c r="A479" s="423" t="s">
        <v>4160</v>
      </c>
      <c r="B479" s="423" t="s">
        <v>4166</v>
      </c>
      <c r="C479" s="423" t="s">
        <v>668</v>
      </c>
      <c r="D479" s="423" t="s">
        <v>4139</v>
      </c>
      <c r="E479" s="423" t="s">
        <v>2818</v>
      </c>
      <c r="F479" s="423">
        <v>14</v>
      </c>
      <c r="G479" s="423">
        <v>32</v>
      </c>
      <c r="H479" s="423">
        <v>279</v>
      </c>
      <c r="J479" s="423"/>
      <c r="K479" s="423"/>
      <c r="L479" s="423"/>
      <c r="M479" s="423"/>
      <c r="Q479" s="423"/>
      <c r="R479" s="424" t="s">
        <v>4167</v>
      </c>
      <c r="S479" s="424" t="s">
        <v>2820</v>
      </c>
      <c r="T479" s="424" t="s">
        <v>3957</v>
      </c>
      <c r="U479" s="424">
        <v>0</v>
      </c>
      <c r="V479" s="424" t="s">
        <v>2824</v>
      </c>
      <c r="W479" s="424" t="s">
        <v>2824</v>
      </c>
      <c r="X479" s="424" t="s">
        <v>2825</v>
      </c>
      <c r="Y479" s="424" t="s">
        <v>2279</v>
      </c>
      <c r="Z479" s="424" t="s">
        <v>2889</v>
      </c>
      <c r="AA479" s="424" t="s">
        <v>4163</v>
      </c>
      <c r="AB479" s="424" t="s">
        <v>4168</v>
      </c>
      <c r="AC479" s="424" t="s">
        <v>1953</v>
      </c>
      <c r="AD479" s="424" t="s">
        <v>3300</v>
      </c>
      <c r="AE479" s="424" t="s">
        <v>4165</v>
      </c>
      <c r="AF479" s="424"/>
      <c r="AG479" s="424"/>
      <c r="AH479" s="424"/>
    </row>
    <row r="480" spans="1:34" x14ac:dyDescent="0.25">
      <c r="A480" s="423" t="s">
        <v>4160</v>
      </c>
      <c r="B480" s="423" t="s">
        <v>4169</v>
      </c>
      <c r="C480" s="423" t="s">
        <v>668</v>
      </c>
      <c r="D480" s="423" t="s">
        <v>4139</v>
      </c>
      <c r="E480" s="423" t="s">
        <v>2818</v>
      </c>
      <c r="F480" s="423">
        <v>14</v>
      </c>
      <c r="G480" s="423">
        <v>32</v>
      </c>
      <c r="H480" s="423">
        <v>510</v>
      </c>
      <c r="J480" s="423"/>
      <c r="K480" s="423"/>
      <c r="L480" s="423"/>
      <c r="M480" s="423"/>
      <c r="Q480" s="423"/>
      <c r="R480" s="424" t="s">
        <v>4170</v>
      </c>
      <c r="S480" s="424" t="s">
        <v>2846</v>
      </c>
      <c r="T480" s="424" t="s">
        <v>3957</v>
      </c>
      <c r="U480" s="424">
        <v>0</v>
      </c>
      <c r="V480" s="424" t="s">
        <v>2824</v>
      </c>
      <c r="W480" s="424" t="s">
        <v>3074</v>
      </c>
      <c r="X480" s="424" t="s">
        <v>2825</v>
      </c>
      <c r="Y480" s="424" t="s">
        <v>2279</v>
      </c>
      <c r="Z480" s="424" t="s">
        <v>2848</v>
      </c>
      <c r="AA480" s="424" t="s">
        <v>2849</v>
      </c>
      <c r="AB480" s="424" t="s">
        <v>4171</v>
      </c>
      <c r="AC480" s="424" t="s">
        <v>1953</v>
      </c>
      <c r="AD480" s="424" t="s">
        <v>2851</v>
      </c>
      <c r="AE480" s="424" t="s">
        <v>3436</v>
      </c>
      <c r="AF480" s="424"/>
      <c r="AG480" s="424"/>
      <c r="AH480" s="424"/>
    </row>
    <row r="481" spans="1:34" x14ac:dyDescent="0.25">
      <c r="A481" s="423" t="s">
        <v>4160</v>
      </c>
      <c r="B481" s="423" t="s">
        <v>4172</v>
      </c>
      <c r="C481" s="423" t="s">
        <v>668</v>
      </c>
      <c r="D481" s="423" t="s">
        <v>4139</v>
      </c>
      <c r="E481" s="423" t="s">
        <v>2818</v>
      </c>
      <c r="F481" s="423">
        <v>14</v>
      </c>
      <c r="G481" s="423">
        <v>32</v>
      </c>
      <c r="H481" s="423">
        <v>510</v>
      </c>
      <c r="J481" s="423"/>
      <c r="K481" s="423"/>
      <c r="L481" s="423"/>
      <c r="M481" s="423"/>
      <c r="Q481" s="423"/>
      <c r="R481" s="424" t="s">
        <v>4173</v>
      </c>
      <c r="S481" s="424" t="s">
        <v>2846</v>
      </c>
      <c r="T481" s="424" t="s">
        <v>4174</v>
      </c>
      <c r="U481" s="424">
        <v>0</v>
      </c>
      <c r="V481" s="424" t="s">
        <v>2824</v>
      </c>
      <c r="W481" s="424" t="s">
        <v>3074</v>
      </c>
      <c r="X481" s="424" t="s">
        <v>2825</v>
      </c>
      <c r="Y481" s="424" t="s">
        <v>2279</v>
      </c>
      <c r="Z481" s="424" t="s">
        <v>2848</v>
      </c>
      <c r="AA481" s="424" t="s">
        <v>2849</v>
      </c>
      <c r="AB481" s="424" t="s">
        <v>4175</v>
      </c>
      <c r="AC481" s="424" t="s">
        <v>1953</v>
      </c>
      <c r="AD481" s="424" t="s">
        <v>2851</v>
      </c>
      <c r="AE481" s="424" t="s">
        <v>3444</v>
      </c>
      <c r="AF481" s="424"/>
      <c r="AG481" s="424"/>
      <c r="AH481" s="424"/>
    </row>
    <row r="482" spans="1:34" x14ac:dyDescent="0.25">
      <c r="A482" s="423" t="s">
        <v>4160</v>
      </c>
      <c r="B482" s="423" t="s">
        <v>4176</v>
      </c>
      <c r="C482" s="423" t="s">
        <v>668</v>
      </c>
      <c r="D482" s="423" t="s">
        <v>4139</v>
      </c>
      <c r="E482" s="423" t="s">
        <v>2818</v>
      </c>
      <c r="F482" s="423">
        <v>32</v>
      </c>
      <c r="G482" s="423">
        <v>64</v>
      </c>
      <c r="H482" s="423">
        <v>279</v>
      </c>
      <c r="J482" s="423"/>
      <c r="K482" s="423"/>
      <c r="L482" s="423"/>
      <c r="M482" s="423"/>
      <c r="Q482" s="423"/>
      <c r="R482" s="424" t="s">
        <v>4176</v>
      </c>
      <c r="S482" s="424" t="s">
        <v>2846</v>
      </c>
      <c r="T482" s="424" t="s">
        <v>3957</v>
      </c>
      <c r="U482" s="424">
        <v>0</v>
      </c>
      <c r="V482" s="424" t="s">
        <v>2824</v>
      </c>
      <c r="W482" s="424" t="s">
        <v>2974</v>
      </c>
      <c r="X482" s="424" t="s">
        <v>2825</v>
      </c>
      <c r="Y482" s="424" t="s">
        <v>2279</v>
      </c>
      <c r="Z482" s="424" t="s">
        <v>2848</v>
      </c>
      <c r="AA482" s="424" t="s">
        <v>2849</v>
      </c>
      <c r="AB482" s="424" t="s">
        <v>4177</v>
      </c>
      <c r="AC482" s="424" t="s">
        <v>1953</v>
      </c>
      <c r="AD482" s="424" t="s">
        <v>2851</v>
      </c>
      <c r="AE482" s="424" t="s">
        <v>2852</v>
      </c>
      <c r="AF482" s="424"/>
      <c r="AG482" s="424"/>
      <c r="AH482" s="424"/>
    </row>
    <row r="483" spans="1:34" x14ac:dyDescent="0.25">
      <c r="A483" s="423" t="s">
        <v>4160</v>
      </c>
      <c r="B483" s="423" t="s">
        <v>4178</v>
      </c>
      <c r="C483" s="423" t="s">
        <v>668</v>
      </c>
      <c r="D483" s="423" t="s">
        <v>4139</v>
      </c>
      <c r="E483" s="423" t="s">
        <v>2818</v>
      </c>
      <c r="F483" s="423">
        <v>32</v>
      </c>
      <c r="G483" s="423">
        <v>64</v>
      </c>
      <c r="H483" s="423">
        <v>279</v>
      </c>
      <c r="J483" s="423"/>
      <c r="K483" s="423"/>
      <c r="L483" s="423"/>
      <c r="M483" s="423"/>
      <c r="Q483" s="423"/>
      <c r="R483" s="424" t="s">
        <v>4178</v>
      </c>
      <c r="S483" s="424" t="s">
        <v>2846</v>
      </c>
      <c r="T483" s="424" t="s">
        <v>3957</v>
      </c>
      <c r="U483" s="424">
        <v>0</v>
      </c>
      <c r="V483" s="424" t="s">
        <v>2824</v>
      </c>
      <c r="W483" s="424" t="s">
        <v>3176</v>
      </c>
      <c r="X483" s="424" t="s">
        <v>2825</v>
      </c>
      <c r="Y483" s="424" t="s">
        <v>2279</v>
      </c>
      <c r="Z483" s="424" t="s">
        <v>3260</v>
      </c>
      <c r="AA483" s="424" t="s">
        <v>3197</v>
      </c>
      <c r="AB483" s="424" t="s">
        <v>3316</v>
      </c>
      <c r="AC483" s="424" t="s">
        <v>1953</v>
      </c>
      <c r="AD483" s="424" t="s">
        <v>2851</v>
      </c>
      <c r="AE483" s="424" t="s">
        <v>3317</v>
      </c>
      <c r="AF483" s="424"/>
      <c r="AG483" s="424"/>
      <c r="AH483" s="424"/>
    </row>
    <row r="484" spans="1:34" x14ac:dyDescent="0.25">
      <c r="A484" s="423" t="s">
        <v>4160</v>
      </c>
      <c r="B484" s="423" t="s">
        <v>4179</v>
      </c>
      <c r="C484" s="423" t="s">
        <v>668</v>
      </c>
      <c r="D484" s="423" t="s">
        <v>4139</v>
      </c>
      <c r="E484" s="423" t="s">
        <v>2818</v>
      </c>
      <c r="F484" s="423">
        <v>52</v>
      </c>
      <c r="G484" s="423">
        <v>250</v>
      </c>
      <c r="H484" s="423">
        <v>760</v>
      </c>
      <c r="J484" s="423"/>
      <c r="K484" s="423"/>
      <c r="L484" s="423"/>
      <c r="M484" s="423"/>
      <c r="Q484" s="423"/>
      <c r="R484" s="424" t="s">
        <v>4179</v>
      </c>
      <c r="S484" s="424" t="s">
        <v>2820</v>
      </c>
      <c r="T484" s="424" t="s">
        <v>4180</v>
      </c>
      <c r="U484" s="424">
        <v>0</v>
      </c>
      <c r="V484" s="424" t="s">
        <v>2824</v>
      </c>
      <c r="W484" s="424" t="s">
        <v>2824</v>
      </c>
      <c r="X484" s="424">
        <v>0</v>
      </c>
      <c r="Y484" s="424" t="s">
        <v>2279</v>
      </c>
      <c r="Z484" s="424" t="s">
        <v>2889</v>
      </c>
      <c r="AA484" s="424" t="s">
        <v>3703</v>
      </c>
      <c r="AB484" s="424" t="s">
        <v>4181</v>
      </c>
      <c r="AC484" s="424" t="s">
        <v>1953</v>
      </c>
      <c r="AD484" s="424" t="s">
        <v>2875</v>
      </c>
      <c r="AE484" s="424" t="s">
        <v>4182</v>
      </c>
      <c r="AF484" s="424"/>
      <c r="AG484" s="424"/>
      <c r="AH484" s="424"/>
    </row>
    <row r="485" spans="1:34" x14ac:dyDescent="0.25">
      <c r="A485" s="423" t="s">
        <v>4160</v>
      </c>
      <c r="B485" s="423" t="s">
        <v>4183</v>
      </c>
      <c r="C485" s="423" t="s">
        <v>668</v>
      </c>
      <c r="D485" s="423" t="s">
        <v>4139</v>
      </c>
      <c r="E485" s="423" t="s">
        <v>2818</v>
      </c>
      <c r="F485" s="423">
        <v>52</v>
      </c>
      <c r="G485" s="423">
        <v>250</v>
      </c>
      <c r="H485" s="423">
        <v>760</v>
      </c>
      <c r="J485" s="423"/>
      <c r="K485" s="423"/>
      <c r="L485" s="423"/>
      <c r="M485" s="423"/>
      <c r="Q485" s="423"/>
      <c r="R485" s="424" t="s">
        <v>4183</v>
      </c>
      <c r="S485" s="424" t="s">
        <v>2820</v>
      </c>
      <c r="T485" s="424" t="s">
        <v>4180</v>
      </c>
      <c r="U485" s="424">
        <v>0</v>
      </c>
      <c r="V485" s="424" t="s">
        <v>2824</v>
      </c>
      <c r="W485" s="424" t="s">
        <v>2824</v>
      </c>
      <c r="X485" s="424">
        <v>0</v>
      </c>
      <c r="Y485" s="424" t="s">
        <v>2279</v>
      </c>
      <c r="Z485" s="424" t="s">
        <v>2889</v>
      </c>
      <c r="AA485" s="424" t="s">
        <v>3703</v>
      </c>
      <c r="AB485" s="424" t="s">
        <v>4184</v>
      </c>
      <c r="AC485" s="424" t="s">
        <v>1953</v>
      </c>
      <c r="AD485" s="424" t="s">
        <v>2875</v>
      </c>
      <c r="AE485" s="424" t="s">
        <v>4185</v>
      </c>
      <c r="AF485" s="424"/>
      <c r="AG485" s="424"/>
      <c r="AH485" s="424"/>
    </row>
    <row r="486" spans="1:34" x14ac:dyDescent="0.25">
      <c r="A486" s="423" t="s">
        <v>4160</v>
      </c>
      <c r="B486" s="423" t="s">
        <v>4186</v>
      </c>
      <c r="C486" s="423" t="s">
        <v>668</v>
      </c>
      <c r="D486" s="423" t="s">
        <v>4139</v>
      </c>
      <c r="E486" s="423" t="s">
        <v>2818</v>
      </c>
      <c r="F486" s="423">
        <v>52</v>
      </c>
      <c r="G486" s="423">
        <v>250</v>
      </c>
      <c r="H486" s="423">
        <v>760</v>
      </c>
      <c r="J486" s="423"/>
      <c r="K486" s="423"/>
      <c r="L486" s="423"/>
      <c r="M486" s="423"/>
      <c r="Q486" s="423"/>
      <c r="R486" s="424" t="s">
        <v>4186</v>
      </c>
      <c r="S486" s="424" t="s">
        <v>2820</v>
      </c>
      <c r="T486" s="424" t="s">
        <v>4180</v>
      </c>
      <c r="U486" s="424">
        <v>0</v>
      </c>
      <c r="V486" s="424" t="s">
        <v>2824</v>
      </c>
      <c r="W486" s="424" t="s">
        <v>2824</v>
      </c>
      <c r="X486" s="424">
        <v>0</v>
      </c>
      <c r="Y486" s="424" t="s">
        <v>2279</v>
      </c>
      <c r="Z486" s="424" t="s">
        <v>2889</v>
      </c>
      <c r="AA486" s="424" t="s">
        <v>3703</v>
      </c>
      <c r="AB486" s="424" t="s">
        <v>4187</v>
      </c>
      <c r="AC486" s="424" t="s">
        <v>1953</v>
      </c>
      <c r="AD486" s="424" t="s">
        <v>2875</v>
      </c>
      <c r="AE486" s="424" t="s">
        <v>4182</v>
      </c>
      <c r="AF486" s="424"/>
      <c r="AG486" s="424"/>
      <c r="AH486" s="424"/>
    </row>
    <row r="487" spans="1:34" x14ac:dyDescent="0.25">
      <c r="A487" s="423" t="s">
        <v>4160</v>
      </c>
      <c r="B487" s="423" t="s">
        <v>4188</v>
      </c>
      <c r="C487" s="423" t="s">
        <v>668</v>
      </c>
      <c r="D487" s="423" t="s">
        <v>4139</v>
      </c>
      <c r="E487" s="423" t="s">
        <v>2818</v>
      </c>
      <c r="F487" s="423">
        <v>6</v>
      </c>
      <c r="G487" s="423">
        <v>20</v>
      </c>
      <c r="H487" s="423">
        <v>140</v>
      </c>
      <c r="J487" s="423"/>
      <c r="K487" s="423"/>
      <c r="L487" s="423"/>
      <c r="M487" s="423"/>
      <c r="Q487" s="423"/>
      <c r="R487" s="424" t="s">
        <v>4189</v>
      </c>
      <c r="S487" s="424" t="s">
        <v>2846</v>
      </c>
      <c r="T487" s="424" t="s">
        <v>3957</v>
      </c>
      <c r="U487" s="424">
        <v>0</v>
      </c>
      <c r="V487" s="424" t="s">
        <v>3269</v>
      </c>
      <c r="W487" s="424" t="s">
        <v>2974</v>
      </c>
      <c r="X487" s="424" t="s">
        <v>2825</v>
      </c>
      <c r="Y487" s="424" t="s">
        <v>3908</v>
      </c>
      <c r="Z487" s="424" t="s">
        <v>2848</v>
      </c>
      <c r="AA487" s="424" t="s">
        <v>2855</v>
      </c>
      <c r="AB487" s="424" t="s">
        <v>4190</v>
      </c>
      <c r="AC487" s="424" t="s">
        <v>1953</v>
      </c>
      <c r="AD487" s="424" t="s">
        <v>2851</v>
      </c>
      <c r="AE487" s="424" t="s">
        <v>3154</v>
      </c>
      <c r="AF487" s="424"/>
      <c r="AG487" s="424"/>
      <c r="AH487" s="424"/>
    </row>
    <row r="488" spans="1:34" x14ac:dyDescent="0.25">
      <c r="A488" s="423" t="s">
        <v>4160</v>
      </c>
      <c r="B488" s="423" t="s">
        <v>4191</v>
      </c>
      <c r="C488" s="423" t="s">
        <v>668</v>
      </c>
      <c r="D488" s="423" t="s">
        <v>4139</v>
      </c>
      <c r="E488" s="423" t="s">
        <v>2818</v>
      </c>
      <c r="F488" s="423">
        <v>8</v>
      </c>
      <c r="G488" s="423">
        <v>20</v>
      </c>
      <c r="H488" s="423">
        <v>140</v>
      </c>
      <c r="J488" s="423"/>
      <c r="K488" s="423"/>
      <c r="L488" s="423"/>
      <c r="M488" s="423"/>
      <c r="Q488" s="423"/>
      <c r="R488" s="424" t="s">
        <v>4191</v>
      </c>
      <c r="S488" s="424" t="s">
        <v>2846</v>
      </c>
      <c r="T488" s="424" t="s">
        <v>3957</v>
      </c>
      <c r="U488" s="424">
        <v>0</v>
      </c>
      <c r="V488" s="424" t="s">
        <v>3269</v>
      </c>
      <c r="W488" s="424" t="s">
        <v>3054</v>
      </c>
      <c r="X488" s="424" t="s">
        <v>2825</v>
      </c>
      <c r="Y488" s="424" t="s">
        <v>3908</v>
      </c>
      <c r="Z488" s="424" t="s">
        <v>2848</v>
      </c>
      <c r="AA488" s="424" t="s">
        <v>2849</v>
      </c>
      <c r="AB488" s="424" t="s">
        <v>4192</v>
      </c>
      <c r="AC488" s="424" t="s">
        <v>1953</v>
      </c>
      <c r="AD488" s="424" t="s">
        <v>2851</v>
      </c>
      <c r="AE488" s="424" t="s">
        <v>4193</v>
      </c>
      <c r="AF488" s="424"/>
      <c r="AG488" s="424"/>
      <c r="AH488" s="424"/>
    </row>
    <row r="489" spans="1:34" x14ac:dyDescent="0.25">
      <c r="A489" s="423" t="s">
        <v>4160</v>
      </c>
      <c r="B489" s="423" t="s">
        <v>4194</v>
      </c>
      <c r="C489" s="423" t="s">
        <v>668</v>
      </c>
      <c r="D489" s="423" t="s">
        <v>4139</v>
      </c>
      <c r="E489" s="423" t="s">
        <v>2818</v>
      </c>
      <c r="F489" s="423">
        <v>4</v>
      </c>
      <c r="G489" s="423">
        <v>32</v>
      </c>
      <c r="H489" s="423">
        <v>1367</v>
      </c>
      <c r="J489" s="423"/>
      <c r="K489" s="423"/>
      <c r="L489" s="423"/>
      <c r="M489" s="423"/>
      <c r="Q489" s="423"/>
      <c r="R489" s="424" t="s">
        <v>4195</v>
      </c>
      <c r="S489" s="424" t="s">
        <v>2820</v>
      </c>
      <c r="T489" s="424" t="s">
        <v>4014</v>
      </c>
      <c r="U489" s="424">
        <v>0</v>
      </c>
      <c r="V489" s="424" t="s">
        <v>4196</v>
      </c>
      <c r="W489" s="424" t="s">
        <v>2092</v>
      </c>
      <c r="X489" s="424">
        <v>0</v>
      </c>
      <c r="Y489" s="424" t="s">
        <v>2279</v>
      </c>
      <c r="Z489" s="424" t="s">
        <v>2889</v>
      </c>
      <c r="AA489" s="424" t="s">
        <v>4197</v>
      </c>
      <c r="AB489" s="424" t="s">
        <v>4198</v>
      </c>
      <c r="AC489" s="424" t="s">
        <v>3263</v>
      </c>
      <c r="AD489" s="424" t="s">
        <v>3264</v>
      </c>
      <c r="AE489" s="424" t="s">
        <v>4199</v>
      </c>
      <c r="AF489" s="424"/>
      <c r="AG489" s="424"/>
      <c r="AH489" s="424"/>
    </row>
    <row r="490" spans="1:34" x14ac:dyDescent="0.25">
      <c r="A490" s="423" t="s">
        <v>4160</v>
      </c>
      <c r="B490" s="423" t="s">
        <v>4200</v>
      </c>
      <c r="C490" s="423" t="s">
        <v>668</v>
      </c>
      <c r="D490" s="423" t="s">
        <v>4139</v>
      </c>
      <c r="E490" s="423" t="s">
        <v>2818</v>
      </c>
      <c r="F490" s="423">
        <v>4</v>
      </c>
      <c r="G490" s="423">
        <v>32</v>
      </c>
      <c r="H490" s="423"/>
      <c r="J490" s="423"/>
      <c r="K490" s="423"/>
      <c r="L490" s="423"/>
      <c r="M490" s="423"/>
      <c r="Q490" s="423"/>
      <c r="R490" s="424" t="s">
        <v>4201</v>
      </c>
      <c r="S490" s="424" t="s">
        <v>2820</v>
      </c>
      <c r="T490" s="424" t="s">
        <v>4014</v>
      </c>
      <c r="U490" s="424">
        <v>0</v>
      </c>
      <c r="V490" s="424" t="s">
        <v>4196</v>
      </c>
      <c r="W490" s="424" t="s">
        <v>2092</v>
      </c>
      <c r="X490" s="424">
        <v>0</v>
      </c>
      <c r="Y490" s="424" t="s">
        <v>2279</v>
      </c>
      <c r="Z490" s="424" t="s">
        <v>2889</v>
      </c>
      <c r="AA490" s="424" t="s">
        <v>4197</v>
      </c>
      <c r="AB490" s="424" t="s">
        <v>4202</v>
      </c>
      <c r="AC490" s="424" t="s">
        <v>3263</v>
      </c>
      <c r="AD490" s="424" t="s">
        <v>3264</v>
      </c>
      <c r="AE490" s="424" t="s">
        <v>4199</v>
      </c>
      <c r="AF490" s="424"/>
      <c r="AG490" s="424"/>
      <c r="AH490" s="424"/>
    </row>
    <row r="491" spans="1:34" x14ac:dyDescent="0.25">
      <c r="A491" s="423" t="s">
        <v>4160</v>
      </c>
      <c r="B491" s="423" t="s">
        <v>4203</v>
      </c>
      <c r="C491" s="423" t="s">
        <v>668</v>
      </c>
      <c r="D491" s="423" t="s">
        <v>4139</v>
      </c>
      <c r="E491" s="423" t="s">
        <v>2818</v>
      </c>
      <c r="F491" s="423">
        <v>16</v>
      </c>
      <c r="G491" s="423">
        <v>8</v>
      </c>
      <c r="H491" s="423"/>
      <c r="J491" s="423"/>
      <c r="K491" s="423"/>
      <c r="L491" s="423"/>
      <c r="M491" s="423"/>
      <c r="Q491" s="423"/>
      <c r="R491" s="424" t="s">
        <v>4204</v>
      </c>
      <c r="S491" s="424" t="s">
        <v>2846</v>
      </c>
      <c r="T491" s="424" t="s">
        <v>4205</v>
      </c>
      <c r="U491" s="424">
        <v>0</v>
      </c>
      <c r="V491" s="424" t="s">
        <v>668</v>
      </c>
      <c r="W491" s="424" t="s">
        <v>3074</v>
      </c>
      <c r="X491" s="424" t="s">
        <v>2825</v>
      </c>
      <c r="Y491" s="424" t="s">
        <v>2279</v>
      </c>
      <c r="Z491" s="424" t="s">
        <v>2872</v>
      </c>
      <c r="AA491" s="424" t="s">
        <v>3197</v>
      </c>
      <c r="AB491" s="424" t="s">
        <v>3752</v>
      </c>
      <c r="AC491" s="424" t="s">
        <v>1953</v>
      </c>
      <c r="AD491" s="424" t="s">
        <v>2829</v>
      </c>
      <c r="AE491" s="424" t="s">
        <v>3216</v>
      </c>
      <c r="AF491" s="424"/>
      <c r="AG491" s="424"/>
      <c r="AH491" s="424"/>
    </row>
    <row r="492" spans="1:34" x14ac:dyDescent="0.25">
      <c r="A492" s="423" t="s">
        <v>4160</v>
      </c>
      <c r="B492" s="423" t="s">
        <v>4206</v>
      </c>
      <c r="C492" s="423" t="s">
        <v>668</v>
      </c>
      <c r="D492" s="423" t="s">
        <v>4139</v>
      </c>
      <c r="E492" s="423" t="s">
        <v>2818</v>
      </c>
      <c r="F492" s="423">
        <v>16</v>
      </c>
      <c r="G492" s="423">
        <v>8</v>
      </c>
      <c r="H492" s="423"/>
      <c r="J492" s="423"/>
      <c r="K492" s="423"/>
      <c r="L492" s="423"/>
      <c r="M492" s="423"/>
      <c r="Q492" s="423"/>
      <c r="R492" s="424" t="s">
        <v>4207</v>
      </c>
      <c r="S492" s="424" t="s">
        <v>2846</v>
      </c>
      <c r="T492" s="424" t="s">
        <v>4205</v>
      </c>
      <c r="U492" s="424">
        <v>0</v>
      </c>
      <c r="V492" s="424" t="s">
        <v>668</v>
      </c>
      <c r="W492" s="424" t="s">
        <v>3074</v>
      </c>
      <c r="X492" s="424" t="s">
        <v>2825</v>
      </c>
      <c r="Y492" s="424" t="s">
        <v>2279</v>
      </c>
      <c r="Z492" s="424" t="s">
        <v>2848</v>
      </c>
      <c r="AA492" s="424" t="s">
        <v>2855</v>
      </c>
      <c r="AB492" s="424" t="s">
        <v>4208</v>
      </c>
      <c r="AC492" s="424" t="s">
        <v>1953</v>
      </c>
      <c r="AD492" s="424" t="s">
        <v>2851</v>
      </c>
      <c r="AE492" s="424" t="s">
        <v>3158</v>
      </c>
      <c r="AF492" s="424"/>
      <c r="AG492" s="424"/>
      <c r="AH492" s="424"/>
    </row>
    <row r="493" spans="1:34" x14ac:dyDescent="0.25">
      <c r="A493" s="423" t="s">
        <v>4160</v>
      </c>
      <c r="B493" s="423" t="s">
        <v>4209</v>
      </c>
      <c r="C493" s="423" t="s">
        <v>668</v>
      </c>
      <c r="D493" s="423" t="s">
        <v>4139</v>
      </c>
      <c r="E493" s="423" t="s">
        <v>2818</v>
      </c>
      <c r="F493" s="423">
        <v>4</v>
      </c>
      <c r="G493" s="423">
        <v>8</v>
      </c>
      <c r="H493" s="423"/>
      <c r="J493" s="423"/>
      <c r="K493" s="423"/>
      <c r="L493" s="423"/>
      <c r="M493" s="423"/>
      <c r="Q493" s="423"/>
      <c r="R493" s="424" t="s">
        <v>4210</v>
      </c>
      <c r="S493" s="424" t="s">
        <v>2846</v>
      </c>
      <c r="T493" s="424" t="s">
        <v>4211</v>
      </c>
      <c r="U493" s="424">
        <v>0</v>
      </c>
      <c r="V493" s="424" t="s">
        <v>3269</v>
      </c>
      <c r="W493" s="424" t="s">
        <v>3055</v>
      </c>
      <c r="X493" s="424">
        <v>0</v>
      </c>
      <c r="Y493" s="424" t="s">
        <v>2279</v>
      </c>
      <c r="Z493" s="424" t="s">
        <v>2848</v>
      </c>
      <c r="AA493" s="424" t="s">
        <v>2855</v>
      </c>
      <c r="AB493" s="424" t="s">
        <v>4212</v>
      </c>
      <c r="AC493" s="424" t="s">
        <v>1953</v>
      </c>
      <c r="AD493" s="424" t="s">
        <v>2851</v>
      </c>
      <c r="AE493" s="424" t="s">
        <v>2857</v>
      </c>
      <c r="AF493" s="424"/>
      <c r="AG493" s="424"/>
      <c r="AH493" s="424"/>
    </row>
    <row r="494" spans="1:34" x14ac:dyDescent="0.25">
      <c r="A494" s="423" t="s">
        <v>4160</v>
      </c>
      <c r="B494" s="423" t="s">
        <v>4213</v>
      </c>
      <c r="C494" s="423" t="s">
        <v>668</v>
      </c>
      <c r="D494" s="423" t="s">
        <v>4139</v>
      </c>
      <c r="E494" s="423" t="s">
        <v>2818</v>
      </c>
      <c r="F494" s="423">
        <v>22</v>
      </c>
      <c r="G494" s="423">
        <v>43</v>
      </c>
      <c r="H494" s="423">
        <v>1020</v>
      </c>
      <c r="J494" s="423"/>
      <c r="K494" s="423"/>
      <c r="L494" s="423"/>
      <c r="M494" s="423"/>
      <c r="Q494" s="423"/>
      <c r="R494" s="424" t="s">
        <v>4214</v>
      </c>
      <c r="S494" s="424" t="s">
        <v>2846</v>
      </c>
      <c r="T494" s="424" t="s">
        <v>2870</v>
      </c>
      <c r="U494" s="424">
        <v>0</v>
      </c>
      <c r="V494" s="424" t="s">
        <v>33</v>
      </c>
      <c r="W494" s="424" t="s">
        <v>3074</v>
      </c>
      <c r="X494" s="424" t="s">
        <v>2224</v>
      </c>
      <c r="Y494" s="424" t="s">
        <v>2279</v>
      </c>
      <c r="Z494" s="424" t="s">
        <v>2872</v>
      </c>
      <c r="AA494" s="424" t="s">
        <v>2873</v>
      </c>
      <c r="AB494" s="424" t="s">
        <v>4215</v>
      </c>
      <c r="AC494" s="424" t="s">
        <v>1953</v>
      </c>
      <c r="AD494" s="424" t="s">
        <v>2892</v>
      </c>
      <c r="AE494" s="424" t="s">
        <v>2962</v>
      </c>
      <c r="AF494" s="424"/>
      <c r="AG494" s="424"/>
      <c r="AH494" s="424"/>
    </row>
    <row r="495" spans="1:34" x14ac:dyDescent="0.25">
      <c r="A495" s="423" t="s">
        <v>4160</v>
      </c>
      <c r="B495" s="423" t="s">
        <v>4216</v>
      </c>
      <c r="C495" s="423" t="s">
        <v>668</v>
      </c>
      <c r="D495" s="423" t="s">
        <v>4139</v>
      </c>
      <c r="E495" s="423" t="s">
        <v>2818</v>
      </c>
      <c r="F495" s="423">
        <v>22</v>
      </c>
      <c r="G495" s="423">
        <v>44</v>
      </c>
      <c r="H495" s="423">
        <v>1020</v>
      </c>
      <c r="J495" s="423"/>
      <c r="K495" s="423"/>
      <c r="L495" s="423"/>
      <c r="M495" s="423"/>
      <c r="Q495" s="423"/>
      <c r="R495" s="424" t="s">
        <v>4217</v>
      </c>
      <c r="S495" s="424" t="s">
        <v>2846</v>
      </c>
      <c r="T495" s="424" t="s">
        <v>2870</v>
      </c>
      <c r="U495" s="424">
        <v>0</v>
      </c>
      <c r="V495" s="424" t="s">
        <v>33</v>
      </c>
      <c r="W495" s="424" t="s">
        <v>2974</v>
      </c>
      <c r="X495" s="424" t="s">
        <v>2224</v>
      </c>
      <c r="Y495" s="424" t="s">
        <v>2279</v>
      </c>
      <c r="Z495" s="424" t="s">
        <v>2872</v>
      </c>
      <c r="AA495" s="424" t="s">
        <v>2873</v>
      </c>
      <c r="AB495" s="424" t="s">
        <v>4218</v>
      </c>
      <c r="AC495" s="424" t="s">
        <v>1953</v>
      </c>
      <c r="AD495" s="424" t="s">
        <v>2892</v>
      </c>
      <c r="AE495" s="424" t="s">
        <v>4219</v>
      </c>
      <c r="AF495" s="424"/>
      <c r="AG495" s="424"/>
      <c r="AH495" s="424"/>
    </row>
    <row r="496" spans="1:34" x14ac:dyDescent="0.25">
      <c r="A496" s="423" t="s">
        <v>4160</v>
      </c>
      <c r="B496" s="423" t="s">
        <v>4220</v>
      </c>
      <c r="C496" s="423" t="s">
        <v>668</v>
      </c>
      <c r="D496" s="423" t="s">
        <v>4139</v>
      </c>
      <c r="E496" s="423" t="s">
        <v>2818</v>
      </c>
      <c r="F496" s="423">
        <v>22</v>
      </c>
      <c r="G496" s="423">
        <v>45</v>
      </c>
      <c r="H496" s="423">
        <v>1020</v>
      </c>
      <c r="J496" s="423"/>
      <c r="K496" s="423"/>
      <c r="L496" s="423"/>
      <c r="M496" s="423"/>
      <c r="Q496" s="423"/>
      <c r="R496" s="424" t="s">
        <v>4221</v>
      </c>
      <c r="S496" s="424" t="s">
        <v>2846</v>
      </c>
      <c r="T496" s="424" t="s">
        <v>2870</v>
      </c>
      <c r="U496" s="424">
        <v>0</v>
      </c>
      <c r="V496" s="424" t="s">
        <v>33</v>
      </c>
      <c r="W496" s="424" t="s">
        <v>3074</v>
      </c>
      <c r="X496" s="424" t="s">
        <v>2224</v>
      </c>
      <c r="Y496" s="424" t="s">
        <v>2279</v>
      </c>
      <c r="Z496" s="424" t="s">
        <v>2872</v>
      </c>
      <c r="AA496" s="424" t="s">
        <v>2873</v>
      </c>
      <c r="AB496" s="424" t="s">
        <v>4222</v>
      </c>
      <c r="AC496" s="424" t="s">
        <v>1953</v>
      </c>
      <c r="AD496" s="424" t="s">
        <v>2892</v>
      </c>
      <c r="AE496" s="424" t="s">
        <v>2962</v>
      </c>
      <c r="AF496" s="424"/>
      <c r="AG496" s="424"/>
      <c r="AH496" s="424"/>
    </row>
    <row r="497" spans="1:34" x14ac:dyDescent="0.25">
      <c r="A497" s="423" t="s">
        <v>4160</v>
      </c>
      <c r="B497" s="423" t="s">
        <v>4223</v>
      </c>
      <c r="C497" s="423" t="s">
        <v>668</v>
      </c>
      <c r="D497" s="423" t="s">
        <v>4139</v>
      </c>
      <c r="E497" s="423" t="s">
        <v>2818</v>
      </c>
      <c r="F497" s="423">
        <v>22</v>
      </c>
      <c r="G497" s="423">
        <v>46</v>
      </c>
      <c r="H497" s="423">
        <v>725</v>
      </c>
      <c r="J497" s="423"/>
      <c r="K497" s="423"/>
      <c r="L497" s="423"/>
      <c r="M497" s="423"/>
      <c r="Q497" s="423"/>
      <c r="R497" s="424" t="s">
        <v>4224</v>
      </c>
      <c r="S497" s="424" t="s">
        <v>2846</v>
      </c>
      <c r="T497" s="424" t="s">
        <v>2870</v>
      </c>
      <c r="U497" s="424">
        <v>0</v>
      </c>
      <c r="V497" s="424" t="s">
        <v>2924</v>
      </c>
      <c r="W497" s="424" t="s">
        <v>2974</v>
      </c>
      <c r="X497" s="424" t="s">
        <v>2224</v>
      </c>
      <c r="Y497" s="424" t="s">
        <v>2279</v>
      </c>
      <c r="Z497" s="424" t="s">
        <v>2872</v>
      </c>
      <c r="AA497" s="424" t="s">
        <v>2873</v>
      </c>
      <c r="AB497" s="424" t="s">
        <v>4218</v>
      </c>
      <c r="AC497" s="424" t="s">
        <v>1953</v>
      </c>
      <c r="AD497" s="424" t="s">
        <v>2892</v>
      </c>
      <c r="AE497" s="424" t="s">
        <v>4219</v>
      </c>
      <c r="AF497" s="424"/>
      <c r="AG497" s="424"/>
      <c r="AH497" s="424"/>
    </row>
    <row r="498" spans="1:34" x14ac:dyDescent="0.25">
      <c r="A498" s="423" t="s">
        <v>4160</v>
      </c>
      <c r="B498" s="423" t="s">
        <v>4225</v>
      </c>
      <c r="C498" s="423" t="s">
        <v>668</v>
      </c>
      <c r="D498" s="423" t="s">
        <v>4139</v>
      </c>
      <c r="E498" s="423" t="s">
        <v>2818</v>
      </c>
      <c r="F498" s="423">
        <v>22</v>
      </c>
      <c r="G498" s="423">
        <v>46</v>
      </c>
      <c r="H498" s="423">
        <v>725</v>
      </c>
      <c r="J498" s="423"/>
      <c r="K498" s="423"/>
      <c r="L498" s="423"/>
      <c r="M498" s="423"/>
      <c r="Q498" s="423"/>
      <c r="R498" s="424" t="s">
        <v>4226</v>
      </c>
      <c r="S498" s="424" t="s">
        <v>2846</v>
      </c>
      <c r="T498" s="424" t="s">
        <v>2870</v>
      </c>
      <c r="U498" s="424">
        <v>0</v>
      </c>
      <c r="V498" s="424" t="s">
        <v>2973</v>
      </c>
      <c r="W498" s="424" t="s">
        <v>3074</v>
      </c>
      <c r="X498" s="424" t="s">
        <v>2224</v>
      </c>
      <c r="Y498" s="424" t="s">
        <v>2279</v>
      </c>
      <c r="Z498" s="424" t="s">
        <v>2872</v>
      </c>
      <c r="AA498" s="424" t="s">
        <v>3197</v>
      </c>
      <c r="AB498" s="424" t="s">
        <v>3392</v>
      </c>
      <c r="AC498" s="424" t="s">
        <v>1953</v>
      </c>
      <c r="AD498" s="424" t="s">
        <v>2892</v>
      </c>
      <c r="AE498" s="424" t="s">
        <v>3348</v>
      </c>
      <c r="AF498" s="424"/>
      <c r="AG498" s="424"/>
      <c r="AH498" s="424"/>
    </row>
    <row r="499" spans="1:34" x14ac:dyDescent="0.25">
      <c r="A499" s="423" t="s">
        <v>4160</v>
      </c>
      <c r="B499" s="423" t="s">
        <v>4227</v>
      </c>
      <c r="C499" s="423" t="s">
        <v>668</v>
      </c>
      <c r="D499" s="423" t="s">
        <v>4139</v>
      </c>
      <c r="E499" s="423" t="s">
        <v>2818</v>
      </c>
      <c r="F499" s="423">
        <v>22</v>
      </c>
      <c r="G499" s="423">
        <v>46</v>
      </c>
      <c r="H499" s="423">
        <v>725</v>
      </c>
      <c r="J499" s="423"/>
      <c r="K499" s="423"/>
      <c r="L499" s="423"/>
      <c r="M499" s="423"/>
      <c r="Q499" s="423"/>
      <c r="R499" s="424" t="s">
        <v>4228</v>
      </c>
      <c r="S499" s="424" t="s">
        <v>2846</v>
      </c>
      <c r="T499" s="424" t="s">
        <v>2870</v>
      </c>
      <c r="U499" s="424">
        <v>0</v>
      </c>
      <c r="V499" s="424" t="s">
        <v>2973</v>
      </c>
      <c r="W499" s="424" t="s">
        <v>3074</v>
      </c>
      <c r="X499" s="424" t="s">
        <v>2224</v>
      </c>
      <c r="Y499" s="424" t="s">
        <v>2279</v>
      </c>
      <c r="Z499" s="424" t="s">
        <v>2872</v>
      </c>
      <c r="AA499" s="424" t="s">
        <v>3197</v>
      </c>
      <c r="AB499" s="424" t="s">
        <v>3803</v>
      </c>
      <c r="AC499" s="424" t="s">
        <v>1953</v>
      </c>
      <c r="AD499" s="424" t="s">
        <v>2892</v>
      </c>
      <c r="AE499" s="424" t="s">
        <v>3348</v>
      </c>
      <c r="AF499" s="424"/>
      <c r="AG499" s="424"/>
      <c r="AH499" s="424"/>
    </row>
    <row r="500" spans="1:34" x14ac:dyDescent="0.25">
      <c r="A500" s="423" t="s">
        <v>4229</v>
      </c>
      <c r="B500" s="423" t="s">
        <v>4230</v>
      </c>
      <c r="C500" s="423" t="s">
        <v>668</v>
      </c>
      <c r="D500" s="423" t="s">
        <v>4139</v>
      </c>
      <c r="E500" s="423" t="s">
        <v>2818</v>
      </c>
      <c r="F500" s="423">
        <v>12</v>
      </c>
      <c r="G500" s="423">
        <v>8</v>
      </c>
      <c r="H500" s="423">
        <v>160</v>
      </c>
      <c r="J500" s="423"/>
      <c r="K500" s="423"/>
      <c r="L500" s="423"/>
      <c r="M500" s="423"/>
      <c r="Q500" s="423"/>
      <c r="R500" s="424" t="s">
        <v>4231</v>
      </c>
      <c r="S500" s="424" t="s">
        <v>2846</v>
      </c>
      <c r="T500" s="424" t="s">
        <v>4232</v>
      </c>
      <c r="U500" s="424">
        <v>0</v>
      </c>
      <c r="V500" s="424" t="s">
        <v>33</v>
      </c>
      <c r="W500" s="424" t="s">
        <v>3694</v>
      </c>
      <c r="X500" s="424" t="s">
        <v>2224</v>
      </c>
      <c r="Y500" s="424" t="s">
        <v>2279</v>
      </c>
      <c r="Z500" s="424" t="s">
        <v>2872</v>
      </c>
      <c r="AA500" s="424" t="s">
        <v>4233</v>
      </c>
      <c r="AB500" s="424" t="s">
        <v>4234</v>
      </c>
      <c r="AC500" s="424" t="s">
        <v>1953</v>
      </c>
      <c r="AD500" s="424" t="s">
        <v>4235</v>
      </c>
      <c r="AE500" s="424" t="s">
        <v>4236</v>
      </c>
      <c r="AF500" s="424"/>
      <c r="AG500" s="424"/>
      <c r="AH500" s="424"/>
    </row>
    <row r="501" spans="1:34" x14ac:dyDescent="0.25">
      <c r="A501" s="423" t="s">
        <v>4229</v>
      </c>
      <c r="B501" s="423" t="s">
        <v>4237</v>
      </c>
      <c r="C501" s="423" t="s">
        <v>668</v>
      </c>
      <c r="D501" s="423" t="s">
        <v>4139</v>
      </c>
      <c r="E501" s="423" t="s">
        <v>2818</v>
      </c>
      <c r="F501" s="423">
        <v>12</v>
      </c>
      <c r="G501" s="423">
        <v>8</v>
      </c>
      <c r="H501" s="423">
        <v>160</v>
      </c>
      <c r="J501" s="423"/>
      <c r="K501" s="423"/>
      <c r="L501" s="423"/>
      <c r="M501" s="423"/>
      <c r="Q501" s="423"/>
      <c r="R501" s="424" t="s">
        <v>4238</v>
      </c>
      <c r="S501" s="424" t="s">
        <v>2846</v>
      </c>
      <c r="T501" s="424" t="s">
        <v>4232</v>
      </c>
      <c r="U501" s="424">
        <v>0</v>
      </c>
      <c r="V501" s="424" t="s">
        <v>33</v>
      </c>
      <c r="W501" s="424" t="s">
        <v>3694</v>
      </c>
      <c r="X501" s="424" t="s">
        <v>2224</v>
      </c>
      <c r="Y501" s="424" t="s">
        <v>2279</v>
      </c>
      <c r="Z501" s="424" t="s">
        <v>2872</v>
      </c>
      <c r="AA501" s="424" t="s">
        <v>4233</v>
      </c>
      <c r="AB501" s="424" t="s">
        <v>4239</v>
      </c>
      <c r="AC501" s="424" t="s">
        <v>1953</v>
      </c>
      <c r="AD501" s="424" t="s">
        <v>4235</v>
      </c>
      <c r="AE501" s="424" t="s">
        <v>4240</v>
      </c>
      <c r="AF501" s="424"/>
      <c r="AG501" s="424"/>
      <c r="AH501" s="424"/>
    </row>
    <row r="502" spans="1:34" x14ac:dyDescent="0.25">
      <c r="A502" s="423" t="s">
        <v>4229</v>
      </c>
      <c r="B502" s="423" t="s">
        <v>4241</v>
      </c>
      <c r="C502" s="423" t="s">
        <v>668</v>
      </c>
      <c r="D502" s="423" t="s">
        <v>4139</v>
      </c>
      <c r="E502" s="423" t="s">
        <v>2818</v>
      </c>
      <c r="F502" s="423">
        <v>12</v>
      </c>
      <c r="G502" s="423">
        <v>8</v>
      </c>
      <c r="H502" s="423">
        <v>160</v>
      </c>
      <c r="J502" s="423"/>
      <c r="K502" s="423"/>
      <c r="L502" s="423"/>
      <c r="M502" s="423"/>
      <c r="Q502" s="423"/>
      <c r="R502" s="424" t="s">
        <v>4242</v>
      </c>
      <c r="S502" s="424" t="s">
        <v>2846</v>
      </c>
      <c r="T502" s="424" t="s">
        <v>4232</v>
      </c>
      <c r="U502" s="424">
        <v>0</v>
      </c>
      <c r="V502" s="424" t="s">
        <v>33</v>
      </c>
      <c r="W502" s="424" t="s">
        <v>3694</v>
      </c>
      <c r="X502" s="424" t="s">
        <v>2224</v>
      </c>
      <c r="Y502" s="424" t="s">
        <v>2279</v>
      </c>
      <c r="Z502" s="424" t="s">
        <v>2872</v>
      </c>
      <c r="AA502" s="424" t="s">
        <v>4233</v>
      </c>
      <c r="AB502" s="424" t="s">
        <v>4243</v>
      </c>
      <c r="AC502" s="424" t="s">
        <v>1953</v>
      </c>
      <c r="AD502" s="424" t="s">
        <v>4235</v>
      </c>
      <c r="AE502" s="424" t="s">
        <v>4244</v>
      </c>
      <c r="AF502" s="424"/>
      <c r="AG502" s="424"/>
      <c r="AH502" s="424"/>
    </row>
    <row r="503" spans="1:34" x14ac:dyDescent="0.25">
      <c r="A503" s="423" t="s">
        <v>4229</v>
      </c>
      <c r="B503" s="423" t="s">
        <v>4245</v>
      </c>
      <c r="C503" s="423" t="s">
        <v>668</v>
      </c>
      <c r="D503" s="423" t="s">
        <v>4139</v>
      </c>
      <c r="E503" s="423" t="s">
        <v>2818</v>
      </c>
      <c r="F503" s="423">
        <v>12</v>
      </c>
      <c r="G503" s="423">
        <v>8</v>
      </c>
      <c r="H503" s="423">
        <v>160</v>
      </c>
      <c r="J503" s="423"/>
      <c r="K503" s="423"/>
      <c r="L503" s="423"/>
      <c r="M503" s="423"/>
      <c r="Q503" s="423"/>
      <c r="R503" s="424" t="s">
        <v>4246</v>
      </c>
      <c r="S503" s="424" t="s">
        <v>2846</v>
      </c>
      <c r="T503" s="424" t="s">
        <v>4232</v>
      </c>
      <c r="U503" s="424">
        <v>0</v>
      </c>
      <c r="V503" s="424" t="s">
        <v>33</v>
      </c>
      <c r="W503" s="424" t="s">
        <v>3694</v>
      </c>
      <c r="X503" s="424" t="s">
        <v>2224</v>
      </c>
      <c r="Y503" s="424" t="s">
        <v>2279</v>
      </c>
      <c r="Z503" s="424" t="s">
        <v>2872</v>
      </c>
      <c r="AA503" s="424" t="s">
        <v>4233</v>
      </c>
      <c r="AB503" s="424" t="s">
        <v>4247</v>
      </c>
      <c r="AC503" s="424" t="s">
        <v>1953</v>
      </c>
      <c r="AD503" s="424" t="s">
        <v>4235</v>
      </c>
      <c r="AE503" s="424" t="s">
        <v>4248</v>
      </c>
      <c r="AF503" s="424"/>
      <c r="AG503" s="424"/>
      <c r="AH503" s="424"/>
    </row>
    <row r="504" spans="1:34" x14ac:dyDescent="0.25">
      <c r="A504" s="423" t="s">
        <v>4229</v>
      </c>
      <c r="B504" s="423" t="s">
        <v>4249</v>
      </c>
      <c r="C504" s="423" t="s">
        <v>668</v>
      </c>
      <c r="D504" s="423" t="s">
        <v>4139</v>
      </c>
      <c r="E504" s="423" t="s">
        <v>2818</v>
      </c>
      <c r="F504" s="423">
        <v>12</v>
      </c>
      <c r="G504" s="423">
        <v>8</v>
      </c>
      <c r="H504" s="423">
        <v>160</v>
      </c>
      <c r="J504" s="423"/>
      <c r="K504" s="423"/>
      <c r="L504" s="423"/>
      <c r="M504" s="423"/>
      <c r="Q504" s="423"/>
      <c r="R504" s="424" t="s">
        <v>4250</v>
      </c>
      <c r="S504" s="424" t="s">
        <v>2846</v>
      </c>
      <c r="T504" s="424" t="s">
        <v>4232</v>
      </c>
      <c r="U504" s="424">
        <v>0</v>
      </c>
      <c r="V504" s="424" t="s">
        <v>33</v>
      </c>
      <c r="W504" s="424" t="s">
        <v>3694</v>
      </c>
      <c r="X504" s="424" t="s">
        <v>2224</v>
      </c>
      <c r="Y504" s="424" t="s">
        <v>2279</v>
      </c>
      <c r="Z504" s="424" t="s">
        <v>2872</v>
      </c>
      <c r="AA504" s="424" t="s">
        <v>4233</v>
      </c>
      <c r="AB504" s="424" t="s">
        <v>4251</v>
      </c>
      <c r="AC504" s="424" t="s">
        <v>1953</v>
      </c>
      <c r="AD504" s="424" t="s">
        <v>4235</v>
      </c>
      <c r="AE504" s="424" t="s">
        <v>4236</v>
      </c>
      <c r="AF504" s="424"/>
      <c r="AG504" s="424"/>
      <c r="AH504" s="424"/>
    </row>
    <row r="505" spans="1:34" x14ac:dyDescent="0.25">
      <c r="A505" s="423" t="s">
        <v>4229</v>
      </c>
      <c r="B505" s="423" t="s">
        <v>4252</v>
      </c>
      <c r="C505" s="423" t="s">
        <v>668</v>
      </c>
      <c r="D505" s="423" t="s">
        <v>4139</v>
      </c>
      <c r="E505" s="423" t="s">
        <v>2818</v>
      </c>
      <c r="F505" s="423">
        <v>12</v>
      </c>
      <c r="G505" s="423">
        <v>8</v>
      </c>
      <c r="H505" s="423">
        <v>160</v>
      </c>
      <c r="J505" s="423"/>
      <c r="K505" s="423"/>
      <c r="L505" s="423"/>
      <c r="M505" s="423"/>
      <c r="Q505" s="423"/>
      <c r="R505" s="424" t="s">
        <v>4253</v>
      </c>
      <c r="S505" s="424" t="s">
        <v>2846</v>
      </c>
      <c r="T505" s="424" t="s">
        <v>4232</v>
      </c>
      <c r="U505" s="424">
        <v>0</v>
      </c>
      <c r="V505" s="424" t="s">
        <v>33</v>
      </c>
      <c r="W505" s="424" t="s">
        <v>3694</v>
      </c>
      <c r="X505" s="424" t="s">
        <v>2224</v>
      </c>
      <c r="Y505" s="424" t="s">
        <v>2279</v>
      </c>
      <c r="Z505" s="424" t="s">
        <v>2872</v>
      </c>
      <c r="AA505" s="424" t="s">
        <v>4233</v>
      </c>
      <c r="AB505" s="424" t="s">
        <v>4254</v>
      </c>
      <c r="AC505" s="424" t="s">
        <v>1953</v>
      </c>
      <c r="AD505" s="424" t="s">
        <v>4235</v>
      </c>
      <c r="AE505" s="424" t="s">
        <v>4255</v>
      </c>
      <c r="AF505" s="424"/>
      <c r="AG505" s="424"/>
      <c r="AH505" s="424"/>
    </row>
    <row r="506" spans="1:34" x14ac:dyDescent="0.25">
      <c r="A506" s="423" t="s">
        <v>4229</v>
      </c>
      <c r="B506" s="423" t="s">
        <v>4256</v>
      </c>
      <c r="C506" s="423" t="s">
        <v>668</v>
      </c>
      <c r="D506" s="423" t="s">
        <v>4139</v>
      </c>
      <c r="E506" s="423" t="s">
        <v>2818</v>
      </c>
      <c r="F506" s="423">
        <v>12</v>
      </c>
      <c r="G506" s="423">
        <v>8</v>
      </c>
      <c r="H506" s="423">
        <v>160</v>
      </c>
      <c r="J506" s="423"/>
      <c r="K506" s="423"/>
      <c r="L506" s="423"/>
      <c r="M506" s="423"/>
      <c r="Q506" s="423"/>
      <c r="R506" s="424" t="s">
        <v>4257</v>
      </c>
      <c r="S506" s="424" t="s">
        <v>2846</v>
      </c>
      <c r="T506" s="424" t="s">
        <v>4232</v>
      </c>
      <c r="U506" s="424">
        <v>0</v>
      </c>
      <c r="V506" s="424" t="s">
        <v>33</v>
      </c>
      <c r="W506" s="424" t="s">
        <v>3694</v>
      </c>
      <c r="X506" s="424" t="s">
        <v>2224</v>
      </c>
      <c r="Y506" s="424" t="s">
        <v>2279</v>
      </c>
      <c r="Z506" s="424" t="s">
        <v>2872</v>
      </c>
      <c r="AA506" s="424" t="s">
        <v>4233</v>
      </c>
      <c r="AB506" s="424" t="s">
        <v>4251</v>
      </c>
      <c r="AC506" s="424" t="s">
        <v>1953</v>
      </c>
      <c r="AD506" s="424" t="s">
        <v>4235</v>
      </c>
      <c r="AE506" s="424" t="s">
        <v>4236</v>
      </c>
      <c r="AF506" s="424"/>
      <c r="AG506" s="424"/>
      <c r="AH506" s="424"/>
    </row>
    <row r="507" spans="1:34" x14ac:dyDescent="0.25">
      <c r="A507" s="423" t="s">
        <v>4229</v>
      </c>
      <c r="B507" s="423" t="s">
        <v>4258</v>
      </c>
      <c r="C507" s="423" t="s">
        <v>668</v>
      </c>
      <c r="D507" s="423" t="s">
        <v>4139</v>
      </c>
      <c r="E507" s="423" t="s">
        <v>2818</v>
      </c>
      <c r="F507" s="423">
        <v>12</v>
      </c>
      <c r="G507" s="423">
        <v>8</v>
      </c>
      <c r="H507" s="423">
        <v>160</v>
      </c>
      <c r="J507" s="423"/>
      <c r="K507" s="423"/>
      <c r="L507" s="423"/>
      <c r="M507" s="423"/>
      <c r="Q507" s="423"/>
      <c r="R507" s="424" t="s">
        <v>4259</v>
      </c>
      <c r="S507" s="424" t="s">
        <v>2846</v>
      </c>
      <c r="T507" s="424" t="s">
        <v>4232</v>
      </c>
      <c r="U507" s="424">
        <v>0</v>
      </c>
      <c r="V507" s="424" t="s">
        <v>33</v>
      </c>
      <c r="W507" s="424" t="s">
        <v>3694</v>
      </c>
      <c r="X507" s="424" t="s">
        <v>2224</v>
      </c>
      <c r="Y507" s="424" t="s">
        <v>2279</v>
      </c>
      <c r="Z507" s="424" t="s">
        <v>2872</v>
      </c>
      <c r="AA507" s="424" t="s">
        <v>4233</v>
      </c>
      <c r="AB507" s="424" t="s">
        <v>4260</v>
      </c>
      <c r="AC507" s="424" t="s">
        <v>1953</v>
      </c>
      <c r="AD507" s="424" t="s">
        <v>4235</v>
      </c>
      <c r="AE507" s="424" t="s">
        <v>4244</v>
      </c>
      <c r="AF507" s="424"/>
      <c r="AG507" s="424"/>
      <c r="AH507" s="424"/>
    </row>
    <row r="508" spans="1:34" x14ac:dyDescent="0.25">
      <c r="A508" s="423" t="s">
        <v>4229</v>
      </c>
      <c r="B508" s="423" t="s">
        <v>4261</v>
      </c>
      <c r="C508" s="423" t="s">
        <v>668</v>
      </c>
      <c r="D508" s="423" t="s">
        <v>4139</v>
      </c>
      <c r="E508" s="423" t="s">
        <v>2818</v>
      </c>
      <c r="F508" s="423">
        <v>12</v>
      </c>
      <c r="G508" s="423">
        <v>8</v>
      </c>
      <c r="H508" s="423">
        <v>160</v>
      </c>
      <c r="J508" s="423"/>
      <c r="K508" s="423"/>
      <c r="L508" s="423"/>
      <c r="M508" s="423"/>
      <c r="Q508" s="423"/>
      <c r="R508" s="424" t="s">
        <v>4262</v>
      </c>
      <c r="S508" s="424" t="s">
        <v>2846</v>
      </c>
      <c r="T508" s="424" t="s">
        <v>4232</v>
      </c>
      <c r="U508" s="424">
        <v>0</v>
      </c>
      <c r="V508" s="424" t="s">
        <v>33</v>
      </c>
      <c r="W508" s="424" t="s">
        <v>3694</v>
      </c>
      <c r="X508" s="424" t="s">
        <v>2224</v>
      </c>
      <c r="Y508" s="424" t="s">
        <v>2279</v>
      </c>
      <c r="Z508" s="424" t="s">
        <v>2872</v>
      </c>
      <c r="AA508" s="424" t="s">
        <v>4233</v>
      </c>
      <c r="AB508" s="424" t="s">
        <v>4251</v>
      </c>
      <c r="AC508" s="424" t="s">
        <v>1953</v>
      </c>
      <c r="AD508" s="424" t="s">
        <v>4235</v>
      </c>
      <c r="AE508" s="424" t="s">
        <v>4236</v>
      </c>
      <c r="AF508" s="424"/>
      <c r="AG508" s="424"/>
      <c r="AH508" s="424"/>
    </row>
    <row r="509" spans="1:34" x14ac:dyDescent="0.25">
      <c r="A509" s="423" t="s">
        <v>4229</v>
      </c>
      <c r="B509" s="423" t="s">
        <v>4263</v>
      </c>
      <c r="C509" s="423" t="s">
        <v>668</v>
      </c>
      <c r="D509" s="423" t="s">
        <v>4139</v>
      </c>
      <c r="E509" s="423" t="s">
        <v>2818</v>
      </c>
      <c r="F509" s="423">
        <v>12</v>
      </c>
      <c r="G509" s="423">
        <v>8</v>
      </c>
      <c r="H509" s="423">
        <v>160</v>
      </c>
      <c r="J509" s="423"/>
      <c r="K509" s="423"/>
      <c r="L509" s="423"/>
      <c r="M509" s="423"/>
      <c r="Q509" s="423"/>
      <c r="R509" s="424" t="s">
        <v>4264</v>
      </c>
      <c r="S509" s="424" t="s">
        <v>2846</v>
      </c>
      <c r="T509" s="424" t="s">
        <v>4232</v>
      </c>
      <c r="U509" s="424">
        <v>0</v>
      </c>
      <c r="V509" s="424" t="s">
        <v>33</v>
      </c>
      <c r="W509" s="424" t="s">
        <v>3694</v>
      </c>
      <c r="X509" s="424" t="s">
        <v>2224</v>
      </c>
      <c r="Y509" s="424" t="s">
        <v>2279</v>
      </c>
      <c r="Z509" s="424" t="s">
        <v>2872</v>
      </c>
      <c r="AA509" s="424" t="s">
        <v>4233</v>
      </c>
      <c r="AB509" s="424" t="s">
        <v>4265</v>
      </c>
      <c r="AC509" s="424" t="s">
        <v>1953</v>
      </c>
      <c r="AD509" s="424" t="s">
        <v>4235</v>
      </c>
      <c r="AE509" s="424" t="s">
        <v>4236</v>
      </c>
      <c r="AF509" s="424"/>
      <c r="AG509" s="424"/>
      <c r="AH509" s="424"/>
    </row>
    <row r="510" spans="1:34" x14ac:dyDescent="0.25">
      <c r="A510" s="423" t="s">
        <v>4229</v>
      </c>
      <c r="B510" s="423" t="s">
        <v>4266</v>
      </c>
      <c r="C510" s="423" t="s">
        <v>668</v>
      </c>
      <c r="D510" s="423" t="s">
        <v>4139</v>
      </c>
      <c r="E510" s="423" t="s">
        <v>2818</v>
      </c>
      <c r="F510" s="423">
        <v>12</v>
      </c>
      <c r="G510" s="423">
        <v>8</v>
      </c>
      <c r="H510" s="423">
        <v>160</v>
      </c>
      <c r="J510" s="423"/>
      <c r="K510" s="423"/>
      <c r="L510" s="423"/>
      <c r="M510" s="423"/>
      <c r="Q510" s="423"/>
      <c r="R510" s="424" t="s">
        <v>4267</v>
      </c>
      <c r="S510" s="424" t="s">
        <v>2846</v>
      </c>
      <c r="T510" s="424" t="s">
        <v>4232</v>
      </c>
      <c r="U510" s="424">
        <v>0</v>
      </c>
      <c r="V510" s="424" t="s">
        <v>33</v>
      </c>
      <c r="W510" s="424" t="s">
        <v>3694</v>
      </c>
      <c r="X510" s="424" t="s">
        <v>2224</v>
      </c>
      <c r="Y510" s="424" t="s">
        <v>2279</v>
      </c>
      <c r="Z510" s="424" t="s">
        <v>2872</v>
      </c>
      <c r="AA510" s="424" t="s">
        <v>4233</v>
      </c>
      <c r="AB510" s="424" t="s">
        <v>4260</v>
      </c>
      <c r="AC510" s="424" t="s">
        <v>1953</v>
      </c>
      <c r="AD510" s="424" t="s">
        <v>4235</v>
      </c>
      <c r="AE510" s="424" t="s">
        <v>4244</v>
      </c>
      <c r="AF510" s="424"/>
      <c r="AG510" s="424"/>
      <c r="AH510" s="424"/>
    </row>
    <row r="511" spans="1:34" x14ac:dyDescent="0.25">
      <c r="A511" s="423" t="s">
        <v>4229</v>
      </c>
      <c r="B511" s="423" t="s">
        <v>4268</v>
      </c>
      <c r="C511" s="423" t="s">
        <v>668</v>
      </c>
      <c r="D511" s="423" t="s">
        <v>4139</v>
      </c>
      <c r="E511" s="423" t="s">
        <v>2818</v>
      </c>
      <c r="F511" s="423">
        <v>12</v>
      </c>
      <c r="G511" s="423">
        <v>8</v>
      </c>
      <c r="H511" s="423">
        <v>160</v>
      </c>
      <c r="J511" s="423"/>
      <c r="K511" s="423"/>
      <c r="L511" s="423"/>
      <c r="M511" s="423"/>
      <c r="Q511" s="423"/>
      <c r="R511" s="424" t="s">
        <v>4269</v>
      </c>
      <c r="S511" s="424" t="s">
        <v>2846</v>
      </c>
      <c r="T511" s="424" t="s">
        <v>4232</v>
      </c>
      <c r="U511" s="424">
        <v>0</v>
      </c>
      <c r="V511" s="424" t="s">
        <v>33</v>
      </c>
      <c r="W511" s="424" t="s">
        <v>3694</v>
      </c>
      <c r="X511" s="424">
        <v>0</v>
      </c>
      <c r="Y511" s="424" t="s">
        <v>2279</v>
      </c>
      <c r="Z511" s="424" t="s">
        <v>2872</v>
      </c>
      <c r="AA511" s="424" t="s">
        <v>4233</v>
      </c>
      <c r="AB511" s="424" t="s">
        <v>4270</v>
      </c>
      <c r="AC511" s="424" t="s">
        <v>1953</v>
      </c>
      <c r="AD511" s="424" t="s">
        <v>4235</v>
      </c>
      <c r="AE511" s="424" t="s">
        <v>4248</v>
      </c>
      <c r="AF511" s="424"/>
      <c r="AG511" s="424"/>
      <c r="AH511" s="424"/>
    </row>
    <row r="512" spans="1:34" x14ac:dyDescent="0.25">
      <c r="A512" s="423" t="s">
        <v>4229</v>
      </c>
      <c r="B512" s="423" t="s">
        <v>4271</v>
      </c>
      <c r="C512" s="423" t="s">
        <v>668</v>
      </c>
      <c r="D512" s="423" t="s">
        <v>4139</v>
      </c>
      <c r="E512" s="423" t="s">
        <v>2818</v>
      </c>
      <c r="F512" s="423">
        <v>12</v>
      </c>
      <c r="G512" s="423">
        <v>8</v>
      </c>
      <c r="H512" s="423">
        <v>160</v>
      </c>
      <c r="J512" s="423"/>
      <c r="K512" s="423"/>
      <c r="L512" s="423"/>
      <c r="M512" s="423"/>
      <c r="Q512" s="423"/>
      <c r="R512" s="424" t="s">
        <v>4272</v>
      </c>
      <c r="S512" s="424" t="s">
        <v>2846</v>
      </c>
      <c r="T512" s="424" t="s">
        <v>4232</v>
      </c>
      <c r="U512" s="424">
        <v>0</v>
      </c>
      <c r="V512" s="424" t="s">
        <v>33</v>
      </c>
      <c r="W512" s="424" t="s">
        <v>3694</v>
      </c>
      <c r="X512" s="424" t="s">
        <v>2224</v>
      </c>
      <c r="Y512" s="424" t="s">
        <v>2279</v>
      </c>
      <c r="Z512" s="424" t="s">
        <v>2872</v>
      </c>
      <c r="AA512" s="424" t="s">
        <v>4233</v>
      </c>
      <c r="AB512" s="424" t="s">
        <v>4254</v>
      </c>
      <c r="AC512" s="424" t="s">
        <v>1953</v>
      </c>
      <c r="AD512" s="424" t="s">
        <v>4235</v>
      </c>
      <c r="AE512" s="424" t="s">
        <v>4255</v>
      </c>
      <c r="AF512" s="424"/>
      <c r="AG512" s="424"/>
      <c r="AH512" s="424"/>
    </row>
    <row r="513" spans="1:34" x14ac:dyDescent="0.25">
      <c r="A513" s="423" t="s">
        <v>4229</v>
      </c>
      <c r="B513" s="423" t="s">
        <v>4273</v>
      </c>
      <c r="C513" s="423" t="s">
        <v>668</v>
      </c>
      <c r="D513" s="423" t="s">
        <v>4139</v>
      </c>
      <c r="E513" s="423" t="s">
        <v>2818</v>
      </c>
      <c r="F513" s="423">
        <v>12</v>
      </c>
      <c r="G513" s="423">
        <v>8</v>
      </c>
      <c r="H513" s="423">
        <v>160</v>
      </c>
      <c r="J513" s="423"/>
      <c r="K513" s="423"/>
      <c r="L513" s="423"/>
      <c r="M513" s="423"/>
      <c r="Q513" s="423"/>
      <c r="R513" s="424" t="s">
        <v>4274</v>
      </c>
      <c r="S513" s="424" t="s">
        <v>2846</v>
      </c>
      <c r="T513" s="424" t="s">
        <v>4232</v>
      </c>
      <c r="U513" s="424">
        <v>0</v>
      </c>
      <c r="V513" s="424" t="s">
        <v>33</v>
      </c>
      <c r="W513" s="424" t="s">
        <v>3694</v>
      </c>
      <c r="X513" s="424" t="s">
        <v>2224</v>
      </c>
      <c r="Y513" s="424" t="s">
        <v>2279</v>
      </c>
      <c r="Z513" s="424" t="s">
        <v>2872</v>
      </c>
      <c r="AA513" s="424" t="s">
        <v>4233</v>
      </c>
      <c r="AB513" s="424" t="s">
        <v>4275</v>
      </c>
      <c r="AC513" s="424" t="s">
        <v>1953</v>
      </c>
      <c r="AD513" s="424" t="s">
        <v>4235</v>
      </c>
      <c r="AE513" s="424" t="s">
        <v>4240</v>
      </c>
      <c r="AF513" s="424"/>
      <c r="AG513" s="424"/>
      <c r="AH513" s="424"/>
    </row>
    <row r="514" spans="1:34" x14ac:dyDescent="0.25">
      <c r="A514" s="423" t="s">
        <v>4229</v>
      </c>
      <c r="B514" s="423" t="s">
        <v>4276</v>
      </c>
      <c r="C514" s="423" t="s">
        <v>668</v>
      </c>
      <c r="D514" s="423" t="s">
        <v>4139</v>
      </c>
      <c r="E514" s="423" t="s">
        <v>2818</v>
      </c>
      <c r="F514" s="423">
        <v>12</v>
      </c>
      <c r="G514" s="423">
        <v>8</v>
      </c>
      <c r="H514" s="423">
        <v>160</v>
      </c>
      <c r="J514" s="423"/>
      <c r="K514" s="423"/>
      <c r="L514" s="423"/>
      <c r="M514" s="423"/>
      <c r="Q514" s="423"/>
      <c r="R514" s="424" t="s">
        <v>4277</v>
      </c>
      <c r="S514" s="424" t="s">
        <v>2846</v>
      </c>
      <c r="T514" s="424" t="s">
        <v>4232</v>
      </c>
      <c r="U514" s="424">
        <v>0</v>
      </c>
      <c r="V514" s="424" t="s">
        <v>33</v>
      </c>
      <c r="W514" s="424" t="s">
        <v>3694</v>
      </c>
      <c r="X514" s="424" t="s">
        <v>2224</v>
      </c>
      <c r="Y514" s="424" t="s">
        <v>2279</v>
      </c>
      <c r="Z514" s="424" t="s">
        <v>2872</v>
      </c>
      <c r="AA514" s="424" t="s">
        <v>4233</v>
      </c>
      <c r="AB514" s="424" t="s">
        <v>4278</v>
      </c>
      <c r="AC514" s="424" t="s">
        <v>1953</v>
      </c>
      <c r="AD514" s="424" t="s">
        <v>4235</v>
      </c>
      <c r="AE514" s="424" t="s">
        <v>4240</v>
      </c>
      <c r="AF514" s="424"/>
      <c r="AG514" s="424"/>
      <c r="AH514" s="424"/>
    </row>
    <row r="515" spans="1:34" x14ac:dyDescent="0.25">
      <c r="A515" s="423" t="s">
        <v>4229</v>
      </c>
      <c r="B515" s="423" t="s">
        <v>4279</v>
      </c>
      <c r="C515" s="423" t="s">
        <v>668</v>
      </c>
      <c r="D515" s="423" t="s">
        <v>4139</v>
      </c>
      <c r="E515" s="423" t="s">
        <v>2818</v>
      </c>
      <c r="F515" s="423">
        <v>12</v>
      </c>
      <c r="G515" s="423">
        <v>8</v>
      </c>
      <c r="H515" s="423">
        <v>160</v>
      </c>
      <c r="J515" s="423"/>
      <c r="K515" s="423"/>
      <c r="L515" s="423"/>
      <c r="M515" s="423"/>
      <c r="Q515" s="423"/>
      <c r="R515" s="424" t="s">
        <v>4280</v>
      </c>
      <c r="S515" s="424" t="s">
        <v>2846</v>
      </c>
      <c r="T515" s="424" t="s">
        <v>4232</v>
      </c>
      <c r="U515" s="424">
        <v>0</v>
      </c>
      <c r="V515" s="424" t="s">
        <v>33</v>
      </c>
      <c r="W515" s="424" t="s">
        <v>3694</v>
      </c>
      <c r="X515" s="424" t="s">
        <v>2224</v>
      </c>
      <c r="Y515" s="424" t="s">
        <v>2279</v>
      </c>
      <c r="Z515" s="424" t="s">
        <v>2872</v>
      </c>
      <c r="AA515" s="424" t="s">
        <v>4233</v>
      </c>
      <c r="AB515" s="424" t="s">
        <v>4281</v>
      </c>
      <c r="AC515" s="424" t="s">
        <v>1953</v>
      </c>
      <c r="AD515" s="424" t="s">
        <v>4235</v>
      </c>
      <c r="AE515" s="424" t="s">
        <v>4255</v>
      </c>
      <c r="AF515" s="424"/>
      <c r="AG515" s="424"/>
      <c r="AH515" s="424"/>
    </row>
    <row r="516" spans="1:34" x14ac:dyDescent="0.25">
      <c r="A516" s="423" t="s">
        <v>4229</v>
      </c>
      <c r="B516" s="423" t="s">
        <v>4282</v>
      </c>
      <c r="C516" s="423" t="s">
        <v>668</v>
      </c>
      <c r="D516" s="423" t="s">
        <v>4139</v>
      </c>
      <c r="E516" s="423" t="s">
        <v>2818</v>
      </c>
      <c r="F516" s="423">
        <v>12</v>
      </c>
      <c r="G516" s="423">
        <v>8</v>
      </c>
      <c r="H516" s="423">
        <v>160</v>
      </c>
      <c r="J516" s="423"/>
      <c r="K516" s="423"/>
      <c r="L516" s="423"/>
      <c r="M516" s="423"/>
      <c r="Q516" s="423"/>
      <c r="R516" s="424" t="s">
        <v>4283</v>
      </c>
      <c r="S516" s="424" t="s">
        <v>2846</v>
      </c>
      <c r="T516" s="424" t="s">
        <v>4232</v>
      </c>
      <c r="U516" s="424">
        <v>0</v>
      </c>
      <c r="V516" s="424" t="s">
        <v>33</v>
      </c>
      <c r="W516" s="424" t="s">
        <v>3694</v>
      </c>
      <c r="X516" s="424" t="s">
        <v>2224</v>
      </c>
      <c r="Y516" s="424" t="s">
        <v>2279</v>
      </c>
      <c r="Z516" s="424" t="s">
        <v>2872</v>
      </c>
      <c r="AA516" s="424" t="s">
        <v>4233</v>
      </c>
      <c r="AB516" s="424" t="s">
        <v>4254</v>
      </c>
      <c r="AC516" s="424" t="s">
        <v>1953</v>
      </c>
      <c r="AD516" s="424" t="s">
        <v>4235</v>
      </c>
      <c r="AE516" s="424" t="s">
        <v>4255</v>
      </c>
      <c r="AF516" s="424"/>
      <c r="AG516" s="424"/>
      <c r="AH516" s="424"/>
    </row>
    <row r="517" spans="1:34" x14ac:dyDescent="0.25">
      <c r="A517" s="423" t="s">
        <v>4229</v>
      </c>
      <c r="B517" s="423" t="s">
        <v>4284</v>
      </c>
      <c r="C517" s="423" t="s">
        <v>668</v>
      </c>
      <c r="D517" s="423" t="s">
        <v>4139</v>
      </c>
      <c r="E517" s="423" t="s">
        <v>2818</v>
      </c>
      <c r="F517" s="423">
        <v>12</v>
      </c>
      <c r="G517" s="423">
        <v>8</v>
      </c>
      <c r="H517" s="423">
        <v>160</v>
      </c>
      <c r="J517" s="423"/>
      <c r="K517" s="423"/>
      <c r="L517" s="423"/>
      <c r="M517" s="423"/>
      <c r="Q517" s="423"/>
      <c r="R517" s="424" t="s">
        <v>4285</v>
      </c>
      <c r="S517" s="424" t="s">
        <v>2846</v>
      </c>
      <c r="T517" s="424" t="s">
        <v>4232</v>
      </c>
      <c r="U517" s="424">
        <v>0</v>
      </c>
      <c r="V517" s="424" t="s">
        <v>33</v>
      </c>
      <c r="W517" s="424" t="s">
        <v>3694</v>
      </c>
      <c r="X517" s="424" t="s">
        <v>2224</v>
      </c>
      <c r="Y517" s="424" t="s">
        <v>2279</v>
      </c>
      <c r="Z517" s="424" t="s">
        <v>2872</v>
      </c>
      <c r="AA517" s="424" t="s">
        <v>4233</v>
      </c>
      <c r="AB517" s="424" t="s">
        <v>4275</v>
      </c>
      <c r="AC517" s="424" t="s">
        <v>1953</v>
      </c>
      <c r="AD517" s="424" t="s">
        <v>4235</v>
      </c>
      <c r="AE517" s="424" t="s">
        <v>4240</v>
      </c>
      <c r="AF517" s="424"/>
      <c r="AG517" s="424"/>
      <c r="AH517" s="424"/>
    </row>
    <row r="518" spans="1:34" x14ac:dyDescent="0.25">
      <c r="A518" s="423" t="s">
        <v>4229</v>
      </c>
      <c r="B518" s="423" t="s">
        <v>4286</v>
      </c>
      <c r="C518" s="423" t="s">
        <v>668</v>
      </c>
      <c r="D518" s="423" t="s">
        <v>4139</v>
      </c>
      <c r="E518" s="423" t="s">
        <v>2818</v>
      </c>
      <c r="F518" s="423">
        <v>12</v>
      </c>
      <c r="G518" s="423">
        <v>8</v>
      </c>
      <c r="H518" s="423">
        <v>80</v>
      </c>
      <c r="J518" s="423"/>
      <c r="K518" s="423"/>
      <c r="L518" s="423"/>
      <c r="M518" s="423"/>
      <c r="Q518" s="423"/>
      <c r="R518" s="424" t="s">
        <v>4287</v>
      </c>
      <c r="S518" s="424" t="s">
        <v>2846</v>
      </c>
      <c r="T518" s="424" t="s">
        <v>4232</v>
      </c>
      <c r="U518" s="424">
        <v>0</v>
      </c>
      <c r="V518" s="424" t="s">
        <v>33</v>
      </c>
      <c r="W518" s="424" t="s">
        <v>3694</v>
      </c>
      <c r="X518" s="424" t="s">
        <v>2224</v>
      </c>
      <c r="Y518" s="424" t="s">
        <v>2279</v>
      </c>
      <c r="Z518" s="424" t="s">
        <v>2872</v>
      </c>
      <c r="AA518" s="424" t="s">
        <v>4233</v>
      </c>
      <c r="AB518" s="424" t="s">
        <v>4288</v>
      </c>
      <c r="AC518" s="424" t="s">
        <v>1953</v>
      </c>
      <c r="AD518" s="424" t="s">
        <v>4235</v>
      </c>
      <c r="AE518" s="424" t="s">
        <v>4236</v>
      </c>
      <c r="AF518" s="424"/>
      <c r="AG518" s="424"/>
      <c r="AH518" s="424"/>
    </row>
    <row r="519" spans="1:34" x14ac:dyDescent="0.25">
      <c r="A519" s="423" t="s">
        <v>4229</v>
      </c>
      <c r="B519" s="423" t="s">
        <v>4289</v>
      </c>
      <c r="C519" s="423" t="s">
        <v>668</v>
      </c>
      <c r="D519" s="423" t="s">
        <v>4139</v>
      </c>
      <c r="E519" s="423" t="s">
        <v>2818</v>
      </c>
      <c r="F519" s="423">
        <v>12</v>
      </c>
      <c r="G519" s="423">
        <v>8</v>
      </c>
      <c r="H519" s="423">
        <v>80</v>
      </c>
      <c r="J519" s="423"/>
      <c r="K519" s="423"/>
      <c r="L519" s="423"/>
      <c r="M519" s="423"/>
      <c r="Q519" s="423"/>
      <c r="R519" s="424" t="s">
        <v>4290</v>
      </c>
      <c r="S519" s="424" t="s">
        <v>2846</v>
      </c>
      <c r="T519" s="424" t="s">
        <v>4232</v>
      </c>
      <c r="U519" s="424">
        <v>0</v>
      </c>
      <c r="V519" s="424" t="s">
        <v>33</v>
      </c>
      <c r="W519" s="424" t="s">
        <v>3694</v>
      </c>
      <c r="X519" s="424" t="s">
        <v>2224</v>
      </c>
      <c r="Y519" s="424" t="s">
        <v>2279</v>
      </c>
      <c r="Z519" s="424" t="s">
        <v>2872</v>
      </c>
      <c r="AA519" s="424" t="s">
        <v>4233</v>
      </c>
      <c r="AB519" s="424" t="s">
        <v>4243</v>
      </c>
      <c r="AC519" s="424" t="s">
        <v>1953</v>
      </c>
      <c r="AD519" s="424" t="s">
        <v>4235</v>
      </c>
      <c r="AE519" s="424" t="s">
        <v>4244</v>
      </c>
      <c r="AF519" s="424"/>
      <c r="AG519" s="424"/>
      <c r="AH519" s="424"/>
    </row>
    <row r="520" spans="1:34" x14ac:dyDescent="0.25">
      <c r="A520" s="423" t="s">
        <v>4229</v>
      </c>
      <c r="B520" s="423" t="s">
        <v>4291</v>
      </c>
      <c r="C520" s="423" t="s">
        <v>668</v>
      </c>
      <c r="D520" s="423" t="s">
        <v>4139</v>
      </c>
      <c r="E520" s="423" t="s">
        <v>2818</v>
      </c>
      <c r="F520" s="423">
        <v>12</v>
      </c>
      <c r="G520" s="423">
        <v>8</v>
      </c>
      <c r="H520" s="423">
        <v>80</v>
      </c>
      <c r="J520" s="423"/>
      <c r="K520" s="423"/>
      <c r="L520" s="423"/>
      <c r="M520" s="423"/>
      <c r="Q520" s="423"/>
      <c r="R520" s="424" t="s">
        <v>4292</v>
      </c>
      <c r="S520" s="424" t="s">
        <v>2846</v>
      </c>
      <c r="T520" s="424" t="s">
        <v>4232</v>
      </c>
      <c r="U520" s="424">
        <v>0</v>
      </c>
      <c r="V520" s="424" t="s">
        <v>33</v>
      </c>
      <c r="W520" s="424" t="s">
        <v>3694</v>
      </c>
      <c r="X520" s="424" t="s">
        <v>2224</v>
      </c>
      <c r="Y520" s="424" t="s">
        <v>2279</v>
      </c>
      <c r="Z520" s="424" t="s">
        <v>2872</v>
      </c>
      <c r="AA520" s="424" t="s">
        <v>4233</v>
      </c>
      <c r="AB520" s="424" t="s">
        <v>4293</v>
      </c>
      <c r="AC520" s="424" t="s">
        <v>1953</v>
      </c>
      <c r="AD520" s="424" t="s">
        <v>4235</v>
      </c>
      <c r="AE520" s="424" t="s">
        <v>4294</v>
      </c>
      <c r="AF520" s="424"/>
      <c r="AG520" s="424"/>
      <c r="AH520" s="424"/>
    </row>
    <row r="521" spans="1:34" x14ac:dyDescent="0.25">
      <c r="A521" s="423" t="s">
        <v>4229</v>
      </c>
      <c r="B521" s="423" t="s">
        <v>4295</v>
      </c>
      <c r="C521" s="423" t="s">
        <v>668</v>
      </c>
      <c r="D521" s="423" t="s">
        <v>4139</v>
      </c>
      <c r="E521" s="423" t="s">
        <v>2818</v>
      </c>
      <c r="F521" s="423">
        <v>12</v>
      </c>
      <c r="G521" s="423">
        <v>8</v>
      </c>
      <c r="H521" s="423">
        <v>80</v>
      </c>
      <c r="J521" s="423"/>
      <c r="K521" s="423"/>
      <c r="L521" s="423"/>
      <c r="M521" s="423"/>
      <c r="Q521" s="423"/>
      <c r="R521" s="424" t="s">
        <v>4296</v>
      </c>
      <c r="S521" s="424" t="s">
        <v>2846</v>
      </c>
      <c r="T521" s="424" t="s">
        <v>4232</v>
      </c>
      <c r="U521" s="424">
        <v>0</v>
      </c>
      <c r="V521" s="424" t="s">
        <v>33</v>
      </c>
      <c r="W521" s="424" t="s">
        <v>3694</v>
      </c>
      <c r="X521" s="424" t="s">
        <v>2224</v>
      </c>
      <c r="Y521" s="424" t="s">
        <v>2279</v>
      </c>
      <c r="Z521" s="424" t="s">
        <v>2872</v>
      </c>
      <c r="AA521" s="424" t="s">
        <v>4233</v>
      </c>
      <c r="AB521" s="424" t="s">
        <v>4297</v>
      </c>
      <c r="AC521" s="424" t="s">
        <v>1953</v>
      </c>
      <c r="AD521" s="424" t="s">
        <v>4235</v>
      </c>
      <c r="AE521" s="424" t="s">
        <v>4298</v>
      </c>
      <c r="AF521" s="424"/>
      <c r="AG521" s="424"/>
      <c r="AH521" s="424"/>
    </row>
    <row r="522" spans="1:34" x14ac:dyDescent="0.25">
      <c r="A522" s="423" t="s">
        <v>4229</v>
      </c>
      <c r="B522" s="423" t="s">
        <v>4299</v>
      </c>
      <c r="C522" s="423" t="s">
        <v>668</v>
      </c>
      <c r="D522" s="423" t="s">
        <v>4139</v>
      </c>
      <c r="E522" s="423" t="s">
        <v>2818</v>
      </c>
      <c r="F522" s="423">
        <v>20</v>
      </c>
      <c r="G522" s="423">
        <v>8</v>
      </c>
      <c r="H522" s="423">
        <v>170</v>
      </c>
      <c r="J522" s="423"/>
      <c r="K522" s="423"/>
      <c r="L522" s="423"/>
      <c r="M522" s="423"/>
      <c r="Q522" s="423"/>
      <c r="R522" s="424" t="s">
        <v>4300</v>
      </c>
      <c r="S522" s="424" t="s">
        <v>2846</v>
      </c>
      <c r="T522" s="424" t="s">
        <v>4232</v>
      </c>
      <c r="U522" s="424">
        <v>0</v>
      </c>
      <c r="V522" s="424" t="s">
        <v>33</v>
      </c>
      <c r="W522" s="424" t="s">
        <v>3694</v>
      </c>
      <c r="X522" s="424" t="s">
        <v>2224</v>
      </c>
      <c r="Y522" s="424" t="s">
        <v>2279</v>
      </c>
      <c r="Z522" s="424" t="s">
        <v>2872</v>
      </c>
      <c r="AA522" s="424" t="s">
        <v>4233</v>
      </c>
      <c r="AB522" s="424" t="s">
        <v>4301</v>
      </c>
      <c r="AC522" s="424" t="s">
        <v>1953</v>
      </c>
      <c r="AD522" s="424" t="s">
        <v>4235</v>
      </c>
      <c r="AE522" s="424" t="s">
        <v>4255</v>
      </c>
      <c r="AF522" s="424"/>
      <c r="AG522" s="424"/>
      <c r="AH522" s="424"/>
    </row>
    <row r="523" spans="1:34" x14ac:dyDescent="0.25">
      <c r="A523" s="423" t="s">
        <v>4229</v>
      </c>
      <c r="B523" s="423" t="s">
        <v>4302</v>
      </c>
      <c r="C523" s="423" t="s">
        <v>668</v>
      </c>
      <c r="D523" s="423" t="s">
        <v>4139</v>
      </c>
      <c r="E523" s="423" t="s">
        <v>2818</v>
      </c>
      <c r="F523" s="423">
        <v>20</v>
      </c>
      <c r="G523" s="423">
        <v>8</v>
      </c>
      <c r="H523" s="423">
        <v>170</v>
      </c>
      <c r="J523" s="423"/>
      <c r="K523" s="423"/>
      <c r="L523" s="423"/>
      <c r="M523" s="423"/>
      <c r="Q523" s="423"/>
      <c r="R523" s="424" t="s">
        <v>4303</v>
      </c>
      <c r="S523" s="424" t="s">
        <v>2846</v>
      </c>
      <c r="T523" s="424" t="s">
        <v>4232</v>
      </c>
      <c r="U523" s="424">
        <v>0</v>
      </c>
      <c r="V523" s="424" t="s">
        <v>33</v>
      </c>
      <c r="W523" s="424" t="s">
        <v>3694</v>
      </c>
      <c r="X523" s="424" t="s">
        <v>2224</v>
      </c>
      <c r="Y523" s="424" t="s">
        <v>2279</v>
      </c>
      <c r="Z523" s="424" t="s">
        <v>2872</v>
      </c>
      <c r="AA523" s="424" t="s">
        <v>4233</v>
      </c>
      <c r="AB523" s="424" t="s">
        <v>4304</v>
      </c>
      <c r="AC523" s="424" t="s">
        <v>1953</v>
      </c>
      <c r="AD523" s="424" t="s">
        <v>4235</v>
      </c>
      <c r="AE523" s="424" t="s">
        <v>4240</v>
      </c>
      <c r="AF523" s="424"/>
      <c r="AG523" s="424"/>
      <c r="AH523" s="424"/>
    </row>
    <row r="524" spans="1:34" x14ac:dyDescent="0.25">
      <c r="A524" s="423" t="s">
        <v>4229</v>
      </c>
      <c r="B524" s="423" t="s">
        <v>4305</v>
      </c>
      <c r="C524" s="423" t="s">
        <v>668</v>
      </c>
      <c r="D524" s="423" t="s">
        <v>4139</v>
      </c>
      <c r="E524" s="423" t="s">
        <v>2818</v>
      </c>
      <c r="F524" s="423">
        <v>20</v>
      </c>
      <c r="G524" s="423">
        <v>8</v>
      </c>
      <c r="H524" s="423">
        <v>170</v>
      </c>
      <c r="J524" s="423"/>
      <c r="K524" s="423"/>
      <c r="L524" s="423"/>
      <c r="M524" s="423"/>
      <c r="Q524" s="423"/>
      <c r="R524" s="424" t="s">
        <v>4306</v>
      </c>
      <c r="S524" s="424" t="s">
        <v>2846</v>
      </c>
      <c r="T524" s="424" t="s">
        <v>4232</v>
      </c>
      <c r="U524" s="424">
        <v>0</v>
      </c>
      <c r="V524" s="424" t="s">
        <v>33</v>
      </c>
      <c r="W524" s="424" t="s">
        <v>3694</v>
      </c>
      <c r="X524" s="424" t="s">
        <v>2224</v>
      </c>
      <c r="Y524" s="424" t="s">
        <v>2279</v>
      </c>
      <c r="Z524" s="424" t="s">
        <v>2872</v>
      </c>
      <c r="AA524" s="424" t="s">
        <v>4233</v>
      </c>
      <c r="AB524" s="424" t="s">
        <v>4307</v>
      </c>
      <c r="AC524" s="424" t="s">
        <v>1953</v>
      </c>
      <c r="AD524" s="424" t="s">
        <v>4235</v>
      </c>
      <c r="AE524" s="424" t="s">
        <v>4298</v>
      </c>
      <c r="AF524" s="424"/>
      <c r="AG524" s="424"/>
      <c r="AH524" s="424"/>
    </row>
    <row r="525" spans="1:34" x14ac:dyDescent="0.25">
      <c r="A525" s="423" t="s">
        <v>4229</v>
      </c>
      <c r="B525" s="423" t="s">
        <v>4308</v>
      </c>
      <c r="C525" s="423" t="s">
        <v>668</v>
      </c>
      <c r="D525" s="423" t="s">
        <v>4139</v>
      </c>
      <c r="E525" s="423" t="s">
        <v>2818</v>
      </c>
      <c r="F525" s="423">
        <v>20</v>
      </c>
      <c r="G525" s="423">
        <v>8</v>
      </c>
      <c r="H525" s="423">
        <v>170</v>
      </c>
      <c r="J525" s="423"/>
      <c r="K525" s="423"/>
      <c r="L525" s="423"/>
      <c r="M525" s="423"/>
      <c r="Q525" s="423"/>
      <c r="R525" s="424" t="s">
        <v>4309</v>
      </c>
      <c r="S525" s="424" t="s">
        <v>2846</v>
      </c>
      <c r="T525" s="424" t="s">
        <v>4232</v>
      </c>
      <c r="U525" s="424">
        <v>0</v>
      </c>
      <c r="V525" s="424" t="s">
        <v>33</v>
      </c>
      <c r="W525" s="424" t="s">
        <v>3694</v>
      </c>
      <c r="X525" s="424" t="s">
        <v>2224</v>
      </c>
      <c r="Y525" s="424" t="s">
        <v>2279</v>
      </c>
      <c r="Z525" s="424" t="s">
        <v>2872</v>
      </c>
      <c r="AA525" s="424" t="s">
        <v>4233</v>
      </c>
      <c r="AB525" s="424" t="s">
        <v>4307</v>
      </c>
      <c r="AC525" s="424" t="s">
        <v>1953</v>
      </c>
      <c r="AD525" s="424" t="s">
        <v>4235</v>
      </c>
      <c r="AE525" s="424" t="s">
        <v>4298</v>
      </c>
      <c r="AF525" s="424"/>
      <c r="AG525" s="424"/>
      <c r="AH525" s="424"/>
    </row>
    <row r="526" spans="1:34" x14ac:dyDescent="0.25">
      <c r="A526" s="423" t="s">
        <v>4229</v>
      </c>
      <c r="B526" s="423" t="s">
        <v>4310</v>
      </c>
      <c r="C526" s="423" t="s">
        <v>668</v>
      </c>
      <c r="D526" s="423" t="s">
        <v>4139</v>
      </c>
      <c r="E526" s="423" t="s">
        <v>2818</v>
      </c>
      <c r="F526" s="423">
        <v>12</v>
      </c>
      <c r="G526" s="423">
        <v>16</v>
      </c>
      <c r="H526" s="423">
        <v>160</v>
      </c>
      <c r="J526" s="423"/>
      <c r="K526" s="423"/>
      <c r="L526" s="423"/>
      <c r="M526" s="423"/>
      <c r="Q526" s="423"/>
      <c r="R526" s="424" t="s">
        <v>4311</v>
      </c>
      <c r="S526" s="424" t="s">
        <v>2846</v>
      </c>
      <c r="T526" s="424" t="s">
        <v>4232</v>
      </c>
      <c r="U526" s="424">
        <v>0</v>
      </c>
      <c r="V526" s="424" t="s">
        <v>33</v>
      </c>
      <c r="W526" s="424" t="s">
        <v>3694</v>
      </c>
      <c r="X526" s="424" t="s">
        <v>2224</v>
      </c>
      <c r="Y526" s="424" t="s">
        <v>2279</v>
      </c>
      <c r="Z526" s="424" t="s">
        <v>2872</v>
      </c>
      <c r="AA526" s="424" t="s">
        <v>4233</v>
      </c>
      <c r="AB526" s="424" t="s">
        <v>4307</v>
      </c>
      <c r="AC526" s="424" t="s">
        <v>1953</v>
      </c>
      <c r="AD526" s="424" t="s">
        <v>4235</v>
      </c>
      <c r="AE526" s="424" t="s">
        <v>4298</v>
      </c>
      <c r="AF526" s="424"/>
      <c r="AG526" s="424"/>
      <c r="AH526" s="424"/>
    </row>
    <row r="527" spans="1:34" x14ac:dyDescent="0.25">
      <c r="A527" s="423" t="s">
        <v>4229</v>
      </c>
      <c r="B527" s="423" t="s">
        <v>4312</v>
      </c>
      <c r="C527" s="423" t="s">
        <v>668</v>
      </c>
      <c r="D527" s="423" t="s">
        <v>4139</v>
      </c>
      <c r="E527" s="423" t="s">
        <v>2818</v>
      </c>
      <c r="F527" s="423">
        <v>12</v>
      </c>
      <c r="G527" s="423">
        <v>16</v>
      </c>
      <c r="H527" s="423">
        <v>160</v>
      </c>
      <c r="J527" s="423"/>
      <c r="K527" s="423"/>
      <c r="L527" s="423"/>
      <c r="M527" s="423"/>
      <c r="Q527" s="423"/>
      <c r="R527" s="424" t="s">
        <v>4313</v>
      </c>
      <c r="S527" s="424" t="s">
        <v>2846</v>
      </c>
      <c r="T527" s="424" t="s">
        <v>4232</v>
      </c>
      <c r="U527" s="424">
        <v>0</v>
      </c>
      <c r="V527" s="424" t="s">
        <v>33</v>
      </c>
      <c r="W527" s="424" t="s">
        <v>3694</v>
      </c>
      <c r="X527" s="424" t="s">
        <v>2224</v>
      </c>
      <c r="Y527" s="424" t="s">
        <v>2279</v>
      </c>
      <c r="Z527" s="424" t="s">
        <v>2872</v>
      </c>
      <c r="AA527" s="424" t="s">
        <v>4233</v>
      </c>
      <c r="AB527" s="424" t="s">
        <v>4297</v>
      </c>
      <c r="AC527" s="424" t="s">
        <v>1953</v>
      </c>
      <c r="AD527" s="424" t="s">
        <v>4235</v>
      </c>
      <c r="AE527" s="424" t="s">
        <v>4298</v>
      </c>
      <c r="AF527" s="424"/>
      <c r="AG527" s="424"/>
      <c r="AH527" s="424"/>
    </row>
    <row r="528" spans="1:34" x14ac:dyDescent="0.25">
      <c r="A528" s="423" t="s">
        <v>4229</v>
      </c>
      <c r="B528" s="423" t="s">
        <v>4314</v>
      </c>
      <c r="C528" s="423" t="s">
        <v>668</v>
      </c>
      <c r="D528" s="423" t="s">
        <v>4139</v>
      </c>
      <c r="E528" s="423" t="s">
        <v>2818</v>
      </c>
      <c r="F528" s="423">
        <v>25</v>
      </c>
      <c r="G528" s="423">
        <v>8</v>
      </c>
      <c r="H528" s="423">
        <v>125</v>
      </c>
      <c r="J528" s="423"/>
      <c r="K528" s="423"/>
      <c r="L528" s="423"/>
      <c r="M528" s="423"/>
      <c r="Q528" s="423"/>
      <c r="R528" s="424" t="s">
        <v>4315</v>
      </c>
      <c r="S528" s="424" t="s">
        <v>2846</v>
      </c>
      <c r="T528" s="424" t="s">
        <v>4232</v>
      </c>
      <c r="U528" s="424">
        <v>0</v>
      </c>
      <c r="V528" s="424" t="s">
        <v>33</v>
      </c>
      <c r="W528" s="424" t="s">
        <v>3694</v>
      </c>
      <c r="X528" s="424" t="s">
        <v>2224</v>
      </c>
      <c r="Y528" s="424" t="s">
        <v>2279</v>
      </c>
      <c r="Z528" s="424" t="s">
        <v>2872</v>
      </c>
      <c r="AA528" s="424" t="s">
        <v>4233</v>
      </c>
      <c r="AB528" s="424" t="s">
        <v>4316</v>
      </c>
      <c r="AC528" s="424" t="s">
        <v>1953</v>
      </c>
      <c r="AD528" s="424" t="s">
        <v>4235</v>
      </c>
      <c r="AE528" s="424" t="s">
        <v>4244</v>
      </c>
      <c r="AF528" s="424"/>
      <c r="AG528" s="424"/>
      <c r="AH528" s="424"/>
    </row>
    <row r="529" spans="1:34" x14ac:dyDescent="0.25">
      <c r="A529" s="423" t="s">
        <v>4229</v>
      </c>
      <c r="B529" s="423" t="s">
        <v>4317</v>
      </c>
      <c r="C529" s="423" t="s">
        <v>668</v>
      </c>
      <c r="D529" s="423" t="s">
        <v>4139</v>
      </c>
      <c r="E529" s="423" t="s">
        <v>2818</v>
      </c>
      <c r="F529" s="423">
        <v>25</v>
      </c>
      <c r="G529" s="423">
        <v>8</v>
      </c>
      <c r="H529" s="423">
        <v>125</v>
      </c>
      <c r="J529" s="423"/>
      <c r="K529" s="423"/>
      <c r="L529" s="423"/>
      <c r="M529" s="423"/>
      <c r="Q529" s="423"/>
      <c r="R529" s="424" t="s">
        <v>4318</v>
      </c>
      <c r="S529" s="424" t="s">
        <v>2846</v>
      </c>
      <c r="T529" s="424" t="s">
        <v>4232</v>
      </c>
      <c r="U529" s="424">
        <v>0</v>
      </c>
      <c r="V529" s="424" t="s">
        <v>33</v>
      </c>
      <c r="W529" s="424" t="s">
        <v>3694</v>
      </c>
      <c r="X529" s="424" t="s">
        <v>2224</v>
      </c>
      <c r="Y529" s="424" t="s">
        <v>2279</v>
      </c>
      <c r="Z529" s="424" t="s">
        <v>2872</v>
      </c>
      <c r="AA529" s="424" t="s">
        <v>4233</v>
      </c>
      <c r="AB529" s="424" t="s">
        <v>4319</v>
      </c>
      <c r="AC529" s="424" t="s">
        <v>1953</v>
      </c>
      <c r="AD529" s="424" t="s">
        <v>4235</v>
      </c>
      <c r="AE529" s="424" t="s">
        <v>4236</v>
      </c>
      <c r="AF529" s="424"/>
      <c r="AG529" s="424"/>
      <c r="AH529" s="424"/>
    </row>
    <row r="530" spans="1:34" x14ac:dyDescent="0.25">
      <c r="A530" s="423" t="s">
        <v>4229</v>
      </c>
      <c r="B530" s="423" t="s">
        <v>4320</v>
      </c>
      <c r="C530" s="423" t="s">
        <v>668</v>
      </c>
      <c r="D530" s="423" t="s">
        <v>4139</v>
      </c>
      <c r="E530" s="423" t="s">
        <v>2818</v>
      </c>
      <c r="F530" s="423">
        <v>25</v>
      </c>
      <c r="G530" s="423">
        <v>8</v>
      </c>
      <c r="H530" s="423">
        <v>125</v>
      </c>
      <c r="J530" s="423"/>
      <c r="K530" s="423"/>
      <c r="L530" s="423"/>
      <c r="M530" s="423"/>
      <c r="Q530" s="423"/>
      <c r="R530" s="424" t="s">
        <v>4321</v>
      </c>
      <c r="S530" s="424" t="s">
        <v>2846</v>
      </c>
      <c r="T530" s="424" t="s">
        <v>4232</v>
      </c>
      <c r="U530" s="424">
        <v>0</v>
      </c>
      <c r="V530" s="424" t="s">
        <v>33</v>
      </c>
      <c r="W530" s="424" t="s">
        <v>3694</v>
      </c>
      <c r="X530" s="424" t="s">
        <v>2224</v>
      </c>
      <c r="Y530" s="424" t="s">
        <v>2279</v>
      </c>
      <c r="Z530" s="424" t="s">
        <v>2872</v>
      </c>
      <c r="AA530" s="424" t="s">
        <v>4233</v>
      </c>
      <c r="AB530" s="424" t="s">
        <v>4322</v>
      </c>
      <c r="AC530" s="424" t="s">
        <v>1953</v>
      </c>
      <c r="AD530" s="424" t="s">
        <v>4235</v>
      </c>
      <c r="AE530" s="424" t="s">
        <v>4240</v>
      </c>
      <c r="AF530" s="424"/>
      <c r="AG530" s="424"/>
      <c r="AH530" s="424"/>
    </row>
    <row r="531" spans="1:34" x14ac:dyDescent="0.25">
      <c r="A531" s="423" t="s">
        <v>4229</v>
      </c>
      <c r="B531" s="423" t="s">
        <v>4323</v>
      </c>
      <c r="C531" s="423" t="s">
        <v>668</v>
      </c>
      <c r="D531" s="423" t="s">
        <v>4139</v>
      </c>
      <c r="E531" s="423" t="s">
        <v>2818</v>
      </c>
      <c r="F531" s="423">
        <v>25</v>
      </c>
      <c r="G531" s="423">
        <v>8</v>
      </c>
      <c r="H531" s="423">
        <v>125</v>
      </c>
      <c r="J531" s="423"/>
      <c r="K531" s="423"/>
      <c r="L531" s="423"/>
      <c r="M531" s="423"/>
      <c r="Q531" s="423"/>
      <c r="R531" s="424" t="s">
        <v>4324</v>
      </c>
      <c r="S531" s="424" t="s">
        <v>2846</v>
      </c>
      <c r="T531" s="424" t="s">
        <v>4232</v>
      </c>
      <c r="U531" s="424">
        <v>0</v>
      </c>
      <c r="V531" s="424" t="s">
        <v>33</v>
      </c>
      <c r="W531" s="424" t="s">
        <v>3694</v>
      </c>
      <c r="X531" s="424" t="s">
        <v>2224</v>
      </c>
      <c r="Y531" s="424" t="s">
        <v>2279</v>
      </c>
      <c r="Z531" s="424" t="s">
        <v>2872</v>
      </c>
      <c r="AA531" s="424" t="s">
        <v>4233</v>
      </c>
      <c r="AB531" s="424" t="s">
        <v>4325</v>
      </c>
      <c r="AC531" s="424" t="s">
        <v>1953</v>
      </c>
      <c r="AD531" s="424" t="s">
        <v>4235</v>
      </c>
      <c r="AE531" s="424" t="s">
        <v>4255</v>
      </c>
      <c r="AF531" s="424"/>
      <c r="AG531" s="424"/>
      <c r="AH531" s="424"/>
    </row>
    <row r="532" spans="1:34" x14ac:dyDescent="0.25">
      <c r="A532" s="423" t="s">
        <v>4229</v>
      </c>
      <c r="B532" s="423" t="s">
        <v>4326</v>
      </c>
      <c r="C532" s="423" t="s">
        <v>668</v>
      </c>
      <c r="D532" s="423" t="s">
        <v>4139</v>
      </c>
      <c r="E532" s="423" t="s">
        <v>2818</v>
      </c>
      <c r="F532" s="423">
        <v>12</v>
      </c>
      <c r="G532" s="423">
        <v>8</v>
      </c>
      <c r="H532" s="423">
        <v>1398</v>
      </c>
      <c r="J532" s="423"/>
      <c r="K532" s="423"/>
      <c r="L532" s="423"/>
      <c r="M532" s="423"/>
      <c r="Q532" s="423"/>
      <c r="R532" s="424" t="s">
        <v>4327</v>
      </c>
      <c r="S532" s="424" t="s">
        <v>2846</v>
      </c>
      <c r="T532" s="424" t="s">
        <v>4232</v>
      </c>
      <c r="U532" s="424">
        <v>0</v>
      </c>
      <c r="V532" s="424" t="s">
        <v>33</v>
      </c>
      <c r="W532" s="424" t="s">
        <v>3694</v>
      </c>
      <c r="X532" s="424" t="s">
        <v>2224</v>
      </c>
      <c r="Y532" s="424" t="s">
        <v>2279</v>
      </c>
      <c r="Z532" s="424" t="s">
        <v>2872</v>
      </c>
      <c r="AA532" s="424" t="s">
        <v>4233</v>
      </c>
      <c r="AB532" s="424" t="s">
        <v>4260</v>
      </c>
      <c r="AC532" s="424" t="s">
        <v>1953</v>
      </c>
      <c r="AD532" s="424" t="s">
        <v>4235</v>
      </c>
      <c r="AE532" s="424" t="s">
        <v>4244</v>
      </c>
      <c r="AF532" s="424"/>
      <c r="AG532" s="424"/>
      <c r="AH532" s="424"/>
    </row>
    <row r="533" spans="1:34" x14ac:dyDescent="0.25">
      <c r="A533" s="423" t="s">
        <v>4229</v>
      </c>
      <c r="B533" s="423" t="s">
        <v>4328</v>
      </c>
      <c r="C533" s="423" t="s">
        <v>668</v>
      </c>
      <c r="D533" s="423" t="s">
        <v>4139</v>
      </c>
      <c r="E533" s="423" t="s">
        <v>2818</v>
      </c>
      <c r="F533" s="423">
        <v>12</v>
      </c>
      <c r="G533" s="423">
        <v>8</v>
      </c>
      <c r="H533" s="423">
        <v>1398</v>
      </c>
      <c r="J533" s="423"/>
      <c r="K533" s="423"/>
      <c r="L533" s="423"/>
      <c r="M533" s="423"/>
      <c r="Q533" s="423"/>
      <c r="R533" s="424" t="s">
        <v>4329</v>
      </c>
      <c r="S533" s="424" t="s">
        <v>2846</v>
      </c>
      <c r="T533" s="424" t="s">
        <v>4232</v>
      </c>
      <c r="U533" s="424">
        <v>0</v>
      </c>
      <c r="V533" s="424" t="s">
        <v>33</v>
      </c>
      <c r="W533" s="424" t="s">
        <v>3694</v>
      </c>
      <c r="X533" s="424" t="s">
        <v>2224</v>
      </c>
      <c r="Y533" s="424" t="s">
        <v>2279</v>
      </c>
      <c r="Z533" s="424" t="s">
        <v>2872</v>
      </c>
      <c r="AA533" s="424" t="s">
        <v>4233</v>
      </c>
      <c r="AB533" s="424" t="s">
        <v>4293</v>
      </c>
      <c r="AC533" s="424" t="s">
        <v>1953</v>
      </c>
      <c r="AD533" s="424" t="s">
        <v>4235</v>
      </c>
      <c r="AE533" s="424" t="s">
        <v>4294</v>
      </c>
      <c r="AF533" s="424"/>
      <c r="AG533" s="424"/>
      <c r="AH533" s="424"/>
    </row>
    <row r="534" spans="1:34" x14ac:dyDescent="0.25">
      <c r="A534" s="423" t="s">
        <v>4229</v>
      </c>
      <c r="B534" s="423" t="s">
        <v>4330</v>
      </c>
      <c r="C534" s="423" t="s">
        <v>668</v>
      </c>
      <c r="D534" s="423" t="s">
        <v>4139</v>
      </c>
      <c r="E534" s="423" t="s">
        <v>2818</v>
      </c>
      <c r="F534" s="423">
        <v>12</v>
      </c>
      <c r="G534" s="423">
        <v>8</v>
      </c>
      <c r="H534" s="423">
        <v>1398</v>
      </c>
      <c r="J534" s="423"/>
      <c r="K534" s="423"/>
      <c r="L534" s="423"/>
      <c r="M534" s="423"/>
      <c r="Q534" s="423"/>
      <c r="R534" s="424" t="s">
        <v>4331</v>
      </c>
      <c r="S534" s="424" t="s">
        <v>2846</v>
      </c>
      <c r="T534" s="424" t="s">
        <v>4232</v>
      </c>
      <c r="U534" s="424">
        <v>0</v>
      </c>
      <c r="V534" s="424" t="s">
        <v>33</v>
      </c>
      <c r="W534" s="424" t="s">
        <v>3694</v>
      </c>
      <c r="X534" s="424" t="s">
        <v>2224</v>
      </c>
      <c r="Y534" s="424" t="s">
        <v>2279</v>
      </c>
      <c r="Z534" s="424" t="s">
        <v>2872</v>
      </c>
      <c r="AA534" s="424" t="s">
        <v>4233</v>
      </c>
      <c r="AB534" s="424" t="s">
        <v>4254</v>
      </c>
      <c r="AC534" s="424" t="s">
        <v>1953</v>
      </c>
      <c r="AD534" s="424" t="s">
        <v>4235</v>
      </c>
      <c r="AE534" s="424" t="s">
        <v>4255</v>
      </c>
      <c r="AF534" s="424"/>
      <c r="AG534" s="424"/>
      <c r="AH534" s="424"/>
    </row>
    <row r="535" spans="1:34" x14ac:dyDescent="0.25">
      <c r="A535" s="423" t="s">
        <v>4229</v>
      </c>
      <c r="B535" s="423" t="s">
        <v>4332</v>
      </c>
      <c r="C535" s="423" t="s">
        <v>668</v>
      </c>
      <c r="D535" s="423" t="s">
        <v>4139</v>
      </c>
      <c r="E535" s="423" t="s">
        <v>2818</v>
      </c>
      <c r="F535" s="423">
        <v>12</v>
      </c>
      <c r="G535" s="423">
        <v>8</v>
      </c>
      <c r="H535" s="423">
        <v>1398</v>
      </c>
      <c r="J535" s="423"/>
      <c r="K535" s="423"/>
      <c r="L535" s="423"/>
      <c r="M535" s="423"/>
      <c r="Q535" s="423"/>
      <c r="R535" s="424" t="s">
        <v>4333</v>
      </c>
      <c r="S535" s="424" t="s">
        <v>2846</v>
      </c>
      <c r="T535" s="424" t="s">
        <v>4232</v>
      </c>
      <c r="U535" s="424">
        <v>0</v>
      </c>
      <c r="V535" s="424" t="s">
        <v>33</v>
      </c>
      <c r="W535" s="424" t="s">
        <v>3694</v>
      </c>
      <c r="X535" s="424" t="s">
        <v>2224</v>
      </c>
      <c r="Y535" s="424" t="s">
        <v>2279</v>
      </c>
      <c r="Z535" s="424" t="s">
        <v>2872</v>
      </c>
      <c r="AA535" s="424" t="s">
        <v>4233</v>
      </c>
      <c r="AB535" s="424" t="s">
        <v>4254</v>
      </c>
      <c r="AC535" s="424" t="s">
        <v>1953</v>
      </c>
      <c r="AD535" s="424" t="s">
        <v>4235</v>
      </c>
      <c r="AE535" s="424" t="s">
        <v>4255</v>
      </c>
      <c r="AF535" s="424"/>
      <c r="AG535" s="424"/>
      <c r="AH535" s="424"/>
    </row>
    <row r="536" spans="1:34" x14ac:dyDescent="0.25">
      <c r="A536" s="423" t="s">
        <v>4229</v>
      </c>
      <c r="B536" s="423" t="s">
        <v>4334</v>
      </c>
    </row>
    <row r="537" spans="1:34" x14ac:dyDescent="0.25">
      <c r="A537" s="423" t="s">
        <v>4335</v>
      </c>
      <c r="B537" s="423" t="s">
        <v>4336</v>
      </c>
      <c r="C537" s="423" t="s">
        <v>4139</v>
      </c>
      <c r="D537" s="423" t="s">
        <v>2818</v>
      </c>
      <c r="E537" s="423">
        <v>72</v>
      </c>
      <c r="F537" s="423">
        <v>64</v>
      </c>
      <c r="G537" s="423">
        <v>265</v>
      </c>
      <c r="H537" s="423"/>
      <c r="J537" s="423"/>
      <c r="K537" s="423"/>
      <c r="L537" s="423"/>
      <c r="Q537" s="423"/>
      <c r="R537" s="424" t="s">
        <v>2846</v>
      </c>
      <c r="S537" s="424" t="s">
        <v>4232</v>
      </c>
      <c r="T537" s="424">
        <v>0</v>
      </c>
      <c r="U537" s="424" t="s">
        <v>33</v>
      </c>
      <c r="V537" s="424" t="s">
        <v>3694</v>
      </c>
      <c r="W537" s="424" t="s">
        <v>2224</v>
      </c>
      <c r="X537" s="424" t="s">
        <v>2279</v>
      </c>
      <c r="Y537" s="424" t="s">
        <v>2872</v>
      </c>
      <c r="Z537" s="424" t="s">
        <v>4233</v>
      </c>
      <c r="AA537" s="424" t="s">
        <v>4337</v>
      </c>
      <c r="AB537" s="424" t="s">
        <v>1953</v>
      </c>
      <c r="AC537" s="424" t="s">
        <v>4235</v>
      </c>
      <c r="AD537" s="424" t="s">
        <v>4244</v>
      </c>
      <c r="AE537" s="424" t="s">
        <v>668</v>
      </c>
      <c r="AF537" s="424"/>
      <c r="AG537" s="424"/>
      <c r="AH537" s="424"/>
    </row>
    <row r="538" spans="1:34" x14ac:dyDescent="0.25">
      <c r="A538" s="423" t="s">
        <v>4229</v>
      </c>
      <c r="B538" s="423" t="s">
        <v>4338</v>
      </c>
    </row>
    <row r="539" spans="1:34" x14ac:dyDescent="0.25">
      <c r="A539" s="423" t="s">
        <v>4335</v>
      </c>
      <c r="B539" s="423" t="s">
        <v>4339</v>
      </c>
      <c r="C539" s="423" t="s">
        <v>4139</v>
      </c>
      <c r="D539" s="423" t="s">
        <v>2818</v>
      </c>
      <c r="E539" s="423">
        <v>72</v>
      </c>
      <c r="F539" s="423">
        <v>64</v>
      </c>
      <c r="G539" s="423">
        <v>265</v>
      </c>
      <c r="H539" s="423"/>
      <c r="J539" s="423"/>
      <c r="K539" s="423"/>
      <c r="L539" s="423"/>
      <c r="Q539" s="423"/>
      <c r="R539" s="424" t="s">
        <v>2846</v>
      </c>
      <c r="S539" s="424" t="s">
        <v>4232</v>
      </c>
      <c r="T539" s="424">
        <v>0</v>
      </c>
      <c r="U539" s="424" t="s">
        <v>33</v>
      </c>
      <c r="V539" s="424" t="s">
        <v>3694</v>
      </c>
      <c r="W539" s="424" t="s">
        <v>2224</v>
      </c>
      <c r="X539" s="424" t="s">
        <v>2279</v>
      </c>
      <c r="Y539" s="424" t="s">
        <v>2872</v>
      </c>
      <c r="Z539" s="424" t="s">
        <v>4233</v>
      </c>
      <c r="AA539" s="424" t="s">
        <v>4234</v>
      </c>
      <c r="AB539" s="424" t="s">
        <v>1953</v>
      </c>
      <c r="AC539" s="424" t="s">
        <v>4235</v>
      </c>
      <c r="AD539" s="424" t="s">
        <v>4236</v>
      </c>
      <c r="AE539" s="424" t="s">
        <v>668</v>
      </c>
      <c r="AF539" s="424"/>
      <c r="AG539" s="424"/>
      <c r="AH539" s="424"/>
    </row>
    <row r="540" spans="1:34" x14ac:dyDescent="0.25">
      <c r="A540" s="423" t="s">
        <v>4229</v>
      </c>
      <c r="B540" s="423" t="s">
        <v>4340</v>
      </c>
    </row>
    <row r="541" spans="1:34" x14ac:dyDescent="0.25">
      <c r="A541" s="423" t="s">
        <v>4335</v>
      </c>
      <c r="B541" s="423" t="s">
        <v>4341</v>
      </c>
      <c r="C541" s="423" t="s">
        <v>4139</v>
      </c>
      <c r="D541" s="423" t="s">
        <v>2818</v>
      </c>
      <c r="E541" s="423">
        <v>72</v>
      </c>
      <c r="F541" s="423">
        <v>64</v>
      </c>
      <c r="G541" s="423">
        <v>265</v>
      </c>
      <c r="H541" s="423"/>
      <c r="J541" s="423"/>
      <c r="K541" s="423"/>
      <c r="L541" s="423"/>
      <c r="Q541" s="423"/>
      <c r="R541" s="424" t="s">
        <v>2846</v>
      </c>
      <c r="S541" s="424" t="s">
        <v>4232</v>
      </c>
      <c r="T541" s="424">
        <v>0</v>
      </c>
      <c r="U541" s="424" t="s">
        <v>33</v>
      </c>
      <c r="V541" s="424" t="s">
        <v>3694</v>
      </c>
      <c r="W541" s="424" t="s">
        <v>2224</v>
      </c>
      <c r="X541" s="424" t="s">
        <v>2279</v>
      </c>
      <c r="Y541" s="424" t="s">
        <v>2872</v>
      </c>
      <c r="Z541" s="424" t="s">
        <v>4233</v>
      </c>
      <c r="AA541" s="424" t="s">
        <v>4239</v>
      </c>
      <c r="AB541" s="424" t="s">
        <v>1953</v>
      </c>
      <c r="AC541" s="424" t="s">
        <v>4235</v>
      </c>
      <c r="AD541" s="424" t="s">
        <v>4240</v>
      </c>
      <c r="AE541" s="424" t="s">
        <v>668</v>
      </c>
      <c r="AF541" s="424"/>
      <c r="AG541" s="424"/>
      <c r="AH541" s="424"/>
    </row>
    <row r="542" spans="1:34" x14ac:dyDescent="0.25">
      <c r="A542" s="423" t="s">
        <v>4342</v>
      </c>
      <c r="B542" s="423" t="s">
        <v>4343</v>
      </c>
      <c r="C542" s="423" t="s">
        <v>641</v>
      </c>
      <c r="D542" s="423" t="s">
        <v>4344</v>
      </c>
      <c r="E542" s="423" t="s">
        <v>2818</v>
      </c>
      <c r="F542" s="423">
        <v>6</v>
      </c>
      <c r="G542" s="423">
        <v>64</v>
      </c>
      <c r="H542" s="423">
        <v>220</v>
      </c>
      <c r="J542" s="423"/>
      <c r="K542" s="423"/>
      <c r="L542" s="423"/>
      <c r="M542" s="423"/>
      <c r="Q542" s="423"/>
      <c r="R542" s="424" t="s">
        <v>4345</v>
      </c>
      <c r="S542" s="424" t="s">
        <v>2846</v>
      </c>
      <c r="T542" s="424" t="s">
        <v>2870</v>
      </c>
      <c r="U542" s="424">
        <v>0</v>
      </c>
      <c r="V542" s="424" t="s">
        <v>3055</v>
      </c>
      <c r="W542" s="424" t="s">
        <v>3074</v>
      </c>
      <c r="X542" s="424" t="s">
        <v>3298</v>
      </c>
      <c r="Y542" s="424" t="s">
        <v>2279</v>
      </c>
      <c r="Z542" s="424" t="s">
        <v>2872</v>
      </c>
      <c r="AA542" s="424" t="s">
        <v>3197</v>
      </c>
      <c r="AB542" s="424" t="s">
        <v>3784</v>
      </c>
      <c r="AC542" s="424" t="s">
        <v>1953</v>
      </c>
      <c r="AD542" s="424" t="s">
        <v>2892</v>
      </c>
      <c r="AE542" s="424" t="s">
        <v>3387</v>
      </c>
      <c r="AF542" s="424"/>
      <c r="AG542" s="424"/>
      <c r="AH542" s="424"/>
    </row>
    <row r="543" spans="1:34" x14ac:dyDescent="0.25">
      <c r="A543" s="423" t="s">
        <v>4342</v>
      </c>
      <c r="B543" s="423" t="s">
        <v>4346</v>
      </c>
      <c r="C543" s="423" t="s">
        <v>641</v>
      </c>
      <c r="D543" s="423" t="s">
        <v>4344</v>
      </c>
      <c r="E543" s="423" t="s">
        <v>2818</v>
      </c>
      <c r="F543" s="423">
        <v>6</v>
      </c>
      <c r="G543" s="423">
        <v>64</v>
      </c>
      <c r="H543" s="423">
        <v>220</v>
      </c>
      <c r="J543" s="423"/>
      <c r="K543" s="423"/>
      <c r="L543" s="423"/>
      <c r="M543" s="423"/>
      <c r="Q543" s="423"/>
      <c r="R543" s="424" t="s">
        <v>4347</v>
      </c>
      <c r="S543" s="424" t="s">
        <v>2846</v>
      </c>
      <c r="T543" s="424" t="s">
        <v>2870</v>
      </c>
      <c r="U543" s="424">
        <v>0</v>
      </c>
      <c r="V543" s="424" t="s">
        <v>3055</v>
      </c>
      <c r="W543" s="424" t="s">
        <v>3074</v>
      </c>
      <c r="X543" s="424" t="s">
        <v>3298</v>
      </c>
      <c r="Y543" s="424" t="s">
        <v>2279</v>
      </c>
      <c r="Z543" s="424" t="s">
        <v>2872</v>
      </c>
      <c r="AA543" s="424" t="s">
        <v>3197</v>
      </c>
      <c r="AB543" s="424" t="s">
        <v>3347</v>
      </c>
      <c r="AC543" s="424" t="s">
        <v>1953</v>
      </c>
      <c r="AD543" s="424" t="s">
        <v>2892</v>
      </c>
      <c r="AE543" s="424" t="s">
        <v>3348</v>
      </c>
      <c r="AF543" s="424"/>
      <c r="AG543" s="424"/>
      <c r="AH543" s="424"/>
    </row>
    <row r="544" spans="1:34" x14ac:dyDescent="0.25">
      <c r="A544" s="423" t="s">
        <v>4342</v>
      </c>
      <c r="B544" s="423" t="s">
        <v>4348</v>
      </c>
      <c r="C544" s="423" t="s">
        <v>641</v>
      </c>
      <c r="D544" s="423" t="s">
        <v>4344</v>
      </c>
      <c r="E544" s="423" t="s">
        <v>2818</v>
      </c>
      <c r="F544" s="423">
        <v>6</v>
      </c>
      <c r="G544" s="423">
        <v>64</v>
      </c>
      <c r="H544" s="423">
        <v>220</v>
      </c>
      <c r="J544" s="423"/>
      <c r="K544" s="423"/>
      <c r="L544" s="423"/>
      <c r="M544" s="423"/>
      <c r="Q544" s="423"/>
      <c r="R544" s="424" t="s">
        <v>4349</v>
      </c>
      <c r="S544" s="424" t="s">
        <v>2846</v>
      </c>
      <c r="T544" s="424" t="s">
        <v>2870</v>
      </c>
      <c r="U544" s="424">
        <v>0</v>
      </c>
      <c r="V544" s="424" t="s">
        <v>3055</v>
      </c>
      <c r="W544" s="424" t="s">
        <v>3074</v>
      </c>
      <c r="X544" s="424" t="s">
        <v>3298</v>
      </c>
      <c r="Y544" s="424" t="s">
        <v>2279</v>
      </c>
      <c r="Z544" s="424" t="s">
        <v>2872</v>
      </c>
      <c r="AA544" s="424" t="s">
        <v>3197</v>
      </c>
      <c r="AB544" s="424" t="s">
        <v>3758</v>
      </c>
      <c r="AC544" s="424" t="s">
        <v>1953</v>
      </c>
      <c r="AD544" s="424" t="s">
        <v>2892</v>
      </c>
      <c r="AE544" s="424" t="s">
        <v>3348</v>
      </c>
      <c r="AF544" s="424"/>
      <c r="AG544" s="424"/>
      <c r="AH544" s="424"/>
    </row>
    <row r="545" spans="1:34" x14ac:dyDescent="0.25">
      <c r="A545" s="423" t="s">
        <v>4342</v>
      </c>
      <c r="B545" s="423" t="s">
        <v>4350</v>
      </c>
      <c r="C545" s="423" t="s">
        <v>641</v>
      </c>
      <c r="D545" s="423" t="s">
        <v>4344</v>
      </c>
      <c r="E545" s="423" t="s">
        <v>2818</v>
      </c>
      <c r="F545" s="423">
        <v>6</v>
      </c>
      <c r="G545" s="423">
        <v>64</v>
      </c>
      <c r="H545" s="423">
        <v>220</v>
      </c>
      <c r="J545" s="423"/>
      <c r="K545" s="423"/>
      <c r="L545" s="423"/>
      <c r="M545" s="423"/>
      <c r="Q545" s="423"/>
      <c r="R545" s="424" t="s">
        <v>4351</v>
      </c>
      <c r="S545" s="424" t="s">
        <v>2846</v>
      </c>
      <c r="T545" s="424" t="s">
        <v>2870</v>
      </c>
      <c r="U545" s="424">
        <v>0</v>
      </c>
      <c r="V545" s="424" t="s">
        <v>3055</v>
      </c>
      <c r="W545" s="424" t="s">
        <v>3074</v>
      </c>
      <c r="X545" s="424" t="s">
        <v>3298</v>
      </c>
      <c r="Y545" s="424" t="s">
        <v>2279</v>
      </c>
      <c r="Z545" s="424" t="s">
        <v>2872</v>
      </c>
      <c r="AA545" s="424" t="s">
        <v>3197</v>
      </c>
      <c r="AB545" s="424" t="s">
        <v>3351</v>
      </c>
      <c r="AC545" s="424" t="s">
        <v>1953</v>
      </c>
      <c r="AD545" s="424" t="s">
        <v>2892</v>
      </c>
      <c r="AE545" s="424" t="s">
        <v>3348</v>
      </c>
      <c r="AF545" s="424"/>
      <c r="AG545" s="424"/>
      <c r="AH545" s="424"/>
    </row>
    <row r="546" spans="1:34" x14ac:dyDescent="0.25">
      <c r="A546" s="423" t="s">
        <v>4342</v>
      </c>
      <c r="B546" s="423" t="s">
        <v>4352</v>
      </c>
      <c r="C546" s="423" t="s">
        <v>641</v>
      </c>
      <c r="D546" s="423" t="s">
        <v>4344</v>
      </c>
      <c r="E546" s="423" t="s">
        <v>2818</v>
      </c>
      <c r="F546" s="423">
        <v>6</v>
      </c>
      <c r="G546" s="423">
        <v>64</v>
      </c>
      <c r="H546" s="423">
        <v>220</v>
      </c>
      <c r="J546" s="423"/>
      <c r="K546" s="423"/>
      <c r="L546" s="423"/>
      <c r="M546" s="423"/>
      <c r="Q546" s="423"/>
      <c r="R546" s="424" t="s">
        <v>4353</v>
      </c>
      <c r="S546" s="424" t="s">
        <v>2846</v>
      </c>
      <c r="T546" s="424" t="s">
        <v>2870</v>
      </c>
      <c r="U546" s="424">
        <v>0</v>
      </c>
      <c r="V546" s="424" t="s">
        <v>3055</v>
      </c>
      <c r="W546" s="424" t="s">
        <v>3074</v>
      </c>
      <c r="X546" s="424" t="s">
        <v>3298</v>
      </c>
      <c r="Y546" s="424" t="s">
        <v>2279</v>
      </c>
      <c r="Z546" s="424" t="s">
        <v>2872</v>
      </c>
      <c r="AA546" s="424" t="s">
        <v>3197</v>
      </c>
      <c r="AB546" s="424" t="s">
        <v>4354</v>
      </c>
      <c r="AC546" s="424" t="s">
        <v>1953</v>
      </c>
      <c r="AD546" s="424" t="s">
        <v>2892</v>
      </c>
      <c r="AE546" s="424" t="s">
        <v>3387</v>
      </c>
      <c r="AF546" s="424"/>
      <c r="AG546" s="424"/>
      <c r="AH546" s="424"/>
    </row>
    <row r="547" spans="1:34" x14ac:dyDescent="0.25">
      <c r="A547" s="423" t="s">
        <v>4342</v>
      </c>
      <c r="B547" s="423" t="s">
        <v>4355</v>
      </c>
      <c r="C547" s="423" t="s">
        <v>641</v>
      </c>
      <c r="D547" s="423" t="s">
        <v>4344</v>
      </c>
      <c r="E547" s="423" t="s">
        <v>2818</v>
      </c>
      <c r="F547" s="423">
        <v>6</v>
      </c>
      <c r="G547" s="423">
        <v>64</v>
      </c>
      <c r="H547" s="423">
        <v>220</v>
      </c>
      <c r="J547" s="423"/>
      <c r="K547" s="423"/>
      <c r="L547" s="423"/>
      <c r="M547" s="423"/>
      <c r="Q547" s="423"/>
      <c r="R547" s="424" t="s">
        <v>4356</v>
      </c>
      <c r="S547" s="424" t="s">
        <v>2846</v>
      </c>
      <c r="T547" s="424" t="s">
        <v>2870</v>
      </c>
      <c r="U547" s="424">
        <v>0</v>
      </c>
      <c r="V547" s="424" t="s">
        <v>3055</v>
      </c>
      <c r="W547" s="424" t="s">
        <v>3074</v>
      </c>
      <c r="X547" s="424" t="s">
        <v>3298</v>
      </c>
      <c r="Y547" s="424" t="s">
        <v>2279</v>
      </c>
      <c r="Z547" s="424" t="s">
        <v>2872</v>
      </c>
      <c r="AA547" s="424" t="s">
        <v>3197</v>
      </c>
      <c r="AB547" s="424" t="s">
        <v>3386</v>
      </c>
      <c r="AC547" s="424" t="s">
        <v>1953</v>
      </c>
      <c r="AD547" s="424" t="s">
        <v>2892</v>
      </c>
      <c r="AE547" s="424" t="s">
        <v>3387</v>
      </c>
      <c r="AF547" s="424"/>
      <c r="AG547" s="424"/>
      <c r="AH547" s="424"/>
    </row>
    <row r="548" spans="1:34" x14ac:dyDescent="0.25">
      <c r="A548" s="423" t="s">
        <v>4342</v>
      </c>
      <c r="B548" s="423" t="s">
        <v>4357</v>
      </c>
      <c r="C548" s="423" t="s">
        <v>641</v>
      </c>
      <c r="D548" s="423" t="s">
        <v>4344</v>
      </c>
      <c r="E548" s="423" t="s">
        <v>2818</v>
      </c>
      <c r="F548" s="423">
        <v>48</v>
      </c>
      <c r="G548" s="423">
        <v>128</v>
      </c>
      <c r="H548" s="423">
        <v>2000</v>
      </c>
      <c r="J548" s="423"/>
      <c r="K548" s="423"/>
      <c r="L548" s="423"/>
      <c r="M548" s="423"/>
      <c r="Q548" s="423"/>
      <c r="R548" s="424" t="s">
        <v>4358</v>
      </c>
      <c r="S548" s="424" t="s">
        <v>2820</v>
      </c>
      <c r="T548" s="424" t="s">
        <v>2821</v>
      </c>
      <c r="U548" s="424">
        <v>0</v>
      </c>
      <c r="V548" s="424" t="s">
        <v>2823</v>
      </c>
      <c r="W548" s="424" t="s">
        <v>2824</v>
      </c>
      <c r="X548" s="424" t="s">
        <v>3298</v>
      </c>
      <c r="Y548" s="424" t="s">
        <v>2279</v>
      </c>
      <c r="Z548" s="424" t="s">
        <v>2826</v>
      </c>
      <c r="AA548" s="424" t="s">
        <v>2827</v>
      </c>
      <c r="AB548" s="424" t="s">
        <v>4359</v>
      </c>
      <c r="AC548" s="424" t="s">
        <v>1953</v>
      </c>
      <c r="AD548" s="424" t="s">
        <v>2829</v>
      </c>
      <c r="AE548" s="424" t="s">
        <v>4360</v>
      </c>
      <c r="AF548" s="424"/>
      <c r="AG548" s="424"/>
      <c r="AH548" s="424"/>
    </row>
    <row r="549" spans="1:34" x14ac:dyDescent="0.25">
      <c r="A549" s="423" t="s">
        <v>4342</v>
      </c>
      <c r="B549" s="423" t="s">
        <v>4361</v>
      </c>
      <c r="C549" s="423" t="s">
        <v>641</v>
      </c>
      <c r="D549" s="423" t="s">
        <v>4344</v>
      </c>
      <c r="E549" s="423" t="s">
        <v>2818</v>
      </c>
      <c r="F549" s="423">
        <v>48</v>
      </c>
      <c r="G549" s="423">
        <v>128</v>
      </c>
      <c r="H549" s="423">
        <v>2000</v>
      </c>
      <c r="J549" s="423"/>
      <c r="K549" s="423"/>
      <c r="L549" s="423"/>
      <c r="M549" s="423"/>
      <c r="Q549" s="423"/>
      <c r="R549" s="424" t="s">
        <v>4362</v>
      </c>
      <c r="S549" s="424" t="s">
        <v>2820</v>
      </c>
      <c r="T549" s="424" t="s">
        <v>2821</v>
      </c>
      <c r="U549" s="424">
        <v>0</v>
      </c>
      <c r="V549" s="424" t="s">
        <v>2823</v>
      </c>
      <c r="W549" s="424" t="s">
        <v>2824</v>
      </c>
      <c r="X549" s="424" t="s">
        <v>3298</v>
      </c>
      <c r="Y549" s="424" t="s">
        <v>2279</v>
      </c>
      <c r="Z549" s="424" t="s">
        <v>2826</v>
      </c>
      <c r="AA549" s="424" t="s">
        <v>2827</v>
      </c>
      <c r="AB549" s="424" t="s">
        <v>4363</v>
      </c>
      <c r="AC549" s="424" t="s">
        <v>1953</v>
      </c>
      <c r="AD549" s="424" t="s">
        <v>2829</v>
      </c>
      <c r="AE549" s="424" t="s">
        <v>4360</v>
      </c>
      <c r="AF549" s="424"/>
      <c r="AG549" s="424"/>
      <c r="AH549" s="424"/>
    </row>
    <row r="550" spans="1:34" x14ac:dyDescent="0.25">
      <c r="A550" s="423" t="s">
        <v>4342</v>
      </c>
      <c r="B550" s="423" t="s">
        <v>4364</v>
      </c>
      <c r="C550" s="423" t="s">
        <v>641</v>
      </c>
      <c r="D550" s="423" t="s">
        <v>4344</v>
      </c>
      <c r="E550" s="423" t="s">
        <v>2818</v>
      </c>
      <c r="F550" s="423">
        <v>48</v>
      </c>
      <c r="G550" s="423">
        <v>128</v>
      </c>
      <c r="H550" s="423">
        <v>2000</v>
      </c>
      <c r="J550" s="423"/>
      <c r="K550" s="423"/>
      <c r="L550" s="423"/>
      <c r="M550" s="423"/>
      <c r="Q550" s="423"/>
      <c r="R550" s="424" t="s">
        <v>4365</v>
      </c>
      <c r="S550" s="424" t="s">
        <v>2820</v>
      </c>
      <c r="T550" s="424" t="s">
        <v>2821</v>
      </c>
      <c r="U550" s="424">
        <v>0</v>
      </c>
      <c r="V550" s="424" t="s">
        <v>2823</v>
      </c>
      <c r="W550" s="424" t="s">
        <v>2824</v>
      </c>
      <c r="X550" s="424" t="s">
        <v>3298</v>
      </c>
      <c r="Y550" s="424" t="s">
        <v>2279</v>
      </c>
      <c r="Z550" s="424" t="s">
        <v>2826</v>
      </c>
      <c r="AA550" s="424" t="s">
        <v>2827</v>
      </c>
      <c r="AB550" s="424" t="s">
        <v>4366</v>
      </c>
      <c r="AC550" s="424" t="s">
        <v>1953</v>
      </c>
      <c r="AD550" s="424" t="s">
        <v>2829</v>
      </c>
      <c r="AE550" s="424" t="s">
        <v>4367</v>
      </c>
      <c r="AF550" s="424"/>
      <c r="AG550" s="424"/>
      <c r="AH550" s="424"/>
    </row>
    <row r="551" spans="1:34" x14ac:dyDescent="0.25">
      <c r="A551" s="423" t="s">
        <v>4342</v>
      </c>
      <c r="B551" s="423" t="s">
        <v>4368</v>
      </c>
      <c r="C551" s="423" t="s">
        <v>641</v>
      </c>
      <c r="D551" s="423" t="s">
        <v>4344</v>
      </c>
      <c r="E551" s="423" t="s">
        <v>2818</v>
      </c>
      <c r="F551" s="423">
        <v>48</v>
      </c>
      <c r="G551" s="423">
        <v>128</v>
      </c>
      <c r="H551" s="423">
        <v>2000</v>
      </c>
      <c r="J551" s="423"/>
      <c r="K551" s="423"/>
      <c r="L551" s="423"/>
      <c r="M551" s="423"/>
      <c r="Q551" s="423"/>
      <c r="R551" s="424" t="s">
        <v>4369</v>
      </c>
      <c r="S551" s="424" t="s">
        <v>2820</v>
      </c>
      <c r="T551" s="424" t="s">
        <v>2821</v>
      </c>
      <c r="U551" s="424">
        <v>0</v>
      </c>
      <c r="V551" s="424" t="s">
        <v>2823</v>
      </c>
      <c r="W551" s="424" t="s">
        <v>2824</v>
      </c>
      <c r="X551" s="424" t="s">
        <v>3298</v>
      </c>
      <c r="Y551" s="424" t="s">
        <v>2279</v>
      </c>
      <c r="Z551" s="424" t="s">
        <v>2826</v>
      </c>
      <c r="AA551" s="424" t="s">
        <v>2827</v>
      </c>
      <c r="AB551" s="424" t="s">
        <v>4370</v>
      </c>
      <c r="AC551" s="424" t="s">
        <v>1953</v>
      </c>
      <c r="AD551" s="424" t="s">
        <v>2829</v>
      </c>
      <c r="AE551" s="424" t="s">
        <v>4367</v>
      </c>
      <c r="AF551" s="424"/>
      <c r="AG551" s="424"/>
      <c r="AH551" s="424"/>
    </row>
    <row r="552" spans="1:34" x14ac:dyDescent="0.25">
      <c r="A552" s="423" t="s">
        <v>4342</v>
      </c>
      <c r="B552" s="423" t="s">
        <v>4371</v>
      </c>
      <c r="C552" s="423" t="s">
        <v>641</v>
      </c>
      <c r="D552" s="423" t="s">
        <v>4344</v>
      </c>
      <c r="E552" s="423" t="s">
        <v>2818</v>
      </c>
      <c r="F552" s="423">
        <v>48</v>
      </c>
      <c r="G552" s="423">
        <v>128</v>
      </c>
      <c r="H552" s="423">
        <v>2000</v>
      </c>
      <c r="J552" s="423"/>
      <c r="K552" s="423"/>
      <c r="L552" s="423"/>
      <c r="M552" s="423"/>
      <c r="Q552" s="423"/>
      <c r="R552" s="424" t="s">
        <v>4372</v>
      </c>
      <c r="S552" s="424" t="s">
        <v>2820</v>
      </c>
      <c r="T552" s="424" t="s">
        <v>2821</v>
      </c>
      <c r="U552" s="424">
        <v>0</v>
      </c>
      <c r="V552" s="424" t="s">
        <v>2823</v>
      </c>
      <c r="W552" s="424" t="s">
        <v>2824</v>
      </c>
      <c r="X552" s="424" t="s">
        <v>3298</v>
      </c>
      <c r="Y552" s="424" t="s">
        <v>2279</v>
      </c>
      <c r="Z552" s="424" t="s">
        <v>2826</v>
      </c>
      <c r="AA552" s="424" t="s">
        <v>2827</v>
      </c>
      <c r="AB552" s="424" t="s">
        <v>4373</v>
      </c>
      <c r="AC552" s="424" t="s">
        <v>1953</v>
      </c>
      <c r="AD552" s="424" t="s">
        <v>2829</v>
      </c>
      <c r="AE552" s="424" t="s">
        <v>4367</v>
      </c>
      <c r="AF552" s="424"/>
      <c r="AG552" s="424"/>
      <c r="AH552" s="424"/>
    </row>
    <row r="553" spans="1:34" x14ac:dyDescent="0.25">
      <c r="A553" s="423" t="s">
        <v>4342</v>
      </c>
      <c r="B553" s="423" t="s">
        <v>4374</v>
      </c>
      <c r="C553" s="423" t="s">
        <v>641</v>
      </c>
      <c r="D553" s="423" t="s">
        <v>4344</v>
      </c>
      <c r="E553" s="423" t="s">
        <v>2818</v>
      </c>
      <c r="F553" s="423">
        <v>48</v>
      </c>
      <c r="G553" s="423">
        <v>200</v>
      </c>
      <c r="H553" s="423">
        <v>2500</v>
      </c>
      <c r="J553" s="423"/>
      <c r="K553" s="423"/>
      <c r="L553" s="423"/>
      <c r="M553" s="423"/>
      <c r="Q553" s="423"/>
      <c r="R553" s="424" t="s">
        <v>4375</v>
      </c>
      <c r="S553" s="424" t="s">
        <v>2820</v>
      </c>
      <c r="T553" s="424" t="s">
        <v>2821</v>
      </c>
      <c r="U553" s="424">
        <v>0</v>
      </c>
      <c r="V553" s="424" t="s">
        <v>2823</v>
      </c>
      <c r="W553" s="424" t="s">
        <v>2824</v>
      </c>
      <c r="X553" s="424" t="s">
        <v>3298</v>
      </c>
      <c r="Y553" s="424" t="s">
        <v>2279</v>
      </c>
      <c r="Z553" s="424" t="s">
        <v>2826</v>
      </c>
      <c r="AA553" s="424" t="s">
        <v>2827</v>
      </c>
      <c r="AB553" s="424" t="s">
        <v>4376</v>
      </c>
      <c r="AC553" s="424" t="s">
        <v>1953</v>
      </c>
      <c r="AD553" s="424" t="s">
        <v>2829</v>
      </c>
      <c r="AE553" s="424" t="s">
        <v>3017</v>
      </c>
      <c r="AF553" s="424"/>
      <c r="AG553" s="424"/>
      <c r="AH553" s="424"/>
    </row>
    <row r="554" spans="1:34" x14ac:dyDescent="0.25">
      <c r="A554" s="423" t="s">
        <v>4342</v>
      </c>
      <c r="B554" s="423" t="s">
        <v>4377</v>
      </c>
      <c r="C554" s="423" t="s">
        <v>641</v>
      </c>
      <c r="D554" s="423" t="s">
        <v>4344</v>
      </c>
      <c r="E554" s="423" t="s">
        <v>2818</v>
      </c>
      <c r="F554" s="423">
        <v>48</v>
      </c>
      <c r="G554" s="423">
        <v>200</v>
      </c>
      <c r="H554" s="423">
        <v>2500</v>
      </c>
      <c r="J554" s="423"/>
      <c r="K554" s="423"/>
      <c r="L554" s="423"/>
      <c r="M554" s="423"/>
      <c r="Q554" s="423"/>
      <c r="R554" s="424" t="s">
        <v>4378</v>
      </c>
      <c r="S554" s="424" t="s">
        <v>2820</v>
      </c>
      <c r="T554" s="424" t="s">
        <v>2821</v>
      </c>
      <c r="U554" s="424">
        <v>0</v>
      </c>
      <c r="V554" s="424" t="s">
        <v>2823</v>
      </c>
      <c r="W554" s="424" t="s">
        <v>2824</v>
      </c>
      <c r="X554" s="424" t="s">
        <v>3298</v>
      </c>
      <c r="Y554" s="424" t="s">
        <v>2279</v>
      </c>
      <c r="Z554" s="424" t="s">
        <v>2826</v>
      </c>
      <c r="AA554" s="424" t="s">
        <v>2827</v>
      </c>
      <c r="AB554" s="424" t="s">
        <v>4379</v>
      </c>
      <c r="AC554" s="424" t="s">
        <v>1953</v>
      </c>
      <c r="AD554" s="424" t="s">
        <v>2829</v>
      </c>
      <c r="AE554" s="424" t="s">
        <v>3017</v>
      </c>
      <c r="AF554" s="424"/>
      <c r="AG554" s="424"/>
      <c r="AH554" s="424"/>
    </row>
    <row r="555" spans="1:34" x14ac:dyDescent="0.25">
      <c r="A555" s="423" t="s">
        <v>4342</v>
      </c>
      <c r="B555" s="423" t="s">
        <v>4380</v>
      </c>
      <c r="C555" s="423" t="s">
        <v>641</v>
      </c>
      <c r="D555" s="423" t="s">
        <v>4344</v>
      </c>
      <c r="E555" s="423" t="s">
        <v>2818</v>
      </c>
      <c r="F555" s="423">
        <v>48</v>
      </c>
      <c r="G555" s="423">
        <v>200</v>
      </c>
      <c r="H555" s="423">
        <v>2500</v>
      </c>
      <c r="J555" s="423"/>
      <c r="K555" s="423"/>
      <c r="L555" s="423"/>
      <c r="M555" s="423"/>
      <c r="Q555" s="423"/>
      <c r="R555" s="424" t="s">
        <v>4381</v>
      </c>
      <c r="S555" s="424" t="s">
        <v>2820</v>
      </c>
      <c r="T555" s="424" t="s">
        <v>2821</v>
      </c>
      <c r="U555" s="424">
        <v>0</v>
      </c>
      <c r="V555" s="424" t="s">
        <v>2823</v>
      </c>
      <c r="W555" s="424" t="s">
        <v>2824</v>
      </c>
      <c r="X555" s="424" t="s">
        <v>3298</v>
      </c>
      <c r="Y555" s="424" t="s">
        <v>2279</v>
      </c>
      <c r="Z555" s="424" t="s">
        <v>2826</v>
      </c>
      <c r="AA555" s="424" t="s">
        <v>2827</v>
      </c>
      <c r="AB555" s="424" t="s">
        <v>4382</v>
      </c>
      <c r="AC555" s="424" t="s">
        <v>1953</v>
      </c>
      <c r="AD555" s="424" t="s">
        <v>2829</v>
      </c>
      <c r="AE555" s="424" t="s">
        <v>3030</v>
      </c>
      <c r="AF555" s="424"/>
      <c r="AG555" s="424"/>
      <c r="AH555" s="424"/>
    </row>
    <row r="556" spans="1:34" x14ac:dyDescent="0.25">
      <c r="A556" s="423" t="s">
        <v>4342</v>
      </c>
      <c r="B556" s="423" t="s">
        <v>4383</v>
      </c>
      <c r="C556" s="423" t="s">
        <v>641</v>
      </c>
      <c r="D556" s="423" t="s">
        <v>4344</v>
      </c>
      <c r="E556" s="423" t="s">
        <v>2818</v>
      </c>
      <c r="F556" s="423">
        <v>48</v>
      </c>
      <c r="G556" s="423">
        <v>128</v>
      </c>
      <c r="H556" s="423">
        <v>500</v>
      </c>
      <c r="J556" s="423"/>
      <c r="K556" s="423"/>
      <c r="L556" s="423"/>
      <c r="M556" s="423"/>
      <c r="Q556" s="423"/>
      <c r="R556" s="424" t="s">
        <v>4384</v>
      </c>
      <c r="S556" s="424" t="s">
        <v>2820</v>
      </c>
      <c r="T556" s="424" t="s">
        <v>2821</v>
      </c>
      <c r="U556" s="424">
        <v>0</v>
      </c>
      <c r="V556" s="424" t="s">
        <v>2823</v>
      </c>
      <c r="W556" s="424" t="s">
        <v>2824</v>
      </c>
      <c r="X556" s="424" t="s">
        <v>3298</v>
      </c>
      <c r="Y556" s="424" t="s">
        <v>2279</v>
      </c>
      <c r="Z556" s="424" t="s">
        <v>2826</v>
      </c>
      <c r="AA556" s="424" t="s">
        <v>2827</v>
      </c>
      <c r="AB556" s="424" t="s">
        <v>4385</v>
      </c>
      <c r="AC556" s="424" t="s">
        <v>1953</v>
      </c>
      <c r="AD556" s="424" t="s">
        <v>2829</v>
      </c>
      <c r="AE556" s="424" t="s">
        <v>4360</v>
      </c>
      <c r="AF556" s="424"/>
      <c r="AG556" s="424"/>
      <c r="AH556" s="424"/>
    </row>
    <row r="557" spans="1:34" x14ac:dyDescent="0.25">
      <c r="A557" s="423" t="s">
        <v>4342</v>
      </c>
      <c r="B557" s="423" t="s">
        <v>4386</v>
      </c>
      <c r="C557" s="423" t="s">
        <v>641</v>
      </c>
      <c r="D557" s="423" t="s">
        <v>4344</v>
      </c>
      <c r="E557" s="423" t="s">
        <v>2818</v>
      </c>
      <c r="F557" s="423">
        <v>48</v>
      </c>
      <c r="G557" s="423">
        <v>128</v>
      </c>
      <c r="H557" s="423">
        <v>500</v>
      </c>
      <c r="J557" s="423"/>
      <c r="K557" s="423"/>
      <c r="L557" s="423"/>
      <c r="M557" s="423"/>
      <c r="Q557" s="423"/>
      <c r="R557" s="424" t="s">
        <v>4387</v>
      </c>
      <c r="S557" s="424" t="s">
        <v>2820</v>
      </c>
      <c r="T557" s="424" t="s">
        <v>2821</v>
      </c>
      <c r="U557" s="424">
        <v>0</v>
      </c>
      <c r="V557" s="424" t="s">
        <v>2823</v>
      </c>
      <c r="W557" s="424" t="s">
        <v>2824</v>
      </c>
      <c r="X557" s="424" t="s">
        <v>3298</v>
      </c>
      <c r="Y557" s="424" t="s">
        <v>2279</v>
      </c>
      <c r="Z557" s="424" t="s">
        <v>2826</v>
      </c>
      <c r="AA557" s="424" t="s">
        <v>2827</v>
      </c>
      <c r="AB557" s="424" t="s">
        <v>4388</v>
      </c>
      <c r="AC557" s="424" t="s">
        <v>1953</v>
      </c>
      <c r="AD557" s="424" t="s">
        <v>2829</v>
      </c>
      <c r="AE557" s="424" t="s">
        <v>4360</v>
      </c>
      <c r="AF557" s="424"/>
      <c r="AG557" s="424"/>
      <c r="AH557" s="424"/>
    </row>
    <row r="558" spans="1:34" x14ac:dyDescent="0.25">
      <c r="A558" s="423" t="s">
        <v>4342</v>
      </c>
      <c r="B558" s="423" t="s">
        <v>4389</v>
      </c>
      <c r="C558" s="423" t="s">
        <v>641</v>
      </c>
      <c r="D558" s="423" t="s">
        <v>4344</v>
      </c>
      <c r="E558" s="423" t="s">
        <v>2818</v>
      </c>
      <c r="F558" s="423">
        <v>48</v>
      </c>
      <c r="G558" s="423">
        <v>128</v>
      </c>
      <c r="H558" s="423">
        <v>500</v>
      </c>
      <c r="J558" s="423"/>
      <c r="K558" s="423"/>
      <c r="L558" s="423"/>
      <c r="M558" s="423"/>
      <c r="Q558" s="423"/>
      <c r="R558" s="424" t="s">
        <v>4390</v>
      </c>
      <c r="S558" s="424" t="s">
        <v>2820</v>
      </c>
      <c r="T558" s="424" t="s">
        <v>2821</v>
      </c>
      <c r="U558" s="424">
        <v>0</v>
      </c>
      <c r="V558" s="424" t="s">
        <v>2823</v>
      </c>
      <c r="W558" s="424" t="s">
        <v>2824</v>
      </c>
      <c r="X558" s="424" t="s">
        <v>3298</v>
      </c>
      <c r="Y558" s="424" t="s">
        <v>2279</v>
      </c>
      <c r="Z558" s="424" t="s">
        <v>2826</v>
      </c>
      <c r="AA558" s="424" t="s">
        <v>2827</v>
      </c>
      <c r="AB558" s="424" t="s">
        <v>4391</v>
      </c>
      <c r="AC558" s="424" t="s">
        <v>1953</v>
      </c>
      <c r="AD558" s="424" t="s">
        <v>2829</v>
      </c>
      <c r="AE558" s="424" t="s">
        <v>4360</v>
      </c>
      <c r="AF558" s="424"/>
      <c r="AG558" s="424"/>
      <c r="AH558" s="424"/>
    </row>
    <row r="559" spans="1:34" x14ac:dyDescent="0.25">
      <c r="A559" s="423" t="s">
        <v>4342</v>
      </c>
      <c r="B559" s="423" t="s">
        <v>4392</v>
      </c>
      <c r="C559" s="423" t="s">
        <v>641</v>
      </c>
      <c r="D559" s="423" t="s">
        <v>4344</v>
      </c>
      <c r="E559" s="423" t="s">
        <v>2818</v>
      </c>
      <c r="F559" s="423">
        <v>48</v>
      </c>
      <c r="G559" s="423">
        <v>128</v>
      </c>
      <c r="H559" s="423">
        <v>500</v>
      </c>
      <c r="J559" s="423"/>
      <c r="K559" s="423"/>
      <c r="L559" s="423"/>
      <c r="M559" s="423"/>
      <c r="Q559" s="423"/>
      <c r="R559" s="424" t="s">
        <v>4393</v>
      </c>
      <c r="S559" s="424" t="s">
        <v>2820</v>
      </c>
      <c r="T559" s="424" t="s">
        <v>2821</v>
      </c>
      <c r="U559" s="424">
        <v>0</v>
      </c>
      <c r="V559" s="424" t="s">
        <v>2823</v>
      </c>
      <c r="W559" s="424" t="s">
        <v>2824</v>
      </c>
      <c r="X559" s="424" t="s">
        <v>3298</v>
      </c>
      <c r="Y559" s="424" t="s">
        <v>2279</v>
      </c>
      <c r="Z559" s="424" t="s">
        <v>2826</v>
      </c>
      <c r="AA559" s="424" t="s">
        <v>2827</v>
      </c>
      <c r="AB559" s="424" t="s">
        <v>4394</v>
      </c>
      <c r="AC559" s="424" t="s">
        <v>1953</v>
      </c>
      <c r="AD559" s="424" t="s">
        <v>2829</v>
      </c>
      <c r="AE559" s="424" t="s">
        <v>4367</v>
      </c>
      <c r="AF559" s="424"/>
      <c r="AG559" s="424"/>
      <c r="AH559" s="424"/>
    </row>
    <row r="560" spans="1:34" x14ac:dyDescent="0.25">
      <c r="A560" s="423" t="s">
        <v>4342</v>
      </c>
      <c r="B560" s="423" t="s">
        <v>4395</v>
      </c>
      <c r="C560" s="423" t="s">
        <v>641</v>
      </c>
      <c r="D560" s="423" t="s">
        <v>4344</v>
      </c>
      <c r="E560" s="423" t="s">
        <v>2818</v>
      </c>
      <c r="F560" s="423">
        <v>48</v>
      </c>
      <c r="G560" s="423">
        <v>128</v>
      </c>
      <c r="H560" s="423">
        <v>500</v>
      </c>
      <c r="J560" s="423"/>
      <c r="K560" s="423"/>
      <c r="L560" s="423"/>
      <c r="M560" s="423"/>
      <c r="Q560" s="423"/>
      <c r="R560" s="424" t="s">
        <v>4396</v>
      </c>
      <c r="S560" s="424" t="s">
        <v>2820</v>
      </c>
      <c r="T560" s="424" t="s">
        <v>2821</v>
      </c>
      <c r="U560" s="424">
        <v>0</v>
      </c>
      <c r="V560" s="424" t="s">
        <v>2823</v>
      </c>
      <c r="W560" s="424" t="s">
        <v>2824</v>
      </c>
      <c r="X560" s="424" t="s">
        <v>3298</v>
      </c>
      <c r="Y560" s="424" t="s">
        <v>2279</v>
      </c>
      <c r="Z560" s="424" t="s">
        <v>2826</v>
      </c>
      <c r="AA560" s="424" t="s">
        <v>2827</v>
      </c>
      <c r="AB560" s="424" t="s">
        <v>4397</v>
      </c>
      <c r="AC560" s="424" t="s">
        <v>1953</v>
      </c>
      <c r="AD560" s="424" t="s">
        <v>2829</v>
      </c>
      <c r="AE560" s="424" t="s">
        <v>4367</v>
      </c>
      <c r="AF560" s="424"/>
      <c r="AG560" s="424"/>
      <c r="AH560" s="424"/>
    </row>
    <row r="561" spans="1:34" x14ac:dyDescent="0.25">
      <c r="A561" s="423" t="s">
        <v>4342</v>
      </c>
      <c r="B561" s="423" t="s">
        <v>4398</v>
      </c>
      <c r="C561" s="423" t="s">
        <v>641</v>
      </c>
      <c r="D561" s="423" t="s">
        <v>4344</v>
      </c>
      <c r="E561" s="423" t="s">
        <v>2818</v>
      </c>
      <c r="F561" s="423">
        <v>32</v>
      </c>
      <c r="G561" s="423">
        <v>128</v>
      </c>
      <c r="H561" s="423">
        <v>500</v>
      </c>
      <c r="J561" s="423"/>
      <c r="K561" s="423"/>
      <c r="L561" s="423"/>
      <c r="M561" s="423"/>
      <c r="Q561" s="423"/>
      <c r="R561" s="424" t="s">
        <v>4399</v>
      </c>
      <c r="S561" s="424" t="s">
        <v>2820</v>
      </c>
      <c r="T561" s="424" t="s">
        <v>2821</v>
      </c>
      <c r="U561" s="424">
        <v>0</v>
      </c>
      <c r="V561" s="424" t="s">
        <v>2823</v>
      </c>
      <c r="W561" s="424" t="s">
        <v>2824</v>
      </c>
      <c r="X561" s="424" t="s">
        <v>2825</v>
      </c>
      <c r="Y561" s="424" t="s">
        <v>2279</v>
      </c>
      <c r="Z561" s="424" t="s">
        <v>2826</v>
      </c>
      <c r="AA561" s="424" t="s">
        <v>2827</v>
      </c>
      <c r="AB561" s="424" t="s">
        <v>4400</v>
      </c>
      <c r="AC561" s="424" t="s">
        <v>1953</v>
      </c>
      <c r="AD561" s="424" t="s">
        <v>2829</v>
      </c>
      <c r="AE561" s="424" t="s">
        <v>4360</v>
      </c>
      <c r="AF561" s="424"/>
      <c r="AG561" s="424"/>
      <c r="AH561" s="424"/>
    </row>
    <row r="562" spans="1:34" x14ac:dyDescent="0.25">
      <c r="A562" s="423" t="s">
        <v>4342</v>
      </c>
      <c r="B562" s="423" t="s">
        <v>4401</v>
      </c>
      <c r="C562" s="423" t="s">
        <v>641</v>
      </c>
      <c r="D562" s="423" t="s">
        <v>4344</v>
      </c>
      <c r="E562" s="423" t="s">
        <v>2818</v>
      </c>
      <c r="F562" s="423">
        <v>32</v>
      </c>
      <c r="G562" s="423">
        <v>128</v>
      </c>
      <c r="H562" s="423">
        <v>2000</v>
      </c>
      <c r="J562" s="423"/>
      <c r="K562" s="423"/>
      <c r="L562" s="423"/>
      <c r="M562" s="423"/>
      <c r="Q562" s="423"/>
      <c r="R562" s="424" t="s">
        <v>4402</v>
      </c>
      <c r="S562" s="424" t="s">
        <v>2820</v>
      </c>
      <c r="T562" s="424" t="s">
        <v>2821</v>
      </c>
      <c r="U562" s="424">
        <v>0</v>
      </c>
      <c r="V562" s="424" t="s">
        <v>2823</v>
      </c>
      <c r="W562" s="424" t="s">
        <v>2824</v>
      </c>
      <c r="X562" s="424" t="s">
        <v>3298</v>
      </c>
      <c r="Y562" s="424" t="s">
        <v>2279</v>
      </c>
      <c r="Z562" s="424" t="s">
        <v>2826</v>
      </c>
      <c r="AA562" s="424" t="s">
        <v>2827</v>
      </c>
      <c r="AB562" s="424" t="s">
        <v>4403</v>
      </c>
      <c r="AC562" s="424" t="s">
        <v>1953</v>
      </c>
      <c r="AD562" s="424" t="s">
        <v>2829</v>
      </c>
      <c r="AE562" s="424" t="s">
        <v>4367</v>
      </c>
      <c r="AF562" s="424"/>
      <c r="AG562" s="424"/>
      <c r="AH562" s="424"/>
    </row>
    <row r="563" spans="1:34" x14ac:dyDescent="0.25">
      <c r="A563" s="423" t="s">
        <v>4342</v>
      </c>
      <c r="B563" s="423" t="s">
        <v>4404</v>
      </c>
      <c r="C563" s="423" t="s">
        <v>641</v>
      </c>
      <c r="D563" s="423" t="s">
        <v>4344</v>
      </c>
      <c r="E563" s="423" t="s">
        <v>2818</v>
      </c>
      <c r="F563" s="423">
        <v>48</v>
      </c>
      <c r="G563" s="423">
        <v>200</v>
      </c>
      <c r="H563" s="423">
        <v>2500</v>
      </c>
      <c r="J563" s="423"/>
      <c r="K563" s="423"/>
      <c r="L563" s="423"/>
      <c r="M563" s="423"/>
      <c r="Q563" s="423"/>
      <c r="R563" s="424" t="s">
        <v>4405</v>
      </c>
      <c r="S563" s="424" t="s">
        <v>2820</v>
      </c>
      <c r="T563" s="424" t="s">
        <v>2821</v>
      </c>
      <c r="U563" s="424">
        <v>0</v>
      </c>
      <c r="V563" s="424" t="s">
        <v>2823</v>
      </c>
      <c r="W563" s="424" t="s">
        <v>2824</v>
      </c>
      <c r="X563" s="424" t="s">
        <v>3298</v>
      </c>
      <c r="Y563" s="424" t="s">
        <v>2279</v>
      </c>
      <c r="Z563" s="424" t="s">
        <v>2826</v>
      </c>
      <c r="AA563" s="424" t="s">
        <v>2827</v>
      </c>
      <c r="AB563" s="424" t="s">
        <v>4406</v>
      </c>
      <c r="AC563" s="424" t="s">
        <v>1953</v>
      </c>
      <c r="AD563" s="424" t="s">
        <v>2829</v>
      </c>
      <c r="AE563" s="424" t="s">
        <v>4360</v>
      </c>
      <c r="AF563" s="424"/>
      <c r="AG563" s="424"/>
      <c r="AH563" s="424"/>
    </row>
    <row r="564" spans="1:34" x14ac:dyDescent="0.25">
      <c r="A564" s="423" t="s">
        <v>4342</v>
      </c>
      <c r="B564" s="423" t="s">
        <v>4407</v>
      </c>
      <c r="C564" s="423" t="s">
        <v>641</v>
      </c>
      <c r="D564" s="423" t="s">
        <v>4344</v>
      </c>
      <c r="E564" s="423" t="s">
        <v>2818</v>
      </c>
      <c r="F564" s="423">
        <v>48</v>
      </c>
      <c r="G564" s="423">
        <v>200</v>
      </c>
      <c r="H564" s="423">
        <v>2500</v>
      </c>
      <c r="J564" s="423"/>
      <c r="K564" s="423"/>
      <c r="L564" s="423"/>
      <c r="M564" s="423"/>
      <c r="Q564" s="423"/>
      <c r="R564" s="424" t="s">
        <v>4408</v>
      </c>
      <c r="S564" s="424" t="s">
        <v>2820</v>
      </c>
      <c r="T564" s="424" t="s">
        <v>2821</v>
      </c>
      <c r="U564" s="424">
        <v>0</v>
      </c>
      <c r="V564" s="424" t="s">
        <v>2823</v>
      </c>
      <c r="W564" s="424" t="s">
        <v>2824</v>
      </c>
      <c r="X564" s="424" t="s">
        <v>3298</v>
      </c>
      <c r="Y564" s="424" t="s">
        <v>2279</v>
      </c>
      <c r="Z564" s="424" t="s">
        <v>2826</v>
      </c>
      <c r="AA564" s="424" t="s">
        <v>2827</v>
      </c>
      <c r="AB564" s="424" t="s">
        <v>4409</v>
      </c>
      <c r="AC564" s="424" t="s">
        <v>1953</v>
      </c>
      <c r="AD564" s="424" t="s">
        <v>2829</v>
      </c>
      <c r="AE564" s="424" t="s">
        <v>4367</v>
      </c>
      <c r="AF564" s="424"/>
      <c r="AG564" s="424"/>
      <c r="AH564" s="424"/>
    </row>
    <row r="565" spans="1:34" x14ac:dyDescent="0.25">
      <c r="A565" s="423" t="s">
        <v>4342</v>
      </c>
      <c r="B565" s="423" t="s">
        <v>4410</v>
      </c>
      <c r="C565" s="423" t="s">
        <v>641</v>
      </c>
      <c r="D565" s="423" t="s">
        <v>4344</v>
      </c>
      <c r="E565" s="423" t="s">
        <v>2818</v>
      </c>
      <c r="F565" s="423">
        <v>48</v>
      </c>
      <c r="G565" s="423">
        <v>200</v>
      </c>
      <c r="H565" s="423">
        <v>2500</v>
      </c>
      <c r="J565" s="423"/>
      <c r="K565" s="423"/>
      <c r="L565" s="423"/>
      <c r="M565" s="423"/>
      <c r="Q565" s="423"/>
      <c r="R565" s="424" t="s">
        <v>4411</v>
      </c>
      <c r="S565" s="424" t="s">
        <v>2820</v>
      </c>
      <c r="T565" s="424" t="s">
        <v>2821</v>
      </c>
      <c r="U565" s="424">
        <v>0</v>
      </c>
      <c r="V565" s="424" t="s">
        <v>2823</v>
      </c>
      <c r="W565" s="424" t="s">
        <v>2824</v>
      </c>
      <c r="X565" s="424" t="s">
        <v>3298</v>
      </c>
      <c r="Y565" s="424" t="s">
        <v>2279</v>
      </c>
      <c r="Z565" s="424" t="s">
        <v>2826</v>
      </c>
      <c r="AA565" s="424" t="s">
        <v>2827</v>
      </c>
      <c r="AB565" s="424" t="s">
        <v>4412</v>
      </c>
      <c r="AC565" s="424" t="s">
        <v>1953</v>
      </c>
      <c r="AD565" s="424" t="s">
        <v>2829</v>
      </c>
      <c r="AE565" s="424" t="s">
        <v>4367</v>
      </c>
      <c r="AF565" s="424"/>
      <c r="AG565" s="424"/>
      <c r="AH565" s="424"/>
    </row>
    <row r="566" spans="1:34" x14ac:dyDescent="0.25">
      <c r="A566" s="423" t="s">
        <v>4342</v>
      </c>
      <c r="B566" s="423" t="s">
        <v>4413</v>
      </c>
      <c r="C566" s="423" t="s">
        <v>641</v>
      </c>
      <c r="D566" s="423" t="s">
        <v>4344</v>
      </c>
      <c r="E566" s="423" t="s">
        <v>2818</v>
      </c>
      <c r="F566" s="423">
        <v>48</v>
      </c>
      <c r="G566" s="423">
        <v>128</v>
      </c>
      <c r="H566" s="423">
        <v>2000</v>
      </c>
      <c r="J566" s="423"/>
      <c r="K566" s="423"/>
      <c r="L566" s="423"/>
      <c r="M566" s="423"/>
      <c r="Q566" s="423"/>
      <c r="R566" s="424" t="s">
        <v>4414</v>
      </c>
      <c r="S566" s="424" t="s">
        <v>2820</v>
      </c>
      <c r="T566" s="424" t="s">
        <v>2821</v>
      </c>
      <c r="U566" s="424">
        <v>0</v>
      </c>
      <c r="V566" s="424" t="s">
        <v>2823</v>
      </c>
      <c r="W566" s="424" t="s">
        <v>2824</v>
      </c>
      <c r="X566" s="424" t="s">
        <v>3298</v>
      </c>
      <c r="Y566" s="424" t="s">
        <v>2279</v>
      </c>
      <c r="Z566" s="424" t="s">
        <v>2826</v>
      </c>
      <c r="AA566" s="424" t="s">
        <v>2827</v>
      </c>
      <c r="AB566" s="424" t="s">
        <v>4415</v>
      </c>
      <c r="AC566" s="424" t="s">
        <v>1953</v>
      </c>
      <c r="AD566" s="424" t="s">
        <v>2829</v>
      </c>
      <c r="AE566" s="424" t="s">
        <v>4360</v>
      </c>
      <c r="AF566" s="424"/>
      <c r="AG566" s="424"/>
      <c r="AH566" s="424"/>
    </row>
    <row r="567" spans="1:34" x14ac:dyDescent="0.25">
      <c r="A567" s="423" t="s">
        <v>4342</v>
      </c>
      <c r="B567" s="423" t="s">
        <v>4416</v>
      </c>
      <c r="C567" s="423" t="s">
        <v>641</v>
      </c>
      <c r="D567" s="423" t="s">
        <v>4344</v>
      </c>
      <c r="E567" s="423" t="s">
        <v>2818</v>
      </c>
      <c r="F567" s="423">
        <v>16</v>
      </c>
      <c r="G567" s="423">
        <v>32</v>
      </c>
      <c r="H567" s="423">
        <v>400</v>
      </c>
      <c r="J567" s="423"/>
      <c r="K567" s="423"/>
      <c r="L567" s="423"/>
      <c r="M567" s="423"/>
      <c r="Q567" s="423"/>
      <c r="R567" s="424" t="s">
        <v>4416</v>
      </c>
      <c r="S567" s="424" t="s">
        <v>2846</v>
      </c>
      <c r="T567" s="424" t="s">
        <v>3898</v>
      </c>
      <c r="U567" s="424">
        <v>0</v>
      </c>
      <c r="V567" s="424" t="s">
        <v>3269</v>
      </c>
      <c r="W567" s="424" t="s">
        <v>3074</v>
      </c>
      <c r="X567" s="424" t="s">
        <v>3298</v>
      </c>
      <c r="Y567" s="424" t="s">
        <v>2279</v>
      </c>
      <c r="Z567" s="424" t="s">
        <v>3260</v>
      </c>
      <c r="AA567" s="424" t="s">
        <v>3197</v>
      </c>
      <c r="AB567" s="424" t="s">
        <v>4417</v>
      </c>
      <c r="AC567" s="424" t="s">
        <v>1953</v>
      </c>
      <c r="AD567" s="424" t="s">
        <v>2851</v>
      </c>
      <c r="AE567" s="424" t="s">
        <v>4418</v>
      </c>
      <c r="AF567" s="424"/>
      <c r="AG567" s="424"/>
      <c r="AH567" s="424"/>
    </row>
    <row r="568" spans="1:34" x14ac:dyDescent="0.25">
      <c r="A568" s="423" t="s">
        <v>4342</v>
      </c>
      <c r="B568" s="423" t="s">
        <v>4419</v>
      </c>
      <c r="C568" s="423" t="s">
        <v>641</v>
      </c>
      <c r="D568" s="423" t="s">
        <v>4344</v>
      </c>
      <c r="E568" s="423" t="s">
        <v>2818</v>
      </c>
      <c r="F568" s="423">
        <v>16</v>
      </c>
      <c r="G568" s="423">
        <v>32</v>
      </c>
      <c r="H568" s="423">
        <v>400</v>
      </c>
      <c r="J568" s="423"/>
      <c r="K568" s="423"/>
      <c r="L568" s="423"/>
      <c r="M568" s="423"/>
      <c r="Q568" s="423"/>
      <c r="R568" s="424" t="s">
        <v>4419</v>
      </c>
      <c r="S568" s="424" t="s">
        <v>2846</v>
      </c>
      <c r="T568" s="424" t="s">
        <v>3898</v>
      </c>
      <c r="U568" s="424">
        <v>0</v>
      </c>
      <c r="V568" s="424" t="s">
        <v>3269</v>
      </c>
      <c r="W568" s="424" t="s">
        <v>3176</v>
      </c>
      <c r="X568" s="424" t="s">
        <v>3298</v>
      </c>
      <c r="Y568" s="424" t="s">
        <v>2279</v>
      </c>
      <c r="Z568" s="424" t="s">
        <v>3260</v>
      </c>
      <c r="AA568" s="424" t="s">
        <v>3197</v>
      </c>
      <c r="AB568" s="424" t="s">
        <v>4420</v>
      </c>
      <c r="AC568" s="424" t="s">
        <v>1953</v>
      </c>
      <c r="AD568" s="424" t="s">
        <v>2851</v>
      </c>
      <c r="AE568" s="424" t="s">
        <v>3674</v>
      </c>
      <c r="AF568" s="424"/>
      <c r="AG568" s="424"/>
      <c r="AH568" s="424"/>
    </row>
    <row r="569" spans="1:34" x14ac:dyDescent="0.25">
      <c r="A569" s="423" t="s">
        <v>4342</v>
      </c>
      <c r="B569" s="423" t="s">
        <v>4421</v>
      </c>
      <c r="C569" s="423" t="s">
        <v>641</v>
      </c>
      <c r="D569" s="423" t="s">
        <v>4344</v>
      </c>
      <c r="E569" s="423" t="s">
        <v>2818</v>
      </c>
      <c r="F569" s="423">
        <v>8</v>
      </c>
      <c r="G569" s="423">
        <v>8</v>
      </c>
      <c r="H569" s="423">
        <v>110</v>
      </c>
      <c r="J569" s="423"/>
      <c r="K569" s="423"/>
      <c r="L569" s="423"/>
      <c r="M569" s="423"/>
      <c r="Q569" s="423"/>
      <c r="R569" s="424" t="s">
        <v>4421</v>
      </c>
      <c r="S569" s="424" t="s">
        <v>2846</v>
      </c>
      <c r="T569" s="424" t="s">
        <v>3356</v>
      </c>
      <c r="U569" s="424">
        <v>0</v>
      </c>
      <c r="V569" s="424" t="s">
        <v>2824</v>
      </c>
      <c r="W569" s="424" t="s">
        <v>3054</v>
      </c>
      <c r="X569" s="424" t="s">
        <v>3298</v>
      </c>
      <c r="Y569" s="424" t="s">
        <v>2279</v>
      </c>
      <c r="Z569" s="424" t="s">
        <v>2848</v>
      </c>
      <c r="AA569" s="424" t="s">
        <v>2855</v>
      </c>
      <c r="AB569" s="424" t="s">
        <v>4422</v>
      </c>
      <c r="AC569" s="424" t="s">
        <v>1953</v>
      </c>
      <c r="AD569" s="424" t="s">
        <v>2851</v>
      </c>
      <c r="AE569" s="424" t="s">
        <v>3154</v>
      </c>
      <c r="AF569" s="424"/>
      <c r="AG569" s="424"/>
      <c r="AH569" s="424"/>
    </row>
    <row r="570" spans="1:34" x14ac:dyDescent="0.25">
      <c r="A570" s="423" t="s">
        <v>4342</v>
      </c>
      <c r="B570" s="423" t="s">
        <v>4423</v>
      </c>
      <c r="C570" s="423" t="s">
        <v>641</v>
      </c>
      <c r="D570" s="423" t="s">
        <v>4344</v>
      </c>
      <c r="E570" s="423" t="s">
        <v>2818</v>
      </c>
      <c r="F570" s="423">
        <v>8</v>
      </c>
      <c r="G570" s="423">
        <v>8</v>
      </c>
      <c r="H570" s="423">
        <v>110</v>
      </c>
      <c r="J570" s="423"/>
      <c r="K570" s="423"/>
      <c r="L570" s="423"/>
      <c r="M570" s="423"/>
      <c r="Q570" s="423"/>
      <c r="R570" s="424" t="s">
        <v>4423</v>
      </c>
      <c r="S570" s="424" t="s">
        <v>2846</v>
      </c>
      <c r="T570" s="424" t="s">
        <v>3356</v>
      </c>
      <c r="U570" s="424">
        <v>0</v>
      </c>
      <c r="V570" s="424" t="s">
        <v>2824</v>
      </c>
      <c r="W570" s="424" t="s">
        <v>3054</v>
      </c>
      <c r="X570" s="424" t="s">
        <v>3298</v>
      </c>
      <c r="Y570" s="424" t="s">
        <v>2279</v>
      </c>
      <c r="Z570" s="424" t="s">
        <v>2848</v>
      </c>
      <c r="AA570" s="424" t="s">
        <v>2855</v>
      </c>
      <c r="AB570" s="424" t="s">
        <v>4424</v>
      </c>
      <c r="AC570" s="424" t="s">
        <v>1953</v>
      </c>
      <c r="AD570" s="424" t="s">
        <v>2851</v>
      </c>
      <c r="AE570" s="424" t="s">
        <v>3719</v>
      </c>
      <c r="AF570" s="424"/>
      <c r="AG570" s="424"/>
      <c r="AH570" s="424"/>
    </row>
    <row r="571" spans="1:34" x14ac:dyDescent="0.25">
      <c r="A571" s="423" t="s">
        <v>4342</v>
      </c>
      <c r="B571" s="423" t="s">
        <v>4425</v>
      </c>
      <c r="C571" s="423" t="s">
        <v>641</v>
      </c>
      <c r="D571" s="423" t="s">
        <v>4344</v>
      </c>
      <c r="E571" s="423" t="s">
        <v>2818</v>
      </c>
      <c r="F571" s="423">
        <v>16</v>
      </c>
      <c r="G571" s="423">
        <v>32</v>
      </c>
      <c r="H571" s="423">
        <v>330</v>
      </c>
      <c r="J571" s="423"/>
      <c r="K571" s="423"/>
      <c r="L571" s="423"/>
      <c r="M571" s="423"/>
      <c r="Q571" s="423"/>
      <c r="R571" s="424" t="s">
        <v>4425</v>
      </c>
      <c r="S571" s="424" t="s">
        <v>2846</v>
      </c>
      <c r="T571" s="424" t="s">
        <v>3356</v>
      </c>
      <c r="U571" s="424">
        <v>0</v>
      </c>
      <c r="V571" s="424" t="s">
        <v>2973</v>
      </c>
      <c r="W571" s="424" t="s">
        <v>3055</v>
      </c>
      <c r="X571" s="424" t="s">
        <v>2825</v>
      </c>
      <c r="Y571" s="424" t="s">
        <v>2279</v>
      </c>
      <c r="Z571" s="424" t="s">
        <v>2848</v>
      </c>
      <c r="AA571" s="424" t="s">
        <v>2855</v>
      </c>
      <c r="AB571" s="424" t="s">
        <v>4426</v>
      </c>
      <c r="AC571" s="424" t="s">
        <v>1953</v>
      </c>
      <c r="AD571" s="424" t="s">
        <v>2851</v>
      </c>
      <c r="AE571" s="424" t="s">
        <v>3168</v>
      </c>
      <c r="AF571" s="424"/>
      <c r="AG571" s="424"/>
      <c r="AH571" s="424"/>
    </row>
    <row r="572" spans="1:34" x14ac:dyDescent="0.25">
      <c r="A572" s="423" t="s">
        <v>4342</v>
      </c>
      <c r="B572" s="423" t="s">
        <v>4427</v>
      </c>
      <c r="C572" s="423" t="s">
        <v>641</v>
      </c>
      <c r="D572" s="423" t="s">
        <v>4344</v>
      </c>
      <c r="E572" s="423" t="s">
        <v>2818</v>
      </c>
      <c r="F572" s="423">
        <v>24</v>
      </c>
      <c r="G572" s="423">
        <v>32</v>
      </c>
      <c r="H572" s="423">
        <v>250</v>
      </c>
      <c r="J572" s="423"/>
      <c r="K572" s="423"/>
      <c r="L572" s="423"/>
      <c r="M572" s="423"/>
      <c r="Q572" s="423"/>
      <c r="R572" s="424" t="s">
        <v>4428</v>
      </c>
      <c r="S572" s="424" t="s">
        <v>2846</v>
      </c>
      <c r="T572" s="424" t="s">
        <v>3152</v>
      </c>
      <c r="U572" s="424">
        <v>0</v>
      </c>
      <c r="V572" s="424" t="s">
        <v>2824</v>
      </c>
      <c r="W572" s="424" t="s">
        <v>3074</v>
      </c>
      <c r="X572" s="424" t="s">
        <v>3298</v>
      </c>
      <c r="Y572" s="424" t="s">
        <v>2279</v>
      </c>
      <c r="Z572" s="424" t="s">
        <v>2848</v>
      </c>
      <c r="AA572" s="424" t="s">
        <v>2849</v>
      </c>
      <c r="AB572" s="424" t="s">
        <v>4429</v>
      </c>
      <c r="AC572" s="424" t="s">
        <v>1953</v>
      </c>
      <c r="AD572" s="424" t="s">
        <v>2851</v>
      </c>
      <c r="AE572" s="424" t="s">
        <v>3436</v>
      </c>
      <c r="AF572" s="424"/>
      <c r="AG572" s="424"/>
      <c r="AH572" s="424"/>
    </row>
    <row r="573" spans="1:34" x14ac:dyDescent="0.25">
      <c r="A573" s="423" t="s">
        <v>4342</v>
      </c>
      <c r="B573" s="423" t="s">
        <v>4430</v>
      </c>
      <c r="C573" s="423" t="s">
        <v>641</v>
      </c>
      <c r="D573" s="423" t="s">
        <v>4344</v>
      </c>
      <c r="E573" s="423" t="s">
        <v>2818</v>
      </c>
      <c r="F573" s="423">
        <v>4</v>
      </c>
      <c r="G573" s="423">
        <v>12</v>
      </c>
      <c r="H573" s="423">
        <v>200</v>
      </c>
      <c r="J573" s="423"/>
      <c r="K573" s="423"/>
      <c r="L573" s="423"/>
      <c r="M573" s="423"/>
      <c r="Q573" s="423"/>
      <c r="R573" s="424" t="s">
        <v>4430</v>
      </c>
      <c r="S573" s="424" t="s">
        <v>2846</v>
      </c>
      <c r="T573" s="424" t="s">
        <v>2847</v>
      </c>
      <c r="U573" s="424">
        <v>0</v>
      </c>
      <c r="V573" s="424" t="s">
        <v>3283</v>
      </c>
      <c r="W573" s="424" t="s">
        <v>3074</v>
      </c>
      <c r="X573" s="424" t="s">
        <v>2825</v>
      </c>
      <c r="Y573" s="424" t="s">
        <v>2279</v>
      </c>
      <c r="Z573" s="424" t="s">
        <v>2848</v>
      </c>
      <c r="AA573" s="424" t="s">
        <v>2849</v>
      </c>
      <c r="AB573" s="424" t="s">
        <v>3599</v>
      </c>
      <c r="AC573" s="424" t="s">
        <v>1953</v>
      </c>
      <c r="AD573" s="424" t="s">
        <v>2851</v>
      </c>
      <c r="AE573" s="424" t="s">
        <v>2861</v>
      </c>
      <c r="AF573" s="424"/>
      <c r="AG573" s="424"/>
      <c r="AH573" s="424"/>
    </row>
    <row r="574" spans="1:34" x14ac:dyDescent="0.25">
      <c r="A574" s="423" t="s">
        <v>4431</v>
      </c>
      <c r="B574" s="423" t="s">
        <v>4432</v>
      </c>
      <c r="C574" s="423" t="s">
        <v>641</v>
      </c>
      <c r="D574" s="423" t="s">
        <v>4344</v>
      </c>
      <c r="E574" s="423" t="s">
        <v>2818</v>
      </c>
      <c r="F574" s="423">
        <v>32</v>
      </c>
      <c r="G574" s="423">
        <v>63</v>
      </c>
      <c r="H574" s="423">
        <v>422</v>
      </c>
      <c r="J574" s="423"/>
      <c r="K574" s="423"/>
      <c r="L574" s="423"/>
      <c r="M574" s="423"/>
      <c r="Q574" s="423"/>
      <c r="R574" s="424" t="s">
        <v>4433</v>
      </c>
      <c r="S574" s="424" t="s">
        <v>2820</v>
      </c>
      <c r="T574" s="424" t="s">
        <v>4434</v>
      </c>
      <c r="U574" s="424">
        <v>0</v>
      </c>
      <c r="V574" s="424" t="s">
        <v>2823</v>
      </c>
      <c r="W574" s="424" t="s">
        <v>2824</v>
      </c>
      <c r="X574" s="424" t="s">
        <v>2825</v>
      </c>
      <c r="Y574" s="424" t="s">
        <v>2279</v>
      </c>
      <c r="Z574" s="424" t="s">
        <v>2826</v>
      </c>
      <c r="AA574" s="424" t="s">
        <v>2827</v>
      </c>
      <c r="AB574" s="424" t="s">
        <v>4435</v>
      </c>
      <c r="AC574" s="424" t="s">
        <v>1953</v>
      </c>
      <c r="AD574" s="424" t="s">
        <v>2829</v>
      </c>
      <c r="AE574" s="424" t="s">
        <v>4436</v>
      </c>
      <c r="AF574" s="424"/>
      <c r="AG574" s="424"/>
      <c r="AH574" s="424"/>
    </row>
    <row r="575" spans="1:34" x14ac:dyDescent="0.25">
      <c r="A575" s="423" t="s">
        <v>4431</v>
      </c>
      <c r="B575" s="423" t="s">
        <v>4437</v>
      </c>
      <c r="C575" s="423" t="s">
        <v>641</v>
      </c>
      <c r="D575" s="423" t="s">
        <v>4344</v>
      </c>
      <c r="E575" s="423" t="s">
        <v>2818</v>
      </c>
      <c r="F575" s="423">
        <v>32</v>
      </c>
      <c r="G575" s="423">
        <v>63</v>
      </c>
      <c r="H575" s="423">
        <v>422</v>
      </c>
      <c r="J575" s="423"/>
      <c r="K575" s="423"/>
      <c r="L575" s="423"/>
      <c r="M575" s="423"/>
      <c r="Q575" s="423"/>
      <c r="R575" s="424" t="s">
        <v>4438</v>
      </c>
      <c r="S575" s="424" t="s">
        <v>2820</v>
      </c>
      <c r="T575" s="424" t="s">
        <v>4434</v>
      </c>
      <c r="U575" s="424">
        <v>0</v>
      </c>
      <c r="V575" s="424" t="s">
        <v>2823</v>
      </c>
      <c r="W575" s="424" t="s">
        <v>2824</v>
      </c>
      <c r="X575" s="424" t="s">
        <v>2825</v>
      </c>
      <c r="Y575" s="424" t="s">
        <v>2279</v>
      </c>
      <c r="Z575" s="424" t="s">
        <v>2826</v>
      </c>
      <c r="AA575" s="424" t="s">
        <v>2827</v>
      </c>
      <c r="AB575" s="424" t="s">
        <v>4439</v>
      </c>
      <c r="AC575" s="424" t="s">
        <v>1953</v>
      </c>
      <c r="AD575" s="424" t="s">
        <v>2829</v>
      </c>
      <c r="AE575" s="424" t="s">
        <v>4436</v>
      </c>
      <c r="AF575" s="424"/>
      <c r="AG575" s="424"/>
      <c r="AH575" s="424"/>
    </row>
    <row r="576" spans="1:34" x14ac:dyDescent="0.25">
      <c r="A576" s="423" t="s">
        <v>4431</v>
      </c>
      <c r="B576" s="423" t="s">
        <v>4440</v>
      </c>
      <c r="C576" s="423" t="s">
        <v>641</v>
      </c>
      <c r="D576" s="423" t="s">
        <v>4344</v>
      </c>
      <c r="E576" s="423" t="s">
        <v>2818</v>
      </c>
      <c r="F576" s="423">
        <v>32</v>
      </c>
      <c r="G576" s="423">
        <v>63</v>
      </c>
      <c r="H576" s="423">
        <v>422</v>
      </c>
      <c r="J576" s="423"/>
      <c r="K576" s="423"/>
      <c r="L576" s="423"/>
      <c r="M576" s="423"/>
      <c r="Q576" s="423"/>
      <c r="R576" s="424" t="s">
        <v>4441</v>
      </c>
      <c r="S576" s="424" t="s">
        <v>2820</v>
      </c>
      <c r="T576" s="424" t="s">
        <v>4434</v>
      </c>
      <c r="U576" s="424">
        <v>0</v>
      </c>
      <c r="V576" s="424" t="s">
        <v>2823</v>
      </c>
      <c r="W576" s="424" t="s">
        <v>2824</v>
      </c>
      <c r="X576" s="424" t="s">
        <v>2825</v>
      </c>
      <c r="Y576" s="424" t="s">
        <v>2279</v>
      </c>
      <c r="Z576" s="424" t="s">
        <v>2826</v>
      </c>
      <c r="AA576" s="424" t="s">
        <v>2827</v>
      </c>
      <c r="AB576" s="424" t="s">
        <v>4442</v>
      </c>
      <c r="AC576" s="424" t="s">
        <v>1953</v>
      </c>
      <c r="AD576" s="424" t="s">
        <v>2829</v>
      </c>
      <c r="AE576" s="424" t="s">
        <v>4436</v>
      </c>
      <c r="AF576" s="424"/>
      <c r="AG576" s="424"/>
      <c r="AH576" s="424"/>
    </row>
    <row r="577" spans="1:34" x14ac:dyDescent="0.25">
      <c r="A577" s="423" t="s">
        <v>4431</v>
      </c>
      <c r="B577" s="423" t="s">
        <v>4443</v>
      </c>
      <c r="C577" s="423" t="s">
        <v>641</v>
      </c>
      <c r="D577" s="423" t="s">
        <v>4344</v>
      </c>
      <c r="E577" s="423" t="s">
        <v>2818</v>
      </c>
      <c r="F577" s="423">
        <v>12</v>
      </c>
      <c r="G577" s="423">
        <v>32</v>
      </c>
      <c r="H577" s="423">
        <v>1750</v>
      </c>
      <c r="J577" s="423"/>
      <c r="K577" s="423"/>
      <c r="L577" s="423"/>
      <c r="M577" s="423"/>
      <c r="Q577" s="423"/>
      <c r="R577" s="424" t="s">
        <v>4443</v>
      </c>
      <c r="S577" s="424" t="s">
        <v>2846</v>
      </c>
      <c r="T577" s="424" t="s">
        <v>3268</v>
      </c>
      <c r="U577" s="424">
        <v>0</v>
      </c>
      <c r="V577" s="424" t="s">
        <v>3269</v>
      </c>
      <c r="W577" s="424" t="s">
        <v>3054</v>
      </c>
      <c r="X577" s="424" t="s">
        <v>2825</v>
      </c>
      <c r="Y577" s="424" t="s">
        <v>2279</v>
      </c>
      <c r="Z577" s="424" t="s">
        <v>2848</v>
      </c>
      <c r="AA577" s="424" t="s">
        <v>2855</v>
      </c>
      <c r="AB577" s="424" t="s">
        <v>4424</v>
      </c>
      <c r="AC577" s="424" t="s">
        <v>1953</v>
      </c>
      <c r="AD577" s="424" t="s">
        <v>2851</v>
      </c>
      <c r="AE577" s="424" t="s">
        <v>3719</v>
      </c>
      <c r="AF577" s="424"/>
      <c r="AG577" s="424"/>
      <c r="AH577" s="424"/>
    </row>
    <row r="578" spans="1:34" x14ac:dyDescent="0.25">
      <c r="A578" s="423" t="s">
        <v>4431</v>
      </c>
      <c r="B578" s="423" t="s">
        <v>4444</v>
      </c>
      <c r="C578" s="423" t="s">
        <v>641</v>
      </c>
      <c r="D578" s="423" t="s">
        <v>4344</v>
      </c>
      <c r="E578" s="423" t="s">
        <v>2818</v>
      </c>
      <c r="F578" s="423">
        <v>12</v>
      </c>
      <c r="G578" s="423">
        <v>32</v>
      </c>
      <c r="H578" s="423">
        <v>1750</v>
      </c>
      <c r="J578" s="423"/>
      <c r="K578" s="423"/>
      <c r="L578" s="423"/>
      <c r="M578" s="423"/>
      <c r="Q578" s="423"/>
      <c r="R578" s="424" t="s">
        <v>4444</v>
      </c>
      <c r="S578" s="424" t="s">
        <v>2846</v>
      </c>
      <c r="T578" s="424" t="s">
        <v>3268</v>
      </c>
      <c r="U578" s="424">
        <v>0</v>
      </c>
      <c r="V578" s="424" t="s">
        <v>3269</v>
      </c>
      <c r="W578" s="424" t="s">
        <v>2974</v>
      </c>
      <c r="X578" s="424" t="s">
        <v>2825</v>
      </c>
      <c r="Y578" s="424" t="s">
        <v>2279</v>
      </c>
      <c r="Z578" s="424" t="s">
        <v>2848</v>
      </c>
      <c r="AA578" s="424" t="s">
        <v>2855</v>
      </c>
      <c r="AB578" s="424" t="s">
        <v>4445</v>
      </c>
      <c r="AC578" s="424" t="s">
        <v>1953</v>
      </c>
      <c r="AD578" s="424" t="s">
        <v>2851</v>
      </c>
      <c r="AE578" s="424" t="s">
        <v>3154</v>
      </c>
      <c r="AF578" s="424"/>
      <c r="AG578" s="424"/>
      <c r="AH578" s="424"/>
    </row>
    <row r="579" spans="1:34" x14ac:dyDescent="0.25">
      <c r="A579" s="423" t="s">
        <v>4446</v>
      </c>
      <c r="B579" s="423" t="s">
        <v>4447</v>
      </c>
      <c r="C579" s="423" t="s">
        <v>641</v>
      </c>
      <c r="D579" s="423" t="s">
        <v>4344</v>
      </c>
      <c r="E579" s="423" t="s">
        <v>2818</v>
      </c>
      <c r="F579" s="423">
        <v>10</v>
      </c>
      <c r="G579" s="423">
        <v>23</v>
      </c>
      <c r="H579" s="423">
        <v>296</v>
      </c>
      <c r="J579" s="423"/>
      <c r="K579" s="423"/>
      <c r="L579" s="423"/>
      <c r="M579" s="423"/>
      <c r="Q579" s="423"/>
      <c r="R579" s="424" t="s">
        <v>4448</v>
      </c>
      <c r="S579" s="424" t="s">
        <v>2846</v>
      </c>
      <c r="T579" s="424" t="s">
        <v>3356</v>
      </c>
      <c r="U579" s="424">
        <v>0</v>
      </c>
      <c r="V579" s="424" t="s">
        <v>3074</v>
      </c>
      <c r="W579" s="424" t="s">
        <v>3074</v>
      </c>
      <c r="X579" s="424" t="s">
        <v>4449</v>
      </c>
      <c r="Y579" s="424" t="s">
        <v>2279</v>
      </c>
      <c r="Z579" s="424" t="s">
        <v>2872</v>
      </c>
      <c r="AA579" s="424" t="s">
        <v>3197</v>
      </c>
      <c r="AB579" s="424" t="s">
        <v>3411</v>
      </c>
      <c r="AC579" s="424" t="s">
        <v>1953</v>
      </c>
      <c r="AD579" s="424" t="s">
        <v>2892</v>
      </c>
      <c r="AE579" s="424" t="s">
        <v>3387</v>
      </c>
      <c r="AF579" s="424"/>
      <c r="AG579" s="424"/>
      <c r="AH579" s="424"/>
    </row>
    <row r="580" spans="1:34" x14ac:dyDescent="0.25">
      <c r="A580" s="423" t="s">
        <v>4446</v>
      </c>
      <c r="B580" s="423" t="s">
        <v>4450</v>
      </c>
      <c r="C580" s="423" t="s">
        <v>641</v>
      </c>
      <c r="D580" s="423" t="s">
        <v>4344</v>
      </c>
      <c r="E580" s="423" t="s">
        <v>2818</v>
      </c>
      <c r="F580" s="423">
        <v>10</v>
      </c>
      <c r="G580" s="423">
        <v>23</v>
      </c>
      <c r="H580" s="423">
        <v>296</v>
      </c>
      <c r="J580" s="423"/>
      <c r="K580" s="423"/>
      <c r="L580" s="423"/>
      <c r="M580" s="423"/>
      <c r="Q580" s="423"/>
      <c r="R580" s="424" t="s">
        <v>4451</v>
      </c>
      <c r="S580" s="424" t="s">
        <v>2846</v>
      </c>
      <c r="T580" s="424" t="s">
        <v>3356</v>
      </c>
      <c r="U580" s="424">
        <v>0</v>
      </c>
      <c r="V580" s="424" t="s">
        <v>3074</v>
      </c>
      <c r="W580" s="424" t="s">
        <v>3074</v>
      </c>
      <c r="X580" s="424" t="s">
        <v>4449</v>
      </c>
      <c r="Y580" s="424" t="s">
        <v>2279</v>
      </c>
      <c r="Z580" s="424" t="s">
        <v>2872</v>
      </c>
      <c r="AA580" s="424" t="s">
        <v>3197</v>
      </c>
      <c r="AB580" s="424" t="s">
        <v>3399</v>
      </c>
      <c r="AC580" s="424" t="s">
        <v>1953</v>
      </c>
      <c r="AD580" s="424" t="s">
        <v>2892</v>
      </c>
      <c r="AE580" s="424" t="s">
        <v>3387</v>
      </c>
      <c r="AF580" s="424"/>
      <c r="AG580" s="424"/>
      <c r="AH580" s="424"/>
    </row>
    <row r="581" spans="1:34" x14ac:dyDescent="0.25">
      <c r="A581" s="423" t="s">
        <v>4446</v>
      </c>
      <c r="B581" s="423" t="s">
        <v>4452</v>
      </c>
      <c r="C581" s="423" t="s">
        <v>641</v>
      </c>
      <c r="D581" s="423" t="s">
        <v>4344</v>
      </c>
      <c r="E581" s="423" t="s">
        <v>2818</v>
      </c>
      <c r="F581" s="423">
        <v>10</v>
      </c>
      <c r="G581" s="423">
        <v>23</v>
      </c>
      <c r="H581" s="423">
        <v>296</v>
      </c>
      <c r="J581" s="423"/>
      <c r="K581" s="423"/>
      <c r="L581" s="423"/>
      <c r="M581" s="423"/>
      <c r="Q581" s="423"/>
      <c r="R581" s="424" t="s">
        <v>4453</v>
      </c>
      <c r="S581" s="424" t="s">
        <v>2846</v>
      </c>
      <c r="T581" s="424" t="s">
        <v>3356</v>
      </c>
      <c r="U581" s="424">
        <v>0</v>
      </c>
      <c r="V581" s="424" t="s">
        <v>3074</v>
      </c>
      <c r="W581" s="424" t="s">
        <v>3074</v>
      </c>
      <c r="X581" s="424" t="s">
        <v>4449</v>
      </c>
      <c r="Y581" s="424" t="s">
        <v>2279</v>
      </c>
      <c r="Z581" s="424" t="s">
        <v>2872</v>
      </c>
      <c r="AA581" s="424" t="s">
        <v>3197</v>
      </c>
      <c r="AB581" s="424" t="s">
        <v>3347</v>
      </c>
      <c r="AC581" s="424" t="s">
        <v>1953</v>
      </c>
      <c r="AD581" s="424" t="s">
        <v>2892</v>
      </c>
      <c r="AE581" s="424" t="s">
        <v>3348</v>
      </c>
      <c r="AF581" s="424"/>
      <c r="AG581" s="424"/>
      <c r="AH581" s="424"/>
    </row>
    <row r="582" spans="1:34" x14ac:dyDescent="0.25">
      <c r="A582" s="423" t="s">
        <v>4454</v>
      </c>
      <c r="B582" s="423" t="s">
        <v>4455</v>
      </c>
      <c r="C582" s="423" t="s">
        <v>70</v>
      </c>
      <c r="D582" s="423" t="s">
        <v>4456</v>
      </c>
      <c r="E582" s="423" t="s">
        <v>2818</v>
      </c>
      <c r="F582" s="423">
        <v>8</v>
      </c>
      <c r="G582" s="423">
        <v>35</v>
      </c>
      <c r="H582" s="423">
        <v>182</v>
      </c>
      <c r="J582" s="423"/>
      <c r="K582" s="423"/>
      <c r="L582" s="423"/>
      <c r="M582" s="423"/>
      <c r="Q582" s="423"/>
      <c r="R582" s="424" t="s">
        <v>4457</v>
      </c>
      <c r="S582" s="424" t="s">
        <v>2846</v>
      </c>
      <c r="T582" s="424" t="s">
        <v>2870</v>
      </c>
      <c r="U582" s="424">
        <v>0</v>
      </c>
      <c r="V582" s="424" t="s">
        <v>70</v>
      </c>
      <c r="W582" s="424" t="s">
        <v>3074</v>
      </c>
      <c r="X582" s="424" t="s">
        <v>3298</v>
      </c>
      <c r="Y582" s="424" t="s">
        <v>2279</v>
      </c>
      <c r="Z582" s="424" t="s">
        <v>2872</v>
      </c>
      <c r="AA582" s="424" t="s">
        <v>2873</v>
      </c>
      <c r="AB582" s="424" t="s">
        <v>4458</v>
      </c>
      <c r="AC582" s="424" t="s">
        <v>1953</v>
      </c>
      <c r="AD582" s="424" t="s">
        <v>2892</v>
      </c>
      <c r="AE582" s="424" t="s">
        <v>4459</v>
      </c>
      <c r="AF582" s="424"/>
      <c r="AG582" s="424"/>
      <c r="AH582" s="424"/>
    </row>
    <row r="583" spans="1:34" x14ac:dyDescent="0.25">
      <c r="A583" s="423" t="s">
        <v>4454</v>
      </c>
      <c r="B583" s="423" t="s">
        <v>4460</v>
      </c>
      <c r="C583" s="423" t="s">
        <v>70</v>
      </c>
      <c r="D583" s="423" t="s">
        <v>4456</v>
      </c>
      <c r="E583" s="423" t="s">
        <v>2818</v>
      </c>
      <c r="F583" s="423">
        <v>8</v>
      </c>
      <c r="G583" s="423">
        <v>35</v>
      </c>
      <c r="H583" s="423">
        <v>182</v>
      </c>
      <c r="J583" s="423"/>
      <c r="K583" s="423"/>
      <c r="L583" s="423"/>
      <c r="M583" s="423"/>
      <c r="Q583" s="423"/>
      <c r="R583" s="424" t="s">
        <v>4461</v>
      </c>
      <c r="S583" s="424" t="s">
        <v>2846</v>
      </c>
      <c r="T583" s="424" t="s">
        <v>2870</v>
      </c>
      <c r="U583" s="424">
        <v>0</v>
      </c>
      <c r="V583" s="424" t="s">
        <v>70</v>
      </c>
      <c r="W583" s="424" t="s">
        <v>2974</v>
      </c>
      <c r="X583" s="424" t="s">
        <v>3298</v>
      </c>
      <c r="Y583" s="424" t="s">
        <v>2279</v>
      </c>
      <c r="Z583" s="424" t="s">
        <v>2872</v>
      </c>
      <c r="AA583" s="424" t="s">
        <v>2873</v>
      </c>
      <c r="AB583" s="424" t="s">
        <v>4462</v>
      </c>
      <c r="AC583" s="424" t="s">
        <v>1953</v>
      </c>
      <c r="AD583" s="424" t="s">
        <v>2892</v>
      </c>
      <c r="AE583" s="424" t="s">
        <v>4463</v>
      </c>
      <c r="AF583" s="424"/>
      <c r="AG583" s="424"/>
      <c r="AH583" s="424"/>
    </row>
    <row r="584" spans="1:34" x14ac:dyDescent="0.25">
      <c r="A584" s="423" t="s">
        <v>4454</v>
      </c>
      <c r="B584" s="423" t="s">
        <v>4464</v>
      </c>
      <c r="C584" s="423" t="s">
        <v>70</v>
      </c>
      <c r="D584" s="423" t="s">
        <v>4456</v>
      </c>
      <c r="E584" s="423" t="s">
        <v>2818</v>
      </c>
      <c r="F584" s="423">
        <v>8</v>
      </c>
      <c r="G584" s="423">
        <v>35</v>
      </c>
      <c r="H584" s="423">
        <v>182</v>
      </c>
      <c r="J584" s="423"/>
      <c r="K584" s="423"/>
      <c r="L584" s="423"/>
      <c r="M584" s="423"/>
      <c r="Q584" s="423"/>
      <c r="R584" s="424" t="s">
        <v>4465</v>
      </c>
      <c r="S584" s="424" t="s">
        <v>2846</v>
      </c>
      <c r="T584" s="424" t="s">
        <v>2870</v>
      </c>
      <c r="U584" s="424">
        <v>0</v>
      </c>
      <c r="V584" s="424" t="s">
        <v>70</v>
      </c>
      <c r="W584" s="424" t="s">
        <v>3074</v>
      </c>
      <c r="X584" s="424" t="s">
        <v>3298</v>
      </c>
      <c r="Y584" s="424" t="s">
        <v>2279</v>
      </c>
      <c r="Z584" s="424" t="s">
        <v>2872</v>
      </c>
      <c r="AA584" s="424" t="s">
        <v>2873</v>
      </c>
      <c r="AB584" s="424" t="s">
        <v>4466</v>
      </c>
      <c r="AC584" s="424" t="s">
        <v>1953</v>
      </c>
      <c r="AD584" s="424" t="s">
        <v>2892</v>
      </c>
      <c r="AE584" s="424" t="s">
        <v>2962</v>
      </c>
      <c r="AF584" s="424"/>
      <c r="AG584" s="424"/>
      <c r="AH584" s="424"/>
    </row>
    <row r="585" spans="1:34" x14ac:dyDescent="0.25">
      <c r="A585" s="423" t="s">
        <v>4454</v>
      </c>
      <c r="B585" s="423" t="s">
        <v>4467</v>
      </c>
      <c r="C585" s="423" t="s">
        <v>70</v>
      </c>
      <c r="D585" s="423" t="s">
        <v>4456</v>
      </c>
      <c r="E585" s="423" t="s">
        <v>2818</v>
      </c>
      <c r="F585" s="423">
        <v>8</v>
      </c>
      <c r="G585" s="423">
        <v>35</v>
      </c>
      <c r="H585" s="423">
        <v>182</v>
      </c>
      <c r="J585" s="423"/>
      <c r="K585" s="423"/>
      <c r="L585" s="423"/>
      <c r="M585" s="423"/>
      <c r="Q585" s="423"/>
      <c r="R585" s="424" t="s">
        <v>4468</v>
      </c>
      <c r="S585" s="424" t="s">
        <v>2846</v>
      </c>
      <c r="T585" s="424" t="s">
        <v>2870</v>
      </c>
      <c r="U585" s="424">
        <v>0</v>
      </c>
      <c r="V585" s="424" t="s">
        <v>70</v>
      </c>
      <c r="W585" s="424" t="s">
        <v>3074</v>
      </c>
      <c r="X585" s="424" t="s">
        <v>3298</v>
      </c>
      <c r="Y585" s="424" t="s">
        <v>2279</v>
      </c>
      <c r="Z585" s="424" t="s">
        <v>2872</v>
      </c>
      <c r="AA585" s="424" t="s">
        <v>2873</v>
      </c>
      <c r="AB585" s="424" t="s">
        <v>4469</v>
      </c>
      <c r="AC585" s="424" t="s">
        <v>1953</v>
      </c>
      <c r="AD585" s="424" t="s">
        <v>2892</v>
      </c>
      <c r="AE585" s="424" t="s">
        <v>4459</v>
      </c>
      <c r="AF585" s="424"/>
      <c r="AG585" s="424"/>
      <c r="AH585" s="424"/>
    </row>
    <row r="586" spans="1:34" x14ac:dyDescent="0.25">
      <c r="A586" s="423" t="s">
        <v>4454</v>
      </c>
      <c r="B586" s="423" t="s">
        <v>4470</v>
      </c>
      <c r="C586" s="423" t="s">
        <v>70</v>
      </c>
      <c r="D586" s="423" t="s">
        <v>4456</v>
      </c>
      <c r="E586" s="423" t="s">
        <v>2818</v>
      </c>
      <c r="F586" s="423">
        <v>8</v>
      </c>
      <c r="G586" s="423">
        <v>35</v>
      </c>
      <c r="H586" s="423">
        <v>182</v>
      </c>
      <c r="J586" s="423"/>
      <c r="K586" s="423"/>
      <c r="L586" s="423"/>
      <c r="M586" s="423"/>
      <c r="Q586" s="423"/>
      <c r="R586" s="424" t="s">
        <v>4471</v>
      </c>
      <c r="S586" s="424" t="s">
        <v>2846</v>
      </c>
      <c r="T586" s="424" t="s">
        <v>2870</v>
      </c>
      <c r="U586" s="424">
        <v>0</v>
      </c>
      <c r="V586" s="424" t="s">
        <v>70</v>
      </c>
      <c r="W586" s="424" t="s">
        <v>2871</v>
      </c>
      <c r="X586" s="424" t="s">
        <v>3298</v>
      </c>
      <c r="Y586" s="424" t="s">
        <v>2279</v>
      </c>
      <c r="Z586" s="424" t="s">
        <v>2872</v>
      </c>
      <c r="AA586" s="424" t="s">
        <v>2873</v>
      </c>
      <c r="AB586" s="424" t="s">
        <v>4472</v>
      </c>
      <c r="AC586" s="424" t="s">
        <v>1953</v>
      </c>
      <c r="AD586" s="424" t="s">
        <v>2892</v>
      </c>
      <c r="AE586" s="424" t="s">
        <v>2897</v>
      </c>
      <c r="AF586" s="424"/>
      <c r="AG586" s="424"/>
      <c r="AH586" s="424"/>
    </row>
    <row r="587" spans="1:34" x14ac:dyDescent="0.25">
      <c r="A587" s="423" t="s">
        <v>4454</v>
      </c>
      <c r="B587" s="423" t="s">
        <v>4473</v>
      </c>
      <c r="C587" s="423" t="s">
        <v>70</v>
      </c>
      <c r="D587" s="423" t="s">
        <v>4456</v>
      </c>
      <c r="E587" s="423" t="s">
        <v>2818</v>
      </c>
      <c r="F587" s="423">
        <v>8</v>
      </c>
      <c r="G587" s="423">
        <v>35</v>
      </c>
      <c r="H587" s="423">
        <v>182</v>
      </c>
      <c r="J587" s="423"/>
      <c r="K587" s="423"/>
      <c r="L587" s="423"/>
      <c r="M587" s="423"/>
      <c r="Q587" s="423"/>
      <c r="R587" s="424" t="s">
        <v>4474</v>
      </c>
      <c r="S587" s="424" t="s">
        <v>2846</v>
      </c>
      <c r="T587" s="424" t="s">
        <v>2870</v>
      </c>
      <c r="U587" s="424">
        <v>0</v>
      </c>
      <c r="V587" s="424" t="s">
        <v>70</v>
      </c>
      <c r="W587" s="424" t="s">
        <v>2974</v>
      </c>
      <c r="X587" s="424" t="s">
        <v>3298</v>
      </c>
      <c r="Y587" s="424" t="s">
        <v>2279</v>
      </c>
      <c r="Z587" s="424" t="s">
        <v>2872</v>
      </c>
      <c r="AA587" s="424" t="s">
        <v>2873</v>
      </c>
      <c r="AB587" s="424" t="s">
        <v>4475</v>
      </c>
      <c r="AC587" s="424" t="s">
        <v>1953</v>
      </c>
      <c r="AD587" s="424" t="s">
        <v>2892</v>
      </c>
      <c r="AE587" s="424" t="s">
        <v>4463</v>
      </c>
      <c r="AF587" s="424"/>
      <c r="AG587" s="424"/>
      <c r="AH587" s="424"/>
    </row>
    <row r="588" spans="1:34" x14ac:dyDescent="0.25">
      <c r="A588" s="423" t="s">
        <v>4454</v>
      </c>
      <c r="B588" s="423" t="s">
        <v>4476</v>
      </c>
      <c r="C588" s="423" t="s">
        <v>70</v>
      </c>
      <c r="D588" s="423" t="s">
        <v>4456</v>
      </c>
      <c r="E588" s="423" t="s">
        <v>2818</v>
      </c>
      <c r="F588" s="423">
        <v>8</v>
      </c>
      <c r="G588" s="423">
        <v>35</v>
      </c>
      <c r="H588" s="423">
        <v>182</v>
      </c>
      <c r="J588" s="423"/>
      <c r="K588" s="423"/>
      <c r="L588" s="423"/>
      <c r="M588" s="423"/>
      <c r="Q588" s="423"/>
      <c r="R588" s="424" t="s">
        <v>4477</v>
      </c>
      <c r="S588" s="424" t="s">
        <v>2846</v>
      </c>
      <c r="T588" s="424" t="s">
        <v>2870</v>
      </c>
      <c r="U588" s="424">
        <v>0</v>
      </c>
      <c r="V588" s="424" t="s">
        <v>70</v>
      </c>
      <c r="W588" s="424" t="s">
        <v>3074</v>
      </c>
      <c r="X588" s="424" t="s">
        <v>3298</v>
      </c>
      <c r="Y588" s="424" t="s">
        <v>2279</v>
      </c>
      <c r="Z588" s="424" t="s">
        <v>2872</v>
      </c>
      <c r="AA588" s="424" t="s">
        <v>2873</v>
      </c>
      <c r="AB588" s="424" t="s">
        <v>4478</v>
      </c>
      <c r="AC588" s="424" t="s">
        <v>1953</v>
      </c>
      <c r="AD588" s="424" t="s">
        <v>2892</v>
      </c>
      <c r="AE588" s="424" t="s">
        <v>2962</v>
      </c>
      <c r="AF588" s="424"/>
      <c r="AG588" s="424"/>
      <c r="AH588" s="424"/>
    </row>
    <row r="589" spans="1:34" x14ac:dyDescent="0.25">
      <c r="A589" s="423" t="s">
        <v>4454</v>
      </c>
      <c r="B589" s="423" t="s">
        <v>4479</v>
      </c>
      <c r="C589" s="423" t="s">
        <v>70</v>
      </c>
      <c r="D589" s="423" t="s">
        <v>4456</v>
      </c>
      <c r="E589" s="423" t="s">
        <v>2818</v>
      </c>
      <c r="F589" s="423">
        <v>8</v>
      </c>
      <c r="G589" s="423">
        <v>35</v>
      </c>
      <c r="H589" s="423">
        <v>182</v>
      </c>
      <c r="J589" s="423"/>
      <c r="K589" s="423"/>
      <c r="L589" s="423"/>
      <c r="M589" s="423"/>
      <c r="Q589" s="423"/>
      <c r="R589" s="424" t="s">
        <v>4480</v>
      </c>
      <c r="S589" s="424" t="s">
        <v>2846</v>
      </c>
      <c r="T589" s="424" t="s">
        <v>2870</v>
      </c>
      <c r="U589" s="424">
        <v>0</v>
      </c>
      <c r="V589" s="424" t="s">
        <v>70</v>
      </c>
      <c r="W589" s="424" t="s">
        <v>3074</v>
      </c>
      <c r="X589" s="424" t="s">
        <v>3298</v>
      </c>
      <c r="Y589" s="424" t="s">
        <v>2279</v>
      </c>
      <c r="Z589" s="424" t="s">
        <v>2872</v>
      </c>
      <c r="AA589" s="424" t="s">
        <v>2873</v>
      </c>
      <c r="AB589" s="424" t="s">
        <v>4458</v>
      </c>
      <c r="AC589" s="424" t="s">
        <v>1953</v>
      </c>
      <c r="AD589" s="424" t="s">
        <v>2892</v>
      </c>
      <c r="AE589" s="424" t="s">
        <v>4459</v>
      </c>
      <c r="AF589" s="424"/>
      <c r="AG589" s="424"/>
      <c r="AH589" s="424"/>
    </row>
    <row r="590" spans="1:34" x14ac:dyDescent="0.25">
      <c r="A590" s="423" t="s">
        <v>4454</v>
      </c>
      <c r="B590" s="423" t="s">
        <v>4481</v>
      </c>
      <c r="C590" s="423" t="s">
        <v>70</v>
      </c>
      <c r="D590" s="423" t="s">
        <v>4456</v>
      </c>
      <c r="E590" s="423" t="s">
        <v>2818</v>
      </c>
      <c r="F590" s="423">
        <v>8</v>
      </c>
      <c r="G590" s="423">
        <v>31</v>
      </c>
      <c r="H590" s="423">
        <v>99</v>
      </c>
      <c r="J590" s="423"/>
      <c r="K590" s="423"/>
      <c r="L590" s="423"/>
      <c r="M590" s="423"/>
      <c r="Q590" s="423"/>
      <c r="R590" s="424" t="s">
        <v>4482</v>
      </c>
      <c r="S590" s="424" t="s">
        <v>2846</v>
      </c>
      <c r="T590" s="424" t="s">
        <v>2870</v>
      </c>
      <c r="U590" s="424">
        <v>0</v>
      </c>
      <c r="V590" s="424" t="s">
        <v>70</v>
      </c>
      <c r="W590" s="424" t="s">
        <v>2974</v>
      </c>
      <c r="X590" s="424" t="s">
        <v>3298</v>
      </c>
      <c r="Y590" s="424" t="s">
        <v>2279</v>
      </c>
      <c r="Z590" s="424" t="s">
        <v>2889</v>
      </c>
      <c r="AA590" s="424" t="s">
        <v>2890</v>
      </c>
      <c r="AB590" s="424" t="s">
        <v>4483</v>
      </c>
      <c r="AC590" s="424" t="s">
        <v>1953</v>
      </c>
      <c r="AD590" s="424" t="s">
        <v>2892</v>
      </c>
      <c r="AE590" s="424" t="s">
        <v>2940</v>
      </c>
      <c r="AF590" s="424"/>
      <c r="AG590" s="424"/>
      <c r="AH590" s="424"/>
    </row>
    <row r="591" spans="1:34" x14ac:dyDescent="0.25">
      <c r="A591" s="423" t="s">
        <v>4454</v>
      </c>
      <c r="B591" s="423" t="s">
        <v>4484</v>
      </c>
      <c r="C591" s="423" t="s">
        <v>70</v>
      </c>
      <c r="D591" s="423" t="s">
        <v>4456</v>
      </c>
      <c r="E591" s="423" t="s">
        <v>2818</v>
      </c>
      <c r="F591" s="423">
        <v>8</v>
      </c>
      <c r="G591" s="423">
        <v>31</v>
      </c>
      <c r="H591" s="423">
        <v>99</v>
      </c>
      <c r="J591" s="423"/>
      <c r="K591" s="423"/>
      <c r="L591" s="423"/>
      <c r="M591" s="423"/>
      <c r="Q591" s="423"/>
      <c r="R591" s="424" t="s">
        <v>4485</v>
      </c>
      <c r="S591" s="424" t="s">
        <v>2846</v>
      </c>
      <c r="T591" s="424" t="s">
        <v>2870</v>
      </c>
      <c r="U591" s="424">
        <v>0</v>
      </c>
      <c r="V591" s="424" t="s">
        <v>70</v>
      </c>
      <c r="W591" s="424" t="s">
        <v>3074</v>
      </c>
      <c r="X591" s="424" t="s">
        <v>3298</v>
      </c>
      <c r="Y591" s="424" t="s">
        <v>2279</v>
      </c>
      <c r="Z591" s="424" t="s">
        <v>2872</v>
      </c>
      <c r="AA591" s="424" t="s">
        <v>2873</v>
      </c>
      <c r="AB591" s="424" t="s">
        <v>4469</v>
      </c>
      <c r="AC591" s="424" t="s">
        <v>1953</v>
      </c>
      <c r="AD591" s="424" t="s">
        <v>2892</v>
      </c>
      <c r="AE591" s="424" t="s">
        <v>4459</v>
      </c>
      <c r="AF591" s="424"/>
      <c r="AG591" s="424"/>
      <c r="AH591" s="424"/>
    </row>
    <row r="592" spans="1:34" x14ac:dyDescent="0.25">
      <c r="A592" s="423" t="s">
        <v>4454</v>
      </c>
      <c r="B592" s="423" t="s">
        <v>4486</v>
      </c>
      <c r="C592" s="423" t="s">
        <v>70</v>
      </c>
      <c r="D592" s="423" t="s">
        <v>4456</v>
      </c>
      <c r="E592" s="423" t="s">
        <v>2818</v>
      </c>
      <c r="F592" s="423">
        <v>8</v>
      </c>
      <c r="G592" s="423">
        <v>31</v>
      </c>
      <c r="H592" s="423">
        <v>99</v>
      </c>
      <c r="J592" s="423"/>
      <c r="K592" s="423"/>
      <c r="L592" s="423"/>
      <c r="M592" s="423"/>
      <c r="Q592" s="423"/>
      <c r="R592" s="424" t="s">
        <v>4487</v>
      </c>
      <c r="S592" s="424" t="s">
        <v>2846</v>
      </c>
      <c r="T592" s="424" t="s">
        <v>2870</v>
      </c>
      <c r="U592" s="424">
        <v>0</v>
      </c>
      <c r="V592" s="424" t="s">
        <v>70</v>
      </c>
      <c r="W592" s="424" t="s">
        <v>3074</v>
      </c>
      <c r="X592" s="424" t="s">
        <v>3298</v>
      </c>
      <c r="Y592" s="424" t="s">
        <v>2279</v>
      </c>
      <c r="Z592" s="424" t="s">
        <v>2872</v>
      </c>
      <c r="AA592" s="424" t="s">
        <v>2873</v>
      </c>
      <c r="AB592" s="424" t="s">
        <v>2961</v>
      </c>
      <c r="AC592" s="424" t="s">
        <v>1953</v>
      </c>
      <c r="AD592" s="424" t="s">
        <v>2892</v>
      </c>
      <c r="AE592" s="424" t="s">
        <v>2962</v>
      </c>
      <c r="AF592" s="424"/>
      <c r="AG592" s="424"/>
      <c r="AH592" s="424"/>
    </row>
    <row r="593" spans="1:34" x14ac:dyDescent="0.25">
      <c r="A593" s="423" t="s">
        <v>4454</v>
      </c>
      <c r="B593" s="423" t="s">
        <v>4488</v>
      </c>
      <c r="C593" s="423" t="s">
        <v>70</v>
      </c>
      <c r="D593" s="423" t="s">
        <v>4456</v>
      </c>
      <c r="E593" s="423" t="s">
        <v>2818</v>
      </c>
      <c r="F593" s="423">
        <v>8</v>
      </c>
      <c r="G593" s="423">
        <v>31</v>
      </c>
      <c r="H593" s="423">
        <v>99</v>
      </c>
      <c r="J593" s="423"/>
      <c r="K593" s="423"/>
      <c r="L593" s="423"/>
      <c r="M593" s="423"/>
      <c r="Q593" s="423"/>
      <c r="R593" s="424" t="s">
        <v>4489</v>
      </c>
      <c r="S593" s="424" t="s">
        <v>2846</v>
      </c>
      <c r="T593" s="424" t="s">
        <v>2870</v>
      </c>
      <c r="U593" s="424">
        <v>0</v>
      </c>
      <c r="V593" s="424" t="s">
        <v>70</v>
      </c>
      <c r="W593" s="424" t="s">
        <v>2871</v>
      </c>
      <c r="X593" s="424" t="s">
        <v>3298</v>
      </c>
      <c r="Y593" s="424" t="s">
        <v>2279</v>
      </c>
      <c r="Z593" s="424" t="s">
        <v>2872</v>
      </c>
      <c r="AA593" s="424" t="s">
        <v>2873</v>
      </c>
      <c r="AB593" s="424" t="s">
        <v>2916</v>
      </c>
      <c r="AC593" s="424" t="s">
        <v>1953</v>
      </c>
      <c r="AD593" s="424" t="s">
        <v>2892</v>
      </c>
      <c r="AE593" s="424" t="s">
        <v>2897</v>
      </c>
      <c r="AF593" s="424"/>
      <c r="AG593" s="424"/>
      <c r="AH593" s="424"/>
    </row>
    <row r="594" spans="1:34" x14ac:dyDescent="0.25">
      <c r="A594" s="423" t="s">
        <v>4454</v>
      </c>
      <c r="B594" s="423" t="s">
        <v>4490</v>
      </c>
      <c r="C594" s="423" t="s">
        <v>70</v>
      </c>
      <c r="D594" s="423" t="s">
        <v>4456</v>
      </c>
      <c r="E594" s="423" t="s">
        <v>2818</v>
      </c>
      <c r="F594" s="423">
        <v>8</v>
      </c>
      <c r="G594" s="423">
        <v>31</v>
      </c>
      <c r="H594" s="423">
        <v>90</v>
      </c>
      <c r="J594" s="423"/>
      <c r="K594" s="423"/>
      <c r="L594" s="423"/>
      <c r="M594" s="423"/>
      <c r="Q594" s="423"/>
      <c r="R594" s="424" t="s">
        <v>4491</v>
      </c>
      <c r="S594" s="424" t="s">
        <v>2846</v>
      </c>
      <c r="T594" s="424" t="s">
        <v>2870</v>
      </c>
      <c r="U594" s="424">
        <v>0</v>
      </c>
      <c r="V594" s="424" t="s">
        <v>70</v>
      </c>
      <c r="W594" s="424" t="s">
        <v>3176</v>
      </c>
      <c r="X594" s="424" t="s">
        <v>3298</v>
      </c>
      <c r="Y594" s="424" t="s">
        <v>2279</v>
      </c>
      <c r="Z594" s="424" t="s">
        <v>2848</v>
      </c>
      <c r="AA594" s="424" t="s">
        <v>2855</v>
      </c>
      <c r="AB594" s="424" t="s">
        <v>3486</v>
      </c>
      <c r="AC594" s="424" t="s">
        <v>1953</v>
      </c>
      <c r="AD594" s="424" t="s">
        <v>2851</v>
      </c>
      <c r="AE594" s="424" t="s">
        <v>2901</v>
      </c>
      <c r="AF594" s="424"/>
      <c r="AG594" s="424"/>
      <c r="AH594" s="424"/>
    </row>
    <row r="595" spans="1:34" x14ac:dyDescent="0.25">
      <c r="A595" s="423" t="s">
        <v>4454</v>
      </c>
      <c r="B595" s="423" t="s">
        <v>4492</v>
      </c>
      <c r="C595" s="423" t="s">
        <v>70</v>
      </c>
      <c r="D595" s="423" t="s">
        <v>4456</v>
      </c>
      <c r="E595" s="423" t="s">
        <v>2818</v>
      </c>
      <c r="F595" s="423">
        <v>8</v>
      </c>
      <c r="G595" s="423">
        <v>31</v>
      </c>
      <c r="H595" s="423">
        <v>90</v>
      </c>
      <c r="J595" s="423"/>
      <c r="K595" s="423"/>
      <c r="L595" s="423"/>
      <c r="M595" s="423"/>
      <c r="Q595" s="423"/>
      <c r="R595" s="424" t="s">
        <v>4493</v>
      </c>
      <c r="S595" s="424" t="s">
        <v>2846</v>
      </c>
      <c r="T595" s="424" t="s">
        <v>2870</v>
      </c>
      <c r="U595" s="424">
        <v>0</v>
      </c>
      <c r="V595" s="424" t="s">
        <v>70</v>
      </c>
      <c r="W595" s="424" t="s">
        <v>2871</v>
      </c>
      <c r="X595" s="424" t="s">
        <v>3298</v>
      </c>
      <c r="Y595" s="424" t="s">
        <v>2279</v>
      </c>
      <c r="Z595" s="424" t="s">
        <v>2872</v>
      </c>
      <c r="AA595" s="424" t="s">
        <v>2873</v>
      </c>
      <c r="AB595" s="424" t="s">
        <v>4494</v>
      </c>
      <c r="AC595" s="424" t="s">
        <v>1953</v>
      </c>
      <c r="AD595" s="424" t="s">
        <v>2892</v>
      </c>
      <c r="AE595" s="424" t="s">
        <v>2897</v>
      </c>
      <c r="AF595" s="424"/>
      <c r="AG595" s="424"/>
      <c r="AH595" s="424"/>
    </row>
    <row r="596" spans="1:34" x14ac:dyDescent="0.25">
      <c r="A596" s="423" t="s">
        <v>4454</v>
      </c>
      <c r="B596" s="423" t="s">
        <v>4495</v>
      </c>
      <c r="C596" s="423" t="s">
        <v>70</v>
      </c>
      <c r="D596" s="423" t="s">
        <v>4456</v>
      </c>
      <c r="E596" s="423" t="s">
        <v>2818</v>
      </c>
      <c r="F596" s="423">
        <v>8</v>
      </c>
      <c r="G596" s="423">
        <v>31</v>
      </c>
      <c r="H596" s="423">
        <v>90</v>
      </c>
      <c r="J596" s="423"/>
      <c r="K596" s="423"/>
      <c r="L596" s="423"/>
      <c r="M596" s="423"/>
      <c r="Q596" s="423"/>
      <c r="R596" s="424" t="s">
        <v>4496</v>
      </c>
      <c r="S596" s="424" t="s">
        <v>2846</v>
      </c>
      <c r="T596" s="424" t="s">
        <v>2870</v>
      </c>
      <c r="U596" s="424">
        <v>0</v>
      </c>
      <c r="V596" s="424" t="s">
        <v>70</v>
      </c>
      <c r="W596" s="424" t="s">
        <v>2974</v>
      </c>
      <c r="X596" s="424" t="s">
        <v>3298</v>
      </c>
      <c r="Y596" s="424" t="s">
        <v>2279</v>
      </c>
      <c r="Z596" s="424" t="s">
        <v>2889</v>
      </c>
      <c r="AA596" s="424" t="s">
        <v>2890</v>
      </c>
      <c r="AB596" s="424" t="s">
        <v>4497</v>
      </c>
      <c r="AC596" s="424" t="s">
        <v>1953</v>
      </c>
      <c r="AD596" s="424" t="s">
        <v>2892</v>
      </c>
      <c r="AE596" s="424" t="s">
        <v>2940</v>
      </c>
      <c r="AF596" s="424"/>
      <c r="AG596" s="424"/>
      <c r="AH596" s="424"/>
    </row>
    <row r="597" spans="1:34" x14ac:dyDescent="0.25">
      <c r="A597" s="423" t="s">
        <v>4454</v>
      </c>
      <c r="B597" s="423" t="s">
        <v>4498</v>
      </c>
      <c r="C597" s="423" t="s">
        <v>70</v>
      </c>
      <c r="D597" s="423" t="s">
        <v>4456</v>
      </c>
      <c r="E597" s="423" t="s">
        <v>2818</v>
      </c>
      <c r="F597" s="423">
        <v>8</v>
      </c>
      <c r="G597" s="423">
        <v>31</v>
      </c>
      <c r="H597" s="423">
        <v>90</v>
      </c>
      <c r="J597" s="423"/>
      <c r="K597" s="423"/>
      <c r="L597" s="423"/>
      <c r="M597" s="423"/>
      <c r="Q597" s="423"/>
      <c r="R597" s="424" t="s">
        <v>4499</v>
      </c>
      <c r="S597" s="424" t="s">
        <v>2846</v>
      </c>
      <c r="T597" s="424" t="s">
        <v>2870</v>
      </c>
      <c r="U597" s="424">
        <v>0</v>
      </c>
      <c r="V597" s="424" t="s">
        <v>70</v>
      </c>
      <c r="W597" s="424" t="s">
        <v>2871</v>
      </c>
      <c r="X597" s="424" t="s">
        <v>3298</v>
      </c>
      <c r="Y597" s="424" t="s">
        <v>2279</v>
      </c>
      <c r="Z597" s="424" t="s">
        <v>2872</v>
      </c>
      <c r="AA597" s="424" t="s">
        <v>2873</v>
      </c>
      <c r="AB597" s="424" t="s">
        <v>4500</v>
      </c>
      <c r="AC597" s="424" t="s">
        <v>1953</v>
      </c>
      <c r="AD597" s="424" t="s">
        <v>2892</v>
      </c>
      <c r="AE597" s="424" t="s">
        <v>2897</v>
      </c>
      <c r="AF597" s="424"/>
      <c r="AG597" s="424"/>
      <c r="AH597" s="424"/>
    </row>
    <row r="598" spans="1:34" x14ac:dyDescent="0.25">
      <c r="A598" s="423" t="s">
        <v>4454</v>
      </c>
      <c r="B598" s="423" t="s">
        <v>4501</v>
      </c>
      <c r="C598" s="423" t="s">
        <v>70</v>
      </c>
      <c r="D598" s="423" t="s">
        <v>4456</v>
      </c>
      <c r="E598" s="423" t="s">
        <v>2818</v>
      </c>
      <c r="F598" s="423">
        <v>8</v>
      </c>
      <c r="G598" s="423">
        <v>31</v>
      </c>
      <c r="H598" s="423">
        <v>90</v>
      </c>
      <c r="J598" s="423"/>
      <c r="K598" s="423"/>
      <c r="L598" s="423"/>
      <c r="M598" s="423"/>
      <c r="Q598" s="423"/>
      <c r="R598" s="424" t="s">
        <v>4502</v>
      </c>
      <c r="S598" s="424" t="s">
        <v>2846</v>
      </c>
      <c r="T598" s="424" t="s">
        <v>2870</v>
      </c>
      <c r="U598" s="424">
        <v>0</v>
      </c>
      <c r="V598" s="424" t="s">
        <v>70</v>
      </c>
      <c r="W598" s="424" t="s">
        <v>2974</v>
      </c>
      <c r="X598" s="424" t="s">
        <v>3298</v>
      </c>
      <c r="Y598" s="424" t="s">
        <v>2279</v>
      </c>
      <c r="Z598" s="424" t="s">
        <v>2872</v>
      </c>
      <c r="AA598" s="424" t="s">
        <v>2873</v>
      </c>
      <c r="AB598" s="424" t="s">
        <v>4503</v>
      </c>
      <c r="AC598" s="424" t="s">
        <v>1953</v>
      </c>
      <c r="AD598" s="424" t="s">
        <v>2892</v>
      </c>
      <c r="AE598" s="424" t="s">
        <v>4219</v>
      </c>
      <c r="AF598" s="424"/>
      <c r="AG598" s="424"/>
      <c r="AH598" s="424"/>
    </row>
    <row r="599" spans="1:34" x14ac:dyDescent="0.25">
      <c r="A599" s="423" t="s">
        <v>4454</v>
      </c>
      <c r="B599" s="423" t="s">
        <v>4504</v>
      </c>
      <c r="C599" s="423" t="s">
        <v>70</v>
      </c>
      <c r="D599" s="423" t="s">
        <v>4456</v>
      </c>
      <c r="E599" s="423" t="s">
        <v>2818</v>
      </c>
      <c r="F599" s="423">
        <v>8</v>
      </c>
      <c r="G599" s="423">
        <v>31</v>
      </c>
      <c r="H599" s="423">
        <v>90</v>
      </c>
      <c r="J599" s="423"/>
      <c r="K599" s="423"/>
      <c r="L599" s="423"/>
      <c r="M599" s="423"/>
      <c r="Q599" s="423"/>
      <c r="R599" s="424" t="s">
        <v>4505</v>
      </c>
      <c r="S599" s="424" t="s">
        <v>2846</v>
      </c>
      <c r="T599" s="424" t="s">
        <v>2870</v>
      </c>
      <c r="U599" s="424">
        <v>0</v>
      </c>
      <c r="V599" s="424" t="s">
        <v>70</v>
      </c>
      <c r="W599" s="424" t="s">
        <v>3074</v>
      </c>
      <c r="X599" s="424" t="s">
        <v>3298</v>
      </c>
      <c r="Y599" s="424" t="s">
        <v>2279</v>
      </c>
      <c r="Z599" s="424" t="s">
        <v>2848</v>
      </c>
      <c r="AA599" s="424" t="s">
        <v>2855</v>
      </c>
      <c r="AB599" s="424" t="s">
        <v>3172</v>
      </c>
      <c r="AC599" s="424" t="s">
        <v>1953</v>
      </c>
      <c r="AD599" s="424" t="s">
        <v>2851</v>
      </c>
      <c r="AE599" s="424" t="s">
        <v>3173</v>
      </c>
      <c r="AF599" s="424"/>
      <c r="AG599" s="424"/>
      <c r="AH599" s="424"/>
    </row>
    <row r="600" spans="1:34" x14ac:dyDescent="0.25">
      <c r="A600" s="423" t="s">
        <v>4454</v>
      </c>
      <c r="B600" s="423" t="s">
        <v>4506</v>
      </c>
      <c r="C600" s="423" t="s">
        <v>70</v>
      </c>
      <c r="D600" s="423" t="s">
        <v>4456</v>
      </c>
      <c r="E600" s="423" t="s">
        <v>2818</v>
      </c>
      <c r="F600" s="423">
        <v>8</v>
      </c>
      <c r="G600" s="423">
        <v>31</v>
      </c>
      <c r="H600" s="423">
        <v>90</v>
      </c>
      <c r="J600" s="423"/>
      <c r="K600" s="423"/>
      <c r="L600" s="423"/>
      <c r="M600" s="423"/>
      <c r="Q600" s="423"/>
      <c r="R600" s="424" t="s">
        <v>4507</v>
      </c>
      <c r="S600" s="424" t="s">
        <v>2846</v>
      </c>
      <c r="T600" s="424" t="s">
        <v>2870</v>
      </c>
      <c r="U600" s="424">
        <v>0</v>
      </c>
      <c r="V600" s="424" t="s">
        <v>70</v>
      </c>
      <c r="W600" s="424" t="s">
        <v>2871</v>
      </c>
      <c r="X600" s="424" t="s">
        <v>3298</v>
      </c>
      <c r="Y600" s="424" t="s">
        <v>2279</v>
      </c>
      <c r="Z600" s="424" t="s">
        <v>2872</v>
      </c>
      <c r="AA600" s="424" t="s">
        <v>2873</v>
      </c>
      <c r="AB600" s="424" t="s">
        <v>3714</v>
      </c>
      <c r="AC600" s="424" t="s">
        <v>1953</v>
      </c>
      <c r="AD600" s="424" t="s">
        <v>2892</v>
      </c>
      <c r="AE600" s="424" t="s">
        <v>2897</v>
      </c>
      <c r="AF600" s="424"/>
      <c r="AG600" s="424"/>
      <c r="AH600" s="424"/>
    </row>
    <row r="601" spans="1:34" x14ac:dyDescent="0.25">
      <c r="A601" s="423" t="s">
        <v>4454</v>
      </c>
      <c r="B601" s="423" t="s">
        <v>4508</v>
      </c>
      <c r="C601" s="423" t="s">
        <v>70</v>
      </c>
      <c r="D601" s="423" t="s">
        <v>4456</v>
      </c>
      <c r="E601" s="423" t="s">
        <v>2818</v>
      </c>
      <c r="F601" s="423">
        <v>8</v>
      </c>
      <c r="G601" s="423">
        <v>31</v>
      </c>
      <c r="H601" s="423">
        <v>175</v>
      </c>
      <c r="J601" s="423"/>
      <c r="K601" s="423"/>
      <c r="L601" s="423"/>
      <c r="M601" s="423"/>
      <c r="Q601" s="423"/>
      <c r="R601" s="424" t="s">
        <v>4509</v>
      </c>
      <c r="S601" s="424" t="s">
        <v>2846</v>
      </c>
      <c r="T601" s="424" t="s">
        <v>2870</v>
      </c>
      <c r="U601" s="424">
        <v>0</v>
      </c>
      <c r="V601" s="424" t="s">
        <v>70</v>
      </c>
      <c r="W601" s="424" t="s">
        <v>2974</v>
      </c>
      <c r="X601" s="424" t="s">
        <v>3298</v>
      </c>
      <c r="Y601" s="424" t="s">
        <v>2279</v>
      </c>
      <c r="Z601" s="424" t="s">
        <v>2872</v>
      </c>
      <c r="AA601" s="424" t="s">
        <v>2873</v>
      </c>
      <c r="AB601" s="424" t="s">
        <v>4510</v>
      </c>
      <c r="AC601" s="424" t="s">
        <v>1953</v>
      </c>
      <c r="AD601" s="424" t="s">
        <v>2892</v>
      </c>
      <c r="AE601" s="424" t="s">
        <v>4463</v>
      </c>
      <c r="AF601" s="424"/>
      <c r="AG601" s="424"/>
      <c r="AH601" s="424"/>
    </row>
    <row r="602" spans="1:34" x14ac:dyDescent="0.25">
      <c r="A602" s="423" t="s">
        <v>4454</v>
      </c>
      <c r="B602" s="423" t="s">
        <v>4511</v>
      </c>
      <c r="C602" s="423" t="s">
        <v>70</v>
      </c>
      <c r="D602" s="423" t="s">
        <v>4456</v>
      </c>
      <c r="E602" s="423" t="s">
        <v>2818</v>
      </c>
      <c r="F602" s="423">
        <v>8</v>
      </c>
      <c r="G602" s="423">
        <v>31</v>
      </c>
      <c r="H602" s="423">
        <v>175</v>
      </c>
      <c r="J602" s="423"/>
      <c r="K602" s="423"/>
      <c r="L602" s="423"/>
      <c r="M602" s="423"/>
      <c r="Q602" s="423"/>
      <c r="R602" s="424" t="s">
        <v>4512</v>
      </c>
      <c r="S602" s="424" t="s">
        <v>2846</v>
      </c>
      <c r="T602" s="424" t="s">
        <v>2870</v>
      </c>
      <c r="U602" s="424">
        <v>0</v>
      </c>
      <c r="V602" s="424" t="s">
        <v>70</v>
      </c>
      <c r="W602" s="424" t="s">
        <v>3074</v>
      </c>
      <c r="X602" s="424" t="s">
        <v>3298</v>
      </c>
      <c r="Y602" s="424" t="s">
        <v>2279</v>
      </c>
      <c r="Z602" s="424" t="s">
        <v>2848</v>
      </c>
      <c r="AA602" s="424" t="s">
        <v>2855</v>
      </c>
      <c r="AB602" s="424" t="s">
        <v>4513</v>
      </c>
      <c r="AC602" s="424" t="s">
        <v>1953</v>
      </c>
      <c r="AD602" s="424" t="s">
        <v>2851</v>
      </c>
      <c r="AE602" s="424" t="s">
        <v>3173</v>
      </c>
      <c r="AF602" s="424"/>
      <c r="AG602" s="424"/>
      <c r="AH602" s="424"/>
    </row>
    <row r="603" spans="1:34" x14ac:dyDescent="0.25">
      <c r="A603" s="423" t="s">
        <v>4454</v>
      </c>
      <c r="B603" s="423" t="s">
        <v>4514</v>
      </c>
      <c r="C603" s="423" t="s">
        <v>70</v>
      </c>
      <c r="D603" s="423" t="s">
        <v>4456</v>
      </c>
      <c r="E603" s="423" t="s">
        <v>2818</v>
      </c>
      <c r="F603" s="423">
        <v>8</v>
      </c>
      <c r="G603" s="423">
        <v>31</v>
      </c>
      <c r="H603" s="423">
        <v>99</v>
      </c>
      <c r="J603" s="423"/>
      <c r="K603" s="423"/>
      <c r="L603" s="423"/>
      <c r="M603" s="423"/>
      <c r="Q603" s="423"/>
      <c r="R603" s="424" t="s">
        <v>4515</v>
      </c>
      <c r="S603" s="424" t="s">
        <v>2846</v>
      </c>
      <c r="T603" s="424" t="s">
        <v>2870</v>
      </c>
      <c r="U603" s="424">
        <v>0</v>
      </c>
      <c r="V603" s="424" t="s">
        <v>70</v>
      </c>
      <c r="W603" s="424" t="s">
        <v>2974</v>
      </c>
      <c r="X603" s="424" t="s">
        <v>3298</v>
      </c>
      <c r="Y603" s="424" t="s">
        <v>2279</v>
      </c>
      <c r="Z603" s="424" t="s">
        <v>2872</v>
      </c>
      <c r="AA603" s="424" t="s">
        <v>2873</v>
      </c>
      <c r="AB603" s="424" t="s">
        <v>4475</v>
      </c>
      <c r="AC603" s="424" t="s">
        <v>1953</v>
      </c>
      <c r="AD603" s="424" t="s">
        <v>2892</v>
      </c>
      <c r="AE603" s="424" t="s">
        <v>4463</v>
      </c>
      <c r="AF603" s="424"/>
      <c r="AG603" s="424"/>
      <c r="AH603" s="424"/>
    </row>
    <row r="604" spans="1:34" x14ac:dyDescent="0.25">
      <c r="A604" s="423" t="s">
        <v>4454</v>
      </c>
      <c r="B604" s="423" t="s">
        <v>4516</v>
      </c>
      <c r="C604" s="423" t="s">
        <v>70</v>
      </c>
      <c r="D604" s="423" t="s">
        <v>4456</v>
      </c>
      <c r="E604" s="423" t="s">
        <v>2818</v>
      </c>
      <c r="F604" s="423">
        <v>8</v>
      </c>
      <c r="G604" s="423">
        <v>31</v>
      </c>
      <c r="H604" s="423">
        <v>99</v>
      </c>
      <c r="J604" s="423"/>
      <c r="K604" s="423"/>
      <c r="L604" s="423"/>
      <c r="M604" s="423"/>
      <c r="Q604" s="423"/>
      <c r="R604" s="424" t="s">
        <v>4517</v>
      </c>
      <c r="S604" s="424" t="s">
        <v>2846</v>
      </c>
      <c r="T604" s="424" t="s">
        <v>2870</v>
      </c>
      <c r="U604" s="424">
        <v>0</v>
      </c>
      <c r="V604" s="424" t="s">
        <v>70</v>
      </c>
      <c r="W604" s="424" t="s">
        <v>3074</v>
      </c>
      <c r="X604" s="424" t="s">
        <v>3298</v>
      </c>
      <c r="Y604" s="424" t="s">
        <v>2279</v>
      </c>
      <c r="Z604" s="424" t="s">
        <v>2848</v>
      </c>
      <c r="AA604" s="424" t="s">
        <v>2855</v>
      </c>
      <c r="AB604" s="424" t="s">
        <v>4518</v>
      </c>
      <c r="AC604" s="424" t="s">
        <v>1953</v>
      </c>
      <c r="AD604" s="424" t="s">
        <v>2851</v>
      </c>
      <c r="AE604" s="424" t="s">
        <v>3173</v>
      </c>
      <c r="AF604" s="424"/>
      <c r="AG604" s="424"/>
      <c r="AH604" s="424"/>
    </row>
    <row r="605" spans="1:34" x14ac:dyDescent="0.25">
      <c r="A605" s="423" t="s">
        <v>4454</v>
      </c>
      <c r="B605" s="423" t="s">
        <v>4519</v>
      </c>
      <c r="C605" s="423" t="s">
        <v>70</v>
      </c>
      <c r="D605" s="423" t="s">
        <v>4456</v>
      </c>
      <c r="E605" s="423" t="s">
        <v>2818</v>
      </c>
      <c r="F605" s="423">
        <v>8</v>
      </c>
      <c r="G605" s="423">
        <v>31</v>
      </c>
      <c r="H605" s="423">
        <v>83</v>
      </c>
      <c r="J605" s="423"/>
      <c r="K605" s="423"/>
      <c r="L605" s="423"/>
      <c r="M605" s="423"/>
      <c r="Q605" s="423"/>
      <c r="R605" s="424" t="s">
        <v>4520</v>
      </c>
      <c r="S605" s="424" t="s">
        <v>2846</v>
      </c>
      <c r="T605" s="424" t="s">
        <v>2870</v>
      </c>
      <c r="U605" s="424">
        <v>0</v>
      </c>
      <c r="V605" s="424" t="s">
        <v>70</v>
      </c>
      <c r="W605" s="424" t="s">
        <v>3074</v>
      </c>
      <c r="X605" s="424" t="s">
        <v>3298</v>
      </c>
      <c r="Y605" s="424" t="s">
        <v>2279</v>
      </c>
      <c r="Z605" s="424" t="s">
        <v>2848</v>
      </c>
      <c r="AA605" s="424" t="s">
        <v>2855</v>
      </c>
      <c r="AB605" s="424" t="s">
        <v>4521</v>
      </c>
      <c r="AC605" s="424" t="s">
        <v>1953</v>
      </c>
      <c r="AD605" s="424" t="s">
        <v>2851</v>
      </c>
      <c r="AE605" s="424" t="s">
        <v>3173</v>
      </c>
      <c r="AF605" s="424"/>
      <c r="AG605" s="424"/>
      <c r="AH605" s="424"/>
    </row>
    <row r="606" spans="1:34" x14ac:dyDescent="0.25">
      <c r="A606" s="423" t="s">
        <v>4454</v>
      </c>
      <c r="B606" s="423" t="s">
        <v>4522</v>
      </c>
      <c r="C606" s="423" t="s">
        <v>70</v>
      </c>
      <c r="D606" s="423" t="s">
        <v>4456</v>
      </c>
      <c r="E606" s="423" t="s">
        <v>2818</v>
      </c>
      <c r="F606" s="423">
        <v>8</v>
      </c>
      <c r="G606" s="423">
        <v>31</v>
      </c>
      <c r="H606" s="423">
        <v>83</v>
      </c>
      <c r="J606" s="423"/>
      <c r="K606" s="423"/>
      <c r="L606" s="423"/>
      <c r="M606" s="423"/>
      <c r="Q606" s="423"/>
      <c r="R606" s="424" t="s">
        <v>4523</v>
      </c>
      <c r="S606" s="424" t="s">
        <v>2846</v>
      </c>
      <c r="T606" s="424" t="s">
        <v>2870</v>
      </c>
      <c r="U606" s="424">
        <v>0</v>
      </c>
      <c r="V606" s="424" t="s">
        <v>70</v>
      </c>
      <c r="W606" s="424" t="s">
        <v>2871</v>
      </c>
      <c r="X606" s="424" t="s">
        <v>3298</v>
      </c>
      <c r="Y606" s="424" t="s">
        <v>2279</v>
      </c>
      <c r="Z606" s="424" t="s">
        <v>2872</v>
      </c>
      <c r="AA606" s="424" t="s">
        <v>2873</v>
      </c>
      <c r="AB606" s="424" t="s">
        <v>3714</v>
      </c>
      <c r="AC606" s="424" t="s">
        <v>1953</v>
      </c>
      <c r="AD606" s="424" t="s">
        <v>2892</v>
      </c>
      <c r="AE606" s="424" t="s">
        <v>2897</v>
      </c>
      <c r="AF606" s="424"/>
      <c r="AG606" s="424"/>
      <c r="AH606" s="424"/>
    </row>
    <row r="607" spans="1:34" x14ac:dyDescent="0.25">
      <c r="A607" s="423" t="s">
        <v>4454</v>
      </c>
      <c r="B607" s="423" t="s">
        <v>4524</v>
      </c>
      <c r="C607" s="423" t="s">
        <v>70</v>
      </c>
      <c r="D607" s="423" t="s">
        <v>4456</v>
      </c>
      <c r="E607" s="423" t="s">
        <v>2818</v>
      </c>
      <c r="F607" s="423">
        <v>8</v>
      </c>
      <c r="G607" s="423">
        <v>31</v>
      </c>
      <c r="H607" s="423">
        <v>83</v>
      </c>
      <c r="J607" s="423"/>
      <c r="K607" s="423"/>
      <c r="L607" s="423"/>
      <c r="M607" s="423"/>
      <c r="Q607" s="423"/>
      <c r="R607" s="424" t="s">
        <v>4525</v>
      </c>
      <c r="S607" s="424" t="s">
        <v>2846</v>
      </c>
      <c r="T607" s="424" t="s">
        <v>2870</v>
      </c>
      <c r="U607" s="424">
        <v>0</v>
      </c>
      <c r="V607" s="424" t="s">
        <v>70</v>
      </c>
      <c r="W607" s="424" t="s">
        <v>2974</v>
      </c>
      <c r="X607" s="424" t="s">
        <v>3298</v>
      </c>
      <c r="Y607" s="424" t="s">
        <v>2279</v>
      </c>
      <c r="Z607" s="424" t="s">
        <v>2872</v>
      </c>
      <c r="AA607" s="424" t="s">
        <v>2873</v>
      </c>
      <c r="AB607" s="424" t="s">
        <v>4526</v>
      </c>
      <c r="AC607" s="424" t="s">
        <v>1953</v>
      </c>
      <c r="AD607" s="424" t="s">
        <v>2892</v>
      </c>
      <c r="AE607" s="424" t="s">
        <v>4219</v>
      </c>
      <c r="AF607" s="424"/>
      <c r="AG607" s="424"/>
      <c r="AH607" s="424"/>
    </row>
    <row r="608" spans="1:34" x14ac:dyDescent="0.25">
      <c r="A608" s="423" t="s">
        <v>4454</v>
      </c>
      <c r="B608" s="423" t="s">
        <v>4527</v>
      </c>
      <c r="C608" s="423" t="s">
        <v>70</v>
      </c>
      <c r="D608" s="423" t="s">
        <v>4456</v>
      </c>
      <c r="E608" s="423" t="s">
        <v>2818</v>
      </c>
      <c r="F608" s="423">
        <v>8</v>
      </c>
      <c r="G608" s="423">
        <v>31</v>
      </c>
      <c r="H608" s="423">
        <v>83</v>
      </c>
      <c r="J608" s="423"/>
      <c r="K608" s="423"/>
      <c r="L608" s="423"/>
      <c r="M608" s="423"/>
      <c r="Q608" s="423"/>
      <c r="R608" s="424" t="s">
        <v>4528</v>
      </c>
      <c r="S608" s="424" t="s">
        <v>2846</v>
      </c>
      <c r="T608" s="424" t="s">
        <v>2870</v>
      </c>
      <c r="U608" s="424">
        <v>0</v>
      </c>
      <c r="V608" s="424" t="s">
        <v>70</v>
      </c>
      <c r="W608" s="424" t="s">
        <v>3176</v>
      </c>
      <c r="X608" s="424" t="s">
        <v>3298</v>
      </c>
      <c r="Y608" s="424" t="s">
        <v>2279</v>
      </c>
      <c r="Z608" s="424" t="s">
        <v>2848</v>
      </c>
      <c r="AA608" s="424" t="s">
        <v>2855</v>
      </c>
      <c r="AB608" s="424" t="s">
        <v>2921</v>
      </c>
      <c r="AC608" s="424" t="s">
        <v>1953</v>
      </c>
      <c r="AD608" s="424" t="s">
        <v>2851</v>
      </c>
      <c r="AE608" s="424" t="s">
        <v>2901</v>
      </c>
      <c r="AF608" s="424"/>
      <c r="AG608" s="424"/>
      <c r="AH608" s="424"/>
    </row>
    <row r="609" spans="1:34" x14ac:dyDescent="0.25">
      <c r="A609" s="423" t="s">
        <v>4454</v>
      </c>
      <c r="B609" s="423" t="s">
        <v>4529</v>
      </c>
      <c r="C609" s="423" t="s">
        <v>70</v>
      </c>
      <c r="D609" s="423" t="s">
        <v>4456</v>
      </c>
      <c r="E609" s="423" t="s">
        <v>2818</v>
      </c>
      <c r="F609" s="423">
        <v>8</v>
      </c>
      <c r="G609" s="423">
        <v>31</v>
      </c>
      <c r="H609" s="423">
        <v>83</v>
      </c>
      <c r="J609" s="423"/>
      <c r="K609" s="423"/>
      <c r="L609" s="423"/>
      <c r="M609" s="423"/>
      <c r="Q609" s="423"/>
      <c r="R609" s="424" t="s">
        <v>4530</v>
      </c>
      <c r="S609" s="424" t="s">
        <v>2846</v>
      </c>
      <c r="T609" s="424" t="s">
        <v>2870</v>
      </c>
      <c r="U609" s="424">
        <v>0</v>
      </c>
      <c r="V609" s="424" t="s">
        <v>70</v>
      </c>
      <c r="W609" s="424" t="s">
        <v>2974</v>
      </c>
      <c r="X609" s="424" t="s">
        <v>3298</v>
      </c>
      <c r="Y609" s="424" t="s">
        <v>2279</v>
      </c>
      <c r="Z609" s="424" t="s">
        <v>2889</v>
      </c>
      <c r="AA609" s="424" t="s">
        <v>2890</v>
      </c>
      <c r="AB609" s="424" t="s">
        <v>2891</v>
      </c>
      <c r="AC609" s="424" t="s">
        <v>1953</v>
      </c>
      <c r="AD609" s="424" t="s">
        <v>2892</v>
      </c>
      <c r="AE609" s="424" t="s">
        <v>2893</v>
      </c>
      <c r="AF609" s="424"/>
      <c r="AG609" s="424"/>
      <c r="AH609" s="424"/>
    </row>
    <row r="610" spans="1:34" x14ac:dyDescent="0.25">
      <c r="A610" s="423" t="s">
        <v>4454</v>
      </c>
      <c r="B610" s="423" t="s">
        <v>4531</v>
      </c>
      <c r="C610" s="423" t="s">
        <v>70</v>
      </c>
      <c r="D610" s="423" t="s">
        <v>4456</v>
      </c>
      <c r="E610" s="423" t="s">
        <v>2818</v>
      </c>
      <c r="F610" s="423">
        <v>8</v>
      </c>
      <c r="G610" s="423">
        <v>31</v>
      </c>
      <c r="H610" s="423">
        <v>83</v>
      </c>
      <c r="J610" s="423"/>
      <c r="K610" s="423"/>
      <c r="L610" s="423"/>
      <c r="M610" s="423"/>
      <c r="Q610" s="423"/>
      <c r="R610" s="424" t="s">
        <v>4532</v>
      </c>
      <c r="S610" s="424" t="s">
        <v>2846</v>
      </c>
      <c r="T610" s="424" t="s">
        <v>2870</v>
      </c>
      <c r="U610" s="424">
        <v>0</v>
      </c>
      <c r="V610" s="424" t="s">
        <v>70</v>
      </c>
      <c r="W610" s="424" t="s">
        <v>2974</v>
      </c>
      <c r="X610" s="424" t="s">
        <v>3298</v>
      </c>
      <c r="Y610" s="424" t="s">
        <v>2279</v>
      </c>
      <c r="Z610" s="424" t="s">
        <v>2872</v>
      </c>
      <c r="AA610" s="424" t="s">
        <v>2873</v>
      </c>
      <c r="AB610" s="424" t="s">
        <v>4503</v>
      </c>
      <c r="AC610" s="424" t="s">
        <v>1953</v>
      </c>
      <c r="AD610" s="424" t="s">
        <v>2892</v>
      </c>
      <c r="AE610" s="424" t="s">
        <v>4219</v>
      </c>
      <c r="AF610" s="424"/>
      <c r="AG610" s="424"/>
      <c r="AH610" s="424"/>
    </row>
    <row r="611" spans="1:34" x14ac:dyDescent="0.25">
      <c r="A611" s="423" t="s">
        <v>4454</v>
      </c>
      <c r="B611" s="423" t="s">
        <v>4533</v>
      </c>
      <c r="C611" s="423" t="s">
        <v>70</v>
      </c>
      <c r="D611" s="423" t="s">
        <v>4456</v>
      </c>
      <c r="E611" s="423" t="s">
        <v>2818</v>
      </c>
      <c r="F611" s="423">
        <v>8</v>
      </c>
      <c r="G611" s="423">
        <v>19</v>
      </c>
      <c r="H611" s="423">
        <v>80</v>
      </c>
      <c r="J611" s="423"/>
      <c r="K611" s="423"/>
      <c r="L611" s="423"/>
      <c r="M611" s="423"/>
      <c r="Q611" s="423"/>
      <c r="R611" s="424" t="s">
        <v>4534</v>
      </c>
      <c r="S611" s="424" t="s">
        <v>2846</v>
      </c>
      <c r="T611" s="424" t="s">
        <v>2870</v>
      </c>
      <c r="U611" s="424">
        <v>0</v>
      </c>
      <c r="V611" s="424" t="s">
        <v>70</v>
      </c>
      <c r="W611" s="424" t="s">
        <v>2974</v>
      </c>
      <c r="X611" s="424" t="s">
        <v>3298</v>
      </c>
      <c r="Y611" s="424" t="s">
        <v>2279</v>
      </c>
      <c r="Z611" s="424" t="s">
        <v>2872</v>
      </c>
      <c r="AA611" s="424" t="s">
        <v>2873</v>
      </c>
      <c r="AB611" s="424" t="s">
        <v>4503</v>
      </c>
      <c r="AC611" s="424" t="s">
        <v>1953</v>
      </c>
      <c r="AD611" s="424" t="s">
        <v>2892</v>
      </c>
      <c r="AE611" s="424" t="s">
        <v>4219</v>
      </c>
      <c r="AF611" s="424"/>
      <c r="AG611" s="424"/>
      <c r="AH611" s="424"/>
    </row>
    <row r="612" spans="1:34" x14ac:dyDescent="0.25">
      <c r="A612" s="423" t="s">
        <v>4454</v>
      </c>
      <c r="B612" s="423" t="s">
        <v>4535</v>
      </c>
      <c r="C612" s="423" t="s">
        <v>70</v>
      </c>
      <c r="D612" s="423" t="s">
        <v>4456</v>
      </c>
      <c r="E612" s="423" t="s">
        <v>2818</v>
      </c>
      <c r="F612" s="423">
        <v>8</v>
      </c>
      <c r="G612" s="423">
        <v>62</v>
      </c>
      <c r="H612" s="423">
        <v>102</v>
      </c>
      <c r="J612" s="423"/>
      <c r="K612" s="423"/>
      <c r="L612" s="423"/>
      <c r="M612" s="423"/>
      <c r="Q612" s="423"/>
      <c r="R612" s="424" t="s">
        <v>4536</v>
      </c>
      <c r="S612" s="424" t="s">
        <v>2846</v>
      </c>
      <c r="T612" s="424" t="s">
        <v>2870</v>
      </c>
      <c r="U612" s="424">
        <v>0</v>
      </c>
      <c r="V612" s="424" t="s">
        <v>70</v>
      </c>
      <c r="W612" s="424" t="s">
        <v>2871</v>
      </c>
      <c r="X612" s="424" t="s">
        <v>2224</v>
      </c>
      <c r="Y612" s="424" t="s">
        <v>2279</v>
      </c>
      <c r="Z612" s="424" t="s">
        <v>2872</v>
      </c>
      <c r="AA612" s="424" t="s">
        <v>2873</v>
      </c>
      <c r="AB612" s="424" t="s">
        <v>4500</v>
      </c>
      <c r="AC612" s="424" t="s">
        <v>1953</v>
      </c>
      <c r="AD612" s="424" t="s">
        <v>2892</v>
      </c>
      <c r="AE612" s="424" t="s">
        <v>2897</v>
      </c>
      <c r="AF612" s="424"/>
      <c r="AG612" s="424"/>
      <c r="AH612" s="424"/>
    </row>
    <row r="613" spans="1:34" x14ac:dyDescent="0.25">
      <c r="A613" s="423" t="s">
        <v>4454</v>
      </c>
      <c r="B613" s="423" t="s">
        <v>4537</v>
      </c>
      <c r="C613" s="423" t="s">
        <v>70</v>
      </c>
      <c r="D613" s="423" t="s">
        <v>4456</v>
      </c>
      <c r="E613" s="423" t="s">
        <v>2818</v>
      </c>
      <c r="F613" s="423">
        <v>8</v>
      </c>
      <c r="G613" s="423">
        <v>62</v>
      </c>
      <c r="H613" s="423">
        <v>102</v>
      </c>
      <c r="J613" s="423"/>
      <c r="K613" s="423"/>
      <c r="L613" s="423"/>
      <c r="M613" s="423"/>
      <c r="Q613" s="423"/>
      <c r="R613" s="424" t="s">
        <v>4538</v>
      </c>
      <c r="S613" s="424" t="s">
        <v>2846</v>
      </c>
      <c r="T613" s="424" t="s">
        <v>2870</v>
      </c>
      <c r="U613" s="424">
        <v>0</v>
      </c>
      <c r="V613" s="424" t="s">
        <v>70</v>
      </c>
      <c r="W613" s="424" t="s">
        <v>2974</v>
      </c>
      <c r="X613" s="424" t="s">
        <v>2224</v>
      </c>
      <c r="Y613" s="424" t="s">
        <v>2279</v>
      </c>
      <c r="Z613" s="424" t="s">
        <v>2872</v>
      </c>
      <c r="AA613" s="424" t="s">
        <v>2873</v>
      </c>
      <c r="AB613" s="424" t="s">
        <v>4539</v>
      </c>
      <c r="AC613" s="424" t="s">
        <v>1953</v>
      </c>
      <c r="AD613" s="424" t="s">
        <v>2892</v>
      </c>
      <c r="AE613" s="424" t="s">
        <v>4540</v>
      </c>
      <c r="AF613" s="424"/>
      <c r="AG613" s="424"/>
      <c r="AH613" s="424"/>
    </row>
    <row r="614" spans="1:34" x14ac:dyDescent="0.25">
      <c r="A614" s="423" t="s">
        <v>4454</v>
      </c>
      <c r="B614" s="423" t="s">
        <v>4541</v>
      </c>
      <c r="C614" s="423" t="s">
        <v>70</v>
      </c>
      <c r="D614" s="423" t="s">
        <v>4456</v>
      </c>
      <c r="E614" s="423" t="s">
        <v>2818</v>
      </c>
      <c r="F614" s="423">
        <v>8</v>
      </c>
      <c r="G614" s="423">
        <v>62</v>
      </c>
      <c r="H614" s="423">
        <v>102</v>
      </c>
      <c r="J614" s="423"/>
      <c r="K614" s="423"/>
      <c r="L614" s="423"/>
      <c r="M614" s="423"/>
      <c r="Q614" s="423"/>
      <c r="R614" s="424" t="s">
        <v>4542</v>
      </c>
      <c r="S614" s="424" t="s">
        <v>2846</v>
      </c>
      <c r="T614" s="424" t="s">
        <v>2870</v>
      </c>
      <c r="U614" s="424">
        <v>0</v>
      </c>
      <c r="V614" s="424" t="s">
        <v>70</v>
      </c>
      <c r="W614" s="424" t="s">
        <v>3176</v>
      </c>
      <c r="X614" s="424" t="s">
        <v>2224</v>
      </c>
      <c r="Y614" s="424" t="s">
        <v>2279</v>
      </c>
      <c r="Z614" s="424" t="s">
        <v>2848</v>
      </c>
      <c r="AA614" s="424" t="s">
        <v>2855</v>
      </c>
      <c r="AB614" s="424" t="s">
        <v>2913</v>
      </c>
      <c r="AC614" s="424" t="s">
        <v>1953</v>
      </c>
      <c r="AD614" s="424" t="s">
        <v>2851</v>
      </c>
      <c r="AE614" s="424" t="s">
        <v>2901</v>
      </c>
      <c r="AF614" s="424"/>
      <c r="AG614" s="424"/>
      <c r="AH614" s="424"/>
    </row>
    <row r="615" spans="1:34" x14ac:dyDescent="0.25">
      <c r="A615" s="423" t="s">
        <v>4454</v>
      </c>
      <c r="B615" s="423" t="s">
        <v>4543</v>
      </c>
      <c r="C615" s="423" t="s">
        <v>70</v>
      </c>
      <c r="D615" s="423" t="s">
        <v>4456</v>
      </c>
      <c r="E615" s="423" t="s">
        <v>2818</v>
      </c>
      <c r="F615" s="423">
        <v>8</v>
      </c>
      <c r="G615" s="423">
        <v>62</v>
      </c>
      <c r="H615" s="423">
        <v>102</v>
      </c>
      <c r="J615" s="423"/>
      <c r="K615" s="423"/>
      <c r="L615" s="423"/>
      <c r="M615" s="423"/>
      <c r="Q615" s="423"/>
      <c r="R615" s="424" t="s">
        <v>4544</v>
      </c>
      <c r="S615" s="424" t="s">
        <v>2846</v>
      </c>
      <c r="T615" s="424" t="s">
        <v>2870</v>
      </c>
      <c r="U615" s="424">
        <v>0</v>
      </c>
      <c r="V615" s="424" t="s">
        <v>70</v>
      </c>
      <c r="W615" s="424" t="s">
        <v>3074</v>
      </c>
      <c r="X615" s="424" t="s">
        <v>2224</v>
      </c>
      <c r="Y615" s="424" t="s">
        <v>2279</v>
      </c>
      <c r="Z615" s="424" t="s">
        <v>2872</v>
      </c>
      <c r="AA615" s="424" t="s">
        <v>2873</v>
      </c>
      <c r="AB615" s="424" t="s">
        <v>4545</v>
      </c>
      <c r="AC615" s="424" t="s">
        <v>1953</v>
      </c>
      <c r="AD615" s="424" t="s">
        <v>2892</v>
      </c>
      <c r="AE615" s="424" t="s">
        <v>4459</v>
      </c>
      <c r="AF615" s="424"/>
      <c r="AG615" s="424"/>
      <c r="AH615" s="424"/>
    </row>
    <row r="616" spans="1:34" x14ac:dyDescent="0.25">
      <c r="A616" s="423" t="s">
        <v>4454</v>
      </c>
      <c r="B616" s="423" t="s">
        <v>4546</v>
      </c>
      <c r="C616" s="423" t="s">
        <v>70</v>
      </c>
      <c r="D616" s="423" t="s">
        <v>4456</v>
      </c>
      <c r="E616" s="423" t="s">
        <v>2818</v>
      </c>
      <c r="F616" s="423">
        <v>8</v>
      </c>
      <c r="G616" s="423">
        <v>62</v>
      </c>
      <c r="H616" s="423">
        <v>102</v>
      </c>
      <c r="J616" s="423"/>
      <c r="K616" s="423"/>
      <c r="L616" s="423"/>
      <c r="M616" s="423"/>
      <c r="Q616" s="423"/>
      <c r="R616" s="424" t="s">
        <v>4547</v>
      </c>
      <c r="S616" s="424" t="s">
        <v>2846</v>
      </c>
      <c r="T616" s="424" t="s">
        <v>2870</v>
      </c>
      <c r="U616" s="424">
        <v>0</v>
      </c>
      <c r="V616" s="424" t="s">
        <v>70</v>
      </c>
      <c r="W616" s="424" t="s">
        <v>2974</v>
      </c>
      <c r="X616" s="424" t="s">
        <v>3298</v>
      </c>
      <c r="Y616" s="424" t="s">
        <v>2279</v>
      </c>
      <c r="Z616" s="424" t="s">
        <v>2872</v>
      </c>
      <c r="AA616" s="424" t="s">
        <v>2873</v>
      </c>
      <c r="AB616" s="424" t="s">
        <v>4548</v>
      </c>
      <c r="AC616" s="424" t="s">
        <v>1953</v>
      </c>
      <c r="AD616" s="424" t="s">
        <v>2892</v>
      </c>
      <c r="AE616" s="424" t="s">
        <v>4219</v>
      </c>
      <c r="AF616" s="424"/>
      <c r="AG616" s="424"/>
      <c r="AH616" s="424"/>
    </row>
    <row r="617" spans="1:34" x14ac:dyDescent="0.25">
      <c r="A617" s="423" t="s">
        <v>4454</v>
      </c>
      <c r="B617" s="423" t="s">
        <v>4549</v>
      </c>
      <c r="C617" s="423" t="s">
        <v>70</v>
      </c>
      <c r="D617" s="423" t="s">
        <v>4456</v>
      </c>
      <c r="E617" s="423" t="s">
        <v>2818</v>
      </c>
      <c r="F617" s="423">
        <v>8</v>
      </c>
      <c r="G617" s="423">
        <v>62</v>
      </c>
      <c r="H617" s="423">
        <v>102</v>
      </c>
      <c r="J617" s="423"/>
      <c r="K617" s="423"/>
      <c r="L617" s="423"/>
      <c r="M617" s="423"/>
      <c r="Q617" s="423"/>
      <c r="R617" s="424" t="s">
        <v>4550</v>
      </c>
      <c r="S617" s="424" t="s">
        <v>2846</v>
      </c>
      <c r="T617" s="424" t="s">
        <v>2870</v>
      </c>
      <c r="U617" s="424">
        <v>0</v>
      </c>
      <c r="V617" s="424" t="s">
        <v>70</v>
      </c>
      <c r="W617" s="424" t="s">
        <v>3176</v>
      </c>
      <c r="X617" s="424" t="s">
        <v>3298</v>
      </c>
      <c r="Y617" s="424" t="s">
        <v>2279</v>
      </c>
      <c r="Z617" s="424" t="s">
        <v>2848</v>
      </c>
      <c r="AA617" s="424" t="s">
        <v>2855</v>
      </c>
      <c r="AB617" s="424" t="s">
        <v>4551</v>
      </c>
      <c r="AC617" s="424" t="s">
        <v>1953</v>
      </c>
      <c r="AD617" s="424" t="s">
        <v>2851</v>
      </c>
      <c r="AE617" s="424" t="s">
        <v>2901</v>
      </c>
      <c r="AF617" s="424"/>
      <c r="AG617" s="424"/>
      <c r="AH617" s="424"/>
    </row>
    <row r="618" spans="1:34" x14ac:dyDescent="0.25">
      <c r="A618" s="423" t="s">
        <v>4454</v>
      </c>
      <c r="B618" s="423" t="s">
        <v>4552</v>
      </c>
      <c r="C618" s="423" t="s">
        <v>70</v>
      </c>
      <c r="D618" s="423" t="s">
        <v>4456</v>
      </c>
      <c r="E618" s="423" t="s">
        <v>2818</v>
      </c>
      <c r="F618" s="423">
        <v>8</v>
      </c>
      <c r="G618" s="423">
        <v>62</v>
      </c>
      <c r="H618" s="423">
        <v>102</v>
      </c>
      <c r="J618" s="423"/>
      <c r="K618" s="423"/>
      <c r="L618" s="423"/>
      <c r="M618" s="423"/>
      <c r="Q618" s="423"/>
      <c r="R618" s="424" t="s">
        <v>4553</v>
      </c>
      <c r="S618" s="424" t="s">
        <v>2846</v>
      </c>
      <c r="T618" s="424" t="s">
        <v>2870</v>
      </c>
      <c r="U618" s="424">
        <v>0</v>
      </c>
      <c r="V618" s="424" t="s">
        <v>70</v>
      </c>
      <c r="W618" s="424" t="s">
        <v>2871</v>
      </c>
      <c r="X618" s="424" t="s">
        <v>3298</v>
      </c>
      <c r="Y618" s="424" t="s">
        <v>2279</v>
      </c>
      <c r="Z618" s="424" t="s">
        <v>2872</v>
      </c>
      <c r="AA618" s="424" t="s">
        <v>2873</v>
      </c>
      <c r="AB618" s="424" t="s">
        <v>4554</v>
      </c>
      <c r="AC618" s="424" t="s">
        <v>1953</v>
      </c>
      <c r="AD618" s="424" t="s">
        <v>2892</v>
      </c>
      <c r="AE618" s="424" t="s">
        <v>2897</v>
      </c>
      <c r="AF618" s="424"/>
      <c r="AG618" s="424"/>
      <c r="AH618" s="424"/>
    </row>
    <row r="619" spans="1:34" x14ac:dyDescent="0.25">
      <c r="A619" s="423" t="s">
        <v>4454</v>
      </c>
      <c r="B619" s="423" t="s">
        <v>4555</v>
      </c>
      <c r="C619" s="423" t="s">
        <v>70</v>
      </c>
      <c r="D619" s="423" t="s">
        <v>4456</v>
      </c>
      <c r="E619" s="423" t="s">
        <v>2818</v>
      </c>
      <c r="F619" s="423">
        <v>8</v>
      </c>
      <c r="G619" s="423">
        <v>62</v>
      </c>
      <c r="H619" s="423">
        <v>102</v>
      </c>
      <c r="J619" s="423"/>
      <c r="K619" s="423"/>
      <c r="L619" s="423"/>
      <c r="M619" s="423"/>
      <c r="Q619" s="423"/>
      <c r="R619" s="424" t="s">
        <v>4556</v>
      </c>
      <c r="S619" s="424" t="s">
        <v>2846</v>
      </c>
      <c r="T619" s="424" t="s">
        <v>2870</v>
      </c>
      <c r="U619" s="424">
        <v>0</v>
      </c>
      <c r="V619" s="424" t="s">
        <v>70</v>
      </c>
      <c r="W619" s="424" t="s">
        <v>2974</v>
      </c>
      <c r="X619" s="424" t="s">
        <v>3298</v>
      </c>
      <c r="Y619" s="424" t="s">
        <v>2279</v>
      </c>
      <c r="Z619" s="424" t="s">
        <v>2872</v>
      </c>
      <c r="AA619" s="424" t="s">
        <v>2873</v>
      </c>
      <c r="AB619" s="424" t="s">
        <v>4557</v>
      </c>
      <c r="AC619" s="424" t="s">
        <v>1953</v>
      </c>
      <c r="AD619" s="424" t="s">
        <v>2892</v>
      </c>
      <c r="AE619" s="424" t="s">
        <v>4219</v>
      </c>
      <c r="AF619" s="424"/>
      <c r="AG619" s="424"/>
      <c r="AH619" s="424"/>
    </row>
    <row r="620" spans="1:34" x14ac:dyDescent="0.25">
      <c r="A620" s="423" t="s">
        <v>4454</v>
      </c>
      <c r="B620" s="423" t="s">
        <v>4558</v>
      </c>
      <c r="C620" s="423" t="s">
        <v>70</v>
      </c>
      <c r="D620" s="423" t="s">
        <v>4456</v>
      </c>
      <c r="E620" s="423" t="s">
        <v>2818</v>
      </c>
      <c r="F620" s="423">
        <v>8</v>
      </c>
      <c r="G620" s="423">
        <v>62</v>
      </c>
      <c r="H620" s="423">
        <v>102</v>
      </c>
      <c r="J620" s="423"/>
      <c r="K620" s="423"/>
      <c r="L620" s="423"/>
      <c r="M620" s="423"/>
      <c r="Q620" s="423"/>
      <c r="R620" s="424" t="s">
        <v>4559</v>
      </c>
      <c r="S620" s="424" t="s">
        <v>2846</v>
      </c>
      <c r="T620" s="424" t="s">
        <v>2870</v>
      </c>
      <c r="U620" s="424">
        <v>0</v>
      </c>
      <c r="V620" s="424" t="s">
        <v>70</v>
      </c>
      <c r="W620" s="424" t="s">
        <v>2871</v>
      </c>
      <c r="X620" s="424" t="s">
        <v>3298</v>
      </c>
      <c r="Y620" s="424" t="s">
        <v>2279</v>
      </c>
      <c r="Z620" s="424" t="s">
        <v>2848</v>
      </c>
      <c r="AA620" s="424" t="s">
        <v>2855</v>
      </c>
      <c r="AB620" s="424" t="s">
        <v>3179</v>
      </c>
      <c r="AC620" s="424" t="s">
        <v>1953</v>
      </c>
      <c r="AD620" s="424" t="s">
        <v>2851</v>
      </c>
      <c r="AE620" s="424" t="s">
        <v>2901</v>
      </c>
      <c r="AF620" s="424"/>
      <c r="AG620" s="424"/>
      <c r="AH620" s="424"/>
    </row>
    <row r="621" spans="1:34" x14ac:dyDescent="0.25">
      <c r="A621" s="423" t="s">
        <v>4454</v>
      </c>
      <c r="B621" s="423" t="s">
        <v>4560</v>
      </c>
      <c r="C621" s="423" t="s">
        <v>70</v>
      </c>
      <c r="D621" s="423" t="s">
        <v>4456</v>
      </c>
      <c r="E621" s="423" t="s">
        <v>2818</v>
      </c>
      <c r="F621" s="423">
        <v>8</v>
      </c>
      <c r="G621" s="423">
        <v>62</v>
      </c>
      <c r="H621" s="423">
        <v>102</v>
      </c>
      <c r="J621" s="423"/>
      <c r="K621" s="423"/>
      <c r="L621" s="423"/>
      <c r="M621" s="423"/>
      <c r="Q621" s="423"/>
      <c r="R621" s="424" t="s">
        <v>4561</v>
      </c>
      <c r="S621" s="424" t="s">
        <v>2846</v>
      </c>
      <c r="T621" s="424" t="s">
        <v>2870</v>
      </c>
      <c r="U621" s="424">
        <v>0</v>
      </c>
      <c r="V621" s="424" t="s">
        <v>70</v>
      </c>
      <c r="W621" s="424" t="s">
        <v>2871</v>
      </c>
      <c r="X621" s="424" t="s">
        <v>3298</v>
      </c>
      <c r="Y621" s="424" t="s">
        <v>2279</v>
      </c>
      <c r="Z621" s="424" t="s">
        <v>2872</v>
      </c>
      <c r="AA621" s="424" t="s">
        <v>2873</v>
      </c>
      <c r="AB621" s="424" t="s">
        <v>3893</v>
      </c>
      <c r="AC621" s="424" t="s">
        <v>1953</v>
      </c>
      <c r="AD621" s="424" t="s">
        <v>2892</v>
      </c>
      <c r="AE621" s="424" t="s">
        <v>2897</v>
      </c>
      <c r="AF621" s="424"/>
      <c r="AG621" s="424"/>
      <c r="AH621" s="424"/>
    </row>
    <row r="622" spans="1:34" x14ac:dyDescent="0.25">
      <c r="A622" s="423" t="s">
        <v>4454</v>
      </c>
      <c r="B622" s="423" t="s">
        <v>4562</v>
      </c>
      <c r="C622" s="423" t="s">
        <v>70</v>
      </c>
      <c r="D622" s="423" t="s">
        <v>4456</v>
      </c>
      <c r="E622" s="423" t="s">
        <v>2818</v>
      </c>
      <c r="F622" s="423">
        <v>8</v>
      </c>
      <c r="G622" s="423">
        <v>62</v>
      </c>
      <c r="H622" s="423">
        <v>102</v>
      </c>
      <c r="J622" s="423"/>
      <c r="K622" s="423"/>
      <c r="L622" s="423"/>
      <c r="M622" s="423"/>
      <c r="Q622" s="423"/>
      <c r="R622" s="424" t="s">
        <v>4563</v>
      </c>
      <c r="S622" s="424" t="s">
        <v>2846</v>
      </c>
      <c r="T622" s="424" t="s">
        <v>2870</v>
      </c>
      <c r="U622" s="424">
        <v>0</v>
      </c>
      <c r="V622" s="424" t="s">
        <v>70</v>
      </c>
      <c r="W622" s="424" t="s">
        <v>2974</v>
      </c>
      <c r="X622" s="424" t="s">
        <v>3298</v>
      </c>
      <c r="Y622" s="424" t="s">
        <v>2279</v>
      </c>
      <c r="Z622" s="424" t="s">
        <v>2872</v>
      </c>
      <c r="AA622" s="424" t="s">
        <v>2873</v>
      </c>
      <c r="AB622" s="424" t="s">
        <v>4564</v>
      </c>
      <c r="AC622" s="424" t="s">
        <v>1953</v>
      </c>
      <c r="AD622" s="424" t="s">
        <v>2892</v>
      </c>
      <c r="AE622" s="424" t="s">
        <v>4463</v>
      </c>
      <c r="AF622" s="424"/>
      <c r="AG622" s="424"/>
      <c r="AH622" s="424"/>
    </row>
    <row r="623" spans="1:34" x14ac:dyDescent="0.25">
      <c r="A623" s="423" t="s">
        <v>4454</v>
      </c>
      <c r="B623" s="423" t="s">
        <v>4565</v>
      </c>
      <c r="C623" s="423" t="s">
        <v>70</v>
      </c>
      <c r="D623" s="423" t="s">
        <v>4456</v>
      </c>
      <c r="E623" s="423" t="s">
        <v>2818</v>
      </c>
      <c r="F623" s="423">
        <v>8</v>
      </c>
      <c r="G623" s="423">
        <v>62</v>
      </c>
      <c r="H623" s="423">
        <v>102</v>
      </c>
      <c r="J623" s="423"/>
      <c r="K623" s="423"/>
      <c r="L623" s="423"/>
      <c r="M623" s="423"/>
      <c r="Q623" s="423"/>
      <c r="R623" s="424" t="s">
        <v>4566</v>
      </c>
      <c r="S623" s="424" t="s">
        <v>2846</v>
      </c>
      <c r="T623" s="424" t="s">
        <v>2870</v>
      </c>
      <c r="U623" s="424">
        <v>0</v>
      </c>
      <c r="V623" s="424" t="s">
        <v>70</v>
      </c>
      <c r="W623" s="424" t="s">
        <v>3176</v>
      </c>
      <c r="X623" s="424" t="s">
        <v>3298</v>
      </c>
      <c r="Y623" s="424" t="s">
        <v>2279</v>
      </c>
      <c r="Z623" s="424" t="s">
        <v>2848</v>
      </c>
      <c r="AA623" s="424" t="s">
        <v>2855</v>
      </c>
      <c r="AB623" s="424" t="s">
        <v>2921</v>
      </c>
      <c r="AC623" s="424" t="s">
        <v>1953</v>
      </c>
      <c r="AD623" s="424" t="s">
        <v>2851</v>
      </c>
      <c r="AE623" s="424" t="s">
        <v>2901</v>
      </c>
      <c r="AF623" s="424"/>
      <c r="AG623" s="424"/>
      <c r="AH623" s="424"/>
    </row>
    <row r="624" spans="1:34" x14ac:dyDescent="0.25">
      <c r="A624" s="423" t="s">
        <v>4454</v>
      </c>
      <c r="B624" s="423" t="s">
        <v>4567</v>
      </c>
      <c r="C624" s="423" t="s">
        <v>70</v>
      </c>
      <c r="D624" s="423" t="s">
        <v>4456</v>
      </c>
      <c r="E624" s="423" t="s">
        <v>2818</v>
      </c>
      <c r="F624" s="423">
        <v>8</v>
      </c>
      <c r="G624" s="423">
        <v>62</v>
      </c>
      <c r="H624" s="423">
        <v>102</v>
      </c>
      <c r="J624" s="423"/>
      <c r="K624" s="423"/>
      <c r="L624" s="423"/>
      <c r="M624" s="423"/>
      <c r="Q624" s="423"/>
      <c r="R624" s="424" t="s">
        <v>4568</v>
      </c>
      <c r="S624" s="424" t="s">
        <v>2846</v>
      </c>
      <c r="T624" s="424" t="s">
        <v>2870</v>
      </c>
      <c r="U624" s="424">
        <v>0</v>
      </c>
      <c r="V624" s="424" t="s">
        <v>70</v>
      </c>
      <c r="W624" s="424" t="s">
        <v>3074</v>
      </c>
      <c r="X624" s="424" t="s">
        <v>2224</v>
      </c>
      <c r="Y624" s="424" t="s">
        <v>2279</v>
      </c>
      <c r="Z624" s="424" t="s">
        <v>2872</v>
      </c>
      <c r="AA624" s="424" t="s">
        <v>2873</v>
      </c>
      <c r="AB624" s="424" t="s">
        <v>4569</v>
      </c>
      <c r="AC624" s="424" t="s">
        <v>1953</v>
      </c>
      <c r="AD624" s="424" t="s">
        <v>2892</v>
      </c>
      <c r="AE624" s="424" t="s">
        <v>4459</v>
      </c>
      <c r="AF624" s="424"/>
      <c r="AG624" s="424"/>
      <c r="AH624" s="424"/>
    </row>
    <row r="625" spans="1:34" x14ac:dyDescent="0.25">
      <c r="A625" s="423" t="s">
        <v>4454</v>
      </c>
      <c r="B625" s="423" t="s">
        <v>4570</v>
      </c>
      <c r="C625" s="423" t="s">
        <v>70</v>
      </c>
      <c r="D625" s="423" t="s">
        <v>4456</v>
      </c>
      <c r="E625" s="423" t="s">
        <v>2818</v>
      </c>
      <c r="F625" s="423">
        <v>8</v>
      </c>
      <c r="G625" s="423">
        <v>62</v>
      </c>
      <c r="H625" s="423">
        <v>102</v>
      </c>
      <c r="J625" s="423"/>
      <c r="K625" s="423"/>
      <c r="L625" s="423"/>
      <c r="M625" s="423"/>
      <c r="Q625" s="423"/>
      <c r="R625" s="424" t="s">
        <v>4571</v>
      </c>
      <c r="S625" s="424" t="s">
        <v>2846</v>
      </c>
      <c r="T625" s="424" t="s">
        <v>2870</v>
      </c>
      <c r="U625" s="424">
        <v>0</v>
      </c>
      <c r="V625" s="424" t="s">
        <v>70</v>
      </c>
      <c r="W625" s="424" t="s">
        <v>2974</v>
      </c>
      <c r="X625" s="424" t="s">
        <v>2224</v>
      </c>
      <c r="Y625" s="424" t="s">
        <v>2279</v>
      </c>
      <c r="Z625" s="424" t="s">
        <v>2872</v>
      </c>
      <c r="AA625" s="424" t="s">
        <v>2873</v>
      </c>
      <c r="AB625" s="424" t="s">
        <v>4572</v>
      </c>
      <c r="AC625" s="424" t="s">
        <v>1953</v>
      </c>
      <c r="AD625" s="424" t="s">
        <v>2892</v>
      </c>
      <c r="AE625" s="424" t="s">
        <v>4463</v>
      </c>
      <c r="AF625" s="424"/>
      <c r="AG625" s="424"/>
      <c r="AH625" s="424"/>
    </row>
    <row r="626" spans="1:34" x14ac:dyDescent="0.25">
      <c r="A626" s="423" t="s">
        <v>4454</v>
      </c>
      <c r="B626" s="423" t="s">
        <v>4573</v>
      </c>
      <c r="C626" s="423" t="s">
        <v>70</v>
      </c>
      <c r="D626" s="423" t="s">
        <v>4456</v>
      </c>
      <c r="E626" s="423" t="s">
        <v>2818</v>
      </c>
      <c r="F626" s="423">
        <v>8</v>
      </c>
      <c r="G626" s="423">
        <v>62</v>
      </c>
      <c r="H626" s="423">
        <v>102</v>
      </c>
      <c r="J626" s="423"/>
      <c r="K626" s="423"/>
      <c r="L626" s="423"/>
      <c r="M626" s="423"/>
      <c r="Q626" s="423"/>
      <c r="R626" s="424" t="s">
        <v>4574</v>
      </c>
      <c r="S626" s="424" t="s">
        <v>2846</v>
      </c>
      <c r="T626" s="424" t="s">
        <v>2870</v>
      </c>
      <c r="U626" s="424">
        <v>0</v>
      </c>
      <c r="V626" s="424" t="s">
        <v>70</v>
      </c>
      <c r="W626" s="424" t="s">
        <v>3176</v>
      </c>
      <c r="X626" s="424" t="s">
        <v>2224</v>
      </c>
      <c r="Y626" s="424" t="s">
        <v>2279</v>
      </c>
      <c r="Z626" s="424" t="s">
        <v>2848</v>
      </c>
      <c r="AA626" s="424" t="s">
        <v>2855</v>
      </c>
      <c r="AB626" s="424" t="s">
        <v>4551</v>
      </c>
      <c r="AC626" s="424" t="s">
        <v>1953</v>
      </c>
      <c r="AD626" s="424" t="s">
        <v>2851</v>
      </c>
      <c r="AE626" s="424" t="s">
        <v>2901</v>
      </c>
      <c r="AF626" s="424"/>
      <c r="AG626" s="424"/>
      <c r="AH626" s="424"/>
    </row>
    <row r="627" spans="1:34" x14ac:dyDescent="0.25">
      <c r="A627" s="423" t="s">
        <v>4454</v>
      </c>
      <c r="B627" s="423" t="s">
        <v>4575</v>
      </c>
      <c r="C627" s="423" t="s">
        <v>70</v>
      </c>
      <c r="D627" s="423" t="s">
        <v>4456</v>
      </c>
      <c r="E627" s="423" t="s">
        <v>2818</v>
      </c>
      <c r="F627" s="423">
        <v>8</v>
      </c>
      <c r="G627" s="423">
        <v>62</v>
      </c>
      <c r="H627" s="423">
        <v>102</v>
      </c>
      <c r="J627" s="423"/>
      <c r="K627" s="423"/>
      <c r="L627" s="423"/>
      <c r="M627" s="423"/>
      <c r="Q627" s="423"/>
      <c r="R627" s="424" t="s">
        <v>4576</v>
      </c>
      <c r="S627" s="424" t="s">
        <v>2846</v>
      </c>
      <c r="T627" s="424" t="s">
        <v>2870</v>
      </c>
      <c r="U627" s="424">
        <v>0</v>
      </c>
      <c r="V627" s="424" t="s">
        <v>70</v>
      </c>
      <c r="W627" s="424" t="s">
        <v>3074</v>
      </c>
      <c r="X627" s="424" t="s">
        <v>2224</v>
      </c>
      <c r="Y627" s="424" t="s">
        <v>2279</v>
      </c>
      <c r="Z627" s="424" t="s">
        <v>2872</v>
      </c>
      <c r="AA627" s="424" t="s">
        <v>2873</v>
      </c>
      <c r="AB627" s="424" t="s">
        <v>4577</v>
      </c>
      <c r="AC627" s="424" t="s">
        <v>1953</v>
      </c>
      <c r="AD627" s="424" t="s">
        <v>2892</v>
      </c>
      <c r="AE627" s="424" t="s">
        <v>4459</v>
      </c>
      <c r="AF627" s="424"/>
      <c r="AG627" s="424"/>
      <c r="AH627" s="424"/>
    </row>
    <row r="628" spans="1:34" x14ac:dyDescent="0.25">
      <c r="A628" s="423" t="s">
        <v>4454</v>
      </c>
      <c r="B628" s="423" t="s">
        <v>4578</v>
      </c>
      <c r="C628" s="423" t="s">
        <v>70</v>
      </c>
      <c r="D628" s="423" t="s">
        <v>4456</v>
      </c>
      <c r="E628" s="423" t="s">
        <v>2818</v>
      </c>
      <c r="F628" s="423">
        <v>8</v>
      </c>
      <c r="G628" s="423">
        <v>62</v>
      </c>
      <c r="H628" s="423">
        <v>102</v>
      </c>
      <c r="J628" s="423"/>
      <c r="K628" s="423"/>
      <c r="L628" s="423"/>
      <c r="M628" s="423"/>
      <c r="Q628" s="423"/>
      <c r="R628" s="424" t="s">
        <v>4579</v>
      </c>
      <c r="S628" s="424" t="s">
        <v>2846</v>
      </c>
      <c r="T628" s="424" t="s">
        <v>2870</v>
      </c>
      <c r="U628" s="424">
        <v>0</v>
      </c>
      <c r="V628" s="424" t="s">
        <v>70</v>
      </c>
      <c r="W628" s="424" t="s">
        <v>2974</v>
      </c>
      <c r="X628" s="424" t="s">
        <v>2224</v>
      </c>
      <c r="Y628" s="424" t="s">
        <v>2279</v>
      </c>
      <c r="Z628" s="424" t="s">
        <v>2872</v>
      </c>
      <c r="AA628" s="424" t="s">
        <v>2873</v>
      </c>
      <c r="AB628" s="424" t="s">
        <v>4580</v>
      </c>
      <c r="AC628" s="424" t="s">
        <v>1953</v>
      </c>
      <c r="AD628" s="424" t="s">
        <v>2892</v>
      </c>
      <c r="AE628" s="424" t="s">
        <v>4219</v>
      </c>
      <c r="AF628" s="424"/>
      <c r="AG628" s="424"/>
      <c r="AH628" s="424"/>
    </row>
    <row r="629" spans="1:34" x14ac:dyDescent="0.25">
      <c r="A629" s="423" t="s">
        <v>4454</v>
      </c>
      <c r="B629" s="423" t="s">
        <v>4581</v>
      </c>
      <c r="C629" s="423" t="s">
        <v>70</v>
      </c>
      <c r="D629" s="423" t="s">
        <v>4456</v>
      </c>
      <c r="E629" s="423" t="s">
        <v>2818</v>
      </c>
      <c r="F629" s="423">
        <v>8</v>
      </c>
      <c r="G629" s="423">
        <v>62</v>
      </c>
      <c r="H629" s="423">
        <v>102</v>
      </c>
      <c r="J629" s="423"/>
      <c r="K629" s="423"/>
      <c r="L629" s="423"/>
      <c r="M629" s="423"/>
      <c r="Q629" s="423"/>
      <c r="R629" s="424" t="s">
        <v>4582</v>
      </c>
      <c r="S629" s="424" t="s">
        <v>2846</v>
      </c>
      <c r="T629" s="424" t="s">
        <v>2870</v>
      </c>
      <c r="U629" s="424">
        <v>0</v>
      </c>
      <c r="V629" s="424" t="s">
        <v>70</v>
      </c>
      <c r="W629" s="424" t="s">
        <v>3054</v>
      </c>
      <c r="X629" s="424" t="s">
        <v>2224</v>
      </c>
      <c r="Y629" s="424" t="s">
        <v>2279</v>
      </c>
      <c r="Z629" s="424" t="s">
        <v>2848</v>
      </c>
      <c r="AA629" s="424" t="s">
        <v>2855</v>
      </c>
      <c r="AB629" s="424" t="s">
        <v>4583</v>
      </c>
      <c r="AC629" s="424" t="s">
        <v>1953</v>
      </c>
      <c r="AD629" s="424" t="s">
        <v>2851</v>
      </c>
      <c r="AE629" s="424" t="s">
        <v>2901</v>
      </c>
      <c r="AF629" s="424"/>
      <c r="AG629" s="424"/>
      <c r="AH629" s="424"/>
    </row>
    <row r="630" spans="1:34" x14ac:dyDescent="0.25">
      <c r="A630" s="423" t="s">
        <v>4454</v>
      </c>
      <c r="B630" s="423" t="s">
        <v>4584</v>
      </c>
      <c r="C630" s="423" t="s">
        <v>70</v>
      </c>
      <c r="D630" s="423" t="s">
        <v>4456</v>
      </c>
      <c r="E630" s="423" t="s">
        <v>2818</v>
      </c>
      <c r="F630" s="423">
        <v>8</v>
      </c>
      <c r="G630" s="423">
        <v>62</v>
      </c>
      <c r="H630" s="423">
        <v>102</v>
      </c>
      <c r="J630" s="423"/>
      <c r="K630" s="423"/>
      <c r="L630" s="423"/>
      <c r="M630" s="423"/>
      <c r="Q630" s="423"/>
      <c r="R630" s="424" t="s">
        <v>4585</v>
      </c>
      <c r="S630" s="424" t="s">
        <v>2846</v>
      </c>
      <c r="T630" s="424" t="s">
        <v>2870</v>
      </c>
      <c r="U630" s="424">
        <v>0</v>
      </c>
      <c r="V630" s="424" t="s">
        <v>70</v>
      </c>
      <c r="W630" s="424" t="s">
        <v>2871</v>
      </c>
      <c r="X630" s="424" t="s">
        <v>2224</v>
      </c>
      <c r="Y630" s="424" t="s">
        <v>2279</v>
      </c>
      <c r="Z630" s="424" t="s">
        <v>2872</v>
      </c>
      <c r="AA630" s="424" t="s">
        <v>2873</v>
      </c>
      <c r="AB630" s="424" t="s">
        <v>4500</v>
      </c>
      <c r="AC630" s="424" t="s">
        <v>1953</v>
      </c>
      <c r="AD630" s="424" t="s">
        <v>2892</v>
      </c>
      <c r="AE630" s="424" t="s">
        <v>2897</v>
      </c>
      <c r="AF630" s="424"/>
      <c r="AG630" s="424"/>
      <c r="AH630" s="424"/>
    </row>
    <row r="631" spans="1:34" x14ac:dyDescent="0.25">
      <c r="A631" s="423" t="s">
        <v>4454</v>
      </c>
      <c r="B631" s="423" t="s">
        <v>4586</v>
      </c>
      <c r="C631" s="423" t="s">
        <v>70</v>
      </c>
      <c r="D631" s="423" t="s">
        <v>4456</v>
      </c>
      <c r="E631" s="423" t="s">
        <v>2818</v>
      </c>
      <c r="F631" s="423">
        <v>8</v>
      </c>
      <c r="G631" s="423">
        <v>62</v>
      </c>
      <c r="H631" s="423">
        <v>102</v>
      </c>
      <c r="J631" s="423"/>
      <c r="K631" s="423"/>
      <c r="L631" s="423"/>
      <c r="M631" s="423"/>
      <c r="Q631" s="423"/>
      <c r="R631" s="424" t="s">
        <v>4587</v>
      </c>
      <c r="S631" s="424" t="s">
        <v>2846</v>
      </c>
      <c r="T631" s="424" t="s">
        <v>2870</v>
      </c>
      <c r="U631" s="424">
        <v>0</v>
      </c>
      <c r="V631" s="424" t="s">
        <v>70</v>
      </c>
      <c r="W631" s="424" t="s">
        <v>2974</v>
      </c>
      <c r="X631" s="424" t="s">
        <v>2224</v>
      </c>
      <c r="Y631" s="424" t="s">
        <v>2279</v>
      </c>
      <c r="Z631" s="424" t="s">
        <v>2872</v>
      </c>
      <c r="AA631" s="424" t="s">
        <v>2873</v>
      </c>
      <c r="AB631" s="424" t="s">
        <v>4588</v>
      </c>
      <c r="AC631" s="424" t="s">
        <v>1953</v>
      </c>
      <c r="AD631" s="424" t="s">
        <v>2892</v>
      </c>
      <c r="AE631" s="424" t="s">
        <v>4219</v>
      </c>
      <c r="AF631" s="424"/>
      <c r="AG631" s="424"/>
      <c r="AH631" s="424"/>
    </row>
    <row r="632" spans="1:34" x14ac:dyDescent="0.25">
      <c r="A632" s="423" t="s">
        <v>4454</v>
      </c>
      <c r="B632" s="423" t="s">
        <v>4589</v>
      </c>
      <c r="C632" s="423" t="s">
        <v>70</v>
      </c>
      <c r="D632" s="423" t="s">
        <v>4456</v>
      </c>
      <c r="E632" s="423" t="s">
        <v>2818</v>
      </c>
      <c r="F632" s="423">
        <v>8</v>
      </c>
      <c r="G632" s="423">
        <v>62</v>
      </c>
      <c r="H632" s="423">
        <v>102</v>
      </c>
      <c r="J632" s="423"/>
      <c r="K632" s="423"/>
      <c r="L632" s="423"/>
      <c r="M632" s="423"/>
      <c r="Q632" s="423"/>
      <c r="R632" s="424" t="s">
        <v>4590</v>
      </c>
      <c r="S632" s="424" t="s">
        <v>2846</v>
      </c>
      <c r="T632" s="424" t="s">
        <v>2870</v>
      </c>
      <c r="U632" s="424">
        <v>0</v>
      </c>
      <c r="V632" s="424" t="s">
        <v>70</v>
      </c>
      <c r="W632" s="424" t="s">
        <v>2871</v>
      </c>
      <c r="X632" s="424" t="s">
        <v>2224</v>
      </c>
      <c r="Y632" s="424" t="s">
        <v>2279</v>
      </c>
      <c r="Z632" s="424" t="s">
        <v>2848</v>
      </c>
      <c r="AA632" s="424" t="s">
        <v>2855</v>
      </c>
      <c r="AB632" s="424" t="s">
        <v>3179</v>
      </c>
      <c r="AC632" s="424" t="s">
        <v>1953</v>
      </c>
      <c r="AD632" s="424" t="s">
        <v>2851</v>
      </c>
      <c r="AE632" s="424" t="s">
        <v>2901</v>
      </c>
      <c r="AF632" s="424"/>
      <c r="AG632" s="424"/>
      <c r="AH632" s="424"/>
    </row>
    <row r="633" spans="1:34" x14ac:dyDescent="0.25">
      <c r="A633" s="423" t="s">
        <v>4454</v>
      </c>
      <c r="B633" s="423" t="s">
        <v>4591</v>
      </c>
      <c r="C633" s="423" t="s">
        <v>70</v>
      </c>
      <c r="D633" s="423" t="s">
        <v>4456</v>
      </c>
      <c r="E633" s="423" t="s">
        <v>2818</v>
      </c>
      <c r="F633" s="423">
        <v>8</v>
      </c>
      <c r="G633" s="423">
        <v>62</v>
      </c>
      <c r="H633" s="423">
        <v>102</v>
      </c>
      <c r="J633" s="423"/>
      <c r="K633" s="423"/>
      <c r="L633" s="423"/>
      <c r="M633" s="423"/>
      <c r="Q633" s="423"/>
      <c r="R633" s="424" t="s">
        <v>4592</v>
      </c>
      <c r="S633" s="424" t="s">
        <v>2846</v>
      </c>
      <c r="T633" s="424" t="s">
        <v>2870</v>
      </c>
      <c r="U633" s="424">
        <v>0</v>
      </c>
      <c r="V633" s="424" t="s">
        <v>70</v>
      </c>
      <c r="W633" s="424" t="s">
        <v>3074</v>
      </c>
      <c r="X633" s="424" t="s">
        <v>2224</v>
      </c>
      <c r="Y633" s="424" t="s">
        <v>2279</v>
      </c>
      <c r="Z633" s="424" t="s">
        <v>2872</v>
      </c>
      <c r="AA633" s="424" t="s">
        <v>2873</v>
      </c>
      <c r="AB633" s="424" t="s">
        <v>4569</v>
      </c>
      <c r="AC633" s="424" t="s">
        <v>1953</v>
      </c>
      <c r="AD633" s="424" t="s">
        <v>2892</v>
      </c>
      <c r="AE633" s="424" t="s">
        <v>4459</v>
      </c>
      <c r="AF633" s="424"/>
      <c r="AG633" s="424"/>
      <c r="AH633" s="424"/>
    </row>
    <row r="634" spans="1:34" x14ac:dyDescent="0.25">
      <c r="A634" s="423" t="s">
        <v>4454</v>
      </c>
      <c r="B634" s="423" t="s">
        <v>4593</v>
      </c>
      <c r="C634" s="423" t="s">
        <v>70</v>
      </c>
      <c r="D634" s="423" t="s">
        <v>4456</v>
      </c>
      <c r="E634" s="423" t="s">
        <v>2818</v>
      </c>
      <c r="F634" s="423">
        <v>8</v>
      </c>
      <c r="G634" s="423">
        <v>62</v>
      </c>
      <c r="H634" s="423">
        <v>102</v>
      </c>
      <c r="J634" s="423"/>
      <c r="K634" s="423"/>
      <c r="L634" s="423"/>
      <c r="M634" s="423"/>
      <c r="Q634" s="423"/>
      <c r="R634" s="424" t="s">
        <v>4594</v>
      </c>
      <c r="S634" s="424" t="s">
        <v>2846</v>
      </c>
      <c r="T634" s="424" t="s">
        <v>2870</v>
      </c>
      <c r="U634" s="424">
        <v>0</v>
      </c>
      <c r="V634" s="424" t="s">
        <v>70</v>
      </c>
      <c r="W634" s="424" t="s">
        <v>2974</v>
      </c>
      <c r="X634" s="424" t="s">
        <v>2224</v>
      </c>
      <c r="Y634" s="424" t="s">
        <v>2279</v>
      </c>
      <c r="Z634" s="424" t="s">
        <v>2872</v>
      </c>
      <c r="AA634" s="424" t="s">
        <v>2873</v>
      </c>
      <c r="AB634" s="424" t="s">
        <v>4539</v>
      </c>
      <c r="AC634" s="424" t="s">
        <v>1953</v>
      </c>
      <c r="AD634" s="424" t="s">
        <v>2892</v>
      </c>
      <c r="AE634" s="424" t="s">
        <v>4540</v>
      </c>
      <c r="AF634" s="424"/>
      <c r="AG634" s="424"/>
      <c r="AH634" s="424"/>
    </row>
    <row r="635" spans="1:34" x14ac:dyDescent="0.25">
      <c r="A635" s="423" t="s">
        <v>4454</v>
      </c>
      <c r="B635" s="423" t="s">
        <v>4595</v>
      </c>
      <c r="C635" s="423" t="s">
        <v>70</v>
      </c>
      <c r="D635" s="423" t="s">
        <v>4456</v>
      </c>
      <c r="E635" s="423" t="s">
        <v>2818</v>
      </c>
      <c r="F635" s="423">
        <v>8</v>
      </c>
      <c r="G635" s="423">
        <v>62</v>
      </c>
      <c r="H635" s="423">
        <v>102</v>
      </c>
      <c r="J635" s="423"/>
      <c r="K635" s="423"/>
      <c r="L635" s="423"/>
      <c r="M635" s="423"/>
      <c r="Q635" s="423"/>
      <c r="R635" s="424" t="s">
        <v>4596</v>
      </c>
      <c r="S635" s="424" t="s">
        <v>2846</v>
      </c>
      <c r="T635" s="424" t="s">
        <v>2870</v>
      </c>
      <c r="U635" s="424">
        <v>0</v>
      </c>
      <c r="V635" s="424" t="s">
        <v>70</v>
      </c>
      <c r="W635" s="424" t="s">
        <v>3074</v>
      </c>
      <c r="X635" s="424" t="s">
        <v>3298</v>
      </c>
      <c r="Y635" s="424" t="s">
        <v>2279</v>
      </c>
      <c r="Z635" s="424" t="s">
        <v>2872</v>
      </c>
      <c r="AA635" s="424" t="s">
        <v>2873</v>
      </c>
      <c r="AB635" s="424" t="s">
        <v>4545</v>
      </c>
      <c r="AC635" s="424" t="s">
        <v>1953</v>
      </c>
      <c r="AD635" s="424" t="s">
        <v>2892</v>
      </c>
      <c r="AE635" s="424" t="s">
        <v>4459</v>
      </c>
      <c r="AF635" s="424"/>
      <c r="AG635" s="424"/>
      <c r="AH635" s="424"/>
    </row>
    <row r="636" spans="1:34" x14ac:dyDescent="0.25">
      <c r="A636" s="423" t="s">
        <v>4454</v>
      </c>
      <c r="B636" s="423" t="s">
        <v>4597</v>
      </c>
      <c r="C636" s="423" t="s">
        <v>70</v>
      </c>
      <c r="D636" s="423" t="s">
        <v>4456</v>
      </c>
      <c r="E636" s="423" t="s">
        <v>2818</v>
      </c>
      <c r="F636" s="423">
        <v>8</v>
      </c>
      <c r="G636" s="423">
        <v>62</v>
      </c>
      <c r="H636" s="423">
        <v>102</v>
      </c>
      <c r="J636" s="423"/>
      <c r="K636" s="423"/>
      <c r="L636" s="423"/>
      <c r="M636" s="423"/>
      <c r="Q636" s="423"/>
      <c r="R636" s="424" t="s">
        <v>4598</v>
      </c>
      <c r="S636" s="424" t="s">
        <v>2846</v>
      </c>
      <c r="T636" s="424" t="s">
        <v>2870</v>
      </c>
      <c r="U636" s="424">
        <v>0</v>
      </c>
      <c r="V636" s="424" t="s">
        <v>70</v>
      </c>
      <c r="W636" s="424" t="s">
        <v>2974</v>
      </c>
      <c r="X636" s="424" t="s">
        <v>3298</v>
      </c>
      <c r="Y636" s="424" t="s">
        <v>2279</v>
      </c>
      <c r="Z636" s="424" t="s">
        <v>2872</v>
      </c>
      <c r="AA636" s="424" t="s">
        <v>2873</v>
      </c>
      <c r="AB636" s="424" t="s">
        <v>4599</v>
      </c>
      <c r="AC636" s="424" t="s">
        <v>1953</v>
      </c>
      <c r="AD636" s="424" t="s">
        <v>2892</v>
      </c>
      <c r="AE636" s="424" t="s">
        <v>4219</v>
      </c>
      <c r="AF636" s="424"/>
      <c r="AG636" s="424"/>
      <c r="AH636" s="424"/>
    </row>
    <row r="637" spans="1:34" x14ac:dyDescent="0.25">
      <c r="A637" s="423" t="s">
        <v>4454</v>
      </c>
      <c r="B637" s="423" t="s">
        <v>4600</v>
      </c>
      <c r="C637" s="423" t="s">
        <v>70</v>
      </c>
      <c r="D637" s="423" t="s">
        <v>4456</v>
      </c>
      <c r="E637" s="423" t="s">
        <v>2818</v>
      </c>
      <c r="F637" s="423">
        <v>8</v>
      </c>
      <c r="G637" s="423">
        <v>62</v>
      </c>
      <c r="H637" s="423">
        <v>102</v>
      </c>
      <c r="J637" s="423"/>
      <c r="K637" s="423"/>
      <c r="L637" s="423"/>
      <c r="M637" s="423"/>
      <c r="Q637" s="423"/>
      <c r="R637" s="424" t="s">
        <v>4601</v>
      </c>
      <c r="S637" s="424" t="s">
        <v>2846</v>
      </c>
      <c r="T637" s="424" t="s">
        <v>2870</v>
      </c>
      <c r="U637" s="424">
        <v>0</v>
      </c>
      <c r="V637" s="424" t="s">
        <v>70</v>
      </c>
      <c r="W637" s="424" t="s">
        <v>3074</v>
      </c>
      <c r="X637" s="424" t="s">
        <v>3298</v>
      </c>
      <c r="Y637" s="424" t="s">
        <v>2279</v>
      </c>
      <c r="Z637" s="424" t="s">
        <v>2872</v>
      </c>
      <c r="AA637" s="424" t="s">
        <v>2873</v>
      </c>
      <c r="AB637" s="424" t="s">
        <v>4602</v>
      </c>
      <c r="AC637" s="424" t="s">
        <v>1953</v>
      </c>
      <c r="AD637" s="424" t="s">
        <v>2892</v>
      </c>
      <c r="AE637" s="424" t="s">
        <v>4459</v>
      </c>
      <c r="AF637" s="424"/>
      <c r="AG637" s="424"/>
      <c r="AH637" s="424"/>
    </row>
    <row r="638" spans="1:34" x14ac:dyDescent="0.25">
      <c r="A638" s="423" t="s">
        <v>4454</v>
      </c>
      <c r="B638" s="423" t="s">
        <v>4603</v>
      </c>
      <c r="C638" s="423" t="s">
        <v>70</v>
      </c>
      <c r="D638" s="423" t="s">
        <v>4456</v>
      </c>
      <c r="E638" s="423" t="s">
        <v>2818</v>
      </c>
      <c r="F638" s="423">
        <v>8</v>
      </c>
      <c r="G638" s="423">
        <v>62</v>
      </c>
      <c r="H638" s="423">
        <v>102</v>
      </c>
      <c r="J638" s="423"/>
      <c r="K638" s="423"/>
      <c r="L638" s="423"/>
      <c r="M638" s="423"/>
      <c r="Q638" s="423"/>
      <c r="R638" s="424" t="s">
        <v>4604</v>
      </c>
      <c r="S638" s="424" t="s">
        <v>2846</v>
      </c>
      <c r="T638" s="424" t="s">
        <v>2870</v>
      </c>
      <c r="U638" s="424">
        <v>0</v>
      </c>
      <c r="V638" s="424" t="s">
        <v>70</v>
      </c>
      <c r="W638" s="424" t="s">
        <v>2974</v>
      </c>
      <c r="X638" s="424" t="s">
        <v>2224</v>
      </c>
      <c r="Y638" s="424" t="s">
        <v>2279</v>
      </c>
      <c r="Z638" s="424" t="s">
        <v>2889</v>
      </c>
      <c r="AA638" s="424" t="s">
        <v>2890</v>
      </c>
      <c r="AB638" s="424" t="s">
        <v>4605</v>
      </c>
      <c r="AC638" s="424" t="s">
        <v>1953</v>
      </c>
      <c r="AD638" s="424" t="s">
        <v>2892</v>
      </c>
      <c r="AE638" s="424" t="s">
        <v>2940</v>
      </c>
      <c r="AF638" s="424"/>
      <c r="AG638" s="424"/>
      <c r="AH638" s="424"/>
    </row>
    <row r="639" spans="1:34" x14ac:dyDescent="0.25">
      <c r="A639" s="423" t="s">
        <v>4454</v>
      </c>
      <c r="B639" s="423" t="s">
        <v>4606</v>
      </c>
      <c r="C639" s="423" t="s">
        <v>70</v>
      </c>
      <c r="D639" s="423" t="s">
        <v>4456</v>
      </c>
      <c r="E639" s="423" t="s">
        <v>2818</v>
      </c>
      <c r="F639" s="423">
        <v>16</v>
      </c>
      <c r="G639" s="423">
        <v>63</v>
      </c>
      <c r="H639" s="423">
        <v>109</v>
      </c>
      <c r="J639" s="423"/>
      <c r="K639" s="423"/>
      <c r="L639" s="423"/>
      <c r="M639" s="423"/>
      <c r="Q639" s="423"/>
      <c r="R639" s="424" t="s">
        <v>4607</v>
      </c>
      <c r="S639" s="424" t="s">
        <v>2846</v>
      </c>
      <c r="T639" s="424" t="s">
        <v>4608</v>
      </c>
      <c r="U639" s="424">
        <v>0</v>
      </c>
      <c r="V639" s="424" t="s">
        <v>70</v>
      </c>
      <c r="W639" s="424" t="s">
        <v>2974</v>
      </c>
      <c r="X639" s="424" t="s">
        <v>2224</v>
      </c>
      <c r="Y639" s="424" t="s">
        <v>2279</v>
      </c>
      <c r="Z639" s="424" t="s">
        <v>2889</v>
      </c>
      <c r="AA639" s="424" t="s">
        <v>2890</v>
      </c>
      <c r="AB639" s="424" t="s">
        <v>4609</v>
      </c>
      <c r="AC639" s="424" t="s">
        <v>1953</v>
      </c>
      <c r="AD639" s="424" t="s">
        <v>2892</v>
      </c>
      <c r="AE639" s="424" t="s">
        <v>4610</v>
      </c>
      <c r="AF639" s="424"/>
      <c r="AG639" s="424"/>
      <c r="AH639" s="424"/>
    </row>
    <row r="640" spans="1:34" x14ac:dyDescent="0.25">
      <c r="A640" s="423" t="s">
        <v>4454</v>
      </c>
      <c r="B640" s="423" t="s">
        <v>4611</v>
      </c>
      <c r="C640" s="423" t="s">
        <v>70</v>
      </c>
      <c r="D640" s="423" t="s">
        <v>4456</v>
      </c>
      <c r="E640" s="423" t="s">
        <v>2818</v>
      </c>
      <c r="F640" s="423">
        <v>16</v>
      </c>
      <c r="G640" s="423">
        <v>63</v>
      </c>
      <c r="H640" s="423">
        <v>109</v>
      </c>
      <c r="J640" s="423"/>
      <c r="K640" s="423"/>
      <c r="L640" s="423"/>
      <c r="M640" s="423"/>
      <c r="Q640" s="423"/>
      <c r="R640" s="424" t="s">
        <v>4612</v>
      </c>
      <c r="S640" s="424" t="s">
        <v>2846</v>
      </c>
      <c r="T640" s="424" t="s">
        <v>4608</v>
      </c>
      <c r="U640" s="424">
        <v>0</v>
      </c>
      <c r="V640" s="424" t="s">
        <v>70</v>
      </c>
      <c r="W640" s="424" t="s">
        <v>3176</v>
      </c>
      <c r="X640" s="424" t="s">
        <v>2224</v>
      </c>
      <c r="Y640" s="424" t="s">
        <v>2279</v>
      </c>
      <c r="Z640" s="424" t="s">
        <v>2889</v>
      </c>
      <c r="AA640" s="424" t="s">
        <v>2890</v>
      </c>
      <c r="AB640" s="424" t="s">
        <v>4613</v>
      </c>
      <c r="AC640" s="424" t="s">
        <v>1953</v>
      </c>
      <c r="AD640" s="424" t="s">
        <v>2892</v>
      </c>
      <c r="AE640" s="424" t="s">
        <v>4614</v>
      </c>
      <c r="AF640" s="424"/>
      <c r="AG640" s="424"/>
      <c r="AH640" s="424"/>
    </row>
    <row r="641" spans="1:34" x14ac:dyDescent="0.25">
      <c r="A641" s="423" t="s">
        <v>4454</v>
      </c>
      <c r="B641" s="423" t="s">
        <v>4615</v>
      </c>
      <c r="C641" s="423" t="s">
        <v>70</v>
      </c>
      <c r="D641" s="423" t="s">
        <v>4456</v>
      </c>
      <c r="E641" s="423" t="s">
        <v>2818</v>
      </c>
      <c r="F641" s="423">
        <v>16</v>
      </c>
      <c r="G641" s="423">
        <v>63</v>
      </c>
      <c r="H641" s="423">
        <v>109</v>
      </c>
      <c r="J641" s="423"/>
      <c r="K641" s="423"/>
      <c r="L641" s="423"/>
      <c r="M641" s="423"/>
      <c r="Q641" s="423"/>
      <c r="R641" s="424" t="s">
        <v>4616</v>
      </c>
      <c r="S641" s="424" t="s">
        <v>2846</v>
      </c>
      <c r="T641" s="424" t="s">
        <v>4608</v>
      </c>
      <c r="U641" s="424">
        <v>0</v>
      </c>
      <c r="V641" s="424" t="s">
        <v>70</v>
      </c>
      <c r="W641" s="424" t="s">
        <v>2974</v>
      </c>
      <c r="X641" s="424" t="s">
        <v>2224</v>
      </c>
      <c r="Y641" s="424" t="s">
        <v>2279</v>
      </c>
      <c r="Z641" s="424" t="s">
        <v>2889</v>
      </c>
      <c r="AA641" s="424" t="s">
        <v>2890</v>
      </c>
      <c r="AB641" s="424" t="s">
        <v>4617</v>
      </c>
      <c r="AC641" s="424" t="s">
        <v>1953</v>
      </c>
      <c r="AD641" s="424" t="s">
        <v>2892</v>
      </c>
      <c r="AE641" s="424" t="s">
        <v>2893</v>
      </c>
      <c r="AF641" s="424"/>
      <c r="AG641" s="424"/>
      <c r="AH641" s="424"/>
    </row>
    <row r="642" spans="1:34" x14ac:dyDescent="0.25">
      <c r="A642" s="423" t="s">
        <v>4454</v>
      </c>
      <c r="B642" s="423" t="s">
        <v>4618</v>
      </c>
      <c r="C642" s="423" t="s">
        <v>70</v>
      </c>
      <c r="D642" s="423" t="s">
        <v>4456</v>
      </c>
      <c r="E642" s="423" t="s">
        <v>2818</v>
      </c>
      <c r="F642" s="423">
        <v>16</v>
      </c>
      <c r="G642" s="423">
        <v>63</v>
      </c>
      <c r="H642" s="423">
        <v>109</v>
      </c>
      <c r="J642" s="423"/>
      <c r="K642" s="423"/>
      <c r="L642" s="423"/>
      <c r="M642" s="423"/>
      <c r="Q642" s="423"/>
      <c r="R642" s="424" t="s">
        <v>4619</v>
      </c>
      <c r="S642" s="424" t="s">
        <v>2846</v>
      </c>
      <c r="T642" s="424" t="s">
        <v>4608</v>
      </c>
      <c r="U642" s="424">
        <v>0</v>
      </c>
      <c r="V642" s="424" t="s">
        <v>70</v>
      </c>
      <c r="W642" s="424" t="s">
        <v>3176</v>
      </c>
      <c r="X642" s="424" t="s">
        <v>2224</v>
      </c>
      <c r="Y642" s="424" t="s">
        <v>2279</v>
      </c>
      <c r="Z642" s="424" t="s">
        <v>2889</v>
      </c>
      <c r="AA642" s="424" t="s">
        <v>2890</v>
      </c>
      <c r="AB642" s="424" t="s">
        <v>4620</v>
      </c>
      <c r="AC642" s="424" t="s">
        <v>1953</v>
      </c>
      <c r="AD642" s="424" t="s">
        <v>2892</v>
      </c>
      <c r="AE642" s="424" t="s">
        <v>4614</v>
      </c>
      <c r="AF642" s="424"/>
      <c r="AG642" s="424"/>
      <c r="AH642" s="424"/>
    </row>
    <row r="643" spans="1:34" x14ac:dyDescent="0.25">
      <c r="A643" s="423" t="s">
        <v>4454</v>
      </c>
      <c r="B643" s="423" t="s">
        <v>4621</v>
      </c>
      <c r="C643" s="423" t="s">
        <v>70</v>
      </c>
      <c r="D643" s="423" t="s">
        <v>4456</v>
      </c>
      <c r="E643" s="423" t="s">
        <v>2818</v>
      </c>
      <c r="F643" s="423">
        <v>16</v>
      </c>
      <c r="G643" s="423">
        <v>63</v>
      </c>
      <c r="H643" s="423">
        <v>109</v>
      </c>
      <c r="J643" s="423"/>
      <c r="K643" s="423"/>
      <c r="L643" s="423"/>
      <c r="M643" s="423"/>
      <c r="Q643" s="423"/>
      <c r="R643" s="424" t="s">
        <v>4622</v>
      </c>
      <c r="S643" s="424" t="s">
        <v>2846</v>
      </c>
      <c r="T643" s="424" t="s">
        <v>4608</v>
      </c>
      <c r="U643" s="424">
        <v>0</v>
      </c>
      <c r="V643" s="424" t="s">
        <v>70</v>
      </c>
      <c r="W643" s="424" t="s">
        <v>2974</v>
      </c>
      <c r="X643" s="424" t="s">
        <v>2224</v>
      </c>
      <c r="Y643" s="424" t="s">
        <v>2279</v>
      </c>
      <c r="Z643" s="424" t="s">
        <v>2889</v>
      </c>
      <c r="AA643" s="424" t="s">
        <v>2890</v>
      </c>
      <c r="AB643" s="424" t="s">
        <v>4623</v>
      </c>
      <c r="AC643" s="424" t="s">
        <v>1953</v>
      </c>
      <c r="AD643" s="424" t="s">
        <v>2892</v>
      </c>
      <c r="AE643" s="424" t="s">
        <v>2893</v>
      </c>
      <c r="AF643" s="424"/>
      <c r="AG643" s="424"/>
      <c r="AH643" s="424"/>
    </row>
    <row r="644" spans="1:34" x14ac:dyDescent="0.25">
      <c r="A644" s="423" t="s">
        <v>4454</v>
      </c>
      <c r="B644" s="423" t="s">
        <v>4624</v>
      </c>
      <c r="C644" s="423" t="s">
        <v>70</v>
      </c>
      <c r="D644" s="423" t="s">
        <v>4456</v>
      </c>
      <c r="E644" s="423" t="s">
        <v>2818</v>
      </c>
      <c r="F644" s="423">
        <v>16</v>
      </c>
      <c r="G644" s="423">
        <v>63</v>
      </c>
      <c r="H644" s="423">
        <v>109</v>
      </c>
      <c r="J644" s="423"/>
      <c r="K644" s="423"/>
      <c r="L644" s="423"/>
      <c r="M644" s="423"/>
      <c r="Q644" s="423"/>
      <c r="R644" s="424" t="s">
        <v>4625</v>
      </c>
      <c r="S644" s="424" t="s">
        <v>2846</v>
      </c>
      <c r="T644" s="424" t="s">
        <v>4608</v>
      </c>
      <c r="U644" s="424">
        <v>0</v>
      </c>
      <c r="V644" s="424" t="s">
        <v>70</v>
      </c>
      <c r="W644" s="424" t="s">
        <v>3176</v>
      </c>
      <c r="X644" s="424" t="s">
        <v>2224</v>
      </c>
      <c r="Y644" s="424" t="s">
        <v>2279</v>
      </c>
      <c r="Z644" s="424" t="s">
        <v>2889</v>
      </c>
      <c r="AA644" s="424" t="s">
        <v>2890</v>
      </c>
      <c r="AB644" s="424" t="s">
        <v>4626</v>
      </c>
      <c r="AC644" s="424" t="s">
        <v>1953</v>
      </c>
      <c r="AD644" s="424" t="s">
        <v>2892</v>
      </c>
      <c r="AE644" s="424" t="s">
        <v>4627</v>
      </c>
      <c r="AF644" s="424"/>
      <c r="AG644" s="424"/>
      <c r="AH644" s="424"/>
    </row>
    <row r="645" spans="1:34" x14ac:dyDescent="0.25">
      <c r="A645" s="423" t="s">
        <v>4454</v>
      </c>
      <c r="B645" s="423" t="s">
        <v>4628</v>
      </c>
      <c r="C645" s="423" t="s">
        <v>70</v>
      </c>
      <c r="D645" s="423" t="s">
        <v>4456</v>
      </c>
      <c r="E645" s="423" t="s">
        <v>2818</v>
      </c>
      <c r="F645" s="423">
        <v>16</v>
      </c>
      <c r="G645" s="423">
        <v>63</v>
      </c>
      <c r="H645" s="423">
        <v>109</v>
      </c>
      <c r="J645" s="423"/>
      <c r="K645" s="423"/>
      <c r="L645" s="423"/>
      <c r="M645" s="423"/>
      <c r="Q645" s="423"/>
      <c r="R645" s="424" t="s">
        <v>4629</v>
      </c>
      <c r="S645" s="424" t="s">
        <v>2846</v>
      </c>
      <c r="T645" s="424" t="s">
        <v>4608</v>
      </c>
      <c r="U645" s="424">
        <v>0</v>
      </c>
      <c r="V645" s="424" t="s">
        <v>70</v>
      </c>
      <c r="W645" s="424" t="s">
        <v>2871</v>
      </c>
      <c r="X645" s="424" t="s">
        <v>2224</v>
      </c>
      <c r="Y645" s="424" t="s">
        <v>2279</v>
      </c>
      <c r="Z645" s="424" t="s">
        <v>2889</v>
      </c>
      <c r="AA645" s="424" t="s">
        <v>2890</v>
      </c>
      <c r="AB645" s="424" t="s">
        <v>4630</v>
      </c>
      <c r="AC645" s="424" t="s">
        <v>1953</v>
      </c>
      <c r="AD645" s="424" t="s">
        <v>2892</v>
      </c>
      <c r="AE645" s="424" t="s">
        <v>4631</v>
      </c>
      <c r="AF645" s="424"/>
      <c r="AG645" s="424"/>
      <c r="AH645" s="424"/>
    </row>
    <row r="646" spans="1:34" x14ac:dyDescent="0.25">
      <c r="A646" s="423" t="s">
        <v>4454</v>
      </c>
      <c r="B646" s="423" t="s">
        <v>4632</v>
      </c>
      <c r="C646" s="423" t="s">
        <v>70</v>
      </c>
      <c r="D646" s="423" t="s">
        <v>4456</v>
      </c>
      <c r="E646" s="423" t="s">
        <v>2818</v>
      </c>
      <c r="F646" s="423">
        <v>16</v>
      </c>
      <c r="G646" s="423">
        <v>63</v>
      </c>
      <c r="H646" s="423">
        <v>109</v>
      </c>
      <c r="J646" s="423"/>
      <c r="K646" s="423"/>
      <c r="L646" s="423"/>
      <c r="M646" s="423"/>
      <c r="Q646" s="423"/>
      <c r="R646" s="424" t="s">
        <v>4633</v>
      </c>
      <c r="S646" s="424" t="s">
        <v>2846</v>
      </c>
      <c r="T646" s="424" t="s">
        <v>4608</v>
      </c>
      <c r="U646" s="424">
        <v>0</v>
      </c>
      <c r="V646" s="424" t="s">
        <v>70</v>
      </c>
      <c r="W646" s="424" t="s">
        <v>3176</v>
      </c>
      <c r="X646" s="424" t="s">
        <v>2224</v>
      </c>
      <c r="Y646" s="424" t="s">
        <v>2279</v>
      </c>
      <c r="Z646" s="424" t="s">
        <v>2889</v>
      </c>
      <c r="AA646" s="424" t="s">
        <v>2890</v>
      </c>
      <c r="AB646" s="424" t="s">
        <v>4634</v>
      </c>
      <c r="AC646" s="424" t="s">
        <v>1953</v>
      </c>
      <c r="AD646" s="424" t="s">
        <v>2892</v>
      </c>
      <c r="AE646" s="424" t="s">
        <v>4614</v>
      </c>
      <c r="AF646" s="424"/>
      <c r="AG646" s="424"/>
      <c r="AH646" s="424"/>
    </row>
    <row r="647" spans="1:34" x14ac:dyDescent="0.25">
      <c r="A647" s="423" t="s">
        <v>4454</v>
      </c>
      <c r="B647" s="423" t="s">
        <v>4635</v>
      </c>
      <c r="C647" s="423" t="s">
        <v>70</v>
      </c>
      <c r="D647" s="423" t="s">
        <v>4456</v>
      </c>
      <c r="E647" s="423" t="s">
        <v>2818</v>
      </c>
      <c r="F647" s="423">
        <v>16</v>
      </c>
      <c r="G647" s="423">
        <v>63</v>
      </c>
      <c r="H647" s="423">
        <v>109</v>
      </c>
      <c r="J647" s="423"/>
      <c r="K647" s="423"/>
      <c r="L647" s="423"/>
      <c r="M647" s="423"/>
      <c r="Q647" s="423"/>
      <c r="R647" s="424" t="s">
        <v>4636</v>
      </c>
      <c r="S647" s="424" t="s">
        <v>2846</v>
      </c>
      <c r="T647" s="424" t="s">
        <v>4608</v>
      </c>
      <c r="U647" s="424">
        <v>0</v>
      </c>
      <c r="V647" s="424" t="s">
        <v>70</v>
      </c>
      <c r="W647" s="424" t="s">
        <v>3176</v>
      </c>
      <c r="X647" s="424" t="s">
        <v>2224</v>
      </c>
      <c r="Y647" s="424" t="s">
        <v>2279</v>
      </c>
      <c r="Z647" s="424" t="s">
        <v>2889</v>
      </c>
      <c r="AA647" s="424" t="s">
        <v>2890</v>
      </c>
      <c r="AB647" s="424" t="s">
        <v>4637</v>
      </c>
      <c r="AC647" s="424" t="s">
        <v>1953</v>
      </c>
      <c r="AD647" s="424" t="s">
        <v>2892</v>
      </c>
      <c r="AE647" s="424" t="s">
        <v>4631</v>
      </c>
      <c r="AF647" s="424"/>
      <c r="AG647" s="424"/>
      <c r="AH647" s="424"/>
    </row>
    <row r="648" spans="1:34" x14ac:dyDescent="0.25">
      <c r="A648" s="423" t="s">
        <v>4454</v>
      </c>
      <c r="B648" s="423" t="s">
        <v>4638</v>
      </c>
      <c r="C648" s="423" t="s">
        <v>70</v>
      </c>
      <c r="D648" s="423" t="s">
        <v>4456</v>
      </c>
      <c r="E648" s="423" t="s">
        <v>2818</v>
      </c>
      <c r="F648" s="423">
        <v>8</v>
      </c>
      <c r="G648" s="423">
        <v>15</v>
      </c>
      <c r="H648" s="423">
        <v>50</v>
      </c>
      <c r="J648" s="423"/>
      <c r="K648" s="423"/>
      <c r="L648" s="423"/>
      <c r="M648" s="423"/>
      <c r="Q648" s="423"/>
      <c r="R648" s="424" t="s">
        <v>4639</v>
      </c>
      <c r="S648" s="424" t="s">
        <v>2846</v>
      </c>
      <c r="T648" s="424" t="s">
        <v>4608</v>
      </c>
      <c r="U648" s="424">
        <v>0</v>
      </c>
      <c r="V648" s="424" t="s">
        <v>70</v>
      </c>
      <c r="W648" s="424" t="s">
        <v>2974</v>
      </c>
      <c r="X648" s="424" t="s">
        <v>3298</v>
      </c>
      <c r="Y648" s="424" t="s">
        <v>2279</v>
      </c>
      <c r="Z648" s="424" t="s">
        <v>2889</v>
      </c>
      <c r="AA648" s="424" t="s">
        <v>2890</v>
      </c>
      <c r="AB648" s="424" t="s">
        <v>4640</v>
      </c>
      <c r="AC648" s="424" t="s">
        <v>1953</v>
      </c>
      <c r="AD648" s="424" t="s">
        <v>2892</v>
      </c>
      <c r="AE648" s="424" t="s">
        <v>4641</v>
      </c>
      <c r="AF648" s="424"/>
      <c r="AG648" s="424"/>
      <c r="AH648" s="424"/>
    </row>
    <row r="649" spans="1:34" x14ac:dyDescent="0.25">
      <c r="A649" s="423" t="s">
        <v>4454</v>
      </c>
      <c r="B649" s="423" t="s">
        <v>4642</v>
      </c>
      <c r="C649" s="423" t="s">
        <v>70</v>
      </c>
      <c r="D649" s="423" t="s">
        <v>4456</v>
      </c>
      <c r="E649" s="423" t="s">
        <v>2818</v>
      </c>
      <c r="F649" s="423">
        <v>8</v>
      </c>
      <c r="G649" s="423">
        <v>15</v>
      </c>
      <c r="H649" s="423">
        <v>50</v>
      </c>
      <c r="J649" s="423"/>
      <c r="K649" s="423"/>
      <c r="L649" s="423"/>
      <c r="M649" s="423"/>
      <c r="Q649" s="423"/>
      <c r="R649" s="424" t="s">
        <v>4643</v>
      </c>
      <c r="S649" s="424" t="s">
        <v>2846</v>
      </c>
      <c r="T649" s="424" t="s">
        <v>4608</v>
      </c>
      <c r="U649" s="424">
        <v>0</v>
      </c>
      <c r="V649" s="424" t="s">
        <v>70</v>
      </c>
      <c r="W649" s="424" t="s">
        <v>2974</v>
      </c>
      <c r="X649" s="424" t="s">
        <v>3298</v>
      </c>
      <c r="Y649" s="424" t="s">
        <v>2279</v>
      </c>
      <c r="Z649" s="424" t="s">
        <v>2889</v>
      </c>
      <c r="AA649" s="424" t="s">
        <v>2890</v>
      </c>
      <c r="AB649" s="424" t="s">
        <v>4644</v>
      </c>
      <c r="AC649" s="424" t="s">
        <v>1953</v>
      </c>
      <c r="AD649" s="424" t="s">
        <v>2892</v>
      </c>
      <c r="AE649" s="424" t="s">
        <v>4645</v>
      </c>
      <c r="AF649" s="424"/>
      <c r="AG649" s="424"/>
      <c r="AH649" s="424"/>
    </row>
    <row r="650" spans="1:34" x14ac:dyDescent="0.25">
      <c r="A650" s="423" t="s">
        <v>4454</v>
      </c>
      <c r="B650" s="423" t="s">
        <v>4646</v>
      </c>
      <c r="C650" s="423" t="s">
        <v>70</v>
      </c>
      <c r="D650" s="423" t="s">
        <v>4456</v>
      </c>
      <c r="E650" s="423" t="s">
        <v>2818</v>
      </c>
      <c r="F650" s="423">
        <v>8</v>
      </c>
      <c r="G650" s="423">
        <v>15</v>
      </c>
      <c r="H650" s="423">
        <v>50</v>
      </c>
      <c r="J650" s="423"/>
      <c r="K650" s="423"/>
      <c r="L650" s="423"/>
      <c r="M650" s="423"/>
      <c r="Q650" s="423"/>
      <c r="R650" s="424" t="s">
        <v>4647</v>
      </c>
      <c r="S650" s="424" t="s">
        <v>2846</v>
      </c>
      <c r="T650" s="424" t="s">
        <v>4608</v>
      </c>
      <c r="U650" s="424">
        <v>0</v>
      </c>
      <c r="V650" s="424" t="s">
        <v>70</v>
      </c>
      <c r="W650" s="424" t="s">
        <v>3176</v>
      </c>
      <c r="X650" s="424" t="s">
        <v>3298</v>
      </c>
      <c r="Y650" s="424" t="s">
        <v>2279</v>
      </c>
      <c r="Z650" s="424" t="s">
        <v>2889</v>
      </c>
      <c r="AA650" s="424" t="s">
        <v>2890</v>
      </c>
      <c r="AB650" s="424" t="s">
        <v>4648</v>
      </c>
      <c r="AC650" s="424" t="s">
        <v>1953</v>
      </c>
      <c r="AD650" s="424" t="s">
        <v>2892</v>
      </c>
      <c r="AE650" s="424" t="s">
        <v>4614</v>
      </c>
      <c r="AF650" s="424"/>
      <c r="AG650" s="424"/>
      <c r="AH650" s="424"/>
    </row>
    <row r="651" spans="1:34" x14ac:dyDescent="0.25">
      <c r="A651" s="423" t="s">
        <v>4454</v>
      </c>
      <c r="B651" s="423" t="s">
        <v>4649</v>
      </c>
      <c r="C651" s="423" t="s">
        <v>70</v>
      </c>
      <c r="D651" s="423" t="s">
        <v>4456</v>
      </c>
      <c r="E651" s="423" t="s">
        <v>2818</v>
      </c>
      <c r="F651" s="423">
        <v>8</v>
      </c>
      <c r="G651" s="423">
        <v>15</v>
      </c>
      <c r="H651" s="423">
        <v>50</v>
      </c>
      <c r="J651" s="423"/>
      <c r="K651" s="423"/>
      <c r="L651" s="423"/>
      <c r="M651" s="423"/>
      <c r="Q651" s="423"/>
      <c r="R651" s="424" t="s">
        <v>4650</v>
      </c>
      <c r="S651" s="424" t="s">
        <v>2846</v>
      </c>
      <c r="T651" s="424" t="s">
        <v>4608</v>
      </c>
      <c r="U651" s="424">
        <v>0</v>
      </c>
      <c r="V651" s="424" t="s">
        <v>70</v>
      </c>
      <c r="W651" s="424" t="s">
        <v>3074</v>
      </c>
      <c r="X651" s="424" t="s">
        <v>3298</v>
      </c>
      <c r="Y651" s="424" t="s">
        <v>2279</v>
      </c>
      <c r="Z651" s="424" t="s">
        <v>2872</v>
      </c>
      <c r="AA651" s="424" t="s">
        <v>3197</v>
      </c>
      <c r="AB651" s="424" t="s">
        <v>3408</v>
      </c>
      <c r="AC651" s="424" t="s">
        <v>1953</v>
      </c>
      <c r="AD651" s="424" t="s">
        <v>2892</v>
      </c>
      <c r="AE651" s="424" t="s">
        <v>3348</v>
      </c>
      <c r="AF651" s="424"/>
      <c r="AG651" s="424"/>
      <c r="AH651" s="424"/>
    </row>
    <row r="652" spans="1:34" x14ac:dyDescent="0.25">
      <c r="A652" s="423" t="s">
        <v>4454</v>
      </c>
      <c r="B652" s="423" t="s">
        <v>4651</v>
      </c>
      <c r="C652" s="423" t="s">
        <v>70</v>
      </c>
      <c r="D652" s="423" t="s">
        <v>4456</v>
      </c>
      <c r="E652" s="423" t="s">
        <v>2818</v>
      </c>
      <c r="F652" s="423">
        <v>8</v>
      </c>
      <c r="G652" s="423">
        <v>15</v>
      </c>
      <c r="H652" s="423">
        <v>50</v>
      </c>
      <c r="J652" s="423"/>
      <c r="K652" s="423"/>
      <c r="L652" s="423"/>
      <c r="M652" s="423"/>
      <c r="Q652" s="423"/>
      <c r="R652" s="424" t="s">
        <v>4652</v>
      </c>
      <c r="S652" s="424" t="s">
        <v>2846</v>
      </c>
      <c r="T652" s="424" t="s">
        <v>4608</v>
      </c>
      <c r="U652" s="424">
        <v>0</v>
      </c>
      <c r="V652" s="424" t="s">
        <v>70</v>
      </c>
      <c r="W652" s="424" t="s">
        <v>3074</v>
      </c>
      <c r="X652" s="424" t="s">
        <v>3298</v>
      </c>
      <c r="Y652" s="424" t="s">
        <v>2279</v>
      </c>
      <c r="Z652" s="424" t="s">
        <v>2872</v>
      </c>
      <c r="AA652" s="424" t="s">
        <v>3197</v>
      </c>
      <c r="AB652" s="424" t="s">
        <v>3386</v>
      </c>
      <c r="AC652" s="424" t="s">
        <v>1953</v>
      </c>
      <c r="AD652" s="424" t="s">
        <v>2892</v>
      </c>
      <c r="AE652" s="424" t="s">
        <v>3387</v>
      </c>
      <c r="AF652" s="424"/>
      <c r="AG652" s="424"/>
      <c r="AH652" s="424"/>
    </row>
    <row r="653" spans="1:34" x14ac:dyDescent="0.25">
      <c r="A653" s="423" t="s">
        <v>4454</v>
      </c>
      <c r="B653" s="423" t="s">
        <v>4653</v>
      </c>
      <c r="C653" s="423" t="s">
        <v>70</v>
      </c>
      <c r="D653" s="423" t="s">
        <v>4456</v>
      </c>
      <c r="E653" s="423" t="s">
        <v>2818</v>
      </c>
      <c r="F653" s="423">
        <v>8</v>
      </c>
      <c r="G653" s="423">
        <v>15</v>
      </c>
      <c r="H653" s="423">
        <v>50</v>
      </c>
      <c r="J653" s="423"/>
      <c r="K653" s="423"/>
      <c r="L653" s="423"/>
      <c r="M653" s="423"/>
      <c r="Q653" s="423"/>
      <c r="R653" s="424" t="s">
        <v>4654</v>
      </c>
      <c r="S653" s="424" t="s">
        <v>2846</v>
      </c>
      <c r="T653" s="424" t="s">
        <v>4608</v>
      </c>
      <c r="U653" s="424">
        <v>0</v>
      </c>
      <c r="V653" s="424" t="s">
        <v>70</v>
      </c>
      <c r="W653" s="424" t="s">
        <v>3074</v>
      </c>
      <c r="X653" s="424" t="s">
        <v>3298</v>
      </c>
      <c r="Y653" s="424" t="s">
        <v>2279</v>
      </c>
      <c r="Z653" s="424" t="s">
        <v>2872</v>
      </c>
      <c r="AA653" s="424" t="s">
        <v>3197</v>
      </c>
      <c r="AB653" s="424" t="s">
        <v>3351</v>
      </c>
      <c r="AC653" s="424" t="s">
        <v>1953</v>
      </c>
      <c r="AD653" s="424" t="s">
        <v>2892</v>
      </c>
      <c r="AE653" s="424" t="s">
        <v>3348</v>
      </c>
      <c r="AF653" s="424"/>
      <c r="AG653" s="424"/>
      <c r="AH653" s="424"/>
    </row>
    <row r="654" spans="1:34" x14ac:dyDescent="0.25">
      <c r="A654" s="423" t="s">
        <v>4454</v>
      </c>
      <c r="B654" s="423" t="s">
        <v>4655</v>
      </c>
      <c r="C654" s="423" t="s">
        <v>70</v>
      </c>
      <c r="D654" s="423" t="s">
        <v>4456</v>
      </c>
      <c r="E654" s="423" t="s">
        <v>2818</v>
      </c>
      <c r="F654" s="423">
        <v>64</v>
      </c>
      <c r="G654" s="423">
        <v>125</v>
      </c>
      <c r="H654" s="423">
        <v>50</v>
      </c>
      <c r="J654" s="423"/>
      <c r="K654" s="423"/>
      <c r="L654" s="423"/>
      <c r="M654" s="423"/>
      <c r="Q654" s="423"/>
      <c r="R654" s="424" t="s">
        <v>4656</v>
      </c>
      <c r="S654" s="424" t="s">
        <v>2846</v>
      </c>
      <c r="T654" s="424" t="s">
        <v>4608</v>
      </c>
      <c r="U654" s="424">
        <v>0</v>
      </c>
      <c r="V654" s="424" t="s">
        <v>70</v>
      </c>
      <c r="W654" s="424" t="s">
        <v>2974</v>
      </c>
      <c r="X654" s="424" t="s">
        <v>2224</v>
      </c>
      <c r="Y654" s="424" t="s">
        <v>2279</v>
      </c>
      <c r="Z654" s="424" t="s">
        <v>2889</v>
      </c>
      <c r="AA654" s="424" t="s">
        <v>2890</v>
      </c>
      <c r="AB654" s="424" t="s">
        <v>4657</v>
      </c>
      <c r="AC654" s="424" t="s">
        <v>1953</v>
      </c>
      <c r="AD654" s="424" t="s">
        <v>2892</v>
      </c>
      <c r="AE654" s="424" t="s">
        <v>2893</v>
      </c>
      <c r="AF654" s="424"/>
      <c r="AG654" s="424"/>
      <c r="AH654" s="424"/>
    </row>
    <row r="655" spans="1:34" x14ac:dyDescent="0.25">
      <c r="A655" s="423" t="s">
        <v>4454</v>
      </c>
      <c r="B655" s="423" t="s">
        <v>4658</v>
      </c>
      <c r="C655" s="423" t="s">
        <v>70</v>
      </c>
      <c r="D655" s="423" t="s">
        <v>4456</v>
      </c>
      <c r="E655" s="423" t="s">
        <v>2818</v>
      </c>
      <c r="F655" s="423">
        <v>64</v>
      </c>
      <c r="G655" s="423">
        <v>125</v>
      </c>
      <c r="H655" s="423">
        <v>50</v>
      </c>
      <c r="J655" s="423"/>
      <c r="K655" s="423"/>
      <c r="L655" s="423"/>
      <c r="M655" s="423"/>
      <c r="Q655" s="423"/>
      <c r="R655" s="424" t="s">
        <v>4659</v>
      </c>
      <c r="S655" s="424" t="s">
        <v>2846</v>
      </c>
      <c r="T655" s="424" t="s">
        <v>4608</v>
      </c>
      <c r="U655" s="424">
        <v>0</v>
      </c>
      <c r="V655" s="424" t="s">
        <v>70</v>
      </c>
      <c r="W655" s="424" t="s">
        <v>3176</v>
      </c>
      <c r="X655" s="424" t="s">
        <v>2224</v>
      </c>
      <c r="Y655" s="424" t="s">
        <v>2279</v>
      </c>
      <c r="Z655" s="424" t="s">
        <v>2889</v>
      </c>
      <c r="AA655" s="424" t="s">
        <v>2890</v>
      </c>
      <c r="AB655" s="424" t="s">
        <v>4660</v>
      </c>
      <c r="AC655" s="424" t="s">
        <v>1953</v>
      </c>
      <c r="AD655" s="424" t="s">
        <v>2892</v>
      </c>
      <c r="AE655" s="424" t="s">
        <v>4627</v>
      </c>
      <c r="AF655" s="424"/>
      <c r="AG655" s="424"/>
      <c r="AH655" s="424"/>
    </row>
    <row r="656" spans="1:34" x14ac:dyDescent="0.25">
      <c r="A656" s="423" t="s">
        <v>4454</v>
      </c>
      <c r="B656" s="423" t="s">
        <v>4661</v>
      </c>
      <c r="C656" s="423" t="s">
        <v>70</v>
      </c>
      <c r="D656" s="423" t="s">
        <v>4456</v>
      </c>
      <c r="E656" s="423" t="s">
        <v>2818</v>
      </c>
      <c r="F656" s="423">
        <v>64</v>
      </c>
      <c r="G656" s="423">
        <v>125</v>
      </c>
      <c r="H656" s="423">
        <v>50</v>
      </c>
      <c r="J656" s="423"/>
      <c r="K656" s="423"/>
      <c r="L656" s="423"/>
      <c r="M656" s="423"/>
      <c r="Q656" s="423"/>
      <c r="R656" s="424" t="s">
        <v>4662</v>
      </c>
      <c r="S656" s="424" t="s">
        <v>2846</v>
      </c>
      <c r="T656" s="424" t="s">
        <v>4608</v>
      </c>
      <c r="U656" s="424">
        <v>0</v>
      </c>
      <c r="V656" s="424" t="s">
        <v>70</v>
      </c>
      <c r="W656" s="424" t="s">
        <v>2974</v>
      </c>
      <c r="X656" s="424" t="s">
        <v>2224</v>
      </c>
      <c r="Y656" s="424" t="s">
        <v>2279</v>
      </c>
      <c r="Z656" s="424" t="s">
        <v>2889</v>
      </c>
      <c r="AA656" s="424" t="s">
        <v>2890</v>
      </c>
      <c r="AB656" s="424" t="s">
        <v>4663</v>
      </c>
      <c r="AC656" s="424" t="s">
        <v>1953</v>
      </c>
      <c r="AD656" s="424" t="s">
        <v>2892</v>
      </c>
      <c r="AE656" s="424" t="s">
        <v>4641</v>
      </c>
      <c r="AF656" s="424"/>
      <c r="AG656" s="424"/>
      <c r="AH656" s="424"/>
    </row>
    <row r="657" spans="1:34" x14ac:dyDescent="0.25">
      <c r="A657" s="423" t="s">
        <v>4454</v>
      </c>
      <c r="B657" s="423" t="s">
        <v>4664</v>
      </c>
      <c r="C657" s="423" t="s">
        <v>70</v>
      </c>
      <c r="D657" s="423" t="s">
        <v>4456</v>
      </c>
      <c r="E657" s="423" t="s">
        <v>2818</v>
      </c>
      <c r="F657" s="423">
        <v>32</v>
      </c>
      <c r="G657" s="423">
        <v>62</v>
      </c>
      <c r="H657" s="423">
        <v>394</v>
      </c>
      <c r="J657" s="423"/>
      <c r="K657" s="423"/>
      <c r="L657" s="423"/>
      <c r="M657" s="423"/>
      <c r="Q657" s="423"/>
      <c r="R657" s="424" t="s">
        <v>4665</v>
      </c>
      <c r="S657" s="424" t="s">
        <v>2846</v>
      </c>
      <c r="T657" s="424" t="s">
        <v>4608</v>
      </c>
      <c r="U657" s="424">
        <v>0</v>
      </c>
      <c r="V657" s="424" t="s">
        <v>70</v>
      </c>
      <c r="W657" s="424" t="s">
        <v>2974</v>
      </c>
      <c r="X657" s="424" t="s">
        <v>2224</v>
      </c>
      <c r="Y657" s="424" t="s">
        <v>2279</v>
      </c>
      <c r="Z657" s="424" t="s">
        <v>2889</v>
      </c>
      <c r="AA657" s="424" t="s">
        <v>2890</v>
      </c>
      <c r="AB657" s="424" t="s">
        <v>4666</v>
      </c>
      <c r="AC657" s="424" t="s">
        <v>1953</v>
      </c>
      <c r="AD657" s="424" t="s">
        <v>2892</v>
      </c>
      <c r="AE657" s="424" t="s">
        <v>4641</v>
      </c>
      <c r="AF657" s="424"/>
      <c r="AG657" s="424"/>
      <c r="AH657" s="424"/>
    </row>
    <row r="658" spans="1:34" x14ac:dyDescent="0.25">
      <c r="A658" s="423" t="s">
        <v>4454</v>
      </c>
      <c r="B658" s="423" t="s">
        <v>4667</v>
      </c>
      <c r="C658" s="423" t="s">
        <v>70</v>
      </c>
      <c r="D658" s="423" t="s">
        <v>4456</v>
      </c>
      <c r="E658" s="423" t="s">
        <v>2818</v>
      </c>
      <c r="F658" s="423">
        <v>32</v>
      </c>
      <c r="G658" s="423">
        <v>62</v>
      </c>
      <c r="H658" s="423">
        <v>394</v>
      </c>
      <c r="J658" s="423"/>
      <c r="K658" s="423"/>
      <c r="L658" s="423"/>
      <c r="M658" s="423"/>
      <c r="Q658" s="423"/>
      <c r="R658" s="424" t="s">
        <v>4668</v>
      </c>
      <c r="S658" s="424" t="s">
        <v>2846</v>
      </c>
      <c r="T658" s="424" t="s">
        <v>4608</v>
      </c>
      <c r="U658" s="424">
        <v>0</v>
      </c>
      <c r="V658" s="424" t="s">
        <v>70</v>
      </c>
      <c r="W658" s="424" t="s">
        <v>3176</v>
      </c>
      <c r="X658" s="424" t="s">
        <v>2224</v>
      </c>
      <c r="Y658" s="424" t="s">
        <v>2279</v>
      </c>
      <c r="Z658" s="424" t="s">
        <v>2889</v>
      </c>
      <c r="AA658" s="424" t="s">
        <v>2890</v>
      </c>
      <c r="AB658" s="424" t="s">
        <v>4669</v>
      </c>
      <c r="AC658" s="424" t="s">
        <v>1953</v>
      </c>
      <c r="AD658" s="424" t="s">
        <v>2892</v>
      </c>
      <c r="AE658" s="424" t="s">
        <v>4627</v>
      </c>
      <c r="AF658" s="424"/>
      <c r="AG658" s="424"/>
      <c r="AH658" s="424"/>
    </row>
    <row r="659" spans="1:34" x14ac:dyDescent="0.25">
      <c r="A659" s="423" t="s">
        <v>4454</v>
      </c>
      <c r="B659" s="423" t="s">
        <v>4670</v>
      </c>
      <c r="C659" s="423" t="s">
        <v>70</v>
      </c>
      <c r="D659" s="423" t="s">
        <v>4456</v>
      </c>
      <c r="E659" s="423" t="s">
        <v>2818</v>
      </c>
      <c r="F659" s="423">
        <v>8</v>
      </c>
      <c r="G659" s="423">
        <v>17</v>
      </c>
      <c r="H659" s="423">
        <v>50</v>
      </c>
      <c r="J659" s="423"/>
      <c r="K659" s="423"/>
      <c r="L659" s="423"/>
      <c r="M659" s="423"/>
      <c r="Q659" s="423"/>
      <c r="R659" s="424" t="s">
        <v>4671</v>
      </c>
      <c r="S659" s="424" t="s">
        <v>2846</v>
      </c>
      <c r="T659" s="424" t="s">
        <v>4608</v>
      </c>
      <c r="U659" s="424">
        <v>0</v>
      </c>
      <c r="V659" s="424" t="s">
        <v>70</v>
      </c>
      <c r="W659" s="424" t="s">
        <v>2974</v>
      </c>
      <c r="X659" s="424" t="s">
        <v>3298</v>
      </c>
      <c r="Y659" s="424" t="s">
        <v>2279</v>
      </c>
      <c r="Z659" s="424" t="s">
        <v>2889</v>
      </c>
      <c r="AA659" s="424" t="s">
        <v>2890</v>
      </c>
      <c r="AB659" s="424" t="s">
        <v>4672</v>
      </c>
      <c r="AC659" s="424" t="s">
        <v>1953</v>
      </c>
      <c r="AD659" s="424" t="s">
        <v>2892</v>
      </c>
      <c r="AE659" s="424" t="s">
        <v>4645</v>
      </c>
      <c r="AF659" s="424"/>
      <c r="AG659" s="424"/>
      <c r="AH659" s="424"/>
    </row>
    <row r="660" spans="1:34" x14ac:dyDescent="0.25">
      <c r="A660" s="423" t="s">
        <v>4454</v>
      </c>
      <c r="B660" s="423" t="s">
        <v>4673</v>
      </c>
      <c r="C660" s="423" t="s">
        <v>70</v>
      </c>
      <c r="D660" s="423" t="s">
        <v>4456</v>
      </c>
      <c r="E660" s="423" t="s">
        <v>2818</v>
      </c>
      <c r="F660" s="423">
        <v>16</v>
      </c>
      <c r="G660" s="423">
        <v>15</v>
      </c>
      <c r="H660" s="423">
        <v>50</v>
      </c>
      <c r="J660" s="423"/>
      <c r="K660" s="423"/>
      <c r="L660" s="423"/>
      <c r="M660" s="423"/>
      <c r="Q660" s="423"/>
      <c r="R660" s="424" t="s">
        <v>4674</v>
      </c>
      <c r="S660" s="424" t="s">
        <v>2846</v>
      </c>
      <c r="T660" s="424" t="s">
        <v>4608</v>
      </c>
      <c r="U660" s="424">
        <v>0</v>
      </c>
      <c r="V660" s="424" t="s">
        <v>70</v>
      </c>
      <c r="W660" s="424" t="s">
        <v>3176</v>
      </c>
      <c r="X660" s="424" t="s">
        <v>3298</v>
      </c>
      <c r="Y660" s="424" t="s">
        <v>2279</v>
      </c>
      <c r="Z660" s="424" t="s">
        <v>2889</v>
      </c>
      <c r="AA660" s="424" t="s">
        <v>2890</v>
      </c>
      <c r="AB660" s="424" t="s">
        <v>4675</v>
      </c>
      <c r="AC660" s="424" t="s">
        <v>1953</v>
      </c>
      <c r="AD660" s="424" t="s">
        <v>2892</v>
      </c>
      <c r="AE660" s="424" t="s">
        <v>4614</v>
      </c>
      <c r="AF660" s="424"/>
      <c r="AG660" s="424"/>
      <c r="AH660" s="424"/>
    </row>
    <row r="661" spans="1:34" x14ac:dyDescent="0.25">
      <c r="A661" s="423" t="s">
        <v>4454</v>
      </c>
      <c r="B661" s="423" t="s">
        <v>4676</v>
      </c>
      <c r="C661" s="423" t="s">
        <v>70</v>
      </c>
      <c r="D661" s="423" t="s">
        <v>4456</v>
      </c>
      <c r="E661" s="423" t="s">
        <v>2818</v>
      </c>
      <c r="F661" s="423">
        <v>32</v>
      </c>
      <c r="G661" s="423">
        <v>18</v>
      </c>
      <c r="H661" s="423">
        <v>50</v>
      </c>
      <c r="J661" s="423"/>
      <c r="K661" s="423"/>
      <c r="L661" s="423"/>
      <c r="M661" s="423"/>
      <c r="Q661" s="423"/>
      <c r="R661" s="424" t="s">
        <v>4677</v>
      </c>
      <c r="S661" s="424" t="s">
        <v>2846</v>
      </c>
      <c r="T661" s="424" t="s">
        <v>4608</v>
      </c>
      <c r="U661" s="424">
        <v>0</v>
      </c>
      <c r="V661" s="424" t="s">
        <v>70</v>
      </c>
      <c r="W661" s="424" t="s">
        <v>2974</v>
      </c>
      <c r="X661" s="424" t="s">
        <v>3298</v>
      </c>
      <c r="Y661" s="424" t="s">
        <v>2279</v>
      </c>
      <c r="Z661" s="424" t="s">
        <v>2889</v>
      </c>
      <c r="AA661" s="424" t="s">
        <v>2890</v>
      </c>
      <c r="AB661" s="424" t="s">
        <v>4678</v>
      </c>
      <c r="AC661" s="424" t="s">
        <v>1953</v>
      </c>
      <c r="AD661" s="424" t="s">
        <v>2892</v>
      </c>
      <c r="AE661" s="424" t="s">
        <v>4679</v>
      </c>
      <c r="AF661" s="424"/>
      <c r="AG661" s="424"/>
      <c r="AH661" s="424"/>
    </row>
    <row r="662" spans="1:34" x14ac:dyDescent="0.25">
      <c r="A662" s="423" t="s">
        <v>4454</v>
      </c>
      <c r="B662" s="423" t="s">
        <v>4680</v>
      </c>
      <c r="C662" s="423" t="s">
        <v>70</v>
      </c>
      <c r="D662" s="423" t="s">
        <v>4456</v>
      </c>
      <c r="E662" s="423" t="s">
        <v>2818</v>
      </c>
      <c r="F662" s="423">
        <v>16</v>
      </c>
      <c r="G662" s="423">
        <v>63</v>
      </c>
      <c r="H662" s="423">
        <v>109</v>
      </c>
      <c r="J662" s="423"/>
      <c r="K662" s="423"/>
      <c r="L662" s="423"/>
      <c r="M662" s="423"/>
      <c r="Q662" s="423"/>
      <c r="R662" s="424" t="s">
        <v>4681</v>
      </c>
      <c r="S662" s="424" t="s">
        <v>2846</v>
      </c>
      <c r="T662" s="424" t="s">
        <v>3356</v>
      </c>
      <c r="U662" s="424">
        <v>0</v>
      </c>
      <c r="V662" s="424" t="s">
        <v>70</v>
      </c>
      <c r="W662" s="424" t="s">
        <v>2974</v>
      </c>
      <c r="X662" s="424" t="s">
        <v>2224</v>
      </c>
      <c r="Y662" s="424" t="s">
        <v>2279</v>
      </c>
      <c r="Z662" s="424" t="s">
        <v>2889</v>
      </c>
      <c r="AA662" s="424" t="s">
        <v>2890</v>
      </c>
      <c r="AB662" s="424" t="s">
        <v>4682</v>
      </c>
      <c r="AC662" s="424" t="s">
        <v>1953</v>
      </c>
      <c r="AD662" s="424" t="s">
        <v>2892</v>
      </c>
      <c r="AE662" s="424" t="s">
        <v>4645</v>
      </c>
      <c r="AF662" s="424"/>
      <c r="AG662" s="424"/>
      <c r="AH662" s="424"/>
    </row>
    <row r="663" spans="1:34" x14ac:dyDescent="0.25">
      <c r="A663" s="423" t="s">
        <v>4454</v>
      </c>
      <c r="B663" s="423" t="s">
        <v>4683</v>
      </c>
      <c r="C663" s="423" t="s">
        <v>70</v>
      </c>
      <c r="D663" s="423" t="s">
        <v>4456</v>
      </c>
      <c r="E663" s="423" t="s">
        <v>2818</v>
      </c>
      <c r="F663" s="423">
        <v>16</v>
      </c>
      <c r="G663" s="423">
        <v>63</v>
      </c>
      <c r="H663" s="423">
        <v>109</v>
      </c>
      <c r="J663" s="423"/>
      <c r="K663" s="423"/>
      <c r="L663" s="423"/>
      <c r="M663" s="423"/>
      <c r="Q663" s="423"/>
      <c r="R663" s="424" t="s">
        <v>4684</v>
      </c>
      <c r="S663" s="424" t="s">
        <v>2846</v>
      </c>
      <c r="T663" s="424" t="s">
        <v>3356</v>
      </c>
      <c r="U663" s="424">
        <v>0</v>
      </c>
      <c r="V663" s="424" t="s">
        <v>70</v>
      </c>
      <c r="W663" s="424" t="s">
        <v>3176</v>
      </c>
      <c r="X663" s="424" t="s">
        <v>2224</v>
      </c>
      <c r="Y663" s="424" t="s">
        <v>2279</v>
      </c>
      <c r="Z663" s="424" t="s">
        <v>2889</v>
      </c>
      <c r="AA663" s="424" t="s">
        <v>2890</v>
      </c>
      <c r="AB663" s="424" t="s">
        <v>4634</v>
      </c>
      <c r="AC663" s="424" t="s">
        <v>1953</v>
      </c>
      <c r="AD663" s="424" t="s">
        <v>2892</v>
      </c>
      <c r="AE663" s="424" t="s">
        <v>4614</v>
      </c>
      <c r="AF663" s="424"/>
      <c r="AG663" s="424"/>
      <c r="AH663" s="424"/>
    </row>
    <row r="664" spans="1:34" x14ac:dyDescent="0.25">
      <c r="A664" s="423" t="s">
        <v>4454</v>
      </c>
      <c r="B664" s="423" t="s">
        <v>4685</v>
      </c>
      <c r="C664" s="423" t="s">
        <v>70</v>
      </c>
      <c r="D664" s="423" t="s">
        <v>4456</v>
      </c>
      <c r="E664" s="423" t="s">
        <v>2818</v>
      </c>
      <c r="F664" s="423">
        <v>16</v>
      </c>
      <c r="G664" s="423">
        <v>63</v>
      </c>
      <c r="H664" s="423">
        <v>109</v>
      </c>
      <c r="J664" s="423"/>
      <c r="K664" s="423"/>
      <c r="L664" s="423"/>
      <c r="M664" s="423"/>
      <c r="Q664" s="423"/>
      <c r="R664" s="424" t="s">
        <v>4686</v>
      </c>
      <c r="S664" s="424" t="s">
        <v>2846</v>
      </c>
      <c r="T664" s="424" t="s">
        <v>3356</v>
      </c>
      <c r="U664" s="424">
        <v>0</v>
      </c>
      <c r="V664" s="424" t="s">
        <v>70</v>
      </c>
      <c r="W664" s="424" t="s">
        <v>2974</v>
      </c>
      <c r="X664" s="424" t="s">
        <v>2224</v>
      </c>
      <c r="Y664" s="424" t="s">
        <v>2279</v>
      </c>
      <c r="Z664" s="424" t="s">
        <v>2889</v>
      </c>
      <c r="AA664" s="424" t="s">
        <v>2890</v>
      </c>
      <c r="AB664" s="424" t="s">
        <v>4687</v>
      </c>
      <c r="AC664" s="424" t="s">
        <v>1953</v>
      </c>
      <c r="AD664" s="424" t="s">
        <v>2892</v>
      </c>
      <c r="AE664" s="424" t="s">
        <v>4645</v>
      </c>
      <c r="AF664" s="424"/>
      <c r="AG664" s="424"/>
      <c r="AH664" s="424"/>
    </row>
    <row r="665" spans="1:34" x14ac:dyDescent="0.25">
      <c r="A665" s="423" t="s">
        <v>4454</v>
      </c>
      <c r="B665" s="423" t="s">
        <v>4688</v>
      </c>
      <c r="C665" s="423" t="s">
        <v>70</v>
      </c>
      <c r="D665" s="423" t="s">
        <v>4456</v>
      </c>
      <c r="E665" s="423" t="s">
        <v>2818</v>
      </c>
      <c r="F665" s="423">
        <v>16</v>
      </c>
      <c r="G665" s="423">
        <v>63</v>
      </c>
      <c r="H665" s="423">
        <v>109</v>
      </c>
      <c r="J665" s="423"/>
      <c r="K665" s="423"/>
      <c r="L665" s="423"/>
      <c r="M665" s="423"/>
      <c r="Q665" s="423"/>
      <c r="R665" s="424" t="s">
        <v>4689</v>
      </c>
      <c r="S665" s="424" t="s">
        <v>2846</v>
      </c>
      <c r="T665" s="424" t="s">
        <v>3356</v>
      </c>
      <c r="U665" s="424">
        <v>0</v>
      </c>
      <c r="V665" s="424" t="s">
        <v>70</v>
      </c>
      <c r="W665" s="424" t="s">
        <v>3054</v>
      </c>
      <c r="X665" s="424" t="s">
        <v>2224</v>
      </c>
      <c r="Y665" s="424" t="s">
        <v>2279</v>
      </c>
      <c r="Z665" s="424" t="s">
        <v>2889</v>
      </c>
      <c r="AA665" s="424" t="s">
        <v>2890</v>
      </c>
      <c r="AB665" s="424" t="s">
        <v>4690</v>
      </c>
      <c r="AC665" s="424" t="s">
        <v>1953</v>
      </c>
      <c r="AD665" s="424" t="s">
        <v>2892</v>
      </c>
      <c r="AE665" s="424" t="s">
        <v>4627</v>
      </c>
      <c r="AF665" s="424"/>
      <c r="AG665" s="424"/>
      <c r="AH665" s="424"/>
    </row>
    <row r="666" spans="1:34" x14ac:dyDescent="0.25">
      <c r="A666" s="423" t="s">
        <v>4454</v>
      </c>
      <c r="B666" s="423" t="s">
        <v>4691</v>
      </c>
      <c r="C666" s="423" t="s">
        <v>70</v>
      </c>
      <c r="D666" s="423" t="s">
        <v>4456</v>
      </c>
      <c r="E666" s="423" t="s">
        <v>2818</v>
      </c>
      <c r="F666" s="423">
        <v>16</v>
      </c>
      <c r="G666" s="423">
        <v>63</v>
      </c>
      <c r="H666" s="423">
        <v>109</v>
      </c>
      <c r="J666" s="423"/>
      <c r="K666" s="423"/>
      <c r="L666" s="423"/>
      <c r="M666" s="423"/>
      <c r="Q666" s="423"/>
      <c r="R666" s="424" t="s">
        <v>4692</v>
      </c>
      <c r="S666" s="424" t="s">
        <v>2846</v>
      </c>
      <c r="T666" s="424" t="s">
        <v>3356</v>
      </c>
      <c r="U666" s="424">
        <v>0</v>
      </c>
      <c r="V666" s="424" t="s">
        <v>70</v>
      </c>
      <c r="W666" s="424" t="s">
        <v>2974</v>
      </c>
      <c r="X666" s="424" t="s">
        <v>2224</v>
      </c>
      <c r="Y666" s="424" t="s">
        <v>2279</v>
      </c>
      <c r="Z666" s="424" t="s">
        <v>2889</v>
      </c>
      <c r="AA666" s="424" t="s">
        <v>2890</v>
      </c>
      <c r="AB666" s="424" t="s">
        <v>4693</v>
      </c>
      <c r="AC666" s="424" t="s">
        <v>1953</v>
      </c>
      <c r="AD666" s="424" t="s">
        <v>2892</v>
      </c>
      <c r="AE666" s="424" t="s">
        <v>4641</v>
      </c>
      <c r="AF666" s="424"/>
      <c r="AG666" s="424"/>
      <c r="AH666" s="424"/>
    </row>
    <row r="667" spans="1:34" x14ac:dyDescent="0.25">
      <c r="A667" s="423" t="s">
        <v>4454</v>
      </c>
      <c r="B667" s="423" t="s">
        <v>4694</v>
      </c>
      <c r="C667" s="423" t="s">
        <v>70</v>
      </c>
      <c r="D667" s="423" t="s">
        <v>4456</v>
      </c>
      <c r="E667" s="423" t="s">
        <v>2818</v>
      </c>
      <c r="F667" s="423">
        <v>16</v>
      </c>
      <c r="G667" s="423">
        <v>63</v>
      </c>
      <c r="H667" s="423">
        <v>109</v>
      </c>
      <c r="J667" s="423"/>
      <c r="K667" s="423"/>
      <c r="L667" s="423"/>
      <c r="M667" s="423"/>
      <c r="Q667" s="423"/>
      <c r="R667" s="424" t="s">
        <v>4695</v>
      </c>
      <c r="S667" s="424" t="s">
        <v>2846</v>
      </c>
      <c r="T667" s="424" t="s">
        <v>3356</v>
      </c>
      <c r="U667" s="424">
        <v>0</v>
      </c>
      <c r="V667" s="424" t="s">
        <v>70</v>
      </c>
      <c r="W667" s="424" t="s">
        <v>2974</v>
      </c>
      <c r="X667" s="424" t="s">
        <v>2224</v>
      </c>
      <c r="Y667" s="424" t="s">
        <v>2279</v>
      </c>
      <c r="Z667" s="424" t="s">
        <v>2889</v>
      </c>
      <c r="AA667" s="424" t="s">
        <v>2890</v>
      </c>
      <c r="AB667" s="424" t="s">
        <v>4696</v>
      </c>
      <c r="AC667" s="424" t="s">
        <v>1953</v>
      </c>
      <c r="AD667" s="424" t="s">
        <v>2892</v>
      </c>
      <c r="AE667" s="424" t="s">
        <v>4641</v>
      </c>
      <c r="AF667" s="424"/>
      <c r="AG667" s="424"/>
      <c r="AH667" s="424"/>
    </row>
    <row r="668" spans="1:34" x14ac:dyDescent="0.25">
      <c r="A668" s="423" t="s">
        <v>4454</v>
      </c>
      <c r="B668" s="423" t="s">
        <v>4697</v>
      </c>
      <c r="C668" s="423" t="s">
        <v>70</v>
      </c>
      <c r="D668" s="423" t="s">
        <v>4456</v>
      </c>
      <c r="E668" s="423" t="s">
        <v>2818</v>
      </c>
      <c r="F668" s="423">
        <v>8</v>
      </c>
      <c r="G668" s="423">
        <v>15</v>
      </c>
      <c r="H668" s="423">
        <v>50</v>
      </c>
      <c r="J668" s="423"/>
      <c r="K668" s="423"/>
      <c r="L668" s="423"/>
      <c r="M668" s="423"/>
      <c r="Q668" s="423"/>
      <c r="R668" s="424" t="s">
        <v>4698</v>
      </c>
      <c r="S668" s="424" t="s">
        <v>2846</v>
      </c>
      <c r="T668" s="424" t="s">
        <v>3356</v>
      </c>
      <c r="U668" s="424">
        <v>0</v>
      </c>
      <c r="V668" s="424" t="s">
        <v>70</v>
      </c>
      <c r="W668" s="424" t="s">
        <v>3176</v>
      </c>
      <c r="X668" s="424" t="s">
        <v>3298</v>
      </c>
      <c r="Y668" s="424" t="s">
        <v>2279</v>
      </c>
      <c r="Z668" s="424" t="s">
        <v>2889</v>
      </c>
      <c r="AA668" s="424" t="s">
        <v>2890</v>
      </c>
      <c r="AB668" s="424" t="s">
        <v>4699</v>
      </c>
      <c r="AC668" s="424" t="s">
        <v>1953</v>
      </c>
      <c r="AD668" s="424" t="s">
        <v>2892</v>
      </c>
      <c r="AE668" s="424" t="s">
        <v>4631</v>
      </c>
      <c r="AF668" s="424"/>
      <c r="AG668" s="424"/>
      <c r="AH668" s="424"/>
    </row>
    <row r="669" spans="1:34" x14ac:dyDescent="0.25">
      <c r="A669" s="423" t="s">
        <v>4454</v>
      </c>
      <c r="B669" s="423" t="s">
        <v>4700</v>
      </c>
      <c r="C669" s="423" t="s">
        <v>70</v>
      </c>
      <c r="D669" s="423" t="s">
        <v>4456</v>
      </c>
      <c r="E669" s="423" t="s">
        <v>2818</v>
      </c>
      <c r="F669" s="423">
        <v>8</v>
      </c>
      <c r="G669" s="423">
        <v>15</v>
      </c>
      <c r="H669" s="423">
        <v>50</v>
      </c>
      <c r="J669" s="423"/>
      <c r="K669" s="423"/>
      <c r="L669" s="423"/>
      <c r="M669" s="423"/>
      <c r="Q669" s="423"/>
      <c r="R669" s="424" t="s">
        <v>4701</v>
      </c>
      <c r="S669" s="424" t="s">
        <v>2846</v>
      </c>
      <c r="T669" s="424" t="s">
        <v>3356</v>
      </c>
      <c r="U669" s="424">
        <v>0</v>
      </c>
      <c r="V669" s="424" t="s">
        <v>70</v>
      </c>
      <c r="W669" s="424" t="s">
        <v>3176</v>
      </c>
      <c r="X669" s="424" t="s">
        <v>3298</v>
      </c>
      <c r="Y669" s="424" t="s">
        <v>2279</v>
      </c>
      <c r="Z669" s="424" t="s">
        <v>2889</v>
      </c>
      <c r="AA669" s="424" t="s">
        <v>2890</v>
      </c>
      <c r="AB669" s="424" t="s">
        <v>4702</v>
      </c>
      <c r="AC669" s="424" t="s">
        <v>1953</v>
      </c>
      <c r="AD669" s="424" t="s">
        <v>2892</v>
      </c>
      <c r="AE669" s="424" t="s">
        <v>4614</v>
      </c>
      <c r="AF669" s="424"/>
      <c r="AG669" s="424"/>
      <c r="AH669" s="424"/>
    </row>
    <row r="670" spans="1:34" x14ac:dyDescent="0.25">
      <c r="A670" s="423" t="s">
        <v>4454</v>
      </c>
      <c r="B670" s="423" t="s">
        <v>4703</v>
      </c>
      <c r="C670" s="423" t="s">
        <v>70</v>
      </c>
      <c r="D670" s="423" t="s">
        <v>4456</v>
      </c>
      <c r="E670" s="423" t="s">
        <v>2818</v>
      </c>
      <c r="F670" s="423">
        <v>8</v>
      </c>
      <c r="G670" s="423">
        <v>15</v>
      </c>
      <c r="H670" s="423">
        <v>50</v>
      </c>
      <c r="J670" s="423"/>
      <c r="K670" s="423"/>
      <c r="L670" s="423"/>
      <c r="M670" s="423"/>
      <c r="Q670" s="423"/>
      <c r="R670" s="424" t="s">
        <v>4704</v>
      </c>
      <c r="S670" s="424" t="s">
        <v>2846</v>
      </c>
      <c r="T670" s="424" t="s">
        <v>3356</v>
      </c>
      <c r="U670" s="424">
        <v>0</v>
      </c>
      <c r="V670" s="424" t="s">
        <v>70</v>
      </c>
      <c r="W670" s="424" t="s">
        <v>3176</v>
      </c>
      <c r="X670" s="424" t="s">
        <v>3298</v>
      </c>
      <c r="Y670" s="424" t="s">
        <v>2279</v>
      </c>
      <c r="Z670" s="424" t="s">
        <v>2889</v>
      </c>
      <c r="AA670" s="424" t="s">
        <v>2890</v>
      </c>
      <c r="AB670" s="424" t="s">
        <v>4637</v>
      </c>
      <c r="AC670" s="424" t="s">
        <v>1953</v>
      </c>
      <c r="AD670" s="424" t="s">
        <v>2892</v>
      </c>
      <c r="AE670" s="424" t="s">
        <v>4631</v>
      </c>
      <c r="AF670" s="424"/>
      <c r="AG670" s="424"/>
      <c r="AH670" s="424"/>
    </row>
    <row r="671" spans="1:34" x14ac:dyDescent="0.25">
      <c r="A671" s="423" t="s">
        <v>4454</v>
      </c>
      <c r="B671" s="423" t="s">
        <v>4705</v>
      </c>
      <c r="C671" s="423" t="s">
        <v>70</v>
      </c>
      <c r="D671" s="423" t="s">
        <v>4456</v>
      </c>
      <c r="E671" s="423" t="s">
        <v>2818</v>
      </c>
      <c r="F671" s="423">
        <v>16</v>
      </c>
      <c r="G671" s="423">
        <v>63</v>
      </c>
      <c r="H671" s="423">
        <v>109</v>
      </c>
      <c r="J671" s="423"/>
      <c r="K671" s="423"/>
      <c r="L671" s="423"/>
      <c r="M671" s="423"/>
      <c r="Q671" s="423"/>
      <c r="R671" s="424" t="s">
        <v>4706</v>
      </c>
      <c r="S671" s="424" t="s">
        <v>2846</v>
      </c>
      <c r="T671" s="424" t="s">
        <v>3356</v>
      </c>
      <c r="U671" s="424">
        <v>0</v>
      </c>
      <c r="V671" s="424" t="s">
        <v>70</v>
      </c>
      <c r="W671" s="424" t="s">
        <v>3176</v>
      </c>
      <c r="X671" s="424" t="s">
        <v>2224</v>
      </c>
      <c r="Y671" s="424" t="s">
        <v>2279</v>
      </c>
      <c r="Z671" s="424" t="s">
        <v>2889</v>
      </c>
      <c r="AA671" s="424" t="s">
        <v>2890</v>
      </c>
      <c r="AB671" s="424" t="s">
        <v>4613</v>
      </c>
      <c r="AC671" s="424" t="s">
        <v>1953</v>
      </c>
      <c r="AD671" s="424" t="s">
        <v>2892</v>
      </c>
      <c r="AE671" s="424" t="s">
        <v>4614</v>
      </c>
      <c r="AF671" s="424"/>
      <c r="AG671" s="424"/>
      <c r="AH671" s="424"/>
    </row>
    <row r="672" spans="1:34" x14ac:dyDescent="0.25">
      <c r="A672" s="423" t="s">
        <v>4454</v>
      </c>
      <c r="B672" s="423" t="s">
        <v>4707</v>
      </c>
      <c r="C672" s="423" t="s">
        <v>70</v>
      </c>
      <c r="D672" s="423" t="s">
        <v>4456</v>
      </c>
      <c r="E672" s="423" t="s">
        <v>2818</v>
      </c>
      <c r="F672" s="423">
        <v>16</v>
      </c>
      <c r="G672" s="423">
        <v>63</v>
      </c>
      <c r="H672" s="423">
        <v>109</v>
      </c>
      <c r="J672" s="423"/>
      <c r="K672" s="423"/>
      <c r="L672" s="423"/>
      <c r="M672" s="423"/>
      <c r="Q672" s="423"/>
      <c r="R672" s="424" t="s">
        <v>4708</v>
      </c>
      <c r="S672" s="424" t="s">
        <v>2846</v>
      </c>
      <c r="T672" s="424" t="s">
        <v>3356</v>
      </c>
      <c r="U672" s="424">
        <v>0</v>
      </c>
      <c r="V672" s="424" t="s">
        <v>70</v>
      </c>
      <c r="W672" s="424" t="s">
        <v>3176</v>
      </c>
      <c r="X672" s="424" t="s">
        <v>2224</v>
      </c>
      <c r="Y672" s="424" t="s">
        <v>2279</v>
      </c>
      <c r="Z672" s="424" t="s">
        <v>2889</v>
      </c>
      <c r="AA672" s="424" t="s">
        <v>2890</v>
      </c>
      <c r="AB672" s="424" t="s">
        <v>4709</v>
      </c>
      <c r="AC672" s="424" t="s">
        <v>1953</v>
      </c>
      <c r="AD672" s="424" t="s">
        <v>2892</v>
      </c>
      <c r="AE672" s="424" t="s">
        <v>4631</v>
      </c>
      <c r="AF672" s="424"/>
      <c r="AG672" s="424"/>
      <c r="AH672" s="424"/>
    </row>
    <row r="673" spans="1:34" x14ac:dyDescent="0.25">
      <c r="A673" s="423" t="s">
        <v>4454</v>
      </c>
      <c r="B673" s="423" t="s">
        <v>4710</v>
      </c>
      <c r="C673" s="423" t="s">
        <v>70</v>
      </c>
      <c r="D673" s="423" t="s">
        <v>4456</v>
      </c>
      <c r="E673" s="423" t="s">
        <v>2818</v>
      </c>
      <c r="F673" s="423">
        <v>16</v>
      </c>
      <c r="G673" s="423">
        <v>63</v>
      </c>
      <c r="H673" s="423">
        <v>109</v>
      </c>
      <c r="J673" s="423"/>
      <c r="K673" s="423"/>
      <c r="L673" s="423"/>
      <c r="M673" s="423"/>
      <c r="Q673" s="423"/>
      <c r="R673" s="424" t="s">
        <v>4711</v>
      </c>
      <c r="S673" s="424" t="s">
        <v>2846</v>
      </c>
      <c r="T673" s="424" t="s">
        <v>3356</v>
      </c>
      <c r="U673" s="424">
        <v>0</v>
      </c>
      <c r="V673" s="424" t="s">
        <v>70</v>
      </c>
      <c r="W673" s="424" t="s">
        <v>3176</v>
      </c>
      <c r="X673" s="424" t="s">
        <v>2224</v>
      </c>
      <c r="Y673" s="424" t="s">
        <v>2279</v>
      </c>
      <c r="Z673" s="424" t="s">
        <v>2889</v>
      </c>
      <c r="AA673" s="424" t="s">
        <v>2890</v>
      </c>
      <c r="AB673" s="424" t="s">
        <v>4712</v>
      </c>
      <c r="AC673" s="424" t="s">
        <v>1953</v>
      </c>
      <c r="AD673" s="424" t="s">
        <v>2892</v>
      </c>
      <c r="AE673" s="424" t="s">
        <v>4627</v>
      </c>
      <c r="AF673" s="424"/>
      <c r="AG673" s="424"/>
      <c r="AH673" s="424"/>
    </row>
    <row r="674" spans="1:34" x14ac:dyDescent="0.25">
      <c r="A674" s="423" t="s">
        <v>4454</v>
      </c>
      <c r="B674" s="423" t="s">
        <v>4713</v>
      </c>
      <c r="C674" s="423" t="s">
        <v>70</v>
      </c>
      <c r="D674" s="423" t="s">
        <v>4456</v>
      </c>
      <c r="E674" s="423" t="s">
        <v>2818</v>
      </c>
      <c r="F674" s="423">
        <v>8</v>
      </c>
      <c r="G674" s="423">
        <v>15</v>
      </c>
      <c r="H674" s="423">
        <v>50</v>
      </c>
      <c r="J674" s="423"/>
      <c r="K674" s="423"/>
      <c r="L674" s="423"/>
      <c r="M674" s="423"/>
      <c r="Q674" s="423"/>
      <c r="R674" s="424" t="s">
        <v>4714</v>
      </c>
      <c r="S674" s="424" t="s">
        <v>2846</v>
      </c>
      <c r="T674" s="424" t="s">
        <v>3356</v>
      </c>
      <c r="U674" s="424">
        <v>0</v>
      </c>
      <c r="V674" s="424" t="s">
        <v>70</v>
      </c>
      <c r="W674" s="424" t="s">
        <v>3074</v>
      </c>
      <c r="X674" s="424" t="s">
        <v>3298</v>
      </c>
      <c r="Y674" s="424" t="s">
        <v>2279</v>
      </c>
      <c r="Z674" s="424" t="s">
        <v>2872</v>
      </c>
      <c r="AA674" s="424" t="s">
        <v>3197</v>
      </c>
      <c r="AB674" s="424" t="s">
        <v>3386</v>
      </c>
      <c r="AC674" s="424" t="s">
        <v>1953</v>
      </c>
      <c r="AD674" s="424" t="s">
        <v>2892</v>
      </c>
      <c r="AE674" s="424" t="s">
        <v>3387</v>
      </c>
      <c r="AF674" s="424"/>
      <c r="AG674" s="424"/>
      <c r="AH674" s="424"/>
    </row>
    <row r="675" spans="1:34" x14ac:dyDescent="0.25">
      <c r="A675" s="423" t="s">
        <v>4454</v>
      </c>
      <c r="B675" s="423" t="s">
        <v>4715</v>
      </c>
      <c r="C675" s="423" t="s">
        <v>70</v>
      </c>
      <c r="D675" s="423" t="s">
        <v>4456</v>
      </c>
      <c r="E675" s="423" t="s">
        <v>2818</v>
      </c>
      <c r="F675" s="423">
        <v>8</v>
      </c>
      <c r="G675" s="423">
        <v>15</v>
      </c>
      <c r="H675" s="423">
        <v>50</v>
      </c>
      <c r="J675" s="423"/>
      <c r="K675" s="423"/>
      <c r="L675" s="423"/>
      <c r="M675" s="423"/>
      <c r="Q675" s="423"/>
      <c r="R675" s="424" t="s">
        <v>4716</v>
      </c>
      <c r="S675" s="424" t="s">
        <v>2846</v>
      </c>
      <c r="T675" s="424" t="s">
        <v>3356</v>
      </c>
      <c r="U675" s="424">
        <v>0</v>
      </c>
      <c r="V675" s="424" t="s">
        <v>70</v>
      </c>
      <c r="W675" s="424" t="s">
        <v>3074</v>
      </c>
      <c r="X675" s="424" t="s">
        <v>3298</v>
      </c>
      <c r="Y675" s="424" t="s">
        <v>2279</v>
      </c>
      <c r="Z675" s="424" t="s">
        <v>2872</v>
      </c>
      <c r="AA675" s="424" t="s">
        <v>3197</v>
      </c>
      <c r="AB675" s="424" t="s">
        <v>3408</v>
      </c>
      <c r="AC675" s="424" t="s">
        <v>1953</v>
      </c>
      <c r="AD675" s="424" t="s">
        <v>2892</v>
      </c>
      <c r="AE675" s="424" t="s">
        <v>3348</v>
      </c>
      <c r="AF675" s="424"/>
      <c r="AG675" s="424"/>
      <c r="AH675" s="424"/>
    </row>
    <row r="676" spans="1:34" x14ac:dyDescent="0.25">
      <c r="A676" s="423" t="s">
        <v>4454</v>
      </c>
      <c r="B676" s="423" t="s">
        <v>4717</v>
      </c>
      <c r="C676" s="423" t="s">
        <v>70</v>
      </c>
      <c r="D676" s="423" t="s">
        <v>4456</v>
      </c>
      <c r="E676" s="423" t="s">
        <v>2818</v>
      </c>
      <c r="F676" s="423">
        <v>8</v>
      </c>
      <c r="G676" s="423">
        <v>15</v>
      </c>
      <c r="H676" s="423">
        <v>50</v>
      </c>
      <c r="J676" s="423"/>
      <c r="K676" s="423"/>
      <c r="L676" s="423"/>
      <c r="M676" s="423"/>
      <c r="Q676" s="423"/>
      <c r="R676" s="424" t="s">
        <v>4718</v>
      </c>
      <c r="S676" s="424" t="s">
        <v>2846</v>
      </c>
      <c r="T676" s="424" t="s">
        <v>3356</v>
      </c>
      <c r="U676" s="424">
        <v>0</v>
      </c>
      <c r="V676" s="424" t="s">
        <v>70</v>
      </c>
      <c r="W676" s="424" t="s">
        <v>3074</v>
      </c>
      <c r="X676" s="424" t="s">
        <v>3298</v>
      </c>
      <c r="Y676" s="424" t="s">
        <v>2279</v>
      </c>
      <c r="Z676" s="424" t="s">
        <v>2872</v>
      </c>
      <c r="AA676" s="424" t="s">
        <v>3197</v>
      </c>
      <c r="AB676" s="424" t="s">
        <v>3755</v>
      </c>
      <c r="AC676" s="424" t="s">
        <v>1953</v>
      </c>
      <c r="AD676" s="424" t="s">
        <v>2892</v>
      </c>
      <c r="AE676" s="424" t="s">
        <v>3387</v>
      </c>
      <c r="AF676" s="424"/>
      <c r="AG676" s="424"/>
      <c r="AH676" s="424"/>
    </row>
    <row r="677" spans="1:34" x14ac:dyDescent="0.25">
      <c r="A677" s="423" t="s">
        <v>4454</v>
      </c>
      <c r="B677" s="423" t="s">
        <v>4719</v>
      </c>
      <c r="C677" s="423" t="s">
        <v>70</v>
      </c>
      <c r="D677" s="423" t="s">
        <v>4456</v>
      </c>
      <c r="E677" s="423" t="s">
        <v>2818</v>
      </c>
      <c r="F677" s="423">
        <v>8</v>
      </c>
      <c r="G677" s="423">
        <v>15</v>
      </c>
      <c r="H677" s="423">
        <v>50</v>
      </c>
      <c r="J677" s="423"/>
      <c r="K677" s="423"/>
      <c r="L677" s="423"/>
      <c r="M677" s="423"/>
      <c r="Q677" s="423"/>
      <c r="R677" s="424" t="s">
        <v>4720</v>
      </c>
      <c r="S677" s="424" t="s">
        <v>2846</v>
      </c>
      <c r="T677" s="424" t="s">
        <v>3356</v>
      </c>
      <c r="U677" s="424">
        <v>0</v>
      </c>
      <c r="V677" s="424" t="s">
        <v>70</v>
      </c>
      <c r="W677" s="424" t="s">
        <v>2974</v>
      </c>
      <c r="X677" s="424" t="s">
        <v>3298</v>
      </c>
      <c r="Y677" s="424" t="s">
        <v>2279</v>
      </c>
      <c r="Z677" s="424" t="s">
        <v>2889</v>
      </c>
      <c r="AA677" s="424" t="s">
        <v>2890</v>
      </c>
      <c r="AB677" s="424" t="s">
        <v>4721</v>
      </c>
      <c r="AC677" s="424" t="s">
        <v>1953</v>
      </c>
      <c r="AD677" s="424" t="s">
        <v>2892</v>
      </c>
      <c r="AE677" s="424" t="s">
        <v>4645</v>
      </c>
      <c r="AF677" s="424"/>
      <c r="AG677" s="424"/>
      <c r="AH677" s="424"/>
    </row>
    <row r="678" spans="1:34" x14ac:dyDescent="0.25">
      <c r="A678" s="423" t="s">
        <v>4454</v>
      </c>
      <c r="B678" s="423" t="s">
        <v>4722</v>
      </c>
      <c r="C678" s="423" t="s">
        <v>70</v>
      </c>
      <c r="D678" s="423" t="s">
        <v>4456</v>
      </c>
      <c r="E678" s="423" t="s">
        <v>2818</v>
      </c>
      <c r="F678" s="423">
        <v>8</v>
      </c>
      <c r="G678" s="423">
        <v>15</v>
      </c>
      <c r="H678" s="423">
        <v>50</v>
      </c>
      <c r="J678" s="423"/>
      <c r="K678" s="423"/>
      <c r="L678" s="423"/>
      <c r="M678" s="423"/>
      <c r="Q678" s="423"/>
      <c r="R678" s="424" t="s">
        <v>4723</v>
      </c>
      <c r="S678" s="424" t="s">
        <v>2846</v>
      </c>
      <c r="T678" s="424" t="s">
        <v>3356</v>
      </c>
      <c r="U678" s="424">
        <v>0</v>
      </c>
      <c r="V678" s="424" t="s">
        <v>70</v>
      </c>
      <c r="W678" s="424" t="s">
        <v>3176</v>
      </c>
      <c r="X678" s="424" t="s">
        <v>3298</v>
      </c>
      <c r="Y678" s="424" t="s">
        <v>2279</v>
      </c>
      <c r="Z678" s="424" t="s">
        <v>2889</v>
      </c>
      <c r="AA678" s="424" t="s">
        <v>2890</v>
      </c>
      <c r="AB678" s="424" t="s">
        <v>4724</v>
      </c>
      <c r="AC678" s="424" t="s">
        <v>1953</v>
      </c>
      <c r="AD678" s="424" t="s">
        <v>2892</v>
      </c>
      <c r="AE678" s="424" t="s">
        <v>4614</v>
      </c>
      <c r="AF678" s="424"/>
      <c r="AG678" s="424"/>
      <c r="AH678" s="424"/>
    </row>
    <row r="679" spans="1:34" x14ac:dyDescent="0.25">
      <c r="A679" s="423" t="s">
        <v>4454</v>
      </c>
      <c r="B679" s="423" t="s">
        <v>4725</v>
      </c>
      <c r="C679" s="423" t="s">
        <v>70</v>
      </c>
      <c r="D679" s="423" t="s">
        <v>4456</v>
      </c>
      <c r="E679" s="423" t="s">
        <v>2818</v>
      </c>
      <c r="F679" s="423">
        <v>8</v>
      </c>
      <c r="G679" s="423">
        <v>15</v>
      </c>
      <c r="H679" s="423">
        <v>50</v>
      </c>
      <c r="J679" s="423"/>
      <c r="K679" s="423"/>
      <c r="L679" s="423"/>
      <c r="M679" s="423"/>
      <c r="Q679" s="423"/>
      <c r="R679" s="424" t="s">
        <v>4726</v>
      </c>
      <c r="S679" s="424" t="s">
        <v>2846</v>
      </c>
      <c r="T679" s="424" t="s">
        <v>3356</v>
      </c>
      <c r="U679" s="424">
        <v>0</v>
      </c>
      <c r="V679" s="424" t="s">
        <v>70</v>
      </c>
      <c r="W679" s="424" t="s">
        <v>2974</v>
      </c>
      <c r="X679" s="424" t="s">
        <v>3298</v>
      </c>
      <c r="Y679" s="424" t="s">
        <v>2279</v>
      </c>
      <c r="Z679" s="424" t="s">
        <v>2889</v>
      </c>
      <c r="AA679" s="424" t="s">
        <v>2890</v>
      </c>
      <c r="AB679" s="424" t="s">
        <v>4727</v>
      </c>
      <c r="AC679" s="424" t="s">
        <v>1953</v>
      </c>
      <c r="AD679" s="424" t="s">
        <v>2892</v>
      </c>
      <c r="AE679" s="424" t="s">
        <v>4641</v>
      </c>
      <c r="AF679" s="424"/>
      <c r="AG679" s="424"/>
      <c r="AH679" s="424"/>
    </row>
    <row r="680" spans="1:34" x14ac:dyDescent="0.25">
      <c r="A680" s="423" t="s">
        <v>4454</v>
      </c>
      <c r="B680" s="423" t="s">
        <v>4728</v>
      </c>
      <c r="C680" s="423" t="s">
        <v>70</v>
      </c>
      <c r="D680" s="423" t="s">
        <v>4456</v>
      </c>
      <c r="E680" s="423" t="s">
        <v>2818</v>
      </c>
      <c r="F680" s="423">
        <v>8</v>
      </c>
      <c r="G680" s="423">
        <v>15</v>
      </c>
      <c r="H680" s="423">
        <v>50</v>
      </c>
      <c r="J680" s="423"/>
      <c r="K680" s="423"/>
      <c r="L680" s="423"/>
      <c r="M680" s="423"/>
      <c r="Q680" s="423"/>
      <c r="R680" s="424" t="s">
        <v>4729</v>
      </c>
      <c r="S680" s="424" t="s">
        <v>2846</v>
      </c>
      <c r="T680" s="424" t="s">
        <v>3356</v>
      </c>
      <c r="U680" s="424">
        <v>0</v>
      </c>
      <c r="V680" s="424" t="s">
        <v>70</v>
      </c>
      <c r="W680" s="424" t="s">
        <v>3054</v>
      </c>
      <c r="X680" s="424" t="s">
        <v>3298</v>
      </c>
      <c r="Y680" s="424" t="s">
        <v>2279</v>
      </c>
      <c r="Z680" s="424" t="s">
        <v>2889</v>
      </c>
      <c r="AA680" s="424" t="s">
        <v>2890</v>
      </c>
      <c r="AB680" s="424" t="s">
        <v>4730</v>
      </c>
      <c r="AC680" s="424" t="s">
        <v>1953</v>
      </c>
      <c r="AD680" s="424" t="s">
        <v>2892</v>
      </c>
      <c r="AE680" s="424" t="s">
        <v>4627</v>
      </c>
      <c r="AF680" s="424"/>
      <c r="AG680" s="424"/>
      <c r="AH680" s="424"/>
    </row>
    <row r="681" spans="1:34" x14ac:dyDescent="0.25">
      <c r="A681" s="423" t="s">
        <v>4454</v>
      </c>
      <c r="B681" s="423" t="s">
        <v>4731</v>
      </c>
      <c r="C681" s="423" t="s">
        <v>70</v>
      </c>
      <c r="D681" s="423" t="s">
        <v>4456</v>
      </c>
      <c r="E681" s="423" t="s">
        <v>2818</v>
      </c>
      <c r="F681" s="423">
        <v>8</v>
      </c>
      <c r="G681" s="423">
        <v>15</v>
      </c>
      <c r="H681" s="423">
        <v>50</v>
      </c>
      <c r="J681" s="423"/>
      <c r="K681" s="423"/>
      <c r="L681" s="423"/>
      <c r="M681" s="423"/>
      <c r="Q681" s="423"/>
      <c r="R681" s="424" t="s">
        <v>4732</v>
      </c>
      <c r="S681" s="424" t="s">
        <v>2846</v>
      </c>
      <c r="T681" s="424" t="s">
        <v>3356</v>
      </c>
      <c r="U681" s="424">
        <v>0</v>
      </c>
      <c r="V681" s="424" t="s">
        <v>70</v>
      </c>
      <c r="W681" s="424" t="s">
        <v>2974</v>
      </c>
      <c r="X681" s="424" t="s">
        <v>3298</v>
      </c>
      <c r="Y681" s="424" t="s">
        <v>2279</v>
      </c>
      <c r="Z681" s="424" t="s">
        <v>2889</v>
      </c>
      <c r="AA681" s="424" t="s">
        <v>2890</v>
      </c>
      <c r="AB681" s="424" t="s">
        <v>4733</v>
      </c>
      <c r="AC681" s="424" t="s">
        <v>1953</v>
      </c>
      <c r="AD681" s="424" t="s">
        <v>2892</v>
      </c>
      <c r="AE681" s="424" t="s">
        <v>4641</v>
      </c>
      <c r="AF681" s="424"/>
      <c r="AG681" s="424"/>
      <c r="AH681" s="424"/>
    </row>
    <row r="682" spans="1:34" x14ac:dyDescent="0.25">
      <c r="A682" s="423" t="s">
        <v>4454</v>
      </c>
      <c r="B682" s="423" t="s">
        <v>4734</v>
      </c>
      <c r="C682" s="423" t="s">
        <v>70</v>
      </c>
      <c r="D682" s="423" t="s">
        <v>4456</v>
      </c>
      <c r="E682" s="423" t="s">
        <v>2818</v>
      </c>
      <c r="F682" s="423">
        <v>8</v>
      </c>
      <c r="G682" s="423">
        <v>15</v>
      </c>
      <c r="H682" s="423">
        <v>50</v>
      </c>
      <c r="J682" s="423"/>
      <c r="K682" s="423"/>
      <c r="L682" s="423"/>
      <c r="M682" s="423"/>
      <c r="Q682" s="423"/>
      <c r="R682" s="424" t="s">
        <v>4735</v>
      </c>
      <c r="S682" s="424" t="s">
        <v>2846</v>
      </c>
      <c r="T682" s="424" t="s">
        <v>3356</v>
      </c>
      <c r="U682" s="424">
        <v>0</v>
      </c>
      <c r="V682" s="424" t="s">
        <v>70</v>
      </c>
      <c r="W682" s="424" t="s">
        <v>3176</v>
      </c>
      <c r="X682" s="424" t="s">
        <v>3298</v>
      </c>
      <c r="Y682" s="424" t="s">
        <v>2279</v>
      </c>
      <c r="Z682" s="424" t="s">
        <v>2889</v>
      </c>
      <c r="AA682" s="424" t="s">
        <v>2890</v>
      </c>
      <c r="AB682" s="424" t="s">
        <v>4702</v>
      </c>
      <c r="AC682" s="424" t="s">
        <v>1953</v>
      </c>
      <c r="AD682" s="424" t="s">
        <v>2892</v>
      </c>
      <c r="AE682" s="424" t="s">
        <v>4614</v>
      </c>
      <c r="AF682" s="424"/>
      <c r="AG682" s="424"/>
      <c r="AH682" s="424"/>
    </row>
    <row r="683" spans="1:34" x14ac:dyDescent="0.25">
      <c r="A683" s="423" t="s">
        <v>4454</v>
      </c>
      <c r="B683" s="423" t="s">
        <v>4736</v>
      </c>
      <c r="C683" s="423" t="s">
        <v>70</v>
      </c>
      <c r="D683" s="423" t="s">
        <v>4456</v>
      </c>
      <c r="E683" s="423" t="s">
        <v>2818</v>
      </c>
      <c r="F683" s="423">
        <v>8</v>
      </c>
      <c r="G683" s="423">
        <v>15</v>
      </c>
      <c r="H683" s="423">
        <v>50</v>
      </c>
      <c r="J683" s="423"/>
      <c r="K683" s="423"/>
      <c r="L683" s="423"/>
      <c r="M683" s="423"/>
      <c r="Q683" s="423"/>
      <c r="R683" s="424" t="s">
        <v>4737</v>
      </c>
      <c r="S683" s="424" t="s">
        <v>2846</v>
      </c>
      <c r="T683" s="424" t="s">
        <v>3356</v>
      </c>
      <c r="U683" s="424">
        <v>0</v>
      </c>
      <c r="V683" s="424" t="s">
        <v>70</v>
      </c>
      <c r="W683" s="424" t="s">
        <v>2974</v>
      </c>
      <c r="X683" s="424" t="s">
        <v>3298</v>
      </c>
      <c r="Y683" s="424" t="s">
        <v>2279</v>
      </c>
      <c r="Z683" s="424" t="s">
        <v>2889</v>
      </c>
      <c r="AA683" s="424" t="s">
        <v>2890</v>
      </c>
      <c r="AB683" s="424" t="s">
        <v>4738</v>
      </c>
      <c r="AC683" s="424" t="s">
        <v>1953</v>
      </c>
      <c r="AD683" s="424" t="s">
        <v>2892</v>
      </c>
      <c r="AE683" s="424" t="s">
        <v>4610</v>
      </c>
      <c r="AF683" s="424"/>
      <c r="AG683" s="424"/>
      <c r="AH683" s="424"/>
    </row>
    <row r="684" spans="1:34" x14ac:dyDescent="0.25">
      <c r="A684" s="423" t="s">
        <v>4454</v>
      </c>
      <c r="B684" s="423" t="s">
        <v>4739</v>
      </c>
      <c r="C684" s="423" t="s">
        <v>70</v>
      </c>
      <c r="D684" s="423" t="s">
        <v>4456</v>
      </c>
      <c r="E684" s="423" t="s">
        <v>2818</v>
      </c>
      <c r="F684" s="423">
        <v>8</v>
      </c>
      <c r="G684" s="423">
        <v>15</v>
      </c>
      <c r="H684" s="423">
        <v>50</v>
      </c>
      <c r="J684" s="423"/>
      <c r="K684" s="423"/>
      <c r="L684" s="423"/>
      <c r="M684" s="423"/>
      <c r="Q684" s="423"/>
      <c r="R684" s="424" t="s">
        <v>4740</v>
      </c>
      <c r="S684" s="424" t="s">
        <v>2846</v>
      </c>
      <c r="T684" s="424" t="s">
        <v>3356</v>
      </c>
      <c r="U684" s="424">
        <v>0</v>
      </c>
      <c r="V684" s="424" t="s">
        <v>70</v>
      </c>
      <c r="W684" s="424" t="s">
        <v>3176</v>
      </c>
      <c r="X684" s="424" t="s">
        <v>3298</v>
      </c>
      <c r="Y684" s="424" t="s">
        <v>2279</v>
      </c>
      <c r="Z684" s="424" t="s">
        <v>2889</v>
      </c>
      <c r="AA684" s="424" t="s">
        <v>2890</v>
      </c>
      <c r="AB684" s="424" t="s">
        <v>4741</v>
      </c>
      <c r="AC684" s="424" t="s">
        <v>1953</v>
      </c>
      <c r="AD684" s="424" t="s">
        <v>2892</v>
      </c>
      <c r="AE684" s="424" t="s">
        <v>4614</v>
      </c>
      <c r="AF684" s="424"/>
      <c r="AG684" s="424"/>
      <c r="AH684" s="424"/>
    </row>
    <row r="685" spans="1:34" x14ac:dyDescent="0.25">
      <c r="A685" s="423" t="s">
        <v>4454</v>
      </c>
      <c r="B685" s="423" t="s">
        <v>4742</v>
      </c>
      <c r="C685" s="423" t="s">
        <v>70</v>
      </c>
      <c r="D685" s="423" t="s">
        <v>4456</v>
      </c>
      <c r="E685" s="423" t="s">
        <v>2818</v>
      </c>
      <c r="F685" s="423">
        <v>32</v>
      </c>
      <c r="G685" s="423">
        <v>94</v>
      </c>
      <c r="H685" s="423">
        <v>99</v>
      </c>
      <c r="J685" s="423"/>
      <c r="K685" s="423"/>
      <c r="L685" s="423"/>
      <c r="M685" s="423"/>
      <c r="Q685" s="423"/>
      <c r="R685" s="424" t="s">
        <v>4743</v>
      </c>
      <c r="S685" s="424" t="s">
        <v>2846</v>
      </c>
      <c r="T685" s="424" t="s">
        <v>2870</v>
      </c>
      <c r="U685" s="424">
        <v>0</v>
      </c>
      <c r="V685" s="424" t="s">
        <v>70</v>
      </c>
      <c r="W685" s="424" t="s">
        <v>3074</v>
      </c>
      <c r="X685" s="424" t="s">
        <v>3298</v>
      </c>
      <c r="Y685" s="424" t="s">
        <v>2279</v>
      </c>
      <c r="Z685" s="424" t="s">
        <v>2872</v>
      </c>
      <c r="AA685" s="424" t="s">
        <v>2873</v>
      </c>
      <c r="AB685" s="424" t="s">
        <v>4744</v>
      </c>
      <c r="AC685" s="424" t="s">
        <v>1953</v>
      </c>
      <c r="AD685" s="424" t="s">
        <v>2892</v>
      </c>
      <c r="AE685" s="424" t="s">
        <v>4459</v>
      </c>
      <c r="AF685" s="424"/>
      <c r="AG685" s="424"/>
      <c r="AH685" s="424"/>
    </row>
    <row r="686" spans="1:34" x14ac:dyDescent="0.25">
      <c r="A686" s="423" t="s">
        <v>4454</v>
      </c>
      <c r="B686" s="423" t="s">
        <v>4745</v>
      </c>
      <c r="C686" s="423" t="s">
        <v>70</v>
      </c>
      <c r="D686" s="423" t="s">
        <v>4456</v>
      </c>
      <c r="E686" s="423" t="s">
        <v>2818</v>
      </c>
      <c r="F686" s="423">
        <v>32</v>
      </c>
      <c r="G686" s="423">
        <v>94</v>
      </c>
      <c r="H686" s="423">
        <v>99</v>
      </c>
      <c r="J686" s="423"/>
      <c r="K686" s="423"/>
      <c r="L686" s="423"/>
      <c r="M686" s="423"/>
      <c r="Q686" s="423"/>
      <c r="R686" s="424" t="s">
        <v>4746</v>
      </c>
      <c r="S686" s="424" t="s">
        <v>2846</v>
      </c>
      <c r="T686" s="424" t="s">
        <v>2870</v>
      </c>
      <c r="U686" s="424">
        <v>0</v>
      </c>
      <c r="V686" s="424" t="s">
        <v>70</v>
      </c>
      <c r="W686" s="424" t="s">
        <v>2974</v>
      </c>
      <c r="X686" s="424" t="s">
        <v>3298</v>
      </c>
      <c r="Y686" s="424" t="s">
        <v>2279</v>
      </c>
      <c r="Z686" s="424" t="s">
        <v>2889</v>
      </c>
      <c r="AA686" s="424" t="s">
        <v>2890</v>
      </c>
      <c r="AB686" s="424" t="s">
        <v>4747</v>
      </c>
      <c r="AC686" s="424" t="s">
        <v>1953</v>
      </c>
      <c r="AD686" s="424" t="s">
        <v>2892</v>
      </c>
      <c r="AE686" s="424" t="s">
        <v>2930</v>
      </c>
      <c r="AF686" s="424"/>
      <c r="AG686" s="424"/>
      <c r="AH686" s="424"/>
    </row>
    <row r="687" spans="1:34" x14ac:dyDescent="0.25">
      <c r="A687" s="423" t="s">
        <v>4454</v>
      </c>
      <c r="B687" s="423" t="s">
        <v>4748</v>
      </c>
      <c r="C687" s="423" t="s">
        <v>70</v>
      </c>
      <c r="D687" s="423" t="s">
        <v>4456</v>
      </c>
      <c r="E687" s="423" t="s">
        <v>2818</v>
      </c>
      <c r="F687" s="423">
        <v>32</v>
      </c>
      <c r="G687" s="423">
        <v>94</v>
      </c>
      <c r="H687" s="423">
        <v>99</v>
      </c>
      <c r="J687" s="423"/>
      <c r="K687" s="423"/>
      <c r="L687" s="423"/>
      <c r="M687" s="423"/>
      <c r="Q687" s="423"/>
      <c r="R687" s="424" t="s">
        <v>4749</v>
      </c>
      <c r="S687" s="424" t="s">
        <v>2846</v>
      </c>
      <c r="T687" s="424" t="s">
        <v>2870</v>
      </c>
      <c r="U687" s="424">
        <v>0</v>
      </c>
      <c r="V687" s="424" t="s">
        <v>70</v>
      </c>
      <c r="W687" s="424" t="s">
        <v>3074</v>
      </c>
      <c r="X687" s="424" t="s">
        <v>3298</v>
      </c>
      <c r="Y687" s="424" t="s">
        <v>2279</v>
      </c>
      <c r="Z687" s="424" t="s">
        <v>2872</v>
      </c>
      <c r="AA687" s="424" t="s">
        <v>2873</v>
      </c>
      <c r="AB687" s="424" t="s">
        <v>4750</v>
      </c>
      <c r="AC687" s="424" t="s">
        <v>1953</v>
      </c>
      <c r="AD687" s="424" t="s">
        <v>2892</v>
      </c>
      <c r="AE687" s="424" t="s">
        <v>4459</v>
      </c>
      <c r="AF687" s="424"/>
      <c r="AG687" s="424"/>
      <c r="AH687" s="424"/>
    </row>
    <row r="688" spans="1:34" x14ac:dyDescent="0.25">
      <c r="A688" s="423" t="s">
        <v>4454</v>
      </c>
      <c r="B688" s="423" t="s">
        <v>4751</v>
      </c>
      <c r="C688" s="423" t="s">
        <v>70</v>
      </c>
      <c r="D688" s="423" t="s">
        <v>4456</v>
      </c>
      <c r="E688" s="423" t="s">
        <v>2818</v>
      </c>
      <c r="F688" s="423">
        <v>4</v>
      </c>
      <c r="G688" s="423">
        <v>15</v>
      </c>
      <c r="H688" s="423">
        <v>99</v>
      </c>
      <c r="J688" s="423"/>
      <c r="K688" s="423"/>
      <c r="L688" s="423"/>
      <c r="M688" s="423"/>
      <c r="Q688" s="423"/>
      <c r="R688" s="424" t="s">
        <v>4751</v>
      </c>
      <c r="S688" s="424" t="s">
        <v>2846</v>
      </c>
      <c r="T688" s="424" t="s">
        <v>3356</v>
      </c>
      <c r="U688" s="424">
        <v>0</v>
      </c>
      <c r="V688" s="424" t="s">
        <v>70</v>
      </c>
      <c r="W688" s="424" t="s">
        <v>3055</v>
      </c>
      <c r="X688" s="424" t="s">
        <v>2224</v>
      </c>
      <c r="Y688" s="424" t="s">
        <v>2279</v>
      </c>
      <c r="Z688" s="424" t="s">
        <v>2848</v>
      </c>
      <c r="AA688" s="424" t="s">
        <v>2855</v>
      </c>
      <c r="AB688" s="424" t="s">
        <v>4752</v>
      </c>
      <c r="AC688" s="424" t="s">
        <v>1953</v>
      </c>
      <c r="AD688" s="424" t="s">
        <v>2851</v>
      </c>
      <c r="AE688" s="424" t="s">
        <v>3168</v>
      </c>
      <c r="AF688" s="424"/>
      <c r="AG688" s="424"/>
      <c r="AH688" s="424"/>
    </row>
    <row r="689" spans="1:34" x14ac:dyDescent="0.25">
      <c r="A689" s="423" t="s">
        <v>4454</v>
      </c>
      <c r="B689" s="423" t="s">
        <v>4753</v>
      </c>
      <c r="C689" s="423" t="s">
        <v>70</v>
      </c>
      <c r="D689" s="423" t="s">
        <v>4456</v>
      </c>
      <c r="E689" s="423" t="s">
        <v>2818</v>
      </c>
      <c r="F689" s="423">
        <v>4</v>
      </c>
      <c r="G689" s="423">
        <v>15</v>
      </c>
      <c r="H689" s="423">
        <v>99</v>
      </c>
      <c r="J689" s="423"/>
      <c r="K689" s="423"/>
      <c r="L689" s="423"/>
      <c r="M689" s="423"/>
      <c r="Q689" s="423"/>
      <c r="R689" s="424" t="s">
        <v>4753</v>
      </c>
      <c r="S689" s="424" t="s">
        <v>2846</v>
      </c>
      <c r="T689" s="424" t="s">
        <v>3356</v>
      </c>
      <c r="U689" s="424">
        <v>0</v>
      </c>
      <c r="V689" s="424" t="s">
        <v>70</v>
      </c>
      <c r="W689" s="424" t="s">
        <v>3055</v>
      </c>
      <c r="X689" s="424" t="s">
        <v>2224</v>
      </c>
      <c r="Y689" s="424" t="s">
        <v>2279</v>
      </c>
      <c r="Z689" s="424" t="s">
        <v>2848</v>
      </c>
      <c r="AA689" s="424" t="s">
        <v>2855</v>
      </c>
      <c r="AB689" s="424" t="s">
        <v>4752</v>
      </c>
      <c r="AC689" s="424" t="s">
        <v>1953</v>
      </c>
      <c r="AD689" s="424" t="s">
        <v>2851</v>
      </c>
      <c r="AE689" s="424" t="s">
        <v>3168</v>
      </c>
      <c r="AF689" s="424"/>
      <c r="AG689" s="424"/>
      <c r="AH689" s="424"/>
    </row>
    <row r="690" spans="1:34" x14ac:dyDescent="0.25">
      <c r="A690" s="423" t="s">
        <v>4454</v>
      </c>
      <c r="B690" s="423" t="s">
        <v>4754</v>
      </c>
      <c r="C690" s="423" t="s">
        <v>70</v>
      </c>
      <c r="D690" s="423" t="s">
        <v>4456</v>
      </c>
      <c r="E690" s="423" t="s">
        <v>2818</v>
      </c>
      <c r="F690" s="423">
        <v>4</v>
      </c>
      <c r="G690" s="423">
        <v>15</v>
      </c>
      <c r="H690" s="423">
        <v>99</v>
      </c>
      <c r="J690" s="423"/>
      <c r="K690" s="423"/>
      <c r="L690" s="423"/>
      <c r="M690" s="423"/>
      <c r="Q690" s="423"/>
      <c r="R690" s="424" t="s">
        <v>4754</v>
      </c>
      <c r="S690" s="424" t="s">
        <v>2846</v>
      </c>
      <c r="T690" s="424" t="s">
        <v>3356</v>
      </c>
      <c r="U690" s="424">
        <v>0</v>
      </c>
      <c r="V690" s="424" t="s">
        <v>70</v>
      </c>
      <c r="W690" s="424" t="s">
        <v>3054</v>
      </c>
      <c r="X690" s="424" t="s">
        <v>2224</v>
      </c>
      <c r="Y690" s="424" t="s">
        <v>2279</v>
      </c>
      <c r="Z690" s="424" t="s">
        <v>2848</v>
      </c>
      <c r="AA690" s="424" t="s">
        <v>3927</v>
      </c>
      <c r="AB690" s="424" t="s">
        <v>4755</v>
      </c>
      <c r="AC690" s="424" t="s">
        <v>1953</v>
      </c>
      <c r="AD690" s="424" t="s">
        <v>2851</v>
      </c>
      <c r="AE690" s="424" t="s">
        <v>3719</v>
      </c>
      <c r="AF690" s="424"/>
      <c r="AG690" s="424"/>
      <c r="AH690" s="424"/>
    </row>
    <row r="691" spans="1:34" x14ac:dyDescent="0.25">
      <c r="A691" s="423" t="s">
        <v>4454</v>
      </c>
      <c r="B691" s="423" t="s">
        <v>4756</v>
      </c>
      <c r="C691" s="423" t="s">
        <v>70</v>
      </c>
      <c r="D691" s="423" t="s">
        <v>4456</v>
      </c>
      <c r="E691" s="423" t="s">
        <v>2818</v>
      </c>
      <c r="F691" s="423">
        <v>4</v>
      </c>
      <c r="G691" s="423">
        <v>15</v>
      </c>
      <c r="H691" s="423">
        <v>99</v>
      </c>
      <c r="J691" s="423"/>
      <c r="K691" s="423"/>
      <c r="L691" s="423"/>
      <c r="M691" s="423"/>
      <c r="Q691" s="423"/>
      <c r="R691" s="424" t="s">
        <v>4756</v>
      </c>
      <c r="S691" s="424" t="s">
        <v>2846</v>
      </c>
      <c r="T691" s="424" t="s">
        <v>3356</v>
      </c>
      <c r="U691" s="424">
        <v>0</v>
      </c>
      <c r="V691" s="424" t="s">
        <v>70</v>
      </c>
      <c r="W691" s="424" t="s">
        <v>3054</v>
      </c>
      <c r="X691" s="424" t="s">
        <v>2224</v>
      </c>
      <c r="Y691" s="424" t="s">
        <v>2279</v>
      </c>
      <c r="Z691" s="424" t="s">
        <v>2848</v>
      </c>
      <c r="AA691" s="424" t="s">
        <v>3927</v>
      </c>
      <c r="AB691" s="424" t="s">
        <v>4757</v>
      </c>
      <c r="AC691" s="424" t="s">
        <v>1953</v>
      </c>
      <c r="AD691" s="424" t="s">
        <v>2851</v>
      </c>
      <c r="AE691" s="424" t="s">
        <v>3154</v>
      </c>
      <c r="AF691" s="424"/>
      <c r="AG691" s="424"/>
      <c r="AH691" s="424"/>
    </row>
    <row r="692" spans="1:34" x14ac:dyDescent="0.25">
      <c r="A692" s="423" t="s">
        <v>4454</v>
      </c>
      <c r="B692" s="423" t="s">
        <v>4758</v>
      </c>
      <c r="C692" s="423" t="s">
        <v>70</v>
      </c>
      <c r="D692" s="423" t="s">
        <v>4456</v>
      </c>
      <c r="E692" s="423" t="s">
        <v>2818</v>
      </c>
      <c r="F692" s="423">
        <v>4</v>
      </c>
      <c r="G692" s="423">
        <v>15</v>
      </c>
      <c r="H692" s="423">
        <v>99</v>
      </c>
      <c r="J692" s="423"/>
      <c r="K692" s="423"/>
      <c r="L692" s="423"/>
      <c r="M692" s="423"/>
      <c r="Q692" s="423"/>
      <c r="R692" s="424" t="s">
        <v>4758</v>
      </c>
      <c r="S692" s="424" t="s">
        <v>2846</v>
      </c>
      <c r="T692" s="424" t="s">
        <v>3356</v>
      </c>
      <c r="U692" s="424">
        <v>0</v>
      </c>
      <c r="V692" s="424" t="s">
        <v>70</v>
      </c>
      <c r="W692" s="424" t="s">
        <v>3055</v>
      </c>
      <c r="X692" s="424" t="s">
        <v>2224</v>
      </c>
      <c r="Y692" s="424" t="s">
        <v>2279</v>
      </c>
      <c r="Z692" s="424" t="s">
        <v>2848</v>
      </c>
      <c r="AA692" s="424" t="s">
        <v>2855</v>
      </c>
      <c r="AB692" s="424" t="s">
        <v>4759</v>
      </c>
      <c r="AC692" s="424" t="s">
        <v>1953</v>
      </c>
      <c r="AD692" s="424" t="s">
        <v>2851</v>
      </c>
      <c r="AE692" s="424" t="s">
        <v>3168</v>
      </c>
      <c r="AF692" s="424"/>
      <c r="AG692" s="424"/>
      <c r="AH692" s="424"/>
    </row>
    <row r="693" spans="1:34" x14ac:dyDescent="0.25">
      <c r="A693" s="423" t="s">
        <v>4454</v>
      </c>
      <c r="B693" s="423" t="s">
        <v>4760</v>
      </c>
      <c r="C693" s="423" t="s">
        <v>70</v>
      </c>
      <c r="D693" s="423" t="s">
        <v>4456</v>
      </c>
      <c r="E693" s="423" t="s">
        <v>2818</v>
      </c>
      <c r="F693" s="423">
        <v>4</v>
      </c>
      <c r="G693" s="423">
        <v>15</v>
      </c>
      <c r="H693" s="423">
        <v>99</v>
      </c>
      <c r="J693" s="423"/>
      <c r="K693" s="423"/>
      <c r="L693" s="423"/>
      <c r="M693" s="423"/>
      <c r="Q693" s="423"/>
      <c r="R693" s="424" t="s">
        <v>4760</v>
      </c>
      <c r="S693" s="424" t="s">
        <v>2846</v>
      </c>
      <c r="T693" s="424" t="s">
        <v>3356</v>
      </c>
      <c r="U693" s="424">
        <v>0</v>
      </c>
      <c r="V693" s="424" t="s">
        <v>70</v>
      </c>
      <c r="W693" s="424" t="s">
        <v>3055</v>
      </c>
      <c r="X693" s="424" t="s">
        <v>2224</v>
      </c>
      <c r="Y693" s="424" t="s">
        <v>2279</v>
      </c>
      <c r="Z693" s="424" t="s">
        <v>2848</v>
      </c>
      <c r="AA693" s="424" t="s">
        <v>2855</v>
      </c>
      <c r="AB693" s="424" t="s">
        <v>4752</v>
      </c>
      <c r="AC693" s="424" t="s">
        <v>1953</v>
      </c>
      <c r="AD693" s="424" t="s">
        <v>2851</v>
      </c>
      <c r="AE693" s="424" t="s">
        <v>3168</v>
      </c>
      <c r="AF693" s="424"/>
      <c r="AG693" s="424"/>
      <c r="AH693" s="424"/>
    </row>
    <row r="694" spans="1:34" x14ac:dyDescent="0.25">
      <c r="A694" s="423" t="s">
        <v>4454</v>
      </c>
      <c r="B694" s="423" t="s">
        <v>4761</v>
      </c>
      <c r="C694" s="423" t="s">
        <v>70</v>
      </c>
      <c r="D694" s="423" t="s">
        <v>4456</v>
      </c>
      <c r="E694" s="423" t="s">
        <v>2818</v>
      </c>
      <c r="F694" s="423">
        <v>4</v>
      </c>
      <c r="G694" s="423">
        <v>15</v>
      </c>
      <c r="H694" s="423">
        <v>99</v>
      </c>
      <c r="J694" s="423"/>
      <c r="K694" s="423"/>
      <c r="L694" s="423"/>
      <c r="M694" s="423"/>
      <c r="Q694" s="423"/>
      <c r="R694" s="424" t="s">
        <v>4761</v>
      </c>
      <c r="S694" s="424" t="s">
        <v>2846</v>
      </c>
      <c r="T694" s="424" t="s">
        <v>3356</v>
      </c>
      <c r="U694" s="424">
        <v>0</v>
      </c>
      <c r="V694" s="424" t="s">
        <v>70</v>
      </c>
      <c r="W694" s="424" t="s">
        <v>2974</v>
      </c>
      <c r="X694" s="424" t="s">
        <v>2224</v>
      </c>
      <c r="Y694" s="424" t="s">
        <v>2279</v>
      </c>
      <c r="Z694" s="424" t="s">
        <v>2848</v>
      </c>
      <c r="AA694" s="424" t="s">
        <v>2849</v>
      </c>
      <c r="AB694" s="424" t="s">
        <v>4762</v>
      </c>
      <c r="AC694" s="424" t="s">
        <v>1953</v>
      </c>
      <c r="AD694" s="424" t="s">
        <v>2851</v>
      </c>
      <c r="AE694" s="424" t="s">
        <v>3467</v>
      </c>
      <c r="AF694" s="424"/>
      <c r="AG694" s="424"/>
      <c r="AH694" s="424"/>
    </row>
    <row r="695" spans="1:34" x14ac:dyDescent="0.25">
      <c r="A695" s="423" t="s">
        <v>4454</v>
      </c>
      <c r="B695" s="423" t="s">
        <v>4763</v>
      </c>
      <c r="C695" s="423" t="s">
        <v>70</v>
      </c>
      <c r="D695" s="423" t="s">
        <v>4456</v>
      </c>
      <c r="E695" s="423" t="s">
        <v>2818</v>
      </c>
      <c r="F695" s="423">
        <v>4</v>
      </c>
      <c r="G695" s="423">
        <v>15</v>
      </c>
      <c r="H695" s="423">
        <v>99</v>
      </c>
      <c r="J695" s="423"/>
      <c r="K695" s="423"/>
      <c r="L695" s="423"/>
      <c r="M695" s="423"/>
      <c r="Q695" s="423"/>
      <c r="R695" s="424" t="s">
        <v>4763</v>
      </c>
      <c r="S695" s="424" t="s">
        <v>2846</v>
      </c>
      <c r="T695" s="424" t="s">
        <v>3356</v>
      </c>
      <c r="U695" s="424">
        <v>0</v>
      </c>
      <c r="V695" s="424" t="s">
        <v>70</v>
      </c>
      <c r="W695" s="424" t="s">
        <v>3055</v>
      </c>
      <c r="X695" s="424" t="s">
        <v>2224</v>
      </c>
      <c r="Y695" s="424" t="s">
        <v>2279</v>
      </c>
      <c r="Z695" s="424" t="s">
        <v>2848</v>
      </c>
      <c r="AA695" s="424" t="s">
        <v>2855</v>
      </c>
      <c r="AB695" s="424" t="s">
        <v>4752</v>
      </c>
      <c r="AC695" s="424" t="s">
        <v>1953</v>
      </c>
      <c r="AD695" s="424" t="s">
        <v>2851</v>
      </c>
      <c r="AE695" s="424" t="s">
        <v>3168</v>
      </c>
      <c r="AF695" s="424"/>
      <c r="AG695" s="424"/>
      <c r="AH695" s="424"/>
    </row>
    <row r="696" spans="1:34" x14ac:dyDescent="0.25">
      <c r="A696" s="423" t="s">
        <v>4454</v>
      </c>
      <c r="B696" s="423" t="s">
        <v>4764</v>
      </c>
      <c r="C696" s="423" t="s">
        <v>70</v>
      </c>
      <c r="D696" s="423" t="s">
        <v>4456</v>
      </c>
      <c r="E696" s="423" t="s">
        <v>2818</v>
      </c>
      <c r="F696" s="423">
        <v>4</v>
      </c>
      <c r="G696" s="423">
        <v>15</v>
      </c>
      <c r="H696" s="423">
        <v>99</v>
      </c>
      <c r="J696" s="423"/>
      <c r="K696" s="423"/>
      <c r="L696" s="423"/>
      <c r="M696" s="423"/>
      <c r="Q696" s="423"/>
      <c r="R696" s="424" t="s">
        <v>4764</v>
      </c>
      <c r="S696" s="424" t="s">
        <v>2846</v>
      </c>
      <c r="T696" s="424" t="s">
        <v>3356</v>
      </c>
      <c r="U696" s="424">
        <v>0</v>
      </c>
      <c r="V696" s="424" t="s">
        <v>70</v>
      </c>
      <c r="W696" s="424" t="s">
        <v>3055</v>
      </c>
      <c r="X696" s="424" t="s">
        <v>2224</v>
      </c>
      <c r="Y696" s="424" t="s">
        <v>2279</v>
      </c>
      <c r="Z696" s="424" t="s">
        <v>2848</v>
      </c>
      <c r="AA696" s="424" t="s">
        <v>2855</v>
      </c>
      <c r="AB696" s="424" t="s">
        <v>4759</v>
      </c>
      <c r="AC696" s="424" t="s">
        <v>1953</v>
      </c>
      <c r="AD696" s="424" t="s">
        <v>2851</v>
      </c>
      <c r="AE696" s="424" t="s">
        <v>3168</v>
      </c>
      <c r="AF696" s="424"/>
      <c r="AG696" s="424"/>
      <c r="AH696" s="424"/>
    </row>
    <row r="697" spans="1:34" x14ac:dyDescent="0.25">
      <c r="A697" s="423" t="s">
        <v>4454</v>
      </c>
      <c r="B697" s="423" t="s">
        <v>4765</v>
      </c>
      <c r="C697" s="423" t="s">
        <v>70</v>
      </c>
      <c r="D697" s="423" t="s">
        <v>4456</v>
      </c>
      <c r="E697" s="423" t="s">
        <v>2818</v>
      </c>
      <c r="F697" s="423">
        <v>4</v>
      </c>
      <c r="G697" s="423">
        <v>15</v>
      </c>
      <c r="H697" s="423">
        <v>99</v>
      </c>
      <c r="J697" s="423"/>
      <c r="K697" s="423"/>
      <c r="L697" s="423"/>
      <c r="M697" s="423"/>
      <c r="Q697" s="423"/>
      <c r="R697" s="424" t="s">
        <v>4765</v>
      </c>
      <c r="S697" s="424" t="s">
        <v>2846</v>
      </c>
      <c r="T697" s="424" t="s">
        <v>3356</v>
      </c>
      <c r="U697" s="424">
        <v>0</v>
      </c>
      <c r="V697" s="424" t="s">
        <v>70</v>
      </c>
      <c r="W697" s="424" t="s">
        <v>3055</v>
      </c>
      <c r="X697" s="424" t="s">
        <v>2224</v>
      </c>
      <c r="Y697" s="424" t="s">
        <v>2279</v>
      </c>
      <c r="Z697" s="424" t="s">
        <v>2848</v>
      </c>
      <c r="AA697" s="424" t="s">
        <v>2855</v>
      </c>
      <c r="AB697" s="424" t="s">
        <v>4759</v>
      </c>
      <c r="AC697" s="424" t="s">
        <v>1953</v>
      </c>
      <c r="AD697" s="424" t="s">
        <v>2851</v>
      </c>
      <c r="AE697" s="424" t="s">
        <v>3168</v>
      </c>
      <c r="AF697" s="424"/>
      <c r="AG697" s="424"/>
      <c r="AH697" s="424"/>
    </row>
    <row r="698" spans="1:34" x14ac:dyDescent="0.25">
      <c r="A698" s="423" t="s">
        <v>4454</v>
      </c>
      <c r="B698" s="423" t="s">
        <v>4766</v>
      </c>
      <c r="C698" s="423" t="s">
        <v>70</v>
      </c>
      <c r="D698" s="423" t="s">
        <v>4456</v>
      </c>
      <c r="E698" s="423" t="s">
        <v>2818</v>
      </c>
      <c r="F698" s="423">
        <v>4</v>
      </c>
      <c r="G698" s="423">
        <v>7</v>
      </c>
      <c r="H698" s="423">
        <v>99</v>
      </c>
      <c r="J698" s="423"/>
      <c r="K698" s="423"/>
      <c r="L698" s="423"/>
      <c r="M698" s="423"/>
      <c r="Q698" s="423"/>
      <c r="R698" s="424" t="s">
        <v>4766</v>
      </c>
      <c r="S698" s="424" t="s">
        <v>2846</v>
      </c>
      <c r="T698" s="424" t="s">
        <v>3356</v>
      </c>
      <c r="U698" s="424">
        <v>0</v>
      </c>
      <c r="V698" s="424" t="s">
        <v>70</v>
      </c>
      <c r="W698" s="424" t="s">
        <v>3055</v>
      </c>
      <c r="X698" s="424" t="s">
        <v>2224</v>
      </c>
      <c r="Y698" s="424" t="s">
        <v>2279</v>
      </c>
      <c r="Z698" s="424" t="s">
        <v>2848</v>
      </c>
      <c r="AA698" s="424" t="s">
        <v>2855</v>
      </c>
      <c r="AB698" s="424" t="s">
        <v>4426</v>
      </c>
      <c r="AC698" s="424" t="s">
        <v>1953</v>
      </c>
      <c r="AD698" s="424" t="s">
        <v>2851</v>
      </c>
      <c r="AE698" s="424" t="s">
        <v>3168</v>
      </c>
      <c r="AF698" s="424"/>
      <c r="AG698" s="424"/>
      <c r="AH698" s="424"/>
    </row>
    <row r="699" spans="1:34" x14ac:dyDescent="0.25">
      <c r="A699" s="423" t="s">
        <v>4454</v>
      </c>
      <c r="B699" s="423" t="s">
        <v>4767</v>
      </c>
      <c r="C699" s="423" t="s">
        <v>70</v>
      </c>
      <c r="D699" s="423" t="s">
        <v>4456</v>
      </c>
      <c r="E699" s="423" t="s">
        <v>2818</v>
      </c>
      <c r="F699" s="423">
        <v>4</v>
      </c>
      <c r="G699" s="423">
        <v>7</v>
      </c>
      <c r="H699" s="423">
        <v>99</v>
      </c>
      <c r="J699" s="423"/>
      <c r="K699" s="423"/>
      <c r="L699" s="423"/>
      <c r="M699" s="423"/>
      <c r="Q699" s="423"/>
      <c r="R699" s="424" t="s">
        <v>4767</v>
      </c>
      <c r="S699" s="424" t="s">
        <v>2846</v>
      </c>
      <c r="T699" s="424" t="s">
        <v>3356</v>
      </c>
      <c r="U699" s="424">
        <v>0</v>
      </c>
      <c r="V699" s="424" t="s">
        <v>70</v>
      </c>
      <c r="W699" s="424" t="s">
        <v>2974</v>
      </c>
      <c r="X699" s="424" t="s">
        <v>2224</v>
      </c>
      <c r="Y699" s="424" t="s">
        <v>2279</v>
      </c>
      <c r="Z699" s="424" t="s">
        <v>2848</v>
      </c>
      <c r="AA699" s="424" t="s">
        <v>2849</v>
      </c>
      <c r="AB699" s="424" t="s">
        <v>4768</v>
      </c>
      <c r="AC699" s="424" t="s">
        <v>1953</v>
      </c>
      <c r="AD699" s="424" t="s">
        <v>2851</v>
      </c>
      <c r="AE699" s="424" t="s">
        <v>3467</v>
      </c>
      <c r="AF699" s="424"/>
      <c r="AG699" s="424"/>
      <c r="AH699" s="424"/>
    </row>
    <row r="700" spans="1:34" x14ac:dyDescent="0.25">
      <c r="A700" s="423" t="s">
        <v>4454</v>
      </c>
      <c r="B700" s="423" t="s">
        <v>4769</v>
      </c>
      <c r="C700" s="423" t="s">
        <v>70</v>
      </c>
      <c r="D700" s="423" t="s">
        <v>4456</v>
      </c>
      <c r="E700" s="423" t="s">
        <v>2818</v>
      </c>
      <c r="F700" s="423">
        <v>4</v>
      </c>
      <c r="G700" s="423">
        <v>7</v>
      </c>
      <c r="H700" s="423">
        <v>99</v>
      </c>
      <c r="J700" s="423"/>
      <c r="K700" s="423"/>
      <c r="L700" s="423"/>
      <c r="M700" s="423"/>
      <c r="Q700" s="423"/>
      <c r="R700" s="424" t="s">
        <v>4769</v>
      </c>
      <c r="S700" s="424" t="s">
        <v>2846</v>
      </c>
      <c r="T700" s="424" t="s">
        <v>3356</v>
      </c>
      <c r="U700" s="424">
        <v>0</v>
      </c>
      <c r="V700" s="424" t="s">
        <v>70</v>
      </c>
      <c r="W700" s="424" t="s">
        <v>3055</v>
      </c>
      <c r="X700" s="424" t="s">
        <v>2224</v>
      </c>
      <c r="Y700" s="424" t="s">
        <v>2279</v>
      </c>
      <c r="Z700" s="424" t="s">
        <v>2848</v>
      </c>
      <c r="AA700" s="424" t="s">
        <v>2855</v>
      </c>
      <c r="AB700" s="424" t="s">
        <v>4770</v>
      </c>
      <c r="AC700" s="424" t="s">
        <v>1953</v>
      </c>
      <c r="AD700" s="424" t="s">
        <v>2851</v>
      </c>
      <c r="AE700" s="424" t="s">
        <v>3168</v>
      </c>
      <c r="AF700" s="424"/>
      <c r="AG700" s="424"/>
      <c r="AH700" s="424"/>
    </row>
    <row r="701" spans="1:34" x14ac:dyDescent="0.25">
      <c r="A701" s="423" t="s">
        <v>4454</v>
      </c>
      <c r="B701" s="423" t="s">
        <v>4771</v>
      </c>
      <c r="C701" s="423" t="s">
        <v>70</v>
      </c>
      <c r="D701" s="423" t="s">
        <v>4456</v>
      </c>
      <c r="E701" s="423" t="s">
        <v>2818</v>
      </c>
      <c r="F701" s="423">
        <v>19</v>
      </c>
      <c r="G701" s="423">
        <v>31</v>
      </c>
      <c r="H701" s="423">
        <v>127</v>
      </c>
      <c r="J701" s="423"/>
      <c r="K701" s="423"/>
      <c r="L701" s="423"/>
      <c r="M701" s="423"/>
      <c r="Q701" s="423"/>
      <c r="R701" s="424" t="s">
        <v>4772</v>
      </c>
      <c r="S701" s="424" t="s">
        <v>2846</v>
      </c>
      <c r="T701" s="424" t="s">
        <v>2870</v>
      </c>
      <c r="U701" s="424">
        <v>0</v>
      </c>
      <c r="V701" s="424" t="s">
        <v>70</v>
      </c>
      <c r="W701" s="424" t="s">
        <v>2871</v>
      </c>
      <c r="X701" s="424" t="s">
        <v>3298</v>
      </c>
      <c r="Y701" s="424" t="s">
        <v>2279</v>
      </c>
      <c r="Z701" s="424" t="s">
        <v>2872</v>
      </c>
      <c r="AA701" s="424" t="s">
        <v>2873</v>
      </c>
      <c r="AB701" s="424" t="s">
        <v>4773</v>
      </c>
      <c r="AC701" s="424" t="s">
        <v>1953</v>
      </c>
      <c r="AD701" s="424" t="s">
        <v>2892</v>
      </c>
      <c r="AE701" s="424" t="s">
        <v>2897</v>
      </c>
      <c r="AF701" s="424"/>
      <c r="AG701" s="424"/>
      <c r="AH701" s="424"/>
    </row>
    <row r="702" spans="1:34" x14ac:dyDescent="0.25">
      <c r="A702" s="423" t="s">
        <v>4454</v>
      </c>
      <c r="B702" s="423" t="s">
        <v>4774</v>
      </c>
      <c r="C702" s="423" t="s">
        <v>70</v>
      </c>
      <c r="D702" s="423" t="s">
        <v>4456</v>
      </c>
      <c r="E702" s="423" t="s">
        <v>2818</v>
      </c>
      <c r="F702" s="423">
        <v>19</v>
      </c>
      <c r="G702" s="423">
        <v>31</v>
      </c>
      <c r="H702" s="423">
        <v>127</v>
      </c>
      <c r="J702" s="423"/>
      <c r="K702" s="423"/>
      <c r="L702" s="423"/>
      <c r="M702" s="423"/>
      <c r="Q702" s="423"/>
      <c r="R702" s="424" t="s">
        <v>4775</v>
      </c>
      <c r="S702" s="424" t="s">
        <v>2846</v>
      </c>
      <c r="T702" s="424" t="s">
        <v>2870</v>
      </c>
      <c r="U702" s="424">
        <v>0</v>
      </c>
      <c r="V702" s="424" t="s">
        <v>70</v>
      </c>
      <c r="W702" s="424" t="s">
        <v>2974</v>
      </c>
      <c r="X702" s="424" t="s">
        <v>3298</v>
      </c>
      <c r="Y702" s="424" t="s">
        <v>2279</v>
      </c>
      <c r="Z702" s="424" t="s">
        <v>2872</v>
      </c>
      <c r="AA702" s="424" t="s">
        <v>2873</v>
      </c>
      <c r="AB702" s="424" t="s">
        <v>4776</v>
      </c>
      <c r="AC702" s="424" t="s">
        <v>1953</v>
      </c>
      <c r="AD702" s="424" t="s">
        <v>2892</v>
      </c>
      <c r="AE702" s="424" t="s">
        <v>4463</v>
      </c>
      <c r="AF702" s="424"/>
      <c r="AG702" s="424"/>
      <c r="AH702" s="424"/>
    </row>
    <row r="703" spans="1:34" x14ac:dyDescent="0.25">
      <c r="A703" s="423" t="s">
        <v>4454</v>
      </c>
      <c r="B703" s="423" t="s">
        <v>4777</v>
      </c>
      <c r="C703" s="423" t="s">
        <v>70</v>
      </c>
      <c r="D703" s="423" t="s">
        <v>4456</v>
      </c>
      <c r="E703" s="423" t="s">
        <v>2818</v>
      </c>
      <c r="F703" s="423">
        <v>19</v>
      </c>
      <c r="G703" s="423">
        <v>31</v>
      </c>
      <c r="H703" s="423">
        <v>127</v>
      </c>
      <c r="J703" s="423"/>
      <c r="K703" s="423"/>
      <c r="L703" s="423"/>
      <c r="M703" s="423"/>
      <c r="Q703" s="423"/>
      <c r="R703" s="424" t="s">
        <v>4778</v>
      </c>
      <c r="S703" s="424" t="s">
        <v>2846</v>
      </c>
      <c r="T703" s="424" t="s">
        <v>2870</v>
      </c>
      <c r="U703" s="424">
        <v>0</v>
      </c>
      <c r="V703" s="424" t="s">
        <v>70</v>
      </c>
      <c r="W703" s="424" t="s">
        <v>3054</v>
      </c>
      <c r="X703" s="424" t="s">
        <v>3298</v>
      </c>
      <c r="Y703" s="424" t="s">
        <v>2279</v>
      </c>
      <c r="Z703" s="424" t="s">
        <v>2848</v>
      </c>
      <c r="AA703" s="424" t="s">
        <v>2855</v>
      </c>
      <c r="AB703" s="424" t="s">
        <v>2900</v>
      </c>
      <c r="AC703" s="424" t="s">
        <v>1953</v>
      </c>
      <c r="AD703" s="424" t="s">
        <v>2851</v>
      </c>
      <c r="AE703" s="424" t="s">
        <v>2901</v>
      </c>
      <c r="AF703" s="424"/>
      <c r="AG703" s="424"/>
      <c r="AH703" s="424"/>
    </row>
    <row r="704" spans="1:34" x14ac:dyDescent="0.25">
      <c r="A704" s="423" t="s">
        <v>4454</v>
      </c>
      <c r="B704" s="423" t="s">
        <v>4779</v>
      </c>
      <c r="C704" s="423" t="s">
        <v>70</v>
      </c>
      <c r="D704" s="423" t="s">
        <v>4456</v>
      </c>
      <c r="E704" s="423" t="s">
        <v>2818</v>
      </c>
      <c r="F704" s="423">
        <v>8</v>
      </c>
      <c r="G704" s="423">
        <v>31</v>
      </c>
      <c r="H704" s="423">
        <v>90</v>
      </c>
      <c r="J704" s="423"/>
      <c r="K704" s="423"/>
      <c r="L704" s="423"/>
      <c r="M704" s="423"/>
      <c r="Q704" s="423"/>
      <c r="R704" s="424" t="s">
        <v>4780</v>
      </c>
      <c r="S704" s="424" t="s">
        <v>2846</v>
      </c>
      <c r="T704" s="424" t="s">
        <v>2870</v>
      </c>
      <c r="U704" s="424">
        <v>0</v>
      </c>
      <c r="V704" s="424" t="s">
        <v>70</v>
      </c>
      <c r="W704" s="424" t="s">
        <v>2974</v>
      </c>
      <c r="X704" s="424" t="s">
        <v>2224</v>
      </c>
      <c r="Y704" s="424" t="s">
        <v>2279</v>
      </c>
      <c r="Z704" s="424" t="s">
        <v>2889</v>
      </c>
      <c r="AA704" s="424" t="s">
        <v>2890</v>
      </c>
      <c r="AB704" s="424" t="s">
        <v>4605</v>
      </c>
      <c r="AC704" s="424" t="s">
        <v>1953</v>
      </c>
      <c r="AD704" s="424" t="s">
        <v>2892</v>
      </c>
      <c r="AE704" s="424" t="s">
        <v>2940</v>
      </c>
      <c r="AF704" s="424"/>
      <c r="AG704" s="424"/>
      <c r="AH704" s="424"/>
    </row>
    <row r="705" spans="1:34" x14ac:dyDescent="0.25">
      <c r="A705" s="423" t="s">
        <v>4454</v>
      </c>
      <c r="B705" s="423" t="s">
        <v>4781</v>
      </c>
      <c r="C705" s="423" t="s">
        <v>70</v>
      </c>
      <c r="D705" s="423" t="s">
        <v>4456</v>
      </c>
      <c r="E705" s="423" t="s">
        <v>2818</v>
      </c>
      <c r="F705" s="423">
        <v>8</v>
      </c>
      <c r="G705" s="423">
        <v>31</v>
      </c>
      <c r="H705" s="423">
        <v>90</v>
      </c>
      <c r="J705" s="423"/>
      <c r="K705" s="423"/>
      <c r="L705" s="423"/>
      <c r="M705" s="423"/>
      <c r="Q705" s="423"/>
      <c r="R705" s="424" t="s">
        <v>4782</v>
      </c>
      <c r="S705" s="424" t="s">
        <v>2846</v>
      </c>
      <c r="T705" s="424" t="s">
        <v>2870</v>
      </c>
      <c r="U705" s="424">
        <v>0</v>
      </c>
      <c r="V705" s="424" t="s">
        <v>70</v>
      </c>
      <c r="W705" s="424" t="s">
        <v>2871</v>
      </c>
      <c r="X705" s="424" t="s">
        <v>2224</v>
      </c>
      <c r="Y705" s="424" t="s">
        <v>2279</v>
      </c>
      <c r="Z705" s="424" t="s">
        <v>2848</v>
      </c>
      <c r="AA705" s="424" t="s">
        <v>2855</v>
      </c>
      <c r="AB705" s="424" t="s">
        <v>3471</v>
      </c>
      <c r="AC705" s="424" t="s">
        <v>1953</v>
      </c>
      <c r="AD705" s="424" t="s">
        <v>2851</v>
      </c>
      <c r="AE705" s="424" t="s">
        <v>2901</v>
      </c>
      <c r="AF705" s="424"/>
      <c r="AG705" s="424"/>
      <c r="AH705" s="424"/>
    </row>
    <row r="706" spans="1:34" x14ac:dyDescent="0.25">
      <c r="A706" s="423" t="s">
        <v>4454</v>
      </c>
      <c r="B706" s="423" t="s">
        <v>4783</v>
      </c>
      <c r="C706" s="423" t="s">
        <v>70</v>
      </c>
      <c r="D706" s="423" t="s">
        <v>4456</v>
      </c>
      <c r="E706" s="423" t="s">
        <v>2818</v>
      </c>
      <c r="F706" s="423">
        <v>8</v>
      </c>
      <c r="G706" s="423">
        <v>31</v>
      </c>
      <c r="H706" s="423">
        <v>90</v>
      </c>
      <c r="J706" s="423"/>
      <c r="K706" s="423"/>
      <c r="L706" s="423"/>
      <c r="M706" s="423"/>
      <c r="Q706" s="423"/>
      <c r="R706" s="424" t="s">
        <v>4784</v>
      </c>
      <c r="S706" s="424" t="s">
        <v>2846</v>
      </c>
      <c r="T706" s="424" t="s">
        <v>2870</v>
      </c>
      <c r="U706" s="424">
        <v>0</v>
      </c>
      <c r="V706" s="424" t="s">
        <v>70</v>
      </c>
      <c r="W706" s="424" t="s">
        <v>3074</v>
      </c>
      <c r="X706" s="424" t="s">
        <v>2224</v>
      </c>
      <c r="Y706" s="424" t="s">
        <v>2279</v>
      </c>
      <c r="Z706" s="424" t="s">
        <v>2872</v>
      </c>
      <c r="AA706" s="424" t="s">
        <v>2873</v>
      </c>
      <c r="AB706" s="424" t="s">
        <v>4577</v>
      </c>
      <c r="AC706" s="424" t="s">
        <v>1953</v>
      </c>
      <c r="AD706" s="424" t="s">
        <v>2892</v>
      </c>
      <c r="AE706" s="424" t="s">
        <v>4459</v>
      </c>
      <c r="AF706" s="424"/>
      <c r="AG706" s="424"/>
      <c r="AH706" s="424"/>
    </row>
    <row r="707" spans="1:34" x14ac:dyDescent="0.25">
      <c r="A707" s="423" t="s">
        <v>4454</v>
      </c>
      <c r="B707" s="423" t="s">
        <v>4785</v>
      </c>
      <c r="C707" s="423" t="s">
        <v>70</v>
      </c>
      <c r="D707" s="423" t="s">
        <v>4456</v>
      </c>
      <c r="E707" s="423" t="s">
        <v>2818</v>
      </c>
      <c r="F707" s="423">
        <v>8</v>
      </c>
      <c r="G707" s="423">
        <v>31</v>
      </c>
      <c r="H707" s="423">
        <v>90</v>
      </c>
      <c r="J707" s="423"/>
      <c r="K707" s="423"/>
      <c r="L707" s="423"/>
      <c r="M707" s="423"/>
      <c r="Q707" s="423"/>
      <c r="R707" s="424" t="s">
        <v>4786</v>
      </c>
      <c r="S707" s="424" t="s">
        <v>2846</v>
      </c>
      <c r="T707" s="424" t="s">
        <v>2870</v>
      </c>
      <c r="U707" s="424">
        <v>0</v>
      </c>
      <c r="V707" s="424" t="s">
        <v>70</v>
      </c>
      <c r="W707" s="424" t="s">
        <v>2974</v>
      </c>
      <c r="X707" s="424" t="s">
        <v>2224</v>
      </c>
      <c r="Y707" s="424" t="s">
        <v>2279</v>
      </c>
      <c r="Z707" s="424" t="s">
        <v>2872</v>
      </c>
      <c r="AA707" s="424" t="s">
        <v>2873</v>
      </c>
      <c r="AB707" s="424" t="s">
        <v>4787</v>
      </c>
      <c r="AC707" s="424" t="s">
        <v>1953</v>
      </c>
      <c r="AD707" s="424" t="s">
        <v>2892</v>
      </c>
      <c r="AE707" s="424" t="s">
        <v>4219</v>
      </c>
      <c r="AF707" s="424"/>
      <c r="AG707" s="424"/>
      <c r="AH707" s="424"/>
    </row>
    <row r="708" spans="1:34" x14ac:dyDescent="0.25">
      <c r="A708" s="423" t="s">
        <v>4454</v>
      </c>
      <c r="B708" s="423" t="s">
        <v>4788</v>
      </c>
      <c r="C708" s="423" t="s">
        <v>70</v>
      </c>
      <c r="D708" s="423" t="s">
        <v>4456</v>
      </c>
      <c r="E708" s="423" t="s">
        <v>2818</v>
      </c>
      <c r="F708" s="423">
        <v>8</v>
      </c>
      <c r="G708" s="423">
        <v>31</v>
      </c>
      <c r="H708" s="423">
        <v>90</v>
      </c>
      <c r="J708" s="423"/>
      <c r="K708" s="423"/>
      <c r="L708" s="423"/>
      <c r="M708" s="423"/>
      <c r="Q708" s="423"/>
      <c r="R708" s="424" t="s">
        <v>4789</v>
      </c>
      <c r="S708" s="424" t="s">
        <v>2846</v>
      </c>
      <c r="T708" s="424" t="s">
        <v>2870</v>
      </c>
      <c r="U708" s="424">
        <v>0</v>
      </c>
      <c r="V708" s="424" t="s">
        <v>70</v>
      </c>
      <c r="W708" s="424" t="s">
        <v>3176</v>
      </c>
      <c r="X708" s="424" t="s">
        <v>2224</v>
      </c>
      <c r="Y708" s="424" t="s">
        <v>2279</v>
      </c>
      <c r="Z708" s="424" t="s">
        <v>2848</v>
      </c>
      <c r="AA708" s="424" t="s">
        <v>2855</v>
      </c>
      <c r="AB708" s="424" t="s">
        <v>3486</v>
      </c>
      <c r="AC708" s="424" t="s">
        <v>1953</v>
      </c>
      <c r="AD708" s="424" t="s">
        <v>2851</v>
      </c>
      <c r="AE708" s="424" t="s">
        <v>2901</v>
      </c>
      <c r="AF708" s="424"/>
      <c r="AG708" s="424"/>
      <c r="AH708" s="424"/>
    </row>
    <row r="709" spans="1:34" x14ac:dyDescent="0.25">
      <c r="A709" s="423" t="s">
        <v>4454</v>
      </c>
      <c r="B709" s="423" t="s">
        <v>4790</v>
      </c>
      <c r="C709" s="423" t="s">
        <v>70</v>
      </c>
      <c r="D709" s="423" t="s">
        <v>4456</v>
      </c>
      <c r="E709" s="423" t="s">
        <v>2818</v>
      </c>
      <c r="F709" s="423">
        <v>8</v>
      </c>
      <c r="G709" s="423">
        <v>31</v>
      </c>
      <c r="H709" s="423">
        <v>90</v>
      </c>
      <c r="J709" s="423"/>
      <c r="K709" s="423"/>
      <c r="L709" s="423"/>
      <c r="M709" s="423"/>
      <c r="Q709" s="423"/>
      <c r="R709" s="424" t="s">
        <v>4791</v>
      </c>
      <c r="S709" s="424" t="s">
        <v>2846</v>
      </c>
      <c r="T709" s="424" t="s">
        <v>2870</v>
      </c>
      <c r="U709" s="424">
        <v>0</v>
      </c>
      <c r="V709" s="424" t="s">
        <v>70</v>
      </c>
      <c r="W709" s="424" t="s">
        <v>3074</v>
      </c>
      <c r="X709" s="424" t="s">
        <v>2224</v>
      </c>
      <c r="Y709" s="424" t="s">
        <v>2279</v>
      </c>
      <c r="Z709" s="424" t="s">
        <v>2872</v>
      </c>
      <c r="AA709" s="424" t="s">
        <v>2873</v>
      </c>
      <c r="AB709" s="424" t="s">
        <v>4792</v>
      </c>
      <c r="AC709" s="424" t="s">
        <v>1953</v>
      </c>
      <c r="AD709" s="424" t="s">
        <v>2892</v>
      </c>
      <c r="AE709" s="424" t="s">
        <v>4459</v>
      </c>
      <c r="AF709" s="424"/>
      <c r="AG709" s="424"/>
      <c r="AH709" s="424"/>
    </row>
    <row r="710" spans="1:34" x14ac:dyDescent="0.25">
      <c r="A710" s="423" t="s">
        <v>4454</v>
      </c>
      <c r="B710" s="423" t="s">
        <v>4793</v>
      </c>
      <c r="C710" s="423" t="s">
        <v>70</v>
      </c>
      <c r="D710" s="423" t="s">
        <v>4456</v>
      </c>
      <c r="E710" s="423" t="s">
        <v>2818</v>
      </c>
      <c r="F710" s="423">
        <v>8</v>
      </c>
      <c r="G710" s="423">
        <v>31</v>
      </c>
      <c r="H710" s="423">
        <v>90</v>
      </c>
      <c r="J710" s="423"/>
      <c r="K710" s="423"/>
      <c r="L710" s="423"/>
      <c r="M710" s="423"/>
      <c r="Q710" s="423"/>
      <c r="R710" s="424" t="s">
        <v>4794</v>
      </c>
      <c r="S710" s="424" t="s">
        <v>2846</v>
      </c>
      <c r="T710" s="424" t="s">
        <v>2870</v>
      </c>
      <c r="U710" s="424">
        <v>0</v>
      </c>
      <c r="V710" s="424" t="s">
        <v>70</v>
      </c>
      <c r="W710" s="424" t="s">
        <v>2974</v>
      </c>
      <c r="X710" s="424" t="s">
        <v>2224</v>
      </c>
      <c r="Y710" s="424" t="s">
        <v>2279</v>
      </c>
      <c r="Z710" s="424" t="s">
        <v>2872</v>
      </c>
      <c r="AA710" s="424" t="s">
        <v>2873</v>
      </c>
      <c r="AB710" s="424" t="s">
        <v>4795</v>
      </c>
      <c r="AC710" s="424" t="s">
        <v>1953</v>
      </c>
      <c r="AD710" s="424" t="s">
        <v>2892</v>
      </c>
      <c r="AE710" s="424" t="s">
        <v>4219</v>
      </c>
      <c r="AF710" s="424"/>
      <c r="AG710" s="424"/>
      <c r="AH710" s="424"/>
    </row>
    <row r="711" spans="1:34" x14ac:dyDescent="0.25">
      <c r="A711" s="423" t="s">
        <v>4454</v>
      </c>
      <c r="B711" s="423" t="s">
        <v>4796</v>
      </c>
      <c r="C711" s="423" t="s">
        <v>70</v>
      </c>
      <c r="D711" s="423" t="s">
        <v>4456</v>
      </c>
      <c r="E711" s="423" t="s">
        <v>2818</v>
      </c>
      <c r="F711" s="423">
        <v>8</v>
      </c>
      <c r="G711" s="423">
        <v>31</v>
      </c>
      <c r="H711" s="423">
        <v>90</v>
      </c>
      <c r="J711" s="423"/>
      <c r="K711" s="423"/>
      <c r="L711" s="423"/>
      <c r="M711" s="423"/>
      <c r="Q711" s="423"/>
      <c r="R711" s="424" t="s">
        <v>4797</v>
      </c>
      <c r="S711" s="424" t="s">
        <v>2846</v>
      </c>
      <c r="T711" s="424" t="s">
        <v>2870</v>
      </c>
      <c r="U711" s="424">
        <v>0</v>
      </c>
      <c r="V711" s="424" t="s">
        <v>70</v>
      </c>
      <c r="W711" s="424" t="s">
        <v>2871</v>
      </c>
      <c r="X711" s="424" t="s">
        <v>2224</v>
      </c>
      <c r="Y711" s="424" t="s">
        <v>2279</v>
      </c>
      <c r="Z711" s="424" t="s">
        <v>2848</v>
      </c>
      <c r="AA711" s="424" t="s">
        <v>2855</v>
      </c>
      <c r="AB711" s="424" t="s">
        <v>3822</v>
      </c>
      <c r="AC711" s="424" t="s">
        <v>1953</v>
      </c>
      <c r="AD711" s="424" t="s">
        <v>2851</v>
      </c>
      <c r="AE711" s="424" t="s">
        <v>2901</v>
      </c>
      <c r="AF711" s="424"/>
      <c r="AG711" s="424"/>
      <c r="AH711" s="424"/>
    </row>
    <row r="712" spans="1:34" x14ac:dyDescent="0.25">
      <c r="A712" s="423" t="s">
        <v>4454</v>
      </c>
      <c r="B712" s="423" t="s">
        <v>4798</v>
      </c>
      <c r="C712" s="423" t="s">
        <v>70</v>
      </c>
      <c r="D712" s="423" t="s">
        <v>4456</v>
      </c>
      <c r="E712" s="423" t="s">
        <v>2818</v>
      </c>
      <c r="F712" s="423">
        <v>8</v>
      </c>
      <c r="G712" s="423">
        <v>30</v>
      </c>
      <c r="H712" s="423">
        <v>83</v>
      </c>
      <c r="J712" s="423"/>
      <c r="K712" s="423"/>
      <c r="L712" s="423"/>
      <c r="M712" s="423"/>
      <c r="Q712" s="423"/>
      <c r="R712" s="424" t="s">
        <v>4799</v>
      </c>
      <c r="S712" s="424" t="s">
        <v>2846</v>
      </c>
      <c r="T712" s="424" t="s">
        <v>4608</v>
      </c>
      <c r="U712" s="424">
        <v>0</v>
      </c>
      <c r="V712" s="424" t="s">
        <v>70</v>
      </c>
      <c r="W712" s="424" t="s">
        <v>3074</v>
      </c>
      <c r="X712" s="424" t="s">
        <v>2224</v>
      </c>
      <c r="Y712" s="424" t="s">
        <v>2279</v>
      </c>
      <c r="Z712" s="424" t="s">
        <v>2872</v>
      </c>
      <c r="AA712" s="424" t="s">
        <v>3197</v>
      </c>
      <c r="AB712" s="424" t="s">
        <v>3386</v>
      </c>
      <c r="AC712" s="424" t="s">
        <v>1953</v>
      </c>
      <c r="AD712" s="424" t="s">
        <v>2892</v>
      </c>
      <c r="AE712" s="424" t="s">
        <v>3387</v>
      </c>
      <c r="AF712" s="424"/>
      <c r="AG712" s="424"/>
      <c r="AH712" s="424"/>
    </row>
    <row r="713" spans="1:34" x14ac:dyDescent="0.25">
      <c r="A713" s="423" t="s">
        <v>4454</v>
      </c>
      <c r="B713" s="423" t="s">
        <v>4800</v>
      </c>
      <c r="C713" s="423" t="s">
        <v>70</v>
      </c>
      <c r="D713" s="423" t="s">
        <v>4456</v>
      </c>
      <c r="E713" s="423" t="s">
        <v>2818</v>
      </c>
      <c r="F713" s="423">
        <v>8</v>
      </c>
      <c r="G713" s="423">
        <v>30</v>
      </c>
      <c r="H713" s="423">
        <v>83</v>
      </c>
      <c r="J713" s="423"/>
      <c r="K713" s="423"/>
      <c r="L713" s="423"/>
      <c r="M713" s="423"/>
      <c r="Q713" s="423"/>
      <c r="R713" s="424" t="s">
        <v>4801</v>
      </c>
      <c r="S713" s="424" t="s">
        <v>2846</v>
      </c>
      <c r="T713" s="424" t="s">
        <v>4608</v>
      </c>
      <c r="U713" s="424">
        <v>0</v>
      </c>
      <c r="V713" s="424" t="s">
        <v>70</v>
      </c>
      <c r="W713" s="424" t="s">
        <v>3074</v>
      </c>
      <c r="X713" s="424" t="s">
        <v>2224</v>
      </c>
      <c r="Y713" s="424" t="s">
        <v>2279</v>
      </c>
      <c r="Z713" s="424" t="s">
        <v>2872</v>
      </c>
      <c r="AA713" s="424" t="s">
        <v>3197</v>
      </c>
      <c r="AB713" s="424" t="s">
        <v>3351</v>
      </c>
      <c r="AC713" s="424" t="s">
        <v>1953</v>
      </c>
      <c r="AD713" s="424" t="s">
        <v>2892</v>
      </c>
      <c r="AE713" s="424" t="s">
        <v>3348</v>
      </c>
      <c r="AF713" s="424"/>
      <c r="AG713" s="424"/>
      <c r="AH713" s="424"/>
    </row>
    <row r="714" spans="1:34" x14ac:dyDescent="0.25">
      <c r="A714" s="423" t="s">
        <v>4454</v>
      </c>
      <c r="B714" s="423" t="s">
        <v>4802</v>
      </c>
      <c r="C714" s="423" t="s">
        <v>70</v>
      </c>
      <c r="D714" s="423" t="s">
        <v>4456</v>
      </c>
      <c r="E714" s="423" t="s">
        <v>2818</v>
      </c>
      <c r="F714" s="423">
        <v>8</v>
      </c>
      <c r="G714" s="423">
        <v>30</v>
      </c>
      <c r="H714" s="423">
        <v>83</v>
      </c>
      <c r="J714" s="423"/>
      <c r="K714" s="423"/>
      <c r="L714" s="423"/>
      <c r="M714" s="423"/>
      <c r="Q714" s="423"/>
      <c r="R714" s="424" t="s">
        <v>4803</v>
      </c>
      <c r="S714" s="424" t="s">
        <v>2846</v>
      </c>
      <c r="T714" s="424" t="s">
        <v>4608</v>
      </c>
      <c r="U714" s="424">
        <v>0</v>
      </c>
      <c r="V714" s="424" t="s">
        <v>70</v>
      </c>
      <c r="W714" s="424" t="s">
        <v>3074</v>
      </c>
      <c r="X714" s="424" t="s">
        <v>2224</v>
      </c>
      <c r="Y714" s="424" t="s">
        <v>2279</v>
      </c>
      <c r="Z714" s="424" t="s">
        <v>2872</v>
      </c>
      <c r="AA714" s="424" t="s">
        <v>3197</v>
      </c>
      <c r="AB714" s="424" t="s">
        <v>3347</v>
      </c>
      <c r="AC714" s="424" t="s">
        <v>1953</v>
      </c>
      <c r="AD714" s="424" t="s">
        <v>2892</v>
      </c>
      <c r="AE714" s="424" t="s">
        <v>3348</v>
      </c>
      <c r="AF714" s="424"/>
      <c r="AG714" s="424"/>
      <c r="AH714" s="424"/>
    </row>
    <row r="715" spans="1:34" x14ac:dyDescent="0.25">
      <c r="A715" s="423" t="s">
        <v>4454</v>
      </c>
      <c r="B715" s="423" t="s">
        <v>4804</v>
      </c>
      <c r="C715" s="423" t="s">
        <v>70</v>
      </c>
      <c r="D715" s="423" t="s">
        <v>4456</v>
      </c>
      <c r="E715" s="423" t="s">
        <v>2818</v>
      </c>
      <c r="F715" s="423">
        <v>8</v>
      </c>
      <c r="G715" s="423">
        <v>30</v>
      </c>
      <c r="H715" s="423">
        <v>83</v>
      </c>
      <c r="J715" s="423"/>
      <c r="K715" s="423"/>
      <c r="L715" s="423"/>
      <c r="M715" s="423"/>
      <c r="Q715" s="423"/>
      <c r="R715" s="424" t="s">
        <v>4805</v>
      </c>
      <c r="S715" s="424" t="s">
        <v>2846</v>
      </c>
      <c r="T715" s="424" t="s">
        <v>4608</v>
      </c>
      <c r="U715" s="424">
        <v>0</v>
      </c>
      <c r="V715" s="424" t="s">
        <v>70</v>
      </c>
      <c r="W715" s="424" t="s">
        <v>3074</v>
      </c>
      <c r="X715" s="424" t="s">
        <v>2224</v>
      </c>
      <c r="Y715" s="424" t="s">
        <v>2279</v>
      </c>
      <c r="Z715" s="424" t="s">
        <v>2872</v>
      </c>
      <c r="AA715" s="424" t="s">
        <v>3197</v>
      </c>
      <c r="AB715" s="424" t="s">
        <v>3803</v>
      </c>
      <c r="AC715" s="424" t="s">
        <v>1953</v>
      </c>
      <c r="AD715" s="424" t="s">
        <v>2892</v>
      </c>
      <c r="AE715" s="424" t="s">
        <v>3348</v>
      </c>
      <c r="AF715" s="424"/>
      <c r="AG715" s="424"/>
      <c r="AH715" s="424"/>
    </row>
    <row r="716" spans="1:34" x14ac:dyDescent="0.25">
      <c r="A716" s="423" t="s">
        <v>4454</v>
      </c>
      <c r="B716" s="423" t="s">
        <v>4806</v>
      </c>
      <c r="C716" s="423" t="s">
        <v>70</v>
      </c>
      <c r="D716" s="423" t="s">
        <v>4456</v>
      </c>
      <c r="E716" s="423" t="s">
        <v>2818</v>
      </c>
      <c r="F716" s="423">
        <v>8</v>
      </c>
      <c r="G716" s="423">
        <v>30</v>
      </c>
      <c r="H716" s="423">
        <v>83</v>
      </c>
      <c r="J716" s="423"/>
      <c r="K716" s="423"/>
      <c r="L716" s="423"/>
      <c r="M716" s="423"/>
      <c r="Q716" s="423"/>
      <c r="R716" s="424" t="s">
        <v>4807</v>
      </c>
      <c r="S716" s="424" t="s">
        <v>2846</v>
      </c>
      <c r="T716" s="424" t="s">
        <v>4608</v>
      </c>
      <c r="U716" s="424">
        <v>0</v>
      </c>
      <c r="V716" s="424" t="s">
        <v>70</v>
      </c>
      <c r="W716" s="424" t="s">
        <v>3074</v>
      </c>
      <c r="X716" s="424" t="s">
        <v>2224</v>
      </c>
      <c r="Y716" s="424" t="s">
        <v>2279</v>
      </c>
      <c r="Z716" s="424" t="s">
        <v>2872</v>
      </c>
      <c r="AA716" s="424" t="s">
        <v>3197</v>
      </c>
      <c r="AB716" s="424" t="s">
        <v>3784</v>
      </c>
      <c r="AC716" s="424" t="s">
        <v>1953</v>
      </c>
      <c r="AD716" s="424" t="s">
        <v>2892</v>
      </c>
      <c r="AE716" s="424" t="s">
        <v>3387</v>
      </c>
      <c r="AF716" s="424"/>
      <c r="AG716" s="424"/>
      <c r="AH716" s="424"/>
    </row>
    <row r="717" spans="1:34" x14ac:dyDescent="0.25">
      <c r="A717" s="423" t="s">
        <v>4454</v>
      </c>
      <c r="B717" s="423" t="s">
        <v>4808</v>
      </c>
      <c r="C717" s="423" t="s">
        <v>70</v>
      </c>
      <c r="D717" s="423" t="s">
        <v>4456</v>
      </c>
      <c r="E717" s="423" t="s">
        <v>2818</v>
      </c>
      <c r="F717" s="423">
        <v>8</v>
      </c>
      <c r="G717" s="423">
        <v>30</v>
      </c>
      <c r="H717" s="423">
        <v>83</v>
      </c>
      <c r="J717" s="423"/>
      <c r="K717" s="423"/>
      <c r="L717" s="423"/>
      <c r="M717" s="423"/>
      <c r="Q717" s="423"/>
      <c r="R717" s="424" t="s">
        <v>4809</v>
      </c>
      <c r="S717" s="424" t="s">
        <v>2846</v>
      </c>
      <c r="T717" s="424" t="s">
        <v>4608</v>
      </c>
      <c r="U717" s="424">
        <v>0</v>
      </c>
      <c r="V717" s="424" t="s">
        <v>70</v>
      </c>
      <c r="W717" s="424" t="s">
        <v>3074</v>
      </c>
      <c r="X717" s="424" t="s">
        <v>2224</v>
      </c>
      <c r="Y717" s="424" t="s">
        <v>2279</v>
      </c>
      <c r="Z717" s="424" t="s">
        <v>2872</v>
      </c>
      <c r="AA717" s="424" t="s">
        <v>3197</v>
      </c>
      <c r="AB717" s="424" t="s">
        <v>3408</v>
      </c>
      <c r="AC717" s="424" t="s">
        <v>1953</v>
      </c>
      <c r="AD717" s="424" t="s">
        <v>2892</v>
      </c>
      <c r="AE717" s="424" t="s">
        <v>3348</v>
      </c>
      <c r="AF717" s="424"/>
      <c r="AG717" s="424"/>
      <c r="AH717" s="424"/>
    </row>
    <row r="718" spans="1:34" x14ac:dyDescent="0.25">
      <c r="A718" s="423" t="s">
        <v>4454</v>
      </c>
      <c r="B718" s="423" t="s">
        <v>4810</v>
      </c>
      <c r="C718" s="423" t="s">
        <v>70</v>
      </c>
      <c r="D718" s="423" t="s">
        <v>4456</v>
      </c>
      <c r="E718" s="423" t="s">
        <v>2818</v>
      </c>
      <c r="F718" s="423">
        <v>8</v>
      </c>
      <c r="G718" s="423">
        <v>30</v>
      </c>
      <c r="H718" s="423">
        <v>83</v>
      </c>
      <c r="J718" s="423"/>
      <c r="K718" s="423"/>
      <c r="L718" s="423"/>
      <c r="M718" s="423"/>
      <c r="Q718" s="423"/>
      <c r="R718" s="424" t="s">
        <v>4811</v>
      </c>
      <c r="S718" s="424" t="s">
        <v>2846</v>
      </c>
      <c r="T718" s="424" t="s">
        <v>4608</v>
      </c>
      <c r="U718" s="424">
        <v>0</v>
      </c>
      <c r="V718" s="424" t="s">
        <v>70</v>
      </c>
      <c r="W718" s="424" t="s">
        <v>3074</v>
      </c>
      <c r="X718" s="424" t="s">
        <v>2224</v>
      </c>
      <c r="Y718" s="424" t="s">
        <v>2279</v>
      </c>
      <c r="Z718" s="424" t="s">
        <v>2872</v>
      </c>
      <c r="AA718" s="424" t="s">
        <v>3197</v>
      </c>
      <c r="AB718" s="424" t="s">
        <v>4354</v>
      </c>
      <c r="AC718" s="424" t="s">
        <v>1953</v>
      </c>
      <c r="AD718" s="424" t="s">
        <v>2892</v>
      </c>
      <c r="AE718" s="424" t="s">
        <v>3387</v>
      </c>
      <c r="AF718" s="424"/>
      <c r="AG718" s="424"/>
      <c r="AH718" s="424"/>
    </row>
    <row r="719" spans="1:34" x14ac:dyDescent="0.25">
      <c r="A719" s="423" t="s">
        <v>4454</v>
      </c>
      <c r="B719" s="423" t="s">
        <v>4812</v>
      </c>
      <c r="C719" s="423" t="s">
        <v>70</v>
      </c>
      <c r="D719" s="423" t="s">
        <v>4456</v>
      </c>
      <c r="E719" s="423" t="s">
        <v>2818</v>
      </c>
      <c r="F719" s="423">
        <v>8</v>
      </c>
      <c r="G719" s="423">
        <v>30</v>
      </c>
      <c r="H719" s="423">
        <v>83</v>
      </c>
      <c r="J719" s="423"/>
      <c r="K719" s="423"/>
      <c r="L719" s="423"/>
      <c r="M719" s="423"/>
      <c r="Q719" s="423"/>
      <c r="R719" s="424" t="s">
        <v>4813</v>
      </c>
      <c r="S719" s="424" t="s">
        <v>2846</v>
      </c>
      <c r="T719" s="424" t="s">
        <v>4608</v>
      </c>
      <c r="U719" s="424">
        <v>0</v>
      </c>
      <c r="V719" s="424" t="s">
        <v>70</v>
      </c>
      <c r="W719" s="424" t="s">
        <v>3074</v>
      </c>
      <c r="X719" s="424" t="s">
        <v>2224</v>
      </c>
      <c r="Y719" s="424" t="s">
        <v>2279</v>
      </c>
      <c r="Z719" s="424" t="s">
        <v>2872</v>
      </c>
      <c r="AA719" s="424" t="s">
        <v>3197</v>
      </c>
      <c r="AB719" s="424" t="s">
        <v>3351</v>
      </c>
      <c r="AC719" s="424" t="s">
        <v>1953</v>
      </c>
      <c r="AD719" s="424" t="s">
        <v>2892</v>
      </c>
      <c r="AE719" s="424" t="s">
        <v>3348</v>
      </c>
      <c r="AF719" s="424"/>
      <c r="AG719" s="424"/>
      <c r="AH719" s="424"/>
    </row>
    <row r="720" spans="1:34" x14ac:dyDescent="0.25">
      <c r="A720" s="423" t="s">
        <v>4454</v>
      </c>
      <c r="B720" s="423" t="s">
        <v>4814</v>
      </c>
      <c r="C720" s="423" t="s">
        <v>70</v>
      </c>
      <c r="D720" s="423" t="s">
        <v>4456</v>
      </c>
      <c r="E720" s="423" t="s">
        <v>2818</v>
      </c>
      <c r="F720" s="423">
        <v>8</v>
      </c>
      <c r="G720" s="423">
        <v>30</v>
      </c>
      <c r="H720" s="423">
        <v>83</v>
      </c>
      <c r="J720" s="423"/>
      <c r="K720" s="423"/>
      <c r="L720" s="423"/>
      <c r="M720" s="423"/>
      <c r="Q720" s="423"/>
      <c r="R720" s="424" t="s">
        <v>4815</v>
      </c>
      <c r="S720" s="424" t="s">
        <v>2846</v>
      </c>
      <c r="T720" s="424" t="s">
        <v>4608</v>
      </c>
      <c r="U720" s="424">
        <v>0</v>
      </c>
      <c r="V720" s="424" t="s">
        <v>70</v>
      </c>
      <c r="W720" s="424" t="s">
        <v>3074</v>
      </c>
      <c r="X720" s="424" t="s">
        <v>2224</v>
      </c>
      <c r="Y720" s="424" t="s">
        <v>2279</v>
      </c>
      <c r="Z720" s="424" t="s">
        <v>2872</v>
      </c>
      <c r="AA720" s="424" t="s">
        <v>3197</v>
      </c>
      <c r="AB720" s="424" t="s">
        <v>3347</v>
      </c>
      <c r="AC720" s="424" t="s">
        <v>1953</v>
      </c>
      <c r="AD720" s="424" t="s">
        <v>2892</v>
      </c>
      <c r="AE720" s="424" t="s">
        <v>3348</v>
      </c>
      <c r="AF720" s="424"/>
      <c r="AG720" s="424"/>
      <c r="AH720" s="424"/>
    </row>
    <row r="721" spans="1:34" x14ac:dyDescent="0.25">
      <c r="A721" s="423" t="s">
        <v>4454</v>
      </c>
      <c r="B721" s="423" t="s">
        <v>4816</v>
      </c>
      <c r="C721" s="423" t="s">
        <v>70</v>
      </c>
      <c r="D721" s="423" t="s">
        <v>4456</v>
      </c>
      <c r="E721" s="423" t="s">
        <v>2818</v>
      </c>
      <c r="F721" s="423">
        <v>24</v>
      </c>
      <c r="G721" s="423">
        <v>31</v>
      </c>
      <c r="H721" s="423">
        <v>90</v>
      </c>
      <c r="J721" s="423"/>
      <c r="K721" s="423"/>
      <c r="L721" s="423"/>
      <c r="M721" s="423"/>
      <c r="Q721" s="423"/>
      <c r="R721" s="424" t="s">
        <v>4817</v>
      </c>
      <c r="S721" s="424" t="s">
        <v>2846</v>
      </c>
      <c r="T721" s="424" t="s">
        <v>3356</v>
      </c>
      <c r="U721" s="424">
        <v>0</v>
      </c>
      <c r="V721" s="424" t="s">
        <v>70</v>
      </c>
      <c r="W721" s="424" t="s">
        <v>3074</v>
      </c>
      <c r="X721" s="424" t="s">
        <v>2224</v>
      </c>
      <c r="Y721" s="424" t="s">
        <v>2279</v>
      </c>
      <c r="Z721" s="424" t="s">
        <v>2872</v>
      </c>
      <c r="AA721" s="424" t="s">
        <v>3197</v>
      </c>
      <c r="AB721" s="424" t="s">
        <v>3755</v>
      </c>
      <c r="AC721" s="424" t="s">
        <v>1953</v>
      </c>
      <c r="AD721" s="424" t="s">
        <v>2892</v>
      </c>
      <c r="AE721" s="424" t="s">
        <v>3387</v>
      </c>
      <c r="AF721" s="424"/>
      <c r="AG721" s="424"/>
      <c r="AH721" s="424"/>
    </row>
    <row r="722" spans="1:34" x14ac:dyDescent="0.25">
      <c r="A722" s="423" t="s">
        <v>4454</v>
      </c>
      <c r="B722" s="423" t="s">
        <v>4818</v>
      </c>
      <c r="C722" s="423" t="s">
        <v>70</v>
      </c>
      <c r="D722" s="423" t="s">
        <v>4456</v>
      </c>
      <c r="E722" s="423" t="s">
        <v>2818</v>
      </c>
      <c r="F722" s="423">
        <v>8</v>
      </c>
      <c r="G722" s="423">
        <v>30</v>
      </c>
      <c r="H722" s="423">
        <v>83</v>
      </c>
      <c r="J722" s="423"/>
      <c r="K722" s="423"/>
      <c r="L722" s="423"/>
      <c r="M722" s="423"/>
      <c r="Q722" s="423"/>
      <c r="R722" s="424" t="s">
        <v>4819</v>
      </c>
      <c r="S722" s="424" t="s">
        <v>2846</v>
      </c>
      <c r="T722" s="424" t="s">
        <v>3356</v>
      </c>
      <c r="U722" s="424">
        <v>0</v>
      </c>
      <c r="V722" s="424" t="s">
        <v>70</v>
      </c>
      <c r="W722" s="424" t="s">
        <v>3074</v>
      </c>
      <c r="X722" s="424" t="s">
        <v>2224</v>
      </c>
      <c r="Y722" s="424" t="s">
        <v>2279</v>
      </c>
      <c r="Z722" s="424" t="s">
        <v>2872</v>
      </c>
      <c r="AA722" s="424" t="s">
        <v>3197</v>
      </c>
      <c r="AB722" s="424" t="s">
        <v>3351</v>
      </c>
      <c r="AC722" s="424" t="s">
        <v>1953</v>
      </c>
      <c r="AD722" s="424" t="s">
        <v>2892</v>
      </c>
      <c r="AE722" s="424" t="s">
        <v>3348</v>
      </c>
      <c r="AF722" s="424"/>
      <c r="AG722" s="424"/>
      <c r="AH722" s="424"/>
    </row>
    <row r="723" spans="1:34" x14ac:dyDescent="0.25">
      <c r="A723" s="423" t="s">
        <v>4454</v>
      </c>
      <c r="B723" s="423" t="s">
        <v>4820</v>
      </c>
      <c r="C723" s="423" t="s">
        <v>70</v>
      </c>
      <c r="D723" s="423" t="s">
        <v>4456</v>
      </c>
      <c r="E723" s="423" t="s">
        <v>2818</v>
      </c>
      <c r="F723" s="423">
        <v>8</v>
      </c>
      <c r="G723" s="423">
        <v>30</v>
      </c>
      <c r="H723" s="423">
        <v>83</v>
      </c>
      <c r="J723" s="423"/>
      <c r="K723" s="423"/>
      <c r="L723" s="423"/>
      <c r="M723" s="423"/>
      <c r="Q723" s="423"/>
      <c r="R723" s="424" t="s">
        <v>4821</v>
      </c>
      <c r="S723" s="424" t="s">
        <v>2846</v>
      </c>
      <c r="T723" s="424" t="s">
        <v>3356</v>
      </c>
      <c r="U723" s="424">
        <v>0</v>
      </c>
      <c r="V723" s="424" t="s">
        <v>70</v>
      </c>
      <c r="W723" s="424" t="s">
        <v>3074</v>
      </c>
      <c r="X723" s="424" t="s">
        <v>2224</v>
      </c>
      <c r="Y723" s="424" t="s">
        <v>2279</v>
      </c>
      <c r="Z723" s="424" t="s">
        <v>2872</v>
      </c>
      <c r="AA723" s="424" t="s">
        <v>3197</v>
      </c>
      <c r="AB723" s="424" t="s">
        <v>3392</v>
      </c>
      <c r="AC723" s="424" t="s">
        <v>1953</v>
      </c>
      <c r="AD723" s="424" t="s">
        <v>2892</v>
      </c>
      <c r="AE723" s="424" t="s">
        <v>3348</v>
      </c>
      <c r="AF723" s="424"/>
      <c r="AG723" s="424"/>
      <c r="AH723" s="424"/>
    </row>
    <row r="724" spans="1:34" x14ac:dyDescent="0.25">
      <c r="A724" s="423" t="s">
        <v>4454</v>
      </c>
      <c r="B724" s="423" t="s">
        <v>4822</v>
      </c>
      <c r="C724" s="423" t="s">
        <v>70</v>
      </c>
      <c r="D724" s="423" t="s">
        <v>4456</v>
      </c>
      <c r="E724" s="423" t="s">
        <v>2818</v>
      </c>
      <c r="F724" s="423">
        <v>8</v>
      </c>
      <c r="G724" s="423">
        <v>30</v>
      </c>
      <c r="H724" s="423">
        <v>83</v>
      </c>
      <c r="J724" s="423"/>
      <c r="K724" s="423"/>
      <c r="L724" s="423"/>
      <c r="M724" s="423"/>
      <c r="Q724" s="423"/>
      <c r="R724" s="424" t="s">
        <v>4823</v>
      </c>
      <c r="S724" s="424" t="s">
        <v>2846</v>
      </c>
      <c r="T724" s="424" t="s">
        <v>3356</v>
      </c>
      <c r="U724" s="424">
        <v>0</v>
      </c>
      <c r="V724" s="424" t="s">
        <v>70</v>
      </c>
      <c r="W724" s="424" t="s">
        <v>3074</v>
      </c>
      <c r="X724" s="424" t="s">
        <v>2224</v>
      </c>
      <c r="Y724" s="424" t="s">
        <v>2279</v>
      </c>
      <c r="Z724" s="424" t="s">
        <v>2872</v>
      </c>
      <c r="AA724" s="424" t="s">
        <v>3197</v>
      </c>
      <c r="AB724" s="424" t="s">
        <v>3408</v>
      </c>
      <c r="AC724" s="424" t="s">
        <v>1953</v>
      </c>
      <c r="AD724" s="424" t="s">
        <v>2892</v>
      </c>
      <c r="AE724" s="424" t="s">
        <v>3348</v>
      </c>
      <c r="AF724" s="424"/>
      <c r="AG724" s="424"/>
      <c r="AH724" s="424"/>
    </row>
    <row r="725" spans="1:34" x14ac:dyDescent="0.25">
      <c r="A725" s="423" t="s">
        <v>4454</v>
      </c>
      <c r="B725" s="423" t="s">
        <v>4824</v>
      </c>
      <c r="C725" s="423" t="s">
        <v>70</v>
      </c>
      <c r="D725" s="423" t="s">
        <v>4456</v>
      </c>
      <c r="E725" s="423" t="s">
        <v>2818</v>
      </c>
      <c r="F725" s="423">
        <v>8</v>
      </c>
      <c r="G725" s="423">
        <v>30</v>
      </c>
      <c r="H725" s="423">
        <v>83</v>
      </c>
      <c r="J725" s="423"/>
      <c r="K725" s="423"/>
      <c r="L725" s="423"/>
      <c r="M725" s="423"/>
      <c r="Q725" s="423"/>
      <c r="R725" s="424" t="s">
        <v>4825</v>
      </c>
      <c r="S725" s="424" t="s">
        <v>2846</v>
      </c>
      <c r="T725" s="424" t="s">
        <v>3356</v>
      </c>
      <c r="U725" s="424">
        <v>0</v>
      </c>
      <c r="V725" s="424" t="s">
        <v>70</v>
      </c>
      <c r="W725" s="424" t="s">
        <v>3074</v>
      </c>
      <c r="X725" s="424" t="s">
        <v>2224</v>
      </c>
      <c r="Y725" s="424" t="s">
        <v>2279</v>
      </c>
      <c r="Z725" s="424" t="s">
        <v>2872</v>
      </c>
      <c r="AA725" s="424" t="s">
        <v>3197</v>
      </c>
      <c r="AB725" s="424" t="s">
        <v>3347</v>
      </c>
      <c r="AC725" s="424" t="s">
        <v>1953</v>
      </c>
      <c r="AD725" s="424" t="s">
        <v>2892</v>
      </c>
      <c r="AE725" s="424" t="s">
        <v>3348</v>
      </c>
      <c r="AF725" s="424"/>
      <c r="AG725" s="424"/>
      <c r="AH725" s="424"/>
    </row>
    <row r="726" spans="1:34" x14ac:dyDescent="0.25">
      <c r="A726" s="423" t="s">
        <v>4454</v>
      </c>
      <c r="B726" s="423" t="s">
        <v>4826</v>
      </c>
      <c r="C726" s="423" t="s">
        <v>70</v>
      </c>
      <c r="D726" s="423" t="s">
        <v>4456</v>
      </c>
      <c r="E726" s="423" t="s">
        <v>2818</v>
      </c>
      <c r="F726" s="423">
        <v>8</v>
      </c>
      <c r="G726" s="423">
        <v>30</v>
      </c>
      <c r="H726" s="423">
        <v>83</v>
      </c>
      <c r="J726" s="423"/>
      <c r="K726" s="423"/>
      <c r="L726" s="423"/>
      <c r="M726" s="423"/>
      <c r="Q726" s="423"/>
      <c r="R726" s="424" t="s">
        <v>4827</v>
      </c>
      <c r="S726" s="424" t="s">
        <v>2846</v>
      </c>
      <c r="T726" s="424" t="s">
        <v>3356</v>
      </c>
      <c r="U726" s="424">
        <v>0</v>
      </c>
      <c r="V726" s="424" t="s">
        <v>70</v>
      </c>
      <c r="W726" s="424" t="s">
        <v>3074</v>
      </c>
      <c r="X726" s="424" t="s">
        <v>2224</v>
      </c>
      <c r="Y726" s="424" t="s">
        <v>2279</v>
      </c>
      <c r="Z726" s="424" t="s">
        <v>2872</v>
      </c>
      <c r="AA726" s="424" t="s">
        <v>3197</v>
      </c>
      <c r="AB726" s="424" t="s">
        <v>3399</v>
      </c>
      <c r="AC726" s="424" t="s">
        <v>1953</v>
      </c>
      <c r="AD726" s="424" t="s">
        <v>2892</v>
      </c>
      <c r="AE726" s="424" t="s">
        <v>3387</v>
      </c>
      <c r="AF726" s="424"/>
      <c r="AG726" s="424"/>
      <c r="AH726" s="424"/>
    </row>
    <row r="727" spans="1:34" x14ac:dyDescent="0.25">
      <c r="A727" s="423" t="s">
        <v>4454</v>
      </c>
      <c r="B727" s="423" t="s">
        <v>4828</v>
      </c>
      <c r="C727" s="423" t="s">
        <v>70</v>
      </c>
      <c r="D727" s="423" t="s">
        <v>4456</v>
      </c>
      <c r="E727" s="423" t="s">
        <v>2818</v>
      </c>
      <c r="F727" s="423">
        <v>8</v>
      </c>
      <c r="G727" s="423">
        <v>30</v>
      </c>
      <c r="H727" s="423">
        <v>83</v>
      </c>
      <c r="J727" s="423"/>
      <c r="K727" s="423"/>
      <c r="L727" s="423"/>
      <c r="M727" s="423"/>
      <c r="Q727" s="423"/>
      <c r="R727" s="424" t="s">
        <v>4829</v>
      </c>
      <c r="S727" s="424" t="s">
        <v>2846</v>
      </c>
      <c r="T727" s="424" t="s">
        <v>3356</v>
      </c>
      <c r="U727" s="424">
        <v>0</v>
      </c>
      <c r="V727" s="424" t="s">
        <v>70</v>
      </c>
      <c r="W727" s="424" t="s">
        <v>3074</v>
      </c>
      <c r="X727" s="424" t="s">
        <v>2224</v>
      </c>
      <c r="Y727" s="424" t="s">
        <v>2279</v>
      </c>
      <c r="Z727" s="424" t="s">
        <v>2872</v>
      </c>
      <c r="AA727" s="424" t="s">
        <v>3197</v>
      </c>
      <c r="AB727" s="424" t="s">
        <v>3408</v>
      </c>
      <c r="AC727" s="424" t="s">
        <v>1953</v>
      </c>
      <c r="AD727" s="424" t="s">
        <v>2892</v>
      </c>
      <c r="AE727" s="424" t="s">
        <v>3348</v>
      </c>
      <c r="AF727" s="424"/>
      <c r="AG727" s="424"/>
      <c r="AH727" s="424"/>
    </row>
    <row r="728" spans="1:34" x14ac:dyDescent="0.25">
      <c r="A728" s="423" t="s">
        <v>4454</v>
      </c>
      <c r="B728" s="423" t="s">
        <v>4830</v>
      </c>
      <c r="C728" s="423" t="s">
        <v>70</v>
      </c>
      <c r="D728" s="423" t="s">
        <v>4456</v>
      </c>
      <c r="E728" s="423" t="s">
        <v>2818</v>
      </c>
      <c r="F728" s="423">
        <v>8</v>
      </c>
      <c r="G728" s="423">
        <v>30</v>
      </c>
      <c r="H728" s="423">
        <v>83</v>
      </c>
      <c r="J728" s="423"/>
      <c r="K728" s="423"/>
      <c r="L728" s="423"/>
      <c r="M728" s="423"/>
      <c r="Q728" s="423"/>
      <c r="R728" s="424" t="s">
        <v>4831</v>
      </c>
      <c r="S728" s="424" t="s">
        <v>2846</v>
      </c>
      <c r="T728" s="424" t="s">
        <v>3356</v>
      </c>
      <c r="U728" s="424">
        <v>0</v>
      </c>
      <c r="V728" s="424" t="s">
        <v>70</v>
      </c>
      <c r="W728" s="424" t="s">
        <v>3074</v>
      </c>
      <c r="X728" s="424" t="s">
        <v>2224</v>
      </c>
      <c r="Y728" s="424" t="s">
        <v>2279</v>
      </c>
      <c r="Z728" s="424" t="s">
        <v>2872</v>
      </c>
      <c r="AA728" s="424" t="s">
        <v>3197</v>
      </c>
      <c r="AB728" s="424" t="s">
        <v>3347</v>
      </c>
      <c r="AC728" s="424" t="s">
        <v>1953</v>
      </c>
      <c r="AD728" s="424" t="s">
        <v>2892</v>
      </c>
      <c r="AE728" s="424" t="s">
        <v>3348</v>
      </c>
      <c r="AF728" s="424"/>
      <c r="AG728" s="424"/>
      <c r="AH728" s="424"/>
    </row>
    <row r="729" spans="1:34" x14ac:dyDescent="0.25">
      <c r="A729" s="423" t="s">
        <v>4454</v>
      </c>
      <c r="B729" s="423" t="s">
        <v>4832</v>
      </c>
      <c r="C729" s="423" t="s">
        <v>70</v>
      </c>
      <c r="D729" s="423" t="s">
        <v>4456</v>
      </c>
      <c r="E729" s="423" t="s">
        <v>2818</v>
      </c>
      <c r="F729" s="423">
        <v>8</v>
      </c>
      <c r="G729" s="423">
        <v>30</v>
      </c>
      <c r="H729" s="423">
        <v>83</v>
      </c>
      <c r="J729" s="423"/>
      <c r="K729" s="423"/>
      <c r="L729" s="423"/>
      <c r="M729" s="423"/>
      <c r="Q729" s="423"/>
      <c r="R729" s="424" t="s">
        <v>4833</v>
      </c>
      <c r="S729" s="424" t="s">
        <v>2846</v>
      </c>
      <c r="T729" s="424" t="s">
        <v>3356</v>
      </c>
      <c r="U729" s="424">
        <v>0</v>
      </c>
      <c r="V729" s="424" t="s">
        <v>70</v>
      </c>
      <c r="W729" s="424" t="s">
        <v>3074</v>
      </c>
      <c r="X729" s="424" t="s">
        <v>2224</v>
      </c>
      <c r="Y729" s="424" t="s">
        <v>2279</v>
      </c>
      <c r="Z729" s="424" t="s">
        <v>2872</v>
      </c>
      <c r="AA729" s="424" t="s">
        <v>3197</v>
      </c>
      <c r="AB729" s="424" t="s">
        <v>3399</v>
      </c>
      <c r="AC729" s="424" t="s">
        <v>1953</v>
      </c>
      <c r="AD729" s="424" t="s">
        <v>2892</v>
      </c>
      <c r="AE729" s="424" t="s">
        <v>3387</v>
      </c>
      <c r="AF729" s="424"/>
      <c r="AG729" s="424"/>
      <c r="AH729" s="424"/>
    </row>
    <row r="730" spans="1:34" x14ac:dyDescent="0.25">
      <c r="A730" s="423" t="s">
        <v>4454</v>
      </c>
      <c r="B730" s="423" t="s">
        <v>4834</v>
      </c>
      <c r="C730" s="423" t="s">
        <v>70</v>
      </c>
      <c r="D730" s="423" t="s">
        <v>4456</v>
      </c>
      <c r="E730" s="423" t="s">
        <v>2818</v>
      </c>
      <c r="F730" s="423">
        <v>8</v>
      </c>
      <c r="G730" s="423">
        <v>31</v>
      </c>
      <c r="H730" s="423">
        <v>90</v>
      </c>
      <c r="J730" s="423"/>
      <c r="K730" s="423"/>
      <c r="L730" s="423"/>
      <c r="M730" s="423"/>
      <c r="Q730" s="423"/>
      <c r="R730" s="424" t="s">
        <v>4835</v>
      </c>
      <c r="S730" s="424" t="s">
        <v>2846</v>
      </c>
      <c r="T730" s="424" t="s">
        <v>2870</v>
      </c>
      <c r="U730" s="424">
        <v>0</v>
      </c>
      <c r="V730" s="424" t="s">
        <v>70</v>
      </c>
      <c r="W730" s="424" t="s">
        <v>2974</v>
      </c>
      <c r="X730" s="424" t="s">
        <v>2224</v>
      </c>
      <c r="Y730" s="424" t="s">
        <v>2279</v>
      </c>
      <c r="Z730" s="424" t="s">
        <v>2889</v>
      </c>
      <c r="AA730" s="424" t="s">
        <v>2890</v>
      </c>
      <c r="AB730" s="424" t="s">
        <v>4483</v>
      </c>
      <c r="AC730" s="424" t="s">
        <v>1953</v>
      </c>
      <c r="AD730" s="424" t="s">
        <v>2892</v>
      </c>
      <c r="AE730" s="424" t="s">
        <v>2940</v>
      </c>
      <c r="AF730" s="424"/>
      <c r="AG730" s="424"/>
      <c r="AH730" s="424"/>
    </row>
    <row r="731" spans="1:34" x14ac:dyDescent="0.25">
      <c r="A731" s="423" t="s">
        <v>4454</v>
      </c>
      <c r="B731" s="423" t="s">
        <v>4836</v>
      </c>
      <c r="C731" s="423" t="s">
        <v>70</v>
      </c>
      <c r="D731" s="423" t="s">
        <v>4456</v>
      </c>
      <c r="E731" s="423" t="s">
        <v>2818</v>
      </c>
      <c r="F731" s="423">
        <v>8</v>
      </c>
      <c r="G731" s="423">
        <v>31</v>
      </c>
      <c r="H731" s="423">
        <v>90</v>
      </c>
      <c r="J731" s="423"/>
      <c r="K731" s="423"/>
      <c r="L731" s="423"/>
      <c r="M731" s="423"/>
      <c r="Q731" s="423"/>
      <c r="R731" s="424" t="s">
        <v>4837</v>
      </c>
      <c r="S731" s="424" t="s">
        <v>2846</v>
      </c>
      <c r="T731" s="424" t="s">
        <v>2870</v>
      </c>
      <c r="U731" s="424">
        <v>0</v>
      </c>
      <c r="V731" s="424" t="s">
        <v>70</v>
      </c>
      <c r="W731" s="424" t="s">
        <v>2871</v>
      </c>
      <c r="X731" s="424" t="s">
        <v>2224</v>
      </c>
      <c r="Y731" s="424" t="s">
        <v>2279</v>
      </c>
      <c r="Z731" s="424" t="s">
        <v>2848</v>
      </c>
      <c r="AA731" s="424" t="s">
        <v>2855</v>
      </c>
      <c r="AB731" s="424" t="s">
        <v>3822</v>
      </c>
      <c r="AC731" s="424" t="s">
        <v>1953</v>
      </c>
      <c r="AD731" s="424" t="s">
        <v>2851</v>
      </c>
      <c r="AE731" s="424" t="s">
        <v>2901</v>
      </c>
      <c r="AF731" s="424"/>
      <c r="AG731" s="424"/>
      <c r="AH731" s="424"/>
    </row>
    <row r="732" spans="1:34" x14ac:dyDescent="0.25">
      <c r="A732" s="423" t="s">
        <v>4454</v>
      </c>
      <c r="B732" s="423" t="s">
        <v>4838</v>
      </c>
      <c r="C732" s="423" t="s">
        <v>70</v>
      </c>
      <c r="D732" s="423" t="s">
        <v>4456</v>
      </c>
      <c r="E732" s="423" t="s">
        <v>2818</v>
      </c>
      <c r="F732" s="423">
        <v>8</v>
      </c>
      <c r="G732" s="423">
        <v>31</v>
      </c>
      <c r="H732" s="423">
        <v>90</v>
      </c>
      <c r="J732" s="423"/>
      <c r="K732" s="423"/>
      <c r="L732" s="423"/>
      <c r="M732" s="423"/>
      <c r="Q732" s="423"/>
      <c r="R732" s="424" t="s">
        <v>4839</v>
      </c>
      <c r="S732" s="424" t="s">
        <v>2846</v>
      </c>
      <c r="T732" s="424" t="s">
        <v>2870</v>
      </c>
      <c r="U732" s="424">
        <v>0</v>
      </c>
      <c r="V732" s="424" t="s">
        <v>70</v>
      </c>
      <c r="W732" s="424" t="s">
        <v>3074</v>
      </c>
      <c r="X732" s="424" t="s">
        <v>2224</v>
      </c>
      <c r="Y732" s="424" t="s">
        <v>2279</v>
      </c>
      <c r="Z732" s="424" t="s">
        <v>2872</v>
      </c>
      <c r="AA732" s="424" t="s">
        <v>2873</v>
      </c>
      <c r="AB732" s="424" t="s">
        <v>4545</v>
      </c>
      <c r="AC732" s="424" t="s">
        <v>1953</v>
      </c>
      <c r="AD732" s="424" t="s">
        <v>2892</v>
      </c>
      <c r="AE732" s="424" t="s">
        <v>4459</v>
      </c>
      <c r="AF732" s="424"/>
      <c r="AG732" s="424"/>
      <c r="AH732" s="424"/>
    </row>
    <row r="733" spans="1:34" x14ac:dyDescent="0.25">
      <c r="A733" s="423" t="s">
        <v>4454</v>
      </c>
      <c r="B733" s="423" t="s">
        <v>4840</v>
      </c>
      <c r="C733" s="423" t="s">
        <v>70</v>
      </c>
      <c r="D733" s="423" t="s">
        <v>4456</v>
      </c>
      <c r="E733" s="423" t="s">
        <v>2818</v>
      </c>
      <c r="F733" s="423">
        <v>8</v>
      </c>
      <c r="G733" s="423">
        <v>31</v>
      </c>
      <c r="H733" s="423">
        <v>90</v>
      </c>
      <c r="J733" s="423"/>
      <c r="K733" s="423"/>
      <c r="L733" s="423"/>
      <c r="M733" s="423"/>
      <c r="Q733" s="423"/>
      <c r="R733" s="424" t="s">
        <v>4841</v>
      </c>
      <c r="S733" s="424" t="s">
        <v>2846</v>
      </c>
      <c r="T733" s="424" t="s">
        <v>2870</v>
      </c>
      <c r="U733" s="424">
        <v>0</v>
      </c>
      <c r="V733" s="424" t="s">
        <v>70</v>
      </c>
      <c r="W733" s="424" t="s">
        <v>2974</v>
      </c>
      <c r="X733" s="424" t="s">
        <v>2224</v>
      </c>
      <c r="Y733" s="424" t="s">
        <v>2279</v>
      </c>
      <c r="Z733" s="424" t="s">
        <v>2872</v>
      </c>
      <c r="AA733" s="424" t="s">
        <v>2873</v>
      </c>
      <c r="AB733" s="424" t="s">
        <v>4503</v>
      </c>
      <c r="AC733" s="424" t="s">
        <v>1953</v>
      </c>
      <c r="AD733" s="424" t="s">
        <v>2892</v>
      </c>
      <c r="AE733" s="424" t="s">
        <v>4219</v>
      </c>
      <c r="AF733" s="424"/>
      <c r="AG733" s="424"/>
      <c r="AH733" s="424"/>
    </row>
    <row r="734" spans="1:34" x14ac:dyDescent="0.25">
      <c r="A734" s="423" t="s">
        <v>4454</v>
      </c>
      <c r="B734" s="423" t="s">
        <v>4842</v>
      </c>
      <c r="C734" s="423" t="s">
        <v>70</v>
      </c>
      <c r="D734" s="423" t="s">
        <v>4456</v>
      </c>
      <c r="E734" s="423" t="s">
        <v>2818</v>
      </c>
      <c r="F734" s="423">
        <v>32</v>
      </c>
      <c r="G734" s="423">
        <v>37</v>
      </c>
      <c r="H734" s="423">
        <v>7</v>
      </c>
      <c r="J734" s="423"/>
      <c r="K734" s="423"/>
      <c r="L734" s="423"/>
      <c r="M734" s="423"/>
      <c r="Q734" s="423"/>
      <c r="R734" s="424" t="s">
        <v>4843</v>
      </c>
      <c r="S734" s="424" t="s">
        <v>2846</v>
      </c>
      <c r="T734" s="424" t="s">
        <v>2870</v>
      </c>
      <c r="U734" s="424">
        <v>0</v>
      </c>
      <c r="V734" s="424" t="s">
        <v>70</v>
      </c>
      <c r="W734" s="424" t="s">
        <v>2974</v>
      </c>
      <c r="X734" s="424" t="s">
        <v>3298</v>
      </c>
      <c r="Y734" s="424" t="s">
        <v>2279</v>
      </c>
      <c r="Z734" s="424" t="s">
        <v>2872</v>
      </c>
      <c r="AA734" s="424" t="s">
        <v>2873</v>
      </c>
      <c r="AB734" s="424" t="s">
        <v>4599</v>
      </c>
      <c r="AC734" s="424" t="s">
        <v>1953</v>
      </c>
      <c r="AD734" s="424" t="s">
        <v>2892</v>
      </c>
      <c r="AE734" s="424" t="s">
        <v>4219</v>
      </c>
      <c r="AF734" s="424"/>
      <c r="AG734" s="424"/>
      <c r="AH734" s="424"/>
    </row>
    <row r="735" spans="1:34" x14ac:dyDescent="0.25">
      <c r="A735" s="423" t="s">
        <v>4454</v>
      </c>
      <c r="B735" s="423" t="s">
        <v>4844</v>
      </c>
      <c r="C735" s="423" t="s">
        <v>70</v>
      </c>
      <c r="D735" s="423" t="s">
        <v>4456</v>
      </c>
      <c r="E735" s="423" t="s">
        <v>2818</v>
      </c>
      <c r="F735" s="423">
        <v>32</v>
      </c>
      <c r="G735" s="423">
        <v>37</v>
      </c>
      <c r="H735" s="423">
        <v>7</v>
      </c>
      <c r="J735" s="423"/>
      <c r="K735" s="423"/>
      <c r="L735" s="423"/>
      <c r="M735" s="423"/>
      <c r="Q735" s="423"/>
      <c r="R735" s="424" t="s">
        <v>4845</v>
      </c>
      <c r="S735" s="424" t="s">
        <v>2846</v>
      </c>
      <c r="T735" s="424" t="s">
        <v>2870</v>
      </c>
      <c r="U735" s="424">
        <v>0</v>
      </c>
      <c r="V735" s="424" t="s">
        <v>70</v>
      </c>
      <c r="W735" s="424" t="s">
        <v>3074</v>
      </c>
      <c r="X735" s="424" t="s">
        <v>3298</v>
      </c>
      <c r="Y735" s="424" t="s">
        <v>2279</v>
      </c>
      <c r="Z735" s="424" t="s">
        <v>2848</v>
      </c>
      <c r="AA735" s="424" t="s">
        <v>2855</v>
      </c>
      <c r="AB735" s="424" t="s">
        <v>4518</v>
      </c>
      <c r="AC735" s="424" t="s">
        <v>1953</v>
      </c>
      <c r="AD735" s="424" t="s">
        <v>2851</v>
      </c>
      <c r="AE735" s="424" t="s">
        <v>3173</v>
      </c>
      <c r="AF735" s="424"/>
      <c r="AG735" s="424"/>
      <c r="AH735" s="424"/>
    </row>
    <row r="736" spans="1:34" x14ac:dyDescent="0.25">
      <c r="A736" s="423" t="s">
        <v>4454</v>
      </c>
      <c r="B736" s="423" t="s">
        <v>4846</v>
      </c>
      <c r="C736" s="423" t="s">
        <v>70</v>
      </c>
      <c r="D736" s="423" t="s">
        <v>4456</v>
      </c>
      <c r="E736" s="423" t="s">
        <v>2818</v>
      </c>
      <c r="F736" s="423">
        <v>32</v>
      </c>
      <c r="G736" s="423">
        <v>62</v>
      </c>
      <c r="H736" s="423">
        <v>7</v>
      </c>
      <c r="J736" s="423"/>
      <c r="K736" s="423"/>
      <c r="L736" s="423"/>
      <c r="M736" s="423"/>
      <c r="Q736" s="423"/>
      <c r="R736" s="424" t="s">
        <v>4847</v>
      </c>
      <c r="S736" s="424" t="s">
        <v>2846</v>
      </c>
      <c r="T736" s="424" t="s">
        <v>2870</v>
      </c>
      <c r="U736" s="424">
        <v>0</v>
      </c>
      <c r="V736" s="424" t="s">
        <v>70</v>
      </c>
      <c r="W736" s="424" t="s">
        <v>2871</v>
      </c>
      <c r="X736" s="424" t="s">
        <v>3298</v>
      </c>
      <c r="Y736" s="424" t="s">
        <v>2279</v>
      </c>
      <c r="Z736" s="424" t="s">
        <v>2872</v>
      </c>
      <c r="AA736" s="424" t="s">
        <v>2873</v>
      </c>
      <c r="AB736" s="424" t="s">
        <v>4494</v>
      </c>
      <c r="AC736" s="424" t="s">
        <v>1953</v>
      </c>
      <c r="AD736" s="424" t="s">
        <v>2892</v>
      </c>
      <c r="AE736" s="424" t="s">
        <v>2897</v>
      </c>
      <c r="AF736" s="424"/>
      <c r="AG736" s="424"/>
      <c r="AH736" s="424"/>
    </row>
    <row r="737" spans="1:34" x14ac:dyDescent="0.25">
      <c r="A737" s="423" t="s">
        <v>4454</v>
      </c>
      <c r="B737" s="423" t="s">
        <v>4848</v>
      </c>
      <c r="C737" s="423" t="s">
        <v>70</v>
      </c>
      <c r="D737" s="423" t="s">
        <v>4456</v>
      </c>
      <c r="E737" s="423" t="s">
        <v>2818</v>
      </c>
      <c r="F737" s="423">
        <v>32</v>
      </c>
      <c r="G737" s="423">
        <v>37</v>
      </c>
      <c r="H737" s="423">
        <v>7</v>
      </c>
      <c r="J737" s="423"/>
      <c r="K737" s="423"/>
      <c r="L737" s="423"/>
      <c r="M737" s="423"/>
      <c r="Q737" s="423"/>
      <c r="R737" s="424" t="s">
        <v>4849</v>
      </c>
      <c r="S737" s="424" t="s">
        <v>2846</v>
      </c>
      <c r="T737" s="424" t="s">
        <v>2870</v>
      </c>
      <c r="U737" s="424">
        <v>0</v>
      </c>
      <c r="V737" s="424" t="s">
        <v>70</v>
      </c>
      <c r="W737" s="424" t="s">
        <v>2974</v>
      </c>
      <c r="X737" s="424" t="s">
        <v>3298</v>
      </c>
      <c r="Y737" s="424" t="s">
        <v>2279</v>
      </c>
      <c r="Z737" s="424" t="s">
        <v>2889</v>
      </c>
      <c r="AA737" s="424" t="s">
        <v>2890</v>
      </c>
      <c r="AB737" s="424" t="s">
        <v>2891</v>
      </c>
      <c r="AC737" s="424" t="s">
        <v>1953</v>
      </c>
      <c r="AD737" s="424" t="s">
        <v>2892</v>
      </c>
      <c r="AE737" s="424" t="s">
        <v>2893</v>
      </c>
      <c r="AF737" s="424"/>
      <c r="AG737" s="424"/>
      <c r="AH737" s="424"/>
    </row>
    <row r="738" spans="1:34" x14ac:dyDescent="0.25">
      <c r="A738" s="423" t="s">
        <v>4454</v>
      </c>
      <c r="B738" s="423" t="s">
        <v>4850</v>
      </c>
      <c r="C738" s="423" t="s">
        <v>70</v>
      </c>
      <c r="D738" s="423" t="s">
        <v>4456</v>
      </c>
      <c r="E738" s="423" t="s">
        <v>2818</v>
      </c>
      <c r="F738" s="423">
        <v>32</v>
      </c>
      <c r="G738" s="423">
        <v>62</v>
      </c>
      <c r="H738" s="423">
        <v>7</v>
      </c>
      <c r="J738" s="423"/>
      <c r="K738" s="423"/>
      <c r="L738" s="423"/>
      <c r="M738" s="423"/>
      <c r="Q738" s="423"/>
      <c r="R738" s="424" t="s">
        <v>4851</v>
      </c>
      <c r="S738" s="424" t="s">
        <v>2846</v>
      </c>
      <c r="T738" s="424" t="s">
        <v>2870</v>
      </c>
      <c r="U738" s="424">
        <v>0</v>
      </c>
      <c r="V738" s="424" t="s">
        <v>70</v>
      </c>
      <c r="W738" s="424" t="s">
        <v>2974</v>
      </c>
      <c r="X738" s="424" t="s">
        <v>3298</v>
      </c>
      <c r="Y738" s="424" t="s">
        <v>2279</v>
      </c>
      <c r="Z738" s="424" t="s">
        <v>2872</v>
      </c>
      <c r="AA738" s="424" t="s">
        <v>2873</v>
      </c>
      <c r="AB738" s="424" t="s">
        <v>4548</v>
      </c>
      <c r="AC738" s="424" t="s">
        <v>1953</v>
      </c>
      <c r="AD738" s="424" t="s">
        <v>2892</v>
      </c>
      <c r="AE738" s="424" t="s">
        <v>4219</v>
      </c>
      <c r="AF738" s="424"/>
      <c r="AG738" s="424"/>
      <c r="AH738" s="424"/>
    </row>
    <row r="739" spans="1:34" x14ac:dyDescent="0.25">
      <c r="A739" s="423" t="s">
        <v>4454</v>
      </c>
      <c r="B739" s="423" t="s">
        <v>4852</v>
      </c>
      <c r="C739" s="423" t="s">
        <v>70</v>
      </c>
      <c r="D739" s="423" t="s">
        <v>4456</v>
      </c>
      <c r="E739" s="423" t="s">
        <v>2818</v>
      </c>
      <c r="F739" s="423">
        <v>32</v>
      </c>
      <c r="G739" s="423">
        <v>94</v>
      </c>
      <c r="H739" s="423">
        <v>7</v>
      </c>
      <c r="J739" s="423"/>
      <c r="K739" s="423"/>
      <c r="L739" s="423"/>
      <c r="M739" s="423"/>
      <c r="Q739" s="423"/>
      <c r="R739" s="424" t="s">
        <v>4853</v>
      </c>
      <c r="S739" s="424" t="s">
        <v>2846</v>
      </c>
      <c r="T739" s="424" t="s">
        <v>2870</v>
      </c>
      <c r="U739" s="424">
        <v>0</v>
      </c>
      <c r="V739" s="424" t="s">
        <v>70</v>
      </c>
      <c r="W739" s="424" t="s">
        <v>2871</v>
      </c>
      <c r="X739" s="424" t="s">
        <v>3298</v>
      </c>
      <c r="Y739" s="424" t="s">
        <v>2279</v>
      </c>
      <c r="Z739" s="424" t="s">
        <v>2848</v>
      </c>
      <c r="AA739" s="424" t="s">
        <v>2855</v>
      </c>
      <c r="AB739" s="424" t="s">
        <v>3179</v>
      </c>
      <c r="AC739" s="424" t="s">
        <v>1953</v>
      </c>
      <c r="AD739" s="424" t="s">
        <v>2851</v>
      </c>
      <c r="AE739" s="424" t="s">
        <v>2901</v>
      </c>
      <c r="AF739" s="424"/>
      <c r="AG739" s="424"/>
      <c r="AH739" s="424"/>
    </row>
    <row r="740" spans="1:34" x14ac:dyDescent="0.25">
      <c r="A740" s="423" t="s">
        <v>4454</v>
      </c>
      <c r="B740" s="423" t="s">
        <v>4854</v>
      </c>
      <c r="C740" s="423" t="s">
        <v>70</v>
      </c>
      <c r="D740" s="423" t="s">
        <v>4456</v>
      </c>
      <c r="E740" s="423" t="s">
        <v>2818</v>
      </c>
      <c r="F740" s="423">
        <v>32</v>
      </c>
      <c r="G740" s="423">
        <v>31</v>
      </c>
      <c r="H740" s="423">
        <v>7</v>
      </c>
      <c r="J740" s="423"/>
      <c r="K740" s="423"/>
      <c r="L740" s="423"/>
      <c r="M740" s="423"/>
      <c r="Q740" s="423"/>
      <c r="R740" s="424" t="s">
        <v>4855</v>
      </c>
      <c r="S740" s="424" t="s">
        <v>2846</v>
      </c>
      <c r="T740" s="424" t="s">
        <v>4608</v>
      </c>
      <c r="U740" s="424">
        <v>0</v>
      </c>
      <c r="V740" s="424" t="s">
        <v>70</v>
      </c>
      <c r="W740" s="424" t="s">
        <v>3074</v>
      </c>
      <c r="X740" s="424" t="s">
        <v>3298</v>
      </c>
      <c r="Y740" s="424" t="s">
        <v>2279</v>
      </c>
      <c r="Z740" s="424" t="s">
        <v>2872</v>
      </c>
      <c r="AA740" s="424" t="s">
        <v>3197</v>
      </c>
      <c r="AB740" s="424" t="s">
        <v>3347</v>
      </c>
      <c r="AC740" s="424" t="s">
        <v>1953</v>
      </c>
      <c r="AD740" s="424" t="s">
        <v>2892</v>
      </c>
      <c r="AE740" s="424" t="s">
        <v>3348</v>
      </c>
      <c r="AF740" s="424"/>
      <c r="AG740" s="424"/>
      <c r="AH740" s="424"/>
    </row>
    <row r="741" spans="1:34" x14ac:dyDescent="0.25">
      <c r="A741" s="423" t="s">
        <v>4454</v>
      </c>
      <c r="B741" s="423" t="s">
        <v>4856</v>
      </c>
      <c r="C741" s="423" t="s">
        <v>70</v>
      </c>
      <c r="D741" s="423" t="s">
        <v>4456</v>
      </c>
      <c r="E741" s="423" t="s">
        <v>2818</v>
      </c>
      <c r="F741" s="423">
        <v>24</v>
      </c>
      <c r="G741" s="423">
        <v>94</v>
      </c>
      <c r="H741" s="423">
        <v>7</v>
      </c>
      <c r="J741" s="423"/>
      <c r="K741" s="423"/>
      <c r="L741" s="423"/>
      <c r="M741" s="423"/>
      <c r="Q741" s="423"/>
      <c r="R741" s="424" t="s">
        <v>4857</v>
      </c>
      <c r="S741" s="424" t="s">
        <v>2846</v>
      </c>
      <c r="T741" s="424" t="s">
        <v>4608</v>
      </c>
      <c r="U741" s="424">
        <v>0</v>
      </c>
      <c r="V741" s="424" t="s">
        <v>70</v>
      </c>
      <c r="W741" s="424" t="s">
        <v>3074</v>
      </c>
      <c r="X741" s="424" t="s">
        <v>3298</v>
      </c>
      <c r="Y741" s="424" t="s">
        <v>2279</v>
      </c>
      <c r="Z741" s="424" t="s">
        <v>2872</v>
      </c>
      <c r="AA741" s="424" t="s">
        <v>3197</v>
      </c>
      <c r="AB741" s="424" t="s">
        <v>3351</v>
      </c>
      <c r="AC741" s="424" t="s">
        <v>1953</v>
      </c>
      <c r="AD741" s="424" t="s">
        <v>2892</v>
      </c>
      <c r="AE741" s="424" t="s">
        <v>3348</v>
      </c>
      <c r="AF741" s="424"/>
      <c r="AG741" s="424"/>
      <c r="AH741" s="424"/>
    </row>
    <row r="742" spans="1:34" x14ac:dyDescent="0.25">
      <c r="A742" s="423" t="s">
        <v>4454</v>
      </c>
      <c r="B742" s="423" t="s">
        <v>4858</v>
      </c>
      <c r="C742" s="423" t="s">
        <v>70</v>
      </c>
      <c r="D742" s="423" t="s">
        <v>4456</v>
      </c>
      <c r="E742" s="423" t="s">
        <v>2818</v>
      </c>
      <c r="F742" s="423">
        <v>32</v>
      </c>
      <c r="G742" s="423">
        <v>37</v>
      </c>
      <c r="H742" s="423">
        <v>7</v>
      </c>
      <c r="J742" s="423"/>
      <c r="K742" s="423"/>
      <c r="L742" s="423"/>
      <c r="M742" s="423"/>
      <c r="Q742" s="423"/>
      <c r="R742" s="424" t="s">
        <v>4859</v>
      </c>
      <c r="S742" s="424" t="s">
        <v>2846</v>
      </c>
      <c r="T742" s="424" t="s">
        <v>2870</v>
      </c>
      <c r="U742" s="424">
        <v>0</v>
      </c>
      <c r="V742" s="424" t="s">
        <v>70</v>
      </c>
      <c r="W742" s="424" t="s">
        <v>2871</v>
      </c>
      <c r="X742" s="424" t="s">
        <v>3298</v>
      </c>
      <c r="Y742" s="424" t="s">
        <v>2279</v>
      </c>
      <c r="Z742" s="424" t="s">
        <v>2848</v>
      </c>
      <c r="AA742" s="424" t="s">
        <v>2855</v>
      </c>
      <c r="AB742" s="424" t="s">
        <v>3471</v>
      </c>
      <c r="AC742" s="424" t="s">
        <v>1953</v>
      </c>
      <c r="AD742" s="424" t="s">
        <v>2851</v>
      </c>
      <c r="AE742" s="424" t="s">
        <v>2901</v>
      </c>
      <c r="AF742" s="424"/>
      <c r="AG742" s="424"/>
      <c r="AH742" s="424"/>
    </row>
    <row r="743" spans="1:34" x14ac:dyDescent="0.25">
      <c r="A743" s="423" t="s">
        <v>4454</v>
      </c>
      <c r="B743" s="423" t="s">
        <v>4860</v>
      </c>
      <c r="C743" s="423" t="s">
        <v>70</v>
      </c>
      <c r="D743" s="423" t="s">
        <v>4456</v>
      </c>
      <c r="E743" s="423" t="s">
        <v>2818</v>
      </c>
      <c r="F743" s="423">
        <v>24</v>
      </c>
      <c r="G743" s="423">
        <v>94</v>
      </c>
      <c r="H743" s="423">
        <v>7</v>
      </c>
      <c r="J743" s="423"/>
      <c r="K743" s="423"/>
      <c r="L743" s="423"/>
      <c r="M743" s="423"/>
      <c r="Q743" s="423"/>
      <c r="R743" s="424" t="s">
        <v>4861</v>
      </c>
      <c r="S743" s="424" t="s">
        <v>2846</v>
      </c>
      <c r="T743" s="424" t="s">
        <v>4608</v>
      </c>
      <c r="U743" s="424">
        <v>0</v>
      </c>
      <c r="V743" s="424" t="s">
        <v>70</v>
      </c>
      <c r="W743" s="424" t="s">
        <v>3055</v>
      </c>
      <c r="X743" s="424" t="s">
        <v>3298</v>
      </c>
      <c r="Y743" s="424" t="s">
        <v>2279</v>
      </c>
      <c r="Z743" s="424" t="s">
        <v>2872</v>
      </c>
      <c r="AA743" s="424" t="s">
        <v>2873</v>
      </c>
      <c r="AB743" s="424" t="s">
        <v>4862</v>
      </c>
      <c r="AC743" s="424" t="s">
        <v>1953</v>
      </c>
      <c r="AD743" s="424" t="s">
        <v>2875</v>
      </c>
      <c r="AE743" s="424" t="s">
        <v>2880</v>
      </c>
      <c r="AF743" s="424"/>
      <c r="AG743" s="424"/>
      <c r="AH743" s="424"/>
    </row>
    <row r="744" spans="1:34" x14ac:dyDescent="0.25">
      <c r="A744" s="423" t="s">
        <v>4454</v>
      </c>
      <c r="B744" s="423" t="s">
        <v>4863</v>
      </c>
      <c r="C744" s="423" t="s">
        <v>70</v>
      </c>
      <c r="D744" s="423" t="s">
        <v>4456</v>
      </c>
      <c r="E744" s="423" t="s">
        <v>2818</v>
      </c>
      <c r="F744" s="423">
        <v>24</v>
      </c>
      <c r="G744" s="423">
        <v>94</v>
      </c>
      <c r="H744" s="423">
        <v>7</v>
      </c>
      <c r="J744" s="423"/>
      <c r="K744" s="423"/>
      <c r="L744" s="423"/>
      <c r="M744" s="423"/>
      <c r="Q744" s="423"/>
      <c r="R744" s="424" t="s">
        <v>4864</v>
      </c>
      <c r="S744" s="424" t="s">
        <v>2846</v>
      </c>
      <c r="T744" s="424" t="s">
        <v>4608</v>
      </c>
      <c r="U744" s="424">
        <v>0</v>
      </c>
      <c r="V744" s="424" t="s">
        <v>70</v>
      </c>
      <c r="W744" s="424" t="s">
        <v>3074</v>
      </c>
      <c r="X744" s="424" t="s">
        <v>3298</v>
      </c>
      <c r="Y744" s="424" t="s">
        <v>2279</v>
      </c>
      <c r="Z744" s="424" t="s">
        <v>2872</v>
      </c>
      <c r="AA744" s="424" t="s">
        <v>3197</v>
      </c>
      <c r="AB744" s="424" t="s">
        <v>3803</v>
      </c>
      <c r="AC744" s="424" t="s">
        <v>1953</v>
      </c>
      <c r="AD744" s="424" t="s">
        <v>2892</v>
      </c>
      <c r="AE744" s="424" t="s">
        <v>3348</v>
      </c>
      <c r="AF744" s="424"/>
      <c r="AG744" s="424"/>
      <c r="AH744" s="424"/>
    </row>
    <row r="745" spans="1:34" x14ac:dyDescent="0.25">
      <c r="A745" s="423" t="s">
        <v>4454</v>
      </c>
      <c r="B745" s="423" t="s">
        <v>4865</v>
      </c>
      <c r="C745" s="423" t="s">
        <v>70</v>
      </c>
      <c r="D745" s="423" t="s">
        <v>4456</v>
      </c>
      <c r="E745" s="423" t="s">
        <v>2818</v>
      </c>
      <c r="F745" s="423">
        <v>32</v>
      </c>
      <c r="G745" s="423">
        <v>37</v>
      </c>
      <c r="H745" s="423">
        <v>7</v>
      </c>
      <c r="J745" s="423"/>
      <c r="K745" s="423"/>
      <c r="L745" s="423"/>
      <c r="M745" s="423"/>
      <c r="Q745" s="423"/>
      <c r="R745" s="424" t="s">
        <v>4866</v>
      </c>
      <c r="S745" s="424" t="s">
        <v>2846</v>
      </c>
      <c r="T745" s="424" t="s">
        <v>2870</v>
      </c>
      <c r="U745" s="424">
        <v>0</v>
      </c>
      <c r="V745" s="424" t="s">
        <v>70</v>
      </c>
      <c r="W745" s="424" t="s">
        <v>2974</v>
      </c>
      <c r="X745" s="424" t="s">
        <v>3298</v>
      </c>
      <c r="Y745" s="424" t="s">
        <v>2279</v>
      </c>
      <c r="Z745" s="424" t="s">
        <v>2872</v>
      </c>
      <c r="AA745" s="424" t="s">
        <v>2873</v>
      </c>
      <c r="AB745" s="424" t="s">
        <v>4572</v>
      </c>
      <c r="AC745" s="424" t="s">
        <v>1953</v>
      </c>
      <c r="AD745" s="424" t="s">
        <v>2892</v>
      </c>
      <c r="AE745" s="424" t="s">
        <v>4463</v>
      </c>
      <c r="AF745" s="424"/>
      <c r="AG745" s="424"/>
      <c r="AH745" s="424"/>
    </row>
    <row r="746" spans="1:34" x14ac:dyDescent="0.25">
      <c r="A746" s="423" t="s">
        <v>4454</v>
      </c>
      <c r="B746" s="423" t="s">
        <v>4867</v>
      </c>
      <c r="C746" s="423" t="s">
        <v>70</v>
      </c>
      <c r="D746" s="423" t="s">
        <v>4456</v>
      </c>
      <c r="E746" s="423" t="s">
        <v>2818</v>
      </c>
      <c r="F746" s="423">
        <v>23</v>
      </c>
      <c r="G746" s="423">
        <v>32</v>
      </c>
      <c r="H746" s="423">
        <v>7</v>
      </c>
      <c r="J746" s="423"/>
      <c r="K746" s="423"/>
      <c r="L746" s="423"/>
      <c r="M746" s="423"/>
      <c r="Q746" s="423"/>
      <c r="R746" s="424" t="s">
        <v>4868</v>
      </c>
      <c r="S746" s="424" t="s">
        <v>2846</v>
      </c>
      <c r="T746" s="424" t="s">
        <v>4608</v>
      </c>
      <c r="U746" s="424">
        <v>0</v>
      </c>
      <c r="V746" s="424" t="s">
        <v>70</v>
      </c>
      <c r="W746" s="424" t="s">
        <v>3055</v>
      </c>
      <c r="X746" s="424" t="s">
        <v>3298</v>
      </c>
      <c r="Y746" s="424" t="s">
        <v>2279</v>
      </c>
      <c r="Z746" s="424" t="s">
        <v>2872</v>
      </c>
      <c r="AA746" s="424" t="s">
        <v>2873</v>
      </c>
      <c r="AB746" s="424" t="s">
        <v>3059</v>
      </c>
      <c r="AC746" s="424" t="s">
        <v>1953</v>
      </c>
      <c r="AD746" s="424" t="s">
        <v>2875</v>
      </c>
      <c r="AE746" s="424" t="s">
        <v>3060</v>
      </c>
      <c r="AF746" s="424"/>
      <c r="AG746" s="424"/>
      <c r="AH746" s="424"/>
    </row>
    <row r="747" spans="1:34" x14ac:dyDescent="0.25">
      <c r="A747" s="423" t="s">
        <v>4454</v>
      </c>
      <c r="B747" s="423" t="s">
        <v>4869</v>
      </c>
      <c r="C747" s="423" t="s">
        <v>70</v>
      </c>
      <c r="D747" s="423" t="s">
        <v>4456</v>
      </c>
      <c r="E747" s="423" t="s">
        <v>2818</v>
      </c>
      <c r="F747" s="423">
        <v>24</v>
      </c>
      <c r="G747" s="423">
        <v>94</v>
      </c>
      <c r="H747" s="423">
        <v>7</v>
      </c>
      <c r="J747" s="423"/>
      <c r="K747" s="423"/>
      <c r="L747" s="423"/>
      <c r="M747" s="423"/>
      <c r="Q747" s="423"/>
      <c r="R747" s="424" t="s">
        <v>4870</v>
      </c>
      <c r="S747" s="424" t="s">
        <v>2846</v>
      </c>
      <c r="T747" s="424" t="s">
        <v>4608</v>
      </c>
      <c r="U747" s="424">
        <v>0</v>
      </c>
      <c r="V747" s="424" t="s">
        <v>70</v>
      </c>
      <c r="W747" s="424" t="s">
        <v>3074</v>
      </c>
      <c r="X747" s="424" t="s">
        <v>3298</v>
      </c>
      <c r="Y747" s="424" t="s">
        <v>2279</v>
      </c>
      <c r="Z747" s="424" t="s">
        <v>2872</v>
      </c>
      <c r="AA747" s="424" t="s">
        <v>3197</v>
      </c>
      <c r="AB747" s="424" t="s">
        <v>3399</v>
      </c>
      <c r="AC747" s="424" t="s">
        <v>1953</v>
      </c>
      <c r="AD747" s="424" t="s">
        <v>2892</v>
      </c>
      <c r="AE747" s="424" t="s">
        <v>3387</v>
      </c>
      <c r="AF747" s="424"/>
      <c r="AG747" s="424"/>
      <c r="AH747" s="424"/>
    </row>
    <row r="748" spans="1:34" x14ac:dyDescent="0.25">
      <c r="A748" s="423" t="s">
        <v>4454</v>
      </c>
      <c r="B748" s="423" t="s">
        <v>4871</v>
      </c>
      <c r="C748" s="423" t="s">
        <v>70</v>
      </c>
      <c r="D748" s="423" t="s">
        <v>4456</v>
      </c>
      <c r="E748" s="423" t="s">
        <v>2818</v>
      </c>
      <c r="F748" s="423">
        <v>31</v>
      </c>
      <c r="G748" s="423">
        <v>62</v>
      </c>
      <c r="H748" s="423">
        <v>7</v>
      </c>
      <c r="J748" s="423"/>
      <c r="K748" s="423"/>
      <c r="L748" s="423"/>
      <c r="M748" s="423"/>
      <c r="Q748" s="423"/>
      <c r="R748" s="424" t="s">
        <v>4872</v>
      </c>
      <c r="S748" s="424" t="s">
        <v>2846</v>
      </c>
      <c r="T748" s="424" t="s">
        <v>2870</v>
      </c>
      <c r="U748" s="424">
        <v>0</v>
      </c>
      <c r="V748" s="424" t="s">
        <v>70</v>
      </c>
      <c r="W748" s="424" t="s">
        <v>2974</v>
      </c>
      <c r="X748" s="424" t="s">
        <v>3298</v>
      </c>
      <c r="Y748" s="424" t="s">
        <v>2279</v>
      </c>
      <c r="Z748" s="424" t="s">
        <v>2889</v>
      </c>
      <c r="AA748" s="424" t="s">
        <v>2890</v>
      </c>
      <c r="AB748" s="424" t="s">
        <v>2891</v>
      </c>
      <c r="AC748" s="424" t="s">
        <v>1953</v>
      </c>
      <c r="AD748" s="424" t="s">
        <v>2892</v>
      </c>
      <c r="AE748" s="424" t="s">
        <v>2893</v>
      </c>
      <c r="AF748" s="424"/>
      <c r="AG748" s="424"/>
      <c r="AH748" s="424"/>
    </row>
    <row r="749" spans="1:34" x14ac:dyDescent="0.25">
      <c r="A749" s="423" t="s">
        <v>4454</v>
      </c>
      <c r="B749" s="423" t="s">
        <v>4873</v>
      </c>
      <c r="C749" s="423" t="s">
        <v>70</v>
      </c>
      <c r="D749" s="423" t="s">
        <v>4456</v>
      </c>
      <c r="E749" s="423" t="s">
        <v>2818</v>
      </c>
      <c r="F749" s="423">
        <v>24</v>
      </c>
      <c r="G749" s="423">
        <v>94</v>
      </c>
      <c r="H749" s="423">
        <v>7</v>
      </c>
      <c r="J749" s="423"/>
      <c r="K749" s="423"/>
      <c r="L749" s="423"/>
      <c r="M749" s="423"/>
      <c r="Q749" s="423"/>
      <c r="R749" s="424" t="s">
        <v>4874</v>
      </c>
      <c r="S749" s="424" t="s">
        <v>2846</v>
      </c>
      <c r="T749" s="424" t="s">
        <v>3356</v>
      </c>
      <c r="U749" s="424">
        <v>0</v>
      </c>
      <c r="V749" s="424" t="s">
        <v>70</v>
      </c>
      <c r="W749" s="424" t="s">
        <v>3055</v>
      </c>
      <c r="X749" s="424" t="s">
        <v>3298</v>
      </c>
      <c r="Y749" s="424" t="s">
        <v>2279</v>
      </c>
      <c r="Z749" s="424" t="s">
        <v>2872</v>
      </c>
      <c r="AA749" s="424" t="s">
        <v>2873</v>
      </c>
      <c r="AB749" s="424" t="s">
        <v>3120</v>
      </c>
      <c r="AC749" s="424" t="s">
        <v>1953</v>
      </c>
      <c r="AD749" s="424" t="s">
        <v>2875</v>
      </c>
      <c r="AE749" s="424" t="s">
        <v>2880</v>
      </c>
      <c r="AF749" s="424"/>
      <c r="AG749" s="424"/>
      <c r="AH749" s="424"/>
    </row>
    <row r="750" spans="1:34" x14ac:dyDescent="0.25">
      <c r="A750" s="423" t="s">
        <v>4454</v>
      </c>
      <c r="B750" s="423" t="s">
        <v>4875</v>
      </c>
      <c r="C750" s="423" t="s">
        <v>70</v>
      </c>
      <c r="D750" s="423" t="s">
        <v>4456</v>
      </c>
      <c r="E750" s="423" t="s">
        <v>2818</v>
      </c>
      <c r="F750" s="423">
        <v>23</v>
      </c>
      <c r="G750" s="423">
        <v>94</v>
      </c>
      <c r="H750" s="423">
        <v>7</v>
      </c>
      <c r="J750" s="423"/>
      <c r="K750" s="423"/>
      <c r="L750" s="423"/>
      <c r="M750" s="423"/>
      <c r="Q750" s="423"/>
      <c r="R750" s="424" t="s">
        <v>4876</v>
      </c>
      <c r="S750" s="424" t="s">
        <v>2846</v>
      </c>
      <c r="T750" s="424" t="s">
        <v>3356</v>
      </c>
      <c r="U750" s="424">
        <v>0</v>
      </c>
      <c r="V750" s="424" t="s">
        <v>70</v>
      </c>
      <c r="W750" s="424" t="s">
        <v>3074</v>
      </c>
      <c r="X750" s="424" t="s">
        <v>3298</v>
      </c>
      <c r="Y750" s="424" t="s">
        <v>2279</v>
      </c>
      <c r="Z750" s="424" t="s">
        <v>2872</v>
      </c>
      <c r="AA750" s="424" t="s">
        <v>3197</v>
      </c>
      <c r="AB750" s="424" t="s">
        <v>3803</v>
      </c>
      <c r="AC750" s="424" t="s">
        <v>1953</v>
      </c>
      <c r="AD750" s="424" t="s">
        <v>2892</v>
      </c>
      <c r="AE750" s="424" t="s">
        <v>3348</v>
      </c>
      <c r="AF750" s="424"/>
      <c r="AG750" s="424"/>
      <c r="AH750" s="424"/>
    </row>
    <row r="751" spans="1:34" x14ac:dyDescent="0.25">
      <c r="A751" s="423" t="s">
        <v>4454</v>
      </c>
      <c r="B751" s="423" t="s">
        <v>4877</v>
      </c>
      <c r="C751" s="423" t="s">
        <v>70</v>
      </c>
      <c r="D751" s="423" t="s">
        <v>4456</v>
      </c>
      <c r="E751" s="423" t="s">
        <v>2818</v>
      </c>
      <c r="F751" s="423">
        <v>32</v>
      </c>
      <c r="G751" s="423">
        <v>37</v>
      </c>
      <c r="H751" s="423">
        <v>7</v>
      </c>
      <c r="J751" s="423"/>
      <c r="K751" s="423"/>
      <c r="L751" s="423"/>
      <c r="M751" s="423"/>
      <c r="Q751" s="423"/>
      <c r="R751" s="424" t="s">
        <v>4878</v>
      </c>
      <c r="S751" s="424" t="s">
        <v>2846</v>
      </c>
      <c r="T751" s="424" t="s">
        <v>2870</v>
      </c>
      <c r="U751" s="424">
        <v>0</v>
      </c>
      <c r="V751" s="424" t="s">
        <v>70</v>
      </c>
      <c r="W751" s="424" t="s">
        <v>2871</v>
      </c>
      <c r="X751" s="424" t="s">
        <v>3298</v>
      </c>
      <c r="Y751" s="424" t="s">
        <v>2279</v>
      </c>
      <c r="Z751" s="424" t="s">
        <v>2872</v>
      </c>
      <c r="AA751" s="424" t="s">
        <v>2873</v>
      </c>
      <c r="AB751" s="424" t="s">
        <v>4494</v>
      </c>
      <c r="AC751" s="424" t="s">
        <v>1953</v>
      </c>
      <c r="AD751" s="424" t="s">
        <v>2892</v>
      </c>
      <c r="AE751" s="424" t="s">
        <v>2897</v>
      </c>
      <c r="AF751" s="424"/>
      <c r="AG751" s="424"/>
      <c r="AH751" s="424"/>
    </row>
    <row r="752" spans="1:34" x14ac:dyDescent="0.25">
      <c r="A752" s="423" t="s">
        <v>4454</v>
      </c>
      <c r="B752" s="423" t="s">
        <v>4879</v>
      </c>
      <c r="C752" s="423" t="s">
        <v>70</v>
      </c>
      <c r="D752" s="423" t="s">
        <v>4456</v>
      </c>
      <c r="E752" s="423" t="s">
        <v>2818</v>
      </c>
      <c r="F752" s="423">
        <v>32</v>
      </c>
      <c r="G752" s="423">
        <v>32</v>
      </c>
      <c r="H752" s="423">
        <v>7</v>
      </c>
      <c r="J752" s="423"/>
      <c r="K752" s="423"/>
      <c r="L752" s="423"/>
      <c r="M752" s="423"/>
      <c r="Q752" s="423"/>
      <c r="R752" s="424" t="s">
        <v>4880</v>
      </c>
      <c r="S752" s="424" t="s">
        <v>2846</v>
      </c>
      <c r="T752" s="424" t="s">
        <v>2870</v>
      </c>
      <c r="U752" s="424">
        <v>0</v>
      </c>
      <c r="V752" s="424" t="s">
        <v>70</v>
      </c>
      <c r="W752" s="424" t="s">
        <v>2974</v>
      </c>
      <c r="X752" s="424" t="s">
        <v>3298</v>
      </c>
      <c r="Y752" s="424" t="s">
        <v>2279</v>
      </c>
      <c r="Z752" s="424" t="s">
        <v>2889</v>
      </c>
      <c r="AA752" s="424" t="s">
        <v>2890</v>
      </c>
      <c r="AB752" s="424" t="s">
        <v>4881</v>
      </c>
      <c r="AC752" s="424" t="s">
        <v>1953</v>
      </c>
      <c r="AD752" s="424" t="s">
        <v>2892</v>
      </c>
      <c r="AE752" s="424" t="s">
        <v>2940</v>
      </c>
      <c r="AF752" s="424"/>
      <c r="AG752" s="424"/>
      <c r="AH752" s="424"/>
    </row>
    <row r="753" spans="1:34" x14ac:dyDescent="0.25">
      <c r="A753" s="423" t="s">
        <v>4454</v>
      </c>
      <c r="B753" s="423" t="s">
        <v>4882</v>
      </c>
      <c r="C753" s="423" t="s">
        <v>70</v>
      </c>
      <c r="D753" s="423" t="s">
        <v>4456</v>
      </c>
      <c r="E753" s="423" t="s">
        <v>2818</v>
      </c>
      <c r="F753" s="423">
        <v>24</v>
      </c>
      <c r="G753" s="423">
        <v>94</v>
      </c>
      <c r="H753" s="423">
        <v>7</v>
      </c>
      <c r="J753" s="423"/>
      <c r="K753" s="423"/>
      <c r="L753" s="423"/>
      <c r="M753" s="423"/>
      <c r="Q753" s="423"/>
      <c r="R753" s="424" t="s">
        <v>4883</v>
      </c>
      <c r="S753" s="424" t="s">
        <v>2846</v>
      </c>
      <c r="T753" s="424" t="s">
        <v>3356</v>
      </c>
      <c r="U753" s="424">
        <v>0</v>
      </c>
      <c r="V753" s="424" t="s">
        <v>70</v>
      </c>
      <c r="W753" s="424" t="s">
        <v>3055</v>
      </c>
      <c r="X753" s="424" t="s">
        <v>3298</v>
      </c>
      <c r="Y753" s="424" t="s">
        <v>2279</v>
      </c>
      <c r="Z753" s="424" t="s">
        <v>2872</v>
      </c>
      <c r="AA753" s="424" t="s">
        <v>2873</v>
      </c>
      <c r="AB753" s="424" t="s">
        <v>4884</v>
      </c>
      <c r="AC753" s="424" t="s">
        <v>1953</v>
      </c>
      <c r="AD753" s="424" t="s">
        <v>2875</v>
      </c>
      <c r="AE753" s="424" t="s">
        <v>2880</v>
      </c>
      <c r="AF753" s="424"/>
      <c r="AG753" s="424"/>
      <c r="AH753" s="424"/>
    </row>
    <row r="754" spans="1:34" x14ac:dyDescent="0.25">
      <c r="A754" s="423" t="s">
        <v>4454</v>
      </c>
      <c r="B754" s="423" t="s">
        <v>4885</v>
      </c>
      <c r="C754" s="423" t="s">
        <v>70</v>
      </c>
      <c r="D754" s="423" t="s">
        <v>4456</v>
      </c>
      <c r="E754" s="423" t="s">
        <v>2818</v>
      </c>
      <c r="F754" s="423">
        <v>24</v>
      </c>
      <c r="G754" s="423">
        <v>94</v>
      </c>
      <c r="H754" s="423">
        <v>7</v>
      </c>
      <c r="J754" s="423"/>
      <c r="K754" s="423"/>
      <c r="L754" s="423"/>
      <c r="M754" s="423"/>
      <c r="Q754" s="423"/>
      <c r="R754" s="424" t="s">
        <v>4886</v>
      </c>
      <c r="S754" s="424" t="s">
        <v>2846</v>
      </c>
      <c r="T754" s="424" t="s">
        <v>3356</v>
      </c>
      <c r="U754" s="424">
        <v>0</v>
      </c>
      <c r="V754" s="424" t="s">
        <v>70</v>
      </c>
      <c r="W754" s="424" t="s">
        <v>3074</v>
      </c>
      <c r="X754" s="424" t="s">
        <v>3298</v>
      </c>
      <c r="Y754" s="424" t="s">
        <v>2279</v>
      </c>
      <c r="Z754" s="424" t="s">
        <v>2872</v>
      </c>
      <c r="AA754" s="424" t="s">
        <v>3197</v>
      </c>
      <c r="AB754" s="424" t="s">
        <v>3784</v>
      </c>
      <c r="AC754" s="424" t="s">
        <v>1953</v>
      </c>
      <c r="AD754" s="424" t="s">
        <v>2892</v>
      </c>
      <c r="AE754" s="424" t="s">
        <v>3387</v>
      </c>
      <c r="AF754" s="424"/>
      <c r="AG754" s="424"/>
      <c r="AH754" s="424"/>
    </row>
    <row r="755" spans="1:34" x14ac:dyDescent="0.25">
      <c r="A755" s="423" t="s">
        <v>4454</v>
      </c>
      <c r="B755" s="423" t="s">
        <v>4887</v>
      </c>
      <c r="C755" s="423" t="s">
        <v>70</v>
      </c>
      <c r="D755" s="423" t="s">
        <v>4456</v>
      </c>
      <c r="E755" s="423" t="s">
        <v>2818</v>
      </c>
      <c r="F755" s="423">
        <v>24</v>
      </c>
      <c r="G755" s="423">
        <v>94</v>
      </c>
      <c r="H755" s="423">
        <v>7</v>
      </c>
      <c r="J755" s="423"/>
      <c r="K755" s="423"/>
      <c r="L755" s="423"/>
      <c r="M755" s="423"/>
      <c r="Q755" s="423"/>
      <c r="R755" s="424" t="s">
        <v>4888</v>
      </c>
      <c r="S755" s="424" t="s">
        <v>2846</v>
      </c>
      <c r="T755" s="424" t="s">
        <v>3356</v>
      </c>
      <c r="U755" s="424">
        <v>0</v>
      </c>
      <c r="V755" s="424" t="s">
        <v>70</v>
      </c>
      <c r="W755" s="424" t="s">
        <v>3055</v>
      </c>
      <c r="X755" s="424" t="s">
        <v>3298</v>
      </c>
      <c r="Y755" s="424" t="s">
        <v>2279</v>
      </c>
      <c r="Z755" s="424" t="s">
        <v>2872</v>
      </c>
      <c r="AA755" s="424" t="s">
        <v>2873</v>
      </c>
      <c r="AB755" s="424" t="s">
        <v>3135</v>
      </c>
      <c r="AC755" s="424" t="s">
        <v>1953</v>
      </c>
      <c r="AD755" s="424" t="s">
        <v>2875</v>
      </c>
      <c r="AE755" s="424" t="s">
        <v>3060</v>
      </c>
      <c r="AF755" s="424"/>
      <c r="AG755" s="424"/>
      <c r="AH755" s="424"/>
    </row>
    <row r="756" spans="1:34" x14ac:dyDescent="0.25">
      <c r="A756" s="423" t="s">
        <v>4454</v>
      </c>
      <c r="B756" s="423" t="s">
        <v>4889</v>
      </c>
      <c r="C756" s="423" t="s">
        <v>70</v>
      </c>
      <c r="D756" s="423" t="s">
        <v>4456</v>
      </c>
      <c r="E756" s="423" t="s">
        <v>2818</v>
      </c>
      <c r="F756" s="423">
        <v>24</v>
      </c>
      <c r="G756" s="423">
        <v>94</v>
      </c>
      <c r="H756" s="423">
        <v>7</v>
      </c>
      <c r="J756" s="423"/>
      <c r="K756" s="423"/>
      <c r="L756" s="423"/>
      <c r="M756" s="423"/>
      <c r="Q756" s="423"/>
      <c r="R756" s="424" t="s">
        <v>4890</v>
      </c>
      <c r="S756" s="424" t="s">
        <v>2846</v>
      </c>
      <c r="T756" s="424" t="s">
        <v>3356</v>
      </c>
      <c r="U756" s="424">
        <v>0</v>
      </c>
      <c r="V756" s="424" t="s">
        <v>70</v>
      </c>
      <c r="W756" s="424" t="s">
        <v>3074</v>
      </c>
      <c r="X756" s="424" t="s">
        <v>3298</v>
      </c>
      <c r="Y756" s="424" t="s">
        <v>2279</v>
      </c>
      <c r="Z756" s="424" t="s">
        <v>2872</v>
      </c>
      <c r="AA756" s="424" t="s">
        <v>3197</v>
      </c>
      <c r="AB756" s="424" t="s">
        <v>3803</v>
      </c>
      <c r="AC756" s="424" t="s">
        <v>1953</v>
      </c>
      <c r="AD756" s="424" t="s">
        <v>2892</v>
      </c>
      <c r="AE756" s="424" t="s">
        <v>3348</v>
      </c>
      <c r="AF756" s="424"/>
      <c r="AG756" s="424"/>
      <c r="AH756" s="424"/>
    </row>
    <row r="757" spans="1:34" x14ac:dyDescent="0.25">
      <c r="A757" s="423" t="s">
        <v>4454</v>
      </c>
      <c r="B757" s="423" t="s">
        <v>4891</v>
      </c>
      <c r="C757" s="423" t="s">
        <v>70</v>
      </c>
      <c r="D757" s="423" t="s">
        <v>4456</v>
      </c>
      <c r="E757" s="423" t="s">
        <v>2818</v>
      </c>
      <c r="F757" s="423">
        <v>24</v>
      </c>
      <c r="G757" s="423">
        <v>94</v>
      </c>
      <c r="H757" s="423">
        <v>7</v>
      </c>
      <c r="J757" s="423"/>
      <c r="K757" s="423"/>
      <c r="L757" s="423"/>
      <c r="M757" s="423"/>
      <c r="Q757" s="423"/>
      <c r="R757" s="424" t="s">
        <v>4892</v>
      </c>
      <c r="S757" s="424" t="s">
        <v>2846</v>
      </c>
      <c r="T757" s="424" t="s">
        <v>2870</v>
      </c>
      <c r="U757" s="424">
        <v>0</v>
      </c>
      <c r="V757" s="424" t="s">
        <v>70</v>
      </c>
      <c r="W757" s="424" t="s">
        <v>2974</v>
      </c>
      <c r="X757" s="424" t="s">
        <v>3298</v>
      </c>
      <c r="Y757" s="424" t="s">
        <v>2279</v>
      </c>
      <c r="Z757" s="424" t="s">
        <v>2872</v>
      </c>
      <c r="AA757" s="424" t="s">
        <v>2873</v>
      </c>
      <c r="AB757" s="424" t="s">
        <v>4776</v>
      </c>
      <c r="AC757" s="424" t="s">
        <v>1953</v>
      </c>
      <c r="AD757" s="424" t="s">
        <v>2892</v>
      </c>
      <c r="AE757" s="424" t="s">
        <v>4463</v>
      </c>
      <c r="AF757" s="424"/>
      <c r="AG757" s="424"/>
      <c r="AH757" s="424"/>
    </row>
    <row r="758" spans="1:34" x14ac:dyDescent="0.25">
      <c r="A758" s="423" t="s">
        <v>4454</v>
      </c>
      <c r="B758" s="423" t="s">
        <v>4893</v>
      </c>
      <c r="C758" s="423" t="s">
        <v>70</v>
      </c>
      <c r="D758" s="423" t="s">
        <v>4456</v>
      </c>
      <c r="E758" s="423" t="s">
        <v>2818</v>
      </c>
      <c r="F758" s="423">
        <v>32</v>
      </c>
      <c r="G758" s="423">
        <v>37</v>
      </c>
      <c r="H758" s="423">
        <v>7</v>
      </c>
      <c r="J758" s="423"/>
      <c r="K758" s="423"/>
      <c r="L758" s="423"/>
      <c r="M758" s="423"/>
      <c r="Q758" s="423"/>
      <c r="R758" s="424" t="s">
        <v>4894</v>
      </c>
      <c r="S758" s="424" t="s">
        <v>2846</v>
      </c>
      <c r="T758" s="424" t="s">
        <v>2870</v>
      </c>
      <c r="U758" s="424">
        <v>0</v>
      </c>
      <c r="V758" s="424" t="s">
        <v>70</v>
      </c>
      <c r="W758" s="424" t="s">
        <v>2974</v>
      </c>
      <c r="X758" s="424" t="s">
        <v>2224</v>
      </c>
      <c r="Y758" s="424" t="s">
        <v>2279</v>
      </c>
      <c r="Z758" s="424" t="s">
        <v>2872</v>
      </c>
      <c r="AA758" s="424" t="s">
        <v>2873</v>
      </c>
      <c r="AB758" s="424" t="s">
        <v>4564</v>
      </c>
      <c r="AC758" s="424" t="s">
        <v>1953</v>
      </c>
      <c r="AD758" s="424" t="s">
        <v>2892</v>
      </c>
      <c r="AE758" s="424" t="s">
        <v>4463</v>
      </c>
      <c r="AF758" s="424"/>
      <c r="AG758" s="424"/>
      <c r="AH758" s="424"/>
    </row>
    <row r="759" spans="1:34" x14ac:dyDescent="0.25">
      <c r="A759" s="423" t="s">
        <v>4454</v>
      </c>
      <c r="B759" s="423" t="s">
        <v>4895</v>
      </c>
      <c r="C759" s="423" t="s">
        <v>70</v>
      </c>
      <c r="D759" s="423" t="s">
        <v>4456</v>
      </c>
      <c r="E759" s="423" t="s">
        <v>2818</v>
      </c>
      <c r="F759" s="423">
        <v>32</v>
      </c>
      <c r="G759" s="423">
        <v>94</v>
      </c>
      <c r="H759" s="423">
        <v>7</v>
      </c>
      <c r="J759" s="423"/>
      <c r="K759" s="423"/>
      <c r="L759" s="423"/>
      <c r="M759" s="423"/>
      <c r="Q759" s="423"/>
      <c r="R759" s="424" t="s">
        <v>4896</v>
      </c>
      <c r="S759" s="424" t="s">
        <v>2846</v>
      </c>
      <c r="T759" s="424" t="s">
        <v>2870</v>
      </c>
      <c r="U759" s="424">
        <v>0</v>
      </c>
      <c r="V759" s="424" t="s">
        <v>70</v>
      </c>
      <c r="W759" s="424" t="s">
        <v>3074</v>
      </c>
      <c r="X759" s="424" t="s">
        <v>3298</v>
      </c>
      <c r="Y759" s="424" t="s">
        <v>2279</v>
      </c>
      <c r="Z759" s="424" t="s">
        <v>2848</v>
      </c>
      <c r="AA759" s="424" t="s">
        <v>2855</v>
      </c>
      <c r="AB759" s="424" t="s">
        <v>4521</v>
      </c>
      <c r="AC759" s="424" t="s">
        <v>1953</v>
      </c>
      <c r="AD759" s="424" t="s">
        <v>2851</v>
      </c>
      <c r="AE759" s="424" t="s">
        <v>3173</v>
      </c>
      <c r="AF759" s="424"/>
      <c r="AG759" s="424"/>
      <c r="AH759" s="424"/>
    </row>
    <row r="760" spans="1:34" x14ac:dyDescent="0.25">
      <c r="A760" s="423" t="s">
        <v>4454</v>
      </c>
      <c r="B760" s="423" t="s">
        <v>4897</v>
      </c>
      <c r="C760" s="423" t="s">
        <v>70</v>
      </c>
      <c r="D760" s="423" t="s">
        <v>4456</v>
      </c>
      <c r="E760" s="423" t="s">
        <v>2818</v>
      </c>
      <c r="F760" s="423">
        <v>32</v>
      </c>
      <c r="G760" s="423">
        <v>37</v>
      </c>
      <c r="H760" s="423">
        <v>7</v>
      </c>
      <c r="J760" s="423"/>
      <c r="K760" s="423"/>
      <c r="L760" s="423"/>
      <c r="M760" s="423"/>
      <c r="Q760" s="423"/>
      <c r="R760" s="424" t="s">
        <v>4898</v>
      </c>
      <c r="S760" s="424" t="s">
        <v>2846</v>
      </c>
      <c r="T760" s="424" t="s">
        <v>2870</v>
      </c>
      <c r="U760" s="424">
        <v>0</v>
      </c>
      <c r="V760" s="424" t="s">
        <v>70</v>
      </c>
      <c r="W760" s="424" t="s">
        <v>3074</v>
      </c>
      <c r="X760" s="424" t="s">
        <v>3298</v>
      </c>
      <c r="Y760" s="424" t="s">
        <v>2279</v>
      </c>
      <c r="Z760" s="424" t="s">
        <v>2872</v>
      </c>
      <c r="AA760" s="424" t="s">
        <v>2873</v>
      </c>
      <c r="AB760" s="424" t="s">
        <v>4545</v>
      </c>
      <c r="AC760" s="424" t="s">
        <v>1953</v>
      </c>
      <c r="AD760" s="424" t="s">
        <v>2892</v>
      </c>
      <c r="AE760" s="424" t="s">
        <v>4459</v>
      </c>
      <c r="AF760" s="424"/>
      <c r="AG760" s="424"/>
      <c r="AH760" s="424"/>
    </row>
    <row r="761" spans="1:34" x14ac:dyDescent="0.25">
      <c r="A761" s="423" t="s">
        <v>4454</v>
      </c>
      <c r="B761" s="423" t="s">
        <v>4899</v>
      </c>
      <c r="C761" s="423" t="s">
        <v>70</v>
      </c>
      <c r="D761" s="423" t="s">
        <v>4456</v>
      </c>
      <c r="E761" s="423" t="s">
        <v>2818</v>
      </c>
      <c r="F761" s="423">
        <v>28</v>
      </c>
      <c r="G761" s="423">
        <v>94</v>
      </c>
      <c r="H761" s="423">
        <v>8</v>
      </c>
      <c r="J761" s="423"/>
      <c r="K761" s="423"/>
      <c r="L761" s="423"/>
      <c r="M761" s="423"/>
      <c r="Q761" s="423"/>
      <c r="R761" s="424" t="s">
        <v>4900</v>
      </c>
      <c r="S761" s="424" t="s">
        <v>2846</v>
      </c>
      <c r="T761" s="424" t="s">
        <v>2870</v>
      </c>
      <c r="U761" s="424">
        <v>0</v>
      </c>
      <c r="V761" s="424" t="s">
        <v>70</v>
      </c>
      <c r="W761" s="424" t="s">
        <v>3074</v>
      </c>
      <c r="X761" s="424" t="s">
        <v>3298</v>
      </c>
      <c r="Y761" s="424" t="s">
        <v>2279</v>
      </c>
      <c r="Z761" s="424" t="s">
        <v>2872</v>
      </c>
      <c r="AA761" s="424" t="s">
        <v>3197</v>
      </c>
      <c r="AB761" s="424" t="s">
        <v>3784</v>
      </c>
      <c r="AC761" s="424" t="s">
        <v>1953</v>
      </c>
      <c r="AD761" s="424" t="s">
        <v>2892</v>
      </c>
      <c r="AE761" s="424" t="s">
        <v>3387</v>
      </c>
      <c r="AF761" s="424"/>
      <c r="AG761" s="424"/>
      <c r="AH761" s="424"/>
    </row>
    <row r="762" spans="1:34" x14ac:dyDescent="0.25">
      <c r="A762" s="423" t="s">
        <v>4454</v>
      </c>
      <c r="B762" s="423" t="s">
        <v>4901</v>
      </c>
      <c r="C762" s="423" t="s">
        <v>70</v>
      </c>
      <c r="D762" s="423" t="s">
        <v>4456</v>
      </c>
      <c r="E762" s="423" t="s">
        <v>2818</v>
      </c>
      <c r="F762" s="423">
        <v>28</v>
      </c>
      <c r="G762" s="423">
        <v>94</v>
      </c>
      <c r="H762" s="423">
        <v>8</v>
      </c>
      <c r="J762" s="423"/>
      <c r="K762" s="423"/>
      <c r="L762" s="423"/>
      <c r="M762" s="423"/>
      <c r="Q762" s="423"/>
      <c r="R762" s="424" t="s">
        <v>4902</v>
      </c>
      <c r="S762" s="424" t="s">
        <v>2846</v>
      </c>
      <c r="T762" s="424" t="s">
        <v>2870</v>
      </c>
      <c r="U762" s="424">
        <v>0</v>
      </c>
      <c r="V762" s="424" t="s">
        <v>70</v>
      </c>
      <c r="W762" s="424" t="s">
        <v>3074</v>
      </c>
      <c r="X762" s="424" t="s">
        <v>3298</v>
      </c>
      <c r="Y762" s="424" t="s">
        <v>2279</v>
      </c>
      <c r="Z762" s="424" t="s">
        <v>2872</v>
      </c>
      <c r="AA762" s="424" t="s">
        <v>3197</v>
      </c>
      <c r="AB762" s="424" t="s">
        <v>3351</v>
      </c>
      <c r="AC762" s="424" t="s">
        <v>1953</v>
      </c>
      <c r="AD762" s="424" t="s">
        <v>2892</v>
      </c>
      <c r="AE762" s="424" t="s">
        <v>3348</v>
      </c>
      <c r="AF762" s="424"/>
      <c r="AG762" s="424"/>
      <c r="AH762" s="424"/>
    </row>
    <row r="763" spans="1:34" x14ac:dyDescent="0.25">
      <c r="A763" s="423" t="s">
        <v>4454</v>
      </c>
      <c r="B763" s="423" t="s">
        <v>4903</v>
      </c>
      <c r="C763" s="423" t="s">
        <v>70</v>
      </c>
      <c r="D763" s="423" t="s">
        <v>4456</v>
      </c>
      <c r="E763" s="423" t="s">
        <v>2818</v>
      </c>
      <c r="F763" s="423">
        <v>28</v>
      </c>
      <c r="G763" s="423">
        <v>94</v>
      </c>
      <c r="H763" s="423">
        <v>8</v>
      </c>
      <c r="J763" s="423"/>
      <c r="K763" s="423"/>
      <c r="L763" s="423"/>
      <c r="M763" s="423"/>
      <c r="Q763" s="423"/>
      <c r="R763" s="424" t="s">
        <v>4904</v>
      </c>
      <c r="S763" s="424" t="s">
        <v>2846</v>
      </c>
      <c r="T763" s="424" t="s">
        <v>2870</v>
      </c>
      <c r="U763" s="424">
        <v>0</v>
      </c>
      <c r="V763" s="424" t="s">
        <v>70</v>
      </c>
      <c r="W763" s="424" t="s">
        <v>3074</v>
      </c>
      <c r="X763" s="424">
        <v>0</v>
      </c>
      <c r="Y763" s="424" t="s">
        <v>2279</v>
      </c>
      <c r="Z763" s="424" t="s">
        <v>2872</v>
      </c>
      <c r="AA763" s="424" t="s">
        <v>3197</v>
      </c>
      <c r="AB763" s="424" t="s">
        <v>3351</v>
      </c>
      <c r="AC763" s="424" t="s">
        <v>1953</v>
      </c>
      <c r="AD763" s="424" t="s">
        <v>2892</v>
      </c>
      <c r="AE763" s="424" t="s">
        <v>3348</v>
      </c>
      <c r="AF763" s="424"/>
      <c r="AG763" s="424"/>
      <c r="AH763" s="424"/>
    </row>
    <row r="764" spans="1:34" x14ac:dyDescent="0.25">
      <c r="A764" s="423" t="s">
        <v>4905</v>
      </c>
      <c r="B764" s="423" t="s">
        <v>4906</v>
      </c>
      <c r="C764" s="423" t="s">
        <v>168</v>
      </c>
      <c r="D764" s="423" t="s">
        <v>4907</v>
      </c>
      <c r="E764" s="423" t="s">
        <v>2818</v>
      </c>
      <c r="F764" s="423">
        <v>48</v>
      </c>
      <c r="G764" s="423">
        <v>251</v>
      </c>
      <c r="H764" s="423">
        <v>504</v>
      </c>
      <c r="J764" s="423"/>
      <c r="K764" s="423"/>
      <c r="L764" s="423"/>
      <c r="M764" s="423"/>
      <c r="Q764" s="423"/>
      <c r="R764" s="424" t="s">
        <v>4908</v>
      </c>
      <c r="S764" s="424" t="s">
        <v>2820</v>
      </c>
      <c r="T764" s="424" t="s">
        <v>4909</v>
      </c>
      <c r="U764" s="424">
        <v>0</v>
      </c>
      <c r="V764" s="424" t="s">
        <v>2824</v>
      </c>
      <c r="W764" s="424" t="s">
        <v>2824</v>
      </c>
      <c r="X764" s="424" t="s">
        <v>3298</v>
      </c>
      <c r="Y764" s="424" t="s">
        <v>2279</v>
      </c>
      <c r="Z764" s="424" t="s">
        <v>3260</v>
      </c>
      <c r="AA764" s="424" t="s">
        <v>3327</v>
      </c>
      <c r="AB764" s="424" t="s">
        <v>4910</v>
      </c>
      <c r="AC764" s="424" t="s">
        <v>1953</v>
      </c>
      <c r="AD764" s="424" t="s">
        <v>3329</v>
      </c>
      <c r="AE764" s="424" t="s">
        <v>3977</v>
      </c>
      <c r="AF764" s="424"/>
      <c r="AG764" s="424"/>
      <c r="AH764" s="424"/>
    </row>
    <row r="765" spans="1:34" x14ac:dyDescent="0.25">
      <c r="A765" s="423" t="s">
        <v>4905</v>
      </c>
      <c r="B765" s="423" t="s">
        <v>4911</v>
      </c>
      <c r="C765" s="423" t="s">
        <v>168</v>
      </c>
      <c r="D765" s="423" t="s">
        <v>4907</v>
      </c>
      <c r="E765" s="423" t="s">
        <v>2818</v>
      </c>
      <c r="F765" s="423">
        <v>48</v>
      </c>
      <c r="G765" s="423">
        <v>251</v>
      </c>
      <c r="H765" s="423">
        <v>512</v>
      </c>
      <c r="J765" s="423"/>
      <c r="K765" s="423"/>
      <c r="L765" s="423"/>
      <c r="M765" s="423"/>
      <c r="Q765" s="423"/>
      <c r="R765" s="424" t="s">
        <v>4912</v>
      </c>
      <c r="S765" s="424" t="s">
        <v>2820</v>
      </c>
      <c r="T765" s="424" t="s">
        <v>4913</v>
      </c>
      <c r="U765" s="424">
        <v>0</v>
      </c>
      <c r="V765" s="424" t="s">
        <v>2824</v>
      </c>
      <c r="W765" s="424" t="s">
        <v>2824</v>
      </c>
      <c r="X765" s="424" t="s">
        <v>3298</v>
      </c>
      <c r="Y765" s="424" t="s">
        <v>2279</v>
      </c>
      <c r="Z765" s="424" t="s">
        <v>3260</v>
      </c>
      <c r="AA765" s="424" t="s">
        <v>3327</v>
      </c>
      <c r="AB765" s="424" t="s">
        <v>4914</v>
      </c>
      <c r="AC765" s="424" t="s">
        <v>1953</v>
      </c>
      <c r="AD765" s="424" t="s">
        <v>3329</v>
      </c>
      <c r="AE765" s="424" t="s">
        <v>3973</v>
      </c>
      <c r="AF765" s="424"/>
      <c r="AG765" s="424"/>
      <c r="AH765" s="424"/>
    </row>
    <row r="766" spans="1:34" x14ac:dyDescent="0.25">
      <c r="A766" s="423" t="s">
        <v>4905</v>
      </c>
      <c r="B766" s="423" t="s">
        <v>4915</v>
      </c>
      <c r="C766" s="423" t="s">
        <v>168</v>
      </c>
      <c r="D766" s="423" t="s">
        <v>4907</v>
      </c>
      <c r="E766" s="423" t="s">
        <v>2818</v>
      </c>
      <c r="F766" s="423">
        <v>48</v>
      </c>
      <c r="G766" s="423">
        <v>251</v>
      </c>
      <c r="H766" s="423">
        <v>504</v>
      </c>
      <c r="J766" s="423"/>
      <c r="K766" s="423"/>
      <c r="L766" s="423"/>
      <c r="M766" s="423"/>
      <c r="Q766" s="423"/>
      <c r="R766" s="424" t="s">
        <v>4916</v>
      </c>
      <c r="S766" s="424" t="s">
        <v>2820</v>
      </c>
      <c r="T766" s="424" t="s">
        <v>4909</v>
      </c>
      <c r="U766" s="424">
        <v>0</v>
      </c>
      <c r="V766" s="424" t="s">
        <v>2824</v>
      </c>
      <c r="W766" s="424" t="s">
        <v>2824</v>
      </c>
      <c r="X766" s="424" t="s">
        <v>3298</v>
      </c>
      <c r="Y766" s="424" t="s">
        <v>2279</v>
      </c>
      <c r="Z766" s="424" t="s">
        <v>3260</v>
      </c>
      <c r="AA766" s="424" t="s">
        <v>3327</v>
      </c>
      <c r="AB766" s="424" t="s">
        <v>4917</v>
      </c>
      <c r="AC766" s="424" t="s">
        <v>1953</v>
      </c>
      <c r="AD766" s="424" t="s">
        <v>3329</v>
      </c>
      <c r="AE766" s="424" t="s">
        <v>3973</v>
      </c>
      <c r="AF766" s="424"/>
      <c r="AG766" s="424"/>
      <c r="AH766" s="424"/>
    </row>
    <row r="767" spans="1:34" x14ac:dyDescent="0.25">
      <c r="A767" s="423" t="s">
        <v>4905</v>
      </c>
      <c r="B767" s="423" t="s">
        <v>4918</v>
      </c>
      <c r="C767" s="423" t="s">
        <v>168</v>
      </c>
      <c r="D767" s="423" t="s">
        <v>4907</v>
      </c>
      <c r="E767" s="423" t="s">
        <v>2818</v>
      </c>
      <c r="F767" s="423">
        <v>24</v>
      </c>
      <c r="G767" s="423">
        <v>113</v>
      </c>
      <c r="H767" s="423">
        <v>1800</v>
      </c>
      <c r="J767" s="423"/>
      <c r="K767" s="423"/>
      <c r="L767" s="423"/>
      <c r="M767" s="423"/>
      <c r="Q767" s="423"/>
      <c r="R767" s="424" t="s">
        <v>4919</v>
      </c>
      <c r="S767" s="424" t="s">
        <v>2820</v>
      </c>
      <c r="T767" s="424" t="s">
        <v>3268</v>
      </c>
      <c r="U767" s="424">
        <v>0</v>
      </c>
      <c r="V767" s="424" t="s">
        <v>3283</v>
      </c>
      <c r="W767" s="424" t="s">
        <v>3283</v>
      </c>
      <c r="X767" s="424" t="s">
        <v>2825</v>
      </c>
      <c r="Y767" s="424" t="s">
        <v>2279</v>
      </c>
      <c r="Z767" s="424" t="s">
        <v>2889</v>
      </c>
      <c r="AA767" s="424" t="s">
        <v>4163</v>
      </c>
      <c r="AB767" s="424" t="s">
        <v>4920</v>
      </c>
      <c r="AC767" s="424" t="s">
        <v>2269</v>
      </c>
      <c r="AD767" s="424" t="s">
        <v>4921</v>
      </c>
      <c r="AE767" s="424" t="s">
        <v>4922</v>
      </c>
      <c r="AF767" s="424"/>
      <c r="AG767" s="424"/>
      <c r="AH767" s="424"/>
    </row>
    <row r="768" spans="1:34" x14ac:dyDescent="0.25">
      <c r="A768" s="423" t="s">
        <v>4905</v>
      </c>
      <c r="B768" s="423" t="s">
        <v>4923</v>
      </c>
      <c r="C768" s="423" t="s">
        <v>168</v>
      </c>
      <c r="D768" s="423" t="s">
        <v>4907</v>
      </c>
      <c r="E768" s="423" t="s">
        <v>2818</v>
      </c>
      <c r="F768" s="423">
        <v>24</v>
      </c>
      <c r="G768" s="423">
        <v>110</v>
      </c>
      <c r="H768" s="423">
        <v>1800</v>
      </c>
      <c r="J768" s="423"/>
      <c r="K768" s="423"/>
      <c r="L768" s="423"/>
      <c r="M768" s="423"/>
      <c r="Q768" s="423"/>
      <c r="R768" s="424" t="s">
        <v>4924</v>
      </c>
      <c r="S768" s="424" t="s">
        <v>2820</v>
      </c>
      <c r="T768" s="424" t="s">
        <v>3268</v>
      </c>
      <c r="U768" s="424">
        <v>0</v>
      </c>
      <c r="V768" s="424" t="s">
        <v>3283</v>
      </c>
      <c r="W768" s="424" t="s">
        <v>3283</v>
      </c>
      <c r="X768" s="424" t="s">
        <v>2825</v>
      </c>
      <c r="Y768" s="424" t="s">
        <v>2279</v>
      </c>
      <c r="Z768" s="424" t="s">
        <v>2889</v>
      </c>
      <c r="AA768" s="424" t="s">
        <v>4163</v>
      </c>
      <c r="AB768" s="424" t="s">
        <v>4925</v>
      </c>
      <c r="AC768" s="424" t="s">
        <v>2269</v>
      </c>
      <c r="AD768" s="424" t="s">
        <v>4921</v>
      </c>
      <c r="AE768" s="424" t="s">
        <v>4922</v>
      </c>
      <c r="AF768" s="424"/>
      <c r="AG768" s="424"/>
      <c r="AH768" s="424"/>
    </row>
    <row r="769" spans="1:34" x14ac:dyDescent="0.25">
      <c r="A769" s="423" t="s">
        <v>4905</v>
      </c>
      <c r="B769" s="423" t="s">
        <v>4926</v>
      </c>
      <c r="C769" s="423" t="s">
        <v>168</v>
      </c>
      <c r="D769" s="423" t="s">
        <v>4907</v>
      </c>
      <c r="E769" s="423" t="s">
        <v>2818</v>
      </c>
      <c r="F769" s="423">
        <v>24</v>
      </c>
      <c r="G769" s="423">
        <v>252</v>
      </c>
      <c r="H769" s="423">
        <v>1800</v>
      </c>
      <c r="J769" s="423"/>
      <c r="K769" s="423"/>
      <c r="L769" s="423"/>
      <c r="M769" s="423"/>
      <c r="Q769" s="423"/>
      <c r="R769" s="424" t="s">
        <v>4927</v>
      </c>
      <c r="S769" s="424" t="s">
        <v>2820</v>
      </c>
      <c r="T769" s="424" t="s">
        <v>3268</v>
      </c>
      <c r="U769" s="424">
        <v>0</v>
      </c>
      <c r="V769" s="424" t="s">
        <v>3283</v>
      </c>
      <c r="W769" s="424" t="s">
        <v>3283</v>
      </c>
      <c r="X769" s="424" t="s">
        <v>2825</v>
      </c>
      <c r="Y769" s="424" t="s">
        <v>2279</v>
      </c>
      <c r="Z769" s="424" t="s">
        <v>3270</v>
      </c>
      <c r="AA769" s="424" t="s">
        <v>3271</v>
      </c>
      <c r="AB769" s="424" t="s">
        <v>4928</v>
      </c>
      <c r="AC769" s="424" t="s">
        <v>2269</v>
      </c>
      <c r="AD769" s="424" t="s">
        <v>4921</v>
      </c>
      <c r="AE769" s="424" t="s">
        <v>4929</v>
      </c>
      <c r="AF769" s="424"/>
      <c r="AG769" s="424"/>
      <c r="AH769" s="424"/>
    </row>
    <row r="770" spans="1:34" x14ac:dyDescent="0.25">
      <c r="A770" s="423" t="s">
        <v>4905</v>
      </c>
      <c r="B770" s="423" t="s">
        <v>4930</v>
      </c>
      <c r="C770" s="423" t="s">
        <v>168</v>
      </c>
      <c r="D770" s="423" t="s">
        <v>4907</v>
      </c>
      <c r="E770" s="423" t="s">
        <v>2818</v>
      </c>
      <c r="F770" s="423">
        <v>32</v>
      </c>
      <c r="G770" s="423">
        <v>252</v>
      </c>
      <c r="H770" s="423">
        <v>1800</v>
      </c>
      <c r="J770" s="423"/>
      <c r="K770" s="423"/>
      <c r="L770" s="423"/>
      <c r="M770" s="423"/>
      <c r="Q770" s="423"/>
      <c r="R770" s="424" t="s">
        <v>4931</v>
      </c>
      <c r="S770" s="424" t="s">
        <v>2820</v>
      </c>
      <c r="T770" s="424" t="s">
        <v>3268</v>
      </c>
      <c r="U770" s="424">
        <v>0</v>
      </c>
      <c r="V770" s="424" t="s">
        <v>3283</v>
      </c>
      <c r="W770" s="424" t="s">
        <v>3283</v>
      </c>
      <c r="X770" s="424" t="s">
        <v>2825</v>
      </c>
      <c r="Y770" s="424" t="s">
        <v>2279</v>
      </c>
      <c r="Z770" s="424" t="s">
        <v>3270</v>
      </c>
      <c r="AA770" s="424" t="s">
        <v>3271</v>
      </c>
      <c r="AB770" s="424" t="s">
        <v>4932</v>
      </c>
      <c r="AC770" s="424" t="s">
        <v>2269</v>
      </c>
      <c r="AD770" s="424" t="s">
        <v>4921</v>
      </c>
      <c r="AE770" s="424" t="s">
        <v>4929</v>
      </c>
      <c r="AF770" s="424"/>
      <c r="AG770" s="424"/>
      <c r="AH770" s="424"/>
    </row>
    <row r="771" spans="1:34" x14ac:dyDescent="0.25">
      <c r="A771" s="423" t="s">
        <v>4905</v>
      </c>
      <c r="B771" s="423" t="s">
        <v>4933</v>
      </c>
      <c r="C771" s="423" t="s">
        <v>168</v>
      </c>
      <c r="D771" s="423" t="s">
        <v>4907</v>
      </c>
      <c r="E771" s="423" t="s">
        <v>2818</v>
      </c>
      <c r="F771" s="423">
        <v>32</v>
      </c>
      <c r="G771" s="423">
        <v>252</v>
      </c>
      <c r="H771" s="423">
        <v>1800</v>
      </c>
      <c r="J771" s="423"/>
      <c r="K771" s="423"/>
      <c r="L771" s="423"/>
      <c r="M771" s="423"/>
      <c r="Q771" s="423"/>
      <c r="R771" s="424" t="s">
        <v>4934</v>
      </c>
      <c r="S771" s="424" t="s">
        <v>2820</v>
      </c>
      <c r="T771" s="424" t="s">
        <v>3268</v>
      </c>
      <c r="U771" s="424">
        <v>0</v>
      </c>
      <c r="V771" s="424" t="s">
        <v>3283</v>
      </c>
      <c r="W771" s="424" t="s">
        <v>3283</v>
      </c>
      <c r="X771" s="424" t="s">
        <v>2825</v>
      </c>
      <c r="Y771" s="424" t="s">
        <v>2279</v>
      </c>
      <c r="Z771" s="424" t="s">
        <v>3270</v>
      </c>
      <c r="AA771" s="424" t="s">
        <v>3271</v>
      </c>
      <c r="AB771" s="424" t="s">
        <v>4935</v>
      </c>
      <c r="AC771" s="424" t="s">
        <v>2269</v>
      </c>
      <c r="AD771" s="424" t="s">
        <v>4921</v>
      </c>
      <c r="AE771" s="424" t="s">
        <v>4929</v>
      </c>
      <c r="AF771" s="424"/>
      <c r="AG771" s="424"/>
      <c r="AH771" s="424"/>
    </row>
    <row r="772" spans="1:34" x14ac:dyDescent="0.25">
      <c r="A772" s="423" t="s">
        <v>4905</v>
      </c>
      <c r="B772" s="423" t="s">
        <v>4936</v>
      </c>
      <c r="C772" s="423" t="s">
        <v>168</v>
      </c>
      <c r="D772" s="423" t="s">
        <v>4907</v>
      </c>
      <c r="E772" s="423" t="s">
        <v>2818</v>
      </c>
      <c r="F772" s="423">
        <v>24</v>
      </c>
      <c r="G772" s="423">
        <v>65</v>
      </c>
      <c r="H772" s="423">
        <v>500</v>
      </c>
      <c r="J772" s="423"/>
      <c r="K772" s="423"/>
      <c r="L772" s="423"/>
      <c r="M772" s="423"/>
      <c r="Q772" s="423"/>
      <c r="R772" s="424" t="s">
        <v>4937</v>
      </c>
      <c r="S772" s="424" t="s">
        <v>2846</v>
      </c>
      <c r="T772" s="424" t="s">
        <v>2870</v>
      </c>
      <c r="U772" s="424">
        <v>0</v>
      </c>
      <c r="V772" s="424" t="s">
        <v>3074</v>
      </c>
      <c r="W772" s="424" t="s">
        <v>3074</v>
      </c>
      <c r="X772" s="424" t="s">
        <v>2825</v>
      </c>
      <c r="Y772" s="424" t="s">
        <v>2279</v>
      </c>
      <c r="Z772" s="424" t="s">
        <v>2872</v>
      </c>
      <c r="AA772" s="424" t="s">
        <v>2873</v>
      </c>
      <c r="AB772" s="424" t="s">
        <v>4938</v>
      </c>
      <c r="AC772" s="424" t="s">
        <v>1953</v>
      </c>
      <c r="AD772" s="424" t="s">
        <v>2892</v>
      </c>
      <c r="AE772" s="424" t="s">
        <v>4459</v>
      </c>
      <c r="AF772" s="424"/>
      <c r="AG772" s="424"/>
      <c r="AH772" s="424"/>
    </row>
    <row r="773" spans="1:34" x14ac:dyDescent="0.25">
      <c r="A773" s="423" t="s">
        <v>4905</v>
      </c>
      <c r="B773" s="423" t="s">
        <v>4939</v>
      </c>
      <c r="C773" s="423" t="s">
        <v>168</v>
      </c>
      <c r="D773" s="423" t="s">
        <v>4907</v>
      </c>
      <c r="E773" s="423" t="s">
        <v>2818</v>
      </c>
      <c r="F773" s="423">
        <v>24</v>
      </c>
      <c r="G773" s="423">
        <v>65</v>
      </c>
      <c r="H773" s="423">
        <v>500</v>
      </c>
      <c r="J773" s="423"/>
      <c r="K773" s="423"/>
      <c r="L773" s="423"/>
      <c r="M773" s="423"/>
      <c r="Q773" s="423"/>
      <c r="R773" s="424" t="s">
        <v>4940</v>
      </c>
      <c r="S773" s="424" t="s">
        <v>2846</v>
      </c>
      <c r="T773" s="424" t="s">
        <v>2870</v>
      </c>
      <c r="U773" s="424">
        <v>0</v>
      </c>
      <c r="V773" s="424" t="s">
        <v>3074</v>
      </c>
      <c r="W773" s="424" t="s">
        <v>3074</v>
      </c>
      <c r="X773" s="424" t="s">
        <v>2825</v>
      </c>
      <c r="Y773" s="424" t="s">
        <v>2279</v>
      </c>
      <c r="Z773" s="424" t="s">
        <v>2872</v>
      </c>
      <c r="AA773" s="424" t="s">
        <v>2873</v>
      </c>
      <c r="AB773" s="424" t="s">
        <v>4941</v>
      </c>
      <c r="AC773" s="424" t="s">
        <v>1953</v>
      </c>
      <c r="AD773" s="424" t="s">
        <v>2892</v>
      </c>
      <c r="AE773" s="424" t="s">
        <v>4459</v>
      </c>
      <c r="AF773" s="424"/>
      <c r="AG773" s="424"/>
      <c r="AH773" s="424"/>
    </row>
    <row r="774" spans="1:34" x14ac:dyDescent="0.25">
      <c r="A774" s="423" t="s">
        <v>4905</v>
      </c>
      <c r="B774" s="423" t="s">
        <v>4942</v>
      </c>
      <c r="C774" s="423" t="s">
        <v>168</v>
      </c>
      <c r="D774" s="423" t="s">
        <v>4907</v>
      </c>
      <c r="E774" s="423" t="s">
        <v>2818</v>
      </c>
      <c r="F774" s="423">
        <v>24</v>
      </c>
      <c r="G774" s="423">
        <v>65</v>
      </c>
      <c r="H774" s="423">
        <v>500</v>
      </c>
      <c r="J774" s="423"/>
      <c r="K774" s="423"/>
      <c r="L774" s="423"/>
      <c r="M774" s="423"/>
      <c r="Q774" s="423"/>
      <c r="R774" s="424" t="s">
        <v>4943</v>
      </c>
      <c r="S774" s="424" t="s">
        <v>2846</v>
      </c>
      <c r="T774" s="424" t="s">
        <v>2870</v>
      </c>
      <c r="U774" s="424">
        <v>0</v>
      </c>
      <c r="V774" s="424" t="s">
        <v>3074</v>
      </c>
      <c r="W774" s="424" t="s">
        <v>2871</v>
      </c>
      <c r="X774" s="424" t="s">
        <v>2825</v>
      </c>
      <c r="Y774" s="424" t="s">
        <v>2279</v>
      </c>
      <c r="Z774" s="424" t="s">
        <v>2872</v>
      </c>
      <c r="AA774" s="424" t="s">
        <v>2873</v>
      </c>
      <c r="AB774" s="424" t="s">
        <v>2896</v>
      </c>
      <c r="AC774" s="424" t="s">
        <v>1953</v>
      </c>
      <c r="AD774" s="424" t="s">
        <v>2892</v>
      </c>
      <c r="AE774" s="424" t="s">
        <v>2897</v>
      </c>
      <c r="AF774" s="424"/>
      <c r="AG774" s="424"/>
      <c r="AH774" s="424"/>
    </row>
    <row r="775" spans="1:34" x14ac:dyDescent="0.25">
      <c r="A775" s="423" t="s">
        <v>4905</v>
      </c>
      <c r="B775" s="423" t="s">
        <v>4944</v>
      </c>
      <c r="C775" s="423" t="s">
        <v>168</v>
      </c>
      <c r="D775" s="423" t="s">
        <v>4907</v>
      </c>
      <c r="E775" s="423" t="s">
        <v>2818</v>
      </c>
      <c r="F775" s="423">
        <v>24</v>
      </c>
      <c r="G775" s="423">
        <v>65</v>
      </c>
      <c r="H775" s="423">
        <v>500</v>
      </c>
      <c r="J775" s="423"/>
      <c r="K775" s="423"/>
      <c r="L775" s="423"/>
      <c r="M775" s="423"/>
      <c r="Q775" s="423"/>
      <c r="R775" s="424" t="s">
        <v>4945</v>
      </c>
      <c r="S775" s="424" t="s">
        <v>2846</v>
      </c>
      <c r="T775" s="424" t="s">
        <v>2870</v>
      </c>
      <c r="U775" s="424">
        <v>0</v>
      </c>
      <c r="V775" s="424" t="s">
        <v>3074</v>
      </c>
      <c r="W775" s="424" t="s">
        <v>2974</v>
      </c>
      <c r="X775" s="424" t="s">
        <v>2825</v>
      </c>
      <c r="Y775" s="424" t="s">
        <v>2279</v>
      </c>
      <c r="Z775" s="424" t="s">
        <v>2889</v>
      </c>
      <c r="AA775" s="424" t="s">
        <v>2890</v>
      </c>
      <c r="AB775" s="424" t="s">
        <v>4946</v>
      </c>
      <c r="AC775" s="424" t="s">
        <v>1953</v>
      </c>
      <c r="AD775" s="424" t="s">
        <v>2892</v>
      </c>
      <c r="AE775" s="424" t="s">
        <v>2930</v>
      </c>
      <c r="AF775" s="424"/>
      <c r="AG775" s="424"/>
      <c r="AH775" s="424"/>
    </row>
    <row r="776" spans="1:34" x14ac:dyDescent="0.25">
      <c r="A776" s="423" t="s">
        <v>4905</v>
      </c>
      <c r="B776" s="423" t="s">
        <v>4947</v>
      </c>
      <c r="C776" s="423" t="s">
        <v>168</v>
      </c>
      <c r="D776" s="423" t="s">
        <v>4907</v>
      </c>
      <c r="E776" s="423" t="s">
        <v>2818</v>
      </c>
      <c r="F776" s="423">
        <v>24</v>
      </c>
      <c r="G776" s="423">
        <v>65</v>
      </c>
      <c r="H776" s="423">
        <v>500</v>
      </c>
      <c r="J776" s="423"/>
      <c r="K776" s="423"/>
      <c r="L776" s="423"/>
      <c r="M776" s="423"/>
      <c r="Q776" s="423"/>
      <c r="R776" s="424" t="s">
        <v>4948</v>
      </c>
      <c r="S776" s="424" t="s">
        <v>2846</v>
      </c>
      <c r="T776" s="424" t="s">
        <v>2870</v>
      </c>
      <c r="U776" s="424">
        <v>0</v>
      </c>
      <c r="V776" s="424" t="s">
        <v>3074</v>
      </c>
      <c r="W776" s="424" t="s">
        <v>3074</v>
      </c>
      <c r="X776" s="424" t="s">
        <v>2825</v>
      </c>
      <c r="Y776" s="424" t="s">
        <v>2279</v>
      </c>
      <c r="Z776" s="424" t="s">
        <v>2848</v>
      </c>
      <c r="AA776" s="424" t="s">
        <v>2855</v>
      </c>
      <c r="AB776" s="424" t="s">
        <v>4949</v>
      </c>
      <c r="AC776" s="424" t="s">
        <v>1953</v>
      </c>
      <c r="AD776" s="424" t="s">
        <v>2851</v>
      </c>
      <c r="AE776" s="424" t="s">
        <v>3173</v>
      </c>
      <c r="AF776" s="424"/>
      <c r="AG776" s="424"/>
      <c r="AH776" s="424"/>
    </row>
    <row r="777" spans="1:34" x14ac:dyDescent="0.25">
      <c r="A777" s="423" t="s">
        <v>4905</v>
      </c>
      <c r="B777" s="423" t="s">
        <v>4950</v>
      </c>
      <c r="C777" s="423" t="s">
        <v>168</v>
      </c>
      <c r="D777" s="423" t="s">
        <v>4907</v>
      </c>
      <c r="E777" s="423" t="s">
        <v>2818</v>
      </c>
      <c r="F777" s="423">
        <v>24</v>
      </c>
      <c r="G777" s="423">
        <v>65</v>
      </c>
      <c r="H777" s="423">
        <v>500</v>
      </c>
      <c r="J777" s="423"/>
      <c r="K777" s="423"/>
      <c r="L777" s="423"/>
      <c r="M777" s="423"/>
      <c r="Q777" s="423"/>
      <c r="R777" s="424" t="s">
        <v>4951</v>
      </c>
      <c r="S777" s="424" t="s">
        <v>2846</v>
      </c>
      <c r="T777" s="424" t="s">
        <v>2870</v>
      </c>
      <c r="U777" s="424">
        <v>0</v>
      </c>
      <c r="V777" s="424" t="s">
        <v>3074</v>
      </c>
      <c r="W777" s="424" t="s">
        <v>3054</v>
      </c>
      <c r="X777" s="424" t="s">
        <v>2825</v>
      </c>
      <c r="Y777" s="424" t="s">
        <v>2279</v>
      </c>
      <c r="Z777" s="424" t="s">
        <v>2848</v>
      </c>
      <c r="AA777" s="424" t="s">
        <v>2855</v>
      </c>
      <c r="AB777" s="424" t="s">
        <v>3813</v>
      </c>
      <c r="AC777" s="424" t="s">
        <v>1953</v>
      </c>
      <c r="AD777" s="424" t="s">
        <v>2851</v>
      </c>
      <c r="AE777" s="424" t="s">
        <v>2901</v>
      </c>
      <c r="AF777" s="424"/>
      <c r="AG777" s="424"/>
      <c r="AH777" s="424"/>
    </row>
    <row r="778" spans="1:34" x14ac:dyDescent="0.25">
      <c r="A778" s="423" t="s">
        <v>4905</v>
      </c>
      <c r="B778" s="423" t="s">
        <v>4952</v>
      </c>
      <c r="C778" s="423" t="s">
        <v>168</v>
      </c>
      <c r="D778" s="423" t="s">
        <v>4907</v>
      </c>
      <c r="E778" s="423" t="s">
        <v>2818</v>
      </c>
      <c r="F778" s="423">
        <v>24</v>
      </c>
      <c r="G778" s="423">
        <v>65</v>
      </c>
      <c r="H778" s="423">
        <v>500</v>
      </c>
      <c r="J778" s="423"/>
      <c r="K778" s="423"/>
      <c r="L778" s="423"/>
      <c r="M778" s="423"/>
      <c r="Q778" s="423"/>
      <c r="R778" s="424" t="s">
        <v>4953</v>
      </c>
      <c r="S778" s="424" t="s">
        <v>2846</v>
      </c>
      <c r="T778" s="424" t="s">
        <v>2870</v>
      </c>
      <c r="U778" s="424">
        <v>0</v>
      </c>
      <c r="V778" s="424" t="s">
        <v>3074</v>
      </c>
      <c r="W778" s="424" t="s">
        <v>2871</v>
      </c>
      <c r="X778" s="424" t="s">
        <v>2825</v>
      </c>
      <c r="Y778" s="424" t="s">
        <v>2279</v>
      </c>
      <c r="Z778" s="424" t="s">
        <v>2848</v>
      </c>
      <c r="AA778" s="424" t="s">
        <v>2855</v>
      </c>
      <c r="AB778" s="424" t="s">
        <v>3489</v>
      </c>
      <c r="AC778" s="424" t="s">
        <v>1953</v>
      </c>
      <c r="AD778" s="424" t="s">
        <v>2851</v>
      </c>
      <c r="AE778" s="424" t="s">
        <v>2901</v>
      </c>
      <c r="AF778" s="424"/>
      <c r="AG778" s="424"/>
      <c r="AH778" s="424"/>
    </row>
    <row r="779" spans="1:34" x14ac:dyDescent="0.25">
      <c r="A779" s="423" t="s">
        <v>4905</v>
      </c>
      <c r="B779" s="423" t="s">
        <v>4954</v>
      </c>
      <c r="C779" s="423" t="s">
        <v>168</v>
      </c>
      <c r="D779" s="423" t="s">
        <v>4907</v>
      </c>
      <c r="E779" s="423" t="s">
        <v>2818</v>
      </c>
      <c r="F779" s="423">
        <v>24</v>
      </c>
      <c r="G779" s="423">
        <v>65</v>
      </c>
      <c r="H779" s="423">
        <v>500</v>
      </c>
      <c r="J779" s="423"/>
      <c r="K779" s="423"/>
      <c r="L779" s="423"/>
      <c r="M779" s="423"/>
      <c r="Q779" s="423"/>
      <c r="R779" s="424" t="s">
        <v>4955</v>
      </c>
      <c r="S779" s="424" t="s">
        <v>2846</v>
      </c>
      <c r="T779" s="424" t="s">
        <v>2870</v>
      </c>
      <c r="U779" s="424">
        <v>0</v>
      </c>
      <c r="V779" s="424" t="s">
        <v>3074</v>
      </c>
      <c r="W779" s="424" t="s">
        <v>3074</v>
      </c>
      <c r="X779" s="424" t="s">
        <v>2825</v>
      </c>
      <c r="Y779" s="424" t="s">
        <v>2279</v>
      </c>
      <c r="Z779" s="424" t="s">
        <v>2848</v>
      </c>
      <c r="AA779" s="424" t="s">
        <v>2855</v>
      </c>
      <c r="AB779" s="424" t="s">
        <v>4513</v>
      </c>
      <c r="AC779" s="424" t="s">
        <v>1953</v>
      </c>
      <c r="AD779" s="424" t="s">
        <v>2851</v>
      </c>
      <c r="AE779" s="424" t="s">
        <v>3173</v>
      </c>
      <c r="AF779" s="424"/>
      <c r="AG779" s="424"/>
      <c r="AH779" s="424"/>
    </row>
    <row r="780" spans="1:34" x14ac:dyDescent="0.25">
      <c r="A780" s="423" t="s">
        <v>4905</v>
      </c>
      <c r="B780" s="423" t="s">
        <v>4956</v>
      </c>
      <c r="C780" s="423" t="s">
        <v>168</v>
      </c>
      <c r="D780" s="423" t="s">
        <v>4907</v>
      </c>
      <c r="E780" s="423" t="s">
        <v>2818</v>
      </c>
      <c r="F780" s="423">
        <v>24</v>
      </c>
      <c r="G780" s="423">
        <v>65</v>
      </c>
      <c r="H780" s="423">
        <v>500</v>
      </c>
      <c r="J780" s="423"/>
      <c r="K780" s="423"/>
      <c r="L780" s="423"/>
      <c r="M780" s="423"/>
      <c r="Q780" s="423"/>
      <c r="R780" s="424" t="s">
        <v>4957</v>
      </c>
      <c r="S780" s="424" t="s">
        <v>2846</v>
      </c>
      <c r="T780" s="424" t="s">
        <v>2870</v>
      </c>
      <c r="U780" s="424">
        <v>0</v>
      </c>
      <c r="V780" s="424" t="s">
        <v>3074</v>
      </c>
      <c r="W780" s="424" t="s">
        <v>3074</v>
      </c>
      <c r="X780" s="424" t="s">
        <v>2825</v>
      </c>
      <c r="Y780" s="424" t="s">
        <v>2279</v>
      </c>
      <c r="Z780" s="424" t="s">
        <v>2872</v>
      </c>
      <c r="AA780" s="424" t="s">
        <v>2873</v>
      </c>
      <c r="AB780" s="424" t="s">
        <v>4469</v>
      </c>
      <c r="AC780" s="424" t="s">
        <v>1953</v>
      </c>
      <c r="AD780" s="424" t="s">
        <v>2892</v>
      </c>
      <c r="AE780" s="424" t="s">
        <v>4459</v>
      </c>
      <c r="AF780" s="424"/>
      <c r="AG780" s="424"/>
      <c r="AH780" s="424"/>
    </row>
    <row r="781" spans="1:34" x14ac:dyDescent="0.25">
      <c r="A781" s="423" t="s">
        <v>4905</v>
      </c>
      <c r="B781" s="423" t="s">
        <v>4958</v>
      </c>
      <c r="C781" s="423" t="s">
        <v>168</v>
      </c>
      <c r="D781" s="423" t="s">
        <v>4907</v>
      </c>
      <c r="E781" s="423" t="s">
        <v>2818</v>
      </c>
      <c r="F781" s="423">
        <v>24</v>
      </c>
      <c r="G781" s="423">
        <v>65</v>
      </c>
      <c r="H781" s="423">
        <v>500</v>
      </c>
      <c r="J781" s="423"/>
      <c r="K781" s="423"/>
      <c r="L781" s="423"/>
      <c r="M781" s="423"/>
      <c r="Q781" s="423"/>
      <c r="R781" s="424" t="s">
        <v>4959</v>
      </c>
      <c r="S781" s="424" t="s">
        <v>2846</v>
      </c>
      <c r="T781" s="424" t="s">
        <v>2870</v>
      </c>
      <c r="U781" s="424">
        <v>0</v>
      </c>
      <c r="V781" s="424" t="s">
        <v>3074</v>
      </c>
      <c r="W781" s="424" t="s">
        <v>2871</v>
      </c>
      <c r="X781" s="424" t="s">
        <v>2825</v>
      </c>
      <c r="Y781" s="424" t="s">
        <v>2279</v>
      </c>
      <c r="Z781" s="424" t="s">
        <v>2872</v>
      </c>
      <c r="AA781" s="424" t="s">
        <v>2873</v>
      </c>
      <c r="AB781" s="424" t="s">
        <v>4494</v>
      </c>
      <c r="AC781" s="424" t="s">
        <v>1953</v>
      </c>
      <c r="AD781" s="424" t="s">
        <v>2892</v>
      </c>
      <c r="AE781" s="424" t="s">
        <v>2897</v>
      </c>
      <c r="AF781" s="424"/>
      <c r="AG781" s="424"/>
      <c r="AH781" s="424"/>
    </row>
    <row r="782" spans="1:34" x14ac:dyDescent="0.25">
      <c r="A782" s="423" t="s">
        <v>4905</v>
      </c>
      <c r="B782" s="423" t="s">
        <v>4960</v>
      </c>
      <c r="C782" s="423" t="s">
        <v>168</v>
      </c>
      <c r="D782" s="423" t="s">
        <v>4907</v>
      </c>
      <c r="E782" s="423" t="s">
        <v>2818</v>
      </c>
      <c r="F782" s="423">
        <v>24</v>
      </c>
      <c r="G782" s="423">
        <v>65</v>
      </c>
      <c r="H782" s="423">
        <v>500</v>
      </c>
      <c r="J782" s="423"/>
      <c r="K782" s="423"/>
      <c r="L782" s="423"/>
      <c r="M782" s="423"/>
      <c r="Q782" s="423"/>
      <c r="R782" s="424" t="s">
        <v>4961</v>
      </c>
      <c r="S782" s="424" t="s">
        <v>2846</v>
      </c>
      <c r="T782" s="424" t="s">
        <v>2870</v>
      </c>
      <c r="U782" s="424">
        <v>0</v>
      </c>
      <c r="V782" s="424" t="s">
        <v>3074</v>
      </c>
      <c r="W782" s="424" t="s">
        <v>3074</v>
      </c>
      <c r="X782" s="424" t="s">
        <v>2825</v>
      </c>
      <c r="Y782" s="424" t="s">
        <v>2279</v>
      </c>
      <c r="Z782" s="424" t="s">
        <v>2872</v>
      </c>
      <c r="AA782" s="424" t="s">
        <v>2873</v>
      </c>
      <c r="AB782" s="424" t="s">
        <v>4938</v>
      </c>
      <c r="AC782" s="424" t="s">
        <v>1953</v>
      </c>
      <c r="AD782" s="424" t="s">
        <v>2892</v>
      </c>
      <c r="AE782" s="424" t="s">
        <v>4459</v>
      </c>
      <c r="AF782" s="424"/>
      <c r="AG782" s="424"/>
      <c r="AH782" s="424"/>
    </row>
    <row r="783" spans="1:34" x14ac:dyDescent="0.25">
      <c r="A783" s="423" t="s">
        <v>4905</v>
      </c>
      <c r="B783" s="423" t="s">
        <v>4962</v>
      </c>
      <c r="C783" s="423" t="s">
        <v>168</v>
      </c>
      <c r="D783" s="423" t="s">
        <v>4907</v>
      </c>
      <c r="E783" s="423" t="s">
        <v>2818</v>
      </c>
      <c r="F783" s="423">
        <v>24</v>
      </c>
      <c r="G783" s="423">
        <v>65</v>
      </c>
      <c r="H783" s="423">
        <v>500</v>
      </c>
      <c r="J783" s="423"/>
      <c r="K783" s="423"/>
      <c r="L783" s="423"/>
      <c r="M783" s="423"/>
      <c r="Q783" s="423"/>
      <c r="R783" s="424" t="s">
        <v>4963</v>
      </c>
      <c r="S783" s="424" t="s">
        <v>2846</v>
      </c>
      <c r="T783" s="424" t="s">
        <v>2870</v>
      </c>
      <c r="U783" s="424">
        <v>0</v>
      </c>
      <c r="V783" s="424" t="s">
        <v>3074</v>
      </c>
      <c r="W783" s="424" t="s">
        <v>2974</v>
      </c>
      <c r="X783" s="424" t="s">
        <v>2825</v>
      </c>
      <c r="Y783" s="424" t="s">
        <v>2279</v>
      </c>
      <c r="Z783" s="424" t="s">
        <v>2889</v>
      </c>
      <c r="AA783" s="424" t="s">
        <v>2890</v>
      </c>
      <c r="AB783" s="424" t="s">
        <v>4964</v>
      </c>
      <c r="AC783" s="424" t="s">
        <v>1953</v>
      </c>
      <c r="AD783" s="424" t="s">
        <v>2892</v>
      </c>
      <c r="AE783" s="424" t="s">
        <v>2893</v>
      </c>
      <c r="AF783" s="424"/>
      <c r="AG783" s="424"/>
      <c r="AH783" s="424"/>
    </row>
    <row r="784" spans="1:34" x14ac:dyDescent="0.25">
      <c r="A784" s="423" t="s">
        <v>4905</v>
      </c>
      <c r="B784" s="423" t="s">
        <v>4965</v>
      </c>
      <c r="C784" s="423" t="s">
        <v>168</v>
      </c>
      <c r="D784" s="423" t="s">
        <v>4907</v>
      </c>
      <c r="E784" s="423" t="s">
        <v>2818</v>
      </c>
      <c r="F784" s="423">
        <v>24</v>
      </c>
      <c r="G784" s="423">
        <v>65</v>
      </c>
      <c r="H784" s="423">
        <v>500</v>
      </c>
      <c r="J784" s="423"/>
      <c r="K784" s="423"/>
      <c r="L784" s="423"/>
      <c r="M784" s="423"/>
      <c r="Q784" s="423"/>
      <c r="R784" s="424" t="s">
        <v>4966</v>
      </c>
      <c r="S784" s="424" t="s">
        <v>2846</v>
      </c>
      <c r="T784" s="424" t="s">
        <v>2870</v>
      </c>
      <c r="U784" s="424">
        <v>0</v>
      </c>
      <c r="V784" s="424" t="s">
        <v>3074</v>
      </c>
      <c r="W784" s="424" t="s">
        <v>3176</v>
      </c>
      <c r="X784" s="424" t="s">
        <v>2825</v>
      </c>
      <c r="Y784" s="424" t="s">
        <v>2279</v>
      </c>
      <c r="Z784" s="424" t="s">
        <v>2848</v>
      </c>
      <c r="AA784" s="424" t="s">
        <v>2855</v>
      </c>
      <c r="AB784" s="424" t="s">
        <v>3194</v>
      </c>
      <c r="AC784" s="424" t="s">
        <v>1953</v>
      </c>
      <c r="AD784" s="424" t="s">
        <v>2851</v>
      </c>
      <c r="AE784" s="424" t="s">
        <v>2901</v>
      </c>
      <c r="AF784" s="424"/>
      <c r="AG784" s="424"/>
      <c r="AH784" s="424"/>
    </row>
    <row r="785" spans="1:34" x14ac:dyDescent="0.25">
      <c r="A785" s="423" t="s">
        <v>4905</v>
      </c>
      <c r="B785" s="423" t="s">
        <v>4967</v>
      </c>
      <c r="C785" s="423" t="s">
        <v>168</v>
      </c>
      <c r="D785" s="423" t="s">
        <v>4907</v>
      </c>
      <c r="E785" s="423" t="s">
        <v>2818</v>
      </c>
      <c r="F785" s="423">
        <v>24</v>
      </c>
      <c r="G785" s="423">
        <v>65</v>
      </c>
      <c r="H785" s="423">
        <v>500</v>
      </c>
      <c r="J785" s="423"/>
      <c r="K785" s="423"/>
      <c r="L785" s="423"/>
      <c r="M785" s="423"/>
      <c r="Q785" s="423"/>
      <c r="R785" s="424" t="s">
        <v>4968</v>
      </c>
      <c r="S785" s="424" t="s">
        <v>2846</v>
      </c>
      <c r="T785" s="424" t="s">
        <v>2870</v>
      </c>
      <c r="U785" s="424">
        <v>0</v>
      </c>
      <c r="V785" s="424" t="s">
        <v>3074</v>
      </c>
      <c r="W785" s="424" t="s">
        <v>3176</v>
      </c>
      <c r="X785" s="424" t="s">
        <v>2825</v>
      </c>
      <c r="Y785" s="424" t="s">
        <v>2279</v>
      </c>
      <c r="Z785" s="424" t="s">
        <v>2848</v>
      </c>
      <c r="AA785" s="424" t="s">
        <v>2855</v>
      </c>
      <c r="AB785" s="424" t="s">
        <v>3486</v>
      </c>
      <c r="AC785" s="424" t="s">
        <v>1953</v>
      </c>
      <c r="AD785" s="424" t="s">
        <v>2851</v>
      </c>
      <c r="AE785" s="424" t="s">
        <v>2901</v>
      </c>
      <c r="AF785" s="424"/>
      <c r="AG785" s="424"/>
      <c r="AH785" s="424"/>
    </row>
    <row r="786" spans="1:34" x14ac:dyDescent="0.25">
      <c r="A786" s="423" t="s">
        <v>4905</v>
      </c>
      <c r="B786" s="423" t="s">
        <v>4969</v>
      </c>
      <c r="C786" s="423" t="s">
        <v>168</v>
      </c>
      <c r="D786" s="423" t="s">
        <v>4907</v>
      </c>
      <c r="E786" s="423" t="s">
        <v>2818</v>
      </c>
      <c r="F786" s="423">
        <v>24</v>
      </c>
      <c r="G786" s="423">
        <v>65</v>
      </c>
      <c r="H786" s="423">
        <v>500</v>
      </c>
      <c r="J786" s="423"/>
      <c r="K786" s="423"/>
      <c r="L786" s="423"/>
      <c r="M786" s="423"/>
      <c r="Q786" s="423"/>
      <c r="R786" s="424" t="s">
        <v>4970</v>
      </c>
      <c r="S786" s="424" t="s">
        <v>2846</v>
      </c>
      <c r="T786" s="424" t="s">
        <v>2870</v>
      </c>
      <c r="U786" s="424">
        <v>0</v>
      </c>
      <c r="V786" s="424" t="s">
        <v>3074</v>
      </c>
      <c r="W786" s="424" t="s">
        <v>2871</v>
      </c>
      <c r="X786" s="424" t="s">
        <v>2825</v>
      </c>
      <c r="Y786" s="424" t="s">
        <v>2279</v>
      </c>
      <c r="Z786" s="424" t="s">
        <v>2848</v>
      </c>
      <c r="AA786" s="424" t="s">
        <v>2855</v>
      </c>
      <c r="AB786" s="424" t="s">
        <v>4971</v>
      </c>
      <c r="AC786" s="424" t="s">
        <v>1953</v>
      </c>
      <c r="AD786" s="424" t="s">
        <v>2851</v>
      </c>
      <c r="AE786" s="424" t="s">
        <v>2901</v>
      </c>
      <c r="AF786" s="424"/>
      <c r="AG786" s="424"/>
      <c r="AH786" s="424"/>
    </row>
    <row r="787" spans="1:34" x14ac:dyDescent="0.25">
      <c r="A787" s="423" t="s">
        <v>4905</v>
      </c>
      <c r="B787" s="423" t="s">
        <v>4972</v>
      </c>
      <c r="C787" s="423" t="s">
        <v>168</v>
      </c>
      <c r="D787" s="423" t="s">
        <v>4907</v>
      </c>
      <c r="E787" s="423" t="s">
        <v>2818</v>
      </c>
      <c r="F787" s="423">
        <v>24</v>
      </c>
      <c r="G787" s="423">
        <v>65</v>
      </c>
      <c r="H787" s="423">
        <v>500</v>
      </c>
      <c r="J787" s="423"/>
      <c r="K787" s="423"/>
      <c r="L787" s="423"/>
      <c r="M787" s="423"/>
      <c r="Q787" s="423"/>
      <c r="R787" s="424" t="s">
        <v>4973</v>
      </c>
      <c r="S787" s="424" t="s">
        <v>2846</v>
      </c>
      <c r="T787" s="424" t="s">
        <v>2870</v>
      </c>
      <c r="U787" s="424">
        <v>0</v>
      </c>
      <c r="V787" s="424" t="s">
        <v>3074</v>
      </c>
      <c r="W787" s="424" t="s">
        <v>3074</v>
      </c>
      <c r="X787" s="424" t="s">
        <v>2825</v>
      </c>
      <c r="Y787" s="424" t="s">
        <v>2279</v>
      </c>
      <c r="Z787" s="424" t="s">
        <v>2848</v>
      </c>
      <c r="AA787" s="424" t="s">
        <v>2855</v>
      </c>
      <c r="AB787" s="424" t="s">
        <v>4518</v>
      </c>
      <c r="AC787" s="424" t="s">
        <v>1953</v>
      </c>
      <c r="AD787" s="424" t="s">
        <v>2851</v>
      </c>
      <c r="AE787" s="424" t="s">
        <v>3173</v>
      </c>
      <c r="AF787" s="424"/>
      <c r="AG787" s="424"/>
      <c r="AH787" s="424"/>
    </row>
    <row r="788" spans="1:34" x14ac:dyDescent="0.25">
      <c r="A788" s="423" t="s">
        <v>4905</v>
      </c>
      <c r="B788" s="423" t="s">
        <v>4974</v>
      </c>
      <c r="C788" s="423" t="s">
        <v>168</v>
      </c>
      <c r="D788" s="423" t="s">
        <v>4907</v>
      </c>
      <c r="E788" s="423" t="s">
        <v>2818</v>
      </c>
      <c r="F788" s="423">
        <v>48</v>
      </c>
      <c r="G788" s="423">
        <v>94</v>
      </c>
      <c r="H788" s="423">
        <v>197</v>
      </c>
      <c r="J788" s="423"/>
      <c r="K788" s="423"/>
      <c r="L788" s="423"/>
      <c r="M788" s="423"/>
      <c r="Q788" s="423"/>
      <c r="R788" s="424" t="s">
        <v>4974</v>
      </c>
      <c r="S788" s="424" t="s">
        <v>2846</v>
      </c>
      <c r="T788" s="424" t="s">
        <v>2821</v>
      </c>
      <c r="U788" s="424">
        <v>0</v>
      </c>
      <c r="V788" s="424" t="s">
        <v>3269</v>
      </c>
      <c r="W788" s="424" t="s">
        <v>3074</v>
      </c>
      <c r="X788" s="424" t="s">
        <v>2825</v>
      </c>
      <c r="Y788" s="424" t="s">
        <v>2279</v>
      </c>
      <c r="Z788" s="424" t="s">
        <v>3260</v>
      </c>
      <c r="AA788" s="424" t="s">
        <v>3197</v>
      </c>
      <c r="AB788" s="424" t="s">
        <v>4975</v>
      </c>
      <c r="AC788" s="424" t="s">
        <v>1953</v>
      </c>
      <c r="AD788" s="424" t="s">
        <v>2851</v>
      </c>
      <c r="AE788" s="424" t="s">
        <v>3279</v>
      </c>
      <c r="AF788" s="424"/>
      <c r="AG788" s="424"/>
      <c r="AH788" s="424"/>
    </row>
    <row r="789" spans="1:34" x14ac:dyDescent="0.25">
      <c r="A789" s="423" t="s">
        <v>4905</v>
      </c>
      <c r="B789" s="423" t="s">
        <v>4976</v>
      </c>
      <c r="C789" s="423" t="s">
        <v>168</v>
      </c>
      <c r="D789" s="423" t="s">
        <v>4907</v>
      </c>
      <c r="E789" s="423" t="s">
        <v>2818</v>
      </c>
      <c r="F789" s="423">
        <v>48</v>
      </c>
      <c r="G789" s="423">
        <v>94</v>
      </c>
      <c r="H789" s="423">
        <v>197</v>
      </c>
      <c r="J789" s="423"/>
      <c r="K789" s="423"/>
      <c r="L789" s="423"/>
      <c r="M789" s="423"/>
      <c r="Q789" s="423"/>
      <c r="R789" s="424" t="s">
        <v>4976</v>
      </c>
      <c r="S789" s="424" t="s">
        <v>2846</v>
      </c>
      <c r="T789" s="424" t="s">
        <v>2821</v>
      </c>
      <c r="U789" s="424">
        <v>0</v>
      </c>
      <c r="V789" s="424" t="s">
        <v>3269</v>
      </c>
      <c r="W789" s="424" t="s">
        <v>3074</v>
      </c>
      <c r="X789" s="424" t="s">
        <v>2825</v>
      </c>
      <c r="Y789" s="424" t="s">
        <v>2279</v>
      </c>
      <c r="Z789" s="424" t="s">
        <v>3260</v>
      </c>
      <c r="AA789" s="424" t="s">
        <v>3197</v>
      </c>
      <c r="AB789" s="424" t="s">
        <v>3564</v>
      </c>
      <c r="AC789" s="424" t="s">
        <v>1953</v>
      </c>
      <c r="AD789" s="424" t="s">
        <v>2851</v>
      </c>
      <c r="AE789" s="424" t="s">
        <v>3550</v>
      </c>
      <c r="AF789" s="424"/>
      <c r="AG789" s="424"/>
      <c r="AH789" s="424"/>
    </row>
    <row r="790" spans="1:34" x14ac:dyDescent="0.25">
      <c r="A790" s="423" t="s">
        <v>4905</v>
      </c>
      <c r="B790" s="423" t="s">
        <v>4977</v>
      </c>
      <c r="C790" s="423" t="s">
        <v>168</v>
      </c>
      <c r="D790" s="423" t="s">
        <v>4907</v>
      </c>
      <c r="E790" s="423" t="s">
        <v>2818</v>
      </c>
      <c r="F790" s="423">
        <v>48</v>
      </c>
      <c r="G790" s="423">
        <v>94</v>
      </c>
      <c r="H790" s="423">
        <v>197</v>
      </c>
      <c r="J790" s="423"/>
      <c r="K790" s="423"/>
      <c r="L790" s="423"/>
      <c r="M790" s="423"/>
      <c r="Q790" s="423"/>
      <c r="R790" s="424" t="s">
        <v>4977</v>
      </c>
      <c r="S790" s="424" t="s">
        <v>2846</v>
      </c>
      <c r="T790" s="424" t="s">
        <v>2821</v>
      </c>
      <c r="U790" s="424">
        <v>0</v>
      </c>
      <c r="V790" s="424" t="s">
        <v>3269</v>
      </c>
      <c r="W790" s="424" t="s">
        <v>3074</v>
      </c>
      <c r="X790" s="424" t="s">
        <v>2825</v>
      </c>
      <c r="Y790" s="424" t="s">
        <v>2279</v>
      </c>
      <c r="Z790" s="424" t="s">
        <v>3260</v>
      </c>
      <c r="AA790" s="424" t="s">
        <v>3271</v>
      </c>
      <c r="AB790" s="424" t="s">
        <v>4978</v>
      </c>
      <c r="AC790" s="424" t="s">
        <v>1953</v>
      </c>
      <c r="AD790" s="424" t="s">
        <v>2851</v>
      </c>
      <c r="AE790" s="424" t="s">
        <v>3203</v>
      </c>
      <c r="AF790" s="424"/>
      <c r="AG790" s="424"/>
      <c r="AH790" s="424"/>
    </row>
    <row r="791" spans="1:34" x14ac:dyDescent="0.25">
      <c r="A791" s="423" t="s">
        <v>4905</v>
      </c>
      <c r="B791" s="423" t="s">
        <v>4979</v>
      </c>
      <c r="C791" s="423" t="s">
        <v>168</v>
      </c>
      <c r="D791" s="423" t="s">
        <v>4907</v>
      </c>
      <c r="E791" s="423" t="s">
        <v>2818</v>
      </c>
      <c r="F791" s="423">
        <v>8</v>
      </c>
      <c r="G791" s="423">
        <v>32</v>
      </c>
      <c r="H791" s="423" t="s">
        <v>4980</v>
      </c>
      <c r="J791" s="423"/>
      <c r="K791" s="423"/>
      <c r="L791" s="423"/>
      <c r="M791" s="423"/>
      <c r="Q791" s="423"/>
      <c r="R791" s="424" t="s">
        <v>4981</v>
      </c>
      <c r="S791" s="424" t="s">
        <v>2846</v>
      </c>
      <c r="T791" s="424" t="s">
        <v>2847</v>
      </c>
      <c r="U791" s="424">
        <v>0</v>
      </c>
      <c r="V791" s="424" t="s">
        <v>2824</v>
      </c>
      <c r="W791" s="424" t="s">
        <v>2974</v>
      </c>
      <c r="X791" s="424" t="s">
        <v>3298</v>
      </c>
      <c r="Y791" s="424" t="s">
        <v>2279</v>
      </c>
      <c r="Z791" s="424" t="s">
        <v>2848</v>
      </c>
      <c r="AA791" s="424" t="s">
        <v>2849</v>
      </c>
      <c r="AB791" s="424" t="s">
        <v>3584</v>
      </c>
      <c r="AC791" s="424" t="s">
        <v>1953</v>
      </c>
      <c r="AD791" s="424" t="s">
        <v>2851</v>
      </c>
      <c r="AE791" s="424" t="s">
        <v>3418</v>
      </c>
      <c r="AF791" s="424"/>
      <c r="AG791" s="424"/>
      <c r="AH791" s="424"/>
    </row>
    <row r="792" spans="1:34" x14ac:dyDescent="0.25">
      <c r="A792" s="423" t="s">
        <v>4905</v>
      </c>
      <c r="B792" s="423" t="s">
        <v>4982</v>
      </c>
      <c r="C792" s="423" t="s">
        <v>168</v>
      </c>
      <c r="D792" s="423" t="s">
        <v>4907</v>
      </c>
      <c r="E792" s="423" t="s">
        <v>2818</v>
      </c>
      <c r="F792" s="423">
        <v>8</v>
      </c>
      <c r="G792" s="423">
        <v>16</v>
      </c>
      <c r="H792" s="423">
        <v>250</v>
      </c>
      <c r="J792" s="423"/>
      <c r="K792" s="423"/>
      <c r="L792" s="423"/>
      <c r="M792" s="423"/>
      <c r="Q792" s="423"/>
      <c r="R792" s="424" t="s">
        <v>4983</v>
      </c>
      <c r="S792" s="424" t="s">
        <v>2846</v>
      </c>
      <c r="T792" s="424" t="s">
        <v>3152</v>
      </c>
      <c r="U792" s="424">
        <v>0</v>
      </c>
      <c r="V792" s="424" t="s">
        <v>2824</v>
      </c>
      <c r="W792" s="424" t="s">
        <v>3055</v>
      </c>
      <c r="X792" s="424" t="s">
        <v>3298</v>
      </c>
      <c r="Y792" s="424" t="s">
        <v>2279</v>
      </c>
      <c r="Z792" s="424" t="s">
        <v>2848</v>
      </c>
      <c r="AA792" s="424" t="s">
        <v>2855</v>
      </c>
      <c r="AB792" s="424" t="s">
        <v>3255</v>
      </c>
      <c r="AC792" s="424" t="s">
        <v>1953</v>
      </c>
      <c r="AD792" s="424" t="s">
        <v>2851</v>
      </c>
      <c r="AE792" s="424" t="s">
        <v>3168</v>
      </c>
      <c r="AF792" s="424"/>
      <c r="AG792" s="424"/>
      <c r="AH792" s="424"/>
    </row>
    <row r="793" spans="1:34" x14ac:dyDescent="0.25">
      <c r="A793" s="423" t="s">
        <v>4905</v>
      </c>
      <c r="B793" s="423" t="s">
        <v>4984</v>
      </c>
      <c r="C793" s="423" t="s">
        <v>168</v>
      </c>
      <c r="D793" s="423" t="s">
        <v>4907</v>
      </c>
      <c r="E793" s="423" t="s">
        <v>2818</v>
      </c>
      <c r="F793" s="423">
        <v>12</v>
      </c>
      <c r="G793" s="423">
        <v>54</v>
      </c>
      <c r="H793" s="423">
        <v>314</v>
      </c>
      <c r="J793" s="423"/>
      <c r="K793" s="423"/>
      <c r="L793" s="423"/>
      <c r="M793" s="423"/>
      <c r="Q793" s="423"/>
      <c r="R793" s="424" t="s">
        <v>4985</v>
      </c>
      <c r="S793" s="424" t="s">
        <v>2846</v>
      </c>
      <c r="T793" s="424" t="s">
        <v>2870</v>
      </c>
      <c r="U793" s="424">
        <v>0</v>
      </c>
      <c r="V793" s="424" t="s">
        <v>2871</v>
      </c>
      <c r="W793" s="424" t="s">
        <v>2871</v>
      </c>
      <c r="X793" s="424" t="s">
        <v>2825</v>
      </c>
      <c r="Y793" s="424" t="s">
        <v>2279</v>
      </c>
      <c r="Z793" s="424" t="s">
        <v>2872</v>
      </c>
      <c r="AA793" s="424" t="s">
        <v>2873</v>
      </c>
      <c r="AB793" s="424" t="s">
        <v>4554</v>
      </c>
      <c r="AC793" s="424" t="s">
        <v>1953</v>
      </c>
      <c r="AD793" s="424" t="s">
        <v>2892</v>
      </c>
      <c r="AE793" s="424" t="s">
        <v>2897</v>
      </c>
      <c r="AF793" s="424"/>
      <c r="AG793" s="424"/>
      <c r="AH793" s="424"/>
    </row>
    <row r="794" spans="1:34" x14ac:dyDescent="0.25">
      <c r="A794" s="423" t="s">
        <v>4905</v>
      </c>
      <c r="B794" s="423" t="s">
        <v>4986</v>
      </c>
      <c r="C794" s="423" t="s">
        <v>168</v>
      </c>
      <c r="D794" s="423" t="s">
        <v>4907</v>
      </c>
      <c r="E794" s="423" t="s">
        <v>2818</v>
      </c>
      <c r="F794" s="423">
        <v>12</v>
      </c>
      <c r="G794" s="423">
        <v>54</v>
      </c>
      <c r="H794" s="423">
        <v>314</v>
      </c>
      <c r="J794" s="423"/>
      <c r="K794" s="423"/>
      <c r="L794" s="423"/>
      <c r="M794" s="423"/>
      <c r="Q794" s="423"/>
      <c r="R794" s="424" t="s">
        <v>4987</v>
      </c>
      <c r="S794" s="424" t="s">
        <v>2846</v>
      </c>
      <c r="T794" s="424" t="s">
        <v>2870</v>
      </c>
      <c r="U794" s="424">
        <v>0</v>
      </c>
      <c r="V794" s="424" t="s">
        <v>2871</v>
      </c>
      <c r="W794" s="424" t="s">
        <v>3074</v>
      </c>
      <c r="X794" s="424" t="s">
        <v>2825</v>
      </c>
      <c r="Y794" s="424" t="s">
        <v>2279</v>
      </c>
      <c r="Z794" s="424" t="s">
        <v>2872</v>
      </c>
      <c r="AA794" s="424" t="s">
        <v>2873</v>
      </c>
      <c r="AB794" s="424" t="s">
        <v>4988</v>
      </c>
      <c r="AC794" s="424" t="s">
        <v>1953</v>
      </c>
      <c r="AD794" s="424" t="s">
        <v>2892</v>
      </c>
      <c r="AE794" s="424" t="s">
        <v>4459</v>
      </c>
      <c r="AF794" s="424"/>
      <c r="AG794" s="424"/>
      <c r="AH794" s="424"/>
    </row>
    <row r="795" spans="1:34" x14ac:dyDescent="0.25">
      <c r="A795" s="423" t="s">
        <v>4905</v>
      </c>
      <c r="B795" s="423" t="s">
        <v>4989</v>
      </c>
      <c r="C795" s="423" t="s">
        <v>168</v>
      </c>
      <c r="D795" s="423" t="s">
        <v>4907</v>
      </c>
      <c r="E795" s="423" t="s">
        <v>2818</v>
      </c>
      <c r="F795" s="423">
        <v>12</v>
      </c>
      <c r="G795" s="423">
        <v>54</v>
      </c>
      <c r="H795" s="423">
        <v>314</v>
      </c>
      <c r="J795" s="423"/>
      <c r="K795" s="423"/>
      <c r="L795" s="423"/>
      <c r="M795" s="423"/>
      <c r="Q795" s="423"/>
      <c r="R795" s="424" t="s">
        <v>4990</v>
      </c>
      <c r="S795" s="424" t="s">
        <v>2846</v>
      </c>
      <c r="T795" s="424" t="s">
        <v>2870</v>
      </c>
      <c r="U795" s="424">
        <v>0</v>
      </c>
      <c r="V795" s="424" t="s">
        <v>2871</v>
      </c>
      <c r="W795" s="424" t="s">
        <v>2871</v>
      </c>
      <c r="X795" s="424" t="s">
        <v>2825</v>
      </c>
      <c r="Y795" s="424" t="s">
        <v>2279</v>
      </c>
      <c r="Z795" s="424" t="s">
        <v>2872</v>
      </c>
      <c r="AA795" s="424" t="s">
        <v>2873</v>
      </c>
      <c r="AB795" s="424" t="s">
        <v>4554</v>
      </c>
      <c r="AC795" s="424" t="s">
        <v>1953</v>
      </c>
      <c r="AD795" s="424" t="s">
        <v>2892</v>
      </c>
      <c r="AE795" s="424" t="s">
        <v>2897</v>
      </c>
      <c r="AF795" s="424"/>
      <c r="AG795" s="424"/>
      <c r="AH795" s="424"/>
    </row>
    <row r="796" spans="1:34" x14ac:dyDescent="0.25">
      <c r="A796" s="423" t="s">
        <v>4905</v>
      </c>
      <c r="B796" s="423" t="s">
        <v>4991</v>
      </c>
      <c r="C796" s="423" t="s">
        <v>168</v>
      </c>
      <c r="D796" s="423" t="s">
        <v>4907</v>
      </c>
      <c r="E796" s="423" t="s">
        <v>2818</v>
      </c>
      <c r="F796" s="423">
        <v>12</v>
      </c>
      <c r="G796" s="423">
        <v>54</v>
      </c>
      <c r="H796" s="423">
        <v>314</v>
      </c>
      <c r="J796" s="423"/>
      <c r="K796" s="423"/>
      <c r="L796" s="423"/>
      <c r="M796" s="423"/>
      <c r="Q796" s="423"/>
      <c r="R796" s="424" t="s">
        <v>4992</v>
      </c>
      <c r="S796" s="424" t="s">
        <v>2846</v>
      </c>
      <c r="T796" s="424" t="s">
        <v>2870</v>
      </c>
      <c r="U796" s="424">
        <v>0</v>
      </c>
      <c r="V796" s="424" t="s">
        <v>2871</v>
      </c>
      <c r="W796" s="424" t="s">
        <v>3074</v>
      </c>
      <c r="X796" s="424" t="s">
        <v>2825</v>
      </c>
      <c r="Y796" s="424" t="s">
        <v>2279</v>
      </c>
      <c r="Z796" s="424" t="s">
        <v>2872</v>
      </c>
      <c r="AA796" s="424" t="s">
        <v>2873</v>
      </c>
      <c r="AB796" s="424" t="s">
        <v>4577</v>
      </c>
      <c r="AC796" s="424" t="s">
        <v>1953</v>
      </c>
      <c r="AD796" s="424" t="s">
        <v>2892</v>
      </c>
      <c r="AE796" s="424" t="s">
        <v>4459</v>
      </c>
      <c r="AF796" s="424"/>
      <c r="AG796" s="424"/>
      <c r="AH796" s="424"/>
    </row>
    <row r="797" spans="1:34" x14ac:dyDescent="0.25">
      <c r="A797" s="423" t="s">
        <v>4905</v>
      </c>
      <c r="B797" s="423" t="s">
        <v>4993</v>
      </c>
      <c r="C797" s="423" t="s">
        <v>168</v>
      </c>
      <c r="D797" s="423" t="s">
        <v>4907</v>
      </c>
      <c r="E797" s="423" t="s">
        <v>2818</v>
      </c>
      <c r="F797" s="423">
        <v>12</v>
      </c>
      <c r="G797" s="423">
        <v>54</v>
      </c>
      <c r="H797" s="423">
        <v>314</v>
      </c>
      <c r="J797" s="423"/>
      <c r="K797" s="423"/>
      <c r="L797" s="423"/>
      <c r="M797" s="423"/>
      <c r="Q797" s="423"/>
      <c r="R797" s="424" t="s">
        <v>4994</v>
      </c>
      <c r="S797" s="424" t="s">
        <v>2846</v>
      </c>
      <c r="T797" s="424" t="s">
        <v>2870</v>
      </c>
      <c r="U797" s="424">
        <v>0</v>
      </c>
      <c r="V797" s="424" t="s">
        <v>2871</v>
      </c>
      <c r="W797" s="424" t="s">
        <v>3074</v>
      </c>
      <c r="X797" s="424" t="s">
        <v>2825</v>
      </c>
      <c r="Y797" s="424" t="s">
        <v>2279</v>
      </c>
      <c r="Z797" s="424" t="s">
        <v>2872</v>
      </c>
      <c r="AA797" s="424" t="s">
        <v>2873</v>
      </c>
      <c r="AB797" s="424" t="s">
        <v>4469</v>
      </c>
      <c r="AC797" s="424" t="s">
        <v>1953</v>
      </c>
      <c r="AD797" s="424" t="s">
        <v>2892</v>
      </c>
      <c r="AE797" s="424" t="s">
        <v>4459</v>
      </c>
      <c r="AF797" s="424"/>
      <c r="AG797" s="424"/>
      <c r="AH797" s="424"/>
    </row>
    <row r="798" spans="1:34" x14ac:dyDescent="0.25">
      <c r="A798" s="423" t="s">
        <v>4905</v>
      </c>
      <c r="B798" s="423" t="s">
        <v>4995</v>
      </c>
      <c r="C798" s="423" t="s">
        <v>168</v>
      </c>
      <c r="D798" s="423" t="s">
        <v>4907</v>
      </c>
      <c r="E798" s="423" t="s">
        <v>2818</v>
      </c>
      <c r="F798" s="423">
        <v>12</v>
      </c>
      <c r="G798" s="423">
        <v>54</v>
      </c>
      <c r="H798" s="423">
        <v>314</v>
      </c>
      <c r="J798" s="423"/>
      <c r="K798" s="423"/>
      <c r="L798" s="423"/>
      <c r="M798" s="423"/>
      <c r="Q798" s="423"/>
      <c r="R798" s="424" t="s">
        <v>4996</v>
      </c>
      <c r="S798" s="424" t="s">
        <v>2846</v>
      </c>
      <c r="T798" s="424" t="s">
        <v>2870</v>
      </c>
      <c r="U798" s="424">
        <v>0</v>
      </c>
      <c r="V798" s="424" t="s">
        <v>2871</v>
      </c>
      <c r="W798" s="424" t="s">
        <v>2871</v>
      </c>
      <c r="X798" s="424" t="s">
        <v>2825</v>
      </c>
      <c r="Y798" s="424" t="s">
        <v>2279</v>
      </c>
      <c r="Z798" s="424" t="s">
        <v>2872</v>
      </c>
      <c r="AA798" s="424" t="s">
        <v>2873</v>
      </c>
      <c r="AB798" s="424" t="s">
        <v>4554</v>
      </c>
      <c r="AC798" s="424" t="s">
        <v>1953</v>
      </c>
      <c r="AD798" s="424" t="s">
        <v>2892</v>
      </c>
      <c r="AE798" s="424" t="s">
        <v>2897</v>
      </c>
      <c r="AF798" s="424"/>
      <c r="AG798" s="424"/>
      <c r="AH798" s="424"/>
    </row>
    <row r="799" spans="1:34" x14ac:dyDescent="0.25">
      <c r="A799" s="423" t="s">
        <v>4905</v>
      </c>
      <c r="B799" s="423" t="s">
        <v>4997</v>
      </c>
      <c r="C799" s="423" t="s">
        <v>168</v>
      </c>
      <c r="D799" s="423" t="s">
        <v>4907</v>
      </c>
      <c r="E799" s="423" t="s">
        <v>2818</v>
      </c>
      <c r="F799" s="423">
        <v>12</v>
      </c>
      <c r="G799" s="423">
        <v>54</v>
      </c>
      <c r="H799" s="423">
        <v>314</v>
      </c>
      <c r="J799" s="423"/>
      <c r="K799" s="423"/>
      <c r="L799" s="423"/>
      <c r="M799" s="423"/>
      <c r="Q799" s="423"/>
      <c r="R799" s="424" t="s">
        <v>4998</v>
      </c>
      <c r="S799" s="424" t="s">
        <v>2846</v>
      </c>
      <c r="T799" s="424" t="s">
        <v>2870</v>
      </c>
      <c r="U799" s="424">
        <v>0</v>
      </c>
      <c r="V799" s="424" t="s">
        <v>2871</v>
      </c>
      <c r="W799" s="424" t="s">
        <v>3054</v>
      </c>
      <c r="X799" s="424" t="s">
        <v>2825</v>
      </c>
      <c r="Y799" s="424" t="s">
        <v>2279</v>
      </c>
      <c r="Z799" s="424" t="s">
        <v>2848</v>
      </c>
      <c r="AA799" s="424" t="s">
        <v>2855</v>
      </c>
      <c r="AB799" s="424" t="s">
        <v>3813</v>
      </c>
      <c r="AC799" s="424" t="s">
        <v>1953</v>
      </c>
      <c r="AD799" s="424" t="s">
        <v>2851</v>
      </c>
      <c r="AE799" s="424" t="s">
        <v>2901</v>
      </c>
      <c r="AF799" s="424"/>
      <c r="AG799" s="424"/>
      <c r="AH799" s="424"/>
    </row>
    <row r="800" spans="1:34" x14ac:dyDescent="0.25">
      <c r="A800" s="423" t="s">
        <v>4905</v>
      </c>
      <c r="B800" s="423" t="s">
        <v>4999</v>
      </c>
      <c r="C800" s="423" t="s">
        <v>168</v>
      </c>
      <c r="D800" s="423" t="s">
        <v>4907</v>
      </c>
      <c r="E800" s="423" t="s">
        <v>2818</v>
      </c>
      <c r="F800" s="423">
        <v>12</v>
      </c>
      <c r="G800" s="423">
        <v>54</v>
      </c>
      <c r="H800" s="423">
        <v>314</v>
      </c>
      <c r="J800" s="423"/>
      <c r="K800" s="423"/>
      <c r="L800" s="423"/>
      <c r="M800" s="423"/>
      <c r="Q800" s="423"/>
      <c r="R800" s="424" t="s">
        <v>5000</v>
      </c>
      <c r="S800" s="424" t="s">
        <v>2846</v>
      </c>
      <c r="T800" s="424" t="s">
        <v>2870</v>
      </c>
      <c r="U800" s="424">
        <v>0</v>
      </c>
      <c r="V800" s="424" t="s">
        <v>2871</v>
      </c>
      <c r="W800" s="424" t="s">
        <v>3074</v>
      </c>
      <c r="X800" s="424" t="s">
        <v>2825</v>
      </c>
      <c r="Y800" s="424" t="s">
        <v>2279</v>
      </c>
      <c r="Z800" s="424" t="s">
        <v>2848</v>
      </c>
      <c r="AA800" s="424" t="s">
        <v>2855</v>
      </c>
      <c r="AB800" s="424" t="s">
        <v>4949</v>
      </c>
      <c r="AC800" s="424" t="s">
        <v>1953</v>
      </c>
      <c r="AD800" s="424" t="s">
        <v>2851</v>
      </c>
      <c r="AE800" s="424" t="s">
        <v>3173</v>
      </c>
      <c r="AF800" s="424"/>
      <c r="AG800" s="424"/>
      <c r="AH800" s="424"/>
    </row>
    <row r="801" spans="1:34" x14ac:dyDescent="0.25">
      <c r="A801" s="423" t="s">
        <v>4905</v>
      </c>
      <c r="B801" s="423" t="s">
        <v>5001</v>
      </c>
      <c r="C801" s="423" t="s">
        <v>168</v>
      </c>
      <c r="D801" s="423" t="s">
        <v>4907</v>
      </c>
      <c r="E801" s="423" t="s">
        <v>2818</v>
      </c>
      <c r="F801" s="423">
        <v>12</v>
      </c>
      <c r="G801" s="423">
        <v>54</v>
      </c>
      <c r="H801" s="423">
        <v>314</v>
      </c>
      <c r="J801" s="423"/>
      <c r="K801" s="423"/>
      <c r="L801" s="423"/>
      <c r="M801" s="423"/>
      <c r="Q801" s="423"/>
      <c r="R801" s="424" t="s">
        <v>5002</v>
      </c>
      <c r="S801" s="424" t="s">
        <v>2846</v>
      </c>
      <c r="T801" s="424" t="s">
        <v>2870</v>
      </c>
      <c r="U801" s="424">
        <v>0</v>
      </c>
      <c r="V801" s="424" t="s">
        <v>2871</v>
      </c>
      <c r="W801" s="424" t="s">
        <v>3074</v>
      </c>
      <c r="X801" s="424" t="s">
        <v>2825</v>
      </c>
      <c r="Y801" s="424" t="s">
        <v>2279</v>
      </c>
      <c r="Z801" s="424" t="s">
        <v>2848</v>
      </c>
      <c r="AA801" s="424" t="s">
        <v>2855</v>
      </c>
      <c r="AB801" s="424" t="s">
        <v>4949</v>
      </c>
      <c r="AC801" s="424" t="s">
        <v>1953</v>
      </c>
      <c r="AD801" s="424" t="s">
        <v>2851</v>
      </c>
      <c r="AE801" s="424" t="s">
        <v>3173</v>
      </c>
      <c r="AF801" s="424"/>
      <c r="AG801" s="424"/>
      <c r="AH801" s="424"/>
    </row>
    <row r="802" spans="1:34" x14ac:dyDescent="0.25">
      <c r="A802" s="423" t="s">
        <v>4905</v>
      </c>
      <c r="B802" s="423" t="s">
        <v>5003</v>
      </c>
      <c r="C802" s="423" t="s">
        <v>168</v>
      </c>
      <c r="D802" s="423" t="s">
        <v>4907</v>
      </c>
      <c r="E802" s="423" t="s">
        <v>2818</v>
      </c>
      <c r="F802" s="423">
        <v>12</v>
      </c>
      <c r="G802" s="423">
        <v>54</v>
      </c>
      <c r="H802" s="423">
        <v>314</v>
      </c>
      <c r="J802" s="423"/>
      <c r="K802" s="423"/>
      <c r="L802" s="423"/>
      <c r="M802" s="423"/>
      <c r="Q802" s="423"/>
      <c r="R802" s="424" t="s">
        <v>5004</v>
      </c>
      <c r="S802" s="424" t="s">
        <v>2846</v>
      </c>
      <c r="T802" s="424" t="s">
        <v>2870</v>
      </c>
      <c r="U802" s="424">
        <v>0</v>
      </c>
      <c r="V802" s="424" t="s">
        <v>2871</v>
      </c>
      <c r="W802" s="424" t="s">
        <v>3054</v>
      </c>
      <c r="X802" s="424" t="s">
        <v>2825</v>
      </c>
      <c r="Y802" s="424" t="s">
        <v>2279</v>
      </c>
      <c r="Z802" s="424" t="s">
        <v>2848</v>
      </c>
      <c r="AA802" s="424" t="s">
        <v>2855</v>
      </c>
      <c r="AB802" s="424" t="s">
        <v>2900</v>
      </c>
      <c r="AC802" s="424" t="s">
        <v>1953</v>
      </c>
      <c r="AD802" s="424" t="s">
        <v>2851</v>
      </c>
      <c r="AE802" s="424" t="s">
        <v>2901</v>
      </c>
      <c r="AF802" s="424"/>
      <c r="AG802" s="424"/>
      <c r="AH802" s="424"/>
    </row>
    <row r="803" spans="1:34" x14ac:dyDescent="0.25">
      <c r="A803" s="423" t="s">
        <v>4905</v>
      </c>
      <c r="B803" s="423" t="s">
        <v>5005</v>
      </c>
      <c r="C803" s="423" t="s">
        <v>168</v>
      </c>
      <c r="D803" s="423" t="s">
        <v>4907</v>
      </c>
      <c r="E803" s="423" t="s">
        <v>2818</v>
      </c>
      <c r="F803" s="423">
        <v>12</v>
      </c>
      <c r="G803" s="423">
        <v>54</v>
      </c>
      <c r="H803" s="423">
        <v>314</v>
      </c>
      <c r="J803" s="423"/>
      <c r="K803" s="423"/>
      <c r="L803" s="423"/>
      <c r="M803" s="423"/>
      <c r="Q803" s="423"/>
      <c r="R803" s="424" t="s">
        <v>5006</v>
      </c>
      <c r="S803" s="424" t="s">
        <v>2846</v>
      </c>
      <c r="T803" s="424" t="s">
        <v>2870</v>
      </c>
      <c r="U803" s="424">
        <v>0</v>
      </c>
      <c r="V803" s="424" t="s">
        <v>2871</v>
      </c>
      <c r="W803" s="424" t="s">
        <v>3176</v>
      </c>
      <c r="X803" s="424" t="s">
        <v>2825</v>
      </c>
      <c r="Y803" s="424" t="s">
        <v>2279</v>
      </c>
      <c r="Z803" s="424" t="s">
        <v>2848</v>
      </c>
      <c r="AA803" s="424" t="s">
        <v>2855</v>
      </c>
      <c r="AB803" s="424" t="s">
        <v>5007</v>
      </c>
      <c r="AC803" s="424" t="s">
        <v>1953</v>
      </c>
      <c r="AD803" s="424" t="s">
        <v>2851</v>
      </c>
      <c r="AE803" s="424" t="s">
        <v>2901</v>
      </c>
      <c r="AF803" s="424"/>
      <c r="AG803" s="424"/>
      <c r="AH803" s="424"/>
    </row>
    <row r="804" spans="1:34" x14ac:dyDescent="0.25">
      <c r="A804" s="423" t="s">
        <v>4905</v>
      </c>
      <c r="B804" s="423" t="s">
        <v>5008</v>
      </c>
      <c r="C804" s="423" t="s">
        <v>168</v>
      </c>
      <c r="D804" s="423" t="s">
        <v>4907</v>
      </c>
      <c r="E804" s="423" t="s">
        <v>2818</v>
      </c>
      <c r="F804" s="423">
        <v>12</v>
      </c>
      <c r="G804" s="423">
        <v>54</v>
      </c>
      <c r="H804" s="423">
        <v>314</v>
      </c>
      <c r="J804" s="423"/>
      <c r="K804" s="423"/>
      <c r="L804" s="423"/>
      <c r="M804" s="423"/>
      <c r="Q804" s="423"/>
      <c r="R804" s="424" t="s">
        <v>5009</v>
      </c>
      <c r="S804" s="424" t="s">
        <v>2846</v>
      </c>
      <c r="T804" s="424" t="s">
        <v>2870</v>
      </c>
      <c r="U804" s="424">
        <v>0</v>
      </c>
      <c r="V804" s="424" t="s">
        <v>2871</v>
      </c>
      <c r="W804" s="424" t="s">
        <v>2871</v>
      </c>
      <c r="X804" s="424" t="s">
        <v>2825</v>
      </c>
      <c r="Y804" s="424" t="s">
        <v>2279</v>
      </c>
      <c r="Z804" s="424" t="s">
        <v>2848</v>
      </c>
      <c r="AA804" s="424" t="s">
        <v>2855</v>
      </c>
      <c r="AB804" s="424" t="s">
        <v>5010</v>
      </c>
      <c r="AC804" s="424" t="s">
        <v>1953</v>
      </c>
      <c r="AD804" s="424" t="s">
        <v>2851</v>
      </c>
      <c r="AE804" s="424" t="s">
        <v>2901</v>
      </c>
      <c r="AF804" s="424"/>
      <c r="AG804" s="424"/>
      <c r="AH804" s="424"/>
    </row>
    <row r="805" spans="1:34" x14ac:dyDescent="0.25">
      <c r="A805" s="423" t="s">
        <v>1668</v>
      </c>
      <c r="B805" s="423" t="s">
        <v>5011</v>
      </c>
      <c r="C805" s="423" t="s">
        <v>168</v>
      </c>
      <c r="D805" s="423" t="s">
        <v>4907</v>
      </c>
      <c r="E805" s="423" t="s">
        <v>2818</v>
      </c>
      <c r="F805" s="423">
        <v>24</v>
      </c>
      <c r="G805" s="423">
        <v>47</v>
      </c>
      <c r="H805" s="423">
        <v>493</v>
      </c>
      <c r="J805" s="423"/>
      <c r="K805" s="423"/>
      <c r="L805" s="423"/>
      <c r="M805" s="423"/>
      <c r="Q805" s="423"/>
      <c r="R805" s="424" t="s">
        <v>5011</v>
      </c>
      <c r="S805" s="424" t="s">
        <v>2846</v>
      </c>
      <c r="T805" s="424" t="s">
        <v>3356</v>
      </c>
      <c r="U805" s="424">
        <v>0</v>
      </c>
      <c r="V805" s="424" t="s">
        <v>3269</v>
      </c>
      <c r="W805" s="424" t="s">
        <v>3074</v>
      </c>
      <c r="X805" s="424" t="s">
        <v>2825</v>
      </c>
      <c r="Y805" s="424" t="s">
        <v>2279</v>
      </c>
      <c r="Z805" s="424" t="s">
        <v>2848</v>
      </c>
      <c r="AA805" s="424" t="s">
        <v>2849</v>
      </c>
      <c r="AB805" s="424" t="s">
        <v>3439</v>
      </c>
      <c r="AC805" s="424" t="s">
        <v>1953</v>
      </c>
      <c r="AD805" s="424" t="s">
        <v>2851</v>
      </c>
      <c r="AE805" s="424" t="s">
        <v>3440</v>
      </c>
      <c r="AF805" s="424"/>
      <c r="AG805" s="424"/>
      <c r="AH805" s="424"/>
    </row>
    <row r="806" spans="1:34" x14ac:dyDescent="0.25">
      <c r="A806" s="423" t="s">
        <v>1668</v>
      </c>
      <c r="B806" s="423" t="s">
        <v>5012</v>
      </c>
      <c r="C806" s="423" t="s">
        <v>168</v>
      </c>
      <c r="D806" s="423" t="s">
        <v>4907</v>
      </c>
      <c r="E806" s="423" t="s">
        <v>2818</v>
      </c>
      <c r="F806" s="423">
        <v>24</v>
      </c>
      <c r="G806" s="423">
        <v>47</v>
      </c>
      <c r="H806" s="423">
        <v>493</v>
      </c>
      <c r="J806" s="423"/>
      <c r="K806" s="423"/>
      <c r="L806" s="423"/>
      <c r="M806" s="423"/>
      <c r="Q806" s="423"/>
      <c r="R806" s="424" t="s">
        <v>5012</v>
      </c>
      <c r="S806" s="424" t="s">
        <v>2846</v>
      </c>
      <c r="T806" s="424" t="s">
        <v>3356</v>
      </c>
      <c r="U806" s="424">
        <v>0</v>
      </c>
      <c r="V806" s="424" t="s">
        <v>3269</v>
      </c>
      <c r="W806" s="424" t="s">
        <v>3074</v>
      </c>
      <c r="X806" s="424" t="s">
        <v>2825</v>
      </c>
      <c r="Y806" s="424" t="s">
        <v>2279</v>
      </c>
      <c r="Z806" s="424" t="s">
        <v>2848</v>
      </c>
      <c r="AA806" s="424" t="s">
        <v>2849</v>
      </c>
      <c r="AB806" s="424" t="s">
        <v>4171</v>
      </c>
      <c r="AC806" s="424" t="s">
        <v>1953</v>
      </c>
      <c r="AD806" s="424" t="s">
        <v>2851</v>
      </c>
      <c r="AE806" s="424" t="s">
        <v>3436</v>
      </c>
      <c r="AF806" s="424"/>
      <c r="AG806" s="424"/>
      <c r="AH806" s="424"/>
    </row>
    <row r="807" spans="1:34" x14ac:dyDescent="0.25">
      <c r="A807" s="423" t="s">
        <v>1668</v>
      </c>
      <c r="B807" s="423" t="s">
        <v>5013</v>
      </c>
      <c r="C807" s="423" t="s">
        <v>168</v>
      </c>
      <c r="D807" s="423" t="s">
        <v>4907</v>
      </c>
      <c r="E807" s="423" t="s">
        <v>2818</v>
      </c>
      <c r="F807" s="423">
        <v>32</v>
      </c>
      <c r="G807" s="423">
        <v>32</v>
      </c>
      <c r="H807" s="423">
        <v>591</v>
      </c>
      <c r="J807" s="423"/>
      <c r="K807" s="423"/>
      <c r="L807" s="423"/>
      <c r="M807" s="423"/>
      <c r="Q807" s="423"/>
      <c r="R807" s="424" t="s">
        <v>5014</v>
      </c>
      <c r="S807" s="424" t="s">
        <v>2820</v>
      </c>
      <c r="T807" s="424" t="s">
        <v>5015</v>
      </c>
      <c r="U807" s="424">
        <v>0</v>
      </c>
      <c r="V807" s="424" t="s">
        <v>168</v>
      </c>
      <c r="W807" s="424" t="s">
        <v>2035</v>
      </c>
      <c r="X807" s="424" t="s">
        <v>2825</v>
      </c>
      <c r="Y807" s="424" t="s">
        <v>2279</v>
      </c>
      <c r="Z807" s="424" t="s">
        <v>3270</v>
      </c>
      <c r="AA807" s="424" t="s">
        <v>3271</v>
      </c>
      <c r="AB807" s="424" t="s">
        <v>5016</v>
      </c>
      <c r="AC807" s="424" t="s">
        <v>1953</v>
      </c>
      <c r="AD807" s="424" t="s">
        <v>2829</v>
      </c>
      <c r="AE807" s="424" t="s">
        <v>5017</v>
      </c>
      <c r="AF807" s="424"/>
      <c r="AG807" s="424"/>
      <c r="AH807" s="424"/>
    </row>
    <row r="808" spans="1:34" x14ac:dyDescent="0.25">
      <c r="A808" s="423" t="s">
        <v>1668</v>
      </c>
      <c r="B808" s="423" t="s">
        <v>5018</v>
      </c>
      <c r="C808" s="423" t="s">
        <v>168</v>
      </c>
      <c r="D808" s="423" t="s">
        <v>4907</v>
      </c>
      <c r="E808" s="423" t="s">
        <v>2818</v>
      </c>
      <c r="F808" s="423">
        <v>32</v>
      </c>
      <c r="G808" s="423">
        <v>47</v>
      </c>
      <c r="H808" s="423">
        <v>591</v>
      </c>
      <c r="J808" s="423"/>
      <c r="K808" s="423"/>
      <c r="L808" s="423"/>
      <c r="M808" s="423"/>
      <c r="Q808" s="423"/>
      <c r="R808" s="424" t="s">
        <v>5018</v>
      </c>
      <c r="S808" s="424" t="s">
        <v>2846</v>
      </c>
      <c r="T808" s="424" t="s">
        <v>5019</v>
      </c>
      <c r="U808" s="424">
        <v>0</v>
      </c>
      <c r="V808" s="424" t="s">
        <v>3269</v>
      </c>
      <c r="W808" s="424" t="s">
        <v>2974</v>
      </c>
      <c r="X808" s="424" t="s">
        <v>2825</v>
      </c>
      <c r="Y808" s="424" t="s">
        <v>2279</v>
      </c>
      <c r="Z808" s="424" t="s">
        <v>2848</v>
      </c>
      <c r="AA808" s="424" t="s">
        <v>2849</v>
      </c>
      <c r="AB808" s="424" t="s">
        <v>5020</v>
      </c>
      <c r="AC808" s="424" t="s">
        <v>1953</v>
      </c>
      <c r="AD808" s="424" t="s">
        <v>2851</v>
      </c>
      <c r="AE808" s="424" t="s">
        <v>3154</v>
      </c>
      <c r="AF808" s="424"/>
      <c r="AG808" s="424"/>
      <c r="AH808" s="424"/>
    </row>
    <row r="809" spans="1:34" x14ac:dyDescent="0.25">
      <c r="A809" s="423" t="s">
        <v>1668</v>
      </c>
      <c r="B809" s="423" t="s">
        <v>5021</v>
      </c>
      <c r="C809" s="423" t="s">
        <v>168</v>
      </c>
      <c r="D809" s="423" t="s">
        <v>4907</v>
      </c>
      <c r="E809" s="423" t="s">
        <v>2818</v>
      </c>
      <c r="F809" s="423">
        <v>46</v>
      </c>
      <c r="G809" s="423">
        <v>64</v>
      </c>
      <c r="H809" s="423">
        <v>300</v>
      </c>
      <c r="J809" s="423"/>
      <c r="K809" s="423"/>
      <c r="L809" s="423"/>
      <c r="M809" s="423"/>
      <c r="Q809" s="423"/>
      <c r="R809" s="424" t="s">
        <v>5022</v>
      </c>
      <c r="S809" s="424" t="s">
        <v>2846</v>
      </c>
      <c r="T809" s="424" t="s">
        <v>3356</v>
      </c>
      <c r="U809" s="424">
        <v>0</v>
      </c>
      <c r="V809" s="424" t="s">
        <v>3055</v>
      </c>
      <c r="W809" s="424" t="s">
        <v>3074</v>
      </c>
      <c r="X809" s="424" t="s">
        <v>2825</v>
      </c>
      <c r="Y809" s="424" t="s">
        <v>2279</v>
      </c>
      <c r="Z809" s="424" t="s">
        <v>2872</v>
      </c>
      <c r="AA809" s="424" t="s">
        <v>3197</v>
      </c>
      <c r="AB809" s="424" t="s">
        <v>3347</v>
      </c>
      <c r="AC809" s="424" t="s">
        <v>1953</v>
      </c>
      <c r="AD809" s="424" t="s">
        <v>2892</v>
      </c>
      <c r="AE809" s="424" t="s">
        <v>3348</v>
      </c>
      <c r="AF809" s="424"/>
      <c r="AG809" s="424"/>
      <c r="AH809" s="424"/>
    </row>
    <row r="810" spans="1:34" x14ac:dyDescent="0.25">
      <c r="A810" s="423" t="s">
        <v>1668</v>
      </c>
      <c r="B810" s="423" t="s">
        <v>5023</v>
      </c>
      <c r="C810" s="423" t="s">
        <v>168</v>
      </c>
      <c r="D810" s="423" t="s">
        <v>4907</v>
      </c>
      <c r="E810" s="423" t="s">
        <v>2818</v>
      </c>
      <c r="F810" s="423">
        <v>46</v>
      </c>
      <c r="G810" s="423">
        <v>64</v>
      </c>
      <c r="H810" s="423">
        <v>300</v>
      </c>
      <c r="J810" s="423"/>
      <c r="K810" s="423"/>
      <c r="L810" s="423"/>
      <c r="M810" s="423"/>
      <c r="Q810" s="423"/>
      <c r="R810" s="424" t="s">
        <v>5024</v>
      </c>
      <c r="S810" s="424" t="s">
        <v>2846</v>
      </c>
      <c r="T810" s="424" t="s">
        <v>3356</v>
      </c>
      <c r="U810" s="424">
        <v>0</v>
      </c>
      <c r="V810" s="424" t="s">
        <v>3055</v>
      </c>
      <c r="W810" s="424" t="s">
        <v>3074</v>
      </c>
      <c r="X810" s="424" t="s">
        <v>2825</v>
      </c>
      <c r="Y810" s="424" t="s">
        <v>2279</v>
      </c>
      <c r="Z810" s="424" t="s">
        <v>2872</v>
      </c>
      <c r="AA810" s="424" t="s">
        <v>3197</v>
      </c>
      <c r="AB810" s="424" t="s">
        <v>3755</v>
      </c>
      <c r="AC810" s="424" t="s">
        <v>1953</v>
      </c>
      <c r="AD810" s="424" t="s">
        <v>2892</v>
      </c>
      <c r="AE810" s="424" t="s">
        <v>3387</v>
      </c>
      <c r="AF810" s="424"/>
      <c r="AG810" s="424"/>
      <c r="AH810" s="424"/>
    </row>
    <row r="811" spans="1:34" x14ac:dyDescent="0.25">
      <c r="A811" s="423" t="s">
        <v>1668</v>
      </c>
      <c r="B811" s="423" t="s">
        <v>5025</v>
      </c>
      <c r="C811" s="423" t="s">
        <v>168</v>
      </c>
      <c r="D811" s="423" t="s">
        <v>4907</v>
      </c>
      <c r="E811" s="423" t="s">
        <v>2818</v>
      </c>
      <c r="F811" s="423">
        <v>46</v>
      </c>
      <c r="G811" s="423">
        <v>64</v>
      </c>
      <c r="H811" s="423">
        <v>300</v>
      </c>
      <c r="J811" s="423"/>
      <c r="K811" s="423"/>
      <c r="L811" s="423"/>
      <c r="M811" s="423"/>
      <c r="Q811" s="423"/>
      <c r="R811" s="424" t="s">
        <v>5026</v>
      </c>
      <c r="S811" s="424" t="s">
        <v>2846</v>
      </c>
      <c r="T811" s="424" t="s">
        <v>3356</v>
      </c>
      <c r="U811" s="424">
        <v>0</v>
      </c>
      <c r="V811" s="424" t="s">
        <v>3055</v>
      </c>
      <c r="W811" s="424" t="s">
        <v>3074</v>
      </c>
      <c r="X811" s="424" t="s">
        <v>2825</v>
      </c>
      <c r="Y811" s="424" t="s">
        <v>2279</v>
      </c>
      <c r="Z811" s="424" t="s">
        <v>2872</v>
      </c>
      <c r="AA811" s="424" t="s">
        <v>3197</v>
      </c>
      <c r="AB811" s="424" t="s">
        <v>3784</v>
      </c>
      <c r="AC811" s="424" t="s">
        <v>1953</v>
      </c>
      <c r="AD811" s="424" t="s">
        <v>2892</v>
      </c>
      <c r="AE811" s="424" t="s">
        <v>3387</v>
      </c>
      <c r="AF811" s="424"/>
      <c r="AG811" s="424"/>
      <c r="AH811" s="424"/>
    </row>
    <row r="812" spans="1:34" x14ac:dyDescent="0.25">
      <c r="A812" s="423" t="s">
        <v>1668</v>
      </c>
      <c r="B812" s="423" t="s">
        <v>5027</v>
      </c>
      <c r="C812" s="423" t="s">
        <v>168</v>
      </c>
      <c r="D812" s="423" t="s">
        <v>4907</v>
      </c>
      <c r="E812" s="423" t="s">
        <v>2818</v>
      </c>
      <c r="F812" s="423">
        <v>46</v>
      </c>
      <c r="G812" s="423">
        <v>64</v>
      </c>
      <c r="H812" s="423">
        <v>300</v>
      </c>
      <c r="J812" s="423"/>
      <c r="K812" s="423"/>
      <c r="L812" s="423"/>
      <c r="M812" s="423"/>
      <c r="Q812" s="423"/>
      <c r="R812" s="424" t="s">
        <v>5028</v>
      </c>
      <c r="S812" s="424" t="s">
        <v>2846</v>
      </c>
      <c r="T812" s="424" t="s">
        <v>3356</v>
      </c>
      <c r="U812" s="424">
        <v>0</v>
      </c>
      <c r="V812" s="424" t="s">
        <v>3055</v>
      </c>
      <c r="W812" s="424" t="s">
        <v>3074</v>
      </c>
      <c r="X812" s="424" t="s">
        <v>2825</v>
      </c>
      <c r="Y812" s="424" t="s">
        <v>2279</v>
      </c>
      <c r="Z812" s="424" t="s">
        <v>2872</v>
      </c>
      <c r="AA812" s="424" t="s">
        <v>3197</v>
      </c>
      <c r="AB812" s="424" t="s">
        <v>3411</v>
      </c>
      <c r="AC812" s="424" t="s">
        <v>1953</v>
      </c>
      <c r="AD812" s="424" t="s">
        <v>2892</v>
      </c>
      <c r="AE812" s="424" t="s">
        <v>3387</v>
      </c>
      <c r="AF812" s="424"/>
      <c r="AG812" s="424"/>
      <c r="AH812" s="424"/>
    </row>
    <row r="813" spans="1:34" x14ac:dyDescent="0.25">
      <c r="A813" s="423" t="s">
        <v>1668</v>
      </c>
      <c r="B813" s="423" t="s">
        <v>5029</v>
      </c>
      <c r="C813" s="423" t="s">
        <v>168</v>
      </c>
      <c r="D813" s="423" t="s">
        <v>4907</v>
      </c>
      <c r="E813" s="423" t="s">
        <v>2818</v>
      </c>
      <c r="F813" s="423">
        <v>46</v>
      </c>
      <c r="G813" s="423">
        <v>64</v>
      </c>
      <c r="H813" s="423">
        <v>300</v>
      </c>
      <c r="J813" s="423"/>
      <c r="K813" s="423"/>
      <c r="L813" s="423"/>
      <c r="M813" s="423"/>
      <c r="Q813" s="423"/>
      <c r="R813" s="424" t="s">
        <v>5030</v>
      </c>
      <c r="S813" s="424" t="s">
        <v>2846</v>
      </c>
      <c r="T813" s="424" t="s">
        <v>3356</v>
      </c>
      <c r="U813" s="424">
        <v>0</v>
      </c>
      <c r="V813" s="424" t="s">
        <v>3055</v>
      </c>
      <c r="W813" s="424" t="s">
        <v>3074</v>
      </c>
      <c r="X813" s="424" t="s">
        <v>2825</v>
      </c>
      <c r="Y813" s="424" t="s">
        <v>2279</v>
      </c>
      <c r="Z813" s="424" t="s">
        <v>2872</v>
      </c>
      <c r="AA813" s="424" t="s">
        <v>3197</v>
      </c>
      <c r="AB813" s="424" t="s">
        <v>3392</v>
      </c>
      <c r="AC813" s="424" t="s">
        <v>1953</v>
      </c>
      <c r="AD813" s="424" t="s">
        <v>2892</v>
      </c>
      <c r="AE813" s="424" t="s">
        <v>3348</v>
      </c>
      <c r="AF813" s="424"/>
      <c r="AG813" s="424"/>
      <c r="AH813" s="424"/>
    </row>
    <row r="814" spans="1:34" x14ac:dyDescent="0.25">
      <c r="A814" s="423" t="s">
        <v>1668</v>
      </c>
      <c r="B814" s="423" t="s">
        <v>5031</v>
      </c>
      <c r="C814" s="423" t="s">
        <v>168</v>
      </c>
      <c r="D814" s="423" t="s">
        <v>4907</v>
      </c>
      <c r="E814" s="423" t="s">
        <v>2818</v>
      </c>
      <c r="F814" s="423">
        <v>46</v>
      </c>
      <c r="G814" s="423">
        <v>64</v>
      </c>
      <c r="H814" s="423">
        <v>300</v>
      </c>
      <c r="J814" s="423"/>
      <c r="K814" s="423"/>
      <c r="L814" s="423"/>
      <c r="M814" s="423"/>
      <c r="Q814" s="423"/>
      <c r="R814" s="424" t="s">
        <v>5032</v>
      </c>
      <c r="S814" s="424" t="s">
        <v>2846</v>
      </c>
      <c r="T814" s="424" t="s">
        <v>3356</v>
      </c>
      <c r="U814" s="424">
        <v>0</v>
      </c>
      <c r="V814" s="424" t="s">
        <v>3055</v>
      </c>
      <c r="W814" s="424" t="s">
        <v>3074</v>
      </c>
      <c r="X814" s="424" t="s">
        <v>2825</v>
      </c>
      <c r="Y814" s="424" t="s">
        <v>2279</v>
      </c>
      <c r="Z814" s="424" t="s">
        <v>2872</v>
      </c>
      <c r="AA814" s="424" t="s">
        <v>3197</v>
      </c>
      <c r="AB814" s="424" t="s">
        <v>3386</v>
      </c>
      <c r="AC814" s="424" t="s">
        <v>1953</v>
      </c>
      <c r="AD814" s="424" t="s">
        <v>2892</v>
      </c>
      <c r="AE814" s="424" t="s">
        <v>3387</v>
      </c>
      <c r="AF814" s="424"/>
      <c r="AG814" s="424"/>
      <c r="AH814" s="424"/>
    </row>
    <row r="815" spans="1:34" x14ac:dyDescent="0.25">
      <c r="A815" s="423" t="s">
        <v>1668</v>
      </c>
      <c r="B815" s="423" t="s">
        <v>5033</v>
      </c>
      <c r="C815" s="423" t="s">
        <v>168</v>
      </c>
      <c r="D815" s="423" t="s">
        <v>4907</v>
      </c>
      <c r="E815" s="423" t="s">
        <v>2818</v>
      </c>
      <c r="F815" s="423">
        <v>46</v>
      </c>
      <c r="G815" s="423">
        <v>64</v>
      </c>
      <c r="H815" s="423">
        <v>300</v>
      </c>
      <c r="J815" s="423"/>
      <c r="K815" s="423"/>
      <c r="L815" s="423"/>
      <c r="M815" s="423"/>
      <c r="Q815" s="423"/>
      <c r="R815" s="424" t="s">
        <v>5034</v>
      </c>
      <c r="S815" s="424" t="s">
        <v>2846</v>
      </c>
      <c r="T815" s="424" t="s">
        <v>3356</v>
      </c>
      <c r="U815" s="424">
        <v>0</v>
      </c>
      <c r="V815" s="424" t="s">
        <v>3055</v>
      </c>
      <c r="W815" s="424" t="s">
        <v>3074</v>
      </c>
      <c r="X815" s="424" t="s">
        <v>2825</v>
      </c>
      <c r="Y815" s="424" t="s">
        <v>2279</v>
      </c>
      <c r="Z815" s="424" t="s">
        <v>2872</v>
      </c>
      <c r="AA815" s="424" t="s">
        <v>3197</v>
      </c>
      <c r="AB815" s="424" t="s">
        <v>3803</v>
      </c>
      <c r="AC815" s="424" t="s">
        <v>1953</v>
      </c>
      <c r="AD815" s="424" t="s">
        <v>2892</v>
      </c>
      <c r="AE815" s="424" t="s">
        <v>3348</v>
      </c>
      <c r="AF815" s="424"/>
      <c r="AG815" s="424"/>
      <c r="AH815" s="424"/>
    </row>
    <row r="816" spans="1:34" x14ac:dyDescent="0.25">
      <c r="A816" s="423" t="s">
        <v>1668</v>
      </c>
      <c r="B816" s="423" t="s">
        <v>5035</v>
      </c>
      <c r="C816" s="423" t="s">
        <v>168</v>
      </c>
      <c r="D816" s="423" t="s">
        <v>4907</v>
      </c>
      <c r="E816" s="423" t="s">
        <v>2818</v>
      </c>
      <c r="F816" s="423">
        <v>46</v>
      </c>
      <c r="G816" s="423">
        <v>64</v>
      </c>
      <c r="H816" s="423">
        <v>300</v>
      </c>
      <c r="J816" s="423"/>
      <c r="K816" s="423"/>
      <c r="L816" s="423"/>
      <c r="M816" s="423"/>
      <c r="Q816" s="423"/>
      <c r="R816" s="424" t="s">
        <v>5036</v>
      </c>
      <c r="S816" s="424" t="s">
        <v>2846</v>
      </c>
      <c r="T816" s="424" t="s">
        <v>3356</v>
      </c>
      <c r="U816" s="424">
        <v>0</v>
      </c>
      <c r="V816" s="424" t="s">
        <v>3055</v>
      </c>
      <c r="W816" s="424" t="s">
        <v>3074</v>
      </c>
      <c r="X816" s="424" t="s">
        <v>2825</v>
      </c>
      <c r="Y816" s="424" t="s">
        <v>2279</v>
      </c>
      <c r="Z816" s="424" t="s">
        <v>2872</v>
      </c>
      <c r="AA816" s="424" t="s">
        <v>3197</v>
      </c>
      <c r="AB816" s="424" t="s">
        <v>3803</v>
      </c>
      <c r="AC816" s="424" t="s">
        <v>1953</v>
      </c>
      <c r="AD816" s="424" t="s">
        <v>2892</v>
      </c>
      <c r="AE816" s="424" t="s">
        <v>3348</v>
      </c>
      <c r="AF816" s="424"/>
      <c r="AG816" s="424"/>
      <c r="AH816" s="424"/>
    </row>
    <row r="817" spans="1:34" x14ac:dyDescent="0.25">
      <c r="A817" s="423" t="s">
        <v>1668</v>
      </c>
      <c r="B817" s="423" t="s">
        <v>5037</v>
      </c>
      <c r="C817" s="423" t="s">
        <v>168</v>
      </c>
      <c r="D817" s="423" t="s">
        <v>4907</v>
      </c>
      <c r="E817" s="423" t="s">
        <v>2818</v>
      </c>
      <c r="F817" s="423">
        <v>46</v>
      </c>
      <c r="G817" s="423">
        <v>64</v>
      </c>
      <c r="H817" s="423">
        <v>300</v>
      </c>
      <c r="J817" s="423"/>
      <c r="K817" s="423"/>
      <c r="L817" s="423"/>
      <c r="M817" s="423"/>
      <c r="Q817" s="423"/>
      <c r="R817" s="424" t="s">
        <v>5038</v>
      </c>
      <c r="S817" s="424" t="s">
        <v>2846</v>
      </c>
      <c r="T817" s="424" t="s">
        <v>3356</v>
      </c>
      <c r="U817" s="424">
        <v>0</v>
      </c>
      <c r="V817" s="424" t="s">
        <v>3055</v>
      </c>
      <c r="W817" s="424" t="s">
        <v>3074</v>
      </c>
      <c r="X817" s="424" t="s">
        <v>2825</v>
      </c>
      <c r="Y817" s="424" t="s">
        <v>2279</v>
      </c>
      <c r="Z817" s="424" t="s">
        <v>2872</v>
      </c>
      <c r="AA817" s="424" t="s">
        <v>3197</v>
      </c>
      <c r="AB817" s="424" t="s">
        <v>3399</v>
      </c>
      <c r="AC817" s="424" t="s">
        <v>1953</v>
      </c>
      <c r="AD817" s="424" t="s">
        <v>2892</v>
      </c>
      <c r="AE817" s="424" t="s">
        <v>3387</v>
      </c>
      <c r="AF817" s="424"/>
      <c r="AG817" s="424"/>
      <c r="AH817" s="424"/>
    </row>
    <row r="818" spans="1:34" x14ac:dyDescent="0.25">
      <c r="A818" s="423" t="s">
        <v>1668</v>
      </c>
      <c r="B818" s="423" t="s">
        <v>5039</v>
      </c>
      <c r="C818" s="423" t="s">
        <v>168</v>
      </c>
      <c r="D818" s="423" t="s">
        <v>4907</v>
      </c>
      <c r="E818" s="423" t="s">
        <v>2818</v>
      </c>
      <c r="F818" s="423">
        <v>46</v>
      </c>
      <c r="G818" s="423">
        <v>64</v>
      </c>
      <c r="H818" s="423">
        <v>300</v>
      </c>
      <c r="J818" s="423"/>
      <c r="K818" s="423"/>
      <c r="L818" s="423"/>
      <c r="M818" s="423"/>
      <c r="Q818" s="423"/>
      <c r="R818" s="424" t="s">
        <v>5040</v>
      </c>
      <c r="S818" s="424" t="s">
        <v>2846</v>
      </c>
      <c r="T818" s="424" t="s">
        <v>3356</v>
      </c>
      <c r="U818" s="424">
        <v>0</v>
      </c>
      <c r="V818" s="424" t="s">
        <v>3055</v>
      </c>
      <c r="W818" s="424" t="s">
        <v>3074</v>
      </c>
      <c r="X818" s="424" t="s">
        <v>2825</v>
      </c>
      <c r="Y818" s="424" t="s">
        <v>2279</v>
      </c>
      <c r="Z818" s="424" t="s">
        <v>2872</v>
      </c>
      <c r="AA818" s="424" t="s">
        <v>3197</v>
      </c>
      <c r="AB818" s="424" t="s">
        <v>3758</v>
      </c>
      <c r="AC818" s="424" t="s">
        <v>1953</v>
      </c>
      <c r="AD818" s="424" t="s">
        <v>2892</v>
      </c>
      <c r="AE818" s="424" t="s">
        <v>3348</v>
      </c>
      <c r="AF818" s="424"/>
      <c r="AG818" s="424"/>
      <c r="AH818" s="424"/>
    </row>
    <row r="819" spans="1:34" x14ac:dyDescent="0.25">
      <c r="A819" s="423" t="s">
        <v>1668</v>
      </c>
      <c r="B819" s="423" t="s">
        <v>5041</v>
      </c>
      <c r="C819" s="423" t="s">
        <v>168</v>
      </c>
      <c r="D819" s="423" t="s">
        <v>4907</v>
      </c>
      <c r="E819" s="423" t="s">
        <v>2818</v>
      </c>
      <c r="F819" s="423">
        <v>46</v>
      </c>
      <c r="G819" s="423">
        <v>64</v>
      </c>
      <c r="H819" s="423">
        <v>300</v>
      </c>
      <c r="J819" s="423"/>
      <c r="K819" s="423"/>
      <c r="L819" s="423"/>
      <c r="M819" s="423"/>
      <c r="Q819" s="423"/>
      <c r="R819" s="424" t="s">
        <v>5042</v>
      </c>
      <c r="S819" s="424" t="s">
        <v>2846</v>
      </c>
      <c r="T819" s="424" t="s">
        <v>3356</v>
      </c>
      <c r="U819" s="424">
        <v>0</v>
      </c>
      <c r="V819" s="424" t="s">
        <v>3055</v>
      </c>
      <c r="W819" s="424" t="s">
        <v>3074</v>
      </c>
      <c r="X819" s="424" t="s">
        <v>2825</v>
      </c>
      <c r="Y819" s="424" t="s">
        <v>2279</v>
      </c>
      <c r="Z819" s="424" t="s">
        <v>2872</v>
      </c>
      <c r="AA819" s="424" t="s">
        <v>3197</v>
      </c>
      <c r="AB819" s="424" t="s">
        <v>3408</v>
      </c>
      <c r="AC819" s="424" t="s">
        <v>1953</v>
      </c>
      <c r="AD819" s="424" t="s">
        <v>2892</v>
      </c>
      <c r="AE819" s="424" t="s">
        <v>3348</v>
      </c>
      <c r="AF819" s="424"/>
      <c r="AG819" s="424"/>
      <c r="AH819" s="424"/>
    </row>
    <row r="820" spans="1:34" x14ac:dyDescent="0.25">
      <c r="A820" s="423" t="s">
        <v>5043</v>
      </c>
      <c r="B820" s="423" t="s">
        <v>5044</v>
      </c>
      <c r="C820" s="423" t="s">
        <v>168</v>
      </c>
      <c r="D820" s="423" t="s">
        <v>4907</v>
      </c>
      <c r="E820" s="423" t="s">
        <v>2818</v>
      </c>
      <c r="F820" s="423">
        <v>16</v>
      </c>
      <c r="G820" s="423">
        <v>32</v>
      </c>
      <c r="H820" s="423">
        <v>689</v>
      </c>
      <c r="J820" s="423"/>
      <c r="K820" s="423"/>
      <c r="L820" s="423"/>
      <c r="M820" s="423"/>
      <c r="Q820" s="423"/>
      <c r="R820" s="424" t="s">
        <v>5045</v>
      </c>
      <c r="S820" s="424" t="s">
        <v>2846</v>
      </c>
      <c r="T820" s="424" t="s">
        <v>2870</v>
      </c>
      <c r="U820" s="424">
        <v>0</v>
      </c>
      <c r="V820" s="424" t="s">
        <v>3176</v>
      </c>
      <c r="W820" s="424" t="s">
        <v>2871</v>
      </c>
      <c r="X820" s="424" t="s">
        <v>5046</v>
      </c>
      <c r="Y820" s="424" t="s">
        <v>2279</v>
      </c>
      <c r="Z820" s="424" t="s">
        <v>2848</v>
      </c>
      <c r="AA820" s="424" t="s">
        <v>2855</v>
      </c>
      <c r="AB820" s="424" t="s">
        <v>3182</v>
      </c>
      <c r="AC820" s="424" t="s">
        <v>1953</v>
      </c>
      <c r="AD820" s="424" t="s">
        <v>2851</v>
      </c>
      <c r="AE820" s="424" t="s">
        <v>2901</v>
      </c>
      <c r="AF820" s="424"/>
      <c r="AG820" s="424"/>
      <c r="AH820" s="424"/>
    </row>
    <row r="821" spans="1:34" x14ac:dyDescent="0.25">
      <c r="A821" s="423" t="s">
        <v>5043</v>
      </c>
      <c r="B821" s="423" t="s">
        <v>5047</v>
      </c>
      <c r="C821" s="423" t="s">
        <v>168</v>
      </c>
      <c r="D821" s="423" t="s">
        <v>4907</v>
      </c>
      <c r="E821" s="423" t="s">
        <v>2818</v>
      </c>
      <c r="F821" s="423">
        <v>16</v>
      </c>
      <c r="G821" s="423">
        <v>32</v>
      </c>
      <c r="H821" s="423">
        <v>689</v>
      </c>
      <c r="J821" s="423"/>
      <c r="K821" s="423"/>
      <c r="L821" s="423"/>
      <c r="M821" s="423"/>
      <c r="Q821" s="423"/>
      <c r="R821" s="424" t="s">
        <v>5048</v>
      </c>
      <c r="S821" s="424" t="s">
        <v>2846</v>
      </c>
      <c r="T821" s="424" t="s">
        <v>2870</v>
      </c>
      <c r="U821" s="424">
        <v>0</v>
      </c>
      <c r="V821" s="424" t="s">
        <v>3176</v>
      </c>
      <c r="W821" s="424" t="s">
        <v>2871</v>
      </c>
      <c r="X821" s="424" t="s">
        <v>5046</v>
      </c>
      <c r="Y821" s="424" t="s">
        <v>2279</v>
      </c>
      <c r="Z821" s="424" t="s">
        <v>2848</v>
      </c>
      <c r="AA821" s="424" t="s">
        <v>2855</v>
      </c>
      <c r="AB821" s="424" t="s">
        <v>3182</v>
      </c>
      <c r="AC821" s="424" t="s">
        <v>1953</v>
      </c>
      <c r="AD821" s="424" t="s">
        <v>2851</v>
      </c>
      <c r="AE821" s="424" t="s">
        <v>2901</v>
      </c>
      <c r="AF821" s="424"/>
      <c r="AG821" s="424"/>
      <c r="AH821" s="424"/>
    </row>
    <row r="822" spans="1:34" x14ac:dyDescent="0.25">
      <c r="A822" s="423" t="s">
        <v>5043</v>
      </c>
      <c r="B822" s="423" t="s">
        <v>5049</v>
      </c>
      <c r="C822" s="423" t="s">
        <v>168</v>
      </c>
      <c r="D822" s="423" t="s">
        <v>4907</v>
      </c>
      <c r="E822" s="423" t="s">
        <v>2818</v>
      </c>
      <c r="F822" s="423">
        <v>16</v>
      </c>
      <c r="G822" s="423">
        <v>32</v>
      </c>
      <c r="H822" s="423">
        <v>689</v>
      </c>
      <c r="J822" s="423"/>
      <c r="K822" s="423"/>
      <c r="L822" s="423"/>
      <c r="M822" s="423"/>
      <c r="Q822" s="423"/>
      <c r="R822" s="424" t="s">
        <v>5050</v>
      </c>
      <c r="S822" s="424" t="s">
        <v>2846</v>
      </c>
      <c r="T822" s="424" t="s">
        <v>2870</v>
      </c>
      <c r="U822" s="424">
        <v>0</v>
      </c>
      <c r="V822" s="424" t="s">
        <v>3176</v>
      </c>
      <c r="W822" s="424" t="s">
        <v>3074</v>
      </c>
      <c r="X822" s="424" t="s">
        <v>5046</v>
      </c>
      <c r="Y822" s="424" t="s">
        <v>2279</v>
      </c>
      <c r="Z822" s="424" t="s">
        <v>2848</v>
      </c>
      <c r="AA822" s="424" t="s">
        <v>2855</v>
      </c>
      <c r="AB822" s="424" t="s">
        <v>3172</v>
      </c>
      <c r="AC822" s="424" t="s">
        <v>1953</v>
      </c>
      <c r="AD822" s="424" t="s">
        <v>2851</v>
      </c>
      <c r="AE822" s="424" t="s">
        <v>3173</v>
      </c>
      <c r="AF822" s="424"/>
      <c r="AG822" s="424"/>
      <c r="AH822" s="424"/>
    </row>
    <row r="823" spans="1:34" x14ac:dyDescent="0.25">
      <c r="A823" s="423" t="s">
        <v>5043</v>
      </c>
      <c r="B823" s="423" t="s">
        <v>5051</v>
      </c>
      <c r="C823" s="423" t="s">
        <v>168</v>
      </c>
      <c r="D823" s="423" t="s">
        <v>4907</v>
      </c>
      <c r="E823" s="423" t="s">
        <v>2818</v>
      </c>
      <c r="F823" s="423">
        <v>16</v>
      </c>
      <c r="G823" s="423">
        <v>32</v>
      </c>
      <c r="H823" s="423">
        <v>689</v>
      </c>
      <c r="J823" s="423"/>
      <c r="K823" s="423"/>
      <c r="L823" s="423"/>
      <c r="M823" s="423"/>
      <c r="Q823" s="423"/>
      <c r="R823" s="424" t="s">
        <v>5052</v>
      </c>
      <c r="S823" s="424" t="s">
        <v>2846</v>
      </c>
      <c r="T823" s="424" t="s">
        <v>2870</v>
      </c>
      <c r="U823" s="424">
        <v>0</v>
      </c>
      <c r="V823" s="424" t="s">
        <v>3176</v>
      </c>
      <c r="W823" s="424" t="s">
        <v>2871</v>
      </c>
      <c r="X823" s="424" t="s">
        <v>5046</v>
      </c>
      <c r="Y823" s="424" t="s">
        <v>2279</v>
      </c>
      <c r="Z823" s="424" t="s">
        <v>2848</v>
      </c>
      <c r="AA823" s="424" t="s">
        <v>2855</v>
      </c>
      <c r="AB823" s="424" t="s">
        <v>3489</v>
      </c>
      <c r="AC823" s="424" t="s">
        <v>1953</v>
      </c>
      <c r="AD823" s="424" t="s">
        <v>2851</v>
      </c>
      <c r="AE823" s="424" t="s">
        <v>2901</v>
      </c>
      <c r="AF823" s="424"/>
      <c r="AG823" s="424"/>
      <c r="AH823" s="424"/>
    </row>
    <row r="824" spans="1:34" x14ac:dyDescent="0.25">
      <c r="A824" s="423" t="s">
        <v>5043</v>
      </c>
      <c r="B824" s="423" t="s">
        <v>5053</v>
      </c>
      <c r="C824" s="423" t="s">
        <v>168</v>
      </c>
      <c r="D824" s="423" t="s">
        <v>4907</v>
      </c>
      <c r="E824" s="423" t="s">
        <v>2818</v>
      </c>
      <c r="F824" s="423">
        <v>16</v>
      </c>
      <c r="G824" s="423">
        <v>32</v>
      </c>
      <c r="H824" s="423">
        <v>689</v>
      </c>
      <c r="J824" s="423"/>
      <c r="K824" s="423"/>
      <c r="L824" s="423"/>
      <c r="M824" s="423"/>
      <c r="Q824" s="423"/>
      <c r="R824" s="424" t="s">
        <v>5054</v>
      </c>
      <c r="S824" s="424" t="s">
        <v>2846</v>
      </c>
      <c r="T824" s="424" t="s">
        <v>2870</v>
      </c>
      <c r="U824" s="424">
        <v>0</v>
      </c>
      <c r="V824" s="424" t="s">
        <v>3176</v>
      </c>
      <c r="W824" s="424" t="s">
        <v>2871</v>
      </c>
      <c r="X824" s="424" t="s">
        <v>5046</v>
      </c>
      <c r="Y824" s="424" t="s">
        <v>2279</v>
      </c>
      <c r="Z824" s="424" t="s">
        <v>2848</v>
      </c>
      <c r="AA824" s="424" t="s">
        <v>2855</v>
      </c>
      <c r="AB824" s="424" t="s">
        <v>5055</v>
      </c>
      <c r="AC824" s="424" t="s">
        <v>1953</v>
      </c>
      <c r="AD824" s="424" t="s">
        <v>2851</v>
      </c>
      <c r="AE824" s="424" t="s">
        <v>2901</v>
      </c>
      <c r="AF824" s="424"/>
      <c r="AG824" s="424"/>
      <c r="AH824" s="424"/>
    </row>
    <row r="825" spans="1:34" x14ac:dyDescent="0.25">
      <c r="A825" s="423" t="s">
        <v>5043</v>
      </c>
      <c r="B825" s="423" t="s">
        <v>5056</v>
      </c>
      <c r="C825" s="423" t="s">
        <v>168</v>
      </c>
      <c r="D825" s="423" t="s">
        <v>4907</v>
      </c>
      <c r="E825" s="423" t="s">
        <v>2818</v>
      </c>
      <c r="F825" s="423">
        <v>16</v>
      </c>
      <c r="G825" s="423">
        <v>32</v>
      </c>
      <c r="H825" s="423">
        <v>689</v>
      </c>
      <c r="J825" s="423"/>
      <c r="K825" s="423"/>
      <c r="L825" s="423"/>
      <c r="M825" s="423"/>
      <c r="Q825" s="423"/>
      <c r="R825" s="424" t="s">
        <v>5057</v>
      </c>
      <c r="S825" s="424" t="s">
        <v>2846</v>
      </c>
      <c r="T825" s="424" t="s">
        <v>2870</v>
      </c>
      <c r="U825" s="424">
        <v>0</v>
      </c>
      <c r="V825" s="424" t="s">
        <v>3176</v>
      </c>
      <c r="W825" s="424" t="s">
        <v>3176</v>
      </c>
      <c r="X825" s="424" t="s">
        <v>5046</v>
      </c>
      <c r="Y825" s="424" t="s">
        <v>2279</v>
      </c>
      <c r="Z825" s="424" t="s">
        <v>2848</v>
      </c>
      <c r="AA825" s="424" t="s">
        <v>2855</v>
      </c>
      <c r="AB825" s="424" t="s">
        <v>2904</v>
      </c>
      <c r="AC825" s="424" t="s">
        <v>1953</v>
      </c>
      <c r="AD825" s="424" t="s">
        <v>2851</v>
      </c>
      <c r="AE825" s="424" t="s">
        <v>2901</v>
      </c>
      <c r="AF825" s="424"/>
      <c r="AG825" s="424"/>
      <c r="AH825" s="424"/>
    </row>
    <row r="826" spans="1:34" x14ac:dyDescent="0.25">
      <c r="A826" s="423" t="s">
        <v>5043</v>
      </c>
      <c r="B826" s="423" t="s">
        <v>5058</v>
      </c>
      <c r="C826" s="423" t="s">
        <v>168</v>
      </c>
      <c r="D826" s="423" t="s">
        <v>4907</v>
      </c>
      <c r="E826" s="423" t="s">
        <v>2818</v>
      </c>
      <c r="F826" s="423">
        <v>16</v>
      </c>
      <c r="G826" s="423">
        <v>32</v>
      </c>
      <c r="H826" s="423">
        <v>689</v>
      </c>
      <c r="J826" s="423"/>
      <c r="K826" s="423"/>
      <c r="L826" s="423"/>
      <c r="M826" s="423"/>
      <c r="Q826" s="423"/>
      <c r="R826" s="424" t="s">
        <v>5059</v>
      </c>
      <c r="S826" s="424" t="s">
        <v>2846</v>
      </c>
      <c r="T826" s="424" t="s">
        <v>2870</v>
      </c>
      <c r="U826" s="424">
        <v>0</v>
      </c>
      <c r="V826" s="424" t="s">
        <v>3176</v>
      </c>
      <c r="W826" s="424" t="s">
        <v>2871</v>
      </c>
      <c r="X826" s="424" t="s">
        <v>5046</v>
      </c>
      <c r="Y826" s="424" t="s">
        <v>2279</v>
      </c>
      <c r="Z826" s="424" t="s">
        <v>2848</v>
      </c>
      <c r="AA826" s="424" t="s">
        <v>2855</v>
      </c>
      <c r="AB826" s="424" t="s">
        <v>3182</v>
      </c>
      <c r="AC826" s="424" t="s">
        <v>1953</v>
      </c>
      <c r="AD826" s="424" t="s">
        <v>2851</v>
      </c>
      <c r="AE826" s="424" t="s">
        <v>2901</v>
      </c>
      <c r="AF826" s="424"/>
      <c r="AG826" s="424"/>
      <c r="AH826" s="424"/>
    </row>
    <row r="827" spans="1:34" x14ac:dyDescent="0.25">
      <c r="A827" s="423" t="s">
        <v>5043</v>
      </c>
      <c r="B827" s="423" t="s">
        <v>5060</v>
      </c>
      <c r="C827" s="423" t="s">
        <v>168</v>
      </c>
      <c r="D827" s="423" t="s">
        <v>4907</v>
      </c>
      <c r="E827" s="423" t="s">
        <v>2818</v>
      </c>
      <c r="F827" s="423">
        <v>16</v>
      </c>
      <c r="G827" s="423">
        <v>32</v>
      </c>
      <c r="H827" s="423">
        <v>689</v>
      </c>
      <c r="J827" s="423"/>
      <c r="K827" s="423"/>
      <c r="L827" s="423"/>
      <c r="M827" s="423"/>
      <c r="Q827" s="423"/>
      <c r="R827" s="424" t="s">
        <v>5061</v>
      </c>
      <c r="S827" s="424" t="s">
        <v>2846</v>
      </c>
      <c r="T827" s="424" t="s">
        <v>2870</v>
      </c>
      <c r="U827" s="424">
        <v>0</v>
      </c>
      <c r="V827" s="424" t="s">
        <v>3176</v>
      </c>
      <c r="W827" s="424" t="s">
        <v>2871</v>
      </c>
      <c r="X827" s="424" t="s">
        <v>5046</v>
      </c>
      <c r="Y827" s="424" t="s">
        <v>2279</v>
      </c>
      <c r="Z827" s="424" t="s">
        <v>2848</v>
      </c>
      <c r="AA827" s="424" t="s">
        <v>2855</v>
      </c>
      <c r="AB827" s="424" t="s">
        <v>3182</v>
      </c>
      <c r="AC827" s="424" t="s">
        <v>1953</v>
      </c>
      <c r="AD827" s="424" t="s">
        <v>2851</v>
      </c>
      <c r="AE827" s="424" t="s">
        <v>2901</v>
      </c>
      <c r="AF827" s="424"/>
      <c r="AG827" s="424"/>
      <c r="AH827" s="424"/>
    </row>
    <row r="828" spans="1:34" x14ac:dyDescent="0.25">
      <c r="A828" s="423" t="s">
        <v>5043</v>
      </c>
      <c r="B828" s="423" t="s">
        <v>5062</v>
      </c>
      <c r="C828" s="423" t="s">
        <v>168</v>
      </c>
      <c r="D828" s="423" t="s">
        <v>4907</v>
      </c>
      <c r="E828" s="423" t="s">
        <v>2818</v>
      </c>
      <c r="F828" s="423">
        <v>16</v>
      </c>
      <c r="G828" s="423">
        <v>32</v>
      </c>
      <c r="H828" s="423">
        <v>689</v>
      </c>
      <c r="J828" s="423"/>
      <c r="K828" s="423"/>
      <c r="L828" s="423"/>
      <c r="M828" s="423"/>
      <c r="Q828" s="423"/>
      <c r="R828" s="424" t="s">
        <v>5063</v>
      </c>
      <c r="S828" s="424" t="s">
        <v>2846</v>
      </c>
      <c r="T828" s="424" t="s">
        <v>2870</v>
      </c>
      <c r="U828" s="424">
        <v>0</v>
      </c>
      <c r="V828" s="424" t="s">
        <v>3176</v>
      </c>
      <c r="W828" s="424" t="s">
        <v>3176</v>
      </c>
      <c r="X828" s="424" t="s">
        <v>5046</v>
      </c>
      <c r="Y828" s="424" t="s">
        <v>2279</v>
      </c>
      <c r="Z828" s="424" t="s">
        <v>2848</v>
      </c>
      <c r="AA828" s="424" t="s">
        <v>2855</v>
      </c>
      <c r="AB828" s="424" t="s">
        <v>2913</v>
      </c>
      <c r="AC828" s="424" t="s">
        <v>1953</v>
      </c>
      <c r="AD828" s="424" t="s">
        <v>2851</v>
      </c>
      <c r="AE828" s="424" t="s">
        <v>2901</v>
      </c>
      <c r="AF828" s="424"/>
      <c r="AG828" s="424"/>
      <c r="AH828" s="424"/>
    </row>
    <row r="829" spans="1:34" x14ac:dyDescent="0.25">
      <c r="A829" s="423" t="s">
        <v>5064</v>
      </c>
      <c r="B829" s="423" t="s">
        <v>5065</v>
      </c>
      <c r="C829" s="423" t="s">
        <v>152</v>
      </c>
      <c r="D829" s="423" t="s">
        <v>5066</v>
      </c>
      <c r="E829" s="423" t="s">
        <v>2818</v>
      </c>
      <c r="F829" s="423">
        <v>16</v>
      </c>
      <c r="G829" s="423">
        <v>48</v>
      </c>
      <c r="H829" s="423">
        <v>248</v>
      </c>
      <c r="J829" s="423"/>
      <c r="K829" s="423"/>
      <c r="L829" s="423"/>
      <c r="M829" s="423"/>
      <c r="Q829" s="423"/>
      <c r="R829" s="424" t="s">
        <v>5067</v>
      </c>
      <c r="S829" s="424" t="s">
        <v>2846</v>
      </c>
      <c r="T829" s="424" t="s">
        <v>2870</v>
      </c>
      <c r="U829" s="424">
        <v>0</v>
      </c>
      <c r="V829" s="424" t="s">
        <v>152</v>
      </c>
      <c r="W829" s="424" t="s">
        <v>3694</v>
      </c>
      <c r="X829" s="424" t="s">
        <v>2224</v>
      </c>
      <c r="Y829" s="424" t="s">
        <v>2279</v>
      </c>
      <c r="Z829" s="424" t="s">
        <v>2872</v>
      </c>
      <c r="AA829" s="424" t="s">
        <v>3197</v>
      </c>
      <c r="AB829" s="424" t="s">
        <v>3919</v>
      </c>
      <c r="AC829" s="424" t="s">
        <v>3910</v>
      </c>
      <c r="AD829" s="424" t="s">
        <v>3911</v>
      </c>
      <c r="AE829" s="424" t="s">
        <v>3916</v>
      </c>
      <c r="AF829" s="424"/>
      <c r="AG829" s="424"/>
      <c r="AH829" s="424"/>
    </row>
    <row r="830" spans="1:34" x14ac:dyDescent="0.25">
      <c r="A830" s="423" t="s">
        <v>5064</v>
      </c>
      <c r="B830" s="423" t="s">
        <v>5068</v>
      </c>
      <c r="C830" s="423" t="s">
        <v>152</v>
      </c>
      <c r="D830" s="423" t="s">
        <v>5066</v>
      </c>
      <c r="E830" s="423" t="s">
        <v>2818</v>
      </c>
      <c r="F830" s="423">
        <v>16</v>
      </c>
      <c r="G830" s="423">
        <v>48</v>
      </c>
      <c r="H830" s="423">
        <v>248</v>
      </c>
      <c r="J830" s="423"/>
      <c r="K830" s="423"/>
      <c r="L830" s="423"/>
      <c r="M830" s="423"/>
      <c r="Q830" s="423"/>
      <c r="R830" s="424" t="s">
        <v>5069</v>
      </c>
      <c r="S830" s="424" t="s">
        <v>2846</v>
      </c>
      <c r="T830" s="424" t="s">
        <v>2870</v>
      </c>
      <c r="U830" s="424">
        <v>0</v>
      </c>
      <c r="V830" s="424" t="s">
        <v>152</v>
      </c>
      <c r="W830" s="424" t="s">
        <v>3694</v>
      </c>
      <c r="X830" s="424" t="s">
        <v>2224</v>
      </c>
      <c r="Y830" s="424" t="s">
        <v>2279</v>
      </c>
      <c r="Z830" s="424" t="s">
        <v>2872</v>
      </c>
      <c r="AA830" s="424" t="s">
        <v>3197</v>
      </c>
      <c r="AB830" s="424" t="s">
        <v>3909</v>
      </c>
      <c r="AC830" s="424" t="s">
        <v>3910</v>
      </c>
      <c r="AD830" s="424" t="s">
        <v>3911</v>
      </c>
      <c r="AE830" s="424" t="s">
        <v>3912</v>
      </c>
      <c r="AF830" s="424"/>
      <c r="AG830" s="424"/>
      <c r="AH830" s="424"/>
    </row>
    <row r="831" spans="1:34" x14ac:dyDescent="0.25">
      <c r="A831" s="423" t="s">
        <v>5064</v>
      </c>
      <c r="B831" s="423" t="s">
        <v>5070</v>
      </c>
      <c r="C831" s="423" t="s">
        <v>152</v>
      </c>
      <c r="D831" s="423" t="s">
        <v>5066</v>
      </c>
      <c r="E831" s="423" t="s">
        <v>2818</v>
      </c>
      <c r="F831" s="423">
        <v>16</v>
      </c>
      <c r="G831" s="423">
        <v>48</v>
      </c>
      <c r="H831" s="423">
        <v>248</v>
      </c>
      <c r="J831" s="423"/>
      <c r="K831" s="423"/>
      <c r="L831" s="423"/>
      <c r="M831" s="423"/>
      <c r="Q831" s="423"/>
      <c r="R831" s="424" t="s">
        <v>5071</v>
      </c>
      <c r="S831" s="424" t="s">
        <v>2846</v>
      </c>
      <c r="T831" s="424" t="s">
        <v>2870</v>
      </c>
      <c r="U831" s="424">
        <v>0</v>
      </c>
      <c r="V831" s="424" t="s">
        <v>152</v>
      </c>
      <c r="W831" s="424" t="s">
        <v>3694</v>
      </c>
      <c r="X831" s="424" t="s">
        <v>2224</v>
      </c>
      <c r="Y831" s="424" t="s">
        <v>2279</v>
      </c>
      <c r="Z831" s="424" t="s">
        <v>2872</v>
      </c>
      <c r="AA831" s="424" t="s">
        <v>3197</v>
      </c>
      <c r="AB831" s="424" t="s">
        <v>5072</v>
      </c>
      <c r="AC831" s="424" t="s">
        <v>3910</v>
      </c>
      <c r="AD831" s="424" t="s">
        <v>3911</v>
      </c>
      <c r="AE831" s="424" t="s">
        <v>3916</v>
      </c>
      <c r="AF831" s="424"/>
      <c r="AG831" s="424"/>
      <c r="AH831" s="424"/>
    </row>
    <row r="832" spans="1:34" x14ac:dyDescent="0.25">
      <c r="A832" s="423" t="s">
        <v>5064</v>
      </c>
      <c r="B832" s="423" t="s">
        <v>5073</v>
      </c>
      <c r="C832" s="423" t="s">
        <v>152</v>
      </c>
      <c r="D832" s="423" t="s">
        <v>5066</v>
      </c>
      <c r="E832" s="423" t="s">
        <v>2818</v>
      </c>
      <c r="F832" s="423">
        <v>16</v>
      </c>
      <c r="G832" s="423">
        <v>48</v>
      </c>
      <c r="H832" s="423">
        <v>248</v>
      </c>
      <c r="J832" s="423"/>
      <c r="K832" s="423"/>
      <c r="L832" s="423"/>
      <c r="M832" s="423"/>
      <c r="Q832" s="423"/>
      <c r="R832" s="424" t="s">
        <v>5074</v>
      </c>
      <c r="S832" s="424" t="s">
        <v>2846</v>
      </c>
      <c r="T832" s="424" t="s">
        <v>2870</v>
      </c>
      <c r="U832" s="424">
        <v>0</v>
      </c>
      <c r="V832" s="424" t="s">
        <v>152</v>
      </c>
      <c r="W832" s="424" t="s">
        <v>3694</v>
      </c>
      <c r="X832" s="424" t="s">
        <v>2224</v>
      </c>
      <c r="Y832" s="424" t="s">
        <v>2279</v>
      </c>
      <c r="Z832" s="424" t="s">
        <v>2872</v>
      </c>
      <c r="AA832" s="424" t="s">
        <v>3197</v>
      </c>
      <c r="AB832" s="424" t="s">
        <v>5075</v>
      </c>
      <c r="AC832" s="424" t="s">
        <v>3910</v>
      </c>
      <c r="AD832" s="424" t="s">
        <v>3911</v>
      </c>
      <c r="AE832" s="424" t="s">
        <v>3912</v>
      </c>
      <c r="AF832" s="424"/>
      <c r="AG832" s="424"/>
      <c r="AH832" s="424"/>
    </row>
    <row r="833" spans="1:34" x14ac:dyDescent="0.25">
      <c r="A833" s="423" t="s">
        <v>5064</v>
      </c>
      <c r="B833" s="423" t="s">
        <v>5076</v>
      </c>
      <c r="C833" s="423" t="s">
        <v>152</v>
      </c>
      <c r="D833" s="423" t="s">
        <v>5066</v>
      </c>
      <c r="E833" s="423" t="s">
        <v>2818</v>
      </c>
      <c r="F833" s="423">
        <v>16</v>
      </c>
      <c r="G833" s="423">
        <v>48</v>
      </c>
      <c r="H833" s="423">
        <v>248</v>
      </c>
      <c r="J833" s="423"/>
      <c r="K833" s="423"/>
      <c r="L833" s="423"/>
      <c r="M833" s="423"/>
      <c r="Q833" s="423"/>
      <c r="R833" s="424" t="s">
        <v>5077</v>
      </c>
      <c r="S833" s="424" t="s">
        <v>2846</v>
      </c>
      <c r="T833" s="424" t="s">
        <v>2870</v>
      </c>
      <c r="U833" s="424">
        <v>0</v>
      </c>
      <c r="V833" s="424" t="s">
        <v>152</v>
      </c>
      <c r="W833" s="424" t="s">
        <v>3694</v>
      </c>
      <c r="X833" s="424" t="s">
        <v>2224</v>
      </c>
      <c r="Y833" s="424" t="s">
        <v>2279</v>
      </c>
      <c r="Z833" s="424" t="s">
        <v>2872</v>
      </c>
      <c r="AA833" s="424" t="s">
        <v>3197</v>
      </c>
      <c r="AB833" s="424" t="s">
        <v>5078</v>
      </c>
      <c r="AC833" s="424" t="s">
        <v>3910</v>
      </c>
      <c r="AD833" s="424" t="s">
        <v>3911</v>
      </c>
      <c r="AE833" s="424" t="s">
        <v>3923</v>
      </c>
      <c r="AF833" s="424"/>
      <c r="AG833" s="424"/>
      <c r="AH833" s="424"/>
    </row>
    <row r="834" spans="1:34" x14ac:dyDescent="0.25">
      <c r="A834" s="423" t="s">
        <v>5064</v>
      </c>
      <c r="B834" s="423" t="s">
        <v>5079</v>
      </c>
      <c r="C834" s="423" t="s">
        <v>152</v>
      </c>
      <c r="D834" s="423" t="s">
        <v>5066</v>
      </c>
      <c r="E834" s="423" t="s">
        <v>2818</v>
      </c>
      <c r="F834" s="423">
        <v>28</v>
      </c>
      <c r="G834" s="423">
        <v>37</v>
      </c>
      <c r="H834" s="423">
        <v>753</v>
      </c>
      <c r="J834" s="423"/>
      <c r="K834" s="423"/>
      <c r="L834" s="423"/>
      <c r="M834" s="423"/>
      <c r="Q834" s="423"/>
      <c r="R834" s="424" t="s">
        <v>5080</v>
      </c>
      <c r="S834" s="424" t="s">
        <v>2846</v>
      </c>
      <c r="T834" s="424" t="s">
        <v>2870</v>
      </c>
      <c r="U834" s="424">
        <v>0</v>
      </c>
      <c r="V834" s="424" t="s">
        <v>152</v>
      </c>
      <c r="W834" s="424" t="s">
        <v>3694</v>
      </c>
      <c r="X834" s="424" t="s">
        <v>2224</v>
      </c>
      <c r="Y834" s="424" t="s">
        <v>2279</v>
      </c>
      <c r="Z834" s="424" t="s">
        <v>2872</v>
      </c>
      <c r="AA834" s="424" t="s">
        <v>3197</v>
      </c>
      <c r="AB834" s="424" t="s">
        <v>5081</v>
      </c>
      <c r="AC834" s="424" t="s">
        <v>3910</v>
      </c>
      <c r="AD834" s="424" t="s">
        <v>3911</v>
      </c>
      <c r="AE834" s="424" t="s">
        <v>3916</v>
      </c>
      <c r="AF834" s="424"/>
      <c r="AG834" s="424"/>
      <c r="AH834" s="424"/>
    </row>
    <row r="835" spans="1:34" x14ac:dyDescent="0.25">
      <c r="A835" s="423" t="s">
        <v>5064</v>
      </c>
      <c r="B835" s="423" t="s">
        <v>5082</v>
      </c>
      <c r="C835" s="423" t="s">
        <v>152</v>
      </c>
      <c r="D835" s="423" t="s">
        <v>5066</v>
      </c>
      <c r="E835" s="423" t="s">
        <v>2818</v>
      </c>
      <c r="F835" s="423">
        <v>28</v>
      </c>
      <c r="G835" s="423">
        <v>37</v>
      </c>
      <c r="H835" s="423">
        <v>753</v>
      </c>
      <c r="J835" s="423"/>
      <c r="K835" s="423"/>
      <c r="L835" s="423"/>
      <c r="M835" s="423"/>
      <c r="Q835" s="423"/>
      <c r="R835" s="424" t="s">
        <v>5083</v>
      </c>
      <c r="S835" s="424" t="s">
        <v>2846</v>
      </c>
      <c r="T835" s="424" t="s">
        <v>2870</v>
      </c>
      <c r="U835" s="424">
        <v>0</v>
      </c>
      <c r="V835" s="424" t="s">
        <v>152</v>
      </c>
      <c r="W835" s="424" t="s">
        <v>3694</v>
      </c>
      <c r="X835" s="424" t="s">
        <v>2224</v>
      </c>
      <c r="Y835" s="424" t="s">
        <v>2279</v>
      </c>
      <c r="Z835" s="424" t="s">
        <v>2872</v>
      </c>
      <c r="AA835" s="424" t="s">
        <v>3197</v>
      </c>
      <c r="AB835" s="424" t="s">
        <v>5084</v>
      </c>
      <c r="AC835" s="424" t="s">
        <v>3910</v>
      </c>
      <c r="AD835" s="424" t="s">
        <v>3911</v>
      </c>
      <c r="AE835" s="424" t="s">
        <v>3916</v>
      </c>
      <c r="AF835" s="424"/>
      <c r="AG835" s="424"/>
      <c r="AH835" s="424"/>
    </row>
    <row r="836" spans="1:34" x14ac:dyDescent="0.25">
      <c r="A836" s="423" t="s">
        <v>5064</v>
      </c>
      <c r="B836" s="423" t="s">
        <v>5085</v>
      </c>
      <c r="C836" s="423" t="s">
        <v>152</v>
      </c>
      <c r="D836" s="423" t="s">
        <v>5066</v>
      </c>
      <c r="E836" s="423" t="s">
        <v>2818</v>
      </c>
      <c r="F836" s="423">
        <v>28</v>
      </c>
      <c r="G836" s="423">
        <v>37</v>
      </c>
      <c r="H836" s="423">
        <v>753</v>
      </c>
      <c r="J836" s="423"/>
      <c r="K836" s="423"/>
      <c r="L836" s="423"/>
      <c r="M836" s="423"/>
      <c r="Q836" s="423"/>
      <c r="R836" s="424" t="s">
        <v>5086</v>
      </c>
      <c r="S836" s="424" t="s">
        <v>2846</v>
      </c>
      <c r="T836" s="424" t="s">
        <v>2870</v>
      </c>
      <c r="U836" s="424">
        <v>0</v>
      </c>
      <c r="V836" s="424" t="s">
        <v>152</v>
      </c>
      <c r="W836" s="424" t="s">
        <v>3694</v>
      </c>
      <c r="X836" s="424" t="s">
        <v>2224</v>
      </c>
      <c r="Y836" s="424" t="s">
        <v>2279</v>
      </c>
      <c r="Z836" s="424" t="s">
        <v>2872</v>
      </c>
      <c r="AA836" s="424" t="s">
        <v>3197</v>
      </c>
      <c r="AB836" s="424" t="s">
        <v>5087</v>
      </c>
      <c r="AC836" s="424" t="s">
        <v>3910</v>
      </c>
      <c r="AD836" s="424" t="s">
        <v>3911</v>
      </c>
      <c r="AE836" s="424" t="s">
        <v>3912</v>
      </c>
      <c r="AF836" s="424"/>
      <c r="AG836" s="424"/>
      <c r="AH836" s="424"/>
    </row>
    <row r="837" spans="1:34" x14ac:dyDescent="0.25">
      <c r="A837" s="423" t="s">
        <v>5064</v>
      </c>
      <c r="B837" s="423" t="s">
        <v>5088</v>
      </c>
      <c r="C837" s="423" t="s">
        <v>152</v>
      </c>
      <c r="D837" s="423" t="s">
        <v>5066</v>
      </c>
      <c r="E837" s="423" t="s">
        <v>2818</v>
      </c>
      <c r="F837" s="423">
        <v>32</v>
      </c>
      <c r="G837" s="423">
        <v>40</v>
      </c>
      <c r="H837" s="423">
        <v>121</v>
      </c>
      <c r="J837" s="423"/>
      <c r="K837" s="423"/>
      <c r="L837" s="423"/>
      <c r="M837" s="423"/>
      <c r="Q837" s="423"/>
      <c r="R837" s="424" t="s">
        <v>5089</v>
      </c>
      <c r="S837" s="424" t="s">
        <v>2846</v>
      </c>
      <c r="T837" s="424" t="s">
        <v>2870</v>
      </c>
      <c r="U837" s="424">
        <v>0</v>
      </c>
      <c r="V837" s="424" t="s">
        <v>152</v>
      </c>
      <c r="W837" s="424" t="s">
        <v>3694</v>
      </c>
      <c r="X837" s="424" t="s">
        <v>2224</v>
      </c>
      <c r="Y837" s="424" t="s">
        <v>2279</v>
      </c>
      <c r="Z837" s="424" t="s">
        <v>2872</v>
      </c>
      <c r="AA837" s="424" t="s">
        <v>3197</v>
      </c>
      <c r="AB837" s="424" t="s">
        <v>3915</v>
      </c>
      <c r="AC837" s="424" t="s">
        <v>3910</v>
      </c>
      <c r="AD837" s="424" t="s">
        <v>3911</v>
      </c>
      <c r="AE837" s="424" t="s">
        <v>3916</v>
      </c>
      <c r="AF837" s="424"/>
      <c r="AG837" s="424"/>
      <c r="AH837" s="424"/>
    </row>
    <row r="838" spans="1:34" x14ac:dyDescent="0.25">
      <c r="A838" s="423" t="s">
        <v>5064</v>
      </c>
      <c r="B838" s="423" t="s">
        <v>5090</v>
      </c>
      <c r="C838" s="423" t="s">
        <v>152</v>
      </c>
      <c r="D838" s="423" t="s">
        <v>5066</v>
      </c>
      <c r="E838" s="423" t="s">
        <v>2818</v>
      </c>
      <c r="F838" s="423">
        <v>32</v>
      </c>
      <c r="G838" s="423">
        <v>40</v>
      </c>
      <c r="H838" s="423">
        <v>121</v>
      </c>
      <c r="J838" s="423"/>
      <c r="K838" s="423"/>
      <c r="L838" s="423"/>
      <c r="M838" s="423"/>
      <c r="Q838" s="423"/>
      <c r="R838" s="424" t="s">
        <v>5091</v>
      </c>
      <c r="S838" s="424" t="s">
        <v>2846</v>
      </c>
      <c r="T838" s="424" t="s">
        <v>2870</v>
      </c>
      <c r="U838" s="424">
        <v>0</v>
      </c>
      <c r="V838" s="424" t="s">
        <v>152</v>
      </c>
      <c r="W838" s="424" t="s">
        <v>3694</v>
      </c>
      <c r="X838" s="424" t="s">
        <v>2224</v>
      </c>
      <c r="Y838" s="424" t="s">
        <v>2279</v>
      </c>
      <c r="Z838" s="424" t="s">
        <v>2872</v>
      </c>
      <c r="AA838" s="424" t="s">
        <v>3197</v>
      </c>
      <c r="AB838" s="424" t="s">
        <v>5081</v>
      </c>
      <c r="AC838" s="424" t="s">
        <v>3910</v>
      </c>
      <c r="AD838" s="424" t="s">
        <v>3911</v>
      </c>
      <c r="AE838" s="424" t="s">
        <v>3916</v>
      </c>
      <c r="AF838" s="424"/>
      <c r="AG838" s="424"/>
      <c r="AH838" s="424"/>
    </row>
    <row r="839" spans="1:34" x14ac:dyDescent="0.25">
      <c r="A839" s="423" t="s">
        <v>5064</v>
      </c>
      <c r="B839" s="423" t="s">
        <v>5092</v>
      </c>
      <c r="C839" s="423" t="s">
        <v>152</v>
      </c>
      <c r="D839" s="423" t="s">
        <v>5066</v>
      </c>
      <c r="E839" s="423" t="s">
        <v>2818</v>
      </c>
      <c r="F839" s="423">
        <v>32</v>
      </c>
      <c r="G839" s="423">
        <v>48</v>
      </c>
      <c r="H839" s="423">
        <v>121</v>
      </c>
      <c r="J839" s="423"/>
      <c r="K839" s="423"/>
      <c r="L839" s="423"/>
      <c r="M839" s="423"/>
      <c r="Q839" s="423"/>
      <c r="R839" s="424" t="s">
        <v>5093</v>
      </c>
      <c r="S839" s="424" t="s">
        <v>2846</v>
      </c>
      <c r="T839" s="424" t="s">
        <v>2870</v>
      </c>
      <c r="U839" s="424">
        <v>0</v>
      </c>
      <c r="V839" s="424" t="s">
        <v>152</v>
      </c>
      <c r="W839" s="424" t="s">
        <v>3694</v>
      </c>
      <c r="X839" s="424" t="s">
        <v>2224</v>
      </c>
      <c r="Y839" s="424" t="s">
        <v>2279</v>
      </c>
      <c r="Z839" s="424" t="s">
        <v>2872</v>
      </c>
      <c r="AA839" s="424" t="s">
        <v>3197</v>
      </c>
      <c r="AB839" s="424" t="s">
        <v>5094</v>
      </c>
      <c r="AC839" s="424" t="s">
        <v>3910</v>
      </c>
      <c r="AD839" s="424" t="s">
        <v>3911</v>
      </c>
      <c r="AE839" s="424" t="s">
        <v>3923</v>
      </c>
      <c r="AF839" s="424"/>
      <c r="AG839" s="424"/>
      <c r="AH839" s="424"/>
    </row>
    <row r="840" spans="1:34" x14ac:dyDescent="0.25">
      <c r="A840" s="423" t="s">
        <v>5064</v>
      </c>
      <c r="B840" s="423" t="s">
        <v>5095</v>
      </c>
      <c r="C840" s="423" t="s">
        <v>152</v>
      </c>
      <c r="D840" s="423" t="s">
        <v>5066</v>
      </c>
      <c r="E840" s="423" t="s">
        <v>2818</v>
      </c>
      <c r="F840" s="423">
        <v>32</v>
      </c>
      <c r="G840" s="423">
        <v>48</v>
      </c>
      <c r="H840" s="423">
        <v>121</v>
      </c>
      <c r="J840" s="423"/>
      <c r="K840" s="423"/>
      <c r="L840" s="423"/>
      <c r="M840" s="423"/>
      <c r="Q840" s="423"/>
      <c r="R840" s="424" t="s">
        <v>5096</v>
      </c>
      <c r="S840" s="424" t="s">
        <v>2846</v>
      </c>
      <c r="T840" s="424" t="s">
        <v>2870</v>
      </c>
      <c r="U840" s="424">
        <v>0</v>
      </c>
      <c r="V840" s="424" t="s">
        <v>152</v>
      </c>
      <c r="W840" s="424" t="s">
        <v>3694</v>
      </c>
      <c r="X840" s="424" t="s">
        <v>2224</v>
      </c>
      <c r="Y840" s="424" t="s">
        <v>2279</v>
      </c>
      <c r="Z840" s="424" t="s">
        <v>2872</v>
      </c>
      <c r="AA840" s="424" t="s">
        <v>3197</v>
      </c>
      <c r="AB840" s="424" t="s">
        <v>5081</v>
      </c>
      <c r="AC840" s="424" t="s">
        <v>3910</v>
      </c>
      <c r="AD840" s="424" t="s">
        <v>3911</v>
      </c>
      <c r="AE840" s="424" t="s">
        <v>3916</v>
      </c>
      <c r="AF840" s="424"/>
      <c r="AG840" s="424"/>
      <c r="AH840" s="424"/>
    </row>
    <row r="841" spans="1:34" x14ac:dyDescent="0.25">
      <c r="A841" s="423" t="s">
        <v>5064</v>
      </c>
      <c r="B841" s="423" t="s">
        <v>5097</v>
      </c>
      <c r="C841" s="423" t="s">
        <v>152</v>
      </c>
      <c r="D841" s="423" t="s">
        <v>5066</v>
      </c>
      <c r="E841" s="423" t="s">
        <v>2818</v>
      </c>
      <c r="F841" s="423">
        <v>32</v>
      </c>
      <c r="G841" s="423">
        <v>48</v>
      </c>
      <c r="H841" s="423">
        <v>121</v>
      </c>
      <c r="J841" s="423"/>
      <c r="K841" s="423"/>
      <c r="L841" s="423"/>
      <c r="M841" s="423"/>
      <c r="Q841" s="423"/>
      <c r="R841" s="424" t="s">
        <v>5098</v>
      </c>
      <c r="S841" s="424" t="s">
        <v>2846</v>
      </c>
      <c r="T841" s="424" t="s">
        <v>2870</v>
      </c>
      <c r="U841" s="424">
        <v>0</v>
      </c>
      <c r="V841" s="424" t="s">
        <v>152</v>
      </c>
      <c r="W841" s="424" t="s">
        <v>3694</v>
      </c>
      <c r="X841" s="424" t="s">
        <v>2224</v>
      </c>
      <c r="Y841" s="424" t="s">
        <v>2279</v>
      </c>
      <c r="Z841" s="424" t="s">
        <v>2872</v>
      </c>
      <c r="AA841" s="424" t="s">
        <v>3197</v>
      </c>
      <c r="AB841" s="424" t="s">
        <v>5099</v>
      </c>
      <c r="AC841" s="424" t="s">
        <v>3910</v>
      </c>
      <c r="AD841" s="424" t="s">
        <v>3911</v>
      </c>
      <c r="AE841" s="424" t="s">
        <v>3923</v>
      </c>
      <c r="AF841" s="424"/>
      <c r="AG841" s="424"/>
      <c r="AH841" s="424"/>
    </row>
    <row r="842" spans="1:34" x14ac:dyDescent="0.25">
      <c r="A842" s="423" t="s">
        <v>5064</v>
      </c>
      <c r="B842" s="423" t="s">
        <v>5100</v>
      </c>
      <c r="C842" s="423" t="s">
        <v>152</v>
      </c>
      <c r="D842" s="423" t="s">
        <v>5066</v>
      </c>
      <c r="E842" s="423" t="s">
        <v>2818</v>
      </c>
      <c r="F842" s="423">
        <v>23</v>
      </c>
      <c r="G842" s="423">
        <v>128</v>
      </c>
      <c r="H842" s="423">
        <v>14870</v>
      </c>
      <c r="J842" s="423"/>
      <c r="K842" s="423"/>
      <c r="L842" s="423"/>
      <c r="M842" s="423"/>
      <c r="Q842" s="423"/>
      <c r="R842" s="424" t="s">
        <v>5101</v>
      </c>
      <c r="S842" s="424" t="s">
        <v>2846</v>
      </c>
      <c r="T842" s="424" t="s">
        <v>2870</v>
      </c>
      <c r="U842" s="424">
        <v>0</v>
      </c>
      <c r="V842" s="424" t="s">
        <v>152</v>
      </c>
      <c r="W842" s="424" t="s">
        <v>3694</v>
      </c>
      <c r="X842" s="424" t="s">
        <v>2224</v>
      </c>
      <c r="Y842" s="424" t="s">
        <v>2279</v>
      </c>
      <c r="Z842" s="424" t="s">
        <v>2872</v>
      </c>
      <c r="AA842" s="424" t="s">
        <v>3197</v>
      </c>
      <c r="AB842" s="424" t="s">
        <v>5102</v>
      </c>
      <c r="AC842" s="424" t="s">
        <v>3910</v>
      </c>
      <c r="AD842" s="424" t="s">
        <v>3911</v>
      </c>
      <c r="AE842" s="424" t="s">
        <v>5103</v>
      </c>
      <c r="AF842" s="424"/>
      <c r="AG842" s="424"/>
      <c r="AH842" s="424"/>
    </row>
    <row r="843" spans="1:34" x14ac:dyDescent="0.25">
      <c r="A843" s="423" t="s">
        <v>5064</v>
      </c>
      <c r="B843" s="423" t="s">
        <v>5104</v>
      </c>
      <c r="C843" s="423" t="s">
        <v>152</v>
      </c>
      <c r="D843" s="423" t="s">
        <v>5066</v>
      </c>
      <c r="E843" s="423" t="s">
        <v>2818</v>
      </c>
      <c r="F843" s="423">
        <v>23</v>
      </c>
      <c r="G843" s="423">
        <v>128</v>
      </c>
      <c r="H843" s="423">
        <v>4870</v>
      </c>
      <c r="J843" s="423"/>
      <c r="K843" s="423"/>
      <c r="L843" s="423"/>
      <c r="M843" s="423"/>
      <c r="Q843" s="423"/>
      <c r="R843" s="424" t="s">
        <v>5105</v>
      </c>
      <c r="S843" s="424" t="s">
        <v>2846</v>
      </c>
      <c r="T843" s="424" t="s">
        <v>2870</v>
      </c>
      <c r="U843" s="424">
        <v>0</v>
      </c>
      <c r="V843" s="424" t="s">
        <v>152</v>
      </c>
      <c r="W843" s="424" t="s">
        <v>3694</v>
      </c>
      <c r="X843" s="424" t="s">
        <v>2224</v>
      </c>
      <c r="Y843" s="424" t="s">
        <v>2279</v>
      </c>
      <c r="Z843" s="424" t="s">
        <v>2872</v>
      </c>
      <c r="AA843" s="424" t="s">
        <v>3197</v>
      </c>
      <c r="AB843" s="424" t="s">
        <v>5106</v>
      </c>
      <c r="AC843" s="424" t="s">
        <v>3910</v>
      </c>
      <c r="AD843" s="424" t="s">
        <v>3911</v>
      </c>
      <c r="AE843" s="424" t="s">
        <v>3923</v>
      </c>
      <c r="AF843" s="424"/>
      <c r="AG843" s="424"/>
      <c r="AH843" s="424"/>
    </row>
    <row r="844" spans="1:34" x14ac:dyDescent="0.25">
      <c r="A844" s="423" t="s">
        <v>5064</v>
      </c>
      <c r="B844" s="423" t="s">
        <v>5107</v>
      </c>
      <c r="C844" s="423" t="s">
        <v>152</v>
      </c>
      <c r="D844" s="423" t="s">
        <v>5066</v>
      </c>
      <c r="E844" s="423" t="s">
        <v>2818</v>
      </c>
      <c r="F844" s="423">
        <v>23</v>
      </c>
      <c r="G844" s="423">
        <v>128</v>
      </c>
      <c r="H844" s="423">
        <v>4870</v>
      </c>
      <c r="J844" s="423"/>
      <c r="K844" s="423"/>
      <c r="L844" s="423"/>
      <c r="M844" s="423"/>
      <c r="Q844" s="423"/>
      <c r="R844" s="424" t="s">
        <v>5108</v>
      </c>
      <c r="S844" s="424" t="s">
        <v>2846</v>
      </c>
      <c r="T844" s="424" t="s">
        <v>2870</v>
      </c>
      <c r="U844" s="424">
        <v>0</v>
      </c>
      <c r="V844" s="424" t="s">
        <v>152</v>
      </c>
      <c r="W844" s="424" t="s">
        <v>3694</v>
      </c>
      <c r="X844" s="424" t="s">
        <v>2224</v>
      </c>
      <c r="Y844" s="424" t="s">
        <v>2279</v>
      </c>
      <c r="Z844" s="424" t="s">
        <v>2872</v>
      </c>
      <c r="AA844" s="424" t="s">
        <v>3197</v>
      </c>
      <c r="AB844" s="424" t="s">
        <v>5081</v>
      </c>
      <c r="AC844" s="424" t="s">
        <v>3910</v>
      </c>
      <c r="AD844" s="424" t="s">
        <v>3911</v>
      </c>
      <c r="AE844" s="424" t="s">
        <v>3916</v>
      </c>
      <c r="AF844" s="424"/>
      <c r="AG844" s="424"/>
      <c r="AH844" s="424"/>
    </row>
    <row r="845" spans="1:34" x14ac:dyDescent="0.25">
      <c r="A845" s="423" t="s">
        <v>5109</v>
      </c>
      <c r="B845" s="423" t="s">
        <v>5110</v>
      </c>
      <c r="C845" s="423" t="s">
        <v>152</v>
      </c>
      <c r="D845" s="423" t="s">
        <v>5066</v>
      </c>
      <c r="E845" s="423" t="s">
        <v>2818</v>
      </c>
      <c r="F845" s="423">
        <v>16</v>
      </c>
      <c r="G845" s="423">
        <v>64</v>
      </c>
      <c r="H845" s="423">
        <v>300</v>
      </c>
      <c r="J845" s="423"/>
      <c r="K845" s="423"/>
      <c r="L845" s="423"/>
      <c r="M845" s="423"/>
      <c r="Q845" s="423"/>
      <c r="R845" s="424" t="s">
        <v>5111</v>
      </c>
      <c r="S845" s="424" t="s">
        <v>2846</v>
      </c>
      <c r="T845" s="424" t="s">
        <v>3906</v>
      </c>
      <c r="U845" s="424">
        <v>0</v>
      </c>
      <c r="V845" s="424" t="s">
        <v>152</v>
      </c>
      <c r="W845" s="424" t="s">
        <v>3694</v>
      </c>
      <c r="X845" s="424">
        <v>0</v>
      </c>
      <c r="Y845" s="424" t="s">
        <v>3908</v>
      </c>
      <c r="Z845" s="424" t="s">
        <v>2872</v>
      </c>
      <c r="AA845" s="424" t="s">
        <v>3197</v>
      </c>
      <c r="AB845" s="424" t="s">
        <v>5112</v>
      </c>
      <c r="AC845" s="424" t="s">
        <v>3910</v>
      </c>
      <c r="AD845" s="424" t="s">
        <v>3911</v>
      </c>
      <c r="AE845" s="424" t="s">
        <v>3912</v>
      </c>
      <c r="AF845" s="424"/>
      <c r="AG845" s="424"/>
      <c r="AH845" s="424"/>
    </row>
    <row r="846" spans="1:34" x14ac:dyDescent="0.25">
      <c r="A846" s="423" t="s">
        <v>5109</v>
      </c>
      <c r="B846" s="423" t="s">
        <v>5113</v>
      </c>
      <c r="C846" s="423" t="s">
        <v>152</v>
      </c>
      <c r="D846" s="423" t="s">
        <v>5066</v>
      </c>
      <c r="E846" s="423" t="s">
        <v>2818</v>
      </c>
      <c r="F846" s="423">
        <v>16</v>
      </c>
      <c r="G846" s="423">
        <v>64</v>
      </c>
      <c r="H846" s="423">
        <v>300</v>
      </c>
      <c r="J846" s="423"/>
      <c r="K846" s="423"/>
      <c r="L846" s="423"/>
      <c r="M846" s="423"/>
      <c r="Q846" s="423"/>
      <c r="R846" s="424" t="s">
        <v>5114</v>
      </c>
      <c r="S846" s="424" t="s">
        <v>2846</v>
      </c>
      <c r="T846" s="424" t="s">
        <v>3906</v>
      </c>
      <c r="U846" s="424">
        <v>0</v>
      </c>
      <c r="V846" s="424" t="s">
        <v>152</v>
      </c>
      <c r="W846" s="424" t="s">
        <v>3694</v>
      </c>
      <c r="X846" s="424">
        <v>0</v>
      </c>
      <c r="Y846" s="424" t="s">
        <v>3908</v>
      </c>
      <c r="Z846" s="424" t="s">
        <v>2872</v>
      </c>
      <c r="AA846" s="424" t="s">
        <v>3197</v>
      </c>
      <c r="AB846" s="424" t="s">
        <v>5115</v>
      </c>
      <c r="AC846" s="424" t="s">
        <v>3910</v>
      </c>
      <c r="AD846" s="424" t="s">
        <v>3911</v>
      </c>
      <c r="AE846" s="424" t="s">
        <v>3916</v>
      </c>
      <c r="AF846" s="424"/>
      <c r="AG846" s="424"/>
      <c r="AH846" s="424"/>
    </row>
    <row r="847" spans="1:34" x14ac:dyDescent="0.25">
      <c r="A847" s="423" t="s">
        <v>5109</v>
      </c>
      <c r="B847" s="423" t="s">
        <v>5116</v>
      </c>
      <c r="C847" s="423" t="s">
        <v>152</v>
      </c>
      <c r="D847" s="423" t="s">
        <v>5066</v>
      </c>
      <c r="E847" s="423" t="s">
        <v>2818</v>
      </c>
      <c r="F847" s="423">
        <v>16</v>
      </c>
      <c r="G847" s="423">
        <v>64</v>
      </c>
      <c r="H847" s="423">
        <v>300</v>
      </c>
      <c r="J847" s="423"/>
      <c r="K847" s="423"/>
      <c r="L847" s="423"/>
      <c r="M847" s="423"/>
      <c r="Q847" s="423"/>
      <c r="R847" s="424" t="s">
        <v>5117</v>
      </c>
      <c r="S847" s="424" t="s">
        <v>2846</v>
      </c>
      <c r="T847" s="424" t="s">
        <v>3906</v>
      </c>
      <c r="U847" s="424">
        <v>0</v>
      </c>
      <c r="V847" s="424" t="s">
        <v>152</v>
      </c>
      <c r="W847" s="424" t="s">
        <v>3694</v>
      </c>
      <c r="X847" s="424">
        <v>0</v>
      </c>
      <c r="Y847" s="424" t="s">
        <v>3908</v>
      </c>
      <c r="Z847" s="424" t="s">
        <v>2872</v>
      </c>
      <c r="AA847" s="424" t="s">
        <v>3197</v>
      </c>
      <c r="AB847" s="424" t="s">
        <v>5118</v>
      </c>
      <c r="AC847" s="424" t="s">
        <v>3910</v>
      </c>
      <c r="AD847" s="424" t="s">
        <v>3911</v>
      </c>
      <c r="AE847" s="424" t="s">
        <v>5103</v>
      </c>
      <c r="AF847" s="424"/>
      <c r="AG847" s="424"/>
      <c r="AH847" s="424"/>
    </row>
    <row r="848" spans="1:34" x14ac:dyDescent="0.25">
      <c r="A848" s="423" t="s">
        <v>5109</v>
      </c>
      <c r="B848" s="423" t="s">
        <v>5119</v>
      </c>
      <c r="C848" s="423" t="s">
        <v>152</v>
      </c>
      <c r="D848" s="423" t="s">
        <v>5066</v>
      </c>
      <c r="E848" s="423" t="s">
        <v>2818</v>
      </c>
      <c r="F848" s="423">
        <v>16</v>
      </c>
      <c r="G848" s="423">
        <v>64</v>
      </c>
      <c r="H848" s="423">
        <v>300</v>
      </c>
      <c r="J848" s="423"/>
      <c r="K848" s="423"/>
      <c r="L848" s="423"/>
      <c r="M848" s="423"/>
      <c r="Q848" s="423"/>
      <c r="R848" s="424" t="s">
        <v>5120</v>
      </c>
      <c r="S848" s="424" t="s">
        <v>2846</v>
      </c>
      <c r="T848" s="424" t="s">
        <v>3906</v>
      </c>
      <c r="U848" s="424">
        <v>0</v>
      </c>
      <c r="V848" s="424" t="s">
        <v>152</v>
      </c>
      <c r="W848" s="424" t="s">
        <v>3694</v>
      </c>
      <c r="X848" s="424">
        <v>0</v>
      </c>
      <c r="Y848" s="424" t="s">
        <v>3908</v>
      </c>
      <c r="Z848" s="424" t="s">
        <v>2872</v>
      </c>
      <c r="AA848" s="424" t="s">
        <v>3197</v>
      </c>
      <c r="AB848" s="424" t="s">
        <v>5084</v>
      </c>
      <c r="AC848" s="424" t="s">
        <v>3910</v>
      </c>
      <c r="AD848" s="424" t="s">
        <v>3911</v>
      </c>
      <c r="AE848" s="424" t="s">
        <v>3916</v>
      </c>
      <c r="AF848" s="424"/>
      <c r="AG848" s="424"/>
      <c r="AH848" s="424"/>
    </row>
    <row r="849" spans="1:34" x14ac:dyDescent="0.25">
      <c r="A849" s="423" t="s">
        <v>5109</v>
      </c>
      <c r="B849" s="423" t="s">
        <v>5121</v>
      </c>
      <c r="C849" s="423" t="s">
        <v>152</v>
      </c>
      <c r="D849" s="423" t="s">
        <v>5066</v>
      </c>
      <c r="E849" s="423" t="s">
        <v>2818</v>
      </c>
      <c r="F849" s="423">
        <v>16</v>
      </c>
      <c r="G849" s="423">
        <v>80</v>
      </c>
      <c r="H849" s="423">
        <v>300</v>
      </c>
      <c r="J849" s="423"/>
      <c r="K849" s="423"/>
      <c r="L849" s="423"/>
      <c r="M849" s="423"/>
      <c r="Q849" s="423"/>
      <c r="R849" s="424" t="s">
        <v>5122</v>
      </c>
      <c r="S849" s="424" t="s">
        <v>2846</v>
      </c>
      <c r="T849" s="424" t="s">
        <v>3906</v>
      </c>
      <c r="U849" s="424">
        <v>0</v>
      </c>
      <c r="V849" s="424" t="s">
        <v>152</v>
      </c>
      <c r="W849" s="424" t="s">
        <v>3694</v>
      </c>
      <c r="X849" s="424">
        <v>0</v>
      </c>
      <c r="Y849" s="424" t="s">
        <v>3908</v>
      </c>
      <c r="Z849" s="424" t="s">
        <v>2872</v>
      </c>
      <c r="AA849" s="424" t="s">
        <v>3197</v>
      </c>
      <c r="AB849" s="424" t="s">
        <v>5123</v>
      </c>
      <c r="AC849" s="424" t="s">
        <v>3910</v>
      </c>
      <c r="AD849" s="424" t="s">
        <v>3911</v>
      </c>
      <c r="AE849" s="424" t="s">
        <v>5103</v>
      </c>
      <c r="AF849" s="424"/>
      <c r="AG849" s="424"/>
      <c r="AH849" s="424"/>
    </row>
    <row r="850" spans="1:34" x14ac:dyDescent="0.25">
      <c r="A850" s="423" t="s">
        <v>5109</v>
      </c>
      <c r="B850" s="423" t="s">
        <v>5124</v>
      </c>
      <c r="C850" s="423" t="s">
        <v>152</v>
      </c>
      <c r="D850" s="423" t="s">
        <v>5066</v>
      </c>
      <c r="E850" s="423" t="s">
        <v>2818</v>
      </c>
      <c r="F850" s="423">
        <v>32</v>
      </c>
      <c r="G850" s="423">
        <v>96</v>
      </c>
      <c r="H850" s="423">
        <v>360</v>
      </c>
      <c r="J850" s="423"/>
      <c r="K850" s="423"/>
      <c r="L850" s="423"/>
      <c r="M850" s="423"/>
      <c r="Q850" s="423"/>
      <c r="R850" s="424" t="s">
        <v>5125</v>
      </c>
      <c r="S850" s="424" t="s">
        <v>2846</v>
      </c>
      <c r="T850" s="424" t="s">
        <v>3906</v>
      </c>
      <c r="U850" s="424">
        <v>0</v>
      </c>
      <c r="V850" s="424" t="s">
        <v>152</v>
      </c>
      <c r="W850" s="424" t="s">
        <v>3694</v>
      </c>
      <c r="X850" s="424">
        <v>0</v>
      </c>
      <c r="Y850" s="424" t="s">
        <v>3908</v>
      </c>
      <c r="Z850" s="424" t="s">
        <v>2872</v>
      </c>
      <c r="AA850" s="424" t="s">
        <v>3197</v>
      </c>
      <c r="AB850" s="424" t="s">
        <v>5123</v>
      </c>
      <c r="AC850" s="424" t="s">
        <v>3910</v>
      </c>
      <c r="AD850" s="424" t="s">
        <v>3911</v>
      </c>
      <c r="AE850" s="424" t="s">
        <v>5103</v>
      </c>
      <c r="AF850" s="424"/>
      <c r="AG850" s="424"/>
      <c r="AH850" s="424"/>
    </row>
    <row r="851" spans="1:34" x14ac:dyDescent="0.25">
      <c r="A851" s="423" t="s">
        <v>5109</v>
      </c>
      <c r="B851" s="423" t="s">
        <v>5126</v>
      </c>
      <c r="C851" s="423" t="s">
        <v>152</v>
      </c>
      <c r="D851" s="423" t="s">
        <v>5066</v>
      </c>
      <c r="E851" s="423" t="s">
        <v>2818</v>
      </c>
      <c r="F851" s="423">
        <v>32</v>
      </c>
      <c r="G851" s="423">
        <v>96</v>
      </c>
      <c r="H851" s="423">
        <v>2000</v>
      </c>
      <c r="J851" s="423"/>
      <c r="K851" s="423"/>
      <c r="L851" s="423"/>
      <c r="M851" s="423"/>
      <c r="Q851" s="423"/>
      <c r="R851" s="424" t="s">
        <v>5127</v>
      </c>
      <c r="S851" s="424" t="s">
        <v>2846</v>
      </c>
      <c r="T851" s="424" t="s">
        <v>3906</v>
      </c>
      <c r="U851" s="424">
        <v>0</v>
      </c>
      <c r="V851" s="424" t="s">
        <v>152</v>
      </c>
      <c r="W851" s="424" t="s">
        <v>3694</v>
      </c>
      <c r="X851" s="424">
        <v>0</v>
      </c>
      <c r="Y851" s="424" t="s">
        <v>3908</v>
      </c>
      <c r="Z851" s="424" t="s">
        <v>2872</v>
      </c>
      <c r="AA851" s="424" t="s">
        <v>3197</v>
      </c>
      <c r="AB851" s="424" t="s">
        <v>5128</v>
      </c>
      <c r="AC851" s="424" t="s">
        <v>3910</v>
      </c>
      <c r="AD851" s="424" t="s">
        <v>3911</v>
      </c>
      <c r="AE851" s="424" t="s">
        <v>3916</v>
      </c>
      <c r="AF851" s="424"/>
      <c r="AG851" s="424"/>
      <c r="AH851" s="424"/>
    </row>
    <row r="852" spans="1:34" x14ac:dyDescent="0.25">
      <c r="A852" s="423" t="s">
        <v>5109</v>
      </c>
      <c r="B852" s="423" t="s">
        <v>5129</v>
      </c>
      <c r="C852" s="423" t="s">
        <v>152</v>
      </c>
      <c r="D852" s="423" t="s">
        <v>5066</v>
      </c>
      <c r="E852" s="423" t="s">
        <v>2818</v>
      </c>
      <c r="F852" s="423">
        <v>32</v>
      </c>
      <c r="G852" s="423">
        <v>96</v>
      </c>
      <c r="H852" s="423">
        <v>390</v>
      </c>
      <c r="J852" s="423"/>
      <c r="K852" s="423"/>
      <c r="L852" s="423"/>
      <c r="M852" s="423"/>
      <c r="Q852" s="423"/>
      <c r="R852" s="424" t="s">
        <v>5130</v>
      </c>
      <c r="S852" s="424" t="s">
        <v>2846</v>
      </c>
      <c r="T852" s="424" t="s">
        <v>3906</v>
      </c>
      <c r="U852" s="424">
        <v>0</v>
      </c>
      <c r="V852" s="424" t="s">
        <v>152</v>
      </c>
      <c r="W852" s="424" t="s">
        <v>3694</v>
      </c>
      <c r="X852" s="424">
        <v>0</v>
      </c>
      <c r="Y852" s="424" t="s">
        <v>3908</v>
      </c>
      <c r="Z852" s="424" t="s">
        <v>2872</v>
      </c>
      <c r="AA852" s="424" t="s">
        <v>3197</v>
      </c>
      <c r="AB852" s="424" t="s">
        <v>5075</v>
      </c>
      <c r="AC852" s="424" t="s">
        <v>3910</v>
      </c>
      <c r="AD852" s="424" t="s">
        <v>3911</v>
      </c>
      <c r="AE852" s="424" t="s">
        <v>3912</v>
      </c>
      <c r="AF852" s="424"/>
      <c r="AG852" s="424"/>
      <c r="AH852" s="424"/>
    </row>
    <row r="853" spans="1:34" x14ac:dyDescent="0.25">
      <c r="A853" s="423" t="s">
        <v>5109</v>
      </c>
      <c r="B853" s="423" t="s">
        <v>5131</v>
      </c>
      <c r="C853" s="423" t="s">
        <v>152</v>
      </c>
      <c r="D853" s="423" t="s">
        <v>5066</v>
      </c>
      <c r="E853" s="423" t="s">
        <v>2818</v>
      </c>
      <c r="F853" s="423">
        <v>8</v>
      </c>
      <c r="G853" s="423">
        <v>58</v>
      </c>
      <c r="H853" s="423">
        <v>510</v>
      </c>
      <c r="J853" s="423"/>
      <c r="K853" s="423"/>
      <c r="L853" s="423"/>
      <c r="M853" s="423"/>
      <c r="Q853" s="423"/>
      <c r="R853" s="424" t="s">
        <v>5132</v>
      </c>
      <c r="S853" s="424" t="s">
        <v>2846</v>
      </c>
      <c r="T853" s="424" t="s">
        <v>3906</v>
      </c>
      <c r="U853" s="424">
        <v>0</v>
      </c>
      <c r="V853" s="424" t="s">
        <v>152</v>
      </c>
      <c r="W853" s="424" t="s">
        <v>3694</v>
      </c>
      <c r="X853" s="424">
        <v>0</v>
      </c>
      <c r="Y853" s="424" t="s">
        <v>3908</v>
      </c>
      <c r="Z853" s="424" t="s">
        <v>2872</v>
      </c>
      <c r="AA853" s="424" t="s">
        <v>3197</v>
      </c>
      <c r="AB853" s="424" t="s">
        <v>5123</v>
      </c>
      <c r="AC853" s="424" t="s">
        <v>3910</v>
      </c>
      <c r="AD853" s="424" t="s">
        <v>3911</v>
      </c>
      <c r="AE853" s="424" t="s">
        <v>5103</v>
      </c>
      <c r="AF853" s="424"/>
      <c r="AG853" s="424"/>
      <c r="AH853" s="424"/>
    </row>
    <row r="854" spans="1:34" x14ac:dyDescent="0.25">
      <c r="A854" s="423" t="s">
        <v>5109</v>
      </c>
      <c r="B854" s="423" t="s">
        <v>5133</v>
      </c>
      <c r="C854" s="423" t="s">
        <v>152</v>
      </c>
      <c r="D854" s="423" t="s">
        <v>5066</v>
      </c>
      <c r="E854" s="423" t="s">
        <v>2818</v>
      </c>
      <c r="F854" s="423">
        <v>8</v>
      </c>
      <c r="G854" s="423">
        <v>8</v>
      </c>
      <c r="H854" s="423">
        <v>1500</v>
      </c>
      <c r="J854" s="423"/>
      <c r="K854" s="423"/>
      <c r="L854" s="423"/>
      <c r="M854" s="423"/>
      <c r="Q854" s="423"/>
      <c r="R854" s="424" t="s">
        <v>5134</v>
      </c>
      <c r="S854" s="424" t="s">
        <v>2846</v>
      </c>
      <c r="T854" s="424" t="s">
        <v>3906</v>
      </c>
      <c r="U854" s="424">
        <v>0</v>
      </c>
      <c r="V854" s="424" t="s">
        <v>152</v>
      </c>
      <c r="W854" s="424" t="s">
        <v>3694</v>
      </c>
      <c r="X854" s="424">
        <v>0</v>
      </c>
      <c r="Y854" s="424" t="s">
        <v>3908</v>
      </c>
      <c r="Z854" s="424" t="s">
        <v>2872</v>
      </c>
      <c r="AA854" s="424" t="s">
        <v>3197</v>
      </c>
      <c r="AB854" s="424" t="s">
        <v>5135</v>
      </c>
      <c r="AC854" s="424" t="s">
        <v>3910</v>
      </c>
      <c r="AD854" s="424" t="s">
        <v>3911</v>
      </c>
      <c r="AE854" s="424" t="s">
        <v>3916</v>
      </c>
      <c r="AF854" s="424"/>
      <c r="AG854" s="424"/>
      <c r="AH854" s="424"/>
    </row>
    <row r="855" spans="1:34" x14ac:dyDescent="0.25">
      <c r="A855" s="423" t="s">
        <v>5109</v>
      </c>
      <c r="B855" s="423" t="s">
        <v>5136</v>
      </c>
      <c r="C855" s="423" t="s">
        <v>152</v>
      </c>
      <c r="D855" s="423" t="s">
        <v>5066</v>
      </c>
      <c r="E855" s="423" t="s">
        <v>2818</v>
      </c>
      <c r="F855" s="423">
        <v>8</v>
      </c>
      <c r="G855" s="423">
        <v>8</v>
      </c>
      <c r="H855" s="423">
        <v>2600</v>
      </c>
      <c r="J855" s="423"/>
      <c r="K855" s="423"/>
      <c r="L855" s="423"/>
      <c r="M855" s="423"/>
      <c r="Q855" s="423"/>
      <c r="R855" s="424" t="s">
        <v>5137</v>
      </c>
      <c r="S855" s="424" t="s">
        <v>2846</v>
      </c>
      <c r="T855" s="424" t="s">
        <v>3906</v>
      </c>
      <c r="U855" s="424">
        <v>0</v>
      </c>
      <c r="V855" s="424" t="s">
        <v>152</v>
      </c>
      <c r="W855" s="424" t="s">
        <v>3694</v>
      </c>
      <c r="X855" s="424">
        <v>0</v>
      </c>
      <c r="Y855" s="424" t="s">
        <v>3908</v>
      </c>
      <c r="Z855" s="424" t="s">
        <v>2872</v>
      </c>
      <c r="AA855" s="424" t="s">
        <v>3197</v>
      </c>
      <c r="AB855" s="424" t="s">
        <v>5128</v>
      </c>
      <c r="AC855" s="424" t="s">
        <v>3910</v>
      </c>
      <c r="AD855" s="424" t="s">
        <v>3911</v>
      </c>
      <c r="AE855" s="424" t="s">
        <v>3916</v>
      </c>
      <c r="AF855" s="424"/>
      <c r="AG855" s="424"/>
      <c r="AH855" s="424"/>
    </row>
    <row r="856" spans="1:34" x14ac:dyDescent="0.25">
      <c r="A856" s="423" t="s">
        <v>5109</v>
      </c>
      <c r="B856" s="423" t="s">
        <v>5138</v>
      </c>
      <c r="C856" s="423" t="s">
        <v>152</v>
      </c>
      <c r="D856" s="423" t="s">
        <v>5066</v>
      </c>
      <c r="E856" s="423" t="s">
        <v>2818</v>
      </c>
      <c r="F856" s="423">
        <v>8</v>
      </c>
      <c r="G856" s="423">
        <v>8</v>
      </c>
      <c r="H856" s="423">
        <v>2600</v>
      </c>
      <c r="J856" s="423"/>
      <c r="K856" s="423"/>
      <c r="L856" s="423"/>
      <c r="M856" s="423"/>
      <c r="Q856" s="423"/>
      <c r="R856" s="424" t="s">
        <v>5139</v>
      </c>
      <c r="S856" s="424" t="s">
        <v>2846</v>
      </c>
      <c r="T856" s="424" t="s">
        <v>3906</v>
      </c>
      <c r="U856" s="424">
        <v>0</v>
      </c>
      <c r="V856" s="424" t="s">
        <v>152</v>
      </c>
      <c r="W856" s="424" t="s">
        <v>3694</v>
      </c>
      <c r="X856" s="424">
        <v>0</v>
      </c>
      <c r="Y856" s="424" t="s">
        <v>3908</v>
      </c>
      <c r="Z856" s="424" t="s">
        <v>2872</v>
      </c>
      <c r="AA856" s="424" t="s">
        <v>3197</v>
      </c>
      <c r="AB856" s="424" t="s">
        <v>5075</v>
      </c>
      <c r="AC856" s="424" t="s">
        <v>3910</v>
      </c>
      <c r="AD856" s="424" t="s">
        <v>3911</v>
      </c>
      <c r="AE856" s="424" t="s">
        <v>3912</v>
      </c>
      <c r="AF856" s="424"/>
      <c r="AG856" s="424"/>
      <c r="AH856" s="424"/>
    </row>
    <row r="857" spans="1:34" x14ac:dyDescent="0.25">
      <c r="A857" s="423" t="s">
        <v>5109</v>
      </c>
      <c r="B857" s="423" t="s">
        <v>5140</v>
      </c>
      <c r="C857" s="423" t="s">
        <v>152</v>
      </c>
      <c r="D857" s="423" t="s">
        <v>5066</v>
      </c>
      <c r="E857" s="423" t="s">
        <v>2818</v>
      </c>
      <c r="F857" s="423">
        <v>8</v>
      </c>
      <c r="G857" s="423">
        <v>16</v>
      </c>
      <c r="H857" s="423">
        <v>2600</v>
      </c>
      <c r="J857" s="423"/>
      <c r="K857" s="423"/>
      <c r="L857" s="423"/>
      <c r="M857" s="423"/>
      <c r="Q857" s="423"/>
      <c r="R857" s="424" t="s">
        <v>5141</v>
      </c>
      <c r="S857" s="424" t="s">
        <v>2846</v>
      </c>
      <c r="T857" s="424" t="s">
        <v>3906</v>
      </c>
      <c r="U857" s="424">
        <v>0</v>
      </c>
      <c r="V857" s="424" t="s">
        <v>152</v>
      </c>
      <c r="W857" s="424" t="s">
        <v>3694</v>
      </c>
      <c r="X857" s="424">
        <v>0</v>
      </c>
      <c r="Y857" s="424" t="s">
        <v>3908</v>
      </c>
      <c r="Z857" s="424" t="s">
        <v>2872</v>
      </c>
      <c r="AA857" s="424" t="s">
        <v>3197</v>
      </c>
      <c r="AB857" s="424" t="s">
        <v>5084</v>
      </c>
      <c r="AC857" s="424" t="s">
        <v>3910</v>
      </c>
      <c r="AD857" s="424" t="s">
        <v>3911</v>
      </c>
      <c r="AE857" s="424" t="s">
        <v>3916</v>
      </c>
      <c r="AF857" s="424"/>
      <c r="AG857" s="424"/>
      <c r="AH857" s="424"/>
    </row>
    <row r="858" spans="1:34" x14ac:dyDescent="0.25">
      <c r="A858" s="423" t="s">
        <v>5142</v>
      </c>
      <c r="B858" s="423" t="s">
        <v>5143</v>
      </c>
      <c r="C858" s="423" t="s">
        <v>5144</v>
      </c>
      <c r="D858" s="423" t="s">
        <v>5145</v>
      </c>
      <c r="E858" s="423" t="s">
        <v>2818</v>
      </c>
      <c r="F858" s="423">
        <v>32</v>
      </c>
      <c r="G858" s="423">
        <v>42</v>
      </c>
      <c r="H858" s="423">
        <v>1200</v>
      </c>
      <c r="J858" s="423"/>
      <c r="K858" s="423"/>
      <c r="L858" s="423"/>
      <c r="M858" s="423"/>
      <c r="Q858" s="423"/>
      <c r="R858" s="424" t="s">
        <v>5146</v>
      </c>
      <c r="S858" s="424" t="s">
        <v>2846</v>
      </c>
      <c r="T858" s="424" t="s">
        <v>2870</v>
      </c>
      <c r="U858" s="424">
        <v>0</v>
      </c>
      <c r="V858" s="424" t="s">
        <v>3176</v>
      </c>
      <c r="W858" s="424" t="s">
        <v>2974</v>
      </c>
      <c r="X858" s="424" t="s">
        <v>2825</v>
      </c>
      <c r="Y858" s="424" t="s">
        <v>2279</v>
      </c>
      <c r="Z858" s="424" t="s">
        <v>2872</v>
      </c>
      <c r="AA858" s="424" t="s">
        <v>2873</v>
      </c>
      <c r="AB858" s="424" t="s">
        <v>4787</v>
      </c>
      <c r="AC858" s="424" t="s">
        <v>1953</v>
      </c>
      <c r="AD858" s="424" t="s">
        <v>2892</v>
      </c>
      <c r="AE858" s="424" t="s">
        <v>4219</v>
      </c>
      <c r="AF858" s="424"/>
      <c r="AG858" s="424"/>
      <c r="AH858" s="424"/>
    </row>
    <row r="859" spans="1:34" x14ac:dyDescent="0.25">
      <c r="A859" s="423" t="s">
        <v>5142</v>
      </c>
      <c r="B859" s="423" t="s">
        <v>5147</v>
      </c>
      <c r="C859" s="423" t="s">
        <v>5144</v>
      </c>
      <c r="D859" s="423" t="s">
        <v>5145</v>
      </c>
      <c r="E859" s="423" t="s">
        <v>2818</v>
      </c>
      <c r="F859" s="423">
        <v>32</v>
      </c>
      <c r="G859" s="423">
        <v>42</v>
      </c>
      <c r="H859" s="423">
        <v>1200</v>
      </c>
      <c r="J859" s="423"/>
      <c r="K859" s="423"/>
      <c r="L859" s="423"/>
      <c r="M859" s="423"/>
      <c r="Q859" s="423"/>
      <c r="R859" s="424" t="s">
        <v>5148</v>
      </c>
      <c r="S859" s="424" t="s">
        <v>2846</v>
      </c>
      <c r="T859" s="424" t="s">
        <v>2870</v>
      </c>
      <c r="U859" s="424">
        <v>0</v>
      </c>
      <c r="V859" s="424" t="s">
        <v>3176</v>
      </c>
      <c r="W859" s="424" t="s">
        <v>3074</v>
      </c>
      <c r="X859" s="424" t="s">
        <v>2825</v>
      </c>
      <c r="Y859" s="424" t="s">
        <v>2279</v>
      </c>
      <c r="Z859" s="424" t="s">
        <v>2872</v>
      </c>
      <c r="AA859" s="424" t="s">
        <v>2873</v>
      </c>
      <c r="AB859" s="424" t="s">
        <v>4222</v>
      </c>
      <c r="AC859" s="424" t="s">
        <v>1953</v>
      </c>
      <c r="AD859" s="424" t="s">
        <v>2892</v>
      </c>
      <c r="AE859" s="424" t="s">
        <v>2962</v>
      </c>
      <c r="AF859" s="424"/>
      <c r="AG859" s="424"/>
      <c r="AH859" s="424"/>
    </row>
    <row r="860" spans="1:34" x14ac:dyDescent="0.25">
      <c r="A860" s="423" t="s">
        <v>5142</v>
      </c>
      <c r="B860" s="423" t="s">
        <v>5149</v>
      </c>
      <c r="C860" s="423" t="s">
        <v>5144</v>
      </c>
      <c r="D860" s="423" t="s">
        <v>5145</v>
      </c>
      <c r="E860" s="423" t="s">
        <v>2818</v>
      </c>
      <c r="F860" s="423">
        <v>32</v>
      </c>
      <c r="G860" s="423">
        <v>42</v>
      </c>
      <c r="H860" s="423">
        <v>1200</v>
      </c>
      <c r="J860" s="423"/>
      <c r="K860" s="423"/>
      <c r="L860" s="423"/>
      <c r="M860" s="423"/>
      <c r="Q860" s="423"/>
      <c r="R860" s="424" t="s">
        <v>5150</v>
      </c>
      <c r="S860" s="424" t="s">
        <v>2846</v>
      </c>
      <c r="T860" s="424" t="s">
        <v>2870</v>
      </c>
      <c r="U860" s="424">
        <v>0</v>
      </c>
      <c r="V860" s="424" t="s">
        <v>3176</v>
      </c>
      <c r="W860" s="424" t="s">
        <v>2974</v>
      </c>
      <c r="X860" s="424" t="s">
        <v>2825</v>
      </c>
      <c r="Y860" s="424" t="s">
        <v>2279</v>
      </c>
      <c r="Z860" s="424" t="s">
        <v>2889</v>
      </c>
      <c r="AA860" s="424" t="s">
        <v>2890</v>
      </c>
      <c r="AB860" s="424" t="s">
        <v>5151</v>
      </c>
      <c r="AC860" s="424" t="s">
        <v>1953</v>
      </c>
      <c r="AD860" s="424" t="s">
        <v>2892</v>
      </c>
      <c r="AE860" s="424" t="s">
        <v>2940</v>
      </c>
      <c r="AF860" s="424"/>
      <c r="AG860" s="424"/>
      <c r="AH860" s="424"/>
    </row>
    <row r="861" spans="1:34" x14ac:dyDescent="0.25">
      <c r="A861" s="423" t="s">
        <v>5142</v>
      </c>
      <c r="B861" s="423" t="s">
        <v>5152</v>
      </c>
      <c r="C861" s="423" t="s">
        <v>5144</v>
      </c>
      <c r="D861" s="423" t="s">
        <v>5145</v>
      </c>
      <c r="E861" s="423" t="s">
        <v>2818</v>
      </c>
      <c r="F861" s="423">
        <v>32</v>
      </c>
      <c r="G861" s="423">
        <v>42</v>
      </c>
      <c r="H861" s="423">
        <v>1200</v>
      </c>
      <c r="J861" s="423"/>
      <c r="K861" s="423"/>
      <c r="L861" s="423"/>
      <c r="M861" s="423"/>
      <c r="Q861" s="423"/>
      <c r="R861" s="424" t="s">
        <v>5153</v>
      </c>
      <c r="S861" s="424" t="s">
        <v>2846</v>
      </c>
      <c r="T861" s="424" t="s">
        <v>2870</v>
      </c>
      <c r="U861" s="424">
        <v>0</v>
      </c>
      <c r="V861" s="424" t="s">
        <v>3176</v>
      </c>
      <c r="W861" s="424" t="s">
        <v>3074</v>
      </c>
      <c r="X861" s="424" t="s">
        <v>2825</v>
      </c>
      <c r="Y861" s="424" t="s">
        <v>2279</v>
      </c>
      <c r="Z861" s="424" t="s">
        <v>2872</v>
      </c>
      <c r="AA861" s="424" t="s">
        <v>2873</v>
      </c>
      <c r="AB861" s="424" t="s">
        <v>5154</v>
      </c>
      <c r="AC861" s="424" t="s">
        <v>1953</v>
      </c>
      <c r="AD861" s="424" t="s">
        <v>2892</v>
      </c>
      <c r="AE861" s="424" t="s">
        <v>2962</v>
      </c>
      <c r="AF861" s="424"/>
      <c r="AG861" s="424"/>
      <c r="AH861" s="424"/>
    </row>
    <row r="862" spans="1:34" x14ac:dyDescent="0.25">
      <c r="A862" s="423" t="s">
        <v>5142</v>
      </c>
      <c r="B862" s="423" t="s">
        <v>5155</v>
      </c>
      <c r="C862" s="423" t="s">
        <v>5144</v>
      </c>
      <c r="D862" s="423" t="s">
        <v>5145</v>
      </c>
      <c r="E862" s="423" t="s">
        <v>2818</v>
      </c>
      <c r="F862" s="423">
        <v>32</v>
      </c>
      <c r="G862" s="423">
        <v>64</v>
      </c>
      <c r="H862" s="423">
        <v>1200</v>
      </c>
      <c r="J862" s="423"/>
      <c r="K862" s="423"/>
      <c r="L862" s="423"/>
      <c r="M862" s="423"/>
      <c r="Q862" s="423"/>
      <c r="R862" s="424" t="s">
        <v>5156</v>
      </c>
      <c r="S862" s="424" t="s">
        <v>2846</v>
      </c>
      <c r="T862" s="424" t="s">
        <v>2870</v>
      </c>
      <c r="U862" s="424">
        <v>0</v>
      </c>
      <c r="V862" s="424" t="s">
        <v>3176</v>
      </c>
      <c r="W862" s="424" t="s">
        <v>2974</v>
      </c>
      <c r="X862" s="424" t="s">
        <v>2825</v>
      </c>
      <c r="Y862" s="424" t="s">
        <v>2279</v>
      </c>
      <c r="Z862" s="424" t="s">
        <v>2872</v>
      </c>
      <c r="AA862" s="424" t="s">
        <v>2873</v>
      </c>
      <c r="AB862" s="424" t="s">
        <v>4580</v>
      </c>
      <c r="AC862" s="424" t="s">
        <v>1953</v>
      </c>
      <c r="AD862" s="424" t="s">
        <v>2892</v>
      </c>
      <c r="AE862" s="424" t="s">
        <v>4219</v>
      </c>
      <c r="AF862" s="424"/>
      <c r="AG862" s="424"/>
      <c r="AH862" s="424"/>
    </row>
    <row r="863" spans="1:34" x14ac:dyDescent="0.25">
      <c r="A863" s="423" t="s">
        <v>5142</v>
      </c>
      <c r="B863" s="423" t="s">
        <v>5157</v>
      </c>
      <c r="C863" s="423" t="s">
        <v>5144</v>
      </c>
      <c r="D863" s="423" t="s">
        <v>5145</v>
      </c>
      <c r="E863" s="423" t="s">
        <v>2818</v>
      </c>
      <c r="F863" s="423">
        <v>32</v>
      </c>
      <c r="G863" s="423">
        <v>64</v>
      </c>
      <c r="H863" s="423">
        <v>1200</v>
      </c>
      <c r="J863" s="423"/>
      <c r="K863" s="423"/>
      <c r="L863" s="423"/>
      <c r="M863" s="423"/>
      <c r="Q863" s="423"/>
      <c r="R863" s="424" t="s">
        <v>5158</v>
      </c>
      <c r="S863" s="424" t="s">
        <v>2846</v>
      </c>
      <c r="T863" s="424" t="s">
        <v>2870</v>
      </c>
      <c r="U863" s="424">
        <v>0</v>
      </c>
      <c r="V863" s="424" t="s">
        <v>3176</v>
      </c>
      <c r="W863" s="424" t="s">
        <v>3074</v>
      </c>
      <c r="X863" s="424" t="s">
        <v>2825</v>
      </c>
      <c r="Y863" s="424" t="s">
        <v>2279</v>
      </c>
      <c r="Z863" s="424" t="s">
        <v>2872</v>
      </c>
      <c r="AA863" s="424" t="s">
        <v>2873</v>
      </c>
      <c r="AB863" s="424" t="s">
        <v>5159</v>
      </c>
      <c r="AC863" s="424" t="s">
        <v>1953</v>
      </c>
      <c r="AD863" s="424" t="s">
        <v>2892</v>
      </c>
      <c r="AE863" s="424" t="s">
        <v>2962</v>
      </c>
      <c r="AF863" s="424"/>
      <c r="AG863" s="424"/>
      <c r="AH863" s="424"/>
    </row>
    <row r="864" spans="1:34" x14ac:dyDescent="0.25">
      <c r="A864" s="423" t="s">
        <v>5142</v>
      </c>
      <c r="B864" s="423" t="s">
        <v>5160</v>
      </c>
      <c r="C864" s="423" t="s">
        <v>5144</v>
      </c>
      <c r="D864" s="423" t="s">
        <v>5145</v>
      </c>
      <c r="E864" s="423" t="s">
        <v>2818</v>
      </c>
      <c r="F864" s="423">
        <v>32</v>
      </c>
      <c r="G864" s="423">
        <v>64</v>
      </c>
      <c r="H864" s="423">
        <v>1200</v>
      </c>
      <c r="J864" s="423"/>
      <c r="K864" s="423"/>
      <c r="L864" s="423"/>
      <c r="M864" s="423"/>
      <c r="Q864" s="423"/>
      <c r="R864" s="424" t="s">
        <v>5161</v>
      </c>
      <c r="S864" s="424" t="s">
        <v>2846</v>
      </c>
      <c r="T864" s="424" t="s">
        <v>2870</v>
      </c>
      <c r="U864" s="424">
        <v>0</v>
      </c>
      <c r="V864" s="424" t="s">
        <v>3176</v>
      </c>
      <c r="W864" s="424" t="s">
        <v>2974</v>
      </c>
      <c r="X864" s="424" t="s">
        <v>2825</v>
      </c>
      <c r="Y864" s="424" t="s">
        <v>2279</v>
      </c>
      <c r="Z864" s="424" t="s">
        <v>2872</v>
      </c>
      <c r="AA864" s="424" t="s">
        <v>2873</v>
      </c>
      <c r="AB864" s="424" t="s">
        <v>4539</v>
      </c>
      <c r="AC864" s="424" t="s">
        <v>1953</v>
      </c>
      <c r="AD864" s="424" t="s">
        <v>2892</v>
      </c>
      <c r="AE864" s="424" t="s">
        <v>4540</v>
      </c>
      <c r="AF864" s="424"/>
      <c r="AG864" s="424"/>
      <c r="AH864" s="424"/>
    </row>
    <row r="865" spans="1:34" x14ac:dyDescent="0.25">
      <c r="A865" s="423" t="s">
        <v>5142</v>
      </c>
      <c r="B865" s="423" t="s">
        <v>5162</v>
      </c>
      <c r="C865" s="423" t="s">
        <v>5144</v>
      </c>
      <c r="D865" s="423" t="s">
        <v>5145</v>
      </c>
      <c r="E865" s="423" t="s">
        <v>2818</v>
      </c>
      <c r="F865" s="423">
        <v>32</v>
      </c>
      <c r="G865" s="423">
        <v>64</v>
      </c>
      <c r="H865" s="423">
        <v>1200</v>
      </c>
      <c r="J865" s="423"/>
      <c r="K865" s="423"/>
      <c r="L865" s="423"/>
      <c r="M865" s="423"/>
      <c r="Q865" s="423"/>
      <c r="R865" s="424" t="s">
        <v>5163</v>
      </c>
      <c r="S865" s="424" t="s">
        <v>2846</v>
      </c>
      <c r="T865" s="424" t="s">
        <v>2870</v>
      </c>
      <c r="U865" s="424">
        <v>0</v>
      </c>
      <c r="V865" s="424" t="s">
        <v>3176</v>
      </c>
      <c r="W865" s="424" t="s">
        <v>3074</v>
      </c>
      <c r="X865" s="424" t="s">
        <v>2825</v>
      </c>
      <c r="Y865" s="424" t="s">
        <v>2279</v>
      </c>
      <c r="Z865" s="424" t="s">
        <v>2872</v>
      </c>
      <c r="AA865" s="424" t="s">
        <v>2873</v>
      </c>
      <c r="AB865" s="424" t="s">
        <v>5164</v>
      </c>
      <c r="AC865" s="424" t="s">
        <v>1953</v>
      </c>
      <c r="AD865" s="424" t="s">
        <v>2892</v>
      </c>
      <c r="AE865" s="424" t="s">
        <v>2962</v>
      </c>
      <c r="AF865" s="424"/>
      <c r="AG865" s="424"/>
      <c r="AH865" s="424"/>
    </row>
    <row r="866" spans="1:34" x14ac:dyDescent="0.25">
      <c r="A866" s="423" t="s">
        <v>5142</v>
      </c>
      <c r="B866" s="423" t="s">
        <v>5165</v>
      </c>
      <c r="C866" s="423" t="s">
        <v>5144</v>
      </c>
      <c r="D866" s="423" t="s">
        <v>5145</v>
      </c>
      <c r="E866" s="423" t="s">
        <v>2818</v>
      </c>
      <c r="F866" s="423">
        <v>48</v>
      </c>
      <c r="G866" s="423">
        <v>196</v>
      </c>
      <c r="H866" s="423">
        <v>30700</v>
      </c>
      <c r="J866" s="423"/>
      <c r="K866" s="423"/>
      <c r="L866" s="423"/>
      <c r="M866" s="423"/>
      <c r="Q866" s="423"/>
      <c r="R866" s="424" t="s">
        <v>5165</v>
      </c>
      <c r="S866" s="424" t="s">
        <v>2820</v>
      </c>
      <c r="T866" s="424" t="s">
        <v>5166</v>
      </c>
      <c r="U866" s="424">
        <v>0</v>
      </c>
      <c r="V866" s="424" t="s">
        <v>2824</v>
      </c>
      <c r="W866" s="424" t="s">
        <v>2824</v>
      </c>
      <c r="X866" s="424" t="s">
        <v>2825</v>
      </c>
      <c r="Y866" s="424" t="s">
        <v>3983</v>
      </c>
      <c r="Z866" s="424" t="s">
        <v>2872</v>
      </c>
      <c r="AA866" s="424" t="s">
        <v>2873</v>
      </c>
      <c r="AB866" s="424" t="s">
        <v>5167</v>
      </c>
      <c r="AC866" s="424" t="s">
        <v>1953</v>
      </c>
      <c r="AD866" s="424" t="s">
        <v>2892</v>
      </c>
      <c r="AE866" s="424" t="s">
        <v>5168</v>
      </c>
      <c r="AF866" s="424"/>
      <c r="AG866" s="424"/>
      <c r="AH866" s="424"/>
    </row>
    <row r="867" spans="1:34" x14ac:dyDescent="0.25">
      <c r="A867" s="423" t="s">
        <v>5142</v>
      </c>
      <c r="B867" s="423" t="s">
        <v>5169</v>
      </c>
      <c r="C867" s="423" t="s">
        <v>5144</v>
      </c>
      <c r="D867" s="423" t="s">
        <v>5145</v>
      </c>
      <c r="E867" s="423" t="s">
        <v>2818</v>
      </c>
      <c r="F867" s="423">
        <v>48</v>
      </c>
      <c r="G867" s="423">
        <v>196</v>
      </c>
      <c r="H867" s="423">
        <v>30700</v>
      </c>
      <c r="J867" s="423"/>
      <c r="K867" s="423"/>
      <c r="L867" s="423"/>
      <c r="M867" s="423"/>
      <c r="Q867" s="423"/>
      <c r="R867" s="424" t="s">
        <v>5169</v>
      </c>
      <c r="S867" s="424" t="s">
        <v>2820</v>
      </c>
      <c r="T867" s="424" t="s">
        <v>5166</v>
      </c>
      <c r="U867" s="424">
        <v>0</v>
      </c>
      <c r="V867" s="424" t="s">
        <v>2824</v>
      </c>
      <c r="W867" s="424" t="s">
        <v>2824</v>
      </c>
      <c r="X867" s="424" t="s">
        <v>2825</v>
      </c>
      <c r="Y867" s="424" t="s">
        <v>3983</v>
      </c>
      <c r="Z867" s="424" t="s">
        <v>2872</v>
      </c>
      <c r="AA867" s="424" t="s">
        <v>2873</v>
      </c>
      <c r="AB867" s="424" t="s">
        <v>5170</v>
      </c>
      <c r="AC867" s="424" t="s">
        <v>1953</v>
      </c>
      <c r="AD867" s="424" t="s">
        <v>2892</v>
      </c>
      <c r="AE867" s="424" t="s">
        <v>5168</v>
      </c>
      <c r="AF867" s="424"/>
      <c r="AG867" s="424"/>
      <c r="AH867" s="424"/>
    </row>
    <row r="868" spans="1:34" x14ac:dyDescent="0.25">
      <c r="A868" s="423" t="s">
        <v>5142</v>
      </c>
      <c r="B868" s="423" t="s">
        <v>5171</v>
      </c>
      <c r="C868" s="423" t="s">
        <v>5144</v>
      </c>
      <c r="D868" s="423" t="s">
        <v>5145</v>
      </c>
      <c r="E868" s="423" t="s">
        <v>2818</v>
      </c>
      <c r="F868" s="423">
        <v>48</v>
      </c>
      <c r="G868" s="423">
        <v>196</v>
      </c>
      <c r="H868" s="423">
        <v>30700</v>
      </c>
      <c r="J868" s="423"/>
      <c r="K868" s="423"/>
      <c r="L868" s="423"/>
      <c r="M868" s="423"/>
      <c r="Q868" s="423"/>
      <c r="R868" s="424" t="s">
        <v>5171</v>
      </c>
      <c r="S868" s="424" t="s">
        <v>2820</v>
      </c>
      <c r="T868" s="424" t="s">
        <v>5166</v>
      </c>
      <c r="U868" s="424">
        <v>0</v>
      </c>
      <c r="V868" s="424" t="s">
        <v>2824</v>
      </c>
      <c r="W868" s="424" t="s">
        <v>2824</v>
      </c>
      <c r="X868" s="424" t="s">
        <v>2825</v>
      </c>
      <c r="Y868" s="424" t="s">
        <v>3983</v>
      </c>
      <c r="Z868" s="424" t="s">
        <v>2872</v>
      </c>
      <c r="AA868" s="424" t="s">
        <v>2873</v>
      </c>
      <c r="AB868" s="424" t="s">
        <v>5172</v>
      </c>
      <c r="AC868" s="424" t="s">
        <v>1953</v>
      </c>
      <c r="AD868" s="424" t="s">
        <v>2892</v>
      </c>
      <c r="AE868" s="424" t="s">
        <v>5173</v>
      </c>
      <c r="AF868" s="424"/>
      <c r="AG868" s="424"/>
      <c r="AH868" s="424"/>
    </row>
    <row r="869" spans="1:34" x14ac:dyDescent="0.25">
      <c r="A869" s="423" t="s">
        <v>5142</v>
      </c>
      <c r="B869" s="423" t="s">
        <v>5174</v>
      </c>
      <c r="C869" s="423" t="s">
        <v>5144</v>
      </c>
      <c r="D869" s="423" t="s">
        <v>5145</v>
      </c>
      <c r="E869" s="423" t="s">
        <v>2818</v>
      </c>
      <c r="F869" s="423">
        <v>16</v>
      </c>
      <c r="G869" s="423">
        <v>32</v>
      </c>
      <c r="H869" s="423">
        <v>1200</v>
      </c>
      <c r="J869" s="423"/>
      <c r="K869" s="423"/>
      <c r="L869" s="423"/>
      <c r="M869" s="423"/>
      <c r="Q869" s="423"/>
      <c r="R869" s="424" t="s">
        <v>5175</v>
      </c>
      <c r="S869" s="424" t="s">
        <v>2846</v>
      </c>
      <c r="T869" s="424" t="s">
        <v>3356</v>
      </c>
      <c r="U869" s="424">
        <v>0</v>
      </c>
      <c r="V869" s="424" t="s">
        <v>3055</v>
      </c>
      <c r="W869" s="424" t="s">
        <v>2871</v>
      </c>
      <c r="X869" s="424" t="s">
        <v>2825</v>
      </c>
      <c r="Y869" s="424" t="s">
        <v>2279</v>
      </c>
      <c r="Z869" s="424" t="s">
        <v>2889</v>
      </c>
      <c r="AA869" s="424" t="s">
        <v>2890</v>
      </c>
      <c r="AB869" s="424" t="s">
        <v>5176</v>
      </c>
      <c r="AC869" s="424" t="s">
        <v>1953</v>
      </c>
      <c r="AD869" s="424" t="s">
        <v>2892</v>
      </c>
      <c r="AE869" s="424" t="s">
        <v>4610</v>
      </c>
      <c r="AF869" s="424"/>
      <c r="AG869" s="424"/>
      <c r="AH869" s="424"/>
    </row>
    <row r="870" spans="1:34" x14ac:dyDescent="0.25">
      <c r="A870" s="423" t="s">
        <v>5142</v>
      </c>
      <c r="B870" s="423" t="s">
        <v>5177</v>
      </c>
      <c r="C870" s="423" t="s">
        <v>5144</v>
      </c>
      <c r="D870" s="423" t="s">
        <v>5145</v>
      </c>
      <c r="E870" s="423" t="s">
        <v>2818</v>
      </c>
      <c r="F870" s="423">
        <v>16</v>
      </c>
      <c r="G870" s="423">
        <v>64</v>
      </c>
      <c r="H870" s="423">
        <v>1200</v>
      </c>
      <c r="J870" s="423"/>
      <c r="K870" s="423"/>
      <c r="L870" s="423"/>
      <c r="M870" s="423"/>
      <c r="Q870" s="423"/>
      <c r="R870" s="424" t="s">
        <v>5178</v>
      </c>
      <c r="S870" s="424" t="s">
        <v>2846</v>
      </c>
      <c r="T870" s="424" t="s">
        <v>3356</v>
      </c>
      <c r="U870" s="424">
        <v>0</v>
      </c>
      <c r="V870" s="424" t="s">
        <v>3055</v>
      </c>
      <c r="W870" s="424" t="s">
        <v>3054</v>
      </c>
      <c r="X870" s="424" t="s">
        <v>2825</v>
      </c>
      <c r="Y870" s="424" t="s">
        <v>2279</v>
      </c>
      <c r="Z870" s="424" t="s">
        <v>2889</v>
      </c>
      <c r="AA870" s="424" t="s">
        <v>2890</v>
      </c>
      <c r="AB870" s="424" t="s">
        <v>4690</v>
      </c>
      <c r="AC870" s="424" t="s">
        <v>1953</v>
      </c>
      <c r="AD870" s="424" t="s">
        <v>2892</v>
      </c>
      <c r="AE870" s="424" t="s">
        <v>4627</v>
      </c>
      <c r="AF870" s="424"/>
      <c r="AG870" s="424"/>
      <c r="AH870" s="424"/>
    </row>
    <row r="871" spans="1:34" x14ac:dyDescent="0.25">
      <c r="A871" s="423" t="s">
        <v>5142</v>
      </c>
      <c r="B871" s="423" t="s">
        <v>5179</v>
      </c>
      <c r="C871" s="423" t="s">
        <v>5144</v>
      </c>
      <c r="D871" s="423" t="s">
        <v>5145</v>
      </c>
      <c r="E871" s="423" t="s">
        <v>2818</v>
      </c>
      <c r="F871" s="423">
        <v>16</v>
      </c>
      <c r="G871" s="423">
        <v>64</v>
      </c>
      <c r="H871" s="423">
        <v>1200</v>
      </c>
      <c r="J871" s="423"/>
      <c r="K871" s="423"/>
      <c r="L871" s="423"/>
      <c r="M871" s="423"/>
      <c r="Q871" s="423"/>
      <c r="R871" s="424" t="s">
        <v>5180</v>
      </c>
      <c r="S871" s="424" t="s">
        <v>2846</v>
      </c>
      <c r="T871" s="424" t="s">
        <v>3356</v>
      </c>
      <c r="U871" s="424">
        <v>0</v>
      </c>
      <c r="V871" s="424" t="s">
        <v>3055</v>
      </c>
      <c r="W871" s="424" t="s">
        <v>3176</v>
      </c>
      <c r="X871" s="424" t="s">
        <v>2825</v>
      </c>
      <c r="Y871" s="424" t="s">
        <v>2279</v>
      </c>
      <c r="Z871" s="424" t="s">
        <v>2889</v>
      </c>
      <c r="AA871" s="424" t="s">
        <v>2890</v>
      </c>
      <c r="AB871" s="424" t="s">
        <v>5181</v>
      </c>
      <c r="AC871" s="424" t="s">
        <v>1953</v>
      </c>
      <c r="AD871" s="424" t="s">
        <v>2892</v>
      </c>
      <c r="AE871" s="424" t="s">
        <v>4631</v>
      </c>
      <c r="AF871" s="424"/>
      <c r="AG871" s="424"/>
      <c r="AH871" s="424"/>
    </row>
    <row r="872" spans="1:34" x14ac:dyDescent="0.25">
      <c r="A872" s="423" t="s">
        <v>5142</v>
      </c>
      <c r="B872" s="423" t="s">
        <v>5182</v>
      </c>
      <c r="C872" s="423" t="s">
        <v>5144</v>
      </c>
      <c r="D872" s="423" t="s">
        <v>5145</v>
      </c>
      <c r="E872" s="423" t="s">
        <v>2818</v>
      </c>
      <c r="F872" s="423">
        <v>16</v>
      </c>
      <c r="G872" s="423">
        <v>64</v>
      </c>
      <c r="H872" s="423">
        <v>1200</v>
      </c>
      <c r="J872" s="423"/>
      <c r="K872" s="423"/>
      <c r="L872" s="423"/>
      <c r="M872" s="423"/>
      <c r="Q872" s="423"/>
      <c r="R872" s="424" t="s">
        <v>5183</v>
      </c>
      <c r="S872" s="424" t="s">
        <v>2846</v>
      </c>
      <c r="T872" s="424" t="s">
        <v>3356</v>
      </c>
      <c r="U872" s="424">
        <v>0</v>
      </c>
      <c r="V872" s="424" t="s">
        <v>3055</v>
      </c>
      <c r="W872" s="424" t="s">
        <v>3176</v>
      </c>
      <c r="X872" s="424" t="s">
        <v>2825</v>
      </c>
      <c r="Y872" s="424" t="s">
        <v>2279</v>
      </c>
      <c r="Z872" s="424" t="s">
        <v>2889</v>
      </c>
      <c r="AA872" s="424" t="s">
        <v>2890</v>
      </c>
      <c r="AB872" s="424" t="s">
        <v>4724</v>
      </c>
      <c r="AC872" s="424" t="s">
        <v>1953</v>
      </c>
      <c r="AD872" s="424" t="s">
        <v>2892</v>
      </c>
      <c r="AE872" s="424" t="s">
        <v>4614</v>
      </c>
      <c r="AF872" s="424"/>
      <c r="AG872" s="424"/>
      <c r="AH872" s="424"/>
    </row>
    <row r="873" spans="1:34" x14ac:dyDescent="0.25">
      <c r="A873" s="423" t="s">
        <v>5142</v>
      </c>
      <c r="B873" s="423" t="s">
        <v>5184</v>
      </c>
      <c r="C873" s="423" t="s">
        <v>5144</v>
      </c>
      <c r="D873" s="423" t="s">
        <v>5145</v>
      </c>
      <c r="E873" s="423" t="s">
        <v>2818</v>
      </c>
      <c r="F873" s="423">
        <v>16</v>
      </c>
      <c r="G873" s="423">
        <v>64</v>
      </c>
      <c r="H873" s="423">
        <v>1200</v>
      </c>
      <c r="J873" s="423"/>
      <c r="K873" s="423"/>
      <c r="L873" s="423"/>
      <c r="M873" s="423"/>
      <c r="Q873" s="423"/>
      <c r="R873" s="424" t="s">
        <v>5185</v>
      </c>
      <c r="S873" s="424" t="s">
        <v>2846</v>
      </c>
      <c r="T873" s="424" t="s">
        <v>3356</v>
      </c>
      <c r="U873" s="424">
        <v>0</v>
      </c>
      <c r="V873" s="424" t="s">
        <v>3055</v>
      </c>
      <c r="W873" s="424" t="s">
        <v>2974</v>
      </c>
      <c r="X873" s="424" t="s">
        <v>2825</v>
      </c>
      <c r="Y873" s="424" t="s">
        <v>2279</v>
      </c>
      <c r="Z873" s="424" t="s">
        <v>2889</v>
      </c>
      <c r="AA873" s="424" t="s">
        <v>2890</v>
      </c>
      <c r="AB873" s="424" t="s">
        <v>5186</v>
      </c>
      <c r="AC873" s="424" t="s">
        <v>1953</v>
      </c>
      <c r="AD873" s="424" t="s">
        <v>2892</v>
      </c>
      <c r="AE873" s="424" t="s">
        <v>4645</v>
      </c>
      <c r="AF873" s="424"/>
      <c r="AG873" s="424"/>
      <c r="AH873" s="424"/>
    </row>
    <row r="874" spans="1:34" x14ac:dyDescent="0.25">
      <c r="A874" s="423" t="s">
        <v>5142</v>
      </c>
      <c r="B874" s="423" t="s">
        <v>5187</v>
      </c>
      <c r="C874" s="423" t="s">
        <v>5144</v>
      </c>
      <c r="D874" s="423" t="s">
        <v>5145</v>
      </c>
      <c r="E874" s="423" t="s">
        <v>2818</v>
      </c>
      <c r="F874" s="423">
        <v>16</v>
      </c>
      <c r="G874" s="423">
        <v>64</v>
      </c>
      <c r="H874" s="423">
        <v>1200</v>
      </c>
      <c r="J874" s="423"/>
      <c r="K874" s="423"/>
      <c r="L874" s="423"/>
      <c r="M874" s="423"/>
      <c r="Q874" s="423"/>
      <c r="R874" s="424" t="s">
        <v>5188</v>
      </c>
      <c r="S874" s="424" t="s">
        <v>2846</v>
      </c>
      <c r="T874" s="424" t="s">
        <v>3356</v>
      </c>
      <c r="U874" s="424">
        <v>0</v>
      </c>
      <c r="V874" s="424" t="s">
        <v>3055</v>
      </c>
      <c r="W874" s="424" t="s">
        <v>3176</v>
      </c>
      <c r="X874" s="424" t="s">
        <v>2825</v>
      </c>
      <c r="Y874" s="424" t="s">
        <v>2279</v>
      </c>
      <c r="Z874" s="424" t="s">
        <v>2889</v>
      </c>
      <c r="AA874" s="424" t="s">
        <v>2890</v>
      </c>
      <c r="AB874" s="424" t="s">
        <v>4675</v>
      </c>
      <c r="AC874" s="424" t="s">
        <v>1953</v>
      </c>
      <c r="AD874" s="424" t="s">
        <v>2892</v>
      </c>
      <c r="AE874" s="424" t="s">
        <v>4614</v>
      </c>
      <c r="AF874" s="424"/>
      <c r="AG874" s="424"/>
      <c r="AH874" s="424"/>
    </row>
    <row r="875" spans="1:34" x14ac:dyDescent="0.25">
      <c r="A875" s="423" t="s">
        <v>5142</v>
      </c>
      <c r="B875" s="423" t="s">
        <v>5189</v>
      </c>
      <c r="C875" s="423" t="s">
        <v>5144</v>
      </c>
      <c r="D875" s="423" t="s">
        <v>5145</v>
      </c>
      <c r="E875" s="423" t="s">
        <v>2818</v>
      </c>
      <c r="F875" s="423">
        <v>16</v>
      </c>
      <c r="G875" s="423">
        <v>64</v>
      </c>
      <c r="H875" s="423">
        <v>1200</v>
      </c>
      <c r="J875" s="423"/>
      <c r="K875" s="423"/>
      <c r="L875" s="423"/>
      <c r="M875" s="423"/>
      <c r="Q875" s="423"/>
      <c r="R875" s="424" t="s">
        <v>5190</v>
      </c>
      <c r="S875" s="424" t="s">
        <v>2846</v>
      </c>
      <c r="T875" s="424" t="s">
        <v>3356</v>
      </c>
      <c r="U875" s="424">
        <v>0</v>
      </c>
      <c r="V875" s="424" t="s">
        <v>3055</v>
      </c>
      <c r="W875" s="424" t="s">
        <v>3176</v>
      </c>
      <c r="X875" s="424" t="s">
        <v>2825</v>
      </c>
      <c r="Y875" s="424" t="s">
        <v>2279</v>
      </c>
      <c r="Z875" s="424" t="s">
        <v>2889</v>
      </c>
      <c r="AA875" s="424" t="s">
        <v>2890</v>
      </c>
      <c r="AB875" s="424" t="s">
        <v>5181</v>
      </c>
      <c r="AC875" s="424" t="s">
        <v>1953</v>
      </c>
      <c r="AD875" s="424" t="s">
        <v>2892</v>
      </c>
      <c r="AE875" s="424" t="s">
        <v>4631</v>
      </c>
      <c r="AF875" s="424"/>
      <c r="AG875" s="424"/>
      <c r="AH875" s="424"/>
    </row>
    <row r="876" spans="1:34" x14ac:dyDescent="0.25">
      <c r="A876" s="423" t="s">
        <v>5142</v>
      </c>
      <c r="B876" s="423" t="s">
        <v>5191</v>
      </c>
      <c r="C876" s="423" t="s">
        <v>5144</v>
      </c>
      <c r="D876" s="423" t="s">
        <v>5145</v>
      </c>
      <c r="E876" s="423" t="s">
        <v>2818</v>
      </c>
      <c r="F876" s="423">
        <v>16</v>
      </c>
      <c r="G876" s="423">
        <v>64</v>
      </c>
      <c r="H876" s="423">
        <v>1200</v>
      </c>
      <c r="J876" s="423"/>
      <c r="K876" s="423"/>
      <c r="L876" s="423"/>
      <c r="M876" s="423"/>
      <c r="Q876" s="423"/>
      <c r="R876" s="424" t="s">
        <v>5192</v>
      </c>
      <c r="S876" s="424" t="s">
        <v>2846</v>
      </c>
      <c r="T876" s="424" t="s">
        <v>3356</v>
      </c>
      <c r="U876" s="424">
        <v>0</v>
      </c>
      <c r="V876" s="424" t="s">
        <v>3055</v>
      </c>
      <c r="W876" s="424" t="s">
        <v>3176</v>
      </c>
      <c r="X876" s="424" t="s">
        <v>2825</v>
      </c>
      <c r="Y876" s="424" t="s">
        <v>2279</v>
      </c>
      <c r="Z876" s="424" t="s">
        <v>2889</v>
      </c>
      <c r="AA876" s="424" t="s">
        <v>2890</v>
      </c>
      <c r="AB876" s="424" t="s">
        <v>4648</v>
      </c>
      <c r="AC876" s="424" t="s">
        <v>1953</v>
      </c>
      <c r="AD876" s="424" t="s">
        <v>2892</v>
      </c>
      <c r="AE876" s="424" t="s">
        <v>4614</v>
      </c>
      <c r="AF876" s="424"/>
      <c r="AG876" s="424"/>
      <c r="AH876" s="424"/>
    </row>
    <row r="877" spans="1:34" x14ac:dyDescent="0.25">
      <c r="A877" s="423" t="s">
        <v>5142</v>
      </c>
      <c r="B877" s="423" t="s">
        <v>5193</v>
      </c>
      <c r="C877" s="423" t="s">
        <v>5144</v>
      </c>
      <c r="D877" s="423" t="s">
        <v>5145</v>
      </c>
      <c r="E877" s="423" t="s">
        <v>2818</v>
      </c>
      <c r="F877" s="423">
        <v>16</v>
      </c>
      <c r="G877" s="423">
        <v>64</v>
      </c>
      <c r="H877" s="423">
        <v>1200</v>
      </c>
      <c r="J877" s="423"/>
      <c r="K877" s="423"/>
      <c r="L877" s="423"/>
      <c r="M877" s="423"/>
      <c r="Q877" s="423"/>
      <c r="R877" s="424" t="s">
        <v>5194</v>
      </c>
      <c r="S877" s="424" t="s">
        <v>2846</v>
      </c>
      <c r="T877" s="424" t="s">
        <v>3356</v>
      </c>
      <c r="U877" s="424">
        <v>0</v>
      </c>
      <c r="V877" s="424" t="s">
        <v>3055</v>
      </c>
      <c r="W877" s="424" t="s">
        <v>2974</v>
      </c>
      <c r="X877" s="424" t="s">
        <v>2825</v>
      </c>
      <c r="Y877" s="424" t="s">
        <v>2279</v>
      </c>
      <c r="Z877" s="424" t="s">
        <v>2889</v>
      </c>
      <c r="AA877" s="424" t="s">
        <v>2890</v>
      </c>
      <c r="AB877" s="424" t="s">
        <v>5195</v>
      </c>
      <c r="AC877" s="424" t="s">
        <v>1953</v>
      </c>
      <c r="AD877" s="424" t="s">
        <v>2892</v>
      </c>
      <c r="AE877" s="424" t="s">
        <v>4610</v>
      </c>
      <c r="AF877" s="424"/>
      <c r="AG877" s="424"/>
      <c r="AH877" s="424"/>
    </row>
    <row r="878" spans="1:34" x14ac:dyDescent="0.25">
      <c r="A878" s="423" t="s">
        <v>5142</v>
      </c>
      <c r="B878" s="423" t="s">
        <v>5196</v>
      </c>
      <c r="C878" s="423" t="s">
        <v>5144</v>
      </c>
      <c r="D878" s="423" t="s">
        <v>5145</v>
      </c>
      <c r="E878" s="423" t="s">
        <v>2818</v>
      </c>
      <c r="F878" s="423">
        <v>16</v>
      </c>
      <c r="G878" s="423">
        <v>64</v>
      </c>
      <c r="H878" s="423">
        <v>1200</v>
      </c>
      <c r="J878" s="423"/>
      <c r="K878" s="423"/>
      <c r="L878" s="423"/>
      <c r="M878" s="423"/>
      <c r="Q878" s="423"/>
      <c r="R878" s="424" t="s">
        <v>5197</v>
      </c>
      <c r="S878" s="424" t="s">
        <v>2846</v>
      </c>
      <c r="T878" s="424" t="s">
        <v>3356</v>
      </c>
      <c r="U878" s="424">
        <v>0</v>
      </c>
      <c r="V878" s="424" t="s">
        <v>3055</v>
      </c>
      <c r="W878" s="424" t="s">
        <v>2974</v>
      </c>
      <c r="X878" s="424" t="s">
        <v>2825</v>
      </c>
      <c r="Y878" s="424" t="s">
        <v>2279</v>
      </c>
      <c r="Z878" s="424" t="s">
        <v>2889</v>
      </c>
      <c r="AA878" s="424" t="s">
        <v>2890</v>
      </c>
      <c r="AB878" s="424" t="s">
        <v>4617</v>
      </c>
      <c r="AC878" s="424" t="s">
        <v>1953</v>
      </c>
      <c r="AD878" s="424" t="s">
        <v>2892</v>
      </c>
      <c r="AE878" s="424" t="s">
        <v>2893</v>
      </c>
      <c r="AF878" s="424"/>
      <c r="AG878" s="424"/>
      <c r="AH878" s="424"/>
    </row>
    <row r="879" spans="1:34" x14ac:dyDescent="0.25">
      <c r="A879" s="423" t="s">
        <v>5142</v>
      </c>
      <c r="B879" s="423" t="s">
        <v>5198</v>
      </c>
      <c r="C879" s="423" t="s">
        <v>5144</v>
      </c>
      <c r="D879" s="423" t="s">
        <v>5145</v>
      </c>
      <c r="E879" s="423" t="s">
        <v>2818</v>
      </c>
      <c r="F879" s="423">
        <v>16</v>
      </c>
      <c r="G879" s="423">
        <v>64</v>
      </c>
      <c r="H879" s="423">
        <v>1200</v>
      </c>
      <c r="J879" s="423"/>
      <c r="K879" s="423"/>
      <c r="L879" s="423"/>
      <c r="M879" s="423"/>
      <c r="Q879" s="423"/>
      <c r="R879" s="424" t="s">
        <v>5199</v>
      </c>
      <c r="S879" s="424" t="s">
        <v>2846</v>
      </c>
      <c r="T879" s="424" t="s">
        <v>3356</v>
      </c>
      <c r="U879" s="424">
        <v>0</v>
      </c>
      <c r="V879" s="424" t="s">
        <v>3055</v>
      </c>
      <c r="W879" s="424" t="s">
        <v>2871</v>
      </c>
      <c r="X879" s="424" t="s">
        <v>2825</v>
      </c>
      <c r="Y879" s="424" t="s">
        <v>2279</v>
      </c>
      <c r="Z879" s="424" t="s">
        <v>2889</v>
      </c>
      <c r="AA879" s="424" t="s">
        <v>2890</v>
      </c>
      <c r="AB879" s="424" t="s">
        <v>5176</v>
      </c>
      <c r="AC879" s="424" t="s">
        <v>1953</v>
      </c>
      <c r="AD879" s="424" t="s">
        <v>2892</v>
      </c>
      <c r="AE879" s="424" t="s">
        <v>4610</v>
      </c>
      <c r="AF879" s="424"/>
      <c r="AG879" s="424"/>
      <c r="AH879" s="424"/>
    </row>
    <row r="880" spans="1:34" x14ac:dyDescent="0.25">
      <c r="A880" s="423" t="s">
        <v>5142</v>
      </c>
      <c r="B880" s="423" t="s">
        <v>5200</v>
      </c>
      <c r="C880" s="423" t="s">
        <v>5144</v>
      </c>
      <c r="D880" s="423" t="s">
        <v>5145</v>
      </c>
      <c r="E880" s="423" t="s">
        <v>2818</v>
      </c>
      <c r="F880" s="423">
        <v>16</v>
      </c>
      <c r="G880" s="423">
        <v>64</v>
      </c>
      <c r="H880" s="423">
        <v>1200</v>
      </c>
      <c r="J880" s="423"/>
      <c r="K880" s="423"/>
      <c r="L880" s="423"/>
      <c r="M880" s="423"/>
      <c r="Q880" s="423"/>
      <c r="R880" s="424" t="s">
        <v>5201</v>
      </c>
      <c r="S880" s="424" t="s">
        <v>2846</v>
      </c>
      <c r="T880" s="424" t="s">
        <v>3356</v>
      </c>
      <c r="U880" s="424">
        <v>0</v>
      </c>
      <c r="V880" s="424" t="s">
        <v>3055</v>
      </c>
      <c r="W880" s="424" t="s">
        <v>2974</v>
      </c>
      <c r="X880" s="424" t="s">
        <v>2825</v>
      </c>
      <c r="Y880" s="424" t="s">
        <v>2279</v>
      </c>
      <c r="Z880" s="424" t="s">
        <v>2889</v>
      </c>
      <c r="AA880" s="424" t="s">
        <v>2890</v>
      </c>
      <c r="AB880" s="424" t="s">
        <v>4666</v>
      </c>
      <c r="AC880" s="424" t="s">
        <v>1953</v>
      </c>
      <c r="AD880" s="424" t="s">
        <v>2892</v>
      </c>
      <c r="AE880" s="424" t="s">
        <v>4641</v>
      </c>
      <c r="AF880" s="424"/>
      <c r="AG880" s="424"/>
      <c r="AH880" s="424"/>
    </row>
    <row r="881" spans="1:34" x14ac:dyDescent="0.25">
      <c r="A881" s="423" t="s">
        <v>5142</v>
      </c>
      <c r="B881" s="423" t="s">
        <v>5202</v>
      </c>
      <c r="C881" s="423" t="s">
        <v>5144</v>
      </c>
      <c r="D881" s="423" t="s">
        <v>5145</v>
      </c>
      <c r="E881" s="423" t="s">
        <v>2818</v>
      </c>
      <c r="F881" s="423">
        <v>16</v>
      </c>
      <c r="G881" s="423">
        <v>64</v>
      </c>
      <c r="H881" s="423">
        <v>1200</v>
      </c>
      <c r="J881" s="423"/>
      <c r="K881" s="423"/>
      <c r="L881" s="423"/>
      <c r="M881" s="423"/>
      <c r="Q881" s="423"/>
      <c r="R881" s="424" t="s">
        <v>5203</v>
      </c>
      <c r="S881" s="424" t="s">
        <v>2846</v>
      </c>
      <c r="T881" s="424" t="s">
        <v>3356</v>
      </c>
      <c r="U881" s="424">
        <v>0</v>
      </c>
      <c r="V881" s="424" t="s">
        <v>3055</v>
      </c>
      <c r="W881" s="424" t="s">
        <v>2974</v>
      </c>
      <c r="X881" s="424" t="s">
        <v>2825</v>
      </c>
      <c r="Y881" s="424" t="s">
        <v>2279</v>
      </c>
      <c r="Z881" s="424" t="s">
        <v>2889</v>
      </c>
      <c r="AA881" s="424" t="s">
        <v>2890</v>
      </c>
      <c r="AB881" s="424" t="s">
        <v>5204</v>
      </c>
      <c r="AC881" s="424" t="s">
        <v>1953</v>
      </c>
      <c r="AD881" s="424" t="s">
        <v>2892</v>
      </c>
      <c r="AE881" s="424" t="s">
        <v>4610</v>
      </c>
      <c r="AF881" s="424"/>
      <c r="AG881" s="424"/>
      <c r="AH881" s="424"/>
    </row>
    <row r="882" spans="1:34" x14ac:dyDescent="0.25">
      <c r="A882" s="423" t="s">
        <v>5142</v>
      </c>
      <c r="B882" s="423" t="s">
        <v>5205</v>
      </c>
      <c r="C882" s="423" t="s">
        <v>5144</v>
      </c>
      <c r="D882" s="423" t="s">
        <v>5145</v>
      </c>
      <c r="E882" s="423" t="s">
        <v>2818</v>
      </c>
      <c r="F882" s="423">
        <v>16</v>
      </c>
      <c r="G882" s="423">
        <v>64</v>
      </c>
      <c r="H882" s="423">
        <v>1200</v>
      </c>
      <c r="J882" s="423"/>
      <c r="K882" s="423"/>
      <c r="L882" s="423"/>
      <c r="M882" s="423"/>
      <c r="Q882" s="423"/>
      <c r="R882" s="424" t="s">
        <v>5206</v>
      </c>
      <c r="S882" s="424" t="s">
        <v>2846</v>
      </c>
      <c r="T882" s="424" t="s">
        <v>3356</v>
      </c>
      <c r="U882" s="424">
        <v>0</v>
      </c>
      <c r="V882" s="424" t="s">
        <v>3055</v>
      </c>
      <c r="W882" s="424" t="s">
        <v>3054</v>
      </c>
      <c r="X882" s="424" t="s">
        <v>2825</v>
      </c>
      <c r="Y882" s="424" t="s">
        <v>2279</v>
      </c>
      <c r="Z882" s="424" t="s">
        <v>2889</v>
      </c>
      <c r="AA882" s="424" t="s">
        <v>2890</v>
      </c>
      <c r="AB882" s="424" t="s">
        <v>4690</v>
      </c>
      <c r="AC882" s="424" t="s">
        <v>1953</v>
      </c>
      <c r="AD882" s="424" t="s">
        <v>2892</v>
      </c>
      <c r="AE882" s="424" t="s">
        <v>4627</v>
      </c>
      <c r="AF882" s="424"/>
      <c r="AG882" s="424"/>
      <c r="AH882" s="424"/>
    </row>
    <row r="883" spans="1:34" x14ac:dyDescent="0.25">
      <c r="A883" s="423" t="s">
        <v>5142</v>
      </c>
      <c r="B883" s="423" t="s">
        <v>5207</v>
      </c>
      <c r="C883" s="423" t="s">
        <v>5144</v>
      </c>
      <c r="D883" s="423" t="s">
        <v>5145</v>
      </c>
      <c r="E883" s="423" t="s">
        <v>2818</v>
      </c>
      <c r="F883" s="423">
        <v>8</v>
      </c>
      <c r="G883" s="423">
        <v>64</v>
      </c>
      <c r="H883" s="423">
        <v>1200</v>
      </c>
      <c r="J883" s="423"/>
      <c r="K883" s="423"/>
      <c r="L883" s="423"/>
      <c r="M883" s="423"/>
      <c r="Q883" s="423"/>
      <c r="R883" s="424" t="s">
        <v>5208</v>
      </c>
      <c r="S883" s="424" t="s">
        <v>2846</v>
      </c>
      <c r="T883" s="424" t="s">
        <v>3356</v>
      </c>
      <c r="U883" s="424">
        <v>0</v>
      </c>
      <c r="V883" s="424" t="s">
        <v>3055</v>
      </c>
      <c r="W883" s="424" t="s">
        <v>3176</v>
      </c>
      <c r="X883" s="424" t="s">
        <v>2825</v>
      </c>
      <c r="Y883" s="424" t="s">
        <v>2279</v>
      </c>
      <c r="Z883" s="424" t="s">
        <v>2889</v>
      </c>
      <c r="AA883" s="424" t="s">
        <v>2890</v>
      </c>
      <c r="AB883" s="424" t="s">
        <v>4669</v>
      </c>
      <c r="AC883" s="424" t="s">
        <v>1953</v>
      </c>
      <c r="AD883" s="424" t="s">
        <v>2892</v>
      </c>
      <c r="AE883" s="424" t="s">
        <v>4627</v>
      </c>
      <c r="AF883" s="424"/>
      <c r="AG883" s="424"/>
      <c r="AH883" s="424"/>
    </row>
    <row r="884" spans="1:34" x14ac:dyDescent="0.25">
      <c r="A884" s="423" t="s">
        <v>5142</v>
      </c>
      <c r="B884" s="423" t="s">
        <v>5209</v>
      </c>
      <c r="C884" s="423" t="s">
        <v>5144</v>
      </c>
      <c r="D884" s="423" t="s">
        <v>5145</v>
      </c>
      <c r="E884" s="423" t="s">
        <v>2818</v>
      </c>
      <c r="F884" s="423">
        <v>8</v>
      </c>
      <c r="G884" s="423">
        <v>64</v>
      </c>
      <c r="H884" s="423">
        <v>1200</v>
      </c>
      <c r="J884" s="423"/>
      <c r="K884" s="423"/>
      <c r="L884" s="423"/>
      <c r="M884" s="423"/>
      <c r="Q884" s="423"/>
      <c r="R884" s="424" t="s">
        <v>5210</v>
      </c>
      <c r="S884" s="424" t="s">
        <v>2846</v>
      </c>
      <c r="T884" s="424" t="s">
        <v>3356</v>
      </c>
      <c r="U884" s="424">
        <v>0</v>
      </c>
      <c r="V884" s="424" t="s">
        <v>3055</v>
      </c>
      <c r="W884" s="424" t="s">
        <v>2974</v>
      </c>
      <c r="X884" s="424" t="s">
        <v>2825</v>
      </c>
      <c r="Y884" s="424" t="s">
        <v>2279</v>
      </c>
      <c r="Z884" s="424" t="s">
        <v>2889</v>
      </c>
      <c r="AA884" s="424" t="s">
        <v>2890</v>
      </c>
      <c r="AB884" s="424" t="s">
        <v>5211</v>
      </c>
      <c r="AC884" s="424" t="s">
        <v>1953</v>
      </c>
      <c r="AD884" s="424" t="s">
        <v>2892</v>
      </c>
      <c r="AE884" s="424" t="s">
        <v>4610</v>
      </c>
      <c r="AF884" s="424"/>
      <c r="AG884" s="424"/>
      <c r="AH884" s="424"/>
    </row>
    <row r="885" spans="1:34" x14ac:dyDescent="0.25">
      <c r="A885" s="423" t="s">
        <v>5142</v>
      </c>
      <c r="B885" s="423" t="s">
        <v>5212</v>
      </c>
      <c r="C885" s="423" t="s">
        <v>5144</v>
      </c>
      <c r="D885" s="423" t="s">
        <v>5145</v>
      </c>
      <c r="E885" s="423" t="s">
        <v>2818</v>
      </c>
      <c r="F885" s="423">
        <v>8</v>
      </c>
      <c r="G885" s="423">
        <v>64</v>
      </c>
      <c r="H885" s="423">
        <v>1200</v>
      </c>
      <c r="J885" s="423"/>
      <c r="K885" s="423"/>
      <c r="L885" s="423"/>
      <c r="M885" s="423"/>
      <c r="Q885" s="423"/>
      <c r="R885" s="424" t="s">
        <v>5213</v>
      </c>
      <c r="S885" s="424" t="s">
        <v>2846</v>
      </c>
      <c r="T885" s="424" t="s">
        <v>3356</v>
      </c>
      <c r="U885" s="424">
        <v>0</v>
      </c>
      <c r="V885" s="424" t="s">
        <v>3055</v>
      </c>
      <c r="W885" s="424" t="s">
        <v>3176</v>
      </c>
      <c r="X885" s="424" t="s">
        <v>2825</v>
      </c>
      <c r="Y885" s="424" t="s">
        <v>2279</v>
      </c>
      <c r="Z885" s="424" t="s">
        <v>2889</v>
      </c>
      <c r="AA885" s="424" t="s">
        <v>2890</v>
      </c>
      <c r="AB885" s="424" t="s">
        <v>5214</v>
      </c>
      <c r="AC885" s="424" t="s">
        <v>1953</v>
      </c>
      <c r="AD885" s="424" t="s">
        <v>2892</v>
      </c>
      <c r="AE885" s="424" t="s">
        <v>4614</v>
      </c>
      <c r="AF885" s="424"/>
      <c r="AG885" s="424"/>
      <c r="AH885" s="424"/>
    </row>
    <row r="886" spans="1:34" x14ac:dyDescent="0.25">
      <c r="A886" s="423" t="s">
        <v>5142</v>
      </c>
      <c r="B886" s="423" t="s">
        <v>5215</v>
      </c>
      <c r="C886" s="423" t="s">
        <v>5144</v>
      </c>
      <c r="D886" s="423" t="s">
        <v>5145</v>
      </c>
      <c r="E886" s="423" t="s">
        <v>2818</v>
      </c>
      <c r="F886" s="423">
        <v>26</v>
      </c>
      <c r="G886" s="423">
        <v>64</v>
      </c>
      <c r="H886" s="423">
        <v>1200</v>
      </c>
      <c r="J886" s="423"/>
      <c r="K886" s="423"/>
      <c r="L886" s="423"/>
      <c r="M886" s="423"/>
      <c r="Q886" s="423"/>
      <c r="R886" s="424" t="s">
        <v>5216</v>
      </c>
      <c r="S886" s="424" t="s">
        <v>2846</v>
      </c>
      <c r="T886" s="424" t="s">
        <v>3356</v>
      </c>
      <c r="U886" s="424">
        <v>0</v>
      </c>
      <c r="V886" s="424" t="s">
        <v>3055</v>
      </c>
      <c r="W886" s="424" t="s">
        <v>2974</v>
      </c>
      <c r="X886" s="424" t="s">
        <v>2825</v>
      </c>
      <c r="Y886" s="424" t="s">
        <v>2279</v>
      </c>
      <c r="Z886" s="424" t="s">
        <v>2889</v>
      </c>
      <c r="AA886" s="424" t="s">
        <v>2890</v>
      </c>
      <c r="AB886" s="424" t="s">
        <v>4733</v>
      </c>
      <c r="AC886" s="424" t="s">
        <v>1953</v>
      </c>
      <c r="AD886" s="424" t="s">
        <v>2892</v>
      </c>
      <c r="AE886" s="424" t="s">
        <v>4641</v>
      </c>
      <c r="AF886" s="424"/>
      <c r="AG886" s="424"/>
      <c r="AH886" s="424"/>
    </row>
    <row r="887" spans="1:34" x14ac:dyDescent="0.25">
      <c r="A887" s="423" t="s">
        <v>5142</v>
      </c>
      <c r="B887" s="423" t="s">
        <v>5217</v>
      </c>
      <c r="C887" s="423" t="s">
        <v>5144</v>
      </c>
      <c r="D887" s="423" t="s">
        <v>5145</v>
      </c>
      <c r="E887" s="423" t="s">
        <v>2818</v>
      </c>
      <c r="F887" s="423">
        <v>26</v>
      </c>
      <c r="G887" s="423">
        <v>64</v>
      </c>
      <c r="H887" s="423">
        <v>1200</v>
      </c>
      <c r="J887" s="423"/>
      <c r="K887" s="423"/>
      <c r="L887" s="423"/>
      <c r="M887" s="423"/>
      <c r="Q887" s="423"/>
      <c r="R887" s="424" t="s">
        <v>5218</v>
      </c>
      <c r="S887" s="424" t="s">
        <v>2846</v>
      </c>
      <c r="T887" s="424" t="s">
        <v>3356</v>
      </c>
      <c r="U887" s="424">
        <v>0</v>
      </c>
      <c r="V887" s="424" t="s">
        <v>3055</v>
      </c>
      <c r="W887" s="424" t="s">
        <v>2974</v>
      </c>
      <c r="X887" s="424" t="s">
        <v>2825</v>
      </c>
      <c r="Y887" s="424" t="s">
        <v>2279</v>
      </c>
      <c r="Z887" s="424" t="s">
        <v>2889</v>
      </c>
      <c r="AA887" s="424" t="s">
        <v>2890</v>
      </c>
      <c r="AB887" s="424" t="s">
        <v>4696</v>
      </c>
      <c r="AC887" s="424" t="s">
        <v>1953</v>
      </c>
      <c r="AD887" s="424" t="s">
        <v>2892</v>
      </c>
      <c r="AE887" s="424" t="s">
        <v>4641</v>
      </c>
      <c r="AF887" s="424"/>
      <c r="AG887" s="424"/>
      <c r="AH887" s="424"/>
    </row>
    <row r="888" spans="1:34" x14ac:dyDescent="0.25">
      <c r="A888" s="423" t="s">
        <v>5142</v>
      </c>
      <c r="B888" s="423" t="s">
        <v>5219</v>
      </c>
      <c r="C888" s="423" t="s">
        <v>5144</v>
      </c>
      <c r="D888" s="423" t="s">
        <v>5145</v>
      </c>
      <c r="E888" s="423" t="s">
        <v>2818</v>
      </c>
      <c r="F888" s="423">
        <v>26</v>
      </c>
      <c r="G888" s="423">
        <v>64</v>
      </c>
      <c r="H888" s="423">
        <v>1200</v>
      </c>
      <c r="J888" s="423"/>
      <c r="K888" s="423"/>
      <c r="L888" s="423"/>
      <c r="M888" s="423"/>
      <c r="Q888" s="423"/>
      <c r="R888" s="424" t="s">
        <v>5220</v>
      </c>
      <c r="S888" s="424" t="s">
        <v>2846</v>
      </c>
      <c r="T888" s="424" t="s">
        <v>3356</v>
      </c>
      <c r="U888" s="424">
        <v>0</v>
      </c>
      <c r="V888" s="424" t="s">
        <v>3055</v>
      </c>
      <c r="W888" s="424" t="s">
        <v>2974</v>
      </c>
      <c r="X888" s="424" t="s">
        <v>2825</v>
      </c>
      <c r="Y888" s="424" t="s">
        <v>2279</v>
      </c>
      <c r="Z888" s="424" t="s">
        <v>2889</v>
      </c>
      <c r="AA888" s="424" t="s">
        <v>2890</v>
      </c>
      <c r="AB888" s="424" t="s">
        <v>5221</v>
      </c>
      <c r="AC888" s="424" t="s">
        <v>1953</v>
      </c>
      <c r="AD888" s="424" t="s">
        <v>2892</v>
      </c>
      <c r="AE888" s="424" t="s">
        <v>4641</v>
      </c>
      <c r="AF888" s="424"/>
      <c r="AG888" s="424"/>
      <c r="AH888" s="424"/>
    </row>
    <row r="889" spans="1:34" x14ac:dyDescent="0.25">
      <c r="A889" s="423" t="s">
        <v>5142</v>
      </c>
      <c r="B889" s="423" t="s">
        <v>5222</v>
      </c>
      <c r="C889" s="423" t="s">
        <v>5144</v>
      </c>
      <c r="D889" s="423" t="s">
        <v>5145</v>
      </c>
      <c r="E889" s="423" t="s">
        <v>2818</v>
      </c>
      <c r="F889" s="423">
        <v>24</v>
      </c>
      <c r="G889" s="423">
        <v>96</v>
      </c>
      <c r="H889" s="423">
        <v>1200</v>
      </c>
      <c r="J889" s="423"/>
      <c r="K889" s="423"/>
      <c r="L889" s="423"/>
      <c r="M889" s="423"/>
      <c r="Q889" s="423"/>
      <c r="R889" s="424" t="s">
        <v>5223</v>
      </c>
      <c r="S889" s="424" t="s">
        <v>2846</v>
      </c>
      <c r="T889" s="424" t="s">
        <v>3693</v>
      </c>
      <c r="U889" s="424">
        <v>0</v>
      </c>
      <c r="V889" s="424" t="s">
        <v>3269</v>
      </c>
      <c r="W889" s="424" t="s">
        <v>2924</v>
      </c>
      <c r="X889" s="424" t="s">
        <v>2825</v>
      </c>
      <c r="Y889" s="424" t="s">
        <v>2279</v>
      </c>
      <c r="Z889" s="424" t="s">
        <v>2872</v>
      </c>
      <c r="AA889" s="424" t="s">
        <v>2873</v>
      </c>
      <c r="AB889" s="424" t="s">
        <v>5224</v>
      </c>
      <c r="AC889" s="424" t="s">
        <v>1953</v>
      </c>
      <c r="AD889" s="424" t="s">
        <v>2875</v>
      </c>
      <c r="AE889" s="424" t="s">
        <v>3696</v>
      </c>
      <c r="AF889" s="424"/>
      <c r="AG889" s="424"/>
      <c r="AH889" s="424"/>
    </row>
    <row r="890" spans="1:34" x14ac:dyDescent="0.25">
      <c r="A890" s="423" t="s">
        <v>5142</v>
      </c>
      <c r="B890" s="423" t="s">
        <v>5225</v>
      </c>
      <c r="C890" s="423" t="s">
        <v>5144</v>
      </c>
      <c r="D890" s="423" t="s">
        <v>5145</v>
      </c>
      <c r="E890" s="423" t="s">
        <v>2818</v>
      </c>
      <c r="F890" s="423">
        <v>24</v>
      </c>
      <c r="G890" s="423">
        <v>96</v>
      </c>
      <c r="H890" s="423">
        <v>1200</v>
      </c>
      <c r="J890" s="423"/>
      <c r="K890" s="423"/>
      <c r="L890" s="423"/>
      <c r="M890" s="423"/>
      <c r="Q890" s="423"/>
      <c r="R890" s="424" t="s">
        <v>5226</v>
      </c>
      <c r="S890" s="424" t="s">
        <v>2846</v>
      </c>
      <c r="T890" s="424" t="s">
        <v>3693</v>
      </c>
      <c r="U890" s="424">
        <v>0</v>
      </c>
      <c r="V890" s="424" t="s">
        <v>3269</v>
      </c>
      <c r="W890" s="424" t="s">
        <v>2924</v>
      </c>
      <c r="X890" s="424" t="s">
        <v>2825</v>
      </c>
      <c r="Y890" s="424" t="s">
        <v>2279</v>
      </c>
      <c r="Z890" s="424" t="s">
        <v>2889</v>
      </c>
      <c r="AA890" s="424" t="s">
        <v>3703</v>
      </c>
      <c r="AB890" s="424" t="s">
        <v>5227</v>
      </c>
      <c r="AC890" s="424" t="s">
        <v>1953</v>
      </c>
      <c r="AD890" s="424" t="s">
        <v>2875</v>
      </c>
      <c r="AE890" s="424" t="s">
        <v>4126</v>
      </c>
      <c r="AF890" s="424"/>
      <c r="AG890" s="424"/>
      <c r="AH890" s="424"/>
    </row>
    <row r="891" spans="1:34" x14ac:dyDescent="0.25">
      <c r="A891" s="423" t="s">
        <v>5142</v>
      </c>
      <c r="B891" s="423" t="s">
        <v>5228</v>
      </c>
      <c r="C891" s="423" t="s">
        <v>5144</v>
      </c>
      <c r="D891" s="423" t="s">
        <v>5145</v>
      </c>
      <c r="E891" s="423" t="s">
        <v>2818</v>
      </c>
      <c r="F891" s="423">
        <v>24</v>
      </c>
      <c r="G891" s="423">
        <v>96</v>
      </c>
      <c r="H891" s="423">
        <v>1200</v>
      </c>
      <c r="J891" s="423"/>
      <c r="K891" s="423"/>
      <c r="L891" s="423"/>
      <c r="M891" s="423"/>
      <c r="Q891" s="423"/>
      <c r="R891" s="424" t="s">
        <v>5229</v>
      </c>
      <c r="S891" s="424" t="s">
        <v>2846</v>
      </c>
      <c r="T891" s="424" t="s">
        <v>3693</v>
      </c>
      <c r="U891" s="424">
        <v>0</v>
      </c>
      <c r="V891" s="424" t="s">
        <v>3269</v>
      </c>
      <c r="W891" s="424" t="s">
        <v>2924</v>
      </c>
      <c r="X891" s="424" t="s">
        <v>2825</v>
      </c>
      <c r="Y891" s="424" t="s">
        <v>2279</v>
      </c>
      <c r="Z891" s="424" t="s">
        <v>2872</v>
      </c>
      <c r="AA891" s="424" t="s">
        <v>2873</v>
      </c>
      <c r="AB891" s="424" t="s">
        <v>5230</v>
      </c>
      <c r="AC891" s="424" t="s">
        <v>1953</v>
      </c>
      <c r="AD891" s="424" t="s">
        <v>2875</v>
      </c>
      <c r="AE891" s="424" t="s">
        <v>3696</v>
      </c>
      <c r="AF891" s="424"/>
      <c r="AG891" s="424"/>
      <c r="AH891" s="424"/>
    </row>
    <row r="892" spans="1:34" x14ac:dyDescent="0.25">
      <c r="A892" s="423" t="s">
        <v>5142</v>
      </c>
      <c r="B892" s="423" t="s">
        <v>5231</v>
      </c>
      <c r="C892" s="423" t="s">
        <v>5144</v>
      </c>
      <c r="D892" s="423" t="s">
        <v>5145</v>
      </c>
      <c r="E892" s="423" t="s">
        <v>2818</v>
      </c>
      <c r="F892" s="423">
        <v>24</v>
      </c>
      <c r="G892" s="423">
        <v>96</v>
      </c>
      <c r="H892" s="423">
        <v>1200</v>
      </c>
      <c r="J892" s="423"/>
      <c r="K892" s="423"/>
      <c r="L892" s="423"/>
      <c r="M892" s="423"/>
      <c r="Q892" s="423"/>
      <c r="R892" s="424" t="s">
        <v>5232</v>
      </c>
      <c r="S892" s="424" t="s">
        <v>2846</v>
      </c>
      <c r="T892" s="424" t="s">
        <v>3693</v>
      </c>
      <c r="U892" s="424">
        <v>0</v>
      </c>
      <c r="V892" s="424" t="s">
        <v>3269</v>
      </c>
      <c r="W892" s="424" t="s">
        <v>2924</v>
      </c>
      <c r="X892" s="424" t="s">
        <v>2825</v>
      </c>
      <c r="Y892" s="424" t="s">
        <v>2279</v>
      </c>
      <c r="Z892" s="424" t="s">
        <v>2889</v>
      </c>
      <c r="AA892" s="424" t="s">
        <v>3703</v>
      </c>
      <c r="AB892" s="424" t="s">
        <v>4100</v>
      </c>
      <c r="AC892" s="424" t="s">
        <v>1953</v>
      </c>
      <c r="AD892" s="424" t="s">
        <v>2875</v>
      </c>
      <c r="AE892" s="424" t="s">
        <v>3705</v>
      </c>
      <c r="AF892" s="424"/>
      <c r="AG892" s="424"/>
      <c r="AH892" s="424"/>
    </row>
    <row r="893" spans="1:34" x14ac:dyDescent="0.25">
      <c r="A893" s="423" t="s">
        <v>5142</v>
      </c>
      <c r="B893" s="423" t="s">
        <v>5233</v>
      </c>
      <c r="C893" s="423" t="s">
        <v>5144</v>
      </c>
      <c r="D893" s="423" t="s">
        <v>5145</v>
      </c>
      <c r="E893" s="423" t="s">
        <v>2818</v>
      </c>
      <c r="F893" s="423">
        <v>24</v>
      </c>
      <c r="G893" s="423">
        <v>96</v>
      </c>
      <c r="H893" s="423">
        <v>1200</v>
      </c>
      <c r="J893" s="423"/>
      <c r="K893" s="423"/>
      <c r="L893" s="423"/>
      <c r="M893" s="423"/>
      <c r="Q893" s="423"/>
      <c r="R893" s="424" t="s">
        <v>5234</v>
      </c>
      <c r="S893" s="424" t="s">
        <v>2846</v>
      </c>
      <c r="T893" s="424" t="s">
        <v>3693</v>
      </c>
      <c r="U893" s="424">
        <v>0</v>
      </c>
      <c r="V893" s="424" t="s">
        <v>3269</v>
      </c>
      <c r="W893" s="424" t="s">
        <v>2924</v>
      </c>
      <c r="X893" s="424" t="s">
        <v>2825</v>
      </c>
      <c r="Y893" s="424" t="s">
        <v>2279</v>
      </c>
      <c r="Z893" s="424" t="s">
        <v>2872</v>
      </c>
      <c r="AA893" s="424" t="s">
        <v>2873</v>
      </c>
      <c r="AB893" s="424" t="s">
        <v>5235</v>
      </c>
      <c r="AC893" s="424" t="s">
        <v>1953</v>
      </c>
      <c r="AD893" s="424" t="s">
        <v>2875</v>
      </c>
      <c r="AE893" s="424" t="s">
        <v>3696</v>
      </c>
      <c r="AF893" s="424"/>
      <c r="AG893" s="424"/>
      <c r="AH893" s="424"/>
    </row>
    <row r="894" spans="1:34" x14ac:dyDescent="0.25">
      <c r="A894" s="423" t="s">
        <v>5142</v>
      </c>
      <c r="B894" s="423" t="s">
        <v>5236</v>
      </c>
      <c r="C894" s="423" t="s">
        <v>5144</v>
      </c>
      <c r="D894" s="423" t="s">
        <v>5145</v>
      </c>
      <c r="E894" s="423" t="s">
        <v>2818</v>
      </c>
      <c r="F894" s="423">
        <v>24</v>
      </c>
      <c r="G894" s="423">
        <v>96</v>
      </c>
      <c r="H894" s="423">
        <v>1200</v>
      </c>
      <c r="J894" s="423"/>
      <c r="K894" s="423"/>
      <c r="L894" s="423"/>
      <c r="M894" s="423"/>
      <c r="Q894" s="423"/>
      <c r="R894" s="424" t="s">
        <v>5237</v>
      </c>
      <c r="S894" s="424" t="s">
        <v>2846</v>
      </c>
      <c r="T894" s="424" t="s">
        <v>3693</v>
      </c>
      <c r="U894" s="424">
        <v>0</v>
      </c>
      <c r="V894" s="424" t="s">
        <v>3269</v>
      </c>
      <c r="W894" s="424" t="s">
        <v>2924</v>
      </c>
      <c r="X894" s="424" t="s">
        <v>2825</v>
      </c>
      <c r="Y894" s="424" t="s">
        <v>2279</v>
      </c>
      <c r="Z894" s="424" t="s">
        <v>2889</v>
      </c>
      <c r="AA894" s="424" t="s">
        <v>3703</v>
      </c>
      <c r="AB894" s="424" t="s">
        <v>5238</v>
      </c>
      <c r="AC894" s="424" t="s">
        <v>1953</v>
      </c>
      <c r="AD894" s="424" t="s">
        <v>2875</v>
      </c>
      <c r="AE894" s="424" t="s">
        <v>4126</v>
      </c>
      <c r="AF894" s="424"/>
      <c r="AG894" s="424"/>
      <c r="AH894" s="424"/>
    </row>
    <row r="895" spans="1:34" x14ac:dyDescent="0.25">
      <c r="A895" s="423" t="s">
        <v>5142</v>
      </c>
      <c r="B895" s="423" t="s">
        <v>5239</v>
      </c>
      <c r="C895" s="423" t="s">
        <v>5144</v>
      </c>
      <c r="D895" s="423" t="s">
        <v>5145</v>
      </c>
      <c r="E895" s="423" t="s">
        <v>2818</v>
      </c>
      <c r="F895" s="423">
        <v>24</v>
      </c>
      <c r="G895" s="423">
        <v>96</v>
      </c>
      <c r="H895" s="423">
        <v>1200</v>
      </c>
      <c r="J895" s="423"/>
      <c r="K895" s="423"/>
      <c r="L895" s="423"/>
      <c r="M895" s="423"/>
      <c r="Q895" s="423"/>
      <c r="R895" s="424" t="s">
        <v>5240</v>
      </c>
      <c r="S895" s="424" t="s">
        <v>2846</v>
      </c>
      <c r="T895" s="424" t="s">
        <v>3693</v>
      </c>
      <c r="U895" s="424">
        <v>0</v>
      </c>
      <c r="V895" s="424" t="s">
        <v>3269</v>
      </c>
      <c r="W895" s="424" t="s">
        <v>2924</v>
      </c>
      <c r="X895" s="424" t="s">
        <v>2825</v>
      </c>
      <c r="Y895" s="424" t="s">
        <v>2279</v>
      </c>
      <c r="Z895" s="424" t="s">
        <v>2872</v>
      </c>
      <c r="AA895" s="424" t="s">
        <v>2873</v>
      </c>
      <c r="AB895" s="424" t="s">
        <v>5241</v>
      </c>
      <c r="AC895" s="424" t="s">
        <v>1953</v>
      </c>
      <c r="AD895" s="424" t="s">
        <v>2875</v>
      </c>
      <c r="AE895" s="424" t="s">
        <v>3696</v>
      </c>
      <c r="AF895" s="424"/>
      <c r="AG895" s="424"/>
      <c r="AH895" s="424"/>
    </row>
    <row r="896" spans="1:34" x14ac:dyDescent="0.25">
      <c r="A896" s="423" t="s">
        <v>5142</v>
      </c>
      <c r="B896" s="423" t="s">
        <v>5242</v>
      </c>
      <c r="C896" s="423" t="s">
        <v>5144</v>
      </c>
      <c r="D896" s="423" t="s">
        <v>5145</v>
      </c>
      <c r="E896" s="423" t="s">
        <v>2818</v>
      </c>
      <c r="F896" s="423">
        <v>24</v>
      </c>
      <c r="G896" s="423">
        <v>96</v>
      </c>
      <c r="H896" s="423">
        <v>1200</v>
      </c>
      <c r="J896" s="423"/>
      <c r="K896" s="423"/>
      <c r="L896" s="423"/>
      <c r="M896" s="423"/>
      <c r="Q896" s="423"/>
      <c r="R896" s="424" t="s">
        <v>5243</v>
      </c>
      <c r="S896" s="424" t="s">
        <v>2846</v>
      </c>
      <c r="T896" s="424" t="s">
        <v>3693</v>
      </c>
      <c r="U896" s="424">
        <v>0</v>
      </c>
      <c r="V896" s="424" t="s">
        <v>3269</v>
      </c>
      <c r="W896" s="424" t="s">
        <v>2924</v>
      </c>
      <c r="X896" s="424" t="s">
        <v>2825</v>
      </c>
      <c r="Y896" s="424" t="s">
        <v>2279</v>
      </c>
      <c r="Z896" s="424" t="s">
        <v>2872</v>
      </c>
      <c r="AA896" s="424" t="s">
        <v>2873</v>
      </c>
      <c r="AB896" s="424" t="s">
        <v>5230</v>
      </c>
      <c r="AC896" s="424" t="s">
        <v>1953</v>
      </c>
      <c r="AD896" s="424" t="s">
        <v>2875</v>
      </c>
      <c r="AE896" s="424" t="s">
        <v>3696</v>
      </c>
      <c r="AF896" s="424"/>
      <c r="AG896" s="424"/>
      <c r="AH896" s="424"/>
    </row>
    <row r="897" spans="1:34" x14ac:dyDescent="0.25">
      <c r="A897" s="423" t="s">
        <v>5142</v>
      </c>
      <c r="B897" s="423" t="s">
        <v>5244</v>
      </c>
      <c r="C897" s="423" t="s">
        <v>5144</v>
      </c>
      <c r="D897" s="423" t="s">
        <v>5145</v>
      </c>
      <c r="E897" s="423" t="s">
        <v>2818</v>
      </c>
      <c r="F897" s="423">
        <v>24</v>
      </c>
      <c r="G897" s="423">
        <v>96</v>
      </c>
      <c r="H897" s="423">
        <v>1200</v>
      </c>
      <c r="J897" s="423"/>
      <c r="K897" s="423"/>
      <c r="L897" s="423"/>
      <c r="M897" s="423"/>
      <c r="Q897" s="423"/>
      <c r="R897" s="424" t="s">
        <v>5245</v>
      </c>
      <c r="S897" s="424" t="s">
        <v>2846</v>
      </c>
      <c r="T897" s="424" t="s">
        <v>3693</v>
      </c>
      <c r="U897" s="424">
        <v>0</v>
      </c>
      <c r="V897" s="424" t="s">
        <v>3269</v>
      </c>
      <c r="W897" s="424" t="s">
        <v>2924</v>
      </c>
      <c r="X897" s="424" t="s">
        <v>2825</v>
      </c>
      <c r="Y897" s="424" t="s">
        <v>2279</v>
      </c>
      <c r="Z897" s="424" t="s">
        <v>2889</v>
      </c>
      <c r="AA897" s="424" t="s">
        <v>3703</v>
      </c>
      <c r="AB897" s="424" t="s">
        <v>5227</v>
      </c>
      <c r="AC897" s="424" t="s">
        <v>1953</v>
      </c>
      <c r="AD897" s="424" t="s">
        <v>2875</v>
      </c>
      <c r="AE897" s="424" t="s">
        <v>4126</v>
      </c>
      <c r="AF897" s="424"/>
      <c r="AG897" s="424"/>
      <c r="AH897" s="424"/>
    </row>
    <row r="898" spans="1:34" x14ac:dyDescent="0.25">
      <c r="A898" s="423" t="s">
        <v>5142</v>
      </c>
      <c r="B898" s="423" t="s">
        <v>5246</v>
      </c>
      <c r="C898" s="423" t="s">
        <v>5144</v>
      </c>
      <c r="D898" s="423" t="s">
        <v>5145</v>
      </c>
      <c r="E898" s="423" t="s">
        <v>2818</v>
      </c>
      <c r="F898" s="423">
        <v>48</v>
      </c>
      <c r="G898" s="423">
        <v>256</v>
      </c>
      <c r="H898" s="423">
        <v>1200</v>
      </c>
      <c r="J898" s="423"/>
      <c r="K898" s="423"/>
      <c r="L898" s="423"/>
      <c r="M898" s="423"/>
      <c r="Q898" s="423"/>
      <c r="R898" s="424" t="s">
        <v>5247</v>
      </c>
      <c r="S898" s="424" t="s">
        <v>2820</v>
      </c>
      <c r="T898" s="424" t="s">
        <v>4913</v>
      </c>
      <c r="U898" s="424">
        <v>0</v>
      </c>
      <c r="V898" s="424" t="s">
        <v>2824</v>
      </c>
      <c r="W898" s="424" t="s">
        <v>2824</v>
      </c>
      <c r="X898" s="424" t="s">
        <v>2825</v>
      </c>
      <c r="Y898" s="424" t="s">
        <v>2279</v>
      </c>
      <c r="Z898" s="424" t="s">
        <v>3260</v>
      </c>
      <c r="AA898" s="424" t="s">
        <v>3271</v>
      </c>
      <c r="AB898" s="424" t="s">
        <v>5248</v>
      </c>
      <c r="AC898" s="424" t="s">
        <v>1953</v>
      </c>
      <c r="AD898" s="424" t="s">
        <v>3329</v>
      </c>
      <c r="AE898" s="424" t="s">
        <v>5249</v>
      </c>
      <c r="AF898" s="424"/>
      <c r="AG898" s="424"/>
      <c r="AH898" s="424"/>
    </row>
    <row r="899" spans="1:34" x14ac:dyDescent="0.25">
      <c r="A899" s="423" t="s">
        <v>5142</v>
      </c>
      <c r="B899" s="423" t="s">
        <v>5250</v>
      </c>
      <c r="C899" s="423" t="s">
        <v>5144</v>
      </c>
      <c r="D899" s="423" t="s">
        <v>5145</v>
      </c>
      <c r="E899" s="423" t="s">
        <v>2818</v>
      </c>
      <c r="F899" s="423">
        <v>48</v>
      </c>
      <c r="G899" s="423">
        <v>256</v>
      </c>
      <c r="H899" s="423">
        <v>1200</v>
      </c>
      <c r="J899" s="423"/>
      <c r="K899" s="423"/>
      <c r="L899" s="423"/>
      <c r="M899" s="423"/>
      <c r="Q899" s="423"/>
      <c r="R899" s="424" t="s">
        <v>5251</v>
      </c>
      <c r="S899" s="424" t="s">
        <v>2820</v>
      </c>
      <c r="T899" s="424" t="s">
        <v>5252</v>
      </c>
      <c r="U899" s="424">
        <v>0</v>
      </c>
      <c r="V899" s="424" t="s">
        <v>2824</v>
      </c>
      <c r="W899" s="424" t="s">
        <v>2824</v>
      </c>
      <c r="X899" s="424" t="s">
        <v>2825</v>
      </c>
      <c r="Y899" s="424" t="s">
        <v>2279</v>
      </c>
      <c r="Z899" s="424" t="s">
        <v>3260</v>
      </c>
      <c r="AA899" s="424" t="s">
        <v>3271</v>
      </c>
      <c r="AB899" s="424" t="s">
        <v>5253</v>
      </c>
      <c r="AC899" s="424" t="s">
        <v>1953</v>
      </c>
      <c r="AD899" s="424" t="s">
        <v>3329</v>
      </c>
      <c r="AE899" s="424" t="s">
        <v>5249</v>
      </c>
      <c r="AF899" s="424"/>
      <c r="AG899" s="424"/>
      <c r="AH899" s="424"/>
    </row>
    <row r="900" spans="1:34" x14ac:dyDescent="0.25">
      <c r="A900" s="423" t="s">
        <v>5142</v>
      </c>
      <c r="B900" s="423" t="s">
        <v>5254</v>
      </c>
      <c r="C900" s="423" t="s">
        <v>5144</v>
      </c>
      <c r="D900" s="423" t="s">
        <v>5145</v>
      </c>
      <c r="E900" s="423" t="s">
        <v>2818</v>
      </c>
      <c r="F900" s="423">
        <v>40</v>
      </c>
      <c r="G900" s="423">
        <v>64</v>
      </c>
      <c r="H900" s="423">
        <v>7200</v>
      </c>
      <c r="J900" s="423"/>
      <c r="K900" s="423"/>
      <c r="L900" s="423"/>
      <c r="M900" s="423"/>
      <c r="Q900" s="423"/>
      <c r="R900" s="424" t="s">
        <v>5255</v>
      </c>
      <c r="S900" s="424" t="s">
        <v>2846</v>
      </c>
      <c r="T900" s="424" t="s">
        <v>3356</v>
      </c>
      <c r="U900" s="424">
        <v>0</v>
      </c>
      <c r="V900" s="424" t="s">
        <v>2824</v>
      </c>
      <c r="W900" s="424" t="s">
        <v>3074</v>
      </c>
      <c r="X900" s="424" t="s">
        <v>2825</v>
      </c>
      <c r="Y900" s="424" t="s">
        <v>2279</v>
      </c>
      <c r="Z900" s="424" t="s">
        <v>2848</v>
      </c>
      <c r="AA900" s="424" t="s">
        <v>2849</v>
      </c>
      <c r="AB900" s="424" t="s">
        <v>3432</v>
      </c>
      <c r="AC900" s="424" t="s">
        <v>1953</v>
      </c>
      <c r="AD900" s="424" t="s">
        <v>2851</v>
      </c>
      <c r="AE900" s="424" t="s">
        <v>2861</v>
      </c>
      <c r="AF900" s="424"/>
      <c r="AG900" s="424"/>
      <c r="AH900" s="424"/>
    </row>
    <row r="901" spans="1:34" x14ac:dyDescent="0.25">
      <c r="A901" s="423" t="s">
        <v>5142</v>
      </c>
      <c r="B901" s="423" t="s">
        <v>5256</v>
      </c>
      <c r="C901" s="423" t="s">
        <v>5144</v>
      </c>
      <c r="D901" s="423" t="s">
        <v>5145</v>
      </c>
      <c r="E901" s="423" t="s">
        <v>2818</v>
      </c>
      <c r="F901" s="423">
        <v>40</v>
      </c>
      <c r="G901" s="423">
        <v>64</v>
      </c>
      <c r="H901" s="423">
        <v>7200</v>
      </c>
      <c r="J901" s="423"/>
      <c r="K901" s="423"/>
      <c r="L901" s="423"/>
      <c r="M901" s="423"/>
      <c r="Q901" s="423"/>
      <c r="R901" s="424" t="s">
        <v>5257</v>
      </c>
      <c r="S901" s="424" t="s">
        <v>2846</v>
      </c>
      <c r="T901" s="424" t="s">
        <v>3356</v>
      </c>
      <c r="U901" s="424">
        <v>0</v>
      </c>
      <c r="V901" s="424" t="s">
        <v>2824</v>
      </c>
      <c r="W901" s="424" t="s">
        <v>3074</v>
      </c>
      <c r="X901" s="424" t="s">
        <v>2825</v>
      </c>
      <c r="Y901" s="424" t="s">
        <v>2279</v>
      </c>
      <c r="Z901" s="424" t="s">
        <v>2848</v>
      </c>
      <c r="AA901" s="424" t="s">
        <v>2849</v>
      </c>
      <c r="AB901" s="424" t="s">
        <v>3599</v>
      </c>
      <c r="AC901" s="424" t="s">
        <v>1953</v>
      </c>
      <c r="AD901" s="424" t="s">
        <v>2851</v>
      </c>
      <c r="AE901" s="424" t="s">
        <v>2861</v>
      </c>
      <c r="AF901" s="424"/>
      <c r="AG901" s="424"/>
      <c r="AH901" s="424"/>
    </row>
    <row r="902" spans="1:34" x14ac:dyDescent="0.25">
      <c r="A902" s="423" t="s">
        <v>5142</v>
      </c>
      <c r="B902" s="423" t="s">
        <v>5258</v>
      </c>
      <c r="C902" s="423" t="s">
        <v>5144</v>
      </c>
      <c r="D902" s="423" t="s">
        <v>5145</v>
      </c>
      <c r="E902" s="423" t="s">
        <v>2818</v>
      </c>
      <c r="F902" s="423">
        <v>40</v>
      </c>
      <c r="G902" s="423">
        <v>64</v>
      </c>
      <c r="H902" s="423">
        <v>7200</v>
      </c>
      <c r="J902" s="423"/>
      <c r="K902" s="423"/>
      <c r="L902" s="423"/>
      <c r="M902" s="423"/>
      <c r="Q902" s="423"/>
      <c r="R902" s="424" t="s">
        <v>5259</v>
      </c>
      <c r="S902" s="424" t="s">
        <v>2846</v>
      </c>
      <c r="T902" s="424" t="s">
        <v>3356</v>
      </c>
      <c r="U902" s="424">
        <v>0</v>
      </c>
      <c r="V902" s="424" t="s">
        <v>2824</v>
      </c>
      <c r="W902" s="424" t="s">
        <v>3074</v>
      </c>
      <c r="X902" s="424" t="s">
        <v>2825</v>
      </c>
      <c r="Y902" s="424" t="s">
        <v>2279</v>
      </c>
      <c r="Z902" s="424" t="s">
        <v>2848</v>
      </c>
      <c r="AA902" s="424" t="s">
        <v>2849</v>
      </c>
      <c r="AB902" s="424" t="s">
        <v>3608</v>
      </c>
      <c r="AC902" s="424" t="s">
        <v>1953</v>
      </c>
      <c r="AD902" s="424" t="s">
        <v>2851</v>
      </c>
      <c r="AE902" s="424" t="s">
        <v>3158</v>
      </c>
      <c r="AF902" s="424"/>
      <c r="AG902" s="424"/>
      <c r="AH902" s="424"/>
    </row>
    <row r="903" spans="1:34" x14ac:dyDescent="0.25">
      <c r="A903" s="423" t="s">
        <v>5142</v>
      </c>
      <c r="B903" s="423" t="s">
        <v>5260</v>
      </c>
      <c r="C903" s="423" t="s">
        <v>5144</v>
      </c>
      <c r="D903" s="423" t="s">
        <v>5145</v>
      </c>
      <c r="E903" s="423" t="s">
        <v>2818</v>
      </c>
      <c r="F903" s="423">
        <v>32</v>
      </c>
      <c r="G903" s="423">
        <v>64</v>
      </c>
      <c r="H903" s="423">
        <v>1200</v>
      </c>
      <c r="J903" s="423"/>
      <c r="K903" s="423"/>
      <c r="L903" s="423"/>
      <c r="M903" s="423"/>
      <c r="Q903" s="423"/>
      <c r="R903" s="424" t="s">
        <v>5261</v>
      </c>
      <c r="S903" s="424" t="s">
        <v>2846</v>
      </c>
      <c r="T903" s="424" t="s">
        <v>3356</v>
      </c>
      <c r="U903" s="424">
        <v>0</v>
      </c>
      <c r="V903" s="424" t="s">
        <v>2824</v>
      </c>
      <c r="W903" s="424" t="s">
        <v>3055</v>
      </c>
      <c r="X903" s="424" t="s">
        <v>2825</v>
      </c>
      <c r="Y903" s="424" t="s">
        <v>2279</v>
      </c>
      <c r="Z903" s="424" t="s">
        <v>2889</v>
      </c>
      <c r="AA903" s="424" t="s">
        <v>2890</v>
      </c>
      <c r="AB903" s="424" t="s">
        <v>5262</v>
      </c>
      <c r="AC903" s="424" t="s">
        <v>1953</v>
      </c>
      <c r="AD903" s="424" t="s">
        <v>2851</v>
      </c>
      <c r="AE903" s="424" t="s">
        <v>3462</v>
      </c>
      <c r="AF903" s="424"/>
      <c r="AG903" s="424"/>
      <c r="AH903" s="424"/>
    </row>
    <row r="904" spans="1:34" x14ac:dyDescent="0.25">
      <c r="A904" s="423" t="s">
        <v>5142</v>
      </c>
      <c r="B904" s="423" t="s">
        <v>5263</v>
      </c>
      <c r="C904" s="423" t="s">
        <v>5144</v>
      </c>
      <c r="D904" s="423" t="s">
        <v>5145</v>
      </c>
      <c r="E904" s="423" t="s">
        <v>2818</v>
      </c>
      <c r="F904" s="423">
        <v>32</v>
      </c>
      <c r="G904" s="423">
        <v>64</v>
      </c>
      <c r="H904" s="423">
        <v>1200</v>
      </c>
      <c r="J904" s="423"/>
      <c r="K904" s="423"/>
      <c r="L904" s="423"/>
      <c r="M904" s="423"/>
      <c r="Q904" s="423"/>
      <c r="R904" s="424" t="s">
        <v>5264</v>
      </c>
      <c r="S904" s="424" t="s">
        <v>2846</v>
      </c>
      <c r="T904" s="424" t="s">
        <v>3356</v>
      </c>
      <c r="U904" s="424">
        <v>0</v>
      </c>
      <c r="V904" s="424" t="s">
        <v>2824</v>
      </c>
      <c r="W904" s="424" t="s">
        <v>3074</v>
      </c>
      <c r="X904" s="424" t="s">
        <v>2825</v>
      </c>
      <c r="Y904" s="424" t="s">
        <v>2279</v>
      </c>
      <c r="Z904" s="424" t="s">
        <v>2848</v>
      </c>
      <c r="AA904" s="424" t="s">
        <v>2849</v>
      </c>
      <c r="AB904" s="424" t="s">
        <v>3286</v>
      </c>
      <c r="AC904" s="424" t="s">
        <v>1953</v>
      </c>
      <c r="AD904" s="424" t="s">
        <v>2851</v>
      </c>
      <c r="AE904" s="424" t="s">
        <v>3287</v>
      </c>
      <c r="AF904" s="424"/>
      <c r="AG904" s="424"/>
      <c r="AH904" s="424"/>
    </row>
    <row r="905" spans="1:34" x14ac:dyDescent="0.25">
      <c r="A905" s="423" t="s">
        <v>5142</v>
      </c>
      <c r="B905" s="423" t="s">
        <v>5265</v>
      </c>
      <c r="C905" s="423" t="s">
        <v>5144</v>
      </c>
      <c r="D905" s="423" t="s">
        <v>5145</v>
      </c>
      <c r="E905" s="423" t="s">
        <v>2818</v>
      </c>
      <c r="F905" s="423">
        <v>56</v>
      </c>
      <c r="G905" s="423">
        <v>256</v>
      </c>
      <c r="H905" s="423">
        <v>1200</v>
      </c>
      <c r="J905" s="423"/>
      <c r="K905" s="423"/>
      <c r="L905" s="423"/>
      <c r="M905" s="423"/>
      <c r="Q905" s="423"/>
      <c r="R905" s="424" t="s">
        <v>5266</v>
      </c>
      <c r="S905" s="424" t="s">
        <v>2820</v>
      </c>
      <c r="T905" s="424" t="s">
        <v>3196</v>
      </c>
      <c r="U905" s="424">
        <v>0</v>
      </c>
      <c r="V905" s="424" t="s">
        <v>2824</v>
      </c>
      <c r="W905" s="424" t="s">
        <v>2824</v>
      </c>
      <c r="X905" s="424" t="s">
        <v>2825</v>
      </c>
      <c r="Y905" s="424" t="s">
        <v>2279</v>
      </c>
      <c r="Z905" s="424" t="s">
        <v>2889</v>
      </c>
      <c r="AA905" s="424" t="s">
        <v>3197</v>
      </c>
      <c r="AB905" s="424" t="s">
        <v>5267</v>
      </c>
      <c r="AC905" s="424" t="s">
        <v>1953</v>
      </c>
      <c r="AD905" s="424" t="s">
        <v>2851</v>
      </c>
      <c r="AE905" s="424" t="s">
        <v>3199</v>
      </c>
      <c r="AF905" s="424"/>
      <c r="AG905" s="424"/>
      <c r="AH905" s="424"/>
    </row>
    <row r="906" spans="1:34" x14ac:dyDescent="0.25">
      <c r="A906" s="423" t="s">
        <v>5142</v>
      </c>
      <c r="B906" s="423" t="s">
        <v>5268</v>
      </c>
      <c r="C906" s="423" t="s">
        <v>5144</v>
      </c>
      <c r="D906" s="423" t="s">
        <v>5145</v>
      </c>
      <c r="E906" s="423" t="s">
        <v>2818</v>
      </c>
      <c r="F906" s="423">
        <v>32</v>
      </c>
      <c r="G906" s="423">
        <v>42</v>
      </c>
      <c r="H906" s="423">
        <v>1200</v>
      </c>
      <c r="J906" s="423"/>
      <c r="K906" s="423"/>
      <c r="L906" s="423"/>
      <c r="M906" s="423"/>
      <c r="Q906" s="423"/>
      <c r="R906" s="424" t="s">
        <v>5269</v>
      </c>
      <c r="S906" s="424" t="s">
        <v>2846</v>
      </c>
      <c r="T906" s="424" t="s">
        <v>3356</v>
      </c>
      <c r="U906" s="424">
        <v>0</v>
      </c>
      <c r="V906" s="424" t="s">
        <v>2824</v>
      </c>
      <c r="W906" s="424" t="s">
        <v>3055</v>
      </c>
      <c r="X906" s="424" t="s">
        <v>2825</v>
      </c>
      <c r="Y906" s="424" t="s">
        <v>2279</v>
      </c>
      <c r="Z906" s="424" t="s">
        <v>3260</v>
      </c>
      <c r="AA906" s="424" t="s">
        <v>3197</v>
      </c>
      <c r="AB906" s="424" t="s">
        <v>5270</v>
      </c>
      <c r="AC906" s="424" t="s">
        <v>1953</v>
      </c>
      <c r="AD906" s="424" t="s">
        <v>2851</v>
      </c>
      <c r="AE906" s="424" t="s">
        <v>5271</v>
      </c>
      <c r="AF906" s="424"/>
      <c r="AG906" s="424"/>
      <c r="AH906" s="424"/>
    </row>
    <row r="907" spans="1:34" x14ac:dyDescent="0.25">
      <c r="A907" s="423" t="s">
        <v>5142</v>
      </c>
      <c r="B907" s="423" t="s">
        <v>5272</v>
      </c>
      <c r="C907" s="423" t="s">
        <v>5144</v>
      </c>
      <c r="D907" s="423" t="s">
        <v>5145</v>
      </c>
      <c r="E907" s="423" t="s">
        <v>2818</v>
      </c>
      <c r="F907" s="423">
        <v>32</v>
      </c>
      <c r="G907" s="423">
        <v>42</v>
      </c>
      <c r="H907" s="423">
        <v>1200</v>
      </c>
      <c r="J907" s="423"/>
      <c r="K907" s="423"/>
      <c r="L907" s="423"/>
      <c r="M907" s="423"/>
      <c r="Q907" s="423"/>
      <c r="R907" s="424" t="s">
        <v>5273</v>
      </c>
      <c r="S907" s="424" t="s">
        <v>2846</v>
      </c>
      <c r="T907" s="424" t="s">
        <v>3356</v>
      </c>
      <c r="U907" s="424">
        <v>0</v>
      </c>
      <c r="V907" s="424" t="s">
        <v>2824</v>
      </c>
      <c r="W907" s="424" t="s">
        <v>3055</v>
      </c>
      <c r="X907" s="424" t="s">
        <v>2825</v>
      </c>
      <c r="Y907" s="424" t="s">
        <v>2279</v>
      </c>
      <c r="Z907" s="424" t="s">
        <v>3260</v>
      </c>
      <c r="AA907" s="424" t="s">
        <v>3197</v>
      </c>
      <c r="AB907" s="424" t="s">
        <v>5274</v>
      </c>
      <c r="AC907" s="424" t="s">
        <v>1953</v>
      </c>
      <c r="AD907" s="424" t="s">
        <v>2851</v>
      </c>
      <c r="AE907" s="424" t="s">
        <v>5271</v>
      </c>
      <c r="AF907" s="424"/>
      <c r="AG907" s="424"/>
      <c r="AH907" s="424"/>
    </row>
    <row r="908" spans="1:34" x14ac:dyDescent="0.25">
      <c r="A908" s="423" t="s">
        <v>5142</v>
      </c>
      <c r="B908" s="423" t="s">
        <v>5275</v>
      </c>
      <c r="C908" s="423" t="s">
        <v>5144</v>
      </c>
      <c r="D908" s="423" t="s">
        <v>5145</v>
      </c>
      <c r="E908" s="423" t="s">
        <v>2818</v>
      </c>
      <c r="F908" s="423">
        <v>32</v>
      </c>
      <c r="G908" s="423">
        <v>42</v>
      </c>
      <c r="H908" s="423">
        <v>1200</v>
      </c>
      <c r="J908" s="423"/>
      <c r="K908" s="423"/>
      <c r="L908" s="423"/>
      <c r="M908" s="423"/>
      <c r="Q908" s="423"/>
      <c r="R908" s="424" t="s">
        <v>5276</v>
      </c>
      <c r="S908" s="424" t="s">
        <v>2846</v>
      </c>
      <c r="T908" s="424" t="s">
        <v>3356</v>
      </c>
      <c r="U908" s="424">
        <v>0</v>
      </c>
      <c r="V908" s="424" t="s">
        <v>2824</v>
      </c>
      <c r="W908" s="424" t="s">
        <v>3055</v>
      </c>
      <c r="X908" s="424" t="s">
        <v>2825</v>
      </c>
      <c r="Y908" s="424" t="s">
        <v>2279</v>
      </c>
      <c r="Z908" s="424" t="s">
        <v>3260</v>
      </c>
      <c r="AA908" s="424" t="s">
        <v>3197</v>
      </c>
      <c r="AB908" s="424" t="s">
        <v>5277</v>
      </c>
      <c r="AC908" s="424" t="s">
        <v>1953</v>
      </c>
      <c r="AD908" s="424" t="s">
        <v>2851</v>
      </c>
      <c r="AE908" s="424" t="s">
        <v>5271</v>
      </c>
      <c r="AF908" s="424"/>
      <c r="AG908" s="424"/>
      <c r="AH908" s="424"/>
    </row>
    <row r="909" spans="1:34" x14ac:dyDescent="0.25">
      <c r="A909" s="423" t="s">
        <v>5142</v>
      </c>
      <c r="B909" s="423" t="s">
        <v>5278</v>
      </c>
      <c r="C909" s="423" t="s">
        <v>5144</v>
      </c>
      <c r="D909" s="423" t="s">
        <v>5145</v>
      </c>
      <c r="E909" s="423" t="s">
        <v>2818</v>
      </c>
      <c r="F909" s="423">
        <v>32</v>
      </c>
      <c r="G909" s="423">
        <v>42</v>
      </c>
      <c r="H909" s="423">
        <v>1200</v>
      </c>
      <c r="J909" s="423"/>
      <c r="K909" s="423"/>
      <c r="L909" s="423"/>
      <c r="M909" s="423"/>
      <c r="Q909" s="423"/>
      <c r="R909" s="424" t="s">
        <v>5279</v>
      </c>
      <c r="S909" s="424" t="s">
        <v>2846</v>
      </c>
      <c r="T909" s="424" t="s">
        <v>3356</v>
      </c>
      <c r="U909" s="424">
        <v>0</v>
      </c>
      <c r="V909" s="424" t="s">
        <v>2824</v>
      </c>
      <c r="W909" s="424" t="s">
        <v>3055</v>
      </c>
      <c r="X909" s="424" t="s">
        <v>2825</v>
      </c>
      <c r="Y909" s="424" t="s">
        <v>2279</v>
      </c>
      <c r="Z909" s="424" t="s">
        <v>3260</v>
      </c>
      <c r="AA909" s="424" t="s">
        <v>3197</v>
      </c>
      <c r="AB909" s="424" t="s">
        <v>5280</v>
      </c>
      <c r="AC909" s="424" t="s">
        <v>1953</v>
      </c>
      <c r="AD909" s="424" t="s">
        <v>2851</v>
      </c>
      <c r="AE909" s="424" t="s">
        <v>5271</v>
      </c>
      <c r="AF909" s="424"/>
      <c r="AG909" s="424"/>
      <c r="AH909" s="424"/>
    </row>
    <row r="910" spans="1:34" x14ac:dyDescent="0.25">
      <c r="A910" s="423" t="s">
        <v>5142</v>
      </c>
      <c r="B910" s="423" t="s">
        <v>5281</v>
      </c>
      <c r="C910" s="423" t="s">
        <v>5144</v>
      </c>
      <c r="D910" s="423" t="s">
        <v>5145</v>
      </c>
      <c r="E910" s="423" t="s">
        <v>2818</v>
      </c>
      <c r="F910" s="423">
        <v>32</v>
      </c>
      <c r="G910" s="423">
        <v>42</v>
      </c>
      <c r="H910" s="423">
        <v>1200</v>
      </c>
      <c r="J910" s="423"/>
      <c r="K910" s="423"/>
      <c r="L910" s="423"/>
      <c r="M910" s="423"/>
      <c r="Q910" s="423"/>
      <c r="R910" s="424" t="s">
        <v>5282</v>
      </c>
      <c r="S910" s="424" t="s">
        <v>2846</v>
      </c>
      <c r="T910" s="424" t="s">
        <v>3356</v>
      </c>
      <c r="U910" s="424">
        <v>0</v>
      </c>
      <c r="V910" s="424" t="s">
        <v>2824</v>
      </c>
      <c r="W910" s="424" t="s">
        <v>3055</v>
      </c>
      <c r="X910" s="424" t="s">
        <v>2825</v>
      </c>
      <c r="Y910" s="424" t="s">
        <v>2279</v>
      </c>
      <c r="Z910" s="424" t="s">
        <v>3260</v>
      </c>
      <c r="AA910" s="424" t="s">
        <v>3197</v>
      </c>
      <c r="AB910" s="424" t="s">
        <v>5270</v>
      </c>
      <c r="AC910" s="424" t="s">
        <v>1953</v>
      </c>
      <c r="AD910" s="424" t="s">
        <v>2851</v>
      </c>
      <c r="AE910" s="424" t="s">
        <v>5271</v>
      </c>
      <c r="AF910" s="424"/>
      <c r="AG910" s="424"/>
      <c r="AH910" s="424"/>
    </row>
    <row r="911" spans="1:34" x14ac:dyDescent="0.25">
      <c r="A911" s="423" t="s">
        <v>5142</v>
      </c>
      <c r="B911" s="423" t="s">
        <v>5283</v>
      </c>
      <c r="C911" s="423" t="s">
        <v>5144</v>
      </c>
      <c r="D911" s="423" t="s">
        <v>5145</v>
      </c>
      <c r="E911" s="423" t="s">
        <v>2818</v>
      </c>
      <c r="F911" s="423">
        <v>32</v>
      </c>
      <c r="G911" s="423">
        <v>42</v>
      </c>
      <c r="H911" s="423">
        <v>1200</v>
      </c>
      <c r="J911" s="423"/>
      <c r="K911" s="423"/>
      <c r="L911" s="423"/>
      <c r="M911" s="423"/>
      <c r="Q911" s="423"/>
      <c r="R911" s="424" t="s">
        <v>5284</v>
      </c>
      <c r="S911" s="424" t="s">
        <v>2846</v>
      </c>
      <c r="T911" s="424" t="s">
        <v>3356</v>
      </c>
      <c r="U911" s="424">
        <v>0</v>
      </c>
      <c r="V911" s="424" t="s">
        <v>2824</v>
      </c>
      <c r="W911" s="424" t="s">
        <v>3055</v>
      </c>
      <c r="X911" s="424" t="s">
        <v>2825</v>
      </c>
      <c r="Y911" s="424" t="s">
        <v>2279</v>
      </c>
      <c r="Z911" s="424" t="s">
        <v>3260</v>
      </c>
      <c r="AA911" s="424" t="s">
        <v>3197</v>
      </c>
      <c r="AB911" s="424" t="s">
        <v>5285</v>
      </c>
      <c r="AC911" s="424" t="s">
        <v>1953</v>
      </c>
      <c r="AD911" s="424" t="s">
        <v>2851</v>
      </c>
      <c r="AE911" s="424" t="s">
        <v>5271</v>
      </c>
      <c r="AF911" s="424"/>
      <c r="AG911" s="424"/>
      <c r="AH911" s="424"/>
    </row>
    <row r="912" spans="1:34" x14ac:dyDescent="0.25">
      <c r="A912" s="423" t="s">
        <v>5142</v>
      </c>
      <c r="B912" s="423" t="s">
        <v>5286</v>
      </c>
      <c r="C912" s="423" t="s">
        <v>5144</v>
      </c>
      <c r="D912" s="423" t="s">
        <v>5145</v>
      </c>
      <c r="E912" s="423" t="s">
        <v>2818</v>
      </c>
      <c r="F912" s="423">
        <v>32</v>
      </c>
      <c r="G912" s="423">
        <v>42</v>
      </c>
      <c r="H912" s="423">
        <v>1200</v>
      </c>
      <c r="J912" s="423"/>
      <c r="K912" s="423"/>
      <c r="L912" s="423"/>
      <c r="M912" s="423"/>
      <c r="Q912" s="423"/>
      <c r="R912" s="424" t="s">
        <v>5287</v>
      </c>
      <c r="S912" s="424" t="s">
        <v>2846</v>
      </c>
      <c r="T912" s="424" t="s">
        <v>3356</v>
      </c>
      <c r="U912" s="424">
        <v>0</v>
      </c>
      <c r="V912" s="424" t="s">
        <v>2824</v>
      </c>
      <c r="W912" s="424" t="s">
        <v>3055</v>
      </c>
      <c r="X912" s="424" t="s">
        <v>2825</v>
      </c>
      <c r="Y912" s="424" t="s">
        <v>2279</v>
      </c>
      <c r="Z912" s="424" t="s">
        <v>3260</v>
      </c>
      <c r="AA912" s="424" t="s">
        <v>3197</v>
      </c>
      <c r="AB912" s="424" t="s">
        <v>5285</v>
      </c>
      <c r="AC912" s="424" t="s">
        <v>1953</v>
      </c>
      <c r="AD912" s="424" t="s">
        <v>2851</v>
      </c>
      <c r="AE912" s="424" t="s">
        <v>5271</v>
      </c>
      <c r="AF912" s="424"/>
      <c r="AG912" s="424"/>
      <c r="AH912" s="424"/>
    </row>
    <row r="913" spans="1:34" x14ac:dyDescent="0.25">
      <c r="A913" s="423" t="s">
        <v>5142</v>
      </c>
      <c r="B913" s="423" t="s">
        <v>5288</v>
      </c>
      <c r="C913" s="423" t="s">
        <v>5144</v>
      </c>
      <c r="D913" s="423" t="s">
        <v>5145</v>
      </c>
      <c r="E913" s="423" t="s">
        <v>2818</v>
      </c>
      <c r="F913" s="423">
        <v>32</v>
      </c>
      <c r="G913" s="423">
        <v>42</v>
      </c>
      <c r="H913" s="423">
        <v>1200</v>
      </c>
      <c r="J913" s="423"/>
      <c r="K913" s="423"/>
      <c r="L913" s="423"/>
      <c r="M913" s="423"/>
      <c r="Q913" s="423"/>
      <c r="R913" s="424" t="s">
        <v>5289</v>
      </c>
      <c r="S913" s="424" t="s">
        <v>2846</v>
      </c>
      <c r="T913" s="424" t="s">
        <v>3356</v>
      </c>
      <c r="U913" s="424">
        <v>0</v>
      </c>
      <c r="V913" s="424" t="s">
        <v>2824</v>
      </c>
      <c r="W913" s="424" t="s">
        <v>3055</v>
      </c>
      <c r="X913" s="424" t="s">
        <v>2825</v>
      </c>
      <c r="Y913" s="424" t="s">
        <v>2279</v>
      </c>
      <c r="Z913" s="424" t="s">
        <v>3260</v>
      </c>
      <c r="AA913" s="424" t="s">
        <v>3197</v>
      </c>
      <c r="AB913" s="424" t="s">
        <v>5290</v>
      </c>
      <c r="AC913" s="424" t="s">
        <v>1953</v>
      </c>
      <c r="AD913" s="424" t="s">
        <v>2851</v>
      </c>
      <c r="AE913" s="424" t="s">
        <v>5271</v>
      </c>
      <c r="AF913" s="424"/>
      <c r="AG913" s="424"/>
      <c r="AH913" s="424"/>
    </row>
    <row r="914" spans="1:34" x14ac:dyDescent="0.25">
      <c r="A914" s="423" t="s">
        <v>5142</v>
      </c>
      <c r="B914" s="423" t="s">
        <v>5291</v>
      </c>
      <c r="C914" s="423" t="s">
        <v>5144</v>
      </c>
      <c r="D914" s="423" t="s">
        <v>5145</v>
      </c>
      <c r="E914" s="423" t="s">
        <v>2818</v>
      </c>
      <c r="F914" s="423">
        <v>32</v>
      </c>
      <c r="G914" s="423">
        <v>42</v>
      </c>
      <c r="H914" s="423">
        <v>1200</v>
      </c>
      <c r="J914" s="423"/>
      <c r="K914" s="423"/>
      <c r="L914" s="423"/>
      <c r="M914" s="423"/>
      <c r="Q914" s="423"/>
      <c r="R914" s="424" t="s">
        <v>5292</v>
      </c>
      <c r="S914" s="424" t="s">
        <v>2846</v>
      </c>
      <c r="T914" s="424" t="s">
        <v>3356</v>
      </c>
      <c r="U914" s="424">
        <v>0</v>
      </c>
      <c r="V914" s="424" t="s">
        <v>2824</v>
      </c>
      <c r="W914" s="424" t="s">
        <v>3055</v>
      </c>
      <c r="X914" s="424" t="s">
        <v>2825</v>
      </c>
      <c r="Y914" s="424" t="s">
        <v>2279</v>
      </c>
      <c r="Z914" s="424" t="s">
        <v>3260</v>
      </c>
      <c r="AA914" s="424" t="s">
        <v>3197</v>
      </c>
      <c r="AB914" s="424" t="s">
        <v>5290</v>
      </c>
      <c r="AC914" s="424" t="s">
        <v>1953</v>
      </c>
      <c r="AD914" s="424" t="s">
        <v>2851</v>
      </c>
      <c r="AE914" s="424" t="s">
        <v>5271</v>
      </c>
      <c r="AF914" s="424"/>
      <c r="AG914" s="424"/>
      <c r="AH914" s="424"/>
    </row>
    <row r="915" spans="1:34" x14ac:dyDescent="0.25">
      <c r="A915" s="423" t="s">
        <v>5142</v>
      </c>
      <c r="B915" s="423" t="s">
        <v>5293</v>
      </c>
      <c r="C915" s="423" t="s">
        <v>5144</v>
      </c>
      <c r="D915" s="423" t="s">
        <v>5145</v>
      </c>
      <c r="E915" s="423" t="s">
        <v>2818</v>
      </c>
      <c r="F915" s="423">
        <v>32</v>
      </c>
      <c r="G915" s="423">
        <v>42</v>
      </c>
      <c r="H915" s="423">
        <v>1200</v>
      </c>
      <c r="J915" s="423"/>
      <c r="K915" s="423"/>
      <c r="L915" s="423"/>
      <c r="M915" s="423"/>
      <c r="Q915" s="423"/>
      <c r="R915" s="424" t="s">
        <v>5294</v>
      </c>
      <c r="S915" s="424" t="s">
        <v>2846</v>
      </c>
      <c r="T915" s="424" t="s">
        <v>3356</v>
      </c>
      <c r="U915" s="424">
        <v>0</v>
      </c>
      <c r="V915" s="424" t="s">
        <v>2824</v>
      </c>
      <c r="W915" s="424" t="s">
        <v>3055</v>
      </c>
      <c r="X915" s="424" t="s">
        <v>2825</v>
      </c>
      <c r="Y915" s="424" t="s">
        <v>2279</v>
      </c>
      <c r="Z915" s="424" t="s">
        <v>3260</v>
      </c>
      <c r="AA915" s="424" t="s">
        <v>3197</v>
      </c>
      <c r="AB915" s="424" t="s">
        <v>5295</v>
      </c>
      <c r="AC915" s="424" t="s">
        <v>1953</v>
      </c>
      <c r="AD915" s="424" t="s">
        <v>2851</v>
      </c>
      <c r="AE915" s="424" t="s">
        <v>5296</v>
      </c>
      <c r="AF915" s="424"/>
      <c r="AG915" s="424"/>
      <c r="AH915" s="424"/>
    </row>
    <row r="916" spans="1:34" x14ac:dyDescent="0.25">
      <c r="A916" s="423" t="s">
        <v>5142</v>
      </c>
      <c r="B916" s="423" t="s">
        <v>5297</v>
      </c>
      <c r="C916" s="423" t="s">
        <v>5144</v>
      </c>
      <c r="D916" s="423" t="s">
        <v>5145</v>
      </c>
      <c r="E916" s="423" t="s">
        <v>2818</v>
      </c>
      <c r="F916" s="423">
        <v>12</v>
      </c>
      <c r="G916" s="423">
        <v>48</v>
      </c>
      <c r="H916" s="423">
        <v>1200</v>
      </c>
      <c r="J916" s="423"/>
      <c r="K916" s="423"/>
      <c r="L916" s="423"/>
      <c r="M916" s="423"/>
      <c r="Q916" s="423"/>
      <c r="R916" s="424" t="s">
        <v>5297</v>
      </c>
      <c r="S916" s="424" t="s">
        <v>2846</v>
      </c>
      <c r="T916" s="424" t="s">
        <v>3416</v>
      </c>
      <c r="U916" s="424">
        <v>0</v>
      </c>
      <c r="V916" s="424" t="s">
        <v>3269</v>
      </c>
      <c r="W916" s="424" t="s">
        <v>3176</v>
      </c>
      <c r="X916" s="424" t="s">
        <v>2825</v>
      </c>
      <c r="Y916" s="424" t="s">
        <v>2279</v>
      </c>
      <c r="Z916" s="424" t="s">
        <v>3260</v>
      </c>
      <c r="AA916" s="424" t="s">
        <v>3197</v>
      </c>
      <c r="AB916" s="424" t="s">
        <v>5298</v>
      </c>
      <c r="AC916" s="424" t="s">
        <v>1953</v>
      </c>
      <c r="AD916" s="424" t="s">
        <v>2851</v>
      </c>
      <c r="AE916" s="424" t="s">
        <v>3317</v>
      </c>
      <c r="AF916" s="424"/>
      <c r="AG916" s="424"/>
      <c r="AH916" s="424"/>
    </row>
    <row r="917" spans="1:34" x14ac:dyDescent="0.25">
      <c r="A917" s="423" t="s">
        <v>5142</v>
      </c>
      <c r="B917" s="423" t="s">
        <v>5299</v>
      </c>
      <c r="C917" s="423" t="s">
        <v>5144</v>
      </c>
      <c r="D917" s="423" t="s">
        <v>5145</v>
      </c>
      <c r="E917" s="423" t="s">
        <v>2818</v>
      </c>
      <c r="F917" s="423">
        <v>12</v>
      </c>
      <c r="G917" s="423">
        <v>48</v>
      </c>
      <c r="H917" s="423">
        <v>1200</v>
      </c>
      <c r="J917" s="423"/>
      <c r="K917" s="423"/>
      <c r="L917" s="423"/>
      <c r="M917" s="423"/>
      <c r="Q917" s="423"/>
      <c r="R917" s="424" t="s">
        <v>5299</v>
      </c>
      <c r="S917" s="424" t="s">
        <v>2846</v>
      </c>
      <c r="T917" s="424" t="s">
        <v>3416</v>
      </c>
      <c r="U917" s="424">
        <v>0</v>
      </c>
      <c r="V917" s="424" t="s">
        <v>3269</v>
      </c>
      <c r="W917" s="424" t="s">
        <v>3074</v>
      </c>
      <c r="X917" s="424" t="s">
        <v>2825</v>
      </c>
      <c r="Y917" s="424" t="s">
        <v>2279</v>
      </c>
      <c r="Z917" s="424" t="s">
        <v>3260</v>
      </c>
      <c r="AA917" s="424" t="s">
        <v>3197</v>
      </c>
      <c r="AB917" s="424" t="s">
        <v>3826</v>
      </c>
      <c r="AC917" s="424" t="s">
        <v>1953</v>
      </c>
      <c r="AD917" s="424" t="s">
        <v>2851</v>
      </c>
      <c r="AE917" s="424" t="s">
        <v>3550</v>
      </c>
      <c r="AF917" s="424"/>
      <c r="AG917" s="424"/>
      <c r="AH917" s="424"/>
    </row>
    <row r="918" spans="1:34" x14ac:dyDescent="0.25">
      <c r="A918" s="423" t="s">
        <v>5142</v>
      </c>
      <c r="B918" s="423" t="s">
        <v>5300</v>
      </c>
      <c r="C918" s="423" t="s">
        <v>5144</v>
      </c>
      <c r="D918" s="423" t="s">
        <v>5145</v>
      </c>
      <c r="E918" s="423" t="s">
        <v>2818</v>
      </c>
      <c r="F918" s="423">
        <v>16</v>
      </c>
      <c r="G918" s="423">
        <v>96</v>
      </c>
      <c r="H918" s="423">
        <v>1200</v>
      </c>
      <c r="J918" s="423"/>
      <c r="K918" s="423"/>
      <c r="L918" s="423"/>
      <c r="M918" s="423"/>
      <c r="Q918" s="423"/>
      <c r="R918" s="424" t="s">
        <v>5300</v>
      </c>
      <c r="S918" s="424" t="s">
        <v>2846</v>
      </c>
      <c r="T918" s="424" t="s">
        <v>3416</v>
      </c>
      <c r="U918" s="424">
        <v>0</v>
      </c>
      <c r="V918" s="424" t="s">
        <v>3269</v>
      </c>
      <c r="W918" s="424" t="s">
        <v>3176</v>
      </c>
      <c r="X918" s="424" t="s">
        <v>2825</v>
      </c>
      <c r="Y918" s="424" t="s">
        <v>2279</v>
      </c>
      <c r="Z918" s="424" t="s">
        <v>3260</v>
      </c>
      <c r="AA918" s="424" t="s">
        <v>3197</v>
      </c>
      <c r="AB918" s="424" t="s">
        <v>3531</v>
      </c>
      <c r="AC918" s="424" t="s">
        <v>1953</v>
      </c>
      <c r="AD918" s="424" t="s">
        <v>2851</v>
      </c>
      <c r="AE918" s="424" t="s">
        <v>3293</v>
      </c>
      <c r="AF918" s="424"/>
      <c r="AG918" s="424"/>
      <c r="AH918" s="424"/>
    </row>
    <row r="919" spans="1:34" x14ac:dyDescent="0.25">
      <c r="A919" s="423" t="s">
        <v>5142</v>
      </c>
      <c r="B919" s="423" t="s">
        <v>5301</v>
      </c>
      <c r="C919" s="423" t="s">
        <v>5144</v>
      </c>
      <c r="D919" s="423" t="s">
        <v>5145</v>
      </c>
      <c r="E919" s="423" t="s">
        <v>2818</v>
      </c>
      <c r="F919" s="423">
        <v>16</v>
      </c>
      <c r="G919" s="423">
        <v>96</v>
      </c>
      <c r="H919" s="423">
        <v>1200</v>
      </c>
      <c r="J919" s="423"/>
      <c r="K919" s="423"/>
      <c r="L919" s="423"/>
      <c r="M919" s="423"/>
      <c r="Q919" s="423"/>
      <c r="R919" s="424" t="s">
        <v>5301</v>
      </c>
      <c r="S919" s="424" t="s">
        <v>2846</v>
      </c>
      <c r="T919" s="424" t="s">
        <v>3416</v>
      </c>
      <c r="U919" s="424">
        <v>0</v>
      </c>
      <c r="V919" s="424" t="s">
        <v>3269</v>
      </c>
      <c r="W919" s="424" t="s">
        <v>3176</v>
      </c>
      <c r="X919" s="424" t="s">
        <v>2825</v>
      </c>
      <c r="Y919" s="424" t="s">
        <v>2279</v>
      </c>
      <c r="Z919" s="424" t="s">
        <v>3260</v>
      </c>
      <c r="AA919" s="424" t="s">
        <v>3197</v>
      </c>
      <c r="AB919" s="424" t="s">
        <v>3554</v>
      </c>
      <c r="AC919" s="424" t="s">
        <v>1953</v>
      </c>
      <c r="AD919" s="424" t="s">
        <v>2851</v>
      </c>
      <c r="AE919" s="424" t="s">
        <v>3317</v>
      </c>
      <c r="AF919" s="424"/>
      <c r="AG919" s="424"/>
      <c r="AH919" s="424"/>
    </row>
    <row r="920" spans="1:34" x14ac:dyDescent="0.25">
      <c r="A920" s="423" t="s">
        <v>5142</v>
      </c>
      <c r="B920" s="423" t="s">
        <v>5302</v>
      </c>
      <c r="C920" s="423" t="s">
        <v>5144</v>
      </c>
      <c r="D920" s="423" t="s">
        <v>5145</v>
      </c>
      <c r="E920" s="423" t="s">
        <v>2818</v>
      </c>
      <c r="F920" s="423">
        <v>16</v>
      </c>
      <c r="G920" s="423">
        <v>96</v>
      </c>
      <c r="H920" s="423">
        <v>1200</v>
      </c>
      <c r="J920" s="423"/>
      <c r="K920" s="423"/>
      <c r="L920" s="423"/>
      <c r="M920" s="423"/>
      <c r="Q920" s="423"/>
      <c r="R920" s="424" t="s">
        <v>5302</v>
      </c>
      <c r="S920" s="424" t="s">
        <v>2846</v>
      </c>
      <c r="T920" s="424" t="s">
        <v>3416</v>
      </c>
      <c r="U920" s="424">
        <v>0</v>
      </c>
      <c r="V920" s="424" t="s">
        <v>3269</v>
      </c>
      <c r="W920" s="424" t="s">
        <v>3054</v>
      </c>
      <c r="X920" s="424" t="s">
        <v>2825</v>
      </c>
      <c r="Y920" s="424" t="s">
        <v>2279</v>
      </c>
      <c r="Z920" s="424" t="s">
        <v>2889</v>
      </c>
      <c r="AA920" s="424" t="s">
        <v>3311</v>
      </c>
      <c r="AB920" s="424" t="s">
        <v>5303</v>
      </c>
      <c r="AC920" s="424" t="s">
        <v>1953</v>
      </c>
      <c r="AD920" s="424" t="s">
        <v>2851</v>
      </c>
      <c r="AE920" s="424" t="s">
        <v>5304</v>
      </c>
      <c r="AF920" s="424"/>
      <c r="AG920" s="424"/>
      <c r="AH920" s="424"/>
    </row>
    <row r="921" spans="1:34" x14ac:dyDescent="0.25">
      <c r="A921" s="423" t="s">
        <v>5142</v>
      </c>
      <c r="B921" s="423" t="s">
        <v>5305</v>
      </c>
      <c r="C921" s="423" t="s">
        <v>5144</v>
      </c>
      <c r="D921" s="423" t="s">
        <v>5145</v>
      </c>
      <c r="E921" s="423" t="s">
        <v>2818</v>
      </c>
      <c r="F921" s="423">
        <v>26</v>
      </c>
      <c r="G921" s="423">
        <v>64</v>
      </c>
      <c r="H921" s="423">
        <v>1200</v>
      </c>
      <c r="J921" s="423"/>
      <c r="K921" s="423"/>
      <c r="L921" s="423"/>
      <c r="M921" s="423"/>
      <c r="Q921" s="423"/>
      <c r="R921" s="424" t="s">
        <v>5305</v>
      </c>
      <c r="S921" s="424" t="s">
        <v>2846</v>
      </c>
      <c r="T921" s="424" t="s">
        <v>3416</v>
      </c>
      <c r="U921" s="424">
        <v>0</v>
      </c>
      <c r="V921" s="424" t="s">
        <v>3269</v>
      </c>
      <c r="W921" s="424" t="s">
        <v>3176</v>
      </c>
      <c r="X921" s="424" t="s">
        <v>2825</v>
      </c>
      <c r="Y921" s="424" t="s">
        <v>2279</v>
      </c>
      <c r="Z921" s="424" t="s">
        <v>3260</v>
      </c>
      <c r="AA921" s="424" t="s">
        <v>3197</v>
      </c>
      <c r="AB921" s="424" t="s">
        <v>5306</v>
      </c>
      <c r="AC921" s="424" t="s">
        <v>1953</v>
      </c>
      <c r="AD921" s="424" t="s">
        <v>2851</v>
      </c>
      <c r="AE921" s="424" t="s">
        <v>3293</v>
      </c>
      <c r="AF921" s="424"/>
      <c r="AG921" s="424"/>
      <c r="AH921" s="424"/>
    </row>
    <row r="922" spans="1:34" x14ac:dyDescent="0.25">
      <c r="A922" s="423" t="s">
        <v>5142</v>
      </c>
      <c r="B922" s="423" t="s">
        <v>5307</v>
      </c>
      <c r="C922" s="423" t="s">
        <v>5144</v>
      </c>
      <c r="D922" s="423" t="s">
        <v>5145</v>
      </c>
      <c r="E922" s="423" t="s">
        <v>2818</v>
      </c>
      <c r="F922" s="423">
        <v>26</v>
      </c>
      <c r="G922" s="423">
        <v>64</v>
      </c>
      <c r="H922" s="423">
        <v>1200</v>
      </c>
      <c r="J922" s="423"/>
      <c r="K922" s="423"/>
      <c r="L922" s="423"/>
      <c r="M922" s="423"/>
      <c r="Q922" s="423"/>
      <c r="R922" s="424" t="s">
        <v>5307</v>
      </c>
      <c r="S922" s="424" t="s">
        <v>2846</v>
      </c>
      <c r="T922" s="424" t="s">
        <v>3416</v>
      </c>
      <c r="U922" s="424">
        <v>0</v>
      </c>
      <c r="V922" s="424" t="s">
        <v>3269</v>
      </c>
      <c r="W922" s="424" t="s">
        <v>3176</v>
      </c>
      <c r="X922" s="424" t="s">
        <v>2825</v>
      </c>
      <c r="Y922" s="424" t="s">
        <v>2279</v>
      </c>
      <c r="Z922" s="424" t="s">
        <v>3260</v>
      </c>
      <c r="AA922" s="424" t="s">
        <v>3197</v>
      </c>
      <c r="AB922" s="424" t="s">
        <v>5308</v>
      </c>
      <c r="AC922" s="424" t="s">
        <v>1953</v>
      </c>
      <c r="AD922" s="424" t="s">
        <v>2851</v>
      </c>
      <c r="AE922" s="424" t="s">
        <v>3324</v>
      </c>
      <c r="AF922" s="424"/>
      <c r="AG922" s="424"/>
      <c r="AH922" s="424"/>
    </row>
    <row r="923" spans="1:34" x14ac:dyDescent="0.25">
      <c r="A923" s="423" t="s">
        <v>5142</v>
      </c>
      <c r="B923" s="423" t="s">
        <v>5309</v>
      </c>
      <c r="C923" s="423" t="s">
        <v>5144</v>
      </c>
      <c r="D923" s="423" t="s">
        <v>5145</v>
      </c>
      <c r="E923" s="423" t="s">
        <v>2818</v>
      </c>
      <c r="F923" s="423">
        <v>26</v>
      </c>
      <c r="G923" s="423">
        <v>64</v>
      </c>
      <c r="H923" s="423">
        <v>1200</v>
      </c>
      <c r="J923" s="423"/>
      <c r="K923" s="423"/>
      <c r="L923" s="423"/>
      <c r="M923" s="423"/>
      <c r="Q923" s="423"/>
      <c r="R923" s="424" t="s">
        <v>5309</v>
      </c>
      <c r="S923" s="424" t="s">
        <v>2846</v>
      </c>
      <c r="T923" s="424" t="s">
        <v>3416</v>
      </c>
      <c r="U923" s="424">
        <v>0</v>
      </c>
      <c r="V923" s="424" t="s">
        <v>3269</v>
      </c>
      <c r="W923" s="424" t="s">
        <v>3176</v>
      </c>
      <c r="X923" s="424" t="s">
        <v>2825</v>
      </c>
      <c r="Y923" s="424" t="s">
        <v>2279</v>
      </c>
      <c r="Z923" s="424" t="s">
        <v>3260</v>
      </c>
      <c r="AA923" s="424" t="s">
        <v>3197</v>
      </c>
      <c r="AB923" s="424" t="s">
        <v>3316</v>
      </c>
      <c r="AC923" s="424" t="s">
        <v>1953</v>
      </c>
      <c r="AD923" s="424" t="s">
        <v>2851</v>
      </c>
      <c r="AE923" s="424" t="s">
        <v>3317</v>
      </c>
      <c r="AF923" s="424"/>
      <c r="AG923" s="424"/>
      <c r="AH923" s="424"/>
    </row>
    <row r="924" spans="1:34" x14ac:dyDescent="0.25">
      <c r="A924" s="423" t="s">
        <v>5142</v>
      </c>
      <c r="B924" s="423" t="s">
        <v>5310</v>
      </c>
      <c r="C924" s="423" t="s">
        <v>5144</v>
      </c>
      <c r="D924" s="423" t="s">
        <v>5145</v>
      </c>
      <c r="E924" s="423" t="s">
        <v>2818</v>
      </c>
      <c r="F924" s="423">
        <v>16</v>
      </c>
      <c r="G924" s="423">
        <v>64</v>
      </c>
      <c r="H924" s="423">
        <v>1200</v>
      </c>
      <c r="J924" s="423"/>
      <c r="K924" s="423"/>
      <c r="L924" s="423"/>
      <c r="M924" s="423"/>
      <c r="Q924" s="423"/>
      <c r="R924" s="424" t="s">
        <v>5310</v>
      </c>
      <c r="S924" s="424" t="s">
        <v>2846</v>
      </c>
      <c r="T924" s="424" t="s">
        <v>3416</v>
      </c>
      <c r="U924" s="424">
        <v>0</v>
      </c>
      <c r="V924" s="424" t="s">
        <v>3269</v>
      </c>
      <c r="W924" s="424" t="s">
        <v>3054</v>
      </c>
      <c r="X924" s="424" t="s">
        <v>2825</v>
      </c>
      <c r="Y924" s="424" t="s">
        <v>2279</v>
      </c>
      <c r="Z924" s="424" t="s">
        <v>2889</v>
      </c>
      <c r="AA924" s="424" t="s">
        <v>3311</v>
      </c>
      <c r="AB924" s="424" t="s">
        <v>5311</v>
      </c>
      <c r="AC924" s="424" t="s">
        <v>1953</v>
      </c>
      <c r="AD924" s="424" t="s">
        <v>2851</v>
      </c>
      <c r="AE924" s="424" t="s">
        <v>5312</v>
      </c>
      <c r="AF924" s="424"/>
      <c r="AG924" s="424"/>
      <c r="AH924" s="424"/>
    </row>
    <row r="925" spans="1:34" x14ac:dyDescent="0.25">
      <c r="A925" s="423" t="s">
        <v>5142</v>
      </c>
      <c r="B925" s="423" t="s">
        <v>5313</v>
      </c>
      <c r="C925" s="423" t="s">
        <v>5144</v>
      </c>
      <c r="D925" s="423" t="s">
        <v>5145</v>
      </c>
      <c r="E925" s="423" t="s">
        <v>2818</v>
      </c>
      <c r="F925" s="423">
        <v>16</v>
      </c>
      <c r="G925" s="423">
        <v>64</v>
      </c>
      <c r="H925" s="423">
        <v>1200</v>
      </c>
      <c r="J925" s="423"/>
      <c r="K925" s="423"/>
      <c r="L925" s="423"/>
      <c r="M925" s="423"/>
      <c r="Q925" s="423"/>
      <c r="R925" s="424" t="s">
        <v>5313</v>
      </c>
      <c r="S925" s="424" t="s">
        <v>2846</v>
      </c>
      <c r="T925" s="424" t="s">
        <v>3416</v>
      </c>
      <c r="U925" s="424">
        <v>0</v>
      </c>
      <c r="V925" s="424" t="s">
        <v>3269</v>
      </c>
      <c r="W925" s="424" t="s">
        <v>3074</v>
      </c>
      <c r="X925" s="424" t="s">
        <v>2825</v>
      </c>
      <c r="Y925" s="424" t="s">
        <v>2279</v>
      </c>
      <c r="Z925" s="424" t="s">
        <v>3260</v>
      </c>
      <c r="AA925" s="424" t="s">
        <v>3197</v>
      </c>
      <c r="AB925" s="424" t="s">
        <v>5314</v>
      </c>
      <c r="AC925" s="424" t="s">
        <v>1953</v>
      </c>
      <c r="AD925" s="424" t="s">
        <v>2851</v>
      </c>
      <c r="AE925" s="424" t="s">
        <v>3550</v>
      </c>
      <c r="AF925" s="424"/>
      <c r="AG925" s="424"/>
      <c r="AH925" s="424"/>
    </row>
    <row r="926" spans="1:34" x14ac:dyDescent="0.25">
      <c r="A926" s="423" t="s">
        <v>5142</v>
      </c>
      <c r="B926" s="423" t="s">
        <v>5315</v>
      </c>
      <c r="C926" s="423" t="s">
        <v>5144</v>
      </c>
      <c r="D926" s="423" t="s">
        <v>5145</v>
      </c>
      <c r="E926" s="423" t="s">
        <v>2818</v>
      </c>
      <c r="F926" s="423">
        <v>24</v>
      </c>
      <c r="G926" s="423">
        <v>64</v>
      </c>
      <c r="H926" s="423">
        <v>1200</v>
      </c>
      <c r="J926" s="423"/>
      <c r="K926" s="423"/>
      <c r="L926" s="423"/>
      <c r="M926" s="423"/>
      <c r="Q926" s="423"/>
      <c r="R926" s="424" t="s">
        <v>5315</v>
      </c>
      <c r="S926" s="424" t="s">
        <v>2846</v>
      </c>
      <c r="T926" s="424" t="s">
        <v>3416</v>
      </c>
      <c r="U926" s="424">
        <v>0</v>
      </c>
      <c r="V926" s="424" t="s">
        <v>3269</v>
      </c>
      <c r="W926" s="424" t="s">
        <v>3074</v>
      </c>
      <c r="X926" s="424" t="s">
        <v>2825</v>
      </c>
      <c r="Y926" s="424" t="s">
        <v>2279</v>
      </c>
      <c r="Z926" s="424" t="s">
        <v>3260</v>
      </c>
      <c r="AA926" s="424" t="s">
        <v>3197</v>
      </c>
      <c r="AB926" s="424" t="s">
        <v>3857</v>
      </c>
      <c r="AC926" s="424" t="s">
        <v>1953</v>
      </c>
      <c r="AD926" s="424" t="s">
        <v>2851</v>
      </c>
      <c r="AE926" s="424" t="s">
        <v>3481</v>
      </c>
      <c r="AF926" s="424"/>
      <c r="AG926" s="424"/>
      <c r="AH926" s="424"/>
    </row>
    <row r="927" spans="1:34" x14ac:dyDescent="0.25">
      <c r="A927" s="423" t="s">
        <v>5142</v>
      </c>
      <c r="B927" s="423" t="s">
        <v>5316</v>
      </c>
      <c r="C927" s="423" t="s">
        <v>5144</v>
      </c>
      <c r="D927" s="423" t="s">
        <v>5145</v>
      </c>
      <c r="E927" s="423" t="s">
        <v>2818</v>
      </c>
      <c r="F927" s="423">
        <v>24</v>
      </c>
      <c r="G927" s="423">
        <v>64</v>
      </c>
      <c r="H927" s="423">
        <v>1200</v>
      </c>
      <c r="J927" s="423"/>
      <c r="K927" s="423"/>
      <c r="L927" s="423"/>
      <c r="M927" s="423"/>
      <c r="Q927" s="423"/>
      <c r="R927" s="424" t="s">
        <v>5316</v>
      </c>
      <c r="S927" s="424" t="s">
        <v>2846</v>
      </c>
      <c r="T927" s="424" t="s">
        <v>3416</v>
      </c>
      <c r="U927" s="424">
        <v>0</v>
      </c>
      <c r="V927" s="424" t="s">
        <v>3269</v>
      </c>
      <c r="W927" s="424" t="s">
        <v>3074</v>
      </c>
      <c r="X927" s="424" t="s">
        <v>2825</v>
      </c>
      <c r="Y927" s="424" t="s">
        <v>2279</v>
      </c>
      <c r="Z927" s="424" t="s">
        <v>3260</v>
      </c>
      <c r="AA927" s="424" t="s">
        <v>3197</v>
      </c>
      <c r="AB927" s="424" t="s">
        <v>5317</v>
      </c>
      <c r="AC927" s="424" t="s">
        <v>1953</v>
      </c>
      <c r="AD927" s="424" t="s">
        <v>2851</v>
      </c>
      <c r="AE927" s="424" t="s">
        <v>3481</v>
      </c>
      <c r="AF927" s="424"/>
      <c r="AG927" s="424"/>
      <c r="AH927" s="424"/>
    </row>
    <row r="928" spans="1:34" x14ac:dyDescent="0.25">
      <c r="A928" s="423" t="s">
        <v>5142</v>
      </c>
      <c r="B928" s="423" t="s">
        <v>5318</v>
      </c>
      <c r="C928" s="423" t="s">
        <v>5144</v>
      </c>
      <c r="D928" s="423" t="s">
        <v>5145</v>
      </c>
      <c r="E928" s="423" t="s">
        <v>2818</v>
      </c>
      <c r="F928" s="423">
        <v>24</v>
      </c>
      <c r="G928" s="423">
        <v>64</v>
      </c>
      <c r="H928" s="423">
        <v>1200</v>
      </c>
      <c r="J928" s="423"/>
      <c r="K928" s="423"/>
      <c r="L928" s="423"/>
      <c r="M928" s="423"/>
      <c r="Q928" s="423"/>
      <c r="R928" s="424" t="s">
        <v>5318</v>
      </c>
      <c r="S928" s="424" t="s">
        <v>2846</v>
      </c>
      <c r="T928" s="424" t="s">
        <v>3416</v>
      </c>
      <c r="U928" s="424">
        <v>0</v>
      </c>
      <c r="V928" s="424" t="s">
        <v>3269</v>
      </c>
      <c r="W928" s="424" t="s">
        <v>3176</v>
      </c>
      <c r="X928" s="424" t="s">
        <v>2825</v>
      </c>
      <c r="Y928" s="424" t="s">
        <v>2279</v>
      </c>
      <c r="Z928" s="424" t="s">
        <v>3260</v>
      </c>
      <c r="AA928" s="424" t="s">
        <v>3197</v>
      </c>
      <c r="AB928" s="424" t="s">
        <v>5319</v>
      </c>
      <c r="AC928" s="424" t="s">
        <v>1953</v>
      </c>
      <c r="AD928" s="424" t="s">
        <v>2851</v>
      </c>
      <c r="AE928" s="424" t="s">
        <v>3317</v>
      </c>
      <c r="AF928" s="424"/>
      <c r="AG928" s="424"/>
      <c r="AH928" s="424"/>
    </row>
    <row r="929" spans="1:34" x14ac:dyDescent="0.25">
      <c r="A929" s="423" t="s">
        <v>5142</v>
      </c>
      <c r="B929" s="423" t="s">
        <v>5320</v>
      </c>
      <c r="C929" s="423" t="s">
        <v>5144</v>
      </c>
      <c r="D929" s="423" t="s">
        <v>5145</v>
      </c>
      <c r="E929" s="423" t="s">
        <v>2818</v>
      </c>
      <c r="F929" s="423">
        <v>32</v>
      </c>
      <c r="G929" s="423">
        <v>64</v>
      </c>
      <c r="H929" s="423">
        <v>1200</v>
      </c>
      <c r="J929" s="423"/>
      <c r="K929" s="423"/>
      <c r="L929" s="423"/>
      <c r="M929" s="423"/>
      <c r="Q929" s="423"/>
      <c r="R929" s="424" t="s">
        <v>5320</v>
      </c>
      <c r="S929" s="424" t="s">
        <v>2846</v>
      </c>
      <c r="T929" s="424" t="s">
        <v>5019</v>
      </c>
      <c r="U929" s="424">
        <v>0</v>
      </c>
      <c r="V929" s="424" t="s">
        <v>3269</v>
      </c>
      <c r="W929" s="424" t="s">
        <v>3054</v>
      </c>
      <c r="X929" s="424" t="s">
        <v>2825</v>
      </c>
      <c r="Y929" s="424" t="s">
        <v>2279</v>
      </c>
      <c r="Z929" s="424" t="s">
        <v>2889</v>
      </c>
      <c r="AA929" s="424" t="s">
        <v>3311</v>
      </c>
      <c r="AB929" s="424" t="s">
        <v>5311</v>
      </c>
      <c r="AC929" s="424" t="s">
        <v>1953</v>
      </c>
      <c r="AD929" s="424" t="s">
        <v>2851</v>
      </c>
      <c r="AE929" s="424" t="s">
        <v>5312</v>
      </c>
      <c r="AF929" s="424"/>
      <c r="AG929" s="424"/>
      <c r="AH929" s="424"/>
    </row>
    <row r="930" spans="1:34" x14ac:dyDescent="0.25">
      <c r="A930" s="423" t="s">
        <v>5142</v>
      </c>
      <c r="B930" s="423" t="s">
        <v>5321</v>
      </c>
      <c r="C930" s="423" t="s">
        <v>5144</v>
      </c>
      <c r="D930" s="423" t="s">
        <v>5145</v>
      </c>
      <c r="E930" s="423" t="s">
        <v>2818</v>
      </c>
      <c r="F930" s="423">
        <v>32</v>
      </c>
      <c r="G930" s="423">
        <v>64</v>
      </c>
      <c r="H930" s="423">
        <v>1200</v>
      </c>
      <c r="J930" s="423"/>
      <c r="K930" s="423"/>
      <c r="L930" s="423"/>
      <c r="M930" s="423"/>
      <c r="Q930" s="423"/>
      <c r="R930" s="424" t="s">
        <v>5321</v>
      </c>
      <c r="S930" s="424" t="s">
        <v>2846</v>
      </c>
      <c r="T930" s="424" t="s">
        <v>5019</v>
      </c>
      <c r="U930" s="424">
        <v>0</v>
      </c>
      <c r="V930" s="424" t="s">
        <v>3269</v>
      </c>
      <c r="W930" s="424" t="s">
        <v>3176</v>
      </c>
      <c r="X930" s="424" t="s">
        <v>2825</v>
      </c>
      <c r="Y930" s="424" t="s">
        <v>2279</v>
      </c>
      <c r="Z930" s="424" t="s">
        <v>3260</v>
      </c>
      <c r="AA930" s="424" t="s">
        <v>3197</v>
      </c>
      <c r="AB930" s="424" t="s">
        <v>5319</v>
      </c>
      <c r="AC930" s="424" t="s">
        <v>1953</v>
      </c>
      <c r="AD930" s="424" t="s">
        <v>2851</v>
      </c>
      <c r="AE930" s="424" t="s">
        <v>3317</v>
      </c>
      <c r="AF930" s="424"/>
      <c r="AG930" s="424"/>
      <c r="AH930" s="424"/>
    </row>
    <row r="931" spans="1:34" x14ac:dyDescent="0.25">
      <c r="A931" s="423" t="s">
        <v>5142</v>
      </c>
      <c r="B931" s="423" t="s">
        <v>5322</v>
      </c>
      <c r="C931" s="423" t="s">
        <v>5144</v>
      </c>
      <c r="D931" s="423" t="s">
        <v>5145</v>
      </c>
      <c r="E931" s="423" t="s">
        <v>2818</v>
      </c>
      <c r="F931" s="423">
        <v>32</v>
      </c>
      <c r="G931" s="423">
        <v>64</v>
      </c>
      <c r="H931" s="423">
        <v>1200</v>
      </c>
      <c r="J931" s="423"/>
      <c r="K931" s="423"/>
      <c r="L931" s="423"/>
      <c r="M931" s="423"/>
      <c r="Q931" s="423"/>
      <c r="R931" s="424" t="s">
        <v>5322</v>
      </c>
      <c r="S931" s="424" t="s">
        <v>2846</v>
      </c>
      <c r="T931" s="424" t="s">
        <v>5019</v>
      </c>
      <c r="U931" s="424">
        <v>0</v>
      </c>
      <c r="V931" s="424" t="s">
        <v>3269</v>
      </c>
      <c r="W931" s="424">
        <v>0</v>
      </c>
      <c r="X931" s="424" t="s">
        <v>2825</v>
      </c>
      <c r="Y931" s="424" t="s">
        <v>2279</v>
      </c>
      <c r="Z931" s="424">
        <v>0</v>
      </c>
      <c r="AA931" s="424">
        <v>0</v>
      </c>
      <c r="AB931" s="424">
        <v>0</v>
      </c>
      <c r="AC931" s="424">
        <v>0</v>
      </c>
      <c r="AD931" s="424">
        <v>0</v>
      </c>
      <c r="AE931" s="424">
        <v>0</v>
      </c>
      <c r="AF931" s="424"/>
      <c r="AG931" s="424"/>
      <c r="AH931" s="424"/>
    </row>
    <row r="932" spans="1:34" x14ac:dyDescent="0.25">
      <c r="A932" s="423" t="s">
        <v>5142</v>
      </c>
      <c r="B932" s="423" t="s">
        <v>5323</v>
      </c>
      <c r="C932" s="423" t="s">
        <v>5144</v>
      </c>
      <c r="D932" s="423" t="s">
        <v>5145</v>
      </c>
      <c r="E932" s="423" t="s">
        <v>2818</v>
      </c>
      <c r="F932" s="423">
        <v>32</v>
      </c>
      <c r="G932" s="423">
        <v>64</v>
      </c>
      <c r="H932" s="423">
        <v>1200</v>
      </c>
      <c r="J932" s="423"/>
      <c r="K932" s="423"/>
      <c r="L932" s="423"/>
      <c r="M932" s="423"/>
      <c r="Q932" s="423"/>
      <c r="R932" s="424" t="s">
        <v>5323</v>
      </c>
      <c r="S932" s="424" t="s">
        <v>2846</v>
      </c>
      <c r="T932" s="424" t="s">
        <v>5019</v>
      </c>
      <c r="U932" s="424">
        <v>0</v>
      </c>
      <c r="V932" s="424" t="s">
        <v>3269</v>
      </c>
      <c r="W932" s="424">
        <v>0</v>
      </c>
      <c r="X932" s="424" t="s">
        <v>2825</v>
      </c>
      <c r="Y932" s="424" t="s">
        <v>2279</v>
      </c>
      <c r="Z932" s="424">
        <v>0</v>
      </c>
      <c r="AA932" s="424">
        <v>0</v>
      </c>
      <c r="AB932" s="424">
        <v>0</v>
      </c>
      <c r="AC932" s="424">
        <v>0</v>
      </c>
      <c r="AD932" s="424">
        <v>0</v>
      </c>
      <c r="AE932" s="424">
        <v>0</v>
      </c>
      <c r="AF932" s="424"/>
      <c r="AG932" s="424"/>
      <c r="AH932" s="424"/>
    </row>
    <row r="933" spans="1:34" x14ac:dyDescent="0.25">
      <c r="A933" s="423" t="s">
        <v>5142</v>
      </c>
      <c r="B933" s="423" t="s">
        <v>5324</v>
      </c>
      <c r="C933" s="423" t="s">
        <v>5144</v>
      </c>
      <c r="D933" s="423" t="s">
        <v>5145</v>
      </c>
      <c r="E933" s="423" t="s">
        <v>2818</v>
      </c>
      <c r="F933" s="423">
        <v>32</v>
      </c>
      <c r="G933" s="423">
        <v>64</v>
      </c>
      <c r="H933" s="423">
        <v>1200</v>
      </c>
      <c r="J933" s="423"/>
      <c r="K933" s="423"/>
      <c r="L933" s="423"/>
      <c r="M933" s="423"/>
      <c r="Q933" s="423"/>
      <c r="R933" s="424" t="s">
        <v>5325</v>
      </c>
      <c r="S933" s="424" t="s">
        <v>2846</v>
      </c>
      <c r="T933" s="424" t="s">
        <v>2870</v>
      </c>
      <c r="U933" s="424">
        <v>0</v>
      </c>
      <c r="V933" s="424" t="s">
        <v>5326</v>
      </c>
      <c r="W933" s="424" t="s">
        <v>3176</v>
      </c>
      <c r="X933" s="424" t="s">
        <v>2825</v>
      </c>
      <c r="Y933" s="424" t="s">
        <v>2279</v>
      </c>
      <c r="Z933" s="424" t="s">
        <v>2848</v>
      </c>
      <c r="AA933" s="424" t="s">
        <v>2855</v>
      </c>
      <c r="AB933" s="424" t="s">
        <v>5007</v>
      </c>
      <c r="AC933" s="424" t="s">
        <v>1953</v>
      </c>
      <c r="AD933" s="424" t="s">
        <v>2851</v>
      </c>
      <c r="AE933" s="424" t="s">
        <v>2901</v>
      </c>
      <c r="AF933" s="424"/>
      <c r="AG933" s="424"/>
      <c r="AH933" s="424"/>
    </row>
    <row r="934" spans="1:34" x14ac:dyDescent="0.25">
      <c r="A934" s="423" t="s">
        <v>5142</v>
      </c>
      <c r="B934" s="423" t="s">
        <v>5327</v>
      </c>
      <c r="C934" s="423" t="s">
        <v>5144</v>
      </c>
      <c r="D934" s="423" t="s">
        <v>5145</v>
      </c>
      <c r="E934" s="423" t="s">
        <v>2818</v>
      </c>
      <c r="F934" s="423">
        <v>32</v>
      </c>
      <c r="G934" s="423">
        <v>64</v>
      </c>
      <c r="H934" s="423">
        <v>1200</v>
      </c>
      <c r="J934" s="423"/>
      <c r="K934" s="423"/>
      <c r="L934" s="423"/>
      <c r="M934" s="423"/>
      <c r="Q934" s="423"/>
      <c r="R934" s="424" t="s">
        <v>5327</v>
      </c>
      <c r="S934" s="424" t="s">
        <v>2846</v>
      </c>
      <c r="T934" s="424" t="s">
        <v>5019</v>
      </c>
      <c r="U934" s="424">
        <v>0</v>
      </c>
      <c r="V934" s="424" t="s">
        <v>3269</v>
      </c>
      <c r="W934" s="424" t="s">
        <v>3055</v>
      </c>
      <c r="X934" s="424" t="s">
        <v>2825</v>
      </c>
      <c r="Y934" s="424" t="s">
        <v>2279</v>
      </c>
      <c r="Z934" s="424" t="s">
        <v>2872</v>
      </c>
      <c r="AA934" s="424" t="s">
        <v>2873</v>
      </c>
      <c r="AB934" s="424" t="s">
        <v>3110</v>
      </c>
      <c r="AC934" s="424" t="s">
        <v>1953</v>
      </c>
      <c r="AD934" s="424" t="s">
        <v>2875</v>
      </c>
      <c r="AE934" s="424" t="s">
        <v>2876</v>
      </c>
      <c r="AF934" s="424"/>
      <c r="AG934" s="424"/>
      <c r="AH934" s="424"/>
    </row>
    <row r="935" spans="1:34" x14ac:dyDescent="0.25">
      <c r="A935" s="423" t="s">
        <v>5142</v>
      </c>
      <c r="B935" s="423" t="s">
        <v>5328</v>
      </c>
      <c r="C935" s="423" t="s">
        <v>5144</v>
      </c>
      <c r="D935" s="423" t="s">
        <v>5145</v>
      </c>
      <c r="E935" s="423" t="s">
        <v>2818</v>
      </c>
      <c r="F935" s="423">
        <v>16</v>
      </c>
      <c r="G935" s="423">
        <v>64</v>
      </c>
      <c r="H935" s="423">
        <v>1200</v>
      </c>
      <c r="J935" s="423"/>
      <c r="K935" s="423"/>
      <c r="L935" s="423"/>
      <c r="M935" s="423"/>
      <c r="Q935" s="423"/>
      <c r="R935" s="424" t="s">
        <v>5329</v>
      </c>
      <c r="S935" s="424" t="s">
        <v>2846</v>
      </c>
      <c r="T935" s="424" t="s">
        <v>3356</v>
      </c>
      <c r="U935" s="424">
        <v>0</v>
      </c>
      <c r="V935" s="424" t="s">
        <v>3176</v>
      </c>
      <c r="W935" s="424" t="s">
        <v>3074</v>
      </c>
      <c r="X935" s="424" t="s">
        <v>2825</v>
      </c>
      <c r="Y935" s="424" t="s">
        <v>2279</v>
      </c>
      <c r="Z935" s="424" t="s">
        <v>2848</v>
      </c>
      <c r="AA935" s="424" t="s">
        <v>2855</v>
      </c>
      <c r="AB935" s="424" t="s">
        <v>5330</v>
      </c>
      <c r="AC935" s="424" t="s">
        <v>1953</v>
      </c>
      <c r="AD935" s="424" t="s">
        <v>2851</v>
      </c>
      <c r="AE935" s="424" t="s">
        <v>3444</v>
      </c>
      <c r="AF935" s="424"/>
      <c r="AG935" s="424"/>
      <c r="AH935" s="424"/>
    </row>
    <row r="936" spans="1:34" x14ac:dyDescent="0.25">
      <c r="A936" s="423" t="s">
        <v>5142</v>
      </c>
      <c r="B936" s="423" t="s">
        <v>5331</v>
      </c>
      <c r="C936" s="423" t="s">
        <v>5144</v>
      </c>
      <c r="D936" s="423" t="s">
        <v>5145</v>
      </c>
      <c r="E936" s="423" t="s">
        <v>2818</v>
      </c>
      <c r="F936" s="423">
        <v>16</v>
      </c>
      <c r="G936" s="423">
        <v>64</v>
      </c>
      <c r="H936" s="423">
        <v>1200</v>
      </c>
      <c r="J936" s="423"/>
      <c r="K936" s="423"/>
      <c r="L936" s="423"/>
      <c r="M936" s="423"/>
      <c r="Q936" s="423"/>
      <c r="R936" s="424" t="s">
        <v>5332</v>
      </c>
      <c r="S936" s="424" t="s">
        <v>2846</v>
      </c>
      <c r="T936" s="424" t="s">
        <v>3356</v>
      </c>
      <c r="U936" s="424">
        <v>0</v>
      </c>
      <c r="V936" s="424" t="s">
        <v>3176</v>
      </c>
      <c r="W936" s="424" t="s">
        <v>3074</v>
      </c>
      <c r="X936" s="424" t="s">
        <v>2825</v>
      </c>
      <c r="Y936" s="424" t="s">
        <v>2279</v>
      </c>
      <c r="Z936" s="424" t="s">
        <v>2848</v>
      </c>
      <c r="AA936" s="424" t="s">
        <v>2855</v>
      </c>
      <c r="AB936" s="424" t="s">
        <v>5333</v>
      </c>
      <c r="AC936" s="424" t="s">
        <v>1953</v>
      </c>
      <c r="AD936" s="424" t="s">
        <v>2851</v>
      </c>
      <c r="AE936" s="424" t="s">
        <v>3444</v>
      </c>
      <c r="AF936" s="424"/>
      <c r="AG936" s="424"/>
      <c r="AH936" s="424"/>
    </row>
    <row r="937" spans="1:34" x14ac:dyDescent="0.25">
      <c r="A937" s="423" t="s">
        <v>5142</v>
      </c>
      <c r="B937" s="423" t="s">
        <v>5334</v>
      </c>
      <c r="C937" s="423" t="s">
        <v>5144</v>
      </c>
      <c r="D937" s="423" t="s">
        <v>5145</v>
      </c>
      <c r="E937" s="423" t="s">
        <v>2818</v>
      </c>
      <c r="F937" s="423">
        <v>16</v>
      </c>
      <c r="G937" s="423">
        <v>64</v>
      </c>
      <c r="H937" s="423">
        <v>1200</v>
      </c>
      <c r="J937" s="423"/>
      <c r="K937" s="423"/>
      <c r="L937" s="423"/>
      <c r="M937" s="423"/>
      <c r="Q937" s="423"/>
      <c r="R937" s="424" t="s">
        <v>5335</v>
      </c>
      <c r="S937" s="424" t="s">
        <v>2846</v>
      </c>
      <c r="T937" s="424" t="s">
        <v>3356</v>
      </c>
      <c r="U937" s="424">
        <v>0</v>
      </c>
      <c r="V937" s="424" t="s">
        <v>3176</v>
      </c>
      <c r="W937" s="424" t="s">
        <v>3074</v>
      </c>
      <c r="X937" s="424" t="s">
        <v>2825</v>
      </c>
      <c r="Y937" s="424" t="s">
        <v>2279</v>
      </c>
      <c r="Z937" s="424" t="s">
        <v>2848</v>
      </c>
      <c r="AA937" s="424" t="s">
        <v>2855</v>
      </c>
      <c r="AB937" s="424" t="s">
        <v>5336</v>
      </c>
      <c r="AC937" s="424" t="s">
        <v>1953</v>
      </c>
      <c r="AD937" s="424" t="s">
        <v>2851</v>
      </c>
      <c r="AE937" s="424" t="s">
        <v>3444</v>
      </c>
      <c r="AF937" s="424"/>
      <c r="AG937" s="424"/>
      <c r="AH937" s="424"/>
    </row>
    <row r="938" spans="1:34" x14ac:dyDescent="0.25">
      <c r="A938" s="423" t="s">
        <v>5142</v>
      </c>
      <c r="B938" s="423" t="s">
        <v>5337</v>
      </c>
      <c r="C938" s="423" t="s">
        <v>5144</v>
      </c>
      <c r="D938" s="423" t="s">
        <v>5145</v>
      </c>
      <c r="E938" s="423" t="s">
        <v>2818</v>
      </c>
      <c r="F938" s="423">
        <v>16</v>
      </c>
      <c r="G938" s="423">
        <v>64</v>
      </c>
      <c r="H938" s="423">
        <v>1200</v>
      </c>
      <c r="J938" s="423"/>
      <c r="K938" s="423"/>
      <c r="L938" s="423"/>
      <c r="M938" s="423"/>
      <c r="Q938" s="423"/>
      <c r="R938" s="424" t="s">
        <v>5338</v>
      </c>
      <c r="S938" s="424" t="s">
        <v>2846</v>
      </c>
      <c r="T938" s="424" t="s">
        <v>3356</v>
      </c>
      <c r="U938" s="424">
        <v>0</v>
      </c>
      <c r="V938" s="424" t="s">
        <v>3176</v>
      </c>
      <c r="W938" s="424" t="s">
        <v>3074</v>
      </c>
      <c r="X938" s="424" t="s">
        <v>2825</v>
      </c>
      <c r="Y938" s="424" t="s">
        <v>2279</v>
      </c>
      <c r="Z938" s="424" t="s">
        <v>2848</v>
      </c>
      <c r="AA938" s="424" t="s">
        <v>2855</v>
      </c>
      <c r="AB938" s="424" t="s">
        <v>5339</v>
      </c>
      <c r="AC938" s="424" t="s">
        <v>1953</v>
      </c>
      <c r="AD938" s="424" t="s">
        <v>2851</v>
      </c>
      <c r="AE938" s="424" t="s">
        <v>3444</v>
      </c>
      <c r="AF938" s="424"/>
      <c r="AG938" s="424"/>
      <c r="AH938" s="424"/>
    </row>
    <row r="939" spans="1:34" x14ac:dyDescent="0.25">
      <c r="A939" s="423" t="s">
        <v>5142</v>
      </c>
      <c r="B939" s="423" t="s">
        <v>5340</v>
      </c>
      <c r="C939" s="423" t="s">
        <v>5144</v>
      </c>
      <c r="D939" s="423" t="s">
        <v>5145</v>
      </c>
      <c r="E939" s="423" t="s">
        <v>2818</v>
      </c>
      <c r="F939" s="423">
        <v>16</v>
      </c>
      <c r="G939" s="423">
        <v>64</v>
      </c>
      <c r="H939" s="423">
        <v>1200</v>
      </c>
      <c r="J939" s="423"/>
      <c r="K939" s="423"/>
      <c r="L939" s="423"/>
      <c r="M939" s="423"/>
      <c r="Q939" s="423"/>
      <c r="R939" s="424" t="s">
        <v>5341</v>
      </c>
      <c r="S939" s="424" t="s">
        <v>2846</v>
      </c>
      <c r="T939" s="424" t="s">
        <v>3356</v>
      </c>
      <c r="U939" s="424">
        <v>0</v>
      </c>
      <c r="V939" s="424" t="s">
        <v>3176</v>
      </c>
      <c r="W939" s="424" t="s">
        <v>3074</v>
      </c>
      <c r="X939" s="424" t="s">
        <v>2825</v>
      </c>
      <c r="Y939" s="424" t="s">
        <v>2279</v>
      </c>
      <c r="Z939" s="424" t="s">
        <v>2848</v>
      </c>
      <c r="AA939" s="424" t="s">
        <v>2855</v>
      </c>
      <c r="AB939" s="424" t="s">
        <v>5342</v>
      </c>
      <c r="AC939" s="424" t="s">
        <v>1953</v>
      </c>
      <c r="AD939" s="424" t="s">
        <v>2851</v>
      </c>
      <c r="AE939" s="424" t="s">
        <v>5343</v>
      </c>
      <c r="AF939" s="424"/>
      <c r="AG939" s="424"/>
      <c r="AH939" s="424"/>
    </row>
    <row r="940" spans="1:34" x14ac:dyDescent="0.25">
      <c r="A940" s="423" t="s">
        <v>5142</v>
      </c>
      <c r="B940" s="423" t="s">
        <v>5344</v>
      </c>
      <c r="C940" s="423" t="s">
        <v>5144</v>
      </c>
      <c r="D940" s="423" t="s">
        <v>5145</v>
      </c>
      <c r="E940" s="423" t="s">
        <v>2818</v>
      </c>
      <c r="F940" s="423">
        <v>16</v>
      </c>
      <c r="G940" s="423">
        <v>64</v>
      </c>
      <c r="H940" s="423">
        <v>1200</v>
      </c>
      <c r="J940" s="423"/>
      <c r="K940" s="423"/>
      <c r="L940" s="423"/>
      <c r="M940" s="423"/>
      <c r="Q940" s="423"/>
      <c r="R940" s="424" t="s">
        <v>5345</v>
      </c>
      <c r="S940" s="424" t="s">
        <v>2846</v>
      </c>
      <c r="T940" s="424" t="s">
        <v>3356</v>
      </c>
      <c r="U940" s="424">
        <v>0</v>
      </c>
      <c r="V940" s="424" t="s">
        <v>3176</v>
      </c>
      <c r="W940" s="424" t="s">
        <v>3074</v>
      </c>
      <c r="X940" s="424" t="s">
        <v>2825</v>
      </c>
      <c r="Y940" s="424" t="s">
        <v>2279</v>
      </c>
      <c r="Z940" s="424" t="s">
        <v>2848</v>
      </c>
      <c r="AA940" s="424" t="s">
        <v>2855</v>
      </c>
      <c r="AB940" s="424" t="s">
        <v>5346</v>
      </c>
      <c r="AC940" s="424" t="s">
        <v>1953</v>
      </c>
      <c r="AD940" s="424" t="s">
        <v>2851</v>
      </c>
      <c r="AE940" s="424" t="s">
        <v>5343</v>
      </c>
      <c r="AF940" s="424"/>
      <c r="AG940" s="424"/>
      <c r="AH940" s="424"/>
    </row>
    <row r="941" spans="1:34" x14ac:dyDescent="0.25">
      <c r="A941" s="423" t="s">
        <v>5142</v>
      </c>
      <c r="B941" s="423" t="s">
        <v>5347</v>
      </c>
      <c r="C941" s="423" t="s">
        <v>5144</v>
      </c>
      <c r="D941" s="423" t="s">
        <v>5145</v>
      </c>
      <c r="E941" s="423" t="s">
        <v>2818</v>
      </c>
      <c r="F941" s="423">
        <v>16</v>
      </c>
      <c r="G941" s="423">
        <v>64</v>
      </c>
      <c r="H941" s="423">
        <v>1200</v>
      </c>
      <c r="J941" s="423"/>
      <c r="K941" s="423"/>
      <c r="L941" s="423"/>
      <c r="M941" s="423"/>
      <c r="Q941" s="423"/>
      <c r="R941" s="424" t="s">
        <v>5348</v>
      </c>
      <c r="S941" s="424" t="s">
        <v>2846</v>
      </c>
      <c r="T941" s="424" t="s">
        <v>3356</v>
      </c>
      <c r="U941" s="424">
        <v>0</v>
      </c>
      <c r="V941" s="424" t="s">
        <v>3176</v>
      </c>
      <c r="W941" s="424" t="s">
        <v>3074</v>
      </c>
      <c r="X941" s="424" t="s">
        <v>2825</v>
      </c>
      <c r="Y941" s="424" t="s">
        <v>2279</v>
      </c>
      <c r="Z941" s="424" t="s">
        <v>2848</v>
      </c>
      <c r="AA941" s="424" t="s">
        <v>2855</v>
      </c>
      <c r="AB941" s="424" t="s">
        <v>5349</v>
      </c>
      <c r="AC941" s="424" t="s">
        <v>1953</v>
      </c>
      <c r="AD941" s="424" t="s">
        <v>2851</v>
      </c>
      <c r="AE941" s="424" t="s">
        <v>5343</v>
      </c>
      <c r="AF941" s="424"/>
      <c r="AG941" s="424"/>
      <c r="AH941" s="424"/>
    </row>
    <row r="942" spans="1:34" x14ac:dyDescent="0.25">
      <c r="A942" s="423" t="s">
        <v>5142</v>
      </c>
      <c r="B942" s="423" t="s">
        <v>5350</v>
      </c>
      <c r="C942" s="423" t="s">
        <v>5144</v>
      </c>
      <c r="D942" s="423" t="s">
        <v>5145</v>
      </c>
      <c r="E942" s="423" t="s">
        <v>2818</v>
      </c>
      <c r="F942" s="423">
        <v>16</v>
      </c>
      <c r="G942" s="423">
        <v>64</v>
      </c>
      <c r="H942" s="423">
        <v>1200</v>
      </c>
      <c r="J942" s="423"/>
      <c r="K942" s="423"/>
      <c r="L942" s="423"/>
      <c r="M942" s="423"/>
      <c r="Q942" s="423"/>
      <c r="R942" s="424" t="s">
        <v>5351</v>
      </c>
      <c r="S942" s="424" t="s">
        <v>2846</v>
      </c>
      <c r="T942" s="424" t="s">
        <v>3356</v>
      </c>
      <c r="U942" s="424">
        <v>0</v>
      </c>
      <c r="V942" s="424" t="s">
        <v>3176</v>
      </c>
      <c r="W942" s="424" t="s">
        <v>3074</v>
      </c>
      <c r="X942" s="424" t="s">
        <v>2825</v>
      </c>
      <c r="Y942" s="424" t="s">
        <v>2279</v>
      </c>
      <c r="Z942" s="424" t="s">
        <v>2848</v>
      </c>
      <c r="AA942" s="424" t="s">
        <v>2855</v>
      </c>
      <c r="AB942" s="424" t="s">
        <v>5352</v>
      </c>
      <c r="AC942" s="424" t="s">
        <v>1953</v>
      </c>
      <c r="AD942" s="424" t="s">
        <v>2851</v>
      </c>
      <c r="AE942" s="424" t="s">
        <v>3444</v>
      </c>
      <c r="AF942" s="424"/>
      <c r="AG942" s="424"/>
      <c r="AH942" s="424"/>
    </row>
    <row r="943" spans="1:34" x14ac:dyDescent="0.25">
      <c r="A943" s="423" t="s">
        <v>5142</v>
      </c>
      <c r="B943" s="423" t="s">
        <v>5353</v>
      </c>
      <c r="C943" s="423" t="s">
        <v>5144</v>
      </c>
      <c r="D943" s="423" t="s">
        <v>5145</v>
      </c>
      <c r="E943" s="423" t="s">
        <v>2818</v>
      </c>
      <c r="F943" s="423">
        <v>16</v>
      </c>
      <c r="G943" s="423">
        <v>64</v>
      </c>
      <c r="H943" s="423">
        <v>1200</v>
      </c>
      <c r="J943" s="423"/>
      <c r="K943" s="423"/>
      <c r="L943" s="423"/>
      <c r="M943" s="423"/>
      <c r="Q943" s="423"/>
      <c r="R943" s="424" t="s">
        <v>5354</v>
      </c>
      <c r="S943" s="424" t="s">
        <v>2846</v>
      </c>
      <c r="T943" s="424" t="s">
        <v>3356</v>
      </c>
      <c r="U943" s="424">
        <v>0</v>
      </c>
      <c r="V943" s="424" t="s">
        <v>3176</v>
      </c>
      <c r="W943" s="424" t="s">
        <v>3074</v>
      </c>
      <c r="X943" s="424" t="s">
        <v>2825</v>
      </c>
      <c r="Y943" s="424" t="s">
        <v>2279</v>
      </c>
      <c r="Z943" s="424" t="s">
        <v>2848</v>
      </c>
      <c r="AA943" s="424" t="s">
        <v>2855</v>
      </c>
      <c r="AB943" s="424" t="s">
        <v>5355</v>
      </c>
      <c r="AC943" s="424" t="s">
        <v>1953</v>
      </c>
      <c r="AD943" s="424" t="s">
        <v>2851</v>
      </c>
      <c r="AE943" s="424" t="s">
        <v>3158</v>
      </c>
      <c r="AF943" s="424"/>
      <c r="AG943" s="424"/>
      <c r="AH943" s="424"/>
    </row>
    <row r="944" spans="1:34" x14ac:dyDescent="0.25">
      <c r="A944" s="423" t="s">
        <v>5142</v>
      </c>
      <c r="B944" s="423" t="s">
        <v>5356</v>
      </c>
      <c r="C944" s="423" t="s">
        <v>5144</v>
      </c>
      <c r="D944" s="423" t="s">
        <v>5145</v>
      </c>
      <c r="E944" s="423" t="s">
        <v>2818</v>
      </c>
      <c r="F944" s="423">
        <v>16</v>
      </c>
      <c r="G944" s="423">
        <v>64</v>
      </c>
      <c r="H944" s="423">
        <v>1200</v>
      </c>
      <c r="J944" s="423"/>
      <c r="K944" s="423"/>
      <c r="L944" s="423"/>
      <c r="M944" s="423"/>
      <c r="Q944" s="423"/>
      <c r="R944" s="424" t="s">
        <v>5357</v>
      </c>
      <c r="S944" s="424" t="s">
        <v>2846</v>
      </c>
      <c r="T944" s="424" t="s">
        <v>3356</v>
      </c>
      <c r="U944" s="424">
        <v>0</v>
      </c>
      <c r="V944" s="424" t="s">
        <v>3176</v>
      </c>
      <c r="W944" s="424" t="s">
        <v>3074</v>
      </c>
      <c r="X944" s="424" t="s">
        <v>2825</v>
      </c>
      <c r="Y944" s="424" t="s">
        <v>2279</v>
      </c>
      <c r="Z944" s="424" t="s">
        <v>2848</v>
      </c>
      <c r="AA944" s="424" t="s">
        <v>2855</v>
      </c>
      <c r="AB944" s="424" t="s">
        <v>5358</v>
      </c>
      <c r="AC944" s="424" t="s">
        <v>1953</v>
      </c>
      <c r="AD944" s="424" t="s">
        <v>2851</v>
      </c>
      <c r="AE944" s="424" t="s">
        <v>3158</v>
      </c>
      <c r="AF944" s="424"/>
      <c r="AG944" s="424"/>
      <c r="AH944" s="424"/>
    </row>
    <row r="945" spans="1:34" x14ac:dyDescent="0.25">
      <c r="A945" s="423" t="s">
        <v>5142</v>
      </c>
      <c r="B945" s="423" t="s">
        <v>5359</v>
      </c>
      <c r="C945" s="423" t="s">
        <v>5144</v>
      </c>
      <c r="D945" s="423" t="s">
        <v>5145</v>
      </c>
      <c r="E945" s="423" t="s">
        <v>2818</v>
      </c>
      <c r="F945" s="423">
        <v>16</v>
      </c>
      <c r="G945" s="423">
        <v>64</v>
      </c>
      <c r="H945" s="423">
        <v>1200</v>
      </c>
      <c r="J945" s="423"/>
      <c r="K945" s="423"/>
      <c r="L945" s="423"/>
      <c r="M945" s="423"/>
      <c r="Q945" s="423"/>
      <c r="R945" s="424" t="s">
        <v>5360</v>
      </c>
      <c r="S945" s="424" t="s">
        <v>2846</v>
      </c>
      <c r="T945" s="424" t="s">
        <v>3356</v>
      </c>
      <c r="U945" s="424">
        <v>0</v>
      </c>
      <c r="V945" s="424" t="s">
        <v>3176</v>
      </c>
      <c r="W945" s="424" t="s">
        <v>3074</v>
      </c>
      <c r="X945" s="424" t="s">
        <v>2825</v>
      </c>
      <c r="Y945" s="424" t="s">
        <v>2279</v>
      </c>
      <c r="Z945" s="424" t="s">
        <v>2848</v>
      </c>
      <c r="AA945" s="424" t="s">
        <v>2855</v>
      </c>
      <c r="AB945" s="424" t="s">
        <v>5361</v>
      </c>
      <c r="AC945" s="424" t="s">
        <v>1953</v>
      </c>
      <c r="AD945" s="424" t="s">
        <v>2851</v>
      </c>
      <c r="AE945" s="424" t="s">
        <v>3444</v>
      </c>
      <c r="AF945" s="424"/>
      <c r="AG945" s="424"/>
      <c r="AH945" s="424"/>
    </row>
    <row r="946" spans="1:34" x14ac:dyDescent="0.25">
      <c r="A946" s="423" t="s">
        <v>5142</v>
      </c>
      <c r="B946" s="423" t="s">
        <v>5362</v>
      </c>
      <c r="C946" s="423" t="s">
        <v>5144</v>
      </c>
      <c r="D946" s="423" t="s">
        <v>5145</v>
      </c>
      <c r="E946" s="423" t="s">
        <v>2818</v>
      </c>
      <c r="F946" s="423">
        <v>32</v>
      </c>
      <c r="G946" s="423">
        <v>64</v>
      </c>
      <c r="H946" s="423">
        <v>1200</v>
      </c>
      <c r="J946" s="423"/>
      <c r="K946" s="423"/>
      <c r="L946" s="423"/>
      <c r="M946" s="423"/>
      <c r="Q946" s="423"/>
      <c r="R946" s="424" t="s">
        <v>5362</v>
      </c>
      <c r="S946" s="424" t="s">
        <v>2846</v>
      </c>
      <c r="T946" s="424" t="s">
        <v>3356</v>
      </c>
      <c r="U946" s="424">
        <v>0</v>
      </c>
      <c r="V946" s="424" t="s">
        <v>3269</v>
      </c>
      <c r="W946" s="424" t="s">
        <v>3074</v>
      </c>
      <c r="X946" s="424" t="s">
        <v>2825</v>
      </c>
      <c r="Y946" s="424" t="s">
        <v>2279</v>
      </c>
      <c r="Z946" s="424" t="s">
        <v>2848</v>
      </c>
      <c r="AA946" s="424" t="s">
        <v>2849</v>
      </c>
      <c r="AB946" s="424" t="s">
        <v>3439</v>
      </c>
      <c r="AC946" s="424" t="s">
        <v>1953</v>
      </c>
      <c r="AD946" s="424" t="s">
        <v>2851</v>
      </c>
      <c r="AE946" s="424" t="s">
        <v>3440</v>
      </c>
      <c r="AF946" s="424"/>
      <c r="AG946" s="424"/>
      <c r="AH946" s="424"/>
    </row>
    <row r="947" spans="1:34" x14ac:dyDescent="0.25">
      <c r="A947" s="423" t="s">
        <v>5142</v>
      </c>
      <c r="B947" s="423" t="s">
        <v>5363</v>
      </c>
      <c r="C947" s="423" t="s">
        <v>5144</v>
      </c>
      <c r="D947" s="423" t="s">
        <v>5145</v>
      </c>
      <c r="E947" s="423" t="s">
        <v>2818</v>
      </c>
      <c r="F947" s="423">
        <v>32</v>
      </c>
      <c r="G947" s="423">
        <v>64</v>
      </c>
      <c r="H947" s="423">
        <v>1200</v>
      </c>
      <c r="J947" s="423"/>
      <c r="K947" s="423"/>
      <c r="L947" s="423"/>
      <c r="M947" s="423"/>
      <c r="Q947" s="423"/>
      <c r="R947" s="424" t="s">
        <v>5363</v>
      </c>
      <c r="S947" s="424" t="s">
        <v>2846</v>
      </c>
      <c r="T947" s="424" t="s">
        <v>3356</v>
      </c>
      <c r="U947" s="424">
        <v>0</v>
      </c>
      <c r="V947" s="424" t="s">
        <v>3269</v>
      </c>
      <c r="W947" s="424" t="s">
        <v>3074</v>
      </c>
      <c r="X947" s="424" t="s">
        <v>2825</v>
      </c>
      <c r="Y947" s="424" t="s">
        <v>2279</v>
      </c>
      <c r="Z947" s="424" t="s">
        <v>2848</v>
      </c>
      <c r="AA947" s="424" t="s">
        <v>2849</v>
      </c>
      <c r="AB947" s="424" t="s">
        <v>3286</v>
      </c>
      <c r="AC947" s="424" t="s">
        <v>1953</v>
      </c>
      <c r="AD947" s="424" t="s">
        <v>2851</v>
      </c>
      <c r="AE947" s="424" t="s">
        <v>3287</v>
      </c>
      <c r="AF947" s="424"/>
      <c r="AG947" s="424"/>
      <c r="AH947" s="424"/>
    </row>
    <row r="948" spans="1:34" x14ac:dyDescent="0.25">
      <c r="A948" s="423" t="s">
        <v>5142</v>
      </c>
      <c r="B948" s="423" t="s">
        <v>5364</v>
      </c>
      <c r="C948" s="423" t="s">
        <v>5144</v>
      </c>
      <c r="D948" s="423" t="s">
        <v>5145</v>
      </c>
      <c r="E948" s="423" t="s">
        <v>2818</v>
      </c>
      <c r="F948" s="423">
        <v>32</v>
      </c>
      <c r="G948" s="423">
        <v>64</v>
      </c>
      <c r="H948" s="423">
        <v>1200</v>
      </c>
      <c r="J948" s="423"/>
      <c r="K948" s="423"/>
      <c r="L948" s="423"/>
      <c r="M948" s="423"/>
      <c r="Q948" s="423"/>
      <c r="R948" s="424" t="s">
        <v>5364</v>
      </c>
      <c r="S948" s="424" t="s">
        <v>2846</v>
      </c>
      <c r="T948" s="424" t="s">
        <v>3356</v>
      </c>
      <c r="U948" s="424">
        <v>0</v>
      </c>
      <c r="V948" s="424" t="s">
        <v>3269</v>
      </c>
      <c r="W948" s="424" t="s">
        <v>3074</v>
      </c>
      <c r="X948" s="424" t="s">
        <v>2825</v>
      </c>
      <c r="Y948" s="424" t="s">
        <v>2279</v>
      </c>
      <c r="Z948" s="424" t="s">
        <v>2848</v>
      </c>
      <c r="AA948" s="424" t="s">
        <v>2849</v>
      </c>
      <c r="AB948" s="424" t="s">
        <v>3450</v>
      </c>
      <c r="AC948" s="424" t="s">
        <v>1953</v>
      </c>
      <c r="AD948" s="424" t="s">
        <v>2851</v>
      </c>
      <c r="AE948" s="424" t="s">
        <v>3440</v>
      </c>
      <c r="AF948" s="424"/>
      <c r="AG948" s="424"/>
      <c r="AH948" s="424"/>
    </row>
    <row r="949" spans="1:34" x14ac:dyDescent="0.25">
      <c r="A949" s="423" t="s">
        <v>5142</v>
      </c>
      <c r="B949" s="423" t="s">
        <v>5365</v>
      </c>
      <c r="C949" s="423" t="s">
        <v>5144</v>
      </c>
      <c r="D949" s="423" t="s">
        <v>5145</v>
      </c>
      <c r="E949" s="423" t="s">
        <v>2818</v>
      </c>
      <c r="F949" s="423">
        <v>32</v>
      </c>
      <c r="G949" s="423">
        <v>64</v>
      </c>
      <c r="H949" s="423">
        <v>1200</v>
      </c>
      <c r="J949" s="423"/>
      <c r="K949" s="423"/>
      <c r="L949" s="423"/>
      <c r="M949" s="423"/>
      <c r="Q949" s="423"/>
      <c r="R949" s="424" t="s">
        <v>5365</v>
      </c>
      <c r="S949" s="424" t="s">
        <v>2846</v>
      </c>
      <c r="T949" s="424" t="s">
        <v>3356</v>
      </c>
      <c r="U949" s="424">
        <v>0</v>
      </c>
      <c r="V949" s="424" t="s">
        <v>3269</v>
      </c>
      <c r="W949" s="424" t="s">
        <v>3074</v>
      </c>
      <c r="X949" s="424" t="s">
        <v>2825</v>
      </c>
      <c r="Y949" s="424" t="s">
        <v>2279</v>
      </c>
      <c r="Z949" s="424" t="s">
        <v>2848</v>
      </c>
      <c r="AA949" s="424" t="s">
        <v>2849</v>
      </c>
      <c r="AB949" s="424" t="s">
        <v>4175</v>
      </c>
      <c r="AC949" s="424" t="s">
        <v>1953</v>
      </c>
      <c r="AD949" s="424" t="s">
        <v>2851</v>
      </c>
      <c r="AE949" s="424" t="s">
        <v>3444</v>
      </c>
      <c r="AF949" s="424"/>
      <c r="AG949" s="424"/>
      <c r="AH949" s="424"/>
    </row>
    <row r="950" spans="1:34" x14ac:dyDescent="0.25">
      <c r="A950" s="423" t="s">
        <v>5142</v>
      </c>
      <c r="B950" s="423" t="s">
        <v>5366</v>
      </c>
      <c r="C950" s="423" t="s">
        <v>5144</v>
      </c>
      <c r="D950" s="423" t="s">
        <v>5145</v>
      </c>
      <c r="E950" s="423" t="s">
        <v>2818</v>
      </c>
      <c r="F950" s="423">
        <v>32</v>
      </c>
      <c r="G950" s="423">
        <v>64</v>
      </c>
      <c r="H950" s="423">
        <v>1200</v>
      </c>
      <c r="J950" s="423"/>
      <c r="K950" s="423"/>
      <c r="L950" s="423"/>
      <c r="M950" s="423"/>
      <c r="Q950" s="423"/>
      <c r="R950" s="424" t="s">
        <v>5366</v>
      </c>
      <c r="S950" s="424" t="s">
        <v>2846</v>
      </c>
      <c r="T950" s="424" t="s">
        <v>3356</v>
      </c>
      <c r="U950" s="424">
        <v>0</v>
      </c>
      <c r="V950" s="424" t="s">
        <v>3269</v>
      </c>
      <c r="W950" s="424" t="s">
        <v>3074</v>
      </c>
      <c r="X950" s="424" t="s">
        <v>2825</v>
      </c>
      <c r="Y950" s="424" t="s">
        <v>2279</v>
      </c>
      <c r="Z950" s="424" t="s">
        <v>2848</v>
      </c>
      <c r="AA950" s="424" t="s">
        <v>2849</v>
      </c>
      <c r="AB950" s="424" t="s">
        <v>4171</v>
      </c>
      <c r="AC950" s="424" t="s">
        <v>1953</v>
      </c>
      <c r="AD950" s="424" t="s">
        <v>2851</v>
      </c>
      <c r="AE950" s="424" t="s">
        <v>3436</v>
      </c>
      <c r="AF950" s="424"/>
      <c r="AG950" s="424"/>
      <c r="AH950" s="424"/>
    </row>
    <row r="951" spans="1:34" x14ac:dyDescent="0.25">
      <c r="A951" s="423" t="s">
        <v>5142</v>
      </c>
      <c r="B951" s="423" t="s">
        <v>5367</v>
      </c>
      <c r="C951" s="423" t="s">
        <v>5144</v>
      </c>
      <c r="D951" s="423" t="s">
        <v>5145</v>
      </c>
      <c r="E951" s="423" t="s">
        <v>2818</v>
      </c>
      <c r="F951" s="423">
        <v>16</v>
      </c>
      <c r="G951" s="423">
        <v>64</v>
      </c>
      <c r="H951" s="423">
        <v>1200</v>
      </c>
      <c r="J951" s="423"/>
      <c r="K951" s="423"/>
      <c r="L951" s="423"/>
      <c r="M951" s="423"/>
      <c r="Q951" s="423"/>
      <c r="R951" s="424" t="s">
        <v>5367</v>
      </c>
      <c r="S951" s="424" t="s">
        <v>2846</v>
      </c>
      <c r="T951" s="424" t="s">
        <v>3356</v>
      </c>
      <c r="U951" s="424">
        <v>0</v>
      </c>
      <c r="V951" s="424" t="s">
        <v>3269</v>
      </c>
      <c r="W951" s="424" t="s">
        <v>3074</v>
      </c>
      <c r="X951" s="424" t="s">
        <v>2825</v>
      </c>
      <c r="Y951" s="424" t="s">
        <v>2279</v>
      </c>
      <c r="Z951" s="424" t="s">
        <v>2848</v>
      </c>
      <c r="AA951" s="424" t="s">
        <v>2849</v>
      </c>
      <c r="AB951" s="424" t="s">
        <v>3879</v>
      </c>
      <c r="AC951" s="424" t="s">
        <v>1953</v>
      </c>
      <c r="AD951" s="424" t="s">
        <v>2851</v>
      </c>
      <c r="AE951" s="424" t="s">
        <v>3436</v>
      </c>
      <c r="AF951" s="424"/>
      <c r="AG951" s="424"/>
      <c r="AH951" s="424"/>
    </row>
    <row r="952" spans="1:34" x14ac:dyDescent="0.25">
      <c r="A952" s="423" t="s">
        <v>5142</v>
      </c>
      <c r="B952" s="423" t="s">
        <v>5368</v>
      </c>
      <c r="C952" s="423" t="s">
        <v>5144</v>
      </c>
      <c r="D952" s="423" t="s">
        <v>5145</v>
      </c>
      <c r="E952" s="423" t="s">
        <v>2818</v>
      </c>
      <c r="F952" s="423">
        <v>16</v>
      </c>
      <c r="G952" s="423">
        <v>64</v>
      </c>
      <c r="H952" s="423">
        <v>1200</v>
      </c>
      <c r="J952" s="423"/>
      <c r="K952" s="423"/>
      <c r="L952" s="423"/>
      <c r="M952" s="423"/>
      <c r="Q952" s="423"/>
      <c r="R952" s="424" t="s">
        <v>5368</v>
      </c>
      <c r="S952" s="424" t="s">
        <v>2846</v>
      </c>
      <c r="T952" s="424" t="s">
        <v>3356</v>
      </c>
      <c r="U952" s="424">
        <v>0</v>
      </c>
      <c r="V952" s="424" t="s">
        <v>3269</v>
      </c>
      <c r="W952" s="424" t="s">
        <v>3074</v>
      </c>
      <c r="X952" s="424" t="s">
        <v>2825</v>
      </c>
      <c r="Y952" s="424" t="s">
        <v>2279</v>
      </c>
      <c r="Z952" s="424" t="s">
        <v>2848</v>
      </c>
      <c r="AA952" s="424" t="s">
        <v>2849</v>
      </c>
      <c r="AB952" s="424" t="s">
        <v>5369</v>
      </c>
      <c r="AC952" s="424" t="s">
        <v>1953</v>
      </c>
      <c r="AD952" s="424" t="s">
        <v>2851</v>
      </c>
      <c r="AE952" s="424" t="s">
        <v>3436</v>
      </c>
      <c r="AF952" s="424"/>
      <c r="AG952" s="424"/>
      <c r="AH952" s="424"/>
    </row>
    <row r="953" spans="1:34" x14ac:dyDescent="0.25">
      <c r="A953" s="423" t="s">
        <v>5142</v>
      </c>
      <c r="B953" s="423" t="s">
        <v>5370</v>
      </c>
      <c r="C953" s="423" t="s">
        <v>5144</v>
      </c>
      <c r="D953" s="423" t="s">
        <v>5145</v>
      </c>
      <c r="E953" s="423" t="s">
        <v>2818</v>
      </c>
      <c r="F953" s="423">
        <v>24</v>
      </c>
      <c r="G953" s="423">
        <v>64</v>
      </c>
      <c r="H953" s="423">
        <v>1200</v>
      </c>
      <c r="J953" s="423"/>
      <c r="K953" s="423"/>
      <c r="L953" s="423"/>
      <c r="M953" s="423"/>
      <c r="Q953" s="423"/>
      <c r="R953" s="424" t="s">
        <v>5370</v>
      </c>
      <c r="S953" s="424" t="s">
        <v>2846</v>
      </c>
      <c r="T953" s="424" t="s">
        <v>5371</v>
      </c>
      <c r="U953" s="424">
        <v>0</v>
      </c>
      <c r="V953" s="424" t="s">
        <v>3269</v>
      </c>
      <c r="W953" s="424">
        <v>0</v>
      </c>
      <c r="X953" s="424" t="s">
        <v>2825</v>
      </c>
      <c r="Y953" s="424" t="s">
        <v>2279</v>
      </c>
      <c r="Z953" s="424">
        <v>0</v>
      </c>
      <c r="AA953" s="424">
        <v>0</v>
      </c>
      <c r="AB953" s="424">
        <v>0</v>
      </c>
      <c r="AC953" s="424">
        <v>0</v>
      </c>
      <c r="AD953" s="424">
        <v>0</v>
      </c>
      <c r="AE953" s="424">
        <v>0</v>
      </c>
      <c r="AF953" s="424"/>
      <c r="AG953" s="424"/>
      <c r="AH953" s="424"/>
    </row>
    <row r="954" spans="1:34" x14ac:dyDescent="0.25">
      <c r="A954" s="423" t="s">
        <v>5142</v>
      </c>
      <c r="B954" s="423" t="s">
        <v>5372</v>
      </c>
      <c r="C954" s="423" t="s">
        <v>5144</v>
      </c>
      <c r="D954" s="423" t="s">
        <v>5145</v>
      </c>
      <c r="E954" s="423" t="s">
        <v>2818</v>
      </c>
      <c r="F954" s="423">
        <v>24</v>
      </c>
      <c r="G954" s="423">
        <v>64</v>
      </c>
      <c r="H954" s="423">
        <v>1200</v>
      </c>
      <c r="J954" s="423"/>
      <c r="K954" s="423"/>
      <c r="L954" s="423"/>
      <c r="M954" s="423"/>
      <c r="Q954" s="423"/>
      <c r="R954" s="424" t="s">
        <v>5372</v>
      </c>
      <c r="S954" s="424" t="s">
        <v>2846</v>
      </c>
      <c r="T954" s="424" t="s">
        <v>5371</v>
      </c>
      <c r="U954" s="424">
        <v>0</v>
      </c>
      <c r="V954" s="424" t="s">
        <v>3269</v>
      </c>
      <c r="W954" s="424">
        <v>0</v>
      </c>
      <c r="X954" s="424" t="s">
        <v>2825</v>
      </c>
      <c r="Y954" s="424" t="s">
        <v>2279</v>
      </c>
      <c r="Z954" s="424">
        <v>0</v>
      </c>
      <c r="AA954" s="424">
        <v>0</v>
      </c>
      <c r="AB954" s="424">
        <v>0</v>
      </c>
      <c r="AC954" s="424">
        <v>0</v>
      </c>
      <c r="AD954" s="424">
        <v>0</v>
      </c>
      <c r="AE954" s="424">
        <v>0</v>
      </c>
      <c r="AF954" s="424"/>
      <c r="AG954" s="424"/>
      <c r="AH954" s="424"/>
    </row>
    <row r="955" spans="1:34" x14ac:dyDescent="0.25">
      <c r="A955" s="423" t="s">
        <v>5142</v>
      </c>
      <c r="B955" s="423" t="s">
        <v>5373</v>
      </c>
      <c r="C955" s="423" t="s">
        <v>5144</v>
      </c>
      <c r="D955" s="423" t="s">
        <v>5145</v>
      </c>
      <c r="E955" s="423" t="s">
        <v>2818</v>
      </c>
      <c r="F955" s="423">
        <v>16</v>
      </c>
      <c r="G955" s="423">
        <v>64</v>
      </c>
      <c r="H955" s="423">
        <v>1200</v>
      </c>
      <c r="J955" s="423"/>
      <c r="K955" s="423"/>
      <c r="L955" s="423"/>
      <c r="M955" s="423"/>
      <c r="Q955" s="423"/>
      <c r="R955" s="424" t="s">
        <v>5373</v>
      </c>
      <c r="S955" s="424" t="s">
        <v>2846</v>
      </c>
      <c r="T955" s="424" t="s">
        <v>5374</v>
      </c>
      <c r="U955" s="424">
        <v>0</v>
      </c>
      <c r="V955" s="424" t="s">
        <v>3269</v>
      </c>
      <c r="W955" s="424" t="s">
        <v>3055</v>
      </c>
      <c r="X955" s="424" t="s">
        <v>2825</v>
      </c>
      <c r="Y955" s="424" t="s">
        <v>2279</v>
      </c>
      <c r="Z955" s="424" t="s">
        <v>2889</v>
      </c>
      <c r="AA955" s="424" t="s">
        <v>2890</v>
      </c>
      <c r="AB955" s="424" t="s">
        <v>3581</v>
      </c>
      <c r="AC955" s="424" t="s">
        <v>1953</v>
      </c>
      <c r="AD955" s="424" t="s">
        <v>2851</v>
      </c>
      <c r="AE955" s="424" t="s">
        <v>3462</v>
      </c>
      <c r="AF955" s="424"/>
      <c r="AG955" s="424"/>
      <c r="AH955" s="424"/>
    </row>
    <row r="956" spans="1:34" x14ac:dyDescent="0.25">
      <c r="A956" s="423" t="s">
        <v>5142</v>
      </c>
      <c r="B956" s="423" t="s">
        <v>5375</v>
      </c>
      <c r="C956" s="423" t="s">
        <v>5144</v>
      </c>
      <c r="D956" s="423" t="s">
        <v>5145</v>
      </c>
      <c r="E956" s="423" t="s">
        <v>2818</v>
      </c>
      <c r="F956" s="423">
        <v>16</v>
      </c>
      <c r="G956" s="423">
        <v>64</v>
      </c>
      <c r="H956" s="423">
        <v>1200</v>
      </c>
      <c r="J956" s="423"/>
      <c r="K956" s="423"/>
      <c r="L956" s="423"/>
      <c r="M956" s="423"/>
      <c r="Q956" s="423"/>
      <c r="R956" s="424" t="s">
        <v>5375</v>
      </c>
      <c r="S956" s="424" t="s">
        <v>2846</v>
      </c>
      <c r="T956" s="424" t="s">
        <v>3356</v>
      </c>
      <c r="U956" s="424">
        <v>0</v>
      </c>
      <c r="V956" s="424" t="s">
        <v>3269</v>
      </c>
      <c r="W956" s="424" t="s">
        <v>3074</v>
      </c>
      <c r="X956" s="424" t="s">
        <v>2825</v>
      </c>
      <c r="Y956" s="424" t="s">
        <v>2279</v>
      </c>
      <c r="Z956" s="424" t="s">
        <v>2848</v>
      </c>
      <c r="AA956" s="424" t="s">
        <v>2849</v>
      </c>
      <c r="AB956" s="424" t="s">
        <v>2860</v>
      </c>
      <c r="AC956" s="424" t="s">
        <v>1953</v>
      </c>
      <c r="AD956" s="424" t="s">
        <v>2851</v>
      </c>
      <c r="AE956" s="424" t="s">
        <v>2861</v>
      </c>
      <c r="AF956" s="424"/>
      <c r="AG956" s="424"/>
      <c r="AH956" s="424"/>
    </row>
    <row r="957" spans="1:34" x14ac:dyDescent="0.25">
      <c r="A957" s="423" t="s">
        <v>5142</v>
      </c>
      <c r="B957" s="423" t="s">
        <v>5376</v>
      </c>
      <c r="C957" s="423" t="s">
        <v>5144</v>
      </c>
      <c r="D957" s="423" t="s">
        <v>5145</v>
      </c>
      <c r="E957" s="423" t="s">
        <v>2818</v>
      </c>
      <c r="F957" s="423">
        <v>32</v>
      </c>
      <c r="G957" s="423">
        <v>64</v>
      </c>
      <c r="H957" s="423">
        <v>1200</v>
      </c>
      <c r="J957" s="423"/>
      <c r="K957" s="423"/>
      <c r="L957" s="423"/>
      <c r="M957" s="423"/>
      <c r="Q957" s="423"/>
      <c r="R957" s="424" t="s">
        <v>5377</v>
      </c>
      <c r="S957" s="424" t="s">
        <v>2846</v>
      </c>
      <c r="T957" s="424" t="s">
        <v>3356</v>
      </c>
      <c r="U957" s="424">
        <v>0</v>
      </c>
      <c r="V957" s="424" t="s">
        <v>2824</v>
      </c>
      <c r="W957" s="424" t="s">
        <v>3054</v>
      </c>
      <c r="X957" s="424" t="s">
        <v>2825</v>
      </c>
      <c r="Y957" s="424" t="s">
        <v>2279</v>
      </c>
      <c r="Z957" s="424" t="s">
        <v>3260</v>
      </c>
      <c r="AA957" s="424" t="s">
        <v>3327</v>
      </c>
      <c r="AB957" s="424" t="s">
        <v>5378</v>
      </c>
      <c r="AC957" s="424" t="s">
        <v>1953</v>
      </c>
      <c r="AD957" s="424" t="s">
        <v>3329</v>
      </c>
      <c r="AE957" s="424" t="s">
        <v>5379</v>
      </c>
      <c r="AF957" s="424"/>
      <c r="AG957" s="424"/>
      <c r="AH957" s="424"/>
    </row>
    <row r="958" spans="1:34" x14ac:dyDescent="0.25">
      <c r="A958" s="423" t="s">
        <v>5142</v>
      </c>
      <c r="B958" s="423" t="s">
        <v>5380</v>
      </c>
      <c r="C958" s="423" t="s">
        <v>5144</v>
      </c>
      <c r="D958" s="423" t="s">
        <v>5145</v>
      </c>
      <c r="E958" s="423" t="s">
        <v>2818</v>
      </c>
      <c r="F958" s="423">
        <v>30</v>
      </c>
      <c r="G958" s="423">
        <v>64</v>
      </c>
      <c r="H958" s="423">
        <v>1200</v>
      </c>
      <c r="J958" s="423"/>
      <c r="K958" s="423"/>
      <c r="L958" s="423"/>
      <c r="M958" s="423"/>
      <c r="Q958" s="423"/>
      <c r="R958" s="424" t="s">
        <v>5380</v>
      </c>
      <c r="S958" s="424" t="s">
        <v>2846</v>
      </c>
      <c r="T958" s="424" t="s">
        <v>3356</v>
      </c>
      <c r="U958" s="424">
        <v>0</v>
      </c>
      <c r="V958" s="424" t="s">
        <v>3269</v>
      </c>
      <c r="W958" s="424" t="s">
        <v>3074</v>
      </c>
      <c r="X958" s="424" t="s">
        <v>2825</v>
      </c>
      <c r="Y958" s="424" t="s">
        <v>2279</v>
      </c>
      <c r="Z958" s="424" t="s">
        <v>2848</v>
      </c>
      <c r="AA958" s="424" t="s">
        <v>2849</v>
      </c>
      <c r="AB958" s="424" t="s">
        <v>4171</v>
      </c>
      <c r="AC958" s="424" t="s">
        <v>1953</v>
      </c>
      <c r="AD958" s="424" t="s">
        <v>2851</v>
      </c>
      <c r="AE958" s="424" t="s">
        <v>3436</v>
      </c>
      <c r="AF958" s="424"/>
      <c r="AG958" s="424"/>
      <c r="AH958" s="424"/>
    </row>
    <row r="959" spans="1:34" x14ac:dyDescent="0.25">
      <c r="A959" s="423" t="s">
        <v>5142</v>
      </c>
      <c r="B959" s="423" t="s">
        <v>5381</v>
      </c>
      <c r="C959" s="423" t="s">
        <v>5144</v>
      </c>
      <c r="D959" s="423" t="s">
        <v>5145</v>
      </c>
      <c r="E959" s="423" t="s">
        <v>2818</v>
      </c>
      <c r="F959" s="423">
        <v>30</v>
      </c>
      <c r="G959" s="423">
        <v>64</v>
      </c>
      <c r="H959" s="423">
        <v>1200</v>
      </c>
      <c r="J959" s="423"/>
      <c r="K959" s="423"/>
      <c r="L959" s="423"/>
      <c r="M959" s="423"/>
      <c r="Q959" s="423"/>
      <c r="R959" s="424" t="s">
        <v>5381</v>
      </c>
      <c r="S959" s="424" t="s">
        <v>2846</v>
      </c>
      <c r="T959" s="424" t="s">
        <v>3356</v>
      </c>
      <c r="U959" s="424">
        <v>0</v>
      </c>
      <c r="V959" s="424" t="s">
        <v>3269</v>
      </c>
      <c r="W959" s="424" t="s">
        <v>3074</v>
      </c>
      <c r="X959" s="424" t="s">
        <v>2825</v>
      </c>
      <c r="Y959" s="424" t="s">
        <v>2279</v>
      </c>
      <c r="Z959" s="424" t="s">
        <v>2848</v>
      </c>
      <c r="AA959" s="424" t="s">
        <v>2849</v>
      </c>
      <c r="AB959" s="424" t="s">
        <v>3616</v>
      </c>
      <c r="AC959" s="424" t="s">
        <v>1953</v>
      </c>
      <c r="AD959" s="424" t="s">
        <v>2851</v>
      </c>
      <c r="AE959" s="424" t="s">
        <v>3444</v>
      </c>
      <c r="AF959" s="424"/>
      <c r="AG959" s="424"/>
      <c r="AH959" s="424"/>
    </row>
    <row r="960" spans="1:34" x14ac:dyDescent="0.25">
      <c r="A960" s="423" t="s">
        <v>5142</v>
      </c>
      <c r="B960" s="423" t="s">
        <v>5382</v>
      </c>
      <c r="C960" s="423" t="s">
        <v>5144</v>
      </c>
      <c r="D960" s="423" t="s">
        <v>5145</v>
      </c>
      <c r="E960" s="423" t="s">
        <v>2818</v>
      </c>
      <c r="F960" s="423">
        <v>32</v>
      </c>
      <c r="G960" s="423">
        <v>64</v>
      </c>
      <c r="H960" s="423">
        <v>1200</v>
      </c>
      <c r="J960" s="423"/>
      <c r="K960" s="423"/>
      <c r="L960" s="423"/>
      <c r="M960" s="423"/>
      <c r="Q960" s="423"/>
      <c r="R960" s="424" t="s">
        <v>5383</v>
      </c>
      <c r="S960" s="424" t="s">
        <v>2846</v>
      </c>
      <c r="T960" s="424" t="s">
        <v>3356</v>
      </c>
      <c r="U960" s="424">
        <v>0</v>
      </c>
      <c r="V960" s="424" t="s">
        <v>2824</v>
      </c>
      <c r="W960" s="424" t="s">
        <v>3054</v>
      </c>
      <c r="X960" s="424" t="s">
        <v>2825</v>
      </c>
      <c r="Y960" s="424" t="s">
        <v>2279</v>
      </c>
      <c r="Z960" s="424" t="s">
        <v>3260</v>
      </c>
      <c r="AA960" s="424" t="s">
        <v>3327</v>
      </c>
      <c r="AB960" s="424" t="s">
        <v>5384</v>
      </c>
      <c r="AC960" s="424" t="s">
        <v>1953</v>
      </c>
      <c r="AD960" s="424" t="s">
        <v>3329</v>
      </c>
      <c r="AE960" s="424" t="s">
        <v>3632</v>
      </c>
      <c r="AF960" s="424"/>
      <c r="AG960" s="424"/>
      <c r="AH960" s="424"/>
    </row>
    <row r="961" spans="1:34" x14ac:dyDescent="0.25">
      <c r="A961" s="423" t="s">
        <v>5142</v>
      </c>
      <c r="B961" s="423" t="s">
        <v>5385</v>
      </c>
      <c r="C961" s="423" t="s">
        <v>5144</v>
      </c>
      <c r="D961" s="423" t="s">
        <v>5145</v>
      </c>
      <c r="E961" s="423" t="s">
        <v>2818</v>
      </c>
      <c r="F961" s="423">
        <v>32</v>
      </c>
      <c r="G961" s="423">
        <v>64</v>
      </c>
      <c r="H961" s="423">
        <v>1200</v>
      </c>
      <c r="J961" s="423"/>
      <c r="K961" s="423"/>
      <c r="L961" s="423"/>
      <c r="M961" s="423"/>
      <c r="Q961" s="423"/>
      <c r="R961" s="424" t="s">
        <v>5386</v>
      </c>
      <c r="S961" s="424" t="s">
        <v>2846</v>
      </c>
      <c r="T961" s="424" t="s">
        <v>3356</v>
      </c>
      <c r="U961" s="424">
        <v>0</v>
      </c>
      <c r="V961" s="424" t="s">
        <v>2824</v>
      </c>
      <c r="W961" s="424" t="s">
        <v>3055</v>
      </c>
      <c r="X961" s="424" t="s">
        <v>2825</v>
      </c>
      <c r="Y961" s="424" t="s">
        <v>2279</v>
      </c>
      <c r="Z961" s="424" t="s">
        <v>3260</v>
      </c>
      <c r="AA961" s="424" t="s">
        <v>3327</v>
      </c>
      <c r="AB961" s="424" t="s">
        <v>5387</v>
      </c>
      <c r="AC961" s="424" t="s">
        <v>1953</v>
      </c>
      <c r="AD961" s="424" t="s">
        <v>3329</v>
      </c>
      <c r="AE961" s="424" t="s">
        <v>3632</v>
      </c>
      <c r="AF961" s="424"/>
      <c r="AG961" s="424"/>
      <c r="AH961" s="424"/>
    </row>
    <row r="962" spans="1:34" x14ac:dyDescent="0.25">
      <c r="A962" s="423" t="s">
        <v>5142</v>
      </c>
      <c r="B962" s="423" t="s">
        <v>5388</v>
      </c>
      <c r="C962" s="423" t="s">
        <v>5144</v>
      </c>
      <c r="D962" s="423" t="s">
        <v>5145</v>
      </c>
      <c r="E962" s="423" t="s">
        <v>2818</v>
      </c>
      <c r="F962" s="423">
        <v>32</v>
      </c>
      <c r="G962" s="423">
        <v>64</v>
      </c>
      <c r="H962" s="423">
        <v>1200</v>
      </c>
      <c r="J962" s="423"/>
      <c r="K962" s="423"/>
      <c r="L962" s="423"/>
      <c r="M962" s="423"/>
      <c r="Q962" s="423"/>
      <c r="R962" s="424" t="s">
        <v>5389</v>
      </c>
      <c r="S962" s="424" t="s">
        <v>2846</v>
      </c>
      <c r="T962" s="424" t="s">
        <v>3356</v>
      </c>
      <c r="U962" s="424">
        <v>0</v>
      </c>
      <c r="V962" s="424" t="s">
        <v>2824</v>
      </c>
      <c r="W962" s="424" t="s">
        <v>3055</v>
      </c>
      <c r="X962" s="424" t="s">
        <v>2825</v>
      </c>
      <c r="Y962" s="424" t="s">
        <v>2279</v>
      </c>
      <c r="Z962" s="424" t="s">
        <v>3260</v>
      </c>
      <c r="AA962" s="424" t="s">
        <v>3327</v>
      </c>
      <c r="AB962" s="424" t="s">
        <v>5390</v>
      </c>
      <c r="AC962" s="424" t="s">
        <v>1953</v>
      </c>
      <c r="AD962" s="424" t="s">
        <v>3329</v>
      </c>
      <c r="AE962" s="424" t="s">
        <v>3632</v>
      </c>
      <c r="AF962" s="424"/>
      <c r="AG962" s="424"/>
      <c r="AH962" s="424"/>
    </row>
    <row r="963" spans="1:34" x14ac:dyDescent="0.25">
      <c r="A963" s="423" t="s">
        <v>5142</v>
      </c>
      <c r="B963" s="423" t="s">
        <v>5391</v>
      </c>
      <c r="C963" s="423" t="s">
        <v>5144</v>
      </c>
      <c r="D963" s="423" t="s">
        <v>5145</v>
      </c>
      <c r="E963" s="423" t="s">
        <v>2818</v>
      </c>
      <c r="F963" s="423">
        <v>32</v>
      </c>
      <c r="G963" s="423">
        <v>64</v>
      </c>
      <c r="H963" s="423">
        <v>1200</v>
      </c>
      <c r="J963" s="423"/>
      <c r="K963" s="423"/>
      <c r="L963" s="423"/>
      <c r="M963" s="423"/>
      <c r="Q963" s="423"/>
      <c r="R963" s="424" t="s">
        <v>5392</v>
      </c>
      <c r="S963" s="424" t="s">
        <v>2846</v>
      </c>
      <c r="T963" s="424" t="s">
        <v>3356</v>
      </c>
      <c r="U963" s="424">
        <v>0</v>
      </c>
      <c r="V963" s="424" t="s">
        <v>2824</v>
      </c>
      <c r="W963" s="424" t="s">
        <v>3054</v>
      </c>
      <c r="X963" s="424" t="s">
        <v>2825</v>
      </c>
      <c r="Y963" s="424" t="s">
        <v>2279</v>
      </c>
      <c r="Z963" s="424" t="s">
        <v>3260</v>
      </c>
      <c r="AA963" s="424" t="s">
        <v>3327</v>
      </c>
      <c r="AB963" s="424" t="s">
        <v>5393</v>
      </c>
      <c r="AC963" s="424" t="s">
        <v>1953</v>
      </c>
      <c r="AD963" s="424" t="s">
        <v>3329</v>
      </c>
      <c r="AE963" s="424" t="s">
        <v>5379</v>
      </c>
      <c r="AF963" s="424"/>
      <c r="AG963" s="424"/>
      <c r="AH963" s="424"/>
    </row>
    <row r="964" spans="1:34" x14ac:dyDescent="0.25">
      <c r="A964" s="423" t="s">
        <v>5142</v>
      </c>
      <c r="B964" s="423" t="s">
        <v>5394</v>
      </c>
      <c r="C964" s="423" t="s">
        <v>5144</v>
      </c>
      <c r="D964" s="423" t="s">
        <v>5145</v>
      </c>
      <c r="E964" s="423" t="s">
        <v>2818</v>
      </c>
      <c r="F964" s="423">
        <v>32</v>
      </c>
      <c r="G964" s="423">
        <v>64</v>
      </c>
      <c r="H964" s="423">
        <v>1200</v>
      </c>
      <c r="J964" s="423"/>
      <c r="K964" s="423"/>
      <c r="L964" s="423"/>
      <c r="M964" s="423"/>
      <c r="Q964" s="423"/>
      <c r="R964" s="424" t="s">
        <v>5395</v>
      </c>
      <c r="S964" s="424" t="s">
        <v>2846</v>
      </c>
      <c r="T964" s="424" t="s">
        <v>3356</v>
      </c>
      <c r="U964" s="424">
        <v>0</v>
      </c>
      <c r="V964" s="424" t="s">
        <v>2824</v>
      </c>
      <c r="W964" s="424" t="s">
        <v>3055</v>
      </c>
      <c r="X964" s="424" t="s">
        <v>2825</v>
      </c>
      <c r="Y964" s="424" t="s">
        <v>2279</v>
      </c>
      <c r="Z964" s="424" t="s">
        <v>3260</v>
      </c>
      <c r="AA964" s="424" t="s">
        <v>3327</v>
      </c>
      <c r="AB964" s="424" t="s">
        <v>5396</v>
      </c>
      <c r="AC964" s="424" t="s">
        <v>1953</v>
      </c>
      <c r="AD964" s="424" t="s">
        <v>3329</v>
      </c>
      <c r="AE964" s="424" t="s">
        <v>5379</v>
      </c>
      <c r="AF964" s="424"/>
      <c r="AG964" s="424"/>
      <c r="AH964" s="424"/>
    </row>
    <row r="965" spans="1:34" x14ac:dyDescent="0.25">
      <c r="A965" s="423" t="s">
        <v>5142</v>
      </c>
      <c r="B965" s="423" t="s">
        <v>5397</v>
      </c>
      <c r="C965" s="423" t="s">
        <v>5144</v>
      </c>
      <c r="D965" s="423" t="s">
        <v>5145</v>
      </c>
      <c r="E965" s="423" t="s">
        <v>2818</v>
      </c>
      <c r="F965" s="423">
        <v>32</v>
      </c>
      <c r="G965" s="423">
        <v>64</v>
      </c>
      <c r="H965" s="423">
        <v>1200</v>
      </c>
      <c r="J965" s="423"/>
      <c r="K965" s="423"/>
      <c r="L965" s="423"/>
      <c r="M965" s="423"/>
      <c r="Q965" s="423"/>
      <c r="R965" s="424" t="s">
        <v>5398</v>
      </c>
      <c r="S965" s="424" t="s">
        <v>2846</v>
      </c>
      <c r="T965" s="424" t="s">
        <v>3356</v>
      </c>
      <c r="U965" s="424">
        <v>0</v>
      </c>
      <c r="V965" s="424" t="s">
        <v>2824</v>
      </c>
      <c r="W965" s="424" t="s">
        <v>3055</v>
      </c>
      <c r="X965" s="424" t="s">
        <v>2825</v>
      </c>
      <c r="Y965" s="424" t="s">
        <v>2279</v>
      </c>
      <c r="Z965" s="424" t="s">
        <v>3260</v>
      </c>
      <c r="AA965" s="424" t="s">
        <v>3327</v>
      </c>
      <c r="AB965" s="424" t="s">
        <v>5390</v>
      </c>
      <c r="AC965" s="424" t="s">
        <v>1953</v>
      </c>
      <c r="AD965" s="424" t="s">
        <v>3329</v>
      </c>
      <c r="AE965" s="424" t="s">
        <v>3632</v>
      </c>
      <c r="AF965" s="424"/>
      <c r="AG965" s="424"/>
      <c r="AH965" s="424"/>
    </row>
    <row r="966" spans="1:34" x14ac:dyDescent="0.25">
      <c r="A966" s="423" t="s">
        <v>5142</v>
      </c>
      <c r="B966" s="423" t="s">
        <v>5399</v>
      </c>
      <c r="C966" s="423" t="s">
        <v>5144</v>
      </c>
      <c r="D966" s="423" t="s">
        <v>5145</v>
      </c>
      <c r="E966" s="423" t="s">
        <v>2818</v>
      </c>
      <c r="F966" s="423">
        <v>32</v>
      </c>
      <c r="G966" s="423">
        <v>64</v>
      </c>
      <c r="H966" s="423">
        <v>1200</v>
      </c>
      <c r="J966" s="423"/>
      <c r="K966" s="423"/>
      <c r="L966" s="423"/>
      <c r="M966" s="423"/>
      <c r="Q966" s="423"/>
      <c r="R966" s="424" t="s">
        <v>5400</v>
      </c>
      <c r="S966" s="424" t="s">
        <v>2846</v>
      </c>
      <c r="T966" s="424" t="s">
        <v>3356</v>
      </c>
      <c r="U966" s="424">
        <v>0</v>
      </c>
      <c r="V966" s="424" t="s">
        <v>2824</v>
      </c>
      <c r="W966" s="424" t="s">
        <v>3074</v>
      </c>
      <c r="X966" s="424" t="s">
        <v>2825</v>
      </c>
      <c r="Y966" s="424" t="s">
        <v>2279</v>
      </c>
      <c r="Z966" s="424" t="s">
        <v>2848</v>
      </c>
      <c r="AA966" s="424" t="s">
        <v>2849</v>
      </c>
      <c r="AB966" s="424" t="s">
        <v>3879</v>
      </c>
      <c r="AC966" s="424" t="s">
        <v>1953</v>
      </c>
      <c r="AD966" s="424" t="s">
        <v>2851</v>
      </c>
      <c r="AE966" s="424" t="s">
        <v>3436</v>
      </c>
      <c r="AF966" s="424"/>
      <c r="AG966" s="424"/>
      <c r="AH966" s="424"/>
    </row>
    <row r="967" spans="1:34" x14ac:dyDescent="0.25">
      <c r="A967" s="423" t="s">
        <v>5142</v>
      </c>
      <c r="B967" s="423" t="s">
        <v>5401</v>
      </c>
      <c r="C967" s="423" t="s">
        <v>5144</v>
      </c>
      <c r="D967" s="423" t="s">
        <v>5145</v>
      </c>
      <c r="E967" s="423" t="s">
        <v>2818</v>
      </c>
      <c r="F967" s="423">
        <v>32</v>
      </c>
      <c r="G967" s="423">
        <v>256</v>
      </c>
      <c r="H967" s="423">
        <v>1200</v>
      </c>
      <c r="J967" s="423"/>
      <c r="K967" s="423"/>
      <c r="L967" s="423"/>
      <c r="M967" s="423"/>
      <c r="Q967" s="423"/>
      <c r="R967" s="424" t="s">
        <v>5402</v>
      </c>
      <c r="S967" s="424" t="s">
        <v>2820</v>
      </c>
      <c r="T967" s="424" t="s">
        <v>5019</v>
      </c>
      <c r="U967" s="424">
        <v>0</v>
      </c>
      <c r="V967" s="424" t="s">
        <v>2824</v>
      </c>
      <c r="W967" s="424" t="s">
        <v>2824</v>
      </c>
      <c r="X967" s="424" t="s">
        <v>2825</v>
      </c>
      <c r="Y967" s="424" t="s">
        <v>2279</v>
      </c>
      <c r="Z967" s="424" t="s">
        <v>2889</v>
      </c>
      <c r="AA967" s="424" t="s">
        <v>3771</v>
      </c>
      <c r="AB967" s="424" t="s">
        <v>5403</v>
      </c>
      <c r="AC967" s="424" t="s">
        <v>1953</v>
      </c>
      <c r="AD967" s="424" t="s">
        <v>3329</v>
      </c>
      <c r="AE967" s="424" t="s">
        <v>5404</v>
      </c>
      <c r="AF967" s="424"/>
      <c r="AG967" s="424"/>
      <c r="AH967" s="424"/>
    </row>
    <row r="968" spans="1:34" x14ac:dyDescent="0.25">
      <c r="A968" s="423" t="s">
        <v>5142</v>
      </c>
      <c r="B968" s="423" t="s">
        <v>5405</v>
      </c>
      <c r="C968" s="423" t="s">
        <v>5144</v>
      </c>
      <c r="D968" s="423" t="s">
        <v>5145</v>
      </c>
      <c r="E968" s="423" t="s">
        <v>2818</v>
      </c>
      <c r="F968" s="423">
        <v>32</v>
      </c>
      <c r="G968" s="423">
        <v>256</v>
      </c>
      <c r="H968" s="423">
        <v>1200</v>
      </c>
      <c r="J968" s="423"/>
      <c r="K968" s="423"/>
      <c r="L968" s="423"/>
      <c r="M968" s="423"/>
      <c r="Q968" s="423"/>
      <c r="R968" s="424" t="s">
        <v>5406</v>
      </c>
      <c r="S968" s="424" t="s">
        <v>2820</v>
      </c>
      <c r="T968" s="424" t="s">
        <v>5407</v>
      </c>
      <c r="U968" s="424">
        <v>0</v>
      </c>
      <c r="V968" s="424" t="s">
        <v>2824</v>
      </c>
      <c r="W968" s="424" t="s">
        <v>2824</v>
      </c>
      <c r="X968" s="424" t="s">
        <v>2825</v>
      </c>
      <c r="Y968" s="424" t="s">
        <v>2279</v>
      </c>
      <c r="Z968" s="424" t="s">
        <v>2889</v>
      </c>
      <c r="AA968" s="424" t="s">
        <v>3771</v>
      </c>
      <c r="AB968" s="424" t="s">
        <v>5408</v>
      </c>
      <c r="AC968" s="424" t="s">
        <v>1953</v>
      </c>
      <c r="AD968" s="424" t="s">
        <v>3329</v>
      </c>
      <c r="AE968" s="424" t="s">
        <v>5404</v>
      </c>
      <c r="AF968" s="424"/>
      <c r="AG968" s="424"/>
      <c r="AH968" s="424"/>
    </row>
    <row r="969" spans="1:34" x14ac:dyDescent="0.25">
      <c r="A969" s="423" t="s">
        <v>5142</v>
      </c>
      <c r="B969" s="423" t="s">
        <v>5409</v>
      </c>
      <c r="C969" s="423" t="s">
        <v>5144</v>
      </c>
      <c r="D969" s="423" t="s">
        <v>5145</v>
      </c>
      <c r="E969" s="423" t="s">
        <v>2818</v>
      </c>
      <c r="F969" s="423">
        <v>32</v>
      </c>
      <c r="G969" s="423">
        <v>96</v>
      </c>
      <c r="H969" s="423">
        <v>1200</v>
      </c>
      <c r="J969" s="423"/>
      <c r="K969" s="423"/>
      <c r="L969" s="423"/>
      <c r="M969" s="423"/>
      <c r="Q969" s="423"/>
      <c r="R969" s="424" t="s">
        <v>5410</v>
      </c>
      <c r="S969" s="424" t="s">
        <v>2820</v>
      </c>
      <c r="T969" s="424" t="s">
        <v>5019</v>
      </c>
      <c r="U969" s="424">
        <v>0</v>
      </c>
      <c r="V969" s="424" t="s">
        <v>2824</v>
      </c>
      <c r="W969" s="424" t="s">
        <v>2824</v>
      </c>
      <c r="X969" s="424" t="s">
        <v>2825</v>
      </c>
      <c r="Y969" s="424" t="s">
        <v>2279</v>
      </c>
      <c r="Z969" s="424" t="s">
        <v>2889</v>
      </c>
      <c r="AA969" s="424" t="s">
        <v>3771</v>
      </c>
      <c r="AB969" s="424" t="s">
        <v>5411</v>
      </c>
      <c r="AC969" s="424" t="s">
        <v>1953</v>
      </c>
      <c r="AD969" s="424" t="s">
        <v>3329</v>
      </c>
      <c r="AE969" s="424" t="s">
        <v>5404</v>
      </c>
      <c r="AF969" s="424"/>
      <c r="AG969" s="424"/>
      <c r="AH969" s="424"/>
    </row>
    <row r="970" spans="1:34" x14ac:dyDescent="0.25">
      <c r="A970" s="423" t="s">
        <v>5142</v>
      </c>
      <c r="B970" s="423" t="s">
        <v>5412</v>
      </c>
      <c r="C970" s="423" t="s">
        <v>5144</v>
      </c>
      <c r="D970" s="423" t="s">
        <v>5145</v>
      </c>
      <c r="E970" s="423" t="s">
        <v>2818</v>
      </c>
      <c r="F970" s="423">
        <v>32</v>
      </c>
      <c r="G970" s="423">
        <v>96</v>
      </c>
      <c r="H970" s="423">
        <v>1200</v>
      </c>
      <c r="J970" s="423"/>
      <c r="K970" s="423"/>
      <c r="L970" s="423"/>
      <c r="M970" s="423"/>
      <c r="Q970" s="423"/>
      <c r="R970" s="424" t="s">
        <v>5413</v>
      </c>
      <c r="S970" s="424" t="s">
        <v>2820</v>
      </c>
      <c r="T970" s="424" t="s">
        <v>5019</v>
      </c>
      <c r="U970" s="424">
        <v>0</v>
      </c>
      <c r="V970" s="424" t="s">
        <v>2824</v>
      </c>
      <c r="W970" s="424" t="s">
        <v>2824</v>
      </c>
      <c r="X970" s="424" t="s">
        <v>2825</v>
      </c>
      <c r="Y970" s="424" t="s">
        <v>2279</v>
      </c>
      <c r="Z970" s="424" t="s">
        <v>2889</v>
      </c>
      <c r="AA970" s="424" t="s">
        <v>3771</v>
      </c>
      <c r="AB970" s="424" t="s">
        <v>5414</v>
      </c>
      <c r="AC970" s="424" t="s">
        <v>1953</v>
      </c>
      <c r="AD970" s="424" t="s">
        <v>3329</v>
      </c>
      <c r="AE970" s="424" t="s">
        <v>5404</v>
      </c>
      <c r="AF970" s="424"/>
      <c r="AG970" s="424"/>
      <c r="AH970" s="424"/>
    </row>
    <row r="971" spans="1:34" x14ac:dyDescent="0.25">
      <c r="A971" s="423" t="s">
        <v>5142</v>
      </c>
      <c r="B971" s="423" t="s">
        <v>5415</v>
      </c>
      <c r="C971" s="423" t="s">
        <v>5144</v>
      </c>
      <c r="D971" s="423" t="s">
        <v>5145</v>
      </c>
      <c r="E971" s="423" t="s">
        <v>2818</v>
      </c>
      <c r="F971" s="423">
        <v>12</v>
      </c>
      <c r="G971" s="423">
        <v>64</v>
      </c>
      <c r="H971" s="423">
        <v>1200</v>
      </c>
      <c r="J971" s="423"/>
      <c r="K971" s="423"/>
      <c r="L971" s="423"/>
      <c r="M971" s="423"/>
      <c r="Q971" s="423"/>
      <c r="R971" s="424" t="s">
        <v>5416</v>
      </c>
      <c r="S971" s="424" t="s">
        <v>2846</v>
      </c>
      <c r="T971" s="424" t="s">
        <v>3356</v>
      </c>
      <c r="U971" s="424">
        <v>0</v>
      </c>
      <c r="V971" s="424" t="s">
        <v>3176</v>
      </c>
      <c r="W971" s="424" t="s">
        <v>3074</v>
      </c>
      <c r="X971" s="424" t="s">
        <v>2825</v>
      </c>
      <c r="Y971" s="424" t="s">
        <v>2279</v>
      </c>
      <c r="Z971" s="424" t="s">
        <v>2872</v>
      </c>
      <c r="AA971" s="424" t="s">
        <v>3197</v>
      </c>
      <c r="AB971" s="424" t="s">
        <v>3351</v>
      </c>
      <c r="AC971" s="424" t="s">
        <v>1953</v>
      </c>
      <c r="AD971" s="424" t="s">
        <v>2892</v>
      </c>
      <c r="AE971" s="424" t="s">
        <v>3348</v>
      </c>
      <c r="AF971" s="424"/>
      <c r="AG971" s="424"/>
      <c r="AH971" s="424"/>
    </row>
    <row r="972" spans="1:34" x14ac:dyDescent="0.25">
      <c r="A972" s="423" t="s">
        <v>5142</v>
      </c>
      <c r="B972" s="423" t="s">
        <v>5417</v>
      </c>
      <c r="C972" s="423" t="s">
        <v>5144</v>
      </c>
      <c r="D972" s="423" t="s">
        <v>5145</v>
      </c>
      <c r="E972" s="423" t="s">
        <v>2818</v>
      </c>
      <c r="F972" s="423">
        <v>12</v>
      </c>
      <c r="G972" s="423">
        <v>64</v>
      </c>
      <c r="H972" s="423">
        <v>1200</v>
      </c>
      <c r="J972" s="423"/>
      <c r="K972" s="423"/>
      <c r="L972" s="423"/>
      <c r="M972" s="423"/>
      <c r="Q972" s="423"/>
      <c r="R972" s="424" t="s">
        <v>5418</v>
      </c>
      <c r="S972" s="424" t="s">
        <v>2846</v>
      </c>
      <c r="T972" s="424" t="s">
        <v>3356</v>
      </c>
      <c r="U972" s="424">
        <v>0</v>
      </c>
      <c r="V972" s="424" t="s">
        <v>3176</v>
      </c>
      <c r="W972" s="424" t="s">
        <v>3074</v>
      </c>
      <c r="X972" s="424" t="s">
        <v>2825</v>
      </c>
      <c r="Y972" s="424" t="s">
        <v>2279</v>
      </c>
      <c r="Z972" s="424" t="s">
        <v>2872</v>
      </c>
      <c r="AA972" s="424" t="s">
        <v>3197</v>
      </c>
      <c r="AB972" s="424" t="s">
        <v>3399</v>
      </c>
      <c r="AC972" s="424" t="s">
        <v>1953</v>
      </c>
      <c r="AD972" s="424" t="s">
        <v>2892</v>
      </c>
      <c r="AE972" s="424" t="s">
        <v>3387</v>
      </c>
      <c r="AF972" s="424"/>
      <c r="AG972" s="424"/>
      <c r="AH972" s="424"/>
    </row>
    <row r="973" spans="1:34" x14ac:dyDescent="0.25">
      <c r="A973" s="423" t="s">
        <v>5142</v>
      </c>
      <c r="B973" s="423" t="s">
        <v>5419</v>
      </c>
      <c r="C973" s="423" t="s">
        <v>5144</v>
      </c>
      <c r="D973" s="423" t="s">
        <v>5145</v>
      </c>
      <c r="E973" s="423" t="s">
        <v>2818</v>
      </c>
      <c r="F973" s="423">
        <v>12</v>
      </c>
      <c r="G973" s="423">
        <v>64</v>
      </c>
      <c r="H973" s="423">
        <v>1200</v>
      </c>
      <c r="J973" s="423"/>
      <c r="K973" s="423"/>
      <c r="L973" s="423"/>
      <c r="M973" s="423"/>
      <c r="Q973" s="423"/>
      <c r="R973" s="424" t="s">
        <v>5420</v>
      </c>
      <c r="S973" s="424" t="s">
        <v>2846</v>
      </c>
      <c r="T973" s="424" t="s">
        <v>3356</v>
      </c>
      <c r="U973" s="424">
        <v>0</v>
      </c>
      <c r="V973" s="424" t="s">
        <v>3176</v>
      </c>
      <c r="W973" s="424" t="s">
        <v>3074</v>
      </c>
      <c r="X973" s="424" t="s">
        <v>2825</v>
      </c>
      <c r="Y973" s="424" t="s">
        <v>2279</v>
      </c>
      <c r="Z973" s="424" t="s">
        <v>2872</v>
      </c>
      <c r="AA973" s="424" t="s">
        <v>3197</v>
      </c>
      <c r="AB973" s="424" t="s">
        <v>3755</v>
      </c>
      <c r="AC973" s="424" t="s">
        <v>1953</v>
      </c>
      <c r="AD973" s="424" t="s">
        <v>2892</v>
      </c>
      <c r="AE973" s="424" t="s">
        <v>3387</v>
      </c>
      <c r="AF973" s="424"/>
      <c r="AG973" s="424"/>
      <c r="AH973" s="424"/>
    </row>
    <row r="974" spans="1:34" x14ac:dyDescent="0.25">
      <c r="A974" s="423" t="s">
        <v>5142</v>
      </c>
      <c r="B974" s="423" t="s">
        <v>5421</v>
      </c>
      <c r="C974" s="423" t="s">
        <v>5144</v>
      </c>
      <c r="D974" s="423" t="s">
        <v>5145</v>
      </c>
      <c r="E974" s="423" t="s">
        <v>2818</v>
      </c>
      <c r="F974" s="423">
        <v>12</v>
      </c>
      <c r="G974" s="423">
        <v>64</v>
      </c>
      <c r="H974" s="423">
        <v>1200</v>
      </c>
      <c r="J974" s="423"/>
      <c r="K974" s="423"/>
      <c r="L974" s="423"/>
      <c r="M974" s="423"/>
      <c r="Q974" s="423"/>
      <c r="R974" s="424" t="s">
        <v>5422</v>
      </c>
      <c r="S974" s="424" t="s">
        <v>2846</v>
      </c>
      <c r="T974" s="424" t="s">
        <v>3356</v>
      </c>
      <c r="U974" s="424">
        <v>0</v>
      </c>
      <c r="V974" s="424" t="s">
        <v>3176</v>
      </c>
      <c r="W974" s="424" t="s">
        <v>3074</v>
      </c>
      <c r="X974" s="424" t="s">
        <v>2825</v>
      </c>
      <c r="Y974" s="424" t="s">
        <v>2279</v>
      </c>
      <c r="Z974" s="424" t="s">
        <v>2872</v>
      </c>
      <c r="AA974" s="424" t="s">
        <v>3197</v>
      </c>
      <c r="AB974" s="424" t="s">
        <v>3408</v>
      </c>
      <c r="AC974" s="424" t="s">
        <v>1953</v>
      </c>
      <c r="AD974" s="424" t="s">
        <v>2892</v>
      </c>
      <c r="AE974" s="424" t="s">
        <v>3348</v>
      </c>
      <c r="AF974" s="424"/>
      <c r="AG974" s="424"/>
      <c r="AH974" s="424"/>
    </row>
    <row r="975" spans="1:34" x14ac:dyDescent="0.25">
      <c r="A975" s="423" t="s">
        <v>5142</v>
      </c>
      <c r="B975" s="423" t="s">
        <v>5423</v>
      </c>
      <c r="C975" s="423" t="s">
        <v>5144</v>
      </c>
      <c r="D975" s="423" t="s">
        <v>5145</v>
      </c>
      <c r="E975" s="423" t="s">
        <v>2818</v>
      </c>
      <c r="F975" s="423">
        <v>40</v>
      </c>
      <c r="G975" s="423">
        <v>480</v>
      </c>
      <c r="H975" s="423">
        <v>867</v>
      </c>
      <c r="J975" s="423"/>
      <c r="K975" s="423"/>
      <c r="L975" s="423"/>
      <c r="M975" s="423"/>
      <c r="Q975" s="423"/>
      <c r="R975" s="424" t="s">
        <v>5424</v>
      </c>
      <c r="S975" s="424" t="s">
        <v>2820</v>
      </c>
      <c r="T975" s="424" t="s">
        <v>5425</v>
      </c>
      <c r="U975" s="424">
        <v>0</v>
      </c>
      <c r="V975" s="424" t="s">
        <v>2824</v>
      </c>
      <c r="W975" s="424" t="s">
        <v>2824</v>
      </c>
      <c r="X975" s="424" t="s">
        <v>5426</v>
      </c>
      <c r="Y975" s="424" t="s">
        <v>2279</v>
      </c>
      <c r="Z975" s="424" t="s">
        <v>3260</v>
      </c>
      <c r="AA975" s="424" t="s">
        <v>3271</v>
      </c>
      <c r="AB975" s="424" t="s">
        <v>5427</v>
      </c>
      <c r="AC975" s="424" t="s">
        <v>1953</v>
      </c>
      <c r="AD975" s="424" t="s">
        <v>3329</v>
      </c>
      <c r="AE975" s="424" t="s">
        <v>5428</v>
      </c>
      <c r="AF975" s="424"/>
      <c r="AG975" s="424"/>
      <c r="AH975" s="424"/>
    </row>
    <row r="976" spans="1:34" x14ac:dyDescent="0.25">
      <c r="A976" s="423" t="s">
        <v>5142</v>
      </c>
      <c r="B976" s="423" t="s">
        <v>5429</v>
      </c>
      <c r="C976" s="423" t="s">
        <v>5144</v>
      </c>
      <c r="D976" s="423" t="s">
        <v>5145</v>
      </c>
      <c r="E976" s="423" t="s">
        <v>2818</v>
      </c>
      <c r="F976" s="423">
        <v>40</v>
      </c>
      <c r="G976" s="423">
        <v>480</v>
      </c>
      <c r="H976" s="423">
        <v>733</v>
      </c>
      <c r="J976" s="423"/>
      <c r="K976" s="423"/>
      <c r="L976" s="423"/>
      <c r="M976" s="423"/>
      <c r="Q976" s="423"/>
      <c r="R976" s="424" t="s">
        <v>5430</v>
      </c>
      <c r="S976" s="424" t="s">
        <v>2820</v>
      </c>
      <c r="T976" s="424" t="s">
        <v>5425</v>
      </c>
      <c r="U976" s="424">
        <v>0</v>
      </c>
      <c r="V976" s="424" t="s">
        <v>2824</v>
      </c>
      <c r="W976" s="424" t="s">
        <v>2824</v>
      </c>
      <c r="X976" s="424" t="s">
        <v>5426</v>
      </c>
      <c r="Y976" s="424" t="s">
        <v>2279</v>
      </c>
      <c r="Z976" s="424" t="s">
        <v>3260</v>
      </c>
      <c r="AA976" s="424" t="s">
        <v>3271</v>
      </c>
      <c r="AB976" s="424" t="s">
        <v>5431</v>
      </c>
      <c r="AC976" s="424" t="s">
        <v>1953</v>
      </c>
      <c r="AD976" s="424" t="s">
        <v>3329</v>
      </c>
      <c r="AE976" s="424" t="s">
        <v>5428</v>
      </c>
      <c r="AF976" s="424"/>
      <c r="AG976" s="424"/>
      <c r="AH976" s="424"/>
    </row>
    <row r="977" spans="1:34" x14ac:dyDescent="0.25">
      <c r="A977" s="423" t="s">
        <v>5142</v>
      </c>
      <c r="B977" s="423" t="s">
        <v>5432</v>
      </c>
      <c r="C977" s="423" t="s">
        <v>5144</v>
      </c>
      <c r="D977" s="423" t="s">
        <v>5145</v>
      </c>
      <c r="E977" s="423" t="s">
        <v>2818</v>
      </c>
      <c r="F977" s="423">
        <v>40</v>
      </c>
      <c r="G977" s="423">
        <v>480</v>
      </c>
      <c r="H977" s="423">
        <v>880</v>
      </c>
      <c r="J977" s="423"/>
      <c r="K977" s="423"/>
      <c r="L977" s="423"/>
      <c r="M977" s="423"/>
      <c r="Q977" s="423"/>
      <c r="R977" s="424" t="s">
        <v>5433</v>
      </c>
      <c r="S977" s="424" t="s">
        <v>2820</v>
      </c>
      <c r="T977" s="424" t="s">
        <v>5425</v>
      </c>
      <c r="U977" s="424">
        <v>0</v>
      </c>
      <c r="V977" s="424" t="s">
        <v>2824</v>
      </c>
      <c r="W977" s="424" t="s">
        <v>2824</v>
      </c>
      <c r="X977" s="424" t="s">
        <v>5426</v>
      </c>
      <c r="Y977" s="424" t="s">
        <v>2279</v>
      </c>
      <c r="Z977" s="424" t="s">
        <v>3260</v>
      </c>
      <c r="AA977" s="424" t="s">
        <v>3271</v>
      </c>
      <c r="AB977" s="424" t="s">
        <v>5434</v>
      </c>
      <c r="AC977" s="424" t="s">
        <v>1953</v>
      </c>
      <c r="AD977" s="424" t="s">
        <v>3329</v>
      </c>
      <c r="AE977" s="424" t="s">
        <v>5428</v>
      </c>
      <c r="AF977" s="424"/>
      <c r="AG977" s="424"/>
      <c r="AH977" s="424"/>
    </row>
    <row r="978" spans="1:34" x14ac:dyDescent="0.25">
      <c r="A978" s="423" t="s">
        <v>5142</v>
      </c>
      <c r="B978" s="423" t="s">
        <v>5435</v>
      </c>
      <c r="C978" s="423" t="s">
        <v>5144</v>
      </c>
      <c r="D978" s="423" t="s">
        <v>5145</v>
      </c>
      <c r="E978" s="423" t="s">
        <v>2818</v>
      </c>
      <c r="F978" s="423">
        <v>40</v>
      </c>
      <c r="G978" s="423">
        <v>480</v>
      </c>
      <c r="H978" s="423">
        <v>880</v>
      </c>
      <c r="J978" s="423"/>
      <c r="K978" s="423"/>
      <c r="L978" s="423"/>
      <c r="M978" s="423"/>
      <c r="Q978" s="423"/>
      <c r="R978" s="424" t="s">
        <v>5436</v>
      </c>
      <c r="S978" s="424" t="s">
        <v>2820</v>
      </c>
      <c r="T978" s="424" t="s">
        <v>5425</v>
      </c>
      <c r="U978" s="424">
        <v>0</v>
      </c>
      <c r="V978" s="424" t="s">
        <v>2824</v>
      </c>
      <c r="W978" s="424" t="s">
        <v>2824</v>
      </c>
      <c r="X978" s="424" t="s">
        <v>5426</v>
      </c>
      <c r="Y978" s="424" t="s">
        <v>2279</v>
      </c>
      <c r="Z978" s="424" t="s">
        <v>3260</v>
      </c>
      <c r="AA978" s="424" t="s">
        <v>3271</v>
      </c>
      <c r="AB978" s="424" t="s">
        <v>5437</v>
      </c>
      <c r="AC978" s="424" t="s">
        <v>1953</v>
      </c>
      <c r="AD978" s="424" t="s">
        <v>3329</v>
      </c>
      <c r="AE978" s="424" t="s">
        <v>5428</v>
      </c>
      <c r="AF978" s="424"/>
      <c r="AG978" s="424"/>
      <c r="AH978" s="424"/>
    </row>
    <row r="979" spans="1:34" x14ac:dyDescent="0.25">
      <c r="A979" s="423" t="s">
        <v>5142</v>
      </c>
      <c r="B979" s="423" t="s">
        <v>5438</v>
      </c>
      <c r="C979" s="423" t="s">
        <v>5144</v>
      </c>
      <c r="D979" s="423" t="s">
        <v>5145</v>
      </c>
      <c r="E979" s="423" t="s">
        <v>2818</v>
      </c>
      <c r="F979" s="423">
        <v>40</v>
      </c>
      <c r="G979" s="423">
        <v>480</v>
      </c>
      <c r="H979" s="423">
        <v>1700</v>
      </c>
      <c r="J979" s="423"/>
      <c r="K979" s="423"/>
      <c r="L979" s="423"/>
      <c r="M979" s="423"/>
      <c r="Q979" s="423"/>
      <c r="R979" s="424" t="s">
        <v>5439</v>
      </c>
      <c r="S979" s="424" t="s">
        <v>2820</v>
      </c>
      <c r="T979" s="424" t="s">
        <v>5440</v>
      </c>
      <c r="U979" s="424">
        <v>0</v>
      </c>
      <c r="V979" s="424" t="s">
        <v>2824</v>
      </c>
      <c r="W979" s="424" t="s">
        <v>2824</v>
      </c>
      <c r="X979" s="424" t="s">
        <v>5426</v>
      </c>
      <c r="Y979" s="424" t="s">
        <v>2279</v>
      </c>
      <c r="Z979" s="424" t="s">
        <v>2872</v>
      </c>
      <c r="AA979" s="424" t="s">
        <v>2873</v>
      </c>
      <c r="AB979" s="424" t="s">
        <v>5441</v>
      </c>
      <c r="AC979" s="424" t="s">
        <v>1953</v>
      </c>
      <c r="AD979" s="424" t="s">
        <v>2892</v>
      </c>
      <c r="AE979" s="424" t="s">
        <v>3498</v>
      </c>
      <c r="AF979" s="424"/>
      <c r="AG979" s="424"/>
      <c r="AH979" s="424"/>
    </row>
    <row r="980" spans="1:34" x14ac:dyDescent="0.25">
      <c r="A980" s="423" t="s">
        <v>5142</v>
      </c>
      <c r="B980" s="423" t="s">
        <v>5442</v>
      </c>
      <c r="C980" s="423" t="s">
        <v>5144</v>
      </c>
      <c r="D980" s="423" t="s">
        <v>5145</v>
      </c>
      <c r="E980" s="423" t="s">
        <v>2818</v>
      </c>
      <c r="F980" s="423">
        <v>40</v>
      </c>
      <c r="G980" s="423">
        <v>480</v>
      </c>
      <c r="H980" s="423">
        <v>1700</v>
      </c>
      <c r="J980" s="423"/>
      <c r="K980" s="423"/>
      <c r="L980" s="423"/>
      <c r="M980" s="423"/>
      <c r="Q980" s="423"/>
      <c r="R980" s="424" t="s">
        <v>5443</v>
      </c>
      <c r="S980" s="424" t="s">
        <v>2820</v>
      </c>
      <c r="T980" s="424" t="s">
        <v>5440</v>
      </c>
      <c r="U980" s="424">
        <v>0</v>
      </c>
      <c r="V980" s="424" t="s">
        <v>2824</v>
      </c>
      <c r="W980" s="424" t="s">
        <v>2824</v>
      </c>
      <c r="X980" s="424" t="s">
        <v>5426</v>
      </c>
      <c r="Y980" s="424" t="s">
        <v>3983</v>
      </c>
      <c r="Z980" s="424" t="s">
        <v>2872</v>
      </c>
      <c r="AA980" s="424" t="s">
        <v>2873</v>
      </c>
      <c r="AB980" s="424" t="s">
        <v>5444</v>
      </c>
      <c r="AC980" s="424" t="s">
        <v>1953</v>
      </c>
      <c r="AD980" s="424" t="s">
        <v>2892</v>
      </c>
      <c r="AE980" s="424" t="s">
        <v>3495</v>
      </c>
      <c r="AF980" s="424"/>
      <c r="AG980" s="424"/>
      <c r="AH980" s="424"/>
    </row>
    <row r="981" spans="1:34" x14ac:dyDescent="0.25">
      <c r="A981" s="423" t="s">
        <v>5142</v>
      </c>
      <c r="B981" s="423" t="s">
        <v>5445</v>
      </c>
      <c r="C981" s="423" t="s">
        <v>5144</v>
      </c>
      <c r="D981" s="423" t="s">
        <v>5145</v>
      </c>
      <c r="E981" s="423" t="s">
        <v>2818</v>
      </c>
      <c r="F981" s="423">
        <v>40</v>
      </c>
      <c r="G981" s="423">
        <v>480</v>
      </c>
      <c r="H981" s="423">
        <v>1700</v>
      </c>
      <c r="J981" s="423"/>
      <c r="K981" s="423"/>
      <c r="L981" s="423"/>
      <c r="M981" s="423"/>
      <c r="Q981" s="423"/>
      <c r="R981" s="424" t="s">
        <v>5446</v>
      </c>
      <c r="S981" s="424" t="s">
        <v>2820</v>
      </c>
      <c r="T981" s="424" t="s">
        <v>5440</v>
      </c>
      <c r="U981" s="424">
        <v>0</v>
      </c>
      <c r="V981" s="424" t="s">
        <v>2824</v>
      </c>
      <c r="W981" s="424" t="s">
        <v>2824</v>
      </c>
      <c r="X981" s="424" t="s">
        <v>5426</v>
      </c>
      <c r="Y981" s="424" t="s">
        <v>3983</v>
      </c>
      <c r="Z981" s="424" t="s">
        <v>2872</v>
      </c>
      <c r="AA981" s="424" t="s">
        <v>2873</v>
      </c>
      <c r="AB981" s="424" t="s">
        <v>5447</v>
      </c>
      <c r="AC981" s="424" t="s">
        <v>1953</v>
      </c>
      <c r="AD981" s="424" t="s">
        <v>2892</v>
      </c>
      <c r="AE981" s="424" t="s">
        <v>3495</v>
      </c>
      <c r="AF981" s="424"/>
      <c r="AG981" s="424"/>
      <c r="AH981" s="424"/>
    </row>
    <row r="982" spans="1:34" x14ac:dyDescent="0.25">
      <c r="A982" s="423" t="s">
        <v>5142</v>
      </c>
      <c r="B982" s="423" t="s">
        <v>5448</v>
      </c>
      <c r="C982" s="423" t="s">
        <v>5144</v>
      </c>
      <c r="D982" s="423" t="s">
        <v>5145</v>
      </c>
      <c r="E982" s="423" t="s">
        <v>2818</v>
      </c>
      <c r="F982" s="423">
        <v>40</v>
      </c>
      <c r="G982" s="423">
        <v>480</v>
      </c>
      <c r="H982" s="423">
        <v>1700</v>
      </c>
      <c r="J982" s="423"/>
      <c r="K982" s="423"/>
      <c r="L982" s="423"/>
      <c r="M982" s="423"/>
      <c r="Q982" s="423"/>
      <c r="R982" s="424" t="s">
        <v>5449</v>
      </c>
      <c r="S982" s="424" t="s">
        <v>2820</v>
      </c>
      <c r="T982" s="424" t="s">
        <v>5440</v>
      </c>
      <c r="U982" s="424">
        <v>0</v>
      </c>
      <c r="V982" s="424" t="s">
        <v>2824</v>
      </c>
      <c r="W982" s="424" t="s">
        <v>2824</v>
      </c>
      <c r="X982" s="424" t="s">
        <v>5426</v>
      </c>
      <c r="Y982" s="424" t="s">
        <v>3983</v>
      </c>
      <c r="Z982" s="424" t="s">
        <v>2872</v>
      </c>
      <c r="AA982" s="424" t="s">
        <v>2873</v>
      </c>
      <c r="AB982" s="424" t="s">
        <v>5450</v>
      </c>
      <c r="AC982" s="424" t="s">
        <v>1953</v>
      </c>
      <c r="AD982" s="424" t="s">
        <v>2892</v>
      </c>
      <c r="AE982" s="424" t="s">
        <v>3498</v>
      </c>
      <c r="AF982" s="424"/>
      <c r="AG982" s="424"/>
      <c r="AH982" s="424"/>
    </row>
    <row r="983" spans="1:34" x14ac:dyDescent="0.25">
      <c r="A983" s="423" t="s">
        <v>5142</v>
      </c>
      <c r="B983" s="423" t="s">
        <v>5451</v>
      </c>
      <c r="C983" s="423" t="s">
        <v>5144</v>
      </c>
      <c r="D983" s="423" t="s">
        <v>5145</v>
      </c>
      <c r="E983" s="423" t="s">
        <v>2818</v>
      </c>
      <c r="F983" s="423">
        <v>40</v>
      </c>
      <c r="G983" s="423">
        <v>480</v>
      </c>
      <c r="H983" s="423">
        <v>1700</v>
      </c>
      <c r="J983" s="423"/>
      <c r="K983" s="423"/>
      <c r="L983" s="423"/>
      <c r="M983" s="423"/>
      <c r="Q983" s="423"/>
      <c r="R983" s="424" t="s">
        <v>5452</v>
      </c>
      <c r="S983" s="424" t="s">
        <v>2820</v>
      </c>
      <c r="T983" s="424" t="s">
        <v>5440</v>
      </c>
      <c r="U983" s="424">
        <v>0</v>
      </c>
      <c r="V983" s="424" t="s">
        <v>2824</v>
      </c>
      <c r="W983" s="424" t="s">
        <v>2824</v>
      </c>
      <c r="X983" s="424" t="s">
        <v>5426</v>
      </c>
      <c r="Y983" s="424" t="s">
        <v>3983</v>
      </c>
      <c r="Z983" s="424" t="s">
        <v>2872</v>
      </c>
      <c r="AA983" s="424" t="s">
        <v>2873</v>
      </c>
      <c r="AB983" s="424" t="s">
        <v>5453</v>
      </c>
      <c r="AC983" s="424" t="s">
        <v>1953</v>
      </c>
      <c r="AD983" s="424" t="s">
        <v>2892</v>
      </c>
      <c r="AE983" s="424" t="s">
        <v>3498</v>
      </c>
      <c r="AF983" s="424"/>
      <c r="AG983" s="424"/>
      <c r="AH983" s="424"/>
    </row>
    <row r="984" spans="1:34" x14ac:dyDescent="0.25">
      <c r="A984" s="423" t="s">
        <v>5142</v>
      </c>
      <c r="B984" s="423" t="s">
        <v>5454</v>
      </c>
      <c r="C984" s="423" t="s">
        <v>5144</v>
      </c>
      <c r="D984" s="423" t="s">
        <v>5145</v>
      </c>
      <c r="E984" s="423" t="s">
        <v>2818</v>
      </c>
      <c r="F984" s="423">
        <v>40</v>
      </c>
      <c r="G984" s="423">
        <v>480</v>
      </c>
      <c r="H984" s="423">
        <v>960</v>
      </c>
      <c r="J984" s="423"/>
      <c r="K984" s="423"/>
      <c r="L984" s="423"/>
      <c r="M984" s="423"/>
      <c r="Q984" s="423"/>
      <c r="R984" s="424" t="s">
        <v>5455</v>
      </c>
      <c r="S984" s="424" t="s">
        <v>2820</v>
      </c>
      <c r="T984" s="424" t="s">
        <v>5456</v>
      </c>
      <c r="U984" s="424">
        <v>0</v>
      </c>
      <c r="V984" s="424" t="s">
        <v>2824</v>
      </c>
      <c r="W984" s="424" t="s">
        <v>2824</v>
      </c>
      <c r="X984" s="424" t="s">
        <v>5426</v>
      </c>
      <c r="Y984" s="424" t="s">
        <v>2279</v>
      </c>
      <c r="Z984" s="424" t="s">
        <v>3260</v>
      </c>
      <c r="AA984" s="424" t="s">
        <v>3271</v>
      </c>
      <c r="AB984" s="424" t="s">
        <v>5457</v>
      </c>
      <c r="AC984" s="424" t="s">
        <v>1953</v>
      </c>
      <c r="AD984" s="424" t="s">
        <v>3329</v>
      </c>
      <c r="AE984" s="424" t="s">
        <v>5249</v>
      </c>
      <c r="AF984" s="424"/>
      <c r="AG984" s="424"/>
      <c r="AH984" s="424"/>
    </row>
    <row r="985" spans="1:34" x14ac:dyDescent="0.25">
      <c r="A985" s="423" t="s">
        <v>5142</v>
      </c>
      <c r="B985" s="423" t="s">
        <v>5458</v>
      </c>
      <c r="C985" s="423" t="s">
        <v>5144</v>
      </c>
      <c r="D985" s="423" t="s">
        <v>5145</v>
      </c>
      <c r="E985" s="423" t="s">
        <v>2818</v>
      </c>
      <c r="F985" s="423">
        <v>40</v>
      </c>
      <c r="G985" s="423">
        <v>480</v>
      </c>
      <c r="H985" s="423">
        <v>960</v>
      </c>
      <c r="J985" s="423"/>
      <c r="K985" s="423"/>
      <c r="L985" s="423"/>
      <c r="M985" s="423"/>
      <c r="Q985" s="423"/>
      <c r="R985" s="424" t="s">
        <v>5459</v>
      </c>
      <c r="S985" s="424" t="s">
        <v>2820</v>
      </c>
      <c r="T985" s="424" t="s">
        <v>4913</v>
      </c>
      <c r="U985" s="424">
        <v>0</v>
      </c>
      <c r="V985" s="424" t="s">
        <v>2824</v>
      </c>
      <c r="W985" s="424" t="s">
        <v>2824</v>
      </c>
      <c r="X985" s="424" t="s">
        <v>5426</v>
      </c>
      <c r="Y985" s="424" t="s">
        <v>2279</v>
      </c>
      <c r="Z985" s="424" t="s">
        <v>3260</v>
      </c>
      <c r="AA985" s="424" t="s">
        <v>3271</v>
      </c>
      <c r="AB985" s="424" t="s">
        <v>5460</v>
      </c>
      <c r="AC985" s="424" t="s">
        <v>1953</v>
      </c>
      <c r="AD985" s="424" t="s">
        <v>3329</v>
      </c>
      <c r="AE985" s="424" t="s">
        <v>5249</v>
      </c>
      <c r="AF985" s="424"/>
      <c r="AG985" s="424"/>
      <c r="AH985" s="424"/>
    </row>
    <row r="986" spans="1:34" x14ac:dyDescent="0.25">
      <c r="A986" s="423" t="s">
        <v>5142</v>
      </c>
      <c r="B986" s="423" t="s">
        <v>5461</v>
      </c>
      <c r="C986" s="423" t="s">
        <v>5144</v>
      </c>
      <c r="D986" s="423" t="s">
        <v>5145</v>
      </c>
      <c r="E986" s="423" t="s">
        <v>2818</v>
      </c>
      <c r="F986" s="423">
        <v>40</v>
      </c>
      <c r="G986" s="423">
        <v>480</v>
      </c>
      <c r="H986" s="423">
        <v>879</v>
      </c>
      <c r="J986" s="423"/>
      <c r="K986" s="423"/>
      <c r="L986" s="423"/>
      <c r="M986" s="423"/>
      <c r="Q986" s="423"/>
      <c r="R986" s="424" t="s">
        <v>5462</v>
      </c>
      <c r="S986" s="424" t="s">
        <v>2820</v>
      </c>
      <c r="T986" s="424" t="s">
        <v>4913</v>
      </c>
      <c r="U986" s="424">
        <v>0</v>
      </c>
      <c r="V986" s="424" t="s">
        <v>2824</v>
      </c>
      <c r="W986" s="424" t="s">
        <v>2824</v>
      </c>
      <c r="X986" s="424" t="s">
        <v>5426</v>
      </c>
      <c r="Y986" s="424" t="s">
        <v>2279</v>
      </c>
      <c r="Z986" s="424" t="s">
        <v>3260</v>
      </c>
      <c r="AA986" s="424" t="s">
        <v>3271</v>
      </c>
      <c r="AB986" s="424" t="s">
        <v>5463</v>
      </c>
      <c r="AC986" s="424" t="s">
        <v>1953</v>
      </c>
      <c r="AD986" s="424" t="s">
        <v>3329</v>
      </c>
      <c r="AE986" s="424" t="s">
        <v>5249</v>
      </c>
      <c r="AF986" s="424"/>
      <c r="AG986" s="424"/>
      <c r="AH986" s="424"/>
    </row>
    <row r="987" spans="1:34" x14ac:dyDescent="0.25">
      <c r="A987" s="423" t="s">
        <v>5142</v>
      </c>
      <c r="B987" s="423" t="s">
        <v>5464</v>
      </c>
      <c r="C987" s="423" t="s">
        <v>5144</v>
      </c>
      <c r="D987" s="423" t="s">
        <v>5145</v>
      </c>
      <c r="E987" s="423" t="s">
        <v>2818</v>
      </c>
      <c r="F987" s="423">
        <v>40</v>
      </c>
      <c r="G987" s="423">
        <v>480</v>
      </c>
      <c r="H987" s="423">
        <v>960</v>
      </c>
      <c r="J987" s="423"/>
      <c r="K987" s="423"/>
      <c r="L987" s="423"/>
      <c r="M987" s="423"/>
      <c r="Q987" s="423"/>
      <c r="R987" s="424" t="s">
        <v>5465</v>
      </c>
      <c r="S987" s="424" t="s">
        <v>2820</v>
      </c>
      <c r="T987" s="424" t="s">
        <v>4913</v>
      </c>
      <c r="U987" s="424">
        <v>0</v>
      </c>
      <c r="V987" s="424" t="s">
        <v>2824</v>
      </c>
      <c r="W987" s="424" t="s">
        <v>2824</v>
      </c>
      <c r="X987" s="424" t="s">
        <v>5426</v>
      </c>
      <c r="Y987" s="424" t="s">
        <v>2279</v>
      </c>
      <c r="Z987" s="424" t="s">
        <v>3260</v>
      </c>
      <c r="AA987" s="424" t="s">
        <v>3271</v>
      </c>
      <c r="AB987" s="424" t="s">
        <v>5466</v>
      </c>
      <c r="AC987" s="424" t="s">
        <v>1953</v>
      </c>
      <c r="AD987" s="424" t="s">
        <v>3329</v>
      </c>
      <c r="AE987" s="424" t="s">
        <v>5249</v>
      </c>
      <c r="AF987" s="424"/>
      <c r="AG987" s="424"/>
      <c r="AH987" s="424"/>
    </row>
    <row r="988" spans="1:34" x14ac:dyDescent="0.25">
      <c r="A988" s="423" t="s">
        <v>5142</v>
      </c>
      <c r="B988" s="423" t="s">
        <v>5467</v>
      </c>
      <c r="C988" s="423" t="s">
        <v>5144</v>
      </c>
      <c r="D988" s="423" t="s">
        <v>5145</v>
      </c>
      <c r="E988" s="423" t="s">
        <v>2818</v>
      </c>
      <c r="F988" s="423">
        <v>40</v>
      </c>
      <c r="G988" s="423">
        <v>480</v>
      </c>
      <c r="H988" s="423">
        <v>1700</v>
      </c>
      <c r="J988" s="423"/>
      <c r="K988" s="423"/>
      <c r="L988" s="423"/>
      <c r="M988" s="423"/>
      <c r="Q988" s="423"/>
      <c r="R988" s="424" t="s">
        <v>5468</v>
      </c>
      <c r="S988" s="424" t="s">
        <v>2820</v>
      </c>
      <c r="T988" s="424" t="s">
        <v>4913</v>
      </c>
      <c r="U988" s="424">
        <v>0</v>
      </c>
      <c r="V988" s="424" t="s">
        <v>2824</v>
      </c>
      <c r="W988" s="424" t="s">
        <v>2824</v>
      </c>
      <c r="X988" s="424" t="s">
        <v>5426</v>
      </c>
      <c r="Y988" s="424" t="s">
        <v>2279</v>
      </c>
      <c r="Z988" s="424" t="s">
        <v>3260</v>
      </c>
      <c r="AA988" s="424" t="s">
        <v>3271</v>
      </c>
      <c r="AB988" s="424" t="s">
        <v>5469</v>
      </c>
      <c r="AC988" s="424" t="s">
        <v>1953</v>
      </c>
      <c r="AD988" s="424" t="s">
        <v>3329</v>
      </c>
      <c r="AE988" s="424" t="s">
        <v>5470</v>
      </c>
      <c r="AF988" s="424"/>
      <c r="AG988" s="424"/>
      <c r="AH988" s="424"/>
    </row>
    <row r="989" spans="1:34" x14ac:dyDescent="0.25">
      <c r="A989" s="423" t="s">
        <v>5142</v>
      </c>
      <c r="B989" s="423" t="s">
        <v>5471</v>
      </c>
      <c r="C989" s="423" t="s">
        <v>5144</v>
      </c>
      <c r="D989" s="423" t="s">
        <v>5145</v>
      </c>
      <c r="E989" s="423" t="s">
        <v>2818</v>
      </c>
      <c r="F989" s="423">
        <v>40</v>
      </c>
      <c r="G989" s="423">
        <v>480</v>
      </c>
      <c r="H989" s="423">
        <v>1700</v>
      </c>
      <c r="J989" s="423"/>
      <c r="K989" s="423"/>
      <c r="L989" s="423"/>
      <c r="M989" s="423"/>
      <c r="Q989" s="423"/>
      <c r="R989" s="424" t="s">
        <v>5472</v>
      </c>
      <c r="S989" s="424" t="s">
        <v>2820</v>
      </c>
      <c r="T989" s="424" t="s">
        <v>4913</v>
      </c>
      <c r="U989" s="424">
        <v>0</v>
      </c>
      <c r="V989" s="424" t="s">
        <v>2824</v>
      </c>
      <c r="W989" s="424" t="s">
        <v>2824</v>
      </c>
      <c r="X989" s="424" t="s">
        <v>5426</v>
      </c>
      <c r="Y989" s="424" t="s">
        <v>2279</v>
      </c>
      <c r="Z989" s="424" t="s">
        <v>3260</v>
      </c>
      <c r="AA989" s="424" t="s">
        <v>3271</v>
      </c>
      <c r="AB989" s="424" t="s">
        <v>5473</v>
      </c>
      <c r="AC989" s="424" t="s">
        <v>1953</v>
      </c>
      <c r="AD989" s="424" t="s">
        <v>3329</v>
      </c>
      <c r="AE989" s="424" t="s">
        <v>5470</v>
      </c>
      <c r="AF989" s="424"/>
      <c r="AG989" s="424"/>
      <c r="AH989" s="424"/>
    </row>
    <row r="990" spans="1:34" x14ac:dyDescent="0.25">
      <c r="A990" s="423" t="s">
        <v>5474</v>
      </c>
      <c r="B990" s="423" t="s">
        <v>5475</v>
      </c>
      <c r="C990" s="423" t="s">
        <v>5144</v>
      </c>
      <c r="D990" s="423" t="s">
        <v>5145</v>
      </c>
      <c r="E990" s="423" t="s">
        <v>2818</v>
      </c>
      <c r="F990" s="423">
        <v>12</v>
      </c>
      <c r="G990" s="423">
        <v>64</v>
      </c>
      <c r="H990" s="423">
        <v>1200</v>
      </c>
      <c r="J990" s="423"/>
      <c r="K990" s="423"/>
      <c r="L990" s="423"/>
      <c r="M990" s="423"/>
      <c r="Q990" s="423"/>
      <c r="R990" s="424" t="s">
        <v>5476</v>
      </c>
      <c r="S990" s="424" t="s">
        <v>2846</v>
      </c>
      <c r="T990" s="424" t="s">
        <v>2870</v>
      </c>
      <c r="U990" s="424">
        <v>0</v>
      </c>
      <c r="V990" s="424" t="s">
        <v>3055</v>
      </c>
      <c r="W990" s="424" t="s">
        <v>3074</v>
      </c>
      <c r="X990" s="424" t="s">
        <v>2825</v>
      </c>
      <c r="Y990" s="424" t="s">
        <v>2279</v>
      </c>
      <c r="Z990" s="424" t="s">
        <v>2889</v>
      </c>
      <c r="AA990" s="424" t="s">
        <v>3197</v>
      </c>
      <c r="AB990" s="424" t="s">
        <v>3761</v>
      </c>
      <c r="AC990" s="424" t="s">
        <v>1953</v>
      </c>
      <c r="AD990" s="424" t="s">
        <v>2829</v>
      </c>
      <c r="AE990" s="424" t="s">
        <v>3229</v>
      </c>
      <c r="AF990" s="424"/>
      <c r="AG990" s="424"/>
      <c r="AH990" s="424"/>
    </row>
    <row r="991" spans="1:34" x14ac:dyDescent="0.25">
      <c r="A991" s="423" t="s">
        <v>5474</v>
      </c>
      <c r="B991" s="423" t="s">
        <v>5477</v>
      </c>
      <c r="C991" s="423" t="s">
        <v>5144</v>
      </c>
      <c r="D991" s="423" t="s">
        <v>5145</v>
      </c>
      <c r="E991" s="423" t="s">
        <v>2818</v>
      </c>
      <c r="F991" s="423">
        <v>12</v>
      </c>
      <c r="G991" s="423">
        <v>64</v>
      </c>
      <c r="H991" s="423">
        <v>1200</v>
      </c>
      <c r="J991" s="423"/>
      <c r="K991" s="423"/>
      <c r="L991" s="423"/>
      <c r="M991" s="423"/>
      <c r="Q991" s="423"/>
      <c r="R991" s="424" t="s">
        <v>5478</v>
      </c>
      <c r="S991" s="424" t="s">
        <v>2846</v>
      </c>
      <c r="T991" s="424" t="s">
        <v>2870</v>
      </c>
      <c r="U991" s="424">
        <v>0</v>
      </c>
      <c r="V991" s="424" t="s">
        <v>3055</v>
      </c>
      <c r="W991" s="424" t="s">
        <v>3074</v>
      </c>
      <c r="X991" s="424" t="s">
        <v>2825</v>
      </c>
      <c r="Y991" s="424" t="s">
        <v>2279</v>
      </c>
      <c r="Z991" s="424" t="s">
        <v>2889</v>
      </c>
      <c r="AA991" s="424" t="s">
        <v>3197</v>
      </c>
      <c r="AB991" s="424" t="s">
        <v>3729</v>
      </c>
      <c r="AC991" s="424" t="s">
        <v>1953</v>
      </c>
      <c r="AD991" s="424" t="s">
        <v>2829</v>
      </c>
      <c r="AE991" s="424" t="s">
        <v>3216</v>
      </c>
      <c r="AF991" s="424"/>
      <c r="AG991" s="424"/>
      <c r="AH991" s="424"/>
    </row>
    <row r="992" spans="1:34" x14ac:dyDescent="0.25">
      <c r="A992" s="423" t="s">
        <v>5474</v>
      </c>
      <c r="B992" s="423" t="s">
        <v>5479</v>
      </c>
      <c r="C992" s="423" t="s">
        <v>5144</v>
      </c>
      <c r="D992" s="423" t="s">
        <v>5145</v>
      </c>
      <c r="E992" s="423" t="s">
        <v>2818</v>
      </c>
      <c r="F992" s="423">
        <v>12</v>
      </c>
      <c r="G992" s="423">
        <v>64</v>
      </c>
      <c r="H992" s="423">
        <v>1200</v>
      </c>
      <c r="J992" s="423"/>
      <c r="K992" s="423"/>
      <c r="L992" s="423"/>
      <c r="M992" s="423"/>
      <c r="Q992" s="423"/>
      <c r="R992" s="424" t="s">
        <v>5480</v>
      </c>
      <c r="S992" s="424" t="s">
        <v>2846</v>
      </c>
      <c r="T992" s="424" t="s">
        <v>2870</v>
      </c>
      <c r="U992" s="424">
        <v>0</v>
      </c>
      <c r="V992" s="424" t="s">
        <v>3055</v>
      </c>
      <c r="W992" s="424" t="s">
        <v>3054</v>
      </c>
      <c r="X992" s="424" t="s">
        <v>2825</v>
      </c>
      <c r="Y992" s="424" t="s">
        <v>2279</v>
      </c>
      <c r="Z992" s="424" t="s">
        <v>2848</v>
      </c>
      <c r="AA992" s="424" t="s">
        <v>2855</v>
      </c>
      <c r="AB992" s="424" t="s">
        <v>3813</v>
      </c>
      <c r="AC992" s="424" t="s">
        <v>1953</v>
      </c>
      <c r="AD992" s="424" t="s">
        <v>2851</v>
      </c>
      <c r="AE992" s="424" t="s">
        <v>2901</v>
      </c>
      <c r="AF992" s="424"/>
      <c r="AG992" s="424"/>
      <c r="AH992" s="424"/>
    </row>
    <row r="993" spans="1:34" x14ac:dyDescent="0.25">
      <c r="A993" s="423" t="s">
        <v>5474</v>
      </c>
      <c r="B993" s="423" t="s">
        <v>5481</v>
      </c>
      <c r="C993" s="423" t="s">
        <v>5144</v>
      </c>
      <c r="D993" s="423" t="s">
        <v>5145</v>
      </c>
      <c r="E993" s="423" t="s">
        <v>2818</v>
      </c>
      <c r="F993" s="423">
        <v>12</v>
      </c>
      <c r="G993" s="423">
        <v>64</v>
      </c>
      <c r="H993" s="423">
        <v>1200</v>
      </c>
      <c r="J993" s="423"/>
      <c r="K993" s="423"/>
      <c r="L993" s="423"/>
      <c r="M993" s="423"/>
      <c r="Q993" s="423"/>
      <c r="R993" s="424" t="s">
        <v>5482</v>
      </c>
      <c r="S993" s="424" t="s">
        <v>2846</v>
      </c>
      <c r="T993" s="424" t="s">
        <v>2870</v>
      </c>
      <c r="U993" s="424">
        <v>0</v>
      </c>
      <c r="V993" s="424" t="s">
        <v>3055</v>
      </c>
      <c r="W993" s="424" t="s">
        <v>3074</v>
      </c>
      <c r="X993" s="424" t="s">
        <v>2825</v>
      </c>
      <c r="Y993" s="424" t="s">
        <v>2279</v>
      </c>
      <c r="Z993" s="424" t="s">
        <v>2889</v>
      </c>
      <c r="AA993" s="424" t="s">
        <v>3197</v>
      </c>
      <c r="AB993" s="424" t="s">
        <v>3749</v>
      </c>
      <c r="AC993" s="424" t="s">
        <v>1953</v>
      </c>
      <c r="AD993" s="424" t="s">
        <v>2829</v>
      </c>
      <c r="AE993" s="424" t="s">
        <v>3243</v>
      </c>
      <c r="AF993" s="424"/>
      <c r="AG993" s="424"/>
      <c r="AH993" s="424"/>
    </row>
    <row r="994" spans="1:34" x14ac:dyDescent="0.25">
      <c r="A994" s="423" t="s">
        <v>5474</v>
      </c>
      <c r="B994" s="423" t="s">
        <v>5483</v>
      </c>
      <c r="C994" s="423" t="s">
        <v>5144</v>
      </c>
      <c r="D994" s="423" t="s">
        <v>5145</v>
      </c>
      <c r="E994" s="423" t="s">
        <v>2818</v>
      </c>
      <c r="F994" s="423">
        <v>12</v>
      </c>
      <c r="G994" s="423">
        <v>64</v>
      </c>
      <c r="H994" s="423">
        <v>1200</v>
      </c>
      <c r="J994" s="423"/>
      <c r="K994" s="423"/>
      <c r="L994" s="423"/>
      <c r="M994" s="423"/>
      <c r="Q994" s="423"/>
      <c r="R994" s="424" t="s">
        <v>5484</v>
      </c>
      <c r="S994" s="424" t="s">
        <v>2846</v>
      </c>
      <c r="T994" s="424" t="s">
        <v>2870</v>
      </c>
      <c r="U994" s="424">
        <v>0</v>
      </c>
      <c r="V994" s="424" t="s">
        <v>3055</v>
      </c>
      <c r="W994" s="424" t="s">
        <v>3074</v>
      </c>
      <c r="X994" s="424" t="s">
        <v>2825</v>
      </c>
      <c r="Y994" s="424" t="s">
        <v>2279</v>
      </c>
      <c r="Z994" s="424" t="s">
        <v>2872</v>
      </c>
      <c r="AA994" s="424" t="s">
        <v>2873</v>
      </c>
      <c r="AB994" s="424" t="s">
        <v>4466</v>
      </c>
      <c r="AC994" s="424" t="s">
        <v>1953</v>
      </c>
      <c r="AD994" s="424" t="s">
        <v>2892</v>
      </c>
      <c r="AE994" s="424" t="s">
        <v>2962</v>
      </c>
      <c r="AF994" s="424"/>
      <c r="AG994" s="424"/>
      <c r="AH994" s="424"/>
    </row>
    <row r="995" spans="1:34" x14ac:dyDescent="0.25">
      <c r="A995" s="423" t="s">
        <v>5474</v>
      </c>
      <c r="B995" s="423" t="s">
        <v>5485</v>
      </c>
      <c r="C995" s="423" t="s">
        <v>5144</v>
      </c>
      <c r="D995" s="423" t="s">
        <v>5145</v>
      </c>
      <c r="E995" s="423" t="s">
        <v>2818</v>
      </c>
      <c r="F995" s="423">
        <v>26</v>
      </c>
      <c r="G995" s="423">
        <v>64</v>
      </c>
      <c r="H995" s="423">
        <v>1200</v>
      </c>
      <c r="J995" s="423"/>
      <c r="K995" s="423"/>
      <c r="L995" s="423"/>
      <c r="M995" s="423"/>
      <c r="Q995" s="423"/>
      <c r="R995" s="424" t="s">
        <v>5486</v>
      </c>
      <c r="S995" s="424" t="s">
        <v>2846</v>
      </c>
      <c r="T995" s="424" t="s">
        <v>2870</v>
      </c>
      <c r="U995" s="424">
        <v>0</v>
      </c>
      <c r="V995" s="424" t="s">
        <v>2924</v>
      </c>
      <c r="W995" s="424" t="s">
        <v>2974</v>
      </c>
      <c r="X995" s="424" t="s">
        <v>2825</v>
      </c>
      <c r="Y995" s="424" t="s">
        <v>2279</v>
      </c>
      <c r="Z995" s="424" t="s">
        <v>2872</v>
      </c>
      <c r="AA995" s="424" t="s">
        <v>2873</v>
      </c>
      <c r="AB995" s="424" t="s">
        <v>4539</v>
      </c>
      <c r="AC995" s="424" t="s">
        <v>1953</v>
      </c>
      <c r="AD995" s="424" t="s">
        <v>2892</v>
      </c>
      <c r="AE995" s="424" t="s">
        <v>4540</v>
      </c>
      <c r="AF995" s="424"/>
      <c r="AG995" s="424"/>
      <c r="AH995" s="424"/>
    </row>
    <row r="996" spans="1:34" x14ac:dyDescent="0.25">
      <c r="A996" s="423" t="s">
        <v>5474</v>
      </c>
      <c r="B996" s="423" t="s">
        <v>5487</v>
      </c>
      <c r="C996" s="423" t="s">
        <v>5144</v>
      </c>
      <c r="D996" s="423" t="s">
        <v>5145</v>
      </c>
      <c r="E996" s="423" t="s">
        <v>2818</v>
      </c>
      <c r="F996" s="423">
        <v>26</v>
      </c>
      <c r="G996" s="423">
        <v>64</v>
      </c>
      <c r="H996" s="423">
        <v>1200</v>
      </c>
      <c r="J996" s="423"/>
      <c r="K996" s="423"/>
      <c r="L996" s="423"/>
      <c r="M996" s="423"/>
      <c r="Q996" s="423"/>
      <c r="R996" s="424" t="s">
        <v>5488</v>
      </c>
      <c r="S996" s="424" t="s">
        <v>2846</v>
      </c>
      <c r="T996" s="424" t="s">
        <v>2870</v>
      </c>
      <c r="U996" s="424">
        <v>0</v>
      </c>
      <c r="V996" s="424" t="s">
        <v>2924</v>
      </c>
      <c r="W996" s="424" t="s">
        <v>3074</v>
      </c>
      <c r="X996" s="424" t="s">
        <v>2825</v>
      </c>
      <c r="Y996" s="424" t="s">
        <v>2279</v>
      </c>
      <c r="Z996" s="424" t="s">
        <v>2872</v>
      </c>
      <c r="AA996" s="424" t="s">
        <v>2873</v>
      </c>
      <c r="AB996" s="424" t="s">
        <v>5489</v>
      </c>
      <c r="AC996" s="424" t="s">
        <v>1953</v>
      </c>
      <c r="AD996" s="424" t="s">
        <v>2892</v>
      </c>
      <c r="AE996" s="424" t="s">
        <v>2962</v>
      </c>
      <c r="AF996" s="424"/>
      <c r="AG996" s="424"/>
      <c r="AH996" s="424"/>
    </row>
    <row r="997" spans="1:34" x14ac:dyDescent="0.25">
      <c r="A997" s="423" t="s">
        <v>5474</v>
      </c>
      <c r="B997" s="423" t="s">
        <v>5490</v>
      </c>
      <c r="C997" s="423" t="s">
        <v>5144</v>
      </c>
      <c r="D997" s="423" t="s">
        <v>5145</v>
      </c>
      <c r="E997" s="423" t="s">
        <v>2818</v>
      </c>
      <c r="F997" s="423">
        <v>26</v>
      </c>
      <c r="G997" s="423">
        <v>64</v>
      </c>
      <c r="H997" s="423">
        <v>1200</v>
      </c>
      <c r="J997" s="423"/>
      <c r="K997" s="423"/>
      <c r="L997" s="423"/>
      <c r="M997" s="423"/>
      <c r="Q997" s="423"/>
      <c r="R997" s="424" t="s">
        <v>5491</v>
      </c>
      <c r="S997" s="424" t="s">
        <v>2846</v>
      </c>
      <c r="T997" s="424" t="s">
        <v>2870</v>
      </c>
      <c r="U997" s="424">
        <v>0</v>
      </c>
      <c r="V997" s="424" t="s">
        <v>2924</v>
      </c>
      <c r="W997" s="424" t="s">
        <v>2974</v>
      </c>
      <c r="X997" s="424" t="s">
        <v>2825</v>
      </c>
      <c r="Y997" s="424" t="s">
        <v>2279</v>
      </c>
      <c r="Z997" s="424" t="s">
        <v>2872</v>
      </c>
      <c r="AA997" s="424" t="s">
        <v>2873</v>
      </c>
      <c r="AB997" s="424" t="s">
        <v>4564</v>
      </c>
      <c r="AC997" s="424" t="s">
        <v>1953</v>
      </c>
      <c r="AD997" s="424" t="s">
        <v>2892</v>
      </c>
      <c r="AE997" s="424" t="s">
        <v>4463</v>
      </c>
      <c r="AF997" s="424"/>
      <c r="AG997" s="424"/>
      <c r="AH997" s="424"/>
    </row>
    <row r="998" spans="1:34" x14ac:dyDescent="0.25">
      <c r="A998" s="423" t="s">
        <v>5474</v>
      </c>
      <c r="B998" s="423" t="s">
        <v>5492</v>
      </c>
      <c r="C998" s="423" t="s">
        <v>5144</v>
      </c>
      <c r="D998" s="423" t="s">
        <v>5145</v>
      </c>
      <c r="E998" s="423" t="s">
        <v>2818</v>
      </c>
      <c r="F998" s="423">
        <v>26</v>
      </c>
      <c r="G998" s="423">
        <v>64</v>
      </c>
      <c r="H998" s="423">
        <v>1200</v>
      </c>
      <c r="J998" s="423"/>
      <c r="K998" s="423"/>
      <c r="L998" s="423"/>
      <c r="M998" s="423"/>
      <c r="Q998" s="423"/>
      <c r="R998" s="424" t="s">
        <v>5493</v>
      </c>
      <c r="S998" s="424" t="s">
        <v>2846</v>
      </c>
      <c r="T998" s="424" t="s">
        <v>2870</v>
      </c>
      <c r="U998" s="424">
        <v>0</v>
      </c>
      <c r="V998" s="424" t="s">
        <v>2924</v>
      </c>
      <c r="W998" s="424" t="s">
        <v>3074</v>
      </c>
      <c r="X998" s="424" t="s">
        <v>2825</v>
      </c>
      <c r="Y998" s="424" t="s">
        <v>2279</v>
      </c>
      <c r="Z998" s="424" t="s">
        <v>2872</v>
      </c>
      <c r="AA998" s="424" t="s">
        <v>2873</v>
      </c>
      <c r="AB998" s="424" t="s">
        <v>5494</v>
      </c>
      <c r="AC998" s="424" t="s">
        <v>1953</v>
      </c>
      <c r="AD998" s="424" t="s">
        <v>2892</v>
      </c>
      <c r="AE998" s="424" t="s">
        <v>2962</v>
      </c>
      <c r="AF998" s="424"/>
      <c r="AG998" s="424"/>
      <c r="AH998" s="424"/>
    </row>
    <row r="999" spans="1:34" x14ac:dyDescent="0.25">
      <c r="A999" s="423" t="s">
        <v>5474</v>
      </c>
      <c r="B999" s="423" t="s">
        <v>5495</v>
      </c>
      <c r="C999" s="423" t="s">
        <v>5144</v>
      </c>
      <c r="D999" s="423" t="s">
        <v>5145</v>
      </c>
      <c r="E999" s="423" t="s">
        <v>2818</v>
      </c>
      <c r="F999" s="423">
        <v>16</v>
      </c>
      <c r="G999" s="423">
        <v>64</v>
      </c>
      <c r="H999" s="423">
        <v>1200</v>
      </c>
      <c r="J999" s="423"/>
      <c r="K999" s="423"/>
      <c r="L999" s="423"/>
      <c r="M999" s="423"/>
      <c r="Q999" s="423"/>
      <c r="R999" s="424" t="s">
        <v>5496</v>
      </c>
      <c r="S999" s="424" t="s">
        <v>2846</v>
      </c>
      <c r="T999" s="424" t="s">
        <v>3693</v>
      </c>
      <c r="U999" s="424">
        <v>0</v>
      </c>
      <c r="V999" s="424" t="s">
        <v>3269</v>
      </c>
      <c r="W999" s="424" t="s">
        <v>2871</v>
      </c>
      <c r="X999" s="424" t="s">
        <v>2825</v>
      </c>
      <c r="Y999" s="424" t="s">
        <v>2279</v>
      </c>
      <c r="Z999" s="424" t="s">
        <v>2872</v>
      </c>
      <c r="AA999" s="424" t="s">
        <v>2873</v>
      </c>
      <c r="AB999" s="424" t="s">
        <v>5497</v>
      </c>
      <c r="AC999" s="424" t="s">
        <v>1953</v>
      </c>
      <c r="AD999" s="424" t="s">
        <v>2875</v>
      </c>
      <c r="AE999" s="424" t="s">
        <v>3700</v>
      </c>
      <c r="AF999" s="424"/>
      <c r="AG999" s="424"/>
      <c r="AH999" s="424"/>
    </row>
    <row r="1000" spans="1:34" x14ac:dyDescent="0.25">
      <c r="A1000" s="423" t="s">
        <v>5474</v>
      </c>
      <c r="B1000" s="423" t="s">
        <v>5498</v>
      </c>
      <c r="C1000" s="423" t="s">
        <v>5144</v>
      </c>
      <c r="D1000" s="423" t="s">
        <v>5145</v>
      </c>
      <c r="E1000" s="423" t="s">
        <v>2818</v>
      </c>
      <c r="F1000" s="423">
        <v>16</v>
      </c>
      <c r="G1000" s="423">
        <v>64</v>
      </c>
      <c r="H1000" s="423">
        <v>1200</v>
      </c>
      <c r="J1000" s="423"/>
      <c r="K1000" s="423"/>
      <c r="L1000" s="423"/>
      <c r="M1000" s="423"/>
      <c r="Q1000" s="423"/>
      <c r="R1000" s="424" t="s">
        <v>5499</v>
      </c>
      <c r="S1000" s="424" t="s">
        <v>2846</v>
      </c>
      <c r="T1000" s="424" t="s">
        <v>3693</v>
      </c>
      <c r="U1000" s="424">
        <v>0</v>
      </c>
      <c r="V1000" s="424" t="s">
        <v>3269</v>
      </c>
      <c r="W1000" s="424" t="s">
        <v>2924</v>
      </c>
      <c r="X1000" s="424" t="s">
        <v>2825</v>
      </c>
      <c r="Y1000" s="424" t="s">
        <v>2279</v>
      </c>
      <c r="Z1000" s="424" t="s">
        <v>2872</v>
      </c>
      <c r="AA1000" s="424" t="s">
        <v>2873</v>
      </c>
      <c r="AB1000" s="424" t="s">
        <v>5500</v>
      </c>
      <c r="AC1000" s="424" t="s">
        <v>1953</v>
      </c>
      <c r="AD1000" s="424" t="s">
        <v>2875</v>
      </c>
      <c r="AE1000" s="424" t="s">
        <v>5501</v>
      </c>
      <c r="AF1000" s="424"/>
      <c r="AG1000" s="424"/>
      <c r="AH1000" s="424"/>
    </row>
    <row r="1001" spans="1:34" x14ac:dyDescent="0.25">
      <c r="A1001" s="423" t="s">
        <v>5474</v>
      </c>
      <c r="B1001" s="423" t="s">
        <v>5502</v>
      </c>
      <c r="C1001" s="423" t="s">
        <v>5144</v>
      </c>
      <c r="D1001" s="423" t="s">
        <v>5145</v>
      </c>
      <c r="E1001" s="423" t="s">
        <v>2818</v>
      </c>
      <c r="F1001" s="423">
        <v>16</v>
      </c>
      <c r="G1001" s="423">
        <v>64</v>
      </c>
      <c r="H1001" s="423">
        <v>1200</v>
      </c>
      <c r="J1001" s="423"/>
      <c r="K1001" s="423"/>
      <c r="L1001" s="423"/>
      <c r="M1001" s="423"/>
      <c r="Q1001" s="423"/>
      <c r="R1001" s="424" t="s">
        <v>5503</v>
      </c>
      <c r="S1001" s="424" t="s">
        <v>2846</v>
      </c>
      <c r="T1001" s="424" t="s">
        <v>3693</v>
      </c>
      <c r="U1001" s="424">
        <v>0</v>
      </c>
      <c r="V1001" s="424" t="s">
        <v>3269</v>
      </c>
      <c r="W1001" s="424" t="s">
        <v>2924</v>
      </c>
      <c r="X1001" s="424" t="s">
        <v>2825</v>
      </c>
      <c r="Y1001" s="424" t="s">
        <v>2279</v>
      </c>
      <c r="Z1001" s="424" t="s">
        <v>2889</v>
      </c>
      <c r="AA1001" s="424" t="s">
        <v>3703</v>
      </c>
      <c r="AB1001" s="424" t="s">
        <v>5504</v>
      </c>
      <c r="AC1001" s="424" t="s">
        <v>1953</v>
      </c>
      <c r="AD1001" s="424" t="s">
        <v>2875</v>
      </c>
      <c r="AE1001" s="424" t="s">
        <v>3705</v>
      </c>
      <c r="AF1001" s="424"/>
      <c r="AG1001" s="424"/>
      <c r="AH1001" s="424"/>
    </row>
    <row r="1002" spans="1:34" x14ac:dyDescent="0.25">
      <c r="A1002" s="423" t="s">
        <v>5474</v>
      </c>
      <c r="B1002" s="423" t="s">
        <v>5505</v>
      </c>
      <c r="C1002" s="423" t="s">
        <v>5144</v>
      </c>
      <c r="D1002" s="423" t="s">
        <v>5145</v>
      </c>
      <c r="E1002" s="423" t="s">
        <v>2818</v>
      </c>
      <c r="F1002" s="423">
        <v>16</v>
      </c>
      <c r="G1002" s="423">
        <v>32</v>
      </c>
      <c r="H1002" s="423">
        <v>1200</v>
      </c>
      <c r="J1002" s="423"/>
      <c r="K1002" s="423"/>
      <c r="L1002" s="423"/>
      <c r="M1002" s="423"/>
      <c r="Q1002" s="423"/>
      <c r="R1002" s="424" t="s">
        <v>5505</v>
      </c>
      <c r="S1002" s="424" t="s">
        <v>2846</v>
      </c>
      <c r="T1002" s="424" t="s">
        <v>3291</v>
      </c>
      <c r="U1002" s="424">
        <v>0</v>
      </c>
      <c r="V1002" s="424" t="s">
        <v>3269</v>
      </c>
      <c r="W1002" s="424" t="s">
        <v>3176</v>
      </c>
      <c r="X1002" s="424" t="s">
        <v>2825</v>
      </c>
      <c r="Y1002" s="424" t="s">
        <v>2279</v>
      </c>
      <c r="Z1002" s="424" t="s">
        <v>3260</v>
      </c>
      <c r="AA1002" s="424" t="s">
        <v>3197</v>
      </c>
      <c r="AB1002" s="424" t="s">
        <v>3571</v>
      </c>
      <c r="AC1002" s="424" t="s">
        <v>1953</v>
      </c>
      <c r="AD1002" s="424" t="s">
        <v>2851</v>
      </c>
      <c r="AE1002" s="424" t="s">
        <v>3324</v>
      </c>
      <c r="AF1002" s="424"/>
      <c r="AG1002" s="424"/>
      <c r="AH1002" s="424"/>
    </row>
    <row r="1003" spans="1:34" x14ac:dyDescent="0.25">
      <c r="A1003" s="423" t="s">
        <v>5474</v>
      </c>
      <c r="B1003" s="423" t="s">
        <v>5506</v>
      </c>
      <c r="C1003" s="423" t="s">
        <v>5144</v>
      </c>
      <c r="D1003" s="423" t="s">
        <v>5145</v>
      </c>
      <c r="E1003" s="423" t="s">
        <v>2818</v>
      </c>
      <c r="F1003" s="423">
        <v>32</v>
      </c>
      <c r="G1003" s="423">
        <v>32</v>
      </c>
      <c r="H1003" s="423">
        <v>1200</v>
      </c>
      <c r="J1003" s="423"/>
      <c r="K1003" s="423"/>
      <c r="L1003" s="423"/>
      <c r="M1003" s="423"/>
      <c r="Q1003" s="423"/>
      <c r="R1003" s="424" t="s">
        <v>5506</v>
      </c>
      <c r="S1003" s="424" t="s">
        <v>2846</v>
      </c>
      <c r="T1003" s="424" t="s">
        <v>3291</v>
      </c>
      <c r="U1003" s="424">
        <v>0</v>
      </c>
      <c r="V1003" s="424" t="s">
        <v>3269</v>
      </c>
      <c r="W1003" s="424" t="s">
        <v>3074</v>
      </c>
      <c r="X1003" s="424" t="s">
        <v>2825</v>
      </c>
      <c r="Y1003" s="424" t="s">
        <v>2279</v>
      </c>
      <c r="Z1003" s="424" t="s">
        <v>3260</v>
      </c>
      <c r="AA1003" s="424" t="s">
        <v>3197</v>
      </c>
      <c r="AB1003" s="424" t="s">
        <v>5317</v>
      </c>
      <c r="AC1003" s="424" t="s">
        <v>1953</v>
      </c>
      <c r="AD1003" s="424" t="s">
        <v>2851</v>
      </c>
      <c r="AE1003" s="424" t="s">
        <v>3481</v>
      </c>
      <c r="AF1003" s="424"/>
      <c r="AG1003" s="424"/>
      <c r="AH1003" s="424"/>
    </row>
    <row r="1004" spans="1:34" x14ac:dyDescent="0.25">
      <c r="A1004" s="423" t="s">
        <v>5474</v>
      </c>
      <c r="B1004" s="423" t="s">
        <v>5507</v>
      </c>
      <c r="C1004" s="423" t="s">
        <v>5144</v>
      </c>
      <c r="D1004" s="423" t="s">
        <v>5145</v>
      </c>
      <c r="E1004" s="423" t="s">
        <v>2818</v>
      </c>
      <c r="F1004" s="423">
        <v>32</v>
      </c>
      <c r="G1004" s="423">
        <v>32</v>
      </c>
      <c r="H1004" s="423">
        <v>1200</v>
      </c>
      <c r="J1004" s="423"/>
      <c r="K1004" s="423"/>
      <c r="L1004" s="423"/>
      <c r="M1004" s="423"/>
      <c r="Q1004" s="423"/>
      <c r="R1004" s="424" t="s">
        <v>5507</v>
      </c>
      <c r="S1004" s="424" t="s">
        <v>2846</v>
      </c>
      <c r="T1004" s="424" t="s">
        <v>3291</v>
      </c>
      <c r="U1004" s="424">
        <v>0</v>
      </c>
      <c r="V1004" s="424" t="s">
        <v>3269</v>
      </c>
      <c r="W1004" s="424" t="s">
        <v>2871</v>
      </c>
      <c r="X1004" s="424" t="s">
        <v>2825</v>
      </c>
      <c r="Y1004" s="424" t="s">
        <v>2279</v>
      </c>
      <c r="Z1004" s="424" t="s">
        <v>2848</v>
      </c>
      <c r="AA1004" s="424" t="s">
        <v>2849</v>
      </c>
      <c r="AB1004" s="424" t="s">
        <v>5508</v>
      </c>
      <c r="AC1004" s="424" t="s">
        <v>1953</v>
      </c>
      <c r="AD1004" s="424" t="s">
        <v>2851</v>
      </c>
      <c r="AE1004" s="424" t="s">
        <v>3545</v>
      </c>
      <c r="AF1004" s="424"/>
      <c r="AG1004" s="424"/>
      <c r="AH1004" s="424"/>
    </row>
    <row r="1005" spans="1:34" x14ac:dyDescent="0.25">
      <c r="A1005" s="423" t="s">
        <v>5474</v>
      </c>
      <c r="B1005" s="423" t="s">
        <v>5509</v>
      </c>
      <c r="C1005" s="423" t="s">
        <v>5144</v>
      </c>
      <c r="D1005" s="423" t="s">
        <v>5145</v>
      </c>
      <c r="E1005" s="423" t="s">
        <v>2818</v>
      </c>
      <c r="F1005" s="423">
        <v>32</v>
      </c>
      <c r="G1005" s="423">
        <v>32</v>
      </c>
      <c r="H1005" s="423">
        <v>1200</v>
      </c>
      <c r="J1005" s="423"/>
      <c r="K1005" s="423"/>
      <c r="L1005" s="423"/>
      <c r="M1005" s="423"/>
      <c r="Q1005" s="423"/>
      <c r="R1005" s="424" t="s">
        <v>5509</v>
      </c>
      <c r="S1005" s="424" t="s">
        <v>2846</v>
      </c>
      <c r="T1005" s="424" t="s">
        <v>3291</v>
      </c>
      <c r="U1005" s="424">
        <v>0</v>
      </c>
      <c r="V1005" s="424" t="s">
        <v>3269</v>
      </c>
      <c r="W1005" s="424" t="s">
        <v>3054</v>
      </c>
      <c r="X1005" s="424" t="s">
        <v>2825</v>
      </c>
      <c r="Y1005" s="424" t="s">
        <v>2279</v>
      </c>
      <c r="Z1005" s="424" t="s">
        <v>2889</v>
      </c>
      <c r="AA1005" s="424" t="s">
        <v>3311</v>
      </c>
      <c r="AB1005" s="424" t="s">
        <v>5311</v>
      </c>
      <c r="AC1005" s="424" t="s">
        <v>1953</v>
      </c>
      <c r="AD1005" s="424" t="s">
        <v>2851</v>
      </c>
      <c r="AE1005" s="424" t="s">
        <v>5312</v>
      </c>
      <c r="AF1005" s="424"/>
      <c r="AG1005" s="424"/>
      <c r="AH1005" s="424"/>
    </row>
    <row r="1006" spans="1:34" x14ac:dyDescent="0.25">
      <c r="A1006" s="423" t="s">
        <v>5474</v>
      </c>
      <c r="B1006" s="423" t="s">
        <v>5510</v>
      </c>
      <c r="C1006" s="423" t="s">
        <v>5144</v>
      </c>
      <c r="D1006" s="423" t="s">
        <v>5145</v>
      </c>
      <c r="E1006" s="423" t="s">
        <v>2818</v>
      </c>
      <c r="F1006" s="423">
        <v>16</v>
      </c>
      <c r="G1006" s="423">
        <v>32</v>
      </c>
      <c r="H1006" s="423">
        <v>1200</v>
      </c>
      <c r="J1006" s="423"/>
      <c r="K1006" s="423"/>
      <c r="L1006" s="423"/>
      <c r="M1006" s="423"/>
      <c r="Q1006" s="423"/>
      <c r="R1006" s="424" t="s">
        <v>5510</v>
      </c>
      <c r="S1006" s="424" t="s">
        <v>2846</v>
      </c>
      <c r="T1006" s="424" t="s">
        <v>3291</v>
      </c>
      <c r="U1006" s="424">
        <v>0</v>
      </c>
      <c r="V1006" s="424" t="s">
        <v>3269</v>
      </c>
      <c r="W1006" s="424" t="s">
        <v>3074</v>
      </c>
      <c r="X1006" s="424" t="s">
        <v>2825</v>
      </c>
      <c r="Y1006" s="424" t="s">
        <v>2279</v>
      </c>
      <c r="Z1006" s="424" t="s">
        <v>3260</v>
      </c>
      <c r="AA1006" s="424" t="s">
        <v>3197</v>
      </c>
      <c r="AB1006" s="424" t="s">
        <v>3564</v>
      </c>
      <c r="AC1006" s="424" t="s">
        <v>1953</v>
      </c>
      <c r="AD1006" s="424" t="s">
        <v>2851</v>
      </c>
      <c r="AE1006" s="424" t="s">
        <v>3550</v>
      </c>
      <c r="AF1006" s="424"/>
      <c r="AG1006" s="424"/>
      <c r="AH1006" s="424"/>
    </row>
    <row r="1007" spans="1:34" x14ac:dyDescent="0.25">
      <c r="A1007" s="423" t="s">
        <v>5474</v>
      </c>
      <c r="B1007" s="423" t="s">
        <v>5511</v>
      </c>
      <c r="C1007" s="423" t="s">
        <v>5144</v>
      </c>
      <c r="D1007" s="423" t="s">
        <v>5145</v>
      </c>
      <c r="E1007" s="423" t="s">
        <v>2818</v>
      </c>
      <c r="F1007" s="423">
        <v>16</v>
      </c>
      <c r="G1007" s="423">
        <v>32</v>
      </c>
      <c r="H1007" s="423">
        <v>1200</v>
      </c>
      <c r="J1007" s="423"/>
      <c r="K1007" s="423"/>
      <c r="L1007" s="423"/>
      <c r="M1007" s="423"/>
      <c r="Q1007" s="423"/>
      <c r="R1007" s="424" t="s">
        <v>5511</v>
      </c>
      <c r="S1007" s="424" t="s">
        <v>2846</v>
      </c>
      <c r="T1007" s="424" t="s">
        <v>3291</v>
      </c>
      <c r="U1007" s="424">
        <v>0</v>
      </c>
      <c r="V1007" s="424" t="s">
        <v>3269</v>
      </c>
      <c r="W1007" s="424" t="s">
        <v>3176</v>
      </c>
      <c r="X1007" s="424" t="s">
        <v>2825</v>
      </c>
      <c r="Y1007" s="424" t="s">
        <v>2279</v>
      </c>
      <c r="Z1007" s="424" t="s">
        <v>3260</v>
      </c>
      <c r="AA1007" s="424" t="s">
        <v>3197</v>
      </c>
      <c r="AB1007" s="424" t="s">
        <v>5306</v>
      </c>
      <c r="AC1007" s="424" t="s">
        <v>1953</v>
      </c>
      <c r="AD1007" s="424" t="s">
        <v>2851</v>
      </c>
      <c r="AE1007" s="424" t="s">
        <v>3293</v>
      </c>
      <c r="AF1007" s="424"/>
      <c r="AG1007" s="424"/>
      <c r="AH1007" s="424"/>
    </row>
    <row r="1008" spans="1:34" x14ac:dyDescent="0.25">
      <c r="A1008" s="423" t="s">
        <v>5474</v>
      </c>
      <c r="B1008" s="423" t="s">
        <v>5512</v>
      </c>
      <c r="C1008" s="423" t="s">
        <v>5144</v>
      </c>
      <c r="D1008" s="423" t="s">
        <v>5145</v>
      </c>
      <c r="E1008" s="423" t="s">
        <v>2818</v>
      </c>
      <c r="F1008" s="423">
        <v>16</v>
      </c>
      <c r="G1008" s="423">
        <v>32</v>
      </c>
      <c r="H1008" s="423">
        <v>1200</v>
      </c>
      <c r="J1008" s="423"/>
      <c r="K1008" s="423"/>
      <c r="L1008" s="423"/>
      <c r="M1008" s="423"/>
      <c r="Q1008" s="423"/>
      <c r="R1008" s="424" t="s">
        <v>5512</v>
      </c>
      <c r="S1008" s="424" t="s">
        <v>2846</v>
      </c>
      <c r="T1008" s="424" t="s">
        <v>3291</v>
      </c>
      <c r="U1008" s="424">
        <v>0</v>
      </c>
      <c r="V1008" s="424" t="s">
        <v>3269</v>
      </c>
      <c r="W1008" s="424" t="s">
        <v>2871</v>
      </c>
      <c r="X1008" s="424" t="s">
        <v>2825</v>
      </c>
      <c r="Y1008" s="424" t="s">
        <v>2279</v>
      </c>
      <c r="Z1008" s="424" t="s">
        <v>2848</v>
      </c>
      <c r="AA1008" s="424" t="s">
        <v>2849</v>
      </c>
      <c r="AB1008" s="424" t="s">
        <v>5508</v>
      </c>
      <c r="AC1008" s="424" t="s">
        <v>1953</v>
      </c>
      <c r="AD1008" s="424" t="s">
        <v>2851</v>
      </c>
      <c r="AE1008" s="424" t="s">
        <v>3545</v>
      </c>
      <c r="AF1008" s="424"/>
      <c r="AG1008" s="424"/>
      <c r="AH1008" s="424"/>
    </row>
    <row r="1009" spans="1:34" x14ac:dyDescent="0.25">
      <c r="A1009" s="423" t="s">
        <v>5474</v>
      </c>
      <c r="B1009" s="423" t="s">
        <v>5513</v>
      </c>
      <c r="C1009" s="423" t="s">
        <v>5144</v>
      </c>
      <c r="D1009" s="423" t="s">
        <v>5145</v>
      </c>
      <c r="E1009" s="423" t="s">
        <v>2818</v>
      </c>
      <c r="F1009" s="423">
        <v>32</v>
      </c>
      <c r="G1009" s="423">
        <v>64</v>
      </c>
      <c r="H1009" s="423">
        <v>1200</v>
      </c>
      <c r="J1009" s="423"/>
      <c r="K1009" s="423"/>
      <c r="L1009" s="423"/>
      <c r="M1009" s="423"/>
      <c r="Q1009" s="423"/>
      <c r="R1009" s="424" t="s">
        <v>5513</v>
      </c>
      <c r="S1009" s="424" t="s">
        <v>2846</v>
      </c>
      <c r="T1009" s="424" t="s">
        <v>3291</v>
      </c>
      <c r="U1009" s="424">
        <v>0</v>
      </c>
      <c r="V1009" s="424" t="s">
        <v>3269</v>
      </c>
      <c r="W1009" s="424" t="s">
        <v>3176</v>
      </c>
      <c r="X1009" s="424" t="s">
        <v>2825</v>
      </c>
      <c r="Y1009" s="424" t="s">
        <v>2279</v>
      </c>
      <c r="Z1009" s="424" t="s">
        <v>3260</v>
      </c>
      <c r="AA1009" s="424" t="s">
        <v>3197</v>
      </c>
      <c r="AB1009" s="424" t="s">
        <v>5514</v>
      </c>
      <c r="AC1009" s="424" t="s">
        <v>1953</v>
      </c>
      <c r="AD1009" s="424" t="s">
        <v>2851</v>
      </c>
      <c r="AE1009" s="424" t="s">
        <v>3550</v>
      </c>
      <c r="AF1009" s="424"/>
      <c r="AG1009" s="424"/>
      <c r="AH1009" s="424"/>
    </row>
    <row r="1010" spans="1:34" x14ac:dyDescent="0.25">
      <c r="A1010" s="423" t="s">
        <v>5474</v>
      </c>
      <c r="B1010" s="423" t="s">
        <v>5515</v>
      </c>
      <c r="C1010" s="423" t="s">
        <v>5144</v>
      </c>
      <c r="D1010" s="423" t="s">
        <v>5145</v>
      </c>
      <c r="E1010" s="423" t="s">
        <v>2818</v>
      </c>
      <c r="F1010" s="423">
        <v>32</v>
      </c>
      <c r="G1010" s="423">
        <v>64</v>
      </c>
      <c r="H1010" s="423">
        <v>1200</v>
      </c>
      <c r="J1010" s="423"/>
      <c r="K1010" s="423"/>
      <c r="L1010" s="423"/>
      <c r="M1010" s="423"/>
      <c r="Q1010" s="423"/>
      <c r="R1010" s="424" t="s">
        <v>5515</v>
      </c>
      <c r="S1010" s="424" t="s">
        <v>2846</v>
      </c>
      <c r="T1010" s="424" t="s">
        <v>3291</v>
      </c>
      <c r="U1010" s="424">
        <v>0</v>
      </c>
      <c r="V1010" s="424" t="s">
        <v>3269</v>
      </c>
      <c r="W1010" s="424" t="s">
        <v>3074</v>
      </c>
      <c r="X1010" s="424" t="s">
        <v>2825</v>
      </c>
      <c r="Y1010" s="424" t="s">
        <v>2279</v>
      </c>
      <c r="Z1010" s="424" t="s">
        <v>3260</v>
      </c>
      <c r="AA1010" s="424" t="s">
        <v>3197</v>
      </c>
      <c r="AB1010" s="424" t="s">
        <v>3867</v>
      </c>
      <c r="AC1010" s="424" t="s">
        <v>1953</v>
      </c>
      <c r="AD1010" s="424" t="s">
        <v>2851</v>
      </c>
      <c r="AE1010" s="424" t="s">
        <v>3481</v>
      </c>
      <c r="AF1010" s="424"/>
      <c r="AG1010" s="424"/>
      <c r="AH1010" s="424"/>
    </row>
    <row r="1011" spans="1:34" x14ac:dyDescent="0.25">
      <c r="A1011" s="423" t="s">
        <v>5474</v>
      </c>
      <c r="B1011" s="423" t="s">
        <v>5516</v>
      </c>
      <c r="C1011" s="423" t="s">
        <v>5144</v>
      </c>
      <c r="D1011" s="423" t="s">
        <v>5145</v>
      </c>
      <c r="E1011" s="423" t="s">
        <v>2818</v>
      </c>
      <c r="F1011" s="423">
        <v>32</v>
      </c>
      <c r="G1011" s="423">
        <v>64</v>
      </c>
      <c r="H1011" s="423">
        <v>1200</v>
      </c>
      <c r="J1011" s="423"/>
      <c r="K1011" s="423"/>
      <c r="L1011" s="423"/>
      <c r="M1011" s="423"/>
      <c r="Q1011" s="423"/>
      <c r="R1011" s="424" t="s">
        <v>5516</v>
      </c>
      <c r="S1011" s="424" t="s">
        <v>2846</v>
      </c>
      <c r="T1011" s="424" t="s">
        <v>3291</v>
      </c>
      <c r="U1011" s="424">
        <v>0</v>
      </c>
      <c r="V1011" s="424" t="s">
        <v>3269</v>
      </c>
      <c r="W1011" s="424" t="s">
        <v>3054</v>
      </c>
      <c r="X1011" s="424" t="s">
        <v>2825</v>
      </c>
      <c r="Y1011" s="424" t="s">
        <v>2279</v>
      </c>
      <c r="Z1011" s="424" t="s">
        <v>2889</v>
      </c>
      <c r="AA1011" s="424" t="s">
        <v>3311</v>
      </c>
      <c r="AB1011" s="424" t="s">
        <v>5311</v>
      </c>
      <c r="AC1011" s="424" t="s">
        <v>1953</v>
      </c>
      <c r="AD1011" s="424" t="s">
        <v>2851</v>
      </c>
      <c r="AE1011" s="424" t="s">
        <v>5312</v>
      </c>
      <c r="AF1011" s="424"/>
      <c r="AG1011" s="424"/>
      <c r="AH1011" s="424"/>
    </row>
    <row r="1012" spans="1:34" x14ac:dyDescent="0.25">
      <c r="A1012" s="423" t="s">
        <v>5474</v>
      </c>
      <c r="B1012" s="423" t="s">
        <v>5517</v>
      </c>
      <c r="C1012" s="423" t="s">
        <v>5144</v>
      </c>
      <c r="D1012" s="423" t="s">
        <v>5145</v>
      </c>
      <c r="E1012" s="423" t="s">
        <v>2818</v>
      </c>
      <c r="F1012" s="423">
        <v>32</v>
      </c>
      <c r="G1012" s="423">
        <v>64</v>
      </c>
      <c r="H1012" s="423">
        <v>1200</v>
      </c>
      <c r="J1012" s="423"/>
      <c r="K1012" s="423"/>
      <c r="L1012" s="423"/>
      <c r="M1012" s="423"/>
      <c r="Q1012" s="423"/>
      <c r="R1012" s="424" t="s">
        <v>5517</v>
      </c>
      <c r="S1012" s="424" t="s">
        <v>2846</v>
      </c>
      <c r="T1012" s="424" t="s">
        <v>3291</v>
      </c>
      <c r="U1012" s="424">
        <v>0</v>
      </c>
      <c r="V1012" s="424" t="s">
        <v>3269</v>
      </c>
      <c r="W1012" s="424" t="s">
        <v>3054</v>
      </c>
      <c r="X1012" s="424" t="s">
        <v>2825</v>
      </c>
      <c r="Y1012" s="424" t="s">
        <v>2279</v>
      </c>
      <c r="Z1012" s="424" t="s">
        <v>2889</v>
      </c>
      <c r="AA1012" s="424" t="s">
        <v>3311</v>
      </c>
      <c r="AB1012" s="424" t="s">
        <v>3312</v>
      </c>
      <c r="AC1012" s="424" t="s">
        <v>1953</v>
      </c>
      <c r="AD1012" s="424" t="s">
        <v>2851</v>
      </c>
      <c r="AE1012" s="424" t="s">
        <v>3313</v>
      </c>
      <c r="AF1012" s="424"/>
      <c r="AG1012" s="424"/>
      <c r="AH1012" s="424"/>
    </row>
    <row r="1013" spans="1:34" x14ac:dyDescent="0.25">
      <c r="A1013" s="423" t="s">
        <v>5474</v>
      </c>
      <c r="B1013" s="423" t="s">
        <v>5518</v>
      </c>
      <c r="C1013" s="423" t="s">
        <v>5144</v>
      </c>
      <c r="D1013" s="423" t="s">
        <v>5145</v>
      </c>
      <c r="E1013" s="423" t="s">
        <v>2818</v>
      </c>
      <c r="F1013" s="423">
        <v>32</v>
      </c>
      <c r="G1013" s="423">
        <v>64</v>
      </c>
      <c r="H1013" s="423">
        <v>1200</v>
      </c>
      <c r="J1013" s="423"/>
      <c r="K1013" s="423"/>
      <c r="L1013" s="423"/>
      <c r="M1013" s="423"/>
      <c r="Q1013" s="423"/>
      <c r="R1013" s="424" t="s">
        <v>5518</v>
      </c>
      <c r="S1013" s="424" t="s">
        <v>2846</v>
      </c>
      <c r="T1013" s="424" t="s">
        <v>3291</v>
      </c>
      <c r="U1013" s="424">
        <v>0</v>
      </c>
      <c r="V1013" s="424" t="s">
        <v>3269</v>
      </c>
      <c r="W1013" s="424" t="s">
        <v>2871</v>
      </c>
      <c r="X1013" s="424" t="s">
        <v>2825</v>
      </c>
      <c r="Y1013" s="424" t="s">
        <v>2279</v>
      </c>
      <c r="Z1013" s="424" t="s">
        <v>2848</v>
      </c>
      <c r="AA1013" s="424" t="s">
        <v>2849</v>
      </c>
      <c r="AB1013" s="424" t="s">
        <v>3931</v>
      </c>
      <c r="AC1013" s="424" t="s">
        <v>1953</v>
      </c>
      <c r="AD1013" s="424" t="s">
        <v>2851</v>
      </c>
      <c r="AE1013" s="424" t="s">
        <v>3545</v>
      </c>
      <c r="AF1013" s="424"/>
      <c r="AG1013" s="424"/>
      <c r="AH1013" s="424"/>
    </row>
    <row r="1014" spans="1:34" x14ac:dyDescent="0.25">
      <c r="A1014" s="423" t="s">
        <v>5474</v>
      </c>
      <c r="B1014" s="423" t="s">
        <v>5519</v>
      </c>
      <c r="C1014" s="423" t="s">
        <v>5144</v>
      </c>
      <c r="D1014" s="423" t="s">
        <v>5145</v>
      </c>
      <c r="E1014" s="423" t="s">
        <v>2818</v>
      </c>
      <c r="F1014" s="423">
        <v>32</v>
      </c>
      <c r="G1014" s="423">
        <v>64</v>
      </c>
      <c r="H1014" s="423">
        <v>1200</v>
      </c>
      <c r="J1014" s="423"/>
      <c r="K1014" s="423"/>
      <c r="L1014" s="423"/>
      <c r="M1014" s="423"/>
      <c r="Q1014" s="423"/>
      <c r="R1014" s="424" t="s">
        <v>5519</v>
      </c>
      <c r="S1014" s="424" t="s">
        <v>2846</v>
      </c>
      <c r="T1014" s="424" t="s">
        <v>3291</v>
      </c>
      <c r="U1014" s="424">
        <v>0</v>
      </c>
      <c r="V1014" s="424" t="s">
        <v>3269</v>
      </c>
      <c r="W1014" s="424" t="s">
        <v>3074</v>
      </c>
      <c r="X1014" s="424" t="s">
        <v>2825</v>
      </c>
      <c r="Y1014" s="424" t="s">
        <v>2279</v>
      </c>
      <c r="Z1014" s="424" t="s">
        <v>3260</v>
      </c>
      <c r="AA1014" s="424" t="s">
        <v>3197</v>
      </c>
      <c r="AB1014" s="424" t="s">
        <v>3857</v>
      </c>
      <c r="AC1014" s="424" t="s">
        <v>1953</v>
      </c>
      <c r="AD1014" s="424" t="s">
        <v>2851</v>
      </c>
      <c r="AE1014" s="424" t="s">
        <v>3481</v>
      </c>
      <c r="AF1014" s="424"/>
      <c r="AG1014" s="424"/>
      <c r="AH1014" s="424"/>
    </row>
    <row r="1015" spans="1:34" x14ac:dyDescent="0.25">
      <c r="A1015" s="423" t="s">
        <v>5474</v>
      </c>
      <c r="B1015" s="423" t="s">
        <v>5520</v>
      </c>
      <c r="C1015" s="423" t="s">
        <v>5144</v>
      </c>
      <c r="D1015" s="423" t="s">
        <v>5145</v>
      </c>
      <c r="E1015" s="423" t="s">
        <v>2818</v>
      </c>
      <c r="F1015" s="423">
        <v>8</v>
      </c>
      <c r="G1015" s="423">
        <v>32</v>
      </c>
      <c r="H1015" s="423">
        <v>1200</v>
      </c>
      <c r="J1015" s="423"/>
      <c r="K1015" s="423"/>
      <c r="L1015" s="423"/>
      <c r="M1015" s="423"/>
      <c r="Q1015" s="423"/>
      <c r="R1015" s="424" t="s">
        <v>5521</v>
      </c>
      <c r="S1015" s="424" t="s">
        <v>2846</v>
      </c>
      <c r="T1015" s="424" t="s">
        <v>5522</v>
      </c>
      <c r="U1015" s="424">
        <v>0</v>
      </c>
      <c r="V1015" s="424" t="s">
        <v>3269</v>
      </c>
      <c r="W1015" s="424" t="s">
        <v>3176</v>
      </c>
      <c r="X1015" s="424" t="s">
        <v>2825</v>
      </c>
      <c r="Y1015" s="424" t="s">
        <v>2279</v>
      </c>
      <c r="Z1015" s="424" t="s">
        <v>3260</v>
      </c>
      <c r="AA1015" s="424" t="s">
        <v>3274</v>
      </c>
      <c r="AB1015" s="424" t="s">
        <v>5523</v>
      </c>
      <c r="AC1015" s="424" t="s">
        <v>1953</v>
      </c>
      <c r="AD1015" s="424" t="s">
        <v>2851</v>
      </c>
      <c r="AE1015" s="424" t="s">
        <v>3341</v>
      </c>
      <c r="AF1015" s="424"/>
      <c r="AG1015" s="424"/>
      <c r="AH1015" s="424"/>
    </row>
    <row r="1016" spans="1:34" x14ac:dyDescent="0.25">
      <c r="A1016" s="423" t="s">
        <v>5474</v>
      </c>
      <c r="B1016" s="423" t="s">
        <v>5524</v>
      </c>
      <c r="C1016" s="423" t="s">
        <v>5144</v>
      </c>
      <c r="D1016" s="423" t="s">
        <v>5145</v>
      </c>
      <c r="E1016" s="423" t="s">
        <v>2818</v>
      </c>
      <c r="F1016" s="423">
        <v>8</v>
      </c>
      <c r="G1016" s="423">
        <v>32</v>
      </c>
      <c r="H1016" s="423">
        <v>1200</v>
      </c>
      <c r="J1016" s="423"/>
      <c r="K1016" s="423"/>
      <c r="L1016" s="423"/>
      <c r="M1016" s="423"/>
      <c r="Q1016" s="423"/>
      <c r="R1016" s="424" t="s">
        <v>5524</v>
      </c>
      <c r="S1016" s="424" t="s">
        <v>2846</v>
      </c>
      <c r="T1016" s="424" t="s">
        <v>5522</v>
      </c>
      <c r="U1016" s="424">
        <v>0</v>
      </c>
      <c r="V1016" s="424" t="s">
        <v>3269</v>
      </c>
      <c r="W1016" s="424" t="s">
        <v>3176</v>
      </c>
      <c r="X1016" s="424" t="s">
        <v>3298</v>
      </c>
      <c r="Y1016" s="424" t="s">
        <v>2279</v>
      </c>
      <c r="Z1016" s="424" t="s">
        <v>3260</v>
      </c>
      <c r="AA1016" s="424" t="s">
        <v>3274</v>
      </c>
      <c r="AB1016" s="424" t="s">
        <v>5525</v>
      </c>
      <c r="AC1016" s="424" t="s">
        <v>1953</v>
      </c>
      <c r="AD1016" s="424" t="s">
        <v>2851</v>
      </c>
      <c r="AE1016" s="424" t="s">
        <v>3324</v>
      </c>
      <c r="AF1016" s="424"/>
      <c r="AG1016" s="424"/>
      <c r="AH1016" s="424"/>
    </row>
    <row r="1017" spans="1:34" x14ac:dyDescent="0.25">
      <c r="A1017" s="423" t="s">
        <v>5474</v>
      </c>
      <c r="B1017" s="423" t="s">
        <v>5526</v>
      </c>
      <c r="C1017" s="423" t="s">
        <v>5144</v>
      </c>
      <c r="D1017" s="423" t="s">
        <v>5145</v>
      </c>
      <c r="E1017" s="423" t="s">
        <v>2818</v>
      </c>
      <c r="F1017" s="423">
        <v>8</v>
      </c>
      <c r="G1017" s="423">
        <v>32</v>
      </c>
      <c r="H1017" s="423">
        <v>1200</v>
      </c>
      <c r="J1017" s="423"/>
      <c r="K1017" s="423"/>
      <c r="L1017" s="423"/>
      <c r="M1017" s="423"/>
      <c r="Q1017" s="423"/>
      <c r="R1017" s="424" t="s">
        <v>5527</v>
      </c>
      <c r="S1017" s="424" t="s">
        <v>2846</v>
      </c>
      <c r="T1017" s="424" t="s">
        <v>5522</v>
      </c>
      <c r="U1017" s="424">
        <v>0</v>
      </c>
      <c r="V1017" s="424" t="s">
        <v>3269</v>
      </c>
      <c r="W1017" s="424" t="s">
        <v>3176</v>
      </c>
      <c r="X1017" s="424" t="s">
        <v>3298</v>
      </c>
      <c r="Y1017" s="424" t="s">
        <v>2279</v>
      </c>
      <c r="Z1017" s="424" t="s">
        <v>3260</v>
      </c>
      <c r="AA1017" s="424" t="s">
        <v>3274</v>
      </c>
      <c r="AB1017" s="424" t="s">
        <v>3343</v>
      </c>
      <c r="AC1017" s="424" t="s">
        <v>1953</v>
      </c>
      <c r="AD1017" s="424" t="s">
        <v>2851</v>
      </c>
      <c r="AE1017" s="424" t="s">
        <v>3341</v>
      </c>
      <c r="AF1017" s="424"/>
      <c r="AG1017" s="424"/>
      <c r="AH1017" s="424"/>
    </row>
    <row r="1018" spans="1:34" x14ac:dyDescent="0.25">
      <c r="A1018" s="423" t="s">
        <v>5474</v>
      </c>
      <c r="B1018" s="423" t="s">
        <v>5528</v>
      </c>
      <c r="C1018" s="423" t="s">
        <v>5144</v>
      </c>
      <c r="D1018" s="423" t="s">
        <v>5145</v>
      </c>
      <c r="E1018" s="423" t="s">
        <v>2818</v>
      </c>
      <c r="F1018" s="423">
        <v>8</v>
      </c>
      <c r="G1018" s="423">
        <v>32</v>
      </c>
      <c r="H1018" s="423">
        <v>1200</v>
      </c>
      <c r="J1018" s="423"/>
      <c r="K1018" s="423"/>
      <c r="L1018" s="423"/>
      <c r="M1018" s="423"/>
      <c r="Q1018" s="423"/>
      <c r="R1018" s="424" t="s">
        <v>5529</v>
      </c>
      <c r="S1018" s="424" t="s">
        <v>2846</v>
      </c>
      <c r="T1018" s="424" t="s">
        <v>5522</v>
      </c>
      <c r="U1018" s="424">
        <v>0</v>
      </c>
      <c r="V1018" s="424" t="s">
        <v>3269</v>
      </c>
      <c r="W1018" s="424" t="s">
        <v>3176</v>
      </c>
      <c r="X1018" s="424" t="s">
        <v>3298</v>
      </c>
      <c r="Y1018" s="424" t="s">
        <v>2279</v>
      </c>
      <c r="Z1018" s="424" t="s">
        <v>3260</v>
      </c>
      <c r="AA1018" s="424" t="s">
        <v>3274</v>
      </c>
      <c r="AB1018" s="424" t="s">
        <v>5525</v>
      </c>
      <c r="AC1018" s="424" t="s">
        <v>1953</v>
      </c>
      <c r="AD1018" s="424" t="s">
        <v>2851</v>
      </c>
      <c r="AE1018" s="424" t="s">
        <v>3324</v>
      </c>
      <c r="AF1018" s="424"/>
      <c r="AG1018" s="424"/>
      <c r="AH1018" s="424"/>
    </row>
    <row r="1019" spans="1:34" x14ac:dyDescent="0.25">
      <c r="A1019" s="423" t="s">
        <v>5474</v>
      </c>
      <c r="B1019" s="423" t="s">
        <v>5530</v>
      </c>
      <c r="C1019" s="423" t="s">
        <v>5144</v>
      </c>
      <c r="D1019" s="423" t="s">
        <v>5145</v>
      </c>
      <c r="E1019" s="423" t="s">
        <v>2818</v>
      </c>
      <c r="F1019" s="423">
        <v>8</v>
      </c>
      <c r="G1019" s="423">
        <v>32</v>
      </c>
      <c r="H1019" s="423">
        <v>1200</v>
      </c>
      <c r="J1019" s="423"/>
      <c r="K1019" s="423"/>
      <c r="L1019" s="423"/>
      <c r="M1019" s="423"/>
      <c r="Q1019" s="423"/>
      <c r="R1019" s="424" t="s">
        <v>5531</v>
      </c>
      <c r="S1019" s="424" t="s">
        <v>2846</v>
      </c>
      <c r="T1019" s="424" t="s">
        <v>5522</v>
      </c>
      <c r="U1019" s="424">
        <v>0</v>
      </c>
      <c r="V1019" s="424" t="s">
        <v>3269</v>
      </c>
      <c r="W1019" s="424" t="s">
        <v>3176</v>
      </c>
      <c r="X1019" s="424" t="s">
        <v>3298</v>
      </c>
      <c r="Y1019" s="424" t="s">
        <v>2279</v>
      </c>
      <c r="Z1019" s="424" t="s">
        <v>3260</v>
      </c>
      <c r="AA1019" s="424" t="s">
        <v>3274</v>
      </c>
      <c r="AB1019" s="424" t="s">
        <v>3343</v>
      </c>
      <c r="AC1019" s="424" t="s">
        <v>1953</v>
      </c>
      <c r="AD1019" s="424" t="s">
        <v>2851</v>
      </c>
      <c r="AE1019" s="424" t="s">
        <v>3341</v>
      </c>
      <c r="AF1019" s="424"/>
      <c r="AG1019" s="424"/>
      <c r="AH1019" s="424"/>
    </row>
    <row r="1020" spans="1:34" x14ac:dyDescent="0.25">
      <c r="A1020" s="423" t="s">
        <v>5474</v>
      </c>
      <c r="B1020" s="423" t="s">
        <v>5532</v>
      </c>
      <c r="C1020" s="423" t="s">
        <v>5144</v>
      </c>
      <c r="D1020" s="423" t="s">
        <v>5145</v>
      </c>
      <c r="E1020" s="423" t="s">
        <v>2818</v>
      </c>
      <c r="F1020" s="423">
        <v>32</v>
      </c>
      <c r="G1020" s="423">
        <v>64</v>
      </c>
      <c r="H1020" s="423">
        <v>1200</v>
      </c>
      <c r="J1020" s="423"/>
      <c r="K1020" s="423"/>
      <c r="L1020" s="423"/>
      <c r="M1020" s="423"/>
      <c r="Q1020" s="423"/>
      <c r="R1020" s="424" t="s">
        <v>5533</v>
      </c>
      <c r="S1020" s="424" t="s">
        <v>2820</v>
      </c>
      <c r="T1020" s="424" t="s">
        <v>5019</v>
      </c>
      <c r="U1020" s="424">
        <v>0</v>
      </c>
      <c r="V1020" s="424" t="s">
        <v>2824</v>
      </c>
      <c r="W1020" s="424" t="s">
        <v>2824</v>
      </c>
      <c r="X1020" s="424" t="s">
        <v>2825</v>
      </c>
      <c r="Y1020" s="424" t="s">
        <v>2279</v>
      </c>
      <c r="Z1020" s="424" t="s">
        <v>2889</v>
      </c>
      <c r="AA1020" s="424" t="s">
        <v>3771</v>
      </c>
      <c r="AB1020" s="424" t="s">
        <v>5534</v>
      </c>
      <c r="AC1020" s="424" t="s">
        <v>1953</v>
      </c>
      <c r="AD1020" s="424" t="s">
        <v>3329</v>
      </c>
      <c r="AE1020" s="424" t="s">
        <v>5535</v>
      </c>
      <c r="AF1020" s="424"/>
      <c r="AG1020" s="424"/>
      <c r="AH1020" s="424"/>
    </row>
    <row r="1021" spans="1:34" x14ac:dyDescent="0.25">
      <c r="A1021" s="423" t="s">
        <v>5474</v>
      </c>
      <c r="B1021" s="423" t="s">
        <v>5536</v>
      </c>
      <c r="C1021" s="423" t="s">
        <v>5144</v>
      </c>
      <c r="D1021" s="423" t="s">
        <v>5145</v>
      </c>
      <c r="E1021" s="423" t="s">
        <v>2818</v>
      </c>
      <c r="F1021" s="423">
        <v>32</v>
      </c>
      <c r="G1021" s="423">
        <v>128</v>
      </c>
      <c r="H1021" s="423">
        <v>1200</v>
      </c>
      <c r="J1021" s="423"/>
      <c r="K1021" s="423"/>
      <c r="L1021" s="423"/>
      <c r="M1021" s="423"/>
      <c r="Q1021" s="423"/>
      <c r="R1021" s="424" t="s">
        <v>5537</v>
      </c>
      <c r="S1021" s="424" t="s">
        <v>2820</v>
      </c>
      <c r="T1021" s="424" t="s">
        <v>5456</v>
      </c>
      <c r="U1021" s="424">
        <v>0</v>
      </c>
      <c r="V1021" s="424" t="s">
        <v>2824</v>
      </c>
      <c r="W1021" s="424" t="s">
        <v>2824</v>
      </c>
      <c r="X1021" s="424" t="s">
        <v>2825</v>
      </c>
      <c r="Y1021" s="424" t="s">
        <v>2279</v>
      </c>
      <c r="Z1021" s="424" t="s">
        <v>2826</v>
      </c>
      <c r="AA1021" s="424" t="s">
        <v>2827</v>
      </c>
      <c r="AB1021" s="424" t="s">
        <v>5538</v>
      </c>
      <c r="AC1021" s="424" t="s">
        <v>1953</v>
      </c>
      <c r="AD1021" s="424" t="s">
        <v>3329</v>
      </c>
      <c r="AE1021" s="424" t="s">
        <v>5539</v>
      </c>
      <c r="AF1021" s="424"/>
      <c r="AG1021" s="424"/>
      <c r="AH1021" s="424"/>
    </row>
    <row r="1022" spans="1:34" x14ac:dyDescent="0.25">
      <c r="A1022" s="423" t="s">
        <v>5474</v>
      </c>
      <c r="B1022" s="423" t="s">
        <v>5540</v>
      </c>
      <c r="C1022" s="423" t="s">
        <v>5144</v>
      </c>
      <c r="D1022" s="423" t="s">
        <v>5145</v>
      </c>
      <c r="E1022" s="423" t="s">
        <v>2818</v>
      </c>
      <c r="F1022" s="423">
        <v>32</v>
      </c>
      <c r="G1022" s="423">
        <v>128</v>
      </c>
      <c r="H1022" s="423">
        <v>1200</v>
      </c>
      <c r="J1022" s="423"/>
      <c r="K1022" s="423"/>
      <c r="L1022" s="423"/>
      <c r="M1022" s="423"/>
      <c r="Q1022" s="423"/>
      <c r="R1022" s="424" t="s">
        <v>5541</v>
      </c>
      <c r="S1022" s="424" t="s">
        <v>2820</v>
      </c>
      <c r="T1022" s="424" t="s">
        <v>5456</v>
      </c>
      <c r="U1022" s="424">
        <v>0</v>
      </c>
      <c r="V1022" s="424" t="s">
        <v>2824</v>
      </c>
      <c r="W1022" s="424" t="s">
        <v>2824</v>
      </c>
      <c r="X1022" s="424" t="s">
        <v>2825</v>
      </c>
      <c r="Y1022" s="424" t="s">
        <v>2279</v>
      </c>
      <c r="Z1022" s="424" t="s">
        <v>2826</v>
      </c>
      <c r="AA1022" s="424" t="s">
        <v>2827</v>
      </c>
      <c r="AB1022" s="424" t="s">
        <v>5542</v>
      </c>
      <c r="AC1022" s="424" t="s">
        <v>1953</v>
      </c>
      <c r="AD1022" s="424" t="s">
        <v>3329</v>
      </c>
      <c r="AE1022" s="424" t="s">
        <v>5539</v>
      </c>
      <c r="AF1022" s="424"/>
      <c r="AG1022" s="424"/>
      <c r="AH1022" s="424"/>
    </row>
    <row r="1023" spans="1:34" x14ac:dyDescent="0.25">
      <c r="A1023" s="423" t="s">
        <v>5474</v>
      </c>
      <c r="B1023" s="423" t="s">
        <v>5543</v>
      </c>
      <c r="C1023" s="423" t="s">
        <v>5144</v>
      </c>
      <c r="D1023" s="423" t="s">
        <v>5145</v>
      </c>
      <c r="E1023" s="423" t="s">
        <v>2818</v>
      </c>
      <c r="F1023" s="423">
        <v>32</v>
      </c>
      <c r="G1023" s="423">
        <v>128</v>
      </c>
      <c r="H1023" s="423">
        <v>1200</v>
      </c>
      <c r="J1023" s="423"/>
      <c r="K1023" s="423"/>
      <c r="L1023" s="423"/>
      <c r="M1023" s="423"/>
      <c r="Q1023" s="423"/>
      <c r="R1023" s="424" t="s">
        <v>5544</v>
      </c>
      <c r="S1023" s="424" t="s">
        <v>2820</v>
      </c>
      <c r="T1023" s="424" t="s">
        <v>5456</v>
      </c>
      <c r="U1023" s="424">
        <v>0</v>
      </c>
      <c r="V1023" s="424" t="s">
        <v>2824</v>
      </c>
      <c r="W1023" s="424" t="s">
        <v>2824</v>
      </c>
      <c r="X1023" s="424" t="s">
        <v>2825</v>
      </c>
      <c r="Y1023" s="424" t="s">
        <v>2279</v>
      </c>
      <c r="Z1023" s="424" t="s">
        <v>2826</v>
      </c>
      <c r="AA1023" s="424" t="s">
        <v>2827</v>
      </c>
      <c r="AB1023" s="424" t="s">
        <v>5545</v>
      </c>
      <c r="AC1023" s="424" t="s">
        <v>1953</v>
      </c>
      <c r="AD1023" s="424" t="s">
        <v>3329</v>
      </c>
      <c r="AE1023" s="424" t="s">
        <v>5539</v>
      </c>
      <c r="AF1023" s="424"/>
      <c r="AG1023" s="424"/>
      <c r="AH1023" s="424"/>
    </row>
    <row r="1024" spans="1:34" x14ac:dyDescent="0.25">
      <c r="A1024" s="423" t="s">
        <v>5474</v>
      </c>
      <c r="B1024" s="423" t="s">
        <v>5546</v>
      </c>
      <c r="C1024" s="423" t="s">
        <v>5144</v>
      </c>
      <c r="D1024" s="423" t="s">
        <v>5145</v>
      </c>
      <c r="E1024" s="423" t="s">
        <v>2818</v>
      </c>
      <c r="F1024" s="423">
        <v>32</v>
      </c>
      <c r="G1024" s="423">
        <v>128</v>
      </c>
      <c r="H1024" s="423">
        <v>1200</v>
      </c>
      <c r="J1024" s="423"/>
      <c r="K1024" s="423"/>
      <c r="L1024" s="423"/>
      <c r="M1024" s="423"/>
      <c r="Q1024" s="423"/>
      <c r="R1024" s="424" t="s">
        <v>5547</v>
      </c>
      <c r="S1024" s="424" t="s">
        <v>2820</v>
      </c>
      <c r="T1024" s="424" t="s">
        <v>5456</v>
      </c>
      <c r="U1024" s="424">
        <v>0</v>
      </c>
      <c r="V1024" s="424" t="s">
        <v>2824</v>
      </c>
      <c r="W1024" s="424" t="s">
        <v>2824</v>
      </c>
      <c r="X1024" s="424" t="s">
        <v>2825</v>
      </c>
      <c r="Y1024" s="424" t="s">
        <v>2279</v>
      </c>
      <c r="Z1024" s="424" t="s">
        <v>2826</v>
      </c>
      <c r="AA1024" s="424" t="s">
        <v>2827</v>
      </c>
      <c r="AB1024" s="424" t="s">
        <v>5548</v>
      </c>
      <c r="AC1024" s="424" t="s">
        <v>1953</v>
      </c>
      <c r="AD1024" s="424" t="s">
        <v>3329</v>
      </c>
      <c r="AE1024" s="424" t="s">
        <v>5539</v>
      </c>
      <c r="AF1024" s="424"/>
      <c r="AG1024" s="424"/>
      <c r="AH1024" s="424"/>
    </row>
    <row r="1025" spans="1:34" x14ac:dyDescent="0.25">
      <c r="A1025" s="423" t="s">
        <v>5474</v>
      </c>
      <c r="B1025" s="423" t="s">
        <v>5549</v>
      </c>
      <c r="C1025" s="423" t="s">
        <v>5144</v>
      </c>
      <c r="D1025" s="423" t="s">
        <v>5145</v>
      </c>
      <c r="E1025" s="423" t="s">
        <v>2818</v>
      </c>
      <c r="F1025" s="423">
        <v>56</v>
      </c>
      <c r="G1025" s="423">
        <v>196</v>
      </c>
      <c r="H1025" s="423">
        <v>1200</v>
      </c>
      <c r="J1025" s="423"/>
      <c r="K1025" s="423"/>
      <c r="L1025" s="423"/>
      <c r="M1025" s="423"/>
      <c r="Q1025" s="423"/>
      <c r="R1025" s="424" t="s">
        <v>5550</v>
      </c>
      <c r="S1025" s="424" t="s">
        <v>2820</v>
      </c>
      <c r="T1025" s="424" t="s">
        <v>5456</v>
      </c>
      <c r="U1025" s="424">
        <v>0</v>
      </c>
      <c r="V1025" s="424" t="s">
        <v>2824</v>
      </c>
      <c r="W1025" s="424" t="s">
        <v>2824</v>
      </c>
      <c r="X1025" s="424" t="s">
        <v>2825</v>
      </c>
      <c r="Y1025" s="424" t="s">
        <v>2279</v>
      </c>
      <c r="Z1025" s="424" t="s">
        <v>2889</v>
      </c>
      <c r="AA1025" s="424" t="s">
        <v>3771</v>
      </c>
      <c r="AB1025" s="424" t="s">
        <v>5551</v>
      </c>
      <c r="AC1025" s="424" t="s">
        <v>1953</v>
      </c>
      <c r="AD1025" s="424" t="s">
        <v>3329</v>
      </c>
      <c r="AE1025" s="424" t="s">
        <v>5535</v>
      </c>
      <c r="AF1025" s="424"/>
      <c r="AG1025" s="424"/>
      <c r="AH1025" s="424"/>
    </row>
    <row r="1026" spans="1:34" x14ac:dyDescent="0.25">
      <c r="A1026" s="423" t="s">
        <v>5474</v>
      </c>
      <c r="B1026" s="423" t="s">
        <v>5552</v>
      </c>
      <c r="C1026" s="423" t="s">
        <v>5144</v>
      </c>
      <c r="D1026" s="423" t="s">
        <v>5145</v>
      </c>
      <c r="E1026" s="423" t="s">
        <v>2818</v>
      </c>
      <c r="F1026" s="423">
        <v>56</v>
      </c>
      <c r="G1026" s="423">
        <v>196</v>
      </c>
      <c r="H1026" s="423">
        <v>1200</v>
      </c>
      <c r="J1026" s="423"/>
      <c r="K1026" s="423"/>
      <c r="L1026" s="423"/>
      <c r="M1026" s="423"/>
      <c r="Q1026" s="423"/>
      <c r="R1026" s="424" t="s">
        <v>5553</v>
      </c>
      <c r="S1026" s="424" t="s">
        <v>2820</v>
      </c>
      <c r="T1026" s="424" t="s">
        <v>5019</v>
      </c>
      <c r="U1026" s="424">
        <v>0</v>
      </c>
      <c r="V1026" s="424" t="s">
        <v>2824</v>
      </c>
      <c r="W1026" s="424" t="s">
        <v>2824</v>
      </c>
      <c r="X1026" s="424" t="s">
        <v>2825</v>
      </c>
      <c r="Y1026" s="424" t="s">
        <v>2279</v>
      </c>
      <c r="Z1026" s="424" t="s">
        <v>2889</v>
      </c>
      <c r="AA1026" s="424" t="s">
        <v>3771</v>
      </c>
      <c r="AB1026" s="424" t="s">
        <v>5554</v>
      </c>
      <c r="AC1026" s="424" t="s">
        <v>1953</v>
      </c>
      <c r="AD1026" s="424" t="s">
        <v>3329</v>
      </c>
      <c r="AE1026" s="424" t="s">
        <v>5535</v>
      </c>
      <c r="AF1026" s="424"/>
      <c r="AG1026" s="424"/>
      <c r="AH1026" s="424"/>
    </row>
    <row r="1027" spans="1:34" x14ac:dyDescent="0.25">
      <c r="A1027" s="423" t="s">
        <v>5474</v>
      </c>
      <c r="B1027" s="423" t="s">
        <v>5555</v>
      </c>
      <c r="C1027" s="423" t="s">
        <v>5144</v>
      </c>
      <c r="D1027" s="423" t="s">
        <v>5145</v>
      </c>
      <c r="E1027" s="423" t="s">
        <v>2818</v>
      </c>
      <c r="F1027" s="423">
        <v>32</v>
      </c>
      <c r="G1027" s="423">
        <v>64</v>
      </c>
      <c r="H1027" s="423">
        <v>1200</v>
      </c>
      <c r="J1027" s="423"/>
      <c r="K1027" s="423"/>
      <c r="L1027" s="423"/>
      <c r="M1027" s="423"/>
      <c r="Q1027" s="423"/>
      <c r="R1027" s="424" t="s">
        <v>5556</v>
      </c>
      <c r="S1027" s="424" t="s">
        <v>2820</v>
      </c>
      <c r="T1027" s="424" t="s">
        <v>5019</v>
      </c>
      <c r="U1027" s="424">
        <v>0</v>
      </c>
      <c r="V1027" s="424" t="s">
        <v>2824</v>
      </c>
      <c r="W1027" s="424" t="s">
        <v>2824</v>
      </c>
      <c r="X1027" s="424" t="s">
        <v>2825</v>
      </c>
      <c r="Y1027" s="424" t="s">
        <v>2279</v>
      </c>
      <c r="Z1027" s="424" t="s">
        <v>2889</v>
      </c>
      <c r="AA1027" s="424" t="s">
        <v>3771</v>
      </c>
      <c r="AB1027" s="424" t="s">
        <v>5557</v>
      </c>
      <c r="AC1027" s="424" t="s">
        <v>1953</v>
      </c>
      <c r="AD1027" s="424" t="s">
        <v>3329</v>
      </c>
      <c r="AE1027" s="424" t="s">
        <v>5535</v>
      </c>
      <c r="AF1027" s="424"/>
      <c r="AG1027" s="424"/>
      <c r="AH1027" s="424"/>
    </row>
    <row r="1028" spans="1:34" x14ac:dyDescent="0.25">
      <c r="A1028" s="423" t="s">
        <v>5474</v>
      </c>
      <c r="B1028" s="423" t="s">
        <v>5558</v>
      </c>
      <c r="C1028" s="423" t="s">
        <v>5144</v>
      </c>
      <c r="D1028" s="423" t="s">
        <v>5145</v>
      </c>
      <c r="E1028" s="423" t="s">
        <v>2818</v>
      </c>
      <c r="F1028" s="423">
        <v>32</v>
      </c>
      <c r="G1028" s="423">
        <v>64</v>
      </c>
      <c r="H1028" s="423">
        <v>1200</v>
      </c>
      <c r="J1028" s="423"/>
      <c r="K1028" s="423"/>
      <c r="L1028" s="423"/>
      <c r="M1028" s="423"/>
      <c r="Q1028" s="423"/>
      <c r="R1028" s="424" t="s">
        <v>5559</v>
      </c>
      <c r="S1028" s="424" t="s">
        <v>2820</v>
      </c>
      <c r="T1028" s="424" t="s">
        <v>5019</v>
      </c>
      <c r="U1028" s="424">
        <v>0</v>
      </c>
      <c r="V1028" s="424" t="s">
        <v>2824</v>
      </c>
      <c r="W1028" s="424" t="s">
        <v>2824</v>
      </c>
      <c r="X1028" s="424" t="s">
        <v>2825</v>
      </c>
      <c r="Y1028" s="424" t="s">
        <v>2279</v>
      </c>
      <c r="Z1028" s="424" t="s">
        <v>2889</v>
      </c>
      <c r="AA1028" s="424" t="s">
        <v>3771</v>
      </c>
      <c r="AB1028" s="424" t="s">
        <v>5560</v>
      </c>
      <c r="AC1028" s="424" t="s">
        <v>1953</v>
      </c>
      <c r="AD1028" s="424" t="s">
        <v>3329</v>
      </c>
      <c r="AE1028" s="424" t="s">
        <v>5535</v>
      </c>
      <c r="AF1028" s="424"/>
      <c r="AG1028" s="424"/>
      <c r="AH1028" s="424"/>
    </row>
    <row r="1029" spans="1:34" x14ac:dyDescent="0.25">
      <c r="A1029" s="423" t="s">
        <v>5561</v>
      </c>
      <c r="B1029" s="423" t="s">
        <v>5562</v>
      </c>
      <c r="C1029" s="423" t="s">
        <v>1187</v>
      </c>
      <c r="D1029" s="423" t="s">
        <v>5563</v>
      </c>
      <c r="E1029" s="423" t="s">
        <v>2818</v>
      </c>
      <c r="F1029" s="423">
        <v>8</v>
      </c>
      <c r="G1029" s="423">
        <v>8</v>
      </c>
      <c r="H1029" s="423">
        <v>1000</v>
      </c>
      <c r="J1029" s="423"/>
      <c r="K1029" s="423"/>
      <c r="L1029" s="423"/>
      <c r="M1029" s="423"/>
      <c r="Q1029" s="423"/>
      <c r="R1029" s="424" t="s">
        <v>5562</v>
      </c>
      <c r="S1029" s="424" t="s">
        <v>2846</v>
      </c>
      <c r="T1029" s="424" t="s">
        <v>3152</v>
      </c>
      <c r="U1029" s="424">
        <v>0</v>
      </c>
      <c r="V1029" s="424" t="s">
        <v>2973</v>
      </c>
      <c r="W1029" s="424" t="s">
        <v>3054</v>
      </c>
      <c r="X1029" s="424" t="s">
        <v>2825</v>
      </c>
      <c r="Y1029" s="424" t="s">
        <v>2279</v>
      </c>
      <c r="Z1029" s="424" t="s">
        <v>2848</v>
      </c>
      <c r="AA1029" s="424" t="s">
        <v>3927</v>
      </c>
      <c r="AB1029" s="424" t="s">
        <v>4755</v>
      </c>
      <c r="AC1029" s="424" t="s">
        <v>1953</v>
      </c>
      <c r="AD1029" s="424" t="s">
        <v>2851</v>
      </c>
      <c r="AE1029" s="424" t="s">
        <v>3719</v>
      </c>
      <c r="AF1029" s="424"/>
      <c r="AG1029" s="424"/>
      <c r="AH1029" s="424"/>
    </row>
    <row r="1030" spans="1:34" x14ac:dyDescent="0.25">
      <c r="A1030" s="423" t="s">
        <v>5561</v>
      </c>
      <c r="B1030" s="423" t="s">
        <v>5564</v>
      </c>
      <c r="C1030" s="423" t="s">
        <v>1187</v>
      </c>
      <c r="D1030" s="423" t="s">
        <v>5563</v>
      </c>
      <c r="E1030" s="423" t="s">
        <v>2818</v>
      </c>
      <c r="F1030" s="423">
        <v>4</v>
      </c>
      <c r="G1030" s="423">
        <v>4</v>
      </c>
      <c r="H1030" s="423">
        <v>120</v>
      </c>
      <c r="J1030" s="423"/>
      <c r="K1030" s="423"/>
      <c r="L1030" s="423"/>
      <c r="M1030" s="423"/>
      <c r="Q1030" s="423"/>
      <c r="R1030" s="424" t="s">
        <v>5564</v>
      </c>
      <c r="S1030" s="424" t="s">
        <v>2846</v>
      </c>
      <c r="T1030" s="424" t="s">
        <v>3152</v>
      </c>
      <c r="U1030" s="424">
        <v>0</v>
      </c>
      <c r="V1030" s="424" t="s">
        <v>2973</v>
      </c>
      <c r="W1030" s="424" t="s">
        <v>3074</v>
      </c>
      <c r="X1030" s="424" t="s">
        <v>5565</v>
      </c>
      <c r="Y1030" s="424" t="s">
        <v>2279</v>
      </c>
      <c r="Z1030" s="424" t="s">
        <v>2848</v>
      </c>
      <c r="AA1030" s="424" t="s">
        <v>2849</v>
      </c>
      <c r="AB1030" s="424" t="s">
        <v>4429</v>
      </c>
      <c r="AC1030" s="424" t="s">
        <v>1953</v>
      </c>
      <c r="AD1030" s="424" t="s">
        <v>2851</v>
      </c>
      <c r="AE1030" s="424" t="s">
        <v>3436</v>
      </c>
      <c r="AF1030" s="424"/>
      <c r="AG1030" s="424"/>
      <c r="AH1030" s="424"/>
    </row>
    <row r="1031" spans="1:34" x14ac:dyDescent="0.25">
      <c r="A1031" s="423" t="s">
        <v>5561</v>
      </c>
      <c r="B1031" s="423" t="s">
        <v>5566</v>
      </c>
      <c r="C1031" s="423" t="s">
        <v>1187</v>
      </c>
      <c r="D1031" s="423" t="s">
        <v>5563</v>
      </c>
      <c r="E1031" s="423" t="s">
        <v>2818</v>
      </c>
      <c r="F1031" s="423">
        <v>4</v>
      </c>
      <c r="G1031" s="423">
        <v>16</v>
      </c>
      <c r="H1031" s="423">
        <v>200</v>
      </c>
      <c r="J1031" s="423"/>
      <c r="K1031" s="423"/>
      <c r="L1031" s="423"/>
      <c r="M1031" s="423"/>
      <c r="Q1031" s="423"/>
      <c r="R1031" s="424" t="s">
        <v>5566</v>
      </c>
      <c r="S1031" s="424" t="s">
        <v>2846</v>
      </c>
      <c r="T1031" s="424" t="s">
        <v>3268</v>
      </c>
      <c r="U1031" s="424">
        <v>0</v>
      </c>
      <c r="V1031" s="424" t="s">
        <v>3269</v>
      </c>
      <c r="W1031" s="424" t="s">
        <v>3054</v>
      </c>
      <c r="X1031" s="424" t="s">
        <v>5565</v>
      </c>
      <c r="Y1031" s="424" t="s">
        <v>2279</v>
      </c>
      <c r="Z1031" s="424" t="s">
        <v>2848</v>
      </c>
      <c r="AA1031" s="424" t="s">
        <v>3927</v>
      </c>
      <c r="AB1031" s="424" t="s">
        <v>4755</v>
      </c>
      <c r="AC1031" s="424" t="s">
        <v>1953</v>
      </c>
      <c r="AD1031" s="424" t="s">
        <v>2851</v>
      </c>
      <c r="AE1031" s="424" t="s">
        <v>3719</v>
      </c>
      <c r="AF1031" s="424"/>
      <c r="AG1031" s="424"/>
      <c r="AH1031" s="424"/>
    </row>
    <row r="1032" spans="1:34" x14ac:dyDescent="0.25">
      <c r="A1032" s="423" t="s">
        <v>5561</v>
      </c>
      <c r="B1032" s="423" t="s">
        <v>5567</v>
      </c>
      <c r="C1032" s="423" t="s">
        <v>1187</v>
      </c>
      <c r="D1032" s="423" t="s">
        <v>5563</v>
      </c>
      <c r="E1032" s="423" t="s">
        <v>2818</v>
      </c>
      <c r="F1032" s="423">
        <v>4</v>
      </c>
      <c r="G1032" s="423">
        <v>16</v>
      </c>
      <c r="H1032" s="423">
        <v>200</v>
      </c>
      <c r="J1032" s="423"/>
      <c r="K1032" s="423"/>
      <c r="L1032" s="423"/>
      <c r="M1032" s="423"/>
      <c r="Q1032" s="423"/>
      <c r="R1032" s="424" t="s">
        <v>5567</v>
      </c>
      <c r="S1032" s="424" t="s">
        <v>2846</v>
      </c>
      <c r="T1032" s="424" t="s">
        <v>3268</v>
      </c>
      <c r="U1032" s="424">
        <v>0</v>
      </c>
      <c r="V1032" s="424" t="s">
        <v>3269</v>
      </c>
      <c r="W1032" s="424" t="s">
        <v>3055</v>
      </c>
      <c r="X1032" s="424" t="s">
        <v>5565</v>
      </c>
      <c r="Y1032" s="424" t="s">
        <v>2279</v>
      </c>
      <c r="Z1032" s="424" t="s">
        <v>2848</v>
      </c>
      <c r="AA1032" s="424" t="s">
        <v>2855</v>
      </c>
      <c r="AB1032" s="424" t="s">
        <v>5568</v>
      </c>
      <c r="AC1032" s="424" t="s">
        <v>1953</v>
      </c>
      <c r="AD1032" s="424" t="s">
        <v>2851</v>
      </c>
      <c r="AE1032" s="424" t="s">
        <v>2857</v>
      </c>
      <c r="AF1032" s="424"/>
      <c r="AG1032" s="424"/>
      <c r="AH1032" s="424"/>
    </row>
    <row r="1033" spans="1:34" x14ac:dyDescent="0.25">
      <c r="A1033" s="423" t="s">
        <v>5561</v>
      </c>
      <c r="B1033" s="423" t="s">
        <v>5569</v>
      </c>
      <c r="C1033" s="423" t="s">
        <v>1187</v>
      </c>
      <c r="D1033" s="423" t="s">
        <v>5563</v>
      </c>
      <c r="E1033" s="423" t="s">
        <v>2818</v>
      </c>
      <c r="F1033" s="423">
        <v>20</v>
      </c>
      <c r="G1033" s="423">
        <v>32</v>
      </c>
      <c r="H1033" s="423">
        <v>500</v>
      </c>
      <c r="J1033" s="423"/>
      <c r="K1033" s="423"/>
      <c r="L1033" s="423"/>
      <c r="M1033" s="423"/>
      <c r="Q1033" s="423"/>
      <c r="R1033" s="424" t="s">
        <v>5570</v>
      </c>
      <c r="S1033" s="424" t="s">
        <v>2846</v>
      </c>
      <c r="T1033" s="424" t="s">
        <v>3268</v>
      </c>
      <c r="U1033" s="424">
        <v>0</v>
      </c>
      <c r="V1033" s="424" t="s">
        <v>3269</v>
      </c>
      <c r="W1033" s="424" t="s">
        <v>2974</v>
      </c>
      <c r="X1033" s="424" t="s">
        <v>5565</v>
      </c>
      <c r="Y1033" s="424" t="s">
        <v>2279</v>
      </c>
      <c r="Z1033" s="424" t="s">
        <v>2848</v>
      </c>
      <c r="AA1033" s="424" t="s">
        <v>2855</v>
      </c>
      <c r="AB1033" s="424" t="s">
        <v>4445</v>
      </c>
      <c r="AC1033" s="424" t="s">
        <v>1953</v>
      </c>
      <c r="AD1033" s="424" t="s">
        <v>2851</v>
      </c>
      <c r="AE1033" s="424" t="s">
        <v>3154</v>
      </c>
      <c r="AF1033" s="424"/>
      <c r="AG1033" s="424"/>
      <c r="AH1033" s="424"/>
    </row>
    <row r="1034" spans="1:34" x14ac:dyDescent="0.25">
      <c r="A1034" s="423" t="s">
        <v>5561</v>
      </c>
      <c r="B1034" s="423" t="s">
        <v>5571</v>
      </c>
      <c r="C1034" s="423" t="s">
        <v>1187</v>
      </c>
      <c r="D1034" s="423" t="s">
        <v>5563</v>
      </c>
      <c r="E1034" s="423" t="s">
        <v>2818</v>
      </c>
      <c r="F1034" s="423">
        <v>20</v>
      </c>
      <c r="G1034" s="423">
        <v>32</v>
      </c>
      <c r="H1034" s="423">
        <v>500</v>
      </c>
      <c r="J1034" s="423"/>
      <c r="K1034" s="423"/>
      <c r="L1034" s="423"/>
      <c r="M1034" s="423"/>
      <c r="Q1034" s="423"/>
      <c r="R1034" s="424" t="e">
        <v>#N/A</v>
      </c>
      <c r="S1034" s="424" t="e">
        <v>#N/A</v>
      </c>
      <c r="T1034" s="424" t="e">
        <v>#N/A</v>
      </c>
      <c r="U1034" s="424">
        <v>0</v>
      </c>
      <c r="V1034" s="424" t="e">
        <v>#N/A</v>
      </c>
      <c r="W1034" s="424" t="e">
        <v>#N/A</v>
      </c>
      <c r="X1034" s="424" t="e">
        <v>#N/A</v>
      </c>
      <c r="Y1034" s="424" t="e">
        <v>#N/A</v>
      </c>
      <c r="Z1034" s="424" t="e">
        <v>#N/A</v>
      </c>
      <c r="AA1034" s="424" t="e">
        <v>#N/A</v>
      </c>
      <c r="AB1034" s="424" t="e">
        <v>#N/A</v>
      </c>
      <c r="AC1034" s="424" t="e">
        <v>#N/A</v>
      </c>
      <c r="AD1034" s="424" t="e">
        <v>#N/A</v>
      </c>
      <c r="AE1034" s="424" t="e">
        <v>#N/A</v>
      </c>
      <c r="AF1034" s="424"/>
      <c r="AG1034" s="424"/>
      <c r="AH1034" s="424"/>
    </row>
    <row r="1035" spans="1:34" x14ac:dyDescent="0.25">
      <c r="A1035" s="423" t="s">
        <v>5561</v>
      </c>
      <c r="B1035" s="423" t="s">
        <v>5572</v>
      </c>
      <c r="C1035" s="423" t="s">
        <v>1187</v>
      </c>
      <c r="D1035" s="423" t="s">
        <v>5563</v>
      </c>
      <c r="E1035" s="423" t="s">
        <v>2818</v>
      </c>
      <c r="F1035" s="423">
        <v>6</v>
      </c>
      <c r="G1035" s="423">
        <v>20</v>
      </c>
      <c r="H1035" s="423">
        <v>600</v>
      </c>
      <c r="J1035" s="423"/>
      <c r="K1035" s="423"/>
      <c r="L1035" s="423"/>
      <c r="M1035" s="423"/>
      <c r="Q1035" s="423"/>
      <c r="R1035" s="424" t="s">
        <v>5572</v>
      </c>
      <c r="S1035" s="424" t="s">
        <v>2846</v>
      </c>
      <c r="T1035" s="424" t="s">
        <v>2847</v>
      </c>
      <c r="U1035" s="424">
        <v>0</v>
      </c>
      <c r="V1035" s="424" t="s">
        <v>3283</v>
      </c>
      <c r="W1035" s="424" t="s">
        <v>3054</v>
      </c>
      <c r="X1035" s="424" t="s">
        <v>2825</v>
      </c>
      <c r="Y1035" s="424" t="s">
        <v>2279</v>
      </c>
      <c r="Z1035" s="424" t="s">
        <v>2848</v>
      </c>
      <c r="AA1035" s="424" t="s">
        <v>2849</v>
      </c>
      <c r="AB1035" s="424" t="s">
        <v>5573</v>
      </c>
      <c r="AC1035" s="424" t="s">
        <v>1953</v>
      </c>
      <c r="AD1035" s="424" t="s">
        <v>2851</v>
      </c>
      <c r="AE1035" s="424" t="s">
        <v>4193</v>
      </c>
      <c r="AF1035" s="424"/>
      <c r="AG1035" s="424"/>
      <c r="AH1035" s="424"/>
    </row>
    <row r="1036" spans="1:34" x14ac:dyDescent="0.25">
      <c r="A1036" s="423" t="s">
        <v>5561</v>
      </c>
      <c r="B1036" s="423" t="s">
        <v>5574</v>
      </c>
      <c r="C1036" s="423" t="s">
        <v>1187</v>
      </c>
      <c r="D1036" s="423" t="s">
        <v>5563</v>
      </c>
      <c r="E1036" s="423" t="s">
        <v>2818</v>
      </c>
      <c r="F1036" s="423">
        <v>4</v>
      </c>
      <c r="G1036" s="423">
        <v>12</v>
      </c>
      <c r="H1036" s="423">
        <v>600</v>
      </c>
      <c r="J1036" s="423"/>
      <c r="K1036" s="423"/>
      <c r="L1036" s="423"/>
      <c r="M1036" s="423"/>
      <c r="Q1036" s="423"/>
      <c r="R1036" s="424" t="s">
        <v>5574</v>
      </c>
      <c r="S1036" s="424" t="s">
        <v>2846</v>
      </c>
      <c r="T1036" s="424" t="s">
        <v>3268</v>
      </c>
      <c r="U1036" s="424">
        <v>0</v>
      </c>
      <c r="V1036" s="424" t="s">
        <v>3283</v>
      </c>
      <c r="W1036" s="424">
        <v>0</v>
      </c>
      <c r="X1036" s="424" t="s">
        <v>5565</v>
      </c>
      <c r="Y1036" s="424" t="s">
        <v>2279</v>
      </c>
      <c r="Z1036" s="424">
        <v>0</v>
      </c>
      <c r="AA1036" s="424">
        <v>0</v>
      </c>
      <c r="AB1036" s="424">
        <v>0</v>
      </c>
      <c r="AC1036" s="424">
        <v>0</v>
      </c>
      <c r="AD1036" s="424">
        <v>0</v>
      </c>
      <c r="AE1036" s="424">
        <v>0</v>
      </c>
      <c r="AF1036" s="424"/>
      <c r="AG1036" s="424"/>
      <c r="AH1036" s="424"/>
    </row>
    <row r="1037" spans="1:34" x14ac:dyDescent="0.25">
      <c r="A1037" s="423" t="s">
        <v>5561</v>
      </c>
      <c r="B1037" s="423" t="s">
        <v>5575</v>
      </c>
      <c r="C1037" s="423" t="s">
        <v>1187</v>
      </c>
      <c r="D1037" s="423" t="s">
        <v>5563</v>
      </c>
      <c r="E1037" s="423" t="s">
        <v>2818</v>
      </c>
      <c r="F1037" s="423">
        <v>4</v>
      </c>
      <c r="G1037" s="423">
        <v>5</v>
      </c>
      <c r="H1037" s="423">
        <v>128</v>
      </c>
      <c r="J1037" s="423"/>
      <c r="K1037" s="423"/>
      <c r="L1037" s="423"/>
      <c r="M1037" s="423"/>
      <c r="Q1037" s="423"/>
      <c r="R1037" s="424" t="s">
        <v>5575</v>
      </c>
      <c r="S1037" s="424" t="s">
        <v>2846</v>
      </c>
      <c r="T1037" s="424" t="s">
        <v>3268</v>
      </c>
      <c r="U1037" s="424">
        <v>0</v>
      </c>
      <c r="V1037" s="424" t="s">
        <v>3269</v>
      </c>
      <c r="W1037" s="424" t="s">
        <v>3054</v>
      </c>
      <c r="X1037" s="424" t="s">
        <v>5565</v>
      </c>
      <c r="Y1037" s="424" t="s">
        <v>2279</v>
      </c>
      <c r="Z1037" s="424" t="s">
        <v>2848</v>
      </c>
      <c r="AA1037" s="424" t="s">
        <v>2849</v>
      </c>
      <c r="AB1037" s="424" t="s">
        <v>5573</v>
      </c>
      <c r="AC1037" s="424" t="s">
        <v>1953</v>
      </c>
      <c r="AD1037" s="424" t="s">
        <v>2851</v>
      </c>
      <c r="AE1037" s="424" t="s">
        <v>4193</v>
      </c>
      <c r="AF1037" s="424"/>
      <c r="AG1037" s="424"/>
      <c r="AH1037" s="424"/>
    </row>
    <row r="1038" spans="1:34" x14ac:dyDescent="0.25">
      <c r="A1038" s="423" t="s">
        <v>5561</v>
      </c>
      <c r="B1038" s="423" t="s">
        <v>5576</v>
      </c>
      <c r="C1038" s="423" t="s">
        <v>1187</v>
      </c>
      <c r="D1038" s="423" t="s">
        <v>5563</v>
      </c>
      <c r="E1038" s="423" t="s">
        <v>2818</v>
      </c>
      <c r="F1038" s="423">
        <v>32</v>
      </c>
      <c r="G1038" s="423">
        <v>94</v>
      </c>
      <c r="H1038" s="423">
        <v>472</v>
      </c>
      <c r="J1038" s="423"/>
      <c r="K1038" s="423"/>
      <c r="L1038" s="423"/>
      <c r="M1038" s="423"/>
      <c r="Q1038" s="423"/>
      <c r="R1038" s="424" t="s">
        <v>5577</v>
      </c>
      <c r="S1038" s="424" t="s">
        <v>2820</v>
      </c>
      <c r="T1038" s="424" t="s">
        <v>2821</v>
      </c>
      <c r="U1038" s="424">
        <v>0</v>
      </c>
      <c r="V1038" s="424" t="s">
        <v>2823</v>
      </c>
      <c r="W1038" s="424" t="s">
        <v>2824</v>
      </c>
      <c r="X1038" s="424" t="s">
        <v>5565</v>
      </c>
      <c r="Y1038" s="424" t="s">
        <v>2279</v>
      </c>
      <c r="Z1038" s="424" t="s">
        <v>2826</v>
      </c>
      <c r="AA1038" s="424" t="s">
        <v>2827</v>
      </c>
      <c r="AB1038" s="424" t="s">
        <v>5578</v>
      </c>
      <c r="AC1038" s="424" t="s">
        <v>1953</v>
      </c>
      <c r="AD1038" s="424" t="s">
        <v>2829</v>
      </c>
      <c r="AE1038" s="424" t="s">
        <v>5579</v>
      </c>
      <c r="AF1038" s="424"/>
      <c r="AG1038" s="424"/>
      <c r="AH1038" s="424"/>
    </row>
    <row r="1039" spans="1:34" x14ac:dyDescent="0.25">
      <c r="A1039" s="423" t="s">
        <v>5561</v>
      </c>
      <c r="B1039" s="423" t="s">
        <v>5580</v>
      </c>
      <c r="C1039" s="423" t="s">
        <v>1187</v>
      </c>
      <c r="D1039" s="423" t="s">
        <v>5563</v>
      </c>
      <c r="E1039" s="423" t="s">
        <v>2818</v>
      </c>
      <c r="F1039" s="423">
        <v>32</v>
      </c>
      <c r="G1039" s="423">
        <v>94</v>
      </c>
      <c r="H1039" s="423">
        <v>472</v>
      </c>
      <c r="J1039" s="423"/>
      <c r="K1039" s="423"/>
      <c r="L1039" s="423"/>
      <c r="M1039" s="423"/>
      <c r="Q1039" s="423"/>
      <c r="R1039" s="424" t="s">
        <v>5581</v>
      </c>
      <c r="S1039" s="424" t="s">
        <v>2820</v>
      </c>
      <c r="T1039" s="424" t="s">
        <v>2821</v>
      </c>
      <c r="U1039" s="424">
        <v>0</v>
      </c>
      <c r="V1039" s="424" t="s">
        <v>2823</v>
      </c>
      <c r="W1039" s="424" t="s">
        <v>2824</v>
      </c>
      <c r="X1039" s="424" t="s">
        <v>5565</v>
      </c>
      <c r="Y1039" s="424" t="s">
        <v>2279</v>
      </c>
      <c r="Z1039" s="424" t="s">
        <v>2826</v>
      </c>
      <c r="AA1039" s="424" t="s">
        <v>2827</v>
      </c>
      <c r="AB1039" s="424" t="s">
        <v>5582</v>
      </c>
      <c r="AC1039" s="424" t="s">
        <v>1953</v>
      </c>
      <c r="AD1039" s="424" t="s">
        <v>2829</v>
      </c>
      <c r="AE1039" s="424" t="s">
        <v>5017</v>
      </c>
      <c r="AF1039" s="424"/>
      <c r="AG1039" s="424"/>
      <c r="AH1039" s="424"/>
    </row>
    <row r="1040" spans="1:34" x14ac:dyDescent="0.25">
      <c r="A1040" s="423" t="s">
        <v>5561</v>
      </c>
      <c r="B1040" s="423" t="s">
        <v>5583</v>
      </c>
      <c r="C1040" s="423" t="s">
        <v>1187</v>
      </c>
      <c r="D1040" s="423" t="s">
        <v>5563</v>
      </c>
      <c r="E1040" s="423" t="s">
        <v>2818</v>
      </c>
      <c r="F1040" s="423">
        <v>16</v>
      </c>
      <c r="G1040" s="423">
        <v>22</v>
      </c>
      <c r="H1040" s="423">
        <v>453</v>
      </c>
      <c r="J1040" s="423"/>
      <c r="K1040" s="423"/>
      <c r="L1040" s="423"/>
      <c r="M1040" s="423"/>
      <c r="Q1040" s="423"/>
      <c r="R1040" s="424" t="s">
        <v>5584</v>
      </c>
      <c r="S1040" s="424" t="s">
        <v>2846</v>
      </c>
      <c r="T1040" s="424" t="s">
        <v>3906</v>
      </c>
      <c r="U1040" s="424">
        <v>0</v>
      </c>
      <c r="V1040" s="424" t="s">
        <v>5585</v>
      </c>
      <c r="W1040" s="424" t="s">
        <v>3694</v>
      </c>
      <c r="X1040" s="424" t="s">
        <v>5565</v>
      </c>
      <c r="Y1040" s="424" t="s">
        <v>3908</v>
      </c>
      <c r="Z1040" s="424" t="s">
        <v>2872</v>
      </c>
      <c r="AA1040" s="424" t="s">
        <v>3197</v>
      </c>
      <c r="AB1040" s="424" t="s">
        <v>5123</v>
      </c>
      <c r="AC1040" s="424" t="s">
        <v>3910</v>
      </c>
      <c r="AD1040" s="424" t="s">
        <v>3911</v>
      </c>
      <c r="AE1040" s="424" t="s">
        <v>5103</v>
      </c>
      <c r="AF1040" s="424"/>
      <c r="AG1040" s="424"/>
      <c r="AH1040" s="424"/>
    </row>
    <row r="1041" spans="1:34" x14ac:dyDescent="0.25">
      <c r="A1041" s="423" t="s">
        <v>5561</v>
      </c>
      <c r="B1041" s="423" t="s">
        <v>5586</v>
      </c>
      <c r="C1041" s="423" t="s">
        <v>1187</v>
      </c>
      <c r="D1041" s="423" t="s">
        <v>5563</v>
      </c>
      <c r="E1041" s="423" t="s">
        <v>2818</v>
      </c>
      <c r="F1041" s="423">
        <v>16</v>
      </c>
      <c r="G1041" s="423">
        <v>22</v>
      </c>
      <c r="H1041" s="423">
        <v>453</v>
      </c>
      <c r="J1041" s="423"/>
      <c r="K1041" s="423"/>
      <c r="L1041" s="423"/>
      <c r="M1041" s="423"/>
      <c r="Q1041" s="423"/>
      <c r="R1041" s="424" t="s">
        <v>5587</v>
      </c>
      <c r="S1041" s="424" t="s">
        <v>2846</v>
      </c>
      <c r="T1041" s="424" t="s">
        <v>3906</v>
      </c>
      <c r="U1041" s="424">
        <v>0</v>
      </c>
      <c r="V1041" s="424" t="s">
        <v>5585</v>
      </c>
      <c r="W1041" s="424" t="s">
        <v>3694</v>
      </c>
      <c r="X1041" s="424" t="s">
        <v>5565</v>
      </c>
      <c r="Y1041" s="424" t="s">
        <v>3908</v>
      </c>
      <c r="Z1041" s="424" t="s">
        <v>2872</v>
      </c>
      <c r="AA1041" s="424" t="s">
        <v>3197</v>
      </c>
      <c r="AB1041" s="424" t="s">
        <v>5588</v>
      </c>
      <c r="AC1041" s="424" t="s">
        <v>3910</v>
      </c>
      <c r="AD1041" s="424" t="s">
        <v>3911</v>
      </c>
      <c r="AE1041" s="424" t="s">
        <v>3923</v>
      </c>
      <c r="AF1041" s="424"/>
      <c r="AG1041" s="424"/>
      <c r="AH1041" s="424"/>
    </row>
    <row r="1042" spans="1:34" x14ac:dyDescent="0.25">
      <c r="A1042" s="423" t="s">
        <v>5589</v>
      </c>
      <c r="B1042" s="423" t="s">
        <v>5590</v>
      </c>
      <c r="C1042" s="423" t="s">
        <v>1187</v>
      </c>
      <c r="D1042" s="423" t="s">
        <v>5563</v>
      </c>
      <c r="E1042" s="423" t="s">
        <v>2818</v>
      </c>
      <c r="F1042" s="423">
        <v>6</v>
      </c>
      <c r="G1042" s="423" t="s">
        <v>3592</v>
      </c>
      <c r="H1042" s="423">
        <v>517</v>
      </c>
      <c r="J1042" s="423"/>
      <c r="K1042" s="423"/>
      <c r="L1042" s="423"/>
      <c r="M1042" s="423"/>
      <c r="Q1042" s="423"/>
      <c r="R1042" s="424" t="s">
        <v>5591</v>
      </c>
      <c r="S1042" s="424" t="s">
        <v>2846</v>
      </c>
      <c r="T1042" s="424" t="s">
        <v>3268</v>
      </c>
      <c r="U1042" s="424">
        <v>0</v>
      </c>
      <c r="V1042" s="424" t="s">
        <v>3269</v>
      </c>
      <c r="W1042" s="424" t="s">
        <v>3074</v>
      </c>
      <c r="X1042" s="424" t="s">
        <v>3298</v>
      </c>
      <c r="Y1042" s="424" t="s">
        <v>2279</v>
      </c>
      <c r="Z1042" s="424" t="s">
        <v>3260</v>
      </c>
      <c r="AA1042" s="424" t="s">
        <v>3197</v>
      </c>
      <c r="AB1042" s="424" t="s">
        <v>3964</v>
      </c>
      <c r="AC1042" s="424" t="s">
        <v>1953</v>
      </c>
      <c r="AD1042" s="424" t="s">
        <v>2851</v>
      </c>
      <c r="AE1042" s="424" t="s">
        <v>3279</v>
      </c>
      <c r="AF1042" s="424"/>
      <c r="AG1042" s="424"/>
      <c r="AH1042" s="424"/>
    </row>
    <row r="1043" spans="1:34" x14ac:dyDescent="0.25">
      <c r="A1043" s="423" t="s">
        <v>5589</v>
      </c>
      <c r="B1043" s="423" t="s">
        <v>5592</v>
      </c>
      <c r="C1043" s="423" t="s">
        <v>1187</v>
      </c>
      <c r="D1043" s="423" t="s">
        <v>5563</v>
      </c>
      <c r="E1043" s="423" t="s">
        <v>2818</v>
      </c>
      <c r="F1043" s="423">
        <v>6</v>
      </c>
      <c r="G1043" s="423" t="s">
        <v>3592</v>
      </c>
      <c r="H1043" s="423">
        <v>517</v>
      </c>
      <c r="J1043" s="423"/>
      <c r="K1043" s="423"/>
      <c r="L1043" s="423"/>
      <c r="M1043" s="423"/>
      <c r="Q1043" s="423"/>
      <c r="R1043" s="424" t="s">
        <v>5592</v>
      </c>
      <c r="S1043" s="424" t="s">
        <v>2846</v>
      </c>
      <c r="T1043" s="424" t="s">
        <v>3268</v>
      </c>
      <c r="U1043" s="424">
        <v>0</v>
      </c>
      <c r="V1043" s="424" t="s">
        <v>3269</v>
      </c>
      <c r="W1043" s="424" t="s">
        <v>3074</v>
      </c>
      <c r="X1043" s="424" t="s">
        <v>3298</v>
      </c>
      <c r="Y1043" s="424" t="s">
        <v>2279</v>
      </c>
      <c r="Z1043" s="424" t="s">
        <v>3260</v>
      </c>
      <c r="AA1043" s="424" t="s">
        <v>3274</v>
      </c>
      <c r="AB1043" s="424" t="s">
        <v>3337</v>
      </c>
      <c r="AC1043" s="424" t="s">
        <v>1953</v>
      </c>
      <c r="AD1043" s="424" t="s">
        <v>2851</v>
      </c>
      <c r="AE1043" s="424" t="s">
        <v>3199</v>
      </c>
      <c r="AF1043" s="424"/>
      <c r="AG1043" s="424"/>
      <c r="AH1043" s="424"/>
    </row>
    <row r="1044" spans="1:34" x14ac:dyDescent="0.25">
      <c r="A1044" s="423" t="s">
        <v>5593</v>
      </c>
      <c r="B1044" s="423" t="s">
        <v>3318</v>
      </c>
      <c r="C1044" s="423" t="s">
        <v>1187</v>
      </c>
      <c r="D1044" s="423" t="s">
        <v>5563</v>
      </c>
      <c r="E1044" s="423" t="s">
        <v>2818</v>
      </c>
      <c r="F1044" s="423">
        <v>16</v>
      </c>
      <c r="G1044" s="423">
        <v>32</v>
      </c>
      <c r="H1044" s="423">
        <v>512</v>
      </c>
      <c r="J1044" s="423"/>
      <c r="K1044" s="423"/>
      <c r="L1044" s="423"/>
      <c r="M1044" s="423"/>
      <c r="Q1044" s="423"/>
      <c r="R1044" s="424" t="s">
        <v>3319</v>
      </c>
      <c r="S1044" s="424" t="s">
        <v>2846</v>
      </c>
      <c r="T1044" s="424" t="s">
        <v>2847</v>
      </c>
      <c r="U1044" s="424">
        <v>0</v>
      </c>
      <c r="V1044" s="424" t="s">
        <v>2973</v>
      </c>
      <c r="W1044" s="424" t="s">
        <v>3176</v>
      </c>
      <c r="X1044" s="424" t="s">
        <v>3298</v>
      </c>
      <c r="Y1044" s="424" t="s">
        <v>2279</v>
      </c>
      <c r="Z1044" s="424" t="s">
        <v>3260</v>
      </c>
      <c r="AA1044" s="424" t="s">
        <v>3197</v>
      </c>
      <c r="AB1044" s="424" t="s">
        <v>3320</v>
      </c>
      <c r="AC1044" s="424" t="s">
        <v>1953</v>
      </c>
      <c r="AD1044" s="424" t="s">
        <v>2851</v>
      </c>
      <c r="AE1044" s="424" t="s">
        <v>3293</v>
      </c>
      <c r="AF1044" s="424"/>
      <c r="AG1044" s="424"/>
      <c r="AH1044" s="424"/>
    </row>
    <row r="1045" spans="1:34" x14ac:dyDescent="0.25">
      <c r="A1045" s="423" t="s">
        <v>5593</v>
      </c>
      <c r="B1045" s="423" t="s">
        <v>3321</v>
      </c>
      <c r="C1045" s="423" t="s">
        <v>1187</v>
      </c>
      <c r="D1045" s="423" t="s">
        <v>5563</v>
      </c>
      <c r="E1045" s="423" t="s">
        <v>2818</v>
      </c>
      <c r="F1045" s="423">
        <v>16</v>
      </c>
      <c r="G1045" s="423">
        <v>32</v>
      </c>
      <c r="H1045" s="423">
        <v>512</v>
      </c>
      <c r="J1045" s="423"/>
      <c r="K1045" s="423"/>
      <c r="L1045" s="423"/>
      <c r="M1045" s="423"/>
      <c r="Q1045" s="423"/>
      <c r="R1045" s="424" t="s">
        <v>3322</v>
      </c>
      <c r="S1045" s="424" t="s">
        <v>2846</v>
      </c>
      <c r="T1045" s="424" t="s">
        <v>2847</v>
      </c>
      <c r="U1045" s="424">
        <v>0</v>
      </c>
      <c r="V1045" s="424" t="s">
        <v>2973</v>
      </c>
      <c r="W1045" s="424" t="s">
        <v>3176</v>
      </c>
      <c r="X1045" s="424" t="s">
        <v>3298</v>
      </c>
      <c r="Y1045" s="424" t="s">
        <v>2279</v>
      </c>
      <c r="Z1045" s="424" t="s">
        <v>3260</v>
      </c>
      <c r="AA1045" s="424" t="s">
        <v>3197</v>
      </c>
      <c r="AB1045" s="424" t="s">
        <v>3323</v>
      </c>
      <c r="AC1045" s="424" t="s">
        <v>1953</v>
      </c>
      <c r="AD1045" s="424" t="s">
        <v>2851</v>
      </c>
      <c r="AE1045" s="424" t="s">
        <v>3324</v>
      </c>
      <c r="AF1045" s="424"/>
      <c r="AG1045" s="424"/>
      <c r="AH1045" s="424"/>
    </row>
    <row r="1046" spans="1:34" x14ac:dyDescent="0.25">
      <c r="A1046" s="423" t="s">
        <v>5594</v>
      </c>
      <c r="B1046" s="423" t="s">
        <v>5595</v>
      </c>
      <c r="C1046" s="423" t="s">
        <v>1187</v>
      </c>
      <c r="D1046" s="423" t="s">
        <v>5563</v>
      </c>
      <c r="E1046" s="423" t="s">
        <v>2818</v>
      </c>
      <c r="F1046" s="423">
        <v>8</v>
      </c>
      <c r="G1046" s="423">
        <v>16</v>
      </c>
      <c r="H1046" s="423">
        <v>256</v>
      </c>
      <c r="J1046" s="423"/>
      <c r="K1046" s="423"/>
      <c r="L1046" s="423"/>
      <c r="M1046" s="423"/>
      <c r="Q1046" s="423"/>
      <c r="R1046" s="424" t="s">
        <v>5595</v>
      </c>
      <c r="S1046" s="424" t="s">
        <v>2846</v>
      </c>
      <c r="T1046" s="424" t="s">
        <v>3268</v>
      </c>
      <c r="U1046" s="424">
        <v>0</v>
      </c>
      <c r="V1046" s="424" t="s">
        <v>3269</v>
      </c>
      <c r="W1046" s="424" t="s">
        <v>3176</v>
      </c>
      <c r="X1046" s="424" t="s">
        <v>2825</v>
      </c>
      <c r="Y1046" s="424" t="s">
        <v>2279</v>
      </c>
      <c r="Z1046" s="424" t="s">
        <v>3260</v>
      </c>
      <c r="AA1046" s="424" t="s">
        <v>3274</v>
      </c>
      <c r="AB1046" s="424" t="s">
        <v>5596</v>
      </c>
      <c r="AC1046" s="424" t="s">
        <v>1953</v>
      </c>
      <c r="AD1046" s="424" t="s">
        <v>2851</v>
      </c>
      <c r="AE1046" s="424" t="s">
        <v>3341</v>
      </c>
      <c r="AF1046" s="424"/>
      <c r="AG1046" s="424"/>
      <c r="AH1046" s="424"/>
    </row>
    <row r="1047" spans="1:34" x14ac:dyDescent="0.25">
      <c r="A1047" s="423" t="s">
        <v>5594</v>
      </c>
      <c r="B1047" s="423" t="s">
        <v>5597</v>
      </c>
      <c r="C1047" s="423" t="s">
        <v>1187</v>
      </c>
      <c r="D1047" s="423" t="s">
        <v>5563</v>
      </c>
      <c r="E1047" s="423" t="s">
        <v>2818</v>
      </c>
      <c r="F1047" s="423">
        <v>8</v>
      </c>
      <c r="G1047" s="423">
        <v>16</v>
      </c>
      <c r="H1047" s="423">
        <v>256</v>
      </c>
      <c r="J1047" s="423"/>
      <c r="K1047" s="423"/>
      <c r="L1047" s="423"/>
      <c r="M1047" s="423"/>
      <c r="Q1047" s="423"/>
      <c r="R1047" s="424" t="s">
        <v>5597</v>
      </c>
      <c r="S1047" s="424" t="s">
        <v>2846</v>
      </c>
      <c r="T1047" s="424" t="s">
        <v>3268</v>
      </c>
      <c r="U1047" s="424">
        <v>0</v>
      </c>
      <c r="V1047" s="424" t="s">
        <v>3269</v>
      </c>
      <c r="W1047" s="424" t="s">
        <v>3176</v>
      </c>
      <c r="X1047" s="424" t="s">
        <v>2825</v>
      </c>
      <c r="Y1047" s="424" t="s">
        <v>2279</v>
      </c>
      <c r="Z1047" s="424" t="s">
        <v>3260</v>
      </c>
      <c r="AA1047" s="424" t="s">
        <v>3274</v>
      </c>
      <c r="AB1047" s="424" t="s">
        <v>3343</v>
      </c>
      <c r="AC1047" s="424" t="s">
        <v>1953</v>
      </c>
      <c r="AD1047" s="424" t="s">
        <v>2851</v>
      </c>
      <c r="AE1047" s="424" t="s">
        <v>3341</v>
      </c>
      <c r="AF1047" s="424"/>
      <c r="AG1047" s="424"/>
      <c r="AH1047" s="424"/>
    </row>
    <row r="1048" spans="1:34" x14ac:dyDescent="0.25">
      <c r="A1048" s="423" t="s">
        <v>5594</v>
      </c>
      <c r="B1048" s="423" t="s">
        <v>5598</v>
      </c>
      <c r="C1048" s="423" t="s">
        <v>1187</v>
      </c>
      <c r="D1048" s="423" t="s">
        <v>5563</v>
      </c>
      <c r="E1048" s="423" t="s">
        <v>2818</v>
      </c>
      <c r="F1048" s="423">
        <v>8</v>
      </c>
      <c r="G1048" s="423">
        <v>16</v>
      </c>
      <c r="H1048" s="423">
        <v>256</v>
      </c>
      <c r="J1048" s="423"/>
      <c r="K1048" s="423"/>
      <c r="L1048" s="423"/>
      <c r="M1048" s="423"/>
      <c r="Q1048" s="423"/>
      <c r="R1048" s="424" t="s">
        <v>5598</v>
      </c>
      <c r="S1048" s="424" t="s">
        <v>2846</v>
      </c>
      <c r="T1048" s="424" t="s">
        <v>3268</v>
      </c>
      <c r="U1048" s="424">
        <v>0</v>
      </c>
      <c r="V1048" s="424" t="s">
        <v>3269</v>
      </c>
      <c r="W1048" s="424" t="s">
        <v>3176</v>
      </c>
      <c r="X1048" s="424" t="s">
        <v>2825</v>
      </c>
      <c r="Y1048" s="424" t="s">
        <v>2279</v>
      </c>
      <c r="Z1048" s="424" t="s">
        <v>3260</v>
      </c>
      <c r="AA1048" s="424" t="s">
        <v>3274</v>
      </c>
      <c r="AB1048" s="424" t="s">
        <v>5599</v>
      </c>
      <c r="AC1048" s="424" t="s">
        <v>1953</v>
      </c>
      <c r="AD1048" s="424" t="s">
        <v>2851</v>
      </c>
      <c r="AE1048" s="424" t="s">
        <v>3341</v>
      </c>
      <c r="AF1048" s="424"/>
      <c r="AG1048" s="424"/>
      <c r="AH1048" s="424"/>
    </row>
    <row r="1049" spans="1:34" x14ac:dyDescent="0.25">
      <c r="A1049" s="423" t="s">
        <v>5594</v>
      </c>
      <c r="B1049" s="423" t="s">
        <v>5600</v>
      </c>
      <c r="C1049" s="423" t="s">
        <v>1187</v>
      </c>
      <c r="D1049" s="423" t="s">
        <v>5563</v>
      </c>
      <c r="E1049" s="423" t="s">
        <v>2818</v>
      </c>
      <c r="F1049" s="423">
        <v>8</v>
      </c>
      <c r="G1049" s="423">
        <v>16</v>
      </c>
      <c r="H1049" s="423">
        <v>256</v>
      </c>
      <c r="J1049" s="423"/>
      <c r="K1049" s="423"/>
      <c r="L1049" s="423"/>
      <c r="M1049" s="423"/>
      <c r="Q1049" s="423"/>
      <c r="R1049" s="424" t="s">
        <v>5600</v>
      </c>
      <c r="S1049" s="424" t="s">
        <v>2846</v>
      </c>
      <c r="T1049" s="424" t="s">
        <v>3268</v>
      </c>
      <c r="U1049" s="424">
        <v>0</v>
      </c>
      <c r="V1049" s="424" t="s">
        <v>3269</v>
      </c>
      <c r="W1049" s="424" t="s">
        <v>3176</v>
      </c>
      <c r="X1049" s="424" t="s">
        <v>2825</v>
      </c>
      <c r="Y1049" s="424" t="s">
        <v>2279</v>
      </c>
      <c r="Z1049" s="424" t="s">
        <v>3260</v>
      </c>
      <c r="AA1049" s="424" t="s">
        <v>3274</v>
      </c>
      <c r="AB1049" s="424" t="s">
        <v>3343</v>
      </c>
      <c r="AC1049" s="424" t="s">
        <v>1953</v>
      </c>
      <c r="AD1049" s="424" t="s">
        <v>2851</v>
      </c>
      <c r="AE1049" s="424" t="s">
        <v>3341</v>
      </c>
      <c r="AF1049" s="424"/>
      <c r="AG1049" s="424"/>
      <c r="AH1049" s="424"/>
    </row>
    <row r="1050" spans="1:34" x14ac:dyDescent="0.25">
      <c r="A1050" s="423" t="s">
        <v>5594</v>
      </c>
      <c r="B1050" s="423" t="s">
        <v>3591</v>
      </c>
      <c r="C1050" s="423" t="s">
        <v>1187</v>
      </c>
      <c r="D1050" s="423" t="s">
        <v>5563</v>
      </c>
      <c r="E1050" s="423" t="s">
        <v>2818</v>
      </c>
      <c r="F1050" s="423">
        <v>16</v>
      </c>
      <c r="G1050" s="423">
        <v>32</v>
      </c>
      <c r="H1050" s="423">
        <v>512</v>
      </c>
      <c r="J1050" s="423"/>
      <c r="K1050" s="423"/>
      <c r="L1050" s="423"/>
      <c r="M1050" s="423"/>
      <c r="Q1050" s="423"/>
      <c r="R1050" s="424" t="s">
        <v>3593</v>
      </c>
      <c r="S1050" s="424" t="s">
        <v>2846</v>
      </c>
      <c r="T1050" s="424" t="s">
        <v>2847</v>
      </c>
      <c r="U1050" s="424">
        <v>0</v>
      </c>
      <c r="V1050" s="424" t="s">
        <v>2973</v>
      </c>
      <c r="W1050" s="424" t="s">
        <v>3054</v>
      </c>
      <c r="X1050" s="424" t="s">
        <v>2825</v>
      </c>
      <c r="Y1050" s="424" t="s">
        <v>2279</v>
      </c>
      <c r="Z1050" s="424" t="s">
        <v>2889</v>
      </c>
      <c r="AA1050" s="424" t="s">
        <v>3311</v>
      </c>
      <c r="AB1050" s="424" t="s">
        <v>3594</v>
      </c>
      <c r="AC1050" s="424" t="s">
        <v>1953</v>
      </c>
      <c r="AD1050" s="424" t="s">
        <v>2851</v>
      </c>
      <c r="AE1050" s="424" t="s">
        <v>3595</v>
      </c>
      <c r="AF1050" s="424"/>
      <c r="AG1050" s="424"/>
      <c r="AH1050" s="424"/>
    </row>
    <row r="1051" spans="1:34" x14ac:dyDescent="0.25">
      <c r="A1051" s="423" t="s">
        <v>5594</v>
      </c>
      <c r="B1051" s="423" t="s">
        <v>5601</v>
      </c>
      <c r="C1051" s="423" t="s">
        <v>1187</v>
      </c>
      <c r="D1051" s="423" t="s">
        <v>5563</v>
      </c>
      <c r="E1051" s="423" t="s">
        <v>2818</v>
      </c>
      <c r="F1051" s="423">
        <v>16</v>
      </c>
      <c r="G1051" s="423">
        <v>32</v>
      </c>
      <c r="H1051" s="423">
        <v>512</v>
      </c>
      <c r="J1051" s="423"/>
      <c r="K1051" s="423"/>
      <c r="L1051" s="423"/>
      <c r="M1051" s="423"/>
      <c r="Q1051" s="423"/>
      <c r="R1051" s="424" t="s">
        <v>5602</v>
      </c>
      <c r="S1051" s="424" t="s">
        <v>2846</v>
      </c>
      <c r="T1051" s="424" t="s">
        <v>2847</v>
      </c>
      <c r="U1051" s="424">
        <v>0</v>
      </c>
      <c r="V1051" s="424" t="s">
        <v>2973</v>
      </c>
      <c r="W1051" s="424" t="s">
        <v>3074</v>
      </c>
      <c r="X1051" s="424" t="s">
        <v>2825</v>
      </c>
      <c r="Y1051" s="424" t="s">
        <v>2279</v>
      </c>
      <c r="Z1051" s="424" t="s">
        <v>3260</v>
      </c>
      <c r="AA1051" s="424" t="s">
        <v>3197</v>
      </c>
      <c r="AB1051" s="424" t="s">
        <v>5317</v>
      </c>
      <c r="AC1051" s="424" t="s">
        <v>1953</v>
      </c>
      <c r="AD1051" s="424" t="s">
        <v>2851</v>
      </c>
      <c r="AE1051" s="424" t="s">
        <v>3481</v>
      </c>
      <c r="AF1051" s="424"/>
      <c r="AG1051" s="424"/>
      <c r="AH1051" s="424"/>
    </row>
    <row r="1052" spans="1:34" x14ac:dyDescent="0.25">
      <c r="A1052" s="423" t="s">
        <v>5603</v>
      </c>
      <c r="B1052" s="423" t="s">
        <v>5604</v>
      </c>
      <c r="C1052" s="423" t="s">
        <v>1187</v>
      </c>
      <c r="D1052" s="423" t="s">
        <v>5563</v>
      </c>
      <c r="E1052" s="423" t="s">
        <v>2818</v>
      </c>
      <c r="F1052" s="423">
        <v>8</v>
      </c>
      <c r="G1052" s="423">
        <v>24</v>
      </c>
      <c r="H1052" s="423">
        <v>200</v>
      </c>
      <c r="J1052" s="423"/>
      <c r="K1052" s="423"/>
      <c r="L1052" s="423"/>
      <c r="M1052" s="423"/>
      <c r="Q1052" s="423"/>
      <c r="R1052" s="424" t="s">
        <v>5604</v>
      </c>
      <c r="S1052" s="424" t="s">
        <v>2846</v>
      </c>
      <c r="T1052" s="424" t="s">
        <v>5019</v>
      </c>
      <c r="U1052" s="424">
        <v>0</v>
      </c>
      <c r="V1052" s="424" t="s">
        <v>3269</v>
      </c>
      <c r="W1052" s="424" t="s">
        <v>3176</v>
      </c>
      <c r="X1052" s="424" t="s">
        <v>2825</v>
      </c>
      <c r="Y1052" s="424" t="s">
        <v>2279</v>
      </c>
      <c r="Z1052" s="424" t="s">
        <v>3260</v>
      </c>
      <c r="AA1052" s="424" t="s">
        <v>3197</v>
      </c>
      <c r="AB1052" s="424" t="s">
        <v>5514</v>
      </c>
      <c r="AC1052" s="424" t="s">
        <v>1953</v>
      </c>
      <c r="AD1052" s="424" t="s">
        <v>2851</v>
      </c>
      <c r="AE1052" s="424" t="s">
        <v>3550</v>
      </c>
      <c r="AF1052" s="424"/>
      <c r="AG1052" s="424"/>
      <c r="AH1052" s="424"/>
    </row>
    <row r="1053" spans="1:34" x14ac:dyDescent="0.25">
      <c r="A1053" s="423" t="s">
        <v>5605</v>
      </c>
      <c r="B1053" s="423" t="s">
        <v>5606</v>
      </c>
      <c r="C1053" s="423" t="s">
        <v>1187</v>
      </c>
      <c r="D1053" s="423" t="s">
        <v>5563</v>
      </c>
      <c r="E1053" s="423" t="s">
        <v>2818</v>
      </c>
      <c r="F1053" s="423">
        <v>24</v>
      </c>
      <c r="G1053" s="423">
        <v>32</v>
      </c>
      <c r="H1053" s="423">
        <v>600</v>
      </c>
      <c r="J1053" s="423"/>
      <c r="K1053" s="423"/>
      <c r="L1053" s="423"/>
      <c r="M1053" s="423"/>
      <c r="Q1053" s="423"/>
      <c r="R1053" s="424" t="s">
        <v>5606</v>
      </c>
      <c r="S1053" s="424" t="s">
        <v>2846</v>
      </c>
      <c r="T1053" s="424" t="s">
        <v>3268</v>
      </c>
      <c r="U1053" s="424">
        <v>0</v>
      </c>
      <c r="V1053" s="424" t="s">
        <v>3269</v>
      </c>
      <c r="W1053" s="424" t="s">
        <v>3074</v>
      </c>
      <c r="X1053" s="424" t="s">
        <v>2825</v>
      </c>
      <c r="Y1053" s="424" t="s">
        <v>2279</v>
      </c>
      <c r="Z1053" s="424" t="s">
        <v>3260</v>
      </c>
      <c r="AA1053" s="424" t="s">
        <v>3197</v>
      </c>
      <c r="AB1053" s="424" t="s">
        <v>3958</v>
      </c>
      <c r="AC1053" s="424" t="s">
        <v>1953</v>
      </c>
      <c r="AD1053" s="424" t="s">
        <v>2851</v>
      </c>
      <c r="AE1053" s="424" t="s">
        <v>3279</v>
      </c>
      <c r="AF1053" s="424"/>
      <c r="AG1053" s="424"/>
      <c r="AH1053" s="424"/>
    </row>
    <row r="1054" spans="1:34" x14ac:dyDescent="0.25">
      <c r="A1054" s="423" t="s">
        <v>5607</v>
      </c>
      <c r="B1054" s="423" t="s">
        <v>5601</v>
      </c>
      <c r="C1054" s="423" t="s">
        <v>1187</v>
      </c>
      <c r="D1054" s="423" t="s">
        <v>5563</v>
      </c>
      <c r="E1054" s="423" t="s">
        <v>2818</v>
      </c>
      <c r="F1054" s="423">
        <v>16</v>
      </c>
      <c r="G1054" s="423">
        <v>24</v>
      </c>
      <c r="H1054" s="423">
        <v>200</v>
      </c>
      <c r="J1054" s="423"/>
      <c r="K1054" s="423"/>
      <c r="L1054" s="423"/>
      <c r="M1054" s="423"/>
      <c r="Q1054" s="423"/>
      <c r="R1054" s="424" t="s">
        <v>5602</v>
      </c>
      <c r="S1054" s="424" t="s">
        <v>2846</v>
      </c>
      <c r="T1054" s="424" t="s">
        <v>2847</v>
      </c>
      <c r="U1054" s="424">
        <v>0</v>
      </c>
      <c r="V1054" s="424" t="s">
        <v>2973</v>
      </c>
      <c r="W1054" s="424" t="s">
        <v>3074</v>
      </c>
      <c r="X1054" s="424" t="s">
        <v>2825</v>
      </c>
      <c r="Y1054" s="424" t="s">
        <v>2279</v>
      </c>
      <c r="Z1054" s="424" t="s">
        <v>3260</v>
      </c>
      <c r="AA1054" s="424" t="s">
        <v>3197</v>
      </c>
      <c r="AB1054" s="424" t="s">
        <v>5317</v>
      </c>
      <c r="AC1054" s="424" t="s">
        <v>1953</v>
      </c>
      <c r="AD1054" s="424" t="s">
        <v>2851</v>
      </c>
      <c r="AE1054" s="424" t="s">
        <v>3481</v>
      </c>
      <c r="AF1054" s="424"/>
      <c r="AG1054" s="424"/>
      <c r="AH1054" s="424"/>
    </row>
    <row r="1055" spans="1:34" x14ac:dyDescent="0.25">
      <c r="A1055" s="423" t="s">
        <v>5608</v>
      </c>
      <c r="B1055" s="423" t="s">
        <v>5609</v>
      </c>
      <c r="C1055" s="423" t="s">
        <v>1187</v>
      </c>
      <c r="D1055" s="423" t="s">
        <v>5563</v>
      </c>
      <c r="E1055" s="423" t="s">
        <v>2818</v>
      </c>
      <c r="F1055" s="423">
        <v>8</v>
      </c>
      <c r="G1055" s="423">
        <v>16</v>
      </c>
      <c r="H1055" s="423">
        <v>200</v>
      </c>
      <c r="J1055" s="423"/>
      <c r="K1055" s="423"/>
      <c r="L1055" s="423"/>
      <c r="M1055" s="423"/>
      <c r="Q1055" s="423"/>
      <c r="R1055" s="424" t="s">
        <v>5609</v>
      </c>
      <c r="S1055" s="424" t="s">
        <v>2846</v>
      </c>
      <c r="T1055" s="424" t="s">
        <v>3291</v>
      </c>
      <c r="U1055" s="424">
        <v>0</v>
      </c>
      <c r="V1055" s="424" t="s">
        <v>3269</v>
      </c>
      <c r="W1055" s="424" t="s">
        <v>3176</v>
      </c>
      <c r="X1055" s="424" t="s">
        <v>2825</v>
      </c>
      <c r="Y1055" s="424" t="s">
        <v>2279</v>
      </c>
      <c r="Z1055" s="424" t="s">
        <v>3260</v>
      </c>
      <c r="AA1055" s="424" t="s">
        <v>3197</v>
      </c>
      <c r="AB1055" s="424" t="s">
        <v>3819</v>
      </c>
      <c r="AC1055" s="424" t="s">
        <v>1953</v>
      </c>
      <c r="AD1055" s="424" t="s">
        <v>2851</v>
      </c>
      <c r="AE1055" s="424" t="s">
        <v>3324</v>
      </c>
      <c r="AF1055" s="424"/>
      <c r="AG1055" s="424"/>
      <c r="AH1055" s="424"/>
    </row>
    <row r="1056" spans="1:34" x14ac:dyDescent="0.25">
      <c r="A1056" s="423" t="s">
        <v>5610</v>
      </c>
      <c r="B1056" s="423" t="s">
        <v>5611</v>
      </c>
      <c r="C1056" s="423" t="s">
        <v>1187</v>
      </c>
      <c r="D1056" s="423" t="s">
        <v>5563</v>
      </c>
      <c r="E1056" s="423" t="s">
        <v>2818</v>
      </c>
      <c r="F1056" s="423">
        <v>26</v>
      </c>
      <c r="G1056" s="423">
        <v>16</v>
      </c>
      <c r="H1056" s="423">
        <v>1000</v>
      </c>
      <c r="J1056" s="423"/>
      <c r="K1056" s="423"/>
      <c r="L1056" s="423"/>
      <c r="M1056" s="423"/>
      <c r="Q1056" s="423"/>
      <c r="R1056" s="424" t="s">
        <v>5611</v>
      </c>
      <c r="S1056" s="424" t="s">
        <v>2846</v>
      </c>
      <c r="T1056" s="424" t="s">
        <v>3268</v>
      </c>
      <c r="U1056" s="424">
        <v>0</v>
      </c>
      <c r="V1056" s="424" t="s">
        <v>3269</v>
      </c>
      <c r="W1056" s="424" t="s">
        <v>3055</v>
      </c>
      <c r="X1056" s="424" t="s">
        <v>2825</v>
      </c>
      <c r="Y1056" s="424" t="s">
        <v>2279</v>
      </c>
      <c r="Z1056" s="424" t="s">
        <v>2848</v>
      </c>
      <c r="AA1056" s="424" t="s">
        <v>2849</v>
      </c>
      <c r="AB1056" s="424" t="s">
        <v>3721</v>
      </c>
      <c r="AC1056" s="424" t="s">
        <v>1953</v>
      </c>
      <c r="AD1056" s="424" t="s">
        <v>2851</v>
      </c>
      <c r="AE1056" s="424" t="s">
        <v>3173</v>
      </c>
      <c r="AF1056" s="424"/>
      <c r="AG1056" s="424"/>
      <c r="AH1056" s="424"/>
    </row>
    <row r="1057" spans="1:34" x14ac:dyDescent="0.25">
      <c r="A1057" s="423" t="s">
        <v>5610</v>
      </c>
      <c r="B1057" s="423" t="s">
        <v>5612</v>
      </c>
      <c r="C1057" s="423" t="s">
        <v>1187</v>
      </c>
      <c r="D1057" s="423" t="s">
        <v>5563</v>
      </c>
      <c r="E1057" s="423" t="s">
        <v>2818</v>
      </c>
      <c r="F1057" s="423">
        <v>28</v>
      </c>
      <c r="G1057" s="423">
        <v>32</v>
      </c>
      <c r="H1057" s="423">
        <v>500</v>
      </c>
      <c r="J1057" s="423"/>
      <c r="K1057" s="423"/>
      <c r="L1057" s="423"/>
      <c r="M1057" s="423"/>
      <c r="Q1057" s="423"/>
      <c r="R1057" s="424" t="s">
        <v>5612</v>
      </c>
      <c r="S1057" s="424" t="s">
        <v>2846</v>
      </c>
      <c r="T1057" s="424" t="s">
        <v>3268</v>
      </c>
      <c r="U1057" s="424">
        <v>0</v>
      </c>
      <c r="V1057" s="424" t="s">
        <v>3269</v>
      </c>
      <c r="W1057" s="424" t="s">
        <v>3055</v>
      </c>
      <c r="X1057" s="424" t="s">
        <v>2825</v>
      </c>
      <c r="Y1057" s="424" t="s">
        <v>2279</v>
      </c>
      <c r="Z1057" s="424" t="s">
        <v>2848</v>
      </c>
      <c r="AA1057" s="424" t="s">
        <v>2855</v>
      </c>
      <c r="AB1057" s="424" t="s">
        <v>5613</v>
      </c>
      <c r="AC1057" s="424" t="s">
        <v>1953</v>
      </c>
      <c r="AD1057" s="424" t="s">
        <v>2851</v>
      </c>
      <c r="AE1057" s="424" t="s">
        <v>2857</v>
      </c>
      <c r="AF1057" s="424"/>
      <c r="AG1057" s="424"/>
      <c r="AH1057" s="424"/>
    </row>
    <row r="1058" spans="1:34" x14ac:dyDescent="0.25">
      <c r="A1058" s="423" t="s">
        <v>5614</v>
      </c>
      <c r="B1058" s="423" t="s">
        <v>5615</v>
      </c>
      <c r="C1058" s="423" t="s">
        <v>1187</v>
      </c>
      <c r="D1058" s="423" t="s">
        <v>5563</v>
      </c>
      <c r="E1058" s="423" t="s">
        <v>2818</v>
      </c>
      <c r="F1058" s="423">
        <v>56</v>
      </c>
      <c r="G1058" s="423">
        <v>190</v>
      </c>
      <c r="H1058" s="423">
        <v>1500</v>
      </c>
      <c r="J1058" s="423"/>
      <c r="K1058" s="423"/>
      <c r="L1058" s="423"/>
      <c r="M1058" s="423"/>
      <c r="Q1058" s="423"/>
      <c r="R1058" s="424" t="s">
        <v>5616</v>
      </c>
      <c r="S1058" s="424" t="s">
        <v>2820</v>
      </c>
      <c r="T1058" s="424" t="s">
        <v>2821</v>
      </c>
      <c r="U1058" s="424">
        <v>0</v>
      </c>
      <c r="V1058" s="424" t="s">
        <v>5617</v>
      </c>
      <c r="W1058" s="424" t="s">
        <v>5617</v>
      </c>
      <c r="X1058" s="424" t="s">
        <v>2224</v>
      </c>
      <c r="Y1058" s="424" t="s">
        <v>2279</v>
      </c>
      <c r="Z1058" s="424" t="s">
        <v>2826</v>
      </c>
      <c r="AA1058" s="424" t="s">
        <v>2827</v>
      </c>
      <c r="AB1058" s="424" t="s">
        <v>5618</v>
      </c>
      <c r="AC1058" s="424" t="s">
        <v>1953</v>
      </c>
      <c r="AD1058" s="424" t="s">
        <v>2829</v>
      </c>
      <c r="AE1058" s="424" t="s">
        <v>5619</v>
      </c>
      <c r="AF1058" s="424"/>
      <c r="AG1058" s="424"/>
      <c r="AH1058" s="424"/>
    </row>
    <row r="1059" spans="1:34" x14ac:dyDescent="0.25">
      <c r="A1059" s="423" t="s">
        <v>5614</v>
      </c>
      <c r="B1059" s="423" t="s">
        <v>5620</v>
      </c>
      <c r="C1059" s="423" t="s">
        <v>1187</v>
      </c>
      <c r="D1059" s="423" t="s">
        <v>5563</v>
      </c>
      <c r="E1059" s="423" t="s">
        <v>2818</v>
      </c>
      <c r="F1059" s="423">
        <v>56</v>
      </c>
      <c r="G1059" s="423">
        <v>190</v>
      </c>
      <c r="H1059" s="423">
        <v>1500</v>
      </c>
      <c r="J1059" s="423"/>
      <c r="K1059" s="423"/>
      <c r="L1059" s="423"/>
      <c r="M1059" s="423"/>
      <c r="Q1059" s="423"/>
      <c r="R1059" s="424" t="s">
        <v>5621</v>
      </c>
      <c r="S1059" s="424" t="s">
        <v>2820</v>
      </c>
      <c r="T1059" s="424" t="s">
        <v>2821</v>
      </c>
      <c r="U1059" s="424">
        <v>0</v>
      </c>
      <c r="V1059" s="424" t="s">
        <v>5617</v>
      </c>
      <c r="W1059" s="424" t="s">
        <v>5617</v>
      </c>
      <c r="X1059" s="424" t="s">
        <v>2224</v>
      </c>
      <c r="Y1059" s="424" t="s">
        <v>2279</v>
      </c>
      <c r="Z1059" s="424" t="s">
        <v>2826</v>
      </c>
      <c r="AA1059" s="424" t="s">
        <v>2827</v>
      </c>
      <c r="AB1059" s="424" t="s">
        <v>5622</v>
      </c>
      <c r="AC1059" s="424" t="s">
        <v>1953</v>
      </c>
      <c r="AD1059" s="424" t="s">
        <v>2829</v>
      </c>
      <c r="AE1059" s="424" t="s">
        <v>5619</v>
      </c>
      <c r="AF1059" s="424"/>
      <c r="AG1059" s="424"/>
      <c r="AH1059" s="424"/>
    </row>
    <row r="1060" spans="1:34" x14ac:dyDescent="0.25">
      <c r="A1060" s="423" t="s">
        <v>5623</v>
      </c>
      <c r="B1060" s="423" t="s">
        <v>5624</v>
      </c>
      <c r="C1060" s="423" t="s">
        <v>1187</v>
      </c>
      <c r="D1060" s="423" t="s">
        <v>5563</v>
      </c>
      <c r="E1060" s="423" t="s">
        <v>2818</v>
      </c>
      <c r="F1060" s="423">
        <v>16</v>
      </c>
      <c r="G1060" s="423">
        <v>32</v>
      </c>
      <c r="H1060" s="423">
        <v>100</v>
      </c>
      <c r="J1060" s="423"/>
      <c r="K1060" s="423"/>
      <c r="L1060" s="423"/>
      <c r="M1060" s="423"/>
      <c r="Q1060" s="423"/>
      <c r="R1060" s="424" t="s">
        <v>5624</v>
      </c>
      <c r="S1060" s="424" t="s">
        <v>2846</v>
      </c>
      <c r="T1060" s="424" t="s">
        <v>3268</v>
      </c>
      <c r="U1060" s="424">
        <v>0</v>
      </c>
      <c r="V1060" s="424" t="s">
        <v>3269</v>
      </c>
      <c r="W1060" s="424" t="s">
        <v>3176</v>
      </c>
      <c r="X1060" s="424" t="s">
        <v>2825</v>
      </c>
      <c r="Y1060" s="424" t="s">
        <v>2279</v>
      </c>
      <c r="Z1060" s="424" t="s">
        <v>3260</v>
      </c>
      <c r="AA1060" s="424" t="s">
        <v>3197</v>
      </c>
      <c r="AB1060" s="424" t="s">
        <v>5625</v>
      </c>
      <c r="AC1060" s="424" t="s">
        <v>1953</v>
      </c>
      <c r="AD1060" s="424" t="s">
        <v>2851</v>
      </c>
      <c r="AE1060" s="424" t="s">
        <v>3674</v>
      </c>
      <c r="AF1060" s="424"/>
      <c r="AG1060" s="424"/>
      <c r="AH1060" s="424"/>
    </row>
    <row r="1061" spans="1:34" x14ac:dyDescent="0.25">
      <c r="A1061" s="423" t="s">
        <v>5626</v>
      </c>
      <c r="B1061" s="423" t="s">
        <v>5627</v>
      </c>
      <c r="C1061" s="423" t="s">
        <v>1187</v>
      </c>
      <c r="D1061" s="423" t="s">
        <v>5563</v>
      </c>
      <c r="E1061" s="423" t="s">
        <v>2818</v>
      </c>
      <c r="F1061" s="423">
        <v>4</v>
      </c>
      <c r="G1061" s="423">
        <v>8</v>
      </c>
      <c r="H1061" s="423">
        <v>100</v>
      </c>
      <c r="J1061" s="423"/>
      <c r="K1061" s="423"/>
      <c r="L1061" s="423"/>
      <c r="M1061" s="423"/>
      <c r="Q1061" s="423"/>
      <c r="R1061" s="424" t="s">
        <v>5627</v>
      </c>
      <c r="S1061" s="424" t="s">
        <v>2846</v>
      </c>
      <c r="T1061" s="424" t="s">
        <v>5628</v>
      </c>
      <c r="U1061" s="424">
        <v>0</v>
      </c>
      <c r="V1061" s="424" t="s">
        <v>3269</v>
      </c>
      <c r="W1061" s="424" t="s">
        <v>3176</v>
      </c>
      <c r="X1061" s="424" t="s">
        <v>2825</v>
      </c>
      <c r="Y1061" s="424" t="s">
        <v>2279</v>
      </c>
      <c r="Z1061" s="424" t="s">
        <v>3260</v>
      </c>
      <c r="AA1061" s="424" t="s">
        <v>3197</v>
      </c>
      <c r="AB1061" s="424" t="s">
        <v>3533</v>
      </c>
      <c r="AC1061" s="424" t="s">
        <v>1953</v>
      </c>
      <c r="AD1061" s="424" t="s">
        <v>2851</v>
      </c>
      <c r="AE1061" s="424" t="s">
        <v>3293</v>
      </c>
      <c r="AF1061" s="424"/>
      <c r="AG1061" s="424"/>
      <c r="AH1061" s="424"/>
    </row>
    <row r="1062" spans="1:34" x14ac:dyDescent="0.25">
      <c r="A1062" s="423" t="s">
        <v>5626</v>
      </c>
      <c r="B1062" s="423" t="s">
        <v>5629</v>
      </c>
      <c r="C1062" s="423" t="s">
        <v>1187</v>
      </c>
      <c r="D1062" s="423" t="s">
        <v>5563</v>
      </c>
      <c r="E1062" s="423" t="s">
        <v>2818</v>
      </c>
      <c r="F1062" s="423">
        <v>16</v>
      </c>
      <c r="G1062" s="423">
        <v>24</v>
      </c>
      <c r="H1062" s="423">
        <v>200</v>
      </c>
      <c r="J1062" s="423"/>
      <c r="K1062" s="423"/>
      <c r="L1062" s="423"/>
      <c r="M1062" s="423"/>
      <c r="Q1062" s="423"/>
      <c r="R1062" s="424" t="s">
        <v>5629</v>
      </c>
      <c r="S1062" s="424" t="s">
        <v>2846</v>
      </c>
      <c r="T1062" s="424" t="s">
        <v>3268</v>
      </c>
      <c r="U1062" s="424">
        <v>0</v>
      </c>
      <c r="V1062" s="424" t="s">
        <v>3269</v>
      </c>
      <c r="W1062" s="424" t="s">
        <v>3176</v>
      </c>
      <c r="X1062" s="424" t="s">
        <v>2825</v>
      </c>
      <c r="Y1062" s="424" t="s">
        <v>2279</v>
      </c>
      <c r="Z1062" s="424" t="s">
        <v>3260</v>
      </c>
      <c r="AA1062" s="424" t="s">
        <v>3197</v>
      </c>
      <c r="AB1062" s="424" t="s">
        <v>5319</v>
      </c>
      <c r="AC1062" s="424" t="s">
        <v>1953</v>
      </c>
      <c r="AD1062" s="424" t="s">
        <v>2851</v>
      </c>
      <c r="AE1062" s="424" t="s">
        <v>3317</v>
      </c>
      <c r="AF1062" s="424"/>
      <c r="AG1062" s="424"/>
      <c r="AH1062" s="424"/>
    </row>
    <row r="1063" spans="1:34" x14ac:dyDescent="0.25">
      <c r="A1063" s="423" t="s">
        <v>5626</v>
      </c>
      <c r="B1063" s="423" t="s">
        <v>5630</v>
      </c>
      <c r="C1063" s="423" t="s">
        <v>1187</v>
      </c>
      <c r="D1063" s="423" t="s">
        <v>5563</v>
      </c>
      <c r="E1063" s="423" t="s">
        <v>2818</v>
      </c>
      <c r="F1063" s="423">
        <v>16</v>
      </c>
      <c r="G1063" s="423">
        <v>24</v>
      </c>
      <c r="H1063" s="423">
        <v>200</v>
      </c>
      <c r="J1063" s="423"/>
      <c r="K1063" s="423"/>
      <c r="L1063" s="423"/>
      <c r="M1063" s="423"/>
      <c r="Q1063" s="423"/>
      <c r="R1063" s="424" t="s">
        <v>5630</v>
      </c>
      <c r="S1063" s="424" t="s">
        <v>2846</v>
      </c>
      <c r="T1063" s="424" t="s">
        <v>3268</v>
      </c>
      <c r="U1063" s="424">
        <v>0</v>
      </c>
      <c r="V1063" s="424" t="s">
        <v>3269</v>
      </c>
      <c r="W1063" s="424" t="s">
        <v>3176</v>
      </c>
      <c r="X1063" s="424" t="s">
        <v>2825</v>
      </c>
      <c r="Y1063" s="424" t="s">
        <v>2279</v>
      </c>
      <c r="Z1063" s="424" t="s">
        <v>3260</v>
      </c>
      <c r="AA1063" s="424" t="s">
        <v>3197</v>
      </c>
      <c r="AB1063" s="424" t="s">
        <v>4420</v>
      </c>
      <c r="AC1063" s="424" t="s">
        <v>1953</v>
      </c>
      <c r="AD1063" s="424" t="s">
        <v>2851</v>
      </c>
      <c r="AE1063" s="424" t="s">
        <v>3674</v>
      </c>
      <c r="AF1063" s="424"/>
      <c r="AG1063" s="424"/>
      <c r="AH1063" s="424"/>
    </row>
    <row r="1064" spans="1:34" x14ac:dyDescent="0.25">
      <c r="A1064" s="423" t="s">
        <v>5626</v>
      </c>
      <c r="B1064" s="423" t="s">
        <v>5631</v>
      </c>
      <c r="C1064" s="423" t="s">
        <v>1187</v>
      </c>
      <c r="D1064" s="423" t="s">
        <v>5563</v>
      </c>
      <c r="E1064" s="423" t="s">
        <v>2818</v>
      </c>
      <c r="F1064" s="423">
        <v>16</v>
      </c>
      <c r="G1064" s="423">
        <v>24</v>
      </c>
      <c r="H1064" s="423">
        <v>200</v>
      </c>
      <c r="J1064" s="423"/>
      <c r="K1064" s="423"/>
      <c r="L1064" s="423"/>
      <c r="M1064" s="423"/>
      <c r="Q1064" s="423"/>
      <c r="R1064" s="424" t="s">
        <v>5631</v>
      </c>
      <c r="S1064" s="424" t="s">
        <v>2846</v>
      </c>
      <c r="T1064" s="424" t="s">
        <v>5632</v>
      </c>
      <c r="U1064" s="424">
        <v>0</v>
      </c>
      <c r="V1064" s="424" t="s">
        <v>3269</v>
      </c>
      <c r="W1064" s="424" t="s">
        <v>3176</v>
      </c>
      <c r="X1064" s="424" t="s">
        <v>2825</v>
      </c>
      <c r="Y1064" s="424" t="s">
        <v>2279</v>
      </c>
      <c r="Z1064" s="424" t="s">
        <v>3260</v>
      </c>
      <c r="AA1064" s="424" t="s">
        <v>3197</v>
      </c>
      <c r="AB1064" s="424" t="s">
        <v>3836</v>
      </c>
      <c r="AC1064" s="424" t="s">
        <v>1953</v>
      </c>
      <c r="AD1064" s="424" t="s">
        <v>2851</v>
      </c>
      <c r="AE1064" s="424" t="s">
        <v>3293</v>
      </c>
      <c r="AF1064" s="424"/>
      <c r="AG1064" s="424"/>
      <c r="AH1064" s="424"/>
    </row>
    <row r="1065" spans="1:34" x14ac:dyDescent="0.25">
      <c r="A1065" s="423" t="s">
        <v>5626</v>
      </c>
      <c r="B1065" s="423" t="s">
        <v>5633</v>
      </c>
      <c r="C1065" s="423" t="s">
        <v>1187</v>
      </c>
      <c r="D1065" s="423" t="s">
        <v>5563</v>
      </c>
      <c r="E1065" s="423" t="s">
        <v>2818</v>
      </c>
      <c r="F1065" s="423">
        <v>16</v>
      </c>
      <c r="G1065" s="423">
        <v>24</v>
      </c>
      <c r="H1065" s="423">
        <v>200</v>
      </c>
      <c r="J1065" s="423"/>
      <c r="K1065" s="423"/>
      <c r="L1065" s="423"/>
      <c r="M1065" s="423"/>
      <c r="Q1065" s="423"/>
      <c r="R1065" s="424" t="s">
        <v>5633</v>
      </c>
      <c r="S1065" s="424" t="s">
        <v>2846</v>
      </c>
      <c r="T1065" s="424" t="s">
        <v>3268</v>
      </c>
      <c r="U1065" s="424">
        <v>0</v>
      </c>
      <c r="V1065" s="424" t="s">
        <v>3269</v>
      </c>
      <c r="W1065" s="424" t="s">
        <v>3176</v>
      </c>
      <c r="X1065" s="424" t="s">
        <v>2825</v>
      </c>
      <c r="Y1065" s="424" t="s">
        <v>2279</v>
      </c>
      <c r="Z1065" s="424" t="s">
        <v>3260</v>
      </c>
      <c r="AA1065" s="424" t="s">
        <v>3197</v>
      </c>
      <c r="AB1065" s="424" t="s">
        <v>3673</v>
      </c>
      <c r="AC1065" s="424" t="s">
        <v>1953</v>
      </c>
      <c r="AD1065" s="424" t="s">
        <v>2851</v>
      </c>
      <c r="AE1065" s="424" t="s">
        <v>3674</v>
      </c>
      <c r="AF1065" s="424"/>
      <c r="AG1065" s="424"/>
      <c r="AH1065" s="424"/>
    </row>
    <row r="1066" spans="1:34" x14ac:dyDescent="0.25">
      <c r="A1066" s="423" t="s">
        <v>5626</v>
      </c>
      <c r="B1066" s="423" t="s">
        <v>5634</v>
      </c>
      <c r="C1066" s="423" t="s">
        <v>1187</v>
      </c>
      <c r="D1066" s="423" t="s">
        <v>5563</v>
      </c>
      <c r="E1066" s="423" t="s">
        <v>2818</v>
      </c>
      <c r="F1066" s="423">
        <v>16</v>
      </c>
      <c r="G1066" s="423">
        <v>24</v>
      </c>
      <c r="H1066" s="423">
        <v>200</v>
      </c>
      <c r="J1066" s="423"/>
      <c r="K1066" s="423"/>
      <c r="L1066" s="423"/>
      <c r="M1066" s="423"/>
      <c r="Q1066" s="423"/>
      <c r="R1066" s="424" t="s">
        <v>5634</v>
      </c>
      <c r="S1066" s="424" t="s">
        <v>2846</v>
      </c>
      <c r="T1066" s="424" t="s">
        <v>3268</v>
      </c>
      <c r="U1066" s="424">
        <v>0</v>
      </c>
      <c r="V1066" s="424" t="s">
        <v>3269</v>
      </c>
      <c r="W1066" s="424" t="s">
        <v>3176</v>
      </c>
      <c r="X1066" s="424" t="s">
        <v>2825</v>
      </c>
      <c r="Y1066" s="424" t="s">
        <v>2279</v>
      </c>
      <c r="Z1066" s="424" t="s">
        <v>3260</v>
      </c>
      <c r="AA1066" s="424" t="s">
        <v>3197</v>
      </c>
      <c r="AB1066" s="424" t="s">
        <v>3571</v>
      </c>
      <c r="AC1066" s="424" t="s">
        <v>1953</v>
      </c>
      <c r="AD1066" s="424" t="s">
        <v>2851</v>
      </c>
      <c r="AE1066" s="424" t="s">
        <v>3324</v>
      </c>
      <c r="AF1066" s="424"/>
      <c r="AG1066" s="424"/>
      <c r="AH1066" s="424"/>
    </row>
    <row r="1067" spans="1:34" x14ac:dyDescent="0.25">
      <c r="A1067" s="423" t="s">
        <v>5626</v>
      </c>
      <c r="B1067" s="423" t="s">
        <v>5635</v>
      </c>
      <c r="C1067" s="423" t="s">
        <v>1187</v>
      </c>
      <c r="D1067" s="423" t="s">
        <v>5563</v>
      </c>
      <c r="E1067" s="423" t="s">
        <v>2818</v>
      </c>
      <c r="F1067" s="423">
        <v>32</v>
      </c>
      <c r="G1067" s="423">
        <v>32</v>
      </c>
      <c r="H1067" s="423">
        <v>100</v>
      </c>
      <c r="J1067" s="423"/>
      <c r="K1067" s="423"/>
      <c r="L1067" s="423"/>
      <c r="M1067" s="423"/>
      <c r="Q1067" s="423"/>
      <c r="R1067" s="424" t="s">
        <v>5635</v>
      </c>
      <c r="S1067" s="424" t="s">
        <v>2846</v>
      </c>
      <c r="T1067" s="424" t="s">
        <v>2847</v>
      </c>
      <c r="U1067" s="424">
        <v>0</v>
      </c>
      <c r="V1067" s="424" t="s">
        <v>2973</v>
      </c>
      <c r="W1067" s="424" t="s">
        <v>3074</v>
      </c>
      <c r="X1067" s="424" t="s">
        <v>2825</v>
      </c>
      <c r="Y1067" s="424" t="s">
        <v>2279</v>
      </c>
      <c r="Z1067" s="424" t="s">
        <v>3260</v>
      </c>
      <c r="AA1067" s="424" t="s">
        <v>3197</v>
      </c>
      <c r="AB1067" s="424" t="s">
        <v>3867</v>
      </c>
      <c r="AC1067" s="424" t="s">
        <v>1953</v>
      </c>
      <c r="AD1067" s="424" t="s">
        <v>2851</v>
      </c>
      <c r="AE1067" s="424" t="s">
        <v>3481</v>
      </c>
      <c r="AF1067" s="424"/>
      <c r="AG1067" s="424"/>
      <c r="AH1067" s="424"/>
    </row>
    <row r="1068" spans="1:34" x14ac:dyDescent="0.25">
      <c r="A1068" s="423" t="s">
        <v>5626</v>
      </c>
      <c r="B1068" s="423" t="s">
        <v>5636</v>
      </c>
      <c r="C1068" s="423" t="s">
        <v>1187</v>
      </c>
      <c r="D1068" s="423" t="s">
        <v>5563</v>
      </c>
      <c r="E1068" s="423" t="s">
        <v>2818</v>
      </c>
      <c r="F1068" s="423">
        <v>16</v>
      </c>
      <c r="G1068" s="423">
        <v>32</v>
      </c>
      <c r="H1068" s="423">
        <v>100</v>
      </c>
      <c r="J1068" s="423"/>
      <c r="K1068" s="423"/>
      <c r="L1068" s="423"/>
      <c r="M1068" s="423"/>
      <c r="Q1068" s="423"/>
      <c r="R1068" s="424" t="s">
        <v>5636</v>
      </c>
      <c r="S1068" s="424" t="s">
        <v>2846</v>
      </c>
      <c r="T1068" s="424" t="s">
        <v>2847</v>
      </c>
      <c r="U1068" s="424">
        <v>0</v>
      </c>
      <c r="V1068" s="424" t="s">
        <v>2973</v>
      </c>
      <c r="W1068" s="424" t="s">
        <v>3074</v>
      </c>
      <c r="X1068" s="424" t="s">
        <v>2825</v>
      </c>
      <c r="Y1068" s="424" t="s">
        <v>2279</v>
      </c>
      <c r="Z1068" s="424" t="s">
        <v>2848</v>
      </c>
      <c r="AA1068" s="424" t="s">
        <v>2849</v>
      </c>
      <c r="AB1068" s="424" t="s">
        <v>3458</v>
      </c>
      <c r="AC1068" s="424" t="s">
        <v>1953</v>
      </c>
      <c r="AD1068" s="424" t="s">
        <v>2851</v>
      </c>
      <c r="AE1068" s="424" t="s">
        <v>2861</v>
      </c>
      <c r="AF1068" s="424"/>
      <c r="AG1068" s="424"/>
      <c r="AH1068" s="424"/>
    </row>
    <row r="1069" spans="1:34" x14ac:dyDescent="0.25">
      <c r="A1069" s="423" t="s">
        <v>5626</v>
      </c>
      <c r="B1069" s="423" t="s">
        <v>5637</v>
      </c>
      <c r="C1069" s="423" t="s">
        <v>1187</v>
      </c>
      <c r="D1069" s="423" t="s">
        <v>5563</v>
      </c>
      <c r="E1069" s="423" t="s">
        <v>2818</v>
      </c>
      <c r="F1069" s="423">
        <v>16</v>
      </c>
      <c r="G1069" s="423">
        <v>24</v>
      </c>
      <c r="H1069" s="423">
        <v>100</v>
      </c>
      <c r="J1069" s="423"/>
      <c r="K1069" s="423"/>
      <c r="L1069" s="423"/>
      <c r="M1069" s="423"/>
      <c r="Q1069" s="423"/>
      <c r="R1069" s="424" t="s">
        <v>5637</v>
      </c>
      <c r="S1069" s="424" t="s">
        <v>2846</v>
      </c>
      <c r="T1069" s="424" t="s">
        <v>3268</v>
      </c>
      <c r="U1069" s="424">
        <v>0</v>
      </c>
      <c r="V1069" s="424" t="s">
        <v>3269</v>
      </c>
      <c r="W1069" s="424" t="s">
        <v>3176</v>
      </c>
      <c r="X1069" s="424" t="s">
        <v>2825</v>
      </c>
      <c r="Y1069" s="424" t="s">
        <v>2279</v>
      </c>
      <c r="Z1069" s="424" t="s">
        <v>3260</v>
      </c>
      <c r="AA1069" s="424" t="s">
        <v>3197</v>
      </c>
      <c r="AB1069" s="424" t="s">
        <v>5638</v>
      </c>
      <c r="AC1069" s="424" t="s">
        <v>1953</v>
      </c>
      <c r="AD1069" s="424" t="s">
        <v>2851</v>
      </c>
      <c r="AE1069" s="424" t="s">
        <v>3550</v>
      </c>
      <c r="AF1069" s="424"/>
      <c r="AG1069" s="424"/>
      <c r="AH1069" s="424"/>
    </row>
    <row r="1070" spans="1:34" x14ac:dyDescent="0.25">
      <c r="A1070" s="423" t="s">
        <v>5626</v>
      </c>
      <c r="B1070" s="423" t="s">
        <v>5639</v>
      </c>
      <c r="C1070" s="423" t="s">
        <v>1187</v>
      </c>
      <c r="D1070" s="423" t="s">
        <v>5563</v>
      </c>
      <c r="E1070" s="423" t="s">
        <v>2818</v>
      </c>
      <c r="F1070" s="423">
        <v>16</v>
      </c>
      <c r="G1070" s="423">
        <v>24</v>
      </c>
      <c r="H1070" s="423">
        <v>100</v>
      </c>
      <c r="J1070" s="423"/>
      <c r="K1070" s="423"/>
      <c r="L1070" s="423"/>
      <c r="M1070" s="423"/>
      <c r="Q1070" s="423"/>
      <c r="R1070" s="424" t="s">
        <v>5639</v>
      </c>
      <c r="S1070" s="424" t="s">
        <v>2846</v>
      </c>
      <c r="T1070" s="424" t="s">
        <v>3268</v>
      </c>
      <c r="U1070" s="424">
        <v>0</v>
      </c>
      <c r="V1070" s="424" t="s">
        <v>3269</v>
      </c>
      <c r="W1070" s="424" t="s">
        <v>3055</v>
      </c>
      <c r="X1070" s="424" t="s">
        <v>2825</v>
      </c>
      <c r="Y1070" s="424" t="s">
        <v>2279</v>
      </c>
      <c r="Z1070" s="424" t="s">
        <v>2848</v>
      </c>
      <c r="AA1070" s="424" t="s">
        <v>2855</v>
      </c>
      <c r="AB1070" s="424" t="s">
        <v>5640</v>
      </c>
      <c r="AC1070" s="424" t="s">
        <v>1953</v>
      </c>
      <c r="AD1070" s="424" t="s">
        <v>2851</v>
      </c>
      <c r="AE1070" s="424" t="s">
        <v>2857</v>
      </c>
      <c r="AF1070" s="424"/>
      <c r="AG1070" s="424"/>
      <c r="AH1070" s="424"/>
    </row>
    <row r="1071" spans="1:34" x14ac:dyDescent="0.25">
      <c r="A1071" s="423" t="s">
        <v>5626</v>
      </c>
      <c r="B1071" s="423" t="s">
        <v>5641</v>
      </c>
      <c r="C1071" s="423" t="s">
        <v>1187</v>
      </c>
      <c r="D1071" s="423" t="s">
        <v>5563</v>
      </c>
      <c r="E1071" s="423" t="s">
        <v>2818</v>
      </c>
      <c r="F1071" s="423">
        <v>16</v>
      </c>
      <c r="G1071" s="423">
        <v>24</v>
      </c>
      <c r="H1071" s="423">
        <v>100</v>
      </c>
      <c r="J1071" s="423"/>
      <c r="K1071" s="423"/>
      <c r="L1071" s="423"/>
      <c r="M1071" s="423"/>
      <c r="Q1071" s="423"/>
      <c r="R1071" s="424" t="s">
        <v>5641</v>
      </c>
      <c r="S1071" s="424" t="s">
        <v>2846</v>
      </c>
      <c r="T1071" s="424" t="s">
        <v>3268</v>
      </c>
      <c r="U1071" s="424">
        <v>0</v>
      </c>
      <c r="V1071" s="424" t="s">
        <v>3269</v>
      </c>
      <c r="W1071" s="424" t="s">
        <v>3176</v>
      </c>
      <c r="X1071" s="424" t="s">
        <v>2825</v>
      </c>
      <c r="Y1071" s="424" t="s">
        <v>2279</v>
      </c>
      <c r="Z1071" s="424" t="s">
        <v>3260</v>
      </c>
      <c r="AA1071" s="424" t="s">
        <v>3197</v>
      </c>
      <c r="AB1071" s="424" t="s">
        <v>5642</v>
      </c>
      <c r="AC1071" s="424" t="s">
        <v>1953</v>
      </c>
      <c r="AD1071" s="424" t="s">
        <v>2851</v>
      </c>
      <c r="AE1071" s="424" t="s">
        <v>3674</v>
      </c>
      <c r="AF1071" s="424"/>
      <c r="AG1071" s="424"/>
      <c r="AH1071" s="424"/>
    </row>
    <row r="1072" spans="1:34" x14ac:dyDescent="0.25">
      <c r="A1072" s="423" t="s">
        <v>5626</v>
      </c>
      <c r="B1072" s="423" t="s">
        <v>5643</v>
      </c>
      <c r="C1072" s="423" t="s">
        <v>1187</v>
      </c>
      <c r="D1072" s="423" t="s">
        <v>5563</v>
      </c>
      <c r="E1072" s="423" t="s">
        <v>2818</v>
      </c>
      <c r="F1072" s="423">
        <v>16</v>
      </c>
      <c r="G1072" s="423">
        <v>24</v>
      </c>
      <c r="H1072" s="423">
        <v>100</v>
      </c>
      <c r="J1072" s="423"/>
      <c r="K1072" s="423"/>
      <c r="L1072" s="423"/>
      <c r="M1072" s="423"/>
      <c r="Q1072" s="423"/>
      <c r="R1072" s="424" t="s">
        <v>5643</v>
      </c>
      <c r="S1072" s="424" t="s">
        <v>2846</v>
      </c>
      <c r="T1072" s="424" t="s">
        <v>3268</v>
      </c>
      <c r="U1072" s="424">
        <v>0</v>
      </c>
      <c r="V1072" s="424" t="s">
        <v>3269</v>
      </c>
      <c r="W1072" s="424" t="s">
        <v>3176</v>
      </c>
      <c r="X1072" s="424" t="s">
        <v>2825</v>
      </c>
      <c r="Y1072" s="424" t="s">
        <v>2279</v>
      </c>
      <c r="Z1072" s="424" t="s">
        <v>3260</v>
      </c>
      <c r="AA1072" s="424" t="s">
        <v>3197</v>
      </c>
      <c r="AB1072" s="424" t="s">
        <v>5625</v>
      </c>
      <c r="AC1072" s="424" t="s">
        <v>1953</v>
      </c>
      <c r="AD1072" s="424" t="s">
        <v>2851</v>
      </c>
      <c r="AE1072" s="424" t="s">
        <v>3674</v>
      </c>
      <c r="AF1072" s="424"/>
      <c r="AG1072" s="424"/>
      <c r="AH1072" s="424"/>
    </row>
    <row r="1073" spans="1:34" x14ac:dyDescent="0.25">
      <c r="A1073" s="423" t="s">
        <v>5626</v>
      </c>
      <c r="B1073" s="423" t="s">
        <v>5644</v>
      </c>
      <c r="C1073" s="423" t="s">
        <v>1187</v>
      </c>
      <c r="D1073" s="423" t="s">
        <v>5563</v>
      </c>
      <c r="E1073" s="423" t="s">
        <v>2818</v>
      </c>
      <c r="F1073" s="423">
        <v>16</v>
      </c>
      <c r="G1073" s="423">
        <v>24</v>
      </c>
      <c r="H1073" s="423">
        <v>100</v>
      </c>
      <c r="J1073" s="423"/>
      <c r="K1073" s="423"/>
      <c r="L1073" s="423"/>
      <c r="M1073" s="423"/>
      <c r="Q1073" s="423"/>
      <c r="R1073" s="424" t="s">
        <v>5644</v>
      </c>
      <c r="S1073" s="424" t="s">
        <v>2846</v>
      </c>
      <c r="T1073" s="424" t="s">
        <v>3268</v>
      </c>
      <c r="U1073" s="424">
        <v>0</v>
      </c>
      <c r="V1073" s="424" t="s">
        <v>3269</v>
      </c>
      <c r="W1073" s="424" t="s">
        <v>3074</v>
      </c>
      <c r="X1073" s="424" t="s">
        <v>2825</v>
      </c>
      <c r="Y1073" s="424" t="s">
        <v>2279</v>
      </c>
      <c r="Z1073" s="424" t="s">
        <v>3260</v>
      </c>
      <c r="AA1073" s="424" t="s">
        <v>3197</v>
      </c>
      <c r="AB1073" s="424" t="s">
        <v>3480</v>
      </c>
      <c r="AC1073" s="424" t="s">
        <v>1953</v>
      </c>
      <c r="AD1073" s="424" t="s">
        <v>2851</v>
      </c>
      <c r="AE1073" s="424" t="s">
        <v>3481</v>
      </c>
      <c r="AF1073" s="424"/>
      <c r="AG1073" s="424"/>
      <c r="AH1073" s="424"/>
    </row>
    <row r="1074" spans="1:34" x14ac:dyDescent="0.25">
      <c r="A1074" s="423" t="s">
        <v>5626</v>
      </c>
      <c r="B1074" s="423" t="s">
        <v>5624</v>
      </c>
      <c r="C1074" s="423" t="s">
        <v>1187</v>
      </c>
      <c r="D1074" s="423" t="s">
        <v>5563</v>
      </c>
      <c r="E1074" s="423" t="s">
        <v>2818</v>
      </c>
      <c r="F1074" s="423">
        <v>16</v>
      </c>
      <c r="G1074" s="423">
        <v>32</v>
      </c>
      <c r="H1074" s="423">
        <v>100</v>
      </c>
      <c r="J1074" s="423"/>
      <c r="K1074" s="423"/>
      <c r="L1074" s="423"/>
      <c r="M1074" s="423"/>
      <c r="Q1074" s="423"/>
      <c r="R1074" s="424" t="s">
        <v>5624</v>
      </c>
      <c r="S1074" s="424" t="s">
        <v>2846</v>
      </c>
      <c r="T1074" s="424" t="s">
        <v>3268</v>
      </c>
      <c r="U1074" s="424">
        <v>0</v>
      </c>
      <c r="V1074" s="424" t="s">
        <v>3269</v>
      </c>
      <c r="W1074" s="424" t="s">
        <v>3176</v>
      </c>
      <c r="X1074" s="424" t="s">
        <v>2825</v>
      </c>
      <c r="Y1074" s="424" t="s">
        <v>2279</v>
      </c>
      <c r="Z1074" s="424" t="s">
        <v>3260</v>
      </c>
      <c r="AA1074" s="424" t="s">
        <v>3197</v>
      </c>
      <c r="AB1074" s="424" t="s">
        <v>5625</v>
      </c>
      <c r="AC1074" s="424" t="s">
        <v>1953</v>
      </c>
      <c r="AD1074" s="424" t="s">
        <v>2851</v>
      </c>
      <c r="AE1074" s="424" t="s">
        <v>3674</v>
      </c>
      <c r="AF1074" s="424"/>
      <c r="AG1074" s="424"/>
      <c r="AH1074" s="424"/>
    </row>
    <row r="1075" spans="1:34" x14ac:dyDescent="0.25">
      <c r="A1075" s="423" t="s">
        <v>5626</v>
      </c>
      <c r="B1075" s="423" t="s">
        <v>5645</v>
      </c>
      <c r="C1075" s="423" t="s">
        <v>1187</v>
      </c>
      <c r="D1075" s="423" t="s">
        <v>5563</v>
      </c>
      <c r="E1075" s="423" t="s">
        <v>2818</v>
      </c>
      <c r="F1075" s="423">
        <v>24</v>
      </c>
      <c r="G1075" s="423">
        <v>64</v>
      </c>
      <c r="H1075" s="423">
        <v>1200</v>
      </c>
      <c r="J1075" s="423"/>
      <c r="K1075" s="423"/>
      <c r="L1075" s="423"/>
      <c r="M1075" s="423"/>
      <c r="Q1075" s="423"/>
      <c r="R1075" s="424" t="s">
        <v>5646</v>
      </c>
      <c r="S1075" s="424" t="s">
        <v>2846</v>
      </c>
      <c r="T1075" s="424" t="s">
        <v>3152</v>
      </c>
      <c r="U1075" s="424">
        <v>0</v>
      </c>
      <c r="V1075" s="424" t="s">
        <v>2824</v>
      </c>
      <c r="W1075" s="424" t="s">
        <v>3054</v>
      </c>
      <c r="X1075" s="424" t="s">
        <v>2825</v>
      </c>
      <c r="Y1075" s="424" t="s">
        <v>2279</v>
      </c>
      <c r="Z1075" s="424" t="s">
        <v>2848</v>
      </c>
      <c r="AA1075" s="424" t="s">
        <v>3927</v>
      </c>
      <c r="AB1075" s="424" t="s">
        <v>4755</v>
      </c>
      <c r="AC1075" s="424" t="s">
        <v>1953</v>
      </c>
      <c r="AD1075" s="424" t="s">
        <v>2851</v>
      </c>
      <c r="AE1075" s="424" t="s">
        <v>3719</v>
      </c>
      <c r="AF1075" s="424"/>
      <c r="AG1075" s="424"/>
      <c r="AH1075" s="424"/>
    </row>
    <row r="1076" spans="1:34" x14ac:dyDescent="0.25">
      <c r="A1076" s="423" t="s">
        <v>5626</v>
      </c>
      <c r="B1076" s="423" t="s">
        <v>5647</v>
      </c>
      <c r="C1076" s="423" t="s">
        <v>1187</v>
      </c>
      <c r="D1076" s="423" t="s">
        <v>5563</v>
      </c>
      <c r="E1076" s="423" t="s">
        <v>2818</v>
      </c>
      <c r="F1076" s="423">
        <v>6</v>
      </c>
      <c r="G1076" s="423">
        <v>8</v>
      </c>
      <c r="H1076" s="423">
        <v>100</v>
      </c>
      <c r="J1076" s="423"/>
      <c r="K1076" s="423"/>
      <c r="L1076" s="423"/>
      <c r="M1076" s="423"/>
      <c r="Q1076" s="423"/>
      <c r="R1076" s="424" t="s">
        <v>5647</v>
      </c>
      <c r="S1076" s="424" t="s">
        <v>2846</v>
      </c>
      <c r="T1076" s="424" t="s">
        <v>2847</v>
      </c>
      <c r="U1076" s="424">
        <v>0</v>
      </c>
      <c r="V1076" s="424" t="s">
        <v>3269</v>
      </c>
      <c r="W1076" s="424" t="s">
        <v>3074</v>
      </c>
      <c r="X1076" s="424" t="s">
        <v>2825</v>
      </c>
      <c r="Y1076" s="424" t="s">
        <v>2279</v>
      </c>
      <c r="Z1076" s="424" t="s">
        <v>2848</v>
      </c>
      <c r="AA1076" s="424" t="s">
        <v>2849</v>
      </c>
      <c r="AB1076" s="424" t="s">
        <v>5648</v>
      </c>
      <c r="AC1076" s="424" t="s">
        <v>1953</v>
      </c>
      <c r="AD1076" s="424" t="s">
        <v>2851</v>
      </c>
      <c r="AE1076" s="424" t="s">
        <v>2861</v>
      </c>
      <c r="AF1076" s="424"/>
      <c r="AG1076" s="424"/>
      <c r="AH1076" s="424"/>
    </row>
    <row r="1077" spans="1:34" x14ac:dyDescent="0.25">
      <c r="A1077" s="423" t="s">
        <v>5626</v>
      </c>
      <c r="B1077" s="423" t="s">
        <v>5649</v>
      </c>
      <c r="C1077" s="423" t="s">
        <v>1187</v>
      </c>
      <c r="D1077" s="423" t="s">
        <v>5563</v>
      </c>
      <c r="E1077" s="423" t="s">
        <v>2818</v>
      </c>
      <c r="F1077" s="423">
        <v>8</v>
      </c>
      <c r="G1077" s="423">
        <v>12</v>
      </c>
      <c r="H1077" s="423">
        <v>50</v>
      </c>
      <c r="J1077" s="423"/>
      <c r="K1077" s="423"/>
      <c r="L1077" s="423"/>
      <c r="M1077" s="423"/>
      <c r="Q1077" s="423"/>
      <c r="R1077" s="424" t="s">
        <v>5649</v>
      </c>
      <c r="S1077" s="424" t="s">
        <v>2846</v>
      </c>
      <c r="T1077" s="424" t="s">
        <v>3268</v>
      </c>
      <c r="U1077" s="424">
        <v>0</v>
      </c>
      <c r="V1077" s="424" t="s">
        <v>3269</v>
      </c>
      <c r="W1077" s="424" t="s">
        <v>3176</v>
      </c>
      <c r="X1077" s="424" t="s">
        <v>2825</v>
      </c>
      <c r="Y1077" s="424" t="s">
        <v>2279</v>
      </c>
      <c r="Z1077" s="424" t="s">
        <v>3260</v>
      </c>
      <c r="AA1077" s="424" t="s">
        <v>3274</v>
      </c>
      <c r="AB1077" s="424" t="s">
        <v>3343</v>
      </c>
      <c r="AC1077" s="424" t="s">
        <v>1953</v>
      </c>
      <c r="AD1077" s="424" t="s">
        <v>2851</v>
      </c>
      <c r="AE1077" s="424" t="s">
        <v>3341</v>
      </c>
      <c r="AF1077" s="424"/>
      <c r="AG1077" s="424"/>
      <c r="AH1077" s="424"/>
    </row>
    <row r="1078" spans="1:34" x14ac:dyDescent="0.25">
      <c r="A1078" s="423" t="s">
        <v>5626</v>
      </c>
      <c r="B1078" s="423" t="s">
        <v>5650</v>
      </c>
      <c r="C1078" s="423" t="s">
        <v>1187</v>
      </c>
      <c r="D1078" s="423" t="s">
        <v>5563</v>
      </c>
      <c r="E1078" s="423" t="s">
        <v>2818</v>
      </c>
      <c r="F1078" s="423">
        <v>8</v>
      </c>
      <c r="G1078" s="423">
        <v>32</v>
      </c>
      <c r="H1078" s="423">
        <v>200</v>
      </c>
      <c r="J1078" s="423"/>
      <c r="K1078" s="423"/>
      <c r="L1078" s="423"/>
      <c r="M1078" s="423"/>
      <c r="Q1078" s="423"/>
      <c r="R1078" s="424" t="s">
        <v>5651</v>
      </c>
      <c r="S1078" s="424" t="s">
        <v>2846</v>
      </c>
      <c r="T1078" s="424" t="s">
        <v>2847</v>
      </c>
      <c r="U1078" s="424">
        <v>0</v>
      </c>
      <c r="V1078" s="424" t="s">
        <v>3269</v>
      </c>
      <c r="W1078" s="424" t="s">
        <v>3074</v>
      </c>
      <c r="X1078" s="424" t="s">
        <v>2825</v>
      </c>
      <c r="Y1078" s="424" t="s">
        <v>2279</v>
      </c>
      <c r="Z1078" s="424" t="s">
        <v>2848</v>
      </c>
      <c r="AA1078" s="424" t="s">
        <v>2849</v>
      </c>
      <c r="AB1078" s="424" t="s">
        <v>3458</v>
      </c>
      <c r="AC1078" s="424" t="s">
        <v>1953</v>
      </c>
      <c r="AD1078" s="424" t="s">
        <v>2851</v>
      </c>
      <c r="AE1078" s="424" t="s">
        <v>2861</v>
      </c>
      <c r="AF1078" s="424"/>
      <c r="AG1078" s="424"/>
      <c r="AH1078" s="424"/>
    </row>
    <row r="1079" spans="1:34" x14ac:dyDescent="0.25">
      <c r="A1079" s="423" t="s">
        <v>5626</v>
      </c>
      <c r="B1079" s="423" t="s">
        <v>5652</v>
      </c>
      <c r="C1079" s="423" t="s">
        <v>1187</v>
      </c>
      <c r="D1079" s="423" t="s">
        <v>5563</v>
      </c>
      <c r="E1079" s="423" t="s">
        <v>2818</v>
      </c>
      <c r="F1079" s="423">
        <v>8</v>
      </c>
      <c r="G1079" s="423">
        <v>32</v>
      </c>
      <c r="H1079" s="423">
        <v>200</v>
      </c>
      <c r="J1079" s="423"/>
      <c r="K1079" s="423"/>
      <c r="L1079" s="423"/>
      <c r="M1079" s="423"/>
      <c r="Q1079" s="423"/>
      <c r="R1079" s="424" t="s">
        <v>5652</v>
      </c>
      <c r="S1079" s="424" t="s">
        <v>2846</v>
      </c>
      <c r="T1079" s="424" t="s">
        <v>3268</v>
      </c>
      <c r="U1079" s="424">
        <v>0</v>
      </c>
      <c r="V1079" s="424" t="s">
        <v>3269</v>
      </c>
      <c r="W1079" s="424" t="s">
        <v>2974</v>
      </c>
      <c r="X1079" s="424" t="s">
        <v>2825</v>
      </c>
      <c r="Y1079" s="424" t="s">
        <v>2279</v>
      </c>
      <c r="Z1079" s="424" t="s">
        <v>2848</v>
      </c>
      <c r="AA1079" s="424" t="s">
        <v>2849</v>
      </c>
      <c r="AB1079" s="424" t="s">
        <v>5653</v>
      </c>
      <c r="AC1079" s="424" t="s">
        <v>1953</v>
      </c>
      <c r="AD1079" s="424" t="s">
        <v>2851</v>
      </c>
      <c r="AE1079" s="424" t="s">
        <v>3418</v>
      </c>
      <c r="AF1079" s="424"/>
      <c r="AG1079" s="424"/>
      <c r="AH1079" s="424"/>
    </row>
    <row r="1080" spans="1:34" x14ac:dyDescent="0.25">
      <c r="A1080" s="423" t="s">
        <v>5626</v>
      </c>
      <c r="B1080" s="423" t="s">
        <v>5654</v>
      </c>
      <c r="C1080" s="423" t="s">
        <v>1187</v>
      </c>
      <c r="D1080" s="423" t="s">
        <v>5563</v>
      </c>
      <c r="E1080" s="423" t="s">
        <v>2818</v>
      </c>
      <c r="F1080" s="423">
        <v>8</v>
      </c>
      <c r="G1080" s="423">
        <v>32</v>
      </c>
      <c r="H1080" s="423">
        <v>200</v>
      </c>
      <c r="J1080" s="423"/>
      <c r="K1080" s="423"/>
      <c r="L1080" s="423"/>
      <c r="M1080" s="423"/>
      <c r="Q1080" s="423"/>
      <c r="R1080" s="424" t="s">
        <v>5654</v>
      </c>
      <c r="S1080" s="424" t="s">
        <v>2846</v>
      </c>
      <c r="T1080" s="424" t="s">
        <v>3268</v>
      </c>
      <c r="U1080" s="424">
        <v>0</v>
      </c>
      <c r="V1080" s="424" t="s">
        <v>3269</v>
      </c>
      <c r="W1080" s="424" t="s">
        <v>3176</v>
      </c>
      <c r="X1080" s="424" t="s">
        <v>2825</v>
      </c>
      <c r="Y1080" s="424" t="s">
        <v>2279</v>
      </c>
      <c r="Z1080" s="424" t="s">
        <v>3260</v>
      </c>
      <c r="AA1080" s="424" t="s">
        <v>3274</v>
      </c>
      <c r="AB1080" s="424" t="s">
        <v>5596</v>
      </c>
      <c r="AC1080" s="424" t="s">
        <v>1953</v>
      </c>
      <c r="AD1080" s="424" t="s">
        <v>2851</v>
      </c>
      <c r="AE1080" s="424" t="s">
        <v>3341</v>
      </c>
      <c r="AF1080" s="424"/>
      <c r="AG1080" s="424"/>
      <c r="AH1080" s="424"/>
    </row>
    <row r="1081" spans="1:34" x14ac:dyDescent="0.25">
      <c r="A1081" s="423" t="s">
        <v>5626</v>
      </c>
      <c r="B1081" s="423" t="s">
        <v>5655</v>
      </c>
      <c r="C1081" s="423" t="s">
        <v>1187</v>
      </c>
      <c r="D1081" s="423" t="s">
        <v>5563</v>
      </c>
      <c r="E1081" s="423" t="s">
        <v>2818</v>
      </c>
      <c r="F1081" s="423">
        <v>8</v>
      </c>
      <c r="G1081" s="423">
        <v>32</v>
      </c>
      <c r="H1081" s="423">
        <v>100</v>
      </c>
      <c r="J1081" s="423"/>
      <c r="K1081" s="423"/>
      <c r="L1081" s="423"/>
      <c r="M1081" s="423"/>
      <c r="Q1081" s="423"/>
      <c r="R1081" s="424" t="s">
        <v>5656</v>
      </c>
      <c r="S1081" s="424" t="s">
        <v>2846</v>
      </c>
      <c r="T1081" s="424" t="s">
        <v>3268</v>
      </c>
      <c r="U1081" s="424">
        <v>0</v>
      </c>
      <c r="V1081" s="424" t="s">
        <v>3269</v>
      </c>
      <c r="W1081" s="424" t="s">
        <v>3176</v>
      </c>
      <c r="X1081" s="424" t="s">
        <v>2825</v>
      </c>
      <c r="Y1081" s="424" t="s">
        <v>2279</v>
      </c>
      <c r="Z1081" s="424" t="s">
        <v>3260</v>
      </c>
      <c r="AA1081" s="424" t="s">
        <v>3274</v>
      </c>
      <c r="AB1081" s="424" t="s">
        <v>3340</v>
      </c>
      <c r="AC1081" s="424" t="s">
        <v>1953</v>
      </c>
      <c r="AD1081" s="424" t="s">
        <v>2851</v>
      </c>
      <c r="AE1081" s="424" t="s">
        <v>3341</v>
      </c>
      <c r="AF1081" s="424"/>
      <c r="AG1081" s="424"/>
      <c r="AH1081" s="424"/>
    </row>
    <row r="1082" spans="1:34" x14ac:dyDescent="0.25">
      <c r="A1082" s="423" t="s">
        <v>5626</v>
      </c>
      <c r="B1082" s="423" t="s">
        <v>5657</v>
      </c>
      <c r="C1082" s="423" t="s">
        <v>1187</v>
      </c>
      <c r="D1082" s="423" t="s">
        <v>5563</v>
      </c>
      <c r="E1082" s="423" t="s">
        <v>2818</v>
      </c>
      <c r="F1082" s="423">
        <v>8</v>
      </c>
      <c r="G1082" s="423">
        <v>16</v>
      </c>
      <c r="H1082" s="423">
        <v>100</v>
      </c>
      <c r="J1082" s="423"/>
      <c r="K1082" s="423"/>
      <c r="L1082" s="423"/>
      <c r="M1082" s="423"/>
      <c r="Q1082" s="423"/>
      <c r="R1082" s="424" t="s">
        <v>5658</v>
      </c>
      <c r="S1082" s="424" t="s">
        <v>2846</v>
      </c>
      <c r="T1082" s="424" t="s">
        <v>3268</v>
      </c>
      <c r="U1082" s="424">
        <v>0</v>
      </c>
      <c r="V1082" s="424" t="s">
        <v>3269</v>
      </c>
      <c r="W1082" s="424" t="s">
        <v>3074</v>
      </c>
      <c r="X1082" s="424" t="s">
        <v>2825</v>
      </c>
      <c r="Y1082" s="424" t="s">
        <v>2279</v>
      </c>
      <c r="Z1082" s="424" t="s">
        <v>3270</v>
      </c>
      <c r="AA1082" s="424" t="s">
        <v>3271</v>
      </c>
      <c r="AB1082" s="424" t="s">
        <v>3272</v>
      </c>
      <c r="AC1082" s="424" t="s">
        <v>1953</v>
      </c>
      <c r="AD1082" s="424" t="s">
        <v>2851</v>
      </c>
      <c r="AE1082" s="424" t="s">
        <v>3206</v>
      </c>
      <c r="AF1082" s="424"/>
      <c r="AG1082" s="424"/>
      <c r="AH1082" s="424"/>
    </row>
    <row r="1083" spans="1:34" x14ac:dyDescent="0.25">
      <c r="A1083" s="423" t="s">
        <v>5626</v>
      </c>
      <c r="B1083" s="423" t="s">
        <v>5659</v>
      </c>
      <c r="C1083" s="423" t="s">
        <v>1187</v>
      </c>
      <c r="D1083" s="423" t="s">
        <v>5563</v>
      </c>
      <c r="E1083" s="423" t="s">
        <v>2818</v>
      </c>
      <c r="F1083" s="423">
        <v>16</v>
      </c>
      <c r="G1083" s="423">
        <v>32</v>
      </c>
      <c r="H1083" s="423">
        <v>200</v>
      </c>
      <c r="J1083" s="423"/>
      <c r="K1083" s="423"/>
      <c r="L1083" s="423"/>
      <c r="M1083" s="423"/>
      <c r="Q1083" s="423"/>
      <c r="R1083" s="424" t="s">
        <v>5659</v>
      </c>
      <c r="S1083" s="424" t="s">
        <v>2846</v>
      </c>
      <c r="T1083" s="424" t="s">
        <v>3268</v>
      </c>
      <c r="U1083" s="424">
        <v>0</v>
      </c>
      <c r="V1083" s="424" t="s">
        <v>3269</v>
      </c>
      <c r="W1083" s="424" t="s">
        <v>3176</v>
      </c>
      <c r="X1083" s="424" t="s">
        <v>2825</v>
      </c>
      <c r="Y1083" s="424" t="s">
        <v>2279</v>
      </c>
      <c r="Z1083" s="424" t="s">
        <v>3260</v>
      </c>
      <c r="AA1083" s="424" t="s">
        <v>3274</v>
      </c>
      <c r="AB1083" s="424" t="s">
        <v>5660</v>
      </c>
      <c r="AC1083" s="424" t="s">
        <v>1953</v>
      </c>
      <c r="AD1083" s="424" t="s">
        <v>2851</v>
      </c>
      <c r="AE1083" s="424" t="s">
        <v>5661</v>
      </c>
      <c r="AF1083" s="424"/>
      <c r="AG1083" s="424"/>
      <c r="AH1083" s="424"/>
    </row>
    <row r="1084" spans="1:34" x14ac:dyDescent="0.25">
      <c r="A1084" s="423" t="s">
        <v>5626</v>
      </c>
      <c r="B1084" s="423" t="s">
        <v>5662</v>
      </c>
      <c r="C1084" s="423" t="s">
        <v>1187</v>
      </c>
      <c r="D1084" s="423" t="s">
        <v>5563</v>
      </c>
      <c r="E1084" s="423" t="s">
        <v>2818</v>
      </c>
      <c r="F1084" s="423">
        <v>16</v>
      </c>
      <c r="G1084" s="423">
        <v>32</v>
      </c>
      <c r="H1084" s="423">
        <v>200</v>
      </c>
      <c r="J1084" s="423"/>
      <c r="K1084" s="423"/>
      <c r="L1084" s="423"/>
      <c r="M1084" s="423"/>
      <c r="Q1084" s="423"/>
      <c r="R1084" s="424" t="s">
        <v>5662</v>
      </c>
      <c r="S1084" s="424" t="s">
        <v>2846</v>
      </c>
      <c r="T1084" s="424" t="s">
        <v>3268</v>
      </c>
      <c r="U1084" s="424">
        <v>0</v>
      </c>
      <c r="V1084" s="424" t="s">
        <v>3269</v>
      </c>
      <c r="W1084" s="424" t="s">
        <v>2974</v>
      </c>
      <c r="X1084" s="424" t="s">
        <v>2825</v>
      </c>
      <c r="Y1084" s="424" t="s">
        <v>2279</v>
      </c>
      <c r="Z1084" s="424" t="s">
        <v>2848</v>
      </c>
      <c r="AA1084" s="424" t="s">
        <v>2849</v>
      </c>
      <c r="AB1084" s="424" t="s">
        <v>4762</v>
      </c>
      <c r="AC1084" s="424" t="s">
        <v>1953</v>
      </c>
      <c r="AD1084" s="424" t="s">
        <v>2851</v>
      </c>
      <c r="AE1084" s="424" t="s">
        <v>3467</v>
      </c>
      <c r="AF1084" s="424"/>
      <c r="AG1084" s="424"/>
      <c r="AH1084" s="424"/>
    </row>
    <row r="1085" spans="1:34" x14ac:dyDescent="0.25">
      <c r="A1085" s="423" t="s">
        <v>5626</v>
      </c>
      <c r="B1085" s="423" t="s">
        <v>5663</v>
      </c>
      <c r="C1085" s="423" t="s">
        <v>1187</v>
      </c>
      <c r="D1085" s="423" t="s">
        <v>5563</v>
      </c>
      <c r="E1085" s="423" t="s">
        <v>2818</v>
      </c>
      <c r="F1085" s="423">
        <v>16</v>
      </c>
      <c r="G1085" s="423">
        <v>32</v>
      </c>
      <c r="H1085" s="423">
        <v>200</v>
      </c>
      <c r="J1085" s="423"/>
      <c r="K1085" s="423"/>
      <c r="L1085" s="423"/>
      <c r="M1085" s="423"/>
      <c r="Q1085" s="423"/>
      <c r="R1085" s="424" t="s">
        <v>5663</v>
      </c>
      <c r="S1085" s="424" t="s">
        <v>2846</v>
      </c>
      <c r="T1085" s="424" t="s">
        <v>3268</v>
      </c>
      <c r="U1085" s="424">
        <v>0</v>
      </c>
      <c r="V1085" s="424" t="s">
        <v>3269</v>
      </c>
      <c r="W1085" s="424" t="s">
        <v>3176</v>
      </c>
      <c r="X1085" s="424" t="s">
        <v>2825</v>
      </c>
      <c r="Y1085" s="424" t="s">
        <v>2279</v>
      </c>
      <c r="Z1085" s="424" t="s">
        <v>3260</v>
      </c>
      <c r="AA1085" s="424" t="s">
        <v>3274</v>
      </c>
      <c r="AB1085" s="424" t="s">
        <v>3343</v>
      </c>
      <c r="AC1085" s="424" t="s">
        <v>1953</v>
      </c>
      <c r="AD1085" s="424" t="s">
        <v>2851</v>
      </c>
      <c r="AE1085" s="424" t="s">
        <v>3341</v>
      </c>
      <c r="AF1085" s="424"/>
      <c r="AG1085" s="424"/>
      <c r="AH1085" s="424"/>
    </row>
    <row r="1086" spans="1:34" x14ac:dyDescent="0.25">
      <c r="A1086" s="423" t="s">
        <v>5626</v>
      </c>
      <c r="B1086" s="423" t="s">
        <v>5664</v>
      </c>
      <c r="C1086" s="423" t="s">
        <v>1187</v>
      </c>
      <c r="D1086" s="423" t="s">
        <v>5563</v>
      </c>
      <c r="E1086" s="423" t="s">
        <v>2818</v>
      </c>
      <c r="F1086" s="423">
        <v>8</v>
      </c>
      <c r="G1086" s="423">
        <v>8</v>
      </c>
      <c r="H1086" s="423">
        <v>100</v>
      </c>
      <c r="J1086" s="423"/>
      <c r="K1086" s="423"/>
      <c r="L1086" s="423"/>
      <c r="M1086" s="423"/>
      <c r="Q1086" s="423"/>
      <c r="R1086" s="424" t="s">
        <v>5665</v>
      </c>
      <c r="S1086" s="424" t="s">
        <v>2820</v>
      </c>
      <c r="T1086" s="424" t="s">
        <v>5666</v>
      </c>
      <c r="U1086" s="424">
        <v>0</v>
      </c>
      <c r="V1086" s="424" t="s">
        <v>3283</v>
      </c>
      <c r="W1086" s="424" t="s">
        <v>3283</v>
      </c>
      <c r="X1086" s="424" t="s">
        <v>2825</v>
      </c>
      <c r="Y1086" s="424" t="s">
        <v>2279</v>
      </c>
      <c r="Z1086" s="424" t="s">
        <v>3260</v>
      </c>
      <c r="AA1086" s="424" t="s">
        <v>5667</v>
      </c>
      <c r="AB1086" s="424" t="s">
        <v>5668</v>
      </c>
      <c r="AC1086" s="424" t="s">
        <v>2269</v>
      </c>
      <c r="AD1086" s="424" t="s">
        <v>4921</v>
      </c>
      <c r="AE1086" s="424" t="s">
        <v>5669</v>
      </c>
      <c r="AF1086" s="424"/>
      <c r="AG1086" s="424"/>
      <c r="AH1086" s="424"/>
    </row>
    <row r="1087" spans="1:34" x14ac:dyDescent="0.25">
      <c r="A1087" s="423" t="s">
        <v>5670</v>
      </c>
      <c r="B1087" s="423" t="s">
        <v>5606</v>
      </c>
      <c r="C1087" s="423" t="s">
        <v>1187</v>
      </c>
      <c r="D1087" s="423" t="s">
        <v>5563</v>
      </c>
      <c r="E1087" s="423" t="s">
        <v>2818</v>
      </c>
      <c r="F1087" s="423">
        <v>24</v>
      </c>
      <c r="G1087" s="423">
        <v>32</v>
      </c>
      <c r="H1087" s="423">
        <v>600</v>
      </c>
      <c r="J1087" s="423"/>
      <c r="K1087" s="423"/>
      <c r="L1087" s="423"/>
      <c r="M1087" s="423"/>
      <c r="Q1087" s="423"/>
      <c r="R1087" s="424" t="s">
        <v>5606</v>
      </c>
      <c r="S1087" s="424" t="s">
        <v>2846</v>
      </c>
      <c r="T1087" s="424" t="s">
        <v>3268</v>
      </c>
      <c r="U1087" s="424">
        <v>0</v>
      </c>
      <c r="V1087" s="424" t="s">
        <v>3269</v>
      </c>
      <c r="W1087" s="424" t="s">
        <v>3074</v>
      </c>
      <c r="X1087" s="424" t="s">
        <v>2825</v>
      </c>
      <c r="Y1087" s="424" t="s">
        <v>2279</v>
      </c>
      <c r="Z1087" s="424" t="s">
        <v>3260</v>
      </c>
      <c r="AA1087" s="424" t="s">
        <v>3197</v>
      </c>
      <c r="AB1087" s="424" t="s">
        <v>3958</v>
      </c>
      <c r="AC1087" s="424" t="s">
        <v>1953</v>
      </c>
      <c r="AD1087" s="424" t="s">
        <v>2851</v>
      </c>
      <c r="AE1087" s="424" t="s">
        <v>3279</v>
      </c>
      <c r="AF1087" s="424"/>
      <c r="AG1087" s="424"/>
      <c r="AH1087" s="424"/>
    </row>
    <row r="1088" spans="1:34" x14ac:dyDescent="0.25">
      <c r="A1088" s="423" t="s">
        <v>5670</v>
      </c>
      <c r="B1088" s="423" t="s">
        <v>5671</v>
      </c>
      <c r="C1088" s="423" t="s">
        <v>1187</v>
      </c>
      <c r="D1088" s="423" t="s">
        <v>5563</v>
      </c>
      <c r="E1088" s="423" t="s">
        <v>2818</v>
      </c>
      <c r="F1088" s="423">
        <v>24</v>
      </c>
      <c r="G1088" s="423">
        <v>32</v>
      </c>
      <c r="H1088" s="423">
        <v>600</v>
      </c>
      <c r="J1088" s="423"/>
      <c r="K1088" s="423"/>
      <c r="L1088" s="423"/>
      <c r="M1088" s="423"/>
      <c r="Q1088" s="423"/>
      <c r="R1088" s="424" t="s">
        <v>5671</v>
      </c>
      <c r="S1088" s="424" t="s">
        <v>2846</v>
      </c>
      <c r="T1088" s="424" t="s">
        <v>3268</v>
      </c>
      <c r="U1088" s="424">
        <v>0</v>
      </c>
      <c r="V1088" s="424" t="s">
        <v>3269</v>
      </c>
      <c r="W1088" s="424" t="s">
        <v>2974</v>
      </c>
      <c r="X1088" s="424" t="s">
        <v>2825</v>
      </c>
      <c r="Y1088" s="424" t="s">
        <v>2279</v>
      </c>
      <c r="Z1088" s="424" t="s">
        <v>3260</v>
      </c>
      <c r="AA1088" s="424" t="s">
        <v>3327</v>
      </c>
      <c r="AB1088" s="424" t="s">
        <v>5672</v>
      </c>
      <c r="AC1088" s="424" t="s">
        <v>1953</v>
      </c>
      <c r="AD1088" s="424" t="s">
        <v>3329</v>
      </c>
      <c r="AE1088" s="424" t="s">
        <v>3333</v>
      </c>
      <c r="AF1088" s="424"/>
      <c r="AG1088" s="424"/>
      <c r="AH1088" s="424"/>
    </row>
    <row r="1089" spans="1:34" x14ac:dyDescent="0.25">
      <c r="A1089" s="423" t="s">
        <v>5673</v>
      </c>
      <c r="B1089" s="423" t="s">
        <v>5606</v>
      </c>
      <c r="C1089" s="423" t="s">
        <v>1187</v>
      </c>
      <c r="D1089" s="423" t="s">
        <v>5563</v>
      </c>
      <c r="E1089" s="423" t="s">
        <v>2818</v>
      </c>
      <c r="F1089" s="423">
        <v>24</v>
      </c>
      <c r="G1089" s="423">
        <v>32</v>
      </c>
      <c r="H1089" s="423">
        <v>600</v>
      </c>
      <c r="J1089" s="423"/>
      <c r="K1089" s="423"/>
      <c r="L1089" s="423"/>
      <c r="M1089" s="423"/>
      <c r="Q1089" s="423"/>
      <c r="R1089" s="424" t="s">
        <v>5606</v>
      </c>
      <c r="S1089" s="424" t="s">
        <v>2846</v>
      </c>
      <c r="T1089" s="424" t="s">
        <v>3268</v>
      </c>
      <c r="U1089" s="424">
        <v>0</v>
      </c>
      <c r="V1089" s="424" t="s">
        <v>3269</v>
      </c>
      <c r="W1089" s="424" t="s">
        <v>3074</v>
      </c>
      <c r="X1089" s="424" t="s">
        <v>2825</v>
      </c>
      <c r="Y1089" s="424" t="s">
        <v>2279</v>
      </c>
      <c r="Z1089" s="424" t="s">
        <v>3260</v>
      </c>
      <c r="AA1089" s="424" t="s">
        <v>3197</v>
      </c>
      <c r="AB1089" s="424" t="s">
        <v>3958</v>
      </c>
      <c r="AC1089" s="424" t="s">
        <v>1953</v>
      </c>
      <c r="AD1089" s="424" t="s">
        <v>2851</v>
      </c>
      <c r="AE1089" s="424" t="s">
        <v>3279</v>
      </c>
      <c r="AF1089" s="424"/>
      <c r="AG1089" s="424"/>
      <c r="AH1089" s="424"/>
    </row>
    <row r="1090" spans="1:34" x14ac:dyDescent="0.25">
      <c r="A1090" s="423" t="s">
        <v>5674</v>
      </c>
      <c r="B1090" s="423" t="s">
        <v>5675</v>
      </c>
      <c r="C1090" s="423" t="s">
        <v>1187</v>
      </c>
      <c r="D1090" s="423" t="s">
        <v>5563</v>
      </c>
      <c r="E1090" s="423" t="s">
        <v>2818</v>
      </c>
      <c r="F1090" s="423">
        <v>32</v>
      </c>
      <c r="G1090" s="423">
        <v>125</v>
      </c>
      <c r="H1090" s="423">
        <v>325</v>
      </c>
      <c r="J1090" s="423"/>
      <c r="K1090" s="423"/>
      <c r="L1090" s="423"/>
      <c r="M1090" s="423"/>
      <c r="Q1090" s="423"/>
      <c r="R1090" s="424" t="s">
        <v>5676</v>
      </c>
      <c r="S1090" s="424" t="s">
        <v>2820</v>
      </c>
      <c r="T1090" s="424" t="s">
        <v>2821</v>
      </c>
      <c r="U1090" s="424">
        <v>0</v>
      </c>
      <c r="V1090" s="424" t="s">
        <v>2823</v>
      </c>
      <c r="W1090" s="424" t="s">
        <v>2824</v>
      </c>
      <c r="X1090" s="424" t="s">
        <v>3298</v>
      </c>
      <c r="Y1090" s="424" t="s">
        <v>2279</v>
      </c>
      <c r="Z1090" s="424" t="s">
        <v>2826</v>
      </c>
      <c r="AA1090" s="424" t="s">
        <v>2827</v>
      </c>
      <c r="AB1090" s="424" t="s">
        <v>5677</v>
      </c>
      <c r="AC1090" s="424" t="s">
        <v>1953</v>
      </c>
      <c r="AD1090" s="424" t="s">
        <v>2829</v>
      </c>
      <c r="AE1090" s="424" t="s">
        <v>5678</v>
      </c>
      <c r="AF1090" s="424"/>
      <c r="AG1090" s="424"/>
      <c r="AH1090" s="424"/>
    </row>
    <row r="1091" spans="1:34" x14ac:dyDescent="0.25">
      <c r="A1091" s="423" t="s">
        <v>5674</v>
      </c>
      <c r="B1091" s="423" t="s">
        <v>5679</v>
      </c>
      <c r="C1091" s="423" t="s">
        <v>1187</v>
      </c>
      <c r="D1091" s="423" t="s">
        <v>5563</v>
      </c>
      <c r="E1091" s="423" t="s">
        <v>2818</v>
      </c>
      <c r="F1091" s="423">
        <v>32</v>
      </c>
      <c r="G1091" s="423">
        <v>125</v>
      </c>
      <c r="H1091" s="423">
        <v>325</v>
      </c>
      <c r="J1091" s="423"/>
      <c r="K1091" s="423"/>
      <c r="L1091" s="423"/>
      <c r="M1091" s="423"/>
      <c r="Q1091" s="423"/>
      <c r="R1091" s="424" t="s">
        <v>5680</v>
      </c>
      <c r="S1091" s="424" t="s">
        <v>2820</v>
      </c>
      <c r="T1091" s="424" t="s">
        <v>2821</v>
      </c>
      <c r="U1091" s="424">
        <v>0</v>
      </c>
      <c r="V1091" s="424" t="s">
        <v>2823</v>
      </c>
      <c r="W1091" s="424" t="s">
        <v>2824</v>
      </c>
      <c r="X1091" s="424" t="s">
        <v>3298</v>
      </c>
      <c r="Y1091" s="424" t="s">
        <v>2279</v>
      </c>
      <c r="Z1091" s="424" t="s">
        <v>2826</v>
      </c>
      <c r="AA1091" s="424" t="s">
        <v>2827</v>
      </c>
      <c r="AB1091" s="424" t="s">
        <v>5681</v>
      </c>
      <c r="AC1091" s="424" t="s">
        <v>1953</v>
      </c>
      <c r="AD1091" s="424" t="s">
        <v>2829</v>
      </c>
      <c r="AE1091" s="424" t="s">
        <v>4436</v>
      </c>
      <c r="AF1091" s="424"/>
      <c r="AG1091" s="424"/>
      <c r="AH1091" s="424"/>
    </row>
    <row r="1092" spans="1:34" x14ac:dyDescent="0.25">
      <c r="A1092" s="423" t="s">
        <v>5674</v>
      </c>
      <c r="B1092" s="423" t="s">
        <v>5682</v>
      </c>
      <c r="C1092" s="423" t="s">
        <v>1187</v>
      </c>
      <c r="D1092" s="423" t="s">
        <v>5563</v>
      </c>
      <c r="E1092" s="423" t="s">
        <v>2818</v>
      </c>
      <c r="F1092" s="423">
        <v>32</v>
      </c>
      <c r="G1092" s="423">
        <v>190</v>
      </c>
      <c r="H1092" s="423">
        <v>325</v>
      </c>
      <c r="J1092" s="423"/>
      <c r="K1092" s="423"/>
      <c r="L1092" s="423"/>
      <c r="M1092" s="423"/>
      <c r="Q1092" s="423"/>
      <c r="R1092" s="424" t="s">
        <v>5683</v>
      </c>
      <c r="S1092" s="424" t="s">
        <v>2820</v>
      </c>
      <c r="T1092" s="424" t="s">
        <v>2821</v>
      </c>
      <c r="U1092" s="424">
        <v>0</v>
      </c>
      <c r="V1092" s="424" t="s">
        <v>2823</v>
      </c>
      <c r="W1092" s="424" t="s">
        <v>2824</v>
      </c>
      <c r="X1092" s="424" t="s">
        <v>3298</v>
      </c>
      <c r="Y1092" s="424" t="s">
        <v>2279</v>
      </c>
      <c r="Z1092" s="424" t="s">
        <v>2826</v>
      </c>
      <c r="AA1092" s="424" t="s">
        <v>2827</v>
      </c>
      <c r="AB1092" s="424" t="s">
        <v>5684</v>
      </c>
      <c r="AC1092" s="424" t="s">
        <v>1953</v>
      </c>
      <c r="AD1092" s="424" t="s">
        <v>2829</v>
      </c>
      <c r="AE1092" s="424" t="s">
        <v>5678</v>
      </c>
      <c r="AF1092" s="424"/>
      <c r="AG1092" s="424"/>
      <c r="AH1092" s="424"/>
    </row>
    <row r="1093" spans="1:34" x14ac:dyDescent="0.25">
      <c r="A1093" s="423" t="s">
        <v>5674</v>
      </c>
      <c r="B1093" s="423" t="s">
        <v>5685</v>
      </c>
      <c r="C1093" s="423" t="s">
        <v>1187</v>
      </c>
      <c r="D1093" s="423" t="s">
        <v>5563</v>
      </c>
      <c r="E1093" s="423" t="s">
        <v>2818</v>
      </c>
      <c r="F1093" s="423">
        <v>32</v>
      </c>
      <c r="G1093" s="423">
        <v>190</v>
      </c>
      <c r="H1093" s="423">
        <v>325</v>
      </c>
      <c r="J1093" s="423"/>
      <c r="K1093" s="423"/>
      <c r="L1093" s="423"/>
      <c r="M1093" s="423"/>
      <c r="Q1093" s="423"/>
      <c r="R1093" s="424" t="s">
        <v>5686</v>
      </c>
      <c r="S1093" s="424" t="s">
        <v>2820</v>
      </c>
      <c r="T1093" s="424" t="s">
        <v>2821</v>
      </c>
      <c r="U1093" s="424">
        <v>0</v>
      </c>
      <c r="V1093" s="424" t="s">
        <v>2823</v>
      </c>
      <c r="W1093" s="424" t="s">
        <v>2824</v>
      </c>
      <c r="X1093" s="424" t="s">
        <v>3298</v>
      </c>
      <c r="Y1093" s="424" t="s">
        <v>2279</v>
      </c>
      <c r="Z1093" s="424" t="s">
        <v>2826</v>
      </c>
      <c r="AA1093" s="424" t="s">
        <v>2827</v>
      </c>
      <c r="AB1093" s="424" t="s">
        <v>5687</v>
      </c>
      <c r="AC1093" s="424" t="s">
        <v>1953</v>
      </c>
      <c r="AD1093" s="424" t="s">
        <v>2829</v>
      </c>
      <c r="AE1093" s="424" t="s">
        <v>4436</v>
      </c>
      <c r="AF1093" s="424"/>
      <c r="AG1093" s="424"/>
      <c r="AH1093" s="424"/>
    </row>
    <row r="1094" spans="1:34" x14ac:dyDescent="0.25">
      <c r="A1094" s="423" t="s">
        <v>5674</v>
      </c>
      <c r="B1094" s="423" t="s">
        <v>5688</v>
      </c>
      <c r="C1094" s="423" t="s">
        <v>1187</v>
      </c>
      <c r="D1094" s="423" t="s">
        <v>5563</v>
      </c>
      <c r="E1094" s="423" t="s">
        <v>2818</v>
      </c>
      <c r="F1094" s="423">
        <v>32</v>
      </c>
      <c r="G1094" s="423">
        <v>125</v>
      </c>
      <c r="H1094" s="423">
        <v>325</v>
      </c>
      <c r="J1094" s="423"/>
      <c r="K1094" s="423"/>
      <c r="L1094" s="423"/>
      <c r="M1094" s="423"/>
      <c r="Q1094" s="423"/>
      <c r="R1094" s="424" t="s">
        <v>5689</v>
      </c>
      <c r="S1094" s="424" t="s">
        <v>2820</v>
      </c>
      <c r="T1094" s="424" t="s">
        <v>2821</v>
      </c>
      <c r="U1094" s="424">
        <v>0</v>
      </c>
      <c r="V1094" s="424" t="s">
        <v>2823</v>
      </c>
      <c r="W1094" s="424" t="s">
        <v>2824</v>
      </c>
      <c r="X1094" s="424" t="s">
        <v>3298</v>
      </c>
      <c r="Y1094" s="424" t="s">
        <v>2279</v>
      </c>
      <c r="Z1094" s="424" t="s">
        <v>2826</v>
      </c>
      <c r="AA1094" s="424" t="s">
        <v>2827</v>
      </c>
      <c r="AB1094" s="424" t="s">
        <v>5690</v>
      </c>
      <c r="AC1094" s="424" t="s">
        <v>1953</v>
      </c>
      <c r="AD1094" s="424" t="s">
        <v>2829</v>
      </c>
      <c r="AE1094" s="424" t="s">
        <v>5678</v>
      </c>
      <c r="AF1094" s="424"/>
      <c r="AG1094" s="424"/>
      <c r="AH1094" s="424"/>
    </row>
    <row r="1095" spans="1:34" x14ac:dyDescent="0.25">
      <c r="A1095" s="423" t="s">
        <v>5674</v>
      </c>
      <c r="B1095" s="423" t="s">
        <v>5691</v>
      </c>
      <c r="C1095" s="423" t="s">
        <v>1187</v>
      </c>
      <c r="D1095" s="423" t="s">
        <v>5563</v>
      </c>
      <c r="E1095" s="423" t="s">
        <v>2818</v>
      </c>
      <c r="F1095" s="423">
        <v>32</v>
      </c>
      <c r="G1095" s="423">
        <v>125</v>
      </c>
      <c r="H1095" s="423">
        <v>325</v>
      </c>
      <c r="J1095" s="423"/>
      <c r="K1095" s="423"/>
      <c r="L1095" s="423"/>
      <c r="M1095" s="423"/>
      <c r="Q1095" s="423"/>
      <c r="R1095" s="424" t="s">
        <v>5692</v>
      </c>
      <c r="S1095" s="424" t="s">
        <v>2820</v>
      </c>
      <c r="T1095" s="424" t="s">
        <v>2821</v>
      </c>
      <c r="U1095" s="424">
        <v>0</v>
      </c>
      <c r="V1095" s="424" t="s">
        <v>2823</v>
      </c>
      <c r="W1095" s="424" t="s">
        <v>2824</v>
      </c>
      <c r="X1095" s="424" t="s">
        <v>3298</v>
      </c>
      <c r="Y1095" s="424" t="s">
        <v>2279</v>
      </c>
      <c r="Z1095" s="424" t="s">
        <v>2826</v>
      </c>
      <c r="AA1095" s="424" t="s">
        <v>2827</v>
      </c>
      <c r="AB1095" s="424" t="s">
        <v>5693</v>
      </c>
      <c r="AC1095" s="424" t="s">
        <v>1953</v>
      </c>
      <c r="AD1095" s="424" t="s">
        <v>2829</v>
      </c>
      <c r="AE1095" s="424" t="s">
        <v>4436</v>
      </c>
      <c r="AF1095" s="424"/>
      <c r="AG1095" s="424"/>
      <c r="AH1095" s="424"/>
    </row>
    <row r="1096" spans="1:34" x14ac:dyDescent="0.25">
      <c r="A1096" s="423" t="s">
        <v>5694</v>
      </c>
      <c r="B1096" s="423" t="s">
        <v>5695</v>
      </c>
      <c r="C1096" s="423" t="s">
        <v>1159</v>
      </c>
      <c r="D1096" s="423" t="s">
        <v>1143</v>
      </c>
      <c r="E1096" s="423" t="s">
        <v>2818</v>
      </c>
      <c r="F1096" s="423">
        <v>14</v>
      </c>
      <c r="G1096" s="423">
        <v>128</v>
      </c>
      <c r="H1096" s="423">
        <v>11264</v>
      </c>
      <c r="J1096" s="423"/>
      <c r="K1096" s="423"/>
      <c r="L1096" s="423"/>
      <c r="M1096" s="423"/>
      <c r="Q1096" s="423"/>
      <c r="R1096" s="424" t="s">
        <v>5696</v>
      </c>
      <c r="S1096" s="424" t="s">
        <v>2820</v>
      </c>
      <c r="T1096" s="424" t="s">
        <v>3268</v>
      </c>
      <c r="U1096" s="424">
        <v>0</v>
      </c>
      <c r="V1096" s="424" t="s">
        <v>2824</v>
      </c>
      <c r="W1096" s="424" t="s">
        <v>2824</v>
      </c>
      <c r="X1096" s="424" t="s">
        <v>5697</v>
      </c>
      <c r="Y1096" s="424" t="s">
        <v>2279</v>
      </c>
      <c r="Z1096" s="424" t="s">
        <v>2889</v>
      </c>
      <c r="AA1096" s="424" t="s">
        <v>3771</v>
      </c>
      <c r="AB1096" s="424" t="s">
        <v>5698</v>
      </c>
      <c r="AC1096" s="424" t="s">
        <v>1953</v>
      </c>
      <c r="AD1096" s="424" t="s">
        <v>3329</v>
      </c>
      <c r="AE1096" s="424" t="s">
        <v>5699</v>
      </c>
      <c r="AF1096" s="424"/>
      <c r="AG1096" s="424"/>
      <c r="AH1096" s="424"/>
    </row>
    <row r="1097" spans="1:34" x14ac:dyDescent="0.25">
      <c r="A1097" s="423" t="s">
        <v>5694</v>
      </c>
      <c r="B1097" s="423" t="s">
        <v>5700</v>
      </c>
      <c r="C1097" s="423" t="s">
        <v>1159</v>
      </c>
      <c r="D1097" s="423" t="s">
        <v>1143</v>
      </c>
      <c r="E1097" s="423" t="s">
        <v>2818</v>
      </c>
      <c r="F1097" s="423">
        <v>14</v>
      </c>
      <c r="G1097" s="423">
        <v>128</v>
      </c>
      <c r="H1097" s="423">
        <v>11264</v>
      </c>
      <c r="J1097" s="423"/>
      <c r="K1097" s="423"/>
      <c r="L1097" s="423"/>
      <c r="M1097" s="423"/>
      <c r="Q1097" s="423"/>
      <c r="R1097" s="424" t="s">
        <v>5701</v>
      </c>
      <c r="S1097" s="424" t="s">
        <v>2820</v>
      </c>
      <c r="T1097" s="424" t="s">
        <v>3268</v>
      </c>
      <c r="U1097" s="424">
        <v>0</v>
      </c>
      <c r="V1097" s="424" t="s">
        <v>2824</v>
      </c>
      <c r="W1097" s="424" t="s">
        <v>2824</v>
      </c>
      <c r="X1097" s="424" t="s">
        <v>5697</v>
      </c>
      <c r="Y1097" s="424" t="s">
        <v>2279</v>
      </c>
      <c r="Z1097" s="424" t="s">
        <v>2889</v>
      </c>
      <c r="AA1097" s="424" t="s">
        <v>3771</v>
      </c>
      <c r="AB1097" s="424" t="s">
        <v>5702</v>
      </c>
      <c r="AC1097" s="424" t="s">
        <v>1953</v>
      </c>
      <c r="AD1097" s="424" t="s">
        <v>3329</v>
      </c>
      <c r="AE1097" s="424" t="s">
        <v>5699</v>
      </c>
      <c r="AF1097" s="424"/>
      <c r="AG1097" s="424"/>
      <c r="AH1097" s="424"/>
    </row>
    <row r="1098" spans="1:34" x14ac:dyDescent="0.25">
      <c r="A1098" s="423" t="s">
        <v>5694</v>
      </c>
      <c r="B1098" s="423" t="s">
        <v>5703</v>
      </c>
      <c r="C1098" s="423" t="s">
        <v>1159</v>
      </c>
      <c r="D1098" s="423" t="s">
        <v>1143</v>
      </c>
      <c r="E1098" s="423" t="s">
        <v>2818</v>
      </c>
      <c r="F1098" s="423">
        <v>14</v>
      </c>
      <c r="G1098" s="423">
        <v>128</v>
      </c>
      <c r="H1098" s="423">
        <v>11264</v>
      </c>
      <c r="J1098" s="423"/>
      <c r="K1098" s="423"/>
      <c r="L1098" s="423"/>
      <c r="M1098" s="423"/>
      <c r="Q1098" s="423"/>
      <c r="R1098" s="424" t="s">
        <v>5704</v>
      </c>
      <c r="S1098" s="424" t="s">
        <v>2820</v>
      </c>
      <c r="T1098" s="424" t="s">
        <v>3268</v>
      </c>
      <c r="U1098" s="424">
        <v>0</v>
      </c>
      <c r="V1098" s="424" t="s">
        <v>2824</v>
      </c>
      <c r="W1098" s="424" t="s">
        <v>2824</v>
      </c>
      <c r="X1098" s="424" t="s">
        <v>5697</v>
      </c>
      <c r="Y1098" s="424" t="s">
        <v>2279</v>
      </c>
      <c r="Z1098" s="424" t="s">
        <v>2889</v>
      </c>
      <c r="AA1098" s="424" t="s">
        <v>3771</v>
      </c>
      <c r="AB1098" s="424" t="s">
        <v>5705</v>
      </c>
      <c r="AC1098" s="424" t="s">
        <v>1953</v>
      </c>
      <c r="AD1098" s="424" t="s">
        <v>3329</v>
      </c>
      <c r="AE1098" s="424" t="s">
        <v>5699</v>
      </c>
      <c r="AF1098" s="424"/>
      <c r="AG1098" s="424"/>
      <c r="AH1098" s="424"/>
    </row>
    <row r="1099" spans="1:34" x14ac:dyDescent="0.25">
      <c r="A1099" s="423" t="s">
        <v>5694</v>
      </c>
      <c r="B1099" s="423" t="s">
        <v>5706</v>
      </c>
      <c r="C1099" s="423" t="s">
        <v>1159</v>
      </c>
      <c r="D1099" s="423" t="s">
        <v>1143</v>
      </c>
      <c r="E1099" s="423" t="s">
        <v>2818</v>
      </c>
      <c r="F1099" s="423">
        <v>14</v>
      </c>
      <c r="G1099" s="423">
        <v>128</v>
      </c>
      <c r="H1099" s="423">
        <v>11264</v>
      </c>
      <c r="J1099" s="423"/>
      <c r="K1099" s="423"/>
      <c r="L1099" s="423"/>
      <c r="M1099" s="423"/>
      <c r="Q1099" s="423"/>
      <c r="R1099" s="424" t="s">
        <v>5707</v>
      </c>
      <c r="S1099" s="424" t="s">
        <v>2820</v>
      </c>
      <c r="T1099" s="424" t="s">
        <v>3268</v>
      </c>
      <c r="U1099" s="424">
        <v>0</v>
      </c>
      <c r="V1099" s="424" t="s">
        <v>2824</v>
      </c>
      <c r="W1099" s="424" t="s">
        <v>2824</v>
      </c>
      <c r="X1099" s="424" t="s">
        <v>5697</v>
      </c>
      <c r="Y1099" s="424" t="s">
        <v>2279</v>
      </c>
      <c r="Z1099" s="424" t="s">
        <v>2889</v>
      </c>
      <c r="AA1099" s="424" t="s">
        <v>3771</v>
      </c>
      <c r="AB1099" s="424" t="s">
        <v>5708</v>
      </c>
      <c r="AC1099" s="424" t="s">
        <v>1953</v>
      </c>
      <c r="AD1099" s="424" t="s">
        <v>3329</v>
      </c>
      <c r="AE1099" s="424" t="s">
        <v>5699</v>
      </c>
      <c r="AF1099" s="424"/>
      <c r="AG1099" s="424"/>
      <c r="AH1099" s="424"/>
    </row>
    <row r="1100" spans="1:34" x14ac:dyDescent="0.25">
      <c r="A1100" s="423" t="s">
        <v>5694</v>
      </c>
      <c r="B1100" s="423" t="s">
        <v>5709</v>
      </c>
      <c r="C1100" s="423" t="s">
        <v>1159</v>
      </c>
      <c r="D1100" s="423" t="s">
        <v>1143</v>
      </c>
      <c r="E1100" s="423" t="s">
        <v>2818</v>
      </c>
      <c r="F1100" s="423">
        <v>14</v>
      </c>
      <c r="G1100" s="423">
        <v>128</v>
      </c>
      <c r="H1100" s="423">
        <v>11264</v>
      </c>
      <c r="J1100" s="423"/>
      <c r="K1100" s="423"/>
      <c r="L1100" s="423"/>
      <c r="M1100" s="423"/>
      <c r="Q1100" s="423"/>
      <c r="R1100" s="424" t="s">
        <v>5710</v>
      </c>
      <c r="S1100" s="424" t="s">
        <v>2820</v>
      </c>
      <c r="T1100" s="424" t="s">
        <v>3268</v>
      </c>
      <c r="U1100" s="424">
        <v>0</v>
      </c>
      <c r="V1100" s="424" t="s">
        <v>2824</v>
      </c>
      <c r="W1100" s="424" t="s">
        <v>2824</v>
      </c>
      <c r="X1100" s="424" t="s">
        <v>5697</v>
      </c>
      <c r="Y1100" s="424" t="s">
        <v>2279</v>
      </c>
      <c r="Z1100" s="424" t="s">
        <v>2889</v>
      </c>
      <c r="AA1100" s="424" t="s">
        <v>3771</v>
      </c>
      <c r="AB1100" s="424" t="s">
        <v>5711</v>
      </c>
      <c r="AC1100" s="424" t="s">
        <v>1953</v>
      </c>
      <c r="AD1100" s="424" t="s">
        <v>3329</v>
      </c>
      <c r="AE1100" s="424" t="s">
        <v>5699</v>
      </c>
      <c r="AF1100" s="424"/>
      <c r="AG1100" s="424"/>
      <c r="AH1100" s="424"/>
    </row>
    <row r="1101" spans="1:34" x14ac:dyDescent="0.25">
      <c r="A1101" s="423" t="s">
        <v>5694</v>
      </c>
      <c r="B1101" s="423" t="s">
        <v>5712</v>
      </c>
      <c r="C1101" s="423" t="s">
        <v>1159</v>
      </c>
      <c r="D1101" s="423" t="s">
        <v>1143</v>
      </c>
      <c r="E1101" s="423" t="s">
        <v>2818</v>
      </c>
      <c r="F1101" s="423">
        <v>14</v>
      </c>
      <c r="G1101" s="423">
        <v>128</v>
      </c>
      <c r="H1101" s="423">
        <v>11264</v>
      </c>
      <c r="J1101" s="423"/>
      <c r="K1101" s="423"/>
      <c r="L1101" s="423"/>
      <c r="M1101" s="423"/>
      <c r="Q1101" s="423"/>
      <c r="R1101" s="424" t="s">
        <v>5713</v>
      </c>
      <c r="S1101" s="424" t="s">
        <v>2820</v>
      </c>
      <c r="T1101" s="424" t="s">
        <v>3268</v>
      </c>
      <c r="U1101" s="424">
        <v>0</v>
      </c>
      <c r="V1101" s="424" t="s">
        <v>2824</v>
      </c>
      <c r="W1101" s="424" t="s">
        <v>2824</v>
      </c>
      <c r="X1101" s="424" t="s">
        <v>5697</v>
      </c>
      <c r="Y1101" s="424" t="s">
        <v>2279</v>
      </c>
      <c r="Z1101" s="424" t="s">
        <v>2889</v>
      </c>
      <c r="AA1101" s="424" t="s">
        <v>3771</v>
      </c>
      <c r="AB1101" s="424" t="s">
        <v>5714</v>
      </c>
      <c r="AC1101" s="424" t="s">
        <v>1953</v>
      </c>
      <c r="AD1101" s="424" t="s">
        <v>3329</v>
      </c>
      <c r="AE1101" s="424" t="s">
        <v>5699</v>
      </c>
      <c r="AF1101" s="424"/>
      <c r="AG1101" s="424"/>
      <c r="AH1101" s="424"/>
    </row>
    <row r="1102" spans="1:34" x14ac:dyDescent="0.25">
      <c r="A1102" s="423" t="s">
        <v>5694</v>
      </c>
      <c r="B1102" s="423" t="s">
        <v>5715</v>
      </c>
      <c r="C1102" s="423" t="s">
        <v>1159</v>
      </c>
      <c r="D1102" s="423" t="s">
        <v>1143</v>
      </c>
      <c r="E1102" s="423" t="s">
        <v>2818</v>
      </c>
      <c r="F1102" s="423">
        <v>14</v>
      </c>
      <c r="G1102" s="423">
        <v>128</v>
      </c>
      <c r="H1102" s="423">
        <v>11264</v>
      </c>
      <c r="J1102" s="423"/>
      <c r="K1102" s="423"/>
      <c r="L1102" s="423"/>
      <c r="M1102" s="423"/>
      <c r="Q1102" s="423"/>
      <c r="R1102" s="424" t="s">
        <v>5716</v>
      </c>
      <c r="S1102" s="424" t="s">
        <v>2820</v>
      </c>
      <c r="T1102" s="424" t="s">
        <v>3268</v>
      </c>
      <c r="U1102" s="424">
        <v>0</v>
      </c>
      <c r="V1102" s="424" t="s">
        <v>2824</v>
      </c>
      <c r="W1102" s="424" t="s">
        <v>2824</v>
      </c>
      <c r="X1102" s="424" t="s">
        <v>5697</v>
      </c>
      <c r="Y1102" s="424" t="s">
        <v>2279</v>
      </c>
      <c r="Z1102" s="424" t="s">
        <v>2889</v>
      </c>
      <c r="AA1102" s="424" t="s">
        <v>3771</v>
      </c>
      <c r="AB1102" s="424" t="s">
        <v>5717</v>
      </c>
      <c r="AC1102" s="424" t="s">
        <v>1953</v>
      </c>
      <c r="AD1102" s="424" t="s">
        <v>3329</v>
      </c>
      <c r="AE1102" s="424" t="s">
        <v>5699</v>
      </c>
      <c r="AF1102" s="424"/>
      <c r="AG1102" s="424"/>
      <c r="AH1102" s="424"/>
    </row>
    <row r="1103" spans="1:34" x14ac:dyDescent="0.25">
      <c r="A1103" s="423" t="s">
        <v>5694</v>
      </c>
      <c r="B1103" s="423" t="s">
        <v>5718</v>
      </c>
      <c r="C1103" s="423" t="s">
        <v>1159</v>
      </c>
      <c r="D1103" s="423" t="s">
        <v>1143</v>
      </c>
      <c r="E1103" s="423" t="s">
        <v>2818</v>
      </c>
      <c r="F1103" s="423">
        <v>14</v>
      </c>
      <c r="G1103" s="423">
        <v>128</v>
      </c>
      <c r="H1103" s="423">
        <v>11264</v>
      </c>
      <c r="J1103" s="423"/>
      <c r="K1103" s="423"/>
      <c r="L1103" s="423"/>
      <c r="M1103" s="423"/>
      <c r="Q1103" s="423"/>
      <c r="R1103" s="424" t="s">
        <v>5719</v>
      </c>
      <c r="S1103" s="424" t="s">
        <v>2820</v>
      </c>
      <c r="T1103" s="424" t="s">
        <v>3268</v>
      </c>
      <c r="U1103" s="424">
        <v>0</v>
      </c>
      <c r="V1103" s="424" t="s">
        <v>2824</v>
      </c>
      <c r="W1103" s="424" t="s">
        <v>2824</v>
      </c>
      <c r="X1103" s="424" t="s">
        <v>5697</v>
      </c>
      <c r="Y1103" s="424" t="s">
        <v>2279</v>
      </c>
      <c r="Z1103" s="424" t="s">
        <v>2889</v>
      </c>
      <c r="AA1103" s="424" t="s">
        <v>3771</v>
      </c>
      <c r="AB1103" s="424" t="s">
        <v>5720</v>
      </c>
      <c r="AC1103" s="424" t="s">
        <v>1953</v>
      </c>
      <c r="AD1103" s="424" t="s">
        <v>3329</v>
      </c>
      <c r="AE1103" s="424" t="s">
        <v>5699</v>
      </c>
      <c r="AF1103" s="424"/>
      <c r="AG1103" s="424"/>
      <c r="AH1103" s="424"/>
    </row>
    <row r="1104" spans="1:34" x14ac:dyDescent="0.25">
      <c r="A1104" s="423" t="s">
        <v>5694</v>
      </c>
      <c r="B1104" s="423" t="s">
        <v>5721</v>
      </c>
      <c r="C1104" s="423" t="s">
        <v>1159</v>
      </c>
      <c r="D1104" s="423" t="s">
        <v>1143</v>
      </c>
      <c r="E1104" s="423" t="s">
        <v>2818</v>
      </c>
      <c r="F1104" s="423">
        <v>14</v>
      </c>
      <c r="G1104" s="423">
        <v>128</v>
      </c>
      <c r="H1104" s="423">
        <v>11264</v>
      </c>
      <c r="J1104" s="423"/>
      <c r="K1104" s="423"/>
      <c r="L1104" s="423"/>
      <c r="M1104" s="423"/>
      <c r="Q1104" s="423"/>
      <c r="R1104" s="424" t="s">
        <v>5722</v>
      </c>
      <c r="S1104" s="424" t="s">
        <v>2820</v>
      </c>
      <c r="T1104" s="424" t="s">
        <v>3268</v>
      </c>
      <c r="U1104" s="424">
        <v>0</v>
      </c>
      <c r="V1104" s="424" t="s">
        <v>2824</v>
      </c>
      <c r="W1104" s="424" t="s">
        <v>2824</v>
      </c>
      <c r="X1104" s="424" t="s">
        <v>5697</v>
      </c>
      <c r="Y1104" s="424" t="s">
        <v>2279</v>
      </c>
      <c r="Z1104" s="424" t="s">
        <v>2889</v>
      </c>
      <c r="AA1104" s="424" t="s">
        <v>3771</v>
      </c>
      <c r="AB1104" s="424" t="s">
        <v>5723</v>
      </c>
      <c r="AC1104" s="424" t="s">
        <v>1953</v>
      </c>
      <c r="AD1104" s="424" t="s">
        <v>3329</v>
      </c>
      <c r="AE1104" s="424" t="s">
        <v>5699</v>
      </c>
      <c r="AF1104" s="424"/>
      <c r="AG1104" s="424"/>
      <c r="AH1104" s="424"/>
    </row>
    <row r="1105" spans="1:34" x14ac:dyDescent="0.25">
      <c r="A1105" s="423" t="s">
        <v>5694</v>
      </c>
      <c r="B1105" s="423" t="s">
        <v>5724</v>
      </c>
      <c r="C1105" s="423" t="s">
        <v>1159</v>
      </c>
      <c r="D1105" s="423" t="s">
        <v>1143</v>
      </c>
      <c r="E1105" s="423" t="s">
        <v>2818</v>
      </c>
      <c r="F1105" s="423">
        <v>14</v>
      </c>
      <c r="G1105" s="423">
        <v>128</v>
      </c>
      <c r="H1105" s="423">
        <v>11264</v>
      </c>
      <c r="J1105" s="423"/>
      <c r="K1105" s="423"/>
      <c r="L1105" s="423"/>
      <c r="M1105" s="423"/>
      <c r="Q1105" s="423"/>
      <c r="R1105" s="424" t="s">
        <v>5725</v>
      </c>
      <c r="S1105" s="424" t="s">
        <v>2820</v>
      </c>
      <c r="T1105" s="424" t="s">
        <v>3268</v>
      </c>
      <c r="U1105" s="424">
        <v>0</v>
      </c>
      <c r="V1105" s="424" t="s">
        <v>2824</v>
      </c>
      <c r="W1105" s="424" t="s">
        <v>2824</v>
      </c>
      <c r="X1105" s="424" t="s">
        <v>5697</v>
      </c>
      <c r="Y1105" s="424" t="s">
        <v>2279</v>
      </c>
      <c r="Z1105" s="424" t="s">
        <v>2889</v>
      </c>
      <c r="AA1105" s="424" t="s">
        <v>3771</v>
      </c>
      <c r="AB1105" s="424" t="s">
        <v>5726</v>
      </c>
      <c r="AC1105" s="424" t="s">
        <v>1953</v>
      </c>
      <c r="AD1105" s="424" t="s">
        <v>3329</v>
      </c>
      <c r="AE1105" s="424" t="s">
        <v>5699</v>
      </c>
      <c r="AF1105" s="424"/>
      <c r="AG1105" s="424"/>
      <c r="AH1105" s="424"/>
    </row>
    <row r="1106" spans="1:34" x14ac:dyDescent="0.25">
      <c r="A1106" s="423" t="s">
        <v>5694</v>
      </c>
      <c r="B1106" s="423" t="s">
        <v>5727</v>
      </c>
      <c r="C1106" s="423" t="s">
        <v>1159</v>
      </c>
      <c r="D1106" s="423" t="s">
        <v>1143</v>
      </c>
      <c r="E1106" s="423" t="s">
        <v>2818</v>
      </c>
      <c r="F1106" s="423">
        <v>6</v>
      </c>
      <c r="G1106" s="423">
        <v>32</v>
      </c>
      <c r="H1106" s="423">
        <v>600</v>
      </c>
      <c r="J1106" s="423"/>
      <c r="K1106" s="423"/>
      <c r="L1106" s="423"/>
      <c r="M1106" s="423"/>
      <c r="Q1106" s="423"/>
      <c r="R1106" s="424" t="s">
        <v>5728</v>
      </c>
      <c r="S1106" s="424" t="s">
        <v>2820</v>
      </c>
      <c r="T1106" s="424" t="s">
        <v>3268</v>
      </c>
      <c r="U1106" s="424">
        <v>0</v>
      </c>
      <c r="V1106" s="424" t="s">
        <v>2824</v>
      </c>
      <c r="W1106" s="424" t="s">
        <v>2824</v>
      </c>
      <c r="X1106" s="424" t="s">
        <v>5697</v>
      </c>
      <c r="Y1106" s="424" t="s">
        <v>2279</v>
      </c>
      <c r="Z1106" s="424" t="s">
        <v>2889</v>
      </c>
      <c r="AA1106" s="424" t="s">
        <v>3771</v>
      </c>
      <c r="AB1106" s="424" t="s">
        <v>5729</v>
      </c>
      <c r="AC1106" s="424" t="s">
        <v>1953</v>
      </c>
      <c r="AD1106" s="424" t="s">
        <v>3329</v>
      </c>
      <c r="AE1106" s="424" t="s">
        <v>5699</v>
      </c>
      <c r="AF1106" s="424"/>
      <c r="AG1106" s="424"/>
      <c r="AH1106" s="424"/>
    </row>
    <row r="1107" spans="1:34" x14ac:dyDescent="0.25">
      <c r="A1107" s="423" t="s">
        <v>5694</v>
      </c>
      <c r="B1107" s="423" t="s">
        <v>5730</v>
      </c>
      <c r="C1107" s="423" t="s">
        <v>1159</v>
      </c>
      <c r="D1107" s="423" t="s">
        <v>1143</v>
      </c>
      <c r="E1107" s="423" t="s">
        <v>2818</v>
      </c>
      <c r="F1107" s="423">
        <v>6</v>
      </c>
      <c r="G1107" s="423">
        <v>32</v>
      </c>
      <c r="H1107" s="423">
        <v>600</v>
      </c>
      <c r="J1107" s="423"/>
      <c r="K1107" s="423"/>
      <c r="L1107" s="423"/>
      <c r="M1107" s="423"/>
      <c r="Q1107" s="423"/>
      <c r="R1107" s="424" t="s">
        <v>5731</v>
      </c>
      <c r="S1107" s="424" t="s">
        <v>2820</v>
      </c>
      <c r="T1107" s="424" t="s">
        <v>3268</v>
      </c>
      <c r="U1107" s="424">
        <v>0</v>
      </c>
      <c r="V1107" s="424" t="s">
        <v>2824</v>
      </c>
      <c r="W1107" s="424" t="s">
        <v>2824</v>
      </c>
      <c r="X1107" s="424" t="s">
        <v>5697</v>
      </c>
      <c r="Y1107" s="424" t="s">
        <v>2279</v>
      </c>
      <c r="Z1107" s="424" t="s">
        <v>2889</v>
      </c>
      <c r="AA1107" s="424" t="s">
        <v>3771</v>
      </c>
      <c r="AB1107" s="424" t="s">
        <v>5732</v>
      </c>
      <c r="AC1107" s="424" t="s">
        <v>1953</v>
      </c>
      <c r="AD1107" s="424" t="s">
        <v>3329</v>
      </c>
      <c r="AE1107" s="424" t="s">
        <v>5699</v>
      </c>
      <c r="AF1107" s="424"/>
      <c r="AG1107" s="424"/>
      <c r="AH1107" s="424"/>
    </row>
    <row r="1108" spans="1:34" x14ac:dyDescent="0.25">
      <c r="A1108" s="423" t="s">
        <v>5694</v>
      </c>
      <c r="B1108" s="423" t="s">
        <v>5733</v>
      </c>
      <c r="C1108" s="423" t="s">
        <v>1159</v>
      </c>
      <c r="D1108" s="423" t="s">
        <v>1143</v>
      </c>
      <c r="E1108" s="423" t="s">
        <v>2818</v>
      </c>
      <c r="F1108" s="423">
        <v>12</v>
      </c>
      <c r="G1108" s="423">
        <v>96</v>
      </c>
      <c r="H1108" s="423">
        <v>600</v>
      </c>
      <c r="J1108" s="423"/>
      <c r="K1108" s="423"/>
      <c r="L1108" s="423"/>
      <c r="M1108" s="423"/>
      <c r="Q1108" s="423"/>
      <c r="R1108" s="424" t="s">
        <v>5734</v>
      </c>
      <c r="S1108" s="424" t="s">
        <v>2820</v>
      </c>
      <c r="T1108" s="424" t="s">
        <v>3268</v>
      </c>
      <c r="U1108" s="424">
        <v>0</v>
      </c>
      <c r="V1108" s="424" t="s">
        <v>2824</v>
      </c>
      <c r="W1108" s="424" t="s">
        <v>2824</v>
      </c>
      <c r="X1108" s="424" t="s">
        <v>5697</v>
      </c>
      <c r="Y1108" s="424" t="s">
        <v>2279</v>
      </c>
      <c r="Z1108" s="424" t="s">
        <v>2889</v>
      </c>
      <c r="AA1108" s="424" t="s">
        <v>3771</v>
      </c>
      <c r="AB1108" s="424" t="s">
        <v>5735</v>
      </c>
      <c r="AC1108" s="424" t="s">
        <v>1953</v>
      </c>
      <c r="AD1108" s="424" t="s">
        <v>3329</v>
      </c>
      <c r="AE1108" s="424" t="s">
        <v>5736</v>
      </c>
      <c r="AF1108" s="424"/>
      <c r="AG1108" s="424"/>
      <c r="AH1108" s="424"/>
    </row>
    <row r="1109" spans="1:34" x14ac:dyDescent="0.25">
      <c r="A1109" s="423" t="s">
        <v>5694</v>
      </c>
      <c r="B1109" s="423" t="s">
        <v>5737</v>
      </c>
      <c r="C1109" s="423" t="s">
        <v>1159</v>
      </c>
      <c r="D1109" s="423" t="s">
        <v>1143</v>
      </c>
      <c r="E1109" s="423" t="s">
        <v>2818</v>
      </c>
      <c r="F1109" s="423">
        <v>12</v>
      </c>
      <c r="G1109" s="423">
        <v>96</v>
      </c>
      <c r="H1109" s="423">
        <v>600</v>
      </c>
      <c r="J1109" s="423"/>
      <c r="K1109" s="423"/>
      <c r="L1109" s="423"/>
      <c r="M1109" s="423"/>
      <c r="Q1109" s="423"/>
      <c r="R1109" s="424" t="s">
        <v>5738</v>
      </c>
      <c r="S1109" s="424" t="s">
        <v>2820</v>
      </c>
      <c r="T1109" s="424" t="s">
        <v>3268</v>
      </c>
      <c r="U1109" s="424">
        <v>0</v>
      </c>
      <c r="V1109" s="424" t="s">
        <v>2824</v>
      </c>
      <c r="W1109" s="424" t="s">
        <v>2824</v>
      </c>
      <c r="X1109" s="424" t="s">
        <v>5697</v>
      </c>
      <c r="Y1109" s="424" t="s">
        <v>2279</v>
      </c>
      <c r="Z1109" s="424" t="s">
        <v>2889</v>
      </c>
      <c r="AA1109" s="424" t="s">
        <v>3771</v>
      </c>
      <c r="AB1109" s="424" t="s">
        <v>5739</v>
      </c>
      <c r="AC1109" s="424" t="s">
        <v>1953</v>
      </c>
      <c r="AD1109" s="424" t="s">
        <v>3329</v>
      </c>
      <c r="AE1109" s="424" t="s">
        <v>5736</v>
      </c>
      <c r="AF1109" s="424"/>
      <c r="AG1109" s="424"/>
      <c r="AH1109" s="424"/>
    </row>
    <row r="1110" spans="1:34" x14ac:dyDescent="0.25">
      <c r="A1110" s="423" t="s">
        <v>5694</v>
      </c>
      <c r="B1110" s="423" t="s">
        <v>5740</v>
      </c>
      <c r="C1110" s="423" t="s">
        <v>1159</v>
      </c>
      <c r="D1110" s="423" t="s">
        <v>1143</v>
      </c>
      <c r="E1110" s="423" t="s">
        <v>2818</v>
      </c>
      <c r="F1110" s="423">
        <v>12</v>
      </c>
      <c r="G1110" s="423">
        <v>128</v>
      </c>
      <c r="H1110" s="423">
        <v>800</v>
      </c>
      <c r="J1110" s="423"/>
      <c r="K1110" s="423"/>
      <c r="L1110" s="423"/>
      <c r="M1110" s="423"/>
      <c r="Q1110" s="423"/>
      <c r="R1110" s="424" t="s">
        <v>5741</v>
      </c>
      <c r="S1110" s="424" t="s">
        <v>2820</v>
      </c>
      <c r="T1110" s="424" t="s">
        <v>5742</v>
      </c>
      <c r="U1110" s="424">
        <v>0</v>
      </c>
      <c r="V1110" s="424" t="s">
        <v>3982</v>
      </c>
      <c r="W1110" s="424" t="s">
        <v>3982</v>
      </c>
      <c r="X1110" s="424" t="s">
        <v>5697</v>
      </c>
      <c r="Y1110" s="424" t="s">
        <v>2279</v>
      </c>
      <c r="Z1110" s="424" t="s">
        <v>2848</v>
      </c>
      <c r="AA1110" s="424" t="s">
        <v>2855</v>
      </c>
      <c r="AB1110" s="424" t="s">
        <v>5743</v>
      </c>
      <c r="AC1110" s="424" t="s">
        <v>1953</v>
      </c>
      <c r="AD1110" s="424" t="s">
        <v>2851</v>
      </c>
      <c r="AE1110" s="424" t="s">
        <v>5744</v>
      </c>
      <c r="AF1110" s="424"/>
      <c r="AG1110" s="424"/>
      <c r="AH1110" s="424"/>
    </row>
    <row r="1111" spans="1:34" x14ac:dyDescent="0.25">
      <c r="A1111" s="423" t="s">
        <v>5694</v>
      </c>
      <c r="B1111" s="423" t="s">
        <v>5745</v>
      </c>
      <c r="C1111" s="423" t="s">
        <v>1159</v>
      </c>
      <c r="D1111" s="423" t="s">
        <v>1143</v>
      </c>
      <c r="E1111" s="423" t="s">
        <v>2818</v>
      </c>
      <c r="F1111" s="423">
        <v>12</v>
      </c>
      <c r="G1111" s="423">
        <v>128</v>
      </c>
      <c r="H1111" s="423">
        <v>800</v>
      </c>
      <c r="J1111" s="423"/>
      <c r="K1111" s="423"/>
      <c r="L1111" s="423"/>
      <c r="M1111" s="423"/>
      <c r="Q1111" s="423"/>
      <c r="R1111" s="424" t="s">
        <v>5746</v>
      </c>
      <c r="S1111" s="424" t="s">
        <v>2820</v>
      </c>
      <c r="T1111" s="424" t="s">
        <v>5742</v>
      </c>
      <c r="U1111" s="424">
        <v>0</v>
      </c>
      <c r="V1111" s="424" t="s">
        <v>3982</v>
      </c>
      <c r="W1111" s="424" t="s">
        <v>3982</v>
      </c>
      <c r="X1111" s="424" t="s">
        <v>5697</v>
      </c>
      <c r="Y1111" s="424" t="s">
        <v>2279</v>
      </c>
      <c r="Z1111" s="424" t="s">
        <v>2848</v>
      </c>
      <c r="AA1111" s="424" t="s">
        <v>2855</v>
      </c>
      <c r="AB1111" s="424" t="s">
        <v>5747</v>
      </c>
      <c r="AC1111" s="424" t="s">
        <v>1953</v>
      </c>
      <c r="AD1111" s="424" t="s">
        <v>2851</v>
      </c>
      <c r="AE1111" s="424" t="s">
        <v>5744</v>
      </c>
      <c r="AF1111" s="424"/>
      <c r="AG1111" s="424"/>
      <c r="AH1111" s="424"/>
    </row>
    <row r="1112" spans="1:34" x14ac:dyDescent="0.25">
      <c r="A1112" s="423" t="s">
        <v>5694</v>
      </c>
      <c r="B1112" s="423" t="s">
        <v>5748</v>
      </c>
      <c r="C1112" s="423" t="s">
        <v>1159</v>
      </c>
      <c r="D1112" s="423" t="s">
        <v>1143</v>
      </c>
      <c r="E1112" s="423" t="s">
        <v>2818</v>
      </c>
      <c r="F1112" s="423">
        <v>12</v>
      </c>
      <c r="G1112" s="423">
        <v>128</v>
      </c>
      <c r="H1112" s="423">
        <v>800</v>
      </c>
      <c r="J1112" s="423"/>
      <c r="K1112" s="423"/>
      <c r="L1112" s="423"/>
      <c r="M1112" s="423"/>
      <c r="Q1112" s="423"/>
      <c r="R1112" s="424" t="s">
        <v>5749</v>
      </c>
      <c r="S1112" s="424" t="s">
        <v>2820</v>
      </c>
      <c r="T1112" s="424" t="s">
        <v>5742</v>
      </c>
      <c r="U1112" s="424">
        <v>0</v>
      </c>
      <c r="V1112" s="424" t="s">
        <v>3982</v>
      </c>
      <c r="W1112" s="424" t="s">
        <v>3982</v>
      </c>
      <c r="X1112" s="424" t="s">
        <v>5697</v>
      </c>
      <c r="Y1112" s="424" t="s">
        <v>2279</v>
      </c>
      <c r="Z1112" s="424" t="s">
        <v>2848</v>
      </c>
      <c r="AA1112" s="424" t="s">
        <v>2855</v>
      </c>
      <c r="AB1112" s="424" t="s">
        <v>5750</v>
      </c>
      <c r="AC1112" s="424" t="s">
        <v>1953</v>
      </c>
      <c r="AD1112" s="424" t="s">
        <v>2851</v>
      </c>
      <c r="AE1112" s="424" t="s">
        <v>5744</v>
      </c>
      <c r="AF1112" s="424"/>
      <c r="AG1112" s="424"/>
      <c r="AH1112" s="424"/>
    </row>
    <row r="1113" spans="1:34" x14ac:dyDescent="0.25">
      <c r="A1113" s="423" t="s">
        <v>5694</v>
      </c>
      <c r="B1113" s="423" t="s">
        <v>5751</v>
      </c>
      <c r="C1113" s="423" t="s">
        <v>1159</v>
      </c>
      <c r="D1113" s="423" t="s">
        <v>1143</v>
      </c>
      <c r="E1113" s="423" t="s">
        <v>2818</v>
      </c>
      <c r="F1113" s="423">
        <v>12</v>
      </c>
      <c r="G1113" s="423">
        <v>128</v>
      </c>
      <c r="H1113" s="423">
        <v>800</v>
      </c>
      <c r="J1113" s="423"/>
      <c r="K1113" s="423"/>
      <c r="L1113" s="423"/>
      <c r="M1113" s="423"/>
      <c r="Q1113" s="423"/>
      <c r="R1113" s="424" t="s">
        <v>5752</v>
      </c>
      <c r="S1113" s="424" t="s">
        <v>2820</v>
      </c>
      <c r="T1113" s="424" t="s">
        <v>5742</v>
      </c>
      <c r="U1113" s="424">
        <v>0</v>
      </c>
      <c r="V1113" s="424" t="s">
        <v>3982</v>
      </c>
      <c r="W1113" s="424" t="s">
        <v>3982</v>
      </c>
      <c r="X1113" s="424">
        <v>0</v>
      </c>
      <c r="Y1113" s="424" t="s">
        <v>2279</v>
      </c>
      <c r="Z1113" s="424" t="s">
        <v>2848</v>
      </c>
      <c r="AA1113" s="424" t="s">
        <v>2855</v>
      </c>
      <c r="AB1113" s="424" t="s">
        <v>5753</v>
      </c>
      <c r="AC1113" s="424" t="s">
        <v>1953</v>
      </c>
      <c r="AD1113" s="424" t="s">
        <v>2851</v>
      </c>
      <c r="AE1113" s="424" t="s">
        <v>5744</v>
      </c>
      <c r="AF1113" s="424"/>
      <c r="AG1113" s="424"/>
      <c r="AH1113" s="424"/>
    </row>
    <row r="1114" spans="1:34" x14ac:dyDescent="0.25">
      <c r="A1114" s="423" t="s">
        <v>5694</v>
      </c>
      <c r="B1114" s="423" t="s">
        <v>5754</v>
      </c>
      <c r="C1114" s="423" t="s">
        <v>1159</v>
      </c>
      <c r="D1114" s="423" t="s">
        <v>1143</v>
      </c>
      <c r="E1114" s="423" t="s">
        <v>2818</v>
      </c>
      <c r="F1114" s="423">
        <v>12</v>
      </c>
      <c r="G1114" s="423">
        <v>128</v>
      </c>
      <c r="H1114" s="423">
        <v>800</v>
      </c>
      <c r="J1114" s="423"/>
      <c r="K1114" s="423"/>
      <c r="L1114" s="423"/>
      <c r="M1114" s="423"/>
      <c r="Q1114" s="423"/>
      <c r="R1114" s="424" t="s">
        <v>5755</v>
      </c>
      <c r="S1114" s="424" t="s">
        <v>2820</v>
      </c>
      <c r="T1114" s="424" t="s">
        <v>5742</v>
      </c>
      <c r="U1114" s="424">
        <v>0</v>
      </c>
      <c r="V1114" s="424" t="s">
        <v>3982</v>
      </c>
      <c r="W1114" s="424" t="s">
        <v>3982</v>
      </c>
      <c r="X1114" s="424">
        <v>0</v>
      </c>
      <c r="Y1114" s="424" t="s">
        <v>2279</v>
      </c>
      <c r="Z1114" s="424" t="s">
        <v>2848</v>
      </c>
      <c r="AA1114" s="424" t="s">
        <v>2855</v>
      </c>
      <c r="AB1114" s="424" t="s">
        <v>5756</v>
      </c>
      <c r="AC1114" s="424" t="s">
        <v>1953</v>
      </c>
      <c r="AD1114" s="424" t="s">
        <v>2851</v>
      </c>
      <c r="AE1114" s="424" t="s">
        <v>5744</v>
      </c>
      <c r="AF1114" s="424"/>
      <c r="AG1114" s="424"/>
      <c r="AH1114" s="424"/>
    </row>
    <row r="1115" spans="1:34" x14ac:dyDescent="0.25">
      <c r="A1115" s="423" t="s">
        <v>5694</v>
      </c>
      <c r="B1115" s="423" t="s">
        <v>5757</v>
      </c>
      <c r="C1115" s="423" t="s">
        <v>1159</v>
      </c>
      <c r="D1115" s="423" t="s">
        <v>1143</v>
      </c>
      <c r="E1115" s="423" t="s">
        <v>2818</v>
      </c>
      <c r="F1115" s="423">
        <v>12</v>
      </c>
      <c r="G1115" s="423">
        <v>128</v>
      </c>
      <c r="H1115" s="423">
        <v>800</v>
      </c>
      <c r="J1115" s="423"/>
      <c r="K1115" s="423"/>
      <c r="L1115" s="423"/>
      <c r="M1115" s="423"/>
      <c r="Q1115" s="423"/>
      <c r="R1115" s="424" t="s">
        <v>5758</v>
      </c>
      <c r="S1115" s="424" t="s">
        <v>2820</v>
      </c>
      <c r="T1115" s="424" t="s">
        <v>5742</v>
      </c>
      <c r="U1115" s="424">
        <v>0</v>
      </c>
      <c r="V1115" s="424" t="s">
        <v>3982</v>
      </c>
      <c r="W1115" s="424" t="s">
        <v>3982</v>
      </c>
      <c r="X1115" s="424">
        <v>0</v>
      </c>
      <c r="Y1115" s="424" t="s">
        <v>2279</v>
      </c>
      <c r="Z1115" s="424" t="s">
        <v>2848</v>
      </c>
      <c r="AA1115" s="424" t="s">
        <v>2855</v>
      </c>
      <c r="AB1115" s="424" t="s">
        <v>5759</v>
      </c>
      <c r="AC1115" s="424" t="s">
        <v>1953</v>
      </c>
      <c r="AD1115" s="424" t="s">
        <v>2851</v>
      </c>
      <c r="AE1115" s="424" t="s">
        <v>5744</v>
      </c>
      <c r="AF1115" s="424"/>
      <c r="AG1115" s="424"/>
      <c r="AH1115" s="424"/>
    </row>
    <row r="1116" spans="1:34" x14ac:dyDescent="0.25">
      <c r="A1116" s="423" t="s">
        <v>5694</v>
      </c>
      <c r="B1116" s="423" t="s">
        <v>5760</v>
      </c>
      <c r="C1116" s="423" t="s">
        <v>1159</v>
      </c>
      <c r="D1116" s="423" t="s">
        <v>1143</v>
      </c>
      <c r="E1116" s="423" t="s">
        <v>2818</v>
      </c>
      <c r="F1116" s="423">
        <v>12</v>
      </c>
      <c r="G1116" s="423">
        <v>128</v>
      </c>
      <c r="H1116" s="423">
        <v>800</v>
      </c>
      <c r="J1116" s="423"/>
      <c r="K1116" s="423"/>
      <c r="L1116" s="423"/>
      <c r="M1116" s="423"/>
      <c r="Q1116" s="423"/>
      <c r="R1116" s="424" t="s">
        <v>5761</v>
      </c>
      <c r="S1116" s="424" t="s">
        <v>2820</v>
      </c>
      <c r="T1116" s="424" t="s">
        <v>5742</v>
      </c>
      <c r="U1116" s="424">
        <v>0</v>
      </c>
      <c r="V1116" s="424" t="s">
        <v>3982</v>
      </c>
      <c r="W1116" s="424" t="s">
        <v>3982</v>
      </c>
      <c r="X1116" s="424">
        <v>0</v>
      </c>
      <c r="Y1116" s="424" t="s">
        <v>2279</v>
      </c>
      <c r="Z1116" s="424" t="s">
        <v>2848</v>
      </c>
      <c r="AA1116" s="424" t="s">
        <v>2855</v>
      </c>
      <c r="AB1116" s="424" t="s">
        <v>5762</v>
      </c>
      <c r="AC1116" s="424" t="s">
        <v>1953</v>
      </c>
      <c r="AD1116" s="424" t="s">
        <v>2851</v>
      </c>
      <c r="AE1116" s="424" t="s">
        <v>5744</v>
      </c>
      <c r="AF1116" s="424"/>
      <c r="AG1116" s="424"/>
      <c r="AH1116" s="424"/>
    </row>
    <row r="1117" spans="1:34" x14ac:dyDescent="0.25">
      <c r="A1117" s="423" t="s">
        <v>5694</v>
      </c>
      <c r="B1117" s="423" t="s">
        <v>5763</v>
      </c>
      <c r="C1117" s="423" t="s">
        <v>1159</v>
      </c>
      <c r="D1117" s="423" t="s">
        <v>1143</v>
      </c>
      <c r="E1117" s="423" t="s">
        <v>2818</v>
      </c>
      <c r="F1117" s="423">
        <v>12</v>
      </c>
      <c r="G1117" s="423">
        <v>128</v>
      </c>
      <c r="H1117" s="423">
        <v>800</v>
      </c>
      <c r="J1117" s="423"/>
      <c r="K1117" s="423"/>
      <c r="L1117" s="423"/>
      <c r="M1117" s="423"/>
      <c r="Q1117" s="423"/>
      <c r="R1117" s="424" t="s">
        <v>5764</v>
      </c>
      <c r="S1117" s="424" t="s">
        <v>2820</v>
      </c>
      <c r="T1117" s="424" t="s">
        <v>5742</v>
      </c>
      <c r="U1117" s="424">
        <v>0</v>
      </c>
      <c r="V1117" s="424" t="s">
        <v>3982</v>
      </c>
      <c r="W1117" s="424" t="s">
        <v>3982</v>
      </c>
      <c r="X1117" s="424">
        <v>0</v>
      </c>
      <c r="Y1117" s="424" t="s">
        <v>2279</v>
      </c>
      <c r="Z1117" s="424" t="s">
        <v>2848</v>
      </c>
      <c r="AA1117" s="424" t="s">
        <v>2855</v>
      </c>
      <c r="AB1117" s="424" t="s">
        <v>5765</v>
      </c>
      <c r="AC1117" s="424" t="s">
        <v>1953</v>
      </c>
      <c r="AD1117" s="424" t="s">
        <v>2851</v>
      </c>
      <c r="AE1117" s="424" t="s">
        <v>5744</v>
      </c>
      <c r="AF1117" s="424"/>
      <c r="AG1117" s="424"/>
      <c r="AH1117" s="424"/>
    </row>
    <row r="1118" spans="1:34" x14ac:dyDescent="0.25">
      <c r="A1118" s="423" t="s">
        <v>5694</v>
      </c>
      <c r="B1118" s="423" t="s">
        <v>5766</v>
      </c>
      <c r="C1118" s="423" t="s">
        <v>1159</v>
      </c>
      <c r="D1118" s="423" t="s">
        <v>1143</v>
      </c>
      <c r="E1118" s="423" t="s">
        <v>2818</v>
      </c>
      <c r="F1118" s="423">
        <v>12</v>
      </c>
      <c r="G1118" s="423">
        <v>128</v>
      </c>
      <c r="H1118" s="423">
        <v>800</v>
      </c>
      <c r="J1118" s="423"/>
      <c r="K1118" s="423"/>
      <c r="L1118" s="423"/>
      <c r="M1118" s="423"/>
      <c r="Q1118" s="423"/>
      <c r="R1118" s="424" t="s">
        <v>5767</v>
      </c>
      <c r="S1118" s="424" t="s">
        <v>2820</v>
      </c>
      <c r="T1118" s="424" t="s">
        <v>5742</v>
      </c>
      <c r="U1118" s="424">
        <v>0</v>
      </c>
      <c r="V1118" s="424" t="s">
        <v>3982</v>
      </c>
      <c r="W1118" s="424" t="s">
        <v>3982</v>
      </c>
      <c r="X1118" s="424" t="s">
        <v>5697</v>
      </c>
      <c r="Y1118" s="424" t="s">
        <v>2279</v>
      </c>
      <c r="Z1118" s="424" t="s">
        <v>2848</v>
      </c>
      <c r="AA1118" s="424" t="s">
        <v>2855</v>
      </c>
      <c r="AB1118" s="424" t="s">
        <v>5768</v>
      </c>
      <c r="AC1118" s="424" t="s">
        <v>1953</v>
      </c>
      <c r="AD1118" s="424" t="s">
        <v>2851</v>
      </c>
      <c r="AE1118" s="424" t="s">
        <v>5744</v>
      </c>
      <c r="AF1118" s="424"/>
      <c r="AG1118" s="424"/>
      <c r="AH1118" s="424"/>
    </row>
    <row r="1119" spans="1:34" x14ac:dyDescent="0.25">
      <c r="A1119" s="423" t="s">
        <v>5694</v>
      </c>
      <c r="B1119" s="423" t="s">
        <v>5769</v>
      </c>
      <c r="C1119" s="423" t="s">
        <v>1159</v>
      </c>
      <c r="D1119" s="423" t="s">
        <v>1143</v>
      </c>
      <c r="E1119" s="423" t="s">
        <v>2818</v>
      </c>
      <c r="F1119" s="423">
        <v>12</v>
      </c>
      <c r="G1119" s="423">
        <v>128</v>
      </c>
      <c r="H1119" s="423">
        <v>800</v>
      </c>
      <c r="J1119" s="423"/>
      <c r="K1119" s="423"/>
      <c r="L1119" s="423"/>
      <c r="M1119" s="423"/>
      <c r="Q1119" s="423"/>
      <c r="R1119" s="424" t="s">
        <v>5770</v>
      </c>
      <c r="S1119" s="424" t="s">
        <v>2820</v>
      </c>
      <c r="T1119" s="424" t="s">
        <v>5742</v>
      </c>
      <c r="U1119" s="424">
        <v>0</v>
      </c>
      <c r="V1119" s="424" t="s">
        <v>3982</v>
      </c>
      <c r="W1119" s="424" t="s">
        <v>3982</v>
      </c>
      <c r="X1119" s="424">
        <v>0</v>
      </c>
      <c r="Y1119" s="424" t="s">
        <v>2279</v>
      </c>
      <c r="Z1119" s="424" t="s">
        <v>2848</v>
      </c>
      <c r="AA1119" s="424" t="s">
        <v>2855</v>
      </c>
      <c r="AB1119" s="424" t="s">
        <v>5771</v>
      </c>
      <c r="AC1119" s="424" t="s">
        <v>1953</v>
      </c>
      <c r="AD1119" s="424" t="s">
        <v>2851</v>
      </c>
      <c r="AE1119" s="424" t="s">
        <v>5744</v>
      </c>
      <c r="AF1119" s="424"/>
      <c r="AG1119" s="424"/>
      <c r="AH1119" s="424"/>
    </row>
    <row r="1120" spans="1:34" x14ac:dyDescent="0.25">
      <c r="A1120" s="423" t="s">
        <v>5694</v>
      </c>
      <c r="B1120" s="423" t="s">
        <v>5772</v>
      </c>
      <c r="C1120" s="423" t="s">
        <v>1159</v>
      </c>
      <c r="D1120" s="423" t="s">
        <v>1143</v>
      </c>
      <c r="E1120" s="423" t="s">
        <v>2818</v>
      </c>
      <c r="F1120" s="423">
        <v>12</v>
      </c>
      <c r="G1120" s="423">
        <v>128</v>
      </c>
      <c r="H1120" s="423">
        <v>800</v>
      </c>
      <c r="J1120" s="423"/>
      <c r="K1120" s="423"/>
      <c r="L1120" s="423"/>
      <c r="M1120" s="423"/>
      <c r="Q1120" s="423"/>
      <c r="R1120" s="424" t="s">
        <v>5773</v>
      </c>
      <c r="S1120" s="424" t="s">
        <v>2820</v>
      </c>
      <c r="T1120" s="424" t="s">
        <v>5742</v>
      </c>
      <c r="U1120" s="424">
        <v>0</v>
      </c>
      <c r="V1120" s="424" t="s">
        <v>3982</v>
      </c>
      <c r="W1120" s="424" t="s">
        <v>3982</v>
      </c>
      <c r="X1120" s="424">
        <v>0</v>
      </c>
      <c r="Y1120" s="424" t="s">
        <v>2279</v>
      </c>
      <c r="Z1120" s="424" t="s">
        <v>2848</v>
      </c>
      <c r="AA1120" s="424" t="s">
        <v>2855</v>
      </c>
      <c r="AB1120" s="424" t="s">
        <v>5774</v>
      </c>
      <c r="AC1120" s="424" t="s">
        <v>1953</v>
      </c>
      <c r="AD1120" s="424" t="s">
        <v>2851</v>
      </c>
      <c r="AE1120" s="424" t="s">
        <v>5744</v>
      </c>
      <c r="AF1120" s="424"/>
      <c r="AG1120" s="424"/>
      <c r="AH1120" s="424"/>
    </row>
    <row r="1121" spans="1:34" x14ac:dyDescent="0.25">
      <c r="A1121" s="423" t="s">
        <v>5694</v>
      </c>
      <c r="B1121" s="423" t="s">
        <v>5775</v>
      </c>
      <c r="C1121" s="423" t="s">
        <v>1159</v>
      </c>
      <c r="D1121" s="423" t="s">
        <v>1143</v>
      </c>
      <c r="E1121" s="423" t="s">
        <v>2818</v>
      </c>
      <c r="F1121" s="423">
        <v>12</v>
      </c>
      <c r="G1121" s="423">
        <v>128</v>
      </c>
      <c r="H1121" s="423">
        <v>800</v>
      </c>
      <c r="J1121" s="423"/>
      <c r="K1121" s="423"/>
      <c r="L1121" s="423"/>
      <c r="M1121" s="423"/>
      <c r="Q1121" s="423"/>
      <c r="R1121" s="424" t="s">
        <v>5776</v>
      </c>
      <c r="S1121" s="424" t="s">
        <v>2820</v>
      </c>
      <c r="T1121" s="424" t="s">
        <v>5742</v>
      </c>
      <c r="U1121" s="424">
        <v>0</v>
      </c>
      <c r="V1121" s="424" t="s">
        <v>3982</v>
      </c>
      <c r="W1121" s="424" t="s">
        <v>3982</v>
      </c>
      <c r="X1121" s="424">
        <v>0</v>
      </c>
      <c r="Y1121" s="424" t="s">
        <v>2279</v>
      </c>
      <c r="Z1121" s="424" t="s">
        <v>2848</v>
      </c>
      <c r="AA1121" s="424" t="s">
        <v>2855</v>
      </c>
      <c r="AB1121" s="424" t="s">
        <v>5777</v>
      </c>
      <c r="AC1121" s="424" t="s">
        <v>1953</v>
      </c>
      <c r="AD1121" s="424" t="s">
        <v>2851</v>
      </c>
      <c r="AE1121" s="424" t="s">
        <v>5778</v>
      </c>
      <c r="AF1121" s="424"/>
      <c r="AG1121" s="424"/>
      <c r="AH1121" s="424"/>
    </row>
    <row r="1122" spans="1:34" x14ac:dyDescent="0.25">
      <c r="A1122" s="423" t="s">
        <v>5694</v>
      </c>
      <c r="B1122" s="423" t="s">
        <v>5779</v>
      </c>
      <c r="C1122" s="423" t="s">
        <v>1159</v>
      </c>
      <c r="D1122" s="423" t="s">
        <v>1143</v>
      </c>
      <c r="E1122" s="423" t="s">
        <v>2818</v>
      </c>
      <c r="F1122" s="423">
        <v>20</v>
      </c>
      <c r="G1122" s="423">
        <v>256</v>
      </c>
      <c r="H1122" s="423">
        <v>22528</v>
      </c>
      <c r="J1122" s="423"/>
      <c r="K1122" s="423"/>
      <c r="L1122" s="423"/>
      <c r="M1122" s="423"/>
      <c r="Q1122" s="423"/>
      <c r="R1122" s="424" t="s">
        <v>5780</v>
      </c>
      <c r="S1122" s="424" t="s">
        <v>2820</v>
      </c>
      <c r="T1122" s="424" t="s">
        <v>5781</v>
      </c>
      <c r="U1122" s="424">
        <v>0</v>
      </c>
      <c r="V1122" s="424" t="s">
        <v>1159</v>
      </c>
      <c r="W1122" s="424" t="s">
        <v>2973</v>
      </c>
      <c r="X1122" s="424" t="s">
        <v>5697</v>
      </c>
      <c r="Y1122" s="424" t="s">
        <v>2279</v>
      </c>
      <c r="Z1122" s="424" t="s">
        <v>2889</v>
      </c>
      <c r="AA1122" s="424" t="s">
        <v>5782</v>
      </c>
      <c r="AB1122" s="424" t="s">
        <v>5783</v>
      </c>
      <c r="AC1122" s="424" t="s">
        <v>1957</v>
      </c>
      <c r="AD1122" s="424" t="s">
        <v>5784</v>
      </c>
      <c r="AE1122" s="424" t="s">
        <v>5785</v>
      </c>
      <c r="AF1122" s="424"/>
      <c r="AG1122" s="424"/>
      <c r="AH1122" s="424"/>
    </row>
    <row r="1123" spans="1:34" x14ac:dyDescent="0.25">
      <c r="A1123" s="423" t="s">
        <v>5694</v>
      </c>
      <c r="B1123" s="423" t="s">
        <v>5786</v>
      </c>
      <c r="C1123" s="423" t="s">
        <v>1159</v>
      </c>
      <c r="D1123" s="423" t="s">
        <v>1143</v>
      </c>
      <c r="E1123" s="423" t="s">
        <v>2818</v>
      </c>
      <c r="F1123" s="423">
        <v>20</v>
      </c>
      <c r="G1123" s="423">
        <v>256</v>
      </c>
      <c r="H1123" s="423">
        <v>22528</v>
      </c>
      <c r="J1123" s="423"/>
      <c r="K1123" s="423"/>
      <c r="L1123" s="423"/>
      <c r="M1123" s="423"/>
      <c r="Q1123" s="423"/>
      <c r="R1123" s="424" t="s">
        <v>5787</v>
      </c>
      <c r="S1123" s="424" t="s">
        <v>2820</v>
      </c>
      <c r="T1123" s="424" t="s">
        <v>5781</v>
      </c>
      <c r="U1123" s="424">
        <v>0</v>
      </c>
      <c r="V1123" s="424" t="s">
        <v>1159</v>
      </c>
      <c r="W1123" s="424" t="s">
        <v>2973</v>
      </c>
      <c r="X1123" s="424" t="s">
        <v>5697</v>
      </c>
      <c r="Y1123" s="424" t="s">
        <v>2279</v>
      </c>
      <c r="Z1123" s="424" t="s">
        <v>2889</v>
      </c>
      <c r="AA1123" s="424" t="s">
        <v>5782</v>
      </c>
      <c r="AB1123" s="424" t="s">
        <v>5788</v>
      </c>
      <c r="AC1123" s="424" t="s">
        <v>1957</v>
      </c>
      <c r="AD1123" s="424" t="s">
        <v>5784</v>
      </c>
      <c r="AE1123" s="424" t="s">
        <v>5785</v>
      </c>
      <c r="AF1123" s="424"/>
      <c r="AG1123" s="424"/>
      <c r="AH1123" s="424"/>
    </row>
    <row r="1124" spans="1:34" x14ac:dyDescent="0.25">
      <c r="A1124" s="423" t="s">
        <v>5694</v>
      </c>
      <c r="B1124" s="423" t="s">
        <v>5789</v>
      </c>
      <c r="C1124" s="423" t="s">
        <v>1159</v>
      </c>
      <c r="D1124" s="423" t="s">
        <v>1143</v>
      </c>
      <c r="E1124" s="423" t="s">
        <v>2818</v>
      </c>
      <c r="F1124" s="423">
        <v>20</v>
      </c>
      <c r="G1124" s="423">
        <v>256</v>
      </c>
      <c r="H1124" s="423">
        <v>22528</v>
      </c>
      <c r="J1124" s="423"/>
      <c r="K1124" s="423"/>
      <c r="L1124" s="423"/>
      <c r="M1124" s="423"/>
      <c r="Q1124" s="423"/>
      <c r="R1124" s="424" t="s">
        <v>5790</v>
      </c>
      <c r="S1124" s="424" t="s">
        <v>2820</v>
      </c>
      <c r="T1124" s="424" t="s">
        <v>5781</v>
      </c>
      <c r="U1124" s="424">
        <v>0</v>
      </c>
      <c r="V1124" s="424" t="s">
        <v>1159</v>
      </c>
      <c r="W1124" s="424" t="s">
        <v>2973</v>
      </c>
      <c r="X1124" s="424" t="s">
        <v>5697</v>
      </c>
      <c r="Y1124" s="424" t="s">
        <v>2279</v>
      </c>
      <c r="Z1124" s="424" t="s">
        <v>2889</v>
      </c>
      <c r="AA1124" s="424" t="s">
        <v>5782</v>
      </c>
      <c r="AB1124" s="424" t="s">
        <v>5791</v>
      </c>
      <c r="AC1124" s="424" t="s">
        <v>1957</v>
      </c>
      <c r="AD1124" s="424" t="s">
        <v>5784</v>
      </c>
      <c r="AE1124" s="424" t="s">
        <v>5792</v>
      </c>
      <c r="AF1124" s="424"/>
      <c r="AG1124" s="424"/>
      <c r="AH1124" s="424"/>
    </row>
    <row r="1125" spans="1:34" x14ac:dyDescent="0.25">
      <c r="A1125" s="423" t="s">
        <v>5694</v>
      </c>
      <c r="B1125" s="423" t="s">
        <v>5793</v>
      </c>
      <c r="C1125" s="423" t="s">
        <v>1159</v>
      </c>
      <c r="D1125" s="423" t="s">
        <v>1143</v>
      </c>
      <c r="E1125" s="423" t="s">
        <v>2818</v>
      </c>
      <c r="F1125" s="423">
        <v>20</v>
      </c>
      <c r="G1125" s="423">
        <v>256</v>
      </c>
      <c r="H1125" s="423">
        <v>22528</v>
      </c>
      <c r="J1125" s="423"/>
      <c r="K1125" s="423"/>
      <c r="L1125" s="423"/>
      <c r="M1125" s="423"/>
      <c r="Q1125" s="423"/>
      <c r="R1125" s="424" t="s">
        <v>5794</v>
      </c>
      <c r="S1125" s="424" t="s">
        <v>2820</v>
      </c>
      <c r="T1125" s="424" t="s">
        <v>5781</v>
      </c>
      <c r="U1125" s="424">
        <v>0</v>
      </c>
      <c r="V1125" s="424" t="s">
        <v>1159</v>
      </c>
      <c r="W1125" s="424" t="s">
        <v>2973</v>
      </c>
      <c r="X1125" s="424" t="s">
        <v>5697</v>
      </c>
      <c r="Y1125" s="424" t="s">
        <v>2279</v>
      </c>
      <c r="Z1125" s="424" t="s">
        <v>2889</v>
      </c>
      <c r="AA1125" s="424" t="s">
        <v>5782</v>
      </c>
      <c r="AB1125" s="424" t="s">
        <v>5795</v>
      </c>
      <c r="AC1125" s="424" t="s">
        <v>1957</v>
      </c>
      <c r="AD1125" s="424" t="s">
        <v>5784</v>
      </c>
      <c r="AE1125" s="424" t="s">
        <v>5796</v>
      </c>
      <c r="AF1125" s="424"/>
      <c r="AG1125" s="424"/>
      <c r="AH1125" s="424"/>
    </row>
    <row r="1126" spans="1:34" x14ac:dyDescent="0.25">
      <c r="A1126" s="423" t="s">
        <v>5694</v>
      </c>
      <c r="B1126" s="423" t="s">
        <v>5797</v>
      </c>
      <c r="C1126" s="423" t="s">
        <v>1159</v>
      </c>
      <c r="D1126" s="423" t="s">
        <v>1143</v>
      </c>
      <c r="E1126" s="423" t="s">
        <v>2818</v>
      </c>
      <c r="F1126" s="423">
        <v>20</v>
      </c>
      <c r="G1126" s="423">
        <v>256</v>
      </c>
      <c r="H1126" s="423">
        <v>22528</v>
      </c>
      <c r="J1126" s="423"/>
      <c r="K1126" s="423"/>
      <c r="L1126" s="423"/>
      <c r="M1126" s="423"/>
      <c r="Q1126" s="423"/>
      <c r="R1126" s="424" t="s">
        <v>5798</v>
      </c>
      <c r="S1126" s="424" t="s">
        <v>2820</v>
      </c>
      <c r="T1126" s="424" t="s">
        <v>5781</v>
      </c>
      <c r="U1126" s="424">
        <v>0</v>
      </c>
      <c r="V1126" s="424" t="s">
        <v>1159</v>
      </c>
      <c r="W1126" s="424" t="s">
        <v>2973</v>
      </c>
      <c r="X1126" s="424" t="s">
        <v>5697</v>
      </c>
      <c r="Y1126" s="424" t="s">
        <v>2279</v>
      </c>
      <c r="Z1126" s="424" t="s">
        <v>2889</v>
      </c>
      <c r="AA1126" s="424" t="s">
        <v>5782</v>
      </c>
      <c r="AB1126" s="424" t="s">
        <v>5799</v>
      </c>
      <c r="AC1126" s="424" t="s">
        <v>1957</v>
      </c>
      <c r="AD1126" s="424" t="s">
        <v>5784</v>
      </c>
      <c r="AE1126" s="424" t="s">
        <v>5796</v>
      </c>
      <c r="AF1126" s="424"/>
      <c r="AG1126" s="424"/>
      <c r="AH1126" s="424"/>
    </row>
    <row r="1127" spans="1:34" x14ac:dyDescent="0.25">
      <c r="A1127" s="423" t="s">
        <v>5694</v>
      </c>
      <c r="B1127" s="423" t="s">
        <v>5800</v>
      </c>
      <c r="C1127" s="423" t="s">
        <v>1159</v>
      </c>
      <c r="D1127" s="423" t="s">
        <v>1143</v>
      </c>
      <c r="E1127" s="423" t="s">
        <v>2818</v>
      </c>
      <c r="F1127" s="423">
        <v>20</v>
      </c>
      <c r="G1127" s="423">
        <v>256</v>
      </c>
      <c r="H1127" s="423">
        <v>22528</v>
      </c>
      <c r="J1127" s="423"/>
      <c r="K1127" s="423"/>
      <c r="L1127" s="423"/>
      <c r="M1127" s="423"/>
      <c r="Q1127" s="423"/>
      <c r="R1127" s="424" t="s">
        <v>5801</v>
      </c>
      <c r="S1127" s="424" t="s">
        <v>2820</v>
      </c>
      <c r="T1127" s="424" t="s">
        <v>5781</v>
      </c>
      <c r="U1127" s="424">
        <v>0</v>
      </c>
      <c r="V1127" s="424" t="s">
        <v>1159</v>
      </c>
      <c r="W1127" s="424" t="s">
        <v>2973</v>
      </c>
      <c r="X1127" s="424" t="s">
        <v>5697</v>
      </c>
      <c r="Y1127" s="424" t="s">
        <v>2279</v>
      </c>
      <c r="Z1127" s="424" t="s">
        <v>2889</v>
      </c>
      <c r="AA1127" s="424" t="s">
        <v>5782</v>
      </c>
      <c r="AB1127" s="424" t="s">
        <v>5802</v>
      </c>
      <c r="AC1127" s="424" t="s">
        <v>1957</v>
      </c>
      <c r="AD1127" s="424" t="s">
        <v>5784</v>
      </c>
      <c r="AE1127" s="424" t="s">
        <v>5796</v>
      </c>
      <c r="AF1127" s="424"/>
      <c r="AG1127" s="424"/>
      <c r="AH1127" s="424"/>
    </row>
    <row r="1128" spans="1:34" x14ac:dyDescent="0.25">
      <c r="A1128" s="423" t="s">
        <v>5694</v>
      </c>
      <c r="B1128" s="423" t="s">
        <v>5803</v>
      </c>
      <c r="C1128" s="423" t="s">
        <v>1159</v>
      </c>
      <c r="D1128" s="423" t="s">
        <v>1143</v>
      </c>
      <c r="E1128" s="423" t="s">
        <v>2818</v>
      </c>
      <c r="F1128" s="423">
        <v>20</v>
      </c>
      <c r="G1128" s="423">
        <v>256</v>
      </c>
      <c r="H1128" s="423">
        <v>22528</v>
      </c>
      <c r="J1128" s="423"/>
      <c r="K1128" s="423"/>
      <c r="L1128" s="423"/>
      <c r="M1128" s="423"/>
      <c r="Q1128" s="423"/>
      <c r="R1128" s="424" t="s">
        <v>5804</v>
      </c>
      <c r="S1128" s="424" t="s">
        <v>2820</v>
      </c>
      <c r="T1128" s="424" t="s">
        <v>5781</v>
      </c>
      <c r="U1128" s="424">
        <v>0</v>
      </c>
      <c r="V1128" s="424" t="s">
        <v>1159</v>
      </c>
      <c r="W1128" s="424" t="s">
        <v>2973</v>
      </c>
      <c r="X1128" s="424" t="s">
        <v>5697</v>
      </c>
      <c r="Y1128" s="424" t="s">
        <v>2279</v>
      </c>
      <c r="Z1128" s="424" t="s">
        <v>2889</v>
      </c>
      <c r="AA1128" s="424" t="s">
        <v>5782</v>
      </c>
      <c r="AB1128" s="424" t="s">
        <v>5805</v>
      </c>
      <c r="AC1128" s="424" t="s">
        <v>1957</v>
      </c>
      <c r="AD1128" s="424" t="s">
        <v>5784</v>
      </c>
      <c r="AE1128" s="424" t="s">
        <v>5796</v>
      </c>
      <c r="AF1128" s="424"/>
      <c r="AG1128" s="424"/>
      <c r="AH1128" s="424"/>
    </row>
    <row r="1129" spans="1:34" x14ac:dyDescent="0.25">
      <c r="A1129" s="423" t="s">
        <v>5694</v>
      </c>
      <c r="B1129" s="423" t="s">
        <v>5806</v>
      </c>
      <c r="C1129" s="423" t="s">
        <v>1159</v>
      </c>
      <c r="D1129" s="423" t="s">
        <v>1143</v>
      </c>
      <c r="E1129" s="423" t="s">
        <v>2818</v>
      </c>
      <c r="F1129" s="423">
        <v>20</v>
      </c>
      <c r="G1129" s="423">
        <v>256</v>
      </c>
      <c r="H1129" s="423">
        <v>22528</v>
      </c>
      <c r="J1129" s="423"/>
      <c r="K1129" s="423"/>
      <c r="L1129" s="423"/>
      <c r="M1129" s="423"/>
      <c r="Q1129" s="423"/>
      <c r="R1129" s="424" t="s">
        <v>5807</v>
      </c>
      <c r="S1129" s="424" t="s">
        <v>2820</v>
      </c>
      <c r="T1129" s="424" t="s">
        <v>5781</v>
      </c>
      <c r="U1129" s="424">
        <v>0</v>
      </c>
      <c r="V1129" s="424" t="s">
        <v>1159</v>
      </c>
      <c r="W1129" s="424" t="s">
        <v>2973</v>
      </c>
      <c r="X1129" s="424" t="s">
        <v>5697</v>
      </c>
      <c r="Y1129" s="424" t="s">
        <v>2279</v>
      </c>
      <c r="Z1129" s="424" t="s">
        <v>2889</v>
      </c>
      <c r="AA1129" s="424" t="s">
        <v>5782</v>
      </c>
      <c r="AB1129" s="424" t="s">
        <v>5808</v>
      </c>
      <c r="AC1129" s="424" t="s">
        <v>1957</v>
      </c>
      <c r="AD1129" s="424" t="s">
        <v>5784</v>
      </c>
      <c r="AE1129" s="424" t="s">
        <v>5796</v>
      </c>
      <c r="AF1129" s="424"/>
      <c r="AG1129" s="424"/>
      <c r="AH1129" s="424"/>
    </row>
    <row r="1130" spans="1:34" x14ac:dyDescent="0.25">
      <c r="A1130" s="423" t="s">
        <v>5694</v>
      </c>
      <c r="B1130" s="423" t="s">
        <v>5809</v>
      </c>
      <c r="C1130" s="423" t="s">
        <v>1159</v>
      </c>
      <c r="D1130" s="423" t="s">
        <v>1143</v>
      </c>
      <c r="E1130" s="423" t="s">
        <v>2818</v>
      </c>
      <c r="F1130" s="423">
        <v>20</v>
      </c>
      <c r="G1130" s="423">
        <v>256</v>
      </c>
      <c r="H1130" s="423">
        <v>22528</v>
      </c>
      <c r="J1130" s="423"/>
      <c r="K1130" s="423"/>
      <c r="L1130" s="423"/>
      <c r="M1130" s="423"/>
      <c r="Q1130" s="423"/>
      <c r="R1130" s="424" t="s">
        <v>5810</v>
      </c>
      <c r="S1130" s="424" t="s">
        <v>2820</v>
      </c>
      <c r="T1130" s="424" t="s">
        <v>5781</v>
      </c>
      <c r="U1130" s="424">
        <v>0</v>
      </c>
      <c r="V1130" s="424" t="s">
        <v>1159</v>
      </c>
      <c r="W1130" s="424" t="s">
        <v>2973</v>
      </c>
      <c r="X1130" s="424" t="s">
        <v>5697</v>
      </c>
      <c r="Y1130" s="424" t="s">
        <v>2279</v>
      </c>
      <c r="Z1130" s="424" t="s">
        <v>2889</v>
      </c>
      <c r="AA1130" s="424" t="s">
        <v>5782</v>
      </c>
      <c r="AB1130" s="424" t="s">
        <v>5811</v>
      </c>
      <c r="AC1130" s="424" t="s">
        <v>1957</v>
      </c>
      <c r="AD1130" s="424" t="s">
        <v>5784</v>
      </c>
      <c r="AE1130" s="424" t="s">
        <v>5812</v>
      </c>
      <c r="AF1130" s="424"/>
      <c r="AG1130" s="424"/>
      <c r="AH1130" s="424"/>
    </row>
    <row r="1131" spans="1:34" x14ac:dyDescent="0.25">
      <c r="A1131" s="423" t="s">
        <v>5694</v>
      </c>
      <c r="B1131" s="423" t="s">
        <v>5813</v>
      </c>
      <c r="C1131" s="423" t="s">
        <v>1159</v>
      </c>
      <c r="D1131" s="423" t="s">
        <v>1143</v>
      </c>
      <c r="E1131" s="423" t="s">
        <v>2818</v>
      </c>
      <c r="F1131" s="423">
        <v>20</v>
      </c>
      <c r="G1131" s="423">
        <v>256</v>
      </c>
      <c r="H1131" s="423">
        <v>22528</v>
      </c>
      <c r="J1131" s="423"/>
      <c r="K1131" s="423"/>
      <c r="L1131" s="423"/>
      <c r="M1131" s="423"/>
      <c r="Q1131" s="423"/>
      <c r="R1131" s="424" t="s">
        <v>5814</v>
      </c>
      <c r="S1131" s="424" t="s">
        <v>2820</v>
      </c>
      <c r="T1131" s="424" t="s">
        <v>5781</v>
      </c>
      <c r="U1131" s="424">
        <v>0</v>
      </c>
      <c r="V1131" s="424" t="s">
        <v>1159</v>
      </c>
      <c r="W1131" s="424" t="s">
        <v>2973</v>
      </c>
      <c r="X1131" s="424" t="s">
        <v>5697</v>
      </c>
      <c r="Y1131" s="424" t="s">
        <v>2279</v>
      </c>
      <c r="Z1131" s="424" t="s">
        <v>2889</v>
      </c>
      <c r="AA1131" s="424" t="s">
        <v>5782</v>
      </c>
      <c r="AB1131" s="424" t="s">
        <v>5815</v>
      </c>
      <c r="AC1131" s="424" t="s">
        <v>1957</v>
      </c>
      <c r="AD1131" s="424" t="s">
        <v>5784</v>
      </c>
      <c r="AE1131" s="424" t="s">
        <v>5816</v>
      </c>
      <c r="AF1131" s="424"/>
      <c r="AG1131" s="424"/>
      <c r="AH1131" s="424"/>
    </row>
    <row r="1132" spans="1:34" x14ac:dyDescent="0.25">
      <c r="A1132" s="423" t="s">
        <v>5694</v>
      </c>
      <c r="B1132" s="423" t="s">
        <v>5817</v>
      </c>
      <c r="C1132" s="423" t="s">
        <v>1159</v>
      </c>
      <c r="D1132" s="423" t="s">
        <v>1143</v>
      </c>
      <c r="E1132" s="423" t="s">
        <v>2818</v>
      </c>
      <c r="F1132" s="423">
        <v>20</v>
      </c>
      <c r="G1132" s="423">
        <v>256</v>
      </c>
      <c r="H1132" s="423">
        <v>22528</v>
      </c>
      <c r="J1132" s="423"/>
      <c r="K1132" s="423"/>
      <c r="L1132" s="423"/>
      <c r="M1132" s="423"/>
      <c r="Q1132" s="423"/>
      <c r="R1132" s="424" t="s">
        <v>5818</v>
      </c>
      <c r="S1132" s="424" t="s">
        <v>2820</v>
      </c>
      <c r="T1132" s="424" t="s">
        <v>5781</v>
      </c>
      <c r="U1132" s="424">
        <v>0</v>
      </c>
      <c r="V1132" s="424" t="s">
        <v>1159</v>
      </c>
      <c r="W1132" s="424" t="s">
        <v>2973</v>
      </c>
      <c r="X1132" s="424" t="s">
        <v>5697</v>
      </c>
      <c r="Y1132" s="424" t="s">
        <v>2279</v>
      </c>
      <c r="Z1132" s="424" t="s">
        <v>2889</v>
      </c>
      <c r="AA1132" s="424" t="s">
        <v>5782</v>
      </c>
      <c r="AB1132" s="424" t="s">
        <v>5819</v>
      </c>
      <c r="AC1132" s="424" t="s">
        <v>1957</v>
      </c>
      <c r="AD1132" s="424" t="s">
        <v>5784</v>
      </c>
      <c r="AE1132" s="424" t="s">
        <v>5816</v>
      </c>
      <c r="AF1132" s="424"/>
      <c r="AG1132" s="424"/>
      <c r="AH1132" s="424"/>
    </row>
    <row r="1133" spans="1:34" x14ac:dyDescent="0.25">
      <c r="A1133" s="423" t="s">
        <v>5694</v>
      </c>
      <c r="B1133" s="423" t="s">
        <v>5820</v>
      </c>
      <c r="C1133" s="423" t="s">
        <v>1159</v>
      </c>
      <c r="D1133" s="423" t="s">
        <v>1143</v>
      </c>
      <c r="E1133" s="423" t="s">
        <v>2818</v>
      </c>
      <c r="F1133" s="423">
        <v>20</v>
      </c>
      <c r="G1133" s="423">
        <v>256</v>
      </c>
      <c r="H1133" s="423">
        <v>22528</v>
      </c>
      <c r="J1133" s="423"/>
      <c r="K1133" s="423"/>
      <c r="L1133" s="423"/>
      <c r="M1133" s="423"/>
      <c r="Q1133" s="423"/>
      <c r="R1133" s="424" t="s">
        <v>5821</v>
      </c>
      <c r="S1133" s="424" t="s">
        <v>2820</v>
      </c>
      <c r="T1133" s="424" t="s">
        <v>5781</v>
      </c>
      <c r="U1133" s="424">
        <v>0</v>
      </c>
      <c r="V1133" s="424" t="s">
        <v>1159</v>
      </c>
      <c r="W1133" s="424" t="s">
        <v>2973</v>
      </c>
      <c r="X1133" s="424" t="s">
        <v>5697</v>
      </c>
      <c r="Y1133" s="424" t="s">
        <v>2279</v>
      </c>
      <c r="Z1133" s="424" t="s">
        <v>2889</v>
      </c>
      <c r="AA1133" s="424" t="s">
        <v>5782</v>
      </c>
      <c r="AB1133" s="424" t="s">
        <v>5822</v>
      </c>
      <c r="AC1133" s="424" t="s">
        <v>1957</v>
      </c>
      <c r="AD1133" s="424" t="s">
        <v>5784</v>
      </c>
      <c r="AE1133" s="424" t="s">
        <v>5823</v>
      </c>
      <c r="AF1133" s="424"/>
      <c r="AG1133" s="424"/>
      <c r="AH1133" s="424"/>
    </row>
    <row r="1134" spans="1:34" x14ac:dyDescent="0.25">
      <c r="A1134" s="423" t="s">
        <v>5694</v>
      </c>
      <c r="B1134" s="423" t="s">
        <v>5824</v>
      </c>
      <c r="C1134" s="423" t="s">
        <v>1159</v>
      </c>
      <c r="D1134" s="423" t="s">
        <v>1143</v>
      </c>
      <c r="E1134" s="423" t="s">
        <v>2818</v>
      </c>
      <c r="F1134" s="423">
        <v>20</v>
      </c>
      <c r="G1134" s="423">
        <v>256</v>
      </c>
      <c r="H1134" s="423">
        <v>22528</v>
      </c>
      <c r="J1134" s="423"/>
      <c r="K1134" s="423"/>
      <c r="L1134" s="423"/>
      <c r="M1134" s="423"/>
      <c r="Q1134" s="423"/>
      <c r="R1134" s="424" t="s">
        <v>5825</v>
      </c>
      <c r="S1134" s="424" t="s">
        <v>2820</v>
      </c>
      <c r="T1134" s="424" t="s">
        <v>5781</v>
      </c>
      <c r="U1134" s="424">
        <v>0</v>
      </c>
      <c r="V1134" s="424" t="s">
        <v>1159</v>
      </c>
      <c r="W1134" s="424" t="s">
        <v>2973</v>
      </c>
      <c r="X1134" s="424" t="s">
        <v>5697</v>
      </c>
      <c r="Y1134" s="424" t="s">
        <v>2279</v>
      </c>
      <c r="Z1134" s="424" t="s">
        <v>2889</v>
      </c>
      <c r="AA1134" s="424" t="s">
        <v>5782</v>
      </c>
      <c r="AB1134" s="424" t="s">
        <v>5826</v>
      </c>
      <c r="AC1134" s="424" t="s">
        <v>1957</v>
      </c>
      <c r="AD1134" s="424" t="s">
        <v>5784</v>
      </c>
      <c r="AE1134" s="424" t="s">
        <v>5823</v>
      </c>
      <c r="AF1134" s="424"/>
      <c r="AG1134" s="424"/>
      <c r="AH1134" s="424"/>
    </row>
    <row r="1135" spans="1:34" x14ac:dyDescent="0.25">
      <c r="A1135" s="423" t="s">
        <v>5694</v>
      </c>
      <c r="B1135" s="423" t="s">
        <v>5827</v>
      </c>
      <c r="C1135" s="423" t="s">
        <v>1159</v>
      </c>
      <c r="D1135" s="423" t="s">
        <v>1143</v>
      </c>
      <c r="E1135" s="423" t="s">
        <v>2818</v>
      </c>
      <c r="F1135" s="423">
        <v>20</v>
      </c>
      <c r="G1135" s="423">
        <v>256</v>
      </c>
      <c r="H1135" s="423">
        <v>22528</v>
      </c>
      <c r="J1135" s="423"/>
      <c r="K1135" s="423"/>
      <c r="L1135" s="423"/>
      <c r="M1135" s="423"/>
      <c r="Q1135" s="423"/>
      <c r="R1135" s="424" t="s">
        <v>5828</v>
      </c>
      <c r="S1135" s="424" t="s">
        <v>2820</v>
      </c>
      <c r="T1135" s="424" t="s">
        <v>5781</v>
      </c>
      <c r="U1135" s="424">
        <v>0</v>
      </c>
      <c r="V1135" s="424" t="s">
        <v>1159</v>
      </c>
      <c r="W1135" s="424" t="s">
        <v>2973</v>
      </c>
      <c r="X1135" s="424" t="s">
        <v>5697</v>
      </c>
      <c r="Y1135" s="424" t="s">
        <v>2279</v>
      </c>
      <c r="Z1135" s="424" t="s">
        <v>2889</v>
      </c>
      <c r="AA1135" s="424" t="s">
        <v>5782</v>
      </c>
      <c r="AB1135" s="424" t="s">
        <v>5829</v>
      </c>
      <c r="AC1135" s="424" t="s">
        <v>1957</v>
      </c>
      <c r="AD1135" s="424" t="s">
        <v>5784</v>
      </c>
      <c r="AE1135" s="424" t="s">
        <v>5823</v>
      </c>
      <c r="AF1135" s="424"/>
      <c r="AG1135" s="424"/>
      <c r="AH1135" s="424"/>
    </row>
    <row r="1136" spans="1:34" x14ac:dyDescent="0.25">
      <c r="A1136" s="423" t="s">
        <v>5694</v>
      </c>
      <c r="B1136" s="423" t="s">
        <v>5830</v>
      </c>
      <c r="C1136" s="423" t="s">
        <v>1159</v>
      </c>
      <c r="D1136" s="423" t="s">
        <v>1143</v>
      </c>
      <c r="E1136" s="423" t="s">
        <v>2818</v>
      </c>
      <c r="F1136" s="423">
        <v>20</v>
      </c>
      <c r="G1136" s="423">
        <v>256</v>
      </c>
      <c r="H1136" s="423">
        <v>22528</v>
      </c>
      <c r="J1136" s="423"/>
      <c r="K1136" s="423"/>
      <c r="L1136" s="423"/>
      <c r="M1136" s="423"/>
      <c r="Q1136" s="423"/>
      <c r="R1136" s="424" t="s">
        <v>5831</v>
      </c>
      <c r="S1136" s="424" t="s">
        <v>2820</v>
      </c>
      <c r="T1136" s="424" t="s">
        <v>5781</v>
      </c>
      <c r="U1136" s="424">
        <v>0</v>
      </c>
      <c r="V1136" s="424" t="s">
        <v>1159</v>
      </c>
      <c r="W1136" s="424" t="s">
        <v>2973</v>
      </c>
      <c r="X1136" s="424" t="s">
        <v>5697</v>
      </c>
      <c r="Y1136" s="424" t="s">
        <v>2279</v>
      </c>
      <c r="Z1136" s="424" t="s">
        <v>2889</v>
      </c>
      <c r="AA1136" s="424" t="s">
        <v>5782</v>
      </c>
      <c r="AB1136" s="424" t="s">
        <v>5832</v>
      </c>
      <c r="AC1136" s="424" t="s">
        <v>1957</v>
      </c>
      <c r="AD1136" s="424" t="s">
        <v>5784</v>
      </c>
      <c r="AE1136" s="424" t="s">
        <v>5823</v>
      </c>
      <c r="AF1136" s="424"/>
      <c r="AG1136" s="424"/>
      <c r="AH1136" s="424"/>
    </row>
    <row r="1137" spans="1:34" x14ac:dyDescent="0.25">
      <c r="A1137" s="423" t="s">
        <v>5694</v>
      </c>
      <c r="B1137" s="423" t="s">
        <v>5833</v>
      </c>
      <c r="C1137" s="423" t="s">
        <v>1159</v>
      </c>
      <c r="D1137" s="423" t="s">
        <v>1143</v>
      </c>
      <c r="E1137" s="423" t="s">
        <v>2818</v>
      </c>
      <c r="F1137" s="423">
        <v>20</v>
      </c>
      <c r="G1137" s="423">
        <v>256</v>
      </c>
      <c r="H1137" s="423">
        <v>22528</v>
      </c>
      <c r="J1137" s="423"/>
      <c r="K1137" s="423"/>
      <c r="L1137" s="423"/>
      <c r="M1137" s="423"/>
      <c r="Q1137" s="423"/>
      <c r="R1137" s="424" t="s">
        <v>5834</v>
      </c>
      <c r="S1137" s="424" t="s">
        <v>2820</v>
      </c>
      <c r="T1137" s="424" t="s">
        <v>5781</v>
      </c>
      <c r="U1137" s="424">
        <v>0</v>
      </c>
      <c r="V1137" s="424" t="s">
        <v>1159</v>
      </c>
      <c r="W1137" s="424" t="s">
        <v>2973</v>
      </c>
      <c r="X1137" s="424" t="s">
        <v>5697</v>
      </c>
      <c r="Y1137" s="424" t="s">
        <v>2279</v>
      </c>
      <c r="Z1137" s="424" t="s">
        <v>2889</v>
      </c>
      <c r="AA1137" s="424" t="s">
        <v>5782</v>
      </c>
      <c r="AB1137" s="424" t="s">
        <v>5835</v>
      </c>
      <c r="AC1137" s="424" t="s">
        <v>1957</v>
      </c>
      <c r="AD1137" s="424" t="s">
        <v>5784</v>
      </c>
      <c r="AE1137" s="424" t="s">
        <v>5836</v>
      </c>
      <c r="AF1137" s="424"/>
      <c r="AG1137" s="424"/>
      <c r="AH1137" s="424"/>
    </row>
    <row r="1138" spans="1:34" x14ac:dyDescent="0.25">
      <c r="A1138" s="423" t="s">
        <v>5694</v>
      </c>
      <c r="B1138" s="423" t="s">
        <v>5837</v>
      </c>
      <c r="C1138" s="423" t="s">
        <v>1159</v>
      </c>
      <c r="D1138" s="423" t="s">
        <v>1143</v>
      </c>
      <c r="E1138" s="423" t="s">
        <v>2818</v>
      </c>
      <c r="F1138" s="423">
        <v>20</v>
      </c>
      <c r="G1138" s="423">
        <v>256</v>
      </c>
      <c r="H1138" s="423">
        <v>22528</v>
      </c>
      <c r="J1138" s="423"/>
      <c r="K1138" s="423"/>
      <c r="L1138" s="423"/>
      <c r="M1138" s="423"/>
      <c r="Q1138" s="423"/>
      <c r="R1138" s="424" t="s">
        <v>5838</v>
      </c>
      <c r="S1138" s="424" t="s">
        <v>2820</v>
      </c>
      <c r="T1138" s="424" t="s">
        <v>5781</v>
      </c>
      <c r="U1138" s="424">
        <v>0</v>
      </c>
      <c r="V1138" s="424" t="s">
        <v>1159</v>
      </c>
      <c r="W1138" s="424" t="s">
        <v>2973</v>
      </c>
      <c r="X1138" s="424" t="s">
        <v>5697</v>
      </c>
      <c r="Y1138" s="424" t="s">
        <v>2279</v>
      </c>
      <c r="Z1138" s="424" t="s">
        <v>2889</v>
      </c>
      <c r="AA1138" s="424" t="s">
        <v>5782</v>
      </c>
      <c r="AB1138" s="424" t="s">
        <v>5839</v>
      </c>
      <c r="AC1138" s="424" t="s">
        <v>1957</v>
      </c>
      <c r="AD1138" s="424" t="s">
        <v>5784</v>
      </c>
      <c r="AE1138" s="424" t="s">
        <v>5836</v>
      </c>
      <c r="AF1138" s="424"/>
      <c r="AG1138" s="424"/>
      <c r="AH1138" s="424"/>
    </row>
    <row r="1139" spans="1:34" x14ac:dyDescent="0.25">
      <c r="A1139" s="423" t="s">
        <v>5694</v>
      </c>
      <c r="B1139" s="423" t="s">
        <v>5840</v>
      </c>
      <c r="C1139" s="423" t="s">
        <v>1159</v>
      </c>
      <c r="D1139" s="423" t="s">
        <v>1143</v>
      </c>
      <c r="E1139" s="423" t="s">
        <v>2818</v>
      </c>
      <c r="F1139" s="423">
        <v>20</v>
      </c>
      <c r="G1139" s="423">
        <v>256</v>
      </c>
      <c r="H1139" s="423">
        <v>22528</v>
      </c>
      <c r="J1139" s="423"/>
      <c r="K1139" s="423"/>
      <c r="L1139" s="423"/>
      <c r="M1139" s="423"/>
      <c r="Q1139" s="423"/>
      <c r="R1139" s="424" t="s">
        <v>5841</v>
      </c>
      <c r="S1139" s="424" t="s">
        <v>2820</v>
      </c>
      <c r="T1139" s="424" t="s">
        <v>5781</v>
      </c>
      <c r="U1139" s="424">
        <v>0</v>
      </c>
      <c r="V1139" s="424" t="s">
        <v>1159</v>
      </c>
      <c r="W1139" s="424" t="s">
        <v>2973</v>
      </c>
      <c r="X1139" s="424" t="s">
        <v>5697</v>
      </c>
      <c r="Y1139" s="424" t="s">
        <v>2279</v>
      </c>
      <c r="Z1139" s="424" t="s">
        <v>2889</v>
      </c>
      <c r="AA1139" s="424" t="s">
        <v>5782</v>
      </c>
      <c r="AB1139" s="424" t="s">
        <v>5842</v>
      </c>
      <c r="AC1139" s="424" t="s">
        <v>1957</v>
      </c>
      <c r="AD1139" s="424" t="s">
        <v>5784</v>
      </c>
      <c r="AE1139" s="424" t="s">
        <v>5836</v>
      </c>
      <c r="AF1139" s="424"/>
      <c r="AG1139" s="424"/>
      <c r="AH1139" s="424"/>
    </row>
    <row r="1140" spans="1:34" x14ac:dyDescent="0.25">
      <c r="A1140" s="423" t="s">
        <v>5694</v>
      </c>
      <c r="B1140" s="423" t="s">
        <v>5843</v>
      </c>
      <c r="C1140" s="423" t="s">
        <v>1159</v>
      </c>
      <c r="D1140" s="423" t="s">
        <v>1143</v>
      </c>
      <c r="E1140" s="423" t="s">
        <v>2818</v>
      </c>
      <c r="F1140" s="423">
        <v>20</v>
      </c>
      <c r="G1140" s="423">
        <v>256</v>
      </c>
      <c r="H1140" s="423">
        <v>4096</v>
      </c>
      <c r="J1140" s="423"/>
      <c r="K1140" s="423"/>
      <c r="L1140" s="423"/>
      <c r="M1140" s="423"/>
      <c r="Q1140" s="423"/>
      <c r="R1140" s="424" t="s">
        <v>5844</v>
      </c>
      <c r="S1140" s="424" t="s">
        <v>2820</v>
      </c>
      <c r="T1140" s="424" t="s">
        <v>5781</v>
      </c>
      <c r="U1140" s="424">
        <v>0</v>
      </c>
      <c r="V1140" s="424" t="s">
        <v>1159</v>
      </c>
      <c r="W1140" s="424" t="s">
        <v>2973</v>
      </c>
      <c r="X1140" s="424" t="s">
        <v>5697</v>
      </c>
      <c r="Y1140" s="424" t="s">
        <v>2279</v>
      </c>
      <c r="Z1140" s="424" t="s">
        <v>2889</v>
      </c>
      <c r="AA1140" s="424" t="s">
        <v>5782</v>
      </c>
      <c r="AB1140" s="424" t="s">
        <v>5845</v>
      </c>
      <c r="AC1140" s="424" t="s">
        <v>1957</v>
      </c>
      <c r="AD1140" s="424" t="s">
        <v>5784</v>
      </c>
      <c r="AE1140" s="424" t="s">
        <v>5836</v>
      </c>
      <c r="AF1140" s="424"/>
      <c r="AG1140" s="424"/>
      <c r="AH1140" s="424"/>
    </row>
    <row r="1141" spans="1:34" x14ac:dyDescent="0.25">
      <c r="A1141" s="423" t="s">
        <v>5694</v>
      </c>
      <c r="B1141" s="423" t="s">
        <v>5846</v>
      </c>
      <c r="C1141" s="423" t="s">
        <v>1159</v>
      </c>
      <c r="D1141" s="423" t="s">
        <v>1143</v>
      </c>
      <c r="E1141" s="423" t="s">
        <v>2818</v>
      </c>
      <c r="F1141" s="423">
        <v>20</v>
      </c>
      <c r="G1141" s="423">
        <v>256</v>
      </c>
      <c r="H1141" s="423">
        <v>4096</v>
      </c>
      <c r="J1141" s="423"/>
      <c r="K1141" s="423"/>
      <c r="L1141" s="423"/>
      <c r="M1141" s="423"/>
      <c r="Q1141" s="423"/>
      <c r="R1141" s="424" t="s">
        <v>5847</v>
      </c>
      <c r="S1141" s="424" t="s">
        <v>2820</v>
      </c>
      <c r="T1141" s="424" t="s">
        <v>5781</v>
      </c>
      <c r="U1141" s="424">
        <v>0</v>
      </c>
      <c r="V1141" s="424" t="s">
        <v>1159</v>
      </c>
      <c r="W1141" s="424" t="s">
        <v>2973</v>
      </c>
      <c r="X1141" s="424" t="s">
        <v>5697</v>
      </c>
      <c r="Y1141" s="424" t="s">
        <v>2279</v>
      </c>
      <c r="Z1141" s="424" t="s">
        <v>2889</v>
      </c>
      <c r="AA1141" s="424" t="s">
        <v>5782</v>
      </c>
      <c r="AB1141" s="424" t="s">
        <v>5848</v>
      </c>
      <c r="AC1141" s="424" t="s">
        <v>1957</v>
      </c>
      <c r="AD1141" s="424" t="s">
        <v>5784</v>
      </c>
      <c r="AE1141" s="424" t="s">
        <v>5849</v>
      </c>
      <c r="AF1141" s="424"/>
      <c r="AG1141" s="424"/>
      <c r="AH1141" s="424"/>
    </row>
    <row r="1142" spans="1:34" x14ac:dyDescent="0.25">
      <c r="A1142" s="423" t="s">
        <v>5694</v>
      </c>
      <c r="B1142" s="423" t="s">
        <v>5850</v>
      </c>
      <c r="C1142" s="423" t="s">
        <v>1159</v>
      </c>
      <c r="D1142" s="423" t="s">
        <v>1143</v>
      </c>
      <c r="E1142" s="423" t="s">
        <v>2818</v>
      </c>
      <c r="F1142" s="423">
        <v>20</v>
      </c>
      <c r="G1142" s="423">
        <v>256</v>
      </c>
      <c r="H1142" s="423">
        <v>4096</v>
      </c>
      <c r="J1142" s="423"/>
      <c r="K1142" s="423"/>
      <c r="L1142" s="423"/>
      <c r="M1142" s="423"/>
      <c r="Q1142" s="423"/>
      <c r="R1142" s="424" t="s">
        <v>5851</v>
      </c>
      <c r="S1142" s="424" t="s">
        <v>2820</v>
      </c>
      <c r="T1142" s="424" t="s">
        <v>5781</v>
      </c>
      <c r="U1142" s="424">
        <v>0</v>
      </c>
      <c r="V1142" s="424" t="s">
        <v>1159</v>
      </c>
      <c r="W1142" s="424" t="s">
        <v>2973</v>
      </c>
      <c r="X1142" s="424" t="s">
        <v>5697</v>
      </c>
      <c r="Y1142" s="424" t="s">
        <v>2279</v>
      </c>
      <c r="Z1142" s="424" t="s">
        <v>2889</v>
      </c>
      <c r="AA1142" s="424" t="s">
        <v>5782</v>
      </c>
      <c r="AB1142" s="424" t="s">
        <v>5852</v>
      </c>
      <c r="AC1142" s="424" t="s">
        <v>1957</v>
      </c>
      <c r="AD1142" s="424" t="s">
        <v>5784</v>
      </c>
      <c r="AE1142" s="424" t="s">
        <v>5849</v>
      </c>
      <c r="AF1142" s="424"/>
      <c r="AG1142" s="424"/>
      <c r="AH1142" s="424"/>
    </row>
    <row r="1143" spans="1:34" x14ac:dyDescent="0.25">
      <c r="A1143" s="423" t="s">
        <v>5694</v>
      </c>
      <c r="B1143" s="423" t="s">
        <v>5853</v>
      </c>
      <c r="C1143" s="423" t="s">
        <v>1159</v>
      </c>
      <c r="D1143" s="423" t="s">
        <v>1143</v>
      </c>
      <c r="E1143" s="423" t="s">
        <v>2818</v>
      </c>
      <c r="F1143" s="423">
        <v>20</v>
      </c>
      <c r="G1143" s="423">
        <v>256</v>
      </c>
      <c r="H1143" s="423">
        <v>4096</v>
      </c>
      <c r="J1143" s="423"/>
      <c r="K1143" s="423"/>
      <c r="L1143" s="423"/>
      <c r="M1143" s="423"/>
      <c r="Q1143" s="423"/>
      <c r="R1143" s="424" t="s">
        <v>5854</v>
      </c>
      <c r="S1143" s="424" t="s">
        <v>2820</v>
      </c>
      <c r="T1143" s="424" t="s">
        <v>5781</v>
      </c>
      <c r="U1143" s="424">
        <v>0</v>
      </c>
      <c r="V1143" s="424" t="s">
        <v>1159</v>
      </c>
      <c r="W1143" s="424" t="s">
        <v>2973</v>
      </c>
      <c r="X1143" s="424" t="s">
        <v>5697</v>
      </c>
      <c r="Y1143" s="424" t="s">
        <v>2279</v>
      </c>
      <c r="Z1143" s="424" t="s">
        <v>2889</v>
      </c>
      <c r="AA1143" s="424" t="s">
        <v>5782</v>
      </c>
      <c r="AB1143" s="424" t="s">
        <v>5855</v>
      </c>
      <c r="AC1143" s="424" t="s">
        <v>1957</v>
      </c>
      <c r="AD1143" s="424" t="s">
        <v>5784</v>
      </c>
      <c r="AE1143" s="424" t="s">
        <v>5849</v>
      </c>
      <c r="AF1143" s="424"/>
      <c r="AG1143" s="424"/>
      <c r="AH1143" s="424"/>
    </row>
    <row r="1144" spans="1:34" x14ac:dyDescent="0.25">
      <c r="A1144" s="423" t="s">
        <v>5694</v>
      </c>
      <c r="B1144" s="423" t="s">
        <v>5856</v>
      </c>
      <c r="C1144" s="423" t="s">
        <v>1159</v>
      </c>
      <c r="D1144" s="423" t="s">
        <v>1143</v>
      </c>
      <c r="E1144" s="423" t="s">
        <v>2818</v>
      </c>
      <c r="F1144" s="423">
        <v>20</v>
      </c>
      <c r="G1144" s="423">
        <v>256</v>
      </c>
      <c r="H1144" s="423">
        <v>4096</v>
      </c>
      <c r="J1144" s="423"/>
      <c r="K1144" s="423"/>
      <c r="L1144" s="423"/>
      <c r="M1144" s="423"/>
      <c r="Q1144" s="423"/>
      <c r="R1144" s="424" t="s">
        <v>5857</v>
      </c>
      <c r="S1144" s="424" t="s">
        <v>2820</v>
      </c>
      <c r="T1144" s="424" t="s">
        <v>5781</v>
      </c>
      <c r="U1144" s="424">
        <v>0</v>
      </c>
      <c r="V1144" s="424" t="s">
        <v>1159</v>
      </c>
      <c r="W1144" s="424" t="s">
        <v>2973</v>
      </c>
      <c r="X1144" s="424" t="s">
        <v>5697</v>
      </c>
      <c r="Y1144" s="424" t="s">
        <v>2279</v>
      </c>
      <c r="Z1144" s="424" t="s">
        <v>2889</v>
      </c>
      <c r="AA1144" s="424" t="s">
        <v>5782</v>
      </c>
      <c r="AB1144" s="424" t="s">
        <v>5858</v>
      </c>
      <c r="AC1144" s="424" t="s">
        <v>1957</v>
      </c>
      <c r="AD1144" s="424" t="s">
        <v>5784</v>
      </c>
      <c r="AE1144" s="424" t="s">
        <v>5849</v>
      </c>
      <c r="AF1144" s="424"/>
      <c r="AG1144" s="424"/>
      <c r="AH1144" s="424"/>
    </row>
    <row r="1145" spans="1:34" x14ac:dyDescent="0.25">
      <c r="A1145" s="423" t="s">
        <v>5694</v>
      </c>
      <c r="B1145" s="423" t="s">
        <v>5859</v>
      </c>
      <c r="C1145" s="423" t="s">
        <v>1159</v>
      </c>
      <c r="D1145" s="423" t="s">
        <v>1143</v>
      </c>
      <c r="E1145" s="423" t="s">
        <v>2818</v>
      </c>
      <c r="F1145" s="423">
        <v>20</v>
      </c>
      <c r="G1145" s="423">
        <v>256</v>
      </c>
      <c r="H1145" s="423">
        <v>4096</v>
      </c>
      <c r="J1145" s="423"/>
      <c r="K1145" s="423"/>
      <c r="L1145" s="423"/>
      <c r="M1145" s="423"/>
      <c r="Q1145" s="423"/>
      <c r="R1145" s="424" t="s">
        <v>5860</v>
      </c>
      <c r="S1145" s="424" t="s">
        <v>2820</v>
      </c>
      <c r="T1145" s="424" t="s">
        <v>5781</v>
      </c>
      <c r="U1145" s="424">
        <v>0</v>
      </c>
      <c r="V1145" s="424" t="s">
        <v>1159</v>
      </c>
      <c r="W1145" s="424" t="s">
        <v>2973</v>
      </c>
      <c r="X1145" s="424" t="s">
        <v>5697</v>
      </c>
      <c r="Y1145" s="424" t="s">
        <v>2279</v>
      </c>
      <c r="Z1145" s="424" t="s">
        <v>2889</v>
      </c>
      <c r="AA1145" s="424" t="s">
        <v>5782</v>
      </c>
      <c r="AB1145" s="424" t="s">
        <v>5861</v>
      </c>
      <c r="AC1145" s="424" t="s">
        <v>1957</v>
      </c>
      <c r="AD1145" s="424" t="s">
        <v>5784</v>
      </c>
      <c r="AE1145" s="424" t="s">
        <v>5862</v>
      </c>
      <c r="AF1145" s="424"/>
      <c r="AG1145" s="424"/>
      <c r="AH1145" s="424"/>
    </row>
    <row r="1146" spans="1:34" x14ac:dyDescent="0.25">
      <c r="A1146" s="423" t="s">
        <v>5694</v>
      </c>
      <c r="B1146" s="423" t="s">
        <v>5863</v>
      </c>
      <c r="C1146" s="423" t="s">
        <v>1159</v>
      </c>
      <c r="D1146" s="423" t="s">
        <v>1143</v>
      </c>
      <c r="E1146" s="423" t="s">
        <v>2818</v>
      </c>
      <c r="F1146" s="423">
        <v>20</v>
      </c>
      <c r="G1146" s="423">
        <v>256</v>
      </c>
      <c r="H1146" s="423">
        <v>4096</v>
      </c>
      <c r="J1146" s="423"/>
      <c r="K1146" s="423"/>
      <c r="L1146" s="423"/>
      <c r="M1146" s="423"/>
      <c r="Q1146" s="423"/>
      <c r="R1146" s="424" t="s">
        <v>5864</v>
      </c>
      <c r="S1146" s="424" t="s">
        <v>2820</v>
      </c>
      <c r="T1146" s="424" t="s">
        <v>5781</v>
      </c>
      <c r="U1146" s="424">
        <v>0</v>
      </c>
      <c r="V1146" s="424" t="s">
        <v>1159</v>
      </c>
      <c r="W1146" s="424" t="s">
        <v>2973</v>
      </c>
      <c r="X1146" s="424" t="s">
        <v>5697</v>
      </c>
      <c r="Y1146" s="424" t="s">
        <v>2279</v>
      </c>
      <c r="Z1146" s="424" t="s">
        <v>2889</v>
      </c>
      <c r="AA1146" s="424" t="s">
        <v>5782</v>
      </c>
      <c r="AB1146" s="424" t="s">
        <v>5865</v>
      </c>
      <c r="AC1146" s="424" t="s">
        <v>1957</v>
      </c>
      <c r="AD1146" s="424" t="s">
        <v>5784</v>
      </c>
      <c r="AE1146" s="424" t="s">
        <v>5862</v>
      </c>
      <c r="AF1146" s="424"/>
      <c r="AG1146" s="424"/>
      <c r="AH1146" s="424"/>
    </row>
    <row r="1147" spans="1:34" x14ac:dyDescent="0.25">
      <c r="A1147" s="423" t="s">
        <v>5694</v>
      </c>
      <c r="B1147" s="423" t="s">
        <v>5866</v>
      </c>
      <c r="C1147" s="423" t="s">
        <v>1159</v>
      </c>
      <c r="D1147" s="423" t="s">
        <v>1143</v>
      </c>
      <c r="E1147" s="423" t="s">
        <v>2818</v>
      </c>
      <c r="F1147" s="423">
        <v>20</v>
      </c>
      <c r="G1147" s="423">
        <v>256</v>
      </c>
      <c r="H1147" s="423">
        <v>4096</v>
      </c>
      <c r="J1147" s="423"/>
      <c r="K1147" s="423"/>
      <c r="L1147" s="423"/>
      <c r="M1147" s="423"/>
      <c r="Q1147" s="423"/>
      <c r="R1147" s="424" t="s">
        <v>5867</v>
      </c>
      <c r="S1147" s="424" t="s">
        <v>2820</v>
      </c>
      <c r="T1147" s="424" t="s">
        <v>5781</v>
      </c>
      <c r="U1147" s="424">
        <v>0</v>
      </c>
      <c r="V1147" s="424" t="s">
        <v>1159</v>
      </c>
      <c r="W1147" s="424" t="s">
        <v>2973</v>
      </c>
      <c r="X1147" s="424" t="s">
        <v>5697</v>
      </c>
      <c r="Y1147" s="424" t="s">
        <v>2279</v>
      </c>
      <c r="Z1147" s="424" t="s">
        <v>2889</v>
      </c>
      <c r="AA1147" s="424" t="s">
        <v>5782</v>
      </c>
      <c r="AB1147" s="424" t="s">
        <v>5868</v>
      </c>
      <c r="AC1147" s="424" t="s">
        <v>1957</v>
      </c>
      <c r="AD1147" s="424" t="s">
        <v>5784</v>
      </c>
      <c r="AE1147" s="424" t="s">
        <v>5862</v>
      </c>
      <c r="AF1147" s="424"/>
      <c r="AG1147" s="424"/>
      <c r="AH1147" s="424"/>
    </row>
    <row r="1148" spans="1:34" x14ac:dyDescent="0.25">
      <c r="A1148" s="423" t="s">
        <v>5694</v>
      </c>
      <c r="B1148" s="423" t="s">
        <v>5869</v>
      </c>
      <c r="C1148" s="423" t="s">
        <v>1159</v>
      </c>
      <c r="D1148" s="423" t="s">
        <v>1143</v>
      </c>
      <c r="E1148" s="423" t="s">
        <v>2818</v>
      </c>
      <c r="F1148" s="423">
        <v>20</v>
      </c>
      <c r="G1148" s="423">
        <v>256</v>
      </c>
      <c r="H1148" s="423">
        <v>4096</v>
      </c>
      <c r="J1148" s="423"/>
      <c r="K1148" s="423"/>
      <c r="L1148" s="423"/>
      <c r="M1148" s="423"/>
      <c r="Q1148" s="423"/>
      <c r="R1148" s="424" t="s">
        <v>5870</v>
      </c>
      <c r="S1148" s="424" t="s">
        <v>2820</v>
      </c>
      <c r="T1148" s="424" t="s">
        <v>5781</v>
      </c>
      <c r="U1148" s="424">
        <v>0</v>
      </c>
      <c r="V1148" s="424" t="s">
        <v>1159</v>
      </c>
      <c r="W1148" s="424" t="s">
        <v>2973</v>
      </c>
      <c r="X1148" s="424" t="s">
        <v>5697</v>
      </c>
      <c r="Y1148" s="424" t="s">
        <v>2279</v>
      </c>
      <c r="Z1148" s="424" t="s">
        <v>2889</v>
      </c>
      <c r="AA1148" s="424" t="s">
        <v>5782</v>
      </c>
      <c r="AB1148" s="424" t="s">
        <v>5871</v>
      </c>
      <c r="AC1148" s="424" t="s">
        <v>1957</v>
      </c>
      <c r="AD1148" s="424" t="s">
        <v>5784</v>
      </c>
      <c r="AE1148" s="424" t="s">
        <v>5862</v>
      </c>
      <c r="AF1148" s="424"/>
      <c r="AG1148" s="424"/>
      <c r="AH1148" s="424"/>
    </row>
    <row r="1149" spans="1:34" x14ac:dyDescent="0.25">
      <c r="A1149" s="423" t="s">
        <v>5694</v>
      </c>
      <c r="B1149" s="423" t="s">
        <v>5872</v>
      </c>
      <c r="C1149" s="423" t="s">
        <v>1159</v>
      </c>
      <c r="D1149" s="423" t="s">
        <v>1143</v>
      </c>
      <c r="E1149" s="423" t="s">
        <v>2818</v>
      </c>
      <c r="F1149" s="423">
        <v>20</v>
      </c>
      <c r="G1149" s="423">
        <v>256</v>
      </c>
      <c r="H1149" s="423">
        <v>1024</v>
      </c>
      <c r="J1149" s="423"/>
      <c r="K1149" s="423"/>
      <c r="L1149" s="423"/>
      <c r="M1149" s="423"/>
      <c r="Q1149" s="423"/>
      <c r="R1149" s="424" t="s">
        <v>5873</v>
      </c>
      <c r="S1149" s="424" t="s">
        <v>2820</v>
      </c>
      <c r="T1149" s="424" t="s">
        <v>5781</v>
      </c>
      <c r="U1149" s="424">
        <v>0</v>
      </c>
      <c r="V1149" s="424" t="s">
        <v>1159</v>
      </c>
      <c r="W1149" s="424" t="s">
        <v>2973</v>
      </c>
      <c r="X1149" s="424" t="s">
        <v>5697</v>
      </c>
      <c r="Y1149" s="424" t="s">
        <v>2279</v>
      </c>
      <c r="Z1149" s="424" t="s">
        <v>2889</v>
      </c>
      <c r="AA1149" s="424" t="s">
        <v>5782</v>
      </c>
      <c r="AB1149" s="424" t="s">
        <v>5874</v>
      </c>
      <c r="AC1149" s="424" t="s">
        <v>1957</v>
      </c>
      <c r="AD1149" s="424" t="s">
        <v>5784</v>
      </c>
      <c r="AE1149" s="424" t="s">
        <v>5875</v>
      </c>
      <c r="AF1149" s="424"/>
      <c r="AG1149" s="424"/>
      <c r="AH1149" s="424"/>
    </row>
    <row r="1150" spans="1:34" x14ac:dyDescent="0.25">
      <c r="A1150" s="423" t="s">
        <v>5694</v>
      </c>
      <c r="B1150" s="423" t="s">
        <v>5876</v>
      </c>
      <c r="C1150" s="423" t="s">
        <v>1159</v>
      </c>
      <c r="D1150" s="423" t="s">
        <v>1143</v>
      </c>
      <c r="E1150" s="423" t="s">
        <v>2818</v>
      </c>
      <c r="F1150" s="423">
        <v>20</v>
      </c>
      <c r="G1150" s="423">
        <v>256</v>
      </c>
      <c r="H1150" s="423">
        <v>1024</v>
      </c>
      <c r="J1150" s="423"/>
      <c r="K1150" s="423"/>
      <c r="L1150" s="423"/>
      <c r="M1150" s="423"/>
      <c r="Q1150" s="423"/>
      <c r="R1150" s="424" t="s">
        <v>5877</v>
      </c>
      <c r="S1150" s="424" t="s">
        <v>2820</v>
      </c>
      <c r="T1150" s="424" t="s">
        <v>5781</v>
      </c>
      <c r="U1150" s="424">
        <v>0</v>
      </c>
      <c r="V1150" s="424" t="s">
        <v>1159</v>
      </c>
      <c r="W1150" s="424" t="s">
        <v>2973</v>
      </c>
      <c r="X1150" s="424" t="s">
        <v>5697</v>
      </c>
      <c r="Y1150" s="424" t="s">
        <v>2279</v>
      </c>
      <c r="Z1150" s="424" t="s">
        <v>2889</v>
      </c>
      <c r="AA1150" s="424" t="s">
        <v>5782</v>
      </c>
      <c r="AB1150" s="424" t="s">
        <v>5878</v>
      </c>
      <c r="AC1150" s="424" t="s">
        <v>1957</v>
      </c>
      <c r="AD1150" s="424" t="s">
        <v>5784</v>
      </c>
      <c r="AE1150" s="424" t="s">
        <v>5875</v>
      </c>
      <c r="AF1150" s="424"/>
      <c r="AG1150" s="424"/>
      <c r="AH1150" s="424"/>
    </row>
    <row r="1151" spans="1:34" x14ac:dyDescent="0.25">
      <c r="A1151" s="423" t="s">
        <v>5694</v>
      </c>
      <c r="B1151" s="423" t="s">
        <v>5879</v>
      </c>
      <c r="C1151" s="423" t="s">
        <v>1159</v>
      </c>
      <c r="D1151" s="423" t="s">
        <v>1143</v>
      </c>
      <c r="E1151" s="423" t="s">
        <v>2818</v>
      </c>
      <c r="F1151" s="423">
        <v>20</v>
      </c>
      <c r="G1151" s="423">
        <v>256</v>
      </c>
      <c r="H1151" s="423">
        <v>1024</v>
      </c>
      <c r="J1151" s="423"/>
      <c r="K1151" s="423"/>
      <c r="L1151" s="423"/>
      <c r="M1151" s="423"/>
      <c r="Q1151" s="423"/>
      <c r="R1151" s="424" t="s">
        <v>5880</v>
      </c>
      <c r="S1151" s="424" t="s">
        <v>2820</v>
      </c>
      <c r="T1151" s="424" t="s">
        <v>5781</v>
      </c>
      <c r="U1151" s="424">
        <v>0</v>
      </c>
      <c r="V1151" s="424" t="s">
        <v>1159</v>
      </c>
      <c r="W1151" s="424" t="s">
        <v>2973</v>
      </c>
      <c r="X1151" s="424" t="s">
        <v>5697</v>
      </c>
      <c r="Y1151" s="424" t="s">
        <v>2279</v>
      </c>
      <c r="Z1151" s="424" t="s">
        <v>2889</v>
      </c>
      <c r="AA1151" s="424" t="s">
        <v>5782</v>
      </c>
      <c r="AB1151" s="424" t="s">
        <v>5881</v>
      </c>
      <c r="AC1151" s="424" t="s">
        <v>1957</v>
      </c>
      <c r="AD1151" s="424" t="s">
        <v>5784</v>
      </c>
      <c r="AE1151" s="424" t="s">
        <v>5875</v>
      </c>
      <c r="AF1151" s="424"/>
      <c r="AG1151" s="424"/>
      <c r="AH1151" s="424"/>
    </row>
    <row r="1152" spans="1:34" x14ac:dyDescent="0.25">
      <c r="A1152" s="423" t="s">
        <v>5694</v>
      </c>
      <c r="B1152" s="423" t="s">
        <v>5882</v>
      </c>
      <c r="C1152" s="423" t="s">
        <v>1159</v>
      </c>
      <c r="D1152" s="423" t="s">
        <v>1143</v>
      </c>
      <c r="E1152" s="423" t="s">
        <v>2818</v>
      </c>
      <c r="F1152" s="423">
        <v>20</v>
      </c>
      <c r="G1152" s="423">
        <v>256</v>
      </c>
      <c r="H1152" s="423">
        <v>1024</v>
      </c>
      <c r="J1152" s="423"/>
      <c r="K1152" s="423"/>
      <c r="L1152" s="423"/>
      <c r="M1152" s="423"/>
      <c r="Q1152" s="423"/>
      <c r="R1152" s="424" t="s">
        <v>5883</v>
      </c>
      <c r="S1152" s="424" t="s">
        <v>2820</v>
      </c>
      <c r="T1152" s="424" t="s">
        <v>5781</v>
      </c>
      <c r="U1152" s="424">
        <v>0</v>
      </c>
      <c r="V1152" s="424" t="s">
        <v>1159</v>
      </c>
      <c r="W1152" s="424" t="s">
        <v>2973</v>
      </c>
      <c r="X1152" s="424" t="s">
        <v>5697</v>
      </c>
      <c r="Y1152" s="424" t="s">
        <v>2279</v>
      </c>
      <c r="Z1152" s="424" t="s">
        <v>2889</v>
      </c>
      <c r="AA1152" s="424" t="s">
        <v>5782</v>
      </c>
      <c r="AB1152" s="424" t="s">
        <v>5884</v>
      </c>
      <c r="AC1152" s="424" t="s">
        <v>1957</v>
      </c>
      <c r="AD1152" s="424" t="s">
        <v>5784</v>
      </c>
      <c r="AE1152" s="424" t="s">
        <v>5875</v>
      </c>
      <c r="AF1152" s="424"/>
      <c r="AG1152" s="424"/>
      <c r="AH1152" s="424"/>
    </row>
    <row r="1153" spans="1:34" x14ac:dyDescent="0.25">
      <c r="A1153" s="423" t="s">
        <v>5885</v>
      </c>
      <c r="B1153" s="423" t="s">
        <v>5886</v>
      </c>
      <c r="C1153" s="423" t="s">
        <v>1159</v>
      </c>
      <c r="D1153" s="423" t="s">
        <v>1143</v>
      </c>
      <c r="E1153" s="423" t="s">
        <v>2818</v>
      </c>
      <c r="F1153" s="423">
        <v>48</v>
      </c>
      <c r="G1153" s="423">
        <v>126</v>
      </c>
      <c r="H1153" s="423">
        <v>400</v>
      </c>
      <c r="J1153" s="423"/>
      <c r="K1153" s="423"/>
      <c r="L1153" s="423"/>
      <c r="M1153" s="423"/>
      <c r="Q1153" s="423"/>
      <c r="R1153" s="424" t="s">
        <v>5887</v>
      </c>
      <c r="S1153" s="424" t="s">
        <v>2820</v>
      </c>
      <c r="T1153" s="424" t="s">
        <v>2821</v>
      </c>
      <c r="U1153" s="424">
        <v>0</v>
      </c>
      <c r="V1153" s="424" t="s">
        <v>2823</v>
      </c>
      <c r="W1153" s="424" t="s">
        <v>2824</v>
      </c>
      <c r="X1153" s="424" t="s">
        <v>2825</v>
      </c>
      <c r="Y1153" s="424" t="s">
        <v>2279</v>
      </c>
      <c r="Z1153" s="424" t="s">
        <v>2826</v>
      </c>
      <c r="AA1153" s="424" t="s">
        <v>2827</v>
      </c>
      <c r="AB1153" s="424" t="s">
        <v>5888</v>
      </c>
      <c r="AC1153" s="424" t="s">
        <v>1953</v>
      </c>
      <c r="AD1153" s="424" t="s">
        <v>2829</v>
      </c>
      <c r="AE1153" s="424" t="s">
        <v>2981</v>
      </c>
      <c r="AF1153" s="424"/>
      <c r="AG1153" s="424"/>
      <c r="AH1153" s="424"/>
    </row>
    <row r="1154" spans="1:34" x14ac:dyDescent="0.25">
      <c r="A1154" s="423" t="s">
        <v>5885</v>
      </c>
      <c r="B1154" s="423" t="s">
        <v>5889</v>
      </c>
      <c r="C1154" s="423" t="s">
        <v>1159</v>
      </c>
      <c r="D1154" s="423" t="s">
        <v>1143</v>
      </c>
      <c r="E1154" s="423" t="s">
        <v>2818</v>
      </c>
      <c r="F1154" s="423">
        <v>48</v>
      </c>
      <c r="G1154" s="423">
        <v>126</v>
      </c>
      <c r="H1154" s="423">
        <v>400</v>
      </c>
      <c r="J1154" s="423"/>
      <c r="K1154" s="423"/>
      <c r="L1154" s="423"/>
      <c r="M1154" s="423"/>
      <c r="Q1154" s="423"/>
      <c r="R1154" s="424" t="s">
        <v>5890</v>
      </c>
      <c r="S1154" s="424" t="s">
        <v>2820</v>
      </c>
      <c r="T1154" s="424" t="s">
        <v>2821</v>
      </c>
      <c r="U1154" s="424">
        <v>0</v>
      </c>
      <c r="V1154" s="424" t="s">
        <v>2823</v>
      </c>
      <c r="W1154" s="424" t="s">
        <v>2824</v>
      </c>
      <c r="X1154" s="424" t="s">
        <v>2825</v>
      </c>
      <c r="Y1154" s="424" t="s">
        <v>2279</v>
      </c>
      <c r="Z1154" s="424" t="s">
        <v>2826</v>
      </c>
      <c r="AA1154" s="424" t="s">
        <v>2827</v>
      </c>
      <c r="AB1154" s="424" t="s">
        <v>5891</v>
      </c>
      <c r="AC1154" s="424" t="s">
        <v>1953</v>
      </c>
      <c r="AD1154" s="424" t="s">
        <v>2829</v>
      </c>
      <c r="AE1154" s="424" t="s">
        <v>2991</v>
      </c>
      <c r="AF1154" s="424"/>
      <c r="AG1154" s="424"/>
      <c r="AH1154" s="424"/>
    </row>
    <row r="1155" spans="1:34" x14ac:dyDescent="0.25">
      <c r="A1155" s="423" t="s">
        <v>5885</v>
      </c>
      <c r="B1155" s="423" t="s">
        <v>4404</v>
      </c>
      <c r="C1155" s="423" t="s">
        <v>1159</v>
      </c>
      <c r="D1155" s="423" t="s">
        <v>1143</v>
      </c>
      <c r="E1155" s="423" t="s">
        <v>2818</v>
      </c>
      <c r="F1155" s="423">
        <v>48</v>
      </c>
      <c r="G1155" s="423">
        <v>189</v>
      </c>
      <c r="H1155" s="423">
        <v>2500</v>
      </c>
      <c r="J1155" s="423"/>
      <c r="K1155" s="423"/>
      <c r="L1155" s="423"/>
      <c r="M1155" s="423"/>
      <c r="Q1155" s="423"/>
      <c r="R1155" s="424" t="s">
        <v>4405</v>
      </c>
      <c r="S1155" s="424" t="s">
        <v>2820</v>
      </c>
      <c r="T1155" s="424" t="s">
        <v>2821</v>
      </c>
      <c r="U1155" s="424">
        <v>0</v>
      </c>
      <c r="V1155" s="424" t="s">
        <v>2823</v>
      </c>
      <c r="W1155" s="424" t="s">
        <v>2824</v>
      </c>
      <c r="X1155" s="424" t="s">
        <v>3298</v>
      </c>
      <c r="Y1155" s="424" t="s">
        <v>2279</v>
      </c>
      <c r="Z1155" s="424" t="s">
        <v>2826</v>
      </c>
      <c r="AA1155" s="424" t="s">
        <v>2827</v>
      </c>
      <c r="AB1155" s="424" t="s">
        <v>4406</v>
      </c>
      <c r="AC1155" s="424" t="s">
        <v>1953</v>
      </c>
      <c r="AD1155" s="424" t="s">
        <v>2829</v>
      </c>
      <c r="AE1155" s="424" t="s">
        <v>4360</v>
      </c>
      <c r="AF1155" s="424"/>
      <c r="AG1155" s="424"/>
      <c r="AH1155" s="424"/>
    </row>
    <row r="1156" spans="1:34" x14ac:dyDescent="0.25">
      <c r="A1156" s="423" t="s">
        <v>5885</v>
      </c>
      <c r="B1156" s="423" t="s">
        <v>4407</v>
      </c>
      <c r="C1156" s="423" t="s">
        <v>1159</v>
      </c>
      <c r="D1156" s="423" t="s">
        <v>1143</v>
      </c>
      <c r="E1156" s="423" t="s">
        <v>2818</v>
      </c>
      <c r="F1156" s="423">
        <v>48</v>
      </c>
      <c r="G1156" s="423">
        <v>189</v>
      </c>
      <c r="H1156" s="423">
        <v>2500</v>
      </c>
      <c r="J1156" s="423"/>
      <c r="K1156" s="423"/>
      <c r="L1156" s="423"/>
      <c r="M1156" s="423"/>
      <c r="Q1156" s="423"/>
      <c r="R1156" s="424" t="s">
        <v>4408</v>
      </c>
      <c r="S1156" s="424" t="s">
        <v>2820</v>
      </c>
      <c r="T1156" s="424" t="s">
        <v>2821</v>
      </c>
      <c r="U1156" s="424">
        <v>0</v>
      </c>
      <c r="V1156" s="424" t="s">
        <v>2823</v>
      </c>
      <c r="W1156" s="424" t="s">
        <v>2824</v>
      </c>
      <c r="X1156" s="424" t="s">
        <v>3298</v>
      </c>
      <c r="Y1156" s="424" t="s">
        <v>2279</v>
      </c>
      <c r="Z1156" s="424" t="s">
        <v>2826</v>
      </c>
      <c r="AA1156" s="424" t="s">
        <v>2827</v>
      </c>
      <c r="AB1156" s="424" t="s">
        <v>4409</v>
      </c>
      <c r="AC1156" s="424" t="s">
        <v>1953</v>
      </c>
      <c r="AD1156" s="424" t="s">
        <v>2829</v>
      </c>
      <c r="AE1156" s="424" t="s">
        <v>4367</v>
      </c>
      <c r="AF1156" s="424"/>
      <c r="AG1156" s="424"/>
      <c r="AH1156" s="424"/>
    </row>
    <row r="1157" spans="1:34" x14ac:dyDescent="0.25">
      <c r="A1157" s="423" t="s">
        <v>5885</v>
      </c>
      <c r="B1157" s="423" t="s">
        <v>4410</v>
      </c>
      <c r="C1157" s="423" t="s">
        <v>1159</v>
      </c>
      <c r="D1157" s="423" t="s">
        <v>1143</v>
      </c>
      <c r="E1157" s="423" t="s">
        <v>2818</v>
      </c>
      <c r="F1157" s="423">
        <v>48</v>
      </c>
      <c r="G1157" s="423">
        <v>189</v>
      </c>
      <c r="H1157" s="423">
        <v>2500</v>
      </c>
      <c r="J1157" s="423"/>
      <c r="K1157" s="423"/>
      <c r="L1157" s="423"/>
      <c r="M1157" s="423"/>
      <c r="Q1157" s="423"/>
      <c r="R1157" s="424" t="s">
        <v>4411</v>
      </c>
      <c r="S1157" s="424" t="s">
        <v>2820</v>
      </c>
      <c r="T1157" s="424" t="s">
        <v>2821</v>
      </c>
      <c r="U1157" s="424">
        <v>0</v>
      </c>
      <c r="V1157" s="424" t="s">
        <v>2823</v>
      </c>
      <c r="W1157" s="424" t="s">
        <v>2824</v>
      </c>
      <c r="X1157" s="424" t="s">
        <v>3298</v>
      </c>
      <c r="Y1157" s="424" t="s">
        <v>2279</v>
      </c>
      <c r="Z1157" s="424" t="s">
        <v>2826</v>
      </c>
      <c r="AA1157" s="424" t="s">
        <v>2827</v>
      </c>
      <c r="AB1157" s="424" t="s">
        <v>4412</v>
      </c>
      <c r="AC1157" s="424" t="s">
        <v>1953</v>
      </c>
      <c r="AD1157" s="424" t="s">
        <v>2829</v>
      </c>
      <c r="AE1157" s="424" t="s">
        <v>4367</v>
      </c>
      <c r="AF1157" s="424"/>
      <c r="AG1157" s="424"/>
      <c r="AH1157" s="424"/>
    </row>
    <row r="1158" spans="1:34" x14ac:dyDescent="0.25">
      <c r="A1158" s="423" t="s">
        <v>5885</v>
      </c>
      <c r="B1158" s="423" t="s">
        <v>5892</v>
      </c>
      <c r="C1158" s="423" t="s">
        <v>1159</v>
      </c>
      <c r="D1158" s="423" t="s">
        <v>1143</v>
      </c>
      <c r="E1158" s="423" t="s">
        <v>2818</v>
      </c>
      <c r="F1158" s="423">
        <v>48</v>
      </c>
      <c r="G1158" s="423">
        <v>125</v>
      </c>
      <c r="H1158" s="423">
        <v>760</v>
      </c>
      <c r="J1158" s="423"/>
      <c r="K1158" s="423"/>
      <c r="L1158" s="423"/>
      <c r="M1158" s="423"/>
      <c r="Q1158" s="423"/>
      <c r="R1158" s="424" t="s">
        <v>5893</v>
      </c>
      <c r="S1158" s="424" t="s">
        <v>2820</v>
      </c>
      <c r="T1158" s="424" t="s">
        <v>5742</v>
      </c>
      <c r="U1158" s="424">
        <v>0</v>
      </c>
      <c r="V1158" s="424" t="s">
        <v>3982</v>
      </c>
      <c r="W1158" s="424" t="s">
        <v>3982</v>
      </c>
      <c r="X1158" s="424" t="s">
        <v>2825</v>
      </c>
      <c r="Y1158" s="424" t="s">
        <v>2279</v>
      </c>
      <c r="Z1158" s="424" t="s">
        <v>2848</v>
      </c>
      <c r="AA1158" s="424" t="s">
        <v>2855</v>
      </c>
      <c r="AB1158" s="424" t="s">
        <v>5894</v>
      </c>
      <c r="AC1158" s="424" t="s">
        <v>1953</v>
      </c>
      <c r="AD1158" s="424" t="s">
        <v>2851</v>
      </c>
      <c r="AE1158" s="424" t="s">
        <v>5895</v>
      </c>
      <c r="AF1158" s="424"/>
      <c r="AG1158" s="424"/>
      <c r="AH1158" s="424"/>
    </row>
    <row r="1159" spans="1:34" x14ac:dyDescent="0.25">
      <c r="A1159" s="423" t="s">
        <v>5885</v>
      </c>
      <c r="B1159" s="423" t="s">
        <v>5896</v>
      </c>
      <c r="C1159" s="423" t="s">
        <v>1159</v>
      </c>
      <c r="D1159" s="423" t="s">
        <v>1143</v>
      </c>
      <c r="E1159" s="423" t="s">
        <v>2818</v>
      </c>
      <c r="F1159" s="423">
        <v>48</v>
      </c>
      <c r="G1159" s="423">
        <v>125</v>
      </c>
      <c r="H1159" s="423">
        <v>760</v>
      </c>
      <c r="J1159" s="423"/>
      <c r="K1159" s="423"/>
      <c r="L1159" s="423"/>
      <c r="M1159" s="423"/>
      <c r="Q1159" s="423"/>
      <c r="R1159" s="424" t="s">
        <v>5897</v>
      </c>
      <c r="S1159" s="424" t="s">
        <v>2820</v>
      </c>
      <c r="T1159" s="424" t="s">
        <v>5742</v>
      </c>
      <c r="U1159" s="424">
        <v>0</v>
      </c>
      <c r="V1159" s="424" t="s">
        <v>3982</v>
      </c>
      <c r="W1159" s="424" t="s">
        <v>3982</v>
      </c>
      <c r="X1159" s="424" t="s">
        <v>2825</v>
      </c>
      <c r="Y1159" s="424" t="s">
        <v>2279</v>
      </c>
      <c r="Z1159" s="424" t="s">
        <v>2848</v>
      </c>
      <c r="AA1159" s="424" t="s">
        <v>2855</v>
      </c>
      <c r="AB1159" s="424" t="s">
        <v>5898</v>
      </c>
      <c r="AC1159" s="424" t="s">
        <v>1953</v>
      </c>
      <c r="AD1159" s="424" t="s">
        <v>2851</v>
      </c>
      <c r="AE1159" s="424" t="s">
        <v>5895</v>
      </c>
      <c r="AF1159" s="424"/>
      <c r="AG1159" s="424"/>
      <c r="AH1159" s="424"/>
    </row>
    <row r="1160" spans="1:34" x14ac:dyDescent="0.25">
      <c r="A1160" s="423" t="s">
        <v>5885</v>
      </c>
      <c r="B1160" s="423" t="s">
        <v>5899</v>
      </c>
      <c r="C1160" s="423" t="s">
        <v>1159</v>
      </c>
      <c r="D1160" s="423" t="s">
        <v>1143</v>
      </c>
      <c r="E1160" s="423" t="s">
        <v>2818</v>
      </c>
      <c r="F1160" s="423">
        <v>48</v>
      </c>
      <c r="G1160" s="423">
        <v>125</v>
      </c>
      <c r="H1160" s="423">
        <v>760</v>
      </c>
      <c r="J1160" s="423"/>
      <c r="K1160" s="423"/>
      <c r="L1160" s="423"/>
      <c r="M1160" s="423"/>
      <c r="Q1160" s="423"/>
      <c r="R1160" s="424" t="s">
        <v>5900</v>
      </c>
      <c r="S1160" s="424" t="s">
        <v>2820</v>
      </c>
      <c r="T1160" s="424" t="s">
        <v>5742</v>
      </c>
      <c r="U1160" s="424">
        <v>0</v>
      </c>
      <c r="V1160" s="424" t="s">
        <v>3982</v>
      </c>
      <c r="W1160" s="424" t="s">
        <v>3982</v>
      </c>
      <c r="X1160" s="424" t="s">
        <v>2825</v>
      </c>
      <c r="Y1160" s="424" t="s">
        <v>2279</v>
      </c>
      <c r="Z1160" s="424" t="s">
        <v>2848</v>
      </c>
      <c r="AA1160" s="424" t="s">
        <v>2855</v>
      </c>
      <c r="AB1160" s="424" t="s">
        <v>5901</v>
      </c>
      <c r="AC1160" s="424" t="s">
        <v>1953</v>
      </c>
      <c r="AD1160" s="424" t="s">
        <v>2851</v>
      </c>
      <c r="AE1160" s="424" t="s">
        <v>5895</v>
      </c>
      <c r="AF1160" s="424"/>
      <c r="AG1160" s="424"/>
      <c r="AH1160" s="424"/>
    </row>
    <row r="1161" spans="1:34" x14ac:dyDescent="0.25">
      <c r="A1161" s="423" t="s">
        <v>5885</v>
      </c>
      <c r="B1161" s="423" t="s">
        <v>5902</v>
      </c>
      <c r="C1161" s="423" t="s">
        <v>1159</v>
      </c>
      <c r="D1161" s="423" t="s">
        <v>1143</v>
      </c>
      <c r="E1161" s="423" t="s">
        <v>2818</v>
      </c>
      <c r="F1161" s="423">
        <v>48</v>
      </c>
      <c r="G1161" s="423">
        <v>125</v>
      </c>
      <c r="H1161" s="423">
        <v>760</v>
      </c>
      <c r="J1161" s="423"/>
      <c r="K1161" s="423"/>
      <c r="L1161" s="423"/>
      <c r="M1161" s="423"/>
      <c r="Q1161" s="423"/>
      <c r="R1161" s="424" t="s">
        <v>5903</v>
      </c>
      <c r="S1161" s="424" t="s">
        <v>2820</v>
      </c>
      <c r="T1161" s="424" t="s">
        <v>5742</v>
      </c>
      <c r="U1161" s="424">
        <v>0</v>
      </c>
      <c r="V1161" s="424" t="s">
        <v>3982</v>
      </c>
      <c r="W1161" s="424" t="s">
        <v>3982</v>
      </c>
      <c r="X1161" s="424" t="s">
        <v>2825</v>
      </c>
      <c r="Y1161" s="424" t="s">
        <v>2279</v>
      </c>
      <c r="Z1161" s="424" t="s">
        <v>2848</v>
      </c>
      <c r="AA1161" s="424" t="s">
        <v>2855</v>
      </c>
      <c r="AB1161" s="424" t="s">
        <v>5904</v>
      </c>
      <c r="AC1161" s="424" t="s">
        <v>1953</v>
      </c>
      <c r="AD1161" s="424" t="s">
        <v>2851</v>
      </c>
      <c r="AE1161" s="424" t="s">
        <v>5895</v>
      </c>
      <c r="AF1161" s="424"/>
      <c r="AG1161" s="424"/>
      <c r="AH1161" s="424"/>
    </row>
    <row r="1162" spans="1:34" x14ac:dyDescent="0.25">
      <c r="A1162" s="423" t="s">
        <v>5885</v>
      </c>
      <c r="B1162" s="423" t="s">
        <v>5905</v>
      </c>
      <c r="C1162" s="423" t="s">
        <v>1159</v>
      </c>
      <c r="D1162" s="423" t="s">
        <v>1143</v>
      </c>
      <c r="E1162" s="423" t="s">
        <v>2818</v>
      </c>
      <c r="F1162" s="423">
        <v>48</v>
      </c>
      <c r="G1162" s="423">
        <v>125</v>
      </c>
      <c r="H1162" s="423">
        <v>760</v>
      </c>
      <c r="J1162" s="423"/>
      <c r="K1162" s="423"/>
      <c r="L1162" s="423"/>
      <c r="M1162" s="423"/>
      <c r="Q1162" s="423"/>
      <c r="R1162" s="424" t="s">
        <v>5906</v>
      </c>
      <c r="S1162" s="424" t="s">
        <v>2820</v>
      </c>
      <c r="T1162" s="424" t="s">
        <v>5742</v>
      </c>
      <c r="U1162" s="424">
        <v>0</v>
      </c>
      <c r="V1162" s="424" t="s">
        <v>3982</v>
      </c>
      <c r="W1162" s="424" t="s">
        <v>3982</v>
      </c>
      <c r="X1162" s="424">
        <v>0</v>
      </c>
      <c r="Y1162" s="424" t="s">
        <v>2279</v>
      </c>
      <c r="Z1162" s="424" t="s">
        <v>2848</v>
      </c>
      <c r="AA1162" s="424" t="s">
        <v>2855</v>
      </c>
      <c r="AB1162" s="424" t="s">
        <v>5907</v>
      </c>
      <c r="AC1162" s="424" t="s">
        <v>1953</v>
      </c>
      <c r="AD1162" s="424" t="s">
        <v>2851</v>
      </c>
      <c r="AE1162" s="424" t="s">
        <v>5895</v>
      </c>
      <c r="AF1162" s="424"/>
      <c r="AG1162" s="424"/>
      <c r="AH1162" s="424"/>
    </row>
    <row r="1163" spans="1:34" x14ac:dyDescent="0.25">
      <c r="A1163" s="423" t="s">
        <v>5885</v>
      </c>
      <c r="B1163" s="423" t="s">
        <v>5908</v>
      </c>
      <c r="C1163" s="423" t="s">
        <v>1159</v>
      </c>
      <c r="D1163" s="423" t="s">
        <v>1143</v>
      </c>
      <c r="E1163" s="423" t="s">
        <v>2818</v>
      </c>
      <c r="F1163" s="423">
        <v>48</v>
      </c>
      <c r="G1163" s="423">
        <v>125</v>
      </c>
      <c r="H1163" s="423">
        <v>760</v>
      </c>
      <c r="J1163" s="423"/>
      <c r="K1163" s="423"/>
      <c r="L1163" s="423"/>
      <c r="M1163" s="423"/>
      <c r="Q1163" s="423"/>
      <c r="R1163" s="424" t="s">
        <v>5909</v>
      </c>
      <c r="S1163" s="424" t="s">
        <v>2820</v>
      </c>
      <c r="T1163" s="424" t="s">
        <v>5742</v>
      </c>
      <c r="U1163" s="424">
        <v>0</v>
      </c>
      <c r="V1163" s="424" t="s">
        <v>3982</v>
      </c>
      <c r="W1163" s="424" t="s">
        <v>3982</v>
      </c>
      <c r="X1163" s="424">
        <v>0</v>
      </c>
      <c r="Y1163" s="424" t="s">
        <v>2279</v>
      </c>
      <c r="Z1163" s="424" t="s">
        <v>2848</v>
      </c>
      <c r="AA1163" s="424" t="s">
        <v>2855</v>
      </c>
      <c r="AB1163" s="424" t="s">
        <v>5910</v>
      </c>
      <c r="AC1163" s="424" t="s">
        <v>1953</v>
      </c>
      <c r="AD1163" s="424" t="s">
        <v>2851</v>
      </c>
      <c r="AE1163" s="424" t="s">
        <v>5895</v>
      </c>
      <c r="AF1163" s="424"/>
      <c r="AG1163" s="424"/>
      <c r="AH1163" s="424"/>
    </row>
    <row r="1164" spans="1:34" x14ac:dyDescent="0.25">
      <c r="A1164" s="423" t="s">
        <v>5885</v>
      </c>
      <c r="B1164" s="423" t="s">
        <v>5911</v>
      </c>
      <c r="C1164" s="423" t="s">
        <v>1159</v>
      </c>
      <c r="D1164" s="423" t="s">
        <v>1143</v>
      </c>
      <c r="E1164" s="423" t="s">
        <v>2818</v>
      </c>
      <c r="F1164" s="423">
        <v>48</v>
      </c>
      <c r="G1164" s="423">
        <v>125</v>
      </c>
      <c r="H1164" s="423">
        <v>760</v>
      </c>
      <c r="J1164" s="423"/>
      <c r="K1164" s="423"/>
      <c r="L1164" s="423"/>
      <c r="M1164" s="423"/>
      <c r="Q1164" s="423"/>
      <c r="R1164" s="424" t="s">
        <v>5912</v>
      </c>
      <c r="S1164" s="424" t="s">
        <v>2820</v>
      </c>
      <c r="T1164" s="424" t="s">
        <v>5742</v>
      </c>
      <c r="U1164" s="424">
        <v>0</v>
      </c>
      <c r="V1164" s="424" t="s">
        <v>3982</v>
      </c>
      <c r="W1164" s="424" t="s">
        <v>3982</v>
      </c>
      <c r="X1164" s="424">
        <v>0</v>
      </c>
      <c r="Y1164" s="424" t="s">
        <v>2279</v>
      </c>
      <c r="Z1164" s="424" t="s">
        <v>2848</v>
      </c>
      <c r="AA1164" s="424" t="s">
        <v>2855</v>
      </c>
      <c r="AB1164" s="424" t="s">
        <v>5913</v>
      </c>
      <c r="AC1164" s="424" t="s">
        <v>1953</v>
      </c>
      <c r="AD1164" s="424" t="s">
        <v>2851</v>
      </c>
      <c r="AE1164" s="424" t="s">
        <v>5744</v>
      </c>
      <c r="AF1164" s="424"/>
      <c r="AG1164" s="424"/>
      <c r="AH1164" s="424"/>
    </row>
    <row r="1165" spans="1:34" x14ac:dyDescent="0.25">
      <c r="A1165" s="423" t="s">
        <v>5885</v>
      </c>
      <c r="B1165" s="423" t="s">
        <v>5914</v>
      </c>
      <c r="C1165" s="423" t="s">
        <v>1159</v>
      </c>
      <c r="D1165" s="423" t="s">
        <v>1143</v>
      </c>
      <c r="E1165" s="423" t="s">
        <v>2818</v>
      </c>
      <c r="F1165" s="423">
        <v>48</v>
      </c>
      <c r="G1165" s="423">
        <v>125</v>
      </c>
      <c r="H1165" s="423">
        <v>760</v>
      </c>
      <c r="J1165" s="423"/>
      <c r="K1165" s="423"/>
      <c r="L1165" s="423"/>
      <c r="M1165" s="423"/>
      <c r="Q1165" s="423"/>
      <c r="R1165" s="424" t="s">
        <v>5915</v>
      </c>
      <c r="S1165" s="424" t="s">
        <v>2820</v>
      </c>
      <c r="T1165" s="424" t="s">
        <v>5742</v>
      </c>
      <c r="U1165" s="424">
        <v>0</v>
      </c>
      <c r="V1165" s="424" t="s">
        <v>3982</v>
      </c>
      <c r="W1165" s="424" t="s">
        <v>3982</v>
      </c>
      <c r="X1165" s="424">
        <v>0</v>
      </c>
      <c r="Y1165" s="424" t="s">
        <v>2279</v>
      </c>
      <c r="Z1165" s="424" t="s">
        <v>2848</v>
      </c>
      <c r="AA1165" s="424" t="s">
        <v>2855</v>
      </c>
      <c r="AB1165" s="424" t="s">
        <v>5916</v>
      </c>
      <c r="AC1165" s="424" t="s">
        <v>1953</v>
      </c>
      <c r="AD1165" s="424" t="s">
        <v>2851</v>
      </c>
      <c r="AE1165" s="424" t="s">
        <v>5744</v>
      </c>
      <c r="AF1165" s="424"/>
      <c r="AG1165" s="424"/>
      <c r="AH1165" s="424"/>
    </row>
    <row r="1166" spans="1:34" x14ac:dyDescent="0.25">
      <c r="A1166" s="423" t="s">
        <v>5885</v>
      </c>
      <c r="B1166" s="423" t="s">
        <v>5917</v>
      </c>
      <c r="C1166" s="423" t="s">
        <v>1159</v>
      </c>
      <c r="D1166" s="423" t="s">
        <v>1143</v>
      </c>
      <c r="E1166" s="423" t="s">
        <v>2818</v>
      </c>
      <c r="F1166" s="423">
        <v>48</v>
      </c>
      <c r="G1166" s="423">
        <v>125</v>
      </c>
      <c r="H1166" s="423">
        <v>760</v>
      </c>
      <c r="J1166" s="423"/>
      <c r="K1166" s="423"/>
      <c r="L1166" s="423"/>
      <c r="M1166" s="423"/>
      <c r="Q1166" s="423"/>
      <c r="R1166" s="424" t="s">
        <v>5918</v>
      </c>
      <c r="S1166" s="424" t="s">
        <v>2820</v>
      </c>
      <c r="T1166" s="424" t="s">
        <v>5742</v>
      </c>
      <c r="U1166" s="424">
        <v>0</v>
      </c>
      <c r="V1166" s="424" t="s">
        <v>3982</v>
      </c>
      <c r="W1166" s="424" t="s">
        <v>3982</v>
      </c>
      <c r="X1166" s="424">
        <v>0</v>
      </c>
      <c r="Y1166" s="424" t="s">
        <v>2279</v>
      </c>
      <c r="Z1166" s="424" t="s">
        <v>2848</v>
      </c>
      <c r="AA1166" s="424" t="s">
        <v>2855</v>
      </c>
      <c r="AB1166" s="424" t="s">
        <v>5919</v>
      </c>
      <c r="AC1166" s="424" t="s">
        <v>1953</v>
      </c>
      <c r="AD1166" s="424" t="s">
        <v>2851</v>
      </c>
      <c r="AE1166" s="424" t="s">
        <v>5744</v>
      </c>
      <c r="AF1166" s="424"/>
      <c r="AG1166" s="424"/>
      <c r="AH1166" s="424"/>
    </row>
    <row r="1167" spans="1:34" x14ac:dyDescent="0.25">
      <c r="A1167" s="423" t="s">
        <v>5920</v>
      </c>
      <c r="B1167" s="423" t="s">
        <v>5921</v>
      </c>
      <c r="C1167" s="423" t="s">
        <v>5922</v>
      </c>
      <c r="D1167" s="423" t="s">
        <v>5923</v>
      </c>
      <c r="E1167" s="423" t="s">
        <v>2818</v>
      </c>
      <c r="F1167" s="423">
        <v>4</v>
      </c>
      <c r="G1167" s="423">
        <v>8</v>
      </c>
      <c r="H1167" s="423">
        <v>60</v>
      </c>
      <c r="J1167" s="423"/>
      <c r="K1167" s="423"/>
      <c r="L1167" s="423"/>
      <c r="M1167" s="423"/>
      <c r="Q1167" s="423"/>
      <c r="R1167" s="424" t="s">
        <v>5924</v>
      </c>
      <c r="S1167" s="424" t="s">
        <v>2846</v>
      </c>
      <c r="T1167" s="424" t="s">
        <v>2870</v>
      </c>
      <c r="U1167" s="424">
        <v>0</v>
      </c>
      <c r="V1167" s="424" t="s">
        <v>58</v>
      </c>
      <c r="W1167" s="424" t="s">
        <v>2871</v>
      </c>
      <c r="X1167" s="424" t="s">
        <v>2224</v>
      </c>
      <c r="Y1167" s="424" t="s">
        <v>2279</v>
      </c>
      <c r="Z1167" s="424" t="s">
        <v>2872</v>
      </c>
      <c r="AA1167" s="424" t="s">
        <v>2873</v>
      </c>
      <c r="AB1167" s="424" t="s">
        <v>3084</v>
      </c>
      <c r="AC1167" s="424" t="s">
        <v>1953</v>
      </c>
      <c r="AD1167" s="424" t="s">
        <v>2892</v>
      </c>
      <c r="AE1167" s="424" t="s">
        <v>2944</v>
      </c>
      <c r="AF1167" s="424"/>
      <c r="AG1167" s="424"/>
      <c r="AH1167" s="424"/>
    </row>
    <row r="1168" spans="1:34" x14ac:dyDescent="0.25">
      <c r="A1168" s="423" t="s">
        <v>5920</v>
      </c>
      <c r="B1168" s="423" t="s">
        <v>5925</v>
      </c>
      <c r="C1168" s="423" t="s">
        <v>5922</v>
      </c>
      <c r="D1168" s="423" t="s">
        <v>5923</v>
      </c>
      <c r="E1168" s="423" t="s">
        <v>2818</v>
      </c>
      <c r="F1168" s="423">
        <v>4</v>
      </c>
      <c r="G1168" s="423">
        <v>8</v>
      </c>
      <c r="H1168" s="423">
        <v>60</v>
      </c>
      <c r="J1168" s="423"/>
      <c r="K1168" s="423"/>
      <c r="L1168" s="423"/>
      <c r="M1168" s="423"/>
      <c r="Q1168" s="423"/>
      <c r="R1168" s="424" t="s">
        <v>5926</v>
      </c>
      <c r="S1168" s="424" t="s">
        <v>2846</v>
      </c>
      <c r="T1168" s="424" t="s">
        <v>2870</v>
      </c>
      <c r="U1168" s="424">
        <v>0</v>
      </c>
      <c r="V1168" s="424" t="s">
        <v>58</v>
      </c>
      <c r="W1168" s="424" t="s">
        <v>2974</v>
      </c>
      <c r="X1168" s="424" t="s">
        <v>2224</v>
      </c>
      <c r="Y1168" s="424" t="s">
        <v>2279</v>
      </c>
      <c r="Z1168" s="424" t="s">
        <v>2872</v>
      </c>
      <c r="AA1168" s="424" t="s">
        <v>2873</v>
      </c>
      <c r="AB1168" s="424" t="s">
        <v>4510</v>
      </c>
      <c r="AC1168" s="424" t="s">
        <v>1953</v>
      </c>
      <c r="AD1168" s="424" t="s">
        <v>2892</v>
      </c>
      <c r="AE1168" s="424" t="s">
        <v>4463</v>
      </c>
      <c r="AF1168" s="424"/>
      <c r="AG1168" s="424"/>
      <c r="AH1168" s="424"/>
    </row>
    <row r="1169" spans="1:34" x14ac:dyDescent="0.25">
      <c r="A1169" s="423" t="s">
        <v>5920</v>
      </c>
      <c r="B1169" s="423" t="s">
        <v>5927</v>
      </c>
      <c r="C1169" s="423" t="s">
        <v>5922</v>
      </c>
      <c r="D1169" s="423" t="s">
        <v>5923</v>
      </c>
      <c r="E1169" s="423" t="s">
        <v>2818</v>
      </c>
      <c r="F1169" s="423">
        <v>4</v>
      </c>
      <c r="G1169" s="423">
        <v>8</v>
      </c>
      <c r="H1169" s="423">
        <v>60</v>
      </c>
      <c r="J1169" s="423"/>
      <c r="K1169" s="423"/>
      <c r="L1169" s="423"/>
      <c r="M1169" s="423"/>
      <c r="Q1169" s="423"/>
      <c r="R1169" s="424" t="s">
        <v>5928</v>
      </c>
      <c r="S1169" s="424" t="s">
        <v>2846</v>
      </c>
      <c r="T1169" s="424" t="s">
        <v>2870</v>
      </c>
      <c r="U1169" s="424">
        <v>0</v>
      </c>
      <c r="V1169" s="424" t="s">
        <v>58</v>
      </c>
      <c r="W1169" s="424" t="s">
        <v>3074</v>
      </c>
      <c r="X1169" s="424" t="s">
        <v>2224</v>
      </c>
      <c r="Y1169" s="424" t="s">
        <v>2279</v>
      </c>
      <c r="Z1169" s="424" t="s">
        <v>2872</v>
      </c>
      <c r="AA1169" s="424" t="s">
        <v>2873</v>
      </c>
      <c r="AB1169" s="424" t="s">
        <v>5164</v>
      </c>
      <c r="AC1169" s="424" t="s">
        <v>1953</v>
      </c>
      <c r="AD1169" s="424" t="s">
        <v>2892</v>
      </c>
      <c r="AE1169" s="424" t="s">
        <v>2962</v>
      </c>
      <c r="AF1169" s="424"/>
      <c r="AG1169" s="424"/>
      <c r="AH1169" s="424"/>
    </row>
    <row r="1170" spans="1:34" x14ac:dyDescent="0.25">
      <c r="A1170" s="423" t="s">
        <v>5920</v>
      </c>
      <c r="B1170" s="423" t="s">
        <v>5929</v>
      </c>
      <c r="C1170" s="423" t="s">
        <v>5922</v>
      </c>
      <c r="D1170" s="423" t="s">
        <v>5923</v>
      </c>
      <c r="E1170" s="423" t="s">
        <v>2818</v>
      </c>
      <c r="F1170" s="423">
        <v>4</v>
      </c>
      <c r="G1170" s="423">
        <v>8</v>
      </c>
      <c r="H1170" s="423">
        <v>60</v>
      </c>
      <c r="J1170" s="423"/>
      <c r="K1170" s="423"/>
      <c r="L1170" s="423"/>
      <c r="M1170" s="423"/>
      <c r="Q1170" s="423"/>
      <c r="R1170" s="424" t="s">
        <v>5930</v>
      </c>
      <c r="S1170" s="424" t="s">
        <v>2846</v>
      </c>
      <c r="T1170" s="424" t="s">
        <v>2870</v>
      </c>
      <c r="U1170" s="424">
        <v>0</v>
      </c>
      <c r="V1170" s="424" t="s">
        <v>58</v>
      </c>
      <c r="W1170" s="424" t="s">
        <v>3074</v>
      </c>
      <c r="X1170" s="424" t="s">
        <v>2224</v>
      </c>
      <c r="Y1170" s="424" t="s">
        <v>2279</v>
      </c>
      <c r="Z1170" s="424" t="s">
        <v>2872</v>
      </c>
      <c r="AA1170" s="424" t="s">
        <v>2873</v>
      </c>
      <c r="AB1170" s="424" t="s">
        <v>5931</v>
      </c>
      <c r="AC1170" s="424" t="s">
        <v>1953</v>
      </c>
      <c r="AD1170" s="424" t="s">
        <v>2892</v>
      </c>
      <c r="AE1170" s="424" t="s">
        <v>2926</v>
      </c>
      <c r="AF1170" s="424"/>
      <c r="AG1170" s="424"/>
      <c r="AH1170" s="424"/>
    </row>
    <row r="1171" spans="1:34" x14ac:dyDescent="0.25">
      <c r="A1171" s="423" t="s">
        <v>5920</v>
      </c>
      <c r="B1171" s="423" t="s">
        <v>5932</v>
      </c>
      <c r="C1171" s="423" t="s">
        <v>5922</v>
      </c>
      <c r="D1171" s="423" t="s">
        <v>5923</v>
      </c>
      <c r="E1171" s="423" t="s">
        <v>2818</v>
      </c>
      <c r="F1171" s="423">
        <v>4</v>
      </c>
      <c r="G1171" s="423">
        <v>8</v>
      </c>
      <c r="H1171" s="423">
        <v>60</v>
      </c>
      <c r="J1171" s="423"/>
      <c r="K1171" s="423"/>
      <c r="L1171" s="423"/>
      <c r="M1171" s="423"/>
      <c r="Q1171" s="423"/>
      <c r="R1171" s="424" t="s">
        <v>5933</v>
      </c>
      <c r="S1171" s="424" t="s">
        <v>2846</v>
      </c>
      <c r="T1171" s="424" t="s">
        <v>2870</v>
      </c>
      <c r="U1171" s="424">
        <v>0</v>
      </c>
      <c r="V1171" s="424" t="s">
        <v>58</v>
      </c>
      <c r="W1171" s="424" t="s">
        <v>2974</v>
      </c>
      <c r="X1171" s="424" t="s">
        <v>2224</v>
      </c>
      <c r="Y1171" s="424" t="s">
        <v>2279</v>
      </c>
      <c r="Z1171" s="424" t="s">
        <v>2872</v>
      </c>
      <c r="AA1171" s="424" t="s">
        <v>2873</v>
      </c>
      <c r="AB1171" s="424" t="s">
        <v>4503</v>
      </c>
      <c r="AC1171" s="424" t="s">
        <v>1953</v>
      </c>
      <c r="AD1171" s="424" t="s">
        <v>2892</v>
      </c>
      <c r="AE1171" s="424" t="s">
        <v>4219</v>
      </c>
      <c r="AF1171" s="424"/>
      <c r="AG1171" s="424"/>
      <c r="AH1171" s="424"/>
    </row>
    <row r="1172" spans="1:34" x14ac:dyDescent="0.25">
      <c r="A1172" s="423" t="s">
        <v>5920</v>
      </c>
      <c r="B1172" s="423" t="s">
        <v>5934</v>
      </c>
      <c r="C1172" s="423" t="s">
        <v>5922</v>
      </c>
      <c r="D1172" s="423" t="s">
        <v>5923</v>
      </c>
      <c r="E1172" s="423" t="s">
        <v>2818</v>
      </c>
      <c r="F1172" s="423">
        <v>4</v>
      </c>
      <c r="G1172" s="423">
        <v>8</v>
      </c>
      <c r="H1172" s="423">
        <v>60</v>
      </c>
      <c r="J1172" s="423"/>
      <c r="K1172" s="423"/>
      <c r="L1172" s="423"/>
      <c r="M1172" s="423"/>
      <c r="Q1172" s="423"/>
      <c r="R1172" s="424" t="s">
        <v>5935</v>
      </c>
      <c r="S1172" s="424" t="s">
        <v>2846</v>
      </c>
      <c r="T1172" s="424" t="s">
        <v>2870</v>
      </c>
      <c r="U1172" s="424">
        <v>0</v>
      </c>
      <c r="V1172" s="424" t="s">
        <v>58</v>
      </c>
      <c r="W1172" s="424" t="s">
        <v>3074</v>
      </c>
      <c r="X1172" s="424" t="s">
        <v>2224</v>
      </c>
      <c r="Y1172" s="424" t="s">
        <v>2279</v>
      </c>
      <c r="Z1172" s="424" t="s">
        <v>2872</v>
      </c>
      <c r="AA1172" s="424" t="s">
        <v>2873</v>
      </c>
      <c r="AB1172" s="424" t="s">
        <v>5936</v>
      </c>
      <c r="AC1172" s="424" t="s">
        <v>1953</v>
      </c>
      <c r="AD1172" s="424" t="s">
        <v>2892</v>
      </c>
      <c r="AE1172" s="424" t="s">
        <v>2962</v>
      </c>
      <c r="AF1172" s="424"/>
      <c r="AG1172" s="424"/>
      <c r="AH1172" s="424"/>
    </row>
    <row r="1173" spans="1:34" x14ac:dyDescent="0.25">
      <c r="A1173" s="423" t="s">
        <v>5920</v>
      </c>
      <c r="B1173" s="423" t="s">
        <v>5937</v>
      </c>
      <c r="C1173" s="423" t="s">
        <v>5922</v>
      </c>
      <c r="D1173" s="423" t="s">
        <v>5923</v>
      </c>
      <c r="E1173" s="423" t="s">
        <v>2818</v>
      </c>
      <c r="F1173" s="423">
        <v>32</v>
      </c>
      <c r="G1173" s="423">
        <v>48</v>
      </c>
      <c r="H1173" s="423">
        <v>60</v>
      </c>
      <c r="J1173" s="423"/>
      <c r="K1173" s="423"/>
      <c r="L1173" s="423"/>
      <c r="M1173" s="423"/>
      <c r="Q1173" s="423"/>
      <c r="R1173" s="424" t="s">
        <v>5938</v>
      </c>
      <c r="S1173" s="424" t="s">
        <v>2846</v>
      </c>
      <c r="T1173" s="424" t="s">
        <v>3356</v>
      </c>
      <c r="U1173" s="424">
        <v>0</v>
      </c>
      <c r="V1173" s="424" t="s">
        <v>58</v>
      </c>
      <c r="W1173" s="424" t="s">
        <v>3074</v>
      </c>
      <c r="X1173" s="424" t="s">
        <v>2224</v>
      </c>
      <c r="Y1173" s="424" t="s">
        <v>2279</v>
      </c>
      <c r="Z1173" s="424" t="s">
        <v>2889</v>
      </c>
      <c r="AA1173" s="424" t="s">
        <v>3197</v>
      </c>
      <c r="AB1173" s="424" t="s">
        <v>5939</v>
      </c>
      <c r="AC1173" s="424" t="s">
        <v>1953</v>
      </c>
      <c r="AD1173" s="424" t="s">
        <v>2829</v>
      </c>
      <c r="AE1173" s="424" t="s">
        <v>3243</v>
      </c>
      <c r="AF1173" s="424"/>
      <c r="AG1173" s="424"/>
      <c r="AH1173" s="424"/>
    </row>
    <row r="1174" spans="1:34" x14ac:dyDescent="0.25">
      <c r="A1174" s="423" t="s">
        <v>5920</v>
      </c>
      <c r="B1174" s="423" t="s">
        <v>5940</v>
      </c>
      <c r="C1174" s="423" t="s">
        <v>5922</v>
      </c>
      <c r="D1174" s="423" t="s">
        <v>5923</v>
      </c>
      <c r="E1174" s="423" t="s">
        <v>2818</v>
      </c>
      <c r="F1174" s="423">
        <v>32</v>
      </c>
      <c r="G1174" s="423">
        <v>48</v>
      </c>
      <c r="H1174" s="423">
        <v>60</v>
      </c>
      <c r="J1174" s="423"/>
      <c r="K1174" s="423"/>
      <c r="L1174" s="423"/>
      <c r="M1174" s="423"/>
      <c r="Q1174" s="423"/>
      <c r="R1174" s="424" t="s">
        <v>5941</v>
      </c>
      <c r="S1174" s="424" t="s">
        <v>2846</v>
      </c>
      <c r="T1174" s="424" t="s">
        <v>3356</v>
      </c>
      <c r="U1174" s="424">
        <v>0</v>
      </c>
      <c r="V1174" s="424" t="s">
        <v>58</v>
      </c>
      <c r="W1174" s="424" t="s">
        <v>3074</v>
      </c>
      <c r="X1174" s="424" t="s">
        <v>2224</v>
      </c>
      <c r="Y1174" s="424" t="s">
        <v>2279</v>
      </c>
      <c r="Z1174" s="424" t="s">
        <v>2872</v>
      </c>
      <c r="AA1174" s="424" t="s">
        <v>3197</v>
      </c>
      <c r="AB1174" s="424" t="s">
        <v>3752</v>
      </c>
      <c r="AC1174" s="424" t="s">
        <v>1953</v>
      </c>
      <c r="AD1174" s="424" t="s">
        <v>2829</v>
      </c>
      <c r="AE1174" s="424" t="s">
        <v>3216</v>
      </c>
      <c r="AF1174" s="424"/>
      <c r="AG1174" s="424"/>
      <c r="AH1174" s="424"/>
    </row>
    <row r="1175" spans="1:34" x14ac:dyDescent="0.25">
      <c r="A1175" s="423" t="s">
        <v>5920</v>
      </c>
      <c r="B1175" s="423" t="s">
        <v>5942</v>
      </c>
      <c r="C1175" s="423" t="s">
        <v>5922</v>
      </c>
      <c r="D1175" s="423" t="s">
        <v>5923</v>
      </c>
      <c r="E1175" s="423" t="s">
        <v>2818</v>
      </c>
      <c r="F1175" s="423">
        <v>32</v>
      </c>
      <c r="G1175" s="423">
        <v>48</v>
      </c>
      <c r="H1175" s="423">
        <v>60</v>
      </c>
      <c r="J1175" s="423"/>
      <c r="K1175" s="423"/>
      <c r="L1175" s="423"/>
      <c r="M1175" s="423"/>
      <c r="Q1175" s="423"/>
      <c r="R1175" s="424" t="s">
        <v>5943</v>
      </c>
      <c r="S1175" s="424" t="s">
        <v>2846</v>
      </c>
      <c r="T1175" s="424" t="s">
        <v>3356</v>
      </c>
      <c r="U1175" s="424">
        <v>0</v>
      </c>
      <c r="V1175" s="424" t="s">
        <v>58</v>
      </c>
      <c r="W1175" s="424" t="s">
        <v>3074</v>
      </c>
      <c r="X1175" s="424" t="s">
        <v>2224</v>
      </c>
      <c r="Y1175" s="424" t="s">
        <v>2279</v>
      </c>
      <c r="Z1175" s="424" t="s">
        <v>2889</v>
      </c>
      <c r="AA1175" s="424" t="s">
        <v>3197</v>
      </c>
      <c r="AB1175" s="424" t="s">
        <v>3739</v>
      </c>
      <c r="AC1175" s="424" t="s">
        <v>1953</v>
      </c>
      <c r="AD1175" s="424" t="s">
        <v>2829</v>
      </c>
      <c r="AE1175" s="424" t="s">
        <v>3243</v>
      </c>
      <c r="AF1175" s="424"/>
      <c r="AG1175" s="424"/>
      <c r="AH1175" s="424"/>
    </row>
    <row r="1176" spans="1:34" x14ac:dyDescent="0.25">
      <c r="A1176" s="423" t="s">
        <v>5920</v>
      </c>
      <c r="B1176" s="423" t="s">
        <v>5944</v>
      </c>
      <c r="C1176" s="423" t="s">
        <v>5922</v>
      </c>
      <c r="D1176" s="423" t="s">
        <v>5923</v>
      </c>
      <c r="E1176" s="423" t="s">
        <v>2818</v>
      </c>
      <c r="F1176" s="423">
        <v>32</v>
      </c>
      <c r="G1176" s="423">
        <v>48</v>
      </c>
      <c r="H1176" s="423">
        <v>60</v>
      </c>
      <c r="J1176" s="423"/>
      <c r="K1176" s="423"/>
      <c r="L1176" s="423"/>
      <c r="M1176" s="423"/>
      <c r="Q1176" s="423"/>
      <c r="R1176" s="424" t="s">
        <v>5945</v>
      </c>
      <c r="S1176" s="424" t="s">
        <v>2846</v>
      </c>
      <c r="T1176" s="424" t="s">
        <v>3356</v>
      </c>
      <c r="U1176" s="424">
        <v>0</v>
      </c>
      <c r="V1176" s="424" t="s">
        <v>58</v>
      </c>
      <c r="W1176" s="424" t="s">
        <v>3074</v>
      </c>
      <c r="X1176" s="424" t="s">
        <v>2224</v>
      </c>
      <c r="Y1176" s="424" t="s">
        <v>2279</v>
      </c>
      <c r="Z1176" s="424" t="s">
        <v>2848</v>
      </c>
      <c r="AA1176" s="424" t="s">
        <v>2855</v>
      </c>
      <c r="AB1176" s="424" t="s">
        <v>5946</v>
      </c>
      <c r="AC1176" s="424" t="s">
        <v>1953</v>
      </c>
      <c r="AD1176" s="424" t="s">
        <v>2851</v>
      </c>
      <c r="AE1176" s="424" t="s">
        <v>3158</v>
      </c>
      <c r="AF1176" s="424"/>
      <c r="AG1176" s="424"/>
      <c r="AH1176" s="424"/>
    </row>
    <row r="1177" spans="1:34" x14ac:dyDescent="0.25">
      <c r="A1177" s="423" t="s">
        <v>5920</v>
      </c>
      <c r="B1177" s="423" t="s">
        <v>5947</v>
      </c>
      <c r="C1177" s="423" t="s">
        <v>5922</v>
      </c>
      <c r="D1177" s="423" t="s">
        <v>5923</v>
      </c>
      <c r="E1177" s="423" t="s">
        <v>2818</v>
      </c>
      <c r="F1177" s="423">
        <v>32</v>
      </c>
      <c r="G1177" s="423">
        <v>48</v>
      </c>
      <c r="H1177" s="423">
        <v>60</v>
      </c>
      <c r="J1177" s="423"/>
      <c r="K1177" s="423"/>
      <c r="L1177" s="423"/>
      <c r="M1177" s="423"/>
      <c r="Q1177" s="423"/>
      <c r="R1177" s="424" t="s">
        <v>5948</v>
      </c>
      <c r="S1177" s="424" t="s">
        <v>2846</v>
      </c>
      <c r="T1177" s="424" t="s">
        <v>3356</v>
      </c>
      <c r="U1177" s="424">
        <v>0</v>
      </c>
      <c r="V1177" s="424" t="s">
        <v>58</v>
      </c>
      <c r="W1177" s="424" t="s">
        <v>3074</v>
      </c>
      <c r="X1177" s="424" t="s">
        <v>2224</v>
      </c>
      <c r="Y1177" s="424" t="s">
        <v>2279</v>
      </c>
      <c r="Z1177" s="424" t="s">
        <v>2848</v>
      </c>
      <c r="AA1177" s="424" t="s">
        <v>2855</v>
      </c>
      <c r="AB1177" s="424" t="s">
        <v>5949</v>
      </c>
      <c r="AC1177" s="424" t="s">
        <v>1953</v>
      </c>
      <c r="AD1177" s="424" t="s">
        <v>2851</v>
      </c>
      <c r="AE1177" s="424" t="s">
        <v>3436</v>
      </c>
      <c r="AF1177" s="424"/>
      <c r="AG1177" s="424"/>
      <c r="AH1177" s="424"/>
    </row>
    <row r="1178" spans="1:34" x14ac:dyDescent="0.25">
      <c r="A1178" s="423" t="s">
        <v>5920</v>
      </c>
      <c r="B1178" s="423" t="s">
        <v>5950</v>
      </c>
      <c r="C1178" s="423" t="s">
        <v>5922</v>
      </c>
      <c r="D1178" s="423" t="s">
        <v>5923</v>
      </c>
      <c r="E1178" s="423" t="s">
        <v>2818</v>
      </c>
      <c r="F1178" s="423">
        <v>32</v>
      </c>
      <c r="G1178" s="423">
        <v>48</v>
      </c>
      <c r="H1178" s="423">
        <v>60</v>
      </c>
      <c r="J1178" s="423"/>
      <c r="K1178" s="423"/>
      <c r="L1178" s="423"/>
      <c r="M1178" s="423"/>
      <c r="Q1178" s="423"/>
      <c r="R1178" s="424" t="s">
        <v>5951</v>
      </c>
      <c r="S1178" s="424" t="s">
        <v>2846</v>
      </c>
      <c r="T1178" s="424" t="s">
        <v>2870</v>
      </c>
      <c r="U1178" s="424">
        <v>0</v>
      </c>
      <c r="V1178" s="424" t="s">
        <v>58</v>
      </c>
      <c r="W1178" s="424" t="s">
        <v>3074</v>
      </c>
      <c r="X1178" s="424" t="s">
        <v>2224</v>
      </c>
      <c r="Y1178" s="424" t="s">
        <v>2279</v>
      </c>
      <c r="Z1178" s="424" t="s">
        <v>2889</v>
      </c>
      <c r="AA1178" s="424" t="s">
        <v>3197</v>
      </c>
      <c r="AB1178" s="424" t="s">
        <v>5952</v>
      </c>
      <c r="AC1178" s="424" t="s">
        <v>1953</v>
      </c>
      <c r="AD1178" s="424" t="s">
        <v>2829</v>
      </c>
      <c r="AE1178" s="424" t="s">
        <v>3243</v>
      </c>
      <c r="AF1178" s="424"/>
      <c r="AG1178" s="424"/>
      <c r="AH1178" s="424"/>
    </row>
    <row r="1179" spans="1:34" x14ac:dyDescent="0.25">
      <c r="A1179" s="423" t="s">
        <v>5920</v>
      </c>
      <c r="B1179" s="423" t="s">
        <v>5953</v>
      </c>
      <c r="C1179" s="423" t="s">
        <v>5922</v>
      </c>
      <c r="D1179" s="423" t="s">
        <v>5923</v>
      </c>
      <c r="E1179" s="423" t="s">
        <v>2818</v>
      </c>
      <c r="F1179" s="423">
        <v>32</v>
      </c>
      <c r="G1179" s="423">
        <v>48</v>
      </c>
      <c r="H1179" s="423">
        <v>60</v>
      </c>
      <c r="J1179" s="423"/>
      <c r="K1179" s="423"/>
      <c r="L1179" s="423"/>
      <c r="M1179" s="423"/>
      <c r="Q1179" s="423"/>
      <c r="R1179" s="424" t="s">
        <v>5954</v>
      </c>
      <c r="S1179" s="424" t="s">
        <v>2846</v>
      </c>
      <c r="T1179" s="424" t="s">
        <v>2870</v>
      </c>
      <c r="U1179" s="424">
        <v>0</v>
      </c>
      <c r="V1179" s="424" t="s">
        <v>58</v>
      </c>
      <c r="W1179" s="424" t="s">
        <v>3074</v>
      </c>
      <c r="X1179" s="424" t="s">
        <v>2224</v>
      </c>
      <c r="Y1179" s="424" t="s">
        <v>2279</v>
      </c>
      <c r="Z1179" s="424" t="s">
        <v>2889</v>
      </c>
      <c r="AA1179" s="424" t="s">
        <v>3197</v>
      </c>
      <c r="AB1179" s="424" t="s">
        <v>3761</v>
      </c>
      <c r="AC1179" s="424" t="s">
        <v>1953</v>
      </c>
      <c r="AD1179" s="424" t="s">
        <v>2829</v>
      </c>
      <c r="AE1179" s="424" t="s">
        <v>3229</v>
      </c>
      <c r="AF1179" s="424"/>
      <c r="AG1179" s="424"/>
      <c r="AH1179" s="424"/>
    </row>
    <row r="1180" spans="1:34" x14ac:dyDescent="0.25">
      <c r="A1180" s="423" t="s">
        <v>5920</v>
      </c>
      <c r="B1180" s="423" t="s">
        <v>5955</v>
      </c>
      <c r="C1180" s="423" t="s">
        <v>5922</v>
      </c>
      <c r="D1180" s="423" t="s">
        <v>5923</v>
      </c>
      <c r="E1180" s="423" t="s">
        <v>2818</v>
      </c>
      <c r="F1180" s="423">
        <v>32</v>
      </c>
      <c r="G1180" s="423">
        <v>48</v>
      </c>
      <c r="H1180" s="423">
        <v>60</v>
      </c>
      <c r="J1180" s="423"/>
      <c r="K1180" s="423"/>
      <c r="L1180" s="423"/>
      <c r="M1180" s="423"/>
      <c r="Q1180" s="423"/>
      <c r="R1180" s="424" t="s">
        <v>5956</v>
      </c>
      <c r="S1180" s="424" t="s">
        <v>2846</v>
      </c>
      <c r="T1180" s="424" t="s">
        <v>2870</v>
      </c>
      <c r="U1180" s="424">
        <v>0</v>
      </c>
      <c r="V1180" s="424" t="s">
        <v>58</v>
      </c>
      <c r="W1180" s="424" t="s">
        <v>3074</v>
      </c>
      <c r="X1180" s="424" t="s">
        <v>2224</v>
      </c>
      <c r="Y1180" s="424" t="s">
        <v>2279</v>
      </c>
      <c r="Z1180" s="424" t="s">
        <v>2889</v>
      </c>
      <c r="AA1180" s="424" t="s">
        <v>3197</v>
      </c>
      <c r="AB1180" s="424" t="s">
        <v>5957</v>
      </c>
      <c r="AC1180" s="424" t="s">
        <v>1953</v>
      </c>
      <c r="AD1180" s="424" t="s">
        <v>2829</v>
      </c>
      <c r="AE1180" s="424" t="s">
        <v>3216</v>
      </c>
      <c r="AF1180" s="424"/>
      <c r="AG1180" s="424"/>
      <c r="AH1180" s="424"/>
    </row>
    <row r="1181" spans="1:34" x14ac:dyDescent="0.25">
      <c r="A1181" s="423" t="s">
        <v>5920</v>
      </c>
      <c r="B1181" s="423" t="s">
        <v>5958</v>
      </c>
      <c r="C1181" s="423" t="s">
        <v>5922</v>
      </c>
      <c r="D1181" s="423" t="s">
        <v>5923</v>
      </c>
      <c r="E1181" s="423" t="s">
        <v>2818</v>
      </c>
      <c r="F1181" s="423">
        <v>32</v>
      </c>
      <c r="G1181" s="423">
        <v>48</v>
      </c>
      <c r="H1181" s="423">
        <v>60</v>
      </c>
      <c r="J1181" s="423"/>
      <c r="K1181" s="423"/>
      <c r="L1181" s="423"/>
      <c r="M1181" s="423"/>
      <c r="Q1181" s="423"/>
      <c r="R1181" s="424" t="s">
        <v>5959</v>
      </c>
      <c r="S1181" s="424" t="s">
        <v>2846</v>
      </c>
      <c r="T1181" s="424" t="s">
        <v>2870</v>
      </c>
      <c r="U1181" s="424">
        <v>0</v>
      </c>
      <c r="V1181" s="424" t="s">
        <v>58</v>
      </c>
      <c r="W1181" s="424" t="s">
        <v>3074</v>
      </c>
      <c r="X1181" s="424" t="s">
        <v>2224</v>
      </c>
      <c r="Y1181" s="424" t="s">
        <v>2279</v>
      </c>
      <c r="Z1181" s="424" t="s">
        <v>2872</v>
      </c>
      <c r="AA1181" s="424" t="s">
        <v>3197</v>
      </c>
      <c r="AB1181" s="424" t="s">
        <v>3758</v>
      </c>
      <c r="AC1181" s="424" t="s">
        <v>1953</v>
      </c>
      <c r="AD1181" s="424" t="s">
        <v>2892</v>
      </c>
      <c r="AE1181" s="424" t="s">
        <v>3348</v>
      </c>
      <c r="AF1181" s="424"/>
      <c r="AG1181" s="424"/>
      <c r="AH1181" s="424"/>
    </row>
    <row r="1182" spans="1:34" x14ac:dyDescent="0.25">
      <c r="A1182" s="423" t="s">
        <v>5920</v>
      </c>
      <c r="B1182" s="423" t="s">
        <v>5960</v>
      </c>
      <c r="C1182" s="423" t="s">
        <v>5922</v>
      </c>
      <c r="D1182" s="423" t="s">
        <v>5923</v>
      </c>
      <c r="E1182" s="423" t="s">
        <v>2818</v>
      </c>
      <c r="F1182" s="423">
        <v>32</v>
      </c>
      <c r="G1182" s="423">
        <v>48</v>
      </c>
      <c r="H1182" s="423">
        <v>60</v>
      </c>
      <c r="J1182" s="423"/>
      <c r="K1182" s="423"/>
      <c r="L1182" s="423"/>
      <c r="M1182" s="423"/>
      <c r="Q1182" s="423"/>
      <c r="R1182" s="424" t="s">
        <v>5961</v>
      </c>
      <c r="S1182" s="424" t="s">
        <v>2846</v>
      </c>
      <c r="T1182" s="424" t="s">
        <v>2870</v>
      </c>
      <c r="U1182" s="424">
        <v>0</v>
      </c>
      <c r="V1182" s="424" t="s">
        <v>58</v>
      </c>
      <c r="W1182" s="424" t="s">
        <v>3074</v>
      </c>
      <c r="X1182" s="424" t="s">
        <v>2224</v>
      </c>
      <c r="Y1182" s="424" t="s">
        <v>2279</v>
      </c>
      <c r="Z1182" s="424" t="s">
        <v>2872</v>
      </c>
      <c r="AA1182" s="424" t="s">
        <v>3197</v>
      </c>
      <c r="AB1182" s="424" t="s">
        <v>3803</v>
      </c>
      <c r="AC1182" s="424" t="s">
        <v>1953</v>
      </c>
      <c r="AD1182" s="424" t="s">
        <v>2892</v>
      </c>
      <c r="AE1182" s="424" t="s">
        <v>3348</v>
      </c>
      <c r="AF1182" s="424"/>
      <c r="AG1182" s="424"/>
      <c r="AH1182" s="424"/>
    </row>
    <row r="1183" spans="1:34" x14ac:dyDescent="0.25">
      <c r="A1183" s="423" t="s">
        <v>5920</v>
      </c>
      <c r="B1183" s="423" t="s">
        <v>5962</v>
      </c>
      <c r="C1183" s="423" t="s">
        <v>5922</v>
      </c>
      <c r="D1183" s="423" t="s">
        <v>5923</v>
      </c>
      <c r="E1183" s="423" t="s">
        <v>2818</v>
      </c>
      <c r="F1183" s="423">
        <v>16</v>
      </c>
      <c r="G1183" s="423">
        <v>24</v>
      </c>
      <c r="H1183" s="423">
        <v>60</v>
      </c>
      <c r="J1183" s="423"/>
      <c r="K1183" s="423"/>
      <c r="L1183" s="423"/>
      <c r="M1183" s="423"/>
      <c r="Q1183" s="423"/>
      <c r="R1183" s="424" t="s">
        <v>5963</v>
      </c>
      <c r="S1183" s="424" t="s">
        <v>2846</v>
      </c>
      <c r="T1183" s="424" t="s">
        <v>2870</v>
      </c>
      <c r="U1183" s="424">
        <v>0</v>
      </c>
      <c r="V1183" s="424" t="s">
        <v>58</v>
      </c>
      <c r="W1183" s="424" t="s">
        <v>3074</v>
      </c>
      <c r="X1183" s="424" t="s">
        <v>2224</v>
      </c>
      <c r="Y1183" s="424" t="s">
        <v>2279</v>
      </c>
      <c r="Z1183" s="424" t="s">
        <v>2872</v>
      </c>
      <c r="AA1183" s="424" t="s">
        <v>2873</v>
      </c>
      <c r="AB1183" s="424" t="s">
        <v>2936</v>
      </c>
      <c r="AC1183" s="424" t="s">
        <v>1953</v>
      </c>
      <c r="AD1183" s="424" t="s">
        <v>2892</v>
      </c>
      <c r="AE1183" s="424" t="s">
        <v>2926</v>
      </c>
      <c r="AF1183" s="424"/>
      <c r="AG1183" s="424"/>
      <c r="AH1183" s="424"/>
    </row>
    <row r="1184" spans="1:34" x14ac:dyDescent="0.25">
      <c r="A1184" s="423" t="s">
        <v>5920</v>
      </c>
      <c r="B1184" s="423" t="s">
        <v>5964</v>
      </c>
      <c r="C1184" s="423" t="s">
        <v>5922</v>
      </c>
      <c r="D1184" s="423" t="s">
        <v>5923</v>
      </c>
      <c r="E1184" s="423" t="s">
        <v>2818</v>
      </c>
      <c r="F1184" s="423">
        <v>16</v>
      </c>
      <c r="G1184" s="423">
        <v>24</v>
      </c>
      <c r="H1184" s="423">
        <v>60</v>
      </c>
      <c r="J1184" s="423"/>
      <c r="K1184" s="423"/>
      <c r="L1184" s="423"/>
      <c r="M1184" s="423"/>
      <c r="Q1184" s="423"/>
      <c r="R1184" s="424" t="s">
        <v>5965</v>
      </c>
      <c r="S1184" s="424" t="s">
        <v>2846</v>
      </c>
      <c r="T1184" s="424" t="s">
        <v>2870</v>
      </c>
      <c r="U1184" s="424">
        <v>0</v>
      </c>
      <c r="V1184" s="424" t="s">
        <v>58</v>
      </c>
      <c r="W1184" s="424" t="s">
        <v>2974</v>
      </c>
      <c r="X1184" s="424" t="s">
        <v>2224</v>
      </c>
      <c r="Y1184" s="424" t="s">
        <v>2279</v>
      </c>
      <c r="Z1184" s="424" t="s">
        <v>2889</v>
      </c>
      <c r="AA1184" s="424" t="s">
        <v>2890</v>
      </c>
      <c r="AB1184" s="424" t="s">
        <v>4605</v>
      </c>
      <c r="AC1184" s="424" t="s">
        <v>1953</v>
      </c>
      <c r="AD1184" s="424" t="s">
        <v>2892</v>
      </c>
      <c r="AE1184" s="424" t="s">
        <v>2940</v>
      </c>
      <c r="AF1184" s="424"/>
      <c r="AG1184" s="424"/>
      <c r="AH1184" s="424"/>
    </row>
    <row r="1185" spans="1:34" x14ac:dyDescent="0.25">
      <c r="A1185" s="423" t="s">
        <v>5920</v>
      </c>
      <c r="B1185" s="423" t="s">
        <v>5966</v>
      </c>
      <c r="C1185" s="423" t="s">
        <v>5922</v>
      </c>
      <c r="D1185" s="423" t="s">
        <v>5923</v>
      </c>
      <c r="E1185" s="423" t="s">
        <v>2818</v>
      </c>
      <c r="F1185" s="423">
        <v>16</v>
      </c>
      <c r="G1185" s="423">
        <v>24</v>
      </c>
      <c r="H1185" s="423">
        <v>60</v>
      </c>
      <c r="J1185" s="423"/>
      <c r="K1185" s="423"/>
      <c r="L1185" s="423"/>
      <c r="M1185" s="423"/>
      <c r="Q1185" s="423"/>
      <c r="R1185" s="424" t="s">
        <v>5967</v>
      </c>
      <c r="S1185" s="424" t="s">
        <v>2846</v>
      </c>
      <c r="T1185" s="424" t="s">
        <v>2870</v>
      </c>
      <c r="U1185" s="424">
        <v>0</v>
      </c>
      <c r="V1185" s="424" t="s">
        <v>58</v>
      </c>
      <c r="W1185" s="424" t="s">
        <v>2974</v>
      </c>
      <c r="X1185" s="424" t="s">
        <v>2224</v>
      </c>
      <c r="Y1185" s="424" t="s">
        <v>2279</v>
      </c>
      <c r="Z1185" s="424" t="s">
        <v>2889</v>
      </c>
      <c r="AA1185" s="424" t="s">
        <v>2890</v>
      </c>
      <c r="AB1185" s="424" t="s">
        <v>2929</v>
      </c>
      <c r="AC1185" s="424" t="s">
        <v>1953</v>
      </c>
      <c r="AD1185" s="424" t="s">
        <v>2892</v>
      </c>
      <c r="AE1185" s="424" t="s">
        <v>2930</v>
      </c>
      <c r="AF1185" s="424"/>
      <c r="AG1185" s="424"/>
      <c r="AH1185" s="424"/>
    </row>
    <row r="1186" spans="1:34" x14ac:dyDescent="0.25">
      <c r="A1186" s="423" t="s">
        <v>5920</v>
      </c>
      <c r="B1186" s="423" t="s">
        <v>5968</v>
      </c>
      <c r="C1186" s="423" t="s">
        <v>5922</v>
      </c>
      <c r="D1186" s="423" t="s">
        <v>5923</v>
      </c>
      <c r="E1186" s="423" t="s">
        <v>2818</v>
      </c>
      <c r="F1186" s="423">
        <v>12</v>
      </c>
      <c r="G1186" s="423">
        <v>44</v>
      </c>
      <c r="H1186" s="423">
        <v>60</v>
      </c>
      <c r="J1186" s="423"/>
      <c r="K1186" s="423"/>
      <c r="L1186" s="423"/>
      <c r="M1186" s="423"/>
      <c r="Q1186" s="423"/>
      <c r="R1186" s="424" t="s">
        <v>5969</v>
      </c>
      <c r="S1186" s="424" t="s">
        <v>2846</v>
      </c>
      <c r="T1186" s="424" t="s">
        <v>2870</v>
      </c>
      <c r="U1186" s="424">
        <v>0</v>
      </c>
      <c r="V1186" s="424" t="s">
        <v>58</v>
      </c>
      <c r="W1186" s="424" t="s">
        <v>2871</v>
      </c>
      <c r="X1186" s="424" t="s">
        <v>2224</v>
      </c>
      <c r="Y1186" s="424" t="s">
        <v>2279</v>
      </c>
      <c r="Z1186" s="424" t="s">
        <v>2872</v>
      </c>
      <c r="AA1186" s="424" t="s">
        <v>2873</v>
      </c>
      <c r="AB1186" s="424" t="s">
        <v>5970</v>
      </c>
      <c r="AC1186" s="424" t="s">
        <v>1953</v>
      </c>
      <c r="AD1186" s="424" t="s">
        <v>2892</v>
      </c>
      <c r="AE1186" s="424" t="s">
        <v>2926</v>
      </c>
      <c r="AF1186" s="424"/>
      <c r="AG1186" s="424"/>
      <c r="AH1186" s="424"/>
    </row>
    <row r="1187" spans="1:34" x14ac:dyDescent="0.25">
      <c r="A1187" s="423" t="s">
        <v>5920</v>
      </c>
      <c r="B1187" s="423" t="s">
        <v>5971</v>
      </c>
      <c r="C1187" s="423" t="s">
        <v>5922</v>
      </c>
      <c r="D1187" s="423" t="s">
        <v>5923</v>
      </c>
      <c r="E1187" s="423" t="s">
        <v>2818</v>
      </c>
      <c r="F1187" s="423">
        <v>12</v>
      </c>
      <c r="G1187" s="423">
        <v>44</v>
      </c>
      <c r="H1187" s="423">
        <v>60</v>
      </c>
      <c r="J1187" s="423"/>
      <c r="K1187" s="423"/>
      <c r="L1187" s="423"/>
      <c r="M1187" s="423"/>
      <c r="Q1187" s="423"/>
      <c r="R1187" s="424" t="s">
        <v>5972</v>
      </c>
      <c r="S1187" s="424" t="s">
        <v>2846</v>
      </c>
      <c r="T1187" s="424" t="s">
        <v>2870</v>
      </c>
      <c r="U1187" s="424">
        <v>0</v>
      </c>
      <c r="V1187" s="424" t="s">
        <v>58</v>
      </c>
      <c r="W1187" s="424" t="s">
        <v>2974</v>
      </c>
      <c r="X1187" s="424" t="s">
        <v>2224</v>
      </c>
      <c r="Y1187" s="424" t="s">
        <v>2279</v>
      </c>
      <c r="Z1187" s="424" t="s">
        <v>2872</v>
      </c>
      <c r="AA1187" s="424" t="s">
        <v>2873</v>
      </c>
      <c r="AB1187" s="424" t="s">
        <v>4557</v>
      </c>
      <c r="AC1187" s="424" t="s">
        <v>1953</v>
      </c>
      <c r="AD1187" s="424" t="s">
        <v>2892</v>
      </c>
      <c r="AE1187" s="424" t="s">
        <v>4219</v>
      </c>
      <c r="AF1187" s="424"/>
      <c r="AG1187" s="424"/>
      <c r="AH1187" s="424"/>
    </row>
    <row r="1188" spans="1:34" x14ac:dyDescent="0.25">
      <c r="A1188" s="423" t="s">
        <v>5920</v>
      </c>
      <c r="B1188" s="423" t="s">
        <v>5973</v>
      </c>
      <c r="C1188" s="423" t="s">
        <v>5922</v>
      </c>
      <c r="D1188" s="423" t="s">
        <v>5923</v>
      </c>
      <c r="E1188" s="423" t="s">
        <v>2818</v>
      </c>
      <c r="F1188" s="423">
        <v>12</v>
      </c>
      <c r="G1188" s="423">
        <v>44</v>
      </c>
      <c r="H1188" s="423">
        <v>60</v>
      </c>
      <c r="J1188" s="423"/>
      <c r="K1188" s="423"/>
      <c r="L1188" s="423"/>
      <c r="M1188" s="423"/>
      <c r="Q1188" s="423"/>
      <c r="R1188" s="424" t="s">
        <v>5974</v>
      </c>
      <c r="S1188" s="424" t="s">
        <v>2846</v>
      </c>
      <c r="T1188" s="424" t="s">
        <v>2870</v>
      </c>
      <c r="U1188" s="424">
        <v>0</v>
      </c>
      <c r="V1188" s="424" t="s">
        <v>58</v>
      </c>
      <c r="W1188" s="424" t="s">
        <v>2974</v>
      </c>
      <c r="X1188" s="424" t="s">
        <v>2224</v>
      </c>
      <c r="Y1188" s="424" t="s">
        <v>2279</v>
      </c>
      <c r="Z1188" s="424" t="s">
        <v>2889</v>
      </c>
      <c r="AA1188" s="424" t="s">
        <v>2890</v>
      </c>
      <c r="AB1188" s="424" t="s">
        <v>5975</v>
      </c>
      <c r="AC1188" s="424" t="s">
        <v>1953</v>
      </c>
      <c r="AD1188" s="424" t="s">
        <v>2892</v>
      </c>
      <c r="AE1188" s="424" t="s">
        <v>2940</v>
      </c>
      <c r="AF1188" s="424"/>
      <c r="AG1188" s="424"/>
      <c r="AH1188" s="424"/>
    </row>
    <row r="1189" spans="1:34" x14ac:dyDescent="0.25">
      <c r="A1189" s="423" t="s">
        <v>5920</v>
      </c>
      <c r="B1189" s="423" t="s">
        <v>5976</v>
      </c>
      <c r="C1189" s="423" t="s">
        <v>5922</v>
      </c>
      <c r="D1189" s="423" t="s">
        <v>5923</v>
      </c>
      <c r="E1189" s="423" t="s">
        <v>2818</v>
      </c>
      <c r="F1189" s="423">
        <v>16</v>
      </c>
      <c r="G1189" s="423">
        <v>32</v>
      </c>
      <c r="H1189" s="423">
        <v>60</v>
      </c>
      <c r="J1189" s="423"/>
      <c r="K1189" s="423"/>
      <c r="L1189" s="423"/>
      <c r="M1189" s="423"/>
      <c r="Q1189" s="423"/>
      <c r="R1189" s="424" t="s">
        <v>5977</v>
      </c>
      <c r="S1189" s="424" t="s">
        <v>2846</v>
      </c>
      <c r="T1189" s="424" t="s">
        <v>2870</v>
      </c>
      <c r="U1189" s="424">
        <v>0</v>
      </c>
      <c r="V1189" s="424" t="s">
        <v>58</v>
      </c>
      <c r="W1189" s="424" t="s">
        <v>3074</v>
      </c>
      <c r="X1189" s="424" t="s">
        <v>2224</v>
      </c>
      <c r="Y1189" s="424" t="s">
        <v>2279</v>
      </c>
      <c r="Z1189" s="424" t="s">
        <v>2872</v>
      </c>
      <c r="AA1189" s="424" t="s">
        <v>2873</v>
      </c>
      <c r="AB1189" s="424" t="s">
        <v>2943</v>
      </c>
      <c r="AC1189" s="424" t="s">
        <v>1953</v>
      </c>
      <c r="AD1189" s="424" t="s">
        <v>2892</v>
      </c>
      <c r="AE1189" s="424" t="s">
        <v>2944</v>
      </c>
      <c r="AF1189" s="424"/>
      <c r="AG1189" s="424"/>
      <c r="AH1189" s="424"/>
    </row>
    <row r="1190" spans="1:34" x14ac:dyDescent="0.25">
      <c r="A1190" s="423" t="s">
        <v>5920</v>
      </c>
      <c r="B1190" s="423" t="s">
        <v>5978</v>
      </c>
      <c r="C1190" s="423" t="s">
        <v>5922</v>
      </c>
      <c r="D1190" s="423" t="s">
        <v>5923</v>
      </c>
      <c r="E1190" s="423" t="s">
        <v>2818</v>
      </c>
      <c r="F1190" s="423">
        <v>16</v>
      </c>
      <c r="G1190" s="423">
        <v>32</v>
      </c>
      <c r="H1190" s="423">
        <v>60</v>
      </c>
      <c r="J1190" s="423"/>
      <c r="K1190" s="423"/>
      <c r="L1190" s="423"/>
      <c r="M1190" s="423"/>
      <c r="Q1190" s="423"/>
      <c r="R1190" s="424" t="s">
        <v>5979</v>
      </c>
      <c r="S1190" s="424" t="s">
        <v>2846</v>
      </c>
      <c r="T1190" s="424" t="s">
        <v>2870</v>
      </c>
      <c r="U1190" s="424">
        <v>0</v>
      </c>
      <c r="V1190" s="424" t="s">
        <v>58</v>
      </c>
      <c r="W1190" s="424" t="s">
        <v>2974</v>
      </c>
      <c r="X1190" s="424" t="s">
        <v>2224</v>
      </c>
      <c r="Y1190" s="424" t="s">
        <v>2279</v>
      </c>
      <c r="Z1190" s="424" t="s">
        <v>2872</v>
      </c>
      <c r="AA1190" s="424" t="s">
        <v>2873</v>
      </c>
      <c r="AB1190" s="424" t="s">
        <v>4572</v>
      </c>
      <c r="AC1190" s="424" t="s">
        <v>1953</v>
      </c>
      <c r="AD1190" s="424" t="s">
        <v>2892</v>
      </c>
      <c r="AE1190" s="424" t="s">
        <v>4463</v>
      </c>
      <c r="AF1190" s="424"/>
      <c r="AG1190" s="424"/>
      <c r="AH1190" s="424"/>
    </row>
    <row r="1191" spans="1:34" x14ac:dyDescent="0.25">
      <c r="A1191" s="423" t="s">
        <v>5920</v>
      </c>
      <c r="B1191" s="423" t="s">
        <v>5980</v>
      </c>
      <c r="C1191" s="423" t="s">
        <v>5922</v>
      </c>
      <c r="D1191" s="423" t="s">
        <v>5923</v>
      </c>
      <c r="E1191" s="423" t="s">
        <v>2818</v>
      </c>
      <c r="F1191" s="423">
        <v>16</v>
      </c>
      <c r="G1191" s="423">
        <v>32</v>
      </c>
      <c r="H1191" s="423">
        <v>60</v>
      </c>
      <c r="J1191" s="423"/>
      <c r="K1191" s="423"/>
      <c r="L1191" s="423"/>
      <c r="M1191" s="423"/>
      <c r="Q1191" s="423"/>
      <c r="R1191" s="424" t="s">
        <v>5981</v>
      </c>
      <c r="S1191" s="424" t="s">
        <v>2846</v>
      </c>
      <c r="T1191" s="424" t="s">
        <v>2870</v>
      </c>
      <c r="U1191" s="424">
        <v>0</v>
      </c>
      <c r="V1191" s="424" t="s">
        <v>58</v>
      </c>
      <c r="W1191" s="424" t="s">
        <v>2974</v>
      </c>
      <c r="X1191" s="424" t="s">
        <v>2224</v>
      </c>
      <c r="Y1191" s="424" t="s">
        <v>2279</v>
      </c>
      <c r="Z1191" s="424" t="s">
        <v>2889</v>
      </c>
      <c r="AA1191" s="424" t="s">
        <v>2890</v>
      </c>
      <c r="AB1191" s="424" t="s">
        <v>5975</v>
      </c>
      <c r="AC1191" s="424" t="s">
        <v>1953</v>
      </c>
      <c r="AD1191" s="424" t="s">
        <v>2892</v>
      </c>
      <c r="AE1191" s="424" t="s">
        <v>2940</v>
      </c>
      <c r="AF1191" s="424"/>
      <c r="AG1191" s="424"/>
      <c r="AH1191" s="424"/>
    </row>
    <row r="1192" spans="1:34" x14ac:dyDescent="0.25">
      <c r="A1192" s="423" t="s">
        <v>5920</v>
      </c>
      <c r="B1192" s="423" t="s">
        <v>5982</v>
      </c>
      <c r="C1192" s="423" t="s">
        <v>5922</v>
      </c>
      <c r="D1192" s="423" t="s">
        <v>5923</v>
      </c>
      <c r="E1192" s="423" t="s">
        <v>2818</v>
      </c>
      <c r="F1192" s="423">
        <v>8</v>
      </c>
      <c r="G1192" s="423">
        <v>16</v>
      </c>
      <c r="H1192" s="423">
        <v>60</v>
      </c>
      <c r="J1192" s="423"/>
      <c r="K1192" s="423"/>
      <c r="L1192" s="423"/>
      <c r="M1192" s="423"/>
      <c r="Q1192" s="423"/>
      <c r="R1192" s="424" t="s">
        <v>5983</v>
      </c>
      <c r="S1192" s="424" t="s">
        <v>2846</v>
      </c>
      <c r="T1192" s="424" t="s">
        <v>3356</v>
      </c>
      <c r="U1192" s="424">
        <v>0</v>
      </c>
      <c r="V1192" s="424" t="s">
        <v>58</v>
      </c>
      <c r="W1192" s="424" t="s">
        <v>3074</v>
      </c>
      <c r="X1192" s="424" t="s">
        <v>2224</v>
      </c>
      <c r="Y1192" s="424" t="s">
        <v>2279</v>
      </c>
      <c r="Z1192" s="424" t="s">
        <v>2889</v>
      </c>
      <c r="AA1192" s="424" t="s">
        <v>3197</v>
      </c>
      <c r="AB1192" s="424" t="s">
        <v>5939</v>
      </c>
      <c r="AC1192" s="424" t="s">
        <v>1953</v>
      </c>
      <c r="AD1192" s="424" t="s">
        <v>2829</v>
      </c>
      <c r="AE1192" s="424" t="s">
        <v>3243</v>
      </c>
      <c r="AF1192" s="424"/>
      <c r="AG1192" s="424"/>
      <c r="AH1192" s="424"/>
    </row>
    <row r="1193" spans="1:34" x14ac:dyDescent="0.25">
      <c r="A1193" s="423" t="s">
        <v>5920</v>
      </c>
      <c r="B1193" s="423" t="s">
        <v>5984</v>
      </c>
      <c r="C1193" s="423" t="s">
        <v>5922</v>
      </c>
      <c r="D1193" s="423" t="s">
        <v>5923</v>
      </c>
      <c r="E1193" s="423" t="s">
        <v>2818</v>
      </c>
      <c r="F1193" s="423">
        <v>8</v>
      </c>
      <c r="G1193" s="423">
        <v>16</v>
      </c>
      <c r="H1193" s="423">
        <v>60</v>
      </c>
      <c r="J1193" s="423"/>
      <c r="K1193" s="423"/>
      <c r="L1193" s="423"/>
      <c r="M1193" s="423"/>
      <c r="Q1193" s="423"/>
      <c r="R1193" s="424" t="s">
        <v>5985</v>
      </c>
      <c r="S1193" s="424" t="s">
        <v>2846</v>
      </c>
      <c r="T1193" s="424" t="s">
        <v>3356</v>
      </c>
      <c r="U1193" s="424">
        <v>0</v>
      </c>
      <c r="V1193" s="424" t="s">
        <v>58</v>
      </c>
      <c r="W1193" s="424" t="s">
        <v>3074</v>
      </c>
      <c r="X1193" s="424" t="s">
        <v>2224</v>
      </c>
      <c r="Y1193" s="424" t="s">
        <v>2279</v>
      </c>
      <c r="Z1193" s="424" t="s">
        <v>2889</v>
      </c>
      <c r="AA1193" s="424" t="s">
        <v>3197</v>
      </c>
      <c r="AB1193" s="424" t="s">
        <v>5939</v>
      </c>
      <c r="AC1193" s="424" t="s">
        <v>1953</v>
      </c>
      <c r="AD1193" s="424" t="s">
        <v>2829</v>
      </c>
      <c r="AE1193" s="424" t="s">
        <v>3243</v>
      </c>
      <c r="AF1193" s="424"/>
      <c r="AG1193" s="424"/>
      <c r="AH1193" s="424"/>
    </row>
    <row r="1194" spans="1:34" x14ac:dyDescent="0.25">
      <c r="A1194" s="423" t="s">
        <v>5920</v>
      </c>
      <c r="B1194" s="423" t="s">
        <v>5986</v>
      </c>
      <c r="C1194" s="423" t="s">
        <v>5922</v>
      </c>
      <c r="D1194" s="423" t="s">
        <v>5923</v>
      </c>
      <c r="E1194" s="423" t="s">
        <v>2818</v>
      </c>
      <c r="F1194" s="423">
        <v>8</v>
      </c>
      <c r="G1194" s="423">
        <v>16</v>
      </c>
      <c r="H1194" s="423">
        <v>60</v>
      </c>
      <c r="J1194" s="423"/>
      <c r="K1194" s="423"/>
      <c r="L1194" s="423"/>
      <c r="M1194" s="423"/>
      <c r="Q1194" s="423"/>
      <c r="R1194" s="424" t="s">
        <v>5987</v>
      </c>
      <c r="S1194" s="424" t="s">
        <v>2846</v>
      </c>
      <c r="T1194" s="424" t="s">
        <v>3356</v>
      </c>
      <c r="U1194" s="424">
        <v>0</v>
      </c>
      <c r="V1194" s="424" t="s">
        <v>58</v>
      </c>
      <c r="W1194" s="424" t="s">
        <v>3074</v>
      </c>
      <c r="X1194" s="424" t="s">
        <v>2224</v>
      </c>
      <c r="Y1194" s="424" t="s">
        <v>2279</v>
      </c>
      <c r="Z1194" s="424" t="s">
        <v>2848</v>
      </c>
      <c r="AA1194" s="424" t="s">
        <v>2855</v>
      </c>
      <c r="AB1194" s="424" t="s">
        <v>4208</v>
      </c>
      <c r="AC1194" s="424" t="s">
        <v>1953</v>
      </c>
      <c r="AD1194" s="424" t="s">
        <v>2851</v>
      </c>
      <c r="AE1194" s="424" t="s">
        <v>3158</v>
      </c>
      <c r="AF1194" s="424"/>
      <c r="AG1194" s="424"/>
      <c r="AH1194" s="424"/>
    </row>
    <row r="1195" spans="1:34" x14ac:dyDescent="0.25">
      <c r="A1195" s="423" t="s">
        <v>5920</v>
      </c>
      <c r="B1195" s="423" t="s">
        <v>5988</v>
      </c>
      <c r="C1195" s="423" t="s">
        <v>5922</v>
      </c>
      <c r="D1195" s="423" t="s">
        <v>5923</v>
      </c>
      <c r="E1195" s="423" t="s">
        <v>2818</v>
      </c>
      <c r="F1195" s="423">
        <v>24</v>
      </c>
      <c r="G1195" s="423">
        <v>64</v>
      </c>
      <c r="H1195" s="423">
        <v>60</v>
      </c>
      <c r="J1195" s="423"/>
      <c r="K1195" s="423"/>
      <c r="L1195" s="423"/>
      <c r="M1195" s="423"/>
      <c r="Q1195" s="423"/>
      <c r="R1195" s="424" t="s">
        <v>5989</v>
      </c>
      <c r="S1195" s="424" t="s">
        <v>2846</v>
      </c>
      <c r="T1195" s="424" t="s">
        <v>3356</v>
      </c>
      <c r="U1195" s="424">
        <v>0</v>
      </c>
      <c r="V1195" s="424" t="s">
        <v>58</v>
      </c>
      <c r="W1195" s="424" t="s">
        <v>3074</v>
      </c>
      <c r="X1195" s="424" t="s">
        <v>2224</v>
      </c>
      <c r="Y1195" s="424" t="s">
        <v>2279</v>
      </c>
      <c r="Z1195" s="424" t="s">
        <v>2889</v>
      </c>
      <c r="AA1195" s="424" t="s">
        <v>3197</v>
      </c>
      <c r="AB1195" s="424" t="s">
        <v>5957</v>
      </c>
      <c r="AC1195" s="424" t="s">
        <v>1953</v>
      </c>
      <c r="AD1195" s="424" t="s">
        <v>2829</v>
      </c>
      <c r="AE1195" s="424" t="s">
        <v>3216</v>
      </c>
      <c r="AF1195" s="424"/>
      <c r="AG1195" s="424"/>
      <c r="AH1195" s="424"/>
    </row>
    <row r="1196" spans="1:34" x14ac:dyDescent="0.25">
      <c r="A1196" s="423" t="s">
        <v>5920</v>
      </c>
      <c r="B1196" s="423" t="s">
        <v>5990</v>
      </c>
      <c r="C1196" s="423" t="s">
        <v>5922</v>
      </c>
      <c r="D1196" s="423" t="s">
        <v>5923</v>
      </c>
      <c r="E1196" s="423" t="s">
        <v>2818</v>
      </c>
      <c r="F1196" s="423">
        <v>24</v>
      </c>
      <c r="G1196" s="423">
        <v>64</v>
      </c>
      <c r="H1196" s="423">
        <v>60</v>
      </c>
      <c r="J1196" s="423"/>
      <c r="K1196" s="423"/>
      <c r="L1196" s="423"/>
      <c r="M1196" s="423"/>
      <c r="Q1196" s="423"/>
      <c r="R1196" s="424" t="s">
        <v>5991</v>
      </c>
      <c r="S1196" s="424" t="s">
        <v>2846</v>
      </c>
      <c r="T1196" s="424" t="s">
        <v>3356</v>
      </c>
      <c r="U1196" s="424">
        <v>0</v>
      </c>
      <c r="V1196" s="424" t="s">
        <v>58</v>
      </c>
      <c r="W1196" s="424" t="s">
        <v>3074</v>
      </c>
      <c r="X1196" s="424" t="s">
        <v>2224</v>
      </c>
      <c r="Y1196" s="424" t="s">
        <v>2279</v>
      </c>
      <c r="Z1196" s="424" t="s">
        <v>2848</v>
      </c>
      <c r="AA1196" s="424" t="s">
        <v>2855</v>
      </c>
      <c r="AB1196" s="424" t="s">
        <v>5992</v>
      </c>
      <c r="AC1196" s="424" t="s">
        <v>1953</v>
      </c>
      <c r="AD1196" s="424" t="s">
        <v>2851</v>
      </c>
      <c r="AE1196" s="424" t="s">
        <v>3158</v>
      </c>
      <c r="AF1196" s="424"/>
      <c r="AG1196" s="424"/>
      <c r="AH1196" s="424"/>
    </row>
    <row r="1197" spans="1:34" x14ac:dyDescent="0.25">
      <c r="A1197" s="423" t="s">
        <v>5920</v>
      </c>
      <c r="B1197" s="423" t="s">
        <v>5993</v>
      </c>
      <c r="C1197" s="423" t="s">
        <v>5922</v>
      </c>
      <c r="D1197" s="423" t="s">
        <v>5923</v>
      </c>
      <c r="E1197" s="423" t="s">
        <v>2818</v>
      </c>
      <c r="F1197" s="423">
        <v>24</v>
      </c>
      <c r="G1197" s="423">
        <v>64</v>
      </c>
      <c r="H1197" s="423">
        <v>60</v>
      </c>
      <c r="J1197" s="423"/>
      <c r="K1197" s="423"/>
      <c r="L1197" s="423"/>
      <c r="M1197" s="423"/>
      <c r="Q1197" s="423"/>
      <c r="R1197" s="424" t="s">
        <v>5994</v>
      </c>
      <c r="S1197" s="424" t="s">
        <v>2846</v>
      </c>
      <c r="T1197" s="424" t="s">
        <v>3356</v>
      </c>
      <c r="U1197" s="424">
        <v>0</v>
      </c>
      <c r="V1197" s="424" t="s">
        <v>58</v>
      </c>
      <c r="W1197" s="424" t="s">
        <v>3074</v>
      </c>
      <c r="X1197" s="424" t="s">
        <v>2224</v>
      </c>
      <c r="Y1197" s="424" t="s">
        <v>2279</v>
      </c>
      <c r="Z1197" s="424" t="s">
        <v>2848</v>
      </c>
      <c r="AA1197" s="424" t="s">
        <v>2855</v>
      </c>
      <c r="AB1197" s="424" t="s">
        <v>5995</v>
      </c>
      <c r="AC1197" s="424" t="s">
        <v>1953</v>
      </c>
      <c r="AD1197" s="424" t="s">
        <v>2851</v>
      </c>
      <c r="AE1197" s="424" t="s">
        <v>3158</v>
      </c>
      <c r="AF1197" s="424"/>
      <c r="AG1197" s="424"/>
      <c r="AH1197" s="424"/>
    </row>
    <row r="1198" spans="1:34" x14ac:dyDescent="0.25">
      <c r="A1198" s="423" t="s">
        <v>5920</v>
      </c>
      <c r="B1198" s="423" t="s">
        <v>5996</v>
      </c>
      <c r="C1198" s="423" t="s">
        <v>5922</v>
      </c>
      <c r="D1198" s="423" t="s">
        <v>5923</v>
      </c>
      <c r="E1198" s="423" t="s">
        <v>2818</v>
      </c>
      <c r="F1198" s="423">
        <v>32</v>
      </c>
      <c r="G1198" s="423">
        <v>128</v>
      </c>
      <c r="H1198" s="423">
        <v>60</v>
      </c>
      <c r="J1198" s="423"/>
      <c r="K1198" s="423"/>
      <c r="L1198" s="423"/>
      <c r="M1198" s="423"/>
      <c r="Q1198" s="423"/>
      <c r="R1198" s="424" t="s">
        <v>5997</v>
      </c>
      <c r="S1198" s="424" t="s">
        <v>2846</v>
      </c>
      <c r="T1198" s="424" t="s">
        <v>2870</v>
      </c>
      <c r="U1198" s="424">
        <v>0</v>
      </c>
      <c r="V1198" s="424" t="s">
        <v>58</v>
      </c>
      <c r="W1198" s="424" t="s">
        <v>3694</v>
      </c>
      <c r="X1198" s="424" t="s">
        <v>2224</v>
      </c>
      <c r="Y1198" s="424" t="s">
        <v>2279</v>
      </c>
      <c r="Z1198" s="424" t="s">
        <v>2872</v>
      </c>
      <c r="AA1198" s="424" t="s">
        <v>3197</v>
      </c>
      <c r="AB1198" s="424" t="s">
        <v>5998</v>
      </c>
      <c r="AC1198" s="424" t="s">
        <v>3910</v>
      </c>
      <c r="AD1198" s="424" t="s">
        <v>3911</v>
      </c>
      <c r="AE1198" s="424" t="s">
        <v>3912</v>
      </c>
      <c r="AF1198" s="424"/>
      <c r="AG1198" s="424"/>
      <c r="AH1198" s="424"/>
    </row>
    <row r="1199" spans="1:34" x14ac:dyDescent="0.25">
      <c r="A1199" s="423" t="s">
        <v>5999</v>
      </c>
      <c r="B1199" s="423" t="s">
        <v>6000</v>
      </c>
      <c r="C1199" s="423" t="s">
        <v>5922</v>
      </c>
      <c r="D1199" s="423" t="s">
        <v>5923</v>
      </c>
      <c r="E1199" s="423" t="s">
        <v>2818</v>
      </c>
      <c r="F1199" s="423">
        <v>4</v>
      </c>
      <c r="G1199" s="423">
        <v>8</v>
      </c>
      <c r="H1199" s="423">
        <v>60</v>
      </c>
      <c r="J1199" s="423"/>
      <c r="K1199" s="423"/>
      <c r="L1199" s="423"/>
      <c r="M1199" s="423"/>
      <c r="Q1199" s="423"/>
      <c r="R1199" s="424" t="s">
        <v>6001</v>
      </c>
      <c r="S1199" s="424" t="s">
        <v>2846</v>
      </c>
      <c r="T1199" s="424" t="s">
        <v>2870</v>
      </c>
      <c r="U1199" s="424">
        <v>0</v>
      </c>
      <c r="V1199" s="424" t="s">
        <v>58</v>
      </c>
      <c r="W1199" s="424" t="s">
        <v>3694</v>
      </c>
      <c r="X1199" s="424" t="s">
        <v>2224</v>
      </c>
      <c r="Y1199" s="424" t="s">
        <v>2279</v>
      </c>
      <c r="Z1199" s="424" t="s">
        <v>2872</v>
      </c>
      <c r="AA1199" s="424" t="s">
        <v>3197</v>
      </c>
      <c r="AB1199" s="424" t="s">
        <v>5135</v>
      </c>
      <c r="AC1199" s="424" t="s">
        <v>3910</v>
      </c>
      <c r="AD1199" s="424" t="s">
        <v>3911</v>
      </c>
      <c r="AE1199" s="424" t="s">
        <v>3916</v>
      </c>
      <c r="AF1199" s="424"/>
      <c r="AG1199" s="424"/>
      <c r="AH1199" s="424"/>
    </row>
    <row r="1200" spans="1:34" x14ac:dyDescent="0.25">
      <c r="A1200" s="423" t="s">
        <v>5999</v>
      </c>
      <c r="B1200" s="423" t="s">
        <v>6002</v>
      </c>
      <c r="C1200" s="423" t="s">
        <v>5922</v>
      </c>
      <c r="D1200" s="423" t="s">
        <v>5923</v>
      </c>
      <c r="E1200" s="423" t="s">
        <v>2818</v>
      </c>
      <c r="F1200" s="423">
        <v>4</v>
      </c>
      <c r="G1200" s="423">
        <v>8</v>
      </c>
      <c r="H1200" s="423">
        <v>60</v>
      </c>
      <c r="J1200" s="423"/>
      <c r="K1200" s="423"/>
      <c r="L1200" s="423"/>
      <c r="M1200" s="423"/>
      <c r="Q1200" s="423"/>
      <c r="R1200" s="424" t="s">
        <v>6003</v>
      </c>
      <c r="S1200" s="424" t="s">
        <v>2846</v>
      </c>
      <c r="T1200" s="424" t="s">
        <v>2870</v>
      </c>
      <c r="U1200" s="424">
        <v>0</v>
      </c>
      <c r="V1200" s="424" t="s">
        <v>58</v>
      </c>
      <c r="W1200" s="424" t="s">
        <v>3694</v>
      </c>
      <c r="X1200" s="424" t="s">
        <v>2224</v>
      </c>
      <c r="Y1200" s="424" t="s">
        <v>2279</v>
      </c>
      <c r="Z1200" s="424" t="s">
        <v>2872</v>
      </c>
      <c r="AA1200" s="424" t="s">
        <v>3197</v>
      </c>
      <c r="AB1200" s="424" t="s">
        <v>3909</v>
      </c>
      <c r="AC1200" s="424" t="s">
        <v>3910</v>
      </c>
      <c r="AD1200" s="424" t="s">
        <v>3911</v>
      </c>
      <c r="AE1200" s="424" t="s">
        <v>3912</v>
      </c>
      <c r="AF1200" s="424"/>
      <c r="AG1200" s="424"/>
      <c r="AH1200" s="424"/>
    </row>
    <row r="1201" spans="1:34" x14ac:dyDescent="0.25">
      <c r="A1201" s="423" t="s">
        <v>5999</v>
      </c>
      <c r="B1201" s="423" t="s">
        <v>6004</v>
      </c>
      <c r="C1201" s="423" t="s">
        <v>5922</v>
      </c>
      <c r="D1201" s="423" t="s">
        <v>5923</v>
      </c>
      <c r="E1201" s="423" t="s">
        <v>2818</v>
      </c>
      <c r="F1201" s="423">
        <v>4</v>
      </c>
      <c r="G1201" s="423">
        <v>8</v>
      </c>
      <c r="H1201" s="423">
        <v>60</v>
      </c>
      <c r="J1201" s="423"/>
      <c r="K1201" s="423"/>
      <c r="L1201" s="423"/>
      <c r="M1201" s="423"/>
      <c r="Q1201" s="423"/>
      <c r="R1201" s="424" t="s">
        <v>6005</v>
      </c>
      <c r="S1201" s="424" t="s">
        <v>2846</v>
      </c>
      <c r="T1201" s="424" t="s">
        <v>2870</v>
      </c>
      <c r="U1201" s="424">
        <v>0</v>
      </c>
      <c r="V1201" s="424" t="s">
        <v>58</v>
      </c>
      <c r="W1201" s="424" t="s">
        <v>3694</v>
      </c>
      <c r="X1201" s="424" t="s">
        <v>2224</v>
      </c>
      <c r="Y1201" s="424" t="s">
        <v>2279</v>
      </c>
      <c r="Z1201" s="424" t="s">
        <v>2872</v>
      </c>
      <c r="AA1201" s="424" t="s">
        <v>3197</v>
      </c>
      <c r="AB1201" s="424" t="s">
        <v>6006</v>
      </c>
      <c r="AC1201" s="424" t="s">
        <v>3910</v>
      </c>
      <c r="AD1201" s="424" t="s">
        <v>6007</v>
      </c>
      <c r="AE1201" s="424" t="s">
        <v>6008</v>
      </c>
      <c r="AF1201" s="424"/>
      <c r="AG1201" s="424"/>
      <c r="AH1201" s="424"/>
    </row>
    <row r="1202" spans="1:34" x14ac:dyDescent="0.25">
      <c r="A1202" s="423" t="s">
        <v>5999</v>
      </c>
      <c r="B1202" s="423" t="s">
        <v>6009</v>
      </c>
      <c r="C1202" s="423" t="s">
        <v>5922</v>
      </c>
      <c r="D1202" s="423" t="s">
        <v>5923</v>
      </c>
      <c r="E1202" s="423" t="s">
        <v>2818</v>
      </c>
      <c r="F1202" s="423">
        <v>4</v>
      </c>
      <c r="G1202" s="423">
        <v>8</v>
      </c>
      <c r="H1202" s="423">
        <v>60</v>
      </c>
      <c r="J1202" s="423"/>
      <c r="K1202" s="423"/>
      <c r="L1202" s="423"/>
      <c r="M1202" s="423"/>
      <c r="Q1202" s="423"/>
      <c r="R1202" s="424" t="s">
        <v>6010</v>
      </c>
      <c r="S1202" s="424" t="s">
        <v>2846</v>
      </c>
      <c r="T1202" s="424" t="s">
        <v>2870</v>
      </c>
      <c r="U1202" s="424">
        <v>0</v>
      </c>
      <c r="V1202" s="424" t="s">
        <v>58</v>
      </c>
      <c r="W1202" s="424" t="s">
        <v>3694</v>
      </c>
      <c r="X1202" s="424" t="s">
        <v>2224</v>
      </c>
      <c r="Y1202" s="424" t="s">
        <v>2279</v>
      </c>
      <c r="Z1202" s="424" t="s">
        <v>2872</v>
      </c>
      <c r="AA1202" s="424" t="s">
        <v>3197</v>
      </c>
      <c r="AB1202" s="424" t="s">
        <v>5099</v>
      </c>
      <c r="AC1202" s="424" t="s">
        <v>3910</v>
      </c>
      <c r="AD1202" s="424" t="s">
        <v>3911</v>
      </c>
      <c r="AE1202" s="424" t="s">
        <v>3923</v>
      </c>
      <c r="AF1202" s="424"/>
      <c r="AG1202" s="424"/>
      <c r="AH1202" s="424"/>
    </row>
    <row r="1203" spans="1:34" x14ac:dyDescent="0.25">
      <c r="A1203" s="423" t="s">
        <v>5999</v>
      </c>
      <c r="B1203" s="423" t="s">
        <v>6011</v>
      </c>
      <c r="C1203" s="423" t="s">
        <v>5922</v>
      </c>
      <c r="D1203" s="423" t="s">
        <v>5923</v>
      </c>
      <c r="E1203" s="423" t="s">
        <v>2818</v>
      </c>
      <c r="F1203" s="423">
        <v>4</v>
      </c>
      <c r="G1203" s="423">
        <v>8</v>
      </c>
      <c r="H1203" s="423">
        <v>60</v>
      </c>
      <c r="J1203" s="423"/>
      <c r="K1203" s="423"/>
      <c r="L1203" s="423"/>
      <c r="M1203" s="423"/>
      <c r="Q1203" s="423"/>
      <c r="R1203" s="424" t="s">
        <v>6012</v>
      </c>
      <c r="S1203" s="424" t="s">
        <v>2846</v>
      </c>
      <c r="T1203" s="424" t="s">
        <v>2870</v>
      </c>
      <c r="U1203" s="424">
        <v>0</v>
      </c>
      <c r="V1203" s="424" t="s">
        <v>58</v>
      </c>
      <c r="W1203" s="424" t="s">
        <v>3694</v>
      </c>
      <c r="X1203" s="424" t="s">
        <v>2224</v>
      </c>
      <c r="Y1203" s="424" t="s">
        <v>2279</v>
      </c>
      <c r="Z1203" s="424" t="s">
        <v>2872</v>
      </c>
      <c r="AA1203" s="424" t="s">
        <v>3197</v>
      </c>
      <c r="AB1203" s="424" t="s">
        <v>3909</v>
      </c>
      <c r="AC1203" s="424" t="s">
        <v>3910</v>
      </c>
      <c r="AD1203" s="424" t="s">
        <v>3911</v>
      </c>
      <c r="AE1203" s="424" t="s">
        <v>3912</v>
      </c>
      <c r="AF1203" s="424"/>
      <c r="AG1203" s="424"/>
      <c r="AH1203" s="424"/>
    </row>
    <row r="1204" spans="1:34" x14ac:dyDescent="0.25">
      <c r="A1204" s="423" t="s">
        <v>5999</v>
      </c>
      <c r="B1204" s="423" t="s">
        <v>6013</v>
      </c>
      <c r="C1204" s="423" t="s">
        <v>5922</v>
      </c>
      <c r="D1204" s="423" t="s">
        <v>5923</v>
      </c>
      <c r="E1204" s="423" t="s">
        <v>2818</v>
      </c>
      <c r="F1204" s="423">
        <v>4</v>
      </c>
      <c r="G1204" s="423">
        <v>8</v>
      </c>
      <c r="H1204" s="423">
        <v>60</v>
      </c>
      <c r="J1204" s="423"/>
      <c r="K1204" s="423"/>
      <c r="L1204" s="423"/>
      <c r="M1204" s="423"/>
      <c r="Q1204" s="423"/>
      <c r="R1204" s="424" t="s">
        <v>6014</v>
      </c>
      <c r="S1204" s="424" t="s">
        <v>2846</v>
      </c>
      <c r="T1204" s="424" t="s">
        <v>2870</v>
      </c>
      <c r="U1204" s="424">
        <v>0</v>
      </c>
      <c r="V1204" s="424" t="s">
        <v>58</v>
      </c>
      <c r="W1204" s="424" t="s">
        <v>3694</v>
      </c>
      <c r="X1204" s="424" t="s">
        <v>2224</v>
      </c>
      <c r="Y1204" s="424" t="s">
        <v>2279</v>
      </c>
      <c r="Z1204" s="424" t="s">
        <v>2872</v>
      </c>
      <c r="AA1204" s="424" t="s">
        <v>3197</v>
      </c>
      <c r="AB1204" s="424" t="s">
        <v>6015</v>
      </c>
      <c r="AC1204" s="424" t="s">
        <v>3910</v>
      </c>
      <c r="AD1204" s="424" t="s">
        <v>6007</v>
      </c>
      <c r="AE1204" s="424" t="s">
        <v>6016</v>
      </c>
      <c r="AF1204" s="424"/>
      <c r="AG1204" s="424"/>
      <c r="AH1204" s="424"/>
    </row>
    <row r="1205" spans="1:34" x14ac:dyDescent="0.25">
      <c r="A1205" s="423" t="s">
        <v>5999</v>
      </c>
      <c r="B1205" s="423" t="s">
        <v>6017</v>
      </c>
      <c r="C1205" s="423" t="s">
        <v>5922</v>
      </c>
      <c r="D1205" s="423" t="s">
        <v>5923</v>
      </c>
      <c r="E1205" s="423" t="s">
        <v>2818</v>
      </c>
      <c r="F1205" s="423">
        <v>16</v>
      </c>
      <c r="G1205" s="423">
        <v>24</v>
      </c>
      <c r="H1205" s="423">
        <v>60</v>
      </c>
      <c r="J1205" s="423"/>
      <c r="K1205" s="423"/>
      <c r="L1205" s="423"/>
      <c r="M1205" s="423"/>
      <c r="Q1205" s="423"/>
      <c r="R1205" s="424" t="s">
        <v>6018</v>
      </c>
      <c r="S1205" s="424" t="s">
        <v>2846</v>
      </c>
      <c r="T1205" s="424" t="s">
        <v>2870</v>
      </c>
      <c r="U1205" s="424">
        <v>0</v>
      </c>
      <c r="V1205" s="424" t="s">
        <v>58</v>
      </c>
      <c r="W1205" s="424" t="s">
        <v>3694</v>
      </c>
      <c r="X1205" s="424" t="s">
        <v>2224</v>
      </c>
      <c r="Y1205" s="424" t="s">
        <v>2279</v>
      </c>
      <c r="Z1205" s="424" t="s">
        <v>2872</v>
      </c>
      <c r="AA1205" s="424" t="s">
        <v>3197</v>
      </c>
      <c r="AB1205" s="424" t="s">
        <v>5072</v>
      </c>
      <c r="AC1205" s="424" t="s">
        <v>3910</v>
      </c>
      <c r="AD1205" s="424" t="s">
        <v>3911</v>
      </c>
      <c r="AE1205" s="424" t="s">
        <v>3916</v>
      </c>
      <c r="AF1205" s="424"/>
      <c r="AG1205" s="424"/>
      <c r="AH1205" s="424"/>
    </row>
    <row r="1206" spans="1:34" x14ac:dyDescent="0.25">
      <c r="A1206" s="423" t="s">
        <v>5999</v>
      </c>
      <c r="B1206" s="423" t="s">
        <v>6019</v>
      </c>
      <c r="C1206" s="423" t="s">
        <v>5922</v>
      </c>
      <c r="D1206" s="423" t="s">
        <v>5923</v>
      </c>
      <c r="E1206" s="423" t="s">
        <v>2818</v>
      </c>
      <c r="F1206" s="423">
        <v>16</v>
      </c>
      <c r="G1206" s="423">
        <v>24</v>
      </c>
      <c r="H1206" s="423">
        <v>60</v>
      </c>
      <c r="J1206" s="423"/>
      <c r="K1206" s="423"/>
      <c r="L1206" s="423"/>
      <c r="M1206" s="423"/>
      <c r="Q1206" s="423"/>
      <c r="R1206" s="424" t="s">
        <v>6020</v>
      </c>
      <c r="S1206" s="424" t="s">
        <v>2846</v>
      </c>
      <c r="T1206" s="424" t="s">
        <v>2870</v>
      </c>
      <c r="U1206" s="424">
        <v>0</v>
      </c>
      <c r="V1206" s="424" t="s">
        <v>58</v>
      </c>
      <c r="W1206" s="424" t="s">
        <v>3694</v>
      </c>
      <c r="X1206" s="424" t="s">
        <v>2224</v>
      </c>
      <c r="Y1206" s="424" t="s">
        <v>2279</v>
      </c>
      <c r="Z1206" s="424" t="s">
        <v>2872</v>
      </c>
      <c r="AA1206" s="424" t="s">
        <v>3197</v>
      </c>
      <c r="AB1206" s="424" t="s">
        <v>5094</v>
      </c>
      <c r="AC1206" s="424" t="s">
        <v>3910</v>
      </c>
      <c r="AD1206" s="424" t="s">
        <v>3911</v>
      </c>
      <c r="AE1206" s="424" t="s">
        <v>3923</v>
      </c>
      <c r="AF1206" s="424"/>
      <c r="AG1206" s="424"/>
      <c r="AH1206" s="424"/>
    </row>
    <row r="1207" spans="1:34" x14ac:dyDescent="0.25">
      <c r="A1207" s="423" t="s">
        <v>5999</v>
      </c>
      <c r="B1207" s="423" t="s">
        <v>6021</v>
      </c>
      <c r="C1207" s="423" t="s">
        <v>5922</v>
      </c>
      <c r="D1207" s="423" t="s">
        <v>5923</v>
      </c>
      <c r="E1207" s="423" t="s">
        <v>2818</v>
      </c>
      <c r="F1207" s="423">
        <v>16</v>
      </c>
      <c r="G1207" s="423">
        <v>24</v>
      </c>
      <c r="H1207" s="423">
        <v>60</v>
      </c>
      <c r="J1207" s="423"/>
      <c r="K1207" s="423"/>
      <c r="L1207" s="423"/>
      <c r="M1207" s="423"/>
      <c r="Q1207" s="423"/>
      <c r="R1207" s="424" t="s">
        <v>6022</v>
      </c>
      <c r="S1207" s="424" t="s">
        <v>2846</v>
      </c>
      <c r="T1207" s="424" t="s">
        <v>2870</v>
      </c>
      <c r="U1207" s="424">
        <v>0</v>
      </c>
      <c r="V1207" s="424" t="s">
        <v>58</v>
      </c>
      <c r="W1207" s="424" t="s">
        <v>3694</v>
      </c>
      <c r="X1207" s="424" t="s">
        <v>2224</v>
      </c>
      <c r="Y1207" s="424" t="s">
        <v>2279</v>
      </c>
      <c r="Z1207" s="424" t="s">
        <v>2872</v>
      </c>
      <c r="AA1207" s="424" t="s">
        <v>3197</v>
      </c>
      <c r="AB1207" s="424" t="s">
        <v>5094</v>
      </c>
      <c r="AC1207" s="424" t="s">
        <v>3910</v>
      </c>
      <c r="AD1207" s="424" t="s">
        <v>3911</v>
      </c>
      <c r="AE1207" s="424" t="s">
        <v>3923</v>
      </c>
      <c r="AF1207" s="424"/>
      <c r="AG1207" s="424"/>
      <c r="AH1207" s="424"/>
    </row>
    <row r="1208" spans="1:34" x14ac:dyDescent="0.25">
      <c r="A1208" s="423" t="s">
        <v>5999</v>
      </c>
      <c r="B1208" s="423" t="s">
        <v>6023</v>
      </c>
      <c r="C1208" s="423" t="s">
        <v>5922</v>
      </c>
      <c r="D1208" s="423" t="s">
        <v>5923</v>
      </c>
      <c r="E1208" s="423" t="s">
        <v>2818</v>
      </c>
      <c r="F1208" s="423">
        <v>16</v>
      </c>
      <c r="G1208" s="423">
        <v>24</v>
      </c>
      <c r="H1208" s="423">
        <v>60</v>
      </c>
      <c r="J1208" s="423"/>
      <c r="K1208" s="423"/>
      <c r="L1208" s="423"/>
      <c r="M1208" s="423"/>
      <c r="Q1208" s="423"/>
      <c r="R1208" s="424" t="s">
        <v>6024</v>
      </c>
      <c r="S1208" s="424" t="s">
        <v>2846</v>
      </c>
      <c r="T1208" s="424" t="s">
        <v>2870</v>
      </c>
      <c r="U1208" s="424">
        <v>0</v>
      </c>
      <c r="V1208" s="424" t="s">
        <v>58</v>
      </c>
      <c r="W1208" s="424" t="s">
        <v>3694</v>
      </c>
      <c r="X1208" s="424" t="s">
        <v>2224</v>
      </c>
      <c r="Y1208" s="424" t="s">
        <v>2279</v>
      </c>
      <c r="Z1208" s="424" t="s">
        <v>2872</v>
      </c>
      <c r="AA1208" s="424" t="s">
        <v>3197</v>
      </c>
      <c r="AB1208" s="424" t="s">
        <v>5099</v>
      </c>
      <c r="AC1208" s="424" t="s">
        <v>3910</v>
      </c>
      <c r="AD1208" s="424" t="s">
        <v>3911</v>
      </c>
      <c r="AE1208" s="424" t="s">
        <v>3923</v>
      </c>
      <c r="AF1208" s="424"/>
      <c r="AG1208" s="424"/>
      <c r="AH1208" s="424"/>
    </row>
    <row r="1209" spans="1:34" x14ac:dyDescent="0.25">
      <c r="A1209" s="423" t="s">
        <v>5999</v>
      </c>
      <c r="B1209" s="423" t="s">
        <v>6025</v>
      </c>
      <c r="C1209" s="423" t="s">
        <v>5922</v>
      </c>
      <c r="D1209" s="423" t="s">
        <v>5923</v>
      </c>
      <c r="E1209" s="423" t="s">
        <v>2818</v>
      </c>
      <c r="F1209" s="423">
        <v>16</v>
      </c>
      <c r="G1209" s="423">
        <v>24</v>
      </c>
      <c r="H1209" s="423">
        <v>60</v>
      </c>
      <c r="J1209" s="423"/>
      <c r="K1209" s="423"/>
      <c r="L1209" s="423"/>
      <c r="M1209" s="423"/>
      <c r="Q1209" s="423"/>
      <c r="R1209" s="424" t="s">
        <v>6026</v>
      </c>
      <c r="S1209" s="424" t="s">
        <v>2846</v>
      </c>
      <c r="T1209" s="424" t="s">
        <v>2870</v>
      </c>
      <c r="U1209" s="424">
        <v>0</v>
      </c>
      <c r="V1209" s="424" t="s">
        <v>58</v>
      </c>
      <c r="W1209" s="424" t="s">
        <v>3694</v>
      </c>
      <c r="X1209" s="424" t="s">
        <v>2224</v>
      </c>
      <c r="Y1209" s="424" t="s">
        <v>2279</v>
      </c>
      <c r="Z1209" s="424" t="s">
        <v>2872</v>
      </c>
      <c r="AA1209" s="424" t="s">
        <v>3197</v>
      </c>
      <c r="AB1209" s="424" t="s">
        <v>6027</v>
      </c>
      <c r="AC1209" s="424" t="s">
        <v>3910</v>
      </c>
      <c r="AD1209" s="424" t="s">
        <v>3911</v>
      </c>
      <c r="AE1209" s="424" t="s">
        <v>3923</v>
      </c>
      <c r="AF1209" s="424"/>
      <c r="AG1209" s="424"/>
      <c r="AH1209" s="424"/>
    </row>
    <row r="1210" spans="1:34" x14ac:dyDescent="0.25">
      <c r="A1210" s="423" t="s">
        <v>5999</v>
      </c>
      <c r="B1210" s="423" t="s">
        <v>6028</v>
      </c>
      <c r="C1210" s="423" t="s">
        <v>5922</v>
      </c>
      <c r="D1210" s="423" t="s">
        <v>5923</v>
      </c>
      <c r="E1210" s="423" t="s">
        <v>2818</v>
      </c>
      <c r="F1210" s="423">
        <v>16</v>
      </c>
      <c r="G1210" s="423">
        <v>24</v>
      </c>
      <c r="H1210" s="423">
        <v>60</v>
      </c>
      <c r="J1210" s="423"/>
      <c r="K1210" s="423"/>
      <c r="L1210" s="423"/>
      <c r="M1210" s="423"/>
      <c r="Q1210" s="423"/>
      <c r="R1210" s="424" t="s">
        <v>6029</v>
      </c>
      <c r="S1210" s="424" t="s">
        <v>2846</v>
      </c>
      <c r="T1210" s="424" t="s">
        <v>2870</v>
      </c>
      <c r="U1210" s="424">
        <v>0</v>
      </c>
      <c r="V1210" s="424" t="s">
        <v>58</v>
      </c>
      <c r="W1210" s="424" t="s">
        <v>3694</v>
      </c>
      <c r="X1210" s="424" t="s">
        <v>2224</v>
      </c>
      <c r="Y1210" s="424" t="s">
        <v>2279</v>
      </c>
      <c r="Z1210" s="424" t="s">
        <v>2872</v>
      </c>
      <c r="AA1210" s="424" t="s">
        <v>3197</v>
      </c>
      <c r="AB1210" s="424" t="s">
        <v>5135</v>
      </c>
      <c r="AC1210" s="424" t="s">
        <v>3910</v>
      </c>
      <c r="AD1210" s="424" t="s">
        <v>3911</v>
      </c>
      <c r="AE1210" s="424" t="s">
        <v>3916</v>
      </c>
      <c r="AF1210" s="424"/>
      <c r="AG1210" s="424"/>
      <c r="AH1210" s="424"/>
    </row>
    <row r="1211" spans="1:34" x14ac:dyDescent="0.25">
      <c r="A1211" s="423" t="s">
        <v>5999</v>
      </c>
      <c r="B1211" s="423" t="s">
        <v>6030</v>
      </c>
      <c r="C1211" s="423" t="s">
        <v>5922</v>
      </c>
      <c r="D1211" s="423" t="s">
        <v>5923</v>
      </c>
      <c r="E1211" s="423" t="s">
        <v>2818</v>
      </c>
      <c r="F1211" s="423">
        <v>16</v>
      </c>
      <c r="G1211" s="423">
        <v>24</v>
      </c>
      <c r="H1211" s="423">
        <v>60</v>
      </c>
      <c r="J1211" s="423"/>
      <c r="K1211" s="423"/>
      <c r="L1211" s="423"/>
      <c r="M1211" s="423"/>
      <c r="Q1211" s="423"/>
      <c r="R1211" s="424" t="s">
        <v>6031</v>
      </c>
      <c r="S1211" s="424" t="s">
        <v>2846</v>
      </c>
      <c r="T1211" s="424" t="s">
        <v>2870</v>
      </c>
      <c r="U1211" s="424">
        <v>0</v>
      </c>
      <c r="V1211" s="424" t="s">
        <v>58</v>
      </c>
      <c r="W1211" s="424" t="s">
        <v>3694</v>
      </c>
      <c r="X1211" s="424" t="s">
        <v>2224</v>
      </c>
      <c r="Y1211" s="424" t="s">
        <v>2279</v>
      </c>
      <c r="Z1211" s="424" t="s">
        <v>2872</v>
      </c>
      <c r="AA1211" s="424" t="s">
        <v>3197</v>
      </c>
      <c r="AB1211" s="424" t="s">
        <v>6032</v>
      </c>
      <c r="AC1211" s="424" t="s">
        <v>3910</v>
      </c>
      <c r="AD1211" s="424" t="s">
        <v>3911</v>
      </c>
      <c r="AE1211" s="424" t="s">
        <v>3912</v>
      </c>
      <c r="AF1211" s="424"/>
      <c r="AG1211" s="424"/>
      <c r="AH1211" s="424"/>
    </row>
    <row r="1212" spans="1:34" x14ac:dyDescent="0.25">
      <c r="A1212" s="423" t="s">
        <v>5999</v>
      </c>
      <c r="B1212" s="423" t="s">
        <v>6033</v>
      </c>
      <c r="C1212" s="423" t="s">
        <v>5922</v>
      </c>
      <c r="D1212" s="423" t="s">
        <v>5923</v>
      </c>
      <c r="E1212" s="423" t="s">
        <v>2818</v>
      </c>
      <c r="F1212" s="423">
        <v>16</v>
      </c>
      <c r="G1212" s="423">
        <v>24</v>
      </c>
      <c r="H1212" s="423">
        <v>60</v>
      </c>
      <c r="J1212" s="423"/>
      <c r="K1212" s="423"/>
      <c r="L1212" s="423"/>
      <c r="M1212" s="423"/>
      <c r="Q1212" s="423"/>
      <c r="R1212" s="424" t="s">
        <v>6034</v>
      </c>
      <c r="S1212" s="424" t="s">
        <v>2846</v>
      </c>
      <c r="T1212" s="424" t="s">
        <v>2870</v>
      </c>
      <c r="U1212" s="424">
        <v>0</v>
      </c>
      <c r="V1212" s="424" t="s">
        <v>58</v>
      </c>
      <c r="W1212" s="424" t="s">
        <v>3694</v>
      </c>
      <c r="X1212" s="424" t="s">
        <v>2224</v>
      </c>
      <c r="Y1212" s="424" t="s">
        <v>2279</v>
      </c>
      <c r="Z1212" s="424" t="s">
        <v>2872</v>
      </c>
      <c r="AA1212" s="424" t="s">
        <v>3197</v>
      </c>
      <c r="AB1212" s="424" t="s">
        <v>5075</v>
      </c>
      <c r="AC1212" s="424" t="s">
        <v>3910</v>
      </c>
      <c r="AD1212" s="424" t="s">
        <v>3911</v>
      </c>
      <c r="AE1212" s="424" t="s">
        <v>3912</v>
      </c>
      <c r="AF1212" s="424"/>
      <c r="AG1212" s="424"/>
      <c r="AH1212" s="424"/>
    </row>
    <row r="1213" spans="1:34" x14ac:dyDescent="0.25">
      <c r="A1213" s="423" t="s">
        <v>5999</v>
      </c>
      <c r="B1213" s="423" t="s">
        <v>6035</v>
      </c>
      <c r="C1213" s="423" t="s">
        <v>5922</v>
      </c>
      <c r="D1213" s="423" t="s">
        <v>5923</v>
      </c>
      <c r="E1213" s="423" t="s">
        <v>2818</v>
      </c>
      <c r="F1213" s="423">
        <v>16</v>
      </c>
      <c r="G1213" s="423">
        <v>24</v>
      </c>
      <c r="H1213" s="423">
        <v>60</v>
      </c>
      <c r="J1213" s="423"/>
      <c r="K1213" s="423"/>
      <c r="L1213" s="423"/>
      <c r="M1213" s="423"/>
      <c r="Q1213" s="423"/>
      <c r="R1213" s="424" t="s">
        <v>6036</v>
      </c>
      <c r="S1213" s="424" t="s">
        <v>2846</v>
      </c>
      <c r="T1213" s="424" t="s">
        <v>2870</v>
      </c>
      <c r="U1213" s="424">
        <v>0</v>
      </c>
      <c r="V1213" s="424" t="s">
        <v>58</v>
      </c>
      <c r="W1213" s="424" t="s">
        <v>3694</v>
      </c>
      <c r="X1213" s="424" t="s">
        <v>2224</v>
      </c>
      <c r="Y1213" s="424" t="s">
        <v>2279</v>
      </c>
      <c r="Z1213" s="424" t="s">
        <v>2872</v>
      </c>
      <c r="AA1213" s="424" t="s">
        <v>3197</v>
      </c>
      <c r="AB1213" s="424" t="s">
        <v>6037</v>
      </c>
      <c r="AC1213" s="424" t="s">
        <v>3910</v>
      </c>
      <c r="AD1213" s="424" t="s">
        <v>3911</v>
      </c>
      <c r="AE1213" s="424" t="s">
        <v>3912</v>
      </c>
      <c r="AF1213" s="424"/>
      <c r="AG1213" s="424"/>
      <c r="AH1213" s="424"/>
    </row>
    <row r="1214" spans="1:34" x14ac:dyDescent="0.25">
      <c r="A1214" s="423" t="s">
        <v>5999</v>
      </c>
      <c r="B1214" s="423" t="s">
        <v>6038</v>
      </c>
      <c r="C1214" s="423" t="s">
        <v>5922</v>
      </c>
      <c r="D1214" s="423" t="s">
        <v>5923</v>
      </c>
      <c r="E1214" s="423" t="s">
        <v>2818</v>
      </c>
      <c r="F1214" s="423">
        <v>16</v>
      </c>
      <c r="G1214" s="423">
        <v>24</v>
      </c>
      <c r="H1214" s="423">
        <v>60</v>
      </c>
      <c r="J1214" s="423"/>
      <c r="K1214" s="423"/>
      <c r="L1214" s="423"/>
      <c r="M1214" s="423"/>
      <c r="Q1214" s="423"/>
      <c r="R1214" s="424" t="s">
        <v>6039</v>
      </c>
      <c r="S1214" s="424" t="s">
        <v>2846</v>
      </c>
      <c r="T1214" s="424" t="s">
        <v>2870</v>
      </c>
      <c r="U1214" s="424">
        <v>0</v>
      </c>
      <c r="V1214" s="424" t="s">
        <v>58</v>
      </c>
      <c r="W1214" s="424" t="s">
        <v>3694</v>
      </c>
      <c r="X1214" s="424" t="s">
        <v>2224</v>
      </c>
      <c r="Y1214" s="424" t="s">
        <v>2279</v>
      </c>
      <c r="Z1214" s="424" t="s">
        <v>2872</v>
      </c>
      <c r="AA1214" s="424" t="s">
        <v>3197</v>
      </c>
      <c r="AB1214" s="424" t="s">
        <v>3909</v>
      </c>
      <c r="AC1214" s="424" t="s">
        <v>3910</v>
      </c>
      <c r="AD1214" s="424" t="s">
        <v>3911</v>
      </c>
      <c r="AE1214" s="424" t="s">
        <v>3912</v>
      </c>
      <c r="AF1214" s="424"/>
      <c r="AG1214" s="424"/>
      <c r="AH1214" s="424"/>
    </row>
    <row r="1215" spans="1:34" x14ac:dyDescent="0.25">
      <c r="A1215" s="423" t="s">
        <v>5999</v>
      </c>
      <c r="B1215" s="423" t="s">
        <v>6040</v>
      </c>
      <c r="C1215" s="423" t="s">
        <v>5922</v>
      </c>
      <c r="D1215" s="423" t="s">
        <v>5923</v>
      </c>
      <c r="E1215" s="423" t="s">
        <v>2818</v>
      </c>
      <c r="F1215" s="423">
        <v>16</v>
      </c>
      <c r="G1215" s="423">
        <v>24</v>
      </c>
      <c r="H1215" s="423">
        <v>60</v>
      </c>
      <c r="J1215" s="423"/>
      <c r="K1215" s="423"/>
      <c r="L1215" s="423"/>
      <c r="M1215" s="423"/>
      <c r="Q1215" s="423"/>
      <c r="R1215" s="424" t="s">
        <v>6041</v>
      </c>
      <c r="S1215" s="424" t="s">
        <v>2846</v>
      </c>
      <c r="T1215" s="424" t="s">
        <v>2870</v>
      </c>
      <c r="U1215" s="424">
        <v>0</v>
      </c>
      <c r="V1215" s="424" t="s">
        <v>58</v>
      </c>
      <c r="W1215" s="424" t="s">
        <v>3694</v>
      </c>
      <c r="X1215" s="424" t="s">
        <v>2224</v>
      </c>
      <c r="Y1215" s="424" t="s">
        <v>2279</v>
      </c>
      <c r="Z1215" s="424" t="s">
        <v>2872</v>
      </c>
      <c r="AA1215" s="424" t="s">
        <v>3197</v>
      </c>
      <c r="AB1215" s="424" t="s">
        <v>5087</v>
      </c>
      <c r="AC1215" s="424" t="s">
        <v>3910</v>
      </c>
      <c r="AD1215" s="424" t="s">
        <v>3911</v>
      </c>
      <c r="AE1215" s="424" t="s">
        <v>3912</v>
      </c>
      <c r="AF1215" s="424"/>
      <c r="AG1215" s="424"/>
      <c r="AH1215" s="424"/>
    </row>
    <row r="1216" spans="1:34" x14ac:dyDescent="0.25">
      <c r="A1216" s="423" t="s">
        <v>5999</v>
      </c>
      <c r="B1216" s="423" t="s">
        <v>6042</v>
      </c>
      <c r="C1216" s="423" t="s">
        <v>5922</v>
      </c>
      <c r="D1216" s="423" t="s">
        <v>5923</v>
      </c>
      <c r="E1216" s="423" t="s">
        <v>2818</v>
      </c>
      <c r="F1216" s="423">
        <v>11</v>
      </c>
      <c r="G1216" s="423">
        <v>43</v>
      </c>
      <c r="H1216" s="423">
        <v>60</v>
      </c>
      <c r="J1216" s="423"/>
      <c r="K1216" s="423"/>
      <c r="L1216" s="423"/>
      <c r="M1216" s="423"/>
      <c r="Q1216" s="423"/>
      <c r="R1216" s="424" t="s">
        <v>6043</v>
      </c>
      <c r="S1216" s="424" t="s">
        <v>2846</v>
      </c>
      <c r="T1216" s="424" t="s">
        <v>2870</v>
      </c>
      <c r="U1216" s="424">
        <v>0</v>
      </c>
      <c r="V1216" s="424" t="s">
        <v>58</v>
      </c>
      <c r="W1216" s="424" t="s">
        <v>3694</v>
      </c>
      <c r="X1216" s="424" t="s">
        <v>2224</v>
      </c>
      <c r="Y1216" s="424" t="s">
        <v>2279</v>
      </c>
      <c r="Z1216" s="424" t="s">
        <v>2872</v>
      </c>
      <c r="AA1216" s="424" t="s">
        <v>3197</v>
      </c>
      <c r="AB1216" s="424" t="s">
        <v>6037</v>
      </c>
      <c r="AC1216" s="424" t="s">
        <v>3910</v>
      </c>
      <c r="AD1216" s="424" t="s">
        <v>3911</v>
      </c>
      <c r="AE1216" s="424" t="s">
        <v>3912</v>
      </c>
      <c r="AF1216" s="424"/>
      <c r="AG1216" s="424"/>
      <c r="AH1216" s="424"/>
    </row>
    <row r="1217" spans="1:34" x14ac:dyDescent="0.25">
      <c r="A1217" s="423" t="s">
        <v>5999</v>
      </c>
      <c r="B1217" s="423" t="s">
        <v>6044</v>
      </c>
      <c r="C1217" s="423" t="s">
        <v>5922</v>
      </c>
      <c r="D1217" s="423" t="s">
        <v>5923</v>
      </c>
      <c r="E1217" s="423" t="s">
        <v>2818</v>
      </c>
      <c r="F1217" s="423">
        <v>11</v>
      </c>
      <c r="G1217" s="423">
        <v>43</v>
      </c>
      <c r="H1217" s="423">
        <v>60</v>
      </c>
      <c r="J1217" s="423"/>
      <c r="K1217" s="423"/>
      <c r="L1217" s="423"/>
      <c r="M1217" s="423"/>
      <c r="Q1217" s="423"/>
      <c r="R1217" s="424" t="s">
        <v>6045</v>
      </c>
      <c r="S1217" s="424" t="s">
        <v>2846</v>
      </c>
      <c r="T1217" s="424" t="s">
        <v>2870</v>
      </c>
      <c r="U1217" s="424">
        <v>0</v>
      </c>
      <c r="V1217" s="424" t="s">
        <v>58</v>
      </c>
      <c r="W1217" s="424" t="s">
        <v>3694</v>
      </c>
      <c r="X1217" s="424" t="s">
        <v>2224</v>
      </c>
      <c r="Y1217" s="424" t="s">
        <v>2279</v>
      </c>
      <c r="Z1217" s="424" t="s">
        <v>2872</v>
      </c>
      <c r="AA1217" s="424" t="s">
        <v>3197</v>
      </c>
      <c r="AB1217" s="424" t="s">
        <v>6037</v>
      </c>
      <c r="AC1217" s="424" t="s">
        <v>3910</v>
      </c>
      <c r="AD1217" s="424" t="s">
        <v>3911</v>
      </c>
      <c r="AE1217" s="424" t="s">
        <v>3912</v>
      </c>
      <c r="AF1217" s="424"/>
      <c r="AG1217" s="424"/>
      <c r="AH1217" s="424"/>
    </row>
    <row r="1218" spans="1:34" x14ac:dyDescent="0.25">
      <c r="A1218" s="423" t="s">
        <v>5999</v>
      </c>
      <c r="B1218" s="423" t="s">
        <v>6046</v>
      </c>
      <c r="C1218" s="423" t="s">
        <v>5922</v>
      </c>
      <c r="D1218" s="423" t="s">
        <v>5923</v>
      </c>
      <c r="E1218" s="423" t="s">
        <v>2818</v>
      </c>
      <c r="F1218" s="423">
        <v>11</v>
      </c>
      <c r="G1218" s="423">
        <v>43</v>
      </c>
      <c r="H1218" s="423">
        <v>60</v>
      </c>
      <c r="J1218" s="423"/>
      <c r="K1218" s="423"/>
      <c r="L1218" s="423"/>
      <c r="M1218" s="423"/>
      <c r="Q1218" s="423"/>
      <c r="R1218" s="424" t="s">
        <v>6047</v>
      </c>
      <c r="S1218" s="424" t="s">
        <v>2846</v>
      </c>
      <c r="T1218" s="424" t="s">
        <v>2870</v>
      </c>
      <c r="U1218" s="424">
        <v>0</v>
      </c>
      <c r="V1218" s="424" t="s">
        <v>58</v>
      </c>
      <c r="W1218" s="424" t="s">
        <v>3694</v>
      </c>
      <c r="X1218" s="424" t="s">
        <v>2224</v>
      </c>
      <c r="Y1218" s="424" t="s">
        <v>2279</v>
      </c>
      <c r="Z1218" s="424" t="s">
        <v>2872</v>
      </c>
      <c r="AA1218" s="424" t="s">
        <v>3197</v>
      </c>
      <c r="AB1218" s="424" t="s">
        <v>6032</v>
      </c>
      <c r="AC1218" s="424" t="s">
        <v>3910</v>
      </c>
      <c r="AD1218" s="424" t="s">
        <v>3911</v>
      </c>
      <c r="AE1218" s="424" t="s">
        <v>3912</v>
      </c>
      <c r="AF1218" s="424"/>
      <c r="AG1218" s="424"/>
      <c r="AH1218" s="424"/>
    </row>
    <row r="1219" spans="1:34" x14ac:dyDescent="0.25">
      <c r="A1219" s="423" t="s">
        <v>5999</v>
      </c>
      <c r="B1219" s="423" t="s">
        <v>6048</v>
      </c>
      <c r="C1219" s="423" t="s">
        <v>5922</v>
      </c>
      <c r="D1219" s="423" t="s">
        <v>5923</v>
      </c>
      <c r="E1219" s="423" t="s">
        <v>2818</v>
      </c>
      <c r="F1219" s="423">
        <v>8</v>
      </c>
      <c r="G1219" s="423">
        <v>16</v>
      </c>
      <c r="H1219" s="423">
        <v>60</v>
      </c>
      <c r="J1219" s="423"/>
      <c r="K1219" s="423"/>
      <c r="L1219" s="423"/>
      <c r="M1219" s="423"/>
      <c r="Q1219" s="423"/>
      <c r="R1219" s="424" t="s">
        <v>6049</v>
      </c>
      <c r="S1219" s="424" t="s">
        <v>2846</v>
      </c>
      <c r="T1219" s="424" t="s">
        <v>2870</v>
      </c>
      <c r="U1219" s="424">
        <v>0</v>
      </c>
      <c r="V1219" s="424" t="s">
        <v>58</v>
      </c>
      <c r="W1219" s="424" t="s">
        <v>3694</v>
      </c>
      <c r="X1219" s="424" t="s">
        <v>2224</v>
      </c>
      <c r="Y1219" s="424" t="s">
        <v>2279</v>
      </c>
      <c r="Z1219" s="424" t="s">
        <v>2872</v>
      </c>
      <c r="AA1219" s="424" t="s">
        <v>3197</v>
      </c>
      <c r="AB1219" s="424" t="s">
        <v>5135</v>
      </c>
      <c r="AC1219" s="424" t="s">
        <v>3910</v>
      </c>
      <c r="AD1219" s="424" t="s">
        <v>3911</v>
      </c>
      <c r="AE1219" s="424" t="s">
        <v>3916</v>
      </c>
      <c r="AF1219" s="424"/>
      <c r="AG1219" s="424"/>
      <c r="AH1219" s="424"/>
    </row>
    <row r="1220" spans="1:34" x14ac:dyDescent="0.25">
      <c r="A1220" s="423" t="s">
        <v>5999</v>
      </c>
      <c r="B1220" s="423" t="s">
        <v>6050</v>
      </c>
      <c r="C1220" s="423" t="s">
        <v>5922</v>
      </c>
      <c r="D1220" s="423" t="s">
        <v>5923</v>
      </c>
      <c r="E1220" s="423" t="s">
        <v>2818</v>
      </c>
      <c r="F1220" s="423">
        <v>8</v>
      </c>
      <c r="G1220" s="423">
        <v>16</v>
      </c>
      <c r="H1220" s="423">
        <v>60</v>
      </c>
      <c r="J1220" s="423"/>
      <c r="K1220" s="423"/>
      <c r="L1220" s="423"/>
      <c r="M1220" s="423"/>
      <c r="Q1220" s="423"/>
      <c r="R1220" s="424" t="s">
        <v>6051</v>
      </c>
      <c r="S1220" s="424" t="s">
        <v>2846</v>
      </c>
      <c r="T1220" s="424" t="s">
        <v>2870</v>
      </c>
      <c r="U1220" s="424">
        <v>0</v>
      </c>
      <c r="V1220" s="424" t="s">
        <v>58</v>
      </c>
      <c r="W1220" s="424" t="s">
        <v>3694</v>
      </c>
      <c r="X1220" s="424" t="s">
        <v>2224</v>
      </c>
      <c r="Y1220" s="424" t="s">
        <v>2279</v>
      </c>
      <c r="Z1220" s="424" t="s">
        <v>2872</v>
      </c>
      <c r="AA1220" s="424" t="s">
        <v>3197</v>
      </c>
      <c r="AB1220" s="424" t="s">
        <v>5072</v>
      </c>
      <c r="AC1220" s="424" t="s">
        <v>3910</v>
      </c>
      <c r="AD1220" s="424" t="s">
        <v>3911</v>
      </c>
      <c r="AE1220" s="424" t="s">
        <v>3916</v>
      </c>
      <c r="AF1220" s="424"/>
      <c r="AG1220" s="424"/>
      <c r="AH1220" s="424"/>
    </row>
    <row r="1221" spans="1:34" x14ac:dyDescent="0.25">
      <c r="A1221" s="423" t="s">
        <v>5999</v>
      </c>
      <c r="B1221" s="423" t="s">
        <v>6052</v>
      </c>
      <c r="C1221" s="423" t="s">
        <v>5922</v>
      </c>
      <c r="D1221" s="423" t="s">
        <v>5923</v>
      </c>
      <c r="E1221" s="423" t="s">
        <v>2818</v>
      </c>
      <c r="F1221" s="423">
        <v>8</v>
      </c>
      <c r="G1221" s="423">
        <v>16</v>
      </c>
      <c r="H1221" s="423">
        <v>60</v>
      </c>
      <c r="J1221" s="423"/>
      <c r="K1221" s="423"/>
      <c r="L1221" s="423"/>
      <c r="M1221" s="423"/>
      <c r="Q1221" s="423"/>
      <c r="R1221" s="424" t="s">
        <v>6053</v>
      </c>
      <c r="S1221" s="424" t="s">
        <v>2846</v>
      </c>
      <c r="T1221" s="424" t="s">
        <v>2870</v>
      </c>
      <c r="U1221" s="424">
        <v>0</v>
      </c>
      <c r="V1221" s="424" t="s">
        <v>58</v>
      </c>
      <c r="W1221" s="424" t="s">
        <v>3694</v>
      </c>
      <c r="X1221" s="424" t="s">
        <v>2224</v>
      </c>
      <c r="Y1221" s="424" t="s">
        <v>2279</v>
      </c>
      <c r="Z1221" s="424" t="s">
        <v>2872</v>
      </c>
      <c r="AA1221" s="424" t="s">
        <v>3197</v>
      </c>
      <c r="AB1221" s="424" t="s">
        <v>6027</v>
      </c>
      <c r="AC1221" s="424" t="s">
        <v>3910</v>
      </c>
      <c r="AD1221" s="424" t="s">
        <v>3911</v>
      </c>
      <c r="AE1221" s="424" t="s">
        <v>3923</v>
      </c>
      <c r="AF1221" s="424"/>
      <c r="AG1221" s="424"/>
      <c r="AH1221" s="424"/>
    </row>
    <row r="1222" spans="1:34" x14ac:dyDescent="0.25">
      <c r="A1222" s="423" t="s">
        <v>5999</v>
      </c>
      <c r="B1222" s="423" t="s">
        <v>6054</v>
      </c>
      <c r="C1222" s="423" t="s">
        <v>5922</v>
      </c>
      <c r="D1222" s="423" t="s">
        <v>5923</v>
      </c>
      <c r="E1222" s="423" t="s">
        <v>2818</v>
      </c>
      <c r="F1222" s="423">
        <v>16</v>
      </c>
      <c r="G1222" s="423">
        <v>32</v>
      </c>
      <c r="H1222" s="423">
        <v>60</v>
      </c>
      <c r="J1222" s="423"/>
      <c r="K1222" s="423"/>
      <c r="L1222" s="423"/>
      <c r="M1222" s="423"/>
      <c r="Q1222" s="423"/>
      <c r="R1222" s="424" t="s">
        <v>6055</v>
      </c>
      <c r="S1222" s="424" t="s">
        <v>2846</v>
      </c>
      <c r="T1222" s="424" t="s">
        <v>2870</v>
      </c>
      <c r="U1222" s="424">
        <v>0</v>
      </c>
      <c r="V1222" s="424" t="s">
        <v>58</v>
      </c>
      <c r="W1222" s="424" t="s">
        <v>3694</v>
      </c>
      <c r="X1222" s="424" t="s">
        <v>2224</v>
      </c>
      <c r="Y1222" s="424" t="s">
        <v>2279</v>
      </c>
      <c r="Z1222" s="424" t="s">
        <v>2872</v>
      </c>
      <c r="AA1222" s="424" t="s">
        <v>3197</v>
      </c>
      <c r="AB1222" s="424" t="s">
        <v>5075</v>
      </c>
      <c r="AC1222" s="424" t="s">
        <v>3910</v>
      </c>
      <c r="AD1222" s="424" t="s">
        <v>3911</v>
      </c>
      <c r="AE1222" s="424" t="s">
        <v>3912</v>
      </c>
      <c r="AF1222" s="424"/>
      <c r="AG1222" s="424"/>
      <c r="AH1222" s="424"/>
    </row>
    <row r="1223" spans="1:34" x14ac:dyDescent="0.25">
      <c r="A1223" s="423" t="s">
        <v>5999</v>
      </c>
      <c r="B1223" s="423" t="s">
        <v>6056</v>
      </c>
      <c r="C1223" s="423" t="s">
        <v>5922</v>
      </c>
      <c r="D1223" s="423" t="s">
        <v>5923</v>
      </c>
      <c r="E1223" s="423" t="s">
        <v>2818</v>
      </c>
      <c r="F1223" s="423">
        <v>16</v>
      </c>
      <c r="G1223" s="423">
        <v>32</v>
      </c>
      <c r="H1223" s="423">
        <v>60</v>
      </c>
      <c r="J1223" s="423"/>
      <c r="K1223" s="423"/>
      <c r="L1223" s="423"/>
      <c r="M1223" s="423"/>
      <c r="Q1223" s="423"/>
      <c r="R1223" s="424" t="s">
        <v>6057</v>
      </c>
      <c r="S1223" s="424" t="s">
        <v>2846</v>
      </c>
      <c r="T1223" s="424" t="s">
        <v>2870</v>
      </c>
      <c r="U1223" s="424">
        <v>0</v>
      </c>
      <c r="V1223" s="424" t="s">
        <v>58</v>
      </c>
      <c r="W1223" s="424" t="s">
        <v>3694</v>
      </c>
      <c r="X1223" s="424" t="s">
        <v>2224</v>
      </c>
      <c r="Y1223" s="424" t="s">
        <v>2279</v>
      </c>
      <c r="Z1223" s="424" t="s">
        <v>2872</v>
      </c>
      <c r="AA1223" s="424" t="s">
        <v>3197</v>
      </c>
      <c r="AB1223" s="424" t="s">
        <v>6058</v>
      </c>
      <c r="AC1223" s="424" t="s">
        <v>3910</v>
      </c>
      <c r="AD1223" s="424" t="s">
        <v>3911</v>
      </c>
      <c r="AE1223" s="424" t="s">
        <v>3912</v>
      </c>
      <c r="AF1223" s="424"/>
      <c r="AG1223" s="424"/>
      <c r="AH1223" s="424"/>
    </row>
    <row r="1224" spans="1:34" x14ac:dyDescent="0.25">
      <c r="A1224" s="423" t="s">
        <v>5999</v>
      </c>
      <c r="B1224" s="423" t="s">
        <v>6059</v>
      </c>
      <c r="C1224" s="423" t="s">
        <v>5922</v>
      </c>
      <c r="D1224" s="423" t="s">
        <v>5923</v>
      </c>
      <c r="E1224" s="423" t="s">
        <v>2818</v>
      </c>
      <c r="F1224" s="423">
        <v>16</v>
      </c>
      <c r="G1224" s="423">
        <v>32</v>
      </c>
      <c r="H1224" s="423">
        <v>60</v>
      </c>
      <c r="J1224" s="423"/>
      <c r="K1224" s="423"/>
      <c r="L1224" s="423"/>
      <c r="M1224" s="423"/>
      <c r="Q1224" s="423"/>
      <c r="R1224" s="424" t="s">
        <v>6060</v>
      </c>
      <c r="S1224" s="424" t="s">
        <v>2846</v>
      </c>
      <c r="T1224" s="424" t="s">
        <v>2870</v>
      </c>
      <c r="U1224" s="424">
        <v>0</v>
      </c>
      <c r="V1224" s="424" t="s">
        <v>58</v>
      </c>
      <c r="W1224" s="424" t="s">
        <v>3694</v>
      </c>
      <c r="X1224" s="424" t="s">
        <v>2224</v>
      </c>
      <c r="Y1224" s="424" t="s">
        <v>2279</v>
      </c>
      <c r="Z1224" s="424" t="s">
        <v>2872</v>
      </c>
      <c r="AA1224" s="424" t="s">
        <v>3197</v>
      </c>
      <c r="AB1224" s="424" t="s">
        <v>5087</v>
      </c>
      <c r="AC1224" s="424" t="s">
        <v>3910</v>
      </c>
      <c r="AD1224" s="424" t="s">
        <v>3911</v>
      </c>
      <c r="AE1224" s="424" t="s">
        <v>3912</v>
      </c>
      <c r="AF1224" s="424"/>
      <c r="AG1224" s="424"/>
      <c r="AH1224" s="424"/>
    </row>
    <row r="1225" spans="1:34" x14ac:dyDescent="0.25">
      <c r="A1225" s="423" t="s">
        <v>5999</v>
      </c>
      <c r="B1225" s="423" t="s">
        <v>6061</v>
      </c>
      <c r="C1225" s="423" t="s">
        <v>5922</v>
      </c>
      <c r="D1225" s="423" t="s">
        <v>5923</v>
      </c>
      <c r="E1225" s="423" t="s">
        <v>2818</v>
      </c>
      <c r="F1225" s="423">
        <v>32</v>
      </c>
      <c r="G1225" s="423">
        <v>128</v>
      </c>
      <c r="H1225" s="423">
        <v>60</v>
      </c>
      <c r="J1225" s="423"/>
      <c r="K1225" s="423"/>
      <c r="L1225" s="423"/>
      <c r="M1225" s="423"/>
      <c r="Q1225" s="423"/>
      <c r="R1225" s="424" t="s">
        <v>6062</v>
      </c>
      <c r="S1225" s="424" t="s">
        <v>2846</v>
      </c>
      <c r="T1225" s="424" t="s">
        <v>2870</v>
      </c>
      <c r="U1225" s="424">
        <v>0</v>
      </c>
      <c r="V1225" s="424" t="s">
        <v>58</v>
      </c>
      <c r="W1225" s="424" t="s">
        <v>3694</v>
      </c>
      <c r="X1225" s="424" t="s">
        <v>2224</v>
      </c>
      <c r="Y1225" s="424" t="s">
        <v>2279</v>
      </c>
      <c r="Z1225" s="424" t="s">
        <v>2872</v>
      </c>
      <c r="AA1225" s="424" t="s">
        <v>3197</v>
      </c>
      <c r="AB1225" s="424" t="s">
        <v>6063</v>
      </c>
      <c r="AC1225" s="424" t="s">
        <v>3910</v>
      </c>
      <c r="AD1225" s="424" t="s">
        <v>3911</v>
      </c>
      <c r="AE1225" s="424" t="s">
        <v>3923</v>
      </c>
      <c r="AF1225" s="424"/>
      <c r="AG1225" s="424"/>
      <c r="AH1225" s="424"/>
    </row>
    <row r="1226" spans="1:34" x14ac:dyDescent="0.25">
      <c r="A1226" s="423" t="s">
        <v>5999</v>
      </c>
      <c r="B1226" s="423" t="s">
        <v>6064</v>
      </c>
      <c r="C1226" s="423" t="s">
        <v>5922</v>
      </c>
      <c r="D1226" s="423" t="s">
        <v>5923</v>
      </c>
      <c r="E1226" s="423" t="s">
        <v>2818</v>
      </c>
      <c r="F1226" s="423">
        <v>32</v>
      </c>
      <c r="G1226" s="423">
        <v>128</v>
      </c>
      <c r="H1226" s="423">
        <v>60</v>
      </c>
      <c r="J1226" s="423"/>
      <c r="K1226" s="423"/>
      <c r="L1226" s="423"/>
      <c r="M1226" s="423"/>
      <c r="Q1226" s="423"/>
      <c r="R1226" s="424" t="s">
        <v>6065</v>
      </c>
      <c r="S1226" s="424" t="s">
        <v>2846</v>
      </c>
      <c r="T1226" s="424" t="s">
        <v>2870</v>
      </c>
      <c r="U1226" s="424">
        <v>0</v>
      </c>
      <c r="V1226" s="424" t="s">
        <v>58</v>
      </c>
      <c r="W1226" s="424" t="s">
        <v>3694</v>
      </c>
      <c r="X1226" s="424" t="s">
        <v>2224</v>
      </c>
      <c r="Y1226" s="424" t="s">
        <v>2279</v>
      </c>
      <c r="Z1226" s="424" t="s">
        <v>2872</v>
      </c>
      <c r="AA1226" s="424" t="s">
        <v>3197</v>
      </c>
      <c r="AB1226" s="424" t="s">
        <v>6066</v>
      </c>
      <c r="AC1226" s="424" t="s">
        <v>3910</v>
      </c>
      <c r="AD1226" s="424" t="s">
        <v>3911</v>
      </c>
      <c r="AE1226" s="424" t="s">
        <v>3923</v>
      </c>
      <c r="AF1226" s="424"/>
      <c r="AG1226" s="424"/>
      <c r="AH1226" s="424"/>
    </row>
    <row r="1227" spans="1:34" x14ac:dyDescent="0.25">
      <c r="A1227" s="423" t="s">
        <v>5999</v>
      </c>
      <c r="B1227" s="423" t="s">
        <v>6067</v>
      </c>
      <c r="C1227" s="423" t="s">
        <v>5922</v>
      </c>
      <c r="D1227" s="423" t="s">
        <v>5923</v>
      </c>
      <c r="E1227" s="423" t="s">
        <v>2818</v>
      </c>
      <c r="F1227" s="423">
        <v>32</v>
      </c>
      <c r="G1227" s="423">
        <v>128</v>
      </c>
      <c r="H1227" s="423">
        <v>60</v>
      </c>
      <c r="J1227" s="423"/>
      <c r="K1227" s="423"/>
      <c r="L1227" s="423"/>
      <c r="M1227" s="423"/>
      <c r="Q1227" s="423"/>
      <c r="R1227" s="424" t="s">
        <v>6068</v>
      </c>
      <c r="S1227" s="424" t="s">
        <v>2846</v>
      </c>
      <c r="T1227" s="424" t="s">
        <v>2870</v>
      </c>
      <c r="U1227" s="424">
        <v>0</v>
      </c>
      <c r="V1227" s="424" t="s">
        <v>58</v>
      </c>
      <c r="W1227" s="424" t="s">
        <v>3694</v>
      </c>
      <c r="X1227" s="424" t="s">
        <v>2224</v>
      </c>
      <c r="Y1227" s="424" t="s">
        <v>2279</v>
      </c>
      <c r="Z1227" s="424" t="s">
        <v>2872</v>
      </c>
      <c r="AA1227" s="424" t="s">
        <v>3197</v>
      </c>
      <c r="AB1227" s="424" t="s">
        <v>6069</v>
      </c>
      <c r="AC1227" s="424" t="s">
        <v>3910</v>
      </c>
      <c r="AD1227" s="424" t="s">
        <v>3911</v>
      </c>
      <c r="AE1227" s="424" t="s">
        <v>3912</v>
      </c>
      <c r="AF1227" s="424"/>
      <c r="AG1227" s="424"/>
      <c r="AH1227" s="424"/>
    </row>
    <row r="1228" spans="1:34" x14ac:dyDescent="0.25">
      <c r="A1228" s="423" t="s">
        <v>6070</v>
      </c>
      <c r="B1228" s="423" t="s">
        <v>6071</v>
      </c>
      <c r="C1228" s="423" t="s">
        <v>86</v>
      </c>
      <c r="D1228" s="423" t="s">
        <v>6072</v>
      </c>
      <c r="E1228" s="423" t="s">
        <v>236</v>
      </c>
      <c r="F1228" s="423">
        <v>32</v>
      </c>
      <c r="G1228" s="423">
        <v>64</v>
      </c>
      <c r="H1228" s="423">
        <v>1800</v>
      </c>
      <c r="J1228" s="423"/>
      <c r="K1228" s="423"/>
      <c r="L1228" s="423"/>
      <c r="M1228" s="423"/>
      <c r="Q1228" s="423"/>
      <c r="R1228" s="424" t="s">
        <v>6073</v>
      </c>
      <c r="S1228" s="424" t="s">
        <v>2846</v>
      </c>
      <c r="T1228" s="424" t="s">
        <v>2870</v>
      </c>
      <c r="U1228" s="424">
        <v>0</v>
      </c>
      <c r="V1228" s="424" t="s">
        <v>2823</v>
      </c>
      <c r="W1228" s="424" t="s">
        <v>3694</v>
      </c>
      <c r="X1228" s="424" t="s">
        <v>6074</v>
      </c>
      <c r="Y1228" s="424" t="s">
        <v>2279</v>
      </c>
      <c r="Z1228" s="424" t="s">
        <v>2872</v>
      </c>
      <c r="AA1228" s="424" t="s">
        <v>3197</v>
      </c>
      <c r="AB1228" s="424" t="s">
        <v>6075</v>
      </c>
      <c r="AC1228" s="424" t="s">
        <v>3910</v>
      </c>
      <c r="AD1228" s="424" t="s">
        <v>6007</v>
      </c>
      <c r="AE1228" s="424" t="s">
        <v>6016</v>
      </c>
      <c r="AF1228" s="424"/>
      <c r="AG1228" s="424"/>
      <c r="AH1228" s="424"/>
    </row>
    <row r="1229" spans="1:34" x14ac:dyDescent="0.25">
      <c r="A1229" s="423" t="s">
        <v>6070</v>
      </c>
      <c r="B1229" s="423" t="s">
        <v>6076</v>
      </c>
      <c r="C1229" s="423" t="s">
        <v>86</v>
      </c>
      <c r="D1229" s="423" t="s">
        <v>6072</v>
      </c>
      <c r="E1229" s="423" t="s">
        <v>236</v>
      </c>
      <c r="F1229" s="423">
        <v>32</v>
      </c>
      <c r="G1229" s="423">
        <v>64</v>
      </c>
      <c r="H1229" s="423">
        <v>1800</v>
      </c>
      <c r="J1229" s="423"/>
      <c r="K1229" s="423"/>
      <c r="L1229" s="423"/>
      <c r="M1229" s="423"/>
      <c r="Q1229" s="423"/>
      <c r="R1229" s="424" t="s">
        <v>6077</v>
      </c>
      <c r="S1229" s="424" t="s">
        <v>2846</v>
      </c>
      <c r="T1229" s="424" t="s">
        <v>2870</v>
      </c>
      <c r="U1229" s="424">
        <v>0</v>
      </c>
      <c r="V1229" s="424" t="s">
        <v>2823</v>
      </c>
      <c r="W1229" s="424" t="s">
        <v>3694</v>
      </c>
      <c r="X1229" s="424" t="s">
        <v>6074</v>
      </c>
      <c r="Y1229" s="424" t="s">
        <v>2279</v>
      </c>
      <c r="Z1229" s="424" t="s">
        <v>2872</v>
      </c>
      <c r="AA1229" s="424" t="s">
        <v>3197</v>
      </c>
      <c r="AB1229" s="424" t="s">
        <v>6075</v>
      </c>
      <c r="AC1229" s="424" t="s">
        <v>3910</v>
      </c>
      <c r="AD1229" s="424" t="s">
        <v>6007</v>
      </c>
      <c r="AE1229" s="424" t="s">
        <v>6016</v>
      </c>
      <c r="AF1229" s="424"/>
      <c r="AG1229" s="424"/>
      <c r="AH1229" s="424"/>
    </row>
    <row r="1230" spans="1:34" x14ac:dyDescent="0.25">
      <c r="A1230" s="423" t="s">
        <v>6070</v>
      </c>
      <c r="B1230" s="423" t="s">
        <v>6078</v>
      </c>
      <c r="C1230" s="423" t="s">
        <v>86</v>
      </c>
      <c r="D1230" s="423" t="s">
        <v>6072</v>
      </c>
      <c r="E1230" s="423" t="s">
        <v>236</v>
      </c>
      <c r="F1230" s="423">
        <v>32</v>
      </c>
      <c r="G1230" s="423">
        <v>64</v>
      </c>
      <c r="H1230" s="423">
        <v>1800</v>
      </c>
      <c r="J1230" s="423"/>
      <c r="K1230" s="423"/>
      <c r="L1230" s="423"/>
      <c r="M1230" s="423"/>
      <c r="Q1230" s="423"/>
      <c r="R1230" s="424" t="s">
        <v>6079</v>
      </c>
      <c r="S1230" s="424" t="s">
        <v>2846</v>
      </c>
      <c r="T1230" s="424" t="s">
        <v>2870</v>
      </c>
      <c r="U1230" s="424">
        <v>0</v>
      </c>
      <c r="V1230" s="424" t="s">
        <v>2823</v>
      </c>
      <c r="W1230" s="424" t="s">
        <v>3694</v>
      </c>
      <c r="X1230" s="424" t="s">
        <v>6074</v>
      </c>
      <c r="Y1230" s="424" t="s">
        <v>2279</v>
      </c>
      <c r="Z1230" s="424" t="s">
        <v>2872</v>
      </c>
      <c r="AA1230" s="424" t="s">
        <v>3197</v>
      </c>
      <c r="AB1230" s="424" t="s">
        <v>6080</v>
      </c>
      <c r="AC1230" s="424" t="s">
        <v>3910</v>
      </c>
      <c r="AD1230" s="424" t="s">
        <v>6007</v>
      </c>
      <c r="AE1230" s="424" t="s">
        <v>6008</v>
      </c>
      <c r="AF1230" s="424"/>
      <c r="AG1230" s="424"/>
      <c r="AH1230" s="424"/>
    </row>
    <row r="1231" spans="1:34" x14ac:dyDescent="0.25">
      <c r="A1231" s="423" t="s">
        <v>6070</v>
      </c>
      <c r="B1231" s="423" t="s">
        <v>6081</v>
      </c>
      <c r="C1231" s="423" t="s">
        <v>86</v>
      </c>
      <c r="D1231" s="423" t="s">
        <v>6072</v>
      </c>
      <c r="E1231" s="423" t="s">
        <v>236</v>
      </c>
      <c r="F1231" s="423">
        <v>32</v>
      </c>
      <c r="G1231" s="423">
        <v>64</v>
      </c>
      <c r="H1231" s="423">
        <v>1800</v>
      </c>
      <c r="J1231" s="423"/>
      <c r="K1231" s="423"/>
      <c r="L1231" s="423"/>
      <c r="M1231" s="423"/>
      <c r="Q1231" s="423"/>
      <c r="R1231" s="424" t="s">
        <v>6082</v>
      </c>
      <c r="S1231" s="424" t="s">
        <v>2846</v>
      </c>
      <c r="T1231" s="424" t="s">
        <v>2870</v>
      </c>
      <c r="U1231" s="424">
        <v>0</v>
      </c>
      <c r="V1231" s="424" t="s">
        <v>2823</v>
      </c>
      <c r="W1231" s="424" t="s">
        <v>3694</v>
      </c>
      <c r="X1231" s="424" t="s">
        <v>6074</v>
      </c>
      <c r="Y1231" s="424" t="s">
        <v>2279</v>
      </c>
      <c r="Z1231" s="424" t="s">
        <v>2872</v>
      </c>
      <c r="AA1231" s="424" t="s">
        <v>3197</v>
      </c>
      <c r="AB1231" s="424" t="s">
        <v>6083</v>
      </c>
      <c r="AC1231" s="424" t="s">
        <v>3910</v>
      </c>
      <c r="AD1231" s="424" t="s">
        <v>6007</v>
      </c>
      <c r="AE1231" s="424" t="s">
        <v>6084</v>
      </c>
      <c r="AF1231" s="424"/>
      <c r="AG1231" s="424"/>
      <c r="AH1231" s="424"/>
    </row>
    <row r="1232" spans="1:34" x14ac:dyDescent="0.25">
      <c r="A1232" s="423" t="s">
        <v>6070</v>
      </c>
      <c r="B1232" s="423" t="s">
        <v>6085</v>
      </c>
      <c r="C1232" s="423" t="s">
        <v>86</v>
      </c>
      <c r="D1232" s="423" t="s">
        <v>6072</v>
      </c>
      <c r="E1232" s="423" t="s">
        <v>236</v>
      </c>
      <c r="F1232" s="423">
        <v>32</v>
      </c>
      <c r="G1232" s="423">
        <v>64</v>
      </c>
      <c r="H1232" s="423">
        <v>1820</v>
      </c>
      <c r="J1232" s="423"/>
      <c r="K1232" s="423"/>
      <c r="L1232" s="423"/>
      <c r="M1232" s="423"/>
      <c r="Q1232" s="423"/>
      <c r="R1232" s="424" t="s">
        <v>6086</v>
      </c>
      <c r="S1232" s="424" t="s">
        <v>2846</v>
      </c>
      <c r="T1232" s="424" t="s">
        <v>2870</v>
      </c>
      <c r="U1232" s="424">
        <v>0</v>
      </c>
      <c r="V1232" s="424" t="s">
        <v>2823</v>
      </c>
      <c r="W1232" s="424" t="s">
        <v>3694</v>
      </c>
      <c r="X1232" s="424" t="s">
        <v>2224</v>
      </c>
      <c r="Y1232" s="424" t="s">
        <v>2279</v>
      </c>
      <c r="Z1232" s="424" t="s">
        <v>2872</v>
      </c>
      <c r="AA1232" s="424" t="s">
        <v>3197</v>
      </c>
      <c r="AB1232" s="424" t="s">
        <v>6087</v>
      </c>
      <c r="AC1232" s="424" t="s">
        <v>3910</v>
      </c>
      <c r="AD1232" s="424" t="s">
        <v>6007</v>
      </c>
      <c r="AE1232" s="424" t="s">
        <v>6088</v>
      </c>
      <c r="AF1232" s="424"/>
      <c r="AG1232" s="424"/>
      <c r="AH1232" s="424"/>
    </row>
    <row r="1233" spans="1:34" x14ac:dyDescent="0.25">
      <c r="A1233" s="423" t="s">
        <v>6070</v>
      </c>
      <c r="B1233" s="423" t="s">
        <v>6089</v>
      </c>
      <c r="C1233" s="423" t="s">
        <v>86</v>
      </c>
      <c r="D1233" s="423" t="s">
        <v>6072</v>
      </c>
      <c r="E1233" s="423" t="s">
        <v>236</v>
      </c>
      <c r="F1233" s="423">
        <v>32</v>
      </c>
      <c r="G1233" s="423">
        <v>64</v>
      </c>
      <c r="H1233" s="423">
        <v>1820</v>
      </c>
      <c r="J1233" s="423"/>
      <c r="K1233" s="423"/>
      <c r="L1233" s="423"/>
      <c r="M1233" s="423"/>
      <c r="Q1233" s="423"/>
      <c r="R1233" s="424" t="s">
        <v>6090</v>
      </c>
      <c r="S1233" s="424" t="s">
        <v>2846</v>
      </c>
      <c r="T1233" s="424" t="s">
        <v>2870</v>
      </c>
      <c r="U1233" s="424">
        <v>0</v>
      </c>
      <c r="V1233" s="424" t="s">
        <v>2823</v>
      </c>
      <c r="W1233" s="424" t="s">
        <v>3694</v>
      </c>
      <c r="X1233" s="424" t="s">
        <v>2224</v>
      </c>
      <c r="Y1233" s="424" t="s">
        <v>2279</v>
      </c>
      <c r="Z1233" s="424" t="s">
        <v>2872</v>
      </c>
      <c r="AA1233" s="424" t="s">
        <v>3197</v>
      </c>
      <c r="AB1233" s="424" t="s">
        <v>6091</v>
      </c>
      <c r="AC1233" s="424" t="s">
        <v>3910</v>
      </c>
      <c r="AD1233" s="424" t="s">
        <v>6007</v>
      </c>
      <c r="AE1233" s="424" t="s">
        <v>6084</v>
      </c>
      <c r="AF1233" s="424"/>
      <c r="AG1233" s="424"/>
      <c r="AH1233" s="424"/>
    </row>
    <row r="1234" spans="1:34" x14ac:dyDescent="0.25">
      <c r="A1234" s="423" t="s">
        <v>6070</v>
      </c>
      <c r="B1234" s="423" t="s">
        <v>6092</v>
      </c>
      <c r="C1234" s="423" t="s">
        <v>86</v>
      </c>
      <c r="D1234" s="423" t="s">
        <v>6072</v>
      </c>
      <c r="E1234" s="423" t="s">
        <v>236</v>
      </c>
      <c r="F1234" s="423">
        <v>32</v>
      </c>
      <c r="G1234" s="423">
        <v>64</v>
      </c>
      <c r="H1234" s="423">
        <v>1820</v>
      </c>
      <c r="J1234" s="423"/>
      <c r="K1234" s="423"/>
      <c r="L1234" s="423"/>
      <c r="M1234" s="423"/>
      <c r="Q1234" s="423"/>
      <c r="R1234" s="424" t="s">
        <v>6093</v>
      </c>
      <c r="S1234" s="424" t="s">
        <v>2846</v>
      </c>
      <c r="T1234" s="424" t="s">
        <v>2870</v>
      </c>
      <c r="U1234" s="424">
        <v>0</v>
      </c>
      <c r="V1234" s="424" t="s">
        <v>2823</v>
      </c>
      <c r="W1234" s="424" t="s">
        <v>3694</v>
      </c>
      <c r="X1234" s="424" t="s">
        <v>2224</v>
      </c>
      <c r="Y1234" s="424" t="s">
        <v>2279</v>
      </c>
      <c r="Z1234" s="424" t="s">
        <v>2872</v>
      </c>
      <c r="AA1234" s="424" t="s">
        <v>3197</v>
      </c>
      <c r="AB1234" s="424" t="s">
        <v>6094</v>
      </c>
      <c r="AC1234" s="424" t="s">
        <v>3910</v>
      </c>
      <c r="AD1234" s="424" t="s">
        <v>6007</v>
      </c>
      <c r="AE1234" s="424" t="s">
        <v>6088</v>
      </c>
      <c r="AF1234" s="424"/>
      <c r="AG1234" s="424"/>
      <c r="AH1234" s="424"/>
    </row>
    <row r="1235" spans="1:34" x14ac:dyDescent="0.25">
      <c r="A1235" s="423" t="s">
        <v>6070</v>
      </c>
      <c r="B1235" s="423" t="s">
        <v>6095</v>
      </c>
      <c r="C1235" s="423" t="s">
        <v>86</v>
      </c>
      <c r="D1235" s="423" t="s">
        <v>6072</v>
      </c>
      <c r="E1235" s="423" t="s">
        <v>236</v>
      </c>
      <c r="F1235" s="423">
        <v>32</v>
      </c>
      <c r="G1235" s="423">
        <v>64</v>
      </c>
      <c r="H1235" s="423">
        <v>1820</v>
      </c>
      <c r="J1235" s="423"/>
      <c r="K1235" s="423"/>
      <c r="L1235" s="423"/>
      <c r="M1235" s="423"/>
      <c r="Q1235" s="423"/>
      <c r="R1235" s="424" t="s">
        <v>6096</v>
      </c>
      <c r="S1235" s="424" t="s">
        <v>2846</v>
      </c>
      <c r="T1235" s="424" t="s">
        <v>2870</v>
      </c>
      <c r="U1235" s="424">
        <v>0</v>
      </c>
      <c r="V1235" s="424" t="s">
        <v>2823</v>
      </c>
      <c r="W1235" s="424" t="s">
        <v>3694</v>
      </c>
      <c r="X1235" s="424" t="s">
        <v>2224</v>
      </c>
      <c r="Y1235" s="424" t="s">
        <v>2279</v>
      </c>
      <c r="Z1235" s="424" t="s">
        <v>2872</v>
      </c>
      <c r="AA1235" s="424" t="s">
        <v>3197</v>
      </c>
      <c r="AB1235" s="424" t="s">
        <v>6097</v>
      </c>
      <c r="AC1235" s="424" t="s">
        <v>3910</v>
      </c>
      <c r="AD1235" s="424" t="s">
        <v>6007</v>
      </c>
      <c r="AE1235" s="424" t="s">
        <v>6016</v>
      </c>
      <c r="AF1235" s="424"/>
      <c r="AG1235" s="424"/>
      <c r="AH1235" s="424"/>
    </row>
    <row r="1236" spans="1:34" x14ac:dyDescent="0.25">
      <c r="A1236" s="423" t="s">
        <v>6070</v>
      </c>
      <c r="B1236" s="423" t="s">
        <v>6098</v>
      </c>
      <c r="C1236" s="423" t="s">
        <v>86</v>
      </c>
      <c r="D1236" s="423" t="s">
        <v>6072</v>
      </c>
      <c r="E1236" s="423" t="s">
        <v>236</v>
      </c>
      <c r="F1236" s="423">
        <v>32</v>
      </c>
      <c r="G1236" s="423">
        <v>64</v>
      </c>
      <c r="H1236" s="423">
        <v>1820</v>
      </c>
      <c r="J1236" s="423"/>
      <c r="K1236" s="423"/>
      <c r="L1236" s="423"/>
      <c r="M1236" s="423"/>
      <c r="Q1236" s="423"/>
      <c r="R1236" s="424" t="s">
        <v>6099</v>
      </c>
      <c r="S1236" s="424" t="s">
        <v>2846</v>
      </c>
      <c r="T1236" s="424" t="s">
        <v>2870</v>
      </c>
      <c r="U1236" s="424">
        <v>0</v>
      </c>
      <c r="V1236" s="424" t="s">
        <v>2823</v>
      </c>
      <c r="W1236" s="424" t="s">
        <v>3694</v>
      </c>
      <c r="X1236" s="424" t="s">
        <v>2224</v>
      </c>
      <c r="Y1236" s="424" t="s">
        <v>2279</v>
      </c>
      <c r="Z1236" s="424" t="s">
        <v>2872</v>
      </c>
      <c r="AA1236" s="424" t="s">
        <v>3197</v>
      </c>
      <c r="AB1236" s="424" t="s">
        <v>6100</v>
      </c>
      <c r="AC1236" s="424" t="s">
        <v>3910</v>
      </c>
      <c r="AD1236" s="424" t="s">
        <v>6007</v>
      </c>
      <c r="AE1236" s="424" t="s">
        <v>6088</v>
      </c>
      <c r="AF1236" s="424"/>
      <c r="AG1236" s="424"/>
      <c r="AH1236" s="424"/>
    </row>
    <row r="1237" spans="1:34" x14ac:dyDescent="0.25">
      <c r="A1237" s="423" t="s">
        <v>6070</v>
      </c>
      <c r="B1237" s="423" t="s">
        <v>6101</v>
      </c>
      <c r="C1237" s="423" t="s">
        <v>86</v>
      </c>
      <c r="D1237" s="423" t="s">
        <v>6072</v>
      </c>
      <c r="E1237" s="423" t="s">
        <v>236</v>
      </c>
      <c r="F1237" s="423">
        <v>32</v>
      </c>
      <c r="G1237" s="423">
        <v>64</v>
      </c>
      <c r="H1237" s="423">
        <v>990</v>
      </c>
      <c r="J1237" s="423"/>
      <c r="K1237" s="423"/>
      <c r="L1237" s="423"/>
      <c r="M1237" s="423"/>
      <c r="Q1237" s="423"/>
      <c r="R1237" s="424" t="s">
        <v>6102</v>
      </c>
      <c r="S1237" s="424" t="s">
        <v>2846</v>
      </c>
      <c r="T1237" s="424" t="s">
        <v>2870</v>
      </c>
      <c r="U1237" s="424">
        <v>0</v>
      </c>
      <c r="V1237" s="424" t="s">
        <v>2823</v>
      </c>
      <c r="W1237" s="424" t="s">
        <v>3694</v>
      </c>
      <c r="X1237" s="424" t="s">
        <v>2224</v>
      </c>
      <c r="Y1237" s="424" t="s">
        <v>2279</v>
      </c>
      <c r="Z1237" s="424" t="s">
        <v>2872</v>
      </c>
      <c r="AA1237" s="424" t="s">
        <v>3197</v>
      </c>
      <c r="AB1237" s="424" t="s">
        <v>6103</v>
      </c>
      <c r="AC1237" s="424" t="s">
        <v>3910</v>
      </c>
      <c r="AD1237" s="424" t="s">
        <v>6007</v>
      </c>
      <c r="AE1237" s="424" t="s">
        <v>6016</v>
      </c>
      <c r="AF1237" s="424"/>
      <c r="AG1237" s="424"/>
      <c r="AH1237" s="424"/>
    </row>
    <row r="1238" spans="1:34" x14ac:dyDescent="0.25">
      <c r="A1238" s="423" t="s">
        <v>6070</v>
      </c>
      <c r="B1238" s="423" t="s">
        <v>6104</v>
      </c>
      <c r="C1238" s="423" t="s">
        <v>86</v>
      </c>
      <c r="D1238" s="423" t="s">
        <v>6072</v>
      </c>
      <c r="E1238" s="423" t="s">
        <v>236</v>
      </c>
      <c r="F1238" s="423">
        <v>32</v>
      </c>
      <c r="G1238" s="423">
        <v>64</v>
      </c>
      <c r="H1238" s="423">
        <v>990</v>
      </c>
      <c r="J1238" s="423"/>
      <c r="K1238" s="423"/>
      <c r="L1238" s="423"/>
      <c r="M1238" s="423"/>
      <c r="Q1238" s="423"/>
      <c r="R1238" s="424" t="s">
        <v>6105</v>
      </c>
      <c r="S1238" s="424" t="s">
        <v>2846</v>
      </c>
      <c r="T1238" s="424" t="s">
        <v>2870</v>
      </c>
      <c r="U1238" s="424">
        <v>0</v>
      </c>
      <c r="V1238" s="424" t="s">
        <v>2823</v>
      </c>
      <c r="W1238" s="424" t="s">
        <v>3694</v>
      </c>
      <c r="X1238" s="424" t="s">
        <v>2224</v>
      </c>
      <c r="Y1238" s="424" t="s">
        <v>2279</v>
      </c>
      <c r="Z1238" s="424" t="s">
        <v>2872</v>
      </c>
      <c r="AA1238" s="424" t="s">
        <v>3197</v>
      </c>
      <c r="AB1238" s="424" t="s">
        <v>6100</v>
      </c>
      <c r="AC1238" s="424" t="s">
        <v>3910</v>
      </c>
      <c r="AD1238" s="424" t="s">
        <v>6007</v>
      </c>
      <c r="AE1238" s="424" t="s">
        <v>6088</v>
      </c>
      <c r="AF1238" s="424"/>
      <c r="AG1238" s="424"/>
      <c r="AH1238" s="424"/>
    </row>
    <row r="1239" spans="1:34" x14ac:dyDescent="0.25">
      <c r="A1239" s="423" t="s">
        <v>6070</v>
      </c>
      <c r="B1239" s="423" t="s">
        <v>6106</v>
      </c>
      <c r="C1239" s="423" t="s">
        <v>86</v>
      </c>
      <c r="D1239" s="423" t="s">
        <v>6072</v>
      </c>
      <c r="E1239" s="423" t="s">
        <v>236</v>
      </c>
      <c r="F1239" s="423">
        <v>32</v>
      </c>
      <c r="G1239" s="423">
        <v>64</v>
      </c>
      <c r="H1239" s="423">
        <v>990</v>
      </c>
      <c r="J1239" s="423"/>
      <c r="K1239" s="423"/>
      <c r="L1239" s="423"/>
      <c r="M1239" s="423"/>
      <c r="Q1239" s="423"/>
      <c r="R1239" s="424" t="s">
        <v>6107</v>
      </c>
      <c r="S1239" s="424" t="s">
        <v>2846</v>
      </c>
      <c r="T1239" s="424" t="s">
        <v>2870</v>
      </c>
      <c r="U1239" s="424">
        <v>0</v>
      </c>
      <c r="V1239" s="424" t="s">
        <v>2823</v>
      </c>
      <c r="W1239" s="424" t="s">
        <v>3694</v>
      </c>
      <c r="X1239" s="424" t="s">
        <v>2224</v>
      </c>
      <c r="Y1239" s="424" t="s">
        <v>2279</v>
      </c>
      <c r="Z1239" s="424" t="s">
        <v>2872</v>
      </c>
      <c r="AA1239" s="424" t="s">
        <v>3197</v>
      </c>
      <c r="AB1239" s="424" t="s">
        <v>6097</v>
      </c>
      <c r="AC1239" s="424" t="s">
        <v>3910</v>
      </c>
      <c r="AD1239" s="424" t="s">
        <v>6007</v>
      </c>
      <c r="AE1239" s="424" t="s">
        <v>6016</v>
      </c>
      <c r="AF1239" s="424"/>
      <c r="AG1239" s="424"/>
      <c r="AH1239" s="424"/>
    </row>
    <row r="1240" spans="1:34" x14ac:dyDescent="0.25">
      <c r="A1240" s="423" t="s">
        <v>6070</v>
      </c>
      <c r="B1240" s="423" t="s">
        <v>6108</v>
      </c>
      <c r="C1240" s="423" t="s">
        <v>86</v>
      </c>
      <c r="D1240" s="423" t="s">
        <v>6072</v>
      </c>
      <c r="E1240" s="423" t="s">
        <v>236</v>
      </c>
      <c r="F1240" s="423">
        <v>32</v>
      </c>
      <c r="G1240" s="423">
        <v>64</v>
      </c>
      <c r="H1240" s="423">
        <v>990</v>
      </c>
      <c r="J1240" s="423"/>
      <c r="K1240" s="423"/>
      <c r="L1240" s="423"/>
      <c r="M1240" s="423"/>
      <c r="Q1240" s="423"/>
      <c r="R1240" s="424" t="s">
        <v>6109</v>
      </c>
      <c r="S1240" s="424" t="s">
        <v>2846</v>
      </c>
      <c r="T1240" s="424" t="s">
        <v>2870</v>
      </c>
      <c r="U1240" s="424">
        <v>0</v>
      </c>
      <c r="V1240" s="424" t="s">
        <v>2823</v>
      </c>
      <c r="W1240" s="424" t="s">
        <v>3694</v>
      </c>
      <c r="X1240" s="424" t="s">
        <v>2224</v>
      </c>
      <c r="Y1240" s="424" t="s">
        <v>2279</v>
      </c>
      <c r="Z1240" s="424" t="s">
        <v>2872</v>
      </c>
      <c r="AA1240" s="424" t="s">
        <v>3197</v>
      </c>
      <c r="AB1240" s="424" t="s">
        <v>6110</v>
      </c>
      <c r="AC1240" s="424" t="s">
        <v>3910</v>
      </c>
      <c r="AD1240" s="424" t="s">
        <v>6007</v>
      </c>
      <c r="AE1240" s="424" t="s">
        <v>6088</v>
      </c>
      <c r="AF1240" s="424"/>
      <c r="AG1240" s="424"/>
      <c r="AH1240" s="424"/>
    </row>
    <row r="1241" spans="1:34" x14ac:dyDescent="0.25">
      <c r="A1241" s="423" t="s">
        <v>6070</v>
      </c>
      <c r="B1241" s="423" t="s">
        <v>6111</v>
      </c>
      <c r="C1241" s="423" t="s">
        <v>86</v>
      </c>
      <c r="D1241" s="423" t="s">
        <v>6072</v>
      </c>
      <c r="E1241" s="423" t="s">
        <v>236</v>
      </c>
      <c r="F1241" s="423">
        <v>42</v>
      </c>
      <c r="G1241" s="423">
        <v>96</v>
      </c>
      <c r="H1241" s="423">
        <v>3800</v>
      </c>
      <c r="J1241" s="423"/>
      <c r="K1241" s="423"/>
      <c r="L1241" s="423"/>
      <c r="M1241" s="423"/>
      <c r="Q1241" s="423"/>
      <c r="R1241" s="424" t="s">
        <v>6112</v>
      </c>
      <c r="S1241" s="424" t="s">
        <v>2846</v>
      </c>
      <c r="T1241" s="424" t="s">
        <v>2870</v>
      </c>
      <c r="U1241" s="424">
        <v>0</v>
      </c>
      <c r="V1241" s="424" t="s">
        <v>2823</v>
      </c>
      <c r="W1241" s="424" t="s">
        <v>3694</v>
      </c>
      <c r="X1241" s="424" t="s">
        <v>2224</v>
      </c>
      <c r="Y1241" s="424" t="s">
        <v>2279</v>
      </c>
      <c r="Z1241" s="424" t="s">
        <v>2872</v>
      </c>
      <c r="AA1241" s="424" t="s">
        <v>3197</v>
      </c>
      <c r="AB1241" s="424" t="s">
        <v>6113</v>
      </c>
      <c r="AC1241" s="424" t="s">
        <v>3910</v>
      </c>
      <c r="AD1241" s="424" t="s">
        <v>6007</v>
      </c>
      <c r="AE1241" s="424" t="s">
        <v>6016</v>
      </c>
      <c r="AF1241" s="424"/>
      <c r="AG1241" s="424"/>
      <c r="AH1241" s="424"/>
    </row>
    <row r="1242" spans="1:34" x14ac:dyDescent="0.25">
      <c r="A1242" s="423" t="s">
        <v>6070</v>
      </c>
      <c r="B1242" s="423" t="s">
        <v>6114</v>
      </c>
      <c r="C1242" s="423" t="s">
        <v>86</v>
      </c>
      <c r="D1242" s="423" t="s">
        <v>6072</v>
      </c>
      <c r="E1242" s="423" t="s">
        <v>236</v>
      </c>
      <c r="F1242" s="423">
        <v>42</v>
      </c>
      <c r="G1242" s="423">
        <v>96</v>
      </c>
      <c r="H1242" s="423">
        <v>3800</v>
      </c>
      <c r="J1242" s="423"/>
      <c r="K1242" s="423"/>
      <c r="L1242" s="423"/>
      <c r="M1242" s="423"/>
      <c r="Q1242" s="423"/>
      <c r="R1242" s="424" t="s">
        <v>6115</v>
      </c>
      <c r="S1242" s="424" t="s">
        <v>2846</v>
      </c>
      <c r="T1242" s="424" t="s">
        <v>2870</v>
      </c>
      <c r="U1242" s="424">
        <v>0</v>
      </c>
      <c r="V1242" s="424" t="s">
        <v>2823</v>
      </c>
      <c r="W1242" s="424" t="s">
        <v>3694</v>
      </c>
      <c r="X1242" s="424" t="s">
        <v>2224</v>
      </c>
      <c r="Y1242" s="424" t="s">
        <v>2279</v>
      </c>
      <c r="Z1242" s="424" t="s">
        <v>2872</v>
      </c>
      <c r="AA1242" s="424" t="s">
        <v>3197</v>
      </c>
      <c r="AB1242" s="424" t="s">
        <v>6113</v>
      </c>
      <c r="AC1242" s="424" t="s">
        <v>3910</v>
      </c>
      <c r="AD1242" s="424" t="s">
        <v>6007</v>
      </c>
      <c r="AE1242" s="424" t="s">
        <v>6016</v>
      </c>
      <c r="AF1242" s="424"/>
      <c r="AG1242" s="424"/>
      <c r="AH1242" s="424"/>
    </row>
    <row r="1243" spans="1:34" x14ac:dyDescent="0.25">
      <c r="A1243" s="423" t="s">
        <v>6070</v>
      </c>
      <c r="B1243" s="423" t="s">
        <v>6116</v>
      </c>
      <c r="C1243" s="423" t="s">
        <v>86</v>
      </c>
      <c r="D1243" s="423" t="s">
        <v>6072</v>
      </c>
      <c r="E1243" s="423" t="s">
        <v>236</v>
      </c>
      <c r="F1243" s="423">
        <v>42</v>
      </c>
      <c r="G1243" s="423">
        <v>96</v>
      </c>
      <c r="H1243" s="423">
        <v>3800</v>
      </c>
      <c r="J1243" s="423"/>
      <c r="K1243" s="423"/>
      <c r="L1243" s="423"/>
      <c r="M1243" s="423"/>
      <c r="Q1243" s="423"/>
      <c r="R1243" s="424" t="s">
        <v>6117</v>
      </c>
      <c r="S1243" s="424" t="s">
        <v>2846</v>
      </c>
      <c r="T1243" s="424" t="s">
        <v>2870</v>
      </c>
      <c r="U1243" s="424">
        <v>0</v>
      </c>
      <c r="V1243" s="424" t="s">
        <v>2823</v>
      </c>
      <c r="W1243" s="424" t="s">
        <v>3694</v>
      </c>
      <c r="X1243" s="424" t="s">
        <v>2224</v>
      </c>
      <c r="Y1243" s="424" t="s">
        <v>2279</v>
      </c>
      <c r="Z1243" s="424" t="s">
        <v>2872</v>
      </c>
      <c r="AA1243" s="424" t="s">
        <v>3197</v>
      </c>
      <c r="AB1243" s="424" t="s">
        <v>6113</v>
      </c>
      <c r="AC1243" s="424" t="s">
        <v>3910</v>
      </c>
      <c r="AD1243" s="424" t="s">
        <v>6007</v>
      </c>
      <c r="AE1243" s="424" t="s">
        <v>6016</v>
      </c>
      <c r="AF1243" s="424"/>
      <c r="AG1243" s="424"/>
      <c r="AH1243" s="424"/>
    </row>
    <row r="1244" spans="1:34" x14ac:dyDescent="0.25">
      <c r="A1244" s="423" t="s">
        <v>6070</v>
      </c>
      <c r="B1244" s="423" t="s">
        <v>6118</v>
      </c>
      <c r="C1244" s="423" t="s">
        <v>86</v>
      </c>
      <c r="D1244" s="423" t="s">
        <v>6072</v>
      </c>
      <c r="E1244" s="423" t="s">
        <v>236</v>
      </c>
      <c r="F1244" s="423">
        <v>66</v>
      </c>
      <c r="G1244" s="423">
        <v>64</v>
      </c>
      <c r="H1244" s="423">
        <v>1300</v>
      </c>
      <c r="J1244" s="423"/>
      <c r="K1244" s="423"/>
      <c r="L1244" s="423"/>
      <c r="M1244" s="423"/>
      <c r="Q1244" s="423"/>
      <c r="R1244" s="424" t="s">
        <v>6119</v>
      </c>
      <c r="S1244" s="424" t="s">
        <v>2846</v>
      </c>
      <c r="T1244" s="424" t="s">
        <v>2870</v>
      </c>
      <c r="U1244" s="424">
        <v>0</v>
      </c>
      <c r="V1244" s="424" t="s">
        <v>2823</v>
      </c>
      <c r="W1244" s="424" t="s">
        <v>3694</v>
      </c>
      <c r="X1244" s="424" t="s">
        <v>2224</v>
      </c>
      <c r="Y1244" s="424" t="s">
        <v>2279</v>
      </c>
      <c r="Z1244" s="424" t="s">
        <v>2872</v>
      </c>
      <c r="AA1244" s="424" t="s">
        <v>3197</v>
      </c>
      <c r="AB1244" s="424" t="s">
        <v>6087</v>
      </c>
      <c r="AC1244" s="424" t="s">
        <v>3910</v>
      </c>
      <c r="AD1244" s="424" t="s">
        <v>6007</v>
      </c>
      <c r="AE1244" s="424" t="s">
        <v>6088</v>
      </c>
      <c r="AF1244" s="424"/>
      <c r="AG1244" s="424"/>
      <c r="AH1244" s="424"/>
    </row>
    <row r="1245" spans="1:34" x14ac:dyDescent="0.25">
      <c r="A1245" s="423" t="s">
        <v>6070</v>
      </c>
      <c r="B1245" s="423" t="s">
        <v>6120</v>
      </c>
      <c r="C1245" s="423" t="s">
        <v>86</v>
      </c>
      <c r="D1245" s="423" t="s">
        <v>6072</v>
      </c>
      <c r="E1245" s="423" t="s">
        <v>236</v>
      </c>
      <c r="F1245" s="423">
        <v>66</v>
      </c>
      <c r="G1245" s="423">
        <v>64</v>
      </c>
      <c r="H1245" s="423">
        <v>1300</v>
      </c>
      <c r="J1245" s="423"/>
      <c r="K1245" s="423"/>
      <c r="L1245" s="423"/>
      <c r="M1245" s="423"/>
      <c r="Q1245" s="423"/>
      <c r="R1245" s="424" t="s">
        <v>6121</v>
      </c>
      <c r="S1245" s="424" t="s">
        <v>2846</v>
      </c>
      <c r="T1245" s="424" t="s">
        <v>2870</v>
      </c>
      <c r="U1245" s="424">
        <v>0</v>
      </c>
      <c r="V1245" s="424" t="s">
        <v>2823</v>
      </c>
      <c r="W1245" s="424" t="s">
        <v>3694</v>
      </c>
      <c r="X1245" s="424" t="s">
        <v>2224</v>
      </c>
      <c r="Y1245" s="424" t="s">
        <v>2279</v>
      </c>
      <c r="Z1245" s="424" t="s">
        <v>2872</v>
      </c>
      <c r="AA1245" s="424" t="s">
        <v>3197</v>
      </c>
      <c r="AB1245" s="424" t="s">
        <v>6122</v>
      </c>
      <c r="AC1245" s="424" t="s">
        <v>3910</v>
      </c>
      <c r="AD1245" s="424" t="s">
        <v>6007</v>
      </c>
      <c r="AE1245" s="424" t="s">
        <v>6016</v>
      </c>
      <c r="AF1245" s="424"/>
      <c r="AG1245" s="424"/>
      <c r="AH1245" s="424"/>
    </row>
    <row r="1246" spans="1:34" x14ac:dyDescent="0.25">
      <c r="A1246" s="423" t="s">
        <v>6070</v>
      </c>
      <c r="B1246" s="423" t="s">
        <v>6123</v>
      </c>
      <c r="C1246" s="423" t="s">
        <v>86</v>
      </c>
      <c r="D1246" s="423" t="s">
        <v>6072</v>
      </c>
      <c r="E1246" s="423" t="s">
        <v>236</v>
      </c>
      <c r="F1246" s="423">
        <v>66</v>
      </c>
      <c r="G1246" s="423">
        <v>64</v>
      </c>
      <c r="H1246" s="423">
        <v>1300</v>
      </c>
      <c r="J1246" s="423"/>
      <c r="K1246" s="423"/>
      <c r="L1246" s="423"/>
      <c r="M1246" s="423"/>
      <c r="Q1246" s="423"/>
      <c r="R1246" s="424" t="s">
        <v>6124</v>
      </c>
      <c r="S1246" s="424" t="s">
        <v>2846</v>
      </c>
      <c r="T1246" s="424" t="s">
        <v>2870</v>
      </c>
      <c r="U1246" s="424">
        <v>0</v>
      </c>
      <c r="V1246" s="424" t="s">
        <v>2823</v>
      </c>
      <c r="W1246" s="424" t="s">
        <v>3694</v>
      </c>
      <c r="X1246" s="424" t="s">
        <v>2224</v>
      </c>
      <c r="Y1246" s="424" t="s">
        <v>2279</v>
      </c>
      <c r="Z1246" s="424" t="s">
        <v>2872</v>
      </c>
      <c r="AA1246" s="424" t="s">
        <v>3197</v>
      </c>
      <c r="AB1246" s="424" t="s">
        <v>6125</v>
      </c>
      <c r="AC1246" s="424" t="s">
        <v>3910</v>
      </c>
      <c r="AD1246" s="424" t="s">
        <v>6007</v>
      </c>
      <c r="AE1246" s="424" t="s">
        <v>6008</v>
      </c>
      <c r="AF1246" s="424"/>
      <c r="AG1246" s="424"/>
      <c r="AH1246" s="424"/>
    </row>
    <row r="1247" spans="1:34" x14ac:dyDescent="0.25">
      <c r="A1247" s="423" t="s">
        <v>6070</v>
      </c>
      <c r="B1247" s="423" t="s">
        <v>6126</v>
      </c>
      <c r="C1247" s="423" t="s">
        <v>86</v>
      </c>
      <c r="D1247" s="423" t="s">
        <v>6072</v>
      </c>
      <c r="E1247" s="423" t="s">
        <v>236</v>
      </c>
      <c r="F1247" s="423">
        <v>32</v>
      </c>
      <c r="G1247" s="423">
        <v>64</v>
      </c>
      <c r="H1247" s="423">
        <v>2000</v>
      </c>
      <c r="J1247" s="423"/>
      <c r="K1247" s="423"/>
      <c r="L1247" s="423"/>
      <c r="M1247" s="423"/>
      <c r="Q1247" s="423"/>
      <c r="R1247" s="424" t="s">
        <v>6127</v>
      </c>
      <c r="S1247" s="424" t="s">
        <v>2846</v>
      </c>
      <c r="T1247" s="424" t="s">
        <v>2870</v>
      </c>
      <c r="U1247" s="424">
        <v>0</v>
      </c>
      <c r="V1247" s="424" t="s">
        <v>2823</v>
      </c>
      <c r="W1247" s="424" t="s">
        <v>3694</v>
      </c>
      <c r="X1247" s="424" t="s">
        <v>2224</v>
      </c>
      <c r="Y1247" s="424" t="s">
        <v>2279</v>
      </c>
      <c r="Z1247" s="424" t="s">
        <v>2872</v>
      </c>
      <c r="AA1247" s="424" t="s">
        <v>3197</v>
      </c>
      <c r="AB1247" s="424" t="s">
        <v>6103</v>
      </c>
      <c r="AC1247" s="424" t="s">
        <v>3910</v>
      </c>
      <c r="AD1247" s="424" t="s">
        <v>6007</v>
      </c>
      <c r="AE1247" s="424" t="s">
        <v>6016</v>
      </c>
      <c r="AF1247" s="424"/>
      <c r="AG1247" s="424"/>
      <c r="AH1247" s="424"/>
    </row>
    <row r="1248" spans="1:34" x14ac:dyDescent="0.25">
      <c r="A1248" s="423" t="s">
        <v>6070</v>
      </c>
      <c r="B1248" s="423" t="s">
        <v>6128</v>
      </c>
      <c r="C1248" s="423" t="s">
        <v>86</v>
      </c>
      <c r="D1248" s="423" t="s">
        <v>6072</v>
      </c>
      <c r="E1248" s="423" t="s">
        <v>236</v>
      </c>
      <c r="F1248" s="423">
        <v>32</v>
      </c>
      <c r="G1248" s="423">
        <v>64</v>
      </c>
      <c r="H1248" s="423">
        <v>2000</v>
      </c>
      <c r="J1248" s="423"/>
      <c r="K1248" s="423"/>
      <c r="L1248" s="423"/>
      <c r="M1248" s="423"/>
      <c r="Q1248" s="423"/>
      <c r="R1248" s="424" t="s">
        <v>6129</v>
      </c>
      <c r="S1248" s="424" t="s">
        <v>2846</v>
      </c>
      <c r="T1248" s="424" t="s">
        <v>2870</v>
      </c>
      <c r="U1248" s="424">
        <v>0</v>
      </c>
      <c r="V1248" s="424" t="s">
        <v>2823</v>
      </c>
      <c r="W1248" s="424" t="s">
        <v>3694</v>
      </c>
      <c r="X1248" s="424" t="s">
        <v>2224</v>
      </c>
      <c r="Y1248" s="424" t="s">
        <v>2279</v>
      </c>
      <c r="Z1248" s="424" t="s">
        <v>2872</v>
      </c>
      <c r="AA1248" s="424" t="s">
        <v>3197</v>
      </c>
      <c r="AB1248" s="424" t="s">
        <v>6097</v>
      </c>
      <c r="AC1248" s="424" t="s">
        <v>3910</v>
      </c>
      <c r="AD1248" s="424" t="s">
        <v>6007</v>
      </c>
      <c r="AE1248" s="424" t="s">
        <v>6016</v>
      </c>
      <c r="AF1248" s="424"/>
      <c r="AG1248" s="424"/>
      <c r="AH1248" s="424"/>
    </row>
    <row r="1249" spans="1:34" x14ac:dyDescent="0.25">
      <c r="A1249" s="423" t="s">
        <v>6070</v>
      </c>
      <c r="B1249" s="423" t="s">
        <v>6130</v>
      </c>
      <c r="C1249" s="423" t="s">
        <v>86</v>
      </c>
      <c r="D1249" s="423" t="s">
        <v>6072</v>
      </c>
      <c r="E1249" s="423" t="s">
        <v>236</v>
      </c>
      <c r="F1249" s="423">
        <v>32</v>
      </c>
      <c r="G1249" s="423">
        <v>64</v>
      </c>
      <c r="H1249" s="423">
        <v>2000</v>
      </c>
      <c r="J1249" s="423"/>
      <c r="K1249" s="423"/>
      <c r="L1249" s="423"/>
      <c r="M1249" s="423"/>
      <c r="Q1249" s="423"/>
      <c r="R1249" s="424" t="s">
        <v>6131</v>
      </c>
      <c r="S1249" s="424" t="s">
        <v>2846</v>
      </c>
      <c r="T1249" s="424" t="s">
        <v>2870</v>
      </c>
      <c r="U1249" s="424">
        <v>0</v>
      </c>
      <c r="V1249" s="424" t="s">
        <v>2823</v>
      </c>
      <c r="W1249" s="424" t="s">
        <v>3694</v>
      </c>
      <c r="X1249" s="424" t="s">
        <v>2224</v>
      </c>
      <c r="Y1249" s="424" t="s">
        <v>2279</v>
      </c>
      <c r="Z1249" s="424" t="s">
        <v>2872</v>
      </c>
      <c r="AA1249" s="424" t="s">
        <v>3197</v>
      </c>
      <c r="AB1249" s="424" t="s">
        <v>6132</v>
      </c>
      <c r="AC1249" s="424" t="s">
        <v>3910</v>
      </c>
      <c r="AD1249" s="424" t="s">
        <v>6007</v>
      </c>
      <c r="AE1249" s="424" t="s">
        <v>6008</v>
      </c>
      <c r="AF1249" s="424"/>
      <c r="AG1249" s="424"/>
      <c r="AH1249" s="424"/>
    </row>
    <row r="1250" spans="1:34" x14ac:dyDescent="0.25">
      <c r="A1250" s="423" t="s">
        <v>6070</v>
      </c>
      <c r="B1250" s="423" t="s">
        <v>6133</v>
      </c>
      <c r="C1250" s="423" t="s">
        <v>86</v>
      </c>
      <c r="D1250" s="423" t="s">
        <v>6072</v>
      </c>
      <c r="E1250" s="423" t="s">
        <v>236</v>
      </c>
      <c r="F1250" s="423">
        <v>32</v>
      </c>
      <c r="G1250" s="423">
        <v>64</v>
      </c>
      <c r="H1250" s="423">
        <v>3400</v>
      </c>
      <c r="J1250" s="423"/>
      <c r="K1250" s="423"/>
      <c r="L1250" s="423"/>
      <c r="M1250" s="423"/>
      <c r="Q1250" s="423"/>
      <c r="R1250" s="424" t="s">
        <v>6134</v>
      </c>
      <c r="S1250" s="424" t="s">
        <v>2846</v>
      </c>
      <c r="T1250" s="424" t="s">
        <v>2870</v>
      </c>
      <c r="U1250" s="424">
        <v>0</v>
      </c>
      <c r="V1250" s="424" t="s">
        <v>2823</v>
      </c>
      <c r="W1250" s="424" t="s">
        <v>3694</v>
      </c>
      <c r="X1250" s="424" t="s">
        <v>2224</v>
      </c>
      <c r="Y1250" s="424" t="s">
        <v>2279</v>
      </c>
      <c r="Z1250" s="424" t="s">
        <v>2872</v>
      </c>
      <c r="AA1250" s="424" t="s">
        <v>3197</v>
      </c>
      <c r="AB1250" s="424" t="s">
        <v>6103</v>
      </c>
      <c r="AC1250" s="424" t="s">
        <v>3910</v>
      </c>
      <c r="AD1250" s="424" t="s">
        <v>6007</v>
      </c>
      <c r="AE1250" s="424" t="s">
        <v>6016</v>
      </c>
      <c r="AF1250" s="424"/>
      <c r="AG1250" s="424"/>
      <c r="AH1250" s="424"/>
    </row>
    <row r="1251" spans="1:34" x14ac:dyDescent="0.25">
      <c r="A1251" s="423" t="s">
        <v>6070</v>
      </c>
      <c r="B1251" s="423" t="s">
        <v>6135</v>
      </c>
      <c r="C1251" s="423" t="s">
        <v>86</v>
      </c>
      <c r="D1251" s="423" t="s">
        <v>6072</v>
      </c>
      <c r="E1251" s="423" t="s">
        <v>236</v>
      </c>
      <c r="F1251" s="423">
        <v>32</v>
      </c>
      <c r="G1251" s="423">
        <v>64</v>
      </c>
      <c r="H1251" s="423">
        <v>3400</v>
      </c>
      <c r="J1251" s="423"/>
      <c r="K1251" s="423"/>
      <c r="L1251" s="423"/>
      <c r="M1251" s="423"/>
      <c r="Q1251" s="423"/>
      <c r="R1251" s="424" t="s">
        <v>6136</v>
      </c>
      <c r="S1251" s="424" t="s">
        <v>2846</v>
      </c>
      <c r="T1251" s="424" t="s">
        <v>2870</v>
      </c>
      <c r="U1251" s="424">
        <v>0</v>
      </c>
      <c r="V1251" s="424" t="s">
        <v>2823</v>
      </c>
      <c r="W1251" s="424" t="s">
        <v>3694</v>
      </c>
      <c r="X1251" s="424" t="s">
        <v>2224</v>
      </c>
      <c r="Y1251" s="424" t="s">
        <v>2279</v>
      </c>
      <c r="Z1251" s="424" t="s">
        <v>2872</v>
      </c>
      <c r="AA1251" s="424" t="s">
        <v>3197</v>
      </c>
      <c r="AB1251" s="424" t="s">
        <v>6087</v>
      </c>
      <c r="AC1251" s="424" t="s">
        <v>3910</v>
      </c>
      <c r="AD1251" s="424" t="s">
        <v>6007</v>
      </c>
      <c r="AE1251" s="424" t="s">
        <v>6088</v>
      </c>
      <c r="AF1251" s="424"/>
      <c r="AG1251" s="424"/>
      <c r="AH1251" s="424"/>
    </row>
    <row r="1252" spans="1:34" x14ac:dyDescent="0.25">
      <c r="A1252" s="423" t="s">
        <v>6070</v>
      </c>
      <c r="B1252" s="423" t="s">
        <v>6137</v>
      </c>
      <c r="C1252" s="423" t="s">
        <v>86</v>
      </c>
      <c r="D1252" s="423" t="s">
        <v>6072</v>
      </c>
      <c r="E1252" s="423" t="s">
        <v>236</v>
      </c>
      <c r="F1252" s="423">
        <v>32</v>
      </c>
      <c r="G1252" s="423">
        <v>64</v>
      </c>
      <c r="H1252" s="423">
        <v>3400</v>
      </c>
      <c r="J1252" s="423"/>
      <c r="K1252" s="423"/>
      <c r="L1252" s="423"/>
      <c r="M1252" s="423"/>
      <c r="Q1252" s="423"/>
      <c r="R1252" s="424" t="s">
        <v>6138</v>
      </c>
      <c r="S1252" s="424" t="s">
        <v>2846</v>
      </c>
      <c r="T1252" s="424" t="s">
        <v>2870</v>
      </c>
      <c r="U1252" s="424">
        <v>0</v>
      </c>
      <c r="V1252" s="424" t="s">
        <v>2823</v>
      </c>
      <c r="W1252" s="424" t="s">
        <v>3694</v>
      </c>
      <c r="X1252" s="424" t="s">
        <v>2224</v>
      </c>
      <c r="Y1252" s="424" t="s">
        <v>2279</v>
      </c>
      <c r="Z1252" s="424" t="s">
        <v>2872</v>
      </c>
      <c r="AA1252" s="424" t="s">
        <v>3197</v>
      </c>
      <c r="AB1252" s="424" t="s">
        <v>6139</v>
      </c>
      <c r="AC1252" s="424" t="s">
        <v>3910</v>
      </c>
      <c r="AD1252" s="424" t="s">
        <v>6007</v>
      </c>
      <c r="AE1252" s="424" t="s">
        <v>6088</v>
      </c>
      <c r="AF1252" s="424"/>
      <c r="AG1252" s="424"/>
      <c r="AH1252" s="424"/>
    </row>
    <row r="1253" spans="1:34" x14ac:dyDescent="0.25">
      <c r="A1253" s="423" t="s">
        <v>6140</v>
      </c>
      <c r="B1253" s="423" t="s">
        <v>6141</v>
      </c>
      <c r="C1253" s="423" t="s">
        <v>86</v>
      </c>
      <c r="D1253" s="423" t="s">
        <v>6072</v>
      </c>
      <c r="E1253" s="423" t="s">
        <v>236</v>
      </c>
      <c r="F1253" s="423">
        <v>32</v>
      </c>
      <c r="G1253" s="423">
        <v>64</v>
      </c>
      <c r="H1253" s="423">
        <v>1700</v>
      </c>
      <c r="J1253" s="423"/>
      <c r="K1253" s="423"/>
      <c r="L1253" s="423"/>
      <c r="M1253" s="423"/>
      <c r="Q1253" s="423"/>
      <c r="R1253" s="424" t="s">
        <v>6142</v>
      </c>
      <c r="S1253" s="424" t="s">
        <v>2846</v>
      </c>
      <c r="T1253" s="424" t="s">
        <v>2870</v>
      </c>
      <c r="U1253" s="424">
        <v>0</v>
      </c>
      <c r="V1253" s="424" t="s">
        <v>2823</v>
      </c>
      <c r="W1253" s="424" t="s">
        <v>3694</v>
      </c>
      <c r="X1253" s="424" t="s">
        <v>2224</v>
      </c>
      <c r="Y1253" s="424" t="s">
        <v>2279</v>
      </c>
      <c r="Z1253" s="424" t="s">
        <v>2872</v>
      </c>
      <c r="AA1253" s="424" t="s">
        <v>3197</v>
      </c>
      <c r="AB1253" s="424" t="s">
        <v>6125</v>
      </c>
      <c r="AC1253" s="424" t="s">
        <v>3910</v>
      </c>
      <c r="AD1253" s="424" t="s">
        <v>6007</v>
      </c>
      <c r="AE1253" s="424" t="s">
        <v>6008</v>
      </c>
      <c r="AF1253" s="424"/>
      <c r="AG1253" s="424"/>
      <c r="AH1253" s="424"/>
    </row>
    <row r="1254" spans="1:34" x14ac:dyDescent="0.25">
      <c r="A1254" s="423" t="s">
        <v>6140</v>
      </c>
      <c r="B1254" s="423" t="s">
        <v>6143</v>
      </c>
      <c r="C1254" s="423" t="s">
        <v>86</v>
      </c>
      <c r="D1254" s="423" t="s">
        <v>6072</v>
      </c>
      <c r="E1254" s="423" t="s">
        <v>236</v>
      </c>
      <c r="F1254" s="423">
        <v>32</v>
      </c>
      <c r="G1254" s="423">
        <v>64</v>
      </c>
      <c r="H1254" s="423">
        <v>1700</v>
      </c>
      <c r="J1254" s="423"/>
      <c r="K1254" s="423"/>
      <c r="L1254" s="423"/>
      <c r="M1254" s="423"/>
      <c r="Q1254" s="423"/>
      <c r="R1254" s="424" t="s">
        <v>6144</v>
      </c>
      <c r="S1254" s="424" t="s">
        <v>2846</v>
      </c>
      <c r="T1254" s="424" t="s">
        <v>2870</v>
      </c>
      <c r="U1254" s="424">
        <v>0</v>
      </c>
      <c r="V1254" s="424" t="s">
        <v>2823</v>
      </c>
      <c r="W1254" s="424" t="s">
        <v>3694</v>
      </c>
      <c r="X1254" s="424" t="s">
        <v>2224</v>
      </c>
      <c r="Y1254" s="424" t="s">
        <v>2279</v>
      </c>
      <c r="Z1254" s="424" t="s">
        <v>2872</v>
      </c>
      <c r="AA1254" s="424" t="s">
        <v>3197</v>
      </c>
      <c r="AB1254" s="424" t="s">
        <v>6132</v>
      </c>
      <c r="AC1254" s="424" t="s">
        <v>3910</v>
      </c>
      <c r="AD1254" s="424" t="s">
        <v>6007</v>
      </c>
      <c r="AE1254" s="424" t="s">
        <v>6008</v>
      </c>
      <c r="AF1254" s="424"/>
      <c r="AG1254" s="424"/>
      <c r="AH1254" s="424"/>
    </row>
    <row r="1255" spans="1:34" x14ac:dyDescent="0.25">
      <c r="A1255" s="423" t="s">
        <v>6140</v>
      </c>
      <c r="B1255" s="423" t="s">
        <v>6145</v>
      </c>
      <c r="C1255" s="423" t="s">
        <v>86</v>
      </c>
      <c r="D1255" s="423" t="s">
        <v>6072</v>
      </c>
      <c r="E1255" s="423" t="s">
        <v>236</v>
      </c>
      <c r="F1255" s="423">
        <v>32</v>
      </c>
      <c r="G1255" s="423">
        <v>64</v>
      </c>
      <c r="H1255" s="423">
        <v>1700</v>
      </c>
      <c r="J1255" s="423"/>
      <c r="K1255" s="423"/>
      <c r="L1255" s="423"/>
      <c r="M1255" s="423"/>
      <c r="Q1255" s="423"/>
      <c r="R1255" s="424" t="s">
        <v>6146</v>
      </c>
      <c r="S1255" s="424" t="s">
        <v>2846</v>
      </c>
      <c r="T1255" s="424" t="s">
        <v>2870</v>
      </c>
      <c r="U1255" s="424">
        <v>0</v>
      </c>
      <c r="V1255" s="424" t="s">
        <v>2823</v>
      </c>
      <c r="W1255" s="424" t="s">
        <v>3694</v>
      </c>
      <c r="X1255" s="424" t="s">
        <v>2224</v>
      </c>
      <c r="Y1255" s="424" t="s">
        <v>2279</v>
      </c>
      <c r="Z1255" s="424" t="s">
        <v>2872</v>
      </c>
      <c r="AA1255" s="424" t="s">
        <v>3197</v>
      </c>
      <c r="AB1255" s="424" t="s">
        <v>6147</v>
      </c>
      <c r="AC1255" s="424" t="s">
        <v>3910</v>
      </c>
      <c r="AD1255" s="424" t="s">
        <v>6007</v>
      </c>
      <c r="AE1255" s="424" t="s">
        <v>6088</v>
      </c>
      <c r="AF1255" s="424"/>
      <c r="AG1255" s="424"/>
      <c r="AH1255" s="424"/>
    </row>
    <row r="1256" spans="1:34" x14ac:dyDescent="0.25">
      <c r="A1256" s="423" t="s">
        <v>6140</v>
      </c>
      <c r="B1256" s="423" t="s">
        <v>6148</v>
      </c>
      <c r="C1256" s="423" t="s">
        <v>86</v>
      </c>
      <c r="D1256" s="423" t="s">
        <v>6072</v>
      </c>
      <c r="E1256" s="423" t="s">
        <v>236</v>
      </c>
      <c r="F1256" s="423">
        <v>32</v>
      </c>
      <c r="G1256" s="423">
        <v>64</v>
      </c>
      <c r="H1256" s="423">
        <v>1700</v>
      </c>
      <c r="J1256" s="423"/>
      <c r="K1256" s="423"/>
      <c r="L1256" s="423"/>
      <c r="M1256" s="423"/>
      <c r="Q1256" s="423"/>
      <c r="R1256" s="424" t="s">
        <v>6149</v>
      </c>
      <c r="S1256" s="424" t="s">
        <v>2846</v>
      </c>
      <c r="T1256" s="424" t="s">
        <v>2870</v>
      </c>
      <c r="U1256" s="424">
        <v>0</v>
      </c>
      <c r="V1256" s="424" t="s">
        <v>2823</v>
      </c>
      <c r="W1256" s="424" t="s">
        <v>3694</v>
      </c>
      <c r="X1256" s="424" t="s">
        <v>2224</v>
      </c>
      <c r="Y1256" s="424" t="s">
        <v>2279</v>
      </c>
      <c r="Z1256" s="424" t="s">
        <v>2872</v>
      </c>
      <c r="AA1256" s="424" t="s">
        <v>3197</v>
      </c>
      <c r="AB1256" s="424" t="s">
        <v>6097</v>
      </c>
      <c r="AC1256" s="424" t="s">
        <v>3910</v>
      </c>
      <c r="AD1256" s="424" t="s">
        <v>6007</v>
      </c>
      <c r="AE1256" s="424" t="s">
        <v>6016</v>
      </c>
      <c r="AF1256" s="424"/>
      <c r="AG1256" s="424"/>
      <c r="AH1256" s="424"/>
    </row>
    <row r="1257" spans="1:34" x14ac:dyDescent="0.25">
      <c r="A1257" s="423" t="s">
        <v>6140</v>
      </c>
      <c r="B1257" s="423" t="s">
        <v>6150</v>
      </c>
      <c r="C1257" s="423" t="s">
        <v>86</v>
      </c>
      <c r="D1257" s="423" t="s">
        <v>6072</v>
      </c>
      <c r="E1257" s="423" t="s">
        <v>236</v>
      </c>
      <c r="F1257" s="423">
        <v>32</v>
      </c>
      <c r="G1257" s="423">
        <v>64</v>
      </c>
      <c r="H1257" s="423">
        <v>900</v>
      </c>
      <c r="J1257" s="423"/>
      <c r="K1257" s="423"/>
      <c r="L1257" s="423"/>
      <c r="M1257" s="423"/>
      <c r="Q1257" s="423"/>
      <c r="R1257" s="424" t="s">
        <v>6151</v>
      </c>
      <c r="S1257" s="424" t="s">
        <v>2846</v>
      </c>
      <c r="T1257" s="424" t="s">
        <v>2870</v>
      </c>
      <c r="U1257" s="424">
        <v>0</v>
      </c>
      <c r="V1257" s="424" t="s">
        <v>2823</v>
      </c>
      <c r="W1257" s="424" t="s">
        <v>3694</v>
      </c>
      <c r="X1257" s="424" t="s">
        <v>2224</v>
      </c>
      <c r="Y1257" s="424" t="s">
        <v>2279</v>
      </c>
      <c r="Z1257" s="424" t="s">
        <v>2872</v>
      </c>
      <c r="AA1257" s="424" t="s">
        <v>3197</v>
      </c>
      <c r="AB1257" s="424" t="s">
        <v>6100</v>
      </c>
      <c r="AC1257" s="424" t="s">
        <v>3910</v>
      </c>
      <c r="AD1257" s="424" t="s">
        <v>6007</v>
      </c>
      <c r="AE1257" s="424" t="s">
        <v>6088</v>
      </c>
      <c r="AF1257" s="424"/>
      <c r="AG1257" s="424"/>
      <c r="AH1257" s="424"/>
    </row>
    <row r="1258" spans="1:34" x14ac:dyDescent="0.25">
      <c r="A1258" s="423" t="s">
        <v>6140</v>
      </c>
      <c r="B1258" s="423" t="s">
        <v>6152</v>
      </c>
      <c r="C1258" s="423" t="s">
        <v>86</v>
      </c>
      <c r="D1258" s="423" t="s">
        <v>6072</v>
      </c>
      <c r="E1258" s="423" t="s">
        <v>236</v>
      </c>
      <c r="F1258" s="423">
        <v>32</v>
      </c>
      <c r="G1258" s="423">
        <v>64</v>
      </c>
      <c r="H1258" s="423">
        <v>900</v>
      </c>
      <c r="J1258" s="423"/>
      <c r="K1258" s="423"/>
      <c r="L1258" s="423"/>
      <c r="M1258" s="423"/>
      <c r="Q1258" s="423"/>
      <c r="R1258" s="424" t="s">
        <v>6153</v>
      </c>
      <c r="S1258" s="424" t="s">
        <v>2846</v>
      </c>
      <c r="T1258" s="424" t="s">
        <v>2870</v>
      </c>
      <c r="U1258" s="424">
        <v>0</v>
      </c>
      <c r="V1258" s="424" t="s">
        <v>2823</v>
      </c>
      <c r="W1258" s="424" t="s">
        <v>3694</v>
      </c>
      <c r="X1258" s="424" t="s">
        <v>2224</v>
      </c>
      <c r="Y1258" s="424" t="s">
        <v>2279</v>
      </c>
      <c r="Z1258" s="424" t="s">
        <v>2872</v>
      </c>
      <c r="AA1258" s="424" t="s">
        <v>3197</v>
      </c>
      <c r="AB1258" s="424" t="s">
        <v>6103</v>
      </c>
      <c r="AC1258" s="424" t="s">
        <v>3910</v>
      </c>
      <c r="AD1258" s="424" t="s">
        <v>6007</v>
      </c>
      <c r="AE1258" s="424" t="s">
        <v>6016</v>
      </c>
      <c r="AF1258" s="424"/>
      <c r="AG1258" s="424"/>
      <c r="AH1258" s="424"/>
    </row>
    <row r="1259" spans="1:34" x14ac:dyDescent="0.25">
      <c r="A1259" s="423" t="s">
        <v>6140</v>
      </c>
      <c r="B1259" s="423" t="s">
        <v>6154</v>
      </c>
      <c r="C1259" s="423" t="s">
        <v>86</v>
      </c>
      <c r="D1259" s="423" t="s">
        <v>6072</v>
      </c>
      <c r="E1259" s="423" t="s">
        <v>236</v>
      </c>
      <c r="F1259" s="423">
        <v>32</v>
      </c>
      <c r="G1259" s="423">
        <v>64</v>
      </c>
      <c r="H1259" s="423">
        <v>900</v>
      </c>
      <c r="J1259" s="423"/>
      <c r="K1259" s="423"/>
      <c r="L1259" s="423"/>
      <c r="M1259" s="423"/>
      <c r="Q1259" s="423"/>
      <c r="R1259" s="424" t="s">
        <v>6155</v>
      </c>
      <c r="S1259" s="424" t="s">
        <v>2846</v>
      </c>
      <c r="T1259" s="424" t="s">
        <v>2870</v>
      </c>
      <c r="U1259" s="424">
        <v>0</v>
      </c>
      <c r="V1259" s="424" t="s">
        <v>2823</v>
      </c>
      <c r="W1259" s="424" t="s">
        <v>3694</v>
      </c>
      <c r="X1259" s="424" t="s">
        <v>2224</v>
      </c>
      <c r="Y1259" s="424" t="s">
        <v>2279</v>
      </c>
      <c r="Z1259" s="424" t="s">
        <v>2872</v>
      </c>
      <c r="AA1259" s="424" t="s">
        <v>3197</v>
      </c>
      <c r="AB1259" s="424" t="s">
        <v>6156</v>
      </c>
      <c r="AC1259" s="424" t="s">
        <v>3910</v>
      </c>
      <c r="AD1259" s="424" t="s">
        <v>6007</v>
      </c>
      <c r="AE1259" s="424" t="s">
        <v>6088</v>
      </c>
      <c r="AF1259" s="424"/>
      <c r="AG1259" s="424"/>
      <c r="AH1259" s="424"/>
    </row>
    <row r="1260" spans="1:34" x14ac:dyDescent="0.25">
      <c r="A1260" s="423" t="s">
        <v>6140</v>
      </c>
      <c r="B1260" s="423" t="s">
        <v>6157</v>
      </c>
      <c r="C1260" s="423" t="s">
        <v>86</v>
      </c>
      <c r="D1260" s="423" t="s">
        <v>6072</v>
      </c>
      <c r="E1260" s="423" t="s">
        <v>236</v>
      </c>
      <c r="F1260" s="423">
        <v>32</v>
      </c>
      <c r="G1260" s="423">
        <v>64</v>
      </c>
      <c r="H1260" s="423">
        <v>1400</v>
      </c>
      <c r="J1260" s="423"/>
      <c r="K1260" s="423"/>
      <c r="L1260" s="423"/>
      <c r="M1260" s="423"/>
      <c r="Q1260" s="423"/>
      <c r="R1260" s="424" t="s">
        <v>6158</v>
      </c>
      <c r="S1260" s="424" t="s">
        <v>2846</v>
      </c>
      <c r="T1260" s="424" t="s">
        <v>2870</v>
      </c>
      <c r="U1260" s="424">
        <v>0</v>
      </c>
      <c r="V1260" s="424" t="s">
        <v>2823</v>
      </c>
      <c r="W1260" s="424" t="s">
        <v>3694</v>
      </c>
      <c r="X1260" s="424" t="s">
        <v>2224</v>
      </c>
      <c r="Y1260" s="424" t="s">
        <v>2279</v>
      </c>
      <c r="Z1260" s="424" t="s">
        <v>2872</v>
      </c>
      <c r="AA1260" s="424" t="s">
        <v>3197</v>
      </c>
      <c r="AB1260" s="424" t="s">
        <v>6015</v>
      </c>
      <c r="AC1260" s="424" t="s">
        <v>3910</v>
      </c>
      <c r="AD1260" s="424" t="s">
        <v>6007</v>
      </c>
      <c r="AE1260" s="424" t="s">
        <v>6016</v>
      </c>
      <c r="AF1260" s="424"/>
      <c r="AG1260" s="424"/>
      <c r="AH1260" s="424"/>
    </row>
    <row r="1261" spans="1:34" x14ac:dyDescent="0.25">
      <c r="A1261" s="423" t="s">
        <v>6140</v>
      </c>
      <c r="B1261" s="423" t="s">
        <v>6159</v>
      </c>
      <c r="C1261" s="423" t="s">
        <v>86</v>
      </c>
      <c r="D1261" s="423" t="s">
        <v>6072</v>
      </c>
      <c r="E1261" s="423" t="s">
        <v>236</v>
      </c>
      <c r="F1261" s="423">
        <v>32</v>
      </c>
      <c r="G1261" s="423">
        <v>64</v>
      </c>
      <c r="H1261" s="423">
        <v>1400</v>
      </c>
      <c r="J1261" s="423"/>
      <c r="K1261" s="423"/>
      <c r="L1261" s="423"/>
      <c r="M1261" s="423"/>
      <c r="Q1261" s="423"/>
      <c r="R1261" s="424" t="s">
        <v>6160</v>
      </c>
      <c r="S1261" s="424" t="s">
        <v>2846</v>
      </c>
      <c r="T1261" s="424" t="s">
        <v>2870</v>
      </c>
      <c r="U1261" s="424">
        <v>0</v>
      </c>
      <c r="V1261" s="424" t="s">
        <v>2823</v>
      </c>
      <c r="W1261" s="424" t="s">
        <v>3694</v>
      </c>
      <c r="X1261" s="424" t="s">
        <v>2224</v>
      </c>
      <c r="Y1261" s="424" t="s">
        <v>2279</v>
      </c>
      <c r="Z1261" s="424" t="s">
        <v>2872</v>
      </c>
      <c r="AA1261" s="424" t="s">
        <v>3197</v>
      </c>
      <c r="AB1261" s="424" t="s">
        <v>6156</v>
      </c>
      <c r="AC1261" s="424" t="s">
        <v>3910</v>
      </c>
      <c r="AD1261" s="424" t="s">
        <v>6007</v>
      </c>
      <c r="AE1261" s="424" t="s">
        <v>6088</v>
      </c>
      <c r="AF1261" s="424"/>
      <c r="AG1261" s="424"/>
      <c r="AH1261" s="424"/>
    </row>
    <row r="1262" spans="1:34" x14ac:dyDescent="0.25">
      <c r="A1262" s="423" t="s">
        <v>6140</v>
      </c>
      <c r="B1262" s="423" t="s">
        <v>6161</v>
      </c>
      <c r="C1262" s="423" t="s">
        <v>86</v>
      </c>
      <c r="D1262" s="423" t="s">
        <v>6072</v>
      </c>
      <c r="E1262" s="423" t="s">
        <v>236</v>
      </c>
      <c r="F1262" s="423">
        <v>32</v>
      </c>
      <c r="G1262" s="423">
        <v>64</v>
      </c>
      <c r="H1262" s="423">
        <v>1400</v>
      </c>
      <c r="J1262" s="423"/>
      <c r="K1262" s="423"/>
      <c r="L1262" s="423"/>
      <c r="M1262" s="423"/>
      <c r="Q1262" s="423"/>
      <c r="R1262" s="424" t="s">
        <v>6162</v>
      </c>
      <c r="S1262" s="424" t="s">
        <v>2846</v>
      </c>
      <c r="T1262" s="424" t="s">
        <v>2870</v>
      </c>
      <c r="U1262" s="424">
        <v>0</v>
      </c>
      <c r="V1262" s="424" t="s">
        <v>2823</v>
      </c>
      <c r="W1262" s="424" t="s">
        <v>3694</v>
      </c>
      <c r="X1262" s="424" t="s">
        <v>2224</v>
      </c>
      <c r="Y1262" s="424" t="s">
        <v>2279</v>
      </c>
      <c r="Z1262" s="424" t="s">
        <v>2872</v>
      </c>
      <c r="AA1262" s="424" t="s">
        <v>3197</v>
      </c>
      <c r="AB1262" s="424" t="s">
        <v>6163</v>
      </c>
      <c r="AC1262" s="424" t="s">
        <v>3910</v>
      </c>
      <c r="AD1262" s="424" t="s">
        <v>6007</v>
      </c>
      <c r="AE1262" s="424" t="s">
        <v>6088</v>
      </c>
      <c r="AF1262" s="424"/>
      <c r="AG1262" s="424"/>
      <c r="AH1262" s="424"/>
    </row>
    <row r="1263" spans="1:34" x14ac:dyDescent="0.25">
      <c r="A1263" s="423" t="s">
        <v>6140</v>
      </c>
      <c r="B1263" s="423" t="s">
        <v>6164</v>
      </c>
      <c r="C1263" s="423" t="s">
        <v>86</v>
      </c>
      <c r="D1263" s="423" t="s">
        <v>6072</v>
      </c>
      <c r="E1263" s="423" t="s">
        <v>236</v>
      </c>
      <c r="F1263" s="423">
        <v>32</v>
      </c>
      <c r="G1263" s="423">
        <v>64</v>
      </c>
      <c r="H1263" s="423">
        <v>3000</v>
      </c>
      <c r="J1263" s="423"/>
      <c r="K1263" s="423"/>
      <c r="L1263" s="423"/>
      <c r="M1263" s="423"/>
      <c r="Q1263" s="423"/>
      <c r="R1263" s="424" t="s">
        <v>6165</v>
      </c>
      <c r="S1263" s="424" t="s">
        <v>2846</v>
      </c>
      <c r="T1263" s="424" t="s">
        <v>2870</v>
      </c>
      <c r="U1263" s="424">
        <v>0</v>
      </c>
      <c r="V1263" s="424" t="s">
        <v>2823</v>
      </c>
      <c r="W1263" s="424" t="s">
        <v>3694</v>
      </c>
      <c r="X1263" s="424" t="s">
        <v>2224</v>
      </c>
      <c r="Y1263" s="424" t="s">
        <v>2279</v>
      </c>
      <c r="Z1263" s="424" t="s">
        <v>2872</v>
      </c>
      <c r="AA1263" s="424" t="s">
        <v>3197</v>
      </c>
      <c r="AB1263" s="424" t="s">
        <v>6166</v>
      </c>
      <c r="AC1263" s="424" t="s">
        <v>3910</v>
      </c>
      <c r="AD1263" s="424" t="s">
        <v>6007</v>
      </c>
      <c r="AE1263" s="424" t="s">
        <v>6084</v>
      </c>
      <c r="AF1263" s="424"/>
      <c r="AG1263" s="424"/>
      <c r="AH1263" s="424"/>
    </row>
    <row r="1264" spans="1:34" x14ac:dyDescent="0.25">
      <c r="A1264" s="423" t="s">
        <v>6140</v>
      </c>
      <c r="B1264" s="423" t="s">
        <v>6167</v>
      </c>
      <c r="C1264" s="423" t="s">
        <v>86</v>
      </c>
      <c r="D1264" s="423" t="s">
        <v>6072</v>
      </c>
      <c r="E1264" s="423" t="s">
        <v>236</v>
      </c>
      <c r="F1264" s="423">
        <v>32</v>
      </c>
      <c r="G1264" s="423">
        <v>64</v>
      </c>
      <c r="H1264" s="423">
        <v>3000</v>
      </c>
      <c r="J1264" s="423"/>
      <c r="K1264" s="423"/>
      <c r="L1264" s="423"/>
      <c r="M1264" s="423"/>
      <c r="Q1264" s="423"/>
      <c r="R1264" s="424" t="s">
        <v>6168</v>
      </c>
      <c r="S1264" s="424" t="s">
        <v>2846</v>
      </c>
      <c r="T1264" s="424" t="s">
        <v>2870</v>
      </c>
      <c r="U1264" s="424">
        <v>0</v>
      </c>
      <c r="V1264" s="424" t="s">
        <v>2823</v>
      </c>
      <c r="W1264" s="424" t="s">
        <v>3694</v>
      </c>
      <c r="X1264" s="424" t="s">
        <v>2224</v>
      </c>
      <c r="Y1264" s="424" t="s">
        <v>2279</v>
      </c>
      <c r="Z1264" s="424" t="s">
        <v>2872</v>
      </c>
      <c r="AA1264" s="424" t="s">
        <v>3197</v>
      </c>
      <c r="AB1264" s="424" t="s">
        <v>6163</v>
      </c>
      <c r="AC1264" s="424" t="s">
        <v>3910</v>
      </c>
      <c r="AD1264" s="424" t="s">
        <v>6007</v>
      </c>
      <c r="AE1264" s="424" t="s">
        <v>6088</v>
      </c>
      <c r="AF1264" s="424"/>
      <c r="AG1264" s="424"/>
      <c r="AH1264" s="424"/>
    </row>
    <row r="1265" spans="1:34" x14ac:dyDescent="0.25">
      <c r="A1265" s="423" t="s">
        <v>6140</v>
      </c>
      <c r="B1265" s="423" t="s">
        <v>6169</v>
      </c>
      <c r="C1265" s="423" t="s">
        <v>86</v>
      </c>
      <c r="D1265" s="423" t="s">
        <v>6072</v>
      </c>
      <c r="E1265" s="423" t="s">
        <v>236</v>
      </c>
      <c r="F1265" s="423">
        <v>32</v>
      </c>
      <c r="G1265" s="423">
        <v>64</v>
      </c>
      <c r="H1265" s="423">
        <v>3000</v>
      </c>
      <c r="J1265" s="423"/>
      <c r="K1265" s="423"/>
      <c r="L1265" s="423"/>
      <c r="M1265" s="423"/>
      <c r="Q1265" s="423"/>
      <c r="R1265" s="424" t="s">
        <v>6170</v>
      </c>
      <c r="S1265" s="424" t="s">
        <v>2846</v>
      </c>
      <c r="T1265" s="424" t="s">
        <v>2870</v>
      </c>
      <c r="U1265" s="424">
        <v>0</v>
      </c>
      <c r="V1265" s="424" t="s">
        <v>2823</v>
      </c>
      <c r="W1265" s="424" t="s">
        <v>3694</v>
      </c>
      <c r="X1265" s="424" t="s">
        <v>2224</v>
      </c>
      <c r="Y1265" s="424" t="s">
        <v>2279</v>
      </c>
      <c r="Z1265" s="424" t="s">
        <v>2872</v>
      </c>
      <c r="AA1265" s="424" t="s">
        <v>3197</v>
      </c>
      <c r="AB1265" s="424" t="s">
        <v>6163</v>
      </c>
      <c r="AC1265" s="424" t="s">
        <v>3910</v>
      </c>
      <c r="AD1265" s="424" t="s">
        <v>6007</v>
      </c>
      <c r="AE1265" s="424" t="s">
        <v>6088</v>
      </c>
      <c r="AF1265" s="424"/>
      <c r="AG1265" s="424"/>
      <c r="AH1265" s="424"/>
    </row>
    <row r="1266" spans="1:34" x14ac:dyDescent="0.25">
      <c r="A1266" s="423" t="s">
        <v>6140</v>
      </c>
      <c r="B1266" s="423" t="s">
        <v>6171</v>
      </c>
      <c r="C1266" s="423" t="s">
        <v>86</v>
      </c>
      <c r="D1266" s="423" t="s">
        <v>6072</v>
      </c>
      <c r="E1266" s="423" t="s">
        <v>236</v>
      </c>
      <c r="F1266" s="423">
        <v>32</v>
      </c>
      <c r="G1266" s="423">
        <v>64</v>
      </c>
      <c r="H1266" s="423">
        <v>3800</v>
      </c>
      <c r="J1266" s="423"/>
      <c r="K1266" s="423"/>
      <c r="L1266" s="423"/>
      <c r="M1266" s="423"/>
      <c r="Q1266" s="423"/>
      <c r="R1266" s="424" t="s">
        <v>6172</v>
      </c>
      <c r="S1266" s="424" t="s">
        <v>2846</v>
      </c>
      <c r="T1266" s="424" t="s">
        <v>2870</v>
      </c>
      <c r="U1266" s="424">
        <v>0</v>
      </c>
      <c r="V1266" s="424" t="s">
        <v>2823</v>
      </c>
      <c r="W1266" s="424" t="s">
        <v>3694</v>
      </c>
      <c r="X1266" s="424" t="s">
        <v>2224</v>
      </c>
      <c r="Y1266" s="424" t="s">
        <v>2279</v>
      </c>
      <c r="Z1266" s="424" t="s">
        <v>2872</v>
      </c>
      <c r="AA1266" s="424" t="s">
        <v>3197</v>
      </c>
      <c r="AB1266" s="424" t="s">
        <v>6163</v>
      </c>
      <c r="AC1266" s="424" t="s">
        <v>3910</v>
      </c>
      <c r="AD1266" s="424" t="s">
        <v>6007</v>
      </c>
      <c r="AE1266" s="424" t="s">
        <v>6088</v>
      </c>
      <c r="AF1266" s="424"/>
      <c r="AG1266" s="424"/>
      <c r="AH1266" s="424"/>
    </row>
    <row r="1267" spans="1:34" x14ac:dyDescent="0.25">
      <c r="A1267" s="423" t="s">
        <v>6140</v>
      </c>
      <c r="B1267" s="423" t="s">
        <v>6173</v>
      </c>
      <c r="C1267" s="423" t="s">
        <v>86</v>
      </c>
      <c r="D1267" s="423" t="s">
        <v>6072</v>
      </c>
      <c r="E1267" s="423" t="s">
        <v>236</v>
      </c>
      <c r="F1267" s="423">
        <v>32</v>
      </c>
      <c r="G1267" s="423">
        <v>64</v>
      </c>
      <c r="H1267" s="423">
        <v>3800</v>
      </c>
      <c r="J1267" s="423"/>
      <c r="K1267" s="423"/>
      <c r="L1267" s="423"/>
      <c r="M1267" s="423"/>
      <c r="Q1267" s="423"/>
      <c r="R1267" s="424" t="s">
        <v>6174</v>
      </c>
      <c r="S1267" s="424" t="s">
        <v>2846</v>
      </c>
      <c r="T1267" s="424" t="s">
        <v>2870</v>
      </c>
      <c r="U1267" s="424">
        <v>0</v>
      </c>
      <c r="V1267" s="424" t="s">
        <v>2823</v>
      </c>
      <c r="W1267" s="424" t="s">
        <v>3694</v>
      </c>
      <c r="X1267" s="424" t="s">
        <v>2224</v>
      </c>
      <c r="Y1267" s="424" t="s">
        <v>2279</v>
      </c>
      <c r="Z1267" s="424" t="s">
        <v>2872</v>
      </c>
      <c r="AA1267" s="424" t="s">
        <v>3197</v>
      </c>
      <c r="AB1267" s="424" t="s">
        <v>6097</v>
      </c>
      <c r="AC1267" s="424" t="s">
        <v>3910</v>
      </c>
      <c r="AD1267" s="424" t="s">
        <v>6007</v>
      </c>
      <c r="AE1267" s="424" t="s">
        <v>6016</v>
      </c>
      <c r="AF1267" s="424"/>
      <c r="AG1267" s="424"/>
      <c r="AH1267" s="424"/>
    </row>
    <row r="1268" spans="1:34" x14ac:dyDescent="0.25">
      <c r="A1268" s="423" t="s">
        <v>6140</v>
      </c>
      <c r="B1268" s="423" t="s">
        <v>6175</v>
      </c>
      <c r="C1268" s="423" t="s">
        <v>86</v>
      </c>
      <c r="D1268" s="423" t="s">
        <v>6072</v>
      </c>
      <c r="E1268" s="423" t="s">
        <v>236</v>
      </c>
      <c r="F1268" s="423">
        <v>32</v>
      </c>
      <c r="G1268" s="423">
        <v>64</v>
      </c>
      <c r="H1268" s="423">
        <v>3800</v>
      </c>
      <c r="J1268" s="423"/>
      <c r="K1268" s="423"/>
      <c r="L1268" s="423"/>
      <c r="M1268" s="423"/>
      <c r="Q1268" s="423"/>
      <c r="R1268" s="424" t="s">
        <v>6176</v>
      </c>
      <c r="S1268" s="424" t="s">
        <v>2846</v>
      </c>
      <c r="T1268" s="424" t="s">
        <v>2870</v>
      </c>
      <c r="U1268" s="424">
        <v>0</v>
      </c>
      <c r="V1268" s="424" t="s">
        <v>2823</v>
      </c>
      <c r="W1268" s="424" t="s">
        <v>3694</v>
      </c>
      <c r="X1268" s="424" t="s">
        <v>2224</v>
      </c>
      <c r="Y1268" s="424" t="s">
        <v>2279</v>
      </c>
      <c r="Z1268" s="424" t="s">
        <v>2872</v>
      </c>
      <c r="AA1268" s="424" t="s">
        <v>3197</v>
      </c>
      <c r="AB1268" s="424" t="s">
        <v>6177</v>
      </c>
      <c r="AC1268" s="424" t="s">
        <v>3910</v>
      </c>
      <c r="AD1268" s="424" t="s">
        <v>6007</v>
      </c>
      <c r="AE1268" s="424" t="s">
        <v>6084</v>
      </c>
      <c r="AF1268" s="424"/>
      <c r="AG1268" s="424"/>
      <c r="AH1268" s="424"/>
    </row>
    <row r="1269" spans="1:34" x14ac:dyDescent="0.25">
      <c r="A1269" s="423" t="s">
        <v>6178</v>
      </c>
      <c r="B1269" s="423" t="s">
        <v>6179</v>
      </c>
      <c r="C1269" s="423" t="s">
        <v>86</v>
      </c>
      <c r="D1269" s="423" t="s">
        <v>6072</v>
      </c>
      <c r="E1269" s="423" t="s">
        <v>236</v>
      </c>
      <c r="F1269" s="423">
        <v>32</v>
      </c>
      <c r="G1269" s="423">
        <v>50</v>
      </c>
      <c r="H1269" s="423">
        <v>750</v>
      </c>
      <c r="J1269" s="423"/>
      <c r="K1269" s="423"/>
      <c r="L1269" s="423"/>
      <c r="M1269" s="423"/>
      <c r="Q1269" s="423"/>
      <c r="R1269" s="424" t="s">
        <v>6180</v>
      </c>
      <c r="S1269" s="424" t="s">
        <v>2846</v>
      </c>
      <c r="T1269" s="424" t="s">
        <v>3356</v>
      </c>
      <c r="U1269" s="424">
        <v>0</v>
      </c>
      <c r="V1269" s="424" t="s">
        <v>3176</v>
      </c>
      <c r="W1269" s="424" t="s">
        <v>3074</v>
      </c>
      <c r="X1269" s="424" t="s">
        <v>2224</v>
      </c>
      <c r="Y1269" s="424" t="s">
        <v>2279</v>
      </c>
      <c r="Z1269" s="424" t="s">
        <v>2872</v>
      </c>
      <c r="AA1269" s="424" t="s">
        <v>3197</v>
      </c>
      <c r="AB1269" s="424" t="s">
        <v>3386</v>
      </c>
      <c r="AC1269" s="424" t="s">
        <v>1953</v>
      </c>
      <c r="AD1269" s="424" t="s">
        <v>2892</v>
      </c>
      <c r="AE1269" s="424" t="s">
        <v>3387</v>
      </c>
      <c r="AF1269" s="424"/>
      <c r="AG1269" s="424"/>
      <c r="AH1269" s="424"/>
    </row>
    <row r="1270" spans="1:34" x14ac:dyDescent="0.25">
      <c r="A1270" s="423" t="s">
        <v>6178</v>
      </c>
      <c r="B1270" s="423" t="s">
        <v>6181</v>
      </c>
      <c r="C1270" s="423" t="s">
        <v>86</v>
      </c>
      <c r="D1270" s="423" t="s">
        <v>6072</v>
      </c>
      <c r="E1270" s="423" t="s">
        <v>236</v>
      </c>
      <c r="F1270" s="423">
        <v>32</v>
      </c>
      <c r="G1270" s="423">
        <v>50</v>
      </c>
      <c r="H1270" s="423">
        <v>750</v>
      </c>
      <c r="J1270" s="423"/>
      <c r="K1270" s="423"/>
      <c r="L1270" s="423"/>
      <c r="M1270" s="423"/>
      <c r="Q1270" s="423"/>
      <c r="R1270" s="424" t="s">
        <v>6182</v>
      </c>
      <c r="S1270" s="424" t="s">
        <v>2846</v>
      </c>
      <c r="T1270" s="424" t="s">
        <v>3356</v>
      </c>
      <c r="U1270" s="424">
        <v>0</v>
      </c>
      <c r="V1270" s="424" t="s">
        <v>3176</v>
      </c>
      <c r="W1270" s="424" t="s">
        <v>3074</v>
      </c>
      <c r="X1270" s="424" t="s">
        <v>2224</v>
      </c>
      <c r="Y1270" s="424" t="s">
        <v>2279</v>
      </c>
      <c r="Z1270" s="424" t="s">
        <v>2872</v>
      </c>
      <c r="AA1270" s="424" t="s">
        <v>3197</v>
      </c>
      <c r="AB1270" s="424" t="s">
        <v>3408</v>
      </c>
      <c r="AC1270" s="424" t="s">
        <v>1953</v>
      </c>
      <c r="AD1270" s="424" t="s">
        <v>2892</v>
      </c>
      <c r="AE1270" s="424" t="s">
        <v>3348</v>
      </c>
      <c r="AF1270" s="424"/>
      <c r="AG1270" s="424"/>
      <c r="AH1270" s="424"/>
    </row>
    <row r="1271" spans="1:34" x14ac:dyDescent="0.25">
      <c r="A1271" s="423" t="s">
        <v>6178</v>
      </c>
      <c r="B1271" s="423" t="s">
        <v>6183</v>
      </c>
      <c r="C1271" s="423" t="s">
        <v>86</v>
      </c>
      <c r="D1271" s="423" t="s">
        <v>6072</v>
      </c>
      <c r="E1271" s="423" t="s">
        <v>236</v>
      </c>
      <c r="F1271" s="423">
        <v>16</v>
      </c>
      <c r="G1271" s="423">
        <v>48</v>
      </c>
      <c r="H1271" s="423">
        <v>1200</v>
      </c>
      <c r="J1271" s="423"/>
      <c r="K1271" s="423"/>
      <c r="L1271" s="423"/>
      <c r="M1271" s="423"/>
      <c r="Q1271" s="423"/>
      <c r="R1271" s="424" t="s">
        <v>6183</v>
      </c>
      <c r="S1271" s="424" t="s">
        <v>2846</v>
      </c>
      <c r="T1271" s="424" t="s">
        <v>3416</v>
      </c>
      <c r="U1271" s="424">
        <v>0</v>
      </c>
      <c r="V1271" s="424" t="s">
        <v>3269</v>
      </c>
      <c r="W1271" s="424" t="s">
        <v>3074</v>
      </c>
      <c r="X1271" s="424" t="s">
        <v>2224</v>
      </c>
      <c r="Y1271" s="424" t="s">
        <v>2279</v>
      </c>
      <c r="Z1271" s="424" t="s">
        <v>3260</v>
      </c>
      <c r="AA1271" s="424" t="s">
        <v>3197</v>
      </c>
      <c r="AB1271" s="424" t="s">
        <v>3679</v>
      </c>
      <c r="AC1271" s="424" t="s">
        <v>1953</v>
      </c>
      <c r="AD1271" s="424" t="s">
        <v>2851</v>
      </c>
      <c r="AE1271" s="424" t="s">
        <v>3279</v>
      </c>
      <c r="AF1271" s="424"/>
      <c r="AG1271" s="424"/>
      <c r="AH1271" s="424"/>
    </row>
    <row r="1272" spans="1:34" x14ac:dyDescent="0.25">
      <c r="A1272" s="423" t="s">
        <v>6178</v>
      </c>
      <c r="B1272" s="423" t="s">
        <v>6184</v>
      </c>
      <c r="C1272" s="423" t="s">
        <v>86</v>
      </c>
      <c r="D1272" s="423" t="s">
        <v>6072</v>
      </c>
      <c r="E1272" s="423" t="s">
        <v>236</v>
      </c>
      <c r="F1272" s="423">
        <v>16</v>
      </c>
      <c r="G1272" s="423">
        <v>48</v>
      </c>
      <c r="H1272" s="423">
        <v>1200</v>
      </c>
      <c r="J1272" s="423"/>
      <c r="K1272" s="423"/>
      <c r="L1272" s="423"/>
      <c r="M1272" s="423"/>
      <c r="Q1272" s="423"/>
      <c r="R1272" s="424" t="s">
        <v>6184</v>
      </c>
      <c r="S1272" s="424" t="s">
        <v>2846</v>
      </c>
      <c r="T1272" s="424" t="s">
        <v>3416</v>
      </c>
      <c r="U1272" s="424">
        <v>0</v>
      </c>
      <c r="V1272" s="424" t="s">
        <v>3269</v>
      </c>
      <c r="W1272" s="424" t="s">
        <v>3074</v>
      </c>
      <c r="X1272" s="424" t="s">
        <v>2224</v>
      </c>
      <c r="Y1272" s="424" t="s">
        <v>2279</v>
      </c>
      <c r="Z1272" s="424" t="s">
        <v>3260</v>
      </c>
      <c r="AA1272" s="424" t="s">
        <v>3274</v>
      </c>
      <c r="AB1272" s="424" t="s">
        <v>3337</v>
      </c>
      <c r="AC1272" s="424" t="s">
        <v>1953</v>
      </c>
      <c r="AD1272" s="424" t="s">
        <v>2851</v>
      </c>
      <c r="AE1272" s="424" t="s">
        <v>3199</v>
      </c>
      <c r="AF1272" s="424"/>
      <c r="AG1272" s="424"/>
      <c r="AH1272" s="424"/>
    </row>
    <row r="1273" spans="1:34" x14ac:dyDescent="0.25">
      <c r="A1273" s="423" t="s">
        <v>6178</v>
      </c>
      <c r="B1273" s="423" t="s">
        <v>6185</v>
      </c>
      <c r="C1273" s="423" t="s">
        <v>86</v>
      </c>
      <c r="D1273" s="423" t="s">
        <v>6072</v>
      </c>
      <c r="E1273" s="423" t="s">
        <v>236</v>
      </c>
      <c r="F1273" s="423">
        <v>16</v>
      </c>
      <c r="G1273" s="423">
        <v>48</v>
      </c>
      <c r="H1273" s="423">
        <v>1200</v>
      </c>
      <c r="J1273" s="423"/>
      <c r="K1273" s="423"/>
      <c r="L1273" s="423"/>
      <c r="M1273" s="423"/>
      <c r="Q1273" s="423"/>
      <c r="R1273" s="424" t="s">
        <v>6185</v>
      </c>
      <c r="S1273" s="424" t="s">
        <v>2846</v>
      </c>
      <c r="T1273" s="424" t="s">
        <v>3416</v>
      </c>
      <c r="U1273" s="424">
        <v>0</v>
      </c>
      <c r="V1273" s="424" t="s">
        <v>3269</v>
      </c>
      <c r="W1273" s="424" t="s">
        <v>3074</v>
      </c>
      <c r="X1273" s="424" t="s">
        <v>2224</v>
      </c>
      <c r="Y1273" s="424" t="s">
        <v>2279</v>
      </c>
      <c r="Z1273" s="424" t="s">
        <v>3260</v>
      </c>
      <c r="AA1273" s="424" t="s">
        <v>3197</v>
      </c>
      <c r="AB1273" s="424" t="s">
        <v>3335</v>
      </c>
      <c r="AC1273" s="424" t="s">
        <v>1953</v>
      </c>
      <c r="AD1273" s="424" t="s">
        <v>2851</v>
      </c>
      <c r="AE1273" s="424" t="s">
        <v>3279</v>
      </c>
      <c r="AF1273" s="424"/>
      <c r="AG1273" s="424"/>
      <c r="AH1273" s="424"/>
    </row>
    <row r="1274" spans="1:34" x14ac:dyDescent="0.25">
      <c r="A1274" s="423" t="s">
        <v>6178</v>
      </c>
      <c r="B1274" s="423" t="s">
        <v>6186</v>
      </c>
      <c r="C1274" s="423" t="s">
        <v>86</v>
      </c>
      <c r="D1274" s="423" t="s">
        <v>6072</v>
      </c>
      <c r="E1274" s="423" t="s">
        <v>236</v>
      </c>
      <c r="F1274" s="423">
        <v>16</v>
      </c>
      <c r="G1274" s="423">
        <v>64</v>
      </c>
      <c r="H1274" s="423">
        <v>1200</v>
      </c>
      <c r="J1274" s="423"/>
      <c r="K1274" s="423"/>
      <c r="L1274" s="423"/>
      <c r="M1274" s="423"/>
      <c r="Q1274" s="423"/>
      <c r="R1274" s="424" t="s">
        <v>6186</v>
      </c>
      <c r="S1274" s="424" t="s">
        <v>2846</v>
      </c>
      <c r="T1274" s="424" t="s">
        <v>3416</v>
      </c>
      <c r="U1274" s="424">
        <v>0</v>
      </c>
      <c r="V1274" s="424" t="s">
        <v>3269</v>
      </c>
      <c r="W1274" s="424" t="s">
        <v>3074</v>
      </c>
      <c r="X1274" s="424" t="s">
        <v>2224</v>
      </c>
      <c r="Y1274" s="424" t="s">
        <v>2279</v>
      </c>
      <c r="Z1274" s="424" t="s">
        <v>3260</v>
      </c>
      <c r="AA1274" s="424" t="s">
        <v>3274</v>
      </c>
      <c r="AB1274" s="424" t="s">
        <v>6187</v>
      </c>
      <c r="AC1274" s="424" t="s">
        <v>1953</v>
      </c>
      <c r="AD1274" s="424" t="s">
        <v>2851</v>
      </c>
      <c r="AE1274" s="424" t="s">
        <v>3199</v>
      </c>
      <c r="AF1274" s="424"/>
      <c r="AG1274" s="424"/>
      <c r="AH1274" s="424"/>
    </row>
    <row r="1275" spans="1:34" x14ac:dyDescent="0.25">
      <c r="A1275" s="423" t="s">
        <v>6178</v>
      </c>
      <c r="B1275" s="423" t="s">
        <v>6188</v>
      </c>
      <c r="C1275" s="423" t="s">
        <v>86</v>
      </c>
      <c r="D1275" s="423" t="s">
        <v>6072</v>
      </c>
      <c r="E1275" s="423" t="s">
        <v>236</v>
      </c>
      <c r="F1275" s="423">
        <v>16</v>
      </c>
      <c r="G1275" s="423">
        <v>64</v>
      </c>
      <c r="H1275" s="423">
        <v>1200</v>
      </c>
      <c r="J1275" s="423"/>
      <c r="K1275" s="423"/>
      <c r="L1275" s="423"/>
      <c r="M1275" s="423"/>
      <c r="Q1275" s="423"/>
      <c r="R1275" s="424" t="s">
        <v>6188</v>
      </c>
      <c r="S1275" s="424" t="s">
        <v>2846</v>
      </c>
      <c r="T1275" s="424" t="s">
        <v>3416</v>
      </c>
      <c r="U1275" s="424">
        <v>0</v>
      </c>
      <c r="V1275" s="424" t="s">
        <v>3269</v>
      </c>
      <c r="W1275" s="424" t="s">
        <v>3074</v>
      </c>
      <c r="X1275" s="424" t="s">
        <v>2224</v>
      </c>
      <c r="Y1275" s="424" t="s">
        <v>2279</v>
      </c>
      <c r="Z1275" s="424" t="s">
        <v>3260</v>
      </c>
      <c r="AA1275" s="424" t="s">
        <v>3271</v>
      </c>
      <c r="AB1275" s="424" t="s">
        <v>6189</v>
      </c>
      <c r="AC1275" s="424" t="s">
        <v>1953</v>
      </c>
      <c r="AD1275" s="424" t="s">
        <v>2851</v>
      </c>
      <c r="AE1275" s="424" t="s">
        <v>3206</v>
      </c>
      <c r="AF1275" s="424"/>
      <c r="AG1275" s="424"/>
      <c r="AH1275" s="424"/>
    </row>
    <row r="1276" spans="1:34" x14ac:dyDescent="0.25">
      <c r="A1276" s="423" t="s">
        <v>6178</v>
      </c>
      <c r="B1276" s="423" t="s">
        <v>6190</v>
      </c>
      <c r="C1276" s="423" t="s">
        <v>86</v>
      </c>
      <c r="D1276" s="423" t="s">
        <v>6072</v>
      </c>
      <c r="E1276" s="423" t="s">
        <v>236</v>
      </c>
      <c r="F1276" s="423">
        <v>16</v>
      </c>
      <c r="G1276" s="423">
        <v>64</v>
      </c>
      <c r="H1276" s="423">
        <v>1200</v>
      </c>
      <c r="J1276" s="423"/>
      <c r="K1276" s="423"/>
      <c r="L1276" s="423"/>
      <c r="M1276" s="423"/>
      <c r="Q1276" s="423"/>
      <c r="R1276" s="424" t="s">
        <v>6190</v>
      </c>
      <c r="S1276" s="424" t="s">
        <v>2846</v>
      </c>
      <c r="T1276" s="424" t="s">
        <v>3416</v>
      </c>
      <c r="U1276" s="424">
        <v>0</v>
      </c>
      <c r="V1276" s="424" t="s">
        <v>3269</v>
      </c>
      <c r="W1276" s="424" t="s">
        <v>3074</v>
      </c>
      <c r="X1276" s="424" t="s">
        <v>2224</v>
      </c>
      <c r="Y1276" s="424" t="s">
        <v>2279</v>
      </c>
      <c r="Z1276" s="424" t="s">
        <v>3260</v>
      </c>
      <c r="AA1276" s="424" t="s">
        <v>3197</v>
      </c>
      <c r="AB1276" s="424" t="s">
        <v>3484</v>
      </c>
      <c r="AC1276" s="424" t="s">
        <v>1953</v>
      </c>
      <c r="AD1276" s="424" t="s">
        <v>2851</v>
      </c>
      <c r="AE1276" s="424" t="s">
        <v>3279</v>
      </c>
      <c r="AF1276" s="424"/>
      <c r="AG1276" s="424"/>
      <c r="AH1276" s="424"/>
    </row>
    <row r="1277" spans="1:34" x14ac:dyDescent="0.25">
      <c r="A1277" s="423" t="s">
        <v>6178</v>
      </c>
      <c r="B1277" s="423" t="s">
        <v>6191</v>
      </c>
      <c r="C1277" s="423" t="s">
        <v>86</v>
      </c>
      <c r="D1277" s="423" t="s">
        <v>6072</v>
      </c>
      <c r="E1277" s="423" t="s">
        <v>236</v>
      </c>
      <c r="F1277" s="423">
        <v>16</v>
      </c>
      <c r="G1277" s="423">
        <v>48</v>
      </c>
      <c r="H1277" s="423">
        <v>1200</v>
      </c>
      <c r="J1277" s="423"/>
      <c r="K1277" s="423"/>
      <c r="L1277" s="423"/>
      <c r="M1277" s="423"/>
      <c r="Q1277" s="423"/>
      <c r="R1277" s="424" t="s">
        <v>6191</v>
      </c>
      <c r="S1277" s="424" t="s">
        <v>2846</v>
      </c>
      <c r="T1277" s="424" t="s">
        <v>3416</v>
      </c>
      <c r="U1277" s="424">
        <v>0</v>
      </c>
      <c r="V1277" s="424" t="s">
        <v>3269</v>
      </c>
      <c r="W1277" s="424" t="s">
        <v>3074</v>
      </c>
      <c r="X1277" s="424" t="s">
        <v>2224</v>
      </c>
      <c r="Y1277" s="424" t="s">
        <v>2279</v>
      </c>
      <c r="Z1277" s="424" t="s">
        <v>3260</v>
      </c>
      <c r="AA1277" s="424" t="s">
        <v>3274</v>
      </c>
      <c r="AB1277" s="424" t="s">
        <v>3275</v>
      </c>
      <c r="AC1277" s="424" t="s">
        <v>1953</v>
      </c>
      <c r="AD1277" s="424" t="s">
        <v>2851</v>
      </c>
      <c r="AE1277" s="424" t="s">
        <v>3276</v>
      </c>
      <c r="AF1277" s="424"/>
      <c r="AG1277" s="424"/>
      <c r="AH1277" s="424"/>
    </row>
    <row r="1278" spans="1:34" x14ac:dyDescent="0.25">
      <c r="A1278" s="423" t="s">
        <v>6178</v>
      </c>
      <c r="B1278" s="423" t="s">
        <v>6192</v>
      </c>
      <c r="C1278" s="423" t="s">
        <v>86</v>
      </c>
      <c r="D1278" s="423" t="s">
        <v>6072</v>
      </c>
      <c r="E1278" s="423" t="s">
        <v>236</v>
      </c>
      <c r="F1278" s="423">
        <v>16</v>
      </c>
      <c r="G1278" s="423">
        <v>48</v>
      </c>
      <c r="H1278" s="423">
        <v>1200</v>
      </c>
      <c r="J1278" s="423"/>
      <c r="K1278" s="423"/>
      <c r="L1278" s="423"/>
      <c r="M1278" s="423"/>
      <c r="Q1278" s="423"/>
      <c r="R1278" s="424" t="s">
        <v>6192</v>
      </c>
      <c r="S1278" s="424" t="s">
        <v>2846</v>
      </c>
      <c r="T1278" s="424" t="s">
        <v>3416</v>
      </c>
      <c r="U1278" s="424">
        <v>0</v>
      </c>
      <c r="V1278" s="424" t="s">
        <v>3269</v>
      </c>
      <c r="W1278" s="424" t="s">
        <v>3074</v>
      </c>
      <c r="X1278" s="424" t="s">
        <v>2224</v>
      </c>
      <c r="Y1278" s="424" t="s">
        <v>2279</v>
      </c>
      <c r="Z1278" s="424" t="s">
        <v>3260</v>
      </c>
      <c r="AA1278" s="424" t="s">
        <v>3274</v>
      </c>
      <c r="AB1278" s="424" t="s">
        <v>3573</v>
      </c>
      <c r="AC1278" s="424" t="s">
        <v>1953</v>
      </c>
      <c r="AD1278" s="424" t="s">
        <v>2851</v>
      </c>
      <c r="AE1278" s="424" t="s">
        <v>3276</v>
      </c>
      <c r="AF1278" s="424"/>
      <c r="AG1278" s="424"/>
      <c r="AH1278" s="424"/>
    </row>
    <row r="1279" spans="1:34" x14ac:dyDescent="0.25">
      <c r="A1279" s="423" t="s">
        <v>6178</v>
      </c>
      <c r="B1279" s="423" t="s">
        <v>6193</v>
      </c>
      <c r="C1279" s="423" t="s">
        <v>86</v>
      </c>
      <c r="D1279" s="423" t="s">
        <v>6072</v>
      </c>
      <c r="E1279" s="423" t="s">
        <v>236</v>
      </c>
      <c r="F1279" s="423">
        <v>16</v>
      </c>
      <c r="G1279" s="423">
        <v>48</v>
      </c>
      <c r="H1279" s="423">
        <v>1200</v>
      </c>
      <c r="J1279" s="423"/>
      <c r="K1279" s="423"/>
      <c r="L1279" s="423"/>
      <c r="M1279" s="423"/>
      <c r="Q1279" s="423"/>
      <c r="R1279" s="424" t="s">
        <v>6193</v>
      </c>
      <c r="S1279" s="424" t="s">
        <v>2846</v>
      </c>
      <c r="T1279" s="424" t="s">
        <v>3416</v>
      </c>
      <c r="U1279" s="424">
        <v>0</v>
      </c>
      <c r="V1279" s="424" t="s">
        <v>3269</v>
      </c>
      <c r="W1279" s="424" t="s">
        <v>3074</v>
      </c>
      <c r="X1279" s="424" t="s">
        <v>2224</v>
      </c>
      <c r="Y1279" s="424" t="s">
        <v>2279</v>
      </c>
      <c r="Z1279" s="424" t="s">
        <v>3270</v>
      </c>
      <c r="AA1279" s="424" t="s">
        <v>3271</v>
      </c>
      <c r="AB1279" s="424" t="s">
        <v>3272</v>
      </c>
      <c r="AC1279" s="424" t="s">
        <v>1953</v>
      </c>
      <c r="AD1279" s="424" t="s">
        <v>2851</v>
      </c>
      <c r="AE1279" s="424" t="s">
        <v>3206</v>
      </c>
      <c r="AF1279" s="424"/>
      <c r="AG1279" s="424"/>
      <c r="AH1279" s="424"/>
    </row>
    <row r="1280" spans="1:34" x14ac:dyDescent="0.25">
      <c r="A1280" s="423" t="s">
        <v>6178</v>
      </c>
      <c r="B1280" s="423" t="s">
        <v>6194</v>
      </c>
      <c r="C1280" s="423" t="s">
        <v>86</v>
      </c>
      <c r="D1280" s="423" t="s">
        <v>6072</v>
      </c>
      <c r="E1280" s="423" t="s">
        <v>236</v>
      </c>
      <c r="F1280" s="423">
        <v>16</v>
      </c>
      <c r="G1280" s="423">
        <v>48</v>
      </c>
      <c r="H1280" s="423">
        <v>1200</v>
      </c>
      <c r="J1280" s="423"/>
      <c r="K1280" s="423"/>
      <c r="L1280" s="423"/>
      <c r="M1280" s="423"/>
      <c r="Q1280" s="423"/>
      <c r="R1280" s="424" t="s">
        <v>6194</v>
      </c>
      <c r="S1280" s="424" t="s">
        <v>2846</v>
      </c>
      <c r="T1280" s="424" t="s">
        <v>3416</v>
      </c>
      <c r="U1280" s="424">
        <v>0</v>
      </c>
      <c r="V1280" s="424" t="s">
        <v>3269</v>
      </c>
      <c r="W1280" s="424" t="s">
        <v>3074</v>
      </c>
      <c r="X1280" s="424" t="s">
        <v>2224</v>
      </c>
      <c r="Y1280" s="424" t="s">
        <v>2279</v>
      </c>
      <c r="Z1280" s="424" t="s">
        <v>3260</v>
      </c>
      <c r="AA1280" s="424" t="s">
        <v>3197</v>
      </c>
      <c r="AB1280" s="424" t="s">
        <v>3278</v>
      </c>
      <c r="AC1280" s="424" t="s">
        <v>1953</v>
      </c>
      <c r="AD1280" s="424" t="s">
        <v>2851</v>
      </c>
      <c r="AE1280" s="424" t="s">
        <v>3279</v>
      </c>
      <c r="AF1280" s="424"/>
      <c r="AG1280" s="424"/>
      <c r="AH1280" s="424"/>
    </row>
    <row r="1281" spans="1:34" x14ac:dyDescent="0.25">
      <c r="A1281" s="423" t="s">
        <v>6178</v>
      </c>
      <c r="B1281" s="423" t="s">
        <v>6195</v>
      </c>
      <c r="C1281" s="423" t="s">
        <v>86</v>
      </c>
      <c r="D1281" s="423" t="s">
        <v>6072</v>
      </c>
      <c r="E1281" s="423" t="s">
        <v>236</v>
      </c>
      <c r="F1281" s="423">
        <v>16</v>
      </c>
      <c r="G1281" s="423">
        <v>48</v>
      </c>
      <c r="H1281" s="423">
        <v>1200</v>
      </c>
      <c r="J1281" s="423"/>
      <c r="K1281" s="423"/>
      <c r="L1281" s="423"/>
      <c r="M1281" s="423"/>
      <c r="Q1281" s="423"/>
      <c r="R1281" s="424" t="s">
        <v>6195</v>
      </c>
      <c r="S1281" s="424" t="s">
        <v>2846</v>
      </c>
      <c r="T1281" s="424" t="s">
        <v>3416</v>
      </c>
      <c r="U1281" s="424">
        <v>0</v>
      </c>
      <c r="V1281" s="424" t="s">
        <v>3269</v>
      </c>
      <c r="W1281" s="424" t="s">
        <v>3074</v>
      </c>
      <c r="X1281" s="424" t="s">
        <v>2224</v>
      </c>
      <c r="Y1281" s="424" t="s">
        <v>2279</v>
      </c>
      <c r="Z1281" s="424" t="s">
        <v>3260</v>
      </c>
      <c r="AA1281" s="424" t="s">
        <v>3197</v>
      </c>
      <c r="AB1281" s="424" t="s">
        <v>3335</v>
      </c>
      <c r="AC1281" s="424" t="s">
        <v>1953</v>
      </c>
      <c r="AD1281" s="424" t="s">
        <v>2851</v>
      </c>
      <c r="AE1281" s="424" t="s">
        <v>3279</v>
      </c>
      <c r="AF1281" s="424"/>
      <c r="AG1281" s="424"/>
      <c r="AH1281" s="424"/>
    </row>
    <row r="1282" spans="1:34" x14ac:dyDescent="0.25">
      <c r="A1282" s="423" t="s">
        <v>6178</v>
      </c>
      <c r="B1282" s="423" t="s">
        <v>6196</v>
      </c>
      <c r="C1282" s="423" t="s">
        <v>86</v>
      </c>
      <c r="D1282" s="423" t="s">
        <v>6072</v>
      </c>
      <c r="E1282" s="423" t="s">
        <v>236</v>
      </c>
      <c r="F1282" s="423">
        <v>16</v>
      </c>
      <c r="G1282" s="423">
        <v>48</v>
      </c>
      <c r="H1282" s="423">
        <v>1200</v>
      </c>
      <c r="J1282" s="423"/>
      <c r="K1282" s="423"/>
      <c r="L1282" s="423"/>
      <c r="M1282" s="423"/>
      <c r="Q1282" s="423"/>
      <c r="R1282" s="424" t="s">
        <v>6196</v>
      </c>
      <c r="S1282" s="424" t="s">
        <v>2846</v>
      </c>
      <c r="T1282" s="424" t="s">
        <v>3416</v>
      </c>
      <c r="U1282" s="424">
        <v>0</v>
      </c>
      <c r="V1282" s="424" t="s">
        <v>3269</v>
      </c>
      <c r="W1282" s="424" t="s">
        <v>3074</v>
      </c>
      <c r="X1282" s="424" t="s">
        <v>2224</v>
      </c>
      <c r="Y1282" s="424" t="s">
        <v>2279</v>
      </c>
      <c r="Z1282" s="424" t="s">
        <v>3260</v>
      </c>
      <c r="AA1282" s="424" t="s">
        <v>3274</v>
      </c>
      <c r="AB1282" s="424" t="s">
        <v>3960</v>
      </c>
      <c r="AC1282" s="424" t="s">
        <v>1953</v>
      </c>
      <c r="AD1282" s="424" t="s">
        <v>2851</v>
      </c>
      <c r="AE1282" s="424" t="s">
        <v>3557</v>
      </c>
      <c r="AF1282" s="424"/>
      <c r="AG1282" s="424"/>
      <c r="AH1282" s="424"/>
    </row>
    <row r="1283" spans="1:34" x14ac:dyDescent="0.25">
      <c r="A1283" s="423" t="s">
        <v>6178</v>
      </c>
      <c r="B1283" s="423" t="s">
        <v>6197</v>
      </c>
      <c r="C1283" s="423" t="s">
        <v>86</v>
      </c>
      <c r="D1283" s="423" t="s">
        <v>6072</v>
      </c>
      <c r="E1283" s="423" t="s">
        <v>236</v>
      </c>
      <c r="F1283" s="423">
        <v>16</v>
      </c>
      <c r="G1283" s="423">
        <v>48</v>
      </c>
      <c r="H1283" s="423">
        <v>1200</v>
      </c>
      <c r="J1283" s="423"/>
      <c r="K1283" s="423"/>
      <c r="L1283" s="423"/>
      <c r="M1283" s="423"/>
      <c r="Q1283" s="423"/>
      <c r="R1283" s="424" t="s">
        <v>6197</v>
      </c>
      <c r="S1283" s="424" t="s">
        <v>2846</v>
      </c>
      <c r="T1283" s="424" t="s">
        <v>3416</v>
      </c>
      <c r="U1283" s="424">
        <v>0</v>
      </c>
      <c r="V1283" s="424" t="s">
        <v>3269</v>
      </c>
      <c r="W1283" s="424" t="s">
        <v>3074</v>
      </c>
      <c r="X1283" s="424" t="s">
        <v>2224</v>
      </c>
      <c r="Y1283" s="424" t="s">
        <v>2279</v>
      </c>
      <c r="Z1283" s="424" t="s">
        <v>3260</v>
      </c>
      <c r="AA1283" s="424" t="s">
        <v>3274</v>
      </c>
      <c r="AB1283" s="424" t="s">
        <v>6198</v>
      </c>
      <c r="AC1283" s="424" t="s">
        <v>1953</v>
      </c>
      <c r="AD1283" s="424" t="s">
        <v>2851</v>
      </c>
      <c r="AE1283" s="424" t="s">
        <v>3557</v>
      </c>
      <c r="AF1283" s="424"/>
      <c r="AG1283" s="424"/>
      <c r="AH1283" s="424"/>
    </row>
    <row r="1284" spans="1:34" x14ac:dyDescent="0.25">
      <c r="A1284" s="423" t="s">
        <v>6178</v>
      </c>
      <c r="B1284" s="423" t="s">
        <v>6199</v>
      </c>
      <c r="C1284" s="423" t="s">
        <v>86</v>
      </c>
      <c r="D1284" s="423" t="s">
        <v>6072</v>
      </c>
      <c r="E1284" s="423" t="s">
        <v>236</v>
      </c>
      <c r="F1284" s="423">
        <v>30</v>
      </c>
      <c r="G1284" s="423">
        <v>48</v>
      </c>
      <c r="H1284" s="423">
        <v>1200</v>
      </c>
      <c r="J1284" s="423"/>
      <c r="K1284" s="423"/>
      <c r="L1284" s="423"/>
      <c r="M1284" s="423"/>
      <c r="Q1284" s="423"/>
      <c r="R1284" s="424" t="s">
        <v>6199</v>
      </c>
      <c r="S1284" s="424" t="s">
        <v>2846</v>
      </c>
      <c r="T1284" s="424" t="s">
        <v>3416</v>
      </c>
      <c r="U1284" s="424">
        <v>0</v>
      </c>
      <c r="V1284" s="424" t="s">
        <v>3269</v>
      </c>
      <c r="W1284" s="424" t="s">
        <v>3074</v>
      </c>
      <c r="X1284" s="424" t="s">
        <v>2224</v>
      </c>
      <c r="Y1284" s="424" t="s">
        <v>2279</v>
      </c>
      <c r="Z1284" s="424" t="s">
        <v>3260</v>
      </c>
      <c r="AA1284" s="424" t="s">
        <v>3197</v>
      </c>
      <c r="AB1284" s="424" t="s">
        <v>4975</v>
      </c>
      <c r="AC1284" s="424" t="s">
        <v>1953</v>
      </c>
      <c r="AD1284" s="424" t="s">
        <v>2851</v>
      </c>
      <c r="AE1284" s="424" t="s">
        <v>3279</v>
      </c>
      <c r="AF1284" s="424"/>
      <c r="AG1284" s="424"/>
      <c r="AH1284" s="424"/>
    </row>
    <row r="1285" spans="1:34" x14ac:dyDescent="0.25">
      <c r="A1285" s="423" t="s">
        <v>6178</v>
      </c>
      <c r="B1285" s="423" t="s">
        <v>6200</v>
      </c>
      <c r="C1285" s="423" t="s">
        <v>86</v>
      </c>
      <c r="D1285" s="423" t="s">
        <v>6072</v>
      </c>
      <c r="E1285" s="423" t="s">
        <v>236</v>
      </c>
      <c r="F1285" s="423">
        <v>30</v>
      </c>
      <c r="G1285" s="423">
        <v>48</v>
      </c>
      <c r="H1285" s="423">
        <v>1200</v>
      </c>
      <c r="J1285" s="423"/>
      <c r="K1285" s="423"/>
      <c r="L1285" s="423"/>
      <c r="M1285" s="423"/>
      <c r="Q1285" s="423"/>
      <c r="R1285" s="424" t="s">
        <v>6200</v>
      </c>
      <c r="S1285" s="424" t="s">
        <v>2846</v>
      </c>
      <c r="T1285" s="424" t="s">
        <v>3416</v>
      </c>
      <c r="U1285" s="424">
        <v>0</v>
      </c>
      <c r="V1285" s="424" t="s">
        <v>3269</v>
      </c>
      <c r="W1285" s="424" t="s">
        <v>3074</v>
      </c>
      <c r="X1285" s="424" t="s">
        <v>2224</v>
      </c>
      <c r="Y1285" s="424" t="s">
        <v>2279</v>
      </c>
      <c r="Z1285" s="424" t="s">
        <v>2826</v>
      </c>
      <c r="AA1285" s="424" t="s">
        <v>2827</v>
      </c>
      <c r="AB1285" s="424" t="s">
        <v>6201</v>
      </c>
      <c r="AC1285" s="424" t="s">
        <v>1953</v>
      </c>
      <c r="AD1285" s="424" t="s">
        <v>2851</v>
      </c>
      <c r="AE1285" s="424" t="s">
        <v>3279</v>
      </c>
      <c r="AF1285" s="424"/>
      <c r="AG1285" s="424"/>
      <c r="AH1285" s="424"/>
    </row>
    <row r="1286" spans="1:34" x14ac:dyDescent="0.25">
      <c r="A1286" s="423" t="s">
        <v>6178</v>
      </c>
      <c r="B1286" s="423" t="s">
        <v>6202</v>
      </c>
      <c r="C1286" s="423" t="s">
        <v>86</v>
      </c>
      <c r="D1286" s="423" t="s">
        <v>6072</v>
      </c>
      <c r="E1286" s="423" t="s">
        <v>236</v>
      </c>
      <c r="F1286" s="423">
        <v>30</v>
      </c>
      <c r="G1286" s="423">
        <v>48</v>
      </c>
      <c r="H1286" s="423">
        <v>1200</v>
      </c>
      <c r="J1286" s="423"/>
      <c r="K1286" s="423"/>
      <c r="L1286" s="423"/>
      <c r="M1286" s="423"/>
      <c r="Q1286" s="423"/>
      <c r="R1286" s="424" t="s">
        <v>6202</v>
      </c>
      <c r="S1286" s="424" t="s">
        <v>2846</v>
      </c>
      <c r="T1286" s="424" t="s">
        <v>3416</v>
      </c>
      <c r="U1286" s="424">
        <v>0</v>
      </c>
      <c r="V1286" s="424" t="s">
        <v>3269</v>
      </c>
      <c r="W1286" s="424" t="s">
        <v>3074</v>
      </c>
      <c r="X1286" s="424" t="s">
        <v>2224</v>
      </c>
      <c r="Y1286" s="424" t="s">
        <v>2279</v>
      </c>
      <c r="Z1286" s="424" t="s">
        <v>2826</v>
      </c>
      <c r="AA1286" s="424" t="s">
        <v>2827</v>
      </c>
      <c r="AB1286" s="424" t="s">
        <v>6201</v>
      </c>
      <c r="AC1286" s="424" t="s">
        <v>1953</v>
      </c>
      <c r="AD1286" s="424" t="s">
        <v>2851</v>
      </c>
      <c r="AE1286" s="424" t="s">
        <v>3279</v>
      </c>
      <c r="AF1286" s="424"/>
      <c r="AG1286" s="424"/>
      <c r="AH1286" s="424"/>
    </row>
    <row r="1287" spans="1:34" x14ac:dyDescent="0.25">
      <c r="A1287" s="423" t="s">
        <v>6178</v>
      </c>
      <c r="B1287" s="423" t="s">
        <v>6203</v>
      </c>
      <c r="C1287" s="423" t="s">
        <v>86</v>
      </c>
      <c r="D1287" s="423" t="s">
        <v>6072</v>
      </c>
      <c r="E1287" s="423" t="s">
        <v>236</v>
      </c>
      <c r="F1287" s="423">
        <v>16</v>
      </c>
      <c r="G1287" s="423">
        <v>64</v>
      </c>
      <c r="H1287" s="423">
        <v>1200</v>
      </c>
      <c r="J1287" s="423"/>
      <c r="K1287" s="423"/>
      <c r="L1287" s="423"/>
      <c r="M1287" s="423"/>
      <c r="Q1287" s="423"/>
      <c r="R1287" s="424" t="s">
        <v>6203</v>
      </c>
      <c r="S1287" s="424" t="s">
        <v>2846</v>
      </c>
      <c r="T1287" s="424" t="s">
        <v>3416</v>
      </c>
      <c r="U1287" s="424">
        <v>0</v>
      </c>
      <c r="V1287" s="424" t="s">
        <v>3899</v>
      </c>
      <c r="W1287" s="424" t="s">
        <v>3074</v>
      </c>
      <c r="X1287" s="424">
        <v>0</v>
      </c>
      <c r="Y1287" s="424" t="s">
        <v>2279</v>
      </c>
      <c r="Z1287" s="424" t="s">
        <v>3260</v>
      </c>
      <c r="AA1287" s="424" t="s">
        <v>3197</v>
      </c>
      <c r="AB1287" s="424" t="s">
        <v>6204</v>
      </c>
      <c r="AC1287" s="424" t="s">
        <v>1953</v>
      </c>
      <c r="AD1287" s="424" t="s">
        <v>2851</v>
      </c>
      <c r="AE1287" s="424" t="s">
        <v>3279</v>
      </c>
      <c r="AF1287" s="424"/>
      <c r="AG1287" s="424"/>
      <c r="AH1287" s="424"/>
    </row>
    <row r="1288" spans="1:34" x14ac:dyDescent="0.25">
      <c r="A1288" s="423" t="s">
        <v>6178</v>
      </c>
      <c r="B1288" s="423" t="s">
        <v>6205</v>
      </c>
      <c r="C1288" s="423" t="s">
        <v>86</v>
      </c>
      <c r="D1288" s="423" t="s">
        <v>6072</v>
      </c>
      <c r="E1288" s="423" t="s">
        <v>236</v>
      </c>
      <c r="F1288" s="423">
        <v>16</v>
      </c>
      <c r="G1288" s="423">
        <v>64</v>
      </c>
      <c r="H1288" s="423">
        <v>1200</v>
      </c>
      <c r="J1288" s="423"/>
      <c r="K1288" s="423"/>
      <c r="L1288" s="423"/>
      <c r="M1288" s="423"/>
      <c r="Q1288" s="423"/>
      <c r="R1288" s="424" t="s">
        <v>6205</v>
      </c>
      <c r="S1288" s="424" t="s">
        <v>2846</v>
      </c>
      <c r="T1288" s="424" t="s">
        <v>3416</v>
      </c>
      <c r="U1288" s="424">
        <v>0</v>
      </c>
      <c r="V1288" s="424" t="s">
        <v>3899</v>
      </c>
      <c r="W1288" s="424" t="s">
        <v>3074</v>
      </c>
      <c r="X1288" s="424">
        <v>0</v>
      </c>
      <c r="Y1288" s="424" t="s">
        <v>2279</v>
      </c>
      <c r="Z1288" s="424" t="s">
        <v>3260</v>
      </c>
      <c r="AA1288" s="424" t="s">
        <v>3197</v>
      </c>
      <c r="AB1288" s="424" t="s">
        <v>3484</v>
      </c>
      <c r="AC1288" s="424" t="s">
        <v>1953</v>
      </c>
      <c r="AD1288" s="424" t="s">
        <v>2851</v>
      </c>
      <c r="AE1288" s="424" t="s">
        <v>3279</v>
      </c>
      <c r="AF1288" s="424"/>
      <c r="AG1288" s="424"/>
      <c r="AH1288" s="424"/>
    </row>
    <row r="1289" spans="1:34" x14ac:dyDescent="0.25">
      <c r="A1289" s="423" t="s">
        <v>6178</v>
      </c>
      <c r="B1289" s="423" t="s">
        <v>6206</v>
      </c>
      <c r="C1289" s="423" t="s">
        <v>86</v>
      </c>
      <c r="D1289" s="423" t="s">
        <v>6072</v>
      </c>
      <c r="E1289" s="423" t="s">
        <v>236</v>
      </c>
      <c r="F1289" s="423">
        <v>16</v>
      </c>
      <c r="G1289" s="423">
        <v>64</v>
      </c>
      <c r="H1289" s="423">
        <v>1200</v>
      </c>
      <c r="J1289" s="423"/>
      <c r="K1289" s="423"/>
      <c r="L1289" s="423"/>
      <c r="M1289" s="423"/>
      <c r="Q1289" s="423"/>
      <c r="R1289" s="424" t="s">
        <v>6206</v>
      </c>
      <c r="S1289" s="424" t="s">
        <v>2846</v>
      </c>
      <c r="T1289" s="424" t="s">
        <v>3416</v>
      </c>
      <c r="U1289" s="424">
        <v>0</v>
      </c>
      <c r="V1289" s="424" t="s">
        <v>3269</v>
      </c>
      <c r="W1289" s="424" t="s">
        <v>3074</v>
      </c>
      <c r="X1289" s="424">
        <v>0</v>
      </c>
      <c r="Y1289" s="424" t="s">
        <v>2279</v>
      </c>
      <c r="Z1289" s="424" t="s">
        <v>2848</v>
      </c>
      <c r="AA1289" s="424" t="s">
        <v>2849</v>
      </c>
      <c r="AB1289" s="424" t="s">
        <v>6207</v>
      </c>
      <c r="AC1289" s="424" t="s">
        <v>1953</v>
      </c>
      <c r="AD1289" s="424" t="s">
        <v>2851</v>
      </c>
      <c r="AE1289" s="424" t="s">
        <v>2861</v>
      </c>
      <c r="AF1289" s="424"/>
      <c r="AG1289" s="424"/>
      <c r="AH1289" s="424"/>
    </row>
    <row r="1290" spans="1:34" x14ac:dyDescent="0.25">
      <c r="A1290" s="423" t="s">
        <v>1637</v>
      </c>
      <c r="B1290" s="423" t="s">
        <v>6208</v>
      </c>
      <c r="C1290" s="423" t="s">
        <v>379</v>
      </c>
      <c r="D1290" s="423" t="s">
        <v>1637</v>
      </c>
      <c r="E1290" s="423" t="s">
        <v>236</v>
      </c>
      <c r="F1290" s="423">
        <v>16</v>
      </c>
      <c r="G1290" s="423">
        <v>32</v>
      </c>
      <c r="H1290" s="423">
        <v>320</v>
      </c>
      <c r="J1290" s="423"/>
      <c r="K1290" s="423"/>
      <c r="L1290" s="423"/>
      <c r="M1290" s="423"/>
      <c r="Q1290" s="423"/>
      <c r="R1290" s="424" t="s">
        <v>6209</v>
      </c>
      <c r="S1290" s="424" t="s">
        <v>2846</v>
      </c>
      <c r="T1290" s="424" t="s">
        <v>6210</v>
      </c>
      <c r="U1290" s="424">
        <v>0</v>
      </c>
      <c r="V1290" s="424" t="s">
        <v>3269</v>
      </c>
      <c r="W1290" s="424" t="s">
        <v>3176</v>
      </c>
      <c r="X1290" s="424" t="s">
        <v>2224</v>
      </c>
      <c r="Y1290" s="424" t="s">
        <v>2279</v>
      </c>
      <c r="Z1290" s="424" t="s">
        <v>3260</v>
      </c>
      <c r="AA1290" s="424" t="s">
        <v>3197</v>
      </c>
      <c r="AB1290" s="424" t="s">
        <v>6211</v>
      </c>
      <c r="AC1290" s="424" t="s">
        <v>1953</v>
      </c>
      <c r="AD1290" s="424" t="s">
        <v>2851</v>
      </c>
      <c r="AE1290" s="424" t="s">
        <v>3853</v>
      </c>
      <c r="AF1290" s="424"/>
      <c r="AG1290" s="424"/>
      <c r="AH1290" s="424"/>
    </row>
    <row r="1291" spans="1:34" x14ac:dyDescent="0.25">
      <c r="A1291" s="423" t="s">
        <v>1637</v>
      </c>
      <c r="B1291" s="423" t="s">
        <v>6212</v>
      </c>
      <c r="C1291" s="423" t="s">
        <v>379</v>
      </c>
      <c r="D1291" s="423" t="s">
        <v>1637</v>
      </c>
      <c r="E1291" s="423" t="s">
        <v>236</v>
      </c>
      <c r="F1291" s="423">
        <v>16</v>
      </c>
      <c r="G1291" s="423">
        <v>32</v>
      </c>
      <c r="H1291" s="423">
        <v>320</v>
      </c>
      <c r="J1291" s="423"/>
      <c r="K1291" s="423"/>
      <c r="L1291" s="423"/>
      <c r="M1291" s="423"/>
      <c r="Q1291" s="423"/>
      <c r="R1291" s="424" t="s">
        <v>6212</v>
      </c>
      <c r="S1291" s="424" t="s">
        <v>2846</v>
      </c>
      <c r="T1291" s="424" t="s">
        <v>5019</v>
      </c>
      <c r="U1291" s="424">
        <v>0</v>
      </c>
      <c r="V1291" s="424" t="s">
        <v>3269</v>
      </c>
      <c r="W1291" s="424" t="s">
        <v>2871</v>
      </c>
      <c r="X1291" s="424" t="s">
        <v>2224</v>
      </c>
      <c r="Y1291" s="424" t="s">
        <v>2279</v>
      </c>
      <c r="Z1291" s="424" t="s">
        <v>2848</v>
      </c>
      <c r="AA1291" s="424" t="s">
        <v>2849</v>
      </c>
      <c r="AB1291" s="424" t="s">
        <v>6213</v>
      </c>
      <c r="AC1291" s="424" t="s">
        <v>1953</v>
      </c>
      <c r="AD1291" s="424" t="s">
        <v>2851</v>
      </c>
      <c r="AE1291" s="424" t="s">
        <v>3545</v>
      </c>
      <c r="AF1291" s="424"/>
      <c r="AG1291" s="424"/>
      <c r="AH1291" s="424"/>
    </row>
    <row r="1292" spans="1:34" x14ac:dyDescent="0.25">
      <c r="A1292" s="423" t="s">
        <v>1637</v>
      </c>
      <c r="B1292" s="423" t="s">
        <v>6214</v>
      </c>
      <c r="C1292" s="423" t="s">
        <v>379</v>
      </c>
      <c r="D1292" s="423" t="s">
        <v>1637</v>
      </c>
      <c r="E1292" s="423" t="s">
        <v>236</v>
      </c>
      <c r="F1292" s="423">
        <v>16</v>
      </c>
      <c r="G1292" s="423">
        <v>32</v>
      </c>
      <c r="H1292" s="423">
        <v>320</v>
      </c>
      <c r="J1292" s="423"/>
      <c r="K1292" s="423"/>
      <c r="L1292" s="423"/>
      <c r="M1292" s="423"/>
      <c r="Q1292" s="423"/>
      <c r="R1292" s="424" t="s">
        <v>6215</v>
      </c>
      <c r="S1292" s="424" t="s">
        <v>2846</v>
      </c>
      <c r="T1292" s="424" t="s">
        <v>6210</v>
      </c>
      <c r="U1292" s="424">
        <v>0</v>
      </c>
      <c r="V1292" s="424" t="s">
        <v>3269</v>
      </c>
      <c r="W1292" s="424" t="s">
        <v>3074</v>
      </c>
      <c r="X1292" s="424" t="s">
        <v>2224</v>
      </c>
      <c r="Y1292" s="424" t="s">
        <v>2279</v>
      </c>
      <c r="Z1292" s="424" t="s">
        <v>3260</v>
      </c>
      <c r="AA1292" s="424" t="s">
        <v>3197</v>
      </c>
      <c r="AB1292" s="424" t="s">
        <v>3564</v>
      </c>
      <c r="AC1292" s="424" t="s">
        <v>1953</v>
      </c>
      <c r="AD1292" s="424" t="s">
        <v>2851</v>
      </c>
      <c r="AE1292" s="424" t="s">
        <v>3550</v>
      </c>
      <c r="AF1292" s="424"/>
      <c r="AG1292" s="424"/>
      <c r="AH1292" s="424"/>
    </row>
    <row r="1293" spans="1:34" x14ac:dyDescent="0.25">
      <c r="A1293" s="423" t="s">
        <v>1637</v>
      </c>
      <c r="B1293" s="423" t="s">
        <v>6216</v>
      </c>
      <c r="C1293" s="423" t="s">
        <v>379</v>
      </c>
      <c r="D1293" s="423" t="s">
        <v>1637</v>
      </c>
      <c r="E1293" s="423" t="s">
        <v>236</v>
      </c>
      <c r="F1293" s="423">
        <v>16</v>
      </c>
      <c r="G1293" s="423">
        <v>48</v>
      </c>
      <c r="H1293" s="423">
        <v>480</v>
      </c>
      <c r="J1293" s="423"/>
      <c r="K1293" s="423"/>
      <c r="L1293" s="423"/>
      <c r="M1293" s="423"/>
      <c r="Q1293" s="423"/>
      <c r="R1293" s="424" t="s">
        <v>6216</v>
      </c>
      <c r="S1293" s="424" t="s">
        <v>2846</v>
      </c>
      <c r="T1293" s="424" t="s">
        <v>3291</v>
      </c>
      <c r="U1293" s="424">
        <v>0</v>
      </c>
      <c r="V1293" s="424" t="s">
        <v>3269</v>
      </c>
      <c r="W1293" s="424" t="s">
        <v>3176</v>
      </c>
      <c r="X1293" s="424" t="s">
        <v>2224</v>
      </c>
      <c r="Y1293" s="424" t="s">
        <v>2279</v>
      </c>
      <c r="Z1293" s="424" t="s">
        <v>3260</v>
      </c>
      <c r="AA1293" s="424" t="s">
        <v>3197</v>
      </c>
      <c r="AB1293" s="424" t="s">
        <v>5514</v>
      </c>
      <c r="AC1293" s="424" t="s">
        <v>1953</v>
      </c>
      <c r="AD1293" s="424" t="s">
        <v>2851</v>
      </c>
      <c r="AE1293" s="424" t="s">
        <v>3550</v>
      </c>
      <c r="AF1293" s="424"/>
      <c r="AG1293" s="424"/>
      <c r="AH1293" s="424"/>
    </row>
    <row r="1294" spans="1:34" x14ac:dyDescent="0.25">
      <c r="A1294" s="423" t="s">
        <v>1637</v>
      </c>
      <c r="B1294" s="423" t="s">
        <v>6217</v>
      </c>
      <c r="C1294" s="423" t="s">
        <v>379</v>
      </c>
      <c r="D1294" s="423" t="s">
        <v>1637</v>
      </c>
      <c r="E1294" s="423" t="s">
        <v>236</v>
      </c>
      <c r="F1294" s="423">
        <v>16</v>
      </c>
      <c r="G1294" s="423">
        <v>48</v>
      </c>
      <c r="H1294" s="423">
        <v>480</v>
      </c>
      <c r="J1294" s="423"/>
      <c r="K1294" s="423"/>
      <c r="L1294" s="423"/>
      <c r="M1294" s="423"/>
      <c r="Q1294" s="423"/>
      <c r="R1294" s="424" t="s">
        <v>6217</v>
      </c>
      <c r="S1294" s="424" t="s">
        <v>2846</v>
      </c>
      <c r="T1294" s="424" t="s">
        <v>3291</v>
      </c>
      <c r="U1294" s="424">
        <v>0</v>
      </c>
      <c r="V1294" s="424" t="s">
        <v>3269</v>
      </c>
      <c r="W1294" s="424" t="s">
        <v>3176</v>
      </c>
      <c r="X1294" s="424" t="s">
        <v>2224</v>
      </c>
      <c r="Y1294" s="424" t="s">
        <v>2279</v>
      </c>
      <c r="Z1294" s="424" t="s">
        <v>3260</v>
      </c>
      <c r="AA1294" s="424" t="s">
        <v>3197</v>
      </c>
      <c r="AB1294" s="424" t="s">
        <v>3320</v>
      </c>
      <c r="AC1294" s="424" t="s">
        <v>1953</v>
      </c>
      <c r="AD1294" s="424" t="s">
        <v>2851</v>
      </c>
      <c r="AE1294" s="424" t="s">
        <v>3293</v>
      </c>
      <c r="AF1294" s="424"/>
      <c r="AG1294" s="424"/>
      <c r="AH1294" s="424"/>
    </row>
    <row r="1295" spans="1:34" x14ac:dyDescent="0.25">
      <c r="A1295" s="423" t="s">
        <v>1637</v>
      </c>
      <c r="B1295" s="423" t="s">
        <v>6218</v>
      </c>
      <c r="C1295" s="423" t="s">
        <v>379</v>
      </c>
      <c r="D1295" s="423" t="s">
        <v>1637</v>
      </c>
      <c r="E1295" s="423" t="s">
        <v>236</v>
      </c>
      <c r="F1295" s="423">
        <v>16</v>
      </c>
      <c r="G1295" s="423">
        <v>48</v>
      </c>
      <c r="H1295" s="423">
        <v>480</v>
      </c>
      <c r="J1295" s="423"/>
      <c r="K1295" s="423"/>
      <c r="L1295" s="423"/>
      <c r="M1295" s="423"/>
      <c r="Q1295" s="423"/>
      <c r="R1295" s="424" t="s">
        <v>6218</v>
      </c>
      <c r="S1295" s="424" t="s">
        <v>2846</v>
      </c>
      <c r="T1295" s="424" t="s">
        <v>3291</v>
      </c>
      <c r="U1295" s="424">
        <v>0</v>
      </c>
      <c r="V1295" s="424" t="s">
        <v>3269</v>
      </c>
      <c r="W1295" s="424" t="s">
        <v>3176</v>
      </c>
      <c r="X1295" s="424" t="s">
        <v>2224</v>
      </c>
      <c r="Y1295" s="424" t="s">
        <v>2279</v>
      </c>
      <c r="Z1295" s="424" t="s">
        <v>3260</v>
      </c>
      <c r="AA1295" s="424" t="s">
        <v>3197</v>
      </c>
      <c r="AB1295" s="424" t="s">
        <v>3836</v>
      </c>
      <c r="AC1295" s="424" t="s">
        <v>1953</v>
      </c>
      <c r="AD1295" s="424" t="s">
        <v>2851</v>
      </c>
      <c r="AE1295" s="424" t="s">
        <v>3293</v>
      </c>
      <c r="AF1295" s="424"/>
      <c r="AG1295" s="424"/>
      <c r="AH1295" s="424"/>
    </row>
    <row r="1296" spans="1:34" x14ac:dyDescent="0.25">
      <c r="A1296" s="423" t="s">
        <v>1637</v>
      </c>
      <c r="B1296" s="423" t="s">
        <v>6219</v>
      </c>
      <c r="C1296" s="423" t="s">
        <v>379</v>
      </c>
      <c r="D1296" s="423" t="s">
        <v>1637</v>
      </c>
      <c r="E1296" s="423" t="s">
        <v>236</v>
      </c>
      <c r="F1296" s="423">
        <v>24</v>
      </c>
      <c r="G1296" s="423">
        <v>250</v>
      </c>
      <c r="H1296" s="423">
        <v>600</v>
      </c>
      <c r="J1296" s="423"/>
      <c r="K1296" s="423"/>
      <c r="L1296" s="423"/>
      <c r="M1296" s="423"/>
      <c r="Q1296" s="423"/>
      <c r="R1296" s="424" t="s">
        <v>6219</v>
      </c>
      <c r="S1296" s="424" t="s">
        <v>2820</v>
      </c>
      <c r="T1296" s="424" t="s">
        <v>4180</v>
      </c>
      <c r="U1296" s="424">
        <v>0</v>
      </c>
      <c r="V1296" s="424" t="s">
        <v>2973</v>
      </c>
      <c r="W1296" s="424" t="s">
        <v>2973</v>
      </c>
      <c r="X1296" s="424">
        <v>0</v>
      </c>
      <c r="Y1296" s="424" t="s">
        <v>2279</v>
      </c>
      <c r="Z1296" s="424" t="s">
        <v>2889</v>
      </c>
      <c r="AA1296" s="424" t="s">
        <v>3703</v>
      </c>
      <c r="AB1296" s="424" t="s">
        <v>6220</v>
      </c>
      <c r="AC1296" s="424" t="s">
        <v>1953</v>
      </c>
      <c r="AD1296" s="424" t="s">
        <v>2875</v>
      </c>
      <c r="AE1296" s="424" t="s">
        <v>4182</v>
      </c>
      <c r="AF1296" s="424"/>
      <c r="AG1296" s="424"/>
      <c r="AH1296" s="424"/>
    </row>
    <row r="1297" spans="1:34" x14ac:dyDescent="0.25">
      <c r="A1297" s="423" t="s">
        <v>1637</v>
      </c>
      <c r="B1297" s="423" t="s">
        <v>6221</v>
      </c>
      <c r="C1297" s="423" t="s">
        <v>379</v>
      </c>
      <c r="D1297" s="423" t="s">
        <v>1637</v>
      </c>
      <c r="E1297" s="423" t="s">
        <v>236</v>
      </c>
      <c r="F1297" s="423">
        <v>24</v>
      </c>
      <c r="G1297" s="423">
        <v>250</v>
      </c>
      <c r="H1297" s="423">
        <v>600</v>
      </c>
      <c r="J1297" s="423"/>
      <c r="K1297" s="423"/>
      <c r="L1297" s="423"/>
      <c r="M1297" s="423"/>
      <c r="Q1297" s="423"/>
      <c r="R1297" s="424" t="s">
        <v>6221</v>
      </c>
      <c r="S1297" s="424" t="s">
        <v>2820</v>
      </c>
      <c r="T1297" s="424" t="s">
        <v>4180</v>
      </c>
      <c r="U1297" s="424">
        <v>0</v>
      </c>
      <c r="V1297" s="424" t="s">
        <v>2973</v>
      </c>
      <c r="W1297" s="424" t="s">
        <v>2973</v>
      </c>
      <c r="X1297" s="424">
        <v>0</v>
      </c>
      <c r="Y1297" s="424" t="s">
        <v>2279</v>
      </c>
      <c r="Z1297" s="424" t="s">
        <v>2889</v>
      </c>
      <c r="AA1297" s="424" t="s">
        <v>3703</v>
      </c>
      <c r="AB1297" s="424" t="s">
        <v>6222</v>
      </c>
      <c r="AC1297" s="424" t="s">
        <v>1953</v>
      </c>
      <c r="AD1297" s="424" t="s">
        <v>2875</v>
      </c>
      <c r="AE1297" s="424" t="s">
        <v>6223</v>
      </c>
      <c r="AF1297" s="424"/>
      <c r="AG1297" s="424"/>
      <c r="AH1297" s="424"/>
    </row>
    <row r="1298" spans="1:34" x14ac:dyDescent="0.25">
      <c r="A1298" s="423" t="s">
        <v>6224</v>
      </c>
      <c r="B1298" s="423" t="s">
        <v>6225</v>
      </c>
      <c r="C1298" s="423" t="s">
        <v>84</v>
      </c>
      <c r="D1298" s="423" t="s">
        <v>6226</v>
      </c>
      <c r="E1298" s="423" t="s">
        <v>236</v>
      </c>
      <c r="F1298" s="423">
        <v>48</v>
      </c>
      <c r="G1298" s="423">
        <v>226</v>
      </c>
      <c r="H1298" s="423">
        <v>2500</v>
      </c>
      <c r="J1298" s="423"/>
      <c r="K1298" s="423"/>
      <c r="L1298" s="423"/>
      <c r="M1298" s="423"/>
      <c r="Q1298" s="423"/>
      <c r="R1298" s="424" t="s">
        <v>6227</v>
      </c>
      <c r="S1298" s="424" t="s">
        <v>2820</v>
      </c>
      <c r="T1298" s="424" t="s">
        <v>6228</v>
      </c>
      <c r="U1298" s="424">
        <v>0</v>
      </c>
      <c r="V1298" s="424" t="s">
        <v>2823</v>
      </c>
      <c r="W1298" s="424" t="s">
        <v>2824</v>
      </c>
      <c r="X1298" s="424" t="s">
        <v>2224</v>
      </c>
      <c r="Y1298" s="424" t="s">
        <v>2279</v>
      </c>
      <c r="Z1298" s="424" t="s">
        <v>2826</v>
      </c>
      <c r="AA1298" s="424" t="s">
        <v>6229</v>
      </c>
      <c r="AB1298" s="424" t="s">
        <v>6230</v>
      </c>
      <c r="AC1298" s="424" t="s">
        <v>1953</v>
      </c>
      <c r="AD1298" s="424" t="s">
        <v>2851</v>
      </c>
      <c r="AE1298" s="424" t="s">
        <v>6231</v>
      </c>
      <c r="AF1298" s="424"/>
      <c r="AG1298" s="424"/>
      <c r="AH1298" s="424"/>
    </row>
    <row r="1299" spans="1:34" x14ac:dyDescent="0.25">
      <c r="A1299" s="423" t="s">
        <v>6224</v>
      </c>
      <c r="B1299" s="423" t="s">
        <v>6232</v>
      </c>
      <c r="C1299" s="423" t="s">
        <v>84</v>
      </c>
      <c r="D1299" s="423" t="s">
        <v>6226</v>
      </c>
      <c r="E1299" s="423" t="s">
        <v>236</v>
      </c>
      <c r="F1299" s="423">
        <v>48</v>
      </c>
      <c r="G1299" s="423">
        <v>226</v>
      </c>
      <c r="H1299" s="423">
        <v>2500</v>
      </c>
      <c r="J1299" s="423"/>
      <c r="K1299" s="423"/>
      <c r="L1299" s="423"/>
      <c r="M1299" s="423"/>
      <c r="Q1299" s="423"/>
      <c r="R1299" s="424" t="s">
        <v>6233</v>
      </c>
      <c r="S1299" s="424" t="s">
        <v>2820</v>
      </c>
      <c r="T1299" s="424" t="s">
        <v>6228</v>
      </c>
      <c r="U1299" s="424">
        <v>0</v>
      </c>
      <c r="V1299" s="424" t="s">
        <v>2823</v>
      </c>
      <c r="W1299" s="424" t="s">
        <v>2824</v>
      </c>
      <c r="X1299" s="424" t="s">
        <v>2224</v>
      </c>
      <c r="Y1299" s="424" t="s">
        <v>2279</v>
      </c>
      <c r="Z1299" s="424" t="s">
        <v>2826</v>
      </c>
      <c r="AA1299" s="424" t="s">
        <v>6229</v>
      </c>
      <c r="AB1299" s="424" t="s">
        <v>6234</v>
      </c>
      <c r="AC1299" s="424" t="s">
        <v>1953</v>
      </c>
      <c r="AD1299" s="424" t="s">
        <v>2851</v>
      </c>
      <c r="AE1299" s="424" t="s">
        <v>6231</v>
      </c>
      <c r="AF1299" s="424"/>
      <c r="AG1299" s="424"/>
      <c r="AH1299" s="424"/>
    </row>
    <row r="1300" spans="1:34" x14ac:dyDescent="0.25">
      <c r="A1300" s="423" t="s">
        <v>6224</v>
      </c>
      <c r="B1300" s="423" t="s">
        <v>6235</v>
      </c>
      <c r="C1300" s="423" t="s">
        <v>84</v>
      </c>
      <c r="D1300" s="423" t="s">
        <v>6226</v>
      </c>
      <c r="E1300" s="423" t="s">
        <v>236</v>
      </c>
      <c r="F1300" s="423">
        <v>48</v>
      </c>
      <c r="G1300" s="423">
        <v>226</v>
      </c>
      <c r="H1300" s="423">
        <v>2500</v>
      </c>
      <c r="J1300" s="423"/>
      <c r="K1300" s="423"/>
      <c r="L1300" s="423"/>
      <c r="M1300" s="423"/>
      <c r="Q1300" s="423"/>
      <c r="R1300" s="424" t="s">
        <v>6236</v>
      </c>
      <c r="S1300" s="424" t="s">
        <v>2820</v>
      </c>
      <c r="T1300" s="424" t="s">
        <v>6228</v>
      </c>
      <c r="U1300" s="424">
        <v>0</v>
      </c>
      <c r="V1300" s="424" t="s">
        <v>2823</v>
      </c>
      <c r="W1300" s="424" t="s">
        <v>2824</v>
      </c>
      <c r="X1300" s="424" t="s">
        <v>2224</v>
      </c>
      <c r="Y1300" s="424" t="s">
        <v>2279</v>
      </c>
      <c r="Z1300" s="424" t="s">
        <v>2826</v>
      </c>
      <c r="AA1300" s="424" t="s">
        <v>6229</v>
      </c>
      <c r="AB1300" s="424" t="s">
        <v>6237</v>
      </c>
      <c r="AC1300" s="424" t="s">
        <v>1953</v>
      </c>
      <c r="AD1300" s="424" t="s">
        <v>2851</v>
      </c>
      <c r="AE1300" s="424" t="s">
        <v>6238</v>
      </c>
      <c r="AF1300" s="424"/>
      <c r="AG1300" s="424"/>
      <c r="AH1300" s="424"/>
    </row>
    <row r="1301" spans="1:34" x14ac:dyDescent="0.25">
      <c r="A1301" s="423" t="s">
        <v>6224</v>
      </c>
      <c r="B1301" s="423" t="s">
        <v>6239</v>
      </c>
      <c r="C1301" s="423" t="s">
        <v>84</v>
      </c>
      <c r="D1301" s="423" t="s">
        <v>6226</v>
      </c>
      <c r="E1301" s="423" t="s">
        <v>236</v>
      </c>
      <c r="F1301" s="423">
        <v>48</v>
      </c>
      <c r="G1301" s="423">
        <v>226</v>
      </c>
      <c r="H1301" s="423">
        <v>2500</v>
      </c>
      <c r="J1301" s="423"/>
      <c r="K1301" s="423"/>
      <c r="L1301" s="423"/>
      <c r="M1301" s="423"/>
      <c r="Q1301" s="423"/>
      <c r="R1301" s="424" t="s">
        <v>6240</v>
      </c>
      <c r="S1301" s="424" t="s">
        <v>2820</v>
      </c>
      <c r="T1301" s="424" t="s">
        <v>6228</v>
      </c>
      <c r="U1301" s="424">
        <v>0</v>
      </c>
      <c r="V1301" s="424" t="s">
        <v>2823</v>
      </c>
      <c r="W1301" s="424" t="s">
        <v>2824</v>
      </c>
      <c r="X1301" s="424" t="s">
        <v>2224</v>
      </c>
      <c r="Y1301" s="424" t="s">
        <v>2279</v>
      </c>
      <c r="Z1301" s="424" t="s">
        <v>2826</v>
      </c>
      <c r="AA1301" s="424" t="s">
        <v>6229</v>
      </c>
      <c r="AB1301" s="424" t="s">
        <v>6241</v>
      </c>
      <c r="AC1301" s="424" t="s">
        <v>1953</v>
      </c>
      <c r="AD1301" s="424" t="s">
        <v>2851</v>
      </c>
      <c r="AE1301" s="424" t="s">
        <v>6238</v>
      </c>
      <c r="AF1301" s="424"/>
      <c r="AG1301" s="424"/>
      <c r="AH1301" s="424"/>
    </row>
    <row r="1302" spans="1:34" x14ac:dyDescent="0.25">
      <c r="A1302" s="423" t="s">
        <v>6224</v>
      </c>
      <c r="B1302" s="423" t="s">
        <v>6242</v>
      </c>
      <c r="C1302" s="423" t="s">
        <v>84</v>
      </c>
      <c r="D1302" s="423" t="s">
        <v>6226</v>
      </c>
      <c r="E1302" s="423" t="s">
        <v>236</v>
      </c>
      <c r="F1302" s="423">
        <v>48</v>
      </c>
      <c r="G1302" s="423">
        <v>226</v>
      </c>
      <c r="H1302" s="423">
        <v>2500</v>
      </c>
      <c r="J1302" s="423"/>
      <c r="K1302" s="423"/>
      <c r="L1302" s="423"/>
      <c r="M1302" s="423"/>
      <c r="Q1302" s="423"/>
      <c r="R1302" s="424" t="s">
        <v>6243</v>
      </c>
      <c r="S1302" s="424" t="s">
        <v>2820</v>
      </c>
      <c r="T1302" s="424" t="s">
        <v>6228</v>
      </c>
      <c r="U1302" s="424">
        <v>0</v>
      </c>
      <c r="V1302" s="424" t="s">
        <v>2823</v>
      </c>
      <c r="W1302" s="424" t="s">
        <v>2824</v>
      </c>
      <c r="X1302" s="424" t="s">
        <v>2224</v>
      </c>
      <c r="Y1302" s="424" t="s">
        <v>2279</v>
      </c>
      <c r="Z1302" s="424" t="s">
        <v>2826</v>
      </c>
      <c r="AA1302" s="424" t="s">
        <v>6229</v>
      </c>
      <c r="AB1302" s="424" t="s">
        <v>6244</v>
      </c>
      <c r="AC1302" s="424" t="s">
        <v>1953</v>
      </c>
      <c r="AD1302" s="424" t="s">
        <v>2851</v>
      </c>
      <c r="AE1302" s="424" t="s">
        <v>6238</v>
      </c>
      <c r="AF1302" s="424"/>
      <c r="AG1302" s="424"/>
      <c r="AH1302" s="424"/>
    </row>
    <row r="1303" spans="1:34" x14ac:dyDescent="0.25">
      <c r="A1303" s="423" t="s">
        <v>6224</v>
      </c>
      <c r="B1303" s="423" t="s">
        <v>6245</v>
      </c>
      <c r="C1303" s="423" t="s">
        <v>84</v>
      </c>
      <c r="D1303" s="423" t="s">
        <v>6226</v>
      </c>
      <c r="E1303" s="423" t="s">
        <v>236</v>
      </c>
      <c r="F1303" s="423">
        <v>48</v>
      </c>
      <c r="G1303" s="423">
        <v>226</v>
      </c>
      <c r="H1303" s="423">
        <v>2500</v>
      </c>
      <c r="J1303" s="423"/>
      <c r="K1303" s="423"/>
      <c r="L1303" s="423"/>
      <c r="M1303" s="423"/>
      <c r="Q1303" s="423"/>
      <c r="R1303" s="424" t="s">
        <v>6246</v>
      </c>
      <c r="S1303" s="424" t="s">
        <v>2820</v>
      </c>
      <c r="T1303" s="424" t="s">
        <v>6228</v>
      </c>
      <c r="U1303" s="424">
        <v>0</v>
      </c>
      <c r="V1303" s="424" t="s">
        <v>2823</v>
      </c>
      <c r="W1303" s="424" t="s">
        <v>2824</v>
      </c>
      <c r="X1303" s="424" t="s">
        <v>2224</v>
      </c>
      <c r="Y1303" s="424" t="s">
        <v>2279</v>
      </c>
      <c r="Z1303" s="424" t="s">
        <v>2826</v>
      </c>
      <c r="AA1303" s="424" t="s">
        <v>6229</v>
      </c>
      <c r="AB1303" s="424" t="s">
        <v>6247</v>
      </c>
      <c r="AC1303" s="424" t="s">
        <v>1953</v>
      </c>
      <c r="AD1303" s="424" t="s">
        <v>2851</v>
      </c>
      <c r="AE1303" s="424" t="s">
        <v>6238</v>
      </c>
      <c r="AF1303" s="424"/>
      <c r="AG1303" s="424"/>
      <c r="AH1303" s="424"/>
    </row>
    <row r="1304" spans="1:34" x14ac:dyDescent="0.25">
      <c r="A1304" s="423" t="s">
        <v>6224</v>
      </c>
      <c r="B1304" s="423" t="s">
        <v>6248</v>
      </c>
      <c r="C1304" s="423" t="s">
        <v>84</v>
      </c>
      <c r="D1304" s="423" t="s">
        <v>6226</v>
      </c>
      <c r="E1304" s="423" t="s">
        <v>236</v>
      </c>
      <c r="F1304" s="423">
        <v>48</v>
      </c>
      <c r="G1304" s="423">
        <v>226</v>
      </c>
      <c r="H1304" s="423">
        <v>2500</v>
      </c>
      <c r="J1304" s="423"/>
      <c r="K1304" s="423"/>
      <c r="L1304" s="423"/>
      <c r="M1304" s="423"/>
      <c r="Q1304" s="423"/>
      <c r="R1304" s="424" t="s">
        <v>6249</v>
      </c>
      <c r="S1304" s="424" t="s">
        <v>2820</v>
      </c>
      <c r="T1304" s="424" t="s">
        <v>6228</v>
      </c>
      <c r="U1304" s="424">
        <v>0</v>
      </c>
      <c r="V1304" s="424" t="s">
        <v>2823</v>
      </c>
      <c r="W1304" s="424" t="s">
        <v>2824</v>
      </c>
      <c r="X1304" s="424" t="s">
        <v>2224</v>
      </c>
      <c r="Y1304" s="424" t="s">
        <v>2279</v>
      </c>
      <c r="Z1304" s="424" t="s">
        <v>2826</v>
      </c>
      <c r="AA1304" s="424" t="s">
        <v>6229</v>
      </c>
      <c r="AB1304" s="424" t="s">
        <v>6250</v>
      </c>
      <c r="AC1304" s="424" t="s">
        <v>1953</v>
      </c>
      <c r="AD1304" s="424" t="s">
        <v>2851</v>
      </c>
      <c r="AE1304" s="424" t="s">
        <v>6238</v>
      </c>
      <c r="AF1304" s="424"/>
      <c r="AG1304" s="424"/>
      <c r="AH1304" s="424"/>
    </row>
    <row r="1305" spans="1:34" x14ac:dyDescent="0.25">
      <c r="A1305" s="423" t="s">
        <v>6224</v>
      </c>
      <c r="B1305" s="423" t="s">
        <v>6251</v>
      </c>
      <c r="C1305" s="423" t="s">
        <v>84</v>
      </c>
      <c r="D1305" s="423" t="s">
        <v>6226</v>
      </c>
      <c r="E1305" s="423" t="s">
        <v>236</v>
      </c>
      <c r="F1305" s="423">
        <v>48</v>
      </c>
      <c r="G1305" s="423">
        <v>226</v>
      </c>
      <c r="H1305" s="423">
        <v>2500</v>
      </c>
      <c r="J1305" s="423"/>
      <c r="K1305" s="423"/>
      <c r="L1305" s="423"/>
      <c r="M1305" s="423"/>
      <c r="Q1305" s="423"/>
      <c r="R1305" s="424" t="s">
        <v>6252</v>
      </c>
      <c r="S1305" s="424" t="s">
        <v>2820</v>
      </c>
      <c r="T1305" s="424" t="s">
        <v>6228</v>
      </c>
      <c r="U1305" s="424">
        <v>0</v>
      </c>
      <c r="V1305" s="424" t="s">
        <v>2823</v>
      </c>
      <c r="W1305" s="424" t="s">
        <v>2824</v>
      </c>
      <c r="X1305" s="424" t="s">
        <v>2224</v>
      </c>
      <c r="Y1305" s="424" t="s">
        <v>2279</v>
      </c>
      <c r="Z1305" s="424" t="s">
        <v>2826</v>
      </c>
      <c r="AA1305" s="424" t="s">
        <v>6229</v>
      </c>
      <c r="AB1305" s="424" t="s">
        <v>6253</v>
      </c>
      <c r="AC1305" s="424" t="s">
        <v>1953</v>
      </c>
      <c r="AD1305" s="424" t="s">
        <v>2851</v>
      </c>
      <c r="AE1305" s="424" t="s">
        <v>6238</v>
      </c>
      <c r="AF1305" s="424"/>
      <c r="AG1305" s="424"/>
      <c r="AH1305" s="424"/>
    </row>
    <row r="1306" spans="1:34" x14ac:dyDescent="0.25">
      <c r="A1306" s="423" t="s">
        <v>6224</v>
      </c>
      <c r="B1306" s="423" t="s">
        <v>6254</v>
      </c>
      <c r="C1306" s="423" t="s">
        <v>84</v>
      </c>
      <c r="D1306" s="423" t="s">
        <v>6226</v>
      </c>
      <c r="E1306" s="423" t="s">
        <v>236</v>
      </c>
      <c r="F1306" s="423">
        <v>48</v>
      </c>
      <c r="G1306" s="423">
        <v>226</v>
      </c>
      <c r="H1306" s="423">
        <v>2500</v>
      </c>
      <c r="J1306" s="423"/>
      <c r="K1306" s="423"/>
      <c r="L1306" s="423"/>
      <c r="M1306" s="423"/>
      <c r="Q1306" s="423"/>
      <c r="R1306" s="424" t="s">
        <v>6255</v>
      </c>
      <c r="S1306" s="424" t="s">
        <v>2820</v>
      </c>
      <c r="T1306" s="424" t="s">
        <v>6228</v>
      </c>
      <c r="U1306" s="424">
        <v>0</v>
      </c>
      <c r="V1306" s="424" t="s">
        <v>2823</v>
      </c>
      <c r="W1306" s="424" t="s">
        <v>2824</v>
      </c>
      <c r="X1306" s="424" t="s">
        <v>2224</v>
      </c>
      <c r="Y1306" s="424" t="s">
        <v>2279</v>
      </c>
      <c r="Z1306" s="424" t="s">
        <v>2826</v>
      </c>
      <c r="AA1306" s="424" t="s">
        <v>6229</v>
      </c>
      <c r="AB1306" s="424" t="s">
        <v>6256</v>
      </c>
      <c r="AC1306" s="424" t="s">
        <v>1953</v>
      </c>
      <c r="AD1306" s="424" t="s">
        <v>2851</v>
      </c>
      <c r="AE1306" s="424" t="s">
        <v>6238</v>
      </c>
      <c r="AF1306" s="424"/>
      <c r="AG1306" s="424"/>
      <c r="AH1306" s="424"/>
    </row>
    <row r="1307" spans="1:34" x14ac:dyDescent="0.25">
      <c r="A1307" s="423" t="s">
        <v>6224</v>
      </c>
      <c r="B1307" s="423" t="s">
        <v>6257</v>
      </c>
      <c r="C1307" s="423" t="s">
        <v>84</v>
      </c>
      <c r="D1307" s="423" t="s">
        <v>6226</v>
      </c>
      <c r="E1307" s="423" t="s">
        <v>236</v>
      </c>
      <c r="F1307" s="423">
        <v>48</v>
      </c>
      <c r="G1307" s="423">
        <v>226</v>
      </c>
      <c r="H1307" s="423">
        <v>2500</v>
      </c>
      <c r="J1307" s="423"/>
      <c r="K1307" s="423"/>
      <c r="L1307" s="423"/>
      <c r="M1307" s="423"/>
      <c r="Q1307" s="423"/>
      <c r="R1307" s="424" t="s">
        <v>6258</v>
      </c>
      <c r="S1307" s="424" t="s">
        <v>2820</v>
      </c>
      <c r="T1307" s="424" t="s">
        <v>6228</v>
      </c>
      <c r="U1307" s="424">
        <v>0</v>
      </c>
      <c r="V1307" s="424" t="s">
        <v>2823</v>
      </c>
      <c r="W1307" s="424" t="s">
        <v>2824</v>
      </c>
      <c r="X1307" s="424" t="s">
        <v>2224</v>
      </c>
      <c r="Y1307" s="424" t="s">
        <v>2279</v>
      </c>
      <c r="Z1307" s="424" t="s">
        <v>2826</v>
      </c>
      <c r="AA1307" s="424" t="s">
        <v>6229</v>
      </c>
      <c r="AB1307" s="424" t="s">
        <v>6259</v>
      </c>
      <c r="AC1307" s="424" t="s">
        <v>1953</v>
      </c>
      <c r="AD1307" s="424" t="s">
        <v>2851</v>
      </c>
      <c r="AE1307" s="424" t="s">
        <v>6238</v>
      </c>
      <c r="AF1307" s="424"/>
      <c r="AG1307" s="424"/>
      <c r="AH1307" s="424"/>
    </row>
    <row r="1308" spans="1:34" x14ac:dyDescent="0.25">
      <c r="A1308" s="423" t="s">
        <v>6224</v>
      </c>
      <c r="B1308" s="423" t="s">
        <v>6260</v>
      </c>
      <c r="C1308" s="423" t="s">
        <v>84</v>
      </c>
      <c r="D1308" s="423" t="s">
        <v>6226</v>
      </c>
      <c r="E1308" s="423" t="s">
        <v>236</v>
      </c>
      <c r="F1308" s="423">
        <v>48</v>
      </c>
      <c r="G1308" s="423">
        <v>226</v>
      </c>
      <c r="H1308" s="423">
        <v>2500</v>
      </c>
      <c r="J1308" s="423"/>
      <c r="K1308" s="423"/>
      <c r="L1308" s="423"/>
      <c r="M1308" s="423"/>
      <c r="Q1308" s="423"/>
      <c r="R1308" s="424" t="s">
        <v>6261</v>
      </c>
      <c r="S1308" s="424" t="s">
        <v>2820</v>
      </c>
      <c r="T1308" s="424" t="s">
        <v>6228</v>
      </c>
      <c r="U1308" s="424">
        <v>0</v>
      </c>
      <c r="V1308" s="424" t="s">
        <v>2823</v>
      </c>
      <c r="W1308" s="424" t="s">
        <v>2824</v>
      </c>
      <c r="X1308" s="424" t="s">
        <v>2224</v>
      </c>
      <c r="Y1308" s="424" t="s">
        <v>2279</v>
      </c>
      <c r="Z1308" s="424" t="s">
        <v>2826</v>
      </c>
      <c r="AA1308" s="424" t="s">
        <v>6229</v>
      </c>
      <c r="AB1308" s="424" t="s">
        <v>6262</v>
      </c>
      <c r="AC1308" s="424" t="s">
        <v>1953</v>
      </c>
      <c r="AD1308" s="424" t="s">
        <v>2851</v>
      </c>
      <c r="AE1308" s="424" t="s">
        <v>6238</v>
      </c>
      <c r="AF1308" s="424"/>
      <c r="AG1308" s="424"/>
      <c r="AH1308" s="424"/>
    </row>
    <row r="1309" spans="1:34" x14ac:dyDescent="0.25">
      <c r="A1309" s="423" t="s">
        <v>6224</v>
      </c>
      <c r="B1309" s="423" t="s">
        <v>6263</v>
      </c>
      <c r="C1309" s="423" t="s">
        <v>84</v>
      </c>
      <c r="D1309" s="423" t="s">
        <v>6226</v>
      </c>
      <c r="E1309" s="423" t="s">
        <v>236</v>
      </c>
      <c r="F1309" s="423">
        <v>48</v>
      </c>
      <c r="G1309" s="423">
        <v>226</v>
      </c>
      <c r="H1309" s="423">
        <v>2500</v>
      </c>
      <c r="J1309" s="423"/>
      <c r="K1309" s="423"/>
      <c r="L1309" s="423"/>
      <c r="M1309" s="423"/>
      <c r="Q1309" s="423"/>
      <c r="R1309" s="424" t="s">
        <v>6264</v>
      </c>
      <c r="S1309" s="424" t="s">
        <v>2820</v>
      </c>
      <c r="T1309" s="424" t="s">
        <v>6228</v>
      </c>
      <c r="U1309" s="424">
        <v>0</v>
      </c>
      <c r="V1309" s="424" t="s">
        <v>2823</v>
      </c>
      <c r="W1309" s="424" t="s">
        <v>2824</v>
      </c>
      <c r="X1309" s="424" t="s">
        <v>2224</v>
      </c>
      <c r="Y1309" s="424" t="s">
        <v>2279</v>
      </c>
      <c r="Z1309" s="424" t="s">
        <v>2826</v>
      </c>
      <c r="AA1309" s="424" t="s">
        <v>6229</v>
      </c>
      <c r="AB1309" s="424" t="s">
        <v>6265</v>
      </c>
      <c r="AC1309" s="424" t="s">
        <v>1953</v>
      </c>
      <c r="AD1309" s="424" t="s">
        <v>2851</v>
      </c>
      <c r="AE1309" s="424" t="s">
        <v>6238</v>
      </c>
      <c r="AF1309" s="424"/>
      <c r="AG1309" s="424"/>
      <c r="AH1309" s="424"/>
    </row>
    <row r="1310" spans="1:34" x14ac:dyDescent="0.25">
      <c r="A1310" s="423" t="s">
        <v>6224</v>
      </c>
      <c r="B1310" s="423" t="s">
        <v>6266</v>
      </c>
      <c r="C1310" s="423" t="s">
        <v>84</v>
      </c>
      <c r="D1310" s="423" t="s">
        <v>6226</v>
      </c>
      <c r="E1310" s="423" t="s">
        <v>236</v>
      </c>
      <c r="F1310" s="423">
        <v>48</v>
      </c>
      <c r="G1310" s="423">
        <v>226</v>
      </c>
      <c r="H1310" s="423">
        <v>2500</v>
      </c>
      <c r="J1310" s="423"/>
      <c r="K1310" s="423"/>
      <c r="L1310" s="423"/>
      <c r="M1310" s="423"/>
      <c r="Q1310" s="423"/>
      <c r="R1310" s="424" t="s">
        <v>6267</v>
      </c>
      <c r="S1310" s="424" t="s">
        <v>2820</v>
      </c>
      <c r="T1310" s="424" t="s">
        <v>6228</v>
      </c>
      <c r="U1310" s="424">
        <v>0</v>
      </c>
      <c r="V1310" s="424" t="s">
        <v>2823</v>
      </c>
      <c r="W1310" s="424" t="s">
        <v>2824</v>
      </c>
      <c r="X1310" s="424" t="s">
        <v>2224</v>
      </c>
      <c r="Y1310" s="424" t="s">
        <v>2279</v>
      </c>
      <c r="Z1310" s="424" t="s">
        <v>2826</v>
      </c>
      <c r="AA1310" s="424" t="s">
        <v>6229</v>
      </c>
      <c r="AB1310" s="424" t="s">
        <v>6268</v>
      </c>
      <c r="AC1310" s="424" t="s">
        <v>1953</v>
      </c>
      <c r="AD1310" s="424" t="s">
        <v>2851</v>
      </c>
      <c r="AE1310" s="424" t="s">
        <v>6238</v>
      </c>
      <c r="AF1310" s="424"/>
      <c r="AG1310" s="424"/>
      <c r="AH1310" s="424"/>
    </row>
    <row r="1311" spans="1:34" x14ac:dyDescent="0.25">
      <c r="A1311" s="423" t="s">
        <v>6224</v>
      </c>
      <c r="B1311" s="423" t="s">
        <v>6269</v>
      </c>
      <c r="C1311" s="423" t="s">
        <v>84</v>
      </c>
      <c r="D1311" s="423" t="s">
        <v>6226</v>
      </c>
      <c r="E1311" s="423" t="s">
        <v>236</v>
      </c>
      <c r="F1311" s="423">
        <v>48</v>
      </c>
      <c r="G1311" s="423">
        <v>226</v>
      </c>
      <c r="H1311" s="423">
        <v>2500</v>
      </c>
      <c r="J1311" s="423"/>
      <c r="K1311" s="423"/>
      <c r="L1311" s="423"/>
      <c r="M1311" s="423"/>
      <c r="Q1311" s="423"/>
      <c r="R1311" s="424" t="s">
        <v>6270</v>
      </c>
      <c r="S1311" s="424" t="s">
        <v>2820</v>
      </c>
      <c r="T1311" s="424" t="s">
        <v>6228</v>
      </c>
      <c r="U1311" s="424">
        <v>0</v>
      </c>
      <c r="V1311" s="424" t="s">
        <v>2823</v>
      </c>
      <c r="W1311" s="424" t="s">
        <v>2824</v>
      </c>
      <c r="X1311" s="424" t="s">
        <v>2224</v>
      </c>
      <c r="Y1311" s="424" t="s">
        <v>2279</v>
      </c>
      <c r="Z1311" s="424" t="s">
        <v>2826</v>
      </c>
      <c r="AA1311" s="424" t="s">
        <v>6229</v>
      </c>
      <c r="AB1311" s="424" t="s">
        <v>6271</v>
      </c>
      <c r="AC1311" s="424" t="s">
        <v>1953</v>
      </c>
      <c r="AD1311" s="424" t="s">
        <v>2851</v>
      </c>
      <c r="AE1311" s="424" t="s">
        <v>6238</v>
      </c>
      <c r="AF1311" s="424"/>
      <c r="AG1311" s="424"/>
      <c r="AH1311" s="424"/>
    </row>
    <row r="1312" spans="1:34" x14ac:dyDescent="0.25">
      <c r="A1312" s="423" t="s">
        <v>6224</v>
      </c>
      <c r="B1312" s="423" t="s">
        <v>6272</v>
      </c>
      <c r="C1312" s="423" t="s">
        <v>84</v>
      </c>
      <c r="D1312" s="423" t="s">
        <v>6226</v>
      </c>
      <c r="E1312" s="423" t="s">
        <v>236</v>
      </c>
      <c r="F1312" s="423">
        <v>48</v>
      </c>
      <c r="G1312" s="423">
        <v>226</v>
      </c>
      <c r="H1312" s="423">
        <v>2500</v>
      </c>
      <c r="J1312" s="423"/>
      <c r="K1312" s="423"/>
      <c r="L1312" s="423"/>
      <c r="M1312" s="423"/>
      <c r="Q1312" s="423"/>
      <c r="R1312" s="424" t="s">
        <v>6273</v>
      </c>
      <c r="S1312" s="424" t="s">
        <v>2820</v>
      </c>
      <c r="T1312" s="424" t="s">
        <v>6228</v>
      </c>
      <c r="U1312" s="424">
        <v>0</v>
      </c>
      <c r="V1312" s="424" t="s">
        <v>2823</v>
      </c>
      <c r="W1312" s="424" t="s">
        <v>2824</v>
      </c>
      <c r="X1312" s="424" t="s">
        <v>2224</v>
      </c>
      <c r="Y1312" s="424" t="s">
        <v>2279</v>
      </c>
      <c r="Z1312" s="424" t="s">
        <v>2826</v>
      </c>
      <c r="AA1312" s="424" t="s">
        <v>6229</v>
      </c>
      <c r="AB1312" s="424" t="s">
        <v>6274</v>
      </c>
      <c r="AC1312" s="424" t="s">
        <v>1953</v>
      </c>
      <c r="AD1312" s="424" t="s">
        <v>2851</v>
      </c>
      <c r="AE1312" s="424" t="s">
        <v>6238</v>
      </c>
      <c r="AF1312" s="424"/>
      <c r="AG1312" s="424"/>
      <c r="AH1312" s="424"/>
    </row>
    <row r="1313" spans="1:34" x14ac:dyDescent="0.25">
      <c r="A1313" s="423" t="s">
        <v>6224</v>
      </c>
      <c r="B1313" s="423" t="s">
        <v>6275</v>
      </c>
      <c r="C1313" s="423" t="s">
        <v>84</v>
      </c>
      <c r="D1313" s="423" t="s">
        <v>6226</v>
      </c>
      <c r="E1313" s="423" t="s">
        <v>236</v>
      </c>
      <c r="F1313" s="423">
        <v>48</v>
      </c>
      <c r="G1313" s="423">
        <v>226</v>
      </c>
      <c r="H1313" s="423">
        <v>2500</v>
      </c>
      <c r="J1313" s="423"/>
      <c r="K1313" s="423"/>
      <c r="L1313" s="423"/>
      <c r="M1313" s="423"/>
      <c r="Q1313" s="423"/>
      <c r="R1313" s="424" t="s">
        <v>6276</v>
      </c>
      <c r="S1313" s="424" t="s">
        <v>2820</v>
      </c>
      <c r="T1313" s="424" t="s">
        <v>6228</v>
      </c>
      <c r="U1313" s="424">
        <v>0</v>
      </c>
      <c r="V1313" s="424" t="s">
        <v>2823</v>
      </c>
      <c r="W1313" s="424" t="s">
        <v>2824</v>
      </c>
      <c r="X1313" s="424" t="s">
        <v>2224</v>
      </c>
      <c r="Y1313" s="424" t="s">
        <v>2279</v>
      </c>
      <c r="Z1313" s="424" t="s">
        <v>2826</v>
      </c>
      <c r="AA1313" s="424" t="s">
        <v>6229</v>
      </c>
      <c r="AB1313" s="424" t="s">
        <v>6277</v>
      </c>
      <c r="AC1313" s="424" t="s">
        <v>1953</v>
      </c>
      <c r="AD1313" s="424" t="s">
        <v>2851</v>
      </c>
      <c r="AE1313" s="424" t="s">
        <v>6238</v>
      </c>
      <c r="AF1313" s="424"/>
      <c r="AG1313" s="424"/>
      <c r="AH1313" s="424"/>
    </row>
    <row r="1314" spans="1:34" x14ac:dyDescent="0.25">
      <c r="A1314" s="423" t="s">
        <v>6224</v>
      </c>
      <c r="B1314" s="423" t="s">
        <v>6278</v>
      </c>
      <c r="C1314" s="423" t="s">
        <v>84</v>
      </c>
      <c r="D1314" s="423" t="s">
        <v>6226</v>
      </c>
      <c r="E1314" s="423" t="s">
        <v>236</v>
      </c>
      <c r="F1314" s="423">
        <v>48</v>
      </c>
      <c r="G1314" s="423">
        <v>226</v>
      </c>
      <c r="H1314" s="423">
        <v>2500</v>
      </c>
      <c r="J1314" s="423"/>
      <c r="K1314" s="423"/>
      <c r="L1314" s="423"/>
      <c r="M1314" s="423"/>
      <c r="Q1314" s="423"/>
      <c r="R1314" s="424" t="s">
        <v>6279</v>
      </c>
      <c r="S1314" s="424" t="s">
        <v>2820</v>
      </c>
      <c r="T1314" s="424" t="s">
        <v>6228</v>
      </c>
      <c r="U1314" s="424">
        <v>0</v>
      </c>
      <c r="V1314" s="424" t="s">
        <v>2823</v>
      </c>
      <c r="W1314" s="424" t="s">
        <v>2824</v>
      </c>
      <c r="X1314" s="424" t="s">
        <v>2224</v>
      </c>
      <c r="Y1314" s="424" t="s">
        <v>2279</v>
      </c>
      <c r="Z1314" s="424" t="s">
        <v>2826</v>
      </c>
      <c r="AA1314" s="424" t="s">
        <v>6229</v>
      </c>
      <c r="AB1314" s="424" t="s">
        <v>6280</v>
      </c>
      <c r="AC1314" s="424" t="s">
        <v>1953</v>
      </c>
      <c r="AD1314" s="424" t="s">
        <v>2851</v>
      </c>
      <c r="AE1314" s="424" t="s">
        <v>6281</v>
      </c>
      <c r="AF1314" s="424"/>
      <c r="AG1314" s="424"/>
      <c r="AH1314" s="424"/>
    </row>
    <row r="1315" spans="1:34" x14ac:dyDescent="0.25">
      <c r="A1315" s="423" t="s">
        <v>6224</v>
      </c>
      <c r="B1315" s="423" t="s">
        <v>6282</v>
      </c>
      <c r="C1315" s="423" t="s">
        <v>84</v>
      </c>
      <c r="D1315" s="423" t="s">
        <v>6226</v>
      </c>
      <c r="E1315" s="423" t="s">
        <v>236</v>
      </c>
      <c r="F1315" s="423">
        <v>48</v>
      </c>
      <c r="G1315" s="423">
        <v>226</v>
      </c>
      <c r="H1315" s="423">
        <v>2500</v>
      </c>
      <c r="J1315" s="423"/>
      <c r="K1315" s="423"/>
      <c r="L1315" s="423"/>
      <c r="M1315" s="423"/>
      <c r="Q1315" s="423"/>
      <c r="R1315" s="424" t="s">
        <v>6283</v>
      </c>
      <c r="S1315" s="424" t="s">
        <v>2820</v>
      </c>
      <c r="T1315" s="424" t="s">
        <v>6228</v>
      </c>
      <c r="U1315" s="424">
        <v>0</v>
      </c>
      <c r="V1315" s="424" t="s">
        <v>2823</v>
      </c>
      <c r="W1315" s="424" t="s">
        <v>2824</v>
      </c>
      <c r="X1315" s="424" t="s">
        <v>2224</v>
      </c>
      <c r="Y1315" s="424" t="s">
        <v>2279</v>
      </c>
      <c r="Z1315" s="424" t="s">
        <v>2826</v>
      </c>
      <c r="AA1315" s="424" t="s">
        <v>6229</v>
      </c>
      <c r="AB1315" s="424" t="s">
        <v>6284</v>
      </c>
      <c r="AC1315" s="424" t="s">
        <v>1953</v>
      </c>
      <c r="AD1315" s="424" t="s">
        <v>2851</v>
      </c>
      <c r="AE1315" s="424" t="s">
        <v>6281</v>
      </c>
      <c r="AF1315" s="424"/>
      <c r="AG1315" s="424"/>
      <c r="AH1315" s="424"/>
    </row>
    <row r="1316" spans="1:34" x14ac:dyDescent="0.25">
      <c r="A1316" s="423" t="s">
        <v>6224</v>
      </c>
      <c r="B1316" s="423" t="s">
        <v>6285</v>
      </c>
      <c r="C1316" s="423" t="s">
        <v>84</v>
      </c>
      <c r="D1316" s="423" t="s">
        <v>6226</v>
      </c>
      <c r="E1316" s="423" t="s">
        <v>236</v>
      </c>
      <c r="F1316" s="423">
        <v>48</v>
      </c>
      <c r="G1316" s="423">
        <v>226</v>
      </c>
      <c r="H1316" s="423">
        <v>2500</v>
      </c>
      <c r="J1316" s="423"/>
      <c r="K1316" s="423"/>
      <c r="L1316" s="423"/>
      <c r="M1316" s="423"/>
      <c r="Q1316" s="423"/>
      <c r="R1316" s="424" t="s">
        <v>6286</v>
      </c>
      <c r="S1316" s="424" t="s">
        <v>2820</v>
      </c>
      <c r="T1316" s="424" t="s">
        <v>6228</v>
      </c>
      <c r="U1316" s="424">
        <v>0</v>
      </c>
      <c r="V1316" s="424" t="s">
        <v>2823</v>
      </c>
      <c r="W1316" s="424" t="s">
        <v>2824</v>
      </c>
      <c r="X1316" s="424" t="s">
        <v>2224</v>
      </c>
      <c r="Y1316" s="424" t="s">
        <v>2279</v>
      </c>
      <c r="Z1316" s="424" t="s">
        <v>2826</v>
      </c>
      <c r="AA1316" s="424" t="s">
        <v>6229</v>
      </c>
      <c r="AB1316" s="424" t="s">
        <v>6287</v>
      </c>
      <c r="AC1316" s="424" t="s">
        <v>1953</v>
      </c>
      <c r="AD1316" s="424" t="s">
        <v>2851</v>
      </c>
      <c r="AE1316" s="424" t="s">
        <v>6281</v>
      </c>
      <c r="AF1316" s="424"/>
      <c r="AG1316" s="424"/>
      <c r="AH1316" s="424"/>
    </row>
    <row r="1317" spans="1:34" x14ac:dyDescent="0.25">
      <c r="A1317" s="423" t="s">
        <v>6224</v>
      </c>
      <c r="B1317" s="423" t="s">
        <v>6288</v>
      </c>
      <c r="C1317" s="423" t="s">
        <v>84</v>
      </c>
      <c r="D1317" s="423" t="s">
        <v>6226</v>
      </c>
      <c r="E1317" s="423" t="s">
        <v>236</v>
      </c>
      <c r="F1317" s="423">
        <v>48</v>
      </c>
      <c r="G1317" s="423">
        <v>226</v>
      </c>
      <c r="H1317" s="423">
        <v>2500</v>
      </c>
      <c r="J1317" s="423"/>
      <c r="K1317" s="423"/>
      <c r="L1317" s="423"/>
      <c r="M1317" s="423"/>
      <c r="Q1317" s="423"/>
      <c r="R1317" s="424" t="s">
        <v>6289</v>
      </c>
      <c r="S1317" s="424" t="s">
        <v>2820</v>
      </c>
      <c r="T1317" s="424" t="s">
        <v>6228</v>
      </c>
      <c r="U1317" s="424">
        <v>0</v>
      </c>
      <c r="V1317" s="424" t="s">
        <v>2823</v>
      </c>
      <c r="W1317" s="424" t="s">
        <v>2824</v>
      </c>
      <c r="X1317" s="424" t="s">
        <v>2224</v>
      </c>
      <c r="Y1317" s="424" t="s">
        <v>2279</v>
      </c>
      <c r="Z1317" s="424" t="s">
        <v>2826</v>
      </c>
      <c r="AA1317" s="424" t="s">
        <v>6229</v>
      </c>
      <c r="AB1317" s="424" t="s">
        <v>6290</v>
      </c>
      <c r="AC1317" s="424" t="s">
        <v>1953</v>
      </c>
      <c r="AD1317" s="424" t="s">
        <v>2851</v>
      </c>
      <c r="AE1317" s="424" t="s">
        <v>6281</v>
      </c>
      <c r="AF1317" s="424"/>
      <c r="AG1317" s="424"/>
      <c r="AH1317" s="424"/>
    </row>
    <row r="1318" spans="1:34" x14ac:dyDescent="0.25">
      <c r="A1318" s="423" t="s">
        <v>6224</v>
      </c>
      <c r="B1318" s="423" t="s">
        <v>6291</v>
      </c>
      <c r="C1318" s="423" t="s">
        <v>84</v>
      </c>
      <c r="D1318" s="423" t="s">
        <v>6226</v>
      </c>
      <c r="E1318" s="423" t="s">
        <v>236</v>
      </c>
      <c r="F1318" s="423">
        <v>48</v>
      </c>
      <c r="G1318" s="423">
        <v>226</v>
      </c>
      <c r="H1318" s="423">
        <v>2500</v>
      </c>
      <c r="J1318" s="423"/>
      <c r="K1318" s="423"/>
      <c r="L1318" s="423"/>
      <c r="M1318" s="423"/>
      <c r="Q1318" s="423"/>
      <c r="R1318" s="424" t="s">
        <v>6292</v>
      </c>
      <c r="S1318" s="424" t="s">
        <v>2820</v>
      </c>
      <c r="T1318" s="424" t="s">
        <v>6228</v>
      </c>
      <c r="U1318" s="424">
        <v>0</v>
      </c>
      <c r="V1318" s="424" t="s">
        <v>2823</v>
      </c>
      <c r="W1318" s="424" t="s">
        <v>2824</v>
      </c>
      <c r="X1318" s="424" t="s">
        <v>2224</v>
      </c>
      <c r="Y1318" s="424" t="s">
        <v>2279</v>
      </c>
      <c r="Z1318" s="424" t="s">
        <v>2826</v>
      </c>
      <c r="AA1318" s="424" t="s">
        <v>6229</v>
      </c>
      <c r="AB1318" s="424" t="s">
        <v>6293</v>
      </c>
      <c r="AC1318" s="424" t="s">
        <v>1953</v>
      </c>
      <c r="AD1318" s="424" t="s">
        <v>2851</v>
      </c>
      <c r="AE1318" s="424" t="s">
        <v>6281</v>
      </c>
      <c r="AF1318" s="424"/>
      <c r="AG1318" s="424"/>
      <c r="AH1318" s="424"/>
    </row>
    <row r="1319" spans="1:34" x14ac:dyDescent="0.25">
      <c r="A1319" s="423" t="s">
        <v>6224</v>
      </c>
      <c r="B1319" s="423" t="s">
        <v>6294</v>
      </c>
      <c r="C1319" s="423" t="s">
        <v>84</v>
      </c>
      <c r="D1319" s="423" t="s">
        <v>6226</v>
      </c>
      <c r="E1319" s="423" t="s">
        <v>236</v>
      </c>
      <c r="F1319" s="423">
        <v>48</v>
      </c>
      <c r="G1319" s="423">
        <v>226</v>
      </c>
      <c r="H1319" s="423">
        <v>2500</v>
      </c>
      <c r="J1319" s="423"/>
      <c r="K1319" s="423"/>
      <c r="L1319" s="423"/>
      <c r="M1319" s="423"/>
      <c r="Q1319" s="423"/>
      <c r="R1319" s="424" t="s">
        <v>6295</v>
      </c>
      <c r="S1319" s="424" t="s">
        <v>2820</v>
      </c>
      <c r="T1319" s="424" t="s">
        <v>6228</v>
      </c>
      <c r="U1319" s="424">
        <v>0</v>
      </c>
      <c r="V1319" s="424" t="s">
        <v>2823</v>
      </c>
      <c r="W1319" s="424" t="s">
        <v>2824</v>
      </c>
      <c r="X1319" s="424" t="s">
        <v>2224</v>
      </c>
      <c r="Y1319" s="424" t="s">
        <v>2279</v>
      </c>
      <c r="Z1319" s="424" t="s">
        <v>2826</v>
      </c>
      <c r="AA1319" s="424" t="s">
        <v>6229</v>
      </c>
      <c r="AB1319" s="424" t="s">
        <v>6296</v>
      </c>
      <c r="AC1319" s="424" t="s">
        <v>1953</v>
      </c>
      <c r="AD1319" s="424" t="s">
        <v>2851</v>
      </c>
      <c r="AE1319" s="424" t="s">
        <v>6281</v>
      </c>
      <c r="AF1319" s="424"/>
      <c r="AG1319" s="424"/>
      <c r="AH1319" s="424"/>
    </row>
    <row r="1320" spans="1:34" x14ac:dyDescent="0.25">
      <c r="A1320" s="423" t="s">
        <v>6224</v>
      </c>
      <c r="B1320" s="423" t="s">
        <v>6297</v>
      </c>
      <c r="C1320" s="423" t="s">
        <v>84</v>
      </c>
      <c r="D1320" s="423" t="s">
        <v>6226</v>
      </c>
      <c r="E1320" s="423" t="s">
        <v>236</v>
      </c>
      <c r="F1320" s="423">
        <v>48</v>
      </c>
      <c r="G1320" s="423">
        <v>226</v>
      </c>
      <c r="H1320" s="423">
        <v>2500</v>
      </c>
      <c r="J1320" s="423"/>
      <c r="K1320" s="423"/>
      <c r="L1320" s="423"/>
      <c r="M1320" s="423"/>
      <c r="Q1320" s="423"/>
      <c r="R1320" s="424" t="s">
        <v>6298</v>
      </c>
      <c r="S1320" s="424" t="s">
        <v>2820</v>
      </c>
      <c r="T1320" s="424" t="s">
        <v>6228</v>
      </c>
      <c r="U1320" s="424">
        <v>0</v>
      </c>
      <c r="V1320" s="424" t="s">
        <v>2823</v>
      </c>
      <c r="W1320" s="424" t="s">
        <v>2824</v>
      </c>
      <c r="X1320" s="424" t="s">
        <v>2224</v>
      </c>
      <c r="Y1320" s="424" t="s">
        <v>2279</v>
      </c>
      <c r="Z1320" s="424" t="s">
        <v>2826</v>
      </c>
      <c r="AA1320" s="424" t="s">
        <v>6229</v>
      </c>
      <c r="AB1320" s="424" t="s">
        <v>6299</v>
      </c>
      <c r="AC1320" s="424" t="s">
        <v>1953</v>
      </c>
      <c r="AD1320" s="424" t="s">
        <v>2851</v>
      </c>
      <c r="AE1320" s="424" t="s">
        <v>6281</v>
      </c>
      <c r="AF1320" s="424"/>
      <c r="AG1320" s="424"/>
      <c r="AH1320" s="424"/>
    </row>
    <row r="1321" spans="1:34" x14ac:dyDescent="0.25">
      <c r="A1321" s="423" t="s">
        <v>6224</v>
      </c>
      <c r="B1321" s="423" t="s">
        <v>6300</v>
      </c>
      <c r="C1321" s="423" t="s">
        <v>84</v>
      </c>
      <c r="D1321" s="423" t="s">
        <v>6226</v>
      </c>
      <c r="E1321" s="423" t="s">
        <v>236</v>
      </c>
      <c r="F1321" s="423">
        <v>48</v>
      </c>
      <c r="G1321" s="423">
        <v>226</v>
      </c>
      <c r="H1321" s="423">
        <v>2500</v>
      </c>
      <c r="J1321" s="423"/>
      <c r="K1321" s="423"/>
      <c r="L1321" s="423"/>
      <c r="M1321" s="423"/>
      <c r="Q1321" s="423"/>
      <c r="R1321" s="424" t="s">
        <v>6301</v>
      </c>
      <c r="S1321" s="424" t="s">
        <v>2820</v>
      </c>
      <c r="T1321" s="424" t="s">
        <v>6228</v>
      </c>
      <c r="U1321" s="424">
        <v>0</v>
      </c>
      <c r="V1321" s="424" t="s">
        <v>2823</v>
      </c>
      <c r="W1321" s="424" t="s">
        <v>2824</v>
      </c>
      <c r="X1321" s="424" t="s">
        <v>2224</v>
      </c>
      <c r="Y1321" s="424" t="s">
        <v>2279</v>
      </c>
      <c r="Z1321" s="424" t="s">
        <v>2826</v>
      </c>
      <c r="AA1321" s="424" t="s">
        <v>6229</v>
      </c>
      <c r="AB1321" s="424" t="s">
        <v>6302</v>
      </c>
      <c r="AC1321" s="424" t="s">
        <v>1953</v>
      </c>
      <c r="AD1321" s="424" t="s">
        <v>2851</v>
      </c>
      <c r="AE1321" s="424" t="s">
        <v>6281</v>
      </c>
      <c r="AF1321" s="424"/>
      <c r="AG1321" s="424"/>
      <c r="AH1321" s="424"/>
    </row>
    <row r="1322" spans="1:34" x14ac:dyDescent="0.25">
      <c r="A1322" s="423" t="s">
        <v>6224</v>
      </c>
      <c r="B1322" s="423" t="s">
        <v>6303</v>
      </c>
      <c r="C1322" s="423" t="s">
        <v>84</v>
      </c>
      <c r="D1322" s="423" t="s">
        <v>6226</v>
      </c>
      <c r="E1322" s="423" t="s">
        <v>236</v>
      </c>
      <c r="F1322" s="423">
        <v>40</v>
      </c>
      <c r="G1322" s="423">
        <v>96</v>
      </c>
      <c r="H1322" s="423">
        <v>1500</v>
      </c>
      <c r="J1322" s="423"/>
      <c r="K1322" s="423"/>
      <c r="L1322" s="423"/>
      <c r="M1322" s="423"/>
      <c r="Q1322" s="423"/>
      <c r="R1322" s="424" t="s">
        <v>6304</v>
      </c>
      <c r="S1322" s="424" t="s">
        <v>2820</v>
      </c>
      <c r="T1322" s="424" t="s">
        <v>6228</v>
      </c>
      <c r="U1322" s="424">
        <v>0</v>
      </c>
      <c r="V1322" s="424" t="s">
        <v>2823</v>
      </c>
      <c r="W1322" s="424" t="s">
        <v>2824</v>
      </c>
      <c r="X1322" s="424" t="s">
        <v>2224</v>
      </c>
      <c r="Y1322" s="424" t="s">
        <v>2279</v>
      </c>
      <c r="Z1322" s="424" t="s">
        <v>2826</v>
      </c>
      <c r="AA1322" s="424" t="s">
        <v>6229</v>
      </c>
      <c r="AB1322" s="424" t="s">
        <v>6305</v>
      </c>
      <c r="AC1322" s="424" t="s">
        <v>1953</v>
      </c>
      <c r="AD1322" s="424" t="s">
        <v>2851</v>
      </c>
      <c r="AE1322" s="424" t="s">
        <v>6306</v>
      </c>
      <c r="AF1322" s="424"/>
      <c r="AG1322" s="424"/>
      <c r="AH1322" s="424"/>
    </row>
    <row r="1323" spans="1:34" x14ac:dyDescent="0.25">
      <c r="A1323" s="423" t="s">
        <v>6224</v>
      </c>
      <c r="B1323" s="423" t="s">
        <v>6307</v>
      </c>
      <c r="C1323" s="423" t="s">
        <v>84</v>
      </c>
      <c r="D1323" s="423" t="s">
        <v>6226</v>
      </c>
      <c r="E1323" s="423" t="s">
        <v>236</v>
      </c>
      <c r="F1323" s="423">
        <v>40</v>
      </c>
      <c r="G1323" s="423">
        <v>96</v>
      </c>
      <c r="H1323" s="423">
        <v>1500</v>
      </c>
      <c r="J1323" s="423"/>
      <c r="K1323" s="423"/>
      <c r="L1323" s="423"/>
      <c r="M1323" s="423"/>
      <c r="Q1323" s="423"/>
      <c r="R1323" s="424" t="s">
        <v>6308</v>
      </c>
      <c r="S1323" s="424" t="s">
        <v>2820</v>
      </c>
      <c r="T1323" s="424" t="s">
        <v>6228</v>
      </c>
      <c r="U1323" s="424">
        <v>0</v>
      </c>
      <c r="V1323" s="424" t="s">
        <v>2823</v>
      </c>
      <c r="W1323" s="424" t="s">
        <v>2824</v>
      </c>
      <c r="X1323" s="424" t="s">
        <v>2224</v>
      </c>
      <c r="Y1323" s="424" t="s">
        <v>2279</v>
      </c>
      <c r="Z1323" s="424" t="s">
        <v>2826</v>
      </c>
      <c r="AA1323" s="424" t="s">
        <v>6229</v>
      </c>
      <c r="AB1323" s="424" t="s">
        <v>6309</v>
      </c>
      <c r="AC1323" s="424" t="s">
        <v>1953</v>
      </c>
      <c r="AD1323" s="424" t="s">
        <v>2851</v>
      </c>
      <c r="AE1323" s="424" t="s">
        <v>6306</v>
      </c>
      <c r="AF1323" s="424"/>
      <c r="AG1323" s="424"/>
      <c r="AH1323" s="424"/>
    </row>
    <row r="1324" spans="1:34" x14ac:dyDescent="0.25">
      <c r="A1324" s="423" t="s">
        <v>6224</v>
      </c>
      <c r="B1324" s="423" t="s">
        <v>6310</v>
      </c>
      <c r="C1324" s="423" t="s">
        <v>84</v>
      </c>
      <c r="D1324" s="423" t="s">
        <v>6226</v>
      </c>
      <c r="E1324" s="423" t="s">
        <v>236</v>
      </c>
      <c r="F1324" s="423">
        <v>40</v>
      </c>
      <c r="G1324" s="423">
        <v>96</v>
      </c>
      <c r="H1324" s="423">
        <v>1500</v>
      </c>
      <c r="J1324" s="423"/>
      <c r="K1324" s="423"/>
      <c r="L1324" s="423"/>
      <c r="M1324" s="423"/>
      <c r="Q1324" s="423"/>
      <c r="R1324" s="424" t="s">
        <v>6311</v>
      </c>
      <c r="S1324" s="424" t="s">
        <v>2820</v>
      </c>
      <c r="T1324" s="424" t="s">
        <v>6228</v>
      </c>
      <c r="U1324" s="424">
        <v>0</v>
      </c>
      <c r="V1324" s="424" t="s">
        <v>2823</v>
      </c>
      <c r="W1324" s="424" t="s">
        <v>2824</v>
      </c>
      <c r="X1324" s="424" t="s">
        <v>2224</v>
      </c>
      <c r="Y1324" s="424" t="s">
        <v>2279</v>
      </c>
      <c r="Z1324" s="424" t="s">
        <v>2826</v>
      </c>
      <c r="AA1324" s="424" t="s">
        <v>6229</v>
      </c>
      <c r="AB1324" s="424" t="s">
        <v>6312</v>
      </c>
      <c r="AC1324" s="424" t="s">
        <v>1953</v>
      </c>
      <c r="AD1324" s="424" t="s">
        <v>2851</v>
      </c>
      <c r="AE1324" s="424" t="s">
        <v>6306</v>
      </c>
      <c r="AF1324" s="424"/>
      <c r="AG1324" s="424"/>
      <c r="AH1324" s="424"/>
    </row>
    <row r="1325" spans="1:34" x14ac:dyDescent="0.25">
      <c r="A1325" s="423" t="s">
        <v>6224</v>
      </c>
      <c r="B1325" s="423" t="s">
        <v>6313</v>
      </c>
      <c r="C1325" s="423" t="s">
        <v>84</v>
      </c>
      <c r="D1325" s="423" t="s">
        <v>6226</v>
      </c>
      <c r="E1325" s="423" t="s">
        <v>236</v>
      </c>
      <c r="F1325" s="423">
        <v>40</v>
      </c>
      <c r="G1325" s="423">
        <v>96</v>
      </c>
      <c r="H1325" s="423">
        <v>1500</v>
      </c>
      <c r="J1325" s="423"/>
      <c r="K1325" s="423"/>
      <c r="L1325" s="423"/>
      <c r="M1325" s="423"/>
      <c r="Q1325" s="423"/>
      <c r="R1325" s="424" t="s">
        <v>6314</v>
      </c>
      <c r="S1325" s="424" t="s">
        <v>2820</v>
      </c>
      <c r="T1325" s="424" t="s">
        <v>6228</v>
      </c>
      <c r="U1325" s="424">
        <v>0</v>
      </c>
      <c r="V1325" s="424" t="s">
        <v>2823</v>
      </c>
      <c r="W1325" s="424" t="s">
        <v>2824</v>
      </c>
      <c r="X1325" s="424" t="s">
        <v>2224</v>
      </c>
      <c r="Y1325" s="424" t="s">
        <v>2279</v>
      </c>
      <c r="Z1325" s="424" t="s">
        <v>2826</v>
      </c>
      <c r="AA1325" s="424" t="s">
        <v>6229</v>
      </c>
      <c r="AB1325" s="424" t="s">
        <v>6315</v>
      </c>
      <c r="AC1325" s="424" t="s">
        <v>1953</v>
      </c>
      <c r="AD1325" s="424" t="s">
        <v>2851</v>
      </c>
      <c r="AE1325" s="424" t="s">
        <v>6306</v>
      </c>
      <c r="AF1325" s="424"/>
      <c r="AG1325" s="424"/>
      <c r="AH1325" s="424"/>
    </row>
    <row r="1326" spans="1:34" x14ac:dyDescent="0.25">
      <c r="A1326" s="423" t="s">
        <v>6224</v>
      </c>
      <c r="B1326" s="423" t="s">
        <v>6316</v>
      </c>
      <c r="C1326" s="423" t="s">
        <v>84</v>
      </c>
      <c r="D1326" s="423" t="s">
        <v>6226</v>
      </c>
      <c r="E1326" s="423" t="s">
        <v>236</v>
      </c>
      <c r="F1326" s="423">
        <v>40</v>
      </c>
      <c r="G1326" s="423">
        <v>96</v>
      </c>
      <c r="H1326" s="423">
        <v>1500</v>
      </c>
      <c r="J1326" s="423"/>
      <c r="K1326" s="423"/>
      <c r="L1326" s="423"/>
      <c r="M1326" s="423"/>
      <c r="Q1326" s="423"/>
      <c r="R1326" s="424" t="s">
        <v>6317</v>
      </c>
      <c r="S1326" s="424" t="s">
        <v>2820</v>
      </c>
      <c r="T1326" s="424" t="s">
        <v>6228</v>
      </c>
      <c r="U1326" s="424">
        <v>0</v>
      </c>
      <c r="V1326" s="424" t="s">
        <v>2823</v>
      </c>
      <c r="W1326" s="424" t="s">
        <v>2824</v>
      </c>
      <c r="X1326" s="424" t="s">
        <v>2224</v>
      </c>
      <c r="Y1326" s="424" t="s">
        <v>2279</v>
      </c>
      <c r="Z1326" s="424" t="s">
        <v>2826</v>
      </c>
      <c r="AA1326" s="424" t="s">
        <v>6229</v>
      </c>
      <c r="AB1326" s="424" t="s">
        <v>6318</v>
      </c>
      <c r="AC1326" s="424" t="s">
        <v>1953</v>
      </c>
      <c r="AD1326" s="424" t="s">
        <v>2851</v>
      </c>
      <c r="AE1326" s="424" t="s">
        <v>6306</v>
      </c>
      <c r="AF1326" s="424"/>
      <c r="AG1326" s="424"/>
      <c r="AH1326" s="424"/>
    </row>
    <row r="1327" spans="1:34" x14ac:dyDescent="0.25">
      <c r="A1327" s="423" t="s">
        <v>6224</v>
      </c>
      <c r="B1327" s="423" t="s">
        <v>6319</v>
      </c>
      <c r="C1327" s="423" t="s">
        <v>84</v>
      </c>
      <c r="D1327" s="423" t="s">
        <v>6226</v>
      </c>
      <c r="E1327" s="423" t="s">
        <v>236</v>
      </c>
      <c r="F1327" s="423">
        <v>40</v>
      </c>
      <c r="G1327" s="423">
        <v>96</v>
      </c>
      <c r="H1327" s="423">
        <v>1500</v>
      </c>
      <c r="J1327" s="423"/>
      <c r="K1327" s="423"/>
      <c r="L1327" s="423"/>
      <c r="M1327" s="423"/>
      <c r="Q1327" s="423"/>
      <c r="R1327" s="424" t="s">
        <v>6320</v>
      </c>
      <c r="S1327" s="424" t="s">
        <v>2820</v>
      </c>
      <c r="T1327" s="424" t="s">
        <v>6228</v>
      </c>
      <c r="U1327" s="424">
        <v>0</v>
      </c>
      <c r="V1327" s="424" t="s">
        <v>2823</v>
      </c>
      <c r="W1327" s="424" t="s">
        <v>2824</v>
      </c>
      <c r="X1327" s="424" t="s">
        <v>2224</v>
      </c>
      <c r="Y1327" s="424" t="s">
        <v>2279</v>
      </c>
      <c r="Z1327" s="424" t="s">
        <v>2826</v>
      </c>
      <c r="AA1327" s="424" t="s">
        <v>6229</v>
      </c>
      <c r="AB1327" s="424" t="s">
        <v>6321</v>
      </c>
      <c r="AC1327" s="424" t="s">
        <v>1953</v>
      </c>
      <c r="AD1327" s="424" t="s">
        <v>2851</v>
      </c>
      <c r="AE1327" s="424" t="s">
        <v>6306</v>
      </c>
      <c r="AF1327" s="424"/>
      <c r="AG1327" s="424"/>
      <c r="AH1327" s="424"/>
    </row>
    <row r="1328" spans="1:34" x14ac:dyDescent="0.25">
      <c r="A1328" s="423" t="s">
        <v>6224</v>
      </c>
      <c r="B1328" s="423" t="s">
        <v>6322</v>
      </c>
      <c r="C1328" s="423" t="s">
        <v>84</v>
      </c>
      <c r="D1328" s="423" t="s">
        <v>6226</v>
      </c>
      <c r="E1328" s="423" t="s">
        <v>236</v>
      </c>
      <c r="F1328" s="423">
        <v>40</v>
      </c>
      <c r="G1328" s="423">
        <v>96</v>
      </c>
      <c r="H1328" s="423">
        <v>300</v>
      </c>
      <c r="J1328" s="423"/>
      <c r="K1328" s="423"/>
      <c r="L1328" s="423"/>
      <c r="M1328" s="423"/>
      <c r="Q1328" s="423"/>
      <c r="R1328" s="424" t="s">
        <v>6323</v>
      </c>
      <c r="S1328" s="424" t="s">
        <v>2820</v>
      </c>
      <c r="T1328" s="424" t="s">
        <v>6228</v>
      </c>
      <c r="U1328" s="424">
        <v>0</v>
      </c>
      <c r="V1328" s="424" t="s">
        <v>2823</v>
      </c>
      <c r="W1328" s="424" t="s">
        <v>2824</v>
      </c>
      <c r="X1328" s="424" t="s">
        <v>2224</v>
      </c>
      <c r="Y1328" s="424" t="s">
        <v>2279</v>
      </c>
      <c r="Z1328" s="424" t="s">
        <v>2826</v>
      </c>
      <c r="AA1328" s="424" t="s">
        <v>6229</v>
      </c>
      <c r="AB1328" s="424" t="s">
        <v>6324</v>
      </c>
      <c r="AC1328" s="424" t="s">
        <v>1953</v>
      </c>
      <c r="AD1328" s="424" t="s">
        <v>2851</v>
      </c>
      <c r="AE1328" s="424" t="s">
        <v>6306</v>
      </c>
      <c r="AF1328" s="424"/>
      <c r="AG1328" s="424"/>
      <c r="AH1328" s="424"/>
    </row>
    <row r="1329" spans="1:34" x14ac:dyDescent="0.25">
      <c r="A1329" s="423" t="s">
        <v>6224</v>
      </c>
      <c r="B1329" s="423" t="s">
        <v>6325</v>
      </c>
      <c r="C1329" s="423" t="s">
        <v>84</v>
      </c>
      <c r="D1329" s="423" t="s">
        <v>6226</v>
      </c>
      <c r="E1329" s="423" t="s">
        <v>236</v>
      </c>
      <c r="F1329" s="423">
        <v>40</v>
      </c>
      <c r="G1329" s="423">
        <v>32</v>
      </c>
      <c r="H1329" s="423">
        <v>300</v>
      </c>
      <c r="J1329" s="423"/>
      <c r="K1329" s="423"/>
      <c r="L1329" s="423"/>
      <c r="M1329" s="423"/>
      <c r="Q1329" s="423"/>
      <c r="R1329" s="424" t="s">
        <v>6326</v>
      </c>
      <c r="S1329" s="424" t="s">
        <v>2820</v>
      </c>
      <c r="T1329" s="424" t="s">
        <v>6228</v>
      </c>
      <c r="U1329" s="424">
        <v>0</v>
      </c>
      <c r="V1329" s="424" t="s">
        <v>2823</v>
      </c>
      <c r="W1329" s="424" t="s">
        <v>2824</v>
      </c>
      <c r="X1329" s="424" t="s">
        <v>2224</v>
      </c>
      <c r="Y1329" s="424" t="s">
        <v>2279</v>
      </c>
      <c r="Z1329" s="424" t="s">
        <v>2826</v>
      </c>
      <c r="AA1329" s="424" t="s">
        <v>6229</v>
      </c>
      <c r="AB1329" s="424" t="s">
        <v>6327</v>
      </c>
      <c r="AC1329" s="424" t="s">
        <v>1953</v>
      </c>
      <c r="AD1329" s="424" t="s">
        <v>2851</v>
      </c>
      <c r="AE1329" s="424" t="s">
        <v>6328</v>
      </c>
      <c r="AF1329" s="424"/>
      <c r="AG1329" s="424"/>
      <c r="AH1329" s="424"/>
    </row>
    <row r="1330" spans="1:34" x14ac:dyDescent="0.25">
      <c r="A1330" s="423" t="s">
        <v>6224</v>
      </c>
      <c r="B1330" s="423" t="s">
        <v>6329</v>
      </c>
      <c r="C1330" s="423" t="s">
        <v>84</v>
      </c>
      <c r="D1330" s="423" t="s">
        <v>6226</v>
      </c>
      <c r="E1330" s="423" t="s">
        <v>236</v>
      </c>
      <c r="F1330" s="423">
        <v>48</v>
      </c>
      <c r="G1330" s="423">
        <v>226</v>
      </c>
      <c r="H1330" s="423">
        <v>2500</v>
      </c>
      <c r="J1330" s="423"/>
      <c r="K1330" s="423"/>
      <c r="L1330" s="423"/>
      <c r="M1330" s="423"/>
      <c r="Q1330" s="423"/>
      <c r="R1330" s="424" t="s">
        <v>6330</v>
      </c>
      <c r="S1330" s="424" t="s">
        <v>2820</v>
      </c>
      <c r="T1330" s="424" t="s">
        <v>6228</v>
      </c>
      <c r="U1330" s="424">
        <v>0</v>
      </c>
      <c r="V1330" s="424" t="s">
        <v>2823</v>
      </c>
      <c r="W1330" s="424" t="s">
        <v>2824</v>
      </c>
      <c r="X1330" s="424" t="s">
        <v>2224</v>
      </c>
      <c r="Y1330" s="424" t="s">
        <v>2279</v>
      </c>
      <c r="Z1330" s="424" t="s">
        <v>2826</v>
      </c>
      <c r="AA1330" s="424" t="s">
        <v>6229</v>
      </c>
      <c r="AB1330" s="424" t="s">
        <v>6331</v>
      </c>
      <c r="AC1330" s="424" t="s">
        <v>1953</v>
      </c>
      <c r="AD1330" s="424" t="s">
        <v>2851</v>
      </c>
      <c r="AE1330" s="424" t="s">
        <v>6332</v>
      </c>
      <c r="AF1330" s="424"/>
      <c r="AG1330" s="424"/>
      <c r="AH1330" s="424"/>
    </row>
    <row r="1331" spans="1:34" x14ac:dyDescent="0.25">
      <c r="A1331" s="423" t="s">
        <v>6224</v>
      </c>
      <c r="B1331" s="423" t="s">
        <v>6333</v>
      </c>
      <c r="C1331" s="423" t="s">
        <v>84</v>
      </c>
      <c r="D1331" s="423" t="s">
        <v>6226</v>
      </c>
      <c r="E1331" s="423" t="s">
        <v>236</v>
      </c>
      <c r="F1331" s="423">
        <v>48</v>
      </c>
      <c r="G1331" s="423">
        <v>226</v>
      </c>
      <c r="H1331" s="423">
        <v>2500</v>
      </c>
      <c r="J1331" s="423"/>
      <c r="K1331" s="423"/>
      <c r="L1331" s="423"/>
      <c r="M1331" s="423"/>
      <c r="Q1331" s="423"/>
      <c r="R1331" s="424" t="s">
        <v>6334</v>
      </c>
      <c r="S1331" s="424" t="s">
        <v>2820</v>
      </c>
      <c r="T1331" s="424" t="s">
        <v>6228</v>
      </c>
      <c r="U1331" s="424">
        <v>0</v>
      </c>
      <c r="V1331" s="424" t="s">
        <v>2823</v>
      </c>
      <c r="W1331" s="424" t="s">
        <v>2824</v>
      </c>
      <c r="X1331" s="424" t="s">
        <v>2224</v>
      </c>
      <c r="Y1331" s="424" t="s">
        <v>2279</v>
      </c>
      <c r="Z1331" s="424" t="s">
        <v>2826</v>
      </c>
      <c r="AA1331" s="424" t="s">
        <v>6229</v>
      </c>
      <c r="AB1331" s="424" t="s">
        <v>6335</v>
      </c>
      <c r="AC1331" s="424" t="s">
        <v>1953</v>
      </c>
      <c r="AD1331" s="424" t="s">
        <v>2851</v>
      </c>
      <c r="AE1331" s="424" t="s">
        <v>6332</v>
      </c>
      <c r="AF1331" s="424"/>
      <c r="AG1331" s="424"/>
      <c r="AH1331" s="424"/>
    </row>
    <row r="1332" spans="1:34" x14ac:dyDescent="0.25">
      <c r="A1332" s="423" t="s">
        <v>6224</v>
      </c>
      <c r="B1332" s="423" t="s">
        <v>6336</v>
      </c>
      <c r="C1332" s="423" t="s">
        <v>84</v>
      </c>
      <c r="D1332" s="423" t="s">
        <v>6226</v>
      </c>
      <c r="E1332" s="423" t="s">
        <v>236</v>
      </c>
      <c r="F1332" s="423">
        <v>48</v>
      </c>
      <c r="G1332" s="423">
        <v>226</v>
      </c>
      <c r="H1332" s="423">
        <v>2500</v>
      </c>
      <c r="J1332" s="423"/>
      <c r="K1332" s="423"/>
      <c r="L1332" s="423"/>
      <c r="M1332" s="423"/>
      <c r="Q1332" s="423"/>
      <c r="R1332" s="424" t="s">
        <v>6337</v>
      </c>
      <c r="S1332" s="424" t="s">
        <v>2820</v>
      </c>
      <c r="T1332" s="424" t="s">
        <v>6228</v>
      </c>
      <c r="U1332" s="424">
        <v>0</v>
      </c>
      <c r="V1332" s="424" t="s">
        <v>2823</v>
      </c>
      <c r="W1332" s="424" t="s">
        <v>2824</v>
      </c>
      <c r="X1332" s="424" t="s">
        <v>2224</v>
      </c>
      <c r="Y1332" s="424" t="s">
        <v>2279</v>
      </c>
      <c r="Z1332" s="424" t="s">
        <v>2826</v>
      </c>
      <c r="AA1332" s="424" t="s">
        <v>6229</v>
      </c>
      <c r="AB1332" s="424" t="s">
        <v>6338</v>
      </c>
      <c r="AC1332" s="424" t="s">
        <v>1953</v>
      </c>
      <c r="AD1332" s="424" t="s">
        <v>2851</v>
      </c>
      <c r="AE1332" s="424" t="s">
        <v>6332</v>
      </c>
      <c r="AF1332" s="424"/>
      <c r="AG1332" s="424"/>
      <c r="AH1332" s="424"/>
    </row>
    <row r="1333" spans="1:34" x14ac:dyDescent="0.25">
      <c r="A1333" s="423" t="s">
        <v>6224</v>
      </c>
      <c r="B1333" s="423" t="s">
        <v>6339</v>
      </c>
      <c r="C1333" s="423" t="s">
        <v>84</v>
      </c>
      <c r="D1333" s="423" t="s">
        <v>6226</v>
      </c>
      <c r="E1333" s="423" t="s">
        <v>236</v>
      </c>
      <c r="F1333" s="423">
        <v>48</v>
      </c>
      <c r="G1333" s="423">
        <v>226</v>
      </c>
      <c r="H1333" s="423">
        <v>2500</v>
      </c>
      <c r="J1333" s="423"/>
      <c r="K1333" s="423"/>
      <c r="L1333" s="423"/>
      <c r="M1333" s="423"/>
      <c r="Q1333" s="423"/>
      <c r="R1333" s="424" t="s">
        <v>6340</v>
      </c>
      <c r="S1333" s="424" t="s">
        <v>2820</v>
      </c>
      <c r="T1333" s="424" t="s">
        <v>6228</v>
      </c>
      <c r="U1333" s="424">
        <v>0</v>
      </c>
      <c r="V1333" s="424" t="s">
        <v>2823</v>
      </c>
      <c r="W1333" s="424" t="s">
        <v>2824</v>
      </c>
      <c r="X1333" s="424" t="s">
        <v>2224</v>
      </c>
      <c r="Y1333" s="424" t="s">
        <v>2279</v>
      </c>
      <c r="Z1333" s="424" t="s">
        <v>2826</v>
      </c>
      <c r="AA1333" s="424" t="s">
        <v>6229</v>
      </c>
      <c r="AB1333" s="424" t="s">
        <v>6341</v>
      </c>
      <c r="AC1333" s="424" t="s">
        <v>1953</v>
      </c>
      <c r="AD1333" s="424" t="s">
        <v>2851</v>
      </c>
      <c r="AE1333" s="424" t="s">
        <v>6332</v>
      </c>
      <c r="AF1333" s="424"/>
      <c r="AG1333" s="424"/>
      <c r="AH1333" s="424"/>
    </row>
    <row r="1334" spans="1:34" x14ac:dyDescent="0.25">
      <c r="A1334" s="423" t="s">
        <v>6224</v>
      </c>
      <c r="B1334" s="423" t="s">
        <v>6342</v>
      </c>
      <c r="C1334" s="423" t="s">
        <v>84</v>
      </c>
      <c r="D1334" s="423" t="s">
        <v>6226</v>
      </c>
      <c r="E1334" s="423" t="s">
        <v>236</v>
      </c>
      <c r="F1334" s="423">
        <v>48</v>
      </c>
      <c r="G1334" s="423">
        <v>226</v>
      </c>
      <c r="H1334" s="423">
        <v>2500</v>
      </c>
      <c r="J1334" s="423"/>
      <c r="K1334" s="423"/>
      <c r="L1334" s="423"/>
      <c r="M1334" s="423"/>
      <c r="Q1334" s="423"/>
      <c r="R1334" s="424" t="s">
        <v>6343</v>
      </c>
      <c r="S1334" s="424" t="s">
        <v>2820</v>
      </c>
      <c r="T1334" s="424" t="s">
        <v>6228</v>
      </c>
      <c r="U1334" s="424">
        <v>0</v>
      </c>
      <c r="V1334" s="424" t="s">
        <v>2823</v>
      </c>
      <c r="W1334" s="424" t="s">
        <v>2824</v>
      </c>
      <c r="X1334" s="424" t="s">
        <v>2224</v>
      </c>
      <c r="Y1334" s="424" t="s">
        <v>2279</v>
      </c>
      <c r="Z1334" s="424" t="s">
        <v>2826</v>
      </c>
      <c r="AA1334" s="424" t="s">
        <v>6229</v>
      </c>
      <c r="AB1334" s="424" t="s">
        <v>6344</v>
      </c>
      <c r="AC1334" s="424" t="s">
        <v>1953</v>
      </c>
      <c r="AD1334" s="424" t="s">
        <v>2851</v>
      </c>
      <c r="AE1334" s="424" t="s">
        <v>6332</v>
      </c>
      <c r="AF1334" s="424"/>
      <c r="AG1334" s="424"/>
      <c r="AH1334" s="424"/>
    </row>
    <row r="1335" spans="1:34" x14ac:dyDescent="0.25">
      <c r="A1335" s="423" t="s">
        <v>6224</v>
      </c>
      <c r="B1335" s="423" t="s">
        <v>6345</v>
      </c>
      <c r="C1335" s="423" t="s">
        <v>84</v>
      </c>
      <c r="D1335" s="423" t="s">
        <v>6226</v>
      </c>
      <c r="E1335" s="423" t="s">
        <v>236</v>
      </c>
      <c r="F1335" s="423">
        <v>48</v>
      </c>
      <c r="G1335" s="423">
        <v>226</v>
      </c>
      <c r="H1335" s="423">
        <v>2500</v>
      </c>
      <c r="J1335" s="423"/>
      <c r="K1335" s="423"/>
      <c r="L1335" s="423"/>
      <c r="M1335" s="423"/>
      <c r="Q1335" s="423"/>
      <c r="R1335" s="424" t="s">
        <v>6346</v>
      </c>
      <c r="S1335" s="424" t="s">
        <v>2820</v>
      </c>
      <c r="T1335" s="424" t="s">
        <v>6228</v>
      </c>
      <c r="U1335" s="424">
        <v>0</v>
      </c>
      <c r="V1335" s="424" t="s">
        <v>2823</v>
      </c>
      <c r="W1335" s="424" t="s">
        <v>2824</v>
      </c>
      <c r="X1335" s="424" t="s">
        <v>2224</v>
      </c>
      <c r="Y1335" s="424" t="s">
        <v>2279</v>
      </c>
      <c r="Z1335" s="424" t="s">
        <v>2826</v>
      </c>
      <c r="AA1335" s="424" t="s">
        <v>6229</v>
      </c>
      <c r="AB1335" s="424" t="s">
        <v>6347</v>
      </c>
      <c r="AC1335" s="424" t="s">
        <v>1953</v>
      </c>
      <c r="AD1335" s="424" t="s">
        <v>2851</v>
      </c>
      <c r="AE1335" s="424" t="s">
        <v>6332</v>
      </c>
      <c r="AF1335" s="424"/>
      <c r="AG1335" s="424"/>
      <c r="AH1335" s="424"/>
    </row>
    <row r="1336" spans="1:34" x14ac:dyDescent="0.25">
      <c r="A1336" s="423" t="s">
        <v>6224</v>
      </c>
      <c r="B1336" s="423" t="s">
        <v>6348</v>
      </c>
      <c r="C1336" s="423" t="s">
        <v>84</v>
      </c>
      <c r="D1336" s="423" t="s">
        <v>6226</v>
      </c>
      <c r="E1336" s="423" t="s">
        <v>236</v>
      </c>
      <c r="F1336" s="423">
        <v>48</v>
      </c>
      <c r="G1336" s="423">
        <v>226</v>
      </c>
      <c r="H1336" s="423">
        <v>2500</v>
      </c>
      <c r="J1336" s="423"/>
      <c r="K1336" s="423"/>
      <c r="L1336" s="423"/>
      <c r="M1336" s="423"/>
      <c r="Q1336" s="423"/>
      <c r="R1336" s="424" t="s">
        <v>6349</v>
      </c>
      <c r="S1336" s="424" t="s">
        <v>2820</v>
      </c>
      <c r="T1336" s="424" t="s">
        <v>6228</v>
      </c>
      <c r="U1336" s="424">
        <v>0</v>
      </c>
      <c r="V1336" s="424" t="s">
        <v>2823</v>
      </c>
      <c r="W1336" s="424" t="s">
        <v>2824</v>
      </c>
      <c r="X1336" s="424" t="s">
        <v>2224</v>
      </c>
      <c r="Y1336" s="424" t="s">
        <v>2279</v>
      </c>
      <c r="Z1336" s="424" t="s">
        <v>2826</v>
      </c>
      <c r="AA1336" s="424" t="s">
        <v>6229</v>
      </c>
      <c r="AB1336" s="424" t="s">
        <v>6350</v>
      </c>
      <c r="AC1336" s="424" t="s">
        <v>1953</v>
      </c>
      <c r="AD1336" s="424" t="s">
        <v>2851</v>
      </c>
      <c r="AE1336" s="424" t="s">
        <v>6332</v>
      </c>
      <c r="AF1336" s="424"/>
      <c r="AG1336" s="424"/>
      <c r="AH1336" s="424"/>
    </row>
    <row r="1337" spans="1:34" x14ac:dyDescent="0.25">
      <c r="A1337" s="423" t="s">
        <v>6224</v>
      </c>
      <c r="B1337" s="423" t="s">
        <v>6351</v>
      </c>
      <c r="C1337" s="423" t="s">
        <v>84</v>
      </c>
      <c r="D1337" s="423" t="s">
        <v>6226</v>
      </c>
      <c r="E1337" s="423" t="s">
        <v>236</v>
      </c>
      <c r="F1337" s="423">
        <v>48</v>
      </c>
      <c r="G1337" s="423">
        <v>226</v>
      </c>
      <c r="H1337" s="423">
        <v>2500</v>
      </c>
      <c r="J1337" s="423"/>
      <c r="K1337" s="423"/>
      <c r="L1337" s="423"/>
      <c r="M1337" s="423"/>
      <c r="Q1337" s="423"/>
      <c r="R1337" s="424" t="s">
        <v>6352</v>
      </c>
      <c r="S1337" s="424" t="s">
        <v>2820</v>
      </c>
      <c r="T1337" s="424" t="s">
        <v>6228</v>
      </c>
      <c r="U1337" s="424">
        <v>0</v>
      </c>
      <c r="V1337" s="424" t="s">
        <v>2823</v>
      </c>
      <c r="W1337" s="424" t="s">
        <v>2824</v>
      </c>
      <c r="X1337" s="424" t="s">
        <v>2224</v>
      </c>
      <c r="Y1337" s="424" t="s">
        <v>2279</v>
      </c>
      <c r="Z1337" s="424" t="s">
        <v>2826</v>
      </c>
      <c r="AA1337" s="424" t="s">
        <v>6229</v>
      </c>
      <c r="AB1337" s="424" t="s">
        <v>6353</v>
      </c>
      <c r="AC1337" s="424" t="s">
        <v>1953</v>
      </c>
      <c r="AD1337" s="424" t="s">
        <v>2851</v>
      </c>
      <c r="AE1337" s="424" t="s">
        <v>6332</v>
      </c>
      <c r="AF1337" s="424"/>
      <c r="AG1337" s="424"/>
      <c r="AH1337" s="424"/>
    </row>
    <row r="1338" spans="1:34" x14ac:dyDescent="0.25">
      <c r="A1338" s="423" t="s">
        <v>6224</v>
      </c>
      <c r="B1338" s="423" t="s">
        <v>6354</v>
      </c>
      <c r="C1338" s="423" t="s">
        <v>84</v>
      </c>
      <c r="D1338" s="423" t="s">
        <v>6226</v>
      </c>
      <c r="E1338" s="423" t="s">
        <v>236</v>
      </c>
      <c r="F1338" s="423">
        <v>48</v>
      </c>
      <c r="G1338" s="423">
        <v>226</v>
      </c>
      <c r="H1338" s="423">
        <v>2500</v>
      </c>
      <c r="J1338" s="423"/>
      <c r="K1338" s="423"/>
      <c r="L1338" s="423"/>
      <c r="M1338" s="423"/>
      <c r="Q1338" s="423"/>
      <c r="R1338" s="424" t="s">
        <v>6355</v>
      </c>
      <c r="S1338" s="424" t="s">
        <v>2820</v>
      </c>
      <c r="T1338" s="424" t="s">
        <v>6228</v>
      </c>
      <c r="U1338" s="424">
        <v>0</v>
      </c>
      <c r="V1338" s="424" t="s">
        <v>2823</v>
      </c>
      <c r="W1338" s="424" t="s">
        <v>2824</v>
      </c>
      <c r="X1338" s="424" t="s">
        <v>2224</v>
      </c>
      <c r="Y1338" s="424" t="s">
        <v>2279</v>
      </c>
      <c r="Z1338" s="424" t="s">
        <v>2826</v>
      </c>
      <c r="AA1338" s="424" t="s">
        <v>6229</v>
      </c>
      <c r="AB1338" s="424" t="s">
        <v>6356</v>
      </c>
      <c r="AC1338" s="424" t="s">
        <v>1953</v>
      </c>
      <c r="AD1338" s="424" t="s">
        <v>2851</v>
      </c>
      <c r="AE1338" s="424" t="s">
        <v>6332</v>
      </c>
      <c r="AF1338" s="424"/>
      <c r="AG1338" s="424"/>
      <c r="AH1338" s="424"/>
    </row>
    <row r="1339" spans="1:34" x14ac:dyDescent="0.25">
      <c r="A1339" s="423" t="s">
        <v>6224</v>
      </c>
      <c r="B1339" s="423" t="s">
        <v>6357</v>
      </c>
      <c r="C1339" s="423" t="s">
        <v>84</v>
      </c>
      <c r="D1339" s="423" t="s">
        <v>6226</v>
      </c>
      <c r="E1339" s="423" t="s">
        <v>236</v>
      </c>
      <c r="F1339" s="423">
        <v>48</v>
      </c>
      <c r="G1339" s="423">
        <v>226</v>
      </c>
      <c r="H1339" s="423">
        <v>2500</v>
      </c>
      <c r="J1339" s="423"/>
      <c r="K1339" s="423"/>
      <c r="L1339" s="423"/>
      <c r="M1339" s="423"/>
      <c r="Q1339" s="423"/>
      <c r="R1339" s="424" t="s">
        <v>6358</v>
      </c>
      <c r="S1339" s="424" t="s">
        <v>2820</v>
      </c>
      <c r="T1339" s="424" t="s">
        <v>6228</v>
      </c>
      <c r="U1339" s="424">
        <v>0</v>
      </c>
      <c r="V1339" s="424" t="s">
        <v>2823</v>
      </c>
      <c r="W1339" s="424" t="s">
        <v>2824</v>
      </c>
      <c r="X1339" s="424" t="s">
        <v>2224</v>
      </c>
      <c r="Y1339" s="424" t="s">
        <v>2279</v>
      </c>
      <c r="Z1339" s="424" t="s">
        <v>2826</v>
      </c>
      <c r="AA1339" s="424" t="s">
        <v>6229</v>
      </c>
      <c r="AB1339" s="424" t="s">
        <v>6359</v>
      </c>
      <c r="AC1339" s="424" t="s">
        <v>1953</v>
      </c>
      <c r="AD1339" s="424" t="s">
        <v>2851</v>
      </c>
      <c r="AE1339" s="424" t="s">
        <v>6332</v>
      </c>
      <c r="AF1339" s="424"/>
      <c r="AG1339" s="424"/>
      <c r="AH1339" s="424"/>
    </row>
    <row r="1340" spans="1:34" x14ac:dyDescent="0.25">
      <c r="A1340" s="423" t="s">
        <v>6224</v>
      </c>
      <c r="B1340" s="423" t="s">
        <v>6360</v>
      </c>
      <c r="C1340" s="423" t="s">
        <v>84</v>
      </c>
      <c r="D1340" s="423" t="s">
        <v>6226</v>
      </c>
      <c r="E1340" s="423" t="s">
        <v>236</v>
      </c>
      <c r="F1340" s="423">
        <v>48</v>
      </c>
      <c r="G1340" s="423">
        <v>226</v>
      </c>
      <c r="H1340" s="423">
        <v>2500</v>
      </c>
      <c r="J1340" s="423"/>
      <c r="K1340" s="423"/>
      <c r="L1340" s="423"/>
      <c r="M1340" s="423"/>
      <c r="Q1340" s="423"/>
      <c r="R1340" s="424" t="s">
        <v>6361</v>
      </c>
      <c r="S1340" s="424" t="s">
        <v>2820</v>
      </c>
      <c r="T1340" s="424" t="s">
        <v>6228</v>
      </c>
      <c r="U1340" s="424">
        <v>0</v>
      </c>
      <c r="V1340" s="424" t="s">
        <v>2823</v>
      </c>
      <c r="W1340" s="424" t="s">
        <v>2824</v>
      </c>
      <c r="X1340" s="424" t="s">
        <v>2224</v>
      </c>
      <c r="Y1340" s="424" t="s">
        <v>2279</v>
      </c>
      <c r="Z1340" s="424" t="s">
        <v>2826</v>
      </c>
      <c r="AA1340" s="424" t="s">
        <v>6229</v>
      </c>
      <c r="AB1340" s="424" t="s">
        <v>6362</v>
      </c>
      <c r="AC1340" s="424" t="s">
        <v>1953</v>
      </c>
      <c r="AD1340" s="424" t="s">
        <v>2851</v>
      </c>
      <c r="AE1340" s="424" t="s">
        <v>6332</v>
      </c>
      <c r="AF1340" s="424"/>
      <c r="AG1340" s="424"/>
      <c r="AH1340" s="424"/>
    </row>
    <row r="1341" spans="1:34" x14ac:dyDescent="0.25">
      <c r="A1341" s="423" t="s">
        <v>6224</v>
      </c>
      <c r="B1341" s="423" t="s">
        <v>6363</v>
      </c>
      <c r="C1341" s="423" t="s">
        <v>84</v>
      </c>
      <c r="D1341" s="423" t="s">
        <v>6226</v>
      </c>
      <c r="E1341" s="423" t="s">
        <v>236</v>
      </c>
      <c r="F1341" s="423">
        <v>48</v>
      </c>
      <c r="G1341" s="423">
        <v>226</v>
      </c>
      <c r="H1341" s="423">
        <v>2500</v>
      </c>
      <c r="J1341" s="423"/>
      <c r="K1341" s="423"/>
      <c r="L1341" s="423"/>
      <c r="M1341" s="423"/>
      <c r="Q1341" s="423"/>
      <c r="R1341" s="424" t="s">
        <v>6364</v>
      </c>
      <c r="S1341" s="424" t="s">
        <v>2820</v>
      </c>
      <c r="T1341" s="424" t="s">
        <v>6228</v>
      </c>
      <c r="U1341" s="424">
        <v>0</v>
      </c>
      <c r="V1341" s="424" t="s">
        <v>2823</v>
      </c>
      <c r="W1341" s="424" t="s">
        <v>2824</v>
      </c>
      <c r="X1341" s="424" t="s">
        <v>2224</v>
      </c>
      <c r="Y1341" s="424" t="s">
        <v>2279</v>
      </c>
      <c r="Z1341" s="424" t="s">
        <v>2826</v>
      </c>
      <c r="AA1341" s="424" t="s">
        <v>6229</v>
      </c>
      <c r="AB1341" s="424" t="s">
        <v>6365</v>
      </c>
      <c r="AC1341" s="424" t="s">
        <v>1953</v>
      </c>
      <c r="AD1341" s="424" t="s">
        <v>2851</v>
      </c>
      <c r="AE1341" s="424" t="s">
        <v>6332</v>
      </c>
      <c r="AF1341" s="424"/>
      <c r="AG1341" s="424"/>
      <c r="AH1341" s="424"/>
    </row>
    <row r="1342" spans="1:34" x14ac:dyDescent="0.25">
      <c r="A1342" s="423" t="s">
        <v>6224</v>
      </c>
      <c r="B1342" s="423" t="s">
        <v>6366</v>
      </c>
      <c r="C1342" s="423" t="s">
        <v>84</v>
      </c>
      <c r="D1342" s="423" t="s">
        <v>6226</v>
      </c>
      <c r="E1342" s="423" t="s">
        <v>236</v>
      </c>
      <c r="F1342" s="423">
        <v>48</v>
      </c>
      <c r="G1342" s="423">
        <v>226</v>
      </c>
      <c r="H1342" s="423">
        <v>2500</v>
      </c>
      <c r="J1342" s="423"/>
      <c r="K1342" s="423"/>
      <c r="L1342" s="423"/>
      <c r="M1342" s="423"/>
      <c r="Q1342" s="423"/>
      <c r="R1342" s="424" t="s">
        <v>6367</v>
      </c>
      <c r="S1342" s="424" t="s">
        <v>2820</v>
      </c>
      <c r="T1342" s="424" t="s">
        <v>6228</v>
      </c>
      <c r="U1342" s="424">
        <v>0</v>
      </c>
      <c r="V1342" s="424" t="s">
        <v>2823</v>
      </c>
      <c r="W1342" s="424" t="s">
        <v>2824</v>
      </c>
      <c r="X1342" s="424" t="s">
        <v>2224</v>
      </c>
      <c r="Y1342" s="424" t="s">
        <v>2279</v>
      </c>
      <c r="Z1342" s="424" t="s">
        <v>2826</v>
      </c>
      <c r="AA1342" s="424" t="s">
        <v>6229</v>
      </c>
      <c r="AB1342" s="424" t="s">
        <v>6368</v>
      </c>
      <c r="AC1342" s="424" t="s">
        <v>1953</v>
      </c>
      <c r="AD1342" s="424" t="s">
        <v>2851</v>
      </c>
      <c r="AE1342" s="424" t="s">
        <v>6332</v>
      </c>
      <c r="AF1342" s="424"/>
      <c r="AG1342" s="424"/>
      <c r="AH1342" s="424"/>
    </row>
    <row r="1343" spans="1:34" x14ac:dyDescent="0.25">
      <c r="A1343" s="423" t="s">
        <v>6224</v>
      </c>
      <c r="B1343" s="423" t="s">
        <v>6369</v>
      </c>
      <c r="C1343" s="423" t="s">
        <v>84</v>
      </c>
      <c r="D1343" s="423" t="s">
        <v>6226</v>
      </c>
      <c r="E1343" s="423" t="s">
        <v>236</v>
      </c>
      <c r="F1343" s="423">
        <v>48</v>
      </c>
      <c r="G1343" s="423">
        <v>226</v>
      </c>
      <c r="H1343" s="423">
        <v>2500</v>
      </c>
      <c r="J1343" s="423"/>
      <c r="K1343" s="423"/>
      <c r="L1343" s="423"/>
      <c r="M1343" s="423"/>
      <c r="Q1343" s="423"/>
      <c r="R1343" s="424" t="s">
        <v>6370</v>
      </c>
      <c r="S1343" s="424" t="s">
        <v>2820</v>
      </c>
      <c r="T1343" s="424" t="s">
        <v>6228</v>
      </c>
      <c r="U1343" s="424">
        <v>0</v>
      </c>
      <c r="V1343" s="424" t="s">
        <v>2823</v>
      </c>
      <c r="W1343" s="424" t="s">
        <v>2824</v>
      </c>
      <c r="X1343" s="424" t="s">
        <v>2224</v>
      </c>
      <c r="Y1343" s="424" t="s">
        <v>2279</v>
      </c>
      <c r="Z1343" s="424" t="s">
        <v>2826</v>
      </c>
      <c r="AA1343" s="424" t="s">
        <v>6229</v>
      </c>
      <c r="AB1343" s="424" t="s">
        <v>6371</v>
      </c>
      <c r="AC1343" s="424" t="s">
        <v>1953</v>
      </c>
      <c r="AD1343" s="424" t="s">
        <v>2851</v>
      </c>
      <c r="AE1343" s="424" t="s">
        <v>6306</v>
      </c>
      <c r="AF1343" s="424"/>
      <c r="AG1343" s="424"/>
      <c r="AH1343" s="424"/>
    </row>
    <row r="1344" spans="1:34" x14ac:dyDescent="0.25">
      <c r="A1344" s="423" t="s">
        <v>6224</v>
      </c>
      <c r="B1344" s="423" t="s">
        <v>6372</v>
      </c>
      <c r="C1344" s="423" t="s">
        <v>84</v>
      </c>
      <c r="D1344" s="423" t="s">
        <v>6226</v>
      </c>
      <c r="E1344" s="423" t="s">
        <v>236</v>
      </c>
      <c r="F1344" s="423">
        <v>48</v>
      </c>
      <c r="G1344" s="423">
        <v>226</v>
      </c>
      <c r="H1344" s="423">
        <v>2500</v>
      </c>
      <c r="J1344" s="423"/>
      <c r="K1344" s="423"/>
      <c r="L1344" s="423"/>
      <c r="M1344" s="423"/>
      <c r="Q1344" s="423"/>
      <c r="R1344" s="424" t="s">
        <v>6373</v>
      </c>
      <c r="S1344" s="424" t="s">
        <v>2820</v>
      </c>
      <c r="T1344" s="424" t="s">
        <v>6228</v>
      </c>
      <c r="U1344" s="424">
        <v>0</v>
      </c>
      <c r="V1344" s="424" t="s">
        <v>2823</v>
      </c>
      <c r="W1344" s="424" t="s">
        <v>2824</v>
      </c>
      <c r="X1344" s="424" t="s">
        <v>2224</v>
      </c>
      <c r="Y1344" s="424" t="s">
        <v>2279</v>
      </c>
      <c r="Z1344" s="424" t="s">
        <v>2826</v>
      </c>
      <c r="AA1344" s="424" t="s">
        <v>6229</v>
      </c>
      <c r="AB1344" s="424" t="s">
        <v>6374</v>
      </c>
      <c r="AC1344" s="424" t="s">
        <v>1953</v>
      </c>
      <c r="AD1344" s="424" t="s">
        <v>2851</v>
      </c>
      <c r="AE1344" s="424" t="s">
        <v>6231</v>
      </c>
      <c r="AF1344" s="424"/>
      <c r="AG1344" s="424"/>
      <c r="AH1344" s="424"/>
    </row>
    <row r="1345" spans="1:34" x14ac:dyDescent="0.25">
      <c r="A1345" s="423" t="s">
        <v>6224</v>
      </c>
      <c r="B1345" s="423" t="s">
        <v>6375</v>
      </c>
      <c r="C1345" s="423" t="s">
        <v>84</v>
      </c>
      <c r="D1345" s="423" t="s">
        <v>6226</v>
      </c>
      <c r="E1345" s="423" t="s">
        <v>236</v>
      </c>
      <c r="F1345" s="423">
        <v>48</v>
      </c>
      <c r="G1345" s="423">
        <v>226</v>
      </c>
      <c r="H1345" s="423">
        <v>2500</v>
      </c>
      <c r="J1345" s="423"/>
      <c r="K1345" s="423"/>
      <c r="L1345" s="423"/>
      <c r="M1345" s="423"/>
      <c r="Q1345" s="423"/>
      <c r="R1345" s="424" t="s">
        <v>6376</v>
      </c>
      <c r="S1345" s="424" t="s">
        <v>2820</v>
      </c>
      <c r="T1345" s="424" t="s">
        <v>6228</v>
      </c>
      <c r="U1345" s="424">
        <v>0</v>
      </c>
      <c r="V1345" s="424" t="s">
        <v>2823</v>
      </c>
      <c r="W1345" s="424" t="s">
        <v>2824</v>
      </c>
      <c r="X1345" s="424" t="s">
        <v>2224</v>
      </c>
      <c r="Y1345" s="424" t="s">
        <v>2279</v>
      </c>
      <c r="Z1345" s="424" t="s">
        <v>2826</v>
      </c>
      <c r="AA1345" s="424" t="s">
        <v>6229</v>
      </c>
      <c r="AB1345" s="424" t="s">
        <v>6377</v>
      </c>
      <c r="AC1345" s="424" t="s">
        <v>1953</v>
      </c>
      <c r="AD1345" s="424" t="s">
        <v>2851</v>
      </c>
      <c r="AE1345" s="424" t="s">
        <v>6231</v>
      </c>
      <c r="AF1345" s="424"/>
      <c r="AG1345" s="424"/>
      <c r="AH1345" s="424"/>
    </row>
    <row r="1346" spans="1:34" x14ac:dyDescent="0.25">
      <c r="A1346" s="423" t="s">
        <v>6224</v>
      </c>
      <c r="B1346" s="423" t="s">
        <v>6378</v>
      </c>
      <c r="C1346" s="423" t="s">
        <v>84</v>
      </c>
      <c r="D1346" s="423" t="s">
        <v>6226</v>
      </c>
      <c r="E1346" s="423" t="s">
        <v>236</v>
      </c>
      <c r="F1346" s="423">
        <v>48</v>
      </c>
      <c r="G1346" s="423">
        <v>226</v>
      </c>
      <c r="H1346" s="423">
        <v>2500</v>
      </c>
      <c r="J1346" s="423"/>
      <c r="K1346" s="423"/>
      <c r="L1346" s="423"/>
      <c r="M1346" s="423"/>
      <c r="Q1346" s="423"/>
      <c r="R1346" s="424" t="s">
        <v>6379</v>
      </c>
      <c r="S1346" s="424" t="s">
        <v>2820</v>
      </c>
      <c r="T1346" s="424" t="s">
        <v>6228</v>
      </c>
      <c r="U1346" s="424">
        <v>0</v>
      </c>
      <c r="V1346" s="424" t="s">
        <v>2823</v>
      </c>
      <c r="W1346" s="424" t="s">
        <v>2824</v>
      </c>
      <c r="X1346" s="424" t="s">
        <v>2224</v>
      </c>
      <c r="Y1346" s="424" t="s">
        <v>2279</v>
      </c>
      <c r="Z1346" s="424" t="s">
        <v>2826</v>
      </c>
      <c r="AA1346" s="424" t="s">
        <v>6229</v>
      </c>
      <c r="AB1346" s="424" t="s">
        <v>6380</v>
      </c>
      <c r="AC1346" s="424" t="s">
        <v>1953</v>
      </c>
      <c r="AD1346" s="424" t="s">
        <v>2851</v>
      </c>
      <c r="AE1346" s="424" t="s">
        <v>6231</v>
      </c>
      <c r="AF1346" s="424"/>
      <c r="AG1346" s="424"/>
      <c r="AH1346" s="424"/>
    </row>
    <row r="1347" spans="1:34" x14ac:dyDescent="0.25">
      <c r="A1347" s="423" t="s">
        <v>6224</v>
      </c>
      <c r="B1347" s="423" t="s">
        <v>6381</v>
      </c>
      <c r="C1347" s="423" t="s">
        <v>84</v>
      </c>
      <c r="D1347" s="423" t="s">
        <v>6226</v>
      </c>
      <c r="E1347" s="423" t="s">
        <v>236</v>
      </c>
      <c r="F1347" s="423">
        <v>48</v>
      </c>
      <c r="G1347" s="423">
        <v>226</v>
      </c>
      <c r="H1347" s="423">
        <v>2500</v>
      </c>
      <c r="J1347" s="423"/>
      <c r="K1347" s="423"/>
      <c r="L1347" s="423"/>
      <c r="M1347" s="423"/>
      <c r="Q1347" s="423"/>
      <c r="R1347" s="424" t="s">
        <v>6382</v>
      </c>
      <c r="S1347" s="424" t="s">
        <v>2820</v>
      </c>
      <c r="T1347" s="424" t="s">
        <v>6228</v>
      </c>
      <c r="U1347" s="424">
        <v>0</v>
      </c>
      <c r="V1347" s="424" t="s">
        <v>2823</v>
      </c>
      <c r="W1347" s="424" t="s">
        <v>2824</v>
      </c>
      <c r="X1347" s="424" t="s">
        <v>2224</v>
      </c>
      <c r="Y1347" s="424" t="s">
        <v>2279</v>
      </c>
      <c r="Z1347" s="424" t="s">
        <v>2826</v>
      </c>
      <c r="AA1347" s="424" t="s">
        <v>6229</v>
      </c>
      <c r="AB1347" s="424" t="s">
        <v>6383</v>
      </c>
      <c r="AC1347" s="424" t="s">
        <v>1953</v>
      </c>
      <c r="AD1347" s="424" t="s">
        <v>2851</v>
      </c>
      <c r="AE1347" s="424" t="s">
        <v>6231</v>
      </c>
      <c r="AF1347" s="424"/>
      <c r="AG1347" s="424"/>
      <c r="AH1347" s="424"/>
    </row>
    <row r="1348" spans="1:34" x14ac:dyDescent="0.25">
      <c r="A1348" s="423" t="s">
        <v>6224</v>
      </c>
      <c r="B1348" s="423" t="s">
        <v>6384</v>
      </c>
      <c r="C1348" s="423" t="s">
        <v>84</v>
      </c>
      <c r="D1348" s="423" t="s">
        <v>6226</v>
      </c>
      <c r="E1348" s="423" t="s">
        <v>236</v>
      </c>
      <c r="F1348" s="423">
        <v>48</v>
      </c>
      <c r="G1348" s="423">
        <v>226</v>
      </c>
      <c r="H1348" s="423">
        <v>2500</v>
      </c>
      <c r="J1348" s="423"/>
      <c r="K1348" s="423"/>
      <c r="L1348" s="423"/>
      <c r="M1348" s="423"/>
      <c r="Q1348" s="423"/>
      <c r="R1348" s="424" t="s">
        <v>6385</v>
      </c>
      <c r="S1348" s="424" t="s">
        <v>2820</v>
      </c>
      <c r="T1348" s="424" t="s">
        <v>6228</v>
      </c>
      <c r="U1348" s="424">
        <v>0</v>
      </c>
      <c r="V1348" s="424" t="s">
        <v>2823</v>
      </c>
      <c r="W1348" s="424" t="s">
        <v>2824</v>
      </c>
      <c r="X1348" s="424" t="s">
        <v>2224</v>
      </c>
      <c r="Y1348" s="424" t="s">
        <v>2279</v>
      </c>
      <c r="Z1348" s="424" t="s">
        <v>2826</v>
      </c>
      <c r="AA1348" s="424" t="s">
        <v>6229</v>
      </c>
      <c r="AB1348" s="424" t="s">
        <v>6386</v>
      </c>
      <c r="AC1348" s="424" t="s">
        <v>1953</v>
      </c>
      <c r="AD1348" s="424" t="s">
        <v>2851</v>
      </c>
      <c r="AE1348" s="424" t="s">
        <v>6231</v>
      </c>
      <c r="AF1348" s="424"/>
      <c r="AG1348" s="424"/>
      <c r="AH1348" s="424"/>
    </row>
    <row r="1349" spans="1:34" x14ac:dyDescent="0.25">
      <c r="A1349" s="423" t="s">
        <v>6224</v>
      </c>
      <c r="B1349" s="423" t="s">
        <v>6387</v>
      </c>
      <c r="C1349" s="423" t="s">
        <v>84</v>
      </c>
      <c r="D1349" s="423" t="s">
        <v>6226</v>
      </c>
      <c r="E1349" s="423" t="s">
        <v>236</v>
      </c>
      <c r="F1349" s="423">
        <v>48</v>
      </c>
      <c r="G1349" s="423">
        <v>226</v>
      </c>
      <c r="H1349" s="423">
        <v>2500</v>
      </c>
      <c r="J1349" s="423"/>
      <c r="K1349" s="423"/>
      <c r="L1349" s="423"/>
      <c r="M1349" s="423"/>
      <c r="Q1349" s="423"/>
      <c r="R1349" s="424" t="s">
        <v>6388</v>
      </c>
      <c r="S1349" s="424" t="s">
        <v>2820</v>
      </c>
      <c r="T1349" s="424" t="s">
        <v>6228</v>
      </c>
      <c r="U1349" s="424">
        <v>0</v>
      </c>
      <c r="V1349" s="424" t="s">
        <v>2823</v>
      </c>
      <c r="W1349" s="424" t="s">
        <v>2824</v>
      </c>
      <c r="X1349" s="424" t="s">
        <v>2224</v>
      </c>
      <c r="Y1349" s="424" t="s">
        <v>2279</v>
      </c>
      <c r="Z1349" s="424" t="s">
        <v>2826</v>
      </c>
      <c r="AA1349" s="424" t="s">
        <v>6229</v>
      </c>
      <c r="AB1349" s="424" t="s">
        <v>6389</v>
      </c>
      <c r="AC1349" s="424" t="s">
        <v>1953</v>
      </c>
      <c r="AD1349" s="424" t="s">
        <v>2851</v>
      </c>
      <c r="AE1349" s="424" t="s">
        <v>6231</v>
      </c>
      <c r="AF1349" s="424"/>
      <c r="AG1349" s="424"/>
      <c r="AH1349" s="424"/>
    </row>
    <row r="1350" spans="1:34" x14ac:dyDescent="0.25">
      <c r="A1350" s="423" t="s">
        <v>6224</v>
      </c>
      <c r="B1350" s="423" t="s">
        <v>6390</v>
      </c>
      <c r="C1350" s="423" t="s">
        <v>84</v>
      </c>
      <c r="D1350" s="423" t="s">
        <v>6226</v>
      </c>
      <c r="E1350" s="423" t="s">
        <v>236</v>
      </c>
      <c r="F1350" s="423">
        <v>48</v>
      </c>
      <c r="G1350" s="423">
        <v>226</v>
      </c>
      <c r="H1350" s="423">
        <v>2500</v>
      </c>
      <c r="J1350" s="423"/>
      <c r="K1350" s="423"/>
      <c r="L1350" s="423"/>
      <c r="M1350" s="423"/>
      <c r="Q1350" s="423"/>
      <c r="R1350" s="424" t="s">
        <v>6391</v>
      </c>
      <c r="S1350" s="424" t="s">
        <v>2820</v>
      </c>
      <c r="T1350" s="424" t="s">
        <v>6228</v>
      </c>
      <c r="U1350" s="424">
        <v>0</v>
      </c>
      <c r="V1350" s="424" t="s">
        <v>2823</v>
      </c>
      <c r="W1350" s="424" t="s">
        <v>2824</v>
      </c>
      <c r="X1350" s="424" t="s">
        <v>2224</v>
      </c>
      <c r="Y1350" s="424" t="s">
        <v>2279</v>
      </c>
      <c r="Z1350" s="424" t="s">
        <v>2826</v>
      </c>
      <c r="AA1350" s="424" t="s">
        <v>6229</v>
      </c>
      <c r="AB1350" s="424" t="s">
        <v>6392</v>
      </c>
      <c r="AC1350" s="424" t="s">
        <v>1953</v>
      </c>
      <c r="AD1350" s="424" t="s">
        <v>2851</v>
      </c>
      <c r="AE1350" s="424" t="s">
        <v>6231</v>
      </c>
      <c r="AF1350" s="424"/>
      <c r="AG1350" s="424"/>
      <c r="AH1350" s="424"/>
    </row>
    <row r="1351" spans="1:34" x14ac:dyDescent="0.25">
      <c r="A1351" s="423" t="s">
        <v>6224</v>
      </c>
      <c r="B1351" s="423" t="s">
        <v>6393</v>
      </c>
      <c r="C1351" s="423" t="s">
        <v>84</v>
      </c>
      <c r="D1351" s="423" t="s">
        <v>6226</v>
      </c>
      <c r="E1351" s="423" t="s">
        <v>236</v>
      </c>
      <c r="F1351" s="423">
        <v>48</v>
      </c>
      <c r="G1351" s="423">
        <v>226</v>
      </c>
      <c r="H1351" s="423">
        <v>2500</v>
      </c>
      <c r="J1351" s="423"/>
      <c r="K1351" s="423"/>
      <c r="L1351" s="423"/>
      <c r="M1351" s="423"/>
      <c r="Q1351" s="423"/>
      <c r="R1351" s="424" t="s">
        <v>6394</v>
      </c>
      <c r="S1351" s="424" t="s">
        <v>2820</v>
      </c>
      <c r="T1351" s="424" t="s">
        <v>6228</v>
      </c>
      <c r="U1351" s="424">
        <v>0</v>
      </c>
      <c r="V1351" s="424" t="s">
        <v>2823</v>
      </c>
      <c r="W1351" s="424" t="s">
        <v>2824</v>
      </c>
      <c r="X1351" s="424" t="s">
        <v>2224</v>
      </c>
      <c r="Y1351" s="424" t="s">
        <v>2279</v>
      </c>
      <c r="Z1351" s="424" t="s">
        <v>2826</v>
      </c>
      <c r="AA1351" s="424" t="s">
        <v>6229</v>
      </c>
      <c r="AB1351" s="424" t="s">
        <v>6395</v>
      </c>
      <c r="AC1351" s="424" t="s">
        <v>1953</v>
      </c>
      <c r="AD1351" s="424" t="s">
        <v>2851</v>
      </c>
      <c r="AE1351" s="424" t="s">
        <v>6231</v>
      </c>
      <c r="AF1351" s="424"/>
      <c r="AG1351" s="424"/>
      <c r="AH1351" s="424"/>
    </row>
    <row r="1352" spans="1:34" x14ac:dyDescent="0.25">
      <c r="A1352" s="423" t="s">
        <v>6224</v>
      </c>
      <c r="B1352" s="423" t="s">
        <v>6396</v>
      </c>
      <c r="C1352" s="423" t="s">
        <v>84</v>
      </c>
      <c r="D1352" s="423" t="s">
        <v>6226</v>
      </c>
      <c r="E1352" s="423" t="s">
        <v>236</v>
      </c>
      <c r="F1352" s="423">
        <v>48</v>
      </c>
      <c r="G1352" s="423">
        <v>226</v>
      </c>
      <c r="H1352" s="423">
        <v>2500</v>
      </c>
      <c r="J1352" s="423"/>
      <c r="K1352" s="423"/>
      <c r="L1352" s="423"/>
      <c r="M1352" s="423"/>
      <c r="Q1352" s="423"/>
      <c r="R1352" s="424" t="s">
        <v>6397</v>
      </c>
      <c r="S1352" s="424" t="s">
        <v>2820</v>
      </c>
      <c r="T1352" s="424" t="s">
        <v>6228</v>
      </c>
      <c r="U1352" s="424">
        <v>0</v>
      </c>
      <c r="V1352" s="424" t="s">
        <v>2823</v>
      </c>
      <c r="W1352" s="424" t="s">
        <v>2824</v>
      </c>
      <c r="X1352" s="424" t="s">
        <v>2224</v>
      </c>
      <c r="Y1352" s="424" t="s">
        <v>2279</v>
      </c>
      <c r="Z1352" s="424" t="s">
        <v>2826</v>
      </c>
      <c r="AA1352" s="424" t="s">
        <v>6229</v>
      </c>
      <c r="AB1352" s="424" t="s">
        <v>6398</v>
      </c>
      <c r="AC1352" s="424" t="s">
        <v>1953</v>
      </c>
      <c r="AD1352" s="424" t="s">
        <v>2851</v>
      </c>
      <c r="AE1352" s="424" t="s">
        <v>6231</v>
      </c>
      <c r="AF1352" s="424"/>
      <c r="AG1352" s="424"/>
      <c r="AH1352" s="424"/>
    </row>
    <row r="1353" spans="1:34" x14ac:dyDescent="0.25">
      <c r="A1353" s="423" t="s">
        <v>6224</v>
      </c>
      <c r="B1353" s="423" t="s">
        <v>6399</v>
      </c>
      <c r="C1353" s="423" t="s">
        <v>84</v>
      </c>
      <c r="D1353" s="423" t="s">
        <v>6226</v>
      </c>
      <c r="E1353" s="423" t="s">
        <v>236</v>
      </c>
      <c r="F1353" s="423">
        <v>48</v>
      </c>
      <c r="G1353" s="423">
        <v>226</v>
      </c>
      <c r="H1353" s="423">
        <v>2500</v>
      </c>
      <c r="J1353" s="423"/>
      <c r="K1353" s="423"/>
      <c r="L1353" s="423"/>
      <c r="M1353" s="423"/>
      <c r="Q1353" s="423"/>
      <c r="R1353" s="424" t="s">
        <v>6400</v>
      </c>
      <c r="S1353" s="424" t="s">
        <v>2820</v>
      </c>
      <c r="T1353" s="424" t="s">
        <v>6228</v>
      </c>
      <c r="U1353" s="424">
        <v>0</v>
      </c>
      <c r="V1353" s="424" t="s">
        <v>2823</v>
      </c>
      <c r="W1353" s="424" t="s">
        <v>2824</v>
      </c>
      <c r="X1353" s="424" t="s">
        <v>2224</v>
      </c>
      <c r="Y1353" s="424" t="s">
        <v>2279</v>
      </c>
      <c r="Z1353" s="424" t="s">
        <v>2826</v>
      </c>
      <c r="AA1353" s="424" t="s">
        <v>6229</v>
      </c>
      <c r="AB1353" s="424" t="s">
        <v>6401</v>
      </c>
      <c r="AC1353" s="424" t="s">
        <v>1953</v>
      </c>
      <c r="AD1353" s="424" t="s">
        <v>2851</v>
      </c>
      <c r="AE1353" s="424" t="s">
        <v>6231</v>
      </c>
      <c r="AF1353" s="424"/>
      <c r="AG1353" s="424"/>
      <c r="AH1353" s="424"/>
    </row>
    <row r="1354" spans="1:34" x14ac:dyDescent="0.25">
      <c r="A1354" s="423" t="s">
        <v>6224</v>
      </c>
      <c r="B1354" s="423" t="s">
        <v>6402</v>
      </c>
      <c r="C1354" s="423" t="s">
        <v>84</v>
      </c>
      <c r="D1354" s="423" t="s">
        <v>6226</v>
      </c>
      <c r="E1354" s="423" t="s">
        <v>236</v>
      </c>
      <c r="F1354" s="423">
        <v>48</v>
      </c>
      <c r="G1354" s="423">
        <v>226</v>
      </c>
      <c r="H1354" s="423">
        <v>2500</v>
      </c>
      <c r="J1354" s="423"/>
      <c r="K1354" s="423"/>
      <c r="L1354" s="423"/>
      <c r="M1354" s="423"/>
      <c r="Q1354" s="423"/>
      <c r="R1354" s="424" t="s">
        <v>6403</v>
      </c>
      <c r="S1354" s="424" t="s">
        <v>2820</v>
      </c>
      <c r="T1354" s="424" t="s">
        <v>6228</v>
      </c>
      <c r="U1354" s="424">
        <v>0</v>
      </c>
      <c r="V1354" s="424" t="s">
        <v>2823</v>
      </c>
      <c r="W1354" s="424" t="s">
        <v>2824</v>
      </c>
      <c r="X1354" s="424" t="s">
        <v>2224</v>
      </c>
      <c r="Y1354" s="424" t="s">
        <v>2279</v>
      </c>
      <c r="Z1354" s="424" t="s">
        <v>2826</v>
      </c>
      <c r="AA1354" s="424" t="s">
        <v>6229</v>
      </c>
      <c r="AB1354" s="424" t="s">
        <v>6404</v>
      </c>
      <c r="AC1354" s="424" t="s">
        <v>1953</v>
      </c>
      <c r="AD1354" s="424" t="s">
        <v>2851</v>
      </c>
      <c r="AE1354" s="424" t="s">
        <v>6231</v>
      </c>
      <c r="AF1354" s="424"/>
      <c r="AG1354" s="424"/>
      <c r="AH1354" s="424"/>
    </row>
    <row r="1355" spans="1:34" x14ac:dyDescent="0.25">
      <c r="A1355" s="423" t="s">
        <v>6224</v>
      </c>
      <c r="B1355" s="423" t="s">
        <v>6405</v>
      </c>
      <c r="C1355" s="423" t="s">
        <v>84</v>
      </c>
      <c r="D1355" s="423" t="s">
        <v>6226</v>
      </c>
      <c r="E1355" s="423" t="s">
        <v>236</v>
      </c>
      <c r="F1355" s="423">
        <v>48</v>
      </c>
      <c r="G1355" s="423">
        <v>226</v>
      </c>
      <c r="H1355" s="423">
        <v>2500</v>
      </c>
      <c r="J1355" s="423"/>
      <c r="K1355" s="423"/>
      <c r="L1355" s="423"/>
      <c r="M1355" s="423"/>
      <c r="Q1355" s="423"/>
      <c r="R1355" s="424" t="s">
        <v>6406</v>
      </c>
      <c r="S1355" s="424" t="s">
        <v>2820</v>
      </c>
      <c r="T1355" s="424" t="s">
        <v>6228</v>
      </c>
      <c r="U1355" s="424">
        <v>0</v>
      </c>
      <c r="V1355" s="424" t="s">
        <v>2823</v>
      </c>
      <c r="W1355" s="424" t="s">
        <v>2824</v>
      </c>
      <c r="X1355" s="424" t="s">
        <v>2224</v>
      </c>
      <c r="Y1355" s="424" t="s">
        <v>2279</v>
      </c>
      <c r="Z1355" s="424" t="s">
        <v>2826</v>
      </c>
      <c r="AA1355" s="424" t="s">
        <v>6229</v>
      </c>
      <c r="AB1355" s="424" t="s">
        <v>6407</v>
      </c>
      <c r="AC1355" s="424" t="s">
        <v>1953</v>
      </c>
      <c r="AD1355" s="424" t="s">
        <v>2851</v>
      </c>
      <c r="AE1355" s="424" t="s">
        <v>6231</v>
      </c>
      <c r="AF1355" s="424"/>
      <c r="AG1355" s="424"/>
      <c r="AH1355" s="424"/>
    </row>
    <row r="1356" spans="1:34" x14ac:dyDescent="0.25">
      <c r="A1356" s="423" t="s">
        <v>6224</v>
      </c>
      <c r="B1356" s="423" t="s">
        <v>6408</v>
      </c>
      <c r="C1356" s="423" t="s">
        <v>84</v>
      </c>
      <c r="D1356" s="423" t="s">
        <v>6226</v>
      </c>
      <c r="E1356" s="423" t="s">
        <v>236</v>
      </c>
      <c r="F1356" s="423">
        <v>48</v>
      </c>
      <c r="G1356" s="423">
        <v>196</v>
      </c>
      <c r="H1356" s="423">
        <v>55000</v>
      </c>
      <c r="J1356" s="423"/>
      <c r="K1356" s="423"/>
      <c r="L1356" s="423"/>
      <c r="M1356" s="423"/>
      <c r="Q1356" s="423"/>
      <c r="R1356" s="424" t="s">
        <v>6408</v>
      </c>
      <c r="S1356" s="424" t="s">
        <v>2820</v>
      </c>
      <c r="T1356" s="424" t="s">
        <v>6409</v>
      </c>
      <c r="U1356" s="424">
        <v>0</v>
      </c>
      <c r="V1356" s="424" t="s">
        <v>2824</v>
      </c>
      <c r="W1356" s="424" t="s">
        <v>2824</v>
      </c>
      <c r="X1356" s="424" t="s">
        <v>2224</v>
      </c>
      <c r="Y1356" s="424" t="s">
        <v>3983</v>
      </c>
      <c r="Z1356" s="424" t="s">
        <v>2872</v>
      </c>
      <c r="AA1356" s="424" t="s">
        <v>3197</v>
      </c>
      <c r="AB1356" s="424" t="s">
        <v>6410</v>
      </c>
      <c r="AC1356" s="424" t="s">
        <v>1953</v>
      </c>
      <c r="AD1356" s="424" t="s">
        <v>2892</v>
      </c>
      <c r="AE1356" s="424" t="s">
        <v>6411</v>
      </c>
      <c r="AF1356" s="424"/>
      <c r="AG1356" s="424"/>
      <c r="AH1356" s="424"/>
    </row>
    <row r="1357" spans="1:34" x14ac:dyDescent="0.25">
      <c r="A1357" s="423" t="s">
        <v>6224</v>
      </c>
      <c r="B1357" s="423" t="s">
        <v>6412</v>
      </c>
      <c r="C1357" s="423" t="s">
        <v>84</v>
      </c>
      <c r="D1357" s="423" t="s">
        <v>6226</v>
      </c>
      <c r="E1357" s="423" t="s">
        <v>236</v>
      </c>
      <c r="F1357" s="423">
        <v>48</v>
      </c>
      <c r="G1357" s="423">
        <v>196</v>
      </c>
      <c r="H1357" s="423">
        <v>55000</v>
      </c>
      <c r="J1357" s="423"/>
      <c r="K1357" s="423"/>
      <c r="L1357" s="423"/>
      <c r="M1357" s="423"/>
      <c r="Q1357" s="423"/>
      <c r="R1357" s="424" t="s">
        <v>6412</v>
      </c>
      <c r="S1357" s="424" t="s">
        <v>2820</v>
      </c>
      <c r="T1357" s="424" t="s">
        <v>6409</v>
      </c>
      <c r="U1357" s="424">
        <v>0</v>
      </c>
      <c r="V1357" s="424" t="s">
        <v>2824</v>
      </c>
      <c r="W1357" s="424" t="s">
        <v>2823</v>
      </c>
      <c r="X1357" s="424" t="s">
        <v>2224</v>
      </c>
      <c r="Y1357" s="424" t="s">
        <v>3983</v>
      </c>
      <c r="Z1357" s="424" t="s">
        <v>2872</v>
      </c>
      <c r="AA1357" s="424" t="s">
        <v>3197</v>
      </c>
      <c r="AB1357" s="424" t="s">
        <v>6413</v>
      </c>
      <c r="AC1357" s="424" t="s">
        <v>1953</v>
      </c>
      <c r="AD1357" s="424" t="s">
        <v>2892</v>
      </c>
      <c r="AE1357" s="424" t="s">
        <v>6411</v>
      </c>
      <c r="AF1357" s="424"/>
      <c r="AG1357" s="424"/>
      <c r="AH1357" s="424"/>
    </row>
    <row r="1358" spans="1:34" x14ac:dyDescent="0.25">
      <c r="A1358" s="423" t="s">
        <v>6224</v>
      </c>
      <c r="B1358" s="423" t="s">
        <v>6414</v>
      </c>
      <c r="C1358" s="423" t="s">
        <v>84</v>
      </c>
      <c r="D1358" s="423" t="s">
        <v>6226</v>
      </c>
      <c r="E1358" s="423" t="s">
        <v>236</v>
      </c>
      <c r="F1358" s="423">
        <v>48</v>
      </c>
      <c r="G1358" s="423">
        <v>196</v>
      </c>
      <c r="H1358" s="423">
        <v>55000</v>
      </c>
      <c r="J1358" s="423"/>
      <c r="K1358" s="423"/>
      <c r="L1358" s="423"/>
      <c r="M1358" s="423"/>
      <c r="Q1358" s="423"/>
      <c r="R1358" s="424" t="s">
        <v>6414</v>
      </c>
      <c r="S1358" s="424" t="s">
        <v>2820</v>
      </c>
      <c r="T1358" s="424" t="s">
        <v>6409</v>
      </c>
      <c r="U1358" s="424">
        <v>0</v>
      </c>
      <c r="V1358" s="424" t="s">
        <v>2824</v>
      </c>
      <c r="W1358" s="424" t="s">
        <v>2823</v>
      </c>
      <c r="X1358" s="424" t="s">
        <v>2224</v>
      </c>
      <c r="Y1358" s="424" t="s">
        <v>3983</v>
      </c>
      <c r="Z1358" s="424" t="s">
        <v>2872</v>
      </c>
      <c r="AA1358" s="424" t="s">
        <v>3197</v>
      </c>
      <c r="AB1358" s="424" t="s">
        <v>6415</v>
      </c>
      <c r="AC1358" s="424" t="s">
        <v>1953</v>
      </c>
      <c r="AD1358" s="424" t="s">
        <v>2892</v>
      </c>
      <c r="AE1358" s="424" t="s">
        <v>6411</v>
      </c>
      <c r="AF1358" s="424"/>
      <c r="AG1358" s="424"/>
      <c r="AH1358" s="424"/>
    </row>
    <row r="1359" spans="1:34" x14ac:dyDescent="0.25">
      <c r="A1359" s="423" t="s">
        <v>6224</v>
      </c>
      <c r="B1359" s="423" t="s">
        <v>6416</v>
      </c>
      <c r="C1359" s="423" t="s">
        <v>84</v>
      </c>
      <c r="D1359" s="423" t="s">
        <v>6226</v>
      </c>
      <c r="E1359" s="423" t="s">
        <v>236</v>
      </c>
      <c r="F1359" s="423">
        <v>48</v>
      </c>
      <c r="G1359" s="423">
        <v>196</v>
      </c>
      <c r="H1359" s="423">
        <v>55000</v>
      </c>
      <c r="J1359" s="423"/>
      <c r="K1359" s="423"/>
      <c r="L1359" s="423"/>
      <c r="M1359" s="423"/>
      <c r="Q1359" s="423"/>
      <c r="R1359" s="424" t="s">
        <v>6416</v>
      </c>
      <c r="S1359" s="424" t="s">
        <v>2820</v>
      </c>
      <c r="T1359" s="424" t="s">
        <v>6409</v>
      </c>
      <c r="U1359" s="424">
        <v>0</v>
      </c>
      <c r="V1359" s="424" t="s">
        <v>2824</v>
      </c>
      <c r="W1359" s="424" t="s">
        <v>2823</v>
      </c>
      <c r="X1359" s="424" t="s">
        <v>2224</v>
      </c>
      <c r="Y1359" s="424" t="s">
        <v>3983</v>
      </c>
      <c r="Z1359" s="424" t="s">
        <v>2872</v>
      </c>
      <c r="AA1359" s="424" t="s">
        <v>3197</v>
      </c>
      <c r="AB1359" s="424" t="s">
        <v>6417</v>
      </c>
      <c r="AC1359" s="424" t="s">
        <v>1953</v>
      </c>
      <c r="AD1359" s="424" t="s">
        <v>2892</v>
      </c>
      <c r="AE1359" s="424" t="s">
        <v>6411</v>
      </c>
      <c r="AF1359" s="424"/>
      <c r="AG1359" s="424"/>
      <c r="AH1359" s="424"/>
    </row>
    <row r="1360" spans="1:34" x14ac:dyDescent="0.25">
      <c r="A1360" s="423" t="s">
        <v>6224</v>
      </c>
      <c r="B1360" s="423" t="s">
        <v>6418</v>
      </c>
      <c r="C1360" s="423" t="s">
        <v>84</v>
      </c>
      <c r="D1360" s="423" t="s">
        <v>6226</v>
      </c>
      <c r="E1360" s="423" t="s">
        <v>236</v>
      </c>
      <c r="F1360" s="423">
        <v>48</v>
      </c>
      <c r="G1360" s="423">
        <v>196</v>
      </c>
      <c r="H1360" s="423">
        <v>55000</v>
      </c>
      <c r="J1360" s="423"/>
      <c r="K1360" s="423"/>
      <c r="L1360" s="423"/>
      <c r="M1360" s="423"/>
      <c r="Q1360" s="423"/>
      <c r="R1360" s="424" t="s">
        <v>6418</v>
      </c>
      <c r="S1360" s="424" t="s">
        <v>2820</v>
      </c>
      <c r="T1360" s="424" t="s">
        <v>6409</v>
      </c>
      <c r="U1360" s="424">
        <v>0</v>
      </c>
      <c r="V1360" s="424" t="s">
        <v>2824</v>
      </c>
      <c r="W1360" s="424" t="s">
        <v>2823</v>
      </c>
      <c r="X1360" s="424" t="s">
        <v>2224</v>
      </c>
      <c r="Y1360" s="424" t="s">
        <v>3983</v>
      </c>
      <c r="Z1360" s="424" t="s">
        <v>2872</v>
      </c>
      <c r="AA1360" s="424" t="s">
        <v>3197</v>
      </c>
      <c r="AB1360" s="424" t="s">
        <v>6419</v>
      </c>
      <c r="AC1360" s="424" t="s">
        <v>1953</v>
      </c>
      <c r="AD1360" s="424" t="s">
        <v>2892</v>
      </c>
      <c r="AE1360" s="424" t="s">
        <v>6411</v>
      </c>
      <c r="AF1360" s="424"/>
      <c r="AG1360" s="424"/>
      <c r="AH1360" s="424"/>
    </row>
    <row r="1361" spans="1:34" x14ac:dyDescent="0.25">
      <c r="A1361" s="423" t="s">
        <v>6224</v>
      </c>
      <c r="B1361" s="423" t="s">
        <v>6420</v>
      </c>
      <c r="C1361" s="423" t="s">
        <v>84</v>
      </c>
      <c r="D1361" s="423" t="s">
        <v>6226</v>
      </c>
      <c r="E1361" s="423" t="s">
        <v>236</v>
      </c>
      <c r="F1361" s="423">
        <v>48</v>
      </c>
      <c r="G1361" s="423">
        <v>196</v>
      </c>
      <c r="H1361" s="423">
        <v>55000</v>
      </c>
      <c r="J1361" s="423"/>
      <c r="K1361" s="423"/>
      <c r="L1361" s="423"/>
      <c r="M1361" s="423"/>
      <c r="Q1361" s="423"/>
      <c r="R1361" s="424" t="s">
        <v>6420</v>
      </c>
      <c r="S1361" s="424" t="s">
        <v>2820</v>
      </c>
      <c r="T1361" s="424" t="s">
        <v>6409</v>
      </c>
      <c r="U1361" s="424">
        <v>0</v>
      </c>
      <c r="V1361" s="424" t="s">
        <v>2823</v>
      </c>
      <c r="W1361" s="424" t="s">
        <v>2823</v>
      </c>
      <c r="X1361" s="424" t="s">
        <v>2224</v>
      </c>
      <c r="Y1361" s="424" t="s">
        <v>3983</v>
      </c>
      <c r="Z1361" s="424" t="s">
        <v>2872</v>
      </c>
      <c r="AA1361" s="424" t="s">
        <v>3197</v>
      </c>
      <c r="AB1361" s="424" t="s">
        <v>6421</v>
      </c>
      <c r="AC1361" s="424" t="s">
        <v>1953</v>
      </c>
      <c r="AD1361" s="424" t="s">
        <v>2892</v>
      </c>
      <c r="AE1361" s="424" t="s">
        <v>6411</v>
      </c>
      <c r="AF1361" s="424"/>
      <c r="AG1361" s="424"/>
      <c r="AH1361" s="424"/>
    </row>
    <row r="1362" spans="1:34" x14ac:dyDescent="0.25">
      <c r="A1362" s="423" t="s">
        <v>6224</v>
      </c>
      <c r="B1362" s="423" t="s">
        <v>6422</v>
      </c>
      <c r="C1362" s="423" t="s">
        <v>84</v>
      </c>
      <c r="D1362" s="423" t="s">
        <v>6226</v>
      </c>
      <c r="E1362" s="423" t="s">
        <v>236</v>
      </c>
      <c r="F1362" s="423">
        <v>48</v>
      </c>
      <c r="G1362" s="423">
        <v>196</v>
      </c>
      <c r="H1362" s="423">
        <v>55000</v>
      </c>
      <c r="J1362" s="423"/>
      <c r="K1362" s="423"/>
      <c r="L1362" s="423"/>
      <c r="M1362" s="423"/>
      <c r="Q1362" s="423"/>
      <c r="R1362" s="424" t="s">
        <v>6422</v>
      </c>
      <c r="S1362" s="424" t="s">
        <v>2820</v>
      </c>
      <c r="T1362" s="424" t="s">
        <v>6409</v>
      </c>
      <c r="U1362" s="424">
        <v>0</v>
      </c>
      <c r="V1362" s="424" t="s">
        <v>2823</v>
      </c>
      <c r="W1362" s="424" t="s">
        <v>2823</v>
      </c>
      <c r="X1362" s="424" t="s">
        <v>2224</v>
      </c>
      <c r="Y1362" s="424" t="s">
        <v>3983</v>
      </c>
      <c r="Z1362" s="424" t="s">
        <v>2872</v>
      </c>
      <c r="AA1362" s="424" t="s">
        <v>3197</v>
      </c>
      <c r="AB1362" s="424" t="s">
        <v>6423</v>
      </c>
      <c r="AC1362" s="424" t="s">
        <v>1953</v>
      </c>
      <c r="AD1362" s="424" t="s">
        <v>2892</v>
      </c>
      <c r="AE1362" s="424" t="s">
        <v>6411</v>
      </c>
      <c r="AF1362" s="424"/>
      <c r="AG1362" s="424"/>
      <c r="AH1362" s="424"/>
    </row>
    <row r="1363" spans="1:34" x14ac:dyDescent="0.25">
      <c r="A1363" s="423" t="s">
        <v>6224</v>
      </c>
      <c r="B1363" s="423" t="s">
        <v>6424</v>
      </c>
      <c r="C1363" s="423" t="s">
        <v>84</v>
      </c>
      <c r="D1363" s="423" t="s">
        <v>6226</v>
      </c>
      <c r="E1363" s="423" t="s">
        <v>236</v>
      </c>
      <c r="F1363" s="423">
        <v>48</v>
      </c>
      <c r="G1363" s="423">
        <v>196</v>
      </c>
      <c r="H1363" s="423">
        <v>55000</v>
      </c>
      <c r="J1363" s="423"/>
      <c r="K1363" s="423"/>
      <c r="L1363" s="423"/>
      <c r="M1363" s="423"/>
      <c r="Q1363" s="423"/>
      <c r="R1363" s="424" t="s">
        <v>6424</v>
      </c>
      <c r="S1363" s="424" t="s">
        <v>2820</v>
      </c>
      <c r="T1363" s="424" t="s">
        <v>6409</v>
      </c>
      <c r="U1363" s="424">
        <v>0</v>
      </c>
      <c r="V1363" s="424" t="s">
        <v>2823</v>
      </c>
      <c r="W1363" s="424" t="s">
        <v>2823</v>
      </c>
      <c r="X1363" s="424" t="s">
        <v>2224</v>
      </c>
      <c r="Y1363" s="424" t="s">
        <v>3983</v>
      </c>
      <c r="Z1363" s="424" t="s">
        <v>2872</v>
      </c>
      <c r="AA1363" s="424" t="s">
        <v>3197</v>
      </c>
      <c r="AB1363" s="424" t="s">
        <v>6425</v>
      </c>
      <c r="AC1363" s="424" t="s">
        <v>1953</v>
      </c>
      <c r="AD1363" s="424" t="s">
        <v>2892</v>
      </c>
      <c r="AE1363" s="424" t="s">
        <v>6411</v>
      </c>
      <c r="AF1363" s="424"/>
      <c r="AG1363" s="424"/>
      <c r="AH1363" s="424"/>
    </row>
    <row r="1364" spans="1:34" x14ac:dyDescent="0.25">
      <c r="A1364" s="423" t="s">
        <v>6224</v>
      </c>
      <c r="B1364" s="423" t="s">
        <v>6426</v>
      </c>
      <c r="C1364" s="423" t="s">
        <v>84</v>
      </c>
      <c r="D1364" s="423" t="s">
        <v>6226</v>
      </c>
      <c r="E1364" s="423" t="s">
        <v>236</v>
      </c>
      <c r="F1364" s="423">
        <v>48</v>
      </c>
      <c r="G1364" s="423">
        <v>196</v>
      </c>
      <c r="H1364" s="423">
        <v>55000</v>
      </c>
      <c r="J1364" s="423"/>
      <c r="K1364" s="423"/>
      <c r="L1364" s="423"/>
      <c r="M1364" s="423"/>
      <c r="Q1364" s="423"/>
      <c r="R1364" s="424" t="s">
        <v>6426</v>
      </c>
      <c r="S1364" s="424" t="s">
        <v>2820</v>
      </c>
      <c r="T1364" s="424" t="s">
        <v>6409</v>
      </c>
      <c r="U1364" s="424">
        <v>0</v>
      </c>
      <c r="V1364" s="424" t="s">
        <v>2823</v>
      </c>
      <c r="W1364" s="424" t="s">
        <v>2823</v>
      </c>
      <c r="X1364" s="424" t="s">
        <v>2224</v>
      </c>
      <c r="Y1364" s="424" t="s">
        <v>3983</v>
      </c>
      <c r="Z1364" s="424" t="s">
        <v>2872</v>
      </c>
      <c r="AA1364" s="424" t="s">
        <v>3197</v>
      </c>
      <c r="AB1364" s="424" t="s">
        <v>6427</v>
      </c>
      <c r="AC1364" s="424" t="s">
        <v>1953</v>
      </c>
      <c r="AD1364" s="424" t="s">
        <v>2892</v>
      </c>
      <c r="AE1364" s="424" t="s">
        <v>6428</v>
      </c>
      <c r="AF1364" s="424"/>
      <c r="AG1364" s="424"/>
      <c r="AH1364" s="424"/>
    </row>
    <row r="1365" spans="1:34" x14ac:dyDescent="0.25">
      <c r="A1365" s="423" t="s">
        <v>6224</v>
      </c>
      <c r="B1365" s="423" t="s">
        <v>6429</v>
      </c>
      <c r="C1365" s="423" t="s">
        <v>84</v>
      </c>
      <c r="D1365" s="423" t="s">
        <v>6226</v>
      </c>
      <c r="E1365" s="423" t="s">
        <v>236</v>
      </c>
      <c r="F1365" s="423">
        <v>48</v>
      </c>
      <c r="G1365" s="423">
        <v>196</v>
      </c>
      <c r="H1365" s="423">
        <v>55000</v>
      </c>
      <c r="J1365" s="423"/>
      <c r="K1365" s="423"/>
      <c r="L1365" s="423"/>
      <c r="M1365" s="423"/>
      <c r="Q1365" s="423"/>
      <c r="R1365" s="424" t="s">
        <v>6429</v>
      </c>
      <c r="S1365" s="424" t="s">
        <v>2820</v>
      </c>
      <c r="T1365" s="424" t="s">
        <v>6409</v>
      </c>
      <c r="U1365" s="424">
        <v>0</v>
      </c>
      <c r="V1365" s="424" t="s">
        <v>2823</v>
      </c>
      <c r="W1365" s="424" t="s">
        <v>2823</v>
      </c>
      <c r="X1365" s="424" t="s">
        <v>2224</v>
      </c>
      <c r="Y1365" s="424" t="s">
        <v>3983</v>
      </c>
      <c r="Z1365" s="424" t="s">
        <v>2872</v>
      </c>
      <c r="AA1365" s="424" t="s">
        <v>3197</v>
      </c>
      <c r="AB1365" s="424" t="s">
        <v>6430</v>
      </c>
      <c r="AC1365" s="424" t="s">
        <v>1953</v>
      </c>
      <c r="AD1365" s="424" t="s">
        <v>2892</v>
      </c>
      <c r="AE1365" s="424" t="s">
        <v>6428</v>
      </c>
      <c r="AF1365" s="424"/>
      <c r="AG1365" s="424"/>
      <c r="AH1365" s="424"/>
    </row>
    <row r="1366" spans="1:34" x14ac:dyDescent="0.25">
      <c r="A1366" s="423" t="s">
        <v>6224</v>
      </c>
      <c r="B1366" s="423" t="s">
        <v>6431</v>
      </c>
      <c r="C1366" s="423" t="s">
        <v>84</v>
      </c>
      <c r="D1366" s="423" t="s">
        <v>6226</v>
      </c>
      <c r="E1366" s="423" t="s">
        <v>236</v>
      </c>
      <c r="F1366" s="423">
        <v>48</v>
      </c>
      <c r="G1366" s="423">
        <v>196</v>
      </c>
      <c r="H1366" s="423">
        <v>55000</v>
      </c>
      <c r="J1366" s="423"/>
      <c r="K1366" s="423"/>
      <c r="L1366" s="423"/>
      <c r="M1366" s="423"/>
      <c r="Q1366" s="423"/>
      <c r="R1366" s="424" t="s">
        <v>6431</v>
      </c>
      <c r="S1366" s="424" t="s">
        <v>2820</v>
      </c>
      <c r="T1366" s="424" t="s">
        <v>6409</v>
      </c>
      <c r="U1366" s="424">
        <v>0</v>
      </c>
      <c r="V1366" s="424" t="s">
        <v>2823</v>
      </c>
      <c r="W1366" s="424" t="s">
        <v>2823</v>
      </c>
      <c r="X1366" s="424" t="s">
        <v>2224</v>
      </c>
      <c r="Y1366" s="424" t="s">
        <v>3983</v>
      </c>
      <c r="Z1366" s="424" t="s">
        <v>2872</v>
      </c>
      <c r="AA1366" s="424" t="s">
        <v>3197</v>
      </c>
      <c r="AB1366" s="424" t="s">
        <v>6432</v>
      </c>
      <c r="AC1366" s="424" t="s">
        <v>1953</v>
      </c>
      <c r="AD1366" s="424" t="s">
        <v>2892</v>
      </c>
      <c r="AE1366" s="424" t="s">
        <v>6428</v>
      </c>
      <c r="AF1366" s="424"/>
      <c r="AG1366" s="424"/>
      <c r="AH1366" s="424"/>
    </row>
    <row r="1367" spans="1:34" x14ac:dyDescent="0.25">
      <c r="A1367" s="423" t="s">
        <v>6224</v>
      </c>
      <c r="B1367" s="423" t="s">
        <v>6433</v>
      </c>
      <c r="C1367" s="423" t="s">
        <v>84</v>
      </c>
      <c r="D1367" s="423" t="s">
        <v>6226</v>
      </c>
      <c r="E1367" s="423" t="s">
        <v>236</v>
      </c>
      <c r="F1367" s="423">
        <v>48</v>
      </c>
      <c r="G1367" s="423">
        <v>196</v>
      </c>
      <c r="H1367" s="423">
        <v>55000</v>
      </c>
      <c r="J1367" s="423"/>
      <c r="K1367" s="423"/>
      <c r="L1367" s="423"/>
      <c r="M1367" s="423"/>
      <c r="Q1367" s="423"/>
      <c r="R1367" s="424" t="s">
        <v>6433</v>
      </c>
      <c r="S1367" s="424" t="s">
        <v>2820</v>
      </c>
      <c r="T1367" s="424" t="s">
        <v>6409</v>
      </c>
      <c r="U1367" s="424">
        <v>0</v>
      </c>
      <c r="V1367" s="424" t="s">
        <v>2823</v>
      </c>
      <c r="W1367" s="424" t="s">
        <v>2823</v>
      </c>
      <c r="X1367" s="424" t="s">
        <v>2224</v>
      </c>
      <c r="Y1367" s="424" t="s">
        <v>3983</v>
      </c>
      <c r="Z1367" s="424" t="s">
        <v>2872</v>
      </c>
      <c r="AA1367" s="424" t="s">
        <v>3197</v>
      </c>
      <c r="AB1367" s="424" t="s">
        <v>6434</v>
      </c>
      <c r="AC1367" s="424" t="s">
        <v>1953</v>
      </c>
      <c r="AD1367" s="424" t="s">
        <v>2892</v>
      </c>
      <c r="AE1367" s="424" t="s">
        <v>6428</v>
      </c>
      <c r="AF1367" s="424"/>
      <c r="AG1367" s="424"/>
      <c r="AH1367" s="424"/>
    </row>
    <row r="1368" spans="1:34" x14ac:dyDescent="0.25">
      <c r="A1368" s="423" t="s">
        <v>6224</v>
      </c>
      <c r="B1368" s="423" t="s">
        <v>6435</v>
      </c>
      <c r="C1368" s="423" t="s">
        <v>84</v>
      </c>
      <c r="D1368" s="423" t="s">
        <v>6226</v>
      </c>
      <c r="E1368" s="423" t="s">
        <v>236</v>
      </c>
      <c r="F1368" s="423">
        <v>48</v>
      </c>
      <c r="G1368" s="423">
        <v>196</v>
      </c>
      <c r="H1368" s="423">
        <v>55000</v>
      </c>
      <c r="J1368" s="423"/>
      <c r="K1368" s="423"/>
      <c r="L1368" s="423"/>
      <c r="M1368" s="423"/>
      <c r="Q1368" s="423"/>
      <c r="R1368" s="424" t="s">
        <v>6435</v>
      </c>
      <c r="S1368" s="424" t="s">
        <v>2820</v>
      </c>
      <c r="T1368" s="424" t="s">
        <v>6409</v>
      </c>
      <c r="U1368" s="424">
        <v>0</v>
      </c>
      <c r="V1368" s="424" t="s">
        <v>2823</v>
      </c>
      <c r="W1368" s="424" t="s">
        <v>2823</v>
      </c>
      <c r="X1368" s="424" t="s">
        <v>2224</v>
      </c>
      <c r="Y1368" s="424" t="s">
        <v>3983</v>
      </c>
      <c r="Z1368" s="424" t="s">
        <v>2872</v>
      </c>
      <c r="AA1368" s="424" t="s">
        <v>3197</v>
      </c>
      <c r="AB1368" s="424" t="s">
        <v>6436</v>
      </c>
      <c r="AC1368" s="424" t="s">
        <v>1953</v>
      </c>
      <c r="AD1368" s="424" t="s">
        <v>2892</v>
      </c>
      <c r="AE1368" s="424" t="s">
        <v>6428</v>
      </c>
      <c r="AF1368" s="424"/>
      <c r="AG1368" s="424"/>
      <c r="AH1368" s="424"/>
    </row>
    <row r="1369" spans="1:34" x14ac:dyDescent="0.25">
      <c r="A1369" s="423" t="s">
        <v>6224</v>
      </c>
      <c r="B1369" s="423" t="s">
        <v>6437</v>
      </c>
      <c r="C1369" s="423" t="s">
        <v>84</v>
      </c>
      <c r="D1369" s="423" t="s">
        <v>6226</v>
      </c>
      <c r="E1369" s="423" t="s">
        <v>236</v>
      </c>
      <c r="F1369" s="423">
        <v>48</v>
      </c>
      <c r="G1369" s="423">
        <v>196</v>
      </c>
      <c r="H1369" s="423">
        <v>55000</v>
      </c>
      <c r="J1369" s="423"/>
      <c r="K1369" s="423"/>
      <c r="L1369" s="423"/>
      <c r="M1369" s="423"/>
      <c r="Q1369" s="423"/>
      <c r="R1369" s="424" t="s">
        <v>6437</v>
      </c>
      <c r="S1369" s="424" t="s">
        <v>2820</v>
      </c>
      <c r="T1369" s="424" t="s">
        <v>6409</v>
      </c>
      <c r="U1369" s="424">
        <v>0</v>
      </c>
      <c r="V1369" s="424" t="s">
        <v>2823</v>
      </c>
      <c r="W1369" s="424" t="s">
        <v>2823</v>
      </c>
      <c r="X1369" s="424" t="s">
        <v>2224</v>
      </c>
      <c r="Y1369" s="424" t="s">
        <v>3983</v>
      </c>
      <c r="Z1369" s="424" t="s">
        <v>2872</v>
      </c>
      <c r="AA1369" s="424" t="s">
        <v>3197</v>
      </c>
      <c r="AB1369" s="424" t="s">
        <v>6438</v>
      </c>
      <c r="AC1369" s="424" t="s">
        <v>1953</v>
      </c>
      <c r="AD1369" s="424" t="s">
        <v>2892</v>
      </c>
      <c r="AE1369" s="424" t="s">
        <v>6428</v>
      </c>
      <c r="AF1369" s="424"/>
      <c r="AG1369" s="424"/>
      <c r="AH1369" s="424"/>
    </row>
    <row r="1370" spans="1:34" x14ac:dyDescent="0.25">
      <c r="A1370" s="423" t="s">
        <v>6224</v>
      </c>
      <c r="B1370" s="423" t="s">
        <v>6439</v>
      </c>
      <c r="C1370" s="423" t="s">
        <v>84</v>
      </c>
      <c r="D1370" s="423" t="s">
        <v>6226</v>
      </c>
      <c r="E1370" s="423" t="s">
        <v>236</v>
      </c>
      <c r="F1370" s="423">
        <v>48</v>
      </c>
      <c r="G1370" s="423">
        <v>196</v>
      </c>
      <c r="H1370" s="423">
        <v>55000</v>
      </c>
      <c r="J1370" s="423"/>
      <c r="K1370" s="423"/>
      <c r="L1370" s="423"/>
      <c r="M1370" s="423"/>
      <c r="Q1370" s="423"/>
      <c r="R1370" s="424" t="s">
        <v>6439</v>
      </c>
      <c r="S1370" s="424" t="s">
        <v>2820</v>
      </c>
      <c r="T1370" s="424" t="s">
        <v>6409</v>
      </c>
      <c r="U1370" s="424">
        <v>0</v>
      </c>
      <c r="V1370" s="424" t="s">
        <v>2823</v>
      </c>
      <c r="W1370" s="424" t="s">
        <v>2823</v>
      </c>
      <c r="X1370" s="424" t="s">
        <v>2224</v>
      </c>
      <c r="Y1370" s="424" t="s">
        <v>3983</v>
      </c>
      <c r="Z1370" s="424" t="s">
        <v>2872</v>
      </c>
      <c r="AA1370" s="424" t="s">
        <v>3197</v>
      </c>
      <c r="AB1370" s="424" t="s">
        <v>6440</v>
      </c>
      <c r="AC1370" s="424" t="s">
        <v>1953</v>
      </c>
      <c r="AD1370" s="424" t="s">
        <v>2892</v>
      </c>
      <c r="AE1370" s="424" t="s">
        <v>6428</v>
      </c>
      <c r="AF1370" s="424"/>
      <c r="AG1370" s="424"/>
      <c r="AH1370" s="424"/>
    </row>
    <row r="1371" spans="1:34" x14ac:dyDescent="0.25">
      <c r="A1371" s="423" t="s">
        <v>6224</v>
      </c>
      <c r="B1371" s="423" t="s">
        <v>6441</v>
      </c>
      <c r="C1371" s="423" t="s">
        <v>84</v>
      </c>
      <c r="D1371" s="423" t="s">
        <v>6226</v>
      </c>
      <c r="E1371" s="423" t="s">
        <v>236</v>
      </c>
      <c r="F1371" s="423">
        <v>48</v>
      </c>
      <c r="G1371" s="423">
        <v>196</v>
      </c>
      <c r="H1371" s="423">
        <v>55000</v>
      </c>
      <c r="J1371" s="423"/>
      <c r="K1371" s="423"/>
      <c r="L1371" s="423"/>
      <c r="M1371" s="423"/>
      <c r="Q1371" s="423"/>
      <c r="R1371" s="424" t="s">
        <v>6441</v>
      </c>
      <c r="S1371" s="424" t="s">
        <v>2820</v>
      </c>
      <c r="T1371" s="424" t="s">
        <v>6409</v>
      </c>
      <c r="U1371" s="424">
        <v>0</v>
      </c>
      <c r="V1371" s="424" t="s">
        <v>2823</v>
      </c>
      <c r="W1371" s="424" t="s">
        <v>2823</v>
      </c>
      <c r="X1371" s="424" t="s">
        <v>2224</v>
      </c>
      <c r="Y1371" s="424" t="s">
        <v>3983</v>
      </c>
      <c r="Z1371" s="424" t="s">
        <v>2872</v>
      </c>
      <c r="AA1371" s="424" t="s">
        <v>3197</v>
      </c>
      <c r="AB1371" s="424" t="s">
        <v>6442</v>
      </c>
      <c r="AC1371" s="424" t="s">
        <v>1953</v>
      </c>
      <c r="AD1371" s="424" t="s">
        <v>2892</v>
      </c>
      <c r="AE1371" s="424" t="s">
        <v>6428</v>
      </c>
      <c r="AF1371" s="424"/>
      <c r="AG1371" s="424"/>
      <c r="AH1371" s="424"/>
    </row>
    <row r="1372" spans="1:34" x14ac:dyDescent="0.25">
      <c r="A1372" s="423" t="s">
        <v>6224</v>
      </c>
      <c r="B1372" s="423" t="s">
        <v>6443</v>
      </c>
      <c r="C1372" s="423" t="s">
        <v>84</v>
      </c>
      <c r="D1372" s="423" t="s">
        <v>6226</v>
      </c>
      <c r="E1372" s="423" t="s">
        <v>236</v>
      </c>
      <c r="F1372" s="423">
        <v>48</v>
      </c>
      <c r="G1372" s="423">
        <v>196</v>
      </c>
      <c r="H1372" s="423">
        <v>55000</v>
      </c>
      <c r="J1372" s="423"/>
      <c r="K1372" s="423"/>
      <c r="L1372" s="423"/>
      <c r="M1372" s="423"/>
      <c r="Q1372" s="423"/>
      <c r="R1372" s="424" t="s">
        <v>6443</v>
      </c>
      <c r="S1372" s="424" t="s">
        <v>2820</v>
      </c>
      <c r="T1372" s="424" t="s">
        <v>6409</v>
      </c>
      <c r="U1372" s="424">
        <v>0</v>
      </c>
      <c r="V1372" s="424" t="s">
        <v>2823</v>
      </c>
      <c r="W1372" s="424" t="s">
        <v>2824</v>
      </c>
      <c r="X1372" s="424" t="s">
        <v>2224</v>
      </c>
      <c r="Y1372" s="424" t="s">
        <v>3983</v>
      </c>
      <c r="Z1372" s="424" t="s">
        <v>2872</v>
      </c>
      <c r="AA1372" s="424" t="s">
        <v>6444</v>
      </c>
      <c r="AB1372" s="424" t="s">
        <v>6445</v>
      </c>
      <c r="AC1372" s="424" t="s">
        <v>1953</v>
      </c>
      <c r="AD1372" s="424" t="s">
        <v>2892</v>
      </c>
      <c r="AE1372" s="424" t="s">
        <v>6428</v>
      </c>
      <c r="AF1372" s="424"/>
      <c r="AG1372" s="424"/>
      <c r="AH1372" s="424"/>
    </row>
    <row r="1373" spans="1:34" x14ac:dyDescent="0.25">
      <c r="A1373" s="423" t="s">
        <v>6224</v>
      </c>
      <c r="B1373" s="423" t="s">
        <v>6446</v>
      </c>
      <c r="C1373" s="423" t="s">
        <v>84</v>
      </c>
      <c r="D1373" s="423" t="s">
        <v>6226</v>
      </c>
      <c r="E1373" s="423" t="s">
        <v>236</v>
      </c>
      <c r="F1373" s="423">
        <v>48</v>
      </c>
      <c r="G1373" s="423">
        <v>196</v>
      </c>
      <c r="H1373" s="423">
        <v>55000</v>
      </c>
      <c r="J1373" s="423"/>
      <c r="K1373" s="423"/>
      <c r="L1373" s="423"/>
      <c r="M1373" s="423"/>
      <c r="Q1373" s="423"/>
      <c r="R1373" s="424" t="s">
        <v>6446</v>
      </c>
      <c r="S1373" s="424" t="s">
        <v>2820</v>
      </c>
      <c r="T1373" s="424" t="s">
        <v>6409</v>
      </c>
      <c r="U1373" s="424">
        <v>0</v>
      </c>
      <c r="V1373" s="424" t="s">
        <v>2823</v>
      </c>
      <c r="W1373" s="424" t="s">
        <v>2823</v>
      </c>
      <c r="X1373" s="424" t="s">
        <v>2224</v>
      </c>
      <c r="Y1373" s="424" t="s">
        <v>3983</v>
      </c>
      <c r="Z1373" s="424" t="s">
        <v>2872</v>
      </c>
      <c r="AA1373" s="424" t="s">
        <v>3197</v>
      </c>
      <c r="AB1373" s="424" t="s">
        <v>6447</v>
      </c>
      <c r="AC1373" s="424" t="s">
        <v>1953</v>
      </c>
      <c r="AD1373" s="424" t="s">
        <v>2892</v>
      </c>
      <c r="AE1373" s="424" t="s">
        <v>6448</v>
      </c>
      <c r="AF1373" s="424"/>
      <c r="AG1373" s="424"/>
      <c r="AH1373" s="424"/>
    </row>
    <row r="1374" spans="1:34" x14ac:dyDescent="0.25">
      <c r="A1374" s="423" t="s">
        <v>6224</v>
      </c>
      <c r="B1374" s="423" t="s">
        <v>6449</v>
      </c>
      <c r="C1374" s="423" t="s">
        <v>84</v>
      </c>
      <c r="D1374" s="423" t="s">
        <v>6226</v>
      </c>
      <c r="E1374" s="423" t="s">
        <v>236</v>
      </c>
      <c r="F1374" s="423">
        <v>48</v>
      </c>
      <c r="G1374" s="423">
        <v>196</v>
      </c>
      <c r="H1374" s="423">
        <v>55000</v>
      </c>
      <c r="J1374" s="423"/>
      <c r="K1374" s="423"/>
      <c r="L1374" s="423"/>
      <c r="M1374" s="423"/>
      <c r="Q1374" s="423"/>
      <c r="R1374" s="424" t="s">
        <v>6449</v>
      </c>
      <c r="S1374" s="424" t="s">
        <v>2820</v>
      </c>
      <c r="T1374" s="424" t="s">
        <v>6409</v>
      </c>
      <c r="U1374" s="424">
        <v>0</v>
      </c>
      <c r="V1374" s="424" t="s">
        <v>2823</v>
      </c>
      <c r="W1374" s="424" t="s">
        <v>2823</v>
      </c>
      <c r="X1374" s="424" t="s">
        <v>2224</v>
      </c>
      <c r="Y1374" s="424" t="s">
        <v>3983</v>
      </c>
      <c r="Z1374" s="424" t="s">
        <v>2872</v>
      </c>
      <c r="AA1374" s="424" t="s">
        <v>3197</v>
      </c>
      <c r="AB1374" s="424" t="s">
        <v>6450</v>
      </c>
      <c r="AC1374" s="424" t="s">
        <v>1953</v>
      </c>
      <c r="AD1374" s="424" t="s">
        <v>2892</v>
      </c>
      <c r="AE1374" s="424" t="s">
        <v>6448</v>
      </c>
      <c r="AF1374" s="424"/>
      <c r="AG1374" s="424"/>
      <c r="AH1374" s="424"/>
    </row>
    <row r="1375" spans="1:34" x14ac:dyDescent="0.25">
      <c r="A1375" s="423" t="s">
        <v>6224</v>
      </c>
      <c r="B1375" s="423" t="s">
        <v>6451</v>
      </c>
      <c r="C1375" s="423" t="s">
        <v>84</v>
      </c>
      <c r="D1375" s="423" t="s">
        <v>6226</v>
      </c>
      <c r="E1375" s="423" t="s">
        <v>236</v>
      </c>
      <c r="F1375" s="423">
        <v>48</v>
      </c>
      <c r="G1375" s="423">
        <v>196</v>
      </c>
      <c r="H1375" s="423">
        <v>55000</v>
      </c>
      <c r="J1375" s="423"/>
      <c r="K1375" s="423"/>
      <c r="L1375" s="423"/>
      <c r="M1375" s="423"/>
      <c r="Q1375" s="423"/>
      <c r="R1375" s="424" t="s">
        <v>6451</v>
      </c>
      <c r="S1375" s="424" t="s">
        <v>2820</v>
      </c>
      <c r="T1375" s="424" t="s">
        <v>6409</v>
      </c>
      <c r="U1375" s="424">
        <v>0</v>
      </c>
      <c r="V1375" s="424" t="s">
        <v>2823</v>
      </c>
      <c r="W1375" s="424" t="s">
        <v>2823</v>
      </c>
      <c r="X1375" s="424" t="s">
        <v>2224</v>
      </c>
      <c r="Y1375" s="424" t="s">
        <v>3983</v>
      </c>
      <c r="Z1375" s="424" t="s">
        <v>2872</v>
      </c>
      <c r="AA1375" s="424" t="s">
        <v>3197</v>
      </c>
      <c r="AB1375" s="424" t="s">
        <v>6452</v>
      </c>
      <c r="AC1375" s="424" t="s">
        <v>1953</v>
      </c>
      <c r="AD1375" s="424" t="s">
        <v>2892</v>
      </c>
      <c r="AE1375" s="424" t="s">
        <v>6448</v>
      </c>
      <c r="AF1375" s="424"/>
      <c r="AG1375" s="424"/>
      <c r="AH1375" s="424"/>
    </row>
    <row r="1376" spans="1:34" x14ac:dyDescent="0.25">
      <c r="A1376" s="423" t="s">
        <v>6224</v>
      </c>
      <c r="B1376" s="423" t="s">
        <v>6453</v>
      </c>
      <c r="C1376" s="423" t="s">
        <v>84</v>
      </c>
      <c r="D1376" s="423" t="s">
        <v>6226</v>
      </c>
      <c r="E1376" s="423" t="s">
        <v>236</v>
      </c>
      <c r="F1376" s="423">
        <v>48</v>
      </c>
      <c r="G1376" s="423">
        <v>196</v>
      </c>
      <c r="H1376" s="423">
        <v>55000</v>
      </c>
      <c r="J1376" s="423"/>
      <c r="K1376" s="423"/>
      <c r="L1376" s="423"/>
      <c r="M1376" s="423"/>
      <c r="Q1376" s="423"/>
      <c r="R1376" s="424" t="s">
        <v>6453</v>
      </c>
      <c r="S1376" s="424" t="s">
        <v>2820</v>
      </c>
      <c r="T1376" s="424" t="s">
        <v>6409</v>
      </c>
      <c r="U1376" s="424">
        <v>0</v>
      </c>
      <c r="V1376" s="424" t="s">
        <v>2823</v>
      </c>
      <c r="W1376" s="424" t="s">
        <v>2823</v>
      </c>
      <c r="X1376" s="424" t="s">
        <v>2224</v>
      </c>
      <c r="Y1376" s="424" t="s">
        <v>3983</v>
      </c>
      <c r="Z1376" s="424" t="s">
        <v>2872</v>
      </c>
      <c r="AA1376" s="424" t="s">
        <v>3197</v>
      </c>
      <c r="AB1376" s="424" t="s">
        <v>6454</v>
      </c>
      <c r="AC1376" s="424" t="s">
        <v>1953</v>
      </c>
      <c r="AD1376" s="424" t="s">
        <v>2892</v>
      </c>
      <c r="AE1376" s="424" t="s">
        <v>6448</v>
      </c>
      <c r="AF1376" s="424"/>
      <c r="AG1376" s="424"/>
      <c r="AH1376" s="424"/>
    </row>
    <row r="1377" spans="1:34" x14ac:dyDescent="0.25">
      <c r="A1377" s="423" t="s">
        <v>6224</v>
      </c>
      <c r="B1377" s="423" t="s">
        <v>6455</v>
      </c>
      <c r="C1377" s="423" t="s">
        <v>84</v>
      </c>
      <c r="D1377" s="423" t="s">
        <v>6226</v>
      </c>
      <c r="E1377" s="423" t="s">
        <v>236</v>
      </c>
      <c r="F1377" s="423">
        <v>48</v>
      </c>
      <c r="G1377" s="423">
        <v>196</v>
      </c>
      <c r="H1377" s="423">
        <v>55000</v>
      </c>
      <c r="J1377" s="423"/>
      <c r="K1377" s="423"/>
      <c r="L1377" s="423"/>
      <c r="M1377" s="423"/>
      <c r="Q1377" s="423"/>
      <c r="R1377" s="424" t="s">
        <v>6455</v>
      </c>
      <c r="S1377" s="424" t="s">
        <v>2820</v>
      </c>
      <c r="T1377" s="424" t="s">
        <v>6409</v>
      </c>
      <c r="U1377" s="424">
        <v>0</v>
      </c>
      <c r="V1377" s="424" t="s">
        <v>2823</v>
      </c>
      <c r="W1377" s="424" t="s">
        <v>2823</v>
      </c>
      <c r="X1377" s="424" t="s">
        <v>2224</v>
      </c>
      <c r="Y1377" s="424" t="s">
        <v>3983</v>
      </c>
      <c r="Z1377" s="424" t="s">
        <v>2872</v>
      </c>
      <c r="AA1377" s="424" t="s">
        <v>3197</v>
      </c>
      <c r="AB1377" s="424" t="s">
        <v>6456</v>
      </c>
      <c r="AC1377" s="424" t="s">
        <v>1953</v>
      </c>
      <c r="AD1377" s="424" t="s">
        <v>2892</v>
      </c>
      <c r="AE1377" s="424" t="s">
        <v>6448</v>
      </c>
      <c r="AF1377" s="424"/>
      <c r="AG1377" s="424"/>
      <c r="AH1377" s="424"/>
    </row>
    <row r="1378" spans="1:34" x14ac:dyDescent="0.25">
      <c r="A1378" s="423" t="s">
        <v>6224</v>
      </c>
      <c r="B1378" s="423" t="s">
        <v>6457</v>
      </c>
      <c r="C1378" s="423" t="s">
        <v>84</v>
      </c>
      <c r="D1378" s="423" t="s">
        <v>6226</v>
      </c>
      <c r="E1378" s="423" t="s">
        <v>236</v>
      </c>
      <c r="F1378" s="423">
        <v>48</v>
      </c>
      <c r="G1378" s="423">
        <v>196</v>
      </c>
      <c r="H1378" s="423">
        <v>55000</v>
      </c>
      <c r="J1378" s="423"/>
      <c r="K1378" s="423"/>
      <c r="L1378" s="423"/>
      <c r="M1378" s="423"/>
      <c r="Q1378" s="423"/>
      <c r="R1378" s="424" t="s">
        <v>6457</v>
      </c>
      <c r="S1378" s="424" t="s">
        <v>2820</v>
      </c>
      <c r="T1378" s="424" t="s">
        <v>6409</v>
      </c>
      <c r="U1378" s="424">
        <v>0</v>
      </c>
      <c r="V1378" s="424" t="s">
        <v>2823</v>
      </c>
      <c r="W1378" s="424" t="s">
        <v>2823</v>
      </c>
      <c r="X1378" s="424" t="s">
        <v>2224</v>
      </c>
      <c r="Y1378" s="424" t="s">
        <v>3983</v>
      </c>
      <c r="Z1378" s="424" t="s">
        <v>2872</v>
      </c>
      <c r="AA1378" s="424" t="s">
        <v>3197</v>
      </c>
      <c r="AB1378" s="424" t="s">
        <v>6458</v>
      </c>
      <c r="AC1378" s="424" t="s">
        <v>1953</v>
      </c>
      <c r="AD1378" s="424" t="s">
        <v>2892</v>
      </c>
      <c r="AE1378" s="424" t="s">
        <v>6448</v>
      </c>
      <c r="AF1378" s="424"/>
      <c r="AG1378" s="424"/>
      <c r="AH1378" s="424"/>
    </row>
    <row r="1379" spans="1:34" x14ac:dyDescent="0.25">
      <c r="A1379" s="423" t="s">
        <v>6224</v>
      </c>
      <c r="B1379" s="423" t="s">
        <v>6459</v>
      </c>
      <c r="C1379" s="423" t="s">
        <v>84</v>
      </c>
      <c r="D1379" s="423" t="s">
        <v>6226</v>
      </c>
      <c r="E1379" s="423" t="s">
        <v>236</v>
      </c>
      <c r="F1379" s="423">
        <v>48</v>
      </c>
      <c r="G1379" s="423">
        <v>196</v>
      </c>
      <c r="H1379" s="423">
        <v>55000</v>
      </c>
      <c r="J1379" s="423"/>
      <c r="K1379" s="423"/>
      <c r="L1379" s="423"/>
      <c r="M1379" s="423"/>
      <c r="Q1379" s="423"/>
      <c r="R1379" s="424" t="s">
        <v>6459</v>
      </c>
      <c r="S1379" s="424" t="s">
        <v>2820</v>
      </c>
      <c r="T1379" s="424" t="s">
        <v>6409</v>
      </c>
      <c r="U1379" s="424">
        <v>0</v>
      </c>
      <c r="V1379" s="424" t="s">
        <v>2823</v>
      </c>
      <c r="W1379" s="424" t="s">
        <v>2824</v>
      </c>
      <c r="X1379" s="424" t="s">
        <v>2224</v>
      </c>
      <c r="Y1379" s="424" t="s">
        <v>3983</v>
      </c>
      <c r="Z1379" s="424" t="s">
        <v>2872</v>
      </c>
      <c r="AA1379" s="424" t="s">
        <v>3197</v>
      </c>
      <c r="AB1379" s="424" t="s">
        <v>6460</v>
      </c>
      <c r="AC1379" s="424" t="s">
        <v>1953</v>
      </c>
      <c r="AD1379" s="424" t="s">
        <v>2892</v>
      </c>
      <c r="AE1379" s="424" t="s">
        <v>6448</v>
      </c>
      <c r="AF1379" s="424"/>
      <c r="AG1379" s="424"/>
      <c r="AH1379" s="424"/>
    </row>
    <row r="1380" spans="1:34" x14ac:dyDescent="0.25">
      <c r="A1380" s="423" t="s">
        <v>6224</v>
      </c>
      <c r="B1380" s="423" t="s">
        <v>6461</v>
      </c>
      <c r="C1380" s="423" t="s">
        <v>84</v>
      </c>
      <c r="D1380" s="423" t="s">
        <v>6226</v>
      </c>
      <c r="E1380" s="423" t="s">
        <v>236</v>
      </c>
      <c r="F1380" s="423">
        <v>48</v>
      </c>
      <c r="G1380" s="423">
        <v>196</v>
      </c>
      <c r="H1380" s="423">
        <v>55000</v>
      </c>
      <c r="J1380" s="423"/>
      <c r="K1380" s="423"/>
      <c r="L1380" s="423"/>
      <c r="M1380" s="423"/>
      <c r="Q1380" s="423"/>
      <c r="R1380" s="424" t="s">
        <v>6461</v>
      </c>
      <c r="S1380" s="424" t="s">
        <v>2820</v>
      </c>
      <c r="T1380" s="424" t="s">
        <v>6409</v>
      </c>
      <c r="U1380" s="424">
        <v>0</v>
      </c>
      <c r="V1380" s="424" t="s">
        <v>2823</v>
      </c>
      <c r="W1380" s="424" t="s">
        <v>2823</v>
      </c>
      <c r="X1380" s="424" t="s">
        <v>2224</v>
      </c>
      <c r="Y1380" s="424" t="s">
        <v>3983</v>
      </c>
      <c r="Z1380" s="424" t="s">
        <v>2872</v>
      </c>
      <c r="AA1380" s="424" t="s">
        <v>3197</v>
      </c>
      <c r="AB1380" s="424" t="s">
        <v>6462</v>
      </c>
      <c r="AC1380" s="424" t="s">
        <v>1953</v>
      </c>
      <c r="AD1380" s="424" t="s">
        <v>2892</v>
      </c>
      <c r="AE1380" s="424" t="s">
        <v>6448</v>
      </c>
      <c r="AF1380" s="424"/>
      <c r="AG1380" s="424"/>
      <c r="AH1380" s="424"/>
    </row>
    <row r="1381" spans="1:34" x14ac:dyDescent="0.25">
      <c r="A1381" s="423" t="s">
        <v>6224</v>
      </c>
      <c r="B1381" s="423" t="s">
        <v>6463</v>
      </c>
      <c r="C1381" s="423" t="s">
        <v>84</v>
      </c>
      <c r="D1381" s="423" t="s">
        <v>6226</v>
      </c>
      <c r="E1381" s="423" t="s">
        <v>236</v>
      </c>
      <c r="F1381" s="423">
        <v>24</v>
      </c>
      <c r="G1381" s="423">
        <v>64</v>
      </c>
      <c r="H1381" s="423">
        <v>1500</v>
      </c>
      <c r="J1381" s="423"/>
      <c r="K1381" s="423"/>
      <c r="L1381" s="423"/>
      <c r="M1381" s="423"/>
      <c r="Q1381" s="423"/>
      <c r="R1381" s="424" t="s">
        <v>6463</v>
      </c>
      <c r="S1381" s="424" t="s">
        <v>2846</v>
      </c>
      <c r="T1381" s="424" t="s">
        <v>3291</v>
      </c>
      <c r="U1381" s="424">
        <v>0</v>
      </c>
      <c r="V1381" s="424" t="s">
        <v>3269</v>
      </c>
      <c r="W1381" s="424" t="s">
        <v>2974</v>
      </c>
      <c r="X1381" s="424" t="s">
        <v>2224</v>
      </c>
      <c r="Y1381" s="424" t="s">
        <v>2279</v>
      </c>
      <c r="Z1381" s="424" t="s">
        <v>3260</v>
      </c>
      <c r="AA1381" s="424" t="s">
        <v>3327</v>
      </c>
      <c r="AB1381" s="424" t="s">
        <v>6464</v>
      </c>
      <c r="AC1381" s="424" t="s">
        <v>1953</v>
      </c>
      <c r="AD1381" s="424" t="s">
        <v>3329</v>
      </c>
      <c r="AE1381" s="424" t="s">
        <v>3330</v>
      </c>
      <c r="AF1381" s="424"/>
      <c r="AG1381" s="424"/>
      <c r="AH1381" s="424"/>
    </row>
    <row r="1382" spans="1:34" x14ac:dyDescent="0.25">
      <c r="A1382" s="423" t="s">
        <v>6224</v>
      </c>
      <c r="B1382" s="423" t="s">
        <v>6465</v>
      </c>
      <c r="C1382" s="423" t="s">
        <v>84</v>
      </c>
      <c r="D1382" s="423" t="s">
        <v>6226</v>
      </c>
      <c r="E1382" s="423" t="s">
        <v>236</v>
      </c>
      <c r="F1382" s="423">
        <v>20</v>
      </c>
      <c r="G1382" s="423">
        <v>48</v>
      </c>
      <c r="H1382" s="423">
        <v>550</v>
      </c>
      <c r="J1382" s="423"/>
      <c r="K1382" s="423"/>
      <c r="L1382" s="423"/>
      <c r="M1382" s="423"/>
      <c r="Q1382" s="423"/>
      <c r="R1382" s="424" t="s">
        <v>6466</v>
      </c>
      <c r="S1382" s="424" t="s">
        <v>2846</v>
      </c>
      <c r="T1382" s="424" t="s">
        <v>3356</v>
      </c>
      <c r="U1382" s="424">
        <v>0</v>
      </c>
      <c r="V1382" s="424" t="s">
        <v>2824</v>
      </c>
      <c r="W1382" s="424" t="s">
        <v>3055</v>
      </c>
      <c r="X1382" s="424" t="s">
        <v>2224</v>
      </c>
      <c r="Y1382" s="424" t="s">
        <v>2279</v>
      </c>
      <c r="Z1382" s="424" t="s">
        <v>3260</v>
      </c>
      <c r="AA1382" s="424" t="s">
        <v>3197</v>
      </c>
      <c r="AB1382" s="424" t="s">
        <v>6467</v>
      </c>
      <c r="AC1382" s="424" t="s">
        <v>1953</v>
      </c>
      <c r="AD1382" s="424" t="s">
        <v>2851</v>
      </c>
      <c r="AE1382" s="424" t="s">
        <v>6468</v>
      </c>
      <c r="AF1382" s="424"/>
      <c r="AG1382" s="424"/>
      <c r="AH1382" s="424"/>
    </row>
    <row r="1383" spans="1:34" x14ac:dyDescent="0.25">
      <c r="A1383" s="423" t="s">
        <v>6224</v>
      </c>
      <c r="B1383" s="423" t="s">
        <v>6469</v>
      </c>
      <c r="C1383" s="423" t="s">
        <v>84</v>
      </c>
      <c r="D1383" s="423" t="s">
        <v>6226</v>
      </c>
      <c r="E1383" s="423" t="s">
        <v>236</v>
      </c>
      <c r="F1383" s="423">
        <v>20</v>
      </c>
      <c r="G1383" s="423">
        <v>48</v>
      </c>
      <c r="H1383" s="423">
        <v>550</v>
      </c>
      <c r="J1383" s="423"/>
      <c r="K1383" s="423"/>
      <c r="L1383" s="423"/>
      <c r="M1383" s="423"/>
      <c r="Q1383" s="423"/>
      <c r="R1383" s="424" t="s">
        <v>6470</v>
      </c>
      <c r="S1383" s="424" t="s">
        <v>2846</v>
      </c>
      <c r="T1383" s="424" t="s">
        <v>3356</v>
      </c>
      <c r="U1383" s="424">
        <v>0</v>
      </c>
      <c r="V1383" s="424" t="s">
        <v>2824</v>
      </c>
      <c r="W1383" s="424" t="s">
        <v>3055</v>
      </c>
      <c r="X1383" s="424" t="s">
        <v>2224</v>
      </c>
      <c r="Y1383" s="424" t="s">
        <v>2279</v>
      </c>
      <c r="Z1383" s="424" t="s">
        <v>3260</v>
      </c>
      <c r="AA1383" s="424" t="s">
        <v>3197</v>
      </c>
      <c r="AB1383" s="424" t="s">
        <v>5295</v>
      </c>
      <c r="AC1383" s="424" t="s">
        <v>1953</v>
      </c>
      <c r="AD1383" s="424" t="s">
        <v>2851</v>
      </c>
      <c r="AE1383" s="424" t="s">
        <v>5296</v>
      </c>
      <c r="AF1383" s="424"/>
      <c r="AG1383" s="424"/>
      <c r="AH1383" s="424"/>
    </row>
    <row r="1384" spans="1:34" x14ac:dyDescent="0.25">
      <c r="A1384" s="423" t="s">
        <v>6224</v>
      </c>
      <c r="B1384" s="423" t="s">
        <v>6471</v>
      </c>
      <c r="C1384" s="423" t="s">
        <v>84</v>
      </c>
      <c r="D1384" s="423" t="s">
        <v>6226</v>
      </c>
      <c r="E1384" s="423" t="s">
        <v>236</v>
      </c>
      <c r="F1384" s="423">
        <v>20</v>
      </c>
      <c r="G1384" s="423">
        <v>48</v>
      </c>
      <c r="H1384" s="423">
        <v>550</v>
      </c>
      <c r="J1384" s="423"/>
      <c r="K1384" s="423"/>
      <c r="L1384" s="423"/>
      <c r="M1384" s="423"/>
      <c r="Q1384" s="423"/>
      <c r="R1384" s="424" t="s">
        <v>6472</v>
      </c>
      <c r="S1384" s="424" t="s">
        <v>2846</v>
      </c>
      <c r="T1384" s="424" t="s">
        <v>3356</v>
      </c>
      <c r="U1384" s="424">
        <v>0</v>
      </c>
      <c r="V1384" s="424" t="s">
        <v>2824</v>
      </c>
      <c r="W1384" s="424" t="s">
        <v>3055</v>
      </c>
      <c r="X1384" s="424" t="s">
        <v>2224</v>
      </c>
      <c r="Y1384" s="424" t="s">
        <v>2279</v>
      </c>
      <c r="Z1384" s="424" t="s">
        <v>3260</v>
      </c>
      <c r="AA1384" s="424" t="s">
        <v>3197</v>
      </c>
      <c r="AB1384" s="424" t="s">
        <v>6467</v>
      </c>
      <c r="AC1384" s="424" t="s">
        <v>1953</v>
      </c>
      <c r="AD1384" s="424" t="s">
        <v>2851</v>
      </c>
      <c r="AE1384" s="424" t="s">
        <v>6468</v>
      </c>
      <c r="AF1384" s="424"/>
      <c r="AG1384" s="424"/>
      <c r="AH1384" s="424"/>
    </row>
    <row r="1385" spans="1:34" x14ac:dyDescent="0.25">
      <c r="A1385" s="423" t="s">
        <v>6224</v>
      </c>
      <c r="B1385" s="423" t="s">
        <v>6473</v>
      </c>
      <c r="C1385" s="423" t="s">
        <v>84</v>
      </c>
      <c r="D1385" s="423" t="s">
        <v>6226</v>
      </c>
      <c r="E1385" s="423" t="s">
        <v>236</v>
      </c>
      <c r="F1385" s="423">
        <v>20</v>
      </c>
      <c r="G1385" s="423">
        <v>48</v>
      </c>
      <c r="H1385" s="423">
        <v>550</v>
      </c>
      <c r="J1385" s="423"/>
      <c r="K1385" s="423"/>
      <c r="L1385" s="423"/>
      <c r="M1385" s="423"/>
      <c r="Q1385" s="423"/>
      <c r="R1385" s="424" t="s">
        <v>6474</v>
      </c>
      <c r="S1385" s="424" t="s">
        <v>2846</v>
      </c>
      <c r="T1385" s="424" t="s">
        <v>3356</v>
      </c>
      <c r="U1385" s="424">
        <v>0</v>
      </c>
      <c r="V1385" s="424" t="s">
        <v>2824</v>
      </c>
      <c r="W1385" s="424" t="s">
        <v>3055</v>
      </c>
      <c r="X1385" s="424" t="s">
        <v>2224</v>
      </c>
      <c r="Y1385" s="424" t="s">
        <v>2279</v>
      </c>
      <c r="Z1385" s="424" t="s">
        <v>3260</v>
      </c>
      <c r="AA1385" s="424" t="s">
        <v>3197</v>
      </c>
      <c r="AB1385" s="424" t="s">
        <v>6475</v>
      </c>
      <c r="AC1385" s="424" t="s">
        <v>1953</v>
      </c>
      <c r="AD1385" s="424" t="s">
        <v>2851</v>
      </c>
      <c r="AE1385" s="424" t="s">
        <v>5271</v>
      </c>
      <c r="AF1385" s="424"/>
      <c r="AG1385" s="424"/>
      <c r="AH1385" s="424"/>
    </row>
    <row r="1386" spans="1:34" x14ac:dyDescent="0.25">
      <c r="A1386" s="423" t="s">
        <v>6224</v>
      </c>
      <c r="B1386" s="423" t="s">
        <v>6476</v>
      </c>
      <c r="C1386" s="423" t="s">
        <v>84</v>
      </c>
      <c r="D1386" s="423" t="s">
        <v>6226</v>
      </c>
      <c r="E1386" s="423" t="s">
        <v>236</v>
      </c>
      <c r="F1386" s="423">
        <v>20</v>
      </c>
      <c r="G1386" s="423">
        <v>48</v>
      </c>
      <c r="H1386" s="423">
        <v>550</v>
      </c>
      <c r="J1386" s="423"/>
      <c r="K1386" s="423"/>
      <c r="L1386" s="423"/>
      <c r="M1386" s="423"/>
      <c r="Q1386" s="423"/>
      <c r="R1386" s="424" t="s">
        <v>6477</v>
      </c>
      <c r="S1386" s="424" t="s">
        <v>2846</v>
      </c>
      <c r="T1386" s="424" t="s">
        <v>3356</v>
      </c>
      <c r="U1386" s="424">
        <v>0</v>
      </c>
      <c r="V1386" s="424" t="s">
        <v>2824</v>
      </c>
      <c r="W1386" s="424" t="s">
        <v>3055</v>
      </c>
      <c r="X1386" s="424" t="s">
        <v>2224</v>
      </c>
      <c r="Y1386" s="424" t="s">
        <v>2279</v>
      </c>
      <c r="Z1386" s="424" t="s">
        <v>3260</v>
      </c>
      <c r="AA1386" s="424" t="s">
        <v>3197</v>
      </c>
      <c r="AB1386" s="424" t="s">
        <v>6478</v>
      </c>
      <c r="AC1386" s="424" t="s">
        <v>1953</v>
      </c>
      <c r="AD1386" s="424" t="s">
        <v>2851</v>
      </c>
      <c r="AE1386" s="424" t="s">
        <v>5271</v>
      </c>
      <c r="AF1386" s="424"/>
      <c r="AG1386" s="424"/>
      <c r="AH1386" s="424"/>
    </row>
    <row r="1387" spans="1:34" x14ac:dyDescent="0.25">
      <c r="A1387" s="423" t="s">
        <v>6224</v>
      </c>
      <c r="B1387" s="423" t="s">
        <v>6479</v>
      </c>
      <c r="C1387" s="423" t="s">
        <v>84</v>
      </c>
      <c r="D1387" s="423" t="s">
        <v>6226</v>
      </c>
      <c r="E1387" s="423" t="s">
        <v>236</v>
      </c>
      <c r="F1387" s="423">
        <v>20</v>
      </c>
      <c r="G1387" s="423">
        <v>48</v>
      </c>
      <c r="H1387" s="423">
        <v>550</v>
      </c>
      <c r="J1387" s="423"/>
      <c r="K1387" s="423"/>
      <c r="L1387" s="423"/>
      <c r="M1387" s="423"/>
      <c r="Q1387" s="423"/>
      <c r="R1387" s="424" t="s">
        <v>6480</v>
      </c>
      <c r="S1387" s="424" t="s">
        <v>2846</v>
      </c>
      <c r="T1387" s="424" t="s">
        <v>3356</v>
      </c>
      <c r="U1387" s="424">
        <v>0</v>
      </c>
      <c r="V1387" s="424" t="s">
        <v>2824</v>
      </c>
      <c r="W1387" s="424" t="s">
        <v>3055</v>
      </c>
      <c r="X1387" s="424" t="s">
        <v>2224</v>
      </c>
      <c r="Y1387" s="424" t="s">
        <v>2279</v>
      </c>
      <c r="Z1387" s="424" t="s">
        <v>3260</v>
      </c>
      <c r="AA1387" s="424" t="s">
        <v>3197</v>
      </c>
      <c r="AB1387" s="424" t="s">
        <v>6475</v>
      </c>
      <c r="AC1387" s="424" t="s">
        <v>1953</v>
      </c>
      <c r="AD1387" s="424" t="s">
        <v>2851</v>
      </c>
      <c r="AE1387" s="424" t="s">
        <v>5271</v>
      </c>
      <c r="AF1387" s="424"/>
      <c r="AG1387" s="424"/>
      <c r="AH1387" s="424"/>
    </row>
    <row r="1388" spans="1:34" x14ac:dyDescent="0.25">
      <c r="A1388" s="423" t="s">
        <v>6224</v>
      </c>
      <c r="B1388" s="423" t="s">
        <v>6481</v>
      </c>
      <c r="C1388" s="423" t="s">
        <v>84</v>
      </c>
      <c r="D1388" s="423" t="s">
        <v>6226</v>
      </c>
      <c r="E1388" s="423" t="s">
        <v>236</v>
      </c>
      <c r="F1388" s="423">
        <v>20</v>
      </c>
      <c r="G1388" s="423">
        <v>48</v>
      </c>
      <c r="H1388" s="423">
        <v>550</v>
      </c>
      <c r="J1388" s="423"/>
      <c r="K1388" s="423"/>
      <c r="L1388" s="423"/>
      <c r="M1388" s="423"/>
      <c r="Q1388" s="423"/>
      <c r="R1388" s="424" t="s">
        <v>6482</v>
      </c>
      <c r="S1388" s="424" t="s">
        <v>2846</v>
      </c>
      <c r="T1388" s="424" t="s">
        <v>3356</v>
      </c>
      <c r="U1388" s="424">
        <v>0</v>
      </c>
      <c r="V1388" s="424" t="s">
        <v>2824</v>
      </c>
      <c r="W1388" s="424" t="s">
        <v>3055</v>
      </c>
      <c r="X1388" s="424" t="s">
        <v>2224</v>
      </c>
      <c r="Y1388" s="424" t="s">
        <v>2279</v>
      </c>
      <c r="Z1388" s="424" t="s">
        <v>3260</v>
      </c>
      <c r="AA1388" s="424" t="s">
        <v>3197</v>
      </c>
      <c r="AB1388" s="424" t="s">
        <v>5274</v>
      </c>
      <c r="AC1388" s="424" t="s">
        <v>1953</v>
      </c>
      <c r="AD1388" s="424" t="s">
        <v>2851</v>
      </c>
      <c r="AE1388" s="424" t="s">
        <v>5271</v>
      </c>
      <c r="AF1388" s="424"/>
      <c r="AG1388" s="424"/>
      <c r="AH1388" s="424"/>
    </row>
    <row r="1389" spans="1:34" x14ac:dyDescent="0.25">
      <c r="A1389" s="423" t="s">
        <v>6224</v>
      </c>
      <c r="B1389" s="423" t="s">
        <v>6483</v>
      </c>
      <c r="C1389" s="423" t="s">
        <v>84</v>
      </c>
      <c r="D1389" s="423" t="s">
        <v>6226</v>
      </c>
      <c r="E1389" s="423" t="s">
        <v>236</v>
      </c>
      <c r="F1389" s="423">
        <v>20</v>
      </c>
      <c r="G1389" s="423">
        <v>48</v>
      </c>
      <c r="H1389" s="423">
        <v>550</v>
      </c>
      <c r="J1389" s="423"/>
      <c r="K1389" s="423"/>
      <c r="L1389" s="423"/>
      <c r="M1389" s="423"/>
      <c r="Q1389" s="423"/>
      <c r="R1389" s="424" t="s">
        <v>6484</v>
      </c>
      <c r="S1389" s="424" t="s">
        <v>2846</v>
      </c>
      <c r="T1389" s="424" t="s">
        <v>3356</v>
      </c>
      <c r="U1389" s="424">
        <v>0</v>
      </c>
      <c r="V1389" s="424" t="s">
        <v>2824</v>
      </c>
      <c r="W1389" s="424" t="s">
        <v>3055</v>
      </c>
      <c r="X1389" s="424" t="s">
        <v>2224</v>
      </c>
      <c r="Y1389" s="424" t="s">
        <v>2279</v>
      </c>
      <c r="Z1389" s="424" t="s">
        <v>3260</v>
      </c>
      <c r="AA1389" s="424" t="s">
        <v>3197</v>
      </c>
      <c r="AB1389" s="424" t="s">
        <v>6485</v>
      </c>
      <c r="AC1389" s="424" t="s">
        <v>1953</v>
      </c>
      <c r="AD1389" s="424" t="s">
        <v>2851</v>
      </c>
      <c r="AE1389" s="424" t="s">
        <v>6468</v>
      </c>
      <c r="AF1389" s="424"/>
      <c r="AG1389" s="424"/>
      <c r="AH1389" s="424"/>
    </row>
    <row r="1390" spans="1:34" x14ac:dyDescent="0.25">
      <c r="A1390" s="423" t="s">
        <v>6224</v>
      </c>
      <c r="B1390" s="423" t="s">
        <v>6486</v>
      </c>
      <c r="C1390" s="423" t="s">
        <v>84</v>
      </c>
      <c r="D1390" s="423" t="s">
        <v>6226</v>
      </c>
      <c r="E1390" s="423" t="s">
        <v>236</v>
      </c>
      <c r="F1390" s="423">
        <v>10</v>
      </c>
      <c r="G1390" s="423">
        <v>32</v>
      </c>
      <c r="H1390" s="423">
        <v>500</v>
      </c>
      <c r="J1390" s="423"/>
      <c r="K1390" s="423"/>
      <c r="L1390" s="423"/>
      <c r="M1390" s="423"/>
      <c r="Q1390" s="423"/>
      <c r="R1390" s="424" t="s">
        <v>6486</v>
      </c>
      <c r="S1390" s="424" t="s">
        <v>2846</v>
      </c>
      <c r="T1390" s="424" t="s">
        <v>3356</v>
      </c>
      <c r="U1390" s="424">
        <v>0</v>
      </c>
      <c r="V1390" s="424" t="s">
        <v>3269</v>
      </c>
      <c r="W1390" s="424" t="s">
        <v>3074</v>
      </c>
      <c r="X1390" s="424" t="s">
        <v>2224</v>
      </c>
      <c r="Y1390" s="424" t="s">
        <v>2279</v>
      </c>
      <c r="Z1390" s="424" t="s">
        <v>3260</v>
      </c>
      <c r="AA1390" s="424" t="s">
        <v>3197</v>
      </c>
      <c r="AB1390" s="424" t="s">
        <v>6487</v>
      </c>
      <c r="AC1390" s="424" t="s">
        <v>1953</v>
      </c>
      <c r="AD1390" s="424" t="s">
        <v>2851</v>
      </c>
      <c r="AE1390" s="424" t="s">
        <v>3481</v>
      </c>
      <c r="AF1390" s="424"/>
      <c r="AG1390" s="424"/>
      <c r="AH1390" s="424"/>
    </row>
    <row r="1391" spans="1:34" x14ac:dyDescent="0.25">
      <c r="A1391" s="423" t="s">
        <v>6224</v>
      </c>
      <c r="B1391" s="423" t="s">
        <v>6488</v>
      </c>
      <c r="C1391" s="423" t="s">
        <v>84</v>
      </c>
      <c r="D1391" s="423" t="s">
        <v>6226</v>
      </c>
      <c r="E1391" s="423" t="s">
        <v>236</v>
      </c>
      <c r="F1391" s="423">
        <v>10</v>
      </c>
      <c r="G1391" s="423">
        <v>32</v>
      </c>
      <c r="H1391" s="423">
        <v>500</v>
      </c>
      <c r="J1391" s="423"/>
      <c r="K1391" s="423"/>
      <c r="L1391" s="423"/>
      <c r="M1391" s="423"/>
      <c r="Q1391" s="423"/>
      <c r="R1391" s="424" t="s">
        <v>6488</v>
      </c>
      <c r="S1391" s="424" t="s">
        <v>2846</v>
      </c>
      <c r="T1391" s="424" t="s">
        <v>3356</v>
      </c>
      <c r="U1391" s="424">
        <v>0</v>
      </c>
      <c r="V1391" s="424" t="s">
        <v>3269</v>
      </c>
      <c r="W1391" s="424" t="s">
        <v>2871</v>
      </c>
      <c r="X1391" s="424" t="s">
        <v>2224</v>
      </c>
      <c r="Y1391" s="424" t="s">
        <v>2279</v>
      </c>
      <c r="Z1391" s="424" t="s">
        <v>3260</v>
      </c>
      <c r="AA1391" s="424" t="s">
        <v>3197</v>
      </c>
      <c r="AB1391" s="424" t="s">
        <v>6489</v>
      </c>
      <c r="AC1391" s="424" t="s">
        <v>1953</v>
      </c>
      <c r="AD1391" s="424" t="s">
        <v>2851</v>
      </c>
      <c r="AE1391" s="424" t="s">
        <v>3550</v>
      </c>
      <c r="AF1391" s="424"/>
      <c r="AG1391" s="424"/>
      <c r="AH1391" s="424"/>
    </row>
    <row r="1392" spans="1:34" x14ac:dyDescent="0.25">
      <c r="A1392" s="423" t="s">
        <v>6224</v>
      </c>
      <c r="B1392" s="423" t="s">
        <v>6490</v>
      </c>
      <c r="C1392" s="423" t="s">
        <v>84</v>
      </c>
      <c r="D1392" s="423" t="s">
        <v>6226</v>
      </c>
      <c r="E1392" s="423" t="s">
        <v>236</v>
      </c>
      <c r="F1392" s="423">
        <v>10</v>
      </c>
      <c r="G1392" s="423">
        <v>32</v>
      </c>
      <c r="H1392" s="423">
        <v>500</v>
      </c>
      <c r="J1392" s="423"/>
      <c r="K1392" s="423"/>
      <c r="L1392" s="423"/>
      <c r="M1392" s="423"/>
      <c r="Q1392" s="423"/>
      <c r="R1392" s="424" t="s">
        <v>6490</v>
      </c>
      <c r="S1392" s="424" t="s">
        <v>2846</v>
      </c>
      <c r="T1392" s="424" t="s">
        <v>3356</v>
      </c>
      <c r="U1392" s="424">
        <v>0</v>
      </c>
      <c r="V1392" s="424" t="s">
        <v>3269</v>
      </c>
      <c r="W1392" s="424" t="s">
        <v>3054</v>
      </c>
      <c r="X1392" s="424" t="s">
        <v>2224</v>
      </c>
      <c r="Y1392" s="424" t="s">
        <v>2279</v>
      </c>
      <c r="Z1392" s="424" t="s">
        <v>2889</v>
      </c>
      <c r="AA1392" s="424" t="s">
        <v>3311</v>
      </c>
      <c r="AB1392" s="424" t="s">
        <v>3312</v>
      </c>
      <c r="AC1392" s="424" t="s">
        <v>1953</v>
      </c>
      <c r="AD1392" s="424" t="s">
        <v>2851</v>
      </c>
      <c r="AE1392" s="424" t="s">
        <v>3313</v>
      </c>
      <c r="AF1392" s="424"/>
      <c r="AG1392" s="424"/>
      <c r="AH1392" s="424"/>
    </row>
    <row r="1393" spans="1:34" x14ac:dyDescent="0.25">
      <c r="A1393" s="423" t="s">
        <v>6224</v>
      </c>
      <c r="B1393" s="423" t="s">
        <v>6491</v>
      </c>
      <c r="C1393" s="423" t="s">
        <v>84</v>
      </c>
      <c r="D1393" s="423" t="s">
        <v>6226</v>
      </c>
      <c r="E1393" s="423" t="s">
        <v>236</v>
      </c>
      <c r="F1393" s="423">
        <v>10</v>
      </c>
      <c r="G1393" s="423">
        <v>32</v>
      </c>
      <c r="H1393" s="423">
        <v>500</v>
      </c>
      <c r="J1393" s="423"/>
      <c r="K1393" s="423"/>
      <c r="L1393" s="423"/>
      <c r="M1393" s="423"/>
      <c r="Q1393" s="423"/>
      <c r="R1393" s="424" t="s">
        <v>6491</v>
      </c>
      <c r="S1393" s="424" t="s">
        <v>2846</v>
      </c>
      <c r="T1393" s="424" t="s">
        <v>3356</v>
      </c>
      <c r="U1393" s="424">
        <v>0</v>
      </c>
      <c r="V1393" s="424" t="s">
        <v>3269</v>
      </c>
      <c r="W1393" s="424" t="s">
        <v>2871</v>
      </c>
      <c r="X1393" s="424" t="s">
        <v>2224</v>
      </c>
      <c r="Y1393" s="424" t="s">
        <v>2279</v>
      </c>
      <c r="Z1393" s="424" t="s">
        <v>2848</v>
      </c>
      <c r="AA1393" s="424" t="s">
        <v>2849</v>
      </c>
      <c r="AB1393" s="424" t="s">
        <v>6492</v>
      </c>
      <c r="AC1393" s="424" t="s">
        <v>1953</v>
      </c>
      <c r="AD1393" s="424" t="s">
        <v>2851</v>
      </c>
      <c r="AE1393" s="424" t="s">
        <v>3545</v>
      </c>
      <c r="AF1393" s="424"/>
      <c r="AG1393" s="424"/>
      <c r="AH1393" s="424"/>
    </row>
    <row r="1394" spans="1:34" x14ac:dyDescent="0.25">
      <c r="A1394" s="423" t="s">
        <v>6224</v>
      </c>
      <c r="B1394" s="423" t="s">
        <v>6493</v>
      </c>
      <c r="C1394" s="423" t="s">
        <v>84</v>
      </c>
      <c r="D1394" s="423" t="s">
        <v>6226</v>
      </c>
      <c r="E1394" s="423" t="s">
        <v>236</v>
      </c>
      <c r="F1394" s="423">
        <v>10</v>
      </c>
      <c r="G1394" s="423">
        <v>32</v>
      </c>
      <c r="H1394" s="423">
        <v>500</v>
      </c>
      <c r="J1394" s="423"/>
      <c r="K1394" s="423"/>
      <c r="L1394" s="423"/>
      <c r="M1394" s="423"/>
      <c r="Q1394" s="423"/>
      <c r="R1394" s="424" t="s">
        <v>6493</v>
      </c>
      <c r="S1394" s="424" t="s">
        <v>2846</v>
      </c>
      <c r="T1394" s="424" t="s">
        <v>3356</v>
      </c>
      <c r="U1394" s="424">
        <v>0</v>
      </c>
      <c r="V1394" s="424" t="s">
        <v>3269</v>
      </c>
      <c r="W1394" s="424" t="s">
        <v>3074</v>
      </c>
      <c r="X1394" s="424" t="s">
        <v>2224</v>
      </c>
      <c r="Y1394" s="424" t="s">
        <v>2279</v>
      </c>
      <c r="Z1394" s="424" t="s">
        <v>3260</v>
      </c>
      <c r="AA1394" s="424" t="s">
        <v>3197</v>
      </c>
      <c r="AB1394" s="424" t="s">
        <v>3826</v>
      </c>
      <c r="AC1394" s="424" t="s">
        <v>1953</v>
      </c>
      <c r="AD1394" s="424" t="s">
        <v>2851</v>
      </c>
      <c r="AE1394" s="424" t="s">
        <v>3550</v>
      </c>
      <c r="AF1394" s="424"/>
      <c r="AG1394" s="424"/>
      <c r="AH1394" s="424"/>
    </row>
    <row r="1395" spans="1:34" x14ac:dyDescent="0.25">
      <c r="A1395" s="423" t="s">
        <v>6224</v>
      </c>
      <c r="B1395" s="423" t="s">
        <v>6494</v>
      </c>
      <c r="C1395" s="423" t="s">
        <v>84</v>
      </c>
      <c r="D1395" s="423" t="s">
        <v>6226</v>
      </c>
      <c r="E1395" s="423" t="s">
        <v>236</v>
      </c>
      <c r="F1395" s="423">
        <v>10</v>
      </c>
      <c r="G1395" s="423">
        <v>32</v>
      </c>
      <c r="H1395" s="423">
        <v>500</v>
      </c>
      <c r="J1395" s="423"/>
      <c r="K1395" s="423"/>
      <c r="L1395" s="423"/>
      <c r="M1395" s="423"/>
      <c r="Q1395" s="423"/>
      <c r="R1395" s="424" t="s">
        <v>6494</v>
      </c>
      <c r="S1395" s="424" t="s">
        <v>2846</v>
      </c>
      <c r="T1395" s="424" t="s">
        <v>3356</v>
      </c>
      <c r="U1395" s="424">
        <v>0</v>
      </c>
      <c r="V1395" s="424" t="s">
        <v>3269</v>
      </c>
      <c r="W1395" s="424" t="s">
        <v>3176</v>
      </c>
      <c r="X1395" s="424" t="s">
        <v>2224</v>
      </c>
      <c r="Y1395" s="424" t="s">
        <v>2279</v>
      </c>
      <c r="Z1395" s="424" t="s">
        <v>3260</v>
      </c>
      <c r="AA1395" s="424" t="s">
        <v>3197</v>
      </c>
      <c r="AB1395" s="424" t="s">
        <v>3320</v>
      </c>
      <c r="AC1395" s="424" t="s">
        <v>1953</v>
      </c>
      <c r="AD1395" s="424" t="s">
        <v>2851</v>
      </c>
      <c r="AE1395" s="424" t="s">
        <v>3293</v>
      </c>
      <c r="AF1395" s="424"/>
      <c r="AG1395" s="424"/>
      <c r="AH1395" s="424"/>
    </row>
    <row r="1396" spans="1:34" x14ac:dyDescent="0.25">
      <c r="A1396" s="423" t="s">
        <v>6224</v>
      </c>
      <c r="B1396" s="423" t="s">
        <v>6495</v>
      </c>
      <c r="C1396" s="423" t="s">
        <v>84</v>
      </c>
      <c r="D1396" s="423" t="s">
        <v>6226</v>
      </c>
      <c r="E1396" s="423" t="s">
        <v>236</v>
      </c>
      <c r="F1396" s="423">
        <v>10</v>
      </c>
      <c r="G1396" s="423">
        <v>32</v>
      </c>
      <c r="H1396" s="423">
        <v>500</v>
      </c>
      <c r="J1396" s="423"/>
      <c r="K1396" s="423"/>
      <c r="L1396" s="423"/>
      <c r="M1396" s="423"/>
      <c r="Q1396" s="423"/>
      <c r="R1396" s="424" t="s">
        <v>6495</v>
      </c>
      <c r="S1396" s="424" t="s">
        <v>2846</v>
      </c>
      <c r="T1396" s="424" t="s">
        <v>3356</v>
      </c>
      <c r="U1396" s="424">
        <v>0</v>
      </c>
      <c r="V1396" s="424" t="s">
        <v>3269</v>
      </c>
      <c r="W1396" s="424" t="s">
        <v>3176</v>
      </c>
      <c r="X1396" s="424" t="s">
        <v>2224</v>
      </c>
      <c r="Y1396" s="424" t="s">
        <v>2279</v>
      </c>
      <c r="Z1396" s="424" t="s">
        <v>3260</v>
      </c>
      <c r="AA1396" s="424" t="s">
        <v>3197</v>
      </c>
      <c r="AB1396" s="424" t="s">
        <v>5298</v>
      </c>
      <c r="AC1396" s="424" t="s">
        <v>1953</v>
      </c>
      <c r="AD1396" s="424" t="s">
        <v>2851</v>
      </c>
      <c r="AE1396" s="424" t="s">
        <v>3317</v>
      </c>
      <c r="AF1396" s="424"/>
      <c r="AG1396" s="424"/>
      <c r="AH1396" s="424"/>
    </row>
    <row r="1397" spans="1:34" x14ac:dyDescent="0.25">
      <c r="A1397" s="423" t="s">
        <v>6224</v>
      </c>
      <c r="B1397" s="423" t="s">
        <v>6496</v>
      </c>
      <c r="C1397" s="423" t="s">
        <v>84</v>
      </c>
      <c r="D1397" s="423" t="s">
        <v>6226</v>
      </c>
      <c r="E1397" s="423" t="s">
        <v>236</v>
      </c>
      <c r="F1397" s="423">
        <v>10</v>
      </c>
      <c r="G1397" s="423">
        <v>32</v>
      </c>
      <c r="H1397" s="423">
        <v>500</v>
      </c>
      <c r="J1397" s="423"/>
      <c r="K1397" s="423"/>
      <c r="L1397" s="423"/>
      <c r="M1397" s="423"/>
      <c r="Q1397" s="423"/>
      <c r="R1397" s="424" t="s">
        <v>6496</v>
      </c>
      <c r="S1397" s="424" t="s">
        <v>2846</v>
      </c>
      <c r="T1397" s="424" t="s">
        <v>3356</v>
      </c>
      <c r="U1397" s="424">
        <v>0</v>
      </c>
      <c r="V1397" s="424" t="s">
        <v>3269</v>
      </c>
      <c r="W1397" s="424" t="s">
        <v>3176</v>
      </c>
      <c r="X1397" s="424" t="s">
        <v>2224</v>
      </c>
      <c r="Y1397" s="424" t="s">
        <v>2279</v>
      </c>
      <c r="Z1397" s="424" t="s">
        <v>3260</v>
      </c>
      <c r="AA1397" s="424" t="s">
        <v>3197</v>
      </c>
      <c r="AB1397" s="424" t="s">
        <v>3362</v>
      </c>
      <c r="AC1397" s="424" t="s">
        <v>1953</v>
      </c>
      <c r="AD1397" s="424" t="s">
        <v>2851</v>
      </c>
      <c r="AE1397" s="424" t="s">
        <v>3324</v>
      </c>
      <c r="AF1397" s="424"/>
      <c r="AG1397" s="424"/>
      <c r="AH1397" s="424"/>
    </row>
    <row r="1398" spans="1:34" x14ac:dyDescent="0.25">
      <c r="A1398" s="423" t="s">
        <v>6224</v>
      </c>
      <c r="B1398" s="423" t="s">
        <v>6497</v>
      </c>
      <c r="C1398" s="423" t="s">
        <v>84</v>
      </c>
      <c r="D1398" s="423" t="s">
        <v>6226</v>
      </c>
      <c r="E1398" s="423" t="s">
        <v>236</v>
      </c>
      <c r="F1398" s="423">
        <v>20</v>
      </c>
      <c r="G1398" s="423">
        <v>378</v>
      </c>
      <c r="H1398" s="423">
        <v>15000</v>
      </c>
      <c r="J1398" s="423"/>
      <c r="K1398" s="423"/>
      <c r="L1398" s="423"/>
      <c r="M1398" s="423"/>
      <c r="Q1398" s="423"/>
      <c r="R1398" s="424" t="s">
        <v>6497</v>
      </c>
      <c r="S1398" s="424" t="s">
        <v>2820</v>
      </c>
      <c r="T1398" s="424" t="s">
        <v>6498</v>
      </c>
      <c r="U1398" s="424">
        <v>0</v>
      </c>
      <c r="V1398" s="424" t="s">
        <v>6499</v>
      </c>
      <c r="W1398" s="424" t="s">
        <v>2824</v>
      </c>
      <c r="X1398" s="424">
        <v>0</v>
      </c>
      <c r="Y1398" s="424" t="s">
        <v>3983</v>
      </c>
      <c r="Z1398" s="424" t="s">
        <v>2872</v>
      </c>
      <c r="AA1398" s="424" t="s">
        <v>2873</v>
      </c>
      <c r="AB1398" s="424" t="s">
        <v>6500</v>
      </c>
      <c r="AC1398" s="424" t="s">
        <v>1953</v>
      </c>
      <c r="AD1398" s="424" t="s">
        <v>2892</v>
      </c>
      <c r="AE1398" s="424" t="s">
        <v>6501</v>
      </c>
      <c r="AF1398" s="424"/>
      <c r="AG1398" s="424"/>
      <c r="AH1398" s="424"/>
    </row>
    <row r="1399" spans="1:34" x14ac:dyDescent="0.25">
      <c r="A1399" s="423" t="s">
        <v>6224</v>
      </c>
      <c r="B1399" s="423" t="s">
        <v>6502</v>
      </c>
      <c r="C1399" s="423" t="s">
        <v>84</v>
      </c>
      <c r="D1399" s="423" t="s">
        <v>6226</v>
      </c>
      <c r="E1399" s="423" t="s">
        <v>236</v>
      </c>
      <c r="F1399" s="423">
        <v>20</v>
      </c>
      <c r="G1399" s="423">
        <v>378</v>
      </c>
      <c r="H1399" s="423">
        <v>15000</v>
      </c>
      <c r="J1399" s="423"/>
      <c r="K1399" s="423"/>
      <c r="L1399" s="423"/>
      <c r="M1399" s="423"/>
      <c r="Q1399" s="423"/>
      <c r="R1399" s="424" t="s">
        <v>6502</v>
      </c>
      <c r="S1399" s="424" t="s">
        <v>2820</v>
      </c>
      <c r="T1399" s="424" t="s">
        <v>6498</v>
      </c>
      <c r="U1399" s="424">
        <v>0</v>
      </c>
      <c r="V1399" s="424" t="s">
        <v>6499</v>
      </c>
      <c r="W1399" s="424" t="s">
        <v>2824</v>
      </c>
      <c r="X1399" s="424">
        <v>0</v>
      </c>
      <c r="Y1399" s="424" t="s">
        <v>3983</v>
      </c>
      <c r="Z1399" s="424" t="s">
        <v>2872</v>
      </c>
      <c r="AA1399" s="424" t="s">
        <v>2873</v>
      </c>
      <c r="AB1399" s="424" t="s">
        <v>6503</v>
      </c>
      <c r="AC1399" s="424" t="s">
        <v>1953</v>
      </c>
      <c r="AD1399" s="424" t="s">
        <v>2892</v>
      </c>
      <c r="AE1399" s="424" t="s">
        <v>6504</v>
      </c>
      <c r="AF1399" s="424"/>
      <c r="AG1399" s="424"/>
      <c r="AH1399" s="424"/>
    </row>
    <row r="1400" spans="1:34" x14ac:dyDescent="0.25">
      <c r="A1400" s="423" t="s">
        <v>6224</v>
      </c>
      <c r="B1400" s="423" t="s">
        <v>6505</v>
      </c>
      <c r="C1400" s="423" t="s">
        <v>84</v>
      </c>
      <c r="D1400" s="423" t="s">
        <v>6226</v>
      </c>
      <c r="E1400" s="423" t="s">
        <v>236</v>
      </c>
      <c r="F1400" s="423">
        <v>20</v>
      </c>
      <c r="G1400" s="423">
        <v>256</v>
      </c>
      <c r="H1400" s="423">
        <v>15000</v>
      </c>
      <c r="J1400" s="423"/>
      <c r="K1400" s="423"/>
      <c r="L1400" s="423"/>
      <c r="M1400" s="423"/>
      <c r="Q1400" s="423"/>
      <c r="R1400" s="424" t="s">
        <v>6506</v>
      </c>
      <c r="S1400" s="424" t="s">
        <v>2820</v>
      </c>
      <c r="T1400" s="424" t="s">
        <v>5522</v>
      </c>
      <c r="U1400" s="424">
        <v>0</v>
      </c>
      <c r="V1400" s="424" t="s">
        <v>6499</v>
      </c>
      <c r="W1400" s="424" t="s">
        <v>6507</v>
      </c>
      <c r="X1400" s="424">
        <v>0</v>
      </c>
      <c r="Y1400" s="424" t="s">
        <v>2279</v>
      </c>
      <c r="Z1400" s="424" t="s">
        <v>2889</v>
      </c>
      <c r="AA1400" s="424" t="s">
        <v>6508</v>
      </c>
      <c r="AB1400" s="424" t="s">
        <v>6509</v>
      </c>
      <c r="AC1400" s="424" t="s">
        <v>2269</v>
      </c>
      <c r="AD1400" s="424" t="s">
        <v>6510</v>
      </c>
      <c r="AE1400" s="424" t="s">
        <v>6511</v>
      </c>
      <c r="AF1400" s="424"/>
      <c r="AG1400" s="424"/>
      <c r="AH1400" s="424"/>
    </row>
    <row r="1401" spans="1:34" x14ac:dyDescent="0.25">
      <c r="A1401" s="423" t="s">
        <v>6224</v>
      </c>
      <c r="B1401" s="423" t="s">
        <v>6512</v>
      </c>
      <c r="C1401" s="423" t="s">
        <v>84</v>
      </c>
      <c r="D1401" s="423" t="s">
        <v>6226</v>
      </c>
      <c r="E1401" s="423" t="s">
        <v>236</v>
      </c>
      <c r="F1401" s="423">
        <v>20</v>
      </c>
      <c r="G1401" s="423">
        <v>256</v>
      </c>
      <c r="H1401" s="423">
        <v>15000</v>
      </c>
      <c r="J1401" s="423"/>
      <c r="K1401" s="423"/>
      <c r="L1401" s="423"/>
      <c r="M1401" s="423"/>
      <c r="Q1401" s="423"/>
      <c r="R1401" s="424" t="s">
        <v>6513</v>
      </c>
      <c r="S1401" s="424" t="s">
        <v>2820</v>
      </c>
      <c r="T1401" s="424" t="s">
        <v>5522</v>
      </c>
      <c r="U1401" s="424">
        <v>0</v>
      </c>
      <c r="V1401" s="424" t="s">
        <v>6499</v>
      </c>
      <c r="W1401" s="424" t="s">
        <v>6507</v>
      </c>
      <c r="X1401" s="424">
        <v>0</v>
      </c>
      <c r="Y1401" s="424" t="s">
        <v>2279</v>
      </c>
      <c r="Z1401" s="424" t="s">
        <v>2889</v>
      </c>
      <c r="AA1401" s="424" t="s">
        <v>6508</v>
      </c>
      <c r="AB1401" s="424" t="s">
        <v>6514</v>
      </c>
      <c r="AC1401" s="424" t="s">
        <v>2269</v>
      </c>
      <c r="AD1401" s="424" t="s">
        <v>6510</v>
      </c>
      <c r="AE1401" s="424" t="s">
        <v>6511</v>
      </c>
      <c r="AF1401" s="424"/>
      <c r="AG1401" s="424"/>
      <c r="AH1401" s="424"/>
    </row>
    <row r="1402" spans="1:34" x14ac:dyDescent="0.25">
      <c r="A1402" s="423" t="s">
        <v>6224</v>
      </c>
      <c r="B1402" s="423" t="s">
        <v>6515</v>
      </c>
      <c r="C1402" s="423" t="s">
        <v>84</v>
      </c>
      <c r="D1402" s="423" t="s">
        <v>6226</v>
      </c>
      <c r="E1402" s="423" t="s">
        <v>236</v>
      </c>
      <c r="F1402" s="423">
        <v>24</v>
      </c>
      <c r="G1402" s="423">
        <v>64</v>
      </c>
      <c r="H1402" s="423">
        <v>2500</v>
      </c>
      <c r="J1402" s="423"/>
      <c r="K1402" s="423"/>
      <c r="L1402" s="423"/>
      <c r="M1402" s="423"/>
      <c r="Q1402" s="423"/>
      <c r="R1402" s="424" t="s">
        <v>6515</v>
      </c>
      <c r="S1402" s="424" t="s">
        <v>2846</v>
      </c>
      <c r="T1402" s="424" t="s">
        <v>3356</v>
      </c>
      <c r="U1402" s="424">
        <v>0</v>
      </c>
      <c r="V1402" s="424" t="s">
        <v>3899</v>
      </c>
      <c r="W1402" s="424" t="s">
        <v>3055</v>
      </c>
      <c r="X1402" s="424">
        <v>0</v>
      </c>
      <c r="Y1402" s="424" t="s">
        <v>2279</v>
      </c>
      <c r="Z1402" s="424" t="s">
        <v>2848</v>
      </c>
      <c r="AA1402" s="424" t="s">
        <v>2849</v>
      </c>
      <c r="AB1402" s="424" t="s">
        <v>6516</v>
      </c>
      <c r="AC1402" s="424" t="s">
        <v>1953</v>
      </c>
      <c r="AD1402" s="424" t="s">
        <v>2851</v>
      </c>
      <c r="AE1402" s="424" t="s">
        <v>3545</v>
      </c>
      <c r="AF1402" s="424"/>
      <c r="AG1402" s="424"/>
      <c r="AH1402" s="424"/>
    </row>
    <row r="1403" spans="1:34" x14ac:dyDescent="0.25">
      <c r="A1403" s="423" t="s">
        <v>6224</v>
      </c>
      <c r="B1403" s="423" t="s">
        <v>6517</v>
      </c>
      <c r="C1403" s="423" t="s">
        <v>84</v>
      </c>
      <c r="D1403" s="423" t="s">
        <v>6226</v>
      </c>
      <c r="E1403" s="423" t="s">
        <v>236</v>
      </c>
      <c r="F1403" s="423">
        <v>24</v>
      </c>
      <c r="G1403" s="423">
        <v>64</v>
      </c>
      <c r="H1403" s="423">
        <v>2500</v>
      </c>
      <c r="J1403" s="423"/>
      <c r="K1403" s="423"/>
      <c r="L1403" s="423"/>
      <c r="M1403" s="423"/>
      <c r="Q1403" s="423"/>
      <c r="R1403" s="424" t="s">
        <v>6517</v>
      </c>
      <c r="S1403" s="424" t="s">
        <v>2846</v>
      </c>
      <c r="T1403" s="424" t="s">
        <v>3356</v>
      </c>
      <c r="U1403" s="424">
        <v>0</v>
      </c>
      <c r="V1403" s="424" t="s">
        <v>3899</v>
      </c>
      <c r="W1403" s="424" t="s">
        <v>3055</v>
      </c>
      <c r="X1403" s="424">
        <v>0</v>
      </c>
      <c r="Y1403" s="424" t="s">
        <v>2279</v>
      </c>
      <c r="Z1403" s="424" t="s">
        <v>2848</v>
      </c>
      <c r="AA1403" s="424" t="s">
        <v>2855</v>
      </c>
      <c r="AB1403" s="424" t="s">
        <v>2856</v>
      </c>
      <c r="AC1403" s="424" t="s">
        <v>1953</v>
      </c>
      <c r="AD1403" s="424" t="s">
        <v>2851</v>
      </c>
      <c r="AE1403" s="424" t="s">
        <v>2857</v>
      </c>
      <c r="AF1403" s="424"/>
      <c r="AG1403" s="424"/>
      <c r="AH1403" s="424"/>
    </row>
    <row r="1404" spans="1:34" x14ac:dyDescent="0.25">
      <c r="A1404" s="423" t="s">
        <v>6224</v>
      </c>
      <c r="B1404" s="423" t="s">
        <v>6518</v>
      </c>
      <c r="C1404" s="423" t="s">
        <v>84</v>
      </c>
      <c r="D1404" s="423" t="s">
        <v>6226</v>
      </c>
      <c r="E1404" s="423" t="s">
        <v>236</v>
      </c>
      <c r="F1404" s="423">
        <v>24</v>
      </c>
      <c r="G1404" s="423">
        <v>64</v>
      </c>
      <c r="H1404" s="423">
        <v>2500</v>
      </c>
      <c r="J1404" s="423"/>
      <c r="K1404" s="423"/>
      <c r="L1404" s="423"/>
      <c r="M1404" s="423"/>
      <c r="Q1404" s="423"/>
      <c r="R1404" s="424" t="s">
        <v>6518</v>
      </c>
      <c r="S1404" s="424" t="s">
        <v>2846</v>
      </c>
      <c r="T1404" s="424" t="s">
        <v>3356</v>
      </c>
      <c r="U1404" s="424">
        <v>0</v>
      </c>
      <c r="V1404" s="424" t="s">
        <v>3899</v>
      </c>
      <c r="W1404" s="424" t="s">
        <v>3074</v>
      </c>
      <c r="X1404" s="424">
        <v>0</v>
      </c>
      <c r="Y1404" s="424" t="s">
        <v>2279</v>
      </c>
      <c r="Z1404" s="424" t="s">
        <v>2848</v>
      </c>
      <c r="AA1404" s="424" t="s">
        <v>2849</v>
      </c>
      <c r="AB1404" s="424" t="s">
        <v>4175</v>
      </c>
      <c r="AC1404" s="424" t="s">
        <v>1953</v>
      </c>
      <c r="AD1404" s="424" t="s">
        <v>2851</v>
      </c>
      <c r="AE1404" s="424" t="s">
        <v>3444</v>
      </c>
      <c r="AF1404" s="424"/>
      <c r="AG1404" s="424"/>
      <c r="AH1404" s="424"/>
    </row>
    <row r="1405" spans="1:34" x14ac:dyDescent="0.25">
      <c r="A1405" s="423" t="s">
        <v>6519</v>
      </c>
      <c r="B1405" s="423" t="s">
        <v>6520</v>
      </c>
      <c r="C1405" s="423" t="s">
        <v>84</v>
      </c>
      <c r="D1405" s="423" t="s">
        <v>6226</v>
      </c>
      <c r="E1405" s="423" t="s">
        <v>236</v>
      </c>
      <c r="F1405" s="423">
        <v>32</v>
      </c>
      <c r="G1405" s="423">
        <v>40</v>
      </c>
      <c r="H1405" s="423">
        <v>1000</v>
      </c>
      <c r="J1405" s="423"/>
      <c r="K1405" s="423"/>
      <c r="L1405" s="423"/>
      <c r="M1405" s="423"/>
      <c r="Q1405" s="423"/>
      <c r="R1405" s="424" t="s">
        <v>6520</v>
      </c>
      <c r="S1405" s="424" t="s">
        <v>2846</v>
      </c>
      <c r="T1405" s="424" t="s">
        <v>5628</v>
      </c>
      <c r="U1405" s="424">
        <v>0</v>
      </c>
      <c r="V1405" s="424" t="s">
        <v>3269</v>
      </c>
      <c r="W1405" s="424" t="s">
        <v>2974</v>
      </c>
      <c r="X1405" s="424" t="s">
        <v>2224</v>
      </c>
      <c r="Y1405" s="424" t="s">
        <v>2279</v>
      </c>
      <c r="Z1405" s="424" t="s">
        <v>2848</v>
      </c>
      <c r="AA1405" s="424" t="s">
        <v>2855</v>
      </c>
      <c r="AB1405" s="424" t="s">
        <v>4445</v>
      </c>
      <c r="AC1405" s="424" t="s">
        <v>1953</v>
      </c>
      <c r="AD1405" s="424" t="s">
        <v>2851</v>
      </c>
      <c r="AE1405" s="424" t="s">
        <v>3154</v>
      </c>
      <c r="AF1405" s="424"/>
      <c r="AG1405" s="424"/>
      <c r="AH1405" s="424"/>
    </row>
    <row r="1406" spans="1:34" x14ac:dyDescent="0.25">
      <c r="A1406" s="423" t="s">
        <v>6519</v>
      </c>
      <c r="B1406" s="423" t="s">
        <v>6521</v>
      </c>
      <c r="C1406" s="423" t="s">
        <v>84</v>
      </c>
      <c r="D1406" s="423" t="s">
        <v>6226</v>
      </c>
      <c r="E1406" s="423" t="s">
        <v>236</v>
      </c>
      <c r="F1406" s="423">
        <v>32</v>
      </c>
      <c r="G1406" s="423">
        <v>40</v>
      </c>
      <c r="H1406" s="423">
        <v>1000</v>
      </c>
      <c r="J1406" s="423"/>
      <c r="K1406" s="423"/>
      <c r="L1406" s="423"/>
      <c r="M1406" s="423"/>
      <c r="Q1406" s="423"/>
      <c r="R1406" s="424" t="s">
        <v>6521</v>
      </c>
      <c r="S1406" s="424" t="s">
        <v>2846</v>
      </c>
      <c r="T1406" s="424" t="s">
        <v>5628</v>
      </c>
      <c r="U1406" s="424">
        <v>0</v>
      </c>
      <c r="V1406" s="424" t="s">
        <v>3269</v>
      </c>
      <c r="W1406" s="424" t="s">
        <v>3176</v>
      </c>
      <c r="X1406" s="424" t="s">
        <v>2224</v>
      </c>
      <c r="Y1406" s="424" t="s">
        <v>2279</v>
      </c>
      <c r="Z1406" s="424" t="s">
        <v>3260</v>
      </c>
      <c r="AA1406" s="424" t="s">
        <v>3197</v>
      </c>
      <c r="AB1406" s="424" t="s">
        <v>6522</v>
      </c>
      <c r="AC1406" s="424" t="s">
        <v>1953</v>
      </c>
      <c r="AD1406" s="424" t="s">
        <v>2851</v>
      </c>
      <c r="AE1406" s="424" t="s">
        <v>3674</v>
      </c>
      <c r="AF1406" s="424"/>
      <c r="AG1406" s="424"/>
      <c r="AH1406" s="424"/>
    </row>
    <row r="1407" spans="1:34" x14ac:dyDescent="0.25">
      <c r="A1407" s="423" t="s">
        <v>6519</v>
      </c>
      <c r="B1407" s="423" t="s">
        <v>6523</v>
      </c>
      <c r="C1407" s="423" t="s">
        <v>84</v>
      </c>
      <c r="D1407" s="423" t="s">
        <v>6226</v>
      </c>
      <c r="E1407" s="423" t="s">
        <v>236</v>
      </c>
      <c r="F1407" s="423">
        <v>32</v>
      </c>
      <c r="G1407" s="423">
        <v>40</v>
      </c>
      <c r="H1407" s="423">
        <v>300</v>
      </c>
      <c r="J1407" s="423"/>
      <c r="K1407" s="423"/>
      <c r="L1407" s="423"/>
      <c r="M1407" s="423"/>
      <c r="Q1407" s="423"/>
      <c r="R1407" s="424" t="s">
        <v>6523</v>
      </c>
      <c r="S1407" s="424" t="s">
        <v>2846</v>
      </c>
      <c r="T1407" s="424" t="s">
        <v>5628</v>
      </c>
      <c r="U1407" s="424">
        <v>0</v>
      </c>
      <c r="V1407" s="424" t="s">
        <v>3269</v>
      </c>
      <c r="W1407" s="424" t="s">
        <v>3074</v>
      </c>
      <c r="X1407" s="424" t="s">
        <v>2224</v>
      </c>
      <c r="Y1407" s="424" t="s">
        <v>2279</v>
      </c>
      <c r="Z1407" s="424" t="s">
        <v>3260</v>
      </c>
      <c r="AA1407" s="424" t="s">
        <v>3197</v>
      </c>
      <c r="AB1407" s="424" t="s">
        <v>3857</v>
      </c>
      <c r="AC1407" s="424" t="s">
        <v>1953</v>
      </c>
      <c r="AD1407" s="424" t="s">
        <v>2851</v>
      </c>
      <c r="AE1407" s="424" t="s">
        <v>3481</v>
      </c>
      <c r="AF1407" s="424"/>
      <c r="AG1407" s="424"/>
      <c r="AH1407" s="424"/>
    </row>
    <row r="1408" spans="1:34" x14ac:dyDescent="0.25">
      <c r="A1408" s="423" t="s">
        <v>6519</v>
      </c>
      <c r="B1408" s="423" t="s">
        <v>6524</v>
      </c>
      <c r="C1408" s="423" t="s">
        <v>84</v>
      </c>
      <c r="D1408" s="423" t="s">
        <v>6226</v>
      </c>
      <c r="E1408" s="423" t="s">
        <v>236</v>
      </c>
      <c r="F1408" s="423">
        <v>32</v>
      </c>
      <c r="G1408" s="423">
        <v>40</v>
      </c>
      <c r="H1408" s="423">
        <v>300</v>
      </c>
      <c r="J1408" s="423"/>
      <c r="K1408" s="423"/>
      <c r="L1408" s="423"/>
      <c r="M1408" s="423"/>
      <c r="Q1408" s="423"/>
      <c r="R1408" s="424" t="s">
        <v>6524</v>
      </c>
      <c r="S1408" s="424" t="s">
        <v>2846</v>
      </c>
      <c r="T1408" s="424" t="s">
        <v>5628</v>
      </c>
      <c r="U1408" s="424">
        <v>0</v>
      </c>
      <c r="V1408" s="424" t="s">
        <v>3269</v>
      </c>
      <c r="W1408" s="424" t="s">
        <v>3176</v>
      </c>
      <c r="X1408" s="424" t="s">
        <v>2224</v>
      </c>
      <c r="Y1408" s="424" t="s">
        <v>2279</v>
      </c>
      <c r="Z1408" s="424" t="s">
        <v>3260</v>
      </c>
      <c r="AA1408" s="424" t="s">
        <v>3197</v>
      </c>
      <c r="AB1408" s="424" t="s">
        <v>3323</v>
      </c>
      <c r="AC1408" s="424" t="s">
        <v>1953</v>
      </c>
      <c r="AD1408" s="424" t="s">
        <v>2851</v>
      </c>
      <c r="AE1408" s="424" t="s">
        <v>3324</v>
      </c>
      <c r="AF1408" s="424"/>
      <c r="AG1408" s="424"/>
      <c r="AH1408" s="424"/>
    </row>
    <row r="1409" spans="1:34" x14ac:dyDescent="0.25">
      <c r="A1409" s="423" t="s">
        <v>6525</v>
      </c>
      <c r="B1409" s="423" t="s">
        <v>6526</v>
      </c>
      <c r="C1409" s="423" t="s">
        <v>84</v>
      </c>
      <c r="D1409" s="423" t="s">
        <v>6226</v>
      </c>
      <c r="E1409" s="423" t="s">
        <v>236</v>
      </c>
      <c r="F1409" s="423">
        <v>10</v>
      </c>
      <c r="G1409" s="423">
        <v>32</v>
      </c>
      <c r="H1409" s="423">
        <v>2000</v>
      </c>
      <c r="J1409" s="423"/>
      <c r="K1409" s="423"/>
      <c r="L1409" s="423"/>
      <c r="M1409" s="423"/>
      <c r="Q1409" s="423"/>
      <c r="R1409" s="424" t="s">
        <v>6526</v>
      </c>
      <c r="S1409" s="424" t="s">
        <v>2846</v>
      </c>
      <c r="T1409" s="424" t="s">
        <v>3356</v>
      </c>
      <c r="U1409" s="424">
        <v>0</v>
      </c>
      <c r="V1409" s="424" t="s">
        <v>2824</v>
      </c>
      <c r="W1409" s="424" t="s">
        <v>3055</v>
      </c>
      <c r="X1409" s="424" t="s">
        <v>6527</v>
      </c>
      <c r="Y1409" s="424" t="s">
        <v>2279</v>
      </c>
      <c r="Z1409" s="424" t="s">
        <v>2848</v>
      </c>
      <c r="AA1409" s="424" t="s">
        <v>2855</v>
      </c>
      <c r="AB1409" s="424" t="s">
        <v>3359</v>
      </c>
      <c r="AC1409" s="424" t="s">
        <v>1953</v>
      </c>
      <c r="AD1409" s="424" t="s">
        <v>2851</v>
      </c>
      <c r="AE1409" s="424" t="s">
        <v>3168</v>
      </c>
      <c r="AF1409" s="424"/>
      <c r="AG1409" s="424"/>
      <c r="AH1409" s="424"/>
    </row>
    <row r="1410" spans="1:34" x14ac:dyDescent="0.25">
      <c r="A1410" s="423" t="s">
        <v>6525</v>
      </c>
      <c r="B1410" s="423" t="s">
        <v>6528</v>
      </c>
      <c r="C1410" s="423" t="s">
        <v>84</v>
      </c>
      <c r="D1410" s="423" t="s">
        <v>6226</v>
      </c>
      <c r="E1410" s="423" t="s">
        <v>236</v>
      </c>
      <c r="F1410" s="423">
        <v>10</v>
      </c>
      <c r="G1410" s="423">
        <v>32</v>
      </c>
      <c r="H1410" s="423">
        <v>2000</v>
      </c>
      <c r="J1410" s="423"/>
      <c r="K1410" s="423"/>
      <c r="L1410" s="423"/>
      <c r="M1410" s="423"/>
      <c r="Q1410" s="423"/>
      <c r="R1410" s="424" t="s">
        <v>6528</v>
      </c>
      <c r="S1410" s="424" t="s">
        <v>2846</v>
      </c>
      <c r="T1410" s="424" t="s">
        <v>3356</v>
      </c>
      <c r="U1410" s="424">
        <v>0</v>
      </c>
      <c r="V1410" s="424" t="s">
        <v>2824</v>
      </c>
      <c r="W1410" s="424" t="s">
        <v>2974</v>
      </c>
      <c r="X1410" s="424" t="s">
        <v>6527</v>
      </c>
      <c r="Y1410" s="424" t="s">
        <v>2279</v>
      </c>
      <c r="Z1410" s="424" t="s">
        <v>2848</v>
      </c>
      <c r="AA1410" s="424" t="s">
        <v>2849</v>
      </c>
      <c r="AB1410" s="424" t="s">
        <v>5653</v>
      </c>
      <c r="AC1410" s="424" t="s">
        <v>1953</v>
      </c>
      <c r="AD1410" s="424" t="s">
        <v>2851</v>
      </c>
      <c r="AE1410" s="424" t="s">
        <v>3418</v>
      </c>
      <c r="AF1410" s="424"/>
      <c r="AG1410" s="424"/>
      <c r="AH1410" s="424"/>
    </row>
    <row r="1411" spans="1:34" x14ac:dyDescent="0.25">
      <c r="A1411" s="423" t="s">
        <v>6529</v>
      </c>
      <c r="B1411" s="423" t="s">
        <v>6530</v>
      </c>
      <c r="C1411" s="423" t="s">
        <v>84</v>
      </c>
      <c r="D1411" s="423" t="s">
        <v>6226</v>
      </c>
      <c r="E1411" s="423" t="s">
        <v>236</v>
      </c>
      <c r="F1411" s="423">
        <v>20</v>
      </c>
      <c r="G1411" s="423">
        <v>20</v>
      </c>
      <c r="H1411" s="423">
        <v>500</v>
      </c>
      <c r="J1411" s="423"/>
      <c r="K1411" s="423"/>
      <c r="L1411" s="423"/>
      <c r="M1411" s="423"/>
      <c r="Q1411" s="423"/>
      <c r="R1411" s="424" t="s">
        <v>6530</v>
      </c>
      <c r="S1411" s="424" t="s">
        <v>2846</v>
      </c>
      <c r="T1411" s="424" t="s">
        <v>3268</v>
      </c>
      <c r="U1411" s="424">
        <v>0</v>
      </c>
      <c r="V1411" s="424" t="s">
        <v>3269</v>
      </c>
      <c r="W1411" s="424" t="s">
        <v>3176</v>
      </c>
      <c r="X1411" s="424" t="s">
        <v>3298</v>
      </c>
      <c r="Y1411" s="424" t="s">
        <v>2279</v>
      </c>
      <c r="Z1411" s="424" t="s">
        <v>3260</v>
      </c>
      <c r="AA1411" s="424" t="s">
        <v>3197</v>
      </c>
      <c r="AB1411" s="424" t="s">
        <v>3571</v>
      </c>
      <c r="AC1411" s="424" t="s">
        <v>1953</v>
      </c>
      <c r="AD1411" s="424" t="s">
        <v>2851</v>
      </c>
      <c r="AE1411" s="424" t="s">
        <v>3324</v>
      </c>
      <c r="AF1411" s="424"/>
      <c r="AG1411" s="424"/>
      <c r="AH1411" s="424"/>
    </row>
    <row r="1412" spans="1:34" x14ac:dyDescent="0.25">
      <c r="A1412" s="423" t="s">
        <v>6529</v>
      </c>
      <c r="B1412" s="423" t="s">
        <v>6531</v>
      </c>
      <c r="C1412" s="423" t="s">
        <v>84</v>
      </c>
      <c r="D1412" s="423" t="s">
        <v>6226</v>
      </c>
      <c r="E1412" s="423" t="s">
        <v>236</v>
      </c>
      <c r="F1412" s="423">
        <v>20</v>
      </c>
      <c r="G1412" s="423">
        <v>20</v>
      </c>
      <c r="H1412" s="423">
        <v>500</v>
      </c>
      <c r="J1412" s="423"/>
      <c r="K1412" s="423"/>
      <c r="L1412" s="423"/>
      <c r="M1412" s="423"/>
      <c r="Q1412" s="423"/>
      <c r="R1412" s="424" t="s">
        <v>6531</v>
      </c>
      <c r="S1412" s="424" t="s">
        <v>2846</v>
      </c>
      <c r="T1412" s="424" t="s">
        <v>3268</v>
      </c>
      <c r="U1412" s="424">
        <v>0</v>
      </c>
      <c r="V1412" s="424" t="s">
        <v>3269</v>
      </c>
      <c r="W1412" s="424" t="s">
        <v>3176</v>
      </c>
      <c r="X1412" s="424" t="s">
        <v>3298</v>
      </c>
      <c r="Y1412" s="424" t="s">
        <v>2279</v>
      </c>
      <c r="Z1412" s="424" t="s">
        <v>3260</v>
      </c>
      <c r="AA1412" s="424" t="s">
        <v>3197</v>
      </c>
      <c r="AB1412" s="424" t="s">
        <v>5319</v>
      </c>
      <c r="AC1412" s="424" t="s">
        <v>1953</v>
      </c>
      <c r="AD1412" s="424" t="s">
        <v>2851</v>
      </c>
      <c r="AE1412" s="424" t="s">
        <v>3317</v>
      </c>
      <c r="AF1412" s="424"/>
      <c r="AG1412" s="424"/>
      <c r="AH1412" s="424"/>
    </row>
    <row r="1413" spans="1:34" x14ac:dyDescent="0.25">
      <c r="A1413" s="423" t="s">
        <v>6529</v>
      </c>
      <c r="B1413" s="423" t="s">
        <v>6532</v>
      </c>
      <c r="C1413" s="423" t="s">
        <v>84</v>
      </c>
      <c r="D1413" s="423" t="s">
        <v>6226</v>
      </c>
      <c r="E1413" s="423" t="s">
        <v>236</v>
      </c>
      <c r="F1413" s="423">
        <v>20</v>
      </c>
      <c r="G1413" s="423">
        <v>20</v>
      </c>
      <c r="H1413" s="423">
        <v>250</v>
      </c>
      <c r="J1413" s="423"/>
      <c r="K1413" s="423"/>
      <c r="L1413" s="423"/>
      <c r="M1413" s="423"/>
      <c r="Q1413" s="423"/>
      <c r="R1413" s="424" t="s">
        <v>6533</v>
      </c>
      <c r="S1413" s="424" t="s">
        <v>2846</v>
      </c>
      <c r="T1413" s="424" t="s">
        <v>3268</v>
      </c>
      <c r="U1413" s="424">
        <v>0</v>
      </c>
      <c r="V1413" s="424" t="s">
        <v>3269</v>
      </c>
      <c r="W1413" s="424" t="s">
        <v>3074</v>
      </c>
      <c r="X1413" s="424" t="s">
        <v>3298</v>
      </c>
      <c r="Y1413" s="424" t="s">
        <v>2279</v>
      </c>
      <c r="Z1413" s="424" t="s">
        <v>3260</v>
      </c>
      <c r="AA1413" s="424" t="s">
        <v>3197</v>
      </c>
      <c r="AB1413" s="424" t="s">
        <v>5314</v>
      </c>
      <c r="AC1413" s="424" t="s">
        <v>1953</v>
      </c>
      <c r="AD1413" s="424" t="s">
        <v>2851</v>
      </c>
      <c r="AE1413" s="424" t="s">
        <v>3550</v>
      </c>
      <c r="AF1413" s="424"/>
      <c r="AG1413" s="424"/>
      <c r="AH1413" s="424"/>
    </row>
    <row r="1414" spans="1:34" x14ac:dyDescent="0.25">
      <c r="A1414" s="423" t="s">
        <v>6534</v>
      </c>
      <c r="B1414" s="423" t="s">
        <v>6535</v>
      </c>
      <c r="C1414" s="423" t="s">
        <v>84</v>
      </c>
      <c r="D1414" s="423" t="s">
        <v>6226</v>
      </c>
      <c r="E1414" s="423" t="s">
        <v>236</v>
      </c>
      <c r="F1414" s="423">
        <v>21</v>
      </c>
      <c r="G1414" s="423">
        <v>20</v>
      </c>
      <c r="H1414" s="423">
        <v>250</v>
      </c>
      <c r="J1414" s="423"/>
      <c r="K1414" s="423"/>
      <c r="L1414" s="423"/>
      <c r="M1414" s="423"/>
      <c r="Q1414" s="423"/>
      <c r="R1414" s="424" t="s">
        <v>6536</v>
      </c>
      <c r="S1414" s="424" t="s">
        <v>2846</v>
      </c>
      <c r="T1414" s="424" t="s">
        <v>2870</v>
      </c>
      <c r="U1414" s="424">
        <v>0</v>
      </c>
      <c r="V1414" s="424" t="s">
        <v>3269</v>
      </c>
      <c r="W1414" s="424" t="s">
        <v>3055</v>
      </c>
      <c r="X1414" s="424" t="s">
        <v>2825</v>
      </c>
      <c r="Y1414" s="424" t="s">
        <v>2279</v>
      </c>
      <c r="Z1414" s="424" t="s">
        <v>2872</v>
      </c>
      <c r="AA1414" s="424" t="s">
        <v>2873</v>
      </c>
      <c r="AB1414" s="424" t="s">
        <v>6537</v>
      </c>
      <c r="AC1414" s="424" t="s">
        <v>1953</v>
      </c>
      <c r="AD1414" s="424" t="s">
        <v>2875</v>
      </c>
      <c r="AE1414" s="424" t="s">
        <v>3114</v>
      </c>
      <c r="AF1414" s="424"/>
      <c r="AG1414" s="424"/>
      <c r="AH1414" s="424"/>
    </row>
    <row r="1415" spans="1:34" x14ac:dyDescent="0.25">
      <c r="A1415" s="423" t="s">
        <v>6534</v>
      </c>
      <c r="B1415" s="423" t="s">
        <v>6538</v>
      </c>
      <c r="C1415" s="423" t="s">
        <v>84</v>
      </c>
      <c r="D1415" s="423" t="s">
        <v>6226</v>
      </c>
      <c r="E1415" s="423" t="s">
        <v>236</v>
      </c>
      <c r="F1415" s="423">
        <v>21</v>
      </c>
      <c r="G1415" s="423">
        <v>20</v>
      </c>
      <c r="H1415" s="423">
        <v>500</v>
      </c>
      <c r="J1415" s="423"/>
      <c r="K1415" s="423"/>
      <c r="L1415" s="423"/>
      <c r="M1415" s="423"/>
      <c r="Q1415" s="423"/>
      <c r="R1415" s="424" t="s">
        <v>6539</v>
      </c>
      <c r="S1415" s="424" t="s">
        <v>2846</v>
      </c>
      <c r="T1415" s="424" t="s">
        <v>2870</v>
      </c>
      <c r="U1415" s="424">
        <v>0</v>
      </c>
      <c r="V1415" s="424" t="s">
        <v>3269</v>
      </c>
      <c r="W1415" s="424" t="s">
        <v>3055</v>
      </c>
      <c r="X1415" s="424" t="s">
        <v>2825</v>
      </c>
      <c r="Y1415" s="424" t="s">
        <v>2279</v>
      </c>
      <c r="Z1415" s="424" t="s">
        <v>2872</v>
      </c>
      <c r="AA1415" s="424" t="s">
        <v>2873</v>
      </c>
      <c r="AB1415" s="424" t="s">
        <v>2879</v>
      </c>
      <c r="AC1415" s="424" t="s">
        <v>1953</v>
      </c>
      <c r="AD1415" s="424" t="s">
        <v>2875</v>
      </c>
      <c r="AE1415" s="424" t="s">
        <v>2880</v>
      </c>
      <c r="AF1415" s="424"/>
      <c r="AG1415" s="424"/>
      <c r="AH1415" s="424"/>
    </row>
    <row r="1416" spans="1:34" x14ac:dyDescent="0.25">
      <c r="A1416" s="423" t="s">
        <v>6540</v>
      </c>
      <c r="B1416" s="423" t="s">
        <v>6541</v>
      </c>
      <c r="C1416" s="423" t="s">
        <v>317</v>
      </c>
      <c r="D1416" s="423" t="s">
        <v>6542</v>
      </c>
      <c r="E1416" s="423" t="s">
        <v>236</v>
      </c>
      <c r="F1416" s="423">
        <v>24</v>
      </c>
      <c r="G1416" s="423">
        <v>80</v>
      </c>
      <c r="H1416" s="423" t="s">
        <v>6543</v>
      </c>
      <c r="J1416" s="423"/>
      <c r="K1416" s="423"/>
      <c r="L1416" s="423"/>
      <c r="M1416" s="423"/>
      <c r="Q1416" s="423"/>
      <c r="R1416" s="424" t="s">
        <v>6544</v>
      </c>
      <c r="S1416" s="424" t="s">
        <v>2846</v>
      </c>
      <c r="T1416" s="424" t="s">
        <v>2870</v>
      </c>
      <c r="U1416" s="424">
        <v>0</v>
      </c>
      <c r="V1416" s="424" t="s">
        <v>2924</v>
      </c>
      <c r="W1416" s="424" t="s">
        <v>2871</v>
      </c>
      <c r="X1416" s="424">
        <v>0</v>
      </c>
      <c r="Y1416" s="424" t="s">
        <v>2279</v>
      </c>
      <c r="Z1416" s="424" t="s">
        <v>2872</v>
      </c>
      <c r="AA1416" s="424" t="s">
        <v>2873</v>
      </c>
      <c r="AB1416" s="424" t="s">
        <v>2907</v>
      </c>
      <c r="AC1416" s="424" t="s">
        <v>1953</v>
      </c>
      <c r="AD1416" s="424" t="s">
        <v>2892</v>
      </c>
      <c r="AE1416" s="424" t="s">
        <v>2897</v>
      </c>
      <c r="AF1416" s="424"/>
      <c r="AG1416" s="424"/>
      <c r="AH1416" s="424"/>
    </row>
    <row r="1417" spans="1:34" x14ac:dyDescent="0.25">
      <c r="A1417" s="423" t="s">
        <v>6540</v>
      </c>
      <c r="B1417" s="423" t="s">
        <v>6545</v>
      </c>
      <c r="C1417" s="423" t="s">
        <v>317</v>
      </c>
      <c r="D1417" s="423" t="s">
        <v>6542</v>
      </c>
      <c r="E1417" s="423" t="s">
        <v>236</v>
      </c>
      <c r="F1417" s="423">
        <v>24</v>
      </c>
      <c r="G1417" s="423">
        <v>80</v>
      </c>
      <c r="H1417" s="423">
        <v>2000</v>
      </c>
      <c r="J1417" s="423"/>
      <c r="K1417" s="423"/>
      <c r="L1417" s="423"/>
      <c r="M1417" s="423"/>
      <c r="Q1417" s="423"/>
      <c r="R1417" s="424" t="s">
        <v>6546</v>
      </c>
      <c r="S1417" s="424" t="s">
        <v>2846</v>
      </c>
      <c r="T1417" s="424" t="s">
        <v>2870</v>
      </c>
      <c r="U1417" s="424">
        <v>0</v>
      </c>
      <c r="V1417" s="424" t="s">
        <v>2924</v>
      </c>
      <c r="W1417" s="424" t="s">
        <v>3074</v>
      </c>
      <c r="X1417" s="424">
        <v>0</v>
      </c>
      <c r="Y1417" s="424" t="s">
        <v>2279</v>
      </c>
      <c r="Z1417" s="424" t="s">
        <v>2872</v>
      </c>
      <c r="AA1417" s="424" t="s">
        <v>2873</v>
      </c>
      <c r="AB1417" s="424" t="s">
        <v>5159</v>
      </c>
      <c r="AC1417" s="424" t="s">
        <v>1953</v>
      </c>
      <c r="AD1417" s="424" t="s">
        <v>2892</v>
      </c>
      <c r="AE1417" s="424" t="s">
        <v>2962</v>
      </c>
      <c r="AF1417" s="424"/>
      <c r="AG1417" s="424"/>
      <c r="AH1417" s="424"/>
    </row>
    <row r="1418" spans="1:34" x14ac:dyDescent="0.25">
      <c r="A1418" s="423" t="s">
        <v>6540</v>
      </c>
      <c r="B1418" s="423" t="s">
        <v>6547</v>
      </c>
      <c r="C1418" s="423" t="s">
        <v>317</v>
      </c>
      <c r="D1418" s="423" t="s">
        <v>6542</v>
      </c>
      <c r="E1418" s="423" t="s">
        <v>236</v>
      </c>
      <c r="F1418" s="423">
        <v>24</v>
      </c>
      <c r="G1418" s="423">
        <v>80</v>
      </c>
      <c r="H1418" s="423">
        <v>2000</v>
      </c>
      <c r="J1418" s="423"/>
      <c r="K1418" s="423"/>
      <c r="L1418" s="423"/>
      <c r="M1418" s="423"/>
      <c r="Q1418" s="423"/>
      <c r="R1418" s="424" t="s">
        <v>6548</v>
      </c>
      <c r="S1418" s="424" t="s">
        <v>2846</v>
      </c>
      <c r="T1418" s="424" t="s">
        <v>2870</v>
      </c>
      <c r="U1418" s="424">
        <v>0</v>
      </c>
      <c r="V1418" s="424" t="s">
        <v>2924</v>
      </c>
      <c r="W1418" s="424" t="s">
        <v>2974</v>
      </c>
      <c r="X1418" s="424">
        <v>0</v>
      </c>
      <c r="Y1418" s="424" t="s">
        <v>2279</v>
      </c>
      <c r="Z1418" s="424" t="s">
        <v>2889</v>
      </c>
      <c r="AA1418" s="424" t="s">
        <v>2890</v>
      </c>
      <c r="AB1418" s="424" t="s">
        <v>6549</v>
      </c>
      <c r="AC1418" s="424" t="s">
        <v>1953</v>
      </c>
      <c r="AD1418" s="424" t="s">
        <v>2892</v>
      </c>
      <c r="AE1418" s="424" t="s">
        <v>2893</v>
      </c>
      <c r="AF1418" s="424"/>
      <c r="AG1418" s="424"/>
      <c r="AH1418" s="424"/>
    </row>
    <row r="1419" spans="1:34" x14ac:dyDescent="0.25">
      <c r="A1419" s="423" t="s">
        <v>6540</v>
      </c>
      <c r="B1419" s="423" t="s">
        <v>6550</v>
      </c>
      <c r="C1419" s="423" t="s">
        <v>317</v>
      </c>
      <c r="D1419" s="423" t="s">
        <v>6542</v>
      </c>
      <c r="E1419" s="423" t="s">
        <v>236</v>
      </c>
      <c r="F1419" s="423">
        <v>8</v>
      </c>
      <c r="G1419" s="423">
        <v>56</v>
      </c>
      <c r="H1419" s="423">
        <v>668</v>
      </c>
      <c r="J1419" s="423"/>
      <c r="K1419" s="423"/>
      <c r="L1419" s="423"/>
      <c r="M1419" s="423"/>
      <c r="Q1419" s="423"/>
      <c r="R1419" s="424" t="s">
        <v>6551</v>
      </c>
      <c r="S1419" s="424" t="s">
        <v>2846</v>
      </c>
      <c r="T1419" s="424" t="s">
        <v>2870</v>
      </c>
      <c r="U1419" s="424">
        <v>0</v>
      </c>
      <c r="V1419" s="424" t="s">
        <v>2924</v>
      </c>
      <c r="W1419" s="424" t="s">
        <v>3074</v>
      </c>
      <c r="X1419" s="424" t="s">
        <v>2825</v>
      </c>
      <c r="Y1419" s="424" t="s">
        <v>2279</v>
      </c>
      <c r="Z1419" s="424" t="s">
        <v>2872</v>
      </c>
      <c r="AA1419" s="424" t="s">
        <v>2873</v>
      </c>
      <c r="AB1419" s="424" t="s">
        <v>6552</v>
      </c>
      <c r="AC1419" s="424" t="s">
        <v>1953</v>
      </c>
      <c r="AD1419" s="424" t="s">
        <v>2892</v>
      </c>
      <c r="AE1419" s="424" t="s">
        <v>2962</v>
      </c>
      <c r="AF1419" s="424"/>
      <c r="AG1419" s="424"/>
      <c r="AH1419" s="424"/>
    </row>
    <row r="1420" spans="1:34" x14ac:dyDescent="0.25">
      <c r="A1420" s="423" t="s">
        <v>6540</v>
      </c>
      <c r="B1420" s="423" t="s">
        <v>6553</v>
      </c>
      <c r="C1420" s="423" t="s">
        <v>317</v>
      </c>
      <c r="D1420" s="423" t="s">
        <v>6542</v>
      </c>
      <c r="E1420" s="423" t="s">
        <v>236</v>
      </c>
      <c r="F1420" s="423">
        <v>8</v>
      </c>
      <c r="G1420" s="423">
        <v>56</v>
      </c>
      <c r="H1420" s="423">
        <v>668</v>
      </c>
      <c r="J1420" s="423"/>
      <c r="K1420" s="423"/>
      <c r="L1420" s="423"/>
      <c r="M1420" s="423"/>
      <c r="Q1420" s="423"/>
      <c r="R1420" s="424" t="s">
        <v>6554</v>
      </c>
      <c r="S1420" s="424" t="s">
        <v>2846</v>
      </c>
      <c r="T1420" s="424" t="s">
        <v>2870</v>
      </c>
      <c r="U1420" s="424">
        <v>0</v>
      </c>
      <c r="V1420" s="424" t="s">
        <v>2924</v>
      </c>
      <c r="W1420" s="424" t="s">
        <v>2871</v>
      </c>
      <c r="X1420" s="424" t="s">
        <v>2825</v>
      </c>
      <c r="Y1420" s="424" t="s">
        <v>2279</v>
      </c>
      <c r="Z1420" s="424" t="s">
        <v>2872</v>
      </c>
      <c r="AA1420" s="424" t="s">
        <v>2873</v>
      </c>
      <c r="AB1420" s="424" t="s">
        <v>2896</v>
      </c>
      <c r="AC1420" s="424" t="s">
        <v>1953</v>
      </c>
      <c r="AD1420" s="424" t="s">
        <v>2892</v>
      </c>
      <c r="AE1420" s="424" t="s">
        <v>2897</v>
      </c>
      <c r="AF1420" s="424"/>
      <c r="AG1420" s="424"/>
      <c r="AH1420" s="424"/>
    </row>
    <row r="1421" spans="1:34" x14ac:dyDescent="0.25">
      <c r="A1421" s="423" t="s">
        <v>6540</v>
      </c>
      <c r="B1421" s="423" t="s">
        <v>6555</v>
      </c>
      <c r="C1421" s="423" t="s">
        <v>317</v>
      </c>
      <c r="D1421" s="423" t="s">
        <v>6542</v>
      </c>
      <c r="E1421" s="423" t="s">
        <v>236</v>
      </c>
      <c r="F1421" s="423">
        <v>8</v>
      </c>
      <c r="G1421" s="423">
        <v>56</v>
      </c>
      <c r="H1421" s="423">
        <v>668</v>
      </c>
      <c r="J1421" s="423"/>
      <c r="K1421" s="423"/>
      <c r="L1421" s="423"/>
      <c r="M1421" s="423"/>
      <c r="Q1421" s="423"/>
      <c r="R1421" s="424" t="s">
        <v>6556</v>
      </c>
      <c r="S1421" s="424" t="s">
        <v>2846</v>
      </c>
      <c r="T1421" s="424" t="s">
        <v>2870</v>
      </c>
      <c r="U1421" s="424">
        <v>0</v>
      </c>
      <c r="V1421" s="424" t="s">
        <v>2924</v>
      </c>
      <c r="W1421" s="424" t="s">
        <v>2974</v>
      </c>
      <c r="X1421" s="424" t="s">
        <v>2825</v>
      </c>
      <c r="Y1421" s="424" t="s">
        <v>2279</v>
      </c>
      <c r="Z1421" s="424" t="s">
        <v>2889</v>
      </c>
      <c r="AA1421" s="424" t="s">
        <v>2890</v>
      </c>
      <c r="AB1421" s="424" t="s">
        <v>6557</v>
      </c>
      <c r="AC1421" s="424" t="s">
        <v>1953</v>
      </c>
      <c r="AD1421" s="424" t="s">
        <v>2892</v>
      </c>
      <c r="AE1421" s="424" t="s">
        <v>2930</v>
      </c>
      <c r="AF1421" s="424"/>
      <c r="AG1421" s="424"/>
      <c r="AH1421" s="424"/>
    </row>
    <row r="1422" spans="1:34" x14ac:dyDescent="0.25">
      <c r="A1422" s="423" t="s">
        <v>6540</v>
      </c>
      <c r="B1422" s="423" t="s">
        <v>6558</v>
      </c>
      <c r="C1422" s="423" t="s">
        <v>317</v>
      </c>
      <c r="D1422" s="423" t="s">
        <v>6542</v>
      </c>
      <c r="E1422" s="423" t="s">
        <v>236</v>
      </c>
      <c r="F1422" s="423">
        <v>8</v>
      </c>
      <c r="G1422" s="423">
        <v>56</v>
      </c>
      <c r="H1422" s="423">
        <v>668</v>
      </c>
      <c r="J1422" s="423"/>
      <c r="K1422" s="423"/>
      <c r="L1422" s="423"/>
      <c r="M1422" s="423"/>
      <c r="Q1422" s="423"/>
      <c r="R1422" s="424" t="s">
        <v>6559</v>
      </c>
      <c r="S1422" s="424" t="s">
        <v>2846</v>
      </c>
      <c r="T1422" s="424" t="s">
        <v>2870</v>
      </c>
      <c r="U1422" s="424">
        <v>0</v>
      </c>
      <c r="V1422" s="424" t="s">
        <v>2924</v>
      </c>
      <c r="W1422" s="424" t="s">
        <v>2871</v>
      </c>
      <c r="X1422" s="424" t="s">
        <v>2825</v>
      </c>
      <c r="Y1422" s="424" t="s">
        <v>2279</v>
      </c>
      <c r="Z1422" s="424" t="s">
        <v>2872</v>
      </c>
      <c r="AA1422" s="424" t="s">
        <v>2873</v>
      </c>
      <c r="AB1422" s="424" t="s">
        <v>2896</v>
      </c>
      <c r="AC1422" s="424" t="s">
        <v>1953</v>
      </c>
      <c r="AD1422" s="424" t="s">
        <v>2892</v>
      </c>
      <c r="AE1422" s="424" t="s">
        <v>2897</v>
      </c>
      <c r="AF1422" s="424"/>
      <c r="AG1422" s="424"/>
      <c r="AH1422" s="424"/>
    </row>
    <row r="1423" spans="1:34" x14ac:dyDescent="0.25">
      <c r="A1423" s="423" t="s">
        <v>6540</v>
      </c>
      <c r="B1423" s="423" t="s">
        <v>6560</v>
      </c>
      <c r="C1423" s="423" t="s">
        <v>317</v>
      </c>
      <c r="D1423" s="423" t="s">
        <v>6542</v>
      </c>
      <c r="E1423" s="423" t="s">
        <v>236</v>
      </c>
      <c r="F1423" s="423">
        <v>8</v>
      </c>
      <c r="G1423" s="423">
        <v>56</v>
      </c>
      <c r="H1423" s="423">
        <v>668</v>
      </c>
      <c r="J1423" s="423"/>
      <c r="K1423" s="423"/>
      <c r="L1423" s="423"/>
      <c r="M1423" s="423"/>
      <c r="Q1423" s="423"/>
      <c r="R1423" s="424" t="s">
        <v>6561</v>
      </c>
      <c r="S1423" s="424" t="s">
        <v>2846</v>
      </c>
      <c r="T1423" s="424" t="s">
        <v>2870</v>
      </c>
      <c r="U1423" s="424">
        <v>0</v>
      </c>
      <c r="V1423" s="424" t="s">
        <v>2924</v>
      </c>
      <c r="W1423" s="424" t="s">
        <v>2974</v>
      </c>
      <c r="X1423" s="424" t="s">
        <v>6562</v>
      </c>
      <c r="Y1423" s="424" t="s">
        <v>2279</v>
      </c>
      <c r="Z1423" s="424" t="s">
        <v>2889</v>
      </c>
      <c r="AA1423" s="424" t="s">
        <v>2890</v>
      </c>
      <c r="AB1423" s="424" t="s">
        <v>6563</v>
      </c>
      <c r="AC1423" s="424" t="s">
        <v>1953</v>
      </c>
      <c r="AD1423" s="424" t="s">
        <v>2892</v>
      </c>
      <c r="AE1423" s="424" t="s">
        <v>2940</v>
      </c>
      <c r="AF1423" s="424"/>
      <c r="AG1423" s="424"/>
      <c r="AH1423" s="424"/>
    </row>
    <row r="1424" spans="1:34" x14ac:dyDescent="0.25">
      <c r="A1424" s="423" t="s">
        <v>6540</v>
      </c>
      <c r="B1424" s="423" t="s">
        <v>6564</v>
      </c>
      <c r="C1424" s="423" t="s">
        <v>317</v>
      </c>
      <c r="D1424" s="423" t="s">
        <v>6542</v>
      </c>
      <c r="E1424" s="423" t="s">
        <v>236</v>
      </c>
      <c r="F1424" s="423">
        <v>8</v>
      </c>
      <c r="G1424" s="423">
        <v>56</v>
      </c>
      <c r="H1424" s="423">
        <v>668</v>
      </c>
      <c r="J1424" s="423"/>
      <c r="K1424" s="423"/>
      <c r="L1424" s="423"/>
      <c r="M1424" s="423"/>
      <c r="Q1424" s="423"/>
      <c r="R1424" s="424" t="s">
        <v>6565</v>
      </c>
      <c r="S1424" s="424" t="s">
        <v>2846</v>
      </c>
      <c r="T1424" s="424" t="s">
        <v>2870</v>
      </c>
      <c r="U1424" s="424">
        <v>0</v>
      </c>
      <c r="V1424" s="424" t="s">
        <v>2924</v>
      </c>
      <c r="W1424" s="424" t="s">
        <v>3074</v>
      </c>
      <c r="X1424" s="424" t="s">
        <v>6562</v>
      </c>
      <c r="Y1424" s="424" t="s">
        <v>2279</v>
      </c>
      <c r="Z1424" s="424" t="s">
        <v>2872</v>
      </c>
      <c r="AA1424" s="424" t="s">
        <v>2873</v>
      </c>
      <c r="AB1424" s="424" t="s">
        <v>4744</v>
      </c>
      <c r="AC1424" s="424" t="s">
        <v>1953</v>
      </c>
      <c r="AD1424" s="424" t="s">
        <v>2892</v>
      </c>
      <c r="AE1424" s="424" t="s">
        <v>4459</v>
      </c>
      <c r="AF1424" s="424"/>
      <c r="AG1424" s="424"/>
      <c r="AH1424" s="424"/>
    </row>
    <row r="1425" spans="1:34" x14ac:dyDescent="0.25">
      <c r="A1425" s="423" t="s">
        <v>6566</v>
      </c>
      <c r="B1425" s="423" t="s">
        <v>6567</v>
      </c>
      <c r="C1425" s="423" t="s">
        <v>317</v>
      </c>
      <c r="D1425" s="423" t="s">
        <v>6542</v>
      </c>
      <c r="E1425" s="423" t="s">
        <v>236</v>
      </c>
      <c r="F1425" s="423">
        <v>48</v>
      </c>
      <c r="G1425" s="423">
        <v>256</v>
      </c>
      <c r="H1425" s="423">
        <v>600</v>
      </c>
      <c r="J1425" s="423"/>
      <c r="K1425" s="423"/>
      <c r="L1425" s="423"/>
      <c r="M1425" s="423"/>
      <c r="Q1425" s="423"/>
      <c r="R1425" s="424" t="s">
        <v>6568</v>
      </c>
      <c r="S1425" s="424" t="s">
        <v>2820</v>
      </c>
      <c r="T1425" s="424" t="s">
        <v>4909</v>
      </c>
      <c r="U1425" s="424">
        <v>0</v>
      </c>
      <c r="V1425" s="424" t="s">
        <v>538</v>
      </c>
      <c r="W1425" s="424" t="s">
        <v>538</v>
      </c>
      <c r="X1425" s="424">
        <v>0</v>
      </c>
      <c r="Y1425" s="424" t="s">
        <v>2279</v>
      </c>
      <c r="Z1425" s="424" t="s">
        <v>3260</v>
      </c>
      <c r="AA1425" s="424" t="s">
        <v>3271</v>
      </c>
      <c r="AB1425" s="424" t="s">
        <v>6569</v>
      </c>
      <c r="AC1425" s="424" t="s">
        <v>1953</v>
      </c>
      <c r="AD1425" s="424" t="s">
        <v>2829</v>
      </c>
      <c r="AE1425" s="424" t="s">
        <v>6570</v>
      </c>
      <c r="AF1425" s="424"/>
      <c r="AG1425" s="424"/>
      <c r="AH1425" s="424"/>
    </row>
    <row r="1426" spans="1:34" x14ac:dyDescent="0.25">
      <c r="A1426" s="423" t="s">
        <v>6566</v>
      </c>
      <c r="B1426" s="423" t="s">
        <v>6571</v>
      </c>
      <c r="C1426" s="423" t="s">
        <v>317</v>
      </c>
      <c r="D1426" s="423" t="s">
        <v>6542</v>
      </c>
      <c r="E1426" s="423" t="s">
        <v>236</v>
      </c>
      <c r="F1426" s="423">
        <v>48</v>
      </c>
      <c r="G1426" s="423">
        <v>256</v>
      </c>
      <c r="H1426" s="423">
        <v>600</v>
      </c>
      <c r="J1426" s="423"/>
      <c r="K1426" s="423"/>
      <c r="L1426" s="423"/>
      <c r="M1426" s="423"/>
      <c r="Q1426" s="423"/>
      <c r="R1426" s="424" t="s">
        <v>6572</v>
      </c>
      <c r="S1426" s="424" t="s">
        <v>2820</v>
      </c>
      <c r="T1426" s="424" t="s">
        <v>4909</v>
      </c>
      <c r="U1426" s="424">
        <v>0</v>
      </c>
      <c r="V1426" s="424" t="s">
        <v>538</v>
      </c>
      <c r="W1426" s="424" t="s">
        <v>538</v>
      </c>
      <c r="X1426" s="424">
        <v>0</v>
      </c>
      <c r="Y1426" s="424" t="s">
        <v>2279</v>
      </c>
      <c r="Z1426" s="424" t="s">
        <v>3260</v>
      </c>
      <c r="AA1426" s="424" t="s">
        <v>3271</v>
      </c>
      <c r="AB1426" s="424" t="s">
        <v>6573</v>
      </c>
      <c r="AC1426" s="424" t="s">
        <v>1953</v>
      </c>
      <c r="AD1426" s="424" t="s">
        <v>2829</v>
      </c>
      <c r="AE1426" s="424" t="s">
        <v>6574</v>
      </c>
      <c r="AF1426" s="424"/>
      <c r="AG1426" s="424"/>
      <c r="AH1426" s="424"/>
    </row>
    <row r="1427" spans="1:34" x14ac:dyDescent="0.25">
      <c r="A1427" s="423" t="s">
        <v>6566</v>
      </c>
      <c r="B1427" s="423" t="s">
        <v>6575</v>
      </c>
      <c r="C1427" s="423" t="s">
        <v>317</v>
      </c>
      <c r="D1427" s="423" t="s">
        <v>6542</v>
      </c>
      <c r="E1427" s="423" t="s">
        <v>236</v>
      </c>
      <c r="F1427" s="423">
        <v>24</v>
      </c>
      <c r="G1427" s="423">
        <v>160</v>
      </c>
      <c r="H1427" s="423">
        <v>200</v>
      </c>
      <c r="J1427" s="423"/>
      <c r="K1427" s="423"/>
      <c r="L1427" s="423"/>
      <c r="M1427" s="423"/>
      <c r="Q1427" s="423"/>
      <c r="R1427" s="424" t="s">
        <v>6576</v>
      </c>
      <c r="S1427" s="424" t="s">
        <v>2820</v>
      </c>
      <c r="T1427" s="424" t="s">
        <v>3268</v>
      </c>
      <c r="U1427" s="424">
        <v>0</v>
      </c>
      <c r="V1427" s="424" t="s">
        <v>6577</v>
      </c>
      <c r="W1427" s="424" t="s">
        <v>6577</v>
      </c>
      <c r="X1427" s="424" t="s">
        <v>2224</v>
      </c>
      <c r="Y1427" s="424" t="s">
        <v>2279</v>
      </c>
      <c r="Z1427" s="424" t="s">
        <v>3260</v>
      </c>
      <c r="AA1427" s="424" t="s">
        <v>3271</v>
      </c>
      <c r="AB1427" s="424" t="s">
        <v>6578</v>
      </c>
      <c r="AC1427" s="424" t="s">
        <v>1953</v>
      </c>
      <c r="AD1427" s="424" t="s">
        <v>2829</v>
      </c>
      <c r="AE1427" s="424" t="s">
        <v>6579</v>
      </c>
      <c r="AF1427" s="424"/>
      <c r="AG1427" s="424"/>
      <c r="AH1427" s="424"/>
    </row>
    <row r="1428" spans="1:34" x14ac:dyDescent="0.25">
      <c r="A1428" s="423" t="s">
        <v>6566</v>
      </c>
      <c r="B1428" s="423" t="s">
        <v>6580</v>
      </c>
      <c r="C1428" s="423" t="s">
        <v>317</v>
      </c>
      <c r="D1428" s="423" t="s">
        <v>6542</v>
      </c>
      <c r="E1428" s="423" t="s">
        <v>236</v>
      </c>
      <c r="F1428" s="423">
        <v>24</v>
      </c>
      <c r="G1428" s="423">
        <v>160</v>
      </c>
      <c r="H1428" s="423">
        <v>200</v>
      </c>
      <c r="J1428" s="423"/>
      <c r="K1428" s="423"/>
      <c r="L1428" s="423"/>
      <c r="M1428" s="423"/>
      <c r="Q1428" s="423"/>
      <c r="R1428" s="424" t="s">
        <v>6581</v>
      </c>
      <c r="S1428" s="424" t="s">
        <v>2820</v>
      </c>
      <c r="T1428" s="424" t="s">
        <v>3268</v>
      </c>
      <c r="U1428" s="424">
        <v>0</v>
      </c>
      <c r="V1428" s="424" t="s">
        <v>6577</v>
      </c>
      <c r="W1428" s="424" t="s">
        <v>6577</v>
      </c>
      <c r="X1428" s="424" t="s">
        <v>2224</v>
      </c>
      <c r="Y1428" s="424" t="s">
        <v>2279</v>
      </c>
      <c r="Z1428" s="424" t="s">
        <v>3260</v>
      </c>
      <c r="AA1428" s="424" t="s">
        <v>3271</v>
      </c>
      <c r="AB1428" s="424" t="s">
        <v>6582</v>
      </c>
      <c r="AC1428" s="424" t="s">
        <v>1953</v>
      </c>
      <c r="AD1428" s="424" t="s">
        <v>2829</v>
      </c>
      <c r="AE1428" s="424" t="s">
        <v>6583</v>
      </c>
      <c r="AF1428" s="424"/>
      <c r="AG1428" s="424"/>
      <c r="AH1428" s="424"/>
    </row>
    <row r="1429" spans="1:34" x14ac:dyDescent="0.25">
      <c r="A1429" s="423" t="s">
        <v>839</v>
      </c>
      <c r="B1429" s="423" t="s">
        <v>6584</v>
      </c>
      <c r="C1429" s="423" t="s">
        <v>317</v>
      </c>
      <c r="D1429" s="423" t="s">
        <v>6542</v>
      </c>
      <c r="E1429" s="423" t="s">
        <v>236</v>
      </c>
      <c r="F1429" s="423">
        <v>8</v>
      </c>
      <c r="G1429" s="423">
        <v>44</v>
      </c>
      <c r="H1429" s="423">
        <v>600</v>
      </c>
      <c r="J1429" s="423"/>
      <c r="K1429" s="423"/>
      <c r="L1429" s="423"/>
      <c r="M1429" s="423"/>
      <c r="Q1429" s="423"/>
      <c r="R1429" s="424" t="s">
        <v>6585</v>
      </c>
      <c r="S1429" s="424" t="s">
        <v>2846</v>
      </c>
      <c r="T1429" s="424" t="s">
        <v>2870</v>
      </c>
      <c r="U1429" s="424">
        <v>0</v>
      </c>
      <c r="V1429" s="424" t="s">
        <v>2973</v>
      </c>
      <c r="W1429" s="424" t="s">
        <v>2974</v>
      </c>
      <c r="X1429" s="424" t="s">
        <v>2825</v>
      </c>
      <c r="Y1429" s="424" t="s">
        <v>2279</v>
      </c>
      <c r="Z1429" s="424" t="s">
        <v>2889</v>
      </c>
      <c r="AA1429" s="424" t="s">
        <v>2890</v>
      </c>
      <c r="AB1429" s="424" t="s">
        <v>5975</v>
      </c>
      <c r="AC1429" s="424" t="s">
        <v>1953</v>
      </c>
      <c r="AD1429" s="424" t="s">
        <v>2892</v>
      </c>
      <c r="AE1429" s="424" t="s">
        <v>2940</v>
      </c>
      <c r="AF1429" s="424"/>
      <c r="AG1429" s="424"/>
      <c r="AH1429" s="424"/>
    </row>
    <row r="1430" spans="1:34" x14ac:dyDescent="0.25">
      <c r="A1430" s="423" t="s">
        <v>6586</v>
      </c>
      <c r="B1430" s="423" t="s">
        <v>6587</v>
      </c>
      <c r="C1430" s="423" t="s">
        <v>317</v>
      </c>
      <c r="D1430" s="423" t="s">
        <v>6542</v>
      </c>
      <c r="E1430" s="423" t="s">
        <v>236</v>
      </c>
      <c r="F1430" s="423">
        <v>40</v>
      </c>
      <c r="G1430" s="423">
        <v>256</v>
      </c>
      <c r="H1430" s="423">
        <v>1920</v>
      </c>
      <c r="J1430" s="423"/>
      <c r="K1430" s="423"/>
      <c r="L1430" s="423"/>
      <c r="M1430" s="423"/>
      <c r="Q1430" s="423"/>
      <c r="R1430" s="424" t="s">
        <v>6588</v>
      </c>
      <c r="S1430" s="424" t="s">
        <v>2820</v>
      </c>
      <c r="T1430" s="424" t="s">
        <v>5781</v>
      </c>
      <c r="U1430" s="424">
        <v>0</v>
      </c>
      <c r="V1430" s="424" t="s">
        <v>283</v>
      </c>
      <c r="W1430" s="424" t="s">
        <v>2973</v>
      </c>
      <c r="X1430" s="424">
        <v>0</v>
      </c>
      <c r="Y1430" s="424" t="s">
        <v>2279</v>
      </c>
      <c r="Z1430" s="424" t="s">
        <v>2889</v>
      </c>
      <c r="AA1430" s="424" t="s">
        <v>5782</v>
      </c>
      <c r="AB1430" s="424" t="s">
        <v>6589</v>
      </c>
      <c r="AC1430" s="424" t="s">
        <v>1957</v>
      </c>
      <c r="AD1430" s="424" t="s">
        <v>5784</v>
      </c>
      <c r="AE1430" s="424" t="s">
        <v>5812</v>
      </c>
      <c r="AF1430" s="424"/>
      <c r="AG1430" s="424"/>
      <c r="AH1430" s="424"/>
    </row>
    <row r="1431" spans="1:34" x14ac:dyDescent="0.25">
      <c r="A1431" s="423" t="s">
        <v>6586</v>
      </c>
      <c r="B1431" s="423" t="s">
        <v>6590</v>
      </c>
      <c r="C1431" s="423" t="s">
        <v>317</v>
      </c>
      <c r="D1431" s="423" t="s">
        <v>6542</v>
      </c>
      <c r="E1431" s="423" t="s">
        <v>236</v>
      </c>
      <c r="F1431" s="423">
        <v>40</v>
      </c>
      <c r="G1431" s="423">
        <v>256</v>
      </c>
      <c r="H1431" s="423">
        <v>1920</v>
      </c>
      <c r="J1431" s="423"/>
      <c r="K1431" s="423"/>
      <c r="L1431" s="423"/>
      <c r="M1431" s="423"/>
      <c r="Q1431" s="423"/>
      <c r="R1431" s="424" t="s">
        <v>6591</v>
      </c>
      <c r="S1431" s="424" t="s">
        <v>2820</v>
      </c>
      <c r="T1431" s="424" t="s">
        <v>5781</v>
      </c>
      <c r="U1431" s="424">
        <v>0</v>
      </c>
      <c r="V1431" s="424" t="s">
        <v>283</v>
      </c>
      <c r="W1431" s="424" t="s">
        <v>2973</v>
      </c>
      <c r="X1431" s="424">
        <v>0</v>
      </c>
      <c r="Y1431" s="424" t="s">
        <v>2279</v>
      </c>
      <c r="Z1431" s="424" t="s">
        <v>2889</v>
      </c>
      <c r="AA1431" s="424" t="s">
        <v>5782</v>
      </c>
      <c r="AB1431" s="424" t="s">
        <v>6592</v>
      </c>
      <c r="AC1431" s="424" t="s">
        <v>1957</v>
      </c>
      <c r="AD1431" s="424" t="s">
        <v>5784</v>
      </c>
      <c r="AE1431" s="424" t="s">
        <v>5812</v>
      </c>
      <c r="AF1431" s="424"/>
      <c r="AG1431" s="424"/>
      <c r="AH1431" s="424"/>
    </row>
    <row r="1432" spans="1:34" x14ac:dyDescent="0.25">
      <c r="A1432" s="423" t="s">
        <v>6586</v>
      </c>
      <c r="B1432" s="423" t="s">
        <v>6593</v>
      </c>
      <c r="C1432" s="423" t="s">
        <v>317</v>
      </c>
      <c r="D1432" s="423" t="s">
        <v>6542</v>
      </c>
      <c r="E1432" s="423" t="s">
        <v>236</v>
      </c>
      <c r="F1432" s="423">
        <v>40</v>
      </c>
      <c r="G1432" s="423">
        <v>256</v>
      </c>
      <c r="H1432" s="423">
        <v>1920</v>
      </c>
      <c r="J1432" s="423"/>
      <c r="K1432" s="423"/>
      <c r="L1432" s="423"/>
      <c r="M1432" s="423"/>
      <c r="Q1432" s="423"/>
      <c r="R1432" s="424" t="s">
        <v>6594</v>
      </c>
      <c r="S1432" s="424" t="s">
        <v>2820</v>
      </c>
      <c r="T1432" s="424" t="s">
        <v>5781</v>
      </c>
      <c r="U1432" s="424">
        <v>0</v>
      </c>
      <c r="V1432" s="424" t="s">
        <v>283</v>
      </c>
      <c r="W1432" s="424" t="s">
        <v>2973</v>
      </c>
      <c r="X1432" s="424">
        <v>0</v>
      </c>
      <c r="Y1432" s="424" t="s">
        <v>2279</v>
      </c>
      <c r="Z1432" s="424" t="s">
        <v>2889</v>
      </c>
      <c r="AA1432" s="424" t="s">
        <v>5782</v>
      </c>
      <c r="AB1432" s="424" t="s">
        <v>6595</v>
      </c>
      <c r="AC1432" s="424" t="s">
        <v>1957</v>
      </c>
      <c r="AD1432" s="424" t="s">
        <v>5784</v>
      </c>
      <c r="AE1432" s="424" t="s">
        <v>5812</v>
      </c>
      <c r="AF1432" s="424"/>
      <c r="AG1432" s="424"/>
      <c r="AH1432" s="424"/>
    </row>
    <row r="1433" spans="1:34" x14ac:dyDescent="0.25">
      <c r="A1433" s="423" t="s">
        <v>6586</v>
      </c>
      <c r="B1433" s="423" t="s">
        <v>6596</v>
      </c>
      <c r="C1433" s="423" t="s">
        <v>317</v>
      </c>
      <c r="D1433" s="423" t="s">
        <v>6542</v>
      </c>
      <c r="E1433" s="423" t="s">
        <v>236</v>
      </c>
      <c r="F1433" s="423">
        <v>40</v>
      </c>
      <c r="G1433" s="423">
        <v>256</v>
      </c>
      <c r="H1433" s="423">
        <v>1920</v>
      </c>
      <c r="J1433" s="423"/>
      <c r="K1433" s="423"/>
      <c r="L1433" s="423"/>
      <c r="M1433" s="423"/>
      <c r="Q1433" s="423"/>
      <c r="R1433" s="424" t="s">
        <v>6597</v>
      </c>
      <c r="S1433" s="424" t="s">
        <v>2820</v>
      </c>
      <c r="T1433" s="424" t="s">
        <v>5781</v>
      </c>
      <c r="U1433" s="424">
        <v>0</v>
      </c>
      <c r="V1433" s="424" t="s">
        <v>283</v>
      </c>
      <c r="W1433" s="424" t="s">
        <v>2973</v>
      </c>
      <c r="X1433" s="424">
        <v>0</v>
      </c>
      <c r="Y1433" s="424" t="s">
        <v>2279</v>
      </c>
      <c r="Z1433" s="424" t="s">
        <v>2889</v>
      </c>
      <c r="AA1433" s="424" t="s">
        <v>5782</v>
      </c>
      <c r="AB1433" s="424" t="s">
        <v>6598</v>
      </c>
      <c r="AC1433" s="424" t="s">
        <v>1957</v>
      </c>
      <c r="AD1433" s="424" t="s">
        <v>5784</v>
      </c>
      <c r="AE1433" s="424" t="s">
        <v>5812</v>
      </c>
      <c r="AF1433" s="424"/>
      <c r="AG1433" s="424"/>
      <c r="AH1433" s="424"/>
    </row>
    <row r="1434" spans="1:34" x14ac:dyDescent="0.25">
      <c r="A1434" s="423" t="s">
        <v>6586</v>
      </c>
      <c r="B1434" s="423" t="s">
        <v>6599</v>
      </c>
      <c r="C1434" s="423" t="s">
        <v>317</v>
      </c>
      <c r="D1434" s="423" t="s">
        <v>6542</v>
      </c>
      <c r="E1434" s="423" t="s">
        <v>236</v>
      </c>
      <c r="F1434" s="423">
        <v>40</v>
      </c>
      <c r="G1434" s="423">
        <v>256</v>
      </c>
      <c r="H1434" s="423">
        <v>1920</v>
      </c>
      <c r="J1434" s="423"/>
      <c r="K1434" s="423"/>
      <c r="L1434" s="423"/>
      <c r="M1434" s="423"/>
      <c r="Q1434" s="423"/>
      <c r="R1434" s="424" t="s">
        <v>6600</v>
      </c>
      <c r="S1434" s="424" t="s">
        <v>2820</v>
      </c>
      <c r="T1434" s="424" t="s">
        <v>5781</v>
      </c>
      <c r="U1434" s="424">
        <v>0</v>
      </c>
      <c r="V1434" s="424" t="s">
        <v>283</v>
      </c>
      <c r="W1434" s="424" t="s">
        <v>6507</v>
      </c>
      <c r="X1434" s="424">
        <v>0</v>
      </c>
      <c r="Y1434" s="424" t="s">
        <v>2279</v>
      </c>
      <c r="Z1434" s="424" t="s">
        <v>2889</v>
      </c>
      <c r="AA1434" s="424" t="s">
        <v>5782</v>
      </c>
      <c r="AB1434" s="424" t="s">
        <v>6601</v>
      </c>
      <c r="AC1434" s="424" t="s">
        <v>1957</v>
      </c>
      <c r="AD1434" s="424" t="s">
        <v>6602</v>
      </c>
      <c r="AE1434" s="424" t="s">
        <v>6603</v>
      </c>
      <c r="AF1434" s="424"/>
      <c r="AG1434" s="424"/>
      <c r="AH1434" s="424"/>
    </row>
    <row r="1435" spans="1:34" x14ac:dyDescent="0.25">
      <c r="A1435" s="423" t="s">
        <v>6586</v>
      </c>
      <c r="B1435" s="423" t="s">
        <v>6604</v>
      </c>
      <c r="C1435" s="423" t="s">
        <v>317</v>
      </c>
      <c r="D1435" s="423" t="s">
        <v>6542</v>
      </c>
      <c r="E1435" s="423" t="s">
        <v>236</v>
      </c>
      <c r="F1435" s="423">
        <v>40</v>
      </c>
      <c r="G1435" s="423">
        <v>256</v>
      </c>
      <c r="H1435" s="423">
        <v>1920</v>
      </c>
      <c r="J1435" s="423"/>
      <c r="K1435" s="423"/>
      <c r="L1435" s="423"/>
      <c r="M1435" s="423"/>
      <c r="Q1435" s="423"/>
      <c r="R1435" s="424" t="s">
        <v>6605</v>
      </c>
      <c r="S1435" s="424" t="s">
        <v>2820</v>
      </c>
      <c r="T1435" s="424" t="s">
        <v>5781</v>
      </c>
      <c r="U1435" s="424">
        <v>0</v>
      </c>
      <c r="V1435" s="424" t="s">
        <v>283</v>
      </c>
      <c r="W1435" s="424" t="s">
        <v>6507</v>
      </c>
      <c r="X1435" s="424">
        <v>0</v>
      </c>
      <c r="Y1435" s="424" t="s">
        <v>2279</v>
      </c>
      <c r="Z1435" s="424" t="s">
        <v>2889</v>
      </c>
      <c r="AA1435" s="424" t="s">
        <v>5782</v>
      </c>
      <c r="AB1435" s="424" t="s">
        <v>6606</v>
      </c>
      <c r="AC1435" s="424" t="s">
        <v>1957</v>
      </c>
      <c r="AD1435" s="424" t="s">
        <v>6602</v>
      </c>
      <c r="AE1435" s="424" t="s">
        <v>6603</v>
      </c>
      <c r="AF1435" s="424"/>
      <c r="AG1435" s="424"/>
      <c r="AH1435" s="424"/>
    </row>
    <row r="1436" spans="1:34" x14ac:dyDescent="0.25">
      <c r="A1436" s="423" t="s">
        <v>6586</v>
      </c>
      <c r="B1436" s="423" t="s">
        <v>6607</v>
      </c>
      <c r="C1436" s="423" t="s">
        <v>317</v>
      </c>
      <c r="D1436" s="423" t="s">
        <v>6542</v>
      </c>
      <c r="E1436" s="423" t="s">
        <v>236</v>
      </c>
      <c r="F1436" s="423">
        <v>40</v>
      </c>
      <c r="G1436" s="423">
        <v>256</v>
      </c>
      <c r="H1436" s="423">
        <v>1920</v>
      </c>
      <c r="J1436" s="423"/>
      <c r="K1436" s="423"/>
      <c r="L1436" s="423"/>
      <c r="M1436" s="423"/>
      <c r="Q1436" s="423"/>
      <c r="R1436" s="424" t="s">
        <v>6608</v>
      </c>
      <c r="S1436" s="424" t="s">
        <v>2820</v>
      </c>
      <c r="T1436" s="424" t="s">
        <v>5781</v>
      </c>
      <c r="U1436" s="424">
        <v>0</v>
      </c>
      <c r="V1436" s="424" t="s">
        <v>283</v>
      </c>
      <c r="W1436" s="424" t="s">
        <v>6507</v>
      </c>
      <c r="X1436" s="424">
        <v>0</v>
      </c>
      <c r="Y1436" s="424" t="s">
        <v>2279</v>
      </c>
      <c r="Z1436" s="424" t="s">
        <v>2889</v>
      </c>
      <c r="AA1436" s="424" t="s">
        <v>5782</v>
      </c>
      <c r="AB1436" s="424" t="s">
        <v>6609</v>
      </c>
      <c r="AC1436" s="424" t="s">
        <v>1957</v>
      </c>
      <c r="AD1436" s="424" t="s">
        <v>6602</v>
      </c>
      <c r="AE1436" s="424" t="s">
        <v>6610</v>
      </c>
      <c r="AF1436" s="424"/>
      <c r="AG1436" s="424"/>
      <c r="AH1436" s="424"/>
    </row>
    <row r="1437" spans="1:34" x14ac:dyDescent="0.25">
      <c r="A1437" s="423" t="s">
        <v>6586</v>
      </c>
      <c r="B1437" s="423" t="s">
        <v>6611</v>
      </c>
      <c r="C1437" s="423" t="s">
        <v>317</v>
      </c>
      <c r="D1437" s="423" t="s">
        <v>6542</v>
      </c>
      <c r="E1437" s="423" t="s">
        <v>236</v>
      </c>
      <c r="F1437" s="423">
        <v>40</v>
      </c>
      <c r="G1437" s="423">
        <v>256</v>
      </c>
      <c r="H1437" s="423">
        <v>1920</v>
      </c>
      <c r="J1437" s="423"/>
      <c r="K1437" s="423"/>
      <c r="L1437" s="423"/>
      <c r="M1437" s="423"/>
      <c r="Q1437" s="423"/>
      <c r="R1437" s="424" t="s">
        <v>6612</v>
      </c>
      <c r="S1437" s="424" t="s">
        <v>2820</v>
      </c>
      <c r="T1437" s="424" t="s">
        <v>5781</v>
      </c>
      <c r="U1437" s="424">
        <v>0</v>
      </c>
      <c r="V1437" s="424" t="s">
        <v>283</v>
      </c>
      <c r="W1437" s="424" t="s">
        <v>6507</v>
      </c>
      <c r="X1437" s="424" t="s">
        <v>6562</v>
      </c>
      <c r="Y1437" s="424" t="s">
        <v>2279</v>
      </c>
      <c r="Z1437" s="424" t="s">
        <v>2889</v>
      </c>
      <c r="AA1437" s="424" t="s">
        <v>5782</v>
      </c>
      <c r="AB1437" s="424" t="s">
        <v>6613</v>
      </c>
      <c r="AC1437" s="424" t="s">
        <v>1957</v>
      </c>
      <c r="AD1437" s="424" t="s">
        <v>6602</v>
      </c>
      <c r="AE1437" s="424" t="s">
        <v>6610</v>
      </c>
      <c r="AF1437" s="424"/>
      <c r="AG1437" s="424"/>
      <c r="AH1437" s="424"/>
    </row>
    <row r="1438" spans="1:34" x14ac:dyDescent="0.25">
      <c r="A1438" s="423" t="s">
        <v>6586</v>
      </c>
      <c r="B1438" s="423" t="s">
        <v>6614</v>
      </c>
      <c r="C1438" s="423" t="s">
        <v>317</v>
      </c>
      <c r="D1438" s="423" t="s">
        <v>6542</v>
      </c>
      <c r="E1438" s="423" t="s">
        <v>236</v>
      </c>
      <c r="F1438" s="423">
        <v>40</v>
      </c>
      <c r="G1438" s="423">
        <v>256</v>
      </c>
      <c r="H1438" s="423">
        <v>1920</v>
      </c>
      <c r="J1438" s="423"/>
      <c r="K1438" s="423"/>
      <c r="L1438" s="423"/>
      <c r="M1438" s="423"/>
      <c r="Q1438" s="423"/>
      <c r="R1438" s="424" t="s">
        <v>6615</v>
      </c>
      <c r="S1438" s="424" t="s">
        <v>2820</v>
      </c>
      <c r="T1438" s="424" t="s">
        <v>5781</v>
      </c>
      <c r="U1438" s="424">
        <v>0</v>
      </c>
      <c r="V1438" s="424" t="s">
        <v>283</v>
      </c>
      <c r="W1438" s="424" t="s">
        <v>6507</v>
      </c>
      <c r="X1438" s="424">
        <v>0</v>
      </c>
      <c r="Y1438" s="424" t="s">
        <v>2279</v>
      </c>
      <c r="Z1438" s="424" t="s">
        <v>2889</v>
      </c>
      <c r="AA1438" s="424" t="s">
        <v>5782</v>
      </c>
      <c r="AB1438" s="424" t="s">
        <v>6616</v>
      </c>
      <c r="AC1438" s="424" t="s">
        <v>1957</v>
      </c>
      <c r="AD1438" s="424" t="s">
        <v>6602</v>
      </c>
      <c r="AE1438" s="424" t="s">
        <v>6610</v>
      </c>
      <c r="AF1438" s="424"/>
      <c r="AG1438" s="424"/>
      <c r="AH1438" s="424"/>
    </row>
    <row r="1439" spans="1:34" x14ac:dyDescent="0.25">
      <c r="A1439" s="423" t="s">
        <v>6586</v>
      </c>
      <c r="B1439" s="423" t="s">
        <v>6617</v>
      </c>
      <c r="C1439" s="423" t="s">
        <v>317</v>
      </c>
      <c r="D1439" s="423" t="s">
        <v>6542</v>
      </c>
      <c r="E1439" s="423" t="s">
        <v>236</v>
      </c>
      <c r="F1439" s="423">
        <v>40</v>
      </c>
      <c r="G1439" s="423">
        <v>256</v>
      </c>
      <c r="H1439" s="423">
        <v>1920</v>
      </c>
      <c r="J1439" s="423"/>
      <c r="K1439" s="423"/>
      <c r="L1439" s="423"/>
      <c r="M1439" s="423"/>
      <c r="Q1439" s="423"/>
      <c r="R1439" s="424" t="s">
        <v>6618</v>
      </c>
      <c r="S1439" s="424" t="s">
        <v>2820</v>
      </c>
      <c r="T1439" s="424" t="s">
        <v>5781</v>
      </c>
      <c r="U1439" s="424">
        <v>0</v>
      </c>
      <c r="V1439" s="424" t="s">
        <v>283</v>
      </c>
      <c r="W1439" s="424" t="s">
        <v>6507</v>
      </c>
      <c r="X1439" s="424">
        <v>0</v>
      </c>
      <c r="Y1439" s="424" t="s">
        <v>2279</v>
      </c>
      <c r="Z1439" s="424" t="s">
        <v>2889</v>
      </c>
      <c r="AA1439" s="424" t="s">
        <v>5782</v>
      </c>
      <c r="AB1439" s="424" t="s">
        <v>6619</v>
      </c>
      <c r="AC1439" s="424" t="s">
        <v>1957</v>
      </c>
      <c r="AD1439" s="424" t="s">
        <v>6602</v>
      </c>
      <c r="AE1439" s="424" t="s">
        <v>6610</v>
      </c>
      <c r="AF1439" s="424"/>
      <c r="AG1439" s="424"/>
      <c r="AH1439" s="424"/>
    </row>
    <row r="1440" spans="1:34" x14ac:dyDescent="0.25">
      <c r="A1440" s="423" t="s">
        <v>6620</v>
      </c>
      <c r="B1440" s="423" t="s">
        <v>6621</v>
      </c>
      <c r="C1440" s="423" t="s">
        <v>84</v>
      </c>
      <c r="D1440" s="423" t="s">
        <v>6226</v>
      </c>
      <c r="E1440" s="423" t="s">
        <v>236</v>
      </c>
      <c r="F1440" s="423">
        <v>16</v>
      </c>
      <c r="G1440" s="423">
        <v>32</v>
      </c>
      <c r="H1440" s="423">
        <v>500</v>
      </c>
      <c r="J1440" s="423"/>
      <c r="K1440" s="423"/>
      <c r="L1440" s="423"/>
      <c r="M1440" s="423"/>
      <c r="Q1440" s="423"/>
      <c r="R1440" s="424" t="s">
        <v>6621</v>
      </c>
      <c r="S1440" s="424" t="s">
        <v>2846</v>
      </c>
      <c r="T1440" s="424" t="s">
        <v>2847</v>
      </c>
      <c r="U1440" s="424">
        <v>0</v>
      </c>
      <c r="V1440" s="424" t="s">
        <v>2973</v>
      </c>
      <c r="W1440" s="424" t="s">
        <v>3055</v>
      </c>
      <c r="X1440" s="424" t="s">
        <v>2825</v>
      </c>
      <c r="Y1440" s="424" t="s">
        <v>2279</v>
      </c>
      <c r="Z1440" s="424" t="s">
        <v>2848</v>
      </c>
      <c r="AA1440" s="424" t="s">
        <v>2855</v>
      </c>
      <c r="AB1440" s="424" t="s">
        <v>6622</v>
      </c>
      <c r="AC1440" s="424" t="s">
        <v>1953</v>
      </c>
      <c r="AD1440" s="424" t="s">
        <v>2851</v>
      </c>
      <c r="AE1440" s="424" t="s">
        <v>2857</v>
      </c>
      <c r="AF1440" s="424"/>
      <c r="AG1440" s="424"/>
      <c r="AH1440" s="424"/>
    </row>
    <row r="1441" spans="1:34" x14ac:dyDescent="0.25">
      <c r="A1441" s="423" t="s">
        <v>6620</v>
      </c>
      <c r="B1441" s="423" t="s">
        <v>6623</v>
      </c>
      <c r="C1441" s="423" t="s">
        <v>84</v>
      </c>
      <c r="D1441" s="423" t="s">
        <v>6226</v>
      </c>
      <c r="E1441" s="423" t="s">
        <v>236</v>
      </c>
      <c r="F1441" s="423">
        <v>8</v>
      </c>
      <c r="G1441" s="423">
        <v>32</v>
      </c>
      <c r="H1441" s="423">
        <v>1200</v>
      </c>
      <c r="J1441" s="423"/>
      <c r="K1441" s="423"/>
      <c r="L1441" s="423"/>
      <c r="M1441" s="423"/>
      <c r="Q1441" s="423"/>
      <c r="R1441" s="424" t="s">
        <v>6623</v>
      </c>
      <c r="S1441" s="424" t="s">
        <v>2846</v>
      </c>
      <c r="T1441" s="424" t="s">
        <v>6624</v>
      </c>
      <c r="U1441" s="424">
        <v>0</v>
      </c>
      <c r="V1441" s="424" t="s">
        <v>3269</v>
      </c>
      <c r="W1441" s="424" t="s">
        <v>3054</v>
      </c>
      <c r="X1441" s="424" t="s">
        <v>2825</v>
      </c>
      <c r="Y1441" s="424" t="s">
        <v>2279</v>
      </c>
      <c r="Z1441" s="424" t="s">
        <v>2848</v>
      </c>
      <c r="AA1441" s="424" t="s">
        <v>2849</v>
      </c>
      <c r="AB1441" s="424" t="s">
        <v>4192</v>
      </c>
      <c r="AC1441" s="424" t="s">
        <v>1953</v>
      </c>
      <c r="AD1441" s="424" t="s">
        <v>2851</v>
      </c>
      <c r="AE1441" s="424" t="s">
        <v>4193</v>
      </c>
      <c r="AF1441" s="424"/>
      <c r="AG1441" s="424"/>
      <c r="AH1441" s="424"/>
    </row>
    <row r="1442" spans="1:34" x14ac:dyDescent="0.25">
      <c r="A1442" s="423" t="s">
        <v>6620</v>
      </c>
      <c r="B1442" s="423" t="s">
        <v>6625</v>
      </c>
      <c r="C1442" s="423" t="s">
        <v>84</v>
      </c>
      <c r="D1442" s="423" t="s">
        <v>6226</v>
      </c>
      <c r="E1442" s="423" t="s">
        <v>236</v>
      </c>
      <c r="F1442" s="423">
        <v>8</v>
      </c>
      <c r="G1442" s="423">
        <v>16</v>
      </c>
      <c r="H1442" s="423">
        <v>1500</v>
      </c>
      <c r="J1442" s="423"/>
      <c r="K1442" s="423"/>
      <c r="L1442" s="423"/>
      <c r="M1442" s="423"/>
      <c r="Q1442" s="423"/>
      <c r="R1442" s="424" t="s">
        <v>6625</v>
      </c>
      <c r="S1442" s="424" t="s">
        <v>2846</v>
      </c>
      <c r="T1442" s="424" t="s">
        <v>3268</v>
      </c>
      <c r="U1442" s="424">
        <v>0</v>
      </c>
      <c r="V1442" s="424" t="s">
        <v>3269</v>
      </c>
      <c r="W1442" s="424" t="s">
        <v>3054</v>
      </c>
      <c r="X1442" s="424" t="s">
        <v>2825</v>
      </c>
      <c r="Y1442" s="424" t="s">
        <v>2279</v>
      </c>
      <c r="Z1442" s="424" t="s">
        <v>2848</v>
      </c>
      <c r="AA1442" s="424" t="s">
        <v>3927</v>
      </c>
      <c r="AB1442" s="424" t="s">
        <v>4755</v>
      </c>
      <c r="AC1442" s="424" t="s">
        <v>1953</v>
      </c>
      <c r="AD1442" s="424" t="s">
        <v>2851</v>
      </c>
      <c r="AE1442" s="424" t="s">
        <v>3719</v>
      </c>
      <c r="AF1442" s="424"/>
      <c r="AG1442" s="424"/>
      <c r="AH1442" s="424"/>
    </row>
    <row r="1443" spans="1:34" x14ac:dyDescent="0.25">
      <c r="A1443" s="423" t="s">
        <v>6620</v>
      </c>
      <c r="B1443" s="423" t="s">
        <v>6626</v>
      </c>
      <c r="C1443" s="423" t="s">
        <v>84</v>
      </c>
      <c r="D1443" s="423" t="s">
        <v>6226</v>
      </c>
      <c r="E1443" s="423" t="s">
        <v>236</v>
      </c>
      <c r="F1443" s="423">
        <v>8</v>
      </c>
      <c r="G1443" s="423">
        <v>16</v>
      </c>
      <c r="H1443" s="423">
        <v>1200</v>
      </c>
      <c r="J1443" s="423"/>
      <c r="K1443" s="423"/>
      <c r="L1443" s="423"/>
      <c r="M1443" s="423"/>
      <c r="Q1443" s="423"/>
      <c r="R1443" s="424" t="s">
        <v>6626</v>
      </c>
      <c r="S1443" s="424" t="s">
        <v>2846</v>
      </c>
      <c r="T1443" s="424" t="s">
        <v>3291</v>
      </c>
      <c r="U1443" s="424">
        <v>0</v>
      </c>
      <c r="V1443" s="424" t="s">
        <v>3269</v>
      </c>
      <c r="W1443" s="424" t="s">
        <v>3074</v>
      </c>
      <c r="X1443" s="424" t="s">
        <v>2825</v>
      </c>
      <c r="Y1443" s="424" t="s">
        <v>2279</v>
      </c>
      <c r="Z1443" s="424" t="s">
        <v>3260</v>
      </c>
      <c r="AA1443" s="424" t="s">
        <v>3197</v>
      </c>
      <c r="AB1443" s="424" t="s">
        <v>3826</v>
      </c>
      <c r="AC1443" s="424" t="s">
        <v>1953</v>
      </c>
      <c r="AD1443" s="424" t="s">
        <v>2851</v>
      </c>
      <c r="AE1443" s="424" t="s">
        <v>3550</v>
      </c>
      <c r="AF1443" s="424"/>
      <c r="AG1443" s="424"/>
      <c r="AH1443" s="424"/>
    </row>
    <row r="1444" spans="1:34" x14ac:dyDescent="0.25">
      <c r="A1444" s="423" t="s">
        <v>6627</v>
      </c>
      <c r="B1444" s="423" t="s">
        <v>6628</v>
      </c>
      <c r="C1444" s="423" t="s">
        <v>84</v>
      </c>
      <c r="D1444" s="423" t="s">
        <v>6226</v>
      </c>
      <c r="E1444" s="423" t="s">
        <v>236</v>
      </c>
      <c r="F1444" s="423">
        <v>8</v>
      </c>
      <c r="G1444" s="423">
        <v>16</v>
      </c>
      <c r="H1444" s="423">
        <v>1200</v>
      </c>
      <c r="J1444" s="423"/>
      <c r="K1444" s="423"/>
      <c r="L1444" s="423"/>
      <c r="M1444" s="423"/>
      <c r="Q1444" s="423"/>
      <c r="R1444" s="424" t="s">
        <v>6628</v>
      </c>
      <c r="S1444" s="424" t="s">
        <v>2846</v>
      </c>
      <c r="T1444" s="424" t="s">
        <v>3291</v>
      </c>
      <c r="U1444" s="424">
        <v>0</v>
      </c>
      <c r="V1444" s="424" t="s">
        <v>3269</v>
      </c>
      <c r="W1444" s="424" t="s">
        <v>3054</v>
      </c>
      <c r="X1444" s="424" t="s">
        <v>2825</v>
      </c>
      <c r="Y1444" s="424" t="s">
        <v>2279</v>
      </c>
      <c r="Z1444" s="424" t="s">
        <v>2848</v>
      </c>
      <c r="AA1444" s="424" t="s">
        <v>2855</v>
      </c>
      <c r="AB1444" s="424" t="s">
        <v>4422</v>
      </c>
      <c r="AC1444" s="424" t="s">
        <v>1953</v>
      </c>
      <c r="AD1444" s="424" t="s">
        <v>2851</v>
      </c>
      <c r="AE1444" s="424" t="s">
        <v>3154</v>
      </c>
      <c r="AF1444" s="424"/>
      <c r="AG1444" s="424"/>
      <c r="AH1444" s="424"/>
    </row>
    <row r="1445" spans="1:34" x14ac:dyDescent="0.25">
      <c r="A1445" s="423" t="s">
        <v>6627</v>
      </c>
      <c r="B1445" s="423" t="s">
        <v>6629</v>
      </c>
      <c r="C1445" s="423" t="s">
        <v>84</v>
      </c>
      <c r="D1445" s="423" t="s">
        <v>6226</v>
      </c>
      <c r="E1445" s="423" t="s">
        <v>236</v>
      </c>
      <c r="F1445" s="423">
        <v>8</v>
      </c>
      <c r="G1445" s="423">
        <v>16</v>
      </c>
      <c r="H1445" s="423">
        <v>1200</v>
      </c>
      <c r="J1445" s="423"/>
      <c r="K1445" s="423"/>
      <c r="L1445" s="423"/>
      <c r="M1445" s="423"/>
      <c r="Q1445" s="423"/>
      <c r="R1445" s="424" t="s">
        <v>6629</v>
      </c>
      <c r="S1445" s="424" t="s">
        <v>2846</v>
      </c>
      <c r="T1445" s="424" t="s">
        <v>3291</v>
      </c>
      <c r="U1445" s="424">
        <v>0</v>
      </c>
      <c r="V1445" s="424" t="s">
        <v>3269</v>
      </c>
      <c r="W1445" s="424" t="s">
        <v>3176</v>
      </c>
      <c r="X1445" s="424" t="s">
        <v>2825</v>
      </c>
      <c r="Y1445" s="424" t="s">
        <v>2279</v>
      </c>
      <c r="Z1445" s="424" t="s">
        <v>3260</v>
      </c>
      <c r="AA1445" s="424" t="s">
        <v>3197</v>
      </c>
      <c r="AB1445" s="424" t="s">
        <v>6630</v>
      </c>
      <c r="AC1445" s="424" t="s">
        <v>1953</v>
      </c>
      <c r="AD1445" s="424" t="s">
        <v>2851</v>
      </c>
      <c r="AE1445" s="424" t="s">
        <v>3674</v>
      </c>
      <c r="AF1445" s="424"/>
      <c r="AG1445" s="424"/>
      <c r="AH1445" s="424"/>
    </row>
    <row r="1446" spans="1:34" x14ac:dyDescent="0.25">
      <c r="A1446" s="423" t="s">
        <v>6627</v>
      </c>
      <c r="B1446" s="423" t="s">
        <v>6631</v>
      </c>
      <c r="C1446" s="423" t="s">
        <v>84</v>
      </c>
      <c r="D1446" s="423" t="s">
        <v>6226</v>
      </c>
      <c r="E1446" s="423" t="s">
        <v>236</v>
      </c>
      <c r="F1446" s="423">
        <v>8</v>
      </c>
      <c r="G1446" s="423">
        <v>24</v>
      </c>
      <c r="H1446" s="423">
        <v>250</v>
      </c>
      <c r="J1446" s="423"/>
      <c r="K1446" s="423"/>
      <c r="L1446" s="423"/>
      <c r="M1446" s="423"/>
      <c r="Q1446" s="423"/>
      <c r="R1446" s="424" t="s">
        <v>6631</v>
      </c>
      <c r="S1446" s="424" t="s">
        <v>2846</v>
      </c>
      <c r="T1446" s="424" t="s">
        <v>3268</v>
      </c>
      <c r="U1446" s="424">
        <v>0</v>
      </c>
      <c r="V1446" s="424" t="s">
        <v>3269</v>
      </c>
      <c r="W1446" s="424" t="s">
        <v>3074</v>
      </c>
      <c r="X1446" s="424" t="s">
        <v>2825</v>
      </c>
      <c r="Y1446" s="424" t="s">
        <v>2279</v>
      </c>
      <c r="Z1446" s="424" t="s">
        <v>3260</v>
      </c>
      <c r="AA1446" s="424" t="s">
        <v>3271</v>
      </c>
      <c r="AB1446" s="424" t="s">
        <v>4978</v>
      </c>
      <c r="AC1446" s="424" t="s">
        <v>1953</v>
      </c>
      <c r="AD1446" s="424" t="s">
        <v>2851</v>
      </c>
      <c r="AE1446" s="424" t="s">
        <v>3203</v>
      </c>
      <c r="AF1446" s="424"/>
      <c r="AG1446" s="424"/>
      <c r="AH1446" s="424"/>
    </row>
    <row r="1447" spans="1:34" x14ac:dyDescent="0.25">
      <c r="A1447" s="423" t="s">
        <v>6627</v>
      </c>
      <c r="B1447" s="423" t="s">
        <v>6632</v>
      </c>
      <c r="C1447" s="423" t="s">
        <v>84</v>
      </c>
      <c r="D1447" s="423" t="s">
        <v>6226</v>
      </c>
      <c r="E1447" s="423" t="s">
        <v>236</v>
      </c>
      <c r="F1447" s="423">
        <v>8</v>
      </c>
      <c r="G1447" s="423">
        <v>16</v>
      </c>
      <c r="H1447" s="423">
        <v>1200</v>
      </c>
      <c r="J1447" s="423"/>
      <c r="K1447" s="423"/>
      <c r="L1447" s="423"/>
      <c r="M1447" s="423"/>
      <c r="Q1447" s="423"/>
      <c r="R1447" s="424" t="e">
        <v>#N/A</v>
      </c>
      <c r="S1447" s="424" t="e">
        <v>#N/A</v>
      </c>
      <c r="T1447" s="424" t="e">
        <v>#N/A</v>
      </c>
      <c r="U1447" s="424">
        <v>0</v>
      </c>
      <c r="V1447" s="424" t="e">
        <v>#N/A</v>
      </c>
      <c r="W1447" s="424" t="e">
        <v>#N/A</v>
      </c>
      <c r="X1447" s="424" t="e">
        <v>#N/A</v>
      </c>
      <c r="Y1447" s="424" t="e">
        <v>#N/A</v>
      </c>
      <c r="Z1447" s="424" t="e">
        <v>#N/A</v>
      </c>
      <c r="AA1447" s="424" t="e">
        <v>#N/A</v>
      </c>
      <c r="AB1447" s="424" t="e">
        <v>#N/A</v>
      </c>
      <c r="AC1447" s="424" t="e">
        <v>#N/A</v>
      </c>
      <c r="AD1447" s="424" t="e">
        <v>#N/A</v>
      </c>
      <c r="AE1447" s="424" t="e">
        <v>#N/A</v>
      </c>
      <c r="AF1447" s="424"/>
      <c r="AG1447" s="424"/>
      <c r="AH1447" s="424"/>
    </row>
    <row r="1448" spans="1:34" x14ac:dyDescent="0.25">
      <c r="A1448" s="423" t="s">
        <v>6633</v>
      </c>
      <c r="B1448" s="423" t="s">
        <v>6634</v>
      </c>
      <c r="C1448" s="423" t="s">
        <v>84</v>
      </c>
      <c r="D1448" s="423" t="s">
        <v>6226</v>
      </c>
      <c r="E1448" s="423" t="s">
        <v>236</v>
      </c>
      <c r="F1448" s="423">
        <v>30</v>
      </c>
      <c r="G1448" s="423">
        <v>63</v>
      </c>
      <c r="H1448" s="423">
        <v>1915</v>
      </c>
      <c r="J1448" s="423"/>
      <c r="K1448" s="423"/>
      <c r="L1448" s="423"/>
      <c r="M1448" s="423"/>
      <c r="Q1448" s="423"/>
      <c r="R1448" s="424" t="s">
        <v>6635</v>
      </c>
      <c r="S1448" s="424" t="s">
        <v>2846</v>
      </c>
      <c r="T1448" s="424" t="s">
        <v>2847</v>
      </c>
      <c r="U1448" s="424">
        <v>0</v>
      </c>
      <c r="V1448" s="424" t="s">
        <v>2823</v>
      </c>
      <c r="W1448" s="424" t="s">
        <v>3055</v>
      </c>
      <c r="X1448" s="424" t="s">
        <v>2825</v>
      </c>
      <c r="Y1448" s="424" t="s">
        <v>3908</v>
      </c>
      <c r="Z1448" s="424" t="s">
        <v>2889</v>
      </c>
      <c r="AA1448" s="424" t="s">
        <v>2890</v>
      </c>
      <c r="AB1448" s="424" t="s">
        <v>5262</v>
      </c>
      <c r="AC1448" s="424" t="s">
        <v>1953</v>
      </c>
      <c r="AD1448" s="424" t="s">
        <v>2851</v>
      </c>
      <c r="AE1448" s="424" t="s">
        <v>3462</v>
      </c>
      <c r="AF1448" s="424"/>
      <c r="AG1448" s="424"/>
      <c r="AH1448" s="424"/>
    </row>
    <row r="1449" spans="1:34" x14ac:dyDescent="0.25">
      <c r="A1449" s="423" t="s">
        <v>6633</v>
      </c>
      <c r="B1449" s="423" t="s">
        <v>6636</v>
      </c>
      <c r="C1449" s="423" t="s">
        <v>84</v>
      </c>
      <c r="D1449" s="423" t="s">
        <v>6226</v>
      </c>
      <c r="E1449" s="423" t="s">
        <v>236</v>
      </c>
      <c r="F1449" s="423">
        <v>30</v>
      </c>
      <c r="G1449" s="423">
        <v>63</v>
      </c>
      <c r="H1449" s="423">
        <v>1915</v>
      </c>
      <c r="J1449" s="423"/>
      <c r="K1449" s="423"/>
      <c r="L1449" s="423"/>
      <c r="M1449" s="423"/>
      <c r="Q1449" s="423"/>
      <c r="R1449" s="424" t="s">
        <v>6637</v>
      </c>
      <c r="S1449" s="424" t="s">
        <v>2846</v>
      </c>
      <c r="T1449" s="424" t="s">
        <v>2847</v>
      </c>
      <c r="U1449" s="424">
        <v>0</v>
      </c>
      <c r="V1449" s="424" t="s">
        <v>2823</v>
      </c>
      <c r="W1449" s="424" t="s">
        <v>3074</v>
      </c>
      <c r="X1449" s="424" t="s">
        <v>2825</v>
      </c>
      <c r="Y1449" s="424" t="s">
        <v>3908</v>
      </c>
      <c r="Z1449" s="424" t="s">
        <v>2848</v>
      </c>
      <c r="AA1449" s="424" t="s">
        <v>2849</v>
      </c>
      <c r="AB1449" s="424" t="s">
        <v>3879</v>
      </c>
      <c r="AC1449" s="424" t="s">
        <v>1953</v>
      </c>
      <c r="AD1449" s="424" t="s">
        <v>2851</v>
      </c>
      <c r="AE1449" s="424" t="s">
        <v>3436</v>
      </c>
      <c r="AF1449" s="424"/>
      <c r="AG1449" s="424"/>
      <c r="AH1449" s="424"/>
    </row>
    <row r="1450" spans="1:34" x14ac:dyDescent="0.25">
      <c r="A1450" s="423" t="s">
        <v>6633</v>
      </c>
      <c r="B1450" s="423" t="s">
        <v>6638</v>
      </c>
      <c r="C1450" s="423" t="s">
        <v>84</v>
      </c>
      <c r="D1450" s="423" t="s">
        <v>6226</v>
      </c>
      <c r="E1450" s="423" t="s">
        <v>236</v>
      </c>
      <c r="F1450" s="423">
        <v>40</v>
      </c>
      <c r="G1450" s="423">
        <v>32</v>
      </c>
      <c r="H1450" s="423">
        <v>1060</v>
      </c>
      <c r="J1450" s="423"/>
      <c r="K1450" s="423"/>
      <c r="L1450" s="423"/>
      <c r="M1450" s="423"/>
      <c r="Q1450" s="423"/>
      <c r="R1450" s="424" t="s">
        <v>6639</v>
      </c>
      <c r="S1450" s="424" t="s">
        <v>2846</v>
      </c>
      <c r="T1450" s="424" t="s">
        <v>2847</v>
      </c>
      <c r="U1450" s="424">
        <v>0</v>
      </c>
      <c r="V1450" s="424" t="s">
        <v>2823</v>
      </c>
      <c r="W1450" s="424" t="s">
        <v>3074</v>
      </c>
      <c r="X1450" s="424" t="s">
        <v>2825</v>
      </c>
      <c r="Y1450" s="424" t="s">
        <v>2279</v>
      </c>
      <c r="Z1450" s="424" t="s">
        <v>2848</v>
      </c>
      <c r="AA1450" s="424" t="s">
        <v>2849</v>
      </c>
      <c r="AB1450" s="424" t="s">
        <v>4429</v>
      </c>
      <c r="AC1450" s="424" t="s">
        <v>1953</v>
      </c>
      <c r="AD1450" s="424" t="s">
        <v>2851</v>
      </c>
      <c r="AE1450" s="424" t="s">
        <v>3436</v>
      </c>
      <c r="AF1450" s="424"/>
      <c r="AG1450" s="424"/>
      <c r="AH1450" s="424"/>
    </row>
    <row r="1451" spans="1:34" x14ac:dyDescent="0.25">
      <c r="A1451" s="423" t="s">
        <v>6633</v>
      </c>
      <c r="B1451" s="423" t="s">
        <v>6640</v>
      </c>
      <c r="C1451" s="423" t="s">
        <v>84</v>
      </c>
      <c r="D1451" s="423" t="s">
        <v>6226</v>
      </c>
      <c r="E1451" s="423" t="s">
        <v>236</v>
      </c>
      <c r="F1451" s="423">
        <v>40</v>
      </c>
      <c r="G1451" s="423">
        <v>95</v>
      </c>
      <c r="H1451" s="423">
        <v>2078</v>
      </c>
      <c r="J1451" s="423"/>
      <c r="K1451" s="423"/>
      <c r="L1451" s="423"/>
      <c r="M1451" s="423"/>
      <c r="Q1451" s="423"/>
      <c r="R1451" s="424" t="s">
        <v>6641</v>
      </c>
      <c r="S1451" s="424" t="s">
        <v>2846</v>
      </c>
      <c r="T1451" s="424" t="s">
        <v>2847</v>
      </c>
      <c r="U1451" s="424">
        <v>0</v>
      </c>
      <c r="V1451" s="424" t="s">
        <v>2823</v>
      </c>
      <c r="W1451" s="424" t="s">
        <v>3055</v>
      </c>
      <c r="X1451" s="424" t="s">
        <v>2825</v>
      </c>
      <c r="Y1451" s="424" t="s">
        <v>2279</v>
      </c>
      <c r="Z1451" s="424" t="s">
        <v>2848</v>
      </c>
      <c r="AA1451" s="424" t="s">
        <v>2855</v>
      </c>
      <c r="AB1451" s="424" t="s">
        <v>3934</v>
      </c>
      <c r="AC1451" s="424" t="s">
        <v>1953</v>
      </c>
      <c r="AD1451" s="424" t="s">
        <v>2851</v>
      </c>
      <c r="AE1451" s="424" t="s">
        <v>2857</v>
      </c>
      <c r="AF1451" s="424"/>
      <c r="AG1451" s="424"/>
      <c r="AH1451" s="424"/>
    </row>
    <row r="1452" spans="1:34" x14ac:dyDescent="0.25">
      <c r="A1452" s="423" t="s">
        <v>6633</v>
      </c>
      <c r="B1452" s="423" t="s">
        <v>6642</v>
      </c>
      <c r="C1452" s="423" t="s">
        <v>84</v>
      </c>
      <c r="D1452" s="423" t="s">
        <v>6226</v>
      </c>
      <c r="E1452" s="423" t="s">
        <v>236</v>
      </c>
      <c r="F1452" s="423">
        <v>40</v>
      </c>
      <c r="G1452" s="423">
        <v>95</v>
      </c>
      <c r="H1452" s="423">
        <v>2078</v>
      </c>
      <c r="J1452" s="423"/>
      <c r="K1452" s="423"/>
      <c r="L1452" s="423"/>
      <c r="M1452" s="423"/>
      <c r="Q1452" s="423"/>
      <c r="R1452" s="424" t="s">
        <v>6643</v>
      </c>
      <c r="S1452" s="424" t="s">
        <v>2846</v>
      </c>
      <c r="T1452" s="424" t="s">
        <v>2847</v>
      </c>
      <c r="U1452" s="424">
        <v>0</v>
      </c>
      <c r="V1452" s="424" t="s">
        <v>2823</v>
      </c>
      <c r="W1452" s="424" t="s">
        <v>3176</v>
      </c>
      <c r="X1452" s="424" t="s">
        <v>2825</v>
      </c>
      <c r="Y1452" s="424" t="s">
        <v>2279</v>
      </c>
      <c r="Z1452" s="424" t="s">
        <v>3260</v>
      </c>
      <c r="AA1452" s="424" t="s">
        <v>3197</v>
      </c>
      <c r="AB1452" s="424" t="s">
        <v>3554</v>
      </c>
      <c r="AC1452" s="424" t="s">
        <v>1953</v>
      </c>
      <c r="AD1452" s="424" t="s">
        <v>2851</v>
      </c>
      <c r="AE1452" s="424" t="s">
        <v>3317</v>
      </c>
      <c r="AF1452" s="424"/>
      <c r="AG1452" s="424"/>
      <c r="AH1452" s="424"/>
    </row>
    <row r="1453" spans="1:34" x14ac:dyDescent="0.25">
      <c r="A1453" s="423" t="s">
        <v>6633</v>
      </c>
      <c r="B1453" s="423" t="s">
        <v>6644</v>
      </c>
      <c r="C1453" s="423" t="s">
        <v>84</v>
      </c>
      <c r="D1453" s="423" t="s">
        <v>6226</v>
      </c>
      <c r="E1453" s="423" t="s">
        <v>236</v>
      </c>
      <c r="F1453" s="423">
        <v>40</v>
      </c>
      <c r="G1453" s="423">
        <v>95</v>
      </c>
      <c r="H1453" s="423">
        <v>2078</v>
      </c>
      <c r="J1453" s="423"/>
      <c r="K1453" s="423"/>
      <c r="L1453" s="423"/>
      <c r="M1453" s="423"/>
      <c r="Q1453" s="423"/>
      <c r="R1453" s="424" t="s">
        <v>6645</v>
      </c>
      <c r="S1453" s="424" t="s">
        <v>2846</v>
      </c>
      <c r="T1453" s="424" t="s">
        <v>2847</v>
      </c>
      <c r="U1453" s="424">
        <v>0</v>
      </c>
      <c r="V1453" s="424" t="s">
        <v>2823</v>
      </c>
      <c r="W1453" s="424" t="s">
        <v>3054</v>
      </c>
      <c r="X1453" s="424" t="s">
        <v>2825</v>
      </c>
      <c r="Y1453" s="424" t="s">
        <v>2279</v>
      </c>
      <c r="Z1453" s="424" t="s">
        <v>3260</v>
      </c>
      <c r="AA1453" s="424" t="s">
        <v>3327</v>
      </c>
      <c r="AB1453" s="424" t="s">
        <v>6646</v>
      </c>
      <c r="AC1453" s="424" t="s">
        <v>1953</v>
      </c>
      <c r="AD1453" s="424" t="s">
        <v>3329</v>
      </c>
      <c r="AE1453" s="424" t="s">
        <v>5379</v>
      </c>
      <c r="AF1453" s="424"/>
      <c r="AG1453" s="424"/>
      <c r="AH1453" s="424"/>
    </row>
    <row r="1454" spans="1:34" x14ac:dyDescent="0.25">
      <c r="A1454" s="423" t="s">
        <v>6633</v>
      </c>
      <c r="B1454" s="423" t="s">
        <v>6647</v>
      </c>
      <c r="C1454" s="423" t="s">
        <v>84</v>
      </c>
      <c r="D1454" s="423" t="s">
        <v>6226</v>
      </c>
      <c r="E1454" s="423" t="s">
        <v>236</v>
      </c>
      <c r="F1454" s="423">
        <v>40</v>
      </c>
      <c r="G1454" s="423">
        <v>95</v>
      </c>
      <c r="H1454" s="423">
        <v>2620</v>
      </c>
      <c r="J1454" s="423"/>
      <c r="K1454" s="423"/>
      <c r="L1454" s="423"/>
      <c r="M1454" s="423"/>
      <c r="Q1454" s="423"/>
      <c r="R1454" s="424" t="s">
        <v>6648</v>
      </c>
      <c r="S1454" s="424" t="s">
        <v>2846</v>
      </c>
      <c r="T1454" s="424" t="s">
        <v>3152</v>
      </c>
      <c r="U1454" s="424">
        <v>0</v>
      </c>
      <c r="V1454" s="424" t="s">
        <v>2823</v>
      </c>
      <c r="W1454" s="424" t="s">
        <v>3055</v>
      </c>
      <c r="X1454" s="424" t="s">
        <v>2825</v>
      </c>
      <c r="Y1454" s="424" t="s">
        <v>2279</v>
      </c>
      <c r="Z1454" s="424" t="s">
        <v>2848</v>
      </c>
      <c r="AA1454" s="424" t="s">
        <v>2849</v>
      </c>
      <c r="AB1454" s="424" t="s">
        <v>6649</v>
      </c>
      <c r="AC1454" s="424" t="s">
        <v>1953</v>
      </c>
      <c r="AD1454" s="424" t="s">
        <v>2851</v>
      </c>
      <c r="AE1454" s="424" t="s">
        <v>2901</v>
      </c>
      <c r="AF1454" s="424"/>
      <c r="AG1454" s="424"/>
      <c r="AH1454" s="424"/>
    </row>
    <row r="1455" spans="1:34" x14ac:dyDescent="0.25">
      <c r="A1455" s="423" t="s">
        <v>6633</v>
      </c>
      <c r="B1455" s="423" t="s">
        <v>6650</v>
      </c>
      <c r="C1455" s="423" t="s">
        <v>84</v>
      </c>
      <c r="D1455" s="423" t="s">
        <v>6226</v>
      </c>
      <c r="E1455" s="423" t="s">
        <v>236</v>
      </c>
      <c r="F1455" s="423">
        <v>40</v>
      </c>
      <c r="G1455" s="423">
        <v>95</v>
      </c>
      <c r="H1455" s="423">
        <v>2078</v>
      </c>
      <c r="J1455" s="423"/>
      <c r="K1455" s="423"/>
      <c r="L1455" s="423"/>
      <c r="M1455" s="423"/>
      <c r="Q1455" s="423"/>
      <c r="R1455" s="424" t="s">
        <v>6651</v>
      </c>
      <c r="S1455" s="424" t="s">
        <v>2846</v>
      </c>
      <c r="T1455" s="424" t="s">
        <v>2847</v>
      </c>
      <c r="U1455" s="424">
        <v>0</v>
      </c>
      <c r="V1455" s="424" t="s">
        <v>2823</v>
      </c>
      <c r="W1455" s="424" t="s">
        <v>3054</v>
      </c>
      <c r="X1455" s="424" t="s">
        <v>2825</v>
      </c>
      <c r="Y1455" s="424" t="s">
        <v>2279</v>
      </c>
      <c r="Z1455" s="424" t="s">
        <v>2848</v>
      </c>
      <c r="AA1455" s="424" t="s">
        <v>2849</v>
      </c>
      <c r="AB1455" s="424" t="s">
        <v>4192</v>
      </c>
      <c r="AC1455" s="424" t="s">
        <v>1953</v>
      </c>
      <c r="AD1455" s="424" t="s">
        <v>2851</v>
      </c>
      <c r="AE1455" s="424" t="s">
        <v>4193</v>
      </c>
      <c r="AF1455" s="424"/>
      <c r="AG1455" s="424"/>
      <c r="AH1455" s="424"/>
    </row>
    <row r="1456" spans="1:34" x14ac:dyDescent="0.25">
      <c r="A1456" s="423" t="s">
        <v>6633</v>
      </c>
      <c r="B1456" s="423" t="s">
        <v>6652</v>
      </c>
      <c r="C1456" s="423" t="s">
        <v>84</v>
      </c>
      <c r="D1456" s="423" t="s">
        <v>6226</v>
      </c>
      <c r="E1456" s="423" t="s">
        <v>236</v>
      </c>
      <c r="F1456" s="423">
        <v>40</v>
      </c>
      <c r="G1456" s="423">
        <v>95</v>
      </c>
      <c r="H1456" s="423">
        <v>2078</v>
      </c>
      <c r="J1456" s="423"/>
      <c r="K1456" s="423"/>
      <c r="L1456" s="423"/>
      <c r="M1456" s="423"/>
      <c r="Q1456" s="423"/>
      <c r="R1456" s="424" t="s">
        <v>6653</v>
      </c>
      <c r="S1456" s="424" t="s">
        <v>2846</v>
      </c>
      <c r="T1456" s="424" t="s">
        <v>2847</v>
      </c>
      <c r="U1456" s="424">
        <v>0</v>
      </c>
      <c r="V1456" s="424" t="s">
        <v>2823</v>
      </c>
      <c r="W1456" s="424" t="s">
        <v>2974</v>
      </c>
      <c r="X1456" s="424" t="s">
        <v>2825</v>
      </c>
      <c r="Y1456" s="424" t="s">
        <v>2279</v>
      </c>
      <c r="Z1456" s="424" t="s">
        <v>3260</v>
      </c>
      <c r="AA1456" s="424" t="s">
        <v>3327</v>
      </c>
      <c r="AB1456" s="424" t="s">
        <v>6654</v>
      </c>
      <c r="AC1456" s="424" t="s">
        <v>1953</v>
      </c>
      <c r="AD1456" s="424" t="s">
        <v>3329</v>
      </c>
      <c r="AE1456" s="424" t="s">
        <v>3333</v>
      </c>
      <c r="AF1456" s="424"/>
      <c r="AG1456" s="424"/>
      <c r="AH1456" s="424"/>
    </row>
    <row r="1457" spans="1:34" x14ac:dyDescent="0.25">
      <c r="A1457" s="423" t="s">
        <v>6633</v>
      </c>
      <c r="B1457" s="423" t="s">
        <v>6655</v>
      </c>
      <c r="C1457" s="423" t="s">
        <v>84</v>
      </c>
      <c r="D1457" s="423" t="s">
        <v>6226</v>
      </c>
      <c r="E1457" s="423" t="s">
        <v>236</v>
      </c>
      <c r="F1457" s="423">
        <v>40</v>
      </c>
      <c r="G1457" s="423">
        <v>95</v>
      </c>
      <c r="H1457" s="423">
        <v>2078</v>
      </c>
      <c r="J1457" s="423"/>
      <c r="K1457" s="423"/>
      <c r="L1457" s="423"/>
      <c r="M1457" s="423"/>
      <c r="Q1457" s="423"/>
      <c r="R1457" s="424" t="s">
        <v>6656</v>
      </c>
      <c r="S1457" s="424" t="s">
        <v>2846</v>
      </c>
      <c r="T1457" s="424" t="s">
        <v>3152</v>
      </c>
      <c r="U1457" s="424">
        <v>0</v>
      </c>
      <c r="V1457" s="424" t="s">
        <v>2823</v>
      </c>
      <c r="W1457" s="424" t="s">
        <v>2974</v>
      </c>
      <c r="X1457" s="424" t="s">
        <v>2825</v>
      </c>
      <c r="Y1457" s="424" t="s">
        <v>2279</v>
      </c>
      <c r="Z1457" s="424" t="s">
        <v>2848</v>
      </c>
      <c r="AA1457" s="424" t="s">
        <v>2855</v>
      </c>
      <c r="AB1457" s="424" t="s">
        <v>6657</v>
      </c>
      <c r="AC1457" s="424" t="s">
        <v>1953</v>
      </c>
      <c r="AD1457" s="424" t="s">
        <v>2851</v>
      </c>
      <c r="AE1457" s="424" t="s">
        <v>3154</v>
      </c>
      <c r="AF1457" s="424"/>
      <c r="AG1457" s="424"/>
      <c r="AH1457" s="424"/>
    </row>
    <row r="1458" spans="1:34" x14ac:dyDescent="0.25">
      <c r="A1458" s="423" t="s">
        <v>6633</v>
      </c>
      <c r="B1458" s="423" t="s">
        <v>6658</v>
      </c>
      <c r="C1458" s="423" t="s">
        <v>84</v>
      </c>
      <c r="D1458" s="423" t="s">
        <v>6226</v>
      </c>
      <c r="E1458" s="423" t="s">
        <v>236</v>
      </c>
      <c r="F1458" s="423">
        <v>40</v>
      </c>
      <c r="G1458" s="423">
        <v>95</v>
      </c>
      <c r="H1458" s="423">
        <v>2078</v>
      </c>
      <c r="J1458" s="423"/>
      <c r="K1458" s="423"/>
      <c r="L1458" s="423"/>
      <c r="M1458" s="423"/>
      <c r="Q1458" s="423"/>
      <c r="R1458" s="424" t="s">
        <v>6659</v>
      </c>
      <c r="S1458" s="424" t="s">
        <v>2846</v>
      </c>
      <c r="T1458" s="424" t="s">
        <v>2847</v>
      </c>
      <c r="U1458" s="424">
        <v>0</v>
      </c>
      <c r="V1458" s="424" t="s">
        <v>2823</v>
      </c>
      <c r="W1458" s="424" t="s">
        <v>3055</v>
      </c>
      <c r="X1458" s="424" t="s">
        <v>2825</v>
      </c>
      <c r="Y1458" s="424" t="s">
        <v>2279</v>
      </c>
      <c r="Z1458" s="424" t="s">
        <v>3260</v>
      </c>
      <c r="AA1458" s="424" t="s">
        <v>3327</v>
      </c>
      <c r="AB1458" s="424" t="s">
        <v>6660</v>
      </c>
      <c r="AC1458" s="424" t="s">
        <v>1953</v>
      </c>
      <c r="AD1458" s="424" t="s">
        <v>3329</v>
      </c>
      <c r="AE1458" s="424" t="s">
        <v>3632</v>
      </c>
      <c r="AF1458" s="424"/>
      <c r="AG1458" s="424"/>
      <c r="AH1458" s="424"/>
    </row>
    <row r="1459" spans="1:34" x14ac:dyDescent="0.25">
      <c r="A1459" s="423" t="s">
        <v>6633</v>
      </c>
      <c r="B1459" s="423" t="s">
        <v>6661</v>
      </c>
      <c r="C1459" s="423" t="s">
        <v>84</v>
      </c>
      <c r="D1459" s="423" t="s">
        <v>6226</v>
      </c>
      <c r="E1459" s="423" t="s">
        <v>236</v>
      </c>
      <c r="F1459" s="423">
        <v>40</v>
      </c>
      <c r="G1459" s="423">
        <v>95</v>
      </c>
      <c r="H1459" s="423">
        <v>2078</v>
      </c>
      <c r="J1459" s="423"/>
      <c r="K1459" s="423"/>
      <c r="L1459" s="423"/>
      <c r="M1459" s="423"/>
      <c r="Q1459" s="423"/>
      <c r="R1459" s="424" t="s">
        <v>6662</v>
      </c>
      <c r="S1459" s="424" t="s">
        <v>2846</v>
      </c>
      <c r="T1459" s="424" t="s">
        <v>2847</v>
      </c>
      <c r="U1459" s="424">
        <v>0</v>
      </c>
      <c r="V1459" s="424" t="s">
        <v>2823</v>
      </c>
      <c r="W1459" s="424" t="s">
        <v>3055</v>
      </c>
      <c r="X1459" s="424" t="s">
        <v>2825</v>
      </c>
      <c r="Y1459" s="424" t="s">
        <v>2279</v>
      </c>
      <c r="Z1459" s="424" t="s">
        <v>3260</v>
      </c>
      <c r="AA1459" s="424" t="s">
        <v>3327</v>
      </c>
      <c r="AB1459" s="424" t="s">
        <v>6663</v>
      </c>
      <c r="AC1459" s="424" t="s">
        <v>1953</v>
      </c>
      <c r="AD1459" s="424" t="s">
        <v>3329</v>
      </c>
      <c r="AE1459" s="424" t="s">
        <v>3632</v>
      </c>
      <c r="AF1459" s="424"/>
      <c r="AG1459" s="424"/>
      <c r="AH1459" s="424"/>
    </row>
    <row r="1460" spans="1:34" x14ac:dyDescent="0.25">
      <c r="A1460" s="423" t="s">
        <v>6633</v>
      </c>
      <c r="B1460" s="423" t="s">
        <v>6664</v>
      </c>
      <c r="C1460" s="423" t="s">
        <v>84</v>
      </c>
      <c r="D1460" s="423" t="s">
        <v>6226</v>
      </c>
      <c r="E1460" s="423" t="s">
        <v>236</v>
      </c>
      <c r="F1460" s="423">
        <v>40</v>
      </c>
      <c r="G1460" s="423">
        <v>95</v>
      </c>
      <c r="H1460" s="423">
        <v>2051</v>
      </c>
      <c r="J1460" s="423"/>
      <c r="K1460" s="423"/>
      <c r="L1460" s="423"/>
      <c r="M1460" s="423"/>
      <c r="Q1460" s="423"/>
      <c r="R1460" s="424" t="s">
        <v>6665</v>
      </c>
      <c r="S1460" s="424" t="s">
        <v>2846</v>
      </c>
      <c r="T1460" s="424" t="s">
        <v>2847</v>
      </c>
      <c r="U1460" s="424">
        <v>0</v>
      </c>
      <c r="V1460" s="424" t="s">
        <v>2823</v>
      </c>
      <c r="W1460" s="424" t="s">
        <v>2871</v>
      </c>
      <c r="X1460" s="424" t="s">
        <v>2825</v>
      </c>
      <c r="Y1460" s="424" t="s">
        <v>2279</v>
      </c>
      <c r="Z1460" s="424" t="s">
        <v>2848</v>
      </c>
      <c r="AA1460" s="424" t="s">
        <v>2849</v>
      </c>
      <c r="AB1460" s="424" t="s">
        <v>3931</v>
      </c>
      <c r="AC1460" s="424" t="s">
        <v>1953</v>
      </c>
      <c r="AD1460" s="424" t="s">
        <v>2851</v>
      </c>
      <c r="AE1460" s="424" t="s">
        <v>3545</v>
      </c>
      <c r="AF1460" s="424"/>
      <c r="AG1460" s="424"/>
      <c r="AH1460" s="424"/>
    </row>
    <row r="1461" spans="1:34" x14ac:dyDescent="0.25">
      <c r="A1461" s="423" t="s">
        <v>6633</v>
      </c>
      <c r="B1461" s="423" t="s">
        <v>6666</v>
      </c>
      <c r="C1461" s="423" t="s">
        <v>84</v>
      </c>
      <c r="D1461" s="423" t="s">
        <v>6226</v>
      </c>
      <c r="E1461" s="423" t="s">
        <v>236</v>
      </c>
      <c r="F1461" s="423">
        <v>40</v>
      </c>
      <c r="G1461" s="423">
        <v>95</v>
      </c>
      <c r="H1461" s="423">
        <v>2058</v>
      </c>
      <c r="J1461" s="423"/>
      <c r="K1461" s="423"/>
      <c r="L1461" s="423"/>
      <c r="M1461" s="423"/>
      <c r="Q1461" s="423"/>
      <c r="R1461" s="424" t="s">
        <v>6667</v>
      </c>
      <c r="S1461" s="424" t="s">
        <v>2846</v>
      </c>
      <c r="T1461" s="424" t="s">
        <v>3152</v>
      </c>
      <c r="U1461" s="424">
        <v>0</v>
      </c>
      <c r="V1461" s="424" t="s">
        <v>2823</v>
      </c>
      <c r="W1461" s="424" t="s">
        <v>3055</v>
      </c>
      <c r="X1461" s="424" t="s">
        <v>2825</v>
      </c>
      <c r="Y1461" s="424" t="s">
        <v>2279</v>
      </c>
      <c r="Z1461" s="424" t="s">
        <v>2848</v>
      </c>
      <c r="AA1461" s="424" t="s">
        <v>2849</v>
      </c>
      <c r="AB1461" s="424" t="s">
        <v>6668</v>
      </c>
      <c r="AC1461" s="424" t="s">
        <v>1953</v>
      </c>
      <c r="AD1461" s="424" t="s">
        <v>2851</v>
      </c>
      <c r="AE1461" s="424" t="s">
        <v>3545</v>
      </c>
      <c r="AF1461" s="424"/>
      <c r="AG1461" s="424"/>
      <c r="AH1461" s="424"/>
    </row>
    <row r="1462" spans="1:34" x14ac:dyDescent="0.25">
      <c r="A1462" s="423" t="s">
        <v>6633</v>
      </c>
      <c r="B1462" s="423" t="s">
        <v>6669</v>
      </c>
      <c r="C1462" s="423" t="s">
        <v>84</v>
      </c>
      <c r="D1462" s="423" t="s">
        <v>6226</v>
      </c>
      <c r="E1462" s="423" t="s">
        <v>236</v>
      </c>
      <c r="F1462" s="423">
        <v>40</v>
      </c>
      <c r="G1462" s="423">
        <v>95</v>
      </c>
      <c r="H1462" s="423">
        <v>2870</v>
      </c>
      <c r="J1462" s="423"/>
      <c r="K1462" s="423"/>
      <c r="L1462" s="423"/>
      <c r="M1462" s="423"/>
      <c r="Q1462" s="423"/>
      <c r="R1462" s="424" t="s">
        <v>6670</v>
      </c>
      <c r="S1462" s="424" t="s">
        <v>2846</v>
      </c>
      <c r="T1462" s="424" t="s">
        <v>3152</v>
      </c>
      <c r="U1462" s="424">
        <v>0</v>
      </c>
      <c r="V1462" s="424" t="s">
        <v>2823</v>
      </c>
      <c r="W1462" s="424" t="s">
        <v>3055</v>
      </c>
      <c r="X1462" s="424" t="s">
        <v>2825</v>
      </c>
      <c r="Y1462" s="424" t="s">
        <v>2279</v>
      </c>
      <c r="Z1462" s="424" t="s">
        <v>2848</v>
      </c>
      <c r="AA1462" s="424" t="s">
        <v>2849</v>
      </c>
      <c r="AB1462" s="424" t="s">
        <v>6668</v>
      </c>
      <c r="AC1462" s="424" t="s">
        <v>1953</v>
      </c>
      <c r="AD1462" s="424" t="s">
        <v>2851</v>
      </c>
      <c r="AE1462" s="424" t="s">
        <v>3545</v>
      </c>
      <c r="AF1462" s="424"/>
      <c r="AG1462" s="424"/>
      <c r="AH1462" s="424"/>
    </row>
    <row r="1463" spans="1:34" x14ac:dyDescent="0.25">
      <c r="A1463" s="423" t="s">
        <v>6633</v>
      </c>
      <c r="B1463" s="423" t="s">
        <v>6671</v>
      </c>
      <c r="C1463" s="423" t="s">
        <v>84</v>
      </c>
      <c r="D1463" s="423" t="s">
        <v>6226</v>
      </c>
      <c r="E1463" s="423" t="s">
        <v>236</v>
      </c>
      <c r="F1463" s="423">
        <v>40</v>
      </c>
      <c r="G1463" s="423">
        <v>126</v>
      </c>
      <c r="H1463" s="423">
        <v>2950</v>
      </c>
      <c r="J1463" s="423"/>
      <c r="K1463" s="423"/>
      <c r="L1463" s="423"/>
      <c r="M1463" s="423"/>
      <c r="Q1463" s="423"/>
      <c r="R1463" s="424" t="s">
        <v>6672</v>
      </c>
      <c r="S1463" s="424" t="s">
        <v>2820</v>
      </c>
      <c r="T1463" s="424" t="s">
        <v>2821</v>
      </c>
      <c r="U1463" s="424">
        <v>0</v>
      </c>
      <c r="V1463" s="424" t="s">
        <v>2823</v>
      </c>
      <c r="W1463" s="424" t="s">
        <v>2824</v>
      </c>
      <c r="X1463" s="424" t="s">
        <v>2825</v>
      </c>
      <c r="Y1463" s="424" t="s">
        <v>2279</v>
      </c>
      <c r="Z1463" s="424" t="s">
        <v>2889</v>
      </c>
      <c r="AA1463" s="424" t="s">
        <v>3311</v>
      </c>
      <c r="AB1463" s="424" t="s">
        <v>6673</v>
      </c>
      <c r="AC1463" s="424" t="s">
        <v>1953</v>
      </c>
      <c r="AD1463" s="424" t="s">
        <v>2829</v>
      </c>
      <c r="AE1463" s="424" t="s">
        <v>6674</v>
      </c>
      <c r="AF1463" s="424"/>
      <c r="AG1463" s="424"/>
      <c r="AH1463" s="424"/>
    </row>
    <row r="1464" spans="1:34" x14ac:dyDescent="0.25">
      <c r="A1464" s="423" t="s">
        <v>6633</v>
      </c>
      <c r="B1464" s="423" t="s">
        <v>6675</v>
      </c>
      <c r="C1464" s="423" t="s">
        <v>84</v>
      </c>
      <c r="D1464" s="423" t="s">
        <v>6226</v>
      </c>
      <c r="E1464" s="423" t="s">
        <v>236</v>
      </c>
      <c r="F1464" s="423">
        <v>40</v>
      </c>
      <c r="G1464" s="423">
        <v>79</v>
      </c>
      <c r="H1464" s="423">
        <v>21227</v>
      </c>
      <c r="J1464" s="423"/>
      <c r="K1464" s="423"/>
      <c r="L1464" s="423"/>
      <c r="M1464" s="423"/>
      <c r="Q1464" s="423"/>
      <c r="R1464" s="424" t="s">
        <v>6676</v>
      </c>
      <c r="S1464" s="424" t="s">
        <v>2846</v>
      </c>
      <c r="T1464" s="424" t="s">
        <v>2870</v>
      </c>
      <c r="U1464" s="424">
        <v>0</v>
      </c>
      <c r="V1464" s="424" t="s">
        <v>3055</v>
      </c>
      <c r="W1464" s="424" t="s">
        <v>3074</v>
      </c>
      <c r="X1464" s="424" t="s">
        <v>2825</v>
      </c>
      <c r="Y1464" s="424" t="s">
        <v>2279</v>
      </c>
      <c r="Z1464" s="424" t="s">
        <v>2872</v>
      </c>
      <c r="AA1464" s="424" t="s">
        <v>3197</v>
      </c>
      <c r="AB1464" s="424" t="s">
        <v>3755</v>
      </c>
      <c r="AC1464" s="424" t="s">
        <v>1953</v>
      </c>
      <c r="AD1464" s="424" t="s">
        <v>2892</v>
      </c>
      <c r="AE1464" s="424" t="s">
        <v>3387</v>
      </c>
      <c r="AF1464" s="424"/>
      <c r="AG1464" s="424"/>
      <c r="AH1464" s="424"/>
    </row>
    <row r="1465" spans="1:34" x14ac:dyDescent="0.25">
      <c r="A1465" s="423" t="s">
        <v>6633</v>
      </c>
      <c r="B1465" s="423" t="s">
        <v>6677</v>
      </c>
      <c r="C1465" s="423" t="s">
        <v>84</v>
      </c>
      <c r="D1465" s="423" t="s">
        <v>6226</v>
      </c>
      <c r="E1465" s="423" t="s">
        <v>236</v>
      </c>
      <c r="F1465" s="423">
        <v>40</v>
      </c>
      <c r="G1465" s="423">
        <v>79</v>
      </c>
      <c r="H1465" s="423">
        <v>21227</v>
      </c>
      <c r="J1465" s="423"/>
      <c r="K1465" s="423"/>
      <c r="L1465" s="423"/>
      <c r="M1465" s="423"/>
      <c r="Q1465" s="423"/>
      <c r="R1465" s="424" t="s">
        <v>6678</v>
      </c>
      <c r="S1465" s="424" t="s">
        <v>2846</v>
      </c>
      <c r="T1465" s="424" t="s">
        <v>2870</v>
      </c>
      <c r="U1465" s="424">
        <v>0</v>
      </c>
      <c r="V1465" s="424" t="s">
        <v>3055</v>
      </c>
      <c r="W1465" s="424" t="s">
        <v>3176</v>
      </c>
      <c r="X1465" s="424" t="s">
        <v>2825</v>
      </c>
      <c r="Y1465" s="424" t="s">
        <v>2279</v>
      </c>
      <c r="Z1465" s="424" t="s">
        <v>2889</v>
      </c>
      <c r="AA1465" s="424" t="s">
        <v>2890</v>
      </c>
      <c r="AB1465" s="424" t="s">
        <v>6679</v>
      </c>
      <c r="AC1465" s="424" t="s">
        <v>1953</v>
      </c>
      <c r="AD1465" s="424" t="s">
        <v>2892</v>
      </c>
      <c r="AE1465" s="424" t="s">
        <v>4614</v>
      </c>
      <c r="AF1465" s="424"/>
      <c r="AG1465" s="424"/>
      <c r="AH1465" s="424"/>
    </row>
    <row r="1466" spans="1:34" x14ac:dyDescent="0.25">
      <c r="A1466" s="423" t="s">
        <v>6633</v>
      </c>
      <c r="B1466" s="423" t="s">
        <v>6680</v>
      </c>
      <c r="C1466" s="423" t="s">
        <v>84</v>
      </c>
      <c r="D1466" s="423" t="s">
        <v>6226</v>
      </c>
      <c r="E1466" s="423" t="s">
        <v>236</v>
      </c>
      <c r="F1466" s="423">
        <v>30</v>
      </c>
      <c r="G1466" s="423">
        <v>59</v>
      </c>
      <c r="H1466" s="423">
        <v>21191</v>
      </c>
      <c r="J1466" s="423"/>
      <c r="K1466" s="423"/>
      <c r="L1466" s="423"/>
      <c r="M1466" s="423"/>
      <c r="Q1466" s="423"/>
      <c r="R1466" s="424" t="s">
        <v>6681</v>
      </c>
      <c r="S1466" s="424" t="s">
        <v>2846</v>
      </c>
      <c r="T1466" s="424" t="s">
        <v>2870</v>
      </c>
      <c r="U1466" s="424">
        <v>0</v>
      </c>
      <c r="V1466" s="424" t="s">
        <v>3055</v>
      </c>
      <c r="W1466" s="424" t="s">
        <v>3074</v>
      </c>
      <c r="X1466" s="424" t="s">
        <v>2825</v>
      </c>
      <c r="Y1466" s="424" t="s">
        <v>2279</v>
      </c>
      <c r="Z1466" s="424" t="s">
        <v>2872</v>
      </c>
      <c r="AA1466" s="424" t="s">
        <v>3197</v>
      </c>
      <c r="AB1466" s="424" t="s">
        <v>3386</v>
      </c>
      <c r="AC1466" s="424" t="s">
        <v>1953</v>
      </c>
      <c r="AD1466" s="424" t="s">
        <v>2892</v>
      </c>
      <c r="AE1466" s="424" t="s">
        <v>3387</v>
      </c>
      <c r="AF1466" s="424"/>
      <c r="AG1466" s="424"/>
      <c r="AH1466" s="424"/>
    </row>
    <row r="1467" spans="1:34" x14ac:dyDescent="0.25">
      <c r="A1467" s="423" t="s">
        <v>6633</v>
      </c>
      <c r="B1467" s="423" t="s">
        <v>6682</v>
      </c>
      <c r="C1467" s="423" t="s">
        <v>84</v>
      </c>
      <c r="D1467" s="423" t="s">
        <v>6226</v>
      </c>
      <c r="E1467" s="423" t="s">
        <v>236</v>
      </c>
      <c r="F1467" s="423">
        <v>30</v>
      </c>
      <c r="G1467" s="423">
        <v>59</v>
      </c>
      <c r="H1467" s="423">
        <v>21191</v>
      </c>
      <c r="J1467" s="423"/>
      <c r="K1467" s="423"/>
      <c r="L1467" s="423"/>
      <c r="M1467" s="423"/>
      <c r="Q1467" s="423"/>
      <c r="R1467" s="424" t="s">
        <v>6683</v>
      </c>
      <c r="S1467" s="424" t="s">
        <v>2846</v>
      </c>
      <c r="T1467" s="424" t="s">
        <v>2870</v>
      </c>
      <c r="U1467" s="424">
        <v>0</v>
      </c>
      <c r="V1467" s="424" t="s">
        <v>3055</v>
      </c>
      <c r="W1467" s="424" t="s">
        <v>3176</v>
      </c>
      <c r="X1467" s="424" t="s">
        <v>2825</v>
      </c>
      <c r="Y1467" s="424" t="s">
        <v>2279</v>
      </c>
      <c r="Z1467" s="424" t="s">
        <v>2889</v>
      </c>
      <c r="AA1467" s="424" t="s">
        <v>2890</v>
      </c>
      <c r="AB1467" s="424" t="s">
        <v>6684</v>
      </c>
      <c r="AC1467" s="424" t="s">
        <v>1953</v>
      </c>
      <c r="AD1467" s="424" t="s">
        <v>2892</v>
      </c>
      <c r="AE1467" s="424" t="s">
        <v>4614</v>
      </c>
      <c r="AF1467" s="424"/>
      <c r="AG1467" s="424"/>
      <c r="AH1467" s="424"/>
    </row>
    <row r="1468" spans="1:34" x14ac:dyDescent="0.25">
      <c r="A1468" s="423" t="s">
        <v>6685</v>
      </c>
      <c r="B1468" s="423" t="s">
        <v>6686</v>
      </c>
      <c r="C1468" s="423" t="s">
        <v>6687</v>
      </c>
      <c r="D1468" s="423" t="s">
        <v>6688</v>
      </c>
      <c r="E1468" s="423" t="s">
        <v>236</v>
      </c>
      <c r="F1468" s="423">
        <v>42</v>
      </c>
      <c r="G1468" s="423">
        <v>96</v>
      </c>
      <c r="H1468" s="423">
        <v>6000</v>
      </c>
      <c r="J1468" s="423"/>
      <c r="K1468" s="423"/>
      <c r="L1468" s="423"/>
      <c r="M1468" s="423"/>
      <c r="Q1468" s="423"/>
      <c r="R1468" s="424" t="s">
        <v>6689</v>
      </c>
      <c r="S1468" s="424" t="s">
        <v>2846</v>
      </c>
      <c r="T1468" s="424" t="s">
        <v>6690</v>
      </c>
      <c r="U1468" s="424">
        <v>0</v>
      </c>
      <c r="V1468" s="424" t="s">
        <v>3054</v>
      </c>
      <c r="W1468" s="424" t="s">
        <v>3176</v>
      </c>
      <c r="X1468" s="424" t="s">
        <v>2224</v>
      </c>
      <c r="Y1468" s="424" t="s">
        <v>2279</v>
      </c>
      <c r="Z1468" s="424" t="s">
        <v>2872</v>
      </c>
      <c r="AA1468" s="424" t="s">
        <v>2873</v>
      </c>
      <c r="AB1468" s="424" t="s">
        <v>6691</v>
      </c>
      <c r="AC1468" s="424" t="s">
        <v>2270</v>
      </c>
      <c r="AD1468" s="424" t="s">
        <v>6692</v>
      </c>
      <c r="AE1468" s="424" t="s">
        <v>6693</v>
      </c>
      <c r="AF1468" s="424"/>
      <c r="AG1468" s="424"/>
      <c r="AH1468" s="424"/>
    </row>
    <row r="1469" spans="1:34" x14ac:dyDescent="0.25">
      <c r="A1469" s="423" t="s">
        <v>6685</v>
      </c>
      <c r="B1469" s="423" t="s">
        <v>6694</v>
      </c>
      <c r="C1469" s="423" t="s">
        <v>6687</v>
      </c>
      <c r="D1469" s="423" t="s">
        <v>6688</v>
      </c>
      <c r="E1469" s="423" t="s">
        <v>236</v>
      </c>
      <c r="F1469" s="423">
        <v>42</v>
      </c>
      <c r="G1469" s="423">
        <v>96</v>
      </c>
      <c r="H1469" s="423">
        <v>6000</v>
      </c>
      <c r="J1469" s="423"/>
      <c r="K1469" s="423"/>
      <c r="L1469" s="423"/>
      <c r="M1469" s="423"/>
      <c r="Q1469" s="423"/>
      <c r="R1469" s="424" t="s">
        <v>6695</v>
      </c>
      <c r="S1469" s="424" t="s">
        <v>2846</v>
      </c>
      <c r="T1469" s="424" t="s">
        <v>6690</v>
      </c>
      <c r="U1469" s="424">
        <v>0</v>
      </c>
      <c r="V1469" s="424" t="s">
        <v>3054</v>
      </c>
      <c r="W1469" s="424" t="s">
        <v>3176</v>
      </c>
      <c r="X1469" s="424" t="s">
        <v>2224</v>
      </c>
      <c r="Y1469" s="424" t="s">
        <v>2279</v>
      </c>
      <c r="Z1469" s="424" t="s">
        <v>2872</v>
      </c>
      <c r="AA1469" s="424" t="s">
        <v>2873</v>
      </c>
      <c r="AB1469" s="424" t="s">
        <v>6696</v>
      </c>
      <c r="AC1469" s="424" t="s">
        <v>2270</v>
      </c>
      <c r="AD1469" s="424" t="s">
        <v>6692</v>
      </c>
      <c r="AE1469" s="424" t="s">
        <v>6697</v>
      </c>
      <c r="AF1469" s="424"/>
      <c r="AG1469" s="424"/>
      <c r="AH1469" s="424"/>
    </row>
    <row r="1470" spans="1:34" x14ac:dyDescent="0.25">
      <c r="A1470" s="423" t="s">
        <v>6685</v>
      </c>
      <c r="B1470" s="423" t="s">
        <v>6698</v>
      </c>
      <c r="C1470" s="423" t="s">
        <v>6687</v>
      </c>
      <c r="D1470" s="423" t="s">
        <v>6688</v>
      </c>
      <c r="E1470" s="423" t="s">
        <v>236</v>
      </c>
      <c r="F1470" s="423">
        <v>42</v>
      </c>
      <c r="G1470" s="423">
        <v>96</v>
      </c>
      <c r="H1470" s="423">
        <v>6000</v>
      </c>
      <c r="J1470" s="423"/>
      <c r="K1470" s="423"/>
      <c r="L1470" s="423"/>
      <c r="M1470" s="423"/>
      <c r="Q1470" s="423"/>
      <c r="R1470" s="424" t="s">
        <v>6699</v>
      </c>
      <c r="S1470" s="424" t="s">
        <v>2846</v>
      </c>
      <c r="T1470" s="424" t="s">
        <v>6690</v>
      </c>
      <c r="U1470" s="424">
        <v>0</v>
      </c>
      <c r="V1470" s="424" t="s">
        <v>3054</v>
      </c>
      <c r="W1470" s="424" t="s">
        <v>3176</v>
      </c>
      <c r="X1470" s="424" t="s">
        <v>2224</v>
      </c>
      <c r="Y1470" s="424" t="s">
        <v>2279</v>
      </c>
      <c r="Z1470" s="424" t="s">
        <v>2872</v>
      </c>
      <c r="AA1470" s="424" t="s">
        <v>2873</v>
      </c>
      <c r="AB1470" s="424" t="s">
        <v>6700</v>
      </c>
      <c r="AC1470" s="424" t="s">
        <v>2270</v>
      </c>
      <c r="AD1470" s="424" t="s">
        <v>6692</v>
      </c>
      <c r="AE1470" s="424" t="s">
        <v>6693</v>
      </c>
      <c r="AF1470" s="424"/>
      <c r="AG1470" s="424"/>
      <c r="AH1470" s="424"/>
    </row>
    <row r="1471" spans="1:34" x14ac:dyDescent="0.25">
      <c r="A1471" s="423" t="s">
        <v>6685</v>
      </c>
      <c r="B1471" s="423" t="s">
        <v>6701</v>
      </c>
      <c r="C1471" s="423" t="s">
        <v>6687</v>
      </c>
      <c r="D1471" s="423" t="s">
        <v>6688</v>
      </c>
      <c r="E1471" s="423" t="s">
        <v>236</v>
      </c>
      <c r="F1471" s="423">
        <v>42</v>
      </c>
      <c r="G1471" s="423">
        <v>96</v>
      </c>
      <c r="H1471" s="423">
        <v>6000</v>
      </c>
      <c r="J1471" s="423"/>
      <c r="K1471" s="423"/>
      <c r="L1471" s="423"/>
      <c r="M1471" s="423"/>
      <c r="Q1471" s="423"/>
      <c r="R1471" s="424" t="s">
        <v>6702</v>
      </c>
      <c r="S1471" s="424" t="s">
        <v>2846</v>
      </c>
      <c r="T1471" s="424" t="s">
        <v>6690</v>
      </c>
      <c r="U1471" s="424">
        <v>0</v>
      </c>
      <c r="V1471" s="424" t="s">
        <v>3054</v>
      </c>
      <c r="W1471" s="424" t="s">
        <v>3176</v>
      </c>
      <c r="X1471" s="424" t="s">
        <v>2224</v>
      </c>
      <c r="Y1471" s="424" t="s">
        <v>2279</v>
      </c>
      <c r="Z1471" s="424" t="s">
        <v>2872</v>
      </c>
      <c r="AA1471" s="424" t="s">
        <v>2873</v>
      </c>
      <c r="AB1471" s="424" t="s">
        <v>6703</v>
      </c>
      <c r="AC1471" s="424" t="s">
        <v>2270</v>
      </c>
      <c r="AD1471" s="424" t="s">
        <v>6692</v>
      </c>
      <c r="AE1471" s="424" t="s">
        <v>6697</v>
      </c>
      <c r="AF1471" s="424"/>
      <c r="AG1471" s="424"/>
      <c r="AH1471" s="424"/>
    </row>
    <row r="1472" spans="1:34" x14ac:dyDescent="0.25">
      <c r="A1472" s="423" t="s">
        <v>6685</v>
      </c>
      <c r="B1472" s="423" t="s">
        <v>6704</v>
      </c>
      <c r="C1472" s="423" t="s">
        <v>6687</v>
      </c>
      <c r="D1472" s="423" t="s">
        <v>6688</v>
      </c>
      <c r="E1472" s="423" t="s">
        <v>236</v>
      </c>
      <c r="F1472" s="423">
        <v>42</v>
      </c>
      <c r="G1472" s="423">
        <v>96</v>
      </c>
      <c r="H1472" s="423">
        <v>6000</v>
      </c>
      <c r="J1472" s="423"/>
      <c r="K1472" s="423"/>
      <c r="L1472" s="423"/>
      <c r="M1472" s="423"/>
      <c r="Q1472" s="423"/>
      <c r="R1472" s="424" t="s">
        <v>6705</v>
      </c>
      <c r="S1472" s="424" t="s">
        <v>2846</v>
      </c>
      <c r="T1472" s="424" t="s">
        <v>6690</v>
      </c>
      <c r="U1472" s="424">
        <v>0</v>
      </c>
      <c r="V1472" s="424" t="s">
        <v>3054</v>
      </c>
      <c r="W1472" s="424" t="s">
        <v>3176</v>
      </c>
      <c r="X1472" s="424" t="s">
        <v>2224</v>
      </c>
      <c r="Y1472" s="424" t="s">
        <v>2279</v>
      </c>
      <c r="Z1472" s="424" t="s">
        <v>2872</v>
      </c>
      <c r="AA1472" s="424" t="s">
        <v>2873</v>
      </c>
      <c r="AB1472" s="424" t="s">
        <v>6706</v>
      </c>
      <c r="AC1472" s="424" t="s">
        <v>2270</v>
      </c>
      <c r="AD1472" s="424" t="s">
        <v>6692</v>
      </c>
      <c r="AE1472" s="424" t="s">
        <v>6707</v>
      </c>
      <c r="AF1472" s="424"/>
      <c r="AG1472" s="424"/>
      <c r="AH1472" s="424"/>
    </row>
    <row r="1473" spans="1:34" x14ac:dyDescent="0.25">
      <c r="A1473" s="423" t="s">
        <v>6685</v>
      </c>
      <c r="B1473" s="423" t="s">
        <v>6708</v>
      </c>
      <c r="C1473" s="423" t="s">
        <v>6687</v>
      </c>
      <c r="D1473" s="423" t="s">
        <v>6688</v>
      </c>
      <c r="E1473" s="423" t="s">
        <v>236</v>
      </c>
      <c r="F1473" s="423">
        <v>48</v>
      </c>
      <c r="G1473" s="423">
        <v>128</v>
      </c>
      <c r="H1473" s="423">
        <v>30000</v>
      </c>
      <c r="J1473" s="423"/>
      <c r="K1473" s="423"/>
      <c r="L1473" s="423"/>
      <c r="M1473" s="423"/>
      <c r="Q1473" s="423"/>
      <c r="R1473" s="424" t="s">
        <v>6708</v>
      </c>
      <c r="S1473" s="424" t="s">
        <v>2820</v>
      </c>
      <c r="T1473" s="424" t="s">
        <v>6709</v>
      </c>
      <c r="U1473" s="424">
        <v>0</v>
      </c>
      <c r="V1473" s="424" t="s">
        <v>20</v>
      </c>
      <c r="W1473" s="424" t="s">
        <v>3982</v>
      </c>
      <c r="X1473" s="424" t="s">
        <v>2224</v>
      </c>
      <c r="Y1473" s="424" t="s">
        <v>2279</v>
      </c>
      <c r="Z1473" s="424" t="s">
        <v>2848</v>
      </c>
      <c r="AA1473" s="424" t="s">
        <v>2855</v>
      </c>
      <c r="AB1473" s="424" t="s">
        <v>6710</v>
      </c>
      <c r="AC1473" s="424" t="s">
        <v>1953</v>
      </c>
      <c r="AD1473" s="424" t="s">
        <v>2851</v>
      </c>
      <c r="AE1473" s="424" t="s">
        <v>6711</v>
      </c>
      <c r="AF1473" s="424"/>
      <c r="AG1473" s="424"/>
      <c r="AH1473" s="424"/>
    </row>
    <row r="1474" spans="1:34" x14ac:dyDescent="0.25">
      <c r="A1474" s="423" t="s">
        <v>6685</v>
      </c>
      <c r="B1474" s="423" t="s">
        <v>6712</v>
      </c>
      <c r="C1474" s="423" t="s">
        <v>6687</v>
      </c>
      <c r="D1474" s="423" t="s">
        <v>6688</v>
      </c>
      <c r="E1474" s="423" t="s">
        <v>236</v>
      </c>
      <c r="F1474" s="423">
        <v>48</v>
      </c>
      <c r="G1474" s="423">
        <v>128</v>
      </c>
      <c r="H1474" s="423">
        <v>30000</v>
      </c>
      <c r="J1474" s="423"/>
      <c r="K1474" s="423"/>
      <c r="L1474" s="423"/>
      <c r="M1474" s="423"/>
      <c r="Q1474" s="423"/>
      <c r="R1474" s="424" t="s">
        <v>6712</v>
      </c>
      <c r="S1474" s="424" t="s">
        <v>2820</v>
      </c>
      <c r="T1474" s="424" t="s">
        <v>6709</v>
      </c>
      <c r="U1474" s="424">
        <v>0</v>
      </c>
      <c r="V1474" s="424" t="s">
        <v>20</v>
      </c>
      <c r="W1474" s="424" t="s">
        <v>3982</v>
      </c>
      <c r="X1474" s="424" t="s">
        <v>2224</v>
      </c>
      <c r="Y1474" s="424" t="s">
        <v>2279</v>
      </c>
      <c r="Z1474" s="424" t="s">
        <v>2848</v>
      </c>
      <c r="AA1474" s="424" t="s">
        <v>2855</v>
      </c>
      <c r="AB1474" s="424" t="s">
        <v>6713</v>
      </c>
      <c r="AC1474" s="424" t="s">
        <v>1953</v>
      </c>
      <c r="AD1474" s="424" t="s">
        <v>2851</v>
      </c>
      <c r="AE1474" s="424" t="s">
        <v>6714</v>
      </c>
      <c r="AF1474" s="424"/>
      <c r="AG1474" s="424"/>
      <c r="AH1474" s="424"/>
    </row>
    <row r="1475" spans="1:34" x14ac:dyDescent="0.25">
      <c r="A1475" s="423" t="s">
        <v>6685</v>
      </c>
      <c r="B1475" s="423" t="s">
        <v>6715</v>
      </c>
      <c r="C1475" s="423" t="s">
        <v>6687</v>
      </c>
      <c r="D1475" s="423" t="s">
        <v>6688</v>
      </c>
      <c r="E1475" s="423" t="s">
        <v>236</v>
      </c>
      <c r="F1475" s="423">
        <v>48</v>
      </c>
      <c r="G1475" s="423">
        <v>128</v>
      </c>
      <c r="H1475" s="423">
        <v>30000</v>
      </c>
      <c r="J1475" s="423"/>
      <c r="K1475" s="423"/>
      <c r="L1475" s="423"/>
      <c r="M1475" s="423"/>
      <c r="Q1475" s="423"/>
      <c r="R1475" s="424" t="s">
        <v>6715</v>
      </c>
      <c r="S1475" s="424" t="s">
        <v>2820</v>
      </c>
      <c r="T1475" s="424" t="s">
        <v>6709</v>
      </c>
      <c r="U1475" s="424">
        <v>0</v>
      </c>
      <c r="V1475" s="424" t="s">
        <v>20</v>
      </c>
      <c r="W1475" s="424" t="s">
        <v>3982</v>
      </c>
      <c r="X1475" s="424" t="s">
        <v>2224</v>
      </c>
      <c r="Y1475" s="424" t="s">
        <v>2279</v>
      </c>
      <c r="Z1475" s="424" t="s">
        <v>2848</v>
      </c>
      <c r="AA1475" s="424" t="s">
        <v>2855</v>
      </c>
      <c r="AB1475" s="424" t="s">
        <v>6716</v>
      </c>
      <c r="AC1475" s="424" t="s">
        <v>1953</v>
      </c>
      <c r="AD1475" s="424" t="s">
        <v>2851</v>
      </c>
      <c r="AE1475" s="424" t="s">
        <v>6714</v>
      </c>
      <c r="AF1475" s="424"/>
      <c r="AG1475" s="424"/>
      <c r="AH1475" s="424"/>
    </row>
    <row r="1476" spans="1:34" x14ac:dyDescent="0.25">
      <c r="A1476" s="423" t="s">
        <v>6685</v>
      </c>
      <c r="B1476" s="423" t="s">
        <v>6717</v>
      </c>
      <c r="C1476" s="423" t="s">
        <v>6687</v>
      </c>
      <c r="D1476" s="423" t="s">
        <v>6688</v>
      </c>
      <c r="E1476" s="423" t="s">
        <v>236</v>
      </c>
      <c r="F1476" s="423">
        <v>48</v>
      </c>
      <c r="G1476" s="423">
        <v>128</v>
      </c>
      <c r="H1476" s="423">
        <v>6000</v>
      </c>
      <c r="J1476" s="423"/>
      <c r="K1476" s="423"/>
      <c r="L1476" s="423"/>
      <c r="M1476" s="423"/>
      <c r="Q1476" s="423"/>
      <c r="R1476" s="424" t="s">
        <v>6717</v>
      </c>
      <c r="S1476" s="424" t="s">
        <v>2820</v>
      </c>
      <c r="T1476" s="424" t="s">
        <v>6709</v>
      </c>
      <c r="U1476" s="424">
        <v>0</v>
      </c>
      <c r="V1476" s="424" t="s">
        <v>20</v>
      </c>
      <c r="W1476" s="424" t="s">
        <v>3982</v>
      </c>
      <c r="X1476" s="424">
        <v>0</v>
      </c>
      <c r="Y1476" s="424" t="s">
        <v>2279</v>
      </c>
      <c r="Z1476" s="424" t="s">
        <v>2848</v>
      </c>
      <c r="AA1476" s="424" t="s">
        <v>2855</v>
      </c>
      <c r="AB1476" s="424" t="s">
        <v>6718</v>
      </c>
      <c r="AC1476" s="424" t="s">
        <v>1953</v>
      </c>
      <c r="AD1476" s="424" t="s">
        <v>2851</v>
      </c>
      <c r="AE1476" s="424" t="s">
        <v>6714</v>
      </c>
      <c r="AF1476" s="424"/>
      <c r="AG1476" s="424"/>
      <c r="AH1476" s="424"/>
    </row>
    <row r="1477" spans="1:34" x14ac:dyDescent="0.25">
      <c r="A1477" s="423" t="s">
        <v>6685</v>
      </c>
      <c r="B1477" s="423" t="s">
        <v>6719</v>
      </c>
      <c r="C1477" s="423" t="s">
        <v>6687</v>
      </c>
      <c r="D1477" s="423" t="s">
        <v>6688</v>
      </c>
      <c r="E1477" s="423" t="s">
        <v>236</v>
      </c>
      <c r="F1477" s="423">
        <v>48</v>
      </c>
      <c r="G1477" s="423">
        <v>128</v>
      </c>
      <c r="H1477" s="423">
        <v>6000</v>
      </c>
      <c r="J1477" s="423"/>
      <c r="K1477" s="423"/>
      <c r="L1477" s="423"/>
      <c r="M1477" s="423"/>
      <c r="Q1477" s="423"/>
      <c r="R1477" s="424" t="s">
        <v>6719</v>
      </c>
      <c r="S1477" s="424" t="s">
        <v>2820</v>
      </c>
      <c r="T1477" s="424" t="s">
        <v>6709</v>
      </c>
      <c r="U1477" s="424">
        <v>0</v>
      </c>
      <c r="V1477" s="424" t="s">
        <v>20</v>
      </c>
      <c r="W1477" s="424" t="s">
        <v>3982</v>
      </c>
      <c r="X1477" s="424">
        <v>0</v>
      </c>
      <c r="Y1477" s="424" t="s">
        <v>2279</v>
      </c>
      <c r="Z1477" s="424" t="s">
        <v>2848</v>
      </c>
      <c r="AA1477" s="424" t="s">
        <v>2855</v>
      </c>
      <c r="AB1477" s="424" t="s">
        <v>6720</v>
      </c>
      <c r="AC1477" s="424" t="s">
        <v>1953</v>
      </c>
      <c r="AD1477" s="424" t="s">
        <v>2851</v>
      </c>
      <c r="AE1477" s="424" t="s">
        <v>6714</v>
      </c>
      <c r="AF1477" s="424"/>
      <c r="AG1477" s="424"/>
      <c r="AH1477" s="424"/>
    </row>
    <row r="1478" spans="1:34" x14ac:dyDescent="0.25">
      <c r="A1478" s="423" t="s">
        <v>6685</v>
      </c>
      <c r="B1478" s="423" t="s">
        <v>6721</v>
      </c>
      <c r="C1478" s="423" t="s">
        <v>6687</v>
      </c>
      <c r="D1478" s="423" t="s">
        <v>6688</v>
      </c>
      <c r="E1478" s="423" t="s">
        <v>236</v>
      </c>
      <c r="F1478" s="423">
        <v>48</v>
      </c>
      <c r="G1478" s="423">
        <v>128</v>
      </c>
      <c r="H1478" s="423">
        <v>6000</v>
      </c>
      <c r="J1478" s="423"/>
      <c r="K1478" s="423"/>
      <c r="L1478" s="423"/>
      <c r="M1478" s="423"/>
      <c r="Q1478" s="423"/>
      <c r="R1478" s="424" t="s">
        <v>6721</v>
      </c>
      <c r="S1478" s="424" t="s">
        <v>2820</v>
      </c>
      <c r="T1478" s="424" t="s">
        <v>6709</v>
      </c>
      <c r="U1478" s="424">
        <v>0</v>
      </c>
      <c r="V1478" s="424" t="s">
        <v>20</v>
      </c>
      <c r="W1478" s="424" t="s">
        <v>3982</v>
      </c>
      <c r="X1478" s="424">
        <v>0</v>
      </c>
      <c r="Y1478" s="424" t="s">
        <v>2279</v>
      </c>
      <c r="Z1478" s="424" t="s">
        <v>2848</v>
      </c>
      <c r="AA1478" s="424" t="s">
        <v>2855</v>
      </c>
      <c r="AB1478" s="424" t="s">
        <v>6722</v>
      </c>
      <c r="AC1478" s="424" t="s">
        <v>1953</v>
      </c>
      <c r="AD1478" s="424" t="s">
        <v>2851</v>
      </c>
      <c r="AE1478" s="424" t="s">
        <v>6714</v>
      </c>
      <c r="AF1478" s="424"/>
      <c r="AG1478" s="424"/>
      <c r="AH1478" s="424"/>
    </row>
    <row r="1479" spans="1:34" x14ac:dyDescent="0.25">
      <c r="A1479" s="423" t="s">
        <v>6723</v>
      </c>
      <c r="B1479" s="423" t="s">
        <v>6724</v>
      </c>
      <c r="C1479" s="423" t="s">
        <v>6687</v>
      </c>
      <c r="D1479" s="423" t="s">
        <v>6688</v>
      </c>
      <c r="E1479" s="423" t="s">
        <v>236</v>
      </c>
      <c r="F1479" s="423">
        <v>10</v>
      </c>
      <c r="G1479" s="423">
        <v>64</v>
      </c>
      <c r="H1479" s="423">
        <v>500</v>
      </c>
      <c r="J1479" s="423"/>
      <c r="K1479" s="423"/>
      <c r="L1479" s="423"/>
      <c r="M1479" s="423"/>
      <c r="Q1479" s="423"/>
      <c r="R1479" s="424" t="s">
        <v>6725</v>
      </c>
      <c r="S1479" s="424" t="s">
        <v>2846</v>
      </c>
      <c r="T1479" s="424" t="s">
        <v>2870</v>
      </c>
      <c r="U1479" s="424">
        <v>0</v>
      </c>
      <c r="V1479" s="424" t="s">
        <v>3176</v>
      </c>
      <c r="W1479" s="424" t="s">
        <v>2974</v>
      </c>
      <c r="X1479" s="424" t="s">
        <v>2224</v>
      </c>
      <c r="Y1479" s="424" t="s">
        <v>2279</v>
      </c>
      <c r="Z1479" s="424" t="s">
        <v>2889</v>
      </c>
      <c r="AA1479" s="424" t="s">
        <v>2890</v>
      </c>
      <c r="AB1479" s="424" t="s">
        <v>6726</v>
      </c>
      <c r="AC1479" s="424" t="s">
        <v>1953</v>
      </c>
      <c r="AD1479" s="424" t="s">
        <v>2892</v>
      </c>
      <c r="AE1479" s="424" t="s">
        <v>2940</v>
      </c>
      <c r="AF1479" s="424"/>
      <c r="AG1479" s="424"/>
      <c r="AH1479" s="424"/>
    </row>
    <row r="1480" spans="1:34" x14ac:dyDescent="0.25">
      <c r="A1480" s="423" t="s">
        <v>6723</v>
      </c>
      <c r="B1480" s="423" t="s">
        <v>6727</v>
      </c>
      <c r="C1480" s="423" t="s">
        <v>6687</v>
      </c>
      <c r="D1480" s="423" t="s">
        <v>6688</v>
      </c>
      <c r="E1480" s="423" t="s">
        <v>236</v>
      </c>
      <c r="F1480" s="423">
        <v>10</v>
      </c>
      <c r="G1480" s="423">
        <v>64</v>
      </c>
      <c r="H1480" s="423">
        <v>500</v>
      </c>
      <c r="J1480" s="423"/>
      <c r="K1480" s="423"/>
      <c r="L1480" s="423"/>
      <c r="M1480" s="423"/>
      <c r="Q1480" s="423"/>
      <c r="R1480" s="424" t="s">
        <v>6728</v>
      </c>
      <c r="S1480" s="424" t="s">
        <v>2846</v>
      </c>
      <c r="T1480" s="424" t="s">
        <v>2870</v>
      </c>
      <c r="U1480" s="424">
        <v>0</v>
      </c>
      <c r="V1480" s="424" t="s">
        <v>3176</v>
      </c>
      <c r="W1480" s="424" t="s">
        <v>2974</v>
      </c>
      <c r="X1480" s="424" t="s">
        <v>2224</v>
      </c>
      <c r="Y1480" s="424" t="s">
        <v>2279</v>
      </c>
      <c r="Z1480" s="424" t="s">
        <v>2889</v>
      </c>
      <c r="AA1480" s="424" t="s">
        <v>2890</v>
      </c>
      <c r="AB1480" s="424" t="s">
        <v>2929</v>
      </c>
      <c r="AC1480" s="424" t="s">
        <v>1953</v>
      </c>
      <c r="AD1480" s="424" t="s">
        <v>2892</v>
      </c>
      <c r="AE1480" s="424" t="s">
        <v>2930</v>
      </c>
      <c r="AF1480" s="424"/>
      <c r="AG1480" s="424"/>
      <c r="AH1480" s="424"/>
    </row>
    <row r="1481" spans="1:34" x14ac:dyDescent="0.25">
      <c r="A1481" s="423" t="s">
        <v>6723</v>
      </c>
      <c r="B1481" s="423" t="s">
        <v>6729</v>
      </c>
      <c r="C1481" s="423" t="s">
        <v>6687</v>
      </c>
      <c r="D1481" s="423" t="s">
        <v>6688</v>
      </c>
      <c r="E1481" s="423" t="s">
        <v>236</v>
      </c>
      <c r="F1481" s="423">
        <v>10</v>
      </c>
      <c r="G1481" s="423">
        <v>64</v>
      </c>
      <c r="H1481" s="423">
        <v>500</v>
      </c>
      <c r="J1481" s="423"/>
      <c r="K1481" s="423"/>
      <c r="L1481" s="423"/>
      <c r="M1481" s="423"/>
      <c r="Q1481" s="423"/>
      <c r="R1481" s="424" t="s">
        <v>6730</v>
      </c>
      <c r="S1481" s="424" t="s">
        <v>2846</v>
      </c>
      <c r="T1481" s="424" t="s">
        <v>2870</v>
      </c>
      <c r="U1481" s="424">
        <v>0</v>
      </c>
      <c r="V1481" s="424" t="s">
        <v>3176</v>
      </c>
      <c r="W1481" s="424" t="s">
        <v>3074</v>
      </c>
      <c r="X1481" s="424" t="s">
        <v>2224</v>
      </c>
      <c r="Y1481" s="424" t="s">
        <v>2279</v>
      </c>
      <c r="Z1481" s="424" t="s">
        <v>2872</v>
      </c>
      <c r="AA1481" s="424" t="s">
        <v>2873</v>
      </c>
      <c r="AB1481" s="424" t="s">
        <v>4215</v>
      </c>
      <c r="AC1481" s="424" t="s">
        <v>1953</v>
      </c>
      <c r="AD1481" s="424" t="s">
        <v>2892</v>
      </c>
      <c r="AE1481" s="424" t="s">
        <v>2962</v>
      </c>
      <c r="AF1481" s="424"/>
      <c r="AG1481" s="424"/>
      <c r="AH1481" s="424"/>
    </row>
    <row r="1482" spans="1:34" x14ac:dyDescent="0.25">
      <c r="A1482" s="423" t="s">
        <v>6723</v>
      </c>
      <c r="B1482" s="423" t="s">
        <v>6731</v>
      </c>
      <c r="C1482" s="423" t="s">
        <v>6687</v>
      </c>
      <c r="D1482" s="423" t="s">
        <v>6688</v>
      </c>
      <c r="E1482" s="423" t="s">
        <v>236</v>
      </c>
      <c r="F1482" s="423">
        <v>10</v>
      </c>
      <c r="G1482" s="423">
        <v>64</v>
      </c>
      <c r="H1482" s="423">
        <v>500</v>
      </c>
      <c r="J1482" s="423"/>
      <c r="K1482" s="423"/>
      <c r="L1482" s="423"/>
      <c r="M1482" s="423"/>
      <c r="Q1482" s="423"/>
      <c r="R1482" s="424" t="s">
        <v>6732</v>
      </c>
      <c r="S1482" s="424" t="s">
        <v>2846</v>
      </c>
      <c r="T1482" s="424" t="s">
        <v>2870</v>
      </c>
      <c r="U1482" s="424">
        <v>0</v>
      </c>
      <c r="V1482" s="424" t="s">
        <v>2973</v>
      </c>
      <c r="W1482" s="424" t="s">
        <v>3074</v>
      </c>
      <c r="X1482" s="424" t="s">
        <v>2224</v>
      </c>
      <c r="Y1482" s="424" t="s">
        <v>2279</v>
      </c>
      <c r="Z1482" s="424" t="s">
        <v>2872</v>
      </c>
      <c r="AA1482" s="424" t="s">
        <v>2873</v>
      </c>
      <c r="AB1482" s="424" t="s">
        <v>6733</v>
      </c>
      <c r="AC1482" s="424" t="s">
        <v>1953</v>
      </c>
      <c r="AD1482" s="424" t="s">
        <v>2892</v>
      </c>
      <c r="AE1482" s="424" t="s">
        <v>4459</v>
      </c>
      <c r="AF1482" s="424"/>
      <c r="AG1482" s="424"/>
      <c r="AH1482" s="424"/>
    </row>
    <row r="1483" spans="1:34" x14ac:dyDescent="0.25">
      <c r="A1483" s="423" t="s">
        <v>6723</v>
      </c>
      <c r="B1483" s="423" t="s">
        <v>6734</v>
      </c>
      <c r="C1483" s="423" t="s">
        <v>6687</v>
      </c>
      <c r="D1483" s="423" t="s">
        <v>6688</v>
      </c>
      <c r="E1483" s="423" t="s">
        <v>236</v>
      </c>
      <c r="F1483" s="423">
        <v>10</v>
      </c>
      <c r="G1483" s="423">
        <v>64</v>
      </c>
      <c r="H1483" s="423">
        <v>500</v>
      </c>
      <c r="J1483" s="423"/>
      <c r="K1483" s="423"/>
      <c r="L1483" s="423"/>
      <c r="M1483" s="423"/>
      <c r="Q1483" s="423"/>
      <c r="R1483" s="424" t="s">
        <v>6735</v>
      </c>
      <c r="S1483" s="424" t="s">
        <v>2846</v>
      </c>
      <c r="T1483" s="424" t="s">
        <v>2870</v>
      </c>
      <c r="U1483" s="424">
        <v>0</v>
      </c>
      <c r="V1483" s="424" t="s">
        <v>2973</v>
      </c>
      <c r="W1483" s="424" t="s">
        <v>3074</v>
      </c>
      <c r="X1483" s="424" t="s">
        <v>2224</v>
      </c>
      <c r="Y1483" s="424" t="s">
        <v>2279</v>
      </c>
      <c r="Z1483" s="424" t="s">
        <v>2872</v>
      </c>
      <c r="AA1483" s="424" t="s">
        <v>2873</v>
      </c>
      <c r="AB1483" s="424" t="s">
        <v>4792</v>
      </c>
      <c r="AC1483" s="424" t="s">
        <v>1953</v>
      </c>
      <c r="AD1483" s="424" t="s">
        <v>2892</v>
      </c>
      <c r="AE1483" s="424" t="s">
        <v>4459</v>
      </c>
      <c r="AF1483" s="424"/>
      <c r="AG1483" s="424"/>
      <c r="AH1483" s="424"/>
    </row>
    <row r="1484" spans="1:34" x14ac:dyDescent="0.25">
      <c r="A1484" s="423" t="s">
        <v>6723</v>
      </c>
      <c r="B1484" s="423" t="s">
        <v>6736</v>
      </c>
      <c r="C1484" s="423" t="s">
        <v>6687</v>
      </c>
      <c r="D1484" s="423" t="s">
        <v>6688</v>
      </c>
      <c r="E1484" s="423" t="s">
        <v>236</v>
      </c>
      <c r="F1484" s="423">
        <v>10</v>
      </c>
      <c r="G1484" s="423">
        <v>64</v>
      </c>
      <c r="H1484" s="423">
        <v>500</v>
      </c>
      <c r="J1484" s="423"/>
      <c r="K1484" s="423"/>
      <c r="L1484" s="423"/>
      <c r="M1484" s="423"/>
      <c r="Q1484" s="423"/>
      <c r="R1484" s="424" t="s">
        <v>6737</v>
      </c>
      <c r="S1484" s="424" t="s">
        <v>2846</v>
      </c>
      <c r="T1484" s="424" t="s">
        <v>2870</v>
      </c>
      <c r="U1484" s="424">
        <v>0</v>
      </c>
      <c r="V1484" s="424" t="s">
        <v>2973</v>
      </c>
      <c r="W1484" s="424" t="s">
        <v>3074</v>
      </c>
      <c r="X1484" s="424" t="s">
        <v>2224</v>
      </c>
      <c r="Y1484" s="424" t="s">
        <v>2279</v>
      </c>
      <c r="Z1484" s="424" t="s">
        <v>2872</v>
      </c>
      <c r="AA1484" s="424" t="s">
        <v>2873</v>
      </c>
      <c r="AB1484" s="424" t="s">
        <v>4569</v>
      </c>
      <c r="AC1484" s="424" t="s">
        <v>1953</v>
      </c>
      <c r="AD1484" s="424" t="s">
        <v>2892</v>
      </c>
      <c r="AE1484" s="424" t="s">
        <v>4459</v>
      </c>
      <c r="AF1484" s="424"/>
      <c r="AG1484" s="424"/>
      <c r="AH1484" s="424"/>
    </row>
    <row r="1485" spans="1:34" x14ac:dyDescent="0.25">
      <c r="A1485" s="423" t="s">
        <v>6723</v>
      </c>
      <c r="B1485" s="423" t="s">
        <v>6738</v>
      </c>
      <c r="C1485" s="423" t="s">
        <v>6687</v>
      </c>
      <c r="D1485" s="423" t="s">
        <v>6688</v>
      </c>
      <c r="E1485" s="423" t="s">
        <v>236</v>
      </c>
      <c r="F1485" s="423">
        <v>10</v>
      </c>
      <c r="G1485" s="423">
        <v>64</v>
      </c>
      <c r="H1485" s="423">
        <v>500</v>
      </c>
      <c r="J1485" s="423"/>
      <c r="K1485" s="423"/>
      <c r="L1485" s="423"/>
      <c r="M1485" s="423"/>
      <c r="Q1485" s="423"/>
      <c r="R1485" s="424" t="s">
        <v>6739</v>
      </c>
      <c r="S1485" s="424" t="s">
        <v>2846</v>
      </c>
      <c r="T1485" s="424" t="s">
        <v>2870</v>
      </c>
      <c r="U1485" s="424">
        <v>0</v>
      </c>
      <c r="V1485" s="424" t="s">
        <v>3176</v>
      </c>
      <c r="W1485" s="424" t="s">
        <v>2974</v>
      </c>
      <c r="X1485" s="424">
        <v>0</v>
      </c>
      <c r="Y1485" s="424" t="s">
        <v>2279</v>
      </c>
      <c r="Z1485" s="424" t="s">
        <v>2889</v>
      </c>
      <c r="AA1485" s="424" t="s">
        <v>2890</v>
      </c>
      <c r="AB1485" s="424" t="s">
        <v>6740</v>
      </c>
      <c r="AC1485" s="424" t="s">
        <v>1953</v>
      </c>
      <c r="AD1485" s="424" t="s">
        <v>2892</v>
      </c>
      <c r="AE1485" s="424" t="s">
        <v>2930</v>
      </c>
      <c r="AF1485" s="424"/>
      <c r="AG1485" s="424"/>
      <c r="AH1485" s="424"/>
    </row>
    <row r="1486" spans="1:34" x14ac:dyDescent="0.25">
      <c r="A1486" s="423" t="s">
        <v>6723</v>
      </c>
      <c r="B1486" s="423" t="s">
        <v>6741</v>
      </c>
      <c r="C1486" s="423" t="s">
        <v>6687</v>
      </c>
      <c r="D1486" s="423" t="s">
        <v>6688</v>
      </c>
      <c r="E1486" s="423" t="s">
        <v>236</v>
      </c>
      <c r="F1486" s="423">
        <v>8</v>
      </c>
      <c r="G1486" s="423">
        <v>64</v>
      </c>
      <c r="H1486" s="423">
        <v>300</v>
      </c>
      <c r="J1486" s="423"/>
      <c r="K1486" s="423"/>
      <c r="L1486" s="423"/>
      <c r="M1486" s="423"/>
      <c r="Q1486" s="423"/>
      <c r="R1486" s="424" t="s">
        <v>6742</v>
      </c>
      <c r="S1486" s="424" t="s">
        <v>2846</v>
      </c>
      <c r="T1486" s="424" t="s">
        <v>2870</v>
      </c>
      <c r="U1486" s="424">
        <v>0</v>
      </c>
      <c r="V1486" s="424" t="s">
        <v>2973</v>
      </c>
      <c r="W1486" s="424" t="s">
        <v>2871</v>
      </c>
      <c r="X1486" s="424">
        <v>0</v>
      </c>
      <c r="Y1486" s="424" t="s">
        <v>2279</v>
      </c>
      <c r="Z1486" s="424" t="s">
        <v>2872</v>
      </c>
      <c r="AA1486" s="424" t="s">
        <v>2873</v>
      </c>
      <c r="AB1486" s="424" t="s">
        <v>6743</v>
      </c>
      <c r="AC1486" s="424" t="s">
        <v>1953</v>
      </c>
      <c r="AD1486" s="424" t="s">
        <v>2892</v>
      </c>
      <c r="AE1486" s="424" t="s">
        <v>2897</v>
      </c>
      <c r="AF1486" s="424"/>
      <c r="AG1486" s="424"/>
      <c r="AH1486" s="424"/>
    </row>
    <row r="1487" spans="1:34" x14ac:dyDescent="0.25">
      <c r="A1487" s="423" t="s">
        <v>6723</v>
      </c>
      <c r="B1487" s="423" t="s">
        <v>6744</v>
      </c>
      <c r="C1487" s="423" t="s">
        <v>6687</v>
      </c>
      <c r="D1487" s="423" t="s">
        <v>6688</v>
      </c>
      <c r="E1487" s="423" t="s">
        <v>236</v>
      </c>
      <c r="F1487" s="423">
        <v>8</v>
      </c>
      <c r="G1487" s="423">
        <v>64</v>
      </c>
      <c r="H1487" s="423">
        <v>300</v>
      </c>
      <c r="J1487" s="423"/>
      <c r="K1487" s="423"/>
      <c r="L1487" s="423"/>
      <c r="M1487" s="423"/>
      <c r="Q1487" s="423"/>
      <c r="R1487" s="424" t="s">
        <v>6745</v>
      </c>
      <c r="S1487" s="424" t="s">
        <v>2846</v>
      </c>
      <c r="T1487" s="424" t="s">
        <v>2870</v>
      </c>
      <c r="U1487" s="424">
        <v>0</v>
      </c>
      <c r="V1487" s="424" t="s">
        <v>2973</v>
      </c>
      <c r="W1487" s="424" t="s">
        <v>2871</v>
      </c>
      <c r="X1487" s="424">
        <v>0</v>
      </c>
      <c r="Y1487" s="424" t="s">
        <v>2279</v>
      </c>
      <c r="Z1487" s="424" t="s">
        <v>2872</v>
      </c>
      <c r="AA1487" s="424" t="s">
        <v>2873</v>
      </c>
      <c r="AB1487" s="424" t="s">
        <v>4472</v>
      </c>
      <c r="AC1487" s="424" t="s">
        <v>1953</v>
      </c>
      <c r="AD1487" s="424" t="s">
        <v>2892</v>
      </c>
      <c r="AE1487" s="424" t="s">
        <v>2897</v>
      </c>
      <c r="AF1487" s="424"/>
      <c r="AG1487" s="424"/>
      <c r="AH1487" s="424"/>
    </row>
    <row r="1488" spans="1:34" x14ac:dyDescent="0.25">
      <c r="A1488" s="423" t="s">
        <v>6723</v>
      </c>
      <c r="B1488" s="423" t="s">
        <v>6746</v>
      </c>
      <c r="C1488" s="423" t="s">
        <v>6687</v>
      </c>
      <c r="D1488" s="423" t="s">
        <v>6688</v>
      </c>
      <c r="E1488" s="423" t="s">
        <v>236</v>
      </c>
      <c r="F1488" s="423">
        <v>8</v>
      </c>
      <c r="G1488" s="423">
        <v>64</v>
      </c>
      <c r="H1488" s="423">
        <v>300</v>
      </c>
      <c r="J1488" s="423"/>
      <c r="K1488" s="423"/>
      <c r="L1488" s="423"/>
      <c r="M1488" s="423"/>
      <c r="Q1488" s="423"/>
      <c r="R1488" s="424" t="s">
        <v>6747</v>
      </c>
      <c r="S1488" s="424" t="s">
        <v>2846</v>
      </c>
      <c r="T1488" s="424" t="s">
        <v>2870</v>
      </c>
      <c r="U1488" s="424">
        <v>0</v>
      </c>
      <c r="V1488" s="424" t="s">
        <v>2973</v>
      </c>
      <c r="W1488" s="424" t="s">
        <v>2974</v>
      </c>
      <c r="X1488" s="424">
        <v>0</v>
      </c>
      <c r="Y1488" s="424" t="s">
        <v>2279</v>
      </c>
      <c r="Z1488" s="424" t="s">
        <v>2889</v>
      </c>
      <c r="AA1488" s="424" t="s">
        <v>2890</v>
      </c>
      <c r="AB1488" s="424" t="s">
        <v>6748</v>
      </c>
      <c r="AC1488" s="424" t="s">
        <v>1953</v>
      </c>
      <c r="AD1488" s="424" t="s">
        <v>2892</v>
      </c>
      <c r="AE1488" s="424" t="s">
        <v>2930</v>
      </c>
      <c r="AF1488" s="424"/>
      <c r="AG1488" s="424"/>
      <c r="AH1488" s="424"/>
    </row>
    <row r="1489" spans="1:34" x14ac:dyDescent="0.25">
      <c r="A1489" s="423" t="s">
        <v>6723</v>
      </c>
      <c r="B1489" s="423" t="s">
        <v>6749</v>
      </c>
      <c r="C1489" s="423" t="s">
        <v>6687</v>
      </c>
      <c r="D1489" s="423" t="s">
        <v>6688</v>
      </c>
      <c r="E1489" s="423" t="s">
        <v>236</v>
      </c>
      <c r="F1489" s="423">
        <v>8</v>
      </c>
      <c r="G1489" s="423">
        <v>64</v>
      </c>
      <c r="H1489" s="423">
        <v>300</v>
      </c>
      <c r="J1489" s="423"/>
      <c r="K1489" s="423"/>
      <c r="L1489" s="423"/>
      <c r="M1489" s="423"/>
      <c r="Q1489" s="423"/>
      <c r="R1489" s="424" t="s">
        <v>6750</v>
      </c>
      <c r="S1489" s="424" t="s">
        <v>2846</v>
      </c>
      <c r="T1489" s="424" t="s">
        <v>2870</v>
      </c>
      <c r="U1489" s="424">
        <v>0</v>
      </c>
      <c r="V1489" s="424" t="s">
        <v>2973</v>
      </c>
      <c r="W1489" s="424" t="s">
        <v>2871</v>
      </c>
      <c r="X1489" s="424">
        <v>0</v>
      </c>
      <c r="Y1489" s="424" t="s">
        <v>2279</v>
      </c>
      <c r="Z1489" s="424" t="s">
        <v>2872</v>
      </c>
      <c r="AA1489" s="424" t="s">
        <v>2873</v>
      </c>
      <c r="AB1489" s="424" t="s">
        <v>2910</v>
      </c>
      <c r="AC1489" s="424" t="s">
        <v>1953</v>
      </c>
      <c r="AD1489" s="424" t="s">
        <v>2892</v>
      </c>
      <c r="AE1489" s="424" t="s">
        <v>2897</v>
      </c>
      <c r="AF1489" s="424"/>
      <c r="AG1489" s="424"/>
      <c r="AH1489" s="424"/>
    </row>
    <row r="1490" spans="1:34" x14ac:dyDescent="0.25">
      <c r="A1490" s="423" t="s">
        <v>6723</v>
      </c>
      <c r="B1490" s="423" t="s">
        <v>6751</v>
      </c>
      <c r="C1490" s="423" t="s">
        <v>6687</v>
      </c>
      <c r="D1490" s="423" t="s">
        <v>6688</v>
      </c>
      <c r="E1490" s="423" t="s">
        <v>236</v>
      </c>
      <c r="F1490" s="423">
        <v>8</v>
      </c>
      <c r="G1490" s="423">
        <v>64</v>
      </c>
      <c r="H1490" s="423">
        <v>300</v>
      </c>
      <c r="J1490" s="423"/>
      <c r="K1490" s="423"/>
      <c r="L1490" s="423"/>
      <c r="M1490" s="423"/>
      <c r="Q1490" s="423"/>
      <c r="R1490" s="424" t="s">
        <v>6752</v>
      </c>
      <c r="S1490" s="424" t="s">
        <v>2846</v>
      </c>
      <c r="T1490" s="424" t="s">
        <v>2870</v>
      </c>
      <c r="U1490" s="424">
        <v>0</v>
      </c>
      <c r="V1490" s="424" t="s">
        <v>3176</v>
      </c>
      <c r="W1490" s="424" t="s">
        <v>2974</v>
      </c>
      <c r="X1490" s="424">
        <v>0</v>
      </c>
      <c r="Y1490" s="424" t="s">
        <v>2279</v>
      </c>
      <c r="Z1490" s="424" t="s">
        <v>2889</v>
      </c>
      <c r="AA1490" s="424" t="s">
        <v>2890</v>
      </c>
      <c r="AB1490" s="424" t="s">
        <v>6753</v>
      </c>
      <c r="AC1490" s="424" t="s">
        <v>1953</v>
      </c>
      <c r="AD1490" s="424" t="s">
        <v>2892</v>
      </c>
      <c r="AE1490" s="424" t="s">
        <v>2930</v>
      </c>
      <c r="AF1490" s="424"/>
      <c r="AG1490" s="424"/>
      <c r="AH1490" s="424"/>
    </row>
    <row r="1491" spans="1:34" x14ac:dyDescent="0.25">
      <c r="A1491" s="423" t="s">
        <v>6723</v>
      </c>
      <c r="B1491" s="423" t="s">
        <v>6754</v>
      </c>
      <c r="C1491" s="423" t="s">
        <v>6687</v>
      </c>
      <c r="D1491" s="423" t="s">
        <v>6688</v>
      </c>
      <c r="E1491" s="423" t="s">
        <v>236</v>
      </c>
      <c r="F1491" s="423">
        <v>8</v>
      </c>
      <c r="G1491" s="423">
        <v>64</v>
      </c>
      <c r="H1491" s="423">
        <v>300</v>
      </c>
      <c r="J1491" s="423"/>
      <c r="K1491" s="423"/>
      <c r="L1491" s="423"/>
      <c r="M1491" s="423"/>
      <c r="Q1491" s="423"/>
      <c r="R1491" s="424" t="s">
        <v>6755</v>
      </c>
      <c r="S1491" s="424" t="s">
        <v>2846</v>
      </c>
      <c r="T1491" s="424" t="s">
        <v>2870</v>
      </c>
      <c r="U1491" s="424">
        <v>0</v>
      </c>
      <c r="V1491" s="424" t="s">
        <v>3176</v>
      </c>
      <c r="W1491" s="424" t="s">
        <v>3074</v>
      </c>
      <c r="X1491" s="424">
        <v>0</v>
      </c>
      <c r="Y1491" s="424" t="s">
        <v>2279</v>
      </c>
      <c r="Z1491" s="424" t="s">
        <v>2872</v>
      </c>
      <c r="AA1491" s="424" t="s">
        <v>2873</v>
      </c>
      <c r="AB1491" s="424" t="s">
        <v>5494</v>
      </c>
      <c r="AC1491" s="424" t="s">
        <v>1953</v>
      </c>
      <c r="AD1491" s="424" t="s">
        <v>2892</v>
      </c>
      <c r="AE1491" s="424" t="s">
        <v>2962</v>
      </c>
      <c r="AF1491" s="424"/>
      <c r="AG1491" s="424"/>
      <c r="AH1491" s="424"/>
    </row>
    <row r="1492" spans="1:34" x14ac:dyDescent="0.25">
      <c r="A1492" s="423" t="s">
        <v>6723</v>
      </c>
      <c r="B1492" s="423" t="s">
        <v>6756</v>
      </c>
      <c r="C1492" s="423" t="s">
        <v>6687</v>
      </c>
      <c r="D1492" s="423" t="s">
        <v>6688</v>
      </c>
      <c r="E1492" s="423" t="s">
        <v>236</v>
      </c>
      <c r="F1492" s="423">
        <v>8</v>
      </c>
      <c r="G1492" s="423">
        <v>64</v>
      </c>
      <c r="H1492" s="423">
        <v>300</v>
      </c>
      <c r="J1492" s="423"/>
      <c r="K1492" s="423"/>
      <c r="L1492" s="423"/>
      <c r="M1492" s="423"/>
      <c r="Q1492" s="423"/>
      <c r="R1492" s="424" t="s">
        <v>6757</v>
      </c>
      <c r="S1492" s="424" t="s">
        <v>2846</v>
      </c>
      <c r="T1492" s="424" t="s">
        <v>2870</v>
      </c>
      <c r="U1492" s="424">
        <v>0</v>
      </c>
      <c r="V1492" s="424" t="s">
        <v>3176</v>
      </c>
      <c r="W1492" s="424" t="s">
        <v>2974</v>
      </c>
      <c r="X1492" s="424">
        <v>0</v>
      </c>
      <c r="Y1492" s="424" t="s">
        <v>2279</v>
      </c>
      <c r="Z1492" s="424" t="s">
        <v>2889</v>
      </c>
      <c r="AA1492" s="424" t="s">
        <v>2890</v>
      </c>
      <c r="AB1492" s="424" t="s">
        <v>6726</v>
      </c>
      <c r="AC1492" s="424" t="s">
        <v>1953</v>
      </c>
      <c r="AD1492" s="424" t="s">
        <v>2892</v>
      </c>
      <c r="AE1492" s="424" t="s">
        <v>2940</v>
      </c>
      <c r="AF1492" s="424"/>
      <c r="AG1492" s="424"/>
      <c r="AH1492" s="424"/>
    </row>
    <row r="1493" spans="1:34" x14ac:dyDescent="0.25">
      <c r="A1493" s="423" t="s">
        <v>6723</v>
      </c>
      <c r="B1493" s="423" t="s">
        <v>6758</v>
      </c>
      <c r="C1493" s="423" t="s">
        <v>6687</v>
      </c>
      <c r="D1493" s="423" t="s">
        <v>6688</v>
      </c>
      <c r="E1493" s="423" t="s">
        <v>236</v>
      </c>
      <c r="F1493" s="423">
        <v>8</v>
      </c>
      <c r="G1493" s="423">
        <v>64</v>
      </c>
      <c r="H1493" s="423">
        <v>300</v>
      </c>
      <c r="J1493" s="423"/>
      <c r="K1493" s="423"/>
      <c r="L1493" s="423"/>
      <c r="M1493" s="423"/>
      <c r="Q1493" s="423"/>
      <c r="R1493" s="424" t="s">
        <v>6759</v>
      </c>
      <c r="S1493" s="424" t="s">
        <v>2846</v>
      </c>
      <c r="T1493" s="424" t="s">
        <v>2870</v>
      </c>
      <c r="U1493" s="424">
        <v>0</v>
      </c>
      <c r="V1493" s="424" t="s">
        <v>3176</v>
      </c>
      <c r="W1493" s="424" t="s">
        <v>2974</v>
      </c>
      <c r="X1493" s="424">
        <v>0</v>
      </c>
      <c r="Y1493" s="424" t="s">
        <v>2279</v>
      </c>
      <c r="Z1493" s="424" t="s">
        <v>2889</v>
      </c>
      <c r="AA1493" s="424" t="s">
        <v>2890</v>
      </c>
      <c r="AB1493" s="424" t="s">
        <v>6740</v>
      </c>
      <c r="AC1493" s="424" t="s">
        <v>1953</v>
      </c>
      <c r="AD1493" s="424" t="s">
        <v>2892</v>
      </c>
      <c r="AE1493" s="424" t="s">
        <v>2930</v>
      </c>
      <c r="AF1493" s="424"/>
      <c r="AG1493" s="424"/>
      <c r="AH1493" s="424"/>
    </row>
    <row r="1494" spans="1:34" x14ac:dyDescent="0.25">
      <c r="A1494" s="423" t="s">
        <v>6723</v>
      </c>
      <c r="B1494" s="423" t="s">
        <v>6760</v>
      </c>
      <c r="C1494" s="423" t="s">
        <v>6687</v>
      </c>
      <c r="D1494" s="423" t="s">
        <v>6688</v>
      </c>
      <c r="E1494" s="423" t="s">
        <v>236</v>
      </c>
      <c r="F1494" s="423">
        <v>8</v>
      </c>
      <c r="G1494" s="423">
        <v>64</v>
      </c>
      <c r="H1494" s="423">
        <v>300</v>
      </c>
      <c r="J1494" s="423"/>
      <c r="K1494" s="423"/>
      <c r="L1494" s="423"/>
      <c r="M1494" s="423"/>
      <c r="Q1494" s="423"/>
      <c r="R1494" s="424" t="s">
        <v>6761</v>
      </c>
      <c r="S1494" s="424" t="s">
        <v>2846</v>
      </c>
      <c r="T1494" s="424" t="s">
        <v>2870</v>
      </c>
      <c r="U1494" s="424">
        <v>0</v>
      </c>
      <c r="V1494" s="424" t="s">
        <v>3176</v>
      </c>
      <c r="W1494" s="424" t="s">
        <v>2974</v>
      </c>
      <c r="X1494" s="424">
        <v>0</v>
      </c>
      <c r="Y1494" s="424" t="s">
        <v>2279</v>
      </c>
      <c r="Z1494" s="424" t="s">
        <v>2889</v>
      </c>
      <c r="AA1494" s="424" t="s">
        <v>2890</v>
      </c>
      <c r="AB1494" s="424" t="s">
        <v>6563</v>
      </c>
      <c r="AC1494" s="424" t="s">
        <v>1953</v>
      </c>
      <c r="AD1494" s="424" t="s">
        <v>2892</v>
      </c>
      <c r="AE1494" s="424" t="s">
        <v>2940</v>
      </c>
      <c r="AF1494" s="424"/>
      <c r="AG1494" s="424"/>
      <c r="AH1494" s="424"/>
    </row>
    <row r="1495" spans="1:34" x14ac:dyDescent="0.25">
      <c r="A1495" s="423" t="s">
        <v>2233</v>
      </c>
      <c r="B1495" s="423" t="s">
        <v>6762</v>
      </c>
      <c r="C1495" s="423" t="s">
        <v>6687</v>
      </c>
      <c r="D1495" s="423" t="s">
        <v>6763</v>
      </c>
      <c r="E1495" s="423" t="s">
        <v>236</v>
      </c>
      <c r="F1495" s="423">
        <v>50</v>
      </c>
      <c r="G1495" s="423">
        <v>51</v>
      </c>
      <c r="H1495" s="423">
        <v>700</v>
      </c>
      <c r="J1495" s="423"/>
      <c r="K1495" s="423"/>
      <c r="L1495" s="423"/>
      <c r="M1495" s="423"/>
      <c r="Q1495" s="423"/>
      <c r="R1495" s="424" t="s">
        <v>6764</v>
      </c>
      <c r="S1495" s="424" t="s">
        <v>2846</v>
      </c>
      <c r="T1495" s="424" t="s">
        <v>3356</v>
      </c>
      <c r="U1495" s="424">
        <v>0</v>
      </c>
      <c r="V1495" s="424" t="s">
        <v>3074</v>
      </c>
      <c r="W1495" s="424" t="s">
        <v>3176</v>
      </c>
      <c r="X1495" s="424" t="s">
        <v>2224</v>
      </c>
      <c r="Y1495" s="424" t="s">
        <v>2279</v>
      </c>
      <c r="Z1495" s="424" t="s">
        <v>2889</v>
      </c>
      <c r="AA1495" s="424" t="s">
        <v>2890</v>
      </c>
      <c r="AB1495" s="424" t="s">
        <v>6765</v>
      </c>
      <c r="AC1495" s="424" t="s">
        <v>1953</v>
      </c>
      <c r="AD1495" s="424" t="s">
        <v>2892</v>
      </c>
      <c r="AE1495" s="424" t="s">
        <v>6766</v>
      </c>
      <c r="AF1495" s="424"/>
      <c r="AG1495" s="424"/>
      <c r="AH1495" s="424"/>
    </row>
    <row r="1496" spans="1:34" x14ac:dyDescent="0.25">
      <c r="A1496" s="423" t="s">
        <v>2233</v>
      </c>
      <c r="B1496" s="423" t="s">
        <v>6767</v>
      </c>
      <c r="C1496" s="423" t="s">
        <v>6687</v>
      </c>
      <c r="D1496" s="423" t="s">
        <v>6763</v>
      </c>
      <c r="E1496" s="423" t="s">
        <v>236</v>
      </c>
      <c r="F1496" s="423">
        <v>50</v>
      </c>
      <c r="G1496" s="423">
        <v>51</v>
      </c>
      <c r="H1496" s="423">
        <v>700</v>
      </c>
      <c r="J1496" s="423"/>
      <c r="K1496" s="423"/>
      <c r="L1496" s="423"/>
      <c r="M1496" s="423"/>
      <c r="Q1496" s="423"/>
      <c r="R1496" s="424" t="s">
        <v>6768</v>
      </c>
      <c r="S1496" s="424" t="s">
        <v>2846</v>
      </c>
      <c r="T1496" s="424" t="s">
        <v>3356</v>
      </c>
      <c r="U1496" s="424">
        <v>0</v>
      </c>
      <c r="V1496" s="424" t="s">
        <v>3074</v>
      </c>
      <c r="W1496" s="424" t="s">
        <v>2974</v>
      </c>
      <c r="X1496" s="424" t="s">
        <v>2224</v>
      </c>
      <c r="Y1496" s="424" t="s">
        <v>2279</v>
      </c>
      <c r="Z1496" s="424" t="s">
        <v>2889</v>
      </c>
      <c r="AA1496" s="424" t="s">
        <v>2890</v>
      </c>
      <c r="AB1496" s="424" t="s">
        <v>4657</v>
      </c>
      <c r="AC1496" s="424" t="s">
        <v>1953</v>
      </c>
      <c r="AD1496" s="424" t="s">
        <v>2892</v>
      </c>
      <c r="AE1496" s="424" t="s">
        <v>2893</v>
      </c>
      <c r="AF1496" s="424"/>
      <c r="AG1496" s="424"/>
      <c r="AH1496" s="424"/>
    </row>
    <row r="1497" spans="1:34" x14ac:dyDescent="0.25">
      <c r="A1497" s="423" t="s">
        <v>2233</v>
      </c>
      <c r="B1497" s="423" t="s">
        <v>6769</v>
      </c>
      <c r="C1497" s="423" t="s">
        <v>6687</v>
      </c>
      <c r="D1497" s="423" t="s">
        <v>6763</v>
      </c>
      <c r="E1497" s="423" t="s">
        <v>236</v>
      </c>
      <c r="F1497" s="423">
        <v>50</v>
      </c>
      <c r="G1497" s="423">
        <v>51</v>
      </c>
      <c r="H1497" s="423">
        <v>700</v>
      </c>
      <c r="J1497" s="423"/>
      <c r="K1497" s="423"/>
      <c r="L1497" s="423"/>
      <c r="M1497" s="423"/>
      <c r="Q1497" s="423"/>
      <c r="R1497" s="424" t="s">
        <v>6770</v>
      </c>
      <c r="S1497" s="424" t="s">
        <v>2846</v>
      </c>
      <c r="T1497" s="424" t="s">
        <v>3356</v>
      </c>
      <c r="U1497" s="424">
        <v>0</v>
      </c>
      <c r="V1497" s="424" t="s">
        <v>3074</v>
      </c>
      <c r="W1497" s="424" t="s">
        <v>3176</v>
      </c>
      <c r="X1497" s="424" t="s">
        <v>2224</v>
      </c>
      <c r="Y1497" s="424" t="s">
        <v>2279</v>
      </c>
      <c r="Z1497" s="424" t="s">
        <v>2889</v>
      </c>
      <c r="AA1497" s="424" t="s">
        <v>2890</v>
      </c>
      <c r="AB1497" s="424" t="s">
        <v>6771</v>
      </c>
      <c r="AC1497" s="424" t="s">
        <v>1953</v>
      </c>
      <c r="AD1497" s="424" t="s">
        <v>2892</v>
      </c>
      <c r="AE1497" s="424" t="s">
        <v>6772</v>
      </c>
      <c r="AF1497" s="424"/>
      <c r="AG1497" s="424"/>
      <c r="AH1497" s="424"/>
    </row>
    <row r="1498" spans="1:34" x14ac:dyDescent="0.25">
      <c r="A1498" s="423" t="s">
        <v>2233</v>
      </c>
      <c r="B1498" s="423" t="s">
        <v>6773</v>
      </c>
      <c r="C1498" s="423" t="s">
        <v>6687</v>
      </c>
      <c r="D1498" s="423" t="s">
        <v>6763</v>
      </c>
      <c r="E1498" s="423" t="s">
        <v>236</v>
      </c>
      <c r="F1498" s="423">
        <v>50</v>
      </c>
      <c r="G1498" s="423">
        <v>51</v>
      </c>
      <c r="H1498" s="423">
        <v>700</v>
      </c>
      <c r="J1498" s="423"/>
      <c r="K1498" s="423"/>
      <c r="L1498" s="423"/>
      <c r="M1498" s="423"/>
      <c r="Q1498" s="423"/>
      <c r="R1498" s="424" t="s">
        <v>6774</v>
      </c>
      <c r="S1498" s="424" t="s">
        <v>2846</v>
      </c>
      <c r="T1498" s="424" t="s">
        <v>3356</v>
      </c>
      <c r="U1498" s="424">
        <v>0</v>
      </c>
      <c r="V1498" s="424" t="s">
        <v>3074</v>
      </c>
      <c r="W1498" s="424" t="s">
        <v>2974</v>
      </c>
      <c r="X1498" s="424" t="s">
        <v>2224</v>
      </c>
      <c r="Y1498" s="424" t="s">
        <v>2279</v>
      </c>
      <c r="Z1498" s="424" t="s">
        <v>2889</v>
      </c>
      <c r="AA1498" s="424" t="s">
        <v>2890</v>
      </c>
      <c r="AB1498" s="424" t="s">
        <v>4738</v>
      </c>
      <c r="AC1498" s="424" t="s">
        <v>1953</v>
      </c>
      <c r="AD1498" s="424" t="s">
        <v>2892</v>
      </c>
      <c r="AE1498" s="424" t="s">
        <v>4610</v>
      </c>
      <c r="AF1498" s="424"/>
      <c r="AG1498" s="424"/>
      <c r="AH1498" s="424"/>
    </row>
    <row r="1499" spans="1:34" x14ac:dyDescent="0.25">
      <c r="A1499" s="423" t="s">
        <v>2233</v>
      </c>
      <c r="B1499" s="423" t="s">
        <v>6775</v>
      </c>
      <c r="C1499" s="423" t="s">
        <v>6687</v>
      </c>
      <c r="D1499" s="423" t="s">
        <v>6763</v>
      </c>
      <c r="E1499" s="423" t="s">
        <v>236</v>
      </c>
      <c r="F1499" s="423">
        <v>50</v>
      </c>
      <c r="G1499" s="423">
        <v>51</v>
      </c>
      <c r="H1499" s="423">
        <v>700</v>
      </c>
      <c r="J1499" s="423"/>
      <c r="K1499" s="423"/>
      <c r="L1499" s="423"/>
      <c r="M1499" s="423"/>
      <c r="Q1499" s="423"/>
      <c r="R1499" s="424" t="s">
        <v>6776</v>
      </c>
      <c r="S1499" s="424" t="s">
        <v>2846</v>
      </c>
      <c r="T1499" s="424" t="s">
        <v>3356</v>
      </c>
      <c r="U1499" s="424">
        <v>0</v>
      </c>
      <c r="V1499" s="424" t="s">
        <v>3074</v>
      </c>
      <c r="W1499" s="424" t="s">
        <v>2974</v>
      </c>
      <c r="X1499" s="424" t="s">
        <v>2224</v>
      </c>
      <c r="Y1499" s="424" t="s">
        <v>2279</v>
      </c>
      <c r="Z1499" s="424" t="s">
        <v>2889</v>
      </c>
      <c r="AA1499" s="424" t="s">
        <v>2890</v>
      </c>
      <c r="AB1499" s="424" t="s">
        <v>6777</v>
      </c>
      <c r="AC1499" s="424" t="s">
        <v>1953</v>
      </c>
      <c r="AD1499" s="424" t="s">
        <v>2892</v>
      </c>
      <c r="AE1499" s="424" t="s">
        <v>6778</v>
      </c>
      <c r="AF1499" s="424"/>
      <c r="AG1499" s="424"/>
      <c r="AH1499" s="424"/>
    </row>
    <row r="1500" spans="1:34" x14ac:dyDescent="0.25">
      <c r="A1500" s="423" t="s">
        <v>2233</v>
      </c>
      <c r="B1500" s="423" t="s">
        <v>6779</v>
      </c>
      <c r="C1500" s="423" t="s">
        <v>6687</v>
      </c>
      <c r="D1500" s="423" t="s">
        <v>6763</v>
      </c>
      <c r="E1500" s="423" t="s">
        <v>236</v>
      </c>
      <c r="F1500" s="423">
        <v>64</v>
      </c>
      <c r="G1500" s="423">
        <v>36</v>
      </c>
      <c r="H1500" s="423">
        <v>1100</v>
      </c>
      <c r="J1500" s="423"/>
      <c r="K1500" s="423"/>
      <c r="L1500" s="423"/>
      <c r="M1500" s="423"/>
      <c r="Q1500" s="423"/>
      <c r="R1500" s="424" t="s">
        <v>6780</v>
      </c>
      <c r="S1500" s="424" t="s">
        <v>2846</v>
      </c>
      <c r="T1500" s="424" t="s">
        <v>3356</v>
      </c>
      <c r="U1500" s="424">
        <v>0</v>
      </c>
      <c r="V1500" s="424" t="s">
        <v>3074</v>
      </c>
      <c r="W1500" s="424" t="s">
        <v>3176</v>
      </c>
      <c r="X1500" s="424" t="s">
        <v>2224</v>
      </c>
      <c r="Y1500" s="424" t="s">
        <v>2279</v>
      </c>
      <c r="Z1500" s="424" t="s">
        <v>2889</v>
      </c>
      <c r="AA1500" s="424" t="s">
        <v>2890</v>
      </c>
      <c r="AB1500" s="424" t="s">
        <v>6781</v>
      </c>
      <c r="AC1500" s="424" t="s">
        <v>1953</v>
      </c>
      <c r="AD1500" s="424" t="s">
        <v>2892</v>
      </c>
      <c r="AE1500" s="424" t="s">
        <v>6772</v>
      </c>
      <c r="AF1500" s="424"/>
      <c r="AG1500" s="424"/>
      <c r="AH1500" s="424"/>
    </row>
    <row r="1501" spans="1:34" x14ac:dyDescent="0.25">
      <c r="A1501" s="423" t="s">
        <v>2233</v>
      </c>
      <c r="B1501" s="423" t="s">
        <v>6782</v>
      </c>
      <c r="C1501" s="423" t="s">
        <v>6687</v>
      </c>
      <c r="D1501" s="423" t="s">
        <v>6763</v>
      </c>
      <c r="E1501" s="423" t="s">
        <v>236</v>
      </c>
      <c r="F1501" s="423">
        <v>64</v>
      </c>
      <c r="G1501" s="423">
        <v>36</v>
      </c>
      <c r="H1501" s="423">
        <v>1100</v>
      </c>
      <c r="J1501" s="423"/>
      <c r="K1501" s="423"/>
      <c r="L1501" s="423"/>
      <c r="M1501" s="423"/>
      <c r="Q1501" s="423"/>
      <c r="R1501" s="424" t="s">
        <v>6783</v>
      </c>
      <c r="S1501" s="424" t="s">
        <v>2846</v>
      </c>
      <c r="T1501" s="424" t="s">
        <v>3356</v>
      </c>
      <c r="U1501" s="424">
        <v>0</v>
      </c>
      <c r="V1501" s="424" t="s">
        <v>3074</v>
      </c>
      <c r="W1501" s="424" t="s">
        <v>2974</v>
      </c>
      <c r="X1501" s="424" t="s">
        <v>2224</v>
      </c>
      <c r="Y1501" s="424" t="s">
        <v>2279</v>
      </c>
      <c r="Z1501" s="424" t="s">
        <v>2889</v>
      </c>
      <c r="AA1501" s="424" t="s">
        <v>2890</v>
      </c>
      <c r="AB1501" s="424" t="s">
        <v>5211</v>
      </c>
      <c r="AC1501" s="424" t="s">
        <v>1953</v>
      </c>
      <c r="AD1501" s="424" t="s">
        <v>2892</v>
      </c>
      <c r="AE1501" s="424" t="s">
        <v>4610</v>
      </c>
      <c r="AF1501" s="424"/>
      <c r="AG1501" s="424"/>
      <c r="AH1501" s="424"/>
    </row>
    <row r="1502" spans="1:34" x14ac:dyDescent="0.25">
      <c r="A1502" s="423" t="s">
        <v>2233</v>
      </c>
      <c r="B1502" s="423" t="s">
        <v>6784</v>
      </c>
      <c r="C1502" s="423" t="s">
        <v>6687</v>
      </c>
      <c r="D1502" s="423" t="s">
        <v>6763</v>
      </c>
      <c r="E1502" s="423" t="s">
        <v>236</v>
      </c>
      <c r="F1502" s="423">
        <v>64</v>
      </c>
      <c r="G1502" s="423">
        <v>36</v>
      </c>
      <c r="H1502" s="423">
        <v>1100</v>
      </c>
      <c r="J1502" s="423"/>
      <c r="K1502" s="423"/>
      <c r="L1502" s="423"/>
      <c r="M1502" s="423"/>
      <c r="Q1502" s="423"/>
      <c r="R1502" s="424" t="s">
        <v>6785</v>
      </c>
      <c r="S1502" s="424" t="s">
        <v>2846</v>
      </c>
      <c r="T1502" s="424" t="s">
        <v>3356</v>
      </c>
      <c r="U1502" s="424">
        <v>0</v>
      </c>
      <c r="V1502" s="424" t="s">
        <v>3074</v>
      </c>
      <c r="W1502" s="424" t="s">
        <v>3176</v>
      </c>
      <c r="X1502" s="424" t="s">
        <v>2224</v>
      </c>
      <c r="Y1502" s="424" t="s">
        <v>2279</v>
      </c>
      <c r="Z1502" s="424" t="s">
        <v>2889</v>
      </c>
      <c r="AA1502" s="424" t="s">
        <v>2890</v>
      </c>
      <c r="AB1502" s="424" t="s">
        <v>6786</v>
      </c>
      <c r="AC1502" s="424" t="s">
        <v>1953</v>
      </c>
      <c r="AD1502" s="424" t="s">
        <v>2892</v>
      </c>
      <c r="AE1502" s="424" t="s">
        <v>4679</v>
      </c>
      <c r="AF1502" s="424"/>
      <c r="AG1502" s="424"/>
      <c r="AH1502" s="424"/>
    </row>
    <row r="1503" spans="1:34" x14ac:dyDescent="0.25">
      <c r="A1503" s="423" t="s">
        <v>2233</v>
      </c>
      <c r="B1503" s="423" t="s">
        <v>6787</v>
      </c>
      <c r="C1503" s="423" t="s">
        <v>6687</v>
      </c>
      <c r="D1503" s="423" t="s">
        <v>6763</v>
      </c>
      <c r="E1503" s="423" t="s">
        <v>236</v>
      </c>
      <c r="F1503" s="423">
        <v>64</v>
      </c>
      <c r="G1503" s="423">
        <v>36</v>
      </c>
      <c r="H1503" s="423">
        <v>1100</v>
      </c>
      <c r="J1503" s="423"/>
      <c r="K1503" s="423"/>
      <c r="L1503" s="423"/>
      <c r="M1503" s="423"/>
      <c r="Q1503" s="423"/>
      <c r="R1503" s="424" t="s">
        <v>6788</v>
      </c>
      <c r="S1503" s="424" t="s">
        <v>2846</v>
      </c>
      <c r="T1503" s="424" t="s">
        <v>3356</v>
      </c>
      <c r="U1503" s="424">
        <v>0</v>
      </c>
      <c r="V1503" s="424" t="s">
        <v>3074</v>
      </c>
      <c r="W1503" s="424" t="s">
        <v>2974</v>
      </c>
      <c r="X1503" s="424" t="s">
        <v>2224</v>
      </c>
      <c r="Y1503" s="424" t="s">
        <v>2279</v>
      </c>
      <c r="Z1503" s="424" t="s">
        <v>2889</v>
      </c>
      <c r="AA1503" s="424" t="s">
        <v>2890</v>
      </c>
      <c r="AB1503" s="424" t="s">
        <v>4644</v>
      </c>
      <c r="AC1503" s="424" t="s">
        <v>1953</v>
      </c>
      <c r="AD1503" s="424" t="s">
        <v>2892</v>
      </c>
      <c r="AE1503" s="424" t="s">
        <v>4645</v>
      </c>
      <c r="AF1503" s="424"/>
      <c r="AG1503" s="424"/>
      <c r="AH1503" s="424"/>
    </row>
    <row r="1504" spans="1:34" x14ac:dyDescent="0.25">
      <c r="A1504" s="423" t="s">
        <v>2233</v>
      </c>
      <c r="B1504" s="423" t="s">
        <v>6789</v>
      </c>
      <c r="C1504" s="423" t="s">
        <v>6687</v>
      </c>
      <c r="D1504" s="423" t="s">
        <v>6763</v>
      </c>
      <c r="E1504" s="423" t="s">
        <v>236</v>
      </c>
      <c r="F1504" s="423">
        <v>66</v>
      </c>
      <c r="G1504" s="423">
        <v>64</v>
      </c>
      <c r="H1504" s="423">
        <v>1100</v>
      </c>
      <c r="J1504" s="423"/>
      <c r="K1504" s="423"/>
      <c r="L1504" s="423"/>
      <c r="M1504" s="423"/>
      <c r="Q1504" s="423"/>
      <c r="R1504" s="424" t="s">
        <v>6790</v>
      </c>
      <c r="S1504" s="424" t="s">
        <v>2846</v>
      </c>
      <c r="T1504" s="424" t="s">
        <v>3356</v>
      </c>
      <c r="U1504" s="424">
        <v>0</v>
      </c>
      <c r="V1504" s="424" t="s">
        <v>3074</v>
      </c>
      <c r="W1504" s="424" t="s">
        <v>3074</v>
      </c>
      <c r="X1504" s="424" t="s">
        <v>2224</v>
      </c>
      <c r="Y1504" s="424" t="s">
        <v>2279</v>
      </c>
      <c r="Z1504" s="424" t="s">
        <v>2889</v>
      </c>
      <c r="AA1504" s="424" t="s">
        <v>3197</v>
      </c>
      <c r="AB1504" s="424" t="s">
        <v>5939</v>
      </c>
      <c r="AC1504" s="424" t="s">
        <v>1953</v>
      </c>
      <c r="AD1504" s="424" t="s">
        <v>2829</v>
      </c>
      <c r="AE1504" s="424" t="s">
        <v>3243</v>
      </c>
      <c r="AF1504" s="424"/>
      <c r="AG1504" s="424"/>
      <c r="AH1504" s="424"/>
    </row>
    <row r="1505" spans="1:34" x14ac:dyDescent="0.25">
      <c r="A1505" s="423" t="s">
        <v>2233</v>
      </c>
      <c r="B1505" s="423" t="s">
        <v>6791</v>
      </c>
      <c r="C1505" s="423" t="s">
        <v>6687</v>
      </c>
      <c r="D1505" s="423" t="s">
        <v>6763</v>
      </c>
      <c r="E1505" s="423" t="s">
        <v>236</v>
      </c>
      <c r="F1505" s="423">
        <v>66</v>
      </c>
      <c r="G1505" s="423">
        <v>64</v>
      </c>
      <c r="H1505" s="423">
        <v>1100</v>
      </c>
      <c r="J1505" s="423"/>
      <c r="K1505" s="423"/>
      <c r="L1505" s="423"/>
      <c r="M1505" s="423"/>
      <c r="Q1505" s="423"/>
      <c r="R1505" s="424" t="s">
        <v>6792</v>
      </c>
      <c r="S1505" s="424" t="s">
        <v>2846</v>
      </c>
      <c r="T1505" s="424" t="s">
        <v>3356</v>
      </c>
      <c r="U1505" s="424">
        <v>0</v>
      </c>
      <c r="V1505" s="424" t="s">
        <v>3074</v>
      </c>
      <c r="W1505" s="424" t="s">
        <v>3074</v>
      </c>
      <c r="X1505" s="424" t="s">
        <v>2224</v>
      </c>
      <c r="Y1505" s="424" t="s">
        <v>2279</v>
      </c>
      <c r="Z1505" s="424" t="s">
        <v>2872</v>
      </c>
      <c r="AA1505" s="424" t="s">
        <v>3197</v>
      </c>
      <c r="AB1505" s="424" t="s">
        <v>3386</v>
      </c>
      <c r="AC1505" s="424" t="s">
        <v>1953</v>
      </c>
      <c r="AD1505" s="424" t="s">
        <v>2892</v>
      </c>
      <c r="AE1505" s="424" t="s">
        <v>3387</v>
      </c>
      <c r="AF1505" s="424"/>
      <c r="AG1505" s="424"/>
      <c r="AH1505" s="424"/>
    </row>
    <row r="1506" spans="1:34" x14ac:dyDescent="0.25">
      <c r="A1506" s="423" t="s">
        <v>2233</v>
      </c>
      <c r="B1506" s="423" t="s">
        <v>6793</v>
      </c>
      <c r="C1506" s="423" t="s">
        <v>6687</v>
      </c>
      <c r="D1506" s="423" t="s">
        <v>6763</v>
      </c>
      <c r="E1506" s="423" t="s">
        <v>236</v>
      </c>
      <c r="F1506" s="423">
        <v>66</v>
      </c>
      <c r="G1506" s="423">
        <v>64</v>
      </c>
      <c r="H1506" s="423">
        <v>1100</v>
      </c>
      <c r="J1506" s="423"/>
      <c r="K1506" s="423"/>
      <c r="L1506" s="423"/>
      <c r="M1506" s="423"/>
      <c r="Q1506" s="423"/>
      <c r="R1506" s="424" t="s">
        <v>6794</v>
      </c>
      <c r="S1506" s="424" t="s">
        <v>2846</v>
      </c>
      <c r="T1506" s="424" t="s">
        <v>3356</v>
      </c>
      <c r="U1506" s="424">
        <v>0</v>
      </c>
      <c r="V1506" s="424" t="s">
        <v>3074</v>
      </c>
      <c r="W1506" s="424" t="s">
        <v>3074</v>
      </c>
      <c r="X1506" s="424" t="s">
        <v>2224</v>
      </c>
      <c r="Y1506" s="424" t="s">
        <v>2279</v>
      </c>
      <c r="Z1506" s="424" t="s">
        <v>2889</v>
      </c>
      <c r="AA1506" s="424" t="s">
        <v>3197</v>
      </c>
      <c r="AB1506" s="424" t="s">
        <v>5952</v>
      </c>
      <c r="AC1506" s="424" t="s">
        <v>1953</v>
      </c>
      <c r="AD1506" s="424" t="s">
        <v>2829</v>
      </c>
      <c r="AE1506" s="424" t="s">
        <v>3243</v>
      </c>
      <c r="AF1506" s="424"/>
      <c r="AG1506" s="424"/>
      <c r="AH1506" s="424"/>
    </row>
    <row r="1507" spans="1:34" x14ac:dyDescent="0.25">
      <c r="A1507" s="423" t="s">
        <v>2233</v>
      </c>
      <c r="B1507" s="423" t="s">
        <v>6795</v>
      </c>
      <c r="C1507" s="423" t="s">
        <v>6687</v>
      </c>
      <c r="D1507" s="423" t="s">
        <v>6763</v>
      </c>
      <c r="E1507" s="423" t="s">
        <v>236</v>
      </c>
      <c r="F1507" s="423">
        <v>54</v>
      </c>
      <c r="G1507" s="423">
        <v>56</v>
      </c>
      <c r="H1507" s="423">
        <v>1100</v>
      </c>
      <c r="J1507" s="423"/>
      <c r="K1507" s="423"/>
      <c r="L1507" s="423"/>
      <c r="M1507" s="423"/>
      <c r="Q1507" s="423"/>
      <c r="R1507" s="424" t="s">
        <v>6796</v>
      </c>
      <c r="S1507" s="424" t="s">
        <v>2846</v>
      </c>
      <c r="T1507" s="424" t="s">
        <v>3356</v>
      </c>
      <c r="U1507" s="424">
        <v>0</v>
      </c>
      <c r="V1507" s="424" t="s">
        <v>3074</v>
      </c>
      <c r="W1507" s="424" t="s">
        <v>2974</v>
      </c>
      <c r="X1507" s="424" t="s">
        <v>2224</v>
      </c>
      <c r="Y1507" s="424" t="s">
        <v>2279</v>
      </c>
      <c r="Z1507" s="424" t="s">
        <v>2889</v>
      </c>
      <c r="AA1507" s="424" t="s">
        <v>2890</v>
      </c>
      <c r="AB1507" s="424" t="s">
        <v>4682</v>
      </c>
      <c r="AC1507" s="424" t="s">
        <v>1953</v>
      </c>
      <c r="AD1507" s="424" t="s">
        <v>2892</v>
      </c>
      <c r="AE1507" s="424" t="s">
        <v>4645</v>
      </c>
      <c r="AF1507" s="424"/>
      <c r="AG1507" s="424"/>
      <c r="AH1507" s="424"/>
    </row>
    <row r="1508" spans="1:34" x14ac:dyDescent="0.25">
      <c r="A1508" s="423" t="s">
        <v>2233</v>
      </c>
      <c r="B1508" s="423" t="s">
        <v>6797</v>
      </c>
      <c r="C1508" s="423" t="s">
        <v>6687</v>
      </c>
      <c r="D1508" s="423" t="s">
        <v>6763</v>
      </c>
      <c r="E1508" s="423" t="s">
        <v>236</v>
      </c>
      <c r="F1508" s="423">
        <v>54</v>
      </c>
      <c r="G1508" s="423">
        <v>56</v>
      </c>
      <c r="H1508" s="423">
        <v>1100</v>
      </c>
      <c r="J1508" s="423"/>
      <c r="K1508" s="423"/>
      <c r="L1508" s="423"/>
      <c r="M1508" s="423"/>
      <c r="Q1508" s="423"/>
      <c r="R1508" s="424" t="s">
        <v>6798</v>
      </c>
      <c r="S1508" s="424" t="s">
        <v>2846</v>
      </c>
      <c r="T1508" s="424" t="s">
        <v>3356</v>
      </c>
      <c r="U1508" s="424">
        <v>0</v>
      </c>
      <c r="V1508" s="424" t="s">
        <v>3074</v>
      </c>
      <c r="W1508" s="424" t="s">
        <v>3176</v>
      </c>
      <c r="X1508" s="424" t="s">
        <v>2224</v>
      </c>
      <c r="Y1508" s="424" t="s">
        <v>2279</v>
      </c>
      <c r="Z1508" s="424" t="s">
        <v>2889</v>
      </c>
      <c r="AA1508" s="424" t="s">
        <v>2890</v>
      </c>
      <c r="AB1508" s="424" t="s">
        <v>6799</v>
      </c>
      <c r="AC1508" s="424" t="s">
        <v>1953</v>
      </c>
      <c r="AD1508" s="424" t="s">
        <v>2892</v>
      </c>
      <c r="AE1508" s="424" t="s">
        <v>4679</v>
      </c>
      <c r="AF1508" s="424"/>
      <c r="AG1508" s="424"/>
      <c r="AH1508" s="424"/>
    </row>
    <row r="1509" spans="1:34" x14ac:dyDescent="0.25">
      <c r="A1509" s="423" t="s">
        <v>2233</v>
      </c>
      <c r="B1509" s="423" t="s">
        <v>6800</v>
      </c>
      <c r="C1509" s="423" t="s">
        <v>6687</v>
      </c>
      <c r="D1509" s="423" t="s">
        <v>6763</v>
      </c>
      <c r="E1509" s="423" t="s">
        <v>236</v>
      </c>
      <c r="F1509" s="423">
        <v>54</v>
      </c>
      <c r="G1509" s="423">
        <v>56</v>
      </c>
      <c r="H1509" s="423">
        <v>1100</v>
      </c>
      <c r="J1509" s="423"/>
      <c r="K1509" s="423"/>
      <c r="L1509" s="423"/>
      <c r="M1509" s="423"/>
      <c r="Q1509" s="423"/>
      <c r="R1509" s="424" t="s">
        <v>6801</v>
      </c>
      <c r="S1509" s="424" t="s">
        <v>2846</v>
      </c>
      <c r="T1509" s="424" t="s">
        <v>3356</v>
      </c>
      <c r="U1509" s="424">
        <v>0</v>
      </c>
      <c r="V1509" s="424" t="s">
        <v>3074</v>
      </c>
      <c r="W1509" s="424" t="s">
        <v>2871</v>
      </c>
      <c r="X1509" s="424" t="s">
        <v>2224</v>
      </c>
      <c r="Y1509" s="424" t="s">
        <v>2279</v>
      </c>
      <c r="Z1509" s="424" t="s">
        <v>2889</v>
      </c>
      <c r="AA1509" s="424" t="s">
        <v>2890</v>
      </c>
      <c r="AB1509" s="424" t="s">
        <v>4630</v>
      </c>
      <c r="AC1509" s="424" t="s">
        <v>1953</v>
      </c>
      <c r="AD1509" s="424" t="s">
        <v>2892</v>
      </c>
      <c r="AE1509" s="424" t="s">
        <v>4631</v>
      </c>
      <c r="AF1509" s="424"/>
      <c r="AG1509" s="424"/>
      <c r="AH1509" s="424"/>
    </row>
    <row r="1510" spans="1:34" x14ac:dyDescent="0.25">
      <c r="A1510" s="423" t="s">
        <v>2233</v>
      </c>
      <c r="B1510" s="423" t="s">
        <v>6802</v>
      </c>
      <c r="C1510" s="423" t="s">
        <v>6687</v>
      </c>
      <c r="D1510" s="423" t="s">
        <v>6763</v>
      </c>
      <c r="E1510" s="423" t="s">
        <v>236</v>
      </c>
      <c r="F1510" s="423">
        <v>54</v>
      </c>
      <c r="G1510" s="423">
        <v>56</v>
      </c>
      <c r="H1510" s="423">
        <v>1100</v>
      </c>
      <c r="J1510" s="423"/>
      <c r="K1510" s="423"/>
      <c r="L1510" s="423"/>
      <c r="M1510" s="423"/>
      <c r="Q1510" s="423"/>
      <c r="R1510" s="424" t="s">
        <v>6803</v>
      </c>
      <c r="S1510" s="424" t="s">
        <v>2846</v>
      </c>
      <c r="T1510" s="424" t="s">
        <v>3356</v>
      </c>
      <c r="U1510" s="424">
        <v>0</v>
      </c>
      <c r="V1510" s="424" t="s">
        <v>3074</v>
      </c>
      <c r="W1510" s="424" t="s">
        <v>3176</v>
      </c>
      <c r="X1510" s="424" t="s">
        <v>2224</v>
      </c>
      <c r="Y1510" s="424" t="s">
        <v>2279</v>
      </c>
      <c r="Z1510" s="424" t="s">
        <v>2889</v>
      </c>
      <c r="AA1510" s="424" t="s">
        <v>2890</v>
      </c>
      <c r="AB1510" s="424" t="s">
        <v>6771</v>
      </c>
      <c r="AC1510" s="424" t="s">
        <v>1953</v>
      </c>
      <c r="AD1510" s="424" t="s">
        <v>2892</v>
      </c>
      <c r="AE1510" s="424" t="s">
        <v>6772</v>
      </c>
      <c r="AF1510" s="424"/>
      <c r="AG1510" s="424"/>
      <c r="AH1510" s="424"/>
    </row>
    <row r="1511" spans="1:34" x14ac:dyDescent="0.25">
      <c r="A1511" s="423" t="s">
        <v>2233</v>
      </c>
      <c r="B1511" s="423" t="s">
        <v>6804</v>
      </c>
      <c r="C1511" s="423" t="s">
        <v>6687</v>
      </c>
      <c r="D1511" s="423" t="s">
        <v>6763</v>
      </c>
      <c r="E1511" s="423" t="s">
        <v>236</v>
      </c>
      <c r="F1511" s="423">
        <v>94</v>
      </c>
      <c r="G1511" s="423">
        <v>80</v>
      </c>
      <c r="H1511" s="423">
        <v>1600</v>
      </c>
      <c r="J1511" s="423"/>
      <c r="K1511" s="423"/>
      <c r="L1511" s="423"/>
      <c r="M1511" s="423"/>
      <c r="Q1511" s="423"/>
      <c r="R1511" s="424" t="s">
        <v>6805</v>
      </c>
      <c r="S1511" s="424" t="s">
        <v>2846</v>
      </c>
      <c r="T1511" s="424" t="s">
        <v>3356</v>
      </c>
      <c r="U1511" s="424">
        <v>0</v>
      </c>
      <c r="V1511" s="424" t="s">
        <v>3074</v>
      </c>
      <c r="W1511" s="424" t="s">
        <v>3074</v>
      </c>
      <c r="X1511" s="424" t="s">
        <v>2224</v>
      </c>
      <c r="Y1511" s="424" t="s">
        <v>2279</v>
      </c>
      <c r="Z1511" s="424" t="s">
        <v>2872</v>
      </c>
      <c r="AA1511" s="424" t="s">
        <v>3197</v>
      </c>
      <c r="AB1511" s="424" t="s">
        <v>3399</v>
      </c>
      <c r="AC1511" s="424" t="s">
        <v>1953</v>
      </c>
      <c r="AD1511" s="424" t="s">
        <v>2892</v>
      </c>
      <c r="AE1511" s="424" t="s">
        <v>3387</v>
      </c>
      <c r="AF1511" s="424"/>
      <c r="AG1511" s="424"/>
      <c r="AH1511" s="424"/>
    </row>
    <row r="1512" spans="1:34" x14ac:dyDescent="0.25">
      <c r="A1512" s="423" t="s">
        <v>2233</v>
      </c>
      <c r="B1512" s="423" t="s">
        <v>6806</v>
      </c>
      <c r="C1512" s="423" t="s">
        <v>6687</v>
      </c>
      <c r="D1512" s="423" t="s">
        <v>6763</v>
      </c>
      <c r="E1512" s="423" t="s">
        <v>236</v>
      </c>
      <c r="F1512" s="423">
        <v>94</v>
      </c>
      <c r="G1512" s="423">
        <v>80</v>
      </c>
      <c r="H1512" s="423">
        <v>1600</v>
      </c>
      <c r="J1512" s="423"/>
      <c r="K1512" s="423"/>
      <c r="L1512" s="423"/>
      <c r="M1512" s="423"/>
      <c r="Q1512" s="423"/>
      <c r="R1512" s="424" t="s">
        <v>6807</v>
      </c>
      <c r="S1512" s="424" t="s">
        <v>2846</v>
      </c>
      <c r="T1512" s="424" t="s">
        <v>3356</v>
      </c>
      <c r="U1512" s="424">
        <v>0</v>
      </c>
      <c r="V1512" s="424" t="s">
        <v>3074</v>
      </c>
      <c r="W1512" s="424" t="s">
        <v>3074</v>
      </c>
      <c r="X1512" s="424" t="s">
        <v>2224</v>
      </c>
      <c r="Y1512" s="424" t="s">
        <v>2279</v>
      </c>
      <c r="Z1512" s="424" t="s">
        <v>2872</v>
      </c>
      <c r="AA1512" s="424" t="s">
        <v>3197</v>
      </c>
      <c r="AB1512" s="424" t="s">
        <v>3784</v>
      </c>
      <c r="AC1512" s="424" t="s">
        <v>1953</v>
      </c>
      <c r="AD1512" s="424" t="s">
        <v>2892</v>
      </c>
      <c r="AE1512" s="424" t="s">
        <v>3387</v>
      </c>
      <c r="AF1512" s="424"/>
      <c r="AG1512" s="424"/>
      <c r="AH1512" s="424"/>
    </row>
    <row r="1513" spans="1:34" x14ac:dyDescent="0.25">
      <c r="A1513" s="423" t="s">
        <v>2233</v>
      </c>
      <c r="B1513" s="423" t="s">
        <v>6808</v>
      </c>
      <c r="C1513" s="423" t="s">
        <v>6687</v>
      </c>
      <c r="D1513" s="423" t="s">
        <v>6763</v>
      </c>
      <c r="E1513" s="423" t="s">
        <v>236</v>
      </c>
      <c r="F1513" s="423">
        <v>94</v>
      </c>
      <c r="G1513" s="423">
        <v>80</v>
      </c>
      <c r="H1513" s="423">
        <v>1600</v>
      </c>
      <c r="J1513" s="423"/>
      <c r="K1513" s="423"/>
      <c r="L1513" s="423"/>
      <c r="M1513" s="423"/>
      <c r="Q1513" s="423"/>
      <c r="R1513" s="424" t="s">
        <v>6809</v>
      </c>
      <c r="S1513" s="424" t="s">
        <v>2846</v>
      </c>
      <c r="T1513" s="424" t="s">
        <v>3356</v>
      </c>
      <c r="U1513" s="424">
        <v>0</v>
      </c>
      <c r="V1513" s="424" t="s">
        <v>3074</v>
      </c>
      <c r="W1513" s="424" t="s">
        <v>3074</v>
      </c>
      <c r="X1513" s="424" t="s">
        <v>2224</v>
      </c>
      <c r="Y1513" s="424" t="s">
        <v>2279</v>
      </c>
      <c r="Z1513" s="424" t="s">
        <v>2872</v>
      </c>
      <c r="AA1513" s="424" t="s">
        <v>3197</v>
      </c>
      <c r="AB1513" s="424" t="s">
        <v>3399</v>
      </c>
      <c r="AC1513" s="424" t="s">
        <v>1953</v>
      </c>
      <c r="AD1513" s="424" t="s">
        <v>2892</v>
      </c>
      <c r="AE1513" s="424" t="s">
        <v>3387</v>
      </c>
      <c r="AF1513" s="424"/>
      <c r="AG1513" s="424"/>
      <c r="AH1513" s="424"/>
    </row>
    <row r="1514" spans="1:34" x14ac:dyDescent="0.25">
      <c r="A1514" s="423" t="s">
        <v>6810</v>
      </c>
      <c r="B1514" s="423" t="s">
        <v>6811</v>
      </c>
      <c r="C1514" s="423" t="s">
        <v>6687</v>
      </c>
      <c r="D1514" s="423" t="s">
        <v>6763</v>
      </c>
      <c r="E1514" s="423" t="s">
        <v>236</v>
      </c>
      <c r="F1514" s="423">
        <v>50</v>
      </c>
      <c r="G1514" s="423">
        <v>51</v>
      </c>
      <c r="H1514" s="423">
        <v>700</v>
      </c>
      <c r="J1514" s="423"/>
      <c r="K1514" s="423"/>
      <c r="L1514" s="423"/>
      <c r="M1514" s="423"/>
      <c r="Q1514" s="423"/>
      <c r="R1514" s="424" t="s">
        <v>6812</v>
      </c>
      <c r="S1514" s="424" t="s">
        <v>2846</v>
      </c>
      <c r="T1514" s="424" t="s">
        <v>2870</v>
      </c>
      <c r="U1514" s="424">
        <v>0</v>
      </c>
      <c r="V1514" s="424" t="s">
        <v>3074</v>
      </c>
      <c r="W1514" s="424" t="s">
        <v>2974</v>
      </c>
      <c r="X1514" s="424" t="s">
        <v>2224</v>
      </c>
      <c r="Y1514" s="424" t="s">
        <v>2279</v>
      </c>
      <c r="Z1514" s="424" t="s">
        <v>2889</v>
      </c>
      <c r="AA1514" s="424" t="s">
        <v>2890</v>
      </c>
      <c r="AB1514" s="424" t="s">
        <v>6748</v>
      </c>
      <c r="AC1514" s="424" t="s">
        <v>1953</v>
      </c>
      <c r="AD1514" s="424" t="s">
        <v>2892</v>
      </c>
      <c r="AE1514" s="424" t="s">
        <v>2930</v>
      </c>
      <c r="AF1514" s="424"/>
      <c r="AG1514" s="424"/>
      <c r="AH1514" s="424"/>
    </row>
    <row r="1515" spans="1:34" x14ac:dyDescent="0.25">
      <c r="A1515" s="423" t="s">
        <v>6810</v>
      </c>
      <c r="B1515" s="423" t="s">
        <v>6813</v>
      </c>
      <c r="C1515" s="423" t="s">
        <v>6687</v>
      </c>
      <c r="D1515" s="423" t="s">
        <v>6763</v>
      </c>
      <c r="E1515" s="423" t="s">
        <v>236</v>
      </c>
      <c r="F1515" s="423">
        <v>50</v>
      </c>
      <c r="G1515" s="423">
        <v>51</v>
      </c>
      <c r="H1515" s="423">
        <v>700</v>
      </c>
      <c r="J1515" s="423"/>
      <c r="K1515" s="423"/>
      <c r="L1515" s="423"/>
      <c r="M1515" s="423"/>
      <c r="Q1515" s="423"/>
      <c r="R1515" s="424" t="s">
        <v>6814</v>
      </c>
      <c r="S1515" s="424" t="s">
        <v>2846</v>
      </c>
      <c r="T1515" s="424" t="s">
        <v>2870</v>
      </c>
      <c r="U1515" s="424">
        <v>0</v>
      </c>
      <c r="V1515" s="424" t="s">
        <v>3074</v>
      </c>
      <c r="W1515" s="424" t="s">
        <v>2974</v>
      </c>
      <c r="X1515" s="424" t="s">
        <v>2224</v>
      </c>
      <c r="Y1515" s="424" t="s">
        <v>2279</v>
      </c>
      <c r="Z1515" s="424" t="s">
        <v>2889</v>
      </c>
      <c r="AA1515" s="424" t="s">
        <v>2890</v>
      </c>
      <c r="AB1515" s="424" t="s">
        <v>2939</v>
      </c>
      <c r="AC1515" s="424" t="s">
        <v>1953</v>
      </c>
      <c r="AD1515" s="424" t="s">
        <v>2892</v>
      </c>
      <c r="AE1515" s="424" t="s">
        <v>2940</v>
      </c>
      <c r="AF1515" s="424"/>
      <c r="AG1515" s="424"/>
      <c r="AH1515" s="424"/>
    </row>
    <row r="1516" spans="1:34" x14ac:dyDescent="0.25">
      <c r="A1516" s="423" t="s">
        <v>6810</v>
      </c>
      <c r="B1516" s="423" t="s">
        <v>6815</v>
      </c>
      <c r="C1516" s="423" t="s">
        <v>6687</v>
      </c>
      <c r="D1516" s="423" t="s">
        <v>6763</v>
      </c>
      <c r="E1516" s="423" t="s">
        <v>236</v>
      </c>
      <c r="F1516" s="423">
        <v>50</v>
      </c>
      <c r="G1516" s="423">
        <v>51</v>
      </c>
      <c r="H1516" s="423">
        <v>700</v>
      </c>
      <c r="J1516" s="423"/>
      <c r="K1516" s="423"/>
      <c r="L1516" s="423"/>
      <c r="M1516" s="423"/>
      <c r="Q1516" s="423"/>
      <c r="R1516" s="424" t="s">
        <v>6816</v>
      </c>
      <c r="S1516" s="424" t="s">
        <v>2846</v>
      </c>
      <c r="T1516" s="424" t="s">
        <v>2870</v>
      </c>
      <c r="U1516" s="424">
        <v>0</v>
      </c>
      <c r="V1516" s="424" t="s">
        <v>3074</v>
      </c>
      <c r="W1516" s="424" t="s">
        <v>2871</v>
      </c>
      <c r="X1516" s="424" t="s">
        <v>2224</v>
      </c>
      <c r="Y1516" s="424" t="s">
        <v>2279</v>
      </c>
      <c r="Z1516" s="424" t="s">
        <v>2872</v>
      </c>
      <c r="AA1516" s="424" t="s">
        <v>2873</v>
      </c>
      <c r="AB1516" s="424" t="s">
        <v>3893</v>
      </c>
      <c r="AC1516" s="424" t="s">
        <v>1953</v>
      </c>
      <c r="AD1516" s="424" t="s">
        <v>2892</v>
      </c>
      <c r="AE1516" s="424" t="s">
        <v>2897</v>
      </c>
      <c r="AF1516" s="424"/>
      <c r="AG1516" s="424"/>
      <c r="AH1516" s="424"/>
    </row>
    <row r="1517" spans="1:34" x14ac:dyDescent="0.25">
      <c r="A1517" s="423" t="s">
        <v>6810</v>
      </c>
      <c r="B1517" s="423" t="s">
        <v>6817</v>
      </c>
      <c r="C1517" s="423" t="s">
        <v>6687</v>
      </c>
      <c r="D1517" s="423" t="s">
        <v>6763</v>
      </c>
      <c r="E1517" s="423" t="s">
        <v>236</v>
      </c>
      <c r="F1517" s="423">
        <v>66</v>
      </c>
      <c r="G1517" s="423">
        <v>64</v>
      </c>
      <c r="H1517" s="423">
        <v>1100</v>
      </c>
      <c r="J1517" s="423"/>
      <c r="K1517" s="423"/>
      <c r="L1517" s="423"/>
      <c r="M1517" s="423"/>
      <c r="Q1517" s="423"/>
      <c r="R1517" s="424" t="s">
        <v>6818</v>
      </c>
      <c r="S1517" s="424" t="s">
        <v>2846</v>
      </c>
      <c r="T1517" s="424" t="s">
        <v>2870</v>
      </c>
      <c r="U1517" s="424">
        <v>0</v>
      </c>
      <c r="V1517" s="424" t="s">
        <v>3074</v>
      </c>
      <c r="W1517" s="424" t="s">
        <v>2974</v>
      </c>
      <c r="X1517" s="424" t="s">
        <v>2224</v>
      </c>
      <c r="Y1517" s="424" t="s">
        <v>2279</v>
      </c>
      <c r="Z1517" s="424" t="s">
        <v>2889</v>
      </c>
      <c r="AA1517" s="424" t="s">
        <v>2890</v>
      </c>
      <c r="AB1517" s="424" t="s">
        <v>6740</v>
      </c>
      <c r="AC1517" s="424" t="s">
        <v>1953</v>
      </c>
      <c r="AD1517" s="424" t="s">
        <v>2892</v>
      </c>
      <c r="AE1517" s="424" t="s">
        <v>2930</v>
      </c>
      <c r="AF1517" s="424"/>
      <c r="AG1517" s="424"/>
      <c r="AH1517" s="424"/>
    </row>
    <row r="1518" spans="1:34" x14ac:dyDescent="0.25">
      <c r="A1518" s="423" t="s">
        <v>6810</v>
      </c>
      <c r="B1518" s="423" t="s">
        <v>6819</v>
      </c>
      <c r="C1518" s="423" t="s">
        <v>6687</v>
      </c>
      <c r="D1518" s="423" t="s">
        <v>6763</v>
      </c>
      <c r="E1518" s="423" t="s">
        <v>236</v>
      </c>
      <c r="F1518" s="423">
        <v>66</v>
      </c>
      <c r="G1518" s="423">
        <v>64</v>
      </c>
      <c r="H1518" s="423">
        <v>1100</v>
      </c>
      <c r="J1518" s="423"/>
      <c r="K1518" s="423"/>
      <c r="L1518" s="423"/>
      <c r="M1518" s="423"/>
      <c r="Q1518" s="423"/>
      <c r="R1518" s="424" t="s">
        <v>6820</v>
      </c>
      <c r="S1518" s="424" t="s">
        <v>2846</v>
      </c>
      <c r="T1518" s="424" t="s">
        <v>2870</v>
      </c>
      <c r="U1518" s="424">
        <v>0</v>
      </c>
      <c r="V1518" s="424" t="s">
        <v>3074</v>
      </c>
      <c r="W1518" s="424" t="s">
        <v>3074</v>
      </c>
      <c r="X1518" s="424" t="s">
        <v>2224</v>
      </c>
      <c r="Y1518" s="424" t="s">
        <v>2279</v>
      </c>
      <c r="Z1518" s="424" t="s">
        <v>2872</v>
      </c>
      <c r="AA1518" s="424" t="s">
        <v>2873</v>
      </c>
      <c r="AB1518" s="424" t="s">
        <v>4792</v>
      </c>
      <c r="AC1518" s="424" t="s">
        <v>1953</v>
      </c>
      <c r="AD1518" s="424" t="s">
        <v>2892</v>
      </c>
      <c r="AE1518" s="424" t="s">
        <v>4459</v>
      </c>
      <c r="AF1518" s="424"/>
      <c r="AG1518" s="424"/>
      <c r="AH1518" s="424"/>
    </row>
    <row r="1519" spans="1:34" x14ac:dyDescent="0.25">
      <c r="A1519" s="423" t="s">
        <v>6810</v>
      </c>
      <c r="B1519" s="423" t="s">
        <v>6821</v>
      </c>
      <c r="C1519" s="423" t="s">
        <v>6687</v>
      </c>
      <c r="D1519" s="423" t="s">
        <v>6763</v>
      </c>
      <c r="E1519" s="423" t="s">
        <v>236</v>
      </c>
      <c r="F1519" s="423">
        <v>66</v>
      </c>
      <c r="G1519" s="423">
        <v>64</v>
      </c>
      <c r="H1519" s="423">
        <v>1100</v>
      </c>
      <c r="J1519" s="423"/>
      <c r="K1519" s="423"/>
      <c r="L1519" s="423"/>
      <c r="M1519" s="423"/>
      <c r="Q1519" s="423"/>
      <c r="R1519" s="424" t="s">
        <v>6822</v>
      </c>
      <c r="S1519" s="424" t="s">
        <v>2846</v>
      </c>
      <c r="T1519" s="424" t="s">
        <v>2870</v>
      </c>
      <c r="U1519" s="424">
        <v>0</v>
      </c>
      <c r="V1519" s="424" t="s">
        <v>3074</v>
      </c>
      <c r="W1519" s="424" t="s">
        <v>2974</v>
      </c>
      <c r="X1519" s="424" t="s">
        <v>2224</v>
      </c>
      <c r="Y1519" s="424" t="s">
        <v>2279</v>
      </c>
      <c r="Z1519" s="424" t="s">
        <v>2889</v>
      </c>
      <c r="AA1519" s="424" t="s">
        <v>2890</v>
      </c>
      <c r="AB1519" s="424" t="s">
        <v>2939</v>
      </c>
      <c r="AC1519" s="424" t="s">
        <v>1953</v>
      </c>
      <c r="AD1519" s="424" t="s">
        <v>2892</v>
      </c>
      <c r="AE1519" s="424" t="s">
        <v>2940</v>
      </c>
      <c r="AF1519" s="424"/>
      <c r="AG1519" s="424"/>
      <c r="AH1519" s="424"/>
    </row>
    <row r="1520" spans="1:34" x14ac:dyDescent="0.25">
      <c r="A1520" s="423" t="s">
        <v>6810</v>
      </c>
      <c r="B1520" s="423" t="s">
        <v>6823</v>
      </c>
      <c r="C1520" s="423" t="s">
        <v>6687</v>
      </c>
      <c r="D1520" s="423" t="s">
        <v>6763</v>
      </c>
      <c r="E1520" s="423" t="s">
        <v>236</v>
      </c>
      <c r="F1520" s="423">
        <v>64</v>
      </c>
      <c r="G1520" s="423">
        <v>36</v>
      </c>
      <c r="H1520" s="423">
        <v>1100</v>
      </c>
      <c r="J1520" s="423"/>
      <c r="K1520" s="423"/>
      <c r="L1520" s="423"/>
      <c r="M1520" s="423"/>
      <c r="Q1520" s="423"/>
      <c r="R1520" s="424" t="s">
        <v>6824</v>
      </c>
      <c r="S1520" s="424" t="s">
        <v>2846</v>
      </c>
      <c r="T1520" s="424" t="s">
        <v>2870</v>
      </c>
      <c r="U1520" s="424">
        <v>0</v>
      </c>
      <c r="V1520" s="424" t="s">
        <v>3074</v>
      </c>
      <c r="W1520" s="424" t="s">
        <v>3074</v>
      </c>
      <c r="X1520" s="424" t="s">
        <v>2224</v>
      </c>
      <c r="Y1520" s="424" t="s">
        <v>2279</v>
      </c>
      <c r="Z1520" s="424" t="s">
        <v>2872</v>
      </c>
      <c r="AA1520" s="424" t="s">
        <v>2873</v>
      </c>
      <c r="AB1520" s="424" t="s">
        <v>4988</v>
      </c>
      <c r="AC1520" s="424" t="s">
        <v>1953</v>
      </c>
      <c r="AD1520" s="424" t="s">
        <v>2892</v>
      </c>
      <c r="AE1520" s="424" t="s">
        <v>4459</v>
      </c>
      <c r="AF1520" s="424"/>
      <c r="AG1520" s="424"/>
      <c r="AH1520" s="424"/>
    </row>
    <row r="1521" spans="1:34" x14ac:dyDescent="0.25">
      <c r="A1521" s="423" t="s">
        <v>6810</v>
      </c>
      <c r="B1521" s="423" t="s">
        <v>6825</v>
      </c>
      <c r="C1521" s="423" t="s">
        <v>6687</v>
      </c>
      <c r="D1521" s="423" t="s">
        <v>6763</v>
      </c>
      <c r="E1521" s="423" t="s">
        <v>236</v>
      </c>
      <c r="F1521" s="423">
        <v>64</v>
      </c>
      <c r="G1521" s="423">
        <v>36</v>
      </c>
      <c r="H1521" s="423">
        <v>1100</v>
      </c>
      <c r="J1521" s="423"/>
      <c r="K1521" s="423"/>
      <c r="L1521" s="423"/>
      <c r="M1521" s="423"/>
      <c r="Q1521" s="423"/>
      <c r="R1521" s="424" t="s">
        <v>6826</v>
      </c>
      <c r="S1521" s="424" t="s">
        <v>2846</v>
      </c>
      <c r="T1521" s="424" t="s">
        <v>2870</v>
      </c>
      <c r="U1521" s="424">
        <v>0</v>
      </c>
      <c r="V1521" s="424" t="s">
        <v>3074</v>
      </c>
      <c r="W1521" s="424" t="s">
        <v>3074</v>
      </c>
      <c r="X1521" s="424" t="s">
        <v>2224</v>
      </c>
      <c r="Y1521" s="424" t="s">
        <v>2279</v>
      </c>
      <c r="Z1521" s="424" t="s">
        <v>2872</v>
      </c>
      <c r="AA1521" s="424" t="s">
        <v>2873</v>
      </c>
      <c r="AB1521" s="424" t="s">
        <v>6827</v>
      </c>
      <c r="AC1521" s="424" t="s">
        <v>1953</v>
      </c>
      <c r="AD1521" s="424" t="s">
        <v>2892</v>
      </c>
      <c r="AE1521" s="424" t="s">
        <v>4459</v>
      </c>
      <c r="AF1521" s="424"/>
      <c r="AG1521" s="424"/>
      <c r="AH1521" s="424"/>
    </row>
    <row r="1522" spans="1:34" x14ac:dyDescent="0.25">
      <c r="A1522" s="423" t="s">
        <v>6810</v>
      </c>
      <c r="B1522" s="423" t="s">
        <v>6828</v>
      </c>
      <c r="C1522" s="423" t="s">
        <v>6687</v>
      </c>
      <c r="D1522" s="423" t="s">
        <v>6763</v>
      </c>
      <c r="E1522" s="423" t="s">
        <v>236</v>
      </c>
      <c r="F1522" s="423">
        <v>64</v>
      </c>
      <c r="G1522" s="423">
        <v>36</v>
      </c>
      <c r="H1522" s="423">
        <v>1100</v>
      </c>
      <c r="J1522" s="423"/>
      <c r="K1522" s="423"/>
      <c r="L1522" s="423"/>
      <c r="M1522" s="423"/>
      <c r="Q1522" s="423"/>
      <c r="R1522" s="424" t="s">
        <v>6829</v>
      </c>
      <c r="S1522" s="424" t="s">
        <v>2846</v>
      </c>
      <c r="T1522" s="424" t="s">
        <v>2870</v>
      </c>
      <c r="U1522" s="424">
        <v>0</v>
      </c>
      <c r="V1522" s="424" t="s">
        <v>3074</v>
      </c>
      <c r="W1522" s="424" t="s">
        <v>3074</v>
      </c>
      <c r="X1522" s="424" t="s">
        <v>2224</v>
      </c>
      <c r="Y1522" s="424" t="s">
        <v>2279</v>
      </c>
      <c r="Z1522" s="424" t="s">
        <v>2872</v>
      </c>
      <c r="AA1522" s="424" t="s">
        <v>2873</v>
      </c>
      <c r="AB1522" s="424" t="s">
        <v>4941</v>
      </c>
      <c r="AC1522" s="424" t="s">
        <v>1953</v>
      </c>
      <c r="AD1522" s="424" t="s">
        <v>2892</v>
      </c>
      <c r="AE1522" s="424" t="s">
        <v>4459</v>
      </c>
      <c r="AF1522" s="424"/>
      <c r="AG1522" s="424"/>
      <c r="AH1522" s="424"/>
    </row>
    <row r="1523" spans="1:34" x14ac:dyDescent="0.25">
      <c r="A1523" s="423" t="s">
        <v>6810</v>
      </c>
      <c r="B1523" s="423" t="s">
        <v>6830</v>
      </c>
      <c r="C1523" s="423" t="s">
        <v>6687</v>
      </c>
      <c r="D1523" s="423" t="s">
        <v>6763</v>
      </c>
      <c r="E1523" s="423" t="s">
        <v>236</v>
      </c>
      <c r="F1523" s="423">
        <v>54</v>
      </c>
      <c r="G1523" s="423">
        <v>56</v>
      </c>
      <c r="H1523" s="423">
        <v>1100</v>
      </c>
      <c r="J1523" s="423"/>
      <c r="K1523" s="423"/>
      <c r="L1523" s="423"/>
      <c r="M1523" s="423"/>
      <c r="Q1523" s="423"/>
      <c r="R1523" s="424" t="s">
        <v>6831</v>
      </c>
      <c r="S1523" s="424" t="s">
        <v>2846</v>
      </c>
      <c r="T1523" s="424" t="s">
        <v>2870</v>
      </c>
      <c r="U1523" s="424">
        <v>0</v>
      </c>
      <c r="V1523" s="424" t="s">
        <v>3074</v>
      </c>
      <c r="W1523" s="424" t="s">
        <v>3074</v>
      </c>
      <c r="X1523" s="424" t="s">
        <v>2224</v>
      </c>
      <c r="Y1523" s="424" t="s">
        <v>2279</v>
      </c>
      <c r="Z1523" s="424" t="s">
        <v>2872</v>
      </c>
      <c r="AA1523" s="424" t="s">
        <v>2873</v>
      </c>
      <c r="AB1523" s="424" t="s">
        <v>6832</v>
      </c>
      <c r="AC1523" s="424" t="s">
        <v>1953</v>
      </c>
      <c r="AD1523" s="424" t="s">
        <v>2892</v>
      </c>
      <c r="AE1523" s="424" t="s">
        <v>2968</v>
      </c>
      <c r="AF1523" s="424"/>
      <c r="AG1523" s="424"/>
      <c r="AH1523" s="424"/>
    </row>
    <row r="1524" spans="1:34" x14ac:dyDescent="0.25">
      <c r="A1524" s="423" t="s">
        <v>6810</v>
      </c>
      <c r="B1524" s="423" t="s">
        <v>6833</v>
      </c>
      <c r="C1524" s="423" t="s">
        <v>6687</v>
      </c>
      <c r="D1524" s="423" t="s">
        <v>6763</v>
      </c>
      <c r="E1524" s="423" t="s">
        <v>236</v>
      </c>
      <c r="F1524" s="423">
        <v>54</v>
      </c>
      <c r="G1524" s="423">
        <v>56</v>
      </c>
      <c r="H1524" s="423">
        <v>1100</v>
      </c>
      <c r="J1524" s="423"/>
      <c r="K1524" s="423"/>
      <c r="L1524" s="423"/>
      <c r="M1524" s="423"/>
      <c r="Q1524" s="423"/>
      <c r="R1524" s="424" t="s">
        <v>6834</v>
      </c>
      <c r="S1524" s="424" t="s">
        <v>2846</v>
      </c>
      <c r="T1524" s="424" t="s">
        <v>2870</v>
      </c>
      <c r="U1524" s="424">
        <v>0</v>
      </c>
      <c r="V1524" s="424" t="s">
        <v>3074</v>
      </c>
      <c r="W1524" s="424" t="s">
        <v>3074</v>
      </c>
      <c r="X1524" s="424" t="s">
        <v>2224</v>
      </c>
      <c r="Y1524" s="424" t="s">
        <v>2279</v>
      </c>
      <c r="Z1524" s="424" t="s">
        <v>2872</v>
      </c>
      <c r="AA1524" s="424" t="s">
        <v>2873</v>
      </c>
      <c r="AB1524" s="424" t="s">
        <v>6835</v>
      </c>
      <c r="AC1524" s="424" t="s">
        <v>1953</v>
      </c>
      <c r="AD1524" s="424" t="s">
        <v>2892</v>
      </c>
      <c r="AE1524" s="424" t="s">
        <v>2926</v>
      </c>
      <c r="AF1524" s="424"/>
      <c r="AG1524" s="424"/>
      <c r="AH1524" s="424"/>
    </row>
    <row r="1525" spans="1:34" x14ac:dyDescent="0.25">
      <c r="A1525" s="423" t="s">
        <v>6810</v>
      </c>
      <c r="B1525" s="423" t="s">
        <v>6836</v>
      </c>
      <c r="C1525" s="423" t="s">
        <v>6687</v>
      </c>
      <c r="D1525" s="423" t="s">
        <v>6763</v>
      </c>
      <c r="E1525" s="423" t="s">
        <v>236</v>
      </c>
      <c r="F1525" s="423">
        <v>54</v>
      </c>
      <c r="G1525" s="423">
        <v>56</v>
      </c>
      <c r="H1525" s="423">
        <v>1100</v>
      </c>
      <c r="J1525" s="423"/>
      <c r="K1525" s="423"/>
      <c r="L1525" s="423"/>
      <c r="M1525" s="423"/>
      <c r="Q1525" s="423"/>
      <c r="R1525" s="424" t="s">
        <v>6837</v>
      </c>
      <c r="S1525" s="424" t="s">
        <v>2846</v>
      </c>
      <c r="T1525" s="424" t="s">
        <v>2870</v>
      </c>
      <c r="U1525" s="424">
        <v>0</v>
      </c>
      <c r="V1525" s="424" t="s">
        <v>3074</v>
      </c>
      <c r="W1525" s="424" t="s">
        <v>3054</v>
      </c>
      <c r="X1525" s="424" t="s">
        <v>2224</v>
      </c>
      <c r="Y1525" s="424" t="s">
        <v>2279</v>
      </c>
      <c r="Z1525" s="424" t="s">
        <v>2848</v>
      </c>
      <c r="AA1525" s="424" t="s">
        <v>2855</v>
      </c>
      <c r="AB1525" s="424" t="s">
        <v>4583</v>
      </c>
      <c r="AC1525" s="424" t="s">
        <v>1953</v>
      </c>
      <c r="AD1525" s="424" t="s">
        <v>2851</v>
      </c>
      <c r="AE1525" s="424" t="s">
        <v>2901</v>
      </c>
      <c r="AF1525" s="424"/>
      <c r="AG1525" s="424"/>
      <c r="AH1525" s="424"/>
    </row>
    <row r="1526" spans="1:34" x14ac:dyDescent="0.25">
      <c r="A1526" s="423" t="s">
        <v>6810</v>
      </c>
      <c r="B1526" s="423" t="s">
        <v>6838</v>
      </c>
      <c r="C1526" s="423" t="s">
        <v>6687</v>
      </c>
      <c r="D1526" s="423" t="s">
        <v>6763</v>
      </c>
      <c r="E1526" s="423" t="s">
        <v>236</v>
      </c>
      <c r="F1526" s="423">
        <v>54</v>
      </c>
      <c r="G1526" s="423">
        <v>56</v>
      </c>
      <c r="H1526" s="423">
        <v>1100</v>
      </c>
      <c r="J1526" s="423"/>
      <c r="K1526" s="423"/>
      <c r="L1526" s="423"/>
      <c r="M1526" s="423"/>
      <c r="Q1526" s="423"/>
      <c r="R1526" s="424" t="s">
        <v>6839</v>
      </c>
      <c r="S1526" s="424" t="s">
        <v>2846</v>
      </c>
      <c r="T1526" s="424" t="s">
        <v>2870</v>
      </c>
      <c r="U1526" s="424">
        <v>0</v>
      </c>
      <c r="V1526" s="424" t="s">
        <v>3074</v>
      </c>
      <c r="W1526" s="424" t="s">
        <v>2974</v>
      </c>
      <c r="X1526" s="424" t="s">
        <v>2224</v>
      </c>
      <c r="Y1526" s="424" t="s">
        <v>2279</v>
      </c>
      <c r="Z1526" s="424" t="s">
        <v>2872</v>
      </c>
      <c r="AA1526" s="424" t="s">
        <v>2873</v>
      </c>
      <c r="AB1526" s="424" t="s">
        <v>6840</v>
      </c>
      <c r="AC1526" s="424" t="s">
        <v>1953</v>
      </c>
      <c r="AD1526" s="424" t="s">
        <v>2892</v>
      </c>
      <c r="AE1526" s="424" t="s">
        <v>4219</v>
      </c>
      <c r="AF1526" s="424"/>
      <c r="AG1526" s="424"/>
      <c r="AH1526" s="424"/>
    </row>
    <row r="1527" spans="1:34" x14ac:dyDescent="0.25">
      <c r="A1527" s="423" t="s">
        <v>6810</v>
      </c>
      <c r="B1527" s="423" t="s">
        <v>6841</v>
      </c>
      <c r="C1527" s="423" t="s">
        <v>6687</v>
      </c>
      <c r="D1527" s="423" t="s">
        <v>6763</v>
      </c>
      <c r="E1527" s="423" t="s">
        <v>236</v>
      </c>
      <c r="F1527" s="423">
        <v>50</v>
      </c>
      <c r="G1527" s="423">
        <v>51</v>
      </c>
      <c r="H1527" s="423">
        <v>700</v>
      </c>
      <c r="J1527" s="423"/>
      <c r="K1527" s="423"/>
      <c r="L1527" s="423"/>
      <c r="M1527" s="423"/>
      <c r="Q1527" s="423"/>
      <c r="R1527" s="424" t="s">
        <v>6842</v>
      </c>
      <c r="S1527" s="424" t="s">
        <v>2846</v>
      </c>
      <c r="T1527" s="424" t="s">
        <v>2870</v>
      </c>
      <c r="U1527" s="424">
        <v>0</v>
      </c>
      <c r="V1527" s="424" t="s">
        <v>3074</v>
      </c>
      <c r="W1527" s="424" t="s">
        <v>3074</v>
      </c>
      <c r="X1527" s="424" t="s">
        <v>2224</v>
      </c>
      <c r="Y1527" s="424" t="s">
        <v>2279</v>
      </c>
      <c r="Z1527" s="424" t="s">
        <v>2872</v>
      </c>
      <c r="AA1527" s="424" t="s">
        <v>2873</v>
      </c>
      <c r="AB1527" s="424" t="s">
        <v>6552</v>
      </c>
      <c r="AC1527" s="424" t="s">
        <v>1953</v>
      </c>
      <c r="AD1527" s="424" t="s">
        <v>2892</v>
      </c>
      <c r="AE1527" s="424" t="s">
        <v>2962</v>
      </c>
      <c r="AF1527" s="424"/>
      <c r="AG1527" s="424"/>
      <c r="AH1527" s="424"/>
    </row>
    <row r="1528" spans="1:34" x14ac:dyDescent="0.25">
      <c r="A1528" s="423" t="s">
        <v>6810</v>
      </c>
      <c r="B1528" s="423" t="s">
        <v>6843</v>
      </c>
      <c r="C1528" s="423" t="s">
        <v>6687</v>
      </c>
      <c r="D1528" s="423" t="s">
        <v>6763</v>
      </c>
      <c r="E1528" s="423" t="s">
        <v>236</v>
      </c>
      <c r="F1528" s="423">
        <v>50</v>
      </c>
      <c r="G1528" s="423">
        <v>51</v>
      </c>
      <c r="H1528" s="423">
        <v>700</v>
      </c>
      <c r="J1528" s="423"/>
      <c r="K1528" s="423"/>
      <c r="L1528" s="423"/>
      <c r="M1528" s="423"/>
      <c r="Q1528" s="423"/>
      <c r="R1528" s="424" t="s">
        <v>6844</v>
      </c>
      <c r="S1528" s="424" t="s">
        <v>2846</v>
      </c>
      <c r="T1528" s="424" t="s">
        <v>2870</v>
      </c>
      <c r="U1528" s="424">
        <v>0</v>
      </c>
      <c r="V1528" s="424" t="s">
        <v>3074</v>
      </c>
      <c r="W1528" s="424" t="s">
        <v>3074</v>
      </c>
      <c r="X1528" s="424" t="s">
        <v>2224</v>
      </c>
      <c r="Y1528" s="424" t="s">
        <v>2279</v>
      </c>
      <c r="Z1528" s="424" t="s">
        <v>2872</v>
      </c>
      <c r="AA1528" s="424" t="s">
        <v>2873</v>
      </c>
      <c r="AB1528" s="424" t="s">
        <v>6845</v>
      </c>
      <c r="AC1528" s="424" t="s">
        <v>1953</v>
      </c>
      <c r="AD1528" s="424" t="s">
        <v>2892</v>
      </c>
      <c r="AE1528" s="424" t="s">
        <v>3081</v>
      </c>
      <c r="AF1528" s="424"/>
      <c r="AG1528" s="424"/>
      <c r="AH1528" s="424"/>
    </row>
    <row r="1529" spans="1:34" x14ac:dyDescent="0.25">
      <c r="A1529" s="423" t="s">
        <v>6810</v>
      </c>
      <c r="B1529" s="423" t="s">
        <v>6846</v>
      </c>
      <c r="C1529" s="423" t="s">
        <v>6687</v>
      </c>
      <c r="D1529" s="423" t="s">
        <v>6763</v>
      </c>
      <c r="E1529" s="423" t="s">
        <v>236</v>
      </c>
      <c r="F1529" s="423">
        <v>50</v>
      </c>
      <c r="G1529" s="423">
        <v>51</v>
      </c>
      <c r="H1529" s="423">
        <v>700</v>
      </c>
      <c r="J1529" s="423"/>
      <c r="K1529" s="423"/>
      <c r="L1529" s="423"/>
      <c r="M1529" s="423"/>
      <c r="Q1529" s="423"/>
      <c r="R1529" s="424" t="s">
        <v>6847</v>
      </c>
      <c r="S1529" s="424" t="s">
        <v>2846</v>
      </c>
      <c r="T1529" s="424" t="s">
        <v>2870</v>
      </c>
      <c r="U1529" s="424">
        <v>0</v>
      </c>
      <c r="V1529" s="424" t="s">
        <v>3074</v>
      </c>
      <c r="W1529" s="424" t="s">
        <v>3074</v>
      </c>
      <c r="X1529" s="424" t="s">
        <v>2224</v>
      </c>
      <c r="Y1529" s="424" t="s">
        <v>2279</v>
      </c>
      <c r="Z1529" s="424" t="s">
        <v>2872</v>
      </c>
      <c r="AA1529" s="424" t="s">
        <v>2873</v>
      </c>
      <c r="AB1529" s="424" t="s">
        <v>2936</v>
      </c>
      <c r="AC1529" s="424" t="s">
        <v>1953</v>
      </c>
      <c r="AD1529" s="424" t="s">
        <v>2892</v>
      </c>
      <c r="AE1529" s="424" t="s">
        <v>2926</v>
      </c>
      <c r="AF1529" s="424"/>
      <c r="AG1529" s="424"/>
      <c r="AH1529" s="424"/>
    </row>
    <row r="1530" spans="1:34" x14ac:dyDescent="0.25">
      <c r="A1530" s="423" t="s">
        <v>6848</v>
      </c>
      <c r="B1530" s="423" t="s">
        <v>6849</v>
      </c>
      <c r="C1530" s="423" t="s">
        <v>1093</v>
      </c>
      <c r="D1530" s="423" t="s">
        <v>6850</v>
      </c>
      <c r="E1530" s="423" t="s">
        <v>203</v>
      </c>
      <c r="F1530" s="423">
        <v>48</v>
      </c>
      <c r="G1530" s="423">
        <v>16</v>
      </c>
      <c r="H1530" s="423">
        <v>600</v>
      </c>
      <c r="J1530" s="423"/>
      <c r="K1530" s="423"/>
      <c r="L1530" s="423"/>
      <c r="M1530" s="423"/>
      <c r="Q1530" s="423"/>
      <c r="R1530" s="424" t="s">
        <v>6851</v>
      </c>
      <c r="S1530" s="424" t="s">
        <v>2820</v>
      </c>
      <c r="T1530" s="424" t="s">
        <v>3268</v>
      </c>
      <c r="U1530" s="424">
        <v>0</v>
      </c>
      <c r="V1530" s="424" t="s">
        <v>6852</v>
      </c>
      <c r="W1530" s="424" t="s">
        <v>6852</v>
      </c>
      <c r="X1530" s="424" t="s">
        <v>2224</v>
      </c>
      <c r="Y1530" s="424" t="s">
        <v>2279</v>
      </c>
      <c r="Z1530" s="424" t="s">
        <v>2889</v>
      </c>
      <c r="AA1530" s="424" t="s">
        <v>3771</v>
      </c>
      <c r="AB1530" s="424" t="s">
        <v>6853</v>
      </c>
      <c r="AC1530" s="424" t="s">
        <v>1953</v>
      </c>
      <c r="AD1530" s="424" t="s">
        <v>3300</v>
      </c>
      <c r="AE1530" s="424" t="s">
        <v>6854</v>
      </c>
      <c r="AF1530" s="424"/>
      <c r="AG1530" s="424"/>
      <c r="AH1530" s="424"/>
    </row>
    <row r="1531" spans="1:34" x14ac:dyDescent="0.25">
      <c r="A1531" s="423" t="s">
        <v>6848</v>
      </c>
      <c r="B1531" s="423" t="s">
        <v>6855</v>
      </c>
      <c r="C1531" s="423" t="s">
        <v>1093</v>
      </c>
      <c r="D1531" s="423" t="s">
        <v>6850</v>
      </c>
      <c r="E1531" s="423" t="s">
        <v>203</v>
      </c>
      <c r="F1531" s="423">
        <v>48</v>
      </c>
      <c r="G1531" s="423">
        <v>16</v>
      </c>
      <c r="H1531" s="423">
        <v>600</v>
      </c>
      <c r="J1531" s="423"/>
      <c r="K1531" s="423"/>
      <c r="L1531" s="423"/>
      <c r="M1531" s="423"/>
      <c r="Q1531" s="423"/>
      <c r="R1531" s="424" t="s">
        <v>6856</v>
      </c>
      <c r="S1531" s="424" t="s">
        <v>2820</v>
      </c>
      <c r="T1531" s="424" t="s">
        <v>3268</v>
      </c>
      <c r="U1531" s="424">
        <v>0</v>
      </c>
      <c r="V1531" s="424" t="s">
        <v>6852</v>
      </c>
      <c r="W1531" s="424" t="s">
        <v>6852</v>
      </c>
      <c r="X1531" s="424" t="s">
        <v>2224</v>
      </c>
      <c r="Y1531" s="424" t="s">
        <v>2279</v>
      </c>
      <c r="Z1531" s="424" t="s">
        <v>2889</v>
      </c>
      <c r="AA1531" s="424" t="s">
        <v>3771</v>
      </c>
      <c r="AB1531" s="424" t="s">
        <v>6857</v>
      </c>
      <c r="AC1531" s="424" t="s">
        <v>1953</v>
      </c>
      <c r="AD1531" s="424" t="s">
        <v>3300</v>
      </c>
      <c r="AE1531" s="424" t="s">
        <v>6854</v>
      </c>
      <c r="AF1531" s="424"/>
      <c r="AG1531" s="424"/>
      <c r="AH1531" s="424"/>
    </row>
    <row r="1532" spans="1:34" x14ac:dyDescent="0.25">
      <c r="A1532" s="423" t="s">
        <v>6848</v>
      </c>
      <c r="B1532" s="423" t="s">
        <v>6858</v>
      </c>
      <c r="C1532" s="423" t="s">
        <v>1093</v>
      </c>
      <c r="D1532" s="423" t="s">
        <v>6850</v>
      </c>
      <c r="E1532" s="423" t="s">
        <v>203</v>
      </c>
      <c r="F1532" s="423">
        <v>48</v>
      </c>
      <c r="G1532" s="423">
        <v>16</v>
      </c>
      <c r="H1532" s="423">
        <v>600</v>
      </c>
      <c r="J1532" s="423"/>
      <c r="K1532" s="423"/>
      <c r="L1532" s="423"/>
      <c r="M1532" s="423"/>
      <c r="Q1532" s="423"/>
      <c r="R1532" s="424" t="s">
        <v>6859</v>
      </c>
      <c r="S1532" s="424" t="s">
        <v>2820</v>
      </c>
      <c r="T1532" s="424" t="s">
        <v>3268</v>
      </c>
      <c r="U1532" s="424">
        <v>0</v>
      </c>
      <c r="V1532" s="424" t="s">
        <v>6852</v>
      </c>
      <c r="W1532" s="424" t="s">
        <v>6852</v>
      </c>
      <c r="X1532" s="424" t="s">
        <v>2224</v>
      </c>
      <c r="Y1532" s="424" t="s">
        <v>2279</v>
      </c>
      <c r="Z1532" s="424" t="s">
        <v>2889</v>
      </c>
      <c r="AA1532" s="424" t="s">
        <v>3771</v>
      </c>
      <c r="AB1532" s="424" t="s">
        <v>6860</v>
      </c>
      <c r="AC1532" s="424" t="s">
        <v>1953</v>
      </c>
      <c r="AD1532" s="424" t="s">
        <v>3300</v>
      </c>
      <c r="AE1532" s="424" t="s">
        <v>6854</v>
      </c>
      <c r="AF1532" s="424"/>
      <c r="AG1532" s="424"/>
      <c r="AH1532" s="424"/>
    </row>
    <row r="1533" spans="1:34" x14ac:dyDescent="0.25">
      <c r="A1533" s="423" t="s">
        <v>6848</v>
      </c>
      <c r="B1533" s="423" t="s">
        <v>6861</v>
      </c>
      <c r="C1533" s="423" t="s">
        <v>1093</v>
      </c>
      <c r="D1533" s="423" t="s">
        <v>6850</v>
      </c>
      <c r="E1533" s="423" t="s">
        <v>203</v>
      </c>
      <c r="F1533" s="423">
        <v>32</v>
      </c>
      <c r="G1533" s="423">
        <v>64</v>
      </c>
      <c r="H1533" s="423">
        <v>500</v>
      </c>
      <c r="J1533" s="423"/>
      <c r="K1533" s="423"/>
      <c r="L1533" s="423"/>
      <c r="M1533" s="423"/>
      <c r="Q1533" s="423"/>
      <c r="R1533" s="424" t="s">
        <v>6862</v>
      </c>
      <c r="S1533" s="424" t="s">
        <v>2846</v>
      </c>
      <c r="T1533" s="424" t="s">
        <v>3356</v>
      </c>
      <c r="U1533" s="424">
        <v>0</v>
      </c>
      <c r="V1533" s="424" t="s">
        <v>2824</v>
      </c>
      <c r="W1533" s="424" t="s">
        <v>3055</v>
      </c>
      <c r="X1533" s="424" t="s">
        <v>2224</v>
      </c>
      <c r="Y1533" s="424" t="s">
        <v>2279</v>
      </c>
      <c r="Z1533" s="424" t="s">
        <v>2889</v>
      </c>
      <c r="AA1533" s="424" t="s">
        <v>2890</v>
      </c>
      <c r="AB1533" s="424" t="s">
        <v>6863</v>
      </c>
      <c r="AC1533" s="424" t="s">
        <v>1953</v>
      </c>
      <c r="AD1533" s="424" t="s">
        <v>2851</v>
      </c>
      <c r="AE1533" s="424" t="s">
        <v>3462</v>
      </c>
      <c r="AF1533" s="424"/>
      <c r="AG1533" s="424"/>
      <c r="AH1533" s="424"/>
    </row>
    <row r="1534" spans="1:34" x14ac:dyDescent="0.25">
      <c r="A1534" s="423" t="s">
        <v>6848</v>
      </c>
      <c r="B1534" s="423" t="s">
        <v>6864</v>
      </c>
      <c r="C1534" s="423" t="s">
        <v>1093</v>
      </c>
      <c r="D1534" s="423" t="s">
        <v>6850</v>
      </c>
      <c r="E1534" s="423" t="s">
        <v>203</v>
      </c>
      <c r="F1534" s="423">
        <v>32</v>
      </c>
      <c r="G1534" s="423">
        <v>64</v>
      </c>
      <c r="H1534" s="423">
        <v>600</v>
      </c>
      <c r="J1534" s="423"/>
      <c r="K1534" s="423"/>
      <c r="L1534" s="423"/>
      <c r="M1534" s="423"/>
      <c r="Q1534" s="423"/>
      <c r="R1534" s="424" t="s">
        <v>6865</v>
      </c>
      <c r="S1534" s="424" t="s">
        <v>2820</v>
      </c>
      <c r="T1534" s="424" t="s">
        <v>6866</v>
      </c>
      <c r="U1534" s="424">
        <v>0</v>
      </c>
      <c r="V1534" s="424" t="s">
        <v>2824</v>
      </c>
      <c r="W1534" s="424" t="s">
        <v>2824</v>
      </c>
      <c r="X1534" s="424" t="s">
        <v>2224</v>
      </c>
      <c r="Y1534" s="424" t="s">
        <v>2279</v>
      </c>
      <c r="Z1534" s="424" t="s">
        <v>2826</v>
      </c>
      <c r="AA1534" s="424" t="s">
        <v>2827</v>
      </c>
      <c r="AB1534" s="424" t="s">
        <v>6867</v>
      </c>
      <c r="AC1534" s="424" t="s">
        <v>1953</v>
      </c>
      <c r="AD1534" s="424" t="s">
        <v>2829</v>
      </c>
      <c r="AE1534" s="424" t="s">
        <v>6868</v>
      </c>
      <c r="AF1534" s="424"/>
      <c r="AG1534" s="424"/>
      <c r="AH1534" s="424"/>
    </row>
    <row r="1535" spans="1:34" x14ac:dyDescent="0.25">
      <c r="A1535" s="423" t="s">
        <v>6869</v>
      </c>
      <c r="B1535" s="423" t="s">
        <v>6870</v>
      </c>
      <c r="C1535" s="423" t="s">
        <v>1090</v>
      </c>
      <c r="D1535" s="423" t="s">
        <v>6871</v>
      </c>
      <c r="E1535" s="423" t="s">
        <v>203</v>
      </c>
      <c r="F1535" s="423">
        <v>12</v>
      </c>
      <c r="G1535" s="423">
        <v>12</v>
      </c>
      <c r="H1535" s="423">
        <v>250</v>
      </c>
      <c r="J1535" s="423"/>
      <c r="K1535" s="423"/>
      <c r="L1535" s="423"/>
      <c r="M1535" s="423"/>
      <c r="Q1535" s="423"/>
      <c r="R1535" s="424" t="s">
        <v>6870</v>
      </c>
      <c r="S1535" s="424" t="s">
        <v>2846</v>
      </c>
      <c r="T1535" s="424" t="s">
        <v>3268</v>
      </c>
      <c r="U1535" s="424">
        <v>0</v>
      </c>
      <c r="V1535" s="424" t="s">
        <v>3269</v>
      </c>
      <c r="W1535" s="424" t="s">
        <v>3074</v>
      </c>
      <c r="X1535" s="424" t="s">
        <v>2224</v>
      </c>
      <c r="Y1535" s="424" t="s">
        <v>2279</v>
      </c>
      <c r="Z1535" s="424" t="s">
        <v>3260</v>
      </c>
      <c r="AA1535" s="424" t="s">
        <v>3271</v>
      </c>
      <c r="AB1535" s="424" t="s">
        <v>6872</v>
      </c>
      <c r="AC1535" s="424" t="s">
        <v>1953</v>
      </c>
      <c r="AD1535" s="424" t="s">
        <v>2851</v>
      </c>
      <c r="AE1535" s="424" t="s">
        <v>3206</v>
      </c>
      <c r="AF1535" s="424"/>
      <c r="AG1535" s="424"/>
      <c r="AH1535" s="424"/>
    </row>
    <row r="1536" spans="1:34" x14ac:dyDescent="0.25">
      <c r="A1536" s="423" t="s">
        <v>6869</v>
      </c>
      <c r="B1536" s="423" t="s">
        <v>6873</v>
      </c>
      <c r="C1536" s="423" t="s">
        <v>1090</v>
      </c>
      <c r="D1536" s="423" t="s">
        <v>6871</v>
      </c>
      <c r="E1536" s="423" t="s">
        <v>203</v>
      </c>
      <c r="F1536" s="423">
        <v>12</v>
      </c>
      <c r="G1536" s="423">
        <v>12</v>
      </c>
      <c r="H1536" s="423">
        <v>200</v>
      </c>
      <c r="J1536" s="423"/>
      <c r="K1536" s="423"/>
      <c r="L1536" s="423"/>
      <c r="M1536" s="423"/>
      <c r="Q1536" s="423"/>
      <c r="R1536" s="424" t="s">
        <v>6873</v>
      </c>
      <c r="S1536" s="424" t="s">
        <v>2846</v>
      </c>
      <c r="T1536" s="424" t="s">
        <v>3268</v>
      </c>
      <c r="U1536" s="424">
        <v>0</v>
      </c>
      <c r="V1536" s="424" t="s">
        <v>3269</v>
      </c>
      <c r="W1536" s="424" t="s">
        <v>3074</v>
      </c>
      <c r="X1536" s="424" t="s">
        <v>2224</v>
      </c>
      <c r="Y1536" s="424" t="s">
        <v>2279</v>
      </c>
      <c r="Z1536" s="424" t="s">
        <v>3260</v>
      </c>
      <c r="AA1536" s="424" t="s">
        <v>3274</v>
      </c>
      <c r="AB1536" s="424" t="s">
        <v>3337</v>
      </c>
      <c r="AC1536" s="424" t="s">
        <v>1953</v>
      </c>
      <c r="AD1536" s="424" t="s">
        <v>2851</v>
      </c>
      <c r="AE1536" s="424" t="s">
        <v>3199</v>
      </c>
      <c r="AF1536" s="424"/>
      <c r="AG1536" s="424"/>
      <c r="AH1536" s="424"/>
    </row>
    <row r="1537" spans="1:34" x14ac:dyDescent="0.25">
      <c r="A1537" s="423" t="s">
        <v>6869</v>
      </c>
      <c r="B1537" s="423" t="s">
        <v>6874</v>
      </c>
      <c r="C1537" s="423" t="s">
        <v>1090</v>
      </c>
      <c r="D1537" s="423" t="s">
        <v>6871</v>
      </c>
      <c r="E1537" s="423" t="s">
        <v>203</v>
      </c>
      <c r="F1537" s="423">
        <v>12</v>
      </c>
      <c r="G1537" s="423">
        <v>128</v>
      </c>
      <c r="H1537" s="423">
        <v>5548</v>
      </c>
      <c r="J1537" s="423"/>
      <c r="K1537" s="423"/>
      <c r="L1537" s="423"/>
      <c r="M1537" s="423"/>
      <c r="Q1537" s="423"/>
      <c r="R1537" s="424" t="s">
        <v>6875</v>
      </c>
      <c r="S1537" s="424" t="s">
        <v>2820</v>
      </c>
      <c r="T1537" s="424" t="s">
        <v>6876</v>
      </c>
      <c r="U1537" s="424">
        <v>0</v>
      </c>
      <c r="V1537" s="424" t="s">
        <v>6877</v>
      </c>
      <c r="W1537" s="424" t="s">
        <v>2824</v>
      </c>
      <c r="X1537" s="424">
        <v>0</v>
      </c>
      <c r="Y1537" s="424" t="s">
        <v>2279</v>
      </c>
      <c r="Z1537" s="424" t="s">
        <v>2826</v>
      </c>
      <c r="AA1537" s="424" t="s">
        <v>3636</v>
      </c>
      <c r="AB1537" s="424" t="s">
        <v>6878</v>
      </c>
      <c r="AC1537" s="424" t="s">
        <v>1953</v>
      </c>
      <c r="AD1537" s="424" t="s">
        <v>2829</v>
      </c>
      <c r="AE1537" s="424" t="s">
        <v>3638</v>
      </c>
      <c r="AF1537" s="424"/>
      <c r="AG1537" s="424"/>
      <c r="AH1537" s="424"/>
    </row>
    <row r="1538" spans="1:34" x14ac:dyDescent="0.25">
      <c r="A1538" s="423" t="s">
        <v>6869</v>
      </c>
      <c r="B1538" s="423" t="s">
        <v>6879</v>
      </c>
      <c r="C1538" s="423" t="s">
        <v>1090</v>
      </c>
      <c r="D1538" s="423" t="s">
        <v>6871</v>
      </c>
      <c r="E1538" s="423" t="s">
        <v>203</v>
      </c>
      <c r="F1538" s="423">
        <v>12</v>
      </c>
      <c r="G1538" s="423">
        <v>128</v>
      </c>
      <c r="H1538" s="423">
        <v>5548</v>
      </c>
      <c r="J1538" s="423"/>
      <c r="K1538" s="423"/>
      <c r="L1538" s="423"/>
      <c r="M1538" s="423"/>
      <c r="Q1538" s="423"/>
      <c r="R1538" s="424" t="s">
        <v>6880</v>
      </c>
      <c r="S1538" s="424" t="s">
        <v>2820</v>
      </c>
      <c r="T1538" s="424" t="s">
        <v>6876</v>
      </c>
      <c r="U1538" s="424">
        <v>0</v>
      </c>
      <c r="V1538" s="424" t="s">
        <v>6877</v>
      </c>
      <c r="W1538" s="424" t="s">
        <v>2824</v>
      </c>
      <c r="X1538" s="424">
        <v>0</v>
      </c>
      <c r="Y1538" s="424" t="s">
        <v>2279</v>
      </c>
      <c r="Z1538" s="424" t="s">
        <v>2826</v>
      </c>
      <c r="AA1538" s="424" t="s">
        <v>3636</v>
      </c>
      <c r="AB1538" s="424" t="s">
        <v>6881</v>
      </c>
      <c r="AC1538" s="424" t="s">
        <v>1953</v>
      </c>
      <c r="AD1538" s="424" t="s">
        <v>2829</v>
      </c>
      <c r="AE1538" s="424" t="s">
        <v>3638</v>
      </c>
      <c r="AF1538" s="424"/>
      <c r="AG1538" s="424"/>
      <c r="AH1538" s="424"/>
    </row>
    <row r="1539" spans="1:34" x14ac:dyDescent="0.25">
      <c r="A1539" s="423" t="s">
        <v>6869</v>
      </c>
      <c r="B1539" s="423" t="s">
        <v>6882</v>
      </c>
      <c r="C1539" s="423" t="s">
        <v>1090</v>
      </c>
      <c r="D1539" s="423" t="s">
        <v>6871</v>
      </c>
      <c r="E1539" s="423" t="s">
        <v>203</v>
      </c>
      <c r="F1539" s="423">
        <v>12</v>
      </c>
      <c r="G1539" s="423">
        <v>128</v>
      </c>
      <c r="H1539" s="423">
        <v>5548</v>
      </c>
      <c r="J1539" s="423"/>
      <c r="K1539" s="423"/>
      <c r="L1539" s="423"/>
      <c r="M1539" s="423"/>
      <c r="Q1539" s="423"/>
      <c r="R1539" s="424" t="s">
        <v>6880</v>
      </c>
      <c r="S1539" s="424" t="s">
        <v>2820</v>
      </c>
      <c r="T1539" s="424" t="s">
        <v>6876</v>
      </c>
      <c r="U1539" s="424">
        <v>0</v>
      </c>
      <c r="V1539" s="424" t="s">
        <v>6877</v>
      </c>
      <c r="W1539" s="424" t="s">
        <v>2824</v>
      </c>
      <c r="X1539" s="424">
        <v>0</v>
      </c>
      <c r="Y1539" s="424" t="s">
        <v>2279</v>
      </c>
      <c r="Z1539" s="424" t="s">
        <v>2826</v>
      </c>
      <c r="AA1539" s="424" t="s">
        <v>3636</v>
      </c>
      <c r="AB1539" s="424" t="s">
        <v>6881</v>
      </c>
      <c r="AC1539" s="424" t="s">
        <v>1953</v>
      </c>
      <c r="AD1539" s="424" t="s">
        <v>2829</v>
      </c>
      <c r="AE1539" s="424" t="s">
        <v>3638</v>
      </c>
      <c r="AF1539" s="424"/>
      <c r="AG1539" s="424"/>
      <c r="AH1539" s="424"/>
    </row>
    <row r="1540" spans="1:34" x14ac:dyDescent="0.25">
      <c r="A1540" s="423" t="s">
        <v>6883</v>
      </c>
      <c r="B1540" s="423" t="s">
        <v>6884</v>
      </c>
      <c r="C1540" s="423" t="s">
        <v>6885</v>
      </c>
      <c r="D1540" s="423" t="s">
        <v>6871</v>
      </c>
      <c r="E1540" s="423" t="s">
        <v>203</v>
      </c>
      <c r="F1540" s="423">
        <v>32</v>
      </c>
      <c r="G1540" s="423">
        <v>24</v>
      </c>
      <c r="H1540" s="423">
        <v>1000</v>
      </c>
      <c r="J1540" s="423"/>
      <c r="K1540" s="423"/>
      <c r="L1540" s="423"/>
      <c r="M1540" s="423"/>
      <c r="Q1540" s="423"/>
      <c r="R1540" s="424" t="s">
        <v>6884</v>
      </c>
      <c r="S1540" s="424" t="s">
        <v>2820</v>
      </c>
      <c r="T1540" s="424" t="s">
        <v>3906</v>
      </c>
      <c r="U1540" s="424">
        <v>0</v>
      </c>
      <c r="V1540" s="424" t="s">
        <v>309</v>
      </c>
      <c r="W1540" s="424" t="s">
        <v>309</v>
      </c>
      <c r="X1540" s="424" t="s">
        <v>2224</v>
      </c>
      <c r="Y1540" s="424" t="s">
        <v>2279</v>
      </c>
      <c r="Z1540" s="424" t="s">
        <v>3305</v>
      </c>
      <c r="AA1540" s="424" t="s">
        <v>6886</v>
      </c>
      <c r="AB1540" s="424" t="s">
        <v>6887</v>
      </c>
      <c r="AC1540" s="424" t="s">
        <v>1953</v>
      </c>
      <c r="AD1540" s="424" t="s">
        <v>3300</v>
      </c>
      <c r="AE1540" s="424" t="s">
        <v>6888</v>
      </c>
      <c r="AF1540" s="424"/>
      <c r="AG1540" s="424"/>
      <c r="AH1540" s="424"/>
    </row>
    <row r="1541" spans="1:34" x14ac:dyDescent="0.25">
      <c r="A1541" s="423" t="s">
        <v>6883</v>
      </c>
      <c r="B1541" s="423" t="s">
        <v>6889</v>
      </c>
      <c r="C1541" s="423" t="s">
        <v>6885</v>
      </c>
      <c r="D1541" s="423" t="s">
        <v>6871</v>
      </c>
      <c r="E1541" s="423" t="s">
        <v>203</v>
      </c>
      <c r="F1541" s="423">
        <v>32</v>
      </c>
      <c r="G1541" s="423">
        <v>16</v>
      </c>
      <c r="H1541" s="423">
        <v>550</v>
      </c>
      <c r="J1541" s="423"/>
      <c r="K1541" s="423"/>
      <c r="L1541" s="423"/>
      <c r="M1541" s="423"/>
      <c r="Q1541" s="423"/>
      <c r="R1541" s="424" t="s">
        <v>6889</v>
      </c>
      <c r="S1541" s="424" t="s">
        <v>2820</v>
      </c>
      <c r="T1541" s="424" t="s">
        <v>3906</v>
      </c>
      <c r="U1541" s="424">
        <v>0</v>
      </c>
      <c r="V1541" s="424" t="s">
        <v>309</v>
      </c>
      <c r="W1541" s="424" t="s">
        <v>309</v>
      </c>
      <c r="X1541" s="424" t="s">
        <v>2224</v>
      </c>
      <c r="Y1541" s="424" t="s">
        <v>2279</v>
      </c>
      <c r="Z1541" s="424" t="s">
        <v>3305</v>
      </c>
      <c r="AA1541" s="424" t="s">
        <v>6890</v>
      </c>
      <c r="AB1541" s="424" t="s">
        <v>6891</v>
      </c>
      <c r="AC1541" s="424" t="s">
        <v>1953</v>
      </c>
      <c r="AD1541" s="424" t="s">
        <v>3300</v>
      </c>
      <c r="AE1541" s="424" t="s">
        <v>6888</v>
      </c>
      <c r="AF1541" s="424"/>
      <c r="AG1541" s="424"/>
      <c r="AH1541" s="424"/>
    </row>
    <row r="1542" spans="1:34" x14ac:dyDescent="0.25">
      <c r="A1542" s="423" t="s">
        <v>6883</v>
      </c>
      <c r="B1542" s="423" t="s">
        <v>6892</v>
      </c>
      <c r="C1542" s="423" t="s">
        <v>6885</v>
      </c>
      <c r="D1542" s="423" t="s">
        <v>6871</v>
      </c>
      <c r="E1542" s="423" t="s">
        <v>203</v>
      </c>
      <c r="F1542" s="423" t="s">
        <v>2328</v>
      </c>
      <c r="G1542" s="423" t="s">
        <v>2328</v>
      </c>
      <c r="H1542" s="423" t="s">
        <v>2328</v>
      </c>
      <c r="J1542" s="423"/>
      <c r="K1542" s="423"/>
      <c r="L1542" s="423"/>
      <c r="M1542" s="423"/>
      <c r="Q1542" s="423"/>
      <c r="R1542" s="424" t="s">
        <v>6892</v>
      </c>
      <c r="S1542" s="424" t="s">
        <v>2846</v>
      </c>
      <c r="T1542" s="424" t="s">
        <v>3898</v>
      </c>
      <c r="U1542" s="424">
        <v>0</v>
      </c>
      <c r="V1542" s="424" t="s">
        <v>3269</v>
      </c>
      <c r="W1542" s="424" t="s">
        <v>2871</v>
      </c>
      <c r="X1542" s="424">
        <v>0</v>
      </c>
      <c r="Y1542" s="424" t="s">
        <v>2279</v>
      </c>
      <c r="Z1542" s="424" t="s">
        <v>2848</v>
      </c>
      <c r="AA1542" s="424" t="s">
        <v>2855</v>
      </c>
      <c r="AB1542" s="424" t="s">
        <v>5055</v>
      </c>
      <c r="AC1542" s="424" t="s">
        <v>1953</v>
      </c>
      <c r="AD1542" s="424" t="s">
        <v>2851</v>
      </c>
      <c r="AE1542" s="424" t="s">
        <v>2901</v>
      </c>
      <c r="AF1542" s="424"/>
      <c r="AG1542" s="424"/>
      <c r="AH1542" s="424"/>
    </row>
    <row r="1543" spans="1:34" x14ac:dyDescent="0.25">
      <c r="A1543" s="423" t="s">
        <v>6883</v>
      </c>
      <c r="B1543" s="423" t="s">
        <v>6893</v>
      </c>
      <c r="C1543" s="423" t="s">
        <v>6885</v>
      </c>
      <c r="D1543" s="423" t="s">
        <v>6871</v>
      </c>
      <c r="E1543" s="423" t="s">
        <v>203</v>
      </c>
      <c r="F1543" s="423" t="s">
        <v>2328</v>
      </c>
      <c r="G1543" s="423" t="s">
        <v>2328</v>
      </c>
      <c r="H1543" s="423" t="s">
        <v>2328</v>
      </c>
      <c r="J1543" s="423"/>
      <c r="K1543" s="423"/>
      <c r="L1543" s="423"/>
      <c r="M1543" s="423"/>
      <c r="Q1543" s="423"/>
      <c r="R1543" s="424" t="s">
        <v>6893</v>
      </c>
      <c r="S1543" s="424" t="s">
        <v>2846</v>
      </c>
      <c r="T1543" s="424" t="s">
        <v>3898</v>
      </c>
      <c r="U1543" s="424">
        <v>0</v>
      </c>
      <c r="V1543" s="424" t="s">
        <v>6894</v>
      </c>
      <c r="W1543" s="424" t="s">
        <v>3054</v>
      </c>
      <c r="X1543" s="424">
        <v>0</v>
      </c>
      <c r="Y1543" s="424" t="s">
        <v>2279</v>
      </c>
      <c r="Z1543" s="424" t="s">
        <v>3260</v>
      </c>
      <c r="AA1543" s="424" t="s">
        <v>3271</v>
      </c>
      <c r="AB1543" s="424" t="s">
        <v>3901</v>
      </c>
      <c r="AC1543" s="424" t="s">
        <v>1953</v>
      </c>
      <c r="AD1543" s="424" t="s">
        <v>2851</v>
      </c>
      <c r="AE1543" s="424" t="s">
        <v>3902</v>
      </c>
      <c r="AF1543" s="424"/>
      <c r="AG1543" s="424"/>
      <c r="AH1543" s="424"/>
    </row>
    <row r="1544" spans="1:34" x14ac:dyDescent="0.25">
      <c r="A1544" s="423" t="s">
        <v>6883</v>
      </c>
      <c r="B1544" s="423" t="s">
        <v>6895</v>
      </c>
      <c r="C1544" s="423" t="s">
        <v>6885</v>
      </c>
      <c r="D1544" s="423" t="s">
        <v>6871</v>
      </c>
      <c r="E1544" s="423" t="s">
        <v>203</v>
      </c>
      <c r="F1544" s="423" t="s">
        <v>2328</v>
      </c>
      <c r="G1544" s="423" t="s">
        <v>2328</v>
      </c>
      <c r="H1544" s="423" t="s">
        <v>2328</v>
      </c>
      <c r="J1544" s="423"/>
      <c r="K1544" s="423"/>
      <c r="L1544" s="423"/>
      <c r="M1544" s="423"/>
      <c r="Q1544" s="423"/>
      <c r="R1544" s="424" t="s">
        <v>6893</v>
      </c>
      <c r="S1544" s="424" t="s">
        <v>2846</v>
      </c>
      <c r="T1544" s="424" t="s">
        <v>3898</v>
      </c>
      <c r="U1544" s="424">
        <v>0</v>
      </c>
      <c r="V1544" s="424" t="s">
        <v>6894</v>
      </c>
      <c r="W1544" s="424" t="s">
        <v>3054</v>
      </c>
      <c r="X1544" s="424">
        <v>0</v>
      </c>
      <c r="Y1544" s="424" t="s">
        <v>2279</v>
      </c>
      <c r="Z1544" s="424" t="s">
        <v>3260</v>
      </c>
      <c r="AA1544" s="424" t="s">
        <v>3271</v>
      </c>
      <c r="AB1544" s="424" t="s">
        <v>3901</v>
      </c>
      <c r="AC1544" s="424" t="s">
        <v>1953</v>
      </c>
      <c r="AD1544" s="424" t="s">
        <v>2851</v>
      </c>
      <c r="AE1544" s="424" t="s">
        <v>3902</v>
      </c>
      <c r="AF1544" s="424"/>
      <c r="AG1544" s="424"/>
      <c r="AH1544" s="424"/>
    </row>
    <row r="1545" spans="1:34" x14ac:dyDescent="0.25">
      <c r="A1545" s="423" t="s">
        <v>6896</v>
      </c>
      <c r="B1545" s="423" t="s">
        <v>6897</v>
      </c>
      <c r="C1545" s="423" t="s">
        <v>6898</v>
      </c>
      <c r="D1545" s="423" t="s">
        <v>6871</v>
      </c>
      <c r="E1545" s="423" t="s">
        <v>203</v>
      </c>
      <c r="F1545" s="423">
        <v>24</v>
      </c>
      <c r="G1545" s="423">
        <v>16</v>
      </c>
      <c r="H1545" s="423">
        <v>550</v>
      </c>
      <c r="J1545" s="423"/>
      <c r="K1545" s="423"/>
      <c r="L1545" s="423"/>
      <c r="M1545" s="423"/>
      <c r="Q1545" s="423"/>
      <c r="R1545" s="424" t="s">
        <v>6899</v>
      </c>
      <c r="S1545" s="424" t="s">
        <v>2820</v>
      </c>
      <c r="T1545" s="424" t="s">
        <v>6900</v>
      </c>
      <c r="U1545" s="424">
        <v>0</v>
      </c>
      <c r="V1545" s="424" t="s">
        <v>309</v>
      </c>
      <c r="W1545" s="424" t="s">
        <v>309</v>
      </c>
      <c r="X1545" s="424" t="s">
        <v>2224</v>
      </c>
      <c r="Y1545" s="424" t="s">
        <v>2279</v>
      </c>
      <c r="Z1545" s="424" t="s">
        <v>2889</v>
      </c>
      <c r="AA1545" s="424" t="s">
        <v>6901</v>
      </c>
      <c r="AB1545" s="424" t="s">
        <v>6902</v>
      </c>
      <c r="AC1545" s="424" t="s">
        <v>3263</v>
      </c>
      <c r="AD1545" s="424" t="s">
        <v>3264</v>
      </c>
      <c r="AE1545" s="424" t="s">
        <v>6903</v>
      </c>
      <c r="AF1545" s="424"/>
      <c r="AG1545" s="424"/>
      <c r="AH1545" s="424"/>
    </row>
    <row r="1546" spans="1:34" x14ac:dyDescent="0.25">
      <c r="A1546" s="423" t="s">
        <v>6896</v>
      </c>
      <c r="B1546" s="423" t="s">
        <v>6904</v>
      </c>
      <c r="C1546" s="423" t="s">
        <v>6898</v>
      </c>
      <c r="D1546" s="423" t="s">
        <v>6871</v>
      </c>
      <c r="E1546" s="423" t="s">
        <v>203</v>
      </c>
      <c r="F1546" s="423">
        <v>8</v>
      </c>
      <c r="G1546" s="423">
        <v>24</v>
      </c>
      <c r="H1546" s="423">
        <v>1350</v>
      </c>
      <c r="J1546" s="423"/>
      <c r="K1546" s="423"/>
      <c r="L1546" s="423"/>
      <c r="M1546" s="423"/>
      <c r="Q1546" s="423"/>
      <c r="R1546" s="424" t="s">
        <v>6905</v>
      </c>
      <c r="S1546" s="424" t="s">
        <v>2820</v>
      </c>
      <c r="T1546" s="424" t="s">
        <v>6906</v>
      </c>
      <c r="U1546" s="424">
        <v>0</v>
      </c>
      <c r="V1546" s="424" t="s">
        <v>2824</v>
      </c>
      <c r="W1546" s="424" t="s">
        <v>2824</v>
      </c>
      <c r="X1546" s="424" t="s">
        <v>2224</v>
      </c>
      <c r="Y1546" s="424" t="s">
        <v>2279</v>
      </c>
      <c r="Z1546" s="424" t="s">
        <v>3305</v>
      </c>
      <c r="AA1546" s="424" t="s">
        <v>6907</v>
      </c>
      <c r="AB1546" s="424" t="s">
        <v>6908</v>
      </c>
      <c r="AC1546" s="424" t="s">
        <v>1953</v>
      </c>
      <c r="AD1546" s="424" t="s">
        <v>3300</v>
      </c>
      <c r="AE1546" s="424" t="s">
        <v>6909</v>
      </c>
      <c r="AF1546" s="424"/>
      <c r="AG1546" s="424"/>
      <c r="AH1546" s="424"/>
    </row>
    <row r="1547" spans="1:34" x14ac:dyDescent="0.25">
      <c r="A1547" s="423" t="s">
        <v>6910</v>
      </c>
      <c r="B1547" s="423" t="s">
        <v>6911</v>
      </c>
      <c r="C1547" s="423" t="s">
        <v>6898</v>
      </c>
      <c r="D1547" s="423" t="s">
        <v>6871</v>
      </c>
      <c r="E1547" s="423" t="s">
        <v>203</v>
      </c>
      <c r="F1547" s="423">
        <v>12</v>
      </c>
      <c r="G1547" s="423">
        <v>24</v>
      </c>
      <c r="H1547" s="423">
        <v>132</v>
      </c>
      <c r="J1547" s="423"/>
      <c r="K1547" s="423"/>
      <c r="L1547" s="423"/>
      <c r="M1547" s="423"/>
      <c r="Q1547" s="423"/>
      <c r="R1547" s="424" t="s">
        <v>6911</v>
      </c>
      <c r="S1547" s="424" t="s">
        <v>2846</v>
      </c>
      <c r="T1547" s="424" t="s">
        <v>3291</v>
      </c>
      <c r="U1547" s="424">
        <v>0</v>
      </c>
      <c r="V1547" s="424" t="s">
        <v>3269</v>
      </c>
      <c r="W1547" s="424" t="s">
        <v>3074</v>
      </c>
      <c r="X1547" s="424" t="s">
        <v>2224</v>
      </c>
      <c r="Y1547" s="424" t="s">
        <v>2279</v>
      </c>
      <c r="Z1547" s="424" t="s">
        <v>3260</v>
      </c>
      <c r="AA1547" s="424" t="s">
        <v>3274</v>
      </c>
      <c r="AB1547" s="424" t="s">
        <v>3337</v>
      </c>
      <c r="AC1547" s="424" t="s">
        <v>1953</v>
      </c>
      <c r="AD1547" s="424" t="s">
        <v>2851</v>
      </c>
      <c r="AE1547" s="424" t="s">
        <v>3199</v>
      </c>
      <c r="AF1547" s="424"/>
      <c r="AG1547" s="424"/>
      <c r="AH1547" s="424"/>
    </row>
    <row r="1548" spans="1:34" x14ac:dyDescent="0.25">
      <c r="A1548" s="423" t="s">
        <v>6910</v>
      </c>
      <c r="B1548" s="423" t="s">
        <v>6912</v>
      </c>
      <c r="C1548" s="423" t="s">
        <v>6898</v>
      </c>
      <c r="D1548" s="423" t="s">
        <v>6871</v>
      </c>
      <c r="E1548" s="423" t="s">
        <v>203</v>
      </c>
      <c r="F1548" s="423">
        <v>12</v>
      </c>
      <c r="G1548" s="423">
        <v>24</v>
      </c>
      <c r="H1548" s="423">
        <v>150</v>
      </c>
      <c r="J1548" s="423"/>
      <c r="K1548" s="423"/>
      <c r="L1548" s="423"/>
      <c r="M1548" s="423"/>
      <c r="Q1548" s="423"/>
      <c r="R1548" s="424" t="s">
        <v>6912</v>
      </c>
      <c r="S1548" s="424" t="s">
        <v>2846</v>
      </c>
      <c r="T1548" s="424" t="s">
        <v>3268</v>
      </c>
      <c r="U1548" s="424">
        <v>0</v>
      </c>
      <c r="V1548" s="424" t="s">
        <v>3269</v>
      </c>
      <c r="W1548" s="424">
        <v>0</v>
      </c>
      <c r="X1548" s="424" t="s">
        <v>2224</v>
      </c>
      <c r="Y1548" s="424" t="s">
        <v>2279</v>
      </c>
      <c r="Z1548" s="424">
        <v>0</v>
      </c>
      <c r="AA1548" s="424">
        <v>0</v>
      </c>
      <c r="AB1548" s="424">
        <v>0</v>
      </c>
      <c r="AC1548" s="424">
        <v>0</v>
      </c>
      <c r="AD1548" s="424">
        <v>0</v>
      </c>
      <c r="AE1548" s="424">
        <v>0</v>
      </c>
      <c r="AF1548" s="424"/>
      <c r="AG1548" s="424"/>
      <c r="AH1548" s="424"/>
    </row>
    <row r="1549" spans="1:34" x14ac:dyDescent="0.25">
      <c r="A1549" s="423" t="s">
        <v>6910</v>
      </c>
      <c r="B1549" s="423" t="s">
        <v>6913</v>
      </c>
      <c r="C1549" s="423" t="s">
        <v>6898</v>
      </c>
      <c r="D1549" s="423" t="s">
        <v>6871</v>
      </c>
      <c r="E1549" s="423" t="s">
        <v>203</v>
      </c>
      <c r="F1549" s="423">
        <v>12</v>
      </c>
      <c r="G1549" s="423">
        <v>24</v>
      </c>
      <c r="H1549" s="423">
        <v>152</v>
      </c>
      <c r="J1549" s="423"/>
      <c r="K1549" s="423"/>
      <c r="L1549" s="423"/>
      <c r="M1549" s="423"/>
      <c r="Q1549" s="423"/>
      <c r="R1549" s="424" t="s">
        <v>6913</v>
      </c>
      <c r="S1549" s="424" t="s">
        <v>2846</v>
      </c>
      <c r="T1549" s="424" t="s">
        <v>3268</v>
      </c>
      <c r="U1549" s="424">
        <v>0</v>
      </c>
      <c r="V1549" s="424" t="s">
        <v>3269</v>
      </c>
      <c r="W1549" s="424" t="s">
        <v>2974</v>
      </c>
      <c r="X1549" s="424" t="s">
        <v>2224</v>
      </c>
      <c r="Y1549" s="424" t="s">
        <v>2279</v>
      </c>
      <c r="Z1549" s="424" t="s">
        <v>2848</v>
      </c>
      <c r="AA1549" s="424" t="s">
        <v>2849</v>
      </c>
      <c r="AB1549" s="424" t="s">
        <v>6914</v>
      </c>
      <c r="AC1549" s="424" t="s">
        <v>1953</v>
      </c>
      <c r="AD1549" s="424" t="s">
        <v>2851</v>
      </c>
      <c r="AE1549" s="424" t="s">
        <v>3467</v>
      </c>
      <c r="AF1549" s="424"/>
      <c r="AG1549" s="424"/>
      <c r="AH1549" s="424"/>
    </row>
    <row r="1550" spans="1:34" x14ac:dyDescent="0.25">
      <c r="A1550" s="423" t="s">
        <v>6910</v>
      </c>
      <c r="B1550" s="423" t="s">
        <v>6915</v>
      </c>
      <c r="C1550" s="423" t="s">
        <v>6898</v>
      </c>
      <c r="D1550" s="423" t="s">
        <v>6871</v>
      </c>
      <c r="E1550" s="423" t="s">
        <v>203</v>
      </c>
      <c r="F1550" s="423">
        <v>12</v>
      </c>
      <c r="G1550" s="423">
        <v>24</v>
      </c>
      <c r="H1550" s="423">
        <v>150</v>
      </c>
      <c r="J1550" s="423"/>
      <c r="K1550" s="423"/>
      <c r="L1550" s="423"/>
      <c r="M1550" s="423"/>
      <c r="Q1550" s="423"/>
      <c r="R1550" s="424" t="s">
        <v>6915</v>
      </c>
      <c r="S1550" s="424" t="s">
        <v>2846</v>
      </c>
      <c r="T1550" s="424" t="s">
        <v>3268</v>
      </c>
      <c r="U1550" s="424">
        <v>0</v>
      </c>
      <c r="V1550" s="424" t="s">
        <v>3269</v>
      </c>
      <c r="W1550" s="424">
        <v>0</v>
      </c>
      <c r="X1550" s="424" t="s">
        <v>2224</v>
      </c>
      <c r="Y1550" s="424" t="s">
        <v>2279</v>
      </c>
      <c r="Z1550" s="424">
        <v>0</v>
      </c>
      <c r="AA1550" s="424">
        <v>0</v>
      </c>
      <c r="AB1550" s="424">
        <v>0</v>
      </c>
      <c r="AC1550" s="424">
        <v>0</v>
      </c>
      <c r="AD1550" s="424">
        <v>0</v>
      </c>
      <c r="AE1550" s="424">
        <v>0</v>
      </c>
      <c r="AF1550" s="424"/>
      <c r="AG1550" s="424"/>
      <c r="AH1550" s="424"/>
    </row>
    <row r="1551" spans="1:34" x14ac:dyDescent="0.25">
      <c r="A1551" s="423" t="s">
        <v>6910</v>
      </c>
      <c r="B1551" s="423" t="s">
        <v>6916</v>
      </c>
      <c r="C1551" s="423" t="s">
        <v>6898</v>
      </c>
      <c r="D1551" s="423" t="s">
        <v>6871</v>
      </c>
      <c r="E1551" s="423" t="s">
        <v>203</v>
      </c>
      <c r="F1551" s="423">
        <v>12</v>
      </c>
      <c r="G1551" s="423">
        <v>24</v>
      </c>
      <c r="H1551" s="423">
        <v>150</v>
      </c>
      <c r="J1551" s="423"/>
      <c r="K1551" s="423"/>
      <c r="L1551" s="423"/>
      <c r="M1551" s="423"/>
      <c r="Q1551" s="423"/>
      <c r="R1551" s="424" t="s">
        <v>6916</v>
      </c>
      <c r="S1551" s="424" t="s">
        <v>2846</v>
      </c>
      <c r="T1551" s="424" t="s">
        <v>3268</v>
      </c>
      <c r="U1551" s="424">
        <v>0</v>
      </c>
      <c r="V1551" s="424" t="s">
        <v>3269</v>
      </c>
      <c r="W1551" s="424">
        <v>0</v>
      </c>
      <c r="X1551" s="424" t="s">
        <v>2224</v>
      </c>
      <c r="Y1551" s="424" t="s">
        <v>2279</v>
      </c>
      <c r="Z1551" s="424">
        <v>0</v>
      </c>
      <c r="AA1551" s="424">
        <v>0</v>
      </c>
      <c r="AB1551" s="424">
        <v>0</v>
      </c>
      <c r="AC1551" s="424">
        <v>0</v>
      </c>
      <c r="AD1551" s="424">
        <v>0</v>
      </c>
      <c r="AE1551" s="424">
        <v>0</v>
      </c>
      <c r="AF1551" s="424"/>
      <c r="AG1551" s="424"/>
      <c r="AH1551" s="424"/>
    </row>
    <row r="1552" spans="1:34" x14ac:dyDescent="0.25">
      <c r="A1552" s="423" t="s">
        <v>6910</v>
      </c>
      <c r="B1552" s="423" t="s">
        <v>6917</v>
      </c>
      <c r="C1552" s="423" t="s">
        <v>6898</v>
      </c>
      <c r="D1552" s="423" t="s">
        <v>6871</v>
      </c>
      <c r="E1552" s="423" t="s">
        <v>203</v>
      </c>
      <c r="F1552" s="423">
        <v>24</v>
      </c>
      <c r="G1552" s="423">
        <v>24</v>
      </c>
      <c r="H1552" s="423">
        <v>682</v>
      </c>
      <c r="J1552" s="423"/>
      <c r="K1552" s="423"/>
      <c r="L1552" s="423"/>
      <c r="M1552" s="423"/>
      <c r="Q1552" s="423"/>
      <c r="R1552" s="424" t="s">
        <v>6917</v>
      </c>
      <c r="S1552" s="424" t="s">
        <v>2846</v>
      </c>
      <c r="T1552" s="424" t="s">
        <v>3268</v>
      </c>
      <c r="U1552" s="424">
        <v>0</v>
      </c>
      <c r="V1552" s="424" t="s">
        <v>3269</v>
      </c>
      <c r="W1552" s="424" t="s">
        <v>3055</v>
      </c>
      <c r="X1552" s="424" t="s">
        <v>2224</v>
      </c>
      <c r="Y1552" s="424" t="s">
        <v>2279</v>
      </c>
      <c r="Z1552" s="424" t="s">
        <v>2848</v>
      </c>
      <c r="AA1552" s="424" t="s">
        <v>2855</v>
      </c>
      <c r="AB1552" s="424" t="s">
        <v>3421</v>
      </c>
      <c r="AC1552" s="424" t="s">
        <v>1953</v>
      </c>
      <c r="AD1552" s="424" t="s">
        <v>2851</v>
      </c>
      <c r="AE1552" s="424" t="s">
        <v>3168</v>
      </c>
      <c r="AF1552" s="424"/>
      <c r="AG1552" s="424"/>
      <c r="AH1552" s="424"/>
    </row>
    <row r="1553" spans="1:34" x14ac:dyDescent="0.25">
      <c r="A1553" s="423" t="s">
        <v>6910</v>
      </c>
      <c r="B1553" s="423" t="s">
        <v>6918</v>
      </c>
      <c r="C1553" s="423" t="s">
        <v>6898</v>
      </c>
      <c r="D1553" s="423" t="s">
        <v>6871</v>
      </c>
      <c r="E1553" s="423" t="s">
        <v>203</v>
      </c>
      <c r="F1553" s="423">
        <v>24</v>
      </c>
      <c r="G1553" s="423">
        <v>24</v>
      </c>
      <c r="H1553" s="423">
        <v>682</v>
      </c>
      <c r="J1553" s="423"/>
      <c r="K1553" s="423"/>
      <c r="L1553" s="423"/>
      <c r="M1553" s="423"/>
      <c r="Q1553" s="423"/>
      <c r="R1553" s="424" t="s">
        <v>6918</v>
      </c>
      <c r="S1553" s="424" t="s">
        <v>2846</v>
      </c>
      <c r="T1553" s="424" t="s">
        <v>3268</v>
      </c>
      <c r="U1553" s="424">
        <v>0</v>
      </c>
      <c r="V1553" s="424" t="s">
        <v>3269</v>
      </c>
      <c r="W1553" s="424" t="s">
        <v>3176</v>
      </c>
      <c r="X1553" s="424" t="s">
        <v>2224</v>
      </c>
      <c r="Y1553" s="424" t="s">
        <v>2279</v>
      </c>
      <c r="Z1553" s="424" t="s">
        <v>3260</v>
      </c>
      <c r="AA1553" s="424" t="s">
        <v>3197</v>
      </c>
      <c r="AB1553" s="424" t="s">
        <v>6919</v>
      </c>
      <c r="AC1553" s="424" t="s">
        <v>1953</v>
      </c>
      <c r="AD1553" s="424" t="s">
        <v>2851</v>
      </c>
      <c r="AE1553" s="424" t="s">
        <v>3853</v>
      </c>
      <c r="AF1553" s="424"/>
      <c r="AG1553" s="424"/>
      <c r="AH1553" s="424"/>
    </row>
    <row r="1554" spans="1:34" x14ac:dyDescent="0.25">
      <c r="A1554" s="423" t="s">
        <v>6910</v>
      </c>
      <c r="B1554" s="423" t="s">
        <v>6920</v>
      </c>
      <c r="C1554" s="423" t="s">
        <v>6898</v>
      </c>
      <c r="D1554" s="423" t="s">
        <v>6871</v>
      </c>
      <c r="E1554" s="423" t="s">
        <v>203</v>
      </c>
      <c r="F1554" s="423">
        <v>16</v>
      </c>
      <c r="G1554" s="423">
        <v>32</v>
      </c>
      <c r="H1554" s="423">
        <v>340</v>
      </c>
      <c r="J1554" s="423"/>
      <c r="K1554" s="423"/>
      <c r="L1554" s="423"/>
      <c r="M1554" s="423"/>
      <c r="Q1554" s="423"/>
      <c r="R1554" s="424" t="s">
        <v>6920</v>
      </c>
      <c r="S1554" s="424" t="s">
        <v>2846</v>
      </c>
      <c r="T1554" s="424" t="s">
        <v>3268</v>
      </c>
      <c r="U1554" s="424">
        <v>0</v>
      </c>
      <c r="V1554" s="424" t="s">
        <v>3269</v>
      </c>
      <c r="W1554" s="424">
        <v>0</v>
      </c>
      <c r="X1554" s="424" t="s">
        <v>2224</v>
      </c>
      <c r="Y1554" s="424" t="s">
        <v>2279</v>
      </c>
      <c r="Z1554" s="424">
        <v>0</v>
      </c>
      <c r="AA1554" s="424">
        <v>0</v>
      </c>
      <c r="AB1554" s="424">
        <v>0</v>
      </c>
      <c r="AC1554" s="424">
        <v>0</v>
      </c>
      <c r="AD1554" s="424">
        <v>0</v>
      </c>
      <c r="AE1554" s="424">
        <v>0</v>
      </c>
      <c r="AF1554" s="424"/>
      <c r="AG1554" s="424"/>
      <c r="AH1554" s="424"/>
    </row>
    <row r="1555" spans="1:34" x14ac:dyDescent="0.25">
      <c r="A1555" s="423" t="s">
        <v>6910</v>
      </c>
      <c r="B1555" s="423" t="s">
        <v>6921</v>
      </c>
      <c r="C1555" s="423" t="s">
        <v>6898</v>
      </c>
      <c r="D1555" s="423" t="s">
        <v>6871</v>
      </c>
      <c r="E1555" s="423" t="s">
        <v>203</v>
      </c>
      <c r="F1555" s="423">
        <v>16</v>
      </c>
      <c r="G1555" s="423">
        <v>16</v>
      </c>
      <c r="H1555" s="423">
        <v>340</v>
      </c>
      <c r="J1555" s="423"/>
      <c r="K1555" s="423"/>
      <c r="L1555" s="423"/>
      <c r="M1555" s="423"/>
      <c r="Q1555" s="423"/>
      <c r="R1555" s="424" t="s">
        <v>6921</v>
      </c>
      <c r="S1555" s="424" t="s">
        <v>2846</v>
      </c>
      <c r="T1555" s="424" t="s">
        <v>3268</v>
      </c>
      <c r="U1555" s="424">
        <v>0</v>
      </c>
      <c r="V1555" s="424" t="s">
        <v>3269</v>
      </c>
      <c r="W1555" s="424">
        <v>0</v>
      </c>
      <c r="X1555" s="424" t="s">
        <v>2224</v>
      </c>
      <c r="Y1555" s="424" t="s">
        <v>2279</v>
      </c>
      <c r="Z1555" s="424">
        <v>0</v>
      </c>
      <c r="AA1555" s="424">
        <v>0</v>
      </c>
      <c r="AB1555" s="424">
        <v>0</v>
      </c>
      <c r="AC1555" s="424">
        <v>0</v>
      </c>
      <c r="AD1555" s="424">
        <v>0</v>
      </c>
      <c r="AE1555" s="424">
        <v>0</v>
      </c>
      <c r="AF1555" s="424"/>
      <c r="AG1555" s="424"/>
      <c r="AH1555" s="424"/>
    </row>
    <row r="1556" spans="1:34" x14ac:dyDescent="0.25">
      <c r="A1556" s="423" t="s">
        <v>6910</v>
      </c>
      <c r="B1556" s="423" t="s">
        <v>6922</v>
      </c>
      <c r="C1556" s="423" t="s">
        <v>6898</v>
      </c>
      <c r="D1556" s="423" t="s">
        <v>6871</v>
      </c>
      <c r="E1556" s="423" t="s">
        <v>203</v>
      </c>
      <c r="F1556" s="423">
        <v>8</v>
      </c>
      <c r="G1556" s="423">
        <v>16</v>
      </c>
      <c r="H1556" s="423">
        <v>502</v>
      </c>
      <c r="J1556" s="423"/>
      <c r="K1556" s="423"/>
      <c r="L1556" s="423"/>
      <c r="M1556" s="423"/>
      <c r="Q1556" s="423"/>
      <c r="R1556" s="424" t="s">
        <v>6923</v>
      </c>
      <c r="S1556" s="424" t="s">
        <v>2846</v>
      </c>
      <c r="T1556" s="424" t="s">
        <v>3291</v>
      </c>
      <c r="U1556" s="424">
        <v>0</v>
      </c>
      <c r="V1556" s="424" t="s">
        <v>3269</v>
      </c>
      <c r="W1556" s="424" t="s">
        <v>3054</v>
      </c>
      <c r="X1556" s="424" t="s">
        <v>2224</v>
      </c>
      <c r="Y1556" s="424" t="s">
        <v>2279</v>
      </c>
      <c r="Z1556" s="424" t="s">
        <v>3260</v>
      </c>
      <c r="AA1556" s="424" t="s">
        <v>3327</v>
      </c>
      <c r="AB1556" s="424" t="s">
        <v>3830</v>
      </c>
      <c r="AC1556" s="424" t="s">
        <v>1953</v>
      </c>
      <c r="AD1556" s="424" t="s">
        <v>3329</v>
      </c>
      <c r="AE1556" s="424" t="s">
        <v>3333</v>
      </c>
      <c r="AF1556" s="424"/>
      <c r="AG1556" s="424"/>
      <c r="AH1556" s="424"/>
    </row>
    <row r="1557" spans="1:34" x14ac:dyDescent="0.25">
      <c r="A1557" s="423" t="s">
        <v>6910</v>
      </c>
      <c r="B1557" s="423" t="s">
        <v>6924</v>
      </c>
      <c r="C1557" s="423" t="s">
        <v>6898</v>
      </c>
      <c r="D1557" s="423" t="s">
        <v>6871</v>
      </c>
      <c r="E1557" s="423" t="s">
        <v>203</v>
      </c>
      <c r="F1557" s="423">
        <v>8</v>
      </c>
      <c r="G1557" s="423">
        <v>16</v>
      </c>
      <c r="H1557" s="423">
        <v>502</v>
      </c>
      <c r="J1557" s="423"/>
      <c r="K1557" s="423"/>
      <c r="L1557" s="423"/>
      <c r="M1557" s="423"/>
      <c r="Q1557" s="423"/>
      <c r="R1557" s="424" t="s">
        <v>6924</v>
      </c>
      <c r="S1557" s="424" t="s">
        <v>2846</v>
      </c>
      <c r="T1557" s="424" t="s">
        <v>3291</v>
      </c>
      <c r="U1557" s="424">
        <v>0</v>
      </c>
      <c r="V1557" s="424" t="s">
        <v>3269</v>
      </c>
      <c r="W1557" s="424" t="s">
        <v>2871</v>
      </c>
      <c r="X1557" s="424" t="s">
        <v>2224</v>
      </c>
      <c r="Y1557" s="424" t="s">
        <v>2279</v>
      </c>
      <c r="Z1557" s="424" t="s">
        <v>3260</v>
      </c>
      <c r="AA1557" s="424" t="s">
        <v>3327</v>
      </c>
      <c r="AB1557" s="424" t="s">
        <v>3328</v>
      </c>
      <c r="AC1557" s="424" t="s">
        <v>1953</v>
      </c>
      <c r="AD1557" s="424" t="s">
        <v>3329</v>
      </c>
      <c r="AE1557" s="424" t="s">
        <v>3330</v>
      </c>
      <c r="AF1557" s="424"/>
      <c r="AG1557" s="424"/>
      <c r="AH1557" s="424"/>
    </row>
    <row r="1558" spans="1:34" x14ac:dyDescent="0.25">
      <c r="A1558" s="423" t="s">
        <v>6910</v>
      </c>
      <c r="B1558" s="423" t="s">
        <v>6925</v>
      </c>
      <c r="C1558" s="423" t="s">
        <v>6898</v>
      </c>
      <c r="D1558" s="423" t="s">
        <v>6871</v>
      </c>
      <c r="E1558" s="423" t="s">
        <v>203</v>
      </c>
      <c r="F1558" s="423">
        <v>16</v>
      </c>
      <c r="G1558" s="423">
        <v>8</v>
      </c>
      <c r="H1558" s="423">
        <v>160</v>
      </c>
      <c r="J1558" s="423"/>
      <c r="K1558" s="423"/>
      <c r="L1558" s="423"/>
      <c r="M1558" s="423"/>
      <c r="Q1558" s="423"/>
      <c r="R1558" s="424" t="s">
        <v>6925</v>
      </c>
      <c r="S1558" s="424" t="s">
        <v>2846</v>
      </c>
      <c r="T1558" s="424" t="s">
        <v>3268</v>
      </c>
      <c r="U1558" s="424">
        <v>0</v>
      </c>
      <c r="V1558" s="424" t="s">
        <v>6926</v>
      </c>
      <c r="W1558" s="424">
        <v>0</v>
      </c>
      <c r="X1558" s="424" t="s">
        <v>2224</v>
      </c>
      <c r="Y1558" s="424" t="s">
        <v>2279</v>
      </c>
      <c r="Z1558" s="424">
        <v>0</v>
      </c>
      <c r="AA1558" s="424">
        <v>0</v>
      </c>
      <c r="AB1558" s="424">
        <v>0</v>
      </c>
      <c r="AC1558" s="424">
        <v>0</v>
      </c>
      <c r="AD1558" s="424">
        <v>0</v>
      </c>
      <c r="AE1558" s="424">
        <v>0</v>
      </c>
      <c r="AF1558" s="424"/>
      <c r="AG1558" s="424"/>
      <c r="AH1558" s="424"/>
    </row>
    <row r="1559" spans="1:34" x14ac:dyDescent="0.25">
      <c r="A1559" s="423" t="s">
        <v>6910</v>
      </c>
      <c r="B1559" s="423" t="s">
        <v>6927</v>
      </c>
      <c r="C1559" s="423" t="s">
        <v>6898</v>
      </c>
      <c r="D1559" s="423" t="s">
        <v>6871</v>
      </c>
      <c r="E1559" s="423" t="s">
        <v>203</v>
      </c>
      <c r="F1559" s="423">
        <v>16</v>
      </c>
      <c r="G1559" s="423">
        <v>8</v>
      </c>
      <c r="H1559" s="423">
        <v>160</v>
      </c>
      <c r="J1559" s="423"/>
      <c r="K1559" s="423"/>
      <c r="L1559" s="423"/>
      <c r="M1559" s="423"/>
      <c r="Q1559" s="423"/>
      <c r="R1559" s="424" t="s">
        <v>6927</v>
      </c>
      <c r="S1559" s="424" t="s">
        <v>2846</v>
      </c>
      <c r="T1559" s="424" t="s">
        <v>3268</v>
      </c>
      <c r="U1559" s="424">
        <v>0</v>
      </c>
      <c r="V1559" s="424" t="s">
        <v>6926</v>
      </c>
      <c r="W1559" s="424">
        <v>0</v>
      </c>
      <c r="X1559" s="424" t="s">
        <v>2224</v>
      </c>
      <c r="Y1559" s="424" t="s">
        <v>2279</v>
      </c>
      <c r="Z1559" s="424">
        <v>0</v>
      </c>
      <c r="AA1559" s="424">
        <v>0</v>
      </c>
      <c r="AB1559" s="424">
        <v>0</v>
      </c>
      <c r="AC1559" s="424">
        <v>0</v>
      </c>
      <c r="AD1559" s="424">
        <v>0</v>
      </c>
      <c r="AE1559" s="424">
        <v>0</v>
      </c>
      <c r="AF1559" s="424"/>
      <c r="AG1559" s="424"/>
      <c r="AH1559" s="424"/>
    </row>
    <row r="1560" spans="1:34" x14ac:dyDescent="0.25">
      <c r="A1560" s="423" t="s">
        <v>6910</v>
      </c>
      <c r="B1560" s="423" t="s">
        <v>6928</v>
      </c>
      <c r="C1560" s="423" t="s">
        <v>6898</v>
      </c>
      <c r="D1560" s="423" t="s">
        <v>6871</v>
      </c>
      <c r="E1560" s="423" t="s">
        <v>203</v>
      </c>
      <c r="F1560" s="423">
        <v>6</v>
      </c>
      <c r="G1560" s="423">
        <v>24</v>
      </c>
      <c r="H1560" s="423">
        <v>310</v>
      </c>
      <c r="J1560" s="423"/>
      <c r="K1560" s="423"/>
      <c r="L1560" s="423"/>
      <c r="M1560" s="423"/>
      <c r="Q1560" s="423"/>
      <c r="R1560" s="424" t="s">
        <v>6929</v>
      </c>
      <c r="S1560" s="424" t="s">
        <v>2846</v>
      </c>
      <c r="T1560" s="424" t="s">
        <v>2870</v>
      </c>
      <c r="U1560" s="424">
        <v>0</v>
      </c>
      <c r="V1560" s="424" t="s">
        <v>3176</v>
      </c>
      <c r="W1560" s="424" t="s">
        <v>2974</v>
      </c>
      <c r="X1560" s="424" t="s">
        <v>2224</v>
      </c>
      <c r="Y1560" s="424" t="s">
        <v>2279</v>
      </c>
      <c r="Z1560" s="424" t="s">
        <v>2889</v>
      </c>
      <c r="AA1560" s="424" t="s">
        <v>2890</v>
      </c>
      <c r="AB1560" s="424" t="s">
        <v>4605</v>
      </c>
      <c r="AC1560" s="424" t="s">
        <v>1953</v>
      </c>
      <c r="AD1560" s="424" t="s">
        <v>2892</v>
      </c>
      <c r="AE1560" s="424" t="s">
        <v>2940</v>
      </c>
      <c r="AF1560" s="424"/>
      <c r="AG1560" s="424"/>
      <c r="AH1560" s="424"/>
    </row>
    <row r="1561" spans="1:34" x14ac:dyDescent="0.25">
      <c r="A1561" s="423" t="s">
        <v>6910</v>
      </c>
      <c r="B1561" s="423" t="s">
        <v>6930</v>
      </c>
      <c r="C1561" s="423" t="s">
        <v>6898</v>
      </c>
      <c r="D1561" s="423" t="s">
        <v>6871</v>
      </c>
      <c r="E1561" s="423" t="s">
        <v>203</v>
      </c>
      <c r="F1561" s="423">
        <v>6</v>
      </c>
      <c r="G1561" s="423">
        <v>24</v>
      </c>
      <c r="H1561" s="423">
        <v>310</v>
      </c>
      <c r="J1561" s="423"/>
      <c r="K1561" s="423"/>
      <c r="L1561" s="423"/>
      <c r="M1561" s="423"/>
      <c r="Q1561" s="423"/>
      <c r="R1561" s="424" t="s">
        <v>6931</v>
      </c>
      <c r="S1561" s="424" t="s">
        <v>2846</v>
      </c>
      <c r="T1561" s="424" t="s">
        <v>2870</v>
      </c>
      <c r="U1561" s="424">
        <v>0</v>
      </c>
      <c r="V1561" s="424" t="s">
        <v>3176</v>
      </c>
      <c r="W1561" s="424" t="s">
        <v>3074</v>
      </c>
      <c r="X1561" s="424" t="s">
        <v>2224</v>
      </c>
      <c r="Y1561" s="424" t="s">
        <v>2279</v>
      </c>
      <c r="Z1561" s="424" t="s">
        <v>2872</v>
      </c>
      <c r="AA1561" s="424" t="s">
        <v>2873</v>
      </c>
      <c r="AB1561" s="424" t="s">
        <v>5936</v>
      </c>
      <c r="AC1561" s="424" t="s">
        <v>1953</v>
      </c>
      <c r="AD1561" s="424" t="s">
        <v>2892</v>
      </c>
      <c r="AE1561" s="424" t="s">
        <v>2962</v>
      </c>
      <c r="AF1561" s="424"/>
      <c r="AG1561" s="424"/>
      <c r="AH1561" s="424"/>
    </row>
    <row r="1562" spans="1:34" x14ac:dyDescent="0.25">
      <c r="A1562" s="423" t="s">
        <v>6910</v>
      </c>
      <c r="B1562" s="423" t="s">
        <v>6932</v>
      </c>
      <c r="C1562" s="423" t="s">
        <v>6898</v>
      </c>
      <c r="D1562" s="423" t="s">
        <v>6871</v>
      </c>
      <c r="E1562" s="423" t="s">
        <v>203</v>
      </c>
      <c r="F1562" s="423">
        <v>6</v>
      </c>
      <c r="G1562" s="423">
        <v>24</v>
      </c>
      <c r="H1562" s="423">
        <v>310</v>
      </c>
      <c r="J1562" s="423"/>
      <c r="K1562" s="423"/>
      <c r="L1562" s="423"/>
      <c r="M1562" s="423"/>
      <c r="Q1562" s="423"/>
      <c r="R1562" s="424" t="s">
        <v>6933</v>
      </c>
      <c r="S1562" s="424" t="s">
        <v>2846</v>
      </c>
      <c r="T1562" s="424" t="s">
        <v>2870</v>
      </c>
      <c r="U1562" s="424">
        <v>0</v>
      </c>
      <c r="V1562" s="424" t="s">
        <v>3176</v>
      </c>
      <c r="W1562" s="424" t="s">
        <v>2974</v>
      </c>
      <c r="X1562" s="424" t="s">
        <v>2224</v>
      </c>
      <c r="Y1562" s="424" t="s">
        <v>2279</v>
      </c>
      <c r="Z1562" s="424" t="s">
        <v>2872</v>
      </c>
      <c r="AA1562" s="424" t="s">
        <v>2873</v>
      </c>
      <c r="AB1562" s="424" t="s">
        <v>4503</v>
      </c>
      <c r="AC1562" s="424" t="s">
        <v>1953</v>
      </c>
      <c r="AD1562" s="424" t="s">
        <v>2892</v>
      </c>
      <c r="AE1562" s="424" t="s">
        <v>4219</v>
      </c>
      <c r="AF1562" s="424"/>
      <c r="AG1562" s="424"/>
      <c r="AH1562" s="424"/>
    </row>
    <row r="1563" spans="1:34" x14ac:dyDescent="0.25">
      <c r="A1563" s="423" t="s">
        <v>6910</v>
      </c>
      <c r="B1563" s="423" t="s">
        <v>6934</v>
      </c>
      <c r="C1563" s="423" t="s">
        <v>6898</v>
      </c>
      <c r="D1563" s="423" t="s">
        <v>6871</v>
      </c>
      <c r="E1563" s="423" t="s">
        <v>203</v>
      </c>
      <c r="F1563" s="423">
        <v>10</v>
      </c>
      <c r="G1563" s="423">
        <v>32</v>
      </c>
      <c r="H1563" s="423">
        <v>360</v>
      </c>
      <c r="J1563" s="423"/>
      <c r="K1563" s="423"/>
      <c r="L1563" s="423"/>
      <c r="M1563" s="423"/>
      <c r="Q1563" s="423"/>
      <c r="R1563" s="424" t="s">
        <v>6935</v>
      </c>
      <c r="S1563" s="424" t="s">
        <v>2846</v>
      </c>
      <c r="T1563" s="424" t="s">
        <v>2870</v>
      </c>
      <c r="U1563" s="424">
        <v>0</v>
      </c>
      <c r="V1563" s="424" t="s">
        <v>3176</v>
      </c>
      <c r="W1563" s="424" t="s">
        <v>3074</v>
      </c>
      <c r="X1563" s="424" t="s">
        <v>2224</v>
      </c>
      <c r="Y1563" s="424" t="s">
        <v>2279</v>
      </c>
      <c r="Z1563" s="424" t="s">
        <v>2872</v>
      </c>
      <c r="AA1563" s="424" t="s">
        <v>2873</v>
      </c>
      <c r="AB1563" s="424" t="s">
        <v>5164</v>
      </c>
      <c r="AC1563" s="424" t="s">
        <v>1953</v>
      </c>
      <c r="AD1563" s="424" t="s">
        <v>2892</v>
      </c>
      <c r="AE1563" s="424" t="s">
        <v>2962</v>
      </c>
      <c r="AF1563" s="424"/>
      <c r="AG1563" s="424"/>
      <c r="AH1563" s="424"/>
    </row>
    <row r="1564" spans="1:34" x14ac:dyDescent="0.25">
      <c r="A1564" s="423" t="s">
        <v>6910</v>
      </c>
      <c r="B1564" s="423" t="s">
        <v>6936</v>
      </c>
      <c r="C1564" s="423" t="s">
        <v>6898</v>
      </c>
      <c r="D1564" s="423" t="s">
        <v>6871</v>
      </c>
      <c r="E1564" s="423" t="s">
        <v>203</v>
      </c>
      <c r="F1564" s="423">
        <v>10</v>
      </c>
      <c r="G1564" s="423">
        <v>32</v>
      </c>
      <c r="H1564" s="423">
        <v>360</v>
      </c>
      <c r="J1564" s="423"/>
      <c r="K1564" s="423"/>
      <c r="L1564" s="423"/>
      <c r="M1564" s="423"/>
      <c r="Q1564" s="423"/>
      <c r="R1564" s="424" t="s">
        <v>6937</v>
      </c>
      <c r="S1564" s="424" t="s">
        <v>2846</v>
      </c>
      <c r="T1564" s="424" t="s">
        <v>2870</v>
      </c>
      <c r="U1564" s="424">
        <v>0</v>
      </c>
      <c r="V1564" s="424" t="s">
        <v>3176</v>
      </c>
      <c r="W1564" s="424" t="s">
        <v>2974</v>
      </c>
      <c r="X1564" s="424" t="s">
        <v>2224</v>
      </c>
      <c r="Y1564" s="424" t="s">
        <v>2279</v>
      </c>
      <c r="Z1564" s="424" t="s">
        <v>2872</v>
      </c>
      <c r="AA1564" s="424" t="s">
        <v>2873</v>
      </c>
      <c r="AB1564" s="424" t="s">
        <v>4462</v>
      </c>
      <c r="AC1564" s="424" t="s">
        <v>1953</v>
      </c>
      <c r="AD1564" s="424" t="s">
        <v>2892</v>
      </c>
      <c r="AE1564" s="424" t="s">
        <v>4463</v>
      </c>
      <c r="AF1564" s="424"/>
      <c r="AG1564" s="424"/>
      <c r="AH1564" s="424"/>
    </row>
    <row r="1565" spans="1:34" x14ac:dyDescent="0.25">
      <c r="A1565" s="423" t="s">
        <v>6910</v>
      </c>
      <c r="B1565" s="423" t="s">
        <v>6938</v>
      </c>
      <c r="C1565" s="423" t="s">
        <v>6898</v>
      </c>
      <c r="D1565" s="423" t="s">
        <v>6871</v>
      </c>
      <c r="E1565" s="423" t="s">
        <v>203</v>
      </c>
      <c r="F1565" s="423">
        <v>10</v>
      </c>
      <c r="G1565" s="423">
        <v>32</v>
      </c>
      <c r="H1565" s="423">
        <v>360</v>
      </c>
      <c r="J1565" s="423"/>
      <c r="K1565" s="423"/>
      <c r="L1565" s="423"/>
      <c r="M1565" s="423"/>
      <c r="Q1565" s="423"/>
      <c r="R1565" s="424" t="s">
        <v>6939</v>
      </c>
      <c r="S1565" s="424" t="s">
        <v>2846</v>
      </c>
      <c r="T1565" s="424" t="s">
        <v>2870</v>
      </c>
      <c r="U1565" s="424">
        <v>0</v>
      </c>
      <c r="V1565" s="424" t="s">
        <v>3176</v>
      </c>
      <c r="W1565" s="424" t="s">
        <v>3074</v>
      </c>
      <c r="X1565" s="424" t="s">
        <v>2224</v>
      </c>
      <c r="Y1565" s="424" t="s">
        <v>2279</v>
      </c>
      <c r="Z1565" s="424" t="s">
        <v>2872</v>
      </c>
      <c r="AA1565" s="424" t="s">
        <v>2873</v>
      </c>
      <c r="AB1565" s="424" t="s">
        <v>5164</v>
      </c>
      <c r="AC1565" s="424" t="s">
        <v>1953</v>
      </c>
      <c r="AD1565" s="424" t="s">
        <v>2892</v>
      </c>
      <c r="AE1565" s="424" t="s">
        <v>2962</v>
      </c>
      <c r="AF1565" s="424"/>
      <c r="AG1565" s="424"/>
      <c r="AH1565" s="424"/>
    </row>
    <row r="1566" spans="1:34" x14ac:dyDescent="0.25">
      <c r="A1566" s="423" t="s">
        <v>6910</v>
      </c>
      <c r="B1566" s="423" t="s">
        <v>6940</v>
      </c>
      <c r="C1566" s="423" t="s">
        <v>6898</v>
      </c>
      <c r="D1566" s="423" t="s">
        <v>6871</v>
      </c>
      <c r="E1566" s="423" t="s">
        <v>203</v>
      </c>
      <c r="F1566" s="423">
        <v>24</v>
      </c>
      <c r="G1566" s="423">
        <v>126</v>
      </c>
      <c r="H1566" s="423">
        <v>27092</v>
      </c>
      <c r="J1566" s="423"/>
      <c r="K1566" s="423"/>
      <c r="L1566" s="423"/>
      <c r="M1566" s="423"/>
      <c r="Q1566" s="423"/>
      <c r="R1566" s="424" t="s">
        <v>6941</v>
      </c>
      <c r="S1566" s="424" t="s">
        <v>2820</v>
      </c>
      <c r="T1566" s="424" t="s">
        <v>6876</v>
      </c>
      <c r="U1566" s="424">
        <v>0</v>
      </c>
      <c r="V1566" s="424" t="s">
        <v>6877</v>
      </c>
      <c r="W1566" s="424" t="s">
        <v>2824</v>
      </c>
      <c r="X1566" s="424">
        <v>0</v>
      </c>
      <c r="Y1566" s="424" t="s">
        <v>2279</v>
      </c>
      <c r="Z1566" s="424" t="s">
        <v>2826</v>
      </c>
      <c r="AA1566" s="424" t="s">
        <v>3636</v>
      </c>
      <c r="AB1566" s="424" t="s">
        <v>6942</v>
      </c>
      <c r="AC1566" s="424" t="s">
        <v>1953</v>
      </c>
      <c r="AD1566" s="424" t="s">
        <v>2829</v>
      </c>
      <c r="AE1566" s="424" t="s">
        <v>6943</v>
      </c>
      <c r="AF1566" s="424"/>
      <c r="AG1566" s="424"/>
      <c r="AH1566" s="424"/>
    </row>
    <row r="1567" spans="1:34" x14ac:dyDescent="0.25">
      <c r="A1567" s="423" t="s">
        <v>6910</v>
      </c>
      <c r="B1567" s="423" t="s">
        <v>6944</v>
      </c>
      <c r="C1567" s="423" t="s">
        <v>6898</v>
      </c>
      <c r="D1567" s="423" t="s">
        <v>6871</v>
      </c>
      <c r="E1567" s="423" t="s">
        <v>203</v>
      </c>
      <c r="F1567" s="423">
        <v>24</v>
      </c>
      <c r="G1567" s="423">
        <v>126</v>
      </c>
      <c r="H1567" s="423">
        <v>25804</v>
      </c>
      <c r="J1567" s="423"/>
      <c r="K1567" s="423"/>
      <c r="L1567" s="423"/>
      <c r="M1567" s="423"/>
      <c r="Q1567" s="423"/>
      <c r="R1567" s="424" t="s">
        <v>6945</v>
      </c>
      <c r="S1567" s="424" t="s">
        <v>2820</v>
      </c>
      <c r="T1567" s="424" t="s">
        <v>6876</v>
      </c>
      <c r="U1567" s="424">
        <v>0</v>
      </c>
      <c r="V1567" s="424" t="s">
        <v>6877</v>
      </c>
      <c r="W1567" s="424" t="s">
        <v>2824</v>
      </c>
      <c r="X1567" s="424">
        <v>0</v>
      </c>
      <c r="Y1567" s="424" t="s">
        <v>2279</v>
      </c>
      <c r="Z1567" s="424" t="s">
        <v>2826</v>
      </c>
      <c r="AA1567" s="424" t="s">
        <v>3636</v>
      </c>
      <c r="AB1567" s="424" t="s">
        <v>6946</v>
      </c>
      <c r="AC1567" s="424" t="s">
        <v>1953</v>
      </c>
      <c r="AD1567" s="424" t="s">
        <v>2829</v>
      </c>
      <c r="AE1567" s="424" t="s">
        <v>3638</v>
      </c>
      <c r="AF1567" s="424"/>
      <c r="AG1567" s="424"/>
      <c r="AH1567" s="424"/>
    </row>
    <row r="1568" spans="1:34" x14ac:dyDescent="0.25">
      <c r="A1568" s="423" t="s">
        <v>6947</v>
      </c>
      <c r="B1568" s="423" t="s">
        <v>6948</v>
      </c>
      <c r="C1568" s="423" t="s">
        <v>6885</v>
      </c>
      <c r="D1568" s="423" t="s">
        <v>6871</v>
      </c>
      <c r="E1568" s="423" t="s">
        <v>203</v>
      </c>
      <c r="F1568" s="423">
        <v>16</v>
      </c>
      <c r="G1568" s="423">
        <v>32</v>
      </c>
      <c r="H1568" s="423">
        <v>350</v>
      </c>
      <c r="J1568" s="423"/>
      <c r="K1568" s="423"/>
      <c r="L1568" s="423"/>
      <c r="M1568" s="423"/>
      <c r="Q1568" s="423"/>
      <c r="R1568" s="424" t="s">
        <v>6948</v>
      </c>
      <c r="S1568" s="424" t="s">
        <v>2846</v>
      </c>
      <c r="T1568" s="424" t="s">
        <v>3906</v>
      </c>
      <c r="U1568" s="424">
        <v>0</v>
      </c>
      <c r="V1568" s="424" t="s">
        <v>6926</v>
      </c>
      <c r="W1568" s="424">
        <v>0</v>
      </c>
      <c r="X1568" s="424" t="s">
        <v>2224</v>
      </c>
      <c r="Y1568" s="424" t="s">
        <v>3908</v>
      </c>
      <c r="Z1568" s="424">
        <v>0</v>
      </c>
      <c r="AA1568" s="424">
        <v>0</v>
      </c>
      <c r="AB1568" s="424">
        <v>0</v>
      </c>
      <c r="AC1568" s="424">
        <v>0</v>
      </c>
      <c r="AD1568" s="424">
        <v>0</v>
      </c>
      <c r="AE1568" s="424">
        <v>0</v>
      </c>
      <c r="AF1568" s="424"/>
      <c r="AG1568" s="424"/>
      <c r="AH1568" s="424"/>
    </row>
    <row r="1569" spans="1:34" x14ac:dyDescent="0.25">
      <c r="A1569" s="423" t="s">
        <v>6947</v>
      </c>
      <c r="B1569" s="423" t="s">
        <v>6949</v>
      </c>
      <c r="C1569" s="423" t="s">
        <v>6885</v>
      </c>
      <c r="D1569" s="423" t="s">
        <v>6871</v>
      </c>
      <c r="E1569" s="423" t="s">
        <v>203</v>
      </c>
      <c r="F1569" s="423">
        <v>16</v>
      </c>
      <c r="G1569" s="423">
        <v>32</v>
      </c>
      <c r="H1569" s="423">
        <v>350</v>
      </c>
      <c r="J1569" s="423"/>
      <c r="K1569" s="423"/>
      <c r="L1569" s="423"/>
      <c r="M1569" s="423"/>
      <c r="Q1569" s="423"/>
      <c r="R1569" s="424" t="s">
        <v>6949</v>
      </c>
      <c r="S1569" s="424" t="s">
        <v>2846</v>
      </c>
      <c r="T1569" s="424" t="s">
        <v>3906</v>
      </c>
      <c r="U1569" s="424">
        <v>0</v>
      </c>
      <c r="V1569" s="424" t="s">
        <v>6926</v>
      </c>
      <c r="W1569" s="424">
        <v>0</v>
      </c>
      <c r="X1569" s="424" t="s">
        <v>2224</v>
      </c>
      <c r="Y1569" s="424" t="s">
        <v>3908</v>
      </c>
      <c r="Z1569" s="424">
        <v>0</v>
      </c>
      <c r="AA1569" s="424">
        <v>0</v>
      </c>
      <c r="AB1569" s="424">
        <v>0</v>
      </c>
      <c r="AC1569" s="424">
        <v>0</v>
      </c>
      <c r="AD1569" s="424">
        <v>0</v>
      </c>
      <c r="AE1569" s="424">
        <v>0</v>
      </c>
      <c r="AF1569" s="424"/>
      <c r="AG1569" s="424"/>
      <c r="AH1569" s="424"/>
    </row>
    <row r="1570" spans="1:34" x14ac:dyDescent="0.25">
      <c r="A1570" s="423" t="s">
        <v>6947</v>
      </c>
      <c r="B1570" s="423" t="s">
        <v>6950</v>
      </c>
      <c r="C1570" s="423" t="s">
        <v>6885</v>
      </c>
      <c r="D1570" s="423" t="s">
        <v>6871</v>
      </c>
      <c r="E1570" s="423" t="s">
        <v>203</v>
      </c>
      <c r="F1570" s="423">
        <v>16</v>
      </c>
      <c r="G1570" s="423">
        <v>32</v>
      </c>
      <c r="H1570" s="423">
        <v>350</v>
      </c>
      <c r="J1570" s="423"/>
      <c r="K1570" s="423"/>
      <c r="L1570" s="423"/>
      <c r="M1570" s="423"/>
      <c r="Q1570" s="423"/>
      <c r="R1570" s="424" t="s">
        <v>6950</v>
      </c>
      <c r="S1570" s="424" t="s">
        <v>2846</v>
      </c>
      <c r="T1570" s="424" t="s">
        <v>3906</v>
      </c>
      <c r="U1570" s="424">
        <v>0</v>
      </c>
      <c r="V1570" s="424" t="s">
        <v>6926</v>
      </c>
      <c r="W1570" s="424">
        <v>0</v>
      </c>
      <c r="X1570" s="424" t="s">
        <v>2224</v>
      </c>
      <c r="Y1570" s="424" t="s">
        <v>3908</v>
      </c>
      <c r="Z1570" s="424">
        <v>0</v>
      </c>
      <c r="AA1570" s="424">
        <v>0</v>
      </c>
      <c r="AB1570" s="424">
        <v>0</v>
      </c>
      <c r="AC1570" s="424">
        <v>0</v>
      </c>
      <c r="AD1570" s="424">
        <v>0</v>
      </c>
      <c r="AE1570" s="424">
        <v>0</v>
      </c>
      <c r="AF1570" s="424"/>
      <c r="AG1570" s="424"/>
      <c r="AH1570" s="424"/>
    </row>
    <row r="1571" spans="1:34" x14ac:dyDescent="0.25">
      <c r="A1571" s="423" t="s">
        <v>6947</v>
      </c>
      <c r="B1571" s="423" t="s">
        <v>6951</v>
      </c>
      <c r="C1571" s="423" t="s">
        <v>6885</v>
      </c>
      <c r="D1571" s="423" t="s">
        <v>6871</v>
      </c>
      <c r="E1571" s="423" t="s">
        <v>203</v>
      </c>
      <c r="F1571" s="423">
        <v>16</v>
      </c>
      <c r="G1571" s="423">
        <v>32</v>
      </c>
      <c r="H1571" s="423">
        <v>350</v>
      </c>
      <c r="J1571" s="423"/>
      <c r="K1571" s="423"/>
      <c r="L1571" s="423"/>
      <c r="M1571" s="423"/>
      <c r="Q1571" s="423"/>
      <c r="R1571" s="424" t="s">
        <v>6951</v>
      </c>
      <c r="S1571" s="424" t="s">
        <v>2846</v>
      </c>
      <c r="T1571" s="424" t="s">
        <v>3906</v>
      </c>
      <c r="U1571" s="424">
        <v>0</v>
      </c>
      <c r="V1571" s="424" t="s">
        <v>6926</v>
      </c>
      <c r="W1571" s="424">
        <v>0</v>
      </c>
      <c r="X1571" s="424" t="s">
        <v>2224</v>
      </c>
      <c r="Y1571" s="424" t="s">
        <v>3908</v>
      </c>
      <c r="Z1571" s="424">
        <v>0</v>
      </c>
      <c r="AA1571" s="424">
        <v>0</v>
      </c>
      <c r="AB1571" s="424">
        <v>0</v>
      </c>
      <c r="AC1571" s="424">
        <v>0</v>
      </c>
      <c r="AD1571" s="424">
        <v>0</v>
      </c>
      <c r="AE1571" s="424">
        <v>0</v>
      </c>
      <c r="AF1571" s="424"/>
      <c r="AG1571" s="424"/>
      <c r="AH1571" s="424"/>
    </row>
    <row r="1572" spans="1:34" x14ac:dyDescent="0.25">
      <c r="A1572" s="423" t="s">
        <v>6947</v>
      </c>
      <c r="B1572" s="423" t="s">
        <v>6952</v>
      </c>
      <c r="C1572" s="423" t="s">
        <v>6885</v>
      </c>
      <c r="D1572" s="423" t="s">
        <v>6871</v>
      </c>
      <c r="E1572" s="423" t="s">
        <v>203</v>
      </c>
      <c r="F1572" s="423">
        <v>6</v>
      </c>
      <c r="G1572" s="423">
        <v>27</v>
      </c>
      <c r="H1572" s="423">
        <v>332</v>
      </c>
      <c r="J1572" s="423"/>
      <c r="K1572" s="423"/>
      <c r="L1572" s="423"/>
      <c r="M1572" s="423"/>
      <c r="Q1572" s="423"/>
      <c r="R1572" s="424" t="s">
        <v>6952</v>
      </c>
      <c r="S1572" s="424" t="s">
        <v>2846</v>
      </c>
      <c r="T1572" s="424" t="s">
        <v>3906</v>
      </c>
      <c r="U1572" s="424">
        <v>0</v>
      </c>
      <c r="V1572" s="424" t="s">
        <v>6926</v>
      </c>
      <c r="W1572" s="424" t="s">
        <v>2974</v>
      </c>
      <c r="X1572" s="424" t="s">
        <v>2224</v>
      </c>
      <c r="Y1572" s="424" t="s">
        <v>3908</v>
      </c>
      <c r="Z1572" s="424" t="s">
        <v>2848</v>
      </c>
      <c r="AA1572" s="424" t="s">
        <v>2849</v>
      </c>
      <c r="AB1572" s="424" t="s">
        <v>6914</v>
      </c>
      <c r="AC1572" s="424" t="s">
        <v>1953</v>
      </c>
      <c r="AD1572" s="424" t="s">
        <v>2851</v>
      </c>
      <c r="AE1572" s="424" t="s">
        <v>3467</v>
      </c>
      <c r="AF1572" s="424"/>
      <c r="AG1572" s="424"/>
      <c r="AH1572" s="424"/>
    </row>
    <row r="1573" spans="1:34" x14ac:dyDescent="0.25">
      <c r="A1573" s="423" t="s">
        <v>6947</v>
      </c>
      <c r="B1573" s="423" t="s">
        <v>6953</v>
      </c>
      <c r="C1573" s="423" t="s">
        <v>6885</v>
      </c>
      <c r="D1573" s="423" t="s">
        <v>6871</v>
      </c>
      <c r="E1573" s="423" t="s">
        <v>203</v>
      </c>
      <c r="F1573" s="423">
        <v>6</v>
      </c>
      <c r="G1573" s="423">
        <v>27</v>
      </c>
      <c r="H1573" s="423">
        <v>332</v>
      </c>
      <c r="J1573" s="423"/>
      <c r="K1573" s="423"/>
      <c r="L1573" s="423"/>
      <c r="M1573" s="423"/>
      <c r="Q1573" s="423"/>
      <c r="R1573" s="424" t="s">
        <v>6953</v>
      </c>
      <c r="S1573" s="424" t="s">
        <v>2846</v>
      </c>
      <c r="T1573" s="424" t="s">
        <v>6954</v>
      </c>
      <c r="U1573" s="424">
        <v>0</v>
      </c>
      <c r="V1573" s="424" t="s">
        <v>6926</v>
      </c>
      <c r="W1573" s="424">
        <v>0</v>
      </c>
      <c r="X1573" s="424" t="s">
        <v>2224</v>
      </c>
      <c r="Y1573" s="424" t="s">
        <v>3908</v>
      </c>
      <c r="Z1573" s="424">
        <v>0</v>
      </c>
      <c r="AA1573" s="424">
        <v>0</v>
      </c>
      <c r="AB1573" s="424">
        <v>0</v>
      </c>
      <c r="AC1573" s="424">
        <v>0</v>
      </c>
      <c r="AD1573" s="424">
        <v>0</v>
      </c>
      <c r="AE1573" s="424">
        <v>0</v>
      </c>
      <c r="AF1573" s="424"/>
      <c r="AG1573" s="424"/>
      <c r="AH1573" s="424"/>
    </row>
    <row r="1574" spans="1:34" x14ac:dyDescent="0.25">
      <c r="A1574" s="423" t="s">
        <v>6947</v>
      </c>
      <c r="B1574" s="423" t="s">
        <v>6955</v>
      </c>
      <c r="C1574" s="423" t="s">
        <v>6885</v>
      </c>
      <c r="D1574" s="423" t="s">
        <v>6871</v>
      </c>
      <c r="E1574" s="423" t="s">
        <v>203</v>
      </c>
      <c r="F1574" s="423">
        <v>16</v>
      </c>
      <c r="G1574" s="423">
        <v>20</v>
      </c>
      <c r="H1574" s="423">
        <v>250</v>
      </c>
      <c r="J1574" s="423"/>
      <c r="K1574" s="423"/>
      <c r="L1574" s="423"/>
      <c r="M1574" s="423"/>
      <c r="Q1574" s="423"/>
      <c r="R1574" s="424" t="s">
        <v>6955</v>
      </c>
      <c r="S1574" s="424" t="s">
        <v>2846</v>
      </c>
      <c r="T1574" s="424" t="s">
        <v>3906</v>
      </c>
      <c r="U1574" s="424">
        <v>0</v>
      </c>
      <c r="V1574" s="424" t="s">
        <v>6926</v>
      </c>
      <c r="W1574" s="424">
        <v>0</v>
      </c>
      <c r="X1574" s="424" t="s">
        <v>2224</v>
      </c>
      <c r="Y1574" s="424" t="s">
        <v>3908</v>
      </c>
      <c r="Z1574" s="424">
        <v>0</v>
      </c>
      <c r="AA1574" s="424">
        <v>0</v>
      </c>
      <c r="AB1574" s="424">
        <v>0</v>
      </c>
      <c r="AC1574" s="424">
        <v>0</v>
      </c>
      <c r="AD1574" s="424">
        <v>0</v>
      </c>
      <c r="AE1574" s="424">
        <v>0</v>
      </c>
      <c r="AF1574" s="424"/>
      <c r="AG1574" s="424"/>
      <c r="AH1574" s="424"/>
    </row>
    <row r="1575" spans="1:34" x14ac:dyDescent="0.25">
      <c r="A1575" s="423" t="s">
        <v>6956</v>
      </c>
      <c r="B1575" s="423" t="s">
        <v>3251</v>
      </c>
      <c r="C1575" s="423" t="s">
        <v>6885</v>
      </c>
      <c r="D1575" s="423" t="s">
        <v>6871</v>
      </c>
      <c r="E1575" s="423" t="s">
        <v>203</v>
      </c>
      <c r="F1575" s="423">
        <v>16</v>
      </c>
      <c r="G1575" s="423">
        <v>32</v>
      </c>
      <c r="H1575" s="423">
        <v>197</v>
      </c>
      <c r="J1575" s="423"/>
      <c r="K1575" s="423"/>
      <c r="L1575" s="423"/>
      <c r="M1575" s="423"/>
      <c r="Q1575" s="423"/>
      <c r="R1575" s="424" t="s">
        <v>3254</v>
      </c>
      <c r="S1575" s="424" t="s">
        <v>2846</v>
      </c>
      <c r="T1575" s="424" t="s">
        <v>2847</v>
      </c>
      <c r="U1575" s="424">
        <v>0</v>
      </c>
      <c r="V1575" s="424" t="s">
        <v>2973</v>
      </c>
      <c r="W1575" s="424" t="s">
        <v>3055</v>
      </c>
      <c r="X1575" s="424" t="s">
        <v>2825</v>
      </c>
      <c r="Y1575" s="424" t="s">
        <v>2279</v>
      </c>
      <c r="Z1575" s="424" t="s">
        <v>2848</v>
      </c>
      <c r="AA1575" s="424" t="s">
        <v>2855</v>
      </c>
      <c r="AB1575" s="424" t="s">
        <v>3255</v>
      </c>
      <c r="AC1575" s="424" t="s">
        <v>1953</v>
      </c>
      <c r="AD1575" s="424" t="s">
        <v>2851</v>
      </c>
      <c r="AE1575" s="424" t="s">
        <v>3168</v>
      </c>
      <c r="AF1575" s="424"/>
      <c r="AG1575" s="424"/>
      <c r="AH1575" s="424"/>
    </row>
    <row r="1576" spans="1:34" x14ac:dyDescent="0.25">
      <c r="A1576" s="423" t="s">
        <v>6956</v>
      </c>
      <c r="B1576" s="423" t="s">
        <v>6957</v>
      </c>
      <c r="C1576" s="423" t="s">
        <v>6885</v>
      </c>
      <c r="D1576" s="423" t="s">
        <v>6871</v>
      </c>
      <c r="E1576" s="423" t="s">
        <v>203</v>
      </c>
      <c r="F1576" s="423">
        <v>4</v>
      </c>
      <c r="G1576" s="423">
        <v>4</v>
      </c>
      <c r="H1576" s="423">
        <v>79</v>
      </c>
      <c r="J1576" s="423"/>
      <c r="K1576" s="423"/>
      <c r="L1576" s="423"/>
      <c r="M1576" s="423"/>
      <c r="Q1576" s="423"/>
      <c r="R1576" s="424" t="s">
        <v>6957</v>
      </c>
      <c r="S1576" s="424" t="s">
        <v>2846</v>
      </c>
      <c r="T1576" s="424" t="s">
        <v>3268</v>
      </c>
      <c r="U1576" s="424">
        <v>0</v>
      </c>
      <c r="V1576" s="424" t="s">
        <v>3269</v>
      </c>
      <c r="W1576" s="424" t="s">
        <v>3074</v>
      </c>
      <c r="X1576" s="424" t="s">
        <v>2825</v>
      </c>
      <c r="Y1576" s="424" t="s">
        <v>2279</v>
      </c>
      <c r="Z1576" s="424" t="s">
        <v>3270</v>
      </c>
      <c r="AA1576" s="424" t="s">
        <v>3271</v>
      </c>
      <c r="AB1576" s="424" t="s">
        <v>3272</v>
      </c>
      <c r="AC1576" s="424" t="s">
        <v>1953</v>
      </c>
      <c r="AD1576" s="424" t="s">
        <v>2851</v>
      </c>
      <c r="AE1576" s="424" t="s">
        <v>3206</v>
      </c>
      <c r="AF1576" s="424"/>
      <c r="AG1576" s="424"/>
      <c r="AH1576" s="424"/>
    </row>
    <row r="1577" spans="1:34" x14ac:dyDescent="0.25">
      <c r="A1577" s="423" t="s">
        <v>6956</v>
      </c>
      <c r="B1577" s="423" t="s">
        <v>6958</v>
      </c>
      <c r="C1577" s="423" t="s">
        <v>6885</v>
      </c>
      <c r="D1577" s="423" t="s">
        <v>6871</v>
      </c>
      <c r="E1577" s="423" t="s">
        <v>203</v>
      </c>
      <c r="F1577" s="423">
        <v>32</v>
      </c>
      <c r="G1577" s="423">
        <v>32</v>
      </c>
      <c r="H1577" s="423">
        <v>197</v>
      </c>
      <c r="J1577" s="423"/>
      <c r="K1577" s="423"/>
      <c r="L1577" s="423"/>
      <c r="M1577" s="423"/>
      <c r="Q1577" s="423"/>
      <c r="R1577" s="424" t="s">
        <v>6959</v>
      </c>
      <c r="S1577" s="424" t="s">
        <v>2846</v>
      </c>
      <c r="T1577" s="424" t="s">
        <v>2847</v>
      </c>
      <c r="U1577" s="424">
        <v>0</v>
      </c>
      <c r="V1577" s="424" t="s">
        <v>2973</v>
      </c>
      <c r="W1577" s="424" t="s">
        <v>3176</v>
      </c>
      <c r="X1577" s="424" t="s">
        <v>2825</v>
      </c>
      <c r="Y1577" s="424" t="s">
        <v>2279</v>
      </c>
      <c r="Z1577" s="424" t="s">
        <v>3260</v>
      </c>
      <c r="AA1577" s="424" t="s">
        <v>3197</v>
      </c>
      <c r="AB1577" s="424" t="s">
        <v>5638</v>
      </c>
      <c r="AC1577" s="424" t="s">
        <v>1953</v>
      </c>
      <c r="AD1577" s="424" t="s">
        <v>2851</v>
      </c>
      <c r="AE1577" s="424" t="s">
        <v>3550</v>
      </c>
      <c r="AF1577" s="424"/>
      <c r="AG1577" s="424"/>
      <c r="AH1577" s="424"/>
    </row>
    <row r="1578" spans="1:34" x14ac:dyDescent="0.25">
      <c r="A1578" s="423" t="s">
        <v>6956</v>
      </c>
      <c r="B1578" s="423" t="s">
        <v>6960</v>
      </c>
      <c r="C1578" s="423" t="s">
        <v>6885</v>
      </c>
      <c r="D1578" s="423" t="s">
        <v>6871</v>
      </c>
      <c r="E1578" s="423" t="s">
        <v>203</v>
      </c>
      <c r="F1578" s="423">
        <v>8</v>
      </c>
      <c r="G1578" s="423">
        <v>8</v>
      </c>
      <c r="H1578" s="423">
        <v>50</v>
      </c>
      <c r="J1578" s="423"/>
      <c r="K1578" s="423"/>
      <c r="L1578" s="423"/>
      <c r="M1578" s="423"/>
      <c r="Q1578" s="423"/>
      <c r="R1578" s="424" t="s">
        <v>6960</v>
      </c>
      <c r="S1578" s="424" t="s">
        <v>2846</v>
      </c>
      <c r="T1578" s="424" t="s">
        <v>2847</v>
      </c>
      <c r="U1578" s="424">
        <v>0</v>
      </c>
      <c r="V1578" s="424" t="s">
        <v>3283</v>
      </c>
      <c r="W1578" s="424" t="s">
        <v>3074</v>
      </c>
      <c r="X1578" s="424" t="s">
        <v>2825</v>
      </c>
      <c r="Y1578" s="424" t="s">
        <v>2279</v>
      </c>
      <c r="Z1578" s="424" t="s">
        <v>3260</v>
      </c>
      <c r="AA1578" s="424" t="s">
        <v>3197</v>
      </c>
      <c r="AB1578" s="424" t="s">
        <v>4417</v>
      </c>
      <c r="AC1578" s="424" t="s">
        <v>1953</v>
      </c>
      <c r="AD1578" s="424" t="s">
        <v>2851</v>
      </c>
      <c r="AE1578" s="424" t="s">
        <v>4418</v>
      </c>
      <c r="AF1578" s="424"/>
      <c r="AG1578" s="424"/>
      <c r="AH1578" s="424"/>
    </row>
    <row r="1579" spans="1:34" x14ac:dyDescent="0.25">
      <c r="A1579" s="423" t="s">
        <v>6956</v>
      </c>
      <c r="B1579" s="423" t="s">
        <v>6961</v>
      </c>
      <c r="C1579" s="423" t="s">
        <v>6885</v>
      </c>
      <c r="D1579" s="423" t="s">
        <v>6871</v>
      </c>
      <c r="E1579" s="423" t="s">
        <v>203</v>
      </c>
      <c r="F1579" s="423">
        <v>16</v>
      </c>
      <c r="G1579" s="423">
        <v>24</v>
      </c>
      <c r="H1579" s="423">
        <v>197</v>
      </c>
      <c r="J1579" s="423"/>
      <c r="K1579" s="423"/>
      <c r="L1579" s="423"/>
      <c r="M1579" s="423"/>
      <c r="Q1579" s="423"/>
      <c r="R1579" s="424" t="s">
        <v>6961</v>
      </c>
      <c r="S1579" s="424" t="s">
        <v>2846</v>
      </c>
      <c r="T1579" s="424" t="s">
        <v>3268</v>
      </c>
      <c r="U1579" s="424">
        <v>0</v>
      </c>
      <c r="V1579" s="424" t="s">
        <v>3269</v>
      </c>
      <c r="W1579" s="424" t="s">
        <v>3054</v>
      </c>
      <c r="X1579" s="424" t="s">
        <v>2825</v>
      </c>
      <c r="Y1579" s="424" t="s">
        <v>2279</v>
      </c>
      <c r="Z1579" s="424" t="s">
        <v>2848</v>
      </c>
      <c r="AA1579" s="424" t="s">
        <v>2855</v>
      </c>
      <c r="AB1579" s="424" t="s">
        <v>6962</v>
      </c>
      <c r="AC1579" s="424" t="s">
        <v>1953</v>
      </c>
      <c r="AD1579" s="424" t="s">
        <v>2851</v>
      </c>
      <c r="AE1579" s="424" t="s">
        <v>3719</v>
      </c>
      <c r="AF1579" s="424"/>
      <c r="AG1579" s="424"/>
      <c r="AH1579" s="424"/>
    </row>
    <row r="1580" spans="1:34" x14ac:dyDescent="0.25">
      <c r="A1580" s="423" t="s">
        <v>6956</v>
      </c>
      <c r="B1580" s="423" t="s">
        <v>6963</v>
      </c>
      <c r="C1580" s="423" t="s">
        <v>6885</v>
      </c>
      <c r="D1580" s="423" t="s">
        <v>6871</v>
      </c>
      <c r="E1580" s="423" t="s">
        <v>203</v>
      </c>
      <c r="F1580" s="423">
        <v>16</v>
      </c>
      <c r="G1580" s="423">
        <v>24</v>
      </c>
      <c r="H1580" s="423">
        <v>197</v>
      </c>
      <c r="J1580" s="423"/>
      <c r="K1580" s="423"/>
      <c r="L1580" s="423"/>
      <c r="M1580" s="423"/>
      <c r="Q1580" s="423"/>
      <c r="R1580" s="424" t="s">
        <v>6963</v>
      </c>
      <c r="S1580" s="424" t="s">
        <v>2846</v>
      </c>
      <c r="T1580" s="424" t="s">
        <v>3268</v>
      </c>
      <c r="U1580" s="424">
        <v>0</v>
      </c>
      <c r="V1580" s="424" t="s">
        <v>3269</v>
      </c>
      <c r="W1580" s="424" t="s">
        <v>3176</v>
      </c>
      <c r="X1580" s="424" t="s">
        <v>2825</v>
      </c>
      <c r="Y1580" s="424" t="s">
        <v>2279</v>
      </c>
      <c r="Z1580" s="424" t="s">
        <v>3260</v>
      </c>
      <c r="AA1580" s="424" t="s">
        <v>3197</v>
      </c>
      <c r="AB1580" s="424" t="s">
        <v>6964</v>
      </c>
      <c r="AC1580" s="424" t="s">
        <v>1953</v>
      </c>
      <c r="AD1580" s="424" t="s">
        <v>2851</v>
      </c>
      <c r="AE1580" s="424" t="s">
        <v>3674</v>
      </c>
      <c r="AF1580" s="424"/>
      <c r="AG1580" s="424"/>
      <c r="AH1580" s="424"/>
    </row>
    <row r="1581" spans="1:34" x14ac:dyDescent="0.25">
      <c r="A1581" s="423" t="s">
        <v>6956</v>
      </c>
      <c r="B1581" s="423" t="s">
        <v>6965</v>
      </c>
      <c r="C1581" s="423" t="s">
        <v>6885</v>
      </c>
      <c r="D1581" s="423" t="s">
        <v>6871</v>
      </c>
      <c r="E1581" s="423" t="s">
        <v>203</v>
      </c>
      <c r="F1581" s="423">
        <v>4</v>
      </c>
      <c r="G1581" s="423">
        <v>8</v>
      </c>
      <c r="H1581" s="423">
        <v>197</v>
      </c>
      <c r="J1581" s="423"/>
      <c r="K1581" s="423"/>
      <c r="L1581" s="423"/>
      <c r="M1581" s="423"/>
      <c r="Q1581" s="423"/>
      <c r="R1581" s="424" t="s">
        <v>6965</v>
      </c>
      <c r="S1581" s="424" t="s">
        <v>2846</v>
      </c>
      <c r="T1581" s="424" t="s">
        <v>3291</v>
      </c>
      <c r="U1581" s="424">
        <v>0</v>
      </c>
      <c r="V1581" s="424" t="s">
        <v>3269</v>
      </c>
      <c r="W1581" s="424" t="s">
        <v>3055</v>
      </c>
      <c r="X1581" s="424" t="s">
        <v>2825</v>
      </c>
      <c r="Y1581" s="424" t="s">
        <v>2279</v>
      </c>
      <c r="Z1581" s="424" t="s">
        <v>3260</v>
      </c>
      <c r="AA1581" s="424" t="s">
        <v>3327</v>
      </c>
      <c r="AB1581" s="424" t="s">
        <v>3566</v>
      </c>
      <c r="AC1581" s="424" t="s">
        <v>1953</v>
      </c>
      <c r="AD1581" s="424" t="s">
        <v>3329</v>
      </c>
      <c r="AE1581" s="424" t="s">
        <v>3365</v>
      </c>
      <c r="AF1581" s="424"/>
      <c r="AG1581" s="424"/>
      <c r="AH1581" s="424"/>
    </row>
    <row r="1582" spans="1:34" x14ac:dyDescent="0.25">
      <c r="A1582" s="423" t="s">
        <v>6956</v>
      </c>
      <c r="B1582" s="423" t="s">
        <v>3289</v>
      </c>
      <c r="C1582" s="423" t="s">
        <v>6885</v>
      </c>
      <c r="D1582" s="423" t="s">
        <v>6871</v>
      </c>
      <c r="E1582" s="423" t="s">
        <v>203</v>
      </c>
      <c r="F1582" s="423">
        <v>4</v>
      </c>
      <c r="G1582" s="423">
        <v>8</v>
      </c>
      <c r="H1582" s="423">
        <v>197</v>
      </c>
      <c r="J1582" s="423"/>
      <c r="K1582" s="423"/>
      <c r="L1582" s="423"/>
      <c r="M1582" s="423"/>
      <c r="Q1582" s="423"/>
      <c r="R1582" s="424" t="s">
        <v>3289</v>
      </c>
      <c r="S1582" s="424" t="s">
        <v>2846</v>
      </c>
      <c r="T1582" s="424" t="s">
        <v>3291</v>
      </c>
      <c r="U1582" s="424">
        <v>0</v>
      </c>
      <c r="V1582" s="424" t="s">
        <v>3269</v>
      </c>
      <c r="W1582" s="424" t="s">
        <v>3176</v>
      </c>
      <c r="X1582" s="424" t="s">
        <v>2825</v>
      </c>
      <c r="Y1582" s="424" t="s">
        <v>2279</v>
      </c>
      <c r="Z1582" s="424" t="s">
        <v>3260</v>
      </c>
      <c r="AA1582" s="424" t="s">
        <v>3197</v>
      </c>
      <c r="AB1582" s="424" t="s">
        <v>3292</v>
      </c>
      <c r="AC1582" s="424" t="s">
        <v>1953</v>
      </c>
      <c r="AD1582" s="424" t="s">
        <v>2851</v>
      </c>
      <c r="AE1582" s="424" t="s">
        <v>3293</v>
      </c>
      <c r="AF1582" s="424"/>
      <c r="AG1582" s="424"/>
      <c r="AH1582" s="424"/>
    </row>
    <row r="1583" spans="1:34" x14ac:dyDescent="0.25">
      <c r="A1583" s="423" t="s">
        <v>6956</v>
      </c>
      <c r="B1583" s="423" t="s">
        <v>6966</v>
      </c>
      <c r="C1583" s="423" t="s">
        <v>6885</v>
      </c>
      <c r="D1583" s="423" t="s">
        <v>6871</v>
      </c>
      <c r="E1583" s="423" t="s">
        <v>203</v>
      </c>
      <c r="F1583" s="423">
        <v>28</v>
      </c>
      <c r="G1583" s="423">
        <v>32</v>
      </c>
      <c r="H1583" s="423">
        <v>493</v>
      </c>
      <c r="J1583" s="423"/>
      <c r="K1583" s="423"/>
      <c r="L1583" s="423"/>
      <c r="M1583" s="423"/>
      <c r="Q1583" s="423"/>
      <c r="R1583" s="424" t="s">
        <v>6967</v>
      </c>
      <c r="S1583" s="424" t="s">
        <v>2846</v>
      </c>
      <c r="T1583" s="424" t="s">
        <v>3356</v>
      </c>
      <c r="U1583" s="424">
        <v>0</v>
      </c>
      <c r="V1583" s="424" t="s">
        <v>6968</v>
      </c>
      <c r="W1583" s="424" t="s">
        <v>2974</v>
      </c>
      <c r="X1583" s="424">
        <v>0</v>
      </c>
      <c r="Y1583" s="424" t="s">
        <v>2279</v>
      </c>
      <c r="Z1583" s="424" t="s">
        <v>2848</v>
      </c>
      <c r="AA1583" s="424" t="s">
        <v>2849</v>
      </c>
      <c r="AB1583" s="424" t="s">
        <v>3577</v>
      </c>
      <c r="AC1583" s="424" t="s">
        <v>1953</v>
      </c>
      <c r="AD1583" s="424" t="s">
        <v>2851</v>
      </c>
      <c r="AE1583" s="424" t="s">
        <v>2901</v>
      </c>
      <c r="AF1583" s="424"/>
      <c r="AG1583" s="424"/>
      <c r="AH1583" s="424"/>
    </row>
    <row r="1584" spans="1:34" x14ac:dyDescent="0.25">
      <c r="A1584" s="423" t="s">
        <v>6956</v>
      </c>
      <c r="B1584" s="423" t="s">
        <v>6969</v>
      </c>
      <c r="C1584" s="423" t="s">
        <v>6885</v>
      </c>
      <c r="D1584" s="423" t="s">
        <v>6871</v>
      </c>
      <c r="E1584" s="423" t="s">
        <v>203</v>
      </c>
      <c r="F1584" s="423">
        <v>28</v>
      </c>
      <c r="G1584" s="423">
        <v>32</v>
      </c>
      <c r="H1584" s="423">
        <v>493</v>
      </c>
      <c r="J1584" s="423"/>
      <c r="K1584" s="423"/>
      <c r="L1584" s="423"/>
      <c r="M1584" s="423"/>
      <c r="Q1584" s="423"/>
      <c r="R1584" s="424" t="s">
        <v>6970</v>
      </c>
      <c r="S1584" s="424" t="s">
        <v>2846</v>
      </c>
      <c r="T1584" s="424" t="s">
        <v>3356</v>
      </c>
      <c r="U1584" s="424">
        <v>0</v>
      </c>
      <c r="V1584" s="424" t="s">
        <v>6968</v>
      </c>
      <c r="W1584" s="424" t="s">
        <v>3074</v>
      </c>
      <c r="X1584" s="424">
        <v>0</v>
      </c>
      <c r="Y1584" s="424" t="s">
        <v>2279</v>
      </c>
      <c r="Z1584" s="424" t="s">
        <v>3260</v>
      </c>
      <c r="AA1584" s="424" t="s">
        <v>3197</v>
      </c>
      <c r="AB1584" s="424" t="s">
        <v>3564</v>
      </c>
      <c r="AC1584" s="424" t="s">
        <v>1953</v>
      </c>
      <c r="AD1584" s="424" t="s">
        <v>2851</v>
      </c>
      <c r="AE1584" s="424" t="s">
        <v>3550</v>
      </c>
      <c r="AF1584" s="424"/>
      <c r="AG1584" s="424"/>
      <c r="AH1584" s="424"/>
    </row>
    <row r="1585" spans="1:34" x14ac:dyDescent="0.25">
      <c r="A1585" s="423" t="s">
        <v>1500</v>
      </c>
      <c r="B1585" s="423" t="s">
        <v>6971</v>
      </c>
      <c r="C1585" s="423" t="s">
        <v>6885</v>
      </c>
      <c r="D1585" s="423" t="s">
        <v>6871</v>
      </c>
      <c r="E1585" s="423" t="s">
        <v>203</v>
      </c>
      <c r="F1585" s="423">
        <v>16</v>
      </c>
      <c r="G1585" s="423">
        <v>24</v>
      </c>
      <c r="H1585" s="423" t="s">
        <v>6972</v>
      </c>
      <c r="J1585" s="423"/>
      <c r="K1585" s="423"/>
      <c r="L1585" s="423"/>
      <c r="M1585" s="423"/>
      <c r="Q1585" s="423"/>
      <c r="R1585" s="424" t="s">
        <v>6973</v>
      </c>
      <c r="S1585" s="424" t="s">
        <v>2846</v>
      </c>
      <c r="T1585" s="424" t="s">
        <v>2847</v>
      </c>
      <c r="U1585" s="424">
        <v>0</v>
      </c>
      <c r="V1585" s="424" t="s">
        <v>2973</v>
      </c>
      <c r="W1585" s="424" t="s">
        <v>3074</v>
      </c>
      <c r="X1585" s="424" t="s">
        <v>2825</v>
      </c>
      <c r="Y1585" s="424" t="s">
        <v>2279</v>
      </c>
      <c r="Z1585" s="424" t="s">
        <v>2848</v>
      </c>
      <c r="AA1585" s="424" t="s">
        <v>2849</v>
      </c>
      <c r="AB1585" s="424" t="s">
        <v>6974</v>
      </c>
      <c r="AC1585" s="424" t="s">
        <v>1953</v>
      </c>
      <c r="AD1585" s="424" t="s">
        <v>2851</v>
      </c>
      <c r="AE1585" s="424" t="s">
        <v>2861</v>
      </c>
      <c r="AF1585" s="424"/>
      <c r="AG1585" s="424"/>
      <c r="AH1585" s="424"/>
    </row>
    <row r="1586" spans="1:34" x14ac:dyDescent="0.25">
      <c r="A1586" s="423" t="s">
        <v>1500</v>
      </c>
      <c r="B1586" s="423" t="s">
        <v>6975</v>
      </c>
      <c r="C1586" s="423" t="s">
        <v>6885</v>
      </c>
      <c r="D1586" s="423" t="s">
        <v>6871</v>
      </c>
      <c r="E1586" s="423" t="s">
        <v>203</v>
      </c>
      <c r="F1586" s="423">
        <v>16</v>
      </c>
      <c r="G1586" s="423">
        <v>24</v>
      </c>
      <c r="H1586" s="423" t="s">
        <v>6972</v>
      </c>
      <c r="J1586" s="423"/>
      <c r="K1586" s="423"/>
      <c r="L1586" s="423"/>
      <c r="M1586" s="423"/>
      <c r="Q1586" s="423"/>
      <c r="R1586" s="424" t="s">
        <v>6976</v>
      </c>
      <c r="S1586" s="424" t="s">
        <v>2846</v>
      </c>
      <c r="T1586" s="424" t="s">
        <v>2847</v>
      </c>
      <c r="U1586" s="424">
        <v>0</v>
      </c>
      <c r="V1586" s="424" t="s">
        <v>2973</v>
      </c>
      <c r="W1586" s="424" t="s">
        <v>3074</v>
      </c>
      <c r="X1586" s="424" t="s">
        <v>2825</v>
      </c>
      <c r="Y1586" s="424" t="s">
        <v>2279</v>
      </c>
      <c r="Z1586" s="424" t="s">
        <v>2848</v>
      </c>
      <c r="AA1586" s="424" t="s">
        <v>2849</v>
      </c>
      <c r="AB1586" s="424" t="s">
        <v>4429</v>
      </c>
      <c r="AC1586" s="424" t="s">
        <v>1953</v>
      </c>
      <c r="AD1586" s="424" t="s">
        <v>2851</v>
      </c>
      <c r="AE1586" s="424" t="s">
        <v>3436</v>
      </c>
      <c r="AF1586" s="424"/>
      <c r="AG1586" s="424"/>
      <c r="AH1586" s="424"/>
    </row>
    <row r="1587" spans="1:34" x14ac:dyDescent="0.25">
      <c r="A1587" s="423" t="s">
        <v>1500</v>
      </c>
      <c r="B1587" s="423" t="s">
        <v>6977</v>
      </c>
      <c r="C1587" s="423" t="s">
        <v>6885</v>
      </c>
      <c r="D1587" s="423" t="s">
        <v>6871</v>
      </c>
      <c r="E1587" s="423" t="s">
        <v>203</v>
      </c>
      <c r="F1587" s="423">
        <v>8</v>
      </c>
      <c r="G1587" s="423">
        <v>24</v>
      </c>
      <c r="H1587" s="423" t="s">
        <v>6978</v>
      </c>
      <c r="J1587" s="423"/>
      <c r="K1587" s="423"/>
      <c r="L1587" s="423"/>
      <c r="M1587" s="423"/>
      <c r="Q1587" s="423"/>
      <c r="R1587" s="424" t="s">
        <v>6979</v>
      </c>
      <c r="S1587" s="424" t="s">
        <v>2846</v>
      </c>
      <c r="T1587" s="424" t="s">
        <v>5781</v>
      </c>
      <c r="U1587" s="424">
        <v>0</v>
      </c>
      <c r="V1587" s="424" t="s">
        <v>2092</v>
      </c>
      <c r="W1587" s="424" t="s">
        <v>3054</v>
      </c>
      <c r="X1587" s="424" t="s">
        <v>2825</v>
      </c>
      <c r="Y1587" s="424" t="s">
        <v>2279</v>
      </c>
      <c r="Z1587" s="424" t="s">
        <v>2848</v>
      </c>
      <c r="AA1587" s="424" t="s">
        <v>2849</v>
      </c>
      <c r="AB1587" s="424" t="s">
        <v>6980</v>
      </c>
      <c r="AC1587" s="424" t="s">
        <v>1953</v>
      </c>
      <c r="AD1587" s="424" t="s">
        <v>2851</v>
      </c>
      <c r="AE1587" s="424" t="s">
        <v>4193</v>
      </c>
      <c r="AF1587" s="424"/>
      <c r="AG1587" s="424"/>
      <c r="AH1587" s="424"/>
    </row>
    <row r="1588" spans="1:34" x14ac:dyDescent="0.25">
      <c r="A1588" s="423" t="s">
        <v>1500</v>
      </c>
      <c r="B1588" s="423" t="s">
        <v>6981</v>
      </c>
      <c r="C1588" s="423" t="s">
        <v>6885</v>
      </c>
      <c r="D1588" s="423" t="s">
        <v>6871</v>
      </c>
      <c r="E1588" s="423" t="s">
        <v>203</v>
      </c>
      <c r="F1588" s="423">
        <v>16</v>
      </c>
      <c r="G1588" s="423">
        <v>24</v>
      </c>
      <c r="H1588" s="423" t="s">
        <v>6982</v>
      </c>
      <c r="J1588" s="423"/>
      <c r="K1588" s="423"/>
      <c r="L1588" s="423"/>
      <c r="M1588" s="423"/>
      <c r="Q1588" s="423"/>
      <c r="R1588" s="424" t="s">
        <v>6983</v>
      </c>
      <c r="S1588" s="424" t="s">
        <v>2846</v>
      </c>
      <c r="T1588" s="424" t="s">
        <v>2847</v>
      </c>
      <c r="U1588" s="424">
        <v>0</v>
      </c>
      <c r="V1588" s="424" t="s">
        <v>2973</v>
      </c>
      <c r="W1588" s="424" t="s">
        <v>3074</v>
      </c>
      <c r="X1588" s="424" t="s">
        <v>2825</v>
      </c>
      <c r="Y1588" s="424" t="s">
        <v>2279</v>
      </c>
      <c r="Z1588" s="424" t="s">
        <v>2848</v>
      </c>
      <c r="AA1588" s="424" t="s">
        <v>2849</v>
      </c>
      <c r="AB1588" s="424" t="s">
        <v>6984</v>
      </c>
      <c r="AC1588" s="424" t="s">
        <v>1953</v>
      </c>
      <c r="AD1588" s="424" t="s">
        <v>2851</v>
      </c>
      <c r="AE1588" s="424" t="s">
        <v>3436</v>
      </c>
      <c r="AF1588" s="424"/>
      <c r="AG1588" s="424"/>
      <c r="AH1588" s="424"/>
    </row>
    <row r="1589" spans="1:34" x14ac:dyDescent="0.25">
      <c r="A1589" s="423" t="s">
        <v>1500</v>
      </c>
      <c r="B1589" s="423" t="s">
        <v>6985</v>
      </c>
      <c r="C1589" s="423" t="s">
        <v>6885</v>
      </c>
      <c r="D1589" s="423" t="s">
        <v>6871</v>
      </c>
      <c r="E1589" s="423" t="s">
        <v>203</v>
      </c>
      <c r="F1589" s="423">
        <v>16</v>
      </c>
      <c r="G1589" s="423">
        <v>24</v>
      </c>
      <c r="H1589" s="423" t="s">
        <v>6982</v>
      </c>
      <c r="J1589" s="423"/>
      <c r="K1589" s="423"/>
      <c r="L1589" s="423"/>
      <c r="M1589" s="423"/>
      <c r="Q1589" s="423"/>
      <c r="R1589" s="424" t="s">
        <v>6986</v>
      </c>
      <c r="S1589" s="424" t="s">
        <v>2846</v>
      </c>
      <c r="T1589" s="424" t="s">
        <v>2847</v>
      </c>
      <c r="U1589" s="424">
        <v>0</v>
      </c>
      <c r="V1589" s="424" t="s">
        <v>2973</v>
      </c>
      <c r="W1589" s="424" t="s">
        <v>3074</v>
      </c>
      <c r="X1589" s="424" t="s">
        <v>2825</v>
      </c>
      <c r="Y1589" s="424" t="s">
        <v>2279</v>
      </c>
      <c r="Z1589" s="424" t="s">
        <v>2848</v>
      </c>
      <c r="AA1589" s="424" t="s">
        <v>2849</v>
      </c>
      <c r="AB1589" s="424" t="s">
        <v>2860</v>
      </c>
      <c r="AC1589" s="424" t="s">
        <v>1953</v>
      </c>
      <c r="AD1589" s="424" t="s">
        <v>2851</v>
      </c>
      <c r="AE1589" s="424" t="s">
        <v>2861</v>
      </c>
      <c r="AF1589" s="424"/>
      <c r="AG1589" s="424"/>
      <c r="AH1589" s="424"/>
    </row>
    <row r="1590" spans="1:34" x14ac:dyDescent="0.25">
      <c r="A1590" s="423" t="s">
        <v>1500</v>
      </c>
      <c r="B1590" s="423" t="s">
        <v>6987</v>
      </c>
      <c r="C1590" s="423" t="s">
        <v>6885</v>
      </c>
      <c r="D1590" s="423" t="s">
        <v>6871</v>
      </c>
      <c r="E1590" s="423" t="s">
        <v>203</v>
      </c>
      <c r="F1590" s="423">
        <v>16</v>
      </c>
      <c r="G1590" s="423">
        <v>20</v>
      </c>
      <c r="H1590" s="423" t="s">
        <v>6988</v>
      </c>
      <c r="J1590" s="423"/>
      <c r="K1590" s="423"/>
      <c r="L1590" s="423"/>
      <c r="M1590" s="423"/>
      <c r="Q1590" s="423"/>
      <c r="R1590" s="424" t="s">
        <v>6989</v>
      </c>
      <c r="S1590" s="424" t="s">
        <v>2846</v>
      </c>
      <c r="T1590" s="424" t="s">
        <v>2870</v>
      </c>
      <c r="U1590" s="424">
        <v>0</v>
      </c>
      <c r="V1590" s="424" t="s">
        <v>2823</v>
      </c>
      <c r="W1590" s="424" t="s">
        <v>3694</v>
      </c>
      <c r="X1590" s="424" t="s">
        <v>2825</v>
      </c>
      <c r="Y1590" s="424" t="s">
        <v>2279</v>
      </c>
      <c r="Z1590" s="424" t="s">
        <v>2872</v>
      </c>
      <c r="AA1590" s="424" t="s">
        <v>3197</v>
      </c>
      <c r="AB1590" s="424" t="s">
        <v>6990</v>
      </c>
      <c r="AC1590" s="424" t="s">
        <v>3910</v>
      </c>
      <c r="AD1590" s="424" t="s">
        <v>6007</v>
      </c>
      <c r="AE1590" s="424" t="s">
        <v>6084</v>
      </c>
      <c r="AF1590" s="424"/>
      <c r="AG1590" s="424"/>
      <c r="AH1590" s="424"/>
    </row>
    <row r="1591" spans="1:34" x14ac:dyDescent="0.25">
      <c r="A1591" s="423" t="s">
        <v>1500</v>
      </c>
      <c r="B1591" s="423" t="s">
        <v>6991</v>
      </c>
      <c r="C1591" s="423" t="s">
        <v>6885</v>
      </c>
      <c r="D1591" s="423" t="s">
        <v>6871</v>
      </c>
      <c r="E1591" s="423" t="s">
        <v>203</v>
      </c>
      <c r="F1591" s="423">
        <v>16</v>
      </c>
      <c r="G1591" s="423">
        <v>20</v>
      </c>
      <c r="H1591" s="423" t="s">
        <v>6988</v>
      </c>
      <c r="J1591" s="423"/>
      <c r="K1591" s="423"/>
      <c r="L1591" s="423"/>
      <c r="M1591" s="423"/>
      <c r="Q1591" s="423"/>
      <c r="R1591" s="424" t="s">
        <v>6992</v>
      </c>
      <c r="S1591" s="424" t="s">
        <v>2846</v>
      </c>
      <c r="T1591" s="424" t="s">
        <v>2870</v>
      </c>
      <c r="U1591" s="424">
        <v>0</v>
      </c>
      <c r="V1591" s="424" t="s">
        <v>2823</v>
      </c>
      <c r="W1591" s="424" t="s">
        <v>3694</v>
      </c>
      <c r="X1591" s="424" t="s">
        <v>2825</v>
      </c>
      <c r="Y1591" s="424" t="s">
        <v>2279</v>
      </c>
      <c r="Z1591" s="424" t="s">
        <v>2872</v>
      </c>
      <c r="AA1591" s="424" t="s">
        <v>3197</v>
      </c>
      <c r="AB1591" s="424" t="s">
        <v>6990</v>
      </c>
      <c r="AC1591" s="424" t="s">
        <v>3910</v>
      </c>
      <c r="AD1591" s="424" t="s">
        <v>6007</v>
      </c>
      <c r="AE1591" s="424" t="s">
        <v>6084</v>
      </c>
      <c r="AF1591" s="424"/>
      <c r="AG1591" s="424"/>
      <c r="AH1591" s="424"/>
    </row>
    <row r="1592" spans="1:34" x14ac:dyDescent="0.25">
      <c r="A1592" s="423" t="s">
        <v>1500</v>
      </c>
      <c r="B1592" s="423" t="s">
        <v>6993</v>
      </c>
      <c r="C1592" s="423" t="s">
        <v>6885</v>
      </c>
      <c r="D1592" s="423" t="s">
        <v>6871</v>
      </c>
      <c r="E1592" s="423" t="s">
        <v>203</v>
      </c>
      <c r="F1592" s="423">
        <v>16</v>
      </c>
      <c r="G1592" s="423">
        <v>12</v>
      </c>
      <c r="H1592" s="423" t="s">
        <v>6994</v>
      </c>
      <c r="J1592" s="423"/>
      <c r="K1592" s="423"/>
      <c r="L1592" s="423"/>
      <c r="M1592" s="423"/>
      <c r="Q1592" s="423"/>
      <c r="R1592" s="424" t="s">
        <v>6995</v>
      </c>
      <c r="S1592" s="424" t="s">
        <v>2846</v>
      </c>
      <c r="T1592" s="424" t="s">
        <v>2870</v>
      </c>
      <c r="U1592" s="424">
        <v>0</v>
      </c>
      <c r="V1592" s="424" t="s">
        <v>2823</v>
      </c>
      <c r="W1592" s="424" t="s">
        <v>3694</v>
      </c>
      <c r="X1592" s="424" t="s">
        <v>2825</v>
      </c>
      <c r="Y1592" s="424" t="s">
        <v>2279</v>
      </c>
      <c r="Z1592" s="424" t="s">
        <v>2872</v>
      </c>
      <c r="AA1592" s="424" t="s">
        <v>3197</v>
      </c>
      <c r="AB1592" s="424" t="s">
        <v>6996</v>
      </c>
      <c r="AC1592" s="424" t="s">
        <v>3910</v>
      </c>
      <c r="AD1592" s="424" t="s">
        <v>6007</v>
      </c>
      <c r="AE1592" s="424" t="s">
        <v>6016</v>
      </c>
      <c r="AF1592" s="424"/>
      <c r="AG1592" s="424"/>
      <c r="AH1592" s="424"/>
    </row>
    <row r="1593" spans="1:34" x14ac:dyDescent="0.25">
      <c r="A1593" s="423" t="s">
        <v>1500</v>
      </c>
      <c r="B1593" s="423" t="s">
        <v>6997</v>
      </c>
      <c r="C1593" s="423" t="s">
        <v>6885</v>
      </c>
      <c r="D1593" s="423" t="s">
        <v>6871</v>
      </c>
      <c r="E1593" s="423" t="s">
        <v>203</v>
      </c>
      <c r="F1593" s="423">
        <v>16</v>
      </c>
      <c r="G1593" s="423">
        <v>12</v>
      </c>
      <c r="H1593" s="423" t="s">
        <v>6994</v>
      </c>
      <c r="J1593" s="423"/>
      <c r="K1593" s="423"/>
      <c r="L1593" s="423"/>
      <c r="M1593" s="423"/>
      <c r="Q1593" s="423"/>
      <c r="R1593" s="424" t="s">
        <v>6998</v>
      </c>
      <c r="S1593" s="424" t="s">
        <v>2846</v>
      </c>
      <c r="T1593" s="424" t="s">
        <v>2870</v>
      </c>
      <c r="U1593" s="424">
        <v>0</v>
      </c>
      <c r="V1593" s="424" t="s">
        <v>2823</v>
      </c>
      <c r="W1593" s="424" t="s">
        <v>3694</v>
      </c>
      <c r="X1593" s="424" t="s">
        <v>2825</v>
      </c>
      <c r="Y1593" s="424" t="s">
        <v>2279</v>
      </c>
      <c r="Z1593" s="424" t="s">
        <v>2872</v>
      </c>
      <c r="AA1593" s="424" t="s">
        <v>3197</v>
      </c>
      <c r="AB1593" s="424" t="s">
        <v>6166</v>
      </c>
      <c r="AC1593" s="424" t="s">
        <v>3910</v>
      </c>
      <c r="AD1593" s="424" t="s">
        <v>6007</v>
      </c>
      <c r="AE1593" s="424" t="s">
        <v>6084</v>
      </c>
      <c r="AF1593" s="424"/>
      <c r="AG1593" s="424"/>
      <c r="AH1593" s="424"/>
    </row>
    <row r="1594" spans="1:34" x14ac:dyDescent="0.25">
      <c r="A1594" s="423" t="s">
        <v>1500</v>
      </c>
      <c r="B1594" s="423" t="s">
        <v>6999</v>
      </c>
      <c r="C1594" s="423" t="s">
        <v>6885</v>
      </c>
      <c r="D1594" s="423" t="s">
        <v>6871</v>
      </c>
      <c r="E1594" s="423" t="s">
        <v>203</v>
      </c>
      <c r="F1594" s="423">
        <v>16</v>
      </c>
      <c r="G1594" s="423">
        <v>12</v>
      </c>
      <c r="H1594" s="423" t="s">
        <v>6994</v>
      </c>
      <c r="J1594" s="423"/>
      <c r="K1594" s="423"/>
      <c r="L1594" s="423"/>
      <c r="M1594" s="423"/>
      <c r="Q1594" s="423"/>
      <c r="R1594" s="424" t="s">
        <v>7000</v>
      </c>
      <c r="S1594" s="424" t="s">
        <v>2846</v>
      </c>
      <c r="T1594" s="424" t="s">
        <v>2870</v>
      </c>
      <c r="U1594" s="424">
        <v>0</v>
      </c>
      <c r="V1594" s="424" t="s">
        <v>2823</v>
      </c>
      <c r="W1594" s="424" t="s">
        <v>3694</v>
      </c>
      <c r="X1594" s="424" t="s">
        <v>2825</v>
      </c>
      <c r="Y1594" s="424" t="s">
        <v>2279</v>
      </c>
      <c r="Z1594" s="424" t="s">
        <v>2872</v>
      </c>
      <c r="AA1594" s="424" t="s">
        <v>3197</v>
      </c>
      <c r="AB1594" s="424" t="s">
        <v>7001</v>
      </c>
      <c r="AC1594" s="424" t="s">
        <v>3910</v>
      </c>
      <c r="AD1594" s="424" t="s">
        <v>6007</v>
      </c>
      <c r="AE1594" s="424" t="s">
        <v>6008</v>
      </c>
      <c r="AF1594" s="424"/>
      <c r="AG1594" s="424"/>
      <c r="AH1594" s="424"/>
    </row>
    <row r="1595" spans="1:34" x14ac:dyDescent="0.25">
      <c r="A1595" s="423" t="s">
        <v>1500</v>
      </c>
      <c r="B1595" s="423" t="s">
        <v>7002</v>
      </c>
      <c r="C1595" s="423" t="s">
        <v>6885</v>
      </c>
      <c r="D1595" s="423" t="s">
        <v>6871</v>
      </c>
      <c r="E1595" s="423" t="s">
        <v>203</v>
      </c>
      <c r="F1595" s="423">
        <v>63</v>
      </c>
      <c r="G1595" s="423">
        <v>40</v>
      </c>
      <c r="H1595" s="423" t="s">
        <v>7003</v>
      </c>
      <c r="J1595" s="423"/>
      <c r="K1595" s="423"/>
      <c r="L1595" s="423"/>
      <c r="M1595" s="423"/>
      <c r="Q1595" s="423"/>
      <c r="R1595" s="424" t="s">
        <v>7002</v>
      </c>
      <c r="S1595" s="424" t="s">
        <v>2846</v>
      </c>
      <c r="T1595" s="424" t="s">
        <v>3356</v>
      </c>
      <c r="U1595" s="424">
        <v>0</v>
      </c>
      <c r="V1595" s="424" t="s">
        <v>6894</v>
      </c>
      <c r="W1595" s="424" t="s">
        <v>3074</v>
      </c>
      <c r="X1595" s="424">
        <v>0</v>
      </c>
      <c r="Y1595" s="424" t="s">
        <v>2279</v>
      </c>
      <c r="Z1595" s="424" t="s">
        <v>2848</v>
      </c>
      <c r="AA1595" s="424" t="s">
        <v>2855</v>
      </c>
      <c r="AB1595" s="424" t="s">
        <v>7004</v>
      </c>
      <c r="AC1595" s="424" t="s">
        <v>1953</v>
      </c>
      <c r="AD1595" s="424" t="s">
        <v>2851</v>
      </c>
      <c r="AE1595" s="424" t="s">
        <v>3287</v>
      </c>
      <c r="AF1595" s="424"/>
      <c r="AG1595" s="424"/>
      <c r="AH1595" s="424"/>
    </row>
    <row r="1596" spans="1:34" x14ac:dyDescent="0.25">
      <c r="A1596" s="423" t="s">
        <v>1500</v>
      </c>
      <c r="B1596" s="423" t="s">
        <v>7005</v>
      </c>
      <c r="C1596" s="423" t="s">
        <v>6885</v>
      </c>
      <c r="D1596" s="423" t="s">
        <v>6871</v>
      </c>
      <c r="E1596" s="423" t="s">
        <v>203</v>
      </c>
      <c r="F1596" s="423">
        <v>126</v>
      </c>
      <c r="G1596" s="423">
        <v>48</v>
      </c>
      <c r="H1596" s="423">
        <v>11295</v>
      </c>
      <c r="J1596" s="423"/>
      <c r="K1596" s="423"/>
      <c r="L1596" s="423"/>
      <c r="M1596" s="423"/>
      <c r="Q1596" s="423"/>
      <c r="R1596" s="424" t="s">
        <v>7006</v>
      </c>
      <c r="S1596" s="424" t="s">
        <v>2820</v>
      </c>
      <c r="T1596" s="424" t="s">
        <v>3268</v>
      </c>
      <c r="U1596" s="424">
        <v>0</v>
      </c>
      <c r="V1596" s="424" t="s">
        <v>2092</v>
      </c>
      <c r="W1596" s="424" t="s">
        <v>2973</v>
      </c>
      <c r="X1596" s="424" t="s">
        <v>2825</v>
      </c>
      <c r="Y1596" s="424" t="s">
        <v>2279</v>
      </c>
      <c r="Z1596" s="424" t="s">
        <v>3270</v>
      </c>
      <c r="AA1596" s="424" t="s">
        <v>3271</v>
      </c>
      <c r="AB1596" s="424" t="s">
        <v>7007</v>
      </c>
      <c r="AC1596" s="424" t="s">
        <v>3263</v>
      </c>
      <c r="AD1596" s="424" t="s">
        <v>3264</v>
      </c>
      <c r="AE1596" s="424" t="s">
        <v>7008</v>
      </c>
      <c r="AF1596" s="424"/>
      <c r="AG1596" s="424"/>
      <c r="AH1596" s="424"/>
    </row>
    <row r="1597" spans="1:34" x14ac:dyDescent="0.25">
      <c r="A1597" s="423" t="s">
        <v>1500</v>
      </c>
      <c r="B1597" s="423" t="s">
        <v>7009</v>
      </c>
      <c r="C1597" s="423" t="s">
        <v>6885</v>
      </c>
      <c r="D1597" s="423" t="s">
        <v>6871</v>
      </c>
      <c r="E1597" s="423" t="s">
        <v>203</v>
      </c>
      <c r="F1597" s="423">
        <v>126</v>
      </c>
      <c r="G1597" s="423">
        <v>48</v>
      </c>
      <c r="H1597" s="423">
        <v>11295</v>
      </c>
      <c r="J1597" s="423"/>
      <c r="K1597" s="423"/>
      <c r="L1597" s="423"/>
      <c r="M1597" s="423"/>
      <c r="Q1597" s="423"/>
      <c r="R1597" s="424" t="s">
        <v>7010</v>
      </c>
      <c r="S1597" s="424" t="s">
        <v>2820</v>
      </c>
      <c r="T1597" s="424" t="s">
        <v>3268</v>
      </c>
      <c r="U1597" s="424">
        <v>0</v>
      </c>
      <c r="V1597" s="424" t="s">
        <v>2092</v>
      </c>
      <c r="W1597" s="424" t="s">
        <v>2973</v>
      </c>
      <c r="X1597" s="424" t="s">
        <v>2825</v>
      </c>
      <c r="Y1597" s="424" t="s">
        <v>2279</v>
      </c>
      <c r="Z1597" s="424" t="s">
        <v>3270</v>
      </c>
      <c r="AA1597" s="424" t="s">
        <v>3271</v>
      </c>
      <c r="AB1597" s="424" t="s">
        <v>7011</v>
      </c>
      <c r="AC1597" s="424" t="s">
        <v>3263</v>
      </c>
      <c r="AD1597" s="424" t="s">
        <v>3264</v>
      </c>
      <c r="AE1597" s="424" t="s">
        <v>7012</v>
      </c>
      <c r="AF1597" s="424"/>
      <c r="AG1597" s="424"/>
      <c r="AH1597" s="424"/>
    </row>
    <row r="1598" spans="1:34" x14ac:dyDescent="0.25">
      <c r="A1598" s="423" t="s">
        <v>7013</v>
      </c>
      <c r="B1598" s="423" t="s">
        <v>7014</v>
      </c>
      <c r="C1598" s="423" t="s">
        <v>6885</v>
      </c>
      <c r="D1598" s="423" t="s">
        <v>6871</v>
      </c>
      <c r="E1598" s="423" t="s">
        <v>203</v>
      </c>
      <c r="F1598" s="423">
        <v>32</v>
      </c>
      <c r="G1598" s="423">
        <v>16</v>
      </c>
      <c r="H1598" s="423">
        <v>50</v>
      </c>
      <c r="J1598" s="423"/>
      <c r="K1598" s="423"/>
      <c r="L1598" s="423"/>
      <c r="M1598" s="423"/>
      <c r="Q1598" s="423"/>
      <c r="R1598" s="424" t="s">
        <v>7014</v>
      </c>
      <c r="S1598" s="424" t="s">
        <v>2846</v>
      </c>
      <c r="T1598" s="424" t="s">
        <v>2847</v>
      </c>
      <c r="U1598" s="424">
        <v>0</v>
      </c>
      <c r="V1598" s="424" t="s">
        <v>2973</v>
      </c>
      <c r="W1598" s="424" t="s">
        <v>3055</v>
      </c>
      <c r="X1598" s="424" t="s">
        <v>2825</v>
      </c>
      <c r="Y1598" s="424" t="s">
        <v>2279</v>
      </c>
      <c r="Z1598" s="424" t="s">
        <v>2848</v>
      </c>
      <c r="AA1598" s="424" t="s">
        <v>2855</v>
      </c>
      <c r="AB1598" s="424" t="s">
        <v>6622</v>
      </c>
      <c r="AC1598" s="424" t="s">
        <v>1953</v>
      </c>
      <c r="AD1598" s="424" t="s">
        <v>2851</v>
      </c>
      <c r="AE1598" s="424" t="s">
        <v>2857</v>
      </c>
      <c r="AF1598" s="424"/>
      <c r="AG1598" s="424"/>
      <c r="AH1598" s="424"/>
    </row>
    <row r="1599" spans="1:34" x14ac:dyDescent="0.25">
      <c r="A1599" s="423" t="s">
        <v>7013</v>
      </c>
      <c r="B1599" s="423" t="s">
        <v>7015</v>
      </c>
      <c r="C1599" s="423" t="s">
        <v>6885</v>
      </c>
      <c r="D1599" s="423" t="s">
        <v>6871</v>
      </c>
      <c r="E1599" s="423" t="s">
        <v>203</v>
      </c>
      <c r="F1599" s="423">
        <v>8</v>
      </c>
      <c r="G1599" s="423">
        <v>12</v>
      </c>
      <c r="H1599" s="423">
        <v>300</v>
      </c>
      <c r="J1599" s="423"/>
      <c r="K1599" s="423"/>
      <c r="L1599" s="423"/>
      <c r="M1599" s="423"/>
      <c r="Q1599" s="423"/>
      <c r="R1599" s="424" t="s">
        <v>7016</v>
      </c>
      <c r="S1599" s="424" t="s">
        <v>2846</v>
      </c>
      <c r="T1599" s="424" t="s">
        <v>6906</v>
      </c>
      <c r="U1599" s="424">
        <v>0</v>
      </c>
      <c r="V1599" s="424" t="s">
        <v>2973</v>
      </c>
      <c r="W1599" s="424" t="s">
        <v>2974</v>
      </c>
      <c r="X1599" s="424" t="s">
        <v>2825</v>
      </c>
      <c r="Y1599" s="424" t="s">
        <v>2279</v>
      </c>
      <c r="Z1599" s="424" t="s">
        <v>2889</v>
      </c>
      <c r="AA1599" s="424" t="s">
        <v>2890</v>
      </c>
      <c r="AB1599" s="424" t="s">
        <v>7017</v>
      </c>
      <c r="AC1599" s="424" t="s">
        <v>1953</v>
      </c>
      <c r="AD1599" s="424" t="s">
        <v>2892</v>
      </c>
      <c r="AE1599" s="424" t="s">
        <v>2893</v>
      </c>
      <c r="AF1599" s="424"/>
      <c r="AG1599" s="424"/>
      <c r="AH1599" s="424"/>
    </row>
    <row r="1600" spans="1:34" x14ac:dyDescent="0.25">
      <c r="A1600" s="423" t="s">
        <v>7013</v>
      </c>
      <c r="B1600" s="423" t="s">
        <v>7018</v>
      </c>
      <c r="C1600" s="423" t="s">
        <v>6885</v>
      </c>
      <c r="D1600" s="423" t="s">
        <v>6871</v>
      </c>
      <c r="E1600" s="423" t="s">
        <v>203</v>
      </c>
      <c r="F1600" s="423">
        <v>8</v>
      </c>
      <c r="G1600" s="423">
        <v>12</v>
      </c>
      <c r="H1600" s="423">
        <v>600</v>
      </c>
      <c r="J1600" s="423"/>
      <c r="K1600" s="423"/>
      <c r="L1600" s="423"/>
      <c r="M1600" s="423"/>
      <c r="Q1600" s="423"/>
      <c r="R1600" s="424" t="s">
        <v>7019</v>
      </c>
      <c r="S1600" s="424" t="s">
        <v>2846</v>
      </c>
      <c r="T1600" s="424" t="s">
        <v>6906</v>
      </c>
      <c r="U1600" s="424">
        <v>0</v>
      </c>
      <c r="V1600" s="424" t="s">
        <v>2973</v>
      </c>
      <c r="W1600" s="424" t="s">
        <v>3074</v>
      </c>
      <c r="X1600" s="424" t="s">
        <v>2825</v>
      </c>
      <c r="Y1600" s="424" t="s">
        <v>2279</v>
      </c>
      <c r="Z1600" s="424" t="s">
        <v>2848</v>
      </c>
      <c r="AA1600" s="424" t="s">
        <v>2849</v>
      </c>
      <c r="AB1600" s="424" t="s">
        <v>7020</v>
      </c>
      <c r="AC1600" s="424" t="s">
        <v>1953</v>
      </c>
      <c r="AD1600" s="424" t="s">
        <v>2851</v>
      </c>
      <c r="AE1600" s="424" t="s">
        <v>2861</v>
      </c>
      <c r="AF1600" s="424"/>
      <c r="AG1600" s="424"/>
      <c r="AH1600" s="424"/>
    </row>
    <row r="1601" spans="1:34" x14ac:dyDescent="0.25">
      <c r="A1601" s="423" t="s">
        <v>7013</v>
      </c>
      <c r="B1601" s="423" t="s">
        <v>7021</v>
      </c>
      <c r="C1601" s="423" t="s">
        <v>6885</v>
      </c>
      <c r="D1601" s="423" t="s">
        <v>6871</v>
      </c>
      <c r="E1601" s="423" t="s">
        <v>203</v>
      </c>
      <c r="F1601" s="423">
        <v>8</v>
      </c>
      <c r="G1601" s="423">
        <v>16</v>
      </c>
      <c r="H1601" s="423">
        <v>200</v>
      </c>
      <c r="J1601" s="423"/>
      <c r="K1601" s="423"/>
      <c r="L1601" s="423"/>
      <c r="M1601" s="423"/>
      <c r="Q1601" s="423"/>
      <c r="R1601" s="424" t="s">
        <v>7022</v>
      </c>
      <c r="S1601" s="424" t="s">
        <v>2846</v>
      </c>
      <c r="T1601" s="424" t="s">
        <v>2847</v>
      </c>
      <c r="U1601" s="424">
        <v>0</v>
      </c>
      <c r="V1601" s="424" t="s">
        <v>2973</v>
      </c>
      <c r="W1601" s="424" t="s">
        <v>3055</v>
      </c>
      <c r="X1601" s="424" t="s">
        <v>2825</v>
      </c>
      <c r="Y1601" s="424" t="s">
        <v>2279</v>
      </c>
      <c r="Z1601" s="424" t="s">
        <v>2848</v>
      </c>
      <c r="AA1601" s="424" t="s">
        <v>2849</v>
      </c>
      <c r="AB1601" s="424" t="s">
        <v>6649</v>
      </c>
      <c r="AC1601" s="424" t="s">
        <v>1953</v>
      </c>
      <c r="AD1601" s="424" t="s">
        <v>2851</v>
      </c>
      <c r="AE1601" s="424" t="s">
        <v>2901</v>
      </c>
      <c r="AF1601" s="424"/>
      <c r="AG1601" s="424"/>
      <c r="AH1601" s="424"/>
    </row>
    <row r="1602" spans="1:34" x14ac:dyDescent="0.25">
      <c r="A1602" s="423" t="s">
        <v>7013</v>
      </c>
      <c r="B1602" s="423" t="s">
        <v>7023</v>
      </c>
      <c r="C1602" s="423" t="s">
        <v>6885</v>
      </c>
      <c r="D1602" s="423" t="s">
        <v>6871</v>
      </c>
      <c r="E1602" s="423" t="s">
        <v>203</v>
      </c>
      <c r="F1602" s="423">
        <v>8</v>
      </c>
      <c r="G1602" s="423">
        <v>16</v>
      </c>
      <c r="H1602" s="423">
        <v>250</v>
      </c>
      <c r="J1602" s="423"/>
      <c r="K1602" s="423"/>
      <c r="L1602" s="423"/>
      <c r="M1602" s="423"/>
      <c r="Q1602" s="423"/>
      <c r="R1602" s="424" t="s">
        <v>7023</v>
      </c>
      <c r="S1602" s="424" t="s">
        <v>2846</v>
      </c>
      <c r="T1602" s="424" t="s">
        <v>2847</v>
      </c>
      <c r="U1602" s="424">
        <v>0</v>
      </c>
      <c r="V1602" s="424" t="s">
        <v>2973</v>
      </c>
      <c r="W1602" s="424" t="s">
        <v>2974</v>
      </c>
      <c r="X1602" s="424" t="s">
        <v>2825</v>
      </c>
      <c r="Y1602" s="424" t="s">
        <v>2279</v>
      </c>
      <c r="Z1602" s="424" t="s">
        <v>2848</v>
      </c>
      <c r="AA1602" s="424" t="s">
        <v>2849</v>
      </c>
      <c r="AB1602" s="424" t="s">
        <v>6914</v>
      </c>
      <c r="AC1602" s="424" t="s">
        <v>1953</v>
      </c>
      <c r="AD1602" s="424" t="s">
        <v>2851</v>
      </c>
      <c r="AE1602" s="424" t="s">
        <v>3467</v>
      </c>
      <c r="AF1602" s="424"/>
      <c r="AG1602" s="424"/>
      <c r="AH1602" s="424"/>
    </row>
    <row r="1603" spans="1:34" x14ac:dyDescent="0.25">
      <c r="A1603" s="423" t="s">
        <v>7013</v>
      </c>
      <c r="B1603" s="423" t="s">
        <v>7024</v>
      </c>
      <c r="C1603" s="423" t="s">
        <v>6885</v>
      </c>
      <c r="D1603" s="423" t="s">
        <v>6871</v>
      </c>
      <c r="E1603" s="423" t="s">
        <v>203</v>
      </c>
      <c r="F1603" s="423">
        <v>8</v>
      </c>
      <c r="G1603" s="423">
        <v>16</v>
      </c>
      <c r="H1603" s="423">
        <v>200</v>
      </c>
      <c r="J1603" s="423"/>
      <c r="K1603" s="423"/>
      <c r="L1603" s="423"/>
      <c r="M1603" s="423"/>
      <c r="Q1603" s="423"/>
      <c r="R1603" s="424" t="s">
        <v>7024</v>
      </c>
      <c r="S1603" s="424" t="s">
        <v>2846</v>
      </c>
      <c r="T1603" s="424" t="s">
        <v>2847</v>
      </c>
      <c r="U1603" s="424">
        <v>0</v>
      </c>
      <c r="V1603" s="424" t="s">
        <v>2973</v>
      </c>
      <c r="W1603" s="424" t="s">
        <v>2974</v>
      </c>
      <c r="X1603" s="424" t="s">
        <v>2825</v>
      </c>
      <c r="Y1603" s="424" t="s">
        <v>2279</v>
      </c>
      <c r="Z1603" s="424" t="s">
        <v>2848</v>
      </c>
      <c r="AA1603" s="424" t="s">
        <v>2849</v>
      </c>
      <c r="AB1603" s="424" t="s">
        <v>5653</v>
      </c>
      <c r="AC1603" s="424" t="s">
        <v>1953</v>
      </c>
      <c r="AD1603" s="424" t="s">
        <v>2851</v>
      </c>
      <c r="AE1603" s="424" t="s">
        <v>3418</v>
      </c>
      <c r="AF1603" s="424"/>
      <c r="AG1603" s="424"/>
      <c r="AH1603" s="424"/>
    </row>
    <row r="1604" spans="1:34" x14ac:dyDescent="0.25">
      <c r="A1604" s="423" t="s">
        <v>7013</v>
      </c>
      <c r="B1604" s="423" t="s">
        <v>7025</v>
      </c>
      <c r="C1604" s="423" t="s">
        <v>6885</v>
      </c>
      <c r="D1604" s="423" t="s">
        <v>6871</v>
      </c>
      <c r="E1604" s="423" t="s">
        <v>203</v>
      </c>
      <c r="F1604" s="423">
        <v>32</v>
      </c>
      <c r="G1604" s="423">
        <v>16</v>
      </c>
      <c r="H1604" s="423">
        <v>200</v>
      </c>
      <c r="J1604" s="423"/>
      <c r="K1604" s="423"/>
      <c r="L1604" s="423"/>
      <c r="M1604" s="423"/>
      <c r="Q1604" s="423"/>
      <c r="R1604" s="424" t="s">
        <v>7025</v>
      </c>
      <c r="S1604" s="424" t="s">
        <v>2846</v>
      </c>
      <c r="T1604" s="424" t="s">
        <v>3356</v>
      </c>
      <c r="U1604" s="424">
        <v>0</v>
      </c>
      <c r="V1604" s="424" t="s">
        <v>3871</v>
      </c>
      <c r="W1604" s="424" t="s">
        <v>3055</v>
      </c>
      <c r="X1604" s="424" t="s">
        <v>2825</v>
      </c>
      <c r="Y1604" s="424" t="s">
        <v>2279</v>
      </c>
      <c r="Z1604" s="424" t="s">
        <v>2848</v>
      </c>
      <c r="AA1604" s="424" t="s">
        <v>2855</v>
      </c>
      <c r="AB1604" s="424" t="s">
        <v>3934</v>
      </c>
      <c r="AC1604" s="424" t="s">
        <v>1953</v>
      </c>
      <c r="AD1604" s="424" t="s">
        <v>2851</v>
      </c>
      <c r="AE1604" s="424" t="s">
        <v>2857</v>
      </c>
      <c r="AF1604" s="424"/>
      <c r="AG1604" s="424"/>
      <c r="AH1604" s="424"/>
    </row>
    <row r="1605" spans="1:34" x14ac:dyDescent="0.25">
      <c r="A1605" s="423" t="s">
        <v>7013</v>
      </c>
      <c r="B1605" s="423" t="s">
        <v>7026</v>
      </c>
      <c r="C1605" s="423" t="s">
        <v>6885</v>
      </c>
      <c r="D1605" s="423" t="s">
        <v>6871</v>
      </c>
      <c r="E1605" s="423" t="s">
        <v>203</v>
      </c>
      <c r="F1605" s="423">
        <v>32</v>
      </c>
      <c r="G1605" s="423">
        <v>16</v>
      </c>
      <c r="H1605" s="423">
        <v>200</v>
      </c>
      <c r="J1605" s="423"/>
      <c r="K1605" s="423"/>
      <c r="L1605" s="423"/>
      <c r="M1605" s="423"/>
      <c r="Q1605" s="423"/>
      <c r="R1605" s="424" t="s">
        <v>7026</v>
      </c>
      <c r="S1605" s="424" t="s">
        <v>2846</v>
      </c>
      <c r="T1605" s="424" t="s">
        <v>3356</v>
      </c>
      <c r="U1605" s="424">
        <v>0</v>
      </c>
      <c r="V1605" s="424" t="s">
        <v>3871</v>
      </c>
      <c r="W1605" s="424" t="s">
        <v>3055</v>
      </c>
      <c r="X1605" s="424" t="s">
        <v>2825</v>
      </c>
      <c r="Y1605" s="424" t="s">
        <v>2279</v>
      </c>
      <c r="Z1605" s="424" t="s">
        <v>2848</v>
      </c>
      <c r="AA1605" s="424" t="s">
        <v>2849</v>
      </c>
      <c r="AB1605" s="424" t="s">
        <v>6649</v>
      </c>
      <c r="AC1605" s="424" t="s">
        <v>1953</v>
      </c>
      <c r="AD1605" s="424" t="s">
        <v>2851</v>
      </c>
      <c r="AE1605" s="424" t="s">
        <v>2901</v>
      </c>
      <c r="AF1605" s="424"/>
      <c r="AG1605" s="424"/>
      <c r="AH1605" s="424"/>
    </row>
    <row r="1606" spans="1:34" x14ac:dyDescent="0.25">
      <c r="A1606" s="423" t="s">
        <v>7013</v>
      </c>
      <c r="B1606" s="423" t="s">
        <v>7027</v>
      </c>
      <c r="C1606" s="423" t="s">
        <v>6885</v>
      </c>
      <c r="D1606" s="423" t="s">
        <v>6871</v>
      </c>
      <c r="E1606" s="423" t="s">
        <v>203</v>
      </c>
      <c r="F1606" s="423">
        <v>32</v>
      </c>
      <c r="G1606" s="423">
        <v>16</v>
      </c>
      <c r="H1606" s="423">
        <v>200</v>
      </c>
      <c r="J1606" s="423"/>
      <c r="K1606" s="423"/>
      <c r="L1606" s="423"/>
      <c r="M1606" s="423"/>
      <c r="Q1606" s="423"/>
      <c r="R1606" s="424" t="s">
        <v>7027</v>
      </c>
      <c r="S1606" s="424" t="s">
        <v>2846</v>
      </c>
      <c r="T1606" s="424" t="s">
        <v>3356</v>
      </c>
      <c r="U1606" s="424">
        <v>0</v>
      </c>
      <c r="V1606" s="424" t="s">
        <v>3871</v>
      </c>
      <c r="W1606" s="424" t="s">
        <v>2974</v>
      </c>
      <c r="X1606" s="424" t="s">
        <v>2825</v>
      </c>
      <c r="Y1606" s="424" t="s">
        <v>2279</v>
      </c>
      <c r="Z1606" s="424" t="s">
        <v>2848</v>
      </c>
      <c r="AA1606" s="424" t="s">
        <v>2849</v>
      </c>
      <c r="AB1606" s="424" t="s">
        <v>4762</v>
      </c>
      <c r="AC1606" s="424" t="s">
        <v>1953</v>
      </c>
      <c r="AD1606" s="424" t="s">
        <v>2851</v>
      </c>
      <c r="AE1606" s="424" t="s">
        <v>3467</v>
      </c>
      <c r="AF1606" s="424"/>
      <c r="AG1606" s="424"/>
      <c r="AH1606" s="424"/>
    </row>
    <row r="1607" spans="1:34" x14ac:dyDescent="0.25">
      <c r="A1607" s="423" t="s">
        <v>7013</v>
      </c>
      <c r="B1607" s="423" t="s">
        <v>7028</v>
      </c>
      <c r="C1607" s="423" t="s">
        <v>6885</v>
      </c>
      <c r="D1607" s="423" t="s">
        <v>6871</v>
      </c>
      <c r="E1607" s="423" t="s">
        <v>203</v>
      </c>
      <c r="F1607" s="423">
        <v>32</v>
      </c>
      <c r="G1607" s="423">
        <v>16</v>
      </c>
      <c r="H1607" s="423">
        <v>200</v>
      </c>
      <c r="J1607" s="423"/>
      <c r="K1607" s="423"/>
      <c r="L1607" s="423"/>
      <c r="M1607" s="423"/>
      <c r="Q1607" s="423"/>
      <c r="R1607" s="424" t="s">
        <v>7028</v>
      </c>
      <c r="S1607" s="424" t="s">
        <v>2846</v>
      </c>
      <c r="T1607" s="424" t="s">
        <v>3356</v>
      </c>
      <c r="U1607" s="424">
        <v>0</v>
      </c>
      <c r="V1607" s="424" t="s">
        <v>3871</v>
      </c>
      <c r="W1607" s="424" t="s">
        <v>2974</v>
      </c>
      <c r="X1607" s="424" t="s">
        <v>2825</v>
      </c>
      <c r="Y1607" s="424" t="s">
        <v>2279</v>
      </c>
      <c r="Z1607" s="424" t="s">
        <v>2848</v>
      </c>
      <c r="AA1607" s="424" t="s">
        <v>2855</v>
      </c>
      <c r="AB1607" s="424" t="s">
        <v>7029</v>
      </c>
      <c r="AC1607" s="424" t="s">
        <v>1953</v>
      </c>
      <c r="AD1607" s="424" t="s">
        <v>2851</v>
      </c>
      <c r="AE1607" s="424" t="s">
        <v>3154</v>
      </c>
      <c r="AF1607" s="424"/>
      <c r="AG1607" s="424"/>
      <c r="AH1607" s="424"/>
    </row>
    <row r="1608" spans="1:34" x14ac:dyDescent="0.25">
      <c r="A1608" s="423" t="s">
        <v>7013</v>
      </c>
      <c r="B1608" s="423" t="s">
        <v>7030</v>
      </c>
      <c r="C1608" s="423" t="s">
        <v>6885</v>
      </c>
      <c r="D1608" s="423" t="s">
        <v>6871</v>
      </c>
      <c r="E1608" s="423" t="s">
        <v>203</v>
      </c>
      <c r="F1608" s="423">
        <v>32</v>
      </c>
      <c r="G1608" s="423">
        <v>16</v>
      </c>
      <c r="H1608" s="423">
        <v>200</v>
      </c>
      <c r="J1608" s="423"/>
      <c r="K1608" s="423"/>
      <c r="L1608" s="423"/>
      <c r="M1608" s="423"/>
      <c r="Q1608" s="423"/>
      <c r="R1608" s="424" t="s">
        <v>7030</v>
      </c>
      <c r="S1608" s="424" t="s">
        <v>2846</v>
      </c>
      <c r="T1608" s="424" t="s">
        <v>3356</v>
      </c>
      <c r="U1608" s="424">
        <v>0</v>
      </c>
      <c r="V1608" s="424" t="s">
        <v>3871</v>
      </c>
      <c r="W1608" s="424" t="s">
        <v>3054</v>
      </c>
      <c r="X1608" s="424" t="s">
        <v>2825</v>
      </c>
      <c r="Y1608" s="424" t="s">
        <v>2279</v>
      </c>
      <c r="Z1608" s="424" t="s">
        <v>2848</v>
      </c>
      <c r="AA1608" s="424" t="s">
        <v>2855</v>
      </c>
      <c r="AB1608" s="424" t="s">
        <v>7031</v>
      </c>
      <c r="AC1608" s="424" t="s">
        <v>1953</v>
      </c>
      <c r="AD1608" s="424" t="s">
        <v>2851</v>
      </c>
      <c r="AE1608" s="424" t="s">
        <v>3719</v>
      </c>
      <c r="AF1608" s="424"/>
      <c r="AG1608" s="424"/>
      <c r="AH1608" s="424"/>
    </row>
    <row r="1609" spans="1:34" x14ac:dyDescent="0.25">
      <c r="A1609" s="423" t="s">
        <v>7013</v>
      </c>
      <c r="B1609" s="423" t="s">
        <v>7032</v>
      </c>
      <c r="C1609" s="423" t="s">
        <v>6885</v>
      </c>
      <c r="D1609" s="423" t="s">
        <v>6871</v>
      </c>
      <c r="E1609" s="423" t="s">
        <v>203</v>
      </c>
      <c r="F1609" s="423">
        <v>48</v>
      </c>
      <c r="G1609" s="423">
        <v>1536</v>
      </c>
      <c r="H1609" s="423" t="s">
        <v>7033</v>
      </c>
      <c r="J1609" s="423"/>
      <c r="K1609" s="423"/>
      <c r="L1609" s="423"/>
      <c r="M1609" s="423"/>
      <c r="Q1609" s="423"/>
      <c r="R1609" s="424" t="s">
        <v>7034</v>
      </c>
      <c r="S1609" s="424" t="s">
        <v>2820</v>
      </c>
      <c r="T1609" s="424" t="s">
        <v>7035</v>
      </c>
      <c r="U1609" s="424">
        <v>0</v>
      </c>
      <c r="V1609" s="424" t="s">
        <v>2824</v>
      </c>
      <c r="W1609" s="424" t="s">
        <v>2824</v>
      </c>
      <c r="X1609" s="424">
        <v>0</v>
      </c>
      <c r="Y1609" s="424" t="s">
        <v>2279</v>
      </c>
      <c r="Z1609" s="424" t="s">
        <v>2826</v>
      </c>
      <c r="AA1609" s="424" t="s">
        <v>2827</v>
      </c>
      <c r="AB1609" s="424" t="s">
        <v>7036</v>
      </c>
      <c r="AC1609" s="424" t="s">
        <v>1953</v>
      </c>
      <c r="AD1609" s="424" t="s">
        <v>2829</v>
      </c>
      <c r="AE1609" s="424" t="s">
        <v>7037</v>
      </c>
      <c r="AF1609" s="424"/>
      <c r="AG1609" s="424"/>
      <c r="AH1609" s="424"/>
    </row>
    <row r="1610" spans="1:34" x14ac:dyDescent="0.25">
      <c r="A1610" s="423" t="s">
        <v>7013</v>
      </c>
      <c r="B1610" s="423" t="s">
        <v>7038</v>
      </c>
      <c r="C1610" s="423" t="s">
        <v>6885</v>
      </c>
      <c r="D1610" s="423" t="s">
        <v>6871</v>
      </c>
      <c r="E1610" s="423" t="s">
        <v>203</v>
      </c>
      <c r="F1610" s="423">
        <v>48</v>
      </c>
      <c r="G1610" s="423">
        <v>1536</v>
      </c>
      <c r="H1610" s="423" t="s">
        <v>7033</v>
      </c>
      <c r="J1610" s="423"/>
      <c r="K1610" s="423"/>
      <c r="L1610" s="423"/>
      <c r="M1610" s="423"/>
      <c r="Q1610" s="423"/>
      <c r="R1610" s="424" t="s">
        <v>7039</v>
      </c>
      <c r="S1610" s="424" t="s">
        <v>2820</v>
      </c>
      <c r="T1610" s="424" t="s">
        <v>7035</v>
      </c>
      <c r="U1610" s="424">
        <v>0</v>
      </c>
      <c r="V1610" s="424" t="s">
        <v>4196</v>
      </c>
      <c r="W1610" s="424" t="s">
        <v>2973</v>
      </c>
      <c r="X1610" s="424">
        <v>0</v>
      </c>
      <c r="Y1610" s="424" t="s">
        <v>2279</v>
      </c>
      <c r="Z1610" s="424" t="s">
        <v>2826</v>
      </c>
      <c r="AA1610" s="424" t="s">
        <v>2827</v>
      </c>
      <c r="AB1610" s="424" t="s">
        <v>7040</v>
      </c>
      <c r="AC1610" s="424" t="s">
        <v>1953</v>
      </c>
      <c r="AD1610" s="424" t="s">
        <v>2829</v>
      </c>
      <c r="AE1610" s="424" t="s">
        <v>7041</v>
      </c>
      <c r="AF1610" s="424"/>
      <c r="AG1610" s="424"/>
      <c r="AH1610" s="424"/>
    </row>
    <row r="1611" spans="1:34" x14ac:dyDescent="0.25">
      <c r="A1611" s="423" t="s">
        <v>7013</v>
      </c>
      <c r="B1611" s="423" t="s">
        <v>7042</v>
      </c>
      <c r="C1611" s="423" t="s">
        <v>6885</v>
      </c>
      <c r="D1611" s="423" t="s">
        <v>6871</v>
      </c>
      <c r="E1611" s="423" t="s">
        <v>203</v>
      </c>
      <c r="F1611" s="423">
        <v>80</v>
      </c>
      <c r="G1611" s="423">
        <v>2000</v>
      </c>
      <c r="H1611" s="423" t="s">
        <v>7043</v>
      </c>
      <c r="J1611" s="423"/>
      <c r="K1611" s="423"/>
      <c r="L1611" s="423"/>
      <c r="M1611" s="423"/>
      <c r="Q1611" s="423"/>
      <c r="R1611" s="424" t="s">
        <v>7044</v>
      </c>
      <c r="S1611" s="424" t="s">
        <v>2820</v>
      </c>
      <c r="T1611" s="424" t="s">
        <v>7045</v>
      </c>
      <c r="U1611" s="424">
        <v>0</v>
      </c>
      <c r="V1611" s="424" t="s">
        <v>7046</v>
      </c>
      <c r="W1611" s="424" t="s">
        <v>3283</v>
      </c>
      <c r="X1611" s="424">
        <v>0</v>
      </c>
      <c r="Y1611" s="424" t="s">
        <v>2279</v>
      </c>
      <c r="Z1611" s="424" t="s">
        <v>2889</v>
      </c>
      <c r="AA1611" s="424" t="s">
        <v>6508</v>
      </c>
      <c r="AB1611" s="424" t="s">
        <v>7047</v>
      </c>
      <c r="AC1611" s="424" t="s">
        <v>2269</v>
      </c>
      <c r="AD1611" s="424" t="s">
        <v>6510</v>
      </c>
      <c r="AE1611" s="424" t="s">
        <v>7048</v>
      </c>
      <c r="AF1611" s="424"/>
      <c r="AG1611" s="424"/>
      <c r="AH1611" s="424"/>
    </row>
    <row r="1612" spans="1:34" x14ac:dyDescent="0.25">
      <c r="A1612" s="423" t="s">
        <v>7013</v>
      </c>
      <c r="B1612" s="423" t="s">
        <v>7049</v>
      </c>
      <c r="C1612" s="423" t="s">
        <v>6885</v>
      </c>
      <c r="D1612" s="423" t="s">
        <v>6871</v>
      </c>
      <c r="E1612" s="423" t="s">
        <v>203</v>
      </c>
      <c r="F1612" s="423">
        <v>80</v>
      </c>
      <c r="G1612" s="423">
        <v>2000</v>
      </c>
      <c r="H1612" s="423" t="s">
        <v>7043</v>
      </c>
      <c r="J1612" s="423"/>
      <c r="K1612" s="423"/>
      <c r="L1612" s="423"/>
      <c r="M1612" s="423"/>
      <c r="Q1612" s="423"/>
      <c r="R1612" s="424" t="s">
        <v>7050</v>
      </c>
      <c r="S1612" s="424" t="s">
        <v>2820</v>
      </c>
      <c r="T1612" s="424" t="s">
        <v>7045</v>
      </c>
      <c r="U1612" s="424">
        <v>0</v>
      </c>
      <c r="V1612" s="424" t="s">
        <v>7046</v>
      </c>
      <c r="W1612" s="424" t="s">
        <v>3283</v>
      </c>
      <c r="X1612" s="424">
        <v>0</v>
      </c>
      <c r="Y1612" s="424" t="s">
        <v>2279</v>
      </c>
      <c r="Z1612" s="424" t="s">
        <v>2889</v>
      </c>
      <c r="AA1612" s="424" t="s">
        <v>6508</v>
      </c>
      <c r="AB1612" s="424" t="s">
        <v>7051</v>
      </c>
      <c r="AC1612" s="424" t="s">
        <v>2269</v>
      </c>
      <c r="AD1612" s="424" t="s">
        <v>6510</v>
      </c>
      <c r="AE1612" s="424" t="s">
        <v>7048</v>
      </c>
      <c r="AF1612" s="424"/>
      <c r="AG1612" s="424"/>
      <c r="AH1612" s="424"/>
    </row>
    <row r="1613" spans="1:34" x14ac:dyDescent="0.25">
      <c r="A1613" s="423" t="s">
        <v>7052</v>
      </c>
      <c r="B1613" s="423" t="s">
        <v>3251</v>
      </c>
      <c r="C1613" s="423" t="s">
        <v>6885</v>
      </c>
      <c r="D1613" s="423" t="s">
        <v>6871</v>
      </c>
      <c r="E1613" s="423" t="s">
        <v>203</v>
      </c>
      <c r="F1613" s="423">
        <v>16</v>
      </c>
      <c r="G1613" s="423">
        <v>32</v>
      </c>
      <c r="H1613" s="423">
        <v>200</v>
      </c>
      <c r="J1613" s="423"/>
      <c r="K1613" s="423"/>
      <c r="L1613" s="423"/>
      <c r="M1613" s="423"/>
      <c r="Q1613" s="423"/>
      <c r="R1613" s="424" t="s">
        <v>3254</v>
      </c>
      <c r="S1613" s="424" t="s">
        <v>2846</v>
      </c>
      <c r="T1613" s="424" t="s">
        <v>2847</v>
      </c>
      <c r="U1613" s="424">
        <v>0</v>
      </c>
      <c r="V1613" s="424" t="s">
        <v>2973</v>
      </c>
      <c r="W1613" s="424" t="s">
        <v>3055</v>
      </c>
      <c r="X1613" s="424" t="s">
        <v>2825</v>
      </c>
      <c r="Y1613" s="424" t="s">
        <v>2279</v>
      </c>
      <c r="Z1613" s="424" t="s">
        <v>2848</v>
      </c>
      <c r="AA1613" s="424" t="s">
        <v>2855</v>
      </c>
      <c r="AB1613" s="424" t="s">
        <v>3255</v>
      </c>
      <c r="AC1613" s="424" t="s">
        <v>1953</v>
      </c>
      <c r="AD1613" s="424" t="s">
        <v>2851</v>
      </c>
      <c r="AE1613" s="424" t="s">
        <v>3168</v>
      </c>
      <c r="AF1613" s="424"/>
      <c r="AG1613" s="424"/>
      <c r="AH1613" s="424"/>
    </row>
    <row r="1614" spans="1:34" x14ac:dyDescent="0.25">
      <c r="A1614" s="423" t="s">
        <v>7052</v>
      </c>
      <c r="B1614" s="423" t="s">
        <v>3537</v>
      </c>
      <c r="C1614" s="423" t="s">
        <v>6885</v>
      </c>
      <c r="D1614" s="423" t="s">
        <v>6871</v>
      </c>
      <c r="E1614" s="423" t="s">
        <v>203</v>
      </c>
      <c r="F1614" s="423">
        <v>16</v>
      </c>
      <c r="G1614" s="423">
        <v>48</v>
      </c>
      <c r="H1614" s="423">
        <v>100</v>
      </c>
      <c r="J1614" s="423"/>
      <c r="K1614" s="423"/>
      <c r="L1614" s="423"/>
      <c r="M1614" s="423"/>
      <c r="Q1614" s="423"/>
      <c r="R1614" s="424" t="s">
        <v>3538</v>
      </c>
      <c r="S1614" s="424" t="s">
        <v>2846</v>
      </c>
      <c r="T1614" s="424" t="s">
        <v>3152</v>
      </c>
      <c r="U1614" s="424">
        <v>0</v>
      </c>
      <c r="V1614" s="424" t="s">
        <v>2973</v>
      </c>
      <c r="W1614" s="424" t="s">
        <v>2974</v>
      </c>
      <c r="X1614" s="424" t="s">
        <v>2825</v>
      </c>
      <c r="Y1614" s="424" t="s">
        <v>2279</v>
      </c>
      <c r="Z1614" s="424" t="s">
        <v>2848</v>
      </c>
      <c r="AA1614" s="424" t="s">
        <v>2849</v>
      </c>
      <c r="AB1614" s="424" t="s">
        <v>3539</v>
      </c>
      <c r="AC1614" s="424" t="s">
        <v>1953</v>
      </c>
      <c r="AD1614" s="424" t="s">
        <v>2851</v>
      </c>
      <c r="AE1614" s="424" t="s">
        <v>3467</v>
      </c>
      <c r="AF1614" s="424"/>
      <c r="AG1614" s="424"/>
      <c r="AH1614" s="424"/>
    </row>
    <row r="1615" spans="1:34" x14ac:dyDescent="0.25">
      <c r="A1615" s="423" t="s">
        <v>7052</v>
      </c>
      <c r="B1615" s="423" t="s">
        <v>3358</v>
      </c>
      <c r="C1615" s="423" t="s">
        <v>6885</v>
      </c>
      <c r="D1615" s="423" t="s">
        <v>6871</v>
      </c>
      <c r="E1615" s="423" t="s">
        <v>203</v>
      </c>
      <c r="F1615" s="423">
        <v>8</v>
      </c>
      <c r="G1615" s="423">
        <v>32</v>
      </c>
      <c r="H1615" s="423">
        <v>200</v>
      </c>
      <c r="J1615" s="423"/>
      <c r="K1615" s="423"/>
      <c r="L1615" s="423"/>
      <c r="M1615" s="423"/>
      <c r="Q1615" s="423"/>
      <c r="R1615" s="424" t="s">
        <v>3358</v>
      </c>
      <c r="S1615" s="424" t="s">
        <v>2846</v>
      </c>
      <c r="T1615" s="424" t="s">
        <v>2847</v>
      </c>
      <c r="U1615" s="424">
        <v>0</v>
      </c>
      <c r="V1615" s="424" t="s">
        <v>2973</v>
      </c>
      <c r="W1615" s="424" t="s">
        <v>3055</v>
      </c>
      <c r="X1615" s="424" t="s">
        <v>2825</v>
      </c>
      <c r="Y1615" s="424" t="s">
        <v>2279</v>
      </c>
      <c r="Z1615" s="424" t="s">
        <v>2848</v>
      </c>
      <c r="AA1615" s="424" t="s">
        <v>2855</v>
      </c>
      <c r="AB1615" s="424" t="s">
        <v>3359</v>
      </c>
      <c r="AC1615" s="424" t="s">
        <v>1953</v>
      </c>
      <c r="AD1615" s="424" t="s">
        <v>2851</v>
      </c>
      <c r="AE1615" s="424" t="s">
        <v>3168</v>
      </c>
      <c r="AF1615" s="424"/>
      <c r="AG1615" s="424"/>
      <c r="AH1615" s="424"/>
    </row>
    <row r="1616" spans="1:34" x14ac:dyDescent="0.25">
      <c r="A1616" s="423" t="s">
        <v>7052</v>
      </c>
      <c r="B1616" s="423" t="s">
        <v>7053</v>
      </c>
      <c r="C1616" s="423" t="s">
        <v>6885</v>
      </c>
      <c r="D1616" s="423" t="s">
        <v>6871</v>
      </c>
      <c r="E1616" s="423" t="s">
        <v>203</v>
      </c>
      <c r="F1616" s="423">
        <v>4</v>
      </c>
      <c r="G1616" s="423">
        <v>8</v>
      </c>
      <c r="H1616" s="423">
        <v>200</v>
      </c>
      <c r="J1616" s="423"/>
      <c r="K1616" s="423"/>
      <c r="L1616" s="423"/>
      <c r="M1616" s="423"/>
      <c r="Q1616" s="423"/>
      <c r="R1616" s="424" t="s">
        <v>7053</v>
      </c>
      <c r="S1616" s="424" t="s">
        <v>2846</v>
      </c>
      <c r="T1616" s="424" t="s">
        <v>3291</v>
      </c>
      <c r="U1616" s="424">
        <v>0</v>
      </c>
      <c r="V1616" s="424" t="s">
        <v>3269</v>
      </c>
      <c r="W1616" s="424" t="s">
        <v>2871</v>
      </c>
      <c r="X1616" s="424" t="s">
        <v>2825</v>
      </c>
      <c r="Y1616" s="424" t="s">
        <v>2279</v>
      </c>
      <c r="Z1616" s="424" t="s">
        <v>3260</v>
      </c>
      <c r="AA1616" s="424" t="s">
        <v>3197</v>
      </c>
      <c r="AB1616" s="424" t="s">
        <v>3815</v>
      </c>
      <c r="AC1616" s="424" t="s">
        <v>1953</v>
      </c>
      <c r="AD1616" s="424" t="s">
        <v>2851</v>
      </c>
      <c r="AE1616" s="424" t="s">
        <v>3550</v>
      </c>
      <c r="AF1616" s="424"/>
      <c r="AG1616" s="424"/>
      <c r="AH1616" s="424"/>
    </row>
    <row r="1617" spans="1:34" x14ac:dyDescent="0.25">
      <c r="A1617" s="423" t="s">
        <v>7052</v>
      </c>
      <c r="B1617" s="423" t="s">
        <v>7054</v>
      </c>
      <c r="C1617" s="423" t="s">
        <v>6885</v>
      </c>
      <c r="D1617" s="423" t="s">
        <v>6871</v>
      </c>
      <c r="E1617" s="423" t="s">
        <v>203</v>
      </c>
      <c r="F1617" s="423">
        <v>24</v>
      </c>
      <c r="G1617" s="423">
        <v>24</v>
      </c>
      <c r="H1617" s="423">
        <v>60</v>
      </c>
      <c r="J1617" s="423"/>
      <c r="K1617" s="423"/>
      <c r="L1617" s="423"/>
      <c r="M1617" s="423"/>
      <c r="Q1617" s="423"/>
      <c r="R1617" s="424" t="s">
        <v>7055</v>
      </c>
      <c r="S1617" s="424" t="s">
        <v>2846</v>
      </c>
      <c r="T1617" s="424" t="s">
        <v>2870</v>
      </c>
      <c r="U1617" s="424">
        <v>0</v>
      </c>
      <c r="V1617" s="424" t="s">
        <v>2973</v>
      </c>
      <c r="W1617" s="424" t="s">
        <v>3074</v>
      </c>
      <c r="X1617" s="424">
        <v>0</v>
      </c>
      <c r="Y1617" s="424" t="s">
        <v>2279</v>
      </c>
      <c r="Z1617" s="424" t="s">
        <v>2872</v>
      </c>
      <c r="AA1617" s="424" t="s">
        <v>3197</v>
      </c>
      <c r="AB1617" s="424" t="s">
        <v>3347</v>
      </c>
      <c r="AC1617" s="424" t="s">
        <v>1953</v>
      </c>
      <c r="AD1617" s="424" t="s">
        <v>2892</v>
      </c>
      <c r="AE1617" s="424" t="s">
        <v>3348</v>
      </c>
      <c r="AF1617" s="424"/>
      <c r="AG1617" s="424"/>
      <c r="AH1617" s="424"/>
    </row>
    <row r="1618" spans="1:34" x14ac:dyDescent="0.25">
      <c r="A1618" s="423" t="s">
        <v>7052</v>
      </c>
      <c r="B1618" s="423" t="s">
        <v>7056</v>
      </c>
      <c r="C1618" s="423" t="s">
        <v>6885</v>
      </c>
      <c r="D1618" s="423" t="s">
        <v>6871</v>
      </c>
      <c r="E1618" s="423" t="s">
        <v>203</v>
      </c>
      <c r="F1618" s="423">
        <v>24</v>
      </c>
      <c r="G1618" s="423">
        <v>24</v>
      </c>
      <c r="H1618" s="423">
        <v>60</v>
      </c>
      <c r="J1618" s="423"/>
      <c r="K1618" s="423"/>
      <c r="L1618" s="423"/>
      <c r="M1618" s="423"/>
      <c r="Q1618" s="423"/>
      <c r="R1618" s="424" t="s">
        <v>7057</v>
      </c>
      <c r="S1618" s="424" t="s">
        <v>2846</v>
      </c>
      <c r="T1618" s="424" t="s">
        <v>2870</v>
      </c>
      <c r="U1618" s="424">
        <v>0</v>
      </c>
      <c r="V1618" s="424" t="s">
        <v>2973</v>
      </c>
      <c r="W1618" s="424" t="s">
        <v>3074</v>
      </c>
      <c r="X1618" s="424">
        <v>0</v>
      </c>
      <c r="Y1618" s="424" t="s">
        <v>2279</v>
      </c>
      <c r="Z1618" s="424" t="s">
        <v>2872</v>
      </c>
      <c r="AA1618" s="424" t="s">
        <v>3197</v>
      </c>
      <c r="AB1618" s="424" t="s">
        <v>3758</v>
      </c>
      <c r="AC1618" s="424" t="s">
        <v>1953</v>
      </c>
      <c r="AD1618" s="424" t="s">
        <v>2892</v>
      </c>
      <c r="AE1618" s="424" t="s">
        <v>3348</v>
      </c>
      <c r="AF1618" s="424"/>
      <c r="AG1618" s="424"/>
      <c r="AH1618" s="424"/>
    </row>
    <row r="1619" spans="1:34" x14ac:dyDescent="0.25">
      <c r="A1619" s="423" t="s">
        <v>7058</v>
      </c>
      <c r="B1619" s="423" t="s">
        <v>7059</v>
      </c>
      <c r="C1619" s="423" t="s">
        <v>6885</v>
      </c>
      <c r="D1619" s="423" t="s">
        <v>6871</v>
      </c>
      <c r="E1619" s="423" t="s">
        <v>203</v>
      </c>
      <c r="F1619" s="423">
        <v>8</v>
      </c>
      <c r="G1619" s="423">
        <v>16</v>
      </c>
      <c r="H1619" s="423">
        <v>493</v>
      </c>
      <c r="J1619" s="423"/>
      <c r="K1619" s="423"/>
      <c r="L1619" s="423"/>
      <c r="M1619" s="423"/>
      <c r="Q1619" s="423"/>
      <c r="R1619" s="424" t="s">
        <v>7060</v>
      </c>
      <c r="S1619" s="424" t="s">
        <v>2846</v>
      </c>
      <c r="T1619" s="424" t="s">
        <v>7061</v>
      </c>
      <c r="U1619" s="424">
        <v>0</v>
      </c>
      <c r="V1619" s="424" t="s">
        <v>3269</v>
      </c>
      <c r="W1619" s="424">
        <v>0</v>
      </c>
      <c r="X1619" s="424" t="s">
        <v>2825</v>
      </c>
      <c r="Y1619" s="424" t="s">
        <v>2279</v>
      </c>
      <c r="Z1619" s="424">
        <v>0</v>
      </c>
      <c r="AA1619" s="424">
        <v>0</v>
      </c>
      <c r="AB1619" s="424">
        <v>0</v>
      </c>
      <c r="AC1619" s="424">
        <v>0</v>
      </c>
      <c r="AD1619" s="424">
        <v>0</v>
      </c>
      <c r="AE1619" s="424">
        <v>0</v>
      </c>
      <c r="AF1619" s="424"/>
      <c r="AG1619" s="424"/>
      <c r="AH1619" s="424"/>
    </row>
    <row r="1620" spans="1:34" x14ac:dyDescent="0.25">
      <c r="A1620" s="423" t="s">
        <v>7058</v>
      </c>
      <c r="B1620" s="423" t="s">
        <v>7062</v>
      </c>
      <c r="C1620" s="423" t="s">
        <v>6885</v>
      </c>
      <c r="D1620" s="423" t="s">
        <v>6871</v>
      </c>
      <c r="E1620" s="423" t="s">
        <v>203</v>
      </c>
      <c r="F1620" s="423">
        <v>8</v>
      </c>
      <c r="G1620" s="423">
        <v>16</v>
      </c>
      <c r="H1620" s="423">
        <v>493</v>
      </c>
      <c r="J1620" s="423"/>
      <c r="K1620" s="423"/>
      <c r="L1620" s="423"/>
      <c r="M1620" s="423"/>
      <c r="Q1620" s="423"/>
      <c r="R1620" s="424" t="s">
        <v>7062</v>
      </c>
      <c r="S1620" s="424" t="s">
        <v>2846</v>
      </c>
      <c r="T1620" s="424" t="s">
        <v>7061</v>
      </c>
      <c r="U1620" s="424">
        <v>0</v>
      </c>
      <c r="V1620" s="424" t="s">
        <v>3269</v>
      </c>
      <c r="W1620" s="424">
        <v>0</v>
      </c>
      <c r="X1620" s="424" t="s">
        <v>2825</v>
      </c>
      <c r="Y1620" s="424" t="s">
        <v>2279</v>
      </c>
      <c r="Z1620" s="424">
        <v>0</v>
      </c>
      <c r="AA1620" s="424">
        <v>0</v>
      </c>
      <c r="AB1620" s="424">
        <v>0</v>
      </c>
      <c r="AC1620" s="424">
        <v>0</v>
      </c>
      <c r="AD1620" s="424">
        <v>0</v>
      </c>
      <c r="AE1620" s="424">
        <v>0</v>
      </c>
      <c r="AF1620" s="424"/>
      <c r="AG1620" s="424"/>
      <c r="AH1620" s="424"/>
    </row>
    <row r="1621" spans="1:34" x14ac:dyDescent="0.25">
      <c r="A1621" s="423" t="s">
        <v>7058</v>
      </c>
      <c r="B1621" s="423" t="s">
        <v>7063</v>
      </c>
      <c r="C1621" s="423" t="s">
        <v>6885</v>
      </c>
      <c r="D1621" s="423" t="s">
        <v>6871</v>
      </c>
      <c r="E1621" s="423" t="s">
        <v>203</v>
      </c>
      <c r="F1621" s="423">
        <v>8</v>
      </c>
      <c r="G1621" s="423">
        <v>16</v>
      </c>
      <c r="H1621" s="423">
        <v>493</v>
      </c>
      <c r="J1621" s="423"/>
      <c r="K1621" s="423"/>
      <c r="L1621" s="423"/>
      <c r="M1621" s="423"/>
      <c r="Q1621" s="423"/>
      <c r="R1621" s="424" t="s">
        <v>7064</v>
      </c>
      <c r="S1621" s="424" t="s">
        <v>2846</v>
      </c>
      <c r="T1621" s="424" t="s">
        <v>7061</v>
      </c>
      <c r="U1621" s="424">
        <v>0</v>
      </c>
      <c r="V1621" s="424" t="s">
        <v>3269</v>
      </c>
      <c r="W1621" s="424" t="s">
        <v>3054</v>
      </c>
      <c r="X1621" s="424" t="s">
        <v>2825</v>
      </c>
      <c r="Y1621" s="424" t="s">
        <v>2279</v>
      </c>
      <c r="Z1621" s="424" t="s">
        <v>3260</v>
      </c>
      <c r="AA1621" s="424" t="s">
        <v>3327</v>
      </c>
      <c r="AB1621" s="424" t="s">
        <v>7065</v>
      </c>
      <c r="AC1621" s="424" t="s">
        <v>1953</v>
      </c>
      <c r="AD1621" s="424" t="s">
        <v>3329</v>
      </c>
      <c r="AE1621" s="424" t="s">
        <v>3333</v>
      </c>
      <c r="AF1621" s="424"/>
      <c r="AG1621" s="424"/>
      <c r="AH1621" s="424"/>
    </row>
    <row r="1622" spans="1:34" x14ac:dyDescent="0.25">
      <c r="A1622" s="423" t="s">
        <v>7058</v>
      </c>
      <c r="B1622" s="423" t="s">
        <v>7066</v>
      </c>
      <c r="C1622" s="423" t="s">
        <v>6885</v>
      </c>
      <c r="D1622" s="423" t="s">
        <v>6871</v>
      </c>
      <c r="E1622" s="423" t="s">
        <v>203</v>
      </c>
      <c r="F1622" s="423">
        <v>8</v>
      </c>
      <c r="G1622" s="423">
        <v>16</v>
      </c>
      <c r="H1622" s="423">
        <v>492</v>
      </c>
      <c r="J1622" s="423"/>
      <c r="K1622" s="423"/>
      <c r="L1622" s="423"/>
      <c r="M1622" s="423"/>
      <c r="Q1622" s="423"/>
      <c r="R1622" s="424" t="s">
        <v>7067</v>
      </c>
      <c r="S1622" s="424" t="s">
        <v>2846</v>
      </c>
      <c r="T1622" s="424" t="s">
        <v>5628</v>
      </c>
      <c r="U1622" s="424">
        <v>0</v>
      </c>
      <c r="V1622" s="424" t="s">
        <v>3269</v>
      </c>
      <c r="W1622" s="424" t="s">
        <v>3055</v>
      </c>
      <c r="X1622" s="424" t="s">
        <v>2825</v>
      </c>
      <c r="Y1622" s="424" t="s">
        <v>2279</v>
      </c>
      <c r="Z1622" s="424" t="s">
        <v>3260</v>
      </c>
      <c r="AA1622" s="424" t="s">
        <v>3327</v>
      </c>
      <c r="AB1622" s="424" t="s">
        <v>3566</v>
      </c>
      <c r="AC1622" s="424" t="s">
        <v>1953</v>
      </c>
      <c r="AD1622" s="424" t="s">
        <v>3329</v>
      </c>
      <c r="AE1622" s="424" t="s">
        <v>3365</v>
      </c>
      <c r="AF1622" s="424"/>
      <c r="AG1622" s="424"/>
      <c r="AH1622" s="424"/>
    </row>
    <row r="1623" spans="1:34" x14ac:dyDescent="0.25">
      <c r="A1623" s="423" t="s">
        <v>7058</v>
      </c>
      <c r="B1623" s="423" t="s">
        <v>7068</v>
      </c>
      <c r="C1623" s="423" t="s">
        <v>6885</v>
      </c>
      <c r="D1623" s="423" t="s">
        <v>6871</v>
      </c>
      <c r="E1623" s="423" t="s">
        <v>203</v>
      </c>
      <c r="F1623" s="423">
        <v>16</v>
      </c>
      <c r="G1623" s="423">
        <v>52</v>
      </c>
      <c r="H1623" s="423">
        <v>750</v>
      </c>
      <c r="J1623" s="423"/>
      <c r="K1623" s="423"/>
      <c r="L1623" s="423"/>
      <c r="M1623" s="423"/>
      <c r="Q1623" s="423"/>
      <c r="R1623" s="424" t="s">
        <v>7068</v>
      </c>
      <c r="S1623" s="424" t="s">
        <v>2846</v>
      </c>
      <c r="T1623" s="424" t="s">
        <v>5628</v>
      </c>
      <c r="U1623" s="424">
        <v>0</v>
      </c>
      <c r="V1623" s="424" t="s">
        <v>6894</v>
      </c>
      <c r="W1623" s="424">
        <v>0</v>
      </c>
      <c r="X1623" s="424">
        <v>0</v>
      </c>
      <c r="Y1623" s="424" t="s">
        <v>2279</v>
      </c>
      <c r="Z1623" s="424">
        <v>0</v>
      </c>
      <c r="AA1623" s="424">
        <v>0</v>
      </c>
      <c r="AB1623" s="424">
        <v>0</v>
      </c>
      <c r="AC1623" s="424">
        <v>0</v>
      </c>
      <c r="AD1623" s="424">
        <v>0</v>
      </c>
      <c r="AE1623" s="424">
        <v>0</v>
      </c>
      <c r="AF1623" s="424"/>
      <c r="AG1623" s="424"/>
      <c r="AH1623" s="424"/>
    </row>
    <row r="1624" spans="1:34" x14ac:dyDescent="0.25">
      <c r="A1624" s="423" t="s">
        <v>7058</v>
      </c>
      <c r="B1624" s="423" t="s">
        <v>7069</v>
      </c>
      <c r="C1624" s="423" t="s">
        <v>6885</v>
      </c>
      <c r="D1624" s="423" t="s">
        <v>6871</v>
      </c>
      <c r="E1624" s="423" t="s">
        <v>203</v>
      </c>
      <c r="F1624" s="423">
        <v>16</v>
      </c>
      <c r="G1624" s="423">
        <v>52</v>
      </c>
      <c r="H1624" s="423">
        <v>750</v>
      </c>
      <c r="J1624" s="423"/>
      <c r="K1624" s="423"/>
      <c r="L1624" s="423"/>
      <c r="M1624" s="423"/>
      <c r="Q1624" s="423"/>
      <c r="R1624" s="424" t="s">
        <v>7070</v>
      </c>
      <c r="S1624" s="424" t="s">
        <v>2846</v>
      </c>
      <c r="T1624" s="424" t="s">
        <v>7061</v>
      </c>
      <c r="U1624" s="424">
        <v>0</v>
      </c>
      <c r="V1624" s="424" t="s">
        <v>6894</v>
      </c>
      <c r="W1624" s="424">
        <v>0</v>
      </c>
      <c r="X1624" s="424">
        <v>0</v>
      </c>
      <c r="Y1624" s="424" t="s">
        <v>2279</v>
      </c>
      <c r="Z1624" s="424">
        <v>0</v>
      </c>
      <c r="AA1624" s="424">
        <v>0</v>
      </c>
      <c r="AB1624" s="424">
        <v>0</v>
      </c>
      <c r="AC1624" s="424">
        <v>0</v>
      </c>
      <c r="AD1624" s="424">
        <v>0</v>
      </c>
      <c r="AE1624" s="424">
        <v>0</v>
      </c>
      <c r="AF1624" s="424"/>
      <c r="AG1624" s="424"/>
      <c r="AH1624" s="424"/>
    </row>
    <row r="1625" spans="1:34" x14ac:dyDescent="0.25">
      <c r="A1625" s="423" t="s">
        <v>7058</v>
      </c>
      <c r="B1625" s="423" t="s">
        <v>7071</v>
      </c>
      <c r="C1625" s="423" t="s">
        <v>6885</v>
      </c>
      <c r="D1625" s="423" t="s">
        <v>6871</v>
      </c>
      <c r="E1625" s="423" t="s">
        <v>203</v>
      </c>
      <c r="F1625" s="423">
        <v>16</v>
      </c>
      <c r="G1625" s="423">
        <v>52</v>
      </c>
      <c r="H1625" s="423">
        <v>750</v>
      </c>
      <c r="J1625" s="423"/>
      <c r="K1625" s="423"/>
      <c r="L1625" s="423"/>
      <c r="M1625" s="423"/>
      <c r="Q1625" s="423"/>
      <c r="R1625" s="424" t="s">
        <v>7071</v>
      </c>
      <c r="S1625" s="424" t="s">
        <v>2846</v>
      </c>
      <c r="T1625" s="424" t="s">
        <v>7061</v>
      </c>
      <c r="U1625" s="424">
        <v>0</v>
      </c>
      <c r="V1625" s="424" t="s">
        <v>6894</v>
      </c>
      <c r="W1625" s="424">
        <v>0</v>
      </c>
      <c r="X1625" s="424">
        <v>0</v>
      </c>
      <c r="Y1625" s="424" t="s">
        <v>2279</v>
      </c>
      <c r="Z1625" s="424">
        <v>0</v>
      </c>
      <c r="AA1625" s="424">
        <v>0</v>
      </c>
      <c r="AB1625" s="424">
        <v>0</v>
      </c>
      <c r="AC1625" s="424">
        <v>0</v>
      </c>
      <c r="AD1625" s="424">
        <v>0</v>
      </c>
      <c r="AE1625" s="424">
        <v>0</v>
      </c>
      <c r="AF1625" s="424"/>
      <c r="AG1625" s="424"/>
      <c r="AH1625" s="424"/>
    </row>
    <row r="1626" spans="1:34" x14ac:dyDescent="0.25">
      <c r="A1626" s="423" t="s">
        <v>7072</v>
      </c>
      <c r="B1626" s="423" t="s">
        <v>7073</v>
      </c>
      <c r="C1626" s="423" t="s">
        <v>7074</v>
      </c>
      <c r="D1626" s="423" t="s">
        <v>6871</v>
      </c>
      <c r="E1626" s="423" t="s">
        <v>203</v>
      </c>
      <c r="F1626" s="423">
        <v>32</v>
      </c>
      <c r="G1626" s="423">
        <v>95</v>
      </c>
      <c r="H1626" s="423">
        <v>5433</v>
      </c>
      <c r="J1626" s="423"/>
      <c r="K1626" s="423"/>
      <c r="L1626" s="423"/>
      <c r="M1626" s="423"/>
      <c r="Q1626" s="423"/>
      <c r="R1626" s="424" t="s">
        <v>7073</v>
      </c>
      <c r="S1626" s="424" t="s">
        <v>2846</v>
      </c>
      <c r="T1626" s="424" t="s">
        <v>3416</v>
      </c>
      <c r="U1626" s="424">
        <v>0</v>
      </c>
      <c r="V1626" s="424" t="s">
        <v>3899</v>
      </c>
      <c r="W1626" s="424" t="s">
        <v>2974</v>
      </c>
      <c r="X1626" s="424">
        <v>0</v>
      </c>
      <c r="Y1626" s="424" t="s">
        <v>2279</v>
      </c>
      <c r="Z1626" s="424" t="s">
        <v>2848</v>
      </c>
      <c r="AA1626" s="424" t="s">
        <v>2849</v>
      </c>
      <c r="AB1626" s="424" t="s">
        <v>7075</v>
      </c>
      <c r="AC1626" s="424" t="s">
        <v>1953</v>
      </c>
      <c r="AD1626" s="424" t="s">
        <v>2851</v>
      </c>
      <c r="AE1626" s="424" t="s">
        <v>3418</v>
      </c>
      <c r="AF1626" s="424"/>
      <c r="AG1626" s="424"/>
      <c r="AH1626" s="424"/>
    </row>
    <row r="1627" spans="1:34" x14ac:dyDescent="0.25">
      <c r="A1627" s="423" t="s">
        <v>7072</v>
      </c>
      <c r="B1627" s="423" t="s">
        <v>7076</v>
      </c>
      <c r="C1627" s="423" t="s">
        <v>7074</v>
      </c>
      <c r="D1627" s="423" t="s">
        <v>6871</v>
      </c>
      <c r="E1627" s="423" t="s">
        <v>203</v>
      </c>
      <c r="F1627" s="423">
        <v>32</v>
      </c>
      <c r="G1627" s="423">
        <v>95</v>
      </c>
      <c r="H1627" s="423">
        <v>3500</v>
      </c>
      <c r="J1627" s="423"/>
      <c r="K1627" s="423"/>
      <c r="L1627" s="423"/>
      <c r="M1627" s="423"/>
      <c r="Q1627" s="423"/>
      <c r="R1627" s="424" t="s">
        <v>7076</v>
      </c>
      <c r="S1627" s="424" t="s">
        <v>2846</v>
      </c>
      <c r="T1627" s="424" t="s">
        <v>3416</v>
      </c>
      <c r="U1627" s="424">
        <v>0</v>
      </c>
      <c r="V1627" s="424" t="s">
        <v>3899</v>
      </c>
      <c r="W1627" s="424" t="s">
        <v>3074</v>
      </c>
      <c r="X1627" s="424">
        <v>0</v>
      </c>
      <c r="Y1627" s="424" t="s">
        <v>2279</v>
      </c>
      <c r="Z1627" s="424" t="s">
        <v>3260</v>
      </c>
      <c r="AA1627" s="424" t="s">
        <v>3274</v>
      </c>
      <c r="AB1627" s="424" t="s">
        <v>3556</v>
      </c>
      <c r="AC1627" s="424" t="s">
        <v>1953</v>
      </c>
      <c r="AD1627" s="424" t="s">
        <v>2851</v>
      </c>
      <c r="AE1627" s="424" t="s">
        <v>3557</v>
      </c>
      <c r="AF1627" s="424"/>
      <c r="AG1627" s="424"/>
      <c r="AH1627" s="424"/>
    </row>
    <row r="1628" spans="1:34" x14ac:dyDescent="0.25">
      <c r="A1628" s="423" t="s">
        <v>7072</v>
      </c>
      <c r="B1628" s="423" t="s">
        <v>7077</v>
      </c>
      <c r="C1628" s="423" t="s">
        <v>7074</v>
      </c>
      <c r="D1628" s="423" t="s">
        <v>6871</v>
      </c>
      <c r="E1628" s="423" t="s">
        <v>203</v>
      </c>
      <c r="F1628" s="423">
        <v>32</v>
      </c>
      <c r="G1628" s="423">
        <v>95</v>
      </c>
      <c r="H1628" s="423">
        <v>3500</v>
      </c>
      <c r="J1628" s="423"/>
      <c r="K1628" s="423"/>
      <c r="L1628" s="423"/>
      <c r="M1628" s="423"/>
      <c r="Q1628" s="423"/>
      <c r="R1628" s="424" t="s">
        <v>7077</v>
      </c>
      <c r="S1628" s="424" t="s">
        <v>2846</v>
      </c>
      <c r="T1628" s="424" t="s">
        <v>3416</v>
      </c>
      <c r="U1628" s="424">
        <v>0</v>
      </c>
      <c r="V1628" s="424" t="s">
        <v>3899</v>
      </c>
      <c r="W1628" s="424" t="s">
        <v>3074</v>
      </c>
      <c r="X1628" s="424">
        <v>0</v>
      </c>
      <c r="Y1628" s="424" t="s">
        <v>2279</v>
      </c>
      <c r="Z1628" s="424" t="s">
        <v>3260</v>
      </c>
      <c r="AA1628" s="424" t="s">
        <v>3197</v>
      </c>
      <c r="AB1628" s="424" t="s">
        <v>3676</v>
      </c>
      <c r="AC1628" s="424" t="s">
        <v>1953</v>
      </c>
      <c r="AD1628" s="424" t="s">
        <v>2851</v>
      </c>
      <c r="AE1628" s="424" t="s">
        <v>3279</v>
      </c>
      <c r="AF1628" s="424"/>
      <c r="AG1628" s="424"/>
      <c r="AH1628" s="424"/>
    </row>
    <row r="1629" spans="1:34" x14ac:dyDescent="0.25">
      <c r="A1629" s="423" t="s">
        <v>7072</v>
      </c>
      <c r="B1629" s="423" t="s">
        <v>7078</v>
      </c>
      <c r="C1629" s="423" t="s">
        <v>7074</v>
      </c>
      <c r="D1629" s="423" t="s">
        <v>6871</v>
      </c>
      <c r="E1629" s="423" t="s">
        <v>203</v>
      </c>
      <c r="F1629" s="423">
        <v>56</v>
      </c>
      <c r="G1629" s="423">
        <v>48</v>
      </c>
      <c r="H1629" s="423">
        <v>600</v>
      </c>
      <c r="J1629" s="423"/>
      <c r="K1629" s="423"/>
      <c r="L1629" s="423"/>
      <c r="M1629" s="423"/>
      <c r="Q1629" s="423"/>
      <c r="R1629" s="424" t="s">
        <v>7079</v>
      </c>
      <c r="S1629" s="424" t="s">
        <v>2820</v>
      </c>
      <c r="T1629" s="424" t="s">
        <v>6228</v>
      </c>
      <c r="U1629" s="424">
        <v>0</v>
      </c>
      <c r="V1629" s="424" t="s">
        <v>2824</v>
      </c>
      <c r="W1629" s="424" t="s">
        <v>2824</v>
      </c>
      <c r="X1629" s="424" t="s">
        <v>3298</v>
      </c>
      <c r="Y1629" s="424" t="s">
        <v>2279</v>
      </c>
      <c r="Z1629" s="424" t="s">
        <v>2826</v>
      </c>
      <c r="AA1629" s="424" t="s">
        <v>6229</v>
      </c>
      <c r="AB1629" s="424" t="s">
        <v>7080</v>
      </c>
      <c r="AC1629" s="424" t="s">
        <v>1953</v>
      </c>
      <c r="AD1629" s="424" t="s">
        <v>2829</v>
      </c>
      <c r="AE1629" s="424" t="s">
        <v>7081</v>
      </c>
      <c r="AF1629" s="424"/>
      <c r="AG1629" s="424"/>
      <c r="AH1629" s="424"/>
    </row>
    <row r="1630" spans="1:34" x14ac:dyDescent="0.25">
      <c r="A1630" s="423" t="s">
        <v>7072</v>
      </c>
      <c r="B1630" s="423" t="s">
        <v>7082</v>
      </c>
      <c r="C1630" s="423" t="s">
        <v>7074</v>
      </c>
      <c r="D1630" s="423" t="s">
        <v>6871</v>
      </c>
      <c r="E1630" s="423" t="s">
        <v>203</v>
      </c>
      <c r="F1630" s="423">
        <v>32</v>
      </c>
      <c r="G1630" s="423">
        <v>32</v>
      </c>
      <c r="H1630" s="423">
        <v>500</v>
      </c>
      <c r="J1630" s="423"/>
      <c r="K1630" s="423"/>
      <c r="L1630" s="423"/>
      <c r="M1630" s="423"/>
      <c r="Q1630" s="423"/>
      <c r="R1630" s="424" t="s">
        <v>7083</v>
      </c>
      <c r="S1630" s="424" t="s">
        <v>2820</v>
      </c>
      <c r="T1630" s="424" t="s">
        <v>6228</v>
      </c>
      <c r="U1630" s="424">
        <v>0</v>
      </c>
      <c r="V1630" s="424" t="s">
        <v>2824</v>
      </c>
      <c r="W1630" s="424" t="s">
        <v>2824</v>
      </c>
      <c r="X1630" s="424" t="s">
        <v>3298</v>
      </c>
      <c r="Y1630" s="424" t="s">
        <v>2279</v>
      </c>
      <c r="Z1630" s="424" t="s">
        <v>2826</v>
      </c>
      <c r="AA1630" s="424" t="s">
        <v>6229</v>
      </c>
      <c r="AB1630" s="424" t="s">
        <v>7084</v>
      </c>
      <c r="AC1630" s="424" t="s">
        <v>1953</v>
      </c>
      <c r="AD1630" s="424" t="s">
        <v>2829</v>
      </c>
      <c r="AE1630" s="424" t="s">
        <v>7085</v>
      </c>
      <c r="AF1630" s="424"/>
      <c r="AG1630" s="424"/>
      <c r="AH1630" s="424"/>
    </row>
    <row r="1631" spans="1:34" x14ac:dyDescent="0.25">
      <c r="A1631" s="423" t="s">
        <v>7072</v>
      </c>
      <c r="B1631" s="423" t="s">
        <v>7086</v>
      </c>
      <c r="C1631" s="423" t="s">
        <v>7074</v>
      </c>
      <c r="D1631" s="423" t="s">
        <v>6871</v>
      </c>
      <c r="E1631" s="423" t="s">
        <v>203</v>
      </c>
      <c r="F1631" s="423">
        <v>32</v>
      </c>
      <c r="G1631" s="423">
        <v>32</v>
      </c>
      <c r="H1631" s="423">
        <v>500</v>
      </c>
      <c r="J1631" s="423"/>
      <c r="K1631" s="423"/>
      <c r="L1631" s="423"/>
      <c r="M1631" s="423"/>
      <c r="Q1631" s="423"/>
      <c r="R1631" s="424" t="s">
        <v>7087</v>
      </c>
      <c r="S1631" s="424" t="s">
        <v>2820</v>
      </c>
      <c r="T1631" s="424" t="s">
        <v>6228</v>
      </c>
      <c r="U1631" s="424">
        <v>0</v>
      </c>
      <c r="V1631" s="424" t="s">
        <v>2824</v>
      </c>
      <c r="W1631" s="424" t="s">
        <v>2824</v>
      </c>
      <c r="X1631" s="424" t="s">
        <v>3298</v>
      </c>
      <c r="Y1631" s="424" t="s">
        <v>2279</v>
      </c>
      <c r="Z1631" s="424" t="s">
        <v>2826</v>
      </c>
      <c r="AA1631" s="424" t="s">
        <v>6229</v>
      </c>
      <c r="AB1631" s="424" t="s">
        <v>7088</v>
      </c>
      <c r="AC1631" s="424" t="s">
        <v>1953</v>
      </c>
      <c r="AD1631" s="424" t="s">
        <v>2829</v>
      </c>
      <c r="AE1631" s="424" t="s">
        <v>7089</v>
      </c>
      <c r="AF1631" s="424"/>
      <c r="AG1631" s="424"/>
      <c r="AH1631" s="424"/>
    </row>
    <row r="1632" spans="1:34" x14ac:dyDescent="0.25">
      <c r="A1632" s="423" t="s">
        <v>7090</v>
      </c>
      <c r="B1632" s="423" t="s">
        <v>7091</v>
      </c>
      <c r="C1632" s="423" t="s">
        <v>7074</v>
      </c>
      <c r="D1632" s="423" t="s">
        <v>6871</v>
      </c>
      <c r="E1632" s="423" t="s">
        <v>203</v>
      </c>
      <c r="F1632" s="423">
        <v>16</v>
      </c>
      <c r="G1632" s="423">
        <v>63</v>
      </c>
      <c r="H1632" s="423">
        <v>3500</v>
      </c>
      <c r="J1632" s="423"/>
      <c r="K1632" s="423"/>
      <c r="L1632" s="423"/>
      <c r="M1632" s="423"/>
      <c r="Q1632" s="423"/>
      <c r="R1632" s="424" t="s">
        <v>7091</v>
      </c>
      <c r="S1632" s="424" t="s">
        <v>2846</v>
      </c>
      <c r="T1632" s="424" t="s">
        <v>3356</v>
      </c>
      <c r="U1632" s="424">
        <v>0</v>
      </c>
      <c r="V1632" s="424" t="s">
        <v>2824</v>
      </c>
      <c r="W1632" s="424" t="s">
        <v>3055</v>
      </c>
      <c r="X1632" s="424">
        <v>0</v>
      </c>
      <c r="Y1632" s="424" t="s">
        <v>2279</v>
      </c>
      <c r="Z1632" s="424" t="s">
        <v>2848</v>
      </c>
      <c r="AA1632" s="424" t="s">
        <v>2855</v>
      </c>
      <c r="AB1632" s="424" t="s">
        <v>7092</v>
      </c>
      <c r="AC1632" s="424" t="s">
        <v>1953</v>
      </c>
      <c r="AD1632" s="424" t="s">
        <v>2851</v>
      </c>
      <c r="AE1632" s="424" t="s">
        <v>2857</v>
      </c>
      <c r="AF1632" s="424"/>
      <c r="AG1632" s="424"/>
      <c r="AH1632" s="424"/>
    </row>
    <row r="1633" spans="1:34" x14ac:dyDescent="0.25">
      <c r="A1633" s="423" t="s">
        <v>7090</v>
      </c>
      <c r="B1633" s="423" t="s">
        <v>7093</v>
      </c>
      <c r="C1633" s="423" t="s">
        <v>7074</v>
      </c>
      <c r="D1633" s="423" t="s">
        <v>6871</v>
      </c>
      <c r="E1633" s="423" t="s">
        <v>203</v>
      </c>
      <c r="F1633" s="423">
        <v>16</v>
      </c>
      <c r="G1633" s="423">
        <v>63</v>
      </c>
      <c r="H1633" s="423">
        <v>3500</v>
      </c>
      <c r="J1633" s="423"/>
      <c r="K1633" s="423"/>
      <c r="L1633" s="423"/>
      <c r="M1633" s="423"/>
      <c r="Q1633" s="423"/>
      <c r="R1633" s="424" t="s">
        <v>7093</v>
      </c>
      <c r="S1633" s="424" t="s">
        <v>2846</v>
      </c>
      <c r="T1633" s="424" t="s">
        <v>3356</v>
      </c>
      <c r="U1633" s="424">
        <v>0</v>
      </c>
      <c r="V1633" s="424" t="s">
        <v>2824</v>
      </c>
      <c r="W1633" s="424" t="s">
        <v>3055</v>
      </c>
      <c r="X1633" s="424">
        <v>0</v>
      </c>
      <c r="Y1633" s="424" t="s">
        <v>2279</v>
      </c>
      <c r="Z1633" s="424" t="s">
        <v>2848</v>
      </c>
      <c r="AA1633" s="424" t="s">
        <v>2855</v>
      </c>
      <c r="AB1633" s="424" t="s">
        <v>7094</v>
      </c>
      <c r="AC1633" s="424" t="s">
        <v>1953</v>
      </c>
      <c r="AD1633" s="424" t="s">
        <v>2851</v>
      </c>
      <c r="AE1633" s="424" t="s">
        <v>2857</v>
      </c>
      <c r="AF1633" s="424"/>
      <c r="AG1633" s="424"/>
      <c r="AH1633" s="424"/>
    </row>
    <row r="1634" spans="1:34" x14ac:dyDescent="0.25">
      <c r="A1634" s="423" t="s">
        <v>7090</v>
      </c>
      <c r="B1634" s="423" t="s">
        <v>7095</v>
      </c>
      <c r="C1634" s="423" t="s">
        <v>7074</v>
      </c>
      <c r="D1634" s="423" t="s">
        <v>6871</v>
      </c>
      <c r="E1634" s="423" t="s">
        <v>203</v>
      </c>
      <c r="F1634" s="423">
        <v>16</v>
      </c>
      <c r="G1634" s="423">
        <v>63</v>
      </c>
      <c r="H1634" s="423">
        <v>3500</v>
      </c>
      <c r="J1634" s="423"/>
      <c r="K1634" s="423"/>
      <c r="L1634" s="423"/>
      <c r="M1634" s="423"/>
      <c r="Q1634" s="423"/>
      <c r="R1634" s="424" t="s">
        <v>7095</v>
      </c>
      <c r="S1634" s="424" t="s">
        <v>2846</v>
      </c>
      <c r="T1634" s="424" t="s">
        <v>3356</v>
      </c>
      <c r="U1634" s="424">
        <v>0</v>
      </c>
      <c r="V1634" s="424" t="s">
        <v>2824</v>
      </c>
      <c r="W1634" s="424" t="s">
        <v>3055</v>
      </c>
      <c r="X1634" s="424">
        <v>0</v>
      </c>
      <c r="Y1634" s="424" t="s">
        <v>2279</v>
      </c>
      <c r="Z1634" s="424" t="s">
        <v>2848</v>
      </c>
      <c r="AA1634" s="424" t="s">
        <v>2855</v>
      </c>
      <c r="AB1634" s="424" t="s">
        <v>3359</v>
      </c>
      <c r="AC1634" s="424" t="s">
        <v>1953</v>
      </c>
      <c r="AD1634" s="424" t="s">
        <v>2851</v>
      </c>
      <c r="AE1634" s="424" t="s">
        <v>3168</v>
      </c>
      <c r="AF1634" s="424"/>
      <c r="AG1634" s="424"/>
      <c r="AH1634" s="424"/>
    </row>
    <row r="1635" spans="1:34" x14ac:dyDescent="0.25">
      <c r="A1635" s="423" t="s">
        <v>7090</v>
      </c>
      <c r="B1635" s="423" t="s">
        <v>7096</v>
      </c>
      <c r="C1635" s="423" t="s">
        <v>7074</v>
      </c>
      <c r="D1635" s="423" t="s">
        <v>6871</v>
      </c>
      <c r="E1635" s="423" t="s">
        <v>203</v>
      </c>
      <c r="F1635" s="423">
        <v>16</v>
      </c>
      <c r="G1635" s="423">
        <v>16</v>
      </c>
      <c r="H1635" s="423">
        <v>300</v>
      </c>
      <c r="J1635" s="423"/>
      <c r="K1635" s="423"/>
      <c r="L1635" s="423"/>
      <c r="M1635" s="423"/>
      <c r="Q1635" s="423"/>
      <c r="R1635" s="424" t="s">
        <v>7097</v>
      </c>
      <c r="S1635" s="424" t="s">
        <v>2846</v>
      </c>
      <c r="T1635" s="424" t="s">
        <v>5781</v>
      </c>
      <c r="U1635" s="424">
        <v>0</v>
      </c>
      <c r="V1635" s="424" t="s">
        <v>2973</v>
      </c>
      <c r="W1635" s="424" t="s">
        <v>2871</v>
      </c>
      <c r="X1635" s="424" t="s">
        <v>3298</v>
      </c>
      <c r="Y1635" s="424" t="s">
        <v>2279</v>
      </c>
      <c r="Z1635" s="424" t="s">
        <v>2848</v>
      </c>
      <c r="AA1635" s="424" t="s">
        <v>2855</v>
      </c>
      <c r="AB1635" s="424" t="s">
        <v>4971</v>
      </c>
      <c r="AC1635" s="424" t="s">
        <v>1953</v>
      </c>
      <c r="AD1635" s="424" t="s">
        <v>2851</v>
      </c>
      <c r="AE1635" s="424" t="s">
        <v>2901</v>
      </c>
      <c r="AF1635" s="424"/>
      <c r="AG1635" s="424"/>
      <c r="AH1635" s="424"/>
    </row>
    <row r="1636" spans="1:34" x14ac:dyDescent="0.25">
      <c r="A1636" s="423" t="s">
        <v>7090</v>
      </c>
      <c r="B1636" s="423" t="s">
        <v>7098</v>
      </c>
      <c r="C1636" s="423" t="s">
        <v>7074</v>
      </c>
      <c r="D1636" s="423" t="s">
        <v>6871</v>
      </c>
      <c r="E1636" s="423" t="s">
        <v>203</v>
      </c>
      <c r="F1636" s="423">
        <v>16</v>
      </c>
      <c r="G1636" s="423">
        <v>16</v>
      </c>
      <c r="H1636" s="423">
        <v>300</v>
      </c>
      <c r="J1636" s="423"/>
      <c r="K1636" s="423"/>
      <c r="L1636" s="423"/>
      <c r="M1636" s="423"/>
      <c r="Q1636" s="423"/>
      <c r="R1636" s="424" t="s">
        <v>7099</v>
      </c>
      <c r="S1636" s="424" t="s">
        <v>2846</v>
      </c>
      <c r="T1636" s="424" t="s">
        <v>5781</v>
      </c>
      <c r="U1636" s="424">
        <v>0</v>
      </c>
      <c r="V1636" s="424" t="s">
        <v>2973</v>
      </c>
      <c r="W1636" s="424" t="s">
        <v>2974</v>
      </c>
      <c r="X1636" s="424" t="s">
        <v>3298</v>
      </c>
      <c r="Y1636" s="424" t="s">
        <v>2279</v>
      </c>
      <c r="Z1636" s="424" t="s">
        <v>2872</v>
      </c>
      <c r="AA1636" s="424" t="s">
        <v>2873</v>
      </c>
      <c r="AB1636" s="424" t="s">
        <v>4572</v>
      </c>
      <c r="AC1636" s="424" t="s">
        <v>1953</v>
      </c>
      <c r="AD1636" s="424" t="s">
        <v>2892</v>
      </c>
      <c r="AE1636" s="424" t="s">
        <v>4463</v>
      </c>
      <c r="AF1636" s="424"/>
      <c r="AG1636" s="424"/>
      <c r="AH1636" s="424"/>
    </row>
    <row r="1637" spans="1:34" x14ac:dyDescent="0.25">
      <c r="A1637" s="423" t="s">
        <v>7090</v>
      </c>
      <c r="B1637" s="423" t="s">
        <v>7100</v>
      </c>
      <c r="C1637" s="423" t="s">
        <v>7074</v>
      </c>
      <c r="D1637" s="423" t="s">
        <v>6871</v>
      </c>
      <c r="E1637" s="423" t="s">
        <v>203</v>
      </c>
      <c r="F1637" s="423">
        <v>16</v>
      </c>
      <c r="G1637" s="423">
        <v>16</v>
      </c>
      <c r="H1637" s="423">
        <v>300</v>
      </c>
      <c r="J1637" s="423"/>
      <c r="K1637" s="423"/>
      <c r="L1637" s="423"/>
      <c r="M1637" s="423"/>
      <c r="Q1637" s="423"/>
      <c r="R1637" s="424" t="s">
        <v>7101</v>
      </c>
      <c r="S1637" s="424" t="s">
        <v>2846</v>
      </c>
      <c r="T1637" s="424" t="s">
        <v>5781</v>
      </c>
      <c r="U1637" s="424">
        <v>0</v>
      </c>
      <c r="V1637" s="424" t="s">
        <v>2973</v>
      </c>
      <c r="W1637" s="424" t="s">
        <v>2974</v>
      </c>
      <c r="X1637" s="424" t="s">
        <v>2825</v>
      </c>
      <c r="Y1637" s="424" t="s">
        <v>2279</v>
      </c>
      <c r="Z1637" s="424" t="s">
        <v>2889</v>
      </c>
      <c r="AA1637" s="424" t="s">
        <v>2890</v>
      </c>
      <c r="AB1637" s="424" t="s">
        <v>2891</v>
      </c>
      <c r="AC1637" s="424" t="s">
        <v>1953</v>
      </c>
      <c r="AD1637" s="424" t="s">
        <v>2892</v>
      </c>
      <c r="AE1637" s="424" t="s">
        <v>2893</v>
      </c>
      <c r="AF1637" s="424"/>
      <c r="AG1637" s="424"/>
      <c r="AH1637" s="424"/>
    </row>
    <row r="1638" spans="1:34" x14ac:dyDescent="0.25">
      <c r="A1638" s="423" t="s">
        <v>7090</v>
      </c>
      <c r="B1638" s="423" t="s">
        <v>7102</v>
      </c>
      <c r="C1638" s="423" t="s">
        <v>7074</v>
      </c>
      <c r="D1638" s="423" t="s">
        <v>6871</v>
      </c>
      <c r="E1638" s="423" t="s">
        <v>203</v>
      </c>
      <c r="F1638" s="423">
        <v>24</v>
      </c>
      <c r="G1638" s="423">
        <v>40</v>
      </c>
      <c r="H1638" s="423">
        <v>500</v>
      </c>
      <c r="J1638" s="423"/>
      <c r="K1638" s="423"/>
      <c r="L1638" s="423"/>
      <c r="M1638" s="423"/>
      <c r="Q1638" s="423"/>
      <c r="R1638" s="424" t="s">
        <v>7103</v>
      </c>
      <c r="S1638" s="424" t="s">
        <v>2820</v>
      </c>
      <c r="T1638" s="424" t="s">
        <v>3268</v>
      </c>
      <c r="U1638" s="424">
        <v>0</v>
      </c>
      <c r="V1638" s="424" t="s">
        <v>2973</v>
      </c>
      <c r="W1638" s="424" t="s">
        <v>2973</v>
      </c>
      <c r="X1638" s="424" t="s">
        <v>3298</v>
      </c>
      <c r="Y1638" s="424" t="s">
        <v>2279</v>
      </c>
      <c r="Z1638" s="424" t="s">
        <v>2889</v>
      </c>
      <c r="AA1638" s="424" t="s">
        <v>6901</v>
      </c>
      <c r="AB1638" s="424" t="s">
        <v>7104</v>
      </c>
      <c r="AC1638" s="424" t="s">
        <v>3263</v>
      </c>
      <c r="AD1638" s="424" t="s">
        <v>3985</v>
      </c>
      <c r="AE1638" s="424" t="s">
        <v>7105</v>
      </c>
      <c r="AF1638" s="424"/>
      <c r="AG1638" s="424"/>
      <c r="AH1638" s="424"/>
    </row>
    <row r="1639" spans="1:34" x14ac:dyDescent="0.25">
      <c r="A1639" s="423" t="s">
        <v>7090</v>
      </c>
      <c r="B1639" s="423" t="s">
        <v>7106</v>
      </c>
      <c r="C1639" s="423" t="s">
        <v>7074</v>
      </c>
      <c r="D1639" s="423" t="s">
        <v>6871</v>
      </c>
      <c r="E1639" s="423" t="s">
        <v>203</v>
      </c>
      <c r="F1639" s="423">
        <v>24</v>
      </c>
      <c r="G1639" s="423">
        <v>24</v>
      </c>
      <c r="H1639" s="423">
        <v>750</v>
      </c>
      <c r="J1639" s="423"/>
      <c r="K1639" s="423"/>
      <c r="L1639" s="423"/>
      <c r="M1639" s="423"/>
      <c r="Q1639" s="423"/>
      <c r="R1639" s="424" t="s">
        <v>7107</v>
      </c>
      <c r="S1639" s="424" t="s">
        <v>2820</v>
      </c>
      <c r="T1639" s="424" t="s">
        <v>6900</v>
      </c>
      <c r="U1639" s="424">
        <v>0</v>
      </c>
      <c r="V1639" s="424" t="s">
        <v>2973</v>
      </c>
      <c r="W1639" s="424" t="s">
        <v>2973</v>
      </c>
      <c r="X1639" s="424" t="s">
        <v>3298</v>
      </c>
      <c r="Y1639" s="424" t="s">
        <v>2279</v>
      </c>
      <c r="Z1639" s="424" t="s">
        <v>2889</v>
      </c>
      <c r="AA1639" s="424" t="s">
        <v>6901</v>
      </c>
      <c r="AB1639" s="424" t="s">
        <v>7108</v>
      </c>
      <c r="AC1639" s="424" t="s">
        <v>3263</v>
      </c>
      <c r="AD1639" s="424" t="s">
        <v>3985</v>
      </c>
      <c r="AE1639" s="424" t="s">
        <v>7105</v>
      </c>
      <c r="AF1639" s="424"/>
      <c r="AG1639" s="424"/>
      <c r="AH1639" s="424"/>
    </row>
    <row r="1640" spans="1:34" x14ac:dyDescent="0.25">
      <c r="A1640" s="423" t="s">
        <v>7090</v>
      </c>
      <c r="B1640" s="423" t="s">
        <v>7109</v>
      </c>
      <c r="C1640" s="423" t="s">
        <v>7074</v>
      </c>
      <c r="D1640" s="423" t="s">
        <v>6871</v>
      </c>
      <c r="E1640" s="423" t="s">
        <v>203</v>
      </c>
      <c r="F1640" s="423">
        <v>6</v>
      </c>
      <c r="G1640" s="423">
        <v>16</v>
      </c>
      <c r="H1640" s="423">
        <v>750</v>
      </c>
      <c r="J1640" s="423"/>
      <c r="K1640" s="423"/>
      <c r="L1640" s="423"/>
      <c r="M1640" s="423"/>
      <c r="Q1640" s="423"/>
      <c r="R1640" s="424" t="s">
        <v>7109</v>
      </c>
      <c r="S1640" s="424" t="s">
        <v>2846</v>
      </c>
      <c r="T1640" s="424" t="s">
        <v>3268</v>
      </c>
      <c r="U1640" s="424">
        <v>0</v>
      </c>
      <c r="V1640" s="424" t="s">
        <v>3269</v>
      </c>
      <c r="W1640" s="424" t="s">
        <v>3074</v>
      </c>
      <c r="X1640" s="424" t="s">
        <v>3298</v>
      </c>
      <c r="Y1640" s="424" t="s">
        <v>2279</v>
      </c>
      <c r="Z1640" s="424" t="s">
        <v>3260</v>
      </c>
      <c r="AA1640" s="424" t="s">
        <v>3197</v>
      </c>
      <c r="AB1640" s="424" t="s">
        <v>3469</v>
      </c>
      <c r="AC1640" s="424" t="s">
        <v>1953</v>
      </c>
      <c r="AD1640" s="424" t="s">
        <v>2851</v>
      </c>
      <c r="AE1640" s="424" t="s">
        <v>3279</v>
      </c>
      <c r="AF1640" s="424"/>
      <c r="AG1640" s="424"/>
      <c r="AH1640" s="424"/>
    </row>
    <row r="1641" spans="1:34" x14ac:dyDescent="0.25">
      <c r="A1641" s="423" t="s">
        <v>7090</v>
      </c>
      <c r="B1641" s="423" t="s">
        <v>7110</v>
      </c>
      <c r="C1641" s="423" t="s">
        <v>7074</v>
      </c>
      <c r="D1641" s="423" t="s">
        <v>6871</v>
      </c>
      <c r="E1641" s="423" t="s">
        <v>203</v>
      </c>
      <c r="F1641" s="423">
        <v>6</v>
      </c>
      <c r="G1641" s="423">
        <v>16</v>
      </c>
      <c r="H1641" s="423">
        <v>750</v>
      </c>
      <c r="J1641" s="423"/>
      <c r="K1641" s="423"/>
      <c r="L1641" s="423"/>
      <c r="M1641" s="423"/>
      <c r="Q1641" s="423"/>
      <c r="R1641" s="424" t="s">
        <v>7110</v>
      </c>
      <c r="S1641" s="424" t="s">
        <v>2846</v>
      </c>
      <c r="T1641" s="424" t="s">
        <v>3268</v>
      </c>
      <c r="U1641" s="424">
        <v>0</v>
      </c>
      <c r="V1641" s="424" t="s">
        <v>3269</v>
      </c>
      <c r="W1641" s="424" t="s">
        <v>3074</v>
      </c>
      <c r="X1641" s="424" t="s">
        <v>3298</v>
      </c>
      <c r="Y1641" s="424" t="s">
        <v>2279</v>
      </c>
      <c r="Z1641" s="424" t="s">
        <v>3260</v>
      </c>
      <c r="AA1641" s="424" t="s">
        <v>3274</v>
      </c>
      <c r="AB1641" s="424" t="s">
        <v>3569</v>
      </c>
      <c r="AC1641" s="424" t="s">
        <v>1953</v>
      </c>
      <c r="AD1641" s="424" t="s">
        <v>2851</v>
      </c>
      <c r="AE1641" s="424" t="s">
        <v>3557</v>
      </c>
      <c r="AF1641" s="424"/>
      <c r="AG1641" s="424"/>
      <c r="AH1641" s="424"/>
    </row>
    <row r="1642" spans="1:34" x14ac:dyDescent="0.25">
      <c r="A1642" s="423" t="s">
        <v>7090</v>
      </c>
      <c r="B1642" s="423" t="s">
        <v>7111</v>
      </c>
      <c r="C1642" s="423" t="s">
        <v>7074</v>
      </c>
      <c r="D1642" s="423" t="s">
        <v>6871</v>
      </c>
      <c r="E1642" s="423" t="s">
        <v>203</v>
      </c>
      <c r="F1642" s="423">
        <v>16</v>
      </c>
      <c r="G1642" s="423">
        <v>8</v>
      </c>
      <c r="H1642" s="423">
        <v>500</v>
      </c>
      <c r="J1642" s="423"/>
      <c r="K1642" s="423"/>
      <c r="L1642" s="423"/>
      <c r="M1642" s="423"/>
      <c r="Q1642" s="423"/>
      <c r="R1642" s="424" t="s">
        <v>7112</v>
      </c>
      <c r="S1642" s="424" t="s">
        <v>2820</v>
      </c>
      <c r="T1642" s="424" t="s">
        <v>3268</v>
      </c>
      <c r="U1642" s="424">
        <v>0</v>
      </c>
      <c r="V1642" s="424" t="s">
        <v>2973</v>
      </c>
      <c r="W1642" s="424" t="s">
        <v>2973</v>
      </c>
      <c r="X1642" s="424" t="s">
        <v>3298</v>
      </c>
      <c r="Y1642" s="424" t="s">
        <v>2279</v>
      </c>
      <c r="Z1642" s="424" t="s">
        <v>3260</v>
      </c>
      <c r="AA1642" s="424" t="s">
        <v>3261</v>
      </c>
      <c r="AB1642" s="424" t="s">
        <v>7113</v>
      </c>
      <c r="AC1642" s="424" t="s">
        <v>3263</v>
      </c>
      <c r="AD1642" s="424" t="s">
        <v>3264</v>
      </c>
      <c r="AE1642" s="424" t="s">
        <v>7114</v>
      </c>
      <c r="AF1642" s="424"/>
      <c r="AG1642" s="424"/>
      <c r="AH1642" s="424"/>
    </row>
    <row r="1643" spans="1:34" x14ac:dyDescent="0.25">
      <c r="A1643" s="423" t="s">
        <v>7090</v>
      </c>
      <c r="B1643" s="423" t="s">
        <v>7115</v>
      </c>
      <c r="C1643" s="423" t="s">
        <v>7074</v>
      </c>
      <c r="D1643" s="423" t="s">
        <v>6871</v>
      </c>
      <c r="E1643" s="423" t="s">
        <v>203</v>
      </c>
      <c r="F1643" s="423">
        <v>8</v>
      </c>
      <c r="G1643" s="423">
        <v>12</v>
      </c>
      <c r="H1643" s="423">
        <v>300</v>
      </c>
      <c r="J1643" s="423"/>
      <c r="K1643" s="423"/>
      <c r="L1643" s="423"/>
      <c r="M1643" s="423"/>
      <c r="Q1643" s="423"/>
      <c r="R1643" s="424" t="s">
        <v>7116</v>
      </c>
      <c r="S1643" s="424" t="s">
        <v>2820</v>
      </c>
      <c r="T1643" s="424" t="s">
        <v>3268</v>
      </c>
      <c r="U1643" s="424">
        <v>0</v>
      </c>
      <c r="V1643" s="424" t="s">
        <v>2973</v>
      </c>
      <c r="W1643" s="424" t="s">
        <v>2092</v>
      </c>
      <c r="X1643" s="424" t="s">
        <v>3298</v>
      </c>
      <c r="Y1643" s="424" t="s">
        <v>2279</v>
      </c>
      <c r="Z1643" s="424" t="s">
        <v>3260</v>
      </c>
      <c r="AA1643" s="424" t="s">
        <v>3261</v>
      </c>
      <c r="AB1643" s="424" t="s">
        <v>7117</v>
      </c>
      <c r="AC1643" s="424" t="s">
        <v>3263</v>
      </c>
      <c r="AD1643" s="424" t="s">
        <v>3264</v>
      </c>
      <c r="AE1643" s="424" t="s">
        <v>7114</v>
      </c>
      <c r="AF1643" s="424"/>
      <c r="AG1643" s="424"/>
      <c r="AH1643" s="424"/>
    </row>
    <row r="1644" spans="1:34" x14ac:dyDescent="0.25">
      <c r="A1644" s="423" t="s">
        <v>7118</v>
      </c>
      <c r="B1644" s="423" t="s">
        <v>7119</v>
      </c>
      <c r="C1644" s="423" t="s">
        <v>7074</v>
      </c>
      <c r="D1644" s="423" t="s">
        <v>6871</v>
      </c>
      <c r="E1644" s="423" t="s">
        <v>203</v>
      </c>
      <c r="F1644" s="423">
        <v>12</v>
      </c>
      <c r="G1644" s="423">
        <v>16</v>
      </c>
      <c r="H1644" s="423">
        <v>360</v>
      </c>
      <c r="J1644" s="423"/>
      <c r="K1644" s="423"/>
      <c r="L1644" s="423"/>
      <c r="M1644" s="423"/>
      <c r="Q1644" s="423"/>
      <c r="R1644" s="424" t="s">
        <v>7119</v>
      </c>
      <c r="S1644" s="424" t="s">
        <v>2846</v>
      </c>
      <c r="T1644" s="424" t="s">
        <v>3268</v>
      </c>
      <c r="U1644" s="424">
        <v>0</v>
      </c>
      <c r="V1644" s="424" t="s">
        <v>3269</v>
      </c>
      <c r="W1644" s="424" t="s">
        <v>3176</v>
      </c>
      <c r="X1644" s="424" t="s">
        <v>2825</v>
      </c>
      <c r="Y1644" s="424" t="s">
        <v>2279</v>
      </c>
      <c r="Z1644" s="424" t="s">
        <v>3260</v>
      </c>
      <c r="AA1644" s="424" t="s">
        <v>3197</v>
      </c>
      <c r="AB1644" s="424" t="s">
        <v>3533</v>
      </c>
      <c r="AC1644" s="424" t="s">
        <v>1953</v>
      </c>
      <c r="AD1644" s="424" t="s">
        <v>2851</v>
      </c>
      <c r="AE1644" s="424" t="s">
        <v>3293</v>
      </c>
      <c r="AF1644" s="424"/>
      <c r="AG1644" s="424"/>
      <c r="AH1644" s="424"/>
    </row>
    <row r="1645" spans="1:34" x14ac:dyDescent="0.25">
      <c r="A1645" s="423" t="s">
        <v>7118</v>
      </c>
      <c r="B1645" s="423" t="s">
        <v>7120</v>
      </c>
      <c r="C1645" s="423" t="s">
        <v>7074</v>
      </c>
      <c r="D1645" s="423" t="s">
        <v>6871</v>
      </c>
      <c r="E1645" s="423" t="s">
        <v>203</v>
      </c>
      <c r="F1645" s="423">
        <v>12</v>
      </c>
      <c r="G1645" s="423">
        <v>16</v>
      </c>
      <c r="H1645" s="423">
        <v>360</v>
      </c>
      <c r="J1645" s="423"/>
      <c r="K1645" s="423"/>
      <c r="L1645" s="423"/>
      <c r="M1645" s="423"/>
      <c r="Q1645" s="423"/>
      <c r="R1645" s="424" t="s">
        <v>7120</v>
      </c>
      <c r="S1645" s="424" t="s">
        <v>2846</v>
      </c>
      <c r="T1645" s="424" t="s">
        <v>3268</v>
      </c>
      <c r="U1645" s="424">
        <v>0</v>
      </c>
      <c r="V1645" s="424" t="s">
        <v>3269</v>
      </c>
      <c r="W1645" s="424" t="s">
        <v>3074</v>
      </c>
      <c r="X1645" s="424" t="s">
        <v>2825</v>
      </c>
      <c r="Y1645" s="424" t="s">
        <v>2279</v>
      </c>
      <c r="Z1645" s="424" t="s">
        <v>3260</v>
      </c>
      <c r="AA1645" s="424" t="s">
        <v>3197</v>
      </c>
      <c r="AB1645" s="424" t="s">
        <v>3967</v>
      </c>
      <c r="AC1645" s="424" t="s">
        <v>1953</v>
      </c>
      <c r="AD1645" s="424" t="s">
        <v>2851</v>
      </c>
      <c r="AE1645" s="424" t="s">
        <v>3279</v>
      </c>
      <c r="AF1645" s="424"/>
      <c r="AG1645" s="424"/>
      <c r="AH1645" s="424"/>
    </row>
    <row r="1646" spans="1:34" x14ac:dyDescent="0.25">
      <c r="A1646" s="423" t="s">
        <v>7118</v>
      </c>
      <c r="B1646" s="423" t="s">
        <v>7121</v>
      </c>
      <c r="C1646" s="423" t="s">
        <v>7074</v>
      </c>
      <c r="D1646" s="423" t="s">
        <v>6871</v>
      </c>
      <c r="E1646" s="423" t="s">
        <v>203</v>
      </c>
      <c r="F1646" s="423">
        <v>26</v>
      </c>
      <c r="G1646" s="423">
        <v>34</v>
      </c>
      <c r="H1646" s="423" t="s">
        <v>2328</v>
      </c>
      <c r="J1646" s="423"/>
      <c r="K1646" s="423"/>
      <c r="L1646" s="423"/>
      <c r="M1646" s="423"/>
      <c r="Q1646" s="423"/>
      <c r="R1646" s="424" t="s">
        <v>7121</v>
      </c>
      <c r="S1646" s="424" t="s">
        <v>2846</v>
      </c>
      <c r="T1646" s="424" t="s">
        <v>3356</v>
      </c>
      <c r="U1646" s="424">
        <v>0</v>
      </c>
      <c r="V1646" s="424" t="s">
        <v>6894</v>
      </c>
      <c r="W1646" s="424" t="s">
        <v>3074</v>
      </c>
      <c r="X1646" s="424">
        <v>0</v>
      </c>
      <c r="Y1646" s="424" t="s">
        <v>2279</v>
      </c>
      <c r="Z1646" s="424" t="s">
        <v>2848</v>
      </c>
      <c r="AA1646" s="424" t="s">
        <v>2855</v>
      </c>
      <c r="AB1646" s="424" t="s">
        <v>7122</v>
      </c>
      <c r="AC1646" s="424" t="s">
        <v>1953</v>
      </c>
      <c r="AD1646" s="424" t="s">
        <v>2851</v>
      </c>
      <c r="AE1646" s="424" t="s">
        <v>5343</v>
      </c>
      <c r="AF1646" s="424"/>
      <c r="AG1646" s="424"/>
      <c r="AH1646" s="424"/>
    </row>
    <row r="1647" spans="1:34" x14ac:dyDescent="0.25">
      <c r="A1647" s="423" t="s">
        <v>7118</v>
      </c>
      <c r="B1647" s="423" t="s">
        <v>7123</v>
      </c>
      <c r="C1647" s="423" t="s">
        <v>7074</v>
      </c>
      <c r="D1647" s="423" t="s">
        <v>6871</v>
      </c>
      <c r="E1647" s="423" t="s">
        <v>203</v>
      </c>
      <c r="F1647" s="423">
        <v>26</v>
      </c>
      <c r="G1647" s="423">
        <v>34</v>
      </c>
      <c r="H1647" s="423" t="s">
        <v>2328</v>
      </c>
      <c r="J1647" s="423"/>
      <c r="K1647" s="423"/>
      <c r="L1647" s="423"/>
      <c r="M1647" s="423"/>
      <c r="Q1647" s="423"/>
      <c r="R1647" s="424" t="s">
        <v>7123</v>
      </c>
      <c r="S1647" s="424" t="s">
        <v>2846</v>
      </c>
      <c r="T1647" s="424" t="s">
        <v>3356</v>
      </c>
      <c r="U1647" s="424">
        <v>0</v>
      </c>
      <c r="V1647" s="424" t="s">
        <v>6894</v>
      </c>
      <c r="W1647" s="424" t="s">
        <v>3074</v>
      </c>
      <c r="X1647" s="424">
        <v>0</v>
      </c>
      <c r="Y1647" s="424" t="s">
        <v>2279</v>
      </c>
      <c r="Z1647" s="424" t="s">
        <v>2848</v>
      </c>
      <c r="AA1647" s="424" t="s">
        <v>2849</v>
      </c>
      <c r="AB1647" s="424" t="s">
        <v>7124</v>
      </c>
      <c r="AC1647" s="424" t="s">
        <v>1953</v>
      </c>
      <c r="AD1647" s="424" t="s">
        <v>2851</v>
      </c>
      <c r="AE1647" s="424" t="s">
        <v>3440</v>
      </c>
      <c r="AF1647" s="424"/>
      <c r="AG1647" s="424"/>
      <c r="AH1647" s="424"/>
    </row>
    <row r="1648" spans="1:34" x14ac:dyDescent="0.25">
      <c r="A1648" s="423" t="s">
        <v>7125</v>
      </c>
      <c r="B1648" s="423" t="s">
        <v>7126</v>
      </c>
      <c r="C1648" s="423" t="s">
        <v>7074</v>
      </c>
      <c r="D1648" s="423" t="s">
        <v>6871</v>
      </c>
      <c r="E1648" s="423" t="s">
        <v>203</v>
      </c>
      <c r="F1648" s="423">
        <v>8</v>
      </c>
      <c r="G1648" s="423">
        <v>8</v>
      </c>
      <c r="H1648" s="423">
        <v>400</v>
      </c>
      <c r="J1648" s="423"/>
      <c r="K1648" s="423"/>
      <c r="L1648" s="423"/>
      <c r="M1648" s="423"/>
      <c r="Q1648" s="423"/>
      <c r="R1648" s="424" t="s">
        <v>7126</v>
      </c>
      <c r="S1648" s="424" t="s">
        <v>2846</v>
      </c>
      <c r="T1648" s="424" t="s">
        <v>3268</v>
      </c>
      <c r="U1648" s="424">
        <v>0</v>
      </c>
      <c r="V1648" s="424" t="s">
        <v>3269</v>
      </c>
      <c r="W1648" s="424" t="s">
        <v>3176</v>
      </c>
      <c r="X1648" s="424" t="s">
        <v>2825</v>
      </c>
      <c r="Y1648" s="424" t="s">
        <v>2279</v>
      </c>
      <c r="Z1648" s="424" t="s">
        <v>3260</v>
      </c>
      <c r="AA1648" s="424" t="s">
        <v>3197</v>
      </c>
      <c r="AB1648" s="424" t="s">
        <v>3549</v>
      </c>
      <c r="AC1648" s="424" t="s">
        <v>1953</v>
      </c>
      <c r="AD1648" s="424" t="s">
        <v>2851</v>
      </c>
      <c r="AE1648" s="424" t="s">
        <v>3550</v>
      </c>
      <c r="AF1648" s="424"/>
      <c r="AG1648" s="424"/>
      <c r="AH1648" s="424"/>
    </row>
    <row r="1649" spans="1:34" x14ac:dyDescent="0.25">
      <c r="A1649" s="423" t="s">
        <v>7127</v>
      </c>
      <c r="B1649" s="423" t="s">
        <v>7128</v>
      </c>
      <c r="C1649" s="423" t="s">
        <v>7074</v>
      </c>
      <c r="D1649" s="423" t="s">
        <v>6871</v>
      </c>
      <c r="E1649" s="423" t="s">
        <v>203</v>
      </c>
      <c r="F1649" s="423">
        <v>8</v>
      </c>
      <c r="G1649" s="423">
        <v>8</v>
      </c>
      <c r="H1649" s="423">
        <v>400</v>
      </c>
      <c r="J1649" s="423"/>
      <c r="K1649" s="423"/>
      <c r="L1649" s="423"/>
      <c r="M1649" s="423"/>
      <c r="Q1649" s="423"/>
      <c r="R1649" s="424" t="s">
        <v>7128</v>
      </c>
      <c r="S1649" s="424" t="s">
        <v>2846</v>
      </c>
      <c r="T1649" s="424" t="s">
        <v>3268</v>
      </c>
      <c r="U1649" s="424">
        <v>0</v>
      </c>
      <c r="V1649" s="424" t="s">
        <v>3269</v>
      </c>
      <c r="W1649" s="424" t="s">
        <v>2871</v>
      </c>
      <c r="X1649" s="424" t="s">
        <v>2825</v>
      </c>
      <c r="Y1649" s="424" t="s">
        <v>2279</v>
      </c>
      <c r="Z1649" s="424" t="s">
        <v>2848</v>
      </c>
      <c r="AA1649" s="424" t="s">
        <v>2849</v>
      </c>
      <c r="AB1649" s="424" t="s">
        <v>5508</v>
      </c>
      <c r="AC1649" s="424" t="s">
        <v>1953</v>
      </c>
      <c r="AD1649" s="424" t="s">
        <v>2851</v>
      </c>
      <c r="AE1649" s="424" t="s">
        <v>3545</v>
      </c>
      <c r="AF1649" s="424"/>
      <c r="AG1649" s="424"/>
      <c r="AH1649" s="424"/>
    </row>
    <row r="1650" spans="1:34" x14ac:dyDescent="0.25">
      <c r="A1650" s="423" t="s">
        <v>7129</v>
      </c>
      <c r="B1650" s="423" t="s">
        <v>7130</v>
      </c>
      <c r="C1650" s="423" t="s">
        <v>7074</v>
      </c>
      <c r="D1650" s="423" t="s">
        <v>6871</v>
      </c>
      <c r="E1650" s="423" t="s">
        <v>203</v>
      </c>
      <c r="F1650" s="423">
        <v>6</v>
      </c>
      <c r="G1650" s="423">
        <v>16</v>
      </c>
      <c r="H1650" s="423">
        <v>300</v>
      </c>
      <c r="J1650" s="423"/>
      <c r="K1650" s="423"/>
      <c r="L1650" s="423"/>
      <c r="M1650" s="423"/>
      <c r="Q1650" s="423"/>
      <c r="R1650" s="424" t="s">
        <v>7130</v>
      </c>
      <c r="S1650" s="424" t="s">
        <v>2846</v>
      </c>
      <c r="T1650" s="424" t="s">
        <v>7131</v>
      </c>
      <c r="U1650" s="424">
        <v>0</v>
      </c>
      <c r="V1650" s="424" t="s">
        <v>6968</v>
      </c>
      <c r="W1650" s="424" t="s">
        <v>3074</v>
      </c>
      <c r="X1650" s="424">
        <v>0</v>
      </c>
      <c r="Y1650" s="424" t="s">
        <v>2279</v>
      </c>
      <c r="Z1650" s="424" t="s">
        <v>2848</v>
      </c>
      <c r="AA1650" s="424" t="s">
        <v>2849</v>
      </c>
      <c r="AB1650" s="424" t="s">
        <v>6984</v>
      </c>
      <c r="AC1650" s="424" t="s">
        <v>1953</v>
      </c>
      <c r="AD1650" s="424" t="s">
        <v>2851</v>
      </c>
      <c r="AE1650" s="424" t="s">
        <v>3436</v>
      </c>
      <c r="AF1650" s="424"/>
      <c r="AG1650" s="424"/>
      <c r="AH1650" s="424"/>
    </row>
    <row r="1651" spans="1:34" x14ac:dyDescent="0.25">
      <c r="A1651" s="423" t="s">
        <v>7132</v>
      </c>
      <c r="B1651" s="423" t="s">
        <v>7133</v>
      </c>
      <c r="C1651" s="423" t="s">
        <v>7074</v>
      </c>
      <c r="D1651" s="423" t="s">
        <v>6871</v>
      </c>
      <c r="E1651" s="423" t="s">
        <v>203</v>
      </c>
      <c r="F1651" s="423">
        <v>6</v>
      </c>
      <c r="G1651" s="423">
        <v>16</v>
      </c>
      <c r="H1651" s="423">
        <v>300</v>
      </c>
      <c r="J1651" s="423"/>
      <c r="K1651" s="423"/>
      <c r="L1651" s="423"/>
      <c r="M1651" s="423"/>
      <c r="Q1651" s="423"/>
      <c r="R1651" s="424" t="s">
        <v>7133</v>
      </c>
      <c r="S1651" s="424" t="s">
        <v>2846</v>
      </c>
      <c r="T1651" s="424" t="s">
        <v>7131</v>
      </c>
      <c r="U1651" s="424">
        <v>0</v>
      </c>
      <c r="V1651" s="424" t="s">
        <v>6968</v>
      </c>
      <c r="W1651" s="424" t="s">
        <v>3176</v>
      </c>
      <c r="X1651" s="424">
        <v>0</v>
      </c>
      <c r="Y1651" s="424" t="s">
        <v>2279</v>
      </c>
      <c r="Z1651" s="424" t="s">
        <v>3260</v>
      </c>
      <c r="AA1651" s="424" t="s">
        <v>3197</v>
      </c>
      <c r="AB1651" s="424" t="s">
        <v>6522</v>
      </c>
      <c r="AC1651" s="424" t="s">
        <v>1953</v>
      </c>
      <c r="AD1651" s="424" t="s">
        <v>2851</v>
      </c>
      <c r="AE1651" s="424" t="s">
        <v>3674</v>
      </c>
      <c r="AF1651" s="424"/>
      <c r="AG1651" s="424"/>
      <c r="AH1651" s="424"/>
    </row>
    <row r="1652" spans="1:34" x14ac:dyDescent="0.25">
      <c r="A1652" s="423" t="s">
        <v>7134</v>
      </c>
      <c r="B1652" s="423" t="s">
        <v>7135</v>
      </c>
      <c r="C1652" s="423" t="s">
        <v>948</v>
      </c>
      <c r="D1652" s="423" t="s">
        <v>6871</v>
      </c>
      <c r="E1652" s="423" t="s">
        <v>203</v>
      </c>
      <c r="F1652" s="423">
        <v>16</v>
      </c>
      <c r="G1652" s="423">
        <v>16</v>
      </c>
      <c r="H1652" s="423">
        <v>197</v>
      </c>
      <c r="J1652" s="423"/>
      <c r="K1652" s="423"/>
      <c r="L1652" s="423"/>
      <c r="M1652" s="423"/>
      <c r="Q1652" s="423"/>
      <c r="R1652" s="424" t="s">
        <v>7136</v>
      </c>
      <c r="S1652" s="424" t="s">
        <v>2846</v>
      </c>
      <c r="T1652" s="424" t="s">
        <v>5019</v>
      </c>
      <c r="U1652" s="424">
        <v>0</v>
      </c>
      <c r="V1652" s="424" t="s">
        <v>3269</v>
      </c>
      <c r="W1652" s="424" t="s">
        <v>3176</v>
      </c>
      <c r="X1652" s="424" t="s">
        <v>2825</v>
      </c>
      <c r="Y1652" s="424" t="s">
        <v>2279</v>
      </c>
      <c r="Z1652" s="424" t="s">
        <v>3260</v>
      </c>
      <c r="AA1652" s="424" t="s">
        <v>3197</v>
      </c>
      <c r="AB1652" s="424" t="s">
        <v>3836</v>
      </c>
      <c r="AC1652" s="424" t="s">
        <v>1953</v>
      </c>
      <c r="AD1652" s="424" t="s">
        <v>2851</v>
      </c>
      <c r="AE1652" s="424" t="s">
        <v>3293</v>
      </c>
      <c r="AF1652" s="424"/>
      <c r="AG1652" s="424"/>
      <c r="AH1652" s="424"/>
    </row>
    <row r="1653" spans="1:34" x14ac:dyDescent="0.25">
      <c r="A1653" s="423" t="s">
        <v>7134</v>
      </c>
      <c r="B1653" s="423" t="s">
        <v>7137</v>
      </c>
      <c r="C1653" s="423" t="s">
        <v>948</v>
      </c>
      <c r="D1653" s="423" t="s">
        <v>6871</v>
      </c>
      <c r="E1653" s="423" t="s">
        <v>203</v>
      </c>
      <c r="F1653" s="423">
        <v>16</v>
      </c>
      <c r="G1653" s="423">
        <v>16</v>
      </c>
      <c r="H1653" s="423">
        <v>148</v>
      </c>
      <c r="J1653" s="423"/>
      <c r="K1653" s="423"/>
      <c r="L1653" s="423"/>
      <c r="M1653" s="423"/>
      <c r="Q1653" s="423"/>
      <c r="R1653" s="424" t="s">
        <v>7138</v>
      </c>
      <c r="S1653" s="424" t="s">
        <v>2846</v>
      </c>
      <c r="T1653" s="424" t="s">
        <v>3416</v>
      </c>
      <c r="U1653" s="424">
        <v>0</v>
      </c>
      <c r="V1653" s="424" t="s">
        <v>3269</v>
      </c>
      <c r="W1653" s="424" t="s">
        <v>3074</v>
      </c>
      <c r="X1653" s="424" t="s">
        <v>2825</v>
      </c>
      <c r="Y1653" s="424" t="s">
        <v>2279</v>
      </c>
      <c r="Z1653" s="424" t="s">
        <v>3260</v>
      </c>
      <c r="AA1653" s="424" t="s">
        <v>3197</v>
      </c>
      <c r="AB1653" s="424" t="s">
        <v>3826</v>
      </c>
      <c r="AC1653" s="424" t="s">
        <v>1953</v>
      </c>
      <c r="AD1653" s="424" t="s">
        <v>2851</v>
      </c>
      <c r="AE1653" s="424" t="s">
        <v>3550</v>
      </c>
      <c r="AF1653" s="424"/>
      <c r="AG1653" s="424"/>
      <c r="AH1653" s="424"/>
    </row>
    <row r="1654" spans="1:34" x14ac:dyDescent="0.25">
      <c r="A1654" s="423" t="s">
        <v>7134</v>
      </c>
      <c r="B1654" s="423" t="s">
        <v>7139</v>
      </c>
      <c r="C1654" s="423" t="s">
        <v>948</v>
      </c>
      <c r="D1654" s="423" t="s">
        <v>6871</v>
      </c>
      <c r="E1654" s="423" t="s">
        <v>203</v>
      </c>
      <c r="F1654" s="423">
        <v>16</v>
      </c>
      <c r="G1654" s="423">
        <v>16</v>
      </c>
      <c r="H1654" s="423">
        <v>148</v>
      </c>
      <c r="J1654" s="423"/>
      <c r="K1654" s="423"/>
      <c r="L1654" s="423"/>
      <c r="M1654" s="423"/>
      <c r="Q1654" s="423"/>
      <c r="R1654" s="424" t="s">
        <v>7140</v>
      </c>
      <c r="S1654" s="424" t="s">
        <v>2846</v>
      </c>
      <c r="T1654" s="424" t="s">
        <v>3416</v>
      </c>
      <c r="U1654" s="424">
        <v>0</v>
      </c>
      <c r="V1654" s="424" t="s">
        <v>3269</v>
      </c>
      <c r="W1654" s="424" t="s">
        <v>3054</v>
      </c>
      <c r="X1654" s="424" t="s">
        <v>2825</v>
      </c>
      <c r="Y1654" s="424" t="s">
        <v>2279</v>
      </c>
      <c r="Z1654" s="424" t="s">
        <v>2889</v>
      </c>
      <c r="AA1654" s="424" t="s">
        <v>3311</v>
      </c>
      <c r="AB1654" s="424" t="s">
        <v>3594</v>
      </c>
      <c r="AC1654" s="424" t="s">
        <v>1953</v>
      </c>
      <c r="AD1654" s="424" t="s">
        <v>2851</v>
      </c>
      <c r="AE1654" s="424" t="s">
        <v>3595</v>
      </c>
      <c r="AF1654" s="424"/>
      <c r="AG1654" s="424"/>
      <c r="AH1654" s="424"/>
    </row>
    <row r="1655" spans="1:34" x14ac:dyDescent="0.25">
      <c r="A1655" s="423" t="s">
        <v>7134</v>
      </c>
      <c r="B1655" s="423" t="s">
        <v>7141</v>
      </c>
      <c r="C1655" s="423" t="s">
        <v>948</v>
      </c>
      <c r="D1655" s="423" t="s">
        <v>6871</v>
      </c>
      <c r="E1655" s="423" t="s">
        <v>203</v>
      </c>
      <c r="F1655" s="423">
        <v>16</v>
      </c>
      <c r="G1655" s="423">
        <v>32</v>
      </c>
      <c r="H1655" s="423">
        <v>197</v>
      </c>
      <c r="J1655" s="423"/>
      <c r="K1655" s="423"/>
      <c r="L1655" s="423"/>
      <c r="M1655" s="423"/>
      <c r="Q1655" s="423"/>
      <c r="R1655" s="424" t="s">
        <v>7141</v>
      </c>
      <c r="S1655" s="424" t="s">
        <v>2846</v>
      </c>
      <c r="T1655" s="424" t="s">
        <v>5019</v>
      </c>
      <c r="U1655" s="424">
        <v>0</v>
      </c>
      <c r="V1655" s="424" t="s">
        <v>3269</v>
      </c>
      <c r="W1655" s="424" t="s">
        <v>2871</v>
      </c>
      <c r="X1655" s="424" t="s">
        <v>2825</v>
      </c>
      <c r="Y1655" s="424" t="s">
        <v>2279</v>
      </c>
      <c r="Z1655" s="424" t="s">
        <v>2848</v>
      </c>
      <c r="AA1655" s="424" t="s">
        <v>2849</v>
      </c>
      <c r="AB1655" s="424" t="s">
        <v>6213</v>
      </c>
      <c r="AC1655" s="424" t="s">
        <v>1953</v>
      </c>
      <c r="AD1655" s="424" t="s">
        <v>2851</v>
      </c>
      <c r="AE1655" s="424" t="s">
        <v>3545</v>
      </c>
      <c r="AF1655" s="424"/>
      <c r="AG1655" s="424"/>
      <c r="AH1655" s="424"/>
    </row>
    <row r="1656" spans="1:34" x14ac:dyDescent="0.25">
      <c r="A1656" s="423" t="s">
        <v>7134</v>
      </c>
      <c r="B1656" s="423" t="s">
        <v>7142</v>
      </c>
      <c r="C1656" s="423" t="s">
        <v>948</v>
      </c>
      <c r="D1656" s="423" t="s">
        <v>6871</v>
      </c>
      <c r="E1656" s="423" t="s">
        <v>203</v>
      </c>
      <c r="F1656" s="423">
        <v>16</v>
      </c>
      <c r="G1656" s="423">
        <v>32</v>
      </c>
      <c r="H1656" s="423">
        <v>197</v>
      </c>
      <c r="J1656" s="423"/>
      <c r="K1656" s="423"/>
      <c r="L1656" s="423"/>
      <c r="M1656" s="423"/>
      <c r="Q1656" s="423"/>
      <c r="R1656" s="424" t="s">
        <v>7142</v>
      </c>
      <c r="S1656" s="424" t="s">
        <v>2846</v>
      </c>
      <c r="T1656" s="424" t="s">
        <v>5019</v>
      </c>
      <c r="U1656" s="424">
        <v>0</v>
      </c>
      <c r="V1656" s="424" t="s">
        <v>2824</v>
      </c>
      <c r="W1656" s="424" t="s">
        <v>3054</v>
      </c>
      <c r="X1656" s="424" t="s">
        <v>2825</v>
      </c>
      <c r="Y1656" s="424" t="s">
        <v>2279</v>
      </c>
      <c r="Z1656" s="424" t="s">
        <v>2889</v>
      </c>
      <c r="AA1656" s="424" t="s">
        <v>3311</v>
      </c>
      <c r="AB1656" s="424" t="s">
        <v>3594</v>
      </c>
      <c r="AC1656" s="424" t="s">
        <v>1953</v>
      </c>
      <c r="AD1656" s="424" t="s">
        <v>2851</v>
      </c>
      <c r="AE1656" s="424" t="s">
        <v>3595</v>
      </c>
      <c r="AF1656" s="424"/>
      <c r="AG1656" s="424"/>
      <c r="AH1656" s="424"/>
    </row>
    <row r="1657" spans="1:34" x14ac:dyDescent="0.25">
      <c r="A1657" s="423" t="s">
        <v>7134</v>
      </c>
      <c r="B1657" s="423" t="s">
        <v>7143</v>
      </c>
      <c r="C1657" s="423" t="s">
        <v>948</v>
      </c>
      <c r="D1657" s="423" t="s">
        <v>6871</v>
      </c>
      <c r="E1657" s="423" t="s">
        <v>203</v>
      </c>
      <c r="F1657" s="423">
        <v>16</v>
      </c>
      <c r="G1657" s="423">
        <v>32</v>
      </c>
      <c r="H1657" s="423">
        <v>197</v>
      </c>
      <c r="J1657" s="423"/>
      <c r="K1657" s="423"/>
      <c r="L1657" s="423"/>
      <c r="M1657" s="423"/>
      <c r="Q1657" s="423"/>
      <c r="R1657" s="424" t="s">
        <v>7143</v>
      </c>
      <c r="S1657" s="424" t="s">
        <v>2846</v>
      </c>
      <c r="T1657" s="424" t="s">
        <v>5019</v>
      </c>
      <c r="U1657" s="424">
        <v>0</v>
      </c>
      <c r="V1657" s="424" t="s">
        <v>2824</v>
      </c>
      <c r="W1657" s="424" t="s">
        <v>3176</v>
      </c>
      <c r="X1657" s="424" t="s">
        <v>2825</v>
      </c>
      <c r="Y1657" s="424" t="s">
        <v>2279</v>
      </c>
      <c r="Z1657" s="424" t="s">
        <v>3260</v>
      </c>
      <c r="AA1657" s="424" t="s">
        <v>3197</v>
      </c>
      <c r="AB1657" s="424" t="s">
        <v>3320</v>
      </c>
      <c r="AC1657" s="424" t="s">
        <v>1953</v>
      </c>
      <c r="AD1657" s="424" t="s">
        <v>2851</v>
      </c>
      <c r="AE1657" s="424" t="s">
        <v>3293</v>
      </c>
      <c r="AF1657" s="424"/>
      <c r="AG1657" s="424"/>
      <c r="AH1657" s="424"/>
    </row>
    <row r="1658" spans="1:34" x14ac:dyDescent="0.25">
      <c r="A1658" s="423" t="s">
        <v>7134</v>
      </c>
      <c r="B1658" s="423" t="s">
        <v>7144</v>
      </c>
      <c r="C1658" s="423" t="s">
        <v>948</v>
      </c>
      <c r="D1658" s="423" t="s">
        <v>6871</v>
      </c>
      <c r="E1658" s="423" t="s">
        <v>203</v>
      </c>
      <c r="F1658" s="423">
        <v>16</v>
      </c>
      <c r="G1658" s="423">
        <v>16</v>
      </c>
      <c r="H1658" s="423">
        <v>195</v>
      </c>
      <c r="J1658" s="423"/>
      <c r="K1658" s="423"/>
      <c r="L1658" s="423"/>
      <c r="M1658" s="423"/>
      <c r="Q1658" s="423"/>
      <c r="R1658" s="424" t="s">
        <v>7145</v>
      </c>
      <c r="S1658" s="424" t="s">
        <v>2820</v>
      </c>
      <c r="T1658" s="424" t="s">
        <v>3268</v>
      </c>
      <c r="U1658" s="424">
        <v>0</v>
      </c>
      <c r="V1658" s="424" t="s">
        <v>2973</v>
      </c>
      <c r="W1658" s="424" t="s">
        <v>2092</v>
      </c>
      <c r="X1658" s="424" t="s">
        <v>2825</v>
      </c>
      <c r="Y1658" s="424" t="s">
        <v>2279</v>
      </c>
      <c r="Z1658" s="424" t="s">
        <v>3260</v>
      </c>
      <c r="AA1658" s="424" t="s">
        <v>3261</v>
      </c>
      <c r="AB1658" s="424" t="s">
        <v>7146</v>
      </c>
      <c r="AC1658" s="424" t="s">
        <v>3263</v>
      </c>
      <c r="AD1658" s="424" t="s">
        <v>3985</v>
      </c>
      <c r="AE1658" s="424" t="s">
        <v>7147</v>
      </c>
      <c r="AF1658" s="424"/>
      <c r="AG1658" s="424"/>
      <c r="AH1658" s="424"/>
    </row>
    <row r="1659" spans="1:34" x14ac:dyDescent="0.25">
      <c r="A1659" s="423" t="s">
        <v>7134</v>
      </c>
      <c r="B1659" s="423" t="s">
        <v>7148</v>
      </c>
      <c r="C1659" s="423" t="s">
        <v>948</v>
      </c>
      <c r="D1659" s="423" t="s">
        <v>6871</v>
      </c>
      <c r="E1659" s="423" t="s">
        <v>203</v>
      </c>
      <c r="F1659" s="423">
        <v>16</v>
      </c>
      <c r="G1659" s="423">
        <v>16</v>
      </c>
      <c r="H1659" s="423">
        <v>255</v>
      </c>
      <c r="J1659" s="423"/>
      <c r="K1659" s="423"/>
      <c r="L1659" s="423"/>
      <c r="M1659" s="423"/>
      <c r="Q1659" s="423"/>
      <c r="R1659" s="424" t="s">
        <v>7149</v>
      </c>
      <c r="S1659" s="424" t="s">
        <v>2820</v>
      </c>
      <c r="T1659" s="424" t="s">
        <v>7150</v>
      </c>
      <c r="U1659" s="424">
        <v>0</v>
      </c>
      <c r="V1659" s="424" t="s">
        <v>2973</v>
      </c>
      <c r="W1659" s="424" t="s">
        <v>2092</v>
      </c>
      <c r="X1659" s="424" t="s">
        <v>2825</v>
      </c>
      <c r="Y1659" s="424" t="s">
        <v>2279</v>
      </c>
      <c r="Z1659" s="424" t="s">
        <v>3260</v>
      </c>
      <c r="AA1659" s="424" t="s">
        <v>3261</v>
      </c>
      <c r="AB1659" s="424" t="s">
        <v>7151</v>
      </c>
      <c r="AC1659" s="424" t="s">
        <v>3263</v>
      </c>
      <c r="AD1659" s="424" t="s">
        <v>3985</v>
      </c>
      <c r="AE1659" s="424" t="s">
        <v>7152</v>
      </c>
      <c r="AF1659" s="424"/>
      <c r="AG1659" s="424"/>
      <c r="AH1659" s="424"/>
    </row>
    <row r="1660" spans="1:34" x14ac:dyDescent="0.25">
      <c r="A1660" s="423" t="s">
        <v>7134</v>
      </c>
      <c r="B1660" s="423" t="s">
        <v>7153</v>
      </c>
      <c r="C1660" s="423" t="s">
        <v>948</v>
      </c>
      <c r="D1660" s="423" t="s">
        <v>6871</v>
      </c>
      <c r="E1660" s="423" t="s">
        <v>203</v>
      </c>
      <c r="F1660" s="423">
        <v>16</v>
      </c>
      <c r="G1660" s="423">
        <v>16</v>
      </c>
      <c r="H1660" s="423">
        <v>247</v>
      </c>
      <c r="J1660" s="423"/>
      <c r="K1660" s="423"/>
      <c r="L1660" s="423"/>
      <c r="M1660" s="423"/>
      <c r="Q1660" s="423"/>
      <c r="R1660" s="424" t="s">
        <v>7154</v>
      </c>
      <c r="S1660" s="424" t="s">
        <v>2820</v>
      </c>
      <c r="T1660" s="424" t="s">
        <v>7150</v>
      </c>
      <c r="U1660" s="424">
        <v>0</v>
      </c>
      <c r="V1660" s="424" t="s">
        <v>2973</v>
      </c>
      <c r="W1660" s="424" t="s">
        <v>2092</v>
      </c>
      <c r="X1660" s="424" t="s">
        <v>2825</v>
      </c>
      <c r="Y1660" s="424" t="s">
        <v>2279</v>
      </c>
      <c r="Z1660" s="424" t="s">
        <v>3260</v>
      </c>
      <c r="AA1660" s="424" t="s">
        <v>3261</v>
      </c>
      <c r="AB1660" s="424" t="s">
        <v>7155</v>
      </c>
      <c r="AC1660" s="424" t="s">
        <v>3263</v>
      </c>
      <c r="AD1660" s="424" t="s">
        <v>3985</v>
      </c>
      <c r="AE1660" s="424" t="s">
        <v>7152</v>
      </c>
      <c r="AF1660" s="424"/>
      <c r="AG1660" s="424"/>
      <c r="AH1660" s="424"/>
    </row>
    <row r="1661" spans="1:34" x14ac:dyDescent="0.25">
      <c r="A1661" s="423" t="s">
        <v>7134</v>
      </c>
      <c r="B1661" s="423" t="s">
        <v>7156</v>
      </c>
      <c r="C1661" s="423" t="s">
        <v>948</v>
      </c>
      <c r="D1661" s="423" t="s">
        <v>6871</v>
      </c>
      <c r="E1661" s="423" t="s">
        <v>203</v>
      </c>
      <c r="F1661" s="423">
        <v>16</v>
      </c>
      <c r="G1661" s="423">
        <v>32</v>
      </c>
      <c r="H1661" s="423">
        <v>1258</v>
      </c>
      <c r="J1661" s="423"/>
      <c r="K1661" s="423"/>
      <c r="L1661" s="423"/>
      <c r="M1661" s="423"/>
      <c r="Q1661" s="423"/>
      <c r="R1661" s="424" t="s">
        <v>7157</v>
      </c>
      <c r="S1661" s="424" t="s">
        <v>2846</v>
      </c>
      <c r="T1661" s="424" t="s">
        <v>3268</v>
      </c>
      <c r="U1661" s="424">
        <v>0</v>
      </c>
      <c r="V1661" s="424" t="s">
        <v>6894</v>
      </c>
      <c r="W1661" s="424" t="s">
        <v>3055</v>
      </c>
      <c r="X1661" s="424" t="s">
        <v>3298</v>
      </c>
      <c r="Y1661" s="424" t="s">
        <v>2279</v>
      </c>
      <c r="Z1661" s="424" t="s">
        <v>2848</v>
      </c>
      <c r="AA1661" s="424" t="s">
        <v>2855</v>
      </c>
      <c r="AB1661" s="424" t="s">
        <v>7158</v>
      </c>
      <c r="AC1661" s="424" t="s">
        <v>1953</v>
      </c>
      <c r="AD1661" s="424" t="s">
        <v>2851</v>
      </c>
      <c r="AE1661" s="424" t="s">
        <v>2857</v>
      </c>
      <c r="AF1661" s="424"/>
      <c r="AG1661" s="424"/>
      <c r="AH1661" s="424"/>
    </row>
    <row r="1662" spans="1:34" x14ac:dyDescent="0.25">
      <c r="A1662" s="423" t="s">
        <v>7134</v>
      </c>
      <c r="B1662" s="423" t="s">
        <v>7159</v>
      </c>
      <c r="C1662" s="423" t="s">
        <v>948</v>
      </c>
      <c r="D1662" s="423" t="s">
        <v>6871</v>
      </c>
      <c r="E1662" s="423" t="s">
        <v>203</v>
      </c>
      <c r="F1662" s="423">
        <v>16</v>
      </c>
      <c r="G1662" s="423">
        <v>32</v>
      </c>
      <c r="H1662" s="423">
        <v>1258</v>
      </c>
      <c r="J1662" s="423"/>
      <c r="K1662" s="423"/>
      <c r="L1662" s="423"/>
      <c r="M1662" s="423"/>
      <c r="Q1662" s="423"/>
      <c r="R1662" s="424" t="s">
        <v>7160</v>
      </c>
      <c r="S1662" s="424" t="s">
        <v>2846</v>
      </c>
      <c r="T1662" s="424" t="s">
        <v>3268</v>
      </c>
      <c r="U1662" s="424">
        <v>0</v>
      </c>
      <c r="V1662" s="424" t="s">
        <v>2973</v>
      </c>
      <c r="W1662" s="424" t="s">
        <v>3074</v>
      </c>
      <c r="X1662" s="424" t="s">
        <v>3298</v>
      </c>
      <c r="Y1662" s="424" t="s">
        <v>2279</v>
      </c>
      <c r="Z1662" s="424" t="s">
        <v>2848</v>
      </c>
      <c r="AA1662" s="424" t="s">
        <v>2849</v>
      </c>
      <c r="AB1662" s="424" t="s">
        <v>7161</v>
      </c>
      <c r="AC1662" s="424" t="s">
        <v>1953</v>
      </c>
      <c r="AD1662" s="424" t="s">
        <v>2851</v>
      </c>
      <c r="AE1662" s="424" t="s">
        <v>2861</v>
      </c>
      <c r="AF1662" s="424"/>
      <c r="AG1662" s="424"/>
      <c r="AH1662" s="424"/>
    </row>
    <row r="1663" spans="1:34" x14ac:dyDescent="0.25">
      <c r="A1663" s="423" t="s">
        <v>7162</v>
      </c>
      <c r="B1663" s="423" t="s">
        <v>7163</v>
      </c>
      <c r="C1663" s="423" t="s">
        <v>948</v>
      </c>
      <c r="D1663" s="423" t="s">
        <v>6871</v>
      </c>
      <c r="E1663" s="423" t="s">
        <v>203</v>
      </c>
      <c r="F1663" s="423">
        <v>12</v>
      </c>
      <c r="G1663" s="423">
        <v>24</v>
      </c>
      <c r="H1663" s="423">
        <v>296</v>
      </c>
      <c r="J1663" s="423"/>
      <c r="K1663" s="423"/>
      <c r="L1663" s="423"/>
      <c r="M1663" s="423"/>
      <c r="Q1663" s="423"/>
      <c r="R1663" s="424" t="s">
        <v>7163</v>
      </c>
      <c r="S1663" s="424" t="s">
        <v>2846</v>
      </c>
      <c r="T1663" s="424" t="s">
        <v>3268</v>
      </c>
      <c r="U1663" s="424">
        <v>0</v>
      </c>
      <c r="V1663" s="424" t="s">
        <v>3269</v>
      </c>
      <c r="W1663" s="424" t="s">
        <v>3176</v>
      </c>
      <c r="X1663" s="424" t="s">
        <v>2224</v>
      </c>
      <c r="Y1663" s="424" t="s">
        <v>2279</v>
      </c>
      <c r="Z1663" s="424" t="s">
        <v>3260</v>
      </c>
      <c r="AA1663" s="424" t="s">
        <v>3197</v>
      </c>
      <c r="AB1663" s="424" t="s">
        <v>5308</v>
      </c>
      <c r="AC1663" s="424" t="s">
        <v>1953</v>
      </c>
      <c r="AD1663" s="424" t="s">
        <v>2851</v>
      </c>
      <c r="AE1663" s="424" t="s">
        <v>3324</v>
      </c>
      <c r="AF1663" s="424"/>
      <c r="AG1663" s="424"/>
      <c r="AH1663" s="424"/>
    </row>
    <row r="1664" spans="1:34" x14ac:dyDescent="0.25">
      <c r="A1664" s="423" t="s">
        <v>7162</v>
      </c>
      <c r="B1664" s="423" t="s">
        <v>7164</v>
      </c>
      <c r="C1664" s="423" t="s">
        <v>948</v>
      </c>
      <c r="D1664" s="423" t="s">
        <v>6871</v>
      </c>
      <c r="E1664" s="423" t="s">
        <v>203</v>
      </c>
      <c r="F1664" s="423">
        <v>16</v>
      </c>
      <c r="G1664" s="423">
        <v>16</v>
      </c>
      <c r="H1664" s="423">
        <v>296</v>
      </c>
      <c r="J1664" s="423"/>
      <c r="K1664" s="423"/>
      <c r="L1664" s="423"/>
      <c r="M1664" s="423"/>
      <c r="Q1664" s="423"/>
      <c r="R1664" s="424" t="s">
        <v>7165</v>
      </c>
      <c r="S1664" s="424" t="s">
        <v>2846</v>
      </c>
      <c r="T1664" s="424" t="s">
        <v>3268</v>
      </c>
      <c r="U1664" s="424">
        <v>0</v>
      </c>
      <c r="V1664" s="424" t="s">
        <v>3269</v>
      </c>
      <c r="W1664" s="424" t="s">
        <v>3074</v>
      </c>
      <c r="X1664" s="424" t="s">
        <v>2224</v>
      </c>
      <c r="Y1664" s="424" t="s">
        <v>2279</v>
      </c>
      <c r="Z1664" s="424" t="s">
        <v>2848</v>
      </c>
      <c r="AA1664" s="424" t="s">
        <v>2849</v>
      </c>
      <c r="AB1664" s="424" t="s">
        <v>3544</v>
      </c>
      <c r="AC1664" s="424" t="s">
        <v>1953</v>
      </c>
      <c r="AD1664" s="424" t="s">
        <v>2851</v>
      </c>
      <c r="AE1664" s="424" t="s">
        <v>3545</v>
      </c>
      <c r="AF1664" s="424"/>
      <c r="AG1664" s="424"/>
      <c r="AH1664" s="424"/>
    </row>
    <row r="1665" spans="1:34" x14ac:dyDescent="0.25">
      <c r="A1665" s="423" t="s">
        <v>7162</v>
      </c>
      <c r="B1665" s="423" t="s">
        <v>7166</v>
      </c>
      <c r="C1665" s="423" t="s">
        <v>948</v>
      </c>
      <c r="D1665" s="423" t="s">
        <v>6871</v>
      </c>
      <c r="E1665" s="423" t="s">
        <v>203</v>
      </c>
      <c r="F1665" s="423">
        <v>32</v>
      </c>
      <c r="G1665" s="423">
        <v>38</v>
      </c>
      <c r="H1665" s="423">
        <v>760</v>
      </c>
      <c r="J1665" s="423"/>
      <c r="K1665" s="423"/>
      <c r="L1665" s="423"/>
      <c r="M1665" s="423"/>
      <c r="Q1665" s="423"/>
      <c r="R1665" s="424" t="s">
        <v>7167</v>
      </c>
      <c r="S1665" s="424" t="s">
        <v>2846</v>
      </c>
      <c r="T1665" s="424" t="s">
        <v>2870</v>
      </c>
      <c r="U1665" s="424">
        <v>0</v>
      </c>
      <c r="V1665" s="424" t="s">
        <v>3982</v>
      </c>
      <c r="W1665" s="424" t="s">
        <v>3074</v>
      </c>
      <c r="X1665" s="424">
        <v>0</v>
      </c>
      <c r="Y1665" s="424" t="s">
        <v>2279</v>
      </c>
      <c r="Z1665" s="424" t="s">
        <v>2872</v>
      </c>
      <c r="AA1665" s="424" t="s">
        <v>2873</v>
      </c>
      <c r="AB1665" s="424" t="s">
        <v>7168</v>
      </c>
      <c r="AC1665" s="424" t="s">
        <v>2271</v>
      </c>
      <c r="AD1665" s="424" t="s">
        <v>7169</v>
      </c>
      <c r="AE1665" s="424" t="s">
        <v>7170</v>
      </c>
      <c r="AF1665" s="424"/>
      <c r="AG1665" s="424"/>
      <c r="AH1665" s="424"/>
    </row>
    <row r="1666" spans="1:34" x14ac:dyDescent="0.25">
      <c r="A1666" s="423" t="s">
        <v>7162</v>
      </c>
      <c r="B1666" s="423" t="s">
        <v>7171</v>
      </c>
      <c r="C1666" s="423" t="s">
        <v>948</v>
      </c>
      <c r="D1666" s="423" t="s">
        <v>6871</v>
      </c>
      <c r="E1666" s="423" t="s">
        <v>203</v>
      </c>
      <c r="F1666" s="423">
        <v>32</v>
      </c>
      <c r="G1666" s="423">
        <v>38</v>
      </c>
      <c r="H1666" s="423">
        <v>760</v>
      </c>
      <c r="J1666" s="423"/>
      <c r="K1666" s="423"/>
      <c r="L1666" s="423"/>
      <c r="M1666" s="423"/>
      <c r="Q1666" s="423"/>
      <c r="R1666" s="424" t="s">
        <v>7172</v>
      </c>
      <c r="S1666" s="424" t="s">
        <v>2846</v>
      </c>
      <c r="T1666" s="424" t="s">
        <v>2870</v>
      </c>
      <c r="U1666" s="424">
        <v>0</v>
      </c>
      <c r="V1666" s="424" t="s">
        <v>3982</v>
      </c>
      <c r="W1666" s="424" t="s">
        <v>3074</v>
      </c>
      <c r="X1666" s="424">
        <v>0</v>
      </c>
      <c r="Y1666" s="424" t="s">
        <v>2279</v>
      </c>
      <c r="Z1666" s="424" t="s">
        <v>2872</v>
      </c>
      <c r="AA1666" s="424" t="s">
        <v>2873</v>
      </c>
      <c r="AB1666" s="424" t="s">
        <v>7173</v>
      </c>
      <c r="AC1666" s="424" t="s">
        <v>2271</v>
      </c>
      <c r="AD1666" s="424" t="s">
        <v>7169</v>
      </c>
      <c r="AE1666" s="424" t="s">
        <v>7174</v>
      </c>
      <c r="AF1666" s="424"/>
      <c r="AG1666" s="424"/>
      <c r="AH1666" s="424"/>
    </row>
    <row r="1667" spans="1:34" x14ac:dyDescent="0.25">
      <c r="A1667" s="423" t="s">
        <v>1652</v>
      </c>
      <c r="B1667" s="423" t="s">
        <v>7175</v>
      </c>
      <c r="C1667" s="423" t="s">
        <v>7176</v>
      </c>
      <c r="D1667" s="423" t="s">
        <v>6871</v>
      </c>
      <c r="E1667" s="423" t="s">
        <v>203</v>
      </c>
      <c r="F1667" s="423">
        <v>8</v>
      </c>
      <c r="G1667" s="423">
        <v>16</v>
      </c>
      <c r="H1667" s="423">
        <v>160</v>
      </c>
      <c r="J1667" s="423"/>
      <c r="K1667" s="423"/>
      <c r="L1667" s="423"/>
      <c r="M1667" s="423"/>
      <c r="Q1667" s="423"/>
      <c r="R1667" s="424" t="s">
        <v>7177</v>
      </c>
      <c r="S1667" s="424" t="s">
        <v>2846</v>
      </c>
      <c r="T1667" s="424" t="s">
        <v>2870</v>
      </c>
      <c r="U1667" s="424">
        <v>0</v>
      </c>
      <c r="V1667" s="424" t="s">
        <v>7178</v>
      </c>
      <c r="W1667" s="424" t="s">
        <v>3074</v>
      </c>
      <c r="X1667" s="424" t="s">
        <v>2224</v>
      </c>
      <c r="Y1667" s="424" t="s">
        <v>2279</v>
      </c>
      <c r="Z1667" s="424" t="s">
        <v>2872</v>
      </c>
      <c r="AA1667" s="424" t="s">
        <v>2873</v>
      </c>
      <c r="AB1667" s="424" t="s">
        <v>6835</v>
      </c>
      <c r="AC1667" s="424" t="s">
        <v>1953</v>
      </c>
      <c r="AD1667" s="424" t="s">
        <v>2892</v>
      </c>
      <c r="AE1667" s="424" t="s">
        <v>2926</v>
      </c>
      <c r="AF1667" s="424"/>
      <c r="AG1667" s="424"/>
      <c r="AH1667" s="424"/>
    </row>
    <row r="1668" spans="1:34" x14ac:dyDescent="0.25">
      <c r="A1668" s="423" t="s">
        <v>1652</v>
      </c>
      <c r="B1668" s="423" t="s">
        <v>7179</v>
      </c>
      <c r="C1668" s="423" t="s">
        <v>7176</v>
      </c>
      <c r="D1668" s="423" t="s">
        <v>6871</v>
      </c>
      <c r="E1668" s="423" t="s">
        <v>203</v>
      </c>
      <c r="F1668" s="423">
        <v>8</v>
      </c>
      <c r="G1668" s="423">
        <v>16</v>
      </c>
      <c r="H1668" s="423">
        <v>160</v>
      </c>
      <c r="J1668" s="423"/>
      <c r="K1668" s="423"/>
      <c r="L1668" s="423"/>
      <c r="M1668" s="423"/>
      <c r="Q1668" s="423"/>
      <c r="R1668" s="424" t="s">
        <v>7180</v>
      </c>
      <c r="S1668" s="424" t="s">
        <v>2846</v>
      </c>
      <c r="T1668" s="424" t="s">
        <v>2870</v>
      </c>
      <c r="U1668" s="424">
        <v>0</v>
      </c>
      <c r="V1668" s="424" t="s">
        <v>7178</v>
      </c>
      <c r="W1668" s="424" t="s">
        <v>3074</v>
      </c>
      <c r="X1668" s="424" t="s">
        <v>2224</v>
      </c>
      <c r="Y1668" s="424" t="s">
        <v>2279</v>
      </c>
      <c r="Z1668" s="424" t="s">
        <v>2872</v>
      </c>
      <c r="AA1668" s="424" t="s">
        <v>2873</v>
      </c>
      <c r="AB1668" s="424" t="s">
        <v>2925</v>
      </c>
      <c r="AC1668" s="424" t="s">
        <v>1953</v>
      </c>
      <c r="AD1668" s="424" t="s">
        <v>2892</v>
      </c>
      <c r="AE1668" s="424" t="s">
        <v>2926</v>
      </c>
      <c r="AF1668" s="424"/>
      <c r="AG1668" s="424"/>
      <c r="AH1668" s="424"/>
    </row>
    <row r="1669" spans="1:34" x14ac:dyDescent="0.25">
      <c r="A1669" s="423" t="s">
        <v>1652</v>
      </c>
      <c r="B1669" s="423" t="s">
        <v>7181</v>
      </c>
      <c r="C1669" s="423" t="s">
        <v>7176</v>
      </c>
      <c r="D1669" s="423" t="s">
        <v>6871</v>
      </c>
      <c r="E1669" s="423" t="s">
        <v>203</v>
      </c>
      <c r="F1669" s="423">
        <v>8</v>
      </c>
      <c r="G1669" s="423">
        <v>16</v>
      </c>
      <c r="H1669" s="423">
        <v>160</v>
      </c>
      <c r="J1669" s="423"/>
      <c r="K1669" s="423"/>
      <c r="L1669" s="423"/>
      <c r="M1669" s="423"/>
      <c r="Q1669" s="423"/>
      <c r="R1669" s="424" t="s">
        <v>7182</v>
      </c>
      <c r="S1669" s="424" t="s">
        <v>2846</v>
      </c>
      <c r="T1669" s="424" t="s">
        <v>2870</v>
      </c>
      <c r="U1669" s="424">
        <v>0</v>
      </c>
      <c r="V1669" s="424" t="s">
        <v>7178</v>
      </c>
      <c r="W1669" s="424" t="s">
        <v>3074</v>
      </c>
      <c r="X1669" s="424" t="s">
        <v>2224</v>
      </c>
      <c r="Y1669" s="424" t="s">
        <v>2279</v>
      </c>
      <c r="Z1669" s="424" t="s">
        <v>2848</v>
      </c>
      <c r="AA1669" s="424" t="s">
        <v>2855</v>
      </c>
      <c r="AB1669" s="424" t="s">
        <v>3475</v>
      </c>
      <c r="AC1669" s="424" t="s">
        <v>1953</v>
      </c>
      <c r="AD1669" s="424" t="s">
        <v>2851</v>
      </c>
      <c r="AE1669" s="424" t="s">
        <v>3173</v>
      </c>
      <c r="AF1669" s="424"/>
      <c r="AG1669" s="424"/>
      <c r="AH1669" s="424"/>
    </row>
    <row r="1670" spans="1:34" x14ac:dyDescent="0.25">
      <c r="A1670" s="423" t="s">
        <v>1652</v>
      </c>
      <c r="B1670" s="423" t="s">
        <v>7183</v>
      </c>
      <c r="C1670" s="423" t="s">
        <v>7176</v>
      </c>
      <c r="D1670" s="423" t="s">
        <v>6871</v>
      </c>
      <c r="E1670" s="423" t="s">
        <v>203</v>
      </c>
      <c r="F1670" s="423">
        <v>8</v>
      </c>
      <c r="G1670" s="423">
        <v>16</v>
      </c>
      <c r="H1670" s="423">
        <v>160</v>
      </c>
      <c r="J1670" s="423"/>
      <c r="K1670" s="423"/>
      <c r="L1670" s="423"/>
      <c r="M1670" s="423"/>
      <c r="Q1670" s="423"/>
      <c r="R1670" s="424" t="s">
        <v>7184</v>
      </c>
      <c r="S1670" s="424" t="s">
        <v>2846</v>
      </c>
      <c r="T1670" s="424" t="s">
        <v>2870</v>
      </c>
      <c r="U1670" s="424">
        <v>0</v>
      </c>
      <c r="V1670" s="424" t="s">
        <v>7178</v>
      </c>
      <c r="W1670" s="424" t="s">
        <v>2974</v>
      </c>
      <c r="X1670" s="424" t="s">
        <v>2224</v>
      </c>
      <c r="Y1670" s="424" t="s">
        <v>2279</v>
      </c>
      <c r="Z1670" s="424" t="s">
        <v>2872</v>
      </c>
      <c r="AA1670" s="424" t="s">
        <v>2873</v>
      </c>
      <c r="AB1670" s="424" t="s">
        <v>4218</v>
      </c>
      <c r="AC1670" s="424" t="s">
        <v>1953</v>
      </c>
      <c r="AD1670" s="424" t="s">
        <v>2892</v>
      </c>
      <c r="AE1670" s="424" t="s">
        <v>4219</v>
      </c>
      <c r="AF1670" s="424"/>
      <c r="AG1670" s="424"/>
      <c r="AH1670" s="424"/>
    </row>
    <row r="1671" spans="1:34" x14ac:dyDescent="0.25">
      <c r="A1671" s="423" t="s">
        <v>1652</v>
      </c>
      <c r="B1671" s="423" t="s">
        <v>7185</v>
      </c>
      <c r="C1671" s="423" t="s">
        <v>7176</v>
      </c>
      <c r="D1671" s="423" t="s">
        <v>6871</v>
      </c>
      <c r="E1671" s="423" t="s">
        <v>203</v>
      </c>
      <c r="F1671" s="423">
        <v>8</v>
      </c>
      <c r="G1671" s="423">
        <v>16</v>
      </c>
      <c r="H1671" s="423">
        <v>160</v>
      </c>
      <c r="J1671" s="423"/>
      <c r="K1671" s="423"/>
      <c r="L1671" s="423"/>
      <c r="M1671" s="423"/>
      <c r="Q1671" s="423"/>
      <c r="R1671" s="424" t="s">
        <v>7186</v>
      </c>
      <c r="S1671" s="424" t="s">
        <v>2846</v>
      </c>
      <c r="T1671" s="424" t="s">
        <v>2870</v>
      </c>
      <c r="U1671" s="424">
        <v>0</v>
      </c>
      <c r="V1671" s="424" t="s">
        <v>7178</v>
      </c>
      <c r="W1671" s="424" t="s">
        <v>2974</v>
      </c>
      <c r="X1671" s="424" t="s">
        <v>2224</v>
      </c>
      <c r="Y1671" s="424" t="s">
        <v>2279</v>
      </c>
      <c r="Z1671" s="424" t="s">
        <v>2889</v>
      </c>
      <c r="AA1671" s="424" t="s">
        <v>2890</v>
      </c>
      <c r="AB1671" s="424" t="s">
        <v>7187</v>
      </c>
      <c r="AC1671" s="424" t="s">
        <v>1953</v>
      </c>
      <c r="AD1671" s="424" t="s">
        <v>2892</v>
      </c>
      <c r="AE1671" s="424" t="s">
        <v>2930</v>
      </c>
      <c r="AF1671" s="424"/>
      <c r="AG1671" s="424"/>
      <c r="AH1671" s="424"/>
    </row>
    <row r="1672" spans="1:34" x14ac:dyDescent="0.25">
      <c r="A1672" s="423" t="s">
        <v>1652</v>
      </c>
      <c r="B1672" s="423" t="s">
        <v>7188</v>
      </c>
      <c r="C1672" s="423" t="s">
        <v>7176</v>
      </c>
      <c r="D1672" s="423" t="s">
        <v>6871</v>
      </c>
      <c r="E1672" s="423" t="s">
        <v>203</v>
      </c>
      <c r="F1672" s="423">
        <v>8</v>
      </c>
      <c r="G1672" s="423">
        <v>16</v>
      </c>
      <c r="H1672" s="423">
        <v>160</v>
      </c>
      <c r="J1672" s="423"/>
      <c r="K1672" s="423"/>
      <c r="L1672" s="423"/>
      <c r="M1672" s="423"/>
      <c r="Q1672" s="423"/>
      <c r="R1672" s="424" t="s">
        <v>7189</v>
      </c>
      <c r="S1672" s="424" t="s">
        <v>2846</v>
      </c>
      <c r="T1672" s="424" t="s">
        <v>2870</v>
      </c>
      <c r="U1672" s="424">
        <v>0</v>
      </c>
      <c r="V1672" s="424" t="s">
        <v>7178</v>
      </c>
      <c r="W1672" s="424" t="s">
        <v>3074</v>
      </c>
      <c r="X1672" s="424" t="s">
        <v>2224</v>
      </c>
      <c r="Y1672" s="424" t="s">
        <v>2279</v>
      </c>
      <c r="Z1672" s="424" t="s">
        <v>2872</v>
      </c>
      <c r="AA1672" s="424" t="s">
        <v>2873</v>
      </c>
      <c r="AB1672" s="424" t="s">
        <v>5931</v>
      </c>
      <c r="AC1672" s="424" t="s">
        <v>1953</v>
      </c>
      <c r="AD1672" s="424" t="s">
        <v>2892</v>
      </c>
      <c r="AE1672" s="424" t="s">
        <v>2926</v>
      </c>
      <c r="AF1672" s="424"/>
      <c r="AG1672" s="424"/>
      <c r="AH1672" s="424"/>
    </row>
    <row r="1673" spans="1:34" x14ac:dyDescent="0.25">
      <c r="A1673" s="423" t="s">
        <v>1652</v>
      </c>
      <c r="B1673" s="423" t="s">
        <v>7190</v>
      </c>
      <c r="C1673" s="423" t="s">
        <v>7176</v>
      </c>
      <c r="D1673" s="423" t="s">
        <v>6871</v>
      </c>
      <c r="E1673" s="423" t="s">
        <v>203</v>
      </c>
      <c r="F1673" s="423">
        <v>8</v>
      </c>
      <c r="G1673" s="423">
        <v>16</v>
      </c>
      <c r="H1673" s="423">
        <v>160</v>
      </c>
      <c r="J1673" s="423"/>
      <c r="K1673" s="423"/>
      <c r="L1673" s="423"/>
      <c r="M1673" s="423"/>
      <c r="Q1673" s="423"/>
      <c r="R1673" s="424" t="s">
        <v>7191</v>
      </c>
      <c r="S1673" s="424" t="s">
        <v>2846</v>
      </c>
      <c r="T1673" s="424" t="s">
        <v>2870</v>
      </c>
      <c r="U1673" s="424">
        <v>0</v>
      </c>
      <c r="V1673" s="424" t="s">
        <v>7178</v>
      </c>
      <c r="W1673" s="424" t="s">
        <v>3074</v>
      </c>
      <c r="X1673" s="424" t="s">
        <v>2224</v>
      </c>
      <c r="Y1673" s="424" t="s">
        <v>2279</v>
      </c>
      <c r="Z1673" s="424" t="s">
        <v>2872</v>
      </c>
      <c r="AA1673" s="424" t="s">
        <v>2873</v>
      </c>
      <c r="AB1673" s="424" t="s">
        <v>7192</v>
      </c>
      <c r="AC1673" s="424" t="s">
        <v>1953</v>
      </c>
      <c r="AD1673" s="424" t="s">
        <v>2892</v>
      </c>
      <c r="AE1673" s="424" t="s">
        <v>2944</v>
      </c>
      <c r="AF1673" s="424"/>
      <c r="AG1673" s="424"/>
      <c r="AH1673" s="424"/>
    </row>
    <row r="1674" spans="1:34" x14ac:dyDescent="0.25">
      <c r="A1674" s="423" t="s">
        <v>1652</v>
      </c>
      <c r="B1674" s="423" t="s">
        <v>7193</v>
      </c>
      <c r="C1674" s="423" t="s">
        <v>7176</v>
      </c>
      <c r="D1674" s="423" t="s">
        <v>6871</v>
      </c>
      <c r="E1674" s="423" t="s">
        <v>203</v>
      </c>
      <c r="F1674" s="423">
        <v>8</v>
      </c>
      <c r="G1674" s="423">
        <v>16</v>
      </c>
      <c r="H1674" s="423">
        <v>160</v>
      </c>
      <c r="J1674" s="423"/>
      <c r="K1674" s="423"/>
      <c r="L1674" s="423"/>
      <c r="M1674" s="423"/>
      <c r="Q1674" s="423"/>
      <c r="R1674" s="424" t="s">
        <v>7194</v>
      </c>
      <c r="S1674" s="424" t="s">
        <v>2846</v>
      </c>
      <c r="T1674" s="424" t="s">
        <v>2870</v>
      </c>
      <c r="U1674" s="424">
        <v>0</v>
      </c>
      <c r="V1674" s="424" t="s">
        <v>7178</v>
      </c>
      <c r="W1674" s="424" t="s">
        <v>3074</v>
      </c>
      <c r="X1674" s="424" t="s">
        <v>2224</v>
      </c>
      <c r="Y1674" s="424" t="s">
        <v>2279</v>
      </c>
      <c r="Z1674" s="424" t="s">
        <v>2848</v>
      </c>
      <c r="AA1674" s="424" t="s">
        <v>2855</v>
      </c>
      <c r="AB1674" s="424" t="s">
        <v>7195</v>
      </c>
      <c r="AC1674" s="424" t="s">
        <v>1953</v>
      </c>
      <c r="AD1674" s="424" t="s">
        <v>2851</v>
      </c>
      <c r="AE1674" s="424" t="s">
        <v>3173</v>
      </c>
      <c r="AF1674" s="424"/>
      <c r="AG1674" s="424"/>
      <c r="AH1674" s="424"/>
    </row>
    <row r="1675" spans="1:34" x14ac:dyDescent="0.25">
      <c r="A1675" s="423" t="s">
        <v>1652</v>
      </c>
      <c r="B1675" s="423" t="s">
        <v>7196</v>
      </c>
      <c r="C1675" s="423" t="s">
        <v>7176</v>
      </c>
      <c r="D1675" s="423" t="s">
        <v>6871</v>
      </c>
      <c r="E1675" s="423" t="s">
        <v>203</v>
      </c>
      <c r="F1675" s="423">
        <v>8</v>
      </c>
      <c r="G1675" s="423">
        <v>16</v>
      </c>
      <c r="H1675" s="423">
        <v>160</v>
      </c>
      <c r="J1675" s="423"/>
      <c r="K1675" s="423"/>
      <c r="L1675" s="423"/>
      <c r="M1675" s="423"/>
      <c r="Q1675" s="423"/>
      <c r="R1675" s="424" t="s">
        <v>7197</v>
      </c>
      <c r="S1675" s="424" t="s">
        <v>2846</v>
      </c>
      <c r="T1675" s="424" t="s">
        <v>2870</v>
      </c>
      <c r="U1675" s="424">
        <v>0</v>
      </c>
      <c r="V1675" s="424" t="s">
        <v>7178</v>
      </c>
      <c r="W1675" s="424" t="s">
        <v>2974</v>
      </c>
      <c r="X1675" s="424" t="s">
        <v>2224</v>
      </c>
      <c r="Y1675" s="424" t="s">
        <v>2279</v>
      </c>
      <c r="Z1675" s="424" t="s">
        <v>2872</v>
      </c>
      <c r="AA1675" s="424" t="s">
        <v>2873</v>
      </c>
      <c r="AB1675" s="424" t="s">
        <v>4564</v>
      </c>
      <c r="AC1675" s="424" t="s">
        <v>1953</v>
      </c>
      <c r="AD1675" s="424" t="s">
        <v>2892</v>
      </c>
      <c r="AE1675" s="424" t="s">
        <v>4463</v>
      </c>
      <c r="AF1675" s="424"/>
      <c r="AG1675" s="424"/>
      <c r="AH1675" s="424"/>
    </row>
    <row r="1676" spans="1:34" x14ac:dyDescent="0.25">
      <c r="A1676" s="423" t="s">
        <v>1652</v>
      </c>
      <c r="B1676" s="423" t="s">
        <v>7198</v>
      </c>
      <c r="C1676" s="423" t="s">
        <v>7176</v>
      </c>
      <c r="D1676" s="423" t="s">
        <v>6871</v>
      </c>
      <c r="E1676" s="423" t="s">
        <v>203</v>
      </c>
      <c r="F1676" s="423">
        <v>8</v>
      </c>
      <c r="G1676" s="423">
        <v>16</v>
      </c>
      <c r="H1676" s="423">
        <v>160</v>
      </c>
      <c r="J1676" s="423"/>
      <c r="K1676" s="423"/>
      <c r="L1676" s="423"/>
      <c r="M1676" s="423"/>
      <c r="Q1676" s="423"/>
      <c r="R1676" s="424" t="s">
        <v>7199</v>
      </c>
      <c r="S1676" s="424" t="s">
        <v>2846</v>
      </c>
      <c r="T1676" s="424" t="s">
        <v>2870</v>
      </c>
      <c r="U1676" s="424">
        <v>0</v>
      </c>
      <c r="V1676" s="424" t="s">
        <v>7178</v>
      </c>
      <c r="W1676" s="424" t="s">
        <v>2974</v>
      </c>
      <c r="X1676" s="424" t="s">
        <v>2224</v>
      </c>
      <c r="Y1676" s="424" t="s">
        <v>2279</v>
      </c>
      <c r="Z1676" s="424" t="s">
        <v>2889</v>
      </c>
      <c r="AA1676" s="424" t="s">
        <v>2890</v>
      </c>
      <c r="AB1676" s="424" t="s">
        <v>6563</v>
      </c>
      <c r="AC1676" s="424" t="s">
        <v>1953</v>
      </c>
      <c r="AD1676" s="424" t="s">
        <v>2892</v>
      </c>
      <c r="AE1676" s="424" t="s">
        <v>2940</v>
      </c>
      <c r="AF1676" s="424"/>
      <c r="AG1676" s="424"/>
      <c r="AH1676" s="424"/>
    </row>
    <row r="1677" spans="1:34" x14ac:dyDescent="0.25">
      <c r="A1677" s="423" t="s">
        <v>1652</v>
      </c>
      <c r="B1677" s="423" t="s">
        <v>7200</v>
      </c>
      <c r="C1677" s="423" t="s">
        <v>7176</v>
      </c>
      <c r="D1677" s="423" t="s">
        <v>6871</v>
      </c>
      <c r="E1677" s="423" t="s">
        <v>203</v>
      </c>
      <c r="F1677" s="423">
        <v>8</v>
      </c>
      <c r="G1677" s="423">
        <v>16</v>
      </c>
      <c r="H1677" s="423">
        <v>160</v>
      </c>
      <c r="J1677" s="423"/>
      <c r="K1677" s="423"/>
      <c r="L1677" s="423"/>
      <c r="M1677" s="423"/>
      <c r="Q1677" s="423"/>
      <c r="R1677" s="424" t="s">
        <v>7201</v>
      </c>
      <c r="S1677" s="424" t="s">
        <v>2846</v>
      </c>
      <c r="T1677" s="424" t="s">
        <v>2870</v>
      </c>
      <c r="U1677" s="424">
        <v>0</v>
      </c>
      <c r="V1677" s="424" t="s">
        <v>7178</v>
      </c>
      <c r="W1677" s="424" t="s">
        <v>3074</v>
      </c>
      <c r="X1677" s="424" t="s">
        <v>2224</v>
      </c>
      <c r="Y1677" s="424" t="s">
        <v>2279</v>
      </c>
      <c r="Z1677" s="424" t="s">
        <v>2872</v>
      </c>
      <c r="AA1677" s="424" t="s">
        <v>2873</v>
      </c>
      <c r="AB1677" s="424" t="s">
        <v>7202</v>
      </c>
      <c r="AC1677" s="424" t="s">
        <v>1953</v>
      </c>
      <c r="AD1677" s="424" t="s">
        <v>2892</v>
      </c>
      <c r="AE1677" s="424" t="s">
        <v>2926</v>
      </c>
      <c r="AF1677" s="424"/>
      <c r="AG1677" s="424"/>
      <c r="AH1677" s="424"/>
    </row>
    <row r="1678" spans="1:34" x14ac:dyDescent="0.25">
      <c r="A1678" s="423" t="s">
        <v>1652</v>
      </c>
      <c r="B1678" s="423" t="s">
        <v>7203</v>
      </c>
      <c r="C1678" s="423" t="s">
        <v>7176</v>
      </c>
      <c r="D1678" s="423" t="s">
        <v>6871</v>
      </c>
      <c r="E1678" s="423" t="s">
        <v>203</v>
      </c>
      <c r="F1678" s="423">
        <v>8</v>
      </c>
      <c r="G1678" s="423">
        <v>16</v>
      </c>
      <c r="H1678" s="423">
        <v>160</v>
      </c>
      <c r="J1678" s="423"/>
      <c r="K1678" s="423"/>
      <c r="L1678" s="423"/>
      <c r="M1678" s="423"/>
      <c r="Q1678" s="423"/>
      <c r="R1678" s="424" t="s">
        <v>7204</v>
      </c>
      <c r="S1678" s="424" t="s">
        <v>2846</v>
      </c>
      <c r="T1678" s="424" t="s">
        <v>2870</v>
      </c>
      <c r="U1678" s="424">
        <v>0</v>
      </c>
      <c r="V1678" s="424" t="s">
        <v>7178</v>
      </c>
      <c r="W1678" s="424" t="s">
        <v>3074</v>
      </c>
      <c r="X1678" s="424" t="s">
        <v>2224</v>
      </c>
      <c r="Y1678" s="424" t="s">
        <v>2279</v>
      </c>
      <c r="Z1678" s="424" t="s">
        <v>2872</v>
      </c>
      <c r="AA1678" s="424" t="s">
        <v>2873</v>
      </c>
      <c r="AB1678" s="424" t="s">
        <v>7205</v>
      </c>
      <c r="AC1678" s="424" t="s">
        <v>1953</v>
      </c>
      <c r="AD1678" s="424" t="s">
        <v>2892</v>
      </c>
      <c r="AE1678" s="424" t="s">
        <v>2944</v>
      </c>
      <c r="AF1678" s="424"/>
      <c r="AG1678" s="424"/>
      <c r="AH1678" s="424"/>
    </row>
    <row r="1679" spans="1:34" x14ac:dyDescent="0.25">
      <c r="A1679" s="423" t="s">
        <v>1652</v>
      </c>
      <c r="B1679" s="423" t="s">
        <v>7206</v>
      </c>
      <c r="C1679" s="423" t="s">
        <v>7176</v>
      </c>
      <c r="D1679" s="423" t="s">
        <v>6871</v>
      </c>
      <c r="E1679" s="423" t="s">
        <v>203</v>
      </c>
      <c r="F1679" s="423">
        <v>8</v>
      </c>
      <c r="G1679" s="423">
        <v>16</v>
      </c>
      <c r="H1679" s="423">
        <v>160</v>
      </c>
      <c r="J1679" s="423"/>
      <c r="K1679" s="423"/>
      <c r="L1679" s="423"/>
      <c r="M1679" s="423"/>
      <c r="Q1679" s="423"/>
      <c r="R1679" s="424" t="s">
        <v>7207</v>
      </c>
      <c r="S1679" s="424" t="s">
        <v>2846</v>
      </c>
      <c r="T1679" s="424" t="s">
        <v>2870</v>
      </c>
      <c r="U1679" s="424">
        <v>0</v>
      </c>
      <c r="V1679" s="424" t="s">
        <v>7178</v>
      </c>
      <c r="W1679" s="424" t="s">
        <v>3074</v>
      </c>
      <c r="X1679" s="424" t="s">
        <v>2224</v>
      </c>
      <c r="Y1679" s="424" t="s">
        <v>2279</v>
      </c>
      <c r="Z1679" s="424" t="s">
        <v>2848</v>
      </c>
      <c r="AA1679" s="424" t="s">
        <v>2855</v>
      </c>
      <c r="AB1679" s="424" t="s">
        <v>4518</v>
      </c>
      <c r="AC1679" s="424" t="s">
        <v>1953</v>
      </c>
      <c r="AD1679" s="424" t="s">
        <v>2851</v>
      </c>
      <c r="AE1679" s="424" t="s">
        <v>3173</v>
      </c>
      <c r="AF1679" s="424"/>
      <c r="AG1679" s="424"/>
      <c r="AH1679" s="424"/>
    </row>
    <row r="1680" spans="1:34" x14ac:dyDescent="0.25">
      <c r="A1680" s="423" t="s">
        <v>1652</v>
      </c>
      <c r="B1680" s="423" t="s">
        <v>7208</v>
      </c>
      <c r="C1680" s="423" t="s">
        <v>7176</v>
      </c>
      <c r="D1680" s="423" t="s">
        <v>6871</v>
      </c>
      <c r="E1680" s="423" t="s">
        <v>203</v>
      </c>
      <c r="F1680" s="423">
        <v>8</v>
      </c>
      <c r="G1680" s="423">
        <v>16</v>
      </c>
      <c r="H1680" s="423">
        <v>160</v>
      </c>
      <c r="J1680" s="423"/>
      <c r="K1680" s="423"/>
      <c r="L1680" s="423"/>
      <c r="M1680" s="423"/>
      <c r="Q1680" s="423"/>
      <c r="R1680" s="424" t="s">
        <v>7209</v>
      </c>
      <c r="S1680" s="424" t="s">
        <v>2846</v>
      </c>
      <c r="T1680" s="424" t="s">
        <v>2870</v>
      </c>
      <c r="U1680" s="424">
        <v>0</v>
      </c>
      <c r="V1680" s="424" t="s">
        <v>7178</v>
      </c>
      <c r="W1680" s="424" t="s">
        <v>2974</v>
      </c>
      <c r="X1680" s="424" t="s">
        <v>2224</v>
      </c>
      <c r="Y1680" s="424" t="s">
        <v>2279</v>
      </c>
      <c r="Z1680" s="424" t="s">
        <v>2889</v>
      </c>
      <c r="AA1680" s="424" t="s">
        <v>2890</v>
      </c>
      <c r="AB1680" s="424" t="s">
        <v>4605</v>
      </c>
      <c r="AC1680" s="424" t="s">
        <v>1953</v>
      </c>
      <c r="AD1680" s="424" t="s">
        <v>2892</v>
      </c>
      <c r="AE1680" s="424" t="s">
        <v>2940</v>
      </c>
      <c r="AF1680" s="424"/>
      <c r="AG1680" s="424"/>
      <c r="AH1680" s="424"/>
    </row>
    <row r="1681" spans="1:34" x14ac:dyDescent="0.25">
      <c r="A1681" s="423" t="s">
        <v>1652</v>
      </c>
      <c r="B1681" s="423" t="s">
        <v>7210</v>
      </c>
      <c r="C1681" s="423" t="s">
        <v>7176</v>
      </c>
      <c r="D1681" s="423" t="s">
        <v>6871</v>
      </c>
      <c r="E1681" s="423" t="s">
        <v>203</v>
      </c>
      <c r="F1681" s="423">
        <v>8</v>
      </c>
      <c r="G1681" s="423">
        <v>16</v>
      </c>
      <c r="H1681" s="423">
        <v>160</v>
      </c>
      <c r="J1681" s="423"/>
      <c r="K1681" s="423"/>
      <c r="L1681" s="423"/>
      <c r="M1681" s="423"/>
      <c r="Q1681" s="423"/>
      <c r="R1681" s="424" t="s">
        <v>7211</v>
      </c>
      <c r="S1681" s="424" t="s">
        <v>2846</v>
      </c>
      <c r="T1681" s="424" t="s">
        <v>2870</v>
      </c>
      <c r="U1681" s="424">
        <v>0</v>
      </c>
      <c r="V1681" s="424" t="s">
        <v>7178</v>
      </c>
      <c r="W1681" s="424" t="s">
        <v>2974</v>
      </c>
      <c r="X1681" s="424" t="s">
        <v>2224</v>
      </c>
      <c r="Y1681" s="424" t="s">
        <v>2279</v>
      </c>
      <c r="Z1681" s="424" t="s">
        <v>2889</v>
      </c>
      <c r="AA1681" s="424" t="s">
        <v>2890</v>
      </c>
      <c r="AB1681" s="424" t="s">
        <v>2929</v>
      </c>
      <c r="AC1681" s="424" t="s">
        <v>1953</v>
      </c>
      <c r="AD1681" s="424" t="s">
        <v>2892</v>
      </c>
      <c r="AE1681" s="424" t="s">
        <v>2930</v>
      </c>
      <c r="AF1681" s="424"/>
      <c r="AG1681" s="424"/>
      <c r="AH1681" s="424"/>
    </row>
    <row r="1682" spans="1:34" x14ac:dyDescent="0.25">
      <c r="A1682" s="423" t="s">
        <v>1652</v>
      </c>
      <c r="B1682" s="423" t="s">
        <v>7212</v>
      </c>
      <c r="C1682" s="423" t="s">
        <v>7176</v>
      </c>
      <c r="D1682" s="423" t="s">
        <v>6871</v>
      </c>
      <c r="E1682" s="423" t="s">
        <v>203</v>
      </c>
      <c r="F1682" s="423">
        <v>8</v>
      </c>
      <c r="G1682" s="423">
        <v>16</v>
      </c>
      <c r="H1682" s="423">
        <v>160</v>
      </c>
      <c r="J1682" s="423"/>
      <c r="K1682" s="423"/>
      <c r="L1682" s="423"/>
      <c r="M1682" s="423"/>
      <c r="Q1682" s="423"/>
      <c r="R1682" s="424" t="s">
        <v>7213</v>
      </c>
      <c r="S1682" s="424" t="s">
        <v>2846</v>
      </c>
      <c r="T1682" s="424" t="s">
        <v>2870</v>
      </c>
      <c r="U1682" s="424">
        <v>0</v>
      </c>
      <c r="V1682" s="424" t="s">
        <v>7178</v>
      </c>
      <c r="W1682" s="424" t="s">
        <v>3074</v>
      </c>
      <c r="X1682" s="424" t="s">
        <v>2224</v>
      </c>
      <c r="Y1682" s="424" t="s">
        <v>2279</v>
      </c>
      <c r="Z1682" s="424" t="s">
        <v>2872</v>
      </c>
      <c r="AA1682" s="424" t="s">
        <v>2873</v>
      </c>
      <c r="AB1682" s="424" t="s">
        <v>2943</v>
      </c>
      <c r="AC1682" s="424" t="s">
        <v>1953</v>
      </c>
      <c r="AD1682" s="424" t="s">
        <v>2892</v>
      </c>
      <c r="AE1682" s="424" t="s">
        <v>2944</v>
      </c>
      <c r="AF1682" s="424"/>
      <c r="AG1682" s="424"/>
      <c r="AH1682" s="424"/>
    </row>
    <row r="1683" spans="1:34" x14ac:dyDescent="0.25">
      <c r="A1683" s="423" t="s">
        <v>1652</v>
      </c>
      <c r="B1683" s="423" t="s">
        <v>7214</v>
      </c>
      <c r="C1683" s="423" t="s">
        <v>7176</v>
      </c>
      <c r="D1683" s="423" t="s">
        <v>6871</v>
      </c>
      <c r="E1683" s="423" t="s">
        <v>203</v>
      </c>
      <c r="F1683" s="423">
        <v>8</v>
      </c>
      <c r="G1683" s="423">
        <v>16</v>
      </c>
      <c r="H1683" s="423">
        <v>160</v>
      </c>
      <c r="J1683" s="423"/>
      <c r="K1683" s="423"/>
      <c r="L1683" s="423"/>
      <c r="M1683" s="423"/>
      <c r="Q1683" s="423"/>
      <c r="R1683" s="424" t="s">
        <v>7215</v>
      </c>
      <c r="S1683" s="424" t="s">
        <v>2846</v>
      </c>
      <c r="T1683" s="424" t="s">
        <v>2870</v>
      </c>
      <c r="U1683" s="424">
        <v>0</v>
      </c>
      <c r="V1683" s="424" t="s">
        <v>7178</v>
      </c>
      <c r="W1683" s="424" t="s">
        <v>3074</v>
      </c>
      <c r="X1683" s="424" t="s">
        <v>2224</v>
      </c>
      <c r="Y1683" s="424" t="s">
        <v>2279</v>
      </c>
      <c r="Z1683" s="424" t="s">
        <v>2872</v>
      </c>
      <c r="AA1683" s="424" t="s">
        <v>2873</v>
      </c>
      <c r="AB1683" s="424" t="s">
        <v>2954</v>
      </c>
      <c r="AC1683" s="424" t="s">
        <v>1953</v>
      </c>
      <c r="AD1683" s="424" t="s">
        <v>2892</v>
      </c>
      <c r="AE1683" s="424" t="s">
        <v>2944</v>
      </c>
      <c r="AF1683" s="424"/>
      <c r="AG1683" s="424"/>
      <c r="AH1683" s="424"/>
    </row>
    <row r="1684" spans="1:34" x14ac:dyDescent="0.25">
      <c r="A1684" s="423" t="s">
        <v>1652</v>
      </c>
      <c r="B1684" s="423" t="s">
        <v>7216</v>
      </c>
      <c r="C1684" s="423" t="s">
        <v>7176</v>
      </c>
      <c r="D1684" s="423" t="s">
        <v>6871</v>
      </c>
      <c r="E1684" s="423" t="s">
        <v>203</v>
      </c>
      <c r="F1684" s="423">
        <v>8</v>
      </c>
      <c r="G1684" s="423">
        <v>16</v>
      </c>
      <c r="H1684" s="423">
        <v>160</v>
      </c>
      <c r="J1684" s="423"/>
      <c r="K1684" s="423"/>
      <c r="L1684" s="423"/>
      <c r="M1684" s="423"/>
      <c r="Q1684" s="423"/>
      <c r="R1684" s="424" t="s">
        <v>7217</v>
      </c>
      <c r="S1684" s="424" t="s">
        <v>2846</v>
      </c>
      <c r="T1684" s="424" t="s">
        <v>2870</v>
      </c>
      <c r="U1684" s="424">
        <v>0</v>
      </c>
      <c r="V1684" s="424" t="s">
        <v>7178</v>
      </c>
      <c r="W1684" s="424" t="s">
        <v>3074</v>
      </c>
      <c r="X1684" s="424" t="s">
        <v>2224</v>
      </c>
      <c r="Y1684" s="424" t="s">
        <v>2279</v>
      </c>
      <c r="Z1684" s="424" t="s">
        <v>2848</v>
      </c>
      <c r="AA1684" s="424" t="s">
        <v>2855</v>
      </c>
      <c r="AB1684" s="424" t="s">
        <v>3475</v>
      </c>
      <c r="AC1684" s="424" t="s">
        <v>1953</v>
      </c>
      <c r="AD1684" s="424" t="s">
        <v>2851</v>
      </c>
      <c r="AE1684" s="424" t="s">
        <v>3173</v>
      </c>
      <c r="AF1684" s="424"/>
      <c r="AG1684" s="424"/>
      <c r="AH1684" s="424"/>
    </row>
    <row r="1685" spans="1:34" x14ac:dyDescent="0.25">
      <c r="A1685" s="423" t="s">
        <v>1652</v>
      </c>
      <c r="B1685" s="423" t="s">
        <v>7218</v>
      </c>
      <c r="C1685" s="423" t="s">
        <v>7176</v>
      </c>
      <c r="D1685" s="423" t="s">
        <v>6871</v>
      </c>
      <c r="E1685" s="423" t="s">
        <v>203</v>
      </c>
      <c r="F1685" s="423">
        <v>4</v>
      </c>
      <c r="G1685" s="423">
        <v>8</v>
      </c>
      <c r="H1685" s="423">
        <v>200</v>
      </c>
      <c r="J1685" s="423"/>
      <c r="K1685" s="423"/>
      <c r="L1685" s="423"/>
      <c r="M1685" s="423"/>
      <c r="Q1685" s="423"/>
      <c r="R1685" s="424" t="s">
        <v>7219</v>
      </c>
      <c r="S1685" s="424" t="s">
        <v>2846</v>
      </c>
      <c r="T1685" s="424" t="s">
        <v>2870</v>
      </c>
      <c r="U1685" s="424">
        <v>0</v>
      </c>
      <c r="V1685" s="424" t="s">
        <v>7178</v>
      </c>
      <c r="W1685" s="424" t="s">
        <v>2974</v>
      </c>
      <c r="X1685" s="424" t="s">
        <v>2224</v>
      </c>
      <c r="Y1685" s="424" t="s">
        <v>2279</v>
      </c>
      <c r="Z1685" s="424" t="s">
        <v>2889</v>
      </c>
      <c r="AA1685" s="424" t="s">
        <v>2890</v>
      </c>
      <c r="AB1685" s="424" t="s">
        <v>4605</v>
      </c>
      <c r="AC1685" s="424" t="s">
        <v>1953</v>
      </c>
      <c r="AD1685" s="424" t="s">
        <v>2892</v>
      </c>
      <c r="AE1685" s="424" t="s">
        <v>2940</v>
      </c>
      <c r="AF1685" s="424"/>
      <c r="AG1685" s="424"/>
      <c r="AH1685" s="424"/>
    </row>
    <row r="1686" spans="1:34" x14ac:dyDescent="0.25">
      <c r="A1686" s="423" t="s">
        <v>1652</v>
      </c>
      <c r="B1686" s="423" t="s">
        <v>7220</v>
      </c>
      <c r="C1686" s="423" t="s">
        <v>7176</v>
      </c>
      <c r="D1686" s="423" t="s">
        <v>6871</v>
      </c>
      <c r="E1686" s="423" t="s">
        <v>203</v>
      </c>
      <c r="F1686" s="423">
        <v>4</v>
      </c>
      <c r="G1686" s="423">
        <v>8</v>
      </c>
      <c r="H1686" s="423">
        <v>200</v>
      </c>
      <c r="J1686" s="423"/>
      <c r="K1686" s="423"/>
      <c r="L1686" s="423"/>
      <c r="M1686" s="423"/>
      <c r="Q1686" s="423"/>
      <c r="R1686" s="424" t="s">
        <v>7221</v>
      </c>
      <c r="S1686" s="424" t="s">
        <v>2846</v>
      </c>
      <c r="T1686" s="424" t="s">
        <v>2870</v>
      </c>
      <c r="U1686" s="424">
        <v>0</v>
      </c>
      <c r="V1686" s="424" t="s">
        <v>7178</v>
      </c>
      <c r="W1686" s="424" t="s">
        <v>3074</v>
      </c>
      <c r="X1686" s="424" t="s">
        <v>2224</v>
      </c>
      <c r="Y1686" s="424" t="s">
        <v>2279</v>
      </c>
      <c r="Z1686" s="424" t="s">
        <v>2872</v>
      </c>
      <c r="AA1686" s="424" t="s">
        <v>2873</v>
      </c>
      <c r="AB1686" s="424" t="s">
        <v>4215</v>
      </c>
      <c r="AC1686" s="424" t="s">
        <v>1953</v>
      </c>
      <c r="AD1686" s="424" t="s">
        <v>2892</v>
      </c>
      <c r="AE1686" s="424" t="s">
        <v>2962</v>
      </c>
      <c r="AF1686" s="424"/>
      <c r="AG1686" s="424"/>
      <c r="AH1686" s="424"/>
    </row>
    <row r="1687" spans="1:34" x14ac:dyDescent="0.25">
      <c r="A1687" s="423" t="s">
        <v>1652</v>
      </c>
      <c r="B1687" s="423" t="s">
        <v>7222</v>
      </c>
      <c r="C1687" s="423" t="s">
        <v>7176</v>
      </c>
      <c r="D1687" s="423" t="s">
        <v>6871</v>
      </c>
      <c r="E1687" s="423" t="s">
        <v>203</v>
      </c>
      <c r="F1687" s="423">
        <v>4</v>
      </c>
      <c r="G1687" s="423">
        <v>8</v>
      </c>
      <c r="H1687" s="423">
        <v>200</v>
      </c>
      <c r="J1687" s="423"/>
      <c r="K1687" s="423"/>
      <c r="L1687" s="423"/>
      <c r="M1687" s="423"/>
      <c r="Q1687" s="423"/>
      <c r="R1687" s="424" t="s">
        <v>7223</v>
      </c>
      <c r="S1687" s="424" t="s">
        <v>2846</v>
      </c>
      <c r="T1687" s="424" t="s">
        <v>2870</v>
      </c>
      <c r="U1687" s="424">
        <v>0</v>
      </c>
      <c r="V1687" s="424" t="s">
        <v>7178</v>
      </c>
      <c r="W1687" s="424" t="s">
        <v>3074</v>
      </c>
      <c r="X1687" s="424" t="s">
        <v>2224</v>
      </c>
      <c r="Y1687" s="424" t="s">
        <v>2279</v>
      </c>
      <c r="Z1687" s="424" t="s">
        <v>2872</v>
      </c>
      <c r="AA1687" s="424" t="s">
        <v>2873</v>
      </c>
      <c r="AB1687" s="424" t="s">
        <v>5931</v>
      </c>
      <c r="AC1687" s="424" t="s">
        <v>1953</v>
      </c>
      <c r="AD1687" s="424" t="s">
        <v>2892</v>
      </c>
      <c r="AE1687" s="424" t="s">
        <v>2926</v>
      </c>
      <c r="AF1687" s="424"/>
      <c r="AG1687" s="424"/>
      <c r="AH1687" s="424"/>
    </row>
    <row r="1688" spans="1:34" x14ac:dyDescent="0.25">
      <c r="A1688" s="423" t="s">
        <v>1652</v>
      </c>
      <c r="B1688" s="423" t="s">
        <v>7224</v>
      </c>
      <c r="C1688" s="423" t="s">
        <v>7176</v>
      </c>
      <c r="D1688" s="423" t="s">
        <v>6871</v>
      </c>
      <c r="E1688" s="423" t="s">
        <v>203</v>
      </c>
      <c r="F1688" s="423">
        <v>4</v>
      </c>
      <c r="G1688" s="423">
        <v>8</v>
      </c>
      <c r="H1688" s="423">
        <v>200</v>
      </c>
      <c r="J1688" s="423"/>
      <c r="K1688" s="423"/>
      <c r="L1688" s="423"/>
      <c r="M1688" s="423"/>
      <c r="Q1688" s="423"/>
      <c r="R1688" s="424" t="s">
        <v>7225</v>
      </c>
      <c r="S1688" s="424" t="s">
        <v>2846</v>
      </c>
      <c r="T1688" s="424" t="s">
        <v>2870</v>
      </c>
      <c r="U1688" s="424">
        <v>0</v>
      </c>
      <c r="V1688" s="424" t="s">
        <v>7178</v>
      </c>
      <c r="W1688" s="424" t="s">
        <v>2871</v>
      </c>
      <c r="X1688" s="424" t="s">
        <v>2224</v>
      </c>
      <c r="Y1688" s="424" t="s">
        <v>2279</v>
      </c>
      <c r="Z1688" s="424" t="s">
        <v>2872</v>
      </c>
      <c r="AA1688" s="424" t="s">
        <v>2873</v>
      </c>
      <c r="AB1688" s="424" t="s">
        <v>7226</v>
      </c>
      <c r="AC1688" s="424" t="s">
        <v>1953</v>
      </c>
      <c r="AD1688" s="424" t="s">
        <v>2892</v>
      </c>
      <c r="AE1688" s="424" t="s">
        <v>2926</v>
      </c>
      <c r="AF1688" s="424"/>
      <c r="AG1688" s="424"/>
      <c r="AH1688" s="424"/>
    </row>
    <row r="1689" spans="1:34" x14ac:dyDescent="0.25">
      <c r="A1689" s="423" t="s">
        <v>1652</v>
      </c>
      <c r="B1689" s="423" t="s">
        <v>7227</v>
      </c>
      <c r="C1689" s="423" t="s">
        <v>7176</v>
      </c>
      <c r="D1689" s="423" t="s">
        <v>6871</v>
      </c>
      <c r="E1689" s="423" t="s">
        <v>203</v>
      </c>
      <c r="F1689" s="423">
        <v>4</v>
      </c>
      <c r="G1689" s="423">
        <v>8</v>
      </c>
      <c r="H1689" s="423">
        <v>200</v>
      </c>
      <c r="J1689" s="423"/>
      <c r="K1689" s="423"/>
      <c r="L1689" s="423"/>
      <c r="M1689" s="423"/>
      <c r="Q1689" s="423"/>
      <c r="R1689" s="424" t="s">
        <v>7228</v>
      </c>
      <c r="S1689" s="424" t="s">
        <v>2846</v>
      </c>
      <c r="T1689" s="424" t="s">
        <v>2870</v>
      </c>
      <c r="U1689" s="424">
        <v>0</v>
      </c>
      <c r="V1689" s="424" t="s">
        <v>7178</v>
      </c>
      <c r="W1689" s="424" t="s">
        <v>2871</v>
      </c>
      <c r="X1689" s="424" t="s">
        <v>2224</v>
      </c>
      <c r="Y1689" s="424" t="s">
        <v>2279</v>
      </c>
      <c r="Z1689" s="424" t="s">
        <v>2848</v>
      </c>
      <c r="AA1689" s="424" t="s">
        <v>2855</v>
      </c>
      <c r="AB1689" s="424" t="s">
        <v>3822</v>
      </c>
      <c r="AC1689" s="424" t="s">
        <v>1953</v>
      </c>
      <c r="AD1689" s="424" t="s">
        <v>2851</v>
      </c>
      <c r="AE1689" s="424" t="s">
        <v>2901</v>
      </c>
      <c r="AF1689" s="424"/>
      <c r="AG1689" s="424"/>
      <c r="AH1689" s="424"/>
    </row>
    <row r="1690" spans="1:34" x14ac:dyDescent="0.25">
      <c r="A1690" s="423" t="s">
        <v>1652</v>
      </c>
      <c r="B1690" s="423" t="s">
        <v>7229</v>
      </c>
      <c r="C1690" s="423" t="s">
        <v>7176</v>
      </c>
      <c r="D1690" s="423" t="s">
        <v>6871</v>
      </c>
      <c r="E1690" s="423" t="s">
        <v>203</v>
      </c>
      <c r="F1690" s="423">
        <v>4</v>
      </c>
      <c r="G1690" s="423">
        <v>8</v>
      </c>
      <c r="H1690" s="423">
        <v>200</v>
      </c>
      <c r="J1690" s="423"/>
      <c r="K1690" s="423"/>
      <c r="L1690" s="423"/>
      <c r="M1690" s="423"/>
      <c r="Q1690" s="423"/>
      <c r="R1690" s="424" t="s">
        <v>7230</v>
      </c>
      <c r="S1690" s="424" t="s">
        <v>2846</v>
      </c>
      <c r="T1690" s="424" t="s">
        <v>2870</v>
      </c>
      <c r="U1690" s="424">
        <v>0</v>
      </c>
      <c r="V1690" s="424" t="s">
        <v>7178</v>
      </c>
      <c r="W1690" s="424" t="s">
        <v>2974</v>
      </c>
      <c r="X1690" s="424" t="s">
        <v>2224</v>
      </c>
      <c r="Y1690" s="424" t="s">
        <v>2279</v>
      </c>
      <c r="Z1690" s="424" t="s">
        <v>2872</v>
      </c>
      <c r="AA1690" s="424" t="s">
        <v>2873</v>
      </c>
      <c r="AB1690" s="424" t="s">
        <v>4776</v>
      </c>
      <c r="AC1690" s="424" t="s">
        <v>1953</v>
      </c>
      <c r="AD1690" s="424" t="s">
        <v>2892</v>
      </c>
      <c r="AE1690" s="424" t="s">
        <v>4463</v>
      </c>
      <c r="AF1690" s="424"/>
      <c r="AG1690" s="424"/>
      <c r="AH1690" s="424"/>
    </row>
    <row r="1691" spans="1:34" x14ac:dyDescent="0.25">
      <c r="A1691" s="423" t="s">
        <v>1652</v>
      </c>
      <c r="B1691" s="423" t="s">
        <v>7231</v>
      </c>
      <c r="C1691" s="423" t="s">
        <v>7176</v>
      </c>
      <c r="D1691" s="423" t="s">
        <v>6871</v>
      </c>
      <c r="E1691" s="423" t="s">
        <v>203</v>
      </c>
      <c r="F1691" s="423">
        <v>8</v>
      </c>
      <c r="G1691" s="423">
        <v>24</v>
      </c>
      <c r="H1691" s="423">
        <v>260</v>
      </c>
      <c r="J1691" s="423"/>
      <c r="K1691" s="423"/>
      <c r="L1691" s="423"/>
      <c r="M1691" s="423"/>
      <c r="Q1691" s="423"/>
      <c r="R1691" s="424" t="s">
        <v>7232</v>
      </c>
      <c r="S1691" s="424" t="s">
        <v>2846</v>
      </c>
      <c r="T1691" s="424" t="s">
        <v>2870</v>
      </c>
      <c r="U1691" s="424">
        <v>0</v>
      </c>
      <c r="V1691" s="424" t="s">
        <v>3074</v>
      </c>
      <c r="W1691" s="424" t="s">
        <v>2974</v>
      </c>
      <c r="X1691" s="424" t="s">
        <v>2224</v>
      </c>
      <c r="Y1691" s="424" t="s">
        <v>2279</v>
      </c>
      <c r="Z1691" s="424" t="s">
        <v>2889</v>
      </c>
      <c r="AA1691" s="424" t="s">
        <v>2890</v>
      </c>
      <c r="AB1691" s="424" t="s">
        <v>2947</v>
      </c>
      <c r="AC1691" s="424" t="s">
        <v>1953</v>
      </c>
      <c r="AD1691" s="424" t="s">
        <v>2892</v>
      </c>
      <c r="AE1691" s="424" t="s">
        <v>2930</v>
      </c>
      <c r="AF1691" s="424"/>
      <c r="AG1691" s="424"/>
      <c r="AH1691" s="424"/>
    </row>
    <row r="1692" spans="1:34" x14ac:dyDescent="0.25">
      <c r="A1692" s="423" t="s">
        <v>1652</v>
      </c>
      <c r="B1692" s="423" t="s">
        <v>7233</v>
      </c>
      <c r="C1692" s="423" t="s">
        <v>7176</v>
      </c>
      <c r="D1692" s="423" t="s">
        <v>6871</v>
      </c>
      <c r="E1692" s="423" t="s">
        <v>203</v>
      </c>
      <c r="F1692" s="423">
        <v>8</v>
      </c>
      <c r="G1692" s="423">
        <v>24</v>
      </c>
      <c r="H1692" s="423">
        <v>260</v>
      </c>
      <c r="J1692" s="423"/>
      <c r="K1692" s="423"/>
      <c r="L1692" s="423"/>
      <c r="M1692" s="423"/>
      <c r="Q1692" s="423"/>
      <c r="R1692" s="424" t="s">
        <v>7234</v>
      </c>
      <c r="S1692" s="424" t="s">
        <v>2846</v>
      </c>
      <c r="T1692" s="424" t="s">
        <v>2870</v>
      </c>
      <c r="U1692" s="424">
        <v>0</v>
      </c>
      <c r="V1692" s="424" t="s">
        <v>3074</v>
      </c>
      <c r="W1692" s="424" t="s">
        <v>2974</v>
      </c>
      <c r="X1692" s="424" t="s">
        <v>2224</v>
      </c>
      <c r="Y1692" s="424" t="s">
        <v>2279</v>
      </c>
      <c r="Z1692" s="424" t="s">
        <v>2889</v>
      </c>
      <c r="AA1692" s="424" t="s">
        <v>2890</v>
      </c>
      <c r="AB1692" s="424" t="s">
        <v>4605</v>
      </c>
      <c r="AC1692" s="424" t="s">
        <v>1953</v>
      </c>
      <c r="AD1692" s="424" t="s">
        <v>2892</v>
      </c>
      <c r="AE1692" s="424" t="s">
        <v>2940</v>
      </c>
      <c r="AF1692" s="424"/>
      <c r="AG1692" s="424"/>
      <c r="AH1692" s="424"/>
    </row>
    <row r="1693" spans="1:34" x14ac:dyDescent="0.25">
      <c r="A1693" s="423" t="s">
        <v>1652</v>
      </c>
      <c r="B1693" s="423" t="s">
        <v>7235</v>
      </c>
      <c r="C1693" s="423" t="s">
        <v>7176</v>
      </c>
      <c r="D1693" s="423" t="s">
        <v>6871</v>
      </c>
      <c r="E1693" s="423" t="s">
        <v>203</v>
      </c>
      <c r="F1693" s="423">
        <v>8</v>
      </c>
      <c r="G1693" s="423">
        <v>24</v>
      </c>
      <c r="H1693" s="423">
        <v>260</v>
      </c>
      <c r="J1693" s="423"/>
      <c r="K1693" s="423"/>
      <c r="L1693" s="423"/>
      <c r="M1693" s="423"/>
      <c r="Q1693" s="423"/>
      <c r="R1693" s="424" t="s">
        <v>7236</v>
      </c>
      <c r="S1693" s="424" t="s">
        <v>2846</v>
      </c>
      <c r="T1693" s="424" t="s">
        <v>2870</v>
      </c>
      <c r="U1693" s="424">
        <v>0</v>
      </c>
      <c r="V1693" s="424" t="s">
        <v>3074</v>
      </c>
      <c r="W1693" s="424" t="s">
        <v>2871</v>
      </c>
      <c r="X1693" s="424" t="s">
        <v>2224</v>
      </c>
      <c r="Y1693" s="424" t="s">
        <v>2279</v>
      </c>
      <c r="Z1693" s="424" t="s">
        <v>2872</v>
      </c>
      <c r="AA1693" s="424" t="s">
        <v>2873</v>
      </c>
      <c r="AB1693" s="424" t="s">
        <v>7226</v>
      </c>
      <c r="AC1693" s="424" t="s">
        <v>1953</v>
      </c>
      <c r="AD1693" s="424" t="s">
        <v>2892</v>
      </c>
      <c r="AE1693" s="424" t="s">
        <v>2926</v>
      </c>
      <c r="AF1693" s="424"/>
      <c r="AG1693" s="424"/>
      <c r="AH1693" s="424"/>
    </row>
    <row r="1694" spans="1:34" x14ac:dyDescent="0.25">
      <c r="A1694" s="423" t="s">
        <v>1652</v>
      </c>
      <c r="B1694" s="423" t="s">
        <v>7237</v>
      </c>
      <c r="C1694" s="423" t="s">
        <v>7176</v>
      </c>
      <c r="D1694" s="423" t="s">
        <v>6871</v>
      </c>
      <c r="E1694" s="423" t="s">
        <v>203</v>
      </c>
      <c r="F1694" s="423">
        <v>24</v>
      </c>
      <c r="G1694" s="423">
        <v>24</v>
      </c>
      <c r="H1694" s="423">
        <v>300</v>
      </c>
      <c r="J1694" s="423"/>
      <c r="K1694" s="423"/>
      <c r="L1694" s="423"/>
      <c r="M1694" s="423"/>
      <c r="Q1694" s="423"/>
      <c r="R1694" s="424" t="s">
        <v>7238</v>
      </c>
      <c r="S1694" s="424" t="s">
        <v>2846</v>
      </c>
      <c r="T1694" s="424" t="s">
        <v>2870</v>
      </c>
      <c r="U1694" s="424">
        <v>0</v>
      </c>
      <c r="V1694" s="424" t="s">
        <v>3074</v>
      </c>
      <c r="W1694" s="424" t="s">
        <v>2974</v>
      </c>
      <c r="X1694" s="424">
        <v>0</v>
      </c>
      <c r="Y1694" s="424" t="s">
        <v>2279</v>
      </c>
      <c r="Z1694" s="424" t="s">
        <v>2872</v>
      </c>
      <c r="AA1694" s="424" t="s">
        <v>2873</v>
      </c>
      <c r="AB1694" s="424" t="s">
        <v>4795</v>
      </c>
      <c r="AC1694" s="424" t="s">
        <v>1953</v>
      </c>
      <c r="AD1694" s="424" t="s">
        <v>2892</v>
      </c>
      <c r="AE1694" s="424" t="s">
        <v>4219</v>
      </c>
      <c r="AF1694" s="424"/>
      <c r="AG1694" s="424"/>
      <c r="AH1694" s="424"/>
    </row>
    <row r="1695" spans="1:34" x14ac:dyDescent="0.25">
      <c r="A1695" s="423" t="s">
        <v>1652</v>
      </c>
      <c r="B1695" s="423" t="s">
        <v>7239</v>
      </c>
      <c r="C1695" s="423" t="s">
        <v>7176</v>
      </c>
      <c r="D1695" s="423" t="s">
        <v>6871</v>
      </c>
      <c r="E1695" s="423" t="s">
        <v>203</v>
      </c>
      <c r="F1695" s="423">
        <v>24</v>
      </c>
      <c r="G1695" s="423">
        <v>24</v>
      </c>
      <c r="H1695" s="423">
        <v>300</v>
      </c>
      <c r="J1695" s="423"/>
      <c r="K1695" s="423"/>
      <c r="L1695" s="423"/>
      <c r="M1695" s="423"/>
      <c r="Q1695" s="423"/>
      <c r="R1695" s="424" t="s">
        <v>7240</v>
      </c>
      <c r="S1695" s="424" t="s">
        <v>2846</v>
      </c>
      <c r="T1695" s="424" t="s">
        <v>2870</v>
      </c>
      <c r="U1695" s="424">
        <v>0</v>
      </c>
      <c r="V1695" s="424" t="s">
        <v>3074</v>
      </c>
      <c r="W1695" s="424" t="s">
        <v>3074</v>
      </c>
      <c r="X1695" s="424">
        <v>0</v>
      </c>
      <c r="Y1695" s="424" t="s">
        <v>2279</v>
      </c>
      <c r="Z1695" s="424" t="s">
        <v>2872</v>
      </c>
      <c r="AA1695" s="424" t="s">
        <v>2873</v>
      </c>
      <c r="AB1695" s="424" t="s">
        <v>2943</v>
      </c>
      <c r="AC1695" s="424" t="s">
        <v>1953</v>
      </c>
      <c r="AD1695" s="424" t="s">
        <v>2892</v>
      </c>
      <c r="AE1695" s="424" t="s">
        <v>2944</v>
      </c>
      <c r="AF1695" s="424"/>
      <c r="AG1695" s="424"/>
      <c r="AH1695" s="424"/>
    </row>
    <row r="1696" spans="1:34" x14ac:dyDescent="0.25">
      <c r="A1696" s="423" t="s">
        <v>1652</v>
      </c>
      <c r="B1696" s="423" t="s">
        <v>7241</v>
      </c>
      <c r="C1696" s="423" t="s">
        <v>7176</v>
      </c>
      <c r="D1696" s="423" t="s">
        <v>6871</v>
      </c>
      <c r="E1696" s="423" t="s">
        <v>203</v>
      </c>
      <c r="F1696" s="423">
        <v>24</v>
      </c>
      <c r="G1696" s="423">
        <v>24</v>
      </c>
      <c r="H1696" s="423">
        <v>300</v>
      </c>
      <c r="J1696" s="423"/>
      <c r="K1696" s="423"/>
      <c r="L1696" s="423"/>
      <c r="M1696" s="423"/>
      <c r="Q1696" s="423"/>
      <c r="R1696" s="424" t="s">
        <v>7242</v>
      </c>
      <c r="S1696" s="424" t="s">
        <v>2846</v>
      </c>
      <c r="T1696" s="424" t="s">
        <v>2870</v>
      </c>
      <c r="U1696" s="424">
        <v>0</v>
      </c>
      <c r="V1696" s="424" t="s">
        <v>3074</v>
      </c>
      <c r="W1696" s="424" t="s">
        <v>3074</v>
      </c>
      <c r="X1696" s="424">
        <v>0</v>
      </c>
      <c r="Y1696" s="424" t="s">
        <v>2279</v>
      </c>
      <c r="Z1696" s="424" t="s">
        <v>2848</v>
      </c>
      <c r="AA1696" s="424" t="s">
        <v>2855</v>
      </c>
      <c r="AB1696" s="424" t="s">
        <v>7195</v>
      </c>
      <c r="AC1696" s="424" t="s">
        <v>1953</v>
      </c>
      <c r="AD1696" s="424" t="s">
        <v>2851</v>
      </c>
      <c r="AE1696" s="424" t="s">
        <v>3173</v>
      </c>
      <c r="AF1696" s="424"/>
      <c r="AG1696" s="424"/>
      <c r="AH1696" s="424"/>
    </row>
    <row r="1697" spans="1:34" x14ac:dyDescent="0.25">
      <c r="A1697" s="423" t="s">
        <v>1652</v>
      </c>
      <c r="B1697" s="423" t="s">
        <v>7243</v>
      </c>
      <c r="C1697" s="423" t="s">
        <v>7176</v>
      </c>
      <c r="D1697" s="423" t="s">
        <v>6871</v>
      </c>
      <c r="E1697" s="423" t="s">
        <v>203</v>
      </c>
      <c r="F1697" s="423">
        <v>24</v>
      </c>
      <c r="G1697" s="423">
        <v>25</v>
      </c>
      <c r="H1697" s="423">
        <v>300</v>
      </c>
      <c r="J1697" s="423"/>
      <c r="K1697" s="423"/>
      <c r="L1697" s="423"/>
      <c r="M1697" s="423"/>
      <c r="Q1697" s="423"/>
      <c r="R1697" s="424" t="s">
        <v>7244</v>
      </c>
      <c r="S1697" s="424" t="s">
        <v>2846</v>
      </c>
      <c r="T1697" s="424" t="s">
        <v>2870</v>
      </c>
      <c r="U1697" s="424">
        <v>0</v>
      </c>
      <c r="V1697" s="424" t="s">
        <v>3074</v>
      </c>
      <c r="W1697" s="424" t="s">
        <v>2974</v>
      </c>
      <c r="X1697" s="424">
        <v>0</v>
      </c>
      <c r="Y1697" s="424" t="s">
        <v>2279</v>
      </c>
      <c r="Z1697" s="424" t="s">
        <v>2889</v>
      </c>
      <c r="AA1697" s="424" t="s">
        <v>2890</v>
      </c>
      <c r="AB1697" s="424" t="s">
        <v>4605</v>
      </c>
      <c r="AC1697" s="424" t="s">
        <v>1953</v>
      </c>
      <c r="AD1697" s="424" t="s">
        <v>2892</v>
      </c>
      <c r="AE1697" s="424" t="s">
        <v>2940</v>
      </c>
      <c r="AF1697" s="424"/>
      <c r="AG1697" s="424"/>
      <c r="AH1697" s="424"/>
    </row>
    <row r="1698" spans="1:34" x14ac:dyDescent="0.25">
      <c r="A1698" s="423" t="s">
        <v>1652</v>
      </c>
      <c r="B1698" s="423" t="s">
        <v>7245</v>
      </c>
      <c r="C1698" s="423" t="s">
        <v>7176</v>
      </c>
      <c r="D1698" s="423" t="s">
        <v>6871</v>
      </c>
      <c r="E1698" s="423" t="s">
        <v>203</v>
      </c>
      <c r="F1698" s="423">
        <v>24</v>
      </c>
      <c r="G1698" s="423">
        <v>25</v>
      </c>
      <c r="H1698" s="423">
        <v>300</v>
      </c>
      <c r="J1698" s="423"/>
      <c r="K1698" s="423"/>
      <c r="L1698" s="423"/>
      <c r="M1698" s="423"/>
      <c r="Q1698" s="423"/>
      <c r="R1698" s="424" t="s">
        <v>7246</v>
      </c>
      <c r="S1698" s="424" t="s">
        <v>2846</v>
      </c>
      <c r="T1698" s="424" t="s">
        <v>2870</v>
      </c>
      <c r="U1698" s="424">
        <v>0</v>
      </c>
      <c r="V1698" s="424" t="s">
        <v>3074</v>
      </c>
      <c r="W1698" s="424" t="s">
        <v>3074</v>
      </c>
      <c r="X1698" s="424">
        <v>0</v>
      </c>
      <c r="Y1698" s="424" t="s">
        <v>2279</v>
      </c>
      <c r="Z1698" s="424" t="s">
        <v>2872</v>
      </c>
      <c r="AA1698" s="424" t="s">
        <v>2873</v>
      </c>
      <c r="AB1698" s="424" t="s">
        <v>5931</v>
      </c>
      <c r="AC1698" s="424" t="s">
        <v>1953</v>
      </c>
      <c r="AD1698" s="424" t="s">
        <v>2892</v>
      </c>
      <c r="AE1698" s="424" t="s">
        <v>2926</v>
      </c>
      <c r="AF1698" s="424"/>
      <c r="AG1698" s="424"/>
      <c r="AH1698" s="424"/>
    </row>
    <row r="1699" spans="1:34" x14ac:dyDescent="0.25">
      <c r="A1699" s="423" t="s">
        <v>1652</v>
      </c>
      <c r="B1699" s="423" t="s">
        <v>7247</v>
      </c>
      <c r="C1699" s="423" t="s">
        <v>7176</v>
      </c>
      <c r="D1699" s="423" t="s">
        <v>6871</v>
      </c>
      <c r="E1699" s="423" t="s">
        <v>203</v>
      </c>
      <c r="F1699" s="423">
        <v>24</v>
      </c>
      <c r="G1699" s="423">
        <v>25</v>
      </c>
      <c r="H1699" s="423">
        <v>300</v>
      </c>
      <c r="J1699" s="423"/>
      <c r="K1699" s="423"/>
      <c r="L1699" s="423"/>
      <c r="M1699" s="423"/>
      <c r="Q1699" s="423"/>
      <c r="R1699" s="424" t="s">
        <v>7248</v>
      </c>
      <c r="S1699" s="424" t="s">
        <v>2846</v>
      </c>
      <c r="T1699" s="424" t="s">
        <v>2870</v>
      </c>
      <c r="U1699" s="424">
        <v>0</v>
      </c>
      <c r="V1699" s="424" t="s">
        <v>3074</v>
      </c>
      <c r="W1699" s="424" t="s">
        <v>3074</v>
      </c>
      <c r="X1699" s="424">
        <v>0</v>
      </c>
      <c r="Y1699" s="424" t="s">
        <v>2279</v>
      </c>
      <c r="Z1699" s="424" t="s">
        <v>2848</v>
      </c>
      <c r="AA1699" s="424" t="s">
        <v>2855</v>
      </c>
      <c r="AB1699" s="424" t="s">
        <v>7195</v>
      </c>
      <c r="AC1699" s="424" t="s">
        <v>1953</v>
      </c>
      <c r="AD1699" s="424" t="s">
        <v>2851</v>
      </c>
      <c r="AE1699" s="424" t="s">
        <v>3173</v>
      </c>
      <c r="AF1699" s="424"/>
      <c r="AG1699" s="424"/>
      <c r="AH1699" s="424"/>
    </row>
    <row r="1700" spans="1:34" x14ac:dyDescent="0.25">
      <c r="A1700" s="423" t="s">
        <v>1652</v>
      </c>
      <c r="B1700" s="423" t="s">
        <v>7249</v>
      </c>
      <c r="C1700" s="423" t="s">
        <v>7176</v>
      </c>
      <c r="D1700" s="423" t="s">
        <v>6871</v>
      </c>
      <c r="E1700" s="423" t="s">
        <v>203</v>
      </c>
      <c r="F1700" s="423">
        <v>24</v>
      </c>
      <c r="G1700" s="423">
        <v>24</v>
      </c>
      <c r="H1700" s="423">
        <v>300</v>
      </c>
      <c r="J1700" s="423"/>
      <c r="K1700" s="423"/>
      <c r="L1700" s="423"/>
      <c r="M1700" s="423"/>
      <c r="Q1700" s="423"/>
      <c r="R1700" s="424" t="s">
        <v>7250</v>
      </c>
      <c r="S1700" s="424" t="s">
        <v>2846</v>
      </c>
      <c r="T1700" s="424" t="s">
        <v>2870</v>
      </c>
      <c r="U1700" s="424">
        <v>0</v>
      </c>
      <c r="V1700" s="424" t="s">
        <v>3074</v>
      </c>
      <c r="W1700" s="424" t="s">
        <v>2974</v>
      </c>
      <c r="X1700" s="424">
        <v>0</v>
      </c>
      <c r="Y1700" s="424" t="s">
        <v>2279</v>
      </c>
      <c r="Z1700" s="424" t="s">
        <v>2872</v>
      </c>
      <c r="AA1700" s="424" t="s">
        <v>2873</v>
      </c>
      <c r="AB1700" s="424" t="s">
        <v>4776</v>
      </c>
      <c r="AC1700" s="424" t="s">
        <v>1953</v>
      </c>
      <c r="AD1700" s="424" t="s">
        <v>2892</v>
      </c>
      <c r="AE1700" s="424" t="s">
        <v>4463</v>
      </c>
      <c r="AF1700" s="424"/>
      <c r="AG1700" s="424"/>
      <c r="AH1700" s="424"/>
    </row>
    <row r="1701" spans="1:34" x14ac:dyDescent="0.25">
      <c r="A1701" s="423" t="s">
        <v>1652</v>
      </c>
      <c r="B1701" s="423" t="s">
        <v>7251</v>
      </c>
      <c r="C1701" s="423" t="s">
        <v>7176</v>
      </c>
      <c r="D1701" s="423" t="s">
        <v>6871</v>
      </c>
      <c r="E1701" s="423" t="s">
        <v>203</v>
      </c>
      <c r="F1701" s="423">
        <v>24</v>
      </c>
      <c r="G1701" s="423">
        <v>24</v>
      </c>
      <c r="H1701" s="423">
        <v>200</v>
      </c>
      <c r="J1701" s="423"/>
      <c r="K1701" s="423"/>
      <c r="L1701" s="423"/>
      <c r="M1701" s="423"/>
      <c r="Q1701" s="423"/>
      <c r="R1701" s="424" t="s">
        <v>7252</v>
      </c>
      <c r="S1701" s="424" t="s">
        <v>2846</v>
      </c>
      <c r="T1701" s="424" t="s">
        <v>2870</v>
      </c>
      <c r="U1701" s="424">
        <v>0</v>
      </c>
      <c r="V1701" s="424" t="s">
        <v>3074</v>
      </c>
      <c r="W1701" s="424" t="s">
        <v>2871</v>
      </c>
      <c r="X1701" s="424">
        <v>0</v>
      </c>
      <c r="Y1701" s="424" t="s">
        <v>2279</v>
      </c>
      <c r="Z1701" s="424" t="s">
        <v>2872</v>
      </c>
      <c r="AA1701" s="424" t="s">
        <v>2873</v>
      </c>
      <c r="AB1701" s="424" t="s">
        <v>5970</v>
      </c>
      <c r="AC1701" s="424" t="s">
        <v>1953</v>
      </c>
      <c r="AD1701" s="424" t="s">
        <v>2892</v>
      </c>
      <c r="AE1701" s="424" t="s">
        <v>2926</v>
      </c>
      <c r="AF1701" s="424"/>
      <c r="AG1701" s="424"/>
      <c r="AH1701" s="424"/>
    </row>
    <row r="1702" spans="1:34" x14ac:dyDescent="0.25">
      <c r="A1702" s="423" t="s">
        <v>1652</v>
      </c>
      <c r="B1702" s="423" t="s">
        <v>7253</v>
      </c>
      <c r="C1702" s="423" t="s">
        <v>7176</v>
      </c>
      <c r="D1702" s="423" t="s">
        <v>6871</v>
      </c>
      <c r="E1702" s="423" t="s">
        <v>203</v>
      </c>
      <c r="F1702" s="423">
        <v>24</v>
      </c>
      <c r="G1702" s="423">
        <v>24</v>
      </c>
      <c r="H1702" s="423">
        <v>200</v>
      </c>
      <c r="J1702" s="423"/>
      <c r="K1702" s="423"/>
      <c r="L1702" s="423"/>
      <c r="M1702" s="423"/>
      <c r="Q1702" s="423"/>
      <c r="R1702" s="424" t="s">
        <v>7254</v>
      </c>
      <c r="S1702" s="424" t="s">
        <v>2846</v>
      </c>
      <c r="T1702" s="424" t="s">
        <v>2870</v>
      </c>
      <c r="U1702" s="424">
        <v>0</v>
      </c>
      <c r="V1702" s="424" t="s">
        <v>3074</v>
      </c>
      <c r="W1702" s="424" t="s">
        <v>2871</v>
      </c>
      <c r="X1702" s="424">
        <v>0</v>
      </c>
      <c r="Y1702" s="424" t="s">
        <v>2279</v>
      </c>
      <c r="Z1702" s="424" t="s">
        <v>2848</v>
      </c>
      <c r="AA1702" s="424" t="s">
        <v>2855</v>
      </c>
      <c r="AB1702" s="424" t="s">
        <v>3489</v>
      </c>
      <c r="AC1702" s="424" t="s">
        <v>1953</v>
      </c>
      <c r="AD1702" s="424" t="s">
        <v>2851</v>
      </c>
      <c r="AE1702" s="424" t="s">
        <v>2901</v>
      </c>
      <c r="AF1702" s="424"/>
      <c r="AG1702" s="424"/>
      <c r="AH1702" s="424"/>
    </row>
    <row r="1703" spans="1:34" x14ac:dyDescent="0.25">
      <c r="A1703" s="423" t="s">
        <v>1652</v>
      </c>
      <c r="B1703" s="423" t="s">
        <v>7255</v>
      </c>
      <c r="C1703" s="423" t="s">
        <v>7176</v>
      </c>
      <c r="D1703" s="423" t="s">
        <v>6871</v>
      </c>
      <c r="E1703" s="423" t="s">
        <v>203</v>
      </c>
      <c r="F1703" s="423">
        <v>24</v>
      </c>
      <c r="G1703" s="423">
        <v>63</v>
      </c>
      <c r="H1703" s="423">
        <v>1000</v>
      </c>
      <c r="J1703" s="423"/>
      <c r="K1703" s="423"/>
      <c r="L1703" s="423"/>
      <c r="M1703" s="423"/>
      <c r="Q1703" s="423"/>
      <c r="R1703" s="424" t="s">
        <v>7256</v>
      </c>
      <c r="S1703" s="424" t="s">
        <v>2846</v>
      </c>
      <c r="T1703" s="424" t="s">
        <v>2870</v>
      </c>
      <c r="U1703" s="424">
        <v>0</v>
      </c>
      <c r="V1703" s="424" t="s">
        <v>3074</v>
      </c>
      <c r="W1703" s="424" t="s">
        <v>2974</v>
      </c>
      <c r="X1703" s="424">
        <v>0</v>
      </c>
      <c r="Y1703" s="424" t="s">
        <v>2279</v>
      </c>
      <c r="Z1703" s="424" t="s">
        <v>2889</v>
      </c>
      <c r="AA1703" s="424" t="s">
        <v>2890</v>
      </c>
      <c r="AB1703" s="424" t="s">
        <v>4881</v>
      </c>
      <c r="AC1703" s="424" t="s">
        <v>1953</v>
      </c>
      <c r="AD1703" s="424" t="s">
        <v>2892</v>
      </c>
      <c r="AE1703" s="424" t="s">
        <v>2940</v>
      </c>
      <c r="AF1703" s="424"/>
      <c r="AG1703" s="424"/>
      <c r="AH1703" s="424"/>
    </row>
    <row r="1704" spans="1:34" x14ac:dyDescent="0.25">
      <c r="A1704" s="423" t="s">
        <v>1652</v>
      </c>
      <c r="B1704" s="423" t="s">
        <v>7257</v>
      </c>
      <c r="C1704" s="423" t="s">
        <v>7176</v>
      </c>
      <c r="D1704" s="423" t="s">
        <v>6871</v>
      </c>
      <c r="E1704" s="423" t="s">
        <v>203</v>
      </c>
      <c r="F1704" s="423">
        <v>24</v>
      </c>
      <c r="G1704" s="423">
        <v>63</v>
      </c>
      <c r="H1704" s="423">
        <v>510</v>
      </c>
      <c r="J1704" s="423"/>
      <c r="K1704" s="423"/>
      <c r="L1704" s="423"/>
      <c r="M1704" s="423"/>
      <c r="Q1704" s="423"/>
      <c r="R1704" s="424" t="s">
        <v>7258</v>
      </c>
      <c r="S1704" s="424" t="s">
        <v>2846</v>
      </c>
      <c r="T1704" s="424" t="s">
        <v>2870</v>
      </c>
      <c r="U1704" s="424">
        <v>0</v>
      </c>
      <c r="V1704" s="424" t="s">
        <v>3074</v>
      </c>
      <c r="W1704" s="424" t="s">
        <v>2871</v>
      </c>
      <c r="X1704" s="424">
        <v>0</v>
      </c>
      <c r="Y1704" s="424" t="s">
        <v>2279</v>
      </c>
      <c r="Z1704" s="424" t="s">
        <v>2872</v>
      </c>
      <c r="AA1704" s="424" t="s">
        <v>2873</v>
      </c>
      <c r="AB1704" s="424" t="s">
        <v>5970</v>
      </c>
      <c r="AC1704" s="424" t="s">
        <v>1953</v>
      </c>
      <c r="AD1704" s="424" t="s">
        <v>2892</v>
      </c>
      <c r="AE1704" s="424" t="s">
        <v>2926</v>
      </c>
      <c r="AF1704" s="424"/>
      <c r="AG1704" s="424"/>
      <c r="AH1704" s="424"/>
    </row>
    <row r="1705" spans="1:34" x14ac:dyDescent="0.25">
      <c r="A1705" s="423" t="s">
        <v>1652</v>
      </c>
      <c r="B1705" s="423" t="s">
        <v>7259</v>
      </c>
      <c r="C1705" s="423" t="s">
        <v>7176</v>
      </c>
      <c r="D1705" s="423" t="s">
        <v>6871</v>
      </c>
      <c r="E1705" s="423" t="s">
        <v>203</v>
      </c>
      <c r="F1705" s="423">
        <v>24</v>
      </c>
      <c r="G1705" s="423">
        <v>63</v>
      </c>
      <c r="H1705" s="423">
        <v>510</v>
      </c>
      <c r="J1705" s="423"/>
      <c r="K1705" s="423"/>
      <c r="L1705" s="423"/>
      <c r="M1705" s="423"/>
      <c r="Q1705" s="423"/>
      <c r="R1705" s="424" t="s">
        <v>7260</v>
      </c>
      <c r="S1705" s="424" t="s">
        <v>2846</v>
      </c>
      <c r="T1705" s="424" t="s">
        <v>2870</v>
      </c>
      <c r="U1705" s="424">
        <v>0</v>
      </c>
      <c r="V1705" s="424" t="s">
        <v>3074</v>
      </c>
      <c r="W1705" s="424" t="s">
        <v>3054</v>
      </c>
      <c r="X1705" s="424">
        <v>0</v>
      </c>
      <c r="Y1705" s="424" t="s">
        <v>2279</v>
      </c>
      <c r="Z1705" s="424" t="s">
        <v>2848</v>
      </c>
      <c r="AA1705" s="424" t="s">
        <v>2855</v>
      </c>
      <c r="AB1705" s="424" t="s">
        <v>7261</v>
      </c>
      <c r="AC1705" s="424" t="s">
        <v>1953</v>
      </c>
      <c r="AD1705" s="424" t="s">
        <v>2851</v>
      </c>
      <c r="AE1705" s="424" t="s">
        <v>2901</v>
      </c>
      <c r="AF1705" s="424"/>
      <c r="AG1705" s="424"/>
      <c r="AH1705" s="424"/>
    </row>
    <row r="1706" spans="1:34" x14ac:dyDescent="0.25">
      <c r="A1706" s="423" t="s">
        <v>1652</v>
      </c>
      <c r="B1706" s="423" t="s">
        <v>7262</v>
      </c>
      <c r="C1706" s="423" t="s">
        <v>7176</v>
      </c>
      <c r="D1706" s="423" t="s">
        <v>6871</v>
      </c>
      <c r="E1706" s="423" t="s">
        <v>203</v>
      </c>
      <c r="F1706" s="423">
        <v>24</v>
      </c>
      <c r="G1706" s="423">
        <v>31</v>
      </c>
      <c r="H1706" s="423">
        <v>300</v>
      </c>
      <c r="J1706" s="423"/>
      <c r="K1706" s="423"/>
      <c r="L1706" s="423"/>
      <c r="M1706" s="423"/>
      <c r="Q1706" s="423"/>
      <c r="R1706" s="424" t="s">
        <v>7263</v>
      </c>
      <c r="S1706" s="424" t="s">
        <v>2846</v>
      </c>
      <c r="T1706" s="424" t="s">
        <v>2870</v>
      </c>
      <c r="U1706" s="424">
        <v>0</v>
      </c>
      <c r="V1706" s="424" t="s">
        <v>3074</v>
      </c>
      <c r="W1706" s="424" t="s">
        <v>2974</v>
      </c>
      <c r="X1706" s="424">
        <v>0</v>
      </c>
      <c r="Y1706" s="424" t="s">
        <v>2279</v>
      </c>
      <c r="Z1706" s="424" t="s">
        <v>2889</v>
      </c>
      <c r="AA1706" s="424" t="s">
        <v>2890</v>
      </c>
      <c r="AB1706" s="424" t="s">
        <v>4605</v>
      </c>
      <c r="AC1706" s="424" t="s">
        <v>1953</v>
      </c>
      <c r="AD1706" s="424" t="s">
        <v>2892</v>
      </c>
      <c r="AE1706" s="424" t="s">
        <v>2940</v>
      </c>
      <c r="AF1706" s="424"/>
      <c r="AG1706" s="424"/>
      <c r="AH1706" s="424"/>
    </row>
    <row r="1707" spans="1:34" x14ac:dyDescent="0.25">
      <c r="A1707" s="423" t="s">
        <v>1652</v>
      </c>
      <c r="B1707" s="423" t="s">
        <v>7264</v>
      </c>
      <c r="C1707" s="423" t="s">
        <v>7176</v>
      </c>
      <c r="D1707" s="423" t="s">
        <v>6871</v>
      </c>
      <c r="E1707" s="423" t="s">
        <v>203</v>
      </c>
      <c r="F1707" s="423">
        <v>24</v>
      </c>
      <c r="G1707" s="423">
        <v>31</v>
      </c>
      <c r="H1707" s="423">
        <v>200</v>
      </c>
      <c r="J1707" s="423"/>
      <c r="K1707" s="423"/>
      <c r="L1707" s="423"/>
      <c r="M1707" s="423"/>
      <c r="Q1707" s="423"/>
      <c r="R1707" s="424" t="s">
        <v>7265</v>
      </c>
      <c r="S1707" s="424" t="s">
        <v>2846</v>
      </c>
      <c r="T1707" s="424" t="s">
        <v>2870</v>
      </c>
      <c r="U1707" s="424">
        <v>0</v>
      </c>
      <c r="V1707" s="424" t="s">
        <v>3074</v>
      </c>
      <c r="W1707" s="424" t="s">
        <v>3074</v>
      </c>
      <c r="X1707" s="424">
        <v>0</v>
      </c>
      <c r="Y1707" s="424" t="s">
        <v>2279</v>
      </c>
      <c r="Z1707" s="424" t="s">
        <v>2872</v>
      </c>
      <c r="AA1707" s="424" t="s">
        <v>2873</v>
      </c>
      <c r="AB1707" s="424" t="s">
        <v>6835</v>
      </c>
      <c r="AC1707" s="424" t="s">
        <v>1953</v>
      </c>
      <c r="AD1707" s="424" t="s">
        <v>2892</v>
      </c>
      <c r="AE1707" s="424" t="s">
        <v>2926</v>
      </c>
      <c r="AF1707" s="424"/>
      <c r="AG1707" s="424"/>
      <c r="AH1707" s="424"/>
    </row>
    <row r="1708" spans="1:34" x14ac:dyDescent="0.25">
      <c r="A1708" s="423" t="s">
        <v>1652</v>
      </c>
      <c r="B1708" s="423" t="s">
        <v>7266</v>
      </c>
      <c r="C1708" s="423" t="s">
        <v>7176</v>
      </c>
      <c r="D1708" s="423" t="s">
        <v>6871</v>
      </c>
      <c r="E1708" s="423" t="s">
        <v>203</v>
      </c>
      <c r="F1708" s="423">
        <v>24</v>
      </c>
      <c r="G1708" s="423">
        <v>31</v>
      </c>
      <c r="H1708" s="423">
        <v>200</v>
      </c>
      <c r="J1708" s="423"/>
      <c r="K1708" s="423"/>
      <c r="L1708" s="423"/>
      <c r="M1708" s="423"/>
      <c r="Q1708" s="423"/>
      <c r="R1708" s="424" t="s">
        <v>7267</v>
      </c>
      <c r="S1708" s="424" t="s">
        <v>2846</v>
      </c>
      <c r="T1708" s="424" t="s">
        <v>2870</v>
      </c>
      <c r="U1708" s="424">
        <v>0</v>
      </c>
      <c r="V1708" s="424" t="s">
        <v>3074</v>
      </c>
      <c r="W1708" s="424" t="s">
        <v>3074</v>
      </c>
      <c r="X1708" s="424">
        <v>0</v>
      </c>
      <c r="Y1708" s="424" t="s">
        <v>2279</v>
      </c>
      <c r="Z1708" s="424" t="s">
        <v>2848</v>
      </c>
      <c r="AA1708" s="424" t="s">
        <v>2855</v>
      </c>
      <c r="AB1708" s="424" t="s">
        <v>4518</v>
      </c>
      <c r="AC1708" s="424" t="s">
        <v>1953</v>
      </c>
      <c r="AD1708" s="424" t="s">
        <v>2851</v>
      </c>
      <c r="AE1708" s="424" t="s">
        <v>3173</v>
      </c>
      <c r="AF1708" s="424"/>
      <c r="AG1708" s="424"/>
      <c r="AH1708" s="424"/>
    </row>
    <row r="1709" spans="1:34" x14ac:dyDescent="0.25">
      <c r="A1709" s="423" t="s">
        <v>1652</v>
      </c>
      <c r="B1709" s="423" t="s">
        <v>7268</v>
      </c>
      <c r="C1709" s="423" t="s">
        <v>7176</v>
      </c>
      <c r="D1709" s="423" t="s">
        <v>6871</v>
      </c>
      <c r="E1709" s="423" t="s">
        <v>203</v>
      </c>
      <c r="F1709" s="423">
        <v>56</v>
      </c>
      <c r="G1709" s="423">
        <v>32</v>
      </c>
      <c r="H1709" s="423">
        <v>357</v>
      </c>
      <c r="J1709" s="423"/>
      <c r="K1709" s="423"/>
      <c r="L1709" s="423"/>
      <c r="M1709" s="423"/>
      <c r="Q1709" s="423"/>
      <c r="R1709" s="424" t="s">
        <v>7269</v>
      </c>
      <c r="S1709" s="424" t="s">
        <v>2820</v>
      </c>
      <c r="T1709" s="424" t="s">
        <v>6228</v>
      </c>
      <c r="U1709" s="424">
        <v>0</v>
      </c>
      <c r="V1709" s="424" t="s">
        <v>2824</v>
      </c>
      <c r="W1709" s="424" t="s">
        <v>2824</v>
      </c>
      <c r="X1709" s="424" t="s">
        <v>2224</v>
      </c>
      <c r="Y1709" s="424" t="s">
        <v>2279</v>
      </c>
      <c r="Z1709" s="424" t="s">
        <v>2826</v>
      </c>
      <c r="AA1709" s="424" t="s">
        <v>6229</v>
      </c>
      <c r="AB1709" s="424" t="s">
        <v>7270</v>
      </c>
      <c r="AC1709" s="424" t="s">
        <v>1953</v>
      </c>
      <c r="AD1709" s="424" t="s">
        <v>2829</v>
      </c>
      <c r="AE1709" s="424" t="s">
        <v>7089</v>
      </c>
      <c r="AF1709" s="424"/>
      <c r="AG1709" s="424"/>
      <c r="AH1709" s="424"/>
    </row>
    <row r="1710" spans="1:34" x14ac:dyDescent="0.25">
      <c r="A1710" s="423" t="s">
        <v>1652</v>
      </c>
      <c r="B1710" s="423" t="s">
        <v>7271</v>
      </c>
      <c r="C1710" s="423" t="s">
        <v>7176</v>
      </c>
      <c r="D1710" s="423" t="s">
        <v>6871</v>
      </c>
      <c r="E1710" s="423" t="s">
        <v>203</v>
      </c>
      <c r="F1710" s="423">
        <v>56</v>
      </c>
      <c r="G1710" s="423">
        <v>32</v>
      </c>
      <c r="H1710" s="423">
        <v>357</v>
      </c>
      <c r="J1710" s="423"/>
      <c r="K1710" s="423"/>
      <c r="L1710" s="423"/>
      <c r="M1710" s="423"/>
      <c r="Q1710" s="423"/>
      <c r="R1710" s="424" t="s">
        <v>7272</v>
      </c>
      <c r="S1710" s="424" t="s">
        <v>2820</v>
      </c>
      <c r="T1710" s="424" t="s">
        <v>6228</v>
      </c>
      <c r="U1710" s="424">
        <v>0</v>
      </c>
      <c r="V1710" s="424" t="s">
        <v>2824</v>
      </c>
      <c r="W1710" s="424" t="s">
        <v>2824</v>
      </c>
      <c r="X1710" s="424" t="s">
        <v>2224</v>
      </c>
      <c r="Y1710" s="424" t="s">
        <v>2279</v>
      </c>
      <c r="Z1710" s="424" t="s">
        <v>2826</v>
      </c>
      <c r="AA1710" s="424" t="s">
        <v>6229</v>
      </c>
      <c r="AB1710" s="424" t="s">
        <v>7273</v>
      </c>
      <c r="AC1710" s="424" t="s">
        <v>1953</v>
      </c>
      <c r="AD1710" s="424" t="s">
        <v>2829</v>
      </c>
      <c r="AE1710" s="424" t="s">
        <v>7089</v>
      </c>
      <c r="AF1710" s="424"/>
      <c r="AG1710" s="424"/>
      <c r="AH1710" s="424"/>
    </row>
    <row r="1711" spans="1:34" x14ac:dyDescent="0.25">
      <c r="A1711" s="423" t="s">
        <v>1652</v>
      </c>
      <c r="B1711" s="423" t="s">
        <v>7274</v>
      </c>
      <c r="C1711" s="423" t="s">
        <v>7176</v>
      </c>
      <c r="D1711" s="423" t="s">
        <v>6871</v>
      </c>
      <c r="E1711" s="423" t="s">
        <v>203</v>
      </c>
      <c r="F1711" s="423">
        <v>56</v>
      </c>
      <c r="G1711" s="423">
        <v>32</v>
      </c>
      <c r="H1711" s="423">
        <v>357</v>
      </c>
      <c r="J1711" s="423"/>
      <c r="K1711" s="423"/>
      <c r="L1711" s="423"/>
      <c r="M1711" s="423"/>
      <c r="Q1711" s="423"/>
      <c r="R1711" s="424" t="s">
        <v>7275</v>
      </c>
      <c r="S1711" s="424" t="s">
        <v>2820</v>
      </c>
      <c r="T1711" s="424" t="s">
        <v>6228</v>
      </c>
      <c r="U1711" s="424">
        <v>0</v>
      </c>
      <c r="V1711" s="424" t="s">
        <v>2824</v>
      </c>
      <c r="W1711" s="424" t="s">
        <v>2824</v>
      </c>
      <c r="X1711" s="424" t="s">
        <v>2224</v>
      </c>
      <c r="Y1711" s="424" t="s">
        <v>2279</v>
      </c>
      <c r="Z1711" s="424" t="s">
        <v>2826</v>
      </c>
      <c r="AA1711" s="424" t="s">
        <v>6229</v>
      </c>
      <c r="AB1711" s="424" t="s">
        <v>7276</v>
      </c>
      <c r="AC1711" s="424" t="s">
        <v>1953</v>
      </c>
      <c r="AD1711" s="424" t="s">
        <v>2829</v>
      </c>
      <c r="AE1711" s="424" t="s">
        <v>7089</v>
      </c>
      <c r="AF1711" s="424"/>
      <c r="AG1711" s="424"/>
      <c r="AH1711" s="424"/>
    </row>
    <row r="1712" spans="1:34" x14ac:dyDescent="0.25">
      <c r="A1712" s="423" t="s">
        <v>1652</v>
      </c>
      <c r="B1712" s="423" t="s">
        <v>7277</v>
      </c>
      <c r="C1712" s="423" t="s">
        <v>7176</v>
      </c>
      <c r="D1712" s="423" t="s">
        <v>6871</v>
      </c>
      <c r="E1712" s="423" t="s">
        <v>203</v>
      </c>
      <c r="F1712" s="423">
        <v>56</v>
      </c>
      <c r="G1712" s="423">
        <v>64</v>
      </c>
      <c r="H1712" s="423">
        <v>842</v>
      </c>
      <c r="J1712" s="423"/>
      <c r="K1712" s="423"/>
      <c r="L1712" s="423"/>
      <c r="M1712" s="423"/>
      <c r="Q1712" s="423"/>
      <c r="R1712" s="424" t="s">
        <v>7278</v>
      </c>
      <c r="S1712" s="424" t="s">
        <v>2820</v>
      </c>
      <c r="T1712" s="424" t="s">
        <v>6228</v>
      </c>
      <c r="U1712" s="424">
        <v>0</v>
      </c>
      <c r="V1712" s="424" t="s">
        <v>2824</v>
      </c>
      <c r="W1712" s="424" t="s">
        <v>2824</v>
      </c>
      <c r="X1712" s="424" t="s">
        <v>2224</v>
      </c>
      <c r="Y1712" s="424" t="s">
        <v>2279</v>
      </c>
      <c r="Z1712" s="424" t="s">
        <v>2826</v>
      </c>
      <c r="AA1712" s="424" t="s">
        <v>6229</v>
      </c>
      <c r="AB1712" s="424" t="s">
        <v>7279</v>
      </c>
      <c r="AC1712" s="424" t="s">
        <v>1953</v>
      </c>
      <c r="AD1712" s="424" t="s">
        <v>2829</v>
      </c>
      <c r="AE1712" s="424" t="s">
        <v>7081</v>
      </c>
      <c r="AF1712" s="424"/>
      <c r="AG1712" s="424"/>
      <c r="AH1712" s="424"/>
    </row>
    <row r="1713" spans="1:34" x14ac:dyDescent="0.25">
      <c r="A1713" s="423" t="s">
        <v>1652</v>
      </c>
      <c r="B1713" s="423" t="s">
        <v>7280</v>
      </c>
      <c r="C1713" s="423" t="s">
        <v>7176</v>
      </c>
      <c r="D1713" s="423" t="s">
        <v>6871</v>
      </c>
      <c r="E1713" s="423" t="s">
        <v>203</v>
      </c>
      <c r="F1713" s="423">
        <v>56</v>
      </c>
      <c r="G1713" s="423">
        <v>64</v>
      </c>
      <c r="H1713" s="423">
        <v>842</v>
      </c>
      <c r="J1713" s="423"/>
      <c r="K1713" s="423"/>
      <c r="L1713" s="423"/>
      <c r="M1713" s="423"/>
      <c r="Q1713" s="423"/>
      <c r="R1713" s="424" t="s">
        <v>7281</v>
      </c>
      <c r="S1713" s="424" t="s">
        <v>2820</v>
      </c>
      <c r="T1713" s="424" t="s">
        <v>6228</v>
      </c>
      <c r="U1713" s="424">
        <v>0</v>
      </c>
      <c r="V1713" s="424" t="s">
        <v>2824</v>
      </c>
      <c r="W1713" s="424" t="s">
        <v>2824</v>
      </c>
      <c r="X1713" s="424" t="s">
        <v>2224</v>
      </c>
      <c r="Y1713" s="424" t="s">
        <v>2279</v>
      </c>
      <c r="Z1713" s="424" t="s">
        <v>2826</v>
      </c>
      <c r="AA1713" s="424" t="s">
        <v>6229</v>
      </c>
      <c r="AB1713" s="424" t="s">
        <v>7282</v>
      </c>
      <c r="AC1713" s="424" t="s">
        <v>1953</v>
      </c>
      <c r="AD1713" s="424" t="s">
        <v>2829</v>
      </c>
      <c r="AE1713" s="424" t="s">
        <v>7081</v>
      </c>
      <c r="AF1713" s="424"/>
      <c r="AG1713" s="424"/>
      <c r="AH1713" s="424"/>
    </row>
    <row r="1714" spans="1:34" x14ac:dyDescent="0.25">
      <c r="A1714" s="423" t="s">
        <v>1652</v>
      </c>
      <c r="B1714" s="423" t="s">
        <v>7283</v>
      </c>
      <c r="C1714" s="423" t="s">
        <v>7176</v>
      </c>
      <c r="D1714" s="423" t="s">
        <v>6871</v>
      </c>
      <c r="E1714" s="423" t="s">
        <v>203</v>
      </c>
      <c r="F1714" s="423">
        <v>56</v>
      </c>
      <c r="G1714" s="423">
        <v>64</v>
      </c>
      <c r="H1714" s="423">
        <v>842</v>
      </c>
      <c r="J1714" s="423"/>
      <c r="K1714" s="423"/>
      <c r="L1714" s="423"/>
      <c r="M1714" s="423"/>
      <c r="Q1714" s="423"/>
      <c r="R1714" s="424" t="s">
        <v>7284</v>
      </c>
      <c r="S1714" s="424" t="s">
        <v>2820</v>
      </c>
      <c r="T1714" s="424" t="s">
        <v>6228</v>
      </c>
      <c r="U1714" s="424">
        <v>0</v>
      </c>
      <c r="V1714" s="424" t="s">
        <v>2824</v>
      </c>
      <c r="W1714" s="424" t="s">
        <v>2824</v>
      </c>
      <c r="X1714" s="424" t="s">
        <v>2224</v>
      </c>
      <c r="Y1714" s="424" t="s">
        <v>2279</v>
      </c>
      <c r="Z1714" s="424" t="s">
        <v>2826</v>
      </c>
      <c r="AA1714" s="424" t="s">
        <v>6229</v>
      </c>
      <c r="AB1714" s="424" t="s">
        <v>7285</v>
      </c>
      <c r="AC1714" s="424" t="s">
        <v>1953</v>
      </c>
      <c r="AD1714" s="424" t="s">
        <v>2829</v>
      </c>
      <c r="AE1714" s="424" t="s">
        <v>7081</v>
      </c>
      <c r="AF1714" s="424"/>
      <c r="AG1714" s="424"/>
      <c r="AH1714" s="424"/>
    </row>
    <row r="1715" spans="1:34" x14ac:dyDescent="0.25">
      <c r="A1715" s="423" t="s">
        <v>1652</v>
      </c>
      <c r="B1715" s="423" t="s">
        <v>7286</v>
      </c>
      <c r="C1715" s="423" t="s">
        <v>7176</v>
      </c>
      <c r="D1715" s="423" t="s">
        <v>6871</v>
      </c>
      <c r="E1715" s="423" t="s">
        <v>203</v>
      </c>
      <c r="F1715" s="423">
        <v>56</v>
      </c>
      <c r="G1715" s="423">
        <v>64</v>
      </c>
      <c r="H1715" s="423">
        <v>842</v>
      </c>
      <c r="J1715" s="423"/>
      <c r="K1715" s="423"/>
      <c r="L1715" s="423"/>
      <c r="M1715" s="423"/>
      <c r="Q1715" s="423"/>
      <c r="R1715" s="424" t="s">
        <v>7287</v>
      </c>
      <c r="S1715" s="424" t="s">
        <v>2820</v>
      </c>
      <c r="T1715" s="424" t="s">
        <v>6228</v>
      </c>
      <c r="U1715" s="424">
        <v>0</v>
      </c>
      <c r="V1715" s="424" t="s">
        <v>2824</v>
      </c>
      <c r="W1715" s="424" t="s">
        <v>2824</v>
      </c>
      <c r="X1715" s="424" t="s">
        <v>2224</v>
      </c>
      <c r="Y1715" s="424" t="s">
        <v>2279</v>
      </c>
      <c r="Z1715" s="424" t="s">
        <v>2826</v>
      </c>
      <c r="AA1715" s="424" t="s">
        <v>6229</v>
      </c>
      <c r="AB1715" s="424" t="s">
        <v>7288</v>
      </c>
      <c r="AC1715" s="424" t="s">
        <v>1953</v>
      </c>
      <c r="AD1715" s="424" t="s">
        <v>2829</v>
      </c>
      <c r="AE1715" s="424" t="s">
        <v>7081</v>
      </c>
      <c r="AF1715" s="424"/>
      <c r="AG1715" s="424"/>
      <c r="AH1715" s="424"/>
    </row>
    <row r="1716" spans="1:34" x14ac:dyDescent="0.25">
      <c r="A1716" s="423" t="s">
        <v>1652</v>
      </c>
      <c r="B1716" s="423" t="s">
        <v>7289</v>
      </c>
      <c r="C1716" s="423" t="s">
        <v>7176</v>
      </c>
      <c r="D1716" s="423" t="s">
        <v>6871</v>
      </c>
      <c r="E1716" s="423" t="s">
        <v>203</v>
      </c>
      <c r="F1716" s="423">
        <v>56</v>
      </c>
      <c r="G1716" s="423">
        <v>16</v>
      </c>
      <c r="H1716" s="423">
        <v>389</v>
      </c>
      <c r="J1716" s="423"/>
      <c r="K1716" s="423"/>
      <c r="L1716" s="423"/>
      <c r="M1716" s="423"/>
      <c r="Q1716" s="423"/>
      <c r="R1716" s="424" t="s">
        <v>7290</v>
      </c>
      <c r="S1716" s="424" t="s">
        <v>2820</v>
      </c>
      <c r="T1716" s="424" t="s">
        <v>6228</v>
      </c>
      <c r="U1716" s="424">
        <v>0</v>
      </c>
      <c r="V1716" s="424" t="s">
        <v>2824</v>
      </c>
      <c r="W1716" s="424" t="s">
        <v>2824</v>
      </c>
      <c r="X1716" s="424" t="s">
        <v>2224</v>
      </c>
      <c r="Y1716" s="424" t="s">
        <v>2279</v>
      </c>
      <c r="Z1716" s="424" t="s">
        <v>2826</v>
      </c>
      <c r="AA1716" s="424" t="s">
        <v>6229</v>
      </c>
      <c r="AB1716" s="424" t="s">
        <v>7291</v>
      </c>
      <c r="AC1716" s="424" t="s">
        <v>1953</v>
      </c>
      <c r="AD1716" s="424" t="s">
        <v>2829</v>
      </c>
      <c r="AE1716" s="424" t="s">
        <v>7292</v>
      </c>
      <c r="AF1716" s="424"/>
      <c r="AG1716" s="424"/>
      <c r="AH1716" s="424"/>
    </row>
    <row r="1717" spans="1:34" x14ac:dyDescent="0.25">
      <c r="A1717" s="423" t="s">
        <v>1652</v>
      </c>
      <c r="B1717" s="423" t="s">
        <v>7293</v>
      </c>
      <c r="C1717" s="423" t="s">
        <v>7176</v>
      </c>
      <c r="D1717" s="423" t="s">
        <v>6871</v>
      </c>
      <c r="E1717" s="423" t="s">
        <v>203</v>
      </c>
      <c r="F1717" s="423">
        <v>56</v>
      </c>
      <c r="G1717" s="423">
        <v>16</v>
      </c>
      <c r="H1717" s="423">
        <v>389</v>
      </c>
      <c r="J1717" s="423"/>
      <c r="K1717" s="423"/>
      <c r="L1717" s="423"/>
      <c r="M1717" s="423"/>
      <c r="Q1717" s="423"/>
      <c r="R1717" s="424" t="s">
        <v>7294</v>
      </c>
      <c r="S1717" s="424" t="s">
        <v>2820</v>
      </c>
      <c r="T1717" s="424" t="s">
        <v>6228</v>
      </c>
      <c r="U1717" s="424">
        <v>0</v>
      </c>
      <c r="V1717" s="424" t="s">
        <v>2824</v>
      </c>
      <c r="W1717" s="424" t="s">
        <v>2824</v>
      </c>
      <c r="X1717" s="424" t="s">
        <v>2224</v>
      </c>
      <c r="Y1717" s="424" t="s">
        <v>2279</v>
      </c>
      <c r="Z1717" s="424" t="s">
        <v>2826</v>
      </c>
      <c r="AA1717" s="424" t="s">
        <v>6229</v>
      </c>
      <c r="AB1717" s="424" t="s">
        <v>7295</v>
      </c>
      <c r="AC1717" s="424" t="s">
        <v>1953</v>
      </c>
      <c r="AD1717" s="424" t="s">
        <v>2829</v>
      </c>
      <c r="AE1717" s="424" t="s">
        <v>7292</v>
      </c>
      <c r="AF1717" s="424"/>
      <c r="AG1717" s="424"/>
      <c r="AH1717" s="424"/>
    </row>
    <row r="1718" spans="1:34" x14ac:dyDescent="0.25">
      <c r="A1718" s="423" t="s">
        <v>1652</v>
      </c>
      <c r="B1718" s="423" t="s">
        <v>7296</v>
      </c>
      <c r="C1718" s="423" t="s">
        <v>7176</v>
      </c>
      <c r="D1718" s="423" t="s">
        <v>6871</v>
      </c>
      <c r="E1718" s="423" t="s">
        <v>203</v>
      </c>
      <c r="F1718" s="423">
        <v>40</v>
      </c>
      <c r="G1718" s="423">
        <v>64</v>
      </c>
      <c r="H1718" s="423">
        <v>985</v>
      </c>
      <c r="J1718" s="423"/>
      <c r="K1718" s="423"/>
      <c r="L1718" s="423"/>
      <c r="M1718" s="423"/>
      <c r="Q1718" s="423"/>
      <c r="R1718" s="424" t="s">
        <v>7297</v>
      </c>
      <c r="S1718" s="424" t="s">
        <v>2846</v>
      </c>
      <c r="T1718" s="424" t="s">
        <v>2847</v>
      </c>
      <c r="U1718" s="424">
        <v>0</v>
      </c>
      <c r="V1718" s="424" t="s">
        <v>2824</v>
      </c>
      <c r="W1718" s="424" t="s">
        <v>3074</v>
      </c>
      <c r="X1718" s="424" t="s">
        <v>2224</v>
      </c>
      <c r="Y1718" s="424" t="s">
        <v>2279</v>
      </c>
      <c r="Z1718" s="424" t="s">
        <v>2848</v>
      </c>
      <c r="AA1718" s="424" t="s">
        <v>2849</v>
      </c>
      <c r="AB1718" s="424" t="s">
        <v>7161</v>
      </c>
      <c r="AC1718" s="424" t="s">
        <v>1953</v>
      </c>
      <c r="AD1718" s="424" t="s">
        <v>2851</v>
      </c>
      <c r="AE1718" s="424" t="s">
        <v>2861</v>
      </c>
      <c r="AF1718" s="424"/>
      <c r="AG1718" s="424"/>
      <c r="AH1718" s="424"/>
    </row>
    <row r="1719" spans="1:34" x14ac:dyDescent="0.25">
      <c r="A1719" s="423" t="s">
        <v>1652</v>
      </c>
      <c r="B1719" s="423" t="s">
        <v>7298</v>
      </c>
      <c r="C1719" s="423" t="s">
        <v>7176</v>
      </c>
      <c r="D1719" s="423" t="s">
        <v>6871</v>
      </c>
      <c r="E1719" s="423" t="s">
        <v>203</v>
      </c>
      <c r="F1719" s="423">
        <v>40</v>
      </c>
      <c r="G1719" s="423">
        <v>64</v>
      </c>
      <c r="H1719" s="423">
        <v>985</v>
      </c>
      <c r="J1719" s="423"/>
      <c r="K1719" s="423"/>
      <c r="L1719" s="423"/>
      <c r="M1719" s="423"/>
      <c r="Q1719" s="423"/>
      <c r="R1719" s="424" t="s">
        <v>7299</v>
      </c>
      <c r="S1719" s="424" t="s">
        <v>2846</v>
      </c>
      <c r="T1719" s="424" t="s">
        <v>2847</v>
      </c>
      <c r="U1719" s="424">
        <v>0</v>
      </c>
      <c r="V1719" s="424" t="s">
        <v>2824</v>
      </c>
      <c r="W1719" s="424" t="s">
        <v>3074</v>
      </c>
      <c r="X1719" s="424" t="s">
        <v>2224</v>
      </c>
      <c r="Y1719" s="424" t="s">
        <v>2279</v>
      </c>
      <c r="Z1719" s="424" t="s">
        <v>2848</v>
      </c>
      <c r="AA1719" s="424" t="s">
        <v>2849</v>
      </c>
      <c r="AB1719" s="424" t="s">
        <v>3608</v>
      </c>
      <c r="AC1719" s="424" t="s">
        <v>1953</v>
      </c>
      <c r="AD1719" s="424" t="s">
        <v>2851</v>
      </c>
      <c r="AE1719" s="424" t="s">
        <v>3158</v>
      </c>
      <c r="AF1719" s="424"/>
      <c r="AG1719" s="424"/>
      <c r="AH1719" s="424"/>
    </row>
    <row r="1720" spans="1:34" x14ac:dyDescent="0.25">
      <c r="A1720" s="423" t="s">
        <v>1652</v>
      </c>
      <c r="B1720" s="423" t="s">
        <v>7300</v>
      </c>
      <c r="C1720" s="423" t="s">
        <v>7176</v>
      </c>
      <c r="D1720" s="423" t="s">
        <v>6871</v>
      </c>
      <c r="E1720" s="423" t="s">
        <v>203</v>
      </c>
      <c r="F1720" s="423">
        <v>40</v>
      </c>
      <c r="G1720" s="423">
        <v>64</v>
      </c>
      <c r="H1720" s="423">
        <v>985</v>
      </c>
      <c r="J1720" s="423"/>
      <c r="K1720" s="423"/>
      <c r="L1720" s="423"/>
      <c r="M1720" s="423"/>
      <c r="Q1720" s="423"/>
      <c r="R1720" s="424" t="s">
        <v>7301</v>
      </c>
      <c r="S1720" s="424" t="s">
        <v>2846</v>
      </c>
      <c r="T1720" s="424" t="s">
        <v>2847</v>
      </c>
      <c r="U1720" s="424">
        <v>0</v>
      </c>
      <c r="V1720" s="424" t="s">
        <v>2824</v>
      </c>
      <c r="W1720" s="424" t="s">
        <v>3074</v>
      </c>
      <c r="X1720" s="424" t="s">
        <v>2224</v>
      </c>
      <c r="Y1720" s="424" t="s">
        <v>2279</v>
      </c>
      <c r="Z1720" s="424" t="s">
        <v>2848</v>
      </c>
      <c r="AA1720" s="424" t="s">
        <v>2849</v>
      </c>
      <c r="AB1720" s="424" t="s">
        <v>7161</v>
      </c>
      <c r="AC1720" s="424" t="s">
        <v>1953</v>
      </c>
      <c r="AD1720" s="424" t="s">
        <v>2851</v>
      </c>
      <c r="AE1720" s="424" t="s">
        <v>2861</v>
      </c>
      <c r="AF1720" s="424"/>
      <c r="AG1720" s="424"/>
      <c r="AH1720" s="424"/>
    </row>
    <row r="1721" spans="1:34" x14ac:dyDescent="0.25">
      <c r="A1721" s="423" t="s">
        <v>1652</v>
      </c>
      <c r="B1721" s="423" t="s">
        <v>7302</v>
      </c>
      <c r="C1721" s="423" t="s">
        <v>7176</v>
      </c>
      <c r="D1721" s="423" t="s">
        <v>6871</v>
      </c>
      <c r="E1721" s="423" t="s">
        <v>203</v>
      </c>
      <c r="F1721" s="423">
        <v>32</v>
      </c>
      <c r="G1721" s="423">
        <v>64</v>
      </c>
      <c r="H1721" s="423">
        <v>400</v>
      </c>
      <c r="J1721" s="423"/>
      <c r="K1721" s="423"/>
      <c r="L1721" s="423"/>
      <c r="M1721" s="423"/>
      <c r="Q1721" s="423"/>
      <c r="R1721" s="424" t="s">
        <v>7303</v>
      </c>
      <c r="S1721" s="424" t="s">
        <v>2820</v>
      </c>
      <c r="T1721" s="424" t="s">
        <v>7304</v>
      </c>
      <c r="U1721" s="424">
        <v>0</v>
      </c>
      <c r="V1721" s="424" t="s">
        <v>2824</v>
      </c>
      <c r="W1721" s="424" t="s">
        <v>2824</v>
      </c>
      <c r="X1721" s="424" t="s">
        <v>2224</v>
      </c>
      <c r="Y1721" s="424" t="s">
        <v>2279</v>
      </c>
      <c r="Z1721" s="424" t="s">
        <v>2826</v>
      </c>
      <c r="AA1721" s="424" t="s">
        <v>2827</v>
      </c>
      <c r="AB1721" s="424" t="s">
        <v>7305</v>
      </c>
      <c r="AC1721" s="424" t="s">
        <v>1953</v>
      </c>
      <c r="AD1721" s="424" t="s">
        <v>2829</v>
      </c>
      <c r="AE1721" s="424" t="s">
        <v>7306</v>
      </c>
      <c r="AF1721" s="424"/>
      <c r="AG1721" s="424"/>
      <c r="AH1721" s="424"/>
    </row>
    <row r="1722" spans="1:34" x14ac:dyDescent="0.25">
      <c r="A1722" s="423" t="s">
        <v>1652</v>
      </c>
      <c r="B1722" s="423" t="s">
        <v>7307</v>
      </c>
      <c r="C1722" s="423" t="s">
        <v>7176</v>
      </c>
      <c r="D1722" s="423" t="s">
        <v>6871</v>
      </c>
      <c r="E1722" s="423" t="s">
        <v>203</v>
      </c>
      <c r="F1722" s="423">
        <v>32</v>
      </c>
      <c r="G1722" s="423">
        <v>64</v>
      </c>
      <c r="H1722" s="423">
        <v>400</v>
      </c>
      <c r="J1722" s="423"/>
      <c r="K1722" s="423"/>
      <c r="L1722" s="423"/>
      <c r="M1722" s="423"/>
      <c r="Q1722" s="423"/>
      <c r="R1722" s="424" t="s">
        <v>7308</v>
      </c>
      <c r="S1722" s="424" t="s">
        <v>2820</v>
      </c>
      <c r="T1722" s="424" t="s">
        <v>3672</v>
      </c>
      <c r="U1722" s="424">
        <v>0</v>
      </c>
      <c r="V1722" s="424" t="s">
        <v>2824</v>
      </c>
      <c r="W1722" s="424" t="s">
        <v>2824</v>
      </c>
      <c r="X1722" s="424" t="s">
        <v>2224</v>
      </c>
      <c r="Y1722" s="424" t="s">
        <v>2279</v>
      </c>
      <c r="Z1722" s="424" t="s">
        <v>2826</v>
      </c>
      <c r="AA1722" s="424" t="s">
        <v>2827</v>
      </c>
      <c r="AB1722" s="424" t="s">
        <v>7309</v>
      </c>
      <c r="AC1722" s="424" t="s">
        <v>1953</v>
      </c>
      <c r="AD1722" s="424" t="s">
        <v>2829</v>
      </c>
      <c r="AE1722" s="424" t="s">
        <v>6868</v>
      </c>
      <c r="AF1722" s="424"/>
      <c r="AG1722" s="424"/>
      <c r="AH1722" s="424"/>
    </row>
    <row r="1723" spans="1:34" x14ac:dyDescent="0.25">
      <c r="A1723" s="423" t="s">
        <v>1652</v>
      </c>
      <c r="B1723" s="423" t="s">
        <v>7310</v>
      </c>
      <c r="C1723" s="423" t="s">
        <v>7176</v>
      </c>
      <c r="D1723" s="423" t="s">
        <v>6871</v>
      </c>
      <c r="E1723" s="423" t="s">
        <v>203</v>
      </c>
      <c r="F1723" s="423">
        <v>32</v>
      </c>
      <c r="G1723" s="423">
        <v>64</v>
      </c>
      <c r="H1723" s="423">
        <v>400</v>
      </c>
      <c r="J1723" s="423"/>
      <c r="K1723" s="423"/>
      <c r="L1723" s="423"/>
      <c r="M1723" s="423"/>
      <c r="Q1723" s="423"/>
      <c r="R1723" s="424" t="s">
        <v>7311</v>
      </c>
      <c r="S1723" s="424" t="s">
        <v>2820</v>
      </c>
      <c r="T1723" s="424" t="s">
        <v>3672</v>
      </c>
      <c r="U1723" s="424">
        <v>0</v>
      </c>
      <c r="V1723" s="424" t="s">
        <v>2824</v>
      </c>
      <c r="W1723" s="424" t="s">
        <v>2824</v>
      </c>
      <c r="X1723" s="424" t="s">
        <v>2224</v>
      </c>
      <c r="Y1723" s="424" t="s">
        <v>2279</v>
      </c>
      <c r="Z1723" s="424" t="s">
        <v>2826</v>
      </c>
      <c r="AA1723" s="424" t="s">
        <v>2827</v>
      </c>
      <c r="AB1723" s="424" t="s">
        <v>7312</v>
      </c>
      <c r="AC1723" s="424" t="s">
        <v>1953</v>
      </c>
      <c r="AD1723" s="424" t="s">
        <v>2829</v>
      </c>
      <c r="AE1723" s="424" t="s">
        <v>7037</v>
      </c>
      <c r="AF1723" s="424"/>
      <c r="AG1723" s="424"/>
      <c r="AH1723" s="424"/>
    </row>
    <row r="1724" spans="1:34" x14ac:dyDescent="0.25">
      <c r="A1724" s="423" t="s">
        <v>1652</v>
      </c>
      <c r="B1724" s="423" t="s">
        <v>7313</v>
      </c>
      <c r="C1724" s="423" t="s">
        <v>7176</v>
      </c>
      <c r="D1724" s="423" t="s">
        <v>6871</v>
      </c>
      <c r="E1724" s="423" t="s">
        <v>203</v>
      </c>
      <c r="F1724" s="423">
        <v>80</v>
      </c>
      <c r="G1724" s="423">
        <v>128</v>
      </c>
      <c r="H1724" s="423">
        <v>3600</v>
      </c>
      <c r="J1724" s="423"/>
      <c r="K1724" s="423"/>
      <c r="L1724" s="423"/>
      <c r="M1724" s="423"/>
      <c r="Q1724" s="423"/>
      <c r="R1724" s="424" t="s">
        <v>7314</v>
      </c>
      <c r="S1724" s="424" t="s">
        <v>2820</v>
      </c>
      <c r="T1724" s="424" t="s">
        <v>3196</v>
      </c>
      <c r="U1724" s="424">
        <v>0</v>
      </c>
      <c r="V1724" s="424" t="s">
        <v>2824</v>
      </c>
      <c r="W1724" s="424" t="s">
        <v>2824</v>
      </c>
      <c r="X1724" s="424" t="s">
        <v>2224</v>
      </c>
      <c r="Y1724" s="424" t="s">
        <v>2279</v>
      </c>
      <c r="Z1724" s="424" t="s">
        <v>3260</v>
      </c>
      <c r="AA1724" s="424" t="s">
        <v>3197</v>
      </c>
      <c r="AB1724" s="424" t="s">
        <v>7315</v>
      </c>
      <c r="AC1724" s="424" t="s">
        <v>1953</v>
      </c>
      <c r="AD1724" s="424" t="s">
        <v>2851</v>
      </c>
      <c r="AE1724" s="424" t="s">
        <v>4418</v>
      </c>
      <c r="AF1724" s="424"/>
      <c r="AG1724" s="424"/>
      <c r="AH1724" s="424"/>
    </row>
    <row r="1725" spans="1:34" x14ac:dyDescent="0.25">
      <c r="A1725" s="423" t="s">
        <v>1652</v>
      </c>
      <c r="B1725" s="423" t="s">
        <v>7316</v>
      </c>
      <c r="C1725" s="423" t="s">
        <v>7176</v>
      </c>
      <c r="D1725" s="423" t="s">
        <v>6871</v>
      </c>
      <c r="E1725" s="423" t="s">
        <v>203</v>
      </c>
      <c r="F1725" s="423">
        <v>80</v>
      </c>
      <c r="G1725" s="423">
        <v>128</v>
      </c>
      <c r="H1725" s="423">
        <v>3600</v>
      </c>
      <c r="J1725" s="423"/>
      <c r="K1725" s="423"/>
      <c r="L1725" s="423"/>
      <c r="M1725" s="423"/>
      <c r="Q1725" s="423"/>
      <c r="R1725" s="424" t="s">
        <v>7317</v>
      </c>
      <c r="S1725" s="424" t="s">
        <v>2820</v>
      </c>
      <c r="T1725" s="424" t="s">
        <v>3196</v>
      </c>
      <c r="U1725" s="424">
        <v>0</v>
      </c>
      <c r="V1725" s="424" t="s">
        <v>2824</v>
      </c>
      <c r="W1725" s="424" t="s">
        <v>2824</v>
      </c>
      <c r="X1725" s="424" t="s">
        <v>2224</v>
      </c>
      <c r="Y1725" s="424" t="s">
        <v>2279</v>
      </c>
      <c r="Z1725" s="424" t="s">
        <v>3260</v>
      </c>
      <c r="AA1725" s="424" t="s">
        <v>3197</v>
      </c>
      <c r="AB1725" s="424" t="s">
        <v>7318</v>
      </c>
      <c r="AC1725" s="424" t="s">
        <v>1953</v>
      </c>
      <c r="AD1725" s="424" t="s">
        <v>2851</v>
      </c>
      <c r="AE1725" s="424" t="s">
        <v>4418</v>
      </c>
      <c r="AF1725" s="424"/>
      <c r="AG1725" s="424"/>
      <c r="AH1725" s="424"/>
    </row>
    <row r="1726" spans="1:34" x14ac:dyDescent="0.25">
      <c r="A1726" s="423" t="s">
        <v>1652</v>
      </c>
      <c r="B1726" s="423" t="s">
        <v>7319</v>
      </c>
      <c r="C1726" s="423" t="s">
        <v>7176</v>
      </c>
      <c r="D1726" s="423" t="s">
        <v>6871</v>
      </c>
      <c r="E1726" s="423" t="s">
        <v>203</v>
      </c>
      <c r="F1726" s="423">
        <v>80</v>
      </c>
      <c r="G1726" s="423">
        <v>128</v>
      </c>
      <c r="H1726" s="423">
        <v>3600</v>
      </c>
      <c r="J1726" s="423"/>
      <c r="K1726" s="423"/>
      <c r="L1726" s="423"/>
      <c r="M1726" s="423"/>
      <c r="Q1726" s="423"/>
      <c r="R1726" s="424" t="s">
        <v>7320</v>
      </c>
      <c r="S1726" s="424" t="s">
        <v>2820</v>
      </c>
      <c r="T1726" s="424" t="s">
        <v>3196</v>
      </c>
      <c r="U1726" s="424">
        <v>0</v>
      </c>
      <c r="V1726" s="424" t="s">
        <v>2824</v>
      </c>
      <c r="W1726" s="424" t="s">
        <v>2824</v>
      </c>
      <c r="X1726" s="424" t="s">
        <v>2224</v>
      </c>
      <c r="Y1726" s="424" t="s">
        <v>2279</v>
      </c>
      <c r="Z1726" s="424" t="s">
        <v>3260</v>
      </c>
      <c r="AA1726" s="424" t="s">
        <v>3197</v>
      </c>
      <c r="AB1726" s="424" t="s">
        <v>7321</v>
      </c>
      <c r="AC1726" s="424" t="s">
        <v>1953</v>
      </c>
      <c r="AD1726" s="424" t="s">
        <v>2851</v>
      </c>
      <c r="AE1726" s="424" t="s">
        <v>4418</v>
      </c>
      <c r="AF1726" s="424"/>
      <c r="AG1726" s="424"/>
      <c r="AH1726" s="424"/>
    </row>
    <row r="1727" spans="1:34" x14ac:dyDescent="0.25">
      <c r="A1727" s="423" t="s">
        <v>7322</v>
      </c>
      <c r="B1727" s="423" t="s">
        <v>7323</v>
      </c>
      <c r="C1727" s="423" t="s">
        <v>7324</v>
      </c>
      <c r="D1727" s="423" t="s">
        <v>6871</v>
      </c>
      <c r="E1727" s="423" t="s">
        <v>203</v>
      </c>
      <c r="F1727" s="423">
        <v>4</v>
      </c>
      <c r="G1727" s="423">
        <v>24</v>
      </c>
      <c r="H1727" s="423">
        <v>1800</v>
      </c>
      <c r="J1727" s="423"/>
      <c r="K1727" s="423"/>
      <c r="L1727" s="423"/>
      <c r="M1727" s="423"/>
      <c r="Q1727" s="423"/>
      <c r="R1727" s="424" t="s">
        <v>7323</v>
      </c>
      <c r="S1727" s="424" t="s">
        <v>2846</v>
      </c>
      <c r="T1727" s="424" t="s">
        <v>3268</v>
      </c>
      <c r="U1727" s="424">
        <v>0</v>
      </c>
      <c r="V1727" s="424" t="s">
        <v>3269</v>
      </c>
      <c r="W1727" s="424" t="s">
        <v>3054</v>
      </c>
      <c r="X1727" s="424" t="s">
        <v>2224</v>
      </c>
      <c r="Y1727" s="424" t="s">
        <v>2279</v>
      </c>
      <c r="Z1727" s="424" t="s">
        <v>3260</v>
      </c>
      <c r="AA1727" s="424" t="s">
        <v>3327</v>
      </c>
      <c r="AB1727" s="424" t="s">
        <v>7065</v>
      </c>
      <c r="AC1727" s="424" t="s">
        <v>1953</v>
      </c>
      <c r="AD1727" s="424" t="s">
        <v>3329</v>
      </c>
      <c r="AE1727" s="424" t="s">
        <v>3333</v>
      </c>
      <c r="AF1727" s="424"/>
      <c r="AG1727" s="424"/>
      <c r="AH1727" s="424"/>
    </row>
    <row r="1728" spans="1:34" x14ac:dyDescent="0.25">
      <c r="A1728" s="423" t="s">
        <v>7322</v>
      </c>
      <c r="B1728" s="423" t="s">
        <v>7325</v>
      </c>
      <c r="C1728" s="423" t="s">
        <v>7324</v>
      </c>
      <c r="D1728" s="423" t="s">
        <v>6871</v>
      </c>
      <c r="E1728" s="423" t="s">
        <v>203</v>
      </c>
      <c r="F1728" s="423">
        <v>6</v>
      </c>
      <c r="G1728" s="423">
        <v>36</v>
      </c>
      <c r="H1728" s="423">
        <v>1800</v>
      </c>
      <c r="J1728" s="423"/>
      <c r="K1728" s="423"/>
      <c r="L1728" s="423"/>
      <c r="M1728" s="423"/>
      <c r="Q1728" s="423"/>
      <c r="R1728" s="424" t="s">
        <v>7325</v>
      </c>
      <c r="S1728" s="424" t="s">
        <v>2846</v>
      </c>
      <c r="T1728" s="424" t="s">
        <v>3268</v>
      </c>
      <c r="U1728" s="424">
        <v>0</v>
      </c>
      <c r="V1728" s="424" t="s">
        <v>3269</v>
      </c>
      <c r="W1728" s="424" t="s">
        <v>2974</v>
      </c>
      <c r="X1728" s="424" t="s">
        <v>2224</v>
      </c>
      <c r="Y1728" s="424" t="s">
        <v>2279</v>
      </c>
      <c r="Z1728" s="424" t="s">
        <v>3260</v>
      </c>
      <c r="AA1728" s="424" t="s">
        <v>3327</v>
      </c>
      <c r="AB1728" s="424" t="s">
        <v>6654</v>
      </c>
      <c r="AC1728" s="424" t="s">
        <v>1953</v>
      </c>
      <c r="AD1728" s="424" t="s">
        <v>3329</v>
      </c>
      <c r="AE1728" s="424" t="s">
        <v>3333</v>
      </c>
      <c r="AF1728" s="424"/>
      <c r="AG1728" s="424"/>
      <c r="AH1728" s="424"/>
    </row>
    <row r="1729" spans="1:34" x14ac:dyDescent="0.25">
      <c r="A1729" s="423" t="s">
        <v>7322</v>
      </c>
      <c r="B1729" s="423" t="s">
        <v>7326</v>
      </c>
      <c r="C1729" s="423" t="s">
        <v>7324</v>
      </c>
      <c r="D1729" s="423" t="s">
        <v>6871</v>
      </c>
      <c r="E1729" s="423" t="s">
        <v>203</v>
      </c>
      <c r="F1729" s="423">
        <v>2</v>
      </c>
      <c r="G1729" s="423">
        <v>251</v>
      </c>
      <c r="H1729" s="423">
        <v>6210</v>
      </c>
      <c r="J1729" s="423"/>
      <c r="K1729" s="423"/>
      <c r="L1729" s="423"/>
      <c r="M1729" s="423"/>
      <c r="Q1729" s="423"/>
      <c r="R1729" s="424" t="s">
        <v>7327</v>
      </c>
      <c r="S1729" s="424" t="s">
        <v>2820</v>
      </c>
      <c r="T1729" s="424" t="s">
        <v>7328</v>
      </c>
      <c r="U1729" s="424">
        <v>0</v>
      </c>
      <c r="V1729" s="424" t="s">
        <v>6877</v>
      </c>
      <c r="W1729" s="424" t="s">
        <v>2973</v>
      </c>
      <c r="X1729" s="424">
        <v>0</v>
      </c>
      <c r="Y1729" s="424" t="s">
        <v>2279</v>
      </c>
      <c r="Z1729" s="424" t="s">
        <v>3260</v>
      </c>
      <c r="AA1729" s="424" t="s">
        <v>3271</v>
      </c>
      <c r="AB1729" s="424" t="s">
        <v>7329</v>
      </c>
      <c r="AC1729" s="424" t="s">
        <v>1953</v>
      </c>
      <c r="AD1729" s="424" t="s">
        <v>2851</v>
      </c>
      <c r="AE1729" s="424" t="s">
        <v>7330</v>
      </c>
      <c r="AF1729" s="424"/>
      <c r="AG1729" s="424"/>
      <c r="AH1729" s="424"/>
    </row>
    <row r="1730" spans="1:34" x14ac:dyDescent="0.25">
      <c r="A1730" s="423" t="s">
        <v>7322</v>
      </c>
      <c r="B1730" s="423" t="s">
        <v>7331</v>
      </c>
      <c r="C1730" s="423" t="s">
        <v>7324</v>
      </c>
      <c r="D1730" s="423" t="s">
        <v>6871</v>
      </c>
      <c r="E1730" s="423" t="s">
        <v>203</v>
      </c>
      <c r="F1730" s="423">
        <v>2</v>
      </c>
      <c r="G1730" s="423">
        <v>251</v>
      </c>
      <c r="H1730" s="423">
        <v>6210</v>
      </c>
      <c r="J1730" s="423"/>
      <c r="K1730" s="423"/>
      <c r="L1730" s="423"/>
      <c r="M1730" s="423"/>
      <c r="Q1730" s="423"/>
      <c r="R1730" s="424" t="s">
        <v>7332</v>
      </c>
      <c r="S1730" s="424" t="s">
        <v>2820</v>
      </c>
      <c r="T1730" s="424" t="s">
        <v>7328</v>
      </c>
      <c r="U1730" s="424">
        <v>0</v>
      </c>
      <c r="V1730" s="424" t="s">
        <v>6877</v>
      </c>
      <c r="W1730" s="424" t="s">
        <v>2973</v>
      </c>
      <c r="X1730" s="424">
        <v>0</v>
      </c>
      <c r="Y1730" s="424" t="s">
        <v>2279</v>
      </c>
      <c r="Z1730" s="424" t="s">
        <v>3260</v>
      </c>
      <c r="AA1730" s="424" t="s">
        <v>3271</v>
      </c>
      <c r="AB1730" s="424" t="s">
        <v>7333</v>
      </c>
      <c r="AC1730" s="424" t="s">
        <v>1953</v>
      </c>
      <c r="AD1730" s="424" t="s">
        <v>2851</v>
      </c>
      <c r="AE1730" s="424" t="s">
        <v>7334</v>
      </c>
      <c r="AF1730" s="424"/>
      <c r="AG1730" s="424"/>
      <c r="AH1730" s="424"/>
    </row>
    <row r="1731" spans="1:34" x14ac:dyDescent="0.25">
      <c r="A1731" s="423" t="s">
        <v>7322</v>
      </c>
      <c r="B1731" s="423" t="s">
        <v>7335</v>
      </c>
      <c r="C1731" s="423" t="s">
        <v>7324</v>
      </c>
      <c r="D1731" s="423" t="s">
        <v>6871</v>
      </c>
      <c r="E1731" s="423" t="s">
        <v>203</v>
      </c>
      <c r="F1731" s="423">
        <v>2</v>
      </c>
      <c r="G1731" s="423">
        <v>251</v>
      </c>
      <c r="H1731" s="423">
        <v>6210</v>
      </c>
      <c r="J1731" s="423"/>
      <c r="K1731" s="423"/>
      <c r="L1731" s="423"/>
      <c r="M1731" s="423"/>
      <c r="Q1731" s="423"/>
      <c r="R1731" s="424" t="s">
        <v>7336</v>
      </c>
      <c r="S1731" s="424" t="s">
        <v>2820</v>
      </c>
      <c r="T1731" s="424" t="s">
        <v>7328</v>
      </c>
      <c r="U1731" s="424">
        <v>0</v>
      </c>
      <c r="V1731" s="424" t="s">
        <v>6877</v>
      </c>
      <c r="W1731" s="424" t="s">
        <v>2973</v>
      </c>
      <c r="X1731" s="424">
        <v>0</v>
      </c>
      <c r="Y1731" s="424" t="s">
        <v>2279</v>
      </c>
      <c r="Z1731" s="424" t="s">
        <v>3260</v>
      </c>
      <c r="AA1731" s="424" t="s">
        <v>3271</v>
      </c>
      <c r="AB1731" s="424" t="s">
        <v>7337</v>
      </c>
      <c r="AC1731" s="424" t="s">
        <v>1953</v>
      </c>
      <c r="AD1731" s="424" t="s">
        <v>2851</v>
      </c>
      <c r="AE1731" s="424" t="s">
        <v>7330</v>
      </c>
      <c r="AF1731" s="424"/>
      <c r="AG1731" s="424"/>
      <c r="AH1731" s="424"/>
    </row>
    <row r="1732" spans="1:34" x14ac:dyDescent="0.25">
      <c r="A1732" s="423" t="s">
        <v>7322</v>
      </c>
      <c r="B1732" s="423" t="s">
        <v>7338</v>
      </c>
      <c r="C1732" s="423" t="s">
        <v>7324</v>
      </c>
      <c r="D1732" s="423" t="s">
        <v>6871</v>
      </c>
      <c r="E1732" s="423" t="s">
        <v>203</v>
      </c>
      <c r="F1732" s="423">
        <v>2</v>
      </c>
      <c r="G1732" s="423">
        <v>125</v>
      </c>
      <c r="H1732" s="423" t="s">
        <v>7339</v>
      </c>
      <c r="J1732" s="423"/>
      <c r="K1732" s="423"/>
      <c r="L1732" s="423"/>
      <c r="M1732" s="423"/>
      <c r="Q1732" s="423"/>
      <c r="R1732" s="424" t="s">
        <v>7340</v>
      </c>
      <c r="S1732" s="424" t="s">
        <v>2820</v>
      </c>
      <c r="T1732" s="424" t="s">
        <v>6876</v>
      </c>
      <c r="U1732" s="424">
        <v>0</v>
      </c>
      <c r="V1732" s="424" t="s">
        <v>6877</v>
      </c>
      <c r="W1732" s="424" t="s">
        <v>2824</v>
      </c>
      <c r="X1732" s="424">
        <v>0</v>
      </c>
      <c r="Y1732" s="424" t="s">
        <v>2279</v>
      </c>
      <c r="Z1732" s="424" t="s">
        <v>3260</v>
      </c>
      <c r="AA1732" s="424" t="s">
        <v>3327</v>
      </c>
      <c r="AB1732" s="424" t="s">
        <v>7341</v>
      </c>
      <c r="AC1732" s="424" t="s">
        <v>1953</v>
      </c>
      <c r="AD1732" s="424" t="s">
        <v>3329</v>
      </c>
      <c r="AE1732" s="424" t="s">
        <v>7342</v>
      </c>
      <c r="AF1732" s="424"/>
      <c r="AG1732" s="424"/>
      <c r="AH1732" s="424"/>
    </row>
    <row r="1733" spans="1:34" x14ac:dyDescent="0.25">
      <c r="A1733" s="423" t="s">
        <v>7322</v>
      </c>
      <c r="B1733" s="423" t="s">
        <v>7343</v>
      </c>
      <c r="C1733" s="423" t="s">
        <v>7324</v>
      </c>
      <c r="D1733" s="423" t="s">
        <v>6871</v>
      </c>
      <c r="E1733" s="423" t="s">
        <v>203</v>
      </c>
      <c r="F1733" s="423">
        <v>2</v>
      </c>
      <c r="G1733" s="423">
        <v>188</v>
      </c>
      <c r="H1733" s="423" t="s">
        <v>7339</v>
      </c>
      <c r="J1733" s="423"/>
      <c r="K1733" s="423"/>
      <c r="L1733" s="423"/>
      <c r="M1733" s="423"/>
      <c r="Q1733" s="423"/>
      <c r="R1733" s="424" t="s">
        <v>7344</v>
      </c>
      <c r="S1733" s="424" t="s">
        <v>2820</v>
      </c>
      <c r="T1733" s="424" t="s">
        <v>6876</v>
      </c>
      <c r="U1733" s="424">
        <v>0</v>
      </c>
      <c r="V1733" s="424" t="s">
        <v>6877</v>
      </c>
      <c r="W1733" s="424" t="s">
        <v>2824</v>
      </c>
      <c r="X1733" s="424">
        <v>0</v>
      </c>
      <c r="Y1733" s="424" t="s">
        <v>2279</v>
      </c>
      <c r="Z1733" s="424" t="s">
        <v>3260</v>
      </c>
      <c r="AA1733" s="424" t="s">
        <v>3327</v>
      </c>
      <c r="AB1733" s="424" t="s">
        <v>7345</v>
      </c>
      <c r="AC1733" s="424" t="s">
        <v>1953</v>
      </c>
      <c r="AD1733" s="424" t="s">
        <v>3329</v>
      </c>
      <c r="AE1733" s="424" t="s">
        <v>7342</v>
      </c>
      <c r="AF1733" s="424"/>
      <c r="AG1733" s="424"/>
      <c r="AH1733" s="424"/>
    </row>
    <row r="1734" spans="1:34" x14ac:dyDescent="0.25">
      <c r="A1734" s="423" t="s">
        <v>7322</v>
      </c>
      <c r="B1734" s="423" t="s">
        <v>7346</v>
      </c>
      <c r="C1734" s="423" t="s">
        <v>7324</v>
      </c>
      <c r="D1734" s="423" t="s">
        <v>6871</v>
      </c>
      <c r="E1734" s="423" t="s">
        <v>203</v>
      </c>
      <c r="F1734" s="423">
        <v>2</v>
      </c>
      <c r="G1734" s="423">
        <v>125</v>
      </c>
      <c r="H1734" s="423" t="s">
        <v>7339</v>
      </c>
      <c r="J1734" s="423"/>
      <c r="K1734" s="423"/>
      <c r="L1734" s="423"/>
      <c r="M1734" s="423"/>
      <c r="Q1734" s="423"/>
      <c r="R1734" s="424" t="s">
        <v>7347</v>
      </c>
      <c r="S1734" s="424" t="s">
        <v>2820</v>
      </c>
      <c r="T1734" s="424" t="s">
        <v>6876</v>
      </c>
      <c r="U1734" s="424">
        <v>0</v>
      </c>
      <c r="V1734" s="424" t="s">
        <v>6877</v>
      </c>
      <c r="W1734" s="424" t="s">
        <v>2824</v>
      </c>
      <c r="X1734" s="424">
        <v>0</v>
      </c>
      <c r="Y1734" s="424" t="s">
        <v>2279</v>
      </c>
      <c r="Z1734" s="424" t="s">
        <v>3260</v>
      </c>
      <c r="AA1734" s="424" t="s">
        <v>3327</v>
      </c>
      <c r="AB1734" s="424" t="s">
        <v>7348</v>
      </c>
      <c r="AC1734" s="424" t="s">
        <v>1953</v>
      </c>
      <c r="AD1734" s="424" t="s">
        <v>3329</v>
      </c>
      <c r="AE1734" s="424" t="s">
        <v>7342</v>
      </c>
      <c r="AF1734" s="424"/>
      <c r="AG1734" s="424"/>
      <c r="AH1734" s="424"/>
    </row>
    <row r="1735" spans="1:34" x14ac:dyDescent="0.25">
      <c r="A1735" s="423" t="s">
        <v>7322</v>
      </c>
      <c r="B1735" s="423" t="s">
        <v>7349</v>
      </c>
      <c r="C1735" s="423" t="s">
        <v>7324</v>
      </c>
      <c r="D1735" s="423" t="s">
        <v>6871</v>
      </c>
      <c r="E1735" s="423" t="s">
        <v>203</v>
      </c>
      <c r="F1735" s="423">
        <v>2</v>
      </c>
      <c r="G1735" s="423">
        <v>125</v>
      </c>
      <c r="H1735" s="423" t="s">
        <v>7339</v>
      </c>
      <c r="J1735" s="423"/>
      <c r="K1735" s="423"/>
      <c r="L1735" s="423"/>
      <c r="M1735" s="423"/>
      <c r="Q1735" s="423"/>
      <c r="R1735" s="424" t="s">
        <v>7350</v>
      </c>
      <c r="S1735" s="424" t="s">
        <v>2820</v>
      </c>
      <c r="T1735" s="424" t="s">
        <v>6876</v>
      </c>
      <c r="U1735" s="424">
        <v>0</v>
      </c>
      <c r="V1735" s="424" t="s">
        <v>6877</v>
      </c>
      <c r="W1735" s="424" t="s">
        <v>2824</v>
      </c>
      <c r="X1735" s="424">
        <v>0</v>
      </c>
      <c r="Y1735" s="424" t="s">
        <v>2279</v>
      </c>
      <c r="Z1735" s="424" t="s">
        <v>3260</v>
      </c>
      <c r="AA1735" s="424" t="s">
        <v>3327</v>
      </c>
      <c r="AB1735" s="424" t="s">
        <v>7351</v>
      </c>
      <c r="AC1735" s="424" t="s">
        <v>1953</v>
      </c>
      <c r="AD1735" s="424" t="s">
        <v>3329</v>
      </c>
      <c r="AE1735" s="424" t="s">
        <v>7352</v>
      </c>
      <c r="AF1735" s="424"/>
      <c r="AG1735" s="424"/>
      <c r="AH1735" s="424"/>
    </row>
    <row r="1736" spans="1:34" x14ac:dyDescent="0.25">
      <c r="A1736" s="423" t="s">
        <v>7353</v>
      </c>
      <c r="B1736" s="423" t="s">
        <v>7354</v>
      </c>
      <c r="C1736" s="423" t="s">
        <v>204</v>
      </c>
      <c r="D1736" s="423" t="s">
        <v>7355</v>
      </c>
      <c r="E1736" s="423" t="s">
        <v>203</v>
      </c>
      <c r="F1736" s="423">
        <v>12</v>
      </c>
      <c r="G1736" s="423">
        <v>64</v>
      </c>
      <c r="H1736" s="423">
        <v>460</v>
      </c>
      <c r="J1736" s="423"/>
      <c r="K1736" s="423"/>
      <c r="L1736" s="423"/>
      <c r="M1736" s="423"/>
      <c r="Q1736" s="423"/>
      <c r="R1736" s="424" t="s">
        <v>7354</v>
      </c>
      <c r="S1736" s="424" t="s">
        <v>2846</v>
      </c>
      <c r="T1736" s="424" t="s">
        <v>2870</v>
      </c>
      <c r="U1736" s="424">
        <v>0</v>
      </c>
      <c r="V1736" s="424" t="s">
        <v>6926</v>
      </c>
      <c r="W1736" s="424" t="s">
        <v>2871</v>
      </c>
      <c r="X1736" s="424" t="s">
        <v>2224</v>
      </c>
      <c r="Y1736" s="424" t="s">
        <v>2279</v>
      </c>
      <c r="Z1736" s="424" t="s">
        <v>2848</v>
      </c>
      <c r="AA1736" s="424" t="s">
        <v>3927</v>
      </c>
      <c r="AB1736" s="424" t="s">
        <v>7356</v>
      </c>
      <c r="AC1736" s="424" t="s">
        <v>1953</v>
      </c>
      <c r="AD1736" s="424" t="s">
        <v>2851</v>
      </c>
      <c r="AE1736" s="424" t="s">
        <v>3719</v>
      </c>
      <c r="AF1736" s="424"/>
      <c r="AG1736" s="424"/>
      <c r="AH1736" s="424"/>
    </row>
    <row r="1737" spans="1:34" x14ac:dyDescent="0.25">
      <c r="A1737" s="423" t="s">
        <v>7353</v>
      </c>
      <c r="B1737" s="423" t="s">
        <v>7357</v>
      </c>
      <c r="C1737" s="423" t="s">
        <v>204</v>
      </c>
      <c r="D1737" s="423" t="s">
        <v>7355</v>
      </c>
      <c r="E1737" s="423" t="s">
        <v>203</v>
      </c>
      <c r="F1737" s="423">
        <v>12</v>
      </c>
      <c r="G1737" s="423">
        <v>64</v>
      </c>
      <c r="H1737" s="423">
        <v>460</v>
      </c>
      <c r="J1737" s="423"/>
      <c r="K1737" s="423"/>
      <c r="L1737" s="423"/>
      <c r="M1737" s="423"/>
      <c r="Q1737" s="423"/>
      <c r="R1737" s="424" t="s">
        <v>7357</v>
      </c>
      <c r="S1737" s="424" t="s">
        <v>2846</v>
      </c>
      <c r="T1737" s="424" t="s">
        <v>4065</v>
      </c>
      <c r="U1737" s="424">
        <v>0</v>
      </c>
      <c r="V1737" s="424" t="s">
        <v>6926</v>
      </c>
      <c r="W1737" s="424" t="s">
        <v>3074</v>
      </c>
      <c r="X1737" s="424" t="s">
        <v>2224</v>
      </c>
      <c r="Y1737" s="424" t="s">
        <v>2279</v>
      </c>
      <c r="Z1737" s="424" t="s">
        <v>3260</v>
      </c>
      <c r="AA1737" s="424" t="s">
        <v>3197</v>
      </c>
      <c r="AB1737" s="424" t="s">
        <v>7358</v>
      </c>
      <c r="AC1737" s="424" t="s">
        <v>1953</v>
      </c>
      <c r="AD1737" s="424" t="s">
        <v>2851</v>
      </c>
      <c r="AE1737" s="424" t="s">
        <v>3481</v>
      </c>
      <c r="AF1737" s="424"/>
      <c r="AG1737" s="424"/>
      <c r="AH1737" s="424"/>
    </row>
    <row r="1738" spans="1:34" x14ac:dyDescent="0.25">
      <c r="A1738" s="423" t="s">
        <v>7353</v>
      </c>
      <c r="B1738" s="423" t="s">
        <v>7359</v>
      </c>
      <c r="C1738" s="423" t="s">
        <v>204</v>
      </c>
      <c r="D1738" s="423" t="s">
        <v>7355</v>
      </c>
      <c r="E1738" s="423" t="s">
        <v>203</v>
      </c>
      <c r="F1738" s="423">
        <v>12</v>
      </c>
      <c r="G1738" s="423">
        <v>64</v>
      </c>
      <c r="H1738" s="423">
        <v>660</v>
      </c>
      <c r="J1738" s="423"/>
      <c r="K1738" s="423"/>
      <c r="L1738" s="423"/>
      <c r="M1738" s="423"/>
      <c r="Q1738" s="423"/>
      <c r="R1738" s="424" t="s">
        <v>7359</v>
      </c>
      <c r="S1738" s="424" t="s">
        <v>2846</v>
      </c>
      <c r="T1738" s="424" t="s">
        <v>4065</v>
      </c>
      <c r="U1738" s="424">
        <v>0</v>
      </c>
      <c r="V1738" s="424" t="s">
        <v>6926</v>
      </c>
      <c r="W1738" s="424" t="s">
        <v>2974</v>
      </c>
      <c r="X1738" s="424" t="s">
        <v>2224</v>
      </c>
      <c r="Y1738" s="424" t="s">
        <v>2279</v>
      </c>
      <c r="Z1738" s="424" t="s">
        <v>2848</v>
      </c>
      <c r="AA1738" s="424" t="s">
        <v>2855</v>
      </c>
      <c r="AB1738" s="424" t="s">
        <v>4445</v>
      </c>
      <c r="AC1738" s="424" t="s">
        <v>1953</v>
      </c>
      <c r="AD1738" s="424" t="s">
        <v>2851</v>
      </c>
      <c r="AE1738" s="424" t="s">
        <v>3154</v>
      </c>
      <c r="AF1738" s="424"/>
      <c r="AG1738" s="424"/>
      <c r="AH1738" s="424"/>
    </row>
    <row r="1739" spans="1:34" x14ac:dyDescent="0.25">
      <c r="A1739" s="423" t="s">
        <v>7353</v>
      </c>
      <c r="B1739" s="423" t="s">
        <v>7360</v>
      </c>
      <c r="C1739" s="423" t="s">
        <v>204</v>
      </c>
      <c r="D1739" s="423" t="s">
        <v>7355</v>
      </c>
      <c r="E1739" s="423" t="s">
        <v>203</v>
      </c>
      <c r="F1739" s="423">
        <v>12</v>
      </c>
      <c r="G1739" s="423">
        <v>64</v>
      </c>
      <c r="H1739" s="423">
        <v>360</v>
      </c>
      <c r="J1739" s="423"/>
      <c r="K1739" s="423"/>
      <c r="L1739" s="423"/>
      <c r="M1739" s="423"/>
      <c r="Q1739" s="423"/>
      <c r="R1739" s="424" t="s">
        <v>7360</v>
      </c>
      <c r="S1739" s="424" t="s">
        <v>2846</v>
      </c>
      <c r="T1739" s="424" t="s">
        <v>4065</v>
      </c>
      <c r="U1739" s="424">
        <v>0</v>
      </c>
      <c r="V1739" s="424" t="s">
        <v>6926</v>
      </c>
      <c r="W1739" s="424" t="s">
        <v>3074</v>
      </c>
      <c r="X1739" s="424" t="s">
        <v>2224</v>
      </c>
      <c r="Y1739" s="424" t="s">
        <v>2279</v>
      </c>
      <c r="Z1739" s="424" t="s">
        <v>3260</v>
      </c>
      <c r="AA1739" s="424" t="s">
        <v>3197</v>
      </c>
      <c r="AB1739" s="424" t="s">
        <v>7361</v>
      </c>
      <c r="AC1739" s="424" t="s">
        <v>1953</v>
      </c>
      <c r="AD1739" s="424" t="s">
        <v>2851</v>
      </c>
      <c r="AE1739" s="424" t="s">
        <v>3481</v>
      </c>
      <c r="AF1739" s="424"/>
      <c r="AG1739" s="424"/>
      <c r="AH1739" s="424"/>
    </row>
    <row r="1740" spans="1:34" x14ac:dyDescent="0.25">
      <c r="A1740" s="423" t="s">
        <v>7353</v>
      </c>
      <c r="B1740" s="423" t="s">
        <v>7362</v>
      </c>
      <c r="C1740" s="423" t="s">
        <v>204</v>
      </c>
      <c r="D1740" s="423" t="s">
        <v>7355</v>
      </c>
      <c r="E1740" s="423" t="s">
        <v>203</v>
      </c>
      <c r="F1740" s="423">
        <v>12</v>
      </c>
      <c r="G1740" s="423">
        <v>64</v>
      </c>
      <c r="H1740" s="423">
        <v>360</v>
      </c>
      <c r="J1740" s="423"/>
      <c r="K1740" s="423"/>
      <c r="L1740" s="423"/>
      <c r="M1740" s="423"/>
      <c r="Q1740" s="423"/>
      <c r="R1740" s="424" t="s">
        <v>7362</v>
      </c>
      <c r="S1740" s="424" t="s">
        <v>2846</v>
      </c>
      <c r="T1740" s="424" t="s">
        <v>4065</v>
      </c>
      <c r="U1740" s="424">
        <v>0</v>
      </c>
      <c r="V1740" s="424" t="s">
        <v>6926</v>
      </c>
      <c r="W1740" s="424" t="s">
        <v>3054</v>
      </c>
      <c r="X1740" s="424" t="s">
        <v>2224</v>
      </c>
      <c r="Y1740" s="424" t="s">
        <v>2279</v>
      </c>
      <c r="Z1740" s="424" t="s">
        <v>2848</v>
      </c>
      <c r="AA1740" s="424" t="s">
        <v>2855</v>
      </c>
      <c r="AB1740" s="424" t="s">
        <v>7363</v>
      </c>
      <c r="AC1740" s="424" t="s">
        <v>1953</v>
      </c>
      <c r="AD1740" s="424" t="s">
        <v>2851</v>
      </c>
      <c r="AE1740" s="424" t="s">
        <v>3154</v>
      </c>
      <c r="AF1740" s="424"/>
      <c r="AG1740" s="424"/>
      <c r="AH1740" s="424"/>
    </row>
    <row r="1741" spans="1:34" x14ac:dyDescent="0.25">
      <c r="A1741" s="423" t="s">
        <v>7353</v>
      </c>
      <c r="B1741" s="423" t="s">
        <v>7364</v>
      </c>
      <c r="C1741" s="423" t="s">
        <v>204</v>
      </c>
      <c r="D1741" s="423" t="s">
        <v>7355</v>
      </c>
      <c r="E1741" s="423" t="s">
        <v>203</v>
      </c>
      <c r="F1741" s="423">
        <v>12</v>
      </c>
      <c r="G1741" s="423">
        <v>64</v>
      </c>
      <c r="H1741" s="423">
        <v>260</v>
      </c>
      <c r="J1741" s="423"/>
      <c r="K1741" s="423"/>
      <c r="L1741" s="423"/>
      <c r="M1741" s="423"/>
      <c r="Q1741" s="423"/>
      <c r="R1741" s="424" t="s">
        <v>7364</v>
      </c>
      <c r="S1741" s="424" t="s">
        <v>2846</v>
      </c>
      <c r="T1741" s="424" t="s">
        <v>4065</v>
      </c>
      <c r="U1741" s="424">
        <v>0</v>
      </c>
      <c r="V1741" s="424" t="s">
        <v>6926</v>
      </c>
      <c r="W1741" s="424" t="s">
        <v>3074</v>
      </c>
      <c r="X1741" s="424" t="s">
        <v>2224</v>
      </c>
      <c r="Y1741" s="424" t="s">
        <v>2279</v>
      </c>
      <c r="Z1741" s="424" t="s">
        <v>3260</v>
      </c>
      <c r="AA1741" s="424" t="s">
        <v>3197</v>
      </c>
      <c r="AB1741" s="424" t="s">
        <v>7358</v>
      </c>
      <c r="AC1741" s="424" t="s">
        <v>1953</v>
      </c>
      <c r="AD1741" s="424" t="s">
        <v>2851</v>
      </c>
      <c r="AE1741" s="424" t="s">
        <v>3481</v>
      </c>
      <c r="AF1741" s="424"/>
      <c r="AG1741" s="424"/>
      <c r="AH1741" s="424"/>
    </row>
    <row r="1742" spans="1:34" x14ac:dyDescent="0.25">
      <c r="A1742" s="423" t="s">
        <v>7353</v>
      </c>
      <c r="B1742" s="423" t="s">
        <v>7365</v>
      </c>
      <c r="C1742" s="423" t="s">
        <v>204</v>
      </c>
      <c r="D1742" s="423" t="s">
        <v>7355</v>
      </c>
      <c r="E1742" s="423" t="s">
        <v>203</v>
      </c>
      <c r="F1742" s="423">
        <v>12</v>
      </c>
      <c r="G1742" s="423">
        <v>64</v>
      </c>
      <c r="H1742" s="423">
        <v>460</v>
      </c>
      <c r="J1742" s="423"/>
      <c r="K1742" s="423"/>
      <c r="L1742" s="423"/>
      <c r="M1742" s="423"/>
      <c r="Q1742" s="423"/>
      <c r="R1742" s="424" t="s">
        <v>7365</v>
      </c>
      <c r="S1742" s="424" t="s">
        <v>2846</v>
      </c>
      <c r="T1742" s="424" t="s">
        <v>4065</v>
      </c>
      <c r="U1742" s="424">
        <v>0</v>
      </c>
      <c r="V1742" s="424" t="s">
        <v>6926</v>
      </c>
      <c r="W1742" s="424" t="s">
        <v>2871</v>
      </c>
      <c r="X1742" s="424" t="s">
        <v>2224</v>
      </c>
      <c r="Y1742" s="424" t="s">
        <v>2279</v>
      </c>
      <c r="Z1742" s="424" t="s">
        <v>2848</v>
      </c>
      <c r="AA1742" s="424" t="s">
        <v>3927</v>
      </c>
      <c r="AB1742" s="424" t="s">
        <v>7356</v>
      </c>
      <c r="AC1742" s="424" t="s">
        <v>1953</v>
      </c>
      <c r="AD1742" s="424" t="s">
        <v>2851</v>
      </c>
      <c r="AE1742" s="424" t="s">
        <v>3719</v>
      </c>
      <c r="AF1742" s="424"/>
      <c r="AG1742" s="424"/>
      <c r="AH1742" s="424"/>
    </row>
    <row r="1743" spans="1:34" x14ac:dyDescent="0.25">
      <c r="A1743" s="423" t="s">
        <v>7353</v>
      </c>
      <c r="B1743" s="423" t="s">
        <v>7366</v>
      </c>
      <c r="C1743" s="423" t="s">
        <v>204</v>
      </c>
      <c r="D1743" s="423" t="s">
        <v>7355</v>
      </c>
      <c r="E1743" s="423" t="s">
        <v>203</v>
      </c>
      <c r="F1743" s="423">
        <v>12</v>
      </c>
      <c r="G1743" s="423">
        <v>64</v>
      </c>
      <c r="H1743" s="423">
        <v>460</v>
      </c>
      <c r="J1743" s="423"/>
      <c r="K1743" s="423"/>
      <c r="L1743" s="423"/>
      <c r="M1743" s="423"/>
      <c r="Q1743" s="423"/>
      <c r="R1743" s="424" t="s">
        <v>7366</v>
      </c>
      <c r="S1743" s="424" t="s">
        <v>2846</v>
      </c>
      <c r="T1743" s="424" t="s">
        <v>3906</v>
      </c>
      <c r="U1743" s="424">
        <v>0</v>
      </c>
      <c r="V1743" s="424" t="s">
        <v>6926</v>
      </c>
      <c r="W1743" s="424" t="s">
        <v>3055</v>
      </c>
      <c r="X1743" s="424" t="s">
        <v>2224</v>
      </c>
      <c r="Y1743" s="424" t="s">
        <v>2279</v>
      </c>
      <c r="Z1743" s="424" t="s">
        <v>2848</v>
      </c>
      <c r="AA1743" s="424" t="s">
        <v>2855</v>
      </c>
      <c r="AB1743" s="424" t="s">
        <v>7367</v>
      </c>
      <c r="AC1743" s="424" t="s">
        <v>1953</v>
      </c>
      <c r="AD1743" s="424" t="s">
        <v>2851</v>
      </c>
      <c r="AE1743" s="424" t="s">
        <v>3168</v>
      </c>
      <c r="AF1743" s="424"/>
      <c r="AG1743" s="424"/>
      <c r="AH1743" s="424"/>
    </row>
    <row r="1744" spans="1:34" x14ac:dyDescent="0.25">
      <c r="A1744" s="423" t="s">
        <v>7353</v>
      </c>
      <c r="B1744" s="423" t="s">
        <v>7368</v>
      </c>
      <c r="C1744" s="423" t="s">
        <v>204</v>
      </c>
      <c r="D1744" s="423" t="s">
        <v>7355</v>
      </c>
      <c r="E1744" s="423" t="s">
        <v>203</v>
      </c>
      <c r="F1744" s="423">
        <v>18</v>
      </c>
      <c r="G1744" s="423">
        <v>128</v>
      </c>
      <c r="H1744" s="423">
        <v>1010</v>
      </c>
      <c r="J1744" s="423"/>
      <c r="K1744" s="423"/>
      <c r="L1744" s="423"/>
      <c r="M1744" s="423"/>
      <c r="Q1744" s="423"/>
      <c r="R1744" s="424" t="s">
        <v>7369</v>
      </c>
      <c r="S1744" s="424" t="s">
        <v>2846</v>
      </c>
      <c r="T1744" s="424" t="s">
        <v>7370</v>
      </c>
      <c r="U1744" s="424">
        <v>0</v>
      </c>
      <c r="V1744" s="424" t="s">
        <v>6926</v>
      </c>
      <c r="W1744" s="424" t="s">
        <v>3055</v>
      </c>
      <c r="X1744" s="424" t="s">
        <v>2224</v>
      </c>
      <c r="Y1744" s="424" t="s">
        <v>2279</v>
      </c>
      <c r="Z1744" s="424" t="s">
        <v>2848</v>
      </c>
      <c r="AA1744" s="424" t="s">
        <v>2855</v>
      </c>
      <c r="AB1744" s="424" t="s">
        <v>7371</v>
      </c>
      <c r="AC1744" s="424" t="s">
        <v>1953</v>
      </c>
      <c r="AD1744" s="424" t="s">
        <v>2851</v>
      </c>
      <c r="AE1744" s="424" t="s">
        <v>3168</v>
      </c>
      <c r="AF1744" s="424"/>
      <c r="AG1744" s="424"/>
      <c r="AH1744" s="424"/>
    </row>
    <row r="1745" spans="1:34" x14ac:dyDescent="0.25">
      <c r="A1745" s="423" t="s">
        <v>7353</v>
      </c>
      <c r="B1745" s="423" t="s">
        <v>7372</v>
      </c>
      <c r="C1745" s="423" t="s">
        <v>204</v>
      </c>
      <c r="D1745" s="423" t="s">
        <v>7355</v>
      </c>
      <c r="E1745" s="423" t="s">
        <v>203</v>
      </c>
      <c r="F1745" s="423">
        <v>18</v>
      </c>
      <c r="G1745" s="423">
        <v>128</v>
      </c>
      <c r="H1745" s="423">
        <v>1010</v>
      </c>
      <c r="J1745" s="423"/>
      <c r="K1745" s="423"/>
      <c r="L1745" s="423"/>
      <c r="M1745" s="423"/>
      <c r="Q1745" s="423"/>
      <c r="R1745" s="424" t="s">
        <v>7373</v>
      </c>
      <c r="S1745" s="424" t="s">
        <v>2846</v>
      </c>
      <c r="T1745" s="424" t="s">
        <v>7370</v>
      </c>
      <c r="U1745" s="424">
        <v>0</v>
      </c>
      <c r="V1745" s="424" t="s">
        <v>6926</v>
      </c>
      <c r="W1745" s="424" t="s">
        <v>3055</v>
      </c>
      <c r="X1745" s="424" t="s">
        <v>2224</v>
      </c>
      <c r="Y1745" s="424" t="s">
        <v>2279</v>
      </c>
      <c r="Z1745" s="424" t="s">
        <v>2848</v>
      </c>
      <c r="AA1745" s="424" t="s">
        <v>2855</v>
      </c>
      <c r="AB1745" s="424" t="s">
        <v>5640</v>
      </c>
      <c r="AC1745" s="424" t="s">
        <v>1953</v>
      </c>
      <c r="AD1745" s="424" t="s">
        <v>2851</v>
      </c>
      <c r="AE1745" s="424" t="s">
        <v>2857</v>
      </c>
      <c r="AF1745" s="424"/>
      <c r="AG1745" s="424"/>
      <c r="AH1745" s="424"/>
    </row>
    <row r="1746" spans="1:34" x14ac:dyDescent="0.25">
      <c r="A1746" s="423" t="s">
        <v>7353</v>
      </c>
      <c r="B1746" s="423" t="s">
        <v>7374</v>
      </c>
      <c r="C1746" s="423" t="s">
        <v>204</v>
      </c>
      <c r="D1746" s="423" t="s">
        <v>7355</v>
      </c>
      <c r="E1746" s="423" t="s">
        <v>203</v>
      </c>
      <c r="F1746" s="423">
        <v>18</v>
      </c>
      <c r="G1746" s="423">
        <v>128</v>
      </c>
      <c r="H1746" s="423">
        <v>410</v>
      </c>
      <c r="J1746" s="423"/>
      <c r="K1746" s="423"/>
      <c r="L1746" s="423"/>
      <c r="M1746" s="423"/>
      <c r="Q1746" s="423"/>
      <c r="R1746" s="424" t="s">
        <v>7375</v>
      </c>
      <c r="S1746" s="424" t="s">
        <v>2846</v>
      </c>
      <c r="T1746" s="424" t="s">
        <v>7370</v>
      </c>
      <c r="U1746" s="424">
        <v>0</v>
      </c>
      <c r="V1746" s="424" t="s">
        <v>6926</v>
      </c>
      <c r="W1746" s="424" t="s">
        <v>3055</v>
      </c>
      <c r="X1746" s="424" t="s">
        <v>2224</v>
      </c>
      <c r="Y1746" s="424" t="s">
        <v>2279</v>
      </c>
      <c r="Z1746" s="424" t="s">
        <v>2848</v>
      </c>
      <c r="AA1746" s="424" t="s">
        <v>2855</v>
      </c>
      <c r="AB1746" s="424" t="s">
        <v>3167</v>
      </c>
      <c r="AC1746" s="424" t="s">
        <v>1953</v>
      </c>
      <c r="AD1746" s="424" t="s">
        <v>2851</v>
      </c>
      <c r="AE1746" s="424" t="s">
        <v>3168</v>
      </c>
      <c r="AF1746" s="424"/>
      <c r="AG1746" s="424"/>
      <c r="AH1746" s="424"/>
    </row>
    <row r="1747" spans="1:34" x14ac:dyDescent="0.25">
      <c r="A1747" s="423" t="s">
        <v>7376</v>
      </c>
      <c r="B1747" s="423" t="s">
        <v>7377</v>
      </c>
      <c r="C1747" s="423" t="s">
        <v>7378</v>
      </c>
      <c r="D1747" s="423" t="s">
        <v>6871</v>
      </c>
      <c r="E1747" s="423" t="s">
        <v>203</v>
      </c>
      <c r="F1747" s="423">
        <v>2</v>
      </c>
      <c r="G1747" s="423">
        <v>6</v>
      </c>
      <c r="H1747" s="423">
        <v>600</v>
      </c>
      <c r="J1747" s="423"/>
      <c r="K1747" s="423"/>
      <c r="L1747" s="423"/>
      <c r="M1747" s="423"/>
      <c r="Q1747" s="423"/>
      <c r="R1747" s="424" t="s">
        <v>7379</v>
      </c>
      <c r="S1747" s="424" t="s">
        <v>2846</v>
      </c>
      <c r="T1747" s="424" t="s">
        <v>3268</v>
      </c>
      <c r="U1747" s="424">
        <v>0</v>
      </c>
      <c r="V1747" s="424" t="s">
        <v>3269</v>
      </c>
      <c r="W1747" s="424" t="s">
        <v>3176</v>
      </c>
      <c r="X1747" s="424" t="s">
        <v>2825</v>
      </c>
      <c r="Y1747" s="424" t="s">
        <v>2279</v>
      </c>
      <c r="Z1747" s="424" t="s">
        <v>3260</v>
      </c>
      <c r="AA1747" s="424" t="s">
        <v>3197</v>
      </c>
      <c r="AB1747" s="424" t="s">
        <v>3292</v>
      </c>
      <c r="AC1747" s="424" t="s">
        <v>1953</v>
      </c>
      <c r="AD1747" s="424" t="s">
        <v>2851</v>
      </c>
      <c r="AE1747" s="424" t="s">
        <v>3293</v>
      </c>
      <c r="AF1747" s="424"/>
      <c r="AG1747" s="424"/>
      <c r="AH1747" s="424"/>
    </row>
    <row r="1748" spans="1:34" x14ac:dyDescent="0.25">
      <c r="A1748" s="423" t="s">
        <v>7376</v>
      </c>
      <c r="B1748" s="423" t="s">
        <v>7380</v>
      </c>
      <c r="C1748" s="423" t="s">
        <v>7378</v>
      </c>
      <c r="D1748" s="423" t="s">
        <v>6871</v>
      </c>
      <c r="E1748" s="423" t="s">
        <v>203</v>
      </c>
      <c r="F1748" s="423">
        <v>4</v>
      </c>
      <c r="G1748" s="423">
        <v>6</v>
      </c>
      <c r="H1748" s="423">
        <v>600</v>
      </c>
      <c r="J1748" s="423"/>
      <c r="K1748" s="423"/>
      <c r="L1748" s="423"/>
      <c r="M1748" s="423"/>
      <c r="Q1748" s="423"/>
      <c r="R1748" s="424" t="s">
        <v>7381</v>
      </c>
      <c r="S1748" s="424" t="s">
        <v>2846</v>
      </c>
      <c r="T1748" s="424" t="s">
        <v>3268</v>
      </c>
      <c r="U1748" s="424">
        <v>0</v>
      </c>
      <c r="V1748" s="424" t="s">
        <v>3269</v>
      </c>
      <c r="W1748" s="424" t="s">
        <v>3176</v>
      </c>
      <c r="X1748" s="424" t="s">
        <v>2825</v>
      </c>
      <c r="Y1748" s="424" t="s">
        <v>2279</v>
      </c>
      <c r="Z1748" s="424" t="s">
        <v>3260</v>
      </c>
      <c r="AA1748" s="424" t="s">
        <v>3197</v>
      </c>
      <c r="AB1748" s="424" t="s">
        <v>7382</v>
      </c>
      <c r="AC1748" s="424" t="s">
        <v>1953</v>
      </c>
      <c r="AD1748" s="424" t="s">
        <v>2851</v>
      </c>
      <c r="AE1748" s="424" t="s">
        <v>3674</v>
      </c>
      <c r="AF1748" s="424"/>
      <c r="AG1748" s="424"/>
      <c r="AH1748" s="424"/>
    </row>
    <row r="1749" spans="1:34" x14ac:dyDescent="0.25">
      <c r="A1749" s="423" t="s">
        <v>7376</v>
      </c>
      <c r="B1749" s="423" t="s">
        <v>7383</v>
      </c>
      <c r="C1749" s="423" t="s">
        <v>7378</v>
      </c>
      <c r="D1749" s="423" t="s">
        <v>6871</v>
      </c>
      <c r="E1749" s="423" t="s">
        <v>203</v>
      </c>
      <c r="F1749" s="423">
        <v>2</v>
      </c>
      <c r="G1749" s="423">
        <v>5</v>
      </c>
      <c r="H1749" s="423">
        <v>500</v>
      </c>
      <c r="J1749" s="423"/>
      <c r="K1749" s="423"/>
      <c r="L1749" s="423"/>
      <c r="M1749" s="423"/>
      <c r="Q1749" s="423"/>
      <c r="R1749" s="424" t="s">
        <v>7383</v>
      </c>
      <c r="S1749" s="424" t="s">
        <v>2846</v>
      </c>
      <c r="T1749" s="424" t="s">
        <v>3268</v>
      </c>
      <c r="U1749" s="424">
        <v>0</v>
      </c>
      <c r="V1749" s="424" t="s">
        <v>3269</v>
      </c>
      <c r="W1749" s="424" t="s">
        <v>3176</v>
      </c>
      <c r="X1749" s="424" t="s">
        <v>2825</v>
      </c>
      <c r="Y1749" s="424" t="s">
        <v>2279</v>
      </c>
      <c r="Z1749" s="424" t="s">
        <v>3260</v>
      </c>
      <c r="AA1749" s="424" t="s">
        <v>3197</v>
      </c>
      <c r="AB1749" s="424" t="s">
        <v>6964</v>
      </c>
      <c r="AC1749" s="424" t="s">
        <v>1953</v>
      </c>
      <c r="AD1749" s="424" t="s">
        <v>2851</v>
      </c>
      <c r="AE1749" s="424" t="s">
        <v>3674</v>
      </c>
      <c r="AF1749" s="424"/>
      <c r="AG1749" s="424"/>
      <c r="AH1749" s="424"/>
    </row>
    <row r="1750" spans="1:34" x14ac:dyDescent="0.25">
      <c r="A1750" s="423" t="s">
        <v>7376</v>
      </c>
      <c r="B1750" s="423" t="s">
        <v>7384</v>
      </c>
      <c r="C1750" s="423" t="s">
        <v>7378</v>
      </c>
      <c r="D1750" s="423" t="s">
        <v>6871</v>
      </c>
      <c r="E1750" s="423" t="s">
        <v>203</v>
      </c>
      <c r="F1750" s="423">
        <v>4</v>
      </c>
      <c r="G1750" s="423">
        <v>5</v>
      </c>
      <c r="H1750" s="423">
        <v>500</v>
      </c>
      <c r="J1750" s="423"/>
      <c r="K1750" s="423"/>
      <c r="L1750" s="423"/>
      <c r="M1750" s="423"/>
      <c r="Q1750" s="423"/>
      <c r="R1750" s="424" t="s">
        <v>7384</v>
      </c>
      <c r="S1750" s="424" t="s">
        <v>2846</v>
      </c>
      <c r="T1750" s="424" t="s">
        <v>3268</v>
      </c>
      <c r="U1750" s="424">
        <v>0</v>
      </c>
      <c r="V1750" s="424" t="s">
        <v>3269</v>
      </c>
      <c r="W1750" s="424" t="s">
        <v>3054</v>
      </c>
      <c r="X1750" s="424" t="s">
        <v>2825</v>
      </c>
      <c r="Y1750" s="424" t="s">
        <v>2279</v>
      </c>
      <c r="Z1750" s="424" t="s">
        <v>2848</v>
      </c>
      <c r="AA1750" s="424" t="s">
        <v>3927</v>
      </c>
      <c r="AB1750" s="424" t="s">
        <v>7385</v>
      </c>
      <c r="AC1750" s="424" t="s">
        <v>1953</v>
      </c>
      <c r="AD1750" s="424" t="s">
        <v>2851</v>
      </c>
      <c r="AE1750" s="424" t="s">
        <v>3719</v>
      </c>
      <c r="AF1750" s="424"/>
      <c r="AG1750" s="424"/>
      <c r="AH1750" s="424"/>
    </row>
    <row r="1751" spans="1:34" x14ac:dyDescent="0.25">
      <c r="A1751" s="423" t="s">
        <v>7386</v>
      </c>
      <c r="B1751" s="423" t="s">
        <v>7387</v>
      </c>
      <c r="C1751" s="423" t="s">
        <v>7378</v>
      </c>
      <c r="D1751" s="423" t="s">
        <v>6871</v>
      </c>
      <c r="E1751" s="423" t="s">
        <v>203</v>
      </c>
      <c r="F1751" s="423"/>
      <c r="G1751" s="423"/>
      <c r="H1751" s="423"/>
      <c r="J1751" s="423"/>
      <c r="K1751" s="423"/>
      <c r="L1751" s="423"/>
      <c r="M1751" s="423"/>
      <c r="Q1751" s="423"/>
      <c r="R1751" s="424" t="s">
        <v>7387</v>
      </c>
      <c r="S1751" s="424" t="s">
        <v>2846</v>
      </c>
      <c r="T1751" s="424" t="s">
        <v>5019</v>
      </c>
      <c r="U1751" s="424">
        <v>0</v>
      </c>
      <c r="V1751" s="424" t="s">
        <v>3269</v>
      </c>
      <c r="W1751" s="424" t="s">
        <v>3176</v>
      </c>
      <c r="X1751" s="424" t="s">
        <v>7388</v>
      </c>
      <c r="Y1751" s="424" t="s">
        <v>2279</v>
      </c>
      <c r="Z1751" s="424" t="s">
        <v>3260</v>
      </c>
      <c r="AA1751" s="424" t="s">
        <v>3274</v>
      </c>
      <c r="AB1751" s="424" t="s">
        <v>3340</v>
      </c>
      <c r="AC1751" s="424" t="s">
        <v>1953</v>
      </c>
      <c r="AD1751" s="424" t="s">
        <v>2851</v>
      </c>
      <c r="AE1751" s="424" t="s">
        <v>3341</v>
      </c>
      <c r="AF1751" s="424"/>
      <c r="AG1751" s="424"/>
      <c r="AH1751" s="424"/>
    </row>
    <row r="1752" spans="1:34" x14ac:dyDescent="0.25">
      <c r="A1752" s="423" t="s">
        <v>7386</v>
      </c>
      <c r="B1752" s="423" t="s">
        <v>7389</v>
      </c>
      <c r="C1752" s="423" t="s">
        <v>7378</v>
      </c>
      <c r="D1752" s="423" t="s">
        <v>6871</v>
      </c>
      <c r="E1752" s="423" t="s">
        <v>203</v>
      </c>
      <c r="F1752" s="423"/>
      <c r="G1752" s="423"/>
      <c r="H1752" s="423"/>
      <c r="J1752" s="423"/>
      <c r="K1752" s="423"/>
      <c r="L1752" s="423"/>
      <c r="M1752" s="423"/>
      <c r="Q1752" s="423"/>
      <c r="R1752" s="424" t="s">
        <v>7389</v>
      </c>
      <c r="S1752" s="424" t="s">
        <v>2846</v>
      </c>
      <c r="T1752" s="424" t="s">
        <v>5019</v>
      </c>
      <c r="U1752" s="424">
        <v>0</v>
      </c>
      <c r="V1752" s="424" t="s">
        <v>3269</v>
      </c>
      <c r="W1752" s="424" t="s">
        <v>3176</v>
      </c>
      <c r="X1752" s="424" t="s">
        <v>7388</v>
      </c>
      <c r="Y1752" s="424" t="s">
        <v>2279</v>
      </c>
      <c r="Z1752" s="424" t="s">
        <v>3260</v>
      </c>
      <c r="AA1752" s="424" t="s">
        <v>3274</v>
      </c>
      <c r="AB1752" s="424" t="s">
        <v>5660</v>
      </c>
      <c r="AC1752" s="424" t="s">
        <v>1953</v>
      </c>
      <c r="AD1752" s="424" t="s">
        <v>2851</v>
      </c>
      <c r="AE1752" s="424" t="s">
        <v>5661</v>
      </c>
      <c r="AF1752" s="424"/>
      <c r="AG1752" s="424"/>
      <c r="AH1752" s="424"/>
    </row>
    <row r="1753" spans="1:34" x14ac:dyDescent="0.25">
      <c r="A1753" s="423" t="s">
        <v>7386</v>
      </c>
      <c r="B1753" s="423" t="s">
        <v>7390</v>
      </c>
      <c r="C1753" s="423" t="s">
        <v>7378</v>
      </c>
      <c r="D1753" s="423" t="s">
        <v>6871</v>
      </c>
      <c r="E1753" s="423" t="s">
        <v>203</v>
      </c>
      <c r="F1753" s="423"/>
      <c r="G1753" s="423"/>
      <c r="H1753" s="423"/>
      <c r="J1753" s="423"/>
      <c r="K1753" s="423"/>
      <c r="L1753" s="423"/>
      <c r="M1753" s="423"/>
      <c r="Q1753" s="423"/>
      <c r="R1753" s="424" t="s">
        <v>7390</v>
      </c>
      <c r="S1753" s="424" t="s">
        <v>2846</v>
      </c>
      <c r="T1753" s="424" t="s">
        <v>5019</v>
      </c>
      <c r="U1753" s="424">
        <v>0</v>
      </c>
      <c r="V1753" s="424" t="s">
        <v>3269</v>
      </c>
      <c r="W1753" s="424" t="s">
        <v>3176</v>
      </c>
      <c r="X1753" s="424" t="s">
        <v>7388</v>
      </c>
      <c r="Y1753" s="424" t="s">
        <v>2279</v>
      </c>
      <c r="Z1753" s="424" t="s">
        <v>3260</v>
      </c>
      <c r="AA1753" s="424" t="s">
        <v>3274</v>
      </c>
      <c r="AB1753" s="424" t="s">
        <v>7391</v>
      </c>
      <c r="AC1753" s="424" t="s">
        <v>1953</v>
      </c>
      <c r="AD1753" s="424" t="s">
        <v>2851</v>
      </c>
      <c r="AE1753" s="424" t="s">
        <v>3341</v>
      </c>
      <c r="AF1753" s="424"/>
      <c r="AG1753" s="424"/>
      <c r="AH1753" s="424"/>
    </row>
    <row r="1754" spans="1:34" x14ac:dyDescent="0.25">
      <c r="A1754" s="423" t="s">
        <v>7386</v>
      </c>
      <c r="B1754" s="423" t="s">
        <v>7392</v>
      </c>
      <c r="C1754" s="423" t="s">
        <v>7378</v>
      </c>
      <c r="D1754" s="423" t="s">
        <v>6871</v>
      </c>
      <c r="E1754" s="423" t="s">
        <v>203</v>
      </c>
      <c r="F1754" s="423"/>
      <c r="G1754" s="423"/>
      <c r="H1754" s="423"/>
      <c r="J1754" s="423"/>
      <c r="K1754" s="423"/>
      <c r="L1754" s="423"/>
      <c r="M1754" s="423"/>
      <c r="Q1754" s="423"/>
      <c r="R1754" s="424" t="s">
        <v>7392</v>
      </c>
      <c r="S1754" s="424" t="s">
        <v>2846</v>
      </c>
      <c r="T1754" s="424" t="s">
        <v>5019</v>
      </c>
      <c r="U1754" s="424">
        <v>0</v>
      </c>
      <c r="V1754" s="424" t="s">
        <v>3269</v>
      </c>
      <c r="W1754" s="424" t="s">
        <v>3176</v>
      </c>
      <c r="X1754" s="424" t="s">
        <v>7388</v>
      </c>
      <c r="Y1754" s="424" t="s">
        <v>2279</v>
      </c>
      <c r="Z1754" s="424" t="s">
        <v>3260</v>
      </c>
      <c r="AA1754" s="424" t="s">
        <v>3274</v>
      </c>
      <c r="AB1754" s="424" t="s">
        <v>3343</v>
      </c>
      <c r="AC1754" s="424" t="s">
        <v>1953</v>
      </c>
      <c r="AD1754" s="424" t="s">
        <v>2851</v>
      </c>
      <c r="AE1754" s="424" t="s">
        <v>3341</v>
      </c>
      <c r="AF1754" s="424"/>
      <c r="AG1754" s="424"/>
      <c r="AH1754" s="424"/>
    </row>
    <row r="1755" spans="1:34" x14ac:dyDescent="0.25">
      <c r="A1755" s="423" t="s">
        <v>7386</v>
      </c>
      <c r="B1755" s="423" t="s">
        <v>7393</v>
      </c>
      <c r="C1755" s="423" t="s">
        <v>7378</v>
      </c>
      <c r="D1755" s="423" t="s">
        <v>6871</v>
      </c>
      <c r="E1755" s="423" t="s">
        <v>203</v>
      </c>
      <c r="F1755" s="423"/>
      <c r="G1755" s="423"/>
      <c r="H1755" s="423"/>
      <c r="J1755" s="423"/>
      <c r="K1755" s="423"/>
      <c r="L1755" s="423"/>
      <c r="M1755" s="423"/>
      <c r="Q1755" s="423"/>
      <c r="R1755" s="424" t="s">
        <v>7393</v>
      </c>
      <c r="S1755" s="424" t="s">
        <v>2846</v>
      </c>
      <c r="T1755" s="424" t="s">
        <v>5019</v>
      </c>
      <c r="U1755" s="424">
        <v>0</v>
      </c>
      <c r="V1755" s="424" t="s">
        <v>3269</v>
      </c>
      <c r="W1755" s="424" t="s">
        <v>3176</v>
      </c>
      <c r="X1755" s="424" t="s">
        <v>7388</v>
      </c>
      <c r="Y1755" s="424" t="s">
        <v>2279</v>
      </c>
      <c r="Z1755" s="424" t="s">
        <v>3260</v>
      </c>
      <c r="AA1755" s="424" t="s">
        <v>3274</v>
      </c>
      <c r="AB1755" s="424" t="s">
        <v>7391</v>
      </c>
      <c r="AC1755" s="424" t="s">
        <v>1953</v>
      </c>
      <c r="AD1755" s="424" t="s">
        <v>2851</v>
      </c>
      <c r="AE1755" s="424" t="s">
        <v>3341</v>
      </c>
      <c r="AF1755" s="424"/>
      <c r="AG1755" s="424"/>
      <c r="AH1755" s="424"/>
    </row>
    <row r="1756" spans="1:34" x14ac:dyDescent="0.25">
      <c r="A1756" s="423" t="s">
        <v>7386</v>
      </c>
      <c r="B1756" s="423" t="s">
        <v>7394</v>
      </c>
      <c r="C1756" s="423" t="s">
        <v>7378</v>
      </c>
      <c r="D1756" s="423" t="s">
        <v>6871</v>
      </c>
      <c r="E1756" s="423" t="s">
        <v>203</v>
      </c>
      <c r="F1756" s="423"/>
      <c r="G1756" s="423"/>
      <c r="H1756" s="423"/>
      <c r="J1756" s="423"/>
      <c r="K1756" s="423"/>
      <c r="L1756" s="423"/>
      <c r="M1756" s="423"/>
      <c r="Q1756" s="423"/>
      <c r="R1756" s="424" t="s">
        <v>7394</v>
      </c>
      <c r="S1756" s="424" t="s">
        <v>2846</v>
      </c>
      <c r="T1756" s="424" t="s">
        <v>3356</v>
      </c>
      <c r="U1756" s="424">
        <v>0</v>
      </c>
      <c r="V1756" s="424" t="s">
        <v>2824</v>
      </c>
      <c r="W1756" s="424" t="s">
        <v>3055</v>
      </c>
      <c r="X1756" s="424" t="s">
        <v>7388</v>
      </c>
      <c r="Y1756" s="424" t="s">
        <v>2279</v>
      </c>
      <c r="Z1756" s="424" t="s">
        <v>2848</v>
      </c>
      <c r="AA1756" s="424" t="s">
        <v>2855</v>
      </c>
      <c r="AB1756" s="424" t="s">
        <v>4426</v>
      </c>
      <c r="AC1756" s="424" t="s">
        <v>1953</v>
      </c>
      <c r="AD1756" s="424" t="s">
        <v>2851</v>
      </c>
      <c r="AE1756" s="424" t="s">
        <v>3168</v>
      </c>
      <c r="AF1756" s="424"/>
      <c r="AG1756" s="424"/>
      <c r="AH1756" s="424"/>
    </row>
    <row r="1757" spans="1:34" x14ac:dyDescent="0.25">
      <c r="A1757" s="423" t="s">
        <v>7386</v>
      </c>
      <c r="B1757" s="423" t="s">
        <v>7395</v>
      </c>
      <c r="C1757" s="423" t="s">
        <v>7378</v>
      </c>
      <c r="D1757" s="423" t="s">
        <v>6871</v>
      </c>
      <c r="E1757" s="423" t="s">
        <v>203</v>
      </c>
      <c r="F1757" s="423"/>
      <c r="G1757" s="423"/>
      <c r="H1757" s="423"/>
      <c r="J1757" s="423"/>
      <c r="K1757" s="423"/>
      <c r="L1757" s="423"/>
      <c r="M1757" s="423"/>
      <c r="Q1757" s="423"/>
      <c r="R1757" s="424" t="s">
        <v>7395</v>
      </c>
      <c r="S1757" s="424" t="s">
        <v>2846</v>
      </c>
      <c r="T1757" s="424" t="s">
        <v>3356</v>
      </c>
      <c r="U1757" s="424">
        <v>0</v>
      </c>
      <c r="V1757" s="424" t="s">
        <v>2824</v>
      </c>
      <c r="W1757" s="424" t="s">
        <v>2974</v>
      </c>
      <c r="X1757" s="424" t="s">
        <v>7388</v>
      </c>
      <c r="Y1757" s="424" t="s">
        <v>2279</v>
      </c>
      <c r="Z1757" s="424" t="s">
        <v>2848</v>
      </c>
      <c r="AA1757" s="424" t="s">
        <v>2849</v>
      </c>
      <c r="AB1757" s="424" t="s">
        <v>7396</v>
      </c>
      <c r="AC1757" s="424" t="s">
        <v>1953</v>
      </c>
      <c r="AD1757" s="424" t="s">
        <v>2851</v>
      </c>
      <c r="AE1757" s="424" t="s">
        <v>3467</v>
      </c>
      <c r="AF1757" s="424"/>
      <c r="AG1757" s="424"/>
      <c r="AH1757" s="424"/>
    </row>
    <row r="1758" spans="1:34" x14ac:dyDescent="0.25">
      <c r="A1758" s="423" t="s">
        <v>7386</v>
      </c>
      <c r="B1758" s="423" t="s">
        <v>7397</v>
      </c>
      <c r="C1758" s="423" t="s">
        <v>7378</v>
      </c>
      <c r="D1758" s="423" t="s">
        <v>6871</v>
      </c>
      <c r="E1758" s="423" t="s">
        <v>203</v>
      </c>
      <c r="F1758" s="423"/>
      <c r="G1758" s="423"/>
      <c r="H1758" s="423"/>
      <c r="J1758" s="423"/>
      <c r="K1758" s="423"/>
      <c r="L1758" s="423"/>
      <c r="M1758" s="423"/>
      <c r="Q1758" s="423"/>
      <c r="R1758" s="424" t="s">
        <v>7397</v>
      </c>
      <c r="S1758" s="424" t="s">
        <v>2846</v>
      </c>
      <c r="T1758" s="424" t="s">
        <v>3356</v>
      </c>
      <c r="U1758" s="424">
        <v>0</v>
      </c>
      <c r="V1758" s="424" t="s">
        <v>2824</v>
      </c>
      <c r="W1758" s="424" t="s">
        <v>3054</v>
      </c>
      <c r="X1758" s="424" t="s">
        <v>7388</v>
      </c>
      <c r="Y1758" s="424" t="s">
        <v>2279</v>
      </c>
      <c r="Z1758" s="424" t="s">
        <v>2848</v>
      </c>
      <c r="AA1758" s="424" t="s">
        <v>3927</v>
      </c>
      <c r="AB1758" s="424" t="s">
        <v>7398</v>
      </c>
      <c r="AC1758" s="424" t="s">
        <v>1953</v>
      </c>
      <c r="AD1758" s="424" t="s">
        <v>2851</v>
      </c>
      <c r="AE1758" s="424" t="s">
        <v>3719</v>
      </c>
      <c r="AF1758" s="424"/>
      <c r="AG1758" s="424"/>
      <c r="AH1758" s="424"/>
    </row>
    <row r="1759" spans="1:34" x14ac:dyDescent="0.25">
      <c r="A1759" s="423" t="s">
        <v>7386</v>
      </c>
      <c r="B1759" s="423" t="s">
        <v>7399</v>
      </c>
      <c r="C1759" s="423" t="s">
        <v>7378</v>
      </c>
      <c r="D1759" s="423" t="s">
        <v>6871</v>
      </c>
      <c r="E1759" s="423" t="s">
        <v>203</v>
      </c>
      <c r="F1759" s="423"/>
      <c r="G1759" s="423"/>
      <c r="H1759" s="423"/>
      <c r="J1759" s="423"/>
      <c r="K1759" s="423"/>
      <c r="L1759" s="423"/>
      <c r="M1759" s="423"/>
      <c r="Q1759" s="423"/>
      <c r="R1759" s="424" t="s">
        <v>7400</v>
      </c>
      <c r="S1759" s="424" t="s">
        <v>2846</v>
      </c>
      <c r="T1759" s="424" t="s">
        <v>3356</v>
      </c>
      <c r="U1759" s="424">
        <v>0</v>
      </c>
      <c r="V1759" s="424" t="s">
        <v>2824</v>
      </c>
      <c r="W1759" s="424" t="s">
        <v>3054</v>
      </c>
      <c r="X1759" s="424" t="s">
        <v>7388</v>
      </c>
      <c r="Y1759" s="424" t="s">
        <v>2279</v>
      </c>
      <c r="Z1759" s="424" t="s">
        <v>2848</v>
      </c>
      <c r="AA1759" s="424" t="s">
        <v>2855</v>
      </c>
      <c r="AB1759" s="424" t="s">
        <v>7401</v>
      </c>
      <c r="AC1759" s="424" t="s">
        <v>1953</v>
      </c>
      <c r="AD1759" s="424" t="s">
        <v>2851</v>
      </c>
      <c r="AE1759" s="424" t="s">
        <v>3719</v>
      </c>
      <c r="AF1759" s="424"/>
      <c r="AG1759" s="424"/>
      <c r="AH1759" s="424"/>
    </row>
    <row r="1760" spans="1:34" x14ac:dyDescent="0.25">
      <c r="A1760" s="423" t="s">
        <v>7386</v>
      </c>
      <c r="B1760" s="423" t="s">
        <v>7402</v>
      </c>
      <c r="C1760" s="423" t="s">
        <v>7378</v>
      </c>
      <c r="D1760" s="423" t="s">
        <v>6871</v>
      </c>
      <c r="E1760" s="423" t="s">
        <v>203</v>
      </c>
      <c r="F1760" s="423"/>
      <c r="G1760" s="423"/>
      <c r="H1760" s="423"/>
      <c r="J1760" s="423"/>
      <c r="K1760" s="423"/>
      <c r="L1760" s="423"/>
      <c r="M1760" s="423"/>
      <c r="Q1760" s="423"/>
      <c r="R1760" s="424" t="s">
        <v>7403</v>
      </c>
      <c r="S1760" s="424" t="s">
        <v>2846</v>
      </c>
      <c r="T1760" s="424" t="s">
        <v>3356</v>
      </c>
      <c r="U1760" s="424">
        <v>0</v>
      </c>
      <c r="V1760" s="424" t="s">
        <v>2824</v>
      </c>
      <c r="W1760" s="424" t="s">
        <v>2871</v>
      </c>
      <c r="X1760" s="424" t="s">
        <v>7388</v>
      </c>
      <c r="Y1760" s="424" t="s">
        <v>2279</v>
      </c>
      <c r="Z1760" s="424" t="s">
        <v>2848</v>
      </c>
      <c r="AA1760" s="424" t="s">
        <v>3927</v>
      </c>
      <c r="AB1760" s="424" t="s">
        <v>7404</v>
      </c>
      <c r="AC1760" s="424" t="s">
        <v>1953</v>
      </c>
      <c r="AD1760" s="424" t="s">
        <v>2851</v>
      </c>
      <c r="AE1760" s="424" t="s">
        <v>3719</v>
      </c>
      <c r="AF1760" s="424"/>
      <c r="AG1760" s="424"/>
      <c r="AH1760" s="424"/>
    </row>
    <row r="1761" spans="1:34" x14ac:dyDescent="0.25">
      <c r="A1761" s="423" t="s">
        <v>7386</v>
      </c>
      <c r="B1761" s="423" t="s">
        <v>7405</v>
      </c>
      <c r="C1761" s="423" t="s">
        <v>7378</v>
      </c>
      <c r="D1761" s="423" t="s">
        <v>6871</v>
      </c>
      <c r="E1761" s="423" t="s">
        <v>203</v>
      </c>
      <c r="F1761" s="423"/>
      <c r="G1761" s="423"/>
      <c r="H1761" s="423"/>
      <c r="J1761" s="423"/>
      <c r="K1761" s="423"/>
      <c r="L1761" s="423"/>
      <c r="M1761" s="423"/>
      <c r="Q1761" s="423"/>
      <c r="R1761" s="424" t="s">
        <v>7406</v>
      </c>
      <c r="S1761" s="424" t="s">
        <v>2846</v>
      </c>
      <c r="T1761" s="424" t="s">
        <v>3356</v>
      </c>
      <c r="U1761" s="424">
        <v>0</v>
      </c>
      <c r="V1761" s="424" t="s">
        <v>2824</v>
      </c>
      <c r="W1761" s="424" t="s">
        <v>2974</v>
      </c>
      <c r="X1761" s="424" t="s">
        <v>7388</v>
      </c>
      <c r="Y1761" s="424" t="s">
        <v>2279</v>
      </c>
      <c r="Z1761" s="424" t="s">
        <v>2848</v>
      </c>
      <c r="AA1761" s="424" t="s">
        <v>2849</v>
      </c>
      <c r="AB1761" s="424" t="s">
        <v>5020</v>
      </c>
      <c r="AC1761" s="424" t="s">
        <v>1953</v>
      </c>
      <c r="AD1761" s="424" t="s">
        <v>2851</v>
      </c>
      <c r="AE1761" s="424" t="s">
        <v>3154</v>
      </c>
      <c r="AF1761" s="424"/>
      <c r="AG1761" s="424"/>
      <c r="AH1761" s="424"/>
    </row>
    <row r="1762" spans="1:34" x14ac:dyDescent="0.25">
      <c r="A1762" s="423" t="s">
        <v>7386</v>
      </c>
      <c r="B1762" s="423" t="s">
        <v>7407</v>
      </c>
      <c r="C1762" s="423" t="s">
        <v>7378</v>
      </c>
      <c r="D1762" s="423" t="s">
        <v>6871</v>
      </c>
      <c r="E1762" s="423" t="s">
        <v>203</v>
      </c>
      <c r="F1762" s="423"/>
      <c r="G1762" s="423"/>
      <c r="H1762" s="423"/>
      <c r="J1762" s="423"/>
      <c r="K1762" s="423"/>
      <c r="L1762" s="423"/>
      <c r="M1762" s="423"/>
      <c r="Q1762" s="423"/>
      <c r="R1762" s="424" t="s">
        <v>7408</v>
      </c>
      <c r="S1762" s="424" t="s">
        <v>2846</v>
      </c>
      <c r="T1762" s="424" t="s">
        <v>3356</v>
      </c>
      <c r="U1762" s="424">
        <v>0</v>
      </c>
      <c r="V1762" s="424" t="s">
        <v>2824</v>
      </c>
      <c r="W1762" s="424" t="s">
        <v>3055</v>
      </c>
      <c r="X1762" s="424" t="s">
        <v>7388</v>
      </c>
      <c r="Y1762" s="424" t="s">
        <v>2279</v>
      </c>
      <c r="Z1762" s="424" t="s">
        <v>2848</v>
      </c>
      <c r="AA1762" s="424" t="s">
        <v>2855</v>
      </c>
      <c r="AB1762" s="424" t="s">
        <v>3255</v>
      </c>
      <c r="AC1762" s="424" t="s">
        <v>1953</v>
      </c>
      <c r="AD1762" s="424" t="s">
        <v>2851</v>
      </c>
      <c r="AE1762" s="424" t="s">
        <v>3168</v>
      </c>
      <c r="AF1762" s="424"/>
      <c r="AG1762" s="424"/>
      <c r="AH1762" s="424"/>
    </row>
    <row r="1763" spans="1:34" x14ac:dyDescent="0.25">
      <c r="A1763" s="423" t="s">
        <v>7386</v>
      </c>
      <c r="B1763" s="423" t="s">
        <v>7409</v>
      </c>
      <c r="C1763" s="423" t="s">
        <v>7378</v>
      </c>
      <c r="D1763" s="423" t="s">
        <v>6871</v>
      </c>
      <c r="E1763" s="423" t="s">
        <v>203</v>
      </c>
      <c r="F1763" s="423"/>
      <c r="G1763" s="423"/>
      <c r="H1763" s="423"/>
      <c r="J1763" s="423"/>
      <c r="K1763" s="423"/>
      <c r="L1763" s="423"/>
      <c r="M1763" s="423"/>
      <c r="Q1763" s="423"/>
      <c r="R1763" s="424" t="s">
        <v>7409</v>
      </c>
      <c r="S1763" s="424" t="s">
        <v>2846</v>
      </c>
      <c r="T1763" s="424" t="s">
        <v>3356</v>
      </c>
      <c r="U1763" s="424">
        <v>0</v>
      </c>
      <c r="V1763" s="424" t="s">
        <v>2824</v>
      </c>
      <c r="W1763" s="424" t="s">
        <v>2974</v>
      </c>
      <c r="X1763" s="424" t="s">
        <v>7388</v>
      </c>
      <c r="Y1763" s="424" t="s">
        <v>2279</v>
      </c>
      <c r="Z1763" s="424" t="s">
        <v>2848</v>
      </c>
      <c r="AA1763" s="424" t="s">
        <v>2849</v>
      </c>
      <c r="AB1763" s="424" t="s">
        <v>3539</v>
      </c>
      <c r="AC1763" s="424" t="s">
        <v>1953</v>
      </c>
      <c r="AD1763" s="424" t="s">
        <v>2851</v>
      </c>
      <c r="AE1763" s="424" t="s">
        <v>3467</v>
      </c>
      <c r="AF1763" s="424"/>
      <c r="AG1763" s="424"/>
      <c r="AH1763" s="424"/>
    </row>
    <row r="1764" spans="1:34" x14ac:dyDescent="0.25">
      <c r="A1764" s="423" t="s">
        <v>7386</v>
      </c>
      <c r="B1764" s="423" t="s">
        <v>7410</v>
      </c>
      <c r="C1764" s="423" t="s">
        <v>7378</v>
      </c>
      <c r="D1764" s="423" t="s">
        <v>6871</v>
      </c>
      <c r="E1764" s="423" t="s">
        <v>203</v>
      </c>
      <c r="F1764" s="423"/>
      <c r="G1764" s="423"/>
      <c r="H1764" s="423"/>
      <c r="J1764" s="423"/>
      <c r="K1764" s="423"/>
      <c r="L1764" s="423"/>
      <c r="M1764" s="423"/>
      <c r="Q1764" s="423"/>
      <c r="R1764" s="424" t="s">
        <v>7410</v>
      </c>
      <c r="S1764" s="424" t="s">
        <v>2846</v>
      </c>
      <c r="T1764" s="424" t="s">
        <v>3356</v>
      </c>
      <c r="U1764" s="424">
        <v>0</v>
      </c>
      <c r="V1764" s="424" t="s">
        <v>2824</v>
      </c>
      <c r="W1764" s="424" t="s">
        <v>2974</v>
      </c>
      <c r="X1764" s="424" t="s">
        <v>7388</v>
      </c>
      <c r="Y1764" s="424" t="s">
        <v>2279</v>
      </c>
      <c r="Z1764" s="424" t="s">
        <v>2848</v>
      </c>
      <c r="AA1764" s="424" t="s">
        <v>2849</v>
      </c>
      <c r="AB1764" s="424" t="s">
        <v>7411</v>
      </c>
      <c r="AC1764" s="424" t="s">
        <v>1953</v>
      </c>
      <c r="AD1764" s="424" t="s">
        <v>2851</v>
      </c>
      <c r="AE1764" s="424" t="s">
        <v>3467</v>
      </c>
      <c r="AF1764" s="424"/>
      <c r="AG1764" s="424"/>
      <c r="AH1764" s="424"/>
    </row>
    <row r="1765" spans="1:34" x14ac:dyDescent="0.25">
      <c r="A1765" s="423" t="s">
        <v>7386</v>
      </c>
      <c r="B1765" s="423" t="s">
        <v>7412</v>
      </c>
      <c r="C1765" s="423" t="s">
        <v>7378</v>
      </c>
      <c r="D1765" s="423" t="s">
        <v>6871</v>
      </c>
      <c r="E1765" s="423" t="s">
        <v>203</v>
      </c>
      <c r="F1765" s="423">
        <v>24</v>
      </c>
      <c r="G1765" s="423">
        <v>64</v>
      </c>
      <c r="H1765" s="423">
        <v>1500</v>
      </c>
      <c r="J1765" s="423"/>
      <c r="K1765" s="423"/>
      <c r="L1765" s="423"/>
      <c r="M1765" s="423"/>
      <c r="Q1765" s="423"/>
      <c r="R1765" s="424" t="s">
        <v>7412</v>
      </c>
      <c r="S1765" s="424" t="s">
        <v>2846</v>
      </c>
      <c r="T1765" s="424" t="s">
        <v>3356</v>
      </c>
      <c r="U1765" s="424">
        <v>0</v>
      </c>
      <c r="V1765" s="424" t="s">
        <v>2824</v>
      </c>
      <c r="W1765" s="424" t="s">
        <v>2974</v>
      </c>
      <c r="X1765" s="424" t="s">
        <v>7388</v>
      </c>
      <c r="Y1765" s="424" t="s">
        <v>2279</v>
      </c>
      <c r="Z1765" s="424" t="s">
        <v>2848</v>
      </c>
      <c r="AA1765" s="424" t="s">
        <v>2849</v>
      </c>
      <c r="AB1765" s="424" t="s">
        <v>4768</v>
      </c>
      <c r="AC1765" s="424" t="s">
        <v>1953</v>
      </c>
      <c r="AD1765" s="424" t="s">
        <v>2851</v>
      </c>
      <c r="AE1765" s="424" t="s">
        <v>3467</v>
      </c>
      <c r="AF1765" s="424"/>
      <c r="AG1765" s="424"/>
      <c r="AH1765" s="424"/>
    </row>
    <row r="1766" spans="1:34" x14ac:dyDescent="0.25">
      <c r="A1766" s="423" t="s">
        <v>7413</v>
      </c>
      <c r="B1766" s="423" t="s">
        <v>7119</v>
      </c>
      <c r="C1766" s="423" t="s">
        <v>7378</v>
      </c>
      <c r="D1766" s="423" t="s">
        <v>6871</v>
      </c>
      <c r="E1766" s="423" t="s">
        <v>203</v>
      </c>
      <c r="F1766" s="423">
        <v>12</v>
      </c>
      <c r="G1766" s="423">
        <v>16</v>
      </c>
      <c r="H1766" s="423">
        <v>400</v>
      </c>
      <c r="J1766" s="423"/>
      <c r="K1766" s="423"/>
      <c r="L1766" s="423"/>
      <c r="M1766" s="423"/>
      <c r="Q1766" s="423"/>
      <c r="R1766" s="424" t="s">
        <v>7119</v>
      </c>
      <c r="S1766" s="424" t="s">
        <v>2846</v>
      </c>
      <c r="T1766" s="424" t="s">
        <v>3268</v>
      </c>
      <c r="U1766" s="424">
        <v>0</v>
      </c>
      <c r="V1766" s="424" t="s">
        <v>3269</v>
      </c>
      <c r="W1766" s="424" t="s">
        <v>3176</v>
      </c>
      <c r="X1766" s="424" t="s">
        <v>2825</v>
      </c>
      <c r="Y1766" s="424" t="s">
        <v>2279</v>
      </c>
      <c r="Z1766" s="424" t="s">
        <v>3260</v>
      </c>
      <c r="AA1766" s="424" t="s">
        <v>3197</v>
      </c>
      <c r="AB1766" s="424" t="s">
        <v>3533</v>
      </c>
      <c r="AC1766" s="424" t="s">
        <v>1953</v>
      </c>
      <c r="AD1766" s="424" t="s">
        <v>2851</v>
      </c>
      <c r="AE1766" s="424" t="s">
        <v>3293</v>
      </c>
      <c r="AF1766" s="424"/>
      <c r="AG1766" s="424"/>
      <c r="AH1766" s="424"/>
    </row>
    <row r="1767" spans="1:34" x14ac:dyDescent="0.25">
      <c r="A1767" s="423" t="s">
        <v>7413</v>
      </c>
      <c r="B1767" s="423" t="s">
        <v>7120</v>
      </c>
      <c r="C1767" s="423" t="s">
        <v>7378</v>
      </c>
      <c r="D1767" s="423" t="s">
        <v>6871</v>
      </c>
      <c r="E1767" s="423" t="s">
        <v>203</v>
      </c>
      <c r="F1767" s="423">
        <v>12</v>
      </c>
      <c r="G1767" s="423">
        <v>16</v>
      </c>
      <c r="H1767" s="423">
        <v>400</v>
      </c>
      <c r="J1767" s="423"/>
      <c r="K1767" s="423"/>
      <c r="L1767" s="423"/>
      <c r="M1767" s="423"/>
      <c r="Q1767" s="423"/>
      <c r="R1767" s="424" t="s">
        <v>7120</v>
      </c>
      <c r="S1767" s="424" t="s">
        <v>2846</v>
      </c>
      <c r="T1767" s="424" t="s">
        <v>3268</v>
      </c>
      <c r="U1767" s="424">
        <v>0</v>
      </c>
      <c r="V1767" s="424" t="s">
        <v>3269</v>
      </c>
      <c r="W1767" s="424" t="s">
        <v>3074</v>
      </c>
      <c r="X1767" s="424" t="s">
        <v>2825</v>
      </c>
      <c r="Y1767" s="424" t="s">
        <v>2279</v>
      </c>
      <c r="Z1767" s="424" t="s">
        <v>3260</v>
      </c>
      <c r="AA1767" s="424" t="s">
        <v>3197</v>
      </c>
      <c r="AB1767" s="424" t="s">
        <v>3967</v>
      </c>
      <c r="AC1767" s="424" t="s">
        <v>1953</v>
      </c>
      <c r="AD1767" s="424" t="s">
        <v>2851</v>
      </c>
      <c r="AE1767" s="424" t="s">
        <v>3279</v>
      </c>
      <c r="AF1767" s="424"/>
      <c r="AG1767" s="424"/>
      <c r="AH1767" s="424"/>
    </row>
    <row r="1768" spans="1:34" x14ac:dyDescent="0.25">
      <c r="A1768" s="423" t="s">
        <v>7414</v>
      </c>
      <c r="B1768" s="423" t="s">
        <v>7415</v>
      </c>
      <c r="C1768" s="423" t="s">
        <v>7378</v>
      </c>
      <c r="D1768" s="423" t="s">
        <v>6871</v>
      </c>
      <c r="E1768" s="423" t="s">
        <v>203</v>
      </c>
      <c r="F1768" s="423">
        <v>8</v>
      </c>
      <c r="G1768" s="423">
        <v>16</v>
      </c>
      <c r="H1768" s="423">
        <v>100</v>
      </c>
      <c r="J1768" s="423"/>
      <c r="K1768" s="423"/>
      <c r="L1768" s="423"/>
      <c r="M1768" s="423"/>
      <c r="Q1768" s="423"/>
      <c r="R1768" s="424" t="s">
        <v>7416</v>
      </c>
      <c r="S1768" s="424" t="s">
        <v>2820</v>
      </c>
      <c r="T1768" s="424" t="s">
        <v>4014</v>
      </c>
      <c r="U1768" s="424">
        <v>0</v>
      </c>
      <c r="V1768" s="424" t="s">
        <v>2973</v>
      </c>
      <c r="W1768" s="424" t="s">
        <v>2973</v>
      </c>
      <c r="X1768" s="424" t="s">
        <v>2825</v>
      </c>
      <c r="Y1768" s="424" t="s">
        <v>2279</v>
      </c>
      <c r="Z1768" s="424" t="s">
        <v>2889</v>
      </c>
      <c r="AA1768" s="424" t="s">
        <v>7417</v>
      </c>
      <c r="AB1768" s="424" t="s">
        <v>7418</v>
      </c>
      <c r="AC1768" s="424" t="s">
        <v>3263</v>
      </c>
      <c r="AD1768" s="424" t="s">
        <v>3264</v>
      </c>
      <c r="AE1768" s="424" t="s">
        <v>7419</v>
      </c>
      <c r="AF1768" s="424"/>
      <c r="AG1768" s="424"/>
      <c r="AH1768" s="424"/>
    </row>
    <row r="1769" spans="1:34" x14ac:dyDescent="0.25">
      <c r="A1769" s="423" t="s">
        <v>7414</v>
      </c>
      <c r="B1769" s="423" t="s">
        <v>7420</v>
      </c>
      <c r="C1769" s="423" t="s">
        <v>7378</v>
      </c>
      <c r="D1769" s="423" t="s">
        <v>6871</v>
      </c>
      <c r="E1769" s="423" t="s">
        <v>203</v>
      </c>
      <c r="F1769" s="423">
        <v>8</v>
      </c>
      <c r="G1769" s="423">
        <v>16</v>
      </c>
      <c r="H1769" s="423">
        <v>100</v>
      </c>
      <c r="J1769" s="423"/>
      <c r="K1769" s="423"/>
      <c r="L1769" s="423"/>
      <c r="M1769" s="423"/>
      <c r="Q1769" s="423"/>
      <c r="R1769" s="424" t="s">
        <v>7421</v>
      </c>
      <c r="S1769" s="424" t="s">
        <v>2820</v>
      </c>
      <c r="T1769" s="424" t="s">
        <v>4014</v>
      </c>
      <c r="U1769" s="424">
        <v>0</v>
      </c>
      <c r="V1769" s="424" t="s">
        <v>2973</v>
      </c>
      <c r="W1769" s="424" t="s">
        <v>2092</v>
      </c>
      <c r="X1769" s="424" t="s">
        <v>2825</v>
      </c>
      <c r="Y1769" s="424" t="s">
        <v>2279</v>
      </c>
      <c r="Z1769" s="424" t="s">
        <v>2889</v>
      </c>
      <c r="AA1769" s="424" t="s">
        <v>7417</v>
      </c>
      <c r="AB1769" s="424" t="s">
        <v>7422</v>
      </c>
      <c r="AC1769" s="424" t="s">
        <v>3263</v>
      </c>
      <c r="AD1769" s="424" t="s">
        <v>3264</v>
      </c>
      <c r="AE1769" s="424" t="s">
        <v>7419</v>
      </c>
      <c r="AF1769" s="424"/>
      <c r="AG1769" s="424"/>
      <c r="AH1769" s="424"/>
    </row>
    <row r="1770" spans="1:34" x14ac:dyDescent="0.25">
      <c r="A1770" s="423" t="s">
        <v>7414</v>
      </c>
      <c r="B1770" s="423" t="s">
        <v>7423</v>
      </c>
      <c r="C1770" s="423" t="s">
        <v>7378</v>
      </c>
      <c r="D1770" s="423" t="s">
        <v>6871</v>
      </c>
      <c r="E1770" s="423" t="s">
        <v>203</v>
      </c>
      <c r="F1770" s="423">
        <v>8</v>
      </c>
      <c r="G1770" s="423">
        <v>16</v>
      </c>
      <c r="H1770" s="423">
        <v>100</v>
      </c>
      <c r="J1770" s="423"/>
      <c r="K1770" s="423"/>
      <c r="L1770" s="423"/>
      <c r="M1770" s="423"/>
      <c r="Q1770" s="423"/>
      <c r="R1770" s="424" t="s">
        <v>7424</v>
      </c>
      <c r="S1770" s="424" t="s">
        <v>2846</v>
      </c>
      <c r="T1770" s="424" t="s">
        <v>2847</v>
      </c>
      <c r="U1770" s="424">
        <v>0</v>
      </c>
      <c r="V1770" s="424" t="s">
        <v>2973</v>
      </c>
      <c r="W1770" s="424" t="s">
        <v>2974</v>
      </c>
      <c r="X1770" s="424" t="s">
        <v>2825</v>
      </c>
      <c r="Y1770" s="424" t="s">
        <v>2279</v>
      </c>
      <c r="Z1770" s="424" t="s">
        <v>2848</v>
      </c>
      <c r="AA1770" s="424" t="s">
        <v>2849</v>
      </c>
      <c r="AB1770" s="424" t="s">
        <v>5653</v>
      </c>
      <c r="AC1770" s="424" t="s">
        <v>1953</v>
      </c>
      <c r="AD1770" s="424" t="s">
        <v>2851</v>
      </c>
      <c r="AE1770" s="424" t="s">
        <v>3418</v>
      </c>
      <c r="AF1770" s="424"/>
      <c r="AG1770" s="424"/>
      <c r="AH1770" s="424"/>
    </row>
    <row r="1771" spans="1:34" x14ac:dyDescent="0.25">
      <c r="A1771" s="423" t="s">
        <v>7414</v>
      </c>
      <c r="B1771" s="423" t="s">
        <v>7425</v>
      </c>
      <c r="C1771" s="423" t="s">
        <v>7378</v>
      </c>
      <c r="D1771" s="423" t="s">
        <v>6871</v>
      </c>
      <c r="E1771" s="423" t="s">
        <v>203</v>
      </c>
      <c r="F1771" s="423">
        <v>8</v>
      </c>
      <c r="G1771" s="423">
        <v>16</v>
      </c>
      <c r="H1771" s="423">
        <v>100</v>
      </c>
      <c r="J1771" s="423"/>
      <c r="K1771" s="423"/>
      <c r="L1771" s="423"/>
      <c r="M1771" s="423"/>
      <c r="Q1771" s="423"/>
      <c r="R1771" s="424" t="s">
        <v>7426</v>
      </c>
      <c r="S1771" s="424" t="s">
        <v>2846</v>
      </c>
      <c r="T1771" s="424" t="s">
        <v>2847</v>
      </c>
      <c r="U1771" s="424">
        <v>0</v>
      </c>
      <c r="V1771" s="424" t="s">
        <v>2973</v>
      </c>
      <c r="W1771" s="424" t="s">
        <v>2871</v>
      </c>
      <c r="X1771" s="424" t="s">
        <v>2825</v>
      </c>
      <c r="Y1771" s="424" t="s">
        <v>2279</v>
      </c>
      <c r="Z1771" s="424" t="s">
        <v>2848</v>
      </c>
      <c r="AA1771" s="424" t="s">
        <v>2849</v>
      </c>
      <c r="AB1771" s="424" t="s">
        <v>7427</v>
      </c>
      <c r="AC1771" s="424" t="s">
        <v>1953</v>
      </c>
      <c r="AD1771" s="424" t="s">
        <v>2851</v>
      </c>
      <c r="AE1771" s="424" t="s">
        <v>2852</v>
      </c>
      <c r="AF1771" s="424"/>
      <c r="AG1771" s="424"/>
      <c r="AH1771" s="424"/>
    </row>
    <row r="1772" spans="1:34" x14ac:dyDescent="0.25">
      <c r="A1772" s="423" t="s">
        <v>7414</v>
      </c>
      <c r="B1772" s="423" t="s">
        <v>7428</v>
      </c>
      <c r="C1772" s="423" t="s">
        <v>7378</v>
      </c>
      <c r="D1772" s="423" t="s">
        <v>6871</v>
      </c>
      <c r="E1772" s="423" t="s">
        <v>203</v>
      </c>
      <c r="F1772" s="423">
        <v>8</v>
      </c>
      <c r="G1772" s="423">
        <v>16</v>
      </c>
      <c r="H1772" s="423">
        <v>100</v>
      </c>
      <c r="J1772" s="423"/>
      <c r="K1772" s="423"/>
      <c r="L1772" s="423"/>
      <c r="M1772" s="423"/>
      <c r="Q1772" s="423"/>
      <c r="R1772" s="424" t="s">
        <v>7429</v>
      </c>
      <c r="S1772" s="424" t="s">
        <v>2846</v>
      </c>
      <c r="T1772" s="424" t="s">
        <v>2847</v>
      </c>
      <c r="U1772" s="424">
        <v>0</v>
      </c>
      <c r="V1772" s="424" t="s">
        <v>2973</v>
      </c>
      <c r="W1772" s="424" t="s">
        <v>3074</v>
      </c>
      <c r="X1772" s="424" t="s">
        <v>2825</v>
      </c>
      <c r="Y1772" s="424" t="s">
        <v>2279</v>
      </c>
      <c r="Z1772" s="424" t="s">
        <v>2848</v>
      </c>
      <c r="AA1772" s="424" t="s">
        <v>2849</v>
      </c>
      <c r="AB1772" s="424" t="s">
        <v>3435</v>
      </c>
      <c r="AC1772" s="424" t="s">
        <v>1953</v>
      </c>
      <c r="AD1772" s="424" t="s">
        <v>2851</v>
      </c>
      <c r="AE1772" s="424" t="s">
        <v>3436</v>
      </c>
      <c r="AF1772" s="424"/>
      <c r="AG1772" s="424"/>
      <c r="AH1772" s="424"/>
    </row>
    <row r="1773" spans="1:34" x14ac:dyDescent="0.25">
      <c r="A1773" s="423" t="s">
        <v>7414</v>
      </c>
      <c r="B1773" s="423" t="s">
        <v>7430</v>
      </c>
      <c r="C1773" s="423" t="s">
        <v>7378</v>
      </c>
      <c r="D1773" s="423" t="s">
        <v>6871</v>
      </c>
      <c r="E1773" s="423" t="s">
        <v>203</v>
      </c>
      <c r="F1773" s="423">
        <v>8</v>
      </c>
      <c r="G1773" s="423">
        <v>16</v>
      </c>
      <c r="H1773" s="423">
        <v>100</v>
      </c>
      <c r="J1773" s="423"/>
      <c r="K1773" s="423"/>
      <c r="L1773" s="423"/>
      <c r="M1773" s="423"/>
      <c r="Q1773" s="423"/>
      <c r="R1773" s="424" t="s">
        <v>7431</v>
      </c>
      <c r="S1773" s="424" t="s">
        <v>2820</v>
      </c>
      <c r="T1773" s="424" t="s">
        <v>3196</v>
      </c>
      <c r="U1773" s="424">
        <v>0</v>
      </c>
      <c r="V1773" s="424" t="s">
        <v>7432</v>
      </c>
      <c r="W1773" s="424" t="s">
        <v>7432</v>
      </c>
      <c r="X1773" s="424" t="s">
        <v>2825</v>
      </c>
      <c r="Y1773" s="424" t="s">
        <v>2279</v>
      </c>
      <c r="Z1773" s="424" t="s">
        <v>2889</v>
      </c>
      <c r="AA1773" s="424" t="s">
        <v>7417</v>
      </c>
      <c r="AB1773" s="424" t="s">
        <v>7433</v>
      </c>
      <c r="AC1773" s="424" t="s">
        <v>3263</v>
      </c>
      <c r="AD1773" s="424" t="s">
        <v>3264</v>
      </c>
      <c r="AE1773" s="424" t="s">
        <v>7434</v>
      </c>
      <c r="AF1773" s="424"/>
      <c r="AG1773" s="424"/>
      <c r="AH1773" s="424"/>
    </row>
    <row r="1774" spans="1:34" x14ac:dyDescent="0.25">
      <c r="A1774" s="423" t="s">
        <v>7414</v>
      </c>
      <c r="B1774" s="423" t="s">
        <v>7435</v>
      </c>
      <c r="C1774" s="423" t="s">
        <v>7378</v>
      </c>
      <c r="D1774" s="423" t="s">
        <v>6871</v>
      </c>
      <c r="E1774" s="423" t="s">
        <v>203</v>
      </c>
      <c r="F1774" s="423">
        <v>16</v>
      </c>
      <c r="G1774" s="423">
        <v>24</v>
      </c>
      <c r="H1774" s="423">
        <v>256</v>
      </c>
      <c r="J1774" s="423"/>
      <c r="K1774" s="423"/>
      <c r="L1774" s="423"/>
      <c r="M1774" s="423"/>
      <c r="Q1774" s="423"/>
      <c r="R1774" s="424" t="s">
        <v>7436</v>
      </c>
      <c r="S1774" s="424" t="s">
        <v>2820</v>
      </c>
      <c r="T1774" s="424" t="s">
        <v>7437</v>
      </c>
      <c r="U1774" s="424">
        <v>0</v>
      </c>
      <c r="V1774" s="424" t="s">
        <v>2973</v>
      </c>
      <c r="W1774" s="424" t="s">
        <v>2092</v>
      </c>
      <c r="X1774" s="424" t="s">
        <v>2825</v>
      </c>
      <c r="Y1774" s="424" t="s">
        <v>2279</v>
      </c>
      <c r="Z1774" s="424" t="s">
        <v>3260</v>
      </c>
      <c r="AA1774" s="424" t="s">
        <v>4163</v>
      </c>
      <c r="AB1774" s="424" t="s">
        <v>7438</v>
      </c>
      <c r="AC1774" s="424" t="s">
        <v>3263</v>
      </c>
      <c r="AD1774" s="424" t="s">
        <v>3264</v>
      </c>
      <c r="AE1774" s="424" t="s">
        <v>7439</v>
      </c>
      <c r="AF1774" s="424"/>
      <c r="AG1774" s="424"/>
      <c r="AH1774" s="424"/>
    </row>
    <row r="1775" spans="1:34" x14ac:dyDescent="0.25">
      <c r="A1775" s="423" t="s">
        <v>7414</v>
      </c>
      <c r="B1775" s="423" t="s">
        <v>7440</v>
      </c>
      <c r="C1775" s="423" t="s">
        <v>7378</v>
      </c>
      <c r="D1775" s="423" t="s">
        <v>6871</v>
      </c>
      <c r="E1775" s="423" t="s">
        <v>203</v>
      </c>
      <c r="F1775" s="423">
        <v>16</v>
      </c>
      <c r="G1775" s="423">
        <v>24</v>
      </c>
      <c r="H1775" s="423">
        <v>256</v>
      </c>
      <c r="J1775" s="423"/>
      <c r="K1775" s="423"/>
      <c r="L1775" s="423"/>
      <c r="M1775" s="423"/>
      <c r="Q1775" s="423"/>
      <c r="R1775" s="424" t="s">
        <v>7441</v>
      </c>
      <c r="S1775" s="424" t="s">
        <v>2820</v>
      </c>
      <c r="T1775" s="424" t="s">
        <v>7437</v>
      </c>
      <c r="U1775" s="424">
        <v>0</v>
      </c>
      <c r="V1775" s="424" t="s">
        <v>2973</v>
      </c>
      <c r="W1775" s="424" t="s">
        <v>2092</v>
      </c>
      <c r="X1775" s="424" t="s">
        <v>2825</v>
      </c>
      <c r="Y1775" s="424" t="s">
        <v>2279</v>
      </c>
      <c r="Z1775" s="424" t="s">
        <v>2889</v>
      </c>
      <c r="AA1775" s="424" t="s">
        <v>4163</v>
      </c>
      <c r="AB1775" s="424" t="s">
        <v>7442</v>
      </c>
      <c r="AC1775" s="424" t="s">
        <v>3263</v>
      </c>
      <c r="AD1775" s="424" t="s">
        <v>3264</v>
      </c>
      <c r="AE1775" s="424" t="s">
        <v>7439</v>
      </c>
      <c r="AF1775" s="424"/>
      <c r="AG1775" s="424"/>
      <c r="AH1775" s="424"/>
    </row>
    <row r="1776" spans="1:34" x14ac:dyDescent="0.25">
      <c r="A1776" s="423" t="s">
        <v>7414</v>
      </c>
      <c r="B1776" s="423" t="s">
        <v>7443</v>
      </c>
      <c r="C1776" s="423" t="s">
        <v>7378</v>
      </c>
      <c r="D1776" s="423" t="s">
        <v>6871</v>
      </c>
      <c r="E1776" s="423" t="s">
        <v>203</v>
      </c>
      <c r="F1776" s="423">
        <v>8</v>
      </c>
      <c r="G1776" s="423">
        <v>24</v>
      </c>
      <c r="H1776" s="423">
        <v>256</v>
      </c>
      <c r="J1776" s="423"/>
      <c r="K1776" s="423"/>
      <c r="L1776" s="423"/>
      <c r="M1776" s="423"/>
      <c r="Q1776" s="423"/>
      <c r="R1776" s="424" t="s">
        <v>7444</v>
      </c>
      <c r="S1776" s="424" t="s">
        <v>2820</v>
      </c>
      <c r="T1776" s="424" t="s">
        <v>7437</v>
      </c>
      <c r="U1776" s="424">
        <v>0</v>
      </c>
      <c r="V1776" s="424" t="s">
        <v>2973</v>
      </c>
      <c r="W1776" s="424" t="s">
        <v>2092</v>
      </c>
      <c r="X1776" s="424" t="s">
        <v>2825</v>
      </c>
      <c r="Y1776" s="424" t="s">
        <v>2279</v>
      </c>
      <c r="Z1776" s="424" t="s">
        <v>2889</v>
      </c>
      <c r="AA1776" s="424" t="s">
        <v>4163</v>
      </c>
      <c r="AB1776" s="424" t="s">
        <v>7445</v>
      </c>
      <c r="AC1776" s="424" t="s">
        <v>3263</v>
      </c>
      <c r="AD1776" s="424" t="s">
        <v>3264</v>
      </c>
      <c r="AE1776" s="424" t="s">
        <v>7446</v>
      </c>
      <c r="AF1776" s="424"/>
      <c r="AG1776" s="424"/>
      <c r="AH1776" s="424"/>
    </row>
    <row r="1777" spans="1:34" x14ac:dyDescent="0.25">
      <c r="A1777" s="423" t="s">
        <v>7414</v>
      </c>
      <c r="B1777" s="423" t="s">
        <v>7447</v>
      </c>
      <c r="C1777" s="423" t="s">
        <v>7378</v>
      </c>
      <c r="D1777" s="423" t="s">
        <v>6871</v>
      </c>
      <c r="E1777" s="423" t="s">
        <v>203</v>
      </c>
      <c r="F1777" s="423">
        <v>8</v>
      </c>
      <c r="G1777" s="423">
        <v>24</v>
      </c>
      <c r="H1777" s="423">
        <v>256</v>
      </c>
      <c r="J1777" s="423"/>
      <c r="K1777" s="423"/>
      <c r="L1777" s="423"/>
      <c r="M1777" s="423"/>
      <c r="Q1777" s="423"/>
      <c r="R1777" s="424" t="s">
        <v>7448</v>
      </c>
      <c r="S1777" s="424" t="s">
        <v>2820</v>
      </c>
      <c r="T1777" s="424" t="s">
        <v>4014</v>
      </c>
      <c r="U1777" s="424">
        <v>0</v>
      </c>
      <c r="V1777" s="424" t="s">
        <v>2973</v>
      </c>
      <c r="W1777" s="424" t="s">
        <v>2092</v>
      </c>
      <c r="X1777" s="424" t="s">
        <v>2825</v>
      </c>
      <c r="Y1777" s="424" t="s">
        <v>2279</v>
      </c>
      <c r="Z1777" s="424" t="s">
        <v>2889</v>
      </c>
      <c r="AA1777" s="424" t="s">
        <v>4163</v>
      </c>
      <c r="AB1777" s="424" t="s">
        <v>7449</v>
      </c>
      <c r="AC1777" s="424" t="s">
        <v>3263</v>
      </c>
      <c r="AD1777" s="424" t="s">
        <v>3264</v>
      </c>
      <c r="AE1777" s="424" t="s">
        <v>7446</v>
      </c>
      <c r="AF1777" s="424"/>
      <c r="AG1777" s="424"/>
      <c r="AH1777" s="424"/>
    </row>
    <row r="1778" spans="1:34" x14ac:dyDescent="0.25">
      <c r="A1778" s="423" t="s">
        <v>7386</v>
      </c>
      <c r="B1778" s="423" t="s">
        <v>7394</v>
      </c>
      <c r="C1778" s="423" t="s">
        <v>7378</v>
      </c>
      <c r="D1778" s="423" t="s">
        <v>6871</v>
      </c>
      <c r="E1778" s="423" t="s">
        <v>203</v>
      </c>
      <c r="F1778" s="423">
        <v>16</v>
      </c>
      <c r="G1778" s="423">
        <v>64</v>
      </c>
      <c r="H1778" s="423">
        <v>200</v>
      </c>
      <c r="J1778" s="423"/>
      <c r="K1778" s="423"/>
      <c r="L1778" s="423"/>
      <c r="M1778" s="423"/>
      <c r="Q1778" s="423"/>
      <c r="R1778" s="424" t="s">
        <v>7394</v>
      </c>
      <c r="S1778" s="424" t="s">
        <v>2846</v>
      </c>
      <c r="T1778" s="424" t="s">
        <v>3356</v>
      </c>
      <c r="U1778" s="424">
        <v>0</v>
      </c>
      <c r="V1778" s="424" t="s">
        <v>2824</v>
      </c>
      <c r="W1778" s="424" t="s">
        <v>3055</v>
      </c>
      <c r="X1778" s="424" t="s">
        <v>7388</v>
      </c>
      <c r="Y1778" s="424" t="s">
        <v>2279</v>
      </c>
      <c r="Z1778" s="424" t="s">
        <v>2848</v>
      </c>
      <c r="AA1778" s="424" t="s">
        <v>2855</v>
      </c>
      <c r="AB1778" s="424" t="s">
        <v>4426</v>
      </c>
      <c r="AC1778" s="424" t="s">
        <v>1953</v>
      </c>
      <c r="AD1778" s="424" t="s">
        <v>2851</v>
      </c>
      <c r="AE1778" s="424" t="s">
        <v>3168</v>
      </c>
      <c r="AF1778" s="424"/>
      <c r="AG1778" s="424"/>
      <c r="AH1778" s="424"/>
    </row>
    <row r="1779" spans="1:34" x14ac:dyDescent="0.25">
      <c r="A1779" s="423" t="s">
        <v>7386</v>
      </c>
      <c r="B1779" s="423" t="s">
        <v>7395</v>
      </c>
      <c r="C1779" s="423" t="s">
        <v>7378</v>
      </c>
      <c r="D1779" s="423" t="s">
        <v>6871</v>
      </c>
      <c r="E1779" s="423" t="s">
        <v>203</v>
      </c>
      <c r="F1779" s="423">
        <v>16</v>
      </c>
      <c r="G1779" s="423">
        <v>64</v>
      </c>
      <c r="H1779" s="423">
        <v>200</v>
      </c>
      <c r="J1779" s="423"/>
      <c r="K1779" s="423"/>
      <c r="L1779" s="423"/>
      <c r="M1779" s="423"/>
      <c r="Q1779" s="423"/>
      <c r="R1779" s="424" t="s">
        <v>7395</v>
      </c>
      <c r="S1779" s="424" t="s">
        <v>2846</v>
      </c>
      <c r="T1779" s="424" t="s">
        <v>3356</v>
      </c>
      <c r="U1779" s="424">
        <v>0</v>
      </c>
      <c r="V1779" s="424" t="s">
        <v>2824</v>
      </c>
      <c r="W1779" s="424" t="s">
        <v>2974</v>
      </c>
      <c r="X1779" s="424" t="s">
        <v>7388</v>
      </c>
      <c r="Y1779" s="424" t="s">
        <v>2279</v>
      </c>
      <c r="Z1779" s="424" t="s">
        <v>2848</v>
      </c>
      <c r="AA1779" s="424" t="s">
        <v>2849</v>
      </c>
      <c r="AB1779" s="424" t="s">
        <v>7396</v>
      </c>
      <c r="AC1779" s="424" t="s">
        <v>1953</v>
      </c>
      <c r="AD1779" s="424" t="s">
        <v>2851</v>
      </c>
      <c r="AE1779" s="424" t="s">
        <v>3467</v>
      </c>
      <c r="AF1779" s="424"/>
      <c r="AG1779" s="424"/>
      <c r="AH1779" s="424"/>
    </row>
    <row r="1780" spans="1:34" x14ac:dyDescent="0.25">
      <c r="A1780" s="423" t="s">
        <v>7386</v>
      </c>
      <c r="B1780" s="423" t="s">
        <v>7397</v>
      </c>
      <c r="C1780" s="423" t="s">
        <v>7378</v>
      </c>
      <c r="D1780" s="423" t="s">
        <v>6871</v>
      </c>
      <c r="E1780" s="423" t="s">
        <v>203</v>
      </c>
      <c r="F1780" s="423">
        <v>16</v>
      </c>
      <c r="G1780" s="423">
        <v>64</v>
      </c>
      <c r="H1780" s="423">
        <v>200</v>
      </c>
      <c r="J1780" s="423"/>
      <c r="K1780" s="423"/>
      <c r="L1780" s="423"/>
      <c r="M1780" s="423"/>
      <c r="Q1780" s="423"/>
      <c r="R1780" s="424" t="s">
        <v>7397</v>
      </c>
      <c r="S1780" s="424" t="s">
        <v>2846</v>
      </c>
      <c r="T1780" s="424" t="s">
        <v>3356</v>
      </c>
      <c r="U1780" s="424">
        <v>0</v>
      </c>
      <c r="V1780" s="424" t="s">
        <v>2824</v>
      </c>
      <c r="W1780" s="424" t="s">
        <v>3054</v>
      </c>
      <c r="X1780" s="424" t="s">
        <v>7388</v>
      </c>
      <c r="Y1780" s="424" t="s">
        <v>2279</v>
      </c>
      <c r="Z1780" s="424" t="s">
        <v>2848</v>
      </c>
      <c r="AA1780" s="424" t="s">
        <v>3927</v>
      </c>
      <c r="AB1780" s="424" t="s">
        <v>7398</v>
      </c>
      <c r="AC1780" s="424" t="s">
        <v>1953</v>
      </c>
      <c r="AD1780" s="424" t="s">
        <v>2851</v>
      </c>
      <c r="AE1780" s="424" t="s">
        <v>3719</v>
      </c>
      <c r="AF1780" s="424"/>
      <c r="AG1780" s="424"/>
      <c r="AH1780" s="424"/>
    </row>
    <row r="1781" spans="1:34" x14ac:dyDescent="0.25">
      <c r="A1781" s="423" t="s">
        <v>7386</v>
      </c>
      <c r="B1781" s="423" t="s">
        <v>7399</v>
      </c>
      <c r="C1781" s="423" t="s">
        <v>7378</v>
      </c>
      <c r="D1781" s="423" t="s">
        <v>6871</v>
      </c>
      <c r="E1781" s="423" t="s">
        <v>203</v>
      </c>
      <c r="F1781" s="423">
        <v>16</v>
      </c>
      <c r="G1781" s="423">
        <v>64</v>
      </c>
      <c r="H1781" s="423">
        <v>200</v>
      </c>
      <c r="J1781" s="423"/>
      <c r="K1781" s="423"/>
      <c r="L1781" s="423"/>
      <c r="M1781" s="423"/>
      <c r="Q1781" s="423"/>
      <c r="R1781" s="424" t="s">
        <v>7400</v>
      </c>
      <c r="S1781" s="424" t="s">
        <v>2846</v>
      </c>
      <c r="T1781" s="424" t="s">
        <v>3356</v>
      </c>
      <c r="U1781" s="424">
        <v>0</v>
      </c>
      <c r="V1781" s="424" t="s">
        <v>2824</v>
      </c>
      <c r="W1781" s="424" t="s">
        <v>3054</v>
      </c>
      <c r="X1781" s="424" t="s">
        <v>7388</v>
      </c>
      <c r="Y1781" s="424" t="s">
        <v>2279</v>
      </c>
      <c r="Z1781" s="424" t="s">
        <v>2848</v>
      </c>
      <c r="AA1781" s="424" t="s">
        <v>2855</v>
      </c>
      <c r="AB1781" s="424" t="s">
        <v>7401</v>
      </c>
      <c r="AC1781" s="424" t="s">
        <v>1953</v>
      </c>
      <c r="AD1781" s="424" t="s">
        <v>2851</v>
      </c>
      <c r="AE1781" s="424" t="s">
        <v>3719</v>
      </c>
      <c r="AF1781" s="424"/>
      <c r="AG1781" s="424"/>
      <c r="AH1781" s="424"/>
    </row>
    <row r="1782" spans="1:34" x14ac:dyDescent="0.25">
      <c r="A1782" s="423" t="s">
        <v>7386</v>
      </c>
      <c r="B1782" s="423" t="s">
        <v>7402</v>
      </c>
      <c r="C1782" s="423" t="s">
        <v>7378</v>
      </c>
      <c r="D1782" s="423" t="s">
        <v>6871</v>
      </c>
      <c r="E1782" s="423" t="s">
        <v>203</v>
      </c>
      <c r="F1782" s="423">
        <v>16</v>
      </c>
      <c r="G1782" s="423">
        <v>64</v>
      </c>
      <c r="H1782" s="423">
        <v>200</v>
      </c>
      <c r="J1782" s="423"/>
      <c r="K1782" s="423"/>
      <c r="L1782" s="423"/>
      <c r="M1782" s="423"/>
      <c r="Q1782" s="423"/>
      <c r="R1782" s="424" t="s">
        <v>7403</v>
      </c>
      <c r="S1782" s="424" t="s">
        <v>2846</v>
      </c>
      <c r="T1782" s="424" t="s">
        <v>3356</v>
      </c>
      <c r="U1782" s="424">
        <v>0</v>
      </c>
      <c r="V1782" s="424" t="s">
        <v>2824</v>
      </c>
      <c r="W1782" s="424" t="s">
        <v>2871</v>
      </c>
      <c r="X1782" s="424" t="s">
        <v>7388</v>
      </c>
      <c r="Y1782" s="424" t="s">
        <v>2279</v>
      </c>
      <c r="Z1782" s="424" t="s">
        <v>2848</v>
      </c>
      <c r="AA1782" s="424" t="s">
        <v>3927</v>
      </c>
      <c r="AB1782" s="424" t="s">
        <v>7404</v>
      </c>
      <c r="AC1782" s="424" t="s">
        <v>1953</v>
      </c>
      <c r="AD1782" s="424" t="s">
        <v>2851</v>
      </c>
      <c r="AE1782" s="424" t="s">
        <v>3719</v>
      </c>
      <c r="AF1782" s="424"/>
      <c r="AG1782" s="424"/>
      <c r="AH1782" s="424"/>
    </row>
    <row r="1783" spans="1:34" x14ac:dyDescent="0.25">
      <c r="A1783" s="423" t="s">
        <v>7386</v>
      </c>
      <c r="B1783" s="423" t="s">
        <v>7405</v>
      </c>
      <c r="C1783" s="423" t="s">
        <v>7378</v>
      </c>
      <c r="D1783" s="423" t="s">
        <v>6871</v>
      </c>
      <c r="E1783" s="423" t="s">
        <v>203</v>
      </c>
      <c r="F1783" s="423">
        <v>16</v>
      </c>
      <c r="G1783" s="423">
        <v>64</v>
      </c>
      <c r="H1783" s="423">
        <v>200</v>
      </c>
      <c r="J1783" s="423"/>
      <c r="K1783" s="423"/>
      <c r="L1783" s="423"/>
      <c r="M1783" s="423"/>
      <c r="Q1783" s="423"/>
      <c r="R1783" s="424" t="s">
        <v>7406</v>
      </c>
      <c r="S1783" s="424" t="s">
        <v>2846</v>
      </c>
      <c r="T1783" s="424" t="s">
        <v>3356</v>
      </c>
      <c r="U1783" s="424">
        <v>0</v>
      </c>
      <c r="V1783" s="424" t="s">
        <v>2824</v>
      </c>
      <c r="W1783" s="424" t="s">
        <v>2974</v>
      </c>
      <c r="X1783" s="424" t="s">
        <v>7388</v>
      </c>
      <c r="Y1783" s="424" t="s">
        <v>2279</v>
      </c>
      <c r="Z1783" s="424" t="s">
        <v>2848</v>
      </c>
      <c r="AA1783" s="424" t="s">
        <v>2849</v>
      </c>
      <c r="AB1783" s="424" t="s">
        <v>5020</v>
      </c>
      <c r="AC1783" s="424" t="s">
        <v>1953</v>
      </c>
      <c r="AD1783" s="424" t="s">
        <v>2851</v>
      </c>
      <c r="AE1783" s="424" t="s">
        <v>3154</v>
      </c>
      <c r="AF1783" s="424"/>
      <c r="AG1783" s="424"/>
      <c r="AH1783" s="424"/>
    </row>
    <row r="1784" spans="1:34" x14ac:dyDescent="0.25">
      <c r="A1784" s="423" t="s">
        <v>7386</v>
      </c>
      <c r="B1784" s="423" t="s">
        <v>7407</v>
      </c>
      <c r="C1784" s="423" t="s">
        <v>7378</v>
      </c>
      <c r="D1784" s="423" t="s">
        <v>6871</v>
      </c>
      <c r="E1784" s="423" t="s">
        <v>203</v>
      </c>
      <c r="F1784" s="423">
        <v>16</v>
      </c>
      <c r="G1784" s="423">
        <v>64</v>
      </c>
      <c r="H1784" s="423">
        <v>200</v>
      </c>
      <c r="J1784" s="423"/>
      <c r="K1784" s="423"/>
      <c r="L1784" s="423"/>
      <c r="M1784" s="423"/>
      <c r="Q1784" s="423"/>
      <c r="R1784" s="424" t="s">
        <v>7408</v>
      </c>
      <c r="S1784" s="424" t="s">
        <v>2846</v>
      </c>
      <c r="T1784" s="424" t="s">
        <v>3356</v>
      </c>
      <c r="U1784" s="424">
        <v>0</v>
      </c>
      <c r="V1784" s="424" t="s">
        <v>2824</v>
      </c>
      <c r="W1784" s="424" t="s">
        <v>3055</v>
      </c>
      <c r="X1784" s="424" t="s">
        <v>7388</v>
      </c>
      <c r="Y1784" s="424" t="s">
        <v>2279</v>
      </c>
      <c r="Z1784" s="424" t="s">
        <v>2848</v>
      </c>
      <c r="AA1784" s="424" t="s">
        <v>2855</v>
      </c>
      <c r="AB1784" s="424" t="s">
        <v>3255</v>
      </c>
      <c r="AC1784" s="424" t="s">
        <v>1953</v>
      </c>
      <c r="AD1784" s="424" t="s">
        <v>2851</v>
      </c>
      <c r="AE1784" s="424" t="s">
        <v>3168</v>
      </c>
      <c r="AF1784" s="424"/>
      <c r="AG1784" s="424"/>
      <c r="AH1784" s="424"/>
    </row>
    <row r="1785" spans="1:34" x14ac:dyDescent="0.25">
      <c r="A1785" s="423" t="s">
        <v>7386</v>
      </c>
      <c r="B1785" s="423" t="s">
        <v>7409</v>
      </c>
      <c r="C1785" s="423" t="s">
        <v>7378</v>
      </c>
      <c r="D1785" s="423" t="s">
        <v>6871</v>
      </c>
      <c r="E1785" s="423" t="s">
        <v>203</v>
      </c>
      <c r="F1785" s="423">
        <v>16</v>
      </c>
      <c r="G1785" s="423">
        <v>64</v>
      </c>
      <c r="H1785" s="423">
        <v>200</v>
      </c>
      <c r="J1785" s="423"/>
      <c r="K1785" s="423"/>
      <c r="L1785" s="423"/>
      <c r="M1785" s="423"/>
      <c r="Q1785" s="423"/>
      <c r="R1785" s="424" t="s">
        <v>7409</v>
      </c>
      <c r="S1785" s="424" t="s">
        <v>2846</v>
      </c>
      <c r="T1785" s="424" t="s">
        <v>3356</v>
      </c>
      <c r="U1785" s="424">
        <v>0</v>
      </c>
      <c r="V1785" s="424" t="s">
        <v>2824</v>
      </c>
      <c r="W1785" s="424" t="s">
        <v>2974</v>
      </c>
      <c r="X1785" s="424" t="s">
        <v>7388</v>
      </c>
      <c r="Y1785" s="424" t="s">
        <v>2279</v>
      </c>
      <c r="Z1785" s="424" t="s">
        <v>2848</v>
      </c>
      <c r="AA1785" s="424" t="s">
        <v>2849</v>
      </c>
      <c r="AB1785" s="424" t="s">
        <v>3539</v>
      </c>
      <c r="AC1785" s="424" t="s">
        <v>1953</v>
      </c>
      <c r="AD1785" s="424" t="s">
        <v>2851</v>
      </c>
      <c r="AE1785" s="424" t="s">
        <v>3467</v>
      </c>
      <c r="AF1785" s="424"/>
      <c r="AG1785" s="424"/>
      <c r="AH1785" s="424"/>
    </row>
    <row r="1786" spans="1:34" x14ac:dyDescent="0.25">
      <c r="A1786" s="423" t="s">
        <v>7386</v>
      </c>
      <c r="B1786" s="423" t="s">
        <v>7410</v>
      </c>
      <c r="C1786" s="423" t="s">
        <v>7378</v>
      </c>
      <c r="D1786" s="423" t="s">
        <v>6871</v>
      </c>
      <c r="E1786" s="423" t="s">
        <v>203</v>
      </c>
      <c r="F1786" s="423">
        <v>16</v>
      </c>
      <c r="G1786" s="423">
        <v>64</v>
      </c>
      <c r="H1786" s="423">
        <v>200</v>
      </c>
      <c r="J1786" s="423"/>
      <c r="K1786" s="423"/>
      <c r="L1786" s="423"/>
      <c r="M1786" s="423"/>
      <c r="Q1786" s="423"/>
      <c r="R1786" s="424" t="s">
        <v>7410</v>
      </c>
      <c r="S1786" s="424" t="s">
        <v>2846</v>
      </c>
      <c r="T1786" s="424" t="s">
        <v>3356</v>
      </c>
      <c r="U1786" s="424">
        <v>0</v>
      </c>
      <c r="V1786" s="424" t="s">
        <v>2824</v>
      </c>
      <c r="W1786" s="424" t="s">
        <v>2974</v>
      </c>
      <c r="X1786" s="424" t="s">
        <v>7388</v>
      </c>
      <c r="Y1786" s="424" t="s">
        <v>2279</v>
      </c>
      <c r="Z1786" s="424" t="s">
        <v>2848</v>
      </c>
      <c r="AA1786" s="424" t="s">
        <v>2849</v>
      </c>
      <c r="AB1786" s="424" t="s">
        <v>7411</v>
      </c>
      <c r="AC1786" s="424" t="s">
        <v>1953</v>
      </c>
      <c r="AD1786" s="424" t="s">
        <v>2851</v>
      </c>
      <c r="AE1786" s="424" t="s">
        <v>3467</v>
      </c>
      <c r="AF1786" s="424"/>
      <c r="AG1786" s="424"/>
      <c r="AH1786" s="424"/>
    </row>
    <row r="1787" spans="1:34" x14ac:dyDescent="0.25">
      <c r="A1787" s="423" t="s">
        <v>7386</v>
      </c>
      <c r="B1787" s="423" t="s">
        <v>7412</v>
      </c>
      <c r="C1787" s="423" t="s">
        <v>7378</v>
      </c>
      <c r="D1787" s="423" t="s">
        <v>6871</v>
      </c>
      <c r="E1787" s="423" t="s">
        <v>203</v>
      </c>
      <c r="F1787" s="423">
        <v>16</v>
      </c>
      <c r="G1787" s="423">
        <v>64</v>
      </c>
      <c r="H1787" s="423">
        <v>200</v>
      </c>
      <c r="J1787" s="423"/>
      <c r="K1787" s="423"/>
      <c r="L1787" s="423"/>
      <c r="M1787" s="423"/>
      <c r="Q1787" s="423"/>
      <c r="R1787" s="424" t="s">
        <v>7412</v>
      </c>
      <c r="S1787" s="424" t="s">
        <v>2846</v>
      </c>
      <c r="T1787" s="424" t="s">
        <v>3356</v>
      </c>
      <c r="U1787" s="424">
        <v>0</v>
      </c>
      <c r="V1787" s="424" t="s">
        <v>2824</v>
      </c>
      <c r="W1787" s="424" t="s">
        <v>2974</v>
      </c>
      <c r="X1787" s="424" t="s">
        <v>7388</v>
      </c>
      <c r="Y1787" s="424" t="s">
        <v>2279</v>
      </c>
      <c r="Z1787" s="424" t="s">
        <v>2848</v>
      </c>
      <c r="AA1787" s="424" t="s">
        <v>2849</v>
      </c>
      <c r="AB1787" s="424" t="s">
        <v>4768</v>
      </c>
      <c r="AC1787" s="424" t="s">
        <v>1953</v>
      </c>
      <c r="AD1787" s="424" t="s">
        <v>2851</v>
      </c>
      <c r="AE1787" s="424" t="s">
        <v>3467</v>
      </c>
      <c r="AF1787" s="424"/>
      <c r="AG1787" s="424"/>
      <c r="AH1787" s="424"/>
    </row>
    <row r="1788" spans="1:34" x14ac:dyDescent="0.25">
      <c r="A1788" s="423" t="s">
        <v>7386</v>
      </c>
      <c r="B1788" s="423" t="s">
        <v>7387</v>
      </c>
      <c r="C1788" s="423" t="s">
        <v>7378</v>
      </c>
      <c r="D1788" s="423" t="s">
        <v>6871</v>
      </c>
      <c r="E1788" s="423" t="s">
        <v>203</v>
      </c>
      <c r="F1788" s="423">
        <v>32</v>
      </c>
      <c r="G1788" s="423">
        <v>64</v>
      </c>
      <c r="H1788" s="423">
        <v>500</v>
      </c>
      <c r="J1788" s="423"/>
      <c r="K1788" s="423"/>
      <c r="L1788" s="423"/>
      <c r="M1788" s="423"/>
      <c r="Q1788" s="423"/>
      <c r="R1788" s="424" t="s">
        <v>7387</v>
      </c>
      <c r="S1788" s="424" t="s">
        <v>2846</v>
      </c>
      <c r="T1788" s="424" t="s">
        <v>5019</v>
      </c>
      <c r="U1788" s="424">
        <v>0</v>
      </c>
      <c r="V1788" s="424" t="s">
        <v>3269</v>
      </c>
      <c r="W1788" s="424" t="s">
        <v>3176</v>
      </c>
      <c r="X1788" s="424" t="s">
        <v>7388</v>
      </c>
      <c r="Y1788" s="424" t="s">
        <v>2279</v>
      </c>
      <c r="Z1788" s="424" t="s">
        <v>3260</v>
      </c>
      <c r="AA1788" s="424" t="s">
        <v>3274</v>
      </c>
      <c r="AB1788" s="424" t="s">
        <v>3340</v>
      </c>
      <c r="AC1788" s="424" t="s">
        <v>1953</v>
      </c>
      <c r="AD1788" s="424" t="s">
        <v>2851</v>
      </c>
      <c r="AE1788" s="424" t="s">
        <v>3341</v>
      </c>
      <c r="AF1788" s="424"/>
      <c r="AG1788" s="424"/>
      <c r="AH1788" s="424"/>
    </row>
    <row r="1789" spans="1:34" x14ac:dyDescent="0.25">
      <c r="A1789" s="423" t="s">
        <v>7386</v>
      </c>
      <c r="B1789" s="423" t="s">
        <v>7389</v>
      </c>
      <c r="C1789" s="423" t="s">
        <v>7378</v>
      </c>
      <c r="D1789" s="423" t="s">
        <v>6871</v>
      </c>
      <c r="E1789" s="423" t="s">
        <v>203</v>
      </c>
      <c r="F1789" s="423">
        <v>32</v>
      </c>
      <c r="G1789" s="423">
        <v>64</v>
      </c>
      <c r="H1789" s="423">
        <v>500</v>
      </c>
      <c r="J1789" s="423"/>
      <c r="K1789" s="423"/>
      <c r="L1789" s="423"/>
      <c r="M1789" s="423"/>
      <c r="Q1789" s="423"/>
      <c r="R1789" s="424" t="s">
        <v>7389</v>
      </c>
      <c r="S1789" s="424" t="s">
        <v>2846</v>
      </c>
      <c r="T1789" s="424" t="s">
        <v>5019</v>
      </c>
      <c r="U1789" s="424">
        <v>0</v>
      </c>
      <c r="V1789" s="424" t="s">
        <v>3269</v>
      </c>
      <c r="W1789" s="424" t="s">
        <v>3176</v>
      </c>
      <c r="X1789" s="424" t="s">
        <v>7388</v>
      </c>
      <c r="Y1789" s="424" t="s">
        <v>2279</v>
      </c>
      <c r="Z1789" s="424" t="s">
        <v>3260</v>
      </c>
      <c r="AA1789" s="424" t="s">
        <v>3274</v>
      </c>
      <c r="AB1789" s="424" t="s">
        <v>5660</v>
      </c>
      <c r="AC1789" s="424" t="s">
        <v>1953</v>
      </c>
      <c r="AD1789" s="424" t="s">
        <v>2851</v>
      </c>
      <c r="AE1789" s="424" t="s">
        <v>5661</v>
      </c>
      <c r="AF1789" s="424"/>
      <c r="AG1789" s="424"/>
      <c r="AH1789" s="424"/>
    </row>
    <row r="1790" spans="1:34" x14ac:dyDescent="0.25">
      <c r="A1790" s="423" t="s">
        <v>7386</v>
      </c>
      <c r="B1790" s="423" t="s">
        <v>7390</v>
      </c>
      <c r="C1790" s="423" t="s">
        <v>7378</v>
      </c>
      <c r="D1790" s="423" t="s">
        <v>6871</v>
      </c>
      <c r="E1790" s="423" t="s">
        <v>203</v>
      </c>
      <c r="F1790" s="423">
        <v>32</v>
      </c>
      <c r="G1790" s="423">
        <v>64</v>
      </c>
      <c r="H1790" s="423">
        <v>500</v>
      </c>
      <c r="J1790" s="423"/>
      <c r="K1790" s="423"/>
      <c r="L1790" s="423"/>
      <c r="M1790" s="423"/>
      <c r="Q1790" s="423"/>
      <c r="R1790" s="424" t="s">
        <v>7390</v>
      </c>
      <c r="S1790" s="424" t="s">
        <v>2846</v>
      </c>
      <c r="T1790" s="424" t="s">
        <v>5019</v>
      </c>
      <c r="U1790" s="424">
        <v>0</v>
      </c>
      <c r="V1790" s="424" t="s">
        <v>3269</v>
      </c>
      <c r="W1790" s="424" t="s">
        <v>3176</v>
      </c>
      <c r="X1790" s="424" t="s">
        <v>7388</v>
      </c>
      <c r="Y1790" s="424" t="s">
        <v>2279</v>
      </c>
      <c r="Z1790" s="424" t="s">
        <v>3260</v>
      </c>
      <c r="AA1790" s="424" t="s">
        <v>3274</v>
      </c>
      <c r="AB1790" s="424" t="s">
        <v>7391</v>
      </c>
      <c r="AC1790" s="424" t="s">
        <v>1953</v>
      </c>
      <c r="AD1790" s="424" t="s">
        <v>2851</v>
      </c>
      <c r="AE1790" s="424" t="s">
        <v>3341</v>
      </c>
      <c r="AF1790" s="424"/>
      <c r="AG1790" s="424"/>
      <c r="AH1790" s="424"/>
    </row>
    <row r="1791" spans="1:34" x14ac:dyDescent="0.25">
      <c r="A1791" s="423" t="s">
        <v>7386</v>
      </c>
      <c r="B1791" s="423" t="s">
        <v>7392</v>
      </c>
      <c r="C1791" s="423" t="s">
        <v>7378</v>
      </c>
      <c r="D1791" s="423" t="s">
        <v>6871</v>
      </c>
      <c r="E1791" s="423" t="s">
        <v>203</v>
      </c>
      <c r="F1791" s="423">
        <v>32</v>
      </c>
      <c r="G1791" s="423">
        <v>32</v>
      </c>
      <c r="H1791" s="423">
        <v>500</v>
      </c>
      <c r="J1791" s="423"/>
      <c r="K1791" s="423"/>
      <c r="L1791" s="423"/>
      <c r="M1791" s="423"/>
      <c r="Q1791" s="423"/>
      <c r="R1791" s="424" t="s">
        <v>7392</v>
      </c>
      <c r="S1791" s="424" t="s">
        <v>2846</v>
      </c>
      <c r="T1791" s="424" t="s">
        <v>5019</v>
      </c>
      <c r="U1791" s="424">
        <v>0</v>
      </c>
      <c r="V1791" s="424" t="s">
        <v>3269</v>
      </c>
      <c r="W1791" s="424" t="s">
        <v>3176</v>
      </c>
      <c r="X1791" s="424" t="s">
        <v>7388</v>
      </c>
      <c r="Y1791" s="424" t="s">
        <v>2279</v>
      </c>
      <c r="Z1791" s="424" t="s">
        <v>3260</v>
      </c>
      <c r="AA1791" s="424" t="s">
        <v>3274</v>
      </c>
      <c r="AB1791" s="424" t="s">
        <v>3343</v>
      </c>
      <c r="AC1791" s="424" t="s">
        <v>1953</v>
      </c>
      <c r="AD1791" s="424" t="s">
        <v>2851</v>
      </c>
      <c r="AE1791" s="424" t="s">
        <v>3341</v>
      </c>
      <c r="AF1791" s="424"/>
      <c r="AG1791" s="424"/>
      <c r="AH1791" s="424"/>
    </row>
    <row r="1792" spans="1:34" x14ac:dyDescent="0.25">
      <c r="A1792" s="423" t="s">
        <v>7386</v>
      </c>
      <c r="B1792" s="423" t="s">
        <v>7393</v>
      </c>
      <c r="C1792" s="423" t="s">
        <v>7378</v>
      </c>
      <c r="D1792" s="423" t="s">
        <v>6871</v>
      </c>
      <c r="E1792" s="423" t="s">
        <v>203</v>
      </c>
      <c r="F1792" s="423">
        <v>32</v>
      </c>
      <c r="G1792" s="423">
        <v>32</v>
      </c>
      <c r="H1792" s="423">
        <v>500</v>
      </c>
      <c r="J1792" s="423"/>
      <c r="K1792" s="423"/>
      <c r="L1792" s="423"/>
      <c r="M1792" s="423"/>
      <c r="Q1792" s="423"/>
      <c r="R1792" s="424" t="s">
        <v>7393</v>
      </c>
      <c r="S1792" s="424" t="s">
        <v>2846</v>
      </c>
      <c r="T1792" s="424" t="s">
        <v>5019</v>
      </c>
      <c r="U1792" s="424">
        <v>0</v>
      </c>
      <c r="V1792" s="424" t="s">
        <v>3269</v>
      </c>
      <c r="W1792" s="424" t="s">
        <v>3176</v>
      </c>
      <c r="X1792" s="424" t="s">
        <v>7388</v>
      </c>
      <c r="Y1792" s="424" t="s">
        <v>2279</v>
      </c>
      <c r="Z1792" s="424" t="s">
        <v>3260</v>
      </c>
      <c r="AA1792" s="424" t="s">
        <v>3274</v>
      </c>
      <c r="AB1792" s="424" t="s">
        <v>7391</v>
      </c>
      <c r="AC1792" s="424" t="s">
        <v>1953</v>
      </c>
      <c r="AD1792" s="424" t="s">
        <v>2851</v>
      </c>
      <c r="AE1792" s="424" t="s">
        <v>3341</v>
      </c>
      <c r="AF1792" s="424"/>
      <c r="AG1792" s="424"/>
      <c r="AH1792" s="424"/>
    </row>
    <row r="1793" spans="1:34" x14ac:dyDescent="0.25">
      <c r="A1793" s="423" t="s">
        <v>7450</v>
      </c>
      <c r="B1793" s="423" t="s">
        <v>7451</v>
      </c>
      <c r="C1793" s="423" t="s">
        <v>7378</v>
      </c>
      <c r="D1793" s="423" t="s">
        <v>6871</v>
      </c>
      <c r="E1793" s="423" t="s">
        <v>203</v>
      </c>
      <c r="F1793" s="423">
        <v>8</v>
      </c>
      <c r="G1793" s="423">
        <v>32</v>
      </c>
      <c r="H1793" s="423">
        <v>500</v>
      </c>
      <c r="J1793" s="423"/>
      <c r="K1793" s="423"/>
      <c r="L1793" s="423"/>
      <c r="M1793" s="423"/>
      <c r="Q1793" s="423"/>
      <c r="R1793" s="424" t="s">
        <v>7451</v>
      </c>
      <c r="S1793" s="424" t="s">
        <v>2846</v>
      </c>
      <c r="T1793" s="424" t="s">
        <v>3268</v>
      </c>
      <c r="U1793" s="424">
        <v>0</v>
      </c>
      <c r="V1793" s="424" t="s">
        <v>3269</v>
      </c>
      <c r="W1793" s="424" t="s">
        <v>3176</v>
      </c>
      <c r="X1793" s="424" t="s">
        <v>2825</v>
      </c>
      <c r="Y1793" s="424" t="s">
        <v>2279</v>
      </c>
      <c r="Z1793" s="424" t="s">
        <v>3260</v>
      </c>
      <c r="AA1793" s="424" t="s">
        <v>3197</v>
      </c>
      <c r="AB1793" s="424" t="s">
        <v>3549</v>
      </c>
      <c r="AC1793" s="424" t="s">
        <v>1953</v>
      </c>
      <c r="AD1793" s="424" t="s">
        <v>2851</v>
      </c>
      <c r="AE1793" s="424" t="s">
        <v>3550</v>
      </c>
      <c r="AF1793" s="424"/>
      <c r="AG1793" s="424"/>
      <c r="AH1793" s="424"/>
    </row>
    <row r="1794" spans="1:34" x14ac:dyDescent="0.25">
      <c r="A1794" s="423" t="s">
        <v>7450</v>
      </c>
      <c r="B1794" s="423" t="s">
        <v>7452</v>
      </c>
      <c r="C1794" s="423" t="s">
        <v>7378</v>
      </c>
      <c r="D1794" s="423" t="s">
        <v>6871</v>
      </c>
      <c r="E1794" s="423" t="s">
        <v>203</v>
      </c>
      <c r="F1794" s="423">
        <v>8</v>
      </c>
      <c r="G1794" s="423">
        <v>32</v>
      </c>
      <c r="H1794" s="423">
        <v>500</v>
      </c>
      <c r="J1794" s="423"/>
      <c r="K1794" s="423"/>
      <c r="L1794" s="423"/>
      <c r="M1794" s="423"/>
      <c r="Q1794" s="423"/>
      <c r="R1794" s="424" t="s">
        <v>7452</v>
      </c>
      <c r="S1794" s="424" t="s">
        <v>2846</v>
      </c>
      <c r="T1794" s="424" t="s">
        <v>3268</v>
      </c>
      <c r="U1794" s="424">
        <v>0</v>
      </c>
      <c r="V1794" s="424" t="s">
        <v>3269</v>
      </c>
      <c r="W1794" s="424" t="s">
        <v>3074</v>
      </c>
      <c r="X1794" s="424" t="s">
        <v>2825</v>
      </c>
      <c r="Y1794" s="424" t="s">
        <v>2279</v>
      </c>
      <c r="Z1794" s="424" t="s">
        <v>3260</v>
      </c>
      <c r="AA1794" s="424" t="s">
        <v>3197</v>
      </c>
      <c r="AB1794" s="424" t="s">
        <v>7453</v>
      </c>
      <c r="AC1794" s="424" t="s">
        <v>1953</v>
      </c>
      <c r="AD1794" s="424" t="s">
        <v>2851</v>
      </c>
      <c r="AE1794" s="424" t="s">
        <v>3481</v>
      </c>
      <c r="AF1794" s="424"/>
      <c r="AG1794" s="424"/>
      <c r="AH1794" s="424"/>
    </row>
    <row r="1795" spans="1:34" x14ac:dyDescent="0.25">
      <c r="A1795" s="423" t="s">
        <v>7450</v>
      </c>
      <c r="B1795" s="423" t="s">
        <v>7454</v>
      </c>
      <c r="C1795" s="423" t="s">
        <v>7378</v>
      </c>
      <c r="D1795" s="423" t="s">
        <v>6871</v>
      </c>
      <c r="E1795" s="423" t="s">
        <v>203</v>
      </c>
      <c r="F1795" s="423">
        <v>8</v>
      </c>
      <c r="G1795" s="423">
        <v>32</v>
      </c>
      <c r="H1795" s="423">
        <v>500</v>
      </c>
      <c r="J1795" s="423"/>
      <c r="K1795" s="423"/>
      <c r="L1795" s="423"/>
      <c r="M1795" s="423"/>
      <c r="Q1795" s="423"/>
      <c r="R1795" s="424" t="s">
        <v>7454</v>
      </c>
      <c r="S1795" s="424" t="s">
        <v>2846</v>
      </c>
      <c r="T1795" s="424" t="s">
        <v>3268</v>
      </c>
      <c r="U1795" s="424">
        <v>0</v>
      </c>
      <c r="V1795" s="424" t="s">
        <v>3269</v>
      </c>
      <c r="W1795" s="424" t="s">
        <v>3176</v>
      </c>
      <c r="X1795" s="424" t="s">
        <v>2825</v>
      </c>
      <c r="Y1795" s="424" t="s">
        <v>2279</v>
      </c>
      <c r="Z1795" s="424" t="s">
        <v>3260</v>
      </c>
      <c r="AA1795" s="424" t="s">
        <v>3197</v>
      </c>
      <c r="AB1795" s="424" t="s">
        <v>3687</v>
      </c>
      <c r="AC1795" s="424" t="s">
        <v>1953</v>
      </c>
      <c r="AD1795" s="424" t="s">
        <v>2851</v>
      </c>
      <c r="AE1795" s="424" t="s">
        <v>3317</v>
      </c>
      <c r="AF1795" s="424"/>
      <c r="AG1795" s="424"/>
      <c r="AH1795" s="424"/>
    </row>
    <row r="1796" spans="1:34" x14ac:dyDescent="0.25">
      <c r="A1796" s="423" t="s">
        <v>7450</v>
      </c>
      <c r="B1796" s="423" t="s">
        <v>7455</v>
      </c>
      <c r="C1796" s="423" t="s">
        <v>7378</v>
      </c>
      <c r="D1796" s="423" t="s">
        <v>6871</v>
      </c>
      <c r="E1796" s="423" t="s">
        <v>203</v>
      </c>
      <c r="F1796" s="423">
        <v>8</v>
      </c>
      <c r="G1796" s="423">
        <v>32</v>
      </c>
      <c r="H1796" s="423">
        <v>500</v>
      </c>
      <c r="J1796" s="423"/>
      <c r="K1796" s="423"/>
      <c r="L1796" s="423"/>
      <c r="M1796" s="423"/>
      <c r="Q1796" s="423"/>
      <c r="R1796" s="424" t="s">
        <v>7455</v>
      </c>
      <c r="S1796" s="424" t="s">
        <v>2846</v>
      </c>
      <c r="T1796" s="424" t="s">
        <v>3268</v>
      </c>
      <c r="U1796" s="424">
        <v>0</v>
      </c>
      <c r="V1796" s="424" t="s">
        <v>3269</v>
      </c>
      <c r="W1796" s="424" t="s">
        <v>3054</v>
      </c>
      <c r="X1796" s="424" t="s">
        <v>2825</v>
      </c>
      <c r="Y1796" s="424" t="s">
        <v>2279</v>
      </c>
      <c r="Z1796" s="424" t="s">
        <v>2889</v>
      </c>
      <c r="AA1796" s="424" t="s">
        <v>3311</v>
      </c>
      <c r="AB1796" s="424" t="s">
        <v>3594</v>
      </c>
      <c r="AC1796" s="424" t="s">
        <v>1953</v>
      </c>
      <c r="AD1796" s="424" t="s">
        <v>2851</v>
      </c>
      <c r="AE1796" s="424" t="s">
        <v>3595</v>
      </c>
      <c r="AF1796" s="424"/>
      <c r="AG1796" s="424"/>
      <c r="AH1796" s="424"/>
    </row>
    <row r="1797" spans="1:34" x14ac:dyDescent="0.25">
      <c r="A1797" s="423" t="s">
        <v>7450</v>
      </c>
      <c r="B1797" s="423" t="s">
        <v>7456</v>
      </c>
      <c r="C1797" s="423" t="s">
        <v>7378</v>
      </c>
      <c r="D1797" s="423" t="s">
        <v>6871</v>
      </c>
      <c r="E1797" s="423" t="s">
        <v>203</v>
      </c>
      <c r="F1797" s="423">
        <v>24</v>
      </c>
      <c r="G1797" s="423">
        <v>48</v>
      </c>
      <c r="H1797" s="423">
        <v>500</v>
      </c>
      <c r="J1797" s="423"/>
      <c r="K1797" s="423"/>
      <c r="L1797" s="423"/>
      <c r="M1797" s="423"/>
      <c r="Q1797" s="423"/>
      <c r="R1797" s="424" t="s">
        <v>7457</v>
      </c>
      <c r="S1797" s="424" t="s">
        <v>2846</v>
      </c>
      <c r="T1797" s="424" t="s">
        <v>2847</v>
      </c>
      <c r="U1797" s="424">
        <v>0</v>
      </c>
      <c r="V1797" s="424" t="s">
        <v>3269</v>
      </c>
      <c r="W1797" s="424" t="s">
        <v>3176</v>
      </c>
      <c r="X1797" s="424" t="s">
        <v>2825</v>
      </c>
      <c r="Y1797" s="424" t="s">
        <v>2279</v>
      </c>
      <c r="Z1797" s="424" t="s">
        <v>3260</v>
      </c>
      <c r="AA1797" s="424" t="s">
        <v>3197</v>
      </c>
      <c r="AB1797" s="424" t="s">
        <v>3323</v>
      </c>
      <c r="AC1797" s="424" t="s">
        <v>1953</v>
      </c>
      <c r="AD1797" s="424" t="s">
        <v>2851</v>
      </c>
      <c r="AE1797" s="424" t="s">
        <v>3324</v>
      </c>
      <c r="AF1797" s="424"/>
      <c r="AG1797" s="424"/>
      <c r="AH1797" s="424"/>
    </row>
    <row r="1798" spans="1:34" x14ac:dyDescent="0.25">
      <c r="A1798" s="423" t="s">
        <v>7450</v>
      </c>
      <c r="B1798" s="423" t="s">
        <v>7458</v>
      </c>
      <c r="C1798" s="423" t="s">
        <v>7378</v>
      </c>
      <c r="D1798" s="423" t="s">
        <v>6871</v>
      </c>
      <c r="E1798" s="423" t="s">
        <v>203</v>
      </c>
      <c r="F1798" s="423">
        <v>24</v>
      </c>
      <c r="G1798" s="423">
        <v>64</v>
      </c>
      <c r="H1798" s="423">
        <v>500</v>
      </c>
      <c r="J1798" s="423"/>
      <c r="K1798" s="423"/>
      <c r="L1798" s="423"/>
      <c r="M1798" s="423"/>
      <c r="Q1798" s="423"/>
      <c r="R1798" s="424" t="s">
        <v>7459</v>
      </c>
      <c r="S1798" s="424" t="s">
        <v>2846</v>
      </c>
      <c r="T1798" s="424" t="s">
        <v>2847</v>
      </c>
      <c r="U1798" s="424">
        <v>0</v>
      </c>
      <c r="V1798" s="424" t="s">
        <v>3269</v>
      </c>
      <c r="W1798" s="424" t="s">
        <v>3055</v>
      </c>
      <c r="X1798" s="424" t="s">
        <v>2825</v>
      </c>
      <c r="Y1798" s="424" t="s">
        <v>2279</v>
      </c>
      <c r="Z1798" s="424" t="s">
        <v>3260</v>
      </c>
      <c r="AA1798" s="424" t="s">
        <v>3197</v>
      </c>
      <c r="AB1798" s="424" t="s">
        <v>7460</v>
      </c>
      <c r="AC1798" s="424" t="s">
        <v>1953</v>
      </c>
      <c r="AD1798" s="424" t="s">
        <v>2851</v>
      </c>
      <c r="AE1798" s="424" t="s">
        <v>5271</v>
      </c>
      <c r="AF1798" s="424"/>
      <c r="AG1798" s="424"/>
      <c r="AH1798" s="424"/>
    </row>
    <row r="1799" spans="1:34" x14ac:dyDescent="0.25">
      <c r="A1799" s="423" t="s">
        <v>7461</v>
      </c>
      <c r="B1799" s="423" t="s">
        <v>7462</v>
      </c>
      <c r="C1799" s="423" t="s">
        <v>7463</v>
      </c>
      <c r="D1799" s="423" t="s">
        <v>6871</v>
      </c>
      <c r="E1799" s="423" t="s">
        <v>203</v>
      </c>
      <c r="F1799" s="423">
        <v>8</v>
      </c>
      <c r="G1799" s="423">
        <v>16</v>
      </c>
      <c r="H1799" s="423">
        <v>260</v>
      </c>
      <c r="J1799" s="423"/>
      <c r="K1799" s="423"/>
      <c r="L1799" s="423"/>
      <c r="M1799" s="423"/>
      <c r="Q1799" s="423"/>
      <c r="R1799" s="424" t="s">
        <v>7464</v>
      </c>
      <c r="S1799" s="424" t="s">
        <v>2846</v>
      </c>
      <c r="T1799" s="424" t="s">
        <v>3906</v>
      </c>
      <c r="U1799" s="424">
        <v>0</v>
      </c>
      <c r="V1799" s="424" t="s">
        <v>7465</v>
      </c>
      <c r="W1799" s="424" t="s">
        <v>3694</v>
      </c>
      <c r="X1799" s="424" t="s">
        <v>2224</v>
      </c>
      <c r="Y1799" s="424" t="s">
        <v>3908</v>
      </c>
      <c r="Z1799" s="424" t="s">
        <v>2872</v>
      </c>
      <c r="AA1799" s="424" t="s">
        <v>3197</v>
      </c>
      <c r="AB1799" s="424" t="s">
        <v>5099</v>
      </c>
      <c r="AC1799" s="424" t="s">
        <v>3910</v>
      </c>
      <c r="AD1799" s="424" t="s">
        <v>3911</v>
      </c>
      <c r="AE1799" s="424" t="s">
        <v>3923</v>
      </c>
      <c r="AF1799" s="424"/>
      <c r="AG1799" s="424"/>
      <c r="AH1799" s="424"/>
    </row>
    <row r="1800" spans="1:34" x14ac:dyDescent="0.25">
      <c r="A1800" s="423" t="s">
        <v>7461</v>
      </c>
      <c r="B1800" s="423" t="s">
        <v>7466</v>
      </c>
      <c r="C1800" s="423" t="s">
        <v>7463</v>
      </c>
      <c r="D1800" s="423" t="s">
        <v>6871</v>
      </c>
      <c r="E1800" s="423" t="s">
        <v>203</v>
      </c>
      <c r="F1800" s="423">
        <v>8</v>
      </c>
      <c r="G1800" s="423">
        <v>16</v>
      </c>
      <c r="H1800" s="423">
        <v>260</v>
      </c>
      <c r="J1800" s="423"/>
      <c r="K1800" s="423"/>
      <c r="L1800" s="423"/>
      <c r="M1800" s="423"/>
      <c r="Q1800" s="423"/>
      <c r="R1800" s="424" t="s">
        <v>7467</v>
      </c>
      <c r="S1800" s="424" t="s">
        <v>2846</v>
      </c>
      <c r="T1800" s="424" t="s">
        <v>3906</v>
      </c>
      <c r="U1800" s="424">
        <v>0</v>
      </c>
      <c r="V1800" s="424" t="s">
        <v>7465</v>
      </c>
      <c r="W1800" s="424" t="s">
        <v>3694</v>
      </c>
      <c r="X1800" s="424" t="s">
        <v>2224</v>
      </c>
      <c r="Y1800" s="424" t="s">
        <v>3908</v>
      </c>
      <c r="Z1800" s="424" t="s">
        <v>2872</v>
      </c>
      <c r="AA1800" s="424" t="s">
        <v>3197</v>
      </c>
      <c r="AB1800" s="424" t="s">
        <v>7468</v>
      </c>
      <c r="AC1800" s="424" t="s">
        <v>3910</v>
      </c>
      <c r="AD1800" s="424" t="s">
        <v>3911</v>
      </c>
      <c r="AE1800" s="424" t="s">
        <v>5103</v>
      </c>
      <c r="AF1800" s="424"/>
      <c r="AG1800" s="424"/>
      <c r="AH1800" s="424"/>
    </row>
    <row r="1801" spans="1:34" x14ac:dyDescent="0.25">
      <c r="A1801" s="423" t="s">
        <v>7461</v>
      </c>
      <c r="B1801" s="423" t="s">
        <v>7469</v>
      </c>
      <c r="C1801" s="423" t="s">
        <v>7463</v>
      </c>
      <c r="D1801" s="423" t="s">
        <v>6871</v>
      </c>
      <c r="E1801" s="423" t="s">
        <v>203</v>
      </c>
      <c r="F1801" s="423">
        <v>8</v>
      </c>
      <c r="G1801" s="423">
        <v>16</v>
      </c>
      <c r="H1801" s="423">
        <v>260</v>
      </c>
      <c r="J1801" s="423"/>
      <c r="K1801" s="423"/>
      <c r="L1801" s="423"/>
      <c r="M1801" s="423"/>
      <c r="Q1801" s="423"/>
      <c r="R1801" s="424" t="s">
        <v>7470</v>
      </c>
      <c r="S1801" s="424" t="s">
        <v>2846</v>
      </c>
      <c r="T1801" s="424" t="s">
        <v>3906</v>
      </c>
      <c r="U1801" s="424">
        <v>0</v>
      </c>
      <c r="V1801" s="424" t="s">
        <v>7465</v>
      </c>
      <c r="W1801" s="424" t="s">
        <v>3694</v>
      </c>
      <c r="X1801" s="424" t="s">
        <v>2224</v>
      </c>
      <c r="Y1801" s="424" t="s">
        <v>3908</v>
      </c>
      <c r="Z1801" s="424" t="s">
        <v>2872</v>
      </c>
      <c r="AA1801" s="424" t="s">
        <v>3197</v>
      </c>
      <c r="AB1801" s="424" t="s">
        <v>6122</v>
      </c>
      <c r="AC1801" s="424" t="s">
        <v>3910</v>
      </c>
      <c r="AD1801" s="424" t="s">
        <v>6007</v>
      </c>
      <c r="AE1801" s="424" t="s">
        <v>6016</v>
      </c>
      <c r="AF1801" s="424"/>
      <c r="AG1801" s="424"/>
      <c r="AH1801" s="424"/>
    </row>
    <row r="1802" spans="1:34" x14ac:dyDescent="0.25">
      <c r="A1802" s="423" t="s">
        <v>7461</v>
      </c>
      <c r="B1802" s="423" t="s">
        <v>7471</v>
      </c>
      <c r="C1802" s="423" t="s">
        <v>7463</v>
      </c>
      <c r="D1802" s="423" t="s">
        <v>6871</v>
      </c>
      <c r="E1802" s="423" t="s">
        <v>203</v>
      </c>
      <c r="F1802" s="423">
        <v>8</v>
      </c>
      <c r="G1802" s="423">
        <v>16</v>
      </c>
      <c r="H1802" s="423">
        <v>260</v>
      </c>
      <c r="J1802" s="423"/>
      <c r="K1802" s="423"/>
      <c r="L1802" s="423"/>
      <c r="M1802" s="423"/>
      <c r="Q1802" s="423"/>
      <c r="R1802" s="424" t="s">
        <v>7472</v>
      </c>
      <c r="S1802" s="424" t="s">
        <v>2846</v>
      </c>
      <c r="T1802" s="424" t="s">
        <v>3906</v>
      </c>
      <c r="U1802" s="424">
        <v>0</v>
      </c>
      <c r="V1802" s="424" t="s">
        <v>7465</v>
      </c>
      <c r="W1802" s="424" t="s">
        <v>3694</v>
      </c>
      <c r="X1802" s="424" t="s">
        <v>2224</v>
      </c>
      <c r="Y1802" s="424" t="s">
        <v>3908</v>
      </c>
      <c r="Z1802" s="424" t="s">
        <v>2872</v>
      </c>
      <c r="AA1802" s="424" t="s">
        <v>3197</v>
      </c>
      <c r="AB1802" s="424" t="s">
        <v>5094</v>
      </c>
      <c r="AC1802" s="424" t="s">
        <v>3910</v>
      </c>
      <c r="AD1802" s="424" t="s">
        <v>3911</v>
      </c>
      <c r="AE1802" s="424" t="s">
        <v>3923</v>
      </c>
      <c r="AF1802" s="424"/>
      <c r="AG1802" s="424"/>
      <c r="AH1802" s="424"/>
    </row>
    <row r="1803" spans="1:34" x14ac:dyDescent="0.25">
      <c r="A1803" s="423" t="s">
        <v>7461</v>
      </c>
      <c r="B1803" s="423" t="s">
        <v>7473</v>
      </c>
      <c r="C1803" s="423" t="s">
        <v>7463</v>
      </c>
      <c r="D1803" s="423" t="s">
        <v>6871</v>
      </c>
      <c r="E1803" s="423" t="s">
        <v>203</v>
      </c>
      <c r="F1803" s="423">
        <v>8</v>
      </c>
      <c r="G1803" s="423">
        <v>16</v>
      </c>
      <c r="H1803" s="423">
        <v>260</v>
      </c>
      <c r="J1803" s="423"/>
      <c r="K1803" s="423"/>
      <c r="L1803" s="423"/>
      <c r="M1803" s="423"/>
      <c r="Q1803" s="423"/>
      <c r="R1803" s="424" t="s">
        <v>7474</v>
      </c>
      <c r="S1803" s="424" t="s">
        <v>2846</v>
      </c>
      <c r="T1803" s="424" t="s">
        <v>3906</v>
      </c>
      <c r="U1803" s="424">
        <v>0</v>
      </c>
      <c r="V1803" s="424" t="s">
        <v>7465</v>
      </c>
      <c r="W1803" s="424" t="s">
        <v>3694</v>
      </c>
      <c r="X1803" s="424" t="s">
        <v>2224</v>
      </c>
      <c r="Y1803" s="424" t="s">
        <v>3908</v>
      </c>
      <c r="Z1803" s="424" t="s">
        <v>2872</v>
      </c>
      <c r="AA1803" s="424" t="s">
        <v>3197</v>
      </c>
      <c r="AB1803" s="424" t="s">
        <v>7468</v>
      </c>
      <c r="AC1803" s="424" t="s">
        <v>3910</v>
      </c>
      <c r="AD1803" s="424" t="s">
        <v>3911</v>
      </c>
      <c r="AE1803" s="424" t="s">
        <v>5103</v>
      </c>
      <c r="AF1803" s="424"/>
      <c r="AG1803" s="424"/>
      <c r="AH1803" s="424"/>
    </row>
    <row r="1804" spans="1:34" x14ac:dyDescent="0.25">
      <c r="A1804" s="423" t="s">
        <v>7461</v>
      </c>
      <c r="B1804" s="423" t="s">
        <v>7475</v>
      </c>
      <c r="C1804" s="423" t="s">
        <v>7463</v>
      </c>
      <c r="D1804" s="423" t="s">
        <v>6871</v>
      </c>
      <c r="E1804" s="423" t="s">
        <v>203</v>
      </c>
      <c r="F1804" s="423">
        <v>8</v>
      </c>
      <c r="G1804" s="423">
        <v>16</v>
      </c>
      <c r="H1804" s="423">
        <v>260</v>
      </c>
      <c r="J1804" s="423"/>
      <c r="K1804" s="423"/>
      <c r="L1804" s="423"/>
      <c r="M1804" s="423"/>
      <c r="Q1804" s="423"/>
      <c r="R1804" s="424" t="s">
        <v>7476</v>
      </c>
      <c r="S1804" s="424" t="s">
        <v>2846</v>
      </c>
      <c r="T1804" s="424" t="s">
        <v>3906</v>
      </c>
      <c r="U1804" s="424">
        <v>0</v>
      </c>
      <c r="V1804" s="424" t="s">
        <v>7465</v>
      </c>
      <c r="W1804" s="424" t="s">
        <v>3694</v>
      </c>
      <c r="X1804" s="424" t="s">
        <v>2224</v>
      </c>
      <c r="Y1804" s="424" t="s">
        <v>3908</v>
      </c>
      <c r="Z1804" s="424" t="s">
        <v>2872</v>
      </c>
      <c r="AA1804" s="424" t="s">
        <v>3197</v>
      </c>
      <c r="AB1804" s="424" t="s">
        <v>7477</v>
      </c>
      <c r="AC1804" s="424" t="s">
        <v>3910</v>
      </c>
      <c r="AD1804" s="424" t="s">
        <v>6007</v>
      </c>
      <c r="AE1804" s="424" t="s">
        <v>6016</v>
      </c>
      <c r="AF1804" s="424"/>
      <c r="AG1804" s="424"/>
      <c r="AH1804" s="424"/>
    </row>
    <row r="1805" spans="1:34" x14ac:dyDescent="0.25">
      <c r="A1805" s="423" t="s">
        <v>7461</v>
      </c>
      <c r="B1805" s="423" t="s">
        <v>7478</v>
      </c>
      <c r="C1805" s="423" t="s">
        <v>7463</v>
      </c>
      <c r="D1805" s="423" t="s">
        <v>6871</v>
      </c>
      <c r="E1805" s="423" t="s">
        <v>203</v>
      </c>
      <c r="F1805" s="423">
        <v>8</v>
      </c>
      <c r="G1805" s="423">
        <v>16</v>
      </c>
      <c r="H1805" s="423">
        <v>160</v>
      </c>
      <c r="J1805" s="423"/>
      <c r="K1805" s="423"/>
      <c r="L1805" s="423"/>
      <c r="M1805" s="423"/>
      <c r="Q1805" s="423"/>
      <c r="R1805" s="424" t="s">
        <v>7479</v>
      </c>
      <c r="S1805" s="424" t="s">
        <v>2846</v>
      </c>
      <c r="T1805" s="424" t="s">
        <v>3906</v>
      </c>
      <c r="U1805" s="424">
        <v>0</v>
      </c>
      <c r="V1805" s="424" t="s">
        <v>7465</v>
      </c>
      <c r="W1805" s="424" t="s">
        <v>3694</v>
      </c>
      <c r="X1805" s="424" t="s">
        <v>2224</v>
      </c>
      <c r="Y1805" s="424" t="s">
        <v>3908</v>
      </c>
      <c r="Z1805" s="424" t="s">
        <v>2872</v>
      </c>
      <c r="AA1805" s="424" t="s">
        <v>3197</v>
      </c>
      <c r="AB1805" s="424" t="s">
        <v>3915</v>
      </c>
      <c r="AC1805" s="424" t="s">
        <v>3910</v>
      </c>
      <c r="AD1805" s="424" t="s">
        <v>3911</v>
      </c>
      <c r="AE1805" s="424" t="s">
        <v>3916</v>
      </c>
      <c r="AF1805" s="424"/>
      <c r="AG1805" s="424"/>
      <c r="AH1805" s="424"/>
    </row>
    <row r="1806" spans="1:34" x14ac:dyDescent="0.25">
      <c r="A1806" s="423" t="s">
        <v>7461</v>
      </c>
      <c r="B1806" s="423" t="s">
        <v>7480</v>
      </c>
      <c r="C1806" s="423" t="s">
        <v>7463</v>
      </c>
      <c r="D1806" s="423" t="s">
        <v>6871</v>
      </c>
      <c r="E1806" s="423" t="s">
        <v>203</v>
      </c>
      <c r="F1806" s="423">
        <v>8</v>
      </c>
      <c r="G1806" s="423">
        <v>16</v>
      </c>
      <c r="H1806" s="423">
        <v>160</v>
      </c>
      <c r="J1806" s="423"/>
      <c r="K1806" s="423"/>
      <c r="L1806" s="423"/>
      <c r="M1806" s="423"/>
      <c r="Q1806" s="423"/>
      <c r="R1806" s="424" t="s">
        <v>7481</v>
      </c>
      <c r="S1806" s="424" t="s">
        <v>2846</v>
      </c>
      <c r="T1806" s="424" t="s">
        <v>3906</v>
      </c>
      <c r="U1806" s="424">
        <v>0</v>
      </c>
      <c r="V1806" s="424" t="s">
        <v>7465</v>
      </c>
      <c r="W1806" s="424" t="s">
        <v>3694</v>
      </c>
      <c r="X1806" s="424" t="s">
        <v>2224</v>
      </c>
      <c r="Y1806" s="424" t="s">
        <v>3908</v>
      </c>
      <c r="Z1806" s="424" t="s">
        <v>2872</v>
      </c>
      <c r="AA1806" s="424" t="s">
        <v>3197</v>
      </c>
      <c r="AB1806" s="424" t="s">
        <v>7482</v>
      </c>
      <c r="AC1806" s="424" t="s">
        <v>3910</v>
      </c>
      <c r="AD1806" s="424" t="s">
        <v>3911</v>
      </c>
      <c r="AE1806" s="424" t="s">
        <v>5103</v>
      </c>
      <c r="AF1806" s="424"/>
      <c r="AG1806" s="424"/>
      <c r="AH1806" s="424"/>
    </row>
    <row r="1807" spans="1:34" x14ac:dyDescent="0.25">
      <c r="A1807" s="423" t="s">
        <v>7461</v>
      </c>
      <c r="B1807" s="423" t="s">
        <v>7483</v>
      </c>
      <c r="C1807" s="423" t="s">
        <v>7463</v>
      </c>
      <c r="D1807" s="423" t="s">
        <v>6871</v>
      </c>
      <c r="E1807" s="423" t="s">
        <v>203</v>
      </c>
      <c r="F1807" s="423">
        <v>8</v>
      </c>
      <c r="G1807" s="423">
        <v>16</v>
      </c>
      <c r="H1807" s="423">
        <v>160</v>
      </c>
      <c r="J1807" s="423"/>
      <c r="K1807" s="423"/>
      <c r="L1807" s="423"/>
      <c r="M1807" s="423"/>
      <c r="Q1807" s="423"/>
      <c r="R1807" s="424" t="s">
        <v>7484</v>
      </c>
      <c r="S1807" s="424" t="s">
        <v>2846</v>
      </c>
      <c r="T1807" s="424" t="s">
        <v>3906</v>
      </c>
      <c r="U1807" s="424">
        <v>0</v>
      </c>
      <c r="V1807" s="424" t="s">
        <v>7465</v>
      </c>
      <c r="W1807" s="424" t="s">
        <v>3694</v>
      </c>
      <c r="X1807" s="424" t="s">
        <v>2224</v>
      </c>
      <c r="Y1807" s="424" t="s">
        <v>3908</v>
      </c>
      <c r="Z1807" s="424" t="s">
        <v>2872</v>
      </c>
      <c r="AA1807" s="424" t="s">
        <v>3197</v>
      </c>
      <c r="AB1807" s="424" t="s">
        <v>7485</v>
      </c>
      <c r="AC1807" s="424" t="s">
        <v>3910</v>
      </c>
      <c r="AD1807" s="424" t="s">
        <v>3911</v>
      </c>
      <c r="AE1807" s="424" t="s">
        <v>3916</v>
      </c>
      <c r="AF1807" s="424"/>
      <c r="AG1807" s="424"/>
      <c r="AH1807" s="424"/>
    </row>
    <row r="1808" spans="1:34" x14ac:dyDescent="0.25">
      <c r="A1808" s="423" t="s">
        <v>7461</v>
      </c>
      <c r="B1808" s="423" t="s">
        <v>7486</v>
      </c>
      <c r="C1808" s="423" t="s">
        <v>7463</v>
      </c>
      <c r="D1808" s="423" t="s">
        <v>6871</v>
      </c>
      <c r="E1808" s="423" t="s">
        <v>203</v>
      </c>
      <c r="F1808" s="423">
        <v>8</v>
      </c>
      <c r="G1808" s="423">
        <v>16</v>
      </c>
      <c r="H1808" s="423">
        <v>160</v>
      </c>
      <c r="J1808" s="423"/>
      <c r="K1808" s="423"/>
      <c r="L1808" s="423"/>
      <c r="M1808" s="423"/>
      <c r="Q1808" s="423"/>
      <c r="R1808" s="424" t="s">
        <v>7487</v>
      </c>
      <c r="S1808" s="424" t="s">
        <v>2846</v>
      </c>
      <c r="T1808" s="424" t="s">
        <v>3906</v>
      </c>
      <c r="U1808" s="424">
        <v>0</v>
      </c>
      <c r="V1808" s="424" t="s">
        <v>7465</v>
      </c>
      <c r="W1808" s="424" t="s">
        <v>3694</v>
      </c>
      <c r="X1808" s="424" t="s">
        <v>2224</v>
      </c>
      <c r="Y1808" s="424" t="s">
        <v>3908</v>
      </c>
      <c r="Z1808" s="424" t="s">
        <v>2872</v>
      </c>
      <c r="AA1808" s="424" t="s">
        <v>3197</v>
      </c>
      <c r="AB1808" s="424" t="s">
        <v>7488</v>
      </c>
      <c r="AC1808" s="424" t="s">
        <v>3910</v>
      </c>
      <c r="AD1808" s="424" t="s">
        <v>3911</v>
      </c>
      <c r="AE1808" s="424" t="s">
        <v>5103</v>
      </c>
      <c r="AF1808" s="424"/>
      <c r="AG1808" s="424"/>
      <c r="AH1808" s="424"/>
    </row>
    <row r="1809" spans="1:34" x14ac:dyDescent="0.25">
      <c r="A1809" s="423" t="s">
        <v>7461</v>
      </c>
      <c r="B1809" s="423" t="s">
        <v>7489</v>
      </c>
      <c r="C1809" s="423" t="s">
        <v>7463</v>
      </c>
      <c r="D1809" s="423" t="s">
        <v>6871</v>
      </c>
      <c r="E1809" s="423" t="s">
        <v>203</v>
      </c>
      <c r="F1809" s="423">
        <v>8</v>
      </c>
      <c r="G1809" s="423">
        <v>16</v>
      </c>
      <c r="H1809" s="423">
        <v>160</v>
      </c>
      <c r="J1809" s="423"/>
      <c r="K1809" s="423"/>
      <c r="L1809" s="423"/>
      <c r="M1809" s="423"/>
      <c r="Q1809" s="423"/>
      <c r="R1809" s="424" t="s">
        <v>7490</v>
      </c>
      <c r="S1809" s="424" t="s">
        <v>2846</v>
      </c>
      <c r="T1809" s="424" t="s">
        <v>3906</v>
      </c>
      <c r="U1809" s="424">
        <v>0</v>
      </c>
      <c r="V1809" s="424" t="s">
        <v>7465</v>
      </c>
      <c r="W1809" s="424" t="s">
        <v>3694</v>
      </c>
      <c r="X1809" s="424" t="s">
        <v>2224</v>
      </c>
      <c r="Y1809" s="424" t="s">
        <v>3908</v>
      </c>
      <c r="Z1809" s="424" t="s">
        <v>2872</v>
      </c>
      <c r="AA1809" s="424" t="s">
        <v>3197</v>
      </c>
      <c r="AB1809" s="424" t="s">
        <v>5135</v>
      </c>
      <c r="AC1809" s="424" t="s">
        <v>3910</v>
      </c>
      <c r="AD1809" s="424" t="s">
        <v>3911</v>
      </c>
      <c r="AE1809" s="424" t="s">
        <v>3916</v>
      </c>
      <c r="AF1809" s="424"/>
      <c r="AG1809" s="424"/>
      <c r="AH1809" s="424"/>
    </row>
    <row r="1810" spans="1:34" x14ac:dyDescent="0.25">
      <c r="A1810" s="423" t="s">
        <v>7461</v>
      </c>
      <c r="B1810" s="423" t="s">
        <v>7491</v>
      </c>
      <c r="C1810" s="423" t="s">
        <v>7463</v>
      </c>
      <c r="D1810" s="423" t="s">
        <v>6871</v>
      </c>
      <c r="E1810" s="423" t="s">
        <v>203</v>
      </c>
      <c r="F1810" s="423">
        <v>8</v>
      </c>
      <c r="G1810" s="423">
        <v>16</v>
      </c>
      <c r="H1810" s="423">
        <v>160</v>
      </c>
      <c r="J1810" s="423"/>
      <c r="K1810" s="423"/>
      <c r="L1810" s="423"/>
      <c r="M1810" s="423"/>
      <c r="Q1810" s="423"/>
      <c r="R1810" s="424" t="s">
        <v>7492</v>
      </c>
      <c r="S1810" s="424" t="s">
        <v>2846</v>
      </c>
      <c r="T1810" s="424" t="s">
        <v>3906</v>
      </c>
      <c r="U1810" s="424">
        <v>0</v>
      </c>
      <c r="V1810" s="424" t="s">
        <v>7465</v>
      </c>
      <c r="W1810" s="424" t="s">
        <v>3694</v>
      </c>
      <c r="X1810" s="424" t="s">
        <v>2224</v>
      </c>
      <c r="Y1810" s="424" t="s">
        <v>3908</v>
      </c>
      <c r="Z1810" s="424" t="s">
        <v>2872</v>
      </c>
      <c r="AA1810" s="424" t="s">
        <v>3197</v>
      </c>
      <c r="AB1810" s="424" t="s">
        <v>7482</v>
      </c>
      <c r="AC1810" s="424" t="s">
        <v>3910</v>
      </c>
      <c r="AD1810" s="424" t="s">
        <v>3911</v>
      </c>
      <c r="AE1810" s="424" t="s">
        <v>5103</v>
      </c>
      <c r="AF1810" s="424"/>
      <c r="AG1810" s="424"/>
      <c r="AH1810" s="424"/>
    </row>
    <row r="1811" spans="1:34" x14ac:dyDescent="0.25">
      <c r="A1811" s="423" t="s">
        <v>7461</v>
      </c>
      <c r="B1811" s="423" t="s">
        <v>7493</v>
      </c>
      <c r="C1811" s="423" t="s">
        <v>7463</v>
      </c>
      <c r="D1811" s="423" t="s">
        <v>6871</v>
      </c>
      <c r="E1811" s="423" t="s">
        <v>203</v>
      </c>
      <c r="F1811" s="423">
        <v>8</v>
      </c>
      <c r="G1811" s="423">
        <v>16</v>
      </c>
      <c r="H1811" s="423">
        <v>160</v>
      </c>
      <c r="J1811" s="423"/>
      <c r="K1811" s="423"/>
      <c r="L1811" s="423"/>
      <c r="M1811" s="423"/>
      <c r="Q1811" s="423"/>
      <c r="R1811" s="424" t="s">
        <v>7494</v>
      </c>
      <c r="S1811" s="424" t="s">
        <v>2846</v>
      </c>
      <c r="T1811" s="424" t="s">
        <v>3906</v>
      </c>
      <c r="U1811" s="424">
        <v>0</v>
      </c>
      <c r="V1811" s="424" t="s">
        <v>7465</v>
      </c>
      <c r="W1811" s="424" t="s">
        <v>3694</v>
      </c>
      <c r="X1811" s="424" t="s">
        <v>2224</v>
      </c>
      <c r="Y1811" s="424" t="s">
        <v>3908</v>
      </c>
      <c r="Z1811" s="424" t="s">
        <v>2872</v>
      </c>
      <c r="AA1811" s="424" t="s">
        <v>3197</v>
      </c>
      <c r="AB1811" s="424" t="s">
        <v>5099</v>
      </c>
      <c r="AC1811" s="424" t="s">
        <v>3910</v>
      </c>
      <c r="AD1811" s="424" t="s">
        <v>3911</v>
      </c>
      <c r="AE1811" s="424" t="s">
        <v>3923</v>
      </c>
      <c r="AF1811" s="424"/>
      <c r="AG1811" s="424"/>
      <c r="AH1811" s="424"/>
    </row>
    <row r="1812" spans="1:34" x14ac:dyDescent="0.25">
      <c r="A1812" s="423" t="s">
        <v>7461</v>
      </c>
      <c r="B1812" s="423" t="s">
        <v>7495</v>
      </c>
      <c r="C1812" s="423" t="s">
        <v>7463</v>
      </c>
      <c r="D1812" s="423" t="s">
        <v>6871</v>
      </c>
      <c r="E1812" s="423" t="s">
        <v>203</v>
      </c>
      <c r="F1812" s="423">
        <v>8</v>
      </c>
      <c r="G1812" s="423">
        <v>16</v>
      </c>
      <c r="H1812" s="423">
        <v>160</v>
      </c>
      <c r="J1812" s="423"/>
      <c r="K1812" s="423"/>
      <c r="L1812" s="423"/>
      <c r="M1812" s="423"/>
      <c r="Q1812" s="423"/>
      <c r="R1812" s="424" t="s">
        <v>7496</v>
      </c>
      <c r="S1812" s="424" t="s">
        <v>2846</v>
      </c>
      <c r="T1812" s="424" t="s">
        <v>3906</v>
      </c>
      <c r="U1812" s="424">
        <v>0</v>
      </c>
      <c r="V1812" s="424" t="s">
        <v>7465</v>
      </c>
      <c r="W1812" s="424" t="s">
        <v>3694</v>
      </c>
      <c r="X1812" s="424" t="s">
        <v>2224</v>
      </c>
      <c r="Y1812" s="424" t="s">
        <v>3908</v>
      </c>
      <c r="Z1812" s="424" t="s">
        <v>2872</v>
      </c>
      <c r="AA1812" s="424" t="s">
        <v>3197</v>
      </c>
      <c r="AB1812" s="424" t="s">
        <v>5112</v>
      </c>
      <c r="AC1812" s="424" t="s">
        <v>3910</v>
      </c>
      <c r="AD1812" s="424" t="s">
        <v>3911</v>
      </c>
      <c r="AE1812" s="424" t="s">
        <v>3912</v>
      </c>
      <c r="AF1812" s="424"/>
      <c r="AG1812" s="424"/>
      <c r="AH1812" s="424"/>
    </row>
    <row r="1813" spans="1:34" x14ac:dyDescent="0.25">
      <c r="A1813" s="423" t="s">
        <v>7461</v>
      </c>
      <c r="B1813" s="423" t="s">
        <v>7497</v>
      </c>
      <c r="C1813" s="423" t="s">
        <v>7463</v>
      </c>
      <c r="D1813" s="423" t="s">
        <v>6871</v>
      </c>
      <c r="E1813" s="423" t="s">
        <v>203</v>
      </c>
      <c r="F1813" s="423">
        <v>8</v>
      </c>
      <c r="G1813" s="423">
        <v>16</v>
      </c>
      <c r="H1813" s="423">
        <v>160</v>
      </c>
      <c r="J1813" s="423"/>
      <c r="K1813" s="423"/>
      <c r="L1813" s="423"/>
      <c r="M1813" s="423"/>
      <c r="Q1813" s="423"/>
      <c r="R1813" s="424" t="s">
        <v>7498</v>
      </c>
      <c r="S1813" s="424" t="s">
        <v>2846</v>
      </c>
      <c r="T1813" s="424" t="s">
        <v>3906</v>
      </c>
      <c r="U1813" s="424">
        <v>0</v>
      </c>
      <c r="V1813" s="424" t="s">
        <v>7465</v>
      </c>
      <c r="W1813" s="424" t="s">
        <v>3694</v>
      </c>
      <c r="X1813" s="424" t="s">
        <v>2224</v>
      </c>
      <c r="Y1813" s="424" t="s">
        <v>3908</v>
      </c>
      <c r="Z1813" s="424" t="s">
        <v>2872</v>
      </c>
      <c r="AA1813" s="424" t="s">
        <v>3197</v>
      </c>
      <c r="AB1813" s="424" t="s">
        <v>3915</v>
      </c>
      <c r="AC1813" s="424" t="s">
        <v>3910</v>
      </c>
      <c r="AD1813" s="424" t="s">
        <v>3911</v>
      </c>
      <c r="AE1813" s="424" t="s">
        <v>3916</v>
      </c>
      <c r="AF1813" s="424"/>
      <c r="AG1813" s="424"/>
      <c r="AH1813" s="424"/>
    </row>
    <row r="1814" spans="1:34" x14ac:dyDescent="0.25">
      <c r="A1814" s="423" t="s">
        <v>7461</v>
      </c>
      <c r="B1814" s="423" t="s">
        <v>7499</v>
      </c>
      <c r="C1814" s="423" t="s">
        <v>7463</v>
      </c>
      <c r="D1814" s="423" t="s">
        <v>6871</v>
      </c>
      <c r="E1814" s="423" t="s">
        <v>203</v>
      </c>
      <c r="F1814" s="423">
        <v>8</v>
      </c>
      <c r="G1814" s="423">
        <v>16</v>
      </c>
      <c r="H1814" s="423">
        <v>160</v>
      </c>
      <c r="J1814" s="423"/>
      <c r="K1814" s="423"/>
      <c r="L1814" s="423"/>
      <c r="M1814" s="423"/>
      <c r="Q1814" s="423"/>
      <c r="R1814" s="424" t="s">
        <v>7500</v>
      </c>
      <c r="S1814" s="424" t="s">
        <v>2846</v>
      </c>
      <c r="T1814" s="424" t="s">
        <v>3906</v>
      </c>
      <c r="U1814" s="424">
        <v>0</v>
      </c>
      <c r="V1814" s="424" t="s">
        <v>7465</v>
      </c>
      <c r="W1814" s="424" t="s">
        <v>3694</v>
      </c>
      <c r="X1814" s="424" t="s">
        <v>2224</v>
      </c>
      <c r="Y1814" s="424" t="s">
        <v>3908</v>
      </c>
      <c r="Z1814" s="424" t="s">
        <v>2872</v>
      </c>
      <c r="AA1814" s="424" t="s">
        <v>3197</v>
      </c>
      <c r="AB1814" s="424" t="s">
        <v>7482</v>
      </c>
      <c r="AC1814" s="424" t="s">
        <v>3910</v>
      </c>
      <c r="AD1814" s="424" t="s">
        <v>3911</v>
      </c>
      <c r="AE1814" s="424" t="s">
        <v>5103</v>
      </c>
      <c r="AF1814" s="424"/>
      <c r="AG1814" s="424"/>
      <c r="AH1814" s="424"/>
    </row>
    <row r="1815" spans="1:34" x14ac:dyDescent="0.25">
      <c r="A1815" s="423" t="s">
        <v>7461</v>
      </c>
      <c r="B1815" s="423" t="s">
        <v>7501</v>
      </c>
      <c r="C1815" s="423" t="s">
        <v>7463</v>
      </c>
      <c r="D1815" s="423" t="s">
        <v>6871</v>
      </c>
      <c r="E1815" s="423" t="s">
        <v>203</v>
      </c>
      <c r="F1815" s="423">
        <v>8</v>
      </c>
      <c r="G1815" s="423">
        <v>16</v>
      </c>
      <c r="H1815" s="423">
        <v>160</v>
      </c>
      <c r="J1815" s="423"/>
      <c r="K1815" s="423"/>
      <c r="L1815" s="423"/>
      <c r="M1815" s="423"/>
      <c r="Q1815" s="423"/>
      <c r="R1815" s="424" t="s">
        <v>7502</v>
      </c>
      <c r="S1815" s="424" t="s">
        <v>2846</v>
      </c>
      <c r="T1815" s="424" t="s">
        <v>3906</v>
      </c>
      <c r="U1815" s="424">
        <v>0</v>
      </c>
      <c r="V1815" s="424" t="s">
        <v>7465</v>
      </c>
      <c r="W1815" s="424" t="s">
        <v>3694</v>
      </c>
      <c r="X1815" s="424" t="s">
        <v>2224</v>
      </c>
      <c r="Y1815" s="424" t="s">
        <v>3908</v>
      </c>
      <c r="Z1815" s="424" t="s">
        <v>2872</v>
      </c>
      <c r="AA1815" s="424" t="s">
        <v>3197</v>
      </c>
      <c r="AB1815" s="424" t="s">
        <v>5099</v>
      </c>
      <c r="AC1815" s="424" t="s">
        <v>3910</v>
      </c>
      <c r="AD1815" s="424" t="s">
        <v>3911</v>
      </c>
      <c r="AE1815" s="424" t="s">
        <v>3923</v>
      </c>
      <c r="AF1815" s="424"/>
      <c r="AG1815" s="424"/>
      <c r="AH1815" s="424"/>
    </row>
    <row r="1816" spans="1:34" x14ac:dyDescent="0.25">
      <c r="A1816" s="423" t="s">
        <v>7461</v>
      </c>
      <c r="B1816" s="423" t="s">
        <v>7503</v>
      </c>
      <c r="C1816" s="423" t="s">
        <v>7463</v>
      </c>
      <c r="D1816" s="423" t="s">
        <v>6871</v>
      </c>
      <c r="E1816" s="423" t="s">
        <v>203</v>
      </c>
      <c r="F1816" s="423">
        <v>8</v>
      </c>
      <c r="G1816" s="423">
        <v>16</v>
      </c>
      <c r="H1816" s="423">
        <v>160</v>
      </c>
      <c r="J1816" s="423"/>
      <c r="K1816" s="423"/>
      <c r="L1816" s="423"/>
      <c r="M1816" s="423"/>
      <c r="Q1816" s="423"/>
      <c r="R1816" s="424" t="s">
        <v>7504</v>
      </c>
      <c r="S1816" s="424" t="s">
        <v>2846</v>
      </c>
      <c r="T1816" s="424" t="s">
        <v>3906</v>
      </c>
      <c r="U1816" s="424">
        <v>0</v>
      </c>
      <c r="V1816" s="424" t="s">
        <v>7465</v>
      </c>
      <c r="W1816" s="424" t="s">
        <v>3694</v>
      </c>
      <c r="X1816" s="424" t="s">
        <v>2224</v>
      </c>
      <c r="Y1816" s="424" t="s">
        <v>3908</v>
      </c>
      <c r="Z1816" s="424" t="s">
        <v>2872</v>
      </c>
      <c r="AA1816" s="424" t="s">
        <v>3197</v>
      </c>
      <c r="AB1816" s="424" t="s">
        <v>7488</v>
      </c>
      <c r="AC1816" s="424" t="s">
        <v>3910</v>
      </c>
      <c r="AD1816" s="424" t="s">
        <v>3911</v>
      </c>
      <c r="AE1816" s="424" t="s">
        <v>5103</v>
      </c>
      <c r="AF1816" s="424"/>
      <c r="AG1816" s="424"/>
      <c r="AH1816" s="424"/>
    </row>
    <row r="1817" spans="1:34" x14ac:dyDescent="0.25">
      <c r="A1817" s="423" t="s">
        <v>7461</v>
      </c>
      <c r="B1817" s="423" t="s">
        <v>7505</v>
      </c>
      <c r="C1817" s="423" t="s">
        <v>7463</v>
      </c>
      <c r="D1817" s="423" t="s">
        <v>6871</v>
      </c>
      <c r="E1817" s="423" t="s">
        <v>203</v>
      </c>
      <c r="F1817" s="423">
        <v>40</v>
      </c>
      <c r="G1817" s="423">
        <v>55</v>
      </c>
      <c r="H1817" s="423">
        <v>1208</v>
      </c>
      <c r="J1817" s="423"/>
      <c r="K1817" s="423"/>
      <c r="L1817" s="423"/>
      <c r="M1817" s="423"/>
      <c r="Q1817" s="423"/>
      <c r="R1817" s="424" t="s">
        <v>7506</v>
      </c>
      <c r="S1817" s="424" t="s">
        <v>2846</v>
      </c>
      <c r="T1817" s="424" t="s">
        <v>3906</v>
      </c>
      <c r="U1817" s="424">
        <v>0</v>
      </c>
      <c r="V1817" s="424" t="s">
        <v>7465</v>
      </c>
      <c r="W1817" s="424" t="s">
        <v>3694</v>
      </c>
      <c r="X1817" s="424" t="s">
        <v>2224</v>
      </c>
      <c r="Y1817" s="424" t="s">
        <v>3908</v>
      </c>
      <c r="Z1817" s="424" t="s">
        <v>2872</v>
      </c>
      <c r="AA1817" s="424" t="s">
        <v>3197</v>
      </c>
      <c r="AB1817" s="424" t="s">
        <v>7485</v>
      </c>
      <c r="AC1817" s="424" t="s">
        <v>3910</v>
      </c>
      <c r="AD1817" s="424" t="s">
        <v>3911</v>
      </c>
      <c r="AE1817" s="424" t="s">
        <v>3916</v>
      </c>
      <c r="AF1817" s="424"/>
      <c r="AG1817" s="424"/>
      <c r="AH1817" s="424"/>
    </row>
    <row r="1818" spans="1:34" x14ac:dyDescent="0.25">
      <c r="A1818" s="423" t="s">
        <v>7461</v>
      </c>
      <c r="B1818" s="423" t="s">
        <v>7507</v>
      </c>
      <c r="C1818" s="423" t="s">
        <v>7463</v>
      </c>
      <c r="D1818" s="423" t="s">
        <v>6871</v>
      </c>
      <c r="E1818" s="423" t="s">
        <v>203</v>
      </c>
      <c r="F1818" s="423">
        <v>40</v>
      </c>
      <c r="G1818" s="423">
        <v>55</v>
      </c>
      <c r="H1818" s="423">
        <v>1208</v>
      </c>
      <c r="J1818" s="423"/>
      <c r="K1818" s="423"/>
      <c r="L1818" s="423"/>
      <c r="M1818" s="423"/>
      <c r="Q1818" s="423"/>
      <c r="R1818" s="424" t="s">
        <v>7508</v>
      </c>
      <c r="S1818" s="424" t="s">
        <v>2846</v>
      </c>
      <c r="T1818" s="424" t="s">
        <v>3906</v>
      </c>
      <c r="U1818" s="424">
        <v>0</v>
      </c>
      <c r="V1818" s="424" t="s">
        <v>7465</v>
      </c>
      <c r="W1818" s="424" t="s">
        <v>3694</v>
      </c>
      <c r="X1818" s="424" t="s">
        <v>2224</v>
      </c>
      <c r="Y1818" s="424" t="s">
        <v>3908</v>
      </c>
      <c r="Z1818" s="424" t="s">
        <v>2872</v>
      </c>
      <c r="AA1818" s="424" t="s">
        <v>3197</v>
      </c>
      <c r="AB1818" s="424" t="s">
        <v>7488</v>
      </c>
      <c r="AC1818" s="424" t="s">
        <v>3910</v>
      </c>
      <c r="AD1818" s="424" t="s">
        <v>3911</v>
      </c>
      <c r="AE1818" s="424" t="s">
        <v>5103</v>
      </c>
      <c r="AF1818" s="424"/>
      <c r="AG1818" s="424"/>
      <c r="AH1818" s="424"/>
    </row>
    <row r="1819" spans="1:34" x14ac:dyDescent="0.25">
      <c r="A1819" s="423" t="s">
        <v>7461</v>
      </c>
      <c r="B1819" s="423" t="s">
        <v>7509</v>
      </c>
      <c r="C1819" s="423" t="s">
        <v>7463</v>
      </c>
      <c r="D1819" s="423" t="s">
        <v>6871</v>
      </c>
      <c r="E1819" s="423" t="s">
        <v>203</v>
      </c>
      <c r="F1819" s="423">
        <v>40</v>
      </c>
      <c r="G1819" s="423">
        <v>55</v>
      </c>
      <c r="H1819" s="423">
        <v>1208</v>
      </c>
      <c r="J1819" s="423"/>
      <c r="K1819" s="423"/>
      <c r="L1819" s="423"/>
      <c r="M1819" s="423"/>
      <c r="Q1819" s="423"/>
      <c r="R1819" s="424" t="s">
        <v>7510</v>
      </c>
      <c r="S1819" s="424" t="s">
        <v>2846</v>
      </c>
      <c r="T1819" s="424" t="s">
        <v>3906</v>
      </c>
      <c r="U1819" s="424">
        <v>0</v>
      </c>
      <c r="V1819" s="424" t="s">
        <v>7465</v>
      </c>
      <c r="W1819" s="424" t="s">
        <v>3694</v>
      </c>
      <c r="X1819" s="424" t="s">
        <v>2224</v>
      </c>
      <c r="Y1819" s="424" t="s">
        <v>3908</v>
      </c>
      <c r="Z1819" s="424" t="s">
        <v>2872</v>
      </c>
      <c r="AA1819" s="424" t="s">
        <v>3197</v>
      </c>
      <c r="AB1819" s="424" t="s">
        <v>5099</v>
      </c>
      <c r="AC1819" s="424" t="s">
        <v>3910</v>
      </c>
      <c r="AD1819" s="424" t="s">
        <v>3911</v>
      </c>
      <c r="AE1819" s="424" t="s">
        <v>3923</v>
      </c>
      <c r="AF1819" s="424"/>
      <c r="AG1819" s="424"/>
      <c r="AH1819" s="424"/>
    </row>
    <row r="1820" spans="1:34" x14ac:dyDescent="0.25">
      <c r="A1820" s="423" t="s">
        <v>7461</v>
      </c>
      <c r="B1820" s="423" t="s">
        <v>7511</v>
      </c>
      <c r="C1820" s="423" t="s">
        <v>7463</v>
      </c>
      <c r="D1820" s="423" t="s">
        <v>6871</v>
      </c>
      <c r="E1820" s="423" t="s">
        <v>203</v>
      </c>
      <c r="F1820" s="423">
        <v>40</v>
      </c>
      <c r="G1820" s="423">
        <v>55</v>
      </c>
      <c r="H1820" s="423">
        <v>1208</v>
      </c>
      <c r="J1820" s="423"/>
      <c r="K1820" s="423"/>
      <c r="L1820" s="423"/>
      <c r="M1820" s="423"/>
      <c r="Q1820" s="423"/>
      <c r="R1820" s="424" t="s">
        <v>7512</v>
      </c>
      <c r="S1820" s="424" t="s">
        <v>2846</v>
      </c>
      <c r="T1820" s="424" t="s">
        <v>3906</v>
      </c>
      <c r="U1820" s="424">
        <v>0</v>
      </c>
      <c r="V1820" s="424" t="s">
        <v>7465</v>
      </c>
      <c r="W1820" s="424" t="s">
        <v>3694</v>
      </c>
      <c r="X1820" s="424" t="s">
        <v>2224</v>
      </c>
      <c r="Y1820" s="424" t="s">
        <v>3908</v>
      </c>
      <c r="Z1820" s="424" t="s">
        <v>2872</v>
      </c>
      <c r="AA1820" s="424" t="s">
        <v>3197</v>
      </c>
      <c r="AB1820" s="424" t="s">
        <v>5087</v>
      </c>
      <c r="AC1820" s="424" t="s">
        <v>3910</v>
      </c>
      <c r="AD1820" s="424" t="s">
        <v>3911</v>
      </c>
      <c r="AE1820" s="424" t="s">
        <v>3912</v>
      </c>
      <c r="AF1820" s="424"/>
      <c r="AG1820" s="424"/>
      <c r="AH1820" s="424"/>
    </row>
    <row r="1821" spans="1:34" x14ac:dyDescent="0.25">
      <c r="A1821" s="423" t="s">
        <v>7461</v>
      </c>
      <c r="B1821" s="423" t="s">
        <v>7513</v>
      </c>
      <c r="C1821" s="423" t="s">
        <v>7463</v>
      </c>
      <c r="D1821" s="423" t="s">
        <v>6871</v>
      </c>
      <c r="E1821" s="423" t="s">
        <v>203</v>
      </c>
      <c r="F1821" s="423">
        <v>6</v>
      </c>
      <c r="G1821" s="423">
        <v>18</v>
      </c>
      <c r="H1821" s="423">
        <v>260</v>
      </c>
      <c r="J1821" s="423"/>
      <c r="K1821" s="423"/>
      <c r="L1821" s="423"/>
      <c r="M1821" s="423"/>
      <c r="Q1821" s="423"/>
      <c r="R1821" s="424" t="s">
        <v>7514</v>
      </c>
      <c r="S1821" s="424" t="s">
        <v>2846</v>
      </c>
      <c r="T1821" s="424" t="s">
        <v>3906</v>
      </c>
      <c r="U1821" s="424">
        <v>0</v>
      </c>
      <c r="V1821" s="424" t="s">
        <v>7465</v>
      </c>
      <c r="W1821" s="424" t="s">
        <v>3694</v>
      </c>
      <c r="X1821" s="424" t="s">
        <v>2224</v>
      </c>
      <c r="Y1821" s="424" t="s">
        <v>3908</v>
      </c>
      <c r="Z1821" s="424" t="s">
        <v>2872</v>
      </c>
      <c r="AA1821" s="424" t="s">
        <v>3197</v>
      </c>
      <c r="AB1821" s="424" t="s">
        <v>5078</v>
      </c>
      <c r="AC1821" s="424" t="s">
        <v>3910</v>
      </c>
      <c r="AD1821" s="424" t="s">
        <v>3911</v>
      </c>
      <c r="AE1821" s="424" t="s">
        <v>3923</v>
      </c>
      <c r="AF1821" s="424"/>
      <c r="AG1821" s="424"/>
      <c r="AH1821" s="424"/>
    </row>
    <row r="1822" spans="1:34" x14ac:dyDescent="0.25">
      <c r="A1822" s="423" t="s">
        <v>7461</v>
      </c>
      <c r="B1822" s="423" t="s">
        <v>7515</v>
      </c>
      <c r="C1822" s="423" t="s">
        <v>7463</v>
      </c>
      <c r="D1822" s="423" t="s">
        <v>6871</v>
      </c>
      <c r="E1822" s="423" t="s">
        <v>203</v>
      </c>
      <c r="F1822" s="423">
        <v>6</v>
      </c>
      <c r="G1822" s="423">
        <v>18</v>
      </c>
      <c r="H1822" s="423">
        <v>260</v>
      </c>
      <c r="J1822" s="423"/>
      <c r="K1822" s="423"/>
      <c r="L1822" s="423"/>
      <c r="M1822" s="423"/>
      <c r="Q1822" s="423"/>
      <c r="R1822" s="424" t="s">
        <v>7516</v>
      </c>
      <c r="S1822" s="424" t="s">
        <v>2846</v>
      </c>
      <c r="T1822" s="424" t="s">
        <v>3906</v>
      </c>
      <c r="U1822" s="424">
        <v>0</v>
      </c>
      <c r="V1822" s="424" t="s">
        <v>7465</v>
      </c>
      <c r="W1822" s="424" t="s">
        <v>3694</v>
      </c>
      <c r="X1822" s="424" t="s">
        <v>2224</v>
      </c>
      <c r="Y1822" s="424" t="s">
        <v>3908</v>
      </c>
      <c r="Z1822" s="424" t="s">
        <v>2872</v>
      </c>
      <c r="AA1822" s="424" t="s">
        <v>3197</v>
      </c>
      <c r="AB1822" s="424" t="s">
        <v>7517</v>
      </c>
      <c r="AC1822" s="424" t="s">
        <v>3910</v>
      </c>
      <c r="AD1822" s="424" t="s">
        <v>3911</v>
      </c>
      <c r="AE1822" s="424" t="s">
        <v>3912</v>
      </c>
      <c r="AF1822" s="424"/>
      <c r="AG1822" s="424"/>
      <c r="AH1822" s="424"/>
    </row>
    <row r="1823" spans="1:34" x14ac:dyDescent="0.25">
      <c r="A1823" s="423" t="s">
        <v>7461</v>
      </c>
      <c r="B1823" s="423" t="s">
        <v>7518</v>
      </c>
      <c r="C1823" s="423" t="s">
        <v>7463</v>
      </c>
      <c r="D1823" s="423" t="s">
        <v>6871</v>
      </c>
      <c r="E1823" s="423" t="s">
        <v>203</v>
      </c>
      <c r="F1823" s="423">
        <v>6</v>
      </c>
      <c r="G1823" s="423">
        <v>18</v>
      </c>
      <c r="H1823" s="423">
        <v>260</v>
      </c>
      <c r="J1823" s="423"/>
      <c r="K1823" s="423"/>
      <c r="L1823" s="423"/>
      <c r="M1823" s="423"/>
      <c r="Q1823" s="423"/>
      <c r="R1823" s="424" t="s">
        <v>7519</v>
      </c>
      <c r="S1823" s="424" t="s">
        <v>2846</v>
      </c>
      <c r="T1823" s="424" t="s">
        <v>3906</v>
      </c>
      <c r="U1823" s="424">
        <v>0</v>
      </c>
      <c r="V1823" s="424" t="s">
        <v>7465</v>
      </c>
      <c r="W1823" s="424" t="s">
        <v>3694</v>
      </c>
      <c r="X1823" s="424" t="s">
        <v>2224</v>
      </c>
      <c r="Y1823" s="424" t="s">
        <v>3908</v>
      </c>
      <c r="Z1823" s="424" t="s">
        <v>2872</v>
      </c>
      <c r="AA1823" s="424" t="s">
        <v>3197</v>
      </c>
      <c r="AB1823" s="424" t="s">
        <v>5588</v>
      </c>
      <c r="AC1823" s="424" t="s">
        <v>3910</v>
      </c>
      <c r="AD1823" s="424" t="s">
        <v>3911</v>
      </c>
      <c r="AE1823" s="424" t="s">
        <v>3923</v>
      </c>
      <c r="AF1823" s="424"/>
      <c r="AG1823" s="424"/>
      <c r="AH1823" s="424"/>
    </row>
    <row r="1824" spans="1:34" x14ac:dyDescent="0.25">
      <c r="A1824" s="423" t="s">
        <v>7461</v>
      </c>
      <c r="B1824" s="423" t="s">
        <v>7520</v>
      </c>
      <c r="C1824" s="423" t="s">
        <v>7463</v>
      </c>
      <c r="D1824" s="423" t="s">
        <v>6871</v>
      </c>
      <c r="E1824" s="423" t="s">
        <v>203</v>
      </c>
      <c r="F1824" s="423">
        <v>6</v>
      </c>
      <c r="G1824" s="423">
        <v>18</v>
      </c>
      <c r="H1824" s="423">
        <v>260</v>
      </c>
      <c r="J1824" s="423"/>
      <c r="K1824" s="423"/>
      <c r="L1824" s="423"/>
      <c r="M1824" s="423"/>
      <c r="Q1824" s="423"/>
      <c r="R1824" s="424" t="s">
        <v>7521</v>
      </c>
      <c r="S1824" s="424" t="s">
        <v>2846</v>
      </c>
      <c r="T1824" s="424" t="s">
        <v>3906</v>
      </c>
      <c r="U1824" s="424">
        <v>0</v>
      </c>
      <c r="V1824" s="424" t="s">
        <v>7465</v>
      </c>
      <c r="W1824" s="424" t="s">
        <v>3694</v>
      </c>
      <c r="X1824" s="424" t="s">
        <v>2224</v>
      </c>
      <c r="Y1824" s="424" t="s">
        <v>3908</v>
      </c>
      <c r="Z1824" s="424" t="s">
        <v>2872</v>
      </c>
      <c r="AA1824" s="424" t="s">
        <v>3197</v>
      </c>
      <c r="AB1824" s="424" t="s">
        <v>7488</v>
      </c>
      <c r="AC1824" s="424" t="s">
        <v>3910</v>
      </c>
      <c r="AD1824" s="424" t="s">
        <v>3911</v>
      </c>
      <c r="AE1824" s="424" t="s">
        <v>5103</v>
      </c>
      <c r="AF1824" s="424"/>
      <c r="AG1824" s="424"/>
      <c r="AH1824" s="424"/>
    </row>
    <row r="1825" spans="1:34" x14ac:dyDescent="0.25">
      <c r="A1825" s="423" t="s">
        <v>7461</v>
      </c>
      <c r="B1825" s="423" t="s">
        <v>7522</v>
      </c>
      <c r="C1825" s="423" t="s">
        <v>7463</v>
      </c>
      <c r="D1825" s="423" t="s">
        <v>6871</v>
      </c>
      <c r="E1825" s="423" t="s">
        <v>203</v>
      </c>
      <c r="F1825" s="423">
        <v>6</v>
      </c>
      <c r="G1825" s="423">
        <v>18</v>
      </c>
      <c r="H1825" s="423">
        <v>260</v>
      </c>
      <c r="J1825" s="423"/>
      <c r="K1825" s="423"/>
      <c r="L1825" s="423"/>
      <c r="M1825" s="423"/>
      <c r="Q1825" s="423"/>
      <c r="R1825" s="424" t="s">
        <v>7523</v>
      </c>
      <c r="S1825" s="424" t="s">
        <v>2846</v>
      </c>
      <c r="T1825" s="424" t="s">
        <v>3906</v>
      </c>
      <c r="U1825" s="424">
        <v>0</v>
      </c>
      <c r="V1825" s="424" t="s">
        <v>7465</v>
      </c>
      <c r="W1825" s="424" t="s">
        <v>3694</v>
      </c>
      <c r="X1825" s="424" t="s">
        <v>2224</v>
      </c>
      <c r="Y1825" s="424" t="s">
        <v>3908</v>
      </c>
      <c r="Z1825" s="424" t="s">
        <v>2872</v>
      </c>
      <c r="AA1825" s="424" t="s">
        <v>3197</v>
      </c>
      <c r="AB1825" s="424" t="s">
        <v>5078</v>
      </c>
      <c r="AC1825" s="424" t="s">
        <v>3910</v>
      </c>
      <c r="AD1825" s="424" t="s">
        <v>3911</v>
      </c>
      <c r="AE1825" s="424" t="s">
        <v>3923</v>
      </c>
      <c r="AF1825" s="424"/>
      <c r="AG1825" s="424"/>
      <c r="AH1825" s="424"/>
    </row>
    <row r="1826" spans="1:34" x14ac:dyDescent="0.25">
      <c r="A1826" s="423" t="s">
        <v>7461</v>
      </c>
      <c r="B1826" s="423" t="s">
        <v>7524</v>
      </c>
      <c r="C1826" s="423" t="s">
        <v>7463</v>
      </c>
      <c r="D1826" s="423" t="s">
        <v>6871</v>
      </c>
      <c r="E1826" s="423" t="s">
        <v>203</v>
      </c>
      <c r="F1826" s="423">
        <v>6</v>
      </c>
      <c r="G1826" s="423">
        <v>18</v>
      </c>
      <c r="H1826" s="423">
        <v>260</v>
      </c>
      <c r="J1826" s="423"/>
      <c r="K1826" s="423"/>
      <c r="L1826" s="423"/>
      <c r="M1826" s="423"/>
      <c r="Q1826" s="423"/>
      <c r="R1826" s="424" t="s">
        <v>7525</v>
      </c>
      <c r="S1826" s="424" t="s">
        <v>2846</v>
      </c>
      <c r="T1826" s="424" t="s">
        <v>3906</v>
      </c>
      <c r="U1826" s="424">
        <v>0</v>
      </c>
      <c r="V1826" s="424" t="s">
        <v>7465</v>
      </c>
      <c r="W1826" s="424" t="s">
        <v>3694</v>
      </c>
      <c r="X1826" s="424" t="s">
        <v>2224</v>
      </c>
      <c r="Y1826" s="424" t="s">
        <v>3908</v>
      </c>
      <c r="Z1826" s="424" t="s">
        <v>2872</v>
      </c>
      <c r="AA1826" s="424" t="s">
        <v>3197</v>
      </c>
      <c r="AB1826" s="424" t="s">
        <v>7488</v>
      </c>
      <c r="AC1826" s="424" t="s">
        <v>3910</v>
      </c>
      <c r="AD1826" s="424" t="s">
        <v>3911</v>
      </c>
      <c r="AE1826" s="424" t="s">
        <v>5103</v>
      </c>
      <c r="AF1826" s="424"/>
      <c r="AG1826" s="424"/>
      <c r="AH1826" s="424"/>
    </row>
    <row r="1827" spans="1:34" x14ac:dyDescent="0.25">
      <c r="A1827" s="423" t="s">
        <v>7461</v>
      </c>
      <c r="B1827" s="423" t="s">
        <v>7526</v>
      </c>
      <c r="C1827" s="423" t="s">
        <v>7463</v>
      </c>
      <c r="D1827" s="423" t="s">
        <v>6871</v>
      </c>
      <c r="E1827" s="423" t="s">
        <v>203</v>
      </c>
      <c r="F1827" s="423">
        <v>6</v>
      </c>
      <c r="G1827" s="423">
        <v>26</v>
      </c>
      <c r="H1827" s="423">
        <v>395</v>
      </c>
      <c r="J1827" s="423"/>
      <c r="K1827" s="423"/>
      <c r="L1827" s="423"/>
      <c r="M1827" s="423"/>
      <c r="Q1827" s="423"/>
      <c r="R1827" s="424" t="s">
        <v>7527</v>
      </c>
      <c r="S1827" s="424" t="s">
        <v>2846</v>
      </c>
      <c r="T1827" s="424" t="s">
        <v>3906</v>
      </c>
      <c r="U1827" s="424">
        <v>0</v>
      </c>
      <c r="V1827" s="424" t="s">
        <v>7465</v>
      </c>
      <c r="W1827" s="424" t="s">
        <v>3694</v>
      </c>
      <c r="X1827" s="424" t="s">
        <v>2224</v>
      </c>
      <c r="Y1827" s="424" t="s">
        <v>3908</v>
      </c>
      <c r="Z1827" s="424" t="s">
        <v>2872</v>
      </c>
      <c r="AA1827" s="424" t="s">
        <v>3197</v>
      </c>
      <c r="AB1827" s="424" t="s">
        <v>3915</v>
      </c>
      <c r="AC1827" s="424" t="s">
        <v>3910</v>
      </c>
      <c r="AD1827" s="424" t="s">
        <v>3911</v>
      </c>
      <c r="AE1827" s="424" t="s">
        <v>3916</v>
      </c>
      <c r="AF1827" s="424"/>
      <c r="AG1827" s="424"/>
      <c r="AH1827" s="424"/>
    </row>
    <row r="1828" spans="1:34" x14ac:dyDescent="0.25">
      <c r="A1828" s="423" t="s">
        <v>7461</v>
      </c>
      <c r="B1828" s="423" t="s">
        <v>7528</v>
      </c>
      <c r="C1828" s="423" t="s">
        <v>7463</v>
      </c>
      <c r="D1828" s="423" t="s">
        <v>6871</v>
      </c>
      <c r="E1828" s="423" t="s">
        <v>203</v>
      </c>
      <c r="F1828" s="423">
        <v>6</v>
      </c>
      <c r="G1828" s="423">
        <v>26</v>
      </c>
      <c r="H1828" s="423">
        <v>395</v>
      </c>
      <c r="J1828" s="423"/>
      <c r="K1828" s="423"/>
      <c r="L1828" s="423"/>
      <c r="M1828" s="423"/>
      <c r="Q1828" s="423"/>
      <c r="R1828" s="424" t="s">
        <v>7529</v>
      </c>
      <c r="S1828" s="424" t="s">
        <v>2846</v>
      </c>
      <c r="T1828" s="424" t="s">
        <v>3906</v>
      </c>
      <c r="U1828" s="424">
        <v>0</v>
      </c>
      <c r="V1828" s="424" t="s">
        <v>7465</v>
      </c>
      <c r="W1828" s="424" t="s">
        <v>3694</v>
      </c>
      <c r="X1828" s="424" t="s">
        <v>2224</v>
      </c>
      <c r="Y1828" s="424" t="s">
        <v>3908</v>
      </c>
      <c r="Z1828" s="424" t="s">
        <v>2872</v>
      </c>
      <c r="AA1828" s="424" t="s">
        <v>3197</v>
      </c>
      <c r="AB1828" s="424" t="s">
        <v>7517</v>
      </c>
      <c r="AC1828" s="424" t="s">
        <v>3910</v>
      </c>
      <c r="AD1828" s="424" t="s">
        <v>3911</v>
      </c>
      <c r="AE1828" s="424" t="s">
        <v>3912</v>
      </c>
      <c r="AF1828" s="424"/>
      <c r="AG1828" s="424"/>
      <c r="AH1828" s="424"/>
    </row>
    <row r="1829" spans="1:34" x14ac:dyDescent="0.25">
      <c r="A1829" s="423" t="s">
        <v>7461</v>
      </c>
      <c r="B1829" s="423" t="s">
        <v>7530</v>
      </c>
      <c r="C1829" s="423" t="s">
        <v>7463</v>
      </c>
      <c r="D1829" s="423" t="s">
        <v>6871</v>
      </c>
      <c r="E1829" s="423" t="s">
        <v>203</v>
      </c>
      <c r="F1829" s="423">
        <v>6</v>
      </c>
      <c r="G1829" s="423">
        <v>26</v>
      </c>
      <c r="H1829" s="423">
        <v>395</v>
      </c>
      <c r="J1829" s="423"/>
      <c r="K1829" s="423"/>
      <c r="L1829" s="423"/>
      <c r="M1829" s="423"/>
      <c r="Q1829" s="423"/>
      <c r="R1829" s="424" t="s">
        <v>7531</v>
      </c>
      <c r="S1829" s="424" t="s">
        <v>2846</v>
      </c>
      <c r="T1829" s="424" t="s">
        <v>3906</v>
      </c>
      <c r="U1829" s="424">
        <v>0</v>
      </c>
      <c r="V1829" s="424" t="s">
        <v>7465</v>
      </c>
      <c r="W1829" s="424" t="s">
        <v>3694</v>
      </c>
      <c r="X1829" s="424" t="s">
        <v>2224</v>
      </c>
      <c r="Y1829" s="424" t="s">
        <v>3908</v>
      </c>
      <c r="Z1829" s="424" t="s">
        <v>2872</v>
      </c>
      <c r="AA1829" s="424" t="s">
        <v>3197</v>
      </c>
      <c r="AB1829" s="424" t="s">
        <v>7485</v>
      </c>
      <c r="AC1829" s="424" t="s">
        <v>3910</v>
      </c>
      <c r="AD1829" s="424" t="s">
        <v>3911</v>
      </c>
      <c r="AE1829" s="424" t="s">
        <v>3916</v>
      </c>
      <c r="AF1829" s="424"/>
      <c r="AG1829" s="424"/>
      <c r="AH1829" s="424"/>
    </row>
    <row r="1830" spans="1:34" x14ac:dyDescent="0.25">
      <c r="A1830" s="423" t="s">
        <v>7461</v>
      </c>
      <c r="B1830" s="423" t="s">
        <v>7532</v>
      </c>
      <c r="C1830" s="423" t="s">
        <v>7463</v>
      </c>
      <c r="D1830" s="423" t="s">
        <v>6871</v>
      </c>
      <c r="E1830" s="423" t="s">
        <v>203</v>
      </c>
      <c r="F1830" s="423">
        <v>6</v>
      </c>
      <c r="G1830" s="423">
        <v>26</v>
      </c>
      <c r="H1830" s="423">
        <v>395</v>
      </c>
      <c r="J1830" s="423"/>
      <c r="K1830" s="423"/>
      <c r="L1830" s="423"/>
      <c r="M1830" s="423"/>
      <c r="Q1830" s="423"/>
      <c r="R1830" s="424" t="s">
        <v>7533</v>
      </c>
      <c r="S1830" s="424" t="s">
        <v>2846</v>
      </c>
      <c r="T1830" s="424" t="s">
        <v>3906</v>
      </c>
      <c r="U1830" s="424">
        <v>0</v>
      </c>
      <c r="V1830" s="424" t="s">
        <v>7465</v>
      </c>
      <c r="W1830" s="424" t="s">
        <v>3694</v>
      </c>
      <c r="X1830" s="424" t="s">
        <v>2224</v>
      </c>
      <c r="Y1830" s="424" t="s">
        <v>3908</v>
      </c>
      <c r="Z1830" s="424" t="s">
        <v>2872</v>
      </c>
      <c r="AA1830" s="424" t="s">
        <v>3197</v>
      </c>
      <c r="AB1830" s="424" t="s">
        <v>7468</v>
      </c>
      <c r="AC1830" s="424" t="s">
        <v>3910</v>
      </c>
      <c r="AD1830" s="424" t="s">
        <v>3911</v>
      </c>
      <c r="AE1830" s="424" t="s">
        <v>5103</v>
      </c>
      <c r="AF1830" s="424"/>
      <c r="AG1830" s="424"/>
      <c r="AH1830" s="424"/>
    </row>
    <row r="1831" spans="1:34" x14ac:dyDescent="0.25">
      <c r="A1831" s="423" t="s">
        <v>7461</v>
      </c>
      <c r="B1831" s="423" t="s">
        <v>7534</v>
      </c>
      <c r="C1831" s="423" t="s">
        <v>7463</v>
      </c>
      <c r="D1831" s="423" t="s">
        <v>6871</v>
      </c>
      <c r="E1831" s="423" t="s">
        <v>203</v>
      </c>
      <c r="F1831" s="423">
        <v>6</v>
      </c>
      <c r="G1831" s="423">
        <v>26</v>
      </c>
      <c r="H1831" s="423">
        <v>265</v>
      </c>
      <c r="J1831" s="423"/>
      <c r="K1831" s="423"/>
      <c r="L1831" s="423"/>
      <c r="M1831" s="423"/>
      <c r="Q1831" s="423"/>
      <c r="R1831" s="424" t="s">
        <v>7535</v>
      </c>
      <c r="S1831" s="424" t="s">
        <v>2846</v>
      </c>
      <c r="T1831" s="424" t="s">
        <v>3906</v>
      </c>
      <c r="U1831" s="424">
        <v>0</v>
      </c>
      <c r="V1831" s="424" t="s">
        <v>7465</v>
      </c>
      <c r="W1831" s="424" t="s">
        <v>3694</v>
      </c>
      <c r="X1831" s="424" t="s">
        <v>2224</v>
      </c>
      <c r="Y1831" s="424" t="s">
        <v>3908</v>
      </c>
      <c r="Z1831" s="424" t="s">
        <v>2872</v>
      </c>
      <c r="AA1831" s="424" t="s">
        <v>3197</v>
      </c>
      <c r="AB1831" s="424" t="s">
        <v>6122</v>
      </c>
      <c r="AC1831" s="424" t="s">
        <v>3910</v>
      </c>
      <c r="AD1831" s="424" t="s">
        <v>6007</v>
      </c>
      <c r="AE1831" s="424" t="s">
        <v>6016</v>
      </c>
      <c r="AF1831" s="424"/>
      <c r="AG1831" s="424"/>
      <c r="AH1831" s="424"/>
    </row>
    <row r="1832" spans="1:34" x14ac:dyDescent="0.25">
      <c r="A1832" s="423" t="s">
        <v>7461</v>
      </c>
      <c r="B1832" s="423" t="s">
        <v>7536</v>
      </c>
      <c r="C1832" s="423" t="s">
        <v>7463</v>
      </c>
      <c r="D1832" s="423" t="s">
        <v>6871</v>
      </c>
      <c r="E1832" s="423" t="s">
        <v>203</v>
      </c>
      <c r="F1832" s="423">
        <v>6</v>
      </c>
      <c r="G1832" s="423">
        <v>26</v>
      </c>
      <c r="H1832" s="423">
        <v>265</v>
      </c>
      <c r="J1832" s="423"/>
      <c r="K1832" s="423"/>
      <c r="L1832" s="423"/>
      <c r="M1832" s="423"/>
      <c r="Q1832" s="423"/>
      <c r="R1832" s="424" t="s">
        <v>7537</v>
      </c>
      <c r="S1832" s="424" t="s">
        <v>2846</v>
      </c>
      <c r="T1832" s="424" t="s">
        <v>3906</v>
      </c>
      <c r="U1832" s="424">
        <v>0</v>
      </c>
      <c r="V1832" s="424" t="s">
        <v>7465</v>
      </c>
      <c r="W1832" s="424" t="s">
        <v>3694</v>
      </c>
      <c r="X1832" s="424" t="s">
        <v>2224</v>
      </c>
      <c r="Y1832" s="424" t="s">
        <v>3908</v>
      </c>
      <c r="Z1832" s="424" t="s">
        <v>2872</v>
      </c>
      <c r="AA1832" s="424" t="s">
        <v>3197</v>
      </c>
      <c r="AB1832" s="424" t="s">
        <v>7488</v>
      </c>
      <c r="AC1832" s="424" t="s">
        <v>3910</v>
      </c>
      <c r="AD1832" s="424" t="s">
        <v>3911</v>
      </c>
      <c r="AE1832" s="424" t="s">
        <v>5103</v>
      </c>
      <c r="AF1832" s="424"/>
      <c r="AG1832" s="424"/>
      <c r="AH1832" s="424"/>
    </row>
    <row r="1833" spans="1:34" x14ac:dyDescent="0.25">
      <c r="A1833" s="423" t="s">
        <v>7461</v>
      </c>
      <c r="B1833" s="423" t="s">
        <v>7538</v>
      </c>
      <c r="C1833" s="423" t="s">
        <v>7463</v>
      </c>
      <c r="D1833" s="423" t="s">
        <v>6871</v>
      </c>
      <c r="E1833" s="423" t="s">
        <v>203</v>
      </c>
      <c r="F1833" s="423">
        <v>6</v>
      </c>
      <c r="G1833" s="423">
        <v>26</v>
      </c>
      <c r="H1833" s="423">
        <v>265</v>
      </c>
      <c r="J1833" s="423"/>
      <c r="K1833" s="423"/>
      <c r="L1833" s="423"/>
      <c r="M1833" s="423"/>
      <c r="Q1833" s="423"/>
      <c r="R1833" s="424" t="s">
        <v>7539</v>
      </c>
      <c r="S1833" s="424" t="s">
        <v>2846</v>
      </c>
      <c r="T1833" s="424" t="s">
        <v>3906</v>
      </c>
      <c r="U1833" s="424">
        <v>0</v>
      </c>
      <c r="V1833" s="424" t="s">
        <v>7465</v>
      </c>
      <c r="W1833" s="424" t="s">
        <v>3694</v>
      </c>
      <c r="X1833" s="424" t="s">
        <v>2224</v>
      </c>
      <c r="Y1833" s="424" t="s">
        <v>3908</v>
      </c>
      <c r="Z1833" s="424" t="s">
        <v>2872</v>
      </c>
      <c r="AA1833" s="424" t="s">
        <v>3197</v>
      </c>
      <c r="AB1833" s="424" t="s">
        <v>6113</v>
      </c>
      <c r="AC1833" s="424" t="s">
        <v>3910</v>
      </c>
      <c r="AD1833" s="424" t="s">
        <v>6007</v>
      </c>
      <c r="AE1833" s="424" t="s">
        <v>6016</v>
      </c>
      <c r="AF1833" s="424"/>
      <c r="AG1833" s="424"/>
      <c r="AH1833" s="424"/>
    </row>
    <row r="1834" spans="1:34" x14ac:dyDescent="0.25">
      <c r="A1834" s="423" t="s">
        <v>7461</v>
      </c>
      <c r="B1834" s="423" t="s">
        <v>7540</v>
      </c>
      <c r="C1834" s="423" t="s">
        <v>7463</v>
      </c>
      <c r="D1834" s="423" t="s">
        <v>6871</v>
      </c>
      <c r="E1834" s="423" t="s">
        <v>203</v>
      </c>
      <c r="F1834" s="423">
        <v>6</v>
      </c>
      <c r="G1834" s="423">
        <v>26</v>
      </c>
      <c r="H1834" s="423">
        <v>265</v>
      </c>
      <c r="J1834" s="423"/>
      <c r="K1834" s="423"/>
      <c r="L1834" s="423"/>
      <c r="M1834" s="423"/>
      <c r="Q1834" s="423"/>
      <c r="R1834" s="424" t="s">
        <v>7541</v>
      </c>
      <c r="S1834" s="424" t="s">
        <v>2846</v>
      </c>
      <c r="T1834" s="424" t="s">
        <v>3906</v>
      </c>
      <c r="U1834" s="424">
        <v>0</v>
      </c>
      <c r="V1834" s="424" t="s">
        <v>7465</v>
      </c>
      <c r="W1834" s="424" t="s">
        <v>3694</v>
      </c>
      <c r="X1834" s="424" t="s">
        <v>2224</v>
      </c>
      <c r="Y1834" s="424" t="s">
        <v>3908</v>
      </c>
      <c r="Z1834" s="424" t="s">
        <v>2872</v>
      </c>
      <c r="AA1834" s="424" t="s">
        <v>3197</v>
      </c>
      <c r="AB1834" s="424" t="s">
        <v>7482</v>
      </c>
      <c r="AC1834" s="424" t="s">
        <v>3910</v>
      </c>
      <c r="AD1834" s="424" t="s">
        <v>3911</v>
      </c>
      <c r="AE1834" s="424" t="s">
        <v>5103</v>
      </c>
      <c r="AF1834" s="424"/>
      <c r="AG1834" s="424"/>
      <c r="AH1834" s="424"/>
    </row>
    <row r="1835" spans="1:34" x14ac:dyDescent="0.25">
      <c r="A1835" s="423" t="s">
        <v>7461</v>
      </c>
      <c r="B1835" s="423" t="s">
        <v>7542</v>
      </c>
      <c r="C1835" s="423" t="s">
        <v>7463</v>
      </c>
      <c r="D1835" s="423" t="s">
        <v>6871</v>
      </c>
      <c r="E1835" s="423" t="s">
        <v>203</v>
      </c>
      <c r="F1835" s="423">
        <v>4</v>
      </c>
      <c r="G1835" s="423">
        <v>48</v>
      </c>
      <c r="H1835" s="423">
        <v>220</v>
      </c>
      <c r="J1835" s="423"/>
      <c r="K1835" s="423"/>
      <c r="L1835" s="423"/>
      <c r="M1835" s="423"/>
      <c r="Q1835" s="423"/>
      <c r="R1835" s="424" t="s">
        <v>7543</v>
      </c>
      <c r="S1835" s="424" t="s">
        <v>2846</v>
      </c>
      <c r="T1835" s="424" t="s">
        <v>3906</v>
      </c>
      <c r="U1835" s="424">
        <v>0</v>
      </c>
      <c r="V1835" s="424" t="s">
        <v>7465</v>
      </c>
      <c r="W1835" s="424" t="s">
        <v>3694</v>
      </c>
      <c r="X1835" s="424">
        <v>0</v>
      </c>
      <c r="Y1835" s="424" t="s">
        <v>3908</v>
      </c>
      <c r="Z1835" s="424" t="s">
        <v>2872</v>
      </c>
      <c r="AA1835" s="424" t="s">
        <v>3197</v>
      </c>
      <c r="AB1835" s="424" t="s">
        <v>6122</v>
      </c>
      <c r="AC1835" s="424" t="s">
        <v>3910</v>
      </c>
      <c r="AD1835" s="424" t="s">
        <v>6007</v>
      </c>
      <c r="AE1835" s="424" t="s">
        <v>6016</v>
      </c>
      <c r="AF1835" s="424"/>
      <c r="AG1835" s="424"/>
      <c r="AH1835" s="424"/>
    </row>
    <row r="1836" spans="1:34" x14ac:dyDescent="0.25">
      <c r="A1836" s="423" t="s">
        <v>7461</v>
      </c>
      <c r="B1836" s="423" t="s">
        <v>7544</v>
      </c>
      <c r="C1836" s="423" t="s">
        <v>7463</v>
      </c>
      <c r="D1836" s="423" t="s">
        <v>6871</v>
      </c>
      <c r="E1836" s="423" t="s">
        <v>203</v>
      </c>
      <c r="F1836" s="423">
        <v>4</v>
      </c>
      <c r="G1836" s="423">
        <v>48</v>
      </c>
      <c r="H1836" s="423">
        <v>220</v>
      </c>
      <c r="J1836" s="423"/>
      <c r="K1836" s="423"/>
      <c r="L1836" s="423"/>
      <c r="M1836" s="423"/>
      <c r="Q1836" s="423"/>
      <c r="R1836" s="424" t="s">
        <v>7545</v>
      </c>
      <c r="S1836" s="424" t="s">
        <v>2846</v>
      </c>
      <c r="T1836" s="424" t="s">
        <v>3906</v>
      </c>
      <c r="U1836" s="424">
        <v>0</v>
      </c>
      <c r="V1836" s="424" t="s">
        <v>7465</v>
      </c>
      <c r="W1836" s="424" t="s">
        <v>3694</v>
      </c>
      <c r="X1836" s="424">
        <v>0</v>
      </c>
      <c r="Y1836" s="424" t="s">
        <v>3908</v>
      </c>
      <c r="Z1836" s="424" t="s">
        <v>2872</v>
      </c>
      <c r="AA1836" s="424" t="s">
        <v>3197</v>
      </c>
      <c r="AB1836" s="424" t="s">
        <v>7488</v>
      </c>
      <c r="AC1836" s="424" t="s">
        <v>3910</v>
      </c>
      <c r="AD1836" s="424" t="s">
        <v>3911</v>
      </c>
      <c r="AE1836" s="424" t="s">
        <v>5103</v>
      </c>
      <c r="AF1836" s="424"/>
      <c r="AG1836" s="424"/>
      <c r="AH1836" s="424"/>
    </row>
    <row r="1837" spans="1:34" x14ac:dyDescent="0.25">
      <c r="A1837" s="423" t="s">
        <v>7461</v>
      </c>
      <c r="B1837" s="423" t="s">
        <v>7546</v>
      </c>
      <c r="C1837" s="423" t="s">
        <v>7463</v>
      </c>
      <c r="D1837" s="423" t="s">
        <v>6871</v>
      </c>
      <c r="E1837" s="423" t="s">
        <v>203</v>
      </c>
      <c r="F1837" s="423">
        <v>4</v>
      </c>
      <c r="G1837" s="423">
        <v>48</v>
      </c>
      <c r="H1837" s="423">
        <v>220</v>
      </c>
      <c r="J1837" s="423"/>
      <c r="K1837" s="423"/>
      <c r="L1837" s="423"/>
      <c r="M1837" s="423"/>
      <c r="Q1837" s="423"/>
      <c r="R1837" s="424" t="s">
        <v>7547</v>
      </c>
      <c r="S1837" s="424" t="s">
        <v>2846</v>
      </c>
      <c r="T1837" s="424" t="s">
        <v>3906</v>
      </c>
      <c r="U1837" s="424">
        <v>0</v>
      </c>
      <c r="V1837" s="424" t="s">
        <v>7465</v>
      </c>
      <c r="W1837" s="424" t="s">
        <v>3694</v>
      </c>
      <c r="X1837" s="424">
        <v>0</v>
      </c>
      <c r="Y1837" s="424" t="s">
        <v>3908</v>
      </c>
      <c r="Z1837" s="424" t="s">
        <v>2872</v>
      </c>
      <c r="AA1837" s="424" t="s">
        <v>3197</v>
      </c>
      <c r="AB1837" s="424" t="s">
        <v>6015</v>
      </c>
      <c r="AC1837" s="424" t="s">
        <v>3910</v>
      </c>
      <c r="AD1837" s="424" t="s">
        <v>6007</v>
      </c>
      <c r="AE1837" s="424" t="s">
        <v>6016</v>
      </c>
      <c r="AF1837" s="424"/>
      <c r="AG1837" s="424"/>
      <c r="AH1837" s="424"/>
    </row>
    <row r="1838" spans="1:34" x14ac:dyDescent="0.25">
      <c r="A1838" s="423" t="s">
        <v>7461</v>
      </c>
      <c r="B1838" s="423" t="s">
        <v>7548</v>
      </c>
      <c r="C1838" s="423" t="s">
        <v>7463</v>
      </c>
      <c r="D1838" s="423" t="s">
        <v>6871</v>
      </c>
      <c r="E1838" s="423" t="s">
        <v>203</v>
      </c>
      <c r="F1838" s="423">
        <v>4</v>
      </c>
      <c r="G1838" s="423">
        <v>62</v>
      </c>
      <c r="H1838" s="423">
        <v>448</v>
      </c>
      <c r="J1838" s="423"/>
      <c r="K1838" s="423"/>
      <c r="L1838" s="423"/>
      <c r="M1838" s="423"/>
      <c r="Q1838" s="423"/>
      <c r="R1838" s="424" t="s">
        <v>7549</v>
      </c>
      <c r="S1838" s="424" t="s">
        <v>2846</v>
      </c>
      <c r="T1838" s="424" t="s">
        <v>3906</v>
      </c>
      <c r="U1838" s="424">
        <v>0</v>
      </c>
      <c r="V1838" s="424" t="s">
        <v>7465</v>
      </c>
      <c r="W1838" s="424" t="s">
        <v>3694</v>
      </c>
      <c r="X1838" s="424">
        <v>0</v>
      </c>
      <c r="Y1838" s="424" t="s">
        <v>3908</v>
      </c>
      <c r="Z1838" s="424" t="s">
        <v>2872</v>
      </c>
      <c r="AA1838" s="424" t="s">
        <v>3197</v>
      </c>
      <c r="AB1838" s="424" t="s">
        <v>6015</v>
      </c>
      <c r="AC1838" s="424" t="s">
        <v>3910</v>
      </c>
      <c r="AD1838" s="424" t="s">
        <v>6007</v>
      </c>
      <c r="AE1838" s="424" t="s">
        <v>6016</v>
      </c>
      <c r="AF1838" s="424"/>
      <c r="AG1838" s="424"/>
      <c r="AH1838" s="424"/>
    </row>
    <row r="1839" spans="1:34" x14ac:dyDescent="0.25">
      <c r="A1839" s="423" t="s">
        <v>7461</v>
      </c>
      <c r="B1839" s="423" t="s">
        <v>7550</v>
      </c>
      <c r="C1839" s="423" t="s">
        <v>7463</v>
      </c>
      <c r="D1839" s="423" t="s">
        <v>6871</v>
      </c>
      <c r="E1839" s="423" t="s">
        <v>203</v>
      </c>
      <c r="F1839" s="423">
        <v>4</v>
      </c>
      <c r="G1839" s="423">
        <v>62</v>
      </c>
      <c r="H1839" s="423">
        <v>448</v>
      </c>
      <c r="J1839" s="423"/>
      <c r="K1839" s="423"/>
      <c r="L1839" s="423"/>
      <c r="M1839" s="423"/>
      <c r="Q1839" s="423"/>
      <c r="R1839" s="424" t="s">
        <v>7551</v>
      </c>
      <c r="S1839" s="424" t="s">
        <v>2846</v>
      </c>
      <c r="T1839" s="424" t="s">
        <v>3906</v>
      </c>
      <c r="U1839" s="424">
        <v>0</v>
      </c>
      <c r="V1839" s="424" t="s">
        <v>7465</v>
      </c>
      <c r="W1839" s="424" t="s">
        <v>3694</v>
      </c>
      <c r="X1839" s="424">
        <v>0</v>
      </c>
      <c r="Y1839" s="424" t="s">
        <v>3908</v>
      </c>
      <c r="Z1839" s="424" t="s">
        <v>2872</v>
      </c>
      <c r="AA1839" s="424" t="s">
        <v>3197</v>
      </c>
      <c r="AB1839" s="424" t="s">
        <v>5998</v>
      </c>
      <c r="AC1839" s="424" t="s">
        <v>3910</v>
      </c>
      <c r="AD1839" s="424" t="s">
        <v>3911</v>
      </c>
      <c r="AE1839" s="424" t="s">
        <v>3912</v>
      </c>
      <c r="AF1839" s="424"/>
      <c r="AG1839" s="424"/>
      <c r="AH1839" s="424"/>
    </row>
    <row r="1840" spans="1:34" x14ac:dyDescent="0.25">
      <c r="A1840" s="423" t="s">
        <v>7461</v>
      </c>
      <c r="B1840" s="423" t="s">
        <v>7552</v>
      </c>
      <c r="C1840" s="423" t="s">
        <v>7463</v>
      </c>
      <c r="D1840" s="423" t="s">
        <v>6871</v>
      </c>
      <c r="E1840" s="423" t="s">
        <v>203</v>
      </c>
      <c r="F1840" s="423">
        <v>4</v>
      </c>
      <c r="G1840" s="423">
        <v>62</v>
      </c>
      <c r="H1840" s="423">
        <v>448</v>
      </c>
      <c r="J1840" s="423"/>
      <c r="K1840" s="423"/>
      <c r="L1840" s="423"/>
      <c r="M1840" s="423"/>
      <c r="Q1840" s="423"/>
      <c r="R1840" s="424" t="s">
        <v>7553</v>
      </c>
      <c r="S1840" s="424" t="s">
        <v>2846</v>
      </c>
      <c r="T1840" s="424" t="s">
        <v>3906</v>
      </c>
      <c r="U1840" s="424">
        <v>0</v>
      </c>
      <c r="V1840" s="424" t="s">
        <v>7465</v>
      </c>
      <c r="W1840" s="424" t="s">
        <v>3694</v>
      </c>
      <c r="X1840" s="424">
        <v>0</v>
      </c>
      <c r="Y1840" s="424" t="s">
        <v>3908</v>
      </c>
      <c r="Z1840" s="424" t="s">
        <v>2872</v>
      </c>
      <c r="AA1840" s="424" t="s">
        <v>3197</v>
      </c>
      <c r="AB1840" s="424" t="s">
        <v>6177</v>
      </c>
      <c r="AC1840" s="424" t="s">
        <v>3910</v>
      </c>
      <c r="AD1840" s="424" t="s">
        <v>6007</v>
      </c>
      <c r="AE1840" s="424" t="s">
        <v>6084</v>
      </c>
      <c r="AF1840" s="424"/>
      <c r="AG1840" s="424"/>
      <c r="AH1840" s="424"/>
    </row>
    <row r="1841" spans="1:34" x14ac:dyDescent="0.25">
      <c r="A1841" s="423" t="s">
        <v>7461</v>
      </c>
      <c r="B1841" s="423" t="s">
        <v>7554</v>
      </c>
      <c r="C1841" s="423" t="s">
        <v>7463</v>
      </c>
      <c r="D1841" s="423" t="s">
        <v>6871</v>
      </c>
      <c r="E1841" s="423" t="s">
        <v>203</v>
      </c>
      <c r="F1841" s="423">
        <v>4</v>
      </c>
      <c r="G1841" s="423">
        <v>16</v>
      </c>
      <c r="H1841" s="423">
        <v>269</v>
      </c>
      <c r="J1841" s="423"/>
      <c r="K1841" s="423"/>
      <c r="L1841" s="423"/>
      <c r="M1841" s="423"/>
      <c r="Q1841" s="423"/>
      <c r="R1841" s="424" t="s">
        <v>7555</v>
      </c>
      <c r="S1841" s="424" t="s">
        <v>2846</v>
      </c>
      <c r="T1841" s="424" t="s">
        <v>3906</v>
      </c>
      <c r="U1841" s="424">
        <v>0</v>
      </c>
      <c r="V1841" s="424" t="s">
        <v>7465</v>
      </c>
      <c r="W1841" s="424" t="s">
        <v>3694</v>
      </c>
      <c r="X1841" s="424">
        <v>0</v>
      </c>
      <c r="Y1841" s="424" t="s">
        <v>3908</v>
      </c>
      <c r="Z1841" s="424" t="s">
        <v>2872</v>
      </c>
      <c r="AA1841" s="424" t="s">
        <v>3197</v>
      </c>
      <c r="AB1841" s="424" t="s">
        <v>6122</v>
      </c>
      <c r="AC1841" s="424" t="s">
        <v>3910</v>
      </c>
      <c r="AD1841" s="424" t="s">
        <v>6007</v>
      </c>
      <c r="AE1841" s="424" t="s">
        <v>6016</v>
      </c>
      <c r="AF1841" s="424"/>
      <c r="AG1841" s="424"/>
      <c r="AH1841" s="424"/>
    </row>
    <row r="1842" spans="1:34" x14ac:dyDescent="0.25">
      <c r="A1842" s="423" t="s">
        <v>7461</v>
      </c>
      <c r="B1842" s="423" t="s">
        <v>7556</v>
      </c>
      <c r="C1842" s="423" t="s">
        <v>7463</v>
      </c>
      <c r="D1842" s="423" t="s">
        <v>6871</v>
      </c>
      <c r="E1842" s="423" t="s">
        <v>203</v>
      </c>
      <c r="F1842" s="423">
        <v>4</v>
      </c>
      <c r="G1842" s="423">
        <v>16</v>
      </c>
      <c r="H1842" s="423">
        <v>269</v>
      </c>
      <c r="J1842" s="423"/>
      <c r="K1842" s="423"/>
      <c r="L1842" s="423"/>
      <c r="M1842" s="423"/>
      <c r="Q1842" s="423"/>
      <c r="R1842" s="424" t="s">
        <v>7557</v>
      </c>
      <c r="S1842" s="424" t="s">
        <v>2846</v>
      </c>
      <c r="T1842" s="424" t="s">
        <v>3906</v>
      </c>
      <c r="U1842" s="424">
        <v>0</v>
      </c>
      <c r="V1842" s="424" t="s">
        <v>7465</v>
      </c>
      <c r="W1842" s="424" t="s">
        <v>3694</v>
      </c>
      <c r="X1842" s="424">
        <v>0</v>
      </c>
      <c r="Y1842" s="424" t="s">
        <v>3908</v>
      </c>
      <c r="Z1842" s="424" t="s">
        <v>2872</v>
      </c>
      <c r="AA1842" s="424" t="s">
        <v>3197</v>
      </c>
      <c r="AB1842" s="424" t="s">
        <v>7517</v>
      </c>
      <c r="AC1842" s="424" t="s">
        <v>3910</v>
      </c>
      <c r="AD1842" s="424" t="s">
        <v>3911</v>
      </c>
      <c r="AE1842" s="424" t="s">
        <v>3912</v>
      </c>
      <c r="AF1842" s="424"/>
      <c r="AG1842" s="424"/>
      <c r="AH1842" s="424"/>
    </row>
    <row r="1843" spans="1:34" x14ac:dyDescent="0.25">
      <c r="A1843" s="423" t="s">
        <v>7461</v>
      </c>
      <c r="B1843" s="423" t="s">
        <v>7558</v>
      </c>
      <c r="C1843" s="423" t="s">
        <v>7463</v>
      </c>
      <c r="D1843" s="423" t="s">
        <v>6871</v>
      </c>
      <c r="E1843" s="423" t="s">
        <v>203</v>
      </c>
      <c r="F1843" s="423">
        <v>4</v>
      </c>
      <c r="G1843" s="423">
        <v>16</v>
      </c>
      <c r="H1843" s="423">
        <v>269</v>
      </c>
      <c r="J1843" s="423"/>
      <c r="K1843" s="423"/>
      <c r="L1843" s="423"/>
      <c r="M1843" s="423"/>
      <c r="Q1843" s="423"/>
      <c r="R1843" s="424" t="s">
        <v>7559</v>
      </c>
      <c r="S1843" s="424" t="s">
        <v>2846</v>
      </c>
      <c r="T1843" s="424" t="s">
        <v>3906</v>
      </c>
      <c r="U1843" s="424">
        <v>0</v>
      </c>
      <c r="V1843" s="424" t="s">
        <v>7465</v>
      </c>
      <c r="W1843" s="424" t="s">
        <v>3694</v>
      </c>
      <c r="X1843" s="424">
        <v>0</v>
      </c>
      <c r="Y1843" s="424" t="s">
        <v>3908</v>
      </c>
      <c r="Z1843" s="424" t="s">
        <v>2872</v>
      </c>
      <c r="AA1843" s="424" t="s">
        <v>3197</v>
      </c>
      <c r="AB1843" s="424" t="s">
        <v>7477</v>
      </c>
      <c r="AC1843" s="424" t="s">
        <v>3910</v>
      </c>
      <c r="AD1843" s="424" t="s">
        <v>6007</v>
      </c>
      <c r="AE1843" s="424" t="s">
        <v>6016</v>
      </c>
      <c r="AF1843" s="424"/>
      <c r="AG1843" s="424"/>
      <c r="AH1843" s="424"/>
    </row>
    <row r="1844" spans="1:34" x14ac:dyDescent="0.25">
      <c r="A1844" s="423" t="s">
        <v>7461</v>
      </c>
      <c r="B1844" s="423" t="s">
        <v>7560</v>
      </c>
      <c r="C1844" s="423" t="s">
        <v>7463</v>
      </c>
      <c r="D1844" s="423" t="s">
        <v>6871</v>
      </c>
      <c r="E1844" s="423" t="s">
        <v>203</v>
      </c>
      <c r="F1844" s="423">
        <v>4</v>
      </c>
      <c r="G1844" s="423">
        <v>14</v>
      </c>
      <c r="H1844" s="423">
        <v>168</v>
      </c>
      <c r="J1844" s="423"/>
      <c r="K1844" s="423"/>
      <c r="L1844" s="423"/>
      <c r="M1844" s="423"/>
      <c r="Q1844" s="423"/>
      <c r="R1844" s="424" t="s">
        <v>7561</v>
      </c>
      <c r="S1844" s="424" t="s">
        <v>2846</v>
      </c>
      <c r="T1844" s="424" t="s">
        <v>3906</v>
      </c>
      <c r="U1844" s="424">
        <v>0</v>
      </c>
      <c r="V1844" s="424" t="s">
        <v>7465</v>
      </c>
      <c r="W1844" s="424" t="s">
        <v>3694</v>
      </c>
      <c r="X1844" s="424">
        <v>0</v>
      </c>
      <c r="Y1844" s="424" t="s">
        <v>3908</v>
      </c>
      <c r="Z1844" s="424" t="s">
        <v>2872</v>
      </c>
      <c r="AA1844" s="424" t="s">
        <v>3197</v>
      </c>
      <c r="AB1844" s="424" t="s">
        <v>6015</v>
      </c>
      <c r="AC1844" s="424" t="s">
        <v>3910</v>
      </c>
      <c r="AD1844" s="424" t="s">
        <v>6007</v>
      </c>
      <c r="AE1844" s="424" t="s">
        <v>6016</v>
      </c>
      <c r="AF1844" s="424"/>
      <c r="AG1844" s="424"/>
      <c r="AH1844" s="424"/>
    </row>
    <row r="1845" spans="1:34" x14ac:dyDescent="0.25">
      <c r="A1845" s="423" t="s">
        <v>7461</v>
      </c>
      <c r="B1845" s="423" t="s">
        <v>7562</v>
      </c>
      <c r="C1845" s="423" t="s">
        <v>7463</v>
      </c>
      <c r="D1845" s="423" t="s">
        <v>6871</v>
      </c>
      <c r="E1845" s="423" t="s">
        <v>203</v>
      </c>
      <c r="F1845" s="423">
        <v>4</v>
      </c>
      <c r="G1845" s="423">
        <v>14</v>
      </c>
      <c r="H1845" s="423">
        <v>168</v>
      </c>
      <c r="J1845" s="423"/>
      <c r="K1845" s="423"/>
      <c r="L1845" s="423"/>
      <c r="M1845" s="423"/>
      <c r="Q1845" s="423"/>
      <c r="R1845" s="424" t="s">
        <v>7563</v>
      </c>
      <c r="S1845" s="424" t="s">
        <v>2846</v>
      </c>
      <c r="T1845" s="424" t="s">
        <v>3906</v>
      </c>
      <c r="U1845" s="424">
        <v>0</v>
      </c>
      <c r="V1845" s="424" t="s">
        <v>7465</v>
      </c>
      <c r="W1845" s="424" t="s">
        <v>3694</v>
      </c>
      <c r="X1845" s="424">
        <v>0</v>
      </c>
      <c r="Y1845" s="424" t="s">
        <v>3908</v>
      </c>
      <c r="Z1845" s="424" t="s">
        <v>2872</v>
      </c>
      <c r="AA1845" s="424" t="s">
        <v>3197</v>
      </c>
      <c r="AB1845" s="424" t="s">
        <v>5087</v>
      </c>
      <c r="AC1845" s="424" t="s">
        <v>3910</v>
      </c>
      <c r="AD1845" s="424" t="s">
        <v>3911</v>
      </c>
      <c r="AE1845" s="424" t="s">
        <v>3912</v>
      </c>
      <c r="AF1845" s="424"/>
      <c r="AG1845" s="424"/>
      <c r="AH1845" s="424"/>
    </row>
    <row r="1846" spans="1:34" x14ac:dyDescent="0.25">
      <c r="A1846" s="423" t="s">
        <v>7461</v>
      </c>
      <c r="B1846" s="423" t="s">
        <v>7564</v>
      </c>
      <c r="C1846" s="423" t="s">
        <v>7463</v>
      </c>
      <c r="D1846" s="423" t="s">
        <v>6871</v>
      </c>
      <c r="E1846" s="423" t="s">
        <v>203</v>
      </c>
      <c r="F1846" s="423">
        <v>4</v>
      </c>
      <c r="G1846" s="423">
        <v>14</v>
      </c>
      <c r="H1846" s="423">
        <v>168</v>
      </c>
      <c r="J1846" s="423"/>
      <c r="K1846" s="423"/>
      <c r="L1846" s="423"/>
      <c r="M1846" s="423"/>
      <c r="Q1846" s="423"/>
      <c r="R1846" s="424" t="s">
        <v>7565</v>
      </c>
      <c r="S1846" s="424" t="s">
        <v>2846</v>
      </c>
      <c r="T1846" s="424" t="s">
        <v>3906</v>
      </c>
      <c r="U1846" s="424">
        <v>0</v>
      </c>
      <c r="V1846" s="424" t="s">
        <v>7465</v>
      </c>
      <c r="W1846" s="424" t="s">
        <v>3694</v>
      </c>
      <c r="X1846" s="424">
        <v>0</v>
      </c>
      <c r="Y1846" s="424" t="s">
        <v>3908</v>
      </c>
      <c r="Z1846" s="424" t="s">
        <v>2872</v>
      </c>
      <c r="AA1846" s="424" t="s">
        <v>3197</v>
      </c>
      <c r="AB1846" s="424" t="s">
        <v>6122</v>
      </c>
      <c r="AC1846" s="424" t="s">
        <v>3910</v>
      </c>
      <c r="AD1846" s="424" t="s">
        <v>6007</v>
      </c>
      <c r="AE1846" s="424" t="s">
        <v>6016</v>
      </c>
      <c r="AF1846" s="424"/>
      <c r="AG1846" s="424"/>
      <c r="AH1846" s="424"/>
    </row>
    <row r="1847" spans="1:34" x14ac:dyDescent="0.25">
      <c r="A1847" s="423" t="s">
        <v>7461</v>
      </c>
      <c r="B1847" s="423" t="s">
        <v>7566</v>
      </c>
      <c r="C1847" s="423" t="s">
        <v>7463</v>
      </c>
      <c r="D1847" s="423" t="s">
        <v>6871</v>
      </c>
      <c r="E1847" s="423" t="s">
        <v>203</v>
      </c>
      <c r="F1847" s="423">
        <v>4</v>
      </c>
      <c r="G1847" s="423">
        <v>20</v>
      </c>
      <c r="H1847" s="423">
        <v>434</v>
      </c>
      <c r="J1847" s="423"/>
      <c r="K1847" s="423"/>
      <c r="L1847" s="423"/>
      <c r="M1847" s="423"/>
      <c r="Q1847" s="423"/>
      <c r="R1847" s="424" t="s">
        <v>7567</v>
      </c>
      <c r="S1847" s="424" t="s">
        <v>2846</v>
      </c>
      <c r="T1847" s="424" t="s">
        <v>3906</v>
      </c>
      <c r="U1847" s="424">
        <v>0</v>
      </c>
      <c r="V1847" s="424" t="s">
        <v>7465</v>
      </c>
      <c r="W1847" s="424" t="s">
        <v>3694</v>
      </c>
      <c r="X1847" s="424">
        <v>0</v>
      </c>
      <c r="Y1847" s="424" t="s">
        <v>3908</v>
      </c>
      <c r="Z1847" s="424" t="s">
        <v>2872</v>
      </c>
      <c r="AA1847" s="424" t="s">
        <v>3197</v>
      </c>
      <c r="AB1847" s="424" t="s">
        <v>5588</v>
      </c>
      <c r="AC1847" s="424" t="s">
        <v>3910</v>
      </c>
      <c r="AD1847" s="424" t="s">
        <v>3911</v>
      </c>
      <c r="AE1847" s="424" t="s">
        <v>3923</v>
      </c>
      <c r="AF1847" s="424"/>
      <c r="AG1847" s="424"/>
      <c r="AH1847" s="424"/>
    </row>
    <row r="1848" spans="1:34" x14ac:dyDescent="0.25">
      <c r="A1848" s="423" t="s">
        <v>7461</v>
      </c>
      <c r="B1848" s="423" t="s">
        <v>7568</v>
      </c>
      <c r="C1848" s="423" t="s">
        <v>7463</v>
      </c>
      <c r="D1848" s="423" t="s">
        <v>6871</v>
      </c>
      <c r="E1848" s="423" t="s">
        <v>203</v>
      </c>
      <c r="F1848" s="423">
        <v>4</v>
      </c>
      <c r="G1848" s="423">
        <v>20</v>
      </c>
      <c r="H1848" s="423">
        <v>434</v>
      </c>
      <c r="J1848" s="423"/>
      <c r="K1848" s="423"/>
      <c r="L1848" s="423"/>
      <c r="M1848" s="423"/>
      <c r="Q1848" s="423"/>
      <c r="R1848" s="424" t="s">
        <v>7569</v>
      </c>
      <c r="S1848" s="424" t="s">
        <v>2846</v>
      </c>
      <c r="T1848" s="424" t="s">
        <v>3906</v>
      </c>
      <c r="U1848" s="424">
        <v>0</v>
      </c>
      <c r="V1848" s="424" t="s">
        <v>7465</v>
      </c>
      <c r="W1848" s="424" t="s">
        <v>3694</v>
      </c>
      <c r="X1848" s="424">
        <v>0</v>
      </c>
      <c r="Y1848" s="424" t="s">
        <v>3908</v>
      </c>
      <c r="Z1848" s="424" t="s">
        <v>2872</v>
      </c>
      <c r="AA1848" s="424" t="s">
        <v>3197</v>
      </c>
      <c r="AB1848" s="424" t="s">
        <v>5998</v>
      </c>
      <c r="AC1848" s="424" t="s">
        <v>3910</v>
      </c>
      <c r="AD1848" s="424" t="s">
        <v>3911</v>
      </c>
      <c r="AE1848" s="424" t="s">
        <v>3912</v>
      </c>
      <c r="AF1848" s="424"/>
      <c r="AG1848" s="424"/>
      <c r="AH1848" s="424"/>
    </row>
    <row r="1849" spans="1:34" x14ac:dyDescent="0.25">
      <c r="A1849" s="423" t="s">
        <v>7461</v>
      </c>
      <c r="B1849" s="423" t="s">
        <v>7570</v>
      </c>
      <c r="C1849" s="423" t="s">
        <v>7463</v>
      </c>
      <c r="D1849" s="423" t="s">
        <v>6871</v>
      </c>
      <c r="E1849" s="423" t="s">
        <v>203</v>
      </c>
      <c r="F1849" s="423">
        <v>4</v>
      </c>
      <c r="G1849" s="423">
        <v>20</v>
      </c>
      <c r="H1849" s="423">
        <v>434</v>
      </c>
      <c r="J1849" s="423"/>
      <c r="K1849" s="423"/>
      <c r="L1849" s="423"/>
      <c r="M1849" s="423"/>
      <c r="Q1849" s="423"/>
      <c r="R1849" s="424" t="s">
        <v>7571</v>
      </c>
      <c r="S1849" s="424" t="s">
        <v>2846</v>
      </c>
      <c r="T1849" s="424" t="s">
        <v>3906</v>
      </c>
      <c r="U1849" s="424">
        <v>0</v>
      </c>
      <c r="V1849" s="424" t="s">
        <v>7465</v>
      </c>
      <c r="W1849" s="424" t="s">
        <v>3694</v>
      </c>
      <c r="X1849" s="424">
        <v>0</v>
      </c>
      <c r="Y1849" s="424" t="s">
        <v>3908</v>
      </c>
      <c r="Z1849" s="424" t="s">
        <v>2872</v>
      </c>
      <c r="AA1849" s="424" t="s">
        <v>3197</v>
      </c>
      <c r="AB1849" s="424" t="s">
        <v>5094</v>
      </c>
      <c r="AC1849" s="424" t="s">
        <v>3910</v>
      </c>
      <c r="AD1849" s="424" t="s">
        <v>3911</v>
      </c>
      <c r="AE1849" s="424" t="s">
        <v>3923</v>
      </c>
      <c r="AF1849" s="424"/>
      <c r="AG1849" s="424"/>
      <c r="AH1849" s="424"/>
    </row>
    <row r="1850" spans="1:34" x14ac:dyDescent="0.25">
      <c r="A1850" s="423" t="s">
        <v>7461</v>
      </c>
      <c r="B1850" s="423" t="s">
        <v>7572</v>
      </c>
      <c r="C1850" s="423" t="s">
        <v>7463</v>
      </c>
      <c r="D1850" s="423" t="s">
        <v>6871</v>
      </c>
      <c r="E1850" s="423" t="s">
        <v>203</v>
      </c>
      <c r="F1850" s="423">
        <v>4</v>
      </c>
      <c r="G1850" s="423">
        <v>33</v>
      </c>
      <c r="H1850" s="423">
        <v>454</v>
      </c>
      <c r="J1850" s="423"/>
      <c r="K1850" s="423"/>
      <c r="L1850" s="423"/>
      <c r="M1850" s="423"/>
      <c r="Q1850" s="423"/>
      <c r="R1850" s="424" t="s">
        <v>7573</v>
      </c>
      <c r="S1850" s="424" t="s">
        <v>2846</v>
      </c>
      <c r="T1850" s="424" t="s">
        <v>3906</v>
      </c>
      <c r="U1850" s="424">
        <v>0</v>
      </c>
      <c r="V1850" s="424" t="s">
        <v>7465</v>
      </c>
      <c r="W1850" s="424" t="s">
        <v>3694</v>
      </c>
      <c r="X1850" s="424">
        <v>0</v>
      </c>
      <c r="Y1850" s="424" t="s">
        <v>3908</v>
      </c>
      <c r="Z1850" s="424" t="s">
        <v>2872</v>
      </c>
      <c r="AA1850" s="424" t="s">
        <v>3197</v>
      </c>
      <c r="AB1850" s="424" t="s">
        <v>6177</v>
      </c>
      <c r="AC1850" s="424" t="s">
        <v>3910</v>
      </c>
      <c r="AD1850" s="424" t="s">
        <v>6007</v>
      </c>
      <c r="AE1850" s="424" t="s">
        <v>6084</v>
      </c>
      <c r="AF1850" s="424"/>
      <c r="AG1850" s="424"/>
      <c r="AH1850" s="424"/>
    </row>
    <row r="1851" spans="1:34" x14ac:dyDescent="0.25">
      <c r="A1851" s="423" t="s">
        <v>7461</v>
      </c>
      <c r="B1851" s="423" t="s">
        <v>7574</v>
      </c>
      <c r="C1851" s="423" t="s">
        <v>7463</v>
      </c>
      <c r="D1851" s="423" t="s">
        <v>6871</v>
      </c>
      <c r="E1851" s="423" t="s">
        <v>203</v>
      </c>
      <c r="F1851" s="423">
        <v>4</v>
      </c>
      <c r="G1851" s="423">
        <v>33</v>
      </c>
      <c r="H1851" s="423">
        <v>454</v>
      </c>
      <c r="J1851" s="423"/>
      <c r="K1851" s="423"/>
      <c r="L1851" s="423"/>
      <c r="M1851" s="423"/>
      <c r="Q1851" s="423"/>
      <c r="R1851" s="424" t="s">
        <v>7575</v>
      </c>
      <c r="S1851" s="424" t="s">
        <v>2846</v>
      </c>
      <c r="T1851" s="424" t="s">
        <v>3906</v>
      </c>
      <c r="U1851" s="424">
        <v>0</v>
      </c>
      <c r="V1851" s="424" t="s">
        <v>7465</v>
      </c>
      <c r="W1851" s="424" t="s">
        <v>3694</v>
      </c>
      <c r="X1851" s="424">
        <v>0</v>
      </c>
      <c r="Y1851" s="424" t="s">
        <v>3908</v>
      </c>
      <c r="Z1851" s="424" t="s">
        <v>2872</v>
      </c>
      <c r="AA1851" s="424" t="s">
        <v>3197</v>
      </c>
      <c r="AB1851" s="424" t="s">
        <v>5998</v>
      </c>
      <c r="AC1851" s="424" t="s">
        <v>3910</v>
      </c>
      <c r="AD1851" s="424" t="s">
        <v>3911</v>
      </c>
      <c r="AE1851" s="424" t="s">
        <v>3912</v>
      </c>
      <c r="AF1851" s="424"/>
      <c r="AG1851" s="424"/>
      <c r="AH1851" s="424"/>
    </row>
    <row r="1852" spans="1:34" x14ac:dyDescent="0.25">
      <c r="A1852" s="423" t="s">
        <v>7461</v>
      </c>
      <c r="B1852" s="423" t="s">
        <v>7576</v>
      </c>
      <c r="C1852" s="423" t="s">
        <v>7463</v>
      </c>
      <c r="D1852" s="423" t="s">
        <v>6871</v>
      </c>
      <c r="E1852" s="423" t="s">
        <v>203</v>
      </c>
      <c r="F1852" s="423">
        <v>4</v>
      </c>
      <c r="G1852" s="423">
        <v>33</v>
      </c>
      <c r="H1852" s="423">
        <v>454</v>
      </c>
      <c r="J1852" s="423"/>
      <c r="K1852" s="423"/>
      <c r="L1852" s="423"/>
      <c r="M1852" s="423"/>
      <c r="Q1852" s="423"/>
      <c r="R1852" s="424" t="s">
        <v>7577</v>
      </c>
      <c r="S1852" s="424" t="s">
        <v>2846</v>
      </c>
      <c r="T1852" s="424" t="s">
        <v>3906</v>
      </c>
      <c r="U1852" s="424">
        <v>0</v>
      </c>
      <c r="V1852" s="424" t="s">
        <v>7465</v>
      </c>
      <c r="W1852" s="424" t="s">
        <v>3694</v>
      </c>
      <c r="X1852" s="424">
        <v>0</v>
      </c>
      <c r="Y1852" s="424" t="s">
        <v>3908</v>
      </c>
      <c r="Z1852" s="424" t="s">
        <v>2872</v>
      </c>
      <c r="AA1852" s="424" t="s">
        <v>3197</v>
      </c>
      <c r="AB1852" s="424" t="s">
        <v>6087</v>
      </c>
      <c r="AC1852" s="424" t="s">
        <v>3910</v>
      </c>
      <c r="AD1852" s="424" t="s">
        <v>6007</v>
      </c>
      <c r="AE1852" s="424" t="s">
        <v>6088</v>
      </c>
      <c r="AF1852" s="424"/>
      <c r="AG1852" s="424"/>
      <c r="AH1852" s="424"/>
    </row>
    <row r="1853" spans="1:34" x14ac:dyDescent="0.25">
      <c r="A1853" s="423" t="s">
        <v>7578</v>
      </c>
      <c r="B1853" s="423" t="s">
        <v>7579</v>
      </c>
      <c r="C1853" s="423" t="s">
        <v>1090</v>
      </c>
      <c r="D1853" s="423" t="s">
        <v>6871</v>
      </c>
      <c r="E1853" s="423" t="s">
        <v>203</v>
      </c>
      <c r="F1853" s="423">
        <v>512</v>
      </c>
      <c r="G1853" s="423">
        <v>1024</v>
      </c>
      <c r="H1853" s="423">
        <v>86686</v>
      </c>
      <c r="J1853" s="423"/>
      <c r="K1853" s="423"/>
      <c r="L1853" s="423"/>
      <c r="M1853" s="423"/>
      <c r="Q1853" s="423"/>
      <c r="R1853" s="424" t="s">
        <v>7579</v>
      </c>
      <c r="S1853" s="424" t="s">
        <v>2846</v>
      </c>
      <c r="T1853" s="424" t="s">
        <v>3268</v>
      </c>
      <c r="U1853" s="424">
        <v>0</v>
      </c>
      <c r="V1853" s="424" t="s">
        <v>3269</v>
      </c>
      <c r="W1853" s="424" t="s">
        <v>3074</v>
      </c>
      <c r="X1853" s="424" t="s">
        <v>2825</v>
      </c>
      <c r="Y1853" s="424" t="s">
        <v>2279</v>
      </c>
      <c r="Z1853" s="424" t="s">
        <v>3260</v>
      </c>
      <c r="AA1853" s="424" t="s">
        <v>3274</v>
      </c>
      <c r="AB1853" s="424" t="s">
        <v>3573</v>
      </c>
      <c r="AC1853" s="424" t="s">
        <v>1953</v>
      </c>
      <c r="AD1853" s="424" t="s">
        <v>2851</v>
      </c>
      <c r="AE1853" s="424" t="s">
        <v>3276</v>
      </c>
      <c r="AF1853" s="424"/>
      <c r="AG1853" s="424"/>
      <c r="AH1853" s="424"/>
    </row>
    <row r="1854" spans="1:34" x14ac:dyDescent="0.25">
      <c r="A1854" s="423" t="s">
        <v>7578</v>
      </c>
      <c r="B1854" s="423" t="s">
        <v>7580</v>
      </c>
      <c r="C1854" s="423" t="s">
        <v>1090</v>
      </c>
      <c r="D1854" s="423" t="s">
        <v>6871</v>
      </c>
      <c r="E1854" s="423" t="s">
        <v>203</v>
      </c>
      <c r="F1854" s="423">
        <v>512</v>
      </c>
      <c r="G1854" s="423">
        <v>1024</v>
      </c>
      <c r="H1854" s="423">
        <v>86686</v>
      </c>
      <c r="J1854" s="423"/>
      <c r="K1854" s="423"/>
      <c r="L1854" s="423"/>
      <c r="M1854" s="423"/>
      <c r="Q1854" s="423"/>
      <c r="R1854" s="424" t="s">
        <v>7580</v>
      </c>
      <c r="S1854" s="424" t="s">
        <v>2846</v>
      </c>
      <c r="T1854" s="424" t="s">
        <v>3268</v>
      </c>
      <c r="U1854" s="424">
        <v>0</v>
      </c>
      <c r="V1854" s="424" t="s">
        <v>3269</v>
      </c>
      <c r="W1854" s="424" t="s">
        <v>3074</v>
      </c>
      <c r="X1854" s="424" t="s">
        <v>2825</v>
      </c>
      <c r="Y1854" s="424" t="s">
        <v>2279</v>
      </c>
      <c r="Z1854" s="424" t="s">
        <v>3260</v>
      </c>
      <c r="AA1854" s="424" t="s">
        <v>3197</v>
      </c>
      <c r="AB1854" s="424" t="s">
        <v>3469</v>
      </c>
      <c r="AC1854" s="424" t="s">
        <v>1953</v>
      </c>
      <c r="AD1854" s="424" t="s">
        <v>2851</v>
      </c>
      <c r="AE1854" s="424" t="s">
        <v>3279</v>
      </c>
      <c r="AF1854" s="424"/>
      <c r="AG1854" s="424"/>
      <c r="AH1854" s="424"/>
    </row>
    <row r="1855" spans="1:34" x14ac:dyDescent="0.25">
      <c r="A1855" s="423" t="s">
        <v>7578</v>
      </c>
      <c r="B1855" s="423" t="s">
        <v>7581</v>
      </c>
      <c r="C1855" s="423" t="s">
        <v>1090</v>
      </c>
      <c r="D1855" s="423" t="s">
        <v>6871</v>
      </c>
      <c r="E1855" s="423" t="s">
        <v>203</v>
      </c>
      <c r="F1855" s="423">
        <v>512</v>
      </c>
      <c r="G1855" s="423">
        <v>1024</v>
      </c>
      <c r="H1855" s="423">
        <v>86686</v>
      </c>
      <c r="J1855" s="423"/>
      <c r="K1855" s="423"/>
      <c r="L1855" s="423"/>
      <c r="M1855" s="423"/>
      <c r="Q1855" s="423"/>
      <c r="R1855" s="424" t="s">
        <v>7581</v>
      </c>
      <c r="S1855" s="424" t="s">
        <v>2846</v>
      </c>
      <c r="T1855" s="424" t="s">
        <v>3268</v>
      </c>
      <c r="U1855" s="424">
        <v>0</v>
      </c>
      <c r="V1855" s="424" t="s">
        <v>3269</v>
      </c>
      <c r="W1855" s="424" t="s">
        <v>3074</v>
      </c>
      <c r="X1855" s="424" t="s">
        <v>2825</v>
      </c>
      <c r="Y1855" s="424" t="s">
        <v>2279</v>
      </c>
      <c r="Z1855" s="424" t="s">
        <v>3260</v>
      </c>
      <c r="AA1855" s="424" t="s">
        <v>3274</v>
      </c>
      <c r="AB1855" s="424" t="s">
        <v>6198</v>
      </c>
      <c r="AC1855" s="424" t="s">
        <v>1953</v>
      </c>
      <c r="AD1855" s="424" t="s">
        <v>2851</v>
      </c>
      <c r="AE1855" s="424" t="s">
        <v>3557</v>
      </c>
      <c r="AF1855" s="424"/>
      <c r="AG1855" s="424"/>
      <c r="AH1855" s="424"/>
    </row>
    <row r="1856" spans="1:34" x14ac:dyDescent="0.25">
      <c r="A1856" s="423" t="s">
        <v>7578</v>
      </c>
      <c r="B1856" s="423" t="s">
        <v>7582</v>
      </c>
      <c r="C1856" s="423" t="s">
        <v>1090</v>
      </c>
      <c r="D1856" s="423" t="s">
        <v>6871</v>
      </c>
      <c r="E1856" s="423" t="s">
        <v>203</v>
      </c>
      <c r="F1856" s="423">
        <v>512</v>
      </c>
      <c r="G1856" s="423">
        <v>1024</v>
      </c>
      <c r="H1856" s="423">
        <v>86686</v>
      </c>
      <c r="J1856" s="423"/>
      <c r="K1856" s="423"/>
      <c r="L1856" s="423"/>
      <c r="M1856" s="423"/>
      <c r="Q1856" s="423"/>
      <c r="R1856" s="424" t="s">
        <v>7582</v>
      </c>
      <c r="S1856" s="424" t="s">
        <v>2846</v>
      </c>
      <c r="T1856" s="424" t="s">
        <v>3268</v>
      </c>
      <c r="U1856" s="424">
        <v>0</v>
      </c>
      <c r="V1856" s="424" t="s">
        <v>3269</v>
      </c>
      <c r="W1856" s="424" t="s">
        <v>3074</v>
      </c>
      <c r="X1856" s="424" t="s">
        <v>2825</v>
      </c>
      <c r="Y1856" s="424" t="s">
        <v>2279</v>
      </c>
      <c r="Z1856" s="424" t="s">
        <v>3260</v>
      </c>
      <c r="AA1856" s="424" t="s">
        <v>3197</v>
      </c>
      <c r="AB1856" s="424" t="s">
        <v>3676</v>
      </c>
      <c r="AC1856" s="424" t="s">
        <v>1953</v>
      </c>
      <c r="AD1856" s="424" t="s">
        <v>2851</v>
      </c>
      <c r="AE1856" s="424" t="s">
        <v>3279</v>
      </c>
      <c r="AF1856" s="424"/>
      <c r="AG1856" s="424"/>
      <c r="AH1856" s="424"/>
    </row>
    <row r="1857" spans="1:34" x14ac:dyDescent="0.25">
      <c r="A1857" s="423" t="s">
        <v>7578</v>
      </c>
      <c r="B1857" s="423" t="s">
        <v>7583</v>
      </c>
      <c r="C1857" s="423" t="s">
        <v>1090</v>
      </c>
      <c r="D1857" s="423" t="s">
        <v>6871</v>
      </c>
      <c r="E1857" s="423" t="s">
        <v>203</v>
      </c>
      <c r="F1857" s="423">
        <v>512</v>
      </c>
      <c r="G1857" s="423">
        <v>1024</v>
      </c>
      <c r="H1857" s="423">
        <v>86686</v>
      </c>
      <c r="J1857" s="423"/>
      <c r="K1857" s="423"/>
      <c r="L1857" s="423"/>
      <c r="M1857" s="423"/>
      <c r="Q1857" s="423"/>
      <c r="R1857" s="424" t="s">
        <v>7583</v>
      </c>
      <c r="S1857" s="424" t="s">
        <v>2846</v>
      </c>
      <c r="T1857" s="424" t="s">
        <v>3268</v>
      </c>
      <c r="U1857" s="424">
        <v>0</v>
      </c>
      <c r="V1857" s="424" t="s">
        <v>3269</v>
      </c>
      <c r="W1857" s="424" t="s">
        <v>3074</v>
      </c>
      <c r="X1857" s="424" t="s">
        <v>2825</v>
      </c>
      <c r="Y1857" s="424" t="s">
        <v>2279</v>
      </c>
      <c r="Z1857" s="424" t="s">
        <v>3260</v>
      </c>
      <c r="AA1857" s="424" t="s">
        <v>3274</v>
      </c>
      <c r="AB1857" s="424" t="s">
        <v>3275</v>
      </c>
      <c r="AC1857" s="424" t="s">
        <v>1953</v>
      </c>
      <c r="AD1857" s="424" t="s">
        <v>2851</v>
      </c>
      <c r="AE1857" s="424" t="s">
        <v>3276</v>
      </c>
      <c r="AF1857" s="424"/>
      <c r="AG1857" s="424"/>
      <c r="AH1857" s="424"/>
    </row>
    <row r="1858" spans="1:34" x14ac:dyDescent="0.25">
      <c r="A1858" s="423" t="s">
        <v>7578</v>
      </c>
      <c r="B1858" s="423" t="s">
        <v>7584</v>
      </c>
      <c r="C1858" s="423" t="s">
        <v>1090</v>
      </c>
      <c r="D1858" s="423" t="s">
        <v>6871</v>
      </c>
      <c r="E1858" s="423" t="s">
        <v>203</v>
      </c>
      <c r="F1858" s="423">
        <v>512</v>
      </c>
      <c r="G1858" s="423">
        <v>1024</v>
      </c>
      <c r="H1858" s="423">
        <v>86686</v>
      </c>
      <c r="J1858" s="423"/>
      <c r="K1858" s="423"/>
      <c r="L1858" s="423"/>
      <c r="M1858" s="423"/>
      <c r="Q1858" s="423"/>
      <c r="R1858" s="424" t="s">
        <v>7585</v>
      </c>
      <c r="S1858" s="424" t="s">
        <v>2846</v>
      </c>
      <c r="T1858" s="424" t="s">
        <v>3268</v>
      </c>
      <c r="U1858" s="424">
        <v>0</v>
      </c>
      <c r="V1858" s="424" t="s">
        <v>3269</v>
      </c>
      <c r="W1858" s="424" t="s">
        <v>2871</v>
      </c>
      <c r="X1858" s="424" t="s">
        <v>2825</v>
      </c>
      <c r="Y1858" s="424" t="s">
        <v>2279</v>
      </c>
      <c r="Z1858" s="424" t="s">
        <v>2848</v>
      </c>
      <c r="AA1858" s="424" t="s">
        <v>2849</v>
      </c>
      <c r="AB1858" s="424" t="s">
        <v>7586</v>
      </c>
      <c r="AC1858" s="424" t="s">
        <v>1953</v>
      </c>
      <c r="AD1858" s="424" t="s">
        <v>2851</v>
      </c>
      <c r="AE1858" s="424" t="s">
        <v>2852</v>
      </c>
      <c r="AF1858" s="424"/>
      <c r="AG1858" s="424"/>
      <c r="AH1858" s="424"/>
    </row>
    <row r="1859" spans="1:34" x14ac:dyDescent="0.25">
      <c r="A1859" s="423" t="s">
        <v>7578</v>
      </c>
      <c r="B1859" s="423" t="s">
        <v>7587</v>
      </c>
      <c r="C1859" s="423" t="s">
        <v>1090</v>
      </c>
      <c r="D1859" s="423" t="s">
        <v>6871</v>
      </c>
      <c r="E1859" s="423" t="s">
        <v>203</v>
      </c>
      <c r="F1859" s="423">
        <v>512</v>
      </c>
      <c r="G1859" s="423">
        <v>1024</v>
      </c>
      <c r="H1859" s="423">
        <v>86686</v>
      </c>
      <c r="J1859" s="423"/>
      <c r="K1859" s="423"/>
      <c r="L1859" s="423"/>
      <c r="M1859" s="423"/>
      <c r="Q1859" s="423"/>
      <c r="R1859" s="424" t="s">
        <v>7587</v>
      </c>
      <c r="S1859" s="424" t="s">
        <v>2846</v>
      </c>
      <c r="T1859" s="424" t="s">
        <v>3268</v>
      </c>
      <c r="U1859" s="424">
        <v>0</v>
      </c>
      <c r="V1859" s="424" t="s">
        <v>3269</v>
      </c>
      <c r="W1859" s="424" t="s">
        <v>3054</v>
      </c>
      <c r="X1859" s="424" t="s">
        <v>2825</v>
      </c>
      <c r="Y1859" s="424" t="s">
        <v>2279</v>
      </c>
      <c r="Z1859" s="424" t="s">
        <v>2848</v>
      </c>
      <c r="AA1859" s="424" t="s">
        <v>2849</v>
      </c>
      <c r="AB1859" s="424" t="s">
        <v>5573</v>
      </c>
      <c r="AC1859" s="424" t="s">
        <v>1953</v>
      </c>
      <c r="AD1859" s="424" t="s">
        <v>2851</v>
      </c>
      <c r="AE1859" s="424" t="s">
        <v>4193</v>
      </c>
      <c r="AF1859" s="424"/>
      <c r="AG1859" s="424"/>
      <c r="AH1859" s="424"/>
    </row>
    <row r="1860" spans="1:34" x14ac:dyDescent="0.25">
      <c r="A1860" s="423" t="s">
        <v>7578</v>
      </c>
      <c r="B1860" s="423" t="s">
        <v>7588</v>
      </c>
      <c r="C1860" s="423" t="s">
        <v>1090</v>
      </c>
      <c r="D1860" s="423" t="s">
        <v>6871</v>
      </c>
      <c r="E1860" s="423" t="s">
        <v>203</v>
      </c>
      <c r="F1860" s="423">
        <v>512</v>
      </c>
      <c r="G1860" s="423">
        <v>1024</v>
      </c>
      <c r="H1860" s="423">
        <v>86686</v>
      </c>
      <c r="J1860" s="423"/>
      <c r="K1860" s="423"/>
      <c r="L1860" s="423"/>
      <c r="M1860" s="423"/>
      <c r="Q1860" s="423"/>
      <c r="R1860" s="424" t="s">
        <v>7589</v>
      </c>
      <c r="S1860" s="424" t="s">
        <v>2846</v>
      </c>
      <c r="T1860" s="424" t="s">
        <v>3268</v>
      </c>
      <c r="U1860" s="424">
        <v>0</v>
      </c>
      <c r="V1860" s="424" t="s">
        <v>3269</v>
      </c>
      <c r="W1860" s="424" t="s">
        <v>3074</v>
      </c>
      <c r="X1860" s="424" t="s">
        <v>2825</v>
      </c>
      <c r="Y1860" s="424" t="s">
        <v>2279</v>
      </c>
      <c r="Z1860" s="424" t="s">
        <v>3260</v>
      </c>
      <c r="AA1860" s="424" t="s">
        <v>3274</v>
      </c>
      <c r="AB1860" s="424" t="s">
        <v>3573</v>
      </c>
      <c r="AC1860" s="424" t="s">
        <v>1953</v>
      </c>
      <c r="AD1860" s="424" t="s">
        <v>2851</v>
      </c>
      <c r="AE1860" s="424" t="s">
        <v>3276</v>
      </c>
      <c r="AF1860" s="424"/>
      <c r="AG1860" s="424"/>
      <c r="AH1860" s="424"/>
    </row>
    <row r="1861" spans="1:34" x14ac:dyDescent="0.25">
      <c r="A1861" s="423" t="s">
        <v>7578</v>
      </c>
      <c r="B1861" s="423" t="s">
        <v>7590</v>
      </c>
      <c r="C1861" s="423" t="s">
        <v>1090</v>
      </c>
      <c r="D1861" s="423" t="s">
        <v>6871</v>
      </c>
      <c r="E1861" s="423" t="s">
        <v>203</v>
      </c>
      <c r="F1861" s="423">
        <v>512</v>
      </c>
      <c r="G1861" s="423">
        <v>1024</v>
      </c>
      <c r="H1861" s="423">
        <v>86686</v>
      </c>
      <c r="J1861" s="423"/>
      <c r="K1861" s="423"/>
      <c r="L1861" s="423"/>
      <c r="M1861" s="423"/>
      <c r="Q1861" s="423"/>
      <c r="R1861" s="424" t="s">
        <v>7591</v>
      </c>
      <c r="S1861" s="424" t="s">
        <v>2846</v>
      </c>
      <c r="T1861" s="424" t="s">
        <v>3152</v>
      </c>
      <c r="U1861" s="424">
        <v>0</v>
      </c>
      <c r="V1861" s="424" t="s">
        <v>2824</v>
      </c>
      <c r="W1861" s="424" t="s">
        <v>3055</v>
      </c>
      <c r="X1861" s="424" t="s">
        <v>2825</v>
      </c>
      <c r="Y1861" s="424" t="s">
        <v>2279</v>
      </c>
      <c r="Z1861" s="424" t="s">
        <v>2848</v>
      </c>
      <c r="AA1861" s="424" t="s">
        <v>2855</v>
      </c>
      <c r="AB1861" s="424" t="s">
        <v>2856</v>
      </c>
      <c r="AC1861" s="424" t="s">
        <v>1953</v>
      </c>
      <c r="AD1861" s="424" t="s">
        <v>2851</v>
      </c>
      <c r="AE1861" s="424" t="s">
        <v>2857</v>
      </c>
      <c r="AF1861" s="424"/>
      <c r="AG1861" s="424"/>
      <c r="AH1861" s="424"/>
    </row>
    <row r="1862" spans="1:34" x14ac:dyDescent="0.25">
      <c r="A1862" s="423" t="s">
        <v>7578</v>
      </c>
      <c r="B1862" s="423" t="s">
        <v>7592</v>
      </c>
      <c r="C1862" s="423" t="s">
        <v>1090</v>
      </c>
      <c r="D1862" s="423" t="s">
        <v>6871</v>
      </c>
      <c r="E1862" s="423" t="s">
        <v>203</v>
      </c>
      <c r="F1862" s="423">
        <v>512</v>
      </c>
      <c r="G1862" s="423">
        <v>1024</v>
      </c>
      <c r="H1862" s="423">
        <v>86686</v>
      </c>
      <c r="J1862" s="423"/>
      <c r="K1862" s="423"/>
      <c r="L1862" s="423"/>
      <c r="M1862" s="423"/>
      <c r="Q1862" s="423"/>
      <c r="R1862" s="424" t="s">
        <v>7593</v>
      </c>
      <c r="S1862" s="424" t="s">
        <v>2846</v>
      </c>
      <c r="T1862" s="424" t="s">
        <v>3152</v>
      </c>
      <c r="U1862" s="424">
        <v>0</v>
      </c>
      <c r="V1862" s="424" t="s">
        <v>2824</v>
      </c>
      <c r="W1862" s="424" t="s">
        <v>3055</v>
      </c>
      <c r="X1862" s="424" t="s">
        <v>2825</v>
      </c>
      <c r="Y1862" s="424" t="s">
        <v>2279</v>
      </c>
      <c r="Z1862" s="424" t="s">
        <v>2848</v>
      </c>
      <c r="AA1862" s="424" t="s">
        <v>2855</v>
      </c>
      <c r="AB1862" s="424" t="s">
        <v>7371</v>
      </c>
      <c r="AC1862" s="424" t="s">
        <v>1953</v>
      </c>
      <c r="AD1862" s="424" t="s">
        <v>2851</v>
      </c>
      <c r="AE1862" s="424" t="s">
        <v>3168</v>
      </c>
      <c r="AF1862" s="424"/>
      <c r="AG1862" s="424"/>
      <c r="AH1862" s="424"/>
    </row>
    <row r="1863" spans="1:34" x14ac:dyDescent="0.25">
      <c r="A1863" s="423" t="s">
        <v>7578</v>
      </c>
      <c r="B1863" s="423" t="s">
        <v>7594</v>
      </c>
      <c r="C1863" s="423" t="s">
        <v>1090</v>
      </c>
      <c r="D1863" s="423" t="s">
        <v>6871</v>
      </c>
      <c r="E1863" s="423" t="s">
        <v>203</v>
      </c>
      <c r="F1863" s="423">
        <v>512</v>
      </c>
      <c r="G1863" s="423">
        <v>1024</v>
      </c>
      <c r="H1863" s="423">
        <v>86686</v>
      </c>
      <c r="J1863" s="423"/>
      <c r="K1863" s="423"/>
      <c r="L1863" s="423"/>
      <c r="M1863" s="423"/>
      <c r="Q1863" s="423"/>
      <c r="R1863" s="424" t="s">
        <v>7595</v>
      </c>
      <c r="S1863" s="424" t="s">
        <v>2846</v>
      </c>
      <c r="T1863" s="424" t="s">
        <v>3152</v>
      </c>
      <c r="U1863" s="424">
        <v>0</v>
      </c>
      <c r="V1863" s="424" t="s">
        <v>2824</v>
      </c>
      <c r="W1863" s="424" t="s">
        <v>3054</v>
      </c>
      <c r="X1863" s="424" t="s">
        <v>2825</v>
      </c>
      <c r="Y1863" s="424" t="s">
        <v>2279</v>
      </c>
      <c r="Z1863" s="424" t="s">
        <v>3260</v>
      </c>
      <c r="AA1863" s="424" t="s">
        <v>3327</v>
      </c>
      <c r="AB1863" s="424" t="s">
        <v>3364</v>
      </c>
      <c r="AC1863" s="424" t="s">
        <v>1953</v>
      </c>
      <c r="AD1863" s="424" t="s">
        <v>3329</v>
      </c>
      <c r="AE1863" s="424" t="s">
        <v>3365</v>
      </c>
      <c r="AF1863" s="424"/>
      <c r="AG1863" s="424"/>
      <c r="AH1863" s="424"/>
    </row>
    <row r="1864" spans="1:34" x14ac:dyDescent="0.25">
      <c r="A1864" s="423" t="s">
        <v>7578</v>
      </c>
      <c r="B1864" s="423" t="s">
        <v>7596</v>
      </c>
      <c r="C1864" s="423" t="s">
        <v>1090</v>
      </c>
      <c r="D1864" s="423" t="s">
        <v>6871</v>
      </c>
      <c r="E1864" s="423" t="s">
        <v>203</v>
      </c>
      <c r="F1864" s="423">
        <v>512</v>
      </c>
      <c r="G1864" s="423">
        <v>1024</v>
      </c>
      <c r="H1864" s="423">
        <v>86686</v>
      </c>
      <c r="J1864" s="423"/>
      <c r="K1864" s="423"/>
      <c r="L1864" s="423"/>
      <c r="M1864" s="423"/>
      <c r="Q1864" s="423"/>
      <c r="R1864" s="424" t="s">
        <v>7597</v>
      </c>
      <c r="S1864" s="424" t="s">
        <v>2846</v>
      </c>
      <c r="T1864" s="424" t="s">
        <v>3152</v>
      </c>
      <c r="U1864" s="424">
        <v>0</v>
      </c>
      <c r="V1864" s="424" t="s">
        <v>2824</v>
      </c>
      <c r="W1864" s="424" t="s">
        <v>2974</v>
      </c>
      <c r="X1864" s="424" t="s">
        <v>2825</v>
      </c>
      <c r="Y1864" s="424" t="s">
        <v>2279</v>
      </c>
      <c r="Z1864" s="424" t="s">
        <v>2848</v>
      </c>
      <c r="AA1864" s="424" t="s">
        <v>2849</v>
      </c>
      <c r="AB1864" s="424" t="s">
        <v>7598</v>
      </c>
      <c r="AC1864" s="424" t="s">
        <v>1953</v>
      </c>
      <c r="AD1864" s="424" t="s">
        <v>2851</v>
      </c>
      <c r="AE1864" s="424" t="s">
        <v>3719</v>
      </c>
      <c r="AF1864" s="424"/>
      <c r="AG1864" s="424"/>
      <c r="AH1864" s="424"/>
    </row>
    <row r="1865" spans="1:34" x14ac:dyDescent="0.25">
      <c r="A1865" s="423" t="s">
        <v>7578</v>
      </c>
      <c r="B1865" s="423" t="s">
        <v>7599</v>
      </c>
      <c r="C1865" s="423" t="s">
        <v>1090</v>
      </c>
      <c r="D1865" s="423" t="s">
        <v>6871</v>
      </c>
      <c r="E1865" s="423" t="s">
        <v>203</v>
      </c>
      <c r="F1865" s="423">
        <v>512</v>
      </c>
      <c r="G1865" s="423">
        <v>1024</v>
      </c>
      <c r="H1865" s="423">
        <v>86686</v>
      </c>
      <c r="J1865" s="423"/>
      <c r="K1865" s="423"/>
      <c r="L1865" s="423"/>
      <c r="M1865" s="423"/>
      <c r="Q1865" s="423"/>
      <c r="R1865" s="424" t="s">
        <v>7599</v>
      </c>
      <c r="S1865" s="424" t="s">
        <v>2846</v>
      </c>
      <c r="T1865" s="424" t="s">
        <v>7600</v>
      </c>
      <c r="U1865" s="424">
        <v>0</v>
      </c>
      <c r="V1865" s="424" t="s">
        <v>3269</v>
      </c>
      <c r="W1865" s="424" t="s">
        <v>3074</v>
      </c>
      <c r="X1865" s="424" t="s">
        <v>2825</v>
      </c>
      <c r="Y1865" s="424" t="s">
        <v>2279</v>
      </c>
      <c r="Z1865" s="424" t="s">
        <v>2848</v>
      </c>
      <c r="AA1865" s="424" t="s">
        <v>2849</v>
      </c>
      <c r="AB1865" s="424" t="s">
        <v>7601</v>
      </c>
      <c r="AC1865" s="424" t="s">
        <v>1953</v>
      </c>
      <c r="AD1865" s="424" t="s">
        <v>2851</v>
      </c>
      <c r="AE1865" s="424" t="s">
        <v>3545</v>
      </c>
      <c r="AF1865" s="424"/>
      <c r="AG1865" s="424"/>
      <c r="AH1865" s="424"/>
    </row>
    <row r="1866" spans="1:34" x14ac:dyDescent="0.25">
      <c r="A1866" s="423" t="s">
        <v>7578</v>
      </c>
      <c r="B1866" s="423" t="s">
        <v>7602</v>
      </c>
      <c r="C1866" s="423" t="s">
        <v>1090</v>
      </c>
      <c r="D1866" s="423" t="s">
        <v>6871</v>
      </c>
      <c r="E1866" s="423" t="s">
        <v>203</v>
      </c>
      <c r="F1866" s="423">
        <v>512</v>
      </c>
      <c r="G1866" s="423">
        <v>1024</v>
      </c>
      <c r="H1866" s="423">
        <v>86686</v>
      </c>
      <c r="J1866" s="423"/>
      <c r="K1866" s="423"/>
      <c r="L1866" s="423"/>
      <c r="M1866" s="423"/>
      <c r="Q1866" s="423"/>
      <c r="R1866" s="424" t="s">
        <v>7602</v>
      </c>
      <c r="S1866" s="424" t="s">
        <v>2846</v>
      </c>
      <c r="T1866" s="424" t="s">
        <v>7600</v>
      </c>
      <c r="U1866" s="424">
        <v>0</v>
      </c>
      <c r="V1866" s="424" t="s">
        <v>3269</v>
      </c>
      <c r="W1866" s="424" t="s">
        <v>3055</v>
      </c>
      <c r="X1866" s="424" t="s">
        <v>2825</v>
      </c>
      <c r="Y1866" s="424" t="s">
        <v>2279</v>
      </c>
      <c r="Z1866" s="424" t="s">
        <v>2848</v>
      </c>
      <c r="AA1866" s="424" t="s">
        <v>2855</v>
      </c>
      <c r="AB1866" s="424" t="s">
        <v>3937</v>
      </c>
      <c r="AC1866" s="424" t="s">
        <v>1953</v>
      </c>
      <c r="AD1866" s="424" t="s">
        <v>2851</v>
      </c>
      <c r="AE1866" s="424" t="s">
        <v>2857</v>
      </c>
      <c r="AF1866" s="424"/>
      <c r="AG1866" s="424"/>
      <c r="AH1866" s="424"/>
    </row>
    <row r="1867" spans="1:34" x14ac:dyDescent="0.25">
      <c r="A1867" s="423" t="s">
        <v>7578</v>
      </c>
      <c r="B1867" s="423" t="s">
        <v>7603</v>
      </c>
      <c r="C1867" s="423" t="s">
        <v>1090</v>
      </c>
      <c r="D1867" s="423" t="s">
        <v>6871</v>
      </c>
      <c r="E1867" s="423" t="s">
        <v>203</v>
      </c>
      <c r="F1867" s="423">
        <v>512</v>
      </c>
      <c r="G1867" s="423">
        <v>1024</v>
      </c>
      <c r="H1867" s="423">
        <v>86686</v>
      </c>
      <c r="J1867" s="423"/>
      <c r="K1867" s="423"/>
      <c r="L1867" s="423"/>
      <c r="M1867" s="423"/>
      <c r="Q1867" s="423"/>
      <c r="R1867" s="424" t="s">
        <v>7604</v>
      </c>
      <c r="S1867" s="424" t="s">
        <v>2846</v>
      </c>
      <c r="T1867" s="424" t="s">
        <v>7600</v>
      </c>
      <c r="U1867" s="424">
        <v>0</v>
      </c>
      <c r="V1867" s="424" t="s">
        <v>3269</v>
      </c>
      <c r="W1867" s="424" t="s">
        <v>3074</v>
      </c>
      <c r="X1867" s="424" t="s">
        <v>2825</v>
      </c>
      <c r="Y1867" s="424" t="s">
        <v>2279</v>
      </c>
      <c r="Z1867" s="424" t="s">
        <v>3260</v>
      </c>
      <c r="AA1867" s="424" t="s">
        <v>3271</v>
      </c>
      <c r="AB1867" s="424" t="s">
        <v>6872</v>
      </c>
      <c r="AC1867" s="424" t="s">
        <v>1953</v>
      </c>
      <c r="AD1867" s="424" t="s">
        <v>2851</v>
      </c>
      <c r="AE1867" s="424" t="s">
        <v>3206</v>
      </c>
      <c r="AF1867" s="424"/>
      <c r="AG1867" s="424"/>
      <c r="AH1867" s="424"/>
    </row>
    <row r="1868" spans="1:34" x14ac:dyDescent="0.25">
      <c r="A1868" s="423" t="s">
        <v>7578</v>
      </c>
      <c r="B1868" s="423" t="s">
        <v>7605</v>
      </c>
      <c r="C1868" s="423" t="s">
        <v>1090</v>
      </c>
      <c r="D1868" s="423" t="s">
        <v>6871</v>
      </c>
      <c r="E1868" s="423" t="s">
        <v>203</v>
      </c>
      <c r="F1868" s="423">
        <v>512</v>
      </c>
      <c r="G1868" s="423">
        <v>1024</v>
      </c>
      <c r="H1868" s="423">
        <v>86686</v>
      </c>
      <c r="J1868" s="423"/>
      <c r="K1868" s="423"/>
      <c r="L1868" s="423"/>
      <c r="M1868" s="423"/>
      <c r="Q1868" s="423"/>
      <c r="R1868" s="424" t="s">
        <v>7605</v>
      </c>
      <c r="S1868" s="424" t="s">
        <v>2846</v>
      </c>
      <c r="T1868" s="424" t="s">
        <v>7600</v>
      </c>
      <c r="U1868" s="424">
        <v>0</v>
      </c>
      <c r="V1868" s="424" t="s">
        <v>3269</v>
      </c>
      <c r="W1868" s="424" t="s">
        <v>3074</v>
      </c>
      <c r="X1868" s="424" t="s">
        <v>2825</v>
      </c>
      <c r="Y1868" s="424" t="s">
        <v>2279</v>
      </c>
      <c r="Z1868" s="424" t="s">
        <v>3260</v>
      </c>
      <c r="AA1868" s="424" t="s">
        <v>3274</v>
      </c>
      <c r="AB1868" s="424" t="s">
        <v>3478</v>
      </c>
      <c r="AC1868" s="424" t="s">
        <v>1953</v>
      </c>
      <c r="AD1868" s="424" t="s">
        <v>2851</v>
      </c>
      <c r="AE1868" s="424" t="s">
        <v>3206</v>
      </c>
      <c r="AF1868" s="424"/>
      <c r="AG1868" s="424"/>
      <c r="AH1868" s="424"/>
    </row>
    <row r="1869" spans="1:34" x14ac:dyDescent="0.25">
      <c r="A1869" s="423" t="s">
        <v>7578</v>
      </c>
      <c r="B1869" s="423" t="s">
        <v>7606</v>
      </c>
      <c r="C1869" s="423" t="s">
        <v>1090</v>
      </c>
      <c r="D1869" s="423" t="s">
        <v>6871</v>
      </c>
      <c r="E1869" s="423" t="s">
        <v>203</v>
      </c>
      <c r="F1869" s="423">
        <v>512</v>
      </c>
      <c r="G1869" s="423">
        <v>1024</v>
      </c>
      <c r="H1869" s="423">
        <v>86686</v>
      </c>
      <c r="J1869" s="423"/>
      <c r="K1869" s="423"/>
      <c r="L1869" s="423"/>
      <c r="M1869" s="423"/>
      <c r="Q1869" s="423"/>
      <c r="R1869" s="424" t="s">
        <v>7607</v>
      </c>
      <c r="S1869" s="424" t="s">
        <v>2820</v>
      </c>
      <c r="T1869" s="424" t="s">
        <v>6876</v>
      </c>
      <c r="U1869" s="424">
        <v>0</v>
      </c>
      <c r="V1869" s="424" t="s">
        <v>6499</v>
      </c>
      <c r="W1869" s="424" t="s">
        <v>2824</v>
      </c>
      <c r="X1869" s="424">
        <v>0</v>
      </c>
      <c r="Y1869" s="424" t="s">
        <v>2279</v>
      </c>
      <c r="Z1869" s="424" t="s">
        <v>3260</v>
      </c>
      <c r="AA1869" s="424" t="s">
        <v>3327</v>
      </c>
      <c r="AB1869" s="424" t="s">
        <v>7608</v>
      </c>
      <c r="AC1869" s="424" t="s">
        <v>1953</v>
      </c>
      <c r="AD1869" s="424" t="s">
        <v>3329</v>
      </c>
      <c r="AE1869" s="424" t="s">
        <v>7342</v>
      </c>
      <c r="AF1869" s="424"/>
      <c r="AG1869" s="424"/>
      <c r="AH1869" s="424"/>
    </row>
    <row r="1870" spans="1:34" x14ac:dyDescent="0.25">
      <c r="A1870" s="423" t="s">
        <v>7578</v>
      </c>
      <c r="B1870" s="423" t="s">
        <v>7609</v>
      </c>
      <c r="C1870" s="423" t="s">
        <v>1090</v>
      </c>
      <c r="D1870" s="423" t="s">
        <v>6871</v>
      </c>
      <c r="E1870" s="423" t="s">
        <v>203</v>
      </c>
      <c r="F1870" s="423">
        <v>512</v>
      </c>
      <c r="G1870" s="423">
        <v>1024</v>
      </c>
      <c r="H1870" s="423">
        <v>86686</v>
      </c>
      <c r="J1870" s="423"/>
      <c r="K1870" s="423"/>
      <c r="L1870" s="423"/>
      <c r="M1870" s="423"/>
      <c r="Q1870" s="423"/>
      <c r="R1870" s="424" t="s">
        <v>7610</v>
      </c>
      <c r="S1870" s="424" t="s">
        <v>2820</v>
      </c>
      <c r="T1870" s="424" t="s">
        <v>6876</v>
      </c>
      <c r="U1870" s="424">
        <v>0</v>
      </c>
      <c r="V1870" s="424" t="s">
        <v>6499</v>
      </c>
      <c r="W1870" s="424" t="s">
        <v>2824</v>
      </c>
      <c r="X1870" s="424">
        <v>0</v>
      </c>
      <c r="Y1870" s="424" t="s">
        <v>2279</v>
      </c>
      <c r="Z1870" s="424" t="s">
        <v>3260</v>
      </c>
      <c r="AA1870" s="424" t="s">
        <v>3327</v>
      </c>
      <c r="AB1870" s="424" t="s">
        <v>7611</v>
      </c>
      <c r="AC1870" s="424" t="s">
        <v>1953</v>
      </c>
      <c r="AD1870" s="424" t="s">
        <v>3329</v>
      </c>
      <c r="AE1870" s="424" t="s">
        <v>7352</v>
      </c>
      <c r="AF1870" s="424"/>
      <c r="AG1870" s="424"/>
      <c r="AH1870" s="424"/>
    </row>
    <row r="1871" spans="1:34" x14ac:dyDescent="0.25">
      <c r="A1871" s="423" t="s">
        <v>7578</v>
      </c>
      <c r="B1871" s="423" t="s">
        <v>7612</v>
      </c>
      <c r="C1871" s="423" t="s">
        <v>1090</v>
      </c>
      <c r="D1871" s="423" t="s">
        <v>6871</v>
      </c>
      <c r="E1871" s="423" t="s">
        <v>203</v>
      </c>
      <c r="F1871" s="423">
        <v>512</v>
      </c>
      <c r="G1871" s="423">
        <v>1024</v>
      </c>
      <c r="H1871" s="423">
        <v>86686</v>
      </c>
      <c r="J1871" s="423"/>
      <c r="K1871" s="423"/>
      <c r="L1871" s="423"/>
      <c r="M1871" s="423"/>
      <c r="Q1871" s="423"/>
      <c r="R1871" s="424" t="s">
        <v>7613</v>
      </c>
      <c r="S1871" s="424" t="s">
        <v>2820</v>
      </c>
      <c r="T1871" s="424" t="s">
        <v>7614</v>
      </c>
      <c r="U1871" s="424">
        <v>0</v>
      </c>
      <c r="V1871" s="424" t="s">
        <v>6877</v>
      </c>
      <c r="W1871" s="424" t="s">
        <v>3283</v>
      </c>
      <c r="X1871" s="424">
        <v>0</v>
      </c>
      <c r="Y1871" s="424" t="s">
        <v>2279</v>
      </c>
      <c r="Z1871" s="424" t="s">
        <v>2889</v>
      </c>
      <c r="AA1871" s="424" t="s">
        <v>6508</v>
      </c>
      <c r="AB1871" s="424" t="s">
        <v>7615</v>
      </c>
      <c r="AC1871" s="424" t="s">
        <v>2269</v>
      </c>
      <c r="AD1871" s="424" t="s">
        <v>6510</v>
      </c>
      <c r="AE1871" s="424" t="s">
        <v>7616</v>
      </c>
      <c r="AF1871" s="424"/>
      <c r="AG1871" s="424"/>
      <c r="AH1871" s="424"/>
    </row>
    <row r="1872" spans="1:34" x14ac:dyDescent="0.25">
      <c r="A1872" s="423" t="s">
        <v>7578</v>
      </c>
      <c r="B1872" s="423" t="s">
        <v>7617</v>
      </c>
      <c r="C1872" s="423" t="s">
        <v>1090</v>
      </c>
      <c r="D1872" s="423" t="s">
        <v>6871</v>
      </c>
      <c r="E1872" s="423" t="s">
        <v>203</v>
      </c>
      <c r="F1872" s="423">
        <v>512</v>
      </c>
      <c r="G1872" s="423">
        <v>1024</v>
      </c>
      <c r="H1872" s="423">
        <v>86686</v>
      </c>
      <c r="J1872" s="423"/>
      <c r="K1872" s="423"/>
      <c r="L1872" s="423"/>
      <c r="M1872" s="423"/>
      <c r="Q1872" s="423"/>
      <c r="R1872" s="424" t="s">
        <v>7618</v>
      </c>
      <c r="S1872" s="424" t="s">
        <v>2820</v>
      </c>
      <c r="T1872" s="424" t="s">
        <v>7614</v>
      </c>
      <c r="U1872" s="424">
        <v>0</v>
      </c>
      <c r="V1872" s="424" t="s">
        <v>6877</v>
      </c>
      <c r="W1872" s="424" t="s">
        <v>3283</v>
      </c>
      <c r="X1872" s="424">
        <v>0</v>
      </c>
      <c r="Y1872" s="424" t="s">
        <v>2279</v>
      </c>
      <c r="Z1872" s="424" t="s">
        <v>2889</v>
      </c>
      <c r="AA1872" s="424" t="s">
        <v>6508</v>
      </c>
      <c r="AB1872" s="424" t="s">
        <v>7619</v>
      </c>
      <c r="AC1872" s="424" t="s">
        <v>2269</v>
      </c>
      <c r="AD1872" s="424" t="s">
        <v>6510</v>
      </c>
      <c r="AE1872" s="424" t="s">
        <v>7616</v>
      </c>
      <c r="AF1872" s="424"/>
      <c r="AG1872" s="424"/>
      <c r="AH1872" s="424"/>
    </row>
    <row r="1873" spans="1:34" x14ac:dyDescent="0.25">
      <c r="A1873" s="423" t="s">
        <v>7620</v>
      </c>
      <c r="B1873" s="423" t="s">
        <v>7621</v>
      </c>
      <c r="C1873" s="423" t="s">
        <v>1090</v>
      </c>
      <c r="D1873" s="423" t="s">
        <v>6871</v>
      </c>
      <c r="E1873" s="423" t="s">
        <v>203</v>
      </c>
      <c r="F1873" s="423">
        <v>76</v>
      </c>
      <c r="G1873" s="423">
        <v>64</v>
      </c>
      <c r="H1873" s="423">
        <v>304</v>
      </c>
      <c r="J1873" s="423"/>
      <c r="K1873" s="423"/>
      <c r="L1873" s="423"/>
      <c r="M1873" s="423"/>
      <c r="Q1873" s="423"/>
      <c r="R1873" s="424" t="s">
        <v>7621</v>
      </c>
      <c r="S1873" s="424" t="s">
        <v>2846</v>
      </c>
      <c r="T1873" s="424" t="s">
        <v>3268</v>
      </c>
      <c r="U1873" s="424">
        <v>0</v>
      </c>
      <c r="V1873" s="424" t="s">
        <v>3269</v>
      </c>
      <c r="W1873" s="424" t="s">
        <v>3055</v>
      </c>
      <c r="X1873" s="424" t="s">
        <v>2825</v>
      </c>
      <c r="Y1873" s="424" t="s">
        <v>2279</v>
      </c>
      <c r="Z1873" s="424" t="s">
        <v>2848</v>
      </c>
      <c r="AA1873" s="424" t="s">
        <v>2849</v>
      </c>
      <c r="AB1873" s="424" t="s">
        <v>3721</v>
      </c>
      <c r="AC1873" s="424" t="s">
        <v>1953</v>
      </c>
      <c r="AD1873" s="424" t="s">
        <v>2851</v>
      </c>
      <c r="AE1873" s="424" t="s">
        <v>3173</v>
      </c>
      <c r="AF1873" s="424"/>
      <c r="AG1873" s="424"/>
      <c r="AH1873" s="424"/>
    </row>
    <row r="1874" spans="1:34" x14ac:dyDescent="0.25">
      <c r="A1874" s="423" t="s">
        <v>7620</v>
      </c>
      <c r="B1874" s="423" t="s">
        <v>7622</v>
      </c>
      <c r="C1874" s="423" t="s">
        <v>1090</v>
      </c>
      <c r="D1874" s="423" t="s">
        <v>6871</v>
      </c>
      <c r="E1874" s="423" t="s">
        <v>203</v>
      </c>
      <c r="F1874" s="423">
        <v>76</v>
      </c>
      <c r="G1874" s="423">
        <v>64</v>
      </c>
      <c r="H1874" s="423">
        <v>304</v>
      </c>
      <c r="J1874" s="423"/>
      <c r="K1874" s="423"/>
      <c r="L1874" s="423"/>
      <c r="M1874" s="423"/>
      <c r="Q1874" s="423"/>
      <c r="R1874" s="424" t="s">
        <v>7622</v>
      </c>
      <c r="S1874" s="424" t="s">
        <v>2846</v>
      </c>
      <c r="T1874" s="424" t="s">
        <v>3268</v>
      </c>
      <c r="U1874" s="424">
        <v>0</v>
      </c>
      <c r="V1874" s="424" t="s">
        <v>3269</v>
      </c>
      <c r="W1874" s="424" t="s">
        <v>3074</v>
      </c>
      <c r="X1874" s="424" t="s">
        <v>2825</v>
      </c>
      <c r="Y1874" s="424" t="s">
        <v>2279</v>
      </c>
      <c r="Z1874" s="424" t="s">
        <v>3260</v>
      </c>
      <c r="AA1874" s="424" t="s">
        <v>3197</v>
      </c>
      <c r="AB1874" s="424" t="s">
        <v>3964</v>
      </c>
      <c r="AC1874" s="424" t="s">
        <v>1953</v>
      </c>
      <c r="AD1874" s="424" t="s">
        <v>2851</v>
      </c>
      <c r="AE1874" s="424" t="s">
        <v>3279</v>
      </c>
      <c r="AF1874" s="424"/>
      <c r="AG1874" s="424"/>
      <c r="AH1874" s="424"/>
    </row>
    <row r="1875" spans="1:34" x14ac:dyDescent="0.25">
      <c r="A1875" s="423" t="s">
        <v>7620</v>
      </c>
      <c r="B1875" s="423" t="s">
        <v>7623</v>
      </c>
      <c r="C1875" s="423" t="s">
        <v>1090</v>
      </c>
      <c r="D1875" s="423" t="s">
        <v>6871</v>
      </c>
      <c r="E1875" s="423" t="s">
        <v>203</v>
      </c>
      <c r="F1875" s="423">
        <v>76</v>
      </c>
      <c r="G1875" s="423">
        <v>64</v>
      </c>
      <c r="H1875" s="423">
        <v>304</v>
      </c>
      <c r="J1875" s="423"/>
      <c r="K1875" s="423"/>
      <c r="L1875" s="423"/>
      <c r="M1875" s="423"/>
      <c r="Q1875" s="423"/>
      <c r="R1875" s="424" t="s">
        <v>7624</v>
      </c>
      <c r="S1875" s="424" t="s">
        <v>2846</v>
      </c>
      <c r="T1875" s="424" t="s">
        <v>2870</v>
      </c>
      <c r="U1875" s="424">
        <v>0</v>
      </c>
      <c r="V1875" s="424" t="s">
        <v>2973</v>
      </c>
      <c r="W1875" s="424" t="s">
        <v>3074</v>
      </c>
      <c r="X1875" s="424">
        <v>0</v>
      </c>
      <c r="Y1875" s="424" t="s">
        <v>2279</v>
      </c>
      <c r="Z1875" s="424" t="s">
        <v>2872</v>
      </c>
      <c r="AA1875" s="424" t="s">
        <v>3197</v>
      </c>
      <c r="AB1875" s="424" t="s">
        <v>3755</v>
      </c>
      <c r="AC1875" s="424" t="s">
        <v>1953</v>
      </c>
      <c r="AD1875" s="424" t="s">
        <v>2892</v>
      </c>
      <c r="AE1875" s="424" t="s">
        <v>3387</v>
      </c>
      <c r="AF1875" s="424"/>
      <c r="AG1875" s="424"/>
      <c r="AH1875" s="424"/>
    </row>
    <row r="1876" spans="1:34" x14ac:dyDescent="0.25">
      <c r="A1876" s="423" t="s">
        <v>7620</v>
      </c>
      <c r="B1876" s="423" t="s">
        <v>7625</v>
      </c>
      <c r="C1876" s="423" t="s">
        <v>1090</v>
      </c>
      <c r="D1876" s="423" t="s">
        <v>6871</v>
      </c>
      <c r="E1876" s="423" t="s">
        <v>203</v>
      </c>
      <c r="F1876" s="423">
        <v>76</v>
      </c>
      <c r="G1876" s="423">
        <v>64</v>
      </c>
      <c r="H1876" s="423">
        <v>304</v>
      </c>
      <c r="J1876" s="423"/>
      <c r="K1876" s="423"/>
      <c r="L1876" s="423"/>
      <c r="M1876" s="423"/>
      <c r="Q1876" s="423"/>
      <c r="R1876" s="424" t="s">
        <v>7626</v>
      </c>
      <c r="S1876" s="424" t="s">
        <v>2846</v>
      </c>
      <c r="T1876" s="424" t="s">
        <v>2870</v>
      </c>
      <c r="U1876" s="424">
        <v>0</v>
      </c>
      <c r="V1876" s="424" t="s">
        <v>2973</v>
      </c>
      <c r="W1876" s="424" t="s">
        <v>3074</v>
      </c>
      <c r="X1876" s="424">
        <v>0</v>
      </c>
      <c r="Y1876" s="424" t="s">
        <v>2279</v>
      </c>
      <c r="Z1876" s="424" t="s">
        <v>2872</v>
      </c>
      <c r="AA1876" s="424" t="s">
        <v>3197</v>
      </c>
      <c r="AB1876" s="424" t="s">
        <v>3758</v>
      </c>
      <c r="AC1876" s="424" t="s">
        <v>1953</v>
      </c>
      <c r="AD1876" s="424" t="s">
        <v>2892</v>
      </c>
      <c r="AE1876" s="424" t="s">
        <v>3348</v>
      </c>
      <c r="AF1876" s="424"/>
      <c r="AG1876" s="424"/>
      <c r="AH1876" s="424"/>
    </row>
    <row r="1877" spans="1:34" x14ac:dyDescent="0.25">
      <c r="A1877" s="423" t="s">
        <v>7627</v>
      </c>
      <c r="B1877" s="423" t="s">
        <v>7628</v>
      </c>
      <c r="C1877" s="423" t="s">
        <v>1090</v>
      </c>
      <c r="D1877" s="423" t="s">
        <v>6871</v>
      </c>
      <c r="E1877" s="423" t="s">
        <v>203</v>
      </c>
      <c r="F1877" s="423">
        <v>48</v>
      </c>
      <c r="G1877" s="423">
        <v>96</v>
      </c>
      <c r="H1877" s="423">
        <v>2048</v>
      </c>
      <c r="J1877" s="423"/>
      <c r="K1877" s="423"/>
      <c r="L1877" s="423"/>
      <c r="M1877" s="423"/>
      <c r="Q1877" s="423"/>
      <c r="R1877" s="424" t="s">
        <v>7628</v>
      </c>
      <c r="S1877" s="424" t="s">
        <v>2846</v>
      </c>
      <c r="T1877" s="424" t="s">
        <v>3291</v>
      </c>
      <c r="U1877" s="424">
        <v>0</v>
      </c>
      <c r="V1877" s="424" t="s">
        <v>3269</v>
      </c>
      <c r="W1877" s="424" t="s">
        <v>3055</v>
      </c>
      <c r="X1877" s="424" t="s">
        <v>2825</v>
      </c>
      <c r="Y1877" s="424" t="s">
        <v>2279</v>
      </c>
      <c r="Z1877" s="424" t="s">
        <v>3260</v>
      </c>
      <c r="AA1877" s="424" t="s">
        <v>3327</v>
      </c>
      <c r="AB1877" s="424" t="s">
        <v>3566</v>
      </c>
      <c r="AC1877" s="424" t="s">
        <v>1953</v>
      </c>
      <c r="AD1877" s="424" t="s">
        <v>3329</v>
      </c>
      <c r="AE1877" s="424" t="s">
        <v>3365</v>
      </c>
      <c r="AF1877" s="424"/>
      <c r="AG1877" s="424"/>
      <c r="AH1877" s="424"/>
    </row>
    <row r="1878" spans="1:34" x14ac:dyDescent="0.25">
      <c r="A1878" s="423" t="s">
        <v>7627</v>
      </c>
      <c r="B1878" s="423" t="s">
        <v>7629</v>
      </c>
      <c r="C1878" s="423" t="s">
        <v>1090</v>
      </c>
      <c r="D1878" s="423" t="s">
        <v>6871</v>
      </c>
      <c r="E1878" s="423" t="s">
        <v>203</v>
      </c>
      <c r="F1878" s="423">
        <v>48</v>
      </c>
      <c r="G1878" s="423">
        <v>96</v>
      </c>
      <c r="H1878" s="423">
        <v>2048</v>
      </c>
      <c r="J1878" s="423"/>
      <c r="K1878" s="423"/>
      <c r="L1878" s="423"/>
      <c r="M1878" s="423"/>
      <c r="Q1878" s="423"/>
      <c r="R1878" s="424" t="s">
        <v>7629</v>
      </c>
      <c r="S1878" s="424" t="s">
        <v>2846</v>
      </c>
      <c r="T1878" s="424" t="s">
        <v>5019</v>
      </c>
      <c r="U1878" s="424">
        <v>0</v>
      </c>
      <c r="V1878" s="424" t="s">
        <v>3269</v>
      </c>
      <c r="W1878" s="424" t="s">
        <v>3074</v>
      </c>
      <c r="X1878" s="424" t="s">
        <v>2825</v>
      </c>
      <c r="Y1878" s="424" t="s">
        <v>2279</v>
      </c>
      <c r="Z1878" s="424" t="s">
        <v>3260</v>
      </c>
      <c r="AA1878" s="424" t="s">
        <v>3197</v>
      </c>
      <c r="AB1878" s="424" t="s">
        <v>3964</v>
      </c>
      <c r="AC1878" s="424" t="s">
        <v>1953</v>
      </c>
      <c r="AD1878" s="424" t="s">
        <v>2851</v>
      </c>
      <c r="AE1878" s="424" t="s">
        <v>3279</v>
      </c>
      <c r="AF1878" s="424"/>
      <c r="AG1878" s="424"/>
      <c r="AH1878" s="424"/>
    </row>
    <row r="1879" spans="1:34" x14ac:dyDescent="0.25">
      <c r="A1879" s="423" t="s">
        <v>7627</v>
      </c>
      <c r="B1879" s="423" t="s">
        <v>7630</v>
      </c>
      <c r="C1879" s="423" t="s">
        <v>1090</v>
      </c>
      <c r="D1879" s="423" t="s">
        <v>6871</v>
      </c>
      <c r="E1879" s="423" t="s">
        <v>203</v>
      </c>
      <c r="F1879" s="423">
        <v>48</v>
      </c>
      <c r="G1879" s="423">
        <v>96</v>
      </c>
      <c r="H1879" s="423">
        <v>2048</v>
      </c>
      <c r="J1879" s="423"/>
      <c r="K1879" s="423"/>
      <c r="L1879" s="423"/>
      <c r="M1879" s="423"/>
      <c r="Q1879" s="423"/>
      <c r="R1879" s="424" t="s">
        <v>7630</v>
      </c>
      <c r="S1879" s="424" t="s">
        <v>2846</v>
      </c>
      <c r="T1879" s="424" t="s">
        <v>5019</v>
      </c>
      <c r="U1879" s="424">
        <v>0</v>
      </c>
      <c r="V1879" s="424" t="s">
        <v>3269</v>
      </c>
      <c r="W1879" s="424" t="s">
        <v>3054</v>
      </c>
      <c r="X1879" s="424" t="s">
        <v>2825</v>
      </c>
      <c r="Y1879" s="424" t="s">
        <v>2279</v>
      </c>
      <c r="Z1879" s="424" t="s">
        <v>2848</v>
      </c>
      <c r="AA1879" s="424" t="s">
        <v>2855</v>
      </c>
      <c r="AB1879" s="424" t="s">
        <v>7363</v>
      </c>
      <c r="AC1879" s="424" t="s">
        <v>1953</v>
      </c>
      <c r="AD1879" s="424" t="s">
        <v>2851</v>
      </c>
      <c r="AE1879" s="424" t="s">
        <v>3154</v>
      </c>
      <c r="AF1879" s="424"/>
      <c r="AG1879" s="424"/>
      <c r="AH1879" s="424"/>
    </row>
    <row r="1880" spans="1:34" x14ac:dyDescent="0.25">
      <c r="A1880" s="423" t="s">
        <v>7627</v>
      </c>
      <c r="B1880" s="423" t="s">
        <v>7631</v>
      </c>
      <c r="C1880" s="423" t="s">
        <v>1090</v>
      </c>
      <c r="D1880" s="423" t="s">
        <v>6871</v>
      </c>
      <c r="E1880" s="423" t="s">
        <v>203</v>
      </c>
      <c r="F1880" s="423">
        <v>48</v>
      </c>
      <c r="G1880" s="423">
        <v>96</v>
      </c>
      <c r="H1880" s="423">
        <v>2048</v>
      </c>
      <c r="J1880" s="423"/>
      <c r="K1880" s="423"/>
      <c r="L1880" s="423"/>
      <c r="M1880" s="423"/>
      <c r="Q1880" s="423"/>
      <c r="R1880" s="424" t="s">
        <v>7631</v>
      </c>
      <c r="S1880" s="424" t="s">
        <v>2846</v>
      </c>
      <c r="T1880" s="424" t="s">
        <v>5019</v>
      </c>
      <c r="U1880" s="424">
        <v>0</v>
      </c>
      <c r="V1880" s="424" t="s">
        <v>3269</v>
      </c>
      <c r="W1880" s="424" t="s">
        <v>3176</v>
      </c>
      <c r="X1880" s="424" t="s">
        <v>2825</v>
      </c>
      <c r="Y1880" s="424" t="s">
        <v>2279</v>
      </c>
      <c r="Z1880" s="424" t="s">
        <v>3260</v>
      </c>
      <c r="AA1880" s="424" t="s">
        <v>3197</v>
      </c>
      <c r="AB1880" s="424" t="s">
        <v>6522</v>
      </c>
      <c r="AC1880" s="424" t="s">
        <v>1953</v>
      </c>
      <c r="AD1880" s="424" t="s">
        <v>2851</v>
      </c>
      <c r="AE1880" s="424" t="s">
        <v>3674</v>
      </c>
      <c r="AF1880" s="424"/>
      <c r="AG1880" s="424"/>
      <c r="AH1880" s="424"/>
    </row>
    <row r="1881" spans="1:34" x14ac:dyDescent="0.25">
      <c r="A1881" s="423" t="s">
        <v>7627</v>
      </c>
      <c r="B1881" s="423" t="s">
        <v>7632</v>
      </c>
      <c r="C1881" s="423" t="s">
        <v>1090</v>
      </c>
      <c r="D1881" s="423" t="s">
        <v>6871</v>
      </c>
      <c r="E1881" s="423" t="s">
        <v>203</v>
      </c>
      <c r="F1881" s="423">
        <v>48</v>
      </c>
      <c r="G1881" s="423">
        <v>96</v>
      </c>
      <c r="H1881" s="423">
        <v>2048</v>
      </c>
      <c r="J1881" s="423"/>
      <c r="K1881" s="423"/>
      <c r="L1881" s="423"/>
      <c r="M1881" s="423"/>
      <c r="Q1881" s="423"/>
      <c r="R1881" s="424" t="s">
        <v>7632</v>
      </c>
      <c r="S1881" s="424" t="s">
        <v>2846</v>
      </c>
      <c r="T1881" s="424" t="s">
        <v>3416</v>
      </c>
      <c r="U1881" s="424">
        <v>0</v>
      </c>
      <c r="V1881" s="424" t="s">
        <v>3899</v>
      </c>
      <c r="W1881" s="424" t="s">
        <v>3074</v>
      </c>
      <c r="X1881" s="424">
        <v>0</v>
      </c>
      <c r="Y1881" s="424" t="s">
        <v>2279</v>
      </c>
      <c r="Z1881" s="424" t="s">
        <v>3260</v>
      </c>
      <c r="AA1881" s="424" t="s">
        <v>3274</v>
      </c>
      <c r="AB1881" s="424" t="s">
        <v>3960</v>
      </c>
      <c r="AC1881" s="424" t="s">
        <v>1953</v>
      </c>
      <c r="AD1881" s="424" t="s">
        <v>2851</v>
      </c>
      <c r="AE1881" s="424" t="s">
        <v>3557</v>
      </c>
      <c r="AF1881" s="424"/>
      <c r="AG1881" s="424"/>
      <c r="AH1881" s="424"/>
    </row>
    <row r="1882" spans="1:34" x14ac:dyDescent="0.25">
      <c r="A1882" s="423" t="s">
        <v>7627</v>
      </c>
      <c r="B1882" s="423" t="s">
        <v>7633</v>
      </c>
      <c r="C1882" s="423" t="s">
        <v>1090</v>
      </c>
      <c r="D1882" s="423" t="s">
        <v>6871</v>
      </c>
      <c r="E1882" s="423" t="s">
        <v>203</v>
      </c>
      <c r="F1882" s="423">
        <v>48</v>
      </c>
      <c r="G1882" s="423">
        <v>96</v>
      </c>
      <c r="H1882" s="423">
        <v>2048</v>
      </c>
      <c r="J1882" s="423"/>
      <c r="K1882" s="423"/>
      <c r="L1882" s="423"/>
      <c r="M1882" s="423"/>
      <c r="Q1882" s="423"/>
      <c r="R1882" s="424" t="s">
        <v>7633</v>
      </c>
      <c r="S1882" s="424" t="s">
        <v>2846</v>
      </c>
      <c r="T1882" s="424" t="s">
        <v>3416</v>
      </c>
      <c r="U1882" s="424">
        <v>0</v>
      </c>
      <c r="V1882" s="424" t="s">
        <v>3899</v>
      </c>
      <c r="W1882" s="424" t="s">
        <v>3054</v>
      </c>
      <c r="X1882" s="424">
        <v>0</v>
      </c>
      <c r="Y1882" s="424" t="s">
        <v>2279</v>
      </c>
      <c r="Z1882" s="424" t="s">
        <v>2848</v>
      </c>
      <c r="AA1882" s="424" t="s">
        <v>2849</v>
      </c>
      <c r="AB1882" s="424" t="s">
        <v>5573</v>
      </c>
      <c r="AC1882" s="424" t="s">
        <v>1953</v>
      </c>
      <c r="AD1882" s="424" t="s">
        <v>2851</v>
      </c>
      <c r="AE1882" s="424" t="s">
        <v>4193</v>
      </c>
      <c r="AF1882" s="424"/>
      <c r="AG1882" s="424"/>
      <c r="AH1882" s="424"/>
    </row>
    <row r="1883" spans="1:34" x14ac:dyDescent="0.25">
      <c r="A1883" s="423" t="s">
        <v>7634</v>
      </c>
      <c r="B1883" s="423" t="s">
        <v>7635</v>
      </c>
      <c r="C1883" s="423" t="s">
        <v>1090</v>
      </c>
      <c r="D1883" s="423" t="s">
        <v>6871</v>
      </c>
      <c r="E1883" s="423" t="s">
        <v>203</v>
      </c>
      <c r="F1883" s="423">
        <v>116</v>
      </c>
      <c r="G1883" s="423">
        <v>184</v>
      </c>
      <c r="H1883" s="423">
        <v>3706</v>
      </c>
      <c r="J1883" s="423"/>
      <c r="K1883" s="423"/>
      <c r="L1883" s="423"/>
      <c r="M1883" s="423"/>
      <c r="Q1883" s="423"/>
      <c r="R1883" s="424" t="s">
        <v>7636</v>
      </c>
      <c r="S1883" s="424" t="s">
        <v>2820</v>
      </c>
      <c r="T1883" s="424" t="s">
        <v>7637</v>
      </c>
      <c r="U1883" s="424">
        <v>0</v>
      </c>
      <c r="V1883" s="424" t="s">
        <v>3899</v>
      </c>
      <c r="W1883" s="424" t="s">
        <v>2092</v>
      </c>
      <c r="X1883" s="424" t="s">
        <v>2825</v>
      </c>
      <c r="Y1883" s="424" t="s">
        <v>2279</v>
      </c>
      <c r="Z1883" s="424" t="s">
        <v>3260</v>
      </c>
      <c r="AA1883" s="424" t="s">
        <v>3261</v>
      </c>
      <c r="AB1883" s="424" t="s">
        <v>7638</v>
      </c>
      <c r="AC1883" s="424" t="s">
        <v>3263</v>
      </c>
      <c r="AD1883" s="424" t="s">
        <v>3264</v>
      </c>
      <c r="AE1883" s="424" t="s">
        <v>7639</v>
      </c>
      <c r="AF1883" s="424"/>
      <c r="AG1883" s="424"/>
      <c r="AH1883" s="424"/>
    </row>
    <row r="1884" spans="1:34" x14ac:dyDescent="0.25">
      <c r="A1884" s="423" t="s">
        <v>7634</v>
      </c>
      <c r="B1884" s="423" t="s">
        <v>7640</v>
      </c>
      <c r="C1884" s="423" t="s">
        <v>1090</v>
      </c>
      <c r="D1884" s="423" t="s">
        <v>6871</v>
      </c>
      <c r="E1884" s="423" t="s">
        <v>203</v>
      </c>
      <c r="F1884" s="423">
        <v>116</v>
      </c>
      <c r="G1884" s="423">
        <v>184</v>
      </c>
      <c r="H1884" s="423">
        <v>3706</v>
      </c>
      <c r="J1884" s="423"/>
      <c r="K1884" s="423"/>
      <c r="L1884" s="423"/>
      <c r="M1884" s="423"/>
      <c r="Q1884" s="423"/>
      <c r="R1884" s="424" t="s">
        <v>7641</v>
      </c>
      <c r="S1884" s="424" t="s">
        <v>2820</v>
      </c>
      <c r="T1884" s="424" t="s">
        <v>7637</v>
      </c>
      <c r="U1884" s="424">
        <v>0</v>
      </c>
      <c r="V1884" s="424" t="s">
        <v>3899</v>
      </c>
      <c r="W1884" s="424" t="s">
        <v>2092</v>
      </c>
      <c r="X1884" s="424" t="s">
        <v>2825</v>
      </c>
      <c r="Y1884" s="424" t="s">
        <v>2279</v>
      </c>
      <c r="Z1884" s="424" t="s">
        <v>3260</v>
      </c>
      <c r="AA1884" s="424" t="s">
        <v>3261</v>
      </c>
      <c r="AB1884" s="424" t="s">
        <v>7642</v>
      </c>
      <c r="AC1884" s="424" t="s">
        <v>3263</v>
      </c>
      <c r="AD1884" s="424" t="s">
        <v>3264</v>
      </c>
      <c r="AE1884" s="424" t="s">
        <v>7639</v>
      </c>
      <c r="AF1884" s="424"/>
      <c r="AG1884" s="424"/>
      <c r="AH1884" s="424"/>
    </row>
    <row r="1885" spans="1:34" x14ac:dyDescent="0.25">
      <c r="A1885" s="423" t="s">
        <v>7634</v>
      </c>
      <c r="B1885" s="423" t="s">
        <v>7643</v>
      </c>
      <c r="C1885" s="423" t="s">
        <v>1090</v>
      </c>
      <c r="D1885" s="423" t="s">
        <v>6871</v>
      </c>
      <c r="E1885" s="423" t="s">
        <v>203</v>
      </c>
      <c r="F1885" s="423">
        <v>116</v>
      </c>
      <c r="G1885" s="423">
        <v>184</v>
      </c>
      <c r="H1885" s="423">
        <v>3706</v>
      </c>
      <c r="J1885" s="423"/>
      <c r="K1885" s="423"/>
      <c r="L1885" s="423"/>
      <c r="M1885" s="423"/>
      <c r="Q1885" s="423"/>
      <c r="R1885" s="424" t="s">
        <v>7644</v>
      </c>
      <c r="S1885" s="424" t="s">
        <v>2820</v>
      </c>
      <c r="T1885" s="424" t="s">
        <v>7637</v>
      </c>
      <c r="U1885" s="424">
        <v>0</v>
      </c>
      <c r="V1885" s="424" t="s">
        <v>3899</v>
      </c>
      <c r="W1885" s="424" t="s">
        <v>2092</v>
      </c>
      <c r="X1885" s="424" t="s">
        <v>2825</v>
      </c>
      <c r="Y1885" s="424" t="s">
        <v>2279</v>
      </c>
      <c r="Z1885" s="424" t="s">
        <v>3260</v>
      </c>
      <c r="AA1885" s="424" t="s">
        <v>3261</v>
      </c>
      <c r="AB1885" s="424" t="s">
        <v>7645</v>
      </c>
      <c r="AC1885" s="424" t="s">
        <v>3263</v>
      </c>
      <c r="AD1885" s="424" t="s">
        <v>3264</v>
      </c>
      <c r="AE1885" s="424" t="s">
        <v>7639</v>
      </c>
      <c r="AF1885" s="424"/>
      <c r="AG1885" s="424"/>
      <c r="AH1885" s="424"/>
    </row>
    <row r="1886" spans="1:34" x14ac:dyDescent="0.25">
      <c r="A1886" s="423" t="s">
        <v>7634</v>
      </c>
      <c r="B1886" s="423" t="s">
        <v>7646</v>
      </c>
      <c r="C1886" s="423" t="s">
        <v>1090</v>
      </c>
      <c r="D1886" s="423" t="s">
        <v>6871</v>
      </c>
      <c r="E1886" s="423" t="s">
        <v>203</v>
      </c>
      <c r="F1886" s="423">
        <v>116</v>
      </c>
      <c r="G1886" s="423">
        <v>184</v>
      </c>
      <c r="H1886" s="423">
        <v>3706</v>
      </c>
      <c r="J1886" s="423"/>
      <c r="K1886" s="423"/>
      <c r="L1886" s="423"/>
      <c r="M1886" s="423"/>
      <c r="Q1886" s="423"/>
      <c r="R1886" s="424" t="s">
        <v>7647</v>
      </c>
      <c r="S1886" s="424" t="s">
        <v>2820</v>
      </c>
      <c r="T1886" s="424" t="s">
        <v>7637</v>
      </c>
      <c r="U1886" s="424">
        <v>0</v>
      </c>
      <c r="V1886" s="424" t="s">
        <v>3899</v>
      </c>
      <c r="W1886" s="424" t="s">
        <v>2092</v>
      </c>
      <c r="X1886" s="424" t="s">
        <v>2825</v>
      </c>
      <c r="Y1886" s="424" t="s">
        <v>2279</v>
      </c>
      <c r="Z1886" s="424" t="s">
        <v>3260</v>
      </c>
      <c r="AA1886" s="424" t="s">
        <v>3261</v>
      </c>
      <c r="AB1886" s="424" t="s">
        <v>7648</v>
      </c>
      <c r="AC1886" s="424" t="s">
        <v>3263</v>
      </c>
      <c r="AD1886" s="424" t="s">
        <v>3264</v>
      </c>
      <c r="AE1886" s="424" t="s">
        <v>7639</v>
      </c>
      <c r="AF1886" s="424"/>
      <c r="AG1886" s="424"/>
      <c r="AH1886" s="424"/>
    </row>
    <row r="1887" spans="1:34" x14ac:dyDescent="0.25">
      <c r="A1887" s="423" t="s">
        <v>7634</v>
      </c>
      <c r="B1887" s="423" t="s">
        <v>7649</v>
      </c>
      <c r="C1887" s="423" t="s">
        <v>1090</v>
      </c>
      <c r="D1887" s="423" t="s">
        <v>6871</v>
      </c>
      <c r="E1887" s="423" t="s">
        <v>203</v>
      </c>
      <c r="F1887" s="423">
        <v>116</v>
      </c>
      <c r="G1887" s="423">
        <v>184</v>
      </c>
      <c r="H1887" s="423">
        <v>3706</v>
      </c>
      <c r="J1887" s="423"/>
      <c r="K1887" s="423"/>
      <c r="L1887" s="423"/>
      <c r="M1887" s="423"/>
      <c r="Q1887" s="423"/>
      <c r="R1887" s="424" t="s">
        <v>7650</v>
      </c>
      <c r="S1887" s="424" t="s">
        <v>2820</v>
      </c>
      <c r="T1887" s="424" t="s">
        <v>7637</v>
      </c>
      <c r="U1887" s="424">
        <v>0</v>
      </c>
      <c r="V1887" s="424" t="s">
        <v>3899</v>
      </c>
      <c r="W1887" s="424" t="s">
        <v>2092</v>
      </c>
      <c r="X1887" s="424" t="s">
        <v>2825</v>
      </c>
      <c r="Y1887" s="424" t="s">
        <v>2279</v>
      </c>
      <c r="Z1887" s="424" t="s">
        <v>3260</v>
      </c>
      <c r="AA1887" s="424" t="s">
        <v>3261</v>
      </c>
      <c r="AB1887" s="424" t="s">
        <v>7651</v>
      </c>
      <c r="AC1887" s="424" t="s">
        <v>3263</v>
      </c>
      <c r="AD1887" s="424" t="s">
        <v>3264</v>
      </c>
      <c r="AE1887" s="424" t="s">
        <v>7639</v>
      </c>
      <c r="AF1887" s="424"/>
      <c r="AG1887" s="424"/>
      <c r="AH1887" s="424"/>
    </row>
    <row r="1888" spans="1:34" x14ac:dyDescent="0.25">
      <c r="A1888" s="423" t="s">
        <v>7634</v>
      </c>
      <c r="B1888" s="423" t="s">
        <v>7652</v>
      </c>
      <c r="C1888" s="423" t="s">
        <v>1090</v>
      </c>
      <c r="D1888" s="423" t="s">
        <v>6871</v>
      </c>
      <c r="E1888" s="423" t="s">
        <v>203</v>
      </c>
      <c r="F1888" s="423">
        <v>116</v>
      </c>
      <c r="G1888" s="423">
        <v>184</v>
      </c>
      <c r="H1888" s="423">
        <v>3706</v>
      </c>
      <c r="J1888" s="423"/>
      <c r="K1888" s="423"/>
      <c r="L1888" s="423"/>
      <c r="M1888" s="423"/>
      <c r="Q1888" s="423"/>
      <c r="R1888" s="424" t="s">
        <v>7653</v>
      </c>
      <c r="S1888" s="424" t="s">
        <v>2820</v>
      </c>
      <c r="T1888" s="424" t="s">
        <v>7637</v>
      </c>
      <c r="U1888" s="424">
        <v>0</v>
      </c>
      <c r="V1888" s="424" t="s">
        <v>3899</v>
      </c>
      <c r="W1888" s="424" t="s">
        <v>2092</v>
      </c>
      <c r="X1888" s="424" t="s">
        <v>2825</v>
      </c>
      <c r="Y1888" s="424" t="s">
        <v>2279</v>
      </c>
      <c r="Z1888" s="424" t="s">
        <v>3260</v>
      </c>
      <c r="AA1888" s="424" t="s">
        <v>3261</v>
      </c>
      <c r="AB1888" s="424" t="s">
        <v>7654</v>
      </c>
      <c r="AC1888" s="424" t="s">
        <v>3263</v>
      </c>
      <c r="AD1888" s="424" t="s">
        <v>3264</v>
      </c>
      <c r="AE1888" s="424" t="s">
        <v>7639</v>
      </c>
      <c r="AF1888" s="424"/>
      <c r="AG1888" s="424"/>
      <c r="AH1888" s="424"/>
    </row>
    <row r="1889" spans="1:34" x14ac:dyDescent="0.25">
      <c r="A1889" s="423" t="s">
        <v>7634</v>
      </c>
      <c r="B1889" s="423" t="s">
        <v>7655</v>
      </c>
      <c r="C1889" s="423" t="s">
        <v>1090</v>
      </c>
      <c r="D1889" s="423" t="s">
        <v>6871</v>
      </c>
      <c r="E1889" s="423" t="s">
        <v>203</v>
      </c>
      <c r="F1889" s="423">
        <v>116</v>
      </c>
      <c r="G1889" s="423">
        <v>184</v>
      </c>
      <c r="H1889" s="423">
        <v>3706</v>
      </c>
      <c r="J1889" s="423"/>
      <c r="K1889" s="423"/>
      <c r="L1889" s="423"/>
      <c r="M1889" s="423"/>
      <c r="Q1889" s="423"/>
      <c r="R1889" s="424" t="s">
        <v>7656</v>
      </c>
      <c r="S1889" s="424" t="s">
        <v>2820</v>
      </c>
      <c r="T1889" s="424" t="s">
        <v>7637</v>
      </c>
      <c r="U1889" s="424">
        <v>0</v>
      </c>
      <c r="V1889" s="424" t="s">
        <v>2973</v>
      </c>
      <c r="W1889" s="424" t="s">
        <v>2092</v>
      </c>
      <c r="X1889" s="424" t="s">
        <v>2825</v>
      </c>
      <c r="Y1889" s="424" t="s">
        <v>2279</v>
      </c>
      <c r="Z1889" s="424" t="s">
        <v>3260</v>
      </c>
      <c r="AA1889" s="424" t="s">
        <v>3261</v>
      </c>
      <c r="AB1889" s="424" t="s">
        <v>7657</v>
      </c>
      <c r="AC1889" s="424" t="s">
        <v>3263</v>
      </c>
      <c r="AD1889" s="424" t="s">
        <v>3264</v>
      </c>
      <c r="AE1889" s="424" t="s">
        <v>7639</v>
      </c>
      <c r="AF1889" s="424"/>
      <c r="AG1889" s="424"/>
      <c r="AH1889" s="424"/>
    </row>
    <row r="1890" spans="1:34" x14ac:dyDescent="0.25">
      <c r="A1890" s="423" t="s">
        <v>7634</v>
      </c>
      <c r="B1890" s="423" t="s">
        <v>7658</v>
      </c>
      <c r="C1890" s="423" t="s">
        <v>1090</v>
      </c>
      <c r="D1890" s="423" t="s">
        <v>6871</v>
      </c>
      <c r="E1890" s="423" t="s">
        <v>203</v>
      </c>
      <c r="F1890" s="423">
        <v>116</v>
      </c>
      <c r="G1890" s="423">
        <v>184</v>
      </c>
      <c r="H1890" s="423">
        <v>3706</v>
      </c>
      <c r="J1890" s="423"/>
      <c r="K1890" s="423"/>
      <c r="L1890" s="423"/>
      <c r="M1890" s="423"/>
      <c r="Q1890" s="423"/>
      <c r="R1890" s="424" t="s">
        <v>7659</v>
      </c>
      <c r="S1890" s="424" t="s">
        <v>2820</v>
      </c>
      <c r="T1890" s="424" t="s">
        <v>7637</v>
      </c>
      <c r="U1890" s="424">
        <v>0</v>
      </c>
      <c r="V1890" s="424" t="s">
        <v>3899</v>
      </c>
      <c r="W1890" s="424" t="s">
        <v>2092</v>
      </c>
      <c r="X1890" s="424" t="s">
        <v>2825</v>
      </c>
      <c r="Y1890" s="424" t="s">
        <v>2279</v>
      </c>
      <c r="Z1890" s="424" t="s">
        <v>3260</v>
      </c>
      <c r="AA1890" s="424" t="s">
        <v>3261</v>
      </c>
      <c r="AB1890" s="424" t="s">
        <v>7660</v>
      </c>
      <c r="AC1890" s="424" t="s">
        <v>3263</v>
      </c>
      <c r="AD1890" s="424" t="s">
        <v>3264</v>
      </c>
      <c r="AE1890" s="424" t="s">
        <v>7661</v>
      </c>
      <c r="AF1890" s="424"/>
      <c r="AG1890" s="424"/>
      <c r="AH1890" s="424"/>
    </row>
    <row r="1891" spans="1:34" x14ac:dyDescent="0.25">
      <c r="A1891" s="423" t="s">
        <v>7634</v>
      </c>
      <c r="B1891" s="423" t="s">
        <v>7662</v>
      </c>
      <c r="C1891" s="423" t="s">
        <v>1090</v>
      </c>
      <c r="D1891" s="423" t="s">
        <v>6871</v>
      </c>
      <c r="E1891" s="423" t="s">
        <v>203</v>
      </c>
      <c r="F1891" s="423">
        <v>116</v>
      </c>
      <c r="G1891" s="423">
        <v>184</v>
      </c>
      <c r="H1891" s="423">
        <v>3706</v>
      </c>
      <c r="J1891" s="423"/>
      <c r="K1891" s="423"/>
      <c r="L1891" s="423"/>
      <c r="M1891" s="423"/>
      <c r="Q1891" s="423"/>
      <c r="R1891" s="424" t="s">
        <v>7662</v>
      </c>
      <c r="S1891" s="424" t="s">
        <v>2846</v>
      </c>
      <c r="T1891" s="424" t="s">
        <v>3356</v>
      </c>
      <c r="U1891" s="424">
        <v>0</v>
      </c>
      <c r="V1891" s="424" t="s">
        <v>6894</v>
      </c>
      <c r="W1891" s="424" t="s">
        <v>3074</v>
      </c>
      <c r="X1891" s="424">
        <v>0</v>
      </c>
      <c r="Y1891" s="424" t="s">
        <v>2279</v>
      </c>
      <c r="Z1891" s="424" t="s">
        <v>2848</v>
      </c>
      <c r="AA1891" s="424" t="s">
        <v>2855</v>
      </c>
      <c r="AB1891" s="424" t="s">
        <v>7663</v>
      </c>
      <c r="AC1891" s="424" t="s">
        <v>1953</v>
      </c>
      <c r="AD1891" s="424" t="s">
        <v>2851</v>
      </c>
      <c r="AE1891" s="424" t="s">
        <v>5343</v>
      </c>
      <c r="AF1891" s="424"/>
      <c r="AG1891" s="424"/>
      <c r="AH1891" s="424"/>
    </row>
    <row r="1892" spans="1:34" x14ac:dyDescent="0.25">
      <c r="A1892" s="423" t="s">
        <v>7634</v>
      </c>
      <c r="B1892" s="423" t="s">
        <v>7664</v>
      </c>
      <c r="C1892" s="423" t="s">
        <v>1090</v>
      </c>
      <c r="D1892" s="423" t="s">
        <v>6871</v>
      </c>
      <c r="E1892" s="423" t="s">
        <v>203</v>
      </c>
      <c r="F1892" s="423">
        <v>116</v>
      </c>
      <c r="G1892" s="423">
        <v>184</v>
      </c>
      <c r="H1892" s="423">
        <v>3706</v>
      </c>
      <c r="J1892" s="423"/>
      <c r="K1892" s="423"/>
      <c r="L1892" s="423"/>
      <c r="M1892" s="423"/>
      <c r="Q1892" s="423"/>
      <c r="R1892" s="424" t="s">
        <v>7664</v>
      </c>
      <c r="S1892" s="424" t="s">
        <v>2846</v>
      </c>
      <c r="T1892" s="424" t="s">
        <v>3356</v>
      </c>
      <c r="U1892" s="424">
        <v>0</v>
      </c>
      <c r="V1892" s="424" t="s">
        <v>6894</v>
      </c>
      <c r="W1892" s="424" t="s">
        <v>3074</v>
      </c>
      <c r="X1892" s="424">
        <v>0</v>
      </c>
      <c r="Y1892" s="424" t="s">
        <v>2279</v>
      </c>
      <c r="Z1892" s="424" t="s">
        <v>2848</v>
      </c>
      <c r="AA1892" s="424" t="s">
        <v>2855</v>
      </c>
      <c r="AB1892" s="424" t="s">
        <v>7665</v>
      </c>
      <c r="AC1892" s="424" t="s">
        <v>1953</v>
      </c>
      <c r="AD1892" s="424" t="s">
        <v>2851</v>
      </c>
      <c r="AE1892" s="424" t="s">
        <v>5343</v>
      </c>
      <c r="AF1892" s="424"/>
      <c r="AG1892" s="424"/>
      <c r="AH1892" s="424"/>
    </row>
    <row r="1893" spans="1:34" x14ac:dyDescent="0.25">
      <c r="A1893" s="423" t="s">
        <v>7666</v>
      </c>
      <c r="B1893" s="423" t="s">
        <v>7667</v>
      </c>
      <c r="C1893" s="423" t="s">
        <v>1090</v>
      </c>
      <c r="D1893" s="423" t="s">
        <v>6871</v>
      </c>
      <c r="E1893" s="423" t="s">
        <v>203</v>
      </c>
      <c r="F1893" s="423">
        <v>112</v>
      </c>
      <c r="G1893" s="423">
        <v>136</v>
      </c>
      <c r="H1893" s="423" t="s">
        <v>7668</v>
      </c>
      <c r="J1893" s="423"/>
      <c r="K1893" s="423"/>
      <c r="L1893" s="423"/>
      <c r="M1893" s="423"/>
      <c r="Q1893" s="423"/>
      <c r="R1893" s="424" t="s">
        <v>7667</v>
      </c>
      <c r="S1893" s="424" t="s">
        <v>2846</v>
      </c>
      <c r="T1893" s="424" t="s">
        <v>3268</v>
      </c>
      <c r="U1893" s="424">
        <v>0</v>
      </c>
      <c r="V1893" s="424" t="s">
        <v>3269</v>
      </c>
      <c r="W1893" s="424" t="s">
        <v>3176</v>
      </c>
      <c r="X1893" s="424" t="s">
        <v>2825</v>
      </c>
      <c r="Y1893" s="424" t="s">
        <v>2279</v>
      </c>
      <c r="Z1893" s="424" t="s">
        <v>3260</v>
      </c>
      <c r="AA1893" s="424" t="s">
        <v>3197</v>
      </c>
      <c r="AB1893" s="424" t="s">
        <v>3561</v>
      </c>
      <c r="AC1893" s="424" t="s">
        <v>1953</v>
      </c>
      <c r="AD1893" s="424" t="s">
        <v>2851</v>
      </c>
      <c r="AE1893" s="424" t="s">
        <v>3550</v>
      </c>
      <c r="AF1893" s="424"/>
      <c r="AG1893" s="424"/>
      <c r="AH1893" s="424"/>
    </row>
    <row r="1894" spans="1:34" x14ac:dyDescent="0.25">
      <c r="A1894" s="423" t="s">
        <v>7666</v>
      </c>
      <c r="B1894" s="423" t="s">
        <v>7669</v>
      </c>
      <c r="C1894" s="423" t="s">
        <v>1090</v>
      </c>
      <c r="D1894" s="423" t="s">
        <v>6871</v>
      </c>
      <c r="E1894" s="423" t="s">
        <v>203</v>
      </c>
      <c r="F1894" s="423">
        <v>112</v>
      </c>
      <c r="G1894" s="423">
        <v>136</v>
      </c>
      <c r="H1894" s="423" t="s">
        <v>7668</v>
      </c>
      <c r="J1894" s="423"/>
      <c r="K1894" s="423"/>
      <c r="L1894" s="423"/>
      <c r="M1894" s="423"/>
      <c r="Q1894" s="423"/>
      <c r="R1894" s="424" t="s">
        <v>7669</v>
      </c>
      <c r="S1894" s="424" t="s">
        <v>2846</v>
      </c>
      <c r="T1894" s="424" t="s">
        <v>3268</v>
      </c>
      <c r="U1894" s="424">
        <v>0</v>
      </c>
      <c r="V1894" s="424" t="s">
        <v>3269</v>
      </c>
      <c r="W1894" s="424" t="s">
        <v>3176</v>
      </c>
      <c r="X1894" s="424" t="s">
        <v>2825</v>
      </c>
      <c r="Y1894" s="424" t="s">
        <v>2279</v>
      </c>
      <c r="Z1894" s="424" t="s">
        <v>3260</v>
      </c>
      <c r="AA1894" s="424" t="s">
        <v>3197</v>
      </c>
      <c r="AB1894" s="424" t="s">
        <v>5514</v>
      </c>
      <c r="AC1894" s="424" t="s">
        <v>1953</v>
      </c>
      <c r="AD1894" s="424" t="s">
        <v>2851</v>
      </c>
      <c r="AE1894" s="424" t="s">
        <v>3550</v>
      </c>
      <c r="AF1894" s="424"/>
      <c r="AG1894" s="424"/>
      <c r="AH1894" s="424"/>
    </row>
    <row r="1895" spans="1:34" x14ac:dyDescent="0.25">
      <c r="A1895" s="423" t="s">
        <v>7666</v>
      </c>
      <c r="B1895" s="423" t="s">
        <v>7670</v>
      </c>
      <c r="C1895" s="423" t="s">
        <v>1090</v>
      </c>
      <c r="D1895" s="423" t="s">
        <v>6871</v>
      </c>
      <c r="E1895" s="423" t="s">
        <v>203</v>
      </c>
      <c r="F1895" s="423">
        <v>112</v>
      </c>
      <c r="G1895" s="423">
        <v>136</v>
      </c>
      <c r="H1895" s="423" t="s">
        <v>7668</v>
      </c>
      <c r="J1895" s="423"/>
      <c r="K1895" s="423"/>
      <c r="L1895" s="423"/>
      <c r="M1895" s="423"/>
      <c r="Q1895" s="423"/>
      <c r="R1895" s="424" t="s">
        <v>7670</v>
      </c>
      <c r="S1895" s="424" t="s">
        <v>2846</v>
      </c>
      <c r="T1895" s="424" t="s">
        <v>3291</v>
      </c>
      <c r="U1895" s="424">
        <v>0</v>
      </c>
      <c r="V1895" s="424" t="s">
        <v>3269</v>
      </c>
      <c r="W1895" s="424" t="s">
        <v>2871</v>
      </c>
      <c r="X1895" s="424" t="s">
        <v>2825</v>
      </c>
      <c r="Y1895" s="424" t="s">
        <v>2279</v>
      </c>
      <c r="Z1895" s="424" t="s">
        <v>3260</v>
      </c>
      <c r="AA1895" s="424" t="s">
        <v>3197</v>
      </c>
      <c r="AB1895" s="424" t="s">
        <v>3815</v>
      </c>
      <c r="AC1895" s="424" t="s">
        <v>1953</v>
      </c>
      <c r="AD1895" s="424" t="s">
        <v>2851</v>
      </c>
      <c r="AE1895" s="424" t="s">
        <v>3550</v>
      </c>
      <c r="AF1895" s="424"/>
      <c r="AG1895" s="424"/>
      <c r="AH1895" s="424"/>
    </row>
    <row r="1896" spans="1:34" x14ac:dyDescent="0.25">
      <c r="A1896" s="423" t="s">
        <v>7666</v>
      </c>
      <c r="B1896" s="423" t="s">
        <v>7671</v>
      </c>
      <c r="C1896" s="423" t="s">
        <v>1090</v>
      </c>
      <c r="D1896" s="423" t="s">
        <v>6871</v>
      </c>
      <c r="E1896" s="423" t="s">
        <v>203</v>
      </c>
      <c r="F1896" s="423">
        <v>112</v>
      </c>
      <c r="G1896" s="423">
        <v>136</v>
      </c>
      <c r="H1896" s="423" t="s">
        <v>7668</v>
      </c>
      <c r="J1896" s="423"/>
      <c r="K1896" s="423"/>
      <c r="L1896" s="423"/>
      <c r="M1896" s="423"/>
      <c r="Q1896" s="423"/>
      <c r="R1896" s="424" t="s">
        <v>7671</v>
      </c>
      <c r="S1896" s="424" t="s">
        <v>2846</v>
      </c>
      <c r="T1896" s="424" t="s">
        <v>3291</v>
      </c>
      <c r="U1896" s="424">
        <v>0</v>
      </c>
      <c r="V1896" s="424" t="s">
        <v>3269</v>
      </c>
      <c r="W1896" s="424" t="s">
        <v>3176</v>
      </c>
      <c r="X1896" s="424" t="s">
        <v>2825</v>
      </c>
      <c r="Y1896" s="424" t="s">
        <v>2279</v>
      </c>
      <c r="Z1896" s="424" t="s">
        <v>3260</v>
      </c>
      <c r="AA1896" s="424" t="s">
        <v>3197</v>
      </c>
      <c r="AB1896" s="424" t="s">
        <v>3320</v>
      </c>
      <c r="AC1896" s="424" t="s">
        <v>1953</v>
      </c>
      <c r="AD1896" s="424" t="s">
        <v>2851</v>
      </c>
      <c r="AE1896" s="424" t="s">
        <v>3293</v>
      </c>
      <c r="AF1896" s="424"/>
      <c r="AG1896" s="424"/>
      <c r="AH1896" s="424"/>
    </row>
    <row r="1897" spans="1:34" x14ac:dyDescent="0.25">
      <c r="A1897" s="423" t="s">
        <v>7666</v>
      </c>
      <c r="B1897" s="423" t="s">
        <v>7672</v>
      </c>
      <c r="C1897" s="423" t="s">
        <v>1090</v>
      </c>
      <c r="D1897" s="423" t="s">
        <v>6871</v>
      </c>
      <c r="E1897" s="423" t="s">
        <v>203</v>
      </c>
      <c r="F1897" s="423">
        <v>112</v>
      </c>
      <c r="G1897" s="423">
        <v>136</v>
      </c>
      <c r="H1897" s="423" t="s">
        <v>7668</v>
      </c>
      <c r="J1897" s="423"/>
      <c r="K1897" s="423"/>
      <c r="L1897" s="423"/>
      <c r="M1897" s="423"/>
      <c r="Q1897" s="423"/>
      <c r="R1897" s="424" t="s">
        <v>7673</v>
      </c>
      <c r="S1897" s="424" t="s">
        <v>2846</v>
      </c>
      <c r="T1897" s="424" t="s">
        <v>3356</v>
      </c>
      <c r="U1897" s="424">
        <v>0</v>
      </c>
      <c r="V1897" s="424" t="s">
        <v>6894</v>
      </c>
      <c r="W1897" s="424" t="s">
        <v>3055</v>
      </c>
      <c r="X1897" s="424">
        <v>0</v>
      </c>
      <c r="Y1897" s="424" t="s">
        <v>2279</v>
      </c>
      <c r="Z1897" s="424" t="s">
        <v>2889</v>
      </c>
      <c r="AA1897" s="424" t="s">
        <v>2890</v>
      </c>
      <c r="AB1897" s="424" t="s">
        <v>5262</v>
      </c>
      <c r="AC1897" s="424" t="s">
        <v>1953</v>
      </c>
      <c r="AD1897" s="424" t="s">
        <v>2851</v>
      </c>
      <c r="AE1897" s="424" t="s">
        <v>3462</v>
      </c>
      <c r="AF1897" s="424"/>
      <c r="AG1897" s="424"/>
      <c r="AH1897" s="424"/>
    </row>
    <row r="1898" spans="1:34" x14ac:dyDescent="0.25">
      <c r="A1898" s="423" t="s">
        <v>7666</v>
      </c>
      <c r="B1898" s="423" t="s">
        <v>7674</v>
      </c>
      <c r="C1898" s="423" t="s">
        <v>1090</v>
      </c>
      <c r="D1898" s="423" t="s">
        <v>6871</v>
      </c>
      <c r="E1898" s="423" t="s">
        <v>203</v>
      </c>
      <c r="F1898" s="423">
        <v>112</v>
      </c>
      <c r="G1898" s="423">
        <v>136</v>
      </c>
      <c r="H1898" s="423" t="s">
        <v>7668</v>
      </c>
      <c r="J1898" s="423"/>
      <c r="K1898" s="423"/>
      <c r="L1898" s="423"/>
      <c r="M1898" s="423"/>
      <c r="Q1898" s="423"/>
      <c r="R1898" s="424" t="s">
        <v>7675</v>
      </c>
      <c r="S1898" s="424" t="s">
        <v>2846</v>
      </c>
      <c r="T1898" s="424" t="s">
        <v>3356</v>
      </c>
      <c r="U1898" s="424">
        <v>0</v>
      </c>
      <c r="V1898" s="424" t="s">
        <v>6894</v>
      </c>
      <c r="W1898" s="424" t="s">
        <v>2871</v>
      </c>
      <c r="X1898" s="424">
        <v>0</v>
      </c>
      <c r="Y1898" s="424" t="s">
        <v>2279</v>
      </c>
      <c r="Z1898" s="424" t="s">
        <v>2848</v>
      </c>
      <c r="AA1898" s="424" t="s">
        <v>2849</v>
      </c>
      <c r="AB1898" s="424" t="s">
        <v>3931</v>
      </c>
      <c r="AC1898" s="424" t="s">
        <v>1953</v>
      </c>
      <c r="AD1898" s="424" t="s">
        <v>2851</v>
      </c>
      <c r="AE1898" s="424" t="s">
        <v>3545</v>
      </c>
      <c r="AF1898" s="424"/>
      <c r="AG1898" s="424"/>
      <c r="AH1898" s="424"/>
    </row>
    <row r="1899" spans="1:34" x14ac:dyDescent="0.25">
      <c r="A1899" s="423" t="s">
        <v>7676</v>
      </c>
      <c r="B1899" s="423" t="s">
        <v>7677</v>
      </c>
      <c r="C1899" s="423" t="s">
        <v>1090</v>
      </c>
      <c r="D1899" s="423" t="s">
        <v>6871</v>
      </c>
      <c r="E1899" s="423" t="s">
        <v>203</v>
      </c>
      <c r="F1899" s="423">
        <v>80</v>
      </c>
      <c r="G1899" s="423">
        <v>256</v>
      </c>
      <c r="H1899" s="423">
        <v>2548</v>
      </c>
      <c r="J1899" s="423"/>
      <c r="K1899" s="423"/>
      <c r="L1899" s="423"/>
      <c r="M1899" s="423"/>
      <c r="Q1899" s="423"/>
      <c r="R1899" s="424" t="s">
        <v>7678</v>
      </c>
      <c r="S1899" s="424" t="s">
        <v>2820</v>
      </c>
      <c r="T1899" s="424" t="s">
        <v>6906</v>
      </c>
      <c r="U1899" s="424">
        <v>0</v>
      </c>
      <c r="V1899" s="424" t="s">
        <v>2824</v>
      </c>
      <c r="W1899" s="424" t="s">
        <v>2824</v>
      </c>
      <c r="X1899" s="424" t="s">
        <v>2825</v>
      </c>
      <c r="Y1899" s="424" t="s">
        <v>2279</v>
      </c>
      <c r="Z1899" s="424" t="s">
        <v>3260</v>
      </c>
      <c r="AA1899" s="424" t="s">
        <v>4163</v>
      </c>
      <c r="AB1899" s="424" t="s">
        <v>7679</v>
      </c>
      <c r="AC1899" s="424" t="s">
        <v>1953</v>
      </c>
      <c r="AD1899" s="424" t="s">
        <v>3300</v>
      </c>
      <c r="AE1899" s="424" t="s">
        <v>7680</v>
      </c>
      <c r="AF1899" s="424"/>
      <c r="AG1899" s="424"/>
      <c r="AH1899" s="424"/>
    </row>
    <row r="1900" spans="1:34" x14ac:dyDescent="0.25">
      <c r="A1900" s="423" t="s">
        <v>7676</v>
      </c>
      <c r="B1900" s="423" t="s">
        <v>7681</v>
      </c>
      <c r="C1900" s="423" t="s">
        <v>1090</v>
      </c>
      <c r="D1900" s="423" t="s">
        <v>6871</v>
      </c>
      <c r="E1900" s="423" t="s">
        <v>203</v>
      </c>
      <c r="F1900" s="423">
        <v>80</v>
      </c>
      <c r="G1900" s="423">
        <v>256</v>
      </c>
      <c r="H1900" s="423">
        <v>2548</v>
      </c>
      <c r="J1900" s="423"/>
      <c r="K1900" s="423"/>
      <c r="L1900" s="423"/>
      <c r="M1900" s="423"/>
      <c r="Q1900" s="423"/>
      <c r="R1900" s="424" t="s">
        <v>7682</v>
      </c>
      <c r="S1900" s="424" t="s">
        <v>2820</v>
      </c>
      <c r="T1900" s="424" t="s">
        <v>6906</v>
      </c>
      <c r="U1900" s="424">
        <v>0</v>
      </c>
      <c r="V1900" s="424" t="s">
        <v>2824</v>
      </c>
      <c r="W1900" s="424" t="s">
        <v>2824</v>
      </c>
      <c r="X1900" s="424" t="s">
        <v>2825</v>
      </c>
      <c r="Y1900" s="424" t="s">
        <v>2279</v>
      </c>
      <c r="Z1900" s="424" t="s">
        <v>3260</v>
      </c>
      <c r="AA1900" s="424" t="s">
        <v>4163</v>
      </c>
      <c r="AB1900" s="424" t="s">
        <v>7683</v>
      </c>
      <c r="AC1900" s="424" t="s">
        <v>1953</v>
      </c>
      <c r="AD1900" s="424" t="s">
        <v>3300</v>
      </c>
      <c r="AE1900" s="424" t="s">
        <v>7680</v>
      </c>
      <c r="AF1900" s="424"/>
      <c r="AG1900" s="424"/>
      <c r="AH1900" s="424"/>
    </row>
    <row r="1901" spans="1:34" x14ac:dyDescent="0.25">
      <c r="A1901" s="423" t="s">
        <v>7676</v>
      </c>
      <c r="B1901" s="423" t="s">
        <v>7684</v>
      </c>
      <c r="C1901" s="423" t="s">
        <v>1090</v>
      </c>
      <c r="D1901" s="423" t="s">
        <v>6871</v>
      </c>
      <c r="E1901" s="423" t="s">
        <v>203</v>
      </c>
      <c r="F1901" s="423">
        <v>80</v>
      </c>
      <c r="G1901" s="423">
        <v>256</v>
      </c>
      <c r="H1901" s="423">
        <v>2548</v>
      </c>
      <c r="J1901" s="423"/>
      <c r="K1901" s="423"/>
      <c r="L1901" s="423"/>
      <c r="M1901" s="423"/>
      <c r="Q1901" s="423"/>
      <c r="R1901" s="424" t="s">
        <v>7684</v>
      </c>
      <c r="S1901" s="424" t="s">
        <v>2846</v>
      </c>
      <c r="T1901" s="424" t="s">
        <v>3416</v>
      </c>
      <c r="U1901" s="424">
        <v>0</v>
      </c>
      <c r="V1901" s="424" t="s">
        <v>3899</v>
      </c>
      <c r="W1901" s="424" t="s">
        <v>3074</v>
      </c>
      <c r="X1901" s="424">
        <v>0</v>
      </c>
      <c r="Y1901" s="424" t="s">
        <v>2279</v>
      </c>
      <c r="Z1901" s="424" t="s">
        <v>3260</v>
      </c>
      <c r="AA1901" s="424" t="s">
        <v>3274</v>
      </c>
      <c r="AB1901" s="424" t="s">
        <v>6187</v>
      </c>
      <c r="AC1901" s="424" t="s">
        <v>1953</v>
      </c>
      <c r="AD1901" s="424" t="s">
        <v>2851</v>
      </c>
      <c r="AE1901" s="424" t="s">
        <v>3199</v>
      </c>
      <c r="AF1901" s="424"/>
      <c r="AG1901" s="424"/>
      <c r="AH1901" s="424"/>
    </row>
    <row r="1902" spans="1:34" x14ac:dyDescent="0.25">
      <c r="A1902" s="423" t="s">
        <v>7676</v>
      </c>
      <c r="B1902" s="423" t="s">
        <v>7685</v>
      </c>
      <c r="C1902" s="423" t="s">
        <v>1090</v>
      </c>
      <c r="D1902" s="423" t="s">
        <v>6871</v>
      </c>
      <c r="E1902" s="423" t="s">
        <v>203</v>
      </c>
      <c r="F1902" s="423">
        <v>80</v>
      </c>
      <c r="G1902" s="423">
        <v>256</v>
      </c>
      <c r="H1902" s="423">
        <v>2548</v>
      </c>
      <c r="J1902" s="423"/>
      <c r="K1902" s="423"/>
      <c r="L1902" s="423"/>
      <c r="M1902" s="423"/>
      <c r="Q1902" s="423"/>
      <c r="R1902" s="424" t="s">
        <v>7685</v>
      </c>
      <c r="S1902" s="424" t="s">
        <v>2846</v>
      </c>
      <c r="T1902" s="424" t="s">
        <v>3416</v>
      </c>
      <c r="U1902" s="424">
        <v>0</v>
      </c>
      <c r="V1902" s="424" t="s">
        <v>3899</v>
      </c>
      <c r="W1902" s="424" t="s">
        <v>3074</v>
      </c>
      <c r="X1902" s="424">
        <v>0</v>
      </c>
      <c r="Y1902" s="424" t="s">
        <v>2279</v>
      </c>
      <c r="Z1902" s="424" t="s">
        <v>2848</v>
      </c>
      <c r="AA1902" s="424" t="s">
        <v>2849</v>
      </c>
      <c r="AB1902" s="424" t="s">
        <v>3458</v>
      </c>
      <c r="AC1902" s="424" t="s">
        <v>1953</v>
      </c>
      <c r="AD1902" s="424" t="s">
        <v>2851</v>
      </c>
      <c r="AE1902" s="424" t="s">
        <v>2861</v>
      </c>
      <c r="AF1902" s="424"/>
      <c r="AG1902" s="424"/>
      <c r="AH1902" s="424"/>
    </row>
    <row r="1903" spans="1:34" x14ac:dyDescent="0.25">
      <c r="A1903" s="423" t="s">
        <v>7686</v>
      </c>
      <c r="B1903" s="423" t="s">
        <v>7687</v>
      </c>
      <c r="C1903" s="423" t="s">
        <v>1090</v>
      </c>
      <c r="D1903" s="423" t="s">
        <v>6871</v>
      </c>
      <c r="E1903" s="423" t="s">
        <v>203</v>
      </c>
      <c r="F1903" s="423">
        <v>1286</v>
      </c>
      <c r="G1903" s="423">
        <v>2642</v>
      </c>
      <c r="H1903" s="423">
        <v>8300</v>
      </c>
      <c r="J1903" s="423"/>
      <c r="K1903" s="423"/>
      <c r="L1903" s="423"/>
      <c r="M1903" s="423"/>
      <c r="Q1903" s="423"/>
      <c r="R1903" s="424" t="s">
        <v>7688</v>
      </c>
      <c r="S1903" s="424" t="s">
        <v>2820</v>
      </c>
      <c r="T1903" s="424" t="s">
        <v>6228</v>
      </c>
      <c r="U1903" s="424">
        <v>0</v>
      </c>
      <c r="V1903" s="424" t="s">
        <v>2824</v>
      </c>
      <c r="W1903" s="424" t="s">
        <v>2824</v>
      </c>
      <c r="X1903" s="424" t="s">
        <v>2224</v>
      </c>
      <c r="Y1903" s="424" t="s">
        <v>2279</v>
      </c>
      <c r="Z1903" s="424" t="s">
        <v>2826</v>
      </c>
      <c r="AA1903" s="424" t="s">
        <v>6229</v>
      </c>
      <c r="AB1903" s="424" t="s">
        <v>7689</v>
      </c>
      <c r="AC1903" s="424" t="s">
        <v>1953</v>
      </c>
      <c r="AD1903" s="424" t="s">
        <v>2829</v>
      </c>
      <c r="AE1903" s="424" t="s">
        <v>7085</v>
      </c>
      <c r="AF1903" s="424"/>
      <c r="AG1903" s="424"/>
      <c r="AH1903" s="424"/>
    </row>
    <row r="1904" spans="1:34" x14ac:dyDescent="0.25">
      <c r="A1904" s="423" t="s">
        <v>7686</v>
      </c>
      <c r="B1904" s="423" t="s">
        <v>7690</v>
      </c>
      <c r="C1904" s="423" t="s">
        <v>1090</v>
      </c>
      <c r="D1904" s="423" t="s">
        <v>6871</v>
      </c>
      <c r="E1904" s="423" t="s">
        <v>203</v>
      </c>
      <c r="F1904" s="423">
        <v>1286</v>
      </c>
      <c r="G1904" s="423">
        <v>2642</v>
      </c>
      <c r="H1904" s="423">
        <v>8300</v>
      </c>
      <c r="J1904" s="423"/>
      <c r="K1904" s="423"/>
      <c r="L1904" s="423"/>
      <c r="M1904" s="423"/>
      <c r="Q1904" s="423"/>
      <c r="R1904" s="424" t="s">
        <v>7691</v>
      </c>
      <c r="S1904" s="424" t="s">
        <v>2820</v>
      </c>
      <c r="T1904" s="424" t="s">
        <v>6228</v>
      </c>
      <c r="U1904" s="424">
        <v>0</v>
      </c>
      <c r="V1904" s="424" t="s">
        <v>2824</v>
      </c>
      <c r="W1904" s="424" t="s">
        <v>2824</v>
      </c>
      <c r="X1904" s="424" t="s">
        <v>2224</v>
      </c>
      <c r="Y1904" s="424" t="s">
        <v>2279</v>
      </c>
      <c r="Z1904" s="424" t="s">
        <v>2826</v>
      </c>
      <c r="AA1904" s="424" t="s">
        <v>6229</v>
      </c>
      <c r="AB1904" s="424" t="s">
        <v>7692</v>
      </c>
      <c r="AC1904" s="424" t="s">
        <v>1953</v>
      </c>
      <c r="AD1904" s="424" t="s">
        <v>2829</v>
      </c>
      <c r="AE1904" s="424" t="s">
        <v>7085</v>
      </c>
      <c r="AF1904" s="424"/>
      <c r="AG1904" s="424"/>
      <c r="AH1904" s="424"/>
    </row>
    <row r="1905" spans="1:34" x14ac:dyDescent="0.25">
      <c r="A1905" s="423" t="s">
        <v>7686</v>
      </c>
      <c r="B1905" s="423" t="s">
        <v>7693</v>
      </c>
      <c r="C1905" s="423" t="s">
        <v>1090</v>
      </c>
      <c r="D1905" s="423" t="s">
        <v>6871</v>
      </c>
      <c r="E1905" s="423" t="s">
        <v>203</v>
      </c>
      <c r="F1905" s="423">
        <v>1286</v>
      </c>
      <c r="G1905" s="423">
        <v>2642</v>
      </c>
      <c r="H1905" s="423">
        <v>8300</v>
      </c>
      <c r="J1905" s="423"/>
      <c r="K1905" s="423"/>
      <c r="L1905" s="423"/>
      <c r="M1905" s="423"/>
      <c r="Q1905" s="423"/>
      <c r="R1905" s="424" t="s">
        <v>7694</v>
      </c>
      <c r="S1905" s="424" t="s">
        <v>2820</v>
      </c>
      <c r="T1905" s="424" t="s">
        <v>7695</v>
      </c>
      <c r="U1905" s="424">
        <v>0</v>
      </c>
      <c r="V1905" s="424" t="s">
        <v>2824</v>
      </c>
      <c r="W1905" s="424" t="s">
        <v>2824</v>
      </c>
      <c r="X1905" s="424" t="s">
        <v>2224</v>
      </c>
      <c r="Y1905" s="424" t="s">
        <v>2279</v>
      </c>
      <c r="Z1905" s="424" t="s">
        <v>2826</v>
      </c>
      <c r="AA1905" s="424" t="s">
        <v>2827</v>
      </c>
      <c r="AB1905" s="424" t="s">
        <v>7696</v>
      </c>
      <c r="AC1905" s="424" t="s">
        <v>1953</v>
      </c>
      <c r="AD1905" s="424" t="s">
        <v>2829</v>
      </c>
      <c r="AE1905" s="424" t="s">
        <v>7697</v>
      </c>
      <c r="AF1905" s="424"/>
      <c r="AG1905" s="424"/>
      <c r="AH1905" s="424"/>
    </row>
    <row r="1906" spans="1:34" x14ac:dyDescent="0.25">
      <c r="A1906" s="423" t="s">
        <v>7686</v>
      </c>
      <c r="B1906" s="423" t="s">
        <v>7698</v>
      </c>
      <c r="C1906" s="423" t="s">
        <v>1090</v>
      </c>
      <c r="D1906" s="423" t="s">
        <v>6871</v>
      </c>
      <c r="E1906" s="423" t="s">
        <v>203</v>
      </c>
      <c r="F1906" s="423">
        <v>1286</v>
      </c>
      <c r="G1906" s="423">
        <v>2642</v>
      </c>
      <c r="H1906" s="423">
        <v>8300</v>
      </c>
      <c r="J1906" s="423"/>
      <c r="K1906" s="423"/>
      <c r="L1906" s="423"/>
      <c r="M1906" s="423"/>
      <c r="Q1906" s="423"/>
      <c r="R1906" s="424" t="s">
        <v>7699</v>
      </c>
      <c r="S1906" s="424" t="s">
        <v>2820</v>
      </c>
      <c r="T1906" s="424" t="s">
        <v>7695</v>
      </c>
      <c r="U1906" s="424">
        <v>0</v>
      </c>
      <c r="V1906" s="424" t="s">
        <v>2824</v>
      </c>
      <c r="W1906" s="424" t="s">
        <v>2824</v>
      </c>
      <c r="X1906" s="424" t="s">
        <v>2224</v>
      </c>
      <c r="Y1906" s="424" t="s">
        <v>2279</v>
      </c>
      <c r="Z1906" s="424" t="s">
        <v>2826</v>
      </c>
      <c r="AA1906" s="424" t="s">
        <v>2827</v>
      </c>
      <c r="AB1906" s="424" t="s">
        <v>7700</v>
      </c>
      <c r="AC1906" s="424" t="s">
        <v>1953</v>
      </c>
      <c r="AD1906" s="424" t="s">
        <v>2829</v>
      </c>
      <c r="AE1906" s="424" t="s">
        <v>7701</v>
      </c>
      <c r="AF1906" s="424"/>
      <c r="AG1906" s="424"/>
      <c r="AH1906" s="424"/>
    </row>
    <row r="1907" spans="1:34" x14ac:dyDescent="0.25">
      <c r="A1907" s="423" t="s">
        <v>7686</v>
      </c>
      <c r="B1907" s="423" t="s">
        <v>7702</v>
      </c>
      <c r="C1907" s="423" t="s">
        <v>1090</v>
      </c>
      <c r="D1907" s="423" t="s">
        <v>6871</v>
      </c>
      <c r="E1907" s="423" t="s">
        <v>203</v>
      </c>
      <c r="F1907" s="423">
        <v>1286</v>
      </c>
      <c r="G1907" s="423">
        <v>2642</v>
      </c>
      <c r="H1907" s="423">
        <v>8300</v>
      </c>
      <c r="J1907" s="423"/>
      <c r="K1907" s="423"/>
      <c r="L1907" s="423"/>
      <c r="M1907" s="423"/>
      <c r="Q1907" s="423"/>
      <c r="R1907" s="424" t="s">
        <v>7703</v>
      </c>
      <c r="S1907" s="424" t="s">
        <v>2820</v>
      </c>
      <c r="T1907" s="424" t="s">
        <v>7695</v>
      </c>
      <c r="U1907" s="424">
        <v>0</v>
      </c>
      <c r="V1907" s="424" t="s">
        <v>2824</v>
      </c>
      <c r="W1907" s="424" t="s">
        <v>2824</v>
      </c>
      <c r="X1907" s="424" t="s">
        <v>2224</v>
      </c>
      <c r="Y1907" s="424" t="s">
        <v>2279</v>
      </c>
      <c r="Z1907" s="424" t="s">
        <v>2826</v>
      </c>
      <c r="AA1907" s="424" t="s">
        <v>2827</v>
      </c>
      <c r="AB1907" s="424" t="s">
        <v>7704</v>
      </c>
      <c r="AC1907" s="424" t="s">
        <v>1953</v>
      </c>
      <c r="AD1907" s="424" t="s">
        <v>2829</v>
      </c>
      <c r="AE1907" s="424" t="s">
        <v>7705</v>
      </c>
      <c r="AF1907" s="424"/>
      <c r="AG1907" s="424"/>
      <c r="AH1907" s="424"/>
    </row>
    <row r="1908" spans="1:34" x14ac:dyDescent="0.25">
      <c r="A1908" s="423" t="s">
        <v>7686</v>
      </c>
      <c r="B1908" s="423" t="s">
        <v>7706</v>
      </c>
      <c r="C1908" s="423" t="s">
        <v>1090</v>
      </c>
      <c r="D1908" s="423" t="s">
        <v>6871</v>
      </c>
      <c r="E1908" s="423" t="s">
        <v>203</v>
      </c>
      <c r="F1908" s="423">
        <v>1286</v>
      </c>
      <c r="G1908" s="423">
        <v>2642</v>
      </c>
      <c r="H1908" s="423">
        <v>8300</v>
      </c>
      <c r="J1908" s="423"/>
      <c r="K1908" s="423"/>
      <c r="L1908" s="423"/>
      <c r="M1908" s="423"/>
      <c r="Q1908" s="423"/>
      <c r="R1908" s="424" t="s">
        <v>7707</v>
      </c>
      <c r="S1908" s="424" t="s">
        <v>2820</v>
      </c>
      <c r="T1908" s="424" t="s">
        <v>7695</v>
      </c>
      <c r="U1908" s="424">
        <v>0</v>
      </c>
      <c r="V1908" s="424" t="s">
        <v>2824</v>
      </c>
      <c r="W1908" s="424" t="s">
        <v>2824</v>
      </c>
      <c r="X1908" s="424" t="s">
        <v>2224</v>
      </c>
      <c r="Y1908" s="424" t="s">
        <v>2279</v>
      </c>
      <c r="Z1908" s="424" t="s">
        <v>2826</v>
      </c>
      <c r="AA1908" s="424" t="s">
        <v>2827</v>
      </c>
      <c r="AB1908" s="424" t="s">
        <v>7708</v>
      </c>
      <c r="AC1908" s="424" t="s">
        <v>1953</v>
      </c>
      <c r="AD1908" s="424" t="s">
        <v>2829</v>
      </c>
      <c r="AE1908" s="424" t="s">
        <v>7037</v>
      </c>
      <c r="AF1908" s="424"/>
      <c r="AG1908" s="424"/>
      <c r="AH1908" s="424"/>
    </row>
    <row r="1909" spans="1:34" x14ac:dyDescent="0.25">
      <c r="A1909" s="423" t="s">
        <v>7686</v>
      </c>
      <c r="B1909" s="423" t="s">
        <v>7709</v>
      </c>
      <c r="C1909" s="423" t="s">
        <v>1090</v>
      </c>
      <c r="D1909" s="423" t="s">
        <v>6871</v>
      </c>
      <c r="E1909" s="423" t="s">
        <v>203</v>
      </c>
      <c r="F1909" s="423">
        <v>1286</v>
      </c>
      <c r="G1909" s="423">
        <v>2642</v>
      </c>
      <c r="H1909" s="423">
        <v>8300</v>
      </c>
      <c r="J1909" s="423"/>
      <c r="K1909" s="423"/>
      <c r="L1909" s="423"/>
      <c r="M1909" s="423"/>
      <c r="Q1909" s="423"/>
      <c r="R1909" s="424" t="s">
        <v>7710</v>
      </c>
      <c r="S1909" s="424" t="s">
        <v>2820</v>
      </c>
      <c r="T1909" s="424" t="s">
        <v>7695</v>
      </c>
      <c r="U1909" s="424">
        <v>0</v>
      </c>
      <c r="V1909" s="424" t="s">
        <v>2824</v>
      </c>
      <c r="W1909" s="424" t="s">
        <v>2824</v>
      </c>
      <c r="X1909" s="424" t="s">
        <v>2224</v>
      </c>
      <c r="Y1909" s="424" t="s">
        <v>2279</v>
      </c>
      <c r="Z1909" s="424" t="s">
        <v>2826</v>
      </c>
      <c r="AA1909" s="424" t="s">
        <v>2827</v>
      </c>
      <c r="AB1909" s="424" t="s">
        <v>7711</v>
      </c>
      <c r="AC1909" s="424" t="s">
        <v>1953</v>
      </c>
      <c r="AD1909" s="424" t="s">
        <v>2829</v>
      </c>
      <c r="AE1909" s="424" t="s">
        <v>7041</v>
      </c>
      <c r="AF1909" s="424"/>
      <c r="AG1909" s="424"/>
      <c r="AH1909" s="424"/>
    </row>
    <row r="1910" spans="1:34" x14ac:dyDescent="0.25">
      <c r="A1910" s="423" t="s">
        <v>7686</v>
      </c>
      <c r="B1910" s="423" t="s">
        <v>7712</v>
      </c>
      <c r="C1910" s="423" t="s">
        <v>1090</v>
      </c>
      <c r="D1910" s="423" t="s">
        <v>6871</v>
      </c>
      <c r="E1910" s="423" t="s">
        <v>203</v>
      </c>
      <c r="F1910" s="423">
        <v>1286</v>
      </c>
      <c r="G1910" s="423">
        <v>2642</v>
      </c>
      <c r="H1910" s="423">
        <v>8300</v>
      </c>
      <c r="J1910" s="423"/>
      <c r="K1910" s="423"/>
      <c r="L1910" s="423"/>
      <c r="M1910" s="423"/>
      <c r="Q1910" s="423"/>
      <c r="R1910" s="424" t="s">
        <v>7712</v>
      </c>
      <c r="S1910" s="424" t="s">
        <v>2846</v>
      </c>
      <c r="T1910" s="424" t="s">
        <v>2821</v>
      </c>
      <c r="U1910" s="424">
        <v>0</v>
      </c>
      <c r="V1910" s="424" t="s">
        <v>3269</v>
      </c>
      <c r="W1910" s="424" t="s">
        <v>3074</v>
      </c>
      <c r="X1910" s="424" t="s">
        <v>2224</v>
      </c>
      <c r="Y1910" s="424" t="s">
        <v>2279</v>
      </c>
      <c r="Z1910" s="424" t="s">
        <v>3260</v>
      </c>
      <c r="AA1910" s="424" t="s">
        <v>3197</v>
      </c>
      <c r="AB1910" s="424" t="s">
        <v>3469</v>
      </c>
      <c r="AC1910" s="424" t="s">
        <v>1953</v>
      </c>
      <c r="AD1910" s="424" t="s">
        <v>2851</v>
      </c>
      <c r="AE1910" s="424" t="s">
        <v>3279</v>
      </c>
      <c r="AF1910" s="424"/>
      <c r="AG1910" s="424"/>
      <c r="AH1910" s="424"/>
    </row>
    <row r="1911" spans="1:34" x14ac:dyDescent="0.25">
      <c r="A1911" s="423" t="s">
        <v>7686</v>
      </c>
      <c r="B1911" s="423" t="s">
        <v>7713</v>
      </c>
      <c r="C1911" s="423" t="s">
        <v>1090</v>
      </c>
      <c r="D1911" s="423" t="s">
        <v>6871</v>
      </c>
      <c r="E1911" s="423" t="s">
        <v>203</v>
      </c>
      <c r="F1911" s="423">
        <v>1286</v>
      </c>
      <c r="G1911" s="423">
        <v>2642</v>
      </c>
      <c r="H1911" s="423">
        <v>8300</v>
      </c>
      <c r="J1911" s="423"/>
      <c r="K1911" s="423"/>
      <c r="L1911" s="423"/>
      <c r="M1911" s="423"/>
      <c r="Q1911" s="423"/>
      <c r="R1911" s="424" t="s">
        <v>7714</v>
      </c>
      <c r="S1911" s="424" t="s">
        <v>2820</v>
      </c>
      <c r="T1911" s="424" t="s">
        <v>6228</v>
      </c>
      <c r="U1911" s="424">
        <v>0</v>
      </c>
      <c r="V1911" s="424" t="s">
        <v>2824</v>
      </c>
      <c r="W1911" s="424" t="s">
        <v>2824</v>
      </c>
      <c r="X1911" s="424" t="s">
        <v>2224</v>
      </c>
      <c r="Y1911" s="424" t="s">
        <v>2279</v>
      </c>
      <c r="Z1911" s="424" t="s">
        <v>2826</v>
      </c>
      <c r="AA1911" s="424" t="s">
        <v>6229</v>
      </c>
      <c r="AB1911" s="424" t="s">
        <v>7715</v>
      </c>
      <c r="AC1911" s="424" t="s">
        <v>1953</v>
      </c>
      <c r="AD1911" s="424" t="s">
        <v>2829</v>
      </c>
      <c r="AE1911" s="424" t="s">
        <v>7085</v>
      </c>
      <c r="AF1911" s="424"/>
      <c r="AG1911" s="424"/>
      <c r="AH1911" s="424"/>
    </row>
    <row r="1912" spans="1:34" x14ac:dyDescent="0.25">
      <c r="A1912" s="423" t="s">
        <v>7686</v>
      </c>
      <c r="B1912" s="423" t="s">
        <v>6889</v>
      </c>
      <c r="C1912" s="423" t="s">
        <v>1090</v>
      </c>
      <c r="D1912" s="423" t="s">
        <v>6871</v>
      </c>
      <c r="E1912" s="423" t="s">
        <v>203</v>
      </c>
      <c r="F1912" s="423">
        <v>1286</v>
      </c>
      <c r="G1912" s="423">
        <v>2642</v>
      </c>
      <c r="H1912" s="423">
        <v>8300</v>
      </c>
      <c r="J1912" s="423"/>
      <c r="K1912" s="423"/>
      <c r="L1912" s="423"/>
      <c r="M1912" s="423"/>
      <c r="Q1912" s="423"/>
      <c r="R1912" s="424" t="s">
        <v>6889</v>
      </c>
      <c r="S1912" s="424" t="s">
        <v>2820</v>
      </c>
      <c r="T1912" s="424" t="s">
        <v>3906</v>
      </c>
      <c r="U1912" s="424">
        <v>0</v>
      </c>
      <c r="V1912" s="424" t="s">
        <v>309</v>
      </c>
      <c r="W1912" s="424" t="s">
        <v>309</v>
      </c>
      <c r="X1912" s="424" t="s">
        <v>2224</v>
      </c>
      <c r="Y1912" s="424" t="s">
        <v>2279</v>
      </c>
      <c r="Z1912" s="424" t="s">
        <v>3305</v>
      </c>
      <c r="AA1912" s="424" t="s">
        <v>6890</v>
      </c>
      <c r="AB1912" s="424" t="s">
        <v>6891</v>
      </c>
      <c r="AC1912" s="424" t="s">
        <v>1953</v>
      </c>
      <c r="AD1912" s="424" t="s">
        <v>3300</v>
      </c>
      <c r="AE1912" s="424" t="s">
        <v>6888</v>
      </c>
      <c r="AF1912" s="424"/>
      <c r="AG1912" s="424"/>
      <c r="AH1912" s="424"/>
    </row>
    <row r="1913" spans="1:34" x14ac:dyDescent="0.25">
      <c r="A1913" s="423" t="s">
        <v>7686</v>
      </c>
      <c r="B1913" s="423" t="s">
        <v>7716</v>
      </c>
      <c r="C1913" s="423" t="s">
        <v>1090</v>
      </c>
      <c r="D1913" s="423" t="s">
        <v>6871</v>
      </c>
      <c r="E1913" s="423" t="s">
        <v>203</v>
      </c>
      <c r="F1913" s="423">
        <v>1286</v>
      </c>
      <c r="G1913" s="423">
        <v>2642</v>
      </c>
      <c r="H1913" s="423">
        <v>8300</v>
      </c>
      <c r="J1913" s="423"/>
      <c r="K1913" s="423"/>
      <c r="L1913" s="423"/>
      <c r="M1913" s="423"/>
      <c r="Q1913" s="423"/>
      <c r="R1913" s="424" t="s">
        <v>7716</v>
      </c>
      <c r="S1913" s="424" t="s">
        <v>2820</v>
      </c>
      <c r="T1913" s="424" t="s">
        <v>3906</v>
      </c>
      <c r="U1913" s="424">
        <v>0</v>
      </c>
      <c r="V1913" s="424" t="s">
        <v>309</v>
      </c>
      <c r="W1913" s="424" t="s">
        <v>309</v>
      </c>
      <c r="X1913" s="424" t="s">
        <v>2224</v>
      </c>
      <c r="Y1913" s="424" t="s">
        <v>2279</v>
      </c>
      <c r="Z1913" s="424" t="s">
        <v>2889</v>
      </c>
      <c r="AA1913" s="424" t="s">
        <v>6901</v>
      </c>
      <c r="AB1913" s="424" t="s">
        <v>7717</v>
      </c>
      <c r="AC1913" s="424" t="s">
        <v>3263</v>
      </c>
      <c r="AD1913" s="424" t="s">
        <v>3985</v>
      </c>
      <c r="AE1913" s="424" t="s">
        <v>7105</v>
      </c>
      <c r="AF1913" s="424"/>
      <c r="AG1913" s="424"/>
      <c r="AH1913" s="424"/>
    </row>
    <row r="1914" spans="1:34" x14ac:dyDescent="0.25">
      <c r="A1914" s="423" t="s">
        <v>7686</v>
      </c>
      <c r="B1914" s="423" t="s">
        <v>7718</v>
      </c>
      <c r="C1914" s="423" t="s">
        <v>1090</v>
      </c>
      <c r="D1914" s="423" t="s">
        <v>6871</v>
      </c>
      <c r="E1914" s="423" t="s">
        <v>203</v>
      </c>
      <c r="F1914" s="423">
        <v>1286</v>
      </c>
      <c r="G1914" s="423">
        <v>2642</v>
      </c>
      <c r="H1914" s="423">
        <v>8300</v>
      </c>
      <c r="J1914" s="423"/>
      <c r="K1914" s="423"/>
      <c r="L1914" s="423"/>
      <c r="M1914" s="423"/>
      <c r="Q1914" s="423"/>
      <c r="R1914" s="424" t="s">
        <v>7719</v>
      </c>
      <c r="S1914" s="424" t="s">
        <v>2820</v>
      </c>
      <c r="T1914" s="424" t="s">
        <v>7720</v>
      </c>
      <c r="U1914" s="424">
        <v>0</v>
      </c>
      <c r="V1914" s="424" t="s">
        <v>309</v>
      </c>
      <c r="W1914" s="424" t="s">
        <v>309</v>
      </c>
      <c r="X1914" s="424" t="s">
        <v>2224</v>
      </c>
      <c r="Y1914" s="424" t="s">
        <v>2279</v>
      </c>
      <c r="Z1914" s="424" t="s">
        <v>3260</v>
      </c>
      <c r="AA1914" s="424" t="s">
        <v>3261</v>
      </c>
      <c r="AB1914" s="424" t="s">
        <v>7721</v>
      </c>
      <c r="AC1914" s="424" t="s">
        <v>3263</v>
      </c>
      <c r="AD1914" s="424" t="s">
        <v>3264</v>
      </c>
      <c r="AE1914" s="424" t="s">
        <v>7661</v>
      </c>
      <c r="AF1914" s="424"/>
      <c r="AG1914" s="424"/>
      <c r="AH1914" s="424"/>
    </row>
    <row r="1915" spans="1:34" x14ac:dyDescent="0.25">
      <c r="A1915" s="423" t="s">
        <v>7686</v>
      </c>
      <c r="B1915" s="423" t="s">
        <v>6884</v>
      </c>
      <c r="C1915" s="423" t="s">
        <v>1090</v>
      </c>
      <c r="D1915" s="423" t="s">
        <v>6871</v>
      </c>
      <c r="E1915" s="423" t="s">
        <v>203</v>
      </c>
      <c r="F1915" s="423">
        <v>1286</v>
      </c>
      <c r="G1915" s="423">
        <v>2642</v>
      </c>
      <c r="H1915" s="423">
        <v>8300</v>
      </c>
      <c r="J1915" s="423"/>
      <c r="K1915" s="423"/>
      <c r="L1915" s="423"/>
      <c r="M1915" s="423"/>
      <c r="Q1915" s="423"/>
      <c r="R1915" s="424" t="s">
        <v>6884</v>
      </c>
      <c r="S1915" s="424" t="s">
        <v>2820</v>
      </c>
      <c r="T1915" s="424" t="s">
        <v>3906</v>
      </c>
      <c r="U1915" s="424">
        <v>0</v>
      </c>
      <c r="V1915" s="424" t="s">
        <v>309</v>
      </c>
      <c r="W1915" s="424" t="s">
        <v>309</v>
      </c>
      <c r="X1915" s="424" t="s">
        <v>2224</v>
      </c>
      <c r="Y1915" s="424" t="s">
        <v>2279</v>
      </c>
      <c r="Z1915" s="424" t="s">
        <v>3305</v>
      </c>
      <c r="AA1915" s="424" t="s">
        <v>6886</v>
      </c>
      <c r="AB1915" s="424" t="s">
        <v>6887</v>
      </c>
      <c r="AC1915" s="424" t="s">
        <v>1953</v>
      </c>
      <c r="AD1915" s="424" t="s">
        <v>3300</v>
      </c>
      <c r="AE1915" s="424" t="s">
        <v>6888</v>
      </c>
      <c r="AF1915" s="424"/>
      <c r="AG1915" s="424"/>
      <c r="AH1915" s="424"/>
    </row>
    <row r="1916" spans="1:34" x14ac:dyDescent="0.25">
      <c r="A1916" s="423" t="s">
        <v>7686</v>
      </c>
      <c r="B1916" s="423" t="s">
        <v>7722</v>
      </c>
      <c r="C1916" s="423" t="s">
        <v>1090</v>
      </c>
      <c r="D1916" s="423" t="s">
        <v>6871</v>
      </c>
      <c r="E1916" s="423" t="s">
        <v>203</v>
      </c>
      <c r="F1916" s="423">
        <v>1286</v>
      </c>
      <c r="G1916" s="423">
        <v>2642</v>
      </c>
      <c r="H1916" s="423">
        <v>8300</v>
      </c>
      <c r="J1916" s="423"/>
      <c r="K1916" s="423"/>
      <c r="L1916" s="423"/>
      <c r="M1916" s="423"/>
      <c r="Q1916" s="423"/>
      <c r="R1916" s="424" t="s">
        <v>7723</v>
      </c>
      <c r="S1916" s="424" t="s">
        <v>2820</v>
      </c>
      <c r="T1916" s="424" t="s">
        <v>6228</v>
      </c>
      <c r="U1916" s="424">
        <v>0</v>
      </c>
      <c r="V1916" s="424" t="s">
        <v>2824</v>
      </c>
      <c r="W1916" s="424" t="s">
        <v>2824</v>
      </c>
      <c r="X1916" s="424" t="s">
        <v>2224</v>
      </c>
      <c r="Y1916" s="424" t="s">
        <v>2279</v>
      </c>
      <c r="Z1916" s="424" t="s">
        <v>2826</v>
      </c>
      <c r="AA1916" s="424" t="s">
        <v>6229</v>
      </c>
      <c r="AB1916" s="424" t="s">
        <v>7724</v>
      </c>
      <c r="AC1916" s="424" t="s">
        <v>1953</v>
      </c>
      <c r="AD1916" s="424" t="s">
        <v>2829</v>
      </c>
      <c r="AE1916" s="424" t="s">
        <v>7089</v>
      </c>
      <c r="AF1916" s="424"/>
      <c r="AG1916" s="424"/>
      <c r="AH1916" s="424"/>
    </row>
    <row r="1917" spans="1:34" x14ac:dyDescent="0.25">
      <c r="A1917" s="423" t="s">
        <v>7686</v>
      </c>
      <c r="B1917" s="423" t="s">
        <v>7725</v>
      </c>
      <c r="C1917" s="423" t="s">
        <v>1090</v>
      </c>
      <c r="D1917" s="423" t="s">
        <v>6871</v>
      </c>
      <c r="E1917" s="423" t="s">
        <v>203</v>
      </c>
      <c r="F1917" s="423">
        <v>1286</v>
      </c>
      <c r="G1917" s="423">
        <v>2642</v>
      </c>
      <c r="H1917" s="423">
        <v>8300</v>
      </c>
      <c r="J1917" s="423"/>
      <c r="K1917" s="423"/>
      <c r="L1917" s="423"/>
      <c r="M1917" s="423"/>
      <c r="Q1917" s="423"/>
      <c r="R1917" s="424" t="s">
        <v>7726</v>
      </c>
      <c r="S1917" s="424" t="s">
        <v>2820</v>
      </c>
      <c r="T1917" s="424" t="s">
        <v>6228</v>
      </c>
      <c r="U1917" s="424">
        <v>0</v>
      </c>
      <c r="V1917" s="424" t="s">
        <v>2824</v>
      </c>
      <c r="W1917" s="424" t="s">
        <v>2824</v>
      </c>
      <c r="X1917" s="424" t="s">
        <v>2224</v>
      </c>
      <c r="Y1917" s="424" t="s">
        <v>2279</v>
      </c>
      <c r="Z1917" s="424" t="s">
        <v>2826</v>
      </c>
      <c r="AA1917" s="424" t="s">
        <v>6229</v>
      </c>
      <c r="AB1917" s="424" t="s">
        <v>7727</v>
      </c>
      <c r="AC1917" s="424" t="s">
        <v>1953</v>
      </c>
      <c r="AD1917" s="424" t="s">
        <v>2829</v>
      </c>
      <c r="AE1917" s="424" t="s">
        <v>7089</v>
      </c>
      <c r="AF1917" s="424"/>
      <c r="AG1917" s="424"/>
      <c r="AH1917" s="424"/>
    </row>
    <row r="1918" spans="1:34" x14ac:dyDescent="0.25">
      <c r="A1918" s="423" t="s">
        <v>7686</v>
      </c>
      <c r="B1918" s="423" t="s">
        <v>7728</v>
      </c>
      <c r="C1918" s="423" t="s">
        <v>1090</v>
      </c>
      <c r="D1918" s="423" t="s">
        <v>6871</v>
      </c>
      <c r="E1918" s="423" t="s">
        <v>203</v>
      </c>
      <c r="F1918" s="423">
        <v>1286</v>
      </c>
      <c r="G1918" s="423">
        <v>2642</v>
      </c>
      <c r="H1918" s="423">
        <v>8300</v>
      </c>
      <c r="J1918" s="423"/>
      <c r="K1918" s="423"/>
      <c r="L1918" s="423"/>
      <c r="M1918" s="423"/>
      <c r="Q1918" s="423"/>
      <c r="R1918" s="424" t="s">
        <v>7729</v>
      </c>
      <c r="S1918" s="424" t="s">
        <v>2820</v>
      </c>
      <c r="T1918" s="424" t="s">
        <v>6228</v>
      </c>
      <c r="U1918" s="424">
        <v>0</v>
      </c>
      <c r="V1918" s="424" t="s">
        <v>2824</v>
      </c>
      <c r="W1918" s="424" t="s">
        <v>2824</v>
      </c>
      <c r="X1918" s="424" t="s">
        <v>2224</v>
      </c>
      <c r="Y1918" s="424" t="s">
        <v>2279</v>
      </c>
      <c r="Z1918" s="424" t="s">
        <v>2826</v>
      </c>
      <c r="AA1918" s="424" t="s">
        <v>6229</v>
      </c>
      <c r="AB1918" s="424" t="s">
        <v>7730</v>
      </c>
      <c r="AC1918" s="424" t="s">
        <v>1953</v>
      </c>
      <c r="AD1918" s="424" t="s">
        <v>2829</v>
      </c>
      <c r="AE1918" s="424" t="s">
        <v>7089</v>
      </c>
      <c r="AF1918" s="424"/>
      <c r="AG1918" s="424"/>
      <c r="AH1918" s="424"/>
    </row>
    <row r="1919" spans="1:34" x14ac:dyDescent="0.25">
      <c r="A1919" s="423" t="s">
        <v>7686</v>
      </c>
      <c r="B1919" s="423" t="s">
        <v>7731</v>
      </c>
      <c r="C1919" s="423" t="s">
        <v>1090</v>
      </c>
      <c r="D1919" s="423" t="s">
        <v>6871</v>
      </c>
      <c r="E1919" s="423" t="s">
        <v>203</v>
      </c>
      <c r="F1919" s="423">
        <v>1286</v>
      </c>
      <c r="G1919" s="423">
        <v>2642</v>
      </c>
      <c r="H1919" s="423">
        <v>8300</v>
      </c>
      <c r="J1919" s="423"/>
      <c r="K1919" s="423"/>
      <c r="L1919" s="423"/>
      <c r="M1919" s="423"/>
      <c r="Q1919" s="423"/>
      <c r="R1919" s="424" t="s">
        <v>7732</v>
      </c>
      <c r="S1919" s="424" t="s">
        <v>2820</v>
      </c>
      <c r="T1919" s="424" t="s">
        <v>6228</v>
      </c>
      <c r="U1919" s="424">
        <v>0</v>
      </c>
      <c r="V1919" s="424" t="s">
        <v>2824</v>
      </c>
      <c r="W1919" s="424" t="s">
        <v>2824</v>
      </c>
      <c r="X1919" s="424" t="s">
        <v>2224</v>
      </c>
      <c r="Y1919" s="424" t="s">
        <v>2279</v>
      </c>
      <c r="Z1919" s="424" t="s">
        <v>2826</v>
      </c>
      <c r="AA1919" s="424" t="s">
        <v>6229</v>
      </c>
      <c r="AB1919" s="424" t="s">
        <v>7733</v>
      </c>
      <c r="AC1919" s="424" t="s">
        <v>1953</v>
      </c>
      <c r="AD1919" s="424" t="s">
        <v>2829</v>
      </c>
      <c r="AE1919" s="424" t="s">
        <v>7089</v>
      </c>
      <c r="AF1919" s="424"/>
      <c r="AG1919" s="424"/>
      <c r="AH1919" s="424"/>
    </row>
    <row r="1920" spans="1:34" x14ac:dyDescent="0.25">
      <c r="A1920" s="423" t="s">
        <v>7686</v>
      </c>
      <c r="B1920" s="423" t="s">
        <v>7734</v>
      </c>
      <c r="C1920" s="423" t="s">
        <v>1090</v>
      </c>
      <c r="D1920" s="423" t="s">
        <v>6871</v>
      </c>
      <c r="E1920" s="423" t="s">
        <v>203</v>
      </c>
      <c r="F1920" s="423">
        <v>1286</v>
      </c>
      <c r="G1920" s="423">
        <v>2642</v>
      </c>
      <c r="H1920" s="423">
        <v>8300</v>
      </c>
      <c r="J1920" s="423"/>
      <c r="K1920" s="423"/>
      <c r="L1920" s="423"/>
      <c r="M1920" s="423"/>
      <c r="Q1920" s="423"/>
      <c r="R1920" s="424" t="s">
        <v>7735</v>
      </c>
      <c r="S1920" s="424" t="s">
        <v>2820</v>
      </c>
      <c r="T1920" s="424" t="s">
        <v>7695</v>
      </c>
      <c r="U1920" s="424">
        <v>0</v>
      </c>
      <c r="V1920" s="424" t="s">
        <v>2824</v>
      </c>
      <c r="W1920" s="424" t="s">
        <v>2824</v>
      </c>
      <c r="X1920" s="424" t="s">
        <v>2224</v>
      </c>
      <c r="Y1920" s="424" t="s">
        <v>2279</v>
      </c>
      <c r="Z1920" s="424" t="s">
        <v>2826</v>
      </c>
      <c r="AA1920" s="424" t="s">
        <v>2827</v>
      </c>
      <c r="AB1920" s="424" t="s">
        <v>7736</v>
      </c>
      <c r="AC1920" s="424" t="s">
        <v>1953</v>
      </c>
      <c r="AD1920" s="424" t="s">
        <v>2829</v>
      </c>
      <c r="AE1920" s="424" t="s">
        <v>5579</v>
      </c>
      <c r="AF1920" s="424"/>
      <c r="AG1920" s="424"/>
      <c r="AH1920" s="424"/>
    </row>
    <row r="1921" spans="1:34" x14ac:dyDescent="0.25">
      <c r="A1921" s="423" t="s">
        <v>7686</v>
      </c>
      <c r="B1921" s="423" t="s">
        <v>7737</v>
      </c>
      <c r="C1921" s="423" t="s">
        <v>1090</v>
      </c>
      <c r="D1921" s="423" t="s">
        <v>6871</v>
      </c>
      <c r="E1921" s="423" t="s">
        <v>203</v>
      </c>
      <c r="F1921" s="423">
        <v>1286</v>
      </c>
      <c r="G1921" s="423">
        <v>2642</v>
      </c>
      <c r="H1921" s="423">
        <v>8300</v>
      </c>
      <c r="J1921" s="423"/>
      <c r="K1921" s="423"/>
      <c r="L1921" s="423"/>
      <c r="M1921" s="423"/>
      <c r="Q1921" s="423"/>
      <c r="R1921" s="424" t="s">
        <v>7738</v>
      </c>
      <c r="S1921" s="424" t="s">
        <v>2846</v>
      </c>
      <c r="T1921" s="424" t="s">
        <v>2847</v>
      </c>
      <c r="U1921" s="424">
        <v>0</v>
      </c>
      <c r="V1921" s="424" t="s">
        <v>2824</v>
      </c>
      <c r="W1921" s="424" t="s">
        <v>3055</v>
      </c>
      <c r="X1921" s="424" t="s">
        <v>2224</v>
      </c>
      <c r="Y1921" s="424" t="s">
        <v>2279</v>
      </c>
      <c r="Z1921" s="424" t="s">
        <v>3260</v>
      </c>
      <c r="AA1921" s="424" t="s">
        <v>3327</v>
      </c>
      <c r="AB1921" s="424" t="s">
        <v>7739</v>
      </c>
      <c r="AC1921" s="424" t="s">
        <v>1953</v>
      </c>
      <c r="AD1921" s="424" t="s">
        <v>3329</v>
      </c>
      <c r="AE1921" s="424" t="s">
        <v>3632</v>
      </c>
      <c r="AF1921" s="424"/>
      <c r="AG1921" s="424"/>
      <c r="AH1921" s="424"/>
    </row>
    <row r="1922" spans="1:34" x14ac:dyDescent="0.25">
      <c r="A1922" s="423" t="s">
        <v>7686</v>
      </c>
      <c r="B1922" s="423" t="s">
        <v>7740</v>
      </c>
      <c r="C1922" s="423" t="s">
        <v>1090</v>
      </c>
      <c r="D1922" s="423" t="s">
        <v>6871</v>
      </c>
      <c r="E1922" s="423" t="s">
        <v>203</v>
      </c>
      <c r="F1922" s="423">
        <v>1286</v>
      </c>
      <c r="G1922" s="423">
        <v>2642</v>
      </c>
      <c r="H1922" s="423">
        <v>8300</v>
      </c>
      <c r="J1922" s="423"/>
      <c r="K1922" s="423"/>
      <c r="L1922" s="423"/>
      <c r="M1922" s="423"/>
      <c r="Q1922" s="423"/>
      <c r="R1922" s="424" t="s">
        <v>7740</v>
      </c>
      <c r="S1922" s="424" t="s">
        <v>2820</v>
      </c>
      <c r="T1922" s="424" t="s">
        <v>3906</v>
      </c>
      <c r="U1922" s="424">
        <v>0</v>
      </c>
      <c r="V1922" s="424" t="s">
        <v>309</v>
      </c>
      <c r="W1922" s="424" t="s">
        <v>309</v>
      </c>
      <c r="X1922" s="424" t="s">
        <v>2224</v>
      </c>
      <c r="Y1922" s="424" t="s">
        <v>2279</v>
      </c>
      <c r="Z1922" s="424" t="s">
        <v>2889</v>
      </c>
      <c r="AA1922" s="424" t="s">
        <v>7417</v>
      </c>
      <c r="AB1922" s="424" t="s">
        <v>7741</v>
      </c>
      <c r="AC1922" s="424" t="s">
        <v>3263</v>
      </c>
      <c r="AD1922" s="424" t="s">
        <v>3264</v>
      </c>
      <c r="AE1922" s="424" t="s">
        <v>7742</v>
      </c>
      <c r="AF1922" s="424"/>
      <c r="AG1922" s="424"/>
      <c r="AH1922" s="424"/>
    </row>
    <row r="1923" spans="1:34" x14ac:dyDescent="0.25">
      <c r="A1923" s="423" t="s">
        <v>7686</v>
      </c>
      <c r="B1923" s="423" t="s">
        <v>7743</v>
      </c>
      <c r="C1923" s="423" t="s">
        <v>1090</v>
      </c>
      <c r="D1923" s="423" t="s">
        <v>6871</v>
      </c>
      <c r="E1923" s="423" t="s">
        <v>203</v>
      </c>
      <c r="F1923" s="423">
        <v>1286</v>
      </c>
      <c r="G1923" s="423">
        <v>2642</v>
      </c>
      <c r="H1923" s="423">
        <v>8300</v>
      </c>
      <c r="J1923" s="423"/>
      <c r="K1923" s="423"/>
      <c r="L1923" s="423"/>
      <c r="M1923" s="423"/>
      <c r="Q1923" s="423"/>
      <c r="R1923" s="424" t="s">
        <v>7743</v>
      </c>
      <c r="S1923" s="424" t="s">
        <v>2820</v>
      </c>
      <c r="T1923" s="424" t="s">
        <v>3906</v>
      </c>
      <c r="U1923" s="424">
        <v>0</v>
      </c>
      <c r="V1923" s="424" t="s">
        <v>309</v>
      </c>
      <c r="W1923" s="424" t="s">
        <v>309</v>
      </c>
      <c r="X1923" s="424" t="s">
        <v>2224</v>
      </c>
      <c r="Y1923" s="424" t="s">
        <v>2279</v>
      </c>
      <c r="Z1923" s="424" t="s">
        <v>2889</v>
      </c>
      <c r="AA1923" s="424" t="s">
        <v>7417</v>
      </c>
      <c r="AB1923" s="424" t="s">
        <v>7744</v>
      </c>
      <c r="AC1923" s="424" t="s">
        <v>3263</v>
      </c>
      <c r="AD1923" s="424" t="s">
        <v>3264</v>
      </c>
      <c r="AE1923" s="424" t="s">
        <v>7742</v>
      </c>
      <c r="AF1923" s="424"/>
      <c r="AG1923" s="424"/>
      <c r="AH1923" s="424"/>
    </row>
    <row r="1924" spans="1:34" x14ac:dyDescent="0.25">
      <c r="A1924" s="423" t="s">
        <v>7686</v>
      </c>
      <c r="B1924" s="423" t="s">
        <v>7745</v>
      </c>
      <c r="C1924" s="423" t="s">
        <v>1090</v>
      </c>
      <c r="D1924" s="423" t="s">
        <v>6871</v>
      </c>
      <c r="E1924" s="423" t="s">
        <v>203</v>
      </c>
      <c r="F1924" s="423">
        <v>1286</v>
      </c>
      <c r="G1924" s="423">
        <v>2642</v>
      </c>
      <c r="H1924" s="423">
        <v>8300</v>
      </c>
      <c r="J1924" s="423"/>
      <c r="K1924" s="423"/>
      <c r="L1924" s="423"/>
      <c r="M1924" s="423"/>
      <c r="Q1924" s="423"/>
      <c r="R1924" s="424" t="s">
        <v>7745</v>
      </c>
      <c r="S1924" s="424" t="s">
        <v>2820</v>
      </c>
      <c r="T1924" s="424" t="s">
        <v>3906</v>
      </c>
      <c r="U1924" s="424">
        <v>0</v>
      </c>
      <c r="V1924" s="424" t="s">
        <v>309</v>
      </c>
      <c r="W1924" s="424" t="s">
        <v>309</v>
      </c>
      <c r="X1924" s="424" t="s">
        <v>2224</v>
      </c>
      <c r="Y1924" s="424" t="s">
        <v>2279</v>
      </c>
      <c r="Z1924" s="424" t="s">
        <v>2889</v>
      </c>
      <c r="AA1924" s="424" t="s">
        <v>7417</v>
      </c>
      <c r="AB1924" s="424" t="s">
        <v>7746</v>
      </c>
      <c r="AC1924" s="424" t="s">
        <v>3263</v>
      </c>
      <c r="AD1924" s="424" t="s">
        <v>3264</v>
      </c>
      <c r="AE1924" s="424" t="s">
        <v>7742</v>
      </c>
      <c r="AF1924" s="424"/>
      <c r="AG1924" s="424"/>
      <c r="AH1924" s="424"/>
    </row>
    <row r="1925" spans="1:34" x14ac:dyDescent="0.25">
      <c r="A1925" s="423" t="s">
        <v>7686</v>
      </c>
      <c r="B1925" s="423" t="s">
        <v>7747</v>
      </c>
      <c r="C1925" s="423" t="s">
        <v>1090</v>
      </c>
      <c r="D1925" s="423" t="s">
        <v>6871</v>
      </c>
      <c r="E1925" s="423" t="s">
        <v>203</v>
      </c>
      <c r="F1925" s="423">
        <v>1286</v>
      </c>
      <c r="G1925" s="423">
        <v>2642</v>
      </c>
      <c r="H1925" s="423">
        <v>8300</v>
      </c>
      <c r="J1925" s="423"/>
      <c r="K1925" s="423"/>
      <c r="L1925" s="423"/>
      <c r="M1925" s="423"/>
      <c r="Q1925" s="423"/>
      <c r="R1925" s="424" t="s">
        <v>7747</v>
      </c>
      <c r="S1925" s="424" t="s">
        <v>2820</v>
      </c>
      <c r="T1925" s="424" t="s">
        <v>3906</v>
      </c>
      <c r="U1925" s="424">
        <v>0</v>
      </c>
      <c r="V1925" s="424" t="s">
        <v>309</v>
      </c>
      <c r="W1925" s="424" t="s">
        <v>309</v>
      </c>
      <c r="X1925" s="424" t="s">
        <v>2224</v>
      </c>
      <c r="Y1925" s="424" t="s">
        <v>2279</v>
      </c>
      <c r="Z1925" s="424" t="s">
        <v>2889</v>
      </c>
      <c r="AA1925" s="424" t="s">
        <v>7417</v>
      </c>
      <c r="AB1925" s="424" t="s">
        <v>7748</v>
      </c>
      <c r="AC1925" s="424" t="s">
        <v>3263</v>
      </c>
      <c r="AD1925" s="424" t="s">
        <v>3264</v>
      </c>
      <c r="AE1925" s="424" t="s">
        <v>7742</v>
      </c>
      <c r="AF1925" s="424"/>
      <c r="AG1925" s="424"/>
      <c r="AH1925" s="424"/>
    </row>
    <row r="1926" spans="1:34" x14ac:dyDescent="0.25">
      <c r="A1926" s="423" t="s">
        <v>7686</v>
      </c>
      <c r="B1926" s="423" t="s">
        <v>7749</v>
      </c>
      <c r="C1926" s="423" t="s">
        <v>1090</v>
      </c>
      <c r="D1926" s="423" t="s">
        <v>6871</v>
      </c>
      <c r="E1926" s="423" t="s">
        <v>203</v>
      </c>
      <c r="F1926" s="423">
        <v>1286</v>
      </c>
      <c r="G1926" s="423">
        <v>2642</v>
      </c>
      <c r="H1926" s="423">
        <v>8300</v>
      </c>
      <c r="J1926" s="423"/>
      <c r="K1926" s="423"/>
      <c r="L1926" s="423"/>
      <c r="M1926" s="423"/>
      <c r="Q1926" s="423"/>
      <c r="R1926" s="424" t="s">
        <v>7749</v>
      </c>
      <c r="S1926" s="424" t="s">
        <v>2820</v>
      </c>
      <c r="T1926" s="424" t="s">
        <v>3906</v>
      </c>
      <c r="U1926" s="424">
        <v>0</v>
      </c>
      <c r="V1926" s="424" t="s">
        <v>309</v>
      </c>
      <c r="W1926" s="424" t="s">
        <v>309</v>
      </c>
      <c r="X1926" s="424" t="s">
        <v>2224</v>
      </c>
      <c r="Y1926" s="424" t="s">
        <v>2279</v>
      </c>
      <c r="Z1926" s="424" t="s">
        <v>3260</v>
      </c>
      <c r="AA1926" s="424" t="s">
        <v>3261</v>
      </c>
      <c r="AB1926" s="424" t="s">
        <v>7750</v>
      </c>
      <c r="AC1926" s="424" t="s">
        <v>3263</v>
      </c>
      <c r="AD1926" s="424" t="s">
        <v>3264</v>
      </c>
      <c r="AE1926" s="424" t="s">
        <v>7742</v>
      </c>
      <c r="AF1926" s="424"/>
      <c r="AG1926" s="424"/>
      <c r="AH1926" s="424"/>
    </row>
    <row r="1927" spans="1:34" x14ac:dyDescent="0.25">
      <c r="A1927" s="423" t="s">
        <v>7686</v>
      </c>
      <c r="B1927" s="423" t="s">
        <v>7751</v>
      </c>
      <c r="C1927" s="423" t="s">
        <v>1090</v>
      </c>
      <c r="D1927" s="423" t="s">
        <v>6871</v>
      </c>
      <c r="E1927" s="423" t="s">
        <v>203</v>
      </c>
      <c r="F1927" s="423">
        <v>1286</v>
      </c>
      <c r="G1927" s="423">
        <v>2642</v>
      </c>
      <c r="H1927" s="423">
        <v>8300</v>
      </c>
      <c r="J1927" s="423"/>
      <c r="K1927" s="423"/>
      <c r="L1927" s="423"/>
      <c r="M1927" s="423"/>
      <c r="Q1927" s="423"/>
      <c r="R1927" s="424" t="s">
        <v>7752</v>
      </c>
      <c r="S1927" s="424" t="s">
        <v>2820</v>
      </c>
      <c r="T1927" s="424" t="s">
        <v>3268</v>
      </c>
      <c r="U1927" s="424">
        <v>0</v>
      </c>
      <c r="V1927" s="424" t="s">
        <v>309</v>
      </c>
      <c r="W1927" s="424" t="s">
        <v>309</v>
      </c>
      <c r="X1927" s="424" t="s">
        <v>2224</v>
      </c>
      <c r="Y1927" s="424" t="s">
        <v>2279</v>
      </c>
      <c r="Z1927" s="424" t="s">
        <v>3305</v>
      </c>
      <c r="AA1927" s="424" t="s">
        <v>7753</v>
      </c>
      <c r="AB1927" s="424" t="s">
        <v>7754</v>
      </c>
      <c r="AC1927" s="424" t="s">
        <v>3263</v>
      </c>
      <c r="AD1927" s="424" t="s">
        <v>3264</v>
      </c>
      <c r="AE1927" s="424" t="s">
        <v>7755</v>
      </c>
      <c r="AF1927" s="424"/>
      <c r="AG1927" s="424"/>
      <c r="AH1927" s="424"/>
    </row>
    <row r="1928" spans="1:34" x14ac:dyDescent="0.25">
      <c r="A1928" s="423" t="s">
        <v>7686</v>
      </c>
      <c r="B1928" s="423" t="s">
        <v>7756</v>
      </c>
      <c r="C1928" s="423" t="s">
        <v>1090</v>
      </c>
      <c r="D1928" s="423" t="s">
        <v>6871</v>
      </c>
      <c r="E1928" s="423" t="s">
        <v>203</v>
      </c>
      <c r="F1928" s="423">
        <v>1286</v>
      </c>
      <c r="G1928" s="423">
        <v>2642</v>
      </c>
      <c r="H1928" s="423">
        <v>8300</v>
      </c>
      <c r="J1928" s="423"/>
      <c r="K1928" s="423"/>
      <c r="L1928" s="423"/>
      <c r="M1928" s="423"/>
      <c r="Q1928" s="423"/>
      <c r="R1928" s="424" t="s">
        <v>7756</v>
      </c>
      <c r="S1928" s="424" t="s">
        <v>2846</v>
      </c>
      <c r="T1928" s="424" t="s">
        <v>2821</v>
      </c>
      <c r="U1928" s="424">
        <v>0</v>
      </c>
      <c r="V1928" s="424" t="s">
        <v>3269</v>
      </c>
      <c r="W1928" s="424" t="s">
        <v>3074</v>
      </c>
      <c r="X1928" s="424" t="s">
        <v>2224</v>
      </c>
      <c r="Y1928" s="424" t="s">
        <v>2279</v>
      </c>
      <c r="Z1928" s="424" t="s">
        <v>3260</v>
      </c>
      <c r="AA1928" s="424" t="s">
        <v>3197</v>
      </c>
      <c r="AB1928" s="424" t="s">
        <v>3676</v>
      </c>
      <c r="AC1928" s="424" t="s">
        <v>1953</v>
      </c>
      <c r="AD1928" s="424" t="s">
        <v>2851</v>
      </c>
      <c r="AE1928" s="424" t="s">
        <v>3279</v>
      </c>
      <c r="AF1928" s="424"/>
      <c r="AG1928" s="424"/>
      <c r="AH1928" s="424"/>
    </row>
    <row r="1929" spans="1:34" x14ac:dyDescent="0.25">
      <c r="A1929" s="423" t="s">
        <v>7686</v>
      </c>
      <c r="B1929" s="423" t="s">
        <v>7757</v>
      </c>
      <c r="C1929" s="423" t="s">
        <v>1090</v>
      </c>
      <c r="D1929" s="423" t="s">
        <v>6871</v>
      </c>
      <c r="E1929" s="423" t="s">
        <v>203</v>
      </c>
      <c r="F1929" s="423">
        <v>1286</v>
      </c>
      <c r="G1929" s="423">
        <v>2642</v>
      </c>
      <c r="H1929" s="423">
        <v>8300</v>
      </c>
      <c r="J1929" s="423"/>
      <c r="K1929" s="423"/>
      <c r="L1929" s="423"/>
      <c r="M1929" s="423"/>
      <c r="Q1929" s="423"/>
      <c r="R1929" s="424" t="s">
        <v>7757</v>
      </c>
      <c r="S1929" s="424" t="s">
        <v>2846</v>
      </c>
      <c r="T1929" s="424" t="s">
        <v>2821</v>
      </c>
      <c r="U1929" s="424">
        <v>0</v>
      </c>
      <c r="V1929" s="424" t="s">
        <v>3269</v>
      </c>
      <c r="W1929" s="424" t="s">
        <v>3074</v>
      </c>
      <c r="X1929" s="424" t="s">
        <v>2224</v>
      </c>
      <c r="Y1929" s="424" t="s">
        <v>2279</v>
      </c>
      <c r="Z1929" s="424" t="s">
        <v>3260</v>
      </c>
      <c r="AA1929" s="424" t="s">
        <v>3274</v>
      </c>
      <c r="AB1929" s="424" t="s">
        <v>3573</v>
      </c>
      <c r="AC1929" s="424" t="s">
        <v>1953</v>
      </c>
      <c r="AD1929" s="424" t="s">
        <v>2851</v>
      </c>
      <c r="AE1929" s="424" t="s">
        <v>3276</v>
      </c>
      <c r="AF1929" s="424"/>
      <c r="AG1929" s="424"/>
      <c r="AH1929" s="424"/>
    </row>
    <row r="1930" spans="1:34" x14ac:dyDescent="0.25">
      <c r="A1930" s="423" t="s">
        <v>7686</v>
      </c>
      <c r="B1930" s="423" t="s">
        <v>7758</v>
      </c>
      <c r="C1930" s="423" t="s">
        <v>1090</v>
      </c>
      <c r="D1930" s="423" t="s">
        <v>6871</v>
      </c>
      <c r="E1930" s="423" t="s">
        <v>203</v>
      </c>
      <c r="F1930" s="423">
        <v>1286</v>
      </c>
      <c r="G1930" s="423">
        <v>2642</v>
      </c>
      <c r="H1930" s="423">
        <v>8300</v>
      </c>
      <c r="J1930" s="423"/>
      <c r="K1930" s="423"/>
      <c r="L1930" s="423"/>
      <c r="M1930" s="423"/>
      <c r="Q1930" s="423"/>
      <c r="R1930" s="424" t="s">
        <v>7758</v>
      </c>
      <c r="S1930" s="424" t="s">
        <v>2846</v>
      </c>
      <c r="T1930" s="424" t="s">
        <v>2821</v>
      </c>
      <c r="U1930" s="424">
        <v>0</v>
      </c>
      <c r="V1930" s="424" t="s">
        <v>3269</v>
      </c>
      <c r="W1930" s="424" t="s">
        <v>3074</v>
      </c>
      <c r="X1930" s="424" t="s">
        <v>2224</v>
      </c>
      <c r="Y1930" s="424" t="s">
        <v>2279</v>
      </c>
      <c r="Z1930" s="424" t="s">
        <v>3260</v>
      </c>
      <c r="AA1930" s="424" t="s">
        <v>3197</v>
      </c>
      <c r="AB1930" s="424" t="s">
        <v>3964</v>
      </c>
      <c r="AC1930" s="424" t="s">
        <v>1953</v>
      </c>
      <c r="AD1930" s="424" t="s">
        <v>2851</v>
      </c>
      <c r="AE1930" s="424" t="s">
        <v>3279</v>
      </c>
      <c r="AF1930" s="424"/>
      <c r="AG1930" s="424"/>
      <c r="AH1930" s="424"/>
    </row>
    <row r="1931" spans="1:34" x14ac:dyDescent="0.25">
      <c r="A1931" s="423" t="s">
        <v>7686</v>
      </c>
      <c r="B1931" s="423" t="s">
        <v>7759</v>
      </c>
      <c r="C1931" s="423" t="s">
        <v>1090</v>
      </c>
      <c r="D1931" s="423" t="s">
        <v>6871</v>
      </c>
      <c r="E1931" s="423" t="s">
        <v>203</v>
      </c>
      <c r="F1931" s="423">
        <v>1286</v>
      </c>
      <c r="G1931" s="423">
        <v>2642</v>
      </c>
      <c r="H1931" s="423">
        <v>8300</v>
      </c>
      <c r="J1931" s="423"/>
      <c r="K1931" s="423"/>
      <c r="L1931" s="423"/>
      <c r="M1931" s="423"/>
      <c r="Q1931" s="423"/>
      <c r="R1931" s="424" t="s">
        <v>7759</v>
      </c>
      <c r="S1931" s="424" t="s">
        <v>2846</v>
      </c>
      <c r="T1931" s="424" t="s">
        <v>2821</v>
      </c>
      <c r="U1931" s="424">
        <v>0</v>
      </c>
      <c r="V1931" s="424" t="s">
        <v>3269</v>
      </c>
      <c r="W1931" s="424" t="s">
        <v>3074</v>
      </c>
      <c r="X1931" s="424" t="s">
        <v>2224</v>
      </c>
      <c r="Y1931" s="424" t="s">
        <v>2279</v>
      </c>
      <c r="Z1931" s="424" t="s">
        <v>3260</v>
      </c>
      <c r="AA1931" s="424" t="s">
        <v>3197</v>
      </c>
      <c r="AB1931" s="424" t="s">
        <v>3335</v>
      </c>
      <c r="AC1931" s="424" t="s">
        <v>1953</v>
      </c>
      <c r="AD1931" s="424" t="s">
        <v>2851</v>
      </c>
      <c r="AE1931" s="424" t="s">
        <v>3279</v>
      </c>
      <c r="AF1931" s="424"/>
      <c r="AG1931" s="424"/>
      <c r="AH1931" s="424"/>
    </row>
    <row r="1932" spans="1:34" x14ac:dyDescent="0.25">
      <c r="A1932" s="423" t="s">
        <v>7686</v>
      </c>
      <c r="B1932" s="423" t="s">
        <v>7760</v>
      </c>
      <c r="C1932" s="423" t="s">
        <v>1090</v>
      </c>
      <c r="D1932" s="423" t="s">
        <v>6871</v>
      </c>
      <c r="E1932" s="423" t="s">
        <v>203</v>
      </c>
      <c r="F1932" s="423">
        <v>1286</v>
      </c>
      <c r="G1932" s="423">
        <v>2642</v>
      </c>
      <c r="H1932" s="423">
        <v>8300</v>
      </c>
      <c r="J1932" s="423"/>
      <c r="K1932" s="423"/>
      <c r="L1932" s="423"/>
      <c r="M1932" s="423"/>
      <c r="Q1932" s="423"/>
      <c r="R1932" s="424" t="s">
        <v>7760</v>
      </c>
      <c r="S1932" s="424" t="s">
        <v>2846</v>
      </c>
      <c r="T1932" s="424" t="s">
        <v>2821</v>
      </c>
      <c r="U1932" s="424">
        <v>0</v>
      </c>
      <c r="V1932" s="424" t="s">
        <v>3269</v>
      </c>
      <c r="W1932" s="424" t="s">
        <v>3074</v>
      </c>
      <c r="X1932" s="424" t="s">
        <v>2224</v>
      </c>
      <c r="Y1932" s="424" t="s">
        <v>2279</v>
      </c>
      <c r="Z1932" s="424" t="s">
        <v>3260</v>
      </c>
      <c r="AA1932" s="424" t="s">
        <v>3197</v>
      </c>
      <c r="AB1932" s="424" t="s">
        <v>3964</v>
      </c>
      <c r="AC1932" s="424" t="s">
        <v>1953</v>
      </c>
      <c r="AD1932" s="424" t="s">
        <v>2851</v>
      </c>
      <c r="AE1932" s="424" t="s">
        <v>3279</v>
      </c>
      <c r="AF1932" s="424"/>
      <c r="AG1932" s="424"/>
      <c r="AH1932" s="424"/>
    </row>
    <row r="1933" spans="1:34" x14ac:dyDescent="0.25">
      <c r="A1933" s="423" t="s">
        <v>7686</v>
      </c>
      <c r="B1933" s="423" t="s">
        <v>7761</v>
      </c>
      <c r="C1933" s="423" t="s">
        <v>1090</v>
      </c>
      <c r="D1933" s="423" t="s">
        <v>6871</v>
      </c>
      <c r="E1933" s="423" t="s">
        <v>203</v>
      </c>
      <c r="F1933" s="423">
        <v>1286</v>
      </c>
      <c r="G1933" s="423">
        <v>2642</v>
      </c>
      <c r="H1933" s="423">
        <v>8300</v>
      </c>
      <c r="J1933" s="423"/>
      <c r="K1933" s="423"/>
      <c r="L1933" s="423"/>
      <c r="M1933" s="423"/>
      <c r="Q1933" s="423"/>
      <c r="R1933" s="424" t="s">
        <v>7762</v>
      </c>
      <c r="S1933" s="424" t="s">
        <v>2820</v>
      </c>
      <c r="T1933" s="424" t="s">
        <v>6228</v>
      </c>
      <c r="U1933" s="424">
        <v>0</v>
      </c>
      <c r="V1933" s="424" t="s">
        <v>2824</v>
      </c>
      <c r="W1933" s="424" t="s">
        <v>2824</v>
      </c>
      <c r="X1933" s="424" t="s">
        <v>2224</v>
      </c>
      <c r="Y1933" s="424" t="s">
        <v>2279</v>
      </c>
      <c r="Z1933" s="424" t="s">
        <v>2826</v>
      </c>
      <c r="AA1933" s="424" t="s">
        <v>6229</v>
      </c>
      <c r="AB1933" s="424" t="s">
        <v>7763</v>
      </c>
      <c r="AC1933" s="424" t="s">
        <v>1953</v>
      </c>
      <c r="AD1933" s="424" t="s">
        <v>2829</v>
      </c>
      <c r="AE1933" s="424" t="s">
        <v>7292</v>
      </c>
      <c r="AF1933" s="424"/>
      <c r="AG1933" s="424"/>
      <c r="AH1933" s="424"/>
    </row>
    <row r="1934" spans="1:34" x14ac:dyDescent="0.25">
      <c r="A1934" s="423" t="s">
        <v>7686</v>
      </c>
      <c r="B1934" s="423" t="s">
        <v>7764</v>
      </c>
      <c r="C1934" s="423" t="s">
        <v>1090</v>
      </c>
      <c r="D1934" s="423" t="s">
        <v>6871</v>
      </c>
      <c r="E1934" s="423" t="s">
        <v>203</v>
      </c>
      <c r="F1934" s="423">
        <v>1286</v>
      </c>
      <c r="G1934" s="423">
        <v>2642</v>
      </c>
      <c r="H1934" s="423">
        <v>8300</v>
      </c>
      <c r="J1934" s="423"/>
      <c r="K1934" s="423"/>
      <c r="L1934" s="423"/>
      <c r="M1934" s="423"/>
      <c r="Q1934" s="423"/>
      <c r="R1934" s="424" t="s">
        <v>7765</v>
      </c>
      <c r="S1934" s="424" t="s">
        <v>2820</v>
      </c>
      <c r="T1934" s="424" t="s">
        <v>3268</v>
      </c>
      <c r="U1934" s="424">
        <v>0</v>
      </c>
      <c r="V1934" s="424" t="s">
        <v>2824</v>
      </c>
      <c r="W1934" s="424" t="s">
        <v>2824</v>
      </c>
      <c r="X1934" s="424" t="s">
        <v>2224</v>
      </c>
      <c r="Y1934" s="424" t="s">
        <v>2279</v>
      </c>
      <c r="Z1934" s="424" t="s">
        <v>3260</v>
      </c>
      <c r="AA1934" s="424" t="s">
        <v>3327</v>
      </c>
      <c r="AB1934" s="424" t="s">
        <v>7766</v>
      </c>
      <c r="AC1934" s="424" t="s">
        <v>1953</v>
      </c>
      <c r="AD1934" s="424" t="s">
        <v>3329</v>
      </c>
      <c r="AE1934" s="424" t="s">
        <v>3333</v>
      </c>
      <c r="AF1934" s="424"/>
      <c r="AG1934" s="424"/>
      <c r="AH1934" s="424"/>
    </row>
    <row r="1935" spans="1:34" x14ac:dyDescent="0.25">
      <c r="A1935" s="423" t="s">
        <v>7686</v>
      </c>
      <c r="B1935" s="423" t="s">
        <v>7767</v>
      </c>
      <c r="C1935" s="423" t="s">
        <v>1090</v>
      </c>
      <c r="D1935" s="423" t="s">
        <v>6871</v>
      </c>
      <c r="E1935" s="423" t="s">
        <v>203</v>
      </c>
      <c r="F1935" s="423">
        <v>1286</v>
      </c>
      <c r="G1935" s="423">
        <v>2642</v>
      </c>
      <c r="H1935" s="423">
        <v>8300</v>
      </c>
      <c r="J1935" s="423"/>
      <c r="K1935" s="423"/>
      <c r="L1935" s="423"/>
      <c r="M1935" s="423"/>
      <c r="Q1935" s="423"/>
      <c r="R1935" s="424" t="s">
        <v>7768</v>
      </c>
      <c r="S1935" s="424" t="s">
        <v>2820</v>
      </c>
      <c r="T1935" s="424" t="s">
        <v>7720</v>
      </c>
      <c r="U1935" s="424">
        <v>0</v>
      </c>
      <c r="V1935" s="424" t="s">
        <v>309</v>
      </c>
      <c r="W1935" s="424" t="s">
        <v>309</v>
      </c>
      <c r="X1935" s="424" t="s">
        <v>2224</v>
      </c>
      <c r="Y1935" s="424" t="s">
        <v>2279</v>
      </c>
      <c r="Z1935" s="424" t="s">
        <v>2889</v>
      </c>
      <c r="AA1935" s="424" t="s">
        <v>7769</v>
      </c>
      <c r="AB1935" s="424" t="s">
        <v>7770</v>
      </c>
      <c r="AC1935" s="424" t="s">
        <v>3263</v>
      </c>
      <c r="AD1935" s="424" t="s">
        <v>3985</v>
      </c>
      <c r="AE1935" s="424" t="s">
        <v>7105</v>
      </c>
      <c r="AF1935" s="424"/>
      <c r="AG1935" s="424"/>
      <c r="AH1935" s="424"/>
    </row>
    <row r="1936" spans="1:34" x14ac:dyDescent="0.25">
      <c r="A1936" s="423" t="s">
        <v>7686</v>
      </c>
      <c r="B1936" s="423" t="s">
        <v>7771</v>
      </c>
      <c r="C1936" s="423" t="s">
        <v>1090</v>
      </c>
      <c r="D1936" s="423" t="s">
        <v>6871</v>
      </c>
      <c r="E1936" s="423" t="s">
        <v>203</v>
      </c>
      <c r="F1936" s="423">
        <v>1286</v>
      </c>
      <c r="G1936" s="423">
        <v>2642</v>
      </c>
      <c r="H1936" s="423">
        <v>8300</v>
      </c>
      <c r="J1936" s="423"/>
      <c r="K1936" s="423"/>
      <c r="L1936" s="423"/>
      <c r="M1936" s="423"/>
      <c r="Q1936" s="423"/>
      <c r="R1936" s="424" t="s">
        <v>7772</v>
      </c>
      <c r="S1936" s="424" t="s">
        <v>2820</v>
      </c>
      <c r="T1936" s="424" t="s">
        <v>7773</v>
      </c>
      <c r="U1936" s="424">
        <v>0</v>
      </c>
      <c r="V1936" s="424" t="s">
        <v>7046</v>
      </c>
      <c r="W1936" s="424" t="s">
        <v>3283</v>
      </c>
      <c r="X1936" s="424">
        <v>0</v>
      </c>
      <c r="Y1936" s="424" t="s">
        <v>2279</v>
      </c>
      <c r="Z1936" s="424" t="s">
        <v>2889</v>
      </c>
      <c r="AA1936" s="424" t="s">
        <v>6508</v>
      </c>
      <c r="AB1936" s="424" t="s">
        <v>7774</v>
      </c>
      <c r="AC1936" s="424" t="s">
        <v>2269</v>
      </c>
      <c r="AD1936" s="424" t="s">
        <v>6510</v>
      </c>
      <c r="AE1936" s="424" t="s">
        <v>7048</v>
      </c>
      <c r="AF1936" s="424"/>
      <c r="AG1936" s="424"/>
      <c r="AH1936" s="424"/>
    </row>
    <row r="1937" spans="1:34" x14ac:dyDescent="0.25">
      <c r="A1937" s="423" t="s">
        <v>7686</v>
      </c>
      <c r="B1937" s="423" t="s">
        <v>7775</v>
      </c>
      <c r="C1937" s="423" t="s">
        <v>1090</v>
      </c>
      <c r="D1937" s="423" t="s">
        <v>6871</v>
      </c>
      <c r="E1937" s="423" t="s">
        <v>203</v>
      </c>
      <c r="F1937" s="423">
        <v>1286</v>
      </c>
      <c r="G1937" s="423">
        <v>2642</v>
      </c>
      <c r="H1937" s="423">
        <v>8300</v>
      </c>
      <c r="J1937" s="423"/>
      <c r="K1937" s="423"/>
      <c r="L1937" s="423"/>
      <c r="M1937" s="423"/>
      <c r="Q1937" s="423"/>
      <c r="R1937" s="424" t="s">
        <v>7776</v>
      </c>
      <c r="S1937" s="424" t="s">
        <v>2820</v>
      </c>
      <c r="T1937" s="424" t="s">
        <v>7773</v>
      </c>
      <c r="U1937" s="424">
        <v>0</v>
      </c>
      <c r="V1937" s="424" t="s">
        <v>7046</v>
      </c>
      <c r="W1937" s="424" t="s">
        <v>3283</v>
      </c>
      <c r="X1937" s="424">
        <v>0</v>
      </c>
      <c r="Y1937" s="424" t="s">
        <v>2279</v>
      </c>
      <c r="Z1937" s="424" t="s">
        <v>2889</v>
      </c>
      <c r="AA1937" s="424" t="s">
        <v>6508</v>
      </c>
      <c r="AB1937" s="424" t="s">
        <v>7777</v>
      </c>
      <c r="AC1937" s="424" t="s">
        <v>2269</v>
      </c>
      <c r="AD1937" s="424" t="s">
        <v>6510</v>
      </c>
      <c r="AE1937" s="424" t="s">
        <v>7048</v>
      </c>
      <c r="AF1937" s="424"/>
      <c r="AG1937" s="424"/>
      <c r="AH1937" s="424"/>
    </row>
    <row r="1938" spans="1:34" x14ac:dyDescent="0.25">
      <c r="A1938" s="423" t="s">
        <v>7686</v>
      </c>
      <c r="B1938" s="423" t="s">
        <v>7778</v>
      </c>
      <c r="C1938" s="423" t="s">
        <v>1090</v>
      </c>
      <c r="D1938" s="423" t="s">
        <v>6871</v>
      </c>
      <c r="E1938" s="423" t="s">
        <v>203</v>
      </c>
      <c r="F1938" s="423">
        <v>1286</v>
      </c>
      <c r="G1938" s="423">
        <v>2642</v>
      </c>
      <c r="H1938" s="423">
        <v>8300</v>
      </c>
      <c r="J1938" s="423"/>
      <c r="K1938" s="423"/>
      <c r="L1938" s="423"/>
      <c r="M1938" s="423"/>
      <c r="Q1938" s="423"/>
      <c r="R1938" s="424" t="s">
        <v>7779</v>
      </c>
      <c r="S1938" s="424" t="s">
        <v>2820</v>
      </c>
      <c r="T1938" s="424" t="s">
        <v>7780</v>
      </c>
      <c r="U1938" s="424">
        <v>0</v>
      </c>
      <c r="V1938" s="424" t="s">
        <v>4196</v>
      </c>
      <c r="W1938" s="424" t="s">
        <v>6507</v>
      </c>
      <c r="X1938" s="424">
        <v>0</v>
      </c>
      <c r="Y1938" s="424" t="s">
        <v>2279</v>
      </c>
      <c r="Z1938" s="424" t="s">
        <v>2826</v>
      </c>
      <c r="AA1938" s="424" t="s">
        <v>2827</v>
      </c>
      <c r="AB1938" s="424" t="s">
        <v>7781</v>
      </c>
      <c r="AC1938" s="424" t="s">
        <v>1953</v>
      </c>
      <c r="AD1938" s="424" t="s">
        <v>2829</v>
      </c>
      <c r="AE1938" s="424" t="s">
        <v>5579</v>
      </c>
      <c r="AF1938" s="424"/>
      <c r="AG1938" s="424"/>
      <c r="AH1938" s="424"/>
    </row>
    <row r="1939" spans="1:34" x14ac:dyDescent="0.25">
      <c r="A1939" s="423" t="s">
        <v>7686</v>
      </c>
      <c r="B1939" s="423" t="s">
        <v>7782</v>
      </c>
      <c r="C1939" s="423" t="s">
        <v>1090</v>
      </c>
      <c r="D1939" s="423" t="s">
        <v>6871</v>
      </c>
      <c r="E1939" s="423" t="s">
        <v>203</v>
      </c>
      <c r="F1939" s="423">
        <v>1286</v>
      </c>
      <c r="G1939" s="423">
        <v>2642</v>
      </c>
      <c r="H1939" s="423">
        <v>8300</v>
      </c>
      <c r="J1939" s="423"/>
      <c r="K1939" s="423"/>
      <c r="L1939" s="423"/>
      <c r="M1939" s="423"/>
      <c r="Q1939" s="423"/>
      <c r="R1939" s="424" t="s">
        <v>7783</v>
      </c>
      <c r="S1939" s="424" t="s">
        <v>2820</v>
      </c>
      <c r="T1939" s="424" t="s">
        <v>7780</v>
      </c>
      <c r="U1939" s="424">
        <v>0</v>
      </c>
      <c r="V1939" s="424" t="s">
        <v>4196</v>
      </c>
      <c r="W1939" s="424" t="s">
        <v>6507</v>
      </c>
      <c r="X1939" s="424">
        <v>0</v>
      </c>
      <c r="Y1939" s="424" t="s">
        <v>2279</v>
      </c>
      <c r="Z1939" s="424" t="s">
        <v>2826</v>
      </c>
      <c r="AA1939" s="424" t="s">
        <v>2827</v>
      </c>
      <c r="AB1939" s="424" t="s">
        <v>7784</v>
      </c>
      <c r="AC1939" s="424" t="s">
        <v>1953</v>
      </c>
      <c r="AD1939" s="424" t="s">
        <v>2829</v>
      </c>
      <c r="AE1939" s="424" t="s">
        <v>5017</v>
      </c>
      <c r="AF1939" s="424"/>
      <c r="AG1939" s="424"/>
      <c r="AH1939" s="424"/>
    </row>
    <row r="1940" spans="1:34" x14ac:dyDescent="0.25">
      <c r="A1940" s="423" t="s">
        <v>1504</v>
      </c>
      <c r="B1940" s="423" t="s">
        <v>2499</v>
      </c>
      <c r="C1940" s="423" t="s">
        <v>948</v>
      </c>
      <c r="D1940" s="423" t="s">
        <v>6871</v>
      </c>
      <c r="E1940" s="423" t="s">
        <v>203</v>
      </c>
      <c r="F1940" s="423">
        <v>8</v>
      </c>
      <c r="G1940" s="423">
        <v>24</v>
      </c>
      <c r="H1940" s="423">
        <v>260</v>
      </c>
      <c r="J1940" s="423"/>
      <c r="K1940" s="423"/>
      <c r="L1940" s="423"/>
      <c r="M1940" s="423"/>
      <c r="Q1940" s="423"/>
      <c r="R1940" s="424" t="s">
        <v>2500</v>
      </c>
      <c r="S1940" s="424" t="s">
        <v>2846</v>
      </c>
      <c r="T1940" s="424" t="s">
        <v>3693</v>
      </c>
      <c r="U1940" s="424">
        <v>0</v>
      </c>
      <c r="V1940" s="424" t="s">
        <v>948</v>
      </c>
      <c r="W1940" s="424" t="s">
        <v>3694</v>
      </c>
      <c r="X1940" s="424" t="s">
        <v>2224</v>
      </c>
      <c r="Y1940" s="424" t="s">
        <v>2279</v>
      </c>
      <c r="Z1940" s="424" t="s">
        <v>2872</v>
      </c>
      <c r="AA1940" s="424" t="s">
        <v>3197</v>
      </c>
      <c r="AB1940" s="424" t="s">
        <v>5118</v>
      </c>
      <c r="AC1940" s="424" t="s">
        <v>3910</v>
      </c>
      <c r="AD1940" s="424" t="s">
        <v>3911</v>
      </c>
      <c r="AE1940" s="424" t="s">
        <v>5103</v>
      </c>
      <c r="AF1940" s="424"/>
      <c r="AG1940" s="424"/>
      <c r="AH1940" s="424"/>
    </row>
    <row r="1941" spans="1:34" x14ac:dyDescent="0.25">
      <c r="A1941" s="423" t="s">
        <v>1504</v>
      </c>
      <c r="B1941" s="423" t="s">
        <v>2502</v>
      </c>
      <c r="C1941" s="423" t="s">
        <v>948</v>
      </c>
      <c r="D1941" s="423" t="s">
        <v>6871</v>
      </c>
      <c r="E1941" s="423" t="s">
        <v>203</v>
      </c>
      <c r="F1941" s="423">
        <v>8</v>
      </c>
      <c r="G1941" s="423">
        <v>24</v>
      </c>
      <c r="H1941" s="423">
        <v>260</v>
      </c>
      <c r="J1941" s="423"/>
      <c r="K1941" s="423"/>
      <c r="L1941" s="423"/>
      <c r="M1941" s="423"/>
      <c r="Q1941" s="423"/>
      <c r="R1941" s="424" t="s">
        <v>2503</v>
      </c>
      <c r="S1941" s="424" t="s">
        <v>2846</v>
      </c>
      <c r="T1941" s="424" t="s">
        <v>3693</v>
      </c>
      <c r="U1941" s="424">
        <v>0</v>
      </c>
      <c r="V1941" s="424" t="s">
        <v>948</v>
      </c>
      <c r="W1941" s="424" t="s">
        <v>3694</v>
      </c>
      <c r="X1941" s="424" t="s">
        <v>2224</v>
      </c>
      <c r="Y1941" s="424" t="s">
        <v>2279</v>
      </c>
      <c r="Z1941" s="424" t="s">
        <v>2872</v>
      </c>
      <c r="AA1941" s="424" t="s">
        <v>3197</v>
      </c>
      <c r="AB1941" s="424" t="s">
        <v>5075</v>
      </c>
      <c r="AC1941" s="424" t="s">
        <v>3910</v>
      </c>
      <c r="AD1941" s="424" t="s">
        <v>3911</v>
      </c>
      <c r="AE1941" s="424" t="s">
        <v>3912</v>
      </c>
      <c r="AF1941" s="424"/>
      <c r="AG1941" s="424"/>
      <c r="AH1941" s="424"/>
    </row>
    <row r="1942" spans="1:34" x14ac:dyDescent="0.25">
      <c r="A1942" s="423" t="s">
        <v>1504</v>
      </c>
      <c r="B1942" s="423" t="s">
        <v>2524</v>
      </c>
      <c r="C1942" s="423" t="s">
        <v>948</v>
      </c>
      <c r="D1942" s="423" t="s">
        <v>6871</v>
      </c>
      <c r="E1942" s="423" t="s">
        <v>203</v>
      </c>
      <c r="F1942" s="423">
        <v>8</v>
      </c>
      <c r="G1942" s="423">
        <v>24</v>
      </c>
      <c r="H1942" s="423">
        <v>260</v>
      </c>
      <c r="J1942" s="423"/>
      <c r="K1942" s="423"/>
      <c r="L1942" s="423"/>
      <c r="M1942" s="423"/>
      <c r="Q1942" s="423"/>
      <c r="R1942" s="424" t="s">
        <v>2525</v>
      </c>
      <c r="S1942" s="424" t="s">
        <v>2846</v>
      </c>
      <c r="T1942" s="424" t="s">
        <v>3693</v>
      </c>
      <c r="U1942" s="424">
        <v>0</v>
      </c>
      <c r="V1942" s="424" t="s">
        <v>948</v>
      </c>
      <c r="W1942" s="424" t="s">
        <v>3694</v>
      </c>
      <c r="X1942" s="424" t="s">
        <v>2224</v>
      </c>
      <c r="Y1942" s="424" t="s">
        <v>2279</v>
      </c>
      <c r="Z1942" s="424" t="s">
        <v>2872</v>
      </c>
      <c r="AA1942" s="424" t="s">
        <v>3197</v>
      </c>
      <c r="AB1942" s="424" t="s">
        <v>5112</v>
      </c>
      <c r="AC1942" s="424" t="s">
        <v>3910</v>
      </c>
      <c r="AD1942" s="424" t="s">
        <v>3911</v>
      </c>
      <c r="AE1942" s="424" t="s">
        <v>3912</v>
      </c>
      <c r="AF1942" s="424"/>
      <c r="AG1942" s="424"/>
      <c r="AH1942" s="424"/>
    </row>
    <row r="1943" spans="1:34" x14ac:dyDescent="0.25">
      <c r="A1943" s="423" t="s">
        <v>1504</v>
      </c>
      <c r="B1943" s="423" t="s">
        <v>2493</v>
      </c>
      <c r="C1943" s="423" t="s">
        <v>948</v>
      </c>
      <c r="D1943" s="423" t="s">
        <v>6871</v>
      </c>
      <c r="E1943" s="423" t="s">
        <v>203</v>
      </c>
      <c r="F1943" s="423">
        <v>8</v>
      </c>
      <c r="G1943" s="423">
        <v>24</v>
      </c>
      <c r="H1943" s="423">
        <v>260</v>
      </c>
      <c r="J1943" s="423"/>
      <c r="K1943" s="423"/>
      <c r="L1943" s="423"/>
      <c r="M1943" s="423"/>
      <c r="Q1943" s="423"/>
      <c r="R1943" s="424" t="s">
        <v>2494</v>
      </c>
      <c r="S1943" s="424" t="s">
        <v>2846</v>
      </c>
      <c r="T1943" s="424" t="s">
        <v>3693</v>
      </c>
      <c r="U1943" s="424">
        <v>0</v>
      </c>
      <c r="V1943" s="424" t="s">
        <v>948</v>
      </c>
      <c r="W1943" s="424" t="s">
        <v>3694</v>
      </c>
      <c r="X1943" s="424" t="s">
        <v>2224</v>
      </c>
      <c r="Y1943" s="424" t="s">
        <v>2279</v>
      </c>
      <c r="Z1943" s="424" t="s">
        <v>2872</v>
      </c>
      <c r="AA1943" s="424" t="s">
        <v>3197</v>
      </c>
      <c r="AB1943" s="424" t="s">
        <v>6058</v>
      </c>
      <c r="AC1943" s="424" t="s">
        <v>3910</v>
      </c>
      <c r="AD1943" s="424" t="s">
        <v>3911</v>
      </c>
      <c r="AE1943" s="424" t="s">
        <v>3912</v>
      </c>
      <c r="AF1943" s="424"/>
      <c r="AG1943" s="424"/>
      <c r="AH1943" s="424"/>
    </row>
    <row r="1944" spans="1:34" x14ac:dyDescent="0.25">
      <c r="A1944" s="423" t="s">
        <v>1504</v>
      </c>
      <c r="B1944" s="423" t="s">
        <v>2526</v>
      </c>
      <c r="C1944" s="423" t="s">
        <v>948</v>
      </c>
      <c r="D1944" s="423" t="s">
        <v>6871</v>
      </c>
      <c r="E1944" s="423" t="s">
        <v>203</v>
      </c>
      <c r="F1944" s="423">
        <v>8</v>
      </c>
      <c r="G1944" s="423">
        <v>24</v>
      </c>
      <c r="H1944" s="423">
        <v>260</v>
      </c>
      <c r="J1944" s="423"/>
      <c r="K1944" s="423"/>
      <c r="L1944" s="423"/>
      <c r="M1944" s="423"/>
      <c r="Q1944" s="423"/>
      <c r="R1944" s="424" t="s">
        <v>2527</v>
      </c>
      <c r="S1944" s="424" t="s">
        <v>2846</v>
      </c>
      <c r="T1944" s="424" t="s">
        <v>3693</v>
      </c>
      <c r="U1944" s="424">
        <v>0</v>
      </c>
      <c r="V1944" s="424" t="s">
        <v>948</v>
      </c>
      <c r="W1944" s="424" t="s">
        <v>3694</v>
      </c>
      <c r="X1944" s="424" t="s">
        <v>2224</v>
      </c>
      <c r="Y1944" s="424" t="s">
        <v>2279</v>
      </c>
      <c r="Z1944" s="424" t="s">
        <v>2872</v>
      </c>
      <c r="AA1944" s="424" t="s">
        <v>3197</v>
      </c>
      <c r="AB1944" s="424" t="s">
        <v>7785</v>
      </c>
      <c r="AC1944" s="424" t="s">
        <v>3910</v>
      </c>
      <c r="AD1944" s="424" t="s">
        <v>3911</v>
      </c>
      <c r="AE1944" s="424" t="s">
        <v>3912</v>
      </c>
      <c r="AF1944" s="424"/>
      <c r="AG1944" s="424"/>
      <c r="AH1944" s="424"/>
    </row>
    <row r="1945" spans="1:34" x14ac:dyDescent="0.25">
      <c r="A1945" s="423" t="s">
        <v>1504</v>
      </c>
      <c r="B1945" s="423" t="s">
        <v>2530</v>
      </c>
      <c r="C1945" s="423" t="s">
        <v>948</v>
      </c>
      <c r="D1945" s="423" t="s">
        <v>6871</v>
      </c>
      <c r="E1945" s="423" t="s">
        <v>203</v>
      </c>
      <c r="F1945" s="423">
        <v>8</v>
      </c>
      <c r="G1945" s="423">
        <v>24</v>
      </c>
      <c r="H1945" s="423">
        <v>260</v>
      </c>
      <c r="J1945" s="423"/>
      <c r="K1945" s="423"/>
      <c r="L1945" s="423"/>
      <c r="M1945" s="423"/>
      <c r="Q1945" s="423"/>
      <c r="R1945" s="424" t="s">
        <v>2531</v>
      </c>
      <c r="S1945" s="424" t="s">
        <v>2846</v>
      </c>
      <c r="T1945" s="424" t="s">
        <v>3693</v>
      </c>
      <c r="U1945" s="424">
        <v>0</v>
      </c>
      <c r="V1945" s="424" t="s">
        <v>948</v>
      </c>
      <c r="W1945" s="424" t="s">
        <v>3694</v>
      </c>
      <c r="X1945" s="424" t="s">
        <v>2224</v>
      </c>
      <c r="Y1945" s="424" t="s">
        <v>2279</v>
      </c>
      <c r="Z1945" s="424" t="s">
        <v>2872</v>
      </c>
      <c r="AA1945" s="424" t="s">
        <v>3197</v>
      </c>
      <c r="AB1945" s="424" t="s">
        <v>5118</v>
      </c>
      <c r="AC1945" s="424" t="s">
        <v>3910</v>
      </c>
      <c r="AD1945" s="424" t="s">
        <v>3911</v>
      </c>
      <c r="AE1945" s="424" t="s">
        <v>5103</v>
      </c>
      <c r="AF1945" s="424"/>
      <c r="AG1945" s="424"/>
      <c r="AH1945" s="424"/>
    </row>
    <row r="1946" spans="1:34" x14ac:dyDescent="0.25">
      <c r="A1946" s="423" t="s">
        <v>1504</v>
      </c>
      <c r="B1946" s="423" t="s">
        <v>2532</v>
      </c>
      <c r="C1946" s="423" t="s">
        <v>948</v>
      </c>
      <c r="D1946" s="423" t="s">
        <v>6871</v>
      </c>
      <c r="E1946" s="423" t="s">
        <v>203</v>
      </c>
      <c r="F1946" s="423">
        <v>8</v>
      </c>
      <c r="G1946" s="423">
        <v>24</v>
      </c>
      <c r="H1946" s="423">
        <v>260</v>
      </c>
      <c r="J1946" s="423"/>
      <c r="K1946" s="423"/>
      <c r="L1946" s="423"/>
      <c r="M1946" s="423"/>
      <c r="Q1946" s="423"/>
      <c r="R1946" s="424" t="s">
        <v>2533</v>
      </c>
      <c r="S1946" s="424" t="s">
        <v>2846</v>
      </c>
      <c r="T1946" s="424" t="s">
        <v>3693</v>
      </c>
      <c r="U1946" s="424">
        <v>0</v>
      </c>
      <c r="V1946" s="424" t="s">
        <v>948</v>
      </c>
      <c r="W1946" s="424" t="s">
        <v>3694</v>
      </c>
      <c r="X1946" s="424" t="s">
        <v>2224</v>
      </c>
      <c r="Y1946" s="424" t="s">
        <v>2279</v>
      </c>
      <c r="Z1946" s="424" t="s">
        <v>2872</v>
      </c>
      <c r="AA1946" s="424" t="s">
        <v>3197</v>
      </c>
      <c r="AB1946" s="424" t="s">
        <v>7786</v>
      </c>
      <c r="AC1946" s="424" t="s">
        <v>3910</v>
      </c>
      <c r="AD1946" s="424" t="s">
        <v>3911</v>
      </c>
      <c r="AE1946" s="424" t="s">
        <v>5103</v>
      </c>
      <c r="AF1946" s="424"/>
      <c r="AG1946" s="424"/>
      <c r="AH1946" s="424"/>
    </row>
    <row r="1947" spans="1:34" x14ac:dyDescent="0.25">
      <c r="A1947" s="423" t="s">
        <v>1504</v>
      </c>
      <c r="B1947" s="423" t="s">
        <v>2508</v>
      </c>
      <c r="C1947" s="423" t="s">
        <v>948</v>
      </c>
      <c r="D1947" s="423" t="s">
        <v>6871</v>
      </c>
      <c r="E1947" s="423" t="s">
        <v>203</v>
      </c>
      <c r="F1947" s="423">
        <v>8</v>
      </c>
      <c r="G1947" s="423">
        <v>24</v>
      </c>
      <c r="H1947" s="423">
        <v>260</v>
      </c>
      <c r="J1947" s="423"/>
      <c r="K1947" s="423"/>
      <c r="L1947" s="423"/>
      <c r="M1947" s="423"/>
      <c r="Q1947" s="423"/>
      <c r="R1947" s="424" t="s">
        <v>2509</v>
      </c>
      <c r="S1947" s="424" t="s">
        <v>2846</v>
      </c>
      <c r="T1947" s="424" t="s">
        <v>3693</v>
      </c>
      <c r="U1947" s="424">
        <v>0</v>
      </c>
      <c r="V1947" s="424" t="s">
        <v>948</v>
      </c>
      <c r="W1947" s="424" t="s">
        <v>3694</v>
      </c>
      <c r="X1947" s="424" t="s">
        <v>2224</v>
      </c>
      <c r="Y1947" s="424" t="s">
        <v>2279</v>
      </c>
      <c r="Z1947" s="424" t="s">
        <v>2872</v>
      </c>
      <c r="AA1947" s="424" t="s">
        <v>3197</v>
      </c>
      <c r="AB1947" s="424" t="s">
        <v>7787</v>
      </c>
      <c r="AC1947" s="424" t="s">
        <v>3910</v>
      </c>
      <c r="AD1947" s="424" t="s">
        <v>3911</v>
      </c>
      <c r="AE1947" s="424" t="s">
        <v>5103</v>
      </c>
      <c r="AF1947" s="424"/>
      <c r="AG1947" s="424"/>
      <c r="AH1947" s="424"/>
    </row>
    <row r="1948" spans="1:34" x14ac:dyDescent="0.25">
      <c r="A1948" s="423" t="s">
        <v>1504</v>
      </c>
      <c r="B1948" s="423" t="s">
        <v>2519</v>
      </c>
      <c r="C1948" s="423" t="s">
        <v>948</v>
      </c>
      <c r="D1948" s="423" t="s">
        <v>6871</v>
      </c>
      <c r="E1948" s="423" t="s">
        <v>203</v>
      </c>
      <c r="F1948" s="423">
        <v>8</v>
      </c>
      <c r="G1948" s="423">
        <v>24</v>
      </c>
      <c r="H1948" s="423">
        <v>260</v>
      </c>
      <c r="J1948" s="423"/>
      <c r="K1948" s="423"/>
      <c r="L1948" s="423"/>
      <c r="M1948" s="423"/>
      <c r="Q1948" s="423"/>
      <c r="R1948" s="424" t="s">
        <v>2520</v>
      </c>
      <c r="S1948" s="424" t="s">
        <v>2846</v>
      </c>
      <c r="T1948" s="424" t="s">
        <v>3693</v>
      </c>
      <c r="U1948" s="424">
        <v>0</v>
      </c>
      <c r="V1948" s="424" t="s">
        <v>948</v>
      </c>
      <c r="W1948" s="424" t="s">
        <v>3694</v>
      </c>
      <c r="X1948" s="424" t="s">
        <v>2224</v>
      </c>
      <c r="Y1948" s="424" t="s">
        <v>2279</v>
      </c>
      <c r="Z1948" s="424" t="s">
        <v>2872</v>
      </c>
      <c r="AA1948" s="424" t="s">
        <v>3197</v>
      </c>
      <c r="AB1948" s="424" t="s">
        <v>7517</v>
      </c>
      <c r="AC1948" s="424" t="s">
        <v>3910</v>
      </c>
      <c r="AD1948" s="424" t="s">
        <v>3911</v>
      </c>
      <c r="AE1948" s="424" t="s">
        <v>3912</v>
      </c>
      <c r="AF1948" s="424"/>
      <c r="AG1948" s="424"/>
      <c r="AH1948" s="424"/>
    </row>
    <row r="1949" spans="1:34" x14ac:dyDescent="0.25">
      <c r="A1949" s="423" t="s">
        <v>1504</v>
      </c>
      <c r="B1949" s="423" t="s">
        <v>2522</v>
      </c>
      <c r="C1949" s="423" t="s">
        <v>948</v>
      </c>
      <c r="D1949" s="423" t="s">
        <v>6871</v>
      </c>
      <c r="E1949" s="423" t="s">
        <v>203</v>
      </c>
      <c r="F1949" s="423">
        <v>8</v>
      </c>
      <c r="G1949" s="423">
        <v>24</v>
      </c>
      <c r="H1949" s="423">
        <v>260</v>
      </c>
      <c r="J1949" s="423"/>
      <c r="K1949" s="423"/>
      <c r="L1949" s="423"/>
      <c r="M1949" s="423"/>
      <c r="Q1949" s="423"/>
      <c r="R1949" s="424" t="s">
        <v>2523</v>
      </c>
      <c r="S1949" s="424" t="s">
        <v>2846</v>
      </c>
      <c r="T1949" s="424" t="s">
        <v>3693</v>
      </c>
      <c r="U1949" s="424">
        <v>0</v>
      </c>
      <c r="V1949" s="424" t="s">
        <v>948</v>
      </c>
      <c r="W1949" s="424" t="s">
        <v>3694</v>
      </c>
      <c r="X1949" s="424" t="s">
        <v>2224</v>
      </c>
      <c r="Y1949" s="424" t="s">
        <v>2279</v>
      </c>
      <c r="Z1949" s="424" t="s">
        <v>2872</v>
      </c>
      <c r="AA1949" s="424" t="s">
        <v>3197</v>
      </c>
      <c r="AB1949" s="424" t="s">
        <v>3909</v>
      </c>
      <c r="AC1949" s="424" t="s">
        <v>3910</v>
      </c>
      <c r="AD1949" s="424" t="s">
        <v>3911</v>
      </c>
      <c r="AE1949" s="424" t="s">
        <v>3912</v>
      </c>
      <c r="AF1949" s="424"/>
      <c r="AG1949" s="424"/>
      <c r="AH1949" s="424"/>
    </row>
    <row r="1950" spans="1:34" x14ac:dyDescent="0.25">
      <c r="A1950" s="423" t="s">
        <v>1504</v>
      </c>
      <c r="B1950" s="423" t="s">
        <v>2552</v>
      </c>
      <c r="C1950" s="423" t="s">
        <v>948</v>
      </c>
      <c r="D1950" s="423" t="s">
        <v>6871</v>
      </c>
      <c r="E1950" s="423" t="s">
        <v>203</v>
      </c>
      <c r="F1950" s="423">
        <v>8</v>
      </c>
      <c r="G1950" s="423">
        <v>24</v>
      </c>
      <c r="H1950" s="423">
        <v>260</v>
      </c>
      <c r="J1950" s="423"/>
      <c r="K1950" s="423"/>
      <c r="L1950" s="423"/>
      <c r="M1950" s="423"/>
      <c r="Q1950" s="423"/>
      <c r="R1950" s="424" t="s">
        <v>2553</v>
      </c>
      <c r="S1950" s="424" t="s">
        <v>2846</v>
      </c>
      <c r="T1950" s="424" t="s">
        <v>3693</v>
      </c>
      <c r="U1950" s="424">
        <v>0</v>
      </c>
      <c r="V1950" s="424" t="s">
        <v>948</v>
      </c>
      <c r="W1950" s="424" t="s">
        <v>3694</v>
      </c>
      <c r="X1950" s="424" t="s">
        <v>2224</v>
      </c>
      <c r="Y1950" s="424" t="s">
        <v>2279</v>
      </c>
      <c r="Z1950" s="424" t="s">
        <v>2872</v>
      </c>
      <c r="AA1950" s="424" t="s">
        <v>3197</v>
      </c>
      <c r="AB1950" s="424" t="s">
        <v>6083</v>
      </c>
      <c r="AC1950" s="424" t="s">
        <v>3910</v>
      </c>
      <c r="AD1950" s="424" t="s">
        <v>6007</v>
      </c>
      <c r="AE1950" s="424" t="s">
        <v>6084</v>
      </c>
      <c r="AF1950" s="424"/>
      <c r="AG1950" s="424"/>
      <c r="AH1950" s="424"/>
    </row>
    <row r="1951" spans="1:34" x14ac:dyDescent="0.25">
      <c r="A1951" s="423" t="s">
        <v>1504</v>
      </c>
      <c r="B1951" s="423" t="s">
        <v>2546</v>
      </c>
      <c r="C1951" s="423" t="s">
        <v>948</v>
      </c>
      <c r="D1951" s="423" t="s">
        <v>6871</v>
      </c>
      <c r="E1951" s="423" t="s">
        <v>203</v>
      </c>
      <c r="F1951" s="423">
        <v>8</v>
      </c>
      <c r="G1951" s="423">
        <v>24</v>
      </c>
      <c r="H1951" s="423">
        <v>260</v>
      </c>
      <c r="J1951" s="423"/>
      <c r="K1951" s="423"/>
      <c r="L1951" s="423"/>
      <c r="M1951" s="423"/>
      <c r="Q1951" s="423"/>
      <c r="R1951" s="424" t="s">
        <v>2547</v>
      </c>
      <c r="S1951" s="424" t="s">
        <v>2846</v>
      </c>
      <c r="T1951" s="424" t="s">
        <v>3693</v>
      </c>
      <c r="U1951" s="424">
        <v>0</v>
      </c>
      <c r="V1951" s="424" t="s">
        <v>948</v>
      </c>
      <c r="W1951" s="424" t="s">
        <v>3694</v>
      </c>
      <c r="X1951" s="424" t="s">
        <v>2224</v>
      </c>
      <c r="Y1951" s="424" t="s">
        <v>2279</v>
      </c>
      <c r="Z1951" s="424" t="s">
        <v>2872</v>
      </c>
      <c r="AA1951" s="424" t="s">
        <v>3197</v>
      </c>
      <c r="AB1951" s="424" t="s">
        <v>6166</v>
      </c>
      <c r="AC1951" s="424" t="s">
        <v>3910</v>
      </c>
      <c r="AD1951" s="424" t="s">
        <v>6007</v>
      </c>
      <c r="AE1951" s="424" t="s">
        <v>6084</v>
      </c>
      <c r="AF1951" s="424"/>
      <c r="AG1951" s="424"/>
      <c r="AH1951" s="424"/>
    </row>
    <row r="1952" spans="1:34" x14ac:dyDescent="0.25">
      <c r="A1952" s="423" t="s">
        <v>1504</v>
      </c>
      <c r="B1952" s="423" t="s">
        <v>2550</v>
      </c>
      <c r="C1952" s="423" t="s">
        <v>948</v>
      </c>
      <c r="D1952" s="423" t="s">
        <v>6871</v>
      </c>
      <c r="E1952" s="423" t="s">
        <v>203</v>
      </c>
      <c r="F1952" s="423">
        <v>8</v>
      </c>
      <c r="G1952" s="423">
        <v>24</v>
      </c>
      <c r="H1952" s="423">
        <v>260</v>
      </c>
      <c r="J1952" s="423"/>
      <c r="K1952" s="423"/>
      <c r="L1952" s="423"/>
      <c r="M1952" s="423"/>
      <c r="Q1952" s="423"/>
      <c r="R1952" s="424" t="s">
        <v>2551</v>
      </c>
      <c r="S1952" s="424" t="s">
        <v>2846</v>
      </c>
      <c r="T1952" s="424" t="s">
        <v>3693</v>
      </c>
      <c r="U1952" s="424">
        <v>0</v>
      </c>
      <c r="V1952" s="424" t="s">
        <v>948</v>
      </c>
      <c r="W1952" s="424" t="s">
        <v>3694</v>
      </c>
      <c r="X1952" s="424" t="s">
        <v>2224</v>
      </c>
      <c r="Y1952" s="424" t="s">
        <v>2279</v>
      </c>
      <c r="Z1952" s="424" t="s">
        <v>2872</v>
      </c>
      <c r="AA1952" s="424" t="s">
        <v>3197</v>
      </c>
      <c r="AB1952" s="424" t="s">
        <v>7477</v>
      </c>
      <c r="AC1952" s="424" t="s">
        <v>3910</v>
      </c>
      <c r="AD1952" s="424" t="s">
        <v>6007</v>
      </c>
      <c r="AE1952" s="424" t="s">
        <v>6016</v>
      </c>
      <c r="AF1952" s="424"/>
      <c r="AG1952" s="424"/>
      <c r="AH1952" s="424"/>
    </row>
    <row r="1953" spans="1:34" x14ac:dyDescent="0.25">
      <c r="A1953" s="423" t="s">
        <v>1504</v>
      </c>
      <c r="B1953" s="423" t="s">
        <v>2544</v>
      </c>
      <c r="C1953" s="423" t="s">
        <v>948</v>
      </c>
      <c r="D1953" s="423" t="s">
        <v>6871</v>
      </c>
      <c r="E1953" s="423" t="s">
        <v>203</v>
      </c>
      <c r="F1953" s="423">
        <v>8</v>
      </c>
      <c r="G1953" s="423">
        <v>24</v>
      </c>
      <c r="H1953" s="423">
        <v>260</v>
      </c>
      <c r="J1953" s="423"/>
      <c r="K1953" s="423"/>
      <c r="L1953" s="423"/>
      <c r="M1953" s="423"/>
      <c r="Q1953" s="423"/>
      <c r="R1953" s="424" t="s">
        <v>2545</v>
      </c>
      <c r="S1953" s="424" t="s">
        <v>2846</v>
      </c>
      <c r="T1953" s="424" t="s">
        <v>3693</v>
      </c>
      <c r="U1953" s="424">
        <v>0</v>
      </c>
      <c r="V1953" s="424" t="s">
        <v>948</v>
      </c>
      <c r="W1953" s="424" t="s">
        <v>3694</v>
      </c>
      <c r="X1953" s="424" t="s">
        <v>2224</v>
      </c>
      <c r="Y1953" s="424" t="s">
        <v>2279</v>
      </c>
      <c r="Z1953" s="424" t="s">
        <v>2872</v>
      </c>
      <c r="AA1953" s="424" t="s">
        <v>3197</v>
      </c>
      <c r="AB1953" s="424" t="s">
        <v>6166</v>
      </c>
      <c r="AC1953" s="424" t="s">
        <v>3910</v>
      </c>
      <c r="AD1953" s="424" t="s">
        <v>6007</v>
      </c>
      <c r="AE1953" s="424" t="s">
        <v>6084</v>
      </c>
      <c r="AF1953" s="424"/>
      <c r="AG1953" s="424"/>
      <c r="AH1953" s="424"/>
    </row>
    <row r="1954" spans="1:34" x14ac:dyDescent="0.25">
      <c r="A1954" s="423" t="s">
        <v>1504</v>
      </c>
      <c r="B1954" s="423" t="s">
        <v>2548</v>
      </c>
      <c r="C1954" s="423" t="s">
        <v>948</v>
      </c>
      <c r="D1954" s="423" t="s">
        <v>6871</v>
      </c>
      <c r="E1954" s="423" t="s">
        <v>203</v>
      </c>
      <c r="F1954" s="423">
        <v>8</v>
      </c>
      <c r="G1954" s="423">
        <v>24</v>
      </c>
      <c r="H1954" s="423">
        <v>260</v>
      </c>
      <c r="J1954" s="423"/>
      <c r="K1954" s="423"/>
      <c r="L1954" s="423"/>
      <c r="M1954" s="423"/>
      <c r="Q1954" s="423"/>
      <c r="R1954" s="424" t="s">
        <v>2549</v>
      </c>
      <c r="S1954" s="424" t="s">
        <v>2846</v>
      </c>
      <c r="T1954" s="424" t="s">
        <v>3693</v>
      </c>
      <c r="U1954" s="424">
        <v>0</v>
      </c>
      <c r="V1954" s="424" t="s">
        <v>948</v>
      </c>
      <c r="W1954" s="424" t="s">
        <v>3694</v>
      </c>
      <c r="X1954" s="424" t="s">
        <v>2224</v>
      </c>
      <c r="Y1954" s="424" t="s">
        <v>2279</v>
      </c>
      <c r="Z1954" s="424" t="s">
        <v>2872</v>
      </c>
      <c r="AA1954" s="424" t="s">
        <v>3197</v>
      </c>
      <c r="AB1954" s="424" t="s">
        <v>7788</v>
      </c>
      <c r="AC1954" s="424" t="s">
        <v>3910</v>
      </c>
      <c r="AD1954" s="424" t="s">
        <v>6007</v>
      </c>
      <c r="AE1954" s="424" t="s">
        <v>6008</v>
      </c>
      <c r="AF1954" s="424"/>
      <c r="AG1954" s="424"/>
      <c r="AH1954" s="424"/>
    </row>
    <row r="1955" spans="1:34" x14ac:dyDescent="0.25">
      <c r="A1955" s="423" t="s">
        <v>1504</v>
      </c>
      <c r="B1955" s="423" t="s">
        <v>7789</v>
      </c>
      <c r="C1955" s="423" t="s">
        <v>948</v>
      </c>
      <c r="D1955" s="423" t="s">
        <v>6871</v>
      </c>
      <c r="E1955" s="423" t="s">
        <v>203</v>
      </c>
      <c r="F1955" s="423">
        <v>8</v>
      </c>
      <c r="G1955" s="423">
        <v>24</v>
      </c>
      <c r="H1955" s="423">
        <v>260</v>
      </c>
      <c r="J1955" s="423"/>
      <c r="K1955" s="423"/>
      <c r="L1955" s="423"/>
      <c r="M1955" s="423"/>
      <c r="Q1955" s="423"/>
      <c r="R1955" s="424" t="s">
        <v>7790</v>
      </c>
      <c r="S1955" s="424" t="s">
        <v>2846</v>
      </c>
      <c r="T1955" s="424" t="s">
        <v>3356</v>
      </c>
      <c r="U1955" s="424">
        <v>0</v>
      </c>
      <c r="V1955" s="424" t="s">
        <v>54</v>
      </c>
      <c r="W1955" s="424" t="s">
        <v>3074</v>
      </c>
      <c r="X1955" s="424" t="s">
        <v>2224</v>
      </c>
      <c r="Y1955" s="424" t="s">
        <v>2279</v>
      </c>
      <c r="Z1955" s="424" t="s">
        <v>2872</v>
      </c>
      <c r="AA1955" s="424" t="s">
        <v>2873</v>
      </c>
      <c r="AB1955" s="424" t="s">
        <v>7791</v>
      </c>
      <c r="AC1955" s="424" t="s">
        <v>1953</v>
      </c>
      <c r="AD1955" s="424" t="s">
        <v>2892</v>
      </c>
      <c r="AE1955" s="424" t="s">
        <v>2968</v>
      </c>
      <c r="AF1955" s="424"/>
      <c r="AG1955" s="424"/>
      <c r="AH1955" s="424"/>
    </row>
    <row r="1956" spans="1:34" x14ac:dyDescent="0.25">
      <c r="A1956" s="423" t="s">
        <v>1504</v>
      </c>
      <c r="B1956" s="423" t="s">
        <v>7792</v>
      </c>
      <c r="C1956" s="423" t="s">
        <v>948</v>
      </c>
      <c r="D1956" s="423" t="s">
        <v>6871</v>
      </c>
      <c r="E1956" s="423" t="s">
        <v>203</v>
      </c>
      <c r="F1956" s="423">
        <v>32</v>
      </c>
      <c r="G1956" s="423">
        <v>48</v>
      </c>
      <c r="H1956" s="423">
        <v>400</v>
      </c>
      <c r="J1956" s="423"/>
      <c r="K1956" s="423"/>
      <c r="L1956" s="423"/>
      <c r="M1956" s="423"/>
      <c r="Q1956" s="423"/>
      <c r="R1956" s="424" t="s">
        <v>7793</v>
      </c>
      <c r="S1956" s="424" t="s">
        <v>2846</v>
      </c>
      <c r="T1956" s="424" t="s">
        <v>3356</v>
      </c>
      <c r="U1956" s="424">
        <v>0</v>
      </c>
      <c r="V1956" s="424" t="s">
        <v>54</v>
      </c>
      <c r="W1956" s="424" t="s">
        <v>3074</v>
      </c>
      <c r="X1956" s="424" t="s">
        <v>2224</v>
      </c>
      <c r="Y1956" s="424" t="s">
        <v>2279</v>
      </c>
      <c r="Z1956" s="424" t="s">
        <v>2872</v>
      </c>
      <c r="AA1956" s="424" t="s">
        <v>2873</v>
      </c>
      <c r="AB1956" s="424" t="s">
        <v>7192</v>
      </c>
      <c r="AC1956" s="424" t="s">
        <v>1953</v>
      </c>
      <c r="AD1956" s="424" t="s">
        <v>2892</v>
      </c>
      <c r="AE1956" s="424" t="s">
        <v>2944</v>
      </c>
      <c r="AF1956" s="424"/>
      <c r="AG1956" s="424"/>
      <c r="AH1956" s="424"/>
    </row>
    <row r="1957" spans="1:34" x14ac:dyDescent="0.25">
      <c r="A1957" s="423" t="s">
        <v>1504</v>
      </c>
      <c r="B1957" s="423" t="s">
        <v>7794</v>
      </c>
      <c r="C1957" s="423" t="s">
        <v>948</v>
      </c>
      <c r="D1957" s="423" t="s">
        <v>6871</v>
      </c>
      <c r="E1957" s="423" t="s">
        <v>203</v>
      </c>
      <c r="F1957" s="423">
        <v>32</v>
      </c>
      <c r="G1957" s="423">
        <v>48</v>
      </c>
      <c r="H1957" s="423">
        <v>400</v>
      </c>
      <c r="J1957" s="423"/>
      <c r="K1957" s="423"/>
      <c r="L1957" s="423"/>
      <c r="M1957" s="423"/>
      <c r="Q1957" s="423"/>
      <c r="R1957" s="424" t="s">
        <v>7795</v>
      </c>
      <c r="S1957" s="424" t="s">
        <v>2846</v>
      </c>
      <c r="T1957" s="424" t="s">
        <v>3356</v>
      </c>
      <c r="U1957" s="424">
        <v>0</v>
      </c>
      <c r="V1957" s="424" t="s">
        <v>54</v>
      </c>
      <c r="W1957" s="424" t="s">
        <v>3074</v>
      </c>
      <c r="X1957" s="424" t="s">
        <v>2224</v>
      </c>
      <c r="Y1957" s="424" t="s">
        <v>2279</v>
      </c>
      <c r="Z1957" s="424" t="s">
        <v>2872</v>
      </c>
      <c r="AA1957" s="424" t="s">
        <v>2873</v>
      </c>
      <c r="AB1957" s="424" t="s">
        <v>7796</v>
      </c>
      <c r="AC1957" s="424" t="s">
        <v>1953</v>
      </c>
      <c r="AD1957" s="424" t="s">
        <v>2892</v>
      </c>
      <c r="AE1957" s="424" t="s">
        <v>3081</v>
      </c>
      <c r="AF1957" s="424"/>
      <c r="AG1957" s="424"/>
      <c r="AH1957" s="424"/>
    </row>
    <row r="1958" spans="1:34" x14ac:dyDescent="0.25">
      <c r="A1958" s="423" t="s">
        <v>1504</v>
      </c>
      <c r="B1958" s="423" t="s">
        <v>2496</v>
      </c>
      <c r="C1958" s="423" t="s">
        <v>948</v>
      </c>
      <c r="D1958" s="423" t="s">
        <v>6871</v>
      </c>
      <c r="E1958" s="423" t="s">
        <v>203</v>
      </c>
      <c r="F1958" s="423">
        <v>32</v>
      </c>
      <c r="G1958" s="423">
        <v>48</v>
      </c>
      <c r="H1958" s="423">
        <v>400</v>
      </c>
      <c r="J1958" s="423"/>
      <c r="K1958" s="423"/>
      <c r="L1958" s="423"/>
      <c r="M1958" s="423"/>
      <c r="Q1958" s="423"/>
      <c r="R1958" s="424" t="s">
        <v>2497</v>
      </c>
      <c r="S1958" s="424" t="s">
        <v>2846</v>
      </c>
      <c r="T1958" s="424" t="s">
        <v>3693</v>
      </c>
      <c r="U1958" s="424">
        <v>0</v>
      </c>
      <c r="V1958" s="424" t="s">
        <v>948</v>
      </c>
      <c r="W1958" s="424" t="s">
        <v>3694</v>
      </c>
      <c r="X1958" s="424">
        <v>0</v>
      </c>
      <c r="Y1958" s="424" t="s">
        <v>2279</v>
      </c>
      <c r="Z1958" s="424" t="s">
        <v>2872</v>
      </c>
      <c r="AA1958" s="424" t="s">
        <v>3197</v>
      </c>
      <c r="AB1958" s="424" t="s">
        <v>5087</v>
      </c>
      <c r="AC1958" s="424" t="s">
        <v>3910</v>
      </c>
      <c r="AD1958" s="424" t="s">
        <v>3911</v>
      </c>
      <c r="AE1958" s="424" t="s">
        <v>3912</v>
      </c>
      <c r="AF1958" s="424"/>
      <c r="AG1958" s="424"/>
      <c r="AH1958" s="424"/>
    </row>
    <row r="1959" spans="1:34" x14ac:dyDescent="0.25">
      <c r="A1959" s="423" t="s">
        <v>1504</v>
      </c>
      <c r="B1959" s="423" t="s">
        <v>2534</v>
      </c>
      <c r="C1959" s="423" t="s">
        <v>948</v>
      </c>
      <c r="D1959" s="423" t="s">
        <v>6871</v>
      </c>
      <c r="E1959" s="423" t="s">
        <v>203</v>
      </c>
      <c r="F1959" s="423">
        <v>24</v>
      </c>
      <c r="G1959" s="423">
        <v>48</v>
      </c>
      <c r="H1959" s="423">
        <v>2</v>
      </c>
      <c r="J1959" s="423"/>
      <c r="K1959" s="423"/>
      <c r="L1959" s="423"/>
      <c r="M1959" s="423"/>
      <c r="Q1959" s="423"/>
      <c r="R1959" s="424" t="s">
        <v>2535</v>
      </c>
      <c r="S1959" s="424" t="s">
        <v>2846</v>
      </c>
      <c r="T1959" s="424" t="s">
        <v>3693</v>
      </c>
      <c r="U1959" s="424">
        <v>0</v>
      </c>
      <c r="V1959" s="424" t="s">
        <v>948</v>
      </c>
      <c r="W1959" s="424" t="s">
        <v>3694</v>
      </c>
      <c r="X1959" s="424">
        <v>0</v>
      </c>
      <c r="Y1959" s="424" t="s">
        <v>2279</v>
      </c>
      <c r="Z1959" s="424" t="s">
        <v>2872</v>
      </c>
      <c r="AA1959" s="424" t="s">
        <v>3197</v>
      </c>
      <c r="AB1959" s="424" t="s">
        <v>5135</v>
      </c>
      <c r="AC1959" s="424" t="s">
        <v>3910</v>
      </c>
      <c r="AD1959" s="424" t="s">
        <v>3911</v>
      </c>
      <c r="AE1959" s="424" t="s">
        <v>3916</v>
      </c>
      <c r="AF1959" s="424"/>
      <c r="AG1959" s="424"/>
      <c r="AH1959" s="424"/>
    </row>
    <row r="1960" spans="1:34" x14ac:dyDescent="0.25">
      <c r="A1960" s="423" t="s">
        <v>1504</v>
      </c>
      <c r="B1960" s="423" t="s">
        <v>2541</v>
      </c>
      <c r="C1960" s="423" t="s">
        <v>948</v>
      </c>
      <c r="D1960" s="423" t="s">
        <v>6871</v>
      </c>
      <c r="E1960" s="423" t="s">
        <v>203</v>
      </c>
      <c r="F1960" s="423">
        <v>24</v>
      </c>
      <c r="G1960" s="423">
        <v>48</v>
      </c>
      <c r="H1960" s="423">
        <v>1.3</v>
      </c>
      <c r="J1960" s="423"/>
      <c r="K1960" s="423"/>
      <c r="L1960" s="423"/>
      <c r="M1960" s="423"/>
      <c r="Q1960" s="423"/>
      <c r="R1960" s="424" t="s">
        <v>2542</v>
      </c>
      <c r="S1960" s="424" t="s">
        <v>2846</v>
      </c>
      <c r="T1960" s="424" t="s">
        <v>3693</v>
      </c>
      <c r="U1960" s="424">
        <v>0</v>
      </c>
      <c r="V1960" s="424" t="s">
        <v>948</v>
      </c>
      <c r="W1960" s="424" t="s">
        <v>3694</v>
      </c>
      <c r="X1960" s="424">
        <v>0</v>
      </c>
      <c r="Y1960" s="424" t="s">
        <v>2279</v>
      </c>
      <c r="Z1960" s="424" t="s">
        <v>2872</v>
      </c>
      <c r="AA1960" s="424" t="s">
        <v>3197</v>
      </c>
      <c r="AB1960" s="424" t="s">
        <v>6006</v>
      </c>
      <c r="AC1960" s="424" t="s">
        <v>3910</v>
      </c>
      <c r="AD1960" s="424" t="s">
        <v>6007</v>
      </c>
      <c r="AE1960" s="424" t="s">
        <v>6008</v>
      </c>
      <c r="AF1960" s="424"/>
      <c r="AG1960" s="424"/>
      <c r="AH1960" s="424"/>
    </row>
    <row r="1961" spans="1:34" x14ac:dyDescent="0.25">
      <c r="A1961" s="423" t="s">
        <v>1504</v>
      </c>
      <c r="B1961" s="423" t="s">
        <v>2511</v>
      </c>
      <c r="C1961" s="423" t="s">
        <v>948</v>
      </c>
      <c r="D1961" s="423" t="s">
        <v>6871</v>
      </c>
      <c r="E1961" s="423" t="s">
        <v>203</v>
      </c>
      <c r="F1961" s="423">
        <v>24</v>
      </c>
      <c r="G1961" s="423">
        <v>48</v>
      </c>
      <c r="H1961" s="423">
        <v>1.3</v>
      </c>
      <c r="J1961" s="423"/>
      <c r="K1961" s="423"/>
      <c r="L1961" s="423"/>
      <c r="M1961" s="423"/>
      <c r="Q1961" s="423"/>
      <c r="R1961" s="424" t="s">
        <v>2512</v>
      </c>
      <c r="S1961" s="424" t="s">
        <v>2846</v>
      </c>
      <c r="T1961" s="424" t="s">
        <v>3693</v>
      </c>
      <c r="U1961" s="424">
        <v>0</v>
      </c>
      <c r="V1961" s="424" t="s">
        <v>948</v>
      </c>
      <c r="W1961" s="424" t="s">
        <v>3694</v>
      </c>
      <c r="X1961" s="424" t="s">
        <v>2224</v>
      </c>
      <c r="Y1961" s="424" t="s">
        <v>2279</v>
      </c>
      <c r="Z1961" s="424" t="s">
        <v>2872</v>
      </c>
      <c r="AA1961" s="424" t="s">
        <v>3197</v>
      </c>
      <c r="AB1961" s="424" t="s">
        <v>7797</v>
      </c>
      <c r="AC1961" s="424" t="s">
        <v>3910</v>
      </c>
      <c r="AD1961" s="424" t="s">
        <v>3911</v>
      </c>
      <c r="AE1961" s="424" t="s">
        <v>3912</v>
      </c>
      <c r="AF1961" s="424"/>
      <c r="AG1961" s="424"/>
      <c r="AH1961" s="424"/>
    </row>
    <row r="1962" spans="1:34" x14ac:dyDescent="0.25">
      <c r="A1962" s="423" t="s">
        <v>1504</v>
      </c>
      <c r="B1962" s="423" t="s">
        <v>2505</v>
      </c>
      <c r="C1962" s="423" t="s">
        <v>948</v>
      </c>
      <c r="D1962" s="423" t="s">
        <v>6871</v>
      </c>
      <c r="E1962" s="423" t="s">
        <v>203</v>
      </c>
      <c r="F1962" s="423">
        <v>8</v>
      </c>
      <c r="G1962" s="423">
        <v>64</v>
      </c>
      <c r="H1962" s="423">
        <v>2</v>
      </c>
      <c r="J1962" s="423"/>
      <c r="K1962" s="423"/>
      <c r="L1962" s="423"/>
      <c r="M1962" s="423"/>
      <c r="Q1962" s="423"/>
      <c r="R1962" s="424" t="s">
        <v>2506</v>
      </c>
      <c r="S1962" s="424" t="s">
        <v>2846</v>
      </c>
      <c r="T1962" s="424" t="s">
        <v>3693</v>
      </c>
      <c r="U1962" s="424">
        <v>0</v>
      </c>
      <c r="V1962" s="424" t="s">
        <v>948</v>
      </c>
      <c r="W1962" s="424" t="s">
        <v>3694</v>
      </c>
      <c r="X1962" s="424" t="s">
        <v>2224</v>
      </c>
      <c r="Y1962" s="424" t="s">
        <v>2279</v>
      </c>
      <c r="Z1962" s="424" t="s">
        <v>2872</v>
      </c>
      <c r="AA1962" s="424" t="s">
        <v>3197</v>
      </c>
      <c r="AB1962" s="424" t="s">
        <v>7482</v>
      </c>
      <c r="AC1962" s="424" t="s">
        <v>3910</v>
      </c>
      <c r="AD1962" s="424" t="s">
        <v>3911</v>
      </c>
      <c r="AE1962" s="424" t="s">
        <v>5103</v>
      </c>
      <c r="AF1962" s="424"/>
      <c r="AG1962" s="424"/>
      <c r="AH1962" s="424"/>
    </row>
    <row r="1963" spans="1:34" x14ac:dyDescent="0.25">
      <c r="A1963" s="423" t="s">
        <v>1504</v>
      </c>
      <c r="B1963" s="423" t="s">
        <v>2489</v>
      </c>
      <c r="C1963" s="423" t="s">
        <v>948</v>
      </c>
      <c r="D1963" s="423" t="s">
        <v>6871</v>
      </c>
      <c r="E1963" s="423" t="s">
        <v>203</v>
      </c>
      <c r="F1963" s="423">
        <v>8</v>
      </c>
      <c r="G1963" s="423">
        <v>64</v>
      </c>
      <c r="H1963" s="423">
        <v>2</v>
      </c>
      <c r="J1963" s="423"/>
      <c r="K1963" s="423"/>
      <c r="L1963" s="423"/>
      <c r="M1963" s="423"/>
      <c r="Q1963" s="423"/>
      <c r="R1963" s="424" t="s">
        <v>2490</v>
      </c>
      <c r="S1963" s="424" t="s">
        <v>2846</v>
      </c>
      <c r="T1963" s="424" t="s">
        <v>3693</v>
      </c>
      <c r="U1963" s="424">
        <v>0</v>
      </c>
      <c r="V1963" s="424" t="s">
        <v>948</v>
      </c>
      <c r="W1963" s="424" t="s">
        <v>3694</v>
      </c>
      <c r="X1963" s="424" t="s">
        <v>2224</v>
      </c>
      <c r="Y1963" s="424" t="s">
        <v>2279</v>
      </c>
      <c r="Z1963" s="424" t="s">
        <v>2872</v>
      </c>
      <c r="AA1963" s="424" t="s">
        <v>3197</v>
      </c>
      <c r="AB1963" s="424" t="s">
        <v>7798</v>
      </c>
      <c r="AC1963" s="424" t="s">
        <v>3910</v>
      </c>
      <c r="AD1963" s="424" t="s">
        <v>3911</v>
      </c>
      <c r="AE1963" s="424" t="s">
        <v>3912</v>
      </c>
      <c r="AF1963" s="424"/>
      <c r="AG1963" s="424"/>
      <c r="AH1963" s="424"/>
    </row>
    <row r="1964" spans="1:34" x14ac:dyDescent="0.25">
      <c r="A1964" s="423" t="s">
        <v>1504</v>
      </c>
      <c r="B1964" s="423" t="s">
        <v>2516</v>
      </c>
      <c r="C1964" s="423" t="s">
        <v>948</v>
      </c>
      <c r="D1964" s="423" t="s">
        <v>6871</v>
      </c>
      <c r="E1964" s="423" t="s">
        <v>203</v>
      </c>
      <c r="F1964" s="423">
        <v>8</v>
      </c>
      <c r="G1964" s="423">
        <v>64</v>
      </c>
      <c r="H1964" s="423">
        <v>2</v>
      </c>
      <c r="J1964" s="423"/>
      <c r="K1964" s="423"/>
      <c r="L1964" s="423"/>
      <c r="M1964" s="423"/>
      <c r="Q1964" s="423"/>
      <c r="R1964" s="424" t="s">
        <v>2517</v>
      </c>
      <c r="S1964" s="424" t="s">
        <v>2846</v>
      </c>
      <c r="T1964" s="424" t="s">
        <v>3693</v>
      </c>
      <c r="U1964" s="424">
        <v>0</v>
      </c>
      <c r="V1964" s="424" t="s">
        <v>948</v>
      </c>
      <c r="W1964" s="424" t="s">
        <v>3694</v>
      </c>
      <c r="X1964" s="424" t="s">
        <v>2224</v>
      </c>
      <c r="Y1964" s="424" t="s">
        <v>2279</v>
      </c>
      <c r="Z1964" s="424" t="s">
        <v>2872</v>
      </c>
      <c r="AA1964" s="424" t="s">
        <v>3197</v>
      </c>
      <c r="AB1964" s="424" t="s">
        <v>7468</v>
      </c>
      <c r="AC1964" s="424" t="s">
        <v>3910</v>
      </c>
      <c r="AD1964" s="424" t="s">
        <v>3911</v>
      </c>
      <c r="AE1964" s="424" t="s">
        <v>5103</v>
      </c>
      <c r="AF1964" s="424"/>
      <c r="AG1964" s="424"/>
      <c r="AH1964" s="424"/>
    </row>
    <row r="1965" spans="1:34" x14ac:dyDescent="0.25">
      <c r="A1965" s="423" t="s">
        <v>1504</v>
      </c>
      <c r="B1965" s="423" t="s">
        <v>2539</v>
      </c>
      <c r="C1965" s="423" t="s">
        <v>948</v>
      </c>
      <c r="D1965" s="423" t="s">
        <v>6871</v>
      </c>
      <c r="E1965" s="423" t="s">
        <v>203</v>
      </c>
      <c r="F1965" s="423">
        <v>8</v>
      </c>
      <c r="G1965" s="423">
        <v>64</v>
      </c>
      <c r="H1965" s="423">
        <v>2</v>
      </c>
      <c r="J1965" s="423"/>
      <c r="K1965" s="423"/>
      <c r="L1965" s="423"/>
      <c r="M1965" s="423"/>
      <c r="Q1965" s="423"/>
      <c r="R1965" s="424" t="s">
        <v>2540</v>
      </c>
      <c r="S1965" s="424" t="s">
        <v>2846</v>
      </c>
      <c r="T1965" s="424" t="s">
        <v>3693</v>
      </c>
      <c r="U1965" s="424">
        <v>0</v>
      </c>
      <c r="V1965" s="424" t="s">
        <v>948</v>
      </c>
      <c r="W1965" s="424" t="s">
        <v>3694</v>
      </c>
      <c r="X1965" s="424" t="s">
        <v>2224</v>
      </c>
      <c r="Y1965" s="424" t="s">
        <v>2279</v>
      </c>
      <c r="Z1965" s="424" t="s">
        <v>2872</v>
      </c>
      <c r="AA1965" s="424" t="s">
        <v>3197</v>
      </c>
      <c r="AB1965" s="424" t="s">
        <v>3919</v>
      </c>
      <c r="AC1965" s="424" t="s">
        <v>3910</v>
      </c>
      <c r="AD1965" s="424" t="s">
        <v>3911</v>
      </c>
      <c r="AE1965" s="424" t="s">
        <v>3916</v>
      </c>
      <c r="AF1965" s="424"/>
      <c r="AG1965" s="424"/>
      <c r="AH1965" s="424"/>
    </row>
    <row r="1966" spans="1:34" x14ac:dyDescent="0.25">
      <c r="A1966" s="423" t="s">
        <v>1504</v>
      </c>
      <c r="B1966" s="423" t="s">
        <v>2537</v>
      </c>
      <c r="C1966" s="423" t="s">
        <v>948</v>
      </c>
      <c r="D1966" s="423" t="s">
        <v>6871</v>
      </c>
      <c r="E1966" s="423" t="s">
        <v>203</v>
      </c>
      <c r="F1966" s="423">
        <v>8</v>
      </c>
      <c r="G1966" s="423">
        <v>64</v>
      </c>
      <c r="H1966" s="423">
        <v>2</v>
      </c>
      <c r="J1966" s="423"/>
      <c r="K1966" s="423"/>
      <c r="L1966" s="423"/>
      <c r="M1966" s="423"/>
      <c r="Q1966" s="423"/>
      <c r="R1966" s="424" t="s">
        <v>2538</v>
      </c>
      <c r="S1966" s="424" t="s">
        <v>2846</v>
      </c>
      <c r="T1966" s="424" t="s">
        <v>3693</v>
      </c>
      <c r="U1966" s="424">
        <v>0</v>
      </c>
      <c r="V1966" s="424" t="s">
        <v>948</v>
      </c>
      <c r="W1966" s="424" t="s">
        <v>3694</v>
      </c>
      <c r="X1966" s="424">
        <v>0</v>
      </c>
      <c r="Y1966" s="424" t="s">
        <v>2279</v>
      </c>
      <c r="Z1966" s="424" t="s">
        <v>2872</v>
      </c>
      <c r="AA1966" s="424" t="s">
        <v>3197</v>
      </c>
      <c r="AB1966" s="424" t="s">
        <v>3919</v>
      </c>
      <c r="AC1966" s="424" t="s">
        <v>3910</v>
      </c>
      <c r="AD1966" s="424" t="s">
        <v>3911</v>
      </c>
      <c r="AE1966" s="424" t="s">
        <v>3916</v>
      </c>
      <c r="AF1966" s="424"/>
      <c r="AG1966" s="424"/>
      <c r="AH1966" s="424"/>
    </row>
    <row r="1967" spans="1:34" x14ac:dyDescent="0.25">
      <c r="A1967" s="423" t="s">
        <v>1504</v>
      </c>
      <c r="B1967" s="423" t="s">
        <v>2485</v>
      </c>
      <c r="C1967" s="423" t="s">
        <v>948</v>
      </c>
      <c r="D1967" s="423" t="s">
        <v>6871</v>
      </c>
      <c r="E1967" s="423" t="s">
        <v>203</v>
      </c>
      <c r="F1967" s="423">
        <v>8</v>
      </c>
      <c r="G1967" s="423">
        <v>64</v>
      </c>
      <c r="H1967" s="423">
        <v>2</v>
      </c>
      <c r="J1967" s="423"/>
      <c r="K1967" s="423"/>
      <c r="L1967" s="423"/>
      <c r="M1967" s="423"/>
      <c r="Q1967" s="423"/>
      <c r="R1967" s="424" t="s">
        <v>2486</v>
      </c>
      <c r="S1967" s="424" t="s">
        <v>2846</v>
      </c>
      <c r="T1967" s="424" t="s">
        <v>3693</v>
      </c>
      <c r="U1967" s="424">
        <v>0</v>
      </c>
      <c r="V1967" s="424" t="s">
        <v>948</v>
      </c>
      <c r="W1967" s="424" t="s">
        <v>3694</v>
      </c>
      <c r="X1967" s="424" t="s">
        <v>2224</v>
      </c>
      <c r="Y1967" s="424" t="s">
        <v>2279</v>
      </c>
      <c r="Z1967" s="424" t="s">
        <v>2872</v>
      </c>
      <c r="AA1967" s="424" t="s">
        <v>3197</v>
      </c>
      <c r="AB1967" s="424" t="s">
        <v>6032</v>
      </c>
      <c r="AC1967" s="424" t="s">
        <v>3910</v>
      </c>
      <c r="AD1967" s="424" t="s">
        <v>3911</v>
      </c>
      <c r="AE1967" s="424" t="s">
        <v>3912</v>
      </c>
      <c r="AF1967" s="424"/>
      <c r="AG1967" s="424"/>
      <c r="AH1967" s="424"/>
    </row>
    <row r="1968" spans="1:34" x14ac:dyDescent="0.25">
      <c r="A1968" s="423" t="s">
        <v>1504</v>
      </c>
      <c r="B1968" s="423" t="s">
        <v>2482</v>
      </c>
      <c r="C1968" s="423" t="s">
        <v>948</v>
      </c>
      <c r="D1968" s="423" t="s">
        <v>6871</v>
      </c>
      <c r="E1968" s="423" t="s">
        <v>203</v>
      </c>
      <c r="F1968" s="423">
        <v>8</v>
      </c>
      <c r="G1968" s="423">
        <v>64</v>
      </c>
      <c r="H1968" s="423">
        <v>1</v>
      </c>
      <c r="J1968" s="423"/>
      <c r="K1968" s="423"/>
      <c r="L1968" s="423"/>
      <c r="M1968" s="423"/>
      <c r="Q1968" s="423"/>
      <c r="R1968" s="424" t="s">
        <v>2483</v>
      </c>
      <c r="S1968" s="424" t="s">
        <v>2846</v>
      </c>
      <c r="T1968" s="424" t="s">
        <v>3693</v>
      </c>
      <c r="U1968" s="424">
        <v>0</v>
      </c>
      <c r="V1968" s="424" t="s">
        <v>948</v>
      </c>
      <c r="W1968" s="424" t="s">
        <v>3694</v>
      </c>
      <c r="X1968" s="424" t="s">
        <v>2224</v>
      </c>
      <c r="Y1968" s="424" t="s">
        <v>2279</v>
      </c>
      <c r="Z1968" s="424" t="s">
        <v>2872</v>
      </c>
      <c r="AA1968" s="424" t="s">
        <v>3197</v>
      </c>
      <c r="AB1968" s="424" t="s">
        <v>7785</v>
      </c>
      <c r="AC1968" s="424" t="s">
        <v>3910</v>
      </c>
      <c r="AD1968" s="424" t="s">
        <v>3911</v>
      </c>
      <c r="AE1968" s="424" t="s">
        <v>3912</v>
      </c>
      <c r="AF1968" s="424"/>
      <c r="AG1968" s="424"/>
      <c r="AH1968" s="424"/>
    </row>
    <row r="1969" spans="1:34" x14ac:dyDescent="0.25">
      <c r="A1969" s="423" t="s">
        <v>1504</v>
      </c>
      <c r="B1969" s="423" t="s">
        <v>2408</v>
      </c>
      <c r="C1969" s="423" t="s">
        <v>948</v>
      </c>
      <c r="D1969" s="423" t="s">
        <v>6871</v>
      </c>
      <c r="E1969" s="423" t="s">
        <v>203</v>
      </c>
      <c r="F1969" s="423">
        <v>8</v>
      </c>
      <c r="G1969" s="423">
        <v>64</v>
      </c>
      <c r="H1969" s="423">
        <v>1</v>
      </c>
      <c r="J1969" s="423"/>
      <c r="K1969" s="423"/>
      <c r="L1969" s="423"/>
      <c r="M1969" s="423"/>
      <c r="Q1969" s="423"/>
      <c r="R1969" s="424" t="s">
        <v>2411</v>
      </c>
      <c r="S1969" s="424" t="s">
        <v>2846</v>
      </c>
      <c r="T1969" s="424" t="s">
        <v>3693</v>
      </c>
      <c r="U1969" s="424">
        <v>0</v>
      </c>
      <c r="V1969" s="424" t="s">
        <v>948</v>
      </c>
      <c r="W1969" s="424" t="s">
        <v>3694</v>
      </c>
      <c r="X1969" s="424" t="s">
        <v>2224</v>
      </c>
      <c r="Y1969" s="424" t="s">
        <v>2279</v>
      </c>
      <c r="Z1969" s="424" t="s">
        <v>2872</v>
      </c>
      <c r="AA1969" s="424" t="s">
        <v>3197</v>
      </c>
      <c r="AB1969" s="424" t="s">
        <v>5112</v>
      </c>
      <c r="AC1969" s="424" t="s">
        <v>3910</v>
      </c>
      <c r="AD1969" s="424" t="s">
        <v>3911</v>
      </c>
      <c r="AE1969" s="424" t="s">
        <v>3912</v>
      </c>
      <c r="AF1969" s="424"/>
      <c r="AG1969" s="424"/>
      <c r="AH1969" s="424"/>
    </row>
    <row r="1970" spans="1:34" x14ac:dyDescent="0.25">
      <c r="A1970" s="423" t="s">
        <v>1504</v>
      </c>
      <c r="B1970" s="423" t="s">
        <v>2479</v>
      </c>
      <c r="C1970" s="423" t="s">
        <v>948</v>
      </c>
      <c r="D1970" s="423" t="s">
        <v>6871</v>
      </c>
      <c r="E1970" s="423" t="s">
        <v>203</v>
      </c>
      <c r="F1970" s="423">
        <v>8</v>
      </c>
      <c r="G1970" s="423">
        <v>64</v>
      </c>
      <c r="H1970" s="423">
        <v>1</v>
      </c>
      <c r="J1970" s="423"/>
      <c r="K1970" s="423"/>
      <c r="L1970" s="423"/>
      <c r="M1970" s="423"/>
      <c r="Q1970" s="423"/>
      <c r="R1970" s="424" t="s">
        <v>2480</v>
      </c>
      <c r="S1970" s="424" t="s">
        <v>2846</v>
      </c>
      <c r="T1970" s="424" t="s">
        <v>3693</v>
      </c>
      <c r="U1970" s="424">
        <v>0</v>
      </c>
      <c r="V1970" s="424" t="s">
        <v>948</v>
      </c>
      <c r="W1970" s="424" t="s">
        <v>3694</v>
      </c>
      <c r="X1970" s="424" t="s">
        <v>2224</v>
      </c>
      <c r="Y1970" s="424" t="s">
        <v>2279</v>
      </c>
      <c r="Z1970" s="424" t="s">
        <v>2872</v>
      </c>
      <c r="AA1970" s="424" t="s">
        <v>3197</v>
      </c>
      <c r="AB1970" s="424" t="s">
        <v>5102</v>
      </c>
      <c r="AC1970" s="424" t="s">
        <v>3910</v>
      </c>
      <c r="AD1970" s="424" t="s">
        <v>3911</v>
      </c>
      <c r="AE1970" s="424" t="s">
        <v>5103</v>
      </c>
      <c r="AF1970" s="424"/>
      <c r="AG1970" s="424"/>
      <c r="AH1970" s="424"/>
    </row>
    <row r="1971" spans="1:34" x14ac:dyDescent="0.25">
      <c r="A1971" s="423" t="s">
        <v>1504</v>
      </c>
      <c r="B1971" s="423" t="s">
        <v>2405</v>
      </c>
      <c r="C1971" s="423" t="s">
        <v>948</v>
      </c>
      <c r="D1971" s="423" t="s">
        <v>6871</v>
      </c>
      <c r="E1971" s="423" t="s">
        <v>203</v>
      </c>
      <c r="F1971" s="423">
        <v>8</v>
      </c>
      <c r="G1971" s="423">
        <v>64</v>
      </c>
      <c r="H1971" s="423">
        <v>1</v>
      </c>
      <c r="J1971" s="423"/>
      <c r="K1971" s="423"/>
      <c r="L1971" s="423"/>
      <c r="M1971" s="423"/>
      <c r="Q1971" s="423"/>
      <c r="R1971" s="424" t="s">
        <v>2406</v>
      </c>
      <c r="S1971" s="424" t="s">
        <v>2846</v>
      </c>
      <c r="T1971" s="424" t="s">
        <v>3693</v>
      </c>
      <c r="U1971" s="424">
        <v>0</v>
      </c>
      <c r="V1971" s="424" t="s">
        <v>948</v>
      </c>
      <c r="W1971" s="424" t="s">
        <v>3694</v>
      </c>
      <c r="X1971" s="424" t="s">
        <v>2224</v>
      </c>
      <c r="Y1971" s="424" t="s">
        <v>2279</v>
      </c>
      <c r="Z1971" s="424" t="s">
        <v>2872</v>
      </c>
      <c r="AA1971" s="424" t="s">
        <v>3197</v>
      </c>
      <c r="AB1971" s="424" t="s">
        <v>5094</v>
      </c>
      <c r="AC1971" s="424" t="s">
        <v>3910</v>
      </c>
      <c r="AD1971" s="424" t="s">
        <v>3911</v>
      </c>
      <c r="AE1971" s="424" t="s">
        <v>3923</v>
      </c>
      <c r="AF1971" s="424"/>
      <c r="AG1971" s="424"/>
      <c r="AH1971" s="424"/>
    </row>
    <row r="1972" spans="1:34" x14ac:dyDescent="0.25">
      <c r="A1972" s="423" t="s">
        <v>1504</v>
      </c>
      <c r="B1972" s="423" t="s">
        <v>2398</v>
      </c>
      <c r="C1972" s="423" t="s">
        <v>948</v>
      </c>
      <c r="D1972" s="423" t="s">
        <v>6871</v>
      </c>
      <c r="E1972" s="423" t="s">
        <v>203</v>
      </c>
      <c r="F1972" s="423">
        <v>8</v>
      </c>
      <c r="G1972" s="423">
        <v>64</v>
      </c>
      <c r="H1972" s="423">
        <v>1</v>
      </c>
      <c r="J1972" s="423"/>
      <c r="K1972" s="423"/>
      <c r="L1972" s="423"/>
      <c r="M1972" s="423"/>
      <c r="Q1972" s="423"/>
      <c r="R1972" s="424" t="s">
        <v>2399</v>
      </c>
      <c r="S1972" s="424" t="s">
        <v>2846</v>
      </c>
      <c r="T1972" s="424" t="s">
        <v>3693</v>
      </c>
      <c r="U1972" s="424">
        <v>0</v>
      </c>
      <c r="V1972" s="424" t="s">
        <v>948</v>
      </c>
      <c r="W1972" s="424" t="s">
        <v>3694</v>
      </c>
      <c r="X1972" s="424" t="s">
        <v>2224</v>
      </c>
      <c r="Y1972" s="424" t="s">
        <v>2279</v>
      </c>
      <c r="Z1972" s="424" t="s">
        <v>2872</v>
      </c>
      <c r="AA1972" s="424" t="s">
        <v>3197</v>
      </c>
      <c r="AB1972" s="424" t="s">
        <v>5135</v>
      </c>
      <c r="AC1972" s="424" t="s">
        <v>3910</v>
      </c>
      <c r="AD1972" s="424" t="s">
        <v>3911</v>
      </c>
      <c r="AE1972" s="424" t="s">
        <v>3916</v>
      </c>
      <c r="AF1972" s="424"/>
      <c r="AG1972" s="424"/>
      <c r="AH1972" s="424"/>
    </row>
    <row r="1973" spans="1:34" x14ac:dyDescent="0.25">
      <c r="A1973" s="423" t="s">
        <v>1504</v>
      </c>
      <c r="B1973" s="423" t="s">
        <v>2528</v>
      </c>
      <c r="C1973" s="423" t="s">
        <v>948</v>
      </c>
      <c r="D1973" s="423" t="s">
        <v>6871</v>
      </c>
      <c r="E1973" s="423" t="s">
        <v>203</v>
      </c>
      <c r="F1973" s="423">
        <v>8</v>
      </c>
      <c r="G1973" s="423">
        <v>64</v>
      </c>
      <c r="H1973" s="423">
        <v>1</v>
      </c>
      <c r="J1973" s="423"/>
      <c r="K1973" s="423"/>
      <c r="L1973" s="423"/>
      <c r="M1973" s="423"/>
      <c r="Q1973" s="423"/>
      <c r="R1973" s="424" t="s">
        <v>2529</v>
      </c>
      <c r="S1973" s="424" t="s">
        <v>2846</v>
      </c>
      <c r="T1973" s="424" t="s">
        <v>3693</v>
      </c>
      <c r="U1973" s="424">
        <v>0</v>
      </c>
      <c r="V1973" s="424" t="s">
        <v>948</v>
      </c>
      <c r="W1973" s="424" t="s">
        <v>3694</v>
      </c>
      <c r="X1973" s="424" t="s">
        <v>2224</v>
      </c>
      <c r="Y1973" s="424" t="s">
        <v>2279</v>
      </c>
      <c r="Z1973" s="424" t="s">
        <v>2872</v>
      </c>
      <c r="AA1973" s="424" t="s">
        <v>3197</v>
      </c>
      <c r="AB1973" s="424" t="s">
        <v>5588</v>
      </c>
      <c r="AC1973" s="424" t="s">
        <v>3910</v>
      </c>
      <c r="AD1973" s="424" t="s">
        <v>3911</v>
      </c>
      <c r="AE1973" s="424" t="s">
        <v>3923</v>
      </c>
      <c r="AF1973" s="424"/>
      <c r="AG1973" s="424"/>
      <c r="AH1973" s="424"/>
    </row>
    <row r="1974" spans="1:34" x14ac:dyDescent="0.25">
      <c r="A1974" s="423" t="s">
        <v>1504</v>
      </c>
      <c r="B1974" s="423" t="s">
        <v>2383</v>
      </c>
      <c r="C1974" s="423" t="s">
        <v>948</v>
      </c>
      <c r="D1974" s="423" t="s">
        <v>6871</v>
      </c>
      <c r="E1974" s="423" t="s">
        <v>203</v>
      </c>
      <c r="F1974" s="423">
        <v>8</v>
      </c>
      <c r="G1974" s="423">
        <v>64</v>
      </c>
      <c r="H1974" s="423">
        <v>1</v>
      </c>
      <c r="J1974" s="423"/>
      <c r="K1974" s="423"/>
      <c r="L1974" s="423"/>
      <c r="M1974" s="423"/>
      <c r="Q1974" s="423"/>
      <c r="R1974" s="424" t="s">
        <v>2386</v>
      </c>
      <c r="S1974" s="424" t="s">
        <v>2846</v>
      </c>
      <c r="T1974" s="424" t="s">
        <v>3693</v>
      </c>
      <c r="U1974" s="424">
        <v>0</v>
      </c>
      <c r="V1974" s="424" t="s">
        <v>948</v>
      </c>
      <c r="W1974" s="424" t="s">
        <v>3694</v>
      </c>
      <c r="X1974" s="424" t="s">
        <v>2224</v>
      </c>
      <c r="Y1974" s="424" t="s">
        <v>2279</v>
      </c>
      <c r="Z1974" s="424" t="s">
        <v>2872</v>
      </c>
      <c r="AA1974" s="424" t="s">
        <v>3197</v>
      </c>
      <c r="AB1974" s="424" t="s">
        <v>5588</v>
      </c>
      <c r="AC1974" s="424" t="s">
        <v>3910</v>
      </c>
      <c r="AD1974" s="424" t="s">
        <v>3911</v>
      </c>
      <c r="AE1974" s="424" t="s">
        <v>3923</v>
      </c>
      <c r="AF1974" s="424"/>
      <c r="AG1974" s="424"/>
      <c r="AH1974" s="424"/>
    </row>
    <row r="1975" spans="1:34" x14ac:dyDescent="0.25">
      <c r="A1975" s="423" t="s">
        <v>1504</v>
      </c>
      <c r="B1975" s="423" t="s">
        <v>2395</v>
      </c>
      <c r="C1975" s="423" t="s">
        <v>948</v>
      </c>
      <c r="D1975" s="423" t="s">
        <v>6871</v>
      </c>
      <c r="E1975" s="423" t="s">
        <v>203</v>
      </c>
      <c r="F1975" s="423">
        <v>8</v>
      </c>
      <c r="G1975" s="423">
        <v>64</v>
      </c>
      <c r="H1975" s="423">
        <v>1</v>
      </c>
      <c r="J1975" s="423"/>
      <c r="K1975" s="423"/>
      <c r="L1975" s="423"/>
      <c r="M1975" s="423"/>
      <c r="Q1975" s="423"/>
      <c r="R1975" s="424" t="s">
        <v>2396</v>
      </c>
      <c r="S1975" s="424" t="s">
        <v>2846</v>
      </c>
      <c r="T1975" s="424" t="s">
        <v>3693</v>
      </c>
      <c r="U1975" s="424">
        <v>0</v>
      </c>
      <c r="V1975" s="424" t="s">
        <v>948</v>
      </c>
      <c r="W1975" s="424" t="s">
        <v>3694</v>
      </c>
      <c r="X1975" s="424" t="s">
        <v>2224</v>
      </c>
      <c r="Y1975" s="424" t="s">
        <v>2279</v>
      </c>
      <c r="Z1975" s="424" t="s">
        <v>2872</v>
      </c>
      <c r="AA1975" s="424" t="s">
        <v>3197</v>
      </c>
      <c r="AB1975" s="424" t="s">
        <v>6177</v>
      </c>
      <c r="AC1975" s="424" t="s">
        <v>3910</v>
      </c>
      <c r="AD1975" s="424" t="s">
        <v>6007</v>
      </c>
      <c r="AE1975" s="424" t="s">
        <v>6084</v>
      </c>
      <c r="AF1975" s="424"/>
      <c r="AG1975" s="424"/>
      <c r="AH1975" s="424"/>
    </row>
    <row r="1976" spans="1:34" x14ac:dyDescent="0.25">
      <c r="A1976" s="423" t="s">
        <v>1504</v>
      </c>
      <c r="B1976" s="423" t="s">
        <v>2473</v>
      </c>
      <c r="C1976" s="423" t="s">
        <v>948</v>
      </c>
      <c r="D1976" s="423" t="s">
        <v>6871</v>
      </c>
      <c r="E1976" s="423" t="s">
        <v>203</v>
      </c>
      <c r="F1976" s="423">
        <v>8</v>
      </c>
      <c r="G1976" s="423">
        <v>64</v>
      </c>
      <c r="H1976" s="423">
        <v>1</v>
      </c>
      <c r="J1976" s="423"/>
      <c r="K1976" s="423"/>
      <c r="L1976" s="423"/>
      <c r="M1976" s="423"/>
      <c r="Q1976" s="423"/>
      <c r="R1976" s="424" t="s">
        <v>2474</v>
      </c>
      <c r="S1976" s="424" t="s">
        <v>2846</v>
      </c>
      <c r="T1976" s="424" t="s">
        <v>3693</v>
      </c>
      <c r="U1976" s="424">
        <v>0</v>
      </c>
      <c r="V1976" s="424" t="s">
        <v>948</v>
      </c>
      <c r="W1976" s="424" t="s">
        <v>3694</v>
      </c>
      <c r="X1976" s="424" t="s">
        <v>2224</v>
      </c>
      <c r="Y1976" s="424" t="s">
        <v>2279</v>
      </c>
      <c r="Z1976" s="424" t="s">
        <v>2872</v>
      </c>
      <c r="AA1976" s="424" t="s">
        <v>3197</v>
      </c>
      <c r="AB1976" s="424" t="s">
        <v>6083</v>
      </c>
      <c r="AC1976" s="424" t="s">
        <v>3910</v>
      </c>
      <c r="AD1976" s="424" t="s">
        <v>6007</v>
      </c>
      <c r="AE1976" s="424" t="s">
        <v>6084</v>
      </c>
      <c r="AF1976" s="424"/>
      <c r="AG1976" s="424"/>
      <c r="AH1976" s="424"/>
    </row>
    <row r="1977" spans="1:34" x14ac:dyDescent="0.25">
      <c r="A1977" s="423" t="s">
        <v>1504</v>
      </c>
      <c r="B1977" s="423" t="s">
        <v>2513</v>
      </c>
      <c r="C1977" s="423" t="s">
        <v>948</v>
      </c>
      <c r="D1977" s="423" t="s">
        <v>6871</v>
      </c>
      <c r="E1977" s="423" t="s">
        <v>203</v>
      </c>
      <c r="F1977" s="423">
        <v>8</v>
      </c>
      <c r="G1977" s="423">
        <v>24</v>
      </c>
      <c r="H1977" s="423">
        <v>300</v>
      </c>
      <c r="J1977" s="423"/>
      <c r="K1977" s="423"/>
      <c r="L1977" s="423"/>
      <c r="M1977" s="423"/>
      <c r="Q1977" s="423"/>
      <c r="R1977" s="424" t="s">
        <v>2514</v>
      </c>
      <c r="S1977" s="424" t="s">
        <v>2846</v>
      </c>
      <c r="T1977" s="424" t="s">
        <v>3693</v>
      </c>
      <c r="U1977" s="424">
        <v>0</v>
      </c>
      <c r="V1977" s="424" t="s">
        <v>948</v>
      </c>
      <c r="W1977" s="424" t="s">
        <v>3694</v>
      </c>
      <c r="X1977" s="424" t="s">
        <v>2224</v>
      </c>
      <c r="Y1977" s="424" t="s">
        <v>2279</v>
      </c>
      <c r="Z1977" s="424" t="s">
        <v>2872</v>
      </c>
      <c r="AA1977" s="424" t="s">
        <v>3197</v>
      </c>
      <c r="AB1977" s="424" t="s">
        <v>7799</v>
      </c>
      <c r="AC1977" s="424" t="s">
        <v>3910</v>
      </c>
      <c r="AD1977" s="424" t="s">
        <v>6007</v>
      </c>
      <c r="AE1977" s="424" t="s">
        <v>6008</v>
      </c>
      <c r="AF1977" s="424"/>
      <c r="AG1977" s="424"/>
      <c r="AH1977" s="424"/>
    </row>
    <row r="1978" spans="1:34" x14ac:dyDescent="0.25">
      <c r="A1978" s="423" t="s">
        <v>1504</v>
      </c>
      <c r="B1978" s="423" t="s">
        <v>2463</v>
      </c>
      <c r="C1978" s="423" t="s">
        <v>948</v>
      </c>
      <c r="D1978" s="423" t="s">
        <v>6871</v>
      </c>
      <c r="E1978" s="423" t="s">
        <v>203</v>
      </c>
      <c r="F1978" s="423">
        <v>8</v>
      </c>
      <c r="G1978" s="423">
        <v>24</v>
      </c>
      <c r="H1978" s="423">
        <v>300</v>
      </c>
      <c r="J1978" s="423"/>
      <c r="K1978" s="423"/>
      <c r="L1978" s="423"/>
      <c r="M1978" s="423"/>
      <c r="Q1978" s="423"/>
      <c r="R1978" s="424" t="s">
        <v>2464</v>
      </c>
      <c r="S1978" s="424" t="s">
        <v>2846</v>
      </c>
      <c r="T1978" s="424" t="s">
        <v>3693</v>
      </c>
      <c r="U1978" s="424">
        <v>0</v>
      </c>
      <c r="V1978" s="424" t="s">
        <v>948</v>
      </c>
      <c r="W1978" s="424" t="s">
        <v>3694</v>
      </c>
      <c r="X1978" s="424" t="s">
        <v>2224</v>
      </c>
      <c r="Y1978" s="424" t="s">
        <v>2279</v>
      </c>
      <c r="Z1978" s="424" t="s">
        <v>2872</v>
      </c>
      <c r="AA1978" s="424" t="s">
        <v>3197</v>
      </c>
      <c r="AB1978" s="424" t="s">
        <v>7799</v>
      </c>
      <c r="AC1978" s="424" t="s">
        <v>3910</v>
      </c>
      <c r="AD1978" s="424" t="s">
        <v>6007</v>
      </c>
      <c r="AE1978" s="424" t="s">
        <v>6008</v>
      </c>
      <c r="AF1978" s="424"/>
      <c r="AG1978" s="424"/>
      <c r="AH1978" s="424"/>
    </row>
    <row r="1979" spans="1:34" x14ac:dyDescent="0.25">
      <c r="A1979" s="423" t="s">
        <v>1504</v>
      </c>
      <c r="B1979" s="423" t="s">
        <v>2417</v>
      </c>
      <c r="C1979" s="423" t="s">
        <v>948</v>
      </c>
      <c r="D1979" s="423" t="s">
        <v>6871</v>
      </c>
      <c r="E1979" s="423" t="s">
        <v>203</v>
      </c>
      <c r="F1979" s="423">
        <v>8</v>
      </c>
      <c r="G1979" s="423">
        <v>24</v>
      </c>
      <c r="H1979" s="423">
        <v>300</v>
      </c>
      <c r="J1979" s="423"/>
      <c r="K1979" s="423"/>
      <c r="L1979" s="423"/>
      <c r="M1979" s="423"/>
      <c r="Q1979" s="423"/>
      <c r="R1979" s="424" t="s">
        <v>2418</v>
      </c>
      <c r="S1979" s="424" t="s">
        <v>2846</v>
      </c>
      <c r="T1979" s="424" t="s">
        <v>3693</v>
      </c>
      <c r="U1979" s="424">
        <v>0</v>
      </c>
      <c r="V1979" s="424" t="s">
        <v>948</v>
      </c>
      <c r="W1979" s="424" t="s">
        <v>3694</v>
      </c>
      <c r="X1979" s="424" t="s">
        <v>2224</v>
      </c>
      <c r="Y1979" s="424" t="s">
        <v>2279</v>
      </c>
      <c r="Z1979" s="424" t="s">
        <v>2872</v>
      </c>
      <c r="AA1979" s="424" t="s">
        <v>3197</v>
      </c>
      <c r="AB1979" s="424" t="s">
        <v>7800</v>
      </c>
      <c r="AC1979" s="424" t="s">
        <v>3910</v>
      </c>
      <c r="AD1979" s="424" t="s">
        <v>6007</v>
      </c>
      <c r="AE1979" s="424" t="s">
        <v>6088</v>
      </c>
      <c r="AF1979" s="424"/>
      <c r="AG1979" s="424"/>
      <c r="AH1979" s="424"/>
    </row>
    <row r="1980" spans="1:34" x14ac:dyDescent="0.25">
      <c r="A1980" s="423" t="s">
        <v>1504</v>
      </c>
      <c r="B1980" s="423" t="s">
        <v>2414</v>
      </c>
      <c r="C1980" s="423" t="s">
        <v>948</v>
      </c>
      <c r="D1980" s="423" t="s">
        <v>6871</v>
      </c>
      <c r="E1980" s="423" t="s">
        <v>203</v>
      </c>
      <c r="F1980" s="423">
        <v>8</v>
      </c>
      <c r="G1980" s="423">
        <v>24</v>
      </c>
      <c r="H1980" s="423">
        <v>300</v>
      </c>
      <c r="J1980" s="423"/>
      <c r="K1980" s="423"/>
      <c r="L1980" s="423"/>
      <c r="M1980" s="423"/>
      <c r="Q1980" s="423"/>
      <c r="R1980" s="424" t="s">
        <v>2415</v>
      </c>
      <c r="S1980" s="424" t="s">
        <v>2846</v>
      </c>
      <c r="T1980" s="424" t="s">
        <v>3693</v>
      </c>
      <c r="U1980" s="424">
        <v>0</v>
      </c>
      <c r="V1980" s="424" t="s">
        <v>948</v>
      </c>
      <c r="W1980" s="424" t="s">
        <v>3694</v>
      </c>
      <c r="X1980" s="424" t="s">
        <v>2224</v>
      </c>
      <c r="Y1980" s="424" t="s">
        <v>2279</v>
      </c>
      <c r="Z1980" s="424" t="s">
        <v>2872</v>
      </c>
      <c r="AA1980" s="424" t="s">
        <v>3197</v>
      </c>
      <c r="AB1980" s="424" t="s">
        <v>6083</v>
      </c>
      <c r="AC1980" s="424" t="s">
        <v>3910</v>
      </c>
      <c r="AD1980" s="424" t="s">
        <v>6007</v>
      </c>
      <c r="AE1980" s="424" t="s">
        <v>6084</v>
      </c>
      <c r="AF1980" s="424"/>
      <c r="AG1980" s="424"/>
      <c r="AH1980" s="424"/>
    </row>
    <row r="1981" spans="1:34" x14ac:dyDescent="0.25">
      <c r="A1981" s="423" t="s">
        <v>1504</v>
      </c>
      <c r="B1981" s="423" t="s">
        <v>2476</v>
      </c>
      <c r="C1981" s="423" t="s">
        <v>948</v>
      </c>
      <c r="D1981" s="423" t="s">
        <v>6871</v>
      </c>
      <c r="E1981" s="423" t="s">
        <v>203</v>
      </c>
      <c r="F1981" s="423">
        <v>8</v>
      </c>
      <c r="G1981" s="423">
        <v>24</v>
      </c>
      <c r="H1981" s="423">
        <v>300</v>
      </c>
      <c r="J1981" s="423"/>
      <c r="K1981" s="423"/>
      <c r="L1981" s="423"/>
      <c r="M1981" s="423"/>
      <c r="Q1981" s="423"/>
      <c r="R1981" s="424" t="s">
        <v>2477</v>
      </c>
      <c r="S1981" s="424" t="s">
        <v>2846</v>
      </c>
      <c r="T1981" s="424" t="s">
        <v>3693</v>
      </c>
      <c r="U1981" s="424">
        <v>0</v>
      </c>
      <c r="V1981" s="424" t="s">
        <v>948</v>
      </c>
      <c r="W1981" s="424" t="s">
        <v>3694</v>
      </c>
      <c r="X1981" s="424" t="s">
        <v>2224</v>
      </c>
      <c r="Y1981" s="424" t="s">
        <v>2279</v>
      </c>
      <c r="Z1981" s="424" t="s">
        <v>2872</v>
      </c>
      <c r="AA1981" s="424" t="s">
        <v>3197</v>
      </c>
      <c r="AB1981" s="424" t="s">
        <v>5115</v>
      </c>
      <c r="AC1981" s="424" t="s">
        <v>3910</v>
      </c>
      <c r="AD1981" s="424" t="s">
        <v>3911</v>
      </c>
      <c r="AE1981" s="424" t="s">
        <v>3916</v>
      </c>
      <c r="AF1981" s="424"/>
      <c r="AG1981" s="424"/>
      <c r="AH1981" s="424"/>
    </row>
    <row r="1982" spans="1:34" x14ac:dyDescent="0.25">
      <c r="A1982" s="423" t="s">
        <v>1504</v>
      </c>
      <c r="B1982" s="423" t="s">
        <v>2448</v>
      </c>
      <c r="C1982" s="423" t="s">
        <v>948</v>
      </c>
      <c r="D1982" s="423" t="s">
        <v>6871</v>
      </c>
      <c r="E1982" s="423" t="s">
        <v>203</v>
      </c>
      <c r="F1982" s="423">
        <v>8</v>
      </c>
      <c r="G1982" s="423">
        <v>24</v>
      </c>
      <c r="H1982" s="423">
        <v>300</v>
      </c>
      <c r="J1982" s="423"/>
      <c r="K1982" s="423"/>
      <c r="L1982" s="423"/>
      <c r="M1982" s="423"/>
      <c r="Q1982" s="423"/>
      <c r="R1982" s="424" t="s">
        <v>2449</v>
      </c>
      <c r="S1982" s="424" t="s">
        <v>2846</v>
      </c>
      <c r="T1982" s="424" t="s">
        <v>3693</v>
      </c>
      <c r="U1982" s="424">
        <v>0</v>
      </c>
      <c r="V1982" s="424" t="s">
        <v>948</v>
      </c>
      <c r="W1982" s="424" t="s">
        <v>3694</v>
      </c>
      <c r="X1982" s="424" t="s">
        <v>2224</v>
      </c>
      <c r="Y1982" s="424" t="s">
        <v>2279</v>
      </c>
      <c r="Z1982" s="424" t="s">
        <v>2872</v>
      </c>
      <c r="AA1982" s="424" t="s">
        <v>3197</v>
      </c>
      <c r="AB1982" s="424" t="s">
        <v>3922</v>
      </c>
      <c r="AC1982" s="424" t="s">
        <v>3910</v>
      </c>
      <c r="AD1982" s="424" t="s">
        <v>3911</v>
      </c>
      <c r="AE1982" s="424" t="s">
        <v>3923</v>
      </c>
      <c r="AF1982" s="424"/>
      <c r="AG1982" s="424"/>
      <c r="AH1982" s="424"/>
    </row>
    <row r="1983" spans="1:34" x14ac:dyDescent="0.25">
      <c r="A1983" s="423" t="s">
        <v>1504</v>
      </c>
      <c r="B1983" s="423" t="s">
        <v>2453</v>
      </c>
      <c r="C1983" s="423" t="s">
        <v>948</v>
      </c>
      <c r="D1983" s="423" t="s">
        <v>6871</v>
      </c>
      <c r="E1983" s="423" t="s">
        <v>203</v>
      </c>
      <c r="F1983" s="423">
        <v>8</v>
      </c>
      <c r="G1983" s="423">
        <v>24</v>
      </c>
      <c r="H1983" s="423">
        <v>300</v>
      </c>
      <c r="J1983" s="423"/>
      <c r="K1983" s="423"/>
      <c r="L1983" s="423"/>
      <c r="M1983" s="423"/>
      <c r="Q1983" s="423"/>
      <c r="R1983" s="424" t="s">
        <v>2454</v>
      </c>
      <c r="S1983" s="424" t="s">
        <v>2846</v>
      </c>
      <c r="T1983" s="424" t="s">
        <v>3693</v>
      </c>
      <c r="U1983" s="424">
        <v>0</v>
      </c>
      <c r="V1983" s="424" t="s">
        <v>948</v>
      </c>
      <c r="W1983" s="424" t="s">
        <v>3694</v>
      </c>
      <c r="X1983" s="424" t="s">
        <v>2224</v>
      </c>
      <c r="Y1983" s="424" t="s">
        <v>2279</v>
      </c>
      <c r="Z1983" s="424" t="s">
        <v>2872</v>
      </c>
      <c r="AA1983" s="424" t="s">
        <v>3197</v>
      </c>
      <c r="AB1983" s="424" t="s">
        <v>5106</v>
      </c>
      <c r="AC1983" s="424" t="s">
        <v>3910</v>
      </c>
      <c r="AD1983" s="424" t="s">
        <v>3911</v>
      </c>
      <c r="AE1983" s="424" t="s">
        <v>3923</v>
      </c>
      <c r="AF1983" s="424"/>
      <c r="AG1983" s="424"/>
      <c r="AH1983" s="424"/>
    </row>
    <row r="1984" spans="1:34" x14ac:dyDescent="0.25">
      <c r="A1984" s="423" t="s">
        <v>1504</v>
      </c>
      <c r="B1984" s="423" t="s">
        <v>2460</v>
      </c>
      <c r="C1984" s="423" t="s">
        <v>948</v>
      </c>
      <c r="D1984" s="423" t="s">
        <v>6871</v>
      </c>
      <c r="E1984" s="423" t="s">
        <v>203</v>
      </c>
      <c r="F1984" s="423">
        <v>8</v>
      </c>
      <c r="G1984" s="423">
        <v>24</v>
      </c>
      <c r="H1984" s="423">
        <v>300</v>
      </c>
      <c r="J1984" s="423"/>
      <c r="K1984" s="423"/>
      <c r="L1984" s="423"/>
      <c r="M1984" s="423"/>
      <c r="Q1984" s="423"/>
      <c r="R1984" s="424" t="s">
        <v>2461</v>
      </c>
      <c r="S1984" s="424" t="s">
        <v>2846</v>
      </c>
      <c r="T1984" s="424" t="s">
        <v>3693</v>
      </c>
      <c r="U1984" s="424">
        <v>0</v>
      </c>
      <c r="V1984" s="424" t="s">
        <v>948</v>
      </c>
      <c r="W1984" s="424" t="s">
        <v>3694</v>
      </c>
      <c r="X1984" s="424" t="s">
        <v>2224</v>
      </c>
      <c r="Y1984" s="424" t="s">
        <v>2279</v>
      </c>
      <c r="Z1984" s="424" t="s">
        <v>2872</v>
      </c>
      <c r="AA1984" s="424" t="s">
        <v>3197</v>
      </c>
      <c r="AB1984" s="424" t="s">
        <v>5094</v>
      </c>
      <c r="AC1984" s="424" t="s">
        <v>3910</v>
      </c>
      <c r="AD1984" s="424" t="s">
        <v>3911</v>
      </c>
      <c r="AE1984" s="424" t="s">
        <v>3923</v>
      </c>
      <c r="AF1984" s="424"/>
      <c r="AG1984" s="424"/>
      <c r="AH1984" s="424"/>
    </row>
    <row r="1985" spans="1:34" x14ac:dyDescent="0.25">
      <c r="A1985" s="423" t="s">
        <v>1504</v>
      </c>
      <c r="B1985" s="423" t="s">
        <v>2471</v>
      </c>
      <c r="C1985" s="423" t="s">
        <v>948</v>
      </c>
      <c r="D1985" s="423" t="s">
        <v>6871</v>
      </c>
      <c r="E1985" s="423" t="s">
        <v>203</v>
      </c>
      <c r="F1985" s="423">
        <v>8</v>
      </c>
      <c r="G1985" s="423">
        <v>24</v>
      </c>
      <c r="H1985" s="423">
        <v>300</v>
      </c>
      <c r="J1985" s="423"/>
      <c r="K1985" s="423"/>
      <c r="L1985" s="423"/>
      <c r="M1985" s="423"/>
      <c r="Q1985" s="423"/>
      <c r="R1985" s="424" t="s">
        <v>2472</v>
      </c>
      <c r="S1985" s="424" t="s">
        <v>2846</v>
      </c>
      <c r="T1985" s="424" t="s">
        <v>3693</v>
      </c>
      <c r="U1985" s="424">
        <v>0</v>
      </c>
      <c r="V1985" s="424" t="s">
        <v>948</v>
      </c>
      <c r="W1985" s="424" t="s">
        <v>3694</v>
      </c>
      <c r="X1985" s="424" t="s">
        <v>2224</v>
      </c>
      <c r="Y1985" s="424" t="s">
        <v>2279</v>
      </c>
      <c r="Z1985" s="424" t="s">
        <v>2872</v>
      </c>
      <c r="AA1985" s="424" t="s">
        <v>3197</v>
      </c>
      <c r="AB1985" s="424" t="s">
        <v>7801</v>
      </c>
      <c r="AC1985" s="424" t="s">
        <v>3910</v>
      </c>
      <c r="AD1985" s="424" t="s">
        <v>3911</v>
      </c>
      <c r="AE1985" s="424" t="s">
        <v>3923</v>
      </c>
      <c r="AF1985" s="424"/>
      <c r="AG1985" s="424"/>
      <c r="AH1985" s="424"/>
    </row>
    <row r="1986" spans="1:34" x14ac:dyDescent="0.25">
      <c r="A1986" s="423" t="s">
        <v>1504</v>
      </c>
      <c r="B1986" s="423" t="s">
        <v>2450</v>
      </c>
      <c r="C1986" s="423" t="s">
        <v>948</v>
      </c>
      <c r="D1986" s="423" t="s">
        <v>6871</v>
      </c>
      <c r="E1986" s="423" t="s">
        <v>203</v>
      </c>
      <c r="F1986" s="423">
        <v>8</v>
      </c>
      <c r="G1986" s="423">
        <v>24</v>
      </c>
      <c r="H1986" s="423">
        <v>300</v>
      </c>
      <c r="J1986" s="423"/>
      <c r="K1986" s="423"/>
      <c r="L1986" s="423"/>
      <c r="M1986" s="423"/>
      <c r="Q1986" s="423"/>
      <c r="R1986" s="424" t="s">
        <v>2451</v>
      </c>
      <c r="S1986" s="424" t="s">
        <v>2846</v>
      </c>
      <c r="T1986" s="424" t="s">
        <v>3693</v>
      </c>
      <c r="U1986" s="424">
        <v>0</v>
      </c>
      <c r="V1986" s="424" t="s">
        <v>948</v>
      </c>
      <c r="W1986" s="424" t="s">
        <v>3694</v>
      </c>
      <c r="X1986" s="424" t="s">
        <v>2224</v>
      </c>
      <c r="Y1986" s="424" t="s">
        <v>2279</v>
      </c>
      <c r="Z1986" s="424" t="s">
        <v>2872</v>
      </c>
      <c r="AA1986" s="424" t="s">
        <v>3197</v>
      </c>
      <c r="AB1986" s="424" t="s">
        <v>7802</v>
      </c>
      <c r="AC1986" s="424" t="s">
        <v>3910</v>
      </c>
      <c r="AD1986" s="424" t="s">
        <v>3911</v>
      </c>
      <c r="AE1986" s="424" t="s">
        <v>3923</v>
      </c>
      <c r="AF1986" s="424"/>
      <c r="AG1986" s="424"/>
      <c r="AH1986" s="424"/>
    </row>
    <row r="1987" spans="1:34" x14ac:dyDescent="0.25">
      <c r="A1987" s="423" t="s">
        <v>1504</v>
      </c>
      <c r="B1987" s="423" t="s">
        <v>2456</v>
      </c>
      <c r="C1987" s="423" t="s">
        <v>948</v>
      </c>
      <c r="D1987" s="423" t="s">
        <v>6871</v>
      </c>
      <c r="E1987" s="423" t="s">
        <v>203</v>
      </c>
      <c r="F1987" s="423">
        <v>8</v>
      </c>
      <c r="G1987" s="423">
        <v>24</v>
      </c>
      <c r="H1987" s="423">
        <v>300</v>
      </c>
      <c r="J1987" s="423"/>
      <c r="K1987" s="423"/>
      <c r="L1987" s="423"/>
      <c r="M1987" s="423"/>
      <c r="Q1987" s="423"/>
      <c r="R1987" s="424" t="s">
        <v>2457</v>
      </c>
      <c r="S1987" s="424" t="s">
        <v>2846</v>
      </c>
      <c r="T1987" s="424" t="s">
        <v>3693</v>
      </c>
      <c r="U1987" s="424">
        <v>0</v>
      </c>
      <c r="V1987" s="424" t="s">
        <v>948</v>
      </c>
      <c r="W1987" s="424" t="s">
        <v>3694</v>
      </c>
      <c r="X1987" s="424" t="s">
        <v>2224</v>
      </c>
      <c r="Y1987" s="424" t="s">
        <v>2279</v>
      </c>
      <c r="Z1987" s="424" t="s">
        <v>2872</v>
      </c>
      <c r="AA1987" s="424" t="s">
        <v>3197</v>
      </c>
      <c r="AB1987" s="424" t="s">
        <v>6066</v>
      </c>
      <c r="AC1987" s="424" t="s">
        <v>3910</v>
      </c>
      <c r="AD1987" s="424" t="s">
        <v>3911</v>
      </c>
      <c r="AE1987" s="424" t="s">
        <v>3923</v>
      </c>
      <c r="AF1987" s="424"/>
      <c r="AG1987" s="424"/>
      <c r="AH1987" s="424"/>
    </row>
    <row r="1988" spans="1:34" x14ac:dyDescent="0.25">
      <c r="A1988" s="423" t="s">
        <v>1504</v>
      </c>
      <c r="B1988" s="423" t="s">
        <v>2439</v>
      </c>
      <c r="C1988" s="423" t="s">
        <v>948</v>
      </c>
      <c r="D1988" s="423" t="s">
        <v>6871</v>
      </c>
      <c r="E1988" s="423" t="s">
        <v>203</v>
      </c>
      <c r="F1988" s="423">
        <v>8</v>
      </c>
      <c r="G1988" s="423">
        <v>24</v>
      </c>
      <c r="H1988" s="423">
        <v>300</v>
      </c>
      <c r="J1988" s="423"/>
      <c r="K1988" s="423"/>
      <c r="L1988" s="423"/>
      <c r="M1988" s="423"/>
      <c r="Q1988" s="423"/>
      <c r="R1988" s="424" t="s">
        <v>2440</v>
      </c>
      <c r="S1988" s="424" t="s">
        <v>2846</v>
      </c>
      <c r="T1988" s="424" t="s">
        <v>3693</v>
      </c>
      <c r="U1988" s="424">
        <v>0</v>
      </c>
      <c r="V1988" s="424" t="s">
        <v>948</v>
      </c>
      <c r="W1988" s="424" t="s">
        <v>3694</v>
      </c>
      <c r="X1988" s="424" t="s">
        <v>2224</v>
      </c>
      <c r="Y1988" s="424" t="s">
        <v>2279</v>
      </c>
      <c r="Z1988" s="424" t="s">
        <v>2872</v>
      </c>
      <c r="AA1988" s="424" t="s">
        <v>3197</v>
      </c>
      <c r="AB1988" s="424" t="s">
        <v>7803</v>
      </c>
      <c r="AC1988" s="424" t="s">
        <v>3910</v>
      </c>
      <c r="AD1988" s="424" t="s">
        <v>3911</v>
      </c>
      <c r="AE1988" s="424" t="s">
        <v>3923</v>
      </c>
      <c r="AF1988" s="424"/>
      <c r="AG1988" s="424"/>
      <c r="AH1988" s="424"/>
    </row>
    <row r="1989" spans="1:34" x14ac:dyDescent="0.25">
      <c r="A1989" s="423" t="s">
        <v>1504</v>
      </c>
      <c r="B1989" s="423" t="s">
        <v>2392</v>
      </c>
      <c r="C1989" s="423" t="s">
        <v>948</v>
      </c>
      <c r="D1989" s="423" t="s">
        <v>6871</v>
      </c>
      <c r="E1989" s="423" t="s">
        <v>203</v>
      </c>
      <c r="F1989" s="423">
        <v>8</v>
      </c>
      <c r="G1989" s="423">
        <v>24</v>
      </c>
      <c r="H1989" s="423">
        <v>300</v>
      </c>
      <c r="J1989" s="423"/>
      <c r="K1989" s="423"/>
      <c r="L1989" s="423"/>
      <c r="M1989" s="423"/>
      <c r="Q1989" s="423"/>
      <c r="R1989" s="424" t="s">
        <v>2393</v>
      </c>
      <c r="S1989" s="424" t="s">
        <v>2846</v>
      </c>
      <c r="T1989" s="424" t="s">
        <v>3693</v>
      </c>
      <c r="U1989" s="424">
        <v>0</v>
      </c>
      <c r="V1989" s="424" t="s">
        <v>948</v>
      </c>
      <c r="W1989" s="424" t="s">
        <v>3694</v>
      </c>
      <c r="X1989" s="424" t="s">
        <v>2224</v>
      </c>
      <c r="Y1989" s="424" t="s">
        <v>2279</v>
      </c>
      <c r="Z1989" s="424" t="s">
        <v>2872</v>
      </c>
      <c r="AA1989" s="424" t="s">
        <v>3197</v>
      </c>
      <c r="AB1989" s="424" t="s">
        <v>7801</v>
      </c>
      <c r="AC1989" s="424" t="s">
        <v>3910</v>
      </c>
      <c r="AD1989" s="424" t="s">
        <v>3911</v>
      </c>
      <c r="AE1989" s="424" t="s">
        <v>3923</v>
      </c>
      <c r="AF1989" s="424"/>
      <c r="AG1989" s="424"/>
      <c r="AH1989" s="424"/>
    </row>
    <row r="1990" spans="1:34" x14ac:dyDescent="0.25">
      <c r="A1990" s="423" t="s">
        <v>1504</v>
      </c>
      <c r="B1990" s="423" t="s">
        <v>2432</v>
      </c>
      <c r="C1990" s="423" t="s">
        <v>948</v>
      </c>
      <c r="D1990" s="423" t="s">
        <v>6871</v>
      </c>
      <c r="E1990" s="423" t="s">
        <v>203</v>
      </c>
      <c r="F1990" s="423">
        <v>8</v>
      </c>
      <c r="G1990" s="423">
        <v>24</v>
      </c>
      <c r="H1990" s="423">
        <v>300</v>
      </c>
      <c r="J1990" s="423"/>
      <c r="K1990" s="423"/>
      <c r="L1990" s="423"/>
      <c r="M1990" s="423"/>
      <c r="Q1990" s="423"/>
      <c r="R1990" s="424" t="s">
        <v>2433</v>
      </c>
      <c r="S1990" s="424" t="s">
        <v>2846</v>
      </c>
      <c r="T1990" s="424" t="s">
        <v>3693</v>
      </c>
      <c r="U1990" s="424">
        <v>0</v>
      </c>
      <c r="V1990" s="424" t="s">
        <v>948</v>
      </c>
      <c r="W1990" s="424" t="s">
        <v>3694</v>
      </c>
      <c r="X1990" s="424" t="s">
        <v>2224</v>
      </c>
      <c r="Y1990" s="424" t="s">
        <v>2279</v>
      </c>
      <c r="Z1990" s="424" t="s">
        <v>2872</v>
      </c>
      <c r="AA1990" s="424" t="s">
        <v>3197</v>
      </c>
      <c r="AB1990" s="424" t="s">
        <v>7801</v>
      </c>
      <c r="AC1990" s="424" t="s">
        <v>3910</v>
      </c>
      <c r="AD1990" s="424" t="s">
        <v>3911</v>
      </c>
      <c r="AE1990" s="424" t="s">
        <v>3923</v>
      </c>
      <c r="AF1990" s="424"/>
      <c r="AG1990" s="424"/>
      <c r="AH1990" s="424"/>
    </row>
    <row r="1991" spans="1:34" x14ac:dyDescent="0.25">
      <c r="A1991" s="423" t="s">
        <v>1504</v>
      </c>
      <c r="B1991" s="423" t="s">
        <v>7804</v>
      </c>
      <c r="C1991" s="423" t="s">
        <v>948</v>
      </c>
      <c r="D1991" s="423" t="s">
        <v>6871</v>
      </c>
      <c r="E1991" s="423" t="s">
        <v>203</v>
      </c>
      <c r="F1991" s="423">
        <v>8</v>
      </c>
      <c r="G1991" s="423">
        <v>24</v>
      </c>
      <c r="H1991" s="423">
        <v>300</v>
      </c>
      <c r="J1991" s="423"/>
      <c r="K1991" s="423"/>
      <c r="L1991" s="423"/>
      <c r="M1991" s="423"/>
      <c r="Q1991" s="423"/>
      <c r="R1991" s="424" t="s">
        <v>7805</v>
      </c>
      <c r="S1991" s="424" t="s">
        <v>2846</v>
      </c>
      <c r="T1991" s="424" t="s">
        <v>3356</v>
      </c>
      <c r="U1991" s="424">
        <v>0</v>
      </c>
      <c r="V1991" s="424" t="s">
        <v>54</v>
      </c>
      <c r="W1991" s="424" t="s">
        <v>3074</v>
      </c>
      <c r="X1991" s="424" t="s">
        <v>2224</v>
      </c>
      <c r="Y1991" s="424" t="s">
        <v>2279</v>
      </c>
      <c r="Z1991" s="424" t="s">
        <v>2872</v>
      </c>
      <c r="AA1991" s="424" t="s">
        <v>2873</v>
      </c>
      <c r="AB1991" s="424" t="s">
        <v>7806</v>
      </c>
      <c r="AC1991" s="424" t="s">
        <v>1953</v>
      </c>
      <c r="AD1991" s="424" t="s">
        <v>2892</v>
      </c>
      <c r="AE1991" s="424" t="s">
        <v>3387</v>
      </c>
      <c r="AF1991" s="424"/>
      <c r="AG1991" s="424"/>
      <c r="AH1991" s="424"/>
    </row>
    <row r="1992" spans="1:34" x14ac:dyDescent="0.25">
      <c r="A1992" s="423" t="s">
        <v>1504</v>
      </c>
      <c r="B1992" s="423" t="s">
        <v>7807</v>
      </c>
      <c r="C1992" s="423" t="s">
        <v>948</v>
      </c>
      <c r="D1992" s="423" t="s">
        <v>6871</v>
      </c>
      <c r="E1992" s="423" t="s">
        <v>203</v>
      </c>
      <c r="F1992" s="423">
        <v>8</v>
      </c>
      <c r="G1992" s="423">
        <v>32</v>
      </c>
      <c r="H1992" s="423">
        <v>400</v>
      </c>
      <c r="J1992" s="423"/>
      <c r="K1992" s="423"/>
      <c r="L1992" s="423"/>
      <c r="M1992" s="423"/>
      <c r="Q1992" s="423"/>
      <c r="R1992" s="424" t="s">
        <v>7808</v>
      </c>
      <c r="S1992" s="424" t="s">
        <v>2846</v>
      </c>
      <c r="T1992" s="424" t="s">
        <v>3356</v>
      </c>
      <c r="U1992" s="424">
        <v>0</v>
      </c>
      <c r="V1992" s="424" t="s">
        <v>54</v>
      </c>
      <c r="W1992" s="424" t="s">
        <v>3074</v>
      </c>
      <c r="X1992" s="424" t="s">
        <v>2224</v>
      </c>
      <c r="Y1992" s="424" t="s">
        <v>2279</v>
      </c>
      <c r="Z1992" s="424" t="s">
        <v>2872</v>
      </c>
      <c r="AA1992" s="424" t="s">
        <v>2873</v>
      </c>
      <c r="AB1992" s="424" t="s">
        <v>2967</v>
      </c>
      <c r="AC1992" s="424" t="s">
        <v>1953</v>
      </c>
      <c r="AD1992" s="424" t="s">
        <v>2892</v>
      </c>
      <c r="AE1992" s="424" t="s">
        <v>2968</v>
      </c>
      <c r="AF1992" s="424"/>
      <c r="AG1992" s="424"/>
      <c r="AH1992" s="424"/>
    </row>
    <row r="1993" spans="1:34" x14ac:dyDescent="0.25">
      <c r="A1993" s="423" t="s">
        <v>1504</v>
      </c>
      <c r="B1993" s="423" t="s">
        <v>7809</v>
      </c>
      <c r="C1993" s="423" t="s">
        <v>948</v>
      </c>
      <c r="D1993" s="423" t="s">
        <v>6871</v>
      </c>
      <c r="E1993" s="423" t="s">
        <v>203</v>
      </c>
      <c r="F1993" s="423">
        <v>8</v>
      </c>
      <c r="G1993" s="423">
        <v>32</v>
      </c>
      <c r="H1993" s="423">
        <v>400</v>
      </c>
      <c r="J1993" s="423"/>
      <c r="K1993" s="423"/>
      <c r="L1993" s="423"/>
      <c r="M1993" s="423"/>
      <c r="Q1993" s="423"/>
      <c r="R1993" s="424" t="s">
        <v>7810</v>
      </c>
      <c r="S1993" s="424" t="s">
        <v>2846</v>
      </c>
      <c r="T1993" s="424" t="s">
        <v>3356</v>
      </c>
      <c r="U1993" s="424">
        <v>0</v>
      </c>
      <c r="V1993" s="424" t="s">
        <v>54</v>
      </c>
      <c r="W1993" s="424" t="s">
        <v>3074</v>
      </c>
      <c r="X1993" s="424" t="s">
        <v>2224</v>
      </c>
      <c r="Y1993" s="424" t="s">
        <v>2279</v>
      </c>
      <c r="Z1993" s="424" t="s">
        <v>2872</v>
      </c>
      <c r="AA1993" s="424" t="s">
        <v>2873</v>
      </c>
      <c r="AB1993" s="424" t="s">
        <v>7202</v>
      </c>
      <c r="AC1993" s="424" t="s">
        <v>1953</v>
      </c>
      <c r="AD1993" s="424" t="s">
        <v>2892</v>
      </c>
      <c r="AE1993" s="424" t="s">
        <v>2926</v>
      </c>
      <c r="AF1993" s="424"/>
      <c r="AG1993" s="424"/>
      <c r="AH1993" s="424"/>
    </row>
    <row r="1994" spans="1:34" x14ac:dyDescent="0.25">
      <c r="A1994" s="423" t="s">
        <v>1504</v>
      </c>
      <c r="B1994" s="423" t="s">
        <v>2442</v>
      </c>
      <c r="C1994" s="423" t="s">
        <v>948</v>
      </c>
      <c r="D1994" s="423" t="s">
        <v>6871</v>
      </c>
      <c r="E1994" s="423" t="s">
        <v>203</v>
      </c>
      <c r="F1994" s="423">
        <v>8</v>
      </c>
      <c r="G1994" s="423">
        <v>32</v>
      </c>
      <c r="H1994" s="423">
        <v>400</v>
      </c>
      <c r="J1994" s="423"/>
      <c r="K1994" s="423"/>
      <c r="L1994" s="423"/>
      <c r="M1994" s="423"/>
      <c r="Q1994" s="423"/>
      <c r="R1994" s="424" t="s">
        <v>2443</v>
      </c>
      <c r="S1994" s="424" t="s">
        <v>2846</v>
      </c>
      <c r="T1994" s="424" t="s">
        <v>3693</v>
      </c>
      <c r="U1994" s="424">
        <v>0</v>
      </c>
      <c r="V1994" s="424" t="s">
        <v>948</v>
      </c>
      <c r="W1994" s="424" t="s">
        <v>3694</v>
      </c>
      <c r="X1994" s="424" t="s">
        <v>2224</v>
      </c>
      <c r="Y1994" s="424" t="s">
        <v>2279</v>
      </c>
      <c r="Z1994" s="424" t="s">
        <v>2872</v>
      </c>
      <c r="AA1994" s="424" t="s">
        <v>3197</v>
      </c>
      <c r="AB1994" s="424" t="s">
        <v>7786</v>
      </c>
      <c r="AC1994" s="424" t="s">
        <v>3910</v>
      </c>
      <c r="AD1994" s="424" t="s">
        <v>3911</v>
      </c>
      <c r="AE1994" s="424" t="s">
        <v>5103</v>
      </c>
      <c r="AF1994" s="424"/>
      <c r="AG1994" s="424"/>
      <c r="AH1994" s="424"/>
    </row>
    <row r="1995" spans="1:34" x14ac:dyDescent="0.25">
      <c r="A1995" s="423" t="s">
        <v>1504</v>
      </c>
      <c r="B1995" s="423" t="s">
        <v>2436</v>
      </c>
      <c r="C1995" s="423" t="s">
        <v>948</v>
      </c>
      <c r="D1995" s="423" t="s">
        <v>6871</v>
      </c>
      <c r="E1995" s="423" t="s">
        <v>203</v>
      </c>
      <c r="F1995" s="423">
        <v>24</v>
      </c>
      <c r="G1995" s="423">
        <v>48</v>
      </c>
      <c r="H1995" s="423">
        <v>600</v>
      </c>
      <c r="J1995" s="423"/>
      <c r="K1995" s="423"/>
      <c r="L1995" s="423"/>
      <c r="M1995" s="423"/>
      <c r="Q1995" s="423"/>
      <c r="R1995" s="424" t="s">
        <v>2437</v>
      </c>
      <c r="S1995" s="424" t="s">
        <v>2846</v>
      </c>
      <c r="T1995" s="424" t="s">
        <v>3693</v>
      </c>
      <c r="U1995" s="424">
        <v>0</v>
      </c>
      <c r="V1995" s="424" t="s">
        <v>948</v>
      </c>
      <c r="W1995" s="424" t="s">
        <v>3694</v>
      </c>
      <c r="X1995" s="424" t="s">
        <v>2224</v>
      </c>
      <c r="Y1995" s="424" t="s">
        <v>2279</v>
      </c>
      <c r="Z1995" s="424" t="s">
        <v>2872</v>
      </c>
      <c r="AA1995" s="424" t="s">
        <v>3197</v>
      </c>
      <c r="AB1995" s="424" t="s">
        <v>7801</v>
      </c>
      <c r="AC1995" s="424" t="s">
        <v>3910</v>
      </c>
      <c r="AD1995" s="424" t="s">
        <v>3911</v>
      </c>
      <c r="AE1995" s="424" t="s">
        <v>3923</v>
      </c>
      <c r="AF1995" s="424"/>
      <c r="AG1995" s="424"/>
      <c r="AH1995" s="424"/>
    </row>
    <row r="1996" spans="1:34" x14ac:dyDescent="0.25">
      <c r="A1996" s="423" t="s">
        <v>1504</v>
      </c>
      <c r="B1996" s="423" t="s">
        <v>2402</v>
      </c>
      <c r="C1996" s="423" t="s">
        <v>948</v>
      </c>
      <c r="D1996" s="423" t="s">
        <v>6871</v>
      </c>
      <c r="E1996" s="423" t="s">
        <v>203</v>
      </c>
      <c r="F1996" s="423">
        <v>24</v>
      </c>
      <c r="G1996" s="423">
        <v>48</v>
      </c>
      <c r="H1996" s="423">
        <v>600</v>
      </c>
      <c r="J1996" s="423"/>
      <c r="K1996" s="423"/>
      <c r="L1996" s="423"/>
      <c r="M1996" s="423"/>
      <c r="Q1996" s="423"/>
      <c r="R1996" s="424" t="s">
        <v>2403</v>
      </c>
      <c r="S1996" s="424" t="s">
        <v>2846</v>
      </c>
      <c r="T1996" s="424" t="s">
        <v>3693</v>
      </c>
      <c r="U1996" s="424">
        <v>0</v>
      </c>
      <c r="V1996" s="424" t="s">
        <v>948</v>
      </c>
      <c r="W1996" s="424" t="s">
        <v>3694</v>
      </c>
      <c r="X1996" s="424" t="s">
        <v>2224</v>
      </c>
      <c r="Y1996" s="424" t="s">
        <v>2279</v>
      </c>
      <c r="Z1996" s="424" t="s">
        <v>2872</v>
      </c>
      <c r="AA1996" s="424" t="s">
        <v>3197</v>
      </c>
      <c r="AB1996" s="424" t="s">
        <v>6110</v>
      </c>
      <c r="AC1996" s="424" t="s">
        <v>3910</v>
      </c>
      <c r="AD1996" s="424" t="s">
        <v>6007</v>
      </c>
      <c r="AE1996" s="424" t="s">
        <v>6088</v>
      </c>
      <c r="AF1996" s="424"/>
      <c r="AG1996" s="424"/>
      <c r="AH1996" s="424"/>
    </row>
    <row r="1997" spans="1:34" x14ac:dyDescent="0.25">
      <c r="A1997" s="423" t="s">
        <v>1504</v>
      </c>
      <c r="B1997" s="423" t="s">
        <v>2424</v>
      </c>
      <c r="C1997" s="423" t="s">
        <v>948</v>
      </c>
      <c r="D1997" s="423" t="s">
        <v>6871</v>
      </c>
      <c r="E1997" s="423" t="s">
        <v>203</v>
      </c>
      <c r="F1997" s="423">
        <v>24</v>
      </c>
      <c r="G1997" s="423">
        <v>48</v>
      </c>
      <c r="H1997" s="423">
        <v>600</v>
      </c>
      <c r="J1997" s="423"/>
      <c r="K1997" s="423"/>
      <c r="L1997" s="423"/>
      <c r="M1997" s="423"/>
      <c r="Q1997" s="423"/>
      <c r="R1997" s="424" t="s">
        <v>2425</v>
      </c>
      <c r="S1997" s="424" t="s">
        <v>2846</v>
      </c>
      <c r="T1997" s="424" t="s">
        <v>3693</v>
      </c>
      <c r="U1997" s="424">
        <v>0</v>
      </c>
      <c r="V1997" s="424" t="s">
        <v>948</v>
      </c>
      <c r="W1997" s="424" t="s">
        <v>3694</v>
      </c>
      <c r="X1997" s="424" t="s">
        <v>2224</v>
      </c>
      <c r="Y1997" s="424" t="s">
        <v>2279</v>
      </c>
      <c r="Z1997" s="424" t="s">
        <v>2872</v>
      </c>
      <c r="AA1997" s="424" t="s">
        <v>3197</v>
      </c>
      <c r="AB1997" s="424" t="s">
        <v>7802</v>
      </c>
      <c r="AC1997" s="424" t="s">
        <v>3910</v>
      </c>
      <c r="AD1997" s="424" t="s">
        <v>3911</v>
      </c>
      <c r="AE1997" s="424" t="s">
        <v>3923</v>
      </c>
      <c r="AF1997" s="424"/>
      <c r="AG1997" s="424"/>
      <c r="AH1997" s="424"/>
    </row>
    <row r="1998" spans="1:34" x14ac:dyDescent="0.25">
      <c r="A1998" s="423" t="s">
        <v>1504</v>
      </c>
      <c r="B1998" s="423" t="s">
        <v>2445</v>
      </c>
      <c r="C1998" s="423" t="s">
        <v>948</v>
      </c>
      <c r="D1998" s="423" t="s">
        <v>6871</v>
      </c>
      <c r="E1998" s="423" t="s">
        <v>203</v>
      </c>
      <c r="F1998" s="423">
        <v>24</v>
      </c>
      <c r="G1998" s="423">
        <v>64</v>
      </c>
      <c r="H1998" s="423">
        <v>2</v>
      </c>
      <c r="J1998" s="423"/>
      <c r="K1998" s="423"/>
      <c r="L1998" s="423"/>
      <c r="M1998" s="423"/>
      <c r="Q1998" s="423"/>
      <c r="R1998" s="424" t="s">
        <v>2446</v>
      </c>
      <c r="S1998" s="424" t="s">
        <v>2846</v>
      </c>
      <c r="T1998" s="424" t="s">
        <v>3693</v>
      </c>
      <c r="U1998" s="424">
        <v>0</v>
      </c>
      <c r="V1998" s="424" t="s">
        <v>948</v>
      </c>
      <c r="W1998" s="424" t="s">
        <v>3694</v>
      </c>
      <c r="X1998" s="424" t="s">
        <v>2224</v>
      </c>
      <c r="Y1998" s="424" t="s">
        <v>2279</v>
      </c>
      <c r="Z1998" s="424" t="s">
        <v>2872</v>
      </c>
      <c r="AA1998" s="424" t="s">
        <v>3197</v>
      </c>
      <c r="AB1998" s="424" t="s">
        <v>6063</v>
      </c>
      <c r="AC1998" s="424" t="s">
        <v>3910</v>
      </c>
      <c r="AD1998" s="424" t="s">
        <v>3911</v>
      </c>
      <c r="AE1998" s="424" t="s">
        <v>3923</v>
      </c>
      <c r="AF1998" s="424"/>
      <c r="AG1998" s="424"/>
      <c r="AH1998" s="424"/>
    </row>
    <row r="1999" spans="1:34" x14ac:dyDescent="0.25">
      <c r="A1999" s="423" t="s">
        <v>1504</v>
      </c>
      <c r="B1999" s="423" t="s">
        <v>2458</v>
      </c>
      <c r="C1999" s="423" t="s">
        <v>948</v>
      </c>
      <c r="D1999" s="423" t="s">
        <v>6871</v>
      </c>
      <c r="E1999" s="423" t="s">
        <v>203</v>
      </c>
      <c r="F1999" s="423">
        <v>24</v>
      </c>
      <c r="G1999" s="423">
        <v>64</v>
      </c>
      <c r="H1999" s="423">
        <v>2</v>
      </c>
      <c r="J1999" s="423"/>
      <c r="K1999" s="423"/>
      <c r="L1999" s="423"/>
      <c r="M1999" s="423"/>
      <c r="Q1999" s="423"/>
      <c r="R1999" s="424" t="s">
        <v>2459</v>
      </c>
      <c r="S1999" s="424" t="s">
        <v>2846</v>
      </c>
      <c r="T1999" s="424" t="s">
        <v>3693</v>
      </c>
      <c r="U1999" s="424">
        <v>0</v>
      </c>
      <c r="V1999" s="424" t="s">
        <v>948</v>
      </c>
      <c r="W1999" s="424" t="s">
        <v>3694</v>
      </c>
      <c r="X1999" s="424" t="s">
        <v>2224</v>
      </c>
      <c r="Y1999" s="424" t="s">
        <v>2279</v>
      </c>
      <c r="Z1999" s="424" t="s">
        <v>2872</v>
      </c>
      <c r="AA1999" s="424" t="s">
        <v>3197</v>
      </c>
      <c r="AB1999" s="424" t="s">
        <v>6006</v>
      </c>
      <c r="AC1999" s="424" t="s">
        <v>3910</v>
      </c>
      <c r="AD1999" s="424" t="s">
        <v>6007</v>
      </c>
      <c r="AE1999" s="424" t="s">
        <v>6008</v>
      </c>
      <c r="AF1999" s="424"/>
      <c r="AG1999" s="424"/>
      <c r="AH1999" s="424"/>
    </row>
    <row r="2000" spans="1:34" x14ac:dyDescent="0.25">
      <c r="A2000" s="423" t="s">
        <v>1504</v>
      </c>
      <c r="B2000" s="423" t="s">
        <v>2469</v>
      </c>
      <c r="C2000" s="423" t="s">
        <v>948</v>
      </c>
      <c r="D2000" s="423" t="s">
        <v>6871</v>
      </c>
      <c r="E2000" s="423" t="s">
        <v>203</v>
      </c>
      <c r="F2000" s="423">
        <v>24</v>
      </c>
      <c r="G2000" s="423">
        <v>64</v>
      </c>
      <c r="H2000" s="423">
        <v>2</v>
      </c>
      <c r="J2000" s="423"/>
      <c r="K2000" s="423"/>
      <c r="L2000" s="423"/>
      <c r="M2000" s="423"/>
      <c r="Q2000" s="423"/>
      <c r="R2000" s="424" t="s">
        <v>2470</v>
      </c>
      <c r="S2000" s="424" t="s">
        <v>2846</v>
      </c>
      <c r="T2000" s="424" t="s">
        <v>3693</v>
      </c>
      <c r="U2000" s="424">
        <v>0</v>
      </c>
      <c r="V2000" s="424" t="s">
        <v>948</v>
      </c>
      <c r="W2000" s="424" t="s">
        <v>3694</v>
      </c>
      <c r="X2000" s="424" t="s">
        <v>2224</v>
      </c>
      <c r="Y2000" s="424" t="s">
        <v>2279</v>
      </c>
      <c r="Z2000" s="424" t="s">
        <v>2872</v>
      </c>
      <c r="AA2000" s="424" t="s">
        <v>3197</v>
      </c>
      <c r="AB2000" s="424" t="s">
        <v>7477</v>
      </c>
      <c r="AC2000" s="424" t="s">
        <v>3910</v>
      </c>
      <c r="AD2000" s="424" t="s">
        <v>6007</v>
      </c>
      <c r="AE2000" s="424" t="s">
        <v>6016</v>
      </c>
      <c r="AF2000" s="424"/>
      <c r="AG2000" s="424"/>
      <c r="AH2000" s="424"/>
    </row>
    <row r="2001" spans="1:34" x14ac:dyDescent="0.25">
      <c r="A2001" s="423" t="s">
        <v>1504</v>
      </c>
      <c r="B2001" s="423" t="s">
        <v>2430</v>
      </c>
      <c r="C2001" s="423" t="s">
        <v>948</v>
      </c>
      <c r="D2001" s="423" t="s">
        <v>6871</v>
      </c>
      <c r="E2001" s="423" t="s">
        <v>203</v>
      </c>
      <c r="F2001" s="423">
        <v>24</v>
      </c>
      <c r="G2001" s="423">
        <v>64</v>
      </c>
      <c r="H2001" s="423">
        <v>2</v>
      </c>
      <c r="J2001" s="423"/>
      <c r="K2001" s="423"/>
      <c r="L2001" s="423"/>
      <c r="M2001" s="423"/>
      <c r="Q2001" s="423"/>
      <c r="R2001" s="424" t="s">
        <v>2431</v>
      </c>
      <c r="S2001" s="424" t="s">
        <v>2846</v>
      </c>
      <c r="T2001" s="424" t="s">
        <v>3693</v>
      </c>
      <c r="U2001" s="424">
        <v>0</v>
      </c>
      <c r="V2001" s="424" t="s">
        <v>948</v>
      </c>
      <c r="W2001" s="424" t="s">
        <v>3694</v>
      </c>
      <c r="X2001" s="424" t="s">
        <v>2224</v>
      </c>
      <c r="Y2001" s="424" t="s">
        <v>2279</v>
      </c>
      <c r="Z2001" s="424" t="s">
        <v>2872</v>
      </c>
      <c r="AA2001" s="424" t="s">
        <v>3197</v>
      </c>
      <c r="AB2001" s="424" t="s">
        <v>6006</v>
      </c>
      <c r="AC2001" s="424" t="s">
        <v>3910</v>
      </c>
      <c r="AD2001" s="424" t="s">
        <v>6007</v>
      </c>
      <c r="AE2001" s="424" t="s">
        <v>6008</v>
      </c>
      <c r="AF2001" s="424"/>
      <c r="AG2001" s="424"/>
      <c r="AH2001" s="424"/>
    </row>
    <row r="2002" spans="1:34" x14ac:dyDescent="0.25">
      <c r="A2002" s="423" t="s">
        <v>1504</v>
      </c>
      <c r="B2002" s="423" t="s">
        <v>2427</v>
      </c>
      <c r="C2002" s="423" t="s">
        <v>948</v>
      </c>
      <c r="D2002" s="423" t="s">
        <v>6871</v>
      </c>
      <c r="E2002" s="423" t="s">
        <v>203</v>
      </c>
      <c r="F2002" s="423">
        <v>24</v>
      </c>
      <c r="G2002" s="423">
        <v>64</v>
      </c>
      <c r="H2002" s="423">
        <v>2</v>
      </c>
      <c r="J2002" s="423"/>
      <c r="K2002" s="423"/>
      <c r="L2002" s="423"/>
      <c r="M2002" s="423"/>
      <c r="Q2002" s="423"/>
      <c r="R2002" s="424" t="s">
        <v>2428</v>
      </c>
      <c r="S2002" s="424" t="s">
        <v>2846</v>
      </c>
      <c r="T2002" s="424" t="s">
        <v>3693</v>
      </c>
      <c r="U2002" s="424">
        <v>0</v>
      </c>
      <c r="V2002" s="424" t="s">
        <v>948</v>
      </c>
      <c r="W2002" s="424" t="s">
        <v>3694</v>
      </c>
      <c r="X2002" s="424" t="s">
        <v>2224</v>
      </c>
      <c r="Y2002" s="424" t="s">
        <v>2279</v>
      </c>
      <c r="Z2002" s="424" t="s">
        <v>2872</v>
      </c>
      <c r="AA2002" s="424" t="s">
        <v>3197</v>
      </c>
      <c r="AB2002" s="424" t="s">
        <v>7788</v>
      </c>
      <c r="AC2002" s="424" t="s">
        <v>3910</v>
      </c>
      <c r="AD2002" s="424" t="s">
        <v>6007</v>
      </c>
      <c r="AE2002" s="424" t="s">
        <v>6008</v>
      </c>
      <c r="AF2002" s="424"/>
      <c r="AG2002" s="424"/>
      <c r="AH2002" s="424"/>
    </row>
    <row r="2003" spans="1:34" x14ac:dyDescent="0.25">
      <c r="A2003" s="423" t="s">
        <v>7811</v>
      </c>
      <c r="B2003" s="423" t="s">
        <v>7135</v>
      </c>
      <c r="C2003" s="423" t="s">
        <v>948</v>
      </c>
      <c r="D2003" s="423" t="s">
        <v>6871</v>
      </c>
      <c r="E2003" s="423" t="s">
        <v>203</v>
      </c>
      <c r="F2003" s="423">
        <v>16</v>
      </c>
      <c r="G2003" s="423">
        <v>16</v>
      </c>
      <c r="H2003" s="423">
        <v>197</v>
      </c>
      <c r="J2003" s="423"/>
      <c r="K2003" s="423"/>
      <c r="L2003" s="423"/>
      <c r="M2003" s="423"/>
      <c r="Q2003" s="423"/>
      <c r="R2003" s="424" t="s">
        <v>7136</v>
      </c>
      <c r="S2003" s="424" t="s">
        <v>2846</v>
      </c>
      <c r="T2003" s="424" t="s">
        <v>5019</v>
      </c>
      <c r="U2003" s="424">
        <v>0</v>
      </c>
      <c r="V2003" s="424" t="s">
        <v>3269</v>
      </c>
      <c r="W2003" s="424" t="s">
        <v>3176</v>
      </c>
      <c r="X2003" s="424" t="s">
        <v>2825</v>
      </c>
      <c r="Y2003" s="424" t="s">
        <v>2279</v>
      </c>
      <c r="Z2003" s="424" t="s">
        <v>3260</v>
      </c>
      <c r="AA2003" s="424" t="s">
        <v>3197</v>
      </c>
      <c r="AB2003" s="424" t="s">
        <v>3836</v>
      </c>
      <c r="AC2003" s="424" t="s">
        <v>1953</v>
      </c>
      <c r="AD2003" s="424" t="s">
        <v>2851</v>
      </c>
      <c r="AE2003" s="424" t="s">
        <v>3293</v>
      </c>
      <c r="AF2003" s="424"/>
      <c r="AG2003" s="424"/>
      <c r="AH2003" s="424"/>
    </row>
    <row r="2004" spans="1:34" x14ac:dyDescent="0.25">
      <c r="A2004" s="423" t="s">
        <v>7811</v>
      </c>
      <c r="B2004" s="423" t="s">
        <v>7137</v>
      </c>
      <c r="C2004" s="423" t="s">
        <v>948</v>
      </c>
      <c r="D2004" s="423" t="s">
        <v>6871</v>
      </c>
      <c r="E2004" s="423" t="s">
        <v>203</v>
      </c>
      <c r="F2004" s="423">
        <v>16</v>
      </c>
      <c r="G2004" s="423">
        <v>16</v>
      </c>
      <c r="H2004" s="423">
        <v>148</v>
      </c>
      <c r="J2004" s="423"/>
      <c r="K2004" s="423"/>
      <c r="L2004" s="423"/>
      <c r="M2004" s="423"/>
      <c r="Q2004" s="423"/>
      <c r="R2004" s="424" t="s">
        <v>7138</v>
      </c>
      <c r="S2004" s="424" t="s">
        <v>2846</v>
      </c>
      <c r="T2004" s="424" t="s">
        <v>3416</v>
      </c>
      <c r="U2004" s="424">
        <v>0</v>
      </c>
      <c r="V2004" s="424" t="s">
        <v>3269</v>
      </c>
      <c r="W2004" s="424" t="s">
        <v>3074</v>
      </c>
      <c r="X2004" s="424" t="s">
        <v>2825</v>
      </c>
      <c r="Y2004" s="424" t="s">
        <v>2279</v>
      </c>
      <c r="Z2004" s="424" t="s">
        <v>3260</v>
      </c>
      <c r="AA2004" s="424" t="s">
        <v>3197</v>
      </c>
      <c r="AB2004" s="424" t="s">
        <v>3826</v>
      </c>
      <c r="AC2004" s="424" t="s">
        <v>1953</v>
      </c>
      <c r="AD2004" s="424" t="s">
        <v>2851</v>
      </c>
      <c r="AE2004" s="424" t="s">
        <v>3550</v>
      </c>
      <c r="AF2004" s="424"/>
      <c r="AG2004" s="424"/>
      <c r="AH2004" s="424"/>
    </row>
    <row r="2005" spans="1:34" x14ac:dyDescent="0.25">
      <c r="A2005" s="423" t="s">
        <v>7811</v>
      </c>
      <c r="B2005" s="423" t="s">
        <v>7139</v>
      </c>
      <c r="C2005" s="423" t="s">
        <v>948</v>
      </c>
      <c r="D2005" s="423" t="s">
        <v>6871</v>
      </c>
      <c r="E2005" s="423" t="s">
        <v>203</v>
      </c>
      <c r="F2005" s="423">
        <v>16</v>
      </c>
      <c r="G2005" s="423">
        <v>16</v>
      </c>
      <c r="H2005" s="423">
        <v>148</v>
      </c>
      <c r="J2005" s="423"/>
      <c r="K2005" s="423"/>
      <c r="L2005" s="423"/>
      <c r="M2005" s="423"/>
      <c r="Q2005" s="423"/>
      <c r="R2005" s="424" t="s">
        <v>7140</v>
      </c>
      <c r="S2005" s="424" t="s">
        <v>2846</v>
      </c>
      <c r="T2005" s="424" t="s">
        <v>3416</v>
      </c>
      <c r="U2005" s="424">
        <v>0</v>
      </c>
      <c r="V2005" s="424" t="s">
        <v>3269</v>
      </c>
      <c r="W2005" s="424" t="s">
        <v>3054</v>
      </c>
      <c r="X2005" s="424" t="s">
        <v>2825</v>
      </c>
      <c r="Y2005" s="424" t="s">
        <v>2279</v>
      </c>
      <c r="Z2005" s="424" t="s">
        <v>2889</v>
      </c>
      <c r="AA2005" s="424" t="s">
        <v>3311</v>
      </c>
      <c r="AB2005" s="424" t="s">
        <v>3594</v>
      </c>
      <c r="AC2005" s="424" t="s">
        <v>1953</v>
      </c>
      <c r="AD2005" s="424" t="s">
        <v>2851</v>
      </c>
      <c r="AE2005" s="424" t="s">
        <v>3595</v>
      </c>
      <c r="AF2005" s="424"/>
      <c r="AG2005" s="424"/>
      <c r="AH2005" s="424"/>
    </row>
    <row r="2006" spans="1:34" x14ac:dyDescent="0.25">
      <c r="A2006" s="423" t="s">
        <v>7811</v>
      </c>
      <c r="B2006" s="423" t="s">
        <v>7141</v>
      </c>
      <c r="C2006" s="423" t="s">
        <v>948</v>
      </c>
      <c r="D2006" s="423" t="s">
        <v>6871</v>
      </c>
      <c r="E2006" s="423" t="s">
        <v>203</v>
      </c>
      <c r="F2006" s="423">
        <v>16</v>
      </c>
      <c r="G2006" s="423">
        <v>32</v>
      </c>
      <c r="H2006" s="423">
        <v>197</v>
      </c>
      <c r="J2006" s="423"/>
      <c r="K2006" s="423"/>
      <c r="L2006" s="423"/>
      <c r="M2006" s="423"/>
      <c r="Q2006" s="423"/>
      <c r="R2006" s="424" t="s">
        <v>7141</v>
      </c>
      <c r="S2006" s="424" t="s">
        <v>2846</v>
      </c>
      <c r="T2006" s="424" t="s">
        <v>5019</v>
      </c>
      <c r="U2006" s="424">
        <v>0</v>
      </c>
      <c r="V2006" s="424" t="s">
        <v>3269</v>
      </c>
      <c r="W2006" s="424" t="s">
        <v>2871</v>
      </c>
      <c r="X2006" s="424" t="s">
        <v>2825</v>
      </c>
      <c r="Y2006" s="424" t="s">
        <v>2279</v>
      </c>
      <c r="Z2006" s="424" t="s">
        <v>2848</v>
      </c>
      <c r="AA2006" s="424" t="s">
        <v>2849</v>
      </c>
      <c r="AB2006" s="424" t="s">
        <v>6213</v>
      </c>
      <c r="AC2006" s="424" t="s">
        <v>1953</v>
      </c>
      <c r="AD2006" s="424" t="s">
        <v>2851</v>
      </c>
      <c r="AE2006" s="424" t="s">
        <v>3545</v>
      </c>
      <c r="AF2006" s="424"/>
      <c r="AG2006" s="424"/>
      <c r="AH2006" s="424"/>
    </row>
    <row r="2007" spans="1:34" x14ac:dyDescent="0.25">
      <c r="A2007" s="423" t="s">
        <v>7811</v>
      </c>
      <c r="B2007" s="423" t="s">
        <v>7142</v>
      </c>
      <c r="C2007" s="423" t="s">
        <v>948</v>
      </c>
      <c r="D2007" s="423" t="s">
        <v>6871</v>
      </c>
      <c r="E2007" s="423" t="s">
        <v>203</v>
      </c>
      <c r="F2007" s="423">
        <v>16</v>
      </c>
      <c r="G2007" s="423">
        <v>32</v>
      </c>
      <c r="H2007" s="423">
        <v>197</v>
      </c>
      <c r="J2007" s="423"/>
      <c r="K2007" s="423"/>
      <c r="L2007" s="423"/>
      <c r="M2007" s="423"/>
      <c r="Q2007" s="423"/>
      <c r="R2007" s="424" t="s">
        <v>7142</v>
      </c>
      <c r="S2007" s="424" t="s">
        <v>2846</v>
      </c>
      <c r="T2007" s="424" t="s">
        <v>5019</v>
      </c>
      <c r="U2007" s="424">
        <v>0</v>
      </c>
      <c r="V2007" s="424" t="s">
        <v>2824</v>
      </c>
      <c r="W2007" s="424" t="s">
        <v>3054</v>
      </c>
      <c r="X2007" s="424" t="s">
        <v>2825</v>
      </c>
      <c r="Y2007" s="424" t="s">
        <v>2279</v>
      </c>
      <c r="Z2007" s="424" t="s">
        <v>2889</v>
      </c>
      <c r="AA2007" s="424" t="s">
        <v>3311</v>
      </c>
      <c r="AB2007" s="424" t="s">
        <v>3594</v>
      </c>
      <c r="AC2007" s="424" t="s">
        <v>1953</v>
      </c>
      <c r="AD2007" s="424" t="s">
        <v>2851</v>
      </c>
      <c r="AE2007" s="424" t="s">
        <v>3595</v>
      </c>
      <c r="AF2007" s="424"/>
      <c r="AG2007" s="424"/>
      <c r="AH2007" s="424"/>
    </row>
    <row r="2008" spans="1:34" x14ac:dyDescent="0.25">
      <c r="A2008" s="423" t="s">
        <v>7811</v>
      </c>
      <c r="B2008" s="423" t="s">
        <v>7143</v>
      </c>
      <c r="C2008" s="423" t="s">
        <v>948</v>
      </c>
      <c r="D2008" s="423" t="s">
        <v>6871</v>
      </c>
      <c r="E2008" s="423" t="s">
        <v>203</v>
      </c>
      <c r="F2008" s="423">
        <v>16</v>
      </c>
      <c r="G2008" s="423">
        <v>32</v>
      </c>
      <c r="H2008" s="423">
        <v>197</v>
      </c>
      <c r="J2008" s="423"/>
      <c r="K2008" s="423"/>
      <c r="L2008" s="423"/>
      <c r="M2008" s="423"/>
      <c r="Q2008" s="423"/>
      <c r="R2008" s="424" t="s">
        <v>7143</v>
      </c>
      <c r="S2008" s="424" t="s">
        <v>2846</v>
      </c>
      <c r="T2008" s="424" t="s">
        <v>5019</v>
      </c>
      <c r="U2008" s="424">
        <v>0</v>
      </c>
      <c r="V2008" s="424" t="s">
        <v>2824</v>
      </c>
      <c r="W2008" s="424" t="s">
        <v>3176</v>
      </c>
      <c r="X2008" s="424" t="s">
        <v>2825</v>
      </c>
      <c r="Y2008" s="424" t="s">
        <v>2279</v>
      </c>
      <c r="Z2008" s="424" t="s">
        <v>3260</v>
      </c>
      <c r="AA2008" s="424" t="s">
        <v>3197</v>
      </c>
      <c r="AB2008" s="424" t="s">
        <v>3320</v>
      </c>
      <c r="AC2008" s="424" t="s">
        <v>1953</v>
      </c>
      <c r="AD2008" s="424" t="s">
        <v>2851</v>
      </c>
      <c r="AE2008" s="424" t="s">
        <v>3293</v>
      </c>
      <c r="AF2008" s="424"/>
      <c r="AG2008" s="424"/>
      <c r="AH2008" s="424"/>
    </row>
    <row r="2009" spans="1:34" x14ac:dyDescent="0.25">
      <c r="A2009" s="423" t="s">
        <v>7811</v>
      </c>
      <c r="B2009" s="423" t="s">
        <v>7144</v>
      </c>
      <c r="C2009" s="423" t="s">
        <v>948</v>
      </c>
      <c r="D2009" s="423" t="s">
        <v>6871</v>
      </c>
      <c r="E2009" s="423" t="s">
        <v>203</v>
      </c>
      <c r="F2009" s="423">
        <v>16</v>
      </c>
      <c r="G2009" s="423">
        <v>16</v>
      </c>
      <c r="H2009" s="423">
        <v>195</v>
      </c>
      <c r="J2009" s="423"/>
      <c r="K2009" s="423"/>
      <c r="L2009" s="423"/>
      <c r="M2009" s="423"/>
      <c r="Q2009" s="423"/>
      <c r="R2009" s="424" t="s">
        <v>7145</v>
      </c>
      <c r="S2009" s="424" t="s">
        <v>2820</v>
      </c>
      <c r="T2009" s="424" t="s">
        <v>3268</v>
      </c>
      <c r="U2009" s="424">
        <v>0</v>
      </c>
      <c r="V2009" s="424" t="s">
        <v>2973</v>
      </c>
      <c r="W2009" s="424" t="s">
        <v>2092</v>
      </c>
      <c r="X2009" s="424" t="s">
        <v>2825</v>
      </c>
      <c r="Y2009" s="424" t="s">
        <v>2279</v>
      </c>
      <c r="Z2009" s="424" t="s">
        <v>3260</v>
      </c>
      <c r="AA2009" s="424" t="s">
        <v>3261</v>
      </c>
      <c r="AB2009" s="424" t="s">
        <v>7146</v>
      </c>
      <c r="AC2009" s="424" t="s">
        <v>3263</v>
      </c>
      <c r="AD2009" s="424" t="s">
        <v>3985</v>
      </c>
      <c r="AE2009" s="424" t="s">
        <v>7147</v>
      </c>
      <c r="AF2009" s="424"/>
      <c r="AG2009" s="424"/>
      <c r="AH2009" s="424"/>
    </row>
    <row r="2010" spans="1:34" x14ac:dyDescent="0.25">
      <c r="A2010" s="423" t="s">
        <v>7811</v>
      </c>
      <c r="B2010" s="423" t="s">
        <v>7148</v>
      </c>
      <c r="C2010" s="423" t="s">
        <v>948</v>
      </c>
      <c r="D2010" s="423" t="s">
        <v>6871</v>
      </c>
      <c r="E2010" s="423" t="s">
        <v>203</v>
      </c>
      <c r="F2010" s="423">
        <v>16</v>
      </c>
      <c r="G2010" s="423">
        <v>16</v>
      </c>
      <c r="H2010" s="423">
        <v>255</v>
      </c>
      <c r="J2010" s="423"/>
      <c r="K2010" s="423"/>
      <c r="L2010" s="423"/>
      <c r="M2010" s="423"/>
      <c r="Q2010" s="423"/>
      <c r="R2010" s="424" t="s">
        <v>7149</v>
      </c>
      <c r="S2010" s="424" t="s">
        <v>2820</v>
      </c>
      <c r="T2010" s="424" t="s">
        <v>7150</v>
      </c>
      <c r="U2010" s="424">
        <v>0</v>
      </c>
      <c r="V2010" s="424" t="s">
        <v>2973</v>
      </c>
      <c r="W2010" s="424" t="s">
        <v>2092</v>
      </c>
      <c r="X2010" s="424" t="s">
        <v>2825</v>
      </c>
      <c r="Y2010" s="424" t="s">
        <v>2279</v>
      </c>
      <c r="Z2010" s="424" t="s">
        <v>3260</v>
      </c>
      <c r="AA2010" s="424" t="s">
        <v>3261</v>
      </c>
      <c r="AB2010" s="424" t="s">
        <v>7151</v>
      </c>
      <c r="AC2010" s="424" t="s">
        <v>3263</v>
      </c>
      <c r="AD2010" s="424" t="s">
        <v>3985</v>
      </c>
      <c r="AE2010" s="424" t="s">
        <v>7152</v>
      </c>
      <c r="AF2010" s="424"/>
      <c r="AG2010" s="424"/>
      <c r="AH2010" s="424"/>
    </row>
    <row r="2011" spans="1:34" x14ac:dyDescent="0.25">
      <c r="A2011" s="423" t="s">
        <v>7811</v>
      </c>
      <c r="B2011" s="423" t="s">
        <v>7153</v>
      </c>
      <c r="C2011" s="423" t="s">
        <v>948</v>
      </c>
      <c r="D2011" s="423" t="s">
        <v>6871</v>
      </c>
      <c r="E2011" s="423" t="s">
        <v>203</v>
      </c>
      <c r="F2011" s="423">
        <v>16</v>
      </c>
      <c r="G2011" s="423">
        <v>16</v>
      </c>
      <c r="H2011" s="423">
        <v>247</v>
      </c>
      <c r="J2011" s="423"/>
      <c r="K2011" s="423"/>
      <c r="L2011" s="423"/>
      <c r="M2011" s="423"/>
      <c r="Q2011" s="423"/>
      <c r="R2011" s="424" t="s">
        <v>7154</v>
      </c>
      <c r="S2011" s="424" t="s">
        <v>2820</v>
      </c>
      <c r="T2011" s="424" t="s">
        <v>7150</v>
      </c>
      <c r="U2011" s="424">
        <v>0</v>
      </c>
      <c r="V2011" s="424" t="s">
        <v>2973</v>
      </c>
      <c r="W2011" s="424" t="s">
        <v>2092</v>
      </c>
      <c r="X2011" s="424" t="s">
        <v>2825</v>
      </c>
      <c r="Y2011" s="424" t="s">
        <v>2279</v>
      </c>
      <c r="Z2011" s="424" t="s">
        <v>3260</v>
      </c>
      <c r="AA2011" s="424" t="s">
        <v>3261</v>
      </c>
      <c r="AB2011" s="424" t="s">
        <v>7155</v>
      </c>
      <c r="AC2011" s="424" t="s">
        <v>3263</v>
      </c>
      <c r="AD2011" s="424" t="s">
        <v>3985</v>
      </c>
      <c r="AE2011" s="424" t="s">
        <v>7152</v>
      </c>
      <c r="AF2011" s="424"/>
      <c r="AG2011" s="424"/>
      <c r="AH2011" s="424"/>
    </row>
    <row r="2012" spans="1:34" x14ac:dyDescent="0.25">
      <c r="A2012" s="423" t="s">
        <v>7811</v>
      </c>
      <c r="B2012" s="423" t="s">
        <v>7156</v>
      </c>
      <c r="C2012" s="423" t="s">
        <v>948</v>
      </c>
      <c r="D2012" s="423" t="s">
        <v>6871</v>
      </c>
      <c r="E2012" s="423" t="s">
        <v>203</v>
      </c>
      <c r="F2012" s="423">
        <v>16</v>
      </c>
      <c r="G2012" s="423">
        <v>32</v>
      </c>
      <c r="H2012" s="423">
        <v>1258</v>
      </c>
      <c r="J2012" s="423"/>
      <c r="K2012" s="423"/>
      <c r="L2012" s="423"/>
      <c r="M2012" s="423"/>
      <c r="Q2012" s="423"/>
      <c r="R2012" s="424" t="s">
        <v>7157</v>
      </c>
      <c r="S2012" s="424" t="s">
        <v>2846</v>
      </c>
      <c r="T2012" s="424" t="s">
        <v>3268</v>
      </c>
      <c r="U2012" s="424">
        <v>0</v>
      </c>
      <c r="V2012" s="424" t="s">
        <v>6894</v>
      </c>
      <c r="W2012" s="424" t="s">
        <v>3055</v>
      </c>
      <c r="X2012" s="424" t="s">
        <v>3298</v>
      </c>
      <c r="Y2012" s="424" t="s">
        <v>2279</v>
      </c>
      <c r="Z2012" s="424" t="s">
        <v>2848</v>
      </c>
      <c r="AA2012" s="424" t="s">
        <v>2855</v>
      </c>
      <c r="AB2012" s="424" t="s">
        <v>7158</v>
      </c>
      <c r="AC2012" s="424" t="s">
        <v>1953</v>
      </c>
      <c r="AD2012" s="424" t="s">
        <v>2851</v>
      </c>
      <c r="AE2012" s="424" t="s">
        <v>2857</v>
      </c>
      <c r="AF2012" s="424"/>
      <c r="AG2012" s="424"/>
      <c r="AH2012" s="424"/>
    </row>
    <row r="2013" spans="1:34" x14ac:dyDescent="0.25">
      <c r="A2013" s="423" t="s">
        <v>7811</v>
      </c>
      <c r="B2013" s="423" t="s">
        <v>7159</v>
      </c>
      <c r="C2013" s="423" t="s">
        <v>948</v>
      </c>
      <c r="D2013" s="423" t="s">
        <v>6871</v>
      </c>
      <c r="E2013" s="423" t="s">
        <v>203</v>
      </c>
      <c r="F2013" s="423">
        <v>16</v>
      </c>
      <c r="G2013" s="423">
        <v>32</v>
      </c>
      <c r="H2013" s="423">
        <v>1258</v>
      </c>
      <c r="J2013" s="423"/>
      <c r="K2013" s="423"/>
      <c r="L2013" s="423"/>
      <c r="M2013" s="423"/>
      <c r="Q2013" s="423"/>
      <c r="R2013" s="424" t="s">
        <v>7160</v>
      </c>
      <c r="S2013" s="424" t="s">
        <v>2846</v>
      </c>
      <c r="T2013" s="424" t="s">
        <v>3268</v>
      </c>
      <c r="U2013" s="424">
        <v>0</v>
      </c>
      <c r="V2013" s="424" t="s">
        <v>2973</v>
      </c>
      <c r="W2013" s="424" t="s">
        <v>3074</v>
      </c>
      <c r="X2013" s="424" t="s">
        <v>3298</v>
      </c>
      <c r="Y2013" s="424" t="s">
        <v>2279</v>
      </c>
      <c r="Z2013" s="424" t="s">
        <v>2848</v>
      </c>
      <c r="AA2013" s="424" t="s">
        <v>2849</v>
      </c>
      <c r="AB2013" s="424" t="s">
        <v>7161</v>
      </c>
      <c r="AC2013" s="424" t="s">
        <v>1953</v>
      </c>
      <c r="AD2013" s="424" t="s">
        <v>2851</v>
      </c>
      <c r="AE2013" s="424" t="s">
        <v>2861</v>
      </c>
      <c r="AF2013" s="424"/>
      <c r="AG2013" s="424"/>
      <c r="AH2013" s="424"/>
    </row>
    <row r="2014" spans="1:34" x14ac:dyDescent="0.25">
      <c r="A2014" s="423" t="s">
        <v>7812</v>
      </c>
      <c r="B2014" s="423" t="s">
        <v>7813</v>
      </c>
      <c r="C2014" s="423" t="s">
        <v>6852</v>
      </c>
      <c r="D2014" s="423" t="s">
        <v>6850</v>
      </c>
      <c r="E2014" s="423" t="s">
        <v>242</v>
      </c>
      <c r="F2014" s="423">
        <v>8</v>
      </c>
      <c r="G2014" s="423">
        <v>8</v>
      </c>
      <c r="H2014" s="423">
        <v>300</v>
      </c>
      <c r="J2014" s="423"/>
      <c r="K2014" s="423"/>
      <c r="L2014" s="423"/>
      <c r="M2014" s="423"/>
      <c r="Q2014" s="423"/>
      <c r="R2014" s="424" t="s">
        <v>7814</v>
      </c>
      <c r="S2014" s="424" t="s">
        <v>2846</v>
      </c>
      <c r="T2014" s="424" t="s">
        <v>3356</v>
      </c>
      <c r="U2014" s="424">
        <v>0</v>
      </c>
      <c r="V2014" s="424" t="s">
        <v>7815</v>
      </c>
      <c r="W2014" s="424" t="s">
        <v>3074</v>
      </c>
      <c r="X2014" s="424" t="s">
        <v>2224</v>
      </c>
      <c r="Y2014" s="424" t="s">
        <v>2279</v>
      </c>
      <c r="Z2014" s="424" t="s">
        <v>2848</v>
      </c>
      <c r="AA2014" s="424" t="s">
        <v>2855</v>
      </c>
      <c r="AB2014" s="424" t="s">
        <v>7816</v>
      </c>
      <c r="AC2014" s="424" t="s">
        <v>1953</v>
      </c>
      <c r="AD2014" s="424" t="s">
        <v>2851</v>
      </c>
      <c r="AE2014" s="424" t="s">
        <v>3287</v>
      </c>
      <c r="AF2014" s="424"/>
      <c r="AG2014" s="424"/>
      <c r="AH2014" s="424"/>
    </row>
    <row r="2015" spans="1:34" x14ac:dyDescent="0.25">
      <c r="A2015" s="423" t="s">
        <v>7812</v>
      </c>
      <c r="B2015" s="423" t="s">
        <v>7817</v>
      </c>
      <c r="C2015" s="423" t="s">
        <v>6852</v>
      </c>
      <c r="D2015" s="423" t="s">
        <v>6850</v>
      </c>
      <c r="E2015" s="423" t="s">
        <v>242</v>
      </c>
      <c r="F2015" s="423">
        <v>8</v>
      </c>
      <c r="G2015" s="423">
        <v>8</v>
      </c>
      <c r="H2015" s="423">
        <v>300</v>
      </c>
      <c r="J2015" s="423"/>
      <c r="K2015" s="423"/>
      <c r="L2015" s="423"/>
      <c r="M2015" s="423"/>
      <c r="Q2015" s="423"/>
      <c r="R2015" s="424" t="s">
        <v>7818</v>
      </c>
      <c r="S2015" s="424" t="s">
        <v>2846</v>
      </c>
      <c r="T2015" s="424" t="s">
        <v>3356</v>
      </c>
      <c r="U2015" s="424">
        <v>0</v>
      </c>
      <c r="V2015" s="424" t="s">
        <v>7815</v>
      </c>
      <c r="W2015" s="424" t="s">
        <v>3074</v>
      </c>
      <c r="X2015" s="424" t="s">
        <v>2224</v>
      </c>
      <c r="Y2015" s="424" t="s">
        <v>2279</v>
      </c>
      <c r="Z2015" s="424" t="s">
        <v>2848</v>
      </c>
      <c r="AA2015" s="424" t="s">
        <v>2855</v>
      </c>
      <c r="AB2015" s="424" t="s">
        <v>7819</v>
      </c>
      <c r="AC2015" s="424" t="s">
        <v>1953</v>
      </c>
      <c r="AD2015" s="424" t="s">
        <v>2851</v>
      </c>
      <c r="AE2015" s="424" t="s">
        <v>5343</v>
      </c>
      <c r="AF2015" s="424"/>
      <c r="AG2015" s="424"/>
      <c r="AH2015" s="424"/>
    </row>
    <row r="2016" spans="1:34" x14ac:dyDescent="0.25">
      <c r="A2016" s="423" t="s">
        <v>7812</v>
      </c>
      <c r="B2016" s="423" t="s">
        <v>7820</v>
      </c>
      <c r="C2016" s="423" t="s">
        <v>6852</v>
      </c>
      <c r="D2016" s="423" t="s">
        <v>6850</v>
      </c>
      <c r="E2016" s="423" t="s">
        <v>242</v>
      </c>
      <c r="F2016" s="423">
        <v>8</v>
      </c>
      <c r="G2016" s="423">
        <v>8</v>
      </c>
      <c r="H2016" s="423">
        <v>300</v>
      </c>
      <c r="J2016" s="423"/>
      <c r="K2016" s="423"/>
      <c r="L2016" s="423"/>
      <c r="M2016" s="423"/>
      <c r="Q2016" s="423"/>
      <c r="R2016" s="424" t="s">
        <v>7821</v>
      </c>
      <c r="S2016" s="424" t="s">
        <v>2846</v>
      </c>
      <c r="T2016" s="424" t="s">
        <v>3356</v>
      </c>
      <c r="U2016" s="424">
        <v>0</v>
      </c>
      <c r="V2016" s="424" t="s">
        <v>7815</v>
      </c>
      <c r="W2016" s="424" t="s">
        <v>3074</v>
      </c>
      <c r="X2016" s="424" t="s">
        <v>2224</v>
      </c>
      <c r="Y2016" s="424" t="s">
        <v>2279</v>
      </c>
      <c r="Z2016" s="424" t="s">
        <v>2848</v>
      </c>
      <c r="AA2016" s="424" t="s">
        <v>2855</v>
      </c>
      <c r="AB2016" s="424" t="s">
        <v>7822</v>
      </c>
      <c r="AC2016" s="424" t="s">
        <v>1953</v>
      </c>
      <c r="AD2016" s="424" t="s">
        <v>2851</v>
      </c>
      <c r="AE2016" s="424" t="s">
        <v>5343</v>
      </c>
      <c r="AF2016" s="424"/>
      <c r="AG2016" s="424"/>
      <c r="AH2016" s="424"/>
    </row>
    <row r="2017" spans="1:34" x14ac:dyDescent="0.25">
      <c r="A2017" s="423" t="s">
        <v>7812</v>
      </c>
      <c r="B2017" s="423" t="s">
        <v>7823</v>
      </c>
      <c r="C2017" s="423" t="s">
        <v>6852</v>
      </c>
      <c r="D2017" s="423" t="s">
        <v>6850</v>
      </c>
      <c r="E2017" s="423" t="s">
        <v>242</v>
      </c>
      <c r="F2017" s="423">
        <v>8</v>
      </c>
      <c r="G2017" s="423">
        <v>16</v>
      </c>
      <c r="H2017" s="423">
        <v>300</v>
      </c>
      <c r="J2017" s="423"/>
      <c r="K2017" s="423"/>
      <c r="L2017" s="423"/>
      <c r="M2017" s="423"/>
      <c r="Q2017" s="423"/>
      <c r="R2017" s="424" t="s">
        <v>7824</v>
      </c>
      <c r="S2017" s="424" t="s">
        <v>2846</v>
      </c>
      <c r="T2017" s="424" t="s">
        <v>3356</v>
      </c>
      <c r="U2017" s="424">
        <v>0</v>
      </c>
      <c r="V2017" s="424" t="s">
        <v>7815</v>
      </c>
      <c r="W2017" s="424" t="s">
        <v>3074</v>
      </c>
      <c r="X2017" s="424" t="s">
        <v>2224</v>
      </c>
      <c r="Y2017" s="424" t="s">
        <v>2279</v>
      </c>
      <c r="Z2017" s="424" t="s">
        <v>2848</v>
      </c>
      <c r="AA2017" s="424" t="s">
        <v>2855</v>
      </c>
      <c r="AB2017" s="424" t="s">
        <v>7825</v>
      </c>
      <c r="AC2017" s="424" t="s">
        <v>1953</v>
      </c>
      <c r="AD2017" s="424" t="s">
        <v>2851</v>
      </c>
      <c r="AE2017" s="424" t="s">
        <v>3173</v>
      </c>
      <c r="AF2017" s="424"/>
      <c r="AG2017" s="424"/>
      <c r="AH2017" s="424"/>
    </row>
    <row r="2018" spans="1:34" x14ac:dyDescent="0.25">
      <c r="A2018" s="423" t="s">
        <v>7812</v>
      </c>
      <c r="B2018" s="423" t="s">
        <v>7826</v>
      </c>
      <c r="C2018" s="423" t="s">
        <v>6852</v>
      </c>
      <c r="D2018" s="423" t="s">
        <v>6850</v>
      </c>
      <c r="E2018" s="423" t="s">
        <v>242</v>
      </c>
      <c r="F2018" s="423">
        <v>8</v>
      </c>
      <c r="G2018" s="423">
        <v>16</v>
      </c>
      <c r="H2018" s="423">
        <v>300</v>
      </c>
      <c r="J2018" s="423"/>
      <c r="K2018" s="423"/>
      <c r="L2018" s="423"/>
      <c r="M2018" s="423"/>
      <c r="Q2018" s="423"/>
      <c r="R2018" s="424" t="s">
        <v>7827</v>
      </c>
      <c r="S2018" s="424" t="s">
        <v>2846</v>
      </c>
      <c r="T2018" s="424" t="s">
        <v>3356</v>
      </c>
      <c r="U2018" s="424">
        <v>0</v>
      </c>
      <c r="V2018" s="424" t="s">
        <v>7815</v>
      </c>
      <c r="W2018" s="424" t="s">
        <v>3074</v>
      </c>
      <c r="X2018" s="424" t="s">
        <v>2224</v>
      </c>
      <c r="Y2018" s="424" t="s">
        <v>2279</v>
      </c>
      <c r="Z2018" s="424" t="s">
        <v>2848</v>
      </c>
      <c r="AA2018" s="424" t="s">
        <v>2855</v>
      </c>
      <c r="AB2018" s="424" t="s">
        <v>7828</v>
      </c>
      <c r="AC2018" s="424" t="s">
        <v>1953</v>
      </c>
      <c r="AD2018" s="424" t="s">
        <v>2851</v>
      </c>
      <c r="AE2018" s="424" t="s">
        <v>3444</v>
      </c>
      <c r="AF2018" s="424"/>
      <c r="AG2018" s="424"/>
      <c r="AH2018" s="424"/>
    </row>
    <row r="2019" spans="1:34" x14ac:dyDescent="0.25">
      <c r="A2019" s="423" t="s">
        <v>7812</v>
      </c>
      <c r="B2019" s="423" t="s">
        <v>7829</v>
      </c>
      <c r="C2019" s="423" t="s">
        <v>6852</v>
      </c>
      <c r="D2019" s="423" t="s">
        <v>6850</v>
      </c>
      <c r="E2019" s="423" t="s">
        <v>242</v>
      </c>
      <c r="F2019" s="423">
        <v>8</v>
      </c>
      <c r="G2019" s="423">
        <v>16</v>
      </c>
      <c r="H2019" s="423">
        <v>300</v>
      </c>
      <c r="J2019" s="423"/>
      <c r="K2019" s="423"/>
      <c r="L2019" s="423"/>
      <c r="M2019" s="423"/>
      <c r="Q2019" s="423"/>
      <c r="R2019" s="424" t="s">
        <v>7830</v>
      </c>
      <c r="S2019" s="424" t="s">
        <v>2846</v>
      </c>
      <c r="T2019" s="424" t="s">
        <v>3356</v>
      </c>
      <c r="U2019" s="424">
        <v>0</v>
      </c>
      <c r="V2019" s="424" t="s">
        <v>7815</v>
      </c>
      <c r="W2019" s="424" t="s">
        <v>3074</v>
      </c>
      <c r="X2019" s="424" t="s">
        <v>2224</v>
      </c>
      <c r="Y2019" s="424" t="s">
        <v>2279</v>
      </c>
      <c r="Z2019" s="424" t="s">
        <v>2848</v>
      </c>
      <c r="AA2019" s="424" t="s">
        <v>2855</v>
      </c>
      <c r="AB2019" s="424" t="s">
        <v>3683</v>
      </c>
      <c r="AC2019" s="424" t="s">
        <v>1953</v>
      </c>
      <c r="AD2019" s="424" t="s">
        <v>2851</v>
      </c>
      <c r="AE2019" s="424" t="s">
        <v>3173</v>
      </c>
      <c r="AF2019" s="424"/>
      <c r="AG2019" s="424"/>
      <c r="AH2019" s="424"/>
    </row>
    <row r="2020" spans="1:34" x14ac:dyDescent="0.25">
      <c r="A2020" s="423" t="s">
        <v>7812</v>
      </c>
      <c r="B2020" s="423" t="s">
        <v>7831</v>
      </c>
      <c r="C2020" s="423" t="s">
        <v>6852</v>
      </c>
      <c r="D2020" s="423" t="s">
        <v>6850</v>
      </c>
      <c r="E2020" s="423" t="s">
        <v>242</v>
      </c>
      <c r="F2020" s="423">
        <v>44</v>
      </c>
      <c r="G2020" s="423">
        <v>48</v>
      </c>
      <c r="H2020" s="423">
        <v>300</v>
      </c>
      <c r="J2020" s="423"/>
      <c r="K2020" s="423"/>
      <c r="L2020" s="423"/>
      <c r="M2020" s="423"/>
      <c r="Q2020" s="423"/>
      <c r="R2020" s="424" t="s">
        <v>7832</v>
      </c>
      <c r="S2020" s="424" t="s">
        <v>2846</v>
      </c>
      <c r="T2020" s="424" t="s">
        <v>3356</v>
      </c>
      <c r="U2020" s="424">
        <v>0</v>
      </c>
      <c r="V2020" s="424" t="s">
        <v>7815</v>
      </c>
      <c r="W2020" s="424" t="s">
        <v>2871</v>
      </c>
      <c r="X2020" s="424" t="s">
        <v>2224</v>
      </c>
      <c r="Y2020" s="424" t="s">
        <v>2279</v>
      </c>
      <c r="Z2020" s="424" t="s">
        <v>2848</v>
      </c>
      <c r="AA2020" s="424" t="s">
        <v>2855</v>
      </c>
      <c r="AB2020" s="424" t="s">
        <v>3896</v>
      </c>
      <c r="AC2020" s="424" t="s">
        <v>1953</v>
      </c>
      <c r="AD2020" s="424" t="s">
        <v>2851</v>
      </c>
      <c r="AE2020" s="424" t="s">
        <v>2901</v>
      </c>
      <c r="AF2020" s="424"/>
      <c r="AG2020" s="424"/>
      <c r="AH2020" s="424"/>
    </row>
    <row r="2021" spans="1:34" x14ac:dyDescent="0.25">
      <c r="A2021" s="423" t="s">
        <v>7812</v>
      </c>
      <c r="B2021" s="423" t="s">
        <v>7833</v>
      </c>
      <c r="C2021" s="423" t="s">
        <v>6852</v>
      </c>
      <c r="D2021" s="423" t="s">
        <v>6850</v>
      </c>
      <c r="E2021" s="423" t="s">
        <v>242</v>
      </c>
      <c r="F2021" s="423">
        <v>44</v>
      </c>
      <c r="G2021" s="423">
        <v>48</v>
      </c>
      <c r="H2021" s="423">
        <v>300</v>
      </c>
      <c r="J2021" s="423"/>
      <c r="K2021" s="423"/>
      <c r="L2021" s="423"/>
      <c r="M2021" s="423"/>
      <c r="Q2021" s="423"/>
      <c r="R2021" s="424" t="s">
        <v>7834</v>
      </c>
      <c r="S2021" s="424" t="s">
        <v>2846</v>
      </c>
      <c r="T2021" s="424" t="s">
        <v>3356</v>
      </c>
      <c r="U2021" s="424">
        <v>0</v>
      </c>
      <c r="V2021" s="424" t="s">
        <v>7815</v>
      </c>
      <c r="W2021" s="424" t="s">
        <v>3055</v>
      </c>
      <c r="X2021" s="424" t="s">
        <v>2224</v>
      </c>
      <c r="Y2021" s="424" t="s">
        <v>2279</v>
      </c>
      <c r="Z2021" s="424" t="s">
        <v>2872</v>
      </c>
      <c r="AA2021" s="424" t="s">
        <v>2873</v>
      </c>
      <c r="AB2021" s="424" t="s">
        <v>7835</v>
      </c>
      <c r="AC2021" s="424" t="s">
        <v>1953</v>
      </c>
      <c r="AD2021" s="424" t="s">
        <v>2875</v>
      </c>
      <c r="AE2021" s="424" t="s">
        <v>3096</v>
      </c>
      <c r="AF2021" s="424"/>
      <c r="AG2021" s="424"/>
      <c r="AH2021" s="424"/>
    </row>
    <row r="2022" spans="1:34" x14ac:dyDescent="0.25">
      <c r="A2022" s="423" t="s">
        <v>7812</v>
      </c>
      <c r="B2022" s="423" t="s">
        <v>7836</v>
      </c>
      <c r="C2022" s="423" t="s">
        <v>6852</v>
      </c>
      <c r="D2022" s="423" t="s">
        <v>6850</v>
      </c>
      <c r="E2022" s="423" t="s">
        <v>242</v>
      </c>
      <c r="F2022" s="423">
        <v>44</v>
      </c>
      <c r="G2022" s="423">
        <v>48</v>
      </c>
      <c r="H2022" s="423">
        <v>300</v>
      </c>
      <c r="J2022" s="423"/>
      <c r="K2022" s="423"/>
      <c r="L2022" s="423"/>
      <c r="M2022" s="423"/>
      <c r="Q2022" s="423"/>
      <c r="R2022" s="424" t="s">
        <v>7837</v>
      </c>
      <c r="S2022" s="424" t="s">
        <v>2846</v>
      </c>
      <c r="T2022" s="424" t="s">
        <v>3356</v>
      </c>
      <c r="U2022" s="424">
        <v>0</v>
      </c>
      <c r="V2022" s="424" t="s">
        <v>7815</v>
      </c>
      <c r="W2022" s="424" t="s">
        <v>3074</v>
      </c>
      <c r="X2022" s="424" t="s">
        <v>2224</v>
      </c>
      <c r="Y2022" s="424" t="s">
        <v>2279</v>
      </c>
      <c r="Z2022" s="424" t="s">
        <v>2872</v>
      </c>
      <c r="AA2022" s="424" t="s">
        <v>2873</v>
      </c>
      <c r="AB2022" s="424" t="s">
        <v>4478</v>
      </c>
      <c r="AC2022" s="424" t="s">
        <v>1953</v>
      </c>
      <c r="AD2022" s="424" t="s">
        <v>2892</v>
      </c>
      <c r="AE2022" s="424" t="s">
        <v>2962</v>
      </c>
      <c r="AF2022" s="424"/>
      <c r="AG2022" s="424"/>
      <c r="AH2022" s="424"/>
    </row>
    <row r="2023" spans="1:34" x14ac:dyDescent="0.25">
      <c r="A2023" s="423" t="s">
        <v>7812</v>
      </c>
      <c r="B2023" s="423" t="s">
        <v>7838</v>
      </c>
      <c r="C2023" s="423" t="s">
        <v>6852</v>
      </c>
      <c r="D2023" s="423" t="s">
        <v>6850</v>
      </c>
      <c r="E2023" s="423" t="s">
        <v>242</v>
      </c>
      <c r="F2023" s="423">
        <v>44</v>
      </c>
      <c r="G2023" s="423">
        <v>48</v>
      </c>
      <c r="H2023" s="423">
        <v>300</v>
      </c>
      <c r="J2023" s="423"/>
      <c r="K2023" s="423"/>
      <c r="L2023" s="423"/>
      <c r="M2023" s="423"/>
      <c r="Q2023" s="423"/>
      <c r="R2023" s="424" t="s">
        <v>7839</v>
      </c>
      <c r="S2023" s="424" t="s">
        <v>2846</v>
      </c>
      <c r="T2023" s="424" t="s">
        <v>3356</v>
      </c>
      <c r="U2023" s="424">
        <v>0</v>
      </c>
      <c r="V2023" s="424" t="s">
        <v>7815</v>
      </c>
      <c r="W2023" s="424" t="s">
        <v>3055</v>
      </c>
      <c r="X2023" s="424" t="s">
        <v>2224</v>
      </c>
      <c r="Y2023" s="424" t="s">
        <v>2279</v>
      </c>
      <c r="Z2023" s="424" t="s">
        <v>2872</v>
      </c>
      <c r="AA2023" s="424" t="s">
        <v>2873</v>
      </c>
      <c r="AB2023" s="424" t="s">
        <v>2883</v>
      </c>
      <c r="AC2023" s="424" t="s">
        <v>1953</v>
      </c>
      <c r="AD2023" s="424" t="s">
        <v>2875</v>
      </c>
      <c r="AE2023" s="424" t="s">
        <v>2876</v>
      </c>
      <c r="AF2023" s="424"/>
      <c r="AG2023" s="424"/>
      <c r="AH2023" s="424"/>
    </row>
    <row r="2024" spans="1:34" x14ac:dyDescent="0.25">
      <c r="A2024" s="423" t="s">
        <v>7812</v>
      </c>
      <c r="B2024" s="423" t="s">
        <v>7840</v>
      </c>
      <c r="C2024" s="423" t="s">
        <v>6852</v>
      </c>
      <c r="D2024" s="423" t="s">
        <v>6850</v>
      </c>
      <c r="E2024" s="423" t="s">
        <v>242</v>
      </c>
      <c r="F2024" s="423">
        <v>44</v>
      </c>
      <c r="G2024" s="423">
        <v>48</v>
      </c>
      <c r="H2024" s="423">
        <v>300</v>
      </c>
      <c r="J2024" s="423"/>
      <c r="K2024" s="423"/>
      <c r="L2024" s="423"/>
      <c r="M2024" s="423"/>
      <c r="Q2024" s="423"/>
      <c r="R2024" s="424" t="s">
        <v>7841</v>
      </c>
      <c r="S2024" s="424" t="s">
        <v>2846</v>
      </c>
      <c r="T2024" s="424" t="s">
        <v>3356</v>
      </c>
      <c r="U2024" s="424">
        <v>0</v>
      </c>
      <c r="V2024" s="424" t="s">
        <v>7815</v>
      </c>
      <c r="W2024" s="424" t="s">
        <v>3055</v>
      </c>
      <c r="X2024" s="424" t="s">
        <v>2224</v>
      </c>
      <c r="Y2024" s="424" t="s">
        <v>2279</v>
      </c>
      <c r="Z2024" s="424" t="s">
        <v>2872</v>
      </c>
      <c r="AA2024" s="424" t="s">
        <v>2873</v>
      </c>
      <c r="AB2024" s="424" t="s">
        <v>7842</v>
      </c>
      <c r="AC2024" s="424" t="s">
        <v>1953</v>
      </c>
      <c r="AD2024" s="424" t="s">
        <v>2875</v>
      </c>
      <c r="AE2024" s="424" t="s">
        <v>3114</v>
      </c>
      <c r="AF2024" s="424"/>
      <c r="AG2024" s="424"/>
      <c r="AH2024" s="424"/>
    </row>
    <row r="2025" spans="1:34" x14ac:dyDescent="0.25">
      <c r="A2025" s="423" t="s">
        <v>7812</v>
      </c>
      <c r="B2025" s="423" t="s">
        <v>7843</v>
      </c>
      <c r="C2025" s="423" t="s">
        <v>6852</v>
      </c>
      <c r="D2025" s="423" t="s">
        <v>6850</v>
      </c>
      <c r="E2025" s="423" t="s">
        <v>242</v>
      </c>
      <c r="F2025" s="423">
        <v>44</v>
      </c>
      <c r="G2025" s="423">
        <v>48</v>
      </c>
      <c r="H2025" s="423">
        <v>300</v>
      </c>
      <c r="J2025" s="423"/>
      <c r="K2025" s="423"/>
      <c r="L2025" s="423"/>
      <c r="M2025" s="423"/>
      <c r="Q2025" s="423"/>
      <c r="R2025" s="424" t="s">
        <v>7844</v>
      </c>
      <c r="S2025" s="424" t="s">
        <v>2846</v>
      </c>
      <c r="T2025" s="424" t="s">
        <v>3356</v>
      </c>
      <c r="U2025" s="424">
        <v>0</v>
      </c>
      <c r="V2025" s="424" t="s">
        <v>7815</v>
      </c>
      <c r="W2025" s="424" t="s">
        <v>2974</v>
      </c>
      <c r="X2025" s="424" t="s">
        <v>2224</v>
      </c>
      <c r="Y2025" s="424" t="s">
        <v>2279</v>
      </c>
      <c r="Z2025" s="424" t="s">
        <v>2889</v>
      </c>
      <c r="AA2025" s="424" t="s">
        <v>2890</v>
      </c>
      <c r="AB2025" s="424" t="s">
        <v>7845</v>
      </c>
      <c r="AC2025" s="424" t="s">
        <v>1953</v>
      </c>
      <c r="AD2025" s="424" t="s">
        <v>2892</v>
      </c>
      <c r="AE2025" s="424" t="s">
        <v>4610</v>
      </c>
      <c r="AF2025" s="424"/>
      <c r="AG2025" s="424"/>
      <c r="AH2025" s="424"/>
    </row>
    <row r="2026" spans="1:34" x14ac:dyDescent="0.25">
      <c r="A2026" s="423" t="s">
        <v>7812</v>
      </c>
      <c r="B2026" s="423" t="s">
        <v>7846</v>
      </c>
      <c r="C2026" s="423" t="s">
        <v>6852</v>
      </c>
      <c r="D2026" s="423" t="s">
        <v>6850</v>
      </c>
      <c r="E2026" s="423" t="s">
        <v>242</v>
      </c>
      <c r="F2026" s="423">
        <v>44</v>
      </c>
      <c r="G2026" s="423">
        <v>48</v>
      </c>
      <c r="H2026" s="423">
        <v>300</v>
      </c>
      <c r="J2026" s="423"/>
      <c r="K2026" s="423"/>
      <c r="L2026" s="423"/>
      <c r="M2026" s="423"/>
      <c r="Q2026" s="423"/>
      <c r="R2026" s="424" t="s">
        <v>7847</v>
      </c>
      <c r="S2026" s="424" t="s">
        <v>2846</v>
      </c>
      <c r="T2026" s="424" t="s">
        <v>3356</v>
      </c>
      <c r="U2026" s="424">
        <v>0</v>
      </c>
      <c r="V2026" s="424" t="s">
        <v>7815</v>
      </c>
      <c r="W2026" s="424" t="s">
        <v>2871</v>
      </c>
      <c r="X2026" s="424" t="s">
        <v>2224</v>
      </c>
      <c r="Y2026" s="424" t="s">
        <v>2279</v>
      </c>
      <c r="Z2026" s="424" t="s">
        <v>2872</v>
      </c>
      <c r="AA2026" s="424" t="s">
        <v>2873</v>
      </c>
      <c r="AB2026" s="424" t="s">
        <v>4472</v>
      </c>
      <c r="AC2026" s="424" t="s">
        <v>1953</v>
      </c>
      <c r="AD2026" s="424" t="s">
        <v>2892</v>
      </c>
      <c r="AE2026" s="424" t="s">
        <v>2897</v>
      </c>
      <c r="AF2026" s="424"/>
      <c r="AG2026" s="424"/>
      <c r="AH2026" s="424"/>
    </row>
    <row r="2027" spans="1:34" x14ac:dyDescent="0.25">
      <c r="A2027" s="423" t="s">
        <v>7812</v>
      </c>
      <c r="B2027" s="423" t="s">
        <v>7848</v>
      </c>
      <c r="C2027" s="423" t="s">
        <v>6852</v>
      </c>
      <c r="D2027" s="423" t="s">
        <v>6850</v>
      </c>
      <c r="E2027" s="423" t="s">
        <v>242</v>
      </c>
      <c r="F2027" s="423">
        <v>44</v>
      </c>
      <c r="G2027" s="423">
        <v>48</v>
      </c>
      <c r="H2027" s="423">
        <v>300</v>
      </c>
      <c r="J2027" s="423"/>
      <c r="K2027" s="423"/>
      <c r="L2027" s="423"/>
      <c r="M2027" s="423"/>
      <c r="Q2027" s="423"/>
      <c r="R2027" s="424" t="s">
        <v>7849</v>
      </c>
      <c r="S2027" s="424" t="s">
        <v>2846</v>
      </c>
      <c r="T2027" s="424" t="s">
        <v>3356</v>
      </c>
      <c r="U2027" s="424">
        <v>0</v>
      </c>
      <c r="V2027" s="424" t="s">
        <v>7815</v>
      </c>
      <c r="W2027" s="424" t="s">
        <v>3055</v>
      </c>
      <c r="X2027" s="424" t="s">
        <v>2224</v>
      </c>
      <c r="Y2027" s="424" t="s">
        <v>2279</v>
      </c>
      <c r="Z2027" s="424" t="s">
        <v>2872</v>
      </c>
      <c r="AA2027" s="424" t="s">
        <v>2873</v>
      </c>
      <c r="AB2027" s="424" t="s">
        <v>7850</v>
      </c>
      <c r="AC2027" s="424" t="s">
        <v>1953</v>
      </c>
      <c r="AD2027" s="424" t="s">
        <v>2875</v>
      </c>
      <c r="AE2027" s="424" t="s">
        <v>3060</v>
      </c>
      <c r="AF2027" s="424"/>
      <c r="AG2027" s="424"/>
      <c r="AH2027" s="424"/>
    </row>
    <row r="2028" spans="1:34" x14ac:dyDescent="0.25">
      <c r="A2028" s="423" t="s">
        <v>7812</v>
      </c>
      <c r="B2028" s="423" t="s">
        <v>7851</v>
      </c>
      <c r="C2028" s="423" t="s">
        <v>6852</v>
      </c>
      <c r="D2028" s="423" t="s">
        <v>6850</v>
      </c>
      <c r="E2028" s="423" t="s">
        <v>242</v>
      </c>
      <c r="F2028" s="423">
        <v>44</v>
      </c>
      <c r="G2028" s="423">
        <v>48</v>
      </c>
      <c r="H2028" s="423">
        <v>300</v>
      </c>
      <c r="J2028" s="423"/>
      <c r="K2028" s="423"/>
      <c r="L2028" s="423"/>
      <c r="M2028" s="423"/>
      <c r="Q2028" s="423"/>
      <c r="R2028" s="424" t="s">
        <v>7852</v>
      </c>
      <c r="S2028" s="424" t="s">
        <v>2846</v>
      </c>
      <c r="T2028" s="424" t="s">
        <v>3356</v>
      </c>
      <c r="U2028" s="424">
        <v>0</v>
      </c>
      <c r="V2028" s="424" t="s">
        <v>7815</v>
      </c>
      <c r="W2028" s="424" t="s">
        <v>3074</v>
      </c>
      <c r="X2028" s="424" t="s">
        <v>2224</v>
      </c>
      <c r="Y2028" s="424" t="s">
        <v>2279</v>
      </c>
      <c r="Z2028" s="424" t="s">
        <v>2872</v>
      </c>
      <c r="AA2028" s="424" t="s">
        <v>2873</v>
      </c>
      <c r="AB2028" s="424" t="s">
        <v>6827</v>
      </c>
      <c r="AC2028" s="424" t="s">
        <v>1953</v>
      </c>
      <c r="AD2028" s="424" t="s">
        <v>2892</v>
      </c>
      <c r="AE2028" s="424" t="s">
        <v>4459</v>
      </c>
      <c r="AF2028" s="424"/>
      <c r="AG2028" s="424"/>
      <c r="AH2028" s="424"/>
    </row>
    <row r="2029" spans="1:34" x14ac:dyDescent="0.25">
      <c r="A2029" s="423" t="s">
        <v>7812</v>
      </c>
      <c r="B2029" s="423" t="s">
        <v>7853</v>
      </c>
      <c r="C2029" s="423" t="s">
        <v>6852</v>
      </c>
      <c r="D2029" s="423" t="s">
        <v>6850</v>
      </c>
      <c r="E2029" s="423" t="s">
        <v>242</v>
      </c>
      <c r="F2029" s="423">
        <v>44</v>
      </c>
      <c r="G2029" s="423">
        <v>48</v>
      </c>
      <c r="H2029" s="423">
        <v>300</v>
      </c>
      <c r="J2029" s="423"/>
      <c r="K2029" s="423"/>
      <c r="L2029" s="423"/>
      <c r="M2029" s="423"/>
      <c r="Q2029" s="423"/>
      <c r="R2029" s="424" t="s">
        <v>7854</v>
      </c>
      <c r="S2029" s="424" t="s">
        <v>2846</v>
      </c>
      <c r="T2029" s="424" t="s">
        <v>3356</v>
      </c>
      <c r="U2029" s="424">
        <v>0</v>
      </c>
      <c r="V2029" s="424" t="s">
        <v>7815</v>
      </c>
      <c r="W2029" s="424" t="s">
        <v>2974</v>
      </c>
      <c r="X2029" s="424" t="s">
        <v>2224</v>
      </c>
      <c r="Y2029" s="424" t="s">
        <v>2279</v>
      </c>
      <c r="Z2029" s="424" t="s">
        <v>2889</v>
      </c>
      <c r="AA2029" s="424" t="s">
        <v>2890</v>
      </c>
      <c r="AB2029" s="424" t="s">
        <v>4623</v>
      </c>
      <c r="AC2029" s="424" t="s">
        <v>1953</v>
      </c>
      <c r="AD2029" s="424" t="s">
        <v>2892</v>
      </c>
      <c r="AE2029" s="424" t="s">
        <v>2893</v>
      </c>
      <c r="AF2029" s="424"/>
      <c r="AG2029" s="424"/>
      <c r="AH2029" s="424"/>
    </row>
    <row r="2030" spans="1:34" x14ac:dyDescent="0.25">
      <c r="A2030" s="423" t="s">
        <v>7812</v>
      </c>
      <c r="B2030" s="423" t="s">
        <v>7855</v>
      </c>
      <c r="C2030" s="423" t="s">
        <v>6852</v>
      </c>
      <c r="D2030" s="423" t="s">
        <v>6850</v>
      </c>
      <c r="E2030" s="423" t="s">
        <v>242</v>
      </c>
      <c r="F2030" s="423">
        <v>44</v>
      </c>
      <c r="G2030" s="423">
        <v>48</v>
      </c>
      <c r="H2030" s="423">
        <v>300</v>
      </c>
      <c r="J2030" s="423"/>
      <c r="K2030" s="423"/>
      <c r="L2030" s="423"/>
      <c r="M2030" s="423"/>
      <c r="Q2030" s="423"/>
      <c r="R2030" s="424" t="s">
        <v>7856</v>
      </c>
      <c r="S2030" s="424" t="s">
        <v>2846</v>
      </c>
      <c r="T2030" s="424" t="s">
        <v>3356</v>
      </c>
      <c r="U2030" s="424">
        <v>0</v>
      </c>
      <c r="V2030" s="424" t="s">
        <v>7815</v>
      </c>
      <c r="W2030" s="424" t="s">
        <v>3074</v>
      </c>
      <c r="X2030" s="424" t="s">
        <v>2224</v>
      </c>
      <c r="Y2030" s="424" t="s">
        <v>2279</v>
      </c>
      <c r="Z2030" s="424" t="s">
        <v>2872</v>
      </c>
      <c r="AA2030" s="424" t="s">
        <v>2873</v>
      </c>
      <c r="AB2030" s="424" t="s">
        <v>7857</v>
      </c>
      <c r="AC2030" s="424" t="s">
        <v>1953</v>
      </c>
      <c r="AD2030" s="424" t="s">
        <v>2892</v>
      </c>
      <c r="AE2030" s="424" t="s">
        <v>2962</v>
      </c>
      <c r="AF2030" s="424"/>
      <c r="AG2030" s="424"/>
      <c r="AH2030" s="424"/>
    </row>
    <row r="2031" spans="1:34" x14ac:dyDescent="0.25">
      <c r="A2031" s="423" t="s">
        <v>7812</v>
      </c>
      <c r="B2031" s="423" t="s">
        <v>7858</v>
      </c>
      <c r="C2031" s="423" t="s">
        <v>6852</v>
      </c>
      <c r="D2031" s="423" t="s">
        <v>6850</v>
      </c>
      <c r="E2031" s="423" t="s">
        <v>242</v>
      </c>
      <c r="F2031" s="423">
        <v>44</v>
      </c>
      <c r="G2031" s="423">
        <v>48</v>
      </c>
      <c r="H2031" s="423">
        <v>300</v>
      </c>
      <c r="J2031" s="423"/>
      <c r="K2031" s="423"/>
      <c r="L2031" s="423"/>
      <c r="M2031" s="423"/>
      <c r="Q2031" s="423"/>
      <c r="R2031" s="424" t="s">
        <v>7859</v>
      </c>
      <c r="S2031" s="424" t="s">
        <v>2846</v>
      </c>
      <c r="T2031" s="424" t="s">
        <v>3356</v>
      </c>
      <c r="U2031" s="424">
        <v>0</v>
      </c>
      <c r="V2031" s="424" t="s">
        <v>7815</v>
      </c>
      <c r="W2031" s="424" t="s">
        <v>2974</v>
      </c>
      <c r="X2031" s="424" t="s">
        <v>2224</v>
      </c>
      <c r="Y2031" s="424" t="s">
        <v>2279</v>
      </c>
      <c r="Z2031" s="424" t="s">
        <v>2872</v>
      </c>
      <c r="AA2031" s="424" t="s">
        <v>2873</v>
      </c>
      <c r="AB2031" s="424" t="s">
        <v>7860</v>
      </c>
      <c r="AC2031" s="424" t="s">
        <v>1953</v>
      </c>
      <c r="AD2031" s="424" t="s">
        <v>2892</v>
      </c>
      <c r="AE2031" s="424" t="s">
        <v>4463</v>
      </c>
      <c r="AF2031" s="424"/>
      <c r="AG2031" s="424"/>
      <c r="AH2031" s="424"/>
    </row>
    <row r="2032" spans="1:34" x14ac:dyDescent="0.25">
      <c r="A2032" s="423" t="s">
        <v>7812</v>
      </c>
      <c r="B2032" s="423" t="s">
        <v>7861</v>
      </c>
      <c r="C2032" s="423" t="s">
        <v>6852</v>
      </c>
      <c r="D2032" s="423" t="s">
        <v>6850</v>
      </c>
      <c r="E2032" s="423" t="s">
        <v>242</v>
      </c>
      <c r="F2032" s="423">
        <v>44</v>
      </c>
      <c r="G2032" s="423">
        <v>48</v>
      </c>
      <c r="H2032" s="423">
        <v>300</v>
      </c>
      <c r="J2032" s="423"/>
      <c r="K2032" s="423"/>
      <c r="L2032" s="423"/>
      <c r="M2032" s="423"/>
      <c r="Q2032" s="423"/>
      <c r="R2032" s="424" t="s">
        <v>7862</v>
      </c>
      <c r="S2032" s="424" t="s">
        <v>2846</v>
      </c>
      <c r="T2032" s="424" t="s">
        <v>3356</v>
      </c>
      <c r="U2032" s="424">
        <v>0</v>
      </c>
      <c r="V2032" s="424" t="s">
        <v>7815</v>
      </c>
      <c r="W2032" s="424" t="s">
        <v>2974</v>
      </c>
      <c r="X2032" s="424" t="s">
        <v>2224</v>
      </c>
      <c r="Y2032" s="424" t="s">
        <v>2279</v>
      </c>
      <c r="Z2032" s="424" t="s">
        <v>2872</v>
      </c>
      <c r="AA2032" s="424" t="s">
        <v>2873</v>
      </c>
      <c r="AB2032" s="424" t="s">
        <v>4557</v>
      </c>
      <c r="AC2032" s="424" t="s">
        <v>1953</v>
      </c>
      <c r="AD2032" s="424" t="s">
        <v>2892</v>
      </c>
      <c r="AE2032" s="424" t="s">
        <v>4219</v>
      </c>
      <c r="AF2032" s="424"/>
      <c r="AG2032" s="424"/>
      <c r="AH2032" s="424"/>
    </row>
    <row r="2033" spans="1:34" x14ac:dyDescent="0.25">
      <c r="A2033" s="423" t="s">
        <v>7812</v>
      </c>
      <c r="B2033" s="423" t="s">
        <v>7863</v>
      </c>
      <c r="C2033" s="423" t="s">
        <v>6852</v>
      </c>
      <c r="D2033" s="423" t="s">
        <v>6850</v>
      </c>
      <c r="E2033" s="423" t="s">
        <v>242</v>
      </c>
      <c r="F2033" s="423">
        <v>44</v>
      </c>
      <c r="G2033" s="423">
        <v>48</v>
      </c>
      <c r="H2033" s="423">
        <v>300</v>
      </c>
      <c r="J2033" s="423"/>
      <c r="K2033" s="423"/>
      <c r="L2033" s="423"/>
      <c r="M2033" s="423"/>
      <c r="Q2033" s="423"/>
      <c r="R2033" s="424" t="s">
        <v>7864</v>
      </c>
      <c r="S2033" s="424" t="s">
        <v>2846</v>
      </c>
      <c r="T2033" s="424" t="s">
        <v>3356</v>
      </c>
      <c r="U2033" s="424">
        <v>0</v>
      </c>
      <c r="V2033" s="424" t="s">
        <v>7815</v>
      </c>
      <c r="W2033" s="424" t="s">
        <v>3055</v>
      </c>
      <c r="X2033" s="424" t="s">
        <v>2224</v>
      </c>
      <c r="Y2033" s="424" t="s">
        <v>2279</v>
      </c>
      <c r="Z2033" s="424" t="s">
        <v>2872</v>
      </c>
      <c r="AA2033" s="424" t="s">
        <v>2873</v>
      </c>
      <c r="AB2033" s="424" t="s">
        <v>3123</v>
      </c>
      <c r="AC2033" s="424" t="s">
        <v>1953</v>
      </c>
      <c r="AD2033" s="424" t="s">
        <v>2875</v>
      </c>
      <c r="AE2033" s="424" t="s">
        <v>3060</v>
      </c>
      <c r="AF2033" s="424"/>
      <c r="AG2033" s="424"/>
      <c r="AH2033" s="424"/>
    </row>
    <row r="2034" spans="1:34" x14ac:dyDescent="0.25">
      <c r="A2034" s="423" t="s">
        <v>7812</v>
      </c>
      <c r="B2034" s="423" t="s">
        <v>7865</v>
      </c>
      <c r="C2034" s="423" t="s">
        <v>6852</v>
      </c>
      <c r="D2034" s="423" t="s">
        <v>6850</v>
      </c>
      <c r="E2034" s="423" t="s">
        <v>242</v>
      </c>
      <c r="F2034" s="423">
        <v>44</v>
      </c>
      <c r="G2034" s="423">
        <v>48</v>
      </c>
      <c r="H2034" s="423">
        <v>300</v>
      </c>
      <c r="J2034" s="423"/>
      <c r="K2034" s="423"/>
      <c r="L2034" s="423"/>
      <c r="M2034" s="423"/>
      <c r="Q2034" s="423"/>
      <c r="R2034" s="424" t="s">
        <v>7866</v>
      </c>
      <c r="S2034" s="424" t="s">
        <v>2846</v>
      </c>
      <c r="T2034" s="424" t="s">
        <v>3356</v>
      </c>
      <c r="U2034" s="424">
        <v>0</v>
      </c>
      <c r="V2034" s="424" t="s">
        <v>7815</v>
      </c>
      <c r="W2034" s="424" t="s">
        <v>3055</v>
      </c>
      <c r="X2034" s="424" t="s">
        <v>2224</v>
      </c>
      <c r="Y2034" s="424" t="s">
        <v>2279</v>
      </c>
      <c r="Z2034" s="424" t="s">
        <v>2872</v>
      </c>
      <c r="AA2034" s="424" t="s">
        <v>2873</v>
      </c>
      <c r="AB2034" s="424" t="s">
        <v>7842</v>
      </c>
      <c r="AC2034" s="424" t="s">
        <v>1953</v>
      </c>
      <c r="AD2034" s="424" t="s">
        <v>2875</v>
      </c>
      <c r="AE2034" s="424" t="s">
        <v>3114</v>
      </c>
      <c r="AF2034" s="424"/>
      <c r="AG2034" s="424"/>
      <c r="AH2034" s="424"/>
    </row>
    <row r="2035" spans="1:34" x14ac:dyDescent="0.25">
      <c r="A2035" s="423" t="s">
        <v>7812</v>
      </c>
      <c r="B2035" s="423" t="s">
        <v>7867</v>
      </c>
      <c r="C2035" s="423" t="s">
        <v>6852</v>
      </c>
      <c r="D2035" s="423" t="s">
        <v>6850</v>
      </c>
      <c r="E2035" s="423" t="s">
        <v>242</v>
      </c>
      <c r="F2035" s="423">
        <v>44</v>
      </c>
      <c r="G2035" s="423">
        <v>48</v>
      </c>
      <c r="H2035" s="423">
        <v>300</v>
      </c>
      <c r="J2035" s="423"/>
      <c r="K2035" s="423"/>
      <c r="L2035" s="423"/>
      <c r="M2035" s="423"/>
      <c r="Q2035" s="423"/>
      <c r="R2035" s="424" t="s">
        <v>7868</v>
      </c>
      <c r="S2035" s="424" t="s">
        <v>2846</v>
      </c>
      <c r="T2035" s="424" t="s">
        <v>3356</v>
      </c>
      <c r="U2035" s="424">
        <v>0</v>
      </c>
      <c r="V2035" s="424" t="s">
        <v>7815</v>
      </c>
      <c r="W2035" s="424" t="s">
        <v>3055</v>
      </c>
      <c r="X2035" s="424" t="s">
        <v>2224</v>
      </c>
      <c r="Y2035" s="424" t="s">
        <v>2279</v>
      </c>
      <c r="Z2035" s="424" t="s">
        <v>2872</v>
      </c>
      <c r="AA2035" s="424" t="s">
        <v>2873</v>
      </c>
      <c r="AB2035" s="424" t="s">
        <v>7869</v>
      </c>
      <c r="AC2035" s="424" t="s">
        <v>1953</v>
      </c>
      <c r="AD2035" s="424" t="s">
        <v>2875</v>
      </c>
      <c r="AE2035" s="424" t="s">
        <v>3114</v>
      </c>
      <c r="AF2035" s="424"/>
      <c r="AG2035" s="424"/>
      <c r="AH2035" s="424"/>
    </row>
    <row r="2036" spans="1:34" x14ac:dyDescent="0.25">
      <c r="A2036" s="423" t="s">
        <v>7812</v>
      </c>
      <c r="B2036" s="423" t="s">
        <v>7870</v>
      </c>
      <c r="C2036" s="423" t="s">
        <v>6852</v>
      </c>
      <c r="D2036" s="423" t="s">
        <v>6850</v>
      </c>
      <c r="E2036" s="423" t="s">
        <v>242</v>
      </c>
      <c r="F2036" s="423">
        <v>44</v>
      </c>
      <c r="G2036" s="423">
        <v>48</v>
      </c>
      <c r="H2036" s="423">
        <v>300</v>
      </c>
      <c r="J2036" s="423"/>
      <c r="K2036" s="423"/>
      <c r="L2036" s="423"/>
      <c r="M2036" s="423"/>
      <c r="Q2036" s="423"/>
      <c r="R2036" s="424" t="s">
        <v>7871</v>
      </c>
      <c r="S2036" s="424" t="s">
        <v>2846</v>
      </c>
      <c r="T2036" s="424" t="s">
        <v>3356</v>
      </c>
      <c r="U2036" s="424">
        <v>0</v>
      </c>
      <c r="V2036" s="424" t="s">
        <v>7815</v>
      </c>
      <c r="W2036" s="424" t="s">
        <v>3055</v>
      </c>
      <c r="X2036" s="424" t="s">
        <v>2224</v>
      </c>
      <c r="Y2036" s="424" t="s">
        <v>2279</v>
      </c>
      <c r="Z2036" s="424" t="s">
        <v>2872</v>
      </c>
      <c r="AA2036" s="424" t="s">
        <v>2873</v>
      </c>
      <c r="AB2036" s="424" t="s">
        <v>7872</v>
      </c>
      <c r="AC2036" s="424" t="s">
        <v>1953</v>
      </c>
      <c r="AD2036" s="424" t="s">
        <v>2875</v>
      </c>
      <c r="AE2036" s="424" t="s">
        <v>2876</v>
      </c>
      <c r="AF2036" s="424"/>
      <c r="AG2036" s="424"/>
      <c r="AH2036" s="424"/>
    </row>
    <row r="2037" spans="1:34" x14ac:dyDescent="0.25">
      <c r="A2037" s="423" t="s">
        <v>7812</v>
      </c>
      <c r="B2037" s="423" t="s">
        <v>7873</v>
      </c>
      <c r="C2037" s="423" t="s">
        <v>6852</v>
      </c>
      <c r="D2037" s="423" t="s">
        <v>6850</v>
      </c>
      <c r="E2037" s="423" t="s">
        <v>242</v>
      </c>
      <c r="F2037" s="423">
        <v>44</v>
      </c>
      <c r="G2037" s="423">
        <v>48</v>
      </c>
      <c r="H2037" s="423">
        <v>300</v>
      </c>
      <c r="J2037" s="423"/>
      <c r="K2037" s="423"/>
      <c r="L2037" s="423"/>
      <c r="M2037" s="423"/>
      <c r="Q2037" s="423"/>
      <c r="R2037" s="424" t="s">
        <v>7874</v>
      </c>
      <c r="S2037" s="424" t="s">
        <v>2846</v>
      </c>
      <c r="T2037" s="424" t="s">
        <v>3356</v>
      </c>
      <c r="U2037" s="424">
        <v>0</v>
      </c>
      <c r="V2037" s="424" t="s">
        <v>7815</v>
      </c>
      <c r="W2037" s="424" t="s">
        <v>3074</v>
      </c>
      <c r="X2037" s="424" t="s">
        <v>2224</v>
      </c>
      <c r="Y2037" s="424" t="s">
        <v>2279</v>
      </c>
      <c r="Z2037" s="424" t="s">
        <v>2872</v>
      </c>
      <c r="AA2037" s="424" t="s">
        <v>2873</v>
      </c>
      <c r="AB2037" s="424" t="s">
        <v>5164</v>
      </c>
      <c r="AC2037" s="424" t="s">
        <v>1953</v>
      </c>
      <c r="AD2037" s="424" t="s">
        <v>2892</v>
      </c>
      <c r="AE2037" s="424" t="s">
        <v>2962</v>
      </c>
      <c r="AF2037" s="424"/>
      <c r="AG2037" s="424"/>
      <c r="AH2037" s="424"/>
    </row>
    <row r="2038" spans="1:34" x14ac:dyDescent="0.25">
      <c r="A2038" s="423" t="s">
        <v>7812</v>
      </c>
      <c r="B2038" s="423" t="s">
        <v>7875</v>
      </c>
      <c r="C2038" s="423" t="s">
        <v>6852</v>
      </c>
      <c r="D2038" s="423" t="s">
        <v>6850</v>
      </c>
      <c r="E2038" s="423" t="s">
        <v>242</v>
      </c>
      <c r="F2038" s="423">
        <v>44</v>
      </c>
      <c r="G2038" s="423">
        <v>48</v>
      </c>
      <c r="H2038" s="423">
        <v>300</v>
      </c>
      <c r="J2038" s="423"/>
      <c r="K2038" s="423"/>
      <c r="L2038" s="423"/>
      <c r="M2038" s="423"/>
      <c r="Q2038" s="423"/>
      <c r="R2038" s="424" t="s">
        <v>7876</v>
      </c>
      <c r="S2038" s="424" t="s">
        <v>2846</v>
      </c>
      <c r="T2038" s="424" t="s">
        <v>3356</v>
      </c>
      <c r="U2038" s="424">
        <v>0</v>
      </c>
      <c r="V2038" s="424" t="s">
        <v>7815</v>
      </c>
      <c r="W2038" s="424" t="s">
        <v>3055</v>
      </c>
      <c r="X2038" s="424" t="s">
        <v>2224</v>
      </c>
      <c r="Y2038" s="424" t="s">
        <v>2279</v>
      </c>
      <c r="Z2038" s="424" t="s">
        <v>2872</v>
      </c>
      <c r="AA2038" s="424" t="s">
        <v>2873</v>
      </c>
      <c r="AB2038" s="424" t="s">
        <v>7877</v>
      </c>
      <c r="AC2038" s="424" t="s">
        <v>1953</v>
      </c>
      <c r="AD2038" s="424" t="s">
        <v>2875</v>
      </c>
      <c r="AE2038" s="424" t="s">
        <v>3096</v>
      </c>
      <c r="AF2038" s="424"/>
      <c r="AG2038" s="424"/>
      <c r="AH2038" s="424"/>
    </row>
    <row r="2039" spans="1:34" x14ac:dyDescent="0.25">
      <c r="A2039" s="423" t="s">
        <v>7812</v>
      </c>
      <c r="B2039" s="423" t="s">
        <v>7878</v>
      </c>
      <c r="C2039" s="423" t="s">
        <v>6852</v>
      </c>
      <c r="D2039" s="423" t="s">
        <v>6850</v>
      </c>
      <c r="E2039" s="423" t="s">
        <v>242</v>
      </c>
      <c r="F2039" s="423">
        <v>44</v>
      </c>
      <c r="G2039" s="423">
        <v>48</v>
      </c>
      <c r="H2039" s="423">
        <v>300</v>
      </c>
      <c r="J2039" s="423"/>
      <c r="K2039" s="423"/>
      <c r="L2039" s="423"/>
      <c r="M2039" s="423"/>
      <c r="Q2039" s="423"/>
      <c r="R2039" s="424" t="s">
        <v>7879</v>
      </c>
      <c r="S2039" s="424" t="s">
        <v>2846</v>
      </c>
      <c r="T2039" s="424" t="s">
        <v>3356</v>
      </c>
      <c r="U2039" s="424">
        <v>0</v>
      </c>
      <c r="V2039" s="424" t="s">
        <v>7815</v>
      </c>
      <c r="W2039" s="424" t="s">
        <v>3074</v>
      </c>
      <c r="X2039" s="424" t="s">
        <v>2224</v>
      </c>
      <c r="Y2039" s="424" t="s">
        <v>2279</v>
      </c>
      <c r="Z2039" s="424" t="s">
        <v>2872</v>
      </c>
      <c r="AA2039" s="424" t="s">
        <v>2873</v>
      </c>
      <c r="AB2039" s="424" t="s">
        <v>2925</v>
      </c>
      <c r="AC2039" s="424" t="s">
        <v>1953</v>
      </c>
      <c r="AD2039" s="424" t="s">
        <v>2892</v>
      </c>
      <c r="AE2039" s="424" t="s">
        <v>2926</v>
      </c>
      <c r="AF2039" s="424"/>
      <c r="AG2039" s="424"/>
      <c r="AH2039" s="424"/>
    </row>
    <row r="2040" spans="1:34" x14ac:dyDescent="0.25">
      <c r="A2040" s="423" t="s">
        <v>7812</v>
      </c>
      <c r="B2040" s="423" t="s">
        <v>7880</v>
      </c>
      <c r="C2040" s="423" t="s">
        <v>6852</v>
      </c>
      <c r="D2040" s="423" t="s">
        <v>6850</v>
      </c>
      <c r="E2040" s="423" t="s">
        <v>242</v>
      </c>
      <c r="F2040" s="423">
        <v>44</v>
      </c>
      <c r="G2040" s="423">
        <v>48</v>
      </c>
      <c r="H2040" s="423">
        <v>300</v>
      </c>
      <c r="J2040" s="423"/>
      <c r="K2040" s="423"/>
      <c r="L2040" s="423"/>
      <c r="M2040" s="423"/>
      <c r="Q2040" s="423"/>
      <c r="R2040" s="424" t="s">
        <v>7881</v>
      </c>
      <c r="S2040" s="424" t="s">
        <v>2846</v>
      </c>
      <c r="T2040" s="424" t="s">
        <v>3356</v>
      </c>
      <c r="U2040" s="424">
        <v>0</v>
      </c>
      <c r="V2040" s="424" t="s">
        <v>7815</v>
      </c>
      <c r="W2040" s="424" t="s">
        <v>3055</v>
      </c>
      <c r="X2040" s="424" t="s">
        <v>2224</v>
      </c>
      <c r="Y2040" s="424" t="s">
        <v>2279</v>
      </c>
      <c r="Z2040" s="424" t="s">
        <v>2872</v>
      </c>
      <c r="AA2040" s="424" t="s">
        <v>2873</v>
      </c>
      <c r="AB2040" s="424" t="s">
        <v>7882</v>
      </c>
      <c r="AC2040" s="424" t="s">
        <v>1953</v>
      </c>
      <c r="AD2040" s="424" t="s">
        <v>2875</v>
      </c>
      <c r="AE2040" s="424" t="s">
        <v>2880</v>
      </c>
      <c r="AF2040" s="424"/>
      <c r="AG2040" s="424"/>
      <c r="AH2040" s="424"/>
    </row>
    <row r="2041" spans="1:34" x14ac:dyDescent="0.25">
      <c r="A2041" s="423" t="s">
        <v>7812</v>
      </c>
      <c r="B2041" s="423" t="s">
        <v>7883</v>
      </c>
      <c r="C2041" s="423" t="s">
        <v>6852</v>
      </c>
      <c r="D2041" s="423" t="s">
        <v>6850</v>
      </c>
      <c r="E2041" s="423" t="s">
        <v>242</v>
      </c>
      <c r="F2041" s="423">
        <v>44</v>
      </c>
      <c r="G2041" s="423">
        <v>48</v>
      </c>
      <c r="H2041" s="423">
        <v>300</v>
      </c>
      <c r="J2041" s="423"/>
      <c r="K2041" s="423"/>
      <c r="L2041" s="423"/>
      <c r="M2041" s="423"/>
      <c r="Q2041" s="423"/>
      <c r="R2041" s="424" t="s">
        <v>7884</v>
      </c>
      <c r="S2041" s="424" t="s">
        <v>2846</v>
      </c>
      <c r="T2041" s="424" t="s">
        <v>3356</v>
      </c>
      <c r="U2041" s="424">
        <v>0</v>
      </c>
      <c r="V2041" s="424" t="s">
        <v>7815</v>
      </c>
      <c r="W2041" s="424" t="s">
        <v>3074</v>
      </c>
      <c r="X2041" s="424" t="s">
        <v>2224</v>
      </c>
      <c r="Y2041" s="424" t="s">
        <v>2279</v>
      </c>
      <c r="Z2041" s="424" t="s">
        <v>2872</v>
      </c>
      <c r="AA2041" s="424" t="s">
        <v>2873</v>
      </c>
      <c r="AB2041" s="424" t="s">
        <v>7857</v>
      </c>
      <c r="AC2041" s="424" t="s">
        <v>1953</v>
      </c>
      <c r="AD2041" s="424" t="s">
        <v>2892</v>
      </c>
      <c r="AE2041" s="424" t="s">
        <v>2962</v>
      </c>
      <c r="AF2041" s="424"/>
      <c r="AG2041" s="424"/>
      <c r="AH2041" s="424"/>
    </row>
    <row r="2042" spans="1:34" x14ac:dyDescent="0.25">
      <c r="A2042" s="423" t="s">
        <v>7812</v>
      </c>
      <c r="B2042" s="423" t="s">
        <v>7885</v>
      </c>
      <c r="C2042" s="423" t="s">
        <v>6852</v>
      </c>
      <c r="D2042" s="423" t="s">
        <v>6850</v>
      </c>
      <c r="E2042" s="423" t="s">
        <v>242</v>
      </c>
      <c r="F2042" s="423">
        <v>44</v>
      </c>
      <c r="G2042" s="423">
        <v>48</v>
      </c>
      <c r="H2042" s="423">
        <v>300</v>
      </c>
      <c r="J2042" s="423"/>
      <c r="K2042" s="423"/>
      <c r="L2042" s="423"/>
      <c r="M2042" s="423"/>
      <c r="Q2042" s="423"/>
      <c r="R2042" s="424" t="s">
        <v>7886</v>
      </c>
      <c r="S2042" s="424" t="s">
        <v>2846</v>
      </c>
      <c r="T2042" s="424" t="s">
        <v>3356</v>
      </c>
      <c r="U2042" s="424">
        <v>0</v>
      </c>
      <c r="V2042" s="424" t="s">
        <v>7815</v>
      </c>
      <c r="W2042" s="424" t="s">
        <v>3054</v>
      </c>
      <c r="X2042" s="424" t="s">
        <v>2224</v>
      </c>
      <c r="Y2042" s="424" t="s">
        <v>2279</v>
      </c>
      <c r="Z2042" s="424" t="s">
        <v>2872</v>
      </c>
      <c r="AA2042" s="424" t="s">
        <v>2873</v>
      </c>
      <c r="AB2042" s="424" t="s">
        <v>7887</v>
      </c>
      <c r="AC2042" s="424" t="s">
        <v>1953</v>
      </c>
      <c r="AD2042" s="424" t="s">
        <v>2892</v>
      </c>
      <c r="AE2042" s="424" t="s">
        <v>4540</v>
      </c>
      <c r="AF2042" s="424"/>
      <c r="AG2042" s="424"/>
      <c r="AH2042" s="424"/>
    </row>
    <row r="2043" spans="1:34" x14ac:dyDescent="0.25">
      <c r="A2043" s="423" t="s">
        <v>7812</v>
      </c>
      <c r="B2043" s="423" t="s">
        <v>7888</v>
      </c>
      <c r="C2043" s="423" t="s">
        <v>6852</v>
      </c>
      <c r="D2043" s="423" t="s">
        <v>6850</v>
      </c>
      <c r="E2043" s="423" t="s">
        <v>242</v>
      </c>
      <c r="F2043" s="423">
        <v>44</v>
      </c>
      <c r="G2043" s="423">
        <v>48</v>
      </c>
      <c r="H2043" s="423">
        <v>300</v>
      </c>
      <c r="J2043" s="423"/>
      <c r="K2043" s="423"/>
      <c r="L2043" s="423"/>
      <c r="M2043" s="423"/>
      <c r="Q2043" s="423"/>
      <c r="R2043" s="424" t="s">
        <v>7889</v>
      </c>
      <c r="S2043" s="424" t="s">
        <v>2846</v>
      </c>
      <c r="T2043" s="424" t="s">
        <v>3356</v>
      </c>
      <c r="U2043" s="424">
        <v>0</v>
      </c>
      <c r="V2043" s="424" t="s">
        <v>7815</v>
      </c>
      <c r="W2043" s="424" t="s">
        <v>3055</v>
      </c>
      <c r="X2043" s="424" t="s">
        <v>2224</v>
      </c>
      <c r="Y2043" s="424" t="s">
        <v>2279</v>
      </c>
      <c r="Z2043" s="424" t="s">
        <v>2872</v>
      </c>
      <c r="AA2043" s="424" t="s">
        <v>2873</v>
      </c>
      <c r="AB2043" s="424" t="s">
        <v>7835</v>
      </c>
      <c r="AC2043" s="424" t="s">
        <v>1953</v>
      </c>
      <c r="AD2043" s="424" t="s">
        <v>2875</v>
      </c>
      <c r="AE2043" s="424" t="s">
        <v>3096</v>
      </c>
      <c r="AF2043" s="424"/>
      <c r="AG2043" s="424"/>
      <c r="AH2043" s="424"/>
    </row>
    <row r="2044" spans="1:34" x14ac:dyDescent="0.25">
      <c r="A2044" s="423" t="s">
        <v>7812</v>
      </c>
      <c r="B2044" s="423" t="s">
        <v>7890</v>
      </c>
      <c r="C2044" s="423" t="s">
        <v>6852</v>
      </c>
      <c r="D2044" s="423" t="s">
        <v>6850</v>
      </c>
      <c r="E2044" s="423" t="s">
        <v>242</v>
      </c>
      <c r="F2044" s="423">
        <v>44</v>
      </c>
      <c r="G2044" s="423">
        <v>48</v>
      </c>
      <c r="H2044" s="423">
        <v>300</v>
      </c>
      <c r="J2044" s="423"/>
      <c r="K2044" s="423"/>
      <c r="L2044" s="423"/>
      <c r="M2044" s="423"/>
      <c r="Q2044" s="423"/>
      <c r="R2044" s="424" t="s">
        <v>7891</v>
      </c>
      <c r="S2044" s="424" t="s">
        <v>2846</v>
      </c>
      <c r="T2044" s="424" t="s">
        <v>3356</v>
      </c>
      <c r="U2044" s="424">
        <v>0</v>
      </c>
      <c r="V2044" s="424" t="s">
        <v>7815</v>
      </c>
      <c r="W2044" s="424" t="s">
        <v>3055</v>
      </c>
      <c r="X2044" s="424" t="s">
        <v>2224</v>
      </c>
      <c r="Y2044" s="424" t="s">
        <v>2279</v>
      </c>
      <c r="Z2044" s="424" t="s">
        <v>2872</v>
      </c>
      <c r="AA2044" s="424" t="s">
        <v>2873</v>
      </c>
      <c r="AB2044" s="424" t="s">
        <v>2874</v>
      </c>
      <c r="AC2044" s="424" t="s">
        <v>1953</v>
      </c>
      <c r="AD2044" s="424" t="s">
        <v>2875</v>
      </c>
      <c r="AE2044" s="424" t="s">
        <v>2876</v>
      </c>
      <c r="AF2044" s="424"/>
      <c r="AG2044" s="424"/>
      <c r="AH2044" s="424"/>
    </row>
    <row r="2045" spans="1:34" x14ac:dyDescent="0.25">
      <c r="A2045" s="423" t="s">
        <v>7812</v>
      </c>
      <c r="B2045" s="423" t="s">
        <v>7892</v>
      </c>
      <c r="C2045" s="423" t="s">
        <v>6852</v>
      </c>
      <c r="D2045" s="423" t="s">
        <v>6850</v>
      </c>
      <c r="E2045" s="423" t="s">
        <v>242</v>
      </c>
      <c r="F2045" s="423">
        <v>44</v>
      </c>
      <c r="G2045" s="423">
        <v>48</v>
      </c>
      <c r="H2045" s="423">
        <v>300</v>
      </c>
      <c r="J2045" s="423"/>
      <c r="K2045" s="423"/>
      <c r="L2045" s="423"/>
      <c r="M2045" s="423"/>
      <c r="Q2045" s="423"/>
      <c r="R2045" s="424" t="s">
        <v>7893</v>
      </c>
      <c r="S2045" s="424" t="s">
        <v>2846</v>
      </c>
      <c r="T2045" s="424" t="s">
        <v>3356</v>
      </c>
      <c r="U2045" s="424">
        <v>0</v>
      </c>
      <c r="V2045" s="424" t="s">
        <v>7815</v>
      </c>
      <c r="W2045" s="424" t="s">
        <v>2974</v>
      </c>
      <c r="X2045" s="424" t="s">
        <v>2224</v>
      </c>
      <c r="Y2045" s="424" t="s">
        <v>2279</v>
      </c>
      <c r="Z2045" s="424" t="s">
        <v>2872</v>
      </c>
      <c r="AA2045" s="424" t="s">
        <v>2873</v>
      </c>
      <c r="AB2045" s="424" t="s">
        <v>4462</v>
      </c>
      <c r="AC2045" s="424" t="s">
        <v>1953</v>
      </c>
      <c r="AD2045" s="424" t="s">
        <v>2892</v>
      </c>
      <c r="AE2045" s="424" t="s">
        <v>4463</v>
      </c>
      <c r="AF2045" s="424"/>
      <c r="AG2045" s="424"/>
      <c r="AH2045" s="424"/>
    </row>
    <row r="2046" spans="1:34" x14ac:dyDescent="0.25">
      <c r="A2046" s="423" t="s">
        <v>7812</v>
      </c>
      <c r="B2046" s="423" t="s">
        <v>7894</v>
      </c>
      <c r="C2046" s="423" t="s">
        <v>6852</v>
      </c>
      <c r="D2046" s="423" t="s">
        <v>6850</v>
      </c>
      <c r="E2046" s="423" t="s">
        <v>242</v>
      </c>
      <c r="F2046" s="423">
        <v>44</v>
      </c>
      <c r="G2046" s="423">
        <v>48</v>
      </c>
      <c r="H2046" s="423">
        <v>300</v>
      </c>
      <c r="J2046" s="423"/>
      <c r="K2046" s="423"/>
      <c r="L2046" s="423"/>
      <c r="M2046" s="423"/>
      <c r="Q2046" s="423"/>
      <c r="R2046" s="424" t="s">
        <v>7895</v>
      </c>
      <c r="S2046" s="424" t="s">
        <v>2846</v>
      </c>
      <c r="T2046" s="424" t="s">
        <v>3356</v>
      </c>
      <c r="U2046" s="424">
        <v>0</v>
      </c>
      <c r="V2046" s="424" t="s">
        <v>7815</v>
      </c>
      <c r="W2046" s="424" t="s">
        <v>3055</v>
      </c>
      <c r="X2046" s="424" t="s">
        <v>2224</v>
      </c>
      <c r="Y2046" s="424" t="s">
        <v>2279</v>
      </c>
      <c r="Z2046" s="424" t="s">
        <v>2872</v>
      </c>
      <c r="AA2046" s="424" t="s">
        <v>2873</v>
      </c>
      <c r="AB2046" s="424" t="s">
        <v>7850</v>
      </c>
      <c r="AC2046" s="424" t="s">
        <v>1953</v>
      </c>
      <c r="AD2046" s="424" t="s">
        <v>2875</v>
      </c>
      <c r="AE2046" s="424" t="s">
        <v>3060</v>
      </c>
      <c r="AF2046" s="424"/>
      <c r="AG2046" s="424"/>
      <c r="AH2046" s="424"/>
    </row>
    <row r="2047" spans="1:34" x14ac:dyDescent="0.25">
      <c r="A2047" s="423" t="s">
        <v>7812</v>
      </c>
      <c r="B2047" s="423" t="s">
        <v>7896</v>
      </c>
      <c r="C2047" s="423" t="s">
        <v>6852</v>
      </c>
      <c r="D2047" s="423" t="s">
        <v>6850</v>
      </c>
      <c r="E2047" s="423" t="s">
        <v>242</v>
      </c>
      <c r="F2047" s="423">
        <v>44</v>
      </c>
      <c r="G2047" s="423">
        <v>48</v>
      </c>
      <c r="H2047" s="423">
        <v>300</v>
      </c>
      <c r="J2047" s="423"/>
      <c r="K2047" s="423"/>
      <c r="L2047" s="423"/>
      <c r="M2047" s="423"/>
      <c r="Q2047" s="423"/>
      <c r="R2047" s="424" t="s">
        <v>7897</v>
      </c>
      <c r="S2047" s="424" t="s">
        <v>2846</v>
      </c>
      <c r="T2047" s="424" t="s">
        <v>3356</v>
      </c>
      <c r="U2047" s="424">
        <v>0</v>
      </c>
      <c r="V2047" s="424" t="s">
        <v>7815</v>
      </c>
      <c r="W2047" s="424" t="s">
        <v>2974</v>
      </c>
      <c r="X2047" s="424" t="s">
        <v>2224</v>
      </c>
      <c r="Y2047" s="424" t="s">
        <v>2279</v>
      </c>
      <c r="Z2047" s="424" t="s">
        <v>2889</v>
      </c>
      <c r="AA2047" s="424" t="s">
        <v>2890</v>
      </c>
      <c r="AB2047" s="424" t="s">
        <v>7898</v>
      </c>
      <c r="AC2047" s="424" t="s">
        <v>1953</v>
      </c>
      <c r="AD2047" s="424" t="s">
        <v>2892</v>
      </c>
      <c r="AE2047" s="424" t="s">
        <v>4645</v>
      </c>
      <c r="AF2047" s="424"/>
      <c r="AG2047" s="424"/>
      <c r="AH2047" s="424"/>
    </row>
    <row r="2048" spans="1:34" x14ac:dyDescent="0.25">
      <c r="A2048" s="423" t="s">
        <v>7812</v>
      </c>
      <c r="B2048" s="423" t="s">
        <v>7899</v>
      </c>
      <c r="C2048" s="423" t="s">
        <v>6852</v>
      </c>
      <c r="D2048" s="423" t="s">
        <v>6850</v>
      </c>
      <c r="E2048" s="423" t="s">
        <v>242</v>
      </c>
      <c r="F2048" s="423">
        <v>44</v>
      </c>
      <c r="G2048" s="423">
        <v>48</v>
      </c>
      <c r="H2048" s="423">
        <v>300</v>
      </c>
      <c r="J2048" s="423"/>
      <c r="K2048" s="423"/>
      <c r="L2048" s="423"/>
      <c r="M2048" s="423"/>
      <c r="Q2048" s="423"/>
      <c r="R2048" s="424" t="s">
        <v>7900</v>
      </c>
      <c r="S2048" s="424" t="s">
        <v>2846</v>
      </c>
      <c r="T2048" s="424" t="s">
        <v>3356</v>
      </c>
      <c r="U2048" s="424">
        <v>0</v>
      </c>
      <c r="V2048" s="424" t="s">
        <v>7815</v>
      </c>
      <c r="W2048" s="424" t="s">
        <v>3074</v>
      </c>
      <c r="X2048" s="424" t="s">
        <v>2224</v>
      </c>
      <c r="Y2048" s="424" t="s">
        <v>2279</v>
      </c>
      <c r="Z2048" s="424" t="s">
        <v>2848</v>
      </c>
      <c r="AA2048" s="424" t="s">
        <v>2855</v>
      </c>
      <c r="AB2048" s="424" t="s">
        <v>7901</v>
      </c>
      <c r="AC2048" s="424" t="s">
        <v>1953</v>
      </c>
      <c r="AD2048" s="424" t="s">
        <v>2851</v>
      </c>
      <c r="AE2048" s="424" t="s">
        <v>3444</v>
      </c>
      <c r="AF2048" s="424"/>
      <c r="AG2048" s="424"/>
      <c r="AH2048" s="424"/>
    </row>
    <row r="2049" spans="1:34" x14ac:dyDescent="0.25">
      <c r="A2049" s="423" t="s">
        <v>7812</v>
      </c>
      <c r="B2049" s="423" t="s">
        <v>7902</v>
      </c>
      <c r="C2049" s="423" t="s">
        <v>6852</v>
      </c>
      <c r="D2049" s="423" t="s">
        <v>6850</v>
      </c>
      <c r="E2049" s="423" t="s">
        <v>242</v>
      </c>
      <c r="F2049" s="423">
        <v>44</v>
      </c>
      <c r="G2049" s="423">
        <v>48</v>
      </c>
      <c r="H2049" s="423">
        <v>300</v>
      </c>
      <c r="J2049" s="423"/>
      <c r="K2049" s="423"/>
      <c r="L2049" s="423"/>
      <c r="M2049" s="423"/>
      <c r="Q2049" s="423"/>
      <c r="R2049" s="424" t="s">
        <v>7903</v>
      </c>
      <c r="S2049" s="424" t="s">
        <v>2846</v>
      </c>
      <c r="T2049" s="424" t="s">
        <v>3356</v>
      </c>
      <c r="U2049" s="424">
        <v>0</v>
      </c>
      <c r="V2049" s="424" t="s">
        <v>7815</v>
      </c>
      <c r="W2049" s="424" t="s">
        <v>3074</v>
      </c>
      <c r="X2049" s="424" t="s">
        <v>2224</v>
      </c>
      <c r="Y2049" s="424" t="s">
        <v>2279</v>
      </c>
      <c r="Z2049" s="424" t="s">
        <v>2848</v>
      </c>
      <c r="AA2049" s="424" t="s">
        <v>2855</v>
      </c>
      <c r="AB2049" s="424" t="s">
        <v>7904</v>
      </c>
      <c r="AC2049" s="424" t="s">
        <v>1953</v>
      </c>
      <c r="AD2049" s="424" t="s">
        <v>2851</v>
      </c>
      <c r="AE2049" s="424" t="s">
        <v>3444</v>
      </c>
      <c r="AF2049" s="424"/>
      <c r="AG2049" s="424"/>
      <c r="AH2049" s="424"/>
    </row>
    <row r="2050" spans="1:34" x14ac:dyDescent="0.25">
      <c r="A2050" s="423" t="s">
        <v>7812</v>
      </c>
      <c r="B2050" s="423" t="s">
        <v>7905</v>
      </c>
      <c r="C2050" s="423" t="s">
        <v>6852</v>
      </c>
      <c r="D2050" s="423" t="s">
        <v>6850</v>
      </c>
      <c r="E2050" s="423" t="s">
        <v>242</v>
      </c>
      <c r="F2050" s="423">
        <v>44</v>
      </c>
      <c r="G2050" s="423">
        <v>48</v>
      </c>
      <c r="H2050" s="423">
        <v>300</v>
      </c>
      <c r="J2050" s="423"/>
      <c r="K2050" s="423"/>
      <c r="L2050" s="423"/>
      <c r="M2050" s="423"/>
      <c r="Q2050" s="423"/>
      <c r="R2050" s="424" t="s">
        <v>7906</v>
      </c>
      <c r="S2050" s="424" t="s">
        <v>2846</v>
      </c>
      <c r="T2050" s="424" t="s">
        <v>3356</v>
      </c>
      <c r="U2050" s="424">
        <v>0</v>
      </c>
      <c r="V2050" s="424" t="s">
        <v>7815</v>
      </c>
      <c r="W2050" s="424" t="s">
        <v>3074</v>
      </c>
      <c r="X2050" s="424" t="s">
        <v>2224</v>
      </c>
      <c r="Y2050" s="424" t="s">
        <v>2279</v>
      </c>
      <c r="Z2050" s="424" t="s">
        <v>2848</v>
      </c>
      <c r="AA2050" s="424" t="s">
        <v>2855</v>
      </c>
      <c r="AB2050" s="424" t="s">
        <v>5361</v>
      </c>
      <c r="AC2050" s="424" t="s">
        <v>1953</v>
      </c>
      <c r="AD2050" s="424" t="s">
        <v>2851</v>
      </c>
      <c r="AE2050" s="424" t="s">
        <v>3444</v>
      </c>
      <c r="AF2050" s="424"/>
      <c r="AG2050" s="424"/>
      <c r="AH2050" s="424"/>
    </row>
    <row r="2051" spans="1:34" x14ac:dyDescent="0.25">
      <c r="A2051" s="423" t="s">
        <v>7812</v>
      </c>
      <c r="B2051" s="423" t="s">
        <v>7907</v>
      </c>
      <c r="C2051" s="423" t="s">
        <v>6852</v>
      </c>
      <c r="D2051" s="423" t="s">
        <v>6850</v>
      </c>
      <c r="E2051" s="423" t="s">
        <v>242</v>
      </c>
      <c r="F2051" s="423">
        <v>44</v>
      </c>
      <c r="G2051" s="423">
        <v>48</v>
      </c>
      <c r="H2051" s="423">
        <v>300</v>
      </c>
      <c r="J2051" s="423"/>
      <c r="K2051" s="423"/>
      <c r="L2051" s="423"/>
      <c r="M2051" s="423"/>
      <c r="Q2051" s="423"/>
      <c r="R2051" s="424" t="s">
        <v>7908</v>
      </c>
      <c r="S2051" s="424" t="s">
        <v>2846</v>
      </c>
      <c r="T2051" s="424" t="s">
        <v>3356</v>
      </c>
      <c r="U2051" s="424">
        <v>0</v>
      </c>
      <c r="V2051" s="424" t="s">
        <v>7815</v>
      </c>
      <c r="W2051" s="424" t="s">
        <v>3074</v>
      </c>
      <c r="X2051" s="424" t="s">
        <v>2224</v>
      </c>
      <c r="Y2051" s="424" t="s">
        <v>2279</v>
      </c>
      <c r="Z2051" s="424" t="s">
        <v>2848</v>
      </c>
      <c r="AA2051" s="424" t="s">
        <v>2855</v>
      </c>
      <c r="AB2051" s="424" t="s">
        <v>7909</v>
      </c>
      <c r="AC2051" s="424" t="s">
        <v>1953</v>
      </c>
      <c r="AD2051" s="424" t="s">
        <v>2851</v>
      </c>
      <c r="AE2051" s="424" t="s">
        <v>3444</v>
      </c>
      <c r="AF2051" s="424"/>
      <c r="AG2051" s="424"/>
      <c r="AH2051" s="424"/>
    </row>
    <row r="2052" spans="1:34" x14ac:dyDescent="0.25">
      <c r="A2052" s="423" t="s">
        <v>7812</v>
      </c>
      <c r="B2052" s="423" t="s">
        <v>7910</v>
      </c>
      <c r="C2052" s="423" t="s">
        <v>6852</v>
      </c>
      <c r="D2052" s="423" t="s">
        <v>6850</v>
      </c>
      <c r="E2052" s="423" t="s">
        <v>242</v>
      </c>
      <c r="F2052" s="423">
        <v>44</v>
      </c>
      <c r="G2052" s="423">
        <v>48</v>
      </c>
      <c r="H2052" s="423">
        <v>300</v>
      </c>
      <c r="J2052" s="423"/>
      <c r="K2052" s="423"/>
      <c r="L2052" s="423"/>
      <c r="M2052" s="423"/>
      <c r="Q2052" s="423"/>
      <c r="R2052" s="424" t="s">
        <v>7911</v>
      </c>
      <c r="S2052" s="424" t="s">
        <v>2846</v>
      </c>
      <c r="T2052" s="424" t="s">
        <v>3356</v>
      </c>
      <c r="U2052" s="424">
        <v>0</v>
      </c>
      <c r="V2052" s="424" t="s">
        <v>7815</v>
      </c>
      <c r="W2052" s="424" t="s">
        <v>3074</v>
      </c>
      <c r="X2052" s="424" t="s">
        <v>2224</v>
      </c>
      <c r="Y2052" s="424" t="s">
        <v>2279</v>
      </c>
      <c r="Z2052" s="424" t="s">
        <v>2848</v>
      </c>
      <c r="AA2052" s="424" t="s">
        <v>2855</v>
      </c>
      <c r="AB2052" s="424" t="s">
        <v>7912</v>
      </c>
      <c r="AC2052" s="424" t="s">
        <v>1953</v>
      </c>
      <c r="AD2052" s="424" t="s">
        <v>2851</v>
      </c>
      <c r="AE2052" s="424" t="s">
        <v>3173</v>
      </c>
      <c r="AF2052" s="424"/>
      <c r="AG2052" s="424"/>
      <c r="AH2052" s="424"/>
    </row>
    <row r="2053" spans="1:34" x14ac:dyDescent="0.25">
      <c r="A2053" s="423" t="s">
        <v>7812</v>
      </c>
      <c r="B2053" s="423" t="s">
        <v>7913</v>
      </c>
      <c r="C2053" s="423" t="s">
        <v>6852</v>
      </c>
      <c r="D2053" s="423" t="s">
        <v>6850</v>
      </c>
      <c r="E2053" s="423" t="s">
        <v>242</v>
      </c>
      <c r="F2053" s="423">
        <v>44</v>
      </c>
      <c r="G2053" s="423">
        <v>48</v>
      </c>
      <c r="H2053" s="423">
        <v>300</v>
      </c>
      <c r="J2053" s="423"/>
      <c r="K2053" s="423"/>
      <c r="L2053" s="423"/>
      <c r="M2053" s="423"/>
      <c r="Q2053" s="423"/>
      <c r="R2053" s="424" t="s">
        <v>7914</v>
      </c>
      <c r="S2053" s="424" t="s">
        <v>2846</v>
      </c>
      <c r="T2053" s="424" t="s">
        <v>3356</v>
      </c>
      <c r="U2053" s="424">
        <v>0</v>
      </c>
      <c r="V2053" s="424" t="s">
        <v>7815</v>
      </c>
      <c r="W2053" s="424" t="s">
        <v>3074</v>
      </c>
      <c r="X2053" s="424" t="s">
        <v>2224</v>
      </c>
      <c r="Y2053" s="424" t="s">
        <v>2279</v>
      </c>
      <c r="Z2053" s="424" t="s">
        <v>2848</v>
      </c>
      <c r="AA2053" s="424" t="s">
        <v>2855</v>
      </c>
      <c r="AB2053" s="424" t="s">
        <v>7915</v>
      </c>
      <c r="AC2053" s="424" t="s">
        <v>1953</v>
      </c>
      <c r="AD2053" s="424" t="s">
        <v>2851</v>
      </c>
      <c r="AE2053" s="424" t="s">
        <v>3173</v>
      </c>
      <c r="AF2053" s="424"/>
      <c r="AG2053" s="424"/>
      <c r="AH2053" s="424"/>
    </row>
    <row r="2054" spans="1:34" x14ac:dyDescent="0.25">
      <c r="A2054" s="423" t="s">
        <v>7812</v>
      </c>
      <c r="B2054" s="423" t="s">
        <v>7916</v>
      </c>
      <c r="C2054" s="423" t="s">
        <v>6852</v>
      </c>
      <c r="D2054" s="423" t="s">
        <v>6850</v>
      </c>
      <c r="E2054" s="423" t="s">
        <v>242</v>
      </c>
      <c r="F2054" s="423">
        <v>44</v>
      </c>
      <c r="G2054" s="423">
        <v>48</v>
      </c>
      <c r="H2054" s="423">
        <v>300</v>
      </c>
      <c r="J2054" s="423"/>
      <c r="K2054" s="423"/>
      <c r="L2054" s="423"/>
      <c r="M2054" s="423"/>
      <c r="Q2054" s="423"/>
      <c r="R2054" s="424" t="s">
        <v>7917</v>
      </c>
      <c r="S2054" s="424" t="s">
        <v>2846</v>
      </c>
      <c r="T2054" s="424" t="s">
        <v>3356</v>
      </c>
      <c r="U2054" s="424">
        <v>0</v>
      </c>
      <c r="V2054" s="424" t="s">
        <v>7815</v>
      </c>
      <c r="W2054" s="424" t="s">
        <v>3074</v>
      </c>
      <c r="X2054" s="424" t="s">
        <v>2224</v>
      </c>
      <c r="Y2054" s="424" t="s">
        <v>2279</v>
      </c>
      <c r="Z2054" s="424" t="s">
        <v>2848</v>
      </c>
      <c r="AA2054" s="424" t="s">
        <v>2855</v>
      </c>
      <c r="AB2054" s="424" t="s">
        <v>7918</v>
      </c>
      <c r="AC2054" s="424" t="s">
        <v>1953</v>
      </c>
      <c r="AD2054" s="424" t="s">
        <v>2851</v>
      </c>
      <c r="AE2054" s="424" t="s">
        <v>3173</v>
      </c>
      <c r="AF2054" s="424"/>
      <c r="AG2054" s="424"/>
      <c r="AH2054" s="424"/>
    </row>
    <row r="2055" spans="1:34" x14ac:dyDescent="0.25">
      <c r="A2055" s="423" t="s">
        <v>7812</v>
      </c>
      <c r="B2055" s="423" t="s">
        <v>7919</v>
      </c>
      <c r="C2055" s="423" t="s">
        <v>6852</v>
      </c>
      <c r="D2055" s="423" t="s">
        <v>6850</v>
      </c>
      <c r="E2055" s="423" t="s">
        <v>242</v>
      </c>
      <c r="F2055" s="423">
        <v>44</v>
      </c>
      <c r="G2055" s="423">
        <v>48</v>
      </c>
      <c r="H2055" s="423">
        <v>300</v>
      </c>
      <c r="J2055" s="423"/>
      <c r="K2055" s="423"/>
      <c r="L2055" s="423"/>
      <c r="M2055" s="423"/>
      <c r="Q2055" s="423"/>
      <c r="R2055" s="424" t="s">
        <v>7920</v>
      </c>
      <c r="S2055" s="424" t="s">
        <v>2846</v>
      </c>
      <c r="T2055" s="424" t="s">
        <v>3356</v>
      </c>
      <c r="U2055" s="424">
        <v>0</v>
      </c>
      <c r="V2055" s="424" t="s">
        <v>7815</v>
      </c>
      <c r="W2055" s="424" t="s">
        <v>3074</v>
      </c>
      <c r="X2055" s="424" t="s">
        <v>2224</v>
      </c>
      <c r="Y2055" s="424" t="s">
        <v>2279</v>
      </c>
      <c r="Z2055" s="424" t="s">
        <v>2848</v>
      </c>
      <c r="AA2055" s="424" t="s">
        <v>2855</v>
      </c>
      <c r="AB2055" s="424" t="s">
        <v>5330</v>
      </c>
      <c r="AC2055" s="424" t="s">
        <v>1953</v>
      </c>
      <c r="AD2055" s="424" t="s">
        <v>2851</v>
      </c>
      <c r="AE2055" s="424" t="s">
        <v>3444</v>
      </c>
      <c r="AF2055" s="424"/>
      <c r="AG2055" s="424"/>
      <c r="AH2055" s="424"/>
    </row>
    <row r="2056" spans="1:34" x14ac:dyDescent="0.25">
      <c r="A2056" s="423" t="s">
        <v>7812</v>
      </c>
      <c r="B2056" s="423" t="s">
        <v>7921</v>
      </c>
      <c r="C2056" s="423" t="s">
        <v>6852</v>
      </c>
      <c r="D2056" s="423" t="s">
        <v>6850</v>
      </c>
      <c r="E2056" s="423" t="s">
        <v>242</v>
      </c>
      <c r="F2056" s="423">
        <v>44</v>
      </c>
      <c r="G2056" s="423">
        <v>48</v>
      </c>
      <c r="H2056" s="423">
        <v>300</v>
      </c>
      <c r="J2056" s="423"/>
      <c r="K2056" s="423"/>
      <c r="L2056" s="423"/>
      <c r="M2056" s="423"/>
      <c r="Q2056" s="423"/>
      <c r="R2056" s="424" t="s">
        <v>7922</v>
      </c>
      <c r="S2056" s="424" t="s">
        <v>2846</v>
      </c>
      <c r="T2056" s="424" t="s">
        <v>3356</v>
      </c>
      <c r="U2056" s="424">
        <v>0</v>
      </c>
      <c r="V2056" s="424" t="s">
        <v>7815</v>
      </c>
      <c r="W2056" s="424" t="s">
        <v>3074</v>
      </c>
      <c r="X2056" s="424" t="s">
        <v>2224</v>
      </c>
      <c r="Y2056" s="424" t="s">
        <v>2279</v>
      </c>
      <c r="Z2056" s="424" t="s">
        <v>2848</v>
      </c>
      <c r="AA2056" s="424" t="s">
        <v>2855</v>
      </c>
      <c r="AB2056" s="424" t="s">
        <v>7923</v>
      </c>
      <c r="AC2056" s="424" t="s">
        <v>1953</v>
      </c>
      <c r="AD2056" s="424" t="s">
        <v>2851</v>
      </c>
      <c r="AE2056" s="424" t="s">
        <v>3444</v>
      </c>
      <c r="AF2056" s="424"/>
      <c r="AG2056" s="424"/>
      <c r="AH2056" s="424"/>
    </row>
    <row r="2057" spans="1:34" x14ac:dyDescent="0.25">
      <c r="A2057" s="423" t="s">
        <v>7812</v>
      </c>
      <c r="B2057" s="423" t="s">
        <v>7924</v>
      </c>
      <c r="C2057" s="423" t="s">
        <v>6852</v>
      </c>
      <c r="D2057" s="423" t="s">
        <v>6850</v>
      </c>
      <c r="E2057" s="423" t="s">
        <v>242</v>
      </c>
      <c r="F2057" s="423">
        <v>44</v>
      </c>
      <c r="G2057" s="423">
        <v>48</v>
      </c>
      <c r="H2057" s="423">
        <v>300</v>
      </c>
      <c r="J2057" s="423"/>
      <c r="K2057" s="423"/>
      <c r="L2057" s="423"/>
      <c r="M2057" s="423"/>
      <c r="Q2057" s="423"/>
      <c r="R2057" s="424" t="s">
        <v>7925</v>
      </c>
      <c r="S2057" s="424" t="s">
        <v>2846</v>
      </c>
      <c r="T2057" s="424" t="s">
        <v>3356</v>
      </c>
      <c r="U2057" s="424">
        <v>0</v>
      </c>
      <c r="V2057" s="424" t="s">
        <v>7815</v>
      </c>
      <c r="W2057" s="424" t="s">
        <v>3074</v>
      </c>
      <c r="X2057" s="424" t="s">
        <v>2224</v>
      </c>
      <c r="Y2057" s="424" t="s">
        <v>2279</v>
      </c>
      <c r="Z2057" s="424" t="s">
        <v>2848</v>
      </c>
      <c r="AA2057" s="424" t="s">
        <v>2855</v>
      </c>
      <c r="AB2057" s="424" t="s">
        <v>5333</v>
      </c>
      <c r="AC2057" s="424" t="s">
        <v>1953</v>
      </c>
      <c r="AD2057" s="424" t="s">
        <v>2851</v>
      </c>
      <c r="AE2057" s="424" t="s">
        <v>3444</v>
      </c>
      <c r="AF2057" s="424"/>
      <c r="AG2057" s="424"/>
      <c r="AH2057" s="424"/>
    </row>
    <row r="2058" spans="1:34" x14ac:dyDescent="0.25">
      <c r="A2058" s="423" t="s">
        <v>7812</v>
      </c>
      <c r="B2058" s="423" t="s">
        <v>7926</v>
      </c>
      <c r="C2058" s="423" t="s">
        <v>6852</v>
      </c>
      <c r="D2058" s="423" t="s">
        <v>6850</v>
      </c>
      <c r="E2058" s="423" t="s">
        <v>242</v>
      </c>
      <c r="F2058" s="423">
        <v>44</v>
      </c>
      <c r="G2058" s="423">
        <v>48</v>
      </c>
      <c r="H2058" s="423">
        <v>300</v>
      </c>
      <c r="J2058" s="423"/>
      <c r="K2058" s="423"/>
      <c r="L2058" s="423"/>
      <c r="M2058" s="423"/>
      <c r="Q2058" s="423"/>
      <c r="R2058" s="424" t="s">
        <v>7927</v>
      </c>
      <c r="S2058" s="424" t="s">
        <v>2846</v>
      </c>
      <c r="T2058" s="424" t="s">
        <v>3356</v>
      </c>
      <c r="U2058" s="424">
        <v>0</v>
      </c>
      <c r="V2058" s="424" t="s">
        <v>7815</v>
      </c>
      <c r="W2058" s="424" t="s">
        <v>3074</v>
      </c>
      <c r="X2058" s="424" t="s">
        <v>2224</v>
      </c>
      <c r="Y2058" s="424" t="s">
        <v>2279</v>
      </c>
      <c r="Z2058" s="424" t="s">
        <v>2848</v>
      </c>
      <c r="AA2058" s="424" t="s">
        <v>2855</v>
      </c>
      <c r="AB2058" s="424" t="s">
        <v>7928</v>
      </c>
      <c r="AC2058" s="424" t="s">
        <v>1953</v>
      </c>
      <c r="AD2058" s="424" t="s">
        <v>2851</v>
      </c>
      <c r="AE2058" s="424" t="s">
        <v>3173</v>
      </c>
      <c r="AF2058" s="424"/>
      <c r="AG2058" s="424"/>
      <c r="AH2058" s="424"/>
    </row>
    <row r="2059" spans="1:34" x14ac:dyDescent="0.25">
      <c r="A2059" s="423" t="s">
        <v>7812</v>
      </c>
      <c r="B2059" s="423" t="s">
        <v>7929</v>
      </c>
      <c r="C2059" s="423" t="s">
        <v>6852</v>
      </c>
      <c r="D2059" s="423" t="s">
        <v>6850</v>
      </c>
      <c r="E2059" s="423" t="s">
        <v>242</v>
      </c>
      <c r="F2059" s="423">
        <v>44</v>
      </c>
      <c r="G2059" s="423">
        <v>48</v>
      </c>
      <c r="H2059" s="423">
        <v>300</v>
      </c>
      <c r="J2059" s="423"/>
      <c r="K2059" s="423"/>
      <c r="L2059" s="423"/>
      <c r="M2059" s="423"/>
      <c r="Q2059" s="423"/>
      <c r="R2059" s="424" t="s">
        <v>7930</v>
      </c>
      <c r="S2059" s="424" t="s">
        <v>2846</v>
      </c>
      <c r="T2059" s="424" t="s">
        <v>3356</v>
      </c>
      <c r="U2059" s="424">
        <v>0</v>
      </c>
      <c r="V2059" s="424" t="s">
        <v>7815</v>
      </c>
      <c r="W2059" s="424" t="s">
        <v>3074</v>
      </c>
      <c r="X2059" s="424" t="s">
        <v>2224</v>
      </c>
      <c r="Y2059" s="424" t="s">
        <v>2279</v>
      </c>
      <c r="Z2059" s="424" t="s">
        <v>2848</v>
      </c>
      <c r="AA2059" s="424" t="s">
        <v>2855</v>
      </c>
      <c r="AB2059" s="424" t="s">
        <v>7931</v>
      </c>
      <c r="AC2059" s="424" t="s">
        <v>1953</v>
      </c>
      <c r="AD2059" s="424" t="s">
        <v>2851</v>
      </c>
      <c r="AE2059" s="424" t="s">
        <v>3444</v>
      </c>
      <c r="AF2059" s="424"/>
      <c r="AG2059" s="424"/>
      <c r="AH2059" s="424"/>
    </row>
    <row r="2060" spans="1:34" x14ac:dyDescent="0.25">
      <c r="A2060" s="423" t="s">
        <v>7812</v>
      </c>
      <c r="B2060" s="423" t="s">
        <v>7932</v>
      </c>
      <c r="C2060" s="423" t="s">
        <v>6852</v>
      </c>
      <c r="D2060" s="423" t="s">
        <v>6850</v>
      </c>
      <c r="E2060" s="423" t="s">
        <v>242</v>
      </c>
      <c r="F2060" s="423">
        <v>44</v>
      </c>
      <c r="G2060" s="423">
        <v>48</v>
      </c>
      <c r="H2060" s="423">
        <v>300</v>
      </c>
      <c r="J2060" s="423"/>
      <c r="K2060" s="423"/>
      <c r="L2060" s="423"/>
      <c r="M2060" s="423"/>
      <c r="Q2060" s="423"/>
      <c r="R2060" s="424" t="s">
        <v>7933</v>
      </c>
      <c r="S2060" s="424" t="s">
        <v>2846</v>
      </c>
      <c r="T2060" s="424" t="s">
        <v>3356</v>
      </c>
      <c r="U2060" s="424">
        <v>0</v>
      </c>
      <c r="V2060" s="424" t="s">
        <v>7815</v>
      </c>
      <c r="W2060" s="424" t="s">
        <v>3074</v>
      </c>
      <c r="X2060" s="424" t="s">
        <v>2224</v>
      </c>
      <c r="Y2060" s="424" t="s">
        <v>2279</v>
      </c>
      <c r="Z2060" s="424" t="s">
        <v>2848</v>
      </c>
      <c r="AA2060" s="424" t="s">
        <v>2855</v>
      </c>
      <c r="AB2060" s="424" t="s">
        <v>7934</v>
      </c>
      <c r="AC2060" s="424" t="s">
        <v>1953</v>
      </c>
      <c r="AD2060" s="424" t="s">
        <v>2851</v>
      </c>
      <c r="AE2060" s="424" t="s">
        <v>3444</v>
      </c>
      <c r="AF2060" s="424"/>
      <c r="AG2060" s="424"/>
      <c r="AH2060" s="424"/>
    </row>
    <row r="2061" spans="1:34" x14ac:dyDescent="0.25">
      <c r="A2061" s="423" t="s">
        <v>7812</v>
      </c>
      <c r="B2061" s="423" t="s">
        <v>7935</v>
      </c>
      <c r="C2061" s="423" t="s">
        <v>6852</v>
      </c>
      <c r="D2061" s="423" t="s">
        <v>6850</v>
      </c>
      <c r="E2061" s="423" t="s">
        <v>242</v>
      </c>
      <c r="F2061" s="423">
        <v>44</v>
      </c>
      <c r="G2061" s="423">
        <v>48</v>
      </c>
      <c r="H2061" s="423">
        <v>300</v>
      </c>
      <c r="J2061" s="423"/>
      <c r="K2061" s="423"/>
      <c r="L2061" s="423"/>
      <c r="M2061" s="423"/>
      <c r="Q2061" s="423"/>
      <c r="R2061" s="424" t="s">
        <v>7936</v>
      </c>
      <c r="S2061" s="424" t="s">
        <v>2846</v>
      </c>
      <c r="T2061" s="424" t="s">
        <v>3356</v>
      </c>
      <c r="U2061" s="424">
        <v>0</v>
      </c>
      <c r="V2061" s="424" t="s">
        <v>7815</v>
      </c>
      <c r="W2061" s="424" t="s">
        <v>3074</v>
      </c>
      <c r="X2061" s="424" t="s">
        <v>2224</v>
      </c>
      <c r="Y2061" s="424" t="s">
        <v>2279</v>
      </c>
      <c r="Z2061" s="424" t="s">
        <v>2848</v>
      </c>
      <c r="AA2061" s="424" t="s">
        <v>2855</v>
      </c>
      <c r="AB2061" s="424" t="s">
        <v>7937</v>
      </c>
      <c r="AC2061" s="424" t="s">
        <v>1953</v>
      </c>
      <c r="AD2061" s="424" t="s">
        <v>2851</v>
      </c>
      <c r="AE2061" s="424" t="s">
        <v>3173</v>
      </c>
      <c r="AF2061" s="424"/>
      <c r="AG2061" s="424"/>
      <c r="AH2061" s="424"/>
    </row>
    <row r="2062" spans="1:34" x14ac:dyDescent="0.25">
      <c r="A2062" s="423" t="s">
        <v>7812</v>
      </c>
      <c r="B2062" s="423" t="s">
        <v>7938</v>
      </c>
      <c r="C2062" s="423" t="s">
        <v>6852</v>
      </c>
      <c r="D2062" s="423" t="s">
        <v>6850</v>
      </c>
      <c r="E2062" s="423" t="s">
        <v>242</v>
      </c>
      <c r="F2062" s="423">
        <v>44</v>
      </c>
      <c r="G2062" s="423">
        <v>48</v>
      </c>
      <c r="H2062" s="423">
        <v>300</v>
      </c>
      <c r="J2062" s="423"/>
      <c r="K2062" s="423"/>
      <c r="L2062" s="423"/>
      <c r="M2062" s="423"/>
      <c r="Q2062" s="423"/>
      <c r="R2062" s="424" t="s">
        <v>7939</v>
      </c>
      <c r="S2062" s="424" t="s">
        <v>2846</v>
      </c>
      <c r="T2062" s="424" t="s">
        <v>3356</v>
      </c>
      <c r="U2062" s="424">
        <v>0</v>
      </c>
      <c r="V2062" s="424" t="s">
        <v>7815</v>
      </c>
      <c r="W2062" s="424" t="s">
        <v>3074</v>
      </c>
      <c r="X2062" s="424" t="s">
        <v>2224</v>
      </c>
      <c r="Y2062" s="424" t="s">
        <v>2279</v>
      </c>
      <c r="Z2062" s="424" t="s">
        <v>2848</v>
      </c>
      <c r="AA2062" s="424" t="s">
        <v>2855</v>
      </c>
      <c r="AB2062" s="424" t="s">
        <v>7940</v>
      </c>
      <c r="AC2062" s="424" t="s">
        <v>1953</v>
      </c>
      <c r="AD2062" s="424" t="s">
        <v>2851</v>
      </c>
      <c r="AE2062" s="424" t="s">
        <v>3444</v>
      </c>
      <c r="AF2062" s="424"/>
      <c r="AG2062" s="424"/>
      <c r="AH2062" s="424"/>
    </row>
    <row r="2063" spans="1:34" x14ac:dyDescent="0.25">
      <c r="A2063" s="423" t="s">
        <v>7812</v>
      </c>
      <c r="B2063" s="423" t="s">
        <v>7941</v>
      </c>
      <c r="C2063" s="423" t="s">
        <v>6852</v>
      </c>
      <c r="D2063" s="423" t="s">
        <v>6850</v>
      </c>
      <c r="E2063" s="423" t="s">
        <v>242</v>
      </c>
      <c r="F2063" s="423">
        <v>44</v>
      </c>
      <c r="G2063" s="423">
        <v>48</v>
      </c>
      <c r="H2063" s="423">
        <v>300</v>
      </c>
      <c r="J2063" s="423"/>
      <c r="K2063" s="423"/>
      <c r="L2063" s="423"/>
      <c r="M2063" s="423"/>
      <c r="Q2063" s="423"/>
      <c r="R2063" s="424" t="s">
        <v>7942</v>
      </c>
      <c r="S2063" s="424" t="s">
        <v>2846</v>
      </c>
      <c r="T2063" s="424" t="s">
        <v>3356</v>
      </c>
      <c r="U2063" s="424">
        <v>0</v>
      </c>
      <c r="V2063" s="424" t="s">
        <v>7815</v>
      </c>
      <c r="W2063" s="424" t="s">
        <v>3074</v>
      </c>
      <c r="X2063" s="424" t="s">
        <v>2224</v>
      </c>
      <c r="Y2063" s="424" t="s">
        <v>2279</v>
      </c>
      <c r="Z2063" s="424" t="s">
        <v>2848</v>
      </c>
      <c r="AA2063" s="424" t="s">
        <v>2855</v>
      </c>
      <c r="AB2063" s="424" t="s">
        <v>7943</v>
      </c>
      <c r="AC2063" s="424" t="s">
        <v>1953</v>
      </c>
      <c r="AD2063" s="424" t="s">
        <v>2851</v>
      </c>
      <c r="AE2063" s="424" t="s">
        <v>3444</v>
      </c>
      <c r="AF2063" s="424"/>
      <c r="AG2063" s="424"/>
      <c r="AH2063" s="424"/>
    </row>
    <row r="2064" spans="1:34" x14ac:dyDescent="0.25">
      <c r="A2064" s="423" t="s">
        <v>7812</v>
      </c>
      <c r="B2064" s="423" t="s">
        <v>7944</v>
      </c>
      <c r="C2064" s="423" t="s">
        <v>6852</v>
      </c>
      <c r="D2064" s="423" t="s">
        <v>6850</v>
      </c>
      <c r="E2064" s="423" t="s">
        <v>242</v>
      </c>
      <c r="F2064" s="423">
        <v>44</v>
      </c>
      <c r="G2064" s="423">
        <v>48</v>
      </c>
      <c r="H2064" s="423">
        <v>300</v>
      </c>
      <c r="J2064" s="423"/>
      <c r="K2064" s="423"/>
      <c r="L2064" s="423"/>
      <c r="M2064" s="423"/>
      <c r="Q2064" s="423"/>
      <c r="R2064" s="424" t="s">
        <v>7945</v>
      </c>
      <c r="S2064" s="424" t="s">
        <v>2846</v>
      </c>
      <c r="T2064" s="424" t="s">
        <v>3356</v>
      </c>
      <c r="U2064" s="424">
        <v>0</v>
      </c>
      <c r="V2064" s="424" t="s">
        <v>7815</v>
      </c>
      <c r="W2064" s="424" t="s">
        <v>3074</v>
      </c>
      <c r="X2064" s="424" t="s">
        <v>2224</v>
      </c>
      <c r="Y2064" s="424" t="s">
        <v>2279</v>
      </c>
      <c r="Z2064" s="424" t="s">
        <v>2848</v>
      </c>
      <c r="AA2064" s="424" t="s">
        <v>2855</v>
      </c>
      <c r="AB2064" s="424" t="s">
        <v>7931</v>
      </c>
      <c r="AC2064" s="424" t="s">
        <v>1953</v>
      </c>
      <c r="AD2064" s="424" t="s">
        <v>2851</v>
      </c>
      <c r="AE2064" s="424" t="s">
        <v>3444</v>
      </c>
      <c r="AF2064" s="424"/>
      <c r="AG2064" s="424"/>
      <c r="AH2064" s="424"/>
    </row>
    <row r="2065" spans="1:34" x14ac:dyDescent="0.25">
      <c r="A2065" s="423" t="s">
        <v>7812</v>
      </c>
      <c r="B2065" s="423" t="s">
        <v>7946</v>
      </c>
      <c r="C2065" s="423" t="s">
        <v>6852</v>
      </c>
      <c r="D2065" s="423" t="s">
        <v>6850</v>
      </c>
      <c r="E2065" s="423" t="s">
        <v>242</v>
      </c>
      <c r="F2065" s="423">
        <v>44</v>
      </c>
      <c r="G2065" s="423">
        <v>48</v>
      </c>
      <c r="H2065" s="423">
        <v>300</v>
      </c>
      <c r="J2065" s="423"/>
      <c r="K2065" s="423"/>
      <c r="L2065" s="423"/>
      <c r="M2065" s="423"/>
      <c r="Q2065" s="423"/>
      <c r="R2065" s="424" t="s">
        <v>7947</v>
      </c>
      <c r="S2065" s="424" t="s">
        <v>2846</v>
      </c>
      <c r="T2065" s="424" t="s">
        <v>3356</v>
      </c>
      <c r="U2065" s="424">
        <v>0</v>
      </c>
      <c r="V2065" s="424" t="s">
        <v>7815</v>
      </c>
      <c r="W2065" s="424" t="s">
        <v>3074</v>
      </c>
      <c r="X2065" s="424" t="s">
        <v>2224</v>
      </c>
      <c r="Y2065" s="424" t="s">
        <v>2279</v>
      </c>
      <c r="Z2065" s="424" t="s">
        <v>2848</v>
      </c>
      <c r="AA2065" s="424" t="s">
        <v>2855</v>
      </c>
      <c r="AB2065" s="424" t="s">
        <v>7948</v>
      </c>
      <c r="AC2065" s="424" t="s">
        <v>1953</v>
      </c>
      <c r="AD2065" s="424" t="s">
        <v>2851</v>
      </c>
      <c r="AE2065" s="424" t="s">
        <v>3173</v>
      </c>
      <c r="AF2065" s="424"/>
      <c r="AG2065" s="424"/>
      <c r="AH2065" s="424"/>
    </row>
    <row r="2066" spans="1:34" x14ac:dyDescent="0.25">
      <c r="A2066" s="423" t="s">
        <v>7812</v>
      </c>
      <c r="B2066" s="423" t="s">
        <v>7949</v>
      </c>
      <c r="C2066" s="423" t="s">
        <v>6852</v>
      </c>
      <c r="D2066" s="423" t="s">
        <v>6850</v>
      </c>
      <c r="E2066" s="423" t="s">
        <v>242</v>
      </c>
      <c r="F2066" s="423">
        <v>44</v>
      </c>
      <c r="G2066" s="423">
        <v>48</v>
      </c>
      <c r="H2066" s="423">
        <v>300</v>
      </c>
      <c r="J2066" s="423"/>
      <c r="K2066" s="423"/>
      <c r="L2066" s="423"/>
      <c r="M2066" s="423"/>
      <c r="Q2066" s="423"/>
      <c r="R2066" s="424" t="s">
        <v>7950</v>
      </c>
      <c r="S2066" s="424" t="s">
        <v>2846</v>
      </c>
      <c r="T2066" s="424" t="s">
        <v>3356</v>
      </c>
      <c r="U2066" s="424">
        <v>0</v>
      </c>
      <c r="V2066" s="424" t="s">
        <v>7815</v>
      </c>
      <c r="W2066" s="424" t="s">
        <v>3074</v>
      </c>
      <c r="X2066" s="424" t="s">
        <v>2224</v>
      </c>
      <c r="Y2066" s="424" t="s">
        <v>2279</v>
      </c>
      <c r="Z2066" s="424" t="s">
        <v>2848</v>
      </c>
      <c r="AA2066" s="424" t="s">
        <v>2855</v>
      </c>
      <c r="AB2066" s="424" t="s">
        <v>7951</v>
      </c>
      <c r="AC2066" s="424" t="s">
        <v>1953</v>
      </c>
      <c r="AD2066" s="424" t="s">
        <v>2851</v>
      </c>
      <c r="AE2066" s="424" t="s">
        <v>3173</v>
      </c>
      <c r="AF2066" s="424"/>
      <c r="AG2066" s="424"/>
      <c r="AH2066" s="424"/>
    </row>
    <row r="2067" spans="1:34" x14ac:dyDescent="0.25">
      <c r="A2067" s="423" t="s">
        <v>7812</v>
      </c>
      <c r="B2067" s="423" t="s">
        <v>7952</v>
      </c>
      <c r="C2067" s="423" t="s">
        <v>6852</v>
      </c>
      <c r="D2067" s="423" t="s">
        <v>6850</v>
      </c>
      <c r="E2067" s="423" t="s">
        <v>242</v>
      </c>
      <c r="F2067" s="423">
        <v>44</v>
      </c>
      <c r="G2067" s="423">
        <v>48</v>
      </c>
      <c r="H2067" s="423">
        <v>300</v>
      </c>
      <c r="J2067" s="423"/>
      <c r="K2067" s="423"/>
      <c r="L2067" s="423"/>
      <c r="M2067" s="423"/>
      <c r="Q2067" s="423"/>
      <c r="R2067" s="424" t="s">
        <v>7953</v>
      </c>
      <c r="S2067" s="424" t="s">
        <v>2846</v>
      </c>
      <c r="T2067" s="424" t="s">
        <v>3356</v>
      </c>
      <c r="U2067" s="424">
        <v>0</v>
      </c>
      <c r="V2067" s="424" t="s">
        <v>7815</v>
      </c>
      <c r="W2067" s="424" t="s">
        <v>3074</v>
      </c>
      <c r="X2067" s="424" t="s">
        <v>2224</v>
      </c>
      <c r="Y2067" s="424" t="s">
        <v>2279</v>
      </c>
      <c r="Z2067" s="424" t="s">
        <v>2848</v>
      </c>
      <c r="AA2067" s="424" t="s">
        <v>2855</v>
      </c>
      <c r="AB2067" s="424" t="s">
        <v>7954</v>
      </c>
      <c r="AC2067" s="424" t="s">
        <v>1953</v>
      </c>
      <c r="AD2067" s="424" t="s">
        <v>2851</v>
      </c>
      <c r="AE2067" s="424" t="s">
        <v>3173</v>
      </c>
      <c r="AF2067" s="424"/>
      <c r="AG2067" s="424"/>
      <c r="AH2067" s="424"/>
    </row>
    <row r="2068" spans="1:34" x14ac:dyDescent="0.25">
      <c r="A2068" s="423" t="s">
        <v>7812</v>
      </c>
      <c r="B2068" s="423" t="s">
        <v>7955</v>
      </c>
      <c r="C2068" s="423" t="s">
        <v>6852</v>
      </c>
      <c r="D2068" s="423" t="s">
        <v>6850</v>
      </c>
      <c r="E2068" s="423" t="s">
        <v>242</v>
      </c>
      <c r="F2068" s="423">
        <v>44</v>
      </c>
      <c r="G2068" s="423">
        <v>48</v>
      </c>
      <c r="H2068" s="423">
        <v>300</v>
      </c>
      <c r="J2068" s="423"/>
      <c r="K2068" s="423"/>
      <c r="L2068" s="423"/>
      <c r="M2068" s="423"/>
      <c r="Q2068" s="423"/>
      <c r="R2068" s="424" t="s">
        <v>7956</v>
      </c>
      <c r="S2068" s="424" t="s">
        <v>2846</v>
      </c>
      <c r="T2068" s="424" t="s">
        <v>3356</v>
      </c>
      <c r="U2068" s="424">
        <v>0</v>
      </c>
      <c r="V2068" s="424" t="s">
        <v>7815</v>
      </c>
      <c r="W2068" s="424" t="s">
        <v>3074</v>
      </c>
      <c r="X2068" s="424" t="s">
        <v>2224</v>
      </c>
      <c r="Y2068" s="424" t="s">
        <v>2279</v>
      </c>
      <c r="Z2068" s="424" t="s">
        <v>2848</v>
      </c>
      <c r="AA2068" s="424" t="s">
        <v>2855</v>
      </c>
      <c r="AB2068" s="424" t="s">
        <v>7957</v>
      </c>
      <c r="AC2068" s="424" t="s">
        <v>1953</v>
      </c>
      <c r="AD2068" s="424" t="s">
        <v>2851</v>
      </c>
      <c r="AE2068" s="424" t="s">
        <v>3444</v>
      </c>
      <c r="AF2068" s="424"/>
      <c r="AG2068" s="424"/>
      <c r="AH2068" s="424"/>
    </row>
    <row r="2069" spans="1:34" x14ac:dyDescent="0.25">
      <c r="A2069" s="423" t="s">
        <v>7812</v>
      </c>
      <c r="B2069" s="423" t="s">
        <v>7958</v>
      </c>
      <c r="C2069" s="423" t="s">
        <v>6852</v>
      </c>
      <c r="D2069" s="423" t="s">
        <v>6850</v>
      </c>
      <c r="E2069" s="423" t="s">
        <v>242</v>
      </c>
      <c r="F2069" s="423">
        <v>44</v>
      </c>
      <c r="G2069" s="423">
        <v>48</v>
      </c>
      <c r="H2069" s="423">
        <v>300</v>
      </c>
      <c r="J2069" s="423"/>
      <c r="K2069" s="423"/>
      <c r="L2069" s="423"/>
      <c r="M2069" s="423"/>
      <c r="Q2069" s="423"/>
      <c r="R2069" s="424" t="s">
        <v>7959</v>
      </c>
      <c r="S2069" s="424" t="s">
        <v>2846</v>
      </c>
      <c r="T2069" s="424" t="s">
        <v>3356</v>
      </c>
      <c r="U2069" s="424">
        <v>0</v>
      </c>
      <c r="V2069" s="424" t="s">
        <v>7815</v>
      </c>
      <c r="W2069" s="424" t="s">
        <v>3074</v>
      </c>
      <c r="X2069" s="424" t="s">
        <v>2224</v>
      </c>
      <c r="Y2069" s="424" t="s">
        <v>2279</v>
      </c>
      <c r="Z2069" s="424" t="s">
        <v>2848</v>
      </c>
      <c r="AA2069" s="424" t="s">
        <v>2855</v>
      </c>
      <c r="AB2069" s="424" t="s">
        <v>7960</v>
      </c>
      <c r="AC2069" s="424" t="s">
        <v>1953</v>
      </c>
      <c r="AD2069" s="424" t="s">
        <v>2851</v>
      </c>
      <c r="AE2069" s="424" t="s">
        <v>3444</v>
      </c>
      <c r="AF2069" s="424"/>
      <c r="AG2069" s="424"/>
      <c r="AH2069" s="424"/>
    </row>
    <row r="2070" spans="1:34" x14ac:dyDescent="0.25">
      <c r="A2070" s="423" t="s">
        <v>7812</v>
      </c>
      <c r="B2070" s="423" t="s">
        <v>7961</v>
      </c>
      <c r="C2070" s="423" t="s">
        <v>6852</v>
      </c>
      <c r="D2070" s="423" t="s">
        <v>6850</v>
      </c>
      <c r="E2070" s="423" t="s">
        <v>242</v>
      </c>
      <c r="F2070" s="423">
        <v>44</v>
      </c>
      <c r="G2070" s="423">
        <v>48</v>
      </c>
      <c r="H2070" s="423">
        <v>300</v>
      </c>
      <c r="J2070" s="423"/>
      <c r="K2070" s="423"/>
      <c r="L2070" s="423"/>
      <c r="M2070" s="423"/>
      <c r="Q2070" s="423"/>
      <c r="R2070" s="424" t="s">
        <v>7962</v>
      </c>
      <c r="S2070" s="424" t="s">
        <v>2846</v>
      </c>
      <c r="T2070" s="424" t="s">
        <v>3356</v>
      </c>
      <c r="U2070" s="424">
        <v>0</v>
      </c>
      <c r="V2070" s="424" t="s">
        <v>7815</v>
      </c>
      <c r="W2070" s="424" t="s">
        <v>3074</v>
      </c>
      <c r="X2070" s="424" t="s">
        <v>2224</v>
      </c>
      <c r="Y2070" s="424" t="s">
        <v>2279</v>
      </c>
      <c r="Z2070" s="424" t="s">
        <v>2848</v>
      </c>
      <c r="AA2070" s="424" t="s">
        <v>2855</v>
      </c>
      <c r="AB2070" s="424" t="s">
        <v>7960</v>
      </c>
      <c r="AC2070" s="424" t="s">
        <v>1953</v>
      </c>
      <c r="AD2070" s="424" t="s">
        <v>2851</v>
      </c>
      <c r="AE2070" s="424" t="s">
        <v>3444</v>
      </c>
      <c r="AF2070" s="424"/>
      <c r="AG2070" s="424"/>
      <c r="AH2070" s="424"/>
    </row>
    <row r="2071" spans="1:34" x14ac:dyDescent="0.25">
      <c r="A2071" s="423" t="s">
        <v>7812</v>
      </c>
      <c r="B2071" s="423" t="s">
        <v>7963</v>
      </c>
      <c r="C2071" s="423" t="s">
        <v>6852</v>
      </c>
      <c r="D2071" s="423" t="s">
        <v>6850</v>
      </c>
      <c r="E2071" s="423" t="s">
        <v>242</v>
      </c>
      <c r="F2071" s="423">
        <v>44</v>
      </c>
      <c r="G2071" s="423">
        <v>48</v>
      </c>
      <c r="H2071" s="423">
        <v>300</v>
      </c>
      <c r="J2071" s="423"/>
      <c r="K2071" s="423"/>
      <c r="L2071" s="423"/>
      <c r="M2071" s="423"/>
      <c r="Q2071" s="423"/>
      <c r="R2071" s="424" t="s">
        <v>7964</v>
      </c>
      <c r="S2071" s="424" t="s">
        <v>2846</v>
      </c>
      <c r="T2071" s="424" t="s">
        <v>3356</v>
      </c>
      <c r="U2071" s="424">
        <v>0</v>
      </c>
      <c r="V2071" s="424" t="s">
        <v>7815</v>
      </c>
      <c r="W2071" s="424" t="s">
        <v>3074</v>
      </c>
      <c r="X2071" s="424" t="s">
        <v>2224</v>
      </c>
      <c r="Y2071" s="424" t="s">
        <v>2279</v>
      </c>
      <c r="Z2071" s="424" t="s">
        <v>2848</v>
      </c>
      <c r="AA2071" s="424" t="s">
        <v>2855</v>
      </c>
      <c r="AB2071" s="424" t="s">
        <v>7928</v>
      </c>
      <c r="AC2071" s="424" t="s">
        <v>1953</v>
      </c>
      <c r="AD2071" s="424" t="s">
        <v>2851</v>
      </c>
      <c r="AE2071" s="424" t="s">
        <v>3173</v>
      </c>
      <c r="AF2071" s="424"/>
      <c r="AG2071" s="424"/>
      <c r="AH2071" s="424"/>
    </row>
    <row r="2072" spans="1:34" x14ac:dyDescent="0.25">
      <c r="A2072" s="423" t="s">
        <v>7812</v>
      </c>
      <c r="B2072" s="423" t="s">
        <v>7965</v>
      </c>
      <c r="C2072" s="423" t="s">
        <v>6852</v>
      </c>
      <c r="D2072" s="423" t="s">
        <v>6850</v>
      </c>
      <c r="E2072" s="423" t="s">
        <v>242</v>
      </c>
      <c r="F2072" s="423">
        <v>44</v>
      </c>
      <c r="G2072" s="423">
        <v>48</v>
      </c>
      <c r="H2072" s="423">
        <v>300</v>
      </c>
      <c r="J2072" s="423"/>
      <c r="K2072" s="423"/>
      <c r="L2072" s="423"/>
      <c r="M2072" s="423"/>
      <c r="Q2072" s="423"/>
      <c r="R2072" s="424" t="s">
        <v>7966</v>
      </c>
      <c r="S2072" s="424" t="s">
        <v>2846</v>
      </c>
      <c r="T2072" s="424" t="s">
        <v>3356</v>
      </c>
      <c r="U2072" s="424">
        <v>0</v>
      </c>
      <c r="V2072" s="424" t="s">
        <v>7815</v>
      </c>
      <c r="W2072" s="424" t="s">
        <v>3074</v>
      </c>
      <c r="X2072" s="424" t="s">
        <v>2224</v>
      </c>
      <c r="Y2072" s="424" t="s">
        <v>2279</v>
      </c>
      <c r="Z2072" s="424" t="s">
        <v>2848</v>
      </c>
      <c r="AA2072" s="424" t="s">
        <v>2855</v>
      </c>
      <c r="AB2072" s="424" t="s">
        <v>5339</v>
      </c>
      <c r="AC2072" s="424" t="s">
        <v>1953</v>
      </c>
      <c r="AD2072" s="424" t="s">
        <v>2851</v>
      </c>
      <c r="AE2072" s="424" t="s">
        <v>3444</v>
      </c>
      <c r="AF2072" s="424"/>
      <c r="AG2072" s="424"/>
      <c r="AH2072" s="424"/>
    </row>
    <row r="2073" spans="1:34" x14ac:dyDescent="0.25">
      <c r="A2073" s="423" t="s">
        <v>7812</v>
      </c>
      <c r="B2073" s="423" t="s">
        <v>7967</v>
      </c>
      <c r="C2073" s="423" t="s">
        <v>6852</v>
      </c>
      <c r="D2073" s="423" t="s">
        <v>6850</v>
      </c>
      <c r="E2073" s="423" t="s">
        <v>242</v>
      </c>
      <c r="F2073" s="423">
        <v>44</v>
      </c>
      <c r="G2073" s="423">
        <v>48</v>
      </c>
      <c r="H2073" s="423">
        <v>300</v>
      </c>
      <c r="J2073" s="423"/>
      <c r="K2073" s="423"/>
      <c r="L2073" s="423"/>
      <c r="M2073" s="423"/>
      <c r="Q2073" s="423"/>
      <c r="R2073" s="424" t="s">
        <v>7968</v>
      </c>
      <c r="S2073" s="424" t="s">
        <v>2846</v>
      </c>
      <c r="T2073" s="424" t="s">
        <v>3356</v>
      </c>
      <c r="U2073" s="424">
        <v>0</v>
      </c>
      <c r="V2073" s="424" t="s">
        <v>7815</v>
      </c>
      <c r="W2073" s="424" t="s">
        <v>3074</v>
      </c>
      <c r="X2073" s="424" t="s">
        <v>2224</v>
      </c>
      <c r="Y2073" s="424" t="s">
        <v>2279</v>
      </c>
      <c r="Z2073" s="424" t="s">
        <v>2848</v>
      </c>
      <c r="AA2073" s="424" t="s">
        <v>2855</v>
      </c>
      <c r="AB2073" s="424" t="s">
        <v>7940</v>
      </c>
      <c r="AC2073" s="424" t="s">
        <v>1953</v>
      </c>
      <c r="AD2073" s="424" t="s">
        <v>2851</v>
      </c>
      <c r="AE2073" s="424" t="s">
        <v>3444</v>
      </c>
      <c r="AF2073" s="424"/>
      <c r="AG2073" s="424"/>
      <c r="AH2073" s="424"/>
    </row>
    <row r="2074" spans="1:34" x14ac:dyDescent="0.25">
      <c r="A2074" s="423" t="s">
        <v>7812</v>
      </c>
      <c r="B2074" s="423" t="s">
        <v>7969</v>
      </c>
      <c r="C2074" s="423" t="s">
        <v>6852</v>
      </c>
      <c r="D2074" s="423" t="s">
        <v>6850</v>
      </c>
      <c r="E2074" s="423" t="s">
        <v>242</v>
      </c>
      <c r="F2074" s="423">
        <v>44</v>
      </c>
      <c r="G2074" s="423">
        <v>48</v>
      </c>
      <c r="H2074" s="423">
        <v>300</v>
      </c>
      <c r="J2074" s="423"/>
      <c r="K2074" s="423"/>
      <c r="L2074" s="423"/>
      <c r="M2074" s="423"/>
      <c r="Q2074" s="423"/>
      <c r="R2074" s="424" t="s">
        <v>7970</v>
      </c>
      <c r="S2074" s="424" t="s">
        <v>2846</v>
      </c>
      <c r="T2074" s="424" t="s">
        <v>3356</v>
      </c>
      <c r="U2074" s="424">
        <v>0</v>
      </c>
      <c r="V2074" s="424" t="s">
        <v>7815</v>
      </c>
      <c r="W2074" s="424" t="s">
        <v>3074</v>
      </c>
      <c r="X2074" s="424" t="s">
        <v>2224</v>
      </c>
      <c r="Y2074" s="424" t="s">
        <v>2279</v>
      </c>
      <c r="Z2074" s="424" t="s">
        <v>2848</v>
      </c>
      <c r="AA2074" s="424" t="s">
        <v>2855</v>
      </c>
      <c r="AB2074" s="424" t="s">
        <v>7915</v>
      </c>
      <c r="AC2074" s="424" t="s">
        <v>1953</v>
      </c>
      <c r="AD2074" s="424" t="s">
        <v>2851</v>
      </c>
      <c r="AE2074" s="424" t="s">
        <v>3173</v>
      </c>
      <c r="AF2074" s="424"/>
      <c r="AG2074" s="424"/>
      <c r="AH2074" s="424"/>
    </row>
    <row r="2075" spans="1:34" x14ac:dyDescent="0.25">
      <c r="A2075" s="423" t="s">
        <v>7812</v>
      </c>
      <c r="B2075" s="423" t="s">
        <v>7971</v>
      </c>
      <c r="C2075" s="423" t="s">
        <v>6852</v>
      </c>
      <c r="D2075" s="423" t="s">
        <v>6850</v>
      </c>
      <c r="E2075" s="423" t="s">
        <v>242</v>
      </c>
      <c r="F2075" s="423">
        <v>44</v>
      </c>
      <c r="G2075" s="423">
        <v>48</v>
      </c>
      <c r="H2075" s="423">
        <v>300</v>
      </c>
      <c r="J2075" s="423"/>
      <c r="K2075" s="423"/>
      <c r="L2075" s="423"/>
      <c r="M2075" s="423"/>
      <c r="Q2075" s="423"/>
      <c r="R2075" s="424" t="s">
        <v>7972</v>
      </c>
      <c r="S2075" s="424" t="s">
        <v>2846</v>
      </c>
      <c r="T2075" s="424" t="s">
        <v>3356</v>
      </c>
      <c r="U2075" s="424">
        <v>0</v>
      </c>
      <c r="V2075" s="424" t="s">
        <v>7815</v>
      </c>
      <c r="W2075" s="424" t="s">
        <v>3176</v>
      </c>
      <c r="X2075" s="424" t="s">
        <v>2224</v>
      </c>
      <c r="Y2075" s="424" t="s">
        <v>2279</v>
      </c>
      <c r="Z2075" s="424" t="s">
        <v>2889</v>
      </c>
      <c r="AA2075" s="424" t="s">
        <v>2890</v>
      </c>
      <c r="AB2075" s="424" t="s">
        <v>7973</v>
      </c>
      <c r="AC2075" s="424" t="s">
        <v>1953</v>
      </c>
      <c r="AD2075" s="424" t="s">
        <v>2892</v>
      </c>
      <c r="AE2075" s="424" t="s">
        <v>4631</v>
      </c>
      <c r="AF2075" s="424"/>
      <c r="AG2075" s="424"/>
      <c r="AH2075" s="424"/>
    </row>
    <row r="2076" spans="1:34" x14ac:dyDescent="0.25">
      <c r="A2076" s="423" t="s">
        <v>7812</v>
      </c>
      <c r="B2076" s="423" t="s">
        <v>7974</v>
      </c>
      <c r="C2076" s="423" t="s">
        <v>6852</v>
      </c>
      <c r="D2076" s="423" t="s">
        <v>6850</v>
      </c>
      <c r="E2076" s="423" t="s">
        <v>242</v>
      </c>
      <c r="F2076" s="423">
        <v>44</v>
      </c>
      <c r="G2076" s="423">
        <v>48</v>
      </c>
      <c r="H2076" s="423">
        <v>300</v>
      </c>
      <c r="J2076" s="423"/>
      <c r="K2076" s="423"/>
      <c r="L2076" s="423"/>
      <c r="M2076" s="423"/>
      <c r="Q2076" s="423"/>
      <c r="R2076" s="424" t="s">
        <v>7975</v>
      </c>
      <c r="S2076" s="424" t="s">
        <v>2846</v>
      </c>
      <c r="T2076" s="424" t="s">
        <v>3356</v>
      </c>
      <c r="U2076" s="424">
        <v>0</v>
      </c>
      <c r="V2076" s="424" t="s">
        <v>7815</v>
      </c>
      <c r="W2076" s="424" t="s">
        <v>3074</v>
      </c>
      <c r="X2076" s="424" t="s">
        <v>2224</v>
      </c>
      <c r="Y2076" s="424" t="s">
        <v>2279</v>
      </c>
      <c r="Z2076" s="424" t="s">
        <v>2872</v>
      </c>
      <c r="AA2076" s="424" t="s">
        <v>2873</v>
      </c>
      <c r="AB2076" s="424" t="s">
        <v>7976</v>
      </c>
      <c r="AC2076" s="424" t="s">
        <v>1953</v>
      </c>
      <c r="AD2076" s="424" t="s">
        <v>2892</v>
      </c>
      <c r="AE2076" s="424" t="s">
        <v>3081</v>
      </c>
      <c r="AF2076" s="424"/>
      <c r="AG2076" s="424"/>
      <c r="AH2076" s="424"/>
    </row>
    <row r="2077" spans="1:34" x14ac:dyDescent="0.25">
      <c r="A2077" s="423" t="s">
        <v>7812</v>
      </c>
      <c r="B2077" s="423" t="s">
        <v>7977</v>
      </c>
      <c r="C2077" s="423" t="s">
        <v>6852</v>
      </c>
      <c r="D2077" s="423" t="s">
        <v>6850</v>
      </c>
      <c r="E2077" s="423" t="s">
        <v>242</v>
      </c>
      <c r="F2077" s="423">
        <v>44</v>
      </c>
      <c r="G2077" s="423">
        <v>48</v>
      </c>
      <c r="H2077" s="423">
        <v>300</v>
      </c>
      <c r="J2077" s="423"/>
      <c r="K2077" s="423"/>
      <c r="L2077" s="423"/>
      <c r="M2077" s="423"/>
      <c r="Q2077" s="423"/>
      <c r="R2077" s="424" t="s">
        <v>7978</v>
      </c>
      <c r="S2077" s="424" t="s">
        <v>2846</v>
      </c>
      <c r="T2077" s="424" t="s">
        <v>3356</v>
      </c>
      <c r="U2077" s="424">
        <v>0</v>
      </c>
      <c r="V2077" s="424" t="s">
        <v>7815</v>
      </c>
      <c r="W2077" s="424" t="s">
        <v>3074</v>
      </c>
      <c r="X2077" s="424" t="s">
        <v>2224</v>
      </c>
      <c r="Y2077" s="424" t="s">
        <v>2279</v>
      </c>
      <c r="Z2077" s="424" t="s">
        <v>2872</v>
      </c>
      <c r="AA2077" s="424" t="s">
        <v>2873</v>
      </c>
      <c r="AB2077" s="424" t="s">
        <v>7806</v>
      </c>
      <c r="AC2077" s="424" t="s">
        <v>1953</v>
      </c>
      <c r="AD2077" s="424" t="s">
        <v>2892</v>
      </c>
      <c r="AE2077" s="424" t="s">
        <v>3387</v>
      </c>
      <c r="AF2077" s="424"/>
      <c r="AG2077" s="424"/>
      <c r="AH2077" s="424"/>
    </row>
    <row r="2078" spans="1:34" x14ac:dyDescent="0.25">
      <c r="A2078" s="423" t="s">
        <v>7812</v>
      </c>
      <c r="B2078" s="423" t="s">
        <v>7979</v>
      </c>
      <c r="C2078" s="423" t="s">
        <v>6852</v>
      </c>
      <c r="D2078" s="423" t="s">
        <v>6850</v>
      </c>
      <c r="E2078" s="423" t="s">
        <v>242</v>
      </c>
      <c r="F2078" s="423">
        <v>44</v>
      </c>
      <c r="G2078" s="423">
        <v>48</v>
      </c>
      <c r="H2078" s="423">
        <v>300</v>
      </c>
      <c r="J2078" s="423"/>
      <c r="K2078" s="423"/>
      <c r="L2078" s="423"/>
      <c r="M2078" s="423"/>
      <c r="Q2078" s="423"/>
      <c r="R2078" s="424" t="s">
        <v>7980</v>
      </c>
      <c r="S2078" s="424" t="s">
        <v>2846</v>
      </c>
      <c r="T2078" s="424" t="s">
        <v>3356</v>
      </c>
      <c r="U2078" s="424">
        <v>0</v>
      </c>
      <c r="V2078" s="424" t="s">
        <v>7815</v>
      </c>
      <c r="W2078" s="424" t="s">
        <v>3074</v>
      </c>
      <c r="X2078" s="424" t="s">
        <v>2224</v>
      </c>
      <c r="Y2078" s="424" t="s">
        <v>2279</v>
      </c>
      <c r="Z2078" s="424" t="s">
        <v>2872</v>
      </c>
      <c r="AA2078" s="424" t="s">
        <v>2873</v>
      </c>
      <c r="AB2078" s="424" t="s">
        <v>3075</v>
      </c>
      <c r="AC2078" s="424" t="s">
        <v>1953</v>
      </c>
      <c r="AD2078" s="424" t="s">
        <v>2892</v>
      </c>
      <c r="AE2078" s="424" t="s">
        <v>2968</v>
      </c>
      <c r="AF2078" s="424"/>
      <c r="AG2078" s="424"/>
      <c r="AH2078" s="424"/>
    </row>
    <row r="2079" spans="1:34" x14ac:dyDescent="0.25">
      <c r="A2079" s="423" t="s">
        <v>7812</v>
      </c>
      <c r="B2079" s="423" t="s">
        <v>7981</v>
      </c>
      <c r="C2079" s="423" t="s">
        <v>6852</v>
      </c>
      <c r="D2079" s="423" t="s">
        <v>6850</v>
      </c>
      <c r="E2079" s="423" t="s">
        <v>242</v>
      </c>
      <c r="F2079" s="423">
        <v>44</v>
      </c>
      <c r="G2079" s="423">
        <v>48</v>
      </c>
      <c r="H2079" s="423">
        <v>300</v>
      </c>
      <c r="J2079" s="423"/>
      <c r="K2079" s="423"/>
      <c r="L2079" s="423"/>
      <c r="M2079" s="423"/>
      <c r="Q2079" s="423"/>
      <c r="R2079" s="424" t="s">
        <v>7982</v>
      </c>
      <c r="S2079" s="424" t="s">
        <v>2846</v>
      </c>
      <c r="T2079" s="424" t="s">
        <v>3356</v>
      </c>
      <c r="U2079" s="424">
        <v>0</v>
      </c>
      <c r="V2079" s="424" t="s">
        <v>7815</v>
      </c>
      <c r="W2079" s="424" t="s">
        <v>3074</v>
      </c>
      <c r="X2079" s="424" t="s">
        <v>2224</v>
      </c>
      <c r="Y2079" s="424" t="s">
        <v>2279</v>
      </c>
      <c r="Z2079" s="424" t="s">
        <v>2872</v>
      </c>
      <c r="AA2079" s="424" t="s">
        <v>2873</v>
      </c>
      <c r="AB2079" s="424" t="s">
        <v>7983</v>
      </c>
      <c r="AC2079" s="424" t="s">
        <v>1953</v>
      </c>
      <c r="AD2079" s="424" t="s">
        <v>2892</v>
      </c>
      <c r="AE2079" s="424" t="s">
        <v>2944</v>
      </c>
      <c r="AF2079" s="424"/>
      <c r="AG2079" s="424"/>
      <c r="AH2079" s="424"/>
    </row>
    <row r="2080" spans="1:34" x14ac:dyDescent="0.25">
      <c r="A2080" s="423" t="s">
        <v>7812</v>
      </c>
      <c r="B2080" s="423" t="s">
        <v>7984</v>
      </c>
      <c r="C2080" s="423" t="s">
        <v>6852</v>
      </c>
      <c r="D2080" s="423" t="s">
        <v>6850</v>
      </c>
      <c r="E2080" s="423" t="s">
        <v>242</v>
      </c>
      <c r="F2080" s="423">
        <v>44</v>
      </c>
      <c r="G2080" s="423">
        <v>48</v>
      </c>
      <c r="H2080" s="423">
        <v>300</v>
      </c>
      <c r="J2080" s="423"/>
      <c r="K2080" s="423"/>
      <c r="L2080" s="423"/>
      <c r="M2080" s="423"/>
      <c r="Q2080" s="423"/>
      <c r="R2080" s="424" t="s">
        <v>7985</v>
      </c>
      <c r="S2080" s="424" t="s">
        <v>2846</v>
      </c>
      <c r="T2080" s="424" t="s">
        <v>3356</v>
      </c>
      <c r="U2080" s="424">
        <v>0</v>
      </c>
      <c r="V2080" s="424" t="s">
        <v>7815</v>
      </c>
      <c r="W2080" s="424" t="s">
        <v>3074</v>
      </c>
      <c r="X2080" s="424" t="s">
        <v>2224</v>
      </c>
      <c r="Y2080" s="424" t="s">
        <v>2279</v>
      </c>
      <c r="Z2080" s="424" t="s">
        <v>2872</v>
      </c>
      <c r="AA2080" s="424" t="s">
        <v>2873</v>
      </c>
      <c r="AB2080" s="424" t="s">
        <v>7986</v>
      </c>
      <c r="AC2080" s="424" t="s">
        <v>1953</v>
      </c>
      <c r="AD2080" s="424" t="s">
        <v>2892</v>
      </c>
      <c r="AE2080" s="424" t="s">
        <v>3081</v>
      </c>
      <c r="AF2080" s="424"/>
      <c r="AG2080" s="424"/>
      <c r="AH2080" s="424"/>
    </row>
    <row r="2081" spans="1:34" x14ac:dyDescent="0.25">
      <c r="A2081" s="423" t="s">
        <v>7812</v>
      </c>
      <c r="B2081" s="423" t="s">
        <v>7987</v>
      </c>
      <c r="C2081" s="423" t="s">
        <v>6852</v>
      </c>
      <c r="D2081" s="423" t="s">
        <v>6850</v>
      </c>
      <c r="E2081" s="423" t="s">
        <v>242</v>
      </c>
      <c r="F2081" s="423">
        <v>44</v>
      </c>
      <c r="G2081" s="423">
        <v>48</v>
      </c>
      <c r="H2081" s="423">
        <v>300</v>
      </c>
      <c r="J2081" s="423"/>
      <c r="K2081" s="423"/>
      <c r="L2081" s="423"/>
      <c r="M2081" s="423"/>
      <c r="Q2081" s="423"/>
      <c r="R2081" s="424" t="s">
        <v>7988</v>
      </c>
      <c r="S2081" s="424" t="s">
        <v>2846</v>
      </c>
      <c r="T2081" s="424" t="s">
        <v>3356</v>
      </c>
      <c r="U2081" s="424">
        <v>0</v>
      </c>
      <c r="V2081" s="424" t="s">
        <v>7815</v>
      </c>
      <c r="W2081" s="424" t="s">
        <v>3074</v>
      </c>
      <c r="X2081" s="424" t="s">
        <v>2224</v>
      </c>
      <c r="Y2081" s="424" t="s">
        <v>2279</v>
      </c>
      <c r="Z2081" s="424" t="s">
        <v>2872</v>
      </c>
      <c r="AA2081" s="424" t="s">
        <v>2873</v>
      </c>
      <c r="AB2081" s="424" t="s">
        <v>6845</v>
      </c>
      <c r="AC2081" s="424" t="s">
        <v>1953</v>
      </c>
      <c r="AD2081" s="424" t="s">
        <v>2892</v>
      </c>
      <c r="AE2081" s="424" t="s">
        <v>3081</v>
      </c>
      <c r="AF2081" s="424"/>
      <c r="AG2081" s="424"/>
      <c r="AH2081" s="424"/>
    </row>
    <row r="2082" spans="1:34" x14ac:dyDescent="0.25">
      <c r="A2082" s="423" t="s">
        <v>7812</v>
      </c>
      <c r="B2082" s="423" t="s">
        <v>7989</v>
      </c>
      <c r="C2082" s="423" t="s">
        <v>6852</v>
      </c>
      <c r="D2082" s="423" t="s">
        <v>6850</v>
      </c>
      <c r="E2082" s="423" t="s">
        <v>242</v>
      </c>
      <c r="F2082" s="423">
        <v>44</v>
      </c>
      <c r="G2082" s="423">
        <v>48</v>
      </c>
      <c r="H2082" s="423">
        <v>300</v>
      </c>
      <c r="J2082" s="423"/>
      <c r="K2082" s="423"/>
      <c r="L2082" s="423"/>
      <c r="M2082" s="423"/>
      <c r="Q2082" s="423"/>
      <c r="R2082" s="424" t="s">
        <v>7990</v>
      </c>
      <c r="S2082" s="424" t="s">
        <v>2846</v>
      </c>
      <c r="T2082" s="424" t="s">
        <v>3356</v>
      </c>
      <c r="U2082" s="424">
        <v>0</v>
      </c>
      <c r="V2082" s="424" t="s">
        <v>7815</v>
      </c>
      <c r="W2082" s="424" t="s">
        <v>3074</v>
      </c>
      <c r="X2082" s="424" t="s">
        <v>2224</v>
      </c>
      <c r="Y2082" s="424" t="s">
        <v>2279</v>
      </c>
      <c r="Z2082" s="424" t="s">
        <v>2872</v>
      </c>
      <c r="AA2082" s="424" t="s">
        <v>2873</v>
      </c>
      <c r="AB2082" s="424" t="s">
        <v>7983</v>
      </c>
      <c r="AC2082" s="424" t="s">
        <v>1953</v>
      </c>
      <c r="AD2082" s="424" t="s">
        <v>2892</v>
      </c>
      <c r="AE2082" s="424" t="s">
        <v>2944</v>
      </c>
      <c r="AF2082" s="424"/>
      <c r="AG2082" s="424"/>
      <c r="AH2082" s="424"/>
    </row>
    <row r="2083" spans="1:34" x14ac:dyDescent="0.25">
      <c r="A2083" s="423" t="s">
        <v>7812</v>
      </c>
      <c r="B2083" s="423" t="s">
        <v>7991</v>
      </c>
      <c r="C2083" s="423" t="s">
        <v>6852</v>
      </c>
      <c r="D2083" s="423" t="s">
        <v>6850</v>
      </c>
      <c r="E2083" s="423" t="s">
        <v>242</v>
      </c>
      <c r="F2083" s="423">
        <v>44</v>
      </c>
      <c r="G2083" s="423">
        <v>48</v>
      </c>
      <c r="H2083" s="423">
        <v>300</v>
      </c>
      <c r="J2083" s="423"/>
      <c r="K2083" s="423"/>
      <c r="L2083" s="423"/>
      <c r="M2083" s="423"/>
      <c r="Q2083" s="423"/>
      <c r="R2083" s="424" t="s">
        <v>7992</v>
      </c>
      <c r="S2083" s="424" t="s">
        <v>2846</v>
      </c>
      <c r="T2083" s="424" t="s">
        <v>3356</v>
      </c>
      <c r="U2083" s="424">
        <v>0</v>
      </c>
      <c r="V2083" s="424" t="s">
        <v>7815</v>
      </c>
      <c r="W2083" s="424" t="s">
        <v>3074</v>
      </c>
      <c r="X2083" s="424" t="s">
        <v>2224</v>
      </c>
      <c r="Y2083" s="424" t="s">
        <v>2279</v>
      </c>
      <c r="Z2083" s="424" t="s">
        <v>2872</v>
      </c>
      <c r="AA2083" s="424" t="s">
        <v>2873</v>
      </c>
      <c r="AB2083" s="424" t="s">
        <v>7993</v>
      </c>
      <c r="AC2083" s="424" t="s">
        <v>1953</v>
      </c>
      <c r="AD2083" s="424" t="s">
        <v>2892</v>
      </c>
      <c r="AE2083" s="424" t="s">
        <v>3081</v>
      </c>
      <c r="AF2083" s="424"/>
      <c r="AG2083" s="424"/>
      <c r="AH2083" s="424"/>
    </row>
    <row r="2084" spans="1:34" x14ac:dyDescent="0.25">
      <c r="A2084" s="423" t="s">
        <v>7812</v>
      </c>
      <c r="B2084" s="423" t="s">
        <v>7994</v>
      </c>
      <c r="C2084" s="423" t="s">
        <v>6852</v>
      </c>
      <c r="D2084" s="423" t="s">
        <v>6850</v>
      </c>
      <c r="E2084" s="423" t="s">
        <v>242</v>
      </c>
      <c r="F2084" s="423">
        <v>44</v>
      </c>
      <c r="G2084" s="423">
        <v>48</v>
      </c>
      <c r="H2084" s="423">
        <v>300</v>
      </c>
      <c r="J2084" s="423"/>
      <c r="K2084" s="423"/>
      <c r="L2084" s="423"/>
      <c r="M2084" s="423"/>
      <c r="Q2084" s="423"/>
      <c r="R2084" s="424" t="s">
        <v>7995</v>
      </c>
      <c r="S2084" s="424" t="s">
        <v>2846</v>
      </c>
      <c r="T2084" s="424" t="s">
        <v>3356</v>
      </c>
      <c r="U2084" s="424">
        <v>0</v>
      </c>
      <c r="V2084" s="424" t="s">
        <v>7815</v>
      </c>
      <c r="W2084" s="424" t="s">
        <v>3074</v>
      </c>
      <c r="X2084" s="424" t="s">
        <v>2224</v>
      </c>
      <c r="Y2084" s="424" t="s">
        <v>2279</v>
      </c>
      <c r="Z2084" s="424" t="s">
        <v>2872</v>
      </c>
      <c r="AA2084" s="424" t="s">
        <v>2873</v>
      </c>
      <c r="AB2084" s="424" t="s">
        <v>7983</v>
      </c>
      <c r="AC2084" s="424" t="s">
        <v>1953</v>
      </c>
      <c r="AD2084" s="424" t="s">
        <v>2892</v>
      </c>
      <c r="AE2084" s="424" t="s">
        <v>2944</v>
      </c>
      <c r="AF2084" s="424"/>
      <c r="AG2084" s="424"/>
      <c r="AH2084" s="424"/>
    </row>
    <row r="2085" spans="1:34" x14ac:dyDescent="0.25">
      <c r="A2085" s="423" t="s">
        <v>7812</v>
      </c>
      <c r="B2085" s="423" t="s">
        <v>7996</v>
      </c>
      <c r="C2085" s="423" t="s">
        <v>6852</v>
      </c>
      <c r="D2085" s="423" t="s">
        <v>6850</v>
      </c>
      <c r="E2085" s="423" t="s">
        <v>242</v>
      </c>
      <c r="F2085" s="423">
        <v>44</v>
      </c>
      <c r="G2085" s="423">
        <v>48</v>
      </c>
      <c r="H2085" s="423">
        <v>300</v>
      </c>
      <c r="J2085" s="423"/>
      <c r="K2085" s="423"/>
      <c r="L2085" s="423"/>
      <c r="M2085" s="423"/>
      <c r="Q2085" s="423"/>
      <c r="R2085" s="424" t="s">
        <v>7997</v>
      </c>
      <c r="S2085" s="424" t="s">
        <v>2846</v>
      </c>
      <c r="T2085" s="424" t="s">
        <v>3356</v>
      </c>
      <c r="U2085" s="424">
        <v>0</v>
      </c>
      <c r="V2085" s="424" t="s">
        <v>7815</v>
      </c>
      <c r="W2085" s="424" t="s">
        <v>3074</v>
      </c>
      <c r="X2085" s="424" t="s">
        <v>2224</v>
      </c>
      <c r="Y2085" s="424" t="s">
        <v>2279</v>
      </c>
      <c r="Z2085" s="424" t="s">
        <v>2872</v>
      </c>
      <c r="AA2085" s="424" t="s">
        <v>2873</v>
      </c>
      <c r="AB2085" s="424" t="s">
        <v>7998</v>
      </c>
      <c r="AC2085" s="424" t="s">
        <v>1953</v>
      </c>
      <c r="AD2085" s="424" t="s">
        <v>2892</v>
      </c>
      <c r="AE2085" s="424" t="s">
        <v>3081</v>
      </c>
      <c r="AF2085" s="424"/>
      <c r="AG2085" s="424"/>
      <c r="AH2085" s="424"/>
    </row>
    <row r="2086" spans="1:34" x14ac:dyDescent="0.25">
      <c r="A2086" s="423" t="s">
        <v>7812</v>
      </c>
      <c r="B2086" s="423" t="s">
        <v>7999</v>
      </c>
      <c r="C2086" s="423" t="s">
        <v>6852</v>
      </c>
      <c r="D2086" s="423" t="s">
        <v>6850</v>
      </c>
      <c r="E2086" s="423" t="s">
        <v>242</v>
      </c>
      <c r="F2086" s="423">
        <v>44</v>
      </c>
      <c r="G2086" s="423">
        <v>48</v>
      </c>
      <c r="H2086" s="423">
        <v>300</v>
      </c>
      <c r="J2086" s="423"/>
      <c r="K2086" s="423"/>
      <c r="L2086" s="423"/>
      <c r="M2086" s="423"/>
      <c r="Q2086" s="423"/>
      <c r="R2086" s="424" t="s">
        <v>8000</v>
      </c>
      <c r="S2086" s="424" t="s">
        <v>2846</v>
      </c>
      <c r="T2086" s="424" t="s">
        <v>3356</v>
      </c>
      <c r="U2086" s="424">
        <v>0</v>
      </c>
      <c r="V2086" s="424" t="s">
        <v>7815</v>
      </c>
      <c r="W2086" s="424" t="s">
        <v>3074</v>
      </c>
      <c r="X2086" s="424" t="s">
        <v>2224</v>
      </c>
      <c r="Y2086" s="424" t="s">
        <v>2279</v>
      </c>
      <c r="Z2086" s="424" t="s">
        <v>2872</v>
      </c>
      <c r="AA2086" s="424" t="s">
        <v>2873</v>
      </c>
      <c r="AB2086" s="424" t="s">
        <v>7986</v>
      </c>
      <c r="AC2086" s="424" t="s">
        <v>1953</v>
      </c>
      <c r="AD2086" s="424" t="s">
        <v>2892</v>
      </c>
      <c r="AE2086" s="424" t="s">
        <v>3081</v>
      </c>
      <c r="AF2086" s="424"/>
      <c r="AG2086" s="424"/>
      <c r="AH2086" s="424"/>
    </row>
    <row r="2087" spans="1:34" x14ac:dyDescent="0.25">
      <c r="A2087" s="423" t="s">
        <v>7812</v>
      </c>
      <c r="B2087" s="423" t="s">
        <v>8001</v>
      </c>
      <c r="C2087" s="423" t="s">
        <v>6852</v>
      </c>
      <c r="D2087" s="423" t="s">
        <v>6850</v>
      </c>
      <c r="E2087" s="423" t="s">
        <v>242</v>
      </c>
      <c r="F2087" s="423">
        <v>44</v>
      </c>
      <c r="G2087" s="423">
        <v>48</v>
      </c>
      <c r="H2087" s="423">
        <v>300</v>
      </c>
      <c r="J2087" s="423"/>
      <c r="K2087" s="423"/>
      <c r="L2087" s="423"/>
      <c r="M2087" s="423"/>
      <c r="Q2087" s="423"/>
      <c r="R2087" s="424" t="s">
        <v>8002</v>
      </c>
      <c r="S2087" s="424" t="s">
        <v>2846</v>
      </c>
      <c r="T2087" s="424" t="s">
        <v>3356</v>
      </c>
      <c r="U2087" s="424">
        <v>0</v>
      </c>
      <c r="V2087" s="424" t="s">
        <v>7815</v>
      </c>
      <c r="W2087" s="424" t="s">
        <v>3074</v>
      </c>
      <c r="X2087" s="424" t="s">
        <v>2224</v>
      </c>
      <c r="Y2087" s="424" t="s">
        <v>2279</v>
      </c>
      <c r="Z2087" s="424" t="s">
        <v>2872</v>
      </c>
      <c r="AA2087" s="424" t="s">
        <v>2873</v>
      </c>
      <c r="AB2087" s="424" t="s">
        <v>8003</v>
      </c>
      <c r="AC2087" s="424" t="s">
        <v>1953</v>
      </c>
      <c r="AD2087" s="424" t="s">
        <v>2892</v>
      </c>
      <c r="AE2087" s="424" t="s">
        <v>2968</v>
      </c>
      <c r="AF2087" s="424"/>
      <c r="AG2087" s="424"/>
      <c r="AH2087" s="424"/>
    </row>
    <row r="2088" spans="1:34" x14ac:dyDescent="0.25">
      <c r="A2088" s="423" t="s">
        <v>7812</v>
      </c>
      <c r="B2088" s="423" t="s">
        <v>8004</v>
      </c>
      <c r="C2088" s="423" t="s">
        <v>6852</v>
      </c>
      <c r="D2088" s="423" t="s">
        <v>6850</v>
      </c>
      <c r="E2088" s="423" t="s">
        <v>242</v>
      </c>
      <c r="F2088" s="423">
        <v>44</v>
      </c>
      <c r="G2088" s="423">
        <v>48</v>
      </c>
      <c r="H2088" s="423">
        <v>300</v>
      </c>
      <c r="J2088" s="423"/>
      <c r="K2088" s="423"/>
      <c r="L2088" s="423"/>
      <c r="M2088" s="423"/>
      <c r="Q2088" s="423"/>
      <c r="R2088" s="424" t="s">
        <v>8005</v>
      </c>
      <c r="S2088" s="424" t="s">
        <v>2846</v>
      </c>
      <c r="T2088" s="424" t="s">
        <v>3356</v>
      </c>
      <c r="U2088" s="424">
        <v>0</v>
      </c>
      <c r="V2088" s="424" t="s">
        <v>7815</v>
      </c>
      <c r="W2088" s="424" t="s">
        <v>3074</v>
      </c>
      <c r="X2088" s="424" t="s">
        <v>2224</v>
      </c>
      <c r="Y2088" s="424" t="s">
        <v>2279</v>
      </c>
      <c r="Z2088" s="424" t="s">
        <v>2872</v>
      </c>
      <c r="AA2088" s="424" t="s">
        <v>2873</v>
      </c>
      <c r="AB2088" s="424" t="s">
        <v>7976</v>
      </c>
      <c r="AC2088" s="424" t="s">
        <v>1953</v>
      </c>
      <c r="AD2088" s="424" t="s">
        <v>2892</v>
      </c>
      <c r="AE2088" s="424" t="s">
        <v>3081</v>
      </c>
      <c r="AF2088" s="424"/>
      <c r="AG2088" s="424"/>
      <c r="AH2088" s="424"/>
    </row>
    <row r="2089" spans="1:34" x14ac:dyDescent="0.25">
      <c r="A2089" s="423" t="s">
        <v>7812</v>
      </c>
      <c r="B2089" s="423" t="s">
        <v>8006</v>
      </c>
      <c r="C2089" s="423" t="s">
        <v>6852</v>
      </c>
      <c r="D2089" s="423" t="s">
        <v>6850</v>
      </c>
      <c r="E2089" s="423" t="s">
        <v>242</v>
      </c>
      <c r="F2089" s="423">
        <v>44</v>
      </c>
      <c r="G2089" s="423">
        <v>48</v>
      </c>
      <c r="H2089" s="423">
        <v>300</v>
      </c>
      <c r="J2089" s="423"/>
      <c r="K2089" s="423"/>
      <c r="L2089" s="423"/>
      <c r="M2089" s="423"/>
      <c r="Q2089" s="423"/>
      <c r="R2089" s="424" t="s">
        <v>8007</v>
      </c>
      <c r="S2089" s="424" t="s">
        <v>2846</v>
      </c>
      <c r="T2089" s="424" t="s">
        <v>3356</v>
      </c>
      <c r="U2089" s="424">
        <v>0</v>
      </c>
      <c r="V2089" s="424" t="s">
        <v>7815</v>
      </c>
      <c r="W2089" s="424" t="s">
        <v>3074</v>
      </c>
      <c r="X2089" s="424" t="s">
        <v>2224</v>
      </c>
      <c r="Y2089" s="424" t="s">
        <v>2279</v>
      </c>
      <c r="Z2089" s="424" t="s">
        <v>2872</v>
      </c>
      <c r="AA2089" s="424" t="s">
        <v>2873</v>
      </c>
      <c r="AB2089" s="424" t="s">
        <v>3075</v>
      </c>
      <c r="AC2089" s="424" t="s">
        <v>1953</v>
      </c>
      <c r="AD2089" s="424" t="s">
        <v>2892</v>
      </c>
      <c r="AE2089" s="424" t="s">
        <v>2968</v>
      </c>
      <c r="AF2089" s="424"/>
      <c r="AG2089" s="424"/>
      <c r="AH2089" s="424"/>
    </row>
    <row r="2090" spans="1:34" x14ac:dyDescent="0.25">
      <c r="A2090" s="423" t="s">
        <v>7812</v>
      </c>
      <c r="B2090" s="423" t="s">
        <v>8008</v>
      </c>
      <c r="C2090" s="423" t="s">
        <v>6852</v>
      </c>
      <c r="D2090" s="423" t="s">
        <v>6850</v>
      </c>
      <c r="E2090" s="423" t="s">
        <v>242</v>
      </c>
      <c r="F2090" s="423">
        <v>44</v>
      </c>
      <c r="G2090" s="423">
        <v>48</v>
      </c>
      <c r="H2090" s="423">
        <v>300</v>
      </c>
      <c r="J2090" s="423"/>
      <c r="K2090" s="423"/>
      <c r="L2090" s="423"/>
      <c r="M2090" s="423"/>
      <c r="Q2090" s="423"/>
      <c r="R2090" s="424" t="s">
        <v>8009</v>
      </c>
      <c r="S2090" s="424" t="s">
        <v>2846</v>
      </c>
      <c r="T2090" s="424" t="s">
        <v>3356</v>
      </c>
      <c r="U2090" s="424">
        <v>0</v>
      </c>
      <c r="V2090" s="424" t="s">
        <v>7815</v>
      </c>
      <c r="W2090" s="424" t="s">
        <v>3074</v>
      </c>
      <c r="X2090" s="424" t="s">
        <v>2224</v>
      </c>
      <c r="Y2090" s="424" t="s">
        <v>2279</v>
      </c>
      <c r="Z2090" s="424" t="s">
        <v>2872</v>
      </c>
      <c r="AA2090" s="424" t="s">
        <v>2873</v>
      </c>
      <c r="AB2090" s="424" t="s">
        <v>7806</v>
      </c>
      <c r="AC2090" s="424" t="s">
        <v>1953</v>
      </c>
      <c r="AD2090" s="424" t="s">
        <v>2892</v>
      </c>
      <c r="AE2090" s="424" t="s">
        <v>3387</v>
      </c>
      <c r="AF2090" s="424"/>
      <c r="AG2090" s="424"/>
      <c r="AH2090" s="424"/>
    </row>
    <row r="2091" spans="1:34" x14ac:dyDescent="0.25">
      <c r="A2091" s="423" t="s">
        <v>7812</v>
      </c>
      <c r="B2091" s="423" t="s">
        <v>8010</v>
      </c>
      <c r="C2091" s="423" t="s">
        <v>6852</v>
      </c>
      <c r="D2091" s="423" t="s">
        <v>6850</v>
      </c>
      <c r="E2091" s="423" t="s">
        <v>242</v>
      </c>
      <c r="F2091" s="423">
        <v>44</v>
      </c>
      <c r="G2091" s="423">
        <v>48</v>
      </c>
      <c r="H2091" s="423">
        <v>300</v>
      </c>
      <c r="J2091" s="423"/>
      <c r="K2091" s="423"/>
      <c r="L2091" s="423"/>
      <c r="M2091" s="423"/>
      <c r="Q2091" s="423"/>
      <c r="R2091" s="424" t="s">
        <v>8011</v>
      </c>
      <c r="S2091" s="424" t="s">
        <v>2846</v>
      </c>
      <c r="T2091" s="424" t="s">
        <v>3356</v>
      </c>
      <c r="U2091" s="424">
        <v>0</v>
      </c>
      <c r="V2091" s="424" t="s">
        <v>7815</v>
      </c>
      <c r="W2091" s="424" t="s">
        <v>3074</v>
      </c>
      <c r="X2091" s="424" t="s">
        <v>2224</v>
      </c>
      <c r="Y2091" s="424" t="s">
        <v>2279</v>
      </c>
      <c r="Z2091" s="424" t="s">
        <v>2872</v>
      </c>
      <c r="AA2091" s="424" t="s">
        <v>2873</v>
      </c>
      <c r="AB2091" s="424" t="s">
        <v>8003</v>
      </c>
      <c r="AC2091" s="424" t="s">
        <v>1953</v>
      </c>
      <c r="AD2091" s="424" t="s">
        <v>2892</v>
      </c>
      <c r="AE2091" s="424" t="s">
        <v>2968</v>
      </c>
      <c r="AF2091" s="424"/>
      <c r="AG2091" s="424"/>
      <c r="AH2091" s="424"/>
    </row>
    <row r="2092" spans="1:34" x14ac:dyDescent="0.25">
      <c r="A2092" s="423" t="s">
        <v>7812</v>
      </c>
      <c r="B2092" s="423" t="s">
        <v>8012</v>
      </c>
      <c r="C2092" s="423" t="s">
        <v>6852</v>
      </c>
      <c r="D2092" s="423" t="s">
        <v>6850</v>
      </c>
      <c r="E2092" s="423" t="s">
        <v>242</v>
      </c>
      <c r="F2092" s="423">
        <v>44</v>
      </c>
      <c r="G2092" s="423">
        <v>48</v>
      </c>
      <c r="H2092" s="423">
        <v>300</v>
      </c>
      <c r="J2092" s="423"/>
      <c r="K2092" s="423"/>
      <c r="L2092" s="423"/>
      <c r="M2092" s="423"/>
      <c r="Q2092" s="423"/>
      <c r="R2092" s="424" t="s">
        <v>8013</v>
      </c>
      <c r="S2092" s="424" t="s">
        <v>2846</v>
      </c>
      <c r="T2092" s="424" t="s">
        <v>3356</v>
      </c>
      <c r="U2092" s="424">
        <v>0</v>
      </c>
      <c r="V2092" s="424" t="s">
        <v>7815</v>
      </c>
      <c r="W2092" s="424" t="s">
        <v>3074</v>
      </c>
      <c r="X2092" s="424" t="s">
        <v>2224</v>
      </c>
      <c r="Y2092" s="424" t="s">
        <v>2279</v>
      </c>
      <c r="Z2092" s="424" t="s">
        <v>2872</v>
      </c>
      <c r="AA2092" s="424" t="s">
        <v>2873</v>
      </c>
      <c r="AB2092" s="424" t="s">
        <v>2967</v>
      </c>
      <c r="AC2092" s="424" t="s">
        <v>1953</v>
      </c>
      <c r="AD2092" s="424" t="s">
        <v>2892</v>
      </c>
      <c r="AE2092" s="424" t="s">
        <v>2968</v>
      </c>
      <c r="AF2092" s="424"/>
      <c r="AG2092" s="424"/>
      <c r="AH2092" s="424"/>
    </row>
    <row r="2093" spans="1:34" x14ac:dyDescent="0.25">
      <c r="A2093" s="423" t="s">
        <v>7812</v>
      </c>
      <c r="B2093" s="423" t="s">
        <v>8014</v>
      </c>
      <c r="C2093" s="423" t="s">
        <v>6852</v>
      </c>
      <c r="D2093" s="423" t="s">
        <v>6850</v>
      </c>
      <c r="E2093" s="423" t="s">
        <v>242</v>
      </c>
      <c r="F2093" s="423">
        <v>44</v>
      </c>
      <c r="G2093" s="423">
        <v>48</v>
      </c>
      <c r="H2093" s="423">
        <v>300</v>
      </c>
      <c r="J2093" s="423"/>
      <c r="K2093" s="423"/>
      <c r="L2093" s="423"/>
      <c r="M2093" s="423"/>
      <c r="Q2093" s="423"/>
      <c r="R2093" s="424" t="s">
        <v>8015</v>
      </c>
      <c r="S2093" s="424" t="s">
        <v>2846</v>
      </c>
      <c r="T2093" s="424" t="s">
        <v>3356</v>
      </c>
      <c r="U2093" s="424">
        <v>0</v>
      </c>
      <c r="V2093" s="424" t="s">
        <v>7815</v>
      </c>
      <c r="W2093" s="424" t="s">
        <v>3074</v>
      </c>
      <c r="X2093" s="424" t="s">
        <v>2224</v>
      </c>
      <c r="Y2093" s="424" t="s">
        <v>2279</v>
      </c>
      <c r="Z2093" s="424" t="s">
        <v>2872</v>
      </c>
      <c r="AA2093" s="424" t="s">
        <v>2873</v>
      </c>
      <c r="AB2093" s="424" t="s">
        <v>8016</v>
      </c>
      <c r="AC2093" s="424" t="s">
        <v>1953</v>
      </c>
      <c r="AD2093" s="424" t="s">
        <v>2892</v>
      </c>
      <c r="AE2093" s="424" t="s">
        <v>3081</v>
      </c>
      <c r="AF2093" s="424"/>
      <c r="AG2093" s="424"/>
      <c r="AH2093" s="424"/>
    </row>
    <row r="2094" spans="1:34" x14ac:dyDescent="0.25">
      <c r="A2094" s="423" t="s">
        <v>7812</v>
      </c>
      <c r="B2094" s="423" t="s">
        <v>8017</v>
      </c>
      <c r="C2094" s="423" t="s">
        <v>6852</v>
      </c>
      <c r="D2094" s="423" t="s">
        <v>6850</v>
      </c>
      <c r="E2094" s="423" t="s">
        <v>242</v>
      </c>
      <c r="F2094" s="423">
        <v>44</v>
      </c>
      <c r="G2094" s="423">
        <v>48</v>
      </c>
      <c r="H2094" s="423">
        <v>300</v>
      </c>
      <c r="J2094" s="423"/>
      <c r="K2094" s="423"/>
      <c r="L2094" s="423"/>
      <c r="M2094" s="423"/>
      <c r="Q2094" s="423"/>
      <c r="R2094" s="424" t="s">
        <v>8018</v>
      </c>
      <c r="S2094" s="424" t="s">
        <v>2846</v>
      </c>
      <c r="T2094" s="424" t="s">
        <v>3356</v>
      </c>
      <c r="U2094" s="424">
        <v>0</v>
      </c>
      <c r="V2094" s="424" t="s">
        <v>7815</v>
      </c>
      <c r="W2094" s="424" t="s">
        <v>3074</v>
      </c>
      <c r="X2094" s="424" t="s">
        <v>2224</v>
      </c>
      <c r="Y2094" s="424" t="s">
        <v>2279</v>
      </c>
      <c r="Z2094" s="424" t="s">
        <v>2872</v>
      </c>
      <c r="AA2094" s="424" t="s">
        <v>2873</v>
      </c>
      <c r="AB2094" s="424" t="s">
        <v>7998</v>
      </c>
      <c r="AC2094" s="424" t="s">
        <v>1953</v>
      </c>
      <c r="AD2094" s="424" t="s">
        <v>2892</v>
      </c>
      <c r="AE2094" s="424" t="s">
        <v>3081</v>
      </c>
      <c r="AF2094" s="424"/>
      <c r="AG2094" s="424"/>
      <c r="AH2094" s="424"/>
    </row>
    <row r="2095" spans="1:34" x14ac:dyDescent="0.25">
      <c r="A2095" s="423" t="s">
        <v>7812</v>
      </c>
      <c r="B2095" s="423" t="s">
        <v>8019</v>
      </c>
      <c r="C2095" s="423" t="s">
        <v>6852</v>
      </c>
      <c r="D2095" s="423" t="s">
        <v>6850</v>
      </c>
      <c r="E2095" s="423" t="s">
        <v>242</v>
      </c>
      <c r="F2095" s="423">
        <v>44</v>
      </c>
      <c r="G2095" s="423">
        <v>48</v>
      </c>
      <c r="H2095" s="423">
        <v>300</v>
      </c>
      <c r="J2095" s="423"/>
      <c r="K2095" s="423"/>
      <c r="L2095" s="423"/>
      <c r="M2095" s="423"/>
      <c r="Q2095" s="423"/>
      <c r="R2095" s="424" t="s">
        <v>8020</v>
      </c>
      <c r="S2095" s="424" t="s">
        <v>2846</v>
      </c>
      <c r="T2095" s="424" t="s">
        <v>4102</v>
      </c>
      <c r="U2095" s="424">
        <v>0</v>
      </c>
      <c r="V2095" s="424" t="s">
        <v>8021</v>
      </c>
      <c r="W2095" s="424">
        <v>0</v>
      </c>
      <c r="X2095" s="424">
        <v>0</v>
      </c>
      <c r="Y2095" s="424" t="s">
        <v>2279</v>
      </c>
      <c r="Z2095" s="424">
        <v>0</v>
      </c>
      <c r="AA2095" s="424">
        <v>0</v>
      </c>
      <c r="AB2095" s="424">
        <v>0</v>
      </c>
      <c r="AC2095" s="424">
        <v>0</v>
      </c>
      <c r="AD2095" s="424">
        <v>0</v>
      </c>
      <c r="AE2095" s="424">
        <v>0</v>
      </c>
      <c r="AF2095" s="424"/>
      <c r="AG2095" s="424"/>
      <c r="AH2095" s="424"/>
    </row>
    <row r="2096" spans="1:34" x14ac:dyDescent="0.25">
      <c r="A2096" s="423" t="s">
        <v>7812</v>
      </c>
      <c r="B2096" s="423" t="s">
        <v>8022</v>
      </c>
      <c r="C2096" s="423" t="s">
        <v>6852</v>
      </c>
      <c r="D2096" s="423" t="s">
        <v>6850</v>
      </c>
      <c r="E2096" s="423" t="s">
        <v>242</v>
      </c>
      <c r="F2096" s="423">
        <v>44</v>
      </c>
      <c r="G2096" s="423">
        <v>48</v>
      </c>
      <c r="H2096" s="423">
        <v>300</v>
      </c>
      <c r="J2096" s="423"/>
      <c r="K2096" s="423"/>
      <c r="L2096" s="423"/>
      <c r="M2096" s="423"/>
      <c r="Q2096" s="423"/>
      <c r="R2096" s="424" t="s">
        <v>8023</v>
      </c>
      <c r="S2096" s="424" t="s">
        <v>2846</v>
      </c>
      <c r="T2096" s="424" t="s">
        <v>4102</v>
      </c>
      <c r="U2096" s="424">
        <v>0</v>
      </c>
      <c r="V2096" s="424" t="s">
        <v>8021</v>
      </c>
      <c r="W2096" s="424">
        <v>0</v>
      </c>
      <c r="X2096" s="424">
        <v>0</v>
      </c>
      <c r="Y2096" s="424" t="s">
        <v>2279</v>
      </c>
      <c r="Z2096" s="424">
        <v>0</v>
      </c>
      <c r="AA2096" s="424">
        <v>0</v>
      </c>
      <c r="AB2096" s="424">
        <v>0</v>
      </c>
      <c r="AC2096" s="424">
        <v>0</v>
      </c>
      <c r="AD2096" s="424">
        <v>0</v>
      </c>
      <c r="AE2096" s="424">
        <v>0</v>
      </c>
      <c r="AF2096" s="424"/>
      <c r="AG2096" s="424"/>
      <c r="AH2096" s="424"/>
    </row>
    <row r="2097" spans="1:34" x14ac:dyDescent="0.25">
      <c r="A2097" s="423" t="s">
        <v>7812</v>
      </c>
      <c r="B2097" s="423" t="s">
        <v>8024</v>
      </c>
      <c r="C2097" s="423" t="s">
        <v>6852</v>
      </c>
      <c r="D2097" s="423" t="s">
        <v>6850</v>
      </c>
      <c r="E2097" s="423" t="s">
        <v>242</v>
      </c>
      <c r="F2097" s="423">
        <v>44</v>
      </c>
      <c r="G2097" s="423">
        <v>48</v>
      </c>
      <c r="H2097" s="423">
        <v>300</v>
      </c>
      <c r="J2097" s="423"/>
      <c r="K2097" s="423"/>
      <c r="L2097" s="423"/>
      <c r="M2097" s="423"/>
      <c r="Q2097" s="423"/>
      <c r="R2097" s="424" t="s">
        <v>8025</v>
      </c>
      <c r="S2097" s="424" t="s">
        <v>2846</v>
      </c>
      <c r="T2097" s="424" t="s">
        <v>4102</v>
      </c>
      <c r="U2097" s="424">
        <v>0</v>
      </c>
      <c r="V2097" s="424" t="s">
        <v>8021</v>
      </c>
      <c r="W2097" s="424">
        <v>0</v>
      </c>
      <c r="X2097" s="424">
        <v>0</v>
      </c>
      <c r="Y2097" s="424" t="s">
        <v>2279</v>
      </c>
      <c r="Z2097" s="424">
        <v>0</v>
      </c>
      <c r="AA2097" s="424">
        <v>0</v>
      </c>
      <c r="AB2097" s="424">
        <v>0</v>
      </c>
      <c r="AC2097" s="424">
        <v>0</v>
      </c>
      <c r="AD2097" s="424">
        <v>0</v>
      </c>
      <c r="AE2097" s="424">
        <v>0</v>
      </c>
      <c r="AF2097" s="424"/>
      <c r="AG2097" s="424"/>
      <c r="AH2097" s="424"/>
    </row>
    <row r="2098" spans="1:34" x14ac:dyDescent="0.25">
      <c r="A2098" s="423" t="s">
        <v>7812</v>
      </c>
      <c r="B2098" s="423" t="s">
        <v>8026</v>
      </c>
      <c r="C2098" s="423" t="s">
        <v>6852</v>
      </c>
      <c r="D2098" s="423" t="s">
        <v>6850</v>
      </c>
      <c r="E2098" s="423" t="s">
        <v>242</v>
      </c>
      <c r="F2098" s="423">
        <v>40</v>
      </c>
      <c r="G2098" s="423">
        <v>256</v>
      </c>
      <c r="H2098" s="423">
        <v>2000</v>
      </c>
      <c r="J2098" s="423"/>
      <c r="K2098" s="423"/>
      <c r="L2098" s="423"/>
      <c r="M2098" s="423"/>
      <c r="Q2098" s="423"/>
      <c r="R2098" s="424" t="s">
        <v>8026</v>
      </c>
      <c r="S2098" s="424" t="s">
        <v>2820</v>
      </c>
      <c r="T2098" s="424" t="s">
        <v>5166</v>
      </c>
      <c r="U2098" s="424">
        <v>0</v>
      </c>
      <c r="V2098" s="424" t="s">
        <v>2092</v>
      </c>
      <c r="W2098" s="424" t="s">
        <v>3283</v>
      </c>
      <c r="X2098" s="424">
        <v>0</v>
      </c>
      <c r="Y2098" s="424" t="s">
        <v>3983</v>
      </c>
      <c r="Z2098" s="424" t="s">
        <v>2889</v>
      </c>
      <c r="AA2098" s="424" t="s">
        <v>2890</v>
      </c>
      <c r="AB2098" s="424" t="s">
        <v>8027</v>
      </c>
      <c r="AC2098" s="424" t="s">
        <v>1953</v>
      </c>
      <c r="AD2098" s="424" t="s">
        <v>2892</v>
      </c>
      <c r="AE2098" s="424" t="s">
        <v>8028</v>
      </c>
      <c r="AF2098" s="424"/>
      <c r="AG2098" s="424"/>
      <c r="AH2098" s="424"/>
    </row>
    <row r="2099" spans="1:34" x14ac:dyDescent="0.25">
      <c r="A2099" s="423" t="s">
        <v>7812</v>
      </c>
      <c r="B2099" s="423" t="s">
        <v>8029</v>
      </c>
      <c r="C2099" s="423" t="s">
        <v>6852</v>
      </c>
      <c r="D2099" s="423" t="s">
        <v>6850</v>
      </c>
      <c r="E2099" s="423" t="s">
        <v>242</v>
      </c>
      <c r="F2099" s="423">
        <v>40</v>
      </c>
      <c r="G2099" s="423">
        <v>256</v>
      </c>
      <c r="H2099" s="423">
        <v>2000</v>
      </c>
      <c r="J2099" s="423"/>
      <c r="K2099" s="423"/>
      <c r="L2099" s="423"/>
      <c r="M2099" s="423"/>
      <c r="Q2099" s="423"/>
      <c r="R2099" s="424" t="s">
        <v>8029</v>
      </c>
      <c r="S2099" s="424" t="s">
        <v>2820</v>
      </c>
      <c r="T2099" s="424" t="s">
        <v>5166</v>
      </c>
      <c r="U2099" s="424">
        <v>0</v>
      </c>
      <c r="V2099" s="424" t="s">
        <v>2092</v>
      </c>
      <c r="W2099" s="424" t="s">
        <v>3283</v>
      </c>
      <c r="X2099" s="424">
        <v>0</v>
      </c>
      <c r="Y2099" s="424" t="s">
        <v>3983</v>
      </c>
      <c r="Z2099" s="424" t="s">
        <v>2889</v>
      </c>
      <c r="AA2099" s="424" t="s">
        <v>2890</v>
      </c>
      <c r="AB2099" s="424" t="s">
        <v>8030</v>
      </c>
      <c r="AC2099" s="424" t="s">
        <v>1953</v>
      </c>
      <c r="AD2099" s="424" t="s">
        <v>2892</v>
      </c>
      <c r="AE2099" s="424" t="s">
        <v>8028</v>
      </c>
      <c r="AF2099" s="424"/>
      <c r="AG2099" s="424"/>
      <c r="AH2099" s="424"/>
    </row>
    <row r="2100" spans="1:34" x14ac:dyDescent="0.25">
      <c r="A2100" s="423" t="s">
        <v>7812</v>
      </c>
      <c r="B2100" s="423" t="s">
        <v>8031</v>
      </c>
      <c r="C2100" s="423" t="s">
        <v>6852</v>
      </c>
      <c r="D2100" s="423" t="s">
        <v>6850</v>
      </c>
      <c r="E2100" s="423" t="s">
        <v>242</v>
      </c>
      <c r="F2100" s="423">
        <v>40</v>
      </c>
      <c r="G2100" s="423">
        <v>256</v>
      </c>
      <c r="H2100" s="423">
        <v>2000</v>
      </c>
      <c r="J2100" s="423"/>
      <c r="K2100" s="423"/>
      <c r="L2100" s="423"/>
      <c r="M2100" s="423"/>
      <c r="Q2100" s="423"/>
      <c r="R2100" s="424" t="s">
        <v>8031</v>
      </c>
      <c r="S2100" s="424" t="s">
        <v>2820</v>
      </c>
      <c r="T2100" s="424" t="s">
        <v>5166</v>
      </c>
      <c r="U2100" s="424">
        <v>0</v>
      </c>
      <c r="V2100" s="424" t="s">
        <v>2092</v>
      </c>
      <c r="W2100" s="424" t="s">
        <v>3283</v>
      </c>
      <c r="X2100" s="424">
        <v>0</v>
      </c>
      <c r="Y2100" s="424" t="s">
        <v>3983</v>
      </c>
      <c r="Z2100" s="424" t="s">
        <v>2889</v>
      </c>
      <c r="AA2100" s="424" t="s">
        <v>2890</v>
      </c>
      <c r="AB2100" s="424" t="s">
        <v>8032</v>
      </c>
      <c r="AC2100" s="424" t="s">
        <v>1953</v>
      </c>
      <c r="AD2100" s="424" t="s">
        <v>2892</v>
      </c>
      <c r="AE2100" s="424" t="s">
        <v>8028</v>
      </c>
      <c r="AF2100" s="424"/>
      <c r="AG2100" s="424"/>
      <c r="AH2100" s="424"/>
    </row>
    <row r="2101" spans="1:34" x14ac:dyDescent="0.25">
      <c r="A2101" s="423" t="s">
        <v>7812</v>
      </c>
      <c r="B2101" s="423" t="s">
        <v>8033</v>
      </c>
      <c r="C2101" s="423" t="s">
        <v>6852</v>
      </c>
      <c r="D2101" s="423" t="s">
        <v>6850</v>
      </c>
      <c r="E2101" s="423" t="s">
        <v>242</v>
      </c>
      <c r="F2101" s="423">
        <v>40</v>
      </c>
      <c r="G2101" s="423">
        <v>256</v>
      </c>
      <c r="H2101" s="423">
        <v>2000</v>
      </c>
      <c r="J2101" s="423"/>
      <c r="K2101" s="423"/>
      <c r="L2101" s="423"/>
      <c r="M2101" s="423"/>
      <c r="Q2101" s="423"/>
      <c r="R2101" s="424" t="s">
        <v>8033</v>
      </c>
      <c r="S2101" s="424" t="s">
        <v>2820</v>
      </c>
      <c r="T2101" s="424" t="s">
        <v>5166</v>
      </c>
      <c r="U2101" s="424">
        <v>0</v>
      </c>
      <c r="V2101" s="424" t="s">
        <v>2092</v>
      </c>
      <c r="W2101" s="424" t="s">
        <v>3283</v>
      </c>
      <c r="X2101" s="424">
        <v>0</v>
      </c>
      <c r="Y2101" s="424" t="s">
        <v>3983</v>
      </c>
      <c r="Z2101" s="424" t="s">
        <v>2889</v>
      </c>
      <c r="AA2101" s="424" t="s">
        <v>2890</v>
      </c>
      <c r="AB2101" s="424" t="s">
        <v>8034</v>
      </c>
      <c r="AC2101" s="424" t="s">
        <v>1953</v>
      </c>
      <c r="AD2101" s="424" t="s">
        <v>2892</v>
      </c>
      <c r="AE2101" s="424" t="s">
        <v>8028</v>
      </c>
      <c r="AF2101" s="424"/>
      <c r="AG2101" s="424"/>
      <c r="AH2101" s="424"/>
    </row>
    <row r="2102" spans="1:34" x14ac:dyDescent="0.25">
      <c r="A2102" s="423" t="s">
        <v>7812</v>
      </c>
      <c r="B2102" s="423" t="s">
        <v>8035</v>
      </c>
      <c r="C2102" s="423" t="s">
        <v>6852</v>
      </c>
      <c r="D2102" s="423" t="s">
        <v>6850</v>
      </c>
      <c r="E2102" s="423" t="s">
        <v>242</v>
      </c>
      <c r="F2102" s="423">
        <v>40</v>
      </c>
      <c r="G2102" s="423">
        <v>256</v>
      </c>
      <c r="H2102" s="423">
        <v>2000</v>
      </c>
      <c r="J2102" s="423"/>
      <c r="K2102" s="423"/>
      <c r="L2102" s="423"/>
      <c r="M2102" s="423"/>
      <c r="Q2102" s="423"/>
      <c r="R2102" s="424" t="s">
        <v>8035</v>
      </c>
      <c r="S2102" s="424" t="s">
        <v>2820</v>
      </c>
      <c r="T2102" s="424" t="s">
        <v>5166</v>
      </c>
      <c r="U2102" s="424">
        <v>0</v>
      </c>
      <c r="V2102" s="424" t="s">
        <v>2092</v>
      </c>
      <c r="W2102" s="424" t="s">
        <v>3283</v>
      </c>
      <c r="X2102" s="424">
        <v>0</v>
      </c>
      <c r="Y2102" s="424" t="s">
        <v>3983</v>
      </c>
      <c r="Z2102" s="424" t="s">
        <v>2889</v>
      </c>
      <c r="AA2102" s="424" t="s">
        <v>2890</v>
      </c>
      <c r="AB2102" s="424" t="s">
        <v>8036</v>
      </c>
      <c r="AC2102" s="424" t="s">
        <v>1953</v>
      </c>
      <c r="AD2102" s="424" t="s">
        <v>2892</v>
      </c>
      <c r="AE2102" s="424" t="s">
        <v>8028</v>
      </c>
      <c r="AF2102" s="424"/>
      <c r="AG2102" s="424"/>
      <c r="AH2102" s="424"/>
    </row>
    <row r="2103" spans="1:34" x14ac:dyDescent="0.25">
      <c r="A2103" s="423" t="s">
        <v>7812</v>
      </c>
      <c r="B2103" s="423" t="s">
        <v>8037</v>
      </c>
      <c r="C2103" s="423" t="s">
        <v>6852</v>
      </c>
      <c r="D2103" s="423" t="s">
        <v>6850</v>
      </c>
      <c r="E2103" s="423" t="s">
        <v>242</v>
      </c>
      <c r="F2103" s="423">
        <v>40</v>
      </c>
      <c r="G2103" s="423">
        <v>256</v>
      </c>
      <c r="H2103" s="423">
        <v>2000</v>
      </c>
      <c r="J2103" s="423"/>
      <c r="K2103" s="423"/>
      <c r="L2103" s="423"/>
      <c r="M2103" s="423"/>
      <c r="Q2103" s="423"/>
      <c r="R2103" s="424" t="s">
        <v>8037</v>
      </c>
      <c r="S2103" s="424" t="s">
        <v>2820</v>
      </c>
      <c r="T2103" s="424" t="s">
        <v>5166</v>
      </c>
      <c r="U2103" s="424">
        <v>0</v>
      </c>
      <c r="V2103" s="424" t="s">
        <v>2092</v>
      </c>
      <c r="W2103" s="424" t="s">
        <v>3283</v>
      </c>
      <c r="X2103" s="424">
        <v>0</v>
      </c>
      <c r="Y2103" s="424" t="s">
        <v>3983</v>
      </c>
      <c r="Z2103" s="424" t="s">
        <v>2889</v>
      </c>
      <c r="AA2103" s="424" t="s">
        <v>2890</v>
      </c>
      <c r="AB2103" s="424" t="s">
        <v>8038</v>
      </c>
      <c r="AC2103" s="424" t="s">
        <v>1953</v>
      </c>
      <c r="AD2103" s="424" t="s">
        <v>2892</v>
      </c>
      <c r="AE2103" s="424" t="s">
        <v>8028</v>
      </c>
      <c r="AF2103" s="424"/>
      <c r="AG2103" s="424"/>
      <c r="AH2103" s="424"/>
    </row>
    <row r="2104" spans="1:34" x14ac:dyDescent="0.25">
      <c r="A2104" s="423" t="s">
        <v>7812</v>
      </c>
      <c r="B2104" s="423" t="s">
        <v>8039</v>
      </c>
      <c r="C2104" s="423" t="s">
        <v>6852</v>
      </c>
      <c r="D2104" s="423" t="s">
        <v>6850</v>
      </c>
      <c r="E2104" s="423" t="s">
        <v>242</v>
      </c>
      <c r="F2104" s="423">
        <v>32</v>
      </c>
      <c r="G2104" s="423">
        <v>64</v>
      </c>
      <c r="H2104" s="423">
        <v>1000</v>
      </c>
      <c r="J2104" s="423"/>
      <c r="K2104" s="423"/>
      <c r="L2104" s="423"/>
      <c r="M2104" s="423"/>
      <c r="Q2104" s="423"/>
      <c r="R2104" s="424" t="s">
        <v>8040</v>
      </c>
      <c r="S2104" s="424" t="s">
        <v>2846</v>
      </c>
      <c r="T2104" s="424" t="s">
        <v>3356</v>
      </c>
      <c r="U2104" s="424">
        <v>0</v>
      </c>
      <c r="V2104" s="424" t="s">
        <v>2924</v>
      </c>
      <c r="W2104" s="424" t="s">
        <v>3074</v>
      </c>
      <c r="X2104" s="424">
        <v>0</v>
      </c>
      <c r="Y2104" s="424" t="s">
        <v>2279</v>
      </c>
      <c r="Z2104" s="424" t="s">
        <v>2848</v>
      </c>
      <c r="AA2104" s="424" t="s">
        <v>2849</v>
      </c>
      <c r="AB2104" s="424" t="s">
        <v>8041</v>
      </c>
      <c r="AC2104" s="424" t="s">
        <v>1953</v>
      </c>
      <c r="AD2104" s="424" t="s">
        <v>2851</v>
      </c>
      <c r="AE2104" s="424" t="s">
        <v>3440</v>
      </c>
      <c r="AF2104" s="424"/>
      <c r="AG2104" s="424"/>
      <c r="AH2104" s="424"/>
    </row>
    <row r="2105" spans="1:34" x14ac:dyDescent="0.25">
      <c r="A2105" s="423" t="s">
        <v>7812</v>
      </c>
      <c r="B2105" s="423" t="s">
        <v>8042</v>
      </c>
      <c r="C2105" s="423" t="s">
        <v>6852</v>
      </c>
      <c r="D2105" s="423" t="s">
        <v>6850</v>
      </c>
      <c r="E2105" s="423" t="s">
        <v>242</v>
      </c>
      <c r="F2105" s="423">
        <v>32</v>
      </c>
      <c r="G2105" s="423">
        <v>64</v>
      </c>
      <c r="H2105" s="423">
        <v>1000</v>
      </c>
      <c r="J2105" s="423"/>
      <c r="K2105" s="423"/>
      <c r="L2105" s="423"/>
      <c r="M2105" s="423"/>
      <c r="Q2105" s="423"/>
      <c r="R2105" s="424" t="s">
        <v>8043</v>
      </c>
      <c r="S2105" s="424" t="s">
        <v>2846</v>
      </c>
      <c r="T2105" s="424" t="s">
        <v>3356</v>
      </c>
      <c r="U2105" s="424">
        <v>0</v>
      </c>
      <c r="V2105" s="424" t="s">
        <v>2924</v>
      </c>
      <c r="W2105" s="424" t="s">
        <v>3074</v>
      </c>
      <c r="X2105" s="424">
        <v>0</v>
      </c>
      <c r="Y2105" s="424" t="s">
        <v>2279</v>
      </c>
      <c r="Z2105" s="424" t="s">
        <v>2848</v>
      </c>
      <c r="AA2105" s="424" t="s">
        <v>2849</v>
      </c>
      <c r="AB2105" s="424" t="s">
        <v>8044</v>
      </c>
      <c r="AC2105" s="424" t="s">
        <v>1953</v>
      </c>
      <c r="AD2105" s="424" t="s">
        <v>2851</v>
      </c>
      <c r="AE2105" s="424" t="s">
        <v>3440</v>
      </c>
      <c r="AF2105" s="424"/>
      <c r="AG2105" s="424"/>
      <c r="AH2105" s="424"/>
    </row>
    <row r="2106" spans="1:34" x14ac:dyDescent="0.25">
      <c r="A2106" s="423" t="s">
        <v>7812</v>
      </c>
      <c r="B2106" s="423" t="s">
        <v>8045</v>
      </c>
      <c r="C2106" s="423" t="s">
        <v>6852</v>
      </c>
      <c r="D2106" s="423" t="s">
        <v>6850</v>
      </c>
      <c r="E2106" s="423" t="s">
        <v>242</v>
      </c>
      <c r="F2106" s="423">
        <v>32</v>
      </c>
      <c r="G2106" s="423">
        <v>64</v>
      </c>
      <c r="H2106" s="423">
        <v>1000</v>
      </c>
      <c r="J2106" s="423"/>
      <c r="K2106" s="423"/>
      <c r="L2106" s="423"/>
      <c r="M2106" s="423"/>
      <c r="Q2106" s="423"/>
      <c r="R2106" s="424" t="s">
        <v>8046</v>
      </c>
      <c r="S2106" s="424" t="s">
        <v>2846</v>
      </c>
      <c r="T2106" s="424" t="s">
        <v>3356</v>
      </c>
      <c r="U2106" s="424">
        <v>0</v>
      </c>
      <c r="V2106" s="424" t="s">
        <v>2924</v>
      </c>
      <c r="W2106" s="424" t="s">
        <v>3074</v>
      </c>
      <c r="X2106" s="424">
        <v>0</v>
      </c>
      <c r="Y2106" s="424" t="s">
        <v>2279</v>
      </c>
      <c r="Z2106" s="424" t="s">
        <v>2848</v>
      </c>
      <c r="AA2106" s="424" t="s">
        <v>2855</v>
      </c>
      <c r="AB2106" s="424" t="s">
        <v>8047</v>
      </c>
      <c r="AC2106" s="424" t="s">
        <v>1953</v>
      </c>
      <c r="AD2106" s="424" t="s">
        <v>2851</v>
      </c>
      <c r="AE2106" s="424" t="s">
        <v>5343</v>
      </c>
      <c r="AF2106" s="424"/>
      <c r="AG2106" s="424"/>
      <c r="AH2106" s="424"/>
    </row>
    <row r="2107" spans="1:34" x14ac:dyDescent="0.25">
      <c r="A2107" s="423" t="s">
        <v>7812</v>
      </c>
      <c r="B2107" s="423" t="s">
        <v>8048</v>
      </c>
      <c r="C2107" s="423" t="s">
        <v>6852</v>
      </c>
      <c r="D2107" s="423" t="s">
        <v>6850</v>
      </c>
      <c r="E2107" s="423" t="s">
        <v>242</v>
      </c>
      <c r="F2107" s="423">
        <v>32</v>
      </c>
      <c r="G2107" s="423">
        <v>64</v>
      </c>
      <c r="H2107" s="423">
        <v>1000</v>
      </c>
      <c r="J2107" s="423"/>
      <c r="K2107" s="423"/>
      <c r="L2107" s="423"/>
      <c r="M2107" s="423"/>
      <c r="Q2107" s="423"/>
      <c r="R2107" s="424" t="s">
        <v>8049</v>
      </c>
      <c r="S2107" s="424" t="s">
        <v>2846</v>
      </c>
      <c r="T2107" s="424" t="s">
        <v>3356</v>
      </c>
      <c r="U2107" s="424">
        <v>0</v>
      </c>
      <c r="V2107" s="424" t="s">
        <v>2924</v>
      </c>
      <c r="W2107" s="424" t="s">
        <v>3074</v>
      </c>
      <c r="X2107" s="424">
        <v>0</v>
      </c>
      <c r="Y2107" s="424" t="s">
        <v>2279</v>
      </c>
      <c r="Z2107" s="424" t="s">
        <v>2848</v>
      </c>
      <c r="AA2107" s="424" t="s">
        <v>2855</v>
      </c>
      <c r="AB2107" s="424" t="s">
        <v>5355</v>
      </c>
      <c r="AC2107" s="424" t="s">
        <v>1953</v>
      </c>
      <c r="AD2107" s="424" t="s">
        <v>2851</v>
      </c>
      <c r="AE2107" s="424" t="s">
        <v>3158</v>
      </c>
      <c r="AF2107" s="424"/>
      <c r="AG2107" s="424"/>
      <c r="AH2107" s="424"/>
    </row>
    <row r="2108" spans="1:34" x14ac:dyDescent="0.25">
      <c r="A2108" s="423" t="s">
        <v>7812</v>
      </c>
      <c r="B2108" s="423" t="s">
        <v>8050</v>
      </c>
      <c r="C2108" s="423" t="s">
        <v>6852</v>
      </c>
      <c r="D2108" s="423" t="s">
        <v>6850</v>
      </c>
      <c r="E2108" s="423" t="s">
        <v>242</v>
      </c>
      <c r="F2108" s="423">
        <v>32</v>
      </c>
      <c r="G2108" s="423">
        <v>64</v>
      </c>
      <c r="H2108" s="423">
        <v>1000</v>
      </c>
      <c r="J2108" s="423"/>
      <c r="K2108" s="423"/>
      <c r="L2108" s="423"/>
      <c r="M2108" s="423"/>
      <c r="Q2108" s="423"/>
      <c r="R2108" s="424" t="s">
        <v>8051</v>
      </c>
      <c r="S2108" s="424" t="s">
        <v>2846</v>
      </c>
      <c r="T2108" s="424" t="s">
        <v>3356</v>
      </c>
      <c r="U2108" s="424">
        <v>0</v>
      </c>
      <c r="V2108" s="424" t="s">
        <v>2924</v>
      </c>
      <c r="W2108" s="424" t="s">
        <v>3074</v>
      </c>
      <c r="X2108" s="424">
        <v>0</v>
      </c>
      <c r="Y2108" s="424" t="s">
        <v>2279</v>
      </c>
      <c r="Z2108" s="424" t="s">
        <v>2848</v>
      </c>
      <c r="AA2108" s="424" t="s">
        <v>2849</v>
      </c>
      <c r="AB2108" s="424" t="s">
        <v>7124</v>
      </c>
      <c r="AC2108" s="424" t="s">
        <v>1953</v>
      </c>
      <c r="AD2108" s="424" t="s">
        <v>2851</v>
      </c>
      <c r="AE2108" s="424" t="s">
        <v>3440</v>
      </c>
      <c r="AF2108" s="424"/>
      <c r="AG2108" s="424"/>
      <c r="AH2108" s="424"/>
    </row>
    <row r="2109" spans="1:34" x14ac:dyDescent="0.25">
      <c r="A2109" s="423" t="s">
        <v>7812</v>
      </c>
      <c r="B2109" s="423" t="s">
        <v>8052</v>
      </c>
      <c r="C2109" s="423" t="s">
        <v>6852</v>
      </c>
      <c r="D2109" s="423" t="s">
        <v>6850</v>
      </c>
      <c r="E2109" s="423" t="s">
        <v>242</v>
      </c>
      <c r="F2109" s="423">
        <v>32</v>
      </c>
      <c r="G2109" s="423">
        <v>64</v>
      </c>
      <c r="H2109" s="423">
        <v>1000</v>
      </c>
      <c r="J2109" s="423"/>
      <c r="K2109" s="423"/>
      <c r="L2109" s="423"/>
      <c r="M2109" s="423"/>
      <c r="Q2109" s="423"/>
      <c r="R2109" s="424" t="s">
        <v>8053</v>
      </c>
      <c r="S2109" s="424" t="s">
        <v>2846</v>
      </c>
      <c r="T2109" s="424" t="s">
        <v>8054</v>
      </c>
      <c r="U2109" s="424">
        <v>0</v>
      </c>
      <c r="V2109" s="424" t="s">
        <v>2924</v>
      </c>
      <c r="W2109" s="424" t="s">
        <v>3074</v>
      </c>
      <c r="X2109" s="424">
        <v>0</v>
      </c>
      <c r="Y2109" s="424" t="s">
        <v>2279</v>
      </c>
      <c r="Z2109" s="424" t="s">
        <v>2848</v>
      </c>
      <c r="AA2109" s="424" t="s">
        <v>2855</v>
      </c>
      <c r="AB2109" s="424" t="s">
        <v>7665</v>
      </c>
      <c r="AC2109" s="424" t="s">
        <v>1953</v>
      </c>
      <c r="AD2109" s="424" t="s">
        <v>2851</v>
      </c>
      <c r="AE2109" s="424" t="s">
        <v>5343</v>
      </c>
      <c r="AF2109" s="424"/>
      <c r="AG2109" s="424"/>
      <c r="AH2109" s="424"/>
    </row>
    <row r="2110" spans="1:34" x14ac:dyDescent="0.25">
      <c r="A2110" s="423" t="s">
        <v>7812</v>
      </c>
      <c r="B2110" s="423" t="s">
        <v>8055</v>
      </c>
      <c r="C2110" s="423" t="s">
        <v>6852</v>
      </c>
      <c r="D2110" s="423" t="s">
        <v>6850</v>
      </c>
      <c r="E2110" s="423" t="s">
        <v>242</v>
      </c>
      <c r="F2110" s="423">
        <v>32</v>
      </c>
      <c r="G2110" s="423">
        <v>64</v>
      </c>
      <c r="H2110" s="423">
        <v>1000</v>
      </c>
      <c r="J2110" s="423"/>
      <c r="K2110" s="423"/>
      <c r="L2110" s="423"/>
      <c r="M2110" s="423"/>
      <c r="Q2110" s="423"/>
      <c r="R2110" s="424" t="s">
        <v>8056</v>
      </c>
      <c r="S2110" s="424" t="s">
        <v>2846</v>
      </c>
      <c r="T2110" s="424" t="s">
        <v>3356</v>
      </c>
      <c r="U2110" s="424">
        <v>0</v>
      </c>
      <c r="V2110" s="424" t="s">
        <v>2924</v>
      </c>
      <c r="W2110" s="424" t="s">
        <v>3074</v>
      </c>
      <c r="X2110" s="424">
        <v>0</v>
      </c>
      <c r="Y2110" s="424" t="s">
        <v>2279</v>
      </c>
      <c r="Z2110" s="424" t="s">
        <v>2848</v>
      </c>
      <c r="AA2110" s="424" t="s">
        <v>2855</v>
      </c>
      <c r="AB2110" s="424" t="s">
        <v>8057</v>
      </c>
      <c r="AC2110" s="424" t="s">
        <v>1953</v>
      </c>
      <c r="AD2110" s="424" t="s">
        <v>2851</v>
      </c>
      <c r="AE2110" s="424" t="s">
        <v>2861</v>
      </c>
      <c r="AF2110" s="424"/>
      <c r="AG2110" s="424"/>
      <c r="AH2110" s="424"/>
    </row>
    <row r="2111" spans="1:34" x14ac:dyDescent="0.25">
      <c r="A2111" s="423" t="s">
        <v>7812</v>
      </c>
      <c r="B2111" s="423" t="s">
        <v>8058</v>
      </c>
      <c r="C2111" s="423" t="s">
        <v>6852</v>
      </c>
      <c r="D2111" s="423" t="s">
        <v>6850</v>
      </c>
      <c r="E2111" s="423" t="s">
        <v>242</v>
      </c>
      <c r="F2111" s="423">
        <v>32</v>
      </c>
      <c r="G2111" s="423">
        <v>64</v>
      </c>
      <c r="H2111" s="423">
        <v>1000</v>
      </c>
      <c r="J2111" s="423"/>
      <c r="K2111" s="423"/>
      <c r="L2111" s="423"/>
      <c r="M2111" s="423"/>
      <c r="Q2111" s="423"/>
      <c r="R2111" s="424" t="s">
        <v>8059</v>
      </c>
      <c r="S2111" s="424" t="s">
        <v>2846</v>
      </c>
      <c r="T2111" s="424" t="s">
        <v>3356</v>
      </c>
      <c r="U2111" s="424">
        <v>0</v>
      </c>
      <c r="V2111" s="424" t="s">
        <v>2924</v>
      </c>
      <c r="W2111" s="424" t="s">
        <v>3074</v>
      </c>
      <c r="X2111" s="424">
        <v>0</v>
      </c>
      <c r="Y2111" s="424" t="s">
        <v>2279</v>
      </c>
      <c r="Z2111" s="424" t="s">
        <v>2848</v>
      </c>
      <c r="AA2111" s="424" t="s">
        <v>2855</v>
      </c>
      <c r="AB2111" s="424" t="s">
        <v>7665</v>
      </c>
      <c r="AC2111" s="424" t="s">
        <v>1953</v>
      </c>
      <c r="AD2111" s="424" t="s">
        <v>2851</v>
      </c>
      <c r="AE2111" s="424" t="s">
        <v>5343</v>
      </c>
      <c r="AF2111" s="424"/>
      <c r="AG2111" s="424"/>
      <c r="AH2111" s="424"/>
    </row>
    <row r="2112" spans="1:34" x14ac:dyDescent="0.25">
      <c r="A2112" s="423" t="s">
        <v>7812</v>
      </c>
      <c r="B2112" s="423" t="s">
        <v>8060</v>
      </c>
      <c r="C2112" s="423" t="s">
        <v>6852</v>
      </c>
      <c r="D2112" s="423" t="s">
        <v>6850</v>
      </c>
      <c r="E2112" s="423" t="s">
        <v>242</v>
      </c>
      <c r="F2112" s="423">
        <v>32</v>
      </c>
      <c r="G2112" s="423">
        <v>64</v>
      </c>
      <c r="H2112" s="423">
        <v>1000</v>
      </c>
      <c r="J2112" s="423"/>
      <c r="K2112" s="423"/>
      <c r="L2112" s="423"/>
      <c r="M2112" s="423"/>
      <c r="Q2112" s="423"/>
      <c r="R2112" s="424" t="s">
        <v>8061</v>
      </c>
      <c r="S2112" s="424" t="s">
        <v>2846</v>
      </c>
      <c r="T2112" s="424" t="s">
        <v>3356</v>
      </c>
      <c r="U2112" s="424">
        <v>0</v>
      </c>
      <c r="V2112" s="424" t="s">
        <v>2924</v>
      </c>
      <c r="W2112" s="424" t="s">
        <v>3074</v>
      </c>
      <c r="X2112" s="424">
        <v>0</v>
      </c>
      <c r="Y2112" s="424" t="s">
        <v>2279</v>
      </c>
      <c r="Z2112" s="424" t="s">
        <v>2848</v>
      </c>
      <c r="AA2112" s="424" t="s">
        <v>2855</v>
      </c>
      <c r="AB2112" s="424" t="s">
        <v>8062</v>
      </c>
      <c r="AC2112" s="424" t="s">
        <v>1953</v>
      </c>
      <c r="AD2112" s="424" t="s">
        <v>2851</v>
      </c>
      <c r="AE2112" s="424" t="s">
        <v>5343</v>
      </c>
      <c r="AF2112" s="424"/>
      <c r="AG2112" s="424"/>
      <c r="AH2112" s="424"/>
    </row>
    <row r="2113" spans="1:34" x14ac:dyDescent="0.25">
      <c r="A2113" s="423" t="s">
        <v>7812</v>
      </c>
      <c r="B2113" s="423" t="s">
        <v>8063</v>
      </c>
      <c r="C2113" s="423" t="s">
        <v>6852</v>
      </c>
      <c r="D2113" s="423" t="s">
        <v>6850</v>
      </c>
      <c r="E2113" s="423" t="s">
        <v>242</v>
      </c>
      <c r="F2113" s="423">
        <v>40</v>
      </c>
      <c r="G2113" s="423">
        <v>256</v>
      </c>
      <c r="H2113" s="423">
        <v>2000</v>
      </c>
      <c r="J2113" s="423"/>
      <c r="K2113" s="423"/>
      <c r="L2113" s="423"/>
      <c r="M2113" s="423"/>
      <c r="Q2113" s="423"/>
      <c r="R2113" s="424" t="s">
        <v>8063</v>
      </c>
      <c r="S2113" s="424" t="s">
        <v>2820</v>
      </c>
      <c r="T2113" s="424" t="s">
        <v>8064</v>
      </c>
      <c r="U2113" s="424">
        <v>0</v>
      </c>
      <c r="V2113" s="424" t="s">
        <v>2824</v>
      </c>
      <c r="W2113" s="424" t="s">
        <v>2824</v>
      </c>
      <c r="X2113" s="424">
        <v>0</v>
      </c>
      <c r="Y2113" s="424" t="s">
        <v>3983</v>
      </c>
      <c r="Z2113" s="424" t="s">
        <v>2872</v>
      </c>
      <c r="AA2113" s="424" t="s">
        <v>2873</v>
      </c>
      <c r="AB2113" s="424" t="s">
        <v>8065</v>
      </c>
      <c r="AC2113" s="424" t="s">
        <v>1953</v>
      </c>
      <c r="AD2113" s="424" t="s">
        <v>2892</v>
      </c>
      <c r="AE2113" s="424" t="s">
        <v>5168</v>
      </c>
      <c r="AF2113" s="424"/>
      <c r="AG2113" s="424"/>
      <c r="AH2113" s="424"/>
    </row>
    <row r="2114" spans="1:34" x14ac:dyDescent="0.25">
      <c r="A2114" s="423" t="s">
        <v>7812</v>
      </c>
      <c r="B2114" s="423" t="s">
        <v>8066</v>
      </c>
      <c r="C2114" s="423" t="s">
        <v>6852</v>
      </c>
      <c r="D2114" s="423" t="s">
        <v>6850</v>
      </c>
      <c r="E2114" s="423" t="s">
        <v>242</v>
      </c>
      <c r="F2114" s="423">
        <v>40</v>
      </c>
      <c r="G2114" s="423">
        <v>256</v>
      </c>
      <c r="H2114" s="423">
        <v>2000</v>
      </c>
      <c r="J2114" s="423"/>
      <c r="K2114" s="423"/>
      <c r="L2114" s="423"/>
      <c r="M2114" s="423"/>
      <c r="Q2114" s="423"/>
      <c r="R2114" s="424" t="s">
        <v>8066</v>
      </c>
      <c r="S2114" s="424" t="s">
        <v>2820</v>
      </c>
      <c r="T2114" s="424" t="s">
        <v>8064</v>
      </c>
      <c r="U2114" s="424">
        <v>0</v>
      </c>
      <c r="V2114" s="424" t="s">
        <v>2824</v>
      </c>
      <c r="W2114" s="424" t="s">
        <v>2824</v>
      </c>
      <c r="X2114" s="424">
        <v>0</v>
      </c>
      <c r="Y2114" s="424" t="s">
        <v>3983</v>
      </c>
      <c r="Z2114" s="424" t="s">
        <v>2872</v>
      </c>
      <c r="AA2114" s="424" t="s">
        <v>2873</v>
      </c>
      <c r="AB2114" s="424" t="s">
        <v>8067</v>
      </c>
      <c r="AC2114" s="424" t="s">
        <v>1953</v>
      </c>
      <c r="AD2114" s="424" t="s">
        <v>2892</v>
      </c>
      <c r="AE2114" s="424" t="s">
        <v>5173</v>
      </c>
      <c r="AF2114" s="424"/>
      <c r="AG2114" s="424"/>
      <c r="AH2114" s="424"/>
    </row>
    <row r="2115" spans="1:34" x14ac:dyDescent="0.25">
      <c r="A2115" s="423" t="s">
        <v>7812</v>
      </c>
      <c r="B2115" s="423" t="s">
        <v>8068</v>
      </c>
      <c r="C2115" s="423" t="s">
        <v>6852</v>
      </c>
      <c r="D2115" s="423" t="s">
        <v>6850</v>
      </c>
      <c r="E2115" s="423" t="s">
        <v>242</v>
      </c>
      <c r="F2115" s="423">
        <v>40</v>
      </c>
      <c r="G2115" s="423">
        <v>256</v>
      </c>
      <c r="H2115" s="423">
        <v>2000</v>
      </c>
      <c r="J2115" s="423"/>
      <c r="K2115" s="423"/>
      <c r="L2115" s="423"/>
      <c r="M2115" s="423"/>
      <c r="Q2115" s="423"/>
      <c r="R2115" s="424" t="s">
        <v>8068</v>
      </c>
      <c r="S2115" s="424" t="s">
        <v>2820</v>
      </c>
      <c r="T2115" s="424" t="s">
        <v>8064</v>
      </c>
      <c r="U2115" s="424">
        <v>0</v>
      </c>
      <c r="V2115" s="424" t="s">
        <v>2824</v>
      </c>
      <c r="W2115" s="424" t="s">
        <v>2824</v>
      </c>
      <c r="X2115" s="424">
        <v>0</v>
      </c>
      <c r="Y2115" s="424" t="s">
        <v>3983</v>
      </c>
      <c r="Z2115" s="424" t="s">
        <v>2872</v>
      </c>
      <c r="AA2115" s="424" t="s">
        <v>2873</v>
      </c>
      <c r="AB2115" s="424" t="s">
        <v>8069</v>
      </c>
      <c r="AC2115" s="424" t="s">
        <v>1953</v>
      </c>
      <c r="AD2115" s="424" t="s">
        <v>2892</v>
      </c>
      <c r="AE2115" s="424" t="s">
        <v>5173</v>
      </c>
      <c r="AF2115" s="424"/>
      <c r="AG2115" s="424"/>
      <c r="AH2115" s="424"/>
    </row>
    <row r="2116" spans="1:34" x14ac:dyDescent="0.25">
      <c r="A2116" s="423" t="s">
        <v>7812</v>
      </c>
      <c r="B2116" s="423" t="s">
        <v>8070</v>
      </c>
      <c r="C2116" s="423" t="s">
        <v>6852</v>
      </c>
      <c r="D2116" s="423" t="s">
        <v>6850</v>
      </c>
      <c r="E2116" s="423" t="s">
        <v>242</v>
      </c>
      <c r="F2116" s="423">
        <v>40</v>
      </c>
      <c r="G2116" s="423">
        <v>256</v>
      </c>
      <c r="H2116" s="423">
        <v>2000</v>
      </c>
      <c r="J2116" s="423"/>
      <c r="K2116" s="423"/>
      <c r="L2116" s="423"/>
      <c r="M2116" s="423"/>
      <c r="Q2116" s="423"/>
      <c r="R2116" s="424" t="s">
        <v>8070</v>
      </c>
      <c r="S2116" s="424" t="s">
        <v>2820</v>
      </c>
      <c r="T2116" s="424" t="s">
        <v>8064</v>
      </c>
      <c r="U2116" s="424">
        <v>0</v>
      </c>
      <c r="V2116" s="424" t="s">
        <v>2824</v>
      </c>
      <c r="W2116" s="424" t="s">
        <v>2824</v>
      </c>
      <c r="X2116" s="424">
        <v>0</v>
      </c>
      <c r="Y2116" s="424" t="s">
        <v>3983</v>
      </c>
      <c r="Z2116" s="424" t="s">
        <v>2872</v>
      </c>
      <c r="AA2116" s="424" t="s">
        <v>2873</v>
      </c>
      <c r="AB2116" s="424" t="s">
        <v>8071</v>
      </c>
      <c r="AC2116" s="424" t="s">
        <v>1953</v>
      </c>
      <c r="AD2116" s="424" t="s">
        <v>2892</v>
      </c>
      <c r="AE2116" s="424" t="s">
        <v>5168</v>
      </c>
      <c r="AF2116" s="424"/>
      <c r="AG2116" s="424"/>
      <c r="AH2116" s="424"/>
    </row>
    <row r="2117" spans="1:34" x14ac:dyDescent="0.25">
      <c r="A2117" s="423" t="s">
        <v>7812</v>
      </c>
      <c r="B2117" s="423" t="s">
        <v>8072</v>
      </c>
      <c r="C2117" s="423" t="s">
        <v>6852</v>
      </c>
      <c r="D2117" s="423" t="s">
        <v>6850</v>
      </c>
      <c r="E2117" s="423" t="s">
        <v>242</v>
      </c>
      <c r="F2117" s="423">
        <v>40</v>
      </c>
      <c r="G2117" s="423">
        <v>256</v>
      </c>
      <c r="H2117" s="423">
        <v>2000</v>
      </c>
      <c r="J2117" s="423"/>
      <c r="K2117" s="423"/>
      <c r="L2117" s="423"/>
      <c r="M2117" s="423"/>
      <c r="Q2117" s="423"/>
      <c r="R2117" s="424" t="s">
        <v>8072</v>
      </c>
      <c r="S2117" s="424" t="s">
        <v>2820</v>
      </c>
      <c r="T2117" s="424" t="s">
        <v>8064</v>
      </c>
      <c r="U2117" s="424">
        <v>0</v>
      </c>
      <c r="V2117" s="424" t="s">
        <v>2824</v>
      </c>
      <c r="W2117" s="424" t="s">
        <v>2824</v>
      </c>
      <c r="X2117" s="424">
        <v>0</v>
      </c>
      <c r="Y2117" s="424" t="s">
        <v>3983</v>
      </c>
      <c r="Z2117" s="424" t="s">
        <v>2872</v>
      </c>
      <c r="AA2117" s="424" t="s">
        <v>2873</v>
      </c>
      <c r="AB2117" s="424" t="s">
        <v>8073</v>
      </c>
      <c r="AC2117" s="424" t="s">
        <v>1953</v>
      </c>
      <c r="AD2117" s="424" t="s">
        <v>2892</v>
      </c>
      <c r="AE2117" s="424" t="s">
        <v>5173</v>
      </c>
      <c r="AF2117" s="424"/>
      <c r="AG2117" s="424"/>
      <c r="AH2117" s="424"/>
    </row>
    <row r="2118" spans="1:34" x14ac:dyDescent="0.25">
      <c r="A2118" s="423" t="s">
        <v>7812</v>
      </c>
      <c r="B2118" s="423" t="s">
        <v>8074</v>
      </c>
      <c r="C2118" s="423" t="s">
        <v>6852</v>
      </c>
      <c r="D2118" s="423" t="s">
        <v>6850</v>
      </c>
      <c r="E2118" s="423" t="s">
        <v>242</v>
      </c>
      <c r="F2118" s="423">
        <v>40</v>
      </c>
      <c r="G2118" s="423">
        <v>256</v>
      </c>
      <c r="H2118" s="423">
        <v>2000</v>
      </c>
      <c r="J2118" s="423"/>
      <c r="K2118" s="423"/>
      <c r="L2118" s="423"/>
      <c r="M2118" s="423"/>
      <c r="Q2118" s="423"/>
      <c r="R2118" s="424" t="s">
        <v>8074</v>
      </c>
      <c r="S2118" s="424" t="s">
        <v>2820</v>
      </c>
      <c r="T2118" s="424" t="s">
        <v>8064</v>
      </c>
      <c r="U2118" s="424">
        <v>0</v>
      </c>
      <c r="V2118" s="424" t="s">
        <v>2824</v>
      </c>
      <c r="W2118" s="424" t="s">
        <v>2824</v>
      </c>
      <c r="X2118" s="424">
        <v>0</v>
      </c>
      <c r="Y2118" s="424" t="s">
        <v>3983</v>
      </c>
      <c r="Z2118" s="424" t="s">
        <v>2872</v>
      </c>
      <c r="AA2118" s="424" t="s">
        <v>2873</v>
      </c>
      <c r="AB2118" s="424" t="s">
        <v>8075</v>
      </c>
      <c r="AC2118" s="424" t="s">
        <v>1953</v>
      </c>
      <c r="AD2118" s="424" t="s">
        <v>2892</v>
      </c>
      <c r="AE2118" s="424" t="s">
        <v>5168</v>
      </c>
      <c r="AF2118" s="424"/>
      <c r="AG2118" s="424"/>
      <c r="AH2118" s="424"/>
    </row>
    <row r="2119" spans="1:34" x14ac:dyDescent="0.25">
      <c r="A2119" s="423" t="s">
        <v>7812</v>
      </c>
      <c r="B2119" s="423" t="s">
        <v>8076</v>
      </c>
      <c r="C2119" s="423" t="s">
        <v>6852</v>
      </c>
      <c r="D2119" s="423" t="s">
        <v>6850</v>
      </c>
      <c r="E2119" s="423" t="s">
        <v>242</v>
      </c>
      <c r="F2119" s="423">
        <v>32</v>
      </c>
      <c r="G2119" s="423">
        <v>64</v>
      </c>
      <c r="H2119" s="423">
        <v>1000</v>
      </c>
      <c r="J2119" s="423"/>
      <c r="K2119" s="423"/>
      <c r="L2119" s="423"/>
      <c r="M2119" s="423"/>
      <c r="Q2119" s="423"/>
      <c r="R2119" s="424" t="s">
        <v>8077</v>
      </c>
      <c r="S2119" s="424" t="s">
        <v>2846</v>
      </c>
      <c r="T2119" s="424" t="s">
        <v>3356</v>
      </c>
      <c r="U2119" s="424">
        <v>0</v>
      </c>
      <c r="V2119" s="424" t="s">
        <v>2924</v>
      </c>
      <c r="W2119" s="424" t="s">
        <v>3074</v>
      </c>
      <c r="X2119" s="424">
        <v>0</v>
      </c>
      <c r="Y2119" s="424" t="s">
        <v>2279</v>
      </c>
      <c r="Z2119" s="424" t="s">
        <v>2848</v>
      </c>
      <c r="AA2119" s="424" t="s">
        <v>2855</v>
      </c>
      <c r="AB2119" s="424" t="s">
        <v>8078</v>
      </c>
      <c r="AC2119" s="424" t="s">
        <v>1953</v>
      </c>
      <c r="AD2119" s="424" t="s">
        <v>2851</v>
      </c>
      <c r="AE2119" s="424" t="s">
        <v>5343</v>
      </c>
      <c r="AF2119" s="424"/>
      <c r="AG2119" s="424"/>
      <c r="AH2119" s="424"/>
    </row>
    <row r="2120" spans="1:34" x14ac:dyDescent="0.25">
      <c r="A2120" s="423" t="s">
        <v>7812</v>
      </c>
      <c r="B2120" s="423" t="s">
        <v>8079</v>
      </c>
      <c r="C2120" s="423" t="s">
        <v>6852</v>
      </c>
      <c r="D2120" s="423" t="s">
        <v>6850</v>
      </c>
      <c r="E2120" s="423" t="s">
        <v>242</v>
      </c>
      <c r="F2120" s="423">
        <v>32</v>
      </c>
      <c r="G2120" s="423">
        <v>64</v>
      </c>
      <c r="H2120" s="423">
        <v>1000</v>
      </c>
      <c r="J2120" s="423"/>
      <c r="K2120" s="423"/>
      <c r="L2120" s="423"/>
      <c r="M2120" s="423"/>
      <c r="Q2120" s="423"/>
      <c r="R2120" s="424" t="s">
        <v>8080</v>
      </c>
      <c r="S2120" s="424" t="s">
        <v>2846</v>
      </c>
      <c r="T2120" s="424" t="s">
        <v>3356</v>
      </c>
      <c r="U2120" s="424">
        <v>0</v>
      </c>
      <c r="V2120" s="424" t="s">
        <v>2924</v>
      </c>
      <c r="W2120" s="424" t="s">
        <v>3074</v>
      </c>
      <c r="X2120" s="424">
        <v>0</v>
      </c>
      <c r="Y2120" s="424" t="s">
        <v>2279</v>
      </c>
      <c r="Z2120" s="424" t="s">
        <v>2848</v>
      </c>
      <c r="AA2120" s="424" t="s">
        <v>2855</v>
      </c>
      <c r="AB2120" s="424" t="s">
        <v>7819</v>
      </c>
      <c r="AC2120" s="424" t="s">
        <v>1953</v>
      </c>
      <c r="AD2120" s="424" t="s">
        <v>2851</v>
      </c>
      <c r="AE2120" s="424" t="s">
        <v>5343</v>
      </c>
      <c r="AF2120" s="424"/>
      <c r="AG2120" s="424"/>
      <c r="AH2120" s="424"/>
    </row>
    <row r="2121" spans="1:34" x14ac:dyDescent="0.25">
      <c r="A2121" s="423" t="s">
        <v>7812</v>
      </c>
      <c r="B2121" s="423" t="s">
        <v>8081</v>
      </c>
      <c r="C2121" s="423" t="s">
        <v>6852</v>
      </c>
      <c r="D2121" s="423" t="s">
        <v>6850</v>
      </c>
      <c r="E2121" s="423" t="s">
        <v>242</v>
      </c>
      <c r="F2121" s="423">
        <v>32</v>
      </c>
      <c r="G2121" s="423">
        <v>64</v>
      </c>
      <c r="H2121" s="423">
        <v>1000</v>
      </c>
      <c r="J2121" s="423"/>
      <c r="K2121" s="423"/>
      <c r="L2121" s="423"/>
      <c r="M2121" s="423"/>
      <c r="Q2121" s="423"/>
      <c r="R2121" s="424" t="s">
        <v>8082</v>
      </c>
      <c r="S2121" s="424" t="s">
        <v>2846</v>
      </c>
      <c r="T2121" s="424" t="s">
        <v>3356</v>
      </c>
      <c r="U2121" s="424">
        <v>0</v>
      </c>
      <c r="V2121" s="424" t="s">
        <v>2924</v>
      </c>
      <c r="W2121" s="424" t="s">
        <v>3074</v>
      </c>
      <c r="X2121" s="424">
        <v>0</v>
      </c>
      <c r="Y2121" s="424" t="s">
        <v>2279</v>
      </c>
      <c r="Z2121" s="424" t="s">
        <v>2848</v>
      </c>
      <c r="AA2121" s="424" t="s">
        <v>2855</v>
      </c>
      <c r="AB2121" s="424" t="s">
        <v>8083</v>
      </c>
      <c r="AC2121" s="424" t="s">
        <v>1953</v>
      </c>
      <c r="AD2121" s="424" t="s">
        <v>2851</v>
      </c>
      <c r="AE2121" s="424" t="s">
        <v>3287</v>
      </c>
      <c r="AF2121" s="424"/>
      <c r="AG2121" s="424"/>
      <c r="AH2121" s="424"/>
    </row>
    <row r="2122" spans="1:34" x14ac:dyDescent="0.25">
      <c r="A2122" s="423" t="s">
        <v>7812</v>
      </c>
      <c r="B2122" s="423" t="s">
        <v>8084</v>
      </c>
      <c r="C2122" s="423" t="s">
        <v>6852</v>
      </c>
      <c r="D2122" s="423" t="s">
        <v>6850</v>
      </c>
      <c r="E2122" s="423" t="s">
        <v>242</v>
      </c>
      <c r="F2122" s="423">
        <v>32</v>
      </c>
      <c r="G2122" s="423">
        <v>64</v>
      </c>
      <c r="H2122" s="423">
        <v>1000</v>
      </c>
      <c r="J2122" s="423"/>
      <c r="K2122" s="423"/>
      <c r="L2122" s="423"/>
      <c r="M2122" s="423"/>
      <c r="Q2122" s="423"/>
      <c r="R2122" s="424" t="s">
        <v>8085</v>
      </c>
      <c r="S2122" s="424" t="s">
        <v>2846</v>
      </c>
      <c r="T2122" s="424" t="s">
        <v>3356</v>
      </c>
      <c r="U2122" s="424">
        <v>0</v>
      </c>
      <c r="V2122" s="424" t="s">
        <v>2924</v>
      </c>
      <c r="W2122" s="424" t="s">
        <v>3074</v>
      </c>
      <c r="X2122" s="424">
        <v>0</v>
      </c>
      <c r="Y2122" s="424" t="s">
        <v>2279</v>
      </c>
      <c r="Z2122" s="424" t="s">
        <v>2848</v>
      </c>
      <c r="AA2122" s="424" t="s">
        <v>2855</v>
      </c>
      <c r="AB2122" s="424" t="s">
        <v>8083</v>
      </c>
      <c r="AC2122" s="424" t="s">
        <v>1953</v>
      </c>
      <c r="AD2122" s="424" t="s">
        <v>2851</v>
      </c>
      <c r="AE2122" s="424" t="s">
        <v>3287</v>
      </c>
      <c r="AF2122" s="424"/>
      <c r="AG2122" s="424"/>
      <c r="AH2122" s="424"/>
    </row>
    <row r="2123" spans="1:34" x14ac:dyDescent="0.25">
      <c r="A2123" s="423" t="s">
        <v>7812</v>
      </c>
      <c r="B2123" s="423" t="s">
        <v>8086</v>
      </c>
      <c r="C2123" s="423" t="s">
        <v>6852</v>
      </c>
      <c r="D2123" s="423" t="s">
        <v>6850</v>
      </c>
      <c r="E2123" s="423" t="s">
        <v>242</v>
      </c>
      <c r="F2123" s="423">
        <v>32</v>
      </c>
      <c r="G2123" s="423">
        <v>64</v>
      </c>
      <c r="H2123" s="423">
        <v>1000</v>
      </c>
      <c r="J2123" s="423"/>
      <c r="K2123" s="423"/>
      <c r="L2123" s="423"/>
      <c r="M2123" s="423"/>
      <c r="Q2123" s="423"/>
      <c r="R2123" s="424" t="s">
        <v>8087</v>
      </c>
      <c r="S2123" s="424" t="s">
        <v>2846</v>
      </c>
      <c r="T2123" s="424" t="s">
        <v>3356</v>
      </c>
      <c r="U2123" s="424">
        <v>0</v>
      </c>
      <c r="V2123" s="424" t="s">
        <v>2924</v>
      </c>
      <c r="W2123" s="424" t="s">
        <v>3074</v>
      </c>
      <c r="X2123" s="424">
        <v>0</v>
      </c>
      <c r="Y2123" s="424" t="s">
        <v>2279</v>
      </c>
      <c r="Z2123" s="424" t="s">
        <v>2848</v>
      </c>
      <c r="AA2123" s="424" t="s">
        <v>2855</v>
      </c>
      <c r="AB2123" s="424" t="s">
        <v>7822</v>
      </c>
      <c r="AC2123" s="424" t="s">
        <v>1953</v>
      </c>
      <c r="AD2123" s="424" t="s">
        <v>2851</v>
      </c>
      <c r="AE2123" s="424" t="s">
        <v>5343</v>
      </c>
      <c r="AF2123" s="424"/>
      <c r="AG2123" s="424"/>
      <c r="AH2123" s="424"/>
    </row>
    <row r="2124" spans="1:34" x14ac:dyDescent="0.25">
      <c r="A2124" s="423" t="s">
        <v>7812</v>
      </c>
      <c r="B2124" s="423" t="s">
        <v>8088</v>
      </c>
      <c r="C2124" s="423" t="s">
        <v>6852</v>
      </c>
      <c r="D2124" s="423" t="s">
        <v>6850</v>
      </c>
      <c r="E2124" s="423" t="s">
        <v>242</v>
      </c>
      <c r="F2124" s="423">
        <v>32</v>
      </c>
      <c r="G2124" s="423">
        <v>64</v>
      </c>
      <c r="H2124" s="423">
        <v>1000</v>
      </c>
      <c r="J2124" s="423"/>
      <c r="K2124" s="423"/>
      <c r="L2124" s="423"/>
      <c r="M2124" s="423"/>
      <c r="Q2124" s="423"/>
      <c r="R2124" s="424" t="s">
        <v>8089</v>
      </c>
      <c r="S2124" s="424" t="s">
        <v>2846</v>
      </c>
      <c r="T2124" s="424" t="s">
        <v>3356</v>
      </c>
      <c r="U2124" s="424">
        <v>0</v>
      </c>
      <c r="V2124" s="424" t="s">
        <v>2924</v>
      </c>
      <c r="W2124" s="424" t="s">
        <v>3074</v>
      </c>
      <c r="X2124" s="424">
        <v>0</v>
      </c>
      <c r="Y2124" s="424" t="s">
        <v>2279</v>
      </c>
      <c r="Z2124" s="424" t="s">
        <v>2848</v>
      </c>
      <c r="AA2124" s="424" t="s">
        <v>2849</v>
      </c>
      <c r="AB2124" s="424" t="s">
        <v>8090</v>
      </c>
      <c r="AC2124" s="424" t="s">
        <v>1953</v>
      </c>
      <c r="AD2124" s="424" t="s">
        <v>2851</v>
      </c>
      <c r="AE2124" s="424" t="s">
        <v>3440</v>
      </c>
      <c r="AF2124" s="424"/>
      <c r="AG2124" s="424"/>
      <c r="AH2124" s="424"/>
    </row>
    <row r="2125" spans="1:34" x14ac:dyDescent="0.25">
      <c r="A2125" s="423" t="s">
        <v>7812</v>
      </c>
      <c r="B2125" s="423" t="s">
        <v>8091</v>
      </c>
      <c r="C2125" s="423" t="s">
        <v>6852</v>
      </c>
      <c r="D2125" s="423" t="s">
        <v>6850</v>
      </c>
      <c r="E2125" s="423" t="s">
        <v>242</v>
      </c>
      <c r="F2125" s="423">
        <v>32</v>
      </c>
      <c r="G2125" s="423">
        <v>64</v>
      </c>
      <c r="H2125" s="423">
        <v>1000</v>
      </c>
      <c r="J2125" s="423"/>
      <c r="K2125" s="423"/>
      <c r="L2125" s="423"/>
      <c r="M2125" s="423"/>
      <c r="Q2125" s="423"/>
      <c r="R2125" s="424" t="s">
        <v>8092</v>
      </c>
      <c r="S2125" s="424" t="s">
        <v>2846</v>
      </c>
      <c r="T2125" s="424" t="s">
        <v>3356</v>
      </c>
      <c r="U2125" s="424">
        <v>0</v>
      </c>
      <c r="V2125" s="424" t="s">
        <v>2924</v>
      </c>
      <c r="W2125" s="424" t="s">
        <v>3074</v>
      </c>
      <c r="X2125" s="424">
        <v>0</v>
      </c>
      <c r="Y2125" s="424" t="s">
        <v>2279</v>
      </c>
      <c r="Z2125" s="424" t="s">
        <v>2848</v>
      </c>
      <c r="AA2125" s="424" t="s">
        <v>2855</v>
      </c>
      <c r="AB2125" s="424" t="s">
        <v>7122</v>
      </c>
      <c r="AC2125" s="424" t="s">
        <v>1953</v>
      </c>
      <c r="AD2125" s="424" t="s">
        <v>2851</v>
      </c>
      <c r="AE2125" s="424" t="s">
        <v>5343</v>
      </c>
      <c r="AF2125" s="424"/>
      <c r="AG2125" s="424"/>
      <c r="AH2125" s="424"/>
    </row>
    <row r="2126" spans="1:34" x14ac:dyDescent="0.25">
      <c r="A2126" s="423" t="s">
        <v>7812</v>
      </c>
      <c r="B2126" s="423" t="s">
        <v>8093</v>
      </c>
      <c r="C2126" s="423" t="s">
        <v>6852</v>
      </c>
      <c r="D2126" s="423" t="s">
        <v>6850</v>
      </c>
      <c r="E2126" s="423" t="s">
        <v>242</v>
      </c>
      <c r="F2126" s="423">
        <v>32</v>
      </c>
      <c r="G2126" s="423">
        <v>64</v>
      </c>
      <c r="H2126" s="423">
        <v>1000</v>
      </c>
      <c r="J2126" s="423"/>
      <c r="K2126" s="423"/>
      <c r="L2126" s="423"/>
      <c r="M2126" s="423"/>
      <c r="Q2126" s="423"/>
      <c r="R2126" s="424" t="s">
        <v>8094</v>
      </c>
      <c r="S2126" s="424" t="s">
        <v>2846</v>
      </c>
      <c r="T2126" s="424" t="s">
        <v>3356</v>
      </c>
      <c r="U2126" s="424">
        <v>0</v>
      </c>
      <c r="V2126" s="424" t="s">
        <v>2924</v>
      </c>
      <c r="W2126" s="424" t="s">
        <v>3074</v>
      </c>
      <c r="X2126" s="424">
        <v>0</v>
      </c>
      <c r="Y2126" s="424" t="s">
        <v>2279</v>
      </c>
      <c r="Z2126" s="424" t="s">
        <v>2848</v>
      </c>
      <c r="AA2126" s="424" t="s">
        <v>2849</v>
      </c>
      <c r="AB2126" s="424" t="s">
        <v>8095</v>
      </c>
      <c r="AC2126" s="424" t="s">
        <v>1953</v>
      </c>
      <c r="AD2126" s="424" t="s">
        <v>2851</v>
      </c>
      <c r="AE2126" s="424" t="s">
        <v>3440</v>
      </c>
      <c r="AF2126" s="424"/>
      <c r="AG2126" s="424"/>
      <c r="AH2126" s="424"/>
    </row>
    <row r="2127" spans="1:34" x14ac:dyDescent="0.25">
      <c r="A2127" s="423" t="s">
        <v>7812</v>
      </c>
      <c r="B2127" s="423" t="s">
        <v>8096</v>
      </c>
      <c r="C2127" s="423" t="s">
        <v>6852</v>
      </c>
      <c r="D2127" s="423" t="s">
        <v>6850</v>
      </c>
      <c r="E2127" s="423" t="s">
        <v>242</v>
      </c>
      <c r="F2127" s="423">
        <v>32</v>
      </c>
      <c r="G2127" s="423">
        <v>64</v>
      </c>
      <c r="H2127" s="423">
        <v>1000</v>
      </c>
      <c r="J2127" s="423"/>
      <c r="K2127" s="423"/>
      <c r="L2127" s="423"/>
      <c r="M2127" s="423"/>
      <c r="Q2127" s="423"/>
      <c r="R2127" s="424" t="s">
        <v>8097</v>
      </c>
      <c r="S2127" s="424" t="s">
        <v>2846</v>
      </c>
      <c r="T2127" s="424" t="s">
        <v>3356</v>
      </c>
      <c r="U2127" s="424">
        <v>0</v>
      </c>
      <c r="V2127" s="424" t="s">
        <v>2924</v>
      </c>
      <c r="W2127" s="424" t="s">
        <v>3074</v>
      </c>
      <c r="X2127" s="424">
        <v>0</v>
      </c>
      <c r="Y2127" s="424" t="s">
        <v>2279</v>
      </c>
      <c r="Z2127" s="424" t="s">
        <v>2848</v>
      </c>
      <c r="AA2127" s="424" t="s">
        <v>2855</v>
      </c>
      <c r="AB2127" s="424" t="s">
        <v>8098</v>
      </c>
      <c r="AC2127" s="424" t="s">
        <v>1953</v>
      </c>
      <c r="AD2127" s="424" t="s">
        <v>2851</v>
      </c>
      <c r="AE2127" s="424" t="s">
        <v>3158</v>
      </c>
      <c r="AF2127" s="424"/>
      <c r="AG2127" s="424"/>
      <c r="AH2127" s="424"/>
    </row>
    <row r="2128" spans="1:34" x14ac:dyDescent="0.25">
      <c r="A2128" s="423" t="s">
        <v>7812</v>
      </c>
      <c r="B2128" s="423" t="s">
        <v>8099</v>
      </c>
      <c r="C2128" s="423" t="s">
        <v>6852</v>
      </c>
      <c r="D2128" s="423" t="s">
        <v>6850</v>
      </c>
      <c r="E2128" s="423" t="s">
        <v>242</v>
      </c>
      <c r="F2128" s="423">
        <v>32</v>
      </c>
      <c r="G2128" s="423">
        <v>64</v>
      </c>
      <c r="H2128" s="423">
        <v>1000</v>
      </c>
      <c r="J2128" s="423"/>
      <c r="K2128" s="423"/>
      <c r="L2128" s="423"/>
      <c r="M2128" s="423"/>
      <c r="Q2128" s="423"/>
      <c r="R2128" s="424" t="s">
        <v>8100</v>
      </c>
      <c r="S2128" s="424" t="s">
        <v>2846</v>
      </c>
      <c r="T2128" s="424" t="s">
        <v>3356</v>
      </c>
      <c r="U2128" s="424">
        <v>0</v>
      </c>
      <c r="V2128" s="424" t="s">
        <v>2924</v>
      </c>
      <c r="W2128" s="424" t="s">
        <v>3074</v>
      </c>
      <c r="X2128" s="424">
        <v>0</v>
      </c>
      <c r="Y2128" s="424" t="s">
        <v>2279</v>
      </c>
      <c r="Z2128" s="424" t="s">
        <v>2848</v>
      </c>
      <c r="AA2128" s="424" t="s">
        <v>2855</v>
      </c>
      <c r="AB2128" s="424" t="s">
        <v>8101</v>
      </c>
      <c r="AC2128" s="424" t="s">
        <v>1953</v>
      </c>
      <c r="AD2128" s="424" t="s">
        <v>2851</v>
      </c>
      <c r="AE2128" s="424" t="s">
        <v>3158</v>
      </c>
      <c r="AF2128" s="424"/>
      <c r="AG2128" s="424"/>
      <c r="AH2128" s="424"/>
    </row>
    <row r="2129" spans="1:34" x14ac:dyDescent="0.25">
      <c r="A2129" s="423" t="s">
        <v>7812</v>
      </c>
      <c r="B2129" s="423" t="s">
        <v>8102</v>
      </c>
      <c r="C2129" s="423" t="s">
        <v>6852</v>
      </c>
      <c r="D2129" s="423" t="s">
        <v>6850</v>
      </c>
      <c r="E2129" s="423" t="s">
        <v>242</v>
      </c>
      <c r="F2129" s="423">
        <v>32</v>
      </c>
      <c r="G2129" s="423">
        <v>64</v>
      </c>
      <c r="H2129" s="423">
        <v>1000</v>
      </c>
      <c r="J2129" s="423"/>
      <c r="K2129" s="423"/>
      <c r="L2129" s="423"/>
      <c r="M2129" s="423"/>
      <c r="Q2129" s="423"/>
      <c r="R2129" s="424" t="s">
        <v>8103</v>
      </c>
      <c r="S2129" s="424" t="s">
        <v>2846</v>
      </c>
      <c r="T2129" s="424" t="s">
        <v>3356</v>
      </c>
      <c r="U2129" s="424">
        <v>0</v>
      </c>
      <c r="V2129" s="424" t="s">
        <v>2924</v>
      </c>
      <c r="W2129" s="424" t="s">
        <v>3074</v>
      </c>
      <c r="X2129" s="424">
        <v>0</v>
      </c>
      <c r="Y2129" s="424" t="s">
        <v>2279</v>
      </c>
      <c r="Z2129" s="424" t="s">
        <v>2848</v>
      </c>
      <c r="AA2129" s="424" t="s">
        <v>2855</v>
      </c>
      <c r="AB2129" s="424" t="s">
        <v>8104</v>
      </c>
      <c r="AC2129" s="424" t="s">
        <v>1953</v>
      </c>
      <c r="AD2129" s="424" t="s">
        <v>2851</v>
      </c>
      <c r="AE2129" s="424" t="s">
        <v>5343</v>
      </c>
      <c r="AF2129" s="424"/>
      <c r="AG2129" s="424"/>
      <c r="AH2129" s="424"/>
    </row>
    <row r="2130" spans="1:34" x14ac:dyDescent="0.25">
      <c r="A2130" s="423" t="s">
        <v>7812</v>
      </c>
      <c r="B2130" s="423" t="s">
        <v>8105</v>
      </c>
      <c r="C2130" s="423" t="s">
        <v>6852</v>
      </c>
      <c r="D2130" s="423" t="s">
        <v>6850</v>
      </c>
      <c r="E2130" s="423" t="s">
        <v>242</v>
      </c>
      <c r="F2130" s="423">
        <v>32</v>
      </c>
      <c r="G2130" s="423">
        <v>64</v>
      </c>
      <c r="H2130" s="423">
        <v>1000</v>
      </c>
      <c r="J2130" s="423"/>
      <c r="K2130" s="423"/>
      <c r="L2130" s="423"/>
      <c r="M2130" s="423"/>
      <c r="Q2130" s="423"/>
      <c r="R2130" s="424" t="s">
        <v>8106</v>
      </c>
      <c r="S2130" s="424" t="s">
        <v>2846</v>
      </c>
      <c r="T2130" s="424" t="s">
        <v>3356</v>
      </c>
      <c r="U2130" s="424">
        <v>0</v>
      </c>
      <c r="V2130" s="424" t="s">
        <v>2924</v>
      </c>
      <c r="W2130" s="424" t="s">
        <v>3074</v>
      </c>
      <c r="X2130" s="424">
        <v>0</v>
      </c>
      <c r="Y2130" s="424" t="s">
        <v>2279</v>
      </c>
      <c r="Z2130" s="424" t="s">
        <v>2848</v>
      </c>
      <c r="AA2130" s="424" t="s">
        <v>2855</v>
      </c>
      <c r="AB2130" s="424" t="s">
        <v>8107</v>
      </c>
      <c r="AC2130" s="424" t="s">
        <v>1953</v>
      </c>
      <c r="AD2130" s="424" t="s">
        <v>2851</v>
      </c>
      <c r="AE2130" s="424" t="s">
        <v>3158</v>
      </c>
      <c r="AF2130" s="424"/>
      <c r="AG2130" s="424"/>
      <c r="AH2130" s="424"/>
    </row>
    <row r="2131" spans="1:34" x14ac:dyDescent="0.25">
      <c r="A2131" s="423" t="s">
        <v>7812</v>
      </c>
      <c r="B2131" s="423" t="s">
        <v>8108</v>
      </c>
      <c r="C2131" s="423" t="s">
        <v>6852</v>
      </c>
      <c r="D2131" s="423" t="s">
        <v>6850</v>
      </c>
      <c r="E2131" s="423" t="s">
        <v>242</v>
      </c>
      <c r="F2131" s="423">
        <v>32</v>
      </c>
      <c r="G2131" s="423">
        <v>64</v>
      </c>
      <c r="H2131" s="423">
        <v>1000</v>
      </c>
      <c r="J2131" s="423"/>
      <c r="K2131" s="423"/>
      <c r="L2131" s="423"/>
      <c r="M2131" s="423"/>
      <c r="Q2131" s="423"/>
      <c r="R2131" s="424" t="s">
        <v>8109</v>
      </c>
      <c r="S2131" s="424" t="s">
        <v>2846</v>
      </c>
      <c r="T2131" s="424" t="s">
        <v>3356</v>
      </c>
      <c r="U2131" s="424">
        <v>0</v>
      </c>
      <c r="V2131" s="424" t="s">
        <v>6894</v>
      </c>
      <c r="W2131" s="424" t="s">
        <v>3074</v>
      </c>
      <c r="X2131" s="424">
        <v>0</v>
      </c>
      <c r="Y2131" s="424" t="s">
        <v>2279</v>
      </c>
      <c r="Z2131" s="424" t="s">
        <v>2872</v>
      </c>
      <c r="AA2131" s="424" t="s">
        <v>2873</v>
      </c>
      <c r="AB2131" s="424" t="s">
        <v>7791</v>
      </c>
      <c r="AC2131" s="424" t="s">
        <v>1953</v>
      </c>
      <c r="AD2131" s="424" t="s">
        <v>2892</v>
      </c>
      <c r="AE2131" s="424" t="s">
        <v>2968</v>
      </c>
      <c r="AF2131" s="424"/>
      <c r="AG2131" s="424"/>
      <c r="AH2131" s="424"/>
    </row>
    <row r="2132" spans="1:34" x14ac:dyDescent="0.25">
      <c r="A2132" s="423" t="s">
        <v>7812</v>
      </c>
      <c r="B2132" s="423" t="s">
        <v>8110</v>
      </c>
      <c r="C2132" s="423" t="s">
        <v>6852</v>
      </c>
      <c r="D2132" s="423" t="s">
        <v>6850</v>
      </c>
      <c r="E2132" s="423" t="s">
        <v>242</v>
      </c>
      <c r="F2132" s="423">
        <v>32</v>
      </c>
      <c r="G2132" s="423">
        <v>64</v>
      </c>
      <c r="H2132" s="423">
        <v>1000</v>
      </c>
      <c r="J2132" s="423"/>
      <c r="K2132" s="423"/>
      <c r="L2132" s="423"/>
      <c r="M2132" s="423"/>
      <c r="Q2132" s="423"/>
      <c r="R2132" s="424" t="s">
        <v>8111</v>
      </c>
      <c r="S2132" s="424" t="s">
        <v>2846</v>
      </c>
      <c r="T2132" s="424" t="s">
        <v>3356</v>
      </c>
      <c r="U2132" s="424">
        <v>0</v>
      </c>
      <c r="V2132" s="424" t="s">
        <v>6894</v>
      </c>
      <c r="W2132" s="424" t="s">
        <v>3074</v>
      </c>
      <c r="X2132" s="424">
        <v>0</v>
      </c>
      <c r="Y2132" s="424" t="s">
        <v>2279</v>
      </c>
      <c r="Z2132" s="424" t="s">
        <v>2872</v>
      </c>
      <c r="AA2132" s="424" t="s">
        <v>2873</v>
      </c>
      <c r="AB2132" s="424" t="s">
        <v>7993</v>
      </c>
      <c r="AC2132" s="424" t="s">
        <v>1953</v>
      </c>
      <c r="AD2132" s="424" t="s">
        <v>2892</v>
      </c>
      <c r="AE2132" s="424" t="s">
        <v>3081</v>
      </c>
      <c r="AF2132" s="424"/>
      <c r="AG2132" s="424"/>
      <c r="AH2132" s="424"/>
    </row>
    <row r="2133" spans="1:34" x14ac:dyDescent="0.25">
      <c r="A2133" s="423" t="s">
        <v>7812</v>
      </c>
      <c r="B2133" s="423" t="s">
        <v>8112</v>
      </c>
      <c r="C2133" s="423" t="s">
        <v>6852</v>
      </c>
      <c r="D2133" s="423" t="s">
        <v>6850</v>
      </c>
      <c r="E2133" s="423" t="s">
        <v>242</v>
      </c>
      <c r="F2133" s="423">
        <v>32</v>
      </c>
      <c r="G2133" s="423">
        <v>64</v>
      </c>
      <c r="H2133" s="423">
        <v>1000</v>
      </c>
      <c r="J2133" s="423"/>
      <c r="K2133" s="423"/>
      <c r="L2133" s="423"/>
      <c r="M2133" s="423"/>
      <c r="Q2133" s="423"/>
      <c r="R2133" s="424" t="s">
        <v>8113</v>
      </c>
      <c r="S2133" s="424" t="s">
        <v>2846</v>
      </c>
      <c r="T2133" s="424" t="s">
        <v>3356</v>
      </c>
      <c r="U2133" s="424">
        <v>0</v>
      </c>
      <c r="V2133" s="424" t="s">
        <v>6894</v>
      </c>
      <c r="W2133" s="424" t="s">
        <v>3074</v>
      </c>
      <c r="X2133" s="424">
        <v>0</v>
      </c>
      <c r="Y2133" s="424" t="s">
        <v>2279</v>
      </c>
      <c r="Z2133" s="424" t="s">
        <v>2872</v>
      </c>
      <c r="AA2133" s="424" t="s">
        <v>2873</v>
      </c>
      <c r="AB2133" s="424" t="s">
        <v>8114</v>
      </c>
      <c r="AC2133" s="424" t="s">
        <v>1953</v>
      </c>
      <c r="AD2133" s="424" t="s">
        <v>2892</v>
      </c>
      <c r="AE2133" s="424" t="s">
        <v>3387</v>
      </c>
      <c r="AF2133" s="424"/>
      <c r="AG2133" s="424"/>
      <c r="AH2133" s="424"/>
    </row>
    <row r="2134" spans="1:34" x14ac:dyDescent="0.25">
      <c r="A2134" s="423" t="s">
        <v>7812</v>
      </c>
      <c r="B2134" s="423" t="s">
        <v>8115</v>
      </c>
      <c r="C2134" s="423" t="s">
        <v>6852</v>
      </c>
      <c r="D2134" s="423" t="s">
        <v>6850</v>
      </c>
      <c r="E2134" s="423" t="s">
        <v>242</v>
      </c>
      <c r="F2134" s="423">
        <v>32</v>
      </c>
      <c r="G2134" s="423">
        <v>64</v>
      </c>
      <c r="H2134" s="423">
        <v>1000</v>
      </c>
      <c r="J2134" s="423"/>
      <c r="K2134" s="423"/>
      <c r="L2134" s="423"/>
      <c r="M2134" s="423"/>
      <c r="Q2134" s="423"/>
      <c r="R2134" s="424" t="s">
        <v>8116</v>
      </c>
      <c r="S2134" s="424" t="s">
        <v>2846</v>
      </c>
      <c r="T2134" s="424" t="s">
        <v>3356</v>
      </c>
      <c r="U2134" s="424">
        <v>0</v>
      </c>
      <c r="V2134" s="424" t="s">
        <v>6894</v>
      </c>
      <c r="W2134" s="424" t="s">
        <v>3074</v>
      </c>
      <c r="X2134" s="424">
        <v>0</v>
      </c>
      <c r="Y2134" s="424" t="s">
        <v>2279</v>
      </c>
      <c r="Z2134" s="424" t="s">
        <v>2872</v>
      </c>
      <c r="AA2134" s="424" t="s">
        <v>2873</v>
      </c>
      <c r="AB2134" s="424" t="s">
        <v>3080</v>
      </c>
      <c r="AC2134" s="424" t="s">
        <v>1953</v>
      </c>
      <c r="AD2134" s="424" t="s">
        <v>2892</v>
      </c>
      <c r="AE2134" s="424" t="s">
        <v>3081</v>
      </c>
      <c r="AF2134" s="424"/>
      <c r="AG2134" s="424"/>
      <c r="AH2134" s="424"/>
    </row>
    <row r="2135" spans="1:34" x14ac:dyDescent="0.25">
      <c r="A2135" s="423" t="s">
        <v>7812</v>
      </c>
      <c r="B2135" s="423" t="s">
        <v>8117</v>
      </c>
      <c r="C2135" s="423" t="s">
        <v>6852</v>
      </c>
      <c r="D2135" s="423" t="s">
        <v>6850</v>
      </c>
      <c r="E2135" s="423" t="s">
        <v>242</v>
      </c>
      <c r="F2135" s="423">
        <v>32</v>
      </c>
      <c r="G2135" s="423">
        <v>64</v>
      </c>
      <c r="H2135" s="423">
        <v>1000</v>
      </c>
      <c r="J2135" s="423"/>
      <c r="K2135" s="423"/>
      <c r="L2135" s="423"/>
      <c r="M2135" s="423"/>
      <c r="Q2135" s="423"/>
      <c r="R2135" s="424" t="s">
        <v>8118</v>
      </c>
      <c r="S2135" s="424" t="s">
        <v>2846</v>
      </c>
      <c r="T2135" s="424" t="s">
        <v>3356</v>
      </c>
      <c r="U2135" s="424">
        <v>0</v>
      </c>
      <c r="V2135" s="424" t="s">
        <v>6894</v>
      </c>
      <c r="W2135" s="424" t="s">
        <v>3074</v>
      </c>
      <c r="X2135" s="424">
        <v>0</v>
      </c>
      <c r="Y2135" s="424" t="s">
        <v>2279</v>
      </c>
      <c r="Z2135" s="424" t="s">
        <v>2872</v>
      </c>
      <c r="AA2135" s="424" t="s">
        <v>2873</v>
      </c>
      <c r="AB2135" s="424" t="s">
        <v>6845</v>
      </c>
      <c r="AC2135" s="424" t="s">
        <v>1953</v>
      </c>
      <c r="AD2135" s="424" t="s">
        <v>2892</v>
      </c>
      <c r="AE2135" s="424" t="s">
        <v>3081</v>
      </c>
      <c r="AF2135" s="424"/>
      <c r="AG2135" s="424"/>
      <c r="AH2135" s="424"/>
    </row>
    <row r="2136" spans="1:34" x14ac:dyDescent="0.25">
      <c r="A2136" s="423" t="s">
        <v>7812</v>
      </c>
      <c r="B2136" s="423" t="s">
        <v>8119</v>
      </c>
      <c r="C2136" s="423" t="s">
        <v>6852</v>
      </c>
      <c r="D2136" s="423" t="s">
        <v>6850</v>
      </c>
      <c r="E2136" s="423" t="s">
        <v>242</v>
      </c>
      <c r="F2136" s="423">
        <v>32</v>
      </c>
      <c r="G2136" s="423">
        <v>64</v>
      </c>
      <c r="H2136" s="423">
        <v>1000</v>
      </c>
      <c r="J2136" s="423"/>
      <c r="K2136" s="423"/>
      <c r="L2136" s="423"/>
      <c r="M2136" s="423"/>
      <c r="Q2136" s="423"/>
      <c r="R2136" s="424" t="s">
        <v>8120</v>
      </c>
      <c r="S2136" s="424" t="s">
        <v>2846</v>
      </c>
      <c r="T2136" s="424" t="s">
        <v>3356</v>
      </c>
      <c r="U2136" s="424">
        <v>0</v>
      </c>
      <c r="V2136" s="424" t="s">
        <v>6894</v>
      </c>
      <c r="W2136" s="424" t="s">
        <v>3074</v>
      </c>
      <c r="X2136" s="424">
        <v>0</v>
      </c>
      <c r="Y2136" s="424" t="s">
        <v>2279</v>
      </c>
      <c r="Z2136" s="424" t="s">
        <v>2872</v>
      </c>
      <c r="AA2136" s="424" t="s">
        <v>2873</v>
      </c>
      <c r="AB2136" s="424" t="s">
        <v>8121</v>
      </c>
      <c r="AC2136" s="424" t="s">
        <v>1953</v>
      </c>
      <c r="AD2136" s="424" t="s">
        <v>2892</v>
      </c>
      <c r="AE2136" s="424" t="s">
        <v>2968</v>
      </c>
      <c r="AF2136" s="424"/>
      <c r="AG2136" s="424"/>
      <c r="AH2136" s="424"/>
    </row>
    <row r="2137" spans="1:34" x14ac:dyDescent="0.25">
      <c r="A2137" s="423" t="s">
        <v>7812</v>
      </c>
      <c r="B2137" s="423" t="s">
        <v>8122</v>
      </c>
      <c r="C2137" s="423" t="s">
        <v>6852</v>
      </c>
      <c r="D2137" s="423" t="s">
        <v>6850</v>
      </c>
      <c r="E2137" s="423" t="s">
        <v>242</v>
      </c>
      <c r="F2137" s="423">
        <v>32</v>
      </c>
      <c r="G2137" s="423">
        <v>64</v>
      </c>
      <c r="H2137" s="423">
        <v>1000</v>
      </c>
      <c r="J2137" s="423"/>
      <c r="K2137" s="423"/>
      <c r="L2137" s="423"/>
      <c r="M2137" s="423"/>
      <c r="Q2137" s="423"/>
      <c r="R2137" s="424" t="s">
        <v>8123</v>
      </c>
      <c r="S2137" s="424" t="s">
        <v>2846</v>
      </c>
      <c r="T2137" s="424" t="s">
        <v>3356</v>
      </c>
      <c r="U2137" s="424">
        <v>0</v>
      </c>
      <c r="V2137" s="424" t="s">
        <v>6894</v>
      </c>
      <c r="W2137" s="424" t="s">
        <v>3074</v>
      </c>
      <c r="X2137" s="424">
        <v>0</v>
      </c>
      <c r="Y2137" s="424" t="s">
        <v>2279</v>
      </c>
      <c r="Z2137" s="424" t="s">
        <v>2872</v>
      </c>
      <c r="AA2137" s="424" t="s">
        <v>2873</v>
      </c>
      <c r="AB2137" s="424" t="s">
        <v>3092</v>
      </c>
      <c r="AC2137" s="424" t="s">
        <v>1953</v>
      </c>
      <c r="AD2137" s="424" t="s">
        <v>2892</v>
      </c>
      <c r="AE2137" s="424" t="s">
        <v>2968</v>
      </c>
      <c r="AF2137" s="424"/>
      <c r="AG2137" s="424"/>
      <c r="AH2137" s="424"/>
    </row>
    <row r="2138" spans="1:34" x14ac:dyDescent="0.25">
      <c r="A2138" s="423" t="s">
        <v>7812</v>
      </c>
      <c r="B2138" s="423" t="s">
        <v>8124</v>
      </c>
      <c r="C2138" s="423" t="s">
        <v>6852</v>
      </c>
      <c r="D2138" s="423" t="s">
        <v>6850</v>
      </c>
      <c r="E2138" s="423" t="s">
        <v>242</v>
      </c>
      <c r="F2138" s="423">
        <v>32</v>
      </c>
      <c r="G2138" s="423">
        <v>64</v>
      </c>
      <c r="H2138" s="423">
        <v>1000</v>
      </c>
      <c r="J2138" s="423"/>
      <c r="K2138" s="423"/>
      <c r="L2138" s="423"/>
      <c r="M2138" s="423"/>
      <c r="Q2138" s="423"/>
      <c r="R2138" s="424" t="s">
        <v>8125</v>
      </c>
      <c r="S2138" s="424" t="s">
        <v>2846</v>
      </c>
      <c r="T2138" s="424" t="s">
        <v>3356</v>
      </c>
      <c r="U2138" s="424">
        <v>0</v>
      </c>
      <c r="V2138" s="424" t="s">
        <v>6894</v>
      </c>
      <c r="W2138" s="424" t="s">
        <v>3074</v>
      </c>
      <c r="X2138" s="424">
        <v>0</v>
      </c>
      <c r="Y2138" s="424" t="s">
        <v>2279</v>
      </c>
      <c r="Z2138" s="424" t="s">
        <v>2872</v>
      </c>
      <c r="AA2138" s="424" t="s">
        <v>2873</v>
      </c>
      <c r="AB2138" s="424" t="s">
        <v>7791</v>
      </c>
      <c r="AC2138" s="424" t="s">
        <v>1953</v>
      </c>
      <c r="AD2138" s="424" t="s">
        <v>2892</v>
      </c>
      <c r="AE2138" s="424" t="s">
        <v>2968</v>
      </c>
      <c r="AF2138" s="424"/>
      <c r="AG2138" s="424"/>
      <c r="AH2138" s="424"/>
    </row>
    <row r="2139" spans="1:34" x14ac:dyDescent="0.25">
      <c r="A2139" s="423" t="s">
        <v>7812</v>
      </c>
      <c r="B2139" s="423" t="s">
        <v>8126</v>
      </c>
      <c r="C2139" s="423" t="s">
        <v>6852</v>
      </c>
      <c r="D2139" s="423" t="s">
        <v>6850</v>
      </c>
      <c r="E2139" s="423" t="s">
        <v>242</v>
      </c>
      <c r="F2139" s="423">
        <v>32</v>
      </c>
      <c r="G2139" s="423">
        <v>64</v>
      </c>
      <c r="H2139" s="423">
        <v>1000</v>
      </c>
      <c r="J2139" s="423"/>
      <c r="K2139" s="423"/>
      <c r="L2139" s="423"/>
      <c r="M2139" s="423"/>
      <c r="Q2139" s="423"/>
      <c r="R2139" s="424" t="s">
        <v>8127</v>
      </c>
      <c r="S2139" s="424" t="s">
        <v>2846</v>
      </c>
      <c r="T2139" s="424" t="s">
        <v>3356</v>
      </c>
      <c r="U2139" s="424">
        <v>0</v>
      </c>
      <c r="V2139" s="424" t="s">
        <v>6894</v>
      </c>
      <c r="W2139" s="424" t="s">
        <v>3074</v>
      </c>
      <c r="X2139" s="424">
        <v>0</v>
      </c>
      <c r="Y2139" s="424" t="s">
        <v>2279</v>
      </c>
      <c r="Z2139" s="424" t="s">
        <v>2872</v>
      </c>
      <c r="AA2139" s="424" t="s">
        <v>2873</v>
      </c>
      <c r="AB2139" s="424" t="s">
        <v>8128</v>
      </c>
      <c r="AC2139" s="424" t="s">
        <v>1953</v>
      </c>
      <c r="AD2139" s="424" t="s">
        <v>2892</v>
      </c>
      <c r="AE2139" s="424" t="s">
        <v>2968</v>
      </c>
      <c r="AF2139" s="424"/>
      <c r="AG2139" s="424"/>
      <c r="AH2139" s="424"/>
    </row>
    <row r="2140" spans="1:34" x14ac:dyDescent="0.25">
      <c r="A2140" s="423" t="s">
        <v>7812</v>
      </c>
      <c r="B2140" s="423" t="s">
        <v>8129</v>
      </c>
      <c r="C2140" s="423" t="s">
        <v>6852</v>
      </c>
      <c r="D2140" s="423" t="s">
        <v>6850</v>
      </c>
      <c r="E2140" s="423" t="s">
        <v>242</v>
      </c>
      <c r="F2140" s="423">
        <v>40</v>
      </c>
      <c r="G2140" s="423">
        <v>256</v>
      </c>
      <c r="H2140" s="423">
        <v>2000</v>
      </c>
      <c r="J2140" s="423"/>
      <c r="K2140" s="423"/>
      <c r="L2140" s="423"/>
      <c r="M2140" s="423"/>
      <c r="Q2140" s="423"/>
      <c r="R2140" s="424" t="s">
        <v>8130</v>
      </c>
      <c r="S2140" s="424" t="s">
        <v>2820</v>
      </c>
      <c r="T2140" s="424" t="s">
        <v>5166</v>
      </c>
      <c r="U2140" s="424">
        <v>0</v>
      </c>
      <c r="V2140" s="424" t="s">
        <v>2092</v>
      </c>
      <c r="W2140" s="424" t="s">
        <v>3283</v>
      </c>
      <c r="X2140" s="424">
        <v>0</v>
      </c>
      <c r="Y2140" s="424" t="s">
        <v>3983</v>
      </c>
      <c r="Z2140" s="424" t="s">
        <v>2872</v>
      </c>
      <c r="AA2140" s="424" t="s">
        <v>2873</v>
      </c>
      <c r="AB2140" s="424" t="s">
        <v>8131</v>
      </c>
      <c r="AC2140" s="424" t="s">
        <v>1953</v>
      </c>
      <c r="AD2140" s="424" t="s">
        <v>2892</v>
      </c>
      <c r="AE2140" s="424" t="s">
        <v>8132</v>
      </c>
      <c r="AF2140" s="424"/>
      <c r="AG2140" s="424"/>
      <c r="AH2140" s="424"/>
    </row>
    <row r="2141" spans="1:34" x14ac:dyDescent="0.25">
      <c r="A2141" s="423" t="s">
        <v>7812</v>
      </c>
      <c r="B2141" s="423" t="s">
        <v>8133</v>
      </c>
      <c r="C2141" s="423" t="s">
        <v>6852</v>
      </c>
      <c r="D2141" s="423" t="s">
        <v>6850</v>
      </c>
      <c r="E2141" s="423" t="s">
        <v>242</v>
      </c>
      <c r="F2141" s="423">
        <v>40</v>
      </c>
      <c r="G2141" s="423">
        <v>256</v>
      </c>
      <c r="H2141" s="423">
        <v>2000</v>
      </c>
      <c r="J2141" s="423"/>
      <c r="K2141" s="423"/>
      <c r="L2141" s="423"/>
      <c r="M2141" s="423"/>
      <c r="Q2141" s="423"/>
      <c r="R2141" s="424" t="s">
        <v>8134</v>
      </c>
      <c r="S2141" s="424" t="s">
        <v>2820</v>
      </c>
      <c r="T2141" s="424" t="s">
        <v>5166</v>
      </c>
      <c r="U2141" s="424">
        <v>0</v>
      </c>
      <c r="V2141" s="424" t="s">
        <v>2092</v>
      </c>
      <c r="W2141" s="424" t="s">
        <v>3283</v>
      </c>
      <c r="X2141" s="424">
        <v>0</v>
      </c>
      <c r="Y2141" s="424" t="s">
        <v>3983</v>
      </c>
      <c r="Z2141" s="424" t="s">
        <v>2872</v>
      </c>
      <c r="AA2141" s="424" t="s">
        <v>2873</v>
      </c>
      <c r="AB2141" s="424" t="s">
        <v>8135</v>
      </c>
      <c r="AC2141" s="424" t="s">
        <v>1953</v>
      </c>
      <c r="AD2141" s="424" t="s">
        <v>2892</v>
      </c>
      <c r="AE2141" s="424" t="s">
        <v>8132</v>
      </c>
      <c r="AF2141" s="424"/>
      <c r="AG2141" s="424"/>
      <c r="AH2141" s="424"/>
    </row>
    <row r="2142" spans="1:34" x14ac:dyDescent="0.25">
      <c r="A2142" s="423" t="s">
        <v>7812</v>
      </c>
      <c r="B2142" s="423" t="s">
        <v>8136</v>
      </c>
      <c r="C2142" s="423" t="s">
        <v>6852</v>
      </c>
      <c r="D2142" s="423" t="s">
        <v>6850</v>
      </c>
      <c r="E2142" s="423" t="s">
        <v>242</v>
      </c>
      <c r="F2142" s="423">
        <v>40</v>
      </c>
      <c r="G2142" s="423">
        <v>256</v>
      </c>
      <c r="H2142" s="423">
        <v>2000</v>
      </c>
      <c r="J2142" s="423"/>
      <c r="K2142" s="423"/>
      <c r="L2142" s="423"/>
      <c r="M2142" s="423"/>
      <c r="Q2142" s="423"/>
      <c r="R2142" s="424" t="s">
        <v>8137</v>
      </c>
      <c r="S2142" s="424" t="s">
        <v>2820</v>
      </c>
      <c r="T2142" s="424" t="s">
        <v>5166</v>
      </c>
      <c r="U2142" s="424">
        <v>0</v>
      </c>
      <c r="V2142" s="424" t="s">
        <v>2092</v>
      </c>
      <c r="W2142" s="424" t="s">
        <v>3283</v>
      </c>
      <c r="X2142" s="424">
        <v>0</v>
      </c>
      <c r="Y2142" s="424" t="s">
        <v>3983</v>
      </c>
      <c r="Z2142" s="424" t="s">
        <v>2872</v>
      </c>
      <c r="AA2142" s="424" t="s">
        <v>2873</v>
      </c>
      <c r="AB2142" s="424" t="s">
        <v>8138</v>
      </c>
      <c r="AC2142" s="424" t="s">
        <v>1953</v>
      </c>
      <c r="AD2142" s="424" t="s">
        <v>2892</v>
      </c>
      <c r="AE2142" s="424" t="s">
        <v>8132</v>
      </c>
      <c r="AF2142" s="424"/>
      <c r="AG2142" s="424"/>
      <c r="AH2142" s="424"/>
    </row>
    <row r="2143" spans="1:34" x14ac:dyDescent="0.25">
      <c r="A2143" s="423" t="s">
        <v>7812</v>
      </c>
      <c r="B2143" s="423" t="s">
        <v>8139</v>
      </c>
      <c r="C2143" s="423" t="s">
        <v>6852</v>
      </c>
      <c r="D2143" s="423" t="s">
        <v>6850</v>
      </c>
      <c r="E2143" s="423" t="s">
        <v>242</v>
      </c>
      <c r="F2143" s="423">
        <v>16</v>
      </c>
      <c r="G2143" s="423">
        <v>74</v>
      </c>
      <c r="H2143" s="423">
        <v>1000</v>
      </c>
      <c r="J2143" s="423"/>
      <c r="K2143" s="423"/>
      <c r="L2143" s="423"/>
      <c r="M2143" s="423"/>
      <c r="Q2143" s="423"/>
      <c r="R2143" s="424" t="s">
        <v>8140</v>
      </c>
      <c r="S2143" s="424" t="s">
        <v>2846</v>
      </c>
      <c r="T2143" s="424" t="s">
        <v>3356</v>
      </c>
      <c r="U2143" s="424">
        <v>0</v>
      </c>
      <c r="V2143" s="424" t="s">
        <v>2924</v>
      </c>
      <c r="W2143" s="424" t="s">
        <v>3074</v>
      </c>
      <c r="X2143" s="424" t="s">
        <v>8141</v>
      </c>
      <c r="Y2143" s="424" t="s">
        <v>2279</v>
      </c>
      <c r="Z2143" s="424" t="s">
        <v>2848</v>
      </c>
      <c r="AA2143" s="424" t="s">
        <v>2849</v>
      </c>
      <c r="AB2143" s="424" t="s">
        <v>8095</v>
      </c>
      <c r="AC2143" s="424" t="s">
        <v>1953</v>
      </c>
      <c r="AD2143" s="424" t="s">
        <v>2851</v>
      </c>
      <c r="AE2143" s="424" t="s">
        <v>3440</v>
      </c>
      <c r="AF2143" s="424"/>
      <c r="AG2143" s="424"/>
      <c r="AH2143" s="424"/>
    </row>
    <row r="2144" spans="1:34" x14ac:dyDescent="0.25">
      <c r="A2144" s="423" t="s">
        <v>7812</v>
      </c>
      <c r="B2144" s="423" t="s">
        <v>8142</v>
      </c>
      <c r="C2144" s="423" t="s">
        <v>6852</v>
      </c>
      <c r="D2144" s="423" t="s">
        <v>6850</v>
      </c>
      <c r="E2144" s="423" t="s">
        <v>242</v>
      </c>
      <c r="F2144" s="423">
        <v>16</v>
      </c>
      <c r="G2144" s="423">
        <v>74</v>
      </c>
      <c r="H2144" s="423">
        <v>1000</v>
      </c>
      <c r="J2144" s="423"/>
      <c r="K2144" s="423"/>
      <c r="L2144" s="423"/>
      <c r="M2144" s="423"/>
      <c r="Q2144" s="423"/>
      <c r="R2144" s="424" t="s">
        <v>8143</v>
      </c>
      <c r="S2144" s="424" t="s">
        <v>2846</v>
      </c>
      <c r="T2144" s="424" t="s">
        <v>3356</v>
      </c>
      <c r="U2144" s="424">
        <v>0</v>
      </c>
      <c r="V2144" s="424" t="s">
        <v>2924</v>
      </c>
      <c r="W2144" s="424" t="s">
        <v>3074</v>
      </c>
      <c r="X2144" s="424" t="s">
        <v>8141</v>
      </c>
      <c r="Y2144" s="424" t="s">
        <v>2279</v>
      </c>
      <c r="Z2144" s="424" t="s">
        <v>2848</v>
      </c>
      <c r="AA2144" s="424" t="s">
        <v>2855</v>
      </c>
      <c r="AB2144" s="424" t="s">
        <v>7816</v>
      </c>
      <c r="AC2144" s="424" t="s">
        <v>1953</v>
      </c>
      <c r="AD2144" s="424" t="s">
        <v>2851</v>
      </c>
      <c r="AE2144" s="424" t="s">
        <v>3287</v>
      </c>
      <c r="AF2144" s="424"/>
      <c r="AG2144" s="424"/>
      <c r="AH2144" s="424"/>
    </row>
    <row r="2145" spans="1:34" x14ac:dyDescent="0.25">
      <c r="A2145" s="423" t="s">
        <v>7812</v>
      </c>
      <c r="B2145" s="423" t="s">
        <v>8144</v>
      </c>
      <c r="C2145" s="423" t="s">
        <v>6852</v>
      </c>
      <c r="D2145" s="423" t="s">
        <v>6850</v>
      </c>
      <c r="E2145" s="423" t="s">
        <v>242</v>
      </c>
      <c r="F2145" s="423">
        <v>16</v>
      </c>
      <c r="G2145" s="423">
        <v>74</v>
      </c>
      <c r="H2145" s="423">
        <v>1000</v>
      </c>
      <c r="J2145" s="423"/>
      <c r="K2145" s="423"/>
      <c r="L2145" s="423"/>
      <c r="M2145" s="423"/>
      <c r="Q2145" s="423"/>
      <c r="R2145" s="424" t="s">
        <v>8145</v>
      </c>
      <c r="S2145" s="424" t="s">
        <v>2846</v>
      </c>
      <c r="T2145" s="424" t="s">
        <v>3356</v>
      </c>
      <c r="U2145" s="424">
        <v>0</v>
      </c>
      <c r="V2145" s="424" t="s">
        <v>2924</v>
      </c>
      <c r="W2145" s="424" t="s">
        <v>3074</v>
      </c>
      <c r="X2145" s="424" t="s">
        <v>8141</v>
      </c>
      <c r="Y2145" s="424" t="s">
        <v>2279</v>
      </c>
      <c r="Z2145" s="424" t="s">
        <v>2848</v>
      </c>
      <c r="AA2145" s="424" t="s">
        <v>2855</v>
      </c>
      <c r="AB2145" s="424" t="s">
        <v>8146</v>
      </c>
      <c r="AC2145" s="424" t="s">
        <v>1953</v>
      </c>
      <c r="AD2145" s="424" t="s">
        <v>2851</v>
      </c>
      <c r="AE2145" s="424" t="s">
        <v>3287</v>
      </c>
      <c r="AF2145" s="424"/>
      <c r="AG2145" s="424"/>
      <c r="AH2145" s="424"/>
    </row>
    <row r="2146" spans="1:34" x14ac:dyDescent="0.25">
      <c r="A2146" s="423" t="s">
        <v>7812</v>
      </c>
      <c r="B2146" s="423" t="s">
        <v>8147</v>
      </c>
      <c r="C2146" s="423" t="s">
        <v>6852</v>
      </c>
      <c r="D2146" s="423" t="s">
        <v>6850</v>
      </c>
      <c r="E2146" s="423" t="s">
        <v>242</v>
      </c>
      <c r="F2146" s="423">
        <v>16</v>
      </c>
      <c r="G2146" s="423">
        <v>74</v>
      </c>
      <c r="H2146" s="423">
        <v>1000</v>
      </c>
      <c r="J2146" s="423"/>
      <c r="K2146" s="423"/>
      <c r="L2146" s="423"/>
      <c r="M2146" s="423"/>
      <c r="Q2146" s="423"/>
      <c r="R2146" s="424" t="s">
        <v>8148</v>
      </c>
      <c r="S2146" s="424" t="s">
        <v>2846</v>
      </c>
      <c r="T2146" s="424" t="s">
        <v>3356</v>
      </c>
      <c r="U2146" s="424">
        <v>0</v>
      </c>
      <c r="V2146" s="424" t="s">
        <v>2924</v>
      </c>
      <c r="W2146" s="424" t="s">
        <v>2974</v>
      </c>
      <c r="X2146" s="424" t="s">
        <v>8141</v>
      </c>
      <c r="Y2146" s="424" t="s">
        <v>2279</v>
      </c>
      <c r="Z2146" s="424" t="s">
        <v>2889</v>
      </c>
      <c r="AA2146" s="424" t="s">
        <v>2890</v>
      </c>
      <c r="AB2146" s="424" t="s">
        <v>4946</v>
      </c>
      <c r="AC2146" s="424" t="s">
        <v>1953</v>
      </c>
      <c r="AD2146" s="424" t="s">
        <v>2892</v>
      </c>
      <c r="AE2146" s="424" t="s">
        <v>2930</v>
      </c>
      <c r="AF2146" s="424"/>
      <c r="AG2146" s="424"/>
      <c r="AH2146" s="424"/>
    </row>
    <row r="2147" spans="1:34" x14ac:dyDescent="0.25">
      <c r="A2147" s="423" t="s">
        <v>7812</v>
      </c>
      <c r="B2147" s="423" t="s">
        <v>8149</v>
      </c>
      <c r="C2147" s="423" t="s">
        <v>6852</v>
      </c>
      <c r="D2147" s="423" t="s">
        <v>6850</v>
      </c>
      <c r="E2147" s="423" t="s">
        <v>242</v>
      </c>
      <c r="F2147" s="423">
        <v>16</v>
      </c>
      <c r="G2147" s="423">
        <v>74</v>
      </c>
      <c r="H2147" s="423">
        <v>1000</v>
      </c>
      <c r="J2147" s="423"/>
      <c r="K2147" s="423"/>
      <c r="L2147" s="423"/>
      <c r="M2147" s="423"/>
      <c r="Q2147" s="423"/>
      <c r="R2147" s="424" t="s">
        <v>8150</v>
      </c>
      <c r="S2147" s="424" t="s">
        <v>2846</v>
      </c>
      <c r="T2147" s="424" t="s">
        <v>3356</v>
      </c>
      <c r="U2147" s="424">
        <v>0</v>
      </c>
      <c r="V2147" s="424" t="s">
        <v>2924</v>
      </c>
      <c r="W2147" s="424" t="s">
        <v>3074</v>
      </c>
      <c r="X2147" s="424" t="s">
        <v>8141</v>
      </c>
      <c r="Y2147" s="424" t="s">
        <v>2279</v>
      </c>
      <c r="Z2147" s="424" t="s">
        <v>2872</v>
      </c>
      <c r="AA2147" s="424" t="s">
        <v>2873</v>
      </c>
      <c r="AB2147" s="424" t="s">
        <v>4938</v>
      </c>
      <c r="AC2147" s="424" t="s">
        <v>1953</v>
      </c>
      <c r="AD2147" s="424" t="s">
        <v>2892</v>
      </c>
      <c r="AE2147" s="424" t="s">
        <v>4459</v>
      </c>
      <c r="AF2147" s="424"/>
      <c r="AG2147" s="424"/>
      <c r="AH2147" s="424"/>
    </row>
    <row r="2148" spans="1:34" x14ac:dyDescent="0.25">
      <c r="A2148" s="423" t="s">
        <v>7812</v>
      </c>
      <c r="B2148" s="423" t="s">
        <v>8151</v>
      </c>
      <c r="C2148" s="423" t="s">
        <v>6852</v>
      </c>
      <c r="D2148" s="423" t="s">
        <v>6850</v>
      </c>
      <c r="E2148" s="423" t="s">
        <v>242</v>
      </c>
      <c r="F2148" s="423">
        <v>16</v>
      </c>
      <c r="G2148" s="423">
        <v>74</v>
      </c>
      <c r="H2148" s="423">
        <v>1000</v>
      </c>
      <c r="J2148" s="423"/>
      <c r="K2148" s="423"/>
      <c r="L2148" s="423"/>
      <c r="M2148" s="423"/>
      <c r="Q2148" s="423"/>
      <c r="R2148" s="424" t="s">
        <v>8152</v>
      </c>
      <c r="S2148" s="424" t="s">
        <v>2846</v>
      </c>
      <c r="T2148" s="424" t="s">
        <v>3356</v>
      </c>
      <c r="U2148" s="424">
        <v>0</v>
      </c>
      <c r="V2148" s="424" t="s">
        <v>2924</v>
      </c>
      <c r="W2148" s="424" t="s">
        <v>3176</v>
      </c>
      <c r="X2148" s="424" t="s">
        <v>8141</v>
      </c>
      <c r="Y2148" s="424" t="s">
        <v>2279</v>
      </c>
      <c r="Z2148" s="424" t="s">
        <v>2848</v>
      </c>
      <c r="AA2148" s="424" t="s">
        <v>2855</v>
      </c>
      <c r="AB2148" s="424" t="s">
        <v>5007</v>
      </c>
      <c r="AC2148" s="424" t="s">
        <v>1953</v>
      </c>
      <c r="AD2148" s="424" t="s">
        <v>2851</v>
      </c>
      <c r="AE2148" s="424" t="s">
        <v>2901</v>
      </c>
      <c r="AF2148" s="424"/>
      <c r="AG2148" s="424"/>
      <c r="AH2148" s="424"/>
    </row>
    <row r="2149" spans="1:34" x14ac:dyDescent="0.25">
      <c r="A2149" s="423" t="s">
        <v>7812</v>
      </c>
      <c r="B2149" s="423" t="s">
        <v>8153</v>
      </c>
      <c r="C2149" s="423" t="s">
        <v>6852</v>
      </c>
      <c r="D2149" s="423" t="s">
        <v>6850</v>
      </c>
      <c r="E2149" s="423" t="s">
        <v>242</v>
      </c>
      <c r="F2149" s="423">
        <v>16</v>
      </c>
      <c r="G2149" s="423">
        <v>74</v>
      </c>
      <c r="H2149" s="423">
        <v>1000</v>
      </c>
      <c r="J2149" s="423"/>
      <c r="K2149" s="423"/>
      <c r="L2149" s="423"/>
      <c r="M2149" s="423"/>
      <c r="Q2149" s="423"/>
      <c r="R2149" s="424" t="s">
        <v>8154</v>
      </c>
      <c r="S2149" s="424" t="s">
        <v>2846</v>
      </c>
      <c r="T2149" s="424" t="s">
        <v>8054</v>
      </c>
      <c r="U2149" s="424">
        <v>0</v>
      </c>
      <c r="V2149" s="424" t="s">
        <v>8155</v>
      </c>
      <c r="W2149" s="424" t="s">
        <v>3074</v>
      </c>
      <c r="X2149" s="424" t="s">
        <v>8141</v>
      </c>
      <c r="Y2149" s="424" t="s">
        <v>2279</v>
      </c>
      <c r="Z2149" s="424" t="s">
        <v>2872</v>
      </c>
      <c r="AA2149" s="424" t="s">
        <v>2873</v>
      </c>
      <c r="AB2149" s="424" t="s">
        <v>8114</v>
      </c>
      <c r="AC2149" s="424" t="s">
        <v>1953</v>
      </c>
      <c r="AD2149" s="424" t="s">
        <v>2892</v>
      </c>
      <c r="AE2149" s="424" t="s">
        <v>3387</v>
      </c>
      <c r="AF2149" s="424"/>
      <c r="AG2149" s="424"/>
      <c r="AH2149" s="424"/>
    </row>
    <row r="2150" spans="1:34" x14ac:dyDescent="0.25">
      <c r="A2150" s="423" t="s">
        <v>7812</v>
      </c>
      <c r="B2150" s="423" t="s">
        <v>8156</v>
      </c>
      <c r="C2150" s="423" t="s">
        <v>6852</v>
      </c>
      <c r="D2150" s="423" t="s">
        <v>6850</v>
      </c>
      <c r="E2150" s="423" t="s">
        <v>242</v>
      </c>
      <c r="F2150" s="423">
        <v>16</v>
      </c>
      <c r="G2150" s="423">
        <v>74</v>
      </c>
      <c r="H2150" s="423">
        <v>1000</v>
      </c>
      <c r="J2150" s="423"/>
      <c r="K2150" s="423"/>
      <c r="L2150" s="423"/>
      <c r="M2150" s="423"/>
      <c r="Q2150" s="423"/>
      <c r="R2150" s="424" t="s">
        <v>8157</v>
      </c>
      <c r="S2150" s="424" t="s">
        <v>2846</v>
      </c>
      <c r="T2150" s="424" t="s">
        <v>8054</v>
      </c>
      <c r="U2150" s="424">
        <v>0</v>
      </c>
      <c r="V2150" s="424" t="s">
        <v>8155</v>
      </c>
      <c r="W2150" s="424" t="s">
        <v>3074</v>
      </c>
      <c r="X2150" s="424" t="s">
        <v>8141</v>
      </c>
      <c r="Y2150" s="424" t="s">
        <v>2279</v>
      </c>
      <c r="Z2150" s="424" t="s">
        <v>2872</v>
      </c>
      <c r="AA2150" s="424" t="s">
        <v>2873</v>
      </c>
      <c r="AB2150" s="424" t="s">
        <v>3075</v>
      </c>
      <c r="AC2150" s="424" t="s">
        <v>1953</v>
      </c>
      <c r="AD2150" s="424" t="s">
        <v>2892</v>
      </c>
      <c r="AE2150" s="424" t="s">
        <v>2968</v>
      </c>
      <c r="AF2150" s="424"/>
      <c r="AG2150" s="424"/>
      <c r="AH2150" s="424"/>
    </row>
    <row r="2151" spans="1:34" x14ac:dyDescent="0.25">
      <c r="A2151" s="423" t="s">
        <v>7812</v>
      </c>
      <c r="B2151" s="423" t="s">
        <v>8158</v>
      </c>
      <c r="C2151" s="423" t="s">
        <v>6852</v>
      </c>
      <c r="D2151" s="423" t="s">
        <v>6850</v>
      </c>
      <c r="E2151" s="423" t="s">
        <v>242</v>
      </c>
      <c r="F2151" s="423">
        <v>16</v>
      </c>
      <c r="G2151" s="423">
        <v>74</v>
      </c>
      <c r="H2151" s="423">
        <v>1000</v>
      </c>
      <c r="J2151" s="423"/>
      <c r="K2151" s="423"/>
      <c r="L2151" s="423"/>
      <c r="M2151" s="423"/>
      <c r="Q2151" s="423"/>
      <c r="R2151" s="424" t="s">
        <v>8159</v>
      </c>
      <c r="S2151" s="424" t="s">
        <v>2846</v>
      </c>
      <c r="T2151" s="424" t="s">
        <v>8054</v>
      </c>
      <c r="U2151" s="424">
        <v>0</v>
      </c>
      <c r="V2151" s="424" t="s">
        <v>8155</v>
      </c>
      <c r="W2151" s="424" t="s">
        <v>3074</v>
      </c>
      <c r="X2151" s="424" t="s">
        <v>8141</v>
      </c>
      <c r="Y2151" s="424" t="s">
        <v>2279</v>
      </c>
      <c r="Z2151" s="424" t="s">
        <v>2872</v>
      </c>
      <c r="AA2151" s="424" t="s">
        <v>2873</v>
      </c>
      <c r="AB2151" s="424" t="s">
        <v>7986</v>
      </c>
      <c r="AC2151" s="424" t="s">
        <v>1953</v>
      </c>
      <c r="AD2151" s="424" t="s">
        <v>2892</v>
      </c>
      <c r="AE2151" s="424" t="s">
        <v>3081</v>
      </c>
      <c r="AF2151" s="424"/>
      <c r="AG2151" s="424"/>
      <c r="AH2151" s="424"/>
    </row>
    <row r="2152" spans="1:34" x14ac:dyDescent="0.25">
      <c r="A2152" s="423" t="s">
        <v>7812</v>
      </c>
      <c r="B2152" s="423" t="s">
        <v>8160</v>
      </c>
      <c r="C2152" s="423" t="s">
        <v>6852</v>
      </c>
      <c r="D2152" s="423" t="s">
        <v>6850</v>
      </c>
      <c r="E2152" s="423" t="s">
        <v>242</v>
      </c>
      <c r="F2152" s="423">
        <v>16</v>
      </c>
      <c r="G2152" s="423">
        <v>74</v>
      </c>
      <c r="H2152" s="423">
        <v>1000</v>
      </c>
      <c r="J2152" s="423"/>
      <c r="K2152" s="423"/>
      <c r="L2152" s="423"/>
      <c r="M2152" s="423"/>
      <c r="Q2152" s="423"/>
      <c r="R2152" s="424" t="s">
        <v>8161</v>
      </c>
      <c r="S2152" s="424" t="s">
        <v>2846</v>
      </c>
      <c r="T2152" s="424" t="s">
        <v>8054</v>
      </c>
      <c r="U2152" s="424">
        <v>0</v>
      </c>
      <c r="V2152" s="424" t="s">
        <v>8155</v>
      </c>
      <c r="W2152" s="424" t="s">
        <v>3074</v>
      </c>
      <c r="X2152" s="424" t="s">
        <v>8141</v>
      </c>
      <c r="Y2152" s="424" t="s">
        <v>2279</v>
      </c>
      <c r="Z2152" s="424" t="s">
        <v>2872</v>
      </c>
      <c r="AA2152" s="424" t="s">
        <v>2873</v>
      </c>
      <c r="AB2152" s="424" t="s">
        <v>7998</v>
      </c>
      <c r="AC2152" s="424" t="s">
        <v>1953</v>
      </c>
      <c r="AD2152" s="424" t="s">
        <v>2892</v>
      </c>
      <c r="AE2152" s="424" t="s">
        <v>3081</v>
      </c>
      <c r="AF2152" s="424"/>
      <c r="AG2152" s="424"/>
      <c r="AH2152" s="424"/>
    </row>
    <row r="2153" spans="1:34" x14ac:dyDescent="0.25">
      <c r="A2153" s="423" t="s">
        <v>7812</v>
      </c>
      <c r="B2153" s="423" t="s">
        <v>8162</v>
      </c>
      <c r="C2153" s="423" t="s">
        <v>6852</v>
      </c>
      <c r="D2153" s="423" t="s">
        <v>6850</v>
      </c>
      <c r="E2153" s="423" t="s">
        <v>242</v>
      </c>
      <c r="F2153" s="423">
        <v>16</v>
      </c>
      <c r="G2153" s="423">
        <v>74</v>
      </c>
      <c r="H2153" s="423">
        <v>1000</v>
      </c>
      <c r="J2153" s="423"/>
      <c r="K2153" s="423"/>
      <c r="L2153" s="423"/>
      <c r="M2153" s="423"/>
      <c r="Q2153" s="423"/>
      <c r="R2153" s="424" t="s">
        <v>8163</v>
      </c>
      <c r="S2153" s="424" t="s">
        <v>2846</v>
      </c>
      <c r="T2153" s="424" t="s">
        <v>8054</v>
      </c>
      <c r="U2153" s="424">
        <v>0</v>
      </c>
      <c r="V2153" s="424" t="s">
        <v>8155</v>
      </c>
      <c r="W2153" s="424" t="s">
        <v>3074</v>
      </c>
      <c r="X2153" s="424" t="s">
        <v>8141</v>
      </c>
      <c r="Y2153" s="424" t="s">
        <v>2279</v>
      </c>
      <c r="Z2153" s="424" t="s">
        <v>2872</v>
      </c>
      <c r="AA2153" s="424" t="s">
        <v>2873</v>
      </c>
      <c r="AB2153" s="424" t="s">
        <v>3080</v>
      </c>
      <c r="AC2153" s="424" t="s">
        <v>1953</v>
      </c>
      <c r="AD2153" s="424" t="s">
        <v>2892</v>
      </c>
      <c r="AE2153" s="424" t="s">
        <v>3081</v>
      </c>
      <c r="AF2153" s="424"/>
      <c r="AG2153" s="424"/>
      <c r="AH2153" s="424"/>
    </row>
    <row r="2154" spans="1:34" x14ac:dyDescent="0.25">
      <c r="A2154" s="423" t="s">
        <v>7812</v>
      </c>
      <c r="B2154" s="423" t="s">
        <v>8164</v>
      </c>
      <c r="C2154" s="423" t="s">
        <v>6852</v>
      </c>
      <c r="D2154" s="423" t="s">
        <v>6850</v>
      </c>
      <c r="E2154" s="423" t="s">
        <v>242</v>
      </c>
      <c r="F2154" s="423">
        <v>16</v>
      </c>
      <c r="G2154" s="423">
        <v>74</v>
      </c>
      <c r="H2154" s="423">
        <v>1000</v>
      </c>
      <c r="J2154" s="423"/>
      <c r="K2154" s="423"/>
      <c r="L2154" s="423"/>
      <c r="M2154" s="423"/>
      <c r="Q2154" s="423"/>
      <c r="R2154" s="424" t="s">
        <v>8165</v>
      </c>
      <c r="S2154" s="424" t="s">
        <v>2846</v>
      </c>
      <c r="T2154" s="424" t="s">
        <v>8054</v>
      </c>
      <c r="U2154" s="424">
        <v>0</v>
      </c>
      <c r="V2154" s="424" t="s">
        <v>8155</v>
      </c>
      <c r="W2154" s="424" t="s">
        <v>3074</v>
      </c>
      <c r="X2154" s="424" t="s">
        <v>8141</v>
      </c>
      <c r="Y2154" s="424" t="s">
        <v>2279</v>
      </c>
      <c r="Z2154" s="424" t="s">
        <v>2872</v>
      </c>
      <c r="AA2154" s="424" t="s">
        <v>2873</v>
      </c>
      <c r="AB2154" s="424" t="s">
        <v>7976</v>
      </c>
      <c r="AC2154" s="424" t="s">
        <v>1953</v>
      </c>
      <c r="AD2154" s="424" t="s">
        <v>2892</v>
      </c>
      <c r="AE2154" s="424" t="s">
        <v>3081</v>
      </c>
      <c r="AF2154" s="424"/>
      <c r="AG2154" s="424"/>
      <c r="AH2154" s="424"/>
    </row>
    <row r="2155" spans="1:34" x14ac:dyDescent="0.25">
      <c r="A2155" s="423" t="s">
        <v>7812</v>
      </c>
      <c r="B2155" s="423" t="s">
        <v>8166</v>
      </c>
      <c r="C2155" s="423" t="s">
        <v>6852</v>
      </c>
      <c r="D2155" s="423" t="s">
        <v>6850</v>
      </c>
      <c r="E2155" s="423" t="s">
        <v>242</v>
      </c>
      <c r="F2155" s="423">
        <v>16</v>
      </c>
      <c r="G2155" s="423">
        <v>74</v>
      </c>
      <c r="H2155" s="423">
        <v>1000</v>
      </c>
      <c r="J2155" s="423"/>
      <c r="K2155" s="423"/>
      <c r="L2155" s="423"/>
      <c r="M2155" s="423"/>
      <c r="Q2155" s="423"/>
      <c r="R2155" s="424" t="s">
        <v>8167</v>
      </c>
      <c r="S2155" s="424" t="s">
        <v>2846</v>
      </c>
      <c r="T2155" s="424" t="s">
        <v>8054</v>
      </c>
      <c r="U2155" s="424">
        <v>0</v>
      </c>
      <c r="V2155" s="424" t="s">
        <v>8155</v>
      </c>
      <c r="W2155" s="424" t="s">
        <v>3074</v>
      </c>
      <c r="X2155" s="424" t="s">
        <v>8141</v>
      </c>
      <c r="Y2155" s="424" t="s">
        <v>2279</v>
      </c>
      <c r="Z2155" s="424" t="s">
        <v>2872</v>
      </c>
      <c r="AA2155" s="424" t="s">
        <v>2873</v>
      </c>
      <c r="AB2155" s="424" t="s">
        <v>8168</v>
      </c>
      <c r="AC2155" s="424" t="s">
        <v>1953</v>
      </c>
      <c r="AD2155" s="424" t="s">
        <v>2892</v>
      </c>
      <c r="AE2155" s="424" t="s">
        <v>3387</v>
      </c>
      <c r="AF2155" s="424"/>
      <c r="AG2155" s="424"/>
      <c r="AH2155" s="424"/>
    </row>
    <row r="2156" spans="1:34" x14ac:dyDescent="0.25">
      <c r="A2156" s="423" t="s">
        <v>7812</v>
      </c>
      <c r="B2156" s="423" t="s">
        <v>8169</v>
      </c>
      <c r="C2156" s="423" t="s">
        <v>6852</v>
      </c>
      <c r="D2156" s="423" t="s">
        <v>6850</v>
      </c>
      <c r="E2156" s="423" t="s">
        <v>242</v>
      </c>
      <c r="F2156" s="423">
        <v>16</v>
      </c>
      <c r="G2156" s="423">
        <v>74</v>
      </c>
      <c r="H2156" s="423">
        <v>1000</v>
      </c>
      <c r="J2156" s="423"/>
      <c r="K2156" s="423"/>
      <c r="L2156" s="423"/>
      <c r="M2156" s="423"/>
      <c r="Q2156" s="423"/>
      <c r="R2156" s="424" t="s">
        <v>8170</v>
      </c>
      <c r="S2156" s="424" t="s">
        <v>2846</v>
      </c>
      <c r="T2156" s="424" t="s">
        <v>8054</v>
      </c>
      <c r="U2156" s="424">
        <v>0</v>
      </c>
      <c r="V2156" s="424" t="s">
        <v>8155</v>
      </c>
      <c r="W2156" s="424" t="s">
        <v>3074</v>
      </c>
      <c r="X2156" s="424" t="s">
        <v>8141</v>
      </c>
      <c r="Y2156" s="424" t="s">
        <v>2279</v>
      </c>
      <c r="Z2156" s="424" t="s">
        <v>2872</v>
      </c>
      <c r="AA2156" s="424" t="s">
        <v>2873</v>
      </c>
      <c r="AB2156" s="424" t="s">
        <v>7993</v>
      </c>
      <c r="AC2156" s="424" t="s">
        <v>1953</v>
      </c>
      <c r="AD2156" s="424" t="s">
        <v>2892</v>
      </c>
      <c r="AE2156" s="424" t="s">
        <v>3081</v>
      </c>
      <c r="AF2156" s="424"/>
      <c r="AG2156" s="424"/>
      <c r="AH2156" s="424"/>
    </row>
    <row r="2157" spans="1:34" x14ac:dyDescent="0.25">
      <c r="A2157" s="423" t="s">
        <v>7812</v>
      </c>
      <c r="B2157" s="423" t="s">
        <v>8171</v>
      </c>
      <c r="C2157" s="423" t="s">
        <v>6852</v>
      </c>
      <c r="D2157" s="423" t="s">
        <v>6850</v>
      </c>
      <c r="E2157" s="423" t="s">
        <v>242</v>
      </c>
      <c r="F2157" s="423">
        <v>16</v>
      </c>
      <c r="G2157" s="423">
        <v>74</v>
      </c>
      <c r="H2157" s="423">
        <v>1000</v>
      </c>
      <c r="J2157" s="423"/>
      <c r="K2157" s="423"/>
      <c r="L2157" s="423"/>
      <c r="M2157" s="423"/>
      <c r="Q2157" s="423"/>
      <c r="R2157" s="424" t="s">
        <v>8172</v>
      </c>
      <c r="S2157" s="424" t="s">
        <v>2846</v>
      </c>
      <c r="T2157" s="424" t="s">
        <v>8054</v>
      </c>
      <c r="U2157" s="424">
        <v>0</v>
      </c>
      <c r="V2157" s="424" t="s">
        <v>8155</v>
      </c>
      <c r="W2157" s="424" t="s">
        <v>3074</v>
      </c>
      <c r="X2157" s="424" t="s">
        <v>8141</v>
      </c>
      <c r="Y2157" s="424" t="s">
        <v>2279</v>
      </c>
      <c r="Z2157" s="424" t="s">
        <v>2872</v>
      </c>
      <c r="AA2157" s="424" t="s">
        <v>2873</v>
      </c>
      <c r="AB2157" s="424" t="s">
        <v>8173</v>
      </c>
      <c r="AC2157" s="424" t="s">
        <v>1953</v>
      </c>
      <c r="AD2157" s="424" t="s">
        <v>2892</v>
      </c>
      <c r="AE2157" s="424" t="s">
        <v>3081</v>
      </c>
      <c r="AF2157" s="424"/>
      <c r="AG2157" s="424"/>
      <c r="AH2157" s="424"/>
    </row>
    <row r="2158" spans="1:34" x14ac:dyDescent="0.25">
      <c r="A2158" s="423" t="s">
        <v>7812</v>
      </c>
      <c r="B2158" s="423" t="s">
        <v>8174</v>
      </c>
      <c r="C2158" s="423" t="s">
        <v>6852</v>
      </c>
      <c r="D2158" s="423" t="s">
        <v>6850</v>
      </c>
      <c r="E2158" s="423" t="s">
        <v>242</v>
      </c>
      <c r="F2158" s="423">
        <v>16</v>
      </c>
      <c r="G2158" s="423">
        <v>74</v>
      </c>
      <c r="H2158" s="423">
        <v>1000</v>
      </c>
      <c r="J2158" s="423"/>
      <c r="K2158" s="423"/>
      <c r="L2158" s="423"/>
      <c r="M2158" s="423"/>
      <c r="Q2158" s="423"/>
      <c r="R2158" s="424" t="s">
        <v>8175</v>
      </c>
      <c r="S2158" s="424" t="s">
        <v>2846</v>
      </c>
      <c r="T2158" s="424" t="s">
        <v>8054</v>
      </c>
      <c r="U2158" s="424">
        <v>0</v>
      </c>
      <c r="V2158" s="424" t="s">
        <v>8155</v>
      </c>
      <c r="W2158" s="424" t="s">
        <v>3074</v>
      </c>
      <c r="X2158" s="424" t="s">
        <v>8141</v>
      </c>
      <c r="Y2158" s="424" t="s">
        <v>2279</v>
      </c>
      <c r="Z2158" s="424" t="s">
        <v>2872</v>
      </c>
      <c r="AA2158" s="424" t="s">
        <v>2873</v>
      </c>
      <c r="AB2158" s="424" t="s">
        <v>7976</v>
      </c>
      <c r="AC2158" s="424" t="s">
        <v>1953</v>
      </c>
      <c r="AD2158" s="424" t="s">
        <v>2892</v>
      </c>
      <c r="AE2158" s="424" t="s">
        <v>3081</v>
      </c>
      <c r="AF2158" s="424"/>
      <c r="AG2158" s="424"/>
      <c r="AH2158" s="424"/>
    </row>
    <row r="2159" spans="1:34" x14ac:dyDescent="0.25">
      <c r="A2159" s="423" t="s">
        <v>7812</v>
      </c>
      <c r="B2159" s="423" t="s">
        <v>8176</v>
      </c>
      <c r="C2159" s="423" t="s">
        <v>6852</v>
      </c>
      <c r="D2159" s="423" t="s">
        <v>6850</v>
      </c>
      <c r="E2159" s="423" t="s">
        <v>242</v>
      </c>
      <c r="F2159" s="423">
        <v>16</v>
      </c>
      <c r="G2159" s="423">
        <v>74</v>
      </c>
      <c r="H2159" s="423">
        <v>1000</v>
      </c>
      <c r="J2159" s="423"/>
      <c r="K2159" s="423"/>
      <c r="L2159" s="423"/>
      <c r="M2159" s="423"/>
      <c r="Q2159" s="423"/>
      <c r="R2159" s="424" t="s">
        <v>8177</v>
      </c>
      <c r="S2159" s="424" t="s">
        <v>2846</v>
      </c>
      <c r="T2159" s="424" t="s">
        <v>8054</v>
      </c>
      <c r="U2159" s="424">
        <v>0</v>
      </c>
      <c r="V2159" s="424" t="s">
        <v>8155</v>
      </c>
      <c r="W2159" s="424" t="s">
        <v>3074</v>
      </c>
      <c r="X2159" s="424" t="s">
        <v>8141</v>
      </c>
      <c r="Y2159" s="424" t="s">
        <v>2279</v>
      </c>
      <c r="Z2159" s="424" t="s">
        <v>2872</v>
      </c>
      <c r="AA2159" s="424" t="s">
        <v>2873</v>
      </c>
      <c r="AB2159" s="424" t="s">
        <v>8121</v>
      </c>
      <c r="AC2159" s="424" t="s">
        <v>1953</v>
      </c>
      <c r="AD2159" s="424" t="s">
        <v>2892</v>
      </c>
      <c r="AE2159" s="424" t="s">
        <v>2968</v>
      </c>
      <c r="AF2159" s="424"/>
      <c r="AG2159" s="424"/>
      <c r="AH2159" s="424"/>
    </row>
    <row r="2160" spans="1:34" x14ac:dyDescent="0.25">
      <c r="A2160" s="423" t="s">
        <v>7812</v>
      </c>
      <c r="B2160" s="423" t="s">
        <v>8178</v>
      </c>
      <c r="C2160" s="423" t="s">
        <v>6852</v>
      </c>
      <c r="D2160" s="423" t="s">
        <v>6850</v>
      </c>
      <c r="E2160" s="423" t="s">
        <v>242</v>
      </c>
      <c r="F2160" s="423">
        <v>40</v>
      </c>
      <c r="G2160" s="423">
        <v>256</v>
      </c>
      <c r="H2160" s="423">
        <v>2000</v>
      </c>
      <c r="J2160" s="423"/>
      <c r="K2160" s="423"/>
      <c r="L2160" s="423"/>
      <c r="M2160" s="423"/>
      <c r="Q2160" s="423"/>
      <c r="R2160" s="424" t="s">
        <v>8179</v>
      </c>
      <c r="S2160" s="424" t="s">
        <v>2820</v>
      </c>
      <c r="T2160" s="424" t="s">
        <v>5166</v>
      </c>
      <c r="U2160" s="424">
        <v>0</v>
      </c>
      <c r="V2160" s="424" t="s">
        <v>7815</v>
      </c>
      <c r="W2160" s="424" t="s">
        <v>3283</v>
      </c>
      <c r="X2160" s="424" t="s">
        <v>8141</v>
      </c>
      <c r="Y2160" s="424" t="s">
        <v>3983</v>
      </c>
      <c r="Z2160" s="424" t="s">
        <v>2872</v>
      </c>
      <c r="AA2160" s="424" t="s">
        <v>2873</v>
      </c>
      <c r="AB2160" s="424" t="s">
        <v>8180</v>
      </c>
      <c r="AC2160" s="424" t="s">
        <v>1953</v>
      </c>
      <c r="AD2160" s="424" t="s">
        <v>2892</v>
      </c>
      <c r="AE2160" s="424" t="s">
        <v>8181</v>
      </c>
      <c r="AF2160" s="424"/>
      <c r="AG2160" s="424"/>
      <c r="AH2160" s="424"/>
    </row>
    <row r="2161" spans="1:34" x14ac:dyDescent="0.25">
      <c r="A2161" s="423" t="s">
        <v>7812</v>
      </c>
      <c r="B2161" s="423" t="s">
        <v>8182</v>
      </c>
      <c r="C2161" s="423" t="s">
        <v>6852</v>
      </c>
      <c r="D2161" s="423" t="s">
        <v>6850</v>
      </c>
      <c r="E2161" s="423" t="s">
        <v>242</v>
      </c>
      <c r="F2161" s="423">
        <v>40</v>
      </c>
      <c r="G2161" s="423">
        <v>256</v>
      </c>
      <c r="H2161" s="423">
        <v>2000</v>
      </c>
      <c r="J2161" s="423"/>
      <c r="K2161" s="423"/>
      <c r="L2161" s="423"/>
      <c r="M2161" s="423"/>
      <c r="Q2161" s="423"/>
      <c r="R2161" s="424" t="s">
        <v>8183</v>
      </c>
      <c r="S2161" s="424" t="s">
        <v>2820</v>
      </c>
      <c r="T2161" s="424" t="s">
        <v>5166</v>
      </c>
      <c r="U2161" s="424">
        <v>0</v>
      </c>
      <c r="V2161" s="424" t="s">
        <v>7815</v>
      </c>
      <c r="W2161" s="424" t="s">
        <v>3283</v>
      </c>
      <c r="X2161" s="424" t="s">
        <v>8141</v>
      </c>
      <c r="Y2161" s="424" t="s">
        <v>3983</v>
      </c>
      <c r="Z2161" s="424" t="s">
        <v>2872</v>
      </c>
      <c r="AA2161" s="424" t="s">
        <v>2873</v>
      </c>
      <c r="AB2161" s="424" t="s">
        <v>8184</v>
      </c>
      <c r="AC2161" s="424" t="s">
        <v>1953</v>
      </c>
      <c r="AD2161" s="424" t="s">
        <v>2892</v>
      </c>
      <c r="AE2161" s="424" t="s">
        <v>8181</v>
      </c>
      <c r="AF2161" s="424"/>
      <c r="AG2161" s="424"/>
      <c r="AH2161" s="424"/>
    </row>
    <row r="2162" spans="1:34" x14ac:dyDescent="0.25">
      <c r="A2162" s="423" t="s">
        <v>7812</v>
      </c>
      <c r="B2162" s="423" t="s">
        <v>8185</v>
      </c>
      <c r="C2162" s="423" t="s">
        <v>6852</v>
      </c>
      <c r="D2162" s="423" t="s">
        <v>6850</v>
      </c>
      <c r="E2162" s="423" t="s">
        <v>242</v>
      </c>
      <c r="F2162" s="423">
        <v>40</v>
      </c>
      <c r="G2162" s="423">
        <v>256</v>
      </c>
      <c r="H2162" s="423">
        <v>2000</v>
      </c>
      <c r="J2162" s="423"/>
      <c r="K2162" s="423"/>
      <c r="L2162" s="423"/>
      <c r="M2162" s="423"/>
      <c r="Q2162" s="423"/>
      <c r="R2162" s="424" t="s">
        <v>8186</v>
      </c>
      <c r="S2162" s="424" t="s">
        <v>2820</v>
      </c>
      <c r="T2162" s="424" t="s">
        <v>5166</v>
      </c>
      <c r="U2162" s="424">
        <v>0</v>
      </c>
      <c r="V2162" s="424" t="s">
        <v>7815</v>
      </c>
      <c r="W2162" s="424" t="s">
        <v>3283</v>
      </c>
      <c r="X2162" s="424" t="s">
        <v>8141</v>
      </c>
      <c r="Y2162" s="424" t="s">
        <v>3983</v>
      </c>
      <c r="Z2162" s="424" t="s">
        <v>2872</v>
      </c>
      <c r="AA2162" s="424" t="s">
        <v>2873</v>
      </c>
      <c r="AB2162" s="424" t="s">
        <v>8187</v>
      </c>
      <c r="AC2162" s="424" t="s">
        <v>1953</v>
      </c>
      <c r="AD2162" s="424" t="s">
        <v>2892</v>
      </c>
      <c r="AE2162" s="424" t="s">
        <v>8181</v>
      </c>
      <c r="AF2162" s="424"/>
      <c r="AG2162" s="424"/>
      <c r="AH2162" s="424"/>
    </row>
    <row r="2163" spans="1:34" x14ac:dyDescent="0.25">
      <c r="A2163" s="423" t="s">
        <v>7812</v>
      </c>
      <c r="B2163" s="423" t="s">
        <v>8188</v>
      </c>
      <c r="C2163" s="423" t="s">
        <v>6852</v>
      </c>
      <c r="D2163" s="423" t="s">
        <v>6850</v>
      </c>
      <c r="E2163" s="423" t="s">
        <v>242</v>
      </c>
      <c r="F2163" s="423">
        <v>40</v>
      </c>
      <c r="G2163" s="423">
        <v>256</v>
      </c>
      <c r="H2163" s="423">
        <v>2000</v>
      </c>
      <c r="J2163" s="423"/>
      <c r="K2163" s="423"/>
      <c r="L2163" s="423"/>
      <c r="M2163" s="423"/>
      <c r="Q2163" s="423"/>
      <c r="R2163" s="424" t="s">
        <v>8189</v>
      </c>
      <c r="S2163" s="424" t="s">
        <v>2820</v>
      </c>
      <c r="T2163" s="424" t="s">
        <v>5166</v>
      </c>
      <c r="U2163" s="424">
        <v>0</v>
      </c>
      <c r="V2163" s="424" t="s">
        <v>7815</v>
      </c>
      <c r="W2163" s="424" t="s">
        <v>3283</v>
      </c>
      <c r="X2163" s="424" t="s">
        <v>8141</v>
      </c>
      <c r="Y2163" s="424" t="s">
        <v>3983</v>
      </c>
      <c r="Z2163" s="424" t="s">
        <v>2872</v>
      </c>
      <c r="AA2163" s="424" t="s">
        <v>2873</v>
      </c>
      <c r="AB2163" s="424" t="s">
        <v>8190</v>
      </c>
      <c r="AC2163" s="424" t="s">
        <v>1953</v>
      </c>
      <c r="AD2163" s="424" t="s">
        <v>2892</v>
      </c>
      <c r="AE2163" s="424" t="s">
        <v>8181</v>
      </c>
      <c r="AF2163" s="424"/>
      <c r="AG2163" s="424"/>
      <c r="AH2163" s="424"/>
    </row>
    <row r="2164" spans="1:34" x14ac:dyDescent="0.25">
      <c r="A2164" s="423" t="s">
        <v>7812</v>
      </c>
      <c r="B2164" s="423" t="s">
        <v>8191</v>
      </c>
      <c r="C2164" s="423" t="s">
        <v>6852</v>
      </c>
      <c r="D2164" s="423" t="s">
        <v>6850</v>
      </c>
      <c r="E2164" s="423" t="s">
        <v>242</v>
      </c>
      <c r="F2164" s="423">
        <v>40</v>
      </c>
      <c r="G2164" s="423">
        <v>256</v>
      </c>
      <c r="H2164" s="423">
        <v>2000</v>
      </c>
      <c r="J2164" s="423"/>
      <c r="K2164" s="423"/>
      <c r="L2164" s="423"/>
      <c r="M2164" s="423"/>
      <c r="Q2164" s="423"/>
      <c r="R2164" s="424" t="s">
        <v>8192</v>
      </c>
      <c r="S2164" s="424" t="s">
        <v>2820</v>
      </c>
      <c r="T2164" s="424" t="s">
        <v>5166</v>
      </c>
      <c r="U2164" s="424">
        <v>0</v>
      </c>
      <c r="V2164" s="424" t="s">
        <v>7815</v>
      </c>
      <c r="W2164" s="424" t="s">
        <v>3283</v>
      </c>
      <c r="X2164" s="424" t="s">
        <v>8141</v>
      </c>
      <c r="Y2164" s="424" t="s">
        <v>3983</v>
      </c>
      <c r="Z2164" s="424" t="s">
        <v>2872</v>
      </c>
      <c r="AA2164" s="424" t="s">
        <v>2873</v>
      </c>
      <c r="AB2164" s="424" t="s">
        <v>8193</v>
      </c>
      <c r="AC2164" s="424" t="s">
        <v>1953</v>
      </c>
      <c r="AD2164" s="424" t="s">
        <v>2892</v>
      </c>
      <c r="AE2164" s="424" t="s">
        <v>8181</v>
      </c>
      <c r="AF2164" s="424"/>
      <c r="AG2164" s="424"/>
      <c r="AH2164" s="424"/>
    </row>
    <row r="2165" spans="1:34" x14ac:dyDescent="0.25">
      <c r="A2165" s="423" t="s">
        <v>7812</v>
      </c>
      <c r="B2165" s="423" t="s">
        <v>8194</v>
      </c>
      <c r="C2165" s="423" t="s">
        <v>6852</v>
      </c>
      <c r="D2165" s="423" t="s">
        <v>6850</v>
      </c>
      <c r="E2165" s="423" t="s">
        <v>242</v>
      </c>
      <c r="F2165" s="423">
        <v>40</v>
      </c>
      <c r="G2165" s="423">
        <v>256</v>
      </c>
      <c r="H2165" s="423">
        <v>2000</v>
      </c>
      <c r="J2165" s="423"/>
      <c r="K2165" s="423"/>
      <c r="L2165" s="423"/>
      <c r="M2165" s="423"/>
      <c r="Q2165" s="423"/>
      <c r="R2165" s="424" t="s">
        <v>8195</v>
      </c>
      <c r="S2165" s="424" t="s">
        <v>2820</v>
      </c>
      <c r="T2165" s="424" t="s">
        <v>5166</v>
      </c>
      <c r="U2165" s="424">
        <v>0</v>
      </c>
      <c r="V2165" s="424" t="s">
        <v>7815</v>
      </c>
      <c r="W2165" s="424" t="s">
        <v>3283</v>
      </c>
      <c r="X2165" s="424" t="s">
        <v>8141</v>
      </c>
      <c r="Y2165" s="424" t="s">
        <v>3983</v>
      </c>
      <c r="Z2165" s="424" t="s">
        <v>2872</v>
      </c>
      <c r="AA2165" s="424" t="s">
        <v>2873</v>
      </c>
      <c r="AB2165" s="424" t="s">
        <v>8196</v>
      </c>
      <c r="AC2165" s="424" t="s">
        <v>1953</v>
      </c>
      <c r="AD2165" s="424" t="s">
        <v>2892</v>
      </c>
      <c r="AE2165" s="424" t="s">
        <v>8181</v>
      </c>
      <c r="AF2165" s="424"/>
      <c r="AG2165" s="424"/>
      <c r="AH2165" s="424"/>
    </row>
    <row r="2166" spans="1:34" x14ac:dyDescent="0.25">
      <c r="A2166" s="423" t="s">
        <v>7812</v>
      </c>
      <c r="B2166" s="423" t="s">
        <v>8197</v>
      </c>
      <c r="C2166" s="423" t="s">
        <v>6852</v>
      </c>
      <c r="D2166" s="423" t="s">
        <v>6850</v>
      </c>
      <c r="E2166" s="423" t="s">
        <v>242</v>
      </c>
      <c r="F2166" s="423">
        <v>40</v>
      </c>
      <c r="G2166" s="423">
        <v>256</v>
      </c>
      <c r="H2166" s="423">
        <v>2000</v>
      </c>
      <c r="J2166" s="423"/>
      <c r="K2166" s="423"/>
      <c r="L2166" s="423"/>
      <c r="M2166" s="423"/>
      <c r="Q2166" s="423"/>
      <c r="R2166" s="424" t="s">
        <v>8198</v>
      </c>
      <c r="S2166" s="424" t="s">
        <v>2820</v>
      </c>
      <c r="T2166" s="424" t="s">
        <v>5166</v>
      </c>
      <c r="U2166" s="424">
        <v>0</v>
      </c>
      <c r="V2166" s="424" t="s">
        <v>7815</v>
      </c>
      <c r="W2166" s="424" t="s">
        <v>3283</v>
      </c>
      <c r="X2166" s="424" t="s">
        <v>8141</v>
      </c>
      <c r="Y2166" s="424" t="s">
        <v>3983</v>
      </c>
      <c r="Z2166" s="424" t="s">
        <v>2872</v>
      </c>
      <c r="AA2166" s="424" t="s">
        <v>2873</v>
      </c>
      <c r="AB2166" s="424" t="s">
        <v>8199</v>
      </c>
      <c r="AC2166" s="424" t="s">
        <v>1953</v>
      </c>
      <c r="AD2166" s="424" t="s">
        <v>2892</v>
      </c>
      <c r="AE2166" s="424" t="s">
        <v>8132</v>
      </c>
      <c r="AF2166" s="424"/>
      <c r="AG2166" s="424"/>
      <c r="AH2166" s="424"/>
    </row>
    <row r="2167" spans="1:34" x14ac:dyDescent="0.25">
      <c r="A2167" s="423" t="s">
        <v>7812</v>
      </c>
      <c r="B2167" s="423" t="s">
        <v>8200</v>
      </c>
      <c r="C2167" s="423" t="s">
        <v>6852</v>
      </c>
      <c r="D2167" s="423" t="s">
        <v>6850</v>
      </c>
      <c r="E2167" s="423" t="s">
        <v>242</v>
      </c>
      <c r="F2167" s="423">
        <v>40</v>
      </c>
      <c r="G2167" s="423">
        <v>128</v>
      </c>
      <c r="H2167" s="423">
        <v>1000</v>
      </c>
      <c r="J2167" s="423"/>
      <c r="K2167" s="423"/>
      <c r="L2167" s="423"/>
      <c r="M2167" s="423"/>
      <c r="Q2167" s="423"/>
      <c r="R2167" s="424" t="s">
        <v>8201</v>
      </c>
      <c r="S2167" s="424" t="s">
        <v>2846</v>
      </c>
      <c r="T2167" s="424" t="s">
        <v>2870</v>
      </c>
      <c r="U2167" s="424">
        <v>0</v>
      </c>
      <c r="V2167" s="424" t="s">
        <v>2871</v>
      </c>
      <c r="W2167" s="424" t="s">
        <v>2871</v>
      </c>
      <c r="X2167" s="424" t="s">
        <v>8141</v>
      </c>
      <c r="Y2167" s="424" t="s">
        <v>2279</v>
      </c>
      <c r="Z2167" s="424" t="s">
        <v>2848</v>
      </c>
      <c r="AA2167" s="424" t="s">
        <v>2855</v>
      </c>
      <c r="AB2167" s="424" t="s">
        <v>5055</v>
      </c>
      <c r="AC2167" s="424" t="s">
        <v>1953</v>
      </c>
      <c r="AD2167" s="424" t="s">
        <v>2851</v>
      </c>
      <c r="AE2167" s="424" t="s">
        <v>2901</v>
      </c>
      <c r="AF2167" s="424"/>
      <c r="AG2167" s="424"/>
      <c r="AH2167" s="424"/>
    </row>
    <row r="2168" spans="1:34" x14ac:dyDescent="0.25">
      <c r="A2168" s="423" t="s">
        <v>7812</v>
      </c>
      <c r="B2168" s="423" t="s">
        <v>8202</v>
      </c>
      <c r="C2168" s="423" t="s">
        <v>6852</v>
      </c>
      <c r="D2168" s="423" t="s">
        <v>6850</v>
      </c>
      <c r="E2168" s="423" t="s">
        <v>242</v>
      </c>
      <c r="F2168" s="423">
        <v>40</v>
      </c>
      <c r="G2168" s="423">
        <v>128</v>
      </c>
      <c r="H2168" s="423">
        <v>1000</v>
      </c>
      <c r="J2168" s="423"/>
      <c r="K2168" s="423"/>
      <c r="L2168" s="423"/>
      <c r="M2168" s="423"/>
      <c r="Q2168" s="423"/>
      <c r="R2168" s="424" t="s">
        <v>8203</v>
      </c>
      <c r="S2168" s="424" t="s">
        <v>2846</v>
      </c>
      <c r="T2168" s="424" t="s">
        <v>2870</v>
      </c>
      <c r="U2168" s="424">
        <v>0</v>
      </c>
      <c r="V2168" s="424" t="s">
        <v>2871</v>
      </c>
      <c r="W2168" s="424" t="s">
        <v>3074</v>
      </c>
      <c r="X2168" s="424" t="s">
        <v>8141</v>
      </c>
      <c r="Y2168" s="424" t="s">
        <v>2279</v>
      </c>
      <c r="Z2168" s="424" t="s">
        <v>2872</v>
      </c>
      <c r="AA2168" s="424" t="s">
        <v>2873</v>
      </c>
      <c r="AB2168" s="424" t="s">
        <v>8204</v>
      </c>
      <c r="AC2168" s="424" t="s">
        <v>1953</v>
      </c>
      <c r="AD2168" s="424" t="s">
        <v>2892</v>
      </c>
      <c r="AE2168" s="424" t="s">
        <v>3081</v>
      </c>
      <c r="AF2168" s="424"/>
      <c r="AG2168" s="424"/>
      <c r="AH2168" s="424"/>
    </row>
    <row r="2169" spans="1:34" x14ac:dyDescent="0.25">
      <c r="A2169" s="423" t="s">
        <v>7812</v>
      </c>
      <c r="B2169" s="423" t="s">
        <v>8205</v>
      </c>
      <c r="C2169" s="423" t="s">
        <v>6852</v>
      </c>
      <c r="D2169" s="423" t="s">
        <v>6850</v>
      </c>
      <c r="E2169" s="423" t="s">
        <v>242</v>
      </c>
      <c r="F2169" s="423">
        <v>40</v>
      </c>
      <c r="G2169" s="423">
        <v>128</v>
      </c>
      <c r="H2169" s="423">
        <v>1000</v>
      </c>
      <c r="J2169" s="423"/>
      <c r="K2169" s="423"/>
      <c r="L2169" s="423"/>
      <c r="M2169" s="423"/>
      <c r="Q2169" s="423"/>
      <c r="R2169" s="424" t="s">
        <v>8206</v>
      </c>
      <c r="S2169" s="424" t="s">
        <v>2846</v>
      </c>
      <c r="T2169" s="424" t="s">
        <v>2870</v>
      </c>
      <c r="U2169" s="424">
        <v>0</v>
      </c>
      <c r="V2169" s="424" t="s">
        <v>2871</v>
      </c>
      <c r="W2169" s="424" t="s">
        <v>3074</v>
      </c>
      <c r="X2169" s="424" t="s">
        <v>8141</v>
      </c>
      <c r="Y2169" s="424" t="s">
        <v>2279</v>
      </c>
      <c r="Z2169" s="424" t="s">
        <v>2872</v>
      </c>
      <c r="AA2169" s="424" t="s">
        <v>2873</v>
      </c>
      <c r="AB2169" s="424" t="s">
        <v>2943</v>
      </c>
      <c r="AC2169" s="424" t="s">
        <v>1953</v>
      </c>
      <c r="AD2169" s="424" t="s">
        <v>2892</v>
      </c>
      <c r="AE2169" s="424" t="s">
        <v>2944</v>
      </c>
      <c r="AF2169" s="424"/>
      <c r="AG2169" s="424"/>
      <c r="AH2169" s="424"/>
    </row>
    <row r="2170" spans="1:34" x14ac:dyDescent="0.25">
      <c r="A2170" s="423" t="s">
        <v>7812</v>
      </c>
      <c r="B2170" s="423" t="s">
        <v>8207</v>
      </c>
      <c r="C2170" s="423" t="s">
        <v>6852</v>
      </c>
      <c r="D2170" s="423" t="s">
        <v>6850</v>
      </c>
      <c r="E2170" s="423" t="s">
        <v>242</v>
      </c>
      <c r="F2170" s="423">
        <v>40</v>
      </c>
      <c r="G2170" s="423">
        <v>128</v>
      </c>
      <c r="H2170" s="423">
        <v>1000</v>
      </c>
      <c r="J2170" s="423"/>
      <c r="K2170" s="423"/>
      <c r="L2170" s="423"/>
      <c r="M2170" s="423"/>
      <c r="Q2170" s="423"/>
      <c r="R2170" s="424" t="s">
        <v>8208</v>
      </c>
      <c r="S2170" s="424" t="s">
        <v>2846</v>
      </c>
      <c r="T2170" s="424" t="s">
        <v>2870</v>
      </c>
      <c r="U2170" s="424">
        <v>0</v>
      </c>
      <c r="V2170" s="424" t="s">
        <v>2871</v>
      </c>
      <c r="W2170" s="424" t="s">
        <v>2974</v>
      </c>
      <c r="X2170" s="424" t="s">
        <v>8141</v>
      </c>
      <c r="Y2170" s="424" t="s">
        <v>2279</v>
      </c>
      <c r="Z2170" s="424" t="s">
        <v>2872</v>
      </c>
      <c r="AA2170" s="424" t="s">
        <v>2873</v>
      </c>
      <c r="AB2170" s="424" t="s">
        <v>4510</v>
      </c>
      <c r="AC2170" s="424" t="s">
        <v>1953</v>
      </c>
      <c r="AD2170" s="424" t="s">
        <v>2892</v>
      </c>
      <c r="AE2170" s="424" t="s">
        <v>4463</v>
      </c>
      <c r="AF2170" s="424"/>
      <c r="AG2170" s="424"/>
      <c r="AH2170" s="424"/>
    </row>
    <row r="2171" spans="1:34" x14ac:dyDescent="0.25">
      <c r="A2171" s="423" t="s">
        <v>7812</v>
      </c>
      <c r="B2171" s="423" t="s">
        <v>8209</v>
      </c>
      <c r="C2171" s="423" t="s">
        <v>6852</v>
      </c>
      <c r="D2171" s="423" t="s">
        <v>6850</v>
      </c>
      <c r="E2171" s="423" t="s">
        <v>242</v>
      </c>
      <c r="F2171" s="423">
        <v>40</v>
      </c>
      <c r="G2171" s="423">
        <v>128</v>
      </c>
      <c r="H2171" s="423">
        <v>1000</v>
      </c>
      <c r="J2171" s="423"/>
      <c r="K2171" s="423"/>
      <c r="L2171" s="423"/>
      <c r="M2171" s="423"/>
      <c r="Q2171" s="423"/>
      <c r="R2171" s="424" t="s">
        <v>8210</v>
      </c>
      <c r="S2171" s="424" t="s">
        <v>2846</v>
      </c>
      <c r="T2171" s="424" t="s">
        <v>2870</v>
      </c>
      <c r="U2171" s="424">
        <v>0</v>
      </c>
      <c r="V2171" s="424" t="s">
        <v>2871</v>
      </c>
      <c r="W2171" s="424" t="s">
        <v>3074</v>
      </c>
      <c r="X2171" s="424" t="s">
        <v>8141</v>
      </c>
      <c r="Y2171" s="424" t="s">
        <v>2279</v>
      </c>
      <c r="Z2171" s="424" t="s">
        <v>2872</v>
      </c>
      <c r="AA2171" s="424" t="s">
        <v>2873</v>
      </c>
      <c r="AB2171" s="424" t="s">
        <v>5494</v>
      </c>
      <c r="AC2171" s="424" t="s">
        <v>1953</v>
      </c>
      <c r="AD2171" s="424" t="s">
        <v>2892</v>
      </c>
      <c r="AE2171" s="424" t="s">
        <v>2962</v>
      </c>
      <c r="AF2171" s="424"/>
      <c r="AG2171" s="424"/>
      <c r="AH2171" s="424"/>
    </row>
    <row r="2172" spans="1:34" x14ac:dyDescent="0.25">
      <c r="A2172" s="423" t="s">
        <v>7812</v>
      </c>
      <c r="B2172" s="423" t="s">
        <v>8211</v>
      </c>
      <c r="C2172" s="423" t="s">
        <v>6852</v>
      </c>
      <c r="D2172" s="423" t="s">
        <v>6850</v>
      </c>
      <c r="E2172" s="423" t="s">
        <v>242</v>
      </c>
      <c r="F2172" s="423">
        <v>40</v>
      </c>
      <c r="G2172" s="423">
        <v>128</v>
      </c>
      <c r="H2172" s="423">
        <v>1000</v>
      </c>
      <c r="J2172" s="423"/>
      <c r="K2172" s="423"/>
      <c r="L2172" s="423"/>
      <c r="M2172" s="423"/>
      <c r="Q2172" s="423"/>
      <c r="R2172" s="424" t="s">
        <v>8212</v>
      </c>
      <c r="S2172" s="424" t="s">
        <v>2846</v>
      </c>
      <c r="T2172" s="424" t="s">
        <v>2870</v>
      </c>
      <c r="U2172" s="424">
        <v>0</v>
      </c>
      <c r="V2172" s="424" t="s">
        <v>2871</v>
      </c>
      <c r="W2172" s="424" t="s">
        <v>3074</v>
      </c>
      <c r="X2172" s="424" t="s">
        <v>8141</v>
      </c>
      <c r="Y2172" s="424" t="s">
        <v>2279</v>
      </c>
      <c r="Z2172" s="424" t="s">
        <v>2848</v>
      </c>
      <c r="AA2172" s="424" t="s">
        <v>2855</v>
      </c>
      <c r="AB2172" s="424" t="s">
        <v>4518</v>
      </c>
      <c r="AC2172" s="424" t="s">
        <v>1953</v>
      </c>
      <c r="AD2172" s="424" t="s">
        <v>2851</v>
      </c>
      <c r="AE2172" s="424" t="s">
        <v>3173</v>
      </c>
      <c r="AF2172" s="424"/>
      <c r="AG2172" s="424"/>
      <c r="AH2172" s="424"/>
    </row>
    <row r="2173" spans="1:34" x14ac:dyDescent="0.25">
      <c r="A2173" s="423" t="s">
        <v>7812</v>
      </c>
      <c r="B2173" s="423" t="s">
        <v>8213</v>
      </c>
      <c r="C2173" s="423" t="s">
        <v>6852</v>
      </c>
      <c r="D2173" s="423" t="s">
        <v>6850</v>
      </c>
      <c r="E2173" s="423" t="s">
        <v>242</v>
      </c>
      <c r="F2173" s="423">
        <v>40</v>
      </c>
      <c r="G2173" s="423">
        <v>128</v>
      </c>
      <c r="H2173" s="423">
        <v>1000</v>
      </c>
      <c r="J2173" s="423"/>
      <c r="K2173" s="423"/>
      <c r="L2173" s="423"/>
      <c r="M2173" s="423"/>
      <c r="Q2173" s="423"/>
      <c r="R2173" s="424" t="s">
        <v>8214</v>
      </c>
      <c r="S2173" s="424" t="s">
        <v>2846</v>
      </c>
      <c r="T2173" s="424" t="s">
        <v>2870</v>
      </c>
      <c r="U2173" s="424">
        <v>0</v>
      </c>
      <c r="V2173" s="424" t="s">
        <v>2871</v>
      </c>
      <c r="W2173" s="424" t="s">
        <v>3074</v>
      </c>
      <c r="X2173" s="424" t="s">
        <v>8141</v>
      </c>
      <c r="Y2173" s="424" t="s">
        <v>2279</v>
      </c>
      <c r="Z2173" s="424" t="s">
        <v>2872</v>
      </c>
      <c r="AA2173" s="424" t="s">
        <v>2873</v>
      </c>
      <c r="AB2173" s="424" t="s">
        <v>7192</v>
      </c>
      <c r="AC2173" s="424" t="s">
        <v>1953</v>
      </c>
      <c r="AD2173" s="424" t="s">
        <v>2892</v>
      </c>
      <c r="AE2173" s="424" t="s">
        <v>2944</v>
      </c>
      <c r="AF2173" s="424"/>
      <c r="AG2173" s="424"/>
      <c r="AH2173" s="424"/>
    </row>
    <row r="2174" spans="1:34" x14ac:dyDescent="0.25">
      <c r="A2174" s="423" t="s">
        <v>7812</v>
      </c>
      <c r="B2174" s="423" t="s">
        <v>8215</v>
      </c>
      <c r="C2174" s="423" t="s">
        <v>6852</v>
      </c>
      <c r="D2174" s="423" t="s">
        <v>6850</v>
      </c>
      <c r="E2174" s="423" t="s">
        <v>242</v>
      </c>
      <c r="F2174" s="423">
        <v>40</v>
      </c>
      <c r="G2174" s="423">
        <v>128</v>
      </c>
      <c r="H2174" s="423">
        <v>1000</v>
      </c>
      <c r="J2174" s="423"/>
      <c r="K2174" s="423"/>
      <c r="L2174" s="423"/>
      <c r="M2174" s="423"/>
      <c r="Q2174" s="423"/>
      <c r="R2174" s="424" t="s">
        <v>8216</v>
      </c>
      <c r="S2174" s="424" t="s">
        <v>2846</v>
      </c>
      <c r="T2174" s="424" t="s">
        <v>2870</v>
      </c>
      <c r="U2174" s="424">
        <v>0</v>
      </c>
      <c r="V2174" s="424" t="s">
        <v>2871</v>
      </c>
      <c r="W2174" s="424" t="s">
        <v>2974</v>
      </c>
      <c r="X2174" s="424" t="s">
        <v>8141</v>
      </c>
      <c r="Y2174" s="424" t="s">
        <v>2279</v>
      </c>
      <c r="Z2174" s="424" t="s">
        <v>2872</v>
      </c>
      <c r="AA2174" s="424" t="s">
        <v>2873</v>
      </c>
      <c r="AB2174" s="424" t="s">
        <v>4510</v>
      </c>
      <c r="AC2174" s="424" t="s">
        <v>1953</v>
      </c>
      <c r="AD2174" s="424" t="s">
        <v>2892</v>
      </c>
      <c r="AE2174" s="424" t="s">
        <v>4463</v>
      </c>
      <c r="AF2174" s="424"/>
      <c r="AG2174" s="424"/>
      <c r="AH2174" s="424"/>
    </row>
    <row r="2175" spans="1:34" x14ac:dyDescent="0.25">
      <c r="A2175" s="423" t="s">
        <v>7812</v>
      </c>
      <c r="B2175" s="423" t="s">
        <v>8217</v>
      </c>
      <c r="C2175" s="423" t="s">
        <v>6852</v>
      </c>
      <c r="D2175" s="423" t="s">
        <v>6850</v>
      </c>
      <c r="E2175" s="423" t="s">
        <v>242</v>
      </c>
      <c r="F2175" s="423">
        <v>40</v>
      </c>
      <c r="G2175" s="423">
        <v>128</v>
      </c>
      <c r="H2175" s="423">
        <v>1000</v>
      </c>
      <c r="J2175" s="423"/>
      <c r="K2175" s="423"/>
      <c r="L2175" s="423"/>
      <c r="M2175" s="423"/>
      <c r="Q2175" s="423"/>
      <c r="R2175" s="424" t="s">
        <v>8218</v>
      </c>
      <c r="S2175" s="424" t="s">
        <v>2846</v>
      </c>
      <c r="T2175" s="424" t="s">
        <v>2870</v>
      </c>
      <c r="U2175" s="424">
        <v>0</v>
      </c>
      <c r="V2175" s="424" t="s">
        <v>2871</v>
      </c>
      <c r="W2175" s="424" t="s">
        <v>3074</v>
      </c>
      <c r="X2175" s="424" t="s">
        <v>8141</v>
      </c>
      <c r="Y2175" s="424" t="s">
        <v>2279</v>
      </c>
      <c r="Z2175" s="424" t="s">
        <v>2872</v>
      </c>
      <c r="AA2175" s="424" t="s">
        <v>2873</v>
      </c>
      <c r="AB2175" s="424" t="s">
        <v>5154</v>
      </c>
      <c r="AC2175" s="424" t="s">
        <v>1953</v>
      </c>
      <c r="AD2175" s="424" t="s">
        <v>2892</v>
      </c>
      <c r="AE2175" s="424" t="s">
        <v>2962</v>
      </c>
      <c r="AF2175" s="424"/>
      <c r="AG2175" s="424"/>
      <c r="AH2175" s="424"/>
    </row>
    <row r="2176" spans="1:34" x14ac:dyDescent="0.25">
      <c r="A2176" s="423" t="s">
        <v>7812</v>
      </c>
      <c r="B2176" s="423" t="s">
        <v>8219</v>
      </c>
      <c r="C2176" s="423" t="s">
        <v>6852</v>
      </c>
      <c r="D2176" s="423" t="s">
        <v>6850</v>
      </c>
      <c r="E2176" s="423" t="s">
        <v>242</v>
      </c>
      <c r="F2176" s="423">
        <v>40</v>
      </c>
      <c r="G2176" s="423">
        <v>128</v>
      </c>
      <c r="H2176" s="423">
        <v>1000</v>
      </c>
      <c r="J2176" s="423"/>
      <c r="K2176" s="423"/>
      <c r="L2176" s="423"/>
      <c r="M2176" s="423"/>
      <c r="Q2176" s="423"/>
      <c r="R2176" s="424" t="s">
        <v>8220</v>
      </c>
      <c r="S2176" s="424" t="s">
        <v>2846</v>
      </c>
      <c r="T2176" s="424" t="s">
        <v>2870</v>
      </c>
      <c r="U2176" s="424">
        <v>0</v>
      </c>
      <c r="V2176" s="424" t="s">
        <v>2871</v>
      </c>
      <c r="W2176" s="424" t="s">
        <v>3074</v>
      </c>
      <c r="X2176" s="424" t="s">
        <v>8141</v>
      </c>
      <c r="Y2176" s="424" t="s">
        <v>2279</v>
      </c>
      <c r="Z2176" s="424" t="s">
        <v>2872</v>
      </c>
      <c r="AA2176" s="424" t="s">
        <v>2873</v>
      </c>
      <c r="AB2176" s="424" t="s">
        <v>8221</v>
      </c>
      <c r="AC2176" s="424" t="s">
        <v>1953</v>
      </c>
      <c r="AD2176" s="424" t="s">
        <v>2892</v>
      </c>
      <c r="AE2176" s="424" t="s">
        <v>2944</v>
      </c>
      <c r="AF2176" s="424"/>
      <c r="AG2176" s="424"/>
      <c r="AH2176" s="424"/>
    </row>
    <row r="2177" spans="1:34" x14ac:dyDescent="0.25">
      <c r="A2177" s="423" t="s">
        <v>7812</v>
      </c>
      <c r="B2177" s="423" t="s">
        <v>8222</v>
      </c>
      <c r="C2177" s="423" t="s">
        <v>6852</v>
      </c>
      <c r="D2177" s="423" t="s">
        <v>6850</v>
      </c>
      <c r="E2177" s="423" t="s">
        <v>242</v>
      </c>
      <c r="F2177" s="423">
        <v>40</v>
      </c>
      <c r="G2177" s="423">
        <v>128</v>
      </c>
      <c r="H2177" s="423">
        <v>1000</v>
      </c>
      <c r="J2177" s="423"/>
      <c r="K2177" s="423"/>
      <c r="L2177" s="423"/>
      <c r="M2177" s="423"/>
      <c r="Q2177" s="423"/>
      <c r="R2177" s="424" t="s">
        <v>8223</v>
      </c>
      <c r="S2177" s="424" t="s">
        <v>2846</v>
      </c>
      <c r="T2177" s="424" t="s">
        <v>2870</v>
      </c>
      <c r="U2177" s="424">
        <v>0</v>
      </c>
      <c r="V2177" s="424" t="s">
        <v>2871</v>
      </c>
      <c r="W2177" s="424" t="s">
        <v>2871</v>
      </c>
      <c r="X2177" s="424" t="s">
        <v>8141</v>
      </c>
      <c r="Y2177" s="424" t="s">
        <v>2279</v>
      </c>
      <c r="Z2177" s="424" t="s">
        <v>2872</v>
      </c>
      <c r="AA2177" s="424" t="s">
        <v>2873</v>
      </c>
      <c r="AB2177" s="424" t="s">
        <v>7226</v>
      </c>
      <c r="AC2177" s="424" t="s">
        <v>1953</v>
      </c>
      <c r="AD2177" s="424" t="s">
        <v>2892</v>
      </c>
      <c r="AE2177" s="424" t="s">
        <v>2926</v>
      </c>
      <c r="AF2177" s="424"/>
      <c r="AG2177" s="424"/>
      <c r="AH2177" s="424"/>
    </row>
    <row r="2178" spans="1:34" x14ac:dyDescent="0.25">
      <c r="A2178" s="423" t="s">
        <v>7812</v>
      </c>
      <c r="B2178" s="423" t="s">
        <v>8224</v>
      </c>
      <c r="C2178" s="423" t="s">
        <v>6852</v>
      </c>
      <c r="D2178" s="423" t="s">
        <v>6850</v>
      </c>
      <c r="E2178" s="423" t="s">
        <v>242</v>
      </c>
      <c r="F2178" s="423">
        <v>40</v>
      </c>
      <c r="G2178" s="423">
        <v>128</v>
      </c>
      <c r="H2178" s="423">
        <v>1000</v>
      </c>
      <c r="J2178" s="423"/>
      <c r="K2178" s="423"/>
      <c r="L2178" s="423"/>
      <c r="M2178" s="423"/>
      <c r="Q2178" s="423"/>
      <c r="R2178" s="424" t="s">
        <v>8225</v>
      </c>
      <c r="S2178" s="424" t="s">
        <v>2846</v>
      </c>
      <c r="T2178" s="424" t="s">
        <v>2870</v>
      </c>
      <c r="U2178" s="424">
        <v>0</v>
      </c>
      <c r="V2178" s="424" t="s">
        <v>2871</v>
      </c>
      <c r="W2178" s="424" t="s">
        <v>2974</v>
      </c>
      <c r="X2178" s="424" t="s">
        <v>8141</v>
      </c>
      <c r="Y2178" s="424" t="s">
        <v>2279</v>
      </c>
      <c r="Z2178" s="424" t="s">
        <v>2872</v>
      </c>
      <c r="AA2178" s="424" t="s">
        <v>2873</v>
      </c>
      <c r="AB2178" s="424" t="s">
        <v>8226</v>
      </c>
      <c r="AC2178" s="424" t="s">
        <v>1953</v>
      </c>
      <c r="AD2178" s="424" t="s">
        <v>2892</v>
      </c>
      <c r="AE2178" s="424" t="s">
        <v>4463</v>
      </c>
      <c r="AF2178" s="424"/>
      <c r="AG2178" s="424"/>
      <c r="AH2178" s="424"/>
    </row>
    <row r="2179" spans="1:34" x14ac:dyDescent="0.25">
      <c r="A2179" s="423" t="s">
        <v>7812</v>
      </c>
      <c r="B2179" s="423" t="s">
        <v>8227</v>
      </c>
      <c r="C2179" s="423" t="s">
        <v>6852</v>
      </c>
      <c r="D2179" s="423" t="s">
        <v>6850</v>
      </c>
      <c r="E2179" s="423" t="s">
        <v>242</v>
      </c>
      <c r="F2179" s="423">
        <v>40</v>
      </c>
      <c r="G2179" s="423">
        <v>128</v>
      </c>
      <c r="H2179" s="423">
        <v>1000</v>
      </c>
      <c r="J2179" s="423"/>
      <c r="K2179" s="423"/>
      <c r="L2179" s="423"/>
      <c r="M2179" s="423"/>
      <c r="Q2179" s="423"/>
      <c r="R2179" s="424" t="s">
        <v>8228</v>
      </c>
      <c r="S2179" s="424" t="s">
        <v>2846</v>
      </c>
      <c r="T2179" s="424" t="s">
        <v>2870</v>
      </c>
      <c r="U2179" s="424">
        <v>0</v>
      </c>
      <c r="V2179" s="424" t="s">
        <v>2871</v>
      </c>
      <c r="W2179" s="424" t="s">
        <v>3074</v>
      </c>
      <c r="X2179" s="424" t="s">
        <v>8141</v>
      </c>
      <c r="Y2179" s="424" t="s">
        <v>2279</v>
      </c>
      <c r="Z2179" s="424" t="s">
        <v>2872</v>
      </c>
      <c r="AA2179" s="424" t="s">
        <v>2873</v>
      </c>
      <c r="AB2179" s="424" t="s">
        <v>5936</v>
      </c>
      <c r="AC2179" s="424" t="s">
        <v>1953</v>
      </c>
      <c r="AD2179" s="424" t="s">
        <v>2892</v>
      </c>
      <c r="AE2179" s="424" t="s">
        <v>2962</v>
      </c>
      <c r="AF2179" s="424"/>
      <c r="AG2179" s="424"/>
      <c r="AH2179" s="424"/>
    </row>
    <row r="2180" spans="1:34" x14ac:dyDescent="0.25">
      <c r="A2180" s="423" t="s">
        <v>7812</v>
      </c>
      <c r="B2180" s="423" t="s">
        <v>8229</v>
      </c>
      <c r="C2180" s="423" t="s">
        <v>6852</v>
      </c>
      <c r="D2180" s="423" t="s">
        <v>6850</v>
      </c>
      <c r="E2180" s="423" t="s">
        <v>242</v>
      </c>
      <c r="F2180" s="423">
        <v>16</v>
      </c>
      <c r="G2180" s="423">
        <v>74</v>
      </c>
      <c r="H2180" s="423">
        <v>4000</v>
      </c>
      <c r="J2180" s="423"/>
      <c r="K2180" s="423"/>
      <c r="L2180" s="423"/>
      <c r="M2180" s="423"/>
      <c r="Q2180" s="423"/>
      <c r="R2180" s="424" t="s">
        <v>8230</v>
      </c>
      <c r="S2180" s="424" t="s">
        <v>2846</v>
      </c>
      <c r="T2180" s="424" t="s">
        <v>3356</v>
      </c>
      <c r="U2180" s="424">
        <v>0</v>
      </c>
      <c r="V2180" s="424" t="s">
        <v>2924</v>
      </c>
      <c r="W2180" s="424" t="s">
        <v>3074</v>
      </c>
      <c r="X2180" s="424" t="s">
        <v>8141</v>
      </c>
      <c r="Y2180" s="424" t="s">
        <v>2279</v>
      </c>
      <c r="Z2180" s="424" t="s">
        <v>2848</v>
      </c>
      <c r="AA2180" s="424" t="s">
        <v>2855</v>
      </c>
      <c r="AB2180" s="424" t="s">
        <v>4208</v>
      </c>
      <c r="AC2180" s="424" t="s">
        <v>1953</v>
      </c>
      <c r="AD2180" s="424" t="s">
        <v>2851</v>
      </c>
      <c r="AE2180" s="424" t="s">
        <v>3158</v>
      </c>
      <c r="AF2180" s="424"/>
      <c r="AG2180" s="424"/>
      <c r="AH2180" s="424"/>
    </row>
    <row r="2181" spans="1:34" x14ac:dyDescent="0.25">
      <c r="A2181" s="423" t="s">
        <v>7812</v>
      </c>
      <c r="B2181" s="423" t="s">
        <v>8231</v>
      </c>
      <c r="C2181" s="423" t="s">
        <v>6852</v>
      </c>
      <c r="D2181" s="423" t="s">
        <v>6850</v>
      </c>
      <c r="E2181" s="423" t="s">
        <v>242</v>
      </c>
      <c r="F2181" s="423">
        <v>16</v>
      </c>
      <c r="G2181" s="423">
        <v>74</v>
      </c>
      <c r="H2181" s="423">
        <v>4000</v>
      </c>
      <c r="J2181" s="423"/>
      <c r="K2181" s="423"/>
      <c r="L2181" s="423"/>
      <c r="M2181" s="423"/>
      <c r="Q2181" s="423"/>
      <c r="R2181" s="424" t="s">
        <v>8232</v>
      </c>
      <c r="S2181" s="424" t="s">
        <v>2846</v>
      </c>
      <c r="T2181" s="424" t="s">
        <v>3356</v>
      </c>
      <c r="U2181" s="424">
        <v>0</v>
      </c>
      <c r="V2181" s="424" t="s">
        <v>2924</v>
      </c>
      <c r="W2181" s="424" t="s">
        <v>3074</v>
      </c>
      <c r="X2181" s="424" t="s">
        <v>8141</v>
      </c>
      <c r="Y2181" s="424" t="s">
        <v>2279</v>
      </c>
      <c r="Z2181" s="424" t="s">
        <v>2848</v>
      </c>
      <c r="AA2181" s="424" t="s">
        <v>2855</v>
      </c>
      <c r="AB2181" s="424" t="s">
        <v>8233</v>
      </c>
      <c r="AC2181" s="424" t="s">
        <v>1953</v>
      </c>
      <c r="AD2181" s="424" t="s">
        <v>2851</v>
      </c>
      <c r="AE2181" s="424" t="s">
        <v>3158</v>
      </c>
      <c r="AF2181" s="424"/>
      <c r="AG2181" s="424"/>
      <c r="AH2181" s="424"/>
    </row>
    <row r="2182" spans="1:34" x14ac:dyDescent="0.25">
      <c r="A2182" s="423" t="s">
        <v>7812</v>
      </c>
      <c r="B2182" s="423" t="s">
        <v>8234</v>
      </c>
      <c r="C2182" s="423" t="s">
        <v>6852</v>
      </c>
      <c r="D2182" s="423" t="s">
        <v>6850</v>
      </c>
      <c r="E2182" s="423" t="s">
        <v>242</v>
      </c>
      <c r="F2182" s="423">
        <v>16</v>
      </c>
      <c r="G2182" s="423">
        <v>74</v>
      </c>
      <c r="H2182" s="423">
        <v>4000</v>
      </c>
      <c r="J2182" s="423"/>
      <c r="K2182" s="423"/>
      <c r="L2182" s="423"/>
      <c r="M2182" s="423"/>
      <c r="Q2182" s="423"/>
      <c r="R2182" s="424" t="s">
        <v>8235</v>
      </c>
      <c r="S2182" s="424" t="s">
        <v>2846</v>
      </c>
      <c r="T2182" s="424" t="s">
        <v>3356</v>
      </c>
      <c r="U2182" s="424">
        <v>0</v>
      </c>
      <c r="V2182" s="424" t="s">
        <v>2924</v>
      </c>
      <c r="W2182" s="424" t="s">
        <v>3074</v>
      </c>
      <c r="X2182" s="424" t="s">
        <v>8141</v>
      </c>
      <c r="Y2182" s="424" t="s">
        <v>2279</v>
      </c>
      <c r="Z2182" s="424" t="s">
        <v>2848</v>
      </c>
      <c r="AA2182" s="424" t="s">
        <v>2855</v>
      </c>
      <c r="AB2182" s="424" t="s">
        <v>5949</v>
      </c>
      <c r="AC2182" s="424" t="s">
        <v>1953</v>
      </c>
      <c r="AD2182" s="424" t="s">
        <v>2851</v>
      </c>
      <c r="AE2182" s="424" t="s">
        <v>3436</v>
      </c>
      <c r="AF2182" s="424"/>
      <c r="AG2182" s="424"/>
      <c r="AH2182" s="424"/>
    </row>
    <row r="2183" spans="1:34" x14ac:dyDescent="0.25">
      <c r="A2183" s="423" t="s">
        <v>7812</v>
      </c>
      <c r="B2183" s="423" t="s">
        <v>8236</v>
      </c>
      <c r="C2183" s="423" t="s">
        <v>6852</v>
      </c>
      <c r="D2183" s="423" t="s">
        <v>6850</v>
      </c>
      <c r="E2183" s="423" t="s">
        <v>242</v>
      </c>
      <c r="F2183" s="423">
        <v>16</v>
      </c>
      <c r="G2183" s="423">
        <v>74</v>
      </c>
      <c r="H2183" s="423">
        <v>1000</v>
      </c>
      <c r="J2183" s="423"/>
      <c r="K2183" s="423"/>
      <c r="L2183" s="423"/>
      <c r="M2183" s="423"/>
      <c r="Q2183" s="423"/>
      <c r="R2183" s="424" t="s">
        <v>8237</v>
      </c>
      <c r="S2183" s="424" t="s">
        <v>2846</v>
      </c>
      <c r="T2183" s="424" t="s">
        <v>3356</v>
      </c>
      <c r="U2183" s="424">
        <v>0</v>
      </c>
      <c r="V2183" s="424" t="s">
        <v>8155</v>
      </c>
      <c r="W2183" s="424" t="s">
        <v>3074</v>
      </c>
      <c r="X2183" s="424" t="s">
        <v>8141</v>
      </c>
      <c r="Y2183" s="424" t="s">
        <v>2279</v>
      </c>
      <c r="Z2183" s="424" t="s">
        <v>2848</v>
      </c>
      <c r="AA2183" s="424" t="s">
        <v>2849</v>
      </c>
      <c r="AB2183" s="424" t="s">
        <v>8041</v>
      </c>
      <c r="AC2183" s="424" t="s">
        <v>1953</v>
      </c>
      <c r="AD2183" s="424" t="s">
        <v>2851</v>
      </c>
      <c r="AE2183" s="424" t="s">
        <v>3440</v>
      </c>
      <c r="AF2183" s="424"/>
      <c r="AG2183" s="424"/>
      <c r="AH2183" s="424"/>
    </row>
    <row r="2184" spans="1:34" x14ac:dyDescent="0.25">
      <c r="A2184" s="423" t="s">
        <v>7812</v>
      </c>
      <c r="B2184" s="423" t="s">
        <v>8238</v>
      </c>
      <c r="C2184" s="423" t="s">
        <v>6852</v>
      </c>
      <c r="D2184" s="423" t="s">
        <v>6850</v>
      </c>
      <c r="E2184" s="423" t="s">
        <v>242</v>
      </c>
      <c r="F2184" s="423">
        <v>16</v>
      </c>
      <c r="G2184" s="423">
        <v>74</v>
      </c>
      <c r="H2184" s="423">
        <v>1000</v>
      </c>
      <c r="J2184" s="423"/>
      <c r="K2184" s="423"/>
      <c r="L2184" s="423"/>
      <c r="M2184" s="423"/>
      <c r="Q2184" s="423"/>
      <c r="R2184" s="424" t="s">
        <v>8239</v>
      </c>
      <c r="S2184" s="424" t="s">
        <v>2846</v>
      </c>
      <c r="T2184" s="424" t="s">
        <v>3356</v>
      </c>
      <c r="U2184" s="424">
        <v>0</v>
      </c>
      <c r="V2184" s="424" t="s">
        <v>2924</v>
      </c>
      <c r="W2184" s="424" t="s">
        <v>3074</v>
      </c>
      <c r="X2184" s="424" t="s">
        <v>8141</v>
      </c>
      <c r="Y2184" s="424" t="s">
        <v>2279</v>
      </c>
      <c r="Z2184" s="424" t="s">
        <v>2848</v>
      </c>
      <c r="AA2184" s="424" t="s">
        <v>2855</v>
      </c>
      <c r="AB2184" s="424" t="s">
        <v>8047</v>
      </c>
      <c r="AC2184" s="424" t="s">
        <v>1953</v>
      </c>
      <c r="AD2184" s="424" t="s">
        <v>2851</v>
      </c>
      <c r="AE2184" s="424" t="s">
        <v>5343</v>
      </c>
      <c r="AF2184" s="424"/>
      <c r="AG2184" s="424"/>
      <c r="AH2184" s="424"/>
    </row>
    <row r="2185" spans="1:34" x14ac:dyDescent="0.25">
      <c r="A2185" s="423" t="s">
        <v>7812</v>
      </c>
      <c r="B2185" s="423" t="s">
        <v>8240</v>
      </c>
      <c r="C2185" s="423" t="s">
        <v>6852</v>
      </c>
      <c r="D2185" s="423" t="s">
        <v>6850</v>
      </c>
      <c r="E2185" s="423" t="s">
        <v>242</v>
      </c>
      <c r="F2185" s="423">
        <v>16</v>
      </c>
      <c r="G2185" s="423">
        <v>74</v>
      </c>
      <c r="H2185" s="423">
        <v>1000</v>
      </c>
      <c r="J2185" s="423"/>
      <c r="K2185" s="423"/>
      <c r="L2185" s="423"/>
      <c r="M2185" s="423"/>
      <c r="Q2185" s="423"/>
      <c r="R2185" s="424" t="s">
        <v>8241</v>
      </c>
      <c r="S2185" s="424" t="s">
        <v>2846</v>
      </c>
      <c r="T2185" s="424" t="s">
        <v>3356</v>
      </c>
      <c r="U2185" s="424">
        <v>0</v>
      </c>
      <c r="V2185" s="424" t="s">
        <v>2924</v>
      </c>
      <c r="W2185" s="424" t="s">
        <v>3074</v>
      </c>
      <c r="X2185" s="424" t="s">
        <v>8141</v>
      </c>
      <c r="Y2185" s="424" t="s">
        <v>2279</v>
      </c>
      <c r="Z2185" s="424" t="s">
        <v>2848</v>
      </c>
      <c r="AA2185" s="424" t="s">
        <v>2855</v>
      </c>
      <c r="AB2185" s="424" t="s">
        <v>8104</v>
      </c>
      <c r="AC2185" s="424" t="s">
        <v>1953</v>
      </c>
      <c r="AD2185" s="424" t="s">
        <v>2851</v>
      </c>
      <c r="AE2185" s="424" t="s">
        <v>5343</v>
      </c>
      <c r="AF2185" s="424"/>
      <c r="AG2185" s="424"/>
      <c r="AH2185" s="424"/>
    </row>
    <row r="2186" spans="1:34" x14ac:dyDescent="0.25">
      <c r="A2186" s="423" t="s">
        <v>7812</v>
      </c>
      <c r="B2186" s="423" t="s">
        <v>8242</v>
      </c>
      <c r="C2186" s="423" t="s">
        <v>6852</v>
      </c>
      <c r="D2186" s="423" t="s">
        <v>6850</v>
      </c>
      <c r="E2186" s="423" t="s">
        <v>242</v>
      </c>
      <c r="F2186" s="423">
        <v>16</v>
      </c>
      <c r="G2186" s="423">
        <v>74</v>
      </c>
      <c r="H2186" s="423">
        <v>1000</v>
      </c>
      <c r="J2186" s="423"/>
      <c r="K2186" s="423"/>
      <c r="L2186" s="423"/>
      <c r="M2186" s="423"/>
      <c r="Q2186" s="423"/>
      <c r="R2186" s="424" t="s">
        <v>8243</v>
      </c>
      <c r="S2186" s="424" t="s">
        <v>2846</v>
      </c>
      <c r="T2186" s="424" t="s">
        <v>3356</v>
      </c>
      <c r="U2186" s="424">
        <v>0</v>
      </c>
      <c r="V2186" s="424" t="s">
        <v>2924</v>
      </c>
      <c r="W2186" s="424" t="s">
        <v>3074</v>
      </c>
      <c r="X2186" s="424" t="s">
        <v>8141</v>
      </c>
      <c r="Y2186" s="424" t="s">
        <v>2279</v>
      </c>
      <c r="Z2186" s="424" t="s">
        <v>2848</v>
      </c>
      <c r="AA2186" s="424" t="s">
        <v>2855</v>
      </c>
      <c r="AB2186" s="424" t="s">
        <v>8098</v>
      </c>
      <c r="AC2186" s="424" t="s">
        <v>1953</v>
      </c>
      <c r="AD2186" s="424" t="s">
        <v>2851</v>
      </c>
      <c r="AE2186" s="424" t="s">
        <v>3158</v>
      </c>
      <c r="AF2186" s="424"/>
      <c r="AG2186" s="424"/>
      <c r="AH2186" s="424"/>
    </row>
    <row r="2187" spans="1:34" x14ac:dyDescent="0.25">
      <c r="A2187" s="423" t="s">
        <v>7812</v>
      </c>
      <c r="B2187" s="423" t="s">
        <v>8244</v>
      </c>
      <c r="C2187" s="423" t="s">
        <v>6852</v>
      </c>
      <c r="D2187" s="423" t="s">
        <v>6850</v>
      </c>
      <c r="E2187" s="423" t="s">
        <v>242</v>
      </c>
      <c r="F2187" s="423">
        <v>16</v>
      </c>
      <c r="G2187" s="423">
        <v>74</v>
      </c>
      <c r="H2187" s="423">
        <v>1000</v>
      </c>
      <c r="J2187" s="423"/>
      <c r="K2187" s="423"/>
      <c r="L2187" s="423"/>
      <c r="M2187" s="423"/>
      <c r="Q2187" s="423"/>
      <c r="R2187" s="424" t="s">
        <v>8245</v>
      </c>
      <c r="S2187" s="424" t="s">
        <v>2846</v>
      </c>
      <c r="T2187" s="424" t="s">
        <v>3356</v>
      </c>
      <c r="U2187" s="424">
        <v>0</v>
      </c>
      <c r="V2187" s="424" t="s">
        <v>2924</v>
      </c>
      <c r="W2187" s="424" t="s">
        <v>3074</v>
      </c>
      <c r="X2187" s="424" t="s">
        <v>8141</v>
      </c>
      <c r="Y2187" s="424" t="s">
        <v>2279</v>
      </c>
      <c r="Z2187" s="424" t="s">
        <v>2848</v>
      </c>
      <c r="AA2187" s="424" t="s">
        <v>2855</v>
      </c>
      <c r="AB2187" s="424" t="s">
        <v>8246</v>
      </c>
      <c r="AC2187" s="424" t="s">
        <v>1953</v>
      </c>
      <c r="AD2187" s="424" t="s">
        <v>2851</v>
      </c>
      <c r="AE2187" s="424" t="s">
        <v>5343</v>
      </c>
      <c r="AF2187" s="424"/>
      <c r="AG2187" s="424"/>
      <c r="AH2187" s="424"/>
    </row>
    <row r="2188" spans="1:34" x14ac:dyDescent="0.25">
      <c r="A2188" s="423" t="s">
        <v>7812</v>
      </c>
      <c r="B2188" s="423" t="s">
        <v>8247</v>
      </c>
      <c r="C2188" s="423" t="s">
        <v>6852</v>
      </c>
      <c r="D2188" s="423" t="s">
        <v>6850</v>
      </c>
      <c r="E2188" s="423" t="s">
        <v>242</v>
      </c>
      <c r="F2188" s="423">
        <v>16</v>
      </c>
      <c r="G2188" s="423">
        <v>74</v>
      </c>
      <c r="H2188" s="423">
        <v>1000</v>
      </c>
      <c r="J2188" s="423"/>
      <c r="K2188" s="423"/>
      <c r="L2188" s="423"/>
      <c r="M2188" s="423"/>
      <c r="Q2188" s="423"/>
      <c r="R2188" s="424" t="s">
        <v>8248</v>
      </c>
      <c r="S2188" s="424" t="s">
        <v>2846</v>
      </c>
      <c r="T2188" s="424" t="s">
        <v>3356</v>
      </c>
      <c r="U2188" s="424">
        <v>0</v>
      </c>
      <c r="V2188" s="424" t="s">
        <v>2924</v>
      </c>
      <c r="W2188" s="424" t="s">
        <v>3074</v>
      </c>
      <c r="X2188" s="424" t="s">
        <v>8141</v>
      </c>
      <c r="Y2188" s="424" t="s">
        <v>2279</v>
      </c>
      <c r="Z2188" s="424" t="s">
        <v>2848</v>
      </c>
      <c r="AA2188" s="424" t="s">
        <v>2855</v>
      </c>
      <c r="AB2188" s="424" t="s">
        <v>5349</v>
      </c>
      <c r="AC2188" s="424" t="s">
        <v>1953</v>
      </c>
      <c r="AD2188" s="424" t="s">
        <v>2851</v>
      </c>
      <c r="AE2188" s="424" t="s">
        <v>5343</v>
      </c>
      <c r="AF2188" s="424"/>
      <c r="AG2188" s="424"/>
      <c r="AH2188" s="424"/>
    </row>
    <row r="2189" spans="1:34" x14ac:dyDescent="0.25">
      <c r="A2189" s="423" t="s">
        <v>7812</v>
      </c>
      <c r="B2189" s="423" t="s">
        <v>8249</v>
      </c>
      <c r="C2189" s="423" t="s">
        <v>6852</v>
      </c>
      <c r="D2189" s="423" t="s">
        <v>6850</v>
      </c>
      <c r="E2189" s="423" t="s">
        <v>242</v>
      </c>
      <c r="F2189" s="423">
        <v>40</v>
      </c>
      <c r="G2189" s="423">
        <v>256</v>
      </c>
      <c r="H2189" s="423">
        <v>2000</v>
      </c>
      <c r="J2189" s="423"/>
      <c r="K2189" s="423"/>
      <c r="L2189" s="423"/>
      <c r="M2189" s="423"/>
      <c r="Q2189" s="423"/>
      <c r="R2189" s="424" t="s">
        <v>8250</v>
      </c>
      <c r="S2189" s="424" t="s">
        <v>2820</v>
      </c>
      <c r="T2189" s="424" t="s">
        <v>5166</v>
      </c>
      <c r="U2189" s="424">
        <v>0</v>
      </c>
      <c r="V2189" s="424" t="s">
        <v>7815</v>
      </c>
      <c r="W2189" s="424" t="s">
        <v>3283</v>
      </c>
      <c r="X2189" s="424" t="s">
        <v>8141</v>
      </c>
      <c r="Y2189" s="424" t="s">
        <v>3983</v>
      </c>
      <c r="Z2189" s="424" t="s">
        <v>2872</v>
      </c>
      <c r="AA2189" s="424" t="s">
        <v>2873</v>
      </c>
      <c r="AB2189" s="424" t="s">
        <v>8251</v>
      </c>
      <c r="AC2189" s="424" t="s">
        <v>1953</v>
      </c>
      <c r="AD2189" s="424" t="s">
        <v>2892</v>
      </c>
      <c r="AE2189" s="424" t="s">
        <v>8181</v>
      </c>
      <c r="AF2189" s="424"/>
      <c r="AG2189" s="424"/>
      <c r="AH2189" s="424"/>
    </row>
    <row r="2190" spans="1:34" x14ac:dyDescent="0.25">
      <c r="A2190" s="423" t="s">
        <v>7812</v>
      </c>
      <c r="B2190" s="423" t="s">
        <v>8252</v>
      </c>
      <c r="C2190" s="423" t="s">
        <v>6852</v>
      </c>
      <c r="D2190" s="423" t="s">
        <v>6850</v>
      </c>
      <c r="E2190" s="423" t="s">
        <v>242</v>
      </c>
      <c r="F2190" s="423">
        <v>40</v>
      </c>
      <c r="G2190" s="423">
        <v>256</v>
      </c>
      <c r="H2190" s="423">
        <v>2000</v>
      </c>
      <c r="J2190" s="423"/>
      <c r="K2190" s="423"/>
      <c r="L2190" s="423"/>
      <c r="M2190" s="423"/>
      <c r="Q2190" s="423"/>
      <c r="R2190" s="424" t="s">
        <v>8253</v>
      </c>
      <c r="S2190" s="424" t="s">
        <v>2820</v>
      </c>
      <c r="T2190" s="424" t="s">
        <v>5166</v>
      </c>
      <c r="U2190" s="424">
        <v>0</v>
      </c>
      <c r="V2190" s="424" t="s">
        <v>7815</v>
      </c>
      <c r="W2190" s="424" t="s">
        <v>3283</v>
      </c>
      <c r="X2190" s="424" t="s">
        <v>8141</v>
      </c>
      <c r="Y2190" s="424" t="s">
        <v>3983</v>
      </c>
      <c r="Z2190" s="424" t="s">
        <v>2872</v>
      </c>
      <c r="AA2190" s="424" t="s">
        <v>2873</v>
      </c>
      <c r="AB2190" s="424" t="s">
        <v>8254</v>
      </c>
      <c r="AC2190" s="424" t="s">
        <v>1953</v>
      </c>
      <c r="AD2190" s="424" t="s">
        <v>2892</v>
      </c>
      <c r="AE2190" s="424" t="s">
        <v>8181</v>
      </c>
      <c r="AF2190" s="424"/>
      <c r="AG2190" s="424"/>
      <c r="AH2190" s="424"/>
    </row>
    <row r="2191" spans="1:34" x14ac:dyDescent="0.25">
      <c r="A2191" s="423" t="s">
        <v>7812</v>
      </c>
      <c r="B2191" s="423" t="s">
        <v>8255</v>
      </c>
      <c r="C2191" s="423" t="s">
        <v>6852</v>
      </c>
      <c r="D2191" s="423" t="s">
        <v>6850</v>
      </c>
      <c r="E2191" s="423" t="s">
        <v>242</v>
      </c>
      <c r="F2191" s="423">
        <v>40</v>
      </c>
      <c r="G2191" s="423">
        <v>256</v>
      </c>
      <c r="H2191" s="423">
        <v>2000</v>
      </c>
      <c r="J2191" s="423"/>
      <c r="K2191" s="423"/>
      <c r="L2191" s="423"/>
      <c r="M2191" s="423"/>
      <c r="Q2191" s="423"/>
      <c r="R2191" s="424" t="s">
        <v>8256</v>
      </c>
      <c r="S2191" s="424" t="s">
        <v>2820</v>
      </c>
      <c r="T2191" s="424" t="s">
        <v>5166</v>
      </c>
      <c r="U2191" s="424">
        <v>0</v>
      </c>
      <c r="V2191" s="424" t="s">
        <v>7815</v>
      </c>
      <c r="W2191" s="424" t="s">
        <v>3283</v>
      </c>
      <c r="X2191" s="424" t="s">
        <v>8141</v>
      </c>
      <c r="Y2191" s="424" t="s">
        <v>3983</v>
      </c>
      <c r="Z2191" s="424" t="s">
        <v>2872</v>
      </c>
      <c r="AA2191" s="424" t="s">
        <v>2873</v>
      </c>
      <c r="AB2191" s="424" t="s">
        <v>8257</v>
      </c>
      <c r="AC2191" s="424" t="s">
        <v>1953</v>
      </c>
      <c r="AD2191" s="424" t="s">
        <v>2892</v>
      </c>
      <c r="AE2191" s="424" t="s">
        <v>8181</v>
      </c>
      <c r="AF2191" s="424"/>
      <c r="AG2191" s="424"/>
      <c r="AH2191" s="424"/>
    </row>
    <row r="2192" spans="1:34" x14ac:dyDescent="0.25">
      <c r="A2192" s="423" t="s">
        <v>7812</v>
      </c>
      <c r="B2192" s="423" t="s">
        <v>8258</v>
      </c>
      <c r="C2192" s="423" t="s">
        <v>6852</v>
      </c>
      <c r="D2192" s="423" t="s">
        <v>6850</v>
      </c>
      <c r="E2192" s="423" t="s">
        <v>242</v>
      </c>
      <c r="F2192" s="423">
        <v>40</v>
      </c>
      <c r="G2192" s="423">
        <v>256</v>
      </c>
      <c r="H2192" s="423">
        <v>2000</v>
      </c>
      <c r="J2192" s="423"/>
      <c r="K2192" s="423"/>
      <c r="L2192" s="423"/>
      <c r="M2192" s="423"/>
      <c r="Q2192" s="423"/>
      <c r="R2192" s="424" t="s">
        <v>8259</v>
      </c>
      <c r="S2192" s="424" t="s">
        <v>2820</v>
      </c>
      <c r="T2192" s="424" t="s">
        <v>5166</v>
      </c>
      <c r="U2192" s="424">
        <v>0</v>
      </c>
      <c r="V2192" s="424" t="s">
        <v>7815</v>
      </c>
      <c r="W2192" s="424" t="s">
        <v>3283</v>
      </c>
      <c r="X2192" s="424" t="s">
        <v>8141</v>
      </c>
      <c r="Y2192" s="424" t="s">
        <v>3983</v>
      </c>
      <c r="Z2192" s="424" t="s">
        <v>2872</v>
      </c>
      <c r="AA2192" s="424" t="s">
        <v>2873</v>
      </c>
      <c r="AB2192" s="424" t="s">
        <v>8260</v>
      </c>
      <c r="AC2192" s="424" t="s">
        <v>1953</v>
      </c>
      <c r="AD2192" s="424" t="s">
        <v>2892</v>
      </c>
      <c r="AE2192" s="424" t="s">
        <v>8181</v>
      </c>
      <c r="AF2192" s="424"/>
      <c r="AG2192" s="424"/>
      <c r="AH2192" s="424"/>
    </row>
    <row r="2193" spans="1:34" x14ac:dyDescent="0.25">
      <c r="A2193" s="423" t="s">
        <v>7812</v>
      </c>
      <c r="B2193" s="423" t="s">
        <v>8261</v>
      </c>
      <c r="C2193" s="423" t="s">
        <v>6852</v>
      </c>
      <c r="D2193" s="423" t="s">
        <v>6850</v>
      </c>
      <c r="E2193" s="423" t="s">
        <v>242</v>
      </c>
      <c r="F2193" s="423">
        <v>40</v>
      </c>
      <c r="G2193" s="423">
        <v>256</v>
      </c>
      <c r="H2193" s="423">
        <v>2000</v>
      </c>
      <c r="J2193" s="423"/>
      <c r="K2193" s="423"/>
      <c r="L2193" s="423"/>
      <c r="M2193" s="423"/>
      <c r="Q2193" s="423"/>
      <c r="R2193" s="424" t="s">
        <v>8262</v>
      </c>
      <c r="S2193" s="424" t="s">
        <v>2820</v>
      </c>
      <c r="T2193" s="424" t="s">
        <v>5166</v>
      </c>
      <c r="U2193" s="424">
        <v>0</v>
      </c>
      <c r="V2193" s="424" t="s">
        <v>7815</v>
      </c>
      <c r="W2193" s="424" t="s">
        <v>3283</v>
      </c>
      <c r="X2193" s="424" t="s">
        <v>8141</v>
      </c>
      <c r="Y2193" s="424" t="s">
        <v>3983</v>
      </c>
      <c r="Z2193" s="424" t="s">
        <v>2872</v>
      </c>
      <c r="AA2193" s="424" t="s">
        <v>2873</v>
      </c>
      <c r="AB2193" s="424" t="s">
        <v>8263</v>
      </c>
      <c r="AC2193" s="424" t="s">
        <v>1953</v>
      </c>
      <c r="AD2193" s="424" t="s">
        <v>2892</v>
      </c>
      <c r="AE2193" s="424" t="s">
        <v>8181</v>
      </c>
      <c r="AF2193" s="424"/>
      <c r="AG2193" s="424"/>
      <c r="AH2193" s="424"/>
    </row>
    <row r="2194" spans="1:34" x14ac:dyDescent="0.25">
      <c r="A2194" s="423" t="s">
        <v>7812</v>
      </c>
      <c r="B2194" s="423" t="s">
        <v>8264</v>
      </c>
      <c r="C2194" s="423" t="s">
        <v>6852</v>
      </c>
      <c r="D2194" s="423" t="s">
        <v>6850</v>
      </c>
      <c r="E2194" s="423" t="s">
        <v>242</v>
      </c>
      <c r="F2194" s="423">
        <v>40</v>
      </c>
      <c r="G2194" s="423">
        <v>256</v>
      </c>
      <c r="H2194" s="423">
        <v>2000</v>
      </c>
      <c r="J2194" s="423"/>
      <c r="K2194" s="423"/>
      <c r="L2194" s="423"/>
      <c r="M2194" s="423"/>
      <c r="Q2194" s="423"/>
      <c r="R2194" s="424" t="s">
        <v>8265</v>
      </c>
      <c r="S2194" s="424" t="s">
        <v>2820</v>
      </c>
      <c r="T2194" s="424" t="s">
        <v>5166</v>
      </c>
      <c r="U2194" s="424">
        <v>0</v>
      </c>
      <c r="V2194" s="424" t="s">
        <v>7815</v>
      </c>
      <c r="W2194" s="424" t="s">
        <v>3283</v>
      </c>
      <c r="X2194" s="424" t="s">
        <v>8141</v>
      </c>
      <c r="Y2194" s="424" t="s">
        <v>3983</v>
      </c>
      <c r="Z2194" s="424" t="s">
        <v>2872</v>
      </c>
      <c r="AA2194" s="424" t="s">
        <v>2873</v>
      </c>
      <c r="AB2194" s="424" t="s">
        <v>8266</v>
      </c>
      <c r="AC2194" s="424" t="s">
        <v>1953</v>
      </c>
      <c r="AD2194" s="424" t="s">
        <v>2892</v>
      </c>
      <c r="AE2194" s="424" t="s">
        <v>8181</v>
      </c>
      <c r="AF2194" s="424"/>
      <c r="AG2194" s="424"/>
      <c r="AH2194" s="424"/>
    </row>
    <row r="2195" spans="1:34" x14ac:dyDescent="0.25">
      <c r="A2195" s="423" t="s">
        <v>7812</v>
      </c>
      <c r="B2195" s="423" t="s">
        <v>8267</v>
      </c>
      <c r="C2195" s="423" t="s">
        <v>6852</v>
      </c>
      <c r="D2195" s="423" t="s">
        <v>6850</v>
      </c>
      <c r="E2195" s="423" t="s">
        <v>242</v>
      </c>
      <c r="F2195" s="423">
        <v>40</v>
      </c>
      <c r="G2195" s="423">
        <v>256</v>
      </c>
      <c r="H2195" s="423">
        <v>2000</v>
      </c>
      <c r="J2195" s="423"/>
      <c r="K2195" s="423"/>
      <c r="L2195" s="423"/>
      <c r="M2195" s="423"/>
      <c r="Q2195" s="423"/>
      <c r="R2195" s="424" t="s">
        <v>8268</v>
      </c>
      <c r="S2195" s="424" t="s">
        <v>2820</v>
      </c>
      <c r="T2195" s="424" t="s">
        <v>5166</v>
      </c>
      <c r="U2195" s="424">
        <v>0</v>
      </c>
      <c r="V2195" s="424" t="s">
        <v>7815</v>
      </c>
      <c r="W2195" s="424" t="s">
        <v>3283</v>
      </c>
      <c r="X2195" s="424" t="s">
        <v>8141</v>
      </c>
      <c r="Y2195" s="424" t="s">
        <v>3983</v>
      </c>
      <c r="Z2195" s="424" t="s">
        <v>2872</v>
      </c>
      <c r="AA2195" s="424" t="s">
        <v>2873</v>
      </c>
      <c r="AB2195" s="424" t="s">
        <v>8269</v>
      </c>
      <c r="AC2195" s="424" t="s">
        <v>1953</v>
      </c>
      <c r="AD2195" s="424" t="s">
        <v>2892</v>
      </c>
      <c r="AE2195" s="424" t="s">
        <v>8181</v>
      </c>
      <c r="AF2195" s="424"/>
      <c r="AG2195" s="424"/>
      <c r="AH2195" s="424"/>
    </row>
    <row r="2196" spans="1:34" x14ac:dyDescent="0.25">
      <c r="A2196" s="423" t="s">
        <v>7812</v>
      </c>
      <c r="B2196" s="423" t="s">
        <v>8270</v>
      </c>
      <c r="C2196" s="423" t="s">
        <v>6852</v>
      </c>
      <c r="D2196" s="423" t="s">
        <v>6850</v>
      </c>
      <c r="E2196" s="423" t="s">
        <v>242</v>
      </c>
      <c r="F2196" s="423">
        <v>16</v>
      </c>
      <c r="G2196" s="423">
        <v>74</v>
      </c>
      <c r="H2196" s="423">
        <v>1000</v>
      </c>
      <c r="J2196" s="423"/>
      <c r="K2196" s="423"/>
      <c r="L2196" s="423"/>
      <c r="M2196" s="423"/>
      <c r="Q2196" s="423"/>
      <c r="R2196" s="424" t="s">
        <v>8271</v>
      </c>
      <c r="S2196" s="424" t="s">
        <v>2846</v>
      </c>
      <c r="T2196" s="424" t="s">
        <v>8054</v>
      </c>
      <c r="U2196" s="424">
        <v>0</v>
      </c>
      <c r="V2196" s="424" t="s">
        <v>8155</v>
      </c>
      <c r="W2196" s="424" t="s">
        <v>3074</v>
      </c>
      <c r="X2196" s="424" t="s">
        <v>8141</v>
      </c>
      <c r="Y2196" s="424" t="s">
        <v>2279</v>
      </c>
      <c r="Z2196" s="424" t="s">
        <v>2872</v>
      </c>
      <c r="AA2196" s="424" t="s">
        <v>2873</v>
      </c>
      <c r="AB2196" s="424" t="s">
        <v>8121</v>
      </c>
      <c r="AC2196" s="424" t="s">
        <v>1953</v>
      </c>
      <c r="AD2196" s="424" t="s">
        <v>2892</v>
      </c>
      <c r="AE2196" s="424" t="s">
        <v>2968</v>
      </c>
      <c r="AF2196" s="424"/>
      <c r="AG2196" s="424"/>
      <c r="AH2196" s="424"/>
    </row>
    <row r="2197" spans="1:34" x14ac:dyDescent="0.25">
      <c r="A2197" s="423" t="s">
        <v>7812</v>
      </c>
      <c r="B2197" s="423" t="s">
        <v>8272</v>
      </c>
      <c r="C2197" s="423" t="s">
        <v>6852</v>
      </c>
      <c r="D2197" s="423" t="s">
        <v>6850</v>
      </c>
      <c r="E2197" s="423" t="s">
        <v>242</v>
      </c>
      <c r="F2197" s="423">
        <v>16</v>
      </c>
      <c r="G2197" s="423">
        <v>74</v>
      </c>
      <c r="H2197" s="423">
        <v>1000</v>
      </c>
      <c r="J2197" s="423"/>
      <c r="K2197" s="423"/>
      <c r="L2197" s="423"/>
      <c r="M2197" s="423"/>
      <c r="Q2197" s="423"/>
      <c r="R2197" s="424" t="s">
        <v>8273</v>
      </c>
      <c r="S2197" s="424" t="s">
        <v>2846</v>
      </c>
      <c r="T2197" s="424" t="s">
        <v>8054</v>
      </c>
      <c r="U2197" s="424">
        <v>0</v>
      </c>
      <c r="V2197" s="424" t="s">
        <v>8155</v>
      </c>
      <c r="W2197" s="424" t="s">
        <v>3074</v>
      </c>
      <c r="X2197" s="424" t="s">
        <v>8141</v>
      </c>
      <c r="Y2197" s="424" t="s">
        <v>2279</v>
      </c>
      <c r="Z2197" s="424" t="s">
        <v>2872</v>
      </c>
      <c r="AA2197" s="424" t="s">
        <v>2873</v>
      </c>
      <c r="AB2197" s="424" t="s">
        <v>8168</v>
      </c>
      <c r="AC2197" s="424" t="s">
        <v>1953</v>
      </c>
      <c r="AD2197" s="424" t="s">
        <v>2892</v>
      </c>
      <c r="AE2197" s="424" t="s">
        <v>3387</v>
      </c>
      <c r="AF2197" s="424"/>
      <c r="AG2197" s="424"/>
      <c r="AH2197" s="424"/>
    </row>
    <row r="2198" spans="1:34" x14ac:dyDescent="0.25">
      <c r="A2198" s="423" t="s">
        <v>7812</v>
      </c>
      <c r="B2198" s="423" t="s">
        <v>8274</v>
      </c>
      <c r="C2198" s="423" t="s">
        <v>6852</v>
      </c>
      <c r="D2198" s="423" t="s">
        <v>6850</v>
      </c>
      <c r="E2198" s="423" t="s">
        <v>242</v>
      </c>
      <c r="F2198" s="423">
        <v>16</v>
      </c>
      <c r="G2198" s="423">
        <v>74</v>
      </c>
      <c r="H2198" s="423">
        <v>1000</v>
      </c>
      <c r="J2198" s="423"/>
      <c r="K2198" s="423"/>
      <c r="L2198" s="423"/>
      <c r="M2198" s="423"/>
      <c r="Q2198" s="423"/>
      <c r="R2198" s="424" t="s">
        <v>8275</v>
      </c>
      <c r="S2198" s="424" t="s">
        <v>2846</v>
      </c>
      <c r="T2198" s="424" t="s">
        <v>8054</v>
      </c>
      <c r="U2198" s="424">
        <v>0</v>
      </c>
      <c r="V2198" s="424" t="s">
        <v>8155</v>
      </c>
      <c r="W2198" s="424" t="s">
        <v>3074</v>
      </c>
      <c r="X2198" s="424" t="s">
        <v>8141</v>
      </c>
      <c r="Y2198" s="424" t="s">
        <v>2279</v>
      </c>
      <c r="Z2198" s="424" t="s">
        <v>2872</v>
      </c>
      <c r="AA2198" s="424" t="s">
        <v>2873</v>
      </c>
      <c r="AB2198" s="424" t="s">
        <v>8276</v>
      </c>
      <c r="AC2198" s="424" t="s">
        <v>1953</v>
      </c>
      <c r="AD2198" s="424" t="s">
        <v>2892</v>
      </c>
      <c r="AE2198" s="424" t="s">
        <v>3081</v>
      </c>
      <c r="AF2198" s="424"/>
      <c r="AG2198" s="424"/>
      <c r="AH2198" s="424"/>
    </row>
    <row r="2199" spans="1:34" x14ac:dyDescent="0.25">
      <c r="A2199" s="423" t="s">
        <v>7812</v>
      </c>
      <c r="B2199" s="423" t="s">
        <v>8277</v>
      </c>
      <c r="C2199" s="423" t="s">
        <v>6852</v>
      </c>
      <c r="D2199" s="423" t="s">
        <v>6850</v>
      </c>
      <c r="E2199" s="423" t="s">
        <v>242</v>
      </c>
      <c r="F2199" s="423">
        <v>16</v>
      </c>
      <c r="G2199" s="423">
        <v>74</v>
      </c>
      <c r="H2199" s="423">
        <v>4000</v>
      </c>
      <c r="J2199" s="423"/>
      <c r="K2199" s="423"/>
      <c r="L2199" s="423"/>
      <c r="M2199" s="423"/>
      <c r="Q2199" s="423"/>
      <c r="R2199" s="424" t="s">
        <v>8278</v>
      </c>
      <c r="S2199" s="424" t="s">
        <v>2846</v>
      </c>
      <c r="T2199" s="424" t="s">
        <v>8054</v>
      </c>
      <c r="U2199" s="424">
        <v>0</v>
      </c>
      <c r="V2199" s="424" t="s">
        <v>8155</v>
      </c>
      <c r="W2199" s="424" t="s">
        <v>3074</v>
      </c>
      <c r="X2199" s="424" t="s">
        <v>8141</v>
      </c>
      <c r="Y2199" s="424" t="s">
        <v>2279</v>
      </c>
      <c r="Z2199" s="424" t="s">
        <v>2872</v>
      </c>
      <c r="AA2199" s="424" t="s">
        <v>2873</v>
      </c>
      <c r="AB2199" s="424" t="s">
        <v>8204</v>
      </c>
      <c r="AC2199" s="424" t="s">
        <v>1953</v>
      </c>
      <c r="AD2199" s="424" t="s">
        <v>2892</v>
      </c>
      <c r="AE2199" s="424" t="s">
        <v>3081</v>
      </c>
      <c r="AF2199" s="424"/>
      <c r="AG2199" s="424"/>
      <c r="AH2199" s="424"/>
    </row>
    <row r="2200" spans="1:34" x14ac:dyDescent="0.25">
      <c r="A2200" s="423" t="s">
        <v>7812</v>
      </c>
      <c r="B2200" s="423" t="s">
        <v>8279</v>
      </c>
      <c r="C2200" s="423" t="s">
        <v>6852</v>
      </c>
      <c r="D2200" s="423" t="s">
        <v>6850</v>
      </c>
      <c r="E2200" s="423" t="s">
        <v>242</v>
      </c>
      <c r="F2200" s="423">
        <v>16</v>
      </c>
      <c r="G2200" s="423">
        <v>74</v>
      </c>
      <c r="H2200" s="423">
        <v>4000</v>
      </c>
      <c r="J2200" s="423"/>
      <c r="K2200" s="423"/>
      <c r="L2200" s="423"/>
      <c r="M2200" s="423"/>
      <c r="Q2200" s="423"/>
      <c r="R2200" s="424" t="s">
        <v>8280</v>
      </c>
      <c r="S2200" s="424" t="s">
        <v>2846</v>
      </c>
      <c r="T2200" s="424" t="s">
        <v>8054</v>
      </c>
      <c r="U2200" s="424">
        <v>0</v>
      </c>
      <c r="V2200" s="424" t="s">
        <v>8155</v>
      </c>
      <c r="W2200" s="424" t="s">
        <v>3074</v>
      </c>
      <c r="X2200" s="424" t="s">
        <v>8141</v>
      </c>
      <c r="Y2200" s="424" t="s">
        <v>2279</v>
      </c>
      <c r="Z2200" s="424" t="s">
        <v>2872</v>
      </c>
      <c r="AA2200" s="424" t="s">
        <v>2873</v>
      </c>
      <c r="AB2200" s="424" t="s">
        <v>3087</v>
      </c>
      <c r="AC2200" s="424" t="s">
        <v>1953</v>
      </c>
      <c r="AD2200" s="424" t="s">
        <v>2892</v>
      </c>
      <c r="AE2200" s="424" t="s">
        <v>2968</v>
      </c>
      <c r="AF2200" s="424"/>
      <c r="AG2200" s="424"/>
      <c r="AH2200" s="424"/>
    </row>
    <row r="2201" spans="1:34" x14ac:dyDescent="0.25">
      <c r="A2201" s="423" t="s">
        <v>7812</v>
      </c>
      <c r="B2201" s="423" t="s">
        <v>8281</v>
      </c>
      <c r="C2201" s="423" t="s">
        <v>6852</v>
      </c>
      <c r="D2201" s="423" t="s">
        <v>6850</v>
      </c>
      <c r="E2201" s="423" t="s">
        <v>242</v>
      </c>
      <c r="F2201" s="423">
        <v>16</v>
      </c>
      <c r="G2201" s="423">
        <v>74</v>
      </c>
      <c r="H2201" s="423">
        <v>4000</v>
      </c>
      <c r="J2201" s="423"/>
      <c r="K2201" s="423"/>
      <c r="L2201" s="423"/>
      <c r="M2201" s="423"/>
      <c r="Q2201" s="423"/>
      <c r="R2201" s="424" t="s">
        <v>8282</v>
      </c>
      <c r="S2201" s="424" t="s">
        <v>2846</v>
      </c>
      <c r="T2201" s="424" t="s">
        <v>8054</v>
      </c>
      <c r="U2201" s="424">
        <v>0</v>
      </c>
      <c r="V2201" s="424" t="s">
        <v>8155</v>
      </c>
      <c r="W2201" s="424" t="s">
        <v>3074</v>
      </c>
      <c r="X2201" s="424" t="s">
        <v>8141</v>
      </c>
      <c r="Y2201" s="424" t="s">
        <v>2279</v>
      </c>
      <c r="Z2201" s="424" t="s">
        <v>2872</v>
      </c>
      <c r="AA2201" s="424" t="s">
        <v>2873</v>
      </c>
      <c r="AB2201" s="424" t="s">
        <v>6832</v>
      </c>
      <c r="AC2201" s="424" t="s">
        <v>1953</v>
      </c>
      <c r="AD2201" s="424" t="s">
        <v>2892</v>
      </c>
      <c r="AE2201" s="424" t="s">
        <v>2968</v>
      </c>
      <c r="AF2201" s="424"/>
      <c r="AG2201" s="424"/>
      <c r="AH2201" s="424"/>
    </row>
    <row r="2202" spans="1:34" x14ac:dyDescent="0.25">
      <c r="A2202" s="423" t="s">
        <v>7812</v>
      </c>
      <c r="B2202" s="423" t="s">
        <v>8283</v>
      </c>
      <c r="C2202" s="423" t="s">
        <v>6852</v>
      </c>
      <c r="D2202" s="423" t="s">
        <v>6850</v>
      </c>
      <c r="E2202" s="423" t="s">
        <v>242</v>
      </c>
      <c r="F2202" s="423">
        <v>16</v>
      </c>
      <c r="G2202" s="423">
        <v>74</v>
      </c>
      <c r="H2202" s="423">
        <v>1000</v>
      </c>
      <c r="J2202" s="423"/>
      <c r="K2202" s="423"/>
      <c r="L2202" s="423"/>
      <c r="M2202" s="423"/>
      <c r="Q2202" s="423"/>
      <c r="R2202" s="424" t="s">
        <v>8284</v>
      </c>
      <c r="S2202" s="424" t="s">
        <v>2846</v>
      </c>
      <c r="T2202" s="424" t="s">
        <v>8054</v>
      </c>
      <c r="U2202" s="424">
        <v>0</v>
      </c>
      <c r="V2202" s="424" t="s">
        <v>8155</v>
      </c>
      <c r="W2202" s="424" t="s">
        <v>3074</v>
      </c>
      <c r="X2202" s="424" t="s">
        <v>8141</v>
      </c>
      <c r="Y2202" s="424" t="s">
        <v>2279</v>
      </c>
      <c r="Z2202" s="424" t="s">
        <v>2872</v>
      </c>
      <c r="AA2202" s="424" t="s">
        <v>2873</v>
      </c>
      <c r="AB2202" s="424" t="s">
        <v>8128</v>
      </c>
      <c r="AC2202" s="424" t="s">
        <v>1953</v>
      </c>
      <c r="AD2202" s="424" t="s">
        <v>2892</v>
      </c>
      <c r="AE2202" s="424" t="s">
        <v>2968</v>
      </c>
      <c r="AF2202" s="424"/>
      <c r="AG2202" s="424"/>
      <c r="AH2202" s="424"/>
    </row>
    <row r="2203" spans="1:34" x14ac:dyDescent="0.25">
      <c r="A2203" s="423" t="s">
        <v>7812</v>
      </c>
      <c r="B2203" s="423" t="s">
        <v>8285</v>
      </c>
      <c r="C2203" s="423" t="s">
        <v>6852</v>
      </c>
      <c r="D2203" s="423" t="s">
        <v>6850</v>
      </c>
      <c r="E2203" s="423" t="s">
        <v>242</v>
      </c>
      <c r="F2203" s="423">
        <v>16</v>
      </c>
      <c r="G2203" s="423">
        <v>74</v>
      </c>
      <c r="H2203" s="423">
        <v>1000</v>
      </c>
      <c r="J2203" s="423"/>
      <c r="K2203" s="423"/>
      <c r="L2203" s="423"/>
      <c r="M2203" s="423"/>
      <c r="Q2203" s="423"/>
      <c r="R2203" s="424" t="s">
        <v>8286</v>
      </c>
      <c r="S2203" s="424" t="s">
        <v>2846</v>
      </c>
      <c r="T2203" s="424" t="s">
        <v>8054</v>
      </c>
      <c r="U2203" s="424">
        <v>0</v>
      </c>
      <c r="V2203" s="424" t="s">
        <v>8155</v>
      </c>
      <c r="W2203" s="424" t="s">
        <v>3074</v>
      </c>
      <c r="X2203" s="424" t="s">
        <v>8141</v>
      </c>
      <c r="Y2203" s="424" t="s">
        <v>2279</v>
      </c>
      <c r="Z2203" s="424" t="s">
        <v>2872</v>
      </c>
      <c r="AA2203" s="424" t="s">
        <v>2873</v>
      </c>
      <c r="AB2203" s="424" t="s">
        <v>8003</v>
      </c>
      <c r="AC2203" s="424" t="s">
        <v>1953</v>
      </c>
      <c r="AD2203" s="424" t="s">
        <v>2892</v>
      </c>
      <c r="AE2203" s="424" t="s">
        <v>2968</v>
      </c>
      <c r="AF2203" s="424"/>
      <c r="AG2203" s="424"/>
      <c r="AH2203" s="424"/>
    </row>
    <row r="2204" spans="1:34" x14ac:dyDescent="0.25">
      <c r="A2204" s="423" t="s">
        <v>7812</v>
      </c>
      <c r="B2204" s="423" t="s">
        <v>8287</v>
      </c>
      <c r="C2204" s="423" t="s">
        <v>6852</v>
      </c>
      <c r="D2204" s="423" t="s">
        <v>6850</v>
      </c>
      <c r="E2204" s="423" t="s">
        <v>242</v>
      </c>
      <c r="F2204" s="423">
        <v>16</v>
      </c>
      <c r="G2204" s="423">
        <v>74</v>
      </c>
      <c r="H2204" s="423">
        <v>1000</v>
      </c>
      <c r="J2204" s="423"/>
      <c r="K2204" s="423"/>
      <c r="L2204" s="423"/>
      <c r="M2204" s="423"/>
      <c r="Q2204" s="423"/>
      <c r="R2204" s="424" t="s">
        <v>8288</v>
      </c>
      <c r="S2204" s="424" t="s">
        <v>2846</v>
      </c>
      <c r="T2204" s="424" t="s">
        <v>8054</v>
      </c>
      <c r="U2204" s="424">
        <v>0</v>
      </c>
      <c r="V2204" s="424" t="s">
        <v>8155</v>
      </c>
      <c r="W2204" s="424" t="s">
        <v>3074</v>
      </c>
      <c r="X2204" s="424" t="s">
        <v>8141</v>
      </c>
      <c r="Y2204" s="424" t="s">
        <v>2279</v>
      </c>
      <c r="Z2204" s="424" t="s">
        <v>2872</v>
      </c>
      <c r="AA2204" s="424" t="s">
        <v>2873</v>
      </c>
      <c r="AB2204" s="424" t="s">
        <v>8114</v>
      </c>
      <c r="AC2204" s="424" t="s">
        <v>1953</v>
      </c>
      <c r="AD2204" s="424" t="s">
        <v>2892</v>
      </c>
      <c r="AE2204" s="424" t="s">
        <v>3387</v>
      </c>
      <c r="AF2204" s="424"/>
      <c r="AG2204" s="424"/>
      <c r="AH2204" s="424"/>
    </row>
    <row r="2205" spans="1:34" x14ac:dyDescent="0.25">
      <c r="A2205" s="423" t="s">
        <v>7812</v>
      </c>
      <c r="B2205" s="423" t="s">
        <v>8289</v>
      </c>
      <c r="C2205" s="423" t="s">
        <v>6852</v>
      </c>
      <c r="D2205" s="423" t="s">
        <v>6850</v>
      </c>
      <c r="E2205" s="423" t="s">
        <v>242</v>
      </c>
      <c r="F2205" s="423">
        <v>16</v>
      </c>
      <c r="G2205" s="423">
        <v>74</v>
      </c>
      <c r="H2205" s="423">
        <v>1000</v>
      </c>
      <c r="J2205" s="423"/>
      <c r="K2205" s="423"/>
      <c r="L2205" s="423"/>
      <c r="M2205" s="423"/>
      <c r="Q2205" s="423"/>
      <c r="R2205" s="424" t="s">
        <v>8290</v>
      </c>
      <c r="S2205" s="424" t="s">
        <v>2846</v>
      </c>
      <c r="T2205" s="424" t="s">
        <v>8054</v>
      </c>
      <c r="U2205" s="424">
        <v>0</v>
      </c>
      <c r="V2205" s="424" t="s">
        <v>8155</v>
      </c>
      <c r="W2205" s="424" t="s">
        <v>3074</v>
      </c>
      <c r="X2205" s="424" t="s">
        <v>8141</v>
      </c>
      <c r="Y2205" s="424" t="s">
        <v>2279</v>
      </c>
      <c r="Z2205" s="424" t="s">
        <v>2872</v>
      </c>
      <c r="AA2205" s="424" t="s">
        <v>2873</v>
      </c>
      <c r="AB2205" s="424" t="s">
        <v>3092</v>
      </c>
      <c r="AC2205" s="424" t="s">
        <v>1953</v>
      </c>
      <c r="AD2205" s="424" t="s">
        <v>2892</v>
      </c>
      <c r="AE2205" s="424" t="s">
        <v>2968</v>
      </c>
      <c r="AF2205" s="424"/>
      <c r="AG2205" s="424"/>
      <c r="AH2205" s="424"/>
    </row>
    <row r="2206" spans="1:34" x14ac:dyDescent="0.25">
      <c r="A2206" s="423" t="s">
        <v>7812</v>
      </c>
      <c r="B2206" s="423" t="s">
        <v>8291</v>
      </c>
      <c r="C2206" s="423" t="s">
        <v>6852</v>
      </c>
      <c r="D2206" s="423" t="s">
        <v>6850</v>
      </c>
      <c r="E2206" s="423" t="s">
        <v>242</v>
      </c>
      <c r="F2206" s="423">
        <v>16</v>
      </c>
      <c r="G2206" s="423">
        <v>74</v>
      </c>
      <c r="H2206" s="423">
        <v>1000</v>
      </c>
      <c r="J2206" s="423"/>
      <c r="K2206" s="423"/>
      <c r="L2206" s="423"/>
      <c r="M2206" s="423"/>
      <c r="Q2206" s="423"/>
      <c r="R2206" s="424" t="s">
        <v>8292</v>
      </c>
      <c r="S2206" s="424" t="s">
        <v>2846</v>
      </c>
      <c r="T2206" s="424" t="s">
        <v>8054</v>
      </c>
      <c r="U2206" s="424">
        <v>0</v>
      </c>
      <c r="V2206" s="424" t="s">
        <v>8155</v>
      </c>
      <c r="W2206" s="424" t="s">
        <v>3074</v>
      </c>
      <c r="X2206" s="424" t="s">
        <v>8141</v>
      </c>
      <c r="Y2206" s="424" t="s">
        <v>2279</v>
      </c>
      <c r="Z2206" s="424" t="s">
        <v>2872</v>
      </c>
      <c r="AA2206" s="424" t="s">
        <v>2873</v>
      </c>
      <c r="AB2206" s="424" t="s">
        <v>8204</v>
      </c>
      <c r="AC2206" s="424" t="s">
        <v>1953</v>
      </c>
      <c r="AD2206" s="424" t="s">
        <v>2892</v>
      </c>
      <c r="AE2206" s="424" t="s">
        <v>3081</v>
      </c>
      <c r="AF2206" s="424"/>
      <c r="AG2206" s="424"/>
      <c r="AH2206" s="424"/>
    </row>
    <row r="2207" spans="1:34" x14ac:dyDescent="0.25">
      <c r="A2207" s="423" t="s">
        <v>7812</v>
      </c>
      <c r="B2207" s="423" t="s">
        <v>8293</v>
      </c>
      <c r="C2207" s="423" t="s">
        <v>6852</v>
      </c>
      <c r="D2207" s="423" t="s">
        <v>6850</v>
      </c>
      <c r="E2207" s="423" t="s">
        <v>242</v>
      </c>
      <c r="F2207" s="423">
        <v>16</v>
      </c>
      <c r="G2207" s="423">
        <v>74</v>
      </c>
      <c r="H2207" s="423">
        <v>4000</v>
      </c>
      <c r="J2207" s="423"/>
      <c r="K2207" s="423"/>
      <c r="L2207" s="423"/>
      <c r="M2207" s="423"/>
      <c r="Q2207" s="423"/>
      <c r="R2207" s="424" t="s">
        <v>8294</v>
      </c>
      <c r="S2207" s="424" t="s">
        <v>2846</v>
      </c>
      <c r="T2207" s="424" t="s">
        <v>8054</v>
      </c>
      <c r="U2207" s="424">
        <v>0</v>
      </c>
      <c r="V2207" s="424" t="s">
        <v>8155</v>
      </c>
      <c r="W2207" s="424" t="s">
        <v>3074</v>
      </c>
      <c r="X2207" s="424" t="s">
        <v>8141</v>
      </c>
      <c r="Y2207" s="424" t="s">
        <v>2279</v>
      </c>
      <c r="Z2207" s="424" t="s">
        <v>2872</v>
      </c>
      <c r="AA2207" s="424" t="s">
        <v>2873</v>
      </c>
      <c r="AB2207" s="424" t="s">
        <v>7998</v>
      </c>
      <c r="AC2207" s="424" t="s">
        <v>1953</v>
      </c>
      <c r="AD2207" s="424" t="s">
        <v>2892</v>
      </c>
      <c r="AE2207" s="424" t="s">
        <v>3081</v>
      </c>
      <c r="AF2207" s="424"/>
      <c r="AG2207" s="424"/>
      <c r="AH2207" s="424"/>
    </row>
    <row r="2208" spans="1:34" x14ac:dyDescent="0.25">
      <c r="A2208" s="423" t="s">
        <v>7812</v>
      </c>
      <c r="B2208" s="423" t="s">
        <v>8295</v>
      </c>
      <c r="C2208" s="423" t="s">
        <v>6852</v>
      </c>
      <c r="D2208" s="423" t="s">
        <v>6850</v>
      </c>
      <c r="E2208" s="423" t="s">
        <v>242</v>
      </c>
      <c r="F2208" s="423">
        <v>16</v>
      </c>
      <c r="G2208" s="423">
        <v>74</v>
      </c>
      <c r="H2208" s="423">
        <v>4000</v>
      </c>
      <c r="J2208" s="423"/>
      <c r="K2208" s="423"/>
      <c r="L2208" s="423"/>
      <c r="M2208" s="423"/>
      <c r="Q2208" s="423"/>
      <c r="R2208" s="424" t="s">
        <v>8296</v>
      </c>
      <c r="S2208" s="424" t="s">
        <v>2846</v>
      </c>
      <c r="T2208" s="424" t="s">
        <v>8054</v>
      </c>
      <c r="U2208" s="424">
        <v>0</v>
      </c>
      <c r="V2208" s="424" t="s">
        <v>8155</v>
      </c>
      <c r="W2208" s="424" t="s">
        <v>3074</v>
      </c>
      <c r="X2208" s="424" t="s">
        <v>8141</v>
      </c>
      <c r="Y2208" s="424" t="s">
        <v>2279</v>
      </c>
      <c r="Z2208" s="424" t="s">
        <v>2872</v>
      </c>
      <c r="AA2208" s="424" t="s">
        <v>2873</v>
      </c>
      <c r="AB2208" s="424" t="s">
        <v>8276</v>
      </c>
      <c r="AC2208" s="424" t="s">
        <v>1953</v>
      </c>
      <c r="AD2208" s="424" t="s">
        <v>2892</v>
      </c>
      <c r="AE2208" s="424" t="s">
        <v>3081</v>
      </c>
      <c r="AF2208" s="424"/>
      <c r="AG2208" s="424"/>
      <c r="AH2208" s="424"/>
    </row>
    <row r="2209" spans="1:34" x14ac:dyDescent="0.25">
      <c r="A2209" s="423" t="s">
        <v>7812</v>
      </c>
      <c r="B2209" s="423" t="s">
        <v>8297</v>
      </c>
      <c r="C2209" s="423" t="s">
        <v>6852</v>
      </c>
      <c r="D2209" s="423" t="s">
        <v>6850</v>
      </c>
      <c r="E2209" s="423" t="s">
        <v>242</v>
      </c>
      <c r="F2209" s="423">
        <v>16</v>
      </c>
      <c r="G2209" s="423">
        <v>74</v>
      </c>
      <c r="H2209" s="423">
        <v>4000</v>
      </c>
      <c r="J2209" s="423"/>
      <c r="K2209" s="423"/>
      <c r="L2209" s="423"/>
      <c r="M2209" s="423"/>
      <c r="Q2209" s="423"/>
      <c r="R2209" s="424" t="s">
        <v>8298</v>
      </c>
      <c r="S2209" s="424" t="s">
        <v>2846</v>
      </c>
      <c r="T2209" s="424" t="s">
        <v>8054</v>
      </c>
      <c r="U2209" s="424">
        <v>0</v>
      </c>
      <c r="V2209" s="424" t="s">
        <v>8155</v>
      </c>
      <c r="W2209" s="424" t="s">
        <v>3074</v>
      </c>
      <c r="X2209" s="424" t="s">
        <v>8141</v>
      </c>
      <c r="Y2209" s="424" t="s">
        <v>2279</v>
      </c>
      <c r="Z2209" s="424" t="s">
        <v>2872</v>
      </c>
      <c r="AA2209" s="424" t="s">
        <v>2873</v>
      </c>
      <c r="AB2209" s="424" t="s">
        <v>7791</v>
      </c>
      <c r="AC2209" s="424" t="s">
        <v>1953</v>
      </c>
      <c r="AD2209" s="424" t="s">
        <v>2892</v>
      </c>
      <c r="AE2209" s="424" t="s">
        <v>2968</v>
      </c>
      <c r="AF2209" s="424"/>
      <c r="AG2209" s="424"/>
      <c r="AH2209" s="424"/>
    </row>
    <row r="2210" spans="1:34" x14ac:dyDescent="0.25">
      <c r="A2210" s="423" t="s">
        <v>7812</v>
      </c>
      <c r="B2210" s="423" t="s">
        <v>8299</v>
      </c>
      <c r="C2210" s="423" t="s">
        <v>6852</v>
      </c>
      <c r="D2210" s="423" t="s">
        <v>6850</v>
      </c>
      <c r="E2210" s="423" t="s">
        <v>242</v>
      </c>
      <c r="F2210" s="423">
        <v>16</v>
      </c>
      <c r="G2210" s="423">
        <v>74</v>
      </c>
      <c r="H2210" s="423">
        <v>4000</v>
      </c>
      <c r="J2210" s="423"/>
      <c r="K2210" s="423"/>
      <c r="L2210" s="423"/>
      <c r="M2210" s="423"/>
      <c r="Q2210" s="423"/>
      <c r="R2210" s="424" t="s">
        <v>8300</v>
      </c>
      <c r="S2210" s="424" t="s">
        <v>2846</v>
      </c>
      <c r="T2210" s="424" t="s">
        <v>8054</v>
      </c>
      <c r="U2210" s="424">
        <v>0</v>
      </c>
      <c r="V2210" s="424" t="s">
        <v>8155</v>
      </c>
      <c r="W2210" s="424" t="s">
        <v>3074</v>
      </c>
      <c r="X2210" s="424" t="s">
        <v>8141</v>
      </c>
      <c r="Y2210" s="424" t="s">
        <v>2279</v>
      </c>
      <c r="Z2210" s="424" t="s">
        <v>2872</v>
      </c>
      <c r="AA2210" s="424" t="s">
        <v>2873</v>
      </c>
      <c r="AB2210" s="424" t="s">
        <v>7993</v>
      </c>
      <c r="AC2210" s="424" t="s">
        <v>1953</v>
      </c>
      <c r="AD2210" s="424" t="s">
        <v>2892</v>
      </c>
      <c r="AE2210" s="424" t="s">
        <v>3081</v>
      </c>
      <c r="AF2210" s="424"/>
      <c r="AG2210" s="424"/>
      <c r="AH2210" s="424"/>
    </row>
    <row r="2211" spans="1:34" x14ac:dyDescent="0.25">
      <c r="A2211" s="423" t="s">
        <v>7812</v>
      </c>
      <c r="B2211" s="423" t="s">
        <v>8301</v>
      </c>
      <c r="C2211" s="423" t="s">
        <v>6852</v>
      </c>
      <c r="D2211" s="423" t="s">
        <v>6850</v>
      </c>
      <c r="E2211" s="423" t="s">
        <v>242</v>
      </c>
      <c r="F2211" s="423">
        <v>8</v>
      </c>
      <c r="G2211" s="423">
        <v>32</v>
      </c>
      <c r="H2211" s="423">
        <v>300</v>
      </c>
      <c r="J2211" s="423"/>
      <c r="K2211" s="423"/>
      <c r="L2211" s="423"/>
      <c r="M2211" s="423"/>
      <c r="Q2211" s="423"/>
      <c r="R2211" s="424" t="s">
        <v>8302</v>
      </c>
      <c r="S2211" s="424" t="s">
        <v>2846</v>
      </c>
      <c r="T2211" s="424" t="s">
        <v>3356</v>
      </c>
      <c r="U2211" s="424">
        <v>0</v>
      </c>
      <c r="V2211" s="424" t="s">
        <v>8155</v>
      </c>
      <c r="W2211" s="424" t="s">
        <v>2974</v>
      </c>
      <c r="X2211" s="424" t="s">
        <v>8141</v>
      </c>
      <c r="Y2211" s="424" t="s">
        <v>2279</v>
      </c>
      <c r="Z2211" s="424" t="s">
        <v>2889</v>
      </c>
      <c r="AA2211" s="424" t="s">
        <v>2890</v>
      </c>
      <c r="AB2211" s="424" t="s">
        <v>8303</v>
      </c>
      <c r="AC2211" s="424" t="s">
        <v>1953</v>
      </c>
      <c r="AD2211" s="424" t="s">
        <v>2892</v>
      </c>
      <c r="AE2211" s="424" t="s">
        <v>4679</v>
      </c>
      <c r="AF2211" s="424"/>
      <c r="AG2211" s="424"/>
      <c r="AH2211" s="424"/>
    </row>
    <row r="2212" spans="1:34" x14ac:dyDescent="0.25">
      <c r="A2212" s="423" t="s">
        <v>7812</v>
      </c>
      <c r="B2212" s="423" t="s">
        <v>8304</v>
      </c>
      <c r="C2212" s="423" t="s">
        <v>6852</v>
      </c>
      <c r="D2212" s="423" t="s">
        <v>6850</v>
      </c>
      <c r="E2212" s="423" t="s">
        <v>242</v>
      </c>
      <c r="F2212" s="423">
        <v>8</v>
      </c>
      <c r="G2212" s="423">
        <v>32</v>
      </c>
      <c r="H2212" s="423">
        <v>300</v>
      </c>
      <c r="J2212" s="423"/>
      <c r="K2212" s="423"/>
      <c r="L2212" s="423"/>
      <c r="M2212" s="423"/>
      <c r="Q2212" s="423"/>
      <c r="R2212" s="424" t="s">
        <v>8305</v>
      </c>
      <c r="S2212" s="424" t="s">
        <v>2846</v>
      </c>
      <c r="T2212" s="424" t="s">
        <v>3356</v>
      </c>
      <c r="U2212" s="424">
        <v>0</v>
      </c>
      <c r="V2212" s="424" t="s">
        <v>8155</v>
      </c>
      <c r="W2212" s="424" t="s">
        <v>2974</v>
      </c>
      <c r="X2212" s="424" t="s">
        <v>8141</v>
      </c>
      <c r="Y2212" s="424" t="s">
        <v>2279</v>
      </c>
      <c r="Z2212" s="424" t="s">
        <v>2889</v>
      </c>
      <c r="AA2212" s="424" t="s">
        <v>2890</v>
      </c>
      <c r="AB2212" s="424" t="s">
        <v>8306</v>
      </c>
      <c r="AC2212" s="424" t="s">
        <v>1953</v>
      </c>
      <c r="AD2212" s="424" t="s">
        <v>2892</v>
      </c>
      <c r="AE2212" s="424" t="s">
        <v>4641</v>
      </c>
      <c r="AF2212" s="424"/>
      <c r="AG2212" s="424"/>
      <c r="AH2212" s="424"/>
    </row>
    <row r="2213" spans="1:34" x14ac:dyDescent="0.25">
      <c r="A2213" s="423" t="s">
        <v>7812</v>
      </c>
      <c r="B2213" s="423" t="s">
        <v>8307</v>
      </c>
      <c r="C2213" s="423" t="s">
        <v>6852</v>
      </c>
      <c r="D2213" s="423" t="s">
        <v>6850</v>
      </c>
      <c r="E2213" s="423" t="s">
        <v>242</v>
      </c>
      <c r="F2213" s="423">
        <v>8</v>
      </c>
      <c r="G2213" s="423">
        <v>32</v>
      </c>
      <c r="H2213" s="423">
        <v>300</v>
      </c>
      <c r="J2213" s="423"/>
      <c r="K2213" s="423"/>
      <c r="L2213" s="423"/>
      <c r="M2213" s="423"/>
      <c r="Q2213" s="423"/>
      <c r="R2213" s="424" t="s">
        <v>8308</v>
      </c>
      <c r="S2213" s="424" t="s">
        <v>2846</v>
      </c>
      <c r="T2213" s="424" t="s">
        <v>3356</v>
      </c>
      <c r="U2213" s="424">
        <v>0</v>
      </c>
      <c r="V2213" s="424" t="s">
        <v>8155</v>
      </c>
      <c r="W2213" s="424" t="s">
        <v>2974</v>
      </c>
      <c r="X2213" s="424" t="s">
        <v>8141</v>
      </c>
      <c r="Y2213" s="424" t="s">
        <v>2279</v>
      </c>
      <c r="Z2213" s="424" t="s">
        <v>2889</v>
      </c>
      <c r="AA2213" s="424" t="s">
        <v>2890</v>
      </c>
      <c r="AB2213" s="424" t="s">
        <v>4687</v>
      </c>
      <c r="AC2213" s="424" t="s">
        <v>1953</v>
      </c>
      <c r="AD2213" s="424" t="s">
        <v>2892</v>
      </c>
      <c r="AE2213" s="424" t="s">
        <v>4645</v>
      </c>
      <c r="AF2213" s="424"/>
      <c r="AG2213" s="424"/>
      <c r="AH2213" s="424"/>
    </row>
    <row r="2214" spans="1:34" x14ac:dyDescent="0.25">
      <c r="A2214" s="423" t="s">
        <v>7812</v>
      </c>
      <c r="B2214" s="423" t="s">
        <v>8309</v>
      </c>
      <c r="C2214" s="423" t="s">
        <v>6852</v>
      </c>
      <c r="D2214" s="423" t="s">
        <v>6850</v>
      </c>
      <c r="E2214" s="423" t="s">
        <v>242</v>
      </c>
      <c r="F2214" s="423">
        <v>8</v>
      </c>
      <c r="G2214" s="423">
        <v>32</v>
      </c>
      <c r="H2214" s="423">
        <v>300</v>
      </c>
      <c r="J2214" s="423"/>
      <c r="K2214" s="423"/>
      <c r="L2214" s="423"/>
      <c r="M2214" s="423"/>
      <c r="Q2214" s="423"/>
      <c r="R2214" s="424" t="s">
        <v>8310</v>
      </c>
      <c r="S2214" s="424" t="s">
        <v>2846</v>
      </c>
      <c r="T2214" s="424" t="s">
        <v>3356</v>
      </c>
      <c r="U2214" s="424">
        <v>0</v>
      </c>
      <c r="V2214" s="424" t="s">
        <v>8155</v>
      </c>
      <c r="W2214" s="424" t="s">
        <v>2974</v>
      </c>
      <c r="X2214" s="424" t="s">
        <v>8141</v>
      </c>
      <c r="Y2214" s="424" t="s">
        <v>2279</v>
      </c>
      <c r="Z2214" s="424" t="s">
        <v>2889</v>
      </c>
      <c r="AA2214" s="424" t="s">
        <v>2890</v>
      </c>
      <c r="AB2214" s="424" t="s">
        <v>4733</v>
      </c>
      <c r="AC2214" s="424" t="s">
        <v>1953</v>
      </c>
      <c r="AD2214" s="424" t="s">
        <v>2892</v>
      </c>
      <c r="AE2214" s="424" t="s">
        <v>4641</v>
      </c>
      <c r="AF2214" s="424"/>
      <c r="AG2214" s="424"/>
      <c r="AH2214" s="424"/>
    </row>
    <row r="2215" spans="1:34" x14ac:dyDescent="0.25">
      <c r="A2215" s="423" t="s">
        <v>7812</v>
      </c>
      <c r="B2215" s="423" t="s">
        <v>8311</v>
      </c>
      <c r="C2215" s="423" t="s">
        <v>6852</v>
      </c>
      <c r="D2215" s="423" t="s">
        <v>6850</v>
      </c>
      <c r="E2215" s="423" t="s">
        <v>242</v>
      </c>
      <c r="F2215" s="423">
        <v>8</v>
      </c>
      <c r="G2215" s="423">
        <v>32</v>
      </c>
      <c r="H2215" s="423">
        <v>300</v>
      </c>
      <c r="J2215" s="423"/>
      <c r="K2215" s="423"/>
      <c r="L2215" s="423"/>
      <c r="M2215" s="423"/>
      <c r="Q2215" s="423"/>
      <c r="R2215" s="424" t="s">
        <v>8312</v>
      </c>
      <c r="S2215" s="424" t="s">
        <v>2846</v>
      </c>
      <c r="T2215" s="424" t="s">
        <v>3356</v>
      </c>
      <c r="U2215" s="424">
        <v>0</v>
      </c>
      <c r="V2215" s="424" t="s">
        <v>8155</v>
      </c>
      <c r="W2215" s="424" t="s">
        <v>2974</v>
      </c>
      <c r="X2215" s="424" t="s">
        <v>8141</v>
      </c>
      <c r="Y2215" s="424" t="s">
        <v>2279</v>
      </c>
      <c r="Z2215" s="424" t="s">
        <v>2889</v>
      </c>
      <c r="AA2215" s="424" t="s">
        <v>2890</v>
      </c>
      <c r="AB2215" s="424" t="s">
        <v>8313</v>
      </c>
      <c r="AC2215" s="424" t="s">
        <v>1953</v>
      </c>
      <c r="AD2215" s="424" t="s">
        <v>2892</v>
      </c>
      <c r="AE2215" s="424" t="s">
        <v>2893</v>
      </c>
      <c r="AF2215" s="424"/>
      <c r="AG2215" s="424"/>
      <c r="AH2215" s="424"/>
    </row>
    <row r="2216" spans="1:34" x14ac:dyDescent="0.25">
      <c r="A2216" s="423" t="s">
        <v>7812</v>
      </c>
      <c r="B2216" s="423" t="s">
        <v>8314</v>
      </c>
      <c r="C2216" s="423" t="s">
        <v>6852</v>
      </c>
      <c r="D2216" s="423" t="s">
        <v>6850</v>
      </c>
      <c r="E2216" s="423" t="s">
        <v>242</v>
      </c>
      <c r="F2216" s="423">
        <v>8</v>
      </c>
      <c r="G2216" s="423">
        <v>32</v>
      </c>
      <c r="H2216" s="423">
        <v>300</v>
      </c>
      <c r="J2216" s="423"/>
      <c r="K2216" s="423"/>
      <c r="L2216" s="423"/>
      <c r="M2216" s="423"/>
      <c r="Q2216" s="423"/>
      <c r="R2216" s="424" t="s">
        <v>8315</v>
      </c>
      <c r="S2216" s="424" t="s">
        <v>2846</v>
      </c>
      <c r="T2216" s="424" t="s">
        <v>3356</v>
      </c>
      <c r="U2216" s="424">
        <v>0</v>
      </c>
      <c r="V2216" s="424" t="s">
        <v>8155</v>
      </c>
      <c r="W2216" s="424" t="s">
        <v>2974</v>
      </c>
      <c r="X2216" s="424" t="s">
        <v>8141</v>
      </c>
      <c r="Y2216" s="424" t="s">
        <v>2279</v>
      </c>
      <c r="Z2216" s="424" t="s">
        <v>2889</v>
      </c>
      <c r="AA2216" s="424" t="s">
        <v>2890</v>
      </c>
      <c r="AB2216" s="424" t="s">
        <v>4738</v>
      </c>
      <c r="AC2216" s="424" t="s">
        <v>1953</v>
      </c>
      <c r="AD2216" s="424" t="s">
        <v>2892</v>
      </c>
      <c r="AE2216" s="424" t="s">
        <v>4610</v>
      </c>
      <c r="AF2216" s="424"/>
      <c r="AG2216" s="424"/>
      <c r="AH2216" s="424"/>
    </row>
    <row r="2217" spans="1:34" x14ac:dyDescent="0.25">
      <c r="A2217" s="423" t="s">
        <v>7812</v>
      </c>
      <c r="B2217" s="423" t="s">
        <v>8316</v>
      </c>
      <c r="C2217" s="423" t="s">
        <v>6852</v>
      </c>
      <c r="D2217" s="423" t="s">
        <v>6850</v>
      </c>
      <c r="E2217" s="423" t="s">
        <v>242</v>
      </c>
      <c r="F2217" s="423">
        <v>8</v>
      </c>
      <c r="G2217" s="423">
        <v>32</v>
      </c>
      <c r="H2217" s="423">
        <v>300</v>
      </c>
      <c r="J2217" s="423"/>
      <c r="K2217" s="423"/>
      <c r="L2217" s="423"/>
      <c r="M2217" s="423"/>
      <c r="Q2217" s="423"/>
      <c r="R2217" s="424" t="s">
        <v>8317</v>
      </c>
      <c r="S2217" s="424" t="s">
        <v>2846</v>
      </c>
      <c r="T2217" s="424" t="s">
        <v>3356</v>
      </c>
      <c r="U2217" s="424">
        <v>0</v>
      </c>
      <c r="V2217" s="424" t="s">
        <v>8155</v>
      </c>
      <c r="W2217" s="424" t="s">
        <v>3176</v>
      </c>
      <c r="X2217" s="424" t="s">
        <v>8141</v>
      </c>
      <c r="Y2217" s="424" t="s">
        <v>2279</v>
      </c>
      <c r="Z2217" s="424" t="s">
        <v>2889</v>
      </c>
      <c r="AA2217" s="424" t="s">
        <v>2890</v>
      </c>
      <c r="AB2217" s="424" t="s">
        <v>8318</v>
      </c>
      <c r="AC2217" s="424" t="s">
        <v>1953</v>
      </c>
      <c r="AD2217" s="424" t="s">
        <v>2892</v>
      </c>
      <c r="AE2217" s="424" t="s">
        <v>4631</v>
      </c>
      <c r="AF2217" s="424"/>
      <c r="AG2217" s="424"/>
      <c r="AH2217" s="424"/>
    </row>
    <row r="2218" spans="1:34" x14ac:dyDescent="0.25">
      <c r="A2218" s="423" t="s">
        <v>7812</v>
      </c>
      <c r="B2218" s="423" t="s">
        <v>8319</v>
      </c>
      <c r="C2218" s="423" t="s">
        <v>6852</v>
      </c>
      <c r="D2218" s="423" t="s">
        <v>6850</v>
      </c>
      <c r="E2218" s="423" t="s">
        <v>242</v>
      </c>
      <c r="F2218" s="423">
        <v>8</v>
      </c>
      <c r="G2218" s="423">
        <v>32</v>
      </c>
      <c r="H2218" s="423">
        <v>300</v>
      </c>
      <c r="J2218" s="423"/>
      <c r="K2218" s="423"/>
      <c r="L2218" s="423"/>
      <c r="M2218" s="423"/>
      <c r="Q2218" s="423"/>
      <c r="R2218" s="424" t="s">
        <v>8320</v>
      </c>
      <c r="S2218" s="424" t="s">
        <v>2846</v>
      </c>
      <c r="T2218" s="424" t="s">
        <v>3356</v>
      </c>
      <c r="U2218" s="424">
        <v>0</v>
      </c>
      <c r="V2218" s="424" t="s">
        <v>8155</v>
      </c>
      <c r="W2218" s="424" t="s">
        <v>2871</v>
      </c>
      <c r="X2218" s="424" t="s">
        <v>8141</v>
      </c>
      <c r="Y2218" s="424" t="s">
        <v>2279</v>
      </c>
      <c r="Z2218" s="424" t="s">
        <v>2889</v>
      </c>
      <c r="AA2218" s="424" t="s">
        <v>2890</v>
      </c>
      <c r="AB2218" s="424" t="s">
        <v>8321</v>
      </c>
      <c r="AC2218" s="424" t="s">
        <v>1953</v>
      </c>
      <c r="AD2218" s="424" t="s">
        <v>2892</v>
      </c>
      <c r="AE2218" s="424" t="s">
        <v>4631</v>
      </c>
      <c r="AF2218" s="424"/>
      <c r="AG2218" s="424"/>
      <c r="AH2218" s="424"/>
    </row>
    <row r="2219" spans="1:34" x14ac:dyDescent="0.25">
      <c r="A2219" s="423" t="s">
        <v>7812</v>
      </c>
      <c r="B2219" s="423" t="s">
        <v>8322</v>
      </c>
      <c r="C2219" s="423" t="s">
        <v>6852</v>
      </c>
      <c r="D2219" s="423" t="s">
        <v>6850</v>
      </c>
      <c r="E2219" s="423" t="s">
        <v>242</v>
      </c>
      <c r="F2219" s="423">
        <v>8</v>
      </c>
      <c r="G2219" s="423">
        <v>32</v>
      </c>
      <c r="H2219" s="423">
        <v>300</v>
      </c>
      <c r="J2219" s="423"/>
      <c r="K2219" s="423"/>
      <c r="L2219" s="423"/>
      <c r="M2219" s="423"/>
      <c r="Q2219" s="423"/>
      <c r="R2219" s="424" t="s">
        <v>8323</v>
      </c>
      <c r="S2219" s="424" t="s">
        <v>2846</v>
      </c>
      <c r="T2219" s="424" t="s">
        <v>3356</v>
      </c>
      <c r="U2219" s="424">
        <v>0</v>
      </c>
      <c r="V2219" s="424" t="s">
        <v>8155</v>
      </c>
      <c r="W2219" s="424" t="s">
        <v>3176</v>
      </c>
      <c r="X2219" s="424" t="s">
        <v>8141</v>
      </c>
      <c r="Y2219" s="424" t="s">
        <v>2279</v>
      </c>
      <c r="Z2219" s="424" t="s">
        <v>2889</v>
      </c>
      <c r="AA2219" s="424" t="s">
        <v>2890</v>
      </c>
      <c r="AB2219" s="424" t="s">
        <v>4637</v>
      </c>
      <c r="AC2219" s="424" t="s">
        <v>1953</v>
      </c>
      <c r="AD2219" s="424" t="s">
        <v>2892</v>
      </c>
      <c r="AE2219" s="424" t="s">
        <v>4631</v>
      </c>
      <c r="AF2219" s="424"/>
      <c r="AG2219" s="424"/>
      <c r="AH2219" s="424"/>
    </row>
    <row r="2220" spans="1:34" x14ac:dyDescent="0.25">
      <c r="A2220" s="423" t="s">
        <v>7812</v>
      </c>
      <c r="B2220" s="423" t="s">
        <v>8324</v>
      </c>
      <c r="C2220" s="423" t="s">
        <v>6852</v>
      </c>
      <c r="D2220" s="423" t="s">
        <v>6850</v>
      </c>
      <c r="E2220" s="423" t="s">
        <v>242</v>
      </c>
      <c r="F2220" s="423">
        <v>8</v>
      </c>
      <c r="G2220" s="423">
        <v>32</v>
      </c>
      <c r="H2220" s="423">
        <v>300</v>
      </c>
      <c r="J2220" s="423"/>
      <c r="K2220" s="423"/>
      <c r="L2220" s="423"/>
      <c r="M2220" s="423"/>
      <c r="Q2220" s="423"/>
      <c r="R2220" s="424" t="s">
        <v>8325</v>
      </c>
      <c r="S2220" s="424" t="s">
        <v>2846</v>
      </c>
      <c r="T2220" s="424" t="s">
        <v>3356</v>
      </c>
      <c r="U2220" s="424">
        <v>0</v>
      </c>
      <c r="V2220" s="424" t="s">
        <v>8155</v>
      </c>
      <c r="W2220" s="424" t="s">
        <v>2974</v>
      </c>
      <c r="X2220" s="424" t="s">
        <v>8141</v>
      </c>
      <c r="Y2220" s="424" t="s">
        <v>2279</v>
      </c>
      <c r="Z2220" s="424" t="s">
        <v>2889</v>
      </c>
      <c r="AA2220" s="424" t="s">
        <v>2890</v>
      </c>
      <c r="AB2220" s="424" t="s">
        <v>8313</v>
      </c>
      <c r="AC2220" s="424" t="s">
        <v>1953</v>
      </c>
      <c r="AD2220" s="424" t="s">
        <v>2892</v>
      </c>
      <c r="AE2220" s="424" t="s">
        <v>2893</v>
      </c>
      <c r="AF2220" s="424"/>
      <c r="AG2220" s="424"/>
      <c r="AH2220" s="424"/>
    </row>
    <row r="2221" spans="1:34" x14ac:dyDescent="0.25">
      <c r="A2221" s="423" t="s">
        <v>7812</v>
      </c>
      <c r="B2221" s="423" t="s">
        <v>8326</v>
      </c>
      <c r="C2221" s="423" t="s">
        <v>6852</v>
      </c>
      <c r="D2221" s="423" t="s">
        <v>6850</v>
      </c>
      <c r="E2221" s="423" t="s">
        <v>242</v>
      </c>
      <c r="F2221" s="423">
        <v>8</v>
      </c>
      <c r="G2221" s="423">
        <v>32</v>
      </c>
      <c r="H2221" s="423">
        <v>300</v>
      </c>
      <c r="J2221" s="423"/>
      <c r="K2221" s="423"/>
      <c r="L2221" s="423"/>
      <c r="M2221" s="423"/>
      <c r="Q2221" s="423"/>
      <c r="R2221" s="424" t="s">
        <v>8327</v>
      </c>
      <c r="S2221" s="424" t="s">
        <v>2846</v>
      </c>
      <c r="T2221" s="424" t="s">
        <v>3356</v>
      </c>
      <c r="U2221" s="424">
        <v>0</v>
      </c>
      <c r="V2221" s="424" t="s">
        <v>8155</v>
      </c>
      <c r="W2221" s="424" t="s">
        <v>2974</v>
      </c>
      <c r="X2221" s="424" t="s">
        <v>8141</v>
      </c>
      <c r="Y2221" s="424" t="s">
        <v>2279</v>
      </c>
      <c r="Z2221" s="424" t="s">
        <v>2889</v>
      </c>
      <c r="AA2221" s="424" t="s">
        <v>2890</v>
      </c>
      <c r="AB2221" s="424" t="s">
        <v>7898</v>
      </c>
      <c r="AC2221" s="424" t="s">
        <v>1953</v>
      </c>
      <c r="AD2221" s="424" t="s">
        <v>2892</v>
      </c>
      <c r="AE2221" s="424" t="s">
        <v>4645</v>
      </c>
      <c r="AF2221" s="424"/>
      <c r="AG2221" s="424"/>
      <c r="AH2221" s="424"/>
    </row>
    <row r="2222" spans="1:34" x14ac:dyDescent="0.25">
      <c r="A2222" s="423" t="s">
        <v>7812</v>
      </c>
      <c r="B2222" s="423" t="s">
        <v>8328</v>
      </c>
      <c r="C2222" s="423" t="s">
        <v>6852</v>
      </c>
      <c r="D2222" s="423" t="s">
        <v>6850</v>
      </c>
      <c r="E2222" s="423" t="s">
        <v>242</v>
      </c>
      <c r="F2222" s="423">
        <v>8</v>
      </c>
      <c r="G2222" s="423">
        <v>32</v>
      </c>
      <c r="H2222" s="423">
        <v>300</v>
      </c>
      <c r="J2222" s="423"/>
      <c r="K2222" s="423"/>
      <c r="L2222" s="423"/>
      <c r="M2222" s="423"/>
      <c r="Q2222" s="423"/>
      <c r="R2222" s="424" t="s">
        <v>8329</v>
      </c>
      <c r="S2222" s="424" t="s">
        <v>2846</v>
      </c>
      <c r="T2222" s="424" t="s">
        <v>3356</v>
      </c>
      <c r="U2222" s="424">
        <v>0</v>
      </c>
      <c r="V2222" s="424" t="s">
        <v>8155</v>
      </c>
      <c r="W2222" s="424" t="s">
        <v>2974</v>
      </c>
      <c r="X2222" s="424" t="s">
        <v>8141</v>
      </c>
      <c r="Y2222" s="424" t="s">
        <v>2279</v>
      </c>
      <c r="Z2222" s="424" t="s">
        <v>2889</v>
      </c>
      <c r="AA2222" s="424" t="s">
        <v>2890</v>
      </c>
      <c r="AB2222" s="424" t="s">
        <v>4727</v>
      </c>
      <c r="AC2222" s="424" t="s">
        <v>1953</v>
      </c>
      <c r="AD2222" s="424" t="s">
        <v>2892</v>
      </c>
      <c r="AE2222" s="424" t="s">
        <v>4641</v>
      </c>
      <c r="AF2222" s="424"/>
      <c r="AG2222" s="424"/>
      <c r="AH2222" s="424"/>
    </row>
    <row r="2223" spans="1:34" x14ac:dyDescent="0.25">
      <c r="A2223" s="423" t="s">
        <v>7812</v>
      </c>
      <c r="B2223" s="423" t="s">
        <v>8330</v>
      </c>
      <c r="C2223" s="423" t="s">
        <v>6852</v>
      </c>
      <c r="D2223" s="423" t="s">
        <v>6850</v>
      </c>
      <c r="E2223" s="423" t="s">
        <v>242</v>
      </c>
      <c r="F2223" s="423">
        <v>8</v>
      </c>
      <c r="G2223" s="423">
        <v>32</v>
      </c>
      <c r="H2223" s="423">
        <v>300</v>
      </c>
      <c r="J2223" s="423"/>
      <c r="K2223" s="423"/>
      <c r="L2223" s="423"/>
      <c r="M2223" s="423"/>
      <c r="Q2223" s="423"/>
      <c r="R2223" s="424" t="s">
        <v>8331</v>
      </c>
      <c r="S2223" s="424" t="s">
        <v>2846</v>
      </c>
      <c r="T2223" s="424" t="s">
        <v>3356</v>
      </c>
      <c r="U2223" s="424">
        <v>0</v>
      </c>
      <c r="V2223" s="424" t="s">
        <v>8155</v>
      </c>
      <c r="W2223" s="424" t="s">
        <v>2974</v>
      </c>
      <c r="X2223" s="424" t="s">
        <v>8141</v>
      </c>
      <c r="Y2223" s="424" t="s">
        <v>2279</v>
      </c>
      <c r="Z2223" s="424" t="s">
        <v>2889</v>
      </c>
      <c r="AA2223" s="424" t="s">
        <v>2890</v>
      </c>
      <c r="AB2223" s="424" t="s">
        <v>5204</v>
      </c>
      <c r="AC2223" s="424" t="s">
        <v>1953</v>
      </c>
      <c r="AD2223" s="424" t="s">
        <v>2892</v>
      </c>
      <c r="AE2223" s="424" t="s">
        <v>4610</v>
      </c>
      <c r="AF2223" s="424"/>
      <c r="AG2223" s="424"/>
      <c r="AH2223" s="424"/>
    </row>
    <row r="2224" spans="1:34" x14ac:dyDescent="0.25">
      <c r="A2224" s="423" t="s">
        <v>7812</v>
      </c>
      <c r="B2224" s="423" t="s">
        <v>8332</v>
      </c>
      <c r="C2224" s="423" t="s">
        <v>6852</v>
      </c>
      <c r="D2224" s="423" t="s">
        <v>6850</v>
      </c>
      <c r="E2224" s="423" t="s">
        <v>242</v>
      </c>
      <c r="F2224" s="423">
        <v>8</v>
      </c>
      <c r="G2224" s="423">
        <v>32</v>
      </c>
      <c r="H2224" s="423">
        <v>300</v>
      </c>
      <c r="J2224" s="423"/>
      <c r="K2224" s="423"/>
      <c r="L2224" s="423"/>
      <c r="M2224" s="423"/>
      <c r="Q2224" s="423"/>
      <c r="R2224" s="424" t="s">
        <v>8333</v>
      </c>
      <c r="S2224" s="424" t="s">
        <v>2846</v>
      </c>
      <c r="T2224" s="424" t="s">
        <v>3356</v>
      </c>
      <c r="U2224" s="424">
        <v>0</v>
      </c>
      <c r="V2224" s="424" t="s">
        <v>8155</v>
      </c>
      <c r="W2224" s="424" t="s">
        <v>2974</v>
      </c>
      <c r="X2224" s="424" t="s">
        <v>8141</v>
      </c>
      <c r="Y2224" s="424" t="s">
        <v>2279</v>
      </c>
      <c r="Z2224" s="424" t="s">
        <v>2889</v>
      </c>
      <c r="AA2224" s="424" t="s">
        <v>2890</v>
      </c>
      <c r="AB2224" s="424" t="s">
        <v>8303</v>
      </c>
      <c r="AC2224" s="424" t="s">
        <v>1953</v>
      </c>
      <c r="AD2224" s="424" t="s">
        <v>2892</v>
      </c>
      <c r="AE2224" s="424" t="s">
        <v>4679</v>
      </c>
      <c r="AF2224" s="424"/>
      <c r="AG2224" s="424"/>
      <c r="AH2224" s="424"/>
    </row>
    <row r="2225" spans="1:34" x14ac:dyDescent="0.25">
      <c r="A2225" s="423" t="s">
        <v>7812</v>
      </c>
      <c r="B2225" s="423" t="s">
        <v>8334</v>
      </c>
      <c r="C2225" s="423" t="s">
        <v>6852</v>
      </c>
      <c r="D2225" s="423" t="s">
        <v>6850</v>
      </c>
      <c r="E2225" s="423" t="s">
        <v>242</v>
      </c>
      <c r="F2225" s="423">
        <v>8</v>
      </c>
      <c r="G2225" s="423">
        <v>32</v>
      </c>
      <c r="H2225" s="423">
        <v>300</v>
      </c>
      <c r="J2225" s="423"/>
      <c r="K2225" s="423"/>
      <c r="L2225" s="423"/>
      <c r="M2225" s="423"/>
      <c r="Q2225" s="423"/>
      <c r="R2225" s="424" t="s">
        <v>8335</v>
      </c>
      <c r="S2225" s="424" t="s">
        <v>2846</v>
      </c>
      <c r="T2225" s="424" t="s">
        <v>3356</v>
      </c>
      <c r="U2225" s="424">
        <v>0</v>
      </c>
      <c r="V2225" s="424" t="s">
        <v>8155</v>
      </c>
      <c r="W2225" s="424" t="s">
        <v>2871</v>
      </c>
      <c r="X2225" s="424" t="s">
        <v>8141</v>
      </c>
      <c r="Y2225" s="424" t="s">
        <v>2279</v>
      </c>
      <c r="Z2225" s="424" t="s">
        <v>2889</v>
      </c>
      <c r="AA2225" s="424" t="s">
        <v>2890</v>
      </c>
      <c r="AB2225" s="424" t="s">
        <v>4630</v>
      </c>
      <c r="AC2225" s="424" t="s">
        <v>1953</v>
      </c>
      <c r="AD2225" s="424" t="s">
        <v>2892</v>
      </c>
      <c r="AE2225" s="424" t="s">
        <v>4631</v>
      </c>
      <c r="AF2225" s="424"/>
      <c r="AG2225" s="424"/>
      <c r="AH2225" s="424"/>
    </row>
    <row r="2226" spans="1:34" x14ac:dyDescent="0.25">
      <c r="A2226" s="423" t="s">
        <v>7812</v>
      </c>
      <c r="B2226" s="423" t="s">
        <v>8336</v>
      </c>
      <c r="C2226" s="423" t="s">
        <v>6852</v>
      </c>
      <c r="D2226" s="423" t="s">
        <v>6850</v>
      </c>
      <c r="E2226" s="423" t="s">
        <v>242</v>
      </c>
      <c r="F2226" s="423">
        <v>8</v>
      </c>
      <c r="G2226" s="423">
        <v>32</v>
      </c>
      <c r="H2226" s="423">
        <v>300</v>
      </c>
      <c r="J2226" s="423"/>
      <c r="K2226" s="423"/>
      <c r="L2226" s="423"/>
      <c r="M2226" s="423"/>
      <c r="Q2226" s="423"/>
      <c r="R2226" s="424" t="s">
        <v>8337</v>
      </c>
      <c r="S2226" s="424" t="s">
        <v>2846</v>
      </c>
      <c r="T2226" s="424" t="s">
        <v>3356</v>
      </c>
      <c r="U2226" s="424">
        <v>0</v>
      </c>
      <c r="V2226" s="424" t="s">
        <v>8155</v>
      </c>
      <c r="W2226" s="424" t="s">
        <v>2974</v>
      </c>
      <c r="X2226" s="424" t="s">
        <v>8141</v>
      </c>
      <c r="Y2226" s="424" t="s">
        <v>2279</v>
      </c>
      <c r="Z2226" s="424" t="s">
        <v>2889</v>
      </c>
      <c r="AA2226" s="424" t="s">
        <v>2890</v>
      </c>
      <c r="AB2226" s="424" t="s">
        <v>5186</v>
      </c>
      <c r="AC2226" s="424" t="s">
        <v>1953</v>
      </c>
      <c r="AD2226" s="424" t="s">
        <v>2892</v>
      </c>
      <c r="AE2226" s="424" t="s">
        <v>4645</v>
      </c>
      <c r="AF2226" s="424"/>
      <c r="AG2226" s="424"/>
      <c r="AH2226" s="424"/>
    </row>
    <row r="2227" spans="1:34" x14ac:dyDescent="0.25">
      <c r="A2227" s="423" t="s">
        <v>7812</v>
      </c>
      <c r="B2227" s="423" t="s">
        <v>8338</v>
      </c>
      <c r="C2227" s="423" t="s">
        <v>6852</v>
      </c>
      <c r="D2227" s="423" t="s">
        <v>6850</v>
      </c>
      <c r="E2227" s="423" t="s">
        <v>242</v>
      </c>
      <c r="F2227" s="423">
        <v>8</v>
      </c>
      <c r="G2227" s="423">
        <v>32</v>
      </c>
      <c r="H2227" s="423">
        <v>300</v>
      </c>
      <c r="J2227" s="423"/>
      <c r="K2227" s="423"/>
      <c r="L2227" s="423"/>
      <c r="M2227" s="423"/>
      <c r="Q2227" s="423"/>
      <c r="R2227" s="424" t="s">
        <v>8339</v>
      </c>
      <c r="S2227" s="424" t="s">
        <v>2846</v>
      </c>
      <c r="T2227" s="424" t="s">
        <v>3356</v>
      </c>
      <c r="U2227" s="424">
        <v>0</v>
      </c>
      <c r="V2227" s="424" t="s">
        <v>8155</v>
      </c>
      <c r="W2227" s="424" t="s">
        <v>2974</v>
      </c>
      <c r="X2227" s="424" t="s">
        <v>8141</v>
      </c>
      <c r="Y2227" s="424" t="s">
        <v>2279</v>
      </c>
      <c r="Z2227" s="424" t="s">
        <v>2889</v>
      </c>
      <c r="AA2227" s="424" t="s">
        <v>2890</v>
      </c>
      <c r="AB2227" s="424" t="s">
        <v>4672</v>
      </c>
      <c r="AC2227" s="424" t="s">
        <v>1953</v>
      </c>
      <c r="AD2227" s="424" t="s">
        <v>2892</v>
      </c>
      <c r="AE2227" s="424" t="s">
        <v>4645</v>
      </c>
      <c r="AF2227" s="424"/>
      <c r="AG2227" s="424"/>
      <c r="AH2227" s="424"/>
    </row>
    <row r="2228" spans="1:34" x14ac:dyDescent="0.25">
      <c r="A2228" s="423" t="s">
        <v>7812</v>
      </c>
      <c r="B2228" s="423" t="s">
        <v>8340</v>
      </c>
      <c r="C2228" s="423" t="s">
        <v>6852</v>
      </c>
      <c r="D2228" s="423" t="s">
        <v>6850</v>
      </c>
      <c r="E2228" s="423" t="s">
        <v>242</v>
      </c>
      <c r="F2228" s="423">
        <v>8</v>
      </c>
      <c r="G2228" s="423">
        <v>32</v>
      </c>
      <c r="H2228" s="423">
        <v>300</v>
      </c>
      <c r="J2228" s="423"/>
      <c r="K2228" s="423"/>
      <c r="L2228" s="423"/>
      <c r="M2228" s="423"/>
      <c r="Q2228" s="423"/>
      <c r="R2228" s="424" t="s">
        <v>8341</v>
      </c>
      <c r="S2228" s="424" t="s">
        <v>2846</v>
      </c>
      <c r="T2228" s="424" t="s">
        <v>3356</v>
      </c>
      <c r="U2228" s="424">
        <v>0</v>
      </c>
      <c r="V2228" s="424" t="s">
        <v>8155</v>
      </c>
      <c r="W2228" s="424" t="s">
        <v>2974</v>
      </c>
      <c r="X2228" s="424" t="s">
        <v>8141</v>
      </c>
      <c r="Y2228" s="424" t="s">
        <v>2279</v>
      </c>
      <c r="Z2228" s="424" t="s">
        <v>2889</v>
      </c>
      <c r="AA2228" s="424" t="s">
        <v>2890</v>
      </c>
      <c r="AB2228" s="424" t="s">
        <v>4721</v>
      </c>
      <c r="AC2228" s="424" t="s">
        <v>1953</v>
      </c>
      <c r="AD2228" s="424" t="s">
        <v>2892</v>
      </c>
      <c r="AE2228" s="424" t="s">
        <v>4645</v>
      </c>
      <c r="AF2228" s="424"/>
      <c r="AG2228" s="424"/>
      <c r="AH2228" s="424"/>
    </row>
    <row r="2229" spans="1:34" x14ac:dyDescent="0.25">
      <c r="A2229" s="423" t="s">
        <v>7812</v>
      </c>
      <c r="B2229" s="423" t="s">
        <v>8342</v>
      </c>
      <c r="C2229" s="423" t="s">
        <v>6852</v>
      </c>
      <c r="D2229" s="423" t="s">
        <v>6850</v>
      </c>
      <c r="E2229" s="423" t="s">
        <v>242</v>
      </c>
      <c r="F2229" s="423">
        <v>8</v>
      </c>
      <c r="G2229" s="423">
        <v>32</v>
      </c>
      <c r="H2229" s="423">
        <v>300</v>
      </c>
      <c r="J2229" s="423"/>
      <c r="K2229" s="423"/>
      <c r="L2229" s="423"/>
      <c r="M2229" s="423"/>
      <c r="Q2229" s="423"/>
      <c r="R2229" s="424" t="s">
        <v>8343</v>
      </c>
      <c r="S2229" s="424" t="s">
        <v>2846</v>
      </c>
      <c r="T2229" s="424" t="s">
        <v>3356</v>
      </c>
      <c r="U2229" s="424">
        <v>0</v>
      </c>
      <c r="V2229" s="424" t="s">
        <v>8155</v>
      </c>
      <c r="W2229" s="424" t="s">
        <v>2974</v>
      </c>
      <c r="X2229" s="424" t="s">
        <v>8141</v>
      </c>
      <c r="Y2229" s="424" t="s">
        <v>2279</v>
      </c>
      <c r="Z2229" s="424" t="s">
        <v>2889</v>
      </c>
      <c r="AA2229" s="424" t="s">
        <v>2890</v>
      </c>
      <c r="AB2229" s="424" t="s">
        <v>5211</v>
      </c>
      <c r="AC2229" s="424" t="s">
        <v>1953</v>
      </c>
      <c r="AD2229" s="424" t="s">
        <v>2892</v>
      </c>
      <c r="AE2229" s="424" t="s">
        <v>4610</v>
      </c>
      <c r="AF2229" s="424"/>
      <c r="AG2229" s="424"/>
      <c r="AH2229" s="424"/>
    </row>
    <row r="2230" spans="1:34" x14ac:dyDescent="0.25">
      <c r="A2230" s="423" t="s">
        <v>7812</v>
      </c>
      <c r="B2230" s="423" t="s">
        <v>8344</v>
      </c>
      <c r="C2230" s="423" t="s">
        <v>6852</v>
      </c>
      <c r="D2230" s="423" t="s">
        <v>6850</v>
      </c>
      <c r="E2230" s="423" t="s">
        <v>242</v>
      </c>
      <c r="F2230" s="423">
        <v>8</v>
      </c>
      <c r="G2230" s="423">
        <v>32</v>
      </c>
      <c r="H2230" s="423">
        <v>300</v>
      </c>
      <c r="J2230" s="423"/>
      <c r="K2230" s="423"/>
      <c r="L2230" s="423"/>
      <c r="M2230" s="423"/>
      <c r="Q2230" s="423"/>
      <c r="R2230" s="424" t="s">
        <v>8345</v>
      </c>
      <c r="S2230" s="424" t="s">
        <v>2846</v>
      </c>
      <c r="T2230" s="424" t="s">
        <v>3356</v>
      </c>
      <c r="U2230" s="424">
        <v>0</v>
      </c>
      <c r="V2230" s="424" t="s">
        <v>8155</v>
      </c>
      <c r="W2230" s="424" t="s">
        <v>3176</v>
      </c>
      <c r="X2230" s="424" t="s">
        <v>8141</v>
      </c>
      <c r="Y2230" s="424" t="s">
        <v>2279</v>
      </c>
      <c r="Z2230" s="424" t="s">
        <v>2889</v>
      </c>
      <c r="AA2230" s="424" t="s">
        <v>2890</v>
      </c>
      <c r="AB2230" s="424" t="s">
        <v>8346</v>
      </c>
      <c r="AC2230" s="424" t="s">
        <v>1953</v>
      </c>
      <c r="AD2230" s="424" t="s">
        <v>2892</v>
      </c>
      <c r="AE2230" s="424" t="s">
        <v>4631</v>
      </c>
      <c r="AF2230" s="424"/>
      <c r="AG2230" s="424"/>
      <c r="AH2230" s="424"/>
    </row>
    <row r="2231" spans="1:34" x14ac:dyDescent="0.25">
      <c r="A2231" s="423" t="s">
        <v>7812</v>
      </c>
      <c r="B2231" s="423" t="s">
        <v>8347</v>
      </c>
      <c r="C2231" s="423" t="s">
        <v>6852</v>
      </c>
      <c r="D2231" s="423" t="s">
        <v>6850</v>
      </c>
      <c r="E2231" s="423" t="s">
        <v>242</v>
      </c>
      <c r="F2231" s="423">
        <v>8</v>
      </c>
      <c r="G2231" s="423">
        <v>32</v>
      </c>
      <c r="H2231" s="423">
        <v>300</v>
      </c>
      <c r="J2231" s="423"/>
      <c r="K2231" s="423"/>
      <c r="L2231" s="423"/>
      <c r="M2231" s="423"/>
      <c r="Q2231" s="423"/>
      <c r="R2231" s="424" t="s">
        <v>8348</v>
      </c>
      <c r="S2231" s="424" t="s">
        <v>2846</v>
      </c>
      <c r="T2231" s="424" t="s">
        <v>3356</v>
      </c>
      <c r="U2231" s="424">
        <v>0</v>
      </c>
      <c r="V2231" s="424" t="s">
        <v>8155</v>
      </c>
      <c r="W2231" s="424" t="s">
        <v>2974</v>
      </c>
      <c r="X2231" s="424" t="s">
        <v>8141</v>
      </c>
      <c r="Y2231" s="424" t="s">
        <v>2279</v>
      </c>
      <c r="Z2231" s="424" t="s">
        <v>2889</v>
      </c>
      <c r="AA2231" s="424" t="s">
        <v>2890</v>
      </c>
      <c r="AB2231" s="424" t="s">
        <v>4657</v>
      </c>
      <c r="AC2231" s="424" t="s">
        <v>1953</v>
      </c>
      <c r="AD2231" s="424" t="s">
        <v>2892</v>
      </c>
      <c r="AE2231" s="424" t="s">
        <v>2893</v>
      </c>
      <c r="AF2231" s="424"/>
      <c r="AG2231" s="424"/>
      <c r="AH2231" s="424"/>
    </row>
    <row r="2232" spans="1:34" x14ac:dyDescent="0.25">
      <c r="A2232" s="423" t="s">
        <v>7812</v>
      </c>
      <c r="B2232" s="423" t="s">
        <v>8349</v>
      </c>
      <c r="C2232" s="423" t="s">
        <v>6852</v>
      </c>
      <c r="D2232" s="423" t="s">
        <v>6850</v>
      </c>
      <c r="E2232" s="423" t="s">
        <v>242</v>
      </c>
      <c r="F2232" s="423">
        <v>8</v>
      </c>
      <c r="G2232" s="423">
        <v>32</v>
      </c>
      <c r="H2232" s="423">
        <v>300</v>
      </c>
      <c r="J2232" s="423"/>
      <c r="K2232" s="423"/>
      <c r="L2232" s="423"/>
      <c r="M2232" s="423"/>
      <c r="Q2232" s="423"/>
      <c r="R2232" s="424" t="s">
        <v>8350</v>
      </c>
      <c r="S2232" s="424" t="s">
        <v>2846</v>
      </c>
      <c r="T2232" s="424" t="s">
        <v>3356</v>
      </c>
      <c r="U2232" s="424">
        <v>0</v>
      </c>
      <c r="V2232" s="424" t="s">
        <v>8155</v>
      </c>
      <c r="W2232" s="424" t="s">
        <v>2974</v>
      </c>
      <c r="X2232" s="424" t="s">
        <v>8141</v>
      </c>
      <c r="Y2232" s="424" t="s">
        <v>2279</v>
      </c>
      <c r="Z2232" s="424" t="s">
        <v>2889</v>
      </c>
      <c r="AA2232" s="424" t="s">
        <v>2890</v>
      </c>
      <c r="AB2232" s="424" t="s">
        <v>5204</v>
      </c>
      <c r="AC2232" s="424" t="s">
        <v>1953</v>
      </c>
      <c r="AD2232" s="424" t="s">
        <v>2892</v>
      </c>
      <c r="AE2232" s="424" t="s">
        <v>4610</v>
      </c>
      <c r="AF2232" s="424"/>
      <c r="AG2232" s="424"/>
      <c r="AH2232" s="424"/>
    </row>
    <row r="2233" spans="1:34" x14ac:dyDescent="0.25">
      <c r="A2233" s="423" t="s">
        <v>7812</v>
      </c>
      <c r="B2233" s="423" t="s">
        <v>8351</v>
      </c>
      <c r="C2233" s="423" t="s">
        <v>6852</v>
      </c>
      <c r="D2233" s="423" t="s">
        <v>6850</v>
      </c>
      <c r="E2233" s="423" t="s">
        <v>242</v>
      </c>
      <c r="F2233" s="423">
        <v>8</v>
      </c>
      <c r="G2233" s="423">
        <v>32</v>
      </c>
      <c r="H2233" s="423">
        <v>300</v>
      </c>
      <c r="J2233" s="423"/>
      <c r="K2233" s="423"/>
      <c r="L2233" s="423"/>
      <c r="M2233" s="423"/>
      <c r="Q2233" s="423"/>
      <c r="R2233" s="424" t="s">
        <v>8352</v>
      </c>
      <c r="S2233" s="424" t="s">
        <v>2846</v>
      </c>
      <c r="T2233" s="424" t="s">
        <v>3356</v>
      </c>
      <c r="U2233" s="424">
        <v>0</v>
      </c>
      <c r="V2233" s="424" t="s">
        <v>8155</v>
      </c>
      <c r="W2233" s="424" t="s">
        <v>2871</v>
      </c>
      <c r="X2233" s="424" t="s">
        <v>8141</v>
      </c>
      <c r="Y2233" s="424" t="s">
        <v>2279</v>
      </c>
      <c r="Z2233" s="424" t="s">
        <v>2889</v>
      </c>
      <c r="AA2233" s="424" t="s">
        <v>2890</v>
      </c>
      <c r="AB2233" s="424" t="s">
        <v>8353</v>
      </c>
      <c r="AC2233" s="424" t="s">
        <v>1953</v>
      </c>
      <c r="AD2233" s="424" t="s">
        <v>2892</v>
      </c>
      <c r="AE2233" s="424" t="s">
        <v>4631</v>
      </c>
      <c r="AF2233" s="424"/>
      <c r="AG2233" s="424"/>
      <c r="AH2233" s="424"/>
    </row>
    <row r="2234" spans="1:34" x14ac:dyDescent="0.25">
      <c r="A2234" s="423" t="s">
        <v>7812</v>
      </c>
      <c r="B2234" s="423" t="s">
        <v>8354</v>
      </c>
      <c r="C2234" s="423" t="s">
        <v>6852</v>
      </c>
      <c r="D2234" s="423" t="s">
        <v>6850</v>
      </c>
      <c r="E2234" s="423" t="s">
        <v>242</v>
      </c>
      <c r="F2234" s="423">
        <v>8</v>
      </c>
      <c r="G2234" s="423">
        <v>32</v>
      </c>
      <c r="H2234" s="423">
        <v>300</v>
      </c>
      <c r="J2234" s="423"/>
      <c r="K2234" s="423"/>
      <c r="L2234" s="423"/>
      <c r="M2234" s="423"/>
      <c r="Q2234" s="423"/>
      <c r="R2234" s="424" t="s">
        <v>8355</v>
      </c>
      <c r="S2234" s="424" t="s">
        <v>2846</v>
      </c>
      <c r="T2234" s="424" t="s">
        <v>3356</v>
      </c>
      <c r="U2234" s="424">
        <v>0</v>
      </c>
      <c r="V2234" s="424" t="s">
        <v>8155</v>
      </c>
      <c r="W2234" s="424" t="s">
        <v>2974</v>
      </c>
      <c r="X2234" s="424" t="s">
        <v>8141</v>
      </c>
      <c r="Y2234" s="424" t="s">
        <v>2279</v>
      </c>
      <c r="Z2234" s="424" t="s">
        <v>2889</v>
      </c>
      <c r="AA2234" s="424" t="s">
        <v>2890</v>
      </c>
      <c r="AB2234" s="424" t="s">
        <v>4663</v>
      </c>
      <c r="AC2234" s="424" t="s">
        <v>1953</v>
      </c>
      <c r="AD2234" s="424" t="s">
        <v>2892</v>
      </c>
      <c r="AE2234" s="424" t="s">
        <v>4641</v>
      </c>
      <c r="AF2234" s="424"/>
      <c r="AG2234" s="424"/>
      <c r="AH2234" s="424"/>
    </row>
    <row r="2235" spans="1:34" x14ac:dyDescent="0.25">
      <c r="A2235" s="423" t="s">
        <v>7812</v>
      </c>
      <c r="B2235" s="423" t="s">
        <v>8356</v>
      </c>
      <c r="C2235" s="423" t="s">
        <v>6852</v>
      </c>
      <c r="D2235" s="423" t="s">
        <v>6850</v>
      </c>
      <c r="E2235" s="423" t="s">
        <v>242</v>
      </c>
      <c r="F2235" s="423">
        <v>8</v>
      </c>
      <c r="G2235" s="423">
        <v>32</v>
      </c>
      <c r="H2235" s="423">
        <v>300</v>
      </c>
      <c r="J2235" s="423"/>
      <c r="K2235" s="423"/>
      <c r="L2235" s="423"/>
      <c r="M2235" s="423"/>
      <c r="Q2235" s="423"/>
      <c r="R2235" s="424" t="s">
        <v>8357</v>
      </c>
      <c r="S2235" s="424" t="s">
        <v>2846</v>
      </c>
      <c r="T2235" s="424" t="s">
        <v>3356</v>
      </c>
      <c r="U2235" s="424">
        <v>0</v>
      </c>
      <c r="V2235" s="424" t="s">
        <v>8155</v>
      </c>
      <c r="W2235" s="424" t="s">
        <v>2974</v>
      </c>
      <c r="X2235" s="424" t="s">
        <v>8141</v>
      </c>
      <c r="Y2235" s="424" t="s">
        <v>2279</v>
      </c>
      <c r="Z2235" s="424" t="s">
        <v>2889</v>
      </c>
      <c r="AA2235" s="424" t="s">
        <v>2890</v>
      </c>
      <c r="AB2235" s="424" t="s">
        <v>5221</v>
      </c>
      <c r="AC2235" s="424" t="s">
        <v>1953</v>
      </c>
      <c r="AD2235" s="424" t="s">
        <v>2892</v>
      </c>
      <c r="AE2235" s="424" t="s">
        <v>4641</v>
      </c>
      <c r="AF2235" s="424"/>
      <c r="AG2235" s="424"/>
      <c r="AH2235" s="424"/>
    </row>
    <row r="2236" spans="1:34" x14ac:dyDescent="0.25">
      <c r="A2236" s="423" t="s">
        <v>7812</v>
      </c>
      <c r="B2236" s="423" t="s">
        <v>8358</v>
      </c>
      <c r="C2236" s="423" t="s">
        <v>6852</v>
      </c>
      <c r="D2236" s="423" t="s">
        <v>6850</v>
      </c>
      <c r="E2236" s="423" t="s">
        <v>242</v>
      </c>
      <c r="F2236" s="423">
        <v>8</v>
      </c>
      <c r="G2236" s="423">
        <v>32</v>
      </c>
      <c r="H2236" s="423">
        <v>300</v>
      </c>
      <c r="J2236" s="423"/>
      <c r="K2236" s="423"/>
      <c r="L2236" s="423"/>
      <c r="M2236" s="423"/>
      <c r="Q2236" s="423"/>
      <c r="R2236" s="424" t="s">
        <v>8359</v>
      </c>
      <c r="S2236" s="424" t="s">
        <v>2846</v>
      </c>
      <c r="T2236" s="424" t="s">
        <v>3356</v>
      </c>
      <c r="U2236" s="424">
        <v>0</v>
      </c>
      <c r="V2236" s="424" t="s">
        <v>8155</v>
      </c>
      <c r="W2236" s="424" t="s">
        <v>2974</v>
      </c>
      <c r="X2236" s="424" t="s">
        <v>8141</v>
      </c>
      <c r="Y2236" s="424" t="s">
        <v>2279</v>
      </c>
      <c r="Z2236" s="424" t="s">
        <v>2889</v>
      </c>
      <c r="AA2236" s="424" t="s">
        <v>2890</v>
      </c>
      <c r="AB2236" s="424" t="s">
        <v>8360</v>
      </c>
      <c r="AC2236" s="424" t="s">
        <v>1953</v>
      </c>
      <c r="AD2236" s="424" t="s">
        <v>2892</v>
      </c>
      <c r="AE2236" s="424" t="s">
        <v>4641</v>
      </c>
      <c r="AF2236" s="424"/>
      <c r="AG2236" s="424"/>
      <c r="AH2236" s="424"/>
    </row>
    <row r="2237" spans="1:34" x14ac:dyDescent="0.25">
      <c r="A2237" s="423" t="s">
        <v>7812</v>
      </c>
      <c r="B2237" s="423" t="s">
        <v>8361</v>
      </c>
      <c r="C2237" s="423" t="s">
        <v>6852</v>
      </c>
      <c r="D2237" s="423" t="s">
        <v>6850</v>
      </c>
      <c r="E2237" s="423" t="s">
        <v>242</v>
      </c>
      <c r="F2237" s="423">
        <v>8</v>
      </c>
      <c r="G2237" s="423">
        <v>32</v>
      </c>
      <c r="H2237" s="423">
        <v>300</v>
      </c>
      <c r="J2237" s="423"/>
      <c r="K2237" s="423"/>
      <c r="L2237" s="423"/>
      <c r="M2237" s="423"/>
      <c r="Q2237" s="423"/>
      <c r="R2237" s="424" t="s">
        <v>8362</v>
      </c>
      <c r="S2237" s="424" t="s">
        <v>2846</v>
      </c>
      <c r="T2237" s="424" t="s">
        <v>3356</v>
      </c>
      <c r="U2237" s="424">
        <v>0</v>
      </c>
      <c r="V2237" s="424" t="s">
        <v>8155</v>
      </c>
      <c r="W2237" s="424" t="s">
        <v>2974</v>
      </c>
      <c r="X2237" s="424" t="s">
        <v>8141</v>
      </c>
      <c r="Y2237" s="424" t="s">
        <v>2279</v>
      </c>
      <c r="Z2237" s="424" t="s">
        <v>2889</v>
      </c>
      <c r="AA2237" s="424" t="s">
        <v>2890</v>
      </c>
      <c r="AB2237" s="424" t="s">
        <v>5204</v>
      </c>
      <c r="AC2237" s="424" t="s">
        <v>1953</v>
      </c>
      <c r="AD2237" s="424" t="s">
        <v>2892</v>
      </c>
      <c r="AE2237" s="424" t="s">
        <v>4610</v>
      </c>
      <c r="AF2237" s="424"/>
      <c r="AG2237" s="424"/>
      <c r="AH2237" s="424"/>
    </row>
    <row r="2238" spans="1:34" x14ac:dyDescent="0.25">
      <c r="A2238" s="423" t="s">
        <v>7812</v>
      </c>
      <c r="B2238" s="423" t="s">
        <v>8363</v>
      </c>
      <c r="C2238" s="423" t="s">
        <v>6852</v>
      </c>
      <c r="D2238" s="423" t="s">
        <v>6850</v>
      </c>
      <c r="E2238" s="423" t="s">
        <v>242</v>
      </c>
      <c r="F2238" s="423">
        <v>8</v>
      </c>
      <c r="G2238" s="423">
        <v>32</v>
      </c>
      <c r="H2238" s="423">
        <v>300</v>
      </c>
      <c r="J2238" s="423"/>
      <c r="K2238" s="423"/>
      <c r="L2238" s="423"/>
      <c r="M2238" s="423"/>
      <c r="Q2238" s="423"/>
      <c r="R2238" s="424" t="s">
        <v>8364</v>
      </c>
      <c r="S2238" s="424" t="s">
        <v>2846</v>
      </c>
      <c r="T2238" s="424" t="s">
        <v>3356</v>
      </c>
      <c r="U2238" s="424">
        <v>0</v>
      </c>
      <c r="V2238" s="424" t="s">
        <v>8155</v>
      </c>
      <c r="W2238" s="424" t="s">
        <v>2974</v>
      </c>
      <c r="X2238" s="424" t="s">
        <v>8141</v>
      </c>
      <c r="Y2238" s="424" t="s">
        <v>2279</v>
      </c>
      <c r="Z2238" s="424" t="s">
        <v>2889</v>
      </c>
      <c r="AA2238" s="424" t="s">
        <v>2890</v>
      </c>
      <c r="AB2238" s="424" t="s">
        <v>8365</v>
      </c>
      <c r="AC2238" s="424" t="s">
        <v>1953</v>
      </c>
      <c r="AD2238" s="424" t="s">
        <v>2892</v>
      </c>
      <c r="AE2238" s="424" t="s">
        <v>4645</v>
      </c>
      <c r="AF2238" s="424"/>
      <c r="AG2238" s="424"/>
      <c r="AH2238" s="424"/>
    </row>
    <row r="2239" spans="1:34" x14ac:dyDescent="0.25">
      <c r="A2239" s="423" t="s">
        <v>7812</v>
      </c>
      <c r="B2239" s="423" t="s">
        <v>8366</v>
      </c>
      <c r="C2239" s="423" t="s">
        <v>6852</v>
      </c>
      <c r="D2239" s="423" t="s">
        <v>6850</v>
      </c>
      <c r="E2239" s="423" t="s">
        <v>242</v>
      </c>
      <c r="F2239" s="423">
        <v>8</v>
      </c>
      <c r="G2239" s="423">
        <v>32</v>
      </c>
      <c r="H2239" s="423">
        <v>300</v>
      </c>
      <c r="J2239" s="423"/>
      <c r="K2239" s="423"/>
      <c r="L2239" s="423"/>
      <c r="M2239" s="423"/>
      <c r="Q2239" s="423"/>
      <c r="R2239" s="424" t="s">
        <v>8367</v>
      </c>
      <c r="S2239" s="424" t="s">
        <v>2846</v>
      </c>
      <c r="T2239" s="424" t="s">
        <v>3356</v>
      </c>
      <c r="U2239" s="424">
        <v>0</v>
      </c>
      <c r="V2239" s="424" t="s">
        <v>8155</v>
      </c>
      <c r="W2239" s="424" t="s">
        <v>2974</v>
      </c>
      <c r="X2239" s="424" t="s">
        <v>8141</v>
      </c>
      <c r="Y2239" s="424" t="s">
        <v>2279</v>
      </c>
      <c r="Z2239" s="424" t="s">
        <v>2889</v>
      </c>
      <c r="AA2239" s="424" t="s">
        <v>2890</v>
      </c>
      <c r="AB2239" s="424" t="s">
        <v>4682</v>
      </c>
      <c r="AC2239" s="424" t="s">
        <v>1953</v>
      </c>
      <c r="AD2239" s="424" t="s">
        <v>2892</v>
      </c>
      <c r="AE2239" s="424" t="s">
        <v>4645</v>
      </c>
      <c r="AF2239" s="424"/>
      <c r="AG2239" s="424"/>
      <c r="AH2239" s="424"/>
    </row>
    <row r="2240" spans="1:34" x14ac:dyDescent="0.25">
      <c r="A2240" s="423" t="s">
        <v>7812</v>
      </c>
      <c r="B2240" s="423" t="s">
        <v>8368</v>
      </c>
      <c r="C2240" s="423" t="s">
        <v>6852</v>
      </c>
      <c r="D2240" s="423" t="s">
        <v>6850</v>
      </c>
      <c r="E2240" s="423" t="s">
        <v>242</v>
      </c>
      <c r="F2240" s="423">
        <v>8</v>
      </c>
      <c r="G2240" s="423">
        <v>32</v>
      </c>
      <c r="H2240" s="423">
        <v>300</v>
      </c>
      <c r="J2240" s="423"/>
      <c r="K2240" s="423"/>
      <c r="L2240" s="423"/>
      <c r="M2240" s="423"/>
      <c r="Q2240" s="423"/>
      <c r="R2240" s="424" t="s">
        <v>8369</v>
      </c>
      <c r="S2240" s="424" t="s">
        <v>2846</v>
      </c>
      <c r="T2240" s="424" t="s">
        <v>3356</v>
      </c>
      <c r="U2240" s="424">
        <v>0</v>
      </c>
      <c r="V2240" s="424" t="s">
        <v>8155</v>
      </c>
      <c r="W2240" s="424" t="s">
        <v>2871</v>
      </c>
      <c r="X2240" s="424" t="s">
        <v>8141</v>
      </c>
      <c r="Y2240" s="424" t="s">
        <v>2279</v>
      </c>
      <c r="Z2240" s="424" t="s">
        <v>2889</v>
      </c>
      <c r="AA2240" s="424" t="s">
        <v>2890</v>
      </c>
      <c r="AB2240" s="424" t="s">
        <v>5176</v>
      </c>
      <c r="AC2240" s="424" t="s">
        <v>1953</v>
      </c>
      <c r="AD2240" s="424" t="s">
        <v>2892</v>
      </c>
      <c r="AE2240" s="424" t="s">
        <v>4610</v>
      </c>
      <c r="AF2240" s="424"/>
      <c r="AG2240" s="424"/>
      <c r="AH2240" s="424"/>
    </row>
    <row r="2241" spans="1:34" x14ac:dyDescent="0.25">
      <c r="A2241" s="423" t="s">
        <v>7812</v>
      </c>
      <c r="B2241" s="423" t="s">
        <v>8370</v>
      </c>
      <c r="C2241" s="423" t="s">
        <v>6852</v>
      </c>
      <c r="D2241" s="423" t="s">
        <v>6850</v>
      </c>
      <c r="E2241" s="423" t="s">
        <v>242</v>
      </c>
      <c r="F2241" s="423">
        <v>8</v>
      </c>
      <c r="G2241" s="423">
        <v>32</v>
      </c>
      <c r="H2241" s="423">
        <v>300</v>
      </c>
      <c r="J2241" s="423"/>
      <c r="K2241" s="423"/>
      <c r="L2241" s="423"/>
      <c r="M2241" s="423"/>
      <c r="Q2241" s="423"/>
      <c r="R2241" s="424" t="s">
        <v>8371</v>
      </c>
      <c r="S2241" s="424" t="s">
        <v>2846</v>
      </c>
      <c r="T2241" s="424" t="s">
        <v>3356</v>
      </c>
      <c r="U2241" s="424">
        <v>0</v>
      </c>
      <c r="V2241" s="424" t="s">
        <v>8155</v>
      </c>
      <c r="W2241" s="424" t="s">
        <v>2974</v>
      </c>
      <c r="X2241" s="424" t="s">
        <v>8141</v>
      </c>
      <c r="Y2241" s="424" t="s">
        <v>2279</v>
      </c>
      <c r="Z2241" s="424" t="s">
        <v>2889</v>
      </c>
      <c r="AA2241" s="424" t="s">
        <v>2890</v>
      </c>
      <c r="AB2241" s="424" t="s">
        <v>4721</v>
      </c>
      <c r="AC2241" s="424" t="s">
        <v>1953</v>
      </c>
      <c r="AD2241" s="424" t="s">
        <v>2892</v>
      </c>
      <c r="AE2241" s="424" t="s">
        <v>4645</v>
      </c>
      <c r="AF2241" s="424"/>
      <c r="AG2241" s="424"/>
      <c r="AH2241" s="424"/>
    </row>
    <row r="2242" spans="1:34" x14ac:dyDescent="0.25">
      <c r="A2242" s="423" t="s">
        <v>7812</v>
      </c>
      <c r="B2242" s="423" t="s">
        <v>8372</v>
      </c>
      <c r="C2242" s="423" t="s">
        <v>6852</v>
      </c>
      <c r="D2242" s="423" t="s">
        <v>6850</v>
      </c>
      <c r="E2242" s="423" t="s">
        <v>242</v>
      </c>
      <c r="F2242" s="423">
        <v>8</v>
      </c>
      <c r="G2242" s="423">
        <v>32</v>
      </c>
      <c r="H2242" s="423">
        <v>300</v>
      </c>
      <c r="J2242" s="423"/>
      <c r="K2242" s="423"/>
      <c r="L2242" s="423"/>
      <c r="M2242" s="423"/>
      <c r="Q2242" s="423"/>
      <c r="R2242" s="424" t="s">
        <v>8373</v>
      </c>
      <c r="S2242" s="424" t="s">
        <v>2846</v>
      </c>
      <c r="T2242" s="424" t="s">
        <v>3356</v>
      </c>
      <c r="U2242" s="424">
        <v>0</v>
      </c>
      <c r="V2242" s="424" t="s">
        <v>8155</v>
      </c>
      <c r="W2242" s="424" t="s">
        <v>2974</v>
      </c>
      <c r="X2242" s="424" t="s">
        <v>8141</v>
      </c>
      <c r="Y2242" s="424" t="s">
        <v>2279</v>
      </c>
      <c r="Z2242" s="424" t="s">
        <v>2889</v>
      </c>
      <c r="AA2242" s="424" t="s">
        <v>2890</v>
      </c>
      <c r="AB2242" s="424" t="s">
        <v>5195</v>
      </c>
      <c r="AC2242" s="424" t="s">
        <v>1953</v>
      </c>
      <c r="AD2242" s="424" t="s">
        <v>2892</v>
      </c>
      <c r="AE2242" s="424" t="s">
        <v>4610</v>
      </c>
      <c r="AF2242" s="424"/>
      <c r="AG2242" s="424"/>
      <c r="AH2242" s="424"/>
    </row>
    <row r="2243" spans="1:34" x14ac:dyDescent="0.25">
      <c r="A2243" s="423" t="s">
        <v>7812</v>
      </c>
      <c r="B2243" s="423" t="s">
        <v>8374</v>
      </c>
      <c r="C2243" s="423" t="s">
        <v>6852</v>
      </c>
      <c r="D2243" s="423" t="s">
        <v>6850</v>
      </c>
      <c r="E2243" s="423" t="s">
        <v>242</v>
      </c>
      <c r="F2243" s="423">
        <v>8</v>
      </c>
      <c r="G2243" s="423">
        <v>32</v>
      </c>
      <c r="H2243" s="423">
        <v>300</v>
      </c>
      <c r="J2243" s="423"/>
      <c r="K2243" s="423"/>
      <c r="L2243" s="423"/>
      <c r="M2243" s="423"/>
      <c r="Q2243" s="423"/>
      <c r="R2243" s="424" t="s">
        <v>8375</v>
      </c>
      <c r="S2243" s="424" t="s">
        <v>2846</v>
      </c>
      <c r="T2243" s="424" t="s">
        <v>3356</v>
      </c>
      <c r="U2243" s="424">
        <v>0</v>
      </c>
      <c r="V2243" s="424" t="s">
        <v>8155</v>
      </c>
      <c r="W2243" s="424" t="s">
        <v>2974</v>
      </c>
      <c r="X2243" s="424" t="s">
        <v>8141</v>
      </c>
      <c r="Y2243" s="424" t="s">
        <v>2279</v>
      </c>
      <c r="Z2243" s="424" t="s">
        <v>2889</v>
      </c>
      <c r="AA2243" s="424" t="s">
        <v>2890</v>
      </c>
      <c r="AB2243" s="424" t="s">
        <v>8376</v>
      </c>
      <c r="AC2243" s="424" t="s">
        <v>1953</v>
      </c>
      <c r="AD2243" s="424" t="s">
        <v>2892</v>
      </c>
      <c r="AE2243" s="424" t="s">
        <v>2893</v>
      </c>
      <c r="AF2243" s="424"/>
      <c r="AG2243" s="424"/>
      <c r="AH2243" s="424"/>
    </row>
    <row r="2244" spans="1:34" x14ac:dyDescent="0.25">
      <c r="A2244" s="423" t="s">
        <v>7812</v>
      </c>
      <c r="B2244" s="423" t="s">
        <v>8377</v>
      </c>
      <c r="C2244" s="423" t="s">
        <v>6852</v>
      </c>
      <c r="D2244" s="423" t="s">
        <v>6850</v>
      </c>
      <c r="E2244" s="423" t="s">
        <v>242</v>
      </c>
      <c r="F2244" s="423">
        <v>8</v>
      </c>
      <c r="G2244" s="423">
        <v>32</v>
      </c>
      <c r="H2244" s="423">
        <v>300</v>
      </c>
      <c r="J2244" s="423"/>
      <c r="K2244" s="423"/>
      <c r="L2244" s="423"/>
      <c r="M2244" s="423"/>
      <c r="Q2244" s="423"/>
      <c r="R2244" s="424" t="s">
        <v>8378</v>
      </c>
      <c r="S2244" s="424" t="s">
        <v>2846</v>
      </c>
      <c r="T2244" s="424" t="s">
        <v>3356</v>
      </c>
      <c r="U2244" s="424">
        <v>0</v>
      </c>
      <c r="V2244" s="424" t="s">
        <v>8155</v>
      </c>
      <c r="W2244" s="424" t="s">
        <v>2974</v>
      </c>
      <c r="X2244" s="424" t="s">
        <v>8141</v>
      </c>
      <c r="Y2244" s="424" t="s">
        <v>2279</v>
      </c>
      <c r="Z2244" s="424" t="s">
        <v>2889</v>
      </c>
      <c r="AA2244" s="424" t="s">
        <v>2890</v>
      </c>
      <c r="AB2244" s="424" t="s">
        <v>8379</v>
      </c>
      <c r="AC2244" s="424" t="s">
        <v>1953</v>
      </c>
      <c r="AD2244" s="424" t="s">
        <v>2892</v>
      </c>
      <c r="AE2244" s="424" t="s">
        <v>4645</v>
      </c>
      <c r="AF2244" s="424"/>
      <c r="AG2244" s="424"/>
      <c r="AH2244" s="424"/>
    </row>
    <row r="2245" spans="1:34" x14ac:dyDescent="0.25">
      <c r="A2245" s="423" t="s">
        <v>7812</v>
      </c>
      <c r="B2245" s="423" t="s">
        <v>8380</v>
      </c>
      <c r="C2245" s="423" t="s">
        <v>6852</v>
      </c>
      <c r="D2245" s="423" t="s">
        <v>6850</v>
      </c>
      <c r="E2245" s="423" t="s">
        <v>242</v>
      </c>
      <c r="F2245" s="423">
        <v>32</v>
      </c>
      <c r="G2245" s="423">
        <v>64</v>
      </c>
      <c r="H2245" s="423">
        <v>300</v>
      </c>
      <c r="J2245" s="423"/>
      <c r="K2245" s="423"/>
      <c r="L2245" s="423"/>
      <c r="M2245" s="423"/>
      <c r="Q2245" s="423"/>
      <c r="R2245" s="424" t="s">
        <v>8381</v>
      </c>
      <c r="S2245" s="424" t="s">
        <v>2846</v>
      </c>
      <c r="T2245" s="424" t="s">
        <v>2870</v>
      </c>
      <c r="U2245" s="424">
        <v>0</v>
      </c>
      <c r="V2245" s="424" t="s">
        <v>2871</v>
      </c>
      <c r="W2245" s="424" t="s">
        <v>2871</v>
      </c>
      <c r="X2245" s="424" t="s">
        <v>8141</v>
      </c>
      <c r="Y2245" s="424" t="s">
        <v>2279</v>
      </c>
      <c r="Z2245" s="424" t="s">
        <v>2848</v>
      </c>
      <c r="AA2245" s="424" t="s">
        <v>2855</v>
      </c>
      <c r="AB2245" s="424" t="s">
        <v>3896</v>
      </c>
      <c r="AC2245" s="424" t="s">
        <v>1953</v>
      </c>
      <c r="AD2245" s="424" t="s">
        <v>2851</v>
      </c>
      <c r="AE2245" s="424" t="s">
        <v>2901</v>
      </c>
      <c r="AF2245" s="424"/>
      <c r="AG2245" s="424"/>
      <c r="AH2245" s="424"/>
    </row>
    <row r="2246" spans="1:34" x14ac:dyDescent="0.25">
      <c r="A2246" s="423" t="s">
        <v>7812</v>
      </c>
      <c r="B2246" s="423" t="s">
        <v>8382</v>
      </c>
      <c r="C2246" s="423" t="s">
        <v>6852</v>
      </c>
      <c r="D2246" s="423" t="s">
        <v>6850</v>
      </c>
      <c r="E2246" s="423" t="s">
        <v>242</v>
      </c>
      <c r="F2246" s="423">
        <v>32</v>
      </c>
      <c r="G2246" s="423">
        <v>64</v>
      </c>
      <c r="H2246" s="423">
        <v>300</v>
      </c>
      <c r="J2246" s="423"/>
      <c r="K2246" s="423"/>
      <c r="L2246" s="423"/>
      <c r="M2246" s="423"/>
      <c r="Q2246" s="423"/>
      <c r="R2246" s="424" t="s">
        <v>8383</v>
      </c>
      <c r="S2246" s="424" t="s">
        <v>2846</v>
      </c>
      <c r="T2246" s="424" t="s">
        <v>2870</v>
      </c>
      <c r="U2246" s="424">
        <v>0</v>
      </c>
      <c r="V2246" s="424" t="s">
        <v>2871</v>
      </c>
      <c r="W2246" s="424" t="s">
        <v>3074</v>
      </c>
      <c r="X2246" s="424" t="s">
        <v>8141</v>
      </c>
      <c r="Y2246" s="424" t="s">
        <v>2279</v>
      </c>
      <c r="Z2246" s="424" t="s">
        <v>2872</v>
      </c>
      <c r="AA2246" s="424" t="s">
        <v>2873</v>
      </c>
      <c r="AB2246" s="424" t="s">
        <v>7986</v>
      </c>
      <c r="AC2246" s="424" t="s">
        <v>1953</v>
      </c>
      <c r="AD2246" s="424" t="s">
        <v>2892</v>
      </c>
      <c r="AE2246" s="424" t="s">
        <v>3081</v>
      </c>
      <c r="AF2246" s="424"/>
      <c r="AG2246" s="424"/>
      <c r="AH2246" s="424"/>
    </row>
    <row r="2247" spans="1:34" x14ac:dyDescent="0.25">
      <c r="A2247" s="423" t="s">
        <v>7812</v>
      </c>
      <c r="B2247" s="423" t="s">
        <v>8384</v>
      </c>
      <c r="C2247" s="423" t="s">
        <v>6852</v>
      </c>
      <c r="D2247" s="423" t="s">
        <v>6850</v>
      </c>
      <c r="E2247" s="423" t="s">
        <v>242</v>
      </c>
      <c r="F2247" s="423">
        <v>32</v>
      </c>
      <c r="G2247" s="423">
        <v>64</v>
      </c>
      <c r="H2247" s="423">
        <v>300</v>
      </c>
      <c r="J2247" s="423"/>
      <c r="K2247" s="423"/>
      <c r="L2247" s="423"/>
      <c r="M2247" s="423"/>
      <c r="Q2247" s="423"/>
      <c r="R2247" s="424" t="s">
        <v>8385</v>
      </c>
      <c r="S2247" s="424" t="s">
        <v>2846</v>
      </c>
      <c r="T2247" s="424" t="s">
        <v>2870</v>
      </c>
      <c r="U2247" s="424">
        <v>0</v>
      </c>
      <c r="V2247" s="424" t="s">
        <v>2871</v>
      </c>
      <c r="W2247" s="424" t="s">
        <v>3074</v>
      </c>
      <c r="X2247" s="424" t="s">
        <v>8141</v>
      </c>
      <c r="Y2247" s="424" t="s">
        <v>2279</v>
      </c>
      <c r="Z2247" s="424" t="s">
        <v>2872</v>
      </c>
      <c r="AA2247" s="424" t="s">
        <v>2873</v>
      </c>
      <c r="AB2247" s="424" t="s">
        <v>7192</v>
      </c>
      <c r="AC2247" s="424" t="s">
        <v>1953</v>
      </c>
      <c r="AD2247" s="424" t="s">
        <v>2892</v>
      </c>
      <c r="AE2247" s="424" t="s">
        <v>2944</v>
      </c>
      <c r="AF2247" s="424"/>
      <c r="AG2247" s="424"/>
      <c r="AH2247" s="424"/>
    </row>
    <row r="2248" spans="1:34" x14ac:dyDescent="0.25">
      <c r="A2248" s="423" t="s">
        <v>7812</v>
      </c>
      <c r="B2248" s="423" t="s">
        <v>8386</v>
      </c>
      <c r="C2248" s="423" t="s">
        <v>6852</v>
      </c>
      <c r="D2248" s="423" t="s">
        <v>6850</v>
      </c>
      <c r="E2248" s="423" t="s">
        <v>242</v>
      </c>
      <c r="F2248" s="423">
        <v>32</v>
      </c>
      <c r="G2248" s="423">
        <v>64</v>
      </c>
      <c r="H2248" s="423">
        <v>300</v>
      </c>
      <c r="J2248" s="423"/>
      <c r="K2248" s="423"/>
      <c r="L2248" s="423"/>
      <c r="M2248" s="423"/>
      <c r="Q2248" s="423"/>
      <c r="R2248" s="424" t="s">
        <v>8387</v>
      </c>
      <c r="S2248" s="424" t="s">
        <v>2846</v>
      </c>
      <c r="T2248" s="424" t="s">
        <v>2870</v>
      </c>
      <c r="U2248" s="424">
        <v>0</v>
      </c>
      <c r="V2248" s="424" t="s">
        <v>2871</v>
      </c>
      <c r="W2248" s="424" t="s">
        <v>2974</v>
      </c>
      <c r="X2248" s="424" t="s">
        <v>8141</v>
      </c>
      <c r="Y2248" s="424" t="s">
        <v>2279</v>
      </c>
      <c r="Z2248" s="424" t="s">
        <v>2872</v>
      </c>
      <c r="AA2248" s="424" t="s">
        <v>2873</v>
      </c>
      <c r="AB2248" s="424" t="s">
        <v>4526</v>
      </c>
      <c r="AC2248" s="424" t="s">
        <v>1953</v>
      </c>
      <c r="AD2248" s="424" t="s">
        <v>2892</v>
      </c>
      <c r="AE2248" s="424" t="s">
        <v>4219</v>
      </c>
      <c r="AF2248" s="424"/>
      <c r="AG2248" s="424"/>
      <c r="AH2248" s="424"/>
    </row>
    <row r="2249" spans="1:34" x14ac:dyDescent="0.25">
      <c r="A2249" s="423" t="s">
        <v>7812</v>
      </c>
      <c r="B2249" s="423" t="s">
        <v>8388</v>
      </c>
      <c r="C2249" s="423" t="s">
        <v>6852</v>
      </c>
      <c r="D2249" s="423" t="s">
        <v>6850</v>
      </c>
      <c r="E2249" s="423" t="s">
        <v>242</v>
      </c>
      <c r="F2249" s="423">
        <v>32</v>
      </c>
      <c r="G2249" s="423">
        <v>64</v>
      </c>
      <c r="H2249" s="423">
        <v>300</v>
      </c>
      <c r="J2249" s="423"/>
      <c r="K2249" s="423"/>
      <c r="L2249" s="423"/>
      <c r="M2249" s="423"/>
      <c r="Q2249" s="423"/>
      <c r="R2249" s="424" t="s">
        <v>8389</v>
      </c>
      <c r="S2249" s="424" t="s">
        <v>2846</v>
      </c>
      <c r="T2249" s="424" t="s">
        <v>2870</v>
      </c>
      <c r="U2249" s="424">
        <v>0</v>
      </c>
      <c r="V2249" s="424" t="s">
        <v>2871</v>
      </c>
      <c r="W2249" s="424" t="s">
        <v>3074</v>
      </c>
      <c r="X2249" s="424" t="s">
        <v>8141</v>
      </c>
      <c r="Y2249" s="424" t="s">
        <v>2279</v>
      </c>
      <c r="Z2249" s="424" t="s">
        <v>2872</v>
      </c>
      <c r="AA2249" s="424" t="s">
        <v>2873</v>
      </c>
      <c r="AB2249" s="424" t="s">
        <v>4478</v>
      </c>
      <c r="AC2249" s="424" t="s">
        <v>1953</v>
      </c>
      <c r="AD2249" s="424" t="s">
        <v>2892</v>
      </c>
      <c r="AE2249" s="424" t="s">
        <v>2962</v>
      </c>
      <c r="AF2249" s="424"/>
      <c r="AG2249" s="424"/>
      <c r="AH2249" s="424"/>
    </row>
    <row r="2250" spans="1:34" x14ac:dyDescent="0.25">
      <c r="A2250" s="423" t="s">
        <v>7812</v>
      </c>
      <c r="B2250" s="423" t="s">
        <v>8390</v>
      </c>
      <c r="C2250" s="423" t="s">
        <v>6852</v>
      </c>
      <c r="D2250" s="423" t="s">
        <v>6850</v>
      </c>
      <c r="E2250" s="423" t="s">
        <v>242</v>
      </c>
      <c r="F2250" s="423">
        <v>32</v>
      </c>
      <c r="G2250" s="423">
        <v>64</v>
      </c>
      <c r="H2250" s="423">
        <v>300</v>
      </c>
      <c r="J2250" s="423"/>
      <c r="K2250" s="423"/>
      <c r="L2250" s="423"/>
      <c r="M2250" s="423"/>
      <c r="Q2250" s="423"/>
      <c r="R2250" s="424" t="s">
        <v>8391</v>
      </c>
      <c r="S2250" s="424" t="s">
        <v>2846</v>
      </c>
      <c r="T2250" s="424" t="s">
        <v>2870</v>
      </c>
      <c r="U2250" s="424">
        <v>0</v>
      </c>
      <c r="V2250" s="424" t="s">
        <v>2871</v>
      </c>
      <c r="W2250" s="424" t="s">
        <v>3074</v>
      </c>
      <c r="X2250" s="424" t="s">
        <v>8141</v>
      </c>
      <c r="Y2250" s="424" t="s">
        <v>2279</v>
      </c>
      <c r="Z2250" s="424" t="s">
        <v>2848</v>
      </c>
      <c r="AA2250" s="424" t="s">
        <v>2855</v>
      </c>
      <c r="AB2250" s="424" t="s">
        <v>4521</v>
      </c>
      <c r="AC2250" s="424" t="s">
        <v>1953</v>
      </c>
      <c r="AD2250" s="424" t="s">
        <v>2851</v>
      </c>
      <c r="AE2250" s="424" t="s">
        <v>3173</v>
      </c>
      <c r="AF2250" s="424"/>
      <c r="AG2250" s="424"/>
      <c r="AH2250" s="424"/>
    </row>
    <row r="2251" spans="1:34" x14ac:dyDescent="0.25">
      <c r="A2251" s="423" t="s">
        <v>7812</v>
      </c>
      <c r="B2251" s="423" t="s">
        <v>8392</v>
      </c>
      <c r="C2251" s="423" t="s">
        <v>6852</v>
      </c>
      <c r="D2251" s="423" t="s">
        <v>6850</v>
      </c>
      <c r="E2251" s="423" t="s">
        <v>242</v>
      </c>
      <c r="F2251" s="423">
        <v>32</v>
      </c>
      <c r="G2251" s="423">
        <v>64</v>
      </c>
      <c r="H2251" s="423">
        <v>300</v>
      </c>
      <c r="J2251" s="423"/>
      <c r="K2251" s="423"/>
      <c r="L2251" s="423"/>
      <c r="M2251" s="423"/>
      <c r="Q2251" s="423"/>
      <c r="R2251" s="424" t="s">
        <v>8393</v>
      </c>
      <c r="S2251" s="424" t="s">
        <v>2846</v>
      </c>
      <c r="T2251" s="424" t="s">
        <v>2870</v>
      </c>
      <c r="U2251" s="424">
        <v>0</v>
      </c>
      <c r="V2251" s="424" t="s">
        <v>2871</v>
      </c>
      <c r="W2251" s="424" t="s">
        <v>3074</v>
      </c>
      <c r="X2251" s="424" t="s">
        <v>8141</v>
      </c>
      <c r="Y2251" s="424" t="s">
        <v>2279</v>
      </c>
      <c r="Z2251" s="424" t="s">
        <v>2872</v>
      </c>
      <c r="AA2251" s="424" t="s">
        <v>2873</v>
      </c>
      <c r="AB2251" s="424" t="s">
        <v>7986</v>
      </c>
      <c r="AC2251" s="424" t="s">
        <v>1953</v>
      </c>
      <c r="AD2251" s="424" t="s">
        <v>2892</v>
      </c>
      <c r="AE2251" s="424" t="s">
        <v>3081</v>
      </c>
      <c r="AF2251" s="424"/>
      <c r="AG2251" s="424"/>
      <c r="AH2251" s="424"/>
    </row>
    <row r="2252" spans="1:34" x14ac:dyDescent="0.25">
      <c r="A2252" s="423" t="s">
        <v>7812</v>
      </c>
      <c r="B2252" s="423" t="s">
        <v>8394</v>
      </c>
      <c r="C2252" s="423" t="s">
        <v>6852</v>
      </c>
      <c r="D2252" s="423" t="s">
        <v>6850</v>
      </c>
      <c r="E2252" s="423" t="s">
        <v>242</v>
      </c>
      <c r="F2252" s="423">
        <v>32</v>
      </c>
      <c r="G2252" s="423">
        <v>64</v>
      </c>
      <c r="H2252" s="423">
        <v>300</v>
      </c>
      <c r="J2252" s="423"/>
      <c r="K2252" s="423"/>
      <c r="L2252" s="423"/>
      <c r="M2252" s="423"/>
      <c r="Q2252" s="423"/>
      <c r="R2252" s="424" t="s">
        <v>8395</v>
      </c>
      <c r="S2252" s="424" t="s">
        <v>2846</v>
      </c>
      <c r="T2252" s="424" t="s">
        <v>2870</v>
      </c>
      <c r="U2252" s="424">
        <v>0</v>
      </c>
      <c r="V2252" s="424" t="s">
        <v>2871</v>
      </c>
      <c r="W2252" s="424" t="s">
        <v>2871</v>
      </c>
      <c r="X2252" s="424" t="s">
        <v>8141</v>
      </c>
      <c r="Y2252" s="424" t="s">
        <v>2279</v>
      </c>
      <c r="Z2252" s="424" t="s">
        <v>2872</v>
      </c>
      <c r="AA2252" s="424" t="s">
        <v>2873</v>
      </c>
      <c r="AB2252" s="424" t="s">
        <v>5970</v>
      </c>
      <c r="AC2252" s="424" t="s">
        <v>1953</v>
      </c>
      <c r="AD2252" s="424" t="s">
        <v>2892</v>
      </c>
      <c r="AE2252" s="424" t="s">
        <v>2926</v>
      </c>
      <c r="AF2252" s="424"/>
      <c r="AG2252" s="424"/>
      <c r="AH2252" s="424"/>
    </row>
    <row r="2253" spans="1:34" x14ac:dyDescent="0.25">
      <c r="A2253" s="423" t="s">
        <v>7812</v>
      </c>
      <c r="B2253" s="423" t="s">
        <v>8396</v>
      </c>
      <c r="C2253" s="423" t="s">
        <v>6852</v>
      </c>
      <c r="D2253" s="423" t="s">
        <v>6850</v>
      </c>
      <c r="E2253" s="423" t="s">
        <v>242</v>
      </c>
      <c r="F2253" s="423">
        <v>32</v>
      </c>
      <c r="G2253" s="423">
        <v>64</v>
      </c>
      <c r="H2253" s="423">
        <v>300</v>
      </c>
      <c r="J2253" s="423"/>
      <c r="K2253" s="423"/>
      <c r="L2253" s="423"/>
      <c r="M2253" s="423"/>
      <c r="Q2253" s="423"/>
      <c r="R2253" s="424" t="s">
        <v>8397</v>
      </c>
      <c r="S2253" s="424" t="s">
        <v>2846</v>
      </c>
      <c r="T2253" s="424" t="s">
        <v>2870</v>
      </c>
      <c r="U2253" s="424">
        <v>0</v>
      </c>
      <c r="V2253" s="424" t="s">
        <v>2871</v>
      </c>
      <c r="W2253" s="424" t="s">
        <v>2974</v>
      </c>
      <c r="X2253" s="424" t="s">
        <v>8141</v>
      </c>
      <c r="Y2253" s="424" t="s">
        <v>2279</v>
      </c>
      <c r="Z2253" s="424" t="s">
        <v>2889</v>
      </c>
      <c r="AA2253" s="424" t="s">
        <v>2890</v>
      </c>
      <c r="AB2253" s="424" t="s">
        <v>5151</v>
      </c>
      <c r="AC2253" s="424" t="s">
        <v>1953</v>
      </c>
      <c r="AD2253" s="424" t="s">
        <v>2892</v>
      </c>
      <c r="AE2253" s="424" t="s">
        <v>2940</v>
      </c>
      <c r="AF2253" s="424"/>
      <c r="AG2253" s="424"/>
      <c r="AH2253" s="424"/>
    </row>
    <row r="2254" spans="1:34" x14ac:dyDescent="0.25">
      <c r="A2254" s="423" t="s">
        <v>7812</v>
      </c>
      <c r="B2254" s="423" t="s">
        <v>8398</v>
      </c>
      <c r="C2254" s="423" t="s">
        <v>6852</v>
      </c>
      <c r="D2254" s="423" t="s">
        <v>6850</v>
      </c>
      <c r="E2254" s="423" t="s">
        <v>242</v>
      </c>
      <c r="F2254" s="423">
        <v>32</v>
      </c>
      <c r="G2254" s="423">
        <v>64</v>
      </c>
      <c r="H2254" s="423">
        <v>300</v>
      </c>
      <c r="J2254" s="423"/>
      <c r="K2254" s="423"/>
      <c r="L2254" s="423"/>
      <c r="M2254" s="423"/>
      <c r="Q2254" s="423"/>
      <c r="R2254" s="424" t="s">
        <v>8399</v>
      </c>
      <c r="S2254" s="424" t="s">
        <v>2846</v>
      </c>
      <c r="T2254" s="424" t="s">
        <v>2870</v>
      </c>
      <c r="U2254" s="424">
        <v>0</v>
      </c>
      <c r="V2254" s="424" t="s">
        <v>2871</v>
      </c>
      <c r="W2254" s="424" t="s">
        <v>2974</v>
      </c>
      <c r="X2254" s="424" t="s">
        <v>8141</v>
      </c>
      <c r="Y2254" s="424" t="s">
        <v>2279</v>
      </c>
      <c r="Z2254" s="424" t="s">
        <v>2889</v>
      </c>
      <c r="AA2254" s="424" t="s">
        <v>2890</v>
      </c>
      <c r="AB2254" s="424" t="s">
        <v>2929</v>
      </c>
      <c r="AC2254" s="424" t="s">
        <v>1953</v>
      </c>
      <c r="AD2254" s="424" t="s">
        <v>2892</v>
      </c>
      <c r="AE2254" s="424" t="s">
        <v>2930</v>
      </c>
      <c r="AF2254" s="424"/>
      <c r="AG2254" s="424"/>
      <c r="AH2254" s="424"/>
    </row>
    <row r="2255" spans="1:34" x14ac:dyDescent="0.25">
      <c r="A2255" s="423" t="s">
        <v>7812</v>
      </c>
      <c r="B2255" s="423" t="s">
        <v>8400</v>
      </c>
      <c r="C2255" s="423" t="s">
        <v>6852</v>
      </c>
      <c r="D2255" s="423" t="s">
        <v>6850</v>
      </c>
      <c r="E2255" s="423" t="s">
        <v>242</v>
      </c>
      <c r="F2255" s="423">
        <v>32</v>
      </c>
      <c r="G2255" s="423">
        <v>64</v>
      </c>
      <c r="H2255" s="423">
        <v>300</v>
      </c>
      <c r="J2255" s="423"/>
      <c r="K2255" s="423"/>
      <c r="L2255" s="423"/>
      <c r="M2255" s="423"/>
      <c r="Q2255" s="423"/>
      <c r="R2255" s="424" t="s">
        <v>8401</v>
      </c>
      <c r="S2255" s="424" t="s">
        <v>2846</v>
      </c>
      <c r="T2255" s="424" t="s">
        <v>2870</v>
      </c>
      <c r="U2255" s="424">
        <v>0</v>
      </c>
      <c r="V2255" s="424" t="s">
        <v>2871</v>
      </c>
      <c r="W2255" s="424" t="s">
        <v>3176</v>
      </c>
      <c r="X2255" s="424" t="s">
        <v>8141</v>
      </c>
      <c r="Y2255" s="424" t="s">
        <v>2279</v>
      </c>
      <c r="Z2255" s="424" t="s">
        <v>2848</v>
      </c>
      <c r="AA2255" s="424" t="s">
        <v>2855</v>
      </c>
      <c r="AB2255" s="424" t="s">
        <v>2913</v>
      </c>
      <c r="AC2255" s="424" t="s">
        <v>1953</v>
      </c>
      <c r="AD2255" s="424" t="s">
        <v>2851</v>
      </c>
      <c r="AE2255" s="424" t="s">
        <v>2901</v>
      </c>
      <c r="AF2255" s="424"/>
      <c r="AG2255" s="424"/>
      <c r="AH2255" s="424"/>
    </row>
    <row r="2256" spans="1:34" x14ac:dyDescent="0.25">
      <c r="A2256" s="423" t="s">
        <v>7812</v>
      </c>
      <c r="B2256" s="423" t="s">
        <v>8402</v>
      </c>
      <c r="C2256" s="423" t="s">
        <v>6852</v>
      </c>
      <c r="D2256" s="423" t="s">
        <v>6850</v>
      </c>
      <c r="E2256" s="423" t="s">
        <v>242</v>
      </c>
      <c r="F2256" s="423">
        <v>32</v>
      </c>
      <c r="G2256" s="423">
        <v>64</v>
      </c>
      <c r="H2256" s="423">
        <v>300</v>
      </c>
      <c r="J2256" s="423"/>
      <c r="K2256" s="423"/>
      <c r="L2256" s="423"/>
      <c r="M2256" s="423"/>
      <c r="Q2256" s="423"/>
      <c r="R2256" s="424" t="s">
        <v>8403</v>
      </c>
      <c r="S2256" s="424" t="s">
        <v>2846</v>
      </c>
      <c r="T2256" s="424" t="s">
        <v>2870</v>
      </c>
      <c r="U2256" s="424">
        <v>0</v>
      </c>
      <c r="V2256" s="424" t="s">
        <v>2871</v>
      </c>
      <c r="W2256" s="424" t="s">
        <v>3074</v>
      </c>
      <c r="X2256" s="424" t="s">
        <v>8141</v>
      </c>
      <c r="Y2256" s="424" t="s">
        <v>2279</v>
      </c>
      <c r="Z2256" s="424" t="s">
        <v>2872</v>
      </c>
      <c r="AA2256" s="424" t="s">
        <v>2873</v>
      </c>
      <c r="AB2256" s="424" t="s">
        <v>3087</v>
      </c>
      <c r="AC2256" s="424" t="s">
        <v>1953</v>
      </c>
      <c r="AD2256" s="424" t="s">
        <v>2892</v>
      </c>
      <c r="AE2256" s="424" t="s">
        <v>2968</v>
      </c>
      <c r="AF2256" s="424"/>
      <c r="AG2256" s="424"/>
      <c r="AH2256" s="424"/>
    </row>
    <row r="2257" spans="1:34" x14ac:dyDescent="0.25">
      <c r="A2257" s="423" t="s">
        <v>7812</v>
      </c>
      <c r="B2257" s="423" t="s">
        <v>8404</v>
      </c>
      <c r="C2257" s="423" t="s">
        <v>6852</v>
      </c>
      <c r="D2257" s="423" t="s">
        <v>6850</v>
      </c>
      <c r="E2257" s="423" t="s">
        <v>242</v>
      </c>
      <c r="F2257" s="423">
        <v>32</v>
      </c>
      <c r="G2257" s="423">
        <v>64</v>
      </c>
      <c r="H2257" s="423">
        <v>300</v>
      </c>
      <c r="J2257" s="423"/>
      <c r="K2257" s="423"/>
      <c r="L2257" s="423"/>
      <c r="M2257" s="423"/>
      <c r="Q2257" s="423"/>
      <c r="R2257" s="424" t="s">
        <v>8405</v>
      </c>
      <c r="S2257" s="424" t="s">
        <v>2846</v>
      </c>
      <c r="T2257" s="424" t="s">
        <v>2870</v>
      </c>
      <c r="U2257" s="424">
        <v>0</v>
      </c>
      <c r="V2257" s="424" t="s">
        <v>2871</v>
      </c>
      <c r="W2257" s="424" t="s">
        <v>3074</v>
      </c>
      <c r="X2257" s="424" t="s">
        <v>8141</v>
      </c>
      <c r="Y2257" s="424" t="s">
        <v>2279</v>
      </c>
      <c r="Z2257" s="424" t="s">
        <v>2872</v>
      </c>
      <c r="AA2257" s="424" t="s">
        <v>2873</v>
      </c>
      <c r="AB2257" s="424" t="s">
        <v>7202</v>
      </c>
      <c r="AC2257" s="424" t="s">
        <v>1953</v>
      </c>
      <c r="AD2257" s="424" t="s">
        <v>2892</v>
      </c>
      <c r="AE2257" s="424" t="s">
        <v>2926</v>
      </c>
      <c r="AF2257" s="424"/>
      <c r="AG2257" s="424"/>
      <c r="AH2257" s="424"/>
    </row>
    <row r="2258" spans="1:34" x14ac:dyDescent="0.25">
      <c r="A2258" s="423" t="s">
        <v>7812</v>
      </c>
      <c r="B2258" s="423" t="s">
        <v>8406</v>
      </c>
      <c r="C2258" s="423" t="s">
        <v>6852</v>
      </c>
      <c r="D2258" s="423" t="s">
        <v>6850</v>
      </c>
      <c r="E2258" s="423" t="s">
        <v>242</v>
      </c>
      <c r="F2258" s="423">
        <v>32</v>
      </c>
      <c r="G2258" s="423">
        <v>64</v>
      </c>
      <c r="H2258" s="423">
        <v>300</v>
      </c>
      <c r="J2258" s="423"/>
      <c r="K2258" s="423"/>
      <c r="L2258" s="423"/>
      <c r="M2258" s="423"/>
      <c r="Q2258" s="423"/>
      <c r="R2258" s="424" t="s">
        <v>8407</v>
      </c>
      <c r="S2258" s="424" t="s">
        <v>2846</v>
      </c>
      <c r="T2258" s="424" t="s">
        <v>2870</v>
      </c>
      <c r="U2258" s="424">
        <v>0</v>
      </c>
      <c r="V2258" s="424" t="s">
        <v>2871</v>
      </c>
      <c r="W2258" s="424" t="s">
        <v>2974</v>
      </c>
      <c r="X2258" s="424" t="s">
        <v>8141</v>
      </c>
      <c r="Y2258" s="424" t="s">
        <v>2279</v>
      </c>
      <c r="Z2258" s="424" t="s">
        <v>2872</v>
      </c>
      <c r="AA2258" s="424" t="s">
        <v>2873</v>
      </c>
      <c r="AB2258" s="424" t="s">
        <v>4548</v>
      </c>
      <c r="AC2258" s="424" t="s">
        <v>1953</v>
      </c>
      <c r="AD2258" s="424" t="s">
        <v>2892</v>
      </c>
      <c r="AE2258" s="424" t="s">
        <v>4219</v>
      </c>
      <c r="AF2258" s="424"/>
      <c r="AG2258" s="424"/>
      <c r="AH2258" s="424"/>
    </row>
    <row r="2259" spans="1:34" x14ac:dyDescent="0.25">
      <c r="A2259" s="423" t="s">
        <v>7812</v>
      </c>
      <c r="B2259" s="423" t="s">
        <v>8408</v>
      </c>
      <c r="C2259" s="423" t="s">
        <v>6852</v>
      </c>
      <c r="D2259" s="423" t="s">
        <v>6850</v>
      </c>
      <c r="E2259" s="423" t="s">
        <v>242</v>
      </c>
      <c r="F2259" s="423">
        <v>32</v>
      </c>
      <c r="G2259" s="423">
        <v>64</v>
      </c>
      <c r="H2259" s="423">
        <v>300</v>
      </c>
      <c r="J2259" s="423"/>
      <c r="K2259" s="423"/>
      <c r="L2259" s="423"/>
      <c r="M2259" s="423"/>
      <c r="Q2259" s="423"/>
      <c r="R2259" s="424" t="s">
        <v>8409</v>
      </c>
      <c r="S2259" s="424" t="s">
        <v>2846</v>
      </c>
      <c r="T2259" s="424" t="s">
        <v>2870</v>
      </c>
      <c r="U2259" s="424">
        <v>0</v>
      </c>
      <c r="V2259" s="424" t="s">
        <v>2871</v>
      </c>
      <c r="W2259" s="424" t="s">
        <v>2974</v>
      </c>
      <c r="X2259" s="424" t="s">
        <v>8141</v>
      </c>
      <c r="Y2259" s="424" t="s">
        <v>2279</v>
      </c>
      <c r="Z2259" s="424" t="s">
        <v>2889</v>
      </c>
      <c r="AA2259" s="424" t="s">
        <v>2890</v>
      </c>
      <c r="AB2259" s="424" t="s">
        <v>2929</v>
      </c>
      <c r="AC2259" s="424" t="s">
        <v>1953</v>
      </c>
      <c r="AD2259" s="424" t="s">
        <v>2892</v>
      </c>
      <c r="AE2259" s="424" t="s">
        <v>2930</v>
      </c>
      <c r="AF2259" s="424"/>
      <c r="AG2259" s="424"/>
      <c r="AH2259" s="424"/>
    </row>
    <row r="2260" spans="1:34" x14ac:dyDescent="0.25">
      <c r="A2260" s="423" t="s">
        <v>7812</v>
      </c>
      <c r="B2260" s="423" t="s">
        <v>8410</v>
      </c>
      <c r="C2260" s="423" t="s">
        <v>6852</v>
      </c>
      <c r="D2260" s="423" t="s">
        <v>6850</v>
      </c>
      <c r="E2260" s="423" t="s">
        <v>242</v>
      </c>
      <c r="F2260" s="423">
        <v>32</v>
      </c>
      <c r="G2260" s="423">
        <v>64</v>
      </c>
      <c r="H2260" s="423">
        <v>300</v>
      </c>
      <c r="J2260" s="423"/>
      <c r="K2260" s="423"/>
      <c r="L2260" s="423"/>
      <c r="M2260" s="423"/>
      <c r="Q2260" s="423"/>
      <c r="R2260" s="424" t="s">
        <v>8411</v>
      </c>
      <c r="S2260" s="424" t="s">
        <v>2846</v>
      </c>
      <c r="T2260" s="424" t="s">
        <v>2870</v>
      </c>
      <c r="U2260" s="424">
        <v>0</v>
      </c>
      <c r="V2260" s="424" t="s">
        <v>2871</v>
      </c>
      <c r="W2260" s="424" t="s">
        <v>3074</v>
      </c>
      <c r="X2260" s="424" t="s">
        <v>8141</v>
      </c>
      <c r="Y2260" s="424" t="s">
        <v>2279</v>
      </c>
      <c r="Z2260" s="424" t="s">
        <v>2848</v>
      </c>
      <c r="AA2260" s="424" t="s">
        <v>2855</v>
      </c>
      <c r="AB2260" s="424" t="s">
        <v>4513</v>
      </c>
      <c r="AC2260" s="424" t="s">
        <v>1953</v>
      </c>
      <c r="AD2260" s="424" t="s">
        <v>2851</v>
      </c>
      <c r="AE2260" s="424" t="s">
        <v>3173</v>
      </c>
      <c r="AF2260" s="424"/>
      <c r="AG2260" s="424"/>
      <c r="AH2260" s="424"/>
    </row>
    <row r="2261" spans="1:34" x14ac:dyDescent="0.25">
      <c r="A2261" s="423" t="s">
        <v>7812</v>
      </c>
      <c r="B2261" s="423" t="s">
        <v>8412</v>
      </c>
      <c r="C2261" s="423" t="s">
        <v>6852</v>
      </c>
      <c r="D2261" s="423" t="s">
        <v>6850</v>
      </c>
      <c r="E2261" s="423" t="s">
        <v>242</v>
      </c>
      <c r="F2261" s="423">
        <v>32</v>
      </c>
      <c r="G2261" s="423">
        <v>64</v>
      </c>
      <c r="H2261" s="423">
        <v>300</v>
      </c>
      <c r="J2261" s="423"/>
      <c r="K2261" s="423"/>
      <c r="L2261" s="423"/>
      <c r="M2261" s="423"/>
      <c r="Q2261" s="423"/>
      <c r="R2261" s="424" t="s">
        <v>8413</v>
      </c>
      <c r="S2261" s="424" t="s">
        <v>2846</v>
      </c>
      <c r="T2261" s="424" t="s">
        <v>2870</v>
      </c>
      <c r="U2261" s="424">
        <v>0</v>
      </c>
      <c r="V2261" s="424" t="s">
        <v>2871</v>
      </c>
      <c r="W2261" s="424" t="s">
        <v>3074</v>
      </c>
      <c r="X2261" s="424" t="s">
        <v>8141</v>
      </c>
      <c r="Y2261" s="424" t="s">
        <v>2279</v>
      </c>
      <c r="Z2261" s="424" t="s">
        <v>2872</v>
      </c>
      <c r="AA2261" s="424" t="s">
        <v>2873</v>
      </c>
      <c r="AB2261" s="424" t="s">
        <v>8121</v>
      </c>
      <c r="AC2261" s="424" t="s">
        <v>1953</v>
      </c>
      <c r="AD2261" s="424" t="s">
        <v>2892</v>
      </c>
      <c r="AE2261" s="424" t="s">
        <v>2968</v>
      </c>
      <c r="AF2261" s="424"/>
      <c r="AG2261" s="424"/>
      <c r="AH2261" s="424"/>
    </row>
    <row r="2262" spans="1:34" x14ac:dyDescent="0.25">
      <c r="A2262" s="423" t="s">
        <v>7812</v>
      </c>
      <c r="B2262" s="423" t="s">
        <v>8414</v>
      </c>
      <c r="C2262" s="423" t="s">
        <v>6852</v>
      </c>
      <c r="D2262" s="423" t="s">
        <v>6850</v>
      </c>
      <c r="E2262" s="423" t="s">
        <v>242</v>
      </c>
      <c r="F2262" s="423">
        <v>32</v>
      </c>
      <c r="G2262" s="423">
        <v>64</v>
      </c>
      <c r="H2262" s="423">
        <v>300</v>
      </c>
      <c r="J2262" s="423"/>
      <c r="K2262" s="423"/>
      <c r="L2262" s="423"/>
      <c r="M2262" s="423"/>
      <c r="Q2262" s="423"/>
      <c r="R2262" s="424" t="s">
        <v>8415</v>
      </c>
      <c r="S2262" s="424" t="s">
        <v>2846</v>
      </c>
      <c r="T2262" s="424" t="s">
        <v>2870</v>
      </c>
      <c r="U2262" s="424">
        <v>0</v>
      </c>
      <c r="V2262" s="424" t="s">
        <v>2871</v>
      </c>
      <c r="W2262" s="424" t="s">
        <v>3074</v>
      </c>
      <c r="X2262" s="424" t="s">
        <v>8141</v>
      </c>
      <c r="Y2262" s="424" t="s">
        <v>2279</v>
      </c>
      <c r="Z2262" s="424" t="s">
        <v>2872</v>
      </c>
      <c r="AA2262" s="424" t="s">
        <v>2873</v>
      </c>
      <c r="AB2262" s="424" t="s">
        <v>2933</v>
      </c>
      <c r="AC2262" s="424" t="s">
        <v>1953</v>
      </c>
      <c r="AD2262" s="424" t="s">
        <v>2892</v>
      </c>
      <c r="AE2262" s="424" t="s">
        <v>2926</v>
      </c>
      <c r="AF2262" s="424"/>
      <c r="AG2262" s="424"/>
      <c r="AH2262" s="424"/>
    </row>
    <row r="2263" spans="1:34" x14ac:dyDescent="0.25">
      <c r="A2263" s="423" t="s">
        <v>7812</v>
      </c>
      <c r="B2263" s="423" t="s">
        <v>8416</v>
      </c>
      <c r="C2263" s="423" t="s">
        <v>6852</v>
      </c>
      <c r="D2263" s="423" t="s">
        <v>6850</v>
      </c>
      <c r="E2263" s="423" t="s">
        <v>242</v>
      </c>
      <c r="F2263" s="423">
        <v>32</v>
      </c>
      <c r="G2263" s="423">
        <v>64</v>
      </c>
      <c r="H2263" s="423">
        <v>300</v>
      </c>
      <c r="J2263" s="423"/>
      <c r="K2263" s="423"/>
      <c r="L2263" s="423"/>
      <c r="M2263" s="423"/>
      <c r="Q2263" s="423"/>
      <c r="R2263" s="424" t="s">
        <v>8417</v>
      </c>
      <c r="S2263" s="424" t="s">
        <v>2846</v>
      </c>
      <c r="T2263" s="424" t="s">
        <v>2870</v>
      </c>
      <c r="U2263" s="424">
        <v>0</v>
      </c>
      <c r="V2263" s="424" t="s">
        <v>2871</v>
      </c>
      <c r="W2263" s="424" t="s">
        <v>2974</v>
      </c>
      <c r="X2263" s="424" t="s">
        <v>8141</v>
      </c>
      <c r="Y2263" s="424" t="s">
        <v>2279</v>
      </c>
      <c r="Z2263" s="424" t="s">
        <v>2872</v>
      </c>
      <c r="AA2263" s="424" t="s">
        <v>2873</v>
      </c>
      <c r="AB2263" s="424" t="s">
        <v>7860</v>
      </c>
      <c r="AC2263" s="424" t="s">
        <v>1953</v>
      </c>
      <c r="AD2263" s="424" t="s">
        <v>2892</v>
      </c>
      <c r="AE2263" s="424" t="s">
        <v>4463</v>
      </c>
      <c r="AF2263" s="424"/>
      <c r="AG2263" s="424"/>
      <c r="AH2263" s="424"/>
    </row>
    <row r="2264" spans="1:34" x14ac:dyDescent="0.25">
      <c r="A2264" s="423" t="s">
        <v>7812</v>
      </c>
      <c r="B2264" s="423" t="s">
        <v>8418</v>
      </c>
      <c r="C2264" s="423" t="s">
        <v>6852</v>
      </c>
      <c r="D2264" s="423" t="s">
        <v>6850</v>
      </c>
      <c r="E2264" s="423" t="s">
        <v>242</v>
      </c>
      <c r="F2264" s="423">
        <v>32</v>
      </c>
      <c r="G2264" s="423">
        <v>64</v>
      </c>
      <c r="H2264" s="423">
        <v>300</v>
      </c>
      <c r="J2264" s="423"/>
      <c r="K2264" s="423"/>
      <c r="L2264" s="423"/>
      <c r="M2264" s="423"/>
      <c r="Q2264" s="423"/>
      <c r="R2264" s="424" t="s">
        <v>8419</v>
      </c>
      <c r="S2264" s="424" t="s">
        <v>2846</v>
      </c>
      <c r="T2264" s="424" t="s">
        <v>2870</v>
      </c>
      <c r="U2264" s="424">
        <v>0</v>
      </c>
      <c r="V2264" s="424" t="s">
        <v>2871</v>
      </c>
      <c r="W2264" s="424" t="s">
        <v>2974</v>
      </c>
      <c r="X2264" s="424" t="s">
        <v>8141</v>
      </c>
      <c r="Y2264" s="424" t="s">
        <v>2279</v>
      </c>
      <c r="Z2264" s="424" t="s">
        <v>2889</v>
      </c>
      <c r="AA2264" s="424" t="s">
        <v>2890</v>
      </c>
      <c r="AB2264" s="424" t="s">
        <v>8420</v>
      </c>
      <c r="AC2264" s="424" t="s">
        <v>1953</v>
      </c>
      <c r="AD2264" s="424" t="s">
        <v>2892</v>
      </c>
      <c r="AE2264" s="424" t="s">
        <v>2930</v>
      </c>
      <c r="AF2264" s="424"/>
      <c r="AG2264" s="424"/>
      <c r="AH2264" s="424"/>
    </row>
    <row r="2265" spans="1:34" x14ac:dyDescent="0.25">
      <c r="A2265" s="423" t="s">
        <v>7812</v>
      </c>
      <c r="B2265" s="423" t="s">
        <v>8421</v>
      </c>
      <c r="C2265" s="423" t="s">
        <v>6852</v>
      </c>
      <c r="D2265" s="423" t="s">
        <v>6850</v>
      </c>
      <c r="E2265" s="423" t="s">
        <v>242</v>
      </c>
      <c r="F2265" s="423">
        <v>32</v>
      </c>
      <c r="G2265" s="423">
        <v>64</v>
      </c>
      <c r="H2265" s="423">
        <v>300</v>
      </c>
      <c r="J2265" s="423"/>
      <c r="K2265" s="423"/>
      <c r="L2265" s="423"/>
      <c r="M2265" s="423"/>
      <c r="Q2265" s="423"/>
      <c r="R2265" s="424" t="s">
        <v>8422</v>
      </c>
      <c r="S2265" s="424" t="s">
        <v>2846</v>
      </c>
      <c r="T2265" s="424" t="s">
        <v>2870</v>
      </c>
      <c r="U2265" s="424">
        <v>0</v>
      </c>
      <c r="V2265" s="424" t="s">
        <v>2871</v>
      </c>
      <c r="W2265" s="424" t="s">
        <v>3074</v>
      </c>
      <c r="X2265" s="424" t="s">
        <v>8141</v>
      </c>
      <c r="Y2265" s="424" t="s">
        <v>2279</v>
      </c>
      <c r="Z2265" s="424" t="s">
        <v>2848</v>
      </c>
      <c r="AA2265" s="424" t="s">
        <v>2855</v>
      </c>
      <c r="AB2265" s="424" t="s">
        <v>3475</v>
      </c>
      <c r="AC2265" s="424" t="s">
        <v>1953</v>
      </c>
      <c r="AD2265" s="424" t="s">
        <v>2851</v>
      </c>
      <c r="AE2265" s="424" t="s">
        <v>3173</v>
      </c>
      <c r="AF2265" s="424"/>
      <c r="AG2265" s="424"/>
      <c r="AH2265" s="424"/>
    </row>
    <row r="2266" spans="1:34" x14ac:dyDescent="0.25">
      <c r="A2266" s="423" t="s">
        <v>7812</v>
      </c>
      <c r="B2266" s="423" t="s">
        <v>8423</v>
      </c>
      <c r="C2266" s="423" t="s">
        <v>6852</v>
      </c>
      <c r="D2266" s="423" t="s">
        <v>6850</v>
      </c>
      <c r="E2266" s="423" t="s">
        <v>242</v>
      </c>
      <c r="F2266" s="423">
        <v>32</v>
      </c>
      <c r="G2266" s="423">
        <v>64</v>
      </c>
      <c r="H2266" s="423">
        <v>300</v>
      </c>
      <c r="J2266" s="423"/>
      <c r="K2266" s="423"/>
      <c r="L2266" s="423"/>
      <c r="M2266" s="423"/>
      <c r="Q2266" s="423"/>
      <c r="R2266" s="424" t="s">
        <v>8424</v>
      </c>
      <c r="S2266" s="424" t="s">
        <v>2846</v>
      </c>
      <c r="T2266" s="424" t="s">
        <v>2870</v>
      </c>
      <c r="U2266" s="424">
        <v>0</v>
      </c>
      <c r="V2266" s="424" t="s">
        <v>2871</v>
      </c>
      <c r="W2266" s="424" t="s">
        <v>3074</v>
      </c>
      <c r="X2266" s="424" t="s">
        <v>8141</v>
      </c>
      <c r="Y2266" s="424" t="s">
        <v>2279</v>
      </c>
      <c r="Z2266" s="424" t="s">
        <v>2872</v>
      </c>
      <c r="AA2266" s="424" t="s">
        <v>2873</v>
      </c>
      <c r="AB2266" s="424" t="s">
        <v>8276</v>
      </c>
      <c r="AC2266" s="424" t="s">
        <v>1953</v>
      </c>
      <c r="AD2266" s="424" t="s">
        <v>2892</v>
      </c>
      <c r="AE2266" s="424" t="s">
        <v>3081</v>
      </c>
      <c r="AF2266" s="424"/>
      <c r="AG2266" s="424"/>
      <c r="AH2266" s="424"/>
    </row>
    <row r="2267" spans="1:34" x14ac:dyDescent="0.25">
      <c r="A2267" s="423" t="s">
        <v>7812</v>
      </c>
      <c r="B2267" s="423" t="s">
        <v>8425</v>
      </c>
      <c r="C2267" s="423" t="s">
        <v>6852</v>
      </c>
      <c r="D2267" s="423" t="s">
        <v>6850</v>
      </c>
      <c r="E2267" s="423" t="s">
        <v>242</v>
      </c>
      <c r="F2267" s="423">
        <v>32</v>
      </c>
      <c r="G2267" s="423">
        <v>64</v>
      </c>
      <c r="H2267" s="423">
        <v>300</v>
      </c>
      <c r="J2267" s="423"/>
      <c r="K2267" s="423"/>
      <c r="L2267" s="423"/>
      <c r="M2267" s="423"/>
      <c r="Q2267" s="423"/>
      <c r="R2267" s="424" t="s">
        <v>8426</v>
      </c>
      <c r="S2267" s="424" t="s">
        <v>2846</v>
      </c>
      <c r="T2267" s="424" t="s">
        <v>2870</v>
      </c>
      <c r="U2267" s="424">
        <v>0</v>
      </c>
      <c r="V2267" s="424" t="s">
        <v>2871</v>
      </c>
      <c r="W2267" s="424" t="s">
        <v>3074</v>
      </c>
      <c r="X2267" s="424" t="s">
        <v>8141</v>
      </c>
      <c r="Y2267" s="424" t="s">
        <v>2279</v>
      </c>
      <c r="Z2267" s="424" t="s">
        <v>2872</v>
      </c>
      <c r="AA2267" s="424" t="s">
        <v>2873</v>
      </c>
      <c r="AB2267" s="424" t="s">
        <v>5931</v>
      </c>
      <c r="AC2267" s="424" t="s">
        <v>1953</v>
      </c>
      <c r="AD2267" s="424" t="s">
        <v>2892</v>
      </c>
      <c r="AE2267" s="424" t="s">
        <v>2926</v>
      </c>
      <c r="AF2267" s="424"/>
      <c r="AG2267" s="424"/>
      <c r="AH2267" s="424"/>
    </row>
    <row r="2268" spans="1:34" x14ac:dyDescent="0.25">
      <c r="A2268" s="423" t="s">
        <v>7812</v>
      </c>
      <c r="B2268" s="423" t="s">
        <v>8427</v>
      </c>
      <c r="C2268" s="423" t="s">
        <v>6852</v>
      </c>
      <c r="D2268" s="423" t="s">
        <v>6850</v>
      </c>
      <c r="E2268" s="423" t="s">
        <v>242</v>
      </c>
      <c r="F2268" s="423">
        <v>32</v>
      </c>
      <c r="G2268" s="423">
        <v>64</v>
      </c>
      <c r="H2268" s="423">
        <v>300</v>
      </c>
      <c r="J2268" s="423"/>
      <c r="K2268" s="423"/>
      <c r="L2268" s="423"/>
      <c r="M2268" s="423"/>
      <c r="Q2268" s="423"/>
      <c r="R2268" s="424" t="s">
        <v>8428</v>
      </c>
      <c r="S2268" s="424" t="s">
        <v>2846</v>
      </c>
      <c r="T2268" s="424" t="s">
        <v>2870</v>
      </c>
      <c r="U2268" s="424">
        <v>0</v>
      </c>
      <c r="V2268" s="424" t="s">
        <v>2871</v>
      </c>
      <c r="W2268" s="424" t="s">
        <v>2974</v>
      </c>
      <c r="X2268" s="424" t="s">
        <v>8141</v>
      </c>
      <c r="Y2268" s="424" t="s">
        <v>2279</v>
      </c>
      <c r="Z2268" s="424" t="s">
        <v>2872</v>
      </c>
      <c r="AA2268" s="424" t="s">
        <v>2873</v>
      </c>
      <c r="AB2268" s="424" t="s">
        <v>4599</v>
      </c>
      <c r="AC2268" s="424" t="s">
        <v>1953</v>
      </c>
      <c r="AD2268" s="424" t="s">
        <v>2892</v>
      </c>
      <c r="AE2268" s="424" t="s">
        <v>4219</v>
      </c>
      <c r="AF2268" s="424"/>
      <c r="AG2268" s="424"/>
      <c r="AH2268" s="424"/>
    </row>
    <row r="2269" spans="1:34" x14ac:dyDescent="0.25">
      <c r="A2269" s="423" t="s">
        <v>7812</v>
      </c>
      <c r="B2269" s="423" t="s">
        <v>8429</v>
      </c>
      <c r="C2269" s="423" t="s">
        <v>6852</v>
      </c>
      <c r="D2269" s="423" t="s">
        <v>6850</v>
      </c>
      <c r="E2269" s="423" t="s">
        <v>242</v>
      </c>
      <c r="F2269" s="423">
        <v>32</v>
      </c>
      <c r="G2269" s="423">
        <v>64</v>
      </c>
      <c r="H2269" s="423">
        <v>300</v>
      </c>
      <c r="J2269" s="423"/>
      <c r="K2269" s="423"/>
      <c r="L2269" s="423"/>
      <c r="M2269" s="423"/>
      <c r="Q2269" s="423"/>
      <c r="R2269" s="424" t="s">
        <v>8430</v>
      </c>
      <c r="S2269" s="424" t="s">
        <v>2846</v>
      </c>
      <c r="T2269" s="424" t="s">
        <v>2870</v>
      </c>
      <c r="U2269" s="424">
        <v>0</v>
      </c>
      <c r="V2269" s="424" t="s">
        <v>2871</v>
      </c>
      <c r="W2269" s="424" t="s">
        <v>3074</v>
      </c>
      <c r="X2269" s="424" t="s">
        <v>8141</v>
      </c>
      <c r="Y2269" s="424" t="s">
        <v>2279</v>
      </c>
      <c r="Z2269" s="424" t="s">
        <v>2872</v>
      </c>
      <c r="AA2269" s="424" t="s">
        <v>2873</v>
      </c>
      <c r="AB2269" s="424" t="s">
        <v>4478</v>
      </c>
      <c r="AC2269" s="424" t="s">
        <v>1953</v>
      </c>
      <c r="AD2269" s="424" t="s">
        <v>2892</v>
      </c>
      <c r="AE2269" s="424" t="s">
        <v>2962</v>
      </c>
      <c r="AF2269" s="424"/>
      <c r="AG2269" s="424"/>
      <c r="AH2269" s="424"/>
    </row>
    <row r="2270" spans="1:34" x14ac:dyDescent="0.25">
      <c r="A2270" s="423" t="s">
        <v>7812</v>
      </c>
      <c r="B2270" s="423" t="s">
        <v>8431</v>
      </c>
      <c r="C2270" s="423" t="s">
        <v>6852</v>
      </c>
      <c r="D2270" s="423" t="s">
        <v>6850</v>
      </c>
      <c r="E2270" s="423" t="s">
        <v>242</v>
      </c>
      <c r="F2270" s="423">
        <v>32</v>
      </c>
      <c r="G2270" s="423">
        <v>64</v>
      </c>
      <c r="H2270" s="423">
        <v>300</v>
      </c>
      <c r="J2270" s="423"/>
      <c r="K2270" s="423"/>
      <c r="L2270" s="423"/>
      <c r="M2270" s="423"/>
      <c r="Q2270" s="423"/>
      <c r="R2270" s="424" t="s">
        <v>8432</v>
      </c>
      <c r="S2270" s="424" t="s">
        <v>2846</v>
      </c>
      <c r="T2270" s="424" t="s">
        <v>2870</v>
      </c>
      <c r="U2270" s="424">
        <v>0</v>
      </c>
      <c r="V2270" s="424" t="s">
        <v>2871</v>
      </c>
      <c r="W2270" s="424" t="s">
        <v>3054</v>
      </c>
      <c r="X2270" s="424" t="s">
        <v>8141</v>
      </c>
      <c r="Y2270" s="424" t="s">
        <v>2279</v>
      </c>
      <c r="Z2270" s="424" t="s">
        <v>2848</v>
      </c>
      <c r="AA2270" s="424" t="s">
        <v>2855</v>
      </c>
      <c r="AB2270" s="424" t="s">
        <v>3813</v>
      </c>
      <c r="AC2270" s="424" t="s">
        <v>1953</v>
      </c>
      <c r="AD2270" s="424" t="s">
        <v>2851</v>
      </c>
      <c r="AE2270" s="424" t="s">
        <v>2901</v>
      </c>
      <c r="AF2270" s="424"/>
      <c r="AG2270" s="424"/>
      <c r="AH2270" s="424"/>
    </row>
    <row r="2271" spans="1:34" x14ac:dyDescent="0.25">
      <c r="A2271" s="423" t="s">
        <v>7812</v>
      </c>
      <c r="B2271" s="423" t="s">
        <v>8433</v>
      </c>
      <c r="C2271" s="423" t="s">
        <v>6852</v>
      </c>
      <c r="D2271" s="423" t="s">
        <v>6850</v>
      </c>
      <c r="E2271" s="423" t="s">
        <v>242</v>
      </c>
      <c r="F2271" s="423">
        <v>32</v>
      </c>
      <c r="G2271" s="423">
        <v>64</v>
      </c>
      <c r="H2271" s="423">
        <v>300</v>
      </c>
      <c r="J2271" s="423"/>
      <c r="K2271" s="423"/>
      <c r="L2271" s="423"/>
      <c r="M2271" s="423"/>
      <c r="Q2271" s="423"/>
      <c r="R2271" s="424" t="s">
        <v>8434</v>
      </c>
      <c r="S2271" s="424" t="s">
        <v>2846</v>
      </c>
      <c r="T2271" s="424" t="s">
        <v>2870</v>
      </c>
      <c r="U2271" s="424">
        <v>0</v>
      </c>
      <c r="V2271" s="424" t="s">
        <v>2871</v>
      </c>
      <c r="W2271" s="424" t="s">
        <v>3074</v>
      </c>
      <c r="X2271" s="424" t="s">
        <v>8141</v>
      </c>
      <c r="Y2271" s="424" t="s">
        <v>2279</v>
      </c>
      <c r="Z2271" s="424" t="s">
        <v>2872</v>
      </c>
      <c r="AA2271" s="424" t="s">
        <v>2873</v>
      </c>
      <c r="AB2271" s="424" t="s">
        <v>7993</v>
      </c>
      <c r="AC2271" s="424" t="s">
        <v>1953</v>
      </c>
      <c r="AD2271" s="424" t="s">
        <v>2892</v>
      </c>
      <c r="AE2271" s="424" t="s">
        <v>3081</v>
      </c>
      <c r="AF2271" s="424"/>
      <c r="AG2271" s="424"/>
      <c r="AH2271" s="424"/>
    </row>
    <row r="2272" spans="1:34" x14ac:dyDescent="0.25">
      <c r="A2272" s="423" t="s">
        <v>7812</v>
      </c>
      <c r="B2272" s="423" t="s">
        <v>8435</v>
      </c>
      <c r="C2272" s="423" t="s">
        <v>6852</v>
      </c>
      <c r="D2272" s="423" t="s">
        <v>6850</v>
      </c>
      <c r="E2272" s="423" t="s">
        <v>242</v>
      </c>
      <c r="F2272" s="423">
        <v>32</v>
      </c>
      <c r="G2272" s="423">
        <v>64</v>
      </c>
      <c r="H2272" s="423">
        <v>300</v>
      </c>
      <c r="J2272" s="423"/>
      <c r="K2272" s="423"/>
      <c r="L2272" s="423"/>
      <c r="M2272" s="423"/>
      <c r="Q2272" s="423"/>
      <c r="R2272" s="424" t="s">
        <v>8436</v>
      </c>
      <c r="S2272" s="424" t="s">
        <v>2846</v>
      </c>
      <c r="T2272" s="424" t="s">
        <v>2870</v>
      </c>
      <c r="U2272" s="424">
        <v>0</v>
      </c>
      <c r="V2272" s="424" t="s">
        <v>2871</v>
      </c>
      <c r="W2272" s="424" t="s">
        <v>3074</v>
      </c>
      <c r="X2272" s="424" t="s">
        <v>8141</v>
      </c>
      <c r="Y2272" s="424" t="s">
        <v>2279</v>
      </c>
      <c r="Z2272" s="424" t="s">
        <v>2872</v>
      </c>
      <c r="AA2272" s="424" t="s">
        <v>2873</v>
      </c>
      <c r="AB2272" s="424" t="s">
        <v>7202</v>
      </c>
      <c r="AC2272" s="424" t="s">
        <v>1953</v>
      </c>
      <c r="AD2272" s="424" t="s">
        <v>2892</v>
      </c>
      <c r="AE2272" s="424" t="s">
        <v>2926</v>
      </c>
      <c r="AF2272" s="424"/>
      <c r="AG2272" s="424"/>
      <c r="AH2272" s="424"/>
    </row>
    <row r="2273" spans="1:34" x14ac:dyDescent="0.25">
      <c r="A2273" s="423" t="s">
        <v>7812</v>
      </c>
      <c r="B2273" s="423" t="s">
        <v>8437</v>
      </c>
      <c r="C2273" s="423" t="s">
        <v>6852</v>
      </c>
      <c r="D2273" s="423" t="s">
        <v>6850</v>
      </c>
      <c r="E2273" s="423" t="s">
        <v>242</v>
      </c>
      <c r="F2273" s="423">
        <v>32</v>
      </c>
      <c r="G2273" s="423">
        <v>64</v>
      </c>
      <c r="H2273" s="423">
        <v>300</v>
      </c>
      <c r="J2273" s="423"/>
      <c r="K2273" s="423"/>
      <c r="L2273" s="423"/>
      <c r="M2273" s="423"/>
      <c r="Q2273" s="423"/>
      <c r="R2273" s="424" t="s">
        <v>8438</v>
      </c>
      <c r="S2273" s="424" t="s">
        <v>2846</v>
      </c>
      <c r="T2273" s="424" t="s">
        <v>2870</v>
      </c>
      <c r="U2273" s="424">
        <v>0</v>
      </c>
      <c r="V2273" s="424" t="s">
        <v>2871</v>
      </c>
      <c r="W2273" s="424" t="s">
        <v>2974</v>
      </c>
      <c r="X2273" s="424" t="s">
        <v>8141</v>
      </c>
      <c r="Y2273" s="424" t="s">
        <v>2279</v>
      </c>
      <c r="Z2273" s="424" t="s">
        <v>2872</v>
      </c>
      <c r="AA2273" s="424" t="s">
        <v>2873</v>
      </c>
      <c r="AB2273" s="424" t="s">
        <v>4462</v>
      </c>
      <c r="AC2273" s="424" t="s">
        <v>1953</v>
      </c>
      <c r="AD2273" s="424" t="s">
        <v>2892</v>
      </c>
      <c r="AE2273" s="424" t="s">
        <v>4463</v>
      </c>
      <c r="AF2273" s="424"/>
      <c r="AG2273" s="424"/>
      <c r="AH2273" s="424"/>
    </row>
    <row r="2274" spans="1:34" x14ac:dyDescent="0.25">
      <c r="A2274" s="423" t="s">
        <v>7812</v>
      </c>
      <c r="B2274" s="423" t="s">
        <v>8439</v>
      </c>
      <c r="C2274" s="423" t="s">
        <v>6852</v>
      </c>
      <c r="D2274" s="423" t="s">
        <v>6850</v>
      </c>
      <c r="E2274" s="423" t="s">
        <v>242</v>
      </c>
      <c r="F2274" s="423">
        <v>32</v>
      </c>
      <c r="G2274" s="423">
        <v>64</v>
      </c>
      <c r="H2274" s="423">
        <v>300</v>
      </c>
      <c r="J2274" s="423"/>
      <c r="K2274" s="423"/>
      <c r="L2274" s="423"/>
      <c r="M2274" s="423"/>
      <c r="Q2274" s="423"/>
      <c r="R2274" s="424" t="s">
        <v>8440</v>
      </c>
      <c r="S2274" s="424" t="s">
        <v>2846</v>
      </c>
      <c r="T2274" s="424" t="s">
        <v>2870</v>
      </c>
      <c r="U2274" s="424">
        <v>0</v>
      </c>
      <c r="V2274" s="424" t="s">
        <v>2871</v>
      </c>
      <c r="W2274" s="424" t="s">
        <v>2974</v>
      </c>
      <c r="X2274" s="424" t="s">
        <v>8141</v>
      </c>
      <c r="Y2274" s="424" t="s">
        <v>2279</v>
      </c>
      <c r="Z2274" s="424" t="s">
        <v>2889</v>
      </c>
      <c r="AA2274" s="424" t="s">
        <v>2890</v>
      </c>
      <c r="AB2274" s="424" t="s">
        <v>6740</v>
      </c>
      <c r="AC2274" s="424" t="s">
        <v>1953</v>
      </c>
      <c r="AD2274" s="424" t="s">
        <v>2892</v>
      </c>
      <c r="AE2274" s="424" t="s">
        <v>2930</v>
      </c>
      <c r="AF2274" s="424"/>
      <c r="AG2274" s="424"/>
      <c r="AH2274" s="424"/>
    </row>
    <row r="2275" spans="1:34" x14ac:dyDescent="0.25">
      <c r="A2275" s="423" t="s">
        <v>7812</v>
      </c>
      <c r="B2275" s="423" t="s">
        <v>8441</v>
      </c>
      <c r="C2275" s="423" t="s">
        <v>6852</v>
      </c>
      <c r="D2275" s="423" t="s">
        <v>6850</v>
      </c>
      <c r="E2275" s="423" t="s">
        <v>242</v>
      </c>
      <c r="F2275" s="423">
        <v>32</v>
      </c>
      <c r="G2275" s="423">
        <v>64</v>
      </c>
      <c r="H2275" s="423">
        <v>300</v>
      </c>
      <c r="J2275" s="423"/>
      <c r="K2275" s="423"/>
      <c r="L2275" s="423"/>
      <c r="M2275" s="423"/>
      <c r="Q2275" s="423"/>
      <c r="R2275" s="424" t="s">
        <v>8442</v>
      </c>
      <c r="S2275" s="424" t="s">
        <v>2846</v>
      </c>
      <c r="T2275" s="424" t="s">
        <v>2870</v>
      </c>
      <c r="U2275" s="424">
        <v>0</v>
      </c>
      <c r="V2275" s="424" t="s">
        <v>2871</v>
      </c>
      <c r="W2275" s="424" t="s">
        <v>2871</v>
      </c>
      <c r="X2275" s="424" t="s">
        <v>8141</v>
      </c>
      <c r="Y2275" s="424" t="s">
        <v>2279</v>
      </c>
      <c r="Z2275" s="424" t="s">
        <v>2848</v>
      </c>
      <c r="AA2275" s="424" t="s">
        <v>2855</v>
      </c>
      <c r="AB2275" s="424" t="s">
        <v>3896</v>
      </c>
      <c r="AC2275" s="424" t="s">
        <v>1953</v>
      </c>
      <c r="AD2275" s="424" t="s">
        <v>2851</v>
      </c>
      <c r="AE2275" s="424" t="s">
        <v>2901</v>
      </c>
      <c r="AF2275" s="424"/>
      <c r="AG2275" s="424"/>
      <c r="AH2275" s="424"/>
    </row>
    <row r="2276" spans="1:34" x14ac:dyDescent="0.25">
      <c r="A2276" s="423" t="s">
        <v>7812</v>
      </c>
      <c r="B2276" s="423" t="s">
        <v>8443</v>
      </c>
      <c r="C2276" s="423" t="s">
        <v>6852</v>
      </c>
      <c r="D2276" s="423" t="s">
        <v>6850</v>
      </c>
      <c r="E2276" s="423" t="s">
        <v>242</v>
      </c>
      <c r="F2276" s="423">
        <v>32</v>
      </c>
      <c r="G2276" s="423">
        <v>64</v>
      </c>
      <c r="H2276" s="423">
        <v>300</v>
      </c>
      <c r="J2276" s="423"/>
      <c r="K2276" s="423"/>
      <c r="L2276" s="423"/>
      <c r="M2276" s="423"/>
      <c r="Q2276" s="423"/>
      <c r="R2276" s="424" t="s">
        <v>8444</v>
      </c>
      <c r="S2276" s="424" t="s">
        <v>2846</v>
      </c>
      <c r="T2276" s="424" t="s">
        <v>2870</v>
      </c>
      <c r="U2276" s="424">
        <v>0</v>
      </c>
      <c r="V2276" s="424" t="s">
        <v>2871</v>
      </c>
      <c r="W2276" s="424" t="s">
        <v>3074</v>
      </c>
      <c r="X2276" s="424" t="s">
        <v>8141</v>
      </c>
      <c r="Y2276" s="424" t="s">
        <v>2279</v>
      </c>
      <c r="Z2276" s="424" t="s">
        <v>2872</v>
      </c>
      <c r="AA2276" s="424" t="s">
        <v>2873</v>
      </c>
      <c r="AB2276" s="424" t="s">
        <v>8128</v>
      </c>
      <c r="AC2276" s="424" t="s">
        <v>1953</v>
      </c>
      <c r="AD2276" s="424" t="s">
        <v>2892</v>
      </c>
      <c r="AE2276" s="424" t="s">
        <v>2968</v>
      </c>
      <c r="AF2276" s="424"/>
      <c r="AG2276" s="424"/>
      <c r="AH2276" s="424"/>
    </row>
    <row r="2277" spans="1:34" x14ac:dyDescent="0.25">
      <c r="A2277" s="423" t="s">
        <v>7812</v>
      </c>
      <c r="B2277" s="423" t="s">
        <v>8445</v>
      </c>
      <c r="C2277" s="423" t="s">
        <v>6852</v>
      </c>
      <c r="D2277" s="423" t="s">
        <v>6850</v>
      </c>
      <c r="E2277" s="423" t="s">
        <v>242</v>
      </c>
      <c r="F2277" s="423">
        <v>8</v>
      </c>
      <c r="G2277" s="423">
        <v>48</v>
      </c>
      <c r="H2277" s="423">
        <v>300</v>
      </c>
      <c r="J2277" s="423"/>
      <c r="K2277" s="423"/>
      <c r="L2277" s="423"/>
      <c r="M2277" s="423"/>
      <c r="Q2277" s="423"/>
      <c r="R2277" s="424" t="s">
        <v>8446</v>
      </c>
      <c r="S2277" s="424" t="s">
        <v>2846</v>
      </c>
      <c r="T2277" s="424" t="s">
        <v>3356</v>
      </c>
      <c r="U2277" s="424">
        <v>0</v>
      </c>
      <c r="V2277" s="424" t="s">
        <v>3982</v>
      </c>
      <c r="W2277" s="424" t="s">
        <v>3074</v>
      </c>
      <c r="X2277" s="424" t="s">
        <v>8141</v>
      </c>
      <c r="Y2277" s="424" t="s">
        <v>2279</v>
      </c>
      <c r="Z2277" s="424" t="s">
        <v>2848</v>
      </c>
      <c r="AA2277" s="424" t="s">
        <v>2855</v>
      </c>
      <c r="AB2277" s="424" t="s">
        <v>8447</v>
      </c>
      <c r="AC2277" s="424" t="s">
        <v>1953</v>
      </c>
      <c r="AD2277" s="424" t="s">
        <v>2851</v>
      </c>
      <c r="AE2277" s="424" t="s">
        <v>3158</v>
      </c>
      <c r="AF2277" s="424"/>
      <c r="AG2277" s="424"/>
      <c r="AH2277" s="424"/>
    </row>
    <row r="2278" spans="1:34" x14ac:dyDescent="0.25">
      <c r="A2278" s="423" t="s">
        <v>7812</v>
      </c>
      <c r="B2278" s="423" t="s">
        <v>8448</v>
      </c>
      <c r="C2278" s="423" t="s">
        <v>6852</v>
      </c>
      <c r="D2278" s="423" t="s">
        <v>6850</v>
      </c>
      <c r="E2278" s="423" t="s">
        <v>242</v>
      </c>
      <c r="F2278" s="423">
        <v>8</v>
      </c>
      <c r="G2278" s="423">
        <v>48</v>
      </c>
      <c r="H2278" s="423">
        <v>300</v>
      </c>
      <c r="J2278" s="423"/>
      <c r="K2278" s="423"/>
      <c r="L2278" s="423"/>
      <c r="M2278" s="423"/>
      <c r="Q2278" s="423"/>
      <c r="R2278" s="424" t="s">
        <v>8449</v>
      </c>
      <c r="S2278" s="424" t="s">
        <v>2846</v>
      </c>
      <c r="T2278" s="424" t="s">
        <v>3356</v>
      </c>
      <c r="U2278" s="424">
        <v>0</v>
      </c>
      <c r="V2278" s="424" t="s">
        <v>3982</v>
      </c>
      <c r="W2278" s="424" t="s">
        <v>3074</v>
      </c>
      <c r="X2278" s="424" t="s">
        <v>8141</v>
      </c>
      <c r="Y2278" s="424" t="s">
        <v>2279</v>
      </c>
      <c r="Z2278" s="424" t="s">
        <v>2848</v>
      </c>
      <c r="AA2278" s="424" t="s">
        <v>2855</v>
      </c>
      <c r="AB2278" s="424" t="s">
        <v>8450</v>
      </c>
      <c r="AC2278" s="424" t="s">
        <v>1953</v>
      </c>
      <c r="AD2278" s="424" t="s">
        <v>2851</v>
      </c>
      <c r="AE2278" s="424" t="s">
        <v>3287</v>
      </c>
      <c r="AF2278" s="424"/>
      <c r="AG2278" s="424"/>
      <c r="AH2278" s="424"/>
    </row>
    <row r="2279" spans="1:34" x14ac:dyDescent="0.25">
      <c r="A2279" s="423" t="s">
        <v>7812</v>
      </c>
      <c r="B2279" s="423" t="s">
        <v>8451</v>
      </c>
      <c r="C2279" s="423" t="s">
        <v>6852</v>
      </c>
      <c r="D2279" s="423" t="s">
        <v>6850</v>
      </c>
      <c r="E2279" s="423" t="s">
        <v>242</v>
      </c>
      <c r="F2279" s="423">
        <v>8</v>
      </c>
      <c r="G2279" s="423">
        <v>48</v>
      </c>
      <c r="H2279" s="423">
        <v>300</v>
      </c>
      <c r="J2279" s="423"/>
      <c r="K2279" s="423"/>
      <c r="L2279" s="423"/>
      <c r="M2279" s="423"/>
      <c r="Q2279" s="423"/>
      <c r="R2279" s="424" t="s">
        <v>8452</v>
      </c>
      <c r="S2279" s="424" t="s">
        <v>2846</v>
      </c>
      <c r="T2279" s="424" t="s">
        <v>3356</v>
      </c>
      <c r="U2279" s="424">
        <v>0</v>
      </c>
      <c r="V2279" s="424" t="s">
        <v>3982</v>
      </c>
      <c r="W2279" s="424" t="s">
        <v>3074</v>
      </c>
      <c r="X2279" s="424" t="s">
        <v>8141</v>
      </c>
      <c r="Y2279" s="424" t="s">
        <v>2279</v>
      </c>
      <c r="Z2279" s="424" t="s">
        <v>2848</v>
      </c>
      <c r="AA2279" s="424" t="s">
        <v>2849</v>
      </c>
      <c r="AB2279" s="424" t="s">
        <v>8044</v>
      </c>
      <c r="AC2279" s="424" t="s">
        <v>1953</v>
      </c>
      <c r="AD2279" s="424" t="s">
        <v>2851</v>
      </c>
      <c r="AE2279" s="424" t="s">
        <v>3440</v>
      </c>
      <c r="AF2279" s="424"/>
      <c r="AG2279" s="424"/>
      <c r="AH2279" s="424"/>
    </row>
    <row r="2280" spans="1:34" x14ac:dyDescent="0.25">
      <c r="A2280" s="423" t="s">
        <v>7812</v>
      </c>
      <c r="B2280" s="423" t="s">
        <v>8453</v>
      </c>
      <c r="C2280" s="423" t="s">
        <v>6852</v>
      </c>
      <c r="D2280" s="423" t="s">
        <v>6850</v>
      </c>
      <c r="E2280" s="423" t="s">
        <v>242</v>
      </c>
      <c r="F2280" s="423">
        <v>8</v>
      </c>
      <c r="G2280" s="423">
        <v>48</v>
      </c>
      <c r="H2280" s="423">
        <v>300</v>
      </c>
      <c r="J2280" s="423"/>
      <c r="K2280" s="423"/>
      <c r="L2280" s="423"/>
      <c r="M2280" s="423"/>
      <c r="Q2280" s="423"/>
      <c r="R2280" s="424" t="s">
        <v>8454</v>
      </c>
      <c r="S2280" s="424" t="s">
        <v>2846</v>
      </c>
      <c r="T2280" s="424" t="s">
        <v>3356</v>
      </c>
      <c r="U2280" s="424">
        <v>0</v>
      </c>
      <c r="V2280" s="424" t="s">
        <v>3982</v>
      </c>
      <c r="W2280" s="424" t="s">
        <v>3074</v>
      </c>
      <c r="X2280" s="424" t="s">
        <v>8141</v>
      </c>
      <c r="Y2280" s="424" t="s">
        <v>2279</v>
      </c>
      <c r="Z2280" s="424" t="s">
        <v>2848</v>
      </c>
      <c r="AA2280" s="424" t="s">
        <v>2855</v>
      </c>
      <c r="AB2280" s="424" t="s">
        <v>8455</v>
      </c>
      <c r="AC2280" s="424" t="s">
        <v>1953</v>
      </c>
      <c r="AD2280" s="424" t="s">
        <v>2851</v>
      </c>
      <c r="AE2280" s="424" t="s">
        <v>3158</v>
      </c>
      <c r="AF2280" s="424"/>
      <c r="AG2280" s="424"/>
      <c r="AH2280" s="424"/>
    </row>
    <row r="2281" spans="1:34" x14ac:dyDescent="0.25">
      <c r="A2281" s="423" t="s">
        <v>7812</v>
      </c>
      <c r="B2281" s="423" t="s">
        <v>8456</v>
      </c>
      <c r="C2281" s="423" t="s">
        <v>6852</v>
      </c>
      <c r="D2281" s="423" t="s">
        <v>6850</v>
      </c>
      <c r="E2281" s="423" t="s">
        <v>242</v>
      </c>
      <c r="F2281" s="423">
        <v>8</v>
      </c>
      <c r="G2281" s="423">
        <v>48</v>
      </c>
      <c r="H2281" s="423">
        <v>300</v>
      </c>
      <c r="J2281" s="423"/>
      <c r="K2281" s="423"/>
      <c r="L2281" s="423"/>
      <c r="M2281" s="423"/>
      <c r="Q2281" s="423"/>
      <c r="R2281" s="424" t="s">
        <v>8457</v>
      </c>
      <c r="S2281" s="424" t="s">
        <v>2846</v>
      </c>
      <c r="T2281" s="424" t="s">
        <v>3356</v>
      </c>
      <c r="U2281" s="424">
        <v>0</v>
      </c>
      <c r="V2281" s="424" t="s">
        <v>3982</v>
      </c>
      <c r="W2281" s="424" t="s">
        <v>3074</v>
      </c>
      <c r="X2281" s="424" t="s">
        <v>8141</v>
      </c>
      <c r="Y2281" s="424" t="s">
        <v>2279</v>
      </c>
      <c r="Z2281" s="424" t="s">
        <v>2848</v>
      </c>
      <c r="AA2281" s="424" t="s">
        <v>2849</v>
      </c>
      <c r="AB2281" s="424" t="s">
        <v>8458</v>
      </c>
      <c r="AC2281" s="424" t="s">
        <v>1953</v>
      </c>
      <c r="AD2281" s="424" t="s">
        <v>2851</v>
      </c>
      <c r="AE2281" s="424" t="s">
        <v>3440</v>
      </c>
      <c r="AF2281" s="424"/>
      <c r="AG2281" s="424"/>
      <c r="AH2281" s="424"/>
    </row>
    <row r="2282" spans="1:34" x14ac:dyDescent="0.25">
      <c r="A2282" s="423" t="s">
        <v>7812</v>
      </c>
      <c r="B2282" s="423" t="s">
        <v>8459</v>
      </c>
      <c r="C2282" s="423" t="s">
        <v>6852</v>
      </c>
      <c r="D2282" s="423" t="s">
        <v>6850</v>
      </c>
      <c r="E2282" s="423" t="s">
        <v>242</v>
      </c>
      <c r="F2282" s="423">
        <v>8</v>
      </c>
      <c r="G2282" s="423">
        <v>48</v>
      </c>
      <c r="H2282" s="423">
        <v>300</v>
      </c>
      <c r="J2282" s="423"/>
      <c r="K2282" s="423"/>
      <c r="L2282" s="423"/>
      <c r="M2282" s="423"/>
      <c r="Q2282" s="423"/>
      <c r="R2282" s="424" t="s">
        <v>8460</v>
      </c>
      <c r="S2282" s="424" t="s">
        <v>2846</v>
      </c>
      <c r="T2282" s="424" t="s">
        <v>3356</v>
      </c>
      <c r="U2282" s="424">
        <v>0</v>
      </c>
      <c r="V2282" s="424" t="s">
        <v>3982</v>
      </c>
      <c r="W2282" s="424" t="s">
        <v>3074</v>
      </c>
      <c r="X2282" s="424" t="s">
        <v>8141</v>
      </c>
      <c r="Y2282" s="424" t="s">
        <v>2279</v>
      </c>
      <c r="Z2282" s="424" t="s">
        <v>2848</v>
      </c>
      <c r="AA2282" s="424" t="s">
        <v>2855</v>
      </c>
      <c r="AB2282" s="424" t="s">
        <v>7004</v>
      </c>
      <c r="AC2282" s="424" t="s">
        <v>1953</v>
      </c>
      <c r="AD2282" s="424" t="s">
        <v>2851</v>
      </c>
      <c r="AE2282" s="424" t="s">
        <v>3287</v>
      </c>
      <c r="AF2282" s="424"/>
      <c r="AG2282" s="424"/>
      <c r="AH2282" s="424"/>
    </row>
    <row r="2283" spans="1:34" x14ac:dyDescent="0.25">
      <c r="A2283" s="423" t="s">
        <v>7812</v>
      </c>
      <c r="B2283" s="423" t="s">
        <v>8461</v>
      </c>
      <c r="C2283" s="423" t="s">
        <v>6852</v>
      </c>
      <c r="D2283" s="423" t="s">
        <v>6850</v>
      </c>
      <c r="E2283" s="423" t="s">
        <v>242</v>
      </c>
      <c r="F2283" s="423">
        <v>8</v>
      </c>
      <c r="G2283" s="423">
        <v>48</v>
      </c>
      <c r="H2283" s="423">
        <v>300</v>
      </c>
      <c r="J2283" s="423"/>
      <c r="K2283" s="423"/>
      <c r="L2283" s="423"/>
      <c r="M2283" s="423"/>
      <c r="Q2283" s="423"/>
      <c r="R2283" s="424" t="s">
        <v>8462</v>
      </c>
      <c r="S2283" s="424" t="s">
        <v>2846</v>
      </c>
      <c r="T2283" s="424" t="s">
        <v>3356</v>
      </c>
      <c r="U2283" s="424">
        <v>0</v>
      </c>
      <c r="V2283" s="424" t="s">
        <v>3982</v>
      </c>
      <c r="W2283" s="424" t="s">
        <v>3074</v>
      </c>
      <c r="X2283" s="424" t="s">
        <v>8141</v>
      </c>
      <c r="Y2283" s="424" t="s">
        <v>2279</v>
      </c>
      <c r="Z2283" s="424" t="s">
        <v>2848</v>
      </c>
      <c r="AA2283" s="424" t="s">
        <v>2855</v>
      </c>
      <c r="AB2283" s="424" t="s">
        <v>8057</v>
      </c>
      <c r="AC2283" s="424" t="s">
        <v>1953</v>
      </c>
      <c r="AD2283" s="424" t="s">
        <v>2851</v>
      </c>
      <c r="AE2283" s="424" t="s">
        <v>2861</v>
      </c>
      <c r="AF2283" s="424"/>
      <c r="AG2283" s="424"/>
      <c r="AH2283" s="424"/>
    </row>
    <row r="2284" spans="1:34" x14ac:dyDescent="0.25">
      <c r="A2284" s="423" t="s">
        <v>7812</v>
      </c>
      <c r="B2284" s="423" t="s">
        <v>8463</v>
      </c>
      <c r="C2284" s="423" t="s">
        <v>6852</v>
      </c>
      <c r="D2284" s="423" t="s">
        <v>6850</v>
      </c>
      <c r="E2284" s="423" t="s">
        <v>242</v>
      </c>
      <c r="F2284" s="423">
        <v>8</v>
      </c>
      <c r="G2284" s="423">
        <v>48</v>
      </c>
      <c r="H2284" s="423">
        <v>300</v>
      </c>
      <c r="J2284" s="423"/>
      <c r="K2284" s="423"/>
      <c r="L2284" s="423"/>
      <c r="M2284" s="423"/>
      <c r="Q2284" s="423"/>
      <c r="R2284" s="424" t="s">
        <v>8464</v>
      </c>
      <c r="S2284" s="424" t="s">
        <v>2846</v>
      </c>
      <c r="T2284" s="424" t="s">
        <v>3356</v>
      </c>
      <c r="U2284" s="424">
        <v>0</v>
      </c>
      <c r="V2284" s="424" t="s">
        <v>3982</v>
      </c>
      <c r="W2284" s="424" t="s">
        <v>3074</v>
      </c>
      <c r="X2284" s="424" t="s">
        <v>8141</v>
      </c>
      <c r="Y2284" s="424" t="s">
        <v>2279</v>
      </c>
      <c r="Z2284" s="424" t="s">
        <v>2848</v>
      </c>
      <c r="AA2284" s="424" t="s">
        <v>2855</v>
      </c>
      <c r="AB2284" s="424" t="s">
        <v>8057</v>
      </c>
      <c r="AC2284" s="424" t="s">
        <v>1953</v>
      </c>
      <c r="AD2284" s="424" t="s">
        <v>2851</v>
      </c>
      <c r="AE2284" s="424" t="s">
        <v>2861</v>
      </c>
      <c r="AF2284" s="424"/>
      <c r="AG2284" s="424"/>
      <c r="AH2284" s="424"/>
    </row>
    <row r="2285" spans="1:34" x14ac:dyDescent="0.25">
      <c r="A2285" s="423" t="s">
        <v>7812</v>
      </c>
      <c r="B2285" s="423" t="s">
        <v>8465</v>
      </c>
      <c r="C2285" s="423" t="s">
        <v>6852</v>
      </c>
      <c r="D2285" s="423" t="s">
        <v>6850</v>
      </c>
      <c r="E2285" s="423" t="s">
        <v>242</v>
      </c>
      <c r="F2285" s="423">
        <v>8</v>
      </c>
      <c r="G2285" s="423">
        <v>48</v>
      </c>
      <c r="H2285" s="423">
        <v>300</v>
      </c>
      <c r="J2285" s="423"/>
      <c r="K2285" s="423"/>
      <c r="L2285" s="423"/>
      <c r="M2285" s="423"/>
      <c r="Q2285" s="423"/>
      <c r="R2285" s="424" t="s">
        <v>8466</v>
      </c>
      <c r="S2285" s="424" t="s">
        <v>2846</v>
      </c>
      <c r="T2285" s="424" t="s">
        <v>3356</v>
      </c>
      <c r="U2285" s="424">
        <v>0</v>
      </c>
      <c r="V2285" s="424" t="s">
        <v>3982</v>
      </c>
      <c r="W2285" s="424" t="s">
        <v>3074</v>
      </c>
      <c r="X2285" s="424" t="s">
        <v>8141</v>
      </c>
      <c r="Y2285" s="424" t="s">
        <v>2279</v>
      </c>
      <c r="Z2285" s="424" t="s">
        <v>2848</v>
      </c>
      <c r="AA2285" s="424" t="s">
        <v>2855</v>
      </c>
      <c r="AB2285" s="424" t="s">
        <v>8467</v>
      </c>
      <c r="AC2285" s="424" t="s">
        <v>1953</v>
      </c>
      <c r="AD2285" s="424" t="s">
        <v>2851</v>
      </c>
      <c r="AE2285" s="424" t="s">
        <v>3287</v>
      </c>
      <c r="AF2285" s="424"/>
      <c r="AG2285" s="424"/>
      <c r="AH2285" s="424"/>
    </row>
    <row r="2286" spans="1:34" x14ac:dyDescent="0.25">
      <c r="A2286" s="423" t="s">
        <v>7812</v>
      </c>
      <c r="B2286" s="423" t="s">
        <v>8468</v>
      </c>
      <c r="C2286" s="423" t="s">
        <v>6852</v>
      </c>
      <c r="D2286" s="423" t="s">
        <v>6850</v>
      </c>
      <c r="E2286" s="423" t="s">
        <v>242</v>
      </c>
      <c r="F2286" s="423">
        <v>8</v>
      </c>
      <c r="G2286" s="423">
        <v>48</v>
      </c>
      <c r="H2286" s="423">
        <v>300</v>
      </c>
      <c r="J2286" s="423"/>
      <c r="K2286" s="423"/>
      <c r="L2286" s="423"/>
      <c r="M2286" s="423"/>
      <c r="Q2286" s="423"/>
      <c r="R2286" s="424" t="s">
        <v>8469</v>
      </c>
      <c r="S2286" s="424" t="s">
        <v>2846</v>
      </c>
      <c r="T2286" s="424" t="s">
        <v>3356</v>
      </c>
      <c r="U2286" s="424">
        <v>0</v>
      </c>
      <c r="V2286" s="424" t="s">
        <v>3982</v>
      </c>
      <c r="W2286" s="424" t="s">
        <v>3074</v>
      </c>
      <c r="X2286" s="424" t="s">
        <v>8141</v>
      </c>
      <c r="Y2286" s="424" t="s">
        <v>2279</v>
      </c>
      <c r="Z2286" s="424" t="s">
        <v>2848</v>
      </c>
      <c r="AA2286" s="424" t="s">
        <v>2855</v>
      </c>
      <c r="AB2286" s="424" t="s">
        <v>8455</v>
      </c>
      <c r="AC2286" s="424" t="s">
        <v>1953</v>
      </c>
      <c r="AD2286" s="424" t="s">
        <v>2851</v>
      </c>
      <c r="AE2286" s="424" t="s">
        <v>3158</v>
      </c>
      <c r="AF2286" s="424"/>
      <c r="AG2286" s="424"/>
      <c r="AH2286" s="424"/>
    </row>
    <row r="2287" spans="1:34" x14ac:dyDescent="0.25">
      <c r="A2287" s="423" t="s">
        <v>7812</v>
      </c>
      <c r="B2287" s="423" t="s">
        <v>8470</v>
      </c>
      <c r="C2287" s="423" t="s">
        <v>6852</v>
      </c>
      <c r="D2287" s="423" t="s">
        <v>6850</v>
      </c>
      <c r="E2287" s="423" t="s">
        <v>242</v>
      </c>
      <c r="F2287" s="423">
        <v>8</v>
      </c>
      <c r="G2287" s="423">
        <v>48</v>
      </c>
      <c r="H2287" s="423">
        <v>300</v>
      </c>
      <c r="J2287" s="423"/>
      <c r="K2287" s="423"/>
      <c r="L2287" s="423"/>
      <c r="M2287" s="423"/>
      <c r="Q2287" s="423"/>
      <c r="R2287" s="424" t="s">
        <v>8471</v>
      </c>
      <c r="S2287" s="424" t="s">
        <v>2846</v>
      </c>
      <c r="T2287" s="424" t="s">
        <v>3356</v>
      </c>
      <c r="U2287" s="424">
        <v>0</v>
      </c>
      <c r="V2287" s="424" t="s">
        <v>3982</v>
      </c>
      <c r="W2287" s="424" t="s">
        <v>3074</v>
      </c>
      <c r="X2287" s="424" t="s">
        <v>8141</v>
      </c>
      <c r="Y2287" s="424" t="s">
        <v>2279</v>
      </c>
      <c r="Z2287" s="424" t="s">
        <v>2848</v>
      </c>
      <c r="AA2287" s="424" t="s">
        <v>2855</v>
      </c>
      <c r="AB2287" s="424" t="s">
        <v>8472</v>
      </c>
      <c r="AC2287" s="424" t="s">
        <v>1953</v>
      </c>
      <c r="AD2287" s="424" t="s">
        <v>2851</v>
      </c>
      <c r="AE2287" s="424" t="s">
        <v>3287</v>
      </c>
      <c r="AF2287" s="424"/>
      <c r="AG2287" s="424"/>
      <c r="AH2287" s="424"/>
    </row>
    <row r="2288" spans="1:34" x14ac:dyDescent="0.25">
      <c r="A2288" s="423" t="s">
        <v>7812</v>
      </c>
      <c r="B2288" s="423" t="s">
        <v>8473</v>
      </c>
      <c r="C2288" s="423" t="s">
        <v>6852</v>
      </c>
      <c r="D2288" s="423" t="s">
        <v>6850</v>
      </c>
      <c r="E2288" s="423" t="s">
        <v>242</v>
      </c>
      <c r="F2288" s="423">
        <v>8</v>
      </c>
      <c r="G2288" s="423">
        <v>48</v>
      </c>
      <c r="H2288" s="423">
        <v>300</v>
      </c>
      <c r="J2288" s="423"/>
      <c r="K2288" s="423"/>
      <c r="L2288" s="423"/>
      <c r="M2288" s="423"/>
      <c r="Q2288" s="423"/>
      <c r="R2288" s="424" t="s">
        <v>8474</v>
      </c>
      <c r="S2288" s="424" t="s">
        <v>2846</v>
      </c>
      <c r="T2288" s="424" t="s">
        <v>3356</v>
      </c>
      <c r="U2288" s="424">
        <v>0</v>
      </c>
      <c r="V2288" s="424" t="s">
        <v>3982</v>
      </c>
      <c r="W2288" s="424" t="s">
        <v>3074</v>
      </c>
      <c r="X2288" s="424" t="s">
        <v>8141</v>
      </c>
      <c r="Y2288" s="424" t="s">
        <v>2279</v>
      </c>
      <c r="Z2288" s="424" t="s">
        <v>2848</v>
      </c>
      <c r="AA2288" s="424" t="s">
        <v>2855</v>
      </c>
      <c r="AB2288" s="424" t="s">
        <v>8062</v>
      </c>
      <c r="AC2288" s="424" t="s">
        <v>1953</v>
      </c>
      <c r="AD2288" s="424" t="s">
        <v>2851</v>
      </c>
      <c r="AE2288" s="424" t="s">
        <v>5343</v>
      </c>
      <c r="AF2288" s="424"/>
      <c r="AG2288" s="424"/>
      <c r="AH2288" s="424"/>
    </row>
    <row r="2289" spans="1:34" x14ac:dyDescent="0.25">
      <c r="A2289" s="423" t="s">
        <v>7812</v>
      </c>
      <c r="B2289" s="423" t="s">
        <v>8475</v>
      </c>
      <c r="C2289" s="423" t="s">
        <v>6852</v>
      </c>
      <c r="D2289" s="423" t="s">
        <v>6850</v>
      </c>
      <c r="E2289" s="423" t="s">
        <v>242</v>
      </c>
      <c r="F2289" s="423">
        <v>8</v>
      </c>
      <c r="G2289" s="423">
        <v>48</v>
      </c>
      <c r="H2289" s="423">
        <v>300</v>
      </c>
      <c r="J2289" s="423"/>
      <c r="K2289" s="423"/>
      <c r="L2289" s="423"/>
      <c r="M2289" s="423"/>
      <c r="Q2289" s="423"/>
      <c r="R2289" s="424" t="s">
        <v>8476</v>
      </c>
      <c r="S2289" s="424" t="s">
        <v>2846</v>
      </c>
      <c r="T2289" s="424" t="s">
        <v>3356</v>
      </c>
      <c r="U2289" s="424">
        <v>0</v>
      </c>
      <c r="V2289" s="424" t="s">
        <v>3982</v>
      </c>
      <c r="W2289" s="424" t="s">
        <v>3074</v>
      </c>
      <c r="X2289" s="424" t="s">
        <v>8141</v>
      </c>
      <c r="Y2289" s="424" t="s">
        <v>2279</v>
      </c>
      <c r="Z2289" s="424" t="s">
        <v>2848</v>
      </c>
      <c r="AA2289" s="424" t="s">
        <v>2855</v>
      </c>
      <c r="AB2289" s="424" t="s">
        <v>8062</v>
      </c>
      <c r="AC2289" s="424" t="s">
        <v>1953</v>
      </c>
      <c r="AD2289" s="424" t="s">
        <v>2851</v>
      </c>
      <c r="AE2289" s="424" t="s">
        <v>5343</v>
      </c>
      <c r="AF2289" s="424"/>
      <c r="AG2289" s="424"/>
      <c r="AH2289" s="424"/>
    </row>
    <row r="2290" spans="1:34" x14ac:dyDescent="0.25">
      <c r="A2290" s="423" t="s">
        <v>7812</v>
      </c>
      <c r="B2290" s="423" t="s">
        <v>8477</v>
      </c>
      <c r="C2290" s="423" t="s">
        <v>6852</v>
      </c>
      <c r="D2290" s="423" t="s">
        <v>6850</v>
      </c>
      <c r="E2290" s="423" t="s">
        <v>242</v>
      </c>
      <c r="F2290" s="423">
        <v>8</v>
      </c>
      <c r="G2290" s="423">
        <v>48</v>
      </c>
      <c r="H2290" s="423">
        <v>300</v>
      </c>
      <c r="J2290" s="423"/>
      <c r="K2290" s="423"/>
      <c r="L2290" s="423"/>
      <c r="M2290" s="423"/>
      <c r="Q2290" s="423"/>
      <c r="R2290" s="424" t="s">
        <v>8478</v>
      </c>
      <c r="S2290" s="424" t="s">
        <v>2846</v>
      </c>
      <c r="T2290" s="424" t="s">
        <v>3356</v>
      </c>
      <c r="U2290" s="424">
        <v>0</v>
      </c>
      <c r="V2290" s="424" t="s">
        <v>3982</v>
      </c>
      <c r="W2290" s="424" t="s">
        <v>3074</v>
      </c>
      <c r="X2290" s="424" t="s">
        <v>8141</v>
      </c>
      <c r="Y2290" s="424" t="s">
        <v>2279</v>
      </c>
      <c r="Z2290" s="424" t="s">
        <v>2848</v>
      </c>
      <c r="AA2290" s="424" t="s">
        <v>2855</v>
      </c>
      <c r="AB2290" s="424" t="s">
        <v>8479</v>
      </c>
      <c r="AC2290" s="424" t="s">
        <v>1953</v>
      </c>
      <c r="AD2290" s="424" t="s">
        <v>2851</v>
      </c>
      <c r="AE2290" s="424" t="s">
        <v>3158</v>
      </c>
      <c r="AF2290" s="424"/>
      <c r="AG2290" s="424"/>
      <c r="AH2290" s="424"/>
    </row>
    <row r="2291" spans="1:34" x14ac:dyDescent="0.25">
      <c r="A2291" s="423" t="s">
        <v>7812</v>
      </c>
      <c r="B2291" s="423" t="s">
        <v>8480</v>
      </c>
      <c r="C2291" s="423" t="s">
        <v>6852</v>
      </c>
      <c r="D2291" s="423" t="s">
        <v>6850</v>
      </c>
      <c r="E2291" s="423" t="s">
        <v>242</v>
      </c>
      <c r="F2291" s="423">
        <v>8</v>
      </c>
      <c r="G2291" s="423">
        <v>48</v>
      </c>
      <c r="H2291" s="423">
        <v>300</v>
      </c>
      <c r="J2291" s="423"/>
      <c r="K2291" s="423"/>
      <c r="L2291" s="423"/>
      <c r="M2291" s="423"/>
      <c r="Q2291" s="423"/>
      <c r="R2291" s="424" t="s">
        <v>8481</v>
      </c>
      <c r="S2291" s="424" t="s">
        <v>2846</v>
      </c>
      <c r="T2291" s="424" t="s">
        <v>3356</v>
      </c>
      <c r="U2291" s="424">
        <v>0</v>
      </c>
      <c r="V2291" s="424" t="s">
        <v>3982</v>
      </c>
      <c r="W2291" s="424" t="s">
        <v>3074</v>
      </c>
      <c r="X2291" s="424" t="s">
        <v>8141</v>
      </c>
      <c r="Y2291" s="424" t="s">
        <v>2279</v>
      </c>
      <c r="Z2291" s="424" t="s">
        <v>2848</v>
      </c>
      <c r="AA2291" s="424" t="s">
        <v>2855</v>
      </c>
      <c r="AB2291" s="424" t="s">
        <v>8482</v>
      </c>
      <c r="AC2291" s="424" t="s">
        <v>1953</v>
      </c>
      <c r="AD2291" s="424" t="s">
        <v>2851</v>
      </c>
      <c r="AE2291" s="424" t="s">
        <v>5343</v>
      </c>
      <c r="AF2291" s="424"/>
      <c r="AG2291" s="424"/>
      <c r="AH2291" s="424"/>
    </row>
    <row r="2292" spans="1:34" x14ac:dyDescent="0.25">
      <c r="A2292" s="423" t="s">
        <v>7812</v>
      </c>
      <c r="B2292" s="423" t="s">
        <v>8483</v>
      </c>
      <c r="C2292" s="423" t="s">
        <v>6852</v>
      </c>
      <c r="D2292" s="423" t="s">
        <v>6850</v>
      </c>
      <c r="E2292" s="423" t="s">
        <v>242</v>
      </c>
      <c r="F2292" s="423">
        <v>8</v>
      </c>
      <c r="G2292" s="423">
        <v>48</v>
      </c>
      <c r="H2292" s="423">
        <v>300</v>
      </c>
      <c r="J2292" s="423"/>
      <c r="K2292" s="423"/>
      <c r="L2292" s="423"/>
      <c r="M2292" s="423"/>
      <c r="Q2292" s="423"/>
      <c r="R2292" s="424" t="s">
        <v>8484</v>
      </c>
      <c r="S2292" s="424" t="s">
        <v>2846</v>
      </c>
      <c r="T2292" s="424" t="s">
        <v>3356</v>
      </c>
      <c r="U2292" s="424">
        <v>0</v>
      </c>
      <c r="V2292" s="424" t="s">
        <v>3982</v>
      </c>
      <c r="W2292" s="424" t="s">
        <v>3074</v>
      </c>
      <c r="X2292" s="424" t="s">
        <v>8141</v>
      </c>
      <c r="Y2292" s="424" t="s">
        <v>2279</v>
      </c>
      <c r="Z2292" s="424" t="s">
        <v>2848</v>
      </c>
      <c r="AA2292" s="424" t="s">
        <v>2855</v>
      </c>
      <c r="AB2292" s="424" t="s">
        <v>8485</v>
      </c>
      <c r="AC2292" s="424" t="s">
        <v>1953</v>
      </c>
      <c r="AD2292" s="424" t="s">
        <v>2851</v>
      </c>
      <c r="AE2292" s="424" t="s">
        <v>5343</v>
      </c>
      <c r="AF2292" s="424"/>
      <c r="AG2292" s="424"/>
      <c r="AH2292" s="424"/>
    </row>
    <row r="2293" spans="1:34" x14ac:dyDescent="0.25">
      <c r="A2293" s="423" t="s">
        <v>7812</v>
      </c>
      <c r="B2293" s="423" t="s">
        <v>8486</v>
      </c>
      <c r="C2293" s="423" t="s">
        <v>6852</v>
      </c>
      <c r="D2293" s="423" t="s">
        <v>6850</v>
      </c>
      <c r="E2293" s="423" t="s">
        <v>242</v>
      </c>
      <c r="F2293" s="423">
        <v>8</v>
      </c>
      <c r="G2293" s="423">
        <v>48</v>
      </c>
      <c r="H2293" s="423">
        <v>300</v>
      </c>
      <c r="J2293" s="423"/>
      <c r="K2293" s="423"/>
      <c r="L2293" s="423"/>
      <c r="M2293" s="423"/>
      <c r="Q2293" s="423"/>
      <c r="R2293" s="424" t="s">
        <v>8487</v>
      </c>
      <c r="S2293" s="424" t="s">
        <v>2846</v>
      </c>
      <c r="T2293" s="424" t="s">
        <v>3356</v>
      </c>
      <c r="U2293" s="424">
        <v>0</v>
      </c>
      <c r="V2293" s="424" t="s">
        <v>3982</v>
      </c>
      <c r="W2293" s="424" t="s">
        <v>3074</v>
      </c>
      <c r="X2293" s="424" t="s">
        <v>8141</v>
      </c>
      <c r="Y2293" s="424" t="s">
        <v>2279</v>
      </c>
      <c r="Z2293" s="424" t="s">
        <v>2848</v>
      </c>
      <c r="AA2293" s="424" t="s">
        <v>2849</v>
      </c>
      <c r="AB2293" s="424" t="s">
        <v>8044</v>
      </c>
      <c r="AC2293" s="424" t="s">
        <v>1953</v>
      </c>
      <c r="AD2293" s="424" t="s">
        <v>2851</v>
      </c>
      <c r="AE2293" s="424" t="s">
        <v>3440</v>
      </c>
      <c r="AF2293" s="424"/>
      <c r="AG2293" s="424"/>
      <c r="AH2293" s="424"/>
    </row>
    <row r="2294" spans="1:34" x14ac:dyDescent="0.25">
      <c r="A2294" s="423" t="s">
        <v>7812</v>
      </c>
      <c r="B2294" s="423" t="s">
        <v>8488</v>
      </c>
      <c r="C2294" s="423" t="s">
        <v>6852</v>
      </c>
      <c r="D2294" s="423" t="s">
        <v>6850</v>
      </c>
      <c r="E2294" s="423" t="s">
        <v>242</v>
      </c>
      <c r="F2294" s="423">
        <v>8</v>
      </c>
      <c r="G2294" s="423">
        <v>48</v>
      </c>
      <c r="H2294" s="423">
        <v>300</v>
      </c>
      <c r="J2294" s="423"/>
      <c r="K2294" s="423"/>
      <c r="L2294" s="423"/>
      <c r="M2294" s="423"/>
      <c r="Q2294" s="423"/>
      <c r="R2294" s="424" t="s">
        <v>8489</v>
      </c>
      <c r="S2294" s="424" t="s">
        <v>2846</v>
      </c>
      <c r="T2294" s="424" t="s">
        <v>3356</v>
      </c>
      <c r="U2294" s="424">
        <v>0</v>
      </c>
      <c r="V2294" s="424" t="s">
        <v>3982</v>
      </c>
      <c r="W2294" s="424" t="s">
        <v>3074</v>
      </c>
      <c r="X2294" s="424" t="s">
        <v>8141</v>
      </c>
      <c r="Y2294" s="424" t="s">
        <v>2279</v>
      </c>
      <c r="Z2294" s="424" t="s">
        <v>2848</v>
      </c>
      <c r="AA2294" s="424" t="s">
        <v>2849</v>
      </c>
      <c r="AB2294" s="424" t="s">
        <v>8095</v>
      </c>
      <c r="AC2294" s="424" t="s">
        <v>1953</v>
      </c>
      <c r="AD2294" s="424" t="s">
        <v>2851</v>
      </c>
      <c r="AE2294" s="424" t="s">
        <v>3440</v>
      </c>
      <c r="AF2294" s="424"/>
      <c r="AG2294" s="424"/>
      <c r="AH2294" s="424"/>
    </row>
    <row r="2295" spans="1:34" x14ac:dyDescent="0.25">
      <c r="A2295" s="423" t="s">
        <v>7812</v>
      </c>
      <c r="B2295" s="423" t="s">
        <v>8490</v>
      </c>
      <c r="C2295" s="423" t="s">
        <v>6852</v>
      </c>
      <c r="D2295" s="423" t="s">
        <v>6850</v>
      </c>
      <c r="E2295" s="423" t="s">
        <v>242</v>
      </c>
      <c r="F2295" s="423">
        <v>8</v>
      </c>
      <c r="G2295" s="423">
        <v>48</v>
      </c>
      <c r="H2295" s="423">
        <v>300</v>
      </c>
      <c r="J2295" s="423"/>
      <c r="K2295" s="423"/>
      <c r="L2295" s="423"/>
      <c r="M2295" s="423"/>
      <c r="Q2295" s="423"/>
      <c r="R2295" s="424" t="s">
        <v>8491</v>
      </c>
      <c r="S2295" s="424" t="s">
        <v>2846</v>
      </c>
      <c r="T2295" s="424" t="s">
        <v>3356</v>
      </c>
      <c r="U2295" s="424">
        <v>0</v>
      </c>
      <c r="V2295" s="424" t="s">
        <v>3982</v>
      </c>
      <c r="W2295" s="424" t="s">
        <v>3074</v>
      </c>
      <c r="X2295" s="424" t="s">
        <v>8141</v>
      </c>
      <c r="Y2295" s="424" t="s">
        <v>2279</v>
      </c>
      <c r="Z2295" s="424" t="s">
        <v>2848</v>
      </c>
      <c r="AA2295" s="424" t="s">
        <v>2855</v>
      </c>
      <c r="AB2295" s="424" t="s">
        <v>8098</v>
      </c>
      <c r="AC2295" s="424" t="s">
        <v>1953</v>
      </c>
      <c r="AD2295" s="424" t="s">
        <v>2851</v>
      </c>
      <c r="AE2295" s="424" t="s">
        <v>3158</v>
      </c>
      <c r="AF2295" s="424"/>
      <c r="AG2295" s="424"/>
      <c r="AH2295" s="424"/>
    </row>
    <row r="2296" spans="1:34" x14ac:dyDescent="0.25">
      <c r="A2296" s="423" t="s">
        <v>7812</v>
      </c>
      <c r="B2296" s="423" t="s">
        <v>8492</v>
      </c>
      <c r="C2296" s="423" t="s">
        <v>6852</v>
      </c>
      <c r="D2296" s="423" t="s">
        <v>6850</v>
      </c>
      <c r="E2296" s="423" t="s">
        <v>242</v>
      </c>
      <c r="F2296" s="423">
        <v>8</v>
      </c>
      <c r="G2296" s="423">
        <v>48</v>
      </c>
      <c r="H2296" s="423">
        <v>300</v>
      </c>
      <c r="J2296" s="423"/>
      <c r="K2296" s="423"/>
      <c r="L2296" s="423"/>
      <c r="M2296" s="423"/>
      <c r="Q2296" s="423"/>
      <c r="R2296" s="424" t="s">
        <v>8493</v>
      </c>
      <c r="S2296" s="424" t="s">
        <v>2846</v>
      </c>
      <c r="T2296" s="424" t="s">
        <v>3356</v>
      </c>
      <c r="U2296" s="424">
        <v>0</v>
      </c>
      <c r="V2296" s="424" t="s">
        <v>3982</v>
      </c>
      <c r="W2296" s="424" t="s">
        <v>3074</v>
      </c>
      <c r="X2296" s="424" t="s">
        <v>8141</v>
      </c>
      <c r="Y2296" s="424" t="s">
        <v>2279</v>
      </c>
      <c r="Z2296" s="424" t="s">
        <v>2848</v>
      </c>
      <c r="AA2296" s="424" t="s">
        <v>2855</v>
      </c>
      <c r="AB2296" s="424" t="s">
        <v>8494</v>
      </c>
      <c r="AC2296" s="424" t="s">
        <v>1953</v>
      </c>
      <c r="AD2296" s="424" t="s">
        <v>2851</v>
      </c>
      <c r="AE2296" s="424" t="s">
        <v>5343</v>
      </c>
      <c r="AF2296" s="424"/>
      <c r="AG2296" s="424"/>
      <c r="AH2296" s="424"/>
    </row>
    <row r="2297" spans="1:34" x14ac:dyDescent="0.25">
      <c r="A2297" s="423" t="s">
        <v>7812</v>
      </c>
      <c r="B2297" s="423" t="s">
        <v>8495</v>
      </c>
      <c r="C2297" s="423" t="s">
        <v>6852</v>
      </c>
      <c r="D2297" s="423" t="s">
        <v>6850</v>
      </c>
      <c r="E2297" s="423" t="s">
        <v>242</v>
      </c>
      <c r="F2297" s="423">
        <v>8</v>
      </c>
      <c r="G2297" s="423">
        <v>48</v>
      </c>
      <c r="H2297" s="423">
        <v>300</v>
      </c>
      <c r="J2297" s="423"/>
      <c r="K2297" s="423"/>
      <c r="L2297" s="423"/>
      <c r="M2297" s="423"/>
      <c r="Q2297" s="423"/>
      <c r="R2297" s="424" t="s">
        <v>8496</v>
      </c>
      <c r="S2297" s="424" t="s">
        <v>2846</v>
      </c>
      <c r="T2297" s="424" t="s">
        <v>3356</v>
      </c>
      <c r="U2297" s="424">
        <v>0</v>
      </c>
      <c r="V2297" s="424" t="s">
        <v>3982</v>
      </c>
      <c r="W2297" s="424" t="s">
        <v>3074</v>
      </c>
      <c r="X2297" s="424" t="s">
        <v>8141</v>
      </c>
      <c r="Y2297" s="424" t="s">
        <v>2279</v>
      </c>
      <c r="Z2297" s="424" t="s">
        <v>2848</v>
      </c>
      <c r="AA2297" s="424" t="s">
        <v>2855</v>
      </c>
      <c r="AB2297" s="424" t="s">
        <v>8146</v>
      </c>
      <c r="AC2297" s="424" t="s">
        <v>1953</v>
      </c>
      <c r="AD2297" s="424" t="s">
        <v>2851</v>
      </c>
      <c r="AE2297" s="424" t="s">
        <v>3287</v>
      </c>
      <c r="AF2297" s="424"/>
      <c r="AG2297" s="424"/>
      <c r="AH2297" s="424"/>
    </row>
    <row r="2298" spans="1:34" x14ac:dyDescent="0.25">
      <c r="A2298" s="423" t="s">
        <v>7812</v>
      </c>
      <c r="B2298" s="423" t="s">
        <v>8497</v>
      </c>
      <c r="C2298" s="423" t="s">
        <v>6852</v>
      </c>
      <c r="D2298" s="423" t="s">
        <v>6850</v>
      </c>
      <c r="E2298" s="423" t="s">
        <v>242</v>
      </c>
      <c r="F2298" s="423">
        <v>8</v>
      </c>
      <c r="G2298" s="423">
        <v>48</v>
      </c>
      <c r="H2298" s="423">
        <v>300</v>
      </c>
      <c r="J2298" s="423"/>
      <c r="K2298" s="423"/>
      <c r="L2298" s="423"/>
      <c r="M2298" s="423"/>
      <c r="Q2298" s="423"/>
      <c r="R2298" s="424" t="s">
        <v>8498</v>
      </c>
      <c r="S2298" s="424" t="s">
        <v>2846</v>
      </c>
      <c r="T2298" s="424" t="s">
        <v>3356</v>
      </c>
      <c r="U2298" s="424">
        <v>0</v>
      </c>
      <c r="V2298" s="424" t="s">
        <v>3982</v>
      </c>
      <c r="W2298" s="424" t="s">
        <v>3074</v>
      </c>
      <c r="X2298" s="424" t="s">
        <v>8141</v>
      </c>
      <c r="Y2298" s="424" t="s">
        <v>2279</v>
      </c>
      <c r="Z2298" s="424" t="s">
        <v>2848</v>
      </c>
      <c r="AA2298" s="424" t="s">
        <v>2849</v>
      </c>
      <c r="AB2298" s="424" t="s">
        <v>8499</v>
      </c>
      <c r="AC2298" s="424" t="s">
        <v>1953</v>
      </c>
      <c r="AD2298" s="424" t="s">
        <v>2851</v>
      </c>
      <c r="AE2298" s="424" t="s">
        <v>3440</v>
      </c>
      <c r="AF2298" s="424"/>
      <c r="AG2298" s="424"/>
      <c r="AH2298" s="424"/>
    </row>
    <row r="2299" spans="1:34" x14ac:dyDescent="0.25">
      <c r="A2299" s="423" t="s">
        <v>7812</v>
      </c>
      <c r="B2299" s="423" t="s">
        <v>8500</v>
      </c>
      <c r="C2299" s="423" t="s">
        <v>6852</v>
      </c>
      <c r="D2299" s="423" t="s">
        <v>6850</v>
      </c>
      <c r="E2299" s="423" t="s">
        <v>242</v>
      </c>
      <c r="F2299" s="423">
        <v>8</v>
      </c>
      <c r="G2299" s="423">
        <v>48</v>
      </c>
      <c r="H2299" s="423">
        <v>300</v>
      </c>
      <c r="J2299" s="423"/>
      <c r="K2299" s="423"/>
      <c r="L2299" s="423"/>
      <c r="M2299" s="423"/>
      <c r="Q2299" s="423"/>
      <c r="R2299" s="424" t="s">
        <v>8501</v>
      </c>
      <c r="S2299" s="424" t="s">
        <v>2846</v>
      </c>
      <c r="T2299" s="424" t="s">
        <v>3356</v>
      </c>
      <c r="U2299" s="424">
        <v>0</v>
      </c>
      <c r="V2299" s="424" t="s">
        <v>3982</v>
      </c>
      <c r="W2299" s="424" t="s">
        <v>3074</v>
      </c>
      <c r="X2299" s="424" t="s">
        <v>8141</v>
      </c>
      <c r="Y2299" s="424" t="s">
        <v>2279</v>
      </c>
      <c r="Z2299" s="424" t="s">
        <v>2848</v>
      </c>
      <c r="AA2299" s="424" t="s">
        <v>2855</v>
      </c>
      <c r="AB2299" s="424" t="s">
        <v>7819</v>
      </c>
      <c r="AC2299" s="424" t="s">
        <v>1953</v>
      </c>
      <c r="AD2299" s="424" t="s">
        <v>2851</v>
      </c>
      <c r="AE2299" s="424" t="s">
        <v>5343</v>
      </c>
      <c r="AF2299" s="424"/>
      <c r="AG2299" s="424"/>
      <c r="AH2299" s="424"/>
    </row>
    <row r="2300" spans="1:34" x14ac:dyDescent="0.25">
      <c r="A2300" s="423" t="s">
        <v>7812</v>
      </c>
      <c r="B2300" s="423" t="s">
        <v>8502</v>
      </c>
      <c r="C2300" s="423" t="s">
        <v>6852</v>
      </c>
      <c r="D2300" s="423" t="s">
        <v>6850</v>
      </c>
      <c r="E2300" s="423" t="s">
        <v>242</v>
      </c>
      <c r="F2300" s="423">
        <v>8</v>
      </c>
      <c r="G2300" s="423">
        <v>48</v>
      </c>
      <c r="H2300" s="423">
        <v>300</v>
      </c>
      <c r="J2300" s="423"/>
      <c r="K2300" s="423"/>
      <c r="L2300" s="423"/>
      <c r="M2300" s="423"/>
      <c r="Q2300" s="423"/>
      <c r="R2300" s="424" t="s">
        <v>8503</v>
      </c>
      <c r="S2300" s="424" t="s">
        <v>2846</v>
      </c>
      <c r="T2300" s="424" t="s">
        <v>3356</v>
      </c>
      <c r="U2300" s="424">
        <v>0</v>
      </c>
      <c r="V2300" s="424" t="s">
        <v>3982</v>
      </c>
      <c r="W2300" s="424" t="s">
        <v>3074</v>
      </c>
      <c r="X2300" s="424" t="s">
        <v>8141</v>
      </c>
      <c r="Y2300" s="424" t="s">
        <v>2279</v>
      </c>
      <c r="Z2300" s="424" t="s">
        <v>2848</v>
      </c>
      <c r="AA2300" s="424" t="s">
        <v>2855</v>
      </c>
      <c r="AB2300" s="424" t="s">
        <v>5355</v>
      </c>
      <c r="AC2300" s="424" t="s">
        <v>1953</v>
      </c>
      <c r="AD2300" s="424" t="s">
        <v>2851</v>
      </c>
      <c r="AE2300" s="424" t="s">
        <v>3158</v>
      </c>
      <c r="AF2300" s="424"/>
      <c r="AG2300" s="424"/>
      <c r="AH2300" s="424"/>
    </row>
    <row r="2301" spans="1:34" x14ac:dyDescent="0.25">
      <c r="A2301" s="423" t="s">
        <v>7812</v>
      </c>
      <c r="B2301" s="423" t="s">
        <v>8504</v>
      </c>
      <c r="C2301" s="423" t="s">
        <v>6852</v>
      </c>
      <c r="D2301" s="423" t="s">
        <v>6850</v>
      </c>
      <c r="E2301" s="423" t="s">
        <v>242</v>
      </c>
      <c r="F2301" s="423">
        <v>16</v>
      </c>
      <c r="G2301" s="423">
        <v>48</v>
      </c>
      <c r="H2301" s="423">
        <v>300</v>
      </c>
      <c r="J2301" s="423"/>
      <c r="K2301" s="423"/>
      <c r="L2301" s="423"/>
      <c r="M2301" s="423"/>
      <c r="Q2301" s="423"/>
      <c r="R2301" s="424" t="s">
        <v>8505</v>
      </c>
      <c r="S2301" s="424" t="s">
        <v>2846</v>
      </c>
      <c r="T2301" s="424" t="s">
        <v>3356</v>
      </c>
      <c r="U2301" s="424">
        <v>0</v>
      </c>
      <c r="V2301" s="424" t="s">
        <v>8155</v>
      </c>
      <c r="W2301" s="424" t="s">
        <v>3074</v>
      </c>
      <c r="X2301" s="424" t="s">
        <v>8141</v>
      </c>
      <c r="Y2301" s="424" t="s">
        <v>2279</v>
      </c>
      <c r="Z2301" s="424" t="s">
        <v>2848</v>
      </c>
      <c r="AA2301" s="424" t="s">
        <v>2855</v>
      </c>
      <c r="AB2301" s="424" t="s">
        <v>8078</v>
      </c>
      <c r="AC2301" s="424" t="s">
        <v>1953</v>
      </c>
      <c r="AD2301" s="424" t="s">
        <v>2851</v>
      </c>
      <c r="AE2301" s="424" t="s">
        <v>5343</v>
      </c>
      <c r="AF2301" s="424"/>
      <c r="AG2301" s="424"/>
      <c r="AH2301" s="424"/>
    </row>
    <row r="2302" spans="1:34" x14ac:dyDescent="0.25">
      <c r="A2302" s="423" t="s">
        <v>7812</v>
      </c>
      <c r="B2302" s="423" t="s">
        <v>8506</v>
      </c>
      <c r="C2302" s="423" t="s">
        <v>6852</v>
      </c>
      <c r="D2302" s="423" t="s">
        <v>6850</v>
      </c>
      <c r="E2302" s="423" t="s">
        <v>242</v>
      </c>
      <c r="F2302" s="423">
        <v>16</v>
      </c>
      <c r="G2302" s="423">
        <v>48</v>
      </c>
      <c r="H2302" s="423">
        <v>300</v>
      </c>
      <c r="J2302" s="423"/>
      <c r="K2302" s="423"/>
      <c r="L2302" s="423"/>
      <c r="M2302" s="423"/>
      <c r="Q2302" s="423"/>
      <c r="R2302" s="424" t="s">
        <v>8507</v>
      </c>
      <c r="S2302" s="424" t="s">
        <v>2846</v>
      </c>
      <c r="T2302" s="424" t="s">
        <v>3356</v>
      </c>
      <c r="U2302" s="424">
        <v>0</v>
      </c>
      <c r="V2302" s="424" t="s">
        <v>8155</v>
      </c>
      <c r="W2302" s="424" t="s">
        <v>3074</v>
      </c>
      <c r="X2302" s="424" t="s">
        <v>8141</v>
      </c>
      <c r="Y2302" s="424" t="s">
        <v>2279</v>
      </c>
      <c r="Z2302" s="424" t="s">
        <v>2848</v>
      </c>
      <c r="AA2302" s="424" t="s">
        <v>2855</v>
      </c>
      <c r="AB2302" s="424" t="s">
        <v>8146</v>
      </c>
      <c r="AC2302" s="424" t="s">
        <v>1953</v>
      </c>
      <c r="AD2302" s="424" t="s">
        <v>2851</v>
      </c>
      <c r="AE2302" s="424" t="s">
        <v>3287</v>
      </c>
      <c r="AF2302" s="424"/>
      <c r="AG2302" s="424"/>
      <c r="AH2302" s="424"/>
    </row>
    <row r="2303" spans="1:34" x14ac:dyDescent="0.25">
      <c r="A2303" s="423" t="s">
        <v>7812</v>
      </c>
      <c r="B2303" s="423" t="s">
        <v>8508</v>
      </c>
      <c r="C2303" s="423" t="s">
        <v>6852</v>
      </c>
      <c r="D2303" s="423" t="s">
        <v>6850</v>
      </c>
      <c r="E2303" s="423" t="s">
        <v>242</v>
      </c>
      <c r="F2303" s="423">
        <v>16</v>
      </c>
      <c r="G2303" s="423">
        <v>48</v>
      </c>
      <c r="H2303" s="423">
        <v>300</v>
      </c>
      <c r="J2303" s="423"/>
      <c r="K2303" s="423"/>
      <c r="L2303" s="423"/>
      <c r="M2303" s="423"/>
      <c r="Q2303" s="423"/>
      <c r="R2303" s="424" t="s">
        <v>8509</v>
      </c>
      <c r="S2303" s="424" t="s">
        <v>2846</v>
      </c>
      <c r="T2303" s="424" t="s">
        <v>3356</v>
      </c>
      <c r="U2303" s="424">
        <v>0</v>
      </c>
      <c r="V2303" s="424" t="s">
        <v>8155</v>
      </c>
      <c r="W2303" s="424" t="s">
        <v>3074</v>
      </c>
      <c r="X2303" s="424" t="s">
        <v>8141</v>
      </c>
      <c r="Y2303" s="424" t="s">
        <v>2279</v>
      </c>
      <c r="Z2303" s="424" t="s">
        <v>2848</v>
      </c>
      <c r="AA2303" s="424" t="s">
        <v>2855</v>
      </c>
      <c r="AB2303" s="424" t="s">
        <v>8107</v>
      </c>
      <c r="AC2303" s="424" t="s">
        <v>1953</v>
      </c>
      <c r="AD2303" s="424" t="s">
        <v>2851</v>
      </c>
      <c r="AE2303" s="424" t="s">
        <v>3158</v>
      </c>
      <c r="AF2303" s="424"/>
      <c r="AG2303" s="424"/>
      <c r="AH2303" s="424"/>
    </row>
    <row r="2304" spans="1:34" x14ac:dyDescent="0.25">
      <c r="A2304" s="423" t="s">
        <v>7812</v>
      </c>
      <c r="B2304" s="423" t="s">
        <v>8510</v>
      </c>
      <c r="C2304" s="423" t="s">
        <v>6852</v>
      </c>
      <c r="D2304" s="423" t="s">
        <v>6850</v>
      </c>
      <c r="E2304" s="423" t="s">
        <v>242</v>
      </c>
      <c r="F2304" s="423">
        <v>32</v>
      </c>
      <c r="G2304" s="423">
        <v>96</v>
      </c>
      <c r="H2304" s="423">
        <v>1000</v>
      </c>
      <c r="J2304" s="423"/>
      <c r="K2304" s="423"/>
      <c r="L2304" s="423"/>
      <c r="M2304" s="423"/>
      <c r="Q2304" s="423"/>
      <c r="R2304" s="424" t="s">
        <v>8511</v>
      </c>
      <c r="S2304" s="424" t="s">
        <v>2820</v>
      </c>
      <c r="T2304" s="424" t="s">
        <v>5166</v>
      </c>
      <c r="U2304" s="424">
        <v>0</v>
      </c>
      <c r="V2304" s="424" t="s">
        <v>2092</v>
      </c>
      <c r="W2304" s="424" t="s">
        <v>3283</v>
      </c>
      <c r="X2304" s="424" t="s">
        <v>5426</v>
      </c>
      <c r="Y2304" s="424" t="s">
        <v>3983</v>
      </c>
      <c r="Z2304" s="424" t="s">
        <v>2889</v>
      </c>
      <c r="AA2304" s="424" t="s">
        <v>2890</v>
      </c>
      <c r="AB2304" s="424" t="s">
        <v>8512</v>
      </c>
      <c r="AC2304" s="424" t="s">
        <v>1953</v>
      </c>
      <c r="AD2304" s="424" t="s">
        <v>2892</v>
      </c>
      <c r="AE2304" s="424" t="s">
        <v>8028</v>
      </c>
      <c r="AF2304" s="424"/>
      <c r="AG2304" s="424"/>
      <c r="AH2304" s="424"/>
    </row>
    <row r="2305" spans="1:34" x14ac:dyDescent="0.25">
      <c r="A2305" s="423" t="s">
        <v>7812</v>
      </c>
      <c r="B2305" s="423" t="s">
        <v>8513</v>
      </c>
      <c r="C2305" s="423" t="s">
        <v>6852</v>
      </c>
      <c r="D2305" s="423" t="s">
        <v>6850</v>
      </c>
      <c r="E2305" s="423" t="s">
        <v>242</v>
      </c>
      <c r="F2305" s="423">
        <v>32</v>
      </c>
      <c r="G2305" s="423">
        <v>96</v>
      </c>
      <c r="H2305" s="423">
        <v>1000</v>
      </c>
      <c r="J2305" s="423"/>
      <c r="K2305" s="423"/>
      <c r="L2305" s="423"/>
      <c r="M2305" s="423"/>
      <c r="Q2305" s="423"/>
      <c r="R2305" s="424" t="s">
        <v>8514</v>
      </c>
      <c r="S2305" s="424" t="s">
        <v>2820</v>
      </c>
      <c r="T2305" s="424" t="s">
        <v>5166</v>
      </c>
      <c r="U2305" s="424">
        <v>0</v>
      </c>
      <c r="V2305" s="424" t="s">
        <v>2092</v>
      </c>
      <c r="W2305" s="424" t="s">
        <v>3283</v>
      </c>
      <c r="X2305" s="424" t="s">
        <v>5426</v>
      </c>
      <c r="Y2305" s="424" t="s">
        <v>3983</v>
      </c>
      <c r="Z2305" s="424" t="s">
        <v>2889</v>
      </c>
      <c r="AA2305" s="424" t="s">
        <v>2890</v>
      </c>
      <c r="AB2305" s="424" t="s">
        <v>8515</v>
      </c>
      <c r="AC2305" s="424" t="s">
        <v>1953</v>
      </c>
      <c r="AD2305" s="424" t="s">
        <v>2892</v>
      </c>
      <c r="AE2305" s="424" t="s">
        <v>8028</v>
      </c>
      <c r="AF2305" s="424"/>
      <c r="AG2305" s="424"/>
      <c r="AH2305" s="424"/>
    </row>
    <row r="2306" spans="1:34" x14ac:dyDescent="0.25">
      <c r="A2306" s="423" t="s">
        <v>7812</v>
      </c>
      <c r="B2306" s="423" t="s">
        <v>8516</v>
      </c>
      <c r="C2306" s="423" t="s">
        <v>6852</v>
      </c>
      <c r="D2306" s="423" t="s">
        <v>6850</v>
      </c>
      <c r="E2306" s="423" t="s">
        <v>242</v>
      </c>
      <c r="F2306" s="423">
        <v>32</v>
      </c>
      <c r="G2306" s="423">
        <v>96</v>
      </c>
      <c r="H2306" s="423">
        <v>1000</v>
      </c>
      <c r="J2306" s="423"/>
      <c r="K2306" s="423"/>
      <c r="L2306" s="423"/>
      <c r="M2306" s="423"/>
      <c r="Q2306" s="423"/>
      <c r="R2306" s="424" t="s">
        <v>8517</v>
      </c>
      <c r="S2306" s="424" t="s">
        <v>2820</v>
      </c>
      <c r="T2306" s="424" t="s">
        <v>5166</v>
      </c>
      <c r="U2306" s="424">
        <v>0</v>
      </c>
      <c r="V2306" s="424" t="s">
        <v>2092</v>
      </c>
      <c r="W2306" s="424" t="s">
        <v>3283</v>
      </c>
      <c r="X2306" s="424" t="s">
        <v>5426</v>
      </c>
      <c r="Y2306" s="424" t="s">
        <v>3983</v>
      </c>
      <c r="Z2306" s="424" t="s">
        <v>2889</v>
      </c>
      <c r="AA2306" s="424" t="s">
        <v>2890</v>
      </c>
      <c r="AB2306" s="424" t="s">
        <v>8518</v>
      </c>
      <c r="AC2306" s="424" t="s">
        <v>1953</v>
      </c>
      <c r="AD2306" s="424" t="s">
        <v>2892</v>
      </c>
      <c r="AE2306" s="424" t="s">
        <v>8028</v>
      </c>
      <c r="AF2306" s="424"/>
      <c r="AG2306" s="424"/>
      <c r="AH2306" s="424"/>
    </row>
    <row r="2307" spans="1:34" x14ac:dyDescent="0.25">
      <c r="A2307" s="423" t="s">
        <v>7812</v>
      </c>
      <c r="B2307" s="423" t="s">
        <v>8519</v>
      </c>
      <c r="C2307" s="423" t="s">
        <v>6852</v>
      </c>
      <c r="D2307" s="423" t="s">
        <v>6850</v>
      </c>
      <c r="E2307" s="423" t="s">
        <v>242</v>
      </c>
      <c r="F2307" s="423">
        <v>32</v>
      </c>
      <c r="G2307" s="423">
        <v>96</v>
      </c>
      <c r="H2307" s="423">
        <v>1000</v>
      </c>
      <c r="J2307" s="423"/>
      <c r="K2307" s="423"/>
      <c r="L2307" s="423"/>
      <c r="M2307" s="423"/>
      <c r="Q2307" s="423"/>
      <c r="R2307" s="424" t="s">
        <v>8520</v>
      </c>
      <c r="S2307" s="424" t="s">
        <v>2820</v>
      </c>
      <c r="T2307" s="424" t="s">
        <v>5166</v>
      </c>
      <c r="U2307" s="424">
        <v>0</v>
      </c>
      <c r="V2307" s="424" t="s">
        <v>2092</v>
      </c>
      <c r="W2307" s="424" t="s">
        <v>3283</v>
      </c>
      <c r="X2307" s="424" t="s">
        <v>5426</v>
      </c>
      <c r="Y2307" s="424" t="s">
        <v>3983</v>
      </c>
      <c r="Z2307" s="424" t="s">
        <v>2889</v>
      </c>
      <c r="AA2307" s="424" t="s">
        <v>2890</v>
      </c>
      <c r="AB2307" s="424" t="s">
        <v>8521</v>
      </c>
      <c r="AC2307" s="424" t="s">
        <v>1953</v>
      </c>
      <c r="AD2307" s="424" t="s">
        <v>2892</v>
      </c>
      <c r="AE2307" s="424" t="s">
        <v>8028</v>
      </c>
      <c r="AF2307" s="424"/>
      <c r="AG2307" s="424"/>
      <c r="AH2307" s="424"/>
    </row>
    <row r="2308" spans="1:34" x14ac:dyDescent="0.25">
      <c r="A2308" s="423" t="s">
        <v>7812</v>
      </c>
      <c r="B2308" s="423" t="s">
        <v>8522</v>
      </c>
      <c r="C2308" s="423" t="s">
        <v>6852</v>
      </c>
      <c r="D2308" s="423" t="s">
        <v>6850</v>
      </c>
      <c r="E2308" s="423" t="s">
        <v>242</v>
      </c>
      <c r="F2308" s="423">
        <v>32</v>
      </c>
      <c r="G2308" s="423">
        <v>96</v>
      </c>
      <c r="H2308" s="423">
        <v>1000</v>
      </c>
      <c r="J2308" s="423"/>
      <c r="K2308" s="423"/>
      <c r="L2308" s="423"/>
      <c r="M2308" s="423"/>
      <c r="Q2308" s="423"/>
      <c r="R2308" s="424" t="s">
        <v>8523</v>
      </c>
      <c r="S2308" s="424" t="s">
        <v>2820</v>
      </c>
      <c r="T2308" s="424" t="s">
        <v>5166</v>
      </c>
      <c r="U2308" s="424">
        <v>0</v>
      </c>
      <c r="V2308" s="424" t="s">
        <v>2092</v>
      </c>
      <c r="W2308" s="424" t="s">
        <v>3283</v>
      </c>
      <c r="X2308" s="424" t="s">
        <v>5426</v>
      </c>
      <c r="Y2308" s="424" t="s">
        <v>3983</v>
      </c>
      <c r="Z2308" s="424" t="s">
        <v>2889</v>
      </c>
      <c r="AA2308" s="424" t="s">
        <v>2890</v>
      </c>
      <c r="AB2308" s="424" t="s">
        <v>8524</v>
      </c>
      <c r="AC2308" s="424" t="s">
        <v>1953</v>
      </c>
      <c r="AD2308" s="424" t="s">
        <v>2892</v>
      </c>
      <c r="AE2308" s="424" t="s">
        <v>8028</v>
      </c>
      <c r="AF2308" s="424"/>
      <c r="AG2308" s="424"/>
      <c r="AH2308" s="424"/>
    </row>
    <row r="2309" spans="1:34" x14ac:dyDescent="0.25">
      <c r="A2309" s="423" t="s">
        <v>7812</v>
      </c>
      <c r="B2309" s="423" t="s">
        <v>8525</v>
      </c>
      <c r="C2309" s="423" t="s">
        <v>6852</v>
      </c>
      <c r="D2309" s="423" t="s">
        <v>6850</v>
      </c>
      <c r="E2309" s="423" t="s">
        <v>242</v>
      </c>
      <c r="F2309" s="423">
        <v>32</v>
      </c>
      <c r="G2309" s="423">
        <v>96</v>
      </c>
      <c r="H2309" s="423">
        <v>1000</v>
      </c>
      <c r="J2309" s="423"/>
      <c r="K2309" s="423"/>
      <c r="L2309" s="423"/>
      <c r="M2309" s="423"/>
      <c r="Q2309" s="423"/>
      <c r="R2309" s="424" t="s">
        <v>8526</v>
      </c>
      <c r="S2309" s="424" t="s">
        <v>2820</v>
      </c>
      <c r="T2309" s="424" t="s">
        <v>5166</v>
      </c>
      <c r="U2309" s="424">
        <v>0</v>
      </c>
      <c r="V2309" s="424" t="s">
        <v>2092</v>
      </c>
      <c r="W2309" s="424" t="s">
        <v>3283</v>
      </c>
      <c r="X2309" s="424" t="s">
        <v>5426</v>
      </c>
      <c r="Y2309" s="424" t="s">
        <v>3983</v>
      </c>
      <c r="Z2309" s="424" t="s">
        <v>2889</v>
      </c>
      <c r="AA2309" s="424" t="s">
        <v>2890</v>
      </c>
      <c r="AB2309" s="424" t="s">
        <v>8527</v>
      </c>
      <c r="AC2309" s="424" t="s">
        <v>1953</v>
      </c>
      <c r="AD2309" s="424" t="s">
        <v>2892</v>
      </c>
      <c r="AE2309" s="424" t="s">
        <v>8028</v>
      </c>
      <c r="AF2309" s="424"/>
      <c r="AG2309" s="424"/>
      <c r="AH2309" s="424"/>
    </row>
    <row r="2310" spans="1:34" x14ac:dyDescent="0.25">
      <c r="A2310" s="423" t="s">
        <v>7812</v>
      </c>
      <c r="B2310" s="423" t="s">
        <v>8528</v>
      </c>
      <c r="C2310" s="423" t="s">
        <v>6852</v>
      </c>
      <c r="D2310" s="423" t="s">
        <v>6850</v>
      </c>
      <c r="E2310" s="423" t="s">
        <v>242</v>
      </c>
      <c r="F2310" s="423">
        <v>32</v>
      </c>
      <c r="G2310" s="423">
        <v>96</v>
      </c>
      <c r="H2310" s="423">
        <v>1000</v>
      </c>
      <c r="J2310" s="423"/>
      <c r="K2310" s="423"/>
      <c r="L2310" s="423"/>
      <c r="M2310" s="423"/>
      <c r="Q2310" s="423"/>
      <c r="R2310" s="424" t="s">
        <v>8529</v>
      </c>
      <c r="S2310" s="424" t="s">
        <v>2820</v>
      </c>
      <c r="T2310" s="424" t="s">
        <v>5166</v>
      </c>
      <c r="U2310" s="424">
        <v>0</v>
      </c>
      <c r="V2310" s="424" t="s">
        <v>2092</v>
      </c>
      <c r="W2310" s="424" t="s">
        <v>3283</v>
      </c>
      <c r="X2310" s="424" t="s">
        <v>5426</v>
      </c>
      <c r="Y2310" s="424" t="s">
        <v>3983</v>
      </c>
      <c r="Z2310" s="424" t="s">
        <v>2889</v>
      </c>
      <c r="AA2310" s="424" t="s">
        <v>2890</v>
      </c>
      <c r="AB2310" s="424" t="s">
        <v>8530</v>
      </c>
      <c r="AC2310" s="424" t="s">
        <v>1953</v>
      </c>
      <c r="AD2310" s="424" t="s">
        <v>2892</v>
      </c>
      <c r="AE2310" s="424" t="s">
        <v>8531</v>
      </c>
      <c r="AF2310" s="424"/>
      <c r="AG2310" s="424"/>
      <c r="AH2310" s="424"/>
    </row>
    <row r="2311" spans="1:34" x14ac:dyDescent="0.25">
      <c r="A2311" s="423" t="s">
        <v>7812</v>
      </c>
      <c r="B2311" s="423" t="s">
        <v>8532</v>
      </c>
      <c r="C2311" s="423" t="s">
        <v>6852</v>
      </c>
      <c r="D2311" s="423" t="s">
        <v>6850</v>
      </c>
      <c r="E2311" s="423" t="s">
        <v>242</v>
      </c>
      <c r="F2311" s="423">
        <v>32</v>
      </c>
      <c r="G2311" s="423">
        <v>96</v>
      </c>
      <c r="H2311" s="423">
        <v>1000</v>
      </c>
      <c r="J2311" s="423"/>
      <c r="K2311" s="423"/>
      <c r="L2311" s="423"/>
      <c r="M2311" s="423"/>
      <c r="Q2311" s="423"/>
      <c r="R2311" s="424" t="s">
        <v>8533</v>
      </c>
      <c r="S2311" s="424" t="s">
        <v>2820</v>
      </c>
      <c r="T2311" s="424" t="s">
        <v>5166</v>
      </c>
      <c r="U2311" s="424">
        <v>0</v>
      </c>
      <c r="V2311" s="424" t="s">
        <v>2092</v>
      </c>
      <c r="W2311" s="424" t="s">
        <v>3283</v>
      </c>
      <c r="X2311" s="424" t="s">
        <v>5426</v>
      </c>
      <c r="Y2311" s="424" t="s">
        <v>3983</v>
      </c>
      <c r="Z2311" s="424" t="s">
        <v>2889</v>
      </c>
      <c r="AA2311" s="424" t="s">
        <v>2890</v>
      </c>
      <c r="AB2311" s="424" t="s">
        <v>8534</v>
      </c>
      <c r="AC2311" s="424" t="s">
        <v>1953</v>
      </c>
      <c r="AD2311" s="424" t="s">
        <v>2892</v>
      </c>
      <c r="AE2311" s="424" t="s">
        <v>8531</v>
      </c>
      <c r="AF2311" s="424"/>
      <c r="AG2311" s="424"/>
      <c r="AH2311" s="424"/>
    </row>
    <row r="2312" spans="1:34" x14ac:dyDescent="0.25">
      <c r="A2312" s="423" t="s">
        <v>7812</v>
      </c>
      <c r="B2312" s="423" t="s">
        <v>8535</v>
      </c>
      <c r="C2312" s="423" t="s">
        <v>6852</v>
      </c>
      <c r="D2312" s="423" t="s">
        <v>6850</v>
      </c>
      <c r="E2312" s="423" t="s">
        <v>242</v>
      </c>
      <c r="F2312" s="423">
        <v>32</v>
      </c>
      <c r="G2312" s="423">
        <v>96</v>
      </c>
      <c r="H2312" s="423">
        <v>1000</v>
      </c>
      <c r="J2312" s="423"/>
      <c r="K2312" s="423"/>
      <c r="L2312" s="423"/>
      <c r="M2312" s="423"/>
      <c r="Q2312" s="423"/>
      <c r="R2312" s="424" t="s">
        <v>8536</v>
      </c>
      <c r="S2312" s="424" t="s">
        <v>2820</v>
      </c>
      <c r="T2312" s="424" t="s">
        <v>5166</v>
      </c>
      <c r="U2312" s="424">
        <v>0</v>
      </c>
      <c r="V2312" s="424" t="s">
        <v>2092</v>
      </c>
      <c r="W2312" s="424" t="s">
        <v>3283</v>
      </c>
      <c r="X2312" s="424" t="s">
        <v>5426</v>
      </c>
      <c r="Y2312" s="424" t="s">
        <v>3983</v>
      </c>
      <c r="Z2312" s="424" t="s">
        <v>2889</v>
      </c>
      <c r="AA2312" s="424" t="s">
        <v>2890</v>
      </c>
      <c r="AB2312" s="424" t="s">
        <v>8537</v>
      </c>
      <c r="AC2312" s="424" t="s">
        <v>1953</v>
      </c>
      <c r="AD2312" s="424" t="s">
        <v>2892</v>
      </c>
      <c r="AE2312" s="424" t="s">
        <v>8531</v>
      </c>
      <c r="AF2312" s="424"/>
      <c r="AG2312" s="424"/>
      <c r="AH2312" s="424"/>
    </row>
    <row r="2313" spans="1:34" x14ac:dyDescent="0.25">
      <c r="A2313" s="423" t="s">
        <v>7812</v>
      </c>
      <c r="B2313" s="423" t="s">
        <v>8538</v>
      </c>
      <c r="C2313" s="423" t="s">
        <v>6852</v>
      </c>
      <c r="D2313" s="423" t="s">
        <v>6850</v>
      </c>
      <c r="E2313" s="423" t="s">
        <v>242</v>
      </c>
      <c r="F2313" s="423">
        <v>16</v>
      </c>
      <c r="G2313" s="423">
        <v>32</v>
      </c>
      <c r="H2313" s="423">
        <v>4000</v>
      </c>
      <c r="J2313" s="423"/>
      <c r="K2313" s="423"/>
      <c r="L2313" s="423"/>
      <c r="M2313" s="423"/>
      <c r="Q2313" s="423"/>
      <c r="R2313" s="424" t="s">
        <v>8539</v>
      </c>
      <c r="S2313" s="424" t="s">
        <v>2846</v>
      </c>
      <c r="T2313" s="424" t="s">
        <v>3356</v>
      </c>
      <c r="U2313" s="424">
        <v>0</v>
      </c>
      <c r="V2313" s="424" t="s">
        <v>2924</v>
      </c>
      <c r="W2313" s="424" t="s">
        <v>3074</v>
      </c>
      <c r="X2313" s="424">
        <v>0</v>
      </c>
      <c r="Y2313" s="424" t="s">
        <v>2279</v>
      </c>
      <c r="Z2313" s="424" t="s">
        <v>2848</v>
      </c>
      <c r="AA2313" s="424" t="s">
        <v>2855</v>
      </c>
      <c r="AB2313" s="424" t="s">
        <v>7904</v>
      </c>
      <c r="AC2313" s="424" t="s">
        <v>1953</v>
      </c>
      <c r="AD2313" s="424" t="s">
        <v>2851</v>
      </c>
      <c r="AE2313" s="424" t="s">
        <v>3444</v>
      </c>
      <c r="AF2313" s="424"/>
      <c r="AG2313" s="424"/>
      <c r="AH2313" s="424"/>
    </row>
    <row r="2314" spans="1:34" x14ac:dyDescent="0.25">
      <c r="A2314" s="423" t="s">
        <v>7812</v>
      </c>
      <c r="B2314" s="423" t="s">
        <v>8540</v>
      </c>
      <c r="C2314" s="423" t="s">
        <v>6852</v>
      </c>
      <c r="D2314" s="423" t="s">
        <v>6850</v>
      </c>
      <c r="E2314" s="423" t="s">
        <v>242</v>
      </c>
      <c r="F2314" s="423">
        <v>16</v>
      </c>
      <c r="G2314" s="423">
        <v>32</v>
      </c>
      <c r="H2314" s="423">
        <v>4000</v>
      </c>
      <c r="J2314" s="423"/>
      <c r="K2314" s="423"/>
      <c r="L2314" s="423"/>
      <c r="M2314" s="423"/>
      <c r="Q2314" s="423"/>
      <c r="R2314" s="424" t="s">
        <v>8541</v>
      </c>
      <c r="S2314" s="424" t="s">
        <v>2846</v>
      </c>
      <c r="T2314" s="424" t="s">
        <v>3356</v>
      </c>
      <c r="U2314" s="424">
        <v>0</v>
      </c>
      <c r="V2314" s="424" t="s">
        <v>2924</v>
      </c>
      <c r="W2314" s="424" t="s">
        <v>3074</v>
      </c>
      <c r="X2314" s="424">
        <v>0</v>
      </c>
      <c r="Y2314" s="424" t="s">
        <v>2279</v>
      </c>
      <c r="Z2314" s="424" t="s">
        <v>2848</v>
      </c>
      <c r="AA2314" s="424" t="s">
        <v>2855</v>
      </c>
      <c r="AB2314" s="424" t="s">
        <v>7909</v>
      </c>
      <c r="AC2314" s="424" t="s">
        <v>1953</v>
      </c>
      <c r="AD2314" s="424" t="s">
        <v>2851</v>
      </c>
      <c r="AE2314" s="424" t="s">
        <v>3444</v>
      </c>
      <c r="AF2314" s="424"/>
      <c r="AG2314" s="424"/>
      <c r="AH2314" s="424"/>
    </row>
    <row r="2315" spans="1:34" x14ac:dyDescent="0.25">
      <c r="A2315" s="425" t="s">
        <v>880</v>
      </c>
      <c r="B2315" s="425" t="s">
        <v>8542</v>
      </c>
      <c r="C2315" s="425" t="s">
        <v>414</v>
      </c>
      <c r="D2315" s="425" t="s">
        <v>1143</v>
      </c>
      <c r="E2315" s="425" t="s">
        <v>8543</v>
      </c>
      <c r="F2315" s="425">
        <v>4</v>
      </c>
      <c r="G2315" s="425">
        <v>40</v>
      </c>
      <c r="H2315" s="425">
        <v>300</v>
      </c>
      <c r="I2315" s="425" t="s">
        <v>1797</v>
      </c>
      <c r="J2315" s="425" t="s">
        <v>8544</v>
      </c>
      <c r="K2315" s="425" t="s">
        <v>2384</v>
      </c>
      <c r="L2315" s="425" t="s">
        <v>2385</v>
      </c>
      <c r="M2315" s="426">
        <v>45694</v>
      </c>
      <c r="N2315" s="425" t="s">
        <v>2672</v>
      </c>
      <c r="O2315" s="425" t="s">
        <v>825</v>
      </c>
      <c r="Q2315" s="425" t="s">
        <v>8545</v>
      </c>
    </row>
    <row r="2316" spans="1:34" x14ac:dyDescent="0.25">
      <c r="A2316" s="425" t="s">
        <v>880</v>
      </c>
      <c r="B2316" s="425" t="s">
        <v>8546</v>
      </c>
      <c r="C2316" s="425" t="s">
        <v>414</v>
      </c>
      <c r="D2316" s="425" t="s">
        <v>1143</v>
      </c>
      <c r="E2316" s="425" t="s">
        <v>8543</v>
      </c>
      <c r="F2316" s="425">
        <v>24</v>
      </c>
      <c r="G2316" s="425">
        <v>48</v>
      </c>
      <c r="H2316" s="425">
        <v>860</v>
      </c>
      <c r="I2316" s="425" t="s">
        <v>1797</v>
      </c>
      <c r="J2316" s="425" t="s">
        <v>8544</v>
      </c>
      <c r="K2316" s="425" t="s">
        <v>2409</v>
      </c>
      <c r="L2316" s="425" t="s">
        <v>2410</v>
      </c>
      <c r="M2316" s="426">
        <v>45694</v>
      </c>
      <c r="N2316" s="425" t="s">
        <v>2672</v>
      </c>
      <c r="O2316" s="425" t="s">
        <v>825</v>
      </c>
      <c r="Q2316" s="425" t="s">
        <v>8545</v>
      </c>
    </row>
    <row r="2317" spans="1:34" x14ac:dyDescent="0.25">
      <c r="A2317" s="425" t="s">
        <v>8547</v>
      </c>
      <c r="B2317" s="425" t="s">
        <v>8548</v>
      </c>
      <c r="C2317" s="425" t="s">
        <v>425</v>
      </c>
      <c r="D2317" s="425" t="s">
        <v>794</v>
      </c>
      <c r="E2317" s="425" t="s">
        <v>2224</v>
      </c>
      <c r="F2317" s="425">
        <v>16</v>
      </c>
      <c r="G2317" s="425">
        <v>50</v>
      </c>
      <c r="H2317" s="425">
        <v>500</v>
      </c>
      <c r="I2317" s="425" t="s">
        <v>1797</v>
      </c>
      <c r="J2317" s="425" t="s">
        <v>1797</v>
      </c>
      <c r="K2317" s="425" t="s">
        <v>1797</v>
      </c>
      <c r="L2317" s="425" t="s">
        <v>1797</v>
      </c>
      <c r="M2317" s="425" t="s">
        <v>1797</v>
      </c>
      <c r="N2317" s="425" t="s">
        <v>1797</v>
      </c>
      <c r="O2317" s="425" t="s">
        <v>1797</v>
      </c>
      <c r="P2317" s="422" t="s">
        <v>8549</v>
      </c>
      <c r="Q2317" s="425" t="s">
        <v>8545</v>
      </c>
    </row>
    <row r="2318" spans="1:34" x14ac:dyDescent="0.25">
      <c r="A2318" s="425" t="s">
        <v>8547</v>
      </c>
      <c r="B2318" s="425" t="s">
        <v>8550</v>
      </c>
      <c r="C2318" s="425" t="s">
        <v>425</v>
      </c>
      <c r="D2318" s="425" t="s">
        <v>794</v>
      </c>
      <c r="E2318" s="425" t="s">
        <v>2224</v>
      </c>
      <c r="F2318" s="425">
        <v>16</v>
      </c>
      <c r="G2318" s="425">
        <v>50</v>
      </c>
      <c r="H2318" s="425">
        <v>500</v>
      </c>
      <c r="I2318" s="425" t="s">
        <v>1797</v>
      </c>
      <c r="J2318" s="425" t="s">
        <v>1797</v>
      </c>
      <c r="K2318" s="425" t="s">
        <v>1797</v>
      </c>
      <c r="L2318" s="425" t="s">
        <v>1797</v>
      </c>
      <c r="M2318" s="425" t="s">
        <v>1797</v>
      </c>
      <c r="N2318" s="425" t="s">
        <v>1797</v>
      </c>
      <c r="O2318" s="425" t="s">
        <v>1797</v>
      </c>
      <c r="P2318" s="422" t="s">
        <v>8549</v>
      </c>
      <c r="Q2318" s="425" t="s">
        <v>8545</v>
      </c>
    </row>
    <row r="2319" spans="1:34" x14ac:dyDescent="0.25">
      <c r="A2319" s="425" t="s">
        <v>8547</v>
      </c>
      <c r="B2319" s="425" t="s">
        <v>8551</v>
      </c>
      <c r="C2319" s="425" t="s">
        <v>425</v>
      </c>
      <c r="D2319" s="425" t="s">
        <v>794</v>
      </c>
      <c r="E2319" s="425" t="s">
        <v>2224</v>
      </c>
      <c r="F2319" s="425">
        <v>16</v>
      </c>
      <c r="G2319" s="425">
        <v>50</v>
      </c>
      <c r="H2319" s="425">
        <v>500</v>
      </c>
      <c r="I2319" s="425" t="s">
        <v>1797</v>
      </c>
      <c r="J2319" s="425" t="s">
        <v>1797</v>
      </c>
      <c r="K2319" s="425" t="s">
        <v>1797</v>
      </c>
      <c r="L2319" s="425" t="s">
        <v>1797</v>
      </c>
      <c r="M2319" s="425" t="s">
        <v>1797</v>
      </c>
      <c r="N2319" s="425" t="s">
        <v>1797</v>
      </c>
      <c r="O2319" s="425" t="s">
        <v>1797</v>
      </c>
      <c r="P2319" s="422" t="s">
        <v>8549</v>
      </c>
      <c r="Q2319" s="425" t="s">
        <v>8545</v>
      </c>
    </row>
    <row r="2320" spans="1:34" x14ac:dyDescent="0.25">
      <c r="A2320" s="425" t="s">
        <v>8547</v>
      </c>
      <c r="B2320" s="425" t="s">
        <v>8552</v>
      </c>
      <c r="C2320" s="425" t="s">
        <v>425</v>
      </c>
      <c r="D2320" s="425" t="s">
        <v>794</v>
      </c>
      <c r="E2320" s="425" t="s">
        <v>2224</v>
      </c>
      <c r="F2320" s="425">
        <v>16</v>
      </c>
      <c r="G2320" s="425">
        <v>50</v>
      </c>
      <c r="H2320" s="425">
        <v>500</v>
      </c>
      <c r="I2320" s="425" t="s">
        <v>1797</v>
      </c>
      <c r="J2320" s="425" t="s">
        <v>1797</v>
      </c>
      <c r="K2320" s="425" t="s">
        <v>1797</v>
      </c>
      <c r="L2320" s="425" t="s">
        <v>1797</v>
      </c>
      <c r="M2320" s="425" t="s">
        <v>1797</v>
      </c>
      <c r="N2320" s="425" t="s">
        <v>1797</v>
      </c>
      <c r="O2320" s="425" t="s">
        <v>1797</v>
      </c>
      <c r="P2320" s="422" t="s">
        <v>8549</v>
      </c>
      <c r="Q2320" s="425" t="s">
        <v>8545</v>
      </c>
    </row>
    <row r="2321" spans="1:17" x14ac:dyDescent="0.25">
      <c r="A2321" s="425" t="s">
        <v>8547</v>
      </c>
      <c r="B2321" s="425" t="s">
        <v>8553</v>
      </c>
      <c r="C2321" s="425" t="s">
        <v>425</v>
      </c>
      <c r="D2321" s="425" t="s">
        <v>794</v>
      </c>
      <c r="E2321" s="425" t="s">
        <v>2224</v>
      </c>
      <c r="F2321" s="425">
        <v>16</v>
      </c>
      <c r="G2321" s="425">
        <v>50</v>
      </c>
      <c r="H2321" s="425">
        <v>500</v>
      </c>
      <c r="I2321" s="425" t="s">
        <v>1797</v>
      </c>
      <c r="J2321" s="425" t="s">
        <v>1797</v>
      </c>
      <c r="K2321" s="425" t="s">
        <v>1797</v>
      </c>
      <c r="L2321" s="425" t="s">
        <v>1797</v>
      </c>
      <c r="M2321" s="425" t="s">
        <v>1797</v>
      </c>
      <c r="N2321" s="425" t="s">
        <v>1797</v>
      </c>
      <c r="O2321" s="425" t="s">
        <v>1797</v>
      </c>
      <c r="P2321" s="422" t="s">
        <v>8549</v>
      </c>
      <c r="Q2321" s="425" t="s">
        <v>8545</v>
      </c>
    </row>
    <row r="2322" spans="1:17" x14ac:dyDescent="0.25">
      <c r="A2322" s="425" t="s">
        <v>8547</v>
      </c>
      <c r="B2322" s="425" t="s">
        <v>8554</v>
      </c>
      <c r="C2322" s="425" t="s">
        <v>425</v>
      </c>
      <c r="D2322" s="425" t="s">
        <v>794</v>
      </c>
      <c r="E2322" s="425" t="s">
        <v>2224</v>
      </c>
      <c r="F2322" s="425">
        <v>4</v>
      </c>
      <c r="G2322" s="425">
        <v>64</v>
      </c>
      <c r="H2322" s="425">
        <v>143</v>
      </c>
      <c r="I2322" s="425" t="s">
        <v>1797</v>
      </c>
      <c r="J2322" s="425" t="s">
        <v>8544</v>
      </c>
      <c r="K2322" s="425" t="s">
        <v>1797</v>
      </c>
      <c r="L2322" s="425" t="s">
        <v>1797</v>
      </c>
      <c r="M2322" s="426">
        <v>45421</v>
      </c>
      <c r="N2322" s="425" t="s">
        <v>8555</v>
      </c>
      <c r="O2322" s="425" t="s">
        <v>825</v>
      </c>
      <c r="Q2322" s="425" t="s">
        <v>8545</v>
      </c>
    </row>
    <row r="2323" spans="1:17" x14ac:dyDescent="0.25">
      <c r="A2323" s="425" t="s">
        <v>8547</v>
      </c>
      <c r="B2323" s="425" t="s">
        <v>8556</v>
      </c>
      <c r="C2323" s="425" t="s">
        <v>425</v>
      </c>
      <c r="D2323" s="425" t="s">
        <v>794</v>
      </c>
      <c r="E2323" s="425" t="s">
        <v>2224</v>
      </c>
      <c r="F2323" s="425">
        <v>4</v>
      </c>
      <c r="G2323" s="425">
        <v>64</v>
      </c>
      <c r="H2323" s="425">
        <v>143</v>
      </c>
      <c r="I2323" s="425" t="s">
        <v>1797</v>
      </c>
      <c r="J2323" s="425" t="s">
        <v>8544</v>
      </c>
      <c r="K2323" s="425" t="s">
        <v>1797</v>
      </c>
      <c r="L2323" s="425" t="s">
        <v>1797</v>
      </c>
      <c r="M2323" s="426">
        <v>45421</v>
      </c>
      <c r="N2323" s="425" t="s">
        <v>8555</v>
      </c>
      <c r="O2323" s="425" t="s">
        <v>825</v>
      </c>
      <c r="Q2323" s="425" t="s">
        <v>8545</v>
      </c>
    </row>
    <row r="2324" spans="1:17" x14ac:dyDescent="0.25">
      <c r="A2324" s="425" t="s">
        <v>8547</v>
      </c>
      <c r="B2324" s="425" t="s">
        <v>8557</v>
      </c>
      <c r="C2324" s="425" t="s">
        <v>425</v>
      </c>
      <c r="D2324" s="425" t="s">
        <v>794</v>
      </c>
      <c r="E2324" s="425" t="s">
        <v>2224</v>
      </c>
      <c r="F2324" s="425">
        <v>8</v>
      </c>
      <c r="G2324" s="425">
        <v>25</v>
      </c>
      <c r="H2324" s="425">
        <v>1300</v>
      </c>
      <c r="I2324" s="425">
        <v>310</v>
      </c>
      <c r="J2324" s="425" t="s">
        <v>8544</v>
      </c>
      <c r="K2324" s="425" t="s">
        <v>1797</v>
      </c>
      <c r="L2324" s="425" t="s">
        <v>1797</v>
      </c>
      <c r="M2324" s="426">
        <v>45421</v>
      </c>
      <c r="N2324" s="425" t="s">
        <v>8555</v>
      </c>
      <c r="O2324" s="425" t="s">
        <v>825</v>
      </c>
      <c r="Q2324" s="425" t="s">
        <v>8545</v>
      </c>
    </row>
    <row r="2325" spans="1:17" x14ac:dyDescent="0.25">
      <c r="A2325" s="425" t="s">
        <v>8547</v>
      </c>
      <c r="B2325" s="425" t="s">
        <v>8558</v>
      </c>
      <c r="C2325" s="425" t="s">
        <v>425</v>
      </c>
      <c r="D2325" s="425" t="s">
        <v>794</v>
      </c>
      <c r="E2325" s="425" t="s">
        <v>2224</v>
      </c>
      <c r="F2325" s="425">
        <v>8</v>
      </c>
      <c r="G2325" s="425">
        <v>25</v>
      </c>
      <c r="H2325" s="425">
        <v>1300</v>
      </c>
      <c r="I2325" s="425">
        <v>310</v>
      </c>
      <c r="J2325" s="425" t="s">
        <v>8544</v>
      </c>
      <c r="K2325" s="425" t="s">
        <v>1797</v>
      </c>
      <c r="L2325" s="425" t="s">
        <v>1797</v>
      </c>
      <c r="M2325" s="426">
        <v>45421</v>
      </c>
      <c r="N2325" s="425" t="s">
        <v>8555</v>
      </c>
      <c r="O2325" s="425" t="s">
        <v>825</v>
      </c>
      <c r="Q2325" s="425" t="s">
        <v>8545</v>
      </c>
    </row>
    <row r="2326" spans="1:17" x14ac:dyDescent="0.25">
      <c r="A2326" s="425" t="s">
        <v>2664</v>
      </c>
      <c r="B2326" s="425" t="s">
        <v>8542</v>
      </c>
      <c r="C2326" s="425" t="s">
        <v>662</v>
      </c>
      <c r="D2326" s="425" t="s">
        <v>8559</v>
      </c>
      <c r="E2326" s="425" t="s">
        <v>8543</v>
      </c>
      <c r="F2326" s="425">
        <v>4</v>
      </c>
      <c r="G2326" s="425">
        <v>8</v>
      </c>
      <c r="H2326" s="425">
        <v>1900</v>
      </c>
      <c r="I2326" s="425" t="s">
        <v>1797</v>
      </c>
      <c r="J2326" s="425" t="s">
        <v>2557</v>
      </c>
      <c r="K2326" s="425" t="s">
        <v>2564</v>
      </c>
      <c r="L2326" s="425" t="s">
        <v>2565</v>
      </c>
      <c r="M2326" s="425" t="s">
        <v>8560</v>
      </c>
      <c r="N2326" s="425" t="s">
        <v>2672</v>
      </c>
      <c r="O2326" s="425" t="s">
        <v>825</v>
      </c>
      <c r="Q2326" s="425" t="s">
        <v>8545</v>
      </c>
    </row>
    <row r="2327" spans="1:17" x14ac:dyDescent="0.25">
      <c r="A2327" s="425" t="s">
        <v>2664</v>
      </c>
      <c r="B2327" s="425" t="s">
        <v>8546</v>
      </c>
      <c r="C2327" s="425" t="s">
        <v>662</v>
      </c>
      <c r="D2327" s="425" t="s">
        <v>8559</v>
      </c>
      <c r="E2327" s="425" t="s">
        <v>8543</v>
      </c>
      <c r="F2327" s="425">
        <v>4</v>
      </c>
      <c r="G2327" s="425">
        <v>8</v>
      </c>
      <c r="H2327" s="425">
        <v>1900</v>
      </c>
      <c r="I2327" s="425" t="s">
        <v>1797</v>
      </c>
      <c r="J2327" s="425" t="s">
        <v>2557</v>
      </c>
      <c r="K2327" s="425" t="s">
        <v>2568</v>
      </c>
      <c r="L2327" s="425" t="s">
        <v>2569</v>
      </c>
      <c r="M2327" s="425" t="s">
        <v>8560</v>
      </c>
      <c r="N2327" s="425" t="s">
        <v>2672</v>
      </c>
      <c r="O2327" s="425" t="s">
        <v>825</v>
      </c>
      <c r="Q2327" s="425" t="s">
        <v>8545</v>
      </c>
    </row>
    <row r="2328" spans="1:17" x14ac:dyDescent="0.25">
      <c r="A2328" s="425" t="s">
        <v>8561</v>
      </c>
      <c r="B2328" s="425" t="s">
        <v>1797</v>
      </c>
      <c r="C2328" s="425" t="s">
        <v>641</v>
      </c>
      <c r="D2328" s="425" t="s">
        <v>4344</v>
      </c>
      <c r="E2328" s="425" t="s">
        <v>8543</v>
      </c>
      <c r="F2328" s="425">
        <v>16</v>
      </c>
      <c r="G2328" s="425">
        <v>32</v>
      </c>
      <c r="H2328" s="425">
        <v>160</v>
      </c>
      <c r="I2328" s="425" t="s">
        <v>1797</v>
      </c>
      <c r="J2328" s="425" t="s">
        <v>2557</v>
      </c>
      <c r="K2328" s="425" t="s">
        <v>1797</v>
      </c>
      <c r="L2328" s="425" t="s">
        <v>1797</v>
      </c>
      <c r="M2328" s="425" t="s">
        <v>8562</v>
      </c>
      <c r="N2328" s="425" t="s">
        <v>8563</v>
      </c>
      <c r="O2328" s="425" t="s">
        <v>825</v>
      </c>
      <c r="Q2328" s="425" t="s">
        <v>8545</v>
      </c>
    </row>
    <row r="2329" spans="1:17" x14ac:dyDescent="0.25">
      <c r="A2329" s="425" t="s">
        <v>8561</v>
      </c>
      <c r="B2329" s="425" t="s">
        <v>1797</v>
      </c>
      <c r="C2329" s="425" t="s">
        <v>641</v>
      </c>
      <c r="D2329" s="425" t="s">
        <v>4344</v>
      </c>
      <c r="E2329" s="425" t="s">
        <v>8543</v>
      </c>
      <c r="F2329" s="425">
        <v>16</v>
      </c>
      <c r="G2329" s="425">
        <v>32</v>
      </c>
      <c r="H2329" s="425">
        <v>160</v>
      </c>
      <c r="I2329" s="425" t="s">
        <v>1797</v>
      </c>
      <c r="J2329" s="425" t="s">
        <v>2557</v>
      </c>
      <c r="K2329" s="425" t="s">
        <v>1797</v>
      </c>
      <c r="L2329" s="425" t="s">
        <v>1797</v>
      </c>
      <c r="M2329" s="425" t="s">
        <v>8562</v>
      </c>
      <c r="N2329" s="425" t="s">
        <v>8563</v>
      </c>
      <c r="O2329" s="425" t="s">
        <v>825</v>
      </c>
      <c r="Q2329" s="425" t="s">
        <v>8545</v>
      </c>
    </row>
    <row r="2330" spans="1:17" x14ac:dyDescent="0.25">
      <c r="A2330" s="425" t="s">
        <v>8561</v>
      </c>
      <c r="B2330" s="425" t="s">
        <v>1797</v>
      </c>
      <c r="C2330" s="425" t="s">
        <v>641</v>
      </c>
      <c r="D2330" s="425" t="s">
        <v>4344</v>
      </c>
      <c r="E2330" s="425" t="s">
        <v>8543</v>
      </c>
      <c r="F2330" s="425">
        <v>8</v>
      </c>
      <c r="G2330" s="425">
        <v>32</v>
      </c>
      <c r="H2330" s="425">
        <v>160</v>
      </c>
      <c r="I2330" s="425" t="s">
        <v>1797</v>
      </c>
      <c r="J2330" s="425" t="s">
        <v>2557</v>
      </c>
      <c r="K2330" s="425" t="s">
        <v>1797</v>
      </c>
      <c r="L2330" s="425" t="s">
        <v>1797</v>
      </c>
      <c r="M2330" s="425" t="s">
        <v>8562</v>
      </c>
      <c r="N2330" s="425" t="s">
        <v>8563</v>
      </c>
      <c r="O2330" s="425" t="s">
        <v>825</v>
      </c>
      <c r="Q2330" s="425" t="s">
        <v>8545</v>
      </c>
    </row>
    <row r="2331" spans="1:17" x14ac:dyDescent="0.25">
      <c r="A2331" s="425" t="s">
        <v>8561</v>
      </c>
      <c r="B2331" s="425" t="s">
        <v>1797</v>
      </c>
      <c r="C2331" s="425" t="s">
        <v>641</v>
      </c>
      <c r="D2331" s="425" t="s">
        <v>4344</v>
      </c>
      <c r="E2331" s="425" t="s">
        <v>8543</v>
      </c>
      <c r="F2331" s="425">
        <v>8</v>
      </c>
      <c r="G2331" s="425">
        <v>32</v>
      </c>
      <c r="H2331" s="425">
        <v>160</v>
      </c>
      <c r="I2331" s="425" t="s">
        <v>1797</v>
      </c>
      <c r="J2331" s="425" t="s">
        <v>2557</v>
      </c>
      <c r="K2331" s="425" t="s">
        <v>1797</v>
      </c>
      <c r="L2331" s="425" t="s">
        <v>1797</v>
      </c>
      <c r="M2331" s="425" t="s">
        <v>8562</v>
      </c>
      <c r="N2331" s="425" t="s">
        <v>8563</v>
      </c>
      <c r="O2331" s="425" t="s">
        <v>825</v>
      </c>
      <c r="Q2331" s="425" t="s">
        <v>8545</v>
      </c>
    </row>
    <row r="2332" spans="1:17" x14ac:dyDescent="0.25">
      <c r="A2332" s="425" t="s">
        <v>8564</v>
      </c>
      <c r="B2332" s="425" t="s">
        <v>8565</v>
      </c>
      <c r="C2332" s="425" t="s">
        <v>746</v>
      </c>
      <c r="D2332" s="425" t="s">
        <v>794</v>
      </c>
      <c r="E2332" s="425" t="s">
        <v>2224</v>
      </c>
      <c r="F2332" s="425">
        <v>10</v>
      </c>
      <c r="G2332" s="425">
        <v>64</v>
      </c>
      <c r="H2332" s="425">
        <v>1050</v>
      </c>
      <c r="I2332" s="425" t="s">
        <v>1797</v>
      </c>
      <c r="J2332" s="425" t="s">
        <v>2557</v>
      </c>
      <c r="K2332" s="425" t="s">
        <v>2580</v>
      </c>
      <c r="L2332" s="425" t="s">
        <v>2581</v>
      </c>
      <c r="M2332" s="425" t="s">
        <v>8566</v>
      </c>
      <c r="N2332" s="425" t="s">
        <v>8567</v>
      </c>
      <c r="O2332" s="425" t="s">
        <v>825</v>
      </c>
      <c r="Q2332" s="425" t="s">
        <v>8545</v>
      </c>
    </row>
    <row r="2333" spans="1:17" x14ac:dyDescent="0.25">
      <c r="A2333" s="425" t="s">
        <v>8564</v>
      </c>
      <c r="B2333" s="425" t="s">
        <v>8568</v>
      </c>
      <c r="C2333" s="425" t="s">
        <v>746</v>
      </c>
      <c r="D2333" s="425" t="s">
        <v>794</v>
      </c>
      <c r="E2333" s="425" t="s">
        <v>2224</v>
      </c>
      <c r="F2333" s="425">
        <v>10</v>
      </c>
      <c r="G2333" s="425">
        <v>64</v>
      </c>
      <c r="H2333" s="425">
        <v>1050</v>
      </c>
      <c r="I2333" s="425" t="s">
        <v>1797</v>
      </c>
      <c r="J2333" s="425" t="s">
        <v>2557</v>
      </c>
      <c r="K2333" s="425" t="s">
        <v>2576</v>
      </c>
      <c r="L2333" s="425" t="s">
        <v>2577</v>
      </c>
      <c r="M2333" s="425" t="s">
        <v>8566</v>
      </c>
      <c r="N2333" s="425" t="s">
        <v>8567</v>
      </c>
      <c r="O2333" s="425" t="s">
        <v>825</v>
      </c>
      <c r="Q2333" s="425" t="s">
        <v>8545</v>
      </c>
    </row>
    <row r="2334" spans="1:17" x14ac:dyDescent="0.25">
      <c r="A2334" s="425" t="s">
        <v>8564</v>
      </c>
      <c r="B2334" s="425" t="s">
        <v>8569</v>
      </c>
      <c r="C2334" s="425" t="s">
        <v>746</v>
      </c>
      <c r="D2334" s="425" t="s">
        <v>794</v>
      </c>
      <c r="E2334" s="425" t="s">
        <v>2224</v>
      </c>
      <c r="F2334" s="425">
        <v>10</v>
      </c>
      <c r="G2334" s="425">
        <v>64</v>
      </c>
      <c r="H2334" s="425">
        <v>1050</v>
      </c>
      <c r="I2334" s="425" t="s">
        <v>1797</v>
      </c>
      <c r="J2334" s="425" t="s">
        <v>2557</v>
      </c>
      <c r="K2334" s="425" t="s">
        <v>2572</v>
      </c>
      <c r="L2334" s="425" t="s">
        <v>2573</v>
      </c>
      <c r="M2334" s="425" t="s">
        <v>8566</v>
      </c>
      <c r="N2334" s="425" t="s">
        <v>8567</v>
      </c>
      <c r="O2334" s="425" t="s">
        <v>825</v>
      </c>
      <c r="Q2334" s="425" t="s">
        <v>8545</v>
      </c>
    </row>
    <row r="2335" spans="1:17" x14ac:dyDescent="0.25">
      <c r="A2335" s="425" t="s">
        <v>8564</v>
      </c>
      <c r="B2335" s="425" t="s">
        <v>8570</v>
      </c>
      <c r="C2335" s="425" t="s">
        <v>746</v>
      </c>
      <c r="D2335" s="425" t="s">
        <v>794</v>
      </c>
      <c r="E2335" s="425" t="s">
        <v>2224</v>
      </c>
      <c r="F2335" s="425">
        <v>10</v>
      </c>
      <c r="G2335" s="425">
        <v>64</v>
      </c>
      <c r="H2335" s="425">
        <v>1050</v>
      </c>
      <c r="I2335" s="425" t="s">
        <v>1797</v>
      </c>
      <c r="J2335" s="425" t="s">
        <v>2557</v>
      </c>
      <c r="K2335" s="425" t="s">
        <v>2568</v>
      </c>
      <c r="L2335" s="425" t="s">
        <v>2569</v>
      </c>
      <c r="M2335" s="425" t="s">
        <v>8566</v>
      </c>
      <c r="N2335" s="425" t="s">
        <v>8567</v>
      </c>
      <c r="O2335" s="425" t="s">
        <v>825</v>
      </c>
      <c r="Q2335" s="425" t="s">
        <v>8545</v>
      </c>
    </row>
    <row r="2336" spans="1:17" x14ac:dyDescent="0.25">
      <c r="A2336" s="425" t="s">
        <v>8564</v>
      </c>
      <c r="B2336" s="425" t="s">
        <v>8571</v>
      </c>
      <c r="C2336" s="425" t="s">
        <v>746</v>
      </c>
      <c r="D2336" s="425" t="s">
        <v>794</v>
      </c>
      <c r="E2336" s="425" t="s">
        <v>2224</v>
      </c>
      <c r="F2336" s="425">
        <v>10</v>
      </c>
      <c r="G2336" s="425">
        <v>64</v>
      </c>
      <c r="H2336" s="425">
        <v>1050</v>
      </c>
      <c r="I2336" s="425" t="s">
        <v>1797</v>
      </c>
      <c r="J2336" s="425" t="s">
        <v>2557</v>
      </c>
      <c r="K2336" s="425" t="s">
        <v>2564</v>
      </c>
      <c r="L2336" s="425" t="s">
        <v>2565</v>
      </c>
      <c r="M2336" s="425" t="s">
        <v>8566</v>
      </c>
      <c r="N2336" s="425" t="s">
        <v>8567</v>
      </c>
      <c r="O2336" s="425" t="s">
        <v>825</v>
      </c>
      <c r="Q2336" s="425" t="s">
        <v>8545</v>
      </c>
    </row>
    <row r="2337" spans="1:17" x14ac:dyDescent="0.25">
      <c r="A2337" s="425" t="s">
        <v>8564</v>
      </c>
      <c r="B2337" s="425" t="s">
        <v>8572</v>
      </c>
      <c r="C2337" s="425" t="s">
        <v>746</v>
      </c>
      <c r="D2337" s="425" t="s">
        <v>794</v>
      </c>
      <c r="E2337" s="425" t="s">
        <v>2224</v>
      </c>
      <c r="F2337" s="425">
        <v>10</v>
      </c>
      <c r="G2337" s="425">
        <v>64</v>
      </c>
      <c r="H2337" s="425">
        <v>1050</v>
      </c>
      <c r="I2337" s="425" t="s">
        <v>1797</v>
      </c>
      <c r="J2337" s="425" t="s">
        <v>2557</v>
      </c>
      <c r="K2337" s="425" t="s">
        <v>2576</v>
      </c>
      <c r="L2337" s="425" t="s">
        <v>2577</v>
      </c>
      <c r="M2337" s="425" t="s">
        <v>8566</v>
      </c>
      <c r="N2337" s="425" t="s">
        <v>8567</v>
      </c>
      <c r="O2337" s="425" t="s">
        <v>825</v>
      </c>
      <c r="Q2337" s="425" t="s">
        <v>8545</v>
      </c>
    </row>
    <row r="2338" spans="1:17" x14ac:dyDescent="0.25">
      <c r="A2338" s="425" t="s">
        <v>8564</v>
      </c>
      <c r="B2338" s="425" t="s">
        <v>8573</v>
      </c>
      <c r="C2338" s="425" t="s">
        <v>746</v>
      </c>
      <c r="D2338" s="425" t="s">
        <v>794</v>
      </c>
      <c r="E2338" s="425" t="s">
        <v>2224</v>
      </c>
      <c r="F2338" s="425">
        <v>10</v>
      </c>
      <c r="G2338" s="425">
        <v>64</v>
      </c>
      <c r="H2338" s="425">
        <v>1050</v>
      </c>
      <c r="I2338" s="425" t="s">
        <v>1797</v>
      </c>
      <c r="J2338" s="425" t="s">
        <v>2557</v>
      </c>
      <c r="K2338" s="425" t="s">
        <v>2580</v>
      </c>
      <c r="L2338" s="425" t="s">
        <v>2581</v>
      </c>
      <c r="M2338" s="425" t="s">
        <v>8566</v>
      </c>
      <c r="N2338" s="425" t="s">
        <v>8567</v>
      </c>
      <c r="O2338" s="425" t="s">
        <v>825</v>
      </c>
      <c r="Q2338" s="425" t="s">
        <v>8545</v>
      </c>
    </row>
    <row r="2339" spans="1:17" x14ac:dyDescent="0.25">
      <c r="A2339" s="425" t="s">
        <v>8564</v>
      </c>
      <c r="B2339" s="425" t="s">
        <v>8574</v>
      </c>
      <c r="C2339" s="425" t="s">
        <v>746</v>
      </c>
      <c r="D2339" s="425" t="s">
        <v>794</v>
      </c>
      <c r="E2339" s="425" t="s">
        <v>2224</v>
      </c>
      <c r="F2339" s="425">
        <v>10</v>
      </c>
      <c r="G2339" s="425">
        <v>64</v>
      </c>
      <c r="H2339" s="425">
        <v>1050</v>
      </c>
      <c r="I2339" s="425" t="s">
        <v>1797</v>
      </c>
      <c r="J2339" s="425" t="s">
        <v>2557</v>
      </c>
      <c r="K2339" s="425" t="s">
        <v>2576</v>
      </c>
      <c r="L2339" s="425" t="s">
        <v>2577</v>
      </c>
      <c r="M2339" s="425" t="s">
        <v>8566</v>
      </c>
      <c r="N2339" s="425" t="s">
        <v>8567</v>
      </c>
      <c r="O2339" s="425" t="s">
        <v>825</v>
      </c>
      <c r="Q2339" s="425" t="s">
        <v>8545</v>
      </c>
    </row>
    <row r="2340" spans="1:17" x14ac:dyDescent="0.25">
      <c r="A2340" s="425" t="s">
        <v>8564</v>
      </c>
      <c r="B2340" s="425" t="s">
        <v>8575</v>
      </c>
      <c r="C2340" s="425" t="s">
        <v>746</v>
      </c>
      <c r="D2340" s="425" t="s">
        <v>794</v>
      </c>
      <c r="E2340" s="425" t="s">
        <v>2224</v>
      </c>
      <c r="F2340" s="425">
        <v>10</v>
      </c>
      <c r="G2340" s="425">
        <v>64</v>
      </c>
      <c r="H2340" s="425">
        <v>1050</v>
      </c>
      <c r="I2340" s="425" t="s">
        <v>1797</v>
      </c>
      <c r="J2340" s="425" t="s">
        <v>2557</v>
      </c>
      <c r="K2340" s="425" t="s">
        <v>2572</v>
      </c>
      <c r="L2340" s="425" t="s">
        <v>2573</v>
      </c>
      <c r="M2340" s="425" t="s">
        <v>8566</v>
      </c>
      <c r="N2340" s="425" t="s">
        <v>8567</v>
      </c>
      <c r="O2340" s="425" t="s">
        <v>825</v>
      </c>
      <c r="Q2340" s="425" t="s">
        <v>8545</v>
      </c>
    </row>
    <row r="2341" spans="1:17" x14ac:dyDescent="0.25">
      <c r="A2341" s="425" t="s">
        <v>8564</v>
      </c>
      <c r="B2341" s="425" t="s">
        <v>8576</v>
      </c>
      <c r="C2341" s="425" t="s">
        <v>746</v>
      </c>
      <c r="D2341" s="425" t="s">
        <v>794</v>
      </c>
      <c r="E2341" s="425" t="s">
        <v>2224</v>
      </c>
      <c r="F2341" s="425">
        <v>10</v>
      </c>
      <c r="G2341" s="425">
        <v>64</v>
      </c>
      <c r="H2341" s="425">
        <v>1050</v>
      </c>
      <c r="I2341" s="425" t="s">
        <v>1797</v>
      </c>
      <c r="J2341" s="425" t="s">
        <v>2557</v>
      </c>
      <c r="K2341" s="425" t="s">
        <v>2568</v>
      </c>
      <c r="L2341" s="425" t="s">
        <v>2569</v>
      </c>
      <c r="M2341" s="425" t="s">
        <v>8566</v>
      </c>
      <c r="N2341" s="425" t="s">
        <v>8567</v>
      </c>
      <c r="O2341" s="425" t="s">
        <v>825</v>
      </c>
      <c r="Q2341" s="425" t="s">
        <v>8545</v>
      </c>
    </row>
    <row r="2342" spans="1:17" x14ac:dyDescent="0.25">
      <c r="A2342" s="425" t="s">
        <v>8564</v>
      </c>
      <c r="B2342" s="425" t="s">
        <v>8577</v>
      </c>
      <c r="C2342" s="425" t="s">
        <v>746</v>
      </c>
      <c r="D2342" s="425" t="s">
        <v>794</v>
      </c>
      <c r="E2342" s="425" t="s">
        <v>2224</v>
      </c>
      <c r="F2342" s="425">
        <v>10</v>
      </c>
      <c r="G2342" s="425">
        <v>64</v>
      </c>
      <c r="H2342" s="425">
        <v>1050</v>
      </c>
      <c r="I2342" s="425" t="s">
        <v>1797</v>
      </c>
      <c r="J2342" s="425" t="s">
        <v>2557</v>
      </c>
      <c r="K2342" s="425" t="s">
        <v>2564</v>
      </c>
      <c r="L2342" s="425" t="s">
        <v>2565</v>
      </c>
      <c r="M2342" s="425" t="s">
        <v>8566</v>
      </c>
      <c r="N2342" s="425" t="s">
        <v>8567</v>
      </c>
      <c r="O2342" s="425" t="s">
        <v>825</v>
      </c>
      <c r="Q2342" s="425" t="s">
        <v>8545</v>
      </c>
    </row>
    <row r="2343" spans="1:17" x14ac:dyDescent="0.25">
      <c r="A2343" s="425" t="s">
        <v>8564</v>
      </c>
      <c r="B2343" s="425" t="s">
        <v>8578</v>
      </c>
      <c r="C2343" s="425" t="s">
        <v>746</v>
      </c>
      <c r="D2343" s="425" t="s">
        <v>794</v>
      </c>
      <c r="E2343" s="425" t="s">
        <v>2224</v>
      </c>
      <c r="F2343" s="425">
        <v>6</v>
      </c>
      <c r="G2343" s="425">
        <v>8</v>
      </c>
      <c r="H2343" s="425">
        <v>160</v>
      </c>
      <c r="I2343" s="425" t="s">
        <v>1797</v>
      </c>
      <c r="J2343" s="425" t="s">
        <v>2557</v>
      </c>
      <c r="K2343" s="425" t="s">
        <v>2572</v>
      </c>
      <c r="L2343" s="425" t="s">
        <v>2573</v>
      </c>
      <c r="M2343" s="425" t="s">
        <v>8566</v>
      </c>
      <c r="N2343" s="425" t="s">
        <v>8567</v>
      </c>
      <c r="O2343" s="425" t="s">
        <v>825</v>
      </c>
      <c r="Q2343" s="425" t="s">
        <v>8545</v>
      </c>
    </row>
    <row r="2344" spans="1:17" x14ac:dyDescent="0.25">
      <c r="A2344" s="425" t="s">
        <v>8564</v>
      </c>
      <c r="B2344" s="425" t="s">
        <v>8579</v>
      </c>
      <c r="C2344" s="425" t="s">
        <v>746</v>
      </c>
      <c r="D2344" s="425" t="s">
        <v>794</v>
      </c>
      <c r="E2344" s="425" t="s">
        <v>2224</v>
      </c>
      <c r="F2344" s="425">
        <v>6</v>
      </c>
      <c r="G2344" s="425">
        <v>8</v>
      </c>
      <c r="H2344" s="425">
        <v>160</v>
      </c>
      <c r="I2344" s="425" t="s">
        <v>1797</v>
      </c>
      <c r="J2344" s="425" t="s">
        <v>2557</v>
      </c>
      <c r="K2344" s="425" t="s">
        <v>2568</v>
      </c>
      <c r="L2344" s="425" t="s">
        <v>2569</v>
      </c>
      <c r="M2344" s="425" t="s">
        <v>8566</v>
      </c>
      <c r="N2344" s="425" t="s">
        <v>8567</v>
      </c>
      <c r="O2344" s="425" t="s">
        <v>825</v>
      </c>
      <c r="Q2344" s="425" t="s">
        <v>8545</v>
      </c>
    </row>
    <row r="2345" spans="1:17" x14ac:dyDescent="0.25">
      <c r="A2345" s="425" t="s">
        <v>8564</v>
      </c>
      <c r="B2345" s="425" t="s">
        <v>8580</v>
      </c>
      <c r="C2345" s="425" t="s">
        <v>746</v>
      </c>
      <c r="D2345" s="425" t="s">
        <v>794</v>
      </c>
      <c r="E2345" s="425" t="s">
        <v>2224</v>
      </c>
      <c r="F2345" s="425">
        <v>6</v>
      </c>
      <c r="G2345" s="425">
        <v>8</v>
      </c>
      <c r="H2345" s="425">
        <v>160</v>
      </c>
      <c r="I2345" s="425" t="s">
        <v>1797</v>
      </c>
      <c r="J2345" s="425" t="s">
        <v>2557</v>
      </c>
      <c r="K2345" s="425" t="s">
        <v>2564</v>
      </c>
      <c r="L2345" s="425" t="s">
        <v>2565</v>
      </c>
      <c r="M2345" s="425" t="s">
        <v>8566</v>
      </c>
      <c r="N2345" s="425" t="s">
        <v>8567</v>
      </c>
      <c r="O2345" s="425" t="s">
        <v>825</v>
      </c>
      <c r="Q2345" s="425" t="s">
        <v>8545</v>
      </c>
    </row>
    <row r="2346" spans="1:17" x14ac:dyDescent="0.25">
      <c r="A2346" s="425" t="s">
        <v>8581</v>
      </c>
      <c r="B2346" s="425" t="s">
        <v>8582</v>
      </c>
      <c r="C2346" s="425" t="s">
        <v>763</v>
      </c>
      <c r="D2346" s="425" t="s">
        <v>1074</v>
      </c>
      <c r="E2346" s="425" t="s">
        <v>2224</v>
      </c>
      <c r="F2346" s="425">
        <v>8</v>
      </c>
      <c r="G2346" s="425">
        <v>16</v>
      </c>
      <c r="H2346" s="425">
        <v>85</v>
      </c>
      <c r="I2346" s="425" t="s">
        <v>1797</v>
      </c>
      <c r="J2346" s="425" t="s">
        <v>2557</v>
      </c>
      <c r="K2346" s="425" t="s">
        <v>8583</v>
      </c>
      <c r="L2346" s="425" t="s">
        <v>8584</v>
      </c>
      <c r="M2346" s="425" t="s">
        <v>8585</v>
      </c>
      <c r="N2346" s="425" t="s">
        <v>8586</v>
      </c>
      <c r="O2346" s="425" t="s">
        <v>825</v>
      </c>
      <c r="Q2346" s="425" t="s">
        <v>8545</v>
      </c>
    </row>
    <row r="2347" spans="1:17" x14ac:dyDescent="0.25">
      <c r="A2347" s="425" t="s">
        <v>8581</v>
      </c>
      <c r="B2347" s="425" t="s">
        <v>8587</v>
      </c>
      <c r="C2347" s="425" t="s">
        <v>763</v>
      </c>
      <c r="D2347" s="425" t="s">
        <v>1074</v>
      </c>
      <c r="E2347" s="425" t="s">
        <v>2224</v>
      </c>
      <c r="F2347" s="425">
        <v>8</v>
      </c>
      <c r="G2347" s="425">
        <v>16</v>
      </c>
      <c r="H2347" s="425">
        <v>85</v>
      </c>
      <c r="I2347" s="425" t="s">
        <v>1797</v>
      </c>
      <c r="J2347" s="425" t="s">
        <v>2557</v>
      </c>
      <c r="K2347" s="425" t="s">
        <v>8588</v>
      </c>
      <c r="L2347" s="425" t="s">
        <v>8589</v>
      </c>
      <c r="M2347" s="425" t="s">
        <v>8585</v>
      </c>
      <c r="N2347" s="425" t="s">
        <v>8586</v>
      </c>
      <c r="O2347" s="425" t="s">
        <v>825</v>
      </c>
      <c r="Q2347" s="425" t="s">
        <v>8545</v>
      </c>
    </row>
    <row r="2348" spans="1:17" x14ac:dyDescent="0.25">
      <c r="A2348" s="425" t="s">
        <v>8581</v>
      </c>
      <c r="B2348" s="425" t="s">
        <v>8590</v>
      </c>
      <c r="C2348" s="425" t="s">
        <v>763</v>
      </c>
      <c r="D2348" s="425" t="s">
        <v>1074</v>
      </c>
      <c r="E2348" s="425" t="s">
        <v>2224</v>
      </c>
      <c r="F2348" s="425">
        <v>8</v>
      </c>
      <c r="G2348" s="425">
        <v>16</v>
      </c>
      <c r="H2348" s="425">
        <v>85</v>
      </c>
      <c r="I2348" s="425" t="s">
        <v>1797</v>
      </c>
      <c r="J2348" s="425" t="s">
        <v>2557</v>
      </c>
      <c r="K2348" s="425" t="s">
        <v>8591</v>
      </c>
      <c r="L2348" s="425" t="s">
        <v>8592</v>
      </c>
      <c r="M2348" s="425" t="s">
        <v>8585</v>
      </c>
      <c r="N2348" s="425" t="s">
        <v>8586</v>
      </c>
      <c r="O2348" s="425" t="s">
        <v>825</v>
      </c>
      <c r="Q2348" s="425" t="s">
        <v>8545</v>
      </c>
    </row>
    <row r="2349" spans="1:17" x14ac:dyDescent="0.25">
      <c r="A2349" s="425" t="s">
        <v>8581</v>
      </c>
      <c r="B2349" s="425" t="s">
        <v>8593</v>
      </c>
      <c r="C2349" s="425" t="s">
        <v>763</v>
      </c>
      <c r="D2349" s="425" t="s">
        <v>1074</v>
      </c>
      <c r="E2349" s="425" t="s">
        <v>2224</v>
      </c>
      <c r="F2349" s="425">
        <v>8</v>
      </c>
      <c r="G2349" s="425">
        <v>16</v>
      </c>
      <c r="H2349" s="425">
        <v>9160</v>
      </c>
      <c r="I2349" s="425" t="s">
        <v>1797</v>
      </c>
      <c r="J2349" s="425" t="s">
        <v>2557</v>
      </c>
      <c r="K2349" s="425" t="s">
        <v>8594</v>
      </c>
      <c r="L2349" s="425" t="s">
        <v>8595</v>
      </c>
      <c r="M2349" s="425" t="s">
        <v>8585</v>
      </c>
      <c r="N2349" s="425" t="s">
        <v>8586</v>
      </c>
      <c r="O2349" s="425" t="s">
        <v>825</v>
      </c>
      <c r="Q2349" s="425" t="s">
        <v>8545</v>
      </c>
    </row>
    <row r="2350" spans="1:17" x14ac:dyDescent="0.25">
      <c r="A2350" s="425" t="s">
        <v>8581</v>
      </c>
      <c r="B2350" s="425" t="s">
        <v>8593</v>
      </c>
      <c r="C2350" s="425" t="s">
        <v>763</v>
      </c>
      <c r="D2350" s="425" t="s">
        <v>1074</v>
      </c>
      <c r="E2350" s="425" t="s">
        <v>2224</v>
      </c>
      <c r="F2350" s="425">
        <v>8</v>
      </c>
      <c r="G2350" s="425">
        <v>16</v>
      </c>
      <c r="H2350" s="425">
        <v>9160</v>
      </c>
      <c r="I2350" s="425" t="s">
        <v>1797</v>
      </c>
      <c r="J2350" s="425" t="s">
        <v>2557</v>
      </c>
      <c r="K2350" s="425" t="s">
        <v>8596</v>
      </c>
      <c r="L2350" s="425" t="s">
        <v>8597</v>
      </c>
      <c r="M2350" s="425" t="s">
        <v>8585</v>
      </c>
      <c r="N2350" s="425" t="s">
        <v>8586</v>
      </c>
      <c r="O2350" s="425" t="s">
        <v>825</v>
      </c>
      <c r="Q2350" s="425" t="s">
        <v>8545</v>
      </c>
    </row>
    <row r="2351" spans="1:17" x14ac:dyDescent="0.25">
      <c r="A2351" s="425" t="s">
        <v>8581</v>
      </c>
      <c r="B2351" s="425" t="s">
        <v>8598</v>
      </c>
      <c r="C2351" s="425" t="s">
        <v>763</v>
      </c>
      <c r="D2351" s="425" t="s">
        <v>1074</v>
      </c>
      <c r="E2351" s="425" t="s">
        <v>2224</v>
      </c>
      <c r="F2351" s="425">
        <v>13</v>
      </c>
      <c r="G2351" s="425">
        <v>26</v>
      </c>
      <c r="H2351" s="425">
        <v>120</v>
      </c>
      <c r="I2351" s="425" t="s">
        <v>1797</v>
      </c>
      <c r="J2351" s="425" t="s">
        <v>2557</v>
      </c>
      <c r="K2351" s="425" t="s">
        <v>8583</v>
      </c>
      <c r="L2351" s="425" t="s">
        <v>8584</v>
      </c>
      <c r="M2351" s="425" t="s">
        <v>8585</v>
      </c>
      <c r="N2351" s="425" t="s">
        <v>8586</v>
      </c>
      <c r="O2351" s="425" t="s">
        <v>825</v>
      </c>
      <c r="Q2351" s="425" t="s">
        <v>8545</v>
      </c>
    </row>
    <row r="2352" spans="1:17" x14ac:dyDescent="0.25">
      <c r="A2352" s="425" t="s">
        <v>8581</v>
      </c>
      <c r="B2352" s="425" t="s">
        <v>8599</v>
      </c>
      <c r="C2352" s="425" t="s">
        <v>763</v>
      </c>
      <c r="D2352" s="425" t="s">
        <v>1074</v>
      </c>
      <c r="E2352" s="425" t="s">
        <v>2224</v>
      </c>
      <c r="F2352" s="425">
        <v>13</v>
      </c>
      <c r="G2352" s="425">
        <v>26</v>
      </c>
      <c r="H2352" s="425">
        <v>120</v>
      </c>
      <c r="I2352" s="425" t="s">
        <v>1797</v>
      </c>
      <c r="J2352" s="425" t="s">
        <v>2557</v>
      </c>
      <c r="K2352" s="425" t="s">
        <v>8588</v>
      </c>
      <c r="L2352" s="425" t="s">
        <v>8589</v>
      </c>
      <c r="M2352" s="425" t="s">
        <v>8585</v>
      </c>
      <c r="N2352" s="425" t="s">
        <v>8586</v>
      </c>
      <c r="O2352" s="425" t="s">
        <v>825</v>
      </c>
      <c r="Q2352" s="425" t="s">
        <v>8545</v>
      </c>
    </row>
    <row r="2353" spans="1:17" x14ac:dyDescent="0.25">
      <c r="A2353" s="425" t="s">
        <v>8581</v>
      </c>
      <c r="B2353" s="425" t="s">
        <v>8600</v>
      </c>
      <c r="C2353" s="425" t="s">
        <v>763</v>
      </c>
      <c r="D2353" s="425" t="s">
        <v>1074</v>
      </c>
      <c r="E2353" s="425" t="s">
        <v>2224</v>
      </c>
      <c r="F2353" s="425">
        <v>13</v>
      </c>
      <c r="G2353" s="425">
        <v>26</v>
      </c>
      <c r="H2353" s="425">
        <v>120</v>
      </c>
      <c r="I2353" s="425" t="s">
        <v>1797</v>
      </c>
      <c r="J2353" s="425" t="s">
        <v>2557</v>
      </c>
      <c r="K2353" s="425" t="s">
        <v>8591</v>
      </c>
      <c r="L2353" s="425" t="s">
        <v>8592</v>
      </c>
      <c r="M2353" s="425" t="s">
        <v>8585</v>
      </c>
      <c r="N2353" s="425" t="s">
        <v>8586</v>
      </c>
      <c r="O2353" s="425" t="s">
        <v>825</v>
      </c>
      <c r="Q2353" s="425" t="s">
        <v>8545</v>
      </c>
    </row>
    <row r="2354" spans="1:17" x14ac:dyDescent="0.25">
      <c r="A2354" s="422" t="s">
        <v>1665</v>
      </c>
      <c r="B2354" s="427" t="s">
        <v>8601</v>
      </c>
      <c r="C2354" s="422" t="s">
        <v>98</v>
      </c>
      <c r="D2354" s="422" t="s">
        <v>4344</v>
      </c>
      <c r="E2354" s="422" t="s">
        <v>2224</v>
      </c>
      <c r="F2354" s="422">
        <v>12</v>
      </c>
      <c r="G2354" s="422">
        <v>24</v>
      </c>
      <c r="H2354" s="422">
        <v>100</v>
      </c>
      <c r="J2354" s="428" t="s">
        <v>8602</v>
      </c>
      <c r="K2354" s="427" t="s">
        <v>8603</v>
      </c>
      <c r="L2354" s="427" t="s">
        <v>8604</v>
      </c>
      <c r="M2354" s="422" t="s">
        <v>8605</v>
      </c>
      <c r="N2354" s="429" t="s">
        <v>1218</v>
      </c>
      <c r="O2354" s="422" t="s">
        <v>126</v>
      </c>
    </row>
    <row r="2355" spans="1:17" x14ac:dyDescent="0.25">
      <c r="A2355" s="422" t="s">
        <v>1665</v>
      </c>
      <c r="B2355" s="427" t="s">
        <v>8606</v>
      </c>
      <c r="C2355" s="422" t="s">
        <v>98</v>
      </c>
      <c r="D2355" s="422" t="s">
        <v>4344</v>
      </c>
      <c r="E2355" s="422" t="s">
        <v>2224</v>
      </c>
      <c r="F2355" s="422">
        <v>12</v>
      </c>
      <c r="G2355" s="422">
        <v>24</v>
      </c>
      <c r="H2355" s="422">
        <v>100</v>
      </c>
      <c r="J2355" s="428" t="s">
        <v>8602</v>
      </c>
      <c r="K2355" s="427" t="s">
        <v>8607</v>
      </c>
      <c r="L2355" s="427" t="s">
        <v>8608</v>
      </c>
      <c r="M2355" s="422" t="s">
        <v>8605</v>
      </c>
      <c r="N2355" s="429" t="s">
        <v>1218</v>
      </c>
      <c r="O2355" s="422" t="s">
        <v>126</v>
      </c>
    </row>
    <row r="2356" spans="1:17" x14ac:dyDescent="0.25">
      <c r="A2356" s="422" t="s">
        <v>1665</v>
      </c>
      <c r="B2356" s="427" t="s">
        <v>8609</v>
      </c>
      <c r="C2356" s="422" t="s">
        <v>98</v>
      </c>
      <c r="D2356" s="422" t="s">
        <v>4344</v>
      </c>
      <c r="E2356" s="422" t="s">
        <v>2224</v>
      </c>
      <c r="F2356" s="422">
        <v>12</v>
      </c>
      <c r="G2356" s="422">
        <v>24</v>
      </c>
      <c r="H2356" s="422">
        <v>100</v>
      </c>
      <c r="J2356" s="428" t="s">
        <v>8602</v>
      </c>
      <c r="K2356" s="427" t="s">
        <v>8610</v>
      </c>
      <c r="L2356" s="427" t="s">
        <v>8611</v>
      </c>
      <c r="M2356" s="422" t="s">
        <v>8605</v>
      </c>
      <c r="N2356" s="429" t="s">
        <v>1218</v>
      </c>
      <c r="O2356" s="422" t="s">
        <v>126</v>
      </c>
    </row>
    <row r="2357" spans="1:17" x14ac:dyDescent="0.25">
      <c r="A2357" s="422" t="s">
        <v>1665</v>
      </c>
      <c r="B2357" s="427" t="s">
        <v>8612</v>
      </c>
      <c r="C2357" s="422" t="s">
        <v>98</v>
      </c>
      <c r="D2357" s="422" t="s">
        <v>4344</v>
      </c>
      <c r="E2357" s="422" t="s">
        <v>2224</v>
      </c>
      <c r="F2357" s="422">
        <v>12</v>
      </c>
      <c r="G2357" s="422">
        <v>24</v>
      </c>
      <c r="H2357" s="422">
        <v>100</v>
      </c>
      <c r="J2357" s="428" t="s">
        <v>8602</v>
      </c>
      <c r="K2357" s="427" t="s">
        <v>8607</v>
      </c>
      <c r="L2357" s="427" t="s">
        <v>8608</v>
      </c>
      <c r="M2357" s="422" t="s">
        <v>8605</v>
      </c>
      <c r="N2357" s="429" t="s">
        <v>1218</v>
      </c>
      <c r="O2357" s="422" t="s">
        <v>126</v>
      </c>
    </row>
    <row r="2358" spans="1:17" x14ac:dyDescent="0.25">
      <c r="A2358" s="422" t="s">
        <v>1665</v>
      </c>
      <c r="B2358" s="427" t="s">
        <v>8613</v>
      </c>
      <c r="C2358" s="422" t="s">
        <v>98</v>
      </c>
      <c r="D2358" s="422" t="s">
        <v>4344</v>
      </c>
      <c r="E2358" s="422" t="s">
        <v>2224</v>
      </c>
      <c r="F2358" s="422">
        <v>12</v>
      </c>
      <c r="G2358" s="422">
        <v>24</v>
      </c>
      <c r="H2358" s="422">
        <v>100</v>
      </c>
      <c r="J2358" s="428" t="s">
        <v>8602</v>
      </c>
      <c r="K2358" s="427" t="s">
        <v>8610</v>
      </c>
      <c r="L2358" s="427" t="s">
        <v>8611</v>
      </c>
      <c r="M2358" s="422" t="s">
        <v>8605</v>
      </c>
      <c r="N2358" s="429" t="s">
        <v>1218</v>
      </c>
      <c r="O2358" s="422" t="s">
        <v>126</v>
      </c>
    </row>
    <row r="2359" spans="1:17" x14ac:dyDescent="0.25">
      <c r="A2359" s="427" t="s">
        <v>4456</v>
      </c>
      <c r="B2359" s="430" t="s">
        <v>8614</v>
      </c>
      <c r="C2359" s="422" t="s">
        <v>70</v>
      </c>
      <c r="D2359" s="422" t="s">
        <v>4456</v>
      </c>
      <c r="E2359" s="422" t="s">
        <v>2224</v>
      </c>
      <c r="F2359" s="423">
        <v>4</v>
      </c>
      <c r="G2359" s="423">
        <v>15</v>
      </c>
      <c r="H2359" s="422">
        <v>350</v>
      </c>
      <c r="J2359" s="427" t="s">
        <v>2557</v>
      </c>
      <c r="K2359" s="427" t="s">
        <v>2580</v>
      </c>
      <c r="L2359" s="427" t="s">
        <v>2581</v>
      </c>
      <c r="M2359" s="431">
        <v>45874</v>
      </c>
      <c r="N2359" s="422" t="s">
        <v>1430</v>
      </c>
      <c r="O2359" s="422" t="s">
        <v>126</v>
      </c>
    </row>
    <row r="2360" spans="1:17" x14ac:dyDescent="0.25">
      <c r="A2360" s="427" t="s">
        <v>4456</v>
      </c>
      <c r="B2360" s="430" t="s">
        <v>8615</v>
      </c>
      <c r="C2360" s="422" t="s">
        <v>70</v>
      </c>
      <c r="D2360" s="422" t="s">
        <v>4456</v>
      </c>
      <c r="E2360" s="422" t="s">
        <v>2224</v>
      </c>
      <c r="F2360" s="423">
        <v>4</v>
      </c>
      <c r="G2360" s="423">
        <v>15</v>
      </c>
      <c r="H2360" s="422">
        <v>350</v>
      </c>
      <c r="J2360" s="427" t="s">
        <v>2557</v>
      </c>
      <c r="K2360" s="427" t="s">
        <v>2576</v>
      </c>
      <c r="L2360" s="427" t="s">
        <v>2577</v>
      </c>
      <c r="M2360" s="431">
        <v>45874</v>
      </c>
      <c r="N2360" s="422" t="s">
        <v>1430</v>
      </c>
      <c r="O2360" s="422" t="s">
        <v>126</v>
      </c>
    </row>
    <row r="2361" spans="1:17" x14ac:dyDescent="0.25">
      <c r="A2361" s="427" t="s">
        <v>4456</v>
      </c>
      <c r="B2361" s="430" t="s">
        <v>8616</v>
      </c>
      <c r="C2361" s="422" t="s">
        <v>70</v>
      </c>
      <c r="D2361" s="422" t="s">
        <v>4456</v>
      </c>
      <c r="E2361" s="422" t="s">
        <v>2224</v>
      </c>
      <c r="F2361" s="423">
        <v>4</v>
      </c>
      <c r="G2361" s="423">
        <v>15</v>
      </c>
      <c r="H2361" s="422">
        <v>350</v>
      </c>
      <c r="J2361" s="427" t="s">
        <v>2557</v>
      </c>
      <c r="K2361" s="427" t="s">
        <v>2572</v>
      </c>
      <c r="L2361" s="427" t="s">
        <v>2573</v>
      </c>
      <c r="M2361" s="431">
        <v>45874</v>
      </c>
      <c r="N2361" s="422" t="s">
        <v>1430</v>
      </c>
      <c r="O2361" s="422" t="s">
        <v>126</v>
      </c>
    </row>
    <row r="2362" spans="1:17" x14ac:dyDescent="0.25">
      <c r="A2362" s="427" t="s">
        <v>4456</v>
      </c>
      <c r="B2362" s="430" t="s">
        <v>8617</v>
      </c>
      <c r="C2362" s="422" t="s">
        <v>70</v>
      </c>
      <c r="D2362" s="422" t="s">
        <v>4456</v>
      </c>
      <c r="E2362" s="422" t="s">
        <v>2224</v>
      </c>
      <c r="F2362" s="423">
        <v>4</v>
      </c>
      <c r="G2362" s="423">
        <v>15</v>
      </c>
      <c r="H2362" s="422">
        <v>350</v>
      </c>
      <c r="J2362" s="427" t="s">
        <v>2557</v>
      </c>
      <c r="K2362" s="427" t="s">
        <v>2568</v>
      </c>
      <c r="L2362" s="427" t="s">
        <v>2569</v>
      </c>
      <c r="M2362" s="431">
        <v>45874</v>
      </c>
      <c r="N2362" s="422" t="s">
        <v>1430</v>
      </c>
      <c r="O2362" s="422" t="s">
        <v>126</v>
      </c>
    </row>
    <row r="2363" spans="1:17" x14ac:dyDescent="0.25">
      <c r="A2363" s="427" t="s">
        <v>4456</v>
      </c>
      <c r="B2363" s="430" t="s">
        <v>8618</v>
      </c>
      <c r="C2363" s="422" t="s">
        <v>70</v>
      </c>
      <c r="D2363" s="422" t="s">
        <v>4456</v>
      </c>
      <c r="E2363" s="422" t="s">
        <v>2224</v>
      </c>
      <c r="F2363" s="423">
        <v>4</v>
      </c>
      <c r="G2363" s="423">
        <v>15</v>
      </c>
      <c r="H2363" s="422">
        <v>350</v>
      </c>
      <c r="J2363" s="427" t="s">
        <v>2557</v>
      </c>
      <c r="K2363" s="427" t="s">
        <v>2564</v>
      </c>
      <c r="L2363" s="427" t="s">
        <v>2565</v>
      </c>
      <c r="M2363" s="431">
        <v>45874</v>
      </c>
      <c r="N2363" s="422" t="s">
        <v>1430</v>
      </c>
      <c r="O2363" s="422" t="s">
        <v>126</v>
      </c>
    </row>
    <row r="2364" spans="1:17" x14ac:dyDescent="0.25">
      <c r="A2364" s="427" t="s">
        <v>4456</v>
      </c>
      <c r="B2364" s="430" t="s">
        <v>8619</v>
      </c>
      <c r="C2364" s="422" t="s">
        <v>70</v>
      </c>
      <c r="D2364" s="422" t="s">
        <v>4456</v>
      </c>
      <c r="E2364" s="422" t="s">
        <v>2224</v>
      </c>
      <c r="F2364" s="423">
        <v>4</v>
      </c>
      <c r="G2364" s="423">
        <v>15</v>
      </c>
      <c r="H2364" s="422">
        <v>350</v>
      </c>
      <c r="J2364" s="427" t="s">
        <v>2557</v>
      </c>
      <c r="K2364" s="427" t="s">
        <v>2580</v>
      </c>
      <c r="L2364" s="427" t="s">
        <v>2581</v>
      </c>
      <c r="M2364" s="431">
        <v>45874</v>
      </c>
      <c r="N2364" s="422" t="s">
        <v>1430</v>
      </c>
      <c r="O2364" s="422" t="s">
        <v>126</v>
      </c>
    </row>
    <row r="2365" spans="1:17" x14ac:dyDescent="0.25">
      <c r="A2365" s="427" t="s">
        <v>4456</v>
      </c>
      <c r="B2365" s="430" t="s">
        <v>8620</v>
      </c>
      <c r="C2365" s="422" t="s">
        <v>70</v>
      </c>
      <c r="D2365" s="422" t="s">
        <v>4456</v>
      </c>
      <c r="E2365" s="422" t="s">
        <v>2224</v>
      </c>
      <c r="F2365" s="423">
        <v>4</v>
      </c>
      <c r="G2365" s="423">
        <v>15</v>
      </c>
      <c r="H2365" s="422">
        <v>350</v>
      </c>
      <c r="J2365" s="427" t="s">
        <v>2557</v>
      </c>
      <c r="K2365" s="427" t="s">
        <v>2576</v>
      </c>
      <c r="L2365" s="427" t="s">
        <v>2577</v>
      </c>
      <c r="M2365" s="431">
        <v>45874</v>
      </c>
      <c r="N2365" s="422" t="s">
        <v>1430</v>
      </c>
      <c r="O2365" s="422" t="s">
        <v>126</v>
      </c>
    </row>
    <row r="2366" spans="1:17" x14ac:dyDescent="0.25">
      <c r="A2366" s="427" t="s">
        <v>4456</v>
      </c>
      <c r="B2366" s="430" t="s">
        <v>8621</v>
      </c>
      <c r="C2366" s="422" t="s">
        <v>70</v>
      </c>
      <c r="D2366" s="422" t="s">
        <v>4456</v>
      </c>
      <c r="E2366" s="422" t="s">
        <v>2224</v>
      </c>
      <c r="F2366" s="423">
        <v>4</v>
      </c>
      <c r="G2366" s="423">
        <v>15</v>
      </c>
      <c r="H2366" s="422">
        <v>350</v>
      </c>
      <c r="J2366" s="427" t="s">
        <v>2557</v>
      </c>
      <c r="K2366" s="427" t="s">
        <v>2572</v>
      </c>
      <c r="L2366" s="427" t="s">
        <v>2573</v>
      </c>
      <c r="M2366" s="431">
        <v>45874</v>
      </c>
      <c r="N2366" s="422" t="s">
        <v>1430</v>
      </c>
      <c r="O2366" s="422" t="s">
        <v>126</v>
      </c>
    </row>
    <row r="2367" spans="1:17" x14ac:dyDescent="0.25">
      <c r="A2367" s="427" t="s">
        <v>4456</v>
      </c>
      <c r="B2367" s="430" t="s">
        <v>8622</v>
      </c>
      <c r="C2367" s="422" t="s">
        <v>70</v>
      </c>
      <c r="D2367" s="422" t="s">
        <v>4456</v>
      </c>
      <c r="E2367" s="422" t="s">
        <v>2224</v>
      </c>
      <c r="F2367" s="423">
        <v>4</v>
      </c>
      <c r="G2367" s="423">
        <v>15</v>
      </c>
      <c r="H2367" s="422">
        <v>350</v>
      </c>
      <c r="J2367" s="427" t="s">
        <v>2557</v>
      </c>
      <c r="K2367" s="427" t="s">
        <v>2568</v>
      </c>
      <c r="L2367" s="427" t="s">
        <v>2569</v>
      </c>
      <c r="M2367" s="431">
        <v>45874</v>
      </c>
      <c r="N2367" s="422" t="s">
        <v>1430</v>
      </c>
      <c r="O2367" s="422" t="s">
        <v>126</v>
      </c>
    </row>
    <row r="2368" spans="1:17" x14ac:dyDescent="0.25">
      <c r="A2368" s="427" t="s">
        <v>4456</v>
      </c>
      <c r="B2368" s="430" t="s">
        <v>8623</v>
      </c>
      <c r="C2368" s="422" t="s">
        <v>70</v>
      </c>
      <c r="D2368" s="422" t="s">
        <v>4456</v>
      </c>
      <c r="E2368" s="422" t="s">
        <v>2224</v>
      </c>
      <c r="F2368" s="423">
        <v>4</v>
      </c>
      <c r="G2368" s="423">
        <v>15</v>
      </c>
      <c r="H2368" s="422">
        <v>350</v>
      </c>
      <c r="J2368" s="427" t="s">
        <v>2557</v>
      </c>
      <c r="K2368" s="427" t="s">
        <v>2564</v>
      </c>
      <c r="L2368" s="427" t="s">
        <v>2565</v>
      </c>
      <c r="M2368" s="431">
        <v>45874</v>
      </c>
      <c r="N2368" s="422" t="s">
        <v>1430</v>
      </c>
      <c r="O2368" s="422" t="s">
        <v>126</v>
      </c>
    </row>
    <row r="2369" spans="1:15" x14ac:dyDescent="0.25">
      <c r="A2369" s="427" t="s">
        <v>4456</v>
      </c>
      <c r="B2369" s="430" t="s">
        <v>8624</v>
      </c>
      <c r="C2369" s="422" t="s">
        <v>70</v>
      </c>
      <c r="D2369" s="422" t="s">
        <v>4456</v>
      </c>
      <c r="E2369" s="422" t="s">
        <v>2224</v>
      </c>
      <c r="F2369" s="423">
        <v>4</v>
      </c>
      <c r="G2369" s="423">
        <v>15</v>
      </c>
      <c r="H2369" s="422">
        <v>350</v>
      </c>
      <c r="J2369" s="427" t="s">
        <v>2557</v>
      </c>
      <c r="K2369" s="427" t="s">
        <v>2580</v>
      </c>
      <c r="L2369" s="427" t="s">
        <v>2581</v>
      </c>
      <c r="M2369" s="431">
        <v>45874</v>
      </c>
      <c r="N2369" s="422" t="s">
        <v>1430</v>
      </c>
      <c r="O2369" s="422" t="s">
        <v>126</v>
      </c>
    </row>
    <row r="2370" spans="1:15" x14ac:dyDescent="0.25">
      <c r="A2370" s="427" t="s">
        <v>4456</v>
      </c>
      <c r="B2370" s="430" t="s">
        <v>8625</v>
      </c>
      <c r="C2370" s="422" t="s">
        <v>70</v>
      </c>
      <c r="D2370" s="422" t="s">
        <v>4456</v>
      </c>
      <c r="E2370" s="422" t="s">
        <v>2224</v>
      </c>
      <c r="F2370" s="423">
        <v>4</v>
      </c>
      <c r="G2370" s="423">
        <v>15</v>
      </c>
      <c r="H2370" s="422">
        <v>350</v>
      </c>
      <c r="J2370" s="427" t="s">
        <v>2557</v>
      </c>
      <c r="K2370" s="427" t="s">
        <v>2576</v>
      </c>
      <c r="L2370" s="427" t="s">
        <v>2577</v>
      </c>
      <c r="M2370" s="431">
        <v>45874</v>
      </c>
      <c r="N2370" s="422" t="s">
        <v>1430</v>
      </c>
      <c r="O2370" s="422" t="s">
        <v>126</v>
      </c>
    </row>
    <row r="2371" spans="1:15" x14ac:dyDescent="0.25">
      <c r="A2371" s="427" t="s">
        <v>4456</v>
      </c>
      <c r="B2371" s="430" t="s">
        <v>8626</v>
      </c>
      <c r="C2371" s="422" t="s">
        <v>70</v>
      </c>
      <c r="D2371" s="422" t="s">
        <v>4456</v>
      </c>
      <c r="E2371" s="422" t="s">
        <v>2224</v>
      </c>
      <c r="F2371" s="423">
        <v>4</v>
      </c>
      <c r="G2371" s="423">
        <v>15</v>
      </c>
      <c r="H2371" s="422">
        <v>350</v>
      </c>
      <c r="J2371" s="427" t="s">
        <v>2557</v>
      </c>
      <c r="K2371" s="427" t="s">
        <v>2572</v>
      </c>
      <c r="L2371" s="427" t="s">
        <v>2573</v>
      </c>
      <c r="M2371" s="431">
        <v>45874</v>
      </c>
      <c r="N2371" s="422" t="s">
        <v>1430</v>
      </c>
      <c r="O2371" s="422" t="s">
        <v>126</v>
      </c>
    </row>
    <row r="2372" spans="1:15" x14ac:dyDescent="0.25">
      <c r="A2372" s="427" t="s">
        <v>4456</v>
      </c>
      <c r="B2372" s="430" t="s">
        <v>8627</v>
      </c>
      <c r="C2372" s="422" t="s">
        <v>70</v>
      </c>
      <c r="D2372" s="422" t="s">
        <v>4456</v>
      </c>
      <c r="E2372" s="422" t="s">
        <v>2224</v>
      </c>
      <c r="F2372" s="423">
        <v>4</v>
      </c>
      <c r="G2372" s="423">
        <v>15</v>
      </c>
      <c r="H2372" s="422">
        <v>350</v>
      </c>
      <c r="J2372" s="427" t="s">
        <v>2557</v>
      </c>
      <c r="K2372" s="427" t="s">
        <v>2568</v>
      </c>
      <c r="L2372" s="427" t="s">
        <v>2569</v>
      </c>
      <c r="M2372" s="431">
        <v>45874</v>
      </c>
      <c r="N2372" s="422" t="s">
        <v>1430</v>
      </c>
      <c r="O2372" s="422" t="s">
        <v>126</v>
      </c>
    </row>
    <row r="2373" spans="1:15" x14ac:dyDescent="0.25">
      <c r="A2373" s="427" t="s">
        <v>4456</v>
      </c>
      <c r="B2373" s="430" t="s">
        <v>8628</v>
      </c>
      <c r="C2373" s="422" t="s">
        <v>70</v>
      </c>
      <c r="D2373" s="422" t="s">
        <v>4456</v>
      </c>
      <c r="E2373" s="422" t="s">
        <v>2224</v>
      </c>
      <c r="F2373" s="423">
        <v>4</v>
      </c>
      <c r="G2373" s="423">
        <v>15</v>
      </c>
      <c r="H2373" s="422">
        <v>350</v>
      </c>
      <c r="J2373" s="427" t="s">
        <v>2557</v>
      </c>
      <c r="K2373" s="427" t="s">
        <v>2564</v>
      </c>
      <c r="L2373" s="427" t="s">
        <v>2565</v>
      </c>
      <c r="M2373" s="431">
        <v>45874</v>
      </c>
      <c r="N2373" s="422" t="s">
        <v>1430</v>
      </c>
      <c r="O2373" s="422" t="s">
        <v>126</v>
      </c>
    </row>
    <row r="2374" spans="1:15" x14ac:dyDescent="0.25">
      <c r="A2374" s="427" t="s">
        <v>4456</v>
      </c>
      <c r="B2374" s="430" t="s">
        <v>8629</v>
      </c>
      <c r="C2374" s="422" t="s">
        <v>70</v>
      </c>
      <c r="D2374" s="422" t="s">
        <v>4456</v>
      </c>
      <c r="E2374" s="422" t="s">
        <v>2224</v>
      </c>
      <c r="F2374" s="423">
        <v>4</v>
      </c>
      <c r="G2374" s="423">
        <v>15</v>
      </c>
      <c r="H2374" s="422">
        <v>350</v>
      </c>
      <c r="J2374" s="427" t="s">
        <v>2557</v>
      </c>
      <c r="K2374" s="427" t="s">
        <v>2580</v>
      </c>
      <c r="L2374" s="427" t="s">
        <v>2581</v>
      </c>
      <c r="M2374" s="431">
        <v>45874</v>
      </c>
      <c r="N2374" s="422" t="s">
        <v>1430</v>
      </c>
      <c r="O2374" s="422" t="s">
        <v>126</v>
      </c>
    </row>
    <row r="2375" spans="1:15" x14ac:dyDescent="0.25">
      <c r="A2375" s="427" t="s">
        <v>4456</v>
      </c>
      <c r="B2375" s="430" t="s">
        <v>8630</v>
      </c>
      <c r="C2375" s="422" t="s">
        <v>70</v>
      </c>
      <c r="D2375" s="422" t="s">
        <v>4456</v>
      </c>
      <c r="E2375" s="422" t="s">
        <v>2224</v>
      </c>
      <c r="F2375" s="423">
        <v>4</v>
      </c>
      <c r="G2375" s="423">
        <v>15</v>
      </c>
      <c r="H2375" s="422">
        <v>350</v>
      </c>
      <c r="J2375" s="427" t="s">
        <v>2557</v>
      </c>
      <c r="K2375" s="427" t="s">
        <v>2576</v>
      </c>
      <c r="L2375" s="427" t="s">
        <v>2577</v>
      </c>
      <c r="M2375" s="431">
        <v>45874</v>
      </c>
      <c r="N2375" s="422" t="s">
        <v>1430</v>
      </c>
      <c r="O2375" s="422" t="s">
        <v>126</v>
      </c>
    </row>
    <row r="2376" spans="1:15" x14ac:dyDescent="0.25">
      <c r="A2376" s="427" t="s">
        <v>4456</v>
      </c>
      <c r="B2376" s="430" t="s">
        <v>8631</v>
      </c>
      <c r="C2376" s="422" t="s">
        <v>70</v>
      </c>
      <c r="D2376" s="422" t="s">
        <v>4456</v>
      </c>
      <c r="E2376" s="422" t="s">
        <v>2224</v>
      </c>
      <c r="F2376" s="423">
        <v>4</v>
      </c>
      <c r="G2376" s="423">
        <v>15</v>
      </c>
      <c r="H2376" s="422">
        <v>350</v>
      </c>
      <c r="J2376" s="427" t="s">
        <v>2557</v>
      </c>
      <c r="K2376" s="427" t="s">
        <v>2572</v>
      </c>
      <c r="L2376" s="427" t="s">
        <v>2573</v>
      </c>
      <c r="M2376" s="431">
        <v>45874</v>
      </c>
      <c r="N2376" s="422" t="s">
        <v>1430</v>
      </c>
      <c r="O2376" s="422" t="s">
        <v>126</v>
      </c>
    </row>
    <row r="2377" spans="1:15" x14ac:dyDescent="0.25">
      <c r="A2377" s="427" t="s">
        <v>4456</v>
      </c>
      <c r="B2377" s="430" t="s">
        <v>8632</v>
      </c>
      <c r="C2377" s="422" t="s">
        <v>70</v>
      </c>
      <c r="D2377" s="422" t="s">
        <v>4456</v>
      </c>
      <c r="E2377" s="422" t="s">
        <v>2224</v>
      </c>
      <c r="F2377" s="423">
        <v>4</v>
      </c>
      <c r="G2377" s="423">
        <v>15</v>
      </c>
      <c r="H2377" s="422">
        <v>350</v>
      </c>
      <c r="J2377" s="427" t="s">
        <v>2557</v>
      </c>
      <c r="K2377" s="427" t="s">
        <v>2568</v>
      </c>
      <c r="L2377" s="427" t="s">
        <v>2569</v>
      </c>
      <c r="M2377" s="431">
        <v>45874</v>
      </c>
      <c r="N2377" s="422" t="s">
        <v>1430</v>
      </c>
      <c r="O2377" s="422" t="s">
        <v>126</v>
      </c>
    </row>
    <row r="2378" spans="1:15" x14ac:dyDescent="0.25">
      <c r="A2378" s="427" t="s">
        <v>4456</v>
      </c>
      <c r="B2378" s="430" t="s">
        <v>8633</v>
      </c>
      <c r="C2378" s="422" t="s">
        <v>70</v>
      </c>
      <c r="D2378" s="422" t="s">
        <v>4456</v>
      </c>
      <c r="E2378" s="422" t="s">
        <v>2224</v>
      </c>
      <c r="F2378" s="423">
        <v>4</v>
      </c>
      <c r="G2378" s="423">
        <v>15</v>
      </c>
      <c r="H2378" s="422">
        <v>350</v>
      </c>
      <c r="J2378" s="427" t="s">
        <v>2557</v>
      </c>
      <c r="K2378" s="427" t="s">
        <v>2564</v>
      </c>
      <c r="L2378" s="427" t="s">
        <v>2565</v>
      </c>
      <c r="M2378" s="431">
        <v>45874</v>
      </c>
      <c r="N2378" s="422" t="s">
        <v>1430</v>
      </c>
      <c r="O2378" s="422" t="s">
        <v>126</v>
      </c>
    </row>
    <row r="2379" spans="1:15" x14ac:dyDescent="0.25">
      <c r="A2379" s="427" t="s">
        <v>4456</v>
      </c>
      <c r="B2379" s="430" t="s">
        <v>8634</v>
      </c>
      <c r="C2379" s="422" t="s">
        <v>70</v>
      </c>
      <c r="D2379" s="422" t="s">
        <v>4456</v>
      </c>
      <c r="E2379" s="422" t="s">
        <v>2224</v>
      </c>
      <c r="F2379" s="423">
        <v>4</v>
      </c>
      <c r="G2379" s="423">
        <v>15</v>
      </c>
      <c r="H2379" s="422">
        <v>350</v>
      </c>
      <c r="J2379" s="427" t="s">
        <v>2557</v>
      </c>
      <c r="K2379" s="427" t="s">
        <v>2580</v>
      </c>
      <c r="L2379" s="427" t="s">
        <v>2581</v>
      </c>
      <c r="M2379" s="431">
        <v>45874</v>
      </c>
      <c r="N2379" s="422" t="s">
        <v>1430</v>
      </c>
      <c r="O2379" s="422" t="s">
        <v>126</v>
      </c>
    </row>
    <row r="2380" spans="1:15" x14ac:dyDescent="0.25">
      <c r="A2380" s="427" t="s">
        <v>4456</v>
      </c>
      <c r="B2380" s="430" t="s">
        <v>8635</v>
      </c>
      <c r="C2380" s="422" t="s">
        <v>70</v>
      </c>
      <c r="D2380" s="422" t="s">
        <v>4456</v>
      </c>
      <c r="E2380" s="422" t="s">
        <v>2224</v>
      </c>
      <c r="F2380" s="423">
        <v>4</v>
      </c>
      <c r="G2380" s="423">
        <v>15</v>
      </c>
      <c r="H2380" s="422">
        <v>350</v>
      </c>
      <c r="J2380" s="427" t="s">
        <v>2557</v>
      </c>
      <c r="K2380" s="427" t="s">
        <v>2576</v>
      </c>
      <c r="L2380" s="427" t="s">
        <v>2577</v>
      </c>
      <c r="M2380" s="431">
        <v>45874</v>
      </c>
      <c r="N2380" s="422" t="s">
        <v>1430</v>
      </c>
      <c r="O2380" s="422" t="s">
        <v>126</v>
      </c>
    </row>
    <row r="2381" spans="1:15" x14ac:dyDescent="0.25">
      <c r="A2381" s="427" t="s">
        <v>4456</v>
      </c>
      <c r="B2381" s="430" t="s">
        <v>8636</v>
      </c>
      <c r="C2381" s="422" t="s">
        <v>70</v>
      </c>
      <c r="D2381" s="422" t="s">
        <v>4456</v>
      </c>
      <c r="E2381" s="422" t="s">
        <v>2224</v>
      </c>
      <c r="F2381" s="423">
        <v>4</v>
      </c>
      <c r="G2381" s="423">
        <v>15</v>
      </c>
      <c r="H2381" s="422">
        <v>350</v>
      </c>
      <c r="J2381" s="427" t="s">
        <v>2557</v>
      </c>
      <c r="K2381" s="427" t="s">
        <v>2572</v>
      </c>
      <c r="L2381" s="427" t="s">
        <v>2573</v>
      </c>
      <c r="M2381" s="431">
        <v>45874</v>
      </c>
      <c r="N2381" s="422" t="s">
        <v>1430</v>
      </c>
      <c r="O2381" s="422" t="s">
        <v>126</v>
      </c>
    </row>
    <row r="2382" spans="1:15" x14ac:dyDescent="0.25">
      <c r="A2382" s="427" t="s">
        <v>4456</v>
      </c>
      <c r="B2382" s="430" t="s">
        <v>8637</v>
      </c>
      <c r="C2382" s="422" t="s">
        <v>70</v>
      </c>
      <c r="D2382" s="422" t="s">
        <v>4456</v>
      </c>
      <c r="E2382" s="422" t="s">
        <v>2224</v>
      </c>
      <c r="F2382" s="423">
        <v>24</v>
      </c>
      <c r="G2382" s="423">
        <v>64</v>
      </c>
      <c r="H2382" s="422">
        <v>9600</v>
      </c>
      <c r="I2382" s="422">
        <v>9000</v>
      </c>
      <c r="J2382" s="427" t="s">
        <v>2557</v>
      </c>
      <c r="K2382" s="427" t="s">
        <v>2568</v>
      </c>
      <c r="L2382" s="427" t="s">
        <v>2569</v>
      </c>
      <c r="M2382" s="431">
        <v>45874</v>
      </c>
      <c r="N2382" s="422" t="s">
        <v>1430</v>
      </c>
      <c r="O2382" s="422" t="s">
        <v>126</v>
      </c>
    </row>
    <row r="2383" spans="1:15" x14ac:dyDescent="0.25">
      <c r="A2383" s="427" t="s">
        <v>4456</v>
      </c>
      <c r="B2383" s="430" t="s">
        <v>8638</v>
      </c>
      <c r="C2383" s="422" t="s">
        <v>70</v>
      </c>
      <c r="D2383" s="422" t="s">
        <v>4456</v>
      </c>
      <c r="E2383" s="422" t="s">
        <v>2224</v>
      </c>
      <c r="F2383" s="423">
        <v>24</v>
      </c>
      <c r="G2383" s="423">
        <v>64</v>
      </c>
      <c r="H2383" s="422">
        <v>9600</v>
      </c>
      <c r="I2383" s="422">
        <v>9000</v>
      </c>
      <c r="J2383" s="427" t="s">
        <v>2557</v>
      </c>
      <c r="K2383" s="427" t="s">
        <v>2564</v>
      </c>
      <c r="L2383" s="427" t="s">
        <v>2565</v>
      </c>
      <c r="M2383" s="431">
        <v>45874</v>
      </c>
      <c r="N2383" s="422" t="s">
        <v>1430</v>
      </c>
      <c r="O2383" s="422" t="s">
        <v>126</v>
      </c>
    </row>
    <row r="2384" spans="1:15" x14ac:dyDescent="0.25">
      <c r="A2384" s="427" t="s">
        <v>4456</v>
      </c>
      <c r="B2384" s="430" t="s">
        <v>8639</v>
      </c>
      <c r="C2384" s="422" t="s">
        <v>70</v>
      </c>
      <c r="D2384" s="422" t="s">
        <v>4456</v>
      </c>
      <c r="E2384" s="422" t="s">
        <v>2224</v>
      </c>
      <c r="F2384" s="423">
        <v>24</v>
      </c>
      <c r="G2384" s="423">
        <v>64</v>
      </c>
      <c r="H2384" s="422">
        <v>9600</v>
      </c>
      <c r="I2384" s="422">
        <v>9000</v>
      </c>
      <c r="J2384" s="427" t="s">
        <v>2557</v>
      </c>
      <c r="K2384" s="427" t="s">
        <v>2580</v>
      </c>
      <c r="L2384" s="427" t="s">
        <v>2581</v>
      </c>
      <c r="M2384" s="431">
        <v>45874</v>
      </c>
      <c r="N2384" s="422" t="s">
        <v>1430</v>
      </c>
      <c r="O2384" s="422" t="s">
        <v>126</v>
      </c>
    </row>
    <row r="2385" spans="1:15" x14ac:dyDescent="0.25">
      <c r="A2385" s="427" t="s">
        <v>4456</v>
      </c>
      <c r="B2385" s="430" t="s">
        <v>8640</v>
      </c>
      <c r="C2385" s="422" t="s">
        <v>70</v>
      </c>
      <c r="D2385" s="422" t="s">
        <v>4456</v>
      </c>
      <c r="E2385" s="422" t="s">
        <v>2224</v>
      </c>
      <c r="F2385" s="423">
        <v>24</v>
      </c>
      <c r="G2385" s="423">
        <v>64</v>
      </c>
      <c r="H2385" s="422">
        <v>9600</v>
      </c>
      <c r="I2385" s="422">
        <v>9000</v>
      </c>
      <c r="J2385" s="427" t="s">
        <v>2557</v>
      </c>
      <c r="K2385" s="427" t="s">
        <v>2576</v>
      </c>
      <c r="L2385" s="427" t="s">
        <v>2577</v>
      </c>
      <c r="M2385" s="431">
        <v>45874</v>
      </c>
      <c r="N2385" s="422" t="s">
        <v>1430</v>
      </c>
      <c r="O2385" s="422" t="s">
        <v>126</v>
      </c>
    </row>
    <row r="2386" spans="1:15" x14ac:dyDescent="0.25">
      <c r="A2386" s="427" t="s">
        <v>4456</v>
      </c>
      <c r="B2386" s="430" t="s">
        <v>8641</v>
      </c>
      <c r="C2386" s="422" t="s">
        <v>70</v>
      </c>
      <c r="D2386" s="422" t="s">
        <v>4456</v>
      </c>
      <c r="E2386" s="422" t="s">
        <v>2224</v>
      </c>
      <c r="F2386" s="423">
        <v>24</v>
      </c>
      <c r="G2386" s="423">
        <v>64</v>
      </c>
      <c r="H2386" s="422">
        <v>9600</v>
      </c>
      <c r="I2386" s="422">
        <v>9000</v>
      </c>
      <c r="J2386" s="427" t="s">
        <v>2557</v>
      </c>
      <c r="K2386" s="427" t="s">
        <v>2572</v>
      </c>
      <c r="L2386" s="427" t="s">
        <v>2573</v>
      </c>
      <c r="M2386" s="431">
        <v>45874</v>
      </c>
      <c r="N2386" s="422" t="s">
        <v>1430</v>
      </c>
      <c r="O2386" s="422" t="s">
        <v>126</v>
      </c>
    </row>
    <row r="2387" spans="1:15" x14ac:dyDescent="0.25">
      <c r="A2387" s="427" t="s">
        <v>4456</v>
      </c>
      <c r="B2387" s="430" t="s">
        <v>8642</v>
      </c>
      <c r="C2387" s="422" t="s">
        <v>70</v>
      </c>
      <c r="D2387" s="422" t="s">
        <v>4456</v>
      </c>
      <c r="E2387" s="422" t="s">
        <v>2224</v>
      </c>
      <c r="F2387" s="423">
        <v>24</v>
      </c>
      <c r="G2387" s="423">
        <v>64</v>
      </c>
      <c r="H2387" s="422">
        <v>9600</v>
      </c>
      <c r="I2387" s="422">
        <v>9000</v>
      </c>
      <c r="J2387" s="427" t="s">
        <v>2557</v>
      </c>
      <c r="K2387" s="427" t="s">
        <v>2568</v>
      </c>
      <c r="L2387" s="427" t="s">
        <v>2569</v>
      </c>
      <c r="M2387" s="431">
        <v>45874</v>
      </c>
      <c r="N2387" s="422" t="s">
        <v>1430</v>
      </c>
      <c r="O2387" s="422" t="s">
        <v>126</v>
      </c>
    </row>
    <row r="2388" spans="1:15" x14ac:dyDescent="0.25">
      <c r="A2388" s="427" t="s">
        <v>4456</v>
      </c>
      <c r="B2388" s="430" t="s">
        <v>8643</v>
      </c>
      <c r="C2388" s="422" t="s">
        <v>70</v>
      </c>
      <c r="D2388" s="422" t="s">
        <v>4456</v>
      </c>
      <c r="E2388" s="422" t="s">
        <v>2224</v>
      </c>
      <c r="F2388" s="423">
        <v>24</v>
      </c>
      <c r="G2388" s="423">
        <v>64</v>
      </c>
      <c r="H2388" s="422">
        <v>9600</v>
      </c>
      <c r="I2388" s="422">
        <v>9000</v>
      </c>
      <c r="J2388" s="427" t="s">
        <v>2557</v>
      </c>
      <c r="K2388" s="427" t="s">
        <v>2564</v>
      </c>
      <c r="L2388" s="427" t="s">
        <v>2565</v>
      </c>
      <c r="M2388" s="431">
        <v>45874</v>
      </c>
      <c r="N2388" s="422" t="s">
        <v>1430</v>
      </c>
      <c r="O2388" s="422" t="s">
        <v>126</v>
      </c>
    </row>
    <row r="2389" spans="1:15" x14ac:dyDescent="0.25">
      <c r="A2389" s="427" t="s">
        <v>4456</v>
      </c>
      <c r="B2389" s="430" t="s">
        <v>8644</v>
      </c>
      <c r="C2389" s="422" t="s">
        <v>70</v>
      </c>
      <c r="D2389" s="422" t="s">
        <v>4456</v>
      </c>
      <c r="E2389" s="422" t="s">
        <v>2224</v>
      </c>
      <c r="F2389" s="423">
        <v>24</v>
      </c>
      <c r="G2389" s="423">
        <v>64</v>
      </c>
      <c r="H2389" s="422">
        <v>9600</v>
      </c>
      <c r="I2389" s="422">
        <v>9000</v>
      </c>
      <c r="J2389" s="427" t="s">
        <v>2557</v>
      </c>
      <c r="K2389" s="427" t="s">
        <v>2580</v>
      </c>
      <c r="L2389" s="427" t="s">
        <v>2581</v>
      </c>
      <c r="M2389" s="431">
        <v>45874</v>
      </c>
      <c r="N2389" s="422" t="s">
        <v>1430</v>
      </c>
      <c r="O2389" s="422" t="s">
        <v>126</v>
      </c>
    </row>
    <row r="2390" spans="1:15" x14ac:dyDescent="0.25">
      <c r="A2390" s="427" t="s">
        <v>4456</v>
      </c>
      <c r="B2390" s="430" t="s">
        <v>8645</v>
      </c>
      <c r="C2390" s="422" t="s">
        <v>70</v>
      </c>
      <c r="D2390" s="422" t="s">
        <v>4456</v>
      </c>
      <c r="E2390" s="422" t="s">
        <v>2224</v>
      </c>
      <c r="F2390" s="423">
        <v>24</v>
      </c>
      <c r="G2390" s="423">
        <v>64</v>
      </c>
      <c r="H2390" s="422">
        <v>9600</v>
      </c>
      <c r="J2390" s="427" t="s">
        <v>2557</v>
      </c>
      <c r="K2390" s="427" t="s">
        <v>2576</v>
      </c>
      <c r="L2390" s="427" t="s">
        <v>2577</v>
      </c>
      <c r="M2390" s="431">
        <v>45874</v>
      </c>
      <c r="N2390" s="422" t="s">
        <v>1430</v>
      </c>
      <c r="O2390" s="422" t="s">
        <v>126</v>
      </c>
    </row>
    <row r="2391" spans="1:15" x14ac:dyDescent="0.25">
      <c r="A2391" s="427" t="s">
        <v>4456</v>
      </c>
      <c r="B2391" s="430" t="s">
        <v>8646</v>
      </c>
      <c r="C2391" s="422" t="s">
        <v>70</v>
      </c>
      <c r="D2391" s="422" t="s">
        <v>4456</v>
      </c>
      <c r="E2391" s="422" t="s">
        <v>2224</v>
      </c>
      <c r="F2391" s="423">
        <v>24</v>
      </c>
      <c r="G2391" s="423">
        <v>64</v>
      </c>
      <c r="H2391" s="422">
        <v>9600</v>
      </c>
      <c r="J2391" s="427" t="s">
        <v>2557</v>
      </c>
      <c r="K2391" s="427" t="s">
        <v>2572</v>
      </c>
      <c r="L2391" s="427" t="s">
        <v>2573</v>
      </c>
      <c r="M2391" s="431">
        <v>45874</v>
      </c>
      <c r="N2391" s="422" t="s">
        <v>1430</v>
      </c>
      <c r="O2391" s="422" t="s">
        <v>126</v>
      </c>
    </row>
    <row r="2392" spans="1:15" x14ac:dyDescent="0.25">
      <c r="A2392" s="427" t="s">
        <v>4456</v>
      </c>
      <c r="B2392" s="430" t="s">
        <v>8647</v>
      </c>
      <c r="C2392" s="422" t="s">
        <v>70</v>
      </c>
      <c r="D2392" s="422" t="s">
        <v>4456</v>
      </c>
      <c r="E2392" s="422" t="s">
        <v>2224</v>
      </c>
      <c r="F2392" s="423">
        <v>24</v>
      </c>
      <c r="G2392" s="423">
        <v>64</v>
      </c>
      <c r="H2392" s="422">
        <v>9600</v>
      </c>
      <c r="J2392" s="427" t="s">
        <v>2557</v>
      </c>
      <c r="K2392" s="427" t="s">
        <v>2568</v>
      </c>
      <c r="L2392" s="427" t="s">
        <v>2569</v>
      </c>
      <c r="M2392" s="431">
        <v>45874</v>
      </c>
      <c r="N2392" s="422" t="s">
        <v>1430</v>
      </c>
      <c r="O2392" s="422" t="s">
        <v>126</v>
      </c>
    </row>
    <row r="2393" spans="1:15" x14ac:dyDescent="0.25">
      <c r="A2393" s="427" t="s">
        <v>4456</v>
      </c>
      <c r="B2393" s="430" t="s">
        <v>8648</v>
      </c>
      <c r="C2393" s="422" t="s">
        <v>70</v>
      </c>
      <c r="D2393" s="422" t="s">
        <v>4456</v>
      </c>
      <c r="E2393" s="422" t="s">
        <v>2224</v>
      </c>
      <c r="F2393" s="423">
        <v>24</v>
      </c>
      <c r="G2393" s="423">
        <v>64</v>
      </c>
      <c r="H2393" s="422">
        <v>9600</v>
      </c>
      <c r="J2393" s="427" t="s">
        <v>2557</v>
      </c>
      <c r="K2393" s="427" t="s">
        <v>2564</v>
      </c>
      <c r="L2393" s="427" t="s">
        <v>2565</v>
      </c>
      <c r="M2393" s="431">
        <v>45874</v>
      </c>
      <c r="N2393" s="422" t="s">
        <v>1430</v>
      </c>
      <c r="O2393" s="422" t="s">
        <v>126</v>
      </c>
    </row>
    <row r="2394" spans="1:15" x14ac:dyDescent="0.25">
      <c r="A2394" s="427" t="s">
        <v>4456</v>
      </c>
      <c r="B2394" s="430" t="s">
        <v>8649</v>
      </c>
      <c r="C2394" s="422" t="s">
        <v>70</v>
      </c>
      <c r="D2394" s="422" t="s">
        <v>4456</v>
      </c>
      <c r="E2394" s="422" t="s">
        <v>2224</v>
      </c>
      <c r="F2394" s="423">
        <v>24</v>
      </c>
      <c r="G2394" s="423">
        <v>64</v>
      </c>
      <c r="H2394" s="422">
        <v>9600</v>
      </c>
      <c r="J2394" s="427" t="s">
        <v>2557</v>
      </c>
      <c r="K2394" s="427" t="s">
        <v>2580</v>
      </c>
      <c r="L2394" s="427" t="s">
        <v>2581</v>
      </c>
      <c r="M2394" s="431">
        <v>45874</v>
      </c>
      <c r="N2394" s="422" t="s">
        <v>1430</v>
      </c>
      <c r="O2394" s="422" t="s">
        <v>126</v>
      </c>
    </row>
    <row r="2395" spans="1:15" x14ac:dyDescent="0.25">
      <c r="A2395" s="427" t="s">
        <v>4456</v>
      </c>
      <c r="B2395" s="430" t="s">
        <v>8650</v>
      </c>
      <c r="C2395" s="422" t="s">
        <v>70</v>
      </c>
      <c r="D2395" s="422" t="s">
        <v>4456</v>
      </c>
      <c r="E2395" s="422" t="s">
        <v>2224</v>
      </c>
      <c r="F2395" s="423">
        <v>24</v>
      </c>
      <c r="G2395" s="423">
        <v>64</v>
      </c>
      <c r="H2395" s="422">
        <v>9600</v>
      </c>
      <c r="J2395" s="427" t="s">
        <v>2557</v>
      </c>
      <c r="K2395" s="427" t="s">
        <v>2576</v>
      </c>
      <c r="L2395" s="427" t="s">
        <v>2577</v>
      </c>
      <c r="M2395" s="431">
        <v>45874</v>
      </c>
      <c r="N2395" s="422" t="s">
        <v>1430</v>
      </c>
      <c r="O2395" s="422" t="s">
        <v>126</v>
      </c>
    </row>
    <row r="2396" spans="1:15" x14ac:dyDescent="0.25">
      <c r="A2396" s="427" t="s">
        <v>4456</v>
      </c>
      <c r="B2396" s="430" t="s">
        <v>8651</v>
      </c>
      <c r="C2396" s="422" t="s">
        <v>70</v>
      </c>
      <c r="D2396" s="422" t="s">
        <v>4456</v>
      </c>
      <c r="E2396" s="422" t="s">
        <v>2224</v>
      </c>
      <c r="F2396" s="423">
        <v>24</v>
      </c>
      <c r="G2396" s="423">
        <v>64</v>
      </c>
      <c r="H2396" s="422">
        <v>9600</v>
      </c>
      <c r="J2396" s="427" t="s">
        <v>2557</v>
      </c>
      <c r="K2396" s="427" t="s">
        <v>2572</v>
      </c>
      <c r="L2396" s="427" t="s">
        <v>2573</v>
      </c>
      <c r="M2396" s="431">
        <v>45874</v>
      </c>
      <c r="N2396" s="422" t="s">
        <v>1430</v>
      </c>
      <c r="O2396" s="422" t="s">
        <v>126</v>
      </c>
    </row>
    <row r="2397" spans="1:15" x14ac:dyDescent="0.25">
      <c r="A2397" s="427" t="s">
        <v>4456</v>
      </c>
      <c r="B2397" s="430" t="s">
        <v>8652</v>
      </c>
      <c r="C2397" s="422" t="s">
        <v>70</v>
      </c>
      <c r="D2397" s="422" t="s">
        <v>4456</v>
      </c>
      <c r="E2397" s="422" t="s">
        <v>2224</v>
      </c>
      <c r="F2397" s="423">
        <v>24</v>
      </c>
      <c r="G2397" s="423">
        <v>64</v>
      </c>
      <c r="H2397" s="422">
        <v>9600</v>
      </c>
      <c r="J2397" s="427" t="s">
        <v>2557</v>
      </c>
      <c r="K2397" s="427" t="s">
        <v>2568</v>
      </c>
      <c r="L2397" s="427" t="s">
        <v>2569</v>
      </c>
      <c r="M2397" s="431">
        <v>45874</v>
      </c>
      <c r="N2397" s="422" t="s">
        <v>1430</v>
      </c>
      <c r="O2397" s="422" t="s">
        <v>126</v>
      </c>
    </row>
    <row r="2398" spans="1:15" x14ac:dyDescent="0.25">
      <c r="A2398" s="427" t="s">
        <v>4456</v>
      </c>
      <c r="B2398" s="430" t="s">
        <v>8653</v>
      </c>
      <c r="C2398" s="422" t="s">
        <v>70</v>
      </c>
      <c r="D2398" s="422" t="s">
        <v>4456</v>
      </c>
      <c r="E2398" s="422" t="s">
        <v>2224</v>
      </c>
      <c r="F2398" s="423">
        <v>24</v>
      </c>
      <c r="G2398" s="423">
        <v>64</v>
      </c>
      <c r="H2398" s="422">
        <v>9600</v>
      </c>
      <c r="J2398" s="427" t="s">
        <v>2557</v>
      </c>
      <c r="K2398" s="427" t="s">
        <v>2564</v>
      </c>
      <c r="L2398" s="427" t="s">
        <v>2565</v>
      </c>
      <c r="M2398" s="431">
        <v>45874</v>
      </c>
      <c r="N2398" s="422" t="s">
        <v>1430</v>
      </c>
      <c r="O2398" s="422" t="s">
        <v>126</v>
      </c>
    </row>
    <row r="2399" spans="1:15" x14ac:dyDescent="0.25">
      <c r="A2399" s="427" t="s">
        <v>4456</v>
      </c>
      <c r="B2399" s="430" t="s">
        <v>8654</v>
      </c>
      <c r="C2399" s="422" t="s">
        <v>70</v>
      </c>
      <c r="D2399" s="422" t="s">
        <v>4456</v>
      </c>
      <c r="E2399" s="422" t="s">
        <v>2224</v>
      </c>
      <c r="F2399" s="423">
        <v>24</v>
      </c>
      <c r="G2399" s="423">
        <v>64</v>
      </c>
      <c r="H2399" s="422">
        <v>9600</v>
      </c>
      <c r="J2399" s="427" t="s">
        <v>2557</v>
      </c>
      <c r="K2399" s="427" t="s">
        <v>2580</v>
      </c>
      <c r="L2399" s="427" t="s">
        <v>2581</v>
      </c>
      <c r="M2399" s="431">
        <v>45874</v>
      </c>
      <c r="N2399" s="422" t="s">
        <v>1430</v>
      </c>
      <c r="O2399" s="422" t="s">
        <v>126</v>
      </c>
    </row>
    <row r="2400" spans="1:15" x14ac:dyDescent="0.25">
      <c r="A2400" s="427" t="s">
        <v>4456</v>
      </c>
      <c r="B2400" s="430" t="s">
        <v>8655</v>
      </c>
      <c r="C2400" s="422" t="s">
        <v>70</v>
      </c>
      <c r="D2400" s="422" t="s">
        <v>4456</v>
      </c>
      <c r="E2400" s="422" t="s">
        <v>2224</v>
      </c>
      <c r="F2400" s="423">
        <v>24</v>
      </c>
      <c r="G2400" s="423">
        <v>64</v>
      </c>
      <c r="H2400" s="422">
        <v>9600</v>
      </c>
      <c r="J2400" s="427" t="s">
        <v>2557</v>
      </c>
      <c r="K2400" s="427" t="s">
        <v>2576</v>
      </c>
      <c r="L2400" s="427" t="s">
        <v>2577</v>
      </c>
      <c r="M2400" s="431">
        <v>45874</v>
      </c>
      <c r="N2400" s="422" t="s">
        <v>1430</v>
      </c>
      <c r="O2400" s="422" t="s">
        <v>126</v>
      </c>
    </row>
    <row r="2401" spans="1:15" x14ac:dyDescent="0.25">
      <c r="A2401" s="427" t="s">
        <v>4456</v>
      </c>
      <c r="B2401" s="430" t="s">
        <v>8656</v>
      </c>
      <c r="C2401" s="422" t="s">
        <v>70</v>
      </c>
      <c r="D2401" s="422" t="s">
        <v>4456</v>
      </c>
      <c r="E2401" s="422" t="s">
        <v>2224</v>
      </c>
      <c r="F2401" s="423">
        <v>24</v>
      </c>
      <c r="G2401" s="423">
        <v>64</v>
      </c>
      <c r="H2401" s="422">
        <v>9600</v>
      </c>
      <c r="J2401" s="427" t="s">
        <v>2557</v>
      </c>
      <c r="K2401" s="427" t="s">
        <v>2572</v>
      </c>
      <c r="L2401" s="427" t="s">
        <v>2573</v>
      </c>
      <c r="M2401" s="431">
        <v>45874</v>
      </c>
      <c r="N2401" s="422" t="s">
        <v>1430</v>
      </c>
      <c r="O2401" s="422" t="s">
        <v>126</v>
      </c>
    </row>
    <row r="2402" spans="1:15" x14ac:dyDescent="0.25">
      <c r="A2402" s="427" t="s">
        <v>4456</v>
      </c>
      <c r="B2402" s="430" t="s">
        <v>8657</v>
      </c>
      <c r="C2402" s="422" t="s">
        <v>70</v>
      </c>
      <c r="D2402" s="422" t="s">
        <v>4456</v>
      </c>
      <c r="E2402" s="422" t="s">
        <v>2224</v>
      </c>
      <c r="F2402" s="423">
        <v>24</v>
      </c>
      <c r="G2402" s="423">
        <v>64</v>
      </c>
      <c r="H2402" s="422">
        <v>9600</v>
      </c>
      <c r="J2402" s="427" t="s">
        <v>2557</v>
      </c>
      <c r="K2402" s="427" t="s">
        <v>2568</v>
      </c>
      <c r="L2402" s="427" t="s">
        <v>2569</v>
      </c>
      <c r="M2402" s="431">
        <v>45874</v>
      </c>
      <c r="N2402" s="422" t="s">
        <v>1430</v>
      </c>
      <c r="O2402" s="422" t="s">
        <v>126</v>
      </c>
    </row>
    <row r="2403" spans="1:15" x14ac:dyDescent="0.25">
      <c r="A2403" s="427" t="s">
        <v>4456</v>
      </c>
      <c r="B2403" s="430" t="s">
        <v>8658</v>
      </c>
      <c r="C2403" s="422" t="s">
        <v>70</v>
      </c>
      <c r="D2403" s="422" t="s">
        <v>4456</v>
      </c>
      <c r="E2403" s="422" t="s">
        <v>2224</v>
      </c>
      <c r="F2403" s="423">
        <v>24</v>
      </c>
      <c r="G2403" s="423">
        <v>64</v>
      </c>
      <c r="H2403" s="422">
        <v>9600</v>
      </c>
      <c r="J2403" s="427" t="s">
        <v>2557</v>
      </c>
      <c r="K2403" s="427" t="s">
        <v>2564</v>
      </c>
      <c r="L2403" s="427" t="s">
        <v>2565</v>
      </c>
      <c r="M2403" s="431">
        <v>45874</v>
      </c>
      <c r="N2403" s="422" t="s">
        <v>1430</v>
      </c>
      <c r="O2403" s="422" t="s">
        <v>126</v>
      </c>
    </row>
    <row r="2404" spans="1:15" x14ac:dyDescent="0.25">
      <c r="A2404" s="427" t="s">
        <v>4456</v>
      </c>
      <c r="B2404" s="430" t="s">
        <v>8659</v>
      </c>
      <c r="C2404" s="422" t="s">
        <v>70</v>
      </c>
      <c r="D2404" s="422" t="s">
        <v>4456</v>
      </c>
      <c r="E2404" s="422" t="s">
        <v>2224</v>
      </c>
      <c r="F2404" s="423">
        <v>24</v>
      </c>
      <c r="G2404" s="423">
        <v>64</v>
      </c>
      <c r="H2404" s="422">
        <v>9600</v>
      </c>
      <c r="J2404" s="427" t="s">
        <v>2557</v>
      </c>
      <c r="K2404" s="427" t="s">
        <v>2580</v>
      </c>
      <c r="L2404" s="427" t="s">
        <v>2581</v>
      </c>
      <c r="M2404" s="431">
        <v>45874</v>
      </c>
      <c r="N2404" s="422" t="s">
        <v>1430</v>
      </c>
      <c r="O2404" s="422" t="s">
        <v>126</v>
      </c>
    </row>
    <row r="2405" spans="1:15" x14ac:dyDescent="0.25">
      <c r="A2405" s="427" t="s">
        <v>4456</v>
      </c>
      <c r="B2405" s="430" t="s">
        <v>8660</v>
      </c>
      <c r="C2405" s="422" t="s">
        <v>70</v>
      </c>
      <c r="D2405" s="422" t="s">
        <v>4456</v>
      </c>
      <c r="E2405" s="422" t="s">
        <v>2224</v>
      </c>
      <c r="F2405" s="423">
        <v>24</v>
      </c>
      <c r="G2405" s="423">
        <v>64</v>
      </c>
      <c r="H2405" s="422">
        <v>9600</v>
      </c>
      <c r="J2405" s="427" t="s">
        <v>2557</v>
      </c>
      <c r="K2405" s="427" t="s">
        <v>2576</v>
      </c>
      <c r="L2405" s="427" t="s">
        <v>2577</v>
      </c>
      <c r="M2405" s="431">
        <v>45874</v>
      </c>
      <c r="N2405" s="422" t="s">
        <v>1430</v>
      </c>
      <c r="O2405" s="422" t="s">
        <v>126</v>
      </c>
    </row>
    <row r="2406" spans="1:15" x14ac:dyDescent="0.25">
      <c r="A2406" s="427" t="s">
        <v>4456</v>
      </c>
      <c r="B2406" s="430" t="s">
        <v>8661</v>
      </c>
      <c r="C2406" s="422" t="s">
        <v>70</v>
      </c>
      <c r="D2406" s="422" t="s">
        <v>4456</v>
      </c>
      <c r="E2406" s="422" t="s">
        <v>2224</v>
      </c>
      <c r="F2406" s="423">
        <v>24</v>
      </c>
      <c r="G2406" s="423">
        <v>64</v>
      </c>
      <c r="H2406" s="422">
        <v>4500</v>
      </c>
      <c r="J2406" s="427" t="s">
        <v>2557</v>
      </c>
      <c r="K2406" s="427" t="s">
        <v>2572</v>
      </c>
      <c r="L2406" s="427" t="s">
        <v>2573</v>
      </c>
      <c r="M2406" s="431">
        <v>45874</v>
      </c>
      <c r="N2406" s="422" t="s">
        <v>1430</v>
      </c>
      <c r="O2406" s="422" t="s">
        <v>126</v>
      </c>
    </row>
    <row r="2407" spans="1:15" x14ac:dyDescent="0.25">
      <c r="A2407" s="427" t="s">
        <v>4456</v>
      </c>
      <c r="B2407" s="430" t="s">
        <v>8662</v>
      </c>
      <c r="C2407" s="422" t="s">
        <v>70</v>
      </c>
      <c r="D2407" s="422" t="s">
        <v>4456</v>
      </c>
      <c r="E2407" s="422" t="s">
        <v>2224</v>
      </c>
      <c r="F2407" s="423">
        <v>24</v>
      </c>
      <c r="G2407" s="423">
        <v>64</v>
      </c>
      <c r="H2407" s="422">
        <v>4500</v>
      </c>
      <c r="J2407" s="427" t="s">
        <v>2557</v>
      </c>
      <c r="K2407" s="427" t="s">
        <v>2568</v>
      </c>
      <c r="L2407" s="427" t="s">
        <v>2569</v>
      </c>
      <c r="M2407" s="431">
        <v>45874</v>
      </c>
      <c r="N2407" s="422" t="s">
        <v>1430</v>
      </c>
      <c r="O2407" s="422" t="s">
        <v>126</v>
      </c>
    </row>
    <row r="2408" spans="1:15" x14ac:dyDescent="0.25">
      <c r="A2408" s="422" t="s">
        <v>3540</v>
      </c>
      <c r="B2408" s="430" t="s">
        <v>8663</v>
      </c>
      <c r="C2408" s="422" t="s">
        <v>8664</v>
      </c>
      <c r="D2408" s="422" t="s">
        <v>3252</v>
      </c>
      <c r="E2408" s="422" t="s">
        <v>2224</v>
      </c>
      <c r="F2408" s="432">
        <v>16</v>
      </c>
      <c r="G2408" s="430">
        <v>64</v>
      </c>
      <c r="H2408" s="422">
        <v>1357</v>
      </c>
      <c r="J2408" s="427" t="s">
        <v>2580</v>
      </c>
      <c r="L2408" s="427" t="s">
        <v>2581</v>
      </c>
      <c r="M2408" s="431">
        <v>45965</v>
      </c>
      <c r="N2408" s="423" t="s">
        <v>1778</v>
      </c>
      <c r="O2408" s="422" t="s">
        <v>126</v>
      </c>
    </row>
    <row r="2409" spans="1:15" x14ac:dyDescent="0.25">
      <c r="A2409" s="422" t="s">
        <v>3540</v>
      </c>
      <c r="B2409" s="430" t="s">
        <v>8665</v>
      </c>
      <c r="C2409" s="422" t="s">
        <v>8664</v>
      </c>
      <c r="D2409" s="422" t="s">
        <v>3252</v>
      </c>
      <c r="E2409" s="422" t="s">
        <v>2224</v>
      </c>
      <c r="F2409" s="432">
        <v>16</v>
      </c>
      <c r="G2409" s="430">
        <v>64</v>
      </c>
      <c r="H2409" s="422">
        <v>1357</v>
      </c>
      <c r="J2409" s="427" t="s">
        <v>2576</v>
      </c>
      <c r="L2409" s="427" t="s">
        <v>2577</v>
      </c>
      <c r="M2409" s="431">
        <v>45965</v>
      </c>
      <c r="N2409" s="433" t="s">
        <v>1778</v>
      </c>
      <c r="O2409" s="422" t="s">
        <v>126</v>
      </c>
    </row>
    <row r="2410" spans="1:15" x14ac:dyDescent="0.25">
      <c r="A2410" s="422" t="s">
        <v>3540</v>
      </c>
      <c r="B2410" s="430" t="s">
        <v>8666</v>
      </c>
      <c r="C2410" s="422" t="s">
        <v>8664</v>
      </c>
      <c r="D2410" s="422" t="s">
        <v>3252</v>
      </c>
      <c r="E2410" s="422" t="s">
        <v>2224</v>
      </c>
      <c r="F2410" s="432">
        <v>16</v>
      </c>
      <c r="G2410" s="430">
        <v>64</v>
      </c>
      <c r="H2410" s="422">
        <v>1357</v>
      </c>
      <c r="J2410" s="427" t="s">
        <v>2572</v>
      </c>
      <c r="L2410" s="427" t="s">
        <v>2573</v>
      </c>
      <c r="M2410" s="431">
        <v>45965</v>
      </c>
      <c r="N2410" s="433" t="s">
        <v>1778</v>
      </c>
      <c r="O2410" s="422" t="s">
        <v>126</v>
      </c>
    </row>
    <row r="2411" spans="1:15" x14ac:dyDescent="0.25">
      <c r="A2411" s="422" t="s">
        <v>3540</v>
      </c>
      <c r="B2411" s="430" t="s">
        <v>8667</v>
      </c>
      <c r="C2411" s="422" t="s">
        <v>8664</v>
      </c>
      <c r="D2411" s="422" t="s">
        <v>3252</v>
      </c>
      <c r="E2411" s="422" t="s">
        <v>2224</v>
      </c>
      <c r="F2411" s="432">
        <v>16</v>
      </c>
      <c r="G2411" s="430">
        <v>64</v>
      </c>
      <c r="H2411" s="422">
        <v>1357</v>
      </c>
      <c r="J2411" s="427" t="s">
        <v>2568</v>
      </c>
      <c r="L2411" s="427" t="s">
        <v>2569</v>
      </c>
      <c r="M2411" s="431">
        <v>45965</v>
      </c>
      <c r="N2411" s="433" t="s">
        <v>1778</v>
      </c>
      <c r="O2411" s="422" t="s">
        <v>126</v>
      </c>
    </row>
    <row r="2412" spans="1:15" x14ac:dyDescent="0.25">
      <c r="A2412" s="422" t="s">
        <v>3540</v>
      </c>
      <c r="B2412" s="430" t="s">
        <v>8668</v>
      </c>
      <c r="C2412" s="422" t="s">
        <v>8664</v>
      </c>
      <c r="D2412" s="422" t="s">
        <v>3252</v>
      </c>
      <c r="E2412" s="422" t="s">
        <v>2224</v>
      </c>
      <c r="F2412" s="432">
        <v>16</v>
      </c>
      <c r="G2412" s="430">
        <v>64</v>
      </c>
      <c r="H2412" s="422">
        <v>1357</v>
      </c>
      <c r="J2412" s="427" t="s">
        <v>2564</v>
      </c>
      <c r="L2412" s="427" t="s">
        <v>2565</v>
      </c>
      <c r="M2412" s="431">
        <v>45965</v>
      </c>
      <c r="N2412" s="433" t="s">
        <v>1778</v>
      </c>
      <c r="O2412" s="422" t="s">
        <v>126</v>
      </c>
    </row>
    <row r="2413" spans="1:15" x14ac:dyDescent="0.25">
      <c r="A2413" s="422" t="s">
        <v>3540</v>
      </c>
      <c r="B2413" s="430" t="s">
        <v>8669</v>
      </c>
      <c r="C2413" s="422" t="s">
        <v>8664</v>
      </c>
      <c r="D2413" s="422" t="s">
        <v>3252</v>
      </c>
      <c r="E2413" s="422" t="s">
        <v>2224</v>
      </c>
      <c r="F2413" s="432">
        <v>16</v>
      </c>
      <c r="G2413" s="430">
        <v>64</v>
      </c>
      <c r="H2413" s="422">
        <v>1357</v>
      </c>
      <c r="J2413" s="427" t="s">
        <v>2580</v>
      </c>
      <c r="L2413" s="427" t="s">
        <v>2581</v>
      </c>
      <c r="M2413" s="431">
        <v>45965</v>
      </c>
      <c r="N2413" s="433" t="s">
        <v>1778</v>
      </c>
      <c r="O2413" s="422" t="s">
        <v>126</v>
      </c>
    </row>
    <row r="2414" spans="1:15" x14ac:dyDescent="0.25">
      <c r="A2414" s="422" t="s">
        <v>3540</v>
      </c>
      <c r="B2414" s="430" t="s">
        <v>8670</v>
      </c>
      <c r="C2414" s="422" t="s">
        <v>8664</v>
      </c>
      <c r="D2414" s="422" t="s">
        <v>3252</v>
      </c>
      <c r="E2414" s="422" t="s">
        <v>2224</v>
      </c>
      <c r="F2414" s="432">
        <v>16</v>
      </c>
      <c r="G2414" s="430">
        <v>64</v>
      </c>
      <c r="H2414" s="422">
        <v>1357</v>
      </c>
      <c r="J2414" s="427" t="s">
        <v>2576</v>
      </c>
      <c r="L2414" s="427" t="s">
        <v>2577</v>
      </c>
      <c r="M2414" s="431">
        <v>45965</v>
      </c>
      <c r="N2414" s="433" t="s">
        <v>1778</v>
      </c>
      <c r="O2414" s="422" t="s">
        <v>126</v>
      </c>
    </row>
    <row r="2415" spans="1:15" x14ac:dyDescent="0.25">
      <c r="A2415" s="422" t="s">
        <v>3540</v>
      </c>
      <c r="B2415" s="430" t="s">
        <v>8671</v>
      </c>
      <c r="C2415" s="422" t="s">
        <v>8664</v>
      </c>
      <c r="D2415" s="422" t="s">
        <v>3252</v>
      </c>
      <c r="E2415" s="422" t="s">
        <v>2224</v>
      </c>
      <c r="F2415" s="432">
        <v>16</v>
      </c>
      <c r="G2415" s="430">
        <v>64</v>
      </c>
      <c r="H2415" s="422">
        <v>1357</v>
      </c>
      <c r="J2415" s="427" t="s">
        <v>2572</v>
      </c>
      <c r="L2415" s="427" t="s">
        <v>2573</v>
      </c>
      <c r="M2415" s="431">
        <v>45965</v>
      </c>
      <c r="N2415" s="433" t="s">
        <v>1778</v>
      </c>
      <c r="O2415" s="422" t="s">
        <v>126</v>
      </c>
    </row>
    <row r="2416" spans="1:15" x14ac:dyDescent="0.25">
      <c r="A2416" s="422" t="s">
        <v>3540</v>
      </c>
      <c r="B2416" s="430" t="s">
        <v>8672</v>
      </c>
      <c r="C2416" s="422" t="s">
        <v>8664</v>
      </c>
      <c r="D2416" s="422" t="s">
        <v>3252</v>
      </c>
      <c r="E2416" s="422" t="s">
        <v>2224</v>
      </c>
      <c r="F2416" s="432">
        <v>16</v>
      </c>
      <c r="G2416" s="430">
        <v>64</v>
      </c>
      <c r="H2416" s="422">
        <v>1357</v>
      </c>
      <c r="J2416" s="427" t="s">
        <v>2568</v>
      </c>
      <c r="L2416" s="427" t="s">
        <v>2569</v>
      </c>
      <c r="M2416" s="431">
        <v>45965</v>
      </c>
      <c r="N2416" s="433" t="s">
        <v>1778</v>
      </c>
      <c r="O2416" s="422" t="s">
        <v>126</v>
      </c>
    </row>
    <row r="2417" spans="1:15" x14ac:dyDescent="0.25">
      <c r="A2417" s="422" t="s">
        <v>3540</v>
      </c>
      <c r="B2417" s="430" t="s">
        <v>8673</v>
      </c>
      <c r="C2417" s="422" t="s">
        <v>8664</v>
      </c>
      <c r="D2417" s="422" t="s">
        <v>3252</v>
      </c>
      <c r="E2417" s="422" t="s">
        <v>2224</v>
      </c>
      <c r="F2417" s="432">
        <v>16</v>
      </c>
      <c r="G2417" s="430">
        <v>64</v>
      </c>
      <c r="H2417" s="422">
        <v>1357</v>
      </c>
      <c r="J2417" s="427" t="s">
        <v>2564</v>
      </c>
      <c r="L2417" s="427" t="s">
        <v>2565</v>
      </c>
      <c r="M2417" s="431">
        <v>45965</v>
      </c>
      <c r="N2417" s="433" t="s">
        <v>1778</v>
      </c>
      <c r="O2417" s="422" t="s">
        <v>126</v>
      </c>
    </row>
    <row r="2418" spans="1:15" x14ac:dyDescent="0.25">
      <c r="A2418" s="422" t="s">
        <v>3540</v>
      </c>
      <c r="B2418" s="430" t="s">
        <v>8674</v>
      </c>
      <c r="C2418" s="422" t="s">
        <v>8664</v>
      </c>
      <c r="D2418" s="422" t="s">
        <v>3252</v>
      </c>
      <c r="E2418" s="422" t="s">
        <v>2224</v>
      </c>
      <c r="F2418" s="432">
        <v>16</v>
      </c>
      <c r="G2418" s="430">
        <v>64</v>
      </c>
      <c r="H2418" s="422">
        <v>1357</v>
      </c>
      <c r="J2418" s="427" t="s">
        <v>2580</v>
      </c>
      <c r="L2418" s="427" t="s">
        <v>2581</v>
      </c>
      <c r="M2418" s="431">
        <v>45965</v>
      </c>
      <c r="N2418" s="433" t="s">
        <v>1778</v>
      </c>
      <c r="O2418" s="422" t="s">
        <v>126</v>
      </c>
    </row>
    <row r="2419" spans="1:15" x14ac:dyDescent="0.25">
      <c r="A2419" s="422" t="s">
        <v>3540</v>
      </c>
      <c r="B2419" s="430" t="s">
        <v>8675</v>
      </c>
      <c r="C2419" s="422" t="s">
        <v>8664</v>
      </c>
      <c r="D2419" s="422" t="s">
        <v>3252</v>
      </c>
      <c r="E2419" s="422" t="s">
        <v>2224</v>
      </c>
      <c r="F2419" s="432">
        <v>8</v>
      </c>
      <c r="G2419" s="430">
        <v>62</v>
      </c>
      <c r="H2419" s="422">
        <v>260</v>
      </c>
      <c r="J2419" s="427" t="s">
        <v>2576</v>
      </c>
      <c r="L2419" s="427" t="s">
        <v>2577</v>
      </c>
      <c r="M2419" s="431">
        <v>45965</v>
      </c>
      <c r="N2419" s="433" t="s">
        <v>1778</v>
      </c>
      <c r="O2419" s="422" t="s">
        <v>126</v>
      </c>
    </row>
    <row r="2420" spans="1:15" x14ac:dyDescent="0.25">
      <c r="A2420" s="422" t="s">
        <v>3540</v>
      </c>
      <c r="B2420" s="430" t="s">
        <v>8676</v>
      </c>
      <c r="C2420" s="422" t="s">
        <v>8664</v>
      </c>
      <c r="D2420" s="422" t="s">
        <v>3252</v>
      </c>
      <c r="E2420" s="422" t="s">
        <v>2224</v>
      </c>
      <c r="F2420" s="432">
        <v>8</v>
      </c>
      <c r="G2420" s="430">
        <v>62</v>
      </c>
      <c r="H2420" s="422">
        <v>260</v>
      </c>
      <c r="J2420" s="427" t="s">
        <v>2572</v>
      </c>
      <c r="L2420" s="427" t="s">
        <v>2573</v>
      </c>
      <c r="M2420" s="431">
        <v>45965</v>
      </c>
      <c r="N2420" s="433" t="s">
        <v>1778</v>
      </c>
      <c r="O2420" s="422" t="s">
        <v>126</v>
      </c>
    </row>
    <row r="2421" spans="1:15" x14ac:dyDescent="0.25">
      <c r="A2421" s="422" t="s">
        <v>3540</v>
      </c>
      <c r="B2421" s="430" t="s">
        <v>8677</v>
      </c>
      <c r="C2421" s="422" t="s">
        <v>8664</v>
      </c>
      <c r="D2421" s="422" t="s">
        <v>3252</v>
      </c>
      <c r="E2421" s="422" t="s">
        <v>2224</v>
      </c>
      <c r="F2421" s="432">
        <v>8</v>
      </c>
      <c r="G2421" s="430">
        <v>62</v>
      </c>
      <c r="H2421" s="422">
        <v>260</v>
      </c>
      <c r="J2421" s="427" t="s">
        <v>2568</v>
      </c>
      <c r="L2421" s="427" t="s">
        <v>2569</v>
      </c>
      <c r="M2421" s="431">
        <v>45965</v>
      </c>
      <c r="N2421" s="433" t="s">
        <v>1778</v>
      </c>
      <c r="O2421" s="422" t="s">
        <v>126</v>
      </c>
    </row>
    <row r="2422" spans="1:15" x14ac:dyDescent="0.25">
      <c r="A2422" s="422" t="s">
        <v>3540</v>
      </c>
      <c r="B2422" s="430" t="s">
        <v>8678</v>
      </c>
      <c r="C2422" s="422" t="s">
        <v>8664</v>
      </c>
      <c r="D2422" s="422" t="s">
        <v>3252</v>
      </c>
      <c r="E2422" s="422" t="s">
        <v>2224</v>
      </c>
      <c r="F2422" s="432">
        <v>8</v>
      </c>
      <c r="G2422" s="430">
        <v>62</v>
      </c>
      <c r="H2422" s="422">
        <v>260</v>
      </c>
      <c r="J2422" s="427" t="s">
        <v>2564</v>
      </c>
      <c r="L2422" s="427" t="s">
        <v>2565</v>
      </c>
      <c r="M2422" s="431">
        <v>45965</v>
      </c>
      <c r="N2422" s="433" t="s">
        <v>1778</v>
      </c>
      <c r="O2422" s="422" t="s">
        <v>126</v>
      </c>
    </row>
    <row r="2423" spans="1:15" x14ac:dyDescent="0.25">
      <c r="A2423" s="422" t="s">
        <v>3540</v>
      </c>
      <c r="B2423" s="430" t="s">
        <v>8679</v>
      </c>
      <c r="C2423" s="422" t="s">
        <v>8664</v>
      </c>
      <c r="D2423" s="422" t="s">
        <v>3252</v>
      </c>
      <c r="E2423" s="422" t="s">
        <v>2224</v>
      </c>
      <c r="F2423" s="432">
        <v>8</v>
      </c>
      <c r="G2423" s="430">
        <v>62</v>
      </c>
      <c r="H2423" s="422">
        <v>260</v>
      </c>
      <c r="J2423" s="427" t="s">
        <v>2580</v>
      </c>
      <c r="L2423" s="427" t="s">
        <v>2581</v>
      </c>
      <c r="M2423" s="431">
        <v>45965</v>
      </c>
      <c r="N2423" s="433" t="s">
        <v>1778</v>
      </c>
      <c r="O2423" s="422" t="s">
        <v>126</v>
      </c>
    </row>
    <row r="2424" spans="1:15" x14ac:dyDescent="0.25">
      <c r="A2424" s="422" t="s">
        <v>3540</v>
      </c>
      <c r="B2424" s="430" t="s">
        <v>8680</v>
      </c>
      <c r="C2424" s="422" t="s">
        <v>8664</v>
      </c>
      <c r="D2424" s="422" t="s">
        <v>3252</v>
      </c>
      <c r="E2424" s="422" t="s">
        <v>2224</v>
      </c>
      <c r="F2424" s="432">
        <v>8</v>
      </c>
      <c r="G2424" s="430">
        <v>62</v>
      </c>
      <c r="H2424" s="422">
        <v>260</v>
      </c>
      <c r="J2424" s="427" t="s">
        <v>2576</v>
      </c>
      <c r="L2424" s="427" t="s">
        <v>2577</v>
      </c>
      <c r="M2424" s="431">
        <v>45965</v>
      </c>
      <c r="N2424" s="433" t="s">
        <v>1778</v>
      </c>
      <c r="O2424" s="422" t="s">
        <v>126</v>
      </c>
    </row>
    <row r="2425" spans="1:15" x14ac:dyDescent="0.25">
      <c r="A2425" s="422" t="s">
        <v>3540</v>
      </c>
      <c r="B2425" s="430" t="s">
        <v>8681</v>
      </c>
      <c r="C2425" s="422" t="s">
        <v>8664</v>
      </c>
      <c r="D2425" s="422" t="s">
        <v>3252</v>
      </c>
      <c r="E2425" s="422" t="s">
        <v>2224</v>
      </c>
      <c r="F2425" s="432">
        <v>8</v>
      </c>
      <c r="G2425" s="430">
        <v>62</v>
      </c>
      <c r="H2425" s="422">
        <v>260</v>
      </c>
      <c r="J2425" s="427" t="s">
        <v>2572</v>
      </c>
      <c r="L2425" s="427" t="s">
        <v>2573</v>
      </c>
      <c r="M2425" s="431">
        <v>45965</v>
      </c>
      <c r="N2425" s="433" t="s">
        <v>1778</v>
      </c>
      <c r="O2425" s="422" t="s">
        <v>126</v>
      </c>
    </row>
    <row r="2426" spans="1:15" x14ac:dyDescent="0.25">
      <c r="A2426" s="422" t="s">
        <v>3540</v>
      </c>
      <c r="B2426" s="430" t="s">
        <v>8682</v>
      </c>
      <c r="C2426" s="422" t="s">
        <v>8664</v>
      </c>
      <c r="D2426" s="422" t="s">
        <v>3252</v>
      </c>
      <c r="E2426" s="422" t="s">
        <v>2224</v>
      </c>
      <c r="F2426" s="432">
        <v>8</v>
      </c>
      <c r="G2426" s="430">
        <v>62</v>
      </c>
      <c r="H2426" s="422">
        <v>260</v>
      </c>
      <c r="J2426" s="427" t="s">
        <v>2568</v>
      </c>
      <c r="L2426" s="427" t="s">
        <v>2569</v>
      </c>
      <c r="M2426" s="431">
        <v>45965</v>
      </c>
      <c r="N2426" s="433" t="s">
        <v>1778</v>
      </c>
      <c r="O2426" s="422" t="s">
        <v>126</v>
      </c>
    </row>
    <row r="2427" spans="1:15" x14ac:dyDescent="0.25">
      <c r="A2427" s="422" t="s">
        <v>3540</v>
      </c>
      <c r="B2427" s="430" t="s">
        <v>8683</v>
      </c>
      <c r="C2427" s="422" t="s">
        <v>8664</v>
      </c>
      <c r="D2427" s="422" t="s">
        <v>3252</v>
      </c>
      <c r="E2427" s="422" t="s">
        <v>2224</v>
      </c>
      <c r="F2427" s="432">
        <v>8</v>
      </c>
      <c r="G2427" s="430">
        <v>62</v>
      </c>
      <c r="H2427" s="422">
        <v>260</v>
      </c>
      <c r="J2427" s="427" t="s">
        <v>2564</v>
      </c>
      <c r="L2427" s="427" t="s">
        <v>2565</v>
      </c>
      <c r="M2427" s="431">
        <v>45965</v>
      </c>
      <c r="N2427" s="433" t="s">
        <v>1778</v>
      </c>
      <c r="O2427" s="422" t="s">
        <v>126</v>
      </c>
    </row>
    <row r="2428" spans="1:15" x14ac:dyDescent="0.25">
      <c r="A2428" s="422" t="s">
        <v>3540</v>
      </c>
      <c r="B2428" s="430" t="s">
        <v>8684</v>
      </c>
      <c r="C2428" s="422" t="s">
        <v>8664</v>
      </c>
      <c r="D2428" s="422" t="s">
        <v>3252</v>
      </c>
      <c r="E2428" s="422" t="s">
        <v>2224</v>
      </c>
      <c r="F2428" s="432">
        <v>8</v>
      </c>
      <c r="G2428" s="430">
        <v>62</v>
      </c>
      <c r="H2428" s="422">
        <v>260</v>
      </c>
      <c r="J2428" s="427" t="s">
        <v>2580</v>
      </c>
      <c r="L2428" s="427" t="s">
        <v>2581</v>
      </c>
      <c r="M2428" s="431">
        <v>45965</v>
      </c>
      <c r="N2428" s="433" t="s">
        <v>1778</v>
      </c>
      <c r="O2428" s="422" t="s">
        <v>126</v>
      </c>
    </row>
    <row r="2429" spans="1:15" x14ac:dyDescent="0.25">
      <c r="A2429" s="422" t="s">
        <v>3540</v>
      </c>
      <c r="B2429" s="430" t="s">
        <v>8685</v>
      </c>
      <c r="C2429" s="422" t="s">
        <v>8664</v>
      </c>
      <c r="D2429" s="422" t="s">
        <v>3252</v>
      </c>
      <c r="E2429" s="422" t="s">
        <v>2224</v>
      </c>
      <c r="F2429" s="432">
        <v>8</v>
      </c>
      <c r="G2429" s="430">
        <v>62</v>
      </c>
      <c r="H2429" s="422">
        <v>260</v>
      </c>
      <c r="J2429" s="427" t="s">
        <v>2576</v>
      </c>
      <c r="L2429" s="427" t="s">
        <v>2577</v>
      </c>
      <c r="M2429" s="431">
        <v>45965</v>
      </c>
      <c r="N2429" s="433" t="s">
        <v>1778</v>
      </c>
      <c r="O2429" s="422" t="s">
        <v>126</v>
      </c>
    </row>
    <row r="2430" spans="1:15" x14ac:dyDescent="0.25">
      <c r="A2430" s="422" t="s">
        <v>3540</v>
      </c>
      <c r="B2430" s="430" t="s">
        <v>8686</v>
      </c>
      <c r="C2430" s="422" t="s">
        <v>8664</v>
      </c>
      <c r="D2430" s="422" t="s">
        <v>3252</v>
      </c>
      <c r="E2430" s="422" t="s">
        <v>2224</v>
      </c>
      <c r="F2430" s="432">
        <v>8</v>
      </c>
      <c r="G2430" s="430">
        <v>62</v>
      </c>
      <c r="H2430" s="422">
        <v>260</v>
      </c>
      <c r="J2430" s="427" t="s">
        <v>2572</v>
      </c>
      <c r="L2430" s="427" t="s">
        <v>2573</v>
      </c>
      <c r="M2430" s="431">
        <v>45965</v>
      </c>
      <c r="N2430" s="433" t="s">
        <v>1778</v>
      </c>
      <c r="O2430" s="422" t="s">
        <v>126</v>
      </c>
    </row>
    <row r="2431" spans="1:15" x14ac:dyDescent="0.25">
      <c r="A2431" s="422" t="s">
        <v>3540</v>
      </c>
      <c r="B2431" s="430" t="s">
        <v>8687</v>
      </c>
      <c r="C2431" s="422" t="s">
        <v>8664</v>
      </c>
      <c r="D2431" s="422" t="s">
        <v>3252</v>
      </c>
      <c r="E2431" s="422" t="s">
        <v>2224</v>
      </c>
      <c r="F2431" s="432">
        <v>8</v>
      </c>
      <c r="G2431" s="430">
        <v>64</v>
      </c>
      <c r="H2431" s="422">
        <v>1453</v>
      </c>
      <c r="J2431" s="427" t="s">
        <v>2568</v>
      </c>
      <c r="L2431" s="427" t="s">
        <v>2569</v>
      </c>
      <c r="M2431" s="431">
        <v>45965</v>
      </c>
      <c r="N2431" s="433" t="s">
        <v>1778</v>
      </c>
      <c r="O2431" s="422" t="s">
        <v>126</v>
      </c>
    </row>
    <row r="2432" spans="1:15" x14ac:dyDescent="0.25">
      <c r="A2432" s="422" t="s">
        <v>3540</v>
      </c>
      <c r="B2432" s="430" t="s">
        <v>8688</v>
      </c>
      <c r="C2432" s="422" t="s">
        <v>8664</v>
      </c>
      <c r="D2432" s="422" t="s">
        <v>3252</v>
      </c>
      <c r="E2432" s="422" t="s">
        <v>2224</v>
      </c>
      <c r="F2432" s="432">
        <v>8</v>
      </c>
      <c r="G2432" s="430">
        <v>64</v>
      </c>
      <c r="H2432" s="422">
        <v>1453</v>
      </c>
      <c r="J2432" s="427" t="s">
        <v>2564</v>
      </c>
      <c r="L2432" s="427" t="s">
        <v>2565</v>
      </c>
      <c r="M2432" s="431">
        <v>45965</v>
      </c>
      <c r="N2432" s="433" t="s">
        <v>1778</v>
      </c>
      <c r="O2432" s="422" t="s">
        <v>126</v>
      </c>
    </row>
    <row r="2433" spans="1:15" x14ac:dyDescent="0.25">
      <c r="A2433" s="422" t="s">
        <v>3540</v>
      </c>
      <c r="B2433" s="430" t="s">
        <v>8689</v>
      </c>
      <c r="C2433" s="422" t="s">
        <v>8664</v>
      </c>
      <c r="D2433" s="422" t="s">
        <v>3252</v>
      </c>
      <c r="E2433" s="422" t="s">
        <v>2224</v>
      </c>
      <c r="F2433" s="432">
        <v>8</v>
      </c>
      <c r="G2433" s="430">
        <v>64</v>
      </c>
      <c r="H2433" s="422">
        <v>1453</v>
      </c>
      <c r="J2433" s="427" t="s">
        <v>2580</v>
      </c>
      <c r="L2433" s="427" t="s">
        <v>2581</v>
      </c>
      <c r="M2433" s="431">
        <v>45965</v>
      </c>
      <c r="N2433" s="433" t="s">
        <v>1778</v>
      </c>
      <c r="O2433" s="422" t="s">
        <v>126</v>
      </c>
    </row>
    <row r="2434" spans="1:15" x14ac:dyDescent="0.25">
      <c r="A2434" s="423" t="s">
        <v>8690</v>
      </c>
      <c r="B2434" s="434" t="s">
        <v>8691</v>
      </c>
      <c r="C2434" s="422" t="s">
        <v>729</v>
      </c>
      <c r="D2434" s="422" t="s">
        <v>1395</v>
      </c>
      <c r="E2434" s="422" t="s">
        <v>2224</v>
      </c>
      <c r="F2434" s="427">
        <v>4</v>
      </c>
      <c r="G2434" s="427">
        <v>8</v>
      </c>
      <c r="H2434" s="422">
        <v>500</v>
      </c>
      <c r="J2434" s="427" t="s">
        <v>2564</v>
      </c>
      <c r="L2434" s="427" t="s">
        <v>2565</v>
      </c>
      <c r="M2434" s="422" t="s">
        <v>747</v>
      </c>
      <c r="N2434" s="422" t="s">
        <v>1396</v>
      </c>
      <c r="O2434" s="422" t="s">
        <v>126</v>
      </c>
    </row>
    <row r="2435" spans="1:15" x14ac:dyDescent="0.25">
      <c r="A2435" s="422" t="s">
        <v>8690</v>
      </c>
      <c r="B2435" s="434" t="s">
        <v>8692</v>
      </c>
      <c r="C2435" s="422" t="s">
        <v>729</v>
      </c>
      <c r="D2435" s="422" t="s">
        <v>1395</v>
      </c>
      <c r="E2435" s="422" t="s">
        <v>2224</v>
      </c>
      <c r="F2435" s="427">
        <v>4</v>
      </c>
      <c r="G2435" s="427">
        <v>8</v>
      </c>
      <c r="H2435" s="422">
        <v>500</v>
      </c>
      <c r="J2435" s="427" t="s">
        <v>2568</v>
      </c>
      <c r="L2435" s="427" t="s">
        <v>2569</v>
      </c>
      <c r="M2435" s="422" t="s">
        <v>747</v>
      </c>
      <c r="N2435" s="422" t="s">
        <v>1396</v>
      </c>
      <c r="O2435" s="422" t="s">
        <v>126</v>
      </c>
    </row>
  </sheetData>
  <printOptions gridLines="1" gridLinesSet="0"/>
  <pageMargins left="0.70078740157480324" right="0.70078740157480324" top="0.75196850393700787" bottom="0.75196850393700787" header="0.5" footer="0.5"/>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Views>
    <sheetView workbookViewId="0"/>
  </sheetViews>
  <sheetFormatPr defaultRowHeight="15" x14ac:dyDescent="0.25"/>
  <cols>
    <col min="1" max="1" width="6.5703125" style="436" customWidth="1"/>
    <col min="2" max="2" width="48.7109375" style="435" customWidth="1"/>
    <col min="3" max="3" width="67.140625" style="435" customWidth="1"/>
    <col min="4" max="5" width="9.140625" style="435"/>
    <col min="6" max="6" width="7.140625" style="436" customWidth="1"/>
    <col min="7" max="7" width="45.85546875" style="435" customWidth="1"/>
    <col min="8" max="8" width="60.28515625" style="435" customWidth="1"/>
    <col min="9" max="16384" width="9.140625" style="435"/>
  </cols>
  <sheetData>
    <row r="1" spans="1:8" ht="15.75" x14ac:dyDescent="0.25">
      <c r="A1" s="437"/>
      <c r="B1" s="437" t="s">
        <v>8693</v>
      </c>
      <c r="C1" s="437" t="s">
        <v>13</v>
      </c>
    </row>
    <row r="2" spans="1:8" ht="15.75" x14ac:dyDescent="0.25">
      <c r="A2" s="438" t="s">
        <v>8694</v>
      </c>
      <c r="B2" s="439" t="s">
        <v>8695</v>
      </c>
      <c r="C2" s="440" t="s">
        <v>1797</v>
      </c>
      <c r="F2" s="441" t="s">
        <v>8696</v>
      </c>
      <c r="G2" s="442" t="s">
        <v>8697</v>
      </c>
      <c r="H2" s="442" t="s">
        <v>8698</v>
      </c>
    </row>
    <row r="3" spans="1:8" ht="120" x14ac:dyDescent="0.25">
      <c r="A3" s="443">
        <v>1.1000000000000001</v>
      </c>
      <c r="B3" s="78" t="s">
        <v>8699</v>
      </c>
      <c r="C3" s="444" t="s">
        <v>8700</v>
      </c>
      <c r="F3" s="286">
        <v>1</v>
      </c>
      <c r="G3" s="289" t="s">
        <v>8701</v>
      </c>
      <c r="H3" s="289" t="s">
        <v>8702</v>
      </c>
    </row>
    <row r="4" spans="1:8" ht="60" x14ac:dyDescent="0.25">
      <c r="A4" s="443">
        <v>1.2</v>
      </c>
      <c r="B4" s="78" t="s">
        <v>8703</v>
      </c>
      <c r="C4" s="78" t="s">
        <v>8704</v>
      </c>
      <c r="F4" s="286">
        <v>2</v>
      </c>
      <c r="G4" s="289" t="s">
        <v>8705</v>
      </c>
      <c r="H4" s="78" t="s">
        <v>8706</v>
      </c>
    </row>
    <row r="5" spans="1:8" ht="31.5" x14ac:dyDescent="0.25">
      <c r="A5" s="443">
        <v>1.3</v>
      </c>
      <c r="B5" s="78" t="s">
        <v>8707</v>
      </c>
      <c r="C5" s="78" t="s">
        <v>8708</v>
      </c>
      <c r="F5" s="443">
        <v>3</v>
      </c>
      <c r="G5" s="78" t="s">
        <v>8709</v>
      </c>
      <c r="H5" s="78" t="s">
        <v>8710</v>
      </c>
    </row>
    <row r="6" spans="1:8" ht="47.25" x14ac:dyDescent="0.25">
      <c r="A6" s="443">
        <v>1.4</v>
      </c>
      <c r="B6" s="78" t="s">
        <v>8711</v>
      </c>
      <c r="C6" s="78" t="s">
        <v>8704</v>
      </c>
      <c r="F6" s="443">
        <v>4</v>
      </c>
      <c r="G6" s="78" t="s">
        <v>8712</v>
      </c>
      <c r="H6" s="78" t="s">
        <v>8713</v>
      </c>
    </row>
    <row r="7" spans="1:8" ht="94.5" x14ac:dyDescent="0.25">
      <c r="A7" s="443">
        <v>1.5</v>
      </c>
      <c r="B7" s="78" t="s">
        <v>8714</v>
      </c>
      <c r="C7" s="445" t="s">
        <v>8715</v>
      </c>
      <c r="F7" s="443">
        <v>5</v>
      </c>
      <c r="G7" s="78" t="s">
        <v>8716</v>
      </c>
      <c r="H7" s="289" t="s">
        <v>8717</v>
      </c>
    </row>
    <row r="8" spans="1:8" ht="31.5" x14ac:dyDescent="0.25">
      <c r="A8" s="443">
        <v>1.6</v>
      </c>
      <c r="B8" s="78" t="s">
        <v>8718</v>
      </c>
      <c r="C8" s="78" t="s">
        <v>8719</v>
      </c>
      <c r="F8" s="443">
        <v>6</v>
      </c>
      <c r="G8" s="78" t="s">
        <v>8720</v>
      </c>
      <c r="H8" s="78" t="s">
        <v>8721</v>
      </c>
    </row>
    <row r="9" spans="1:8" ht="63" x14ac:dyDescent="0.25">
      <c r="A9" s="443">
        <v>1.7</v>
      </c>
      <c r="B9" s="78" t="s">
        <v>8722</v>
      </c>
      <c r="C9" s="78" t="s">
        <v>8723</v>
      </c>
      <c r="F9" s="443">
        <v>7</v>
      </c>
      <c r="G9" s="78" t="s">
        <v>8724</v>
      </c>
      <c r="H9" s="78" t="s">
        <v>8725</v>
      </c>
    </row>
    <row r="10" spans="1:8" ht="105" x14ac:dyDescent="0.25">
      <c r="A10" s="443">
        <v>1.8</v>
      </c>
      <c r="B10" s="78" t="s">
        <v>8726</v>
      </c>
      <c r="C10" s="78" t="s">
        <v>8727</v>
      </c>
      <c r="F10" s="443">
        <v>8</v>
      </c>
      <c r="G10" s="78" t="s">
        <v>8728</v>
      </c>
      <c r="H10" s="289" t="s">
        <v>8729</v>
      </c>
    </row>
    <row r="11" spans="1:8" ht="31.5" x14ac:dyDescent="0.25">
      <c r="A11" s="443">
        <v>1.9</v>
      </c>
      <c r="B11" s="78" t="s">
        <v>8730</v>
      </c>
      <c r="C11" s="78" t="s">
        <v>8731</v>
      </c>
      <c r="F11" s="443">
        <v>9</v>
      </c>
      <c r="G11" s="78" t="s">
        <v>8732</v>
      </c>
      <c r="H11" s="78" t="s">
        <v>8733</v>
      </c>
    </row>
    <row r="12" spans="1:8" ht="47.25" x14ac:dyDescent="0.25">
      <c r="A12" s="446" t="s">
        <v>8734</v>
      </c>
      <c r="B12" s="78" t="s">
        <v>8735</v>
      </c>
      <c r="C12" s="78" t="s">
        <v>8736</v>
      </c>
      <c r="F12" s="443">
        <v>10</v>
      </c>
      <c r="G12" s="78" t="s">
        <v>8737</v>
      </c>
      <c r="H12" s="78" t="s">
        <v>8738</v>
      </c>
    </row>
    <row r="13" spans="1:8" ht="31.5" x14ac:dyDescent="0.25">
      <c r="A13" s="443">
        <v>1.1100000000000001</v>
      </c>
      <c r="B13" s="78" t="s">
        <v>8739</v>
      </c>
      <c r="C13" s="78" t="s">
        <v>8740</v>
      </c>
      <c r="F13" s="443">
        <v>11</v>
      </c>
      <c r="G13" s="78" t="s">
        <v>8741</v>
      </c>
      <c r="H13" s="78" t="s">
        <v>8742</v>
      </c>
    </row>
    <row r="14" spans="1:8" ht="15.75" x14ac:dyDescent="0.25">
      <c r="A14" s="443">
        <v>1.1200000000000001</v>
      </c>
      <c r="B14" s="78" t="s">
        <v>8743</v>
      </c>
      <c r="C14" s="78" t="s">
        <v>8744</v>
      </c>
    </row>
    <row r="15" spans="1:8" ht="15.75" x14ac:dyDescent="0.25">
      <c r="A15" s="438" t="s">
        <v>8745</v>
      </c>
      <c r="B15" s="439" t="s">
        <v>8746</v>
      </c>
      <c r="C15" s="440" t="s">
        <v>1797</v>
      </c>
    </row>
    <row r="16" spans="1:8" ht="31.5" x14ac:dyDescent="0.25">
      <c r="A16" s="447">
        <v>2.1</v>
      </c>
      <c r="B16" s="448" t="s">
        <v>8747</v>
      </c>
      <c r="C16" s="449" t="s">
        <v>1797</v>
      </c>
    </row>
    <row r="17" spans="1:3" ht="15.75" x14ac:dyDescent="0.25">
      <c r="A17" s="443" t="s">
        <v>8748</v>
      </c>
      <c r="B17" s="78" t="s">
        <v>8749</v>
      </c>
      <c r="C17" s="78" t="s">
        <v>8750</v>
      </c>
    </row>
    <row r="18" spans="1:3" ht="15.75" x14ac:dyDescent="0.25">
      <c r="A18" s="443" t="s">
        <v>8751</v>
      </c>
      <c r="B18" s="78" t="s">
        <v>8752</v>
      </c>
      <c r="C18" s="78" t="s">
        <v>8753</v>
      </c>
    </row>
    <row r="19" spans="1:3" ht="189" x14ac:dyDescent="0.25">
      <c r="A19" s="443" t="s">
        <v>8754</v>
      </c>
      <c r="B19" s="78" t="s">
        <v>8755</v>
      </c>
      <c r="C19" s="445" t="s">
        <v>8756</v>
      </c>
    </row>
    <row r="20" spans="1:3" ht="31.5" x14ac:dyDescent="0.25">
      <c r="A20" s="443" t="s">
        <v>8757</v>
      </c>
      <c r="B20" s="78" t="s">
        <v>8758</v>
      </c>
      <c r="C20" s="78" t="s">
        <v>8759</v>
      </c>
    </row>
    <row r="21" spans="1:3" ht="47.25" x14ac:dyDescent="0.25">
      <c r="A21" s="443" t="s">
        <v>8760</v>
      </c>
      <c r="B21" s="78" t="s">
        <v>8761</v>
      </c>
      <c r="C21" s="78" t="s">
        <v>8762</v>
      </c>
    </row>
    <row r="22" spans="1:3" ht="78.75" x14ac:dyDescent="0.25">
      <c r="A22" s="443" t="s">
        <v>8763</v>
      </c>
      <c r="B22" s="78" t="s">
        <v>8764</v>
      </c>
      <c r="C22" s="445" t="s">
        <v>8765</v>
      </c>
    </row>
    <row r="23" spans="1:3" ht="15.75" x14ac:dyDescent="0.25">
      <c r="A23" s="443" t="s">
        <v>8766</v>
      </c>
      <c r="B23" s="78" t="s">
        <v>8767</v>
      </c>
      <c r="C23" s="78" t="s">
        <v>8768</v>
      </c>
    </row>
    <row r="24" spans="1:3" ht="15.75" x14ac:dyDescent="0.25">
      <c r="A24" s="443" t="s">
        <v>8769</v>
      </c>
      <c r="B24" s="78" t="s">
        <v>8770</v>
      </c>
      <c r="C24" s="78" t="s">
        <v>8771</v>
      </c>
    </row>
    <row r="25" spans="1:3" ht="63" x14ac:dyDescent="0.25">
      <c r="A25" s="443" t="s">
        <v>8772</v>
      </c>
      <c r="B25" s="78" t="s">
        <v>8773</v>
      </c>
      <c r="C25" s="445" t="s">
        <v>8774</v>
      </c>
    </row>
    <row r="26" spans="1:3" ht="63" x14ac:dyDescent="0.25">
      <c r="A26" s="443" t="s">
        <v>8775</v>
      </c>
      <c r="B26" s="78" t="s">
        <v>8776</v>
      </c>
      <c r="C26" s="445" t="s">
        <v>8777</v>
      </c>
    </row>
    <row r="27" spans="1:3" ht="31.5" x14ac:dyDescent="0.25">
      <c r="A27" s="443" t="s">
        <v>8778</v>
      </c>
      <c r="B27" s="78" t="s">
        <v>8779</v>
      </c>
      <c r="C27" s="78" t="s">
        <v>8780</v>
      </c>
    </row>
    <row r="28" spans="1:3" ht="63" x14ac:dyDescent="0.25">
      <c r="A28" s="443" t="s">
        <v>8781</v>
      </c>
      <c r="B28" s="78" t="s">
        <v>8782</v>
      </c>
      <c r="C28" s="445" t="s">
        <v>8783</v>
      </c>
    </row>
    <row r="29" spans="1:3" ht="31.5" x14ac:dyDescent="0.25">
      <c r="A29" s="443" t="s">
        <v>8784</v>
      </c>
      <c r="B29" s="78" t="s">
        <v>8785</v>
      </c>
      <c r="C29" s="78" t="s">
        <v>8786</v>
      </c>
    </row>
    <row r="30" spans="1:3" ht="47.25" x14ac:dyDescent="0.25">
      <c r="A30" s="443" t="s">
        <v>8787</v>
      </c>
      <c r="B30" s="78" t="s">
        <v>8788</v>
      </c>
      <c r="C30" s="78" t="s">
        <v>8789</v>
      </c>
    </row>
    <row r="31" spans="1:3" ht="47.25" x14ac:dyDescent="0.25">
      <c r="A31" s="443" t="s">
        <v>8790</v>
      </c>
      <c r="B31" s="78" t="s">
        <v>8791</v>
      </c>
      <c r="C31" s="78" t="s">
        <v>8792</v>
      </c>
    </row>
    <row r="32" spans="1:3" ht="31.5" x14ac:dyDescent="0.25">
      <c r="A32" s="443" t="s">
        <v>8793</v>
      </c>
      <c r="B32" s="78" t="s">
        <v>8794</v>
      </c>
      <c r="C32" s="78" t="s">
        <v>8795</v>
      </c>
    </row>
    <row r="33" spans="1:3" ht="63" x14ac:dyDescent="0.25">
      <c r="A33" s="443" t="s">
        <v>8796</v>
      </c>
      <c r="B33" s="78" t="s">
        <v>8797</v>
      </c>
      <c r="C33" s="445" t="s">
        <v>8798</v>
      </c>
    </row>
    <row r="34" spans="1:3" ht="31.5" x14ac:dyDescent="0.25">
      <c r="A34" s="447">
        <v>2.2000000000000002</v>
      </c>
      <c r="B34" s="448" t="s">
        <v>8799</v>
      </c>
      <c r="C34" s="449" t="s">
        <v>1797</v>
      </c>
    </row>
    <row r="35" spans="1:3" ht="15.75" x14ac:dyDescent="0.25">
      <c r="A35" s="443" t="s">
        <v>8800</v>
      </c>
      <c r="B35" s="78" t="s">
        <v>8801</v>
      </c>
      <c r="C35" s="78" t="s">
        <v>8802</v>
      </c>
    </row>
    <row r="36" spans="1:3" ht="31.5" x14ac:dyDescent="0.25">
      <c r="A36" s="443" t="s">
        <v>8803</v>
      </c>
      <c r="B36" s="78" t="s">
        <v>8804</v>
      </c>
      <c r="C36" s="78" t="s">
        <v>1797</v>
      </c>
    </row>
    <row r="37" spans="1:3" ht="31.5" x14ac:dyDescent="0.25">
      <c r="A37" s="443" t="s">
        <v>8805</v>
      </c>
      <c r="B37" s="78" t="s">
        <v>8806</v>
      </c>
      <c r="C37" s="78" t="s">
        <v>8807</v>
      </c>
    </row>
    <row r="38" spans="1:3" ht="47.25" x14ac:dyDescent="0.25">
      <c r="A38" s="443" t="s">
        <v>8808</v>
      </c>
      <c r="B38" s="78" t="s">
        <v>8809</v>
      </c>
      <c r="C38" s="78" t="s">
        <v>8810</v>
      </c>
    </row>
    <row r="39" spans="1:3" ht="63" x14ac:dyDescent="0.25">
      <c r="A39" s="443" t="s">
        <v>8811</v>
      </c>
      <c r="B39" s="78" t="s">
        <v>8812</v>
      </c>
      <c r="C39" s="78" t="s">
        <v>8813</v>
      </c>
    </row>
    <row r="40" spans="1:3" ht="31.5" x14ac:dyDescent="0.25">
      <c r="A40" s="443" t="s">
        <v>8814</v>
      </c>
      <c r="B40" s="78" t="s">
        <v>8815</v>
      </c>
      <c r="C40" s="78" t="s">
        <v>8816</v>
      </c>
    </row>
    <row r="41" spans="1:3" ht="15.75" x14ac:dyDescent="0.25">
      <c r="A41" s="447">
        <v>2.2999999999999998</v>
      </c>
      <c r="B41" s="448" t="s">
        <v>8817</v>
      </c>
      <c r="C41" s="450"/>
    </row>
    <row r="42" spans="1:3" ht="63" x14ac:dyDescent="0.25">
      <c r="A42" s="443" t="s">
        <v>8818</v>
      </c>
      <c r="B42" s="444" t="s">
        <v>8819</v>
      </c>
      <c r="C42" s="78" t="s">
        <v>8820</v>
      </c>
    </row>
    <row r="43" spans="1:3" ht="31.5" x14ac:dyDescent="0.25">
      <c r="A43" s="443" t="s">
        <v>8821</v>
      </c>
      <c r="B43" s="78" t="s">
        <v>8822</v>
      </c>
      <c r="C43" s="78" t="s">
        <v>1797</v>
      </c>
    </row>
    <row r="44" spans="1:3" ht="31.5" x14ac:dyDescent="0.25">
      <c r="A44" s="443" t="s">
        <v>8823</v>
      </c>
      <c r="B44" s="78" t="s">
        <v>8824</v>
      </c>
      <c r="C44" s="78" t="s">
        <v>1797</v>
      </c>
    </row>
    <row r="45" spans="1:3" ht="31.5" x14ac:dyDescent="0.25">
      <c r="A45" s="443" t="s">
        <v>8825</v>
      </c>
      <c r="B45" s="78" t="s">
        <v>8826</v>
      </c>
      <c r="C45" s="78" t="s">
        <v>1797</v>
      </c>
    </row>
  </sheetData>
  <printOptions gridLines="1" gridLinesSet="0"/>
  <pageMargins left="0.70078740157480324" right="0.70078740157480324" top="0.75196850393700787" bottom="0.75196850393700787"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Sizing</vt:lpstr>
      <vt:lpstr>Cấp phát TN</vt:lpstr>
      <vt:lpstr>Chi tiết</vt:lpstr>
      <vt:lpstr>Tài nguyên Cloud </vt:lpstr>
      <vt:lpstr>vật lý free</vt:lpstr>
      <vt:lpstr>Cấp phát vật lý</vt:lpstr>
      <vt:lpstr>MyCC</vt:lpstr>
      <vt:lpstr>Datalake</vt:lpstr>
      <vt:lpstr>DA2022</vt:lpstr>
      <vt:lpstr>Chi tiết Cấp phát 2025</vt:lpstr>
      <vt:lpstr>ALL SERVER VTT</vt:lpstr>
      <vt:lpstr>Checklist Sizing</vt:lpstr>
      <vt:lpstr>'Chi tiết'!_FilterDatabase</vt:lpstr>
      <vt:lpstr>Sizing!_FilterDatabase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khanhnd23</cp:lastModifiedBy>
  <dcterms:modified xsi:type="dcterms:W3CDTF">2025-06-20T01:35:57Z</dcterms:modified>
</cp:coreProperties>
</file>